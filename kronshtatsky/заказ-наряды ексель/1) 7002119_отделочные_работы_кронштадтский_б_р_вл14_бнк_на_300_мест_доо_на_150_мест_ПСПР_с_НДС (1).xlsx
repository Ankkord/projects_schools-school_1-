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minimized="1" xWindow="0" yWindow="0" windowWidth="11064" windowHeight="6264" firstSheet="2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</workbook>
</file>

<file path=xl/calcChain.xml><?xml version="1.0" encoding="utf-8"?>
<calcChain xmlns="http://schemas.openxmlformats.org/spreadsheetml/2006/main">
  <c r="K566" i="3" l="1"/>
  <c r="K536" i="3"/>
  <c r="K510" i="3"/>
  <c r="K501" i="3"/>
  <c r="K493" i="3"/>
  <c r="K490" i="3"/>
  <c r="K484" i="3"/>
  <c r="K481" i="3"/>
  <c r="K465" i="3"/>
  <c r="K459" i="3"/>
  <c r="K388" i="3" l="1"/>
  <c r="K378" i="3" l="1"/>
  <c r="K360" i="3"/>
  <c r="K351" i="3"/>
  <c r="K348" i="3"/>
  <c r="K345" i="3"/>
  <c r="K342" i="3"/>
  <c r="K339" i="3"/>
  <c r="K336" i="3"/>
  <c r="K333" i="3"/>
  <c r="K265" i="3"/>
  <c r="K76" i="3"/>
  <c r="K15" i="3"/>
  <c r="S565" i="3" l="1"/>
  <c r="P564" i="3" s="1"/>
  <c r="T564" i="3"/>
  <c r="S563" i="3"/>
  <c r="T562" i="3"/>
  <c r="P562" i="3"/>
  <c r="S562" i="3" s="1"/>
  <c r="S561" i="3"/>
  <c r="T560" i="3"/>
  <c r="S559" i="3"/>
  <c r="P558" i="3" s="1"/>
  <c r="T558" i="3"/>
  <c r="S557" i="3"/>
  <c r="T556" i="3"/>
  <c r="P556" i="3"/>
  <c r="S555" i="3"/>
  <c r="P554" i="3" s="1"/>
  <c r="T554" i="3"/>
  <c r="S553" i="3"/>
  <c r="T552" i="3"/>
  <c r="S551" i="3"/>
  <c r="P550" i="3" s="1"/>
  <c r="R550" i="3" s="1"/>
  <c r="T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T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T522" i="3"/>
  <c r="S521" i="3"/>
  <c r="T520" i="3"/>
  <c r="S519" i="3"/>
  <c r="P518" i="3" s="1"/>
  <c r="T518" i="3"/>
  <c r="T517" i="3"/>
  <c r="U517" i="3" s="1"/>
  <c r="R517" i="3"/>
  <c r="T516" i="3"/>
  <c r="R516" i="3"/>
  <c r="S515" i="3"/>
  <c r="T514" i="3"/>
  <c r="S514" i="3"/>
  <c r="U514" i="3" s="1"/>
  <c r="P514" i="3"/>
  <c r="R514" i="3" s="1"/>
  <c r="S513" i="3"/>
  <c r="T512" i="3"/>
  <c r="S511" i="3"/>
  <c r="P510" i="3" s="1"/>
  <c r="R510" i="3" s="1"/>
  <c r="T510" i="3"/>
  <c r="S509" i="3"/>
  <c r="P508" i="3" s="1"/>
  <c r="T508" i="3"/>
  <c r="S507" i="3"/>
  <c r="P506" i="3" s="1"/>
  <c r="T506" i="3"/>
  <c r="S505" i="3"/>
  <c r="T504" i="3"/>
  <c r="S503" i="3"/>
  <c r="S502" i="3"/>
  <c r="P501" i="3" s="1"/>
  <c r="T501" i="3"/>
  <c r="S500" i="3"/>
  <c r="S499" i="3"/>
  <c r="S498" i="3"/>
  <c r="T497" i="3"/>
  <c r="S495" i="3"/>
  <c r="S494" i="3"/>
  <c r="T493" i="3"/>
  <c r="S492" i="3"/>
  <c r="S491" i="3"/>
  <c r="T490" i="3"/>
  <c r="S489" i="3"/>
  <c r="S488" i="3"/>
  <c r="T487" i="3"/>
  <c r="S486" i="3"/>
  <c r="S485" i="3"/>
  <c r="T484" i="3"/>
  <c r="S483" i="3"/>
  <c r="S482" i="3"/>
  <c r="T481" i="3"/>
  <c r="P481" i="3"/>
  <c r="S481" i="3" s="1"/>
  <c r="U481" i="3" s="1"/>
  <c r="S480" i="3"/>
  <c r="S479" i="3"/>
  <c r="T478" i="3"/>
  <c r="S477" i="3"/>
  <c r="S476" i="3"/>
  <c r="T475" i="3"/>
  <c r="S474" i="3"/>
  <c r="S473" i="3"/>
  <c r="P472" i="3" s="1"/>
  <c r="T472" i="3"/>
  <c r="S471" i="3"/>
  <c r="S470" i="3"/>
  <c r="T469" i="3"/>
  <c r="S467" i="3"/>
  <c r="S466" i="3"/>
  <c r="T465" i="3"/>
  <c r="S464" i="3"/>
  <c r="P462" i="3" s="1"/>
  <c r="S463" i="3"/>
  <c r="T462" i="3"/>
  <c r="S461" i="3"/>
  <c r="S460" i="3"/>
  <c r="T459" i="3"/>
  <c r="S458" i="3"/>
  <c r="S457" i="3"/>
  <c r="T456" i="3"/>
  <c r="S453" i="3"/>
  <c r="S452" i="3"/>
  <c r="S451" i="3"/>
  <c r="S450" i="3"/>
  <c r="T449" i="3"/>
  <c r="S448" i="3"/>
  <c r="S447" i="3"/>
  <c r="S446" i="3"/>
  <c r="S445" i="3"/>
  <c r="T444" i="3"/>
  <c r="S443" i="3"/>
  <c r="S442" i="3"/>
  <c r="S441" i="3"/>
  <c r="S440" i="3"/>
  <c r="T439" i="3"/>
  <c r="S438" i="3"/>
  <c r="S437" i="3"/>
  <c r="S436" i="3"/>
  <c r="S435" i="3"/>
  <c r="T434" i="3"/>
  <c r="S432" i="3"/>
  <c r="S431" i="3"/>
  <c r="S430" i="3"/>
  <c r="S429" i="3"/>
  <c r="T428" i="3"/>
  <c r="S427" i="3"/>
  <c r="S426" i="3"/>
  <c r="P423" i="3" s="1"/>
  <c r="S425" i="3"/>
  <c r="S424" i="3"/>
  <c r="T423" i="3"/>
  <c r="S422" i="3"/>
  <c r="S421" i="3"/>
  <c r="S420" i="3"/>
  <c r="S419" i="3"/>
  <c r="T418" i="3"/>
  <c r="S417" i="3"/>
  <c r="S416" i="3"/>
  <c r="S415" i="3"/>
  <c r="S414" i="3"/>
  <c r="P413" i="3" s="1"/>
  <c r="R413" i="3" s="1"/>
  <c r="T413" i="3"/>
  <c r="S412" i="3"/>
  <c r="S411" i="3"/>
  <c r="S410" i="3"/>
  <c r="S409" i="3"/>
  <c r="T408" i="3"/>
  <c r="S407" i="3"/>
  <c r="S406" i="3"/>
  <c r="S405" i="3"/>
  <c r="S404" i="3"/>
  <c r="T403" i="3"/>
  <c r="S402" i="3"/>
  <c r="S401" i="3"/>
  <c r="S400" i="3"/>
  <c r="S399" i="3"/>
  <c r="T398" i="3"/>
  <c r="S397" i="3"/>
  <c r="S396" i="3"/>
  <c r="S395" i="3"/>
  <c r="S394" i="3"/>
  <c r="T393" i="3"/>
  <c r="S392" i="3"/>
  <c r="S391" i="3"/>
  <c r="S390" i="3"/>
  <c r="P388" i="3" s="1"/>
  <c r="S388" i="3" s="1"/>
  <c r="S389" i="3"/>
  <c r="T388" i="3"/>
  <c r="S387" i="3"/>
  <c r="S386" i="3"/>
  <c r="S385" i="3"/>
  <c r="P383" i="3" s="1"/>
  <c r="S384" i="3"/>
  <c r="T383" i="3"/>
  <c r="S382" i="3"/>
  <c r="S381" i="3"/>
  <c r="S380" i="3"/>
  <c r="S379" i="3"/>
  <c r="T378" i="3"/>
  <c r="S377" i="3"/>
  <c r="S376" i="3"/>
  <c r="S375" i="3"/>
  <c r="S374" i="3"/>
  <c r="T373" i="3"/>
  <c r="S372" i="3"/>
  <c r="S371" i="3"/>
  <c r="S370" i="3"/>
  <c r="S369" i="3"/>
  <c r="T368" i="3"/>
  <c r="S367" i="3"/>
  <c r="S366" i="3"/>
  <c r="S365" i="3"/>
  <c r="S364" i="3"/>
  <c r="P363" i="3" s="1"/>
  <c r="T363" i="3"/>
  <c r="S362" i="3"/>
  <c r="S361" i="3"/>
  <c r="T360" i="3"/>
  <c r="S359" i="3"/>
  <c r="S358" i="3"/>
  <c r="P357" i="3" s="1"/>
  <c r="T357" i="3"/>
  <c r="S356" i="3"/>
  <c r="S355" i="3"/>
  <c r="T354" i="3"/>
  <c r="S353" i="3"/>
  <c r="S352" i="3"/>
  <c r="T351" i="3"/>
  <c r="S350" i="3"/>
  <c r="S349" i="3"/>
  <c r="T348" i="3"/>
  <c r="S347" i="3"/>
  <c r="S346" i="3"/>
  <c r="T345" i="3"/>
  <c r="S344" i="3"/>
  <c r="S343" i="3"/>
  <c r="T342" i="3"/>
  <c r="S341" i="3"/>
  <c r="S340" i="3"/>
  <c r="T339" i="3"/>
  <c r="S338" i="3"/>
  <c r="S337" i="3"/>
  <c r="P336" i="3" s="1"/>
  <c r="T336" i="3"/>
  <c r="S335" i="3"/>
  <c r="S334" i="3"/>
  <c r="P333" i="3" s="1"/>
  <c r="T333" i="3"/>
  <c r="S332" i="3"/>
  <c r="S331" i="3"/>
  <c r="T330" i="3"/>
  <c r="S329" i="3"/>
  <c r="S328" i="3"/>
  <c r="T327" i="3"/>
  <c r="S326" i="3"/>
  <c r="S325" i="3"/>
  <c r="T324" i="3"/>
  <c r="S323" i="3"/>
  <c r="P321" i="3" s="1"/>
  <c r="S322" i="3"/>
  <c r="T321" i="3"/>
  <c r="S320" i="3"/>
  <c r="S319" i="3"/>
  <c r="T318" i="3"/>
  <c r="S317" i="3"/>
  <c r="S316" i="3"/>
  <c r="T315" i="3"/>
  <c r="S314" i="3"/>
  <c r="S313" i="3"/>
  <c r="T312" i="3"/>
  <c r="S311" i="3"/>
  <c r="P309" i="3" s="1"/>
  <c r="S310" i="3"/>
  <c r="T309" i="3"/>
  <c r="S308" i="3"/>
  <c r="T307" i="3"/>
  <c r="S306" i="3"/>
  <c r="P305" i="3" s="1"/>
  <c r="T305" i="3"/>
  <c r="S304" i="3"/>
  <c r="P303" i="3" s="1"/>
  <c r="T303" i="3"/>
  <c r="S302" i="3"/>
  <c r="P301" i="3" s="1"/>
  <c r="T301" i="3"/>
  <c r="S300" i="3"/>
  <c r="T299" i="3"/>
  <c r="P299" i="3"/>
  <c r="S298" i="3"/>
  <c r="P297" i="3" s="1"/>
  <c r="T297" i="3"/>
  <c r="S296" i="3"/>
  <c r="P295" i="3" s="1"/>
  <c r="T295" i="3"/>
  <c r="S294" i="3"/>
  <c r="P293" i="3" s="1"/>
  <c r="T293" i="3"/>
  <c r="S292" i="3"/>
  <c r="P291" i="3" s="1"/>
  <c r="T291" i="3"/>
  <c r="S290" i="3"/>
  <c r="P289" i="3" s="1"/>
  <c r="T289" i="3"/>
  <c r="S288" i="3"/>
  <c r="P287" i="3" s="1"/>
  <c r="T287" i="3"/>
  <c r="S286" i="3"/>
  <c r="P285" i="3" s="1"/>
  <c r="T285" i="3"/>
  <c r="S284" i="3"/>
  <c r="T283" i="3"/>
  <c r="S282" i="3"/>
  <c r="P281" i="3" s="1"/>
  <c r="T281" i="3"/>
  <c r="S280" i="3"/>
  <c r="T279" i="3"/>
  <c r="S278" i="3"/>
  <c r="P277" i="3" s="1"/>
  <c r="T277" i="3"/>
  <c r="S276" i="3"/>
  <c r="T275" i="3"/>
  <c r="P275" i="3"/>
  <c r="S275" i="3" s="1"/>
  <c r="S274" i="3"/>
  <c r="P273" i="3" s="1"/>
  <c r="T273" i="3"/>
  <c r="S272" i="3"/>
  <c r="P271" i="3" s="1"/>
  <c r="T271" i="3"/>
  <c r="S270" i="3"/>
  <c r="P269" i="3" s="1"/>
  <c r="T269" i="3"/>
  <c r="S267" i="3"/>
  <c r="S266" i="3"/>
  <c r="P265" i="3" s="1"/>
  <c r="T265" i="3"/>
  <c r="S264" i="3"/>
  <c r="S263" i="3"/>
  <c r="T262" i="3"/>
  <c r="S259" i="3"/>
  <c r="P258" i="3" s="1"/>
  <c r="T258" i="3"/>
  <c r="S257" i="3"/>
  <c r="T256" i="3"/>
  <c r="T255" i="3"/>
  <c r="S254" i="3"/>
  <c r="S253" i="3"/>
  <c r="S252" i="3"/>
  <c r="S251" i="3"/>
  <c r="T250" i="3"/>
  <c r="S249" i="3"/>
  <c r="S248" i="3"/>
  <c r="S247" i="3"/>
  <c r="S246" i="3"/>
  <c r="P245" i="3" s="1"/>
  <c r="S245" i="3" s="1"/>
  <c r="U245" i="3" s="1"/>
  <c r="T245" i="3"/>
  <c r="S244" i="3"/>
  <c r="S243" i="3"/>
  <c r="S242" i="3"/>
  <c r="S241" i="3"/>
  <c r="T240" i="3"/>
  <c r="S239" i="3"/>
  <c r="S238" i="3"/>
  <c r="S237" i="3"/>
  <c r="S236" i="3"/>
  <c r="T235" i="3"/>
  <c r="S234" i="3"/>
  <c r="S233" i="3"/>
  <c r="S232" i="3"/>
  <c r="S231" i="3"/>
  <c r="T230" i="3"/>
  <c r="S229" i="3"/>
  <c r="S228" i="3"/>
  <c r="S227" i="3"/>
  <c r="S226" i="3"/>
  <c r="T225" i="3"/>
  <c r="S224" i="3"/>
  <c r="S223" i="3"/>
  <c r="S222" i="3"/>
  <c r="S221" i="3"/>
  <c r="T220" i="3"/>
  <c r="S219" i="3"/>
  <c r="S218" i="3"/>
  <c r="S217" i="3"/>
  <c r="S216" i="3"/>
  <c r="T215" i="3"/>
  <c r="S214" i="3"/>
  <c r="S213" i="3"/>
  <c r="S212" i="3"/>
  <c r="P210" i="3" s="1"/>
  <c r="S211" i="3"/>
  <c r="T210" i="3"/>
  <c r="S209" i="3"/>
  <c r="S208" i="3"/>
  <c r="S207" i="3"/>
  <c r="S206" i="3"/>
  <c r="T205" i="3"/>
  <c r="S204" i="3"/>
  <c r="S203" i="3"/>
  <c r="S202" i="3"/>
  <c r="S201" i="3"/>
  <c r="T200" i="3"/>
  <c r="S199" i="3"/>
  <c r="S198" i="3"/>
  <c r="S197" i="3"/>
  <c r="S196" i="3"/>
  <c r="T195" i="3"/>
  <c r="S194" i="3"/>
  <c r="S193" i="3"/>
  <c r="S192" i="3"/>
  <c r="S191" i="3"/>
  <c r="T190" i="3"/>
  <c r="S189" i="3"/>
  <c r="S188" i="3"/>
  <c r="S187" i="3"/>
  <c r="S186" i="3"/>
  <c r="T185" i="3"/>
  <c r="S184" i="3"/>
  <c r="S183" i="3"/>
  <c r="S182" i="3"/>
  <c r="S181" i="3"/>
  <c r="T180" i="3"/>
  <c r="S179" i="3"/>
  <c r="S178" i="3"/>
  <c r="S177" i="3"/>
  <c r="S176" i="3"/>
  <c r="P175" i="3" s="1"/>
  <c r="R175" i="3" s="1"/>
  <c r="T175" i="3"/>
  <c r="S174" i="3"/>
  <c r="S173" i="3"/>
  <c r="S172" i="3"/>
  <c r="P171" i="3" s="1"/>
  <c r="S171" i="3" s="1"/>
  <c r="U171" i="3" s="1"/>
  <c r="T171" i="3"/>
  <c r="S170" i="3"/>
  <c r="S169" i="3"/>
  <c r="S168" i="3"/>
  <c r="T167" i="3"/>
  <c r="S166" i="3"/>
  <c r="S165" i="3"/>
  <c r="S164" i="3"/>
  <c r="P162" i="3" s="1"/>
  <c r="S163" i="3"/>
  <c r="T162" i="3"/>
  <c r="S161" i="3"/>
  <c r="S160" i="3"/>
  <c r="S159" i="3"/>
  <c r="S158" i="3"/>
  <c r="T157" i="3"/>
  <c r="S156" i="3"/>
  <c r="S155" i="3"/>
  <c r="S154" i="3"/>
  <c r="S153" i="3"/>
  <c r="T152" i="3"/>
  <c r="S151" i="3"/>
  <c r="S150" i="3"/>
  <c r="S149" i="3"/>
  <c r="S148" i="3"/>
  <c r="T147" i="3"/>
  <c r="S146" i="3"/>
  <c r="S145" i="3"/>
  <c r="S144" i="3"/>
  <c r="S143" i="3"/>
  <c r="T142" i="3"/>
  <c r="S141" i="3"/>
  <c r="S140" i="3"/>
  <c r="S139" i="3"/>
  <c r="S138" i="3"/>
  <c r="T137" i="3"/>
  <c r="S136" i="3"/>
  <c r="S135" i="3"/>
  <c r="S134" i="3"/>
  <c r="S133" i="3"/>
  <c r="T132" i="3"/>
  <c r="S131" i="3"/>
  <c r="S130" i="3"/>
  <c r="S129" i="3"/>
  <c r="S128" i="3"/>
  <c r="T127" i="3"/>
  <c r="S126" i="3"/>
  <c r="P125" i="3" s="1"/>
  <c r="T125" i="3"/>
  <c r="S124" i="3"/>
  <c r="P123" i="3" s="1"/>
  <c r="T123" i="3"/>
  <c r="S122" i="3"/>
  <c r="T121" i="3"/>
  <c r="P121" i="3"/>
  <c r="S121" i="3" s="1"/>
  <c r="S120" i="3"/>
  <c r="P119" i="3" s="1"/>
  <c r="S119" i="3" s="1"/>
  <c r="T119" i="3"/>
  <c r="S118" i="3"/>
  <c r="S117" i="3"/>
  <c r="T116" i="3"/>
  <c r="P116" i="3"/>
  <c r="R116" i="3" s="1"/>
  <c r="S115" i="3"/>
  <c r="S114" i="3"/>
  <c r="P113" i="3" s="1"/>
  <c r="R113" i="3" s="1"/>
  <c r="T113" i="3"/>
  <c r="S112" i="3"/>
  <c r="P110" i="3" s="1"/>
  <c r="S111" i="3"/>
  <c r="T110" i="3"/>
  <c r="S110" i="3"/>
  <c r="R110" i="3"/>
  <c r="S109" i="3"/>
  <c r="S108" i="3"/>
  <c r="P107" i="3" s="1"/>
  <c r="T107" i="3"/>
  <c r="S106" i="3"/>
  <c r="S105" i="3"/>
  <c r="T104" i="3"/>
  <c r="S103" i="3"/>
  <c r="S102" i="3"/>
  <c r="T101" i="3"/>
  <c r="S100" i="3"/>
  <c r="S99" i="3"/>
  <c r="T98" i="3"/>
  <c r="S97" i="3"/>
  <c r="S96" i="3"/>
  <c r="P95" i="3" s="1"/>
  <c r="S95" i="3" s="1"/>
  <c r="T95" i="3"/>
  <c r="S94" i="3"/>
  <c r="S93" i="3"/>
  <c r="T92" i="3"/>
  <c r="S91" i="3"/>
  <c r="S90" i="3"/>
  <c r="P89" i="3" s="1"/>
  <c r="T89" i="3"/>
  <c r="S88" i="3"/>
  <c r="P86" i="3" s="1"/>
  <c r="S87" i="3"/>
  <c r="T86" i="3"/>
  <c r="S85" i="3"/>
  <c r="S84" i="3"/>
  <c r="T83" i="3"/>
  <c r="S82" i="3"/>
  <c r="S81" i="3"/>
  <c r="T80" i="3"/>
  <c r="S79" i="3"/>
  <c r="S78" i="3"/>
  <c r="S77" i="3"/>
  <c r="T76" i="3"/>
  <c r="S75" i="3"/>
  <c r="S74" i="3"/>
  <c r="S73" i="3"/>
  <c r="P72" i="3" s="1"/>
  <c r="T72" i="3"/>
  <c r="S71" i="3"/>
  <c r="S70" i="3"/>
  <c r="S69" i="3"/>
  <c r="T68" i="3"/>
  <c r="S67" i="3"/>
  <c r="S66" i="3"/>
  <c r="P64" i="3" s="1"/>
  <c r="S65" i="3"/>
  <c r="T64" i="3"/>
  <c r="S63" i="3"/>
  <c r="S62" i="3"/>
  <c r="S61" i="3"/>
  <c r="P60" i="3" s="1"/>
  <c r="T60" i="3"/>
  <c r="S54" i="3"/>
  <c r="S53" i="3"/>
  <c r="S52" i="3"/>
  <c r="S51" i="3"/>
  <c r="P50" i="3" s="1"/>
  <c r="T50" i="3"/>
  <c r="S49" i="3"/>
  <c r="S48" i="3"/>
  <c r="S47" i="3"/>
  <c r="S46" i="3"/>
  <c r="T45" i="3"/>
  <c r="S44" i="3"/>
  <c r="S43" i="3"/>
  <c r="S42" i="3"/>
  <c r="S41" i="3"/>
  <c r="T40" i="3"/>
  <c r="S39" i="3"/>
  <c r="S38" i="3"/>
  <c r="S37" i="3"/>
  <c r="S36" i="3"/>
  <c r="T35" i="3"/>
  <c r="S34" i="3"/>
  <c r="S33" i="3"/>
  <c r="S32" i="3"/>
  <c r="S31" i="3"/>
  <c r="T30" i="3"/>
  <c r="S29" i="3"/>
  <c r="S28" i="3"/>
  <c r="S27" i="3"/>
  <c r="S26" i="3"/>
  <c r="T25" i="3"/>
  <c r="S24" i="3"/>
  <c r="S23" i="3"/>
  <c r="S22" i="3"/>
  <c r="S21" i="3"/>
  <c r="P20" i="3" s="1"/>
  <c r="T20" i="3"/>
  <c r="S19" i="3"/>
  <c r="S18" i="3"/>
  <c r="S17" i="3"/>
  <c r="P15" i="3" s="1"/>
  <c r="S16" i="3"/>
  <c r="T15" i="3"/>
  <c r="T14" i="3" s="1"/>
  <c r="T13" i="3" s="1"/>
  <c r="T12" i="3" s="1"/>
  <c r="T11" i="3" s="1"/>
  <c r="T10" i="3" s="1"/>
  <c r="R273" i="3" l="1"/>
  <c r="S273" i="3"/>
  <c r="R269" i="3"/>
  <c r="S269" i="3"/>
  <c r="U269" i="3" s="1"/>
  <c r="S333" i="3"/>
  <c r="U333" i="3" s="1"/>
  <c r="R333" i="3"/>
  <c r="S357" i="3"/>
  <c r="U357" i="3" s="1"/>
  <c r="R357" i="3"/>
  <c r="S271" i="3"/>
  <c r="U271" i="3" s="1"/>
  <c r="R271" i="3"/>
  <c r="P225" i="3"/>
  <c r="S225" i="3" s="1"/>
  <c r="P167" i="3"/>
  <c r="P195" i="3"/>
  <c r="S195" i="3" s="1"/>
  <c r="U195" i="3" s="1"/>
  <c r="R119" i="3"/>
  <c r="P522" i="3"/>
  <c r="S522" i="3" s="1"/>
  <c r="P92" i="3"/>
  <c r="P137" i="3"/>
  <c r="P205" i="3"/>
  <c r="R205" i="3" s="1"/>
  <c r="P408" i="3"/>
  <c r="P456" i="3"/>
  <c r="R95" i="3"/>
  <c r="P80" i="3"/>
  <c r="P147" i="3"/>
  <c r="S147" i="3" s="1"/>
  <c r="P101" i="3"/>
  <c r="P30" i="3"/>
  <c r="S30" i="3" s="1"/>
  <c r="U562" i="3"/>
  <c r="U30" i="3"/>
  <c r="S80" i="3"/>
  <c r="R80" i="3"/>
  <c r="S64" i="3"/>
  <c r="R64" i="3"/>
  <c r="P342" i="3"/>
  <c r="S50" i="3"/>
  <c r="R50" i="3"/>
  <c r="P40" i="3"/>
  <c r="S116" i="3"/>
  <c r="P240" i="3"/>
  <c r="S72" i="3"/>
  <c r="S92" i="3"/>
  <c r="R92" i="3"/>
  <c r="R167" i="3"/>
  <c r="S167" i="3"/>
  <c r="S303" i="3"/>
  <c r="R303" i="3"/>
  <c r="P360" i="3"/>
  <c r="T268" i="3"/>
  <c r="P428" i="3"/>
  <c r="P45" i="3"/>
  <c r="U95" i="3"/>
  <c r="S107" i="3"/>
  <c r="R107" i="3"/>
  <c r="U273" i="3"/>
  <c r="R297" i="3"/>
  <c r="S297" i="3"/>
  <c r="R556" i="3"/>
  <c r="S556" i="3"/>
  <c r="R562" i="3"/>
  <c r="S210" i="3"/>
  <c r="R210" i="3"/>
  <c r="P312" i="3"/>
  <c r="S86" i="3"/>
  <c r="T433" i="3"/>
  <c r="R20" i="3"/>
  <c r="R125" i="3"/>
  <c r="R162" i="3"/>
  <c r="P330" i="3"/>
  <c r="U388" i="3"/>
  <c r="S285" i="3"/>
  <c r="R285" i="3"/>
  <c r="R15" i="3"/>
  <c r="P230" i="3"/>
  <c r="P132" i="3"/>
  <c r="S265" i="3"/>
  <c r="R265" i="3"/>
  <c r="P104" i="3"/>
  <c r="R195" i="3"/>
  <c r="S20" i="3"/>
  <c r="S60" i="3"/>
  <c r="R60" i="3"/>
  <c r="U121" i="3"/>
  <c r="S205" i="3"/>
  <c r="U119" i="3"/>
  <c r="P180" i="3"/>
  <c r="R72" i="3"/>
  <c r="P368" i="3"/>
  <c r="R86" i="3"/>
  <c r="U275" i="3"/>
  <c r="P339" i="3"/>
  <c r="R336" i="3"/>
  <c r="S336" i="3"/>
  <c r="P25" i="3"/>
  <c r="S123" i="3"/>
  <c r="S125" i="3"/>
  <c r="S162" i="3"/>
  <c r="P185" i="3"/>
  <c r="P76" i="3"/>
  <c r="R123" i="3"/>
  <c r="R245" i="3"/>
  <c r="P354" i="3"/>
  <c r="P490" i="3"/>
  <c r="P68" i="3"/>
  <c r="U110" i="3"/>
  <c r="P256" i="3"/>
  <c r="S175" i="3"/>
  <c r="S137" i="3"/>
  <c r="R137" i="3"/>
  <c r="R30" i="3"/>
  <c r="S89" i="3"/>
  <c r="R89" i="3"/>
  <c r="P220" i="3"/>
  <c r="P315" i="3"/>
  <c r="S363" i="3"/>
  <c r="R363" i="3"/>
  <c r="S408" i="3"/>
  <c r="R408" i="3"/>
  <c r="T496" i="3"/>
  <c r="P157" i="3"/>
  <c r="S423" i="3"/>
  <c r="R423" i="3"/>
  <c r="S15" i="3"/>
  <c r="P83" i="3"/>
  <c r="R121" i="3"/>
  <c r="S299" i="3"/>
  <c r="R299" i="3"/>
  <c r="R388" i="3"/>
  <c r="P283" i="3"/>
  <c r="S295" i="3"/>
  <c r="R295" i="3"/>
  <c r="P324" i="3"/>
  <c r="P373" i="3"/>
  <c r="S113" i="3"/>
  <c r="R456" i="3"/>
  <c r="S456" i="3"/>
  <c r="P484" i="3"/>
  <c r="P348" i="3"/>
  <c r="P152" i="3"/>
  <c r="R305" i="3"/>
  <c r="S305" i="3"/>
  <c r="P127" i="3"/>
  <c r="P250" i="3"/>
  <c r="S277" i="3"/>
  <c r="P345" i="3"/>
  <c r="R383" i="3"/>
  <c r="S258" i="3"/>
  <c r="R258" i="3"/>
  <c r="P327" i="3"/>
  <c r="P235" i="3"/>
  <c r="P35" i="3"/>
  <c r="P98" i="3"/>
  <c r="R171" i="3"/>
  <c r="R277" i="3"/>
  <c r="P378" i="3"/>
  <c r="S383" i="3"/>
  <c r="T59" i="3"/>
  <c r="T58" i="3" s="1"/>
  <c r="S293" i="3"/>
  <c r="R293" i="3"/>
  <c r="R309" i="3"/>
  <c r="P465" i="3"/>
  <c r="T261" i="3"/>
  <c r="P351" i="3"/>
  <c r="S321" i="3"/>
  <c r="R321" i="3"/>
  <c r="P190" i="3"/>
  <c r="R275" i="3"/>
  <c r="S309" i="3"/>
  <c r="P393" i="3"/>
  <c r="R501" i="3"/>
  <c r="S501" i="3"/>
  <c r="P512" i="3"/>
  <c r="P142" i="3"/>
  <c r="R281" i="3"/>
  <c r="S281" i="3"/>
  <c r="S301" i="3"/>
  <c r="R301" i="3"/>
  <c r="P418" i="3"/>
  <c r="P215" i="3"/>
  <c r="P262" i="3"/>
  <c r="S291" i="3"/>
  <c r="R291" i="3"/>
  <c r="P439" i="3"/>
  <c r="S472" i="3"/>
  <c r="R508" i="3"/>
  <c r="R554" i="3"/>
  <c r="S554" i="3"/>
  <c r="P200" i="3"/>
  <c r="S287" i="3"/>
  <c r="R287" i="3"/>
  <c r="P459" i="3"/>
  <c r="R472" i="3"/>
  <c r="P478" i="3"/>
  <c r="S508" i="3"/>
  <c r="P279" i="3"/>
  <c r="T468" i="3"/>
  <c r="P520" i="3"/>
  <c r="S550" i="3"/>
  <c r="S558" i="3"/>
  <c r="R558" i="3"/>
  <c r="R289" i="3"/>
  <c r="S289" i="3"/>
  <c r="P307" i="3"/>
  <c r="S413" i="3"/>
  <c r="P475" i="3"/>
  <c r="P493" i="3"/>
  <c r="P497" i="3"/>
  <c r="T455" i="3"/>
  <c r="R506" i="3"/>
  <c r="S506" i="3"/>
  <c r="P536" i="3"/>
  <c r="P318" i="3"/>
  <c r="P403" i="3"/>
  <c r="P434" i="3"/>
  <c r="P398" i="3"/>
  <c r="S462" i="3"/>
  <c r="R462" i="3"/>
  <c r="P487" i="3"/>
  <c r="U516" i="3"/>
  <c r="P469" i="3"/>
  <c r="R481" i="3"/>
  <c r="S510" i="3"/>
  <c r="S518" i="3"/>
  <c r="S564" i="3"/>
  <c r="R564" i="3"/>
  <c r="R518" i="3"/>
  <c r="P504" i="3"/>
  <c r="P552" i="3"/>
  <c r="P449" i="3"/>
  <c r="P444" i="3"/>
  <c r="P560" i="3"/>
  <c r="AA566" i="2"/>
  <c r="Z566" i="2"/>
  <c r="Y566" i="2"/>
  <c r="U566" i="2"/>
  <c r="T566" i="2"/>
  <c r="S566" i="2"/>
  <c r="O566" i="2"/>
  <c r="N566" i="2"/>
  <c r="M566" i="2"/>
  <c r="Y565" i="2"/>
  <c r="V565" i="2"/>
  <c r="S565" i="2"/>
  <c r="M565" i="2"/>
  <c r="AA564" i="2"/>
  <c r="Z564" i="2"/>
  <c r="Y564" i="2"/>
  <c r="X564" i="2"/>
  <c r="W564" i="2"/>
  <c r="V564" i="2"/>
  <c r="U564" i="2"/>
  <c r="T564" i="2"/>
  <c r="S564" i="2"/>
  <c r="R564" i="2"/>
  <c r="P564" i="2"/>
  <c r="O564" i="2"/>
  <c r="N564" i="2"/>
  <c r="M564" i="2"/>
  <c r="L564" i="2"/>
  <c r="J564" i="2"/>
  <c r="Y563" i="2"/>
  <c r="V563" i="2"/>
  <c r="S563" i="2"/>
  <c r="M563" i="2"/>
  <c r="AA562" i="2"/>
  <c r="Z562" i="2"/>
  <c r="Y562" i="2"/>
  <c r="X562" i="2"/>
  <c r="W562" i="2"/>
  <c r="V562" i="2"/>
  <c r="U562" i="2"/>
  <c r="T562" i="2"/>
  <c r="S562" i="2"/>
  <c r="R562" i="2"/>
  <c r="P562" i="2"/>
  <c r="O562" i="2"/>
  <c r="N562" i="2"/>
  <c r="M562" i="2"/>
  <c r="L562" i="2"/>
  <c r="J562" i="2"/>
  <c r="Y561" i="2"/>
  <c r="V561" i="2"/>
  <c r="S561" i="2"/>
  <c r="M561" i="2"/>
  <c r="AA560" i="2"/>
  <c r="Z560" i="2"/>
  <c r="Y560" i="2"/>
  <c r="X560" i="2"/>
  <c r="W560" i="2"/>
  <c r="V560" i="2"/>
  <c r="U560" i="2"/>
  <c r="T560" i="2"/>
  <c r="S560" i="2"/>
  <c r="R560" i="2"/>
  <c r="P560" i="2"/>
  <c r="O560" i="2"/>
  <c r="N560" i="2"/>
  <c r="M560" i="2"/>
  <c r="L560" i="2"/>
  <c r="J560" i="2"/>
  <c r="Y559" i="2"/>
  <c r="V559" i="2"/>
  <c r="S559" i="2"/>
  <c r="M559" i="2"/>
  <c r="AA558" i="2"/>
  <c r="Z558" i="2"/>
  <c r="Y558" i="2"/>
  <c r="X558" i="2"/>
  <c r="W558" i="2"/>
  <c r="V558" i="2"/>
  <c r="U558" i="2"/>
  <c r="T558" i="2"/>
  <c r="S558" i="2"/>
  <c r="R558" i="2"/>
  <c r="P558" i="2"/>
  <c r="O558" i="2"/>
  <c r="N558" i="2"/>
  <c r="M558" i="2"/>
  <c r="L558" i="2"/>
  <c r="J558" i="2"/>
  <c r="Y557" i="2"/>
  <c r="V557" i="2"/>
  <c r="S557" i="2"/>
  <c r="M557" i="2"/>
  <c r="AA556" i="2"/>
  <c r="Z556" i="2"/>
  <c r="Y556" i="2"/>
  <c r="X556" i="2"/>
  <c r="W556" i="2"/>
  <c r="V556" i="2"/>
  <c r="U556" i="2"/>
  <c r="T556" i="2"/>
  <c r="S556" i="2"/>
  <c r="R556" i="2"/>
  <c r="P556" i="2"/>
  <c r="O556" i="2"/>
  <c r="N556" i="2"/>
  <c r="M556" i="2"/>
  <c r="L556" i="2"/>
  <c r="J556" i="2"/>
  <c r="Y555" i="2"/>
  <c r="V555" i="2"/>
  <c r="S555" i="2"/>
  <c r="M555" i="2"/>
  <c r="AA554" i="2"/>
  <c r="Z554" i="2"/>
  <c r="Y554" i="2"/>
  <c r="X554" i="2"/>
  <c r="W554" i="2"/>
  <c r="V554" i="2"/>
  <c r="U554" i="2"/>
  <c r="T554" i="2"/>
  <c r="S554" i="2"/>
  <c r="R554" i="2"/>
  <c r="P554" i="2"/>
  <c r="O554" i="2"/>
  <c r="N554" i="2"/>
  <c r="M554" i="2"/>
  <c r="L554" i="2"/>
  <c r="J554" i="2"/>
  <c r="Y553" i="2"/>
  <c r="V553" i="2"/>
  <c r="S553" i="2"/>
  <c r="M553" i="2"/>
  <c r="AA552" i="2"/>
  <c r="Z552" i="2"/>
  <c r="Y552" i="2"/>
  <c r="X552" i="2"/>
  <c r="W552" i="2"/>
  <c r="V552" i="2"/>
  <c r="U552" i="2"/>
  <c r="T552" i="2"/>
  <c r="S552" i="2"/>
  <c r="R552" i="2"/>
  <c r="P552" i="2"/>
  <c r="O552" i="2"/>
  <c r="N552" i="2"/>
  <c r="M552" i="2"/>
  <c r="L552" i="2"/>
  <c r="J552" i="2"/>
  <c r="Y551" i="2"/>
  <c r="V551" i="2"/>
  <c r="S551" i="2"/>
  <c r="M551" i="2"/>
  <c r="AA550" i="2"/>
  <c r="Z550" i="2"/>
  <c r="Y550" i="2"/>
  <c r="X550" i="2"/>
  <c r="W550" i="2"/>
  <c r="V550" i="2"/>
  <c r="U550" i="2"/>
  <c r="T550" i="2"/>
  <c r="S550" i="2"/>
  <c r="R550" i="2"/>
  <c r="P550" i="2"/>
  <c r="O550" i="2"/>
  <c r="N550" i="2"/>
  <c r="M550" i="2"/>
  <c r="L550" i="2"/>
  <c r="J550" i="2"/>
  <c r="Y549" i="2"/>
  <c r="V549" i="2"/>
  <c r="S549" i="2"/>
  <c r="M549" i="2"/>
  <c r="Y548" i="2"/>
  <c r="V548" i="2"/>
  <c r="S548" i="2"/>
  <c r="M548" i="2"/>
  <c r="Y547" i="2"/>
  <c r="V547" i="2"/>
  <c r="S547" i="2"/>
  <c r="M547" i="2"/>
  <c r="Y546" i="2"/>
  <c r="V546" i="2"/>
  <c r="S546" i="2"/>
  <c r="M546" i="2"/>
  <c r="Y545" i="2"/>
  <c r="V545" i="2"/>
  <c r="S545" i="2"/>
  <c r="M545" i="2"/>
  <c r="Y544" i="2"/>
  <c r="V544" i="2"/>
  <c r="S544" i="2"/>
  <c r="M544" i="2"/>
  <c r="Y543" i="2"/>
  <c r="V543" i="2"/>
  <c r="S543" i="2"/>
  <c r="M543" i="2"/>
  <c r="Y542" i="2"/>
  <c r="V542" i="2"/>
  <c r="S542" i="2"/>
  <c r="M542" i="2"/>
  <c r="Y541" i="2"/>
  <c r="V541" i="2"/>
  <c r="S541" i="2"/>
  <c r="M541" i="2"/>
  <c r="Y540" i="2"/>
  <c r="V540" i="2"/>
  <c r="S540" i="2"/>
  <c r="M540" i="2"/>
  <c r="Y539" i="2"/>
  <c r="V539" i="2"/>
  <c r="S539" i="2"/>
  <c r="M539" i="2"/>
  <c r="Y538" i="2"/>
  <c r="V538" i="2"/>
  <c r="S538" i="2"/>
  <c r="M538" i="2"/>
  <c r="Y537" i="2"/>
  <c r="V537" i="2"/>
  <c r="S537" i="2"/>
  <c r="M537" i="2"/>
  <c r="AA536" i="2"/>
  <c r="Z536" i="2"/>
  <c r="Y536" i="2"/>
  <c r="X536" i="2"/>
  <c r="W536" i="2"/>
  <c r="V536" i="2"/>
  <c r="U536" i="2"/>
  <c r="T536" i="2"/>
  <c r="S536" i="2"/>
  <c r="R536" i="2"/>
  <c r="P536" i="2"/>
  <c r="O536" i="2"/>
  <c r="N536" i="2"/>
  <c r="M536" i="2"/>
  <c r="L536" i="2"/>
  <c r="J536" i="2"/>
  <c r="Y535" i="2"/>
  <c r="V535" i="2"/>
  <c r="S535" i="2"/>
  <c r="M535" i="2"/>
  <c r="Y534" i="2"/>
  <c r="V534" i="2"/>
  <c r="S534" i="2"/>
  <c r="M534" i="2"/>
  <c r="Y533" i="2"/>
  <c r="V533" i="2"/>
  <c r="S533" i="2"/>
  <c r="M533" i="2"/>
  <c r="Y532" i="2"/>
  <c r="V532" i="2"/>
  <c r="S532" i="2"/>
  <c r="M532" i="2"/>
  <c r="Y531" i="2"/>
  <c r="V531" i="2"/>
  <c r="S531" i="2"/>
  <c r="M531" i="2"/>
  <c r="Y530" i="2"/>
  <c r="V530" i="2"/>
  <c r="S530" i="2"/>
  <c r="M530" i="2"/>
  <c r="Y529" i="2"/>
  <c r="V529" i="2"/>
  <c r="S529" i="2"/>
  <c r="M529" i="2"/>
  <c r="Y528" i="2"/>
  <c r="V528" i="2"/>
  <c r="S528" i="2"/>
  <c r="M528" i="2"/>
  <c r="Y527" i="2"/>
  <c r="V527" i="2"/>
  <c r="S527" i="2"/>
  <c r="M527" i="2"/>
  <c r="Y526" i="2"/>
  <c r="V526" i="2"/>
  <c r="S526" i="2"/>
  <c r="M526" i="2"/>
  <c r="Y525" i="2"/>
  <c r="V525" i="2"/>
  <c r="S525" i="2"/>
  <c r="M525" i="2"/>
  <c r="Y524" i="2"/>
  <c r="V524" i="2"/>
  <c r="S524" i="2"/>
  <c r="M524" i="2"/>
  <c r="Y523" i="2"/>
  <c r="V523" i="2"/>
  <c r="S523" i="2"/>
  <c r="M523" i="2"/>
  <c r="AA522" i="2"/>
  <c r="Z522" i="2"/>
  <c r="Y522" i="2"/>
  <c r="X522" i="2"/>
  <c r="W522" i="2"/>
  <c r="V522" i="2"/>
  <c r="U522" i="2"/>
  <c r="T522" i="2"/>
  <c r="S522" i="2"/>
  <c r="R522" i="2"/>
  <c r="P522" i="2"/>
  <c r="O522" i="2"/>
  <c r="N522" i="2"/>
  <c r="M522" i="2"/>
  <c r="L522" i="2"/>
  <c r="J522" i="2"/>
  <c r="Y521" i="2"/>
  <c r="V521" i="2"/>
  <c r="S521" i="2"/>
  <c r="M521" i="2"/>
  <c r="AA520" i="2"/>
  <c r="Z520" i="2"/>
  <c r="Y520" i="2"/>
  <c r="X520" i="2"/>
  <c r="W520" i="2"/>
  <c r="V520" i="2"/>
  <c r="U520" i="2"/>
  <c r="T520" i="2"/>
  <c r="S520" i="2"/>
  <c r="R520" i="2"/>
  <c r="P520" i="2"/>
  <c r="O520" i="2"/>
  <c r="N520" i="2"/>
  <c r="M520" i="2"/>
  <c r="L520" i="2"/>
  <c r="J520" i="2"/>
  <c r="Y519" i="2"/>
  <c r="V519" i="2"/>
  <c r="S519" i="2"/>
  <c r="M519" i="2"/>
  <c r="AA518" i="2"/>
  <c r="Z518" i="2"/>
  <c r="Y518" i="2"/>
  <c r="X518" i="2"/>
  <c r="W518" i="2"/>
  <c r="V518" i="2"/>
  <c r="U518" i="2"/>
  <c r="T518" i="2"/>
  <c r="S518" i="2"/>
  <c r="R518" i="2"/>
  <c r="P518" i="2"/>
  <c r="O518" i="2"/>
  <c r="N518" i="2"/>
  <c r="M518" i="2"/>
  <c r="L518" i="2"/>
  <c r="J518" i="2"/>
  <c r="AA517" i="2"/>
  <c r="Z517" i="2"/>
  <c r="X517" i="2"/>
  <c r="W517" i="2"/>
  <c r="U517" i="2"/>
  <c r="T517" i="2"/>
  <c r="R517" i="2"/>
  <c r="O517" i="2"/>
  <c r="N517" i="2"/>
  <c r="L517" i="2"/>
  <c r="AA516" i="2"/>
  <c r="Z516" i="2"/>
  <c r="X516" i="2"/>
  <c r="W516" i="2"/>
  <c r="U516" i="2"/>
  <c r="T516" i="2"/>
  <c r="R516" i="2"/>
  <c r="O516" i="2"/>
  <c r="N516" i="2"/>
  <c r="L516" i="2"/>
  <c r="Y515" i="2"/>
  <c r="V515" i="2"/>
  <c r="S515" i="2"/>
  <c r="M515" i="2"/>
  <c r="AA514" i="2"/>
  <c r="Z514" i="2"/>
  <c r="Y514" i="2"/>
  <c r="X514" i="2"/>
  <c r="W514" i="2"/>
  <c r="V514" i="2"/>
  <c r="U514" i="2"/>
  <c r="T514" i="2"/>
  <c r="S514" i="2"/>
  <c r="R514" i="2"/>
  <c r="P514" i="2"/>
  <c r="O514" i="2"/>
  <c r="N514" i="2"/>
  <c r="M514" i="2"/>
  <c r="L514" i="2"/>
  <c r="J514" i="2"/>
  <c r="Y513" i="2"/>
  <c r="V513" i="2"/>
  <c r="S513" i="2"/>
  <c r="M513" i="2"/>
  <c r="AA512" i="2"/>
  <c r="Z512" i="2"/>
  <c r="Y512" i="2"/>
  <c r="X512" i="2"/>
  <c r="W512" i="2"/>
  <c r="V512" i="2"/>
  <c r="U512" i="2"/>
  <c r="T512" i="2"/>
  <c r="S512" i="2"/>
  <c r="R512" i="2"/>
  <c r="P512" i="2"/>
  <c r="O512" i="2"/>
  <c r="N512" i="2"/>
  <c r="M512" i="2"/>
  <c r="L512" i="2"/>
  <c r="J512" i="2"/>
  <c r="Y511" i="2"/>
  <c r="V511" i="2"/>
  <c r="S511" i="2"/>
  <c r="M511" i="2"/>
  <c r="AA510" i="2"/>
  <c r="Z510" i="2"/>
  <c r="Y510" i="2"/>
  <c r="X510" i="2"/>
  <c r="W510" i="2"/>
  <c r="V510" i="2"/>
  <c r="U510" i="2"/>
  <c r="T510" i="2"/>
  <c r="S510" i="2"/>
  <c r="R510" i="2"/>
  <c r="P510" i="2"/>
  <c r="O510" i="2"/>
  <c r="N510" i="2"/>
  <c r="M510" i="2"/>
  <c r="L510" i="2"/>
  <c r="J510" i="2"/>
  <c r="Y509" i="2"/>
  <c r="V509" i="2"/>
  <c r="S509" i="2"/>
  <c r="M509" i="2"/>
  <c r="AA508" i="2"/>
  <c r="Z508" i="2"/>
  <c r="Y508" i="2"/>
  <c r="X508" i="2"/>
  <c r="W508" i="2"/>
  <c r="V508" i="2"/>
  <c r="U508" i="2"/>
  <c r="T508" i="2"/>
  <c r="S508" i="2"/>
  <c r="R508" i="2"/>
  <c r="P508" i="2"/>
  <c r="O508" i="2"/>
  <c r="N508" i="2"/>
  <c r="M508" i="2"/>
  <c r="L508" i="2"/>
  <c r="J508" i="2"/>
  <c r="Y507" i="2"/>
  <c r="V507" i="2"/>
  <c r="S507" i="2"/>
  <c r="M507" i="2"/>
  <c r="AA506" i="2"/>
  <c r="Z506" i="2"/>
  <c r="Y506" i="2"/>
  <c r="X506" i="2"/>
  <c r="W506" i="2"/>
  <c r="V506" i="2"/>
  <c r="U506" i="2"/>
  <c r="T506" i="2"/>
  <c r="S506" i="2"/>
  <c r="R506" i="2"/>
  <c r="P506" i="2"/>
  <c r="O506" i="2"/>
  <c r="N506" i="2"/>
  <c r="M506" i="2"/>
  <c r="L506" i="2"/>
  <c r="J506" i="2"/>
  <c r="Y505" i="2"/>
  <c r="V505" i="2"/>
  <c r="S505" i="2"/>
  <c r="M505" i="2"/>
  <c r="AA504" i="2"/>
  <c r="Z504" i="2"/>
  <c r="Y504" i="2"/>
  <c r="X504" i="2"/>
  <c r="W504" i="2"/>
  <c r="V504" i="2"/>
  <c r="U504" i="2"/>
  <c r="T504" i="2"/>
  <c r="S504" i="2"/>
  <c r="R504" i="2"/>
  <c r="P504" i="2"/>
  <c r="O504" i="2"/>
  <c r="N504" i="2"/>
  <c r="M504" i="2"/>
  <c r="L504" i="2"/>
  <c r="J504" i="2"/>
  <c r="Y503" i="2"/>
  <c r="V503" i="2"/>
  <c r="S503" i="2"/>
  <c r="M503" i="2"/>
  <c r="Y502" i="2"/>
  <c r="V502" i="2"/>
  <c r="S502" i="2"/>
  <c r="M502" i="2"/>
  <c r="AA501" i="2"/>
  <c r="Z501" i="2"/>
  <c r="Y501" i="2"/>
  <c r="X501" i="2"/>
  <c r="W501" i="2"/>
  <c r="V501" i="2"/>
  <c r="U501" i="2"/>
  <c r="T501" i="2"/>
  <c r="S501" i="2"/>
  <c r="R501" i="2"/>
  <c r="P501" i="2"/>
  <c r="O501" i="2"/>
  <c r="N501" i="2"/>
  <c r="M501" i="2"/>
  <c r="L501" i="2"/>
  <c r="J501" i="2"/>
  <c r="Y500" i="2"/>
  <c r="V500" i="2"/>
  <c r="S500" i="2"/>
  <c r="M500" i="2"/>
  <c r="Y499" i="2"/>
  <c r="V499" i="2"/>
  <c r="S499" i="2"/>
  <c r="M499" i="2"/>
  <c r="Y498" i="2"/>
  <c r="V498" i="2"/>
  <c r="S498" i="2"/>
  <c r="M498" i="2"/>
  <c r="AA497" i="2"/>
  <c r="Z497" i="2"/>
  <c r="Y497" i="2"/>
  <c r="X497" i="2"/>
  <c r="W497" i="2"/>
  <c r="V497" i="2"/>
  <c r="U497" i="2"/>
  <c r="T497" i="2"/>
  <c r="S497" i="2"/>
  <c r="R497" i="2"/>
  <c r="P497" i="2"/>
  <c r="O497" i="2"/>
  <c r="N497" i="2"/>
  <c r="M497" i="2"/>
  <c r="L497" i="2"/>
  <c r="J497" i="2"/>
  <c r="AA496" i="2"/>
  <c r="Z496" i="2"/>
  <c r="Y496" i="2"/>
  <c r="U496" i="2"/>
  <c r="T496" i="2"/>
  <c r="S496" i="2"/>
  <c r="O496" i="2"/>
  <c r="N496" i="2"/>
  <c r="M496" i="2"/>
  <c r="Y495" i="2"/>
  <c r="V495" i="2"/>
  <c r="S495" i="2"/>
  <c r="M495" i="2"/>
  <c r="Y494" i="2"/>
  <c r="V494" i="2"/>
  <c r="S494" i="2"/>
  <c r="M494" i="2"/>
  <c r="AA493" i="2"/>
  <c r="Z493" i="2"/>
  <c r="Y493" i="2"/>
  <c r="X493" i="2"/>
  <c r="W493" i="2"/>
  <c r="V493" i="2"/>
  <c r="U493" i="2"/>
  <c r="T493" i="2"/>
  <c r="S493" i="2"/>
  <c r="R493" i="2"/>
  <c r="P493" i="2"/>
  <c r="O493" i="2"/>
  <c r="N493" i="2"/>
  <c r="M493" i="2"/>
  <c r="L493" i="2"/>
  <c r="J493" i="2"/>
  <c r="Y492" i="2"/>
  <c r="V492" i="2"/>
  <c r="S492" i="2"/>
  <c r="M492" i="2"/>
  <c r="Y491" i="2"/>
  <c r="V491" i="2"/>
  <c r="S491" i="2"/>
  <c r="M491" i="2"/>
  <c r="AA490" i="2"/>
  <c r="Z490" i="2"/>
  <c r="Y490" i="2"/>
  <c r="X490" i="2"/>
  <c r="W490" i="2"/>
  <c r="V490" i="2"/>
  <c r="U490" i="2"/>
  <c r="T490" i="2"/>
  <c r="S490" i="2"/>
  <c r="R490" i="2"/>
  <c r="P490" i="2"/>
  <c r="O490" i="2"/>
  <c r="N490" i="2"/>
  <c r="M490" i="2"/>
  <c r="L490" i="2"/>
  <c r="J490" i="2"/>
  <c r="Y489" i="2"/>
  <c r="V489" i="2"/>
  <c r="S489" i="2"/>
  <c r="M489" i="2"/>
  <c r="Y488" i="2"/>
  <c r="V488" i="2"/>
  <c r="S488" i="2"/>
  <c r="M488" i="2"/>
  <c r="AA487" i="2"/>
  <c r="Z487" i="2"/>
  <c r="Y487" i="2"/>
  <c r="X487" i="2"/>
  <c r="W487" i="2"/>
  <c r="V487" i="2"/>
  <c r="U487" i="2"/>
  <c r="T487" i="2"/>
  <c r="S487" i="2"/>
  <c r="R487" i="2"/>
  <c r="P487" i="2"/>
  <c r="O487" i="2"/>
  <c r="N487" i="2"/>
  <c r="M487" i="2"/>
  <c r="L487" i="2"/>
  <c r="J487" i="2"/>
  <c r="Y486" i="2"/>
  <c r="V486" i="2"/>
  <c r="S486" i="2"/>
  <c r="M486" i="2"/>
  <c r="Y485" i="2"/>
  <c r="V485" i="2"/>
  <c r="S485" i="2"/>
  <c r="M485" i="2"/>
  <c r="AA484" i="2"/>
  <c r="Z484" i="2"/>
  <c r="Y484" i="2"/>
  <c r="X484" i="2"/>
  <c r="W484" i="2"/>
  <c r="V484" i="2"/>
  <c r="U484" i="2"/>
  <c r="T484" i="2"/>
  <c r="S484" i="2"/>
  <c r="R484" i="2"/>
  <c r="P484" i="2"/>
  <c r="O484" i="2"/>
  <c r="N484" i="2"/>
  <c r="M484" i="2"/>
  <c r="L484" i="2"/>
  <c r="J484" i="2"/>
  <c r="Y483" i="2"/>
  <c r="V483" i="2"/>
  <c r="S483" i="2"/>
  <c r="M483" i="2"/>
  <c r="Y482" i="2"/>
  <c r="V482" i="2"/>
  <c r="S482" i="2"/>
  <c r="M482" i="2"/>
  <c r="AA481" i="2"/>
  <c r="Z481" i="2"/>
  <c r="Y481" i="2"/>
  <c r="X481" i="2"/>
  <c r="W481" i="2"/>
  <c r="V481" i="2"/>
  <c r="U481" i="2"/>
  <c r="T481" i="2"/>
  <c r="S481" i="2"/>
  <c r="R481" i="2"/>
  <c r="P481" i="2"/>
  <c r="O481" i="2"/>
  <c r="N481" i="2"/>
  <c r="M481" i="2"/>
  <c r="L481" i="2"/>
  <c r="J481" i="2"/>
  <c r="Y480" i="2"/>
  <c r="V480" i="2"/>
  <c r="S480" i="2"/>
  <c r="M480" i="2"/>
  <c r="Y479" i="2"/>
  <c r="V479" i="2"/>
  <c r="S479" i="2"/>
  <c r="M479" i="2"/>
  <c r="AA478" i="2"/>
  <c r="Z478" i="2"/>
  <c r="Y478" i="2"/>
  <c r="X478" i="2"/>
  <c r="W478" i="2"/>
  <c r="V478" i="2"/>
  <c r="U478" i="2"/>
  <c r="T478" i="2"/>
  <c r="S478" i="2"/>
  <c r="R478" i="2"/>
  <c r="P478" i="2"/>
  <c r="O478" i="2"/>
  <c r="N478" i="2"/>
  <c r="M478" i="2"/>
  <c r="L478" i="2"/>
  <c r="J478" i="2"/>
  <c r="Y477" i="2"/>
  <c r="V477" i="2"/>
  <c r="S477" i="2"/>
  <c r="M477" i="2"/>
  <c r="Y476" i="2"/>
  <c r="V476" i="2"/>
  <c r="S476" i="2"/>
  <c r="M476" i="2"/>
  <c r="AA475" i="2"/>
  <c r="Z475" i="2"/>
  <c r="Y475" i="2"/>
  <c r="X475" i="2"/>
  <c r="W475" i="2"/>
  <c r="V475" i="2"/>
  <c r="U475" i="2"/>
  <c r="T475" i="2"/>
  <c r="S475" i="2"/>
  <c r="R475" i="2"/>
  <c r="P475" i="2"/>
  <c r="O475" i="2"/>
  <c r="N475" i="2"/>
  <c r="M475" i="2"/>
  <c r="L475" i="2"/>
  <c r="J475" i="2"/>
  <c r="Y474" i="2"/>
  <c r="V474" i="2"/>
  <c r="S474" i="2"/>
  <c r="M474" i="2"/>
  <c r="Y473" i="2"/>
  <c r="V473" i="2"/>
  <c r="S473" i="2"/>
  <c r="M473" i="2"/>
  <c r="AA472" i="2"/>
  <c r="Z472" i="2"/>
  <c r="Y472" i="2"/>
  <c r="X472" i="2"/>
  <c r="W472" i="2"/>
  <c r="V472" i="2"/>
  <c r="U472" i="2"/>
  <c r="T472" i="2"/>
  <c r="S472" i="2"/>
  <c r="R472" i="2"/>
  <c r="P472" i="2"/>
  <c r="O472" i="2"/>
  <c r="N472" i="2"/>
  <c r="M472" i="2"/>
  <c r="L472" i="2"/>
  <c r="J472" i="2"/>
  <c r="Y471" i="2"/>
  <c r="V471" i="2"/>
  <c r="S471" i="2"/>
  <c r="M471" i="2"/>
  <c r="Y470" i="2"/>
  <c r="V470" i="2"/>
  <c r="S470" i="2"/>
  <c r="M470" i="2"/>
  <c r="AA469" i="2"/>
  <c r="Z469" i="2"/>
  <c r="Y469" i="2"/>
  <c r="X469" i="2"/>
  <c r="W469" i="2"/>
  <c r="V469" i="2"/>
  <c r="U469" i="2"/>
  <c r="T469" i="2"/>
  <c r="S469" i="2"/>
  <c r="R469" i="2"/>
  <c r="P469" i="2"/>
  <c r="O469" i="2"/>
  <c r="N469" i="2"/>
  <c r="M469" i="2"/>
  <c r="L469" i="2"/>
  <c r="J469" i="2"/>
  <c r="AA468" i="2"/>
  <c r="Z468" i="2"/>
  <c r="Y468" i="2"/>
  <c r="U468" i="2"/>
  <c r="T468" i="2"/>
  <c r="S468" i="2"/>
  <c r="O468" i="2"/>
  <c r="N468" i="2"/>
  <c r="M468" i="2"/>
  <c r="Y467" i="2"/>
  <c r="V467" i="2"/>
  <c r="S467" i="2"/>
  <c r="M467" i="2"/>
  <c r="Y466" i="2"/>
  <c r="V466" i="2"/>
  <c r="S466" i="2"/>
  <c r="M466" i="2"/>
  <c r="AA465" i="2"/>
  <c r="Z465" i="2"/>
  <c r="Y465" i="2"/>
  <c r="X465" i="2"/>
  <c r="W465" i="2"/>
  <c r="V465" i="2"/>
  <c r="U465" i="2"/>
  <c r="T465" i="2"/>
  <c r="S465" i="2"/>
  <c r="R465" i="2"/>
  <c r="P465" i="2"/>
  <c r="O465" i="2"/>
  <c r="N465" i="2"/>
  <c r="M465" i="2"/>
  <c r="L465" i="2"/>
  <c r="J465" i="2"/>
  <c r="Y464" i="2"/>
  <c r="V464" i="2"/>
  <c r="S464" i="2"/>
  <c r="M464" i="2"/>
  <c r="Y463" i="2"/>
  <c r="V463" i="2"/>
  <c r="S463" i="2"/>
  <c r="M463" i="2"/>
  <c r="AA462" i="2"/>
  <c r="Z462" i="2"/>
  <c r="Y462" i="2"/>
  <c r="X462" i="2"/>
  <c r="W462" i="2"/>
  <c r="V462" i="2"/>
  <c r="U462" i="2"/>
  <c r="T462" i="2"/>
  <c r="S462" i="2"/>
  <c r="R462" i="2"/>
  <c r="P462" i="2"/>
  <c r="O462" i="2"/>
  <c r="N462" i="2"/>
  <c r="M462" i="2"/>
  <c r="L462" i="2"/>
  <c r="J462" i="2"/>
  <c r="Y461" i="2"/>
  <c r="V461" i="2"/>
  <c r="S461" i="2"/>
  <c r="M461" i="2"/>
  <c r="Y460" i="2"/>
  <c r="V460" i="2"/>
  <c r="S460" i="2"/>
  <c r="M460" i="2"/>
  <c r="AA459" i="2"/>
  <c r="Z459" i="2"/>
  <c r="Y459" i="2"/>
  <c r="X459" i="2"/>
  <c r="W459" i="2"/>
  <c r="V459" i="2"/>
  <c r="U459" i="2"/>
  <c r="T459" i="2"/>
  <c r="S459" i="2"/>
  <c r="R459" i="2"/>
  <c r="P459" i="2"/>
  <c r="O459" i="2"/>
  <c r="N459" i="2"/>
  <c r="M459" i="2"/>
  <c r="L459" i="2"/>
  <c r="J459" i="2"/>
  <c r="Y458" i="2"/>
  <c r="V458" i="2"/>
  <c r="S458" i="2"/>
  <c r="M458" i="2"/>
  <c r="Y457" i="2"/>
  <c r="V457" i="2"/>
  <c r="S457" i="2"/>
  <c r="M457" i="2"/>
  <c r="AA456" i="2"/>
  <c r="Z456" i="2"/>
  <c r="Y456" i="2"/>
  <c r="X456" i="2"/>
  <c r="W456" i="2"/>
  <c r="V456" i="2"/>
  <c r="U456" i="2"/>
  <c r="T456" i="2"/>
  <c r="S456" i="2"/>
  <c r="R456" i="2"/>
  <c r="P456" i="2"/>
  <c r="O456" i="2"/>
  <c r="N456" i="2"/>
  <c r="M456" i="2"/>
  <c r="L456" i="2"/>
  <c r="J456" i="2"/>
  <c r="AA455" i="2"/>
  <c r="Z455" i="2"/>
  <c r="Y455" i="2"/>
  <c r="U455" i="2"/>
  <c r="T455" i="2"/>
  <c r="S455" i="2"/>
  <c r="O455" i="2"/>
  <c r="N455" i="2"/>
  <c r="M455" i="2"/>
  <c r="AA454" i="2"/>
  <c r="Z454" i="2"/>
  <c r="Y454" i="2"/>
  <c r="U454" i="2"/>
  <c r="T454" i="2"/>
  <c r="S454" i="2"/>
  <c r="O454" i="2"/>
  <c r="N454" i="2"/>
  <c r="M454" i="2"/>
  <c r="Y453" i="2"/>
  <c r="V453" i="2"/>
  <c r="S453" i="2"/>
  <c r="M453" i="2"/>
  <c r="Y452" i="2"/>
  <c r="V452" i="2"/>
  <c r="S452" i="2"/>
  <c r="M452" i="2"/>
  <c r="Y451" i="2"/>
  <c r="V451" i="2"/>
  <c r="S451" i="2"/>
  <c r="M451" i="2"/>
  <c r="Y450" i="2"/>
  <c r="V450" i="2"/>
  <c r="S450" i="2"/>
  <c r="M450" i="2"/>
  <c r="AA449" i="2"/>
  <c r="Z449" i="2"/>
  <c r="Y449" i="2"/>
  <c r="X449" i="2"/>
  <c r="W449" i="2"/>
  <c r="V449" i="2"/>
  <c r="U449" i="2"/>
  <c r="T449" i="2"/>
  <c r="S449" i="2"/>
  <c r="R449" i="2"/>
  <c r="P449" i="2"/>
  <c r="O449" i="2"/>
  <c r="N449" i="2"/>
  <c r="M449" i="2"/>
  <c r="L449" i="2"/>
  <c r="J449" i="2"/>
  <c r="Y448" i="2"/>
  <c r="V448" i="2"/>
  <c r="S448" i="2"/>
  <c r="M448" i="2"/>
  <c r="Y447" i="2"/>
  <c r="V447" i="2"/>
  <c r="S447" i="2"/>
  <c r="M447" i="2"/>
  <c r="Y446" i="2"/>
  <c r="V446" i="2"/>
  <c r="S446" i="2"/>
  <c r="M446" i="2"/>
  <c r="Y445" i="2"/>
  <c r="V445" i="2"/>
  <c r="S445" i="2"/>
  <c r="M445" i="2"/>
  <c r="AA444" i="2"/>
  <c r="Z444" i="2"/>
  <c r="Y444" i="2"/>
  <c r="X444" i="2"/>
  <c r="W444" i="2"/>
  <c r="V444" i="2"/>
  <c r="U444" i="2"/>
  <c r="T444" i="2"/>
  <c r="S444" i="2"/>
  <c r="R444" i="2"/>
  <c r="P444" i="2"/>
  <c r="O444" i="2"/>
  <c r="N444" i="2"/>
  <c r="M444" i="2"/>
  <c r="L444" i="2"/>
  <c r="J444" i="2"/>
  <c r="Y443" i="2"/>
  <c r="V443" i="2"/>
  <c r="S443" i="2"/>
  <c r="M443" i="2"/>
  <c r="Y442" i="2"/>
  <c r="V442" i="2"/>
  <c r="S442" i="2"/>
  <c r="M442" i="2"/>
  <c r="Y441" i="2"/>
  <c r="V441" i="2"/>
  <c r="S441" i="2"/>
  <c r="M441" i="2"/>
  <c r="Y440" i="2"/>
  <c r="V440" i="2"/>
  <c r="S440" i="2"/>
  <c r="M440" i="2"/>
  <c r="AA439" i="2"/>
  <c r="Z439" i="2"/>
  <c r="Y439" i="2"/>
  <c r="X439" i="2"/>
  <c r="W439" i="2"/>
  <c r="V439" i="2"/>
  <c r="U439" i="2"/>
  <c r="T439" i="2"/>
  <c r="S439" i="2"/>
  <c r="R439" i="2"/>
  <c r="P439" i="2"/>
  <c r="O439" i="2"/>
  <c r="N439" i="2"/>
  <c r="M439" i="2"/>
  <c r="L439" i="2"/>
  <c r="J439" i="2"/>
  <c r="Y438" i="2"/>
  <c r="V438" i="2"/>
  <c r="S438" i="2"/>
  <c r="M438" i="2"/>
  <c r="Y437" i="2"/>
  <c r="V437" i="2"/>
  <c r="S437" i="2"/>
  <c r="M437" i="2"/>
  <c r="Y436" i="2"/>
  <c r="V436" i="2"/>
  <c r="S436" i="2"/>
  <c r="M436" i="2"/>
  <c r="Y435" i="2"/>
  <c r="V435" i="2"/>
  <c r="S435" i="2"/>
  <c r="M435" i="2"/>
  <c r="AA434" i="2"/>
  <c r="Z434" i="2"/>
  <c r="Y434" i="2"/>
  <c r="X434" i="2"/>
  <c r="W434" i="2"/>
  <c r="V434" i="2"/>
  <c r="U434" i="2"/>
  <c r="T434" i="2"/>
  <c r="S434" i="2"/>
  <c r="R434" i="2"/>
  <c r="P434" i="2"/>
  <c r="O434" i="2"/>
  <c r="N434" i="2"/>
  <c r="M434" i="2"/>
  <c r="L434" i="2"/>
  <c r="J434" i="2"/>
  <c r="AA433" i="2"/>
  <c r="Z433" i="2"/>
  <c r="Y433" i="2"/>
  <c r="U433" i="2"/>
  <c r="T433" i="2"/>
  <c r="S433" i="2"/>
  <c r="O433" i="2"/>
  <c r="N433" i="2"/>
  <c r="M433" i="2"/>
  <c r="Y432" i="2"/>
  <c r="V432" i="2"/>
  <c r="S432" i="2"/>
  <c r="M432" i="2"/>
  <c r="Y431" i="2"/>
  <c r="V431" i="2"/>
  <c r="S431" i="2"/>
  <c r="M431" i="2"/>
  <c r="Y430" i="2"/>
  <c r="V430" i="2"/>
  <c r="S430" i="2"/>
  <c r="M430" i="2"/>
  <c r="Y429" i="2"/>
  <c r="V429" i="2"/>
  <c r="S429" i="2"/>
  <c r="M429" i="2"/>
  <c r="AA428" i="2"/>
  <c r="Z428" i="2"/>
  <c r="Y428" i="2"/>
  <c r="X428" i="2"/>
  <c r="W428" i="2"/>
  <c r="V428" i="2"/>
  <c r="U428" i="2"/>
  <c r="T428" i="2"/>
  <c r="S428" i="2"/>
  <c r="R428" i="2"/>
  <c r="P428" i="2"/>
  <c r="O428" i="2"/>
  <c r="N428" i="2"/>
  <c r="M428" i="2"/>
  <c r="L428" i="2"/>
  <c r="J428" i="2"/>
  <c r="Y427" i="2"/>
  <c r="V427" i="2"/>
  <c r="S427" i="2"/>
  <c r="M427" i="2"/>
  <c r="Y426" i="2"/>
  <c r="V426" i="2"/>
  <c r="S426" i="2"/>
  <c r="M426" i="2"/>
  <c r="Y425" i="2"/>
  <c r="V425" i="2"/>
  <c r="S425" i="2"/>
  <c r="M425" i="2"/>
  <c r="Y424" i="2"/>
  <c r="V424" i="2"/>
  <c r="S424" i="2"/>
  <c r="M424" i="2"/>
  <c r="AA423" i="2"/>
  <c r="Z423" i="2"/>
  <c r="Y423" i="2"/>
  <c r="X423" i="2"/>
  <c r="W423" i="2"/>
  <c r="V423" i="2"/>
  <c r="U423" i="2"/>
  <c r="T423" i="2"/>
  <c r="S423" i="2"/>
  <c r="R423" i="2"/>
  <c r="P423" i="2"/>
  <c r="O423" i="2"/>
  <c r="N423" i="2"/>
  <c r="M423" i="2"/>
  <c r="L423" i="2"/>
  <c r="J423" i="2"/>
  <c r="Y422" i="2"/>
  <c r="V422" i="2"/>
  <c r="S422" i="2"/>
  <c r="M422" i="2"/>
  <c r="Y421" i="2"/>
  <c r="V421" i="2"/>
  <c r="S421" i="2"/>
  <c r="M421" i="2"/>
  <c r="Y420" i="2"/>
  <c r="V420" i="2"/>
  <c r="S420" i="2"/>
  <c r="M420" i="2"/>
  <c r="Y419" i="2"/>
  <c r="V419" i="2"/>
  <c r="S419" i="2"/>
  <c r="M419" i="2"/>
  <c r="AA418" i="2"/>
  <c r="Z418" i="2"/>
  <c r="Y418" i="2"/>
  <c r="X418" i="2"/>
  <c r="W418" i="2"/>
  <c r="V418" i="2"/>
  <c r="U418" i="2"/>
  <c r="T418" i="2"/>
  <c r="S418" i="2"/>
  <c r="R418" i="2"/>
  <c r="P418" i="2"/>
  <c r="O418" i="2"/>
  <c r="N418" i="2"/>
  <c r="M418" i="2"/>
  <c r="L418" i="2"/>
  <c r="J418" i="2"/>
  <c r="Y417" i="2"/>
  <c r="V417" i="2"/>
  <c r="S417" i="2"/>
  <c r="M417" i="2"/>
  <c r="Y416" i="2"/>
  <c r="V416" i="2"/>
  <c r="S416" i="2"/>
  <c r="M416" i="2"/>
  <c r="Y415" i="2"/>
  <c r="V415" i="2"/>
  <c r="S415" i="2"/>
  <c r="M415" i="2"/>
  <c r="Y414" i="2"/>
  <c r="V414" i="2"/>
  <c r="S414" i="2"/>
  <c r="M414" i="2"/>
  <c r="AA413" i="2"/>
  <c r="Z413" i="2"/>
  <c r="Y413" i="2"/>
  <c r="X413" i="2"/>
  <c r="W413" i="2"/>
  <c r="V413" i="2"/>
  <c r="U413" i="2"/>
  <c r="T413" i="2"/>
  <c r="S413" i="2"/>
  <c r="R413" i="2"/>
  <c r="P413" i="2"/>
  <c r="O413" i="2"/>
  <c r="N413" i="2"/>
  <c r="M413" i="2"/>
  <c r="L413" i="2"/>
  <c r="J413" i="2"/>
  <c r="Y412" i="2"/>
  <c r="V412" i="2"/>
  <c r="S412" i="2"/>
  <c r="M412" i="2"/>
  <c r="Y411" i="2"/>
  <c r="V411" i="2"/>
  <c r="S411" i="2"/>
  <c r="M411" i="2"/>
  <c r="Y410" i="2"/>
  <c r="V410" i="2"/>
  <c r="S410" i="2"/>
  <c r="M410" i="2"/>
  <c r="Y409" i="2"/>
  <c r="V409" i="2"/>
  <c r="S409" i="2"/>
  <c r="M409" i="2"/>
  <c r="AA408" i="2"/>
  <c r="Z408" i="2"/>
  <c r="Y408" i="2"/>
  <c r="X408" i="2"/>
  <c r="W408" i="2"/>
  <c r="V408" i="2"/>
  <c r="U408" i="2"/>
  <c r="T408" i="2"/>
  <c r="S408" i="2"/>
  <c r="R408" i="2"/>
  <c r="P408" i="2"/>
  <c r="O408" i="2"/>
  <c r="N408" i="2"/>
  <c r="M408" i="2"/>
  <c r="L408" i="2"/>
  <c r="J408" i="2"/>
  <c r="Y407" i="2"/>
  <c r="V407" i="2"/>
  <c r="S407" i="2"/>
  <c r="M407" i="2"/>
  <c r="Y406" i="2"/>
  <c r="V406" i="2"/>
  <c r="S406" i="2"/>
  <c r="M406" i="2"/>
  <c r="Y405" i="2"/>
  <c r="V405" i="2"/>
  <c r="S405" i="2"/>
  <c r="M405" i="2"/>
  <c r="Y404" i="2"/>
  <c r="V404" i="2"/>
  <c r="S404" i="2"/>
  <c r="M404" i="2"/>
  <c r="AA403" i="2"/>
  <c r="Z403" i="2"/>
  <c r="Y403" i="2"/>
  <c r="X403" i="2"/>
  <c r="W403" i="2"/>
  <c r="V403" i="2"/>
  <c r="U403" i="2"/>
  <c r="T403" i="2"/>
  <c r="S403" i="2"/>
  <c r="R403" i="2"/>
  <c r="P403" i="2"/>
  <c r="O403" i="2"/>
  <c r="N403" i="2"/>
  <c r="M403" i="2"/>
  <c r="L403" i="2"/>
  <c r="J403" i="2"/>
  <c r="Y402" i="2"/>
  <c r="V402" i="2"/>
  <c r="S402" i="2"/>
  <c r="M402" i="2"/>
  <c r="Y401" i="2"/>
  <c r="V401" i="2"/>
  <c r="S401" i="2"/>
  <c r="M401" i="2"/>
  <c r="Y400" i="2"/>
  <c r="V400" i="2"/>
  <c r="S400" i="2"/>
  <c r="M400" i="2"/>
  <c r="Y399" i="2"/>
  <c r="V399" i="2"/>
  <c r="S399" i="2"/>
  <c r="M399" i="2"/>
  <c r="AA398" i="2"/>
  <c r="Z398" i="2"/>
  <c r="Y398" i="2"/>
  <c r="X398" i="2"/>
  <c r="W398" i="2"/>
  <c r="V398" i="2"/>
  <c r="U398" i="2"/>
  <c r="T398" i="2"/>
  <c r="S398" i="2"/>
  <c r="R398" i="2"/>
  <c r="P398" i="2"/>
  <c r="O398" i="2"/>
  <c r="N398" i="2"/>
  <c r="M398" i="2"/>
  <c r="L398" i="2"/>
  <c r="J398" i="2"/>
  <c r="Y397" i="2"/>
  <c r="V397" i="2"/>
  <c r="S397" i="2"/>
  <c r="M397" i="2"/>
  <c r="Y396" i="2"/>
  <c r="V396" i="2"/>
  <c r="S396" i="2"/>
  <c r="M396" i="2"/>
  <c r="Y395" i="2"/>
  <c r="V395" i="2"/>
  <c r="S395" i="2"/>
  <c r="M395" i="2"/>
  <c r="Y394" i="2"/>
  <c r="V394" i="2"/>
  <c r="S394" i="2"/>
  <c r="M394" i="2"/>
  <c r="AA393" i="2"/>
  <c r="Z393" i="2"/>
  <c r="Y393" i="2"/>
  <c r="X393" i="2"/>
  <c r="W393" i="2"/>
  <c r="V393" i="2"/>
  <c r="U393" i="2"/>
  <c r="T393" i="2"/>
  <c r="S393" i="2"/>
  <c r="R393" i="2"/>
  <c r="P393" i="2"/>
  <c r="O393" i="2"/>
  <c r="N393" i="2"/>
  <c r="M393" i="2"/>
  <c r="L393" i="2"/>
  <c r="J393" i="2"/>
  <c r="Y392" i="2"/>
  <c r="V392" i="2"/>
  <c r="S392" i="2"/>
  <c r="M392" i="2"/>
  <c r="Y391" i="2"/>
  <c r="V391" i="2"/>
  <c r="S391" i="2"/>
  <c r="M391" i="2"/>
  <c r="Y390" i="2"/>
  <c r="V390" i="2"/>
  <c r="S390" i="2"/>
  <c r="M390" i="2"/>
  <c r="Y389" i="2"/>
  <c r="V389" i="2"/>
  <c r="S389" i="2"/>
  <c r="M389" i="2"/>
  <c r="AA388" i="2"/>
  <c r="Z388" i="2"/>
  <c r="Y388" i="2"/>
  <c r="X388" i="2"/>
  <c r="W388" i="2"/>
  <c r="V388" i="2"/>
  <c r="U388" i="2"/>
  <c r="T388" i="2"/>
  <c r="S388" i="2"/>
  <c r="R388" i="2"/>
  <c r="P388" i="2"/>
  <c r="O388" i="2"/>
  <c r="N388" i="2"/>
  <c r="M388" i="2"/>
  <c r="L388" i="2"/>
  <c r="J388" i="2"/>
  <c r="Y387" i="2"/>
  <c r="V387" i="2"/>
  <c r="S387" i="2"/>
  <c r="M387" i="2"/>
  <c r="Y386" i="2"/>
  <c r="V386" i="2"/>
  <c r="S386" i="2"/>
  <c r="M386" i="2"/>
  <c r="Y385" i="2"/>
  <c r="V385" i="2"/>
  <c r="S385" i="2"/>
  <c r="M385" i="2"/>
  <c r="Y384" i="2"/>
  <c r="V384" i="2"/>
  <c r="S384" i="2"/>
  <c r="M384" i="2"/>
  <c r="AA383" i="2"/>
  <c r="Z383" i="2"/>
  <c r="Y383" i="2"/>
  <c r="X383" i="2"/>
  <c r="W383" i="2"/>
  <c r="V383" i="2"/>
  <c r="U383" i="2"/>
  <c r="T383" i="2"/>
  <c r="S383" i="2"/>
  <c r="R383" i="2"/>
  <c r="P383" i="2"/>
  <c r="O383" i="2"/>
  <c r="N383" i="2"/>
  <c r="M383" i="2"/>
  <c r="L383" i="2"/>
  <c r="J383" i="2"/>
  <c r="Y382" i="2"/>
  <c r="V382" i="2"/>
  <c r="S382" i="2"/>
  <c r="M382" i="2"/>
  <c r="Y381" i="2"/>
  <c r="V381" i="2"/>
  <c r="S381" i="2"/>
  <c r="M381" i="2"/>
  <c r="Y380" i="2"/>
  <c r="V380" i="2"/>
  <c r="S380" i="2"/>
  <c r="M380" i="2"/>
  <c r="Y379" i="2"/>
  <c r="V379" i="2"/>
  <c r="S379" i="2"/>
  <c r="M379" i="2"/>
  <c r="AA378" i="2"/>
  <c r="Z378" i="2"/>
  <c r="Y378" i="2"/>
  <c r="X378" i="2"/>
  <c r="W378" i="2"/>
  <c r="V378" i="2"/>
  <c r="U378" i="2"/>
  <c r="T378" i="2"/>
  <c r="S378" i="2"/>
  <c r="R378" i="2"/>
  <c r="P378" i="2"/>
  <c r="O378" i="2"/>
  <c r="N378" i="2"/>
  <c r="M378" i="2"/>
  <c r="L378" i="2"/>
  <c r="J378" i="2"/>
  <c r="Y377" i="2"/>
  <c r="V377" i="2"/>
  <c r="S377" i="2"/>
  <c r="M377" i="2"/>
  <c r="Y376" i="2"/>
  <c r="V376" i="2"/>
  <c r="S376" i="2"/>
  <c r="M376" i="2"/>
  <c r="Y375" i="2"/>
  <c r="V375" i="2"/>
  <c r="S375" i="2"/>
  <c r="M375" i="2"/>
  <c r="Y374" i="2"/>
  <c r="V374" i="2"/>
  <c r="S374" i="2"/>
  <c r="M374" i="2"/>
  <c r="AA373" i="2"/>
  <c r="Z373" i="2"/>
  <c r="Y373" i="2"/>
  <c r="X373" i="2"/>
  <c r="W373" i="2"/>
  <c r="V373" i="2"/>
  <c r="U373" i="2"/>
  <c r="T373" i="2"/>
  <c r="S373" i="2"/>
  <c r="R373" i="2"/>
  <c r="P373" i="2"/>
  <c r="O373" i="2"/>
  <c r="N373" i="2"/>
  <c r="M373" i="2"/>
  <c r="L373" i="2"/>
  <c r="J373" i="2"/>
  <c r="Y372" i="2"/>
  <c r="V372" i="2"/>
  <c r="S372" i="2"/>
  <c r="M372" i="2"/>
  <c r="Y371" i="2"/>
  <c r="V371" i="2"/>
  <c r="S371" i="2"/>
  <c r="M371" i="2"/>
  <c r="Y370" i="2"/>
  <c r="V370" i="2"/>
  <c r="S370" i="2"/>
  <c r="M370" i="2"/>
  <c r="Y369" i="2"/>
  <c r="V369" i="2"/>
  <c r="S369" i="2"/>
  <c r="M369" i="2"/>
  <c r="AA368" i="2"/>
  <c r="Z368" i="2"/>
  <c r="Y368" i="2"/>
  <c r="X368" i="2"/>
  <c r="W368" i="2"/>
  <c r="V368" i="2"/>
  <c r="U368" i="2"/>
  <c r="T368" i="2"/>
  <c r="S368" i="2"/>
  <c r="R368" i="2"/>
  <c r="P368" i="2"/>
  <c r="O368" i="2"/>
  <c r="N368" i="2"/>
  <c r="M368" i="2"/>
  <c r="L368" i="2"/>
  <c r="J368" i="2"/>
  <c r="Y367" i="2"/>
  <c r="V367" i="2"/>
  <c r="S367" i="2"/>
  <c r="M367" i="2"/>
  <c r="Y366" i="2"/>
  <c r="V366" i="2"/>
  <c r="S366" i="2"/>
  <c r="M366" i="2"/>
  <c r="Y365" i="2"/>
  <c r="V365" i="2"/>
  <c r="S365" i="2"/>
  <c r="M365" i="2"/>
  <c r="Y364" i="2"/>
  <c r="V364" i="2"/>
  <c r="S364" i="2"/>
  <c r="M364" i="2"/>
  <c r="AA363" i="2"/>
  <c r="Z363" i="2"/>
  <c r="Y363" i="2"/>
  <c r="X363" i="2"/>
  <c r="W363" i="2"/>
  <c r="V363" i="2"/>
  <c r="U363" i="2"/>
  <c r="T363" i="2"/>
  <c r="S363" i="2"/>
  <c r="R363" i="2"/>
  <c r="P363" i="2"/>
  <c r="O363" i="2"/>
  <c r="N363" i="2"/>
  <c r="M363" i="2"/>
  <c r="L363" i="2"/>
  <c r="J363" i="2"/>
  <c r="Y362" i="2"/>
  <c r="V362" i="2"/>
  <c r="S362" i="2"/>
  <c r="M362" i="2"/>
  <c r="Y361" i="2"/>
  <c r="V361" i="2"/>
  <c r="S361" i="2"/>
  <c r="M361" i="2"/>
  <c r="AA360" i="2"/>
  <c r="Z360" i="2"/>
  <c r="Y360" i="2"/>
  <c r="X360" i="2"/>
  <c r="W360" i="2"/>
  <c r="V360" i="2"/>
  <c r="U360" i="2"/>
  <c r="T360" i="2"/>
  <c r="S360" i="2"/>
  <c r="R360" i="2"/>
  <c r="P360" i="2"/>
  <c r="O360" i="2"/>
  <c r="N360" i="2"/>
  <c r="M360" i="2"/>
  <c r="L360" i="2"/>
  <c r="J360" i="2"/>
  <c r="Y359" i="2"/>
  <c r="V359" i="2"/>
  <c r="S359" i="2"/>
  <c r="M359" i="2"/>
  <c r="Y358" i="2"/>
  <c r="V358" i="2"/>
  <c r="S358" i="2"/>
  <c r="M358" i="2"/>
  <c r="AA357" i="2"/>
  <c r="Z357" i="2"/>
  <c r="Y357" i="2"/>
  <c r="X357" i="2"/>
  <c r="W357" i="2"/>
  <c r="V357" i="2"/>
  <c r="U357" i="2"/>
  <c r="T357" i="2"/>
  <c r="S357" i="2"/>
  <c r="R357" i="2"/>
  <c r="P357" i="2"/>
  <c r="O357" i="2"/>
  <c r="N357" i="2"/>
  <c r="M357" i="2"/>
  <c r="L357" i="2"/>
  <c r="J357" i="2"/>
  <c r="Y356" i="2"/>
  <c r="V356" i="2"/>
  <c r="S356" i="2"/>
  <c r="M356" i="2"/>
  <c r="Y355" i="2"/>
  <c r="V355" i="2"/>
  <c r="S355" i="2"/>
  <c r="M355" i="2"/>
  <c r="AA354" i="2"/>
  <c r="Z354" i="2"/>
  <c r="Y354" i="2"/>
  <c r="X354" i="2"/>
  <c r="W354" i="2"/>
  <c r="V354" i="2"/>
  <c r="U354" i="2"/>
  <c r="T354" i="2"/>
  <c r="S354" i="2"/>
  <c r="R354" i="2"/>
  <c r="P354" i="2"/>
  <c r="O354" i="2"/>
  <c r="N354" i="2"/>
  <c r="M354" i="2"/>
  <c r="L354" i="2"/>
  <c r="J354" i="2"/>
  <c r="Y353" i="2"/>
  <c r="V353" i="2"/>
  <c r="S353" i="2"/>
  <c r="M353" i="2"/>
  <c r="Y352" i="2"/>
  <c r="V352" i="2"/>
  <c r="S352" i="2"/>
  <c r="M352" i="2"/>
  <c r="AA351" i="2"/>
  <c r="Z351" i="2"/>
  <c r="Y351" i="2"/>
  <c r="X351" i="2"/>
  <c r="W351" i="2"/>
  <c r="V351" i="2"/>
  <c r="U351" i="2"/>
  <c r="T351" i="2"/>
  <c r="S351" i="2"/>
  <c r="R351" i="2"/>
  <c r="P351" i="2"/>
  <c r="O351" i="2"/>
  <c r="N351" i="2"/>
  <c r="M351" i="2"/>
  <c r="L351" i="2"/>
  <c r="J351" i="2"/>
  <c r="Y350" i="2"/>
  <c r="V350" i="2"/>
  <c r="S350" i="2"/>
  <c r="M350" i="2"/>
  <c r="Y349" i="2"/>
  <c r="V349" i="2"/>
  <c r="S349" i="2"/>
  <c r="M349" i="2"/>
  <c r="AA348" i="2"/>
  <c r="Z348" i="2"/>
  <c r="Y348" i="2"/>
  <c r="X348" i="2"/>
  <c r="W348" i="2"/>
  <c r="V348" i="2"/>
  <c r="U348" i="2"/>
  <c r="T348" i="2"/>
  <c r="S348" i="2"/>
  <c r="R348" i="2"/>
  <c r="P348" i="2"/>
  <c r="O348" i="2"/>
  <c r="N348" i="2"/>
  <c r="M348" i="2"/>
  <c r="L348" i="2"/>
  <c r="J348" i="2"/>
  <c r="Y347" i="2"/>
  <c r="V347" i="2"/>
  <c r="S347" i="2"/>
  <c r="M347" i="2"/>
  <c r="Y346" i="2"/>
  <c r="V346" i="2"/>
  <c r="S346" i="2"/>
  <c r="M346" i="2"/>
  <c r="AA345" i="2"/>
  <c r="Z345" i="2"/>
  <c r="Y345" i="2"/>
  <c r="X345" i="2"/>
  <c r="W345" i="2"/>
  <c r="V345" i="2"/>
  <c r="U345" i="2"/>
  <c r="T345" i="2"/>
  <c r="S345" i="2"/>
  <c r="R345" i="2"/>
  <c r="P345" i="2"/>
  <c r="O345" i="2"/>
  <c r="N345" i="2"/>
  <c r="M345" i="2"/>
  <c r="L345" i="2"/>
  <c r="J345" i="2"/>
  <c r="Y344" i="2"/>
  <c r="V344" i="2"/>
  <c r="S344" i="2"/>
  <c r="M344" i="2"/>
  <c r="Y343" i="2"/>
  <c r="V343" i="2"/>
  <c r="S343" i="2"/>
  <c r="M343" i="2"/>
  <c r="AA342" i="2"/>
  <c r="Z342" i="2"/>
  <c r="Y342" i="2"/>
  <c r="X342" i="2"/>
  <c r="W342" i="2"/>
  <c r="V342" i="2"/>
  <c r="U342" i="2"/>
  <c r="T342" i="2"/>
  <c r="S342" i="2"/>
  <c r="R342" i="2"/>
  <c r="P342" i="2"/>
  <c r="O342" i="2"/>
  <c r="N342" i="2"/>
  <c r="M342" i="2"/>
  <c r="L342" i="2"/>
  <c r="J342" i="2"/>
  <c r="Y341" i="2"/>
  <c r="V341" i="2"/>
  <c r="S341" i="2"/>
  <c r="M341" i="2"/>
  <c r="Y340" i="2"/>
  <c r="V340" i="2"/>
  <c r="S340" i="2"/>
  <c r="M340" i="2"/>
  <c r="AA339" i="2"/>
  <c r="Z339" i="2"/>
  <c r="Y339" i="2"/>
  <c r="X339" i="2"/>
  <c r="W339" i="2"/>
  <c r="V339" i="2"/>
  <c r="U339" i="2"/>
  <c r="T339" i="2"/>
  <c r="S339" i="2"/>
  <c r="R339" i="2"/>
  <c r="P339" i="2"/>
  <c r="O339" i="2"/>
  <c r="N339" i="2"/>
  <c r="M339" i="2"/>
  <c r="L339" i="2"/>
  <c r="J339" i="2"/>
  <c r="Y338" i="2"/>
  <c r="V338" i="2"/>
  <c r="S338" i="2"/>
  <c r="M338" i="2"/>
  <c r="Y337" i="2"/>
  <c r="V337" i="2"/>
  <c r="S337" i="2"/>
  <c r="M337" i="2"/>
  <c r="AA336" i="2"/>
  <c r="Z336" i="2"/>
  <c r="Y336" i="2"/>
  <c r="X336" i="2"/>
  <c r="W336" i="2"/>
  <c r="V336" i="2"/>
  <c r="U336" i="2"/>
  <c r="T336" i="2"/>
  <c r="S336" i="2"/>
  <c r="R336" i="2"/>
  <c r="P336" i="2"/>
  <c r="O336" i="2"/>
  <c r="N336" i="2"/>
  <c r="M336" i="2"/>
  <c r="L336" i="2"/>
  <c r="J336" i="2"/>
  <c r="Y335" i="2"/>
  <c r="V335" i="2"/>
  <c r="S335" i="2"/>
  <c r="M335" i="2"/>
  <c r="Y334" i="2"/>
  <c r="V334" i="2"/>
  <c r="S334" i="2"/>
  <c r="M334" i="2"/>
  <c r="AA333" i="2"/>
  <c r="Z333" i="2"/>
  <c r="Y333" i="2"/>
  <c r="X333" i="2"/>
  <c r="W333" i="2"/>
  <c r="V333" i="2"/>
  <c r="U333" i="2"/>
  <c r="T333" i="2"/>
  <c r="S333" i="2"/>
  <c r="R333" i="2"/>
  <c r="P333" i="2"/>
  <c r="O333" i="2"/>
  <c r="N333" i="2"/>
  <c r="M333" i="2"/>
  <c r="L333" i="2"/>
  <c r="J333" i="2"/>
  <c r="Y332" i="2"/>
  <c r="V332" i="2"/>
  <c r="S332" i="2"/>
  <c r="M332" i="2"/>
  <c r="Y331" i="2"/>
  <c r="V331" i="2"/>
  <c r="S331" i="2"/>
  <c r="M331" i="2"/>
  <c r="AA330" i="2"/>
  <c r="Z330" i="2"/>
  <c r="Y330" i="2"/>
  <c r="X330" i="2"/>
  <c r="W330" i="2"/>
  <c r="V330" i="2"/>
  <c r="U330" i="2"/>
  <c r="T330" i="2"/>
  <c r="S330" i="2"/>
  <c r="R330" i="2"/>
  <c r="P330" i="2"/>
  <c r="O330" i="2"/>
  <c r="N330" i="2"/>
  <c r="M330" i="2"/>
  <c r="L330" i="2"/>
  <c r="J330" i="2"/>
  <c r="Y329" i="2"/>
  <c r="V329" i="2"/>
  <c r="S329" i="2"/>
  <c r="M329" i="2"/>
  <c r="Y328" i="2"/>
  <c r="V328" i="2"/>
  <c r="S328" i="2"/>
  <c r="M328" i="2"/>
  <c r="AA327" i="2"/>
  <c r="Z327" i="2"/>
  <c r="Y327" i="2"/>
  <c r="X327" i="2"/>
  <c r="W327" i="2"/>
  <c r="V327" i="2"/>
  <c r="U327" i="2"/>
  <c r="T327" i="2"/>
  <c r="S327" i="2"/>
  <c r="R327" i="2"/>
  <c r="P327" i="2"/>
  <c r="O327" i="2"/>
  <c r="N327" i="2"/>
  <c r="M327" i="2"/>
  <c r="L327" i="2"/>
  <c r="J327" i="2"/>
  <c r="Y326" i="2"/>
  <c r="V326" i="2"/>
  <c r="S326" i="2"/>
  <c r="M326" i="2"/>
  <c r="Y325" i="2"/>
  <c r="V325" i="2"/>
  <c r="S325" i="2"/>
  <c r="M325" i="2"/>
  <c r="AA324" i="2"/>
  <c r="Z324" i="2"/>
  <c r="Y324" i="2"/>
  <c r="X324" i="2"/>
  <c r="W324" i="2"/>
  <c r="V324" i="2"/>
  <c r="U324" i="2"/>
  <c r="T324" i="2"/>
  <c r="S324" i="2"/>
  <c r="R324" i="2"/>
  <c r="P324" i="2"/>
  <c r="O324" i="2"/>
  <c r="N324" i="2"/>
  <c r="M324" i="2"/>
  <c r="L324" i="2"/>
  <c r="J324" i="2"/>
  <c r="Y323" i="2"/>
  <c r="V323" i="2"/>
  <c r="S323" i="2"/>
  <c r="M323" i="2"/>
  <c r="Y322" i="2"/>
  <c r="V322" i="2"/>
  <c r="S322" i="2"/>
  <c r="M322" i="2"/>
  <c r="AA321" i="2"/>
  <c r="Z321" i="2"/>
  <c r="Y321" i="2"/>
  <c r="X321" i="2"/>
  <c r="W321" i="2"/>
  <c r="V321" i="2"/>
  <c r="U321" i="2"/>
  <c r="T321" i="2"/>
  <c r="S321" i="2"/>
  <c r="R321" i="2"/>
  <c r="P321" i="2"/>
  <c r="O321" i="2"/>
  <c r="N321" i="2"/>
  <c r="M321" i="2"/>
  <c r="L321" i="2"/>
  <c r="J321" i="2"/>
  <c r="Y320" i="2"/>
  <c r="V320" i="2"/>
  <c r="S320" i="2"/>
  <c r="M320" i="2"/>
  <c r="Y319" i="2"/>
  <c r="V319" i="2"/>
  <c r="S319" i="2"/>
  <c r="M319" i="2"/>
  <c r="AA318" i="2"/>
  <c r="Z318" i="2"/>
  <c r="Y318" i="2"/>
  <c r="X318" i="2"/>
  <c r="W318" i="2"/>
  <c r="V318" i="2"/>
  <c r="U318" i="2"/>
  <c r="T318" i="2"/>
  <c r="S318" i="2"/>
  <c r="R318" i="2"/>
  <c r="P318" i="2"/>
  <c r="O318" i="2"/>
  <c r="N318" i="2"/>
  <c r="M318" i="2"/>
  <c r="L318" i="2"/>
  <c r="J318" i="2"/>
  <c r="Y317" i="2"/>
  <c r="V317" i="2"/>
  <c r="S317" i="2"/>
  <c r="M317" i="2"/>
  <c r="Y316" i="2"/>
  <c r="V316" i="2"/>
  <c r="S316" i="2"/>
  <c r="M316" i="2"/>
  <c r="AA315" i="2"/>
  <c r="Z315" i="2"/>
  <c r="Y315" i="2"/>
  <c r="X315" i="2"/>
  <c r="W315" i="2"/>
  <c r="V315" i="2"/>
  <c r="U315" i="2"/>
  <c r="T315" i="2"/>
  <c r="S315" i="2"/>
  <c r="R315" i="2"/>
  <c r="P315" i="2"/>
  <c r="O315" i="2"/>
  <c r="N315" i="2"/>
  <c r="M315" i="2"/>
  <c r="L315" i="2"/>
  <c r="J315" i="2"/>
  <c r="Y314" i="2"/>
  <c r="V314" i="2"/>
  <c r="S314" i="2"/>
  <c r="M314" i="2"/>
  <c r="Y313" i="2"/>
  <c r="V313" i="2"/>
  <c r="S313" i="2"/>
  <c r="M313" i="2"/>
  <c r="AA312" i="2"/>
  <c r="Z312" i="2"/>
  <c r="Y312" i="2"/>
  <c r="X312" i="2"/>
  <c r="W312" i="2"/>
  <c r="V312" i="2"/>
  <c r="U312" i="2"/>
  <c r="T312" i="2"/>
  <c r="S312" i="2"/>
  <c r="R312" i="2"/>
  <c r="P312" i="2"/>
  <c r="O312" i="2"/>
  <c r="N312" i="2"/>
  <c r="M312" i="2"/>
  <c r="L312" i="2"/>
  <c r="J312" i="2"/>
  <c r="Y311" i="2"/>
  <c r="V311" i="2"/>
  <c r="S311" i="2"/>
  <c r="M311" i="2"/>
  <c r="Y310" i="2"/>
  <c r="V310" i="2"/>
  <c r="S310" i="2"/>
  <c r="M310" i="2"/>
  <c r="AA309" i="2"/>
  <c r="Z309" i="2"/>
  <c r="Y309" i="2"/>
  <c r="X309" i="2"/>
  <c r="W309" i="2"/>
  <c r="V309" i="2"/>
  <c r="U309" i="2"/>
  <c r="T309" i="2"/>
  <c r="S309" i="2"/>
  <c r="R309" i="2"/>
  <c r="P309" i="2"/>
  <c r="O309" i="2"/>
  <c r="N309" i="2"/>
  <c r="M309" i="2"/>
  <c r="L309" i="2"/>
  <c r="J309" i="2"/>
  <c r="Y308" i="2"/>
  <c r="V308" i="2"/>
  <c r="S308" i="2"/>
  <c r="M308" i="2"/>
  <c r="AA307" i="2"/>
  <c r="Z307" i="2"/>
  <c r="Y307" i="2"/>
  <c r="X307" i="2"/>
  <c r="W307" i="2"/>
  <c r="V307" i="2"/>
  <c r="U307" i="2"/>
  <c r="T307" i="2"/>
  <c r="S307" i="2"/>
  <c r="R307" i="2"/>
  <c r="P307" i="2"/>
  <c r="O307" i="2"/>
  <c r="N307" i="2"/>
  <c r="M307" i="2"/>
  <c r="L307" i="2"/>
  <c r="J307" i="2"/>
  <c r="Y306" i="2"/>
  <c r="V306" i="2"/>
  <c r="S306" i="2"/>
  <c r="M306" i="2"/>
  <c r="AA305" i="2"/>
  <c r="Z305" i="2"/>
  <c r="Y305" i="2"/>
  <c r="X305" i="2"/>
  <c r="W305" i="2"/>
  <c r="V305" i="2"/>
  <c r="U305" i="2"/>
  <c r="T305" i="2"/>
  <c r="S305" i="2"/>
  <c r="R305" i="2"/>
  <c r="P305" i="2"/>
  <c r="O305" i="2"/>
  <c r="N305" i="2"/>
  <c r="M305" i="2"/>
  <c r="L305" i="2"/>
  <c r="J305" i="2"/>
  <c r="Y304" i="2"/>
  <c r="V304" i="2"/>
  <c r="S304" i="2"/>
  <c r="M304" i="2"/>
  <c r="AA303" i="2"/>
  <c r="Z303" i="2"/>
  <c r="Y303" i="2"/>
  <c r="X303" i="2"/>
  <c r="W303" i="2"/>
  <c r="V303" i="2"/>
  <c r="U303" i="2"/>
  <c r="T303" i="2"/>
  <c r="S303" i="2"/>
  <c r="R303" i="2"/>
  <c r="P303" i="2"/>
  <c r="O303" i="2"/>
  <c r="N303" i="2"/>
  <c r="M303" i="2"/>
  <c r="L303" i="2"/>
  <c r="J303" i="2"/>
  <c r="Y302" i="2"/>
  <c r="V302" i="2"/>
  <c r="S302" i="2"/>
  <c r="M302" i="2"/>
  <c r="AA301" i="2"/>
  <c r="Z301" i="2"/>
  <c r="Y301" i="2"/>
  <c r="X301" i="2"/>
  <c r="W301" i="2"/>
  <c r="V301" i="2"/>
  <c r="U301" i="2"/>
  <c r="T301" i="2"/>
  <c r="S301" i="2"/>
  <c r="R301" i="2"/>
  <c r="P301" i="2"/>
  <c r="O301" i="2"/>
  <c r="N301" i="2"/>
  <c r="M301" i="2"/>
  <c r="L301" i="2"/>
  <c r="J301" i="2"/>
  <c r="Y300" i="2"/>
  <c r="V300" i="2"/>
  <c r="S300" i="2"/>
  <c r="M300" i="2"/>
  <c r="AA299" i="2"/>
  <c r="Z299" i="2"/>
  <c r="Y299" i="2"/>
  <c r="X299" i="2"/>
  <c r="W299" i="2"/>
  <c r="V299" i="2"/>
  <c r="U299" i="2"/>
  <c r="T299" i="2"/>
  <c r="S299" i="2"/>
  <c r="R299" i="2"/>
  <c r="P299" i="2"/>
  <c r="O299" i="2"/>
  <c r="N299" i="2"/>
  <c r="M299" i="2"/>
  <c r="L299" i="2"/>
  <c r="J299" i="2"/>
  <c r="Y298" i="2"/>
  <c r="V298" i="2"/>
  <c r="S298" i="2"/>
  <c r="M298" i="2"/>
  <c r="AA297" i="2"/>
  <c r="Z297" i="2"/>
  <c r="Y297" i="2"/>
  <c r="X297" i="2"/>
  <c r="W297" i="2"/>
  <c r="V297" i="2"/>
  <c r="U297" i="2"/>
  <c r="T297" i="2"/>
  <c r="S297" i="2"/>
  <c r="R297" i="2"/>
  <c r="P297" i="2"/>
  <c r="O297" i="2"/>
  <c r="N297" i="2"/>
  <c r="M297" i="2"/>
  <c r="L297" i="2"/>
  <c r="J297" i="2"/>
  <c r="Y296" i="2"/>
  <c r="V296" i="2"/>
  <c r="S296" i="2"/>
  <c r="M296" i="2"/>
  <c r="AA295" i="2"/>
  <c r="Z295" i="2"/>
  <c r="Y295" i="2"/>
  <c r="X295" i="2"/>
  <c r="W295" i="2"/>
  <c r="V295" i="2"/>
  <c r="U295" i="2"/>
  <c r="T295" i="2"/>
  <c r="S295" i="2"/>
  <c r="R295" i="2"/>
  <c r="P295" i="2"/>
  <c r="O295" i="2"/>
  <c r="N295" i="2"/>
  <c r="M295" i="2"/>
  <c r="L295" i="2"/>
  <c r="J295" i="2"/>
  <c r="Y294" i="2"/>
  <c r="V294" i="2"/>
  <c r="S294" i="2"/>
  <c r="M294" i="2"/>
  <c r="AA293" i="2"/>
  <c r="Z293" i="2"/>
  <c r="Y293" i="2"/>
  <c r="X293" i="2"/>
  <c r="W293" i="2"/>
  <c r="V293" i="2"/>
  <c r="U293" i="2"/>
  <c r="T293" i="2"/>
  <c r="S293" i="2"/>
  <c r="R293" i="2"/>
  <c r="P293" i="2"/>
  <c r="O293" i="2"/>
  <c r="N293" i="2"/>
  <c r="M293" i="2"/>
  <c r="L293" i="2"/>
  <c r="J293" i="2"/>
  <c r="Y292" i="2"/>
  <c r="V292" i="2"/>
  <c r="S292" i="2"/>
  <c r="M292" i="2"/>
  <c r="AA291" i="2"/>
  <c r="Z291" i="2"/>
  <c r="Y291" i="2"/>
  <c r="X291" i="2"/>
  <c r="W291" i="2"/>
  <c r="V291" i="2"/>
  <c r="U291" i="2"/>
  <c r="T291" i="2"/>
  <c r="S291" i="2"/>
  <c r="R291" i="2"/>
  <c r="P291" i="2"/>
  <c r="O291" i="2"/>
  <c r="N291" i="2"/>
  <c r="M291" i="2"/>
  <c r="L291" i="2"/>
  <c r="J291" i="2"/>
  <c r="Y290" i="2"/>
  <c r="V290" i="2"/>
  <c r="S290" i="2"/>
  <c r="M290" i="2"/>
  <c r="AA289" i="2"/>
  <c r="Z289" i="2"/>
  <c r="Y289" i="2"/>
  <c r="X289" i="2"/>
  <c r="W289" i="2"/>
  <c r="V289" i="2"/>
  <c r="U289" i="2"/>
  <c r="T289" i="2"/>
  <c r="S289" i="2"/>
  <c r="R289" i="2"/>
  <c r="P289" i="2"/>
  <c r="O289" i="2"/>
  <c r="N289" i="2"/>
  <c r="M289" i="2"/>
  <c r="L289" i="2"/>
  <c r="J289" i="2"/>
  <c r="Y288" i="2"/>
  <c r="V288" i="2"/>
  <c r="S288" i="2"/>
  <c r="M288" i="2"/>
  <c r="AA287" i="2"/>
  <c r="Z287" i="2"/>
  <c r="Y287" i="2"/>
  <c r="X287" i="2"/>
  <c r="W287" i="2"/>
  <c r="V287" i="2"/>
  <c r="U287" i="2"/>
  <c r="T287" i="2"/>
  <c r="S287" i="2"/>
  <c r="R287" i="2"/>
  <c r="P287" i="2"/>
  <c r="O287" i="2"/>
  <c r="N287" i="2"/>
  <c r="M287" i="2"/>
  <c r="L287" i="2"/>
  <c r="J287" i="2"/>
  <c r="Y286" i="2"/>
  <c r="V286" i="2"/>
  <c r="S286" i="2"/>
  <c r="M286" i="2"/>
  <c r="AA285" i="2"/>
  <c r="Z285" i="2"/>
  <c r="Y285" i="2"/>
  <c r="X285" i="2"/>
  <c r="W285" i="2"/>
  <c r="V285" i="2"/>
  <c r="U285" i="2"/>
  <c r="T285" i="2"/>
  <c r="S285" i="2"/>
  <c r="R285" i="2"/>
  <c r="P285" i="2"/>
  <c r="O285" i="2"/>
  <c r="N285" i="2"/>
  <c r="M285" i="2"/>
  <c r="L285" i="2"/>
  <c r="J285" i="2"/>
  <c r="Y284" i="2"/>
  <c r="V284" i="2"/>
  <c r="S284" i="2"/>
  <c r="M284" i="2"/>
  <c r="AA283" i="2"/>
  <c r="Z283" i="2"/>
  <c r="Y283" i="2"/>
  <c r="X283" i="2"/>
  <c r="W283" i="2"/>
  <c r="V283" i="2"/>
  <c r="U283" i="2"/>
  <c r="T283" i="2"/>
  <c r="S283" i="2"/>
  <c r="R283" i="2"/>
  <c r="P283" i="2"/>
  <c r="O283" i="2"/>
  <c r="N283" i="2"/>
  <c r="M283" i="2"/>
  <c r="L283" i="2"/>
  <c r="J283" i="2"/>
  <c r="Y282" i="2"/>
  <c r="V282" i="2"/>
  <c r="S282" i="2"/>
  <c r="M282" i="2"/>
  <c r="AA281" i="2"/>
  <c r="Z281" i="2"/>
  <c r="Y281" i="2"/>
  <c r="X281" i="2"/>
  <c r="W281" i="2"/>
  <c r="V281" i="2"/>
  <c r="U281" i="2"/>
  <c r="T281" i="2"/>
  <c r="S281" i="2"/>
  <c r="R281" i="2"/>
  <c r="P281" i="2"/>
  <c r="O281" i="2"/>
  <c r="N281" i="2"/>
  <c r="M281" i="2"/>
  <c r="L281" i="2"/>
  <c r="J281" i="2"/>
  <c r="Y280" i="2"/>
  <c r="V280" i="2"/>
  <c r="S280" i="2"/>
  <c r="M280" i="2"/>
  <c r="AA279" i="2"/>
  <c r="Z279" i="2"/>
  <c r="Y279" i="2"/>
  <c r="X279" i="2"/>
  <c r="W279" i="2"/>
  <c r="V279" i="2"/>
  <c r="U279" i="2"/>
  <c r="T279" i="2"/>
  <c r="S279" i="2"/>
  <c r="R279" i="2"/>
  <c r="P279" i="2"/>
  <c r="O279" i="2"/>
  <c r="N279" i="2"/>
  <c r="M279" i="2"/>
  <c r="L279" i="2"/>
  <c r="J279" i="2"/>
  <c r="Y278" i="2"/>
  <c r="V278" i="2"/>
  <c r="S278" i="2"/>
  <c r="M278" i="2"/>
  <c r="AA277" i="2"/>
  <c r="Z277" i="2"/>
  <c r="Y277" i="2"/>
  <c r="X277" i="2"/>
  <c r="W277" i="2"/>
  <c r="V277" i="2"/>
  <c r="U277" i="2"/>
  <c r="T277" i="2"/>
  <c r="S277" i="2"/>
  <c r="R277" i="2"/>
  <c r="P277" i="2"/>
  <c r="O277" i="2"/>
  <c r="N277" i="2"/>
  <c r="M277" i="2"/>
  <c r="L277" i="2"/>
  <c r="J277" i="2"/>
  <c r="Y276" i="2"/>
  <c r="V276" i="2"/>
  <c r="S276" i="2"/>
  <c r="M276" i="2"/>
  <c r="AA275" i="2"/>
  <c r="Z275" i="2"/>
  <c r="Y275" i="2"/>
  <c r="X275" i="2"/>
  <c r="W275" i="2"/>
  <c r="V275" i="2"/>
  <c r="U275" i="2"/>
  <c r="T275" i="2"/>
  <c r="S275" i="2"/>
  <c r="R275" i="2"/>
  <c r="P275" i="2"/>
  <c r="O275" i="2"/>
  <c r="N275" i="2"/>
  <c r="M275" i="2"/>
  <c r="L275" i="2"/>
  <c r="J275" i="2"/>
  <c r="Y274" i="2"/>
  <c r="V274" i="2"/>
  <c r="S274" i="2"/>
  <c r="M274" i="2"/>
  <c r="AA273" i="2"/>
  <c r="Z273" i="2"/>
  <c r="Y273" i="2"/>
  <c r="X273" i="2"/>
  <c r="W273" i="2"/>
  <c r="V273" i="2"/>
  <c r="U273" i="2"/>
  <c r="T273" i="2"/>
  <c r="S273" i="2"/>
  <c r="R273" i="2"/>
  <c r="P273" i="2"/>
  <c r="O273" i="2"/>
  <c r="N273" i="2"/>
  <c r="M273" i="2"/>
  <c r="L273" i="2"/>
  <c r="J273" i="2"/>
  <c r="Y272" i="2"/>
  <c r="V272" i="2"/>
  <c r="S272" i="2"/>
  <c r="M272" i="2"/>
  <c r="AA271" i="2"/>
  <c r="Z271" i="2"/>
  <c r="Y271" i="2"/>
  <c r="X271" i="2"/>
  <c r="W271" i="2"/>
  <c r="V271" i="2"/>
  <c r="U271" i="2"/>
  <c r="T271" i="2"/>
  <c r="S271" i="2"/>
  <c r="R271" i="2"/>
  <c r="P271" i="2"/>
  <c r="O271" i="2"/>
  <c r="N271" i="2"/>
  <c r="M271" i="2"/>
  <c r="L271" i="2"/>
  <c r="J271" i="2"/>
  <c r="Y270" i="2"/>
  <c r="V270" i="2"/>
  <c r="S270" i="2"/>
  <c r="M270" i="2"/>
  <c r="AA269" i="2"/>
  <c r="Z269" i="2"/>
  <c r="Y269" i="2"/>
  <c r="X269" i="2"/>
  <c r="W269" i="2"/>
  <c r="V269" i="2"/>
  <c r="U269" i="2"/>
  <c r="T269" i="2"/>
  <c r="S269" i="2"/>
  <c r="R269" i="2"/>
  <c r="P269" i="2"/>
  <c r="O269" i="2"/>
  <c r="N269" i="2"/>
  <c r="M269" i="2"/>
  <c r="L269" i="2"/>
  <c r="J269" i="2"/>
  <c r="AA268" i="2"/>
  <c r="Z268" i="2"/>
  <c r="Y268" i="2"/>
  <c r="U268" i="2"/>
  <c r="T268" i="2"/>
  <c r="S268" i="2"/>
  <c r="O268" i="2"/>
  <c r="N268" i="2"/>
  <c r="M268" i="2"/>
  <c r="Y267" i="2"/>
  <c r="V267" i="2"/>
  <c r="S267" i="2"/>
  <c r="M267" i="2"/>
  <c r="Y266" i="2"/>
  <c r="V266" i="2"/>
  <c r="S266" i="2"/>
  <c r="M266" i="2"/>
  <c r="AA265" i="2"/>
  <c r="Z265" i="2"/>
  <c r="Y265" i="2"/>
  <c r="X265" i="2"/>
  <c r="W265" i="2"/>
  <c r="V265" i="2"/>
  <c r="U265" i="2"/>
  <c r="T265" i="2"/>
  <c r="S265" i="2"/>
  <c r="R265" i="2"/>
  <c r="P265" i="2"/>
  <c r="O265" i="2"/>
  <c r="N265" i="2"/>
  <c r="M265" i="2"/>
  <c r="L265" i="2"/>
  <c r="J265" i="2"/>
  <c r="Y264" i="2"/>
  <c r="V264" i="2"/>
  <c r="S264" i="2"/>
  <c r="M264" i="2"/>
  <c r="Y263" i="2"/>
  <c r="V263" i="2"/>
  <c r="S263" i="2"/>
  <c r="M263" i="2"/>
  <c r="AA262" i="2"/>
  <c r="Z262" i="2"/>
  <c r="Y262" i="2"/>
  <c r="X262" i="2"/>
  <c r="W262" i="2"/>
  <c r="V262" i="2"/>
  <c r="U262" i="2"/>
  <c r="T262" i="2"/>
  <c r="S262" i="2"/>
  <c r="R262" i="2"/>
  <c r="P262" i="2"/>
  <c r="O262" i="2"/>
  <c r="N262" i="2"/>
  <c r="M262" i="2"/>
  <c r="L262" i="2"/>
  <c r="J262" i="2"/>
  <c r="AA261" i="2"/>
  <c r="Z261" i="2"/>
  <c r="Y261" i="2"/>
  <c r="U261" i="2"/>
  <c r="T261" i="2"/>
  <c r="S261" i="2"/>
  <c r="O261" i="2"/>
  <c r="N261" i="2"/>
  <c r="M261" i="2"/>
  <c r="AA260" i="2"/>
  <c r="Z260" i="2"/>
  <c r="Y260" i="2"/>
  <c r="U260" i="2"/>
  <c r="T260" i="2"/>
  <c r="S260" i="2"/>
  <c r="O260" i="2"/>
  <c r="N260" i="2"/>
  <c r="M260" i="2"/>
  <c r="Y259" i="2"/>
  <c r="V259" i="2"/>
  <c r="S259" i="2"/>
  <c r="M259" i="2"/>
  <c r="AA258" i="2"/>
  <c r="Z258" i="2"/>
  <c r="Y258" i="2"/>
  <c r="X258" i="2"/>
  <c r="W258" i="2"/>
  <c r="V258" i="2"/>
  <c r="U258" i="2"/>
  <c r="T258" i="2"/>
  <c r="S258" i="2"/>
  <c r="R258" i="2"/>
  <c r="P258" i="2"/>
  <c r="O258" i="2"/>
  <c r="N258" i="2"/>
  <c r="M258" i="2"/>
  <c r="L258" i="2"/>
  <c r="J258" i="2"/>
  <c r="Y257" i="2"/>
  <c r="V257" i="2"/>
  <c r="S257" i="2"/>
  <c r="M257" i="2"/>
  <c r="AA256" i="2"/>
  <c r="Z256" i="2"/>
  <c r="Y256" i="2"/>
  <c r="X256" i="2"/>
  <c r="W256" i="2"/>
  <c r="V256" i="2"/>
  <c r="U256" i="2"/>
  <c r="T256" i="2"/>
  <c r="S256" i="2"/>
  <c r="R256" i="2"/>
  <c r="P256" i="2"/>
  <c r="O256" i="2"/>
  <c r="N256" i="2"/>
  <c r="M256" i="2"/>
  <c r="L256" i="2"/>
  <c r="J256" i="2"/>
  <c r="AA255" i="2"/>
  <c r="Z255" i="2"/>
  <c r="Y255" i="2"/>
  <c r="U255" i="2"/>
  <c r="T255" i="2"/>
  <c r="S255" i="2"/>
  <c r="O255" i="2"/>
  <c r="N255" i="2"/>
  <c r="M255" i="2"/>
  <c r="Y254" i="2"/>
  <c r="V254" i="2"/>
  <c r="S254" i="2"/>
  <c r="M254" i="2"/>
  <c r="Y253" i="2"/>
  <c r="V253" i="2"/>
  <c r="S253" i="2"/>
  <c r="M253" i="2"/>
  <c r="Y252" i="2"/>
  <c r="V252" i="2"/>
  <c r="S252" i="2"/>
  <c r="M252" i="2"/>
  <c r="Y251" i="2"/>
  <c r="V251" i="2"/>
  <c r="S251" i="2"/>
  <c r="M251" i="2"/>
  <c r="AA250" i="2"/>
  <c r="Z250" i="2"/>
  <c r="Y250" i="2"/>
  <c r="X250" i="2"/>
  <c r="W250" i="2"/>
  <c r="V250" i="2"/>
  <c r="U250" i="2"/>
  <c r="T250" i="2"/>
  <c r="S250" i="2"/>
  <c r="R250" i="2"/>
  <c r="P250" i="2"/>
  <c r="O250" i="2"/>
  <c r="N250" i="2"/>
  <c r="M250" i="2"/>
  <c r="L250" i="2"/>
  <c r="J250" i="2"/>
  <c r="Y249" i="2"/>
  <c r="V249" i="2"/>
  <c r="S249" i="2"/>
  <c r="M249" i="2"/>
  <c r="Y248" i="2"/>
  <c r="V248" i="2"/>
  <c r="S248" i="2"/>
  <c r="M248" i="2"/>
  <c r="Y247" i="2"/>
  <c r="V247" i="2"/>
  <c r="S247" i="2"/>
  <c r="M247" i="2"/>
  <c r="Y246" i="2"/>
  <c r="V246" i="2"/>
  <c r="S246" i="2"/>
  <c r="M246" i="2"/>
  <c r="AA245" i="2"/>
  <c r="Z245" i="2"/>
  <c r="Y245" i="2"/>
  <c r="X245" i="2"/>
  <c r="W245" i="2"/>
  <c r="V245" i="2"/>
  <c r="U245" i="2"/>
  <c r="T245" i="2"/>
  <c r="S245" i="2"/>
  <c r="R245" i="2"/>
  <c r="P245" i="2"/>
  <c r="O245" i="2"/>
  <c r="N245" i="2"/>
  <c r="M245" i="2"/>
  <c r="L245" i="2"/>
  <c r="J245" i="2"/>
  <c r="Y244" i="2"/>
  <c r="V244" i="2"/>
  <c r="S244" i="2"/>
  <c r="M244" i="2"/>
  <c r="Y243" i="2"/>
  <c r="V243" i="2"/>
  <c r="S243" i="2"/>
  <c r="M243" i="2"/>
  <c r="Y242" i="2"/>
  <c r="V242" i="2"/>
  <c r="S242" i="2"/>
  <c r="M242" i="2"/>
  <c r="Y241" i="2"/>
  <c r="V241" i="2"/>
  <c r="S241" i="2"/>
  <c r="M241" i="2"/>
  <c r="AA240" i="2"/>
  <c r="Z240" i="2"/>
  <c r="Y240" i="2"/>
  <c r="X240" i="2"/>
  <c r="W240" i="2"/>
  <c r="V240" i="2"/>
  <c r="U240" i="2"/>
  <c r="T240" i="2"/>
  <c r="S240" i="2"/>
  <c r="R240" i="2"/>
  <c r="P240" i="2"/>
  <c r="O240" i="2"/>
  <c r="N240" i="2"/>
  <c r="M240" i="2"/>
  <c r="L240" i="2"/>
  <c r="J240" i="2"/>
  <c r="Y239" i="2"/>
  <c r="V239" i="2"/>
  <c r="S239" i="2"/>
  <c r="M239" i="2"/>
  <c r="Y238" i="2"/>
  <c r="V238" i="2"/>
  <c r="S238" i="2"/>
  <c r="M238" i="2"/>
  <c r="Y237" i="2"/>
  <c r="V237" i="2"/>
  <c r="S237" i="2"/>
  <c r="M237" i="2"/>
  <c r="Y236" i="2"/>
  <c r="V236" i="2"/>
  <c r="S236" i="2"/>
  <c r="M236" i="2"/>
  <c r="AA235" i="2"/>
  <c r="Z235" i="2"/>
  <c r="Y235" i="2"/>
  <c r="X235" i="2"/>
  <c r="W235" i="2"/>
  <c r="V235" i="2"/>
  <c r="U235" i="2"/>
  <c r="T235" i="2"/>
  <c r="S235" i="2"/>
  <c r="R235" i="2"/>
  <c r="P235" i="2"/>
  <c r="O235" i="2"/>
  <c r="N235" i="2"/>
  <c r="M235" i="2"/>
  <c r="L235" i="2"/>
  <c r="J235" i="2"/>
  <c r="Y234" i="2"/>
  <c r="V234" i="2"/>
  <c r="S234" i="2"/>
  <c r="M234" i="2"/>
  <c r="Y233" i="2"/>
  <c r="V233" i="2"/>
  <c r="S233" i="2"/>
  <c r="M233" i="2"/>
  <c r="Y232" i="2"/>
  <c r="V232" i="2"/>
  <c r="S232" i="2"/>
  <c r="M232" i="2"/>
  <c r="Y231" i="2"/>
  <c r="V231" i="2"/>
  <c r="S231" i="2"/>
  <c r="M231" i="2"/>
  <c r="AA230" i="2"/>
  <c r="Z230" i="2"/>
  <c r="Y230" i="2"/>
  <c r="X230" i="2"/>
  <c r="W230" i="2"/>
  <c r="V230" i="2"/>
  <c r="U230" i="2"/>
  <c r="T230" i="2"/>
  <c r="S230" i="2"/>
  <c r="R230" i="2"/>
  <c r="P230" i="2"/>
  <c r="O230" i="2"/>
  <c r="N230" i="2"/>
  <c r="M230" i="2"/>
  <c r="L230" i="2"/>
  <c r="J230" i="2"/>
  <c r="Y229" i="2"/>
  <c r="V229" i="2"/>
  <c r="S229" i="2"/>
  <c r="M229" i="2"/>
  <c r="Y228" i="2"/>
  <c r="V228" i="2"/>
  <c r="S228" i="2"/>
  <c r="M228" i="2"/>
  <c r="Y227" i="2"/>
  <c r="V227" i="2"/>
  <c r="S227" i="2"/>
  <c r="M227" i="2"/>
  <c r="Y226" i="2"/>
  <c r="V226" i="2"/>
  <c r="S226" i="2"/>
  <c r="M226" i="2"/>
  <c r="AA225" i="2"/>
  <c r="Z225" i="2"/>
  <c r="Y225" i="2"/>
  <c r="X225" i="2"/>
  <c r="W225" i="2"/>
  <c r="V225" i="2"/>
  <c r="U225" i="2"/>
  <c r="T225" i="2"/>
  <c r="S225" i="2"/>
  <c r="R225" i="2"/>
  <c r="P225" i="2"/>
  <c r="O225" i="2"/>
  <c r="N225" i="2"/>
  <c r="M225" i="2"/>
  <c r="L225" i="2"/>
  <c r="J225" i="2"/>
  <c r="Y224" i="2"/>
  <c r="V224" i="2"/>
  <c r="S224" i="2"/>
  <c r="M224" i="2"/>
  <c r="Y223" i="2"/>
  <c r="V223" i="2"/>
  <c r="S223" i="2"/>
  <c r="M223" i="2"/>
  <c r="Y222" i="2"/>
  <c r="V222" i="2"/>
  <c r="S222" i="2"/>
  <c r="M222" i="2"/>
  <c r="Y221" i="2"/>
  <c r="V221" i="2"/>
  <c r="S221" i="2"/>
  <c r="M221" i="2"/>
  <c r="AA220" i="2"/>
  <c r="Z220" i="2"/>
  <c r="Y220" i="2"/>
  <c r="X220" i="2"/>
  <c r="W220" i="2"/>
  <c r="V220" i="2"/>
  <c r="U220" i="2"/>
  <c r="T220" i="2"/>
  <c r="S220" i="2"/>
  <c r="R220" i="2"/>
  <c r="P220" i="2"/>
  <c r="O220" i="2"/>
  <c r="N220" i="2"/>
  <c r="M220" i="2"/>
  <c r="L220" i="2"/>
  <c r="J220" i="2"/>
  <c r="Y219" i="2"/>
  <c r="V219" i="2"/>
  <c r="S219" i="2"/>
  <c r="M219" i="2"/>
  <c r="Y218" i="2"/>
  <c r="V218" i="2"/>
  <c r="S218" i="2"/>
  <c r="M218" i="2"/>
  <c r="Y217" i="2"/>
  <c r="V217" i="2"/>
  <c r="S217" i="2"/>
  <c r="M217" i="2"/>
  <c r="Y216" i="2"/>
  <c r="V216" i="2"/>
  <c r="S216" i="2"/>
  <c r="M216" i="2"/>
  <c r="AA215" i="2"/>
  <c r="Z215" i="2"/>
  <c r="Y215" i="2"/>
  <c r="X215" i="2"/>
  <c r="W215" i="2"/>
  <c r="V215" i="2"/>
  <c r="U215" i="2"/>
  <c r="T215" i="2"/>
  <c r="S215" i="2"/>
  <c r="R215" i="2"/>
  <c r="P215" i="2"/>
  <c r="O215" i="2"/>
  <c r="N215" i="2"/>
  <c r="M215" i="2"/>
  <c r="L215" i="2"/>
  <c r="J215" i="2"/>
  <c r="Y214" i="2"/>
  <c r="V214" i="2"/>
  <c r="S214" i="2"/>
  <c r="M214" i="2"/>
  <c r="Y213" i="2"/>
  <c r="V213" i="2"/>
  <c r="S213" i="2"/>
  <c r="M213" i="2"/>
  <c r="Y212" i="2"/>
  <c r="V212" i="2"/>
  <c r="S212" i="2"/>
  <c r="M212" i="2"/>
  <c r="Y211" i="2"/>
  <c r="V211" i="2"/>
  <c r="S211" i="2"/>
  <c r="M211" i="2"/>
  <c r="AA210" i="2"/>
  <c r="Z210" i="2"/>
  <c r="Y210" i="2"/>
  <c r="X210" i="2"/>
  <c r="W210" i="2"/>
  <c r="V210" i="2"/>
  <c r="U210" i="2"/>
  <c r="T210" i="2"/>
  <c r="S210" i="2"/>
  <c r="R210" i="2"/>
  <c r="P210" i="2"/>
  <c r="O210" i="2"/>
  <c r="N210" i="2"/>
  <c r="M210" i="2"/>
  <c r="L210" i="2"/>
  <c r="J210" i="2"/>
  <c r="Y209" i="2"/>
  <c r="V209" i="2"/>
  <c r="S209" i="2"/>
  <c r="M209" i="2"/>
  <c r="Y208" i="2"/>
  <c r="V208" i="2"/>
  <c r="S208" i="2"/>
  <c r="M208" i="2"/>
  <c r="Y207" i="2"/>
  <c r="V207" i="2"/>
  <c r="S207" i="2"/>
  <c r="M207" i="2"/>
  <c r="Y206" i="2"/>
  <c r="V206" i="2"/>
  <c r="S206" i="2"/>
  <c r="M206" i="2"/>
  <c r="AA205" i="2"/>
  <c r="Z205" i="2"/>
  <c r="Y205" i="2"/>
  <c r="X205" i="2"/>
  <c r="W205" i="2"/>
  <c r="V205" i="2"/>
  <c r="U205" i="2"/>
  <c r="T205" i="2"/>
  <c r="S205" i="2"/>
  <c r="R205" i="2"/>
  <c r="P205" i="2"/>
  <c r="O205" i="2"/>
  <c r="N205" i="2"/>
  <c r="M205" i="2"/>
  <c r="L205" i="2"/>
  <c r="J205" i="2"/>
  <c r="Y204" i="2"/>
  <c r="V204" i="2"/>
  <c r="S204" i="2"/>
  <c r="M204" i="2"/>
  <c r="Y203" i="2"/>
  <c r="V203" i="2"/>
  <c r="S203" i="2"/>
  <c r="M203" i="2"/>
  <c r="Y202" i="2"/>
  <c r="V202" i="2"/>
  <c r="S202" i="2"/>
  <c r="M202" i="2"/>
  <c r="Y201" i="2"/>
  <c r="V201" i="2"/>
  <c r="S201" i="2"/>
  <c r="M201" i="2"/>
  <c r="AA200" i="2"/>
  <c r="Z200" i="2"/>
  <c r="Y200" i="2"/>
  <c r="X200" i="2"/>
  <c r="W200" i="2"/>
  <c r="V200" i="2"/>
  <c r="U200" i="2"/>
  <c r="T200" i="2"/>
  <c r="S200" i="2"/>
  <c r="R200" i="2"/>
  <c r="P200" i="2"/>
  <c r="O200" i="2"/>
  <c r="N200" i="2"/>
  <c r="M200" i="2"/>
  <c r="L200" i="2"/>
  <c r="J200" i="2"/>
  <c r="Y199" i="2"/>
  <c r="V199" i="2"/>
  <c r="S199" i="2"/>
  <c r="M199" i="2"/>
  <c r="Y198" i="2"/>
  <c r="V198" i="2"/>
  <c r="S198" i="2"/>
  <c r="M198" i="2"/>
  <c r="Y197" i="2"/>
  <c r="V197" i="2"/>
  <c r="S197" i="2"/>
  <c r="M197" i="2"/>
  <c r="Y196" i="2"/>
  <c r="V196" i="2"/>
  <c r="S196" i="2"/>
  <c r="M196" i="2"/>
  <c r="AA195" i="2"/>
  <c r="Z195" i="2"/>
  <c r="Y195" i="2"/>
  <c r="X195" i="2"/>
  <c r="W195" i="2"/>
  <c r="V195" i="2"/>
  <c r="U195" i="2"/>
  <c r="T195" i="2"/>
  <c r="S195" i="2"/>
  <c r="R195" i="2"/>
  <c r="P195" i="2"/>
  <c r="O195" i="2"/>
  <c r="N195" i="2"/>
  <c r="M195" i="2"/>
  <c r="L195" i="2"/>
  <c r="J195" i="2"/>
  <c r="Y194" i="2"/>
  <c r="V194" i="2"/>
  <c r="S194" i="2"/>
  <c r="M194" i="2"/>
  <c r="Y193" i="2"/>
  <c r="V193" i="2"/>
  <c r="S193" i="2"/>
  <c r="M193" i="2"/>
  <c r="Y192" i="2"/>
  <c r="V192" i="2"/>
  <c r="S192" i="2"/>
  <c r="M192" i="2"/>
  <c r="Y191" i="2"/>
  <c r="V191" i="2"/>
  <c r="S191" i="2"/>
  <c r="M191" i="2"/>
  <c r="AA190" i="2"/>
  <c r="Z190" i="2"/>
  <c r="Y190" i="2"/>
  <c r="X190" i="2"/>
  <c r="W190" i="2"/>
  <c r="V190" i="2"/>
  <c r="U190" i="2"/>
  <c r="T190" i="2"/>
  <c r="S190" i="2"/>
  <c r="R190" i="2"/>
  <c r="P190" i="2"/>
  <c r="O190" i="2"/>
  <c r="N190" i="2"/>
  <c r="M190" i="2"/>
  <c r="L190" i="2"/>
  <c r="J190" i="2"/>
  <c r="Y189" i="2"/>
  <c r="V189" i="2"/>
  <c r="S189" i="2"/>
  <c r="M189" i="2"/>
  <c r="Y188" i="2"/>
  <c r="V188" i="2"/>
  <c r="S188" i="2"/>
  <c r="M188" i="2"/>
  <c r="Y187" i="2"/>
  <c r="V187" i="2"/>
  <c r="S187" i="2"/>
  <c r="M187" i="2"/>
  <c r="Y186" i="2"/>
  <c r="V186" i="2"/>
  <c r="S186" i="2"/>
  <c r="M186" i="2"/>
  <c r="AA185" i="2"/>
  <c r="Z185" i="2"/>
  <c r="Y185" i="2"/>
  <c r="X185" i="2"/>
  <c r="W185" i="2"/>
  <c r="V185" i="2"/>
  <c r="U185" i="2"/>
  <c r="T185" i="2"/>
  <c r="S185" i="2"/>
  <c r="R185" i="2"/>
  <c r="P185" i="2"/>
  <c r="O185" i="2"/>
  <c r="N185" i="2"/>
  <c r="M185" i="2"/>
  <c r="L185" i="2"/>
  <c r="J185" i="2"/>
  <c r="Y184" i="2"/>
  <c r="V184" i="2"/>
  <c r="S184" i="2"/>
  <c r="M184" i="2"/>
  <c r="Y183" i="2"/>
  <c r="V183" i="2"/>
  <c r="S183" i="2"/>
  <c r="M183" i="2"/>
  <c r="Y182" i="2"/>
  <c r="V182" i="2"/>
  <c r="S182" i="2"/>
  <c r="M182" i="2"/>
  <c r="Y181" i="2"/>
  <c r="V181" i="2"/>
  <c r="S181" i="2"/>
  <c r="M181" i="2"/>
  <c r="AA180" i="2"/>
  <c r="Z180" i="2"/>
  <c r="Y180" i="2"/>
  <c r="X180" i="2"/>
  <c r="W180" i="2"/>
  <c r="V180" i="2"/>
  <c r="U180" i="2"/>
  <c r="T180" i="2"/>
  <c r="S180" i="2"/>
  <c r="R180" i="2"/>
  <c r="P180" i="2"/>
  <c r="O180" i="2"/>
  <c r="N180" i="2"/>
  <c r="M180" i="2"/>
  <c r="L180" i="2"/>
  <c r="J180" i="2"/>
  <c r="Y179" i="2"/>
  <c r="V179" i="2"/>
  <c r="S179" i="2"/>
  <c r="M179" i="2"/>
  <c r="Y178" i="2"/>
  <c r="V178" i="2"/>
  <c r="S178" i="2"/>
  <c r="M178" i="2"/>
  <c r="Y177" i="2"/>
  <c r="V177" i="2"/>
  <c r="S177" i="2"/>
  <c r="M177" i="2"/>
  <c r="Y176" i="2"/>
  <c r="V176" i="2"/>
  <c r="S176" i="2"/>
  <c r="M176" i="2"/>
  <c r="AA175" i="2"/>
  <c r="Z175" i="2"/>
  <c r="Y175" i="2"/>
  <c r="X175" i="2"/>
  <c r="W175" i="2"/>
  <c r="V175" i="2"/>
  <c r="U175" i="2"/>
  <c r="T175" i="2"/>
  <c r="S175" i="2"/>
  <c r="R175" i="2"/>
  <c r="P175" i="2"/>
  <c r="O175" i="2"/>
  <c r="N175" i="2"/>
  <c r="M175" i="2"/>
  <c r="L175" i="2"/>
  <c r="J175" i="2"/>
  <c r="Y174" i="2"/>
  <c r="V174" i="2"/>
  <c r="S174" i="2"/>
  <c r="M174" i="2"/>
  <c r="Y173" i="2"/>
  <c r="V173" i="2"/>
  <c r="S173" i="2"/>
  <c r="M173" i="2"/>
  <c r="Y172" i="2"/>
  <c r="V172" i="2"/>
  <c r="S172" i="2"/>
  <c r="M172" i="2"/>
  <c r="AA171" i="2"/>
  <c r="Z171" i="2"/>
  <c r="Y171" i="2"/>
  <c r="X171" i="2"/>
  <c r="W171" i="2"/>
  <c r="V171" i="2"/>
  <c r="U171" i="2"/>
  <c r="T171" i="2"/>
  <c r="S171" i="2"/>
  <c r="R171" i="2"/>
  <c r="P171" i="2"/>
  <c r="O171" i="2"/>
  <c r="N171" i="2"/>
  <c r="M171" i="2"/>
  <c r="L171" i="2"/>
  <c r="J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AA167" i="2"/>
  <c r="Z167" i="2"/>
  <c r="Y167" i="2"/>
  <c r="X167" i="2"/>
  <c r="W167" i="2"/>
  <c r="V167" i="2"/>
  <c r="U167" i="2"/>
  <c r="T167" i="2"/>
  <c r="S167" i="2"/>
  <c r="R167" i="2"/>
  <c r="P167" i="2"/>
  <c r="O167" i="2"/>
  <c r="N167" i="2"/>
  <c r="M167" i="2"/>
  <c r="L167" i="2"/>
  <c r="J167" i="2"/>
  <c r="Y166" i="2"/>
  <c r="V166" i="2"/>
  <c r="S166" i="2"/>
  <c r="M166" i="2"/>
  <c r="Y165" i="2"/>
  <c r="V165" i="2"/>
  <c r="S165" i="2"/>
  <c r="M165" i="2"/>
  <c r="Y164" i="2"/>
  <c r="V164" i="2"/>
  <c r="S164" i="2"/>
  <c r="M164" i="2"/>
  <c r="Y163" i="2"/>
  <c r="V163" i="2"/>
  <c r="S163" i="2"/>
  <c r="M163" i="2"/>
  <c r="AA162" i="2"/>
  <c r="Z162" i="2"/>
  <c r="Y162" i="2"/>
  <c r="X162" i="2"/>
  <c r="W162" i="2"/>
  <c r="V162" i="2"/>
  <c r="U162" i="2"/>
  <c r="T162" i="2"/>
  <c r="S162" i="2"/>
  <c r="R162" i="2"/>
  <c r="P162" i="2"/>
  <c r="O162" i="2"/>
  <c r="N162" i="2"/>
  <c r="M162" i="2"/>
  <c r="L162" i="2"/>
  <c r="J162" i="2"/>
  <c r="Y161" i="2"/>
  <c r="V161" i="2"/>
  <c r="S161" i="2"/>
  <c r="M161" i="2"/>
  <c r="Y160" i="2"/>
  <c r="V160" i="2"/>
  <c r="S160" i="2"/>
  <c r="M160" i="2"/>
  <c r="Y159" i="2"/>
  <c r="V159" i="2"/>
  <c r="S159" i="2"/>
  <c r="M159" i="2"/>
  <c r="Y158" i="2"/>
  <c r="V158" i="2"/>
  <c r="S158" i="2"/>
  <c r="M158" i="2"/>
  <c r="AA157" i="2"/>
  <c r="Z157" i="2"/>
  <c r="Y157" i="2"/>
  <c r="X157" i="2"/>
  <c r="W157" i="2"/>
  <c r="V157" i="2"/>
  <c r="U157" i="2"/>
  <c r="T157" i="2"/>
  <c r="S157" i="2"/>
  <c r="R157" i="2"/>
  <c r="P157" i="2"/>
  <c r="O157" i="2"/>
  <c r="N157" i="2"/>
  <c r="M157" i="2"/>
  <c r="L157" i="2"/>
  <c r="J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T152" i="2"/>
  <c r="S152" i="2"/>
  <c r="R152" i="2"/>
  <c r="P152" i="2"/>
  <c r="O152" i="2"/>
  <c r="N152" i="2"/>
  <c r="M152" i="2"/>
  <c r="L152" i="2"/>
  <c r="J152" i="2"/>
  <c r="Y151" i="2"/>
  <c r="V151" i="2"/>
  <c r="S151" i="2"/>
  <c r="M151" i="2"/>
  <c r="Y150" i="2"/>
  <c r="V150" i="2"/>
  <c r="S150" i="2"/>
  <c r="M150" i="2"/>
  <c r="Y149" i="2"/>
  <c r="V149" i="2"/>
  <c r="S149" i="2"/>
  <c r="M149" i="2"/>
  <c r="Y148" i="2"/>
  <c r="V148" i="2"/>
  <c r="S148" i="2"/>
  <c r="M148" i="2"/>
  <c r="AA147" i="2"/>
  <c r="Z147" i="2"/>
  <c r="Y147" i="2"/>
  <c r="X147" i="2"/>
  <c r="W147" i="2"/>
  <c r="V147" i="2"/>
  <c r="U147" i="2"/>
  <c r="T147" i="2"/>
  <c r="S147" i="2"/>
  <c r="R147" i="2"/>
  <c r="P147" i="2"/>
  <c r="O147" i="2"/>
  <c r="N147" i="2"/>
  <c r="M147" i="2"/>
  <c r="L147" i="2"/>
  <c r="J147" i="2"/>
  <c r="Y146" i="2"/>
  <c r="V146" i="2"/>
  <c r="S146" i="2"/>
  <c r="M146" i="2"/>
  <c r="Y145" i="2"/>
  <c r="V145" i="2"/>
  <c r="S145" i="2"/>
  <c r="M145" i="2"/>
  <c r="Y144" i="2"/>
  <c r="V144" i="2"/>
  <c r="S144" i="2"/>
  <c r="M144" i="2"/>
  <c r="Y143" i="2"/>
  <c r="V143" i="2"/>
  <c r="S143" i="2"/>
  <c r="M143" i="2"/>
  <c r="AA142" i="2"/>
  <c r="Z142" i="2"/>
  <c r="Y142" i="2"/>
  <c r="X142" i="2"/>
  <c r="W142" i="2"/>
  <c r="V142" i="2"/>
  <c r="U142" i="2"/>
  <c r="T142" i="2"/>
  <c r="S142" i="2"/>
  <c r="R142" i="2"/>
  <c r="P142" i="2"/>
  <c r="O142" i="2"/>
  <c r="N142" i="2"/>
  <c r="M142" i="2"/>
  <c r="L142" i="2"/>
  <c r="J142" i="2"/>
  <c r="Y141" i="2"/>
  <c r="V141" i="2"/>
  <c r="S141" i="2"/>
  <c r="M141" i="2"/>
  <c r="Y140" i="2"/>
  <c r="V140" i="2"/>
  <c r="S140" i="2"/>
  <c r="M140" i="2"/>
  <c r="Y139" i="2"/>
  <c r="V139" i="2"/>
  <c r="S139" i="2"/>
  <c r="M139" i="2"/>
  <c r="Y138" i="2"/>
  <c r="V138" i="2"/>
  <c r="S138" i="2"/>
  <c r="M138" i="2"/>
  <c r="AA137" i="2"/>
  <c r="Z137" i="2"/>
  <c r="Y137" i="2"/>
  <c r="X137" i="2"/>
  <c r="W137" i="2"/>
  <c r="V137" i="2"/>
  <c r="U137" i="2"/>
  <c r="T137" i="2"/>
  <c r="S137" i="2"/>
  <c r="R137" i="2"/>
  <c r="P137" i="2"/>
  <c r="O137" i="2"/>
  <c r="N137" i="2"/>
  <c r="M137" i="2"/>
  <c r="L137" i="2"/>
  <c r="J137" i="2"/>
  <c r="Y136" i="2"/>
  <c r="V136" i="2"/>
  <c r="S136" i="2"/>
  <c r="M136" i="2"/>
  <c r="Y135" i="2"/>
  <c r="V135" i="2"/>
  <c r="S135" i="2"/>
  <c r="M135" i="2"/>
  <c r="Y134" i="2"/>
  <c r="V134" i="2"/>
  <c r="S134" i="2"/>
  <c r="M134" i="2"/>
  <c r="Y133" i="2"/>
  <c r="V133" i="2"/>
  <c r="S133" i="2"/>
  <c r="M133" i="2"/>
  <c r="AA132" i="2"/>
  <c r="Z132" i="2"/>
  <c r="Y132" i="2"/>
  <c r="X132" i="2"/>
  <c r="W132" i="2"/>
  <c r="V132" i="2"/>
  <c r="U132" i="2"/>
  <c r="T132" i="2"/>
  <c r="S132" i="2"/>
  <c r="R132" i="2"/>
  <c r="P132" i="2"/>
  <c r="O132" i="2"/>
  <c r="N132" i="2"/>
  <c r="M132" i="2"/>
  <c r="L132" i="2"/>
  <c r="J132" i="2"/>
  <c r="Y131" i="2"/>
  <c r="V131" i="2"/>
  <c r="S131" i="2"/>
  <c r="M131" i="2"/>
  <c r="Y130" i="2"/>
  <c r="V130" i="2"/>
  <c r="S130" i="2"/>
  <c r="M130" i="2"/>
  <c r="Y129" i="2"/>
  <c r="V129" i="2"/>
  <c r="S129" i="2"/>
  <c r="M129" i="2"/>
  <c r="Y128" i="2"/>
  <c r="V128" i="2"/>
  <c r="S128" i="2"/>
  <c r="M128" i="2"/>
  <c r="AA127" i="2"/>
  <c r="Z127" i="2"/>
  <c r="Y127" i="2"/>
  <c r="X127" i="2"/>
  <c r="W127" i="2"/>
  <c r="V127" i="2"/>
  <c r="U127" i="2"/>
  <c r="T127" i="2"/>
  <c r="S127" i="2"/>
  <c r="R127" i="2"/>
  <c r="P127" i="2"/>
  <c r="O127" i="2"/>
  <c r="N127" i="2"/>
  <c r="M127" i="2"/>
  <c r="L127" i="2"/>
  <c r="J127" i="2"/>
  <c r="Y126" i="2"/>
  <c r="V126" i="2"/>
  <c r="S126" i="2"/>
  <c r="M126" i="2"/>
  <c r="AA125" i="2"/>
  <c r="Z125" i="2"/>
  <c r="Y125" i="2"/>
  <c r="X125" i="2"/>
  <c r="W125" i="2"/>
  <c r="V125" i="2"/>
  <c r="U125" i="2"/>
  <c r="T125" i="2"/>
  <c r="S125" i="2"/>
  <c r="R125" i="2"/>
  <c r="P125" i="2"/>
  <c r="O125" i="2"/>
  <c r="N125" i="2"/>
  <c r="M125" i="2"/>
  <c r="L125" i="2"/>
  <c r="J125" i="2"/>
  <c r="Y124" i="2"/>
  <c r="V124" i="2"/>
  <c r="S124" i="2"/>
  <c r="M124" i="2"/>
  <c r="AA123" i="2"/>
  <c r="Z123" i="2"/>
  <c r="Y123" i="2"/>
  <c r="X123" i="2"/>
  <c r="W123" i="2"/>
  <c r="V123" i="2"/>
  <c r="U123" i="2"/>
  <c r="T123" i="2"/>
  <c r="S123" i="2"/>
  <c r="R123" i="2"/>
  <c r="P123" i="2"/>
  <c r="O123" i="2"/>
  <c r="N123" i="2"/>
  <c r="M123" i="2"/>
  <c r="L123" i="2"/>
  <c r="J123" i="2"/>
  <c r="Y122" i="2"/>
  <c r="V122" i="2"/>
  <c r="S122" i="2"/>
  <c r="M122" i="2"/>
  <c r="AA121" i="2"/>
  <c r="Z121" i="2"/>
  <c r="Y121" i="2"/>
  <c r="X121" i="2"/>
  <c r="W121" i="2"/>
  <c r="V121" i="2"/>
  <c r="U121" i="2"/>
  <c r="T121" i="2"/>
  <c r="S121" i="2"/>
  <c r="R121" i="2"/>
  <c r="P121" i="2"/>
  <c r="O121" i="2"/>
  <c r="N121" i="2"/>
  <c r="M121" i="2"/>
  <c r="L121" i="2"/>
  <c r="J121" i="2"/>
  <c r="Y120" i="2"/>
  <c r="V120" i="2"/>
  <c r="S120" i="2"/>
  <c r="M120" i="2"/>
  <c r="AA119" i="2"/>
  <c r="Z119" i="2"/>
  <c r="Y119" i="2"/>
  <c r="X119" i="2"/>
  <c r="W119" i="2"/>
  <c r="V119" i="2"/>
  <c r="U119" i="2"/>
  <c r="T119" i="2"/>
  <c r="S119" i="2"/>
  <c r="R119" i="2"/>
  <c r="P119" i="2"/>
  <c r="O119" i="2"/>
  <c r="N119" i="2"/>
  <c r="M119" i="2"/>
  <c r="L119" i="2"/>
  <c r="J119" i="2"/>
  <c r="Y118" i="2"/>
  <c r="V118" i="2"/>
  <c r="S118" i="2"/>
  <c r="M118" i="2"/>
  <c r="Y117" i="2"/>
  <c r="V117" i="2"/>
  <c r="S117" i="2"/>
  <c r="M117" i="2"/>
  <c r="AA116" i="2"/>
  <c r="Z116" i="2"/>
  <c r="Y116" i="2"/>
  <c r="X116" i="2"/>
  <c r="W116" i="2"/>
  <c r="V116" i="2"/>
  <c r="U116" i="2"/>
  <c r="T116" i="2"/>
  <c r="S116" i="2"/>
  <c r="R116" i="2"/>
  <c r="P116" i="2"/>
  <c r="O116" i="2"/>
  <c r="N116" i="2"/>
  <c r="M116" i="2"/>
  <c r="L116" i="2"/>
  <c r="J116" i="2"/>
  <c r="Y115" i="2"/>
  <c r="V115" i="2"/>
  <c r="S115" i="2"/>
  <c r="M115" i="2"/>
  <c r="Y114" i="2"/>
  <c r="V114" i="2"/>
  <c r="S114" i="2"/>
  <c r="M114" i="2"/>
  <c r="AA113" i="2"/>
  <c r="Z113" i="2"/>
  <c r="Y113" i="2"/>
  <c r="X113" i="2"/>
  <c r="W113" i="2"/>
  <c r="V113" i="2"/>
  <c r="U113" i="2"/>
  <c r="T113" i="2"/>
  <c r="S113" i="2"/>
  <c r="R113" i="2"/>
  <c r="P113" i="2"/>
  <c r="O113" i="2"/>
  <c r="N113" i="2"/>
  <c r="M113" i="2"/>
  <c r="L113" i="2"/>
  <c r="J113" i="2"/>
  <c r="Y112" i="2"/>
  <c r="V112" i="2"/>
  <c r="S112" i="2"/>
  <c r="M112" i="2"/>
  <c r="Y111" i="2"/>
  <c r="V111" i="2"/>
  <c r="S111" i="2"/>
  <c r="M111" i="2"/>
  <c r="AA110" i="2"/>
  <c r="Z110" i="2"/>
  <c r="Y110" i="2"/>
  <c r="X110" i="2"/>
  <c r="W110" i="2"/>
  <c r="V110" i="2"/>
  <c r="U110" i="2"/>
  <c r="T110" i="2"/>
  <c r="S110" i="2"/>
  <c r="R110" i="2"/>
  <c r="P110" i="2"/>
  <c r="O110" i="2"/>
  <c r="N110" i="2"/>
  <c r="M110" i="2"/>
  <c r="L110" i="2"/>
  <c r="J110" i="2"/>
  <c r="Y109" i="2"/>
  <c r="V109" i="2"/>
  <c r="S109" i="2"/>
  <c r="M109" i="2"/>
  <c r="Y108" i="2"/>
  <c r="V108" i="2"/>
  <c r="S108" i="2"/>
  <c r="M108" i="2"/>
  <c r="AA107" i="2"/>
  <c r="Z107" i="2"/>
  <c r="Y107" i="2"/>
  <c r="X107" i="2"/>
  <c r="W107" i="2"/>
  <c r="V107" i="2"/>
  <c r="U107" i="2"/>
  <c r="T107" i="2"/>
  <c r="S107" i="2"/>
  <c r="R107" i="2"/>
  <c r="P107" i="2"/>
  <c r="O107" i="2"/>
  <c r="N107" i="2"/>
  <c r="M107" i="2"/>
  <c r="L107" i="2"/>
  <c r="J107" i="2"/>
  <c r="Y106" i="2"/>
  <c r="V106" i="2"/>
  <c r="S106" i="2"/>
  <c r="M106" i="2"/>
  <c r="Y105" i="2"/>
  <c r="V105" i="2"/>
  <c r="S105" i="2"/>
  <c r="M105" i="2"/>
  <c r="AA104" i="2"/>
  <c r="Z104" i="2"/>
  <c r="Y104" i="2"/>
  <c r="X104" i="2"/>
  <c r="W104" i="2"/>
  <c r="V104" i="2"/>
  <c r="U104" i="2"/>
  <c r="T104" i="2"/>
  <c r="S104" i="2"/>
  <c r="R104" i="2"/>
  <c r="P104" i="2"/>
  <c r="O104" i="2"/>
  <c r="N104" i="2"/>
  <c r="M104" i="2"/>
  <c r="L104" i="2"/>
  <c r="J104" i="2"/>
  <c r="Y103" i="2"/>
  <c r="V103" i="2"/>
  <c r="S103" i="2"/>
  <c r="M103" i="2"/>
  <c r="Y102" i="2"/>
  <c r="V102" i="2"/>
  <c r="S102" i="2"/>
  <c r="M102" i="2"/>
  <c r="AA101" i="2"/>
  <c r="Z101" i="2"/>
  <c r="Y101" i="2"/>
  <c r="X101" i="2"/>
  <c r="W101" i="2"/>
  <c r="V101" i="2"/>
  <c r="U101" i="2"/>
  <c r="T101" i="2"/>
  <c r="S101" i="2"/>
  <c r="R101" i="2"/>
  <c r="P101" i="2"/>
  <c r="O101" i="2"/>
  <c r="N101" i="2"/>
  <c r="M101" i="2"/>
  <c r="L101" i="2"/>
  <c r="J101" i="2"/>
  <c r="Y100" i="2"/>
  <c r="V100" i="2"/>
  <c r="S100" i="2"/>
  <c r="M100" i="2"/>
  <c r="Y99" i="2"/>
  <c r="V99" i="2"/>
  <c r="S99" i="2"/>
  <c r="M99" i="2"/>
  <c r="AA98" i="2"/>
  <c r="Z98" i="2"/>
  <c r="Y98" i="2"/>
  <c r="X98" i="2"/>
  <c r="W98" i="2"/>
  <c r="V98" i="2"/>
  <c r="U98" i="2"/>
  <c r="T98" i="2"/>
  <c r="S98" i="2"/>
  <c r="R98" i="2"/>
  <c r="P98" i="2"/>
  <c r="O98" i="2"/>
  <c r="N98" i="2"/>
  <c r="M98" i="2"/>
  <c r="L98" i="2"/>
  <c r="J98" i="2"/>
  <c r="Y97" i="2"/>
  <c r="V97" i="2"/>
  <c r="S97" i="2"/>
  <c r="M97" i="2"/>
  <c r="Y96" i="2"/>
  <c r="V96" i="2"/>
  <c r="S96" i="2"/>
  <c r="M96" i="2"/>
  <c r="AA95" i="2"/>
  <c r="Z95" i="2"/>
  <c r="Y95" i="2"/>
  <c r="X95" i="2"/>
  <c r="W95" i="2"/>
  <c r="V95" i="2"/>
  <c r="U95" i="2"/>
  <c r="T95" i="2"/>
  <c r="S95" i="2"/>
  <c r="R95" i="2"/>
  <c r="P95" i="2"/>
  <c r="O95" i="2"/>
  <c r="N95" i="2"/>
  <c r="M95" i="2"/>
  <c r="L95" i="2"/>
  <c r="J95" i="2"/>
  <c r="Y94" i="2"/>
  <c r="V94" i="2"/>
  <c r="S94" i="2"/>
  <c r="M94" i="2"/>
  <c r="Y93" i="2"/>
  <c r="V93" i="2"/>
  <c r="S93" i="2"/>
  <c r="M93" i="2"/>
  <c r="AA92" i="2"/>
  <c r="Z92" i="2"/>
  <c r="Y92" i="2"/>
  <c r="X92" i="2"/>
  <c r="W92" i="2"/>
  <c r="V92" i="2"/>
  <c r="U92" i="2"/>
  <c r="T92" i="2"/>
  <c r="S92" i="2"/>
  <c r="R92" i="2"/>
  <c r="P92" i="2"/>
  <c r="O92" i="2"/>
  <c r="N92" i="2"/>
  <c r="M92" i="2"/>
  <c r="L92" i="2"/>
  <c r="J92" i="2"/>
  <c r="Y91" i="2"/>
  <c r="V91" i="2"/>
  <c r="S91" i="2"/>
  <c r="M91" i="2"/>
  <c r="Y90" i="2"/>
  <c r="V90" i="2"/>
  <c r="S90" i="2"/>
  <c r="M90" i="2"/>
  <c r="AA89" i="2"/>
  <c r="Z89" i="2"/>
  <c r="Y89" i="2"/>
  <c r="X89" i="2"/>
  <c r="W89" i="2"/>
  <c r="V89" i="2"/>
  <c r="U89" i="2"/>
  <c r="T89" i="2"/>
  <c r="S89" i="2"/>
  <c r="R89" i="2"/>
  <c r="P89" i="2"/>
  <c r="O89" i="2"/>
  <c r="N89" i="2"/>
  <c r="M89" i="2"/>
  <c r="L89" i="2"/>
  <c r="J89" i="2"/>
  <c r="Y88" i="2"/>
  <c r="V88" i="2"/>
  <c r="S88" i="2"/>
  <c r="M88" i="2"/>
  <c r="Y87" i="2"/>
  <c r="V87" i="2"/>
  <c r="S87" i="2"/>
  <c r="M87" i="2"/>
  <c r="AA86" i="2"/>
  <c r="Z86" i="2"/>
  <c r="Y86" i="2"/>
  <c r="X86" i="2"/>
  <c r="W86" i="2"/>
  <c r="V86" i="2"/>
  <c r="U86" i="2"/>
  <c r="T86" i="2"/>
  <c r="S86" i="2"/>
  <c r="R86" i="2"/>
  <c r="P86" i="2"/>
  <c r="O86" i="2"/>
  <c r="N86" i="2"/>
  <c r="M86" i="2"/>
  <c r="L86" i="2"/>
  <c r="J86" i="2"/>
  <c r="Y85" i="2"/>
  <c r="V85" i="2"/>
  <c r="S85" i="2"/>
  <c r="M85" i="2"/>
  <c r="Y84" i="2"/>
  <c r="V84" i="2"/>
  <c r="S84" i="2"/>
  <c r="M84" i="2"/>
  <c r="AA83" i="2"/>
  <c r="Z83" i="2"/>
  <c r="Y83" i="2"/>
  <c r="X83" i="2"/>
  <c r="W83" i="2"/>
  <c r="V83" i="2"/>
  <c r="U83" i="2"/>
  <c r="T83" i="2"/>
  <c r="S83" i="2"/>
  <c r="R83" i="2"/>
  <c r="P83" i="2"/>
  <c r="O83" i="2"/>
  <c r="N83" i="2"/>
  <c r="M83" i="2"/>
  <c r="L83" i="2"/>
  <c r="J83" i="2"/>
  <c r="Y82" i="2"/>
  <c r="V82" i="2"/>
  <c r="S82" i="2"/>
  <c r="M82" i="2"/>
  <c r="Y81" i="2"/>
  <c r="V81" i="2"/>
  <c r="S81" i="2"/>
  <c r="M81" i="2"/>
  <c r="AA80" i="2"/>
  <c r="Z80" i="2"/>
  <c r="Y80" i="2"/>
  <c r="X80" i="2"/>
  <c r="W80" i="2"/>
  <c r="V80" i="2"/>
  <c r="U80" i="2"/>
  <c r="T80" i="2"/>
  <c r="S80" i="2"/>
  <c r="R80" i="2"/>
  <c r="P80" i="2"/>
  <c r="O80" i="2"/>
  <c r="N80" i="2"/>
  <c r="M80" i="2"/>
  <c r="L80" i="2"/>
  <c r="J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T76" i="2"/>
  <c r="S76" i="2"/>
  <c r="R76" i="2"/>
  <c r="P76" i="2"/>
  <c r="O76" i="2"/>
  <c r="N76" i="2"/>
  <c r="M76" i="2"/>
  <c r="L76" i="2"/>
  <c r="J76" i="2"/>
  <c r="Y75" i="2"/>
  <c r="V75" i="2"/>
  <c r="S75" i="2"/>
  <c r="M75" i="2"/>
  <c r="Y74" i="2"/>
  <c r="V74" i="2"/>
  <c r="S74" i="2"/>
  <c r="M74" i="2"/>
  <c r="Y73" i="2"/>
  <c r="V73" i="2"/>
  <c r="S73" i="2"/>
  <c r="M73" i="2"/>
  <c r="AA72" i="2"/>
  <c r="Z72" i="2"/>
  <c r="Y72" i="2"/>
  <c r="X72" i="2"/>
  <c r="W72" i="2"/>
  <c r="V72" i="2"/>
  <c r="U72" i="2"/>
  <c r="T72" i="2"/>
  <c r="S72" i="2"/>
  <c r="R72" i="2"/>
  <c r="P72" i="2"/>
  <c r="O72" i="2"/>
  <c r="N72" i="2"/>
  <c r="M72" i="2"/>
  <c r="L72" i="2"/>
  <c r="J72" i="2"/>
  <c r="Y71" i="2"/>
  <c r="V71" i="2"/>
  <c r="S71" i="2"/>
  <c r="M71" i="2"/>
  <c r="Y70" i="2"/>
  <c r="V70" i="2"/>
  <c r="S70" i="2"/>
  <c r="M70" i="2"/>
  <c r="Y69" i="2"/>
  <c r="V69" i="2"/>
  <c r="S69" i="2"/>
  <c r="M69" i="2"/>
  <c r="AA68" i="2"/>
  <c r="Z68" i="2"/>
  <c r="Y68" i="2"/>
  <c r="X68" i="2"/>
  <c r="W68" i="2"/>
  <c r="V68" i="2"/>
  <c r="U68" i="2"/>
  <c r="T68" i="2"/>
  <c r="S68" i="2"/>
  <c r="R68" i="2"/>
  <c r="P68" i="2"/>
  <c r="O68" i="2"/>
  <c r="N68" i="2"/>
  <c r="M68" i="2"/>
  <c r="L68" i="2"/>
  <c r="J68" i="2"/>
  <c r="Y67" i="2"/>
  <c r="V67" i="2"/>
  <c r="S67" i="2"/>
  <c r="M67" i="2"/>
  <c r="Y66" i="2"/>
  <c r="V66" i="2"/>
  <c r="S66" i="2"/>
  <c r="M66" i="2"/>
  <c r="Y65" i="2"/>
  <c r="V65" i="2"/>
  <c r="S65" i="2"/>
  <c r="M65" i="2"/>
  <c r="AA64" i="2"/>
  <c r="Z64" i="2"/>
  <c r="Y64" i="2"/>
  <c r="X64" i="2"/>
  <c r="W64" i="2"/>
  <c r="V64" i="2"/>
  <c r="U64" i="2"/>
  <c r="T64" i="2"/>
  <c r="S64" i="2"/>
  <c r="R64" i="2"/>
  <c r="P64" i="2"/>
  <c r="O64" i="2"/>
  <c r="N64" i="2"/>
  <c r="M64" i="2"/>
  <c r="L64" i="2"/>
  <c r="J64" i="2"/>
  <c r="Y63" i="2"/>
  <c r="V63" i="2"/>
  <c r="S63" i="2"/>
  <c r="M63" i="2"/>
  <c r="Y62" i="2"/>
  <c r="V62" i="2"/>
  <c r="S62" i="2"/>
  <c r="M62" i="2"/>
  <c r="Y61" i="2"/>
  <c r="V61" i="2"/>
  <c r="S61" i="2"/>
  <c r="M61" i="2"/>
  <c r="AA60" i="2"/>
  <c r="Z60" i="2"/>
  <c r="Y60" i="2"/>
  <c r="X60" i="2"/>
  <c r="W60" i="2"/>
  <c r="V60" i="2"/>
  <c r="U60" i="2"/>
  <c r="T60" i="2"/>
  <c r="S60" i="2"/>
  <c r="R60" i="2"/>
  <c r="P60" i="2"/>
  <c r="O60" i="2"/>
  <c r="N60" i="2"/>
  <c r="M60" i="2"/>
  <c r="L60" i="2"/>
  <c r="J60" i="2"/>
  <c r="AA59" i="2"/>
  <c r="Z59" i="2"/>
  <c r="Y59" i="2"/>
  <c r="U59" i="2"/>
  <c r="T59" i="2"/>
  <c r="S59" i="2"/>
  <c r="O59" i="2"/>
  <c r="N59" i="2"/>
  <c r="M59" i="2"/>
  <c r="AA58" i="2"/>
  <c r="Z58" i="2"/>
  <c r="Y58" i="2"/>
  <c r="U58" i="2"/>
  <c r="T58" i="2"/>
  <c r="S58" i="2"/>
  <c r="O58" i="2"/>
  <c r="N58" i="2"/>
  <c r="M58" i="2"/>
  <c r="AA57" i="2"/>
  <c r="Z57" i="2"/>
  <c r="Y57" i="2"/>
  <c r="U57" i="2"/>
  <c r="T57" i="2"/>
  <c r="S57" i="2"/>
  <c r="O57" i="2"/>
  <c r="N57" i="2"/>
  <c r="M57" i="2"/>
  <c r="AA56" i="2"/>
  <c r="Z56" i="2"/>
  <c r="Y56" i="2"/>
  <c r="U56" i="2"/>
  <c r="T56" i="2"/>
  <c r="S56" i="2"/>
  <c r="O56" i="2"/>
  <c r="N56" i="2"/>
  <c r="M56" i="2"/>
  <c r="AA55" i="2"/>
  <c r="Z55" i="2"/>
  <c r="Y55" i="2"/>
  <c r="U55" i="2"/>
  <c r="T55" i="2"/>
  <c r="S55" i="2"/>
  <c r="O55" i="2"/>
  <c r="N55" i="2"/>
  <c r="M55" i="2"/>
  <c r="Y54" i="2"/>
  <c r="V54" i="2"/>
  <c r="S54" i="2"/>
  <c r="M54" i="2"/>
  <c r="Y53" i="2"/>
  <c r="V53" i="2"/>
  <c r="S53" i="2"/>
  <c r="M53" i="2"/>
  <c r="Y52" i="2"/>
  <c r="V52" i="2"/>
  <c r="S52" i="2"/>
  <c r="M52" i="2"/>
  <c r="Y51" i="2"/>
  <c r="V51" i="2"/>
  <c r="S51" i="2"/>
  <c r="M51" i="2"/>
  <c r="AA50" i="2"/>
  <c r="Z50" i="2"/>
  <c r="Y50" i="2"/>
  <c r="X50" i="2"/>
  <c r="W50" i="2"/>
  <c r="V50" i="2"/>
  <c r="U50" i="2"/>
  <c r="T50" i="2"/>
  <c r="S50" i="2"/>
  <c r="R50" i="2"/>
  <c r="P50" i="2"/>
  <c r="O50" i="2"/>
  <c r="N50" i="2"/>
  <c r="M50" i="2"/>
  <c r="L50" i="2"/>
  <c r="J50" i="2"/>
  <c r="Y49" i="2"/>
  <c r="V49" i="2"/>
  <c r="S49" i="2"/>
  <c r="M49" i="2"/>
  <c r="Y48" i="2"/>
  <c r="V48" i="2"/>
  <c r="S48" i="2"/>
  <c r="M48" i="2"/>
  <c r="Y47" i="2"/>
  <c r="V47" i="2"/>
  <c r="S47" i="2"/>
  <c r="M47" i="2"/>
  <c r="Y46" i="2"/>
  <c r="V46" i="2"/>
  <c r="S46" i="2"/>
  <c r="M46" i="2"/>
  <c r="AA45" i="2"/>
  <c r="Z45" i="2"/>
  <c r="Y45" i="2"/>
  <c r="X45" i="2"/>
  <c r="W45" i="2"/>
  <c r="V45" i="2"/>
  <c r="U45" i="2"/>
  <c r="T45" i="2"/>
  <c r="S45" i="2"/>
  <c r="R45" i="2"/>
  <c r="P45" i="2"/>
  <c r="O45" i="2"/>
  <c r="N45" i="2"/>
  <c r="M45" i="2"/>
  <c r="L45" i="2"/>
  <c r="J45" i="2"/>
  <c r="Y44" i="2"/>
  <c r="V44" i="2"/>
  <c r="S44" i="2"/>
  <c r="M44" i="2"/>
  <c r="Y43" i="2"/>
  <c r="V43" i="2"/>
  <c r="S43" i="2"/>
  <c r="M43" i="2"/>
  <c r="Y42" i="2"/>
  <c r="V42" i="2"/>
  <c r="S42" i="2"/>
  <c r="M42" i="2"/>
  <c r="Y41" i="2"/>
  <c r="V41" i="2"/>
  <c r="S41" i="2"/>
  <c r="M41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J40" i="2"/>
  <c r="Y39" i="2"/>
  <c r="V39" i="2"/>
  <c r="S39" i="2"/>
  <c r="M39" i="2"/>
  <c r="Y38" i="2"/>
  <c r="V38" i="2"/>
  <c r="S38" i="2"/>
  <c r="M38" i="2"/>
  <c r="Y37" i="2"/>
  <c r="V37" i="2"/>
  <c r="S37" i="2"/>
  <c r="M37" i="2"/>
  <c r="Y36" i="2"/>
  <c r="V36" i="2"/>
  <c r="S36" i="2"/>
  <c r="M36" i="2"/>
  <c r="AA35" i="2"/>
  <c r="Z35" i="2"/>
  <c r="Y35" i="2"/>
  <c r="X35" i="2"/>
  <c r="W35" i="2"/>
  <c r="V35" i="2"/>
  <c r="U35" i="2"/>
  <c r="T35" i="2"/>
  <c r="S35" i="2"/>
  <c r="R35" i="2"/>
  <c r="P35" i="2"/>
  <c r="O35" i="2"/>
  <c r="N35" i="2"/>
  <c r="M35" i="2"/>
  <c r="L35" i="2"/>
  <c r="J35" i="2"/>
  <c r="Y34" i="2"/>
  <c r="V34" i="2"/>
  <c r="S34" i="2"/>
  <c r="M34" i="2"/>
  <c r="Y33" i="2"/>
  <c r="V33" i="2"/>
  <c r="S33" i="2"/>
  <c r="M33" i="2"/>
  <c r="Y32" i="2"/>
  <c r="V32" i="2"/>
  <c r="S32" i="2"/>
  <c r="M32" i="2"/>
  <c r="Y31" i="2"/>
  <c r="V31" i="2"/>
  <c r="S31" i="2"/>
  <c r="M31" i="2"/>
  <c r="AA30" i="2"/>
  <c r="Z30" i="2"/>
  <c r="Y30" i="2"/>
  <c r="X30" i="2"/>
  <c r="W30" i="2"/>
  <c r="V30" i="2"/>
  <c r="U30" i="2"/>
  <c r="T30" i="2"/>
  <c r="S30" i="2"/>
  <c r="R30" i="2"/>
  <c r="P30" i="2"/>
  <c r="O30" i="2"/>
  <c r="N30" i="2"/>
  <c r="M30" i="2"/>
  <c r="L30" i="2"/>
  <c r="J30" i="2"/>
  <c r="Y29" i="2"/>
  <c r="V29" i="2"/>
  <c r="S29" i="2"/>
  <c r="M29" i="2"/>
  <c r="Y28" i="2"/>
  <c r="V28" i="2"/>
  <c r="S28" i="2"/>
  <c r="M28" i="2"/>
  <c r="Y27" i="2"/>
  <c r="V27" i="2"/>
  <c r="S27" i="2"/>
  <c r="M27" i="2"/>
  <c r="Y26" i="2"/>
  <c r="V26" i="2"/>
  <c r="S26" i="2"/>
  <c r="M26" i="2"/>
  <c r="AA25" i="2"/>
  <c r="Z25" i="2"/>
  <c r="Y25" i="2"/>
  <c r="X25" i="2"/>
  <c r="W25" i="2"/>
  <c r="V25" i="2"/>
  <c r="U25" i="2"/>
  <c r="T25" i="2"/>
  <c r="S25" i="2"/>
  <c r="R25" i="2"/>
  <c r="P25" i="2"/>
  <c r="O25" i="2"/>
  <c r="N25" i="2"/>
  <c r="M25" i="2"/>
  <c r="L25" i="2"/>
  <c r="J25" i="2"/>
  <c r="Y24" i="2"/>
  <c r="V24" i="2"/>
  <c r="S24" i="2"/>
  <c r="M24" i="2"/>
  <c r="Y23" i="2"/>
  <c r="V23" i="2"/>
  <c r="S23" i="2"/>
  <c r="M23" i="2"/>
  <c r="Y22" i="2"/>
  <c r="V22" i="2"/>
  <c r="S22" i="2"/>
  <c r="M22" i="2"/>
  <c r="Y21" i="2"/>
  <c r="V21" i="2"/>
  <c r="S21" i="2"/>
  <c r="M21" i="2"/>
  <c r="AA20" i="2"/>
  <c r="Z20" i="2"/>
  <c r="Y20" i="2"/>
  <c r="X20" i="2"/>
  <c r="W20" i="2"/>
  <c r="V20" i="2"/>
  <c r="U20" i="2"/>
  <c r="T20" i="2"/>
  <c r="S20" i="2"/>
  <c r="R20" i="2"/>
  <c r="P20" i="2"/>
  <c r="O20" i="2"/>
  <c r="N20" i="2"/>
  <c r="M20" i="2"/>
  <c r="L20" i="2"/>
  <c r="J20" i="2"/>
  <c r="Y19" i="2"/>
  <c r="V19" i="2"/>
  <c r="S19" i="2"/>
  <c r="M19" i="2"/>
  <c r="Y18" i="2"/>
  <c r="V18" i="2"/>
  <c r="S18" i="2"/>
  <c r="M18" i="2"/>
  <c r="Y17" i="2"/>
  <c r="V17" i="2"/>
  <c r="S17" i="2"/>
  <c r="M17" i="2"/>
  <c r="Y16" i="2"/>
  <c r="V16" i="2"/>
  <c r="S16" i="2"/>
  <c r="M16" i="2"/>
  <c r="AA15" i="2"/>
  <c r="Z15" i="2"/>
  <c r="Y15" i="2"/>
  <c r="X15" i="2"/>
  <c r="W15" i="2"/>
  <c r="V15" i="2"/>
  <c r="U15" i="2"/>
  <c r="T15" i="2"/>
  <c r="S15" i="2"/>
  <c r="R15" i="2"/>
  <c r="P15" i="2"/>
  <c r="O15" i="2"/>
  <c r="N15" i="2"/>
  <c r="M15" i="2"/>
  <c r="L15" i="2"/>
  <c r="J15" i="2"/>
  <c r="AA14" i="2"/>
  <c r="Z14" i="2"/>
  <c r="Y14" i="2"/>
  <c r="U14" i="2"/>
  <c r="T14" i="2"/>
  <c r="S14" i="2"/>
  <c r="O14" i="2"/>
  <c r="N14" i="2"/>
  <c r="M14" i="2"/>
  <c r="AA13" i="2"/>
  <c r="Z13" i="2"/>
  <c r="Y13" i="2"/>
  <c r="U13" i="2"/>
  <c r="T13" i="2"/>
  <c r="S13" i="2"/>
  <c r="O13" i="2"/>
  <c r="N13" i="2"/>
  <c r="M13" i="2"/>
  <c r="AA12" i="2"/>
  <c r="Z12" i="2"/>
  <c r="Y12" i="2"/>
  <c r="U12" i="2"/>
  <c r="T12" i="2"/>
  <c r="S12" i="2"/>
  <c r="O12" i="2"/>
  <c r="N12" i="2"/>
  <c r="M12" i="2"/>
  <c r="AA11" i="2"/>
  <c r="Z11" i="2"/>
  <c r="Y11" i="2"/>
  <c r="U11" i="2"/>
  <c r="T11" i="2"/>
  <c r="S11" i="2"/>
  <c r="O11" i="2"/>
  <c r="N11" i="2"/>
  <c r="M11" i="2"/>
  <c r="AA10" i="2"/>
  <c r="Z10" i="2"/>
  <c r="Y10" i="2"/>
  <c r="U10" i="2"/>
  <c r="T10" i="2"/>
  <c r="S10" i="2"/>
  <c r="O10" i="2"/>
  <c r="N10" i="2"/>
  <c r="M10" i="2"/>
  <c r="AA9" i="2"/>
  <c r="Z9" i="2"/>
  <c r="Y9" i="2"/>
  <c r="U9" i="2"/>
  <c r="T9" i="2"/>
  <c r="S9" i="2"/>
  <c r="O9" i="2"/>
  <c r="N9" i="2"/>
  <c r="M9" i="2"/>
  <c r="AA8" i="2"/>
  <c r="Z8" i="2"/>
  <c r="Y8" i="2"/>
  <c r="U8" i="2"/>
  <c r="T8" i="2"/>
  <c r="S8" i="2"/>
  <c r="O8" i="2"/>
  <c r="N8" i="2"/>
  <c r="M8" i="2"/>
  <c r="AA830" i="1"/>
  <c r="Z830" i="1"/>
  <c r="Y830" i="1"/>
  <c r="U830" i="1"/>
  <c r="T830" i="1"/>
  <c r="S830" i="1"/>
  <c r="O830" i="1"/>
  <c r="N830" i="1"/>
  <c r="M830" i="1"/>
  <c r="Y829" i="1"/>
  <c r="V829" i="1"/>
  <c r="S829" i="1"/>
  <c r="M829" i="1"/>
  <c r="AA828" i="1"/>
  <c r="Z828" i="1"/>
  <c r="Y828" i="1"/>
  <c r="X828" i="1"/>
  <c r="W828" i="1"/>
  <c r="V828" i="1"/>
  <c r="U828" i="1"/>
  <c r="T828" i="1"/>
  <c r="S828" i="1"/>
  <c r="R828" i="1"/>
  <c r="P828" i="1"/>
  <c r="O828" i="1"/>
  <c r="N828" i="1"/>
  <c r="M828" i="1"/>
  <c r="L828" i="1"/>
  <c r="J828" i="1"/>
  <c r="Y827" i="1"/>
  <c r="V827" i="1"/>
  <c r="S827" i="1"/>
  <c r="M827" i="1"/>
  <c r="AA826" i="1"/>
  <c r="Z826" i="1"/>
  <c r="Y826" i="1"/>
  <c r="X826" i="1"/>
  <c r="W826" i="1"/>
  <c r="V826" i="1"/>
  <c r="U826" i="1"/>
  <c r="T826" i="1"/>
  <c r="S826" i="1"/>
  <c r="R826" i="1"/>
  <c r="P826" i="1"/>
  <c r="O826" i="1"/>
  <c r="N826" i="1"/>
  <c r="M826" i="1"/>
  <c r="L826" i="1"/>
  <c r="J826" i="1"/>
  <c r="Y825" i="1"/>
  <c r="V825" i="1"/>
  <c r="S825" i="1"/>
  <c r="M825" i="1"/>
  <c r="AA824" i="1"/>
  <c r="Z824" i="1"/>
  <c r="Y824" i="1"/>
  <c r="X824" i="1"/>
  <c r="W824" i="1"/>
  <c r="V824" i="1"/>
  <c r="U824" i="1"/>
  <c r="T824" i="1"/>
  <c r="S824" i="1"/>
  <c r="R824" i="1"/>
  <c r="P824" i="1"/>
  <c r="O824" i="1"/>
  <c r="N824" i="1"/>
  <c r="M824" i="1"/>
  <c r="L824" i="1"/>
  <c r="J824" i="1"/>
  <c r="Y823" i="1"/>
  <c r="V823" i="1"/>
  <c r="S823" i="1"/>
  <c r="M823" i="1"/>
  <c r="AA822" i="1"/>
  <c r="Z822" i="1"/>
  <c r="Y822" i="1"/>
  <c r="X822" i="1"/>
  <c r="W822" i="1"/>
  <c r="V822" i="1"/>
  <c r="U822" i="1"/>
  <c r="T822" i="1"/>
  <c r="S822" i="1"/>
  <c r="R822" i="1"/>
  <c r="P822" i="1"/>
  <c r="O822" i="1"/>
  <c r="N822" i="1"/>
  <c r="M822" i="1"/>
  <c r="L822" i="1"/>
  <c r="J822" i="1"/>
  <c r="Y821" i="1"/>
  <c r="V821" i="1"/>
  <c r="S821" i="1"/>
  <c r="M821" i="1"/>
  <c r="Y820" i="1"/>
  <c r="V820" i="1"/>
  <c r="S820" i="1"/>
  <c r="M820" i="1"/>
  <c r="Z819" i="1"/>
  <c r="X819" i="1"/>
  <c r="W819" i="1"/>
  <c r="AA818" i="1"/>
  <c r="Z818" i="1"/>
  <c r="Y818" i="1"/>
  <c r="X818" i="1"/>
  <c r="W818" i="1"/>
  <c r="V818" i="1"/>
  <c r="U818" i="1"/>
  <c r="T818" i="1"/>
  <c r="S818" i="1"/>
  <c r="R818" i="1"/>
  <c r="P818" i="1"/>
  <c r="O818" i="1"/>
  <c r="N818" i="1"/>
  <c r="M818" i="1"/>
  <c r="L818" i="1"/>
  <c r="J818" i="1"/>
  <c r="Y817" i="1"/>
  <c r="V817" i="1"/>
  <c r="S817" i="1"/>
  <c r="M817" i="1"/>
  <c r="Y816" i="1"/>
  <c r="V816" i="1"/>
  <c r="S816" i="1"/>
  <c r="M816" i="1"/>
  <c r="Z815" i="1"/>
  <c r="X815" i="1"/>
  <c r="W815" i="1"/>
  <c r="AA814" i="1"/>
  <c r="Z814" i="1"/>
  <c r="Y814" i="1"/>
  <c r="X814" i="1"/>
  <c r="W814" i="1"/>
  <c r="V814" i="1"/>
  <c r="U814" i="1"/>
  <c r="T814" i="1"/>
  <c r="S814" i="1"/>
  <c r="R814" i="1"/>
  <c r="P814" i="1"/>
  <c r="O814" i="1"/>
  <c r="N814" i="1"/>
  <c r="M814" i="1"/>
  <c r="L814" i="1"/>
  <c r="J814" i="1"/>
  <c r="Y813" i="1"/>
  <c r="V813" i="1"/>
  <c r="S813" i="1"/>
  <c r="M813" i="1"/>
  <c r="Y812" i="1"/>
  <c r="V812" i="1"/>
  <c r="S812" i="1"/>
  <c r="M812" i="1"/>
  <c r="Z811" i="1"/>
  <c r="X811" i="1"/>
  <c r="W811" i="1"/>
  <c r="AA810" i="1"/>
  <c r="Z810" i="1"/>
  <c r="Y810" i="1"/>
  <c r="X810" i="1"/>
  <c r="W810" i="1"/>
  <c r="V810" i="1"/>
  <c r="U810" i="1"/>
  <c r="T810" i="1"/>
  <c r="S810" i="1"/>
  <c r="R810" i="1"/>
  <c r="P810" i="1"/>
  <c r="O810" i="1"/>
  <c r="N810" i="1"/>
  <c r="M810" i="1"/>
  <c r="L810" i="1"/>
  <c r="J810" i="1"/>
  <c r="Y809" i="1"/>
  <c r="V809" i="1"/>
  <c r="S809" i="1"/>
  <c r="M809" i="1"/>
  <c r="Y808" i="1"/>
  <c r="V808" i="1"/>
  <c r="S808" i="1"/>
  <c r="M808" i="1"/>
  <c r="Z807" i="1"/>
  <c r="X807" i="1"/>
  <c r="W807" i="1"/>
  <c r="AA806" i="1"/>
  <c r="Z806" i="1"/>
  <c r="Y806" i="1"/>
  <c r="X806" i="1"/>
  <c r="W806" i="1"/>
  <c r="V806" i="1"/>
  <c r="U806" i="1"/>
  <c r="T806" i="1"/>
  <c r="S806" i="1"/>
  <c r="R806" i="1"/>
  <c r="P806" i="1"/>
  <c r="O806" i="1"/>
  <c r="N806" i="1"/>
  <c r="M806" i="1"/>
  <c r="L806" i="1"/>
  <c r="J806" i="1"/>
  <c r="Y805" i="1"/>
  <c r="V805" i="1"/>
  <c r="S805" i="1"/>
  <c r="M805" i="1"/>
  <c r="Y804" i="1"/>
  <c r="V804" i="1"/>
  <c r="S804" i="1"/>
  <c r="M804" i="1"/>
  <c r="Y803" i="1"/>
  <c r="V803" i="1"/>
  <c r="S803" i="1"/>
  <c r="M803" i="1"/>
  <c r="Y802" i="1"/>
  <c r="V802" i="1"/>
  <c r="S802" i="1"/>
  <c r="M802" i="1"/>
  <c r="Y801" i="1"/>
  <c r="V801" i="1"/>
  <c r="S801" i="1"/>
  <c r="M801" i="1"/>
  <c r="Y800" i="1"/>
  <c r="V800" i="1"/>
  <c r="S800" i="1"/>
  <c r="M800" i="1"/>
  <c r="Y799" i="1"/>
  <c r="V799" i="1"/>
  <c r="S799" i="1"/>
  <c r="M799" i="1"/>
  <c r="Y798" i="1"/>
  <c r="V798" i="1"/>
  <c r="S798" i="1"/>
  <c r="M798" i="1"/>
  <c r="Y797" i="1"/>
  <c r="V797" i="1"/>
  <c r="S797" i="1"/>
  <c r="M797" i="1"/>
  <c r="Y796" i="1"/>
  <c r="V796" i="1"/>
  <c r="S796" i="1"/>
  <c r="M796" i="1"/>
  <c r="Y795" i="1"/>
  <c r="V795" i="1"/>
  <c r="S795" i="1"/>
  <c r="M795" i="1"/>
  <c r="Y794" i="1"/>
  <c r="V794" i="1"/>
  <c r="S794" i="1"/>
  <c r="M794" i="1"/>
  <c r="Y793" i="1"/>
  <c r="V793" i="1"/>
  <c r="S793" i="1"/>
  <c r="M793" i="1"/>
  <c r="AA792" i="1"/>
  <c r="Z792" i="1"/>
  <c r="Y792" i="1"/>
  <c r="X792" i="1"/>
  <c r="W792" i="1"/>
  <c r="V792" i="1"/>
  <c r="U792" i="1"/>
  <c r="T792" i="1"/>
  <c r="S792" i="1"/>
  <c r="R792" i="1"/>
  <c r="P792" i="1"/>
  <c r="O792" i="1"/>
  <c r="N792" i="1"/>
  <c r="M792" i="1"/>
  <c r="L792" i="1"/>
  <c r="J792" i="1"/>
  <c r="Y791" i="1"/>
  <c r="V791" i="1"/>
  <c r="S791" i="1"/>
  <c r="M791" i="1"/>
  <c r="Y790" i="1"/>
  <c r="V790" i="1"/>
  <c r="S790" i="1"/>
  <c r="M790" i="1"/>
  <c r="Y789" i="1"/>
  <c r="V789" i="1"/>
  <c r="S789" i="1"/>
  <c r="M789" i="1"/>
  <c r="Y788" i="1"/>
  <c r="V788" i="1"/>
  <c r="S788" i="1"/>
  <c r="M788" i="1"/>
  <c r="Y787" i="1"/>
  <c r="V787" i="1"/>
  <c r="S787" i="1"/>
  <c r="M787" i="1"/>
  <c r="Y786" i="1"/>
  <c r="V786" i="1"/>
  <c r="S786" i="1"/>
  <c r="M786" i="1"/>
  <c r="Y785" i="1"/>
  <c r="V785" i="1"/>
  <c r="S785" i="1"/>
  <c r="M785" i="1"/>
  <c r="Y784" i="1"/>
  <c r="V784" i="1"/>
  <c r="S784" i="1"/>
  <c r="M784" i="1"/>
  <c r="Y783" i="1"/>
  <c r="V783" i="1"/>
  <c r="S783" i="1"/>
  <c r="M783" i="1"/>
  <c r="Y782" i="1"/>
  <c r="V782" i="1"/>
  <c r="S782" i="1"/>
  <c r="M782" i="1"/>
  <c r="Y781" i="1"/>
  <c r="V781" i="1"/>
  <c r="S781" i="1"/>
  <c r="M781" i="1"/>
  <c r="Y780" i="1"/>
  <c r="V780" i="1"/>
  <c r="S780" i="1"/>
  <c r="M780" i="1"/>
  <c r="Y779" i="1"/>
  <c r="V779" i="1"/>
  <c r="S779" i="1"/>
  <c r="M779" i="1"/>
  <c r="Y778" i="1"/>
  <c r="V778" i="1"/>
  <c r="S778" i="1"/>
  <c r="M778" i="1"/>
  <c r="Y777" i="1"/>
  <c r="V777" i="1"/>
  <c r="S777" i="1"/>
  <c r="M777" i="1"/>
  <c r="Y776" i="1"/>
  <c r="V776" i="1"/>
  <c r="S776" i="1"/>
  <c r="M776" i="1"/>
  <c r="Y775" i="1"/>
  <c r="V775" i="1"/>
  <c r="S775" i="1"/>
  <c r="M775" i="1"/>
  <c r="Y774" i="1"/>
  <c r="V774" i="1"/>
  <c r="S774" i="1"/>
  <c r="M774" i="1"/>
  <c r="Y773" i="1"/>
  <c r="V773" i="1"/>
  <c r="S773" i="1"/>
  <c r="M773" i="1"/>
  <c r="Y772" i="1"/>
  <c r="V772" i="1"/>
  <c r="S772" i="1"/>
  <c r="M772" i="1"/>
  <c r="Y771" i="1"/>
  <c r="V771" i="1"/>
  <c r="S771" i="1"/>
  <c r="M771" i="1"/>
  <c r="Y770" i="1"/>
  <c r="V770" i="1"/>
  <c r="S770" i="1"/>
  <c r="M770" i="1"/>
  <c r="Y769" i="1"/>
  <c r="V769" i="1"/>
  <c r="S769" i="1"/>
  <c r="M769" i="1"/>
  <c r="Y768" i="1"/>
  <c r="V768" i="1"/>
  <c r="S768" i="1"/>
  <c r="M768" i="1"/>
  <c r="Y767" i="1"/>
  <c r="V767" i="1"/>
  <c r="S767" i="1"/>
  <c r="M767" i="1"/>
  <c r="Y766" i="1"/>
  <c r="V766" i="1"/>
  <c r="S766" i="1"/>
  <c r="M766" i="1"/>
  <c r="Z765" i="1"/>
  <c r="X765" i="1"/>
  <c r="W765" i="1"/>
  <c r="AA764" i="1"/>
  <c r="Z764" i="1"/>
  <c r="Y764" i="1"/>
  <c r="X764" i="1"/>
  <c r="W764" i="1"/>
  <c r="V764" i="1"/>
  <c r="U764" i="1"/>
  <c r="T764" i="1"/>
  <c r="S764" i="1"/>
  <c r="R764" i="1"/>
  <c r="P764" i="1"/>
  <c r="O764" i="1"/>
  <c r="N764" i="1"/>
  <c r="M764" i="1"/>
  <c r="L764" i="1"/>
  <c r="J764" i="1"/>
  <c r="Y763" i="1"/>
  <c r="V763" i="1"/>
  <c r="S763" i="1"/>
  <c r="M763" i="1"/>
  <c r="AA762" i="1"/>
  <c r="Z762" i="1"/>
  <c r="Y762" i="1"/>
  <c r="X762" i="1"/>
  <c r="W762" i="1"/>
  <c r="V762" i="1"/>
  <c r="U762" i="1"/>
  <c r="T762" i="1"/>
  <c r="S762" i="1"/>
  <c r="R762" i="1"/>
  <c r="P762" i="1"/>
  <c r="O762" i="1"/>
  <c r="N762" i="1"/>
  <c r="M762" i="1"/>
  <c r="L762" i="1"/>
  <c r="J762" i="1"/>
  <c r="Y761" i="1"/>
  <c r="V761" i="1"/>
  <c r="S761" i="1"/>
  <c r="M761" i="1"/>
  <c r="Y760" i="1"/>
  <c r="V760" i="1"/>
  <c r="S760" i="1"/>
  <c r="M760" i="1"/>
  <c r="Z759" i="1"/>
  <c r="X759" i="1"/>
  <c r="W759" i="1"/>
  <c r="AA758" i="1"/>
  <c r="Z758" i="1"/>
  <c r="Y758" i="1"/>
  <c r="X758" i="1"/>
  <c r="W758" i="1"/>
  <c r="V758" i="1"/>
  <c r="U758" i="1"/>
  <c r="T758" i="1"/>
  <c r="S758" i="1"/>
  <c r="R758" i="1"/>
  <c r="P758" i="1"/>
  <c r="O758" i="1"/>
  <c r="N758" i="1"/>
  <c r="M758" i="1"/>
  <c r="L758" i="1"/>
  <c r="J758" i="1"/>
  <c r="AA757" i="1"/>
  <c r="Z757" i="1"/>
  <c r="X757" i="1"/>
  <c r="W757" i="1"/>
  <c r="U757" i="1"/>
  <c r="T757" i="1"/>
  <c r="R757" i="1"/>
  <c r="O757" i="1"/>
  <c r="N757" i="1"/>
  <c r="L757" i="1"/>
  <c r="Z756" i="1"/>
  <c r="X756" i="1"/>
  <c r="W756" i="1"/>
  <c r="AA755" i="1"/>
  <c r="Z755" i="1"/>
  <c r="X755" i="1"/>
  <c r="W755" i="1"/>
  <c r="U755" i="1"/>
  <c r="T755" i="1"/>
  <c r="R755" i="1"/>
  <c r="O755" i="1"/>
  <c r="N755" i="1"/>
  <c r="L755" i="1"/>
  <c r="Y754" i="1"/>
  <c r="V754" i="1"/>
  <c r="S754" i="1"/>
  <c r="M754" i="1"/>
  <c r="AA753" i="1"/>
  <c r="Z753" i="1"/>
  <c r="Y753" i="1"/>
  <c r="X753" i="1"/>
  <c r="W753" i="1"/>
  <c r="V753" i="1"/>
  <c r="U753" i="1"/>
  <c r="T753" i="1"/>
  <c r="S753" i="1"/>
  <c r="R753" i="1"/>
  <c r="P753" i="1"/>
  <c r="O753" i="1"/>
  <c r="N753" i="1"/>
  <c r="M753" i="1"/>
  <c r="L753" i="1"/>
  <c r="J753" i="1"/>
  <c r="Y752" i="1"/>
  <c r="V752" i="1"/>
  <c r="S752" i="1"/>
  <c r="M752" i="1"/>
  <c r="AA751" i="1"/>
  <c r="Z751" i="1"/>
  <c r="Y751" i="1"/>
  <c r="X751" i="1"/>
  <c r="W751" i="1"/>
  <c r="V751" i="1"/>
  <c r="U751" i="1"/>
  <c r="T751" i="1"/>
  <c r="S751" i="1"/>
  <c r="R751" i="1"/>
  <c r="P751" i="1"/>
  <c r="O751" i="1"/>
  <c r="N751" i="1"/>
  <c r="M751" i="1"/>
  <c r="L751" i="1"/>
  <c r="J751" i="1"/>
  <c r="Y750" i="1"/>
  <c r="V750" i="1"/>
  <c r="S750" i="1"/>
  <c r="M750" i="1"/>
  <c r="AA749" i="1"/>
  <c r="Z749" i="1"/>
  <c r="Y749" i="1"/>
  <c r="X749" i="1"/>
  <c r="W749" i="1"/>
  <c r="V749" i="1"/>
  <c r="U749" i="1"/>
  <c r="T749" i="1"/>
  <c r="S749" i="1"/>
  <c r="R749" i="1"/>
  <c r="P749" i="1"/>
  <c r="O749" i="1"/>
  <c r="N749" i="1"/>
  <c r="M749" i="1"/>
  <c r="L749" i="1"/>
  <c r="J749" i="1"/>
  <c r="Y748" i="1"/>
  <c r="V748" i="1"/>
  <c r="S748" i="1"/>
  <c r="M748" i="1"/>
  <c r="Y747" i="1"/>
  <c r="V747" i="1"/>
  <c r="S747" i="1"/>
  <c r="M747" i="1"/>
  <c r="Z746" i="1"/>
  <c r="X746" i="1"/>
  <c r="W746" i="1"/>
  <c r="AA745" i="1"/>
  <c r="Z745" i="1"/>
  <c r="Y745" i="1"/>
  <c r="X745" i="1"/>
  <c r="W745" i="1"/>
  <c r="V745" i="1"/>
  <c r="U745" i="1"/>
  <c r="T745" i="1"/>
  <c r="S745" i="1"/>
  <c r="R745" i="1"/>
  <c r="P745" i="1"/>
  <c r="O745" i="1"/>
  <c r="N745" i="1"/>
  <c r="M745" i="1"/>
  <c r="L745" i="1"/>
  <c r="J745" i="1"/>
  <c r="Y744" i="1"/>
  <c r="V744" i="1"/>
  <c r="S744" i="1"/>
  <c r="M744" i="1"/>
  <c r="Y743" i="1"/>
  <c r="V743" i="1"/>
  <c r="S743" i="1"/>
  <c r="M743" i="1"/>
  <c r="Z742" i="1"/>
  <c r="X742" i="1"/>
  <c r="W742" i="1"/>
  <c r="AA741" i="1"/>
  <c r="Z741" i="1"/>
  <c r="Y741" i="1"/>
  <c r="X741" i="1"/>
  <c r="W741" i="1"/>
  <c r="V741" i="1"/>
  <c r="U741" i="1"/>
  <c r="T741" i="1"/>
  <c r="S741" i="1"/>
  <c r="R741" i="1"/>
  <c r="P741" i="1"/>
  <c r="O741" i="1"/>
  <c r="N741" i="1"/>
  <c r="M741" i="1"/>
  <c r="L741" i="1"/>
  <c r="J741" i="1"/>
  <c r="Y740" i="1"/>
  <c r="V740" i="1"/>
  <c r="S740" i="1"/>
  <c r="M740" i="1"/>
  <c r="Y739" i="1"/>
  <c r="V739" i="1"/>
  <c r="S739" i="1"/>
  <c r="M739" i="1"/>
  <c r="Z738" i="1"/>
  <c r="X738" i="1"/>
  <c r="W738" i="1"/>
  <c r="AA737" i="1"/>
  <c r="Z737" i="1"/>
  <c r="Y737" i="1"/>
  <c r="X737" i="1"/>
  <c r="W737" i="1"/>
  <c r="V737" i="1"/>
  <c r="U737" i="1"/>
  <c r="T737" i="1"/>
  <c r="S737" i="1"/>
  <c r="R737" i="1"/>
  <c r="P737" i="1"/>
  <c r="O737" i="1"/>
  <c r="N737" i="1"/>
  <c r="M737" i="1"/>
  <c r="L737" i="1"/>
  <c r="J737" i="1"/>
  <c r="Y736" i="1"/>
  <c r="V736" i="1"/>
  <c r="S736" i="1"/>
  <c r="M736" i="1"/>
  <c r="Y735" i="1"/>
  <c r="V735" i="1"/>
  <c r="S735" i="1"/>
  <c r="M735" i="1"/>
  <c r="AA734" i="1"/>
  <c r="Z734" i="1"/>
  <c r="Y734" i="1"/>
  <c r="X734" i="1"/>
  <c r="W734" i="1"/>
  <c r="V734" i="1"/>
  <c r="U734" i="1"/>
  <c r="T734" i="1"/>
  <c r="S734" i="1"/>
  <c r="R734" i="1"/>
  <c r="P734" i="1"/>
  <c r="O734" i="1"/>
  <c r="N734" i="1"/>
  <c r="M734" i="1"/>
  <c r="L734" i="1"/>
  <c r="J734" i="1"/>
  <c r="Y733" i="1"/>
  <c r="V733" i="1"/>
  <c r="S733" i="1"/>
  <c r="M733" i="1"/>
  <c r="Y732" i="1"/>
  <c r="V732" i="1"/>
  <c r="S732" i="1"/>
  <c r="M732" i="1"/>
  <c r="Y731" i="1"/>
  <c r="V731" i="1"/>
  <c r="S731" i="1"/>
  <c r="M731" i="1"/>
  <c r="Y730" i="1"/>
  <c r="V730" i="1"/>
  <c r="S730" i="1"/>
  <c r="M730" i="1"/>
  <c r="Y729" i="1"/>
  <c r="V729" i="1"/>
  <c r="S729" i="1"/>
  <c r="M729" i="1"/>
  <c r="Y728" i="1"/>
  <c r="V728" i="1"/>
  <c r="S728" i="1"/>
  <c r="M728" i="1"/>
  <c r="Z727" i="1"/>
  <c r="X727" i="1"/>
  <c r="W727" i="1"/>
  <c r="AA726" i="1"/>
  <c r="Z726" i="1"/>
  <c r="Y726" i="1"/>
  <c r="X726" i="1"/>
  <c r="W726" i="1"/>
  <c r="V726" i="1"/>
  <c r="U726" i="1"/>
  <c r="T726" i="1"/>
  <c r="S726" i="1"/>
  <c r="R726" i="1"/>
  <c r="P726" i="1"/>
  <c r="O726" i="1"/>
  <c r="N726" i="1"/>
  <c r="M726" i="1"/>
  <c r="L726" i="1"/>
  <c r="J726" i="1"/>
  <c r="AA725" i="1"/>
  <c r="Z725" i="1"/>
  <c r="Y725" i="1"/>
  <c r="U725" i="1"/>
  <c r="T725" i="1"/>
  <c r="S725" i="1"/>
  <c r="O725" i="1"/>
  <c r="N725" i="1"/>
  <c r="M725" i="1"/>
  <c r="Y724" i="1"/>
  <c r="V724" i="1"/>
  <c r="S724" i="1"/>
  <c r="M724" i="1"/>
  <c r="Y723" i="1"/>
  <c r="V723" i="1"/>
  <c r="S723" i="1"/>
  <c r="M723" i="1"/>
  <c r="AA722" i="1"/>
  <c r="Z722" i="1"/>
  <c r="Y722" i="1"/>
  <c r="X722" i="1"/>
  <c r="W722" i="1"/>
  <c r="V722" i="1"/>
  <c r="U722" i="1"/>
  <c r="T722" i="1"/>
  <c r="S722" i="1"/>
  <c r="R722" i="1"/>
  <c r="P722" i="1"/>
  <c r="O722" i="1"/>
  <c r="N722" i="1"/>
  <c r="M722" i="1"/>
  <c r="L722" i="1"/>
  <c r="J722" i="1"/>
  <c r="Y721" i="1"/>
  <c r="V721" i="1"/>
  <c r="S721" i="1"/>
  <c r="M721" i="1"/>
  <c r="Y720" i="1"/>
  <c r="V720" i="1"/>
  <c r="S720" i="1"/>
  <c r="M720" i="1"/>
  <c r="AA719" i="1"/>
  <c r="Z719" i="1"/>
  <c r="Y719" i="1"/>
  <c r="X719" i="1"/>
  <c r="W719" i="1"/>
  <c r="V719" i="1"/>
  <c r="U719" i="1"/>
  <c r="T719" i="1"/>
  <c r="S719" i="1"/>
  <c r="R719" i="1"/>
  <c r="P719" i="1"/>
  <c r="O719" i="1"/>
  <c r="N719" i="1"/>
  <c r="M719" i="1"/>
  <c r="L719" i="1"/>
  <c r="J719" i="1"/>
  <c r="Y718" i="1"/>
  <c r="V718" i="1"/>
  <c r="S718" i="1"/>
  <c r="M718" i="1"/>
  <c r="Y717" i="1"/>
  <c r="V717" i="1"/>
  <c r="S717" i="1"/>
  <c r="M717" i="1"/>
  <c r="AA716" i="1"/>
  <c r="Z716" i="1"/>
  <c r="Y716" i="1"/>
  <c r="X716" i="1"/>
  <c r="W716" i="1"/>
  <c r="V716" i="1"/>
  <c r="U716" i="1"/>
  <c r="T716" i="1"/>
  <c r="S716" i="1"/>
  <c r="R716" i="1"/>
  <c r="P716" i="1"/>
  <c r="O716" i="1"/>
  <c r="N716" i="1"/>
  <c r="M716" i="1"/>
  <c r="L716" i="1"/>
  <c r="J716" i="1"/>
  <c r="Y715" i="1"/>
  <c r="V715" i="1"/>
  <c r="S715" i="1"/>
  <c r="M715" i="1"/>
  <c r="Y714" i="1"/>
  <c r="V714" i="1"/>
  <c r="S714" i="1"/>
  <c r="M714" i="1"/>
  <c r="AA713" i="1"/>
  <c r="Z713" i="1"/>
  <c r="Y713" i="1"/>
  <c r="X713" i="1"/>
  <c r="W713" i="1"/>
  <c r="V713" i="1"/>
  <c r="U713" i="1"/>
  <c r="T713" i="1"/>
  <c r="S713" i="1"/>
  <c r="R713" i="1"/>
  <c r="P713" i="1"/>
  <c r="O713" i="1"/>
  <c r="N713" i="1"/>
  <c r="M713" i="1"/>
  <c r="L713" i="1"/>
  <c r="J713" i="1"/>
  <c r="Y712" i="1"/>
  <c r="V712" i="1"/>
  <c r="S712" i="1"/>
  <c r="M712" i="1"/>
  <c r="Y711" i="1"/>
  <c r="V711" i="1"/>
  <c r="S711" i="1"/>
  <c r="M711" i="1"/>
  <c r="AA710" i="1"/>
  <c r="Z710" i="1"/>
  <c r="Y710" i="1"/>
  <c r="X710" i="1"/>
  <c r="W710" i="1"/>
  <c r="V710" i="1"/>
  <c r="U710" i="1"/>
  <c r="T710" i="1"/>
  <c r="S710" i="1"/>
  <c r="R710" i="1"/>
  <c r="P710" i="1"/>
  <c r="O710" i="1"/>
  <c r="N710" i="1"/>
  <c r="M710" i="1"/>
  <c r="L710" i="1"/>
  <c r="J710" i="1"/>
  <c r="Y709" i="1"/>
  <c r="V709" i="1"/>
  <c r="S709" i="1"/>
  <c r="M709" i="1"/>
  <c r="Y708" i="1"/>
  <c r="V708" i="1"/>
  <c r="S708" i="1"/>
  <c r="M708" i="1"/>
  <c r="Y707" i="1"/>
  <c r="V707" i="1"/>
  <c r="S707" i="1"/>
  <c r="M707" i="1"/>
  <c r="Y706" i="1"/>
  <c r="V706" i="1"/>
  <c r="S706" i="1"/>
  <c r="M706" i="1"/>
  <c r="Z705" i="1"/>
  <c r="X705" i="1"/>
  <c r="W705" i="1"/>
  <c r="AA704" i="1"/>
  <c r="Z704" i="1"/>
  <c r="Y704" i="1"/>
  <c r="X704" i="1"/>
  <c r="W704" i="1"/>
  <c r="V704" i="1"/>
  <c r="U704" i="1"/>
  <c r="T704" i="1"/>
  <c r="S704" i="1"/>
  <c r="R704" i="1"/>
  <c r="P704" i="1"/>
  <c r="O704" i="1"/>
  <c r="N704" i="1"/>
  <c r="M704" i="1"/>
  <c r="L704" i="1"/>
  <c r="J704" i="1"/>
  <c r="Y703" i="1"/>
  <c r="V703" i="1"/>
  <c r="S703" i="1"/>
  <c r="M703" i="1"/>
  <c r="Y702" i="1"/>
  <c r="V702" i="1"/>
  <c r="S702" i="1"/>
  <c r="M702" i="1"/>
  <c r="Y701" i="1"/>
  <c r="V701" i="1"/>
  <c r="S701" i="1"/>
  <c r="M701" i="1"/>
  <c r="Y700" i="1"/>
  <c r="V700" i="1"/>
  <c r="S700" i="1"/>
  <c r="M700" i="1"/>
  <c r="Z699" i="1"/>
  <c r="X699" i="1"/>
  <c r="W699" i="1"/>
  <c r="AA698" i="1"/>
  <c r="Z698" i="1"/>
  <c r="Y698" i="1"/>
  <c r="X698" i="1"/>
  <c r="W698" i="1"/>
  <c r="V698" i="1"/>
  <c r="U698" i="1"/>
  <c r="T698" i="1"/>
  <c r="S698" i="1"/>
  <c r="R698" i="1"/>
  <c r="P698" i="1"/>
  <c r="O698" i="1"/>
  <c r="N698" i="1"/>
  <c r="M698" i="1"/>
  <c r="L698" i="1"/>
  <c r="J698" i="1"/>
  <c r="Y697" i="1"/>
  <c r="V697" i="1"/>
  <c r="S697" i="1"/>
  <c r="M697" i="1"/>
  <c r="Y696" i="1"/>
  <c r="V696" i="1"/>
  <c r="S696" i="1"/>
  <c r="M696" i="1"/>
  <c r="Y695" i="1"/>
  <c r="V695" i="1"/>
  <c r="S695" i="1"/>
  <c r="M695" i="1"/>
  <c r="Y694" i="1"/>
  <c r="V694" i="1"/>
  <c r="S694" i="1"/>
  <c r="M694" i="1"/>
  <c r="Z693" i="1"/>
  <c r="X693" i="1"/>
  <c r="W693" i="1"/>
  <c r="AA692" i="1"/>
  <c r="Z692" i="1"/>
  <c r="Y692" i="1"/>
  <c r="X692" i="1"/>
  <c r="W692" i="1"/>
  <c r="V692" i="1"/>
  <c r="U692" i="1"/>
  <c r="T692" i="1"/>
  <c r="S692" i="1"/>
  <c r="R692" i="1"/>
  <c r="P692" i="1"/>
  <c r="O692" i="1"/>
  <c r="N692" i="1"/>
  <c r="M692" i="1"/>
  <c r="L692" i="1"/>
  <c r="J692" i="1"/>
  <c r="Y691" i="1"/>
  <c r="V691" i="1"/>
  <c r="S691" i="1"/>
  <c r="M691" i="1"/>
  <c r="Y690" i="1"/>
  <c r="V690" i="1"/>
  <c r="S690" i="1"/>
  <c r="M690" i="1"/>
  <c r="Y689" i="1"/>
  <c r="V689" i="1"/>
  <c r="S689" i="1"/>
  <c r="M689" i="1"/>
  <c r="Y688" i="1"/>
  <c r="V688" i="1"/>
  <c r="S688" i="1"/>
  <c r="M688" i="1"/>
  <c r="Z687" i="1"/>
  <c r="X687" i="1"/>
  <c r="W687" i="1"/>
  <c r="AA686" i="1"/>
  <c r="Z686" i="1"/>
  <c r="Y686" i="1"/>
  <c r="X686" i="1"/>
  <c r="W686" i="1"/>
  <c r="V686" i="1"/>
  <c r="U686" i="1"/>
  <c r="T686" i="1"/>
  <c r="S686" i="1"/>
  <c r="R686" i="1"/>
  <c r="P686" i="1"/>
  <c r="O686" i="1"/>
  <c r="N686" i="1"/>
  <c r="M686" i="1"/>
  <c r="L686" i="1"/>
  <c r="J686" i="1"/>
  <c r="AA685" i="1"/>
  <c r="Z685" i="1"/>
  <c r="Y685" i="1"/>
  <c r="U685" i="1"/>
  <c r="T685" i="1"/>
  <c r="S685" i="1"/>
  <c r="O685" i="1"/>
  <c r="N685" i="1"/>
  <c r="M685" i="1"/>
  <c r="Y684" i="1"/>
  <c r="V684" i="1"/>
  <c r="S684" i="1"/>
  <c r="M684" i="1"/>
  <c r="Y683" i="1"/>
  <c r="V683" i="1"/>
  <c r="S683" i="1"/>
  <c r="M683" i="1"/>
  <c r="AA682" i="1"/>
  <c r="Z682" i="1"/>
  <c r="Y682" i="1"/>
  <c r="X682" i="1"/>
  <c r="W682" i="1"/>
  <c r="V682" i="1"/>
  <c r="U682" i="1"/>
  <c r="T682" i="1"/>
  <c r="S682" i="1"/>
  <c r="R682" i="1"/>
  <c r="P682" i="1"/>
  <c r="O682" i="1"/>
  <c r="N682" i="1"/>
  <c r="M682" i="1"/>
  <c r="L682" i="1"/>
  <c r="J682" i="1"/>
  <c r="Y681" i="1"/>
  <c r="V681" i="1"/>
  <c r="S681" i="1"/>
  <c r="M681" i="1"/>
  <c r="Y680" i="1"/>
  <c r="V680" i="1"/>
  <c r="S680" i="1"/>
  <c r="M680" i="1"/>
  <c r="Y679" i="1"/>
  <c r="V679" i="1"/>
  <c r="S679" i="1"/>
  <c r="M679" i="1"/>
  <c r="Y678" i="1"/>
  <c r="V678" i="1"/>
  <c r="S678" i="1"/>
  <c r="M678" i="1"/>
  <c r="Z677" i="1"/>
  <c r="X677" i="1"/>
  <c r="W677" i="1"/>
  <c r="AA676" i="1"/>
  <c r="Z676" i="1"/>
  <c r="Y676" i="1"/>
  <c r="X676" i="1"/>
  <c r="W676" i="1"/>
  <c r="V676" i="1"/>
  <c r="U676" i="1"/>
  <c r="T676" i="1"/>
  <c r="S676" i="1"/>
  <c r="R676" i="1"/>
  <c r="P676" i="1"/>
  <c r="O676" i="1"/>
  <c r="N676" i="1"/>
  <c r="M676" i="1"/>
  <c r="L676" i="1"/>
  <c r="J676" i="1"/>
  <c r="Y675" i="1"/>
  <c r="V675" i="1"/>
  <c r="S675" i="1"/>
  <c r="M675" i="1"/>
  <c r="Y674" i="1"/>
  <c r="V674" i="1"/>
  <c r="S674" i="1"/>
  <c r="M674" i="1"/>
  <c r="AA673" i="1"/>
  <c r="Z673" i="1"/>
  <c r="Y673" i="1"/>
  <c r="X673" i="1"/>
  <c r="W673" i="1"/>
  <c r="V673" i="1"/>
  <c r="U673" i="1"/>
  <c r="T673" i="1"/>
  <c r="S673" i="1"/>
  <c r="R673" i="1"/>
  <c r="P673" i="1"/>
  <c r="O673" i="1"/>
  <c r="N673" i="1"/>
  <c r="M673" i="1"/>
  <c r="L673" i="1"/>
  <c r="J673" i="1"/>
  <c r="Y672" i="1"/>
  <c r="V672" i="1"/>
  <c r="S672" i="1"/>
  <c r="M672" i="1"/>
  <c r="Y671" i="1"/>
  <c r="V671" i="1"/>
  <c r="S671" i="1"/>
  <c r="M671" i="1"/>
  <c r="Y670" i="1"/>
  <c r="V670" i="1"/>
  <c r="S670" i="1"/>
  <c r="M670" i="1"/>
  <c r="Y669" i="1"/>
  <c r="V669" i="1"/>
  <c r="S669" i="1"/>
  <c r="M669" i="1"/>
  <c r="Z668" i="1"/>
  <c r="X668" i="1"/>
  <c r="W668" i="1"/>
  <c r="AA667" i="1"/>
  <c r="Z667" i="1"/>
  <c r="Y667" i="1"/>
  <c r="X667" i="1"/>
  <c r="W667" i="1"/>
  <c r="V667" i="1"/>
  <c r="U667" i="1"/>
  <c r="T667" i="1"/>
  <c r="S667" i="1"/>
  <c r="R667" i="1"/>
  <c r="P667" i="1"/>
  <c r="O667" i="1"/>
  <c r="N667" i="1"/>
  <c r="M667" i="1"/>
  <c r="L667" i="1"/>
  <c r="J667" i="1"/>
  <c r="AA666" i="1"/>
  <c r="Z666" i="1"/>
  <c r="Y666" i="1"/>
  <c r="U666" i="1"/>
  <c r="T666" i="1"/>
  <c r="S666" i="1"/>
  <c r="O666" i="1"/>
  <c r="N666" i="1"/>
  <c r="M666" i="1"/>
  <c r="AA665" i="1"/>
  <c r="Z665" i="1"/>
  <c r="Y665" i="1"/>
  <c r="U665" i="1"/>
  <c r="T665" i="1"/>
  <c r="S665" i="1"/>
  <c r="O665" i="1"/>
  <c r="N665" i="1"/>
  <c r="M665" i="1"/>
  <c r="Y664" i="1"/>
  <c r="V664" i="1"/>
  <c r="S664" i="1"/>
  <c r="M664" i="1"/>
  <c r="Y663" i="1"/>
  <c r="V663" i="1"/>
  <c r="S663" i="1"/>
  <c r="M663" i="1"/>
  <c r="Y662" i="1"/>
  <c r="V662" i="1"/>
  <c r="S662" i="1"/>
  <c r="M662" i="1"/>
  <c r="Y661" i="1"/>
  <c r="V661" i="1"/>
  <c r="S661" i="1"/>
  <c r="M661" i="1"/>
  <c r="AA660" i="1"/>
  <c r="Z660" i="1"/>
  <c r="Y660" i="1"/>
  <c r="X660" i="1"/>
  <c r="W660" i="1"/>
  <c r="V660" i="1"/>
  <c r="U660" i="1"/>
  <c r="T660" i="1"/>
  <c r="S660" i="1"/>
  <c r="R660" i="1"/>
  <c r="P660" i="1"/>
  <c r="O660" i="1"/>
  <c r="N660" i="1"/>
  <c r="M660" i="1"/>
  <c r="L660" i="1"/>
  <c r="J660" i="1"/>
  <c r="Y659" i="1"/>
  <c r="V659" i="1"/>
  <c r="S659" i="1"/>
  <c r="M659" i="1"/>
  <c r="Y658" i="1"/>
  <c r="V658" i="1"/>
  <c r="S658" i="1"/>
  <c r="M658" i="1"/>
  <c r="Y657" i="1"/>
  <c r="V657" i="1"/>
  <c r="S657" i="1"/>
  <c r="M657" i="1"/>
  <c r="Y656" i="1"/>
  <c r="V656" i="1"/>
  <c r="S656" i="1"/>
  <c r="M656" i="1"/>
  <c r="AA655" i="1"/>
  <c r="Z655" i="1"/>
  <c r="Y655" i="1"/>
  <c r="X655" i="1"/>
  <c r="W655" i="1"/>
  <c r="V655" i="1"/>
  <c r="U655" i="1"/>
  <c r="T655" i="1"/>
  <c r="S655" i="1"/>
  <c r="R655" i="1"/>
  <c r="P655" i="1"/>
  <c r="O655" i="1"/>
  <c r="N655" i="1"/>
  <c r="M655" i="1"/>
  <c r="L655" i="1"/>
  <c r="J655" i="1"/>
  <c r="Y654" i="1"/>
  <c r="V654" i="1"/>
  <c r="S654" i="1"/>
  <c r="M654" i="1"/>
  <c r="Y653" i="1"/>
  <c r="V653" i="1"/>
  <c r="S653" i="1"/>
  <c r="M653" i="1"/>
  <c r="Y652" i="1"/>
  <c r="V652" i="1"/>
  <c r="S652" i="1"/>
  <c r="M652" i="1"/>
  <c r="Y651" i="1"/>
  <c r="V651" i="1"/>
  <c r="S651" i="1"/>
  <c r="M651" i="1"/>
  <c r="Y650" i="1"/>
  <c r="V650" i="1"/>
  <c r="S650" i="1"/>
  <c r="M650" i="1"/>
  <c r="Y649" i="1"/>
  <c r="V649" i="1"/>
  <c r="S649" i="1"/>
  <c r="M649" i="1"/>
  <c r="Y648" i="1"/>
  <c r="V648" i="1"/>
  <c r="S648" i="1"/>
  <c r="M648" i="1"/>
  <c r="Y647" i="1"/>
  <c r="V647" i="1"/>
  <c r="S647" i="1"/>
  <c r="M647" i="1"/>
  <c r="Z646" i="1"/>
  <c r="X646" i="1"/>
  <c r="W646" i="1"/>
  <c r="AA645" i="1"/>
  <c r="Z645" i="1"/>
  <c r="Y645" i="1"/>
  <c r="X645" i="1"/>
  <c r="W645" i="1"/>
  <c r="V645" i="1"/>
  <c r="U645" i="1"/>
  <c r="T645" i="1"/>
  <c r="S645" i="1"/>
  <c r="R645" i="1"/>
  <c r="P645" i="1"/>
  <c r="O645" i="1"/>
  <c r="N645" i="1"/>
  <c r="M645" i="1"/>
  <c r="L645" i="1"/>
  <c r="J645" i="1"/>
  <c r="Y644" i="1"/>
  <c r="V644" i="1"/>
  <c r="S644" i="1"/>
  <c r="M644" i="1"/>
  <c r="Y643" i="1"/>
  <c r="V643" i="1"/>
  <c r="S643" i="1"/>
  <c r="M643" i="1"/>
  <c r="Y642" i="1"/>
  <c r="V642" i="1"/>
  <c r="S642" i="1"/>
  <c r="M642" i="1"/>
  <c r="Y641" i="1"/>
  <c r="V641" i="1"/>
  <c r="S641" i="1"/>
  <c r="M641" i="1"/>
  <c r="Y640" i="1"/>
  <c r="V640" i="1"/>
  <c r="S640" i="1"/>
  <c r="M640" i="1"/>
  <c r="Y639" i="1"/>
  <c r="V639" i="1"/>
  <c r="S639" i="1"/>
  <c r="M639" i="1"/>
  <c r="Y638" i="1"/>
  <c r="V638" i="1"/>
  <c r="S638" i="1"/>
  <c r="M638" i="1"/>
  <c r="Y637" i="1"/>
  <c r="V637" i="1"/>
  <c r="S637" i="1"/>
  <c r="M637" i="1"/>
  <c r="Z636" i="1"/>
  <c r="X636" i="1"/>
  <c r="W636" i="1"/>
  <c r="AA635" i="1"/>
  <c r="Z635" i="1"/>
  <c r="Y635" i="1"/>
  <c r="X635" i="1"/>
  <c r="W635" i="1"/>
  <c r="V635" i="1"/>
  <c r="U635" i="1"/>
  <c r="T635" i="1"/>
  <c r="S635" i="1"/>
  <c r="R635" i="1"/>
  <c r="P635" i="1"/>
  <c r="O635" i="1"/>
  <c r="N635" i="1"/>
  <c r="M635" i="1"/>
  <c r="L635" i="1"/>
  <c r="J635" i="1"/>
  <c r="AA634" i="1"/>
  <c r="Z634" i="1"/>
  <c r="Y634" i="1"/>
  <c r="U634" i="1"/>
  <c r="T634" i="1"/>
  <c r="S634" i="1"/>
  <c r="O634" i="1"/>
  <c r="N634" i="1"/>
  <c r="M634" i="1"/>
  <c r="Y633" i="1"/>
  <c r="V633" i="1"/>
  <c r="S633" i="1"/>
  <c r="M633" i="1"/>
  <c r="Y632" i="1"/>
  <c r="V632" i="1"/>
  <c r="S632" i="1"/>
  <c r="M632" i="1"/>
  <c r="Y631" i="1"/>
  <c r="V631" i="1"/>
  <c r="S631" i="1"/>
  <c r="M631" i="1"/>
  <c r="Y630" i="1"/>
  <c r="V630" i="1"/>
  <c r="S630" i="1"/>
  <c r="M630" i="1"/>
  <c r="AA629" i="1"/>
  <c r="Z629" i="1"/>
  <c r="Y629" i="1"/>
  <c r="X629" i="1"/>
  <c r="W629" i="1"/>
  <c r="V629" i="1"/>
  <c r="U629" i="1"/>
  <c r="T629" i="1"/>
  <c r="S629" i="1"/>
  <c r="R629" i="1"/>
  <c r="P629" i="1"/>
  <c r="O629" i="1"/>
  <c r="N629" i="1"/>
  <c r="M629" i="1"/>
  <c r="L629" i="1"/>
  <c r="J629" i="1"/>
  <c r="Y628" i="1"/>
  <c r="V628" i="1"/>
  <c r="S628" i="1"/>
  <c r="M628" i="1"/>
  <c r="Y627" i="1"/>
  <c r="V627" i="1"/>
  <c r="S627" i="1"/>
  <c r="M627" i="1"/>
  <c r="Y626" i="1"/>
  <c r="V626" i="1"/>
  <c r="S626" i="1"/>
  <c r="M626" i="1"/>
  <c r="Y625" i="1"/>
  <c r="V625" i="1"/>
  <c r="S625" i="1"/>
  <c r="M625" i="1"/>
  <c r="AA624" i="1"/>
  <c r="Z624" i="1"/>
  <c r="Y624" i="1"/>
  <c r="X624" i="1"/>
  <c r="W624" i="1"/>
  <c r="V624" i="1"/>
  <c r="U624" i="1"/>
  <c r="T624" i="1"/>
  <c r="S624" i="1"/>
  <c r="R624" i="1"/>
  <c r="P624" i="1"/>
  <c r="O624" i="1"/>
  <c r="N624" i="1"/>
  <c r="M624" i="1"/>
  <c r="L624" i="1"/>
  <c r="J624" i="1"/>
  <c r="Y623" i="1"/>
  <c r="V623" i="1"/>
  <c r="S623" i="1"/>
  <c r="M623" i="1"/>
  <c r="Y622" i="1"/>
  <c r="V622" i="1"/>
  <c r="S622" i="1"/>
  <c r="M622" i="1"/>
  <c r="Y621" i="1"/>
  <c r="V621" i="1"/>
  <c r="S621" i="1"/>
  <c r="M621" i="1"/>
  <c r="Y620" i="1"/>
  <c r="V620" i="1"/>
  <c r="S620" i="1"/>
  <c r="M620" i="1"/>
  <c r="AA619" i="1"/>
  <c r="Z619" i="1"/>
  <c r="Y619" i="1"/>
  <c r="X619" i="1"/>
  <c r="W619" i="1"/>
  <c r="V619" i="1"/>
  <c r="U619" i="1"/>
  <c r="T619" i="1"/>
  <c r="S619" i="1"/>
  <c r="R619" i="1"/>
  <c r="P619" i="1"/>
  <c r="O619" i="1"/>
  <c r="N619" i="1"/>
  <c r="M619" i="1"/>
  <c r="L619" i="1"/>
  <c r="J619" i="1"/>
  <c r="Y618" i="1"/>
  <c r="V618" i="1"/>
  <c r="S618" i="1"/>
  <c r="M618" i="1"/>
  <c r="Y617" i="1"/>
  <c r="V617" i="1"/>
  <c r="S617" i="1"/>
  <c r="M617" i="1"/>
  <c r="Y616" i="1"/>
  <c r="V616" i="1"/>
  <c r="S616" i="1"/>
  <c r="M616" i="1"/>
  <c r="Y615" i="1"/>
  <c r="V615" i="1"/>
  <c r="S615" i="1"/>
  <c r="M615" i="1"/>
  <c r="AA614" i="1"/>
  <c r="Z614" i="1"/>
  <c r="Y614" i="1"/>
  <c r="X614" i="1"/>
  <c r="W614" i="1"/>
  <c r="V614" i="1"/>
  <c r="U614" i="1"/>
  <c r="T614" i="1"/>
  <c r="S614" i="1"/>
  <c r="R614" i="1"/>
  <c r="P614" i="1"/>
  <c r="O614" i="1"/>
  <c r="N614" i="1"/>
  <c r="M614" i="1"/>
  <c r="L614" i="1"/>
  <c r="J614" i="1"/>
  <c r="Y613" i="1"/>
  <c r="V613" i="1"/>
  <c r="S613" i="1"/>
  <c r="M613" i="1"/>
  <c r="Y612" i="1"/>
  <c r="V612" i="1"/>
  <c r="S612" i="1"/>
  <c r="M612" i="1"/>
  <c r="Y611" i="1"/>
  <c r="V611" i="1"/>
  <c r="S611" i="1"/>
  <c r="M611" i="1"/>
  <c r="Y610" i="1"/>
  <c r="V610" i="1"/>
  <c r="S610" i="1"/>
  <c r="M610" i="1"/>
  <c r="Y609" i="1"/>
  <c r="V609" i="1"/>
  <c r="S609" i="1"/>
  <c r="M609" i="1"/>
  <c r="Y608" i="1"/>
  <c r="V608" i="1"/>
  <c r="S608" i="1"/>
  <c r="M608" i="1"/>
  <c r="Y607" i="1"/>
  <c r="V607" i="1"/>
  <c r="S607" i="1"/>
  <c r="M607" i="1"/>
  <c r="Y606" i="1"/>
  <c r="V606" i="1"/>
  <c r="S606" i="1"/>
  <c r="M606" i="1"/>
  <c r="Z605" i="1"/>
  <c r="X605" i="1"/>
  <c r="W605" i="1"/>
  <c r="AA604" i="1"/>
  <c r="Z604" i="1"/>
  <c r="Y604" i="1"/>
  <c r="X604" i="1"/>
  <c r="W604" i="1"/>
  <c r="V604" i="1"/>
  <c r="U604" i="1"/>
  <c r="T604" i="1"/>
  <c r="S604" i="1"/>
  <c r="R604" i="1"/>
  <c r="P604" i="1"/>
  <c r="O604" i="1"/>
  <c r="N604" i="1"/>
  <c r="M604" i="1"/>
  <c r="L604" i="1"/>
  <c r="J604" i="1"/>
  <c r="Y603" i="1"/>
  <c r="V603" i="1"/>
  <c r="S603" i="1"/>
  <c r="M603" i="1"/>
  <c r="Y602" i="1"/>
  <c r="V602" i="1"/>
  <c r="S602" i="1"/>
  <c r="M602" i="1"/>
  <c r="Y601" i="1"/>
  <c r="V601" i="1"/>
  <c r="S601" i="1"/>
  <c r="M601" i="1"/>
  <c r="Y600" i="1"/>
  <c r="V600" i="1"/>
  <c r="S600" i="1"/>
  <c r="M600" i="1"/>
  <c r="Y599" i="1"/>
  <c r="V599" i="1"/>
  <c r="S599" i="1"/>
  <c r="M599" i="1"/>
  <c r="Y598" i="1"/>
  <c r="V598" i="1"/>
  <c r="S598" i="1"/>
  <c r="M598" i="1"/>
  <c r="Y597" i="1"/>
  <c r="V597" i="1"/>
  <c r="S597" i="1"/>
  <c r="M597" i="1"/>
  <c r="Y596" i="1"/>
  <c r="V596" i="1"/>
  <c r="S596" i="1"/>
  <c r="M596" i="1"/>
  <c r="Z595" i="1"/>
  <c r="X595" i="1"/>
  <c r="W595" i="1"/>
  <c r="AA594" i="1"/>
  <c r="Z594" i="1"/>
  <c r="Y594" i="1"/>
  <c r="X594" i="1"/>
  <c r="W594" i="1"/>
  <c r="V594" i="1"/>
  <c r="U594" i="1"/>
  <c r="T594" i="1"/>
  <c r="S594" i="1"/>
  <c r="R594" i="1"/>
  <c r="P594" i="1"/>
  <c r="O594" i="1"/>
  <c r="N594" i="1"/>
  <c r="M594" i="1"/>
  <c r="L594" i="1"/>
  <c r="J594" i="1"/>
  <c r="Y593" i="1"/>
  <c r="V593" i="1"/>
  <c r="S593" i="1"/>
  <c r="M593" i="1"/>
  <c r="Y592" i="1"/>
  <c r="V592" i="1"/>
  <c r="S592" i="1"/>
  <c r="M592" i="1"/>
  <c r="Y591" i="1"/>
  <c r="V591" i="1"/>
  <c r="S591" i="1"/>
  <c r="M591" i="1"/>
  <c r="Y590" i="1"/>
  <c r="V590" i="1"/>
  <c r="S590" i="1"/>
  <c r="M590" i="1"/>
  <c r="Y589" i="1"/>
  <c r="V589" i="1"/>
  <c r="S589" i="1"/>
  <c r="M589" i="1"/>
  <c r="Y588" i="1"/>
  <c r="V588" i="1"/>
  <c r="S588" i="1"/>
  <c r="M588" i="1"/>
  <c r="Y587" i="1"/>
  <c r="V587" i="1"/>
  <c r="S587" i="1"/>
  <c r="M587" i="1"/>
  <c r="Y586" i="1"/>
  <c r="V586" i="1"/>
  <c r="S586" i="1"/>
  <c r="M586" i="1"/>
  <c r="Z585" i="1"/>
  <c r="X585" i="1"/>
  <c r="W585" i="1"/>
  <c r="AA584" i="1"/>
  <c r="Z584" i="1"/>
  <c r="Y584" i="1"/>
  <c r="X584" i="1"/>
  <c r="W584" i="1"/>
  <c r="V584" i="1"/>
  <c r="U584" i="1"/>
  <c r="T584" i="1"/>
  <c r="S584" i="1"/>
  <c r="R584" i="1"/>
  <c r="P584" i="1"/>
  <c r="O584" i="1"/>
  <c r="N584" i="1"/>
  <c r="M584" i="1"/>
  <c r="L584" i="1"/>
  <c r="J584" i="1"/>
  <c r="Y583" i="1"/>
  <c r="V583" i="1"/>
  <c r="S583" i="1"/>
  <c r="M583" i="1"/>
  <c r="Y582" i="1"/>
  <c r="V582" i="1"/>
  <c r="S582" i="1"/>
  <c r="M582" i="1"/>
  <c r="Y581" i="1"/>
  <c r="V581" i="1"/>
  <c r="S581" i="1"/>
  <c r="M581" i="1"/>
  <c r="Y580" i="1"/>
  <c r="V580" i="1"/>
  <c r="S580" i="1"/>
  <c r="M580" i="1"/>
  <c r="Y579" i="1"/>
  <c r="V579" i="1"/>
  <c r="S579" i="1"/>
  <c r="M579" i="1"/>
  <c r="Y578" i="1"/>
  <c r="V578" i="1"/>
  <c r="S578" i="1"/>
  <c r="M578" i="1"/>
  <c r="Y577" i="1"/>
  <c r="V577" i="1"/>
  <c r="S577" i="1"/>
  <c r="M577" i="1"/>
  <c r="Y576" i="1"/>
  <c r="V576" i="1"/>
  <c r="S576" i="1"/>
  <c r="M576" i="1"/>
  <c r="Z575" i="1"/>
  <c r="X575" i="1"/>
  <c r="W575" i="1"/>
  <c r="AA574" i="1"/>
  <c r="Z574" i="1"/>
  <c r="Y574" i="1"/>
  <c r="X574" i="1"/>
  <c r="W574" i="1"/>
  <c r="V574" i="1"/>
  <c r="U574" i="1"/>
  <c r="T574" i="1"/>
  <c r="S574" i="1"/>
  <c r="R574" i="1"/>
  <c r="P574" i="1"/>
  <c r="O574" i="1"/>
  <c r="N574" i="1"/>
  <c r="M574" i="1"/>
  <c r="L574" i="1"/>
  <c r="J574" i="1"/>
  <c r="Y573" i="1"/>
  <c r="V573" i="1"/>
  <c r="S573" i="1"/>
  <c r="M573" i="1"/>
  <c r="Y572" i="1"/>
  <c r="V572" i="1"/>
  <c r="S572" i="1"/>
  <c r="M572" i="1"/>
  <c r="Y571" i="1"/>
  <c r="V571" i="1"/>
  <c r="S571" i="1"/>
  <c r="M571" i="1"/>
  <c r="Y570" i="1"/>
  <c r="V570" i="1"/>
  <c r="S570" i="1"/>
  <c r="M570" i="1"/>
  <c r="AA569" i="1"/>
  <c r="Z569" i="1"/>
  <c r="Y569" i="1"/>
  <c r="X569" i="1"/>
  <c r="W569" i="1"/>
  <c r="V569" i="1"/>
  <c r="U569" i="1"/>
  <c r="T569" i="1"/>
  <c r="S569" i="1"/>
  <c r="R569" i="1"/>
  <c r="P569" i="1"/>
  <c r="O569" i="1"/>
  <c r="N569" i="1"/>
  <c r="M569" i="1"/>
  <c r="L569" i="1"/>
  <c r="J569" i="1"/>
  <c r="Y568" i="1"/>
  <c r="V568" i="1"/>
  <c r="S568" i="1"/>
  <c r="M568" i="1"/>
  <c r="Y567" i="1"/>
  <c r="V567" i="1"/>
  <c r="S567" i="1"/>
  <c r="M567" i="1"/>
  <c r="Y566" i="1"/>
  <c r="V566" i="1"/>
  <c r="S566" i="1"/>
  <c r="M566" i="1"/>
  <c r="Y565" i="1"/>
  <c r="V565" i="1"/>
  <c r="S565" i="1"/>
  <c r="M565" i="1"/>
  <c r="AA564" i="1"/>
  <c r="Z564" i="1"/>
  <c r="Y564" i="1"/>
  <c r="X564" i="1"/>
  <c r="W564" i="1"/>
  <c r="V564" i="1"/>
  <c r="U564" i="1"/>
  <c r="T564" i="1"/>
  <c r="S564" i="1"/>
  <c r="R564" i="1"/>
  <c r="P564" i="1"/>
  <c r="O564" i="1"/>
  <c r="N564" i="1"/>
  <c r="M564" i="1"/>
  <c r="L564" i="1"/>
  <c r="J564" i="1"/>
  <c r="Y563" i="1"/>
  <c r="V563" i="1"/>
  <c r="S563" i="1"/>
  <c r="M563" i="1"/>
  <c r="Y562" i="1"/>
  <c r="V562" i="1"/>
  <c r="S562" i="1"/>
  <c r="M562" i="1"/>
  <c r="Y561" i="1"/>
  <c r="V561" i="1"/>
  <c r="S561" i="1"/>
  <c r="M561" i="1"/>
  <c r="Y560" i="1"/>
  <c r="V560" i="1"/>
  <c r="S560" i="1"/>
  <c r="M560" i="1"/>
  <c r="AA559" i="1"/>
  <c r="Z559" i="1"/>
  <c r="Y559" i="1"/>
  <c r="X559" i="1"/>
  <c r="W559" i="1"/>
  <c r="V559" i="1"/>
  <c r="U559" i="1"/>
  <c r="T559" i="1"/>
  <c r="S559" i="1"/>
  <c r="R559" i="1"/>
  <c r="P559" i="1"/>
  <c r="O559" i="1"/>
  <c r="N559" i="1"/>
  <c r="M559" i="1"/>
  <c r="L559" i="1"/>
  <c r="J559" i="1"/>
  <c r="Y558" i="1"/>
  <c r="V558" i="1"/>
  <c r="S558" i="1"/>
  <c r="M558" i="1"/>
  <c r="Y557" i="1"/>
  <c r="V557" i="1"/>
  <c r="S557" i="1"/>
  <c r="M557" i="1"/>
  <c r="Y556" i="1"/>
  <c r="V556" i="1"/>
  <c r="S556" i="1"/>
  <c r="M556" i="1"/>
  <c r="Y555" i="1"/>
  <c r="V555" i="1"/>
  <c r="S555" i="1"/>
  <c r="M555" i="1"/>
  <c r="Y554" i="1"/>
  <c r="V554" i="1"/>
  <c r="S554" i="1"/>
  <c r="M554" i="1"/>
  <c r="Y553" i="1"/>
  <c r="V553" i="1"/>
  <c r="S553" i="1"/>
  <c r="M553" i="1"/>
  <c r="Y552" i="1"/>
  <c r="V552" i="1"/>
  <c r="S552" i="1"/>
  <c r="M552" i="1"/>
  <c r="Y551" i="1"/>
  <c r="V551" i="1"/>
  <c r="S551" i="1"/>
  <c r="M551" i="1"/>
  <c r="Z550" i="1"/>
  <c r="X550" i="1"/>
  <c r="W550" i="1"/>
  <c r="AA549" i="1"/>
  <c r="Z549" i="1"/>
  <c r="Y549" i="1"/>
  <c r="X549" i="1"/>
  <c r="W549" i="1"/>
  <c r="V549" i="1"/>
  <c r="U549" i="1"/>
  <c r="T549" i="1"/>
  <c r="S549" i="1"/>
  <c r="R549" i="1"/>
  <c r="P549" i="1"/>
  <c r="O549" i="1"/>
  <c r="N549" i="1"/>
  <c r="M549" i="1"/>
  <c r="L549" i="1"/>
  <c r="J549" i="1"/>
  <c r="Y548" i="1"/>
  <c r="V548" i="1"/>
  <c r="S548" i="1"/>
  <c r="M548" i="1"/>
  <c r="Y547" i="1"/>
  <c r="V547" i="1"/>
  <c r="S547" i="1"/>
  <c r="M547" i="1"/>
  <c r="Y546" i="1"/>
  <c r="V546" i="1"/>
  <c r="S546" i="1"/>
  <c r="M546" i="1"/>
  <c r="Y545" i="1"/>
  <c r="V545" i="1"/>
  <c r="S545" i="1"/>
  <c r="M545" i="1"/>
  <c r="Y544" i="1"/>
  <c r="V544" i="1"/>
  <c r="S544" i="1"/>
  <c r="M544" i="1"/>
  <c r="Y543" i="1"/>
  <c r="V543" i="1"/>
  <c r="S543" i="1"/>
  <c r="M543" i="1"/>
  <c r="Y542" i="1"/>
  <c r="V542" i="1"/>
  <c r="S542" i="1"/>
  <c r="M542" i="1"/>
  <c r="Y541" i="1"/>
  <c r="V541" i="1"/>
  <c r="S541" i="1"/>
  <c r="M541" i="1"/>
  <c r="Z540" i="1"/>
  <c r="X540" i="1"/>
  <c r="W540" i="1"/>
  <c r="AA539" i="1"/>
  <c r="Z539" i="1"/>
  <c r="Y539" i="1"/>
  <c r="X539" i="1"/>
  <c r="W539" i="1"/>
  <c r="V539" i="1"/>
  <c r="U539" i="1"/>
  <c r="T539" i="1"/>
  <c r="S539" i="1"/>
  <c r="R539" i="1"/>
  <c r="P539" i="1"/>
  <c r="O539" i="1"/>
  <c r="N539" i="1"/>
  <c r="M539" i="1"/>
  <c r="L539" i="1"/>
  <c r="J539" i="1"/>
  <c r="Y538" i="1"/>
  <c r="V538" i="1"/>
  <c r="S538" i="1"/>
  <c r="M538" i="1"/>
  <c r="Y537" i="1"/>
  <c r="V537" i="1"/>
  <c r="S537" i="1"/>
  <c r="M537" i="1"/>
  <c r="Y536" i="1"/>
  <c r="V536" i="1"/>
  <c r="S536" i="1"/>
  <c r="M536" i="1"/>
  <c r="Y535" i="1"/>
  <c r="V535" i="1"/>
  <c r="S535" i="1"/>
  <c r="M535" i="1"/>
  <c r="Y534" i="1"/>
  <c r="V534" i="1"/>
  <c r="S534" i="1"/>
  <c r="M534" i="1"/>
  <c r="Y533" i="1"/>
  <c r="V533" i="1"/>
  <c r="S533" i="1"/>
  <c r="M533" i="1"/>
  <c r="Y532" i="1"/>
  <c r="V532" i="1"/>
  <c r="S532" i="1"/>
  <c r="M532" i="1"/>
  <c r="Y531" i="1"/>
  <c r="V531" i="1"/>
  <c r="S531" i="1"/>
  <c r="M531" i="1"/>
  <c r="Z530" i="1"/>
  <c r="X530" i="1"/>
  <c r="W530" i="1"/>
  <c r="AA529" i="1"/>
  <c r="Z529" i="1"/>
  <c r="Y529" i="1"/>
  <c r="X529" i="1"/>
  <c r="W529" i="1"/>
  <c r="V529" i="1"/>
  <c r="U529" i="1"/>
  <c r="T529" i="1"/>
  <c r="S529" i="1"/>
  <c r="R529" i="1"/>
  <c r="P529" i="1"/>
  <c r="O529" i="1"/>
  <c r="N529" i="1"/>
  <c r="M529" i="1"/>
  <c r="L529" i="1"/>
  <c r="J529" i="1"/>
  <c r="Y528" i="1"/>
  <c r="V528" i="1"/>
  <c r="S528" i="1"/>
  <c r="M528" i="1"/>
  <c r="Y527" i="1"/>
  <c r="V527" i="1"/>
  <c r="S527" i="1"/>
  <c r="M527" i="1"/>
  <c r="AA526" i="1"/>
  <c r="Z526" i="1"/>
  <c r="Y526" i="1"/>
  <c r="X526" i="1"/>
  <c r="W526" i="1"/>
  <c r="V526" i="1"/>
  <c r="U526" i="1"/>
  <c r="T526" i="1"/>
  <c r="S526" i="1"/>
  <c r="R526" i="1"/>
  <c r="P526" i="1"/>
  <c r="O526" i="1"/>
  <c r="N526" i="1"/>
  <c r="M526" i="1"/>
  <c r="L526" i="1"/>
  <c r="J526" i="1"/>
  <c r="Y525" i="1"/>
  <c r="V525" i="1"/>
  <c r="S525" i="1"/>
  <c r="M525" i="1"/>
  <c r="Y524" i="1"/>
  <c r="V524" i="1"/>
  <c r="S524" i="1"/>
  <c r="M524" i="1"/>
  <c r="Y523" i="1"/>
  <c r="V523" i="1"/>
  <c r="S523" i="1"/>
  <c r="M523" i="1"/>
  <c r="Y522" i="1"/>
  <c r="V522" i="1"/>
  <c r="S522" i="1"/>
  <c r="M522" i="1"/>
  <c r="Z521" i="1"/>
  <c r="X521" i="1"/>
  <c r="W521" i="1"/>
  <c r="AA520" i="1"/>
  <c r="Z520" i="1"/>
  <c r="Y520" i="1"/>
  <c r="X520" i="1"/>
  <c r="W520" i="1"/>
  <c r="V520" i="1"/>
  <c r="U520" i="1"/>
  <c r="T520" i="1"/>
  <c r="S520" i="1"/>
  <c r="R520" i="1"/>
  <c r="P520" i="1"/>
  <c r="O520" i="1"/>
  <c r="N520" i="1"/>
  <c r="M520" i="1"/>
  <c r="L520" i="1"/>
  <c r="J520" i="1"/>
  <c r="Y519" i="1"/>
  <c r="V519" i="1"/>
  <c r="S519" i="1"/>
  <c r="M519" i="1"/>
  <c r="Y518" i="1"/>
  <c r="V518" i="1"/>
  <c r="S518" i="1"/>
  <c r="M518" i="1"/>
  <c r="AA517" i="1"/>
  <c r="Z517" i="1"/>
  <c r="Y517" i="1"/>
  <c r="X517" i="1"/>
  <c r="W517" i="1"/>
  <c r="V517" i="1"/>
  <c r="U517" i="1"/>
  <c r="T517" i="1"/>
  <c r="S517" i="1"/>
  <c r="R517" i="1"/>
  <c r="P517" i="1"/>
  <c r="O517" i="1"/>
  <c r="N517" i="1"/>
  <c r="M517" i="1"/>
  <c r="L517" i="1"/>
  <c r="J517" i="1"/>
  <c r="Y516" i="1"/>
  <c r="V516" i="1"/>
  <c r="S516" i="1"/>
  <c r="M516" i="1"/>
  <c r="Y515" i="1"/>
  <c r="V515" i="1"/>
  <c r="S515" i="1"/>
  <c r="M515" i="1"/>
  <c r="AA514" i="1"/>
  <c r="Z514" i="1"/>
  <c r="Y514" i="1"/>
  <c r="X514" i="1"/>
  <c r="W514" i="1"/>
  <c r="V514" i="1"/>
  <c r="U514" i="1"/>
  <c r="T514" i="1"/>
  <c r="S514" i="1"/>
  <c r="R514" i="1"/>
  <c r="P514" i="1"/>
  <c r="O514" i="1"/>
  <c r="N514" i="1"/>
  <c r="M514" i="1"/>
  <c r="L514" i="1"/>
  <c r="J514" i="1"/>
  <c r="Y513" i="1"/>
  <c r="V513" i="1"/>
  <c r="S513" i="1"/>
  <c r="M513" i="1"/>
  <c r="Y512" i="1"/>
  <c r="V512" i="1"/>
  <c r="S512" i="1"/>
  <c r="M512" i="1"/>
  <c r="AA511" i="1"/>
  <c r="Z511" i="1"/>
  <c r="Y511" i="1"/>
  <c r="X511" i="1"/>
  <c r="W511" i="1"/>
  <c r="V511" i="1"/>
  <c r="U511" i="1"/>
  <c r="T511" i="1"/>
  <c r="S511" i="1"/>
  <c r="R511" i="1"/>
  <c r="P511" i="1"/>
  <c r="O511" i="1"/>
  <c r="N511" i="1"/>
  <c r="M511" i="1"/>
  <c r="L511" i="1"/>
  <c r="J511" i="1"/>
  <c r="Y510" i="1"/>
  <c r="V510" i="1"/>
  <c r="S510" i="1"/>
  <c r="M510" i="1"/>
  <c r="Y509" i="1"/>
  <c r="V509" i="1"/>
  <c r="S509" i="1"/>
  <c r="M509" i="1"/>
  <c r="AA508" i="1"/>
  <c r="Z508" i="1"/>
  <c r="Y508" i="1"/>
  <c r="X508" i="1"/>
  <c r="W508" i="1"/>
  <c r="V508" i="1"/>
  <c r="U508" i="1"/>
  <c r="T508" i="1"/>
  <c r="S508" i="1"/>
  <c r="R508" i="1"/>
  <c r="P508" i="1"/>
  <c r="O508" i="1"/>
  <c r="N508" i="1"/>
  <c r="M508" i="1"/>
  <c r="L508" i="1"/>
  <c r="J508" i="1"/>
  <c r="Y507" i="1"/>
  <c r="V507" i="1"/>
  <c r="S507" i="1"/>
  <c r="M507" i="1"/>
  <c r="Y506" i="1"/>
  <c r="V506" i="1"/>
  <c r="S506" i="1"/>
  <c r="M506" i="1"/>
  <c r="AA505" i="1"/>
  <c r="Z505" i="1"/>
  <c r="Y505" i="1"/>
  <c r="X505" i="1"/>
  <c r="W505" i="1"/>
  <c r="V505" i="1"/>
  <c r="U505" i="1"/>
  <c r="T505" i="1"/>
  <c r="S505" i="1"/>
  <c r="R505" i="1"/>
  <c r="P505" i="1"/>
  <c r="O505" i="1"/>
  <c r="N505" i="1"/>
  <c r="M505" i="1"/>
  <c r="L505" i="1"/>
  <c r="J505" i="1"/>
  <c r="Y504" i="1"/>
  <c r="V504" i="1"/>
  <c r="S504" i="1"/>
  <c r="M504" i="1"/>
  <c r="Y503" i="1"/>
  <c r="V503" i="1"/>
  <c r="S503" i="1"/>
  <c r="M503" i="1"/>
  <c r="AA502" i="1"/>
  <c r="Z502" i="1"/>
  <c r="Y502" i="1"/>
  <c r="X502" i="1"/>
  <c r="W502" i="1"/>
  <c r="V502" i="1"/>
  <c r="U502" i="1"/>
  <c r="T502" i="1"/>
  <c r="S502" i="1"/>
  <c r="R502" i="1"/>
  <c r="P502" i="1"/>
  <c r="O502" i="1"/>
  <c r="N502" i="1"/>
  <c r="M502" i="1"/>
  <c r="L502" i="1"/>
  <c r="J502" i="1"/>
  <c r="Y501" i="1"/>
  <c r="V501" i="1"/>
  <c r="S501" i="1"/>
  <c r="M501" i="1"/>
  <c r="Y500" i="1"/>
  <c r="V500" i="1"/>
  <c r="S500" i="1"/>
  <c r="M500" i="1"/>
  <c r="AA499" i="1"/>
  <c r="Z499" i="1"/>
  <c r="Y499" i="1"/>
  <c r="X499" i="1"/>
  <c r="W499" i="1"/>
  <c r="V499" i="1"/>
  <c r="U499" i="1"/>
  <c r="T499" i="1"/>
  <c r="S499" i="1"/>
  <c r="R499" i="1"/>
  <c r="P499" i="1"/>
  <c r="O499" i="1"/>
  <c r="N499" i="1"/>
  <c r="M499" i="1"/>
  <c r="L499" i="1"/>
  <c r="J499" i="1"/>
  <c r="Y498" i="1"/>
  <c r="V498" i="1"/>
  <c r="S498" i="1"/>
  <c r="M498" i="1"/>
  <c r="Y497" i="1"/>
  <c r="V497" i="1"/>
  <c r="S497" i="1"/>
  <c r="M497" i="1"/>
  <c r="AA496" i="1"/>
  <c r="Z496" i="1"/>
  <c r="Y496" i="1"/>
  <c r="X496" i="1"/>
  <c r="W496" i="1"/>
  <c r="V496" i="1"/>
  <c r="U496" i="1"/>
  <c r="T496" i="1"/>
  <c r="S496" i="1"/>
  <c r="R496" i="1"/>
  <c r="P496" i="1"/>
  <c r="O496" i="1"/>
  <c r="N496" i="1"/>
  <c r="M496" i="1"/>
  <c r="L496" i="1"/>
  <c r="J496" i="1"/>
  <c r="Y495" i="1"/>
  <c r="V495" i="1"/>
  <c r="S495" i="1"/>
  <c r="M495" i="1"/>
  <c r="Y494" i="1"/>
  <c r="V494" i="1"/>
  <c r="S494" i="1"/>
  <c r="M494" i="1"/>
  <c r="Y493" i="1"/>
  <c r="V493" i="1"/>
  <c r="S493" i="1"/>
  <c r="M493" i="1"/>
  <c r="Y492" i="1"/>
  <c r="V492" i="1"/>
  <c r="S492" i="1"/>
  <c r="M492" i="1"/>
  <c r="Z491" i="1"/>
  <c r="X491" i="1"/>
  <c r="W491" i="1"/>
  <c r="AA490" i="1"/>
  <c r="Z490" i="1"/>
  <c r="Y490" i="1"/>
  <c r="X490" i="1"/>
  <c r="W490" i="1"/>
  <c r="V490" i="1"/>
  <c r="U490" i="1"/>
  <c r="T490" i="1"/>
  <c r="S490" i="1"/>
  <c r="R490" i="1"/>
  <c r="P490" i="1"/>
  <c r="O490" i="1"/>
  <c r="N490" i="1"/>
  <c r="M490" i="1"/>
  <c r="L490" i="1"/>
  <c r="J490" i="1"/>
  <c r="Y489" i="1"/>
  <c r="V489" i="1"/>
  <c r="S489" i="1"/>
  <c r="M489" i="1"/>
  <c r="Y488" i="1"/>
  <c r="V488" i="1"/>
  <c r="S488" i="1"/>
  <c r="M488" i="1"/>
  <c r="Y487" i="1"/>
  <c r="V487" i="1"/>
  <c r="S487" i="1"/>
  <c r="M487" i="1"/>
  <c r="Y486" i="1"/>
  <c r="V486" i="1"/>
  <c r="S486" i="1"/>
  <c r="M486" i="1"/>
  <c r="Z485" i="1"/>
  <c r="X485" i="1"/>
  <c r="W485" i="1"/>
  <c r="AA484" i="1"/>
  <c r="Z484" i="1"/>
  <c r="Y484" i="1"/>
  <c r="X484" i="1"/>
  <c r="W484" i="1"/>
  <c r="V484" i="1"/>
  <c r="U484" i="1"/>
  <c r="T484" i="1"/>
  <c r="S484" i="1"/>
  <c r="R484" i="1"/>
  <c r="P484" i="1"/>
  <c r="O484" i="1"/>
  <c r="N484" i="1"/>
  <c r="M484" i="1"/>
  <c r="L484" i="1"/>
  <c r="J484" i="1"/>
  <c r="Y483" i="1"/>
  <c r="V483" i="1"/>
  <c r="S483" i="1"/>
  <c r="M483" i="1"/>
  <c r="Y482" i="1"/>
  <c r="V482" i="1"/>
  <c r="S482" i="1"/>
  <c r="M482" i="1"/>
  <c r="Y481" i="1"/>
  <c r="V481" i="1"/>
  <c r="S481" i="1"/>
  <c r="M481" i="1"/>
  <c r="Y480" i="1"/>
  <c r="V480" i="1"/>
  <c r="S480" i="1"/>
  <c r="M480" i="1"/>
  <c r="Z479" i="1"/>
  <c r="X479" i="1"/>
  <c r="W479" i="1"/>
  <c r="AA478" i="1"/>
  <c r="Z478" i="1"/>
  <c r="Y478" i="1"/>
  <c r="X478" i="1"/>
  <c r="W478" i="1"/>
  <c r="V478" i="1"/>
  <c r="U478" i="1"/>
  <c r="T478" i="1"/>
  <c r="S478" i="1"/>
  <c r="R478" i="1"/>
  <c r="P478" i="1"/>
  <c r="O478" i="1"/>
  <c r="N478" i="1"/>
  <c r="M478" i="1"/>
  <c r="L478" i="1"/>
  <c r="J478" i="1"/>
  <c r="Y477" i="1"/>
  <c r="V477" i="1"/>
  <c r="S477" i="1"/>
  <c r="M477" i="1"/>
  <c r="Y476" i="1"/>
  <c r="V476" i="1"/>
  <c r="S476" i="1"/>
  <c r="M476" i="1"/>
  <c r="Y475" i="1"/>
  <c r="V475" i="1"/>
  <c r="S475" i="1"/>
  <c r="M475" i="1"/>
  <c r="Y474" i="1"/>
  <c r="V474" i="1"/>
  <c r="S474" i="1"/>
  <c r="M474" i="1"/>
  <c r="Z473" i="1"/>
  <c r="X473" i="1"/>
  <c r="W473" i="1"/>
  <c r="AA472" i="1"/>
  <c r="Z472" i="1"/>
  <c r="Y472" i="1"/>
  <c r="X472" i="1"/>
  <c r="W472" i="1"/>
  <c r="V472" i="1"/>
  <c r="U472" i="1"/>
  <c r="T472" i="1"/>
  <c r="S472" i="1"/>
  <c r="R472" i="1"/>
  <c r="P472" i="1"/>
  <c r="O472" i="1"/>
  <c r="N472" i="1"/>
  <c r="M472" i="1"/>
  <c r="L472" i="1"/>
  <c r="J472" i="1"/>
  <c r="Y471" i="1"/>
  <c r="V471" i="1"/>
  <c r="S471" i="1"/>
  <c r="M471" i="1"/>
  <c r="Y470" i="1"/>
  <c r="V470" i="1"/>
  <c r="S470" i="1"/>
  <c r="M470" i="1"/>
  <c r="Y469" i="1"/>
  <c r="V469" i="1"/>
  <c r="S469" i="1"/>
  <c r="M469" i="1"/>
  <c r="Y468" i="1"/>
  <c r="V468" i="1"/>
  <c r="S468" i="1"/>
  <c r="M468" i="1"/>
  <c r="Z467" i="1"/>
  <c r="X467" i="1"/>
  <c r="W467" i="1"/>
  <c r="AA466" i="1"/>
  <c r="Z466" i="1"/>
  <c r="Y466" i="1"/>
  <c r="X466" i="1"/>
  <c r="W466" i="1"/>
  <c r="V466" i="1"/>
  <c r="U466" i="1"/>
  <c r="T466" i="1"/>
  <c r="S466" i="1"/>
  <c r="R466" i="1"/>
  <c r="P466" i="1"/>
  <c r="O466" i="1"/>
  <c r="N466" i="1"/>
  <c r="M466" i="1"/>
  <c r="L466" i="1"/>
  <c r="J466" i="1"/>
  <c r="Y465" i="1"/>
  <c r="V465" i="1"/>
  <c r="S465" i="1"/>
  <c r="M465" i="1"/>
  <c r="Y464" i="1"/>
  <c r="V464" i="1"/>
  <c r="S464" i="1"/>
  <c r="M464" i="1"/>
  <c r="Y463" i="1"/>
  <c r="V463" i="1"/>
  <c r="S463" i="1"/>
  <c r="M463" i="1"/>
  <c r="Y462" i="1"/>
  <c r="V462" i="1"/>
  <c r="S462" i="1"/>
  <c r="M462" i="1"/>
  <c r="Z461" i="1"/>
  <c r="X461" i="1"/>
  <c r="W461" i="1"/>
  <c r="AA460" i="1"/>
  <c r="Z460" i="1"/>
  <c r="Y460" i="1"/>
  <c r="X460" i="1"/>
  <c r="W460" i="1"/>
  <c r="V460" i="1"/>
  <c r="U460" i="1"/>
  <c r="T460" i="1"/>
  <c r="S460" i="1"/>
  <c r="R460" i="1"/>
  <c r="P460" i="1"/>
  <c r="O460" i="1"/>
  <c r="N460" i="1"/>
  <c r="M460" i="1"/>
  <c r="L460" i="1"/>
  <c r="J460" i="1"/>
  <c r="Y459" i="1"/>
  <c r="V459" i="1"/>
  <c r="S459" i="1"/>
  <c r="M459" i="1"/>
  <c r="Y458" i="1"/>
  <c r="V458" i="1"/>
  <c r="S458" i="1"/>
  <c r="M458" i="1"/>
  <c r="Y457" i="1"/>
  <c r="V457" i="1"/>
  <c r="S457" i="1"/>
  <c r="M457" i="1"/>
  <c r="Y456" i="1"/>
  <c r="V456" i="1"/>
  <c r="S456" i="1"/>
  <c r="M456" i="1"/>
  <c r="Z455" i="1"/>
  <c r="X455" i="1"/>
  <c r="W455" i="1"/>
  <c r="AA454" i="1"/>
  <c r="Z454" i="1"/>
  <c r="Y454" i="1"/>
  <c r="X454" i="1"/>
  <c r="W454" i="1"/>
  <c r="V454" i="1"/>
  <c r="U454" i="1"/>
  <c r="T454" i="1"/>
  <c r="S454" i="1"/>
  <c r="R454" i="1"/>
  <c r="P454" i="1"/>
  <c r="O454" i="1"/>
  <c r="N454" i="1"/>
  <c r="M454" i="1"/>
  <c r="L454" i="1"/>
  <c r="J454" i="1"/>
  <c r="Y453" i="1"/>
  <c r="V453" i="1"/>
  <c r="S453" i="1"/>
  <c r="M453" i="1"/>
  <c r="Y452" i="1"/>
  <c r="V452" i="1"/>
  <c r="S452" i="1"/>
  <c r="M452" i="1"/>
  <c r="Y451" i="1"/>
  <c r="V451" i="1"/>
  <c r="S451" i="1"/>
  <c r="M451" i="1"/>
  <c r="Y450" i="1"/>
  <c r="V450" i="1"/>
  <c r="S450" i="1"/>
  <c r="M450" i="1"/>
  <c r="Z449" i="1"/>
  <c r="X449" i="1"/>
  <c r="W449" i="1"/>
  <c r="AA448" i="1"/>
  <c r="Z448" i="1"/>
  <c r="Y448" i="1"/>
  <c r="X448" i="1"/>
  <c r="W448" i="1"/>
  <c r="V448" i="1"/>
  <c r="U448" i="1"/>
  <c r="T448" i="1"/>
  <c r="S448" i="1"/>
  <c r="R448" i="1"/>
  <c r="P448" i="1"/>
  <c r="O448" i="1"/>
  <c r="N448" i="1"/>
  <c r="M448" i="1"/>
  <c r="L448" i="1"/>
  <c r="J448" i="1"/>
  <c r="Y447" i="1"/>
  <c r="V447" i="1"/>
  <c r="S447" i="1"/>
  <c r="M447" i="1"/>
  <c r="AA446" i="1"/>
  <c r="Z446" i="1"/>
  <c r="Y446" i="1"/>
  <c r="X446" i="1"/>
  <c r="W446" i="1"/>
  <c r="V446" i="1"/>
  <c r="U446" i="1"/>
  <c r="T446" i="1"/>
  <c r="S446" i="1"/>
  <c r="R446" i="1"/>
  <c r="P446" i="1"/>
  <c r="O446" i="1"/>
  <c r="N446" i="1"/>
  <c r="M446" i="1"/>
  <c r="L446" i="1"/>
  <c r="J446" i="1"/>
  <c r="Y445" i="1"/>
  <c r="V445" i="1"/>
  <c r="S445" i="1"/>
  <c r="M445" i="1"/>
  <c r="Y444" i="1"/>
  <c r="V444" i="1"/>
  <c r="S444" i="1"/>
  <c r="M444" i="1"/>
  <c r="Z443" i="1"/>
  <c r="X443" i="1"/>
  <c r="W443" i="1"/>
  <c r="AA442" i="1"/>
  <c r="Z442" i="1"/>
  <c r="Y442" i="1"/>
  <c r="X442" i="1"/>
  <c r="W442" i="1"/>
  <c r="V442" i="1"/>
  <c r="U442" i="1"/>
  <c r="T442" i="1"/>
  <c r="S442" i="1"/>
  <c r="R442" i="1"/>
  <c r="P442" i="1"/>
  <c r="O442" i="1"/>
  <c r="N442" i="1"/>
  <c r="M442" i="1"/>
  <c r="L442" i="1"/>
  <c r="J442" i="1"/>
  <c r="Y441" i="1"/>
  <c r="V441" i="1"/>
  <c r="S441" i="1"/>
  <c r="M441" i="1"/>
  <c r="AA440" i="1"/>
  <c r="Z440" i="1"/>
  <c r="Y440" i="1"/>
  <c r="X440" i="1"/>
  <c r="W440" i="1"/>
  <c r="V440" i="1"/>
  <c r="U440" i="1"/>
  <c r="T440" i="1"/>
  <c r="S440" i="1"/>
  <c r="R440" i="1"/>
  <c r="P440" i="1"/>
  <c r="O440" i="1"/>
  <c r="N440" i="1"/>
  <c r="M440" i="1"/>
  <c r="L440" i="1"/>
  <c r="J440" i="1"/>
  <c r="Y439" i="1"/>
  <c r="V439" i="1"/>
  <c r="S439" i="1"/>
  <c r="M439" i="1"/>
  <c r="AA438" i="1"/>
  <c r="Z438" i="1"/>
  <c r="Y438" i="1"/>
  <c r="X438" i="1"/>
  <c r="W438" i="1"/>
  <c r="V438" i="1"/>
  <c r="U438" i="1"/>
  <c r="T438" i="1"/>
  <c r="S438" i="1"/>
  <c r="R438" i="1"/>
  <c r="P438" i="1"/>
  <c r="O438" i="1"/>
  <c r="N438" i="1"/>
  <c r="M438" i="1"/>
  <c r="L438" i="1"/>
  <c r="J438" i="1"/>
  <c r="Y437" i="1"/>
  <c r="V437" i="1"/>
  <c r="S437" i="1"/>
  <c r="M437" i="1"/>
  <c r="AA436" i="1"/>
  <c r="Z436" i="1"/>
  <c r="Y436" i="1"/>
  <c r="X436" i="1"/>
  <c r="W436" i="1"/>
  <c r="V436" i="1"/>
  <c r="U436" i="1"/>
  <c r="T436" i="1"/>
  <c r="S436" i="1"/>
  <c r="R436" i="1"/>
  <c r="P436" i="1"/>
  <c r="O436" i="1"/>
  <c r="N436" i="1"/>
  <c r="M436" i="1"/>
  <c r="L436" i="1"/>
  <c r="J436" i="1"/>
  <c r="Y435" i="1"/>
  <c r="V435" i="1"/>
  <c r="S435" i="1"/>
  <c r="M435" i="1"/>
  <c r="AA434" i="1"/>
  <c r="Z434" i="1"/>
  <c r="Y434" i="1"/>
  <c r="X434" i="1"/>
  <c r="W434" i="1"/>
  <c r="V434" i="1"/>
  <c r="U434" i="1"/>
  <c r="T434" i="1"/>
  <c r="S434" i="1"/>
  <c r="R434" i="1"/>
  <c r="P434" i="1"/>
  <c r="O434" i="1"/>
  <c r="N434" i="1"/>
  <c r="M434" i="1"/>
  <c r="L434" i="1"/>
  <c r="J434" i="1"/>
  <c r="Y433" i="1"/>
  <c r="V433" i="1"/>
  <c r="S433" i="1"/>
  <c r="M433" i="1"/>
  <c r="AA432" i="1"/>
  <c r="Z432" i="1"/>
  <c r="Y432" i="1"/>
  <c r="X432" i="1"/>
  <c r="W432" i="1"/>
  <c r="V432" i="1"/>
  <c r="U432" i="1"/>
  <c r="T432" i="1"/>
  <c r="S432" i="1"/>
  <c r="R432" i="1"/>
  <c r="P432" i="1"/>
  <c r="O432" i="1"/>
  <c r="N432" i="1"/>
  <c r="M432" i="1"/>
  <c r="L432" i="1"/>
  <c r="J432" i="1"/>
  <c r="Y431" i="1"/>
  <c r="V431" i="1"/>
  <c r="S431" i="1"/>
  <c r="M431" i="1"/>
  <c r="AA430" i="1"/>
  <c r="Z430" i="1"/>
  <c r="Y430" i="1"/>
  <c r="X430" i="1"/>
  <c r="W430" i="1"/>
  <c r="V430" i="1"/>
  <c r="U430" i="1"/>
  <c r="T430" i="1"/>
  <c r="S430" i="1"/>
  <c r="R430" i="1"/>
  <c r="P430" i="1"/>
  <c r="O430" i="1"/>
  <c r="N430" i="1"/>
  <c r="M430" i="1"/>
  <c r="L430" i="1"/>
  <c r="J430" i="1"/>
  <c r="Y429" i="1"/>
  <c r="V429" i="1"/>
  <c r="S429" i="1"/>
  <c r="M429" i="1"/>
  <c r="AA428" i="1"/>
  <c r="Z428" i="1"/>
  <c r="Y428" i="1"/>
  <c r="X428" i="1"/>
  <c r="W428" i="1"/>
  <c r="V428" i="1"/>
  <c r="U428" i="1"/>
  <c r="T428" i="1"/>
  <c r="S428" i="1"/>
  <c r="R428" i="1"/>
  <c r="P428" i="1"/>
  <c r="O428" i="1"/>
  <c r="N428" i="1"/>
  <c r="M428" i="1"/>
  <c r="L428" i="1"/>
  <c r="J428" i="1"/>
  <c r="Y427" i="1"/>
  <c r="V427" i="1"/>
  <c r="S427" i="1"/>
  <c r="M427" i="1"/>
  <c r="AA426" i="1"/>
  <c r="Z426" i="1"/>
  <c r="Y426" i="1"/>
  <c r="X426" i="1"/>
  <c r="W426" i="1"/>
  <c r="V426" i="1"/>
  <c r="U426" i="1"/>
  <c r="T426" i="1"/>
  <c r="S426" i="1"/>
  <c r="R426" i="1"/>
  <c r="P426" i="1"/>
  <c r="O426" i="1"/>
  <c r="N426" i="1"/>
  <c r="M426" i="1"/>
  <c r="L426" i="1"/>
  <c r="J426" i="1"/>
  <c r="Y425" i="1"/>
  <c r="V425" i="1"/>
  <c r="S425" i="1"/>
  <c r="M425" i="1"/>
  <c r="AA424" i="1"/>
  <c r="Z424" i="1"/>
  <c r="Y424" i="1"/>
  <c r="X424" i="1"/>
  <c r="W424" i="1"/>
  <c r="V424" i="1"/>
  <c r="U424" i="1"/>
  <c r="T424" i="1"/>
  <c r="S424" i="1"/>
  <c r="R424" i="1"/>
  <c r="P424" i="1"/>
  <c r="O424" i="1"/>
  <c r="N424" i="1"/>
  <c r="M424" i="1"/>
  <c r="L424" i="1"/>
  <c r="J424" i="1"/>
  <c r="Y423" i="1"/>
  <c r="V423" i="1"/>
  <c r="S423" i="1"/>
  <c r="M423" i="1"/>
  <c r="AA422" i="1"/>
  <c r="Z422" i="1"/>
  <c r="Y422" i="1"/>
  <c r="X422" i="1"/>
  <c r="W422" i="1"/>
  <c r="V422" i="1"/>
  <c r="U422" i="1"/>
  <c r="T422" i="1"/>
  <c r="S422" i="1"/>
  <c r="R422" i="1"/>
  <c r="P422" i="1"/>
  <c r="O422" i="1"/>
  <c r="N422" i="1"/>
  <c r="M422" i="1"/>
  <c r="L422" i="1"/>
  <c r="J422" i="1"/>
  <c r="Y421" i="1"/>
  <c r="V421" i="1"/>
  <c r="S421" i="1"/>
  <c r="M421" i="1"/>
  <c r="AA420" i="1"/>
  <c r="Z420" i="1"/>
  <c r="Y420" i="1"/>
  <c r="X420" i="1"/>
  <c r="W420" i="1"/>
  <c r="V420" i="1"/>
  <c r="U420" i="1"/>
  <c r="T420" i="1"/>
  <c r="S420" i="1"/>
  <c r="R420" i="1"/>
  <c r="P420" i="1"/>
  <c r="O420" i="1"/>
  <c r="N420" i="1"/>
  <c r="M420" i="1"/>
  <c r="L420" i="1"/>
  <c r="J420" i="1"/>
  <c r="Y419" i="1"/>
  <c r="V419" i="1"/>
  <c r="S419" i="1"/>
  <c r="M419" i="1"/>
  <c r="Y418" i="1"/>
  <c r="V418" i="1"/>
  <c r="S418" i="1"/>
  <c r="M418" i="1"/>
  <c r="Z417" i="1"/>
  <c r="X417" i="1"/>
  <c r="W417" i="1"/>
  <c r="AA416" i="1"/>
  <c r="Z416" i="1"/>
  <c r="Y416" i="1"/>
  <c r="X416" i="1"/>
  <c r="W416" i="1"/>
  <c r="V416" i="1"/>
  <c r="U416" i="1"/>
  <c r="T416" i="1"/>
  <c r="S416" i="1"/>
  <c r="R416" i="1"/>
  <c r="P416" i="1"/>
  <c r="O416" i="1"/>
  <c r="N416" i="1"/>
  <c r="M416" i="1"/>
  <c r="L416" i="1"/>
  <c r="J416" i="1"/>
  <c r="Y415" i="1"/>
  <c r="V415" i="1"/>
  <c r="S415" i="1"/>
  <c r="M415" i="1"/>
  <c r="Y414" i="1"/>
  <c r="V414" i="1"/>
  <c r="S414" i="1"/>
  <c r="M414" i="1"/>
  <c r="Z413" i="1"/>
  <c r="X413" i="1"/>
  <c r="W413" i="1"/>
  <c r="AA412" i="1"/>
  <c r="Z412" i="1"/>
  <c r="Y412" i="1"/>
  <c r="X412" i="1"/>
  <c r="W412" i="1"/>
  <c r="V412" i="1"/>
  <c r="U412" i="1"/>
  <c r="T412" i="1"/>
  <c r="S412" i="1"/>
  <c r="R412" i="1"/>
  <c r="P412" i="1"/>
  <c r="O412" i="1"/>
  <c r="N412" i="1"/>
  <c r="M412" i="1"/>
  <c r="L412" i="1"/>
  <c r="J412" i="1"/>
  <c r="Y411" i="1"/>
  <c r="V411" i="1"/>
  <c r="S411" i="1"/>
  <c r="M411" i="1"/>
  <c r="Y410" i="1"/>
  <c r="V410" i="1"/>
  <c r="S410" i="1"/>
  <c r="M410" i="1"/>
  <c r="Z409" i="1"/>
  <c r="X409" i="1"/>
  <c r="W409" i="1"/>
  <c r="AA408" i="1"/>
  <c r="Z408" i="1"/>
  <c r="Y408" i="1"/>
  <c r="X408" i="1"/>
  <c r="W408" i="1"/>
  <c r="V408" i="1"/>
  <c r="U408" i="1"/>
  <c r="T408" i="1"/>
  <c r="S408" i="1"/>
  <c r="R408" i="1"/>
  <c r="P408" i="1"/>
  <c r="O408" i="1"/>
  <c r="N408" i="1"/>
  <c r="M408" i="1"/>
  <c r="L408" i="1"/>
  <c r="J408" i="1"/>
  <c r="Y407" i="1"/>
  <c r="V407" i="1"/>
  <c r="S407" i="1"/>
  <c r="M407" i="1"/>
  <c r="Y406" i="1"/>
  <c r="V406" i="1"/>
  <c r="S406" i="1"/>
  <c r="M406" i="1"/>
  <c r="Z405" i="1"/>
  <c r="X405" i="1"/>
  <c r="W405" i="1"/>
  <c r="AA404" i="1"/>
  <c r="Z404" i="1"/>
  <c r="Y404" i="1"/>
  <c r="X404" i="1"/>
  <c r="W404" i="1"/>
  <c r="V404" i="1"/>
  <c r="U404" i="1"/>
  <c r="T404" i="1"/>
  <c r="S404" i="1"/>
  <c r="R404" i="1"/>
  <c r="P404" i="1"/>
  <c r="O404" i="1"/>
  <c r="N404" i="1"/>
  <c r="M404" i="1"/>
  <c r="L404" i="1"/>
  <c r="J404" i="1"/>
  <c r="Y403" i="1"/>
  <c r="V403" i="1"/>
  <c r="S403" i="1"/>
  <c r="M403" i="1"/>
  <c r="Y402" i="1"/>
  <c r="V402" i="1"/>
  <c r="S402" i="1"/>
  <c r="M402" i="1"/>
  <c r="Z401" i="1"/>
  <c r="X401" i="1"/>
  <c r="W401" i="1"/>
  <c r="AA400" i="1"/>
  <c r="Z400" i="1"/>
  <c r="Y400" i="1"/>
  <c r="X400" i="1"/>
  <c r="W400" i="1"/>
  <c r="V400" i="1"/>
  <c r="U400" i="1"/>
  <c r="T400" i="1"/>
  <c r="S400" i="1"/>
  <c r="R400" i="1"/>
  <c r="P400" i="1"/>
  <c r="O400" i="1"/>
  <c r="N400" i="1"/>
  <c r="M400" i="1"/>
  <c r="L400" i="1"/>
  <c r="J400" i="1"/>
  <c r="Y399" i="1"/>
  <c r="V399" i="1"/>
  <c r="S399" i="1"/>
  <c r="M399" i="1"/>
  <c r="Y398" i="1"/>
  <c r="V398" i="1"/>
  <c r="S398" i="1"/>
  <c r="M398" i="1"/>
  <c r="Z397" i="1"/>
  <c r="X397" i="1"/>
  <c r="W397" i="1"/>
  <c r="AA396" i="1"/>
  <c r="Z396" i="1"/>
  <c r="Y396" i="1"/>
  <c r="X396" i="1"/>
  <c r="W396" i="1"/>
  <c r="V396" i="1"/>
  <c r="U396" i="1"/>
  <c r="T396" i="1"/>
  <c r="S396" i="1"/>
  <c r="R396" i="1"/>
  <c r="P396" i="1"/>
  <c r="O396" i="1"/>
  <c r="N396" i="1"/>
  <c r="M396" i="1"/>
  <c r="L396" i="1"/>
  <c r="J396" i="1"/>
  <c r="Y395" i="1"/>
  <c r="V395" i="1"/>
  <c r="S395" i="1"/>
  <c r="M395" i="1"/>
  <c r="Y394" i="1"/>
  <c r="V394" i="1"/>
  <c r="S394" i="1"/>
  <c r="M394" i="1"/>
  <c r="Z393" i="1"/>
  <c r="X393" i="1"/>
  <c r="W393" i="1"/>
  <c r="AA392" i="1"/>
  <c r="Z392" i="1"/>
  <c r="Y392" i="1"/>
  <c r="X392" i="1"/>
  <c r="W392" i="1"/>
  <c r="V392" i="1"/>
  <c r="U392" i="1"/>
  <c r="T392" i="1"/>
  <c r="S392" i="1"/>
  <c r="R392" i="1"/>
  <c r="P392" i="1"/>
  <c r="O392" i="1"/>
  <c r="N392" i="1"/>
  <c r="M392" i="1"/>
  <c r="L392" i="1"/>
  <c r="J392" i="1"/>
  <c r="AA391" i="1"/>
  <c r="Z391" i="1"/>
  <c r="Y391" i="1"/>
  <c r="U391" i="1"/>
  <c r="T391" i="1"/>
  <c r="S391" i="1"/>
  <c r="O391" i="1"/>
  <c r="N391" i="1"/>
  <c r="M391" i="1"/>
  <c r="Y390" i="1"/>
  <c r="V390" i="1"/>
  <c r="S390" i="1"/>
  <c r="M390" i="1"/>
  <c r="Y389" i="1"/>
  <c r="V389" i="1"/>
  <c r="S389" i="1"/>
  <c r="M389" i="1"/>
  <c r="AA388" i="1"/>
  <c r="Z388" i="1"/>
  <c r="Y388" i="1"/>
  <c r="X388" i="1"/>
  <c r="W388" i="1"/>
  <c r="V388" i="1"/>
  <c r="U388" i="1"/>
  <c r="T388" i="1"/>
  <c r="S388" i="1"/>
  <c r="R388" i="1"/>
  <c r="P388" i="1"/>
  <c r="O388" i="1"/>
  <c r="N388" i="1"/>
  <c r="M388" i="1"/>
  <c r="L388" i="1"/>
  <c r="J388" i="1"/>
  <c r="Y387" i="1"/>
  <c r="V387" i="1"/>
  <c r="S387" i="1"/>
  <c r="M387" i="1"/>
  <c r="Y386" i="1"/>
  <c r="V386" i="1"/>
  <c r="S386" i="1"/>
  <c r="M386" i="1"/>
  <c r="Y385" i="1"/>
  <c r="V385" i="1"/>
  <c r="S385" i="1"/>
  <c r="M385" i="1"/>
  <c r="Y384" i="1"/>
  <c r="V384" i="1"/>
  <c r="S384" i="1"/>
  <c r="M384" i="1"/>
  <c r="Z383" i="1"/>
  <c r="X383" i="1"/>
  <c r="W383" i="1"/>
  <c r="AA382" i="1"/>
  <c r="Z382" i="1"/>
  <c r="Y382" i="1"/>
  <c r="X382" i="1"/>
  <c r="W382" i="1"/>
  <c r="V382" i="1"/>
  <c r="U382" i="1"/>
  <c r="T382" i="1"/>
  <c r="S382" i="1"/>
  <c r="R382" i="1"/>
  <c r="P382" i="1"/>
  <c r="O382" i="1"/>
  <c r="N382" i="1"/>
  <c r="M382" i="1"/>
  <c r="L382" i="1"/>
  <c r="J382" i="1"/>
  <c r="AA381" i="1"/>
  <c r="Z381" i="1"/>
  <c r="Y381" i="1"/>
  <c r="U381" i="1"/>
  <c r="T381" i="1"/>
  <c r="S381" i="1"/>
  <c r="O381" i="1"/>
  <c r="N381" i="1"/>
  <c r="M381" i="1"/>
  <c r="AA380" i="1"/>
  <c r="Z380" i="1"/>
  <c r="Y380" i="1"/>
  <c r="U380" i="1"/>
  <c r="T380" i="1"/>
  <c r="S380" i="1"/>
  <c r="O380" i="1"/>
  <c r="N380" i="1"/>
  <c r="M380" i="1"/>
  <c r="Y379" i="1"/>
  <c r="V379" i="1"/>
  <c r="S379" i="1"/>
  <c r="M379" i="1"/>
  <c r="AA378" i="1"/>
  <c r="Z378" i="1"/>
  <c r="Y378" i="1"/>
  <c r="X378" i="1"/>
  <c r="W378" i="1"/>
  <c r="V378" i="1"/>
  <c r="U378" i="1"/>
  <c r="T378" i="1"/>
  <c r="S378" i="1"/>
  <c r="R378" i="1"/>
  <c r="P378" i="1"/>
  <c r="O378" i="1"/>
  <c r="N378" i="1"/>
  <c r="M378" i="1"/>
  <c r="L378" i="1"/>
  <c r="J378" i="1"/>
  <c r="Y377" i="1"/>
  <c r="V377" i="1"/>
  <c r="S377" i="1"/>
  <c r="M377" i="1"/>
  <c r="Y376" i="1"/>
  <c r="V376" i="1"/>
  <c r="S376" i="1"/>
  <c r="M376" i="1"/>
  <c r="Z375" i="1"/>
  <c r="X375" i="1"/>
  <c r="W375" i="1"/>
  <c r="AA374" i="1"/>
  <c r="Z374" i="1"/>
  <c r="Y374" i="1"/>
  <c r="X374" i="1"/>
  <c r="W374" i="1"/>
  <c r="V374" i="1"/>
  <c r="U374" i="1"/>
  <c r="T374" i="1"/>
  <c r="S374" i="1"/>
  <c r="R374" i="1"/>
  <c r="P374" i="1"/>
  <c r="O374" i="1"/>
  <c r="N374" i="1"/>
  <c r="M374" i="1"/>
  <c r="L374" i="1"/>
  <c r="J374" i="1"/>
  <c r="AA373" i="1"/>
  <c r="Z373" i="1"/>
  <c r="Y373" i="1"/>
  <c r="U373" i="1"/>
  <c r="T373" i="1"/>
  <c r="S373" i="1"/>
  <c r="O373" i="1"/>
  <c r="N373" i="1"/>
  <c r="M373" i="1"/>
  <c r="Y372" i="1"/>
  <c r="V372" i="1"/>
  <c r="S372" i="1"/>
  <c r="M372" i="1"/>
  <c r="Y371" i="1"/>
  <c r="V371" i="1"/>
  <c r="S371" i="1"/>
  <c r="M371" i="1"/>
  <c r="Y370" i="1"/>
  <c r="V370" i="1"/>
  <c r="S370" i="1"/>
  <c r="M370" i="1"/>
  <c r="Y369" i="1"/>
  <c r="V369" i="1"/>
  <c r="S369" i="1"/>
  <c r="M369" i="1"/>
  <c r="AA368" i="1"/>
  <c r="Z368" i="1"/>
  <c r="Y368" i="1"/>
  <c r="X368" i="1"/>
  <c r="W368" i="1"/>
  <c r="V368" i="1"/>
  <c r="U368" i="1"/>
  <c r="T368" i="1"/>
  <c r="S368" i="1"/>
  <c r="R368" i="1"/>
  <c r="P368" i="1"/>
  <c r="O368" i="1"/>
  <c r="N368" i="1"/>
  <c r="M368" i="1"/>
  <c r="L368" i="1"/>
  <c r="J368" i="1"/>
  <c r="Y367" i="1"/>
  <c r="V367" i="1"/>
  <c r="S367" i="1"/>
  <c r="M367" i="1"/>
  <c r="Y366" i="1"/>
  <c r="V366" i="1"/>
  <c r="S366" i="1"/>
  <c r="M366" i="1"/>
  <c r="Y365" i="1"/>
  <c r="V365" i="1"/>
  <c r="S365" i="1"/>
  <c r="M365" i="1"/>
  <c r="Y364" i="1"/>
  <c r="V364" i="1"/>
  <c r="S364" i="1"/>
  <c r="M364" i="1"/>
  <c r="AA363" i="1"/>
  <c r="Z363" i="1"/>
  <c r="Y363" i="1"/>
  <c r="X363" i="1"/>
  <c r="W363" i="1"/>
  <c r="V363" i="1"/>
  <c r="U363" i="1"/>
  <c r="T363" i="1"/>
  <c r="S363" i="1"/>
  <c r="R363" i="1"/>
  <c r="P363" i="1"/>
  <c r="O363" i="1"/>
  <c r="N363" i="1"/>
  <c r="M363" i="1"/>
  <c r="L363" i="1"/>
  <c r="J363" i="1"/>
  <c r="Y362" i="1"/>
  <c r="V362" i="1"/>
  <c r="S362" i="1"/>
  <c r="M362" i="1"/>
  <c r="Y361" i="1"/>
  <c r="V361" i="1"/>
  <c r="S361" i="1"/>
  <c r="M361" i="1"/>
  <c r="Y360" i="1"/>
  <c r="V360" i="1"/>
  <c r="S360" i="1"/>
  <c r="M360" i="1"/>
  <c r="Y359" i="1"/>
  <c r="V359" i="1"/>
  <c r="S359" i="1"/>
  <c r="M359" i="1"/>
  <c r="AA358" i="1"/>
  <c r="Z358" i="1"/>
  <c r="Y358" i="1"/>
  <c r="X358" i="1"/>
  <c r="W358" i="1"/>
  <c r="V358" i="1"/>
  <c r="U358" i="1"/>
  <c r="T358" i="1"/>
  <c r="S358" i="1"/>
  <c r="R358" i="1"/>
  <c r="P358" i="1"/>
  <c r="O358" i="1"/>
  <c r="N358" i="1"/>
  <c r="M358" i="1"/>
  <c r="L358" i="1"/>
  <c r="J358" i="1"/>
  <c r="Y357" i="1"/>
  <c r="V357" i="1"/>
  <c r="S357" i="1"/>
  <c r="M357" i="1"/>
  <c r="Y356" i="1"/>
  <c r="V356" i="1"/>
  <c r="S356" i="1"/>
  <c r="M356" i="1"/>
  <c r="Y355" i="1"/>
  <c r="V355" i="1"/>
  <c r="S355" i="1"/>
  <c r="M355" i="1"/>
  <c r="Y354" i="1"/>
  <c r="V354" i="1"/>
  <c r="S354" i="1"/>
  <c r="M354" i="1"/>
  <c r="AA353" i="1"/>
  <c r="Z353" i="1"/>
  <c r="Y353" i="1"/>
  <c r="X353" i="1"/>
  <c r="W353" i="1"/>
  <c r="V353" i="1"/>
  <c r="U353" i="1"/>
  <c r="T353" i="1"/>
  <c r="S353" i="1"/>
  <c r="R353" i="1"/>
  <c r="P353" i="1"/>
  <c r="O353" i="1"/>
  <c r="N353" i="1"/>
  <c r="M353" i="1"/>
  <c r="L353" i="1"/>
  <c r="J353" i="1"/>
  <c r="Y352" i="1"/>
  <c r="V352" i="1"/>
  <c r="S352" i="1"/>
  <c r="M352" i="1"/>
  <c r="Y351" i="1"/>
  <c r="V351" i="1"/>
  <c r="S351" i="1"/>
  <c r="M351" i="1"/>
  <c r="Y350" i="1"/>
  <c r="V350" i="1"/>
  <c r="S350" i="1"/>
  <c r="M350" i="1"/>
  <c r="Y349" i="1"/>
  <c r="V349" i="1"/>
  <c r="S349" i="1"/>
  <c r="M349" i="1"/>
  <c r="AA348" i="1"/>
  <c r="Z348" i="1"/>
  <c r="Y348" i="1"/>
  <c r="X348" i="1"/>
  <c r="W348" i="1"/>
  <c r="V348" i="1"/>
  <c r="U348" i="1"/>
  <c r="T348" i="1"/>
  <c r="S348" i="1"/>
  <c r="R348" i="1"/>
  <c r="P348" i="1"/>
  <c r="O348" i="1"/>
  <c r="N348" i="1"/>
  <c r="M348" i="1"/>
  <c r="L348" i="1"/>
  <c r="J348" i="1"/>
  <c r="Y347" i="1"/>
  <c r="V347" i="1"/>
  <c r="S347" i="1"/>
  <c r="M347" i="1"/>
  <c r="Y346" i="1"/>
  <c r="V346" i="1"/>
  <c r="S346" i="1"/>
  <c r="M346" i="1"/>
  <c r="Y345" i="1"/>
  <c r="V345" i="1"/>
  <c r="S345" i="1"/>
  <c r="M345" i="1"/>
  <c r="Y344" i="1"/>
  <c r="V344" i="1"/>
  <c r="S344" i="1"/>
  <c r="M344" i="1"/>
  <c r="AA343" i="1"/>
  <c r="Z343" i="1"/>
  <c r="Y343" i="1"/>
  <c r="X343" i="1"/>
  <c r="W343" i="1"/>
  <c r="V343" i="1"/>
  <c r="U343" i="1"/>
  <c r="T343" i="1"/>
  <c r="S343" i="1"/>
  <c r="R343" i="1"/>
  <c r="P343" i="1"/>
  <c r="O343" i="1"/>
  <c r="N343" i="1"/>
  <c r="M343" i="1"/>
  <c r="L343" i="1"/>
  <c r="J343" i="1"/>
  <c r="Y342" i="1"/>
  <c r="V342" i="1"/>
  <c r="S342" i="1"/>
  <c r="M342" i="1"/>
  <c r="Y341" i="1"/>
  <c r="V341" i="1"/>
  <c r="S341" i="1"/>
  <c r="M341" i="1"/>
  <c r="Y340" i="1"/>
  <c r="V340" i="1"/>
  <c r="S340" i="1"/>
  <c r="M340" i="1"/>
  <c r="Y339" i="1"/>
  <c r="V339" i="1"/>
  <c r="S339" i="1"/>
  <c r="M339" i="1"/>
  <c r="Y338" i="1"/>
  <c r="V338" i="1"/>
  <c r="S338" i="1"/>
  <c r="M338" i="1"/>
  <c r="Y337" i="1"/>
  <c r="V337" i="1"/>
  <c r="S337" i="1"/>
  <c r="M337" i="1"/>
  <c r="Y336" i="1"/>
  <c r="V336" i="1"/>
  <c r="S336" i="1"/>
  <c r="M336" i="1"/>
  <c r="Y335" i="1"/>
  <c r="V335" i="1"/>
  <c r="S335" i="1"/>
  <c r="M335" i="1"/>
  <c r="Z334" i="1"/>
  <c r="X334" i="1"/>
  <c r="W334" i="1"/>
  <c r="AA333" i="1"/>
  <c r="Z333" i="1"/>
  <c r="Y333" i="1"/>
  <c r="X333" i="1"/>
  <c r="W333" i="1"/>
  <c r="V333" i="1"/>
  <c r="U333" i="1"/>
  <c r="T333" i="1"/>
  <c r="S333" i="1"/>
  <c r="R333" i="1"/>
  <c r="P333" i="1"/>
  <c r="O333" i="1"/>
  <c r="N333" i="1"/>
  <c r="M333" i="1"/>
  <c r="L333" i="1"/>
  <c r="J333" i="1"/>
  <c r="Y332" i="1"/>
  <c r="V332" i="1"/>
  <c r="S332" i="1"/>
  <c r="M332" i="1"/>
  <c r="Y331" i="1"/>
  <c r="V331" i="1"/>
  <c r="S331" i="1"/>
  <c r="M331" i="1"/>
  <c r="Y330" i="1"/>
  <c r="V330" i="1"/>
  <c r="S330" i="1"/>
  <c r="M330" i="1"/>
  <c r="Y329" i="1"/>
  <c r="V329" i="1"/>
  <c r="S329" i="1"/>
  <c r="M329" i="1"/>
  <c r="Y328" i="1"/>
  <c r="V328" i="1"/>
  <c r="S328" i="1"/>
  <c r="M328" i="1"/>
  <c r="Y327" i="1"/>
  <c r="V327" i="1"/>
  <c r="S327" i="1"/>
  <c r="M327" i="1"/>
  <c r="Y326" i="1"/>
  <c r="V326" i="1"/>
  <c r="S326" i="1"/>
  <c r="M326" i="1"/>
  <c r="Y325" i="1"/>
  <c r="V325" i="1"/>
  <c r="S325" i="1"/>
  <c r="M325" i="1"/>
  <c r="Z324" i="1"/>
  <c r="X324" i="1"/>
  <c r="W324" i="1"/>
  <c r="AA323" i="1"/>
  <c r="Z323" i="1"/>
  <c r="Y323" i="1"/>
  <c r="X323" i="1"/>
  <c r="W323" i="1"/>
  <c r="V323" i="1"/>
  <c r="U323" i="1"/>
  <c r="T323" i="1"/>
  <c r="S323" i="1"/>
  <c r="R323" i="1"/>
  <c r="P323" i="1"/>
  <c r="O323" i="1"/>
  <c r="N323" i="1"/>
  <c r="M323" i="1"/>
  <c r="L323" i="1"/>
  <c r="J323" i="1"/>
  <c r="Y322" i="1"/>
  <c r="V322" i="1"/>
  <c r="S322" i="1"/>
  <c r="M322" i="1"/>
  <c r="Y321" i="1"/>
  <c r="V321" i="1"/>
  <c r="S321" i="1"/>
  <c r="M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Y316" i="1"/>
  <c r="V316" i="1"/>
  <c r="S316" i="1"/>
  <c r="M316" i="1"/>
  <c r="Y315" i="1"/>
  <c r="V315" i="1"/>
  <c r="S315" i="1"/>
  <c r="M315" i="1"/>
  <c r="Z314" i="1"/>
  <c r="X314" i="1"/>
  <c r="W314" i="1"/>
  <c r="AA313" i="1"/>
  <c r="Z313" i="1"/>
  <c r="Y313" i="1"/>
  <c r="X313" i="1"/>
  <c r="W313" i="1"/>
  <c r="V313" i="1"/>
  <c r="U313" i="1"/>
  <c r="T313" i="1"/>
  <c r="S313" i="1"/>
  <c r="R313" i="1"/>
  <c r="P313" i="1"/>
  <c r="O313" i="1"/>
  <c r="N313" i="1"/>
  <c r="M313" i="1"/>
  <c r="L313" i="1"/>
  <c r="J313" i="1"/>
  <c r="Y312" i="1"/>
  <c r="V312" i="1"/>
  <c r="S312" i="1"/>
  <c r="M312" i="1"/>
  <c r="Y311" i="1"/>
  <c r="V311" i="1"/>
  <c r="S311" i="1"/>
  <c r="M311" i="1"/>
  <c r="Y310" i="1"/>
  <c r="V310" i="1"/>
  <c r="S310" i="1"/>
  <c r="M310" i="1"/>
  <c r="Y309" i="1"/>
  <c r="V309" i="1"/>
  <c r="S309" i="1"/>
  <c r="M309" i="1"/>
  <c r="Y308" i="1"/>
  <c r="V308" i="1"/>
  <c r="S308" i="1"/>
  <c r="M308" i="1"/>
  <c r="Y307" i="1"/>
  <c r="V307" i="1"/>
  <c r="S307" i="1"/>
  <c r="M307" i="1"/>
  <c r="Y306" i="1"/>
  <c r="V306" i="1"/>
  <c r="S306" i="1"/>
  <c r="M306" i="1"/>
  <c r="Y305" i="1"/>
  <c r="V305" i="1"/>
  <c r="S305" i="1"/>
  <c r="M305" i="1"/>
  <c r="Z304" i="1"/>
  <c r="X304" i="1"/>
  <c r="W304" i="1"/>
  <c r="AA303" i="1"/>
  <c r="Z303" i="1"/>
  <c r="Y303" i="1"/>
  <c r="X303" i="1"/>
  <c r="W303" i="1"/>
  <c r="V303" i="1"/>
  <c r="U303" i="1"/>
  <c r="T303" i="1"/>
  <c r="S303" i="1"/>
  <c r="R303" i="1"/>
  <c r="P303" i="1"/>
  <c r="O303" i="1"/>
  <c r="N303" i="1"/>
  <c r="M303" i="1"/>
  <c r="L303" i="1"/>
  <c r="J303" i="1"/>
  <c r="Y302" i="1"/>
  <c r="V302" i="1"/>
  <c r="S302" i="1"/>
  <c r="M302" i="1"/>
  <c r="Y301" i="1"/>
  <c r="V301" i="1"/>
  <c r="S301" i="1"/>
  <c r="M301" i="1"/>
  <c r="Y300" i="1"/>
  <c r="V300" i="1"/>
  <c r="S300" i="1"/>
  <c r="M300" i="1"/>
  <c r="Y299" i="1"/>
  <c r="V299" i="1"/>
  <c r="S299" i="1"/>
  <c r="M299" i="1"/>
  <c r="Y298" i="1"/>
  <c r="V298" i="1"/>
  <c r="S298" i="1"/>
  <c r="M298" i="1"/>
  <c r="Y297" i="1"/>
  <c r="V297" i="1"/>
  <c r="S297" i="1"/>
  <c r="M297" i="1"/>
  <c r="Y296" i="1"/>
  <c r="V296" i="1"/>
  <c r="S296" i="1"/>
  <c r="M296" i="1"/>
  <c r="Y295" i="1"/>
  <c r="V295" i="1"/>
  <c r="S295" i="1"/>
  <c r="M295" i="1"/>
  <c r="Z294" i="1"/>
  <c r="X294" i="1"/>
  <c r="W294" i="1"/>
  <c r="AA293" i="1"/>
  <c r="Z293" i="1"/>
  <c r="Y293" i="1"/>
  <c r="X293" i="1"/>
  <c r="W293" i="1"/>
  <c r="V293" i="1"/>
  <c r="U293" i="1"/>
  <c r="T293" i="1"/>
  <c r="S293" i="1"/>
  <c r="R293" i="1"/>
  <c r="P293" i="1"/>
  <c r="O293" i="1"/>
  <c r="N293" i="1"/>
  <c r="M293" i="1"/>
  <c r="L293" i="1"/>
  <c r="J293" i="1"/>
  <c r="Y292" i="1"/>
  <c r="V292" i="1"/>
  <c r="S292" i="1"/>
  <c r="M292" i="1"/>
  <c r="Y291" i="1"/>
  <c r="V291" i="1"/>
  <c r="S291" i="1"/>
  <c r="M291" i="1"/>
  <c r="Y290" i="1"/>
  <c r="V290" i="1"/>
  <c r="S290" i="1"/>
  <c r="M290" i="1"/>
  <c r="Y289" i="1"/>
  <c r="V289" i="1"/>
  <c r="S289" i="1"/>
  <c r="M289" i="1"/>
  <c r="Y288" i="1"/>
  <c r="V288" i="1"/>
  <c r="S288" i="1"/>
  <c r="M288" i="1"/>
  <c r="Y287" i="1"/>
  <c r="V287" i="1"/>
  <c r="S287" i="1"/>
  <c r="M287" i="1"/>
  <c r="Y286" i="1"/>
  <c r="V286" i="1"/>
  <c r="S286" i="1"/>
  <c r="M286" i="1"/>
  <c r="Y285" i="1"/>
  <c r="V285" i="1"/>
  <c r="S285" i="1"/>
  <c r="M285" i="1"/>
  <c r="Z284" i="1"/>
  <c r="X284" i="1"/>
  <c r="W284" i="1"/>
  <c r="AA283" i="1"/>
  <c r="Z283" i="1"/>
  <c r="Y283" i="1"/>
  <c r="X283" i="1"/>
  <c r="W283" i="1"/>
  <c r="V283" i="1"/>
  <c r="U283" i="1"/>
  <c r="T283" i="1"/>
  <c r="S283" i="1"/>
  <c r="R283" i="1"/>
  <c r="P283" i="1"/>
  <c r="O283" i="1"/>
  <c r="N283" i="1"/>
  <c r="M283" i="1"/>
  <c r="L283" i="1"/>
  <c r="J283" i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AA278" i="1"/>
  <c r="Z278" i="1"/>
  <c r="Y278" i="1"/>
  <c r="X278" i="1"/>
  <c r="W278" i="1"/>
  <c r="V278" i="1"/>
  <c r="U278" i="1"/>
  <c r="T278" i="1"/>
  <c r="S278" i="1"/>
  <c r="R278" i="1"/>
  <c r="P278" i="1"/>
  <c r="O278" i="1"/>
  <c r="N278" i="1"/>
  <c r="M278" i="1"/>
  <c r="L278" i="1"/>
  <c r="J278" i="1"/>
  <c r="Y277" i="1"/>
  <c r="V277" i="1"/>
  <c r="S277" i="1"/>
  <c r="M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Y273" i="1"/>
  <c r="V273" i="1"/>
  <c r="S273" i="1"/>
  <c r="M273" i="1"/>
  <c r="Y272" i="1"/>
  <c r="V272" i="1"/>
  <c r="S272" i="1"/>
  <c r="M272" i="1"/>
  <c r="Y271" i="1"/>
  <c r="V271" i="1"/>
  <c r="S271" i="1"/>
  <c r="M271" i="1"/>
  <c r="Y270" i="1"/>
  <c r="V270" i="1"/>
  <c r="S270" i="1"/>
  <c r="M270" i="1"/>
  <c r="Z269" i="1"/>
  <c r="X269" i="1"/>
  <c r="W269" i="1"/>
  <c r="AA268" i="1"/>
  <c r="Z268" i="1"/>
  <c r="Y268" i="1"/>
  <c r="X268" i="1"/>
  <c r="W268" i="1"/>
  <c r="V268" i="1"/>
  <c r="U268" i="1"/>
  <c r="T268" i="1"/>
  <c r="S268" i="1"/>
  <c r="R268" i="1"/>
  <c r="P268" i="1"/>
  <c r="O268" i="1"/>
  <c r="N268" i="1"/>
  <c r="M268" i="1"/>
  <c r="L268" i="1"/>
  <c r="J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X263" i="1"/>
  <c r="W263" i="1"/>
  <c r="V263" i="1"/>
  <c r="U263" i="1"/>
  <c r="T263" i="1"/>
  <c r="S263" i="1"/>
  <c r="R263" i="1"/>
  <c r="P263" i="1"/>
  <c r="O263" i="1"/>
  <c r="N263" i="1"/>
  <c r="M263" i="1"/>
  <c r="L263" i="1"/>
  <c r="J263" i="1"/>
  <c r="Y262" i="1"/>
  <c r="V262" i="1"/>
  <c r="S262" i="1"/>
  <c r="M262" i="1"/>
  <c r="Y261" i="1"/>
  <c r="V261" i="1"/>
  <c r="S261" i="1"/>
  <c r="M261" i="1"/>
  <c r="Y260" i="1"/>
  <c r="V260" i="1"/>
  <c r="S260" i="1"/>
  <c r="M260" i="1"/>
  <c r="Y259" i="1"/>
  <c r="V259" i="1"/>
  <c r="S259" i="1"/>
  <c r="M259" i="1"/>
  <c r="AA258" i="1"/>
  <c r="Z258" i="1"/>
  <c r="Y258" i="1"/>
  <c r="X258" i="1"/>
  <c r="W258" i="1"/>
  <c r="V258" i="1"/>
  <c r="U258" i="1"/>
  <c r="T258" i="1"/>
  <c r="S258" i="1"/>
  <c r="R258" i="1"/>
  <c r="P258" i="1"/>
  <c r="O258" i="1"/>
  <c r="N258" i="1"/>
  <c r="M258" i="1"/>
  <c r="L258" i="1"/>
  <c r="J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AA254" i="1"/>
  <c r="Z254" i="1"/>
  <c r="Y254" i="1"/>
  <c r="X254" i="1"/>
  <c r="W254" i="1"/>
  <c r="V254" i="1"/>
  <c r="U254" i="1"/>
  <c r="T254" i="1"/>
  <c r="S254" i="1"/>
  <c r="R254" i="1"/>
  <c r="P254" i="1"/>
  <c r="O254" i="1"/>
  <c r="N254" i="1"/>
  <c r="M254" i="1"/>
  <c r="L254" i="1"/>
  <c r="J254" i="1"/>
  <c r="Y253" i="1"/>
  <c r="V253" i="1"/>
  <c r="S253" i="1"/>
  <c r="M253" i="1"/>
  <c r="Y252" i="1"/>
  <c r="V252" i="1"/>
  <c r="S252" i="1"/>
  <c r="M252" i="1"/>
  <c r="Y251" i="1"/>
  <c r="V251" i="1"/>
  <c r="S251" i="1"/>
  <c r="M251" i="1"/>
  <c r="Y250" i="1"/>
  <c r="V250" i="1"/>
  <c r="S250" i="1"/>
  <c r="M250" i="1"/>
  <c r="Y249" i="1"/>
  <c r="V249" i="1"/>
  <c r="S249" i="1"/>
  <c r="M249" i="1"/>
  <c r="Y248" i="1"/>
  <c r="V248" i="1"/>
  <c r="S248" i="1"/>
  <c r="M248" i="1"/>
  <c r="Z247" i="1"/>
  <c r="X247" i="1"/>
  <c r="W247" i="1"/>
  <c r="AA246" i="1"/>
  <c r="Z246" i="1"/>
  <c r="Y246" i="1"/>
  <c r="X246" i="1"/>
  <c r="W246" i="1"/>
  <c r="V246" i="1"/>
  <c r="U246" i="1"/>
  <c r="T246" i="1"/>
  <c r="S246" i="1"/>
  <c r="R246" i="1"/>
  <c r="P246" i="1"/>
  <c r="O246" i="1"/>
  <c r="N246" i="1"/>
  <c r="M246" i="1"/>
  <c r="L246" i="1"/>
  <c r="J246" i="1"/>
  <c r="Y245" i="1"/>
  <c r="V245" i="1"/>
  <c r="S245" i="1"/>
  <c r="M245" i="1"/>
  <c r="Y244" i="1"/>
  <c r="V244" i="1"/>
  <c r="S244" i="1"/>
  <c r="M244" i="1"/>
  <c r="Y243" i="1"/>
  <c r="V243" i="1"/>
  <c r="S243" i="1"/>
  <c r="M243" i="1"/>
  <c r="Y242" i="1"/>
  <c r="V242" i="1"/>
  <c r="S242" i="1"/>
  <c r="M242" i="1"/>
  <c r="Y241" i="1"/>
  <c r="V241" i="1"/>
  <c r="S241" i="1"/>
  <c r="M241" i="1"/>
  <c r="Y240" i="1"/>
  <c r="V240" i="1"/>
  <c r="S240" i="1"/>
  <c r="M240" i="1"/>
  <c r="Y239" i="1"/>
  <c r="V239" i="1"/>
  <c r="S239" i="1"/>
  <c r="M239" i="1"/>
  <c r="Y238" i="1"/>
  <c r="V238" i="1"/>
  <c r="S238" i="1"/>
  <c r="M238" i="1"/>
  <c r="Z237" i="1"/>
  <c r="X237" i="1"/>
  <c r="W237" i="1"/>
  <c r="AA236" i="1"/>
  <c r="Z236" i="1"/>
  <c r="Y236" i="1"/>
  <c r="X236" i="1"/>
  <c r="W236" i="1"/>
  <c r="V236" i="1"/>
  <c r="U236" i="1"/>
  <c r="T236" i="1"/>
  <c r="S236" i="1"/>
  <c r="R236" i="1"/>
  <c r="P236" i="1"/>
  <c r="O236" i="1"/>
  <c r="N236" i="1"/>
  <c r="M236" i="1"/>
  <c r="L236" i="1"/>
  <c r="J236" i="1"/>
  <c r="Y235" i="1"/>
  <c r="V235" i="1"/>
  <c r="S235" i="1"/>
  <c r="M235" i="1"/>
  <c r="Y234" i="1"/>
  <c r="V234" i="1"/>
  <c r="S234" i="1"/>
  <c r="M234" i="1"/>
  <c r="Y233" i="1"/>
  <c r="V233" i="1"/>
  <c r="S233" i="1"/>
  <c r="M233" i="1"/>
  <c r="Y232" i="1"/>
  <c r="V232" i="1"/>
  <c r="S232" i="1"/>
  <c r="M232" i="1"/>
  <c r="Y231" i="1"/>
  <c r="V231" i="1"/>
  <c r="S231" i="1"/>
  <c r="M231" i="1"/>
  <c r="Y230" i="1"/>
  <c r="V230" i="1"/>
  <c r="S230" i="1"/>
  <c r="M230" i="1"/>
  <c r="Y229" i="1"/>
  <c r="V229" i="1"/>
  <c r="S229" i="1"/>
  <c r="M229" i="1"/>
  <c r="Y228" i="1"/>
  <c r="V228" i="1"/>
  <c r="S228" i="1"/>
  <c r="M228" i="1"/>
  <c r="Z227" i="1"/>
  <c r="X227" i="1"/>
  <c r="W227" i="1"/>
  <c r="AA226" i="1"/>
  <c r="Z226" i="1"/>
  <c r="Y226" i="1"/>
  <c r="X226" i="1"/>
  <c r="W226" i="1"/>
  <c r="V226" i="1"/>
  <c r="U226" i="1"/>
  <c r="T226" i="1"/>
  <c r="S226" i="1"/>
  <c r="R226" i="1"/>
  <c r="P226" i="1"/>
  <c r="O226" i="1"/>
  <c r="N226" i="1"/>
  <c r="M226" i="1"/>
  <c r="L226" i="1"/>
  <c r="J226" i="1"/>
  <c r="Y225" i="1"/>
  <c r="V225" i="1"/>
  <c r="S225" i="1"/>
  <c r="M225" i="1"/>
  <c r="Y224" i="1"/>
  <c r="V224" i="1"/>
  <c r="S224" i="1"/>
  <c r="M224" i="1"/>
  <c r="Y223" i="1"/>
  <c r="V223" i="1"/>
  <c r="S223" i="1"/>
  <c r="M223" i="1"/>
  <c r="Y222" i="1"/>
  <c r="V222" i="1"/>
  <c r="S222" i="1"/>
  <c r="M222" i="1"/>
  <c r="AA221" i="1"/>
  <c r="Z221" i="1"/>
  <c r="Y221" i="1"/>
  <c r="X221" i="1"/>
  <c r="W221" i="1"/>
  <c r="V221" i="1"/>
  <c r="U221" i="1"/>
  <c r="T221" i="1"/>
  <c r="S221" i="1"/>
  <c r="R221" i="1"/>
  <c r="P221" i="1"/>
  <c r="O221" i="1"/>
  <c r="N221" i="1"/>
  <c r="M221" i="1"/>
  <c r="L221" i="1"/>
  <c r="J221" i="1"/>
  <c r="Y220" i="1"/>
  <c r="V220" i="1"/>
  <c r="S220" i="1"/>
  <c r="M220" i="1"/>
  <c r="Y219" i="1"/>
  <c r="V219" i="1"/>
  <c r="S219" i="1"/>
  <c r="M219" i="1"/>
  <c r="Y218" i="1"/>
  <c r="V218" i="1"/>
  <c r="S218" i="1"/>
  <c r="M218" i="1"/>
  <c r="Y217" i="1"/>
  <c r="V217" i="1"/>
  <c r="S217" i="1"/>
  <c r="M217" i="1"/>
  <c r="AA216" i="1"/>
  <c r="Z216" i="1"/>
  <c r="Y216" i="1"/>
  <c r="X216" i="1"/>
  <c r="W216" i="1"/>
  <c r="V216" i="1"/>
  <c r="U216" i="1"/>
  <c r="T216" i="1"/>
  <c r="S216" i="1"/>
  <c r="R216" i="1"/>
  <c r="P216" i="1"/>
  <c r="O216" i="1"/>
  <c r="N216" i="1"/>
  <c r="M216" i="1"/>
  <c r="L216" i="1"/>
  <c r="J216" i="1"/>
  <c r="Y215" i="1"/>
  <c r="V215" i="1"/>
  <c r="S215" i="1"/>
  <c r="M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AA211" i="1"/>
  <c r="Z211" i="1"/>
  <c r="Y211" i="1"/>
  <c r="X211" i="1"/>
  <c r="W211" i="1"/>
  <c r="V211" i="1"/>
  <c r="U211" i="1"/>
  <c r="T211" i="1"/>
  <c r="S211" i="1"/>
  <c r="R211" i="1"/>
  <c r="P211" i="1"/>
  <c r="O211" i="1"/>
  <c r="N211" i="1"/>
  <c r="M211" i="1"/>
  <c r="L211" i="1"/>
  <c r="J211" i="1"/>
  <c r="Y210" i="1"/>
  <c r="V210" i="1"/>
  <c r="S210" i="1"/>
  <c r="M210" i="1"/>
  <c r="Y209" i="1"/>
  <c r="V209" i="1"/>
  <c r="S209" i="1"/>
  <c r="M209" i="1"/>
  <c r="Y208" i="1"/>
  <c r="V208" i="1"/>
  <c r="S208" i="1"/>
  <c r="M208" i="1"/>
  <c r="Y207" i="1"/>
  <c r="V207" i="1"/>
  <c r="S207" i="1"/>
  <c r="M207" i="1"/>
  <c r="Y206" i="1"/>
  <c r="V206" i="1"/>
  <c r="S206" i="1"/>
  <c r="M206" i="1"/>
  <c r="Y205" i="1"/>
  <c r="V205" i="1"/>
  <c r="S205" i="1"/>
  <c r="M205" i="1"/>
  <c r="Y204" i="1"/>
  <c r="V204" i="1"/>
  <c r="S204" i="1"/>
  <c r="M204" i="1"/>
  <c r="Y203" i="1"/>
  <c r="V203" i="1"/>
  <c r="S203" i="1"/>
  <c r="M203" i="1"/>
  <c r="Z202" i="1"/>
  <c r="X202" i="1"/>
  <c r="W202" i="1"/>
  <c r="AA201" i="1"/>
  <c r="Z201" i="1"/>
  <c r="Y201" i="1"/>
  <c r="X201" i="1"/>
  <c r="W201" i="1"/>
  <c r="V201" i="1"/>
  <c r="U201" i="1"/>
  <c r="T201" i="1"/>
  <c r="S201" i="1"/>
  <c r="R201" i="1"/>
  <c r="P201" i="1"/>
  <c r="O201" i="1"/>
  <c r="N201" i="1"/>
  <c r="M201" i="1"/>
  <c r="L201" i="1"/>
  <c r="J201" i="1"/>
  <c r="Y200" i="1"/>
  <c r="V200" i="1"/>
  <c r="S200" i="1"/>
  <c r="M200" i="1"/>
  <c r="Y199" i="1"/>
  <c r="V199" i="1"/>
  <c r="S199" i="1"/>
  <c r="M199" i="1"/>
  <c r="Y198" i="1"/>
  <c r="V198" i="1"/>
  <c r="S198" i="1"/>
  <c r="M198" i="1"/>
  <c r="Y197" i="1"/>
  <c r="V197" i="1"/>
  <c r="S197" i="1"/>
  <c r="M197" i="1"/>
  <c r="Y196" i="1"/>
  <c r="V196" i="1"/>
  <c r="S196" i="1"/>
  <c r="M196" i="1"/>
  <c r="Y195" i="1"/>
  <c r="V195" i="1"/>
  <c r="S195" i="1"/>
  <c r="M195" i="1"/>
  <c r="Y194" i="1"/>
  <c r="V194" i="1"/>
  <c r="S194" i="1"/>
  <c r="M194" i="1"/>
  <c r="Y193" i="1"/>
  <c r="V193" i="1"/>
  <c r="S193" i="1"/>
  <c r="M193" i="1"/>
  <c r="Z192" i="1"/>
  <c r="X192" i="1"/>
  <c r="W192" i="1"/>
  <c r="AA191" i="1"/>
  <c r="Z191" i="1"/>
  <c r="Y191" i="1"/>
  <c r="X191" i="1"/>
  <c r="W191" i="1"/>
  <c r="V191" i="1"/>
  <c r="U191" i="1"/>
  <c r="T191" i="1"/>
  <c r="S191" i="1"/>
  <c r="R191" i="1"/>
  <c r="P191" i="1"/>
  <c r="O191" i="1"/>
  <c r="N191" i="1"/>
  <c r="M191" i="1"/>
  <c r="L191" i="1"/>
  <c r="J191" i="1"/>
  <c r="Y190" i="1"/>
  <c r="V190" i="1"/>
  <c r="S190" i="1"/>
  <c r="M190" i="1"/>
  <c r="Y189" i="1"/>
  <c r="V189" i="1"/>
  <c r="S189" i="1"/>
  <c r="M189" i="1"/>
  <c r="Y188" i="1"/>
  <c r="V188" i="1"/>
  <c r="S188" i="1"/>
  <c r="M188" i="1"/>
  <c r="Y187" i="1"/>
  <c r="V187" i="1"/>
  <c r="S187" i="1"/>
  <c r="M187" i="1"/>
  <c r="Y186" i="1"/>
  <c r="V186" i="1"/>
  <c r="S186" i="1"/>
  <c r="M186" i="1"/>
  <c r="Y185" i="1"/>
  <c r="V185" i="1"/>
  <c r="S185" i="1"/>
  <c r="M185" i="1"/>
  <c r="Y184" i="1"/>
  <c r="V184" i="1"/>
  <c r="S184" i="1"/>
  <c r="M184" i="1"/>
  <c r="Y183" i="1"/>
  <c r="V183" i="1"/>
  <c r="S183" i="1"/>
  <c r="M183" i="1"/>
  <c r="Z182" i="1"/>
  <c r="X182" i="1"/>
  <c r="W182" i="1"/>
  <c r="AA181" i="1"/>
  <c r="Z181" i="1"/>
  <c r="Y181" i="1"/>
  <c r="X181" i="1"/>
  <c r="W181" i="1"/>
  <c r="V181" i="1"/>
  <c r="U181" i="1"/>
  <c r="T181" i="1"/>
  <c r="S181" i="1"/>
  <c r="R181" i="1"/>
  <c r="P181" i="1"/>
  <c r="O181" i="1"/>
  <c r="N181" i="1"/>
  <c r="M181" i="1"/>
  <c r="L181" i="1"/>
  <c r="J181" i="1"/>
  <c r="Y180" i="1"/>
  <c r="V180" i="1"/>
  <c r="S180" i="1"/>
  <c r="M180" i="1"/>
  <c r="AA179" i="1"/>
  <c r="Z179" i="1"/>
  <c r="Y179" i="1"/>
  <c r="X179" i="1"/>
  <c r="W179" i="1"/>
  <c r="V179" i="1"/>
  <c r="U179" i="1"/>
  <c r="T179" i="1"/>
  <c r="S179" i="1"/>
  <c r="R179" i="1"/>
  <c r="P179" i="1"/>
  <c r="O179" i="1"/>
  <c r="N179" i="1"/>
  <c r="M179" i="1"/>
  <c r="L179" i="1"/>
  <c r="J179" i="1"/>
  <c r="Y178" i="1"/>
  <c r="V178" i="1"/>
  <c r="S178" i="1"/>
  <c r="M178" i="1"/>
  <c r="AA177" i="1"/>
  <c r="Z177" i="1"/>
  <c r="Y177" i="1"/>
  <c r="X177" i="1"/>
  <c r="W177" i="1"/>
  <c r="V177" i="1"/>
  <c r="U177" i="1"/>
  <c r="T177" i="1"/>
  <c r="S177" i="1"/>
  <c r="R177" i="1"/>
  <c r="P177" i="1"/>
  <c r="O177" i="1"/>
  <c r="N177" i="1"/>
  <c r="M177" i="1"/>
  <c r="L177" i="1"/>
  <c r="J177" i="1"/>
  <c r="Y176" i="1"/>
  <c r="V176" i="1"/>
  <c r="S176" i="1"/>
  <c r="M176" i="1"/>
  <c r="Y175" i="1"/>
  <c r="V175" i="1"/>
  <c r="S175" i="1"/>
  <c r="M175" i="1"/>
  <c r="Z174" i="1"/>
  <c r="X174" i="1"/>
  <c r="W174" i="1"/>
  <c r="AA173" i="1"/>
  <c r="Z173" i="1"/>
  <c r="Y173" i="1"/>
  <c r="X173" i="1"/>
  <c r="W173" i="1"/>
  <c r="V173" i="1"/>
  <c r="U173" i="1"/>
  <c r="T173" i="1"/>
  <c r="S173" i="1"/>
  <c r="R173" i="1"/>
  <c r="P173" i="1"/>
  <c r="O173" i="1"/>
  <c r="N173" i="1"/>
  <c r="M173" i="1"/>
  <c r="L173" i="1"/>
  <c r="J173" i="1"/>
  <c r="Y172" i="1"/>
  <c r="V172" i="1"/>
  <c r="S172" i="1"/>
  <c r="M172" i="1"/>
  <c r="Y171" i="1"/>
  <c r="V171" i="1"/>
  <c r="S171" i="1"/>
  <c r="M171" i="1"/>
  <c r="Z170" i="1"/>
  <c r="X170" i="1"/>
  <c r="W170" i="1"/>
  <c r="AA169" i="1"/>
  <c r="Z169" i="1"/>
  <c r="Y169" i="1"/>
  <c r="X169" i="1"/>
  <c r="W169" i="1"/>
  <c r="V169" i="1"/>
  <c r="U169" i="1"/>
  <c r="T169" i="1"/>
  <c r="S169" i="1"/>
  <c r="R169" i="1"/>
  <c r="P169" i="1"/>
  <c r="O169" i="1"/>
  <c r="N169" i="1"/>
  <c r="M169" i="1"/>
  <c r="L169" i="1"/>
  <c r="J169" i="1"/>
  <c r="Y168" i="1"/>
  <c r="V168" i="1"/>
  <c r="S168" i="1"/>
  <c r="M168" i="1"/>
  <c r="Y167" i="1"/>
  <c r="V167" i="1"/>
  <c r="S167" i="1"/>
  <c r="M167" i="1"/>
  <c r="AA166" i="1"/>
  <c r="Z166" i="1"/>
  <c r="Y166" i="1"/>
  <c r="X166" i="1"/>
  <c r="W166" i="1"/>
  <c r="V166" i="1"/>
  <c r="U166" i="1"/>
  <c r="T166" i="1"/>
  <c r="S166" i="1"/>
  <c r="R166" i="1"/>
  <c r="P166" i="1"/>
  <c r="O166" i="1"/>
  <c r="N166" i="1"/>
  <c r="M166" i="1"/>
  <c r="L166" i="1"/>
  <c r="J166" i="1"/>
  <c r="Y165" i="1"/>
  <c r="V165" i="1"/>
  <c r="S165" i="1"/>
  <c r="M165" i="1"/>
  <c r="Y164" i="1"/>
  <c r="V164" i="1"/>
  <c r="S164" i="1"/>
  <c r="M164" i="1"/>
  <c r="AA163" i="1"/>
  <c r="Z163" i="1"/>
  <c r="Y163" i="1"/>
  <c r="X163" i="1"/>
  <c r="W163" i="1"/>
  <c r="V163" i="1"/>
  <c r="U163" i="1"/>
  <c r="T163" i="1"/>
  <c r="S163" i="1"/>
  <c r="R163" i="1"/>
  <c r="P163" i="1"/>
  <c r="O163" i="1"/>
  <c r="N163" i="1"/>
  <c r="M163" i="1"/>
  <c r="L163" i="1"/>
  <c r="J163" i="1"/>
  <c r="Y162" i="1"/>
  <c r="V162" i="1"/>
  <c r="S162" i="1"/>
  <c r="M162" i="1"/>
  <c r="Y161" i="1"/>
  <c r="V161" i="1"/>
  <c r="S161" i="1"/>
  <c r="M161" i="1"/>
  <c r="Y160" i="1"/>
  <c r="V160" i="1"/>
  <c r="S160" i="1"/>
  <c r="M160" i="1"/>
  <c r="Y159" i="1"/>
  <c r="V159" i="1"/>
  <c r="S159" i="1"/>
  <c r="M159" i="1"/>
  <c r="Z158" i="1"/>
  <c r="X158" i="1"/>
  <c r="W158" i="1"/>
  <c r="AA157" i="1"/>
  <c r="Z157" i="1"/>
  <c r="Y157" i="1"/>
  <c r="X157" i="1"/>
  <c r="W157" i="1"/>
  <c r="V157" i="1"/>
  <c r="U157" i="1"/>
  <c r="T157" i="1"/>
  <c r="S157" i="1"/>
  <c r="R157" i="1"/>
  <c r="P157" i="1"/>
  <c r="O157" i="1"/>
  <c r="N157" i="1"/>
  <c r="M157" i="1"/>
  <c r="L157" i="1"/>
  <c r="J157" i="1"/>
  <c r="Y156" i="1"/>
  <c r="V156" i="1"/>
  <c r="S156" i="1"/>
  <c r="M156" i="1"/>
  <c r="Y155" i="1"/>
  <c r="V155" i="1"/>
  <c r="S155" i="1"/>
  <c r="M155" i="1"/>
  <c r="Y154" i="1"/>
  <c r="V154" i="1"/>
  <c r="S154" i="1"/>
  <c r="M154" i="1"/>
  <c r="Y153" i="1"/>
  <c r="V153" i="1"/>
  <c r="S153" i="1"/>
  <c r="M153" i="1"/>
  <c r="Z152" i="1"/>
  <c r="X152" i="1"/>
  <c r="W152" i="1"/>
  <c r="AA151" i="1"/>
  <c r="Z151" i="1"/>
  <c r="Y151" i="1"/>
  <c r="X151" i="1"/>
  <c r="W151" i="1"/>
  <c r="V151" i="1"/>
  <c r="U151" i="1"/>
  <c r="T151" i="1"/>
  <c r="S151" i="1"/>
  <c r="R151" i="1"/>
  <c r="P151" i="1"/>
  <c r="O151" i="1"/>
  <c r="N151" i="1"/>
  <c r="M151" i="1"/>
  <c r="L151" i="1"/>
  <c r="J151" i="1"/>
  <c r="Y150" i="1"/>
  <c r="V150" i="1"/>
  <c r="S150" i="1"/>
  <c r="M150" i="1"/>
  <c r="Y149" i="1"/>
  <c r="V149" i="1"/>
  <c r="S149" i="1"/>
  <c r="M149" i="1"/>
  <c r="AA148" i="1"/>
  <c r="Z148" i="1"/>
  <c r="Y148" i="1"/>
  <c r="X148" i="1"/>
  <c r="W148" i="1"/>
  <c r="V148" i="1"/>
  <c r="U148" i="1"/>
  <c r="T148" i="1"/>
  <c r="S148" i="1"/>
  <c r="R148" i="1"/>
  <c r="P148" i="1"/>
  <c r="O148" i="1"/>
  <c r="N148" i="1"/>
  <c r="M148" i="1"/>
  <c r="L148" i="1"/>
  <c r="J148" i="1"/>
  <c r="Y147" i="1"/>
  <c r="V147" i="1"/>
  <c r="S147" i="1"/>
  <c r="M147" i="1"/>
  <c r="Y146" i="1"/>
  <c r="V146" i="1"/>
  <c r="S146" i="1"/>
  <c r="M146" i="1"/>
  <c r="AA145" i="1"/>
  <c r="Z145" i="1"/>
  <c r="Y145" i="1"/>
  <c r="X145" i="1"/>
  <c r="W145" i="1"/>
  <c r="V145" i="1"/>
  <c r="U145" i="1"/>
  <c r="T145" i="1"/>
  <c r="S145" i="1"/>
  <c r="R145" i="1"/>
  <c r="P145" i="1"/>
  <c r="O145" i="1"/>
  <c r="N145" i="1"/>
  <c r="M145" i="1"/>
  <c r="L145" i="1"/>
  <c r="J145" i="1"/>
  <c r="Y144" i="1"/>
  <c r="V144" i="1"/>
  <c r="S144" i="1"/>
  <c r="M144" i="1"/>
  <c r="Y143" i="1"/>
  <c r="V143" i="1"/>
  <c r="S143" i="1"/>
  <c r="M143" i="1"/>
  <c r="AA142" i="1"/>
  <c r="Z142" i="1"/>
  <c r="Y142" i="1"/>
  <c r="X142" i="1"/>
  <c r="W142" i="1"/>
  <c r="V142" i="1"/>
  <c r="U142" i="1"/>
  <c r="T142" i="1"/>
  <c r="S142" i="1"/>
  <c r="R142" i="1"/>
  <c r="P142" i="1"/>
  <c r="O142" i="1"/>
  <c r="N142" i="1"/>
  <c r="M142" i="1"/>
  <c r="L142" i="1"/>
  <c r="J142" i="1"/>
  <c r="Y141" i="1"/>
  <c r="V141" i="1"/>
  <c r="S141" i="1"/>
  <c r="M141" i="1"/>
  <c r="Y140" i="1"/>
  <c r="V140" i="1"/>
  <c r="S140" i="1"/>
  <c r="M140" i="1"/>
  <c r="AA139" i="1"/>
  <c r="Z139" i="1"/>
  <c r="Y139" i="1"/>
  <c r="X139" i="1"/>
  <c r="W139" i="1"/>
  <c r="V139" i="1"/>
  <c r="U139" i="1"/>
  <c r="T139" i="1"/>
  <c r="S139" i="1"/>
  <c r="R139" i="1"/>
  <c r="P139" i="1"/>
  <c r="O139" i="1"/>
  <c r="N139" i="1"/>
  <c r="M139" i="1"/>
  <c r="L139" i="1"/>
  <c r="J139" i="1"/>
  <c r="Y138" i="1"/>
  <c r="V138" i="1"/>
  <c r="S138" i="1"/>
  <c r="M138" i="1"/>
  <c r="Y137" i="1"/>
  <c r="V137" i="1"/>
  <c r="S137" i="1"/>
  <c r="M137" i="1"/>
  <c r="Y136" i="1"/>
  <c r="V136" i="1"/>
  <c r="S136" i="1"/>
  <c r="M136" i="1"/>
  <c r="Y135" i="1"/>
  <c r="V135" i="1"/>
  <c r="S135" i="1"/>
  <c r="M135" i="1"/>
  <c r="Z134" i="1"/>
  <c r="X134" i="1"/>
  <c r="W134" i="1"/>
  <c r="AA133" i="1"/>
  <c r="Z133" i="1"/>
  <c r="Y133" i="1"/>
  <c r="X133" i="1"/>
  <c r="W133" i="1"/>
  <c r="V133" i="1"/>
  <c r="U133" i="1"/>
  <c r="T133" i="1"/>
  <c r="S133" i="1"/>
  <c r="R133" i="1"/>
  <c r="P133" i="1"/>
  <c r="O133" i="1"/>
  <c r="N133" i="1"/>
  <c r="M133" i="1"/>
  <c r="L133" i="1"/>
  <c r="J133" i="1"/>
  <c r="Y132" i="1"/>
  <c r="V132" i="1"/>
  <c r="S132" i="1"/>
  <c r="M132" i="1"/>
  <c r="Y131" i="1"/>
  <c r="V131" i="1"/>
  <c r="S131" i="1"/>
  <c r="M131" i="1"/>
  <c r="Y130" i="1"/>
  <c r="V130" i="1"/>
  <c r="S130" i="1"/>
  <c r="M130" i="1"/>
  <c r="Y129" i="1"/>
  <c r="V129" i="1"/>
  <c r="S129" i="1"/>
  <c r="M129" i="1"/>
  <c r="Z128" i="1"/>
  <c r="X128" i="1"/>
  <c r="W128" i="1"/>
  <c r="AA127" i="1"/>
  <c r="Z127" i="1"/>
  <c r="Y127" i="1"/>
  <c r="X127" i="1"/>
  <c r="W127" i="1"/>
  <c r="V127" i="1"/>
  <c r="U127" i="1"/>
  <c r="T127" i="1"/>
  <c r="S127" i="1"/>
  <c r="R127" i="1"/>
  <c r="P127" i="1"/>
  <c r="O127" i="1"/>
  <c r="N127" i="1"/>
  <c r="M127" i="1"/>
  <c r="L127" i="1"/>
  <c r="J127" i="1"/>
  <c r="Y126" i="1"/>
  <c r="V126" i="1"/>
  <c r="S126" i="1"/>
  <c r="M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Z122" i="1"/>
  <c r="X122" i="1"/>
  <c r="W122" i="1"/>
  <c r="AA121" i="1"/>
  <c r="Z121" i="1"/>
  <c r="Y121" i="1"/>
  <c r="X121" i="1"/>
  <c r="W121" i="1"/>
  <c r="V121" i="1"/>
  <c r="U121" i="1"/>
  <c r="T121" i="1"/>
  <c r="S121" i="1"/>
  <c r="R121" i="1"/>
  <c r="P121" i="1"/>
  <c r="O121" i="1"/>
  <c r="N121" i="1"/>
  <c r="M121" i="1"/>
  <c r="L121" i="1"/>
  <c r="J121" i="1"/>
  <c r="Y120" i="1"/>
  <c r="V120" i="1"/>
  <c r="S120" i="1"/>
  <c r="M120" i="1"/>
  <c r="Y119" i="1"/>
  <c r="V119" i="1"/>
  <c r="S119" i="1"/>
  <c r="M119" i="1"/>
  <c r="Y118" i="1"/>
  <c r="V118" i="1"/>
  <c r="S118" i="1"/>
  <c r="M118" i="1"/>
  <c r="Y117" i="1"/>
  <c r="V117" i="1"/>
  <c r="S117" i="1"/>
  <c r="M117" i="1"/>
  <c r="Z116" i="1"/>
  <c r="X116" i="1"/>
  <c r="W116" i="1"/>
  <c r="AA115" i="1"/>
  <c r="Z115" i="1"/>
  <c r="Y115" i="1"/>
  <c r="X115" i="1"/>
  <c r="W115" i="1"/>
  <c r="V115" i="1"/>
  <c r="U115" i="1"/>
  <c r="T115" i="1"/>
  <c r="S115" i="1"/>
  <c r="R115" i="1"/>
  <c r="P115" i="1"/>
  <c r="O115" i="1"/>
  <c r="N115" i="1"/>
  <c r="M115" i="1"/>
  <c r="L115" i="1"/>
  <c r="J115" i="1"/>
  <c r="Y114" i="1"/>
  <c r="V114" i="1"/>
  <c r="S114" i="1"/>
  <c r="M114" i="1"/>
  <c r="Y113" i="1"/>
  <c r="V113" i="1"/>
  <c r="S113" i="1"/>
  <c r="M113" i="1"/>
  <c r="AA112" i="1"/>
  <c r="Z112" i="1"/>
  <c r="Y112" i="1"/>
  <c r="X112" i="1"/>
  <c r="W112" i="1"/>
  <c r="V112" i="1"/>
  <c r="U112" i="1"/>
  <c r="T112" i="1"/>
  <c r="S112" i="1"/>
  <c r="R112" i="1"/>
  <c r="P112" i="1"/>
  <c r="O112" i="1"/>
  <c r="N112" i="1"/>
  <c r="M112" i="1"/>
  <c r="L112" i="1"/>
  <c r="J112" i="1"/>
  <c r="Y111" i="1"/>
  <c r="V111" i="1"/>
  <c r="S111" i="1"/>
  <c r="M111" i="1"/>
  <c r="Y110" i="1"/>
  <c r="V110" i="1"/>
  <c r="S110" i="1"/>
  <c r="M110" i="1"/>
  <c r="Y109" i="1"/>
  <c r="V109" i="1"/>
  <c r="S109" i="1"/>
  <c r="M109" i="1"/>
  <c r="AA108" i="1"/>
  <c r="Z108" i="1"/>
  <c r="Y108" i="1"/>
  <c r="X108" i="1"/>
  <c r="W108" i="1"/>
  <c r="V108" i="1"/>
  <c r="U108" i="1"/>
  <c r="T108" i="1"/>
  <c r="S108" i="1"/>
  <c r="R108" i="1"/>
  <c r="P108" i="1"/>
  <c r="O108" i="1"/>
  <c r="N108" i="1"/>
  <c r="M108" i="1"/>
  <c r="L108" i="1"/>
  <c r="J108" i="1"/>
  <c r="Y107" i="1"/>
  <c r="V107" i="1"/>
  <c r="S107" i="1"/>
  <c r="M107" i="1"/>
  <c r="Y106" i="1"/>
  <c r="V106" i="1"/>
  <c r="S106" i="1"/>
  <c r="M106" i="1"/>
  <c r="Y105" i="1"/>
  <c r="V105" i="1"/>
  <c r="S105" i="1"/>
  <c r="M105" i="1"/>
  <c r="AA104" i="1"/>
  <c r="Z104" i="1"/>
  <c r="Y104" i="1"/>
  <c r="X104" i="1"/>
  <c r="W104" i="1"/>
  <c r="V104" i="1"/>
  <c r="U104" i="1"/>
  <c r="T104" i="1"/>
  <c r="S104" i="1"/>
  <c r="R104" i="1"/>
  <c r="P104" i="1"/>
  <c r="O104" i="1"/>
  <c r="N104" i="1"/>
  <c r="M104" i="1"/>
  <c r="L104" i="1"/>
  <c r="J104" i="1"/>
  <c r="Y103" i="1"/>
  <c r="V103" i="1"/>
  <c r="S103" i="1"/>
  <c r="M103" i="1"/>
  <c r="Y102" i="1"/>
  <c r="V102" i="1"/>
  <c r="S102" i="1"/>
  <c r="M102" i="1"/>
  <c r="Y101" i="1"/>
  <c r="V101" i="1"/>
  <c r="S101" i="1"/>
  <c r="M101" i="1"/>
  <c r="Y100" i="1"/>
  <c r="V100" i="1"/>
  <c r="S100" i="1"/>
  <c r="M100" i="1"/>
  <c r="Y99" i="1"/>
  <c r="V99" i="1"/>
  <c r="S99" i="1"/>
  <c r="M99" i="1"/>
  <c r="Y98" i="1"/>
  <c r="V98" i="1"/>
  <c r="S98" i="1"/>
  <c r="M98" i="1"/>
  <c r="Z97" i="1"/>
  <c r="X97" i="1"/>
  <c r="W97" i="1"/>
  <c r="AA96" i="1"/>
  <c r="Z96" i="1"/>
  <c r="Y96" i="1"/>
  <c r="X96" i="1"/>
  <c r="W96" i="1"/>
  <c r="V96" i="1"/>
  <c r="U96" i="1"/>
  <c r="T96" i="1"/>
  <c r="S96" i="1"/>
  <c r="R96" i="1"/>
  <c r="P96" i="1"/>
  <c r="O96" i="1"/>
  <c r="N96" i="1"/>
  <c r="M96" i="1"/>
  <c r="L96" i="1"/>
  <c r="J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M91" i="1"/>
  <c r="Y90" i="1"/>
  <c r="V90" i="1"/>
  <c r="S90" i="1"/>
  <c r="M90" i="1"/>
  <c r="Z89" i="1"/>
  <c r="X89" i="1"/>
  <c r="W89" i="1"/>
  <c r="AA88" i="1"/>
  <c r="Z88" i="1"/>
  <c r="Y88" i="1"/>
  <c r="X88" i="1"/>
  <c r="W88" i="1"/>
  <c r="V88" i="1"/>
  <c r="U88" i="1"/>
  <c r="T88" i="1"/>
  <c r="S88" i="1"/>
  <c r="R88" i="1"/>
  <c r="P88" i="1"/>
  <c r="O88" i="1"/>
  <c r="N88" i="1"/>
  <c r="M88" i="1"/>
  <c r="L88" i="1"/>
  <c r="J88" i="1"/>
  <c r="Y87" i="1"/>
  <c r="V87" i="1"/>
  <c r="S87" i="1"/>
  <c r="M87" i="1"/>
  <c r="Y86" i="1"/>
  <c r="V86" i="1"/>
  <c r="S86" i="1"/>
  <c r="M86" i="1"/>
  <c r="Y85" i="1"/>
  <c r="V85" i="1"/>
  <c r="S85" i="1"/>
  <c r="M85" i="1"/>
  <c r="Y84" i="1"/>
  <c r="V84" i="1"/>
  <c r="S84" i="1"/>
  <c r="M84" i="1"/>
  <c r="Y83" i="1"/>
  <c r="V83" i="1"/>
  <c r="S83" i="1"/>
  <c r="M83" i="1"/>
  <c r="Y82" i="1"/>
  <c r="V82" i="1"/>
  <c r="S82" i="1"/>
  <c r="M82" i="1"/>
  <c r="Z81" i="1"/>
  <c r="X81" i="1"/>
  <c r="W81" i="1"/>
  <c r="AA80" i="1"/>
  <c r="Z80" i="1"/>
  <c r="Y80" i="1"/>
  <c r="X80" i="1"/>
  <c r="W80" i="1"/>
  <c r="V80" i="1"/>
  <c r="U80" i="1"/>
  <c r="T80" i="1"/>
  <c r="S80" i="1"/>
  <c r="R80" i="1"/>
  <c r="P80" i="1"/>
  <c r="O80" i="1"/>
  <c r="N80" i="1"/>
  <c r="M80" i="1"/>
  <c r="L80" i="1"/>
  <c r="J80" i="1"/>
  <c r="AA79" i="1"/>
  <c r="Z79" i="1"/>
  <c r="Y79" i="1"/>
  <c r="U79" i="1"/>
  <c r="T79" i="1"/>
  <c r="S79" i="1"/>
  <c r="O79" i="1"/>
  <c r="N79" i="1"/>
  <c r="M79" i="1"/>
  <c r="AA78" i="1"/>
  <c r="Z78" i="1"/>
  <c r="Y78" i="1"/>
  <c r="U78" i="1"/>
  <c r="T78" i="1"/>
  <c r="S78" i="1"/>
  <c r="O78" i="1"/>
  <c r="N78" i="1"/>
  <c r="M78" i="1"/>
  <c r="AA77" i="1"/>
  <c r="Z77" i="1"/>
  <c r="Y77" i="1"/>
  <c r="U77" i="1"/>
  <c r="T77" i="1"/>
  <c r="S77" i="1"/>
  <c r="O77" i="1"/>
  <c r="N77" i="1"/>
  <c r="M77" i="1"/>
  <c r="AA76" i="1"/>
  <c r="Z76" i="1"/>
  <c r="Y76" i="1"/>
  <c r="U76" i="1"/>
  <c r="T76" i="1"/>
  <c r="S76" i="1"/>
  <c r="O76" i="1"/>
  <c r="N76" i="1"/>
  <c r="M76" i="1"/>
  <c r="AA75" i="1"/>
  <c r="Z75" i="1"/>
  <c r="Y75" i="1"/>
  <c r="U75" i="1"/>
  <c r="T75" i="1"/>
  <c r="S75" i="1"/>
  <c r="O75" i="1"/>
  <c r="N75" i="1"/>
  <c r="M75" i="1"/>
  <c r="Y74" i="1"/>
  <c r="V74" i="1"/>
  <c r="S74" i="1"/>
  <c r="M74" i="1"/>
  <c r="Y73" i="1"/>
  <c r="V73" i="1"/>
  <c r="S73" i="1"/>
  <c r="M73" i="1"/>
  <c r="Y72" i="1"/>
  <c r="V72" i="1"/>
  <c r="S72" i="1"/>
  <c r="M72" i="1"/>
  <c r="Y71" i="1"/>
  <c r="V71" i="1"/>
  <c r="S71" i="1"/>
  <c r="M71" i="1"/>
  <c r="AA70" i="1"/>
  <c r="Z70" i="1"/>
  <c r="Y70" i="1"/>
  <c r="X70" i="1"/>
  <c r="W70" i="1"/>
  <c r="V70" i="1"/>
  <c r="U70" i="1"/>
  <c r="T70" i="1"/>
  <c r="S70" i="1"/>
  <c r="R70" i="1"/>
  <c r="P70" i="1"/>
  <c r="O70" i="1"/>
  <c r="N70" i="1"/>
  <c r="M70" i="1"/>
  <c r="L70" i="1"/>
  <c r="J70" i="1"/>
  <c r="Y69" i="1"/>
  <c r="V69" i="1"/>
  <c r="S69" i="1"/>
  <c r="M69" i="1"/>
  <c r="Y68" i="1"/>
  <c r="V68" i="1"/>
  <c r="S68" i="1"/>
  <c r="M68" i="1"/>
  <c r="Y67" i="1"/>
  <c r="V67" i="1"/>
  <c r="S67" i="1"/>
  <c r="M67" i="1"/>
  <c r="Y66" i="1"/>
  <c r="V66" i="1"/>
  <c r="S66" i="1"/>
  <c r="M66" i="1"/>
  <c r="Y65" i="1"/>
  <c r="V65" i="1"/>
  <c r="S65" i="1"/>
  <c r="M65" i="1"/>
  <c r="Y64" i="1"/>
  <c r="V64" i="1"/>
  <c r="S64" i="1"/>
  <c r="M64" i="1"/>
  <c r="Y63" i="1"/>
  <c r="V63" i="1"/>
  <c r="S63" i="1"/>
  <c r="M63" i="1"/>
  <c r="Y62" i="1"/>
  <c r="V62" i="1"/>
  <c r="S62" i="1"/>
  <c r="M62" i="1"/>
  <c r="Z61" i="1"/>
  <c r="X61" i="1"/>
  <c r="W61" i="1"/>
  <c r="AA60" i="1"/>
  <c r="Z60" i="1"/>
  <c r="Y60" i="1"/>
  <c r="X60" i="1"/>
  <c r="W60" i="1"/>
  <c r="V60" i="1"/>
  <c r="U60" i="1"/>
  <c r="T60" i="1"/>
  <c r="S60" i="1"/>
  <c r="R60" i="1"/>
  <c r="P60" i="1"/>
  <c r="O60" i="1"/>
  <c r="N60" i="1"/>
  <c r="M60" i="1"/>
  <c r="L60" i="1"/>
  <c r="J60" i="1"/>
  <c r="Y59" i="1"/>
  <c r="V59" i="1"/>
  <c r="S59" i="1"/>
  <c r="M59" i="1"/>
  <c r="Y58" i="1"/>
  <c r="V58" i="1"/>
  <c r="S58" i="1"/>
  <c r="M58" i="1"/>
  <c r="Y57" i="1"/>
  <c r="V57" i="1"/>
  <c r="S57" i="1"/>
  <c r="M57" i="1"/>
  <c r="Y56" i="1"/>
  <c r="V56" i="1"/>
  <c r="S56" i="1"/>
  <c r="M56" i="1"/>
  <c r="AA55" i="1"/>
  <c r="Z55" i="1"/>
  <c r="Y55" i="1"/>
  <c r="X55" i="1"/>
  <c r="W55" i="1"/>
  <c r="V55" i="1"/>
  <c r="U55" i="1"/>
  <c r="T55" i="1"/>
  <c r="S55" i="1"/>
  <c r="R55" i="1"/>
  <c r="P55" i="1"/>
  <c r="O55" i="1"/>
  <c r="N55" i="1"/>
  <c r="M55" i="1"/>
  <c r="L55" i="1"/>
  <c r="J55" i="1"/>
  <c r="Y54" i="1"/>
  <c r="V54" i="1"/>
  <c r="S54" i="1"/>
  <c r="M54" i="1"/>
  <c r="Y53" i="1"/>
  <c r="V53" i="1"/>
  <c r="S53" i="1"/>
  <c r="M53" i="1"/>
  <c r="Y52" i="1"/>
  <c r="V52" i="1"/>
  <c r="S52" i="1"/>
  <c r="M52" i="1"/>
  <c r="Y51" i="1"/>
  <c r="V51" i="1"/>
  <c r="S51" i="1"/>
  <c r="M51" i="1"/>
  <c r="Y50" i="1"/>
  <c r="V50" i="1"/>
  <c r="S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Z46" i="1"/>
  <c r="X46" i="1"/>
  <c r="W46" i="1"/>
  <c r="AA45" i="1"/>
  <c r="Z45" i="1"/>
  <c r="Y45" i="1"/>
  <c r="X45" i="1"/>
  <c r="W45" i="1"/>
  <c r="V45" i="1"/>
  <c r="U45" i="1"/>
  <c r="T45" i="1"/>
  <c r="S45" i="1"/>
  <c r="R45" i="1"/>
  <c r="P45" i="1"/>
  <c r="O45" i="1"/>
  <c r="N45" i="1"/>
  <c r="M45" i="1"/>
  <c r="L45" i="1"/>
  <c r="J45" i="1"/>
  <c r="Y44" i="1"/>
  <c r="V44" i="1"/>
  <c r="S44" i="1"/>
  <c r="M44" i="1"/>
  <c r="Y43" i="1"/>
  <c r="V43" i="1"/>
  <c r="S43" i="1"/>
  <c r="M43" i="1"/>
  <c r="Y42" i="1"/>
  <c r="V42" i="1"/>
  <c r="S42" i="1"/>
  <c r="M42" i="1"/>
  <c r="Y41" i="1"/>
  <c r="V41" i="1"/>
  <c r="S41" i="1"/>
  <c r="M41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L40" i="1"/>
  <c r="J40" i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AA35" i="1"/>
  <c r="Z35" i="1"/>
  <c r="Y35" i="1"/>
  <c r="X35" i="1"/>
  <c r="W35" i="1"/>
  <c r="V35" i="1"/>
  <c r="U35" i="1"/>
  <c r="T35" i="1"/>
  <c r="S35" i="1"/>
  <c r="R35" i="1"/>
  <c r="P35" i="1"/>
  <c r="O35" i="1"/>
  <c r="N35" i="1"/>
  <c r="M35" i="1"/>
  <c r="L35" i="1"/>
  <c r="J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M27" i="1"/>
  <c r="Z26" i="1"/>
  <c r="X26" i="1"/>
  <c r="W26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J25" i="1"/>
  <c r="Y24" i="1"/>
  <c r="V24" i="1"/>
  <c r="S24" i="1"/>
  <c r="M24" i="1"/>
  <c r="Y23" i="1"/>
  <c r="V23" i="1"/>
  <c r="S23" i="1"/>
  <c r="M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Z16" i="1"/>
  <c r="X16" i="1"/>
  <c r="W16" i="1"/>
  <c r="AA15" i="1"/>
  <c r="Z15" i="1"/>
  <c r="Y15" i="1"/>
  <c r="X15" i="1"/>
  <c r="W15" i="1"/>
  <c r="V15" i="1"/>
  <c r="U15" i="1"/>
  <c r="T15" i="1"/>
  <c r="S15" i="1"/>
  <c r="R15" i="1"/>
  <c r="P15" i="1"/>
  <c r="O15" i="1"/>
  <c r="N15" i="1"/>
  <c r="M15" i="1"/>
  <c r="L15" i="1"/>
  <c r="J15" i="1"/>
  <c r="AA14" i="1"/>
  <c r="Z14" i="1"/>
  <c r="Y14" i="1"/>
  <c r="U14" i="1"/>
  <c r="T14" i="1"/>
  <c r="S14" i="1"/>
  <c r="O14" i="1"/>
  <c r="N14" i="1"/>
  <c r="M14" i="1"/>
  <c r="AA13" i="1"/>
  <c r="Z13" i="1"/>
  <c r="Y13" i="1"/>
  <c r="U13" i="1"/>
  <c r="T13" i="1"/>
  <c r="S13" i="1"/>
  <c r="O13" i="1"/>
  <c r="N13" i="1"/>
  <c r="M13" i="1"/>
  <c r="AA12" i="1"/>
  <c r="Z12" i="1"/>
  <c r="Y12" i="1"/>
  <c r="U12" i="1"/>
  <c r="T12" i="1"/>
  <c r="S12" i="1"/>
  <c r="O12" i="1"/>
  <c r="N12" i="1"/>
  <c r="M12" i="1"/>
  <c r="AA11" i="1"/>
  <c r="Z11" i="1"/>
  <c r="Y11" i="1"/>
  <c r="U11" i="1"/>
  <c r="T11" i="1"/>
  <c r="S11" i="1"/>
  <c r="O11" i="1"/>
  <c r="N11" i="1"/>
  <c r="M11" i="1"/>
  <c r="AA10" i="1"/>
  <c r="Z10" i="1"/>
  <c r="Y10" i="1"/>
  <c r="U10" i="1"/>
  <c r="T10" i="1"/>
  <c r="S10" i="1"/>
  <c r="O10" i="1"/>
  <c r="N10" i="1"/>
  <c r="M10" i="1"/>
  <c r="AA9" i="1"/>
  <c r="Z9" i="1"/>
  <c r="Y9" i="1"/>
  <c r="U9" i="1"/>
  <c r="T9" i="1"/>
  <c r="S9" i="1"/>
  <c r="O9" i="1"/>
  <c r="N9" i="1"/>
  <c r="M9" i="1"/>
  <c r="AA8" i="1"/>
  <c r="Z8" i="1"/>
  <c r="Y8" i="1"/>
  <c r="U8" i="1"/>
  <c r="T8" i="1"/>
  <c r="S8" i="1"/>
  <c r="O8" i="1"/>
  <c r="N8" i="1"/>
  <c r="M8" i="1"/>
  <c r="R522" i="3" l="1"/>
  <c r="R147" i="3"/>
  <c r="R225" i="3"/>
  <c r="S101" i="3"/>
  <c r="U101" i="3" s="1"/>
  <c r="R101" i="3"/>
  <c r="U281" i="3"/>
  <c r="U210" i="3"/>
  <c r="S368" i="3"/>
  <c r="R368" i="3"/>
  <c r="U462" i="3"/>
  <c r="U423" i="3"/>
  <c r="U123" i="3"/>
  <c r="R240" i="3"/>
  <c r="S240" i="3"/>
  <c r="R536" i="3"/>
  <c r="S536" i="3"/>
  <c r="U291" i="3"/>
  <c r="U293" i="3"/>
  <c r="S220" i="3"/>
  <c r="R220" i="3"/>
  <c r="R262" i="3"/>
  <c r="S262" i="3"/>
  <c r="U116" i="3"/>
  <c r="S449" i="3"/>
  <c r="R449" i="3"/>
  <c r="R493" i="3"/>
  <c r="S493" i="3"/>
  <c r="U554" i="3"/>
  <c r="S215" i="3"/>
  <c r="R215" i="3"/>
  <c r="R512" i="3"/>
  <c r="S512" i="3"/>
  <c r="U321" i="3"/>
  <c r="S256" i="3"/>
  <c r="R256" i="3"/>
  <c r="U336" i="3"/>
  <c r="U556" i="3"/>
  <c r="U506" i="3"/>
  <c r="R520" i="3"/>
  <c r="S520" i="3"/>
  <c r="S478" i="3"/>
  <c r="R478" i="3"/>
  <c r="S351" i="3"/>
  <c r="R351" i="3"/>
  <c r="U383" i="3"/>
  <c r="U277" i="3"/>
  <c r="R348" i="3"/>
  <c r="S348" i="3"/>
  <c r="U205" i="3"/>
  <c r="R312" i="3"/>
  <c r="S312" i="3"/>
  <c r="S45" i="3"/>
  <c r="R45" i="3"/>
  <c r="R552" i="3"/>
  <c r="S552" i="3"/>
  <c r="U510" i="3"/>
  <c r="S434" i="3"/>
  <c r="R434" i="3"/>
  <c r="S475" i="3"/>
  <c r="R475" i="3"/>
  <c r="U501" i="3"/>
  <c r="S373" i="3"/>
  <c r="R373" i="3"/>
  <c r="S180" i="3"/>
  <c r="R180" i="3"/>
  <c r="U265" i="3"/>
  <c r="T260" i="3"/>
  <c r="S378" i="3"/>
  <c r="R378" i="3"/>
  <c r="S235" i="3"/>
  <c r="R235" i="3"/>
  <c r="R324" i="3"/>
  <c r="S324" i="3"/>
  <c r="S76" i="3"/>
  <c r="R76" i="3"/>
  <c r="S339" i="3"/>
  <c r="R339" i="3"/>
  <c r="U86" i="3"/>
  <c r="U225" i="3"/>
  <c r="U64" i="3"/>
  <c r="S190" i="3"/>
  <c r="R190" i="3"/>
  <c r="U363" i="3"/>
  <c r="U72" i="3"/>
  <c r="R560" i="3"/>
  <c r="S560" i="3"/>
  <c r="S398" i="3"/>
  <c r="R398" i="3"/>
  <c r="U558" i="3"/>
  <c r="R200" i="3"/>
  <c r="S200" i="3"/>
  <c r="S345" i="3"/>
  <c r="R345" i="3"/>
  <c r="S83" i="3"/>
  <c r="R83" i="3"/>
  <c r="U107" i="3"/>
  <c r="T57" i="3"/>
  <c r="T56" i="3" s="1"/>
  <c r="T55" i="3" s="1"/>
  <c r="T9" i="3" s="1"/>
  <c r="T8" i="3" s="1"/>
  <c r="T566" i="3" s="1"/>
  <c r="R157" i="3"/>
  <c r="S157" i="3"/>
  <c r="R25" i="3"/>
  <c r="S25" i="3"/>
  <c r="U285" i="3"/>
  <c r="U550" i="3"/>
  <c r="R504" i="3"/>
  <c r="S504" i="3"/>
  <c r="S403" i="3"/>
  <c r="R403" i="3"/>
  <c r="S418" i="3"/>
  <c r="R418" i="3"/>
  <c r="S327" i="3"/>
  <c r="R327" i="3"/>
  <c r="S484" i="3"/>
  <c r="R484" i="3"/>
  <c r="U147" i="3"/>
  <c r="S68" i="3"/>
  <c r="R68" i="3"/>
  <c r="R459" i="3"/>
  <c r="S459" i="3"/>
  <c r="S428" i="3"/>
  <c r="R428" i="3"/>
  <c r="U167" i="3"/>
  <c r="U287" i="3"/>
  <c r="U50" i="3"/>
  <c r="S307" i="3"/>
  <c r="R307" i="3"/>
  <c r="S393" i="3"/>
  <c r="R393" i="3"/>
  <c r="S127" i="3"/>
  <c r="R127" i="3"/>
  <c r="U456" i="3"/>
  <c r="U295" i="3"/>
  <c r="U299" i="3"/>
  <c r="U15" i="3"/>
  <c r="U297" i="3"/>
  <c r="R342" i="3"/>
  <c r="S342" i="3"/>
  <c r="U305" i="3"/>
  <c r="U125" i="3"/>
  <c r="U80" i="3"/>
  <c r="U137" i="3"/>
  <c r="S142" i="3"/>
  <c r="R142" i="3"/>
  <c r="R152" i="3"/>
  <c r="S152" i="3"/>
  <c r="U303" i="3"/>
  <c r="R360" i="3"/>
  <c r="S360" i="3"/>
  <c r="S465" i="3"/>
  <c r="R465" i="3"/>
  <c r="U408" i="3"/>
  <c r="U89" i="3"/>
  <c r="U60" i="3"/>
  <c r="S132" i="3"/>
  <c r="R132" i="3"/>
  <c r="R318" i="3"/>
  <c r="S318" i="3"/>
  <c r="S104" i="3"/>
  <c r="R104" i="3"/>
  <c r="S315" i="3"/>
  <c r="R315" i="3"/>
  <c r="S98" i="3"/>
  <c r="R98" i="3"/>
  <c r="U113" i="3"/>
  <c r="S444" i="3"/>
  <c r="R444" i="3"/>
  <c r="U518" i="3"/>
  <c r="S497" i="3"/>
  <c r="R497" i="3"/>
  <c r="U175" i="3"/>
  <c r="R279" i="3"/>
  <c r="S279" i="3"/>
  <c r="S35" i="3"/>
  <c r="S14" i="3" s="1"/>
  <c r="S13" i="3" s="1"/>
  <c r="S12" i="3" s="1"/>
  <c r="S11" i="3" s="1"/>
  <c r="S10" i="3" s="1"/>
  <c r="R35" i="3"/>
  <c r="U508" i="3"/>
  <c r="S40" i="3"/>
  <c r="R40" i="3"/>
  <c r="R469" i="3"/>
  <c r="S469" i="3"/>
  <c r="U413" i="3"/>
  <c r="U522" i="3"/>
  <c r="S250" i="3"/>
  <c r="R250" i="3"/>
  <c r="R330" i="3"/>
  <c r="S330" i="3"/>
  <c r="U564" i="3"/>
  <c r="S487" i="3"/>
  <c r="R487" i="3"/>
  <c r="U289" i="3"/>
  <c r="U472" i="3"/>
  <c r="U301" i="3"/>
  <c r="S283" i="3"/>
  <c r="R283" i="3"/>
  <c r="S490" i="3"/>
  <c r="R490" i="3"/>
  <c r="U20" i="3"/>
  <c r="S439" i="3"/>
  <c r="R439" i="3"/>
  <c r="U162" i="3"/>
  <c r="U258" i="3"/>
  <c r="T454" i="3"/>
  <c r="U309" i="3"/>
  <c r="R354" i="3"/>
  <c r="S354" i="3"/>
  <c r="S185" i="3"/>
  <c r="R185" i="3"/>
  <c r="S230" i="3"/>
  <c r="R230" i="3"/>
  <c r="U92" i="3"/>
  <c r="U324" i="3" l="1"/>
  <c r="U444" i="3"/>
  <c r="U465" i="3"/>
  <c r="U403" i="3"/>
  <c r="U348" i="3"/>
  <c r="U35" i="3"/>
  <c r="U68" i="3"/>
  <c r="U439" i="3"/>
  <c r="U279" i="3"/>
  <c r="U360" i="3"/>
  <c r="U484" i="3"/>
  <c r="U368" i="3"/>
  <c r="U520" i="3"/>
  <c r="U504" i="3"/>
  <c r="S433" i="3"/>
  <c r="U434" i="3"/>
  <c r="U220" i="3"/>
  <c r="U250" i="3"/>
  <c r="U185" i="3"/>
  <c r="U378" i="3"/>
  <c r="U354" i="3"/>
  <c r="U455" i="3"/>
  <c r="U200" i="3"/>
  <c r="U230" i="3"/>
  <c r="U142" i="3"/>
  <c r="U398" i="3"/>
  <c r="U475" i="3"/>
  <c r="U283" i="3"/>
  <c r="U235" i="3"/>
  <c r="U98" i="3"/>
  <c r="U493" i="3"/>
  <c r="U345" i="3"/>
  <c r="U552" i="3"/>
  <c r="U536" i="3"/>
  <c r="S455" i="3"/>
  <c r="U25" i="3"/>
  <c r="U14" i="3" s="1"/>
  <c r="U13" i="3" s="1"/>
  <c r="U12" i="3" s="1"/>
  <c r="U11" i="3" s="1"/>
  <c r="U10" i="3" s="1"/>
  <c r="U373" i="3"/>
  <c r="U256" i="3"/>
  <c r="U255" i="3" s="1"/>
  <c r="S255" i="3"/>
  <c r="U487" i="3"/>
  <c r="S468" i="3"/>
  <c r="U469" i="3"/>
  <c r="U315" i="3"/>
  <c r="U152" i="3"/>
  <c r="U342" i="3"/>
  <c r="U428" i="3"/>
  <c r="U327" i="3"/>
  <c r="U449" i="3"/>
  <c r="U240" i="3"/>
  <c r="U339" i="3"/>
  <c r="U45" i="3"/>
  <c r="U351" i="3"/>
  <c r="S496" i="3"/>
  <c r="U497" i="3"/>
  <c r="U127" i="3"/>
  <c r="U157" i="3"/>
  <c r="U312" i="3"/>
  <c r="U330" i="3"/>
  <c r="U512" i="3"/>
  <c r="U318" i="3"/>
  <c r="U560" i="3"/>
  <c r="U307" i="3"/>
  <c r="U215" i="3"/>
  <c r="U83" i="3"/>
  <c r="U180" i="3"/>
  <c r="S268" i="3"/>
  <c r="U132" i="3"/>
  <c r="S59" i="3"/>
  <c r="S58" i="3" s="1"/>
  <c r="U490" i="3"/>
  <c r="U418" i="3"/>
  <c r="U190" i="3"/>
  <c r="U76" i="3"/>
  <c r="U478" i="3"/>
  <c r="U40" i="3"/>
  <c r="U104" i="3"/>
  <c r="U393" i="3"/>
  <c r="U459" i="3"/>
  <c r="U262" i="3"/>
  <c r="U261" i="3" s="1"/>
  <c r="S261" i="3"/>
  <c r="U59" i="3" l="1"/>
  <c r="U58" i="3" s="1"/>
  <c r="S454" i="3"/>
  <c r="S260" i="3"/>
  <c r="U268" i="3"/>
  <c r="U468" i="3"/>
  <c r="U454" i="3" s="1"/>
  <c r="S57" i="3"/>
  <c r="S56" i="3" s="1"/>
  <c r="S55" i="3" s="1"/>
  <c r="S9" i="3" s="1"/>
  <c r="S8" i="3" s="1"/>
  <c r="S566" i="3" s="1"/>
  <c r="U566" i="3" s="1"/>
  <c r="U433" i="3"/>
  <c r="U260" i="3" s="1"/>
  <c r="U496" i="3"/>
  <c r="U57" i="3" l="1"/>
  <c r="U56" i="3" s="1"/>
  <c r="U55" i="3" s="1"/>
  <c r="U9" i="3" s="1"/>
  <c r="U8" i="3" s="1"/>
</calcChain>
</file>

<file path=xl/sharedStrings.xml><?xml version="1.0" encoding="utf-8"?>
<sst xmlns="http://schemas.openxmlformats.org/spreadsheetml/2006/main" count="10961" uniqueCount="2291">
  <si>
    <t>Указать название организации (на бланке организации)</t>
  </si>
  <si>
    <t>{"estimateId":5149757,"estimateVersionId":7002119}</t>
  </si>
  <si>
    <t>6</t>
  </si>
  <si>
    <t>Bwt53VeukQjukt5Zbw6tgC4NRKEWy1WuJ0uWCt5/Cd+hcakNGtMS9x+rIIek83tw3v42TSGGKI+5OBz4jVID2IakaUkMfwhiWuFQtBZdOrTsdafirLjRTG7NdLbbfLIC4y99Gr6gKUZGH2Gl+9Tg7CXw5hIoj0962O/KSnGX+J4=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</si>
  <si>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</si>
  <si>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</si>
  <si>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</si>
  <si>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</si>
  <si>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</si>
  <si>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</si>
  <si>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ftzXMeV54v+KxWOuBEygKqp/chdeyuCP0hUiacoAgViV81Ej9XhAEjwjKLbch9ZnkdPTIQs+XnsY/nRnukjy5Zl98yZG3HvBPVgm3pR/0LhX7h/yc3c9QBRyMz9XatyZZXddrdAEgDB7yfX3mutzLUy8z9/5fX/9HfnX3n2K984/buvHHzl35/+7bfPJ81nXv323/7twVfO/+O987+df+Ir31p+g/79f375K/e++Y1vfPPVl7/y7Nf0H8xP0b+9/OzBy5c/7OXFT3v58sc13/uty29r/jz7w+zT2cPZH2cPL968+Eln9kXzhw/1xy9mj2ePOrMnF2/MPlr80XzX9/WvjzvPmG/szD6YfdZ86VPnd361+ffuffObr91/5dXT1+f/6HNJ89nzb73+yjf0506++R9G958S/Orrr7z+n259+5Xl5/7LwVXaVx+88r/zaP/zyy9f/rP639R/elYleTVQg4Onv/Svz1/71ivffHXxHYN+P02S6r/YUF7YBEU/ADwOm5IXN1HyrVf+d+YDZJMy3ETKRk/z72e/mv332W9m/zh7Z/bbrvkwe1f/369mv5v9P/rj+81nftWZvac/8avZP8x+rf/4X/XvzN/4lX6qf6+/4T37M5s+O023hfVRr6Mpnlx8R79p+t086Mze0S/bk9kXFz+8eFO/ch/rl9d87fHsE/1Sdi/e0N/x4eyzXifJ9e9+rvHeaV7tTtbvd2afzx5dfOfiTf2Vf9D4v51/JVGXX7HyZ89Os23xv68pn2i6z80YGEd10Ll4a+m4tHwNcPG2Ru7MvtTj8mj2sfZLT2b/rH9nnNHjZjQ+nX128dOLH+jvf3TxpvlePWKPZh80f8/81gzDI/23Prj4nv74sfnXLn5sPj33jW80H388Hyz9N348+1J/22fNX1q4yuUnnmg3+KSj/8EnWvCX+lOPZp/qf+Fhx/wQ7TOfGGt1tFH+YfZ+J+3/v6zDnT87zbc13O8tBvGRHrKfLAbXjPtVG8wH+0nj7T80Q9Z8y4dXOPUr9Z5+6/TrZn2pbqtnx2pblO/O/qmrtf1eu4Lfzv7vjnkVZr+1qTxWz55sS2U16CdpkpbFwKasVs9Ot6VMP79PGofxhn4QdJz8V/qj7UFWzz432JbEd8xjaVzFH02i0tFO/v3Z72wqn1fPPr81lb/Rb4t5rx41vuOp3Ospz2MTfVM9e3Nrot9prN+INiFIq2yCz5fG8zmH+QX17As7qFi7rjcu3tYff6A/paOKTfpQPTvcmvRfzT7WGYBxtJ/3bOJeVM++uDVxelwv/q+L7/aaB/U7i+hpHcNb6tlb25Q5+6xrIpXJiKyO/n9Tz/5vW9P3W515/Eg/nI/mmcNcqk3lSD072prK/9F4KZ2B6jfmrdkHvdZE5nbx7EvFttS+a1ynCVH63Xmok5kfmzj18suvmjTPzFc1wsdPu1wrwNbG+n2t/3cHZrLyG7s7fWlr0siPwZ3i2TtbU2ubPjS6W2UfFs8e/Uk/vYfbG/S2p/doa9LmrtY+qznQA4w+1OPi2fHWIMiv4HHx7N0/6Wf5eGtj3fos392aNPJjcFI8e7I1tXxPXBfPTv6kn956e4Pe9vROtiYtlCeeFs9ON4F4/Zuvn/7tNYaXv/Lq6TfO5z+Wz/HUchj+lr5QZn0Bnr/71t+9NjFfO9Q/8rVXTv92+H98+5W/+4b+aRbKB2uUN+rp4TOHpXUl71BYb/2N145ffQ0VeWQXeSQs8vi1V+7ZHpdrGs1o7a/UrGcVMipf38jstX1Ea0GtNJNP7AInggJhc5tR2p84zD2VUfjvXrl///zVzd71v7KP6V+JK6aZ/t/aZf5bcZnwA2BGbP/fOh6A554jC/3r5qfcPz8+ff3f6c9p2cXZvfTs7LTfPc8fqG5e9h90y3LwoHuaZ/3TTOXJ/fun8+987Zv/Yf6bav7LCvj8b89XDwcrCia9zuwXTcwzZaFHTV3uiVnPemz5fLepHj22fbup0v7cOlLls6MSHil0UP6L/otJBg9GgBBaOUKoDFpOR6O9f0d2niMhHkXngV9UgzO244yFcPDXcMMIbseqZbDSPg2L9sRN7CwTIZaExkJ62qZ2lKkAimEpXr4aBNbRvnV+7/VXLNM5HQS+/Y2zc5uFroeBxEb0XGUlyvp5lg1Umq9jzSOyHn1YoYmIX/+7JiS2iixsEp9nSlx/hT2DiEXS2X+73nOyipSPzVKE6cxY9FtYi0Q3q2dHTJprsdCNEyAWJv2Dw4GyB0QuwHrEAwBo/udIqz5yqD7iqlZ01SRPM9aixw7RY65o/NHfMHpp8bVDfM0Ufy1GtYinPSMTrXjiUDzhKsbdNSMSacFTh+ApR/BT3ls43jgiTmKfVi1VK+cwwyJJIaeX2lQ+z1WJv3po1GkWipv2Ax1ovrx4q2lanH2go80fTXv3m/OWQNNnagO5mfSfHXFhIgedxB5w2OojRBy75CO2ZEWXTHInY4fiMVsx/sBvGmvsymuuculAY5c7YcvFnTQnytjVTllqY4YYV5Cxb3ZY6i6cowzLJAYZV5hh6sTfOmKYMVuNPp79UYeUz5uVv086pju/mdQ8Xg9Cz1ijkPVBupkkOgwxYSOHodQRhrjqI4Qhu+QjtmRFl0zyN2OH4jFbMf5CbBqG7MprrnLpMGSXO2HLxR05JwzZ1U5Zao3cxbsXIQy5ApF9e9pS+cA5zrBQciDq5Talz3OV4m8eGop+MftCR5g3m/1OXyy2XTQRyGwS+HFTufqy6ft5ZPZ0NctvH7vnP6kOPEy0yIEncwQervoIgccu+YgtWdElkzzM2KF4zFaMP/6bBh678pqrXDrw2OVO2HJx180JPHa1U5bauPMfd+jJvNpL50jDUhmhxzUPYmrF3z40+PxhVdL5ZFnKsYWbJ7NPbSA3k0yHGyZM5HCTO8INV32EcGOXfMSWrOiSSX5l7FA8ZivGH/hNw41dec1VLh1u7HInbLm4w+aEG7vaKUtt7HmOO+DkXvWVc6xhsayA45rvMNXib2D4kNPMfcwG9B/qSZE5PePh8kSLzy/eamZKny7O+PmkM/vl7J3Zr23oN5NcBykmfuQgpQ4OU/1fpv/L+/o//avS/xWmQaHvCGBcsggBTB0caZwjjXOkcY40zpHGOSpM54Id54iNo+g4JC821jRjTTPWNGNNM9Y0Y00zLkxLg51mzKbBX7tNA586qDVVralqTVVrqlpT1YXpdbBT1Vwq6aCoDiYaZaJRJhplolEmGmVSmCYIO8qEjYKHHE7AVAdTTTLVJFNNMtUkU00yLUx3hJ1kyiJpnrU5iXF0X/MF1f/wzdf+xoLHi6j6/75uw3guKawYaZmUg6oYwC16DrXMkKrlZja5z3PlrocV1+AKxNTm8ChzaI45tesz/X+PL35gztyah9ZOE1PfaD5+Z3GilDmm6vFiSVL/xc5Lr55++0HH7D/szN7vJonqJYs//SztLkbkWhBmDtR6lHLa9RvG7X39lW8hj6JN4QtchYqkEFCXHHTSg07Wufi/GhP98+xxrzP7vc5yvny2829eKHtmF+X19WBt1F++NPt1x5QuZ19qwyRJurLefNvo44Xlmt2Bn138SH9qXvQcKJNT9cxhbB821U5zdNknyyPNzHlkT2Vgj00N9J3Zb2Y/m/3BHF/12eLZeGLOPvulOWmrO/tZJ0l7zQ/tmG2GRuGivNp858X84LjlSWbzo86+aJ67L+YPIf58NnKaU8Auvqv/8JlR/N7sNx3Vv/he3m8OhXpv9n7zR9WfD0DPZv8h1/4FZv9vnJ9+69uvQW/z59ZVoxe5AgeYwPP/+Hfnr37LJvDVNYFJr9+3biO6xZW4nu44JDahFBBY2L31iCsvWU9cHPpMZtlEeiQfWxfd79kH9TZbNRjBV6qd+da61DStMofal9hqwQi+UmvRuZ5N2QTeYQsEYzZpHog+BIds1WAApc/xbDKP2DIVUeYmj8CYrRL09X8X2gccsxWDzv/vQr3/d9lKS4JSpuFP2OIoASqk4Wuu4mtzbZ/ijd75CVsiGJ9IE2ibwilLoZF4WqTnSZ4MulVeDLp5fj/rlslp2q2S0/PTJFPF/WrhEpzT5m8sngYLGHvq7Jw823fsOTlRQNsE28NFmWTbOJ6X5FiP4j77gLPv95rZxw/mB6Z+vn5OT8ccBW1mJa41bjOBaVavO880BzU3R4MedPSc68vmZ5nPNXOvg87so+bwli/m06355y5+qKds5rNf6q9/fPHTpk31M3M28uNmYtT76mJy/nFzRPIni5nY0/Oo+TeknfnMbzHna2Ze31/8O45uI0E7KdxO+NTaRjGUpFhPGDwUhAni1WO937RRvShJtZ5UeKgIs0obxi1JjPWg7sHYeOYpiHFtdurh2GiGmvTTXmbluy3KR3DZpMnXeu5w42Q8PXrhmflHjXTQSb+6N5r/aqM+FKUmuA72fMNt0WNRNuqbh7B5rXncbs1ajLhJJcvzB3lxXpx2H9zPH3Tz8l7ePb2XFN2srO7f76ep/lH3Xo6fSqaOVDK1b4XyDAYGGDuVlOQg+CU0lfz1fDFdJ3pmFV/nY0/meVqT8H1h1sxnn3x9kc+t1tpn7+m/94fZO/PPJ+mBMmno57bxuCk5Hgofjw1TNkkKgt8lpGyONX1JEJEszdHSeksShBotAIy06OWFDWQkCRIxU8t7amDjuy3KR/CIATO1tD+P7fNfbdSHotQEj7FBpuay6LEoG/XdQ9j8mVq7NWsx4vmi3+n9B2fme0/PkqqbJ+lZ9zQ/K7pFrs6KswdVlQzyl+NnapkrU0upg4EBRs/UBDkIfgnN1N57quXgJ183mdeiC+LRxQ/meZr5nOrv6f/vHxRNJ0LmSsoE0RWOvmlSJkhBcLGEpMzcu2TuNbRa5UVJHqHcrG+NELckSagBAuBIVa/IrcuBI0mSaNlZoUO5Nfm8LYpHcIIhk7N0Ec5Td3ImSU3wHOzkzGnQY1E06quHoLXkZq3GrMWIm9zswb17xYPB2b1uObh3r5tX95LuWX56r/ugOE3T07Ozshws+gii5ma5KzfLqYOBAUbPzQQ5CG6Jn5s1J/2YLtGH5lLii7cvftq0vy5ztBzI0QSHQOFDsGmOJkhB8LThcjRBHpEcTfsKxwKaIAk1UAAcZa9yLaAJgkRL0VTSKzIb3m1RPIIvDJmi5YuonrtTNElqguNgp2hOgx6LolHfPAStJUVrNWYtRmxyNF/qFXYLmbN0Wbjwqn6qMnhjdqQtZFy5677iz34LGXegcmygAmwh4ypUJIWAOv8WsqTv3EP21G6ty21gFz/WNnu8thFs/invZrDNN3e9nyRJ55mr+Xzn6f1czb61g07TC2cuJXh4Rc0/6X/kk4azuSJx9vGCz3RIPr743pXdaNd3xa0K6b2vdmbvNp9+1MwgPmuaIk1rZrPO2zHHt+mfuNTQdF8erH5eT2ttfsrLL79qe2qG3KdmPWyKbTzjCgT3HlCSZ9fGM65ESl8/IDBV9uM3Rlx92915xlYNBv6wO8/YasHAv/HOM7ZAMNSTpgToQ3DIVg3G3UA7z9gyFVHmJo/AmK0SdPbs+ZFz5xlbMej9w+08YyuNsfOMLY4SoUIavuYqjrjzjC0RjE+b7zxjKTQSsaKIgXDOtj1rDewZt2vnWersnbZzooDRCx2CHITFPXTSHrQJRRBd4ej4JNdGMZSkIKxTEiZdLQUOQR6RAoe7CUWQhLrMCnAk/ayXDUobykgSJVqJw9OFIolH8IKk+Yx3VVwjLVbF3Zu5RKkJroOdwnu6UCTRqO8eguY15nG7MWsx4t3tQkmdBRHH1e6ewcAAYydnkhwEt8RPzjbvQpEcAoUPwYZJmiQFwdMGS9IkeUSSNGcXiiQJNVAAHFnR6xf2HE2SJFqO5m5DEcUjOMOAOVq22PiTubdxiVITPAc7R3O3oYiiUV89BM2fo7UbsxYjbnK08wen99Ps9EH3wdnZ/W6epWn3NDkbdPv3sqq8l+bnWbYweNQczbWLK3O2TbsGAwOMnqMJchDcEpqj/XK1zf7Dix8vLl5r+gFWhfxmGe3RqsPg4sfL7fc6g9N5nGmfmC+5fWKOSZp9crkJfy9J+/29VNnX129KjpTCRwpP5WbvYU0WNtqhJC3BcRNSPkczhCSISK6X2u8vuSUJQo03AIbKelluAxlJgkTL9JJM9ZQj1ZPkI/jUkKneYh9R5t4UJkpN8BjsVC9Rad91uJIoHPXlQ+Bakr1Wc9ZixLt7Tmfq3Ba2cGSEwcAAoyd7ghwEx4Qme/9iz+mUtJPC7YSnmjaKoSQFISAQUkjknE5JKpF80pFNCmJQAxoA4WzUleSIl0y6D+oU5SP47JDJ5GLHU+beviZKTfAd/GTSfVCnKBv11UPYWnLJVmvWYsRx969Zzflcpqxwi3vcqmub87a8e40rd91V/NnvXuMOVI4NVIDda1yFiqQQUPeXC9Aoz2ewC9C49l+Pf2L70LgCwZ0IhBTYuQ+NK5HS5Q8IdB1Dz5Unsg3tWh4wenF4cjI+WWQCzY3IWXFwmA30f6X+r/qqeZo1hMkMDuz3oN5mI4LBPuyeNbZaMNxT9qzd0GO3Px/7l+ZjbJN8hy0ZDPkhZgaaZG/kZjhkM4DRmL6nbSFci967YgIXwhEbQRER4MdHj+r+Utaa2jFbLRhc4IkV4HRq7XRq7XRq7XRqyOkcs/HA0ETbJJflWdVT9k1ybKWBN8ndOF45m7vuF/WELZcSUFnPzXK66nU0NVe/zCa6a07mrt/JTNjywWBK2mB3Q4/m/sTuYKYspTtbOsrsNfvnsoJGieJFLxwJchAWIdHVhX+5hSNBOyncTvjSgY1iKElBWPwlTIChwpEgVczCkSAGdfUagHDOrAUx4taNchvfbVE+gssOMTtczhGLRaWhcM8TJakJrgOe3lDqRpJs1DcPYfNa87jdmrUY8e5e8JbZr2t6LhtQhwLDi55ICnIQvBKaSIpf7yY5Hgofj00TNkEKgtclJGyuioUgiEiO5rreTRKEGisADPf1bpIgEfM05/VuonwEjxgyTxssIvvAnadJUhM8xgZ5mvN6N1E26ruHsLXkaa3WrMWId/dkrczVDWQ/x8KXskJ40fM0QQ6CV0LztJDnakmiKxx905RMkILgYAkpWcuRDYI8QpmZ41wtSRJqeAA4PJe7SZJEy83cx2qJ4hGcYMjUbHESU+Y+VkuUmuA52KmZ+1gtUTTqq4egtWRmrcasxYh391itzL5R5Lmsog4Fhhc9MxPkIDglfmYW4FAtwSFQ+BBsmqEJUhD8bLgMTZBHJENzH6olSEINEwCH+2o3SZBoCZo5gsnq0m+L4hF8YcgErVrE9MqdoElSExwHO0HznKkliUZ98xC0lgSt1Zi1GHHcrXH2lCu3Hxi2hFPrcFveGseVu+4p/uy3xnEHKscGKsDWOK5CRVIIqPvLxW5/Qhe7cZ+a9aAptqGOKxDctUBJnV0b6rgSKf3/gEDneRFcfVvbUZcnB4d5qv/L9H/5fHNL3vftqGMjgjlC2B11bLVglkDbUZf3lzvqcudBqHfYksFMIcR8QpPsjdwMh2wGMIjzd9Rp4VdM4NxRx0ZQRAT48dGjur+UtaZ2zFYLRhd4OgY4nVo7nVo7nVo7nRpyOsdsPDA2hdtRx1YafEfdytncdb+oJ2y5lIjKem4Ws1y/o6m5+mV31K2czF2/k5mw5YPBlLijTj8yE7uDmbKUGqlYycfAOFcTPGsp3BUFx466RSkapkTxYpdxJDkIS5fookTIBhtJdIWj45N4G8VQkoKwCkuYVPrLN5I8IuUbZ4ONJAl1ERng8F1cJ4kSrYDj7rARxSN4wRATruW0K5mv+c9/tVEfilITXAc8Y4ANeiyKRn33EDR/AafdmLUY8e522Dj2nDy3qKYThgLDi56aCXIQnBI/Ndu8w0ZyCBQ+BJumaIIUBD8bLkUT5BFJ0ZwdNpIk1DABcHiurZMkiZahuVtsRPEIzjBkhra4/CJ332UiSk3wHOwMzd1iI4pGffUQtJYMrdWYtRjx7l5blzt2p+UZdSgwvOgZmiAHwSmhGdoWL62THCmFjxSeyG10aZ0kLcFtExI+V6OHIIhIpue6tE4ShBptAAz3pXWSINHyPM+ldaJ8BJ8aMtHLFrlB5k70JKkJHoOd6PkurROFo758CFxLqtdqzlqMeHdPHs1dvdc5dSgwvOipniAHwS2hqd6/2JNHJe2kcDvhiaaNYihJQQgHhAQSOXlUkkokm3TkkoIY1HAGQLhbkAU54qWS7qNHRfkIPjtkKrm45Cx3X1knSk3wHfxU0n30qCgb9dVD2FoyyVZr1mLE+n9//VQOZR7nr/kyxrD79JTjguPF/uF13HRQ5mk/TdJ13Eg79VLXTj2m3HXnseFOvd+uZUYPO4uNdV8AW+2KVC3X+DpJZ7nHa7n3rpvoWY7+JbUOwE3uAOTYANB24M1+cfHjRTb6zzrPfXTxpoZ+e5HN/nz22/lgNJvW/s95lmI2rXWeHx12dar7P2yAL3ABFQkQgGvZwJd09FOwtktvdQnd2sMxHxD7SbIPF5v0nlryfOqKuNkj/TA8Mdvcmi16j8zRs/Ntek/M4bQfaGF/bP6Z1Y11j+a31b3f0Y8Zf9vefCrivRDPvVnP6liHXMOuR0C5PXZMgeA+BkIS7N5jx5RI2REACMydCS5Tn8geu3XVfcdGtNts1WDIpm+bS/pF7tw2x1ULhmzKtjmbwDtsgWCQJmX36ENwyFYNRlb6tjibzCO2TEWUuckjMGarBJ09e6rjMv8xWzHo/Wm72Dzv/1220sC72GziTtjiKBEqpOFrrmKZXWo2iRO2RDA+kXai2RROWQqNxLMkL7Iiy7tlel/Pnav7RfdMZUVX/+ne2WlZpafZImw558meVQP2XDlxzZZLGicKGL22IshBWKdDp9tgbeVaveKpWbl8gWXRuPPUjH7x780n9l+uz8R+s7rwe+C5JkTSUgq3FD5ttlEMJSnWUwYPBWGOCFVXBKliVlcEMahLvACEe/IpyBGtupJnvYFjliqJR3DapOmXdzleIy2W492HUotSE1wHe8bhNOixKBr1xUPQvMY8bjdmLUY879JJ0qq6r+51T4vTspurQdktk+S8W53eK87O87RK09OX4+eSqSOXVPZTGzyDgQHGziUlOQhuCc0lGRe7/SYl3ewmOSAKH5ANUzZJCoLfJaRsjmV9SRCZLM1xs5skCDVcABgq7+X2nXOSINESNc/NbqJ8BJcYMFNT/XlwV+5z5USpCR6Dnal5bnYTZaO+ewibP1Vrt2YtRry7B0+pXuZK1VLyYECA0VM1QQ6CX0JTtZBHT0miKxx906RMkILgYglJmf9cA0kekdzMtdtNEoQaHwCMSrl2u0mCRMvN3OdOieIRXGDI1GyxEV65TzUQpSb4DXZq5j53ShSN+uYhaC2ZWasxazHiJjO7lz5I7if3+t3k3r20m5/dz7vleV91zx8k50WVF1mZnr0cPzPLXZlZTh0MDDB6ZibIQXBL/Mys5eSpJkPL/Rma4BAofAg2zdAEKQieNlyGJsgjkqH1e9ZFp1uSINQ4AWBkRS+zLgOOJEGiZWiZ6g0cGZokHsEVhszQFruOlHsPmSg1wW+wMzSnQY9F0ahvHoLWkqG1GrMWI457tZvVnM8pZYVb7o8r1uG2vGGMKxfsRUcTpu1tGOMOQI4NwPY3jHEBFQkQgPvLhrGwG8a4hgX3EBBSZFdlmSkQ3DKA57zuDWNciZR2fECgs2ePq09kw9i1wG+5lE0VB4dqoP8r9X/V/H4kpUwq4LqUjY0IRvewu8vYasH4TtlddkOP3fJStvkY2yTfYUsGY3yImYAm2Ru5GQ7ZDGCYpu8+W96XpIVfMYEL4YiNoIgI8OOjR3V/KWtN7ZitFowu8EQKcDq1djq1djq1djo15HSO2XhgbCJuZ9P/oms7G1tp4O1sN45Xzuau+0U9YculRFTWc7Ocn3odTc3VL7Pd7ZqTuet3MhO2fDCYkrbC3dCjuT+xO5gpS+nOVmAKx6Vsi6ocTIniRa+/CHIQFh3R5QSR+ovgECh8CPD5to1iKElBWEclTC5b6i+CPHHrL4Ig1FVgAMNTfxEE2YX6iyQewRWGmHUt517FYsm+cM+/JKkJfgOeNsAGPRZFo755CFpL/aXVmLUY8e7ezFY4bmZb9LMThgLDi56fCXIQnJJYfgbczCY5BAofgk3zM0EKgp8Nl58J8sTNzwRBqFECwPDkZ4Ig0fIz971songEVxgyPxssQvrAnZ9JUhP8Bjs/c9/LJopGffMQtJb8rNWYtRhxk5+l6Zk6f5Df6/aLQnWT5Lzslv37VbffV31VlGVSqUXmEjU/sxr/OWU/EcEzFBhe9PxMkIPglND8zHIIgOmI+Kxptfhi/kWzv8wcAfAL/d2/aHoVTKuC/ox1JfSm5AgofAQ2Tc8EKQhulpCeuXozBEFE8jLnrn9BEGp0ADA8u/4FQaLlZVm/6uX285lE+Qg+MGRitjjSR7nPZxKlJngMdmLmtuixKBv13UPYWjKzVmvWYsS7e9hn4bhGTVXUocDwomdmghwEr4RmZv+Cj/qUtJTCLbVpBilIQYgHhAwSOepTkkomnbRh3JLEoAY0AMLdNizIES2XdB/1KYpHcNohU8lqkXxU7lRSkprgOtippPuoT1E06ouHoLVkkq3GrMWIzTVqB/PtSRGvTxs4zh8oEivmcqtfto4ZbTec1W8+z5W77jO2uxuuWO2Ge+q22tVuuP58N5z1ILeb3AHIsQHY/m44LqAiAQJw/t1waWf233Qu/kP958WOty+bLP+DxX6xD+eb2J4s0jKzJPv2ajFW/6B/mH2ok/Tr++ie/onNMD61Re2zxUNlfnqS9ubLud4da/ONdubLj5t/443lXrrPjbHMlKT5oT9ottp9Ov/SUzcqzx71bDYacm20HsPENrZxBYKbBwhZrHNjG1cipQ0fEOhYPRhx5Ynsa7veAuC4CI2tGgy+jK1qaapcW9XYasHgS9mqZhN4hy0QDLek9Bx9CA7ZqsEYSd+KZpN5xJapiDI3eQTGbJWgr2fPVZwXobEVg86fuHPM/f7fZSsNvHPMJu6ELY4SoEIavuYqltkZZpM4YUsE4xNp95dN4ZSl0EjsZ2lenN9LzHQ37eZplXTPsqLfPc2KQhV9VWVniyfDOeP1zPvZs17XRWiLXiaYEwWMXR2R5CAstKET5z+l6shTc/MQ1RFJSyncUvgE2EYxlKQgLHESpohIdUSSKmJ1RBKDukgLQDjnnoIY0YojSaIDkLLx3RblIzht0vTLXx0psvmC+vxXG/WhKDXBdbBnHG6LHouyUd88hM1fHmm3Zi1GvLvXawycN6EVijoYGGD0ZFKQg+CXaMlkmOs1JNEVjr5pdiZIQXCxhOzMvzlNkkckL3NdryEJQo0PAEaS9fLcBjKSBImWm7mv1xDFI7jAkKmZWgRz9+FtotQEv8FOzdzXa4iiUd88BK0lM2s1Zi1GvLuHBwycF58V9p16nsHAAKNnZoIcBLfEz8w2Pz5AcggUPgSbZmiCFARPGy5DE+QRydBcxwdIglDjBICheom19WUkyREtQXNuNr8tikfwhCETtMWG88J9eoAoNcFtsBM09+kBomjUFw9Ba0nQWo1ZixE3CVqpHhRVlqnu4KxMuvm97H73rK+q7oOzfnF+Xqb6/xZ+NWqC5rr/rLC3WXsGAwOMnqAJchDcEpqgWc4PePqKhmbxbFEGnf1y9v7sve7sZ6bU+evZH2bvLDaPLS8/sI3HTcnxUPh4bJqtCVIQ3C4hW3M1xAqCiKRpqeM0AUkQarQAMJK817efJiAJEi1Pc984f1uUj+ARQyZqi11DhXsLmCg1wWOwEzW3RY9F2ajvHsLWkqm1WrMWI457D5rVAT232Om3Drfc4DZYh9vyzi+u3HVX8Se784s7ADk2ANvf+cUFVCRAAO4vO7+cO7+4NgJ3A2ye6HIFriexgju/uBLXQ6TQzi+uPJGdX9dCuOVGs0FycDhI9X+Z/i+fXy406Jug7rrRjI0Ixumw28TYasFITdkmdkOP3fJGs/kY2yTfYUsGo3WIpF6T7I3cDIdsBjDg0reRLS8b0sKvmMCFcMRGUEQE+PHRo7q/lLWmdsxWCwYXeE4EOJ1aO51aO51aO50acjrHbDwwNBH3pZXZoKfs+9LYSgPvS7txvHI2d90v6glbLiWgsp6bxUzT72hqrn6ZfWvXnMxdv5OZsOWDwZS0p+2GHs39id3BTFlKd7amUjpuNBvYd/A5KVG82BUVSQ7C+iG6MCBeUZEcD4WPBz6NtlEMJSkI66MBJpqCIFErKpIg1FVdAMNdUZEE2YWKiigfwSOGmHwtp2DJfA1+/quN+lCUmuAx4NkDbtFjUTbqu4ew+Ssq7dasxYh3d9tY6bjZbJBShwLDi56nCXIQvBKap4XcNCaJrnD0TVMyQQqCgyWkZP6WZEkeoczMvmlMEoQaHQAM96YxSZBomZl705goHsEFhkzM0kUoT92JmSQ1wW+wEzP3pjFRNOqbh6C15GWtxqzFiHd301jpuNFskFGHAsOLnpcJchCcEj8v23zLmOQQKHwINs3PBCkIfjZcfibII5KfubaMSYJQowSA4dwyJskRLT1zXzgrikfwhCHTs8UBPQP3cUui1AS3wU7P3FvGRNGoLx6C1pKetRqzFiPe3aM7S8e1ZoOcOhQYXvT0TJCD4JRo6dm/yIM7JS2lcEttmkUKUhDCASGLRA7ulKQSySUdK32CGNSABkA4W4cFMaIlks0xj46FPkk+gtMOmUnmi+Qjd2eSktQE18HOJD0Hd4qyUd88hK0llWy1Zi1GbO41+y/N/w5WGYgzX/zW+b3XX/nmq5aRIKWLjsqq8iFmah3RtbPNLZKS/RX2dcbnuSrXnyrPUIK53W91lvWxyaUWeda8HmpW3N5oKqKPOs0inNng9ObFjw+aPURXkq8n881POjX7uEnXHppdT7NHNuybA/XsiIt+zUe62TdzkfN9JYXDH3LV53T1eNuukXzkkHzElqzokvFWXa147FA8ZivGXw++z53vALArr7nKr7VztyinPRoTh9wJWy7u0okd3Frt1KF2ylLbPBcvxwlIrqbswqv72m2i4iHJrvN5rk78rWMFJbOd9ZHZiGsWGy6+1+wubnay/mi+w3b2iY3m5qDQsYZJFDnWDByxhqs+QqyxSz5iS1Z0ySSnMnYoHrMV40/9prHGrrzmKpeONXa5E7Zc3FtzYo1d7ZSl9qlFvQixxhVtBl7l1+Z4EaJNT9mUPs9Vir95zHjz/uyd2c9tkm8OBjqoMGVHDirlwWFW9g8O9TzdbJFXjhjDhYkQY8qDI0NwZAiOXARHbAJFJyD5lrEGGBuAsQEYuwDGbAD8Pdg0ApUHtQGpDUjtAqm5INIBqTyYGPUTo37iUj9hq8c9PCc+lQdTI35qxE9d4qcs8XGnRu6AVXq1l86Bh6UyApZrisTUir+qaMh6r1ml+7FN5c1BqaMUU2nkKFXpKDXIHLGJixAhNlU6Njl0H7F1K7pukjcZa9ljl+wxWzb+cG8ahyodhxzya6586ehT6ejj0Dxha8bdNCfmVDrmOCRPWZKN5lhVoWUTkU39c4PKq75yDjgslhVrXFUiplr8hUSjzR9MXag5X+6TpkL0oTngz6zDfXrxxsWP9Seac+7MJ8zJdh/aaG4OKh2VmERxo5KZNpV6/lQVB4dJPzcf9J+SJDUf9GwqSRPzYaA/ZJn5oKNYkpuv5uaruflmZb5FmW8pzLcU5kcV5vvMSWXJwHzBBL+kNN9X6Q9p33xImg/6m1Pzb6Sp+V1mPuTmg8rNB/3jU/ND08L8zkz00tL8sdIfsr75kJgPqflg9GV588FMCJX5nfkBmfkBWVE6Ii/XTPKR10wItW2OtG2OjG2OjG2OjG2OjG2OjG2OjG2OjG2OjG2OjG2OjG2OjG2OjG2OjG2OjG2OjG2OjG2OjG2OjG2OjG2OjG2OjG2OjG2OjG2OjG2OjG2OjG2OjG2OjG2OjG2OjG2OjG2OjG2OjG2OjG2OjG2OjG2OjG2OjG2OjG2OjG2OjG2OjG2OjG2OjG2OXLY5YttG0W1DihtjM9XVphlr04yNacbGNGNjmrExzdiYZmxMMzamGRvTjI1pxsY0Y2OasTHN2JhmbEwzNqYZG9OMjWnGxjRjY5qxMc3YmGZsTDM2phkb04yNacbGNGNjmrExzdiYZmxMMzamGRvTjI1pxsY0Y2OasTHN2JhmbEwzNqYZG9OMjWnGxjRjY5qxMc3YZZox2zS4w94wgzKTeG2iWpuoNiaqjYlqY6LamKg2JqqNiWpjotqYqDYmqo2JamOi2pioNiaqjYlqY6LamKg2JqqNiWpjotqYqDYmqo2JamOi2pioNiaqjYlqY6LamKg2JqqNiWpjotqYqDYmqo2JamOi2pioNiaqjYlqY6LamKg2JqqNiWpjotqYqHaZqOaaSDhLNMsT2i4TbZeJscvE2GVi7DIxdpkYu0yMXSbGLhNjl4mxy8TYZWLsMjF2mRi7TIxdJsYuE2OXibHLxNhlYuwyMXaZGLtMjF0mxi4TY5eJscvE2GVi7DIxdpkYu0yMXSbGLhNjl4mxy8TYZWLsMjF2mRi7TIxdJsYuE2OXibHLxNhlYuwyMXaZuOwyYdsFTyMZmbBZeNFmmWqzTI1ZpsYsU2OWqTHL1JhlaswyNWaZGrNMjVmmxixTY5apMcvUmGVqzDI1Zpkas0yNWabGLFNjlqkxy9SYZWrMMjVmmRqzTI1ZpsYsU2OWqTHL1JhlaswyNWaZGrNMjVmmxixTY5apMcvUmGVqzDI1Zpkas0yNWabGLFNjlqkxy9RllinLLE8lzMY6X/Nl/SEOO1+l/Pr/7BfNlPaTR9IyKQdVUebOpwtTy8z5XQ0Dz3PlrifJGx53Tkn6l+dWf9YcOW0+8+jiLbNXwAZ4kwu4nl4GOs589unss4ufXvxgfhz3H/UvP9Jsb168ZQ7s/sXsPRvDC1wGRWIA9PtOLJ/9upvb1A+56gtMPaHT33HEGlfgeuO+4FneXInr2d6GZ3nnmXK05HMFipzmvS677zjy+jZbNRhb6Ad0K1W4zudmiwVDC+V8bpvAO2yBYDAhLbegz8AhWzUYIeirDzaZR2yZiihzk0dgzFYJOnv23gyX+Y/ZikHvTzsu2/3632ULLQlCmXY/YYujBKiQdq+5imVOw7ZJnLAlgtGJNEu1KZyyFDZ2P83Os1Sprjo7Lbp5dT7onp3dK7vpoDpPzpK0rE4X4+yczn3jNMxW8KendM5JXUbjRAFtEz8PF2XyZ+N4XpJjPYj77APOCt9p9uR+str1Dc74BCEVDonPqmwUQ0mK9WDroSDMrj6dfWQjeVGSRGTvdN9eI70lCbIeBz0g6GQtyfq9wjrjHUmSRNtAnabueZ0kH8HRkWYs19aFr2ygLhent5Tuo3hEqQk+g52kuy16LMpGffkQNq81j9utWYsRz68aOc1U0c/L7ln5oOzmg/Pzbnk/zbv3BsVpXyVJP++fvRw/AUtdCZiiDgYGGD0BE+Qg+CU0AXvfbLJenMjTnFltDtH5whyP487JOs88dUjP6lbO5r7KZrPD8vScyelrf3P++uvLS0tb/6WL75j1/+aiE3N/pfk3PzJVgusC9E/8ysX39feYGyibWyvNZ1Y/54fNiS/mNKHmn67yUmWmpKB/UPOH3Ga5m5KWU7jlNs0qBSkIEYKQVfrPeJTkEcktrVW4W5IY1OAGQGT284xHkhjR0kqVOLNKSTyC9w6ZVapFHqLcWaUkNcFnsLNKp0GPRdGo7x2C1pJUthqzFiNuksr7+engtBqcd5OkSLp5kd7vnqan97rZ+YPytDw9L++d33s5flKZuZJK+04mz2BggNGTSkEOgltCk8pfX03Y0Hwxb05O7Czyxf/aHAv0ZpMpNp8Zf+PVV771d9987fVvdZ67ORmNjzoneb/zV8M7d8b/xpJwdld555Wksvl56ynlKtf9eH4BfZM/mtxT//ah/qRjGVLQKgq3Cp4wXjPM7PeLi9oN9Zud8eHRqD4en0zqTv3SX3WevzMddvL+QWdxitOP5jfAd/KDvuuIy6HkmBBCCSH9dLWMCILI5J2Ou18kQagREMDIB2Wvym0kI0mSaMlnkmWVM/2UBCT4+ZDp52CRsQzc6ackNcFnsNNPj0mPReGorx8C15KAtpqzFiM2GagvsQzb/etcp7Q3MaeDMk/7WR8+ESVW9y9T7rq32N3uXyZgjgHG6f5lMigSA6C/pfvX+ogNuerBhrAAqRxTINj/RUnRnN2/TImU5ipEYJo51v2Y+rbc/MtVDYaWsM2/XLFgZNm8+ZcrEIwlpKwTfQYO2arBABGq+ZcrUxFlbvIIjNkqQV/PTsHdXQVcxaDzD9f8yxUapfmXK44Sn0LaveYqjtn8y5UIRqcAzb8chUZiaQoHg1J1M6UGekanVLcyH+7dy+6pNO/fK04XT4ZzNueZy7JndK7m38rR5OziRAFjlwkkOQjLR+ikMESZ4OI75vaotiLBrZPhXwUqEVw2l9hMcFPSBAo3AT7ls1EMJSkIK3KbT/0kQaKu4kuCUJcREYxMVT37VFKSZCdW8UUBCW6YNJ/yr+JXyXzZd/6rjfpQlJrgM9hTCN8qvigc9fVD4Pyr+O3mrMWIm/zw7KyfqvvJoJvl51U3V6d5t7xX6L/Qr9JBmpwWWfLg5fj5oWvNv8qog4EBRs8PBTkIjgnND9s7hjfvTYabky3/1Oy92S9m/92koPNG5M9mT3RKOc9Il73LLX0liwblpEysYf+mpMUUbrFN00lBCkJoIKST/p5kSR6ZrNKGcUsSgxrUAAhVWDFGkhjREkp3T7IoHsFrh0wnF3ujKvdON1Fqgs9gp5PunmRRNOp7h6C1JJOtxqzFiHf3pIHU2ZNcKepgYIDRk0lBDoJbQpNJ3kkDkpAKh9w0/xKkIPhSQv7lOmlAkkQk83KdNCAJQo0BAEY26PdKG8hIEiRa9uU5aECUj+DnQqZfi11ElXtLmCg1wWWw0y/PQQOibNR3D2Fryb9arVmLEcdtyXVmVI6O4wUefOdTpJZcrtx1Z7GzLblcwBwDjNKSy2VQJAZAf0tL7sCmfshVD7ZpERI5V12WKRDsysLzM3dLLlcipeUJEJimA0cdlalvuy25bNVgaAnakssWC0aWjVty2QLBWEJKOtFn4JCtGgwQgVpy2TIVUeYmj8CYrRL09ewM3J1/cxWDzj9YSy5baIyWXLY4SnwKafeaqzhiSy5bIhidNm/JZSnc2VXyzN2S6289vsaJAkZfJRfkIKweoZNC5iq5IKTCIfFJlY1iKElBWPIiTK6cq+SCJHFXyQVBqCt1AEZRpq5VckGQnVgll+Qj+DnShKVllbxarKtW7lVySWqCy2Dn6L5Vckk26ruHsLWskrdasxYj3t2W18zZ8pr0/Q3AltHACGMnYKIgBM+EZmCsTtQ/r6ZXUZMp3GQb5pOiGIToQEgo/W2vokAieaW971WUgxraEIp+Zk2PR6Ig0dJKd+urLB/BeQdMKzXTPBNZ/MYGfigLTvAd7MzS3f4qy0Z9/RA2f2aJGLSWg97d/faZs2FDOzTqaGCE8ZNLQRCCf0KTyz/HHfeiNlC4DTbOFgUxCB6fkC06ejtESWTSRMeme1ESaqQCOFLVzxy77kVRoqWKvm33soQEZxw0WcyWuYV7q5QsOMF1sJNF39Z7WTrqS4jQtaWL7Sat5aDjduzmNjqd/uVWuqyfZ9mg6PfX6bbcsMvWu+40drZjl02YY4RRWnbZEIoEAQC09Oxa34ohWz7YyBUisWMqBBu3KAmbq2uXrXE9EmzYtptnyu79RmyFIo2714LV6MXhycn4ZBGu6unhMzrBUAf6Q2E+DL5qJnAGwgSvg741ft3mM4LxKGibL18tGJAofb43zODtz0f/pcUw21Tf4asGw1KIPNbA7I08GId8jJyIAbcGLrQb2XtXDeGiOOJTKCIF/ByZkd1fCVsTPOYLBsMNPBkAPFBtPFBtPFANeqBjPh8YrGhdxmWWu7qM+UoDtxnfOL70PHc9r+wJXzElyLKendUky+91ajaCTDPydY+zNICLYMInAEMsqVf5hhnR/ZWoNbFTnlijFrsbxvA4p7SeOT13WmufKOqJraJhonzx6xqCIISlNHRmHKKu8Sdw4aCoWRRuFnwmHOHGQdFBIax+hphfC5JELpwIklDXbAEOz6WDoig7UjiRJCR4+xATztW0Uy1X2d2HnMiCE1wHPFcimPVYlo76EiJ0bYWTdpPWctCLPhvkquzo2ag1nOhstKCOBcYXPxsVBCH4JzQbZfVVgynrlYwT+Jd0PnklG122aF8XoH/iVy6+v+jqNl/6xHzmehPOons7L1Vmakz6BzV/sEbPm6KmU7jp8IzVhjEUxSAECkKO2dbKLQgkk2raOG6JclBjHECh/2kbx0iUI1qW6evkluQj+PCgOWaxTEgKT44pCU5wHewc09fJLclGffsQtrYMs92gtRz07h7TkNu3Z+sM034ahWcsML74GaYgCME7oRkm75gGUUqFU26cjAliEDwqIRlzHdQgiiKShrlOahAloYYCgCPJ+r3COm8eiaJEy8U8hzXIAhLcXdBkbLCM3QNPMiYJTnAd7GTMc2CDLBz1FUTg2rKxdovWctBxG6WVjU7nV6WXLlmn23qjNFPvus/Y4UZpJmGOEUZqlGZCKBIEANDSKG19yoZs+WDnGiGvcxZymQrB3jM8XfM1SjM1Unq4EIVp5loSYwrcYp90dXCop/PmQ7LsUiz9fdJcRjAcBe6T5qoF4xG1T7q87JMuPX3SXNVgVAqRxRqYvZEH45CPAYaeTfqky72rhvD0SXMpFJECfo7MyO6vhK0JHvMFg9EGngoAHqg2Hqg2HqgGPdAxnw+MVQH7pLlKBfqky8s+aecre8JXTImxrGdnNcfye52ajSDdJ13uXTWAp0+aSwCGWHKfdLm/ErUmdsoTu7N1A+Xsk65omChf/LqBIAhhIQ2dGHPrBoKUCqfE55U2jKEoBmHxjzC/dNcNBFEi1w0ESaiLlgCH+yJEUZLdKBtIAhK8XYgJ12raVS0Xmd3HPMuCEzwHPFfArXosC0d9AxG4trJBu0VrOejdPetZudqEkz51LDC+6MmYJAjBPaHJWHvz7uZtwnCf8JZOepY0mcJNtmlmKYlBiA+EzLKlPVgSSCS/dLQHS3JQYxtAoQorx0iUI1pu6WkPFuUj+O6QqWXSXyQi89/YwA9lwQmug51aetqDRdmobx/C1pJZAgat5aB396Bn5WoPTuyHXnvGAuOLn1kKghC8E5pZhjgOYeeOeZa0gcJtsHGqKIhB8PeEVNHV5CJJIpMjuk4rkCShximEI1OV65hnSZRoiaL3tAJRQoIzDpoqLq+QSDx3goiCE1wHO1X0nlYgSkd9CRG6tmSx3aS1HHTc7mWrL9LpX+qlS9fptt29zNUL9omh2Ztg9zKXMMcI43QvcyEUCQIAaOleHtjkD9nywX6yEIkdUyHYEUZJ2Jzdy1yN65Fgw+7lNB24EjGmwO11LyeZaVzOF22DSeptXGbjgZEobOMyWy0YioiNy0m6alyeD7NN9R2+ajAghchgDczeyINxyMcAo84Gjcta+1VDuBuX2RSKSAE/R2Zk91fC1gSP+YLBQANPAwDnUxvnU4PO55iPBkaocD3LbKXhe5ZXTueu52094SumRFbWY7OaWfkdTs1GEO5ZXjmbpQHcPctsAjC6UnuW9bOzErUmdsoTa9RihQ/D45zHeiby3Lmsq2c5yWiYKF/8YoYgCGH9DJ0Os3pXwIrHn0ybjKDJFG4yfGpswxiKYhAWMAlT5LY2GUEgmRKIjeOWKAd17RWhcF6ILgkSrfzh65OR5CM47xBTx9UEcnkhYuK541IUnOA74FkPbNRjWTbq64ewtZU+2g1ay0Hv7na4wtmBnVPHAuOLn1oKghC8E5paMrfDSVIqnHLjbEwQg+BRCdmYczucJIpIHubcDidJQg0FAEdRpq7tcJIk0VIx33Y4UUCCtwuai+XL0O25sVEUnOA52LmYbzucKBz1DUTg2pKxdovWctD6f39tyBfL2SbH+pov6QrblzLofd3GqxOuwsqblkmVqGqg1nkjdaaUzs4Upl6wEIjmS01nyuxhkyN9qKPxw07TqvLjZkHrw+Wy2cX3OrMvm1W07zb3Q+gMy0Z1k02VY1S0bhSbxBfYEhVJIiDP12tSP99P9Z/euxzzi590Zr/Uv/m4WYI01vnCtNU8tY5pliK/a3qzTZp78X39vfp7Fta7+KExplks/UL/U02j0cVP5guitlEaskcJrDQSMsS29TqmULBuiOd/vs4WpkZK/Q1QmCqbvBFbnkhfy/W02pmscWWDEYrer5L2XWpf4qsFAxSlX8Wm8A5fIRiSSEkt+hgc8mWDMYfei2LTecTXqYg6N3kKxnyZoOdnZ/ie/J4rGYwBtN4RtxO4y1cauHfEpu6Er44Sp0KavmZLlukLsWmc8DWCcYrU+WGTOOVJNBr7qnhQZg/S7lma97tJcv5A/+6s6pb3q9P8XnZeZOm9OYVzfuiZMLPniIlzlmg/jM8JihLGX5YXBCEsVKHTzLWJDGXGMu/jcEx93pu9P/tNN7G7h5uio6TwUcLnhDaMoSgGYXEu4KRNEEhkcd+9z1SQhLq0CHCkA/u9FCNRkGhr+57JoiQewWGSJkFtK/vlch3Yc8a4KDjBebDzfpUUvdKV+UvCUV8/BK5tZb/dorUcdJPRZdmgvDdIVDc5u5d08/4Dpb+tX3UTdVol6Xk/v1fdfzl+Rpe6Mrq0Tx0NjDB6RicJQnBQaEb3X01CppOxx7NHndlHTa72R/2Jx52Lt3QO97jpnH2j6YZdrjQ/+rpJ5WzwN0XhFQ6/aaImiUHwtXiidvHDizdtKC+KooikaDr2VzaUW6Io1CABgKQ910K9JEi0HC1xro/dlgUkOMGQWVq6PGIs9ZwZJwpO8BzsLM1t1WNZOOoLiMC1ZGmARWs56LjngJTOvCt18xX9tFzn23a/BVcvWNxC06bA/RZcqhyjCtFvwZWoSBIBeS39FplYv0Vj8kfzr7n6LbijBFbd8IywbemOKxSsteH5nqffgquRUscCFDp80Yitb8sNF2zZYIgK23DBVgtGqM0bLtgKwZhEymLRx+CQLxsMOqEaLtg6FVHnJk/BmC8TdP3slN6T0HMlg0EgXMMFW2mUhgu2OkqgCmn6mi05ZsMFWyMYpwI0XLAk7uzyfOluuEhzGihKGH95XhCEsDKFzjMDL88LwiscHp/r2TCGohiERTZ8MuZZnhdEib08L4hCXR2EQAaplWQkSrIb6/OSgAQvSJrZtK3PL3fTpZ79kaLgBNfBTua96/OScNQ3EIFrW59vt2gtB727fbGlp4vC0wBsHw2MMH6aJghCcFBomralvljJUVL4KG2czwliEJwyns+1Lq4LAolkdc6+WEkSakgBOMpe5VqrFwSJltN5MjpJPILDDJrRFcv4X3gyOklwgvNgZ3S+vlhROOrrh8C1ZXTtFq3loON2XFTOHM3T96v5qnW+rXdcMPWC1S00xQrdccGkyjGqIB0XTImKJBGQ571N5XfP93OZlgtzQaE5Gvizy1N/bQM1ZA8UWHkLmBcyhYL1Nkq+5266YGqk1LIQha48jilv2z0XXNlgkArcc8FVC8aoAD0XXIVgVCLlsehjcMiXDYadYD0XXJ2KqHOTp2DMlwl6fnZS71mk5UoGY0DAnguu0jg9F1x1lDgV0vQ1W3LUnguuRjBOhei54Ejc2cX8yt1zkXm2HthAUcLoi/mSIIS1KXSmuaXFfMlRUvgo4dNCG8ZQFIOwHhdu0iYJFHcxX5KEupqIcDiuAx6JguzAYr4oHsFhkiZBLYv52XKzXebZPikKTnAe7Lzft5gvCkd9/RC4lsV8wKK1HPTudtFW7vaMzN8ubBkNjDB+RicIQnBQaEYXtotWEl7h8BsnaoIYBF+LJ2ruLlpJFJEUzd1FK4lCDRIQSOVoopUEiZaj+ZpoRQEJTjBolpYuY7rn1nBRcILnYGdpviZaUTjqC4jAtWVp7Rat5aDjtlwkfWfildsBB2U6SMpBfx1w2z0XXL1gdQvNmwL3XHCpcowqRM8FV6IiSQTktZxyYX1uhmz5YD0Mz9VaF9WYQsEqGJ6JeTohuBopFSZEYb/oDWwKR2yFW26GYMsGw0fYZgi2WjB4bN4MwVYIhgtShok+Bod82WA8CNUMwdapiDo3eQrGfJmg82en255kmysZDAPhmiHYSqM0Q7DVUUJVSNPXbMkxmyHYGsE4FaAZgiXRaLynstOsPE265Vl23s2LB1X3tEzud6t7D/rn2Xly/2xwNqdwTt48s1f+BM7dDeHYFuAiRRHjr50LghCWjdA54JVuiAPTxfDu7H91+2re65AO+v3Z5/Ys/6YoqsJR8VmXDWMoikFY7wo4+xIEElkv17M0ZUO5JYpCXa4DQIqyV5VWlJEoSrwV87zfU7kN8LYsIMH1keYzbSvmyy1tmWeToig4wYOwU3i3VY9l4aivIALXtmLebtFaDnp3+xp0cuZubHD05LqHA0OMn5wJghA8FJqcBW5sEIRXOPzG6ZogBsHZ4umap7FBEEUkUfM0NgiiUKMEAFL1in5mIxmJksTL03ydDZKABC8YNE9bXsmVeS5ZEwUnuA5+nubrbJCEo76BCFxbntZu0VoOOnJng7Xeq/OuyoqX9XONUfSLdbyt9zUw9YKFKjRtCt3XwKTKMaogfQ1MiYokEZDX0teQyhwl8YX+p8ya2DILdhwkwR0lsIKGZ4StC3hMoWDdDM/3fO0TTI2UmhSg0HUJG1eeSO/EtVA3enF4cjI+WQS7enr4zGGS9w/0h+SrZgJn9Juod9C3Br7bfDwwkAXuseCqBQMZpcfihhm8/fnAv7QYZpvqO3zVYDgLkf8amL2RB+OQjwHGL3ofxkK7kb131RAuiiM+hSJSwM+RGdn9lbA1wWO+YDDawJMIwPnUxvnUoPM55qOB8YnW15H5+jq4SgP3ddw4vnQ6dz1v6wlfMSWush6b1cTM73BqNoJM78d1Z7M0gItgwicAoyupM+SGGdH9lag1sVOeWKMW24ppeJzTYM86AHsqbJ9cPqddFI0TBYxehJAEISy/obPpLZ2XITlKCh8lfOprwxiKYhCWHMPNTSWBRGoWzvMyJEnWo7GHBJ7pDnrKBjISBYlWsXDXK0TxCA4zxHxtOWvLl6cr5J7zMkTBCc4DnmqgNj2WRaO+fAhaS7UCsGctB73DXSX6D7bB0OlcQh0MDDB+OicIQvBOaDoXtqdEEl7h8BtnaYIYBEeLZ2nunhJJFJH8zN1TIolCjREASNpzFSMkQaIlaL6WElFAghMMmqIly5CeeFI0SXCC52CnaL6WElE46guIwLUlae0WreWgI7eUuNKu1Is3WMfbdksJVy9Yg0OzpsAtJVyqHKMK0VLClahIEgF5LS0lmVhLSWPyR/OvuVpKuKMEFvnwhLB12Y4pFCzZ4emep6WEq5FS+gIUOnzRiK1viz0lmekpyRdl3Tz19pSw8cBIFranhK0WjGTEnpI8XfWU5M6juO7wVYPxLEQCbGD2Rh6MQz4GGMA26CnR2q8awt1TwqZQRAr4OTIju78StiZ4zBcMhht4FgE4n9o4nxp0Psd8NDBAhespYSsN31Oycjp3PW/rCV8xJbCyHpvVzMzvcGo2gnBPycrZLA3g7ilhE4DRldpTop+dlag1sVOe2N0tQjhuGtCz4YzGiQLGL0IIghDW39DpdOAihCC8wuHxKa0NYyiKQVhKxOecniKEIErsIoQgCnUNFAIZpFaSkSjJblQhJAEJXjDEJGw1FcuWa9aZZzomCU5wHfD8AbfqsSwc9Q1E4NqqEO0WreWgd7jzN3W2iuTUwcAA42dpgiAE/4Rmadvq/BUcJYWP0sbpnCAGwSfj6VxrCUEQSCSpc3f+CpJQIwrAUfYqV0VCECRaSudJ6CTxCA4zaEKXL8N/7knoJMEJzoOd0HnSOUk06suHoLWlc+32rOWgIzeVZDY8naApL165jrf1phKm3nWXsWNNJUyqHKMK0lTClKhIEgF5vqaS2e+e7+cyXSU6w9L/3hNtxYVxnX0lzIECC30Bk0KmULBsR0n23H0lTI2U8hei0JXEMeVtsa2kMG0lg2VlV/nbSrh4YCwL3FbCVQvGMmpbibpsK1GethKuajCihUiADczeyINxyMcAQ9gmbSVq76ohPG0lXApFpICfIzOy+ytha4LHfMFgtIFnEYDzqY3zqUHnc8xHA+NTwLYSrlKBthJ12VbifFtP+IopcZX12KzmZn6HU7MRpNtK1N5VA3jaSrgEYHQlt5Wo/ZWoNbFTntjdLVhkzraSgsaJAsYvWAiCENbf0An1tgoWgqOk8FHCZ782jKEoBmHNMeDcVBAocsFCkIS6ZopwOBruRqIgu1CwkMQjOMwQ87XVrG15YUruuQJHFJzgPOCpBmrTY1k06suHoLUVLNrtWctB73CXcObsPxlQBwMDjJ/OCYIQvBOazgXuEhaEVzj8xlmaIAbB0eJZmqdLWBBFJD/zdAkLolBjBARSuZqEBUGiJWjeJmFJQIITDJqiDZYhfeBJ0STBCZ6DnaJ5m4Ql4agvIALXlqS1W7SWg47cVZLb8HTaZb/cZ4lXreNtvauEqReswaFZU+iuEiZVjlEF6SphSlQkiYC8lqNKrM/NkC0frL7hmVrrehpTKFhLw/MwX68HUyOlJoUo7Be9gU3hiK1wi+0e1cFhovrLimvpb/fg4oFBJnC7B1ctGGSo7R7lZbuH89q7O3zVYKgJkZsamL2RB+OQjwHGlk3aPcq9q4bwtHtwKRSRAn6OzMjur4StCR7zBYMBB07wAedTG+dTg87nmI8GhqiA7R5cpQLtHuVlu4fzbT3hK6aEVtZjs5o0+R1OzUaQbvco964awNPuwSUAoyu53aPcX4laEzvliTVq76nsNCtPk255lp138+JB1T0tk/vd6t6D/nl2ntw/G5zNeZxTVM8cnT1NdbZ7VDROFDB+fUAQhLA0hs50r7R7HJg2jXdn/6vbV/NmjnTQ788+t89lboqiKhwVn1vaMIaiGIQ1vYBzTEEgkZqAnosqG8otURTqkiQAUpS9qrSijERR4lUF8n5P5TbA27KABNcXYua1mn9VyzVkz+2gouAEDwJPGnCrHsvCUV9BBK6tKtBu0VoOeodbN3JX64bqUwcDA4yemkmCEPwTmpqFbd2QhFc4/KbJmiQGwdXiyZq7dUMSRSRNc7duSKJQYwQAUvWKfmYjGYmSxMvSPL0booAELxgyS1PLm+OU5yZAUXCC6+BnaZ7eDVE46huIwLVkaYBFazlo/b+/frpIYrKvr/nSscDNHKr3dRuxTsVSK3FaJlWiqoH7AGRMLyXFerqdw7Ws9zxbMFhkQ1Oppp+j2ZP0SdPZoXOp5iCJ2ac6g/qx/sRjs8npy+ZUiYcdnVv9saMTrw9nD/WXv69/fdwkXOZr8z1OX5jv+tS0fFz81AZ+kw2eY+AhWj64EhVJIiDvstnDnBjSTRLzix7cx/qTpvfmKQM8aYzydmf44MH537x+2jl+7ZsPzr/1rVe++erp33b6SdI5NgYqm991jk5f//Zr+vPHr7x63jk+GR90tAvtd/5jJ9UfL77XSXtKmdXNzsV3Ojq1fnjxo+afNJm0+Vzzzz3Sv+33yo5rFXTIHkawEohnmrPPrRO4F9kKwYIenkB6ek64GimFMUBhmiv7NHjEVijSc4JuvbnNlw3GOHovSVEkzl4StlowwlF6SWwK7/AVgiGNlBejj8EhXzYYkOh9IjadR3ydiqhzk6dgzJcJen32JMEzReBKBsMAra/D7QTu8pUG7uuwqTvhq6OEqpCmr9mSZXo2bBonfI1gnCJ1ZdgkTnkSjcYH+flZVRSn3TP9q9nXedYt+w/Ouv2+6qui1H9fLeKXc4bpmXPzZ5mJc56Z00hRxPhL/oIghMUudJ76znwXwXIq+tgcnaHnmKutCOawQ3MYx4f6C99rNiN83nzrF+aOzcXURX/DP8wP7dCz1PkPmpcHzHaFz/UfP7546+lPvTf7xey/d6/OhmefPHPnX08OLufA3cs52FcPOqYrX0+Y9L+qZ0nmPMbv6L/8gZHYzLN/0km6yYG6+IH+zvebMsWbZi7V1d/ySP/VR3OOg05+kCX6n/jIZrqboqZTuOnwaezF95ubTh92srLU88s39DB/YGajpgLQszEORRkJS5L4HNNTzRBEEalmOI4JkeSgLqQCFGnZs58UNRIliVbK8ExsJfEIvp00YWsrZCwPwlaeg81FwQlegz1HMf7RPU2RpKO+gAhdWyWj3aS1HHSTfqrzanCel6p77/xB0s3PzopudZqfd1X//L5K0+LB2f2F2eOmn6kz/Syow4Ehxk8/BUEILgpPP6+ne6sld53oXS7JN2WQ+vhm51+P/vVznVr/w+ffal1GP8jcvcSSI6XwkcKzvdn/WGR7qakpXGZ7jlX4oSghwWvjuZ67niBIIpPq9eztHrdEUajBBgBJlalZFTaWkSjLLuR7kngEZxo031ueI6Y858KJghM8BzvfMx7Sne9J0lFfQYSuLd9rN2ktBx351JHCmcHZt601gEU/S9YBt9+owhQMVvXQDGwLjSpM8BwDD9KowpSoSBIBeTpB/l237HVmv9WW+Fjnf5/N+1PM8Bpr6bG/+P7Fjzuzh7PPzZ46/alH2jTGoA+f7cze1ab5tNlvZ1YKP5+v2V682Zn9bPb+7Pez381+1pn9evbb2T/Nfn/Qacz5yHz1H0xqqX/kJ/qT39W/fjo/UtnY9uLtA2vWvbaaq/8x/X3NpTnm25qnIu8Wnp4W5oivRxPBnhamQrCYScotnT0tTI2UQiGgMFeuY1S4Arfd0sKVDUbDwC0tXLVgLAzQ0sJVCAY/UsaMPgaHfNlg6ArW0sLVqYg6N3kKxnyZoNNnTx88cweuZDAKBGxp4SqN09LCVUeJVCFNX7MlR21p4WoE41SIlhaOxN2tKRTulpbCvlnESYoiRq8pSIIQlsHQGe0WawqSI6XwkcLnlzaMoSgGYfkvwKRNkiRy4UAShbpqCYDkg15/4LhPRhJlB+oGongEh0maBbXUDYrl9sjCs+FVFJzgONiJv7duIEpHfQMRupa6AWDSWg56h9uUC3efSJFShwNDjJ/TCYIQXBSe0/2lTXk+FDdFTadw022cZApiEGIFnmS6O5ElUWSyTBvHLVEOaoADKFTPmiqPRDl2Ib+UxCM476D5ZbpMRlJPfikJTvAZ7PzS24csSkd9/RC6tvyy3aS1HHTkvhRrvVPni5kVb3FgTOJekMXUUvJArCuFKxgszKH5XvyuFC54joGH6ErhSlQkiYC8P+3jU7jDCFYd8YTSvWrJVAgWGQl5orvVhKuRUsADFHqOT+EqFOk1uRYrbVf2FPmB/qAWt2YUmefWjNt8PDAShu1JYasFIyGlJ+WGGbzVlT3zYbapvsNXDYbDEBm0gdkbeTAO+RhgcKP3raxu0dDarxrCRXHEp1BECvg5MiO7vxK2JnjMFwxGGngaAjif2jifGnQ+x3w0METR+mCqSie2jj4YttLAfTA3ji+dzl3P23rCV0wJrazHZjWz8zucmo0g0ytz3dksDeAimPAJwOhK6qS5YUZ0fyVqTeyUJ3Z36y8D15U9RU7jRAHjV18EQdZTD5+BwNn4X6ovS9PdFDWdwk2HT9YZh8RIMhKWWfGZtKc0I4gStTQjyEFdGwYoPIfESJLsQnFGEo/g20NMLVcTzOWJIoXnkBhRcILXgGdFtOYfSTrqC4jQtRVn2k1ay0HvcEP3wHUpUaGog4EBxk8+BUEIDgpPPrfXzi04UgofKTzXIx8RI0lI8Nl4pueumQiSyCR67k5vQRRqqAFAvEfESLLsQrYniUdwpkGzPbVMDZQn25MEJ3gOdraXlb5sT5KO+goidG3ZXrtJaznoyK04pQ1P52+FFy9dx9t+Kw5TMFh7RPOvLbTiMMFzDDxIKw5ToiJJBOT9izkghjviYC01RAbKVAiWREmZpbNrh6mRUloEFLoPiOEK3GLTzsA07ZTLunnhb9rh4oExM3DTDlctGDOpTTvFZdOO86i7O3zVYOAMkWsbmL2RB+OQjwGGwU2adoq9q4bwNO1wKRSRAn6OzMjur4StCR7zBYOBBp6wAM6nNs6nBp3PMR8NjFABm3a4SgWadorLph3n23rCV0yJrKzHZjUH9Ducmo0g3bRT7F01gKdph0sARldy006xvxK1JnbKE7u7dZPS2bQzoHGigPHrJoIghKU+dN6+zbqJ4EgpfKTwWbQNYyiKsZ4teDBCTE0FSWIXRwRRqCuzAIj3GBxBlF2ojUjiERxmiPnaatY2WC6kDzwzN0lwguOApxq0ThhJOuobiNB5TXqMmLSWg97hNuzS2QljP8LRMxgYYPyMThCE4KDwjO4vbdjzobgpajqFm27jFFMQgxAp8BTT02ktiCKTY9o4bolyUMMbQOE+BEeQYxeyS0k8gvMOml2Wy1Sk9GSXkuAEn8HOLv2H4EjSUV8/hK4tu2w3aS0Hrf/310/bNde/fM2XRgZuxalc5ygOPMdKqmpQrRPHasYperlN8PNswWBNEU0Bm2acZb437/S4ksfpXz+a9+d8ZjKypi3jO6vWm0XeaPo8mmaNxTe3d+Rw6XOMPkRHDleiIkkE5CX6PT/oXB6RM3vc68x+r0f9y2dNOv3rrjVeD9kA6y578wYX85h8pEV/bhP6IlsoWEUkJHDuPheuRko1DlHYT9JeWdk0jtgaRVpd8MSLLRuMNfQWljRxqX2JrxaMNJQWFpvCO3yFYGghJajoY3DIlw3GBHp7ik3nEV+nIurc5CkY82WC7p+drbtTdbZkMBDQ2kncTuAuX2ngdhKbuhO+OkqwCmn6mi1ZplXEpnHC1wjGKVIziE3ilCfRaOyf3bs/6Cf3uqf31aCbZ6d5tyrUebc8zx8k9zJVVdnZnMI50/PMffmzPeddSIOURooiRi8ZSIIQVp3Q+eJ7T88DTW2gWfpvPtfMBR9dvKVngw87zyy/9GT2wcX/OXtkOvrNFNMs0b8z+/lXvz6fQap+c/xm8/vOC9+8c+el4VHn3wxHdW1O6uwkSTaYf/GFb/7t3/7N+auLeSeqYvmVj01RQM9bP13MUM0UVn/S7C7pXPyw+fRnNvPcFDWPws2DzxbXxmY5bv/mjh7rTrNZ43MzSJ2uGYRHpgIz+6ST5NaesqEoPmFpMOBcUxBIpqhgb4O7JUpCXddEOBKzMW3gmroKwuxAbUEUj+DlSVO3ltrCYHka+8BzwL4oOMGBsGcr2SDt5a75iiQc9RVE4FpKC4BFaznouJt6074zs8zdgEU/S9cBt19JYAoGl3vQzHBblQQmfY7RB6kkMCUqkkRAXmslwfqEDdkA4FJSwOyOKRRcQKJkbe5KAlMjZXEGUJj3q17m6CPmStx2IYErGww1gQsJXLVgoAlQSOAqBCMLKRtFH4NDvmwwJAQrJHB1KqLOTZ6CMV8m6P3ZqbmnkMCVDMaBgIUErtI4hQSuOkqsCmn6mi05aiGBqxGMUyEKCRyJO1tI0JM9dyGhoJGiiPELCYIghCUmdLqILuH/2RQSBM2jcPPgk0V/IeE7lxst1koJmfW4tKHoABBWAgNONgWBIpcSBEmo65gAR676vTR3zV0FWXahkiCJR3DzpLlbWyWhWK47e04vEgUn+A/2dMVbSZCEo76BCFxbJaHdorUcdORKguOYkoF/h2++jrf9OgJTMLjagyaG26ojMOlzjD5IHYEpUZEkAvJa6wiuHQlMAHAlKWBqxxQKrh9RUjZ3HYGpkbI2gyj07khgahQpJFyLWbbDNwfLo+8GA++5m2wyMBgFrjVw1YLBiFJruGEGb3Xu5sB5RsYdvmowIoXIYQ3M3siDccjHAEMLvR6xOgpPa79qCPe5m2wKRaSAnyMzsvsrYdfrFlzBYLSBJwKA36lBv3PMpwJDE620kSXKXdrgKg1c2rhxfOlv7npe1BO+YkpIZT0xq3mV39fUbASZ8sd1P7M0gPvITTYBGFhJxZEbZkT3V6Kul0k4Yne3TOJYINRzWf95Atc4UcD4RRJBEMLqGToXRssTfzZFEkHzKNw8+Ew48G4LQXzCEmfAebQgUOQSiSAJdYEW4fDvthCE2YUaiSQewcuHmF+uZpnLY38GnpOcRMEJDgSeGpFqJJJw1FcQgWurkbRbtJaDjlwjSW14zy0dlAtPreNtv0bCFAyuSKF54bZqJEz6HKMPUiNhSlQkiYC81hqJ9QkbsgHAVauAuR1TKLgQRcnZ3DUSpkbKgg6g0LvXgilxeyWSsr9cqqz8JRIuGRiLApdIuGrBWEQtkVSXJZLKUyLhqgYDUogU1sDsjTwYh3wMMLJsUiKp9q4awlMi4VIoIgX8HJmR3V8Ju14i4QoGgw08DwD8Tg36nWM+FRiZApZIuEoFSiTVZYnE+aKe8BVTIirriVlNq/y+pmYjSJdIqr2rBvCUSLgEYGAll0iq/ZWo6yUSjtjdLZGkrhJJaT96y8mJAkYvkUiCEBbP0KkwWpz4cymRSJpH4ebBJ8Kh95FIDgBhjTPcRFoSKG6RRJJkPYHwkMDTct8+EkmWHaiRiOIR3HyICeZymln2Fyvq89/YwA9lwQn+A54bUWokonDUNxCBa6mRABat5aBXl10splsmvYx42UWaufYsl6mVOB2UaZkPsv46cayyiePK3ufZgsFVKjRX/O3sA5OLXHx/VTZpLhB7S0foR+Z6MXOZWZMNmjqIqY08bG4w+6j53Rfze2v1nz95+rZb88fl1bZv6s+9sfzcD/U/of8Z24DcZA9Ijg1IiEoKV6IiSQTkeSsp78x+19WvyoFOwfXQP1na8+InPRvVkE0FrngRskLX1bpcheDqFSXNc9ZVuBopq0CAwiwrXZeVcRWKlFUIaRlXNhiKGDWTzFM0YcsFIxGlaGJTeIevEAw9pPwVfQ4O+bLBAEEviNh0HvF1KqLOTZ6CMV8m6PbZybz7DCu2ZDAO0KoYHi9wly81cBnDpu6Er44SrELavmZLlilR2DRO+BrBSEUqQtgkTnkSjcbTKntwmg9Ou6X+1m6eqKp7WuiZ4mBwmufV6Zm6P1hQOKeCnskxfzroPMSqzGmkKGL84oMgCGFVCp1Qvv/U7PFxMw38Qk8DzSL2D8z0Us8eH3f0ROWPT88nH+uvPXpq6f/K9PLhYh7TMT9aT2femn3RmZcYsn7/4nuF+ZAkncsaxQsv6M/pr53YxvOm6HgqfDzxyd76NK6Z4lmn4p2Xzl87/cZp5/D0tdO///tXOrN3m9n3Qz3Hf6Kng+Ye8Td7enxSleVmfPT/bp0cdPTkv6k4PF1ruKxCzG8Kb37MH+f9kWbg9/QYN2N+0GmKRp9d/Kip7DzsVOazrqmm4NgTFhrxKan7Km5JFJESRW7juCXKQV0eBSiSTGU96zLBSBQlWn0iqwr3VFgSkBALSDO8tgpFvlzPzj0VCklwguNgT2rcVj2WhaO+gghcW4Wi3aK1HHSTrZ5V97Pz5F7SLfp50s3z8rxbZWXVre6pbHA+UPlZvnif42arqTNbLajDgSHGz1YFQQgeCs1W3zGNKE9XL57oVPQLk/KYVHL2hyav+m5THzGZlKmRmFyr+Y5m14jpc/nH2Tvd2fuz389+NvvN7B/0x9/Nfm8bnZuio6Pw0cFzTxvGUBSD4I3xNE7PLD6yobwoiiKSxiX27OeWKAk1igAceV/1qsKGMhJFiZbIJYWD77YsH8FLBs3jludblp4TS0XBCZ6Dncc5jXosy0Z9ARG2tjSu3aC1HHSTxqVKnadn50p/8Ux/75lKu2V+Xyd/VZYnaZncK6vFenncNM7dhWLfm+wZDgwxfhonCEJwUGga99+e6jR52Jn9D53T/bFZIjOLYrP3</t>
  </si>
  <si>
    <t>h1n2dZPPJZlZBHvTrGU1CZ11aeemKLzC4TfO0gQxCL42SJYmiCKSpfV7qbKh3BJFoUYJAKTMe2pgRRmJokRL0/JBL89tfLdl+QheMGiatjxio/QcmiIKTnAd7DTNadRjWTbqC4iwtaVp7Qat5aDnq21n985PH2RVV+X5vW4+KB90T4u+6ubJWXk/OTu9n6mtrLblrjStsrdH+7JWCDF6miYJQnBQaJr2y4s3TPl2vsts3mz8lllha0qNbzQbvpqzWuara7+e/axZVfvH2bv6v98sdqPN/jD7zeyd2W/1x9+b7/lf+g/vd+4cq6Qz+5ltlG6KjpLCR2nTfE4Sg+CUQ+RzkihC+Zxpz7uOcksUhRpOABDV7w1yK8pIFCVaPleWvdJaaLsty0dwlyHzuWq5HajybPASBSe4DnY+5zTqsSwb9QVE2FryOcCgtRx05DPw3Bmaq0+xSopKlVs7Bc+5nYsreN1t/Nls5+IOSI4NSIjtXFyJiiQRkAds58rMdi492h9fseeT2aeOTjsu27o3l9vUxVUINvPjuZ1nUxdXI6VPHlFY9XuOUilX4ZY3dbFlgwEp8KYutlwwHm2+qYutEAxApJwVfQ4O+bLBMBFqUxdbpyLq3OQpGPNlgm6fncC7N3WxJYNxIOCmLrbUKJu62OoowSqk7Wu25JibutgawUgVYFMXS+LuLtzn7k1dVU4jRRHjL9wLghBWotBp5bYW7gVHSeGjhE/kbBhDUQzC6hthzuZeuBdEib1wL4hCXTcEQNKyp6zniY5ESXZi3V6Sj+AtSXOgtnX75SaZyrPtSRSc4DnYab9v3V6Sjfr+IWxt6/btBq3loHe4XTZ373qqXN3DzuHAEOOnc4IgBAeFpnNh22Ul4RUOv3GWJohB8LVBsjRBFKEszdUuK4lCjRIASD7oFVaSkShJtCzN0y0rykdwgkGztOUemMqzqUkUnOA52Fmap1tWlI36/iFsbVlau0FrOegd3pueuzc1Va7mYXfSCiHGz9IEQQgOCs3SIu9NlxwdhY/OxmmcIAbBGQdJ4wRRRNI45950SRJqFAE40rTsDawoI1GUaGmcZ2+6KB/BSwZN45Z7ZCrPpidRcILnYKdxnr3pomzUFxBha0vj2g1ay0HPF9vO7mdZob/t7N4D1c1P89Pu6Wna797rF+mDQVb2z++dvryFNM7VUpsuivCE4cAQY6dxoiAEB4Wmcde7Nj+lH4GpM76vzH6h/9KnzSmLH5k/N2t0nfpW0VfF/DTHf3V5gGOzfqcuz8c0hzLahvOm6HAqfDjxvM/eB+s+FVMPH/lczH+VMo7F1EO9l+SKfCymqAkIkQfPWZ3HYoqiiOSsuY3jligHNWACFIMi7VlJRqIk0RLWTBW9xLr14rYsICEgBMxYNdM8wVn8xgZ+KAtO8BvsjNVt1WNZOOobiMD5U1bEorUcdOR9XcqZhLpaFVWZpqqfrANue18XW/C63/hz2dfFHpAcG5AA+7rYEhVJIiCvdV9XpbPPn80+b1Zx39RWbKrtV0372JUzMiHX/brYBi+2QrCxH0/x3Bu82BopPfOIwrRypm9Mhdvd4MWXDUamsBu8+HLBwLTxBi++QjASkbJX9Dk45MsG40WgDV58nYqoc5OnYMyXCbp9dirv3ODFlwzGgXAbvPhSY2zw4qujBKuQtq/ZkiNu8OJrBCPV5hu8eBKNxrKvyuTstN89fZCZOxPyfrfqV2X3wel9Vd5LKnXW30KRQjk3eKX9nEaKIsYvUgiCENak0PmlwK1dzpLFlYpF52rJ4ukrvTwlC8HBVfjg4hNBPcl7d/ZPs3/Uk79f6d//fva7TtOU84fZe/oTv5n9Y1cPw+PZx2b8L35y8Tbpiq8nzca8x+ZXbaX6lkoSlfZP9NyzGcbqQHVmH+if/M/6vw8tVQzXBFNwkAmLi/hE1FOUEESJWpQQ5KAuiQIUKhk4ji0RJYlWlEiSfr+XuybAkoSECECa17VVJfLlGrZ705osOMFxsKcyHrMey9JR30GErq0s0W7SWg56hxuilXPbWtp39Yc7hwNDjJ+kCoIQXBSapMZtiBYdHYWPDp5l2jCGohgEd4zncc6GaFEUkTzO1RAtSkKNIgiH0u6wtKGMRFHipXLOhmhZPoKXDJrIFcuo797XJgtO8Bz8RM7ZEC3LRn0BEba2NK7doLUc9A6fPqCc+9rSvqs/3DkcGGL8NE4QhOCg0DQu6OkDovAKh984SxPEIPjaIFmaIIpIluY8fUAUhRolAJAs7WVWkpEoSbQszX36gCwfwQkGzdLKZVB3b1uTBSd4DnaW5j59QJaN+v4hbG1ZWrtBaznoHT7yU7m3rSWulmh30gohRs/SJEEIDgrN0rZz5KfoKCl8lDZN5yQxCE45RDoniSKUzjmO/BRFoYYTACSperl1W8JIlCRaOuc+8lOWj+AtQ6ZzyXIHUOLZ0yUKTvAc7HTOfeSnLBv1/UPYWtI5wKC1HHTkLV3WhVSdniVWvKyfZ9mgSMp1vK1v6OIKXncafzYburgDkmMDEmJDF1eiIkkE5LVu6NIvirmoy1Sfl/a8+ImjwY5Lte7F5XZwcRWCnft4SufZwcXVSGmKBxRmWdnLbApHbIUiO7iuhbTRi8OTk/HJIqjV08NndBKSHugPmfmQmw/qq2Y6Z0hMnDvoW0PdbT4oGLoC7/liywVjF2XP1w0zevtzG7y0GGeb6jt81WAAC5HxGpi9kQfjkI8Bhh36vrCFdiN776ohXBRHfApFpICfIzOy+ytha4LHfMFg0IGnDYAfqo0fqo0fqo0fqkE/dMyHBOMWbcdZlhfKueOMLTXwjrMbx5f+567nxT3hK6YEXNYTtJqW+X1PzUaQ2ZV23e8sDeAimPAJwEhL2rN2w4zo/krUmtgpT+zu1ioK+8xST4Xtu/ScnChg/EqFIAhh7Q2dSm+rUiE4SgofJXzyasMYimIQ1hsJs1V3pUIQJXalQhCFulIKgKh+b5BbUUaiKDtRqpDkI7jLEBO31fQtXa5sp54pnCQ4wXXAcw7YqMeybNQXEGFrK1W0G7SWg97h/uDCvkNDZ3MZdTAwwPjZnCAIwT2h2VzY7mBJeIXDb5ykCWIQPG2QJE0QRShJc3UHS6JQYwQAUuY9NbCijERRoiVpnvZgUT6CFwyapGXLmJ55kjRJcILrYCdpnvZgUTbqC4iwtSVp7Qat5aB3eC9+YS+t6iQtpw4GBhg/SRMEIbgnNEmLvBNfcnQUPjobZ3GCGARXHCSLE0QRyeKcO/ElSagxBODI+8qxqXkkihItiUuKXmI11W1ZPoKXDJrELc/fSTxHKomCEzwHO4lL3Pc8iLJRX0CErS2JazdoLQfdJHGnVfbgNB+cdstBaQ5fUlX3tFCD7mBwmufV6Zm6P1gkbXGTuNw2GDqJU9TBwADjJ3GCIAT3hCZxAmd+zjtfO+ZH65TwrdkXnXl59eljPZvrseaffuEF/bnMnARqGc+bouOp8PHE0771xl/SMZ4tN5K9fOuEcSWZHtw9Pcb0K8kkx54QcfBc1X36pySKSK5q9ZO3RDmogRKgSDKV2ZPukShKtEw1qwrn9ReigIRYEDRVVcvMRnlSVUlwguNgp6puqx7LwlFfQQSuLVdtt2gtBx15A9vAhqezz8KLV63jbX8DG1Pwutf489nAxhyQHBuQIBvYmBIVSSIgD9jAlpkNbDPLDbuuTJHJBu4owDNA9zY2pkJwOwCe2Pm2sTE1UrrqEYVV33VkO1fhFrexDczmtdJ8qPSHtL/cPlL4t7FxQcEAFnobG1cuGMGo29iKy21szrMo7/BVg2EsROJrYPZGHoxDPgYYfDbZxlbsXTWEZxsbl0IRKeDnyIzs/krYmuAxXzAYdODZA+CHauOHauOHauOHatAPHfMhwbgVchsbV6rANrbichub88U94SumBFzWE7SanPl9T81GkN7GVuxdNYBnGxuXAIy05G1sxf5K1JrYKU+sUYvdhWF4nFNhz1oAezrs3MY2oHGigPHLMYIghCU4dEItUI4RvIJNcnAVPrj4zNc+p3VXaPTwkWs0/ypllGj0UO8luWKUaARNsJ4neUyAT9A9JRpBlKglGkEO6vowQDEoUte145Ik0So03gvaRAkJ8SHETHU1Xx0sF/QHnjmrJDjBccCTLIJZj2XpqO8gQuc16TFi0loOeoebwgfOnXv2A7Q9g4EBxk9gBUEIDgpNYGM3hQuOjsJHB89AbRhDUQyCM8azOE9TuCCKSBbnbgoXJKHGEIAjTcvewNVqI4gSL5HzNIVL8hG8ZNA0bnlPROK5+EMUnOA5+Gmcpylcko36AiJsbUlcu0FrOegdPn5h4NzZV1EHAwOMn8QJghDcE5rEBT5+QRBe4fAb52iCGARPGyRHE0QRydE8xy8IolBjBACSD3qFlWQkShItR/OdviDJR3CCQXO0ahnSK0+OJglO8BzsHM13+oIkG/X9Q9jacrR2g9Zy0Dt84OnAtXEv7VMHAwOMnqNJghDcE5qjbenAU8lRUvgobZrMSWIQXHKIZE4SRSiZcx14KolCDSYASFr2VGUjGYmSREvmPOedivIRvGXIZC5d3uSVeq5mEwUneA52Muc571SUjfr+IWwtyRxg0FoOOvLOttKGp9OzxIenB2YNb+s727iC153Gn83ONu6A5NiAhNjZxpWoSBIBea072/SsTmfCnzcV6De1FZvly6um1X/FRjlkU4LbDQi5oGuPG1chuFcAT/E8e9y4Gikt94jCtHJ1vXEVbm+PW2quakvNVW2puaotXV6RlPqvamODgqEs8B43tlwwlhH3uKWXV7Wlnqva2KrBgBYiAzYweyMPxiEfAwxDG+xxSy+vaktbrmpjUygiBfwcmZHdXwlbEzzmCwaDDjyNAPxQbfxQbfxQbfxQDfqhYz4kGLcC7nFjSw2/xy29vKrN/eKe8BVTAi7rCVpN0/y+p2YjCO9xSy+vavP7nQmfAIy01D1uqbmqze5zpjyxu1u5cMw09dQ4pXGigPErF4IghLU4dGq9rcqF4CgpfJTwyawNYyiKQVh/JMxW3ZULQZTYlQtBFOrKKQCS6Mmv1SuOREl2onIhyUfwliHmbavZ2/Jir9RzU5soOMFzwFMO2KjHsmzU9w9ha6tctBu0loPe4Vbh0rXfK82og4EBxk/mBEEI7glN5sK2CkvCKxx+4xxNEIPgaYPkaIIoQjmaq1VYEoUaIwCQLO1lVpKRKEm0HM3TKizKR3CCQXO05b1eqeeiNlFwgudg52ieVmFRNur7h7C15WjtBq3loHd4T37p2s6V5tTBwADj52iCIAT3hOZokffkS46Owkdn4yROEIPgioMkcYIoIkmcc0++JAk1hiAcSjk680aiKNGSOM+efFE+gpcMmsQt7/VKPRe1iYITPAc7ifPsyRdlo76ACFtbEtdu0FoOeodPBi2d+70UdTAwwPhJnCAIwT2hSdyf1smgkoOr8MHFc0Cd0L47+yed5f5+9iv9+9/Pftdpst0/6NT3Vzrj/ceuHobHs4/N+F/85OJt0q1uT5pq92Pzq7ZSfUsliUr7J9rjNMNYHajO7AP9k/9Z//eh5bDQnm2Qh6KDTIgzeIbqPvtTEkUkQ7V6x1uiHNTwCFCoZOC66UOSJF566jv7U5SQEAGCJqjLy7xSz/VsouAEx8FPUH1nf4rSUd9BhK4tRW03aS0Hrf/310+Tm9Tza75cNPC2tqr3dRuxzkPtp52mgzItNXC2ThxrY1vl3NjGFLzuSTbc2PaHZrOTWeX7xPzO7DxbLAyaJOXiLdN/dy2RbNnY9nixF84GfpMNnmPgQTawMSUqkkRAnncD23uzd7rWh2vIBgC3CeApnlkunn2kRX9uE/oiWyjY6o8ncL4takyNlI55RGE/66ncJnHEliiyR+16Cd51Iy5bNhhl6DvO8kHm3nDGVQvGGMqGM5vCO3yFYFAhpaboY3DIlw2GBPpmMpvOI75ORdS5yVMw5ssEvT87T3c9Acd8yWAcoG35cjuBu3ylgXd82dSd8NVRYlVI09dsyTK7uWwaJ3yNYJwi7deySZzyJBqNZ+eD4mzwoN+9X6ZJN0+TrHvaP1Pd+/n96qxflkn5YEHhnON5Zr38eV7inOlVNFIUMX7FQRCEsN6EzhTfW+8WMTPCppPkchNW4M4RwQFS+ADh0zUbxlAUg7C8Rpi0uTtHBFFE1uX7vYGN5JYoCXVVEOAYpL184OocEUSJtzRf9Cpr6eG2LB/BUZJmP20L88uDZVPPScGi4ATPwU74nUY9lmWjvoAIW9uyfLtBaznoJpPL++n90wdn592kUGk3V/373bPz/H63SMp+fv4gu59VW8nkUlcmlyXU4cAQo2dykiAEB0XK5JbL+9QuEZ2yPTS1AtP5sEj8LrsTZk+6T11x2nyxvlUk/azfP5n/MYH6RSQHVOEDimd+LWO6fousOfRg/keznP9Qj/PDpn/nbZ0gm8TZJNGX18nemvT71ezdq/fI2kbcdotsv//Mv/uq/SLZpD//tP74cH78gqe7RNIkhFiEZ7Hu7hJJFJEsNumVuQ3lligKNYoiIFW/pxIry0iUJVoeq0X0KmUDvC0LSIgTIRPZLFnkPZnntDhRcILzYCeybqsey8JR30EEriWTBSxay0Hv8GEDVS9zZrIZdTgwxPiZrCAIwUOhmWzY4wYk4RUOj2edNoyhKAbB2eKZmnu9URJFJFPr9/quTE0QhRolAJC8l+SpjWQkShIvT3MfNyDKR3CCQdO05e70zHPcgCg4wXPw0zT3cQOibNT3D2Fry9LaDVrLQTdZWvGg7BcP7ve7D9L+g25+r6i65f2q6t47P8/7RfbgtJ8vfGzcLC13ZmmKOhwYYvwsTRCE4KDQLC3ECZ93jruewzwlB0ThA7Jx5iaIQfC/QTI3QRSpzM11mqckCzV0ACRJT6nMRjISJYmWunlO8xTlI3jGoKnbcsNP5tnDJQpOcB3s1M1zmqcoG/X9Q9jaUrd2g9Zy0HHvIcv6zmTM0bBYpqosq6pYB9z6hi2u4HW38Se3YYsLnmPgITZscSUqkkRAXuuGrdwGMGQDgC37hIyuZcMWV+h6zia5YYurkdIEDyjMBlWvdCViTIlb3rDFlg1GmbAbtthqwRiz+YYttkIwqJDyUPQxOOTLBkNCqA1bbJ2KqHOTp2DMlwl6f3ZS7t6wxZYMxoFwG7bYSqNs2GKro8SqkKav2ZJjbthiawTjVIANWyyJO7vsrud5zg1bmaPr2UWKIsZfdhcEISwuoTPFCMvuggOi8AHBp2c2jKEoBmHtjDBJcy+7C6Ksh24PCj6N8y27C7JQl/0AEtUrqoGNZCRKshPL7pJ8BM9Imu60LbsvN/Rknh1aouAE18HO8H3L7pJs1PcPYWtbdm83aC0Hvbt9rTp1c+7Qyh1tvu7hwBCjp26SIAQHhaZuYftaJeEVDr9pmiaJQfC1IdI0SRSpNC23odwSRaFGCQAkUb2kcizKS6JES9M8ja2ifAQvGDJNy5e7VXLP/iNRcILrYKdpnsZWUTbqC4iwtaRpgEFrOejd3Uiv0zTn9qM8ow4Hhhg/TRMEITgoNE3b/Y30kgOq8AHFUz/iRvrrlys8br7+wezJ5f75F14osjJL5/dXFM9Prm6kXw7y1TsWLFvpK9Vso3fsj5ccaUKIwbNT9/54SRSR7NS9P14ShRocAZCiKntl6VhFlGSJl5569seLAhLcf9D8dLlPJ/dsvBIFJzgPfn7q2R8vCkd9BxG4tgS13aK1HPTuntmpE1TnzqtcUYcDQ4yfoAqCEDwUKUGNeman5AApfIDwhNOGMRTFIDhkPJvzrDUKoohkc84zOyVJqIEE4EgLpZO5xMYyEmWJlsx5Du0U5SN4yqC53HLjTu7ZiSUKTnAd7FzOc2inKBv1DUTY2lK5doPWctCRd2I5+/NyfyfiYB1w6zuxuILX3caf3E4sLniOgYfYicWVqEgSAXn+nVhJ5xlzhW5zfeuPO93O7Oc6R35j9vHFTy/eMOZ6uDDSx/p3P7Q6hiEbFezaJ+R+LXu2uELXszvJPVtcjZQ+eECh64x1rrwt79diywZjUdj9Wmy1YCTafL8WWyEYekjZKvoYHPJlg4Ej1H4ttk5F1LnJUzDmywQ9Pzt1d+/XYksGY0C4/VpspVH2a7HVUeJUSNPXbMkx92uxNYJxKsB+LZbE3V2sT9z7tXJ/D/Q1UhQx/mK9IAhhCQqdT25hsV5wgBQ+QPikzoYxFMUgrLgRJmzuxXpBlMiL9YIk1KVCgEPlPeui50gUZCdW6iX5CG6SNPdpW6lf7vXJPZu3RMEJfoOd7vtW6iXZqK8fwta2Ut9u0FoOeoe7ghP35i2VUIcDQ4yex0mCEBwUKY/b6a5gyQFV+IDied/VNt+n+ndnH+iB+mf934fzpt2rV1mtNfGmeljSy7bg4xeH/cSavQxFR4gQGvCU0t3NK4kiklK6u3klUahBDQHJs55KbSgjUZRoWaWvmVcUkOC1Q6aVark3SXk2m4mCE3wHO630NfOKwlFfQQSuJa8ELFrLQe/weU6Je7fZ4nBxwnBgiPHzSkEQgodC80r585wkB0ThA4LnhTaMoSgGwQHjyZt7PVASRSR585znJMlCDR0AiXaD1snBSBQkWu7mOc5JlI/gGIOmbstdO8qzD0sUnOA52Kmb5zgnUTbq64ewtWVu7Qat5aAj9+5aJ5E6E8uteFk/z7JBkV67JGLrnbtcwetO40+uc5cLnmPgITp3uRIVSSIgr/UOBevDNWQDgF1ZhHSupR+XKxTsxcKTNU8/Llcjpc8JUdjPegsp19MwpkSRntxr0Wr04vDkZHyyiFf19PAZnV+oA/2hMB8GXzXzMQNhotdB3xrAbvMZwYAUtoGXrRYMSJQG3htm8Pbno//SYphtqu/wVYNRKUQaa2D2Rh6MQz4GGGPoTb4L7Ub23lVDuCiO+BSKSAE/R2Zk91fC1gSP+YLBsAPPBQAPVBsPVBsPVIMe6JjPB0YrWufwoF/1lKNzmK00cOfwjeNLz3PX88qe8BVToizr2VnNsvxep2YjyHQXX/c4SwO4CCZ8AjDEknqPb5gR3V+JWhM75Ynd3SpDap8o6pmtonGigPFrDIIghKU0dGYcocYgOCAKHxB8OmrDGIpiEFYKCZNSd41BECV6jUGQhbrICZB4rmqWJNmJIoMkH8EzhpidreZoy/MklOeAEFFwguuAJxawUY9l2ajvH8LWVmRoN2gtB73Dd0akPVdJoqAOBgYYP3ETBCG4JzRxC3tjhCS8wuE3TtIEMQieNkiSJogilaTlNpRboijUGAGA5L0kdzXxCpJEy9E8F0aI8hGcYNAcrViG9MKTo0mCEzwHO0fzXBghykZ9/xC2thyt3aC1HPQObw1Le9appc7RBtTBwADj52iCIAT3hOZofwIbwwQHVOEDiud9xOsizPrm/I+mo+ShHmfzh4cXb3dm75l+IHO2wuUGsVuTfr+avXv1ugjbiFsui9Dj/cy/+2pzYYT+qllO/eziR0apVpH055++ulmtZzPJUNQkhEiE57CenWiCKCI5rGcnmiAKNYYiIFW/pxIry0iUJV4W69uKJglIiBNB09jBMusZeNJYSXCC8+Cnsb6taJJw1HcQgWvLY9stWstBR25odmWmpRcvX8fbfkMzUzDYOoZmlltoaGaC5xh4kIZmpkRFkgjIa21otgbmIRsA7CzDU7rWhmamULBFjJKwuRuamRoprVaAwmxQ9UpXyZcpcYsNzdXBYVr0zYfEfEiXPYWlv6uZCwpGpcBdzVy1YFSidjWXl13NpaermasaDE0hklkDszfyYBzyMcBAs0lXc7l31RCermYuhSJSwM+RGdn9lbA1wWO+YDD2wDMCwA3Vxg3Vxg3Vxg3VoBs65kOCcStgazNXaUlQioz+8aX7uet5b0/4iinxlvUAreZbftdTsxGkW5vLvasG8LQ2cwnAOEtubS73V6LWxE55Yo1a7BA/w+Oc3Xqm9+wZrrO1uaJxooDxqy+CIIRVNXSOHP94ZckBUvgA4RNVG8ZQFIOwiEiYrrq7aARRRCoQzuOVJUmoi58Ah/cuREmWaAWIpOgl1jah27J8BE8ZYsq2mrgtD+RVnhOWRcEJrgOebdiMan1oj2XZqG8gwtZWfmg3aC0HvcNtNJmr1bnoUwcDA4yeyEmCENwTKZHb6TYayQFV+IDiiR+xjebqccyd2btNuvxw9sHsyWX3zAsvFFmZpf0TM3DF85OrbTTLQb4cfEcjTaWaJhpHd4zkSBMCDJ6burtjJFFEclN3d4wkCjU0AiBFVerk1Jpoj0RZoiWnvu4YUUCC+w+ZnRb9RTIz/40N/FAWnOA82NmprztGFI76DiJwLekpYNFaDnqHd+Jlri7vIqEOBgYYPz0VBCH4JzQ9DbsTTxJe4fB4KmnDGIpiEFwtnqe51xAlUUTyNPdOPEkUaowAQBLVSypH74wkSrw0zb0VT5SP4AWDZmnLyxcKz3UaouAE18HP0txb8UTZqC8gwtaWpLUbtJaD3uFzrrKe9QnQSVpKHQwMMH6SJghCcE9okiZ/zpXkgCh8QDZO3AQxCN43SOImiCKVuLnOuZJkoQYOgET1isq1viZIEi1x85xzJcpH8IxBE7d0GedTT+ImCU5wHezEzXPOlSgb9f1D2NoSt3aD1nLQkfeeuVKxzIun1vG2vveMK3jdafzJ7T3jgucYeIi9Z1yJiiQRkOffe5Z0npm9r7/wyGS6nW5n9vPZE22Xjy9+evGGMdfDhZE+1r/7odUtDNmo4E4BQubXskuNKxTs9sfzOs8uNa5GStc8oHBg7dEeseVtb4dakZt9aebejcLcu1EsT70vMu8ONTYoGLvC7lBjqwVjF3GHWpGtdqgVzsu57vBVgwEsRMZrYPZGHoxDPgYYjjbYoaa1XzWEe4cam0IRKeDnyIzs/krYmuAxXzAYd+BpA+CGauOGauOGauOGatANHfMhwZgVbocaW2n4HWor93PX896e8BVTYi3rAVrNyvyup2YjCO9QW7mdpQHcO9TYBGCcpe5Q08/OStSa2ClP7O4WJXLXDrUip3GigPGLEoIg60mIz0DgTDpCUUJwQBQ+IPj01YYxFMUgrCwSpqbuooQgSvSihCALdVEUIEmcF3xLguxETUKSj+AYQ8zQVvO0fLmE7bkjURSc4DngyQVs1GNZNurrh7C11STaDVrLQe9wx2/u3JCmqIOBAcbP2wRBCO4JzdsCd/wKwiscfuMcTRCD4GmD5GiCKFI5Wm5DuSWKQo0RAEjm2FM/EgWJlqL5+n0l+Qg+MGiKtrxNq/BcjyYKTnAc7BTN1+8ryUZ9/RC2thSt3aC1HPQOnxmQOzdlFdTBwADjp2iCIAT3hKZofwJnBggOqMIHFE/7rh4C8NTu/tkHeqD+Wf/34XxL/9VrLta2+Kd6WNLLQwOOXxz27asyQ9ERIgQGPKP07PUXRBHJKD17/QVRqCENAcmznnLllIIo8XJK31Z/SUCC1w6aVC6v/yo897mJghN8Bz+p9G31l4SjvoIIXFtW2W7RWg56h48UzZ27yAbUwcAA42eVgiAE/0TKKqMeKSo5QAofIDxLtGEMRTEI7hhP5TyLg4IoIqmc80hRSRJqGAE4VN4rbCAjUZBoeZznPFFRPoKbDJrGLW+/Kjz3mYmCE/wGO43znCcqykZ9/RC2tiyu3aC1HLT+31832cvidTXZ2dd86VrgPWaq93UbsU7VKitxOijztJ9myTpxpF1mad+5y4wpeN2PyOwyezL71Ky8NeXXt+ef+Mys2DW7xzpmqe+PTxVnm11mj01X3epv6WTtc7PA94vZe4uUjbxT7WMtpX+Qzj5PzQ9wLfrcZI9kjo1kkG1rTImKJBGQ59229s7sd11r6B+yAdad/+ab0T63Bu8X2QrXc0HRXWhMjZTOeEBhNuj3KpvCEVuhyEY0S/nd1XjHlQ2GK/q2sqRQyr2vjCsXjFaUfWU2hXf4CsHwREpx0efgkC8bjAX0PWM2nUd8nYqoc5OnYMyXCbp9dr7vegKO+ZLBOEDb2eXxAnf5UgNv7bKpO+GrowSrkLav2ZJltm3ZNE74GsFIRdqYZZM45UlsNFanZ1W/n3XVWZ518+p00C3PTk2TSVGkZV/l9wfncwrndNEzgeZPGRPXpHGQ0EhRxOjr+5IghIUrdNL5znwx/3K+t1rol1ndlxwehQ8PPk2zYQxFMQirdITJmnN1XxJFZHXfsbYvyUFdXAQoUlUV9ha6kShKzNX9yrqEcVuWj+AkSVOfltX9wfJg2IHnpF9RcILfYGf7TqMey7JRX0CErWV1HzBoLQf9X+bTi3uD0/vlg25ydlro762qbpkVqns/TZOB/kHJ6YPF0x43i0udWVxGHQ4MMX4WJwhCcFB4Fne9z/fhvFqwXMV/aBaVTenAdAmbDO6Jpc+30+1c7/StklQ/sEfzP2b9/p75r3S3+UqOncLHDk/xnhq+K6WQa5eAzQdwMXyXHb2rIWLc/7UYz+YCMP0l00P82cWPTCO3tlg5/+zV7uKebdSHoqNOiCyEjNRVPpAkEUlIk17flZMKolBDIgCS6ZS0tB8NMxJliZaUlrmOXsoGeFsWkOD0g2al2TKJ8RzvJgpO8B3srNRt1WNZOOo7iMC1paXtFq3loJu09F5aZfrTZ937VXavm+dp3i3Tfr97npxV1dkgKQbnW0lLM2daqqjDgSHGT0sFQQgeCk1LwVMD+vkiXdJf/6D5qml/eXrTmW00boqOhsJHA080bRhDUQyC9yVkbu61REEUkdSt74gbt0RRqGEDAKnS3sCOMhJFiZa55dpU1iz7tiwfwS0GTdyW+84HnoMERMEJroOduDmNeizLRn0BEba2vK3doLUc9A6f0al6uTNvs/dOe4YDQ4yftwmCEBwUmrfJn9IpOSAKH5CNUzdBDIL/DZK6CaIIpW6uQzolUaiRAwBRqldkVpSRKEq01M1zTKcoH8EzBk3dltuCBp59XqLgBNfBTt08x3SKslFfQIStLXVrN2gtBx356jBrdV+nYqUVb7mNrVjH2/qmLq7gdafxl01d3JHMsZEMsamLK1GRJALyuJu6uABgdz8hQXRWZZkK13M/yU1dXI2UPnlAoWdTF1ehyKaua2HPdrvYoDo4TMu++ZCYD+niWp9BaWKh83YxNigY3gJvA2PLBeMbZRvYDTN6q+vF5uNsU32HrxoMciGyYgOzN/JgHPIxwAhD3yq2uudHa79qCBfFEZ9CESng58iM7P5K2JrgMV8wGHTgqQXgh2rjh2rjh2rjh2rQDx3zIcG4RduEluZl6rxfjC018Ca0G8eX/ueu58U94SumBFzWE7Sauvl9T81GkNmodt3vLA3gIpjwCcBIS9rGdsOM6P5K1JrYKU/s7tYuCtf9YgP7xj0nJwoYv3IhCEJYn0On2xEqF4IDovABwaekNoyhKAZh+ZEwMXVXLgRRYlcuBFGoC6cAiLdyIYiyE5ULST6CZwwxR1vN1KrlQnflma1JghNcBzy9gI16LMtGfQERtrbKRbtBaznoHW4WLlwXjC2eDMJgYIDREzdJEIJ7QhM34VZhydFQ+GhsmrVJYhBcb4isTRJFKGtztQpLolCDBgDiaxWWRImWtXlahUX5CG4xZNZW9hdBfv4bG/ihLDjBdbCzNk+rsCgb9QVE2FqyNsCgtRz0Dp884DgwRWdt9mMYPIOBAcbP2gRBCO4Jzdp26twBybFT+NjhOd6fxbkDkqNOiCuElNTV4SJJIpKRus8dkEShBkQAxHvugCRLtJS02aFu7f26LQtIcPpBc9Ll4Uml5zQsUXCC72DnpL5zB0ThqO8gAteWlLZbtJaD3uFDTQvXlWVlSh0MDDB+UioIQvBPeFIa90hTyeFR+PDgeacNYyiKQXDGhETOvbYoiCKSybnSOEEOaggBKHxHmkqiRMviPBeWifIRnGTQJC5dhvzUk8RJghP8BjuJ81xYJspGfQERtrYcrt2gtRy0ubDsYJ66xLynbOA6XWBx3fc6qE5iq2KQlfk6aLwtbVYf8zxb8Lr7+PPd0vbk4k1oSxt3JHNsJENsaeNKVCSJgLzWLW1W5zlkA4C7Cwh5onPBj6kQ3BqAp3+eLW1cjZQOe0RhkqU9ZZM4YksU2dN2vWrvuqiMLRuMV/QdaumgdO9QY8sFwxVlh5pN4R2+QjA+kVJb9Dk45MsGgwF995lN5xFfpyLq3OQpGPNlgn6fnee7LypjSwYDAXGPmNsL3OVLDbxHzKbuhK+OEq1C2r5mS5bZ/2XTOOFrBCMVaYeXTeKUJ9FoPKvuq9M8K7vpaVJ186J80D1TZu5Y5OX9+8n9+6laPLrO+aJn4syfMzovKisLGimKGH9VXxCEsGCFzjrfW1/MNzPDZqF/0U8isLAvOEIKHyF8qmbDGIpiEBboCBM298K+IIrIwn5iX8u5JUpCXVlEODJV2UBGoiAxF/Zdd5WJ8hH8JGn207awXyzXgQvPwr4kOMFvsBN+z11lomzU1w9ha1vYbzdoLQfdJHJZmj64X+Z5tygGqpsPVNU9vT9Iuqqvv/f0QdEfZPnLW0jknHeVlfajCDzDgSHGT+QEQQgOCk3kbD3Dj01+9nQH7LCB6fzVeHrSuTm+Mz5ZJHl/dbNTZfPfFv3+nvkv6XtaggWHRuFDg2dwzpZgc7LB/A9m8f3h7KPmD02vtflWUwz5tKm4PLl447JD+NYk6fef6g6efaAT5n/W/31oaQleDGjTEtw5WGsJno8y2hMsOOyEyEHIOJ0lAkGSyAmnIAk14iEc7oRTECRawpn208R5EZkoIcGjB005y2WG4jkIThSc4Dg2SDnLvJe5lpkl6aivIELXlnS2m7SWg97hwwUG7pvIKvuuPc9wYIjRk05JEIKLQpNO4eMFJEdD4aOB55k2jKEoBsH9EvI250qhJIpI4uY+XkAShRo2AJC0zHqJ63wBSZZoyZvnfAFRPoJfDJm6Vcvt6JXnfAFRcILvYKdunvMFRNmobyDC1pK4AQat5aB3+DjPgfsqsiqlDgeGGD9xEwQhOCg0cZM/0FNyQBQ+IBvnboIYBP8bJHcTRBHK3VwHekqiUCMHAJIUVa8cWFlGoizRcjfPiZ6ifATXGDR3W+74qTxbuETBCb6Dnbt5TvQUZaO+gQhbW+7WbtBaDjryXWSlMxvLPYB5ptYBt751iyt43W38ZesWdyRzbCRDbN3iSlQkiYC81q1b1qd1yAZY9/VyW7e4CsGOfTz182zd4mqkNMMDCjNHSXjEFrjljVts2WC0Crxxiy0XDFabb9xiKwSjEymhRZ+DQ75sMBSE2rjF1qmIOjd5CsZ8maDXZ2f37o1bbMlgGAi4cYstNcrGLbY6SqwKafuaLTnmxi22RjBSBdi4xZK4uyv4pXvjVuVrf7aQoojxV/AFQQjLVOicM8IKvuCAKHxA8HmZDWMoikFYhSPMztwr+IIosVfwBVGo64cASN4rShvISBRkJ5bvJfkIfpE022lbvl/u66k8G7VEwQmOg53g+5bvJdmorx/C1rZ8327QWg56h3tmS/dGrcrXQmwdDgwxfuImCEJwUGjiJt0zKzgaCh+NjbM2QQyC8w2StQmiCGVtzp5ZQRRq2ABABj1X0ibIES1p8/XLSvIRfGLQpG25L6bybHUSBSf4DXbS5uuXlWSjvn0IW1vS1m7QWg56h3fXl86NTlnf1z5sHQ4MMXbSJgpCcFBo0hZxd73o0Ch8aPAMjrG7/sVz888+vaP+xbwYPL2l3myn/+zizZYN9dfu2KJsqBcdaUKwICSZjsYNURKRHNO1oV6UhBrkAA6zuSG3kYxESaIlmb4d9bKEBC8eMM3M+otdPIvf2MAPZcEJnoOdZuosSLlWB2XpqO8gQudPNBGT1nLQO3weZ+ncmJX1U+pwYIjxE01BEIKLQhPN+Odxio6QwkcIzzdtGENRDIJLJiRzrhVDUZTI2ZwgCTWSABy+bE6QJFo25z6QU5aP4CiD5nLpMvC7t2nJghMcxwa5nOtATlk26vuHsLVlcu0GreWgI2/Tqpy5We4FvHaV2La3abEFr7uNf/HbtNgjmWMjGWCbFluiIkkE5LVu08psAEM2wLqvF9umxVYI9udT8j7XNi22RkrrO6BQFX37RdIjtsLt7tPiywbDVdh9Wny5YLTaeJ8WXyEYnkgZLfocHPJlg7Eg0D4tvk5F1LnJUzDmywTdPju9d+7T4ksG40C4fVp8qTH2afHVUYJVSNvXbMkR92nxNYKRavN9WjyJu7ugXzn3aWV9f/ez5f5pDDH+gr4gCGGdCp10bmNBX3CEFD5C+EzNhjEUxSCsyxHma+4FfUGUyAv6giTUBUWAoxikvdzeBCyKshMr+pJ8BE9Jmv+0regXywVg984tWXCC52Cn/L4VfUk26guIsLWt6LcbtJaD3uEm4Mq5cyvr+3uiLcOBIcZP5QRBCA4KTeWiNgELDo3ChwbP4RhNwLP3TLJrEt+nG4H7/Wr27lOdwHqYm9+YS7ie2v1mbwo2A7pxV7Dg0BOiByHvdNYJBEkip52CJNSoB3B4005BlGhpp78tWJKQ4NeDJp7lMk9x7z6TBSe4jg0SzzTtKddysyQd9SVE6NpSz3aT1nLQO3xoQOXef5b4u6Qtw4EhRk89JUEILgpNPWUPDRAdDYWPBp5t2jCGohgE90vI3JwrhpIoIqmb89AAURRq2ABAkrzfS2wkI1GSaKmb+9gAWT6CVwyZuCXLzT+JZz+XKDjBc7ATN/exAbJs1PcPYWtJ2wCD1nLQO3xIZ+XezZWk1OHAEOOnbYIgBAeFpm3ih3SKDojCB2TjzE0Qg+B/g2RugihCmZvjkE5RFGrkAEDKvNe3ls1GoiTRMjf3KZ2yfATHGDRzW272STy7t0TBCZ6Dnbm5T+mUZaO+fwhbW+bWbtBaDjru7i2dkLtysdwLOFgH3PruLa7gdbfxl91b3JHMsZEMsXuLK1GRJALyWndv5TaAIRtg3dfL7d7iKgS79vHEz7N7i6uR0hAPKEwdNVSuvC1v3WLLBmNV4K1bbLlgqNp86xZbIRibSOks+hwc8mWDgSDU1i22TkXUuclTMObLBH0+O7d3b91iSwaDQMCtW2ypUbZusdVRIlVI29dsyTG3brE1gpEqwNYtlsSdXb03RUfnjNHf/nyNFEWMv3ovCEJYpEJnnBFW7wUHROEDgs/KbBhDUQzCGhxhbuZevRdEib16L4hCXT0EQHLHfcqiHDuxdi/JR3CLpMlO29r9cltP4tmnJQpO8Bvs/N63di/JRn37ELa2tft2g9Zy0LvbLGsab5x5m7932DIcGGL8vE0QhOCg0LxNullWcDQUPhobJ22CGATnGyRpE0QRStqczbKCKNSwAYAMbBQjUYpoKZuvUVaSj+ARg6Zsy+0wiWeHkyg4wWuwUzZfo6wkG/XdQ9jaUrZ2g9Zy0Lu7tV4/As79Tam/b9gyHBhi9JRNEoTgoNCULebWesmhUfjQ4PlbuK31pbqytV7/BbNL/q3ZB6apReyaLckBJ8QMQqbpat2QJBFJNJ0b6iVJqLEO4MiynqOzVxIkWqrp3U4vSkjw5SGTzXS5iSf17MoSBSc4DnaymRRV1kscK4SidNRXEKFrSTcBk9Zy0Lt7KKdON537stKUOhwYYvx0UxCE4KLQdHMLh3JKjpDCRwjPOm0YQ1EMgksm5HLOVUNJlMjJnCAJNZIAHJ5kThAkWjLnOZJTlI/gJ4OmcstdPalnm5YoOMFvbJDKOY/kFGWjvn4IW1si127QWg468jYtZ9NdmnsBy3XArW/T4gpedxt/2abFHckcG8kQ27S4EhVJIiCvdZuWffo7ZBOsO3u5fVpchWCLPiXvc+7T4mqkdL8DCtP+wHVmElfhlrdqsWWD8SrwVi22XDBcbb5Vi60QjE+klBZ9Dg75ssFgEGqrFlunIurc5CkY82WCbp+d37u3arElg3Eg4FYtttQoW7XY6ijBKqTta7bkmFu12BrBSBVgqxZL4u4u6CfurVqpvwP6GimKGH9BXxCEsFCFzjq3saAvOEIKHyF8qmbDGIpiEBbmCPM194K+IErkBX1BEuqKIsCR5mVPWVFGoig7saQvyUfwlKT5T9uS/nKzT+rZvSUKTvAc7JTft6QvyUZ9ARG2tiX9doPWctA73AqcuHdvpf7OaMtwYIjxUzlBEIKDQlO5qK3AgkOj8KHBczhXK/DsYeel89dO9ZAcnr52+vd//0pn9m6T5T40vb2XPcAvvFBkZZb2T65esLXY7/bUXVvuK7bsDcGV+ayr/1dwlAmBgpBiOksCgiSRM0xBEmqAAzi8GaYgSrQM098BLElIcOFBc8zl7qTUs91MFJzgOjbIMbN+r3KtLEvSUV9ChK4ty2w3aS0HvcNnBCTuDWeZvyHaMhwYYvQsUxKE4KLQLFP4jADJ0VD4aOCJpQ1jKIpBcL+EzM25OCiJIpK6uc8IkEShhg0ARCW9wcCKMhJFiZa7eQ4KEOUjuMWQmVu23OiTefZuiYITXAc7c/McFCDKRn0BEbaWvA0waC0HvcNncibunVtZSh0ODDF+3iYIQnBQaN4mfyan5IAofEA2Tt0EMQj+N0jqJogilLq5zuSURKFGDgAkS3r9wooyEkWJlrp5juUU5SN4xqCp23JrT+bZqyUKTnAd7NTNcyynKBv1BUTY2lK3doPWctCR92o5S7Vm/c8DWK0Dbn2vFlfwutv4y14t7kjm2EiG2KvFlahIEgF57Xu1evpbml7KJxc/0t/x8dwWn5kqfGOnxxfftzEO2Yzr4UBuNxdXIdjFjyeHnt1cXI2UBnlAodnNpWwKR2yFW97NxZYNRrTAu7nYcsGAtvluLrZCMIKRkl70OTjkywbDRajdXGydiqhzk6dgzJcJun32DMC9m4stGYwDAXdzsaVG2c3FVkcJViFtX7Mlx9zNxdYIRqoAu7lYEnd3kT917+bK/B3R10hRxPiL/IIghKUsdF4aYZFfcEAUPiD43M2GMRTFIKzUEaZn7kV+QZTYi/yCKNQ1RgAk027Q3moyEkXZiUV+ST6CZyTNd9oW+ZebfTLP7i1RcILrYKf4vkV+STbqC4iwtS3ytxu0loPe4b7a1L17K/O3GVuGA0OMn7oJghAcFJq6SffVCo6Gwkdj47xNEIPgfIPkbYIoQnmbs69WEIUaNgAQlfRKZ1+tIEq0vM3XVyvJR3CLQfO25faZzLMjShSc4DrYeZuvr1aSjfoCImxteVu7QWs56B3edZ+690Pl/jZjy3BgiNHzNkkQgoNC87aYu+4lh0bhQ4MncWstEQ+bdok/vX34kuNOCB2ErNPVzCFJIpJ0OvfhS5JQQx7AkeaVjWMkyhEt4fRuwhclJHj0kClnvtz5k3u2comCE/wGO+X0bsIXpaO+gQhdS9IJmLSWg97hUztT92auPKUOB4YYP+kUBCG4KDTp3MKpnZIjpPARwnNPG8ZQFIPgkgmpnHMBURIlci4nSEKNJACHO5cT5IiWy3mO7BTlI7jJoJncciNQ7tnZJQpOcBsbZHLOIztF2ahvH8LWlse1G7SWg468syuz4em8LLPiZf08ywZFlq7jbX1fF1fwutP4y74u7kjm2EiG2NfFlahIEgF57fu6bABDNsC6p5fbtMVVCDbrU3I+56YtrkZKHzyiMMlS164trkSRXVvX4t7oxeHJyfhkEfnq6eEzOlPJD/QHZT4U5sPgq8ZdGBITDA/61nh4mw8KxrfA+7zYcsEAR9nndcOM3v7cBi8txtmm+g5fNRjlQqTFBmZv5ME45GOAIYa+F2yh3cjeu2oIF8URn0IRKeDnyIzs/krYmuAxXzAYdeC5BeCHauOHauOHauOHatAPHfMhwcBF22WWJ4NBTzl2mbGlBt5lduP40v/c9by4J3zFlIjLeoJWcze/76nZCDI70a77naUBXAQTPgEYaUn71G6YEd1fiVoTO+WJ3d1KRma/a1XPl3MaJwoYv44hCLKehfgMBM63t1HHEBwhhY8QPkm1YQxFMQgLkoSpqruOIYgSuY4hSEJdSUU4MuUqZAiCxCxkJFZD3ZblI/jJEDO21bwtX6575565myQ4wW/Akw3YqMeybNTXD2FrK2S0G7SWg97hLujM7n91Gqeog4EBxk/jBEEI7glN46L2QAsOjcKHBs/fXB3PHXNaw/wPpujwcPZR84eHpsJkvtUUgT5tKk1PLt64bIC+NUn6/aean2cf6HT5n/V/H7Z0PHcO1jqe56N8YL74cH5ihPkJrhZowWEnxA1CvuksjQiSRE43BUmo8Q7hcKebgiDR0s15D7Src0aSkODRgyacapmfKE/CKQlOcBwbJJxl3stcPdCSdNRXEKFrSznbTVrLQe/wgQlZz7pCqlPOgjoYGGD8lFMQhOCg0JRT+LgEydFQ+GjgWaYNYyiKQXC+hKzNvUooiCKStrmPS5BEoQYNACQtM/c5V5Is0VI3z3kJonwEvxg0cVsei5R7zrkSBSf4Dnbi5jkvQZSN+gYibG1pW7tBaznoHT6iNOvltsHQaduAOhgYYPy0TRCE4J7QtE3+gFLJAVH4gGycuQliELxvkMxNEEUoc3MdUCqJQo0bAEhSVO6TriRZomVunhNKRfkIrjFo5jZYBvqBJ3OTBCf4Dnbm5jmhVJSN+gYibG2ZW7tBaznoyJvVXLlY6cXL1vG2v1mNKXjdafxlsxp3JHNsJINsVmNKVCSJgLzWzWrWp3XIBlj39IKb1ZgK15M/0c1qTI2U1nlAYeYoBo/YAre4Va06OMxU33xIzId0uUWk9G9V44KC0S30VjWuXDC8UbeqlZdb1ZyHa97hqwZjXIik2MDsjTwYh3wMMMBsslWt3LtqCM9WNS6FIlLAz5EZ2f2VsDXBY75gMObAMwvAD9XGD9XGD9XGD9WgHzrmQ4JhK+RWNa7UkiAVGf7jS/9z1/PinvAVU+It6wlazdz8vqdmI0hvVSv3rhrAs1WNSwBGWvJWtXJ/JWpN7JQndncrF7lzq1pF40QB41cuBEEIy3PobDtC5UJwQBQ+IPiM1IYxFMUgrD4S5qXuyoUgSuzKhSAKdd0UAMl7hdXPj0RBdqJsIclH8IshZmireVq1XOWuPHM1SXCC44AnF7BRj2XZqK8fwtZWtmg3aC0HvcN9wrlra5qyHxztGQwMMHraJglCcE9o2ibcJyw5GgofjU1zNkkMgusNkbNJogjlbK4+YUkUatAAQAY9R8omyREtZfP0CIvyEXxiyJRNLW9DUJ4LLkTBCX6DnbJ5eoRF2ahvH8LWkrIBBq3loHf4NIHctbVLJdTBwADjp2yCIAT3hKZsMU8TkBwahQ8Nnr8xThN48dz8s0+fIPBiXgyePkLAHB/w2cWb1CvTSAcISI40IVQQUkxXu4okiUiG6TxAQJKEGuIAjmzg6CEciZJESzG9JwiIEhK8eNAkM1nmJIknyZQEJ3gOdpKpcyDlXBkUpaO+gwhdW5rZbtJaDnqHzx7NXVvRVEodDAwwfpopCEJwUGiauYWzRyVHSOEjhGebNoyhKAbBIRNSOfdqoSBK5FxOkIQaRwAOXy4nSBItl/McPirKR3CUQTO55aVbynOLmig4wXFskMn1Emtb1rEsG/X9Q9ja8rh2g9Zy0JE3pikbns7MMi9evo639Y1pXMHrTuMvG9O4I5ljIxliYxpXoiJJBOS1bkyzrq8P2QDgJgFCeuhc6WMqBDv8KVmfc2MaVyOlUR5QqIq+fYI7Yivc3s40ZS5RU+YSNWUuUVPLy4uU/xI1NigY3gLvTGPLBeMbcWeaurxETXkuUWOrBoNciKzYwOyNPBiHfAwwwmywM01dXqKmWi5RY1MoIgX8HJmR3V8JWxM85gsGgw48tQD8UG38UG38UG38UA36oWM+JBi3Au5MY0sNvzNNXV6i5n5xT/iKKQGX9QStpm5+31OzEYR3pqnLS9T8fmfCJwAjLXVnmjKXqNl9zpQndncLGcq1M03lNE4UMH4hQxBkPQvxGQicbm+jkCE4QgofIXyOasMYimIQ1iMJM1V3IUMQJXIhQ5CEupAKcBSDtGffkzwSRdmJSoYkH8FThpizrWZuy1u3lOcaNVFwgueApxuUSoYkG/UFRNjaKhntBq3loHe48Vk596op6mBggPETOUEQgntCE7mojc+CQ6PwocEzOEbj8+w9k+qatPfp5ud+v5q9+1T3sx7m5jfmorWn9vvZG6HNgG7cCS049ITYQcg6nfURQZLISacgCTXmARzepFMQJVrS6W+FliQk+PWgaefy5i3luUxNFJzgOjZIO9PUsRZ8LEtHfQkRurbEs92ktRz0Dh+SoJw77grqYGCA8RNPQRCCg0ITT+lDEgRHQ+GjgeeaNoyhKAbB+RLyNvdqoSCKSOLmOSRBEIUaNACQJO/b6ycjUZJoiZvvmARJPoJXDJq2LW/eUp6r1ETBCZ6Dnbb5jkmQZKO+fwhbW9LWbtBaDnqHDyRVzv1rA+pgYIDxkzZBEIJ7QpM2+QNJJQdE4QOycd4miEHwvkHyNkEUobzNdSCpJAo1bgAgZd7rW5ejRqIk0fI2z4mkonwExxg0b1veu6U8F6mJghM8Bztv85xIKspGff8Qtra8rd2gtRx05P1qVkekM7HSi6fW8ba/X40peN1p/GW/Gnckc2wkg+xXY0pUJImAvNb9arkNYMgGWPf0gvvVmArXUz/R/WpMjZT2eUBh6qqeMuVtcbOauUatMNeoFeYatWJ5fZHyX6PGBgVjW+jNaly5YHCjbla7vEZNea5RY6sGI1yIlNjA7I08GId8DDC8bLJZ7fIaNdVyjRqbQhEp4OfIjOz+Stia4DFfMBhx4HkF4Idq44dq44dq44dq0A8d8yHBoBVysxpXakmQigz/8aX/uet5cU/4iinRlvUEreZtft9TsxGkN6tdXqPm9zsTPgEYacmb1cw1anafM+WJ3d2qReHcrFbROFHA+FULQRDC4hw6145QtRAcEIUPCD4ftWEMRTEIa4+EWam7aiGIErtqIYhCXTUFQBzXEY1EOXaiZiHJR3CLISZoq2na8tIt5blFTRSc4DfguQVs1GNZNurbh7C11SzaDVrLQe9wg3Dh2plW+O8nsQwGBhg9a5MEIbgnNGsTbhCWHA2Fj8amKZskBsH1hkjZJFGEUjZXg7AkCjVoACADG8VIlCJawuZpDhblI3jEkAlbsbxyq/DcoSYKTvAa7ITN0xwsykZ99xC2loQNMGgtB73DRwkUrh1dhf+mD8tgYIDxEzZBEIJ7QhO2mEcJSA6NwocGz97CHSVQqitHCei/YE4FeGv2gWnlEbtKTXLACRGDkGe6GlYkSUTSTOcBApIk1EgHcGRZz9HNLAkSLdH0Hh8gSkjw5UFTzeW1W4XnJjVRcILjYKeaSVFlvcSxOihKR30FEbq2ZLPdpLUc9A4fQFq4dqIVKXUwMMD4yaYgCMFBocnmFg4glRwhhY8QnnPaMIaiGASHTMjk3CuGgiiRUzlBEmocATg8qZwgSLRUznP8qCgfwU8GTeSW924VnovURMEJfmODRM55/KgoG/X1Q9ja0rh2g9Zy0JE3plnXgXVilnnxinW8rW9M4wpedxp/2ZjGHckcG8kQG9O4EhVJIiCvdWOafeo7ZBOA+wQI6aFzoY+pEGzyp2R9zp1pXI2UXnlAYdofuE6I4irc3ua0wtykVpib1Apzk1qxvMGo8N+kxgYF41vgzWlsuWCAI25OKy5vUis8N6mxVYNRLkRabGD2Rh6MQz4GGGI22JxWXN6kVrTcpMamUEQK+DkyI7u/ErYmeMwXDAYdeG4B+KHa+KHa+KHa+KEa9EPHfEgwbgXcnMaWGn5zWnF5k5r7xT3hK6YEXNYTtJq7+X1PzUYQ3pxWXN6k5vc7Ez4BGGmpm9MKc5Oa3edMeWJ3t5DhyPP0fDmncaKA8QsZgiDrWYjPQOB8exuFDMERUvgI4ZNUG8ZQFIOwIEmYqboLGYIokQsZgiTUlVSAI83LnrKijERRdqKUIclH8JQh5myrmdvy4q3Cc5OaKDjBc8DTDUopQ5KN+gIibG2ljHaD1nLQO9z+PHDuV1PUwcAA4ydygiAE94QmclHbnwWHRuFDg2dwrvbn2cPOS+evneohOTx97fTv//6VzuzdJsd9aPqZL/ueX3ihyMos7Z9cvURtscPvqfvU3Neo2ZugK/NZV8+z4CgTwgQhwXSWQgRJIueXgiTU8AZwePNLQZRo+aW/61mSkODCg2aYyxu2Cs+laaLgBNexQYaZ9XuVq+tZko76EiJ0bTlmu0lrOegdPhNh4NxiV1AHAwOMn2MKghAcFJpjSp+JIDgaCh8NPK20YQxFMQjOl5C3uRcGBVFEEjfPmQiCKNSgAYCopDcYWFFGoijRMjffwQiSfAS3GDRvW16yVXhuTRMFJ7gOdt7mOxhBko36AiJsbVlbu0FrOegdPn904NyrNqAOBgYYP2sTBCG4JzRrkz9/VHJAFD4gGydughgE7xskcRNEEUrcXOePSqJQ4wYAkiW9fmFFGYmiREvcPEeQivIRPGPQxG15y1bhuTZNFJzgOtiJm+cIUlE26guIsLUlbu0GreWgI+9OK214OhUrvXiDdbzt705jCl53Gn/ZncYdyRwbySC705gSFUkiIK99d1pPf0vTQ/nk4kf6Oz6e2+IzU39v7PT44vs2xiGbcT0YCO5fYypcTw9F968xNVLa6QGFZv+asikcsRVucf+auVxtYC5XG5jL1QbLS40K/+VqbFAwAobev8aVC4ZA6v61y8vVCs/lamzVYBwMkTgbmL2RB+OQjwEGoU32r11erla0XK7GplBECvg5MiO7vxK2JnjMFwwGHXj2Afih2vih2vih2vihGvRDx3xIMG6F3L/GlVoSpCLDf3zpf+56XtwTvmJKwGU9QavZnd/31GwE6f1rl5er+f3OhE8ARlry/jVzuZrd50x5Yne3uFE6969VNE4UMH5xQxCEsISHzsgjFDcEB0ThA4LPWm0YQ1EMwgolYWLqLm4IosQubgiiUNdWAZBMO0F7g81IFGUnihuSfATPGGKOtpqpLa/jKjz3q4mCE1wHPL2AjXosy0Z9ARG2tuJGu0FrOegd7iUuXfvVBv67SyyDgQFGT9wkQQjuCU3chHuJJUdD4aOxadYmiUFwvSGyNkkUoazN1UssiUINGgCISnqlq5dYEiVa1ubpJRblI7jFkFnbYHkn18BzyZooOMF1sLM2Ty+xKBv1BUTYWrI2wKC1HPQOnzJQunaADfyXgFgGAwOMn7UJghDcE5q1xTxlQHJoFD40eAq31gjysGkS+dM7d0By3AmBg5BzulpYJElEUk7nuQOSJNSAB3CkeWXjGIlyREs3vYcOiBISPHrQhHN5L9fAc9WaKDjBb7ATTu+hA6J01DcQoWtLOdtNWstB7/AJpaVr+9ogpQ4GBhg/5RQEITgoNOXcwgmlkiOk8BHCM08bxlAUg+CQCYmce/FQECVyJidIQo0jAIc7kxPkiJbJeY4nFeUjuMmgedzyYq6B56Y1UXCC29ggj3MeTyrKRn37ELa2LK7doLUctP7fXzeZXP6yP0371vm911/55quWgWBlaa5KbubhVOrajXKuTW1utZTc63JfmzWffJ4td/0x8wwummE1ddW3Z5+bxbwDs6o0r7I+mn1+8eNmaU9/8Y9NgfahWUG6ePPixzYmnThlz47YYNe8optsM6c43+cyMPc0DUqXF+RC5HQIvFvYKD8yyo9cyo/4yhVdOd4lrIWPjfCxS/iYLxx/I/h+d74nYWDu1HEA1GyAa63lLQC052ViVE9cqid81biXJ3aUa9FTI3rqEj3liW4elpdXEeprvpAVch+2+fXrNg4ds5SVIy2TclAN+n3n4GNymQHLqLbpfZ6td921b7oPu1kCWJRZrgQsR7jqNFWP+c5sG9lNNtm6vxfcF82VqEgSAXnJakf0U/uhf2n2Q9uED9nCwX1nhAUGZ6WIqRDcNEZZN3BuduZqXA+PG252zvKetS1jxBYostf5ejeXfVxv82WDMYO+c7nMCufGZbZaMGRQNi7bFN7hKwSDBCn5Rx+DQ75sMALQ032bziO+TkXUuclTMObLBJ0+e3nI9QQc8yWDUYC2ddjtBO7ylQbeOWxTd8JXR4lUIU1fsyXL7Aq2aZzwNYJxijRLs0mc8iQ2Kerg/r1MZYNukfZVN7+n0m6ZnCbdoijP8+rstLh/f/FwOGds3zgNWwue/+qatw1ooCihbW7nAaPM72wgz4uCEKoc6MTvl9cnd81pWI/WjuGaPVoUh2c/XzTFPTbHcL1rGuuaY7XetA3HTdHhUPhw4FOx2S8uvqfBPzbz24u3TQfgo4sfNj2Bzbaan89+N/vZ7L/N/nH2fqeZIpuy+Mfz9sKDzuz/PfuVnr+9M/tZV//yK/2b+eboX8/+P2aDzafzXTdmXDt/1Un05KnpI3ykv/CdZpA/u/iJKcY/adaPf6B/8qPZh03Jvdsxv9E/4knT63hF1eNOumpKvPpvXLyl7TTvJ007sz/qP35w8f3ZQ5ulhqKWIlSpQsw9BUlkats2jluiHNTaGkDhmccKgkQrbVeq75nyShIS3D5pKtdW3F6e6znwHNQqCk5wG+zZi8esx7J01FcQoWsrb7ebtJaDjnlUa+osavvPzynX6bZeIGDqBdd+0DxRokDAJMsxsiAFAqZERZIIyCMXCJjCwbWiEEkaUyG4NERIvjwFAqZGyrILoNCTWDEFihQIrsUe22Gog2px6uDAf/opmwwMKoFrCFy1YFSh1BBumMFbHX468Bx+ylYNxpYQyaiB2Rt5MA75GGAgodcZVocQDi4PPx20HH7KplBECvg5MiO7vxJ2vR7BFQzGGDijB/xODfqdYz4VGJdoJYskVbm7ZsGVGrhmceP40uHc9bypJ3zFlIDKemRWEyS/s6nZCDJ1jeuOZmkA92mnbAIwspKqHjfMiO6vRF2vf3DE7mz9I3UddjqoaJgoX/zqhyAIYRkMndWKVz8Eh0Phw4HPM//lVj8ELUVYxgwxsRYkiVr9EOSgLr0CFJ5JuiDIjlQ/JAkJbj/EhHM17Vwe/DnwnOQqCk5wG/BciWDWY1k66iuI0LVVP9pNWstBzzf3PZWRORPPoLv7HGWQ0nf4mVJwGSTs3j6r2OfZYtefsc139r3fJCxfuLbrlf1nR2y1kbfrleYyqkp/KLLc4d7YJDmdBJ/zzvfsaflHRv6RS/4RX76iy8cnvM3GPa1+bNSPXerHfPX4U893rPNFtdLcI6QpahdFzaaQ3sKnpU+M9IlL+oQvHffnxLWSZh+fVj41yqcu5VOe8ubZeTlmZHKthpS+U5KUqpwDD6tlxSZXhZ4rF39P0ej0/zSHI5oFDDNvftRZnn84r8d/ubxbdX6Ty/fMN85n3p1FLf8LG6COaomJakzK2FEt1VGtdG1CZ0PECGipDmgO5Ud85YqunOSQxkb42CV8zBeOvx4bh7FUhzEHQM0GEI9gqY5gDtUTvmrc5bOCV6qDl0P0lCf6qRW2iJvQvZsZyszKseygy52Dj8llRq9e4YxgTL1gHwAavv5b01/2aPbZfLHZLPYuLh1rloc/6cw+XEWq2cOL75k/N2fzNivR5s9fmrPqFivYD5u1ZLMyvLjATP9Qc5yd/jnzpfyPdTxMVN8sG9vXUm+yB2Y9XAi2qHElKpJEQN7svWbYzUGBnx10LDd92/QP2frBLgJ8Qd11w/uLbIlgSwBhpdzdqsbVuB5lN21VU45FcK4+kU61ddXulW22bDDy0NvQ0tTdhsZWCwYeShuaTeEdvkIw1JCmEOhjcMiXDQYC+qTBpvOIr1MRdW7yFIz5MkGnzy6HuGshbMlgEKD1hbmdwF2+0sBtYTZ1J3x1lEAV0vQ1W7JMy5dN44SvEYxTpLmeTeKUJ9FoLKv8gUpV1j27f/+0myeF6lb386J778GDwfmDQZrdzxfRwTnv+8ZpyFauZUOXa/anaKAooW2G6AGjzBJtIM+LgqzHc5+FwOnj8lzzh2ZSaG5lmd8U89n89PKms+vhxdvLRq4/zC+z7sze62bWF/+mKL/C+fEpmA1jKIpB6FHAZ2KzzzMbyYuiJCKtTSaoONqbJFmovRUQiXtqJ0gSrb8pLT39TaKEBE9Imt209DeVatEMM/+NDfxQFpzgO9gJvcesx7J01HcQoWvpbwJMWstBN7naaZLkhcqrbpHcU908LwfdM3Vv0H1wNrjfv5+UqigWAxM1V0uduZp/r7tlNDDC+LmaIAjBQ6G52vuLdfufmGv4Hpk/zL6Y9953Z182X/lB01veNKF/5+Kti+81uZtJ3WbvJsqVsAkOgsIHYeOETRCD4HQJCZvzmhlJFKGMLXclbIIo1GABgOh/upe5MjZBlGgZW9FLrHi3ZfEIzjBourY8uaX0HMYjCk7wHOx0zWXTY1k06uuHoLXlau32rOWg453Ek3pa0P17O+E2v2hdEky96x7jz69LgjkwOTYwQbokmBIVSSIgj9slwdQPFszwVM/TJcGUCBbI8BTO1yXB1EgpPgEK3UtpTH0iXRLXIpjtPJ+yMrtI+ovDNUr/oT5sPDA+Be6m4KoFAxSlm+KGGbzVoT6l51AftmowTIVIag3M3siDccjHAIMKveNiddZGeXmoT9lyqA+bQhEp4OfIjOz+Stia4DFfMBho4JkB4Hxq43xq0Pkc89HAAEXr4Miyyt3BwVUauIPjxvGl07nreVtP+IopgZX12KzmW36HU7MRZLo8rjubpQHcB/uwCcDoSuoBuWFGdH8lak3slCd2ZysM7q1sFQ0T5YtfXxAEISypoZNkofqC4CAofBDw2aYNYyiKQVglxCednvqCIErs+oIgCnWBEwDx1hcEUXahviCJR3CGIaZiqwnZ8myU0nPcjSg4wXPAswjUpseyaNTXD0Frqy+027OWg97dvl3nvQCV78wE61hgfNEzNUkQgnNCM7XgXbuS/Arn3zRJk8QguFpCkubq2pUkEcrRnF27kizUKAGROEsNkiTRcjRv164oIcEThkzTqv4irM9/YwM/lAUn+A52mubt2hWlo76DCF1LpgaYtJaDnp9KeBD7UEJnFuY9AaRI1zldPSGhj36yyn2eLXf9MQtx9NP8QqbARz9V5ugnLmXko58qc/RTVRwc5v2++ZCbD6X+kKTmg/lCar6Qmj+m5qtp8znzLZn5Qma+kJkvZOYLmflCbr6Qmy/k5nO5+Zwy31KYLxTmcwPz1YH5Qmm+UJkvNDKq6uBQ9VPzQZkP+ltUkpgPufkw0B+MIGVkqNR8c2Y+5OaDMh8K832F+d3A/M78eFXpD4VhK5Lmg/5qYWCKtHKFA675crr58ALH/NCryhx6pQfryNjsyNjsyNjsyNjsyNjsyNjsyNjsyNjsyNjsyNjsyNjsyNjsyNjsyNjsyNjsyNjsyNjsyNjsyNjsyNjsyNjsyNjsyNjsyNjsyNjsyNjsKG9kaJsdGZsdGZsdGZsdGZsdGZsdGZsdGZsdGZsdGZsdGZsdGZsdGZsdGZsdGZsdGZsdGZsdGZsdGZsdGZsdGZsdGZsduWx2xLeZotsML+k0x31V5rgvPVZjY7KxMdnYmGxsTDY2Jhsbk42NycbGZGNjsrEx2diYbGxMNjYmGxuTjY3JxsZkY2OysTHZ2JhsbEw2NiYbG5ONjcnGxmRjY7KxMdk4b2Rok42NycbGZGNjsrEx2diYbGxMNjYmGxuTjY3JxsZkY2OysTHZ2JhsbEw2NiYbG5ONjcnGxmRjY7KxMdnYmGzsMtmYbzI8GPBTjnm9vDIHnekxq43pamO62piuNqarjelqY7ramK42pquN6WpjutqYrjamq43pamO62piuNqarjelqY7ramK42pquN6WpjutqYrjamq43pamO6Om9kaNPVxnS1MV1tTFcb09XGdLUxXW1MVxvT1cZ0tTFdbUxXG9PVxnS1MV1tTFcb09XGdLUxXW1MVxvT1cZ0tct0Ndt00ke8VeaINz1QE2OvibHXxNhrYuw1MfaaGHtNjL0mxl4TY6+JsdfE2Gti7DUx9poYe02MvSbGXhNjr4mx18TYa2LsNTH2mhh7TYy9JsZeE2OvibHXJG9kaHtNjL0mxl4TY6+JsdfE2Gti7DUx9poYe02MvSbGXhNjr4mx18TYa2LsNTH2mhh7TYy9JsZeE2OvibHXxNhr4rLXhG8vPKklFrubw+0qc7idHqepMdfUmGtqzDU15poac02NuabGXFNjrqkx19SYa2rMNTXmmhpzTY25psZcU2OuqTHX1Jhrasw1NeaaGnNNjbmmxlxTY66pMdfUmGuaNzK0uabGXFNjrqkx19SYa2rMNTXmmhpzTY25psZcU2OuqTHX1Jhrasw1NeaaGnNNjbmmxlxTY66pMdfUmGtqzDV1mWvKM9dTy21Rj/VL3Qc7VJmVY9mOP3A+dphc5szEXCBr0/s8W+962r5hw/q7et7xxby/+bIxvZmnNM3oTR3etLM/WvWcvzv7h9k/2ZhuspnWc1nBXnOuREWSCMizdJevLo998aWBfoBsAEM2ANgDSFlSts67X2QrBFv58KViT685V+N6Orhhr3lSOfzDiK1QpNvctghvk32bLxsMG/Qu8qSfuOS+xJcLhg1KG7lN4R2+QjBQkBZ30OfgkC8bjAX0RQ2bziO+TkXUuclTMObLBN0+uxrgKQVwJYNxgNbS7fECd/lSA/d029Sd8NVRglVI29dsyTL92jaNE75GMFKRJqk2iVOexCaVupeUhepn3bLK+938Xpp2q/y+6g7O758O9Beq82IRHpzTtm+chu3u8Z7JXikaKEpom+B5wCiTPBvI86Ig6wHdZyFw9vfecn5nLvdsJnad+Szvpde++eo3v/X66Wud2cfmbs5O0+nz5sVb8/6fi5+Ya7aWU8JU9ffSot/fG5ityraBuSk6MAofGHx+ZsMYimIQivf4LM29JVgSRaTzJ+kpG8ktURJqzwHAkVZpr7CijERR4jX+FJ75oSQgwUOSpj1tfT/Lo90qz2l9ouAE18HO9N1WPZaFo76CCFxb20+7RWs56JgHwKTu4/cq7wE3Klvn2/qKOlMvuFCC5lRhV9SZTDnGFGRFnSlRkSQC8uYr6vb19MT+0AzZ6sF1FTxRcy+nMxWCyyiU/Mu9nM7USFmhABSmmXM1nSlw26vpXNlgyAi9ms6VC4aMAKvpXIVgkCCllehzcMiXDcaBYKvpXJ2KqHOTp2DMlwl6fXaO7cmwuZLBMBByNZ0rNc5qOlcdJVaFtH3Nlhx1NZ2rEYxUIVbTORJ3djXd1wpl3znsBEUJ46+mC4IQ1orQmV/E1XTBgVH4wOBzMxvGUBSDsCSGT9I8q+mCKJFX0wVJqEt5AEeWuxfTBUl2YzFdEpDgIEmznrbF9OXZGJXnrBNRcILnYCf63sV0STjqG4jAtS2mt1u0loOOu5ieOXKyvG9vs08HZZYlZX/XFtPZesF1EjSlCrmYzmbKMaYAi+lsiYokEZDX1p6e2tvT2QDgygqeqrnW09kKwYUUSgbmWk9na6SsUQAKB8omb8SWt93VdL5sMGaEXU3nywVjxsar6XyFYJQg5ZXoc3DIlw0GgkCr6Xydiqhzk6dgzJcJ+nx2ku1MsfmSwSAQbjWdLzXGajpfHSVShbR9zZYccTWdrxGMVJuvpvMk7uxqeuZcTc/7GQ0UJYy9mi4KQlgsQqd+0VbTRQdG4QODT85sGENRDMKaGD5Fc66mi6JEXU0XJaGu5SEcSWonGYmS7MJquiwgwUGSZj3+1XTNNF97XfzGBn4oC07wHOxE37OaLgtHfQMROP9qOmLRWg467mp67szJlINPlWmqkt1bTWfqXfcaO7WazmTKMaYgq+lMiYokEZDnWUpPrXcwDdnawUUVPEtzL6QzFYJrKJTky72QztRIWZ4AFOZJz2rmEVvgtpfSubLBgBF6KZ0rFwwYAZbSuQrBEEFKKtHn4JAvG4wCwZbSuToVUecmT8GYLxP0+uwM25NfcyWDYSDkUjpXapyldK46SqwKafuaLTnq</t>
  </si>
  <si>
    <t>UjpXIxipQiylcyTu7FJ67llKd3Tgu0BRwvhL6YIghJUidN4XcSldcGAUPjD4zMyGMRTFICyI4ZM0z1K6IErkpXRBEupCHsBRpL2BDWQkCrIbK+mSgAT/SJr0tK2kD5brrgPPSrokOMFxsPN870q6JBz1BUTg2lbS2y1ay0HHXUlXzpTM0Xe/4MvX+ba+ks7UCy6ToBlV2JV0JlOOMQVZSWdKVCSJgLxktYx+ZRFd2WQP2bLB5RQ8P3MvojMVgqsnlLTLvYjO1EhZmAAUpsp+09uILXDbi+hc2WCsCL2IzpULxooAi+hchWB0IOWT6HNwyJcNBoBgi+hcnYqoc5OnYMyXCXp9dnLtSa25ksEwEHIRnSs1ziI6Vx0lVoW0fc2WHHURnasRjFQhFtE5End2EV25F9ETV+O9AxQljL6ILglCWCRCp3zxFtElB0bhA4NPymwYQ1EMwloYPklzL6JLosRdRJckoa7hARzZwNU4JQmyE4voooAE/0ia9LQsoifJYsl1/hsb+KEsOMFxsPN83yK6KBz1BUTgWhbRAYvWctBxF9ELZ0qWOfiqpByk2c61o3P1gsskaEYVdBGdy5RjTCEW0bkSFUkiIM9/uIt54Ds63X0y+9RksBffmX06e9i59e3X//35a53j1775jfPXz//mW52T5+50in5SdZ6ZfdCY6Ul39seFvZqE96udrrGYToWNUfWvb3eu/MTZxzo5fntl+Y7+9z+bPe40Zn9oft7sI63jHf07/TcuvmOeiCda60P9I8xj8klHf/iy+Wn6j81Pefys+f53ra53yB5+cFkIzzOdxQCuQnAViJI+OosBXI2UBRZAYdXLbPpGbH1brgWwZYMhL3AtgC0XDHmb1wLYCsEgR0qL0efgkC8bjGOhagFsnYqoc5OnYMyXCTp99hzBM0PgSgajQMBaAFtqlFoAWx0lVIW0fc2WHLMWwNYIRqoAtQCWxJ2tBRSeWoCigaKE8WsBgiDrAd1nIXDmGrEWIDgwCh8YfG5pwxiKYhCW9PA5mqcWIIgSuRYgSEJdikQ4sl5lJRmJkuxGMUASkOAgSbOetmKAWi4du69NlQUneA52ou8tBkjCUd9ABK6tGNBu0VoOOm4xYODMyVw7BuZ8O9dRz9ULrpOgKVXYYgCTKceYghQDmBIVSSIgz18MKCylgNlH+g+PL747T4CbDHdtab9+5cz4ks4zFz+YPTLr9TtZD2BaAFwawnNNdz2AqRBcCaKkkO56AFMjZZEFUFj1cpu+EVvftusBXNlg1AtdD+DKBaNegHoAVyEY50iZMfocHPJlg6EsWD2Aq1MRdW7yFIz5MkGnz54meCYJXMlgFAhZD+BKjVMP4KqjhKqQtq/ZkqPWA7gawUgVoh7Akbiz9YCBpx7g2gThAEUJ49cDBEEIy13o5DViPUBwYBQ+MPj00oYxFMUgrOrhczRPPUAQJXI9QJCEuhqJcOT2Ja2RKMhulAMkAQn+kTTpaSsHVMvFY/fFr7LgBMfBzvO95QBJOOoLiMC1lQPaLVrLQcctB1h3KT2Xp30rXdbPs2xQ5MU63baLAVy94CIJmk8FLQZwmXKMKUQxgCtRkSQy5Q3Z8sBFEzwLc66UcxWCaySU5Mq5Us7VSFl+ABRa1Y3Y6kTWya8FltGLw5OT8ckitNTTw2cO8zT5qnn3jXQTXg761ghzm08GRozAS+lsuWDMoCyl3zCjtz8f9JcW42xTfYevGowcITJNA7M38mAc8jHAYEFfbl9oN7L3rhrCRXHEp1BECvg5MiO7vxJ2bVmeLRiMMHC6DjieGnQ8x3wqMCoRV+5Vopwr92ypgVfubxxfOpy7njf1hK+YEk5Zj8xy+tPibGo2gszq/nVHszSAi2DCJwBDK2nt/4YZ0f2VqGtVAJbYna0ClPYpnJ5y2jfbOzFRvug1AEkQwhoXOmeNVwOQHBiFD8zGs0pBDMJSHj77dNcAJFHi1gAkSahLkACHazIrSLETBQBRQIJzDDEtW03OlkfJpJ7DgUTBCV4DnlHgVj2WhaO+fQhcSwEAsGgtBx23AFDZ6HQ2lnrpBut0Wy8AMPWCyzhoMhW2AMBkyjGmIAUApkRFksiUN2TLA5dn8BTMXQBgKgSXWiiZlbsAwNRIWbEAFLpyJqa6LRYAsuU6XOovAHDJwIgRugDAlQvGDGoBIL0sAKSeAgBXNRg5QmSaBmZv5ME45GOAwWKTAkC6d9UQngIAl0IRKeDnyIzs/krY9QIAVzAYYeB0HXA8Neh4jvlUYFQKWQDgShUoAKSXBQDnm3rCV0wJp6xHZjX98Tubmo0gXQBI964awFMA4BKAoZVcAEj3V6KuFwA4Yne2AFA5CwAZDRPli18AEAQhrHGhc9aIBQDBgVH4wGw8qxTEICzl4bNPTwFAECVyAUCQhLoECXC4JrOCFLtRAJAEJDjHENOy1eQsWy4XZ54JmiQ4wWvAMwrcqseycNS3D4FrKwC0W7SWg45bAEisNtXpWO7FK9fxtl4BYOpddxo7VQFgMuUYU5AKAFOiIklkyhuy5YHrM3gO5q4AMBWCay2U1MpdAWBqpCxZAApdSRNT3RYrAGq5EJf7KwBcMjBkhK4AcOWCMYNaAcgvKwC5pwLAVQ1GjhCppoHZG3kwDvkYYLDYpAKQ7101hKcCwKVQRAr4OTIju78Sdr0CwBUMRhg4XwccTw06nmM+FRiVQlYAuFIFKgD5ZQXA+aae8BVTwinrkVnNf/zOpmYjSFcA8r2rBvBUALgEYGglVwDy/ZWo6xUAjtidrQDoDMJVAlA0ThQwfglAEISwyoVOWiOWAAQHRuEDs/G0UhCDsJiHTz89JQBBlMglAEES6iIkwOGazQpS7EYJQBKQ4BxDzMtWs7PlCfKp504AUXCC14CnFLhVj2XhqG8fAtdWAmi3aC0HHbkE4ErHCi9etY639RIAUy+4kINmU2FLAEymHGMKUgJgSlQkiYA8/5UA5vxRG8CQDQAu4eBZmrtIwFQILsdQki93kYCpkbKqgSisHP5hxFa4xULBYLleV/gLBVwyMLCELhRw5YKRhVooKC4LBYWnUMBVDcaXEAmpgdkbeTAO+RhgSNmkUFDsXTWEp1DApVBECvg5MiO7vxJ2vVDAFQxGGTirBxxPDTqeYz4VGJlCFgq4UgUKBcVlocD5pp7wFVNCKuuRWc2S/M6mZiNIFwqKvasG8BQKuARgaCUXCor9lajrhQKO2N0tFCTOQoH9ZgQnJwoYv1AgCEJYC0OnthELBYIDo/CBwSefNoyhKMZ6YuDBwKegnkKBIErkQoEgCXWpEuBIq7RXWFFGoii7US2QBCR4yBCTs9UUbbBcWx54pmmS4ATXAc8rcKsey8JRX0EEzmvRY8SitRx05GqBdY1S52SlD0/11/G2Xi1g6gVXc9CUKmy1gMmUY0xBqgVMiYokEZA3rxbYawWOiceQrR5cxMHzNHepgKkQXJChpF/uUgFTI2VdA1CYZs5KAVPgFisF1XLBrvRXCrhkYFAJXSngygWjCrVSUF5WCkpPpYCrGowtIZJRA7M38mAc8jHAcLJJpaDcu2oIT6WAS6GIFPBzZEZ2fyXseqWAKxgMMnBGDzieGnQ8x3wqMDCFrBRwpQpUCsrLSoHzTT3hK6ZEVNYjs5oh+Z1NzUaQrhSUe1cN4KkUcAnA0EquFJT7K1HXKwUcsbtbKUidlYKKxokCxq8UCIIQ1sHQaW3ESoHgwCh8YPCJpw1jKIpBWO7DZ6CeSoEgSuRKgSAJdZkS4Mhyd6FAkGQ3CgWSgAQHGWJutpqhLW+iTT13C4uCEzwHPK3ArXosC0d9AxG4tkJBu0VrOejIhYLMhvdcnvW9eMk63rYLBVy94GIOmlEFLRRwmXKMKUShgCtRkSQC8tq2FaSObQVcAHAZB8/UnLUCrkJwSYaSgDlrBVyNlJUNQOFA2eSN2PK2VynIlteAZv77h9lkYFQJXClgywXDCrFSkF3eP5x57h9mqwaDS4hs1MDsjTwYh3wMMJ5sUCnILu8fzlruH2ZTKCIF/ByZkd1fCbtWKWALBkMMnNIDjqcGHc8xnwoMSwErBWyp4SsF2eX9w+439YSvmBJPWY/McorU4mxqNoJwpSC7vH/Y72gmfAIwtFIrBZm5f9juZKY8sbtbKXD0fOhpaULjRAGjVwokQQgLYei8Nl6lQHJgFD4w+MzThjEUxSCs9+HzT3elQBIlbqVAkoS6TolwJKmdZCRKshOVAlFAgoMMMTdbzdCWV9ZmnkuIRcEJngOeVuBWPZaFo76BCFxLpQCwaC0HHblSkNvwdEqWevHSdbytVwqYesHFHDSjClspYDLlGFOQSgFToiJJBOR5ygT2PqwhWzu4goMnae4iAVMhuBpDyb3cRQKmRsqiBqAwT3pWM4/YArdYJlheFpr5bylmk4EhJXSZgCsXjCnUMsHlLcWZ55ZitmowsoRIRQ3M3siDccjHAIPJJmWCy1uKs5ZbitkUikgBP0dmZPdXwq6XCbiCwSAD5/OA46lBx3PMpwIDU8gyAVeqQJng8pZi95t6wldMiaisR2Y1P/I7m5qNIF0muLyl2O9oJnwCMLSSywTmlmK7k5nyxO5umSB3lgkyGicKGL9MIAhCWAVDJ7URywSCA6PwgcGnnTaMoSgGYbEPn4F6ygSCKJHLBIIk1EVKgKNIewMbyEgUZDeqBJKABP8YYmq2mqAt77XNPDcVi4ITHAc8q8CteiwLR30BEbi2KkG7RWs56MhVAqtP1RlZ7sXL1vG2XiVg6l13GjtVJWAy5RhTkCoBU6IiSQTkJasSwZUCgfXpHrJlg2s3eHrmLhAwFYLrMJSsy10gYGqkLGcAClPtGmwCR2yBWywQLO8SzfyXGLPJwGgSukDAlQuGE2qB4PIS48xziTFbNRhUQmShBmZv5ME45GOAcWSTAsHlJcZZyyXGbApFpICfIzOy+yth1wsEXMFgkIFTecDx1KDjOeZTgYEpZIGAK1WgQHB5ibH7TT3hK6ZEVNYjs5oa+Z1NzUaQLhBcXmLsdzQTPgEYWskFAnOJsd3JTHlid7dA4Jje6emoonGigPELBIIghAUwdD4bsUAgODAKHxh8xmnDGIpiENb58Bmop0AgiBK5QCBIQl2fBDiygbPjTRBkNwoEkoAE/xhiaraaoC1vvc089xiLghMcBzyrwK16LAtHfQERuLYCQbtFaznoyAWCwoanM7LCi5ev4229QMDUC67loAlV2AIBkynHmIIUCJgSFUkiIM9/4JB53js6230y+9QksBffmX06e9i59e3X//35a53j1775jfPXz//mW52T5+50in5SdZ6ZfdCY6Ul39seFvZp896udrrGYzoSNUfWvb3eu/MTZxzo3fntl+Y7+9z+bPe40Zn9oft7sI63jHf07/TcuvmOeiCda60P9I8xj8klHf/iy+Wn6j81Pefys+f53rZ53yB5+cA0KTzPdhQ6mQnA9iZI9ugsdTI2UZRlAYdXLbPpGbH1brHMsr0LN/Hcws8nAoBi6zsGVC0ZFap3j8g7mzHMHM1s1GBtDJNMGZm/kwTjkY4DhcJM6x+UdzFnLHcxsCkWkgJ8jM7L7K2HX6xxcwWCMgWckgOOpQcdzzKcC41LIOgdXqkCd4/IOZvebesJXTAmorEdmNcPzO5uajSBd57i8g9nvaCZ8AjC0kusc5g5mu5OZ8sTubp2jcNY5vNcZXudEAePXOQRBCOt46LQ8Yp1DcGAUPjD4xNmGMRTFWE8MPBj4BNRT5xBEiVznECShLrMiHFmvspKMREl2o9AhCUhwkCHmZqsZ2vLC3sxzBbMoOMFzwNMK3KrHsnDUNxCB81r0GLFoLQcdudBh3ZSlUzL/pV5qHW/rhQ6mXnAxB82owhY6mEw5xhSk0MGUqEgSAXn+QkdhKXPMPtJ/eHzx3Xn+2yS4a2WL+pUz40o6z1z8YPbI1CJ2stbBtAC4DoWnmu5aB1MhuKZEySDdtQ6mRsrSDKCw6uU2fSO2vi3WOpaXuWb+W6TZZGBcDF3r4MoFAyO11nF5i3TmuUWarRoMjyHyaQOzN/JgHPIxwIi4Sa3j8hbprOUWaTaFIlLAz5EZ2f2VsOu1Dq5gMMbAkxLA8dSg4znmU4FxKWStgytVoNZxeYu0+0094SumBFTWI7Oa5PmdTc1GkK51XN4i7Xc0Ez4BGFrJtQ5zi7TdyUx5Yne31jFw1joqGicKGL/WIQhCWMpDZ+YRax2CA6PwgcHnzjaMoSgGYcUSn4B6ah2CKJFrHYIk1JVWhMNx9t1IFGQ3Sh2SgAT/GGJqtpqgLa8czjyXSIuCExwHPKvArXosC0d9ARG4tlJHu0VrOejIpQ5r5vlcnve9eMU63rZLHVy94FoOmlAFLXVwmXKMKUSpgytRkSQy5Q3Z8sA1GjwNc9YBuArB9RZKduWsA3A1UpYtAIVWdSO2uu1VAfLlRa25/4ZoNhkYMgJXAdhywZhBrALklzdE554botmqwcgRItU0MHsjD8YhHwMMFhtUAfLLG6Lzlhui2RSKSAE/R2Zk91fCrlUB2ILBCAPn64DjqUHHc8ynAqNSwCoAW2r4KkB+eUO0+0094SumhFPWI7Oc/7Q4m5qNIFwFyC9viPY7mgmfAAyt1CpAbm6ItjuZKU/s7lYBSlcVIPfftniNEwWMXgWQBCGscqGT1nhVAMmBUfjAbDytFMQgLObh0093FUASJW4VQJKEuggJcLhms4IUO1ECEAUkOMcQ87LV7Gx5l3DuuR1aFJzgNeApBW7VY1k46tuHwLWUAACL1nLQ+n9/fTDPWb7mS84ClwKq3tdtoDoxy6ygaZmUg2rQL9dBoxUDrIuqz7P1gks6aF5FLwa8N/vF7L/bmG6ymXKMKUgxgClRkSQC8nz7Hv7NC+Z4p5+bfQ9zW8werYxz8WOT/747e+/Zzuy3sw90lvvo4of6vzfnmxgez/7YmX1kfszFd5q///DijWbHwxeNXT+aPdFW1X/pycV3zQaHi7cPOrMPOxdvm50Ss0/09z9e+3pHJ9Wfmk0POr3+cbNv4qc6u/6O2T3xpdkgof/w447Z7GAels7sf+pv/3z+1Fy82Zn9fw1B5xnLXoqvdhpZn138SH9xvoEi6fdNWq7RP/UxfH7x1lWNP51v5HikP/n2UptR9p1G23xIzFOs4fUP+qlGfWwebvOpL83+EP1jnjRbSt6Y7wwx/878+X+of/Bb870czVYSs1Ok+buLH2++v5lwLM3zaQNnBuCj5uf/0QyQGZf3Zz+b/WH2Gz1x+bX+3f89+01X//KO/tT72uj/qH/3s47+6i9Xu06u/AO/1F//dee5v/l2984rr56bA770kP7MaOvqH/dQ2+0L/V4a+c1fnH1gfvP0WPdsL8OQ/TKAC4N47u8uPTEVgot8lJTeXXpiaqSslQEK03TgOnCLq1Ck/HRtkuFOw7mywRwkdG2JKxdMQSi1JZvCO3yFYNJBmq+gz8EhXzaYV9DrRjadR3ydiqhzk6dgzJcJun325M0zdeNKBuMAsdjj9gJ3+VIDF3ts6k746ijBKqTta7ZkmUKOTeOErxGMVKRSjU3ilCfRaDxN8nu5upd1s9N7qptXSb9bFvfLblbcz+8nD87Ks+zBnMK5BuBZDOGvAyTOlQBFI0UR45doBEHWI7rPROBSwpUSTbNKsCi6DPr9/5gN1H9UHRvnTVFOhXPic3eN9ZX5/Gt9bqgn6k9PPa2zvtVfm8/YzawvSfv9i++lufaBL7/aHHjwsZ6IPmpOGdDz07f1jFJPkJuvPTXv/UmnmWuaie3Drv7tB03J64+LglfWmX1+7W+Y85/N3PQzreGHzb+//Lbf6n/SHFzw1mIWbCz5YfODmkn4I/1lM09/3Exz9U+6LubO/++NX2IqOi+6vrXzjBbwg/mqQjMVf7Sc0Otp8KfNWpUZ2jfMosTF9/X3vd0sU5nZe6cZpMValrHD1cUrM5bzCbExlzaU/sf0T/momSF/+NXrGm/9p7977Zv3tA2bn/iF5m+WIcyj/d7sN5201AYb0P5ap+gv/9LP9Jc+NYsP3WbNQA9tp7j4Xt7Y/339Fz9vliQemaWL92b/c/bbTn6Q6r+rzNf/pzGS1v5l585RJ+upi+/pGY/+/D9c/HR+zrd5MhanWbzZLHIYxsd6oM16y9tm3GaP5yLMs/hdM2ydv331W6/cPzef/Xljk6Z2+tRZGfMFJj2+P7G9xEPRl5hQOcDXHDz1RkEUmXqjjeOWKAe13gFQ+BYwBEmiVRzzpHQvdUgCEmI9aQbfVnFcXjuSey6SEQUn+A32pNVt1WNZOOobiMC1VRzbLVrLQcfddJRabapnF4UVb1lQHazjbb3OyNQLLvmhk4OwdUYmU44xBakzMiUqkkRA3l/qjH+pM269zsh8GcAFZzznd9cZmQrB9WVCKu+pMzI1UpZuAYW+NJ2pUKTOeC2XsW5zW96vkfsv9mGTgUlK6FIkVy6YpVBKkWab2+XFPrnnYh+2ajBXCTG5MTB7Iw/GIR8DTE/o5crL3SeXF/vkLRf7sCkUkQJ+jszI7q+EXS9rcgWDUQaeIQKOpwYdzzGfCoxMxMqnd5sbV2rgyqfZ5nZ5sY/7TT3hK6aEVNYjs5px+51NzUaQqY5edzRLA3i2uXEJwNBKqp2abW7mYh+7k5nyxO5sFTXtO7e5+Q/Jv8aJAsavoQqCENZV0WUSfg1VkFPhnPi6xF9qqH+pof6lhrq2TiL4Eq9nuZ6XGF9P8dRQBVGi1lAFOagVHIDCtzgjSLIbNVRJQEKsD7HMsFpsWN5olHvuqBIFJ/gNeIaMW/VYFo76BiJwXoseIxat5aDNrk1DvphymylGxN2bqbtns7ICp2VSFYOs2lZV1XEMyPNsveBKJTpdMEUZk9Et7zF6otOyL+ZlPJMVfqA/scih35n9fFFXvXqZ0uq6o/kXP+ykJlfVuc7F2zbym2zyHCMPUntlSlQkiYA8/91WqeVuq1vffv3fn79mKm/fOH/9/G++1Tl57o7OeNOk84y25mfNFELPMMwUZJ6U7+TVVlwDgCuxeH7qrvcxFYKrqoS001PvY2qkLE4CCtOBdS1sxNYnUu1D95Pc5ssGYyO9lJenrvTnJb5aMDJSKnk2hXf4CsFYSEqn0cfgkC8bDGT0Kp1N5xFfpyLq3OQpGPNlgj6fPbfwbCrkSgaDAK205nYCd/lKA1fWbOpO+OoogSqk6Wu2ZJmqmU3jhK8RjFOkuphN4pQnsUn0HpT94sH9fvdB2n/Qze8VVbe8X1Xde+fneb/IHpz288VL5pyZeqbq/Nmpc36q7McoOUlRxOj1MEkQwhoZOsH9ZbNI/8ViYtNMWN8yFZSmsvOGnpA8fcRjUyCa9zm+q//7zdfnk9o7x12VdGY/sw3ITdEBUfiA4JNKG8ZQFIOwBEiYmn06+8iG8qIoikjpoN8zydZ1lFuiKNS1SwAkT1zXGEuCRCselGWvdEwKRfkIfpE02WmpHajl+YDKc+KjKDjBcbDze6dRj2XZqK8fwtZSOgAMWstBN4mbKpXK+g/ud/v3z1U3T6u0e3Zv0O+WD8rzs/tFeX7vVL28hcQtdSZuGXU4MMT4iZsgCMFBoYnbO08vP3/YNOM069Yfm8aexXaY7+g8br7ZxqxYT175m7/59muv/O3pIm0zK99Vv5/N/3R8Mn6xM5yejDv2jXk3RQdI4QO0cSIniEHwx0ESOUEUoUTO2jtxS5SEGkgAjjLtWa/MG4mCRMvjkjQpespalbgtS0hwlEEzuWwZ+DNPJicJTvAc7Ewur1SvcqVyknDUNxCBa0vl2i1ay0FH3knvTs6UB9BsHFgD3HbXB1cvWOlCc6stdH1wyXOMPETXB1eiIkkE5Pm7PjK06yPpJ6rzjP6OD5td95/NO4gbK82PTlj0ecw7Mi5+EqQJJGQXCNcgYEWQkKG6ukC4CsECIJ54erpAuBopxTVAYZrm9kttRmyFW+4DYcsGo2XYPhC2WjBWbt4HwlYIRkdSQo0+Bod82WBoC9UHwtapiDo3eQrGfJmg12fPLtx9IGzJYBgI1wfCVhqlD4StjhKqQpq+ZkuO2QfC1gjGqQB9ICyJu1tOSD19IPaNGU5SFDF+OUEQhLBKhk55t1BOEBwghQ8QPu20YQxFMQiLgoTJmrucIIgSuZwgSEJdzAQ4ikEvUzaSkSjJjtQTJAkJnpI0/WmrJyz3ICrPrlJRcILrYGf83nqCJBz1FUTg2uoJ7Rat5aB3uKc39bSG+LqXrcOBIcbP5QRBCB4KzeUi9PQKDojCB2Tj3E0Qg+CAg+RugihCuZuzp1cQhRo5AJAs6xUDK8pIFCVa9ubr6pXkI3jGoLlbtYz0lSd3kwQnuA527ubr6pVko76ACFtb6tZu0FoOOnIrSOZKxgpf27I5K2UNcNutIFy9YLELzaW20ArCJc8x8hCtIFyJiiQRkOdvBSnRVpCi31fPXD3yozmp7+J7QZo+AvZ8cEcerP4RUlFXzwdXIVjswzNMT88HVyOlkIYotIfgEVvfljs+2LLBoBi244OtFgyJm3d8sBWCQZCUNqOPwSFfNhjBQnV8sHUqos5NnoIxXybo89lzCHfHB1syGATCdXywlUbp+GCrowSqkKav2ZJjdnywNYJxKkDHB0vi7lYJMnfHR5HRSFHE6FUCSRDCWhg6s5WvEkgOiMIHBJ9N2jCGohiEpT7C1MxZJZBEiVwlkEShLlICIOnAhjESxdiFCoEoH8ErkqY6LRWCYrm3sPDsFhUFJ7gNdnbvqRCIslFfPoStpUIAGLSWg97hRt3M3dxRKOpwYIjx0zZBEIKDQtO2+I26kgOk8AHaOI0TxCD44yBpnCCKUBqX2UhuiZJQAwnAoXIbxkgUI1oW5+3SFSUkuMmgeZxahn3lyeMkwQl+g53H+bp0ReGo7x8C15bItVu0loOO3OqRO1OzgRewXAfceqsHUy9Y5UIzq220ejDJc4w8SKsHU6IiSQTk+Vs9EvTYD9VP884zs49m5prBt4xVd+96F+6YgwU/QgrqbPJgKgTre3hm6WvyYGqk1M4QhWmpXFcGciVuu8+DKxuMiIH7PLhqwXgYoM+DqxCMgKSkGX0MDvmywfAVrM+Dq1MRdW7yFIz5MkG3z55BePo8uJLBOBCwz4OrNE6fB1cdJVaFNH3Nlhy1z4OrEYxTIfo8OBJ3t2CQe/o8/DssrpGiiPELBoIghJUwdFq7hYKB4AApfIDwqaUNYyiKQVj4I8zW3AUDQZTIBQNBEuqCJcCR6bnfYmvZ9cmfIMqOFA0kCQmukjT/aSsaLHcTFp7toaLgBN/BTvm9RQNJOOo7iMC1FQ3aLVrLQe9w027u7v4Y+NuTLcOBIUZP5iRBCB4KTebkm3YlB0ThA7Jp8iaJQXDAIZI3SRSh5M3VtCuJQo0cAEhSpb1BZWUZibJES988nbuifATXGDJ5GywveBt4buwTBSf4Dnby5uncFWWjvoEIW0vuBhi0loOO3PChnNlY5gWs1gG33fDB1QuWu9BkagsNH1zyHCMP0fDBlahIEgF5LQ0fCmz4SPpJ2nnGNGyYEz2aRc4nXf3THulM+U2TJ+9a9wfXAGAZkJCSuro/uArBqh+eaXq6P7gaKRU1RGHfeeUzV+GWmz/YssHoGLb5g60WjI2bN3+wFYLRkJQ/o4/BIV82GMpCNX+wdSqizk2egjFfJuj12ZMJd/MHWzIYBsI1f7CVRmn+YKujhKqQpq/ZkmM2f7A1gnEqQPMHS+Lu1guUu/ljcUAuTIoixq8XCIIQFsXQKW6EeoHggCh8QPBppQ1jKIpBWPMjTM7c9QJBlNj1AkEU6molAJKoXmpd8hqJkuxEtUCSj+AYSbOdtmrBcjfhwLM/VBSc4DnYCb6vWiDJRn3/ELa2akG7QWs56B1u21WeTo8BdTgwxPiZmyAIwUGhmVv8tl3JAVL4AG2cyQliEPxxkExOEEUok8tsJLdESaiBBODI+r3cWvsYiZJES+S8XbuihARPGTSVW17fNvBcyCcKTnAd7FTO17UrCkd9BRG4tlyu3aK1HHTkzo/CmZ1525JVfx1w650fTL1grQtNrrbR+cEkzzHyIJ0fTImKJBGQ19L5oR8zrPXDpL9p5xn9HTpbNsnzB03Xxy72fDCHHqz+EZJRZ88HUyFY7MNzTF/PB1MjpZAGKDSnndsEjtgCt93ywZUNhsXALR9ctWBQDNDywVUIhkFS5ow+Bod82WAMC9bywdWpiDo3eQrGfJmg02dPIzwtH1zJYBQI2PLBVRqn5YOrjhKpQpq+ZkuO2vLB1QjGqRAtHxyJu1s4KNwtH6V318V1UhQxeuFAEoSwHIbObeMXDiQHSOEDhM8vbRhDUQzC6h9hruYsHEiixC0cSJJQVy0BjqJXWUFGoiC7UTcQJSQ4StLsp6VuUC73F5aeDaOi4ATPwU74fXUDUTjqG4jAtdQNAIvWctA73L1buHtAyow6HBhi/FROEITgodBUTr57V3JAFD4gG6dughgEBxwkdRNEEUrdXN27kijUyAGAZL3l1RDXkzdBkmjJm6d7V5SP4BiDpm7LS91Kzy19ouAEz8FO3Tzdu6Js1PcPYWvL3NoNWstBR+74GDhzMeUFTNYBt93xwdULlrrQVGoLHR9c8hwjD9HxwZWoSBIBeS0dH2jDR9LPzOUuTedFY60mPZY474PX/NGzmWHINgNYCCSkpa7uD65CsO6HZ5ue7g+uRkpNDVFY9pRN4IgtcMvdH2zZYIgM2/3BVgsGyM27P9gKwZBISqLRx+CQLxuMZ6G6P9g6FVHnJk/BmC8TdPrsGYW7+4MtGYwC4bo/2EqjdH+w1VEiVUjT12zJMbs/2BrBOBWg+4MlcXdLBgNP94d358V1UhQxfslAEISwMobOcyOUDAQHROEDgs8tbRhDUQzCwh9hbuYuGQiixC4ZCKJQlywBkLQ3GFhJRqIkO1EykOQjOEbSbKetZLDcU1h6domKghM8BzvB95UMJNmo7x/C1lYyaDdoLQe9w327A0+zh79D2TIcGGL8zE0QhOCg0MxtC327ggOk8AHaOJMTxCD44yCZnCCKUCaX2UhuiZJQAwnAoXpK2UBGoiDR8jh/364kIcFRBs3klne6lZ5b+kTBCZ6Dncl5+3Yl4ahvIALXlsq1W7SWg47c/VG6krPK35icrgNuu/uDqxcsdaG51Ra6P7jkOUYeovuDK1GRJALyXnxJ9ZKDTtLNTP/HQWf2j3pkP7v4qRn0xgbf1zmw6cjozL7Uf36kc+IPm3aLx083ecwbLy6NZj5x8d0mX35oG4AhewDAEhwhI3T1XXAVghU3PNHz9F1wNVKqWYDCVGWuxguuwi03XrBlg9EpbOMFWy0YmzZvvGArBKMRKYFFH4NDvmwwlIRqvGDrVESdmzwFY75M0Ouzs3l34wVbMhgGwjVesJVGabxgq6OEqpCmr9mSYzZesDWCcSpA4wVL4u4u35fuxovF/nOYFEWMvnwvCUJYlUKnmPGX7yUHSOEDhE/zbBhDUQzCIhxhsuZcvpdEibt8L0lCXTwEOAZFr69sJCNRkt1YvxclJHhK0vSnZf2+Wu71qzybN0XBCa6DnfH71u9F4aivIALXsn4PWLSWg97hJtrS3YpRKepwYIjxczlBEIKHQnM5+SZayQFR+IBsnLsJYhAccJDcTRBFKHdzNdFKolAjBwCSlb1+akUZiaJEy948XbSifATPGDR3W96yVnmuzRMFJ7gOdu7m6aIVZaO+gAhbW+rWbtBaDjpy60Vlw9OpWGHFy/p5lg2KQq3jbb3xgqkXLHWhmdQ2Gi+Y5DlGHqTxgilRkSQC8vzHbqTgqRudop8mnWe0NT9rejOadc8/msYMY7hgR26wTtywGWDINgBYAiTko87GD6ZCsOKHp5m+xg+mRko1DVCYDqwLYyO2PpG2j2sxdvTi8ORkfLKIsvX08BmdFQ0O9Ifyq8bXGf0m3B70rRH3Nh8PjKCB20O4asEISmkPuWEGb38+8C8thtmm+g5fNRhHQ+TdBmZv5ME45GOAQZHeQrLQbmTvXTWEi+KIT6GIFPBzZEZ2fyVsTfCYLxiMM/DkBXA+tXE+Neh8jvloYICitaQUeepuSeEqDdyScuP40unc9bytJ3zFlMDKemxWM0K/w6nZCDJtK9edzdIALoIJnwCMrqSmlhtmRPdXotbETnlid7ckUtlntXoWbt+q6+REAeMXRARBCMt+6DQ+QkFEcEAUPiD41NmGMRTFWE8KPBiECai7ICKIErsgIohCXY8FQPKkl9tARqIgO1EOkeQj+MUQ07LV5Gx5BkXlOVREFJzgOOAZBWzUY1k26uuHsHkNeowYtJaD3uGu5KpnXczUaVtJHQwMMH7aJghCcE9o2raFnmTBAVL4AG2cxgliELxxkDROEEUojctsJLdESahhBOAo015pAxmJgkTL4vwtyZKEBEcZNI8rl2G/9ORxkuAEz8HO47wtyZJw1DcQgWtL5NotWstBx+1ryaw21amZ/cSUJV6xjrf1vhamXrAeh2ZW2+hrYZLnGHmQvhamREWSCMjz97VkaF9L0k9U5xn9HWaZ882m++TthZWavpNlJ8u85+TiJ0HaXIL2uTANAtYfCfmps8+FqRAsI+Jpp6/PhamRUo4DFKZp7jzghKlwa50uqt8/0B+SZbG58ne6cPHAmBq404WrFoyp1E6X6rLTxXl02h2+ajCyhkjFDczeyINxyMcAw+QmnS7V3lVDeDpduBSKSAE/R2Zk91fC1gSP+YLBSAPPZwDnUxvnU4PO55iPBoaogJ0uXKUCnS7VZaeL82094SumhFbWY7OaI/odTs1GkO50qfauGsDT6cIlAKMrudOl2l+JWhM75Ynd2ZJJ1nd0uqjFOw5zooCxSyaiIISVQHRiH71kIjpACh8gfHJtwxiKYhAWPglTUlfJRBQlaslElGQ9BHtI0BluMehlykYyEiXZiZqJLCHBU4aYqC2maybRblbYF7+xgR/KghNcBzzHINRMZOGoryAC56+ZIBat5aB3t2dZZ3L25hc9z6QOBgYYP5MTBCH4JzSTE+9ZFh0QhQ/IxpmbIAbB/QbJ3ARRhDI3R8+yKAo1bgAgWdYrHFchiqJEy93cXcuyfATPGDRzS5ZxPvFkbpLgBNfBztzcXcuybNQXEGFrS9zaDVrLQUdudnEtqqVevME63pabXdh6wZIcmknFb3Zhk+cYeYBmF7ZERZIIyPM3u5Ros0vR76tnrh7b0pl9rk30vSBtLeG6WtgjD9YaCYmoo6uFrRAsGeL5pburha2RUnpDFNoD8Iitb4s9LZnpacnnZWWt39fTwscDQ2fQnha+WjB00npatJxlT8timG2q7/BVgwE0RMJtYPZGHoxDPgYYDfk9LUb7VUM4e1r4FIpIAT9HZmT3V8LWBI/5gsE4A89aAOdTG+dTg87nmI8GBqhgPS18pcF7Wi6dzl3P23rCV0wJrKzHZjUV9Ducmo0g29Ny6WyWBnD2tPAJwOhK7Gkxz85K1JrYKU/s7lZCEmdPS0bjRAHjV0IEQQjrfej8PUIlRHBAFD4g+JzZhjEUxSAsZxImoO5KiCBK7EqIIAp1IRYASQc2jJEoxk5UQST5CF4xxKRsNTXLlovm7muIZMEJbgOeT8BGPZZlo758CFtbFaTdoLUc9A43IifO9pWcOhgYYPykTRCE4J7QpG0LjciCA6TwAdo4iRPEIHjjIEmcIIpQEpfZSG6JklDDCMChchvGSBQjWg7n70KWJCS4yaBZXL4M+rkni5MEJ/gNdhbn7UKWhKO+fwhcWxrXbtFaDjpyM4srMVNevHIdb+vNLEy9YC0Ozau20czCJM8x8iDNLEyJiiQRkOdvZknQo1tUP807z8w+0t/62cVbxqo7dwkRe8zB8iIhAXW2sTAVglVCPK/0tbEwNVKqbYjCtFT25HfElrjFTpbCdLIMlsVk5e9k4eKBcTNwJwtXLRg3qZ0s6rKTxXm74h2+ajB6hki3DczeyINxyMcAQ+EmnSxq76ohPJ0sXApFpICfIzOy+ytha4LHfMFgqIHnLIDzqY3zqUHnc8xHA2NUwE4WrlKBThZ12cnifFtP+IopsZX12KzmgX6HU7MRpDtZ1N5VA3g6WbgEYHQld7Ko/ZWoNbFTntjdLYqkzk6WgsaJAsYvigiCEFb70Mn7FooiggOk8AHCJ9A2jKEoBmFxkzAndRdFBFEiF0UESaiLsgBHpme4qrKhjERRdqQwIklIcJUhZmqr+VqxXEZ33x0rC07wHfAkg1QYkYSjvoMIXFthpN2itRz0Djclp87+lgF1MDDA+KmcIAjBP6GpXISmZMEBUfiAbJy6CWIQ3G+Q1E0QRSh1czYlC6JQ4wYAklRpb1BZWUaiLNGSN19nsiQfwTUGTd0Gy0DvvlVSFpzgO9ipm68zWZKN+gYibG2ZW7tBaznoyC0t1gmxzsX8dy1V63hbb2lh6gWLcmgqtY2WFiZ5jpEHaWlhSlQkiYC8lpYWBba0JP0k7TxjWlLMqSzNAueTrv5pj3Se/KbJkneuv4VpALDoSEhInf0tTIVg7RDPM339LUyNlBocorDvupScrXCL7S3VwaFK+ssKc+lvb+HigTE0cHsLVy0YQ6ntLeVle4vzksU7fNVgJA2ReRuYvZEH45CPAYbFTdpbyr2rhvC0t3ApFJECfo7MyO6vhK0JHvMFg5EGnr4Azqc2zqcGnc8xHw0MUQHbW7hKBdpbysv2FufbesJXTAmtrMdmNSf0O5yajSDd3lLuXTWAp72FSwBGV3J7S7m/ErUmdsoTu7s1kczZ3lLROFHA+DURQRDCwh86kY9QExEcEIUPCD55tmEMRTEI65qEKai7JiKIErsmIohCXZEFQBLVS60OcCRKshMVEUk+gmMMMS9bzc6q5QK6+3pYWXCC54CnFLBRj2XZqO8fwtZWEWk3aC0HvcNtyZmrlyXpUwcDA4yet0mCENwTmrfFb0uWHCCFD9CmeZwkBsEbh8jjJFGE8jhrFfaWKAk1jAAcWb+XW/3hSJQkWhrn7UoWJSR4ypCJXLK8YjDxXBopCk5wHexEzteVLApHfQURuJZMDrBoLQcdubclt+Hp3Mx7tdKgv4637d4Wrl6wIoemVlvobeGS5xh5iN4WrkRFkgjIa+lt0Y8Z1txikt+084z+Dp0rm9T5g6avZQe7WrhDD9YaCamoq6uFqxAsGeIZpqerhauRUnoDFKaOEsiILXB7TS1JappaskVdOUm8TS1sPDB4hm1qYasFgyexqSVJVk0tifMyxTt81WAIDZFzG5i9kQfjkI8BxsMNmlq09quGcDe1sCkUkQJ+jszI7q+ErQke8wWDgQaeuADOpzbOpwadzzEfDYxQ4Zpa2ErDN7WsnM5dz9t6wldMiaysx2Y1GfQ7nJqNINzUsnI2SwO4m1rYBGB0pTa16GdnJWpN7JQndneLI7mrqSVJaZwoYPziiCAIYckPncFvoTgiOEAKHyB8Fm3DGIpiEFY4CTNSd3FEECVycUSQhLoyC3AUvcoKMhIF2ZHaiCQhwVGGmKetZmvpciXdc1+sKDjBc8BTDFJtRBKO+gYicG21kXaL1nLQO9ydnDu7XDLqYGCA8RM5QRCCf0ITOfnuZMkBUfiAbJy4CWIQ3G+QxE0QRShxc3UnS6JQ4wYAkvXywkoyEiWJlrp5upNF+QiOMWjitrx4MPHcJCkKTvAc7MTN050sykZ9/xC2tryt3aC1HHTknharI9KZWO7FS9bxtt7TwtQLFuTQRGobPS1M8hwjD9LTwpSoSBIBeS09LWhLS9LPzBVETW9JY60mOZY4s4XX3tKzmWHINgNYdiQkpc7+FqZCsHqI55q+/hamRkoVDlFY9pRN4IgtcIv9Lcr0txTLEnPu72/h4oGBNHB/C1ctGEip/S35ZX+L837FO3zVYDgNkX4bmL2RB+OQjwHGxk36W/K9q4bw9LdwKRSRAn6OzMjur4StCR7zBYOBBp7DAM6nNs6nBp3PMR8NjFAB+1u4SgX6W/LL/hbn23rCV0yJrKzHZjUx9Ducmo0g3d+S7101gKe/hUsARldyf0u+vxK1JnbKE7u7ZRHl7G9RNE4UMH5ZRBCEsPqHzuYjlEUEB0ThA4LPoG0YQ1EMwuImYQbqLosIosQuiwiiUJdlAZC0NxhYSUaiJDtRFpHkIzjGEPOy1exMLVfRPbfGioITPAc8pYCNeizLRn3/ELa2ski7QWs56B3uS1bOdpaCOhgYYPy8TRCE4J7QvG0LfcmCA6TwAdo4jxPEIHjjIHmcIIpQHpfZSG6JklDDCMChekrZQEaiINGyOH9fsiQhwVEGzeOW9w4mnpskRcEJnoOdx3n7kiXhqG8gAteWyLVbtJaDjtzfYn1TdWo28OKl63hb729h6gULcmhmtY3+FiZ5jpEH6W9hSlQkiYC8F19SveSgk3Qz0+Fy0Jn9ox7Zzy5+aga9scH3dQZsek46sy/1nx/pjPjDpqHk8dNtLPPWkkujmU9cfLfJlh/aBmDIHgCw4EfIB52dJUyFYN0OT/N8nSVMjZT6F6AwVZmztYSpcIutJaVpLamW1d2Bv7WEiwfGsMCtJVy1YAyjtpYMLltLnPcc3uGrBiNZiNTXwOyNPBiHfAwwLG3SWjLYu2oIT2sJl0IRKeDnyIzs/krYmuAxXzAYaeD5A+B8auN8atD5HPPRwBAVsLWEq1SgtWRw2VrifFtP+IopoZX12KzmZH6HU7MRpFtLBntXDeBpLeESgNGV3Foy2F+JWhM75Ynd3RJF4Wwt8d57dJ0TBYxfohAEIay8oRPpLZQoBAdI4QOET2ZtGENRDMJCI2FK6i5RCKJELlEIklAXSAGOQdHrKxvJSJRkR2oUkoQETxlioraarpXLFW3PFa6i4ATXAc8xSDUKSTjqK4jAtdUo2i1ay0HvcJNw4Ww2qaiDgQHGz+QEQQj+Cc3kIjQJCw6Iwgdk48xNEIPgfoNkboIoQpmbs0lYEIUaNwCQrOz1UyvKSBQlWu7m6xKW5CN4xqCZ2/ImwMRztaMoOMF1sDM3X5ewJBv1BUTY2hK3doPWctD6f399MA/zX/MlZoGbTAa9r9tAn1Op/QTmtEyqYpBV5TpotDYT60T+ebZesDiH5lSbt5mY7zA/wvzl2YdwswmXP8f4QzSbcCUqkkRAXsthKrn+02/1Vz42jSU2m3Rd1wUlRW/zk1NYB6fYRnzIHnGw5khISF3dLVyFYOkQzzM93S1cjZQSHKJw0O+VNoUjtkKR7pbrGbx9YG/zZYNBkdG1MnAVj1/iqwVDIqVrxabwDl8hGARJ6TP6GBzyZYOxi96RYtN5xNepiDo3eQrGfJmg12fPJVxPwDFfMhgGaB0kbidwl680cAeJTd0JXx0lVIU0fc2WLNMdYtM44WsE4xSp/8MmccqTaDTeG/Sz8/59PR9V5Vk3L+7f656eV+fdKj89y88fqAfJvQWFc0rqmZvzp6WJc2Ka0UhRxOjVAkkQwpoYOrN9uu9j1dHRmb1nrka9+G5n9qvZh+a3ncHVJg8b+01RdoWz41NGG8ZQFIOwukeYhzkLA5IoQoUB67N1S5SEuiwJcCjt8nIbyUiUJFpZoMrK3sA6b70tC0jwgaSJTUtdIF2ewZ16DlUXBSd4DnYu7+voEIWjvoEIXEthALBoLQe9wx0dA/3BlaUp6nBgiPGzNEEQgodCszT5ng7JAVH4gGycugliEBxwkNRNEEUodUtsJLdESaiBA+BIBr2+a0VekCRa6ubp6BDlI/jFoJnb8piw1HPumyg4wXGwMzdPR4coG/X9Q9jaErd2g9Zy0JGPC7E6Ip2IFVa8ZcNKto639T4Opt51n/En28fB5M8x/iB9HEyJiiQRkPcvp4+DOeJgRY+QhDr7OJgKwQIenlv6+jiYGinFMUShp4+DqVCkj+NacLWdUpIODvSHcnFQQFp4Tylh44GhM3C/B1ctGDop/R43zOCtTilJnaef3eGrBgNoiITbwOyNPBiHfAwwDtJ7QlYHB2jtVw3hPqWETaGIFPBzZEZ2fyVsTfCYLxiMNPCsBXA+tXE+Neh8jvloYIii9ZgM+q7jke7ylQbuMblxfOl07nre1hO+YkpoZT02q6mg3+HUbASZPpTrzmZpAPcpJWwCMLqSulRumBHdX4laEzvlid3dSojj9Es9/R7QOFHA+HUQQRDCet//v70/bZIkuc400b8Swk9kRlqIbWoLr+SHQjEqbxQqM6LCMhnhzqJQfGWXNFDVAhRn5rYIRQiAINnCnga4zL0UgCQaZMvMfLhyb2EpooBa8Bci/9Gomi+Z6aHLe47bMXMfAt30ysUz832Oqul5j26G1u89rIMIBkThAcGrZRvGuSjGrinwYBBKUPc6iCBKz+sggiTUeViAw7cOIkhyEOsgknyEcbGLsmxbnJWbaXPPNZKi4ISBA64o4Ea9kmWjPn8Im7dBr5AGbeSgD3ibceW6kiT1389iCQYG2L9tEwQhDE+obet2k7Egu8LZ93ZoghiEgbYThyaIIuTQrH3rsSgJNUMAHL5NxoIkvTk07yZjSUDCGNipRdtcMpZ6ro0TBSeMHGyL5t1kLAlHfQIRuJBHC7doIwdtbh95Zegx1qvPW0hq1zbiLLYCrzbn5HG8C9zT7pXa9bIbrl5w8Q21Uf989xOzIeHFX2xnv9odCKu5r+++3HTwyg6G1UYWs1fhF+2+h0+1z1q/QOWv2mt+N1tYfmX+kruP7z7XX/lL/eP1e1Yevvo7X979rP3RF+3rWdZbHn7dSvr2+m+9+7m2cfHD1Owo0H/vi7968W1bSN9khzTHQtrFhhiuREWSCMjzb4ipberP2erBJT+Cb3RtLuEqBFfucDvo2VzC1UhZAUMUJoXVsV6wBYrsLUHPh7/Nlw2mLPqekTQrcuemEbZcMGNRNo3YFL7DVwjmKJLNRfvBE75sMA/QN4TYdD7l61REnfv0gku+THDUZ3t+9yUhbMlgGqBt4PCMAu/ypXa8g8Om7pqvjpKrumz7hi1ZZneGTeMzvkYwU5H2X9gkPudJbKfv0zpL02QazetsFuV5mkdVGsfRIpnW9bRMinKxTg/OktFTQ/PLRuctIVlKI0URe5/AlwQhTF6hlef/55XiUVed/7suLn/RloW68tNF5nmW/ZEp9+LcHIP4pH2T50/a3zWF6JfR6hfNpgxbNN4UjYbCo4FXZDaMc1EMwsQcoTRzTulLoghN6dtv4X4sikKdUQRA0jo+K60oF6IovU3q57qpShvf27J8hGGRVOwE5vSzdD0DvPqBDfyJLDhh6GD7e2ejXsmyUR9AhC0wpQ80aCMHvdotm8/LcrbIomlSVVFeqDSaZItplNeTeTItJvNKzd4bwLc57w3Jcmo4MMT+fZsgCGGAQn3b/f2y602w9m2zqyORyNv/bNF5UzQ6Co/O3j5OEIMwGHfi4wRRhHyc68UwkijUNAKAJGV+lltRLkRRevNxRXWWu2b3JfkIw2SnPi7fpP3c4+MkwQlDB9vHORv1SpaN+gAibCEfF27QRg669XHTeq4meVZF6SSp9XerZTRVkzSqiryaz5P5PFXrqeN+fVzm9HH2812ecGCI/fs4QRDCAIX6uB+tN1ls7iv5pdmW8dndJ3e/XPu5k7t/bbdl/Hm7PcRM1LU3XBi7tvr6r+++PNF/zT/c/SBqz0R9/+6f7v5ef/73u3+xRehN0QgpPEJ7ezlBDMKA3ImXE0QR8XKJfR/+Y1ESaiZBOLJanRU2lAtRlN6sXFKc1Va+t2X5CCNlp1au2GR+z1UVouCEkYNt5ZyNeiXLRn0AEbaQlQs3aCMH3Vq5SZHGkzhbRuVyYk5NJUk0WS4XUa7m6XKyiGdqOX1vACuXO62cfdOxJxwYYv9WThCEMEChVu4Hlo22nxqH9sre2pOvLr4x+frk5OuTb0z+839+f+3xtG/7tJ21++Xa8zWPE5WXT9c/S+P4xXf1x4n+qz+3hepN0VApPFS4p3slWl/aAvRkFSBzydqXxiK3v//lwxNzJ9uLb5/pCNVJWsfx04cn2hab2c5vn7xcjDY/bH/t7jPz04erSwB/of8x/YWTLI4fZOtw6t8yU6ifvfgvbRN8fFKtflV/rm+TM3/BmS3q56JRJyQSggV17tgVJBFyoLF1VeqxKAo1AyIgaZ6f5dbjCReiLP150KzKz2plI3xblpAwyHfqQjdHgzLPYS9RcMLgwXahKldnmWtGURKO+hAicCEbGm7RRg6634uJ89hlLHPHbsSyylSeJeUu4NCHu7h6d4eN3xzu2vpMbkhzLKRdHO7iSlQkiYC8wG3H1gr+nC1/d8iXO93FVQhu6yd5QNfpLq5Gyo55QKGqszNlU3jBVjjw8S62bDBpdXy8iy0XzFn7H+9iKwSzFMnYov3gCV82mAm6Ot7F1qmIOvfpBZd8meCwz3b57uNdbMlgHujweBdbai/Hu9jqKMmqy7Zv2JL7PN7F1ghmqg6Od7EktlYqXqZzlU+jyVSpKM+meTRNsjiaqGW1rNSijOv+t5fowtF5vCtPaaQoYu9rEpIghOkqtPbcY03ib8xbWNrJ9PbnKo7r1W/8oH1lyid3vzRV47ri/PXqS5uVClvs3hSNncJjh1dwNoxzUQzCxF0XlZwgSc+z/pIo1AlHAKTI1Fns2kQsydLbrH+dK3cRKQlIGEVJtVFg0j/fHB7KPafBRMEJYwe7HHC36pUsHPUZROACk/5AizZy0Ie7jdicCHT6vJwaDgyxf58nCEIYoVCfN8A2YskIKTxCe7s5QQzCiExwc85txJIoQnbOakwfi5JQMwnAUSapneRClKQ3L+fZRSzKRxgoO7Vym/NDuedAmCg4YeBgWznPLmJRNurzh7CFnFy4QRs56MM92K+dnPNAWO7YVO0OB4bYv5MTBCEMUKiT6/lgv2R0FB6dvV2cIAZhMO7ExQmiiLg498F+SRRqGgFAqvostt81dSGK0puP8xzsF+UjDJOd+rjN4aHccxpMFJwwdLB9nOdgvygb9QFE2EI+LtygjRz04V6sqX2c8zRY7tiV7A4Hhti/jxMEIQxQqI8TvlhTMhoKj8bevk0QgzD4duLbBFGEfJvrYk1JFGraAECSvDrLXDdrSrL0Ztw8N2uK8hHGxU6N2+a4Te45QCUKThg72MbNc7OmKBv1CUTYQsYt3KCNHHTP56ecm+CUf7tftQs49Pkprt7dUeM356e2to0b0hwLaRfnp7gSFUkiIC/Znpx69dxUZu2s52zZuyO93LkprkJwvzxu/DznprgaKVvRAYW5dWHqgi1v4ENTbNlgpur40BRbLpio9j80xVYIpiaSmUX7wRO+bHD47+rQFFunIurcpxdc8mWCYz7b2bsPTbElg0mgw0NTbKkVQSqz7a/56iiZqsu2b9iS+zw0xdYIZqoODk2xJB7u1H3iPjSlUhopitj71L0kCGGKCi04hafuJaOh8GjghZgN41wUgzD9RijMnFP3kig9T91LolAnDgGQJHHdjyEJcgjz9qJ8hEGRVOoE5u3V5sSM8pyBEgUnDBxsd++Ztxdloz5+CFtg3h5o0EYO+oA3zibuI1Aqp4YDQ+zftQmCEAYo1LX1vHFWMjoKj87eLk4QgzAYd+LiBFGEXJxr46wkCjWNACDFWW3juBDl6M3EeXbNivIRxshOTdzmsIzynH4SBSeMG2wT59k1K8pGffoQtpCJCzdoIwd9wOfYE/fpJ+XfRGwJB4bYv4kTBCEMUKiJG+Acu2SEFB6hvY2cIAZhQO7EyAmiiBg55zl2SRJqJgE4lHIdY5cE6c3IeY6xi/IRxslOjdzmtIzyHH8SBSeMG2wj5znGLspGffwQtpCRCzdoIwd9uC/D0kbOefxJ+TcVW8KBIfZv5ARBCAMUauT2uHhy75dhSYZK4aHa29EJYhBGZoKjc+58FSQRMnSueyYlUagpBQDJ67PUZekESfqzdL53S4kSEsbMTk3d5iSN8hyNEgUnDB18U+du1itZOuoziNCFbF24SRs56J4PR1kHI23TaiteFudZVhZlsYs3+NEopt7dUeM3R6NeujZmSHMspJ0cjWJKVCSJgDz/q6Wsi3HnbPW7A77gCSmmQnBzPMn/OU9IMTVS9p0jCpMiswm8YAsUOSN1L/VdvHV+fX15vU5+zfMnv/1EFfFD/ZGYj9R8ZL9jRgpDYvLhw9iaEt/mg4IprutTVVy5YI6jnKp6ZKJ3umqDr67jbFP9Dl81mOm68MYG5sGFB+MJHwPMLvSTV2vtRvaD1xvCRfGUT6GIFHA/MpE93QrbEXzJFwzmHLjAAMahxoxDjRmHGjMONeA4dMWHBNMW7UyXLgcK95kurtSOz3Q9uno5/rzreXCv+Yop+ZbVg7blm3/sadgIMue+7o87mwZwETzjE4CZlnQq7JGJ6OlW1I7Y5zyxh7u2kdpL0Df0aEXjRAF7X9mQBCHM0qE195ArG5KhUnio8EL1lWh9aQvQk1WAzEvFvjTTBu3vf/nw5O7jF3/24ttnOkJ1ktZx/PThyYu/aOc1vn3y8nyd+WH7a6sXlenvmH/gF/of0184yeL4QbYOp/4tsy/8sxf/pW2Cj0+q1a/qz49XO8bNX3Bmi/q5aNQJs6kdFNiSJD0vxEii7HoHDwpcr6d5fpZbh/ILUZael2Ic+2tECQmDfBfl5qbo1OXCat5+9QMb+BNZcMLgAVdK9/aE5eosc+yUFoWjPoQIXGAlBmjRRg76gHdKO15vo01oQg0GBti/CRUEIYxPqAkdYJ+0ZIQUHiHce9owzkUxCOMxwcw590lLogi5Oesw8liUhJpHEI6sVmdWp3MhitKflyvOEmtTvS3LRxgpO3VyySbvJx4nJwlOGDnYTs40qrUAuZJloz6ACFvIyIUbtJGDPuB7C9Iz66qxNnIpNRgYYP9GThCEMDyhRq7nWwsko6Pw6Oxt4gQxCENxJyZOEEXExLlvLZBEoSYRACQp87PcinIhitKbi/NcXCDKRxgmO3Vxm8uKCs/tU6LghKGD7eI8FxeIslEfQIQt5OLCDdrIQR/wnaH6/9uCoV1cRg0GBti/ixMEIQxPqIsTvjFUMhoKj8berk0QgzD0duLaBFGEXJvrxlBJFGrSAEDSOj5zvetLEqU31+a5M1SUjzAsdurask2SzzyuTRKcMHSwXZvnzlBRNuoDiLCFXFu4QRs56J6Ps2U2PO3Dci/evVeZDX2cjat3d8z4zXG2l56NGdIcC2kXx9m4EhVJIiDPf5wtsa60nbPlg2cLCDbRud2OqRA8GIC7P895Nq5Gyv56QKGqM9dN8FyFAx5oU+YYW2E+SvNRrQ+SFLn3QBsbFExyHR9oY8sFsxzxQFuRbw+0Fc6LLt/hqwZzXRfe2MA8uPBgPOFjgPlljwNtWvvrDeE+0MamUEQKuB+ZyJ5uhe0IvuQLBpMOXGAA41BjxqHGjEONGYcacBy64kOCeavDA21sqd0faNuOP+96HtxrvmJKwmX1oG0B5x97GjaC8IG27bizaQD3gTY2AZhpqQfadN/ZitoR+5wn9nAXLzLngTZF40QB+1+8EAQhzNKhVbf04oVgNBQeDbwatWGci2IQZiAJVal78UIQpe/FC0EU6twpAJLk1VnmXL0QZDmI1QtJPsK42EWFtq3T1GayW3lqNUlwwtgBFxdwo17JslGfQIQttHoRbtBGDvqAdw5nziNgBTUYGGD/tk0QhDA8obat753DgtFReHT2tnGCGIShuBMbJ4giZOOcO4cFUahJBACp6rPY7kgvRFF6c3G+ncOSfIRhslMXt3mxQuF5U4YoOGHoYLs4385hSTbqA4iwhVxcuEEbOegDPsifOc9/ldRgYID9uzhBEMLwhLq4IQ7yC0ZI4RHa28kJYhCG406cnCCKiJNzH+QXJKHmEYCjTBw3m1yIkvTm43zn+CX5CANlpz6u3KT90uPjJMEJAwfbx/nO8UuyUZ8/hC3k48IN2shBtz6ujJfpXOXTaDJVKsqzaa7dXxZHE7WslpValHE9iI/LbcHQPq6iBgMD7N/HCYIQhifUx+1xK+jfaLfX3l+5+rmK43r1Gz8wc3fGCppNx+sNy79efWlzV6gtdm+Kxk7hsdvb4QliEAZqgsNzbgQWJBEyeM57NwVRqBkGACkydRY7T/kLsvTm8epcObbHvS0LSBhFOzV5m9dlFZ43oImCE8YOtslzt+qVLBz1GUTgQi4v3KKNHHTPJ8Zcvq324t17v9vgJ8aYencHjd+cGHvp2pghzbGQdnJijClRkSQC8pLtWbFXT4pl1s56zpa9O9ALnhRjKgR33JOMn/OkGFMjZeM6oDAvbPIu2PKGOyZWmveelea9Z6V571m5ed9Q4X/vGRsUzGxdHxPjygVTG/WY2Mv3nhWe956xVYMJrgtHbGAeXHgwnvAxwKSyzzGxl+89KwLvPWNTKCIF3I9MZE+3wnYEX/IFgxkHLiuAcagx41BjxqHGjEMNOA5d8SHBpNXlMTGu1IogFQn/1cvx513Pg3vNV0zJtqwetK3a/GNPw0aQPib28r1n/nHnGZ8AzLTkY2LmvWf2Mec5T6xRi72ewvA4a2TPJAG7TnYdEyv979/gvwn9Yc8rHJIghLk5tNTeY4Vj7/eeSYZK4aHC61MbxrkoBmFSsoN6VZKk5wUNSZTdZOxBgcvf+ix1bFmRJOltOcP7GjFRQsKY2UX1tqnhys1Lp0rPa8REwQlDB1x42JtV2eiuZOmozyBCF1jQAJq0kYM+4O3HuesQWel/F4clGBhg/6ZOEIQwQKGmboDtx5IRUniE9vZyghiEAZng5ZzbjyVRhMycdRh5LEpCzSMAh1Ku3ceSIP1ZOffuY1E+wjjZqZHbvHSq9LxFTBScMG7wjZx797EoG/XxQ9hCNi7coI0c9AHfBZC7TpGVKTUYGGD/Nk4QhDA8oTau57sAJKOj8OjsbeEEMQhDcScWThBFxMK57wKQRKEmEQCkOLOux1yIcvRm4TwXAYjyEcbITi3c5o1TpecVYqLghHGDbeE8FwGIslGfPoQtZOHCDdrIQR/wLZy56wBZmVGDgQH2b+EEQQjDE2rhhG/hlIyGwqOxt2UTxCAMvZ1YNkEUIcvmuoVTEoWaNACQJHG9akISpDfP5rmCU5SPMCh26tk275sqPS8QEwUnDBxsz+a5glOUjfr4IWwhzxZu0EYOWv/vDx+urMof+DxZx8fC1Nkf2UC1H1NW0LRK6qLM42QXtLeDYdaZ/a+w9e6OHv8ODoZ9qZ0dcjCMG9IcC2kXB8O4EhVJIiDP/yqx3Kb+nK0e3K1PcIvO/XZMheBWe9wEes6HcTVSdqwDCrM0tte2F2yFIkfE7ttr1yl+tmwwZzEOfNVV5jzwxZYLpizKgS+bwnf4CsEkRbK3aD94wpcNJgL6YS6bzqd8nYqoc59ecMmXCQ77bK/v6gFXfMlgHqAdufKMAu/ypXZ85Mqm7pqvjpKsumz7hi1Z5jiVTeMzvkYwU5EOTNkkPudJNBrjWNV5nM8jNV8uoiRZLKM6ztOomteTfJYtiiydrSicNaOneObXjYmzcrTfi+ckRRH7n8kXBCFMWqGl54+2Vd7Hvorw4xffW2/SeONxmq1+dN4irn5cmGNR7UfiPRolGByFBwev0F45SPZaSE7MLpbVT0zF9vHdz9qftFtVfmT2HZs9yLrG/lgX8N8+O3n8LC7rJw9PdIVvivpvm6r9k3br8mpjsq7MPzY1eft3/kL/Y/ofNTF9UKxPmunfMttlPnvxX9rTaR+fJPHql/Xnx6udNOYvOrOF/Vw07IT5xC5KS0ESkXWIxH4y9LEoCXUeFODIlOs6qAtRlN4WItI4q85iZSN8W5aQMKqTarXQUsTmutrSc/+wKDhh6GCXJ0kSp2fKVaFI0lEfQoQutBgRbtJGDvqAj3KZZQCX8bTfROAJB4bYv/EUBCEMUVTj2edhLsEIKTxCuPu0YZyLYhCGZIKbc28rEUQRsnNWY/pYlISaSQAOc8A5r2woF6Iovdm5pHCfy5fkI4yUnZq5epP5PferiYITRg6+mXM16pUsG/UBRNhCVi7coI0c9AHvBVZnmcvKVfbTbZ5wYIi9WzlJEMIAhVo54d3AktFQeDT2tW2SGITBtwvbJokiYtvcu4ElUahpAwCpYvt84oUoSG+uzbMbWJSPMCh26dqqzZntynMIXxScMHCwXZtnN7AoG/XxQ9gCrg1o0EYO+oAP4auz3OnaMmo4MMT+XZsgCGGAQl1bz8fwJaOj8Ojs7eIEMQiDcScuThBFyMW5juFLolDTCACSV2exdR7jQpSkNxvnOYgvykcYJTu1cZszQJXnUJcoOGHkYNs4z0F8UTbq84ewhWxcuEEbOeie3/FVOI2Z8gEqtQs49GEurt7dUeM3h7lemjZmSHMspF0c5uJKVCSJgDz/Ya7EOnSes+WD2/oJPtG15Y6rENzFj9s/z2kurkbKBnlAYZo7XkF4wVY48GkutmwwaXV8mostF8xZ+5/mYisEsxTJ16L94AlfNpgJujrNxdapiDr36QWXfJngsM82+e7TXGzJYB7o8DQXW2ovp7nY6ijJqsu2b9iS+zzNxdYIZqoOTnOxJB7unH7hPs1VefcY3ydFEfuf0xcEIcxWobVn33P6gtFReHTwGs2GcS6KQZiZI9Rq7jl9QZS+5/QFUahzigBIVp5lhRXlQhTlICb1JfkIwySp+AlN6m/O0lSe41Gi4IShg+33fZP6kmzUBxBhC03qhxu0kYM+4B21hftwVOXdYGwLB4bYv48TBCEMUKiPk95RKxgNhUdjb98miEEYfDvxbYIoQr7NuaNWEIWaNgCQQo+BpRXlQhSlN9/m21MryUcYFjv1bZuDM5XnJJQoOGHoYPs2355aSTbqA4iwhXxbuEEbOegDPtReuE9C1d4txrZwYIi9+zZJEMIAhfq2AQ61S0ZI4RHa18tJYhAG5C68nCSKiJdzHmqXJKFmEoAjrauz2opyIYrSm5XzHGoX5SOMlF1auXpzmqb2HI8SBSeMHGwr5znULspGfQARtoCVAxq0kYM+4IsxC/fxqDqjhgND7N/KCYIQBiiqlevnYkzJ4Cg8OLiLo1+M+eptmGmcvnYb5q+2k5eblekvT9q/+bOXVlrsdkzJ2BMSCMF6urbqSpIIOU/rdtnHoiTUxAdwpGV+Fjt2/kqi9OY8vbdjihIShvZOvefmCFDtOdMlCk4YOvje03c7pigd9SFE6ELuM9ykjRx0z6e6SqefVF7AYhdw6FNdXL2748ZvTnW9NJvMkOZYSLs41cWVqEgSAXmBU13WTnvOlg9u7+/CKjIVgrv5KRbQeaqLq5GyUR5QmGrrk9sUXrAVDnyqiy0bTFodn+piywVz1v6nutgKwSxFcrZoP3jClw1mgq5OdbF1KqLOfXrBJV8mOOyzbb77VBdbMpgHOjzVxZbay6kutjpKsuqy7Ru25D5PdbE1gpmqg1NdLImHuxRRuk911f7N0fdIUcT+lyIEQQjzVWjt2fNShGBwFB4cvESjL0W43tFVqbt/fHVZ4mftosJ3dOn/peT6g2DACZOIXRSVgiQ9rz8IklCnPgGO1Oxizm0oF6IoB7L+IElIGM9JVVpo/WFzWqn2HD8TBScMHezCxL/+IElHfQgRutD6Q7hJGznoA97IXLoPoNX+fd2WcGCI/VtOQRDCEEW1nH1uZBaMkMIjhPtOG8a5KAZhSCa4OfdGZkEUITtnNaaPRUmomQTgSKviLK5sKBeiKL3ZOd9GZkk+wkjZqZnbHGGqPWfSRMEJIwffzHk2MkuyUR9AhC1k5cIN2shBH/BdAqXzTFoR+/d1W8KBIfZt5URBCAMUauVk7xIQjYbCo7GnbRPFIAy+Hdg2URQR2+a8S0AUhZo2ABBVn1kT4IUoSG+uzX2TgCwfYVDs0LVpplWSX//ABv5EFpwwcLBdm/smAVk26uOHsPldG9KgjRz0Ad/kWTqPnxVxRg0Hhti/axMEIQxQqGvr9yZP0egoPDp7uzhBDMJg3ImLE0QRcnGOmzxFUahpBADJ1FnpsnGCJL3ZOPdFnrJ8hFGyUxuXbbK++ySXLDhh5GDbOPdFnrJs1OcPYQvZuHCDNnLQPZ/jqpzGTHkBy13Agc9xsfXujhq/Ocf10rQxQ5pjIe3gHBdboiJJBOT5z3HZK+BztnxwQz/BJzq23LEVgvv3cfvnPsfF1kjZGg8oLBzv5mLrG/YUF182mLK6PcXFlwtmrL1PcfEVgjmK5GrRfvCELxvMAx2d4uLrVESd+/SCS75McNBnW3znKS6+ZDALdHeKiy+1j1NcfHWUVNVl2zdsyT2e4uJrBDPV/qe4eBIPd0a/cp7iKmL/DuN7pChi/zP6giCEuSq08ux7Rl8wOgqPDl6h2TDORTEI83KESs09oy+I0veMviAKdUYRAqntJBeiJAcxoy/JRxglSbVPaEa/3EwAu89GyYITRg623ffN6EuyUZ8/hC00ox9u0EYO+oC301bOk1FF7N9dbAkHhti/jRMEIQxQqI2T3k4rGA2FR2Nv2yaIQRh8O7FtgihCts25nVYQhZo2AJDkTNlJLkRJerNtvv20knyEUbFT21Zvsrz7FJQsOGHkYNs2335aSTbq84ewhWxbuEEbOegDPtBeuU9BJf7txZZwYIi92zZJEMIAhdq2/g+0i0ZI4RHa18pJYhAG5C6snCSKiJVzHWgXJaFmEoCjPMusIBeiIL0ZOfdxdlk+wjjZpZFLNudoEs/BKFFwwrjBNnLu4+yybNTHD2ELGDmgQRs56AO+DLNyH4wyDx8tHBhi/0ZOEIQwQFGNXC+XYYoGR+HB2dvDCWIQxmKCh3Ptd5UkEbJw1l2nj0VJqDkE4CjOSsf2WUmQ3iyc74JJWULCGNmpiducokk8x6JEwQkDB9/EeS6YlKWjPoIIXcjGhZu0kYPu+WBUbcPTtiy34mVxnmVlUaW7eEMfi+Lq3R01fnMs6qVnY4Y0x0LaxbEorkRFkgjI8x+Lym3qz9nqwQ3yXbhEpkJwPzzF/TlPRXE1UraaAwqzNHa83YqtUORc1L3cd/HW+fX15fU6+zXPn/y29ivqof4ozEdpPqrfMUOFITEJ8WFszYlv80HBHNfxSSq2XDDJUU5SPTLRO121wVfXcbapfoevGkx1XZhjA/PgwoPxhI+REzHgMxdr7Ub2g9cbwkXxlE+hiBRwPzKRPd0K2xF8yRcMJh24wgDGocaMQ40ZhxozDjXgOHTFhwTzFu0cV56XuaN2epcvteNzXI+uXo4/73oe3Gu+YkrCZfWgbf3mH3saNoLMWa/7486mAVwEz/gEYKYlnQR7ZCJ6uhW1I/Y5T+zhLmbU9plIXTMrGicK2P9ShiAIYZoOLbp7XsoQDI7Cg4PXpt2916usn7z6Wq9f3H3Sbv1Zbex58Zf6j4u93Us07IQZ1C6KakGSnpdeBEmo874AR6b06G3NUReiKD0vvrh20EgSEkb1LurLbZWpNjP1ylNpSoIThg64NKItvkjSUR9ChC60+BJu0kYO+oA3QzuWPrTtLKjBwAD7t52CIIQBimo7+9wKLRghhUcI9542jHNRDMKATPBy7q3QgihCZs61FVqQhJpHAI6sys/yyoZyIYrSm5lLirPE2lRvy/IRRspOrVyxyfuFx8pJghNGDr6V041qLaauZNmoDyDCFjJy4QZt5KAP+DKC+iyzBUMbOfvNDJ5gYID9GzlBEMLwhBo54asIJKOh8GjsbdoEMQhDbyemTRBFxLS5ryKQRKEmDQCkil2XB0uC9ObZPDcRiPIRBsVOPdvmvqHEc4GUKDhh4GB7Ns9NBKJs1McPYQt5tnCDNnLQB3wPaG3f26c9W0UNBgbYv2cTBCEMT6hn6/kWUMnoKDw6e3s4QQzCUNyJhxNEEfJwrltAJVGoSQQAyV1rjBeiJL2ZOM8toKJ8hFGyUxNXbXJ+5TFxkuCEkYNt4jy3gIqyUZ8/hC1k4sIN2shB93t8zb4qrm1Z7cXLdvEGP77G1Ls7Zvzm+NpLy8YMaY6FtJPja0yJiiQRkOc/vpZYH7Jz</t>
  </si>
  <si>
    <t>tvzd8V7w/BpTIXgOADd/vvNrTI2U7fSAwtS1r/mCrXC482tp/FB/JOYjNR/Z5txI7T+/xgUFk1zX59e4csEsRz2/Vr88v+a8yPIdvmow13XhjQ3MgwsPxhM+Bphf9jm/Vj94vSE859e4FIpIAfcjE9nTrbAdwZd8wWDSgQsMYBxqzDjUmHGoMeNQA45DV3xIMG91eX6NK1Xg/Fr98vya88G95iumJFxWD9oWcP6xp2EjSJ9fqx+83gCe82tcAjDTks+v1adbUTtin/PEHuxahnIswb5RpDGNEwXsfS1DEoQwS4dW3T2vZUhGR+HRwatTG8a5KAZhRpJQpTrXMiRRel7LkETZTcAeFLTqzcqzrLCiXIiiHMJihigfYZjsomDblG3acK/mvlc/sIE/kQUnDB1wrQE36pUsG/UBRNgCixlAgzZy0Ie7i1i7OMdxsNR+v7QnGBhg/y5OEIQwPKEuTngXsWQ0FB6NvV2bIAZh6O3EtQmiCLk21y5iSRRq0gBACj0CllaUC1GU3lybZx+xKB9hWOzUtW3em5B6XoQhCk4YOtiuzbOPWJSN+gAibCHXFm7QRg76cA/xa9eW2YKhXVtKDQYG2L9rEwQhDE+oaxvgEL9khBQeob2dnCAGYTjuxMkJoog4OechfkkSah4BONK6OqutKBeiKL0ZOc8hflE+wkjZqZFLN3k/9Rg5SXDCyME2cp5D/KJs1AcQYQsZuXCDNnLQh3sJqHJc9q6NXEYNBgbYv5ETBCEMT1Qj188loJLBUXhwcA9HvwT01Zs/0zh97ebPX20nLjdr0l+etH/zZy+NtNhNoJKxJ6QPgvF0bU+WJBHynY6bQCVJqGkP4EjL/Cx27HaWROnNd3pvAhUlJAztnTrPzTu7Us9r2ETBCUMH33n6bgIVpaM+hAhdyHuGm7SRg+75HJtrS17uxct38YY+x8bVuztq/OYc20uryQxpjoW0i3NsXImKJBGQFzjHZu2052z54JGCLowiUyF4HoBiAJ3n2LgaKdvqAYWpNj65TeEFW+GA59jMe9hS8x621LyHLd28/yj1v4eNDQomuY7PsbHlglmOeI4tffkettTzHja2ajDXdeGODcyDCw/GEz4GmF/2OMeWvnwPWxp4DxubQhEp4H5kInu6FbYj+JIvGEw6cIkBjEONGYcaMw41ZhxqwHHoig8J5q0Oz7GxpXZ/ji19+R4294N7zVdMSbisHrQt4PxjT8NGED7Hlr58D5t/3HnGJwAzLfUcW2rew2Yfc57zxB7uEoxjMlIXzYrGiQL2vwQjCEKYp0Or7p6XYASDo/Dg4MUpfQnG9R62St3946vLMT9rF1O+c/eT1USE1LqLYMAJk6ddlNOCJD2vuwiSUKd8AY7U7Ny2ZqcLUZQDWXeRJCSM511Ultv6cvO6rtTzBjZRcMLQARdFtHUXSTrqQ4jQhdZdwk3ayEEf8OZtx65LbTgLajAwwP4NpyAIYYCiGs4+N28LRkjhEcJdpw3jXBSDMCATvJx787YgipCZsw4jj0VJqHkE4Eir4iyubCgXoii9mTnf5m1JPsJI2amV27ywK/W8gU0UnDBy8K2cZ/O2JBv1AUTYQkYu3KCNHPQB352QOE/h+V9tYgkGBti/kRMEIQxPqJGTvjtBMBoKj8bepk0QgzD0dmLaBFFETJvn7gRBFGrSAEBUfWadnroQBenNs/luTpDkIwyKnXq2zQu7Us8b2ETBCQMH27P5bk6QZKM+fghbyLOFG7SRgz7gW0sT54G7ihoMDLB/zyYIQhieUM/W962lgtFReHT29nCCGIShuBMPJ4gi5OGct5YKolCTCACSqbPSZeIESXozcb5LSyX5CKNkpyZu88Ku1PMGNlFwwsjBNnG+S0sl2ajPH8IWMnHhBm3koHs+ueZaE629eGoXb/CTa0y9u2PGb06uvbRszJDmWEg7ObnGlKhIEgF5/pNr9ur3nC1/d7wXPLnGVAieAMDNn+/kGlMjZSM9oLBwvX+Nq2+4c2uZef9aZt6/lpn3r2Wb9x6l/vevsUHBFNf1uTWuXDDHUc+tvXz/Wup5/xpbNZjpunDGBubBhQfjCR8DzC77nFt7+f61NPD+NTaFIlLA/chE9nQrbEfwJV8wmHLg8gIYhxozDjVmHGrMONSA49AVHxLMWl2eW+NKFTi39vL9a+4H95qvmJJuWT1oW775x56GjSB9bu3l+9f8484zPgGYacnn1sz71+xjznOe2MNdyUhd59Yy/2tM7nGigL2vZEiCEObo0Jq755UMyegoPDp4bWrDOBfFIMxHEmpU50qGJErPKxmSKLsJ2IOC1rzxWW0nuRAlOYSVDFE+wijZRb22qdqyzdu6Ms/r10TBCSMHXGrAjXoly0Z9/hC2wEoG0KCNHPQBbyFOXWfBMv9bTSzBwAD7N3GCIIThCTVxwluIJaOh8GjsbdoEMQhDbyemTRBFyLS5thBLolCTBgCS6OHPSnIhStKbafPsIRblI4yKnZq2zcu6Ms/b10TBCSMH27R59hCLslGfP4QtZNrCDdrIQR/wAf7Ude4rS6nBwAD7N22CIIThCTVtAxzgl4yQwiO0t5ETxCAMx50YOUEUESPnPMAvSULNIwBHeZZZQS5EQXqzcZ7j+6J8hHGyUxu3eVVX5nn3mig4Ydxg2zjP8X1RNurjh7CFbFy4QRs56AO++DN1HQXLMmowMMD+bZwgCGF4otq4fi7+lAyOwoOzt4MTxCCMxAQH59rjK0kiZOAc12lKklAzCMBRnJWOLcOSIL0ZOO9lmqKEhDGyUwu3eeNV5nmJmSg4YeDgWzjfZZqidNRHEKELmbhwkzZy0Pp/f/inryR9p0v75mL20fsffmAJBMukZTZO7c9yD6cq011O15kwt1qK9Xp5LMwq9ytsubvdzBNc0GD9q1mlbCe/ftmuV/7UzHr9ut2B9mV7KuuLdqOa+dFPH568/LUXf/3iu+15LfMLL75lftuGqj1V/rsXbN57w6UbeL/Rcn24xLwUKTcfynwU9l3cT/g4OR0H36xrGJ4ahqeG4alheOpieMpnUHQGfLuuRrg0CJcG4dIgXLoQLvkI+GPEH6zXxwTM621y86HMhwOlYaPc2/cdQKH1pmdG/zOj/5nR/8yl/xlfP54uiBu/tfznRv5zI/+5kf/cJf85T/4rA7JJI3/gy4Jdnow2ueWPbBw6DRZWjrRK6qLUWd3ZDJhcZg50H43m6t1NC3sejTY7fP6q3Y69OhZtdu+YV16sFoVWae7L9qzyJ+2Uw/fWx57/7u5v735497frn/30JDU7gMyLyr930r4Ew/x1q21DZhOQLQRvskOwm0oEjzJzJSqSRECe5yjzze8VZ6ZBfnD3w9ea4Qd3/3T3/bt/vfsf0d3/0H/kl+0U0qppf37y27svLUkfqnZ66HfW7WdedNK+ib6dhnp5sv3znaY1Z+TNxi/diz55eZr95/qvXu/n/8Xdz19858V39Y++1P/6520/+vjMFu5zdrh3Kyy5o9dcheAhNsp0i/PoNVfjrjfY8+h1kjhfGspVKHL4+v6WMntg3+bLBnMi/Sh1kpel8yg1Wy6YEylHqW0K3+ErBLMgqTJC+8ETvmwwc9ErIJvOp3ydiqhzn15wyZcJDvvsSTVXD7jiSwbzAO0ws2cUeJcvtePDzDZ113x1lGTVZds3bMkyB5VtGp/xNYKZilSR2iQ+50lsvbVKZlOVz6NJvlxG+SKfRdNqVkVqsagXk0laVRsKZ0369Um36+dZ+19XZWq/k8wJihLaqlcPGKWCtYF8RRSEsDiElrb/unqF4+qmrY9XN3ytZnPNLsf24EoSP0jUA136OJfFBZEVjozXiTaMc1GM3STswcDrL9f9Z2+Josisi9s4HotyUJfkEIrUup5zIcrR26J45an5JPkIox6plLk3J7yzJL65SjPz3I0qCk4YNNju3dmoV7Js1KcPYfM26BXSoI0cdOvK8kVclNNYRZN5PI9yVamoni6m0XS+nNZFFWfxbG1WenVlqcuV5fbz1Z5oYIS9uzJJEML4hLqy7cu3zb0vrQlbHRa++2RzXMX8moof6P8fP9Rw+meZy55JsiucfV97JolBGGlxe9Zuk/jZ2Ym9Xd4SBerTpElyUNMEQKFq66rFhShHbyYtzx07M9+W5SMMgl2atHxzS0juufZFFJwwdLBNmrNRr2TZqE8fwhYwaUCDNnLQ62tflsk8mcVRMpulUT6d51G10H90sUwWRZ1ri5hO3+vfpGVOk5ZSo4ER9m/SBEEI4xPfpJlF+3Z3yMd3PzVr+y/+W7t1gGTWBGOg8BjsbdYEMQgjbodmTRCoV7MmyEFNFwhFWdk4LkQ5ejNrzrcpvS3LRxgMOzVrm2OlueecsCg4YehgmzVno17JslGfPoQtZNbCDdrIQbdmLZnU83RWJFGVZssoTzMVTZO6ihZ1GSfz6bxU+eK9/s1a7jRrOTUaGGH/Zk0QhDA+wWZtfVD4Y7Pl0xwI/s6LPz+5v+VzfUo4Ve1Z4HT1eaYctuBN0SgoPAp72zVBDMKYS7Brrq2nkiQyPs11IliShJorEI4sPktzG8qFKEpvZs29+imKRxgLO/Vq+Sa15x6vJglOGDfYXi1RaXyWWRftr2TpqE8gQhdya+EmbeSg+3w3ZOZZ0fRuqFPVLt/QJ6C4eneHjSM+AcUNQY6FoIsTUFyJiiQRkOc9AaX0j3cacvWCkdWev/VLRtqT2+bM94vv3P3E1rJ3f/fVux+etH/o1yd3P06SdHUZ4vp260/vPj356geTP1mevHZ6ypx4Uqk5PKVV/P3dT7UBb3uC9t/r95p8efeTV6V9eveL145nfba5Mdv0t7+7+/Hdj6K7758Yd27+0vYtpOv3opj3j7bfbHunBlr3NfPb7UEu/etfrE5pwQe4VnJ+/cqU7/fM7Y8/Oini/yUtV8CO81rczrGbAOXOa3EVgvv0KWbYeV6Lq5GyBR5QmKnqzHqZ7wVb4cDntdiywQze8Xkttlwwg+9/XoutEMzZJJuP9oMnfNlgnu3qvBZbpyLq3KcXXPJlgsM+u+Zxb/hkSwbzQIfntdhSezmvxVZHSVZdtn3DltzneS22RjBTdXBeiyWx1ZhO1WKZz6K4KJS5VquKqnheR3GsYlVU+s+rdQJzVtCeKQR2Fe08r5V790nfB0UJ+1/HEAQhzN2hhfgPV1XQyd3PTPm1uljLVFntzVtfrH5zdT/9pvRO2pNbpqL5O+tM85uiIVB4CPAq14ZxLopBmIzsoh4TJOl5EUOQhDqFCnBkdX6mXOWdIEpvixhZXDtfCykKSBgKSfVNaBljc+Yn9xziEgUnjBxsS5/Erm57JQtHfQQRuNAqRrhFGznowz3FlbrXPJR3u7QtGhhh715NEoQwQKFerdNTXJLsCmff16RJYhCGWoJJC2wMlgSS8Wo2jseiHNQ0gVCUdW4DuRAF6c2neY5xifIRRsEubZranPpRnmNcouCEsYNt0zzHuETZqI8fwhZwaUCDNnLQh3uMK3Uf41IpNRoYYf8uTRCEMD7xXVoHx7gkY6DwGOzt1gQxCCNuh25NEKhXtybIQU0XAIXKahvHhShHb2bNc4xLlI8wGHZq1janfpTnGJcoOGHoYJs1zzEuUTbq04ewhcxauEEbOejDva4ydR/jUjk1Ghhh/2ZNEIQwPqFmrYvrKiWRFY68tzcTxCAMsLg3c19XKYnSqysT5KDmBYAiK3Mbx4UoR2+uzHNdpSgfYdTr1JVtTvcoz4EtUXDCoMF2ZZ7rKkXZqE8fwhZyZeEGbeSg+z2uldnotMtSVrrN2ynLXbqhD2tx9YIbv1GTNORhLW4IciwEXRzW4kpUJImAvH8fr6vihhvcB4/7T+d2O65CcNs7wVa6jz9xNVJ2lCMK3a+r4ioUOf50L7devHV+fX15vc6uq9e5qsK8ybU0H5X5qH/HjHyGxCTch/aXQb7NBwVzaMcHpthywSxKOTD1yETvdNUGX13H2ab6Hb5qMJd2Yb0NzIMLD8YTPgaYD+mHqtbajewHrzeEi+Ipn0IRKeB+ZCJ7uhW2I/iSLxhMOnD9AoxDjRmHGjMONWYcasBx6IoPCeYt2nGtNE3UmXIc12JL7fi41qOrl+PPu54H95qvmJJwWT1oWx/6x56GjSBzpOv+uLNpABfBMz4BmGlJB74emYiebkXtiH3OE3uwax+Z/USHrsntJ9ycmChf/ysfgiCEOUC0qO9k5UMQWeHIeIVswzgXxSBMYuKVp2flQxCl15UPQQ7q3CtC4XpRlyTHQax8SPIRRr0uyq9tEVZsJsoLTyEmCU4YNODKAW7UK1k26tOHsIVWPsIN2shBH+4Rr8y+7qA9WUmNBcbXvycTBCGMTqgn6/aAlyC7wtn3NmeCGIRxFjdnwS3DgkC9WjRBDmqSACicr+mS5OjNovnOd0nyEQbBTi1aucnopceiSYIThg62RfOd75Jkoz59CFvIooUbtJGDPtzzXe6tLPYbCTyxwPj6t2iCIITRiW/RujjdJRgDhcdgb6smiEEYbzu0aoJAvVo1QQ5qskAoXC/pkuTozar5TndJ8hEGw06t2uZ+HeW5MUkUnDB0sK2a73SXJBv16UPYQlYt3KCNHPThvqQrs29k01atpsYC4+vfqgmCEEYn2KrJvKJLMgoKj8LeZk0QgzDiEsyac7utIImMS3PdbilJQs0UCIfnFV2SKL1ZNc+6pyQeYSzs1KnVm8Ree5yaJDhh3GA7Ne8rukTpqE8gQhfyauEmbeSg+z3z5XBfhf1SqA3dvRNtQ5/54urdHTSO+MwXNwQ5FoIuznxxJSqSREDeb17QdXgv6OJ2jt30J3dCjasQ3OlPscLOE2pcjZQN84BCzwu6uAqHO6FWJA/1R2o+MvORr0+GFLH3hBobFMz4HZ9QY8sFcz7xhFoRb0+oFc7bK9/hqwYzfxelgoF5cOHBeMLHALP3HifUtPbXG8J9Qo1NoYgUcD8ykT3dCtsRfMkXDCYduN4CxqHGjEONGYcaMw414Dh0xYcE81aHJ9TYUrs/obYdf971PLjXfMWUhMvqQZtqNjD2NGwE4RNq23Fn0wDuE2psAjDTUk+o6b6zFbUj9jlPbKsWejmG4XHOHXgmT7jzB64TakVCw0T5el+/kQQhzFmiUxASryaTDIHCQ4DX9zaMc1EMwiRsF5WoIEm/izeSJNSpY4DD92oySZTeFm98ryYTBSQMhV3UZNvKLFnP9a9+YAN/IgtOGDngcuLe4+d5NZkoHPURROACqzdAizZy0Id7bi13nVsrUmosML7+nZogCGF4Qp1ap+fWJNkVzr63RRPEIAy0BIsW2AwtCSTj1Gwcj0U5qEkCoXC+mEwSpDeX5jm4JspHGAU7NWmbVyMUnnddiIITxg62SfMcXBNloz5+CFvIo4UbtJGDPtyDa7nr4FqRUWOB8fXv0QRBCKMT36N1cHBNMgYKj8HeXk0QgzDedujVBIF69WqCHNRkAVA4X0smydGbVfMcXBPlIwyGnVq1bJPZM49VkwQnDB1sq+Y5uCbKRn36ELaQVQs3aCMHfbhXc+bOrdM5NRYYX/9WTRCEMDqhVq2LqzklkRWOvLczE8QgDK+4M3NfzSmJ0qsnE+SgZgWAwvlSMkmO3jyZ52pOUT7CqNepJ9u8w6rwvJRMFJwwaLA9medqTlE26tOHsIU8WbhBGzlo/b8/XBmzdX92uq5vLmYfvf/hB5ZIMEyXa2ZMeTBVqXYxXSfV3FopTmpzWM0q9itssbt9zBNY0C39aH1i6TNtkT61idVmSP3uBVvxvbHOLXm/oW59RMO8RKhSrrGNC5HTIfCNrkb5U6P8qUv5U75yRVeOb3DVwi+N8EuX8Eu+cLyr80fT9XZ688IXB0DDBri3KzoAQOsvz4zqZy7Vz/iq8aGbuBlai35uRD93iX7OE912lvf6zD/Onc6FV37hjDmslpWB7HK/wpaLP5hoDvo/2oOwX6xL9E9O2kUVc1r62+Ysqjkr287Yrw7fftd8cVXVt7+8zV76CzZQnb8Kk7+YtH3nL/P+u9KcLizbTOZ06VycPjJZqTOZZnhqGJ66GJ7yGRSdgTROXRqES4NwaRAuXQiXfAT8Ido7u5k3mZXmnFjZ5jlnmcBEEc9zpc5zWv8zo/+ZS/8zvn48WbAyXqkznpb/3Mh/7pL/nCf/lXk4Q/EHvhzY3XUhWfv5RzYOnQTtV9elVVKVdZkmzmbA5DIz4FnhzIJMvbtpYc8LQ37U3rbws3U621wbYk96P777wd3frK8IeTUBfrz+tf/35ndXrxu2cb/J5t7NH5K3hDAlKpJEQJ71lpD/U8f+Yx11c9HHur1+on/hF22btRd0/Fwbl1UTbC8VOXnzreRRWhXJw0T/Rvr/MD/PHqV5/LA6cRzyOWfHYXeyTfBCDKZC8GAxYdLdcyEGU+Nupt73Qoyqdr6zmStR5EaMXeGeqXKubDBF0e+3KGuX2q/y1YIZinK9hU3hO3yFYE4i1SloN3jClw2mFHo9YtP5lK9TEXXu0wsu+TLBYZ+9vuJZXuFKBvMA7YIJ9yDwLl9px/dL2NRd89VRclWXTd+wJcvcHWHT+IyvEcxTpPLQJvE5T6LROFOLeR1XdTRdKBXlU3MqcT7Nonip3eYknU+nE7WicBaIX590uTVqVSQ6y8TSfvmFExQltJWSHjBKOWkD+YooCGGbAFpntlWLrmJeqVpevR9C1y3rC711MfNJu39qczXlv7aXRvy5/r+/0P/3Z6uv619b30bYztL+6O4f7n4Q6QL1X+6+f/dPd3+vP//73b/o0inW/9TPbAF8UzSACg8gXg3aMM5FMQi7JgjFnKNF3hJFEdlqlZ8pG8ljURLqdg+AIylVnp5VNpYLUZbeNlwl6VnpqCJF+QgjKak68u7PMUzr/Tml58o/UXDC0MEuCJyNeiXLRn0CETZvg14hDdrIQa/m+5dVXCzncbRM42WUz4paf7euo9likcdFtpzE+XqQ7dXppU6nl1KjgRH27/QEQQjjE+r0/q69kfqLV9YTzE/b+6LNisK3Xt5fbe4A+6G2asa2/cPdP+r/+6e1CXznKlLJyd33bQF5UzQgCg/I3s5NEIMw/Hbi3ARRRJxbfGZm1e6jPBZFoSYOAERVueMk2IUoSm/OrarOKpdzk+QjjIydOrfNxQSl56YJUXDC0MF2bs5GvZJloz6ACFvIuYUbtJGD7u9dLsaNWVdptRPLrHSbgwD1Lt3QWzO4esFlMNRI9b41g8udY9xdbM3gSlQkiYC8gbdmcOMArtERPKFrawZXIbgkh1s9z9YMrkbKcheg0Lc1gytRZGvGvVRne1lJmZtNxGr9aoAy87wa4G0+HpjIut3CwVYLZjLKFo5HJnjbN5SUzrsR3uGrBvNZF/bXwDy48GA84WOA6Ym+zWP7pgCt/fWGcFE85VMoIgXcj0xkT7fCdgRf8gWDqQauIYDBpzGDTwMOPld8NDBH0baNJEmlnPtG2FI73jfy6OrlqPOu53G95iumJFdWv9lWZv4Rp2EjyOwtuT/abBrARfCMTwCmV9LOk0cmoqdbUTtin/PEHuzKROo6rbe+2ALGRPn6X5cQBNm1Hr72AcvpHtYlBAOi8IDgRawN41wUgzC5SKhB3esSgih9r0sIolCnRQEQ77qEIMpBrEtI8hFGxi4Ks215trnxpfRc4SMKThg64JoCbtQrWTbqA4iwhdYlwg3ayEEf7t7h1LmKoaixwPj6922CIITRCfVtB7hzWDCACg/g3j5PEIMwWHfi8wRRRHyee+ewIAk1ywAc/p3Dgiy9+bwkPYutPvZtWT7CSNqpz1MbW6A8Pk8SnDB0sH2eadTSxnYly0Z9AhG2kM8LN2gjB22uany42iHQ4yUhmXNPcGnlTMs6qcqkync5e9uJktv0foWtF1y5Qy0YcydK+0uf3H2xtmN/p3/nhw+N5fq7ux+tfi31bEZhoucYeiebUZgSFUkiIK/TzSiuHSdMWHAZkOACnTtOmArB1Tzc3Pl2nDA1UhbFAIV16rjO9oKtUGTDCXoO/G2+bDAT0TeSFFnt3kjCVQsmIspGEpvCd/gKwdRD8qxoN3jClw2mDfomEZvOp3ydiqhzn15wyZcJjvpsA+++C4QtGUwDtE0d7kHgXb7Sjvd02NRd89VRUlWXTd+wJcvs17BpfMbXCOYp0o4Mm8TnPIkHO5+fee4CqWmgKGH/M/qCIIR5KLScPMAZfcEAKjyAeMVnwzgXxSBMyxFqOfeMviCKyIx+4pzRFyShziciHFmVnNVWlgtRlj5n9J13gUjyEUZSUnUUmtGvNxPAtWdGXxKcMHSwCwLfXSCSbNQnEGELzeiHG7SRgz7cHbeZ+y6QKqFGAyPs3elJghDGJ9Tpye+5lQyIwgOyr3OTxCAMv104N0kUEefm3nMriUJNHACItm5nicu6SbL0Zt08m25F+QhDY5fWrUrWmX71Axv4E1lwwtjBtm6eTbeibNQnEGELWDegQRs56H4vA8ltdNqKpVa69VaTOt6lG3oLBlcvuA6GOqkhtmBw0XMMvYstGFyJiiQRkNfHFgwuLLgYRzB/ri0YXIXg2hvu6TxbMLgaKetagELPFgyuQpEtGMCxe+1BzIsDq3x97L5KvXd+sPHAfNXtVg22WjBhUbZqPDLB2975UTkvFHuHrxpMW124XAPz4MKD8YSPAaYg+naO7Sl8rf31hnDf+cGmUEQKuB+ZyJ5uhe0IvuQLBjMNXCoAg09jBp8GHHyu+GhgiqJtD6lVdaYc20PYSjveHvLo6uWg867nab3mK6akVla32dZf/gGnYSPIbCG5P9hsGsB95QebAMyupA0mj0xET7eidsQ+54k92AWI3HXlR5XRMFG+/pcfBEEIc2xo0dzD8oNgQBQeELxOtWGci2IQphAJFah7+UEQpe/lB0EU6uQnAOJffhBkOYjlB0k+wtDYRWG2Lc+yzWy151pGUXDC2AHXFHCjXsmyUZ9AhC20/BBu0EYO+nD3COeuOz+qnBoLjK9/4yYIQhidUON2eDuEJQOo8ADubfQEMQiDdSdGTxBFxOg5dwhLklCzDMLh2yEsydKbz/Pc+SHKRxhJO/V5m6vAKs/dbqLghKGD7fM8d36IslGfQIQt5PPCDdrIQZs7P/70FYfjNHLfXMw+ev/DDyyBYPk4l4dTHk5V3eN0bThxq6XYs5d7Tqxyv8KWu9vNPMEFTdj/oQ3Ut1ZzZy/++u6TE+2mPtZ+68sX337x12sn5diA8uobaPQXbKDaUanfvWDT3hsq3bj7jZTr9e3i4ZOiTs1H9fBJGef6I4nNR2Y+CvNR64/UOXpyOXM6J768YOCeGrinBu6pgXtq4J4auKcG7qmBe2rgnrrgnvLhFB0OX3nQbJeG7dKwXRq2S8N2adguDdulYbs0bJcutks+G/488kf99fpn8bAxjI1hbAxjYxgbw9gYxsYwNi7Ghs14b9ErwEjrmM8M2DMD9syAPTNgzwzYMwP2zIA9M2DPXGDP+GB4piIuh2mu54brueF6brieG67nhuu54XpuuJ4brucuruc8rldKdZPaeruOK3UfwK5KK0daJXVR5knqbB9MLjMve3IzU+9ustpzL+gP202FX979ymRkMyXy4i/bNazdFP3qS+Fefnuzc/TVDL3+0k9P0hP9jc/0b37PFoE32RHYTWOSW0KZEhVJIiDPuiX05Tvfzk7aTb2vNcu/3f3EtM1n2nmtTZb2VnefmC+9+GvjrV587+FJOyP22Yv/plu9ndP6VFuvfzObfNsvaxumO4L+MN3ALH/+fDsH9undJw9P1v/cr9vG/3L9B9d/6Kcn7d7UL9q/QP9zm3/2S7PxeOfFgr+7cn/39iT/RKv4dvuXfLH5c9oXtj9ZqzAML/5KA37H/AnzX61J/8j86r0Ns79992v9u9pTalEGShtN849+evf5xm7+zpmtH5yz+wG4h4kwheXcLctUCG5FosxMuXfLMjVStvQACn2vyONKFNkue39113VjGVs2mKzp22DzIndvg+WqBXM1ZRusTeE7fIVgdibVkWg3eMKXDaZUello0/mUr1MRde7TCy75MsFhnz396L6xjC0ZzAO0LanuQeBdvtKOt6Ta1F3z1VFyVZdN37Aly2w3tWl8xtcI5ilSBW2T+JwnsfX8lVJZvJxH8Xyhojyt02g6K+OoWlaL6byoFrPedyOs/usqmGsaKEpoK6o9YJTC2gbyFVEQwioaWnH/4NUi7adtBaILmsgUIm0ttdpN+um67DFV2bP3/+N//JNvvP+1yXqjwvUb75zUcZytfnZ1ffnWyfnz68uT1DoyvCkaIIUHCK92H//JR//T4hsnV9/48OuLjxb/8Ztr4qQ4iU7u/rHdzbE99fhazftzXct+7+VBVR3Fz0y9Z0rFj9sS9WdnJyd3P2h3eXzrxbdWZee/6Z+sat1fmlr31+1ft12B+F3z/X+0RvZcNLKEdUxC/ejeAiGIIrIFIrYfeXwsSkJdgAU4kqSoz5S1rL8QZelxC0RSnCnXJghJQsLwTSrJQpsgNrdqVZ5r0kTBCYMHuwrJa3VWu+oQSTjqQ4jAhXZBhFu0kYM+1GNKaftjh7+sHVePuKOBEfbuLyVBCAMU6i/lDypJBkThAcH9pA3jXBSDMP52Yd4kUYTMm+ugkiQKNXEAIL53E0ui9GbePOeURPkII2OX1q3e3KpVe65JEwUnDB1s6+Y5pyTKRn0AEbaAcwMatJGD7vOatNTjxTIfn7r3Tr6hN8dw9YLLb6iVGnBzDDcCORaBLjbHcCUqkkRAnn9zTHp/b4x7ftEz18fFBRcDCTbQtQeEqxBc+8PdnWcPCFcjZV0NUOi5MY2rcOAtIGzZYErqdgsIWy2YkfbfAsJWCOYgkmlFu8ETvmwwcXS1BYStUxF17tMLLvkywVGf7eDdW0DYksE00N0WELbSXraAsNVRUlWXTd+wJfe5BYStEcxTHWwBYUk82Cl6z5mJ9cFrGBQl7H+KXhCEMBGF1pU9TNELBkThAcFrOBvGuSgGYZ6NUJu5p+gFUfqeohdEoc4QAiDeu8QkWQ5ijl6SjzA0ksqd0By92kzpKs8cvSQ4YexgO3zfHL0kG/UJRNhCc/ThBm3koA93965vRr+kRgMj7N+6CYIQxifUuvW/e1cyQAoP0N5WThCDMBx3YuUEUYSsnHWu+7EoCTWPABxpWZxltQ3lQhSlNyPn3SkrSkgYKju1cuUm85ceKycJThg72FbOt1NWFI76DCJwIS8XbtFGDrrf/RaZ0515dwIX8S7f4PstmHrBtS7UXA2534IZgRyLQCf7LZgSFUkiIC9wGUn2m9tIZG8j4XYEcE2SYJGdO1GYCsElSNz5+naiMDVSlvcAhWmZ2kflC7bCoXeicGWDybrjnShctWCu7mAnClchmJ1Jfh7tBk/4ssGU2tlOFK5ORdS5Ty+45MsER312cePZicKVDKaBDneicJX2sxOFq46Sqrps+oYtudedKFyNYJ7qYicKR+LBLmdkzp0oZew9gHEfFCXsezlDFIQwR4dW3L0vZ4gGSOEBwqtd+2mB31t88/0//uAkqeKTPD5JVAc3k9jidS4aL8LcJ6EodK2biKL0um4iSkKdswU4quSssJ9RFSU5iGUTWULCkEwqs/zLJpppNcm+/oEN/IksOGHoYFcWnmUTWTjqI4jA+ZdNkBZt5KAPd/dy5twCU8YZNRoYYf+eURCEMEChnlF897JoQBQeENwj2jDORTEI428n1k0QRci6OXYvi6JQEwcAksdnldWFXoiS9Obd3HuXZfkIA2Onzi3b5Hn3e5BlwQkjB9u5ufcuy7JRnz+ELWTcwg3ayEH3u98ld1ox5eVLdvkG3u/C1guuqKFOarj9LuwI5FgEOtjvwpaoSBIBeYH9Lkr3tN/seJHc8cLuCuDaJ8EhO3a8sBWCS5248XXveGFrpCwjAgrTIjsrbQov2AqH3fHClw2m6053vPDVgtl67x0vfIVgfiYZerQbPOHLBpNqRzte+DoVUec+veCSLxMc9dnVjXPHC18ymAY62/HCV9rHjhe+Okqq6rLpG7bkHne88DWCeWr/HS88iQe7epF7drx4j8DcB0UJ+1+9EAQhTNKhNXcPqxeCAVF4QPD61oZxLopBmIMk1Gbu1QtBlL5XLwRRqLOnAEhWnyllRbkQRTmI5QtJPsLISKp2QssX5Wa2231eVxacMHSwDb5v+UKSjfoAImyh5YtwgzZy0Ie7Vzn37Dvxb8q2RAMj7N+5CYIQxifUuQ2wV1kwQAoPEO7krFuVVZzmHWxP5r448b0PbME9Fw0uIUl04i8FUYT8pXVLyWNREmp2AzjK+ixJbCQXoiS9uUv/xmZJQsL43am/rDd2xP3mRFlwwtDB9pfejc2ScNRHEIELGcxwizZy0P3uj1E2ujfKJLbSZXGeZWVR57t0Q++O4eoFV99Qvzfg7hhuBHIsAl3sjuFKVCSJgLzA7pjfbI2R3RrD7QfgIinBHru2xnAVgmuiuOv1bI3haqSsNwIKs6quznKbxAu2RJG9MfeS/sVb59fXl9frtN88f/LbT8okeag/dM7Xo67Rb/L/w9hqAd7m44Epvds9NGy1YE6n7KF5ZIJ3ugr8V9dhtql+h68azOxdVAIG5sGFB+MJHwNMz/R9NmvtRvaD1xvCRfGUT6GIFHA/MpE93QrbEXzJFwymGricAgafxgw+DTj4XPHRwBxF27dT1IVz3w5bacf7dh5dvRx03vU8rdd8xZTcyuo2mxI1MOA0bASZvT33B5tNA7gInvEJwOxK2vnzyET0dCtqR+xzntiDXUlSZ9YZyjfKxH6a24mJ8vW+jiQJQpiHROcV+l9HkgyQwgOE1/Q2jHNRDMK0K6Ekda7YSKL0u2IjSUKdLgY4kqSoz5R1puBClOUw1mxECQljZReV2rZe21xdknguoxEFJwwecJFBWbMRhaM+hAhcYM0GaNFGDvpwt3Mr+4qJtnIpNRYYX/9WThCEMDyhVk5+M7dkQBQekL2tmyAGYfTtxLoJoghZN9dmbkkUatoAQFSVn5VWY3MhitKbdfNs5hblI4yMnRq3dJPmU49xkwQnDB1s4+bZzC3KRn0AEbaQbws3aCMH3e9eG+s4pJ1Y5qVTu3SD77Vh6gVX5FAjNeReG2YEciwCney1YUpUJImAPP9em/T+VhvrhvA6Tor15mwL7jkbF1znI5hA55YSpkJwuQ73dr4tJUyNlGUvQGGdJvapwwu2wgF3lORmR4naLOpm/h0lXDwwcXW8o4SrFsxc1B0l2csdJc6L7d7hqwbzVxd218A8uPBgPOFjgElonx0l2YPXG8Kzo4RLoYgUcD8ykT3dCtsRfMkXDGYauGYABp/GDD4NOPhc8dHAFNXhjhKuUoEdJdnLHSXOp/War5iSWlndZluI+Qecho0gvaMke/B6A3h2lHAJwOxK3lGSnW5F7Yh9zhN7sMsQhXNHSU7DRPn6X4YQBNl1Hr72AavnHpYhBAOi8IDglaoN41wUgzCXSKhA3csQgih9L0MIolBnQQGQJKvOktrKciHKchDrEJJ8hKGxi8JsW57lm2nr3FOiSYITxg64poAb9UqWjfoEImyhdYhwgzZy0Ie7Fbhw7h9R1FhgfP0bN0EQwuiEGrcBtgILBkjhAdrbyAliEAbjToycIIqQkbNWuY9FSahZBOBIy+Isq20oF6Iovdk4/05gSULCUNmpkVObvK88Rk4SnDB2sI2cdyewJBz1GUTgQk4u3KKNHHS/O0pKG532ZoWXrtilG3xHCVMvuCKHWqshd5QwI5BjEehkRwlToiJJZMo7Z8sD1+UIts25A4SpEFxew92YbwcIUyNlmQpQaFV3wVY34O6P0uz+qDYLsIV/9wcXD0wyHe/+4KoFswx190fxcvdH4dn9wVUN5pouvKmBeXDhwXjCxwATxj67P4oHrzeEZ/cHl0IRKeB+ZCJ7uhW2I/iSLxjMMrDBBwafxgw+DTj4XPHRwPTU4e4PrlKB3R/Fy90fzqf1mq+YklZZ3WZbNPkHnIaNIL37o3jwegN4dn9wCcDsSt79UZxuRe2Ifc4Te7CLCKVz90dJw0T5+l9EEAQhzIyhle4AiwiCAVJ4gPauMgUxdj2CB4NQjboXEQRRel5EECShTmAiHDaKC1GKA1k/kCQkjJJd1GjbSm3zMprE83YhUXDCsAGXF6T1A0k46uOHwHlb9App0UYO+nC38JbOnSAVNRYYX/8mThCEMDyhJq6HLbyCAVF4QPY2bYIYhNG3E9MmiCJk2tZLrfddmyAKNW0gIDaKC1GK3lybb/OuJB9hUOzUs1WbDF95PJskOGHUYHs23+ZdSTbqs4ewhSxbuEEbOeh+t3xUNjptwmovXblLN/iWD6ZecBkO9VBDbvlgRiDHItDJlg+mREWSCMgLvLAn+80be4Tf2MPsCOCyJ8EZOzfXMBWCq5e44fVtrmFqpKwCAgrTMrWPyhdshcNtsEnjh/oj2axx1/4NNlw8MKV3vMGGqxbM6dQNNvXLDTbO9yK+w1cNZvYuCgED8+DCg/GEjwGm53022NQPXm8IzwYbLoUiUsD9yET2dCtsR/AlXzCYaeBqChh8GjP4NODgc8VHA1NUhxtsuEoFNtjULzfYOJ/Wa75iSmpldZttieofcBo2gvQGm/rB6w3g2WDDJQCzK3mDTX26FbUj9jlP7MGuzVSuDTbr7RgwJsrX+9qMJAhhGhKdV5Bfm5EMiMIDgtfwNoxzUQzCLCuhAnWuzUii9Lw2I4mym3I9KGhFm8dnlXVv0IUoySGsz4jyEQbGLsqyTXGWxuvp/NTzRlVRcMLIAVcUcKNeybJRnz+ELbA+AzRoIwd9uPuiK9eWmtT/oiJLLDC+/m2bIAhhdEJtW//7oiUDpPAA4TbOfj/77y2++f4ff3CSVPFJHp8k6iQ60V7247X/bZdWXluc+bm2v987aRcdPrn7wqy7fGYWJsyaxsftWsrPHCsRkvEijPqd+EVBFCG/aDVZj0VJqOkK4KiSs8K6RflClKQ3u+jdhC1KSBiSOzWMm5f/pZ7XOYqCE4YOtmH0bcIWhaM+gghcyDGGW7SRg+53R491hlJ7wNRLV+3SDb2jh6sXXPdDLdyAO3q4EcixCHSxo4crUZEkAvICO3qU7mm/2dMjuqeH2xXAlVaCQ3bt6eEqBBdMcePr2dPD1UhZeAQUpkVmvwzsgq1wwD09mdnTk6+X1dPUu6eHjQcm9W739LDVglmduKcnTbd7elLn+xff4asGc3sXtYCBeXDhwXjCxwAT9B57erT21xvCvaeHTaGIFHA/MpE93QrbEXzJFwxmGrigAgafxgw+DTj4XPHRwBTV3Z4ettLu9/RsB513PU/rNV8xJbWyus22SPUPOA0bQXhPz3aw2TSAe08PmwDMrtQ9PbrvbEXtiH3OE3uwi0O1c09PRsNE+fpfHBIEIcxEojMLAywOCQZI4QHCq3rr2pCK07yD9aAT8/7fz8wfefGtVW39b/onq4L+l6ag/3X7132xqXt/1/e+YMnIEuaCCUWyexlJEKXnZSRBEuocNsBR6hHaOkRfiJIcyDKSJCFh8O6idNwWkNlm0cHz3l1RcMLQAVc9pGUkSTjqI4jAhZaRwi3ayEEf7n7x2rnxKKfGAuPr31sKghCGJ9Rb9rBfXDAgCg8I7iVtGOeiGITRtxPjJogiZNyc+8UFUahpAwDJ6jOlrCgXoii9WTffhnFJPsLI2Klx27y8MfW8jVMUnDB0sI2bb8O4JBv1AUTYQr4t3KCNHLT+3x+uzFv+nt+ZfXMx++j9Dz+wRIJhzHIbprZkyoOpqmwX07UPyK2V4rY2W4GsYr/CFrvbxzyBBR3VP5p5uNXekld3Zqy3A7347km7uecLM1fUeq9fvfgLbbd+acPS5kn97gWb7d6o6Ibbb1Bcr54XD5+UWW4+zMtn8sR8KPNR6w9lfqrMArsyv6bMV1SlP4rUfJg/Vusf6edEfySx+cjNh/5KlZrfSM1Pzb9RpZVrpOUGKqcHCl/9MNF5aqLz1ETnqYnOUxOdpyY6T010nproPDXReWqi89RE56mJzlMTnacmOk9NdJ6a6Dw10XlqovPUROepic5TE52nJjpPXdF5yo+OokcHX1nRwbk0wbk0wbk0wbk0wbk0wbk0wbk0wbk0wbk0wbk0wbk0wbk0wbk0wbk0wbk0wbk0wbk0wbk0wbk0wbk0wbk0wbl0BeeSHxx8AOHnqPUCcfGwMUFqTJAaE6TGBKkxQWpMkBoTpMYEqTFBakyQGhOkxgSpMUFqTJAaE6TGBKkxQWpMkBoTpMYEqXEFqWEH6d6yYiBItGfrmYnMMxOZZyYyz0xknpnIPDOReWYi88xE5pmJzDMTmWcmMs9MZJ6ZyDwzkXlmIvPMROaZicwzE5lnJjLPTGSemcg8c0XmGT8yeGInrljqwDw3gXluAvPcBOa5CcxzE5jnJjDPTWCem8A8N4F5bgLz3ATmuQnMcxOY5yYwz01gnpvAPDeBeW4C89wE5rkJzHMTmOeuwDznBaZ9sN7bGp8/8Dmh7rZE5/r//shGoa1QaaVIq6QudFTvvbWzhy3RRq11EeArbLW7dmHPDdG7Ruju5+2k0rde7j99bd/qerfzp3e/OLn7vv4Fsyn11+1C3CfttlOXQ2LC7qZ8yb3PTImKJBGQ59/7XJ/c/a1Z52w3Dn+rbZhf6nb41Gw6ftkQn55cfzj7j8sPP3h4YlZBX3z77OSd97/2/uThamH1y7vPVwur30/UeiP1y2b/uF1qNavW7XLr5/p7b/6H92eTP/7w5MlCj25fe3+m9STq5E39o/94kpZ1/PDVXcrrFVez8fjLF39u1mpf/NdX/8A7j7IijvXf+/nDVY9bb9Ne78T3/9Htn9Se/GemU66+vRH7xXZD/y9PkvrFd9Pc/HOx2vwhs8f/F/rH+h98dae4/ltffPflX/0XbSy+3e7G1hL0X2bi9nJ1+Ud3f9OuHluf7HN2TwI3tBEmF51bp5kKwX1p+Jyhb+s0UyNlfxegMMtdtyFyBYrsnL4/GWuP69t82WBOp++ITjJVu7dEc+WCWZ2yJdqm8B2+QjCTk6p+tB884csGczK9BrfpfMrXqYg69+kFl3yZ4KjPnhd29YArvmQwDdC2J3tGgXf5Ujven2xTd81XR8lVXbZ9w5Yss/fYpvEZXyOYqUi1uk3ic55Eo3E5X1azeFJFqSrTKI+LKqonkzpalHW1nNfLarpcriicNfXXJ13u+2grVWdlXdMwUT5b9e3BolTgNpCviIIQVjfR4vxHbSH0l6vq7vN2g6wplT5t93v8tbWx3hRlVDgjXvDaMM5FMQjrsYRq61dtXf3rdh7kVy++bcN6SxRLZFuHtch9LMpBXVIGKDxlnCBIbzs6ktjlnd6WBSQMeqQ6JrSlo97sAPBc0i4KThhC2Nbd3apXsnDUBxCBC+3pCLdoIwfderJ0lpdqlpXRRC0L/d3lPKqqaRUV2SzX35yVlVo/zz16stTlyTL79TaeWGB8vXsySRDC8AR7stWscTt7vrsA8uK/OjyZJKPCGff1ZJIYhAGV4MlcM+CSJDI27CxWNpTHoijURACAZOqsdpyLkiTpzYpVWXUW1zbAt2UBCWNdl1Ys29zFlnlu1xMFJ4wcbCvmbtUrWTjqE4jABawY0KKNHHRrxeZFOanyWRXNs1R/N0myqErVJFqWarmcJNNFMl2Psj1ascxpxTJqLDC+/q2YIAhheEKt2A/aE97mFrRvuXyXIJDCgfb2XYIYhNGT4LuguTBJLBkTZuN4LMpBHf8BCvdcmCRIbwbMvfVBFI8wvnVqvzZnmDPPqXRRcMIAwrZfaZ45Z8JE4aiPHwIXsl/hFm3koPu73NgxCmk7lVvZNie36l22YffxctXujhdHsY+XC5tjsF3s4+VKVCSJgLzf7OM98n283J4E7ugiuGnnLCZTIbiBi2CM3ft4uRope6MAhR7TyxQoso/3njew3YCcmbOZWbG+hDTLvTcgs/HAzN/xfl+2XDD7U/b7PjLR216BnDkPm7/DVw26gC4qBgPz4MKD8YSPAeZ3+p7g7a2kWvvrDeG+AplNoYgUcD8ykT3dCtsRfMkXDGYauOwCRp/GjD4NOPpc8dHAFEXbY5zGWXWmHHuM2VI73mP86OrlqPOu53G95ium5FZWv9nWsv4Rp2EjyOxDvj/abBrAfQcymwDMr6Rdyo9MRE+3onbEPueJPdAFmdR1A3KmaJAoXf/LMYIghOlKdAoCWI4RBFI4EF7D2zDORTEIs6mEAhJbjhHE6nU5RpCDOh8MUHgqU0GQQ1iOkcQjjG9dFFfbEkttJu+Vp8ySBCcMIHBdQFqOkYSjPn4IXGg5JtyijRz0oW5MTp2LNwU1Ehhd/+ZLEIQwOKHmi7ctWZBR4Yx7+zFBDMJwSvBjzgl9QRIZC+beliyIQk0DAIhvW7IgSW82zLstWRKQMNZ1asSKTdouPEZMEpwwcrCNmHdbsiQc9QlE4EJGLNyijRy0ufX34cqC9HbTnXvDcWWlTKukKmtzgm6HsqcdMtak9hW2WnBtDHVIrB0y5lVRxkhpV/Xiz+4+X90HbP6iu589PDHvZVhtbnjxPfMHbfhvsvFzDL+TPTNMiYokEZDn3zNj9rj84MV3zLu578zLrFe7QNabTX70SuN9akzwD+/+5u5/u/vxSRa/+G6lXnw3i7e7VT7Xrvjf7n7+4jsn7fvBzcabj/UvfnpSxmYHzF+0LwVv3+7eWujNXppWk9nKEj/MVfvysiROqs3NDPrbRoktwufsCIMrfF1YT6ZCcKGOZCmde0mYGinrXYDCwqbugq1OZCMJYRqOKxtMffQNIlVWuveHcNWCuY+yP8Sm8B2+QjDfkVwy2g2e8GWDeYq+98Om8ylfpyLq3KcXXPJlgiM+u2Rw3wfHlgymANpeDfcg8C5facdbNWzqrvnqKGmqy6Zv2JJltmHYND7jawTzFGmjhU3ic57ElQWY5rNqmkaLPJ9F+bzMomqSLqPZXBXLeFbMllnf2ysy93VweUzDRPl6n+OXBCHMe6EV7H/Xtcqr2+tfvrbm7lfrt/zpKveTVZnSrgf8ZVvg/sr96hrJCCg8AniFaMM4F8UgzON1UIZJkgitADi2YUiSUKcfAY7izFHWSXL0Nv2fJEXurABFCQnjIKmyCcz/5/F6tnj1Axv4E1lwwrjBNvOeZr2SpaM+gQhdYAEAaNJGDrrPg7G503mlPrry3rHfYSf+uWrBiRDUNg018c/FzzH8Lib+uRIVSSIgzz/xXxzcxH8dJwU08c+NMDgN1IXjZCoEZ30oTtI58c/VSJlRQRSqvLbb3Qu2xIFn/9mywfzX7ew/Wy2YAPef/WcrBJMeySOj3eAJXzaYrLqa/WfrVESd+/SCS75McNhnFwzu2X+2ZDAPdDf7z1bay+w/Wx0lV3XZ9A1bcp+z/2yNYJ7qYPafJfFAZ/89r1nNcxomytf/7L8gCGHWCy1jJWb/BSOg8AjgZeLd/95eDvTxianpdA1nakJD7ihuzkUJCRN8XZRpgiQ9LwwIklCnJRGOMs7PYlfVJ8hyIIsDkoSEYZJU+IQWB/LNTLLnMhxRcMLYwfb6/sUBSTrqU4jQhRYHwk3ayEH3uTignMbMfvZhQ1fs0g28OMBUC86ToK5qsMUBJn6O4XeyOMCUqEgSAXn+xYHkoFYHHp60F1j+qu0T3zFaTnSXai/GNH/s5CaNsyiJTea7H/NzdszBeaMufChTIThNRPGX7uUCpkbKFAygMM2tMbxg6xt6rYArG0yHHa8VcNWC+bCDtQKuQjAHkiwz2g2e8GWDuauztQKuTkXUuU8vuOTLBMd8dv3gWSvgSgaTQIdrBVyl/awVcNVRElWXTd+wJfe6VsDVCOapLtYKOBIPdK1AedYKvAci7mOifP2vFQiCECbB0KpWYq1AMAIKjwBeNdowzkUxCJN6XRRigiQ9LwgIklCnIgGOtChcNzZKkhzIcoAkIWEkJNU2oeWAajN3XHmWAyTBCSMH2877lwMk6ajPIEIXWg4IN2kjB93nckBhY9POq7ayrS5CKuN0l23gxQCmWnAiBLVNgy0GMPFzDL+TxQCmREWSCMj7v+0VQdwIg9NAXThOpkJw1ofiJN1T/0yNlBkVQKF1VL5gqxOZ+L+XQm3vmlLx+kUvee150cvbfDIwN3a8NsBVC6ZHytrAIxO87VumVmG2qX6HrxpMk114agPz4MKD8YSPAaY7+vrB9r0vWvvrDeGieMqnUEQKuB+ZyJ5uhd1fZ+AKBhMMXJgA404DjjtXfCowKdGWIpJUKecLpthSO16LeHT1csB51/OkXvMVU7Ipq8ts6zz/YNOwEWTWK+4PNJsGcBE84xOAmZW0mvHIRPR0K+r+ugZH7IGuaxSuF0wp+x0DTkiUrvdVDUkQwlweWp4LrGpIRkDhEcDLXxvGuSgGYW6ygxpTkqTfVQ1Jkt386iGBK1bX/UeSHIexpiFKSBgHu6i/NlWY2lyWozz3H4mCE8YNuHQgNOuVLB31CUToAmsaQJM2ctB9rmmUNjbtuxIvW7bLNuyaBlctOFmDmqah1jS4+DmG38WaBleiIkkE5P3f9vYjboTBKacu/CZTITh9RPGRzjUNrkbKLAyi0HP7EVfigAsb6XqCUSXehQ02GZggu13YYKsFcyRxYUMl24WNVZhtqt/hqwZzZRfG2sA8uPBgPOFjgDlvj4UNrf31hnAvbLApFJEC7kcmsqdbYfcWNtiCwSwDVyfAuNOA484VnwrMTB0ubLCldr+wsR1w3vU8qdd8xZSUyuoy22LPP9g0bAThhY3tQLNpAPfCBpsAzKzUhQ3dd7ai7i1ssMQe6MJG6VzYSGmQKF3/CxuCIIQJPbRGl1jYEIyAwiOA18Dkq50kCQlzl13UoIIkPa95CJJQZ1wRDt/VTpIsB7LuIUlIGCa7KM+2RVq6mSRPPYWaJDhh7IArC0KzXsnSUZ9ChC607hFu0kYOus91j8rGpm1Z5mXLd9kGXvdgqgXnclBPNdi6BxM/x/A7WfdgSlQkiYC8f0cXO3FjDs5RdeFCmQrB+SaKu3SvhDA1UqZtAIXOi524+gZcBsk305GZfxmESwbmy46XQbhqwZRJXQbJXi6DZJ5lEK5qMHV24bMNzIMLD8YTPgaYAvdZBskevN4QnmUQLoUiUsD9yET2dCvs/jIIVzCYYuBiBRh3GnDcueJTgWmpy2UQrlSBZZDs5TKI80m95ium5FNWl9nWfv7BpmEjSC+DZA9ebwDPMgiXAMys5GWQ7HQr6v4yCEfsgS6DVM5lkJwGidL1vwwiCLLrOXytA5bsEssgghFQeATwktiGcS6KQZiv7KLKFCTpea1DkIQ6ywpweG6tkiQ5kJUOSULCSNhFBbatwzZvPFCel1iIghNGDrh4IDTrlSwd9RlE6EIrHeEmbeSg9f/+8BWLYuzXH/j8WJcrH7XrBlFVWGnTssqTOlX33ufdy9pHas8JX2GrBSdwUCP1T9og/fzuJ/rzp+3axt0vzMfnxBWRu1+b9Y4Ts79ff8n8zicn7Vz8Z8annWQP05N2dt38G5+9+G/ajJlpc+3KvtX+7Z+9+K/6393MqX9q/vBn7T+nf+nE/L0rCVpVO9P+idPCMWOaYzHtZEGFKVGRJDLlnbPlgRNDXbhCpkJwkofi9txrD0yNlLkSQGHqEHjBFiiy+LAr2/1WCbZsMB/RVxaSNHGvLHDVggmJsrJgU/gOXyGYhEgeFu0GT/iywXGevmpg0/mUr1MRde7TCy75MsFBn23o3W+VYEsGswB1qt81CLzLV9rxTL9N3TVfHSVTddn0DVuyzCy+TeMzvkYwT5Hm6W0Sn/Mk9ri/LbE2vy7ySqvuTUnrfrk3prXrIo+pFsyv/z6LPGZMweTfSZHHlKhIEpnyztnywHzfRZHHVAim926KPKZGSuoEFHqKPKbAoYs8rmwwHXVc5HHVggmJUuSZ7WPly+1jpWf7GFc1mJikCj+ubHDspxd+L3dxlA9eD7xnuxiXQhEp4H5jInu6FXa/QOQKBhOGRIHIlQxmEGKBWCXurWBcpR0XiGYrWPlyK5hz8LjmK6Zkvi67Q8OWLFM03h80NgH3bP3iEoBZkVRSmq1f5elW1P3ikiN2vaS4Hqp7XVJMnG8lVLWVJK2SuijzNHaGHVPLKzdzZ7nJVAtmdbTcpJ6nuvvx3Q/u/ma9a+vTu1+c6D/5qxffacvAVzZuvfjuyd3P14do2r9N16HfNX+X2d71bVtE3mRHBDQMnRSLTImKJBGQFzhiVZ21J6lea8zdrXfr5vux7gI/jNp20W14cvdD3WbmCrg/09948a1Vn/jViz/T7WcO0enfO/l/Xr1z8tb1yd3fmzNcJ+uDdB+fvPPkJC5U+c3/YI533f1jov/z39uTXZ+b41Qv/tr8VWY24ZN2DuKXJ1ms4hffTbI4fmikfGamFczvf9zK+9mZrQXO2S0A2psu6mGmQtDNdFMPMzVSXAGiMDtTNoEXbIFD18Nc2WDGZNTDZeraaPVVvlwwZVIKYpvCd/gKwTQpVfxyZYO5jF782nQ+5etURJ379IJLvkxw1JcoarmSwTRALGrdo8C7fKkdV7U2ddd8dZRc1WXbN2zJMhWsTeMzvkYwU5FqVJvE5zyJRuMyqyeqTqsoS5JllCSLRVTXcR7Nk6JIJrN4Oq3X6cFZsX590u2hpMT8x1G3FvY76JycKKCttvVwUepbG8hXREEIu/HR0vdHq2K0vfHh1VK1XfdcF0lm9XN1Y4RZHv37u7+9+9HJNx+lytxAcdJ8+CcfzL/y4eQb85PmT/7T4htvvf/BwhaZN0Ujo/DI4PWlDeNcFGM3VXswOijSJEl2M7iHhFDM2Tgei3LsJlAPx/4FnyRIb4eV3IWhKB5hbCTVO4658M1JpSJZH2spPJdni4ITxgy2xU+yxO3yRemozx9C523SK6RJGznoXvesWRODNmOpFW6zHFLswg27iMBVC86OoE7qgBYRuBHJsYh0sYjAlahIEgF5/24XEbgtAE4ndeFPmQrB2SOC73QvInA1UiZmEIVuT8kUKLKIcC/z2q5tK7L19UlF6r22jU0GptSO1xnYcsGsSllneGSit914Vzjvnn2HrxrMrl14cQPz4MKD8YSPAaZE+lrEdk+N1v56Q7g34rEpFJEC7kcmsqdbYffWLNiCwSQDFzTAwNOAA88VnwpMTLRljVRVhXNZgy2142WNR1cvB5x3PU/qNV8xJaOyusy2PvQPNg0bQWbp4/5As2kA9+Y9NgGYWkkLI49MRE+3ou4tkbDEHuoSieNklq7JMxolitf/AokgCGESEC3r+1wgEYyMwiOD1842jHNRDMJkZxcFqCBJrwskghzUCVqEwl3MCoIcwgKJJB5hbOyiKNuWZtlmNt1zrbYoOGHMgOsJ2gKJJB31+UPoQgsk4SZt5KDNuYuHK8/S33mLzLlvRVkx00qXZVVdDfP+mtz1/hqu2t2xY/Clkr/Tv/DDk7ufniQn+o991k7Kt3Ps7WtsPm9ft/fJ6tS+tmDtL3/54s/bN9x8z0zo/8gWnzfZ8cmx+HSycMKUqEgSAXn+hZMUXzf5wd0/3X3/7l/v/sd27cR46/X7ivTfkiTpyVc/mPzJcqn/zn/Wf+MX5saFVaOv32dzZ16h81f6++vrItZ95Md3P4p+763Nmohu/4/1nzCvtfmJ/hv+TP9NH58k6UO1fpPOF6vX3vz0xXdefLd9C45x+F+0jv9L04k+t17P3P7Wr1bLPPrzW+aaCN2/Tor4xXfTci384YlZ2Gt1fNK+hMf8Kd1fteaPTYff6aPtqo75p1+9riKP9d+oP07WcnUgV+/rMUHSPzlZ30LxRRtl8/HJ5mEwb3p68Z17f2Oy/ct2pPyqLXR+vVZrLqA2L6t89UFtr8DY+esKI1B/uNabmB0XnArswu4zFYLTegQb71lvYmqkzI4BCus0OctsCi/YCkUWnAjemysb9B2M1aSsrN2rSVy5oPGgrCbZFL7DVwiaDVKRgvaDJ3zZoAegrxTZdD7l61REnfv0gku+THDYZ1dsnnKNKxnMA7TlHc8o8C5fasfLOzZ113x1lGTVZds3bMkySzc2jc/4GsFMRVqcsUl8zpPYFlJZtYyzaRXFaa6ivMyLaLLMplGdz+s8K4t4mk1XFM663zMBwq393adW7PdGODlRwP4XZQRBCBOP6ATC/2nqs7byMbWI+fhpW+2YmvDzPzLVSvZQPUis0+FvisIqHBYvtW0Y56IYhDlTvPB68Vf2DatviaLILLQoG8hjURDqTC+CkVVJ7VxsEWTpcbGltuK9LYtHGPNIdUxosaXczMw7r8N6IgtOGDj2sO72Nr2SRaM+fwhaaKUl3J6NHHTryOrJclJO5rMoLeI8yqfLKqqSNIuytM7TvMhVVa6dSp+OLHU6Mtd5aWcwMMD+HZkgCGF0IjuyrftKrc/om6JgCgfb230JYhAG0U7clyCKiPvKXJPjgiDU0R/ASMsiq20kF6IkPXqvtLLhvS2LRxjdOvVe9SZX1x7vJQlOGDb28F72Nr2SRaM+fQhayHuF27ORg269VzmtCxVni8j8Zfq7VRVNy2WhfxrPJpNJUaSTxXu9ey/nXpjSdSbaGQwMsHfvJQlCGJ1g79WeB/1Vuwy/3gDx83bF/hftazQ+aXfRfGpW+M1Ohp8+PNF/4p/v/vbux3f/cPfDux+0ju3uXzLreu6bosFQeDD29WuSGISBF/drus1+ZkN5SxRFxK/FZ5myoTwWRaHmDAAkS9OzXFlZLkRZevNsSjl3SIjyEYbFLk1bubnro/Rc3yIKThg72KbN2ahXsmzUJxBhC7g2oEEbOejVGmYxm+WTaR2pLC6iPJ/G0TRO51GZzSZpPp/lqpi+17try52uLaMGAwPs37UJghCGJ9S1/au2Zp/dfdqeHTP7Nj978V/vbQL9o83Gy82m2Rd/aS6AWW3ILOIHaWkLxZuioVB4KPb2bIIYhHEX92zuOTZJFCnPZiN5LEpCTRgAR1oWZ65ZNkmU/hzbWeEybJJ4hBGxU8O2OXtUeo6TiYITBg6+YXO06ZUsGvXxQ9BCfi3cno0cdOvX5lldzLI8i/J4MYvyLF5E00Il0WxZLapJEi/TMn+vd7+mnH5NUYOBAfbv1wRBCKMT6td+rB3YJ9qz+R3bSXtIxpxQeu0EkfFsbDMnGCeFx2lvMyeIQRiTOzFzgigiZi47K2wkj0VJqNkE4ciS4qywLkBdiLL05uYSdVa77JwkH2HA7NTOqU36Vx47JwlOGDrYds7ZqFeybNQnEGEL+blwgzZy0K2fy/JpvpjPFpGKjfcrkiKaLtJlVM/zsjTmL64n7/Xu5wqnnyNv38MA+/dzgiCE4Qn1cz965U6A/7ryZubKXOPnPta27bMX33vx3178l83p57TS/uxB/DCP2/1td5/bYvCmaAwUHoO9vZogBmHAxb1aezj9Z2cn9nZ5SxRIxLEl9is8HouSUPMFwpHE6kxZ3eeFKEtvji1NzyprW70ty0cYEjt1bJst6aXniIEoOGEAYTs2Z6NeybJRn0CELeTYwg3ayEGvZuAWeV4lcRxN4mwZ5elyGk3rOIuWk2QeV7laZPkAjq10Ojbypj8MsH/HJghCGJ72cGy+2TTArQnyK5x/b7cmiEEYbDt0a4JAIm4tP7PO3T4WJaHmCoQjy+Iz+7HpC1GW3txaUZzVjkMJonyE4bBTt7bZxF56DiWIghMGELZbczbqlSwb9QlE2EJuLdygjRx069bixbSczpZpNJklVZRP54uoWmRFlM1m03w21/9EvO7tfbq1yuXWKvJmPwywd7cmCUIYnmC39vK6wHsXcOqfvvje3efmBsewj7NF403RaCg8Gvt6N0kMwtCLezf3qqgkipBrc8yxSZJQcwbAkVVFfZY75tgkWXpzbflZ7ZhiE8UjjIpdmrZqs4e98hxKEAUnjBxs0+Zq0ytZNOrzh6AFPBvQno0cdOvZkkk9T2dFElVp6+8yFU2TuooWdRkn8+m8VPnivd49W+30bBk1GBhg/55NEIQwOuGebfuymx+0V2t/58Wfn9z9j917s/9odRV7qsyNz0m6+jxTjvmcN0WjoPAo7O3VBDEIIy7u1Zw3XUuSiFi15CxWNpTHoijUXAGA1EV5lhVWlgtRlt68mvuKbVE8wmjYqVfb7F+vPOcRRMEJIwfbqyUqjc+yzEZ3JUtHfQQRupBdCzdpIwe9WhCdlmVRx1U0KRfzKF8sF9EkWcRRks/ieTadzJfJ8r3e7VoSO/2aokYDI+zfrwmCEEYo1K+ZV8x/sfJrf6+N23fb14F8cfezF9/SVs28Av7n7fSais1rPmzEb4oSK5x4b28miEEYYQneLLAGKgnUt0UTRKHmBwDEb9EEWXqzaLnzyKgoHmEA7NSibbakV54zBqLghAGEbdFcbXoli0Z9/hC0kD8Lt2cjB936s8UyK4p5MY2SxEy9JcUsmsxmqj2YsNC/ttAe773+/ZnzPQUVefseRti/PxMEIQxPDH9mXhD3ufZof/biO+25AvPaut82by4w82q/fvE9bdZ+dffx74T9mmAEFB6Bvf2aIAZhuO3QrwkCifi1+Mx+Q/NjURRqvgBA0iw+y+wsF6Isvfm19Kxy+TVJPMKA2Klf22xIrzwnDETBCQMI26+52vRKFo36/CFoIb8Wbs9GDrr1a9PpbDFZZnWk8nwW5WW1jCZFrL+bTKt5or1dptbPcq9+zfkWg4q8gQ8j7N+vCYIQhifUr/1d+w6DL1ZvIG5v0m3n0z5dvV5Km7WPzdGD1f60E+3uvn/347t/ufuHu3/U//dP61XRu3+9+6e7H9z9s/78F/Od/5/+yY9P3rlSycnd921RelM0SgqP0t6eThCDMCQTPJ3zil1JFCE3Z921/1iUhJpMAI5aj4+ZjeRClKQ3K1dVbi8nyUcYLDv1cpvt6pXn/IEoOGHgYHs5Z6NeybJRnz+ELWTmwg3ayEGvFkeTeZLMVR1N1dLcxTuLo6rOl1E+i5MijtPpMl8Psb2aOedrEWryzj6MsHczJwlCGJ9QM/f9dkpN+7aofTfCp3dftJNrxYPc+qy+KcqncL59bZgkBmE0xW2Y+0iBJIqQDVvfbXTPh0miUPMAAFLU8VltZ7kQZenNibkn1UTxCANdl0as3uxBrz1nCkTBCUMH24i5J9VE0ajPH4IW8GFAezZy0MaI+fyV483yPG+V2+C0rUqtcFmcZ1lZxuUuXPuO+Yf3LZNDK8UuFWfmHfFKi3UcKfsKW+3ucOGKLOiJ/vHuy9WC5N2/nbQrWusTmubG2ruf3X158spJzPZFUj+++8Hd36wntj69+8XJ3d/pX/jhyd1PTxKzeGleuP7Lk80Jz0/vPjcLnu3/fao/P7938PNHdz+yxedNdnxyLD5rT/VH738T6X42ib/HlqhIEgF55ol/eJKdvPhfVy159+nZyd2/6BD/+ndP3nwrPTt59ext27K/fLVdv7z71botf3D3T9ol/+vd/4jacx/fWs17nuj/6L9L/y1Jkp589YPJnyyX+u/85/W9xutGb4+HfM9cd/yTF3/VzpC2/WXdR35896Po9946aW9F/vREt//OCRL91SR9qMwy98MT81edGL0vvvPiu6/fm6x/pDuR7lUt6WetzL9ssX61+q1ftQvr5vNbd5+0/eukiF98Ny3Xwh+e6L/wW+vbmb9og/G56a9a88emw+/00dUVzl+Yv+onbbA+0T/MzQEX/XGylqsDaWJl3nbb/uSkjZz+69som49PNg+D/tafvfjOvb8x2f5lO1J+pf/gJ/ov+Gz9DP1yczp625ymgXb/usII1B9nto57zu64uxnb0XFxo+88j8JVuOvhHQpx/56cxfbTC4/ZGnfNgUMjaszrNLG/meOCrfCe5XZIJNnte/7l4q3z6+vL67WDaZ4/+W1tOLOH+iM3H8p8FOajNB+V+agfPqni2Hwk5iM1H5n5yM2H+h3zcBhs44AexlYT9DY/KqCp2Ual+fo3rj6wpZd7nSwra8chma/y5YK+ZisXaTMTvdNVg311HWeb6nf4qkF/00UpZGAeXHgwnvAxQBuyxXD2FYd2I/vB6w3honjKp1BECrgfmcieboXtCL7kCwYzFFxPAoNWYwatxgxajRm0GjNoNWbQasyg1ZhBqzGDVmMGrcYMWo0ZtBozaDXgoHXFjwiYEf8TacBK46I6U9YB612+1IogFWmrq5eD1buep/yar5iSylndbVvd+weqho2Qgqn+oz0HqU0DuAie8QnAtPwRaYAyET3ditoR+5wn9lDXqnL7VoE39MBGo0Tx+l+oEgQhzN+ikzL0hSpBPoXz4TMWNoxzUQzCbDNev3oWqgRR+l6oEkShTpQDIP6FKkGWQ1ioksQjDHRdVGfbGm1z+r72XKggCk4YOuDCAm3TK1k06vOHoIUWqsLt2chBH+zub8dCkTZhOTUUGF7/JkwQhDA2oSZsoK3fklFSeJT2tnKCGITxGLdy7q3fkihCVs6x9VuShJpJAA7P1m9Jkt58nGfrtygfYbDs1Mjlm8Sfe4ycJDhh4GAbOc/Wb1E26vOHsIWcXLhBGznog713Ibcvx2onp6ihwPD6d3KCIITBCXVyApcuSEZA4RHY26UJYhAGW4JLC1y6IAkk5NVcly5IolCTBQDivXRBkqU3u+aZdpPEIwyInbq1zaVKteeSLFFwwgDCdmueaTdJNOrzh6CFzFq4PRs56IO9xDQ/y22h0GatoIYCw+vfrAmCEMYmhlnj3mAqSaxw4r3NmSAGYWzt0JwJAomYM/cNppIo1OQAgHhvMJVk6c2cuW8wFcUjDICdmrNik8wLjzmTBCcMIGxz5r7BVBSN+vwhaCFzFm7PRg76YF8IlJ9ZhyxtzkpqKDC8/s2ZIAhhbELNmdDrgCSjoPAo7G3YBDEI4y3BsDmPXwmS9O3UBFGomQIA8Ts1QZbenJr7dUCieITRsFOntrnrsvbcXSoKThg52E7N+zogUTrqI4jQhcxauEkbOeiDfeO2duu2UGizVlFDgeH1b9YEQQjDE27WRN+3LRkNhUdjb9MmiEEYenHT5jlzIIgi4tqc79uWJKFmDIDD+75tSZbeTJv7fduieIRRsVPTVm0yfOUxbZLghJGDbdrc79sWRaM+fwhayLGF27ORg24dW5ZP88V8tohUHBdRXiRFNF2ky6ie52WZ5vNZXE/e692xWVO7dmw1NRQYXv+OTRCEMDbBju0Vk/ZfV77si7uPW+/2sTZy2rm1m9bWtwCllfZmD+KHeWx+ljkn1wRjoPAY7O3TBDEIoy3u04KroYJAIm4tcbo1QRJqtkA4klidKZdbE2Tpza2l6VnlsmuSfIQhsVO7trmCvPbcKS8KThhA2HbN2ahXsmzUJxBhC/m1cIM2ctCrvWqLPK+SOI4mcTsbt5xG0zrOouUkmcdVrhZZPoBfq2yheKNaT6gTQoHh9e3XREEIg9Mefs03jxb0aqL8Cuff06uJYhCG2s68miiQiFdzlHaPRUmomQLhyLL4LLEeZ70QZenNqxXFWW0d1t+W5SMMhx16NXMRXpva1z+wgT+RBScMIGyv5mzUK1k26hOIsPm9GtKgjRz0yqtldTHL8izK48WsPXkQTQuVRLNltagmSbxMy/y93r1abQuF9moJORQQXv9eTRCEMDihXu3HOsN/cvdzc5lau4XtE+PZLFd9f7m+1fy1W8eNjQv7O1uc3hSNk8LjtLenE8QgDMm4p3Ouk4qiiLi5zL614rEoCTWXIBxZUpwV1sR4IcrSm5tL1Flt390my0cYMDt1c8km+btfIiQLThg62G7O2ahXsmzUJxBhC7m5cIM2ctCtm8uL2SyfTOtIZWaWLp/G0TRO51GZzSZmki5XxfS93t1cYu0A2s6l1FhgfP3bOUEQwuiE2rl/1Tbts4CZYzs2wVAoPBR7OzZBDMKw24ljE0QRcWyx/Q6gx6Ik1HwBcKRlcZZZK9kLUZTeDJtynRuVxSOMiJ36tXST</t>
  </si>
  <si>
    <t>3t3vPJEFJwwcbL/matMrWTTq44eghexauD0bOejWrpXTulBxtojMGySjfFpV0bRcFvqn8WwymRRFOlm8179dsy4ZvNFuyKPFAuPr364JghAGJ9Su/Z/ahn3cvszgk82LAX/eurNf6F/+ufFv+hc/NW++M2/4++nDE/0n/vnub+9+fPcPdz+8+8HKyf2L/YTRm6LBUHgw9jZsghiEcRc3bM47c0VRpAybsqE8FkWhpgwAJEvTs1xZWS5EWfqzbMp1glSWjzAsdurZsk2Od7//QBacMHbwPZurUa9k2ahPIMIWMm3hBm3koFvTVk+Wk3Iyn0VpEef6u8sqqpI0i7K0ztO8yFVVrt1Mr6YttcVCm7acGguMr3/TJghCGJ1g02YWQc1LjVv7lT1UD+z3e74pCqZwsL0NmCAGYRDFDZhnxkwQRcSAZdbR/7EoCHXwBzDSsnDOlwmS9Ga+4rPUtVtNEo8wunXqvfJNqna/skAWnDBssL2Xq02vZNGoTx+CFrJe4fZs5KBXy5tZtYyzaRXFaa6ivMyLaLLMplGdz+s8K4t4mk3f6996WWdWtPVS1FhgfP1bL0EQwuBEtl7m3QRfmo/2rVNmEfPu860ds89yvikKq3DYve2YIAZhXO3EjgmiiNixRNlAHouCUBMCgpFVSW2/RfJClKVHQ1Zb8d6WxSOMeZ0aMrVJ4O63EsiCEwaOPQyZvU2vZNGozx+CFjJk4fZs5KD1//5Q/2Ht9373D3yGy/FGeZ7ZUmd/ZMPUXst+ZVxaJVVZl5naxWzfKf/wvo9yqKV4qOIs02KVlut4P8JX2Gp3Bw5XbEGj9I/aELWvC7j7t5P2FN/6xjOzh//uZ9o6vbL/q112/PHdD+7+ZnU/rf7lT8265Mnd981roV5868W3203/X9z97OGJef/n6mDni++ZP2+LwpvsKORYFNYO6o/e/ybSzWwSf48tUZEkAvLMjtKHJ9nJi/911V53n56d3P2LaYLfPXnzrUz/5EevNNWn91rgRP/nL82+vvZ3k/ZW4TjWjXf3w7u/ufvf7n58ov9jdgKaHX6WUJyzQ7E75jtCgRtF18W7bIW7HtChkOD/zmL7esxjtsbd9OLQiFq7Mins7zm9YCu8Z9ocEvc0bM7VS65sMF9tZTdf/8bVB7YRZVdrXWQOtV/lqwXz1VatReeuq7ApfIevEMxRJGOLdoMnfNlgUtnKdnYDJLxP+ToVUec+veCSLxMc9fdw+c4Vb65kMA38p44GgXf5SiuCUmbTX/PVUVJVl03fsCWnYOr6aO8H/xlfI5inPtr3oX/Ok9gaqVmeZEmc6MqxnkS5qvJoMluUUVFP5nGynE8nk/VD5qwWPWUzt2JMnDWj/RIkJycK2P/8vCAIYa4KLTt/tFNp/vLVOvPLu1/p4uXuv7d7V/+/d/9/XeT88/qVKHc/2VQoq59vqpgX383dL7QTDY7Cg4OXejaMc1EMwrRcF2WaIInMdL69VHosSkKdTwQ4yqo8K11VnyBKb9P5VRqfVdYNJG/LAhIGSVLdE5rQrzcTwO67G2XBCSMH2+q7W/VKFo76CCJwoSn9cIs2ctBmk4XPnHU6lV+4bFliPyG/xivvrVgMO5XPVQtOk6CeauCpfG4UciwKXUzlcyUqkkRAnn8qP39tKr89dX/3cfvWmZevD/zvxiW/+HPTROas16/ar3588kaiTlYvDCzMRxo/PHnxF203+PbJ9Rvv1HFivQnnnB0acJKnA8/IVQjO6VC8oHNqn6uRMl+CKExKazNfsAUOPLPPlg2mr25n9tlqwfS1/8w+WyGYskgOF+0GT/iywRzT1cw+W6ci6tynF1zyZYKDPtvuu2f22ZLBLNDdzD5baS8z+2x1lEzVZdM3bMl9zuyzNYJ5qoOZfZbE1dhfTpKqnumycR5H+dTcLZvon9ZVnFZFVWbTej3MOotHT/XMLSCdM/vrHfkwJwrY+8y+JAhh0gqtQsMz+/cqzPXUvnfz0ZuicVB4HPAiz4ZxLopBmIrroiATJOl3El+ShDqDiHCkteNG2wtRlN4m8cuyOosdxyRFAQnjIanECUziJ5sbDRLPFRWi4ISRg+3q3a16JQtHfQQRuMAkPtCijRx0r5P4pdOBKTteqao0VVmxizfwJD5TLTgjgtqnoSfxmVHIsSh0MonPlKhIEgF5/kn8pDyxeeHPzVS8/vZn7VT+X7a/9SvzRtIT05y6yb7VfqG9Zve+c9Y/+In5I2dmAeDju1+0f92fnbSXw33R3gL36Ulhn/1/uXNG/+F/aL/Z/qGP27/8Z7ZYn7NjDU4QdWFCmQrB+SCKuXSvCjA1UuZaAIVp4jrIyRU49KoAVzaYDzteFeCqBfNhB6sCXIVgDiRZZrQbPOHLBpNWZ6sCXJ2KqHOfXnDJlwkO+uz6wbMqwJUMZoEOVwW4SvtZFeCqo2SqLpu+YUvudVWAqxHMU12sCnAkHuqqQOlZFXCca3BxooD9rwoIghBmwdCyVm5VQDAOCo8DXjXaMM5FMQhze10UZIIkPa8KCJJQpyQBjjQ7K5SN5EKU5DAWBSQBCcMhqcIJLQqUmynk0rMoIAlOGDjYpt67KCAJR30CEbjQokC4RRs56F4XBSqnAXMeXKiLMi8ObVGAqRacEEHd09CLAswo5FgUOlkUYEpUJImAvMCiQKp/9o97LAG8+NZJ+8qXX7e/Yqb8v9B/8pO7z0/0f37hXF548d0T0/DtFZj/1v4x/Tf/dPuyZvPHzUqAef/fx7prfbb+ez99aG7O/PzMrBToPnL3k9VXzVsDzYugf6r/7+cvvrP+zW1f1ELMD1rV27/rxffMoYa255nf/2n7T7/y6sG/W13Xueqp5jTD5+tFjTYu39c9+kcPT9oXE76+bvHw9cWPFmCzLLI9CPHwpMg2P3r1Gy/++uTFd4zO9oiFVtO+BNEwmN82T8p3bN3tnN3dwCmyLmw4UyE4I0ax1+51EaZGymwToLBwb6ZhChx6XYQrG7QEHa+LcNWClqCDdRGuQtAGkKoGtBs84csG83Zn6yJcnYqoc59ecMmXCQ767BLKsy7ClQxmgQ7XRbhK+1kX4aqjZKoum75hS+51XYSrEcxTXayLcCS2hUW1KGdVsYzyspzqj2mt63G1jOKJSqtpli7LaraicBbknhkJblHuXBdJnadC7JwoYO/rIpIghIlAtLL/wf2C72UJt1Mcvl4Jntj43xTlVzg/XjDbMM5FMQjTmh0UYpIkMushNo7HohzUuViAwl3USYL0thjiLv5E8QgjIKmoCSyFpMl64nz1Axv4E1lwwpjB9vGV5x2eonDUxw+BCyyFAC3ayEH3uhRS2+C040qtcOuXMiTJLtywCyFcteAMCGqXBl4I4UYhx6LQxUIIV6IiSQTkDf+2Am4owPmaLrwhUyE4PUPwfO5Jeq5GytQHoNDztgKuQpFZ+nt57+Kt8+vry+t15mueP/ltbVWy3zFDkpFust/D2JoA3+aTgQmt24l8tlowpVEm8h+Z4J2uYv7VdZhtqt/hqwZTWxc+2MA8uPBgPOFjgLmJPtm/1m5kP3i9IVwUT/kUikgB9yMT2dOtsHuLAmzBYJKBiwlg3GnAceeKTwUmJtq6QZLn+ZlyLBywpXa8cPDo6uWA867nSb3mK6ZkVFaX2RZn/sGmYSPILC7cH2g2DeAieMYnADMraenhkYno6VbUvUUIltjWJ0J3/hoeZynsmQtglsN2G6cL4oxGieL1vwQhCEKYgENr6vDRjC5fxSAZHIUHB69jbRjnohiEucYualBBEpn1Cdd5DUkS6hQpwOF7FYMkSm9rFObS/tq1SiEJSBgku6jOtjXa5s6f1HOLkyg4YeSACwtbq7pexSAKR30EEbjQKkW4RRs56D5XKVLrc6pNWe6FS3fhBl6lYKoFp3JQRzX0KgUzCjkWhU5WKZgSFUkiIO/wXsTADQ04odSFY2QqBCeHKE7QvWrB1EiZY0EUOl/EwBU44KKF2kwe5v5FCy4ZmN86XrTgqgUzHHXRIn+5aJF7Fi24qsFM14UtNjAPLjwYT/gYYKraZ9Eif/B6Q3gWLbgUikgB9yMT2dOtsPuLFlzBYI6Bawtg3GnAceeKTwXmpS4XLbhSBRYt8peLFs4n9ZqvmJJQWV1mW6v5B5uGjSC9aJE/eL0BPIsWXAIws5IXLfLTraj7ixYcsaschVxnYHiclbFnaoBZHTsXLRSNEsXrf9FCEIQwH4eW2OFFC+Z9UpJxUHgc8ArWhnEuikGYZeyi2hQk6Xl9QpCEOjmKcHjeMiGJ0tv6hO9CKVFAwnjYRSG2LcfUZjZbeUoySXDCyAHXEHirXsnCUR9BBC60PhFu0UYOutf1CZf/Krxw2S7cwOsTTLXgrA1qnoZen2BGIcei0Mn6BFOiIkkE5P07eMcEN9bgZFQXFpSpEJxYolhL94IHUyNlfgZQ6H7HBFfggAse5WbisfAveHDJwITZ8YIHVy2YMqkLHsXLBY/Cs+DBVQ2mzi58toF5cOHBeMLHAHPfPgsexYPXG8Kz4MGlUEQKuB+ZyJ5uhd1f8OAKBnMMXKwA404DjjtXfCowL3W54MGVKrDgUbxc8HA+qdd8xZSEyuoy2+LPP9g0bATpBY/iwesN4Fnw4BKAmZW84FGcbkXdX/DgiD3UBQ/HJKYuuO3XUzspUbz+FzwEQQgTfGjNLrfgIRgHhccBL4ltGOeiGLsuwIPRRbUpSNLzgocgCXW2FeDwvEBDkuQw1jskAQnDYRd12LYa27xuIfW8QEMUnDBwwCUE3qpXsnDUJxCB87boFdKijRx0r+sd1uSg7Vflhct34QZe72CqBSdtUO809HoHMwo5FoVO1juYEhVJIiDvN6/P+Pfw+gxudwOn47ow4UyF4NQaxVy7l3yYGikzVIBCz02rTIEDLvnUm6nXyr/kwyUDPUPHSz5ctaBroC75VC+XfCrPkg9XNegeuig1DMyDCw/GEz4GmP73WfKpHrzeEJ4lHy6FIlLA/chE9nQr7P6SD1cwmGPgeg0Ydxpw3LniU4F5qcslH65UgSWf6uWSj/NJveYrpiRUVpfZ1r/+waZhI0gv+VQPXm8Az5IPlwDMrOQln+p0K+r+kg9HbFs3QfdUGx7nbINnuoU54+Bc8qlplChe/0s+giCEOU502qL7d4MI8iucH58NsGGci2IQZmy7qDIFSWSWemwcj0U5qNPMAIWnYhUE6W2dx/NuEEk8wgjYRem1LcDqzZpA7SnCJMEJYwZcNdy7dcv3bhBJOOrjh8CFVnnCLdrIQev//eGfrv+n/5L/8P58vvjgTe09rlrrYYJRTGfpdDqJo0W+VFFexcuoqsplNMmzeJKpPJnPJ++97t7MIZzX4rj42mIbndfDuPoX+Y+HqShHtTVsI7tfNbb0frwwytbE7T4BEBxeRhiisZ1oLES0mz0hIrys0EBvvGEneuMNAaRXrI27S35zMfvo/Q8/8DPyu2QSPxyVyt4vfQ+zSt1F327HgxCIHU/rHjt0j7m6d7sXpJvYvbTuN95wCNedj6H8lYJtuF6U2HtQEnuB1LBdyC56zBbdS/+xizYdi6H6IPqO3UyMEvt7xjZA7vfQ9tJ37KLHbNG99B27aNOpGKqN7HzovpM5+k7qBSqH7Tt20WO26F76jl206VQM1Qcx7uSOvpN5gaph+45d9Jgtupe+YxdtOhVD9UGMO+rhSKfUUab/L9cOOtf/Vfr/CuOm7cuEI7N07IGth+1X6uFYA4010FgDjTXQWAONC2Oz7UBjNlAvfU5pn52aj8x85MZ25+ZHynwUrQu3c5n+ygBr52VWYGbO7Q9e657glo0VLjzFuItuo/n99Y3GuzBplVSleWGrs5XADRuvaMb73HrdMSnWLyk5c77W6IatPyfrx5VfA8pv2coVRTl7JLMPUlzNu4NUWDO1tzwDYj5m6we3YjAGJMcYwxFqlE6KdJHkSRnVeVFGeT7PoiqZpFGdTBaTJFPFvF63hXv4+frEOV285xD0+qRxstoUoRvN02a/n9in1pyhQGNgfZaC6OznaY3eJFWwm47EkNsuUi2WebEoJtFyni+jvJqZN1kkRZRV9Xwep6n+q3b3MQzWRcxNNeEuktonNzzxwmIwUBdJ43AXEUNejSKT+XJqvjuZJnWUJ+k0muTTIipyNS2my7pOyvxgukgKdRF7Hep7pKAYDNVFUqCLSCG3XWQ5mxXLcjqLqnI2i/J6lkTTfDKLlsUkTSfTaVWV1cF0kRzqIjk1XlgMhuoiOdBFpJB3j90NWeI47njQkHWcqsxdiPZQ4qRh03rD1p+T9ePKrwHlt2zlu09L2G531VtGbM09lDhAzMds/X2XOCyhR2dOoBLHsSXZGQo0BkNlHqDEEUM+OnOSQSVO5vT7rnhhMRioi2RAiSOG3HaRxXIyT7PJMlpOp/Moz9I0miTTMopnWV3N0nyRZQczUZJBJU7m9PuueGExGKqLACWOGPLRzaVlUImT5dR4YTEYqosAJY4Y8kAlzuZcWaaC7L+fKSv7eqWqHnRxB9B/w9afk/Xjyq8B5bds5bsPUdiF79GJGgBlxEbpoSAC9I/Z+uUKokc6qKcbYfcKI5bgo8tXBZSv7DWiMxRoDIbKV+H6fSSGfHRrP1kJdZGSGi8sBkN1kRLoIlLIRze9kkHTK5nvxLf9kYJiMFQXAaZXxJCPb3qlhrpITY0XFoOhukgNdBEp5IELozw8tfT7ufc0RO0+w9FDYQTov2Hrz8n6ceXXgPJbtvLdhyjsxvfoRA2AMmKj9FAYAfrHbP2ShVEen26E3SuMWIKPzdLkCZKvcu+RnPuhQGMwUL7Kk2B3HYkhH52lyaHlgNw+N+6JFxaDoboIsBwghnx0K0Z5BnUR7wEbW7ywGAzVRTKgi0ghH90MXA6tGOU5NV5YDIbqIsCKkRhye0uJ4V5hH9Q5oNw+7ZiWVZ7G6f0XDvdaEYWnTW/Y+nOyflz5NaD8lq189+kJ2/CuesuIrbmP0icc8zFbv1zpY9OpSx6OUKN0muRFVmR5VKVzPSTV8yKaqqyI9M9m00lVp5NsPdocQCaCZnFzx44xVyjQGAyViYBZXDHklVlJ0rqeq1k0KSZVlKuy0lkrWUT1ZFZMF3laawd8KF1EQZvklGPHmDteWAwG6iIqPIkzEkM+uokTBVXFyrFjzBMvKAZDdRGgKhZDbrvILF0m82QWR8lslkb5dK7HnkWsosUyWRTaD2dVOj2YLgKVPCqnxguLwVBdBCh5xJAHXgtS4f1Bv6+UlX1T7rnvZOqh8gH037D152T9uPJrQPktW/nuQxR24Xt0ogZAGbFReiiIAP1jtn65guiRDurpRti9wogl+OjyFbRJTtlrRGco0BgMla/C9ftIDPno1oIUtElO+XeMWeKFxWCoLgJskhNDXt1Ol07VYpnPorgoVKTLJ11ExfM6imMVq6KqklodzPSKgqZXlH/HmCVeWAyG6iLA9IoY8tHNwClok5yqqfHCYjBUFwE2yYkhm7Wgh6ubCg9mDaiw77DYVIH3XsLcZyVUhHeI3LD152T9uPJrQPktW/nuUxO23131lhFbcw8lDxDzMVu/XMlj0/nGGyyhRmmcpXmx0DZGjz3a86a1NjRZEUeTTGevIlZ1Nq3fO5AMVEAbVgr77g1nKNAYDJSBCmDDihjy0U3wFwrqIooaLywGQ3WR8OTNSAz56KrhAqqGC3tp6IkXFoOhughQDYshr04VqmVRZ5mKymmVRPksm0dTPc5Ey2lcLBZVqv9feTBdBCp1Crvv98QLi8FQXQQodcSQB14DKsOr6L9f+k8WuN+t0EPlA+i/YevPyfpx5deA8lu28t2HKOzC9+hEDYAyYqP0UBAB+sds/XIF0SMd1NONsHuFEUvwseWrEjoPVPoPx9wLBRqDgfJVGa7fR2LIR1cYlSnURVJqvLAYDNVFgJ1PYshHVxiV0PRK6T8cY4kXFoOhuggwvSKGfHQzcCW0Oc50f1q8sBgM1UWAzXFiyH+6fWvxw9VpoNf6wW4woNcgsWLRvrOqLBz0ykef4afcIf24sW3fS+UQPWaL3rWykGjYza7ePeUQbd77ylBtZCdD953S0XcKLxC+Kw7ST+07dtFjtuhe+o5dtOlUDNVGthq671QPR1kVPxzpofGhdmyOl02X3u08GV5cQzjUrlQ9HBuGsWEYuxjGbIZeelZlXoZXmTffGQr9Cw4M0wkZHAcxTtW6r5WOl8KW3t1A2bAv9tTKxy7lY7byXvpVbfqVQ7rpdgzth+CXzJBV6bGrLh6Okjg3H/pnSZKaDz2SJWliPkr9kWXmQ/e9JDe/a94GmuTmy8p8RZmvFOYrhfmrCvO90vy0NL9humxSme/V+iONzUfSfugvp+bfSFPzo8x85OZD5eZD//Wp+UvTwvzIDLJpZX5a648sNh+J+UjNh9GX5e2HGYyV+ZH5CzLzF2RF5Xhe7OsFm5bDX5QBNRTxeTGDsW6dsW6dsWmdsWmdsWmdsWmdsWmdsWmdsWmdsWmdsWmdsWmdsWmdsWmdsWmdsWmdsWmdsWmdsWmdsWmdsWmdsWmdsWmdsWmdsWmdsWmdsWmdsWmdsWmdsWmdsWmdsWmdsWmdsWmdsWmdsWmdsWmdsWmdsWmdsWmdsWmdsWmdsWmdsWmdsWmdsWmdsat1xuzW6WNMaLNMZRKObh/zbvq8/TS/YJrIfJoMZBrJfJbmU4fBfJrRxDSU+Wy/k7d/SrXfVO03i/abRfs3F+33y/ZXyvZ32/HItJn+rM2naTX9maw+zZ9K23/XtJz+zNrPvP1Ueftp/sW0/VdM++nPNneaFtSftfk0bag/k/YzbT9b/aYdzWeba1X74/Zvy9q/zdWYZhBltGbbnKvWNIn3YLYZVo79TKuXTlWD3kpehSeeb9j6c7J+XPk1oPyWrVxRlLMTqzXNsDXvppmwZmpveQbEfMzWL7eqZh9jWEJbVz/JFlmqVKSmkyLK60UZTaezKkrLepFMk7SqJ/F7O2ZtqEnOCpoHrxx77lyhQGMw0CRnBcyDiyGvFlwnmSrivIqm1bKK8nKxiKp5mkezspjEKtEGIJ4eTBeBthlWihovLAZDdRFgm6EYcttF5vmknNTlIkqSIonyIp1Hk3Qyi7LFsppUk0U1O5yb6Stom2Hl2HPnjhcWg6G6CLDNUAx5oD1k9na1m/HVRrksHnSzWBXe6HfD1p+T9ePKrwHlt2zlu09L2Et11VtGbM19+NdwzMds/b37V47QlTnRuaisVJQpVeohSFua2nzMZtlMpXk8Kyb1eweSeWpoN1jtOzFkCQUag4EyTx0us0ZiyKuzvNM4VfOkjLJ8UUe5muRRNSv0H4jrtEyTSZEly4PpIlCJU/uOFVnjhcVgqC4ClDhiyEdXBddQiVMrarywGAzVRYASRwz5kPxr7TDpa0j3cmEP/rUOFxk3bP05WT+u/BpQfstWvvu0hL1UV71lxNbcg38FYj5m6+/bv7KEHl3mgU7f1X4rfy8UaAyGyjzhMmskhnx0/jWJoRpHf40aMSwKA3USzRPuJXLQR1cJJzFU5+ivUSOGRWGwbgJUOnLQA/nYR9tGD+/X102eW+lXuyWKON6l79PgIgQ3fIKcTIBrv0a03/K17z5MYcO1R1dqEJgRH6YH94sQjPkEcv73kYnr6VbaPSfM03xsi4hJDM3C6K/RgoFGYbAEBszDyEEf3XaEJIYuAdZfo0YMi8Jg3QS4BlgO+ugK6ySG9iTor1EjhkVhsG4SngIayUEPbofDt9zqJvcdsSh0te1yAL3Y4TDBDZ8gJxPg2q8R7bd87bsPU9h/7dGVGgRmxIfpxQ6HCcZ8Alk7XJ1upVnsMEfz8SUwaGpYf40WDDQKgyUwYHJYDvr4ZocT6E1w+mvUiGFRGKqbJOELvEZy0Mc3O5xgiwiJ7xIpa8SwKAzWTZBFBDHooe1wEr4TSjd56qVPd+l7tcMAwQ2fICcT4NqvEe23fO27D1PYf+3RlRoEZsSH6cMOAwRjPoGoHU7S0620+3aYpfn4fA62vJn47i+zBAONwmAJDFneFIM+vqopgW5t01+jRgyLwmDdJLz0NZKDbi9u0396fb3jQZ2uT5LCSp1WSZ2ounTffdaLvwnP6t/wCYT9TVj7LV/77kMUTqhddZkRX3QvPiYc9jGfQM7H2IQa98JRaqTGqlhW2TKNprrgMu+eW+ofTeuomteTfJYtiiw9nLXtBHrnoP4aLRhoFAZLS+Ep6JEc9OperKysZmWiomQ6S6I8Xir9tbiOEjWpk3QR57N6fjDdJMUm81L7vJYnYlgUhuomKTKZJwY90CyNo2ntxVxLqS3aoIdRtLhgO93wCWTdCqD9lq9996EJp82uusyIL7oPtwKEfcwn6N2tsJQeXxrCimjzxFKCgUZhsDSEFNFi0MdnalNsJ17qcfj2iGFRGKybhAuwkRz0YbkVj3XXlO5bNXtxK+Hi44ZPIOxWwtpv+dp3H5pw2uyqy4z4ontxK+Gwj/kE/bsVjtKjS0MZVjRnnvrRFgw0CkOloQwpmsWgj8/UZinWTfwO3xIxLAqDdZNwATaSgz4ot5LldsqySsukKu9te+/VrWTh4uOGTyDrVgDtt3ztuw9NOG121WVGfNF9uBUg7GM+Qe9uhaXUSJ2pbJJVkySqptkiyotlHU2qZB7Vs2W8yBbJfFpO3zuYNIQVzZmjfnQFA43CYGkIKZrFoI/QrWALhpnD4bsjhkVhsG4SLsBGctADuZVH20YPn33QTV5b6Te7eNzvY+vFxYQJbvgEOZkA136NaL/la999mMLpdI+u1CAwIz5ML+4mTDDmE8i5m0cmrqdbaRafw9F8dLMyOTYrk/uP6NwLBhqFoRJYjszKiEEfn8/JsXNJuf+IjiViWBQG6ybIuSQx6KF9Th6ek9JNbp+T2tAP+loBhOCGTyDrcwDtt3ztuw9TOLHu0ZUaBGbEh+nD5wAEYz6BqM/JzbmktbT7Poel+fgSGHYuKfcf0bHcpI1FYbAEhpxLEoM+QjuMbanKc2rEsCgM1k3CU9QjOejBfU74ajfd5MpLP+yOX4Dghk8g7HPC2m/52ncfpnBi3aMrNQjMiA/Ti88JE4z5BLI+R51upVl8Dkfz8SUwbN0qL2jBQKMwWAJD1q3EoI/QDmPXLuYlNWJYFAbrJsi1i2LQg/uc8KqdbnL/rW3D7hUGCG74BMI+J6z9lq9992EKJ9Y9ulKDwIz4ML34nDDBmE8g63PMtYu569pFlmYjGtukcSgJDLt2Mfcv4ll2TGJRGCyBhVdbR3LQx+dzFLa8qfwrffyNtQN1E4Usb4pBb+6ZSdYJ9bAumlH2+e7NAfVhF6xUeJXhhk8ga3AA7bd87btPUTijdtVlRnzRfRgZIOxjPoGckbEJ1faFpdRIXeaLaV0Uk2iq/2tq9WlUxctpFMdKl/GV/vNqPewcQl7C1hlUTgsGGoXB8hKyziAG3XYTtajLRV6paLZY6hw2nRZRPckXkYoXc5WmxXI6Lw6nm2Czeco+seWJGBaFwboJMpsnBj3QNI2jab1nQ7Nh34KhwjX0DZ9A2K2Etd/yte8+NOG02VWXGfFF9+JWwmEf8wn6dyscpUeXhgqsii68p5jvBwONwlBpqECqaDHo4zO1RYp1E4/Dt0cMi8Jg3SRcgI3koAdyK9tFpSK8w0w3uXeHWTKsiwEIbvgEsi4G0H7L1777MIXT6R5dqUFgRnyYPtwNQDDmE8i5m0cmrqdbafd9Dkvz8SUwbFamyGnBQKMwWAJDZmXEoI/QDmNvQC4UNWJYFAbrJuGdgSM56MF9TnhOSje5fU5qQ5/u0vfrc8IEN3wCYZ8T1n7L1777MIUT6x5dqUFgRnyYXnxOmGDMJ5D1OcXpVprF53A0H18Cw3Z/Ft6NkPeDgUZhsASG7P4Ugz5CO4xdblN4N5zZIoZFYbBuEp6iHslBbzfPrIcLk1cPZ/NM6X+7w7C7g8vwfO0Nn0DW4ADab/nad5+icEbtqsuM+KL7MDJA2Md8AjkjYxOq7QtLqZEaT2fzMk5m0WRu3pSbTXLzptxFVC3yZTLLVF1n0/cOJS+V2DpD6ZlytwUDjcJQealE1hnEoAeqvx1Nm7spizhLnU9kL2koPJ12wycQTkNh7bd87bsPTXg87KrLjPiie0lD4bCP+QT9pyGO0uNLQ9jmvNI+peAMBhqFwdJQeO5nJAc9UBraTgOX4TkE3eT+OYTc+aT2kp7CBDd8AuH0FNZ+y9e++zCFx8k9ulKDwIz4ML2krTDBmE8gl7YembiebqVZEhhH8/ElMGx+r/RPdd0LBhqFwRIYMr8nBj14AgufINVNXnvph30ZO0BwwycQTmBh7bd87bsPU3jE3KMrNQjMiA/TSwILE4z5BLIJzFxevZZmSWAczUeXwCpsX3rlPeh8PxhoFIZKYFV40nokB71doKpW5Id1urtyzH+WVVrlZRY7H9Y+MlcVnsG94RPIZi5A+y1f++5TFB4qu+oyI77oPjIUEPYxn0AuQ9mE6rzEUmqkTupsOcnLSVTpr0Z5oupoUuhhqiwneV5PpmpeJu8dTF7C9hFXOS0YaBQGy0vhWeyRHHTbTab1PFsksyQq4jyJ8rxaRHVW1VE9U1m5KFU+NS91OJRugk0gV465VHfEsCgM1k2QCWQx6D9dYatFOl0o/ZtTs2VLpVGVz3XnqrM8SatkVtXV4XQTbJqmcr9uyxExLAqDdRNkmkYMejWaTGeLyTKrI5Xnsygvq6UeeWKlx6BpNU+mk3mmDmc0qbFiqHZsEfE8WFAUhuomNVIMiUEPNJvnaFqXuaqTolbVsLN2ddjI3vAJcjIBrv0a0X7L17770IRNeFddZsQX3UftA4R9zCfovfZhKT2+NITVPnVOCwYahcHSEFL7iEEfn6mtsdqndpUBzohhURismyC1jxj08ZXINVb71K4ywP1gQVEYrJsgtY8Y9Go0mc6zrNBfm86WeryZ5JNoMknjaBYX6bLMqngxmxxKN0ljqPbRX6NGDIvCQN1E84S7iRz0IdU+aewyV6pKUxUPesOMFhdspxs+QU4mwLVfI9pv+dp3H5qwCe+qy4z4onuofZCwj/kEfdc+PKVGahWrSvvcONIu2Ez+53FUx3UVLSdzVc2SWk3jA0pDUO2jv0YLBhqFwdIQUPvIQR+dqU1jqPbRX6NGDIvCYN0EqH3koI+uRE5jqPbRX6NGDIvCYN0EqH3koI9uwi1NsNoncZUB7gcLisJQ3SRBah8x6IFqn0fbRk+C9LrJEyv9ZgvgoK+sRQhu+AQ5mQDXfo1ov+Vr332YwuZ8j67UIDAjPkwftRJAMOYTyNVKj0xcT7fS7ldNLM3Hl8BSLIHZS0hnMNAoDJbAwhX+SA76+OxwkmHdxH9TrSViWBQG6ybhK4VHctDHV1wn2ByMeTcdLWJYFAbrJsgcjBj00W3RThPoDl/9NWrEsCgM1k2AO3zloAevmsIzULrJ7TNQG/pBr7hDCG74BDmZANd+jWi/5WvffZjCNn2PrtQgMCM+TC9VU5hgzCeQrZqK0600S9XE0Xx0a00JdIev/hotGGgUBktg4StHRnLQR2iHsUWExH/dhSViWBQG6ybIIoIY9BEW1zXWTWpqxLAoDNZNwvc/jOSgj2+qLsXWmlL7sovvwYKiMFQ3SZG1JjHooaumNDy9rpvcO1Wt+43LKPZRNQEEN3yCnEyAa79GtN/yte8+TGGbvkdXahCYER+mj6oJIBjzCUSrptSsNaWutSaW5uNLYNhaU+pddrkfDDQKgyUwZK1JDPr47HCKrTWl3mUXW8SwKAzWTZC1JjHo4yuuU2ytyTgEWsSwKAzWTZC1JjHo45uqS7G1JtOUtIhhURismyBrTWLQ22vq6hW5WXo8mGvq0tQ+Q9leSKGps13sfsul8BzrDZ8gJxPg2q8R7bd87btPUdifd9VlRnzRvZRF4bCP+QRyZZFNqCmGOEpb+7Ioi2m5jKN5leocliZZNImnKprn83oaV1VSLQ9nD0SKTfqm9vlPZzDQKAyWl5BJXzHotpvkcTqfLKeLKCm0Gc5VPI+mi3weFUkV54tlNs/qw+kmWQJ1k8w+geCJGBaFobpJFp7pGclBH1/NnGE1c2YvHz0Rw6IwWDdBamYx6LabFMsqLpbzOFqm8TLKZ0UdVfO6jmaLRR4X2XIS5+XhdBOsGMoUNWJYFAbrJkgxJAY90BKSo2kd5qpKVVXVdbFL2Wvtk4WN7A2fICcT4NqvEe23fO27D03YhHfVZUZ80X3UPkDYx3yC3msfltLjS0NY7ZM5ygBXMNAoDJaGkNpHDPr4TG2O1T65owxwRwyLwlDdJEdqHzHo4yuRc6z2yR1lgDtiWBQG6yZI7SMGfXwTbjlW++SKGjEsCoN1E6T2EYM+qNon95urcpey19onDxvZGz5BTibAtV8j2m/52ncfmrAJ76rLjPii+6h9gLCP+QS91z4spceXhrDaJ/eXAfeCgUZhsDSE1D5i0MdnahVW+yh/GWCJGBaFobqJQmofMejjm0lRWO2j/GWAJWJYFAbrJkjtIwY9kKl9tG308BZA3eS5lX6zt2vYTU4AwQ2fICcT4NqvEe23fO27D1PYde3RlRoEZsSH6cMEAwRjPoGcCX5k4nq6lXbfDrM0H18Cw2ZllKIFA43CYAkMmZURgz6+pQCF3dqsCmrEsCgM1k3C14SM5KCPsGrC7uVQ9pkGT8SwKAzWTcITQSM56MHtcPi6Cd3k3usm0nyXvl87HCa44RPkZAJc+zWi/ZavffdhCvuvPbpSg8CM+DC92OEwwZhPIGuHq9OtNIsd5mg+utlhhc0OK/tEqTMYaBQGS2DI7LAY9PH5nAK7Cqbw3opiixgWhaG6SYFcBSMGfXxVU4EtIhT2+XRPxLAoDNZNkEUEMejjm4MpUqybpNSIYVEYrJsg93KIQQ9dNRXhJRTd5P7rJgZ9qT1CcMMnyMkEuPZrRPstX/vuwxS26Xt0pQaBGfFh+qiaAIIxn0C0aiqy0620+1UTS/PxJTDsKpgipwUDjcJgCSy89DWSgz5CO4ytNRWKGjEsCoN1E2StSQz6CItrbK2p8C+7WCKGRWGwboKsNYlBH99UXYGtNRX+ZRdLxLAoDNZNkLUmMejNxVLp+h460x0O52Kpwj5DmZZVnsbmKg+b23rYV7kUnmO94RPkZAJc+zWi/ZavffcpCvvzrrrMiC+6l7IoHPYxn0CuLLIJNcUQR2krtZ5M6zjOIjXNM21wJmVUTSfG7xRFWsUqn5eL9w4lL5XYpG/p2ETtCgYahaHyUolM+opBt90kqWblZF4to2Q6KfR3dc1UZYXOYWmalPovSibL7HC6CbZzvHRenuOKGBaFwbpJeKZnJAfddpNZWmf6l6fRvM5mUZ6neVSlcRwtkmldT8ukKBcH1E2wmrlU1IhhURismyA1sxj08c3AlVgxVNrrAk/EsCgM1k2QYkgMeuglpDK810g3uX/fzrAXTgEEN3yCnEyAa79GtN/yte8+TGFzvkdXahCYER+mj1oJIBjzCeRqpUcmrqdbaferJpbm40tg2Ma70l5COoOBRmGwBBau8Edy0Mdnhyts413l34NmiRgWhaG6SYVsvBODPr7iusLmYCr/HjRLxLAoDNZNkDkYMejjm6qrUqyb+Peg2e56g6IwWDdBNt6JQZslJAP+3iGtHFW5lVY/LHVRZtWwx5Oq8D6TGz5BTibAtV8j2m/52ncfnrAt76rLjPii+6iGgLCP+QRy1ZBNqK6BWEqN1Gk9V5M8q6J0ktRRXugkNlVmTCryaj5P5vP2XNOhpCNs40tV0IKBRmGwdIRsfBGDbruJdsHLeZXnUVGUKspLVUeTeZlEKtbfnSyLuMzyw+km2FvtK/u8gSdiWBQG6ybhCZ6RHPTxlco1VirX9qrREzEsCkN1kxoplcWgj2/ircZqoNpeDngihkVhsG6C1EBi0AOtHDma1meu8mzYQ0Z12Mje8AlyMgGu/RrRfsvXvvvQhE14V11mxBfdR+0DhH3MJ+i99mEpPb40hNU+ta8MsAQDjcJgaQipfcSgj9DUYrVP7SsDrBHDojBYN0FqHzHooyuRsxiqffTXqBHDojBQN9E84W4iB310E25ZDNU++mvUiGFRGKybALWPHPQh1T5Z7DdXg+6O0+KC7XTDJ8jJBLj2a0T7LV/77kMTNuFddZkRX3QPtQ8S9jGfoO/ah6f0+NIQVPvor9GCgUZhsDQE1D5y0EdoaqHaR3+NGjEsCoN1E6D2kYM+uhI5S7DaJ/GXAfzdggN1kwSpfcSgj27CLUuw2ifxlwH8vcdDdROk9hGDPqjaJ/Gbq0Ffx6jFBdvphk+Qkwlw7deI9lu+9t2HJmzCu+oyI77oPmofIOxjPkHvtQ9L6fGlIaz2SfxlAP9dYrYnKgjPfqpepiGk9hGDPkJTi9U+ib8MsEQMi8Jg3QSpfcSgj69ETrHaJ/WXAZaIYVEYqpukSO0jBn18E24pVvuk/jLA9jpcKAqDdROk9hGDPqjaJ/Wbq2qXstfaJw0b2Rs+QU4mwLVfI9pv+dp3H5qwCe+qy4z4ovuofYCwj/kEvdc+LKXHl4aw2if1lwH3goFGYbA0hNQ+YtBHaGqx2if1lwGWiGFRGKybILWPGPTxlcgZVvtk/jLAEjEsCkN1kwypfcSgj2/CLcNqn8xfBlgihkVhsG6C1D5i0AdV+2R+c1XvUvZa+2RhI3vDJ8jJBLj2a0T7LV/77kMTNuFddZkRX3QftQ8Q9jGfoPfah6X0+NIQVvtk/jLgXjDQKAyWhpDaRwz6CE0tVvtk/jLAEjEsCoN1E6T2EYM+vhI5x2qf3F8GWCKGRWGobpIjtY8Y9PFNuOVY7ZP7ywBLxLAoDNZNkNpHDHqg2ufRttHDbxzQTZ5Z6de33ema2WUP+6iJAIIbPkFOJsC1XyPab/nadx+msDnfoys1CMyID9NHrQQQjPkEcrXSIxPX0620+1UTS/PxJTDoRav6a7RgoFEYLIGFK/yRHPQR2mHopTH6a9SIYVEYrJsAL42Rgz6+4jrH5mBy+3SEJ2JYFAbrJsgcjBj08U3V5dC7hTKjmBYxLAqDdRPg3UJy0INXTeEZKN3k9hmoDX22S99v1RQmuOET5GQCXPs1ov2Wr333YQrb9D26UoPAjPgwvVRNYYIxn0C2aqpOt9IsVRNH8/ElMOjdQvprtGCgURgsgQHvFpKDPj47rLBFBOV9zY4tYlgUhuomCllEEIM+vuJaQe8W0l+jRgyLwmDdBHi3kBz08U3VKWytSdmXXTwRw6IwWDdB1prEoIeumlR4el03uX+qetB3DSEEN3yCnEyAa79GtN/yte8+TGGbvkdXahCYER+mj6oJIBjzCUSrJmXWmpRrrYml+fgSGLbWpHJaMNAoDJbAkLUmMegjtMPYWpNS1IhhURismyBrTWLQR1hcY2tNyr/swn8xz1DdBFlrEoM+vqk6ha01Kf+yC//FPEN1E2StSQx68KopPL2um9w/VT3oW4oQghs+QU4mwLVfI9pv+dp3H6awTd+jKzUIzIgP00vVFCYY8wlkqyaz1qRca00szceXwLC1JuVfduG/0sf2zAXhO3jukLUmMejjs8MFttZU+Jdd+K/0GaibFMhakxj08RXXBbbWVPiXXfiv9BmqmyBrTWLQxzdVV2BrTYV/2YX/Sp+hugmy1iQGPXTVVISn13WT+6eqh32/EUBwwyfIyQS49mtE+y1f++7DFLbpe3SlBoEZ8WH6qJoAgjGfQLRqKsxaU+Faa2JpPr4Ehq01FTktGGgUBktgyFqTGPQR2mFsralQ1IhhURismyBrTWLQR1hcY2tNhX/Zhf8yoKG6CbLWJAZ9fFN1BbbWVPiXXfgvAxqqmyBrTWLQg1dN4el13eT+qeph34wEENzwCXIyAa79GtF+y9e++zCFbfoeXalBYEZ8mF6qpjDBmE8gWzWZtabCtdbE0nx8CQxbayr8yy781wjZnrkgfAfPHbLWJAZ9fHa4xNaaSv+yC/81QgN1kxJZaxKDPr7iusTWmkr/sgv/NUJDdRNkrUkM+vim6kpsran0L7vwXyM0VDdB1prEoPX//rDtKveGi91QfHMx++j9Dz8QiETz/Mlva8T8of6oXAHwzVYrhe+sgjBww2u0j432sUv7mK991+dC2mGra6RrR6u1m0+7ePM7HPVGfrJSb/7zB94RJlwJcrqVY/RQVpq0SqqyLuPY2RZ9FOBleDr2hk+Qkwlw7deI9lu+dkXRzh6JHEMPV3QfhTYQ9jGfQK7Qdg02HKVGqirns0xlZVSksXZFM6UzXTJJtEmqFnk9nRTzef3ewTgdbH64tE+VOoOBRmEwp4PMD4tBDz0/XIanxHST+6eXhn17JEBwwycQTk9h7bd87bsPU3ic3KMrNQjMiA/TS9oKE4z5BHJp65GJ6+lWmiWBcTQfXwLD5odL/1Sp5a1XWBQGS2DI/LAY9KpUb9l3O8JuLKBCkRWKVa1eJbpWr/VHkeWOMFS++U+l8OEHYsFHoFXBrgHGBmDsAhjzAXqp2jWA/qzNpwvBfIvD8ErtPmAPS3UPq1yzQZVv1lQp/K1hEAa5c6W6czm0j/na++lXqelXDvFtv2Oob9c/V+oPazaoss9tbYqNYS9MqsI7j2/4BDmZANd+jWi/5WtXFO3skcgx9HBF92GrgbCP+QRytto12HCUGqlVnS9VqrJoOp9PojwpVFTP8yKaLZflYlmm2Tw/nFX0Ctt7XClaMNAoDGWmq/DM5UgOuu0mkyTJC5XXUZHMtPHOqzKaqlkZLaflPJ4nlSqKw6m5KmzSsPLPn1kihkVhsG6CTBqKQQ89aViF50l0k/vnHIZ97TJAcMMnEHYxYe23fO27D1M4ne7RlRoEZsSH6cXdhAnGfAI5d/PIxPV0K83icziajy+BYZOGlX/+zPK6SCwKgyUwZNJQDPr47HCNbSqt/fsrLRHDojBUN6mRTaVi0NttYINPLddm4q8uHo7yODYfufmo9EeSmg/zG6n5jdT8NDW/m7a/Zr6Smd/IzG9k5jcy8xuZ+Y3c/EZufiM3v5abX1PmK4X5jcL8Wml+tzS/UZnfqM1vtDLq+uFIxan5UOZDf0UlifnIzUepP4wgZWSo1Hw5Mx+5+VDmozDfK8yPzBY3Zf56VeuPwrAVSfuhf7cwMEVau5reO/FWpLtN3++UZ22mPHW4xqbVxqbVxqbVxqbVxqbVxqbVxqbVxqbVxqbVxqbVxqbVxqbVxqbVxqbVxqbVxqbVxqbVxqbVxqbVxqbVxqbVxqbVxqbVxqbVxqbVxqbVxnkrQ7fa2LTa2LTa2LTa2LTa2LTa2LTa2LTa2LTa2LTa2LTa2LTa2LTa2LTa2LTa2LTa2LTa2LTa2LTa2LTa2LTa2LTa2NVqY36r9TLZW7eTvTpeb7xh2s185u1nZT6TtP1sfzdtfzdtfyVtv5Oufr39Ztb+btb+btb+btb+btb+bt7+bt7+bt7+et7+umq/WbS/W7S/XrbfKdvfrdrfrdvfXSnUTfrGG6ZNzadqP803TbOaz7z9LM1nq1a1Ck3b6s+s/czbT9V+Fu33i/bH7RZI1f6Lpo3feKNo41Akq0/znaKldjV0uxTDaOl24XfV0oc1MV77Z96GPadYh2c5b/gEOZkA136NaL/la1cU7exM7UhQXNF9lI5A2Md8ArnS0TXYcJQaqeUsqQoVZ5H2hXGUz9I0qvO5isrFfFLq36gXxQFVAtjEeK1owUCjMFglgEyMi0EPNOPpaFrvvK4a9jWgdXhm+oZPIJyGwtpv+dp3H5rweNhVlxnxRfeShsJhH/MJ+k9DHKXHl4awecvaPoXnDAYahcHSEDJvKQZ9SGkoj+21XVpWWZZU8aBpSIsLttMNn0A0DSHab/nadx+a8HjYVZcZ8UX3kIaQsI/5BH2nIZ7SY0tDueYA0pD+Gi0YaBQGSkOaJ9hXR3LQh5WGlINSVWmqkoHTULhqveETCKehsPZbvvbdhyY8HnbVZUZ80b2koXDYx3yC/tMQR+nxpSFoG6L+Gi0YaBQGS0Phyn0kB31YachR860pBz00ocUF2+mGTyCchsLab/nadx+a8HjYVZcZ8UX3kobCYR/zCfpPQxylR5eGEuhOOf01WjDQKAyVhpJw5T6Sgz6oNJS4ar46qco0G7YaSsJV6w2fQDYNAdpv+dp3H5rweNhVlxnxRfeRhoCwj/kEvachltLjS0PQFgX9NVow0CgMlobClftIDvqw0pCr5ltRDlsNJeGq9YZPIJyGwtpv+dp3H5rweNhVlxnxRfeShsJhH/MJ+k9DHKXHl4agLQr6a7RgoFEYLA2FK/eRHPRAaejRptHT8Imh39dfstKvTwzlg76mEyG44RPIpidA+y1f++7DFB4n9+hKDQIz4sP0kbYAgjGfQC5tPTJxPd1Ku5/AWJqPLoGl2HRe6n1bwv1goFEYKoGlyHSeGPTgCSz85gPd5KmXftCTSAjBDZ9AOIGFtd/yte8+TOERc4+u1CAwIz5MLwksTDDmE8gmsPR0K82SwDiajy+BYbvzUvusqDMYaBQGS2DhSeuRHPTgCSz8lm3d5LmXftAr3RGCGz6BcAILa7/la999mMIj5h5dqUFgRnyYXhJYmGDMJ5BNYPnpVpolgXE0H18Cw1ayzHNBCQYahcESGLKSJQY9eAILv9hdN3nhpR/0ekGE4IZPIJzAwtpv+dp3H6bwiLlHV2oQmBEfppcEFiYY8wlkE1hxupVmSWAczceXwLCN6al9QdAZDDQKgyWw8HrtSA568AQWvhJUN7n3ek0VO5/ZXhJYmOCGTyCcwMLab/nadx+m8Ii5R1dqEJgRH6aXBBYmGPMJZBNYdbqVZklgHM3Hl8CwTRxpTQsGGoXBEhiyiUMMeugEloXXrX9ff8lLnzif2T4SGEBwwyeQTWCA9lu+9t2HKTxi7tGVGgRmxIfpI4EBBGM+gWgCy8wmjsy1iYOl+egSWIZt4si8+xnuBwONwlAJLEM2cYhBD57AwuvWusm9a8AqdT6zvSSwMMENn0A4gYW13/K17z5M4RFzj67UIDAjPkwvCSxMMOYTyCYws4kjc23iYGk+vgSGbeLIvPsZ7gcDjcJgCQzZxCEGPXgCC69b6ybPvfTDHjYGCG74BMIJLKz9lq9992EKj5h7dKUGgRnxYXpJYGGCMZ9ANoGZTRxraZYExtF8fAkM28SRKVow0CgMlsCQTRxi0IMnsPC6tW7ywks/7DFlgOCGTyCcwMLab/nadx+m8Ii5R1dqEJgRH6aXBBYmGPMJZBOY2cSxlmZJYBzNx5fAsE0cmXc/w/1goFEYLIEhmzjEoAdPYOF1a93k/jVg5Xxme0lgYYIbPoFwAgtrv+Vr332YwiPmHl2pQWBGfJheEliYYMwnkE1gZhNH5trEwdJ8fAkM28SR1bRgoFEYLIEhmzjEoIdOYHl43fr39Ze89MPexAEQ3PAJZBMYoP2Wr333YQqPmHt0pQaBGfFh+khgAMGYTyCawHKziSN3beJgaT66BJZjmzhy/34G/qUUtmcuCN/Bc4ds4hCD1v/7QwP+3gG9AzjP7St+m1dMDntwOQ+vWd7wCYQTVlj7LV/77sMTHiG76jIjvuheElM47GM+gVxisgk16Yij1EidJPksV7MsyiYzFeV1EkdVMa+irJjn82Q5rabZ8r2DSUfYilauaMFAozBYOkJWtMSgB6+nwpP4uskLK/0mGQ97MRRAcMMnEE5PYe23fO27D1N4nNyjKzUIzIgP00vaChOM+QRyacvUU2ZFay3NksA4mo8vgWErWrl/ccdyRxIWhcESGLKiJQZt6ilDXq3Addl2SHWVfRpUp+26KLN64MQVnsi94RMIJ66w9lu+9t2HKDxSdtVlRnzRvSSocNjHfAK5BGUTatISR6mRWiyruFjO42iZxssonxV1VM3rOpotFnlcZMtJnK9hDiAtKWyaTzleJeUKBhqFodKSQqb5xKDbbqIqpbJ4OY/i+UKnsLROo+ms1HlsWS2m86JazCbqcLoJdiJCOeciXBHDojBYNwlPFY3koAcqvx1NqzyU+cAvEFDhaZIbPoGsWwG03/K17z404bTZVZcZ8UX34VaAsI/5BL27FZbS40tDWBGt7PWkMxhoFAZLQ0gRLQZ9hKYW23ylfA7fGjEsCoN1k3ABNpKDPii3Uvisez7w2yKKcPFxwyeQdSuA9lu+9t2HJpw2u+oyI77oPtwKEPYxn6B3t8JSenRpqMCK5sJXP1qCgUZhqDRUIEWzGPTxmdoC29pQKGrEsCgM1k3CBdhIDvqw3Irfug+7w64IFx83fAJhtxLWfsvXvvvQhNNmV11mxBfdi1sJh33MJ+jfrXCUHl8awormwl8/WjabYVEYLA0hRbMY9PGZ2hJbMCz9Dt8SMSwKQ3WTMlyAjeSgD8qtlH7rPux7YMpw8XHDJ5B1K4D2W7723YcmnDa76jIjvug+3AoQ9jGfoHe3wlJ6fGkIK5pLRQsGGoXB0hBSNItBH5+pLbEFw9Lv8C0Rw6IwWDcJF2AjOejDcite6z7wS3/KcPFxwycQdith7bd87bsPTThtdtVlRnzRvbiVcNjHfIL+3QpH6dGloQormitv/Wh7uw0WhaHSUIUUzWLQx2dqK2zBsPI6fFvEsCgM1k3CBdhIDvqg3EqlvJTDvuGpChcfN3wCWbcCaL/la999aMJps6suM+KL7sOtAGEf8wl6dysspceXhrCiufLWj7ZXGWFRGCwNIUWzGPQRmlpswbDyO3xLxLAoDNZNwgXYSA76oNxK7bfu6S5lr26lDhcfN3wCWbcCaL/la999aMJps6suM+KL7sOtAGEf8wl6dysspUeXhmqsaK799eO9YKBRGCoN1UjRLAZ9fKa2xhYMa0WNGBaFwbpJuAAbyUEP5FYebRs9fGeSbvLCSr++faYY9o0CAMENn0DYxYS13/K17z5M4XS6R1dqEJgRH6YXdxMmGPMJ5NzNIxPX0600i8/haD6+BIbNytT2CQpnMNAoDJbAkFkZMegjtMMV1k28b+GwRQyLwmDdJPy6lJEc9OA+JzwnpZvcPie1oR/2BheA4IZPIOxzwtpv+dp3H6ZwYt2jKzUIzIgP04vPCROM+QSyPqc+3Uqz+ByO5mNLYCqOkQSmv0YLBhqFgRKY5gn22pEc9NHZYRVDW6r016gRw6IwWDcJT1GP5KAH9jkqToP0uslTL/2gd78gBDd8AlGfg2i/5WvffZjCiXWPrtQgMCM+TA8+ByEY8wkkfY5WdbqVds/n8DQfXwKD1q3012jBQKMwWAID1q3koI/QDudYN8mpEcOiMFg3yZFuIgU9uM8Jr9rpJlde+kFvjUEIbvgEwj4nrP2Wr333YQon1j26UoPAjPgwvficMMGYTyDrc9TpVprF53A0H18CK7AEVtCCgUZhsAQWXm0dyUEfoR2Gljf116gRw6IwWDcBljfloAf3OeFVO93k/lW7Qe+bQQhu+ATCPies/ZavffdhCifWPbpSg8CM+DC9+JwwwZhPIOtzqtOtNIvP4Wg+vgQGHYfRX6MFA43CYAksvNo6koM+PjucYMubiX+lj385y0DdJEGWN8Wgh/Y5SXjVTje5d9WuvHfCvVefAxDc8AlkfQ6g/ZavffdhCifWPbpSg8CM+DB9+ByAYMwnEPU5SXK6lXbf57A0H18CS7EE5l3Eux8MNAqDJbDwautIDvr47HCCLW8m3pU+W8SwKAzWTZDlTTHowX1OeNVON3nupR/0jhuE4IZPIOxzwtpv+dp3H6ZwYt2jKzUIzIgP04vPCROM+QSyPic/3Uqz+ByO5uNLYNCBYf01WjDQKAyWwMKrrSM56CO0w9jyZlJQI4ZFYbBugixvikEP7nPCq3a6yb2rdmW6S9+vzwkT3PAJhH1OWPstX/vuwxROrHt0pQaBGfFhevE5YYIxn0DW55SnW2kWn8PRfHwJDDowrL9GCwYahcESWHi1dSQHfYR2GFveTLwrfbaIYVEYrJsgy5ti0Pp/f6j/sDEEfzCA37E3ceq7Viyrh913nIYXF274BLK+BtB+y9e++/CEE2lXXWbEF92HfwHCPuYTyPkXm1DtWlhKjVSdprJFPNeDkKqmUV7MZ9FkUS+iOp9M88VSLZNZ8t6hpKMUW15IfRfgWYKBRmGodJQiywti0MfnWlJsEs80JS1iWBQG6ybIJJ4Y9NCzM2l4bko3uX9uKtul79fFhAlu+ATCLias/ZavffdhCqfTPbpSg8CM+DC9uJswwZhPIOduHpm4nm6lWXwOR/PxJTDsWEzqn6q6Fww0CoMlsPCc4kgO+gjtMDaJl/rnsywRw6IwWDdBJvHEoM3sjCGvV+CmNxzOLE1m30u9vtM5HnY3cRbeDX7DJ5D1N4D2W7723YconFC76jIjvug+fAwQ9jGfQM7H2IRq98JS2qaltM7SNJlG8zqbRXme5lGVxnG0SKZ1PS2Tolysn+ADSEtZCqWlzL5t1hkMNApDpaUM2SssBr0yufm8LGeLLJomVaVTmEqjSbbQyayezJNpMZlXanY43QS74ybLqRHDojBYNwlvEBzJQbfdZFrP1STPqiidJLX+brWMpmqSRlWRV/N5Mp+nqjqcboJttcrshaEnYlgUBusm4Qp+JAfddpNJkcaTOFtG5XJi6qYkiSbL5SLK1TxdThbxTC2nh9NNsFoos5cFnohhURismyC1kBj0QHO+9qbNHeaqrDKVZ8mwN4DmYSN7wyfIyQS49mtE+y1f++5DEzbhXXWZEV90H7UPEPYxn6D32oel1Egt42U6V/k0mkyVivJsmmuPk8XRRC2rZaUWZVwfjlvJsdond5QBrmCgURgqDeVI7SMGfXymNsdqnzynRgyLwmDdBKl9xKCPr0TOsdond5QB7ohhURismyC1jxj08U245VjtkzvKAHfEsCgM1k2Q2kcM+qBqH+U3V8PuzlVhI3vDJ8jJBLj2a0T7LV/77kMTNuFddZkRX3QftQ8Q9jGfoPfah6X06NKQwmof5S8DbBtVoSgMlYYUUvuIQR+fqVVY7aNyasSwKAzWTZDaRwz6+EpkhdU+yl8GWCKGRWGwboLUPmLQx7fuo7DaR/nLAEvEsCgM1k2Q2kcMeqDa59G20cPnM3WT11b6zQ7AQd98ixDc8AlyMgGu/RrRfsvXvvswhc35Hl2pQWBGfJheaqUwwZhPIFcrPTJxPd1Ks1RNHM1Hl8AK7GrowntL8v1goFEYKoEV4Qp/JAd9fHa4wN58W/hvo7VEDIvCYN0kfEx7JAd9fMV1gc3BFPbpCE/EsCgM1k2QORgx6OObqiuwg/SF/Uy5J2JYFAbrJshBejHooaumIjwDpZs899IPu4sOILjhE+RkAlz7NaL9lq9992EK2/Q9ulKDwIz4MH1UTQDBmE8gWjUV5p7etbT7VRNL8/ElMOyKj0LRgoFGYbAEhlzxIQZ9hHYYW0Qo7PPpnohhURismyCLCGLQR1hcY/ctFP6rB/g7E4fqJsh9C2LQx7e5u8DWmgr/1QP8fc5DdRNkrUkMevCqKTy9rpvcP1U97P47gOCGT5CTCXDt14j2W7723YcpbNP36EoNAjPiw/RSNYUJxnwC2arJrDWtpVmqJo7mo1trKrG1ptK/7MLfN2B75oLw+z93JbLWJAZ9fHa4xNaaSv+yC38X0lDdBFlrEoM+vuK6xNaaSv+yC39P41DdBFlrEoM+vqm6EltrKv3LLvwd0kN1E2StSQz6T1fvEDCNfji305XKSru5h2LYd0CW4anVGz5BTibAtV8j2m/52ncfnrAt76rLjPii+6iGgLCP+QRy1ZBNqK6BWEqN1DhWdR7n80jNtf1NksUyquM8NbesTvJZtiiy9IBcCzbXW9qnPZ3BQKMwWDpC5nrFoI+wBsLefFTa5w08EcOiMFg3CU/wjOSgj8/cVlipXPlez2KNGBaFobpJhZTKYtDHVypXWA1U2csBT8SwKAzWTZAaSAx6oJUjR9MqH6VSu5S91j5V2Mje8AlyMgGu/RrRfsvXvvvQhE14V11mxBfdR+0DhH3MJ+i99mEpPb40hNU+lbcMuB8MNAqDpSGk9hGDPkJTi9U+lbcMsEUMi8Jg3QSpfcSgj69ErrHap/aWAbaIYVEYqpvUSO0jBn18E241VvvU3jLAFjEsCoN1E6T2EYM+qNqnVl7KYW9iqMNG9oZPkJMJcO3XiPZbvvbdhyZswrvqMiO+6D5qHyDsYz5B77UPS+nxpSGs9qn9ZYDl9CcWhcHSEFL7iEEfoanFap/aXwbwrxwYqpsgtY8Y9NGVyEUM1T76a9SIYVEYqJtonnA3kYM+ugm3IoZqH/01asSwKAzWTYDaRw76kGqfIlZeykHvU9Digu10wyfIyQS49mtE+y1f++5DEzbhXXWZEV90D7UPEvYxn6Dv2oen9PjSEFT76K/RgoFGYbA0BNQ+ctBHaGqh2kd/jRoxLAqDdROg9pGDProSuUiw2ifxlwH8iwMG6iYJUvuIQR/dhFuRYLVP4i8DLBHDojBYN0FqHzHogWqfR9tGD1+rpZs8t9KvTz1V6S59rzURQHDDJ8jJBLj2a0T7LV/77sMUNud7dKUGgRnxYfqolQCCMZ9ArlZ6ZOJ6upV2v2piaT6+BAbdMae/RgsGGoXBEli4wh/JQR+hHYbumNNfo0YMi8Jg3QS4Y04O+viK6wSbg0ns0xGeiGFRGKybIHMwYtDHN1WXQHfM6a9RI4ZFYbBuAtwxJwc9eNUUnoHSTW6fgdrQZ7v0/VZNYYIbPkFOJsC1XyPab/nadx+msE3foys1CMyID9NL1RQmGPMJZKum+nQrzVI1cTQfXQJLoTvm9NdowUCjMFQCS4E75uSgj88Op9giQuq9bs0WMSwKg3UTZBFBDPr4ius0xbpJSo0YFoXBuglwx5wc9PFN1aXYWlNqX3bxRAyLwmDdBFlrEoMeumpKw9PruslzL32+S99r1QQQ3PAJcjIBrv0a0X7L1777MIVt+h5dqUFgRnyYPqomgGDMJxCtmlKz1rSWdr9qYmk+vgSGrTWZ54ISDDQKgyUwZK1JDPoI7TC21pT6l10sEcOiMFg3QdaaxKCPsLjG1ppS/7KLJWJYFAbrJshakxj0EU7VYWtNqX/ZxRIxLAqDdRNkrUkMevCqKTy9rpvcP1U96G11CMENnyAnE+DarxHtt3ztuw9T2Kbv0ZUaBGbEh+mlagoTjPkEslWTWWtaS7NUTRzNR5fAMmytKfMvu/CvdrM9c0H4/Z+7DFlrEoM+PjucYWtNmX/ZhX+121DdBFlrEoM+vuI6w9aaMv+yC/9qt6G6CbLWJAZ9fFN1GbbWlPmXXfhXuw3VTZC1JjFo/b8/bLvKvayyG4pvLmYfvf/hBwKRaJ4/+W2NqB6Oitx8KPNRxK5Q5J5QmHenuVzjru+FgHDrayjGhmJsKMaGYuyiGPMpdr0vRAHbXwOhXa6m0J95+6naTweI+S6HxKDU64723gG9SqvI7JOd6wOE8bDLmll4uvaGT5CTCXDt14j2W752RdHOHqkcAxJXdB+FOBD2MZ9ArhB3DTYcpUaqUslsqnQ6nOTLZZQv8lk0rWZVpBaLejGZpFVlNocdihPC5o8z+1SqMxhoFAZzQsj8sRh0203yRVyU01hFk3k8j3JVqaie6lJ9Ol9O66KKs3iWHkw3ybFZmtw+YeGJGBaFobpJjszSiEGvZ2mWyTyZxVEym6VRPp3rUn2h/+himSyKOtedNJ0eTjfByu/cXol6IoZFYbBugpTfYtBtN0km9TydFUlUpZkeedJMRdOkrqJFXcbJfDovVb44nG6SY90kp0YMi8Jg3SS8v2skBz3QoqWjab3mSt17aXKvtU8eNrI3fIKcTIBrv0a03/K17z40YRPeVZcZ8UX3UfsAYR/zCXqvfVhKW6npVC2W2vbGRaHMVGAVVfG8juJYxaqo9J9XB2Rqsdon95YB94OBRmGwNITUPmLQx1f7KKz2Ud4ywBYxLApDdROF1D5i0MdX+yis9lHeMsAWMSwKg3UTpPYRgz6+CTeF1T4qp0YMi8Jg3QSpfcSgB6p9Hm0bPXxGQje5stJvFl6HvWYeILjhE+RkAlz7NaL9lq9992EKm/M9ulKDwIz4MH3USgDBmE8gVys9MnE93Uq7XzWxNB9fAsPOLyl7CekMBhqFwRJYuMIfyUEfYdWEnV9S/qM8lohhURismyDnl8Sgj7BqwuZglP8oj/XqfiQKg3UTZA5GDPr4VowU9loLVVMjhkVhsG4SPtsykoMeumoqwjNQv6+/5KUfdiUJILjhE+RkAlz7NaL9lq9992EK2/Q9ulKDwIz4MH1UTQDBmE8gWjUV8elW2v2qiaX56NaaCuz8UuE/ysNfdrE9c0H4Dp475PySGPTxVU0FtohQ2OfTPRHDojBYN0EWEcSgj69qKrDzS4X/KA9/2WWoboKcXxKDPr6pugJbaypyasSwKAzWTZC1JjHo1TE3wz74ObeieDgqKuWKgPJEQJX4rQ4QBu54V6fbtPaxS/uYr72XM21au/50iDe/z1HfztkM3qNK3aPKzHy0fcv5dPkmwlV578XgPfetUvctTTE2FGMXxZhP0U8vK00v0xjmc9Xj7CBtj2SQGJR1e5iOdzgnJwvn5rSqrMs0cbZLL3M+4andGz5BTibAtV8j2m/52hVFO3ukcgxIXNG9zO2Ewz7mE8jN7bgGG47StgZTi3kdV3U0XSiljbgp6+fTLIqXaVVM0vl0Oln3oQMw1yW2LbR07pC0BwONwlDmugzPQ47koFc5aVnFxXIeR8s01kZ8VtTmqok6mi0WeVxky0mcl4fTTbAZndI+ueGJGBaFwboJMqMjBj30ylUZnqjQTe6fqKh36Xt1MQDBDZ9A1sUA2m/52ncfpnA63aMrNQjMiA/Th7sBCMZ8Ajl388jE9XQr7b7PYWk+vgSGTSKWOS0YaBQGS2DIJKIY9BHaYeztB6WiRgyLwmDdJLyZeSQHbeaa9R826fRwZmdK++7GtKy1rUsGfl1PGd6fecMnEPY1Ye23fO27D084kXbVZUZ80b34l3DYx3wCOf9iE2pcC0fp8aUjbMNoWdOCgUZhsHSEbBgVgz4+c1th27Iq+w4lT8SwKAzVTSpkW5YY9NCzM1V4bko3uX1uau3Z6niXvlcXAxDc8AlkXQyg/ZavffdhCqfTPbpSg8CM+DB9uBuAYMwnkHM3j0xcT7fS7vsclubjS2DYTsDKO1V1PxhoFAZLYOE5xZEc9PHZ4QqbxKtyasSwKAzWTZBJPDHoP91ceJ/u9oPdUED7g1iRWG3bqsxmrTo1H9XDURnn+iOJzUdmPgrzUeuP1Bkj5YmRqvAUBpHiWWy1n6syu7g03tjgjQ3e2OCNDd7Y4I0N3tiFN+bj7eY3CA9OceuNXlW7uUvzmc9KfxpC/akRzWfWfhbtZ20+HZjtlkQGpwFdm1rTkQ9norFyzGSsrotJUmer9WLRw7NGN3yCnEyAa79GtN/ytSuKdvbI5xjHuKJ7seLhsI/5BHJW3DXYcJQaqapSKouX8yieL3R6Tes0ms7KOKqW1WI6L6rF7JCcFTbRWDnm3FzBQKMwmLNCJhrFoI+vTquxicbaMefmjhgWhaG6SY1MNIpBDzTR6GhaezW6udxu2O1edbievuETyLoVQPstX/vuQxNOm111mRFfdB9uBQj7mE/Qu1thKT2+NITt0qkVLRhoFAZLQ8guHTHo4zO1NXZ5W+11+LaIYVEYrJuEC7CRHPRhuRWvdS+GXf6sw8XHDZ9A2K2Etd/yte8+NOG02VWXGfFF9+JWwmEf8wn6dyscpceWhsoYKpr112jBQKMwUBrSPMG+OpKDPjpTW8bQGrj+GjViWBQG6ybhAmwkB31IbqWMlZdy0AsBtLhgO93wCUTdCqL9lq9996EJp82uusyIL7oHt4KEfcwn6Nut8JQeXxqCimb9NVow0CgMloaAolkO+ghNLbRgqL9GjRgWhcG6SbgAG8lBD+RWHm0aPQnfmvH7+ktW+s1GtEEPziEEN3wCWRcDaL/la999mMLpdI+u1CAwIz5MH+4GIBjzCeTczSMT19OttPs+h6X56BJYgs3KJN5bne8HA43CUAksQWZlxKCPzw4nKdZNUmrEsCgM1k3C52lGctCD+5zwnJRucv+5DPflrb34nDDBDZ9A2OeEtd/yte8+TOHEukdXahCYER+mF58TJhjzCWR9Tna6lWbxORzNx5fAoDNT+mu0YKBRGCyBAWem5KCP0A5DW6r016gRw6IwWDcJT1GP5KAH9znht4HqJi+89O7rw3vxOWGCGz6BsM8Ja7/la999mMKJdY+u1CAwIz5MLz4nTDDmE8j6nOJ0K83icziajy+BYetWiX0JxxkMNAqDJTBk3UoM+gjtMPSmXv01asSwKAzWTcJ384/koAf3OeFVO93k9lW7Db39vfcP+/I5YYIbPoGwzwlrv+Vr332Ywol1j67UIDAjPkwvPidMMOYTyPqc+nQrzeJzOJqPLoGl0As79NdowUCjMFQCS8OrrSM56OOzwym2vJn6V/osEcOiMFg3QZY3xaCH9jlpeNVON7l/1W7QV80jBDd8AlmfA2i/5WvffZjCiXWPrtQgMCM+TB8+ByAY8wlEfU6anm6l3fc5LM3Hl8Cw4zCpfxHP9gJcKAqDJbDwautIDvoI7TC2vGmGflrEsCgM1k2Q5U0x6D/dvhw63+0Iu7GArhJkhaK9E7JMza2PmbkJMiv1R56YD2U+zE2QyvxUmdshlfk1Zb6izN2RRWo+zB8z90lqaP1hrpKsktx86K9UqfmN1PzU/BtVWrmirDxRVlW2G2VnEoRChefB9lJJE5+xic/YxGds4jM28Rmb+IxNfMYmPmMTn7GJz9jEZ2ziMzbxGZv4jE18xiY+YxOfsYnP2MRnbOIzNvEZu+Iz5sdnN8VC8YGz7OpWShMf/Zm1N1Fm5lXEJkTmU7Wf7U2Uqv0V1d5QqdpfV+03VXuLZZG2n+3f0N5uaaKlP9t7LU28zKf5pomY+Wx/pf13XUEzujhRM2Fbv1z7oF51XKb2BYjN3VjD7pVLw0soN3yCnEyAa79GtN/ytSuKdvZI7hhWuaJ7qS3CYR/zCeRqC9dgw1FqpC7ny2oWT6ooVWUaaYtQRfVkUkeLsq6W83pZTZfL9w7GKmJH1lL7NLIzGGgUBrOK4fn+kRz06ubwWV6qWVZGE7Us9Hd1HVJV0yoqslmuvzkrKxUfTDfJsJnTzH/doyViWBSG6iYZMnMqBt12k3lRTqp8VkXzLNXfTZIsqlI1iZalWi4nyXSRTA+n8Myw+YnMe3OFLWJYFAbrJsj8hBj00BPsWbjs1k2eW+k3ZfegV6QiBDd8gpxMgGu/RrTf8rXvPkxh17VHV2oQmBEfpg8TDBCM+QRyJviRievpVtp9O8zSfHwJDNvxnylaMNAoDJbAkB3/YtBHaIcLrJsU1IhhURism4R3g4/koP909UZs0+iHM4mX2beHaldXlbWprgf1NeENrjd8AmFfE9Z+y9e++/CEE2lXXWbEF92LfwmHfcwnkPMvNqHGtXCUtisG8VQnrmkaLfJ8FuXzUqeuSbqMZnNVLONZMVtmh+Nacmz7Y27fCegMBhqFodJRjmx/FIMeqOx2NK19+8uashx2LSkPbzq64RPIpiFA+y1f++5DEx4Pu+oyI77oPtIQEPYxn6D3NMRSenxpCNt2lOe0YKBRGCwNhad8RnLQh5WG7LXfhnLYY/F5uHq94RMIp6Gw9lu+9t2HJjwedtVlRnzRvaShcNjHfIL+0xBH6fGlIew0c+4tDe8HA43CYGkoXLmP5KAHSkPbRcg8vKFDN7l9Q8dqarKMU+eT2kt6ChPc8AmE01NY+y1f++7DFB4n9+hKDQIz4sP0krbCBGM+gVzaemTierqVZklgHM1Hl8AUNp2nfAd7LcFAozBUAlPIdJ4Y9NAJTIW3mukm9x3SNS9LGjKBAQQ3fALZBAZov+Vr332YwiPmHl2pQWBGfJg+EhhAMOYTiCYwlZxupd1P</t>
  </si>
  <si>
    <t>YCzNx5fAUiyB2WdFncFAozBYAgtPWo/koAdPYOFNsLrJfYd0y3jY96AABDd8AuEEFtZ+y9e++zCFR8w9ulKDwIz4ML0ksDDBmE8gm8DM/eDKdT84S/PxJTBsJUvltGCgURgsgSErWWLQ7QF6Q74CP6zDusoxdV5WeVKn918N32/iCi9T3PAJhBNXWPstX/vuQxQeKbvqMiO+6F4SVDjsYz6BXIKyCTVpiaN0GMPsGF9KK8BmVB12A5cKn+y+4RMIjy9h7bd87YqivevxhSu6l/ElHPYxn0BufDEGuDzdSrOMNBzNa2ez7ukH5mzsayrrc6lp7GyEXkae8ErWDZ9AeOQJa7/la1cU7V2PPFzRvYw84bCP+QRyI49rvOEoNVKXWT1RdVpFWZIsoyRZLKK6jvNonhRFMpnF02m9foIPoOAusPslCu9VC/eDgUZhqIK7CK9zjOSgBzLA2xnjIjxfrpvcP18+7JZSgOCGTyCbngDtt3ztuw9TeJzcoys1CMyID9NH2gIIxnwCubT1yMT1dCvtfgJjaT6+BIbdfFP4p88t+y+xKAyWwMLrHCM56IM8EV4oK21apaqq6mrYJc4ifNHDDZ9AOGGFtd/yte8+POERsqsuM+KL7iUxhcM+5hPIJSabUJOOOErbyZusWsbZtIriNFdRXuZFNFlm06jO53WelUU8zabvHUw6wl78V9gns5zBQKMwWDoKzzqO5KDbblJPlpNyMp9FaaETVj5dVlGVpFmUpXWe5kWuqjI9nG6C3f5ZuOYgnBHDojBYNwlPEY3koNtuUk7rQsXZIjJ/mf5uVUXTclnon8azyWRSFOlkcTDdpMRmZ0rXRIUzYlgUhuomJTI7Iwa9SjrFbJZPpnWksriI8nwaR9M4nUdlNpuk+XyWq+Jwkk6J1UCl6yJM9/gLRWGwboLUQGLQqzv2srqYZXkW5fFiFuVZvIimhUqi2bJaVJMkXqZlfjjdBLtjr1TUiGFRGKybhH30SA667SZZPs0X85keeWLTpYqkiKaLdBnV87wsTZ+K68nhdBPMwpZkN4dFYbBuglhYMejVaLLI8yqJ42gSZ8soT5fTaFrHWbScJPO4ytUiyw+om2AWtiS7OSwKg3UTxMKKQbfdJF5My+lsmUaTWVJpHzNfRNUiK6JsNpvms7n+J+LDmZ+tMAtbkd0cFoWhukmFWFgx6NXG70k9T2dFElVp26UyFU2TuooWdRkn8+m8VPnicLoJZmErspvDojBYN0EsrBj0KulMS11yx1U0KRfzKF8sF9EkWcRRks/ieTadzJfJ8nC6CWZhK0WNGBaFwboJYmHFoNtuslhmRTEvplGSmJEnKWZ6DJqp1vgu9K8tqvSAkg5mYSuym8OiMFg3QSysGHTbTabT2WKyzHTx3B45KatlNCli/d1kWs0T3aWyA7pNvMIsbEV2c1gUBusmiIUVg14lnWSeJHNVR1O1NFNxsziq6ty85DNOijhOp8sDeqtrjVnYmuzmsCgM1U1qxMKKQQ+9R64ObwvSTe7fYlPu0ve65QAguOET5GQCXPs1ov2Wr333YQqvfe/RlRoEZsSHKcgw1K70DCEY8wnktiI8MnE93Uq7vymBpfn4EhhWXNf+7WL3goFGYbAEhhTXYtDHZ4dr7PB9nVMjhkVhsG6CHL4Xgz6+4rrG5mBqRY0YFoXBugkyByMGfXxTdTX2qq66oEYMi8Jg3SR8vn8kB318E/81NlVX22etPBHDojBYN0Gm6sSgj28ZscbuFq/t12x7IoZFYbBugtwtLgZ9fHtXamxGt7ZPbnoihkVhsG6CzOiKQR/d3pUqhi561l+jRgyLwkDdRPOEu4kc9NFtmKxiaOJff40cMSgKg3UTYOJfDvrotl9XcYp1E+JcIxqFwbpJeFJ4JAd9dIc5tKXCugl5QhKLwmDdBJiFlYM+uqNhVQzNwuqvUSOGRWGwbgLMwspBH91B0yqGZmH116gRw6IwWDcBZmHloNf3HuheeDj3HlSxa0NX+2qxbNAbLLW4YHvd8AlyMgGu/RrRfsvXvvvwhFe9u+oyI77ogiya2mWeIWEf8wnkNhvYhL7xBk9pa25neZIlcaLHpHoS6UyVR5PZooyKejKPk+V8OpkczBaDKoYm3vTXaMFAozBYOgIm3uSgB9ojZ2/axHlbXvuGy0H3wmlxwXa64RPIpiFA+y1f++5DEx4Pu+oyI77oPtIQEPYxn6D3NMRS2q4mZ+UkqWqzLWEe6wrKzPMm+qd1FadVUZXZtF73/wNIQwk2x5K4TlQ5goFGYag0lCBzLGLQh5WGlJ2yVFWaqmzQa0u1uGA73fAJhNNQWPstX/vuQxMeD7vqMiO+6F7SUDjsYz5B/2mIo/T40hC0qUl/jRYMNAqDpaFw5T6Sgz6sNOSs+czd4cXAaShctd7wCYTTUFj7LV/77kMTHg+76jIjvuhe0lA47GM+Qf9piKPUSFXVopxVxTLKy3KqP6a1HobUMoonKq2mWbosq9l7h5KGUmz/Sup9z8H9YKBRGCoNpeHKfSQHPVAaerRt9PC2DN3kqZV+vUKWJM4ntY/0BBDc8Alk0xOg/ZavffdhCo+Te3SlBoEZ8WH6SFsAwZhPIJe2Hpm4nm6l3U9gLM1Ht6qUYtN5qXf30P1goFEYLIEh03li0IMnsPBOIN3kuZc+dT6zvSSwMMENn0A4gYW13/K17z5M4RFzj67UIDAjPkwvCSxMMOYTyCaw/HQrzZLAOJqPbiIwxXbpmeeCEgw0CoMlsPCk9UgOevAEFj4CrJu88NJnzme2lwQWJrjhEwgnsLD2W7723YcpPGLu0ZUaBGbEh+klgYUJxnwC2QRWnG6lWRIYR/PxJTBsJSu1L+o4g4FGYbAEhqxkiUEPnsDCp851k3tPnSeDvm4PIbjhEwgnsLD2W7723YcpPGLu0ZUaBGbEh+klgYUJxnwC2QRWnW6lWRIYR/PxrYFhG9NT+4KgMxhoFAZLYOH12pEctDkn9aeb//3Ww1f+5d/63d96K9G/8tq/uepbD1/5xza/8s2P/l9fW3xTR++3lh9+8JH57+zDr334DfODyTf+eGr+trfSt1RelTrSv/XB5OvmH3j2/tcX3zx5uvifT64//PrkA/2vffP9/6x/Q5eUv/UnH8wX3/ja+x+Y733wof6P/mOTr73/xx+YAJu/9j98+I33/7P+tyZf09/42mL5kf7j/9PiGx+9P2t/Zaa/tviG/rX/+RuT//Rs8b/oP/PRN/5kof+WqUZcfKPVOv3wo48+/PrqR+YXG0Ox+QcfWhDi9n86bg9/a/7+5I8//MD8W5w/3Qpm/clvvP/H/4H5Rz/68D9x/qD+k8v3v9aCmv+aPq2/8M0Pv6ab3/SF+ZvOP2s6xuQbH93/wqYvmM7wJ1+fLr7x1off0N1s1YHMj978cG7+lceLDxbf0EHW3/tP3/jwo8Xso/c//MB862sfzv7jQne/zS8vjJbVQ6l/8f0P/oN+JD8y4v8v82za1g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</si>
  <si>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</si>
  <si>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</si>
  <si>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</si>
  <si>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</si>
  <si>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</si>
  <si>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</si>
  <si>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</si>
  <si>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</si>
  <si>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</si>
  <si>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</si>
  <si>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</si>
  <si>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</si>
  <si>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</si>
  <si>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</si>
  <si>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</si>
  <si>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</si>
  <si>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</si>
  <si>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</si>
  <si>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</si>
  <si>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</si>
  <si>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</si>
  <si>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</si>
  <si>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</si>
  <si>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</si>
  <si>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</si>
  <si>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</si>
  <si>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</si>
  <si>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</si>
  <si>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</si>
  <si>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</si>
  <si>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</si>
  <si>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</si>
  <si>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</si>
  <si>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</si>
  <si>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</si>
  <si>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</si>
  <si>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</si>
  <si>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</si>
  <si>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</si>
  <si>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</si>
  <si>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</si>
  <si>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6.2.2.4.2.4.1.3</t>
  </si>
  <si>
    <t>Устройство перегородок на металлическом каркасе по системе Knauf / С-115.1 / А2-16</t>
  </si>
  <si>
    <t>м2</t>
  </si>
  <si>
    <t>09081587-04d0-4a7e-b27a-26e6c1596cec</t>
  </si>
  <si>
    <t>5f0da678-df96-489e-bd05-e5f79b4d6b88</t>
  </si>
  <si>
    <t>0ed13e26-7903-4b3b-80e2-92ed86dbdc43</t>
  </si>
  <si>
    <t>1.1.1.1.1.1.1.1._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</si>
  <si>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</si>
  <si>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1.1.1.1.1.1.1.1.1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</si>
  <si>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</si>
  <si>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</si>
  <si>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304337531.1521788</t>
  </si>
  <si>
    <t>20344603.1521788</t>
  </si>
  <si>
    <t>a62e1417-9467-44d3-81a2-91aea1356d96</t>
  </si>
  <si>
    <t>1.1.1.1.1.1.1.1.1._</t>
  </si>
  <si>
    <t>281879674.1521788</t>
  </si>
  <si>
    <t>1.1.1.1.1.1.1.1.2</t>
  </si>
  <si>
    <t>Лист гипсокартонный_ / ГСП-А ПЛУК / 12,5 мм</t>
  </si>
  <si>
    <t>304337531.1521728</t>
  </si>
  <si>
    <t>20344603.1521728</t>
  </si>
  <si>
    <t>8ef46e6a-fd4f-48c4-ac16-389dd02262ec</t>
  </si>
  <si>
    <t>1.1.1.1.1.1.1.1.2._</t>
  </si>
  <si>
    <t>281879674.1521728</t>
  </si>
  <si>
    <t>1.1.1.1.1.1.1.1.3</t>
  </si>
  <si>
    <t>Профиль_/стоечный/50*50*0,60/3м</t>
  </si>
  <si>
    <t>пог. м</t>
  </si>
  <si>
    <t>304337531.54565</t>
  </si>
  <si>
    <t>20344603.54565</t>
  </si>
  <si>
    <t>aadfbe6a-ab19-412b-a4b6-645b6bf99174</t>
  </si>
  <si>
    <t>1.1.1.1.1.1.1.1.3._</t>
  </si>
  <si>
    <t>281879674.54565</t>
  </si>
  <si>
    <t>1.1.1.1.1.1.1.1.4</t>
  </si>
  <si>
    <t>Профиль_/направляющий/50*40*0,60/3м</t>
  </si>
  <si>
    <t>304337531.54570</t>
  </si>
  <si>
    <t>20344603.54570</t>
  </si>
  <si>
    <t>fcc6f7bc-87cc-49c1-b4ac-f6a22abb8878</t>
  </si>
  <si>
    <t>1.1.1.1.1.1.1.1.4._</t>
  </si>
  <si>
    <t>281879674.54570</t>
  </si>
  <si>
    <t>1.1.1.1.1.1.1.2</t>
  </si>
  <si>
    <t>1.1.1.1.1.1.1.2._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</si>
  <si>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</si>
  <si>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1.1.1.1.1.1.1.2.1</t>
  </si>
  <si>
    <t>304337593.54565</t>
  </si>
  <si>
    <t>20839230.54565</t>
  </si>
  <si>
    <t>1.1.1.1.1.1.1.2.1._</t>
  </si>
  <si>
    <t>281902539.54565</t>
  </si>
  <si>
    <t>1.1.1.1.1.1.1.2.2</t>
  </si>
  <si>
    <t>304337593.54570</t>
  </si>
  <si>
    <t>20839230.54570</t>
  </si>
  <si>
    <t>1.1.1.1.1.1.1.2.2._</t>
  </si>
  <si>
    <t>281902539.54570</t>
  </si>
  <si>
    <t>1.1.1.1.1.1.1.2.3</t>
  </si>
  <si>
    <t>Гипсовые строительные плиты_ / влагостойкий / 12,5*1200*2500</t>
  </si>
  <si>
    <t>304337593.54553</t>
  </si>
  <si>
    <t>20839230.54553</t>
  </si>
  <si>
    <t>efad23af-fbbd-4322-a1b7-0c398c24e336</t>
  </si>
  <si>
    <t>1.1.1.1.1.1.1.2.3._</t>
  </si>
  <si>
    <t>Плита КНАУФ-Файерборд</t>
  </si>
  <si>
    <t>281902539.54553</t>
  </si>
  <si>
    <t>1.1.1.1.1.1.1.2.4</t>
  </si>
  <si>
    <t>304337593.1521788</t>
  </si>
  <si>
    <t>20839230.1521788</t>
  </si>
  <si>
    <t>1.1.1.1.1.1.1.2.4._</t>
  </si>
  <si>
    <t>281902539.1521788</t>
  </si>
  <si>
    <t>1.1.1.1.1.1.1.3</t>
  </si>
  <si>
    <t>1.1.1.1.1.1.1.3.1</t>
  </si>
  <si>
    <t>304337594.1521788</t>
  </si>
  <si>
    <t>20839231.1521788</t>
  </si>
  <si>
    <t>1.1.1.1.1.1.1.3.2</t>
  </si>
  <si>
    <t>304337594.1521728</t>
  </si>
  <si>
    <t>20839231.1521728</t>
  </si>
  <si>
    <t>1.1.1.1.1.1.1.3.3</t>
  </si>
  <si>
    <t>304337594.54565</t>
  </si>
  <si>
    <t>20839231.54565</t>
  </si>
  <si>
    <t>1.1.1.1.1.1.1.3.4</t>
  </si>
  <si>
    <t>304337594.54570</t>
  </si>
  <si>
    <t>20839231.54570</t>
  </si>
  <si>
    <t>1.1.1.1.1.1.1.4</t>
  </si>
  <si>
    <t>1.1.1.1.1.1.1.4.1</t>
  </si>
  <si>
    <t>304337595.54565</t>
  </si>
  <si>
    <t>20839232.54565</t>
  </si>
  <si>
    <t>1.1.1.1.1.1.1.4.2</t>
  </si>
  <si>
    <t>304337595.54570</t>
  </si>
  <si>
    <t>20839232.54570</t>
  </si>
  <si>
    <t>1.1.1.1.1.1.1.4.3</t>
  </si>
  <si>
    <t>304337595.54553</t>
  </si>
  <si>
    <t>20839232.54553</t>
  </si>
  <si>
    <t>1.1.1.1.1.1.1.4.4</t>
  </si>
  <si>
    <t>304337595.1521788</t>
  </si>
  <si>
    <t>20839232.1521788</t>
  </si>
  <si>
    <t>1.1.1.1.1.1.1.5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</si>
  <si>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</si>
  <si>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</si>
  <si>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</si>
  <si>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</si>
  <si>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</si>
  <si>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1.1.1.1.1.1.1.5._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</si>
  <si>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</si>
  <si>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1.1.1.1.1.1.1.5.1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</si>
  <si>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</si>
  <si>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304337533.1277440</t>
  </si>
  <si>
    <t>21096611.1277440</t>
  </si>
  <si>
    <t>b1463634-82d7-49d6-b536-2d7cba892a32</t>
  </si>
  <si>
    <t>1.1.1.1.1.1.1.5.1._</t>
  </si>
  <si>
    <t>278420212.1277440</t>
  </si>
  <si>
    <t>1.1.1.1.1.1.1.5.2</t>
  </si>
  <si>
    <t>Лист гипсокартонный_ / ГСП-Н2 ПЛУК / 12,5 мм</t>
  </si>
  <si>
    <t>304337533.1521731</t>
  </si>
  <si>
    <t>21096611.1521731</t>
  </si>
  <si>
    <t>a1299d5c-a6a8-4578-811e-9ac6be42922a</t>
  </si>
  <si>
    <t>1.1.1.1.1.1.1.5.2._</t>
  </si>
  <si>
    <t>278420212.1521731</t>
  </si>
  <si>
    <t>1.1.1.1.1.1.1.5.3</t>
  </si>
  <si>
    <t>304337533.54565</t>
  </si>
  <si>
    <t>21096611.54565</t>
  </si>
  <si>
    <t>1.1.1.1.1.1.1.5.3._</t>
  </si>
  <si>
    <t>278420212.54565</t>
  </si>
  <si>
    <t>1.1.1.1.1.1.1.5.4</t>
  </si>
  <si>
    <t>Профиль_/направляющий/50*50*0,40/3м</t>
  </si>
  <si>
    <t>304337533.54566</t>
  </si>
  <si>
    <t>21096611.54566</t>
  </si>
  <si>
    <t>c2f1d1c0-1cc2-4bd4-8e05-ef1e6946382b</t>
  </si>
  <si>
    <t>1.1.1.1.1.1.1.5.4._</t>
  </si>
  <si>
    <t>278420212.54566</t>
  </si>
  <si>
    <t>1.1.1.1.1.1.1.6</t>
  </si>
  <si>
    <t>1.1.1.1.1.1.1.6.1</t>
  </si>
  <si>
    <t>304337596.54566</t>
  </si>
  <si>
    <t>21916285.54566</t>
  </si>
  <si>
    <t>1.1.1.1.1.1.1.6.2</t>
  </si>
  <si>
    <t>304337596.54570</t>
  </si>
  <si>
    <t>21916285.54570</t>
  </si>
  <si>
    <t>1.1.1.1.1.1.1.6.3</t>
  </si>
  <si>
    <t>Лист гипсоволокнистый ГВЛВ 12,5мм Г1</t>
  </si>
  <si>
    <t>304337596.7352</t>
  </si>
  <si>
    <t>21916285.7352</t>
  </si>
  <si>
    <t>22b5ef4c-0665-11e8-80d9-005056881952</t>
  </si>
  <si>
    <t>1.1.1.1.1.1.1.6.4</t>
  </si>
  <si>
    <t>304337596.1277440</t>
  </si>
  <si>
    <t>21916285.1277440</t>
  </si>
  <si>
    <t>1.1.1.1.1.1.1.7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</si>
  <si>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</si>
  <si>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</si>
  <si>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</si>
  <si>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</si>
  <si>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1.1.1.1.1.1.1.7._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</si>
  <si>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</si>
  <si>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</si>
  <si>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</si>
  <si>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304337534.1571304</t>
  </si>
  <si>
    <t>21096613.1571304</t>
  </si>
  <si>
    <t>03246ec1-2d72-4291-b360-a366560593b9</t>
  </si>
  <si>
    <t>1.1.1.1.1.1.1.7.1._</t>
  </si>
  <si>
    <t>278420213.1571304</t>
  </si>
  <si>
    <t>1.1.1.1.1.1.1.7.2</t>
  </si>
  <si>
    <t>304337534.54565</t>
  </si>
  <si>
    <t>21096613.54565</t>
  </si>
  <si>
    <t>1.1.1.1.1.1.1.7.2._</t>
  </si>
  <si>
    <t>278420213.54565</t>
  </si>
  <si>
    <t>1.1.1.1.1.1.1.7.3</t>
  </si>
  <si>
    <t>304337534.54570</t>
  </si>
  <si>
    <t>21096613.54570</t>
  </si>
  <si>
    <t>1.1.1.1.1.1.1.7.3._</t>
  </si>
  <si>
    <t>278420213.54570</t>
  </si>
  <si>
    <t>1.1.1.1.1.1.1.7.4</t>
  </si>
  <si>
    <t>304337534.1521716</t>
  </si>
  <si>
    <t>21096613.1521716</t>
  </si>
  <si>
    <t>85f69335-7b81-4c3d-b059-fb06ee828287</t>
  </si>
  <si>
    <t>1.1.1.1.1.1.1.7.4._</t>
  </si>
  <si>
    <t>278420213.1521716</t>
  </si>
  <si>
    <t>1.1.1.1.1.1.1.8</t>
  </si>
  <si>
    <t>1.1.1.1.1.1.1.8.1</t>
  </si>
  <si>
    <t>304337597.1521716</t>
  </si>
  <si>
    <t>21916286.1521716</t>
  </si>
  <si>
    <t>1.1.1.1.1.1.1.8.2</t>
  </si>
  <si>
    <t>304337597.54565</t>
  </si>
  <si>
    <t>21916286.54565</t>
  </si>
  <si>
    <t>1.1.1.1.1.1.1.8.3</t>
  </si>
  <si>
    <t>304337597.54570</t>
  </si>
  <si>
    <t>21916286.54570</t>
  </si>
  <si>
    <t>1.1.1.1.1.1.1.8.4</t>
  </si>
  <si>
    <t>304337597.1571304</t>
  </si>
  <si>
    <t>21916286.1571304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</si>
  <si>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</si>
  <si>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</si>
  <si>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</si>
  <si>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</si>
  <si>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</si>
  <si>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</si>
  <si>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</si>
  <si>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</si>
  <si>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</si>
  <si>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</si>
  <si>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</si>
  <si>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</si>
  <si>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</si>
  <si>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6.3.1.5.1.3</t>
  </si>
  <si>
    <t>Устройство покрытия полов</t>
  </si>
  <si>
    <t>1.1.2.1.1.1.1.1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</si>
  <si>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</si>
  <si>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</si>
  <si>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</si>
  <si>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</si>
  <si>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</si>
  <si>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8a7cac49-151b-40fd-a08b-5e72f8ff4034</t>
  </si>
  <si>
    <t>1.1.2.1.1.1.1.1._</t>
  </si>
  <si>
    <t>1, 2, 3 этажи. Тип: Л-4</t>
  </si>
  <si>
    <t>1.1.2.1.1.1.1.1.1</t>
  </si>
  <si>
    <t>Клей для линолеума</t>
  </si>
  <si>
    <t>кг</t>
  </si>
  <si>
    <t>304337541.702694</t>
  </si>
  <si>
    <t>20297393.702694</t>
  </si>
  <si>
    <t>1a3e3255-5ba6-49e7-bbc8-279e1b1289a0</t>
  </si>
  <si>
    <t>1.1.2.1.1.1.1.1.1._</t>
  </si>
  <si>
    <t>281879684.702694</t>
  </si>
  <si>
    <t>1.1.2.1.1.1.1.1.2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</si>
  <si>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</si>
  <si>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304337541.765921</t>
  </si>
  <si>
    <t>20297393.765921</t>
  </si>
  <si>
    <t>8a356048-b8f8-47ee-8d24-c76a0511040b</t>
  </si>
  <si>
    <t>1.1.2.1.1.1.1.1.2._</t>
  </si>
  <si>
    <t>281879684.765921</t>
  </si>
  <si>
    <t>1.1.2.1.1.1.1.1.3</t>
  </si>
  <si>
    <t>Линолеум (для объектов СКБ)_ / 4 мм  / Желтый / Omnisports ACTION R40 YELLOW / Tarkett / - / Спортивный линолеум для детского сада</t>
  </si>
  <si>
    <t>304337541.1757615</t>
  </si>
  <si>
    <t>20297393.1757615</t>
  </si>
  <si>
    <t>d4a7a97e-1161-462d-a2ac-3ef8a8ae8cec</t>
  </si>
  <si>
    <t>1.1.2.1.1.1.1.1.3._</t>
  </si>
  <si>
    <t>Линолеум Таркетт OMNISPORTS SKY BLUE 40, толщина 4,0мм</t>
  </si>
  <si>
    <t>281879684.1757615</t>
  </si>
  <si>
    <t>1.1.2.1.1.1.1.2</t>
  </si>
  <si>
    <t>1.1.2.1.1.1.1.2._</t>
  </si>
  <si>
    <t>1, 2, 3 этажи. Тип: Л-1</t>
  </si>
  <si>
    <t>1.1.2.1.1.1.1.2.1</t>
  </si>
  <si>
    <t>Линолеум (для объектов СКБ)_ / 4 мм  / серый / Omnisports ACTION R40 GREY / Tarkett / - / Спортивный линолеум для школы</t>
  </si>
  <si>
    <t>304337598.1757616</t>
  </si>
  <si>
    <t>20297494.1757616</t>
  </si>
  <si>
    <t>8a051785-3557-4655-9655-cc3c5240c6a9</t>
  </si>
  <si>
    <t>1.1.2.1.1.1.1.2.1._</t>
  </si>
  <si>
    <t>278420307.1757616</t>
  </si>
  <si>
    <t>1.1.2.1.1.1.1.2.2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</si>
  <si>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</si>
  <si>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304337598.1757617</t>
  </si>
  <si>
    <t>20297494.1757617</t>
  </si>
  <si>
    <t>bb025d17-34e9-45a4-8c65-9092721a631f</t>
  </si>
  <si>
    <t>1.1.2.1.1.1.1.2.2._</t>
  </si>
  <si>
    <t>278420307.1757617</t>
  </si>
  <si>
    <t>1.1.2.1.1.1.1.2.3</t>
  </si>
  <si>
    <t>304337598.702694</t>
  </si>
  <si>
    <t>20297494.702694</t>
  </si>
  <si>
    <t>1.1.2.1.1.1.1.2.3._</t>
  </si>
  <si>
    <t>278420307.702694</t>
  </si>
  <si>
    <t>1.1.2.1.1.1.1.3</t>
  </si>
  <si>
    <t>1, 2, 3 этажи. Тип: Л-7</t>
  </si>
  <si>
    <t>1.1.2.1.1.1.1.3._</t>
  </si>
  <si>
    <t>1.1.2.1.1.1.1.3.1</t>
  </si>
  <si>
    <t>304337599.702694</t>
  </si>
  <si>
    <t>20297502.702694</t>
  </si>
  <si>
    <t>1.1.2.1.1.1.1.3.1._</t>
  </si>
  <si>
    <t>278420308.702694</t>
  </si>
  <si>
    <t>1.1.2.1.1.1.1.3.2</t>
  </si>
  <si>
    <t>304337599.1757617</t>
  </si>
  <si>
    <t>20297502.1757617</t>
  </si>
  <si>
    <t>1.1.2.1.1.1.1.3.2._</t>
  </si>
  <si>
    <t>278420308.1757617</t>
  </si>
  <si>
    <t>1.1.2.1.1.1.1.3.3</t>
  </si>
  <si>
    <t>304337599.1757616</t>
  </si>
  <si>
    <t>20297502.1757616</t>
  </si>
  <si>
    <t>1.1.2.1.1.1.1.3.3._</t>
  </si>
  <si>
    <t>278420308.1757616</t>
  </si>
  <si>
    <t>1.1.2.1.1.1.1.4</t>
  </si>
  <si>
    <t>1.1.2.1.1.1.1.4.1</t>
  </si>
  <si>
    <t>304337600.1757615</t>
  </si>
  <si>
    <t>20297504.1757615</t>
  </si>
  <si>
    <t>1.1.2.1.1.1.1.4.2</t>
  </si>
  <si>
    <t>304337600.765921</t>
  </si>
  <si>
    <t>20297504.765921</t>
  </si>
  <si>
    <t>1.1.2.1.1.1.1.4.3</t>
  </si>
  <si>
    <t>304337600.702694</t>
  </si>
  <si>
    <t>20297504.702694</t>
  </si>
  <si>
    <t>1.1.2.1.1.1.1.5</t>
  </si>
  <si>
    <t>1.1.2.1.1.1.1.5.1</t>
  </si>
  <si>
    <t>304337601.702694</t>
  </si>
  <si>
    <t>20298402.702694</t>
  </si>
  <si>
    <t>1.1.2.1.1.1.1.5.2</t>
  </si>
  <si>
    <t>304337601.1757617</t>
  </si>
  <si>
    <t>20298402.1757617</t>
  </si>
  <si>
    <t>1.1.2.1.1.1.1.5.3</t>
  </si>
  <si>
    <t>304337601.1757616</t>
  </si>
  <si>
    <t>20298402.1757616</t>
  </si>
  <si>
    <t>1.1.2.1.1.1.1.6</t>
  </si>
  <si>
    <t>1.1.2.1.1.1.1.6.1</t>
  </si>
  <si>
    <t>304337602.1757617</t>
  </si>
  <si>
    <t>20298403.1757617</t>
  </si>
  <si>
    <t>1.1.2.1.1.1.1.6.2</t>
  </si>
  <si>
    <t>304337602.702694</t>
  </si>
  <si>
    <t>20298403.702694</t>
  </si>
  <si>
    <t>1.1.2.1.1.1.1.7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</si>
  <si>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</si>
  <si>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</si>
  <si>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</si>
  <si>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</si>
  <si>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1.1.2.1.1.1.1.7._</t>
  </si>
  <si>
    <t>1, 2, 3 этажи. Тип: SB02. Профиль Гидроконтур для деформационных швов напольный</t>
  </si>
  <si>
    <t>1.1.2.1.1.1.1.7.1</t>
  </si>
  <si>
    <t>Профиль для деформационных швов / Гидроконтур ПСН-100</t>
  </si>
  <si>
    <t>304337543.2809864</t>
  </si>
  <si>
    <t>20298510.2809864</t>
  </si>
  <si>
    <t>056f83f2-b240-11ef-b2b9-8d9a4c3e632c</t>
  </si>
  <si>
    <t>1.1.2.1.1.1.1.7.1._</t>
  </si>
  <si>
    <t>281915975.2809864</t>
  </si>
  <si>
    <t>1.1.2.1.1.1.1.7.2</t>
  </si>
  <si>
    <t>Жидкие гвозди универсальные_/</t>
  </si>
  <si>
    <t>шт</t>
  </si>
  <si>
    <t>304337543.54854</t>
  </si>
  <si>
    <t>20298510.54854</t>
  </si>
  <si>
    <t>3378c715-1bc1-40f5-8d09-15a912e04c9d</t>
  </si>
  <si>
    <t>1.1.2.1.1.1.1.7.2._</t>
  </si>
  <si>
    <t>281915975.54854</t>
  </si>
  <si>
    <t>1.1.2.1.1.1.1.8</t>
  </si>
  <si>
    <t>1.1.2.1.1.1.1.8._</t>
  </si>
  <si>
    <t>1, 2, 3 этажи. Тип: SB03. Профиль Гидроконтур для деформационных швов настенный</t>
  </si>
  <si>
    <t>1.1.2.1.1.1.1.8.1</t>
  </si>
  <si>
    <t>304337603.54854</t>
  </si>
  <si>
    <t>20298511.54854</t>
  </si>
  <si>
    <t>1.1.2.1.1.1.1.8.1._</t>
  </si>
  <si>
    <t>281916028.54854</t>
  </si>
  <si>
    <t>1.1.2.1.1.1.1.8.2</t>
  </si>
  <si>
    <t>304337603.2809864</t>
  </si>
  <si>
    <t>20298511.2809864</t>
  </si>
  <si>
    <t>1.1.2.1.1.1.1.8.2._</t>
  </si>
  <si>
    <t>281916028.2809864</t>
  </si>
  <si>
    <t>1.1.2.1.1.1.1.9</t>
  </si>
  <si>
    <t>1.1.2.1.1.1.1.9._</t>
  </si>
  <si>
    <t>1, 2, 3 этажи. Тип: РB04. Профиль Гидроконтур для деформационных швов потолочный</t>
  </si>
  <si>
    <t>1.1.2.1.1.1.1.9.1</t>
  </si>
  <si>
    <t>304337604.2809864</t>
  </si>
  <si>
    <t>20298519.2809864</t>
  </si>
  <si>
    <t>1.1.2.1.1.1.1.9.1._</t>
  </si>
  <si>
    <t>281916029.2809864</t>
  </si>
  <si>
    <t>1.1.2.1.1.1.1.9.2</t>
  </si>
  <si>
    <t>304337604.54854</t>
  </si>
  <si>
    <t>20298519.54854</t>
  </si>
  <si>
    <t>1.1.2.1.1.1.1.9.2._</t>
  </si>
  <si>
    <t>281916029.54854</t>
  </si>
  <si>
    <t>1.1.2.1.1.1.1.10</t>
  </si>
  <si>
    <t>1.1.2.1.1.1.1.10._</t>
  </si>
  <si>
    <t>1, 2, 3 этажи. Тип: SB01</t>
  </si>
  <si>
    <t>1.1.2.1.1.1.1.10.1</t>
  </si>
  <si>
    <t>Профиль, ПМЮ-05 / 2700мм</t>
  </si>
  <si>
    <t>304337605.1276313</t>
  </si>
  <si>
    <t>20298509.1276313</t>
  </si>
  <si>
    <t>c53a38a1-8b3e-46f9-a81d-9cf0e3e1db7b</t>
  </si>
  <si>
    <t>1.1.2.1.1.1.1.10.1._</t>
  </si>
  <si>
    <t>278271870.1276313</t>
  </si>
  <si>
    <t>1.1.2.1.1.1.1.10.2</t>
  </si>
  <si>
    <t>304337605.54854</t>
  </si>
  <si>
    <t>20298509.54854</t>
  </si>
  <si>
    <t>1.1.2.1.1.1.1.10.2._</t>
  </si>
  <si>
    <t>278271870.54854</t>
  </si>
  <si>
    <t>1.1.2.1.1.1.1.11</t>
  </si>
  <si>
    <t>1.1.2.1.1.1.1.11.1</t>
  </si>
  <si>
    <t>304337606.2809864</t>
  </si>
  <si>
    <t>21916282.2809864</t>
  </si>
  <si>
    <t>1.1.2.1.1.1.1.11.2</t>
  </si>
  <si>
    <t>304337606.54854</t>
  </si>
  <si>
    <t>21916282.54854</t>
  </si>
  <si>
    <t>1.1.2.1.1.1.1.12</t>
  </si>
  <si>
    <t>1.1.2.1.1.1.1.12.1</t>
  </si>
  <si>
    <t>304337607.54854</t>
  </si>
  <si>
    <t>21916283.54854</t>
  </si>
  <si>
    <t>1.1.2.1.1.1.1.12.2</t>
  </si>
  <si>
    <t>304337607.2809864</t>
  </si>
  <si>
    <t>21916283.2809864</t>
  </si>
  <si>
    <t>1.1.2.1.1.1.1.13</t>
  </si>
  <si>
    <t>1.1.2.1.1.1.1.13.1</t>
  </si>
  <si>
    <t>304337608.2809864</t>
  </si>
  <si>
    <t>21916296.2809864</t>
  </si>
  <si>
    <t>1.1.2.1.1.1.1.13.2</t>
  </si>
  <si>
    <t>304337608.54854</t>
  </si>
  <si>
    <t>21916296.54854</t>
  </si>
  <si>
    <t>1.1.2.1.1.1.1.14</t>
  </si>
  <si>
    <t>1.1.2.1.1.1.1.14.1</t>
  </si>
  <si>
    <t>304337609.1276313</t>
  </si>
  <si>
    <t>21916281.1276313</t>
  </si>
  <si>
    <t>1.1.2.1.1.1.1.14.2</t>
  </si>
  <si>
    <t>304337609.54854</t>
  </si>
  <si>
    <t>21916281.54854</t>
  </si>
  <si>
    <t>1.1.2.1.1.1.1.15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</si>
  <si>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</si>
  <si>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</si>
  <si>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</si>
  <si>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</si>
  <si>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1.1.2.1.1.1.1.15._</t>
  </si>
  <si>
    <t>3 этаж. П-11. Плитка виниловая Effekta Professional 011 P/8011 P Natural Pine PRO, 1000 x 200 х 2.55мм с защитным слоем 0.8 мм</t>
  </si>
  <si>
    <t>1.1.2.1.1.1.1.15.1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</si>
  <si>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</si>
  <si>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304337545.1579985</t>
  </si>
  <si>
    <t>20299703.1579985</t>
  </si>
  <si>
    <t>f4eb966a-beb9-11eb-80fb-005056881952</t>
  </si>
  <si>
    <t>1.1.2.1.1.1.1.15.1._</t>
  </si>
  <si>
    <t>цена 3880 руб/шт.</t>
  </si>
  <si>
    <t>281915977.1579985</t>
  </si>
  <si>
    <t>1.1.2.1.1.1.1.15.2</t>
  </si>
  <si>
    <t>Кварц-виниловая плитка / SPC VIVA Series с защитным слоем 0,3мм</t>
  </si>
  <si>
    <t>304337545.1745760</t>
  </si>
  <si>
    <t>20299703.1745760</t>
  </si>
  <si>
    <t>5e97e485-cef1-4bb6-9a4e-50ed5226fbd6</t>
  </si>
  <si>
    <t>1.1.2.1.1.1.1.15.2._</t>
  </si>
  <si>
    <t>Цена 2000 руб/м2</t>
  </si>
  <si>
    <t>281915977.1745760</t>
  </si>
  <si>
    <t>1.1.2.1.1.1.1.16</t>
  </si>
  <si>
    <t>1.1.2.1.1.1.1.16._</t>
  </si>
  <si>
    <t>КР-8. Отделка лестницы амфитеатра: Микроцементт АСТРА ЛОФТ, цвет Дубай, фактурная, с защитным покрытием, толщина 4-6мм</t>
  </si>
  <si>
    <t>1.1.2.1.1.1.1.16.1</t>
  </si>
  <si>
    <t>304337610.1745760</t>
  </si>
  <si>
    <t>20299702.1745760</t>
  </si>
  <si>
    <t>1.1.2.1.1.1.1.16.1._</t>
  </si>
  <si>
    <t>281916031.1745760</t>
  </si>
  <si>
    <t>1.1.2.1.1.1.1.16.2</t>
  </si>
  <si>
    <t>304337610.1579985</t>
  </si>
  <si>
    <t>20299702.1579985</t>
  </si>
  <si>
    <t>1.1.2.1.1.1.1.16.2._</t>
  </si>
  <si>
    <t>281916031.1579985</t>
  </si>
  <si>
    <t>1.1.2.1.1.1.1.17</t>
  </si>
  <si>
    <t>1.1.2.1.1.1.1.17.1</t>
  </si>
  <si>
    <t>304337611.1579985</t>
  </si>
  <si>
    <t>21916297.1579985</t>
  </si>
  <si>
    <t>1.1.2.1.1.1.1.17.2</t>
  </si>
  <si>
    <t>304337611.1745760</t>
  </si>
  <si>
    <t>21916297.1745760</t>
  </si>
  <si>
    <t>1.1.2.1.1.1.1.18</t>
  </si>
  <si>
    <t>1.1.2.1.1.1.1.18.1</t>
  </si>
  <si>
    <t>304337612.1745760</t>
  </si>
  <si>
    <t>21916298.1745760</t>
  </si>
  <si>
    <t>1.1.2.1.1.1.1.18.2</t>
  </si>
  <si>
    <t>304337612.1579985</t>
  </si>
  <si>
    <t>21916298.1579985</t>
  </si>
  <si>
    <t>1.1.2.1.1.1.1.19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</si>
  <si>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</si>
  <si>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</si>
  <si>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</si>
  <si>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</si>
  <si>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1.1.2.1.1.1.1.19._</t>
  </si>
  <si>
    <t>1, 2, 3 этажи. Тип: ПЛ-3</t>
  </si>
  <si>
    <t>1.1.2.1.1.1.1.19.1</t>
  </si>
  <si>
    <t>Плинтус для линолеума (для объектов СКБ)_ / 50мм /  DoLLKEN WEISS 100 1137 / Dollken / Плинтус для линолеума для детского сада и школ</t>
  </si>
  <si>
    <t>304337547.1277526</t>
  </si>
  <si>
    <t>20322538.1277526</t>
  </si>
  <si>
    <t>0bcd701c-ad57-43a4-965e-8e4f1c35993b</t>
  </si>
  <si>
    <t>1.1.2.1.1.1.1.19.1._</t>
  </si>
  <si>
    <t>Плинтус Dollken WL 50 темно - серый 146</t>
  </si>
  <si>
    <t>281915979.1277526</t>
  </si>
  <si>
    <t>1.1.2.1.1.1.1.20</t>
  </si>
  <si>
    <t>1.1.2.1.1.1.1.20._</t>
  </si>
  <si>
    <t>1, 2, 3 этажи. Тип: ПЛ-4</t>
  </si>
  <si>
    <t>1.1.2.1.1.1.1.20.1</t>
  </si>
  <si>
    <t>304337613.1277526</t>
  </si>
  <si>
    <t>20322539.1277526</t>
  </si>
  <si>
    <t>1.1.2.1.1.1.1.20.1._</t>
  </si>
  <si>
    <t>Плинтус Dollken WL 50 светло - серый 138</t>
  </si>
  <si>
    <t>281916032.1277526</t>
  </si>
  <si>
    <t>1.1.2.1.1.1.1.21</t>
  </si>
  <si>
    <t>1.1.2.1.1.1.1.21.1</t>
  </si>
  <si>
    <t>304337614.1277526</t>
  </si>
  <si>
    <t>21916294.1277526</t>
  </si>
  <si>
    <t>1.1.2.1.1.1.1.22</t>
  </si>
  <si>
    <t>1.1.2.1.1.1.1.22.1</t>
  </si>
  <si>
    <t>304337615.1277526</t>
  </si>
  <si>
    <t>21916295.1277526</t>
  </si>
  <si>
    <t>1.1.2.1.1.1.1.23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</si>
  <si>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</si>
  <si>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</si>
  <si>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</si>
  <si>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</si>
  <si>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1.1.2.1.1.1.1.23._</t>
  </si>
  <si>
    <t>1, 2, 3 этажи. Тип: КР-1.2, Проступь.</t>
  </si>
  <si>
    <t>1.1.2.1.1.1.1.23.1</t>
  </si>
  <si>
    <t>Ступени с насечками из керамического гранита Про Стоун  / 300х600х11 мм / DD600300R</t>
  </si>
  <si>
    <t>304337549.1277545</t>
  </si>
  <si>
    <t>20865471.1277545</t>
  </si>
  <si>
    <t>a93fa47a-8782-4159-a657-77a449ab5d71</t>
  </si>
  <si>
    <t>1.1.2.1.1.1.1.23.1._</t>
  </si>
  <si>
    <t>Проступь: Керамогранит Kerama Marazzi Мирабо, арт. DD253400R\GR, цвет серый светлый, размер 300*600 мм, толщина 9мм.</t>
  </si>
  <si>
    <t>278284730.1277545</t>
  </si>
  <si>
    <t>1.1.2.1.1.1.1.23.2</t>
  </si>
  <si>
    <t>Клей плиточный/Унифицированный по ПИК-СТАНДАРТ</t>
  </si>
  <si>
    <t>304337549.54630</t>
  </si>
  <si>
    <t>20865471.54630</t>
  </si>
  <si>
    <t>b9d3e1c1-6041-448e-9389-9c537e754b40</t>
  </si>
  <si>
    <t>1.1.2.1.1.1.1.23.2._</t>
  </si>
  <si>
    <t>278284730.54630</t>
  </si>
  <si>
    <t>1.1.2.1.1.1.1.23.3</t>
  </si>
  <si>
    <t>Затирка Цезерит СE33_/13 атрацит</t>
  </si>
  <si>
    <t>304337549.54635</t>
  </si>
  <si>
    <t>20865471.54635</t>
  </si>
  <si>
    <t>255e2be5-9cb1-4b52-84d2-49341281c898</t>
  </si>
  <si>
    <t>1.1.2.1.1.1.1.23.3._</t>
  </si>
  <si>
    <t>278284730.54635</t>
  </si>
  <si>
    <t>1.1.2.1.1.1.1.23.4</t>
  </si>
  <si>
    <t>Грунтовка универсальный ЛАСТИМИН_ / УНКОНТ ЛЮКС LP51 А</t>
  </si>
  <si>
    <t>304337549.1139608</t>
  </si>
  <si>
    <t>20865471.1139608</t>
  </si>
  <si>
    <t>bbceaf39-544c-478f-a605-41b8d1bad350</t>
  </si>
  <si>
    <t>1.1.2.1.1.1.1.23.4._</t>
  </si>
  <si>
    <t>278284730.1139608</t>
  </si>
  <si>
    <t>1.1.2.1.1.1.1.24</t>
  </si>
  <si>
    <t>1.1.2.1.1.1.1.24._</t>
  </si>
  <si>
    <t>1, 2, 3 этажи. Тип: КР-1.3, Подступенок.</t>
  </si>
  <si>
    <t>1.1.2.1.1.1.1.24.1</t>
  </si>
  <si>
    <t>304337616.1139608</t>
  </si>
  <si>
    <t>20865472.1139608</t>
  </si>
  <si>
    <t>1.1.2.1.1.1.1.24.1._</t>
  </si>
  <si>
    <t>279169585.1139608</t>
  </si>
  <si>
    <t>1.1.2.1.1.1.1.24.2</t>
  </si>
  <si>
    <t>304337616.54635</t>
  </si>
  <si>
    <t>20865472.54635</t>
  </si>
  <si>
    <t>1.1.2.1.1.1.1.24.2._</t>
  </si>
  <si>
    <t>279169585.54635</t>
  </si>
  <si>
    <t>1.1.2.1.1.1.1.24.3</t>
  </si>
  <si>
    <t>304337616.54630</t>
  </si>
  <si>
    <t>20865472.54630</t>
  </si>
  <si>
    <t>1.1.2.1.1.1.1.24.3._</t>
  </si>
  <si>
    <t>279169585.54630</t>
  </si>
  <si>
    <t>1.1.2.1.1.1.1.24.4</t>
  </si>
  <si>
    <t>Подступенки из керамического гранита "Викинг"_/ SG605600R/серый/150х600х11мм</t>
  </si>
  <si>
    <t>304337616.54660</t>
  </si>
  <si>
    <t>20865472.54660</t>
  </si>
  <si>
    <t>2bd33641-bcf5-4a4a-aa20-c062f7380eca</t>
  </si>
  <si>
    <t>1.1.2.1.1.1.1.24.4._</t>
  </si>
  <si>
    <t>Подступенок: Керамогранита Kerama Marazzi Мирабо, арт. DD253400R/2, цвет серый светлый, размер 600*145 мм, толщина 9мм.</t>
  </si>
  <si>
    <t>279169585.54660</t>
  </si>
  <si>
    <t>1.1.2.1.1.1.1.25</t>
  </si>
  <si>
    <t>1.1.2.1.1.1.1.25._</t>
  </si>
  <si>
    <t>1, 2, 3 этажи. Тип: КР-9, Амфитеатр ступени.</t>
  </si>
  <si>
    <t>1.1.2.1.1.1.1.25.1</t>
  </si>
  <si>
    <t>Ступени с насечками из керамического гранита "Викинг"_/SG605600R/ серый/300х600х11мм</t>
  </si>
  <si>
    <t>304337617.54659</t>
  </si>
  <si>
    <t>20865473.54659</t>
  </si>
  <si>
    <t>80581ba0-af32-4140-9098-fad58c195b0a</t>
  </si>
  <si>
    <t>1.1.2.1.1.1.1.25.1._</t>
  </si>
  <si>
    <t>АМФИТЕАТР СТУПЕНИ-сиденья: Керамогранит Kerama Marazzi Монтиони SG511520R, 20х119,5 бежевый светлый.</t>
  </si>
  <si>
    <t>275822501.54659</t>
  </si>
  <si>
    <t>1.1.2.1.1.1.1.25.2</t>
  </si>
  <si>
    <t>304337617.54630</t>
  </si>
  <si>
    <t>20865473.54630</t>
  </si>
  <si>
    <t>1.1.2.1.1.1.1.25.2._</t>
  </si>
  <si>
    <t>275822501.54630</t>
  </si>
  <si>
    <t>1.1.2.1.1.1.1.25.3</t>
  </si>
  <si>
    <t>304337617.54635</t>
  </si>
  <si>
    <t>20865473.54635</t>
  </si>
  <si>
    <t>1.1.2.1.1.1.1.25.3._</t>
  </si>
  <si>
    <t>275822501.54635</t>
  </si>
  <si>
    <t>1.1.2.1.1.1.1.25.4</t>
  </si>
  <si>
    <t>304337617.1139608</t>
  </si>
  <si>
    <t>20865473.1139608</t>
  </si>
  <si>
    <t>1.1.2.1.1.1.1.25.4._</t>
  </si>
  <si>
    <t>275822501.1139608</t>
  </si>
  <si>
    <t>1.1.2.1.1.1.1.26</t>
  </si>
  <si>
    <t>1.1.2.1.1.1.1.26.1</t>
  </si>
  <si>
    <t>304337618.1139608</t>
  </si>
  <si>
    <t>21916288.1139608</t>
  </si>
  <si>
    <t>1.1.2.1.1.1.1.26.2</t>
  </si>
  <si>
    <t>304337618.54635</t>
  </si>
  <si>
    <t>21916288.54635</t>
  </si>
  <si>
    <t>1.1.2.1.1.1.1.26.3</t>
  </si>
  <si>
    <t>304337618.54630</t>
  </si>
  <si>
    <t>21916288.54630</t>
  </si>
  <si>
    <t>1.1.2.1.1.1.1.26.4</t>
  </si>
  <si>
    <t>304337618.1277545</t>
  </si>
  <si>
    <t>21916288.1277545</t>
  </si>
  <si>
    <t>1.1.2.1.1.1.1.27</t>
  </si>
  <si>
    <t>1.1.2.1.1.1.1.27.1</t>
  </si>
  <si>
    <t>304337619.54659</t>
  </si>
  <si>
    <t>21916289.54659</t>
  </si>
  <si>
    <t>1.1.2.1.1.1.1.27.2</t>
  </si>
  <si>
    <t>304337619.54630</t>
  </si>
  <si>
    <t>21916289.54630</t>
  </si>
  <si>
    <t>1.1.2.1.1.1.1.27.3</t>
  </si>
  <si>
    <t>304337619.54635</t>
  </si>
  <si>
    <t>21916289.54635</t>
  </si>
  <si>
    <t>1.1.2.1.1.1.1.27.4</t>
  </si>
  <si>
    <t>304337619.1139608</t>
  </si>
  <si>
    <t>21916289.1139608</t>
  </si>
  <si>
    <t>1.1.2.1.1.1.1.28</t>
  </si>
  <si>
    <t xml:space="preserve">1, 2, 3 этажи. Тип: КР-9, Амфитеатр ступени. </t>
  </si>
  <si>
    <t>1.1.2.1.1.1.1.28.1</t>
  </si>
  <si>
    <t>304337620.1139608</t>
  </si>
  <si>
    <t>21935199.1139608</t>
  </si>
  <si>
    <t>1.1.2.1.1.1.1.28.2</t>
  </si>
  <si>
    <t>304337620.54635</t>
  </si>
  <si>
    <t>21935199.54635</t>
  </si>
  <si>
    <t>1.1.2.1.1.1.1.28.3</t>
  </si>
  <si>
    <t>304337620.54630</t>
  </si>
  <si>
    <t>21935199.54630</t>
  </si>
  <si>
    <t>1.1.2.1.1.1.1.28.4</t>
  </si>
  <si>
    <t>304337620.54659</t>
  </si>
  <si>
    <t>21935199.54659</t>
  </si>
  <si>
    <t>1.1.2.1.1.1.1.29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</si>
  <si>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</si>
  <si>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</si>
  <si>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</si>
  <si>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</si>
  <si>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1.1.2.1.1.1.1.29._</t>
  </si>
  <si>
    <t>1, 2, 3 этажи. Тип: ПК-1</t>
  </si>
  <si>
    <t>1.1.2.1.1.1.1.29.1</t>
  </si>
  <si>
    <t>Плиточный клей_ / Унифицированный по ПИК-СТАНДАРТ</t>
  </si>
  <si>
    <t>304337551.1570753</t>
  </si>
  <si>
    <t>20322535.1570753</t>
  </si>
  <si>
    <t>be76b7f0-d821-4213-a0b5-d4d9b08818f1</t>
  </si>
  <si>
    <t>1.1.2.1.1.1.1.29.1._</t>
  </si>
  <si>
    <t>278286203.1570753</t>
  </si>
  <si>
    <t>1.1.2.1.1.1.1.29.2</t>
  </si>
  <si>
    <t>Плинтус из керамического гранита Дайсен_ / светло-серый / SG610300R / 100х600х11мм</t>
  </si>
  <si>
    <t>304337551.54668</t>
  </si>
  <si>
    <t>20322535.54668</t>
  </si>
  <si>
    <t>402dafbe-1652-450d-be4d-61804ef3d391</t>
  </si>
  <si>
    <t>1.1.2.1.1.1.1.29.2._</t>
  </si>
  <si>
    <t>Плинтус из керамогранита Грани Таганая Профи, арт. GT009М, цвет светло-серый, размер 600*100(h) мм, толщина 10мм, матовый.</t>
  </si>
  <si>
    <t>278286203.54668</t>
  </si>
  <si>
    <t>1.1.2.1.1.1.1.29.3</t>
  </si>
  <si>
    <t>304337551.54635</t>
  </si>
  <si>
    <t>20322535.54635</t>
  </si>
  <si>
    <t>1.1.2.1.1.1.1.29.3._</t>
  </si>
  <si>
    <t>278286203.54635</t>
  </si>
  <si>
    <t>1.1.2.1.1.1.1.29.4</t>
  </si>
  <si>
    <t>Грунтовка универсальный ЛАСТИМИН_ / LP-51 А</t>
  </si>
  <si>
    <t>304337551.54634</t>
  </si>
  <si>
    <t>20322535.54634</t>
  </si>
  <si>
    <t>6f806fd0-f20f-4c69-8d99-cee4063fa047</t>
  </si>
  <si>
    <t>1.1.2.1.1.1.1.29.4._</t>
  </si>
  <si>
    <t>278286203.54634</t>
  </si>
  <si>
    <t>1.1.2.1.1.1.1.30</t>
  </si>
  <si>
    <t>1.1.2.1.1.1.1.30._</t>
  </si>
  <si>
    <t>1, 2, 3 этажи. Тип: ПК-4</t>
  </si>
  <si>
    <t>1.1.2.1.1.1.1.30.1</t>
  </si>
  <si>
    <t>304337621.54634</t>
  </si>
  <si>
    <t>20322536.54634</t>
  </si>
  <si>
    <t>1.1.2.1.1.1.1.30.1._</t>
  </si>
  <si>
    <t>282588996.54634</t>
  </si>
  <si>
    <t>1.1.2.1.1.1.1.30.2</t>
  </si>
  <si>
    <t>304337621.54635</t>
  </si>
  <si>
    <t>20322536.54635</t>
  </si>
  <si>
    <t>1.1.2.1.1.1.1.30.2._</t>
  </si>
  <si>
    <t>282588996.54635</t>
  </si>
  <si>
    <t>1.1.2.1.1.1.1.30.3</t>
  </si>
  <si>
    <t>304337621.54668</t>
  </si>
  <si>
    <t>20322536.54668</t>
  </si>
  <si>
    <t>1.1.2.1.1.1.1.30.3._</t>
  </si>
  <si>
    <t>Плинтус из керамогранита Kerama Marazzi Мирабо, арт. DD638320R/6BT, цвет серый светлый, размер 600*95 мм.</t>
  </si>
  <si>
    <t>282588996.54668</t>
  </si>
  <si>
    <t>1.1.2.1.1.1.1.30.4</t>
  </si>
  <si>
    <t>304337621.1570753</t>
  </si>
  <si>
    <t>20322536.1570753</t>
  </si>
  <si>
    <t>1.1.2.1.1.1.1.30.4._</t>
  </si>
  <si>
    <t>282588996.1570753</t>
  </si>
  <si>
    <t>1.1.2.1.1.1.1.31</t>
  </si>
  <si>
    <t>1, 2, 3 этажи. Тип: П1 (Стены - Бордюр карандаш)</t>
  </si>
  <si>
    <t>1.1.2.1.1.1.1.31._</t>
  </si>
  <si>
    <t>1.1.2.1.1.1.1.31.1</t>
  </si>
  <si>
    <t>304337622.1570753</t>
  </si>
  <si>
    <t>20322537.1570753</t>
  </si>
  <si>
    <t>1.1.2.1.1.1.1.31.1._</t>
  </si>
  <si>
    <t>282588997.1570753</t>
  </si>
  <si>
    <t>1.1.2.1.1.1.1.31.2</t>
  </si>
  <si>
    <t>304337622.54668</t>
  </si>
  <si>
    <t>20322537.54668</t>
  </si>
  <si>
    <t>1.1.2.1.1.1.1.31.2._</t>
  </si>
  <si>
    <t>Kerama Marazzi, цвет бежевый, матовый, размер 20х2, арт. PFE017</t>
  </si>
  <si>
    <t>282588997.54668</t>
  </si>
  <si>
    <t>1.1.2.1.1.1.1.31.3</t>
  </si>
  <si>
    <t>304337622.54634</t>
  </si>
  <si>
    <t>20322537.54634</t>
  </si>
  <si>
    <t>1.1.2.1.1.1.1.31.3._</t>
  </si>
  <si>
    <t>282588997.54634</t>
  </si>
  <si>
    <t>1.1.2.1.1.1.1.32</t>
  </si>
  <si>
    <t>1.1.2.1.1.1.1.32.1</t>
  </si>
  <si>
    <t>304337623.54634</t>
  </si>
  <si>
    <t>20322534.54634</t>
  </si>
  <si>
    <t>1.1.2.1.1.1.1.32.2</t>
  </si>
  <si>
    <t>304337623.54635</t>
  </si>
  <si>
    <t>20322534.54635</t>
  </si>
  <si>
    <t>1.1.2.1.1.1.1.32.3</t>
  </si>
  <si>
    <t>304337623.54668</t>
  </si>
  <si>
    <t>20322534.54668</t>
  </si>
  <si>
    <t>1.1.2.1.1.1.1.33</t>
  </si>
  <si>
    <t>1.1.2.1.1.1.1.33.1</t>
  </si>
  <si>
    <t>304337624.1570753</t>
  </si>
  <si>
    <t>21935204.1570753</t>
  </si>
  <si>
    <t>1.1.2.1.1.1.1.33.2</t>
  </si>
  <si>
    <t>304337624.54668</t>
  </si>
  <si>
    <t>21935204.54668</t>
  </si>
  <si>
    <t>1.1.2.1.1.1.1.33.3</t>
  </si>
  <si>
    <t>304337624.54635</t>
  </si>
  <si>
    <t>21935204.54635</t>
  </si>
  <si>
    <t>1.1.2.1.1.1.1.33.4</t>
  </si>
  <si>
    <t>304337624.54634</t>
  </si>
  <si>
    <t>21935204.54634</t>
  </si>
  <si>
    <t>1.1.2.1.1.1.1.34</t>
  </si>
  <si>
    <t>1.1.2.1.1.1.1.34.1</t>
  </si>
  <si>
    <t>304337625.54634</t>
  </si>
  <si>
    <t>21935202.54634</t>
  </si>
  <si>
    <t>1.1.2.1.1.1.1.34.2</t>
  </si>
  <si>
    <t>304337625.54635</t>
  </si>
  <si>
    <t>21935202.54635</t>
  </si>
  <si>
    <t>1.1.2.1.1.1.1.34.3</t>
  </si>
  <si>
    <t>304337625.54668</t>
  </si>
  <si>
    <t>21935202.54668</t>
  </si>
  <si>
    <t>1.1.2.1.1.1.1.34.4</t>
  </si>
  <si>
    <t>304337625.1570753</t>
  </si>
  <si>
    <t>21935202.1570753</t>
  </si>
  <si>
    <t>1.1.2.1.1.1.1.35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</si>
  <si>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</si>
  <si>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</si>
  <si>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</si>
  <si>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</si>
  <si>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1.1.2.1.1.1.1.35._</t>
  </si>
  <si>
    <t>1, 2, 3 этажи. Тип: КР-6</t>
  </si>
  <si>
    <t>1.1.2.1.1.1.1.35.1</t>
  </si>
  <si>
    <t>Клей плиточный/ Унифицированный по ПИК-СТАНДАРТ</t>
  </si>
  <si>
    <t>304337553.54632</t>
  </si>
  <si>
    <t>20317965.54632</t>
  </si>
  <si>
    <t>29ab9003-5b43-49a7-8ba2-846628054d7e</t>
  </si>
  <si>
    <t>1.1.2.1.1.1.1.35.1._</t>
  </si>
  <si>
    <t>278420231.54632</t>
  </si>
  <si>
    <t>1.1.2.1.1.1.1.35.2</t>
  </si>
  <si>
    <t>Керамическая плитка Коллиано_ / светло - серый / SG912900N / 300*300*8мм</t>
  </si>
  <si>
    <t>304337553.54680</t>
  </si>
  <si>
    <t>20317965.54680</t>
  </si>
  <si>
    <t>18c7ad8f-1ba6-4999-8365-d221729a1af3</t>
  </si>
  <si>
    <t>1.1.2.1.1.1.1.35.2._</t>
  </si>
  <si>
    <t>Керамогранит Kerama Marazzi Колиано, арт. SG912900N, цвет серый светлый, размер 300*300 мм, толщина 8мм, матовый.</t>
  </si>
  <si>
    <t>278420231.54680</t>
  </si>
  <si>
    <t>1.1.2.1.1.1.1.35.3</t>
  </si>
  <si>
    <t>Затирка Цезерит СE33_/04 серебристо-серый</t>
  </si>
  <si>
    <t>304337553.54637</t>
  </si>
  <si>
    <t>20317965.54637</t>
  </si>
  <si>
    <t>c293221b-d93c-4424-8200-e1b99b7167e3</t>
  </si>
  <si>
    <t>1.1.2.1.1.1.1.35.3._</t>
  </si>
  <si>
    <t>278420231.54637</t>
  </si>
  <si>
    <t>1.1.2.1.1.1.1.35.4</t>
  </si>
  <si>
    <t>304337553.54634</t>
  </si>
  <si>
    <t>20317965.54634</t>
  </si>
  <si>
    <t>1.1.2.1.1.1.1.35.4._</t>
  </si>
  <si>
    <t>278420231.54634</t>
  </si>
  <si>
    <t>1.1.2.1.1.1.1.36</t>
  </si>
  <si>
    <t>1.1.2.1.1.1.1.36.1</t>
  </si>
  <si>
    <t>304337626.54634</t>
  </si>
  <si>
    <t>21935198.54634</t>
  </si>
  <si>
    <t>1.1.2.1.1.1.1.36.2</t>
  </si>
  <si>
    <t>304337626.54637</t>
  </si>
  <si>
    <t>21935198.54637</t>
  </si>
  <si>
    <t>1.1.2.1.1.1.1.36.3</t>
  </si>
  <si>
    <t>304337626.54680</t>
  </si>
  <si>
    <t>21935198.54680</t>
  </si>
  <si>
    <t>1.1.2.1.1.1.1.36.4</t>
  </si>
  <si>
    <t>304337626.54632</t>
  </si>
  <si>
    <t>21935198.54632</t>
  </si>
  <si>
    <t>1.1.2.1.1.1.1.37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</si>
  <si>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</si>
  <si>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</si>
  <si>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</si>
  <si>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</si>
  <si>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1.1.2.1.1.1.1.37._</t>
  </si>
  <si>
    <t>1, 2, 3 этажи. Тип: КР-1</t>
  </si>
  <si>
    <t>1.1.2.1.1.1.1.37.1</t>
  </si>
  <si>
    <t>Плиточный клей_ /  Унифицированный по ПИК-СТАНДАРТ</t>
  </si>
  <si>
    <t>304337554.739258</t>
  </si>
  <si>
    <t>20317960.739258</t>
  </si>
  <si>
    <t>b9d5a438-2a19-468f-b5a2-8648dd1dd258</t>
  </si>
  <si>
    <t>1.1.2.1.1.1.1.37.1._</t>
  </si>
  <si>
    <t>281967384.739258</t>
  </si>
  <si>
    <t>1.1.2.1.1.1.1.37.2</t>
  </si>
  <si>
    <t>Керамический гранит Estima YOUR COLOR_ / YC 93 / 600*600*10мм</t>
  </si>
  <si>
    <t>304337554.54693</t>
  </si>
  <si>
    <t>20317960.54693</t>
  </si>
  <si>
    <t>322fd844-6675-4759-ad71-5048daf60734</t>
  </si>
  <si>
    <t>1.1.2.1.1.1.1.37.2._</t>
  </si>
  <si>
    <t>Керамогранит Грани Таганая моноколор, арт. GT100, цвет бежевый, размер 600*600 мм ,толщина 10мм, матовый.</t>
  </si>
  <si>
    <t>281967384.54693</t>
  </si>
  <si>
    <t>1.1.2.1.1.1.1.37.3</t>
  </si>
  <si>
    <t>304337554.54637</t>
  </si>
  <si>
    <t>20317960.54637</t>
  </si>
  <si>
    <t>1.1.2.1.1.1.1.37.3._</t>
  </si>
  <si>
    <t>281967384.54637</t>
  </si>
  <si>
    <t>1.1.2.1.1.1.1.37.4</t>
  </si>
  <si>
    <t>304337554.54634</t>
  </si>
  <si>
    <t>20317960.54634</t>
  </si>
  <si>
    <t>1.1.2.1.1.1.1.37.4._</t>
  </si>
  <si>
    <t>281967384.54634</t>
  </si>
  <si>
    <t>1.1.2.1.1.1.1.38</t>
  </si>
  <si>
    <t>1.1.2.1.1.1.1.38._</t>
  </si>
  <si>
    <t>1, 2, 3 этажи. Тип: КР-2</t>
  </si>
  <si>
    <t>1.1.2.1.1.1.1.38.1</t>
  </si>
  <si>
    <t>304337627.54634</t>
  </si>
  <si>
    <t>20317962.54634</t>
  </si>
  <si>
    <t>1.1.2.1.1.1.1.38.1._</t>
  </si>
  <si>
    <t>281967435.54634</t>
  </si>
  <si>
    <t>1.1.2.1.1.1.1.38.2</t>
  </si>
  <si>
    <t>304337627.54637</t>
  </si>
  <si>
    <t>20317962.54637</t>
  </si>
  <si>
    <t>1.1.2.1.1.1.1.38.2._</t>
  </si>
  <si>
    <t>281967435.54637</t>
  </si>
  <si>
    <t>1.1.2.1.1.1.1.38.3</t>
  </si>
  <si>
    <t>304337627.54693</t>
  </si>
  <si>
    <t>20317962.54693</t>
  </si>
  <si>
    <t>1.1.2.1.1.1.1.38.3._</t>
  </si>
  <si>
    <t>Керамогранит Грани Таганая Feeria, арт. GTF467, цвет желтый, размер 600*600 мм, толщина 10мм, матовый.</t>
  </si>
  <si>
    <t>281967435.54693</t>
  </si>
  <si>
    <t>1.1.2.1.1.1.1.38.4</t>
  </si>
  <si>
    <t>304337627.739258</t>
  </si>
  <si>
    <t>20317962.739258</t>
  </si>
  <si>
    <t>1.1.2.1.1.1.1.38.4._</t>
  </si>
  <si>
    <t>281967435.739258</t>
  </si>
  <si>
    <t>1.1.2.1.1.1.1.39</t>
  </si>
  <si>
    <t>1.1.2.1.1.1.1.39._</t>
  </si>
  <si>
    <t>1, 2, 3 этажи. Тип: КР-3</t>
  </si>
  <si>
    <t>1.1.2.1.1.1.1.39.1</t>
  </si>
  <si>
    <t>304337628.739258</t>
  </si>
  <si>
    <t>20317963.739258</t>
  </si>
  <si>
    <t>1.1.2.1.1.1.1.39.1._</t>
  </si>
  <si>
    <t>281967436.739258</t>
  </si>
  <si>
    <t>1.1.2.1.1.1.1.39.2</t>
  </si>
  <si>
    <t>304337628.54693</t>
  </si>
  <si>
    <t>20317963.54693</t>
  </si>
  <si>
    <t>1.1.2.1.1.1.1.39.2._</t>
  </si>
  <si>
    <t>Керамогранит Грани Таганая Профи, арт. GT009М, цвет светло-серый, размер 600*600ммм, толщина 10мм, матовый.</t>
  </si>
  <si>
    <t>281967436.54693</t>
  </si>
  <si>
    <t>1.1.2.1.1.1.1.39.3</t>
  </si>
  <si>
    <t>304337628.54637</t>
  </si>
  <si>
    <t>20317963.54637</t>
  </si>
  <si>
    <t>1.1.2.1.1.1.1.39.3._</t>
  </si>
  <si>
    <t>281967436.54637</t>
  </si>
  <si>
    <t>1.1.2.1.1.1.1.39.4</t>
  </si>
  <si>
    <t>304337628.54634</t>
  </si>
  <si>
    <t>20317963.54634</t>
  </si>
  <si>
    <t>1.1.2.1.1.1.1.39.4._</t>
  </si>
  <si>
    <t>281967436.54634</t>
  </si>
  <si>
    <t>1.1.2.1.1.1.1.40</t>
  </si>
  <si>
    <t>1.1.2.1.1.1.1.40._</t>
  </si>
  <si>
    <t>1, 2, 3 этажи. Тип: КР-4</t>
  </si>
  <si>
    <t>1.1.2.1.1.1.1.40.1</t>
  </si>
  <si>
    <t>304337629.54634</t>
  </si>
  <si>
    <t>20317964.54634</t>
  </si>
  <si>
    <t>1.1.2.1.1.1.1.40.1._</t>
  </si>
  <si>
    <t>281967437.54634</t>
  </si>
  <si>
    <t>1.1.2.1.1.1.1.40.2</t>
  </si>
  <si>
    <t>304337629.54637</t>
  </si>
  <si>
    <t>20317964.54637</t>
  </si>
  <si>
    <t>1.1.2.1.1.1.1.40.2._</t>
  </si>
  <si>
    <t>281967437.54637</t>
  </si>
  <si>
    <t>1.1.2.1.1.1.1.40.3</t>
  </si>
  <si>
    <t>304337629.54693</t>
  </si>
  <si>
    <t>20317964.54693</t>
  </si>
  <si>
    <t>1.1.2.1.1.1.1.40.3._</t>
  </si>
  <si>
    <t>Керамогранит Грани Таганая Профи, арт. GT085М, цвет голубой, размер 600*600 мм, толщина 10мм, матовый.</t>
  </si>
  <si>
    <t>281967437.54693</t>
  </si>
  <si>
    <t>1.1.2.1.1.1.1.40.4</t>
  </si>
  <si>
    <t>304337629.739258</t>
  </si>
  <si>
    <t>20317964.739258</t>
  </si>
  <si>
    <t>1.1.2.1.1.1.1.40.4._</t>
  </si>
  <si>
    <t>281967437.739258</t>
  </si>
  <si>
    <t>1.1.2.1.1.1.1.41</t>
  </si>
  <si>
    <t>1.1.2.1.1.1.1.41._</t>
  </si>
  <si>
    <t>1, 2, 3 этажи. Тип: КР-10</t>
  </si>
  <si>
    <t>1.1.2.1.1.1.1.41.1</t>
  </si>
  <si>
    <t>304337630.739258</t>
  </si>
  <si>
    <t>20317961.739258</t>
  </si>
  <si>
    <t>1.1.2.1.1.1.1.41.1._</t>
  </si>
  <si>
    <t>281967438.739258</t>
  </si>
  <si>
    <t>1.1.2.1.1.1.1.41.2</t>
  </si>
  <si>
    <t>304337630.54693</t>
  </si>
  <si>
    <t>20317961.54693</t>
  </si>
  <si>
    <t>1.1.2.1.1.1.1.41.2._</t>
  </si>
  <si>
    <t>Керамогранита Kerama Marazzi Мирабо, арт. DD638320R, цвет серый светлый, размер 600*600 мм, толщина 9мм.</t>
  </si>
  <si>
    <t>281967438.54693</t>
  </si>
  <si>
    <t>1.1.2.1.1.1.1.41.3</t>
  </si>
  <si>
    <t>304337630.54637</t>
  </si>
  <si>
    <t>20317961.54637</t>
  </si>
  <si>
    <t>1.1.2.1.1.1.1.41.3._</t>
  </si>
  <si>
    <t>281967438.54637</t>
  </si>
  <si>
    <t>1.1.2.1.1.1.1.41.4</t>
  </si>
  <si>
    <t>304337630.54634</t>
  </si>
  <si>
    <t>20317961.54634</t>
  </si>
  <si>
    <t>1.1.2.1.1.1.1.41.4._</t>
  </si>
  <si>
    <t>281967438.54634</t>
  </si>
  <si>
    <t>1.1.2.1.1.1.1.42</t>
  </si>
  <si>
    <t>1.1.2.1.1.1.1.42._</t>
  </si>
  <si>
    <t>1, 2, 3 этажи. Тип: КР-1.1, Площадки лестниц</t>
  </si>
  <si>
    <t>1.1.2.1.1.1.1.42.1</t>
  </si>
  <si>
    <t>304337631.54634</t>
  </si>
  <si>
    <t>20321878.54634</t>
  </si>
  <si>
    <t>1.1.2.1.1.1.1.42.1._</t>
  </si>
  <si>
    <t>281967439.54634</t>
  </si>
  <si>
    <t>1.1.2.1.1.1.1.42.2</t>
  </si>
  <si>
    <t>304337631.54637</t>
  </si>
  <si>
    <t>20321878.54637</t>
  </si>
  <si>
    <t>1.1.2.1.1.1.1.42.2._</t>
  </si>
  <si>
    <t>281967439.54637</t>
  </si>
  <si>
    <t>1.1.2.1.1.1.1.42.3</t>
  </si>
  <si>
    <t>304337631.54693</t>
  </si>
  <si>
    <t>20321878.54693</t>
  </si>
  <si>
    <t>1.1.2.1.1.1.1.42.3._</t>
  </si>
  <si>
    <t>Площадка: Керамогранита Kerama Marazzi Мирабо, арт. DD638320R, цвет серый светлый, размер 600*600 мм, толщина 9мм.</t>
  </si>
  <si>
    <t>281967439.54693</t>
  </si>
  <si>
    <t>1.1.2.1.1.1.1.42.4</t>
  </si>
  <si>
    <t>304337631.739258</t>
  </si>
  <si>
    <t>20321878.739258</t>
  </si>
  <si>
    <t>1.1.2.1.1.1.1.42.4._</t>
  </si>
  <si>
    <t>281967439.739258</t>
  </si>
  <si>
    <t>1.1.2.1.1.1.1.43</t>
  </si>
  <si>
    <t>1.1.2.1.1.1.1.43.1</t>
  </si>
  <si>
    <t>304337632.739258</t>
  </si>
  <si>
    <t>21935191.739258</t>
  </si>
  <si>
    <t>1.1.2.1.1.1.1.43.2</t>
  </si>
  <si>
    <t>304337632.54693</t>
  </si>
  <si>
    <t>21935191.54693</t>
  </si>
  <si>
    <t>1.1.2.1.1.1.1.43.3</t>
  </si>
  <si>
    <t>304337632.54637</t>
  </si>
  <si>
    <t>21935191.54637</t>
  </si>
  <si>
    <t>1.1.2.1.1.1.1.43.4</t>
  </si>
  <si>
    <t>304337632.54634</t>
  </si>
  <si>
    <t>21935191.54634</t>
  </si>
  <si>
    <t>1.1.2.1.1.1.1.44</t>
  </si>
  <si>
    <t>1.1.2.1.1.1.1.44.1</t>
  </si>
  <si>
    <t>304337633.54634</t>
  </si>
  <si>
    <t>21935195.54634</t>
  </si>
  <si>
    <t>1.1.2.1.1.1.1.44.2</t>
  </si>
  <si>
    <t>304337633.54637</t>
  </si>
  <si>
    <t>21935195.54637</t>
  </si>
  <si>
    <t>1.1.2.1.1.1.1.44.3</t>
  </si>
  <si>
    <t>304337633.54693</t>
  </si>
  <si>
    <t>21935195.54693</t>
  </si>
  <si>
    <t>1.1.2.1.1.1.1.44.4</t>
  </si>
  <si>
    <t>304337633.739258</t>
  </si>
  <si>
    <t>21935195.739258</t>
  </si>
  <si>
    <t>1.1.2.1.1.1.1.45</t>
  </si>
  <si>
    <t>1.1.2.1.1.1.1.45.1</t>
  </si>
  <si>
    <t>304337634.739258</t>
  </si>
  <si>
    <t>21935196.739258</t>
  </si>
  <si>
    <t>1.1.2.1.1.1.1.45.2</t>
  </si>
  <si>
    <t>304337634.54693</t>
  </si>
  <si>
    <t>21935196.54693</t>
  </si>
  <si>
    <t>1.1.2.1.1.1.1.45.3</t>
  </si>
  <si>
    <t>304337634.54637</t>
  </si>
  <si>
    <t>21935196.54637</t>
  </si>
  <si>
    <t>1.1.2.1.1.1.1.45.4</t>
  </si>
  <si>
    <t>304337634.54634</t>
  </si>
  <si>
    <t>21935196.54634</t>
  </si>
  <si>
    <t>1.1.2.1.1.1.1.46</t>
  </si>
  <si>
    <t>1.1.2.1.1.1.1.46.1</t>
  </si>
  <si>
    <t>304337635.54634</t>
  </si>
  <si>
    <t>21935197.54634</t>
  </si>
  <si>
    <t>1.1.2.1.1.1.1.46.2</t>
  </si>
  <si>
    <t>304337635.54637</t>
  </si>
  <si>
    <t>21935197.54637</t>
  </si>
  <si>
    <t>1.1.2.1.1.1.1.46.3</t>
  </si>
  <si>
    <t>304337635.54693</t>
  </si>
  <si>
    <t>21935197.54693</t>
  </si>
  <si>
    <t>1.1.2.1.1.1.1.46.4</t>
  </si>
  <si>
    <t>304337635.739258</t>
  </si>
  <si>
    <t>21935197.739258</t>
  </si>
  <si>
    <t>1.1.2.1.1.1.1.47</t>
  </si>
  <si>
    <t>1.1.2.1.1.1.1.47.1</t>
  </si>
  <si>
    <t>304337636.739258</t>
  </si>
  <si>
    <t>21935194.739258</t>
  </si>
  <si>
    <t>1.1.2.1.1.1.1.47.2</t>
  </si>
  <si>
    <t>304337636.54693</t>
  </si>
  <si>
    <t>21935194.54693</t>
  </si>
  <si>
    <t>1.1.2.1.1.1.1.47.3</t>
  </si>
  <si>
    <t>304337636.54637</t>
  </si>
  <si>
    <t>21935194.54637</t>
  </si>
  <si>
    <t>1.1.2.1.1.1.1.47.4</t>
  </si>
  <si>
    <t>304337636.54634</t>
  </si>
  <si>
    <t>21935194.54634</t>
  </si>
  <si>
    <t>1.1.2.1.1.1.1.48</t>
  </si>
  <si>
    <t>1.1.2.1.1.1.1.48.1</t>
  </si>
  <si>
    <t>304337637.54634</t>
  </si>
  <si>
    <t>21935192.54634</t>
  </si>
  <si>
    <t>1.1.2.1.1.1.1.48.2</t>
  </si>
  <si>
    <t>304337637.54637</t>
  </si>
  <si>
    <t>21935192.54637</t>
  </si>
  <si>
    <t>1.1.2.1.1.1.1.48.3</t>
  </si>
  <si>
    <t>304337637.54693</t>
  </si>
  <si>
    <t>21935192.54693</t>
  </si>
  <si>
    <t>1.1.2.1.1.1.1.48.4</t>
  </si>
  <si>
    <t>304337637.739258</t>
  </si>
  <si>
    <t>21935192.739258</t>
  </si>
  <si>
    <t>1.1.2.1.1.1.2</t>
  </si>
  <si>
    <t>6.3.1.5.1.4</t>
  </si>
  <si>
    <t>Приямки, системы грязезащиты</t>
  </si>
  <si>
    <t>1.1.2.1.1.1.2.1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</si>
  <si>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</si>
  <si>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</si>
  <si>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</si>
  <si>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</si>
  <si>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1.1.2.1.1.1.2.1._</t>
  </si>
  <si>
    <t>1 этаж. Тип: ГР-1</t>
  </si>
  <si>
    <t>1.1.2.1.1.1.2.1.1</t>
  </si>
  <si>
    <t>Грязезащитное покрытие_ / Бразис Маркет</t>
  </si>
  <si>
    <t>304337557.55025</t>
  </si>
  <si>
    <t>20297493.55025</t>
  </si>
  <si>
    <t>57dc3537-6205-4c52-81a1-668e49ba6dd9</t>
  </si>
  <si>
    <t>1.1.2.1.1.1.2.1.1._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</si>
  <si>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</si>
  <si>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281879700.55025</t>
  </si>
  <si>
    <t>1.1.2.1.1.1.2.2</t>
  </si>
  <si>
    <t>1.1.2.1.1.1.2.2.1</t>
  </si>
  <si>
    <t>304337638.55025</t>
  </si>
  <si>
    <t>20299701.55025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</si>
  <si>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</si>
  <si>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</si>
  <si>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</si>
  <si>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</si>
  <si>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</si>
  <si>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</si>
  <si>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</si>
  <si>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</si>
  <si>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</si>
  <si>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</si>
  <si>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</si>
  <si>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1.1.2.1.1.2.1.1._</t>
  </si>
  <si>
    <t>Подвал, 1, 2, 3 этажи.</t>
  </si>
  <si>
    <t>1.1.2.1.1.2.1.1.1</t>
  </si>
  <si>
    <t>Плита минераловатная_ / Урса П-30</t>
  </si>
  <si>
    <t>м3</t>
  </si>
  <si>
    <t>304337561.55187</t>
  </si>
  <si>
    <t>20297507.55187</t>
  </si>
  <si>
    <t>894f5253-bdda-4165-9d46-cff7ef723d43</t>
  </si>
  <si>
    <t>1.1.2.1.1.2.1.1.1._</t>
  </si>
  <si>
    <t>281879704.55187</t>
  </si>
  <si>
    <t>1.1.2.1.1.2.1.1.2</t>
  </si>
  <si>
    <t>Смесь цементно-песчаная сухая_/М150</t>
  </si>
  <si>
    <t>304337561.54611</t>
  </si>
  <si>
    <t>20297507.54611</t>
  </si>
  <si>
    <t>a1146549-61c5-4487-b5c7-fb7d0d185669</t>
  </si>
  <si>
    <t>1.1.2.1.1.2.1.1.2._</t>
  </si>
  <si>
    <t>281879704.54611</t>
  </si>
  <si>
    <t>1.1.2.1.1.2.1.2</t>
  </si>
  <si>
    <t>1.1.2.1.1.2.1.2.1</t>
  </si>
  <si>
    <t>304337639.54611</t>
  </si>
  <si>
    <t>21935158.54611</t>
  </si>
  <si>
    <t>1.1.2.1.1.2.1.2.2</t>
  </si>
  <si>
    <t>304337639.55187</t>
  </si>
  <si>
    <t>21935158.55187</t>
  </si>
  <si>
    <t>1.1.2.1.1.2.2</t>
  </si>
  <si>
    <t>6.3.1.5.2.2</t>
  </si>
  <si>
    <t>Чистовые работы по поверхности стен</t>
  </si>
  <si>
    <t>1.1.2.1.1.2.2.1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</si>
  <si>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</si>
  <si>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</si>
  <si>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</si>
  <si>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</si>
  <si>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1.1.2.1.1.2.2.1._</t>
  </si>
  <si>
    <t>1, 2, 3 этажи. Тип: FK7.1.</t>
  </si>
  <si>
    <t>1.1.2.1.1.2.2.1.1</t>
  </si>
  <si>
    <t>Панель МДФ  / Kronostar дуб натуральный / 250*2600*7мм</t>
  </si>
  <si>
    <t>304337564.1180659</t>
  </si>
  <si>
    <t>20300514.1180659</t>
  </si>
  <si>
    <t>7c186503-8940-4c22-94d5-7eda76509e63</t>
  </si>
  <si>
    <t>1.1.2.1.1.2.2.1.1._</t>
  </si>
  <si>
    <t>281879707.1180659</t>
  </si>
  <si>
    <t>1.1.2.1.1.2.2.2</t>
  </si>
  <si>
    <t>1.1.2.1.1.2.2.2._</t>
  </si>
  <si>
    <t>1, 2, этажи. Тип: FK1.1</t>
  </si>
  <si>
    <t>1.1.2.1.1.2.2.2.1</t>
  </si>
  <si>
    <t>304337640.1180659</t>
  </si>
  <si>
    <t>20300510.1180659</t>
  </si>
  <si>
    <t>1.1.2.1.1.2.2.2.1._</t>
  </si>
  <si>
    <t>281879753.1180659</t>
  </si>
  <si>
    <t>1.1.2.1.1.2.2.3</t>
  </si>
  <si>
    <t>1.1.2.1.1.2.2.3._</t>
  </si>
  <si>
    <t>1, 2, 3 этажи. Тип: FK7.2.</t>
  </si>
  <si>
    <t>1.1.2.1.1.2.2.3.1</t>
  </si>
  <si>
    <t>304337641.1180659</t>
  </si>
  <si>
    <t>20300512.1180659</t>
  </si>
  <si>
    <t>1.1.2.1.1.2.2.3.1._</t>
  </si>
  <si>
    <t>278331803.1180659</t>
  </si>
  <si>
    <t>1.1.2.1.1.2.2.4</t>
  </si>
  <si>
    <t>1.1.2.1.1.2.2.4._</t>
  </si>
  <si>
    <t>2, 3 этажи. Тип: FK28</t>
  </si>
  <si>
    <t>1.1.2.1.1.2.2.4.1</t>
  </si>
  <si>
    <t>304337642.1180659</t>
  </si>
  <si>
    <t>20866627.1180659</t>
  </si>
  <si>
    <t>1.1.2.1.1.2.2.4.1._</t>
  </si>
  <si>
    <t>275822513.1180659</t>
  </si>
  <si>
    <t>1.1.2.1.1.2.2.5</t>
  </si>
  <si>
    <t>1.1.2.1.1.2.2.5._</t>
  </si>
  <si>
    <t>1 этаж. Тип: FK25</t>
  </si>
  <si>
    <t>1.1.2.1.1.2.2.5.1</t>
  </si>
  <si>
    <t>304337643.1180659</t>
  </si>
  <si>
    <t>20866620.1180659</t>
  </si>
  <si>
    <t>1.1.2.1.1.2.2.5.1._</t>
  </si>
  <si>
    <t>275822514.1180659</t>
  </si>
  <si>
    <t>1.1.2.1.1.2.2.6</t>
  </si>
  <si>
    <t>1.1.2.1.1.2.2.6._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</si>
  <si>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</si>
  <si>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1.1.2.1.1.2.2.6.1</t>
  </si>
  <si>
    <t>304337644.1180659</t>
  </si>
  <si>
    <t>21180286.1180659</t>
  </si>
  <si>
    <t>1.1.2.1.1.2.2.6.1._</t>
  </si>
  <si>
    <t>279187233.1180659</t>
  </si>
  <si>
    <t>1.1.2.1.1.2.2.7</t>
  </si>
  <si>
    <t>1.1.2.1.1.2.2.7._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</si>
  <si>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</si>
  <si>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1.1.2.1.1.2.2.7.1</t>
  </si>
  <si>
    <t>304337645.1180659</t>
  </si>
  <si>
    <t>21180287.1180659</t>
  </si>
  <si>
    <t>1.1.2.1.1.2.2.7.1._</t>
  </si>
  <si>
    <t>279187234.1180659</t>
  </si>
  <si>
    <t>1.1.2.1.1.2.2.8</t>
  </si>
  <si>
    <t>1.1.2.1.1.2.2.8.1</t>
  </si>
  <si>
    <t>304337646.1180659</t>
  </si>
  <si>
    <t>21935177.1180659</t>
  </si>
  <si>
    <t>1.1.2.1.1.2.2.9</t>
  </si>
  <si>
    <t>1.1.2.1.1.2.2.9.1</t>
  </si>
  <si>
    <t>304337647.1180659</t>
  </si>
  <si>
    <t>21935178.1180659</t>
  </si>
  <si>
    <t>1.1.2.1.1.2.2.10</t>
  </si>
  <si>
    <t>1.1.2.1.1.2.2.10.1</t>
  </si>
  <si>
    <t>304337648.1180659</t>
  </si>
  <si>
    <t>21935179.1180659</t>
  </si>
  <si>
    <t>1.1.2.1.1.2.2.11</t>
  </si>
  <si>
    <t>1.1.2.1.1.2.2.11.1</t>
  </si>
  <si>
    <t>304337649.1180659</t>
  </si>
  <si>
    <t>21950058.1180659</t>
  </si>
  <si>
    <t>1.1.2.1.1.2.2.12</t>
  </si>
  <si>
    <t>1.1.2.1.1.2.2.12.1</t>
  </si>
  <si>
    <t>304337650.1180659</t>
  </si>
  <si>
    <t>21950071.1180659</t>
  </si>
  <si>
    <t>1.1.2.1.1.2.2.13</t>
  </si>
  <si>
    <t>1.1.2.1.1.2.2.13.1</t>
  </si>
  <si>
    <t>304337651.1180659</t>
  </si>
  <si>
    <t>21950059.1180659</t>
  </si>
  <si>
    <t>1.1.2.1.1.2.2.14</t>
  </si>
  <si>
    <t>1.1.2.1.1.2.2.14.1</t>
  </si>
  <si>
    <t>304337652.1180659</t>
  </si>
  <si>
    <t>21950072.1180659</t>
  </si>
  <si>
    <t>1.1.2.1.1.2.2.15</t>
  </si>
  <si>
    <t>1.1.2.1.1.2.2.15.1</t>
  </si>
  <si>
    <t>304337653.1180659</t>
  </si>
  <si>
    <t>21950030.1180659</t>
  </si>
  <si>
    <t>1.1.2.1.1.2.2.16</t>
  </si>
  <si>
    <t>1.1.2.1.1.2.2.16.1</t>
  </si>
  <si>
    <t>304337654.1180659</t>
  </si>
  <si>
    <t>21950053.1180659</t>
  </si>
  <si>
    <t>1.1.2.1.1.2.2.17</t>
  </si>
  <si>
    <t>1.1.2.1.1.2.2.17.1</t>
  </si>
  <si>
    <t>304337655.1180659</t>
  </si>
  <si>
    <t>21950057.1180659</t>
  </si>
  <si>
    <t>1.1.2.1.1.2.2.18</t>
  </si>
  <si>
    <t>1.1.2.1.1.2.2.18.1</t>
  </si>
  <si>
    <t>304337656.1180659</t>
  </si>
  <si>
    <t>21950015.1180659</t>
  </si>
  <si>
    <t>1.1.2.1.1.2.2.19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</si>
  <si>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</si>
  <si>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</si>
  <si>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</si>
  <si>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</si>
  <si>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1.1.2.1.1.2.2.19._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</si>
  <si>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</si>
  <si>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1.1.2.1.1.2.2.19.1</t>
  </si>
  <si>
    <t xml:space="preserve">Панель ПВХ / 2700x375x5 </t>
  </si>
  <si>
    <t>304337565.1504881</t>
  </si>
  <si>
    <t>20348169.1504881</t>
  </si>
  <si>
    <t>a14c45c3-3ac5-4910-86d8-36d4d1fb8b3f</t>
  </si>
  <si>
    <t>1.1.2.1.1.2.2.19.1._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</si>
  <si>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</si>
  <si>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281879708.1504881</t>
  </si>
  <si>
    <t>1.1.2.1.1.2.2.20</t>
  </si>
  <si>
    <t>1.1.2.1.1.2.2.20.1</t>
  </si>
  <si>
    <t>304337657.1504881</t>
  </si>
  <si>
    <t>21950062.1504881</t>
  </si>
  <si>
    <t>1.1.2.1.1.2.2.21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</si>
  <si>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</si>
  <si>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</si>
  <si>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</si>
  <si>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</si>
  <si>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1.1.2.1.1.2.2.21._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</si>
  <si>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</si>
  <si>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1.1.2.1.1.2.2.21.1</t>
  </si>
  <si>
    <t>304337567.54634</t>
  </si>
  <si>
    <t>20300509.54634</t>
  </si>
  <si>
    <t>1.1.2.1.1.2.2.21.1._</t>
  </si>
  <si>
    <t>281967397.54634</t>
  </si>
  <si>
    <t>1.1.2.1.1.2.2.21.2</t>
  </si>
  <si>
    <t>Краска водно-дисперсионная Tikkurila_ / RAL 9003 / PROF EURO 20</t>
  </si>
  <si>
    <t>304337567.758318</t>
  </si>
  <si>
    <t>20300509.758318</t>
  </si>
  <si>
    <t>585530fd-0de5-4292-bc70-8f8ebd68eca5</t>
  </si>
  <si>
    <t>1.1.2.1.1.2.2.21.2._</t>
  </si>
  <si>
    <t>281967397.758318</t>
  </si>
  <si>
    <t>1.1.2.1.1.2.2.22</t>
  </si>
  <si>
    <t>1.1.2.1.1.2.2.22._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</si>
  <si>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</si>
  <si>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1.1.2.1.1.2.2.22.1</t>
  </si>
  <si>
    <t>304337658.758318</t>
  </si>
  <si>
    <t>20300511.758318</t>
  </si>
  <si>
    <t>1.1.2.1.1.2.2.22.1._</t>
  </si>
  <si>
    <t>281967446.758318</t>
  </si>
  <si>
    <t>1.1.2.1.1.2.2.22.2</t>
  </si>
  <si>
    <t>304337658.54634</t>
  </si>
  <si>
    <t>20300511.54634</t>
  </si>
  <si>
    <t>1.1.2.1.1.2.2.22.2._</t>
  </si>
  <si>
    <t>281967446.54634</t>
  </si>
  <si>
    <t>1.1.2.1.1.2.2.23</t>
  </si>
  <si>
    <t>1.1.2.1.1.2.2.23._</t>
  </si>
  <si>
    <t>1, 2, 3 этажи. Тип: FK8. Покраска Gutver Prometeks RAL 6005(зеленый мох) - Матовая краска для стен или аналог. Класс пожарной опасности: КМ0</t>
  </si>
  <si>
    <t>1.1.2.1.1.2.2.23.1</t>
  </si>
  <si>
    <t>304337659.54634</t>
  </si>
  <si>
    <t>20300513.54634</t>
  </si>
  <si>
    <t>1.1.2.1.1.2.2.23.1._</t>
  </si>
  <si>
    <t>281967447.54634</t>
  </si>
  <si>
    <t>1.1.2.1.1.2.2.23.2</t>
  </si>
  <si>
    <t>304337659.758318</t>
  </si>
  <si>
    <t>20300513.758318</t>
  </si>
  <si>
    <t>1.1.2.1.1.2.2.23.2._</t>
  </si>
  <si>
    <t>281967447.758318</t>
  </si>
  <si>
    <t>1.1.2.1.1.2.2.24</t>
  </si>
  <si>
    <t>1.1.2.1.1.2.2.24._</t>
  </si>
  <si>
    <t>1, 2, 3 этажи. Тип: FK13. Покраска Gutver Prometeks RAL5024 (голубой) - Матовая краска для стен или аналог. Класс пожарной опасности: КМ0</t>
  </si>
  <si>
    <t>1.1.2.1.1.2.2.24.1</t>
  </si>
  <si>
    <t>304337660.758318</t>
  </si>
  <si>
    <t>20300713.758318</t>
  </si>
  <si>
    <t>1.1.2.1.1.2.2.24.1._</t>
  </si>
  <si>
    <t>281967448.758318</t>
  </si>
  <si>
    <t>1.1.2.1.1.2.2.24.2</t>
  </si>
  <si>
    <t>304337660.54634</t>
  </si>
  <si>
    <t>20300713.54634</t>
  </si>
  <si>
    <t>1.1.2.1.1.2.2.24.2._</t>
  </si>
  <si>
    <t>281967448.54634</t>
  </si>
  <si>
    <t>1.1.2.1.1.2.2.25</t>
  </si>
  <si>
    <t>1.1.2.1.1.2.2.25._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</si>
  <si>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</si>
  <si>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1.1.2.1.1.2.2.25.1</t>
  </si>
  <si>
    <t>304337661.54634</t>
  </si>
  <si>
    <t>20300714.54634</t>
  </si>
  <si>
    <t>1.1.2.1.1.2.2.25.1._</t>
  </si>
  <si>
    <t>281967449.54634</t>
  </si>
  <si>
    <t>1.1.2.1.1.2.2.25.2</t>
  </si>
  <si>
    <t>304337661.758318</t>
  </si>
  <si>
    <t>20300714.758318</t>
  </si>
  <si>
    <t>1.1.2.1.1.2.2.25.2._</t>
  </si>
  <si>
    <t>281967449.758318</t>
  </si>
  <si>
    <t>1.1.2.1.1.2.2.26</t>
  </si>
  <si>
    <t>1.1.2.1.1.2.2.26._</t>
  </si>
  <si>
    <t>1, 2, 3 этажи. Тип: FK1.1. Покраска Gutver Prometeks RAL 9002 (серо-белый) - Матовая краска для стен или аналог. Класс пожарной опасности: КМ0</t>
  </si>
  <si>
    <t>1.1.2.1.1.2.2.26.1</t>
  </si>
  <si>
    <t>304337662.758318</t>
  </si>
  <si>
    <t>20300715.758318</t>
  </si>
  <si>
    <t>1.1.2.1.1.2.2.26.1._</t>
  </si>
  <si>
    <t>281967450.758318</t>
  </si>
  <si>
    <t>1.1.2.1.1.2.2.26.2</t>
  </si>
  <si>
    <t>304337662.54634</t>
  </si>
  <si>
    <t>20300715.54634</t>
  </si>
  <si>
    <t>1.1.2.1.1.2.2.26.2._</t>
  </si>
  <si>
    <t>281967450.54634</t>
  </si>
  <si>
    <t>1.1.2.1.1.2.2.27</t>
  </si>
  <si>
    <t>1.1.2.1.1.2.2.27._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</si>
  <si>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</si>
  <si>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1.1.2.1.1.2.2.27.1</t>
  </si>
  <si>
    <t>304337663.54634</t>
  </si>
  <si>
    <t>20300709.54634</t>
  </si>
  <si>
    <t>1.1.2.1.1.2.2.27.1._</t>
  </si>
  <si>
    <t>281967451.54634</t>
  </si>
  <si>
    <t>1.1.2.1.1.2.2.27.2</t>
  </si>
  <si>
    <t>304337663.758318</t>
  </si>
  <si>
    <t>20300709.758318</t>
  </si>
  <si>
    <t>1.1.2.1.1.2.2.27.2._</t>
  </si>
  <si>
    <t>281967451.758318</t>
  </si>
  <si>
    <t>1.1.2.1.1.2.2.28</t>
  </si>
  <si>
    <t>1.1.2.1.1.2.2.28._</t>
  </si>
  <si>
    <t>FK5.1, 1-3эт, Иллюстрация с предварительной окраской фона</t>
  </si>
  <si>
    <t>1.1.2.1.1.2.2.28.1</t>
  </si>
  <si>
    <t>304337664.758318</t>
  </si>
  <si>
    <t>20300710.758318</t>
  </si>
  <si>
    <t>1.1.2.1.1.2.2.28.1._</t>
  </si>
  <si>
    <t>281967452.758318</t>
  </si>
  <si>
    <t>1.1.2.1.1.2.2.28.2</t>
  </si>
  <si>
    <t>304337664.54634</t>
  </si>
  <si>
    <t>20300710.54634</t>
  </si>
  <si>
    <t>1.1.2.1.1.2.2.28.2._</t>
  </si>
  <si>
    <t>281967452.54634</t>
  </si>
  <si>
    <t>1.1.2.1.1.2.2.29</t>
  </si>
  <si>
    <t>1.1.2.1.1.2.2.29.1</t>
  </si>
  <si>
    <t>304337665.54634</t>
  </si>
  <si>
    <t>20300712.54634</t>
  </si>
  <si>
    <t>1.1.2.1.1.2.2.29.2</t>
  </si>
  <si>
    <t>304337665.758318</t>
  </si>
  <si>
    <t>20300712.758318</t>
  </si>
  <si>
    <t>1.1.2.1.1.2.2.30</t>
  </si>
  <si>
    <t>1.1.2.1.1.2.2.30.1</t>
  </si>
  <si>
    <t>304337666.758318</t>
  </si>
  <si>
    <t>21104748.758318</t>
  </si>
  <si>
    <t>1.1.2.1.1.2.2.30.2</t>
  </si>
  <si>
    <t>304337666.54634</t>
  </si>
  <si>
    <t>21104748.54634</t>
  </si>
  <si>
    <t>1.1.2.1.1.2.2.31</t>
  </si>
  <si>
    <t>1.1.2.1.1.2.2.31.1</t>
  </si>
  <si>
    <t>304337667.54634</t>
  </si>
  <si>
    <t>21950060.54634</t>
  </si>
  <si>
    <t>1.1.2.1.1.2.2.31.2</t>
  </si>
  <si>
    <t>304337667.758318</t>
  </si>
  <si>
    <t>21950060.758318</t>
  </si>
  <si>
    <t>1.1.2.1.1.2.2.32</t>
  </si>
  <si>
    <t>1.1.2.1.1.2.2.32.1</t>
  </si>
  <si>
    <t>304337668.758318</t>
  </si>
  <si>
    <t>21950048.758318</t>
  </si>
  <si>
    <t>1.1.2.1.1.2.2.32.2</t>
  </si>
  <si>
    <t>304337668.54634</t>
  </si>
  <si>
    <t>21950048.54634</t>
  </si>
  <si>
    <t>1.1.2.1.1.2.2.33</t>
  </si>
  <si>
    <t>1.1.2.1.1.2.2.33.1</t>
  </si>
  <si>
    <t>304337669.54634</t>
  </si>
  <si>
    <t>21950050.54634</t>
  </si>
  <si>
    <t>1.1.2.1.1.2.2.33.2</t>
  </si>
  <si>
    <t>304337669.758318</t>
  </si>
  <si>
    <t>21950050.758318</t>
  </si>
  <si>
    <t>1.1.2.1.1.2.2.34</t>
  </si>
  <si>
    <t>1.1.2.1.1.2.2.34.1</t>
  </si>
  <si>
    <t>304337670.758318</t>
  </si>
  <si>
    <t>21950044.758318</t>
  </si>
  <si>
    <t>1.1.2.1.1.2.2.34.2</t>
  </si>
  <si>
    <t>304337670.54634</t>
  </si>
  <si>
    <t>21950044.54634</t>
  </si>
  <si>
    <t>1.1.2.1.1.2.2.35</t>
  </si>
  <si>
    <t>1.1.2.1.1.2.2.35.1</t>
  </si>
  <si>
    <t>304337671.54634</t>
  </si>
  <si>
    <t>21950046.54634</t>
  </si>
  <si>
    <t>1.1.2.1.1.2.2.35.2</t>
  </si>
  <si>
    <t>304337671.758318</t>
  </si>
  <si>
    <t>21950046.758318</t>
  </si>
  <si>
    <t>1.1.2.1.1.2.2.36</t>
  </si>
  <si>
    <t>1.1.2.1.1.2.2.36.1</t>
  </si>
  <si>
    <t>304337672.758318</t>
  </si>
  <si>
    <t>21950073.758318</t>
  </si>
  <si>
    <t>1.1.2.1.1.2.2.36.2</t>
  </si>
  <si>
    <t>304337672.54634</t>
  </si>
  <si>
    <t>21950073.54634</t>
  </si>
  <si>
    <t>1.1.2.1.1.2.2.37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</si>
  <si>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</si>
  <si>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</si>
  <si>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</si>
  <si>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</si>
  <si>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1.1.2.1.1.2.2.37._</t>
  </si>
  <si>
    <t>1, 2, 3 этажи. Тип: FK14. Отделка откосов - Gutver Prometeks RAL 9016. Матовая краска для стен или аналог. Класс пожарной опасности: КМ0</t>
  </si>
  <si>
    <t>1.1.2.1.1.2.2.37.1</t>
  </si>
  <si>
    <t>Краска Tikkurila Проф Евро 7 / RAL 9003</t>
  </si>
  <si>
    <t>304337568.1527563</t>
  </si>
  <si>
    <t>20300711.1527563</t>
  </si>
  <si>
    <t>c703e0d9-c58b-46dc-ae9e-94ab4ef5f1c1</t>
  </si>
  <si>
    <t>1.1.2.1.1.2.2.37.1._</t>
  </si>
  <si>
    <t>281967398.1527563</t>
  </si>
  <si>
    <t>1.1.2.1.1.2.2.37.2</t>
  </si>
  <si>
    <t>304337568.54634</t>
  </si>
  <si>
    <t>20300711.54634</t>
  </si>
  <si>
    <t>1.1.2.1.1.2.2.37.2._</t>
  </si>
  <si>
    <t>281967398.54634</t>
  </si>
  <si>
    <t>1.1.2.1.1.2.2.38</t>
  </si>
  <si>
    <t>1.1.2.1.1.2.2.38.1</t>
  </si>
  <si>
    <t>304337673.54634</t>
  </si>
  <si>
    <t>21950049.54634</t>
  </si>
  <si>
    <t>1.1.2.1.1.2.2.38.2</t>
  </si>
  <si>
    <t>304337673.1527563</t>
  </si>
  <si>
    <t>21950049.1527563</t>
  </si>
  <si>
    <t>1.1.2.1.1.2.2.39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</si>
  <si>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</si>
  <si>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</si>
  <si>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</si>
  <si>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</si>
  <si>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1.1.2.1.1.2.2.39._</t>
  </si>
  <si>
    <t>1, 2, 3 этажи. Тип: FK9</t>
  </si>
  <si>
    <t>1.1.2.1.1.2.2.39.1</t>
  </si>
  <si>
    <t>304337570.54637</t>
  </si>
  <si>
    <t>20336106.54637</t>
  </si>
  <si>
    <t>1.1.2.1.1.2.2.39.1._</t>
  </si>
  <si>
    <t>281967400.54637</t>
  </si>
  <si>
    <t>1.1.2.1.1.2.2.39.2</t>
  </si>
  <si>
    <t>Грунтовка _ / универсальная водно-дисперсионная</t>
  </si>
  <si>
    <t>304337570.737422</t>
  </si>
  <si>
    <t>20336106.737422</t>
  </si>
  <si>
    <t>64d77ce3-b188-4652-a3eb-49ad1b6ad85c</t>
  </si>
  <si>
    <t>1.1.2.1.1.2.2.39.2._</t>
  </si>
  <si>
    <t>281967400.737422</t>
  </si>
  <si>
    <t>1.1.2.1.1.2.2.39.3</t>
  </si>
  <si>
    <t>304337570.739258</t>
  </si>
  <si>
    <t>20336106.739258</t>
  </si>
  <si>
    <t>1.1.2.1.1.2.2.39.3._</t>
  </si>
  <si>
    <t>281967400.739258</t>
  </si>
  <si>
    <t>1.1.2.1.1.2.2.39.4</t>
  </si>
  <si>
    <t>Керамический гранит Kerama marazzi_ / Синий /  SG1547N /  200х200 мм</t>
  </si>
  <si>
    <t>304337570.1570533</t>
  </si>
  <si>
    <t>20336106.1570533</t>
  </si>
  <si>
    <t>a620a03f-7faf-4c11-affe-45d2fae0c5fb</t>
  </si>
  <si>
    <t>1.1.2.1.1.2.2.39.4._</t>
  </si>
  <si>
    <t>281967400.1570533</t>
  </si>
  <si>
    <t>1.1.2.1.1.2.2.40</t>
  </si>
  <si>
    <t>1.1.2.1.1.2.2.40._</t>
  </si>
  <si>
    <t>1, 2, 3 этажи. Тип: FK16</t>
  </si>
  <si>
    <t>1.1.2.1.1.2.2.40.1</t>
  </si>
  <si>
    <t>Керамический гранит Kerama marazzi_ / Белый / 5009/ Калейдоскоп / 200х200</t>
  </si>
  <si>
    <t>304337674.758609</t>
  </si>
  <si>
    <t>20867052.758609</t>
  </si>
  <si>
    <t>70f2d54b-ab55-43b4-b130-a5f8f85e7098</t>
  </si>
  <si>
    <t>1.1.2.1.1.2.2.40.1._</t>
  </si>
  <si>
    <t>278354317.758609</t>
  </si>
  <si>
    <t>1.1.2.1.1.2.2.40.2</t>
  </si>
  <si>
    <t>304337674.739258</t>
  </si>
  <si>
    <t>20867052.739258</t>
  </si>
  <si>
    <t>1.1.2.1.1.2.2.40.2._</t>
  </si>
  <si>
    <t>278354317.739258</t>
  </si>
  <si>
    <t>1.1.2.1.1.2.2.40.3</t>
  </si>
  <si>
    <t>304337674.737422</t>
  </si>
  <si>
    <t>20867052.737422</t>
  </si>
  <si>
    <t>1.1.2.1.1.2.2.40.3._</t>
  </si>
  <si>
    <t>278354317.737422</t>
  </si>
  <si>
    <t>1.1.2.1.1.2.2.40.4</t>
  </si>
  <si>
    <t>304337674.54637</t>
  </si>
  <si>
    <t>20867052.54637</t>
  </si>
  <si>
    <t>1.1.2.1.1.2.2.40.4._</t>
  </si>
  <si>
    <t>278354317.54637</t>
  </si>
  <si>
    <t>1.1.2.1.1.2.2.41</t>
  </si>
  <si>
    <t>1.1.2.1.1.2.2.41._</t>
  </si>
  <si>
    <t>1 этаж. Тип: FK31</t>
  </si>
  <si>
    <t>1.1.2.1.1.2.2.41.1</t>
  </si>
  <si>
    <t>304337675.54637</t>
  </si>
  <si>
    <t>20867050.54637</t>
  </si>
  <si>
    <t>1.1.2.1.1.2.2.41.1._</t>
  </si>
  <si>
    <t>278354318.54637</t>
  </si>
  <si>
    <t>1.1.2.1.1.2.2.41.2</t>
  </si>
  <si>
    <t>304337675.737422</t>
  </si>
  <si>
    <t>20867050.737422</t>
  </si>
  <si>
    <t>1.1.2.1.1.2.2.41.2._</t>
  </si>
  <si>
    <t>278354318.737422</t>
  </si>
  <si>
    <t>1.1.2.1.1.2.2.41.3</t>
  </si>
  <si>
    <t>304337675.739258</t>
  </si>
  <si>
    <t>20867050.739258</t>
  </si>
  <si>
    <t>1.1.2.1.1.2.2.41.3._</t>
  </si>
  <si>
    <t>278354318.739258</t>
  </si>
  <si>
    <t>1.1.2.1.1.2.2.41.4</t>
  </si>
  <si>
    <t>304337675.1570533</t>
  </si>
  <si>
    <t>20867050.1570533</t>
  </si>
  <si>
    <t>1.1.2.1.1.2.2.41.4._</t>
  </si>
  <si>
    <t>278354318.1570533</t>
  </si>
  <si>
    <t>1.1.2.1.1.2.2.42</t>
  </si>
  <si>
    <t>1.1.2.1.1.2.2.42.1</t>
  </si>
  <si>
    <t>304337676.1570533</t>
  </si>
  <si>
    <t>21950061.1570533</t>
  </si>
  <si>
    <t>1.1.2.1.1.2.2.42.2</t>
  </si>
  <si>
    <t>304337676.739258</t>
  </si>
  <si>
    <t>21950061.739258</t>
  </si>
  <si>
    <t>1.1.2.1.1.2.2.42.3</t>
  </si>
  <si>
    <t>304337676.737422</t>
  </si>
  <si>
    <t>21950061.737422</t>
  </si>
  <si>
    <t>1.1.2.1.1.2.2.42.4</t>
  </si>
  <si>
    <t>304337676.54637</t>
  </si>
  <si>
    <t>21950061.54637</t>
  </si>
  <si>
    <t>1.1.2.1.1.2.2.43</t>
  </si>
  <si>
    <t>1.1.2.1.1.2.2.43.1</t>
  </si>
  <si>
    <t>304337677.54637</t>
  </si>
  <si>
    <t>21950051.54637</t>
  </si>
  <si>
    <t>1.1.2.1.1.2.2.43.2</t>
  </si>
  <si>
    <t>304337677.737422</t>
  </si>
  <si>
    <t>21950051.737422</t>
  </si>
  <si>
    <t>1.1.2.1.1.2.2.43.3</t>
  </si>
  <si>
    <t>304337677.739258</t>
  </si>
  <si>
    <t>21950051.739258</t>
  </si>
  <si>
    <t>1.1.2.1.1.2.2.43.4</t>
  </si>
  <si>
    <t>304337677.758609</t>
  </si>
  <si>
    <t>21950051.758609</t>
  </si>
  <si>
    <t>1.1.2.1.1.2.2.44</t>
  </si>
  <si>
    <t>1.1.2.1.1.2.2.44.1</t>
  </si>
  <si>
    <t>304337678.1570533</t>
  </si>
  <si>
    <t>21950031.1570533</t>
  </si>
  <si>
    <t>1.1.2.1.1.2.2.44.2</t>
  </si>
  <si>
    <t>304337678.739258</t>
  </si>
  <si>
    <t>21950031.739258</t>
  </si>
  <si>
    <t>1.1.2.1.1.2.2.44.3</t>
  </si>
  <si>
    <t>304337678.737422</t>
  </si>
  <si>
    <t>21950031.737422</t>
  </si>
  <si>
    <t>1.1.2.1.1.2.2.44.4</t>
  </si>
  <si>
    <t>304337678.54637</t>
  </si>
  <si>
    <t>21950031.54637</t>
  </si>
  <si>
    <t>1.1.2.1.1.2.2.45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</si>
  <si>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</si>
  <si>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</si>
  <si>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</si>
  <si>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</si>
  <si>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1.1.2.1.1.2.2.45._</t>
  </si>
  <si>
    <t>1, 2, 3 этажи. Тип: FK4</t>
  </si>
  <si>
    <t>1.1.2.1.1.2.2.45.1</t>
  </si>
  <si>
    <t>Плитка керамогранитная_ / AG23 / Estima / 600х600х10 мм</t>
  </si>
  <si>
    <t>304337571.2498810</t>
  </si>
  <si>
    <t>20335430.2498810</t>
  </si>
  <si>
    <t>0059404d-5dfe-11ef-9042-8d9a4c3e632c</t>
  </si>
  <si>
    <t>1.1.2.1.1.2.2.45.1._</t>
  </si>
  <si>
    <t>Керамогранит Грани Таганая Профи, арт. GT079M, цвет зеленый чай, размер 600*600 мм, толщина 10мм, матовый.</t>
  </si>
  <si>
    <t>281967401.2498810</t>
  </si>
  <si>
    <t>1.1.2.1.1.2.2.45.2</t>
  </si>
  <si>
    <t>304337571.739258</t>
  </si>
  <si>
    <t>20335430.739258</t>
  </si>
  <si>
    <t>1.1.2.1.1.2.2.45.2._</t>
  </si>
  <si>
    <t>281967401.739258</t>
  </si>
  <si>
    <t>1.1.2.1.1.2.2.45.3</t>
  </si>
  <si>
    <t>304337571.54637</t>
  </si>
  <si>
    <t>20335430.54637</t>
  </si>
  <si>
    <t>1.1.2.1.1.2.2.45.3._</t>
  </si>
  <si>
    <t>281967401.54637</t>
  </si>
  <si>
    <t>1.1.2.1.1.2.2.45.4</t>
  </si>
  <si>
    <t>304337571.737422</t>
  </si>
  <si>
    <t>20335430.737422</t>
  </si>
  <si>
    <t>1.1.2.1.1.2.2.45.4._</t>
  </si>
  <si>
    <t>281967401.737422</t>
  </si>
  <si>
    <t>1.1.2.1.1.2.2.46</t>
  </si>
  <si>
    <t>1.1.2.1.1.2.2.46._</t>
  </si>
  <si>
    <t>1, 2, 3 этажи. Тип: FK10</t>
  </si>
  <si>
    <t>1.1.2.1.1.2.2.46.1</t>
  </si>
  <si>
    <t>304337679.737422</t>
  </si>
  <si>
    <t>20336104.737422</t>
  </si>
  <si>
    <t>1.1.2.1.1.2.2.46.1._</t>
  </si>
  <si>
    <t>281967455.737422</t>
  </si>
  <si>
    <t>1.1.2.1.1.2.2.46.2</t>
  </si>
  <si>
    <t>304337679.54637</t>
  </si>
  <si>
    <t>20336104.54637</t>
  </si>
  <si>
    <t>1.1.2.1.1.2.2.46.2._</t>
  </si>
  <si>
    <t>281967455.54637</t>
  </si>
  <si>
    <t>1.1.2.1.1.2.2.46.3</t>
  </si>
  <si>
    <t>304337679.739258</t>
  </si>
  <si>
    <t>20336104.739258</t>
  </si>
  <si>
    <t>1.1.2.1.1.2.2.46.3._</t>
  </si>
  <si>
    <t>281967455.739258</t>
  </si>
  <si>
    <t>1.1.2.1.1.2.2.46.4</t>
  </si>
  <si>
    <t>304337679.2498810</t>
  </si>
  <si>
    <t>20336104.2498810</t>
  </si>
  <si>
    <t>1.1.2.1.1.2.2.46.4._</t>
  </si>
  <si>
    <t>Керамогранит Грани Таганая, арт. GT202M, цвет кристально молочный, размер 600*600 мм, толщина 10мм, матовый.</t>
  </si>
  <si>
    <t>281967455.2498810</t>
  </si>
  <si>
    <t>1.1.2.1.1.2.2.47</t>
  </si>
  <si>
    <t>1.1.2.1.1.2.2.47._</t>
  </si>
  <si>
    <t>1, 2, 3 этажи. Тип: FK12</t>
  </si>
  <si>
    <t>1.1.2.1.1.2.2.47.1</t>
  </si>
  <si>
    <t>304337680.2498810</t>
  </si>
  <si>
    <t>20336105.2498810</t>
  </si>
  <si>
    <t>1.1.2.1.1.2.2.47.1._</t>
  </si>
  <si>
    <t>281967456.2498810</t>
  </si>
  <si>
    <t>1.1.2.1.1.2.2.47.2</t>
  </si>
  <si>
    <t>304337680.739258</t>
  </si>
  <si>
    <t>20336105.739258</t>
  </si>
  <si>
    <t>1.1.2.1.1.2.2.47.2._</t>
  </si>
  <si>
    <t>281967456.739258</t>
  </si>
  <si>
    <t>1.1.2.1.1.2.2.47.3</t>
  </si>
  <si>
    <t>304337680.54637</t>
  </si>
  <si>
    <t>20336105.54637</t>
  </si>
  <si>
    <t>1.1.2.1.1.2.2.47.3._</t>
  </si>
  <si>
    <t>281967456.54637</t>
  </si>
  <si>
    <t>1.1.2.1.1.2.2.47.4</t>
  </si>
  <si>
    <t>304337680.737422</t>
  </si>
  <si>
    <t>20336105.737422</t>
  </si>
  <si>
    <t>1.1.2.1.1.2.2.47.4._</t>
  </si>
  <si>
    <t>281967456.737422</t>
  </si>
  <si>
    <t>1.1.2.1.1.2.2.48</t>
  </si>
  <si>
    <t>1.1.2.1.1.2.2.48._</t>
  </si>
  <si>
    <t>1, 2, 3 этажи. Тип: FK27</t>
  </si>
  <si>
    <t>1.1.2.1.1.2.2.48.1</t>
  </si>
  <si>
    <t>304337681.737422</t>
  </si>
  <si>
    <t>20336103.737422</t>
  </si>
  <si>
    <t>1.1.2.1.1.2.2.48.1._</t>
  </si>
  <si>
    <t>281967457.737422</t>
  </si>
  <si>
    <t>1.1.2.1.1.2.2.48.2</t>
  </si>
  <si>
    <t>304337681.54637</t>
  </si>
  <si>
    <t>20336103.54637</t>
  </si>
  <si>
    <t>1.1.2.1.1.2.2.48.2._</t>
  </si>
  <si>
    <t>281967457.54637</t>
  </si>
  <si>
    <t>1.1.2.1.1.2.2.48.3</t>
  </si>
  <si>
    <t>304337681.739258</t>
  </si>
  <si>
    <t>20336103.739258</t>
  </si>
  <si>
    <t>1.1.2.1.1.2.2.48.3._</t>
  </si>
  <si>
    <t>281967457.739258</t>
  </si>
  <si>
    <t>1.1.2.1.1.2.2.48.4</t>
  </si>
  <si>
    <t>304337681.2498810</t>
  </si>
  <si>
    <t>20336103.2498810</t>
  </si>
  <si>
    <t>1.1.2.1.1.2.2.48.4._</t>
  </si>
  <si>
    <t>281967457.2498810</t>
  </si>
  <si>
    <t>1.1.2.1.1.2.2.49</t>
  </si>
  <si>
    <t>1.1.2.1.1.2.2.49.1</t>
  </si>
  <si>
    <t>304337682.2498810</t>
  </si>
  <si>
    <t>21950056.2498810</t>
  </si>
  <si>
    <t>1.1.2.1.1.2.2.49.2</t>
  </si>
  <si>
    <t>304337682.739258</t>
  </si>
  <si>
    <t>21950056.739258</t>
  </si>
  <si>
    <t>1.1.2.1.1.2.2.49.3</t>
  </si>
  <si>
    <t>304337682.54637</t>
  </si>
  <si>
    <t>21950056.54637</t>
  </si>
  <si>
    <t>1.1.2.1.1.2.2.49.4</t>
  </si>
  <si>
    <t>304337682.737422</t>
  </si>
  <si>
    <t>21950056.737422</t>
  </si>
  <si>
    <t>1.1.2.1.1.2.2.50</t>
  </si>
  <si>
    <t>1.1.2.1.1.2.2.50.1</t>
  </si>
  <si>
    <t>304337683.737422</t>
  </si>
  <si>
    <t>21950045.737422</t>
  </si>
  <si>
    <t>1.1.2.1.1.2.2.50.2</t>
  </si>
  <si>
    <t>304337683.54637</t>
  </si>
  <si>
    <t>21950045.54637</t>
  </si>
  <si>
    <t>1.1.2.1.1.2.2.50.3</t>
  </si>
  <si>
    <t>304337683.739258</t>
  </si>
  <si>
    <t>21950045.739258</t>
  </si>
  <si>
    <t>1.1.2.1.1.2.2.50.4</t>
  </si>
  <si>
    <t>304337683.2498810</t>
  </si>
  <si>
    <t>21950045.2498810</t>
  </si>
  <si>
    <t>1.1.2.1.1.2.2.51</t>
  </si>
  <si>
    <t>1.1.2.1.1.2.2.51.1</t>
  </si>
  <si>
    <t>304337684.2498810</t>
  </si>
  <si>
    <t>21950047.2498810</t>
  </si>
  <si>
    <t>1.1.2.1.1.2.2.51.2</t>
  </si>
  <si>
    <t>304337684.739258</t>
  </si>
  <si>
    <t>21950047.739258</t>
  </si>
  <si>
    <t>1.1.2.1.1.2.2.51.3</t>
  </si>
  <si>
    <t>304337684.54637</t>
  </si>
  <si>
    <t>21950047.54637</t>
  </si>
  <si>
    <t>1.1.2.1.1.2.2.51.4</t>
  </si>
  <si>
    <t>304337684.737422</t>
  </si>
  <si>
    <t>21950047.737422</t>
  </si>
  <si>
    <t>1.1.2.1.1.2.2.52</t>
  </si>
  <si>
    <t>1.1.2.1.1.2.2.52.1</t>
  </si>
  <si>
    <t>304337685.737422</t>
  </si>
  <si>
    <t>21950054.737422</t>
  </si>
  <si>
    <t>1.1.2.1.1.2.2.52.2</t>
  </si>
  <si>
    <t>304337685.54637</t>
  </si>
  <si>
    <t>21950054.54637</t>
  </si>
  <si>
    <t>1.1.2.1.1.2.2.52.3</t>
  </si>
  <si>
    <t>304337685.739258</t>
  </si>
  <si>
    <t>21950054.739258</t>
  </si>
  <si>
    <t>1.1.2.1.1.2.2.52.4</t>
  </si>
  <si>
    <t>304337685.2498810</t>
  </si>
  <si>
    <t>21950054.2498810</t>
  </si>
  <si>
    <t>1.1.2.1.1.2.3</t>
  </si>
  <si>
    <t>6.3.1.5.2.3</t>
  </si>
  <si>
    <t>Устройство подоконников, оконных откосов</t>
  </si>
  <si>
    <t>1.1.2.1.1.2.3.1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</si>
  <si>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</si>
  <si>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</si>
  <si>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</si>
  <si>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</si>
  <si>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1.1.2.1.1.2.3.1._</t>
  </si>
  <si>
    <t>1, 2, 3 этажи. Тип:WD6. ГКЛ 2 слоя КНАУФ-Файерборд (толщина 12,5 мм) на металлическом каркасе с решеткой для воздухообмена.</t>
  </si>
  <si>
    <t>1.1.2.1.1.2.3.1.1</t>
  </si>
  <si>
    <t>Угол пластиковый_/10*15*2,5м</t>
  </si>
  <si>
    <t>304337574.55028</t>
  </si>
  <si>
    <t>20343922.55028</t>
  </si>
  <si>
    <t>551cb54d-a4ff-4e4c-b8c8-5ee9eaa28821</t>
  </si>
  <si>
    <t>1.1.2.1.1.2.3.1.1._</t>
  </si>
  <si>
    <t>281967404.55028</t>
  </si>
  <si>
    <t>1.1.2.1.1.2.3.1.2</t>
  </si>
  <si>
    <t>Профиль_/стоечный/50*50*0,40/3м</t>
  </si>
  <si>
    <t>304337574.54564</t>
  </si>
  <si>
    <t>20343922.54564</t>
  </si>
  <si>
    <t>4e067b05-ad0d-4585-9beb-bdfb968030c2</t>
  </si>
  <si>
    <t>1.1.2.1.1.2.3.1.2._</t>
  </si>
  <si>
    <t>281967404.54564</t>
  </si>
  <si>
    <t>1.1.2.1.1.2.3.1.3</t>
  </si>
  <si>
    <t>304337574.54566</t>
  </si>
  <si>
    <t>20343922.54566</t>
  </si>
  <si>
    <t>1.1.2.1.1.2.3.1.3._</t>
  </si>
  <si>
    <t>281967404.54566</t>
  </si>
  <si>
    <t>1.1.2.1.1.2.3.1.4</t>
  </si>
  <si>
    <t>Плита Кнауф Файерборд_ / 2500х1200х12.5 м</t>
  </si>
  <si>
    <t>304337574.1523192</t>
  </si>
  <si>
    <t>20343922.1523192</t>
  </si>
  <si>
    <t>1a9d2c61-823f-4235-b198-e9701dbd754e</t>
  </si>
  <si>
    <t>1.1.2.1.1.2.3.1.4._</t>
  </si>
  <si>
    <t>281967404.1523192</t>
  </si>
  <si>
    <t>1.1.2.1.1.2.3.2</t>
  </si>
  <si>
    <t>1.1.2.1.1.2.3.2._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</si>
  <si>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</si>
  <si>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1.1.2.1.1.2.3.2.1</t>
  </si>
  <si>
    <t>304337686.7352</t>
  </si>
  <si>
    <t>20344047.7352</t>
  </si>
  <si>
    <t>1.1.2.1.1.2.3.2.1._</t>
  </si>
  <si>
    <t>281967458.7352</t>
  </si>
  <si>
    <t>1.1.2.1.1.2.3.2.2</t>
  </si>
  <si>
    <t>304337686.54564</t>
  </si>
  <si>
    <t>20344047.54564</t>
  </si>
  <si>
    <t>1.1.2.1.1.2.3.2.2._</t>
  </si>
  <si>
    <t>281967458.54564</t>
  </si>
  <si>
    <t>1.1.2.1.1.2.3.2.3</t>
  </si>
  <si>
    <t>304337686.54566</t>
  </si>
  <si>
    <t>20344047.54566</t>
  </si>
  <si>
    <t>1.1.2.1.1.2.3.2.3._</t>
  </si>
  <si>
    <t>281967458.54566</t>
  </si>
  <si>
    <t>1.1.2.1.1.2.3.2.4</t>
  </si>
  <si>
    <t>304337686.55028</t>
  </si>
  <si>
    <t>20344047.55028</t>
  </si>
  <si>
    <t>1.1.2.1.1.2.3.2.4._</t>
  </si>
  <si>
    <t>281967458.55028</t>
  </si>
  <si>
    <t>1.1.2.1.1.2.3.3</t>
  </si>
  <si>
    <t>1.1.2.1.1.2.3.3.1</t>
  </si>
  <si>
    <t>304337687.55028</t>
  </si>
  <si>
    <t>21950068.55028</t>
  </si>
  <si>
    <t>1.1.2.1.1.2.3.3.2</t>
  </si>
  <si>
    <t>304337687.54564</t>
  </si>
  <si>
    <t>21950068.54564</t>
  </si>
  <si>
    <t>1.1.2.1.1.2.3.3.3</t>
  </si>
  <si>
    <t>304337687.54566</t>
  </si>
  <si>
    <t>21950068.54566</t>
  </si>
  <si>
    <t>1.1.2.1.1.2.3.3.4</t>
  </si>
  <si>
    <t>304337687.1523192</t>
  </si>
  <si>
    <t>21950068.1523192</t>
  </si>
  <si>
    <t>1.1.2.1.1.2.3.4</t>
  </si>
  <si>
    <t>1.1.2.1.1.2.3.4.1</t>
  </si>
  <si>
    <t>304337688.7352</t>
  </si>
  <si>
    <t>21950067.7352</t>
  </si>
  <si>
    <t>1.1.2.1.1.2.3.4.2</t>
  </si>
  <si>
    <t>304337688.54564</t>
  </si>
  <si>
    <t>21950067.54564</t>
  </si>
  <si>
    <t>1.1.2.1.1.2.3.4.3</t>
  </si>
  <si>
    <t>304337688.54566</t>
  </si>
  <si>
    <t>21950067.54566</t>
  </si>
  <si>
    <t>1.1.2.1.1.2.3.4.4</t>
  </si>
  <si>
    <t>304337688.55028</t>
  </si>
  <si>
    <t>21950067.55028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</si>
  <si>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</si>
  <si>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</si>
  <si>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</si>
  <si>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</si>
  <si>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</si>
  <si>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</si>
  <si>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</si>
  <si>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</si>
  <si>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</si>
  <si>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</si>
  <si>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</si>
  <si>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1.1.2.1.1.3.1.1._</t>
  </si>
  <si>
    <t>1, 2, 3 этажи. Шпаклевка базовая до 5 мм. Тип: CF1=2861,1 м2; CF13=240,8 м2</t>
  </si>
  <si>
    <t>1.1.2.1.1.3.1.1.1</t>
  </si>
  <si>
    <t>Шпатлевка гипсовая_ / белая / Унифицированная по ПИК-СТАНДАРТ, 30кг</t>
  </si>
  <si>
    <t>304337578.54622</t>
  </si>
  <si>
    <t>20324131.54622</t>
  </si>
  <si>
    <t>c5ed9089-be55-4be8-8db3-0f286a2dbba5</t>
  </si>
  <si>
    <t>1.1.2.1.1.3.1.1.1._</t>
  </si>
  <si>
    <t>281879721.54622</t>
  </si>
  <si>
    <t>1.1.2.1.1.3.1.1.2</t>
  </si>
  <si>
    <t>304337578.54634</t>
  </si>
  <si>
    <t>20324131.54634</t>
  </si>
  <si>
    <t>1.1.2.1.1.3.1.1.2._</t>
  </si>
  <si>
    <t>281879721.54634</t>
  </si>
  <si>
    <t>1.1.2.1.1.3.1.2</t>
  </si>
  <si>
    <t>1.1.2.1.1.3.1.2.1</t>
  </si>
  <si>
    <t>304337689.54634</t>
  </si>
  <si>
    <t>21950069.54634</t>
  </si>
  <si>
    <t>1.1.2.1.1.3.1.2.2</t>
  </si>
  <si>
    <t>304337689.54622</t>
  </si>
  <si>
    <t>21950069.54622</t>
  </si>
  <si>
    <t>1.1.2.1.1.3.1.3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</si>
  <si>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</si>
  <si>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</si>
  <si>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</si>
  <si>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</si>
  <si>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1.1.2.1.1.3.1.3._</t>
  </si>
  <si>
    <t>1, 2, 3 этажи. Шпаклевка базовая до 5 мм. Тип: CF2</t>
  </si>
  <si>
    <t>1.1.2.1.1.3.1.3.1</t>
  </si>
  <si>
    <t>304337579.54622</t>
  </si>
  <si>
    <t>21107425.54622</t>
  </si>
  <si>
    <t>1.1.2.1.1.3.1.3.1._</t>
  </si>
  <si>
    <t>279187184.54622</t>
  </si>
  <si>
    <t>1.1.2.1.1.3.1.3.2</t>
  </si>
  <si>
    <t>304337579.54634</t>
  </si>
  <si>
    <t>21107425.54634</t>
  </si>
  <si>
    <t>1.1.2.1.1.3.1.3.2._</t>
  </si>
  <si>
    <t>279187184.54634</t>
  </si>
  <si>
    <t>1.1.2.1.1.3.1.4</t>
  </si>
  <si>
    <t>1.1.2.1.1.3.1.4.1</t>
  </si>
  <si>
    <t>304337690.54634</t>
  </si>
  <si>
    <t>21950070.54634</t>
  </si>
  <si>
    <t>1.1.2.1.1.3.1.4.2</t>
  </si>
  <si>
    <t>304337690.54622</t>
  </si>
  <si>
    <t>21950070.54622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</si>
  <si>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</si>
  <si>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</si>
  <si>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</si>
  <si>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</si>
  <si>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</si>
  <si>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</si>
  <si>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</si>
  <si>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</si>
  <si>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1.1.2.1.1.3.2.1._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</si>
  <si>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</si>
  <si>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1.1.2.1.1.3.2.1.1</t>
  </si>
  <si>
    <t>Gutver Prometeks RAL 9016 - Матовая краска для стен или аналог.  Класс пожарной опасности: КМ0</t>
  </si>
  <si>
    <t>304337582.758318</t>
  </si>
  <si>
    <t>20344955.758318</t>
  </si>
  <si>
    <t>1.1.2.1.1.3.2.1.1._</t>
  </si>
  <si>
    <t>281967412.758318</t>
  </si>
  <si>
    <t>1.1.2.1.1.3.2.1.2</t>
  </si>
  <si>
    <t>304337582.54634</t>
  </si>
  <si>
    <t>20344955.54634</t>
  </si>
  <si>
    <t>1.1.2.1.1.3.2.1.2._</t>
  </si>
  <si>
    <t>281967412.54634</t>
  </si>
  <si>
    <t>1.1.2.1.1.3.2.2</t>
  </si>
  <si>
    <t>1.1.2.1.1.3.2.2._</t>
  </si>
  <si>
    <t>1, 2, 3 этажи. Тип: CF2 Покраска Gutver Prometeks RAL 9016 КМ0</t>
  </si>
  <si>
    <t>1.1.2.1.1.3.2.2.1</t>
  </si>
  <si>
    <t>304337691.54634</t>
  </si>
  <si>
    <t>20344956.54634</t>
  </si>
  <si>
    <t>1.1.2.1.1.3.2.2.1._</t>
  </si>
  <si>
    <t>281967459.54634</t>
  </si>
  <si>
    <t>1.1.2.1.1.3.2.2.2</t>
  </si>
  <si>
    <t>304337691.758318</t>
  </si>
  <si>
    <t>20344956.758318</t>
  </si>
  <si>
    <t>1.1.2.1.1.3.2.2.2._</t>
  </si>
  <si>
    <t>281967459.758318</t>
  </si>
  <si>
    <t>1.1.2.1.1.3.2.3</t>
  </si>
  <si>
    <t>1.1.2.1.1.3.2.3._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</si>
  <si>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</si>
  <si>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1.1.2.1.1.3.2.3.1</t>
  </si>
  <si>
    <t>304337692.758318</t>
  </si>
  <si>
    <t>20345081.758318</t>
  </si>
  <si>
    <t>1.1.2.1.1.3.2.3.1._</t>
  </si>
  <si>
    <t xml:space="preserve"> Gutver Prometeks RAL Design 180 40 15 - Матовая краска для стен или аналог.</t>
  </si>
  <si>
    <t>281967460.758318</t>
  </si>
  <si>
    <t>1.1.2.1.1.3.2.3.2</t>
  </si>
  <si>
    <t>304337692.54634</t>
  </si>
  <si>
    <t>20345081.54634</t>
  </si>
  <si>
    <t>1.1.2.1.1.3.2.3.2._</t>
  </si>
  <si>
    <t>281967460.54634</t>
  </si>
  <si>
    <t>1.1.2.1.1.3.2.4</t>
  </si>
  <si>
    <t>1.1.2.1.1.3.2.4._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</si>
  <si>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</si>
  <si>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1.1.2.1.1.3.2.4.1</t>
  </si>
  <si>
    <t>304337693.54634</t>
  </si>
  <si>
    <t>20345310.54634</t>
  </si>
  <si>
    <t>1.1.2.1.1.3.2.4.1._</t>
  </si>
  <si>
    <t>281967461.54634</t>
  </si>
  <si>
    <t>1.1.2.1.1.3.2.4.2</t>
  </si>
  <si>
    <t>304337693.758318</t>
  </si>
  <si>
    <t>20345310.758318</t>
  </si>
  <si>
    <t>1.1.2.1.1.3.2.4.2._</t>
  </si>
  <si>
    <t xml:space="preserve">Gutver Prometeks RAL 5024 - Матовая краска для стен или аналог.  Класс пожарной опасности: КМ0
</t>
  </si>
  <si>
    <t>281967461.758318</t>
  </si>
  <si>
    <t>1.1.2.1.1.3.2.5</t>
  </si>
  <si>
    <t>1.1.2.1.1.3.2.5.1</t>
  </si>
  <si>
    <t>304337694.758318</t>
  </si>
  <si>
    <t>21950032.758318</t>
  </si>
  <si>
    <t>1.1.2.1.1.3.2.5.2</t>
  </si>
  <si>
    <t>304337694.54634</t>
  </si>
  <si>
    <t>21950032.54634</t>
  </si>
  <si>
    <t>1.1.2.1.1.3.2.6</t>
  </si>
  <si>
    <t>1.1.2.1.1.3.2.6.1</t>
  </si>
  <si>
    <t>304337695.54634</t>
  </si>
  <si>
    <t>21950037.54634</t>
  </si>
  <si>
    <t>1.1.2.1.1.3.2.6.2</t>
  </si>
  <si>
    <t>304337695.758318</t>
  </si>
  <si>
    <t>21950037.758318</t>
  </si>
  <si>
    <t>1.1.2.1.1.3.2.7</t>
  </si>
  <si>
    <t>1.1.2.1.1.3.2.7.1</t>
  </si>
  <si>
    <t>304337696.758318</t>
  </si>
  <si>
    <t>21949971.758318</t>
  </si>
  <si>
    <t>1.1.2.1.1.3.2.7.2</t>
  </si>
  <si>
    <t>304337696.54634</t>
  </si>
  <si>
    <t>21949971.54634</t>
  </si>
  <si>
    <t>1.1.2.1.1.3.2.8</t>
  </si>
  <si>
    <t>1.1.2.1.1.3.2.8.1</t>
  </si>
  <si>
    <t>304337697.54634</t>
  </si>
  <si>
    <t>21955547.54634</t>
  </si>
  <si>
    <t>1.1.2.1.1.3.2.8.2</t>
  </si>
  <si>
    <t>304337697.758318</t>
  </si>
  <si>
    <t>21955547.758318</t>
  </si>
  <si>
    <t>1.1.2.1.1.3.2.9</t>
  </si>
  <si>
    <t>1.1.2.1.1.3.2.9.1</t>
  </si>
  <si>
    <t>Gutver Prometeks RAL 5024 - Матовая краска для стен или аналог.  Класс пожарной опасности: КМ0</t>
  </si>
  <si>
    <t>304337698.758318</t>
  </si>
  <si>
    <t>21955548.758318</t>
  </si>
  <si>
    <t>1.1.2.1.1.3.2.9.2</t>
  </si>
  <si>
    <t>304337698.54634</t>
  </si>
  <si>
    <t>21955548.54634</t>
  </si>
  <si>
    <t>1.1.2.1.1.4</t>
  </si>
  <si>
    <t>6.3.1.5.4</t>
  </si>
  <si>
    <t>Монтаж потолочных конструкций</t>
  </si>
  <si>
    <t>1.1.2.1.1.4.1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</si>
  <si>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</si>
  <si>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</si>
  <si>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</si>
  <si>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</si>
  <si>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1.1.2.1.1.4.1._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</si>
  <si>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</si>
  <si>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1.1.2.1.1.4.1.1</t>
  </si>
  <si>
    <t>Прочие материалы_</t>
  </si>
  <si>
    <t>304337585.714896</t>
  </si>
  <si>
    <t>20300962.714896</t>
  </si>
  <si>
    <t>fdf8c0a8-2572-4068-9aa9-e798fd9f8bff</t>
  </si>
  <si>
    <t>1.1.2.1.1.4.1.1._</t>
  </si>
  <si>
    <t>281967415.714896</t>
  </si>
  <si>
    <t>1.1.2.1.1.4.1.2</t>
  </si>
  <si>
    <t>Плита Аквапанель_</t>
  </si>
  <si>
    <t>304337585.703444</t>
  </si>
  <si>
    <t>20300962.703444</t>
  </si>
  <si>
    <t>2c475c37-a5f6-40fd-88b8-63c49f8c7850</t>
  </si>
  <si>
    <t>1.1.2.1.1.4.1.2._</t>
  </si>
  <si>
    <t>281967415.703444</t>
  </si>
  <si>
    <t>1.1.2.1.1.4.1.3</t>
  </si>
  <si>
    <t>Каркас_</t>
  </si>
  <si>
    <t>304337585.714897</t>
  </si>
  <si>
    <t>20300962.714897</t>
  </si>
  <si>
    <t>d67a84c8-d326-4113-825a-f75ffa1be1b7</t>
  </si>
  <si>
    <t>1.1.2.1.1.4.1.3._</t>
  </si>
  <si>
    <t>281967415.714897</t>
  </si>
  <si>
    <t>1.1.2.1.1.4.2</t>
  </si>
  <si>
    <t>1.1.2.1.1.4.2.1</t>
  </si>
  <si>
    <t>304337699.714897</t>
  </si>
  <si>
    <t>20300963.714897</t>
  </si>
  <si>
    <t>1.1.2.1.1.4.2.2</t>
  </si>
  <si>
    <t>304337699.703444</t>
  </si>
  <si>
    <t>20300963.703444</t>
  </si>
  <si>
    <t>1.1.2.1.1.4.3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</si>
  <si>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</si>
  <si>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</si>
  <si>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</si>
  <si>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</si>
  <si>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1.1.2.1.1.4.3._</t>
  </si>
  <si>
    <t>1, 2, 3 этажи. Тип: CF5. Кубообразный Потолки АЛБЕС 30х85х3000мм, между рейками 70 оцинкованная сталь 0,45 RAL 1018 матовый</t>
  </si>
  <si>
    <t>1.1.2.1.1.4.3.1</t>
  </si>
  <si>
    <t>Реечный потолок_ / Металлический</t>
  </si>
  <si>
    <t>304337586.715461</t>
  </si>
  <si>
    <t>20300961.715461</t>
  </si>
  <si>
    <t>10b4c8b2-e44c-4d73-8a2f-cd56f0c6cf37</t>
  </si>
  <si>
    <t>1.1.2.1.1.4.3.1._</t>
  </si>
  <si>
    <t>281879729.715461</t>
  </si>
  <si>
    <t>1.1.2.1.1.4.4</t>
  </si>
  <si>
    <t>1.1.2.1.1.4.4._</t>
  </si>
  <si>
    <t>1, 2, 3 этажи. Тип: CF6. Кубообразный Потолки АЛБЕС 30х85х3000мм, между рейками 70 оцинкованная сталь 0,45 RAL 9016 матовый</t>
  </si>
  <si>
    <t>1.1.2.1.1.4.4.1</t>
  </si>
  <si>
    <t>304337700.715461</t>
  </si>
  <si>
    <t>20301990.715461</t>
  </si>
  <si>
    <t>1.1.2.1.1.4.4.1._</t>
  </si>
  <si>
    <t>Цена 3000 руб/м2</t>
  </si>
  <si>
    <t>281879775.715461</t>
  </si>
  <si>
    <t>1.1.2.1.1.4.5</t>
  </si>
  <si>
    <t>1.1.2.1.1.4.5._</t>
  </si>
  <si>
    <t>1, 2, 3 этажи. Тип: CF16. Кубообразный Потолки АЛБЕС 30х85х3000мм, между рейками 70 оцинкованная сталь 0,45, текстура дерева W203-1013</t>
  </si>
  <si>
    <t>1.1.2.1.1.4.5.1</t>
  </si>
  <si>
    <t>304337701.715461</t>
  </si>
  <si>
    <t>20301991.715461</t>
  </si>
  <si>
    <t>1.1.2.1.1.4.5.1._</t>
  </si>
  <si>
    <t>281879776.715461</t>
  </si>
  <si>
    <t>1.1.2.1.1.4.6</t>
  </si>
  <si>
    <t>1.1.2.1.1.4.6.1</t>
  </si>
  <si>
    <t>304337702.715461</t>
  </si>
  <si>
    <t>20301992.715461</t>
  </si>
  <si>
    <t>1.1.2.1.1.4.7</t>
  </si>
  <si>
    <t>1.1.2.1.1.4.7.1</t>
  </si>
  <si>
    <t>304337703.715461</t>
  </si>
  <si>
    <t>20301988.715461</t>
  </si>
  <si>
    <t>1.1.2.1.1.4.8</t>
  </si>
  <si>
    <t>1.1.2.1.1.4.8.1</t>
  </si>
  <si>
    <t>304337704.715461</t>
  </si>
  <si>
    <t>20301989.715461</t>
  </si>
  <si>
    <t>1.1.2.1.1.4.9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</si>
  <si>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</si>
  <si>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</si>
  <si>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</si>
  <si>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</si>
  <si>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1.1.2.1.1.4.9._</t>
  </si>
  <si>
    <t>1.1.2.1.1.4.10</t>
  </si>
  <si>
    <t>1.1.2.1.1.4.11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</si>
  <si>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</si>
  <si>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</si>
  <si>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</si>
  <si>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</si>
  <si>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1.1.2.1.1.4.11._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</si>
  <si>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</si>
  <si>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1.1.2.1.1.4.11.1</t>
  </si>
  <si>
    <t>Плита древесноволокнистая ДВП s=25мм SoundBoard SuperFine</t>
  </si>
  <si>
    <t>304337590.1747145</t>
  </si>
  <si>
    <t>20347730.1747145</t>
  </si>
  <si>
    <t>f39a5928-311f-11ee-9904-d1661ac0bb93</t>
  </si>
  <si>
    <t>1.1.2.1.1.4.11.1._</t>
  </si>
  <si>
    <t>281967420.1747145</t>
  </si>
  <si>
    <t>1.1.2.1.1.4.12</t>
  </si>
  <si>
    <t>1.1.2.1.1.4.12.1</t>
  </si>
  <si>
    <t>304337706.1747145</t>
  </si>
  <si>
    <t>20867315.1747145</t>
  </si>
  <si>
    <t>1.1.2.1.1.4.13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</si>
  <si>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</si>
  <si>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</si>
  <si>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</si>
  <si>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</si>
  <si>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1.1.2.1.1.4.13._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</si>
  <si>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</si>
  <si>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1.1.2.1.1.4.13.1</t>
  </si>
  <si>
    <t>Шуруп со сверлом_/3,5*11</t>
  </si>
  <si>
    <t>304337591.54821</t>
  </si>
  <si>
    <t>20347725.54821</t>
  </si>
  <si>
    <t>438f03b8-0245-4746-af3b-94d943760b3b</t>
  </si>
  <si>
    <t>1.1.2.1.1.4.13.1._</t>
  </si>
  <si>
    <t>282588984.54821</t>
  </si>
  <si>
    <t>1.1.2.1.1.4.13.2</t>
  </si>
  <si>
    <t>Шуруп_/3,5*25</t>
  </si>
  <si>
    <t>304337591.54822</t>
  </si>
  <si>
    <t>20347725.54822</t>
  </si>
  <si>
    <t>9afa7adc-2604-4bf8-8123-329424645872</t>
  </si>
  <si>
    <t>1.1.2.1.1.4.13.2._</t>
  </si>
  <si>
    <t>282588984.54822</t>
  </si>
  <si>
    <t>1.1.2.1.1.4.13.3</t>
  </si>
  <si>
    <t>Шпаклевка д/заделки швов, ШОВСИЛК_/Т33</t>
  </si>
  <si>
    <t>304337591.54624</t>
  </si>
  <si>
    <t>20347725.54624</t>
  </si>
  <si>
    <t>7b96503e-5889-4b88-b7f6-580caaa662ae</t>
  </si>
  <si>
    <t>1.1.2.1.1.4.13.3._</t>
  </si>
  <si>
    <t>282588984.54624</t>
  </si>
  <si>
    <t>1.1.2.1.1.4.13.4</t>
  </si>
  <si>
    <t>Удлинитель профилей_/потолочный/60*27</t>
  </si>
  <si>
    <t>304337591.54575</t>
  </si>
  <si>
    <t>20347725.54575</t>
  </si>
  <si>
    <t>46cc4ab9-5306-44b0-b02d-73ca24dc456b</t>
  </si>
  <si>
    <t>1.1.2.1.1.4.13.4._</t>
  </si>
  <si>
    <t>282588984.54575</t>
  </si>
  <si>
    <t>1.1.2.1.1.4.13.5</t>
  </si>
  <si>
    <t>Соединитель профилей одноуровневый_/потолочный/60*27</t>
  </si>
  <si>
    <t>304337591.54576</t>
  </si>
  <si>
    <t>20347725.54576</t>
  </si>
  <si>
    <t>d396c343-40ec-430e-b651-cf8e8a10f274</t>
  </si>
  <si>
    <t>1.1.2.1.1.4.13.5._</t>
  </si>
  <si>
    <t>282588984.54576</t>
  </si>
  <si>
    <t>1.1.2.1.1.4.13.6</t>
  </si>
  <si>
    <t>Профиль_/направляющий/28*27*0,40/3м</t>
  </si>
  <si>
    <t>304337591.54569</t>
  </si>
  <si>
    <t>20347725.54569</t>
  </si>
  <si>
    <t>34b4edce-5006-4616-be2f-9d47724dc09a</t>
  </si>
  <si>
    <t>1.1.2.1.1.4.13.6._</t>
  </si>
  <si>
    <t>282588984.54569</t>
  </si>
  <si>
    <t>1.1.2.1.1.4.13.7</t>
  </si>
  <si>
    <t>Профиль_/потолочный/60*27*0,40/3м</t>
  </si>
  <si>
    <t>304337591.54568</t>
  </si>
  <si>
    <t>20347725.54568</t>
  </si>
  <si>
    <t>de448100-a03f-42fb-b903-fa1d0845e34a</t>
  </si>
  <si>
    <t>1.1.2.1.1.4.13.7._</t>
  </si>
  <si>
    <t>282588984.54568</t>
  </si>
  <si>
    <t>1.1.2.1.1.4.13.8</t>
  </si>
  <si>
    <t>Подвес профиля прямой_/потолочный/60*27</t>
  </si>
  <si>
    <t>304337591.54573</t>
  </si>
  <si>
    <t>20347725.54573</t>
  </si>
  <si>
    <t>0eb7bcf2-ac18-4bde-8e36-3ccb4cd58803</t>
  </si>
  <si>
    <t>1.1.2.1.1.4.13.8._</t>
  </si>
  <si>
    <t>282588984.54573</t>
  </si>
  <si>
    <t>1.1.2.1.1.4.13.9</t>
  </si>
  <si>
    <t>304337591.1523192</t>
  </si>
  <si>
    <t>20347725.1523192</t>
  </si>
  <si>
    <t>1.1.2.1.1.4.13.9._</t>
  </si>
  <si>
    <t>282588984.1523192</t>
  </si>
  <si>
    <t>1.1.2.1.1.4.13.10</t>
  </si>
  <si>
    <t>Лента Дихтунгсбанд_/50мм</t>
  </si>
  <si>
    <t>304337591.55042</t>
  </si>
  <si>
    <t>20347725.55042</t>
  </si>
  <si>
    <t>db776908-a7ed-4efe-a1e0-14c0d3badf1f</t>
  </si>
  <si>
    <t>1.1.2.1.1.4.13.10._</t>
  </si>
  <si>
    <t>282588984.55042</t>
  </si>
  <si>
    <t>1.1.2.1.1.4.13.11</t>
  </si>
  <si>
    <t>Лента армирующая ( серпянка)_/50мм</t>
  </si>
  <si>
    <t>304337591.55038</t>
  </si>
  <si>
    <t>20347725.55038</t>
  </si>
  <si>
    <t>ef366d6b-1118-416c-acc5-430ee111e823</t>
  </si>
  <si>
    <t>1.1.2.1.1.4.13.11._</t>
  </si>
  <si>
    <t>282588984.55038</t>
  </si>
  <si>
    <t>1.1.2.1.1.4.13.12</t>
  </si>
  <si>
    <t>304337591.1139608</t>
  </si>
  <si>
    <t>20347725.1139608</t>
  </si>
  <si>
    <t>1.1.2.1.1.4.13.12._</t>
  </si>
  <si>
    <t>282588984.1139608</t>
  </si>
  <si>
    <t>1.1.2.1.1.4.13.13</t>
  </si>
  <si>
    <t>Анкер-клин_/6*40</t>
  </si>
  <si>
    <t>304337591.54828</t>
  </si>
  <si>
    <t>20347725.54828</t>
  </si>
  <si>
    <t>d1d11d59-b5f9-4bc0-894f-4c016002bf47</t>
  </si>
  <si>
    <t>1.1.2.1.1.4.13.13._</t>
  </si>
  <si>
    <t>282588984.54828</t>
  </si>
  <si>
    <t>1.1.2.1.1.4.14</t>
  </si>
  <si>
    <t>1.1.2.1.1.4.14.1</t>
  </si>
  <si>
    <t>304337707.54828</t>
  </si>
  <si>
    <t>21950038.54828</t>
  </si>
  <si>
    <t>1.1.2.1.1.4.14.2</t>
  </si>
  <si>
    <t>304337707.1139608</t>
  </si>
  <si>
    <t>21950038.1139608</t>
  </si>
  <si>
    <t>1.1.2.1.1.4.14.3</t>
  </si>
  <si>
    <t>304337707.55038</t>
  </si>
  <si>
    <t>21950038.55038</t>
  </si>
  <si>
    <t>1.1.2.1.1.4.14.4</t>
  </si>
  <si>
    <t>304337707.55042</t>
  </si>
  <si>
    <t>21950038.55042</t>
  </si>
  <si>
    <t>1.1.2.1.1.4.14.5</t>
  </si>
  <si>
    <t>304337707.1523192</t>
  </si>
  <si>
    <t>21950038.1523192</t>
  </si>
  <si>
    <t>1.1.2.1.1.4.14.6</t>
  </si>
  <si>
    <t>304337707.54573</t>
  </si>
  <si>
    <t>21950038.54573</t>
  </si>
  <si>
    <t>1.1.2.1.1.4.14.7</t>
  </si>
  <si>
    <t>304337707.54569</t>
  </si>
  <si>
    <t>21950038.54569</t>
  </si>
  <si>
    <t>1.1.2.1.1.4.14.8</t>
  </si>
  <si>
    <t>304337707.54568</t>
  </si>
  <si>
    <t>21950038.54568</t>
  </si>
  <si>
    <t>1.1.2.1.1.4.14.9</t>
  </si>
  <si>
    <t>304337707.54576</t>
  </si>
  <si>
    <t>21950038.54576</t>
  </si>
  <si>
    <t>1.1.2.1.1.4.14.10</t>
  </si>
  <si>
    <t>304337707.54575</t>
  </si>
  <si>
    <t>21950038.54575</t>
  </si>
  <si>
    <t>1.1.2.1.1.4.14.11</t>
  </si>
  <si>
    <t>304337707.54624</t>
  </si>
  <si>
    <t>21950038.54624</t>
  </si>
  <si>
    <t>1.1.2.1.1.4.14.12</t>
  </si>
  <si>
    <t>304337707.54822</t>
  </si>
  <si>
    <t>21950038.54822</t>
  </si>
  <si>
    <t>1.1.2.1.1.4.14.13</t>
  </si>
  <si>
    <t>304337707.54821</t>
  </si>
  <si>
    <t>21950038.54821</t>
  </si>
  <si>
    <t>1.1.2.1.1.4.15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</si>
  <si>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</si>
  <si>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</si>
  <si>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</si>
  <si>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</si>
  <si>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1.1.2.1.1.4.15._</t>
  </si>
  <si>
    <t>1, 2, 3 этажи. Тип: CF3. Потолки Грильято ячейки 100х100 АЛБЕС Белый</t>
  </si>
  <si>
    <t>1.1.2.1.1.4.15.1</t>
  </si>
  <si>
    <t>Подвесной потолок ГРИЛЬЯТО_ / белый / 100х100х40мм</t>
  </si>
  <si>
    <t>304337592.1196508</t>
  </si>
  <si>
    <t>20347726.1196508</t>
  </si>
  <si>
    <t>7c413101-029a-4584-ace7-69ad01fdbaa7</t>
  </si>
  <si>
    <t>1.1.2.1.1.4.15.1._</t>
  </si>
  <si>
    <t>281879735.1196508</t>
  </si>
  <si>
    <t>1.1.2.1.1.4.16</t>
  </si>
  <si>
    <t>1.1.2.1.1.4.16._</t>
  </si>
  <si>
    <t>1, 2, 3 этажи. Тип: CF4. Потолочная плита Рокфон Школа A15 1200х600х20, цвет RAL9016</t>
  </si>
  <si>
    <t>1.1.2.1.1.4.16.1</t>
  </si>
  <si>
    <t>Подвесной потолок Армстронг / Белый</t>
  </si>
  <si>
    <t>304337708.1353009</t>
  </si>
  <si>
    <t>20347727.1353009</t>
  </si>
  <si>
    <t>137a189c-acd0-4b00-a19c-980286873b94</t>
  </si>
  <si>
    <t>1.1.2.1.1.4.16.1._</t>
  </si>
  <si>
    <t>281879777.1353009</t>
  </si>
  <si>
    <t>1.1.2.1.1.4.17</t>
  </si>
  <si>
    <t>1.1.2.1.1.4.17._</t>
  </si>
  <si>
    <t>1, 2, 3 этажи. Тип: CF17 Подвесной металлический кассетный потолок Албес. Размер панели 600х600х20, цвет белый. Или аналог</t>
  </si>
  <si>
    <t>1.1.2.1.1.4.17.1</t>
  </si>
  <si>
    <t>304337709.1353009</t>
  </si>
  <si>
    <t>20347722.1353009</t>
  </si>
  <si>
    <t>1.1.2.1.1.4.17.1._</t>
  </si>
  <si>
    <t>275822536.1353009</t>
  </si>
  <si>
    <t>1.1.2.1.1.4.18</t>
  </si>
  <si>
    <t>1.1.2.1.1.4.18._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</si>
  <si>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</si>
  <si>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1.1.2.1.1.4.18.1</t>
  </si>
  <si>
    <t xml:space="preserve">Кассетный металический потолок  </t>
  </si>
  <si>
    <t>304337710.847703</t>
  </si>
  <si>
    <t>21107984.847703</t>
  </si>
  <si>
    <t>58e7c86f-477b-47b9-985f-0a528b32f78c</t>
  </si>
  <si>
    <t>1.1.2.1.1.4.18.1._</t>
  </si>
  <si>
    <t>281967466.847703</t>
  </si>
  <si>
    <t>1.1.2.1.1.4.19</t>
  </si>
  <si>
    <t>1.1.2.1.1.4.19.1</t>
  </si>
  <si>
    <t>304337711.1196508</t>
  </si>
  <si>
    <t>21950039.1196508</t>
  </si>
  <si>
    <t>1.1.2.1.1.4.20</t>
  </si>
  <si>
    <t>1.1.2.1.1.4.20.1</t>
  </si>
  <si>
    <t>304337712.1353009</t>
  </si>
  <si>
    <t>21950040.1353009</t>
  </si>
  <si>
    <t>1.1.2.1.1.4.21</t>
  </si>
  <si>
    <t>1.1.2.1.1.4.21.1</t>
  </si>
  <si>
    <t>304337713.1353009</t>
  </si>
  <si>
    <t>21950035.1353009</t>
  </si>
  <si>
    <t>1.1.2.1.1.4.22</t>
  </si>
  <si>
    <t>1.1.2.1.1.4.22.1</t>
  </si>
  <si>
    <t>304337714.847703</t>
  </si>
  <si>
    <t>21950033.847703</t>
  </si>
  <si>
    <t>Общая стоимость работ, руб.с НДС 20%</t>
  </si>
  <si>
    <t>eF7s/fuTHMeR54v+K2UyWzOqu6tPVWZGVhbM7g8g2MQWhO4qdFbt2qw4NtYNNM7SRqJ0KGkfs7ZmfOi51Ih6zc4c6kFRmn1cs3uPgQ+IIEGC/0L1v3D/khuRVZmFTkREft0zPaqkkWYANrobDf+EZ7p/I9wj4r986dv/+ZsXX7r2pa+fffNLB1/6D2df+87FvPjMK9/52tcOvnTxn+5efG31iS99q/wG/fF/eelLd7/x9a9/45WXvnTtq/oP5qfoDzefPXhp88NeWv+0lzY/rvjeb22+rfjz8g/LT5cPlh8vH1y+cfnj3vLz4g8f6N8/Xz5aPuwtn1y+tvxw/UfzXd/X/33Ue858Y2/5/vJx8aVPnd/55eLfu/uNb7x67+VXzr69+kevD4vPXnzr2y9/XX/u9Bv/cXLvKYNf+fbL3/7PN7/zcvm5/3pwlfaV+y//nzza//LSS5t/Vv+b+k/X1DAZj9To4Okv/ZuLV7/18jdeWX/HaDCIhsPxf7WhvNAGRT8APA6bJS+2seRbL/+fzAfIZspRG1NaPc2/X/7D8n8sf7P8p+U7y9/2zW/LX+v/+4fl75b/S//+XvGZf+gt39Wf+IflL5e/0n/87/oj8zf+QT/Vv9ff8K79mY2uLaJtYX142NMUTy5f12+afjcPest39Mv2ZPn55Q8v39Cv3Ef65TVfe7T8RL+U/cvX9Hd8sHx82Bsm+qOfabx3ile7Fw8GveVny4eXr1++ob/yS43/29VXhmrzFSt/fG0Rb4v/PU35RNN9ZsbABKqD3uWbZeDS5muAy7c1cm/5hR6Xh8uPdFx6svyj/sgEo0fFaHy6fHz5k8sf6O9/ePmG+V49Yg+X7xd/z3xohuGh/lvvX35P//6R+dcu3zKfXsXG14rf31oNlv4bby2/0N/2uPhL61BZfuKJDoNPevoffKIN/kJ/6uHyU/0vPOiZH6Jj5hPjrZ52yi+X7/Wiwb+yDndybZFsa7jfXQ/iQz1kP14Prhn3qz5YDfaTItp/YIas+JYPrnDqV+pd/dbp1836Ut1S16ZqW5S/Xv5zX9v2ex0Kfrv8v3vmVVj+1mblTF073ZaV49FgGA2jLB3ZLMvVtcW2LNPP75MiYLymHwSdJ/8P/bvtQVbXro+2ZeI75rE0oeJjI1R6Osi/t/ydzcrn1bXnt2blb/TbYt6rh0XseEp7PRV5bEbfUNdubM3odwrvF0abFKStLJLPFybyOYf5BXXthR20WIeu1y7f1r//QH9KZxWb6Ufq2tHWTP+H5UdaAZhA+9mhzbgX1bUXt2acHtfLv7/87mHxoL6+zp7WMbyprt3cppnLx32TqYwisgb6f62u/eut2fdbrTx+pB/OhyvlsDLVZuVEXZtszcr/WUQprUD1G/Pm8v3DRiFzK732lXRb1v7ahE6TovS780CLmbdMnnrppVeMzDPzVY3w0dMh1wqwtbF+T9v/uwMzWfmNPZx+ZWumkR+D2+m121uz1jZ9KOxuNPs4vXbyJ/30Hm9v0Jue3pOtmbYKtfZZzYEeYPShnqbXpluDIL+Cs/TanT/pZ3m2tbFufJbvbM008mNwml473Zq1/Eicp9fmf9JPb769QW96eudbM62rSLxIry3aQHz7G98++9ozDC996ZWzr1+sfiyf46nlMPwtfUGlbZ52F883v/XNV+fma8f6R7768tnXjv6v77z8za/rn2ahvF+j/H/li+PnjjPrSt6xsL3511+dvfIqauSJ3cgTYSNnr7581/a4PGOjGa39ypq6qpCx8tut3J7bRzQXtJXm8rndwLmggbC7zSjtzx3uXshY+O9fvnfv4pV27/pf2cf0r8Qtprn+39nN/HfiZsIPgBmx/X/neACuX29naKsE/E4hWh4vH11+d7X2WZTtn2xqao9Wy1HFkunyU/17+Xn9qe8WNf/PVn/p8m0rnEpH1/Qj3iY5twL8qc2q51Wabcug36zH+werNf4HK9V4+br+1GsbDWkfzRtbtPuj5YPec//qy72i1PO5KaLaLHxhexbazPnX2hzz+G3LpuXPHI/feFsG/cLo0OI5+/xqIfdR8Yc3l1/oj4pPfvqUcF2Xt00p7YOiNGxKKY9Xpe/Lnzge1a0xmke18THdlnWOx3RsHtNt2bT8uf0xHQ22ZZDzMS0evmKSZSLn+lF9f92F9qRo5fj08s3Ln/RML1rxAJvUpR/S3nOrx3zV41ZG4EdPR+AHVh1xY4vDoJ/k50q65tC7NTvtz/RooJ/prdm0/IXjmd5ac9p7RYL/tGdC7dXuISOoyofbtFS8YZpo3ii+9lGx7GQtp97YIkvRKXboeAy3ZZXjMRyax3BbNi1/6XgMt9ZM+Iun4+LyE/3ft5afmHWr1dOpeiaxuzpOtmc2ktS3Zp3jyYvMk7ctm44cD168JXuW//TslLFnujG+KDpbHxbdD5+vcrJpw/xvRd+kCYU6BepnVKfs0v+98hNfLlo7n6w6EfUj/NZapppQ+rEWq48vf1z0+hi18Nkz/5JrkrW9IXJxmlqDaappev63Zbjj+Y/N878tm5b/3fECJNsy6Of64f5IP6NPFwSKBuHVlN+UBh6WXcefWpqMtYjVz/ib+q8+1bRWxO/Pipfm8pkNGPob9JccT/nWxuEDMw5PjUK/kOSWFkjHU74twx1PeWKe8m3ZtPxHx1OutmWQfepWdAV+UUjf9VYjs4jwYfF9T0wP8Qe9tQA2y4yrXUbLfzR/0L8+9nVm3tgiKxKTt2Wc42k1LeNbs2n5T46ndWsL4LXl2PfMbgDHU7Y1G4ul1yLym/7lB8BCwLZMdTxzqXnmtmXT8h3HM7e1msRvtV596/KNp/cDaVHwek+HzndMm8Y/6f84VquKVQGzwPUj/anvlVtwVkJZh9L+U/uiiij7r1ZRtfgRDbsyb2xxRJ7S++bZ7j0jEcxn/5VNElkl/AvbQ3G8AaYItjWblr9yvAFbK4s89QY883CWYsH0Vmlta57y4mkwz/fTW8vM3yindI8L5bDaNhP1414hLFZh8+r7sJ5VFY+Q6bVXvWpj4EPzdJl/7enJp/k3jUnFy/ZxTY7oL7repK2NbO1NqttcfK4YHMd7sy3DHe+Nqd5tzablrx3vzdbqNP+rENCrwttGXT9Vp3ugH+V1aih2tRZbUYuQavz/7N+1TUBXBf6P9GvxtjXiMteqtzZoT22nMU+/f3fNC9sz1PEKmMrg1mxa/sb+CmRbK+v8crWct0odH67L1q9tkke57Xq1hOBY+9ie+R/pyGueQq3k17H4Q/tjuDUT7Y9hZop5W7PJPifTj+HWyjq/XXV+e5WIT4c8eervP1coDx19dYzW2v7L6220HxXPcLG8ZxaC37z8XrG893jVil4c+PDE7GA184cfFJF4HdbNa2BMigbDxDxk+r9q/d90bZJDt2xvPAur+ptJ7kaoNH1Sj+2qqVqP6MPlx+vGaivgC9sDND7ov/TSK8YH6/+O+o5XzRQst2bo8l3Hq7atOtbyPf3Qf2JeMyy0b8tO/US+XlRrHOuUL2zPNMdzZsqTW7PJdRBDFm/LoF8UIraQsKuDT4rCuA7DjwqtUUwHL1/rXest//lw+U+Hy98ePnXmy0pOX/7kYCWGHx8e9C76Xz97+WuOp3RblI5HwVTqtmbT8j3Ho5BsyyBzWMDTLc9PzKqBWYX7/vJJN/7fFprD/6aGtTWblr93+F9tyyBzAlJRjywOjFofx/Jpb3U+2Hr+u5n0rh4Vh6O3xeBwtCn/UG366+In3buYnX373+vPaQvT87vR+fnZoH+R3Ff9JBvc72fZ6H7/LIkHZ7FKhvfuna2+89Vv/MfVB+PVfyq2i69dVHtRnoaDN90N9ev38/Xs70m5qmH89Mjy+f5TPc61bzeHwlnbtK9n1yb40hM6KP9V/8VhDA9GBzv2xvYde0JoCR2Ntt3nxM5zIsSj6DzwviCDM7XjTIVw8New5YZBO1YugxUNaFi0J25uZ5kLsQxpLKSnbWFHWQigGJb0patJoI72rYu7337ZkuF0EvjO188vbB56Ng0MbUTX7Sum8SCJ45GKkjrWKvnq0YctNBnxb75ZpMRGI60b/55nmlh/hT2DiGVS02dTP+KyypSPVnpWa9vV8Y7WVfMb42sTJs0zudCN00EuHA4OjpWyJ0QuQD3jAQC0+HOirT5xWH3CtVrRrSZFmqk2euoweso1Gn/0W2YvbXzuMD5nGv9MjmownvaMzLXFc4fFc67FeLhmZCJt8MJh8IJj8FPRWzjfODLO0F4dKa1WzmGGjSSlnMPIZuXzXCvxVw/NOsW5NMWqrk40X1y+WZyRXC7im2J2cQKxOdbaBnJjOLg24cIETjpDe8JhWx8g49hNPmGbrOgmk8LJ1GHxlG0x/sC3zTV2y3Ou5dKJxm7unG0uHqQ5WcZu7YJlbcgU40oy9rpgaXfqHGXYTGKScaUZpp34W0dMM6aP9qPlx0WD0+dF4dys7Zbl8qtJ6DlrFrI+SDeGQ52GmLCB01DkSENc6wOkIbvJJ2yTFd1kUryZOiyesi3GX4i2achuec61XDoN2c2ds83FAzknDdmtXbCsNeau370AaciViOyNA6XlI+c4w4aSE9FhYrP0ea6l+JuHpqKfLz/XGeaNop3g83VZschApoT4Vm/V+/5w3dlYdIfp7OOc/0Q68TDRAiee2JF4uNYHSDx2k0/YJiu6yaQIM3VYPGVbjD/+bROP3fKca7l04rGbO2ebi4duTuKxW7tgWRt2/uNOPfZGpdL2zDnSsKmM1OOaBzFtxd8+NPn8oSrpfFKWcmzp5snyUxvIjWGs0w0TJnC6SRzphmt9gHRjN/mEbbKim0yKK1OHxVO2xfgD3zbd2C3PuZZLpxu7uXO2uXjA5qQbu7ULlrWh5znuhJN4rR87xxo2lpVwXPMdprX4G9h9yumt96xc/lBPisxlnQ/Kdv/PLt8sZkrl2cSfFNvk7VuabwwTnaSY+IGTlDo4jgb6l/5vrP8b6/8m+r+J/q8aOBIYlyxAAlMHJxrnROOcaJwTjXOicU40zokD54SNo+g4pCg21TRTTTPVNFNNM9U0U00z1TRTB82UTYO/dm0TnzrINVWuqXJNlWuqXFPlmip3UOVcKumkqA7mGmWuUeYaZa5R5hplrlHmDpQ5GwVPOZyEqQ4WmmShSRaaZKFJFppkoUkWDpIFi6R41lYkJtB91ZdU/+M3Xv1bCx4vo7pyqvJBxEOnOzBbmQlVmxvbzH2ea249qbiGViCjFjdVr7foLx+vD5F5uN43+lmvyKivFb+/Xp3v/fqqR76okj3sfeWVs+/cXx0fsHyvPxyqw+H6Tz+N+sPUNlA3uANVz1FOv37dBL2/eflbyINos/AFroWKZCHTuiOudSlm3dcvzr71nVehZ+0z64rGi1wDR5iBF//pmxevfMtm4Cs1A4eHg8HAZuJNrokZZuJ/+MbXvgO9rjbj/jXXuLpOcBhX5CBg9KwjN+EaN6zne4d1RpAVCZIlYyYvHp2eTk+fO50uTl54bqWj04Pj4Uj/yvSv8ZdNdNIQB73oywf27HmLjQhmyQrRqWnqroiicXxof5S/wrYWzJOVtcj467HbX439V1ZjbDP5NttkMFe2m32t7NckexM3wzGbAUxjjHnWynBt9N4VF7gQTtgIiogAPz56VPdLs56ZPnGtBfPeNzsMOrkOOrkOOrkOOjkUdGZsPDBrfrOrgHOHbSmYPL+JPi2zKtjccb+op2xzKemU9dysbJ/5A03Otf+ZCbbPfn6QueMPMnO2+WAyJc6o9SMztweYBctSY+pZGl0Mk+GoP07SUT9J7sX9bHgW9cfDs4uzYazSe+N1DHLOp7++fn4sgNw5tWtWndIoUTzbzNtDRZl92ziel+Soywyfd8Bp+bvFSU7rM4Q/q98WXB2m51r6Nq2mxaJ277nVAX1myn7Qu/yhOexGf2w+VyyKH/SWHxanHX2+PmL709X3Xb5ZfPYL/fWPLn9SdK8+NqdMPSrOKjj88nrW/lFxWcIn6/7XpxcAVt8Q9YoTrJ4UFzPon7I+8aL4dxxNSIJ+Urif2s65BSnq+sRDQZibl0chPV4dTGOjelGSqi5LPFSECb0N46YkRl2zeDBaTvoFIepKxgPRcnFAEOKZBQQPBWkR4ZmHbBAdxtY13luifISs08UEt5zmpka6aQWauqe6ktSE6AfP0HCPzkTZqO8dwub15qzZm7kYcaGFs4v7SXqRnvXv30vu95PsbtI/uztM+3E2vndvEEX6R919KbwWti5UXx/az1v3DAWGF1wLC3IQohKqhX+1KiGZg0YfafX5utG4RmgWinV1nuknf7MWpL9Yvrd8t7/8qbn14FfLPyzfWX1+GB2oXnFErmU8bkiOh8LHo63mFKQgRF2C5nTVgwRBRGSmo1X3piRIOKEpCEFNeIAvHEJTECKg0EwO1cjGd0uUjxDSuxSao7U0GbmFpiQ1IeS1EJouj85E2ajvHcLWIDQbvZmLEa8WXc/u3T8333t2Phz3k2F03j9LztN+mqjz9Pz+eDw0N+4FF5rWWcb1of30NJ/mhvCCC01BDkJUQoXmatH1u1plPr788d8Y4Vi0Lj0pTm0tZKb5nBrs6f8fHKQD86fYpSkF0RWO3lZTClIQAixBU5rzkz887Nm98qIkj5C0HFjzw01JknDaUhCCmuMAZzi0pSBEMG2ZaiGS2vBuieIRgniX0jJbi5HMLS0lqQmRjy0tnQ6diaJR3zoErUFZNjozFyMulOX9u3fT+6Pzu/1sdPduPxnfHfbPk7O7/fvpWRSdnZ9n2WgdUIMqy8Q2FNeNg2hDgeEFV5aCHISgxFeWxfFRXxRXg3xgavmra/YqhZkAClNwCBQ+BG0VpiAFIc52pzAFeUQUpo4UjtVLQZJwClMQgprrAGc4FKYgRDCFqYaHqXW145YoHiGYd6kwx2tRMnYrTElqQuRjK0ynQ2eiaNS3DkFrUJiNzszFiI3E9CnHbjdW2svekfdk03Fch9vyxkquufVI8We/sZI7UAk2UB1srORaqEgWMq074lpXD85iGyu5BoJbRCga07WxkmtiXUCKbKzkGkfZCQKMnl0Uco3b2sbKaHhwHEX6V6x/Jas9TtHAt7GSjQhmyW43VrKtBfMkbWNlNCg3Vq7G2GbybbbJYK7sQlFrkr2Jm+GYzQCmMf7GSm34FRc4N1ayERQRAX589Kjul2bVrJ2yrQXzHjwhAYJOroNOroNOroNODgWdGRsPzJrdbaxkWwomT3xjZRVs7rhf1FO2uZR0ynpu1vM8f6DJufbLbqysgswdf5CZs80HkylxY6V+ZOb2ALNgWWpMxao2BsY5n/asJnDn1I6NlZH3oPZnKVG80JUYSQ7C4h06Le+yx0cSXeHobaexghSEdUjCdNdfgZHkEanAOHt8JEmCVWAkIahrwYAzHJNtQYhgFRh3j48oHiGIdzFfLGeNw9Wi/eq/NupjUWpC5IMnPLBDZ6Jo1LcOQfNXYJqdmYsR726Pj+OmtOtRRB0KDC+4shTkIAQlvrJs3+MjOQQKH4K2ClOQghBnu1OYgjwiCtPZ4yNJEk5hCkJQcx3gDIfCFIQIpjDdPT6ieIRg3qXCjNaiJHIrTElqQuRjK0x3j48oGvWtQ9AaFGajM3Mx4kJhXtw/uxfFZ/f798/P7/WTOIr6Z8PzUX9wNx5nd6PkIo7XDg+qMK3Ovx7F1KHA8IIrTEEOQlBCFeYvqvMvPrh8a33TY9FG9KjoA9Kys1jBLDqETA/RG5dvlediaP2pVahpO1qtdn5iDmBbfrI5HWNvGA0Ge5Gy15puSI6UwkeqrRAVpCCEY4IQdXX2CIKIKFBHFeSmJEg4ASoIQU2FgC8cAlQQIpgAHcbqUDkUqCQfIdh3qUDjtWiJ3QpUkpoQ8tgKdKiigeswNlE46ouHwDVo0EZ35mLEu3swseNSuutRQh0KDC+4BhXkIIQlVIP+iz2YWNJPCvdTWwUsSEFIBwQFjBxMLEklIocdYlgQI5wYFoSg5mTAEw4xLAgRTgy7DyYW5SNknS7FcLJWT4lbDEtSE6IfXwy7DyYWZaO+dwhbgxZu9GYuRhx2z6XVndcj5YVL6nDb3nPJNLceKv7891wyByrBBqqLPZdMCxXJQsA60+tz0It7l39fuOiPy0eHveXvzRL4td6/fSE7NEc81z1bXPP9i6/o6YX+O/o7tWOGw6jy3mqm8mjtuWJi8bhoyVhNE0bKHBGtf/Avlx/oeUYxQSjmEA/W04SnLxMvpjLvLH+z/OnyD8t/7hcP0Gpt/YOnjqEeRofFD9X/eq+wcPUvrb6zMPpzM2sqHkbz5UfFv/Za8W2fUZ7PwpwvnmpBeduMz296anD5vaToMdF/fK/4oxqsBuDQ5v8jrv/r+U9uVyvTQHB/DkHEu3e1Mk0EN+a0FOhM4yjbcIDRS+2pZMI1b3v7WtOD42ikf2X61/ruvsh7YSgbEVQiHe9r5VoLahHivtbqwtDIfWEo22RQj3QxbdEkexM3wzGbAZQKLfa1VheGRv4LQ9kIiogAPz56VPdLs2rWTtnWgpkPnvUBQSfXQSfXQSfXQSeHgs6MjQfmTdq+1jiJx4fKsa+VaymYPgn7WqsLQ90v6inbXEpCZT035VzaG2hyrv3C+1qrC0P9QWbONh9MptR9rWp/bg8wC5alO1uXi137WlMaJYoXvC4nyEFYIUWXPv7l1uUE/aRwP+HrGjaKI0kKwso0YXYO1eUEqULW5QQxwtXlBCGo9QHAE87lAUGMsJW5xMZ3S5SPkHe6mOKWE931JZOR+8pQUWpC/IPnaJTKnCQb9c1D2LzenDV7Mxcj3t0rQ2PXXlzvpVa2ocDwgqthQQ5CVELVsPiVoZLjofDxaKs6BSkIUZegOl01IUEQEaHpujJUEiSc1BSEoCY8wBdRepikNpCJJEhAsem8NlSUjxDWuxSb64smI/e1oaLUhLDXQmw6rw0VZaO+ewhbg9hs9GYuRry7RwrGrqaxjDoUGF5wsSnIQYhKqNjs9EhBQXSFo7fVlYIUhABL0JUNB74I8gjJS9eRgoIk4fSlIAQ1xwHOiNRhmlhXlieSJMEEpudcQUk8QiTvUl+ur5uM3HeHilITwh9bX3rOFZREo756CFqDvGx0Zi5GvLvnCsauHbdj6lBgeMHlpSAHISjx5WUH5woKDoHCh6CtzBSkIMTZ7mSmII+IzHSfKyhIEk5mCkJQcx3gjOxw7FrGFAQJpjLNUXTWvHRLFI8Q0LtUmesrJyP3/aGi1ITox1aZnrMFJdGobx6C1qAyG52ZixGH3ctq142x/z4XVYfb8l5Wrrn1SPFnv5eVO1AJNlAd7GXlWqhIFgLW+feyDgfOzaxPbRvd7Ee9fEv77FFtR+rqU95dqe13mb43HA57z12dkvSe3lhabKA9qA6gNP/gU9b8s/5HPik43y8oP1rzmW7hR5ffu7It9tntuVVHxuGXe8tfF59+WEyCHhcNwqZNuVht712+WTzXpQ1FJ/JB9fMOta3FT3nppVdsT80R96mpJ02xHbBcA8GdPBT979oByzWxLu5FdsByjaNs2AFGL1L2hDnh2re1LbDx8OA4jvSvWP9a37IYe692ZSOCAqbbLbBsa0EJQ9sCG1dXu8buq13ZJoMypovJjibZm7gZjtkMoMLgb4GNq6tdY//VrmwERUSAHx89qvulWTVrp2xrwdQHzxWBoJProJProJProJNDQWfGxgMTZ3dbYNmWgvkT3wJbBZs77hf1lG0uJaOynpv1FNwfaHKu/bJbYKsgc8cfZOZs88FkStwCqx+ZuT3ALFiWGlOxopqBcS51eBZ6uMsdji2wsf8usmcoUbzQhTJJDsK6Krpi0mUfliS6wtHxFQYbxZEkBWGJmDDj9RfIJHlECmTOPixJkmAFMkkI6jI94IzhID6MR5kNZSKJEqxE5m7EEsUjhPIuZo3l3HF9J2jsvuBVlJoQ/+BpD+zQmSga9d1D0PwlsmZn5mLEu9uI5dgkdj2OqEOB4QXXl4IchKDE15ftG7Ekh0DhQ9BWZwpSEOJsdzpTkEdEZzobsSRJwulMQQhqrgOcEaeHg9QhMwVJgslMdyeWKB4honcpM9cXg8buW15FqQnhjy0z3Z1YomjUVw9Ba5CZjc7MxYh395bXxLGdNI6pQ4HhBZeZghyEoITKzC3e8io5UgofKVyNLt/F+oxstEeStISwTVCtrn4gQRARueq6DVYSJJxaFYSgpkzAFyp2HEU3kQQJJlY9N8KK8hESQ5dqdX2FaOy+EVaUmhD22GrVdyOsKBz15UPgGvRqoztzMeLdPXk6ce0zSKhDgeEF16uCHISwhOrVf7EnT0v6SeF+wtWyjeJIkoKQDggqGDl5WpJKRBI7BLEgRjhBLAhBzcmAJ9xt+YIc4fSw++hpUT5C4ulSD6+vEY3dl8KKUhMCIF8Pu4+eFmWjvnoIW4McbvRmLkas//fXTwlB8zh/1Sd7u91Yq2yw12Plg42fuQE30MbayLWxlmluPXS03Fj725q4e9Bb74P9HNgZm0aqXGvtDXvllsxyq2x/qCdq+j+RdQBucAcgwQaAtmF2+fPLt9aC+o9aqj+8fENDv70W5D9b/nY1GMUe0/+2Elpmj2nv+clxX6v1/2kDfIELqEiAAJzNuiOudfUgLrevk2kguD2FIEbd+zqZJoL7UloKTaZxlF0owOhZR27CNW57mzrTg+N4pH9l+tf6isHYe68pGxFMnvRNncNBmjg3dXKtBdMncVNnda9p7L7XlG0ymEK7UN6aZG/iZjhmM4BZsMWmzupe09h/rykbQRER4MdHj+p+aVbN2inbWjDvwRMXIOjkOujkOujkOujkUNCZsfHArEnb1OkJOHfYloLJk7Cps7rX1P2inrLNpaRT1nNTTge9gSbn2i+8qbO619QfZOZs88FkSt3Uqfbn9gCzYFlqTD0fJmmcxkk/i+7pqff4Xto/V3Ha13+6e36WjaOzeJ1rndNsz6IDd6rt2tSZ0ihRPNuE3ENFmZTbOJ6X5CAs8qGzdbC69EzF5qlJvXyJad1/9dSCwPrfW60LfFE/Luk3xeYBc2zSyHPHlKSnFO6ptrNuQQrC8iphdg7VlwSpQtaXBDHC1ZcEIaiL3IAnHMsDghDBiktJfDiy4t0SxSOknS5muOU8d30RZuy+1lSUmhD84Cka7NCZKBr1rUPQGkpLjc7MxYhXnVbDaDy+p+72z9KzrJ+oUdbPhsOL/vjsbnp+kUTjKDp7KbwWti5UX4+9d27ZhgLDC66FBTkIQQnVwoxbTX8Tka41lRwQhQ9IW8kpSEGIugTJ6SoICYLIqEzHtaaSIOF0piAENeMBvnDoTEGIYDrTc6WpKB8hpncpNNeXYMbuK01FqQkhjy00PVeairJR3zuErUFpNnozFyPe3aP0lGsPakYeCggvuNIU5CBEJVRpdnqUniC6wtHbakpBCkKAJWjKhiNOBHlEpKVzz6ggSDhpKQhBTXGALxzSUhAimLT0nKEniUeI4V0qy/X9l7H7MlNRakLgYytLzxl6kmjUtw5BaxCWjc7MxYgLYXk3uj+8N7w76A/v3o36yfm9pJ9dDFT/4v7wIh0naZxF5y+FF5aJbSiux2PqUGB4wYWlIAchKPGFZcMZeoXATPwCU3AIFD4EbQWmIAUhznYnMAV5RATm4DCzgdyUBAknMAUhqKkO8YUNYiIJEUxgxupw5BCYkniEWN6lwFxffRm77zEVpSYEPrbAdDp0JopGfesQtAaB2ejMXIw47D2mVndeT/yXl6R1uC1vt+SaW48Uf7LbLbkDkGADsP3tllxARQIE4BquNx329FNQu8N0+cDWtvtgPSD2BocH6ytMnzrp76nW2uVD/TA8MZeAFheYPjQdEcviEtMnpmfifW3Yx8U/Y56g8hk0LcTv9fRjxr/UdNXp+9RFreWPX19kqv8J91Wm1jB6xHVsPd2J7VTlGgjuucFFu3unKtdEcLNNOznONY6ytQYYvcR11AnXvq1tVk2GB8dJpH/F+tf6MsDEewMpGxGUHt1uVmVbC4oP2mbVpLqBNHHfQMo2GRQgXUxTNMnexM1wzGYANQR/s2pS3UCa+G8gZSMoIgL8+OhR3S/Nqlk7ZVsLpj54lgcEnVwHnVwHnVwHnRwKOjM2Hpg4iZtV9b/o2qzKthTMn/hm1SrY3HG/qKdscykZlfXcrCfP/kCTc+2X3axaBZk7/iAzZ5sPJlPiZlX9yMztAWbBsnRnq1upY7NqMqRRonihq1uSHIQVUXStQ6K6JTkECh8CfDHARnEkSUFY5CXMfP3VLUmeoNUtSZBg1S1JCOo6O+CLOD2MresqE0mQHahwieIR4nkXU8dyArm+uTJxX0MqSk0IfvDcB3boTBSN+uYhaP4KV7MzczHi3b2GNHXsAl1fOUgYCgwvuMgU5CAEJTGRCVxDKjkECh+CtiJTkIIQZ7sTmYI8YUWmIEg4kSkIQU11gC88IlMQJJjIdF9CKopHiOddisz1vZWJ+xJSUWpC8GOLTPclpKJo1DcPQWsQmY3OzMWIC5EZRefq4n5ytz9IU9UfDi+yfja4N+4PBmqg0iwbjtVafgUVmVbnX09i6lBgeMFFpiAHISihItNy1IhpnHlcdOR8vvqi2QZqDhr5uf7unxctLaajRX/GuiZ9Q3IEFD4CbTWmIAUhzBI0pquFRxBERFy6zhaRBAknLgUhqCkO8IVKDhOr1J9IggQTl/FgfGivH94S5SME8i7V5fqWycR9aagoNSHssdWl26MzUTbqu4ewNcjLRm/mYsS7e6pz6tgGmiTUocDwgstLQQ5CVELl5b/gU50lPaVwT7WVwYIUhHxAkMHIqc6SVDKa2IZxUxIjnCIWhKBmZcAT7lZ6QY5ggth9sLMoHiHzdKmH19dMJu5LQ0WpCfGPrYfdBzuLolFfPAStQQ43OjMXIzZ3hh6s9hMGvCvUeori9UT5IOOkDhls86o1aj7PNbceMba7eTWtNq8+dbt8tXl1sNq8avXXDe4AJNgA7MDmVSagIgECcDbrjrjWgdtQCLrVtXzLNBDcSEKQoO4dmEwTwR0kLeUl0zjKfhFg9KwjN+Eat73tl+nBcTLSvzL9a31tX+K9K5SNCCZPxvbLKFLO7Zdca8H0Sdx+Wd0VmrjvCmWbDKbQLgS3JtmbuBmO2QxgFmyx/bK6KzTx3xXKRlBEBPjx0aO6X5pVs3bKthbMe/B8BQg6uQ46uQ46uQ46ORR0Zmw8MGsSt1+6A84dtqVg8iRsv6zuCnW/qKdscynplPXclNNAb6DJufYLb7+s7gr1B5k523wwmVK3X6r9uT3ALFiWGlMHcZSkF3eHZo4d9ZNoPOyfx+mgfxanqUoHahyfr58l5zTbs9jAnWq7tl+mNEoUzzYh91BRJuU2juclOQhre+hs/U+pqvTUgkAnVSVBTyncU21n3YIUhFVVwuwcqioJUoWsKglihKsqCUJQF7cBTziWBwQhgpWUhkOdQZWN75YoHyHvdDHFLSe66/slE/dloaLUhOgHz9Fwj85E2ajvHcLWUFRq9GYuRry7dziNXPtE/ddZWYYCwwuuhgU5CFGJpoa7ucNJEl3h6G3lpSAFIcAS5GXD/lBBHhFh6brDSRIknLQUhKCmOMAXDmkpCBFMWrrvcBLFI8TwLpXl+j7JxH07qCg1IfCxlaX7DidRNOpbh6A1CMtGZ+ZixLt7AMnItTc0ow4FhhdcWApyEIISX1h2cACJ4BAofAjaCkxBCkKc7U5gCvKICEznASSCIOEEpiAENdUhvrBBTCQhgglM51kVt0TxCLG8S4G5vlcycV8SKkpNCHxsgek5fEQSjfrWIWgNArPRmbkYcSEwM3U/Hcex6o/Os2E/uRvf658P1Lh//3yQXlxkkf6/dWYIKjAT21BcT8bUocDwggtMQQ5CUEIFpuXwkaevASrWLtdl9OUvlu8t3+0vf2pK5b9a/mH5znrTZnnBjm08bkiOh8LHo63aFKQgBF2C2nT1sguCiMjMyHUUiSBIOJkpCEFNeIAvHDJTECKYzBwOkkNl3R50S5SPENK71Jnr6yUT912hotSEkMfWmW6PzkTZqO8dwtYgNBu9mYsRh70s1LricF357xkZ1eG2vN+Sa249VPzJ7rfkDkCCDcD291tyARUJEIDzXxYa9Zb/qLX+D/Wf1xeCflG08L6/vk7zg9Udn0/WPZfmKMK3q0MI9Q/65fKDyzct14w+/ROLYXzqBs/H64fK/PRhdLg6xtB7oefqHlLz5UfFv/FaedXoZ8ZZpt+4+KE/KG4i/XT1pWIKU/z++vLhoc1HR1wf1VOX2K5TroF1FS6465RrYl1fi+w65RpXz98td506TsOacM3b2r5TNTw4VpH+Fetf6xv4lPfaTzYiKCK63XfKthaUEbR9p6q69lO5r/1kmwxKiS5mHJpkb+JmOGYzgGqAv+9UVdd+Kv+1n2wERUSAHx89qvulWTVrp2xrwcwHT9iAoJProJProJProJNDQWfGxgPzJnHfaRaPDu2OuMO2FEyf+L7TKtjccb+op2xzKQmV9dysp8H+QJNz7Zfdd1oFmTv+IDNnmw8mU+K+U/3IzO3P9YJl6c7WqzLHvlPlv5zqGUoUL3S9SpKDsLiJrlqI16skx0Ph44HP8W0UR5IUhMXbDmbBgiBB61WSIMHqVZIQ1HVzwBfD5HBgXTKeSILsQs1KlI8Q1ruYQZbzyPWFkcp9+6coNSHswVMg3KMzUTbqu4ew+WtWzd7MxYh3d1tn5tjWqSLqUGB4wcWmIAchKqFis8ttnZLoCkdvqysFKQgBlqAr/V33kjxC8tK+rVMSJJy8FISgpjjAF8P4cH2e9TPyUhAkmLx0b+0UxSPE8S7V5fqmSOW+9lOUmhD82OrSvbVTFI365iFoDeKy0Zm5GPHubu3MHFs7VUwdCgwvuLgU5CAEJb64bL+1U3IIFD4EbUWmIAUhznYnMgV5RESma2unJEg4kSkIQU11gC/U4dC6JjCR5AimMd1Xy4viEcJ5lxpzfV2kcl/+KUpNiH1sjene3SmKRn3xELQGjdnozFyMeHdPac4cuztVQh0KDC+4xhTkIAQlmsb8F3lKs6SnFO6ptlJYkIKQDghSGDmlWZJKRBA71lwFMcLJYUEIalYGPOFspxfECKaGi1N9HUuuknyEzNOlHF5fF6ncd3+KUhPiH1sOe85pFmWjvnkIW4MebvRmLkZsLv/8r8X/DioZ5RS937q4++2Xv/GKZSRImtdRqFc+xFjVEV1bUd1GUiRsal/xfZ5rZf2p8gwlKFB/q6XiR0YQrsXiqrxu1j5fKwrsD3vFcqjZkfjG5VsHxaa/KwryyWq3otaXHxWa84HZprh8aMO+odS1CRf9mRjpZm8XIld7rVJHPORan9Ctx1vZjcknDpNP2CYrusl4+7q2eOqweMq2GH89+DF3tSvGbnnOtfyZLQ4NltMejbnD3DnbXDykE3c1aGsXDmsXLGuL5+KlMAnJtVEh9dr9zJXb4inJbufzXDvxt46VlMz+84dm57xZMbn8XnEcQLH1/EerLfHLT2w0N1Sqcw2TKHCuGTlyDdf6ALnGbvIJ22RFN5kUVKYOi6dsi/Gnvm2usVuecy2XzjV2c+dsc/Fozck1dmsXLGufWpkMkGtc2WbktfyZOV6AbHOobJY+z7UUf/OY+ea95TvLn9lMvqFGOqkwzQ6cVLKD4ygdHBwnKjHXlLvmM1yYADkmOzgxBCeG4MRFcMImUHQCUmyZaoCpAZgagKkLYMoGwN+DthkoO8gNSG5AchdIzgWRTkjZwdxYPzfWz13Wz9nW4xGek5+yg4UxfmGMX7iMX7CMDzs1cieszGt75hx42FRGwnJNkZi24q8qmrLeLVbp3rJZeUNlOksxLQ2cpcY6SynlyE1chAC5aaxzk8PuE7bdim43KZpMtdlTl9lTttn4w902D411HnKYn3PNl84+Y519HDbP2TbjYZqTc8Y65zhMXrBMNjaHqgqVnVA266+rsdf6sXPAYWNZucZVJWJai7+QaLb5g6kLFQdCflJUiD4wJ3KadbhPL1+7fEt/ojiY0nzCHEX5gY3mhhrrrMQkCpuVzLQp1bOmVM+hRpH+lR4cZ/pzWax/mY911hrrz4+V/qW/ZzgYmt8S89tI/zYcmN9i81tqftPfPozMt0Tmc5Eyv5nviyPzm/koMR8l5iNzwN9QmY9S81FqPhqZvzsyf81YMczMR2PzkTEgGgzMb+Yj8+9GQ/NRZD4y/1AUm49i81FiPkrMR8p+ctcx2zvyCdfMA7VLTrRLTrRLTrRLTvRgnGiXnGTmY52QtUtO9IicaJecGJecGJecGJecGJecGJecGJecGJecGJecGJecGJecGJecGJecGJecGJecGJecGJecGJecGJecGJecGJecGJecGJecGJecGJecGJecGJecGJecGJecGJecGJecGJecGJecGJecGJecGJecuFxywnaJoruElCWmZmKrPTLVHplqj0y1R6Z6LKbaI9PMfKy1hvbIVA/IVHtkajwyNR6ZGo9MjUemxiNT45Gp8cjUeGRqPDI1Hpkaj0yNR6bGI1PjkanxyNR4ZGo8MjUemRqPTI1HpsYjU+ORqfHI1HhkajwyNR6ZGo9MjUemxiNT45Gp8cjUeGRqPDI1Hpkaj0xdHpmyPYJH5ZYyyczUtWdy7ZlceybXnsn1mOTaM3lmPtYySnsm1wOTa8/kxjO58UxuPJMbz+TGM7nxTG48kxvP5MYzufFMbjyTG8/kxjO58UxuPJMbz+TGM7nxTG48kxvP5MYzufFMbjyTG8/kxjO58UxuPJMbz+TGM7nxTG48kxvP5MYzufFMbjyTuzyTcz0jrADN0oN2x1y7Y67dMdfumOuBmGt3zDPzsVaI2h1zPRpz7Y65ccfcuGNu3DE37pgbd8yNO+bGHXPjjrlxx9y4Y27cMTfumBt3zI075sYdc+OOuXHH3LhjbtwxN+6YG3fMjTvmxh1z4465ccfcuGNu3DE37pgbd8yNO+bGHXPjjrlxx9y4Y27cMXe5Y852B64MGeLWrKVobyy0NxbaGwvtjYUeh4X2xiIzH2vxq72x0IOx0N5YGG8sjDcWxhsL442F8cbCeGNhvLEw3lgYbyyMNxbGGwvjjYXxxsJ4Y2G8sTDeWBhvLIw3FsYbC+ONhfHGwnhjYbyxMN5YGG8sjDcWxhsL442F8cbCeGNhvLEw3lgYbyyMNxbGGwuXNxYsbzwlfY1TvurT713cM1CJd4d8T70HGyZD5yOF2crU7q7C//Ncc+tit+U9AxTxXh4Y/7g469185uHlm2bjgg3wBhewrhc7ukdg+eny8eVPLn+wOgf/Y/2fH2m2Ny7fNCfl/3z5ro3hBS6DIjEA9tusO+Jal2LWEbYVOI4H5BpY3yUgeEg+18T6DgCRQ/K5xtXVZMtD8q0jN+Eat7Uj8lM9Uzbz5jRenVSdeo/HZ+OBuY9+PL5Sqet0fLaxYPKjnY6fVqfjp+7T8dkmgwmw3VLPehNEOtibuBmO2QxgjmMsiKwPrk6r0/FT/+n4bARFRIAfHz2q+6VZ9fk121ow5cE7SYB4k+t4k5uJLhRvZmw0MFnSTsZ3x5o7bEPBlIkfjF/FmTvud/SUbS4libIemfXWHH+Mybn2yx6MX8WXO/74MmebD6ZR4ixfPzJze2xZsCwtnpSz+CKOlOqr87O0n4wvRv3z87tZPxqNL4bnwygbn6194Zwff/2sm63+T82RXbPkIY0SxbPNpD1UlNm0jeN5SY66wvB5B5xmv1PsuP6k2tMPTqEFIRUO2XaaKkhRz+seCsJ09tPlhzaSFyVJRHbGD+zF45uSIMH2xktC1JO/B6LlLFoQItjO+CgaONTiLVE+QqDuYjpYTgrXh6On7qPuRakJMQ+ez+AenYmyUd87hM3rzVmzN3Mx4tW9SmexSgdJ1j/P7mf9ZHRx0c/uRUn/7ig9G6jhcJAMzl8KLx+tK7rX04g6FBhecPkoyEGISqh8fM/snV+fFlWcbG8OePrcHN3kVpS95546QKq6Hbm4N7jYw1Ke7DQ/e/VvL7797fLy6MZ/6fJ1Uw4q7nQy9wibf/NDUzR61gD9E790+X39PeYm4OL2YPOZ6uf8sDiNyJx0VfzT4yRTsakw6R9U/CGxee6GpOcU7rm2mliQgpAfCJrYf4iqJI+IMrbOjm9KYoTTxYIQ1PwMeMKhiwUhguliNXTKYkk8QgLqUhavj3VP3Wf0i1ITwh5bFjsdOhNFo751CFqDKm50Zi5GXKjie8nZ6Gw8uugPh+mwn6TRvf5ZdHa3H1/cz86ys4vs7sXdl8KrYutyyvX1mbqEocDwgqtiQQ5CUEJV8a+uKk5U8CbFsaS9teD978VxVW8UUrf4zPTrr7z8rW9+49Vvf6t3/cZ8Mj3pnSaD3l8d3b49/bcWxdyvhPMVVVz8vLomrsT6R0YSayH96Vo86w8f6E86VoEFvaJwr7RVvIIUhNBPULyupiZBEBmp67iUShIknNgVhKCmXcAXDrErCBFM7A7jeOyUu5KAhMzSpdxdnzCfuq8LEKUmxDy23PW4dCYKR33zELgGwdvozlyM2Chen5DttnvemtWur+/5cMCN4YMWQnXPM82tx4rd7Z5nAiYYYJjueSaDIjEA9tusO+JaB7YSdiA0mQaCDYEUAensnmeaCLYCtpSGTOMojX/A6DkkH9O47XXPq4PjNNW/Rutu1sTbPc/FA3Nft93zXGPB5Efsnk+q7nnnYe232SaDCbALoaxJ9iZuhmM2Q0JkoHe3JntXXODunuciKCIC/PjoUd0vzapZO2VbC6Y8eJ4BxJtcx5tcx5scijczNhqYLLvrnucaCqZMQvd8UnXPO9/RU7a5lCTKemTKeZs3xuRc+4W755O9K0Pv7p7nmg+mUWr3fLI/t8eWBcvSQgqa0s8oU/1YqZGeIyvVH5vf7t6N76ooGdxNz9bPknN+7Fkd4M6RXd3zikaJ4gUv9AhyEJbj0Gl2F4Wey9fN5XpNZZ6bp0d/1VGRZ9PfZHPBDUkXKNwFbSfRghSEFc4OJtuCIGGrOoIg4ao6ghDUtWXAF44pviDEblR1JAEJaaSLyWo5ZVXrMoByT1slqQkxD55tEVw6E4WjvnkIXENVp9GduRhxoW7PzweRujcc9ePkYtxP1FnSz+6m+i8MxtEoGp6l8fD+S+HVraMGlFKHAsMLrm4FOQhhCVW3zS337Zv74e5+yz+1fHf58+X/MAJ61cn/ePlEC+KVni6b/xv6mtYd/sNsaBUtNyQ9pnCPtRXDghSExEAQww1N/YI8MprYhnFTEiOcIhaEoOZlwBMORSwIEUwRe5r6JfEIiadLPZyuBVTq1sOS1ISwx9bDnqZ+STTqW4egNajhRmfmYsS7e1JK5Grq916bYxsKDC+4GhbkIAQlVA0zT0oRhFQ4ZFsBKUhBiKQEAek8KUWQREQ6Ok9KEQQJJx4FIahpDPGFDWIiCRFMPPpOSpHkIwTqLtXjaC04Rm71KElNiHls9eg7KUWSjfreIWwN8rHRm7kYcdgWeYcg9N5uNYbvhwrVIs80F+wQRPWcYIs8EzDBAMO0yDMZFIkBsN+cfnTQi3uXf69d8mD5x+Wjw97y99oPX1zrLX/VH9msP+JaX4/Lci30TAPBrkBcXnpa6Jkmgv2ALYUj0zhK9x8weg5ByDRuey3044Pj0UD/Gq5bWjNvCz0XD8yN3bbQc40FkyOxhT6rWugzdws912QwQXahozXJ3sTNcMxmAHNgixb6bO+KC9wt9FwERUSAHx89qvulWTVrp2xrwZQHT0OAeJPreJPreJND8WbGRgOTZXct9FxDwZRJaKHPqhZ65zt6yjaXkkRZj0w5r/PGmJxrv3ALfbZ3ZejdLfRc88E0Sm2hz/bn9tiyYFm6s2WV2NVCP6ZRonjByyqCHITVOnQaziyrCEIqHBKfxtoojiQpCEuMhOmss6wiSBK2rCIIEq6sIghBXd5FfGGDmEhC7ERZRZKPEKi7mA6Wk8LxeiF+7J4YSlITYh48n8E9OhNlo753CFtDWaXRm7kY8e72qMeOHvXRgDoUGF5o+SjJQYhKqHxkNY7/efWoS3pM4R5rqYUlKQh5gaCF/T3qkjwiitjeoy6JEUwPS0JQ8zLgCbseloQIpofdPeqieITE06EcHg1WAmrkvqhXlJoQ9thy2N2jLopGfesQNL8abnZmLka8u+eRxI6WpJH3ZirbUGB4wdWwIAchKKFq+M/xPBJJFyjcBW3lrSAFIc4T5K2jc0kSREbXOs4jkQQJp2wFIag5FvCFQ9kKQgRTtr7zSEQBCWmkS227vp1y5L5rVJSaEPPY2tZ3HokoHPXNQ+Aa1G2jO3Mx4rAt9IkN7voo8sClg0Edbsst9FxzwQ5BVG7KtdBzARMMMEgLPZdBkRgA+xta6K1vxBHXerCfsAMhyjQQ7AqkCExXCz3XRLAfsKV0ZBpXT04tW+iTWNlj8oRr4Nba6EfxwfEo0b/Uqq11FPna6Nl4YH7stI2ebSyYIGlt9KOobKMfOa+BvM02GUySXYhpTbI3cTMcsxnAPMhvo9eGX3GBs42ejaCICPDjo0d1vzSrZu2UbS2Y9uC5CBBvch1vch1vcijezNhoYMKktdFnceJqo2cbCqZNvI2+ijN33O/oKdtcSiJlPTLl3M4bY3Ku/bJt9FV8ueOPL3O2+WAaJbbR60dmbo8tC5alxlTstjYD45xDe1YQuPNoRxv9KKZRonjBKz+CHIQlO3Qq3kXl50/gymFJryjcK/jc+xnH6Im3aSL7tKB+ozc9Ppnks+npPO/lX/mr3vO3F0e9ZHDQK7z12Cwz6L/9oJccDIyjbGNyJDkmhGXWDmb0giBhS0uCIOFKS4IQ1AVuwBfJKDscJzaSiSTJbtSXJAEJyaqLKXE5MV5fezty32IsSk0IfPCcjuDSmSgc9fVD4BrqS43uzMWI191TsUoHSdY/z+5n/WR0cdHP7kVJ/+4oNVWq4SAZnL8UXkNbE+H1UUIdCgwvuIYW5CCEJVRDsxr8QaF9RScD/5JWwVc0dLlX4FkD9E/80uX319sLzJc+MZ95trlqvY0gyVRsSnH6BxV/sKbMG5KeU7jncJ1toziSpCAkCIIybthTIMgjI5BtGDclMcLJY0EIan4GPKH/aRvGRBIjmDb27CqQxCOkoC6VcbKWUu4LjEWpCYGPrYw9uwok0ajvHYLWoIsbnZmLEe/uES2Ja1eBog4FhhdcFwtyEIISqot5R7RIQiocsq2EFKQgRFKChHQd0SJJIiIeXUe0SIKEk4+CENQ0BvhiGA8OU+tixUSSJJiC9JzTIspHiNZdSsj17ZMj92WiotSEwMeWkJ5zWkTZqC8fwtagIRu9mYsRh+3dVza466PUCzesw227d59pbj1U7G7vPhMwwQDD9O4zGRSJAbC/oXff+ogdca0HmxgJYtRV6WcaCLYi4hrT07vPNBFsQmypHpnGUVoOkdGLYseqItO+7bXujw6OR5n+NV630qbe1n0uHpgeu23d5xoL5kdi635ate47L3u8zTYZzJFdSGlNsjdxMxyzGcA02KJ1P9274gJ36z4XQRER4MdHj+p+aVbN2inbWjDrwTMRIN7kOt7kOt7kULyZsdHAfNld6z7XUDBrElr306p13/mOnrLNpeRR1iNTTu28MSbn2i/cup/uXRl6d+s+13wwjVJb99P9uT22LFiW7mx5Rbla932X5FkoUbzg5RVBDsKCHToTZ5ZXBCEVDonPZG0UR5IU9bzuoSDMaJ3lFUGSsOUVQZBw5RVBCOoKL+CLeDQ4tN69MpEE2YnqiiQfIVh3MSUsJ4br62hH7suFRakJcQ+e0+AenYmyUd89hM3rzVmzN3Mx4t09BV+5Otd9V0VZhwLDCy4hBTkIUQmVkM395O071+HW9S2dgi/oMYV7rK0eFqQg5AWCHm7oWBfkEVHFjo51QYxwmlgQgpqXAU+o1OqLiSRGMEXs6ViXxCOkni4FcbaWUO77gkWpCYGPLYg9HeuSaNT3DkFr0MONzszFiHf3HHzl6lgfU4cCwwuuhwU5CEEJ1cNdnIayc+fgC7pA4S5oK3AFKQhxniBwXS1MgiAyytZ1WIkgSDhtKwhBzbGIL2I1PrSWGieSJMHkrfewEklAQi7pUuCub8ocue89FaUmBD62wPUeViIJR339ELgGidvozlyMOGxDvTUEXc8GXrioDrflhnquuWCzIKo55RrquYAJBhikoZ7LoEgMgP0NDfUjm/VHXOvrgVmsoZ5rINggSFGZroZ6rolga2A7/cg1rp6cWjbUR5G9AW3CtW9rDfXZ8OA4i1bNrdnA10zPRgNTY6fN9GxjwdxIa6bPBmUzfea8lfI222QwP3ahozXJ3sTNcMxmAFMgv5leG37FBc5mejaCIiLAj48e1f3SrJq1U7a1YMaDpyFArMl1rMmhWDNjY4F5srNGerahYLbEG+mrGHPH/X6ess2l5E/W47Ke0vnjS861X7aRvootd/yxZc42H0yhxEZ6/cjM7XFlwbLUmIpViAyMc+rsWTjgTp8djfSZ76o8CyWKF7rqI8lBWKlDZ+Cs1iSwNPQn0gUl6TGFewyfjtsojiQpCGulhGm5vwtKkkemVmTDuCmJEaxSJAlBXapGPDGIrZ0FE0mOYHUidxuUKB4h93Qxuy3nuOs7djP3lcmi1ITIB0/PYIfORNGoLx6C5q8RNTszFyPe3Z2lqWNbQBZRhwLDCy6IBTkIQQkVxLydpZKQCodsqyEFKQiRlKAhXTtLJUlE1KNrZ6kkSDj9KAhBTWOAL9IscuwslQQJJiA9O0tF+QjBuksFGa1Fh/vGYFFqQtxjK0jPzlJRNuq7h7A1SMhGb+ZixPp/f/1U2DTK8Ks+qdht25G1yeJ6FntgVRLXYQO1HWWutiOmuWBZFdV4RdvR8kGh6z7QGuJBr+hDeqtYOvygXKC8/F5v+UWxXvnd4u4frQptUDe4UAkGRWs1sln4AtdCRbKQad0R1zqwbEpQkw0rkkw7wToorhU9/UJME8EKaEsVyDSOUu8ERs86chOucdtrFkoOjrP1JfZZ7G0W4qKBCY3eLBQNXHrlK2xjwYxGbBaKq2Yh5yWMt9kmg1mtCzGsSfYmboZjNgOYxFo0C8V7V1zgbhbiIigiAvz46FHdL82qWTtlWwtmPXguAcSaXMeaHIo1MzYWmCRpzULuOHOHbSiYKgnNQnHVLOR8P0/Z5lKSJ+txKSdm3viSc+0XbhaK964MvbtZiGs+mEKpzULx/tweVxYsS42pA5Xez+L7Uf88Sgb94fDivv7ofNzP7o3PkrvxRRpHd1cwzgmvZ/rPnfS6moUSGiWKZ5sae6go02Mbx/OSHHV14fMOOG9+dzMbvvzxlb6b75od26Y6cvl9/dUnema9mkBf/tDMp5cfrFuAfqG/+FHRuGNm2p+bDTCm++fd5XvL3/SH9lB9Q3KQFD5IbWe5ghSENcbuZsOCPCIVFtdebkmQcBUWQQjqKi/gC8ccXBAiWHXFXVuRpCME+y6mk+Wkcn0Ta+a+VleUmhD34PnQs9056aG9MXsmykZ96xC2htpKozdzMeJCguqfkd0dDVV/eH532E8G95X+tsG4P1Rn42F0MUjuju+9FF6CRrahuJ4p6lBgeMElqCAHISqhEvS/GwWp1eOj5cPe8sNCXH6sP/God/mmFp2Pii7x14rOby1Rizbzh39jtKeN/YYku8LZ2ypLQQpChMWV5eUPL9+wkbwoSSKiKXWyH9tIbkqShBOVghDU9IY4wwYxkYQIJiqHzoXMW6J8hADepaxcX86aua/aFaUmBD22rHR7dCbKRn3vELYGWdnozVyMOOzJQNaewetZ6oFLB+61Y8xWigCEWnSY5tZDxW616DChEgyqixYdpoWKZCHTuiOudWCxEpeOTYuSTDvB6iMuDD0tOkwTwbpjS8XHNI5SZQRGz6HkmMZtr0VndHCcZeuyufdyXDYamNC6bdHhGgtmNGKLTnU5bua+HJdtMpjVuhC/mmRv4mY4ZjOASaxFi051OW7mvxyXjaCICPDjo0d1vzSrZu2UbS2Y9eC5AxBrch1rcijWzNhYYJLsrkWHayiYKgktOtXFuO7385RtLiV5sh6XciLmjS85137hFp3qYlx/bJmzzQdTKLVFJ92f2+PKgmXpztZHHPPI65n/gjf+nP4gcH1EkIOwvIbOm7utjwiyK5y97eRVkKKe6j0U+CTXXR8RJAlcHxEkCVcfEYSgrtMizrBBTCQhdqI+IslHCOBdTBHLieL6etXMfVmuKDUh6MFzHNyjM1E26nuHsHm9OWv2Zi5GvLud35mr7cZ/T5plKDC84LJSkIMQlVBZuaXOb8FBUvggtdWfghSEUIzrz6YiiyCPiAp1dn4LgoQToYIQ1GQI+MIhQgUhgolQtwSVpCME+y4l6PpG08x9Pa0oNSHusSWor/Nbko361iFsDRK00Zu5GHHYFh3rasT1bOyFS+pw227RYZoLFjNRTdhxiw4TKsGgumjRYVqoSBYyrTviWgcWK7tTj0w7weojRRU6W3SYJoJ1x5Z6j2kcpcoIjJ5DxzGN21qLznhwcDwersvmY2+LDhcNTGjdtuhwjQUzGrFFZ1y16DhvB73NNhnMal2IX02yN3EzHLMZwCTWokVnvHfFBe4WHS6CIiLAj48e1f3SrJq1U7a1YNaD5w5ArMl1rMmhWDNjY4FJsrsWHa6hYKoktOiMqxYd5/t5yjaXkjxZj0s5EfPGl5xrv3CLznjvytC7W3S45oMplNqiM96f2+PKgmXpztZSxo4WnfGARoniha6lSHIQltfQefN2aimSg6TwQWo5y5WkIKwpdjYbluQJWkuRBAlWS5GEqEsID0S7ObgkxPZrKaJ0hGDfxXRyPakcD1ar72P3Xc6i1IS4B8+HCLUUUTbqW4ew+Wspzd7MxYh3t0t87GjnGfvv+7IMBYYXXIIKchCiEipBO+0Sl2RXOHtbZSlIQYiwuLJ0dolLkohoSmeXuCRJOFEpCEFNb4gzbBATSYhgotLTJS7KRwjgXcrK9W2bY/fVqaLUhKDHlpWeLnFRNup7h7A1yMpGb+ZixGFbdIZWf14fR146Vafbco8O11ywmokKvW57dLhQCQbVQY8O10JFspBp3RHXOrBaiWvHplVJpp1g+RFXhu4eHa6JYOGxpeRjGkcpMwKj55ByTOO216MTHxyPk1XdfBz5enTYaGBG67RHh20smNFoPTrjqOzRGTuv1rzNNhnMal2oX02yN3EzHLMZwCTG79HRhl9xgbNHh42giAjw46NHdb80q2btlG0tmPXgyQMQa3Ida3Io1szYWGCS7KxHh20omCrxHp0qxtxxv5+nbHMpyZP1uJQzMW98ybn2y/boVLHljj+2zNnmgymU2KOjH5m5Pa4sWJYaU++q+CzOzob97Dy+6Cfp/XH/LBve64/v3h9cxBfDe+ej8xWMc8brme+zZ72uJp2YhonyBa+QCHIQFtjQifOVJp0D01zz6+X/0x+oVQtONBoMlp/ZZ083JEkVTtp2ripIQVga7G5OK8gjUhXRc19lI7kpSRKuKiIIQV2dBZzhmEoLQoSriiSDQ5XY+G6J8hGCdhfzwnJ2GK/X0d13IYtSE0IfPLHBPToTZaO+dwhbQ1Wk0Zu5GPHuNttoLWmVzNfHCXUsML7gWlKQgxCWUC3ZbbeNILvC2duqS0EKQojF1aW720aQRERXurttBEnC6UpBCGp+Q5xhg5hIQoTTlZ5uG0k+QgDvUleuL88cu69CFaUmBD2+rvR020iyUd87hK1BVzZ6MxcjDtxt41h1VF66tE637W4bprlgXRIVeh132zChEgyqi24bpoWKZCFgnWmKO+jFvcu/L8b/j8tHh73l7/XofnGtlz8/iPSfarsuHXsoKZsx9WceFIuOpWq3uvGIO0hg+ROXsE0LpEw7wXomLlA9TT9ME8FKZkvlyTSOUrcERi9SNusmXOu21/WTHhyPR+tKvPJ2/XDRwMzabdcP11gwsxK7flTV9eO8nfM222Qwu3ahwjXJ3sTNcMxmAJNpi64ftXfFBe6uHy6CIiLAj48e1f3SrJq1U7a1YNqDJzFArMl1rMmhWDNjY4FZktb1E3u6friGgrmS0PWjqq4f5/t5yjaXkj1Zj0s5I/TGl5xrv3DXj9q7MvTurh+u+WAKpXb9qP25Pa4sWJYaU7Et1AbGOfP2rDuwZ9+urp+UhonyBa/UCHIQFvrQCfyWjuYRHCSFDxI+3bZRHElSEFY3u5sPC/KIFHacR/MIgoSr6whCUNeXAV9Eo0Nl45hIcgQr7bgLO5J0hHjfxZSynFim61KA+2ZmUWpC6IPnRKg/Z6Jk1NcOIWso6zT6Mhcj3uF2oaGrXch/7ZhlLDC+4CJUkIMQlFAR2m27kCC7wtnbaktBCkKAxbWlu11IkEREVbrbhQRJwslKQQhqfgOcER26yjuCHMFkpa9jSJKPEMO7FJbrez/H7ltcRakJcY8tLH0dQ5Js1FcPYWuQlo3ezMWIA3cMOcSi/4KwUZ1u2x1DTHPBmiaq9TruGGJCJRhUFx1DTAsVyULAuoaOoVisY6hw+MPV11wdQ8xBAkunuIptWiFl2gnWQnGN6ukYYpoIVkFbik+mcZSaJzB6jhA54Zq3vZah8cGxVhzrOn7m7RnisoG5tdueIa6xYG4l9gxlVc+Q87rQ22yTwfzahQ7XJHsTN8MxmwFMpy16hrK9Ky5w9wxxERQRAX589Kjul2bVrJ2yrQUTHzyNAYJNroNNjgWbGZsLTJTdNQ1xDQXTJaFpKKuahpwv6CnbXEoCZT0v5aTQG2Byrv3CTUPZ3pWhdzcNcc0Hcyi1aSjbn9sDy4Jl6e7WayJX09CYhonyBa/XCHIQ1vrQOXy39RpBdoWz4xNpG8WRJAVh3RKf6brrNYIkges1giTh6jWCENRFY8gZo8jqjYkkyE4UbCT5CEG8i4liOV0cr5f43RdAi1ITAh8808E9OhNlo757CFtDwabRm7kY8Q43pEeOXqCyd5kwGBhgaHEpCkIITKi63E5LuugoKXyUWupQUQxCPMaFaEPJRRRIRI+6utJFSYLpUVEKalIEvJEdju3FHlGQYILUKUdl8Qhhv0M9qplWEmb9gQ38WBacEALZktQpSGXRqC8fguZXpIg/cznowF1EsQ1Py0z/JWZZHW/LbURse+shY6f6iNhUCUbVQSMR20RFMhEwz9dJtPzd84NEppVI60T97z3RXlw719FMxB4osKjaobRlGgpWSSmS1dVOxLYRLJC2FaNM6yj1UGT8XBKTad7WGoqGg8h0FMWrIr+239dSxMcDM22nPUV8a8FMS2sq0uaUXUXrYbZZfZtvNZhvu5DnBmZv4sE45mOACZbfWmRsv+oIZ3MRn0IRKeDnyIzsfmVYzeAp32AwF8JzHCD45Cb45GDwmfHRwOzZWY8R31Iwh+JNRpugc8fztp7yLabkVdZjU80c/QEnZyPIthptgk3pAGezEZ8AzK7EbiPz7FRG1Yxd8Izd3aJQ7Gg40iGKxokChi8KCYIQVgfR6f62ikKCo6TwUcLn5jaMI1EMwopohzNnQaDARSFBkoBFIUEK6ro04g1HQ+lEFGQXikKSeISw38Wss5p7RmURwX0Htiw4IQTCEybUpzNZNOrLh6A1FYWa/ZnLQe9wF3zs7FSKqYOBAYYXpYIghOiEitJO++BF4RUO31prCmIQAi2uNZ2d8KIoIirT2QovihJQZgpSUDMd5I6xvRdeFCSYzPQ0w8sCEkJ5p0IzLoWJ+ypdWXBC/GMLTU9DvCwc9QVE4JqkZrNHcznowP1HiQ1Pi8fEizeu4229/4hpbz1o7Fj/EZMqwag66T9imqhIJgLmNZxkZH1ujtjmg5VQXG82rm0yDQXrmria9HUFMW0EK5ptZSLTOkr1Ehm/QXo4slk4YVu4xcYgZRqD0rI2n/gbg7h4YArsuDGIay2YAqmNQcmmMch5G+ttvtVgIuxCORuYvYkH45iPkRAxGLX6ZO+qIzyNQVwKRaSAnyMzsvuVYTWDp3yDwXQITz+A4JOb4JODwWfGRwMTaIeNQVxLwTRKaQxKNo1Bzrf1lG8xJbWyHptqSucPODkbQboxKNm76gBPYxCXAMyu5MagZL8yqmbsgmessfauis/i7GzYz87ji36S3h/3z7Lhvf747v3BRXwxvHc+Ol/xOCfQnhUE9iTa2RikaJwoYPgajCAIYeEOnYdfaQw6MA09v17+P/2BWrX9RKPBYPmZfaZ1QxRV4aj4zNeGcSSKQVhx7HAGLAgkUnfRM2VlQ7kpihKw7iJIQV32BdyRZofjzOqQiShKuMpLMjhU1oR7SxaQEMC7mD9Ws0hVrtO7L7yWBSfEQXjqg3t1JgtHfQURuKbKS7NHcznoHW7ySZxNPil1MDDA8AJTEIQQn1CB2XGTjyC8wuFbS05BDEKoxSWnp8lHEEVEbHqafARRAopNQQpqpgPcMT5M1x0Cz2pNQZJwWtPX5SMJSIjlnWrNtFQm7vtvZcEJAZCvNX1dPpJw1DcQgWvSms0ezeWg9f/++umCldGQX/WJyo7bfpSNV8tJ391sKlF13kBtP64F1ufZBoPlTlQOFn0/xT7CT4oOIK0Hi6Nplp9qFfiW/sQjszHxi+Kcmgc9rQ8/7mnx+MHygf7y9/V/HxWi0XxttS/xc/Ndn5rWoMuf2MBvsMETDLyT1iCmiYpkItO8I7Z5YK0TV6HLz6yTuxfZFoIlS1xc+np+mDaCxcq2qpFpHaUwCYyfdewmbOu22O+TmX6fcVlyH/n7fbh4YO6j9/uk6dDd78O1Fsx91H6f0abfx3mX6m2+1WAC7EJDG5i9iQfjmI8BprM2/T6jvauO8PT7cCkUkQJ+jszI7leG1Qye8g0GcyA8EQGCT26CTw4GnxkfDUyetH4fd+C5w7cUTKGUfp/Rpt/H+bae8i2mpFXWY1NN7vwBJ2cjSPf7jPauOsDT78MlALMrud9ntF8ZVTN2wTPWWHs/uTgfp+lZ/1z/1+zPPu9ng/vn/cFADVSaZcOxWudf58zZs5bAnj07+318N6xZOFFA2xzbw0WZZ9tAnhcFISzhofPvd1a7aMop9iNzjI+eO1dbccyxsOZgoA/0F75XbMb5rPjWz80V1PrbPl99wy9XBwjp2ffqB61KN2a7zmf6jx9dvvn0p95d/nz5P/pXZ/nLT567/W/mB5u5fX8zudfvstmVsvzY/KuXrxcn176u//L7xsRi/eDHvWF/eKAuf6C/872ihPSGOde2r7/lof6rD1ccB73kIB7qf+JDm+tuiLpO4a5rPT0XxCCspeLTeE8xSRBFpJjkOpVIkCNgJUmQgrqODfjCtXYgSBGsiuSpIUniERJQF/PfahaclRUH92XbsuCEuAdP3Z7Z2pBlniKSJB315UPomopIzS7N5aALhawuxqOLJFP9uxf3h/3k/Dztj8+Si74aXNxTUZTeP7+3dntYhWxd09YKeUwdDAwwvEIWBCEEKFwhP6tIiz3pD1aVKSOa3yh2rBcVqHx2o/dvJv/mei/X//DFt3qXr/e0cH1w+aPi24xc/kx/rvgRD/WHg4PY01AvOFIKH6nWglQQgxCYcUHqrisJksjo0UN7M81NUZSAklSQgpoVAXe4JKkgxS5IUkk8QsTvVJKOS/3ivsxXFpwQ+diSNBr4+pok6agvH0LXJEmbXZrLQQc+vSi14V0fDgcevHQ4qONtvY2JazBYxUVFYvg2Ji54goF30cbENVGRTGSad8Q2DyzhdiA3uRaClViSjHS1MXFtBGuwLfUh1zpKvRUYP4fu41q3vTam4fBA/xatOwmGA28bExsPzH3dtjGxrQVzH7GNaTio2piGzttcb/OtBhNgF5rZwOxNPBjHfAwwnbVoY9K2X3WEu42JTaGIFPBzZEZ2vzKsZvCUbzCYA+GJBxB8chN8cjD4zPhoYPLsro2JbSmYQgltTFXQueN5W0/5FlPSKuuxKedyDQEnZyMItzFVwaZ0gLuNiU0AZldqG5N+diqjasYueMbubpEmdbUxDb33tj3LiQIGL9JIghCW7ND59xaLNJIjpfCRaj0bFsQgLFV2MWsWJAlcpJFECVekkaSgrhMD7nBN1gUpdqBII4pHiPhdTDiraedwvaI/9FylLQpOiHzwXIlUpBGlo758CF1DkQZwaS4HvcOd9amrb2gYUQcDAwwvSQVBCAEKl6R/6axfDcUNUdcp3HWtNbIgBiFT4BrZ3VkviSIjkm0cN0U5AipkQQpqkgZ84VLIghS7oJAl8QgJqFOFXF4OO/Rc9isKToh7bIXs7awXpaO+fAhdk0JudmkuBx24jcm6a1Zr3tiLN6zjbb+NiWkwWMVFNesW2piY4AkG3kkbE9NERTIRMG9zRduhlvr6HTT/eWpp27L0fXT//sXffvusN3v1G/cvvvWtl7/xytnXeoPhsDczDsqKj3onZ9/+zqv687OXX7nozU6nB73hYDDo/adepH/X04roUCmz/t24TH6Y9Vzr5EfsYQRLzbgodi8cMy0EK8YEretpt2LaCNaK2+pYpnWUujAwflHi2EU1YVu4xZarxLRcqbLrIfa3XHHxwDzdccsV11owT1NbruJNy5XzAtvbfKvBZN2FvjcwexMPxjEfA0y9bVqu4r2rjvC0XHEpFJECfo7MyO5XhtUMnvINBvMgPEkCgk9ugk8OBp8ZHw1MoLSWq/FYy25XyxXXUjCNUlqu4k3LlfNtPeVbTEmtrMemmnf6A07ORpBuuYr3rjrA03LFJQCzK7nlKt6vjKoZu+AZu7v1rZGz5SqhcaKA4etbgiB16eFzELhW8Jf6Vum6G6KuU7jr8KWEy+8bLywf9MzSaE+P2pvL902ONwWjQxvjkSgjYREYn+d7il+CKEGLX4IcAYtfghTU9XfAF1F2mCgbyUSUZBcKYJJ4hAzVxQS5miYnZbXEc6m6KDgh9sFzO1qLmCQd9QVE6JoKYM0uzeWgd3jXwsjZIqaog4EBhpfQgiCEAIVL6O3tWhAcKYWPFK5Yl/9zrVhNLHtKsTqqOUeihISYjetVd11KkERGrro3NAiiBFSsghTUhAm4I1KmgpvaWCaiLLugWSXxCCmhU81aXvY79FzfLApOiH9szRpnPs0qSUd9BRG6Js3a7NJcDjpw01Zmw9MqNPXiRXW87TdtMQ0G68CoitxC0xYTPMHAO2naYpqoSCYC5mmR/7t+dthb/lZ74iOtYR+verXM8Bpv6bG//P7lW73lg+Vnl98tlPxD7Rrj0AfXestfa9d8apxbrNh+tlo7v3yjt/zp8r3l75e/W/60t/zV8rfLf17+/qBXuPOh+eovjTzWP/IT/cnv6v9+qv+SWZ//3EwtDqwzh9qquv7H9Pe9USzJ/6h4Rh70kn7q6e9ijng9lwj2dzEtBMvTJH3s7O9i2ggWptsKX6Z1lCI0MH6JOrQ2/k7YBm6xvWtk2ruyssMi9bd3cfHAjN5xexfXWjCjU9u70k17l/Pm4tt8q8G03sVMwMDsTTwYx3wMMEm3ae9K9646wtPexaVQRAr4OTIju18ZVjN4yjcYTIPwdAoIPrkJPjkYfGZ8NDB/dtjexbUUzKKU9q50097lfFtP+RZTMivrsalmqP6Ak7MRpNu70r2rDvC0d3EJwOxKbu9K9yujasYueMbubm0qc7Z3+S5AtHCigOFrU4IghIVIdFVhm7UpwZFS+Ejhc3wbxpEoRl0teDC6mDgLkoQuQAmiBCxACVJQV78BdySjw8HIGt8noii7UH+SxCOE/S5mndXcc1QWKzwX04uCE8IfPGGi9UxJ0lHfQITO69IZ4tJcDnqHtx1kzp4p392E1sHAAMPrUkEQQoDCdelfth2shuKGqOsU7rrWQlkQg5ApcKHs2VkgiCKjlG0cN0U5AspkQQpqkgZ8oQ6tk5aJKMcuaGRJPEIK6lQjl/cbDz1XVouCEyIfWyP7D9aSpKO+fghdk0ZudmkuB63/99dP+zXR</t>
  </si>
  <si>
    <t>//mqTwx33LQ1tvFqGTz28KpkVOcN1bSVHiY2g59nGwxWd1EZWzRtlZp11RF0RYvq/3646uN6bFRl0b7zetWitda+ph+oaOpZfzPQucWkTzD6Tjq3mCYqkolM847Y5tXDcfs2J/MQfHjYs6+iv8g2FKzWEiSmp9uJaSNYp20rH5nWUWqywPi5TltlWre9VqdoUDYajP1dTlwyMAXSu5yioUvmfIVvLZgCqV1O402Xk/Me49t8q8E82IWWNjB7Ew/GMR8DTGhtupzGe1cd4ely4lIoIgX8HJmR3a8Mqxk85RsMZkF4QgLEnRyMOzM+FZgyaQ1O7phzh28pmDgpDU7jTYOT80U95VtMSaasJ6aa3vljTc5GkG5wGu9ddYCnwYlLACZWcoPTeL8yqmbsgmessXZwfvfeaDC82z+7p0b9JD5L+uNUXfSzi+T+8G6sxuP4fMXjnDt7VhPY82dXg1M0oHGigLZZtoeLMtO2gTwvCkJYxUNn4O8+PbM2FaOiIFR8rphdP7x8U8+vH/SeK7/0ZPn+5X9bPjR7acyk3RRu3ln+7Mt/s5qTq0FxRHLxce+Fb9y+/ZWjk96/PZrkuTlNuTccxqPVF1/4xte+9rcXr6xn8qgV5Vc+MqWiy9eLwpaZ85tFAf1Js6+rd/nD4tOPbe65Ieoehbun7fxbEoOwZNrdPF0SSKZkZI9kN0VJwhWNJCnqYsZD0XJ1QJJiB0pGoniEZNPFNLec7EaDdX0hct5bfSwLToh/8AztmZLRKDpMHBUjUTjqu4fANVSMAI/mctBhd/VHVp9qeeu/izGu4229QMQ1GFwYQ+XplgpEXPoEo++iQMQ1UZFMZJp3xDYPXBrrUHgyDQVXuyiC0lkg4toIrnO1lYpM6yhrWsD4uSQg07otFoii9UJtNPQWiNhkYArstkDEthZMgcQCUTSsCkSR8w7l23yrwTzYhXI2MHsTD8YxHwNMaC0KRNr2q45wF4jYFIpIAT9HZmT3K8NqBk/5BoNZEJ5+AHEnB+POjE8FpszuCkRsS8HESSgQVfHmjudFPeVbTEmmrCemms35Y03ORhAuEFVxpnSAu0DEJgATK7VApJ+dyqiasQuesTtbIIoGzgJRRONEAcMXiARBCGt26AwcLc382RSIBN2jcPe0nn8LYhAWSDucpwsCBS4QCZIELBAJUlAXqQFvuFYHBCl2oUAkiUdINl1Mc6vJbnmze+S82f1YFpwQ/+AZGqlAJAlHffcQuKYCUbNHcznowAUil7yNvXhJHW/7BSKmweDCGCpPt1UgYtInGH0nBSKmiYpkImCemW0f9OLe5d8Xnvrj8pFWeb/Xo/7FNSPsf9WPbQBHbABw8axDaco0FFwPo0hOdwmJaSO4EtZWTDKto6x6IeM3GEaHmbUTd8K2cYuFpKRc0PXdWH2LTwamyo4LSVxrwVRJLSTFm0KS89rn23yrwXzZhcI2MHsTD8YxHwNMfG0KSfHeVUd4CklcCkWkgJ8jM7L7lWE1g6d8g8FcCE9TgLiTg3FnxqcCEyetkBQPlbuQxLUUTJ+UQlK8KSQ5X9RTvsWUlMp6YqpZnz/W5GwE6UJSvHfVAZ5CEpcATKzkQlK8XxlVM3bBM3Z3C0mO5Vc9005onChg+EKSIEhddfgcBM7U0RLOn00hSdA9CncPPk+vjU05bv/2th7rXnEh02dmkHp9MwgPzQmAy096wyS14R+J4hMWYDuc5QsCBS5ACZIELEAJUlAXwRFvDM0VeiPX4oIgzC7UoSTxCLmqi1lyNVcuL1iPnBesH8uCE8IgPMEj1aEk4aivIALXVIdq9mguBx24DhXZ8LQ6Vl48Vcfbfh2KaTC4roaq223VoZj0CUbfSR2KaaIimQiY11iHsj5hR2wAcO2tQ4XKNBRcTqMoT3cdimkjuJDWVlMyraMsmgHjlwzGh7FVvE/YJm6xDJWWy8HKX4bikoGZsuMyFNdaMFNSy1BqU4ZyXp5+m281mC67ENgGZm/iwTjmY4B5r00ZSu1ddYSnDMWlUEQK+DkyI7tfGVYzeMo3GEyF8CwFiDs5GHdmfCowb3ZYhuJaCmZPShlKbcpQzhf1lG8xJaOynphq0uePNTkbQboMpfauOsBThuISgImVXIZS+5VRNWMXPGN3twwVOctQKY0TBQxfhhIEISztoRN1tAD0Z1OGEnSPwt2DT9P9ZajXN9dE1QpRcWYbgCPRASCswHY4zRcEClyIEiQJWIgSpKCuggPeSNTgMEpcqwuCLLtQh5LEIySrLqbJ1WQ5LasWzmvpj2XBCVEQnuGR6lCScNQ3EIFrqkM1ezSXg66uWFpHUCOSA16xZG9P03rZd+2qSsZ13lCFqcye3J5nGwyutKF697fL942euvx+VZgqrt58U6uMh+ZiTnMNaKFoTaXJVJ8eFHd/flh89Pnq3nr950+evu3e/LG82v4N/bnXys/9UP8T+p+xDcgN9oAk2IB0UqtimqhIJjLNO2KbBy6/ESTqZ5HNwhfZFoJLaRTN6S5BMW0EF9HaqkmmdZQFM2D8XPvlmdZtsfqUHejfxvq3eGB+G5aLwiN/MYoLCmZHRjEq9lWjuOaC6ZFajRptqlHOq9Rv860Gc2QXMtvA7E08GMd8DDCztalGjfauOsJTjeJSKCIF/ByZkd2vDKsZPOUbDKZDeK4CxKHcxKHcxKHcxKEcjEMzPiSYUWnFKU8MusM3FUyslOrUaFOdcr64p3yLKcmW9QRVU0F/7MnZCNLVqdHeVQd4qlNcAjDTkqtTo/3KqJqxC56xxtqzcXz/LBmd9bNRFvWToRr3z1I9DR+NzpJkfHau7o3WPM55tmflgT3XdlanfBc4WzhRQNuM3MNFmZXbQJ4XBSEs+KGz9feempo/KubYn+s5tqly/MDM3fXU/FFv+Wj58dOT9Uf6aw+fqg1dmbs/6C3f1X/Un33P1K/0D/+8t6pBxYPB5fdS89tw2NsUsV54QX9Of+3UNp43RMdT4ePZeiYtiEFYDsVn3Jc/vHzDhvKiKIpIOSixcdwU5QhYDBKkoC5FA75wTfMFKYKVgeJx6i4ESQIS8kIXM9RqnpqVZYPMM1eVBCdEPnhyhXt1JgtHffsQuKZCULNHcznoQreej+/FF8O7w346SIb9JMku+uM4G/fHd1U8utA//zxZv89hdat1/Vnr1jF1MDDA8LpVEIQQn1Dd+o7pWXq6SPREi9LPTWOOEZXLPxRq9LtFGcqUi0wpyijU4juK7U+mJeqflu/0l+8tf7/86fI3y1/q33+3/L1tdG6Ijo7CR6e1ChXEIMRiXIXqOcaHNpQXRVFEVOjQHkJuipIE1KGCFNRMCHjDpUMFKYLp0GF6OE5tfLdk+QhhvlMZOi5Fi/MW+WNZcELoY8tQp1NnsmzUdw9ha1KhzQ7N5aALFRopdRGdXyj9xXP9vecq6mfJPa1dx3GiBfDwbjZeh9awKtTRqxQPqIOBAQZXoZIghPCEqtB/fKof6UFv+T+1JP24WCbVirS3fO8ojv/GyNFh3DPfaFZJCz1qXVi7IQqvcPi2IlMSgxBpuxCZkigiInNwaN/mdFMUJZzKlKSgZjrEHTaKiShFMJWZjA6TxMZ3S5aPEMa7VJlxeal47LkmXhScEPvYKtPp1JksG/XdQ9gaVCbg0FwOerXWeX734ux+PO6rJLnbT0bZ/f5ZOlD9ZHie3Ruen92L1VbWOq1PgFaZQ+pgYIDhVaYgCCE8oSrzF5evmTL6ajvoqqP+TbO+WexMfK3YmVkc+bRa2/zV8qfFmuY/LX+tf/1mvW10+Yflb5bvLH+rf/+9+Z7/R//hvd7tmRr2lj+1jdIN0VFS+Ci1lqOCGISQ3IkcFUQRkqOmWfNZlJuiKAHlqCAFNSUi7rBRTEQpgsnRLDvMrHy3ZPkI8b5TOTos1YvnFnZRcELsY8tRp1NnsmzUdw9ha5KjzQ7N5aADnwXqEpiRBy8dpnW8rW+55BpcDxp/NlsuuQOSYAPSxZZLromKZCLTvCO2eeAeE4IMdW255FoIbhDB1aVnyyXXxrp0lNlyybWOsgsEGD+XHGRat70tl3FsNlom5jdlfivP4Ysj75ZLNiiYHTvecsk2F0yPxC2XcVRtuYyd1+je5lsN5sguRLWB2Zt4MI75GGBma7HlUtt+1RHuLZdsCkWkgJ8jM7L7lWE1g6d8g8F0CM9MgDiUmziUmziUmziUg3FoxocEM2qHWy7ZpoKJlbDlsoo/dzwv7infYkqyZT1B1czPH3tyNoLwlssq7pQOcG+5ZBOAmZa65VI/O5VRNWMXPGN3t5yTuLZcxjGNEwUMX84RBCEs76Gz9W2VcwRHSeGj1Hp+LIhBWNIkzKPd5RxBlNDlHEGUgOUcQQrqkjLiDhvFRJRiJ8o5knyEeN/FzLOaf8bl6r/nLnRRcELsgydNsFNnsmzUdw9hayrnNDs0l4Pe4R72xLWTMk6og4EBhpejgiCE8ITK0Y572AXhFQ7fWmUKYhAibScqUxBFSGU6e9gFUQKqTEEKaqZD3GGjmIhSBFOZvh52ST5CGO9UZZb3zcaeG4RFwQmxj60yfT3skmzUdw9ha1KZzQ7N5aB3+LyOxLlTUlEHAwMMrzIFQQjhCVWZgc/rkBwdhY9OaxkqiEEIxZ3IUEEUERnqPK9DkiSgChWkoGZCwBsuFSpIEUyFes7rEOUjhPlOVagqRYvnwl1RcELoY6tQz3kdomzUdw9ha1KhzQ7N5aBXa53n9+I41d92fve+6idnyVn/7Cwa9O8O0uj+KM4GF3fPXtqCCk1sg6FVaEodDAwwvAoVBCGEJ1SFvquF5UdXeuM/pZ9vrAXrl5Y/13/p0+L2zA/Nn4sl0l5+Mx2o1BxlrP+0uSqyWD5Vm8OPzdnHtuG8ITqcCh/O1rJVEIMQu3HZ6j7sWBJFRLZaI85NUY6AolWQgpo4AV+4RKsgRTDRGqv0cGjtLLslC0hIC52q1vKOxNhz66UoOCHysVWr26szWTjq24fANcnWZo/mctCBd1wqG54Wor7rRdLhqI63/R2XTIPrUePPZ8clc0ASbEA62XHJNFGRTGSad8Q2rx6PBXdcMi0E94fg4tK345JpI7gxpK1wZFpH2QQCjJ9LEDKt2+KOS3PJZWwuuUzMJZdJeblc7L/kkg0KZseud1xyzQXTI3XH5eaSy9hzySXbajBHdqGqDczexINxzMcAM1ubHZebSy7jhksu2RSKSAE/R2Zk9yvDagZP+QaD6RCemgBxKDdxKDdxKDdxKAfj0IwPCWbULndcck0FEytlx+Xmkkv3i3vKt5iSbFlPUDXz88eenI0gveNyc8mlP+7M+QRgpiXvuDSXXNpjzoJnbCEeByobnp8N+mf3Y3OxUDLojwfjrH//7J7K7g7H6nywhbKPcu64zGicKGD4so8gCGF9D52tC1xy6SwCXakB9a4WgZ6+AdNTBBIcXIUPbutptSAGYSkUn357ikCCKEGLQIIcAYtAghTUZWjAF645vyBFsCLQcDgYHCZWwluyhIQs0cV8tZq1lhckxp4rL0XBCaEPnmoR3DqTpaO+fwhdUxmo2aW5HPQO99Ar507NMXUwMMDwMlYQhBCgUBkbuodecHQUPjqtdaggBiEY4zrU00MviCKiQ9099IIkAZWoIAU1EwLecClRQYpwStTTQy/JRwjznerQ8orE2HPnpSg4IfTxdainh16SjfruIWxNKrTZobkc9A6fF6JcOznX8xPCYGCAwVWoJAghPKEqtNvzQiThFQ7fVmRKYhAibRciUxJFRGS6zwuRRAmnMiUpqJkOcYeNYiJKEUxles4LEeUjhPEuVWZSXpGYeO68FAUnxD62yvScFyLKRn33ELYGlQk4NJeD3uFDkpVrp2YypA4GBhheZQqCEMITqjK3dEiy5CgpfJRay1FBDEJI7kSOCqIIyVHXIcmSKAHlqCAFNSUi7rBRTEQpgslRzyHJonyEeN+pHC2vSEw8d16KghNiH1uOeg5JFmWjvnsIW5McbXZoLgcdeAemdSFbC8zIi5fV8ba+A5NrcD1o/NnswOQOSIINSBc7MLkmKpKJgHnmPT/oxb3LvzddtMs/Lh8d9rRuf7T84lpPO+t3ff2iHPSW75r2hdKflz8+tFEdsanAnSoE9erauMm1ENxmgotSz8ZNro11xSmzcZNrHWUvCTB+cZzZ61ATtoXb27yZmOsyE3NdZmKuy0zKa+oS/3WZbFAwsXa8eZNtLphZiZs3k811mYnnuky21WB67UKPG5i9iQfjmI8BJsUWmzeTzXWZScN1mWwKRaSAnyMzsvuVYTWDp3yDwZQIT2qAOJSbOJSbOJSbOJSDcWjGhwSzKm3zZpykyrl5k20qmFwJmzeTzXWZ7hf3lG8xJeGynqBq0uiPPTkbQXjzZrK5LtMfd+Z8AjDTUjdvJua6THvMWfCM3d1KUOravJnENE4UMHwlSBCEsDKITvS3VQkSHCWFjxI+tbZhHIliEFZDCXNpdyVIECV0JUgQJWAlSJCCuhoNuEMNDkeJ1SETUZSdKAdJ8hGCfhfTz2oSWl6xmHjuzBQFJwRAeOYEO3Umy0Z9ARG2pnJQs0NzOegd7oFPXTsx131rhMHAAMNrUkEQQnhCNWnHPfCC8AqHby01BTEIkbYTqSmIIiQ1nT3wgigBpaYgBTXTAe7IkkM1sjpkIooSTGr6GuEl+QixvFOpWd6zmHguzhQFJwRAttT0NcJLslFfQIStSWo2OzSXg97hQz9S53ZLRR0MDDC81BQEIYQnVGoGPvRDcnQUPjqttaggBiEUd6JFBVFEtKjz0A9JkoBSVJCCmgkBbyQD5ThEYSKKEkyKDtPDofWBuyXLR4j1nUrR8rLFxHN7pig4If6xpejQfQ2RKBv1BUTYmqRos0NzOehCip6N4/tnyeisn40yc1adGvfPUjXqj0ZnSTI+O1f3RmvpGVaKJrbB0FI0pQ4GBhheigqCEMITKkUFjlFedXr3zI/WwvbN5ee9VcH+6ZOSe+ao5NWnX3hBfy42hytbxvOG6HgqfDxx8VpvdC+a4K2bFXpfuXj17OtnveOzV8/+7u9e7i1/Xcj9B8v3l08OzCrza5dvHOrxiVScrA6ffunm6UFPzwpMm8QbTx1EbT4sPrd8bP6ov8f8mI/1P6i/wQz8nh7jYsz1l0zTxePLHxVnXD/ojc1nXc34gmNPyDi44nYf9yyJIqK4rXHypihHQL0tSEFN94AvhrGK7ROgiShKML0dj1NHv+stWUBCRutUcJfXRCaeiz9FwQnhjy243V6dycJRX0EErklxN3s0l4MOvO3UeuWK1tD+K1fGdbztbztlGlyPGn8+206ZA5JgA9LJtlOmiYpkImAesO00NttO9Wh/dMWfT5afuvQuk60ezAU3nzItBLfJ4PLUt/mUaSO4P6at9GRaR9kLg4zfeHDoWsFlWrjFzafm5tDE3ByqzM2hqryxL/HfHMoGBdNr15tPueaC+ZW6+XRzc2jiuTmUbTWYZLuQ5QZmb+LBOOZjgKmxzebTzc2hScPNoWwKRaSAnyMzsvuVYTWDp3yDwZQIz22AOJSbOJSbOJSbOJSDcWjGhwSzapebT7mmgsmVsvl0c3Oo+8U95VtMSbisJ6iaOvpjT85GkN58urk51B935nwCMNOSN5+am0PtMWfBM7YQkND1TIbHOVH3rFSwJ+vOzacZjRMFDF/yEgQhLBCi032BkpfgzaGSg6vwwcXn5fYZt7sKpoePXAf7PyJGGUwP9d4wUYwymKALCOvA+PKBpwwmiBK0DCbIEbAMJkhBXYMHfDFKI3v7xkSUJFgVzHvzqSghIct1Md+uZt3lNZmJ5+ZTUXBC+IOnigS3zmTpqO8gQtdUB2t2aS4HvcObIEbO/bZj6mBggOFluCAIIUChMjz0JgjB0VH46OA62oZxJIpBCMa4FvVsghBEEdGi7k0QgiQB1aggBTUTAt6Iouxw5GrKEkQJJ0c9myAk+QixvlMxWt6WmXiuPxUFJ8Q/vhj1bIKQZKO+gAhbkxRtdmguB73DR7+MXPtx1YA6GBhgcCkqCUIIT6gU7fboF0l4hcO3VZqSGIRI24XSlEQRUZruo18kUcJJTUkKaqYD3JGMDlOrPyaiJMGUpufkF1E+QijvUmmq8sZM5bkCVRScEP/YStNz8osoG/X9Q9galCbg0FwOeocPvh65ttuqIXUwMMDwSlMQhBCeUKW5pYOvJUdJ4aPUWpIKYhBCcieSVBBFSJK6Dr6WRAkoSQUpqCkRcEeUHaqxjWQiShJMknrOvRblI8T8TiVpeWum8lyDKgpOiH9sSeo591qUjfr+IWxNkrTZobkcdOD9qJkNT4vMyIcXDep4W9+PyjW4HjT+bPajcgckwQaki/2oXBMVyUTAvMb9qOMDrc+XnxU9DW9oLxZLyVddq/+KjfKITQluwyEoWtfOVK6F4B4aXKh6dqZybayrUJmdqVzrKBtlkPGLxq4uT66F29uZqsy1qMpci6rMtaiqvI5Q+a9FZYOCibbjnalsc8FMS9yZqjbXoirPtahsq8F024U+NzB7Ew/GMR8DTJItdqaqzbWoquFaVDaFIlLAz5EZ2f3KsJrBU77BYEqEJzlAHMpNHMpNHMpNHMrBODTjQ4JZtcOdqWxTweRK2JmqNteiul/cU77FlITLeoKqSaQ/9uRsBOGdqWpzLao/7sz5BGCmpe5MVeZaVHvMWfCM3d3qkGMerCfuMY0TBQxfHRIEIawUohP/bVWHBEdJ4aOET7VtGEeiGITVUcJc2l0dEkQJXR0SRAlYHRKkoK5OA+4Y6im8NbZPREl2ojokyUeI+V3MPqs5aHmJpvLciioKToh/8MQJdupMlo36/iFsTdWhZofmctA73BqfuXZpqoQ6GBhgeEkqCEIIT6gk7bg1XhBe4fCtlaYgBiHSdqI0BVGElKazNV4QJaDSFKSgZjrAHXF0GFv9MRElCaY0fa3xknyEUN6p0izv0FSeS1FFwQnxj600fa3xkmzU9w9ha1KazQ7N5aB3+DyQzLkJU1EHAwMMrzQFQQjhCVWagc8DkRwdhY9OaykqiEEIxZ1IUUEUESnqPA9EkiSgEhWkoGZCxBtKOTpRJ6IowaSo5zwQUT5CrO9UipZ3aCrPpaii4IT4x5ainvNARNmoLyDC1iRFmx2ay0Hv8AnRmXOXZkodDAwwvBQVBCGEJ1SK/mmdEC05uAofXFzJaln+6+U/a63+++U/6I9/v/xdr9Dsf9AC/h+0bv+nvh6GR8uPzPhf/vjybdINqk+K/olH5r/aS/lNNRyqaHCqI04xjOMD1Vu+r3/yH/WvDyyHRh/aBvlIdJAJeQbX2e4zoCVRRHS2NTreFOUIqLIFKahJHvCFGo5c91ZJkoQT2b4zoEUJCXmsU5ldXpypPFehioITwh9fZvvOgBalo76DCF2T0G52aS4Hrf/310+TGwH9VZ+i7ngzqnVXvNbSvltllBrWeUNtRh07N6MyDa7HkZabUf9QbFA0662fmI/MbtH1Eq0RWpdvmq7UZ8Rww2bUR+v9qzbwG2zwBAPvZNMp00RFMpFp3hHbvHokbr9b9AvzKBz27FOXF9mGgttbcInp2zTKtBHc19JWPjKto+xhAcbPOnYTtnVb3DBqrjJV5irT1FxlmpZXCCr/VaZsUDAZ0jeMJqPYvV+Uay2YDKn7RTc3mSrPTaZsq8GM2IWqNjB7Ew/GMR8DzG9t9otubjJVDTeZsikUkQJ+jszI7leG1Qye8g0GkyI8NQHCUG7CUG7CUG7CUA6GoRkfEkyotP2i7hB0h28pmFYp20U3F5m639tTvsWUVMt6gKp5nz/05GwE6e2im4tM/WFnzicA8yx5u6i5yNQechY8Y4215xej9Hx0f9C/l0XDfhIN4/7Z4Fz17yX3xueDLBtm99c8zkm1Z5mBPbF2bhfNaJwooG367eGiTMFtIM+LghCW99Cp+bv1RikzBS+aqDZ7QTtumhIcIIUPUOv5sSAGYTWTMI92N00JoogUcwaH1mh5U5QkYDlHkIK6lIx4w0YxEaUIV8pJD8fWUtUtWT5CpO9iyllNPMubH5XnMk9RcELog2dLsFNnsmzUdw9hayrjNDs0l4MuhGgyiO6d3T+/6A9TFfUTNbjXP79I7vXTYTZILu7H9+LxVoSotQ1SC9ExdTAwwPBCVBCEEJ5IQrQsB1E7o7TifGBqS6bbZ61bNx05yyf9p653L76Y30yHg3gwOF39cYj1SAkOqMIHtLVwFcQgRG9cuHq6kARRRITr8DBLbCg3RVECKldBCmr2BNzhUq6CFMGUqzbicKxsgLdkAQm5oVPpWt4UqTxXf4qCE4IfW7q6vTqThaO+fQhck3Zt9mguB73DB5yMXdtO0wF1MDDA4NpVEoQQn1Dt2u0BJ5LwCodvqzMlMQihFteZ7gVSSRQRnTk4HDh0piRKOJ0pSUHNdIg7bBQTUYpwOtN9uIkoHyGMdykz0/KayNRz76coOCH28WWm+3ATUTbqu4ewNahMwKG5HHShMtP72SC9f2/Qvx8N7veTu+m4n90bj/t3Ly6SQRrfPxsk6ywRVmVanwCtMofUwcAAw6tMQRBCeEJVZhcnO9+e9T2HOEsOiMIHpLXyFMQgRN9OlKcgipTydJ3iLMkSUHoKUlDTH+IPG8VElCKY9PSc4CzKR4jtnUrP8jrI1HO/pyg4IfixpafnBGdRNuq7h7A1Sc9mh+Zy0GHv94ytPtViMvLgpdEzeFvfUsk1uB40/uS2VHLBEwy8iy2VXBMVyUSmeUds88DdIwS92bClkmsouAMEV5OeLZVcG+tKUWZLJdc6yj4PYPxc6o9p3fa2VKbmDs7U3MGZmjs40/Luu9R/BycbFEyG3W6pZFsLJkPilsp0cwVn6rmCk201mBG7kNAGZm/iwTjmY4D5rcWWynRzBWfacAUnm0IRKeDnyIzsfmVYzeAp32AwKcLzECAM5SYM5SYM5SYM5WAYmvEhwYTa3ZZKtqVgWiVsqUw3N3C639tTvsWUVMt6gKppnj/05GwE4S2V6eYGTn/YmfMJwDxL3VKZmhs47SFnwTN2Z+s08cC1pTKNaZwoYPg6jSAIYS0PnZoHqNMIDojCB6T1fFgQg7BUSZg3u+s0gijB6zSCLAHrNIIU1LVixB82iokoxU7UaST5CLG9i0lmNdUsL2ZMPTdtioITgh88P4KdOpNlo757CFtTnabZobkc9O42omvpaZXYWnom1MHAAMNLT0EQQnhCpWfHjeiC8AqHby0zBTEIkbYTmSmIIiUzExvKTVGUgCpTkIKa6RB32CgmohTBVKavEV2SjxDGO1WZ5aWMqeeWTVFwQuxjq0xfI7okG/XdQ9iaVGazQ3M56N09qkOrzNg2GFplKupgYIDhVaYgCCE8oSpz94/qkBxQhQ9oa+UqiEGI3rhydR/VIYkiolzdR3VIogRUroIU1OwJuMOlXAUpwilXz1EdooCE3NCpdC0vcUw9t3KKghOCH1+6eo7qEIWjvn0IXJN2bfZoLge9u+cda+1qTSJau6bUwcAAw2tXQRBCfCJp16DnHUsOkMIHqLUWFcQghGNci3pWUQVRRLSo87xjSZKAUlSQgpoMEW/YKCaiFMGkqOe8Y1E+QqTvVImWtxymnosrRcEJoY+tRD3nHYuyUd89hK1JiDY7NJeDDryl0tX3OfLiRXW87W+pZBpcDxp/elsqmeAJBt7JlkqmiYpkImCe2SJ90It7l39vlpGXf1w+Ouxp+f1o+cU1rceHveeW7+kvmNve3+r1e8ufaYX/2vKjy59cvmbc9WDtpI/0Rz+0hoUjNmo9hMtvz2QaCu4mwXWpb3sm00ZwH0lbxcm0jrJnBBg/l5JkWrfF7ZnmxsvU3Hg5GpRbovyXXbIZwZza8c5MrrVgTqXuzNxcdpl6LrtkWw0m1i6UuIHZm3gwjvkYYJpsszNzc9ll2nDZJZtCESng58iM7H5lWM3gKd9gMB/C0xkgAuUmAuUmAuVgBJrx+cA02uGmTK6lYDKlbMrc3HPpfmVP+RZTEizr2akmiv6ok7MRpDdlbu659EecOZ8ATLHkTZnmnkt7tFnwjN3dus/QuSkzo3GigOHrPoIghNVAdHK/hbqP4AApfIDwGbYN40gUg7D4SZg9u+s+giiB6z6CJAHrPoIU1LVnxBs2iokoxU7UfST5CJG+i9lmNecsr0VMPfdcioITQh88UYKdOpNlo757CFtT3afZobkc9A43zw+dWzTH1MHAAMMLUUEQQngiCdHdbp4XHFCFD2hr4SqIQYjeuHD1NM8LoogIV0/zvCBKQOUqSEHNnoA7XMpVkCKYcvU2z0sCEnJDp9K1vBUx9dxzKQpOCH5s6eptnpeEo759CFyTdm32aC4HvcMn2w1dGz9HA+pgYIDBtaskCCE+odpV/mQ7yQFR+IC01Z6SGITwi2tP96KpJIqI9vScbCfJEk58SlJQ0x/iDxvFRJQimPj0nGwnykeI7V1qz1F5V+LIc/mlKDgh+LG1p+dkO1E26ruHsDVIT8ChuRx04HZ5x0LoaOjFi+t4W2+X5xoMdvWhYjB8uzwXPMHAu2iX55qoSCYC5vnb5Zfv9K0P1xEbAGz6IyjShiZ4rqFg9x6uNz1N8Fwbwb69tjqSaR2lRw8Zv0F8qBKbiRO2idvrhB9Fpgne3FY0StZ9qKOhtxOezQimy2474dnWgumS2Ak/Glad8CPnJYq3+VaDObMLkW1g9iYejGM+BpgBW3TCa9uvOsLdCc+mUEQK+DkyI7tfGVYzeMo3GEyK8EwFiEC5iUC5iUA5GIFmfD4wl9I64UeD8aFydMKzLQUzKqETvoo8dzyv7CnfYkqWZT071RzQH3VyNoJwJ3wVcUoHuDvh2QRgiqV2wutnpzKqZuyCZ+zuFnEiVyf8KKJxooDhiziCIISFPnTeHqCIIzggCh8QfLJswzgSxSCsYxKmzO4ijiBK8CKOIEvAIo4gBXUhGfDH8FApazF+IkqyE4UcST5CfO9ijlnNNKNy3d9zI64oOCEAwtMj2KkzWTbq+4ewNRVymh2ay0Hv8BVFkav/fRRTBwMDDC8/BUEI4QmVn91eUSQJr3D41lJTEIMQaTuRmoIoUlIzsaHcFEUJqDQFKaiZDnBHcjhMrCF7IkoSTGl6rikS5SOE8k6VZnl34shzGaYoOCH+sZWm55oiUTbq+4ewNSnNZofmctA7vNMycnarJ9TBwADDK01BEEJ4QpXm7u+0lBxQhQ8orl4bxvRJfRB/Uf7R9B490ONs/vDg8u3e8l3TOWZOWzkwOv+1yzcOezfng8F4+euDnhb8xUC7Rlx/h/mxH+t/UX+mp4d5T4/3c//+yz0z1PqrZmn78eWPjKXaiuFg9Wn9+4PVqrf5IYc2lxyJuoSQiXAl7t41KokiosTdu0YlUQIqcUEKqhJA3DEeHKqh1SMTUZZwWtyzd1QUkJDtOhXj5RWTI8+doaLghBDIF+OevaOicNR3EIFrUuPNHs3loAM38Lv0tfLiJXW87TfwMw2uR40/vQZ+JniCgXfSwM80UZFMBMxrbOC3JuYjNgDYq4gL08YGfqahYNMhRXa6G/iZNoLthm31JNM6SmshMH7xaHyYWWPzhG3iFhv4U9O7PzK/mUPtR+Oyh1b5u/i5oGDO7LiLn2stmDOpXfxq08XvvEDyNt9qMHF2IbUNzN7Eg3HMxwDTYJsufrV31RGeLn4uhSJSwM+RGdn9yrCawVO+wWBmhOcrQBjKTRjKTRjKTRjKwTA040OCWbXDVn6upWBupbTyq00rv/O9PeVbTMm3rAeomg36Q0/ORpBu5Vd7Vx3gaeXnEoB5ltzKr/Yro2rGLnjGGmuxc0cNj3Pu7Vl8YM+/na38KY0TBQxf4RIEIaz5oTP48IfaSw6QwgcIn0bbMI5EMQhLnITJtLvfShBFpMrjPNRekiRgkUeQgrrADHgjStWh/idsLBNRlmBFnmF6OLQ2lN2S5SPE+y4mntX0s7wBd+S50lgUnBAA4TmTzanWh3Ymy0Z9AxG2phJPs0NzOegdbriKna39I+pgYIDh5aggCCE8keTobjdcCQ6owgcUl6/EhquvXLx69vWz3vHZq2d/93cv95a/LkT/g+X7yyebPqsXXkjjLI4Gp2bg0ufnVxuuykHeDL6j5WqsinYrVx+V4EgTEgyusD19VIIoIgrb00cliBJQYgtSUBM84I50nGmJbZ30TERZgklsbx+VJCAhiXWqsUelJPNcWywKTgiBbI3t7aOShKO+gwhck8hu9mguB73D+2dj566GjDoYGGB4kS0IQohPqMjueP+sILzC4XFBbMM4EsUghFpcbXrWcwVRRNSmZ/+sIEpAtSlIQc10gDuG6nA4dnVjCaKEE5ueDbSSfIRY3qnWLG+2HHmuKhUFJwRAvtb0bKCVZKO+gAhbk9RsdmguB73DJwXGh9YnQEvNMXUwMMDwUlMQhBCeUKkZ4KRAwQFR+IC0lp+CGITo24n8FESRkp/OkwIFWQLqT0EKavoD/KEO07FrrVOQJJj89J0UKMlHiO+dys/ycsqR57pRUXBCAGTLT99JgZJs1PcPYWuSn80OzeWgA+8YdQjKzH+jlarjbX3HKNfgetD4k9sxygVPMPAudoxyTVQkEwHz/DtGh73nlu/pLzw0er3X7y1/tnyi/fLR5U8uXzPuerB20kf6ox9aw8IRG7UewsX3lnINrStUyb2lXBvrylNmbynXOspeF2D81usgz0hJrnnb21eaDQ/0b+Z2qMzcDpWVd7NkA+++UjYomFm73VfKthbMrMR9pdmg2leaOS+4vM23GkyvXehxA7M38WAc8zHAZNliX6m2/aoj3PtK2RSKSAE/R2Zk9yvDagZP+QaDWRGe1ABhKDdhKDdhKDdhKAfD0IwPCWbU7vaVsi0F8yphX2kVfu543ttTvsWUXMt6gMo5Y0PoydkIwvtKq7BTOsC9r5RNAOZZ6r5S/exURtWMXfCM3d3CT+LaV7relwRzooDBCz+SIISFQXSeL1/4kRwQhQ8IPrm2YRyJYhDWPQkTZ2fhRxIldOFHkiVc4UeSgrrwDPhDh3JH3UcSZBfqPqJ8hPDexTyzmm0O12WCzHMfsSg4If7BUyTYqTNZNurrh7A11H0Ah+Zy0Dvc4Z64tpFmEXUwMMDw6lMQhBCeUPXZbYe7JLzC4VsrTUEMQqTtRGkKokgpzcSGclMUJaDQFKSgZjrAHbHjPI+JKEgwoenpbxflI0TyToVmeXNl5rmKVBScEP7YQtPT3y7KRn39ELYmodns0FwOeofPK0lcWynXhycTBgMDDC80BUEI4QkVmrt/XonkgCp8QHHxevUAkqdOFlm+rwfqj/rXB6vjRK5exlQ7XiTSwxJtDiyZvXg0sK8tHYmOECEx4LrYfc6IJIqILnafMyKJElAXC1JQEzPijiQ+VC5lLIgSThl7jhkRBSTknk6lcXnVZua5O1UUnBAB+dLYc8yIKBz1FUTgmrRxs0dzOegdPlo6ce39XGcYwmBggOG1sSAIIT6RtHHQo6UlB0jhA4RrXRvGkSgGIRzjgtSzUCuIIiJInUdLS5IE1KOCFNRkCHhDJYepDWQiChJMjXrOlRblIwT7TsVoedNk5rk7VBScEP3YYtRzrrQoG/X1Q9iatGizQ3M5aP2/vy402Pp1NRrzqz7R2fHOUGXj1XJTeXiVeuaq1EA7Q6OBc2co0+B6FJHZGfpk+alZAy3K+W+vPvHYrJ0WOz57ZtH146eK/cXO0Eem17T6W1pwfmaWWn++fHctO8m7Sz/SpgwOouVnkfkBruW3G+yRTLCR7GSrKdNERTKRad4R2zxwIwxB0n5mTcwvsi0Ed7HgStW3L5RpI7h/pa0GZVpH2asCjJ917CZs67a4LdRcN5qZ60Yzc91oVt7zl/mvG2WDgmmVvi10mCrl3hfKNRfMq9R9oZv7RjPPfaNsq8Hk2oU8NzB7Ew/GMR8DzGxt9oVu7hvNGu4bZVMoIgX8HJmR3a8Mqxk85RsMpkN4jgPEodzEodzEodzEoRyMQzM+JJhRaftCPTHoDt9UMLFSNoZuLhx1v7infIspyZb1BFVzSH/sydkI0htDNxeO+uPOnE8AZlryxlBz4ag95ix4xhbWjs/Ox4NB3FfnSdxPxmejfnZ+Zlqs0jTKBiq5N7pY8Tgn6J4lC/Yk3bkxNKVxooC2qbyHizKdt4E8LwpCWChEp/nvrEpAmxl2VR4SqgkJDo/Ch6f1xFgQg7AqSphAu2tCgigiNSFXRUiQI2BFSJCCuiQN+MI1axekCFkOGlvLXbdk+QhRvov5ZjXrLG+lzDzXjIqCEwIfPFWCnTqTZaO+ewhbUzmo2aG5HPR/Xc207o7O7mX3+8Pzs1R/73jcz+JU9e9F0XCkf9Dw7P76aQ8rQq2LyVqEjqiDgQGGF6GCIITwhIvQZ1v0H6zKS2XZ50FPf5epNZkGfyNAn1ha9Hv93rNN+uNhpB/Xk9Uf48Fgz/zKPB36gmOn8LFrrVAFMQiBmqBQnSUeQRIRgTo8HLg0qiBKQI0qSEHNk4A7XBpVkCKYRs0SncyUDfCWLCAhC3QqUstbHTPPPZ2i4ITYxxapbq/OZOGobx8C16RSmz2ay0EXKvVuNI71p8/798bx3X6SREk/iwaD/sXwfDw+Hw3T0cVWVGpsGwytUjPqYGCA4VWqIAghPqEqFTzFZJCsRaj++vvFV0371NPbR22jcUN0NBQ+Gq11pyAGIfYSdKd7ZVQQRUR4DhxZ46YoSkDhKUhBTX2IO2wUE1GKYMIz0c+adZJzS5aPENc71Z3lFY+Z585OUXBC7GPrTqdTZ7Js1HcPYWuSnc0OzeWgd/joZuXctzmmDgYGGF52CoIQwhMqOwMc3Sw4IAofkNbKUxCDEH07UZ6CKELK03lysyBKQOUpSEHNfog7bBQTUYpgytN3bLMkHyG0d6o8y9sdM891naLghNjHVp6+Y5sl2ajvHsLWpDybHZrLQQe+rtPaanF9OPZfd5LW8ba+KZNrcD1o/GVTJnckE2wku9iUyTVRkUwEzPPe//nO8nd96+t1xAaoR3q5bZtcC+viVXLbJtdGcHdJS0XKtY6ykwQYv3g0OBzbLJywLdze1s2xudFzbG70HJsbPcflVXpj/42ebFAw+Xa8dZNtLph9iVs3x5srPceeKz3ZVoMpuAvNbmD2Jh6MYz4GmP9abN0cb670HDdc6cmmUEQK+DkyI7tfGVYzeMo3GEyJ8MQHiEO5iUO5iUO5iUM5GIdmfEgwq9K2bkZJFjnv9GSbCiZXwtbN8eZOT/eLe8q3mJJwWU9QObFsiD05G0F46+Z4c6enP+7M+QRgpqVu3RybOz3tMWfBM3Z3C0Opa+vmeEjjRAGDF4YkQQirh+higHxhSHJAFD4g+ITZhnEkikFYHCVMm52FIUmUwIUhSZRwhSFJCuriNOAOPS1M7SflTURRdqE6JMpHiO9dzDSr+WZ5B+TYc6mnKDghAMKTJNipM1k26guIsDVUhwCH5nLQO9wOn7o2bY4j6mBggOHlpyAIITyh8lO4HV5yNBQ+Gq21pyAGIfR2oj0FUYS0p6sdXhIloPYUpKCmPsAd4+hwZHfIRBQlmPb09MSL8hGCe6fas7wWcuy551MUnBAA2drT0xMvykZ9ARG2Ju3Z7NBcDnqHDwxJXVsxxzF1MDDA8NpTEIQQnlDtuVMHhkiOncLHDleqTw3flb6u3tW7PssBXA/f5vbOaoieug30qWHcDLDlItD1eJrbQj/TXzJr148vf2QubdUey1afvXqT6KFt1I9ER52QVwjC2tkLJUgioqvd55tIogTU1YIU1LQOuCMep4dZas1QE1GWYMK6OA/D2ut4SxaQkLo6VdblpZJjzzWhouCECMhW1r5TTkThqO8gAtckrZs9mstB7/CB0Klru+k4oQ4GBhheWguCEOITLq3DHggtOTwKHx5cPdswjkQxCMGYIEfd67yCKCJ61CVGBTkCilFBCmoiBHwRqbFjtWQiihJMi3ouCRXlI4T6TqVoeafk2HNJqCg4IfqxpajnklBRNuoLiLA1KdFmh+Zy0OaS0IOVAAt5N6g1Q2iNqTyYSiV1zHDbUK0R5nm2wfXg8ee7DfXJ5RvYNlTmSCbYSHayDZVpoiKZyDTviG0euKOGoGSdC6tMC8HtMLhA9W0yZdoI7oNpKz6Z1lH2vADjZx27Cdu6LW4wNXeDjs3doGNzN+i4vJNv7L8blA0KplX6BtNolHk2mHLNBfMqdYPp5m7QseduULbVYHLtQpUbmL2JB+OYjwFmtjYbTDd3g44b7gZlUygiBfwcmZHdrwyrGTzlGwymQ3hqA8Sh3MSh3MSh3MShHIxDMz4kmFGJG0zdMegO31QwsVI2mG7uBnW/uKd8iynJlvUEVVNHf+zJ2QjSG0w3d4P6486cTwBmWvIGU3M3qD3mLHjGGmvPx/fUWRJn/ehsOO4naXa/f67MZD1Nsnv3hvfuRWr9Gjgn6J6VCvYk3bnBNKVxooC2qbyHizKdt4E8LwpCWB9Ep/nv1itAZipeVIfWrVQC1SDBEVL4CLWeGwtiENZDCXNodzVIEEWkGjS0L57dFCUJWA8SpKAuRwPecE3dBSlCloJcF4SK8hFCfReTzmrqWd4nOfZcECoKTgh98HwJdupMlo367iFsTaWgZofmctCFEo2j6P69LEn6aTpS/WSkxv2ze6NhXw30957dTwejOHlpC0rUmkK0Eh1RBwMDDK9EBUEI4QlVorZ+/0dGYD7dvX5UwPT+aro47d2Y3p6erlXqX93ojePVh+lgsGd+DQeedn7BoVH40LSWoIIYhDhMkKDOMo4gSWAFKkgSUIEKUlCzIOANlwIVpAimQKNBNHTe/ylKSAjynWrQ8rbIsef+T1FwQuxroUGz5DB2nXgiSUd9/xC6JhXa7NJcDnqHTzwZOXedZtTBwADDq1BBEEKAQlWo9IkngqOh8NFoLTwFMQjBlyA83WufgigiytNz4okgSkDpKUhBTX2IO2wUE1GKYNLTd9iJJB8hrncqPMv7IseeC0BFwQmxjy08fYedSLJR3z2ErUl2Njs0l4Pe4XOeR84dmWPqYGCA4WWnIAghPKGyM8A5z4IDovABaa08BTEI0bcT5SmIIqQ8nec8C6IEVJ6CFNTsh7jDRjERpQimPH1HPEvyEUJ7p8qzvC9y7LkAVBScEPvYytN3xLMkG/XdQ9ialGezQ3M56MAXgGY2vOvRwH83yqiOt+2dl2yD60HjX/zOS/ZIJthIdrDzkm2iIpnINO+IbV49jovtvGRbWJemgjsv2TbWNafIzku2dZTNIMD42XUk27qt7byMBsMD/VtkfovNb+sr9TSJb+clHxRMq93uvOSbC+ZV2s5LbU6583I9zjarb/OtBpNrF2rcwOxNPBjHfAwws/F3XhrbrzrCufOST6GIFPBzZEZ2vzKsZvCUbzCYDuEpDRCHchOHchOHchOHcjAOzfiQYEbtbucl31QwseI7Lzfx547nxT3lW0xJtqwnaD1lbIo9ORtBduflJu6UDnDuvOQTgJmWuPPSPDuVUTVjFzxjd7fkkzl2XupoReNEAUOXfERBCOuC6DRfvOQjOiAKH5DWU2FBDMKyJ2HK7Cr5iKKELfmIogQr+YhSUJedEXfYKCaiFDtQ8pHlI4T2LiaZ1VRzfQnk+gMb+LEsOCH2wfMj2KkzWTbqu4ew+Us+iENzOegd7nHPHDst9RSZOhgYYHjlKQhCCE+o8pTtcRcdDYWPRmvZKYhBCL2dyE5BFCHZ6ehxF0UJKDsFKaipD3GHjWIiShFMdrp73GX5CHG9U9kZlSrFfaGnLDgh9rFlp7vHXZaN+u4hbE2ys9mhuRz0Dh/wkTm2VkaDmDoYGGB42SkIQghPqOwMeMCH6NAofGhaa1BBDEIcJmhQZ7eQIImIBHUd8CFKElCBClJQsyDgDZcCFaQIpkB9B3zIEhKCfKcaNC4li/vqS1lwQuxja1AtkZR78VOSjvr+IXRNKrTZpbkc9A4feJw5dlpGg4Q6GBhgeBUqCEIIUKgKDX/gsegIKXyEWotRQQxCQCaIUfeCqCBKYDUqSBJQjQpSULMh4A2XGhWkCKZG3Qcey/IRQn2nWjQphYv77ktZcELoa6FFXQcey7JR3z2ErUmJNjs0l4MOvPNybMPT2lJ58bI63vZ3XjINrgeNv+y85I5kgo1kJzsvmSYqkolM847Y5oFbTQjy1bmWyrQQ3CdCUaXunZdMG8ENIm31JtM6ymYQYPxcOpJp3RZ3XqZmv+XI/JaZ38bljifvnZd8UDCtdr3zkmsumFepOy/VZuel+85LvtVgcu1CjRuYvYkH45iPAWa2Njsv1d5VR3h2XnIpFJECfo7MyO5XhtUMnvINBtMhPKUB4lBu4lBu4lBu4lAOxqEZHxLMqF3uvOSaCiZWys5Ltdl56b7zkm8xJdmynqBqyuiPPTkbQXrnpdq76gDPzksuAZhpyTsv1X5lVM3YBc/Y3S0BjZ07L1MaJwoYvgQkCEJYF0Sn+dsoAQmOkMJHqPXcWBCDsA5KmEO7S0CCKIFLQIIkAUtAghTUZWjAG66puyDFTpSAJPkIob6LSWc19UzLioH7zktZcELog+dLsFNnsmzUdw9hayoBNTs0l4Pe4Zb4sXMn5og6GBhgeCUqCEIIT6gSDdoSLzg0Ch+a1hJUEIMQhwkS1FnGESQJrEAFSQIqUEEKahYEvOFSoIIUwRSovyVekpAQ5DvVoKNSsrjvvJQFJ8S+Fho0ig6VqyVeko76/iF0TSq02aW5HPQOnwcydm7MzKiDgQGGV6GCIIQAhapQ6fNABEdD4aPRWngKYhCCL0F4utc+BVFElKfnPBBBlIDSU5CCmvoQd9goJqIUwaSn7zwQST5CXO9UeGalSnHfeSkLToh9bOHpOw9Eko367iFsTbKz2aG5HPQOH4A8du7EHFMHAwMMLzsFQQjhCZWdAQ5AFhwQhQ9Ia+UpiEGIvp0oT0EUIeXpPABZECWg8hSkoGY/xB02iokoRTDl6TsAWZKPENo7VZ7jUqi477yUBSfEPrby9B2ALMlGffcQtibl2ezQXA467M7LxOrT69HQf2nIuI639Z2XXIPrQeMvOy+5I5lgI9nFzkuuiYpkItO8I7Z59Tgut/OSa2FdmkruvOTaWNecMjsvudZRNoMA4+fQkVzrtrfzcmjuvByaOy+H5s7LYXnX3NB/5yUbFEyrHe+8ZJsL5lXizsvh5s7LoefOS7bVYHLtQo0bmL2JB+OYjwFmthY7L4ebOy+HDXdesikUkQJ+jszI7leG1Qye8g0G0yE8pQHiUG7iUG7iUG7iUA7GoRkfEsyoHe68ZJsKJlbCzsvh5s5L94t7yreYkmxZT1A5ZWyIPTkbQXjn5XBz56U/7sz5BGCmpe68HJo7L+0xZ8EzdmdLPsnAtfNy6L+G6RlOFDB4yUcShLAuiE7z5Us+kgOi8AFpPRUWxCAsexKmzM6SjyRK4JKPJEq4ko8kBXXZGXGHjWIiSrELJR9RPkJo72KSWU01yysSh547L0XBCbEPnh/BTp3JslHfPYStoeQDODSXg97dHvfEUW/RyjOiDgYGGF55CoIQwhOqPIV73CVHQ+Gj0Vp2CmIQQm8nslMQRUh2unrcJVECyk5BCmrqQ9xho5iIUgSTnZ4ed1E+QlzvVHaWVyQOPXdeioITYh9bdnp63EXZqO8ewtYkO5sdmstB7+4BH/oRiG2DoWVnTB0MDDC87BQEIYQnVHaGPOBDcmgUPjStNaggBiEOEzSos1tIkEREgjoP+JAkCahABSmoWRDwhkuBClIEU6DeAz5ECQlBvlMNWl6QOPTceSkKToh9bA06TMfxob24PJOlo75/CF2TCm12aS4HvbsHHmsVmtgGQ6vQhDoYGGB4FSoIQghQqArdwoHHkiOk8BFqLUYFMQgBmSBG3QuigiiB1aggSUA1KkhBzYaAN1xqVJAimBr1HHgsykcI9Z1q0fKKxKHnzktRcELoa6FFnQcei7JR3z2ErUmJNjs0l4MOvPPS1dKpfHjxoI63/Z2XTIPrQeMvOy+5I5lgI9nJzkumiYpkItO8I7Z54FYTgnx1rqUyLQT3iVBUqXvnJdNGcINIW73JtI6yGQQYP5eOZFq3xZ2X5s7LobnzcmjuvByWd80N/XdeskHBtNr1zkuuuWBepe683Nx5OfTcecm2GkyuXahxA7M38WAc8zHAzNZm5+Xmzsthw52XbApFpICfIzOy+5VhNYOnfIPBdAhPaYA4lJs4lJs4lJs4lINxaMaHBDNqlzsvuaaCiZWy83Jz56X7xT3lW0xJtqwnqJoy+mNPzkaQ3nm5ufPSH3fmfAIw05J3Xpo7L+0xZ8EzdndLQEPnzsuUxokChi8BCYIQ1gXRaf42SkCCI6TwEWo9NxbEIKyDEubQ7hKQIErgEpAgScASkCAFdRka8IZr6i5IsRMlIEk+QqjvYtJZTT3LKxKHnjsvRcEJoQ+eL8FOncmyUd89hK2pBNTs0FwOeodb4h0pRCvREXUwMMDwSlQQhBCeUCUatCVecGgUPjStJaggBiEOEySos4wjSBJYgQqSBFSgghTULAh4w6VABSmCKVB/S7wkISHId6pBywsSh547L0XBCbGvhQaNB4djV0u8JB31/UPomlRos0tzOegdPg9k6NyYmVEHAwMMr0IFQQgBClWh0ueBCI6GwkejtfAUxCAEX4LwdK99CqKIKE/PeSCCKAGlpyAFNfUh7rBRTEQpgklP33kgknyEuN6p8CyvSBx67rwUBSfEPrbw9J0HIslGffcQtibZ2ezQXA56hw9AHjp3Yo6pg4EBhpedgiCE8ITKzgAHIAsOiMIHpLXyFMQgRN9OlKcgipDydB6ALIgSUHkKUlCzH+IOG8VElCKY8vQdgCzJRwjtnSrP8orEoefOS1FwQuxjK0/fAciSbNR3D2FrUp7NDs3loAPvvHQU0iPvpSHxsI639Z2XXIPrQeMvOy+5I5lgI9nFzkuuiYpkItO8I7Z59Tgut/OSa2FdmkruvOTaWNecMjsvudZRNoMA4+fQkVzrtrfzMjJ3XkbmzsvI3HkZlXfNRf47L9mgYFrteOcl21wwrxJ3XkabOy8jz52XbKvB5NqFGjcwexMPxjEfA8xsLXZeRps7L6OGOy/ZFIpIAT9HZmT3K8NqBk/5BoPpEJ7SAHEoN3EoN3EoN3EoB+PQjA8JZtQOd16yTQUTK2HnZbS589L94p7yLaYkW9YTVE4ZG2JPzkYQ3nkZbe689MedOZ8AzLTUnZeRufPSHnMWPGN3t+QTuXZeRt5rmJ7lRAGDl3wkQQjrgug0X77kIzkgCh+Q1lNhQQzCsidhyuws+UiiBC75SKKEK/lIUlCXnRF32CgmohS7UPIR5SOE9i4mmdVUs7wiMfLceSkKToh98PwIdupMlo367iFsDSUfwKG5HPQO97hHrp2WUUQdDAwwvPIUBCGEJ1R5Cve4S46GwkejtewUxCCE3k5kpyCKkOx09bhLogSUnYIU1NSHuMNGMRGlCCY7PT3uonyEuN6p7CyvSIw8d16KghNiH1t2enrcRdmo7x7C1iQ7mx2ay0Hv8AEfkWtrZRRTBwMDDC87BUEI4QmVnSEP+JAcGoUPTWsNKohBiMMEDersFhIkEZGgzgM+JEkCKlBBCmoWBLzhUqCCFMEUqPeAD1FCQpDvVIOWFyRGnjsvRcEJsY+tQb0HfIjSUd8/hK5JhTa7NJeD3uEDjyPXTssooQ4GBhhehQqCEAIUqkK3cOCx5AgpfIRai1FBDEJAJohR94KoIEpgNSpIElCNClJQsyHgDZcaFaQIpkY9Bx6L8hFCfadatLwiMfLceSkKTgh9LbSo88BjUTbqu4ewNSnRZofmctCBd166VjiVFy+q421/5yXT4HrQ+MvOS+5IJthIdrLzkmmiIpkImGf6dA56ce/y7/UoP1j+cfnosKf1/KPlF9d62rW/61s7po/YAOBmFILAda62Mi0Ed5JQdKt7bybTRnALSVtFyrSOsl0EGb9hHB0qm4kTtolb3KBprsaMzNWYkbkaMyqvpIv8V2OyQcHs2/UGTa65YPqlbtDcXI0Zea7GZFsN5uAuRLuB2Zt4MI75GGACbLNBc3M1ZtRwNSabQhEp4OfIjOx+ZVjN4CnfYDAnwjMfIA7lJg7lJg7lJg7lYBya8SHBtErboJkMR6ND5dqgyTUVzK6UDZqbqzHdL+4p32JKxmU9QdXM0h97cjaC9AbNzdWY/rgz5xOAmZa8QdNcjWmPOQuesbtbKYqdGzRTGicKGL5SJAhCWD5EVwO2USkSHCGFjxA+hbZhHIliEJZLCRNpd6VIECVwpUiQJGClSJCCulqNeCNWYxvIRBQkZLFoaH3cbsnyEaJ9F/POavZZXqYYeW7HFAUnRD94ygQ7dSbLRn39ELamYlGzQ3M56B1uno+dezZH1MHAAMOLUUEQQnhCxWjQ5nnBoVH40OAq9KnRuVJJ65lDVlZ/MIWdB8sPiz88MFU8862m0PZpUc17cvnaQU9/4bXLNw57N+fDweCgpzW9OYpF/5T3tej/o/71gZH1+gvmZ36sf4L+R8sBNT/ws95BcZrL48sfad/of6e3GuUD88UHq4NezE84tA37keiwE/IGQTU7y0+CJIFFsyBJQNEsSEHN2og33KJZECSYaF71+1vbcW7JEhLyUqeyubz9MfJc6CkKTgh/LWRzlhzGrn5/STrqK4jQNQnnZpfmctA7fNhJ7Nx1mlEHAwMML5wFQQgBChXO0oedCI6GwkcD18o2jCNRDELwJWhP94qtIIqI+PQcdiKIElB9ClJQUx/gjiiLD4d2j0xEWYIJUN+RJ5J8hOjeqfwsb4GMPNd6ioITIiBbfvqOPJFko76BCFuT+Gx2aC4HvcNnPMfOzaZj6mBggOHFpyAIITyh4jPAGc+CA6LwAWmtPwUxCNG3E/0piCKkP51nPAuiBNSfghTU7Ae4Y5iOD7OR1SMTUZZg+tN30rMkHyHAd6o/y7sgI8/lnqLghAjI1p++k54l2ahvIMLWpD+bHZrLQQfeYupQlLH/dpS4jrf1LaZcg+tB4y9bTLkjmWAj2cUWU66JimQiYF7jFlPr03rEBqhHerktplwL6xJWcosp18a6NpXZYsq1rp7xWm4xjR3NDxO2gdvbYBqbG0BjcwNobG4Ajcub92L/DaBsUDD3drzBlG0umHyJG0zjzQ2gsecGULbVYAbuQrIbmL2JB+OYjwGmvxYbTOPNDaBxww2gbApFpICfIzOy+5VhNYOnfIPBjAjPe4A4lJs4lJs4lJs4lINxaMaHBJNqhxtM2aaCuZWwwTTe3ADqfnFP+RZT8i3rCSrnlQ2xJ2cjCG8wjTc3gPrjzpxPAGZa6gbT2NwAao85C56xu1sdSlwbTGP/pVTPcKKAwatDkiCExUN0LUC+OiQ5IAofEHy+bMM4EsUgrI0SZs3O6pAkSuDqkCRKuOqQJAV1bRpwR3KYZjaQiSjILpSGRPkI0b2LeWY12yzvjIw9l4CKghPCHzxFgp06k2Wjvn4IW0NpCHBoLge9w33xiWtDaRxRBwMDDC8+BUEI4QkVn8J98ZKjofDRaK08BTEIobcT5SmIIqQ8XX3xkigBlacgBTX1Ae4YHbqEpyBHMOHp6YkX5SNE9k6FZ3lrZOy5BlQUnBD92MLT0xMvykZ9+xC2JuHZ7NBcDnqHTzJJXBsy45g6GBhgeOEpCEIIT6jwDHmSieTQKHxocBXKOMnkxQvzzz59esmLSTp6+vgSc3TJ48s3Gg4v0V9qcXiJ5EgTUgVBKDsbmwRJRHSy8/ASSZKAMlmQgpqoAW/EI0fP7ESUJJhQ9p5eIkpIyEWdSuXyasvYc1upKDgh/rGlslZyyr1KK0lHfQcRuiax3OzSXA56h8+gTlwbSOOEOhgYYHixLAhCCFCoWN7CGdSSI6TwEcI1sw3jSBSDEJAJgtS9ciuIEliRCpIEVKSCFNRsCHjDp0gFSYIpUs8h1KJ8hHDfqR4tL7iMPTeWioITwl8LPXo4tLYrzmTZqO8fwtakRpsdmstBB95Oqmx4Wl8qL15Sx9v+dlKmwfWg8ZftpNyRTLCR7GQ7KdNERTIRMK9xO2lsAzhiA4CbZwgi17nqyrQQ3PlC0a7u7aRMG8EtL21VKdM6yvYWYPxUOrAvIkzYFm5xP6m5sDQ2F5bG5sLSuLwoMPZfWMoGBZNv1/tJueaC2Ze6n3RzYWnsubCUbTWYgrvQ7AZmb+LBOOZjgPmvzX7SzYWlccOFpWwKRaSAnyMzsvuVYTWDp3yDwZQIT3yAOJSbOJSbOJSbOJSDcWjGhwSzapf7SbmmgsmVsp90c2Gp+8U95VtMSbisJ6iaWPpjT85GkN5Purmw1B935nwCMNOS95OaC0vtMWfBM3Z3i0XKuZ80pXGigOGLRYIghNVDdDFgG8UiwRFS+AjhM2gbxpEoBmG1lDCPdheLBFECF4sESQIWiwQpqIvVgDfSUXSYuBr9BVF2olokyUeI913MPKv5Z3nDZey5slQUnBD/4EkTpVokyUZ9ARG2pmpRs0NzOegdbvRXzh2mI+pgYIDh5aggCCE8oXI0aKO/4NAofGhwHcpo9F++awS7Ee9PN/sPBuPlr5/q9tfDXHxgLjV9apeuvfHfDGjrzn/BoSfkDoJ2dtagBEkCS2dBkoDSWZCCmrkBb3ilsyBKMOnsb/2XJCRkp07Fc3nLZey5uFQUnBAAW4jnKHKsy89k6agvIULXJJ+bXZrLQe/wAS3KuU82ow4GBhhePguCEAIUKp+lD2gRHA2FjwaumG0YR6IYhOBLUJ/ulVtBFBH56TmgRRAloP4UpKCmPsAdw2Rgr8hNREmCyU/fES2SfITY3qn4LG+5jD3XloqCE+IfW3z6jmiRZKO+fwhbk/RsdmguB73DB1Mr567TMXUwMMDw0lMQhBCeUOkZ4GBqwQFR+IC0Vp+CGITo24n6FEQRUp/Og6kFUQKqT0EKavYD3JElhwPr0uBElCSY+vSdTC3JRwjvnarP8o7L2HNpqSg4If6x1afvZGpJNur7h7A1qc9mh+Zy0IF3mVoD0fUo8V/ooup4W99lyjW4HjT+ssuUO5IJNpJd7DLlmqhIJgLmNe4yTWwAR2yAeqSX22XKtbAuYCV3mXJtrCtTmV2mXOsom16A8YscdXauedvbYpqYK0sTc2VpYq4sTcqrAhP/laVsUDDzdrzFlG0umHqJW0yTzZWliefKUrbVYP7tQrAbmL2JB+OYjwEmvxZbTJPNlaVJw5WlbApFpICfIzOy+5VhNYOnfIPBfAjPeoA4lJs4lJs4lJs4lINxaMaHBFNqh1tM2aaCmZWwxTTZXFnqfnFP+RZTsi3rCSpnlQ2xJ2cjCG8xTTZXlvrjzpxPAGZa6hbTxFxZao85C56xu1sZSl1bTBP/FVrPcKKAwStDkiCEpUN0JUC+MiQ5IAofEHy2bMM4EsUgrIwS5szOypAkSuDKkCRKuMqQJAV1ZRpwh+Pqv4koxy7UhUT5CMG9i2lmNdksL7hMPDeWioIToh88Q4KdOpNlo759CFtDXQhwaC4HvcMN8alrP2kSUQcDAwyvPQVBCOEJ1Z7CDfGSo6Hw0WgtPAUxCKG3E+EpiCIkPF0N8ZIoAYWnIAU19QHuGNkoJqIUwWSnpxlelI8Q1zuVneX1lonnvlJRcELsY8tOTzO8KBv13UPYmmRns0NzOegdPsYkde3DTGLqYGCA4WWnIAghPKGyM+QxJpJDo/ChwTVod8eYZOrKMSb6L5gTSd5cvm+avsSuLZUccELGIKhlZ2uTIImIWHYeXiJJElArC1JQ8zXgjTg+dHTvS4IEk8veo0tECQkZqVPBXF5xmXhuLRUFJ4Q/tmAepuP4cOhaqZWko76CCF2TZG52aS4HvcMHUaeu/aPra+8Ig4EBhpfMgiCEAIVK5i0cRC05QgofIVw52zCORDEIAZmgR92rt4IogQWpIElAQSpIQc2GgDc8glQQJJgg9RxDLcpHiPadytHyjsvEc2mpKDgh+rWQo85jqEXZqK8fwtYkRpsdmstBB95Oal2T1/JSefHSOt72t5MyDa4Hjb9sJ+WOZIKNZCfbSZkmKpKJgHmN20ntE/gjNgG4f4Ygcp2LrkwLwc0vFO3q3k/KtBHc9dJWlTKto+xwAcYvGoxcZ+dxLdzillJza2libi1NzK2lSXlbYOK/tZQNCmbfrreUcs0F0y91S+nm1tLEc2sp22owB3ch2g3M3sSDcczHABNgmy2lm1tLk4ZbS9kUikgBP0dmZPcrw2oGT/kGgykRnvkAcSg3cSg3cSg3cSgH49CMDwlm1S63lHJNBZMrZUvp5tZS94t7yreYknBZT1A1s/THnpyNIL2ldHNrqT/uzPkEYKYlbyk1t5baY86CZ+zuFoscOk/P5lMaJwoYvlgkCEJYPkRXA7ZRLBIcIYWPED6FtmEciWIQlksJ82h3sUgQJXCxSJAkYLFIkIK6Wg14QwvMQ2V1yEQUZSfKRZJ8hHjfxcyzmn+Wl1wmnltLRcEJ8Q+eNFHKRZJs1BcQYWsqFzU7NJeD3uF2/5Fzl+mIOhgYYHg5KghCCE+oHA3a7i84NAofGlyHutr9lw96X7l49UwPyfHZq2d/93cv95a/LpT6A9O/v+nzf+GFNM7iaHB69cLS9b7cp+4udV9Zam/6H5vPunr8BUeZkCYIMtlZbhIkCaySBUkCqmRBCmqSBrzhVcmCKMFUsr/LX5KQkIg61cnlbZaJ54JSUXBCAGyhk+PB4djV5S9JR30JEbompdzs0lwOeofPYxk5N8Zm1MHAAMMrZUEQQoBClbL0eSyCo6Hw0cDFsQ3jSBSDEHwJ6tO9SCuIIiI/PeexCKIE1J+CFNTUB7hDDQ9HI6tDJqIowfSn71AWST5CcO9UfZYXWiaeG0pFwQkBkK0+fYeySLJRX0CErUl7Njs0l4Pe4XOoR84dpmPqYGCA4bWnIAghPKHaM8A51IIDovABaS0/BTEI0bcT+SmIIiQ/nedQC6IElJ+CFNTsB7gjHh4OUqtDJqIoweSn7yhqST5CfO9UfpY3WiaeK0pFwQkBkC0/fUdRS7JRX0CErUl+Njs0l4MOvKc0s+Fdj5T/ApdRHW/re0q5BteDxl/2lHJHMsFGsos9pVwTFclEwLzmPaWH+luK3uInlz/S3/HRyhePTUdH4adHl9+3MR6xGevJQG7XKdfCusiV3HXKtbGuXmV2nXKto2yCAcbP7DpVNgsnbAu3t+tUmYtMlbnIVJmLTFV5gaDyX2TKBgXzc8e7TtnmggmauOtUbS4yVZ6LTNlWg1m6C1lvYPYmHoxjPgaYIlvsOlWbi0xVw0WmbApFpICfIzOy+5VhNYOnfIPBlAjPjYA4lJs4lJs4lJs4lINxaMaHBLNqh7tO2aaCyZWw61RtLjJ1v7infIspCZf1BJVzz4bYk7MRhHedqs1Fpv64M+cTgJmWuutUmYtM7c/4gmfs7haQMteuU+W/WesZThQweAFJEoSwwIiuF8gXkCQHROEDgs+pbRhHohiE9VPCtNlZQJJECVxAkkQJV0CSpKCuXwPuiHUotzeUTURRdqGAJMpHiO9dzDSr+WZ59aXy3GUqCk4IgPAkCXbqTJaN+gIibA0FJMChuRz0DvfOZ65dpuvtQITBwADDy09BEEJ4QuWncO+85GgofDRaa09BDELo7UR7CqIIaU9X77wkSkDtKUhBTX2AO9TwMHP1zkuiBNOent55UT5CcO9Ue5b3XyrPhaai4IQAyNaent55UTbqC4iwNWnPZofmctA7fMJJ5tq3qWLqYGCA4bWnIAghPKHaM+QJJ5JDo/ChwYVorWXoQdFO9Kd35onkuBMSB0E5O5udBElEhLPzzBNJkoC6WZCCmrYBb5T9ws+KZkGOYKLZe+CJKCEhL3Uqm8s7MJXnWlNRcEL0Y8tm74EnonTUNxChaxLOzS7N5aB3+KTqzLXpVCXUwcAAwwtnQRBCgEKF8xZOqpYcIYWPEK6fbRhHohiEgEyQo+6FXEGUwHpUkCSgHhWkoGZDwBtuPSrIEUyPeo6pFuUjBPtO1Wh5Caby3GoqCk4Ifi3UqPOYalE26tuHsDVp0WaH5nLQ+n9/XejR5CW/2PzWxd1vv/yNVywDwdKart4A5eFU6pnbW11bUd3WUhTkZjdqYjP3eba59cfMM7ioTiwq9W8vPzMLqwdmhW9Vt3+4/OzyrWKZVX/x46Lk/8Cs5l2+cfmWjUnLP3VtwgZ7Jiq6ydoFxfX+L3ProMpcUZALkdAh8C56Y/mJsfzEZfkJ33JFtxzvnteGT43hU5fhU77h+BvBj7vrvTrmhjgHQM4GeGbLRQMA7XmZG6vnLqvnfKvxKE/caaGNXhijFy6jFzyji4flpSpDfdWXsro8PSFybqZIvRTPZOYghyckxmabvc+z7a0H9rZnJxTLGOuC15V05UhWvaL+tDpNwUZ2g01Wj/aSZxkwTVQkE5nmHbHNq88IBI8hYFoIbpikrHC4jyFg2gjulGy7dsG0jrIrEhg/69hN2NZt8QiCUbnXN/WfOcAlA7Ma/cyBLE7dRw5wrQXTGvXIgXRz5IDzMqfbfKvB5NZuylKt4KR7Ew/GMR8DzGSMSUu19Tfdu+oIz5EDXApFpICfIzOy+5Vhz85duAaD6Q9eDAPiTg7GnRmfCkyZtDMG3DHnDt9SMHFSjhhIN0cMOF/UU77FlGTKemKqxUV/rMnZCNJHDKR7Vx3gOWKASwAmVuLE1zw7lVHPznk5xhYzgNG9u7GKR/00Gqh+cldF/Wx4NuynaXaRjM/P0nv31g+Vczr89TN3NZo5JXZOikc0TJTPNnH2YFEmzzaQ50VBCAUkdFb9i2dnzsXxgA9r5xIuH667B5Y/W/d+PjLnEv7a9I8W5wy+YRuOG6LDofDhaD3PFcSoiwEPRhfzYUESmc4AG8dNUY6AfQGCFNTKJOAL1xxckCJYV8BYDQYOpXlLlpAQ1ruYT1azyvION+W5lk8UnBD54KkQwa0zWTrq+4fQeV06Q1yay0GHPJs6cvYDZB66NM7qdFuvrjDtBRegUB0oUV1hkiUYWSfVFaaJimQiYN6wOiP6qROif2FOiLYZfsQ2HFx46kJnMi0EF5EI+tFTd2HaCC4ftdWGTOsoS0XA+MXJoXVz9IRt4BZLL+NyCTTzl164ZGDK67j0wrUWzHnU0ku2Kb04b2i7zbcazHxdSGUDszfxYBzzMcA016b0ku1ddYSn9MKlUEQK+DkyI7tfGVYzeMo3GMyA8HwDiDs5GHdmfCowa9JKL8NIJe7aC9dUMHlSai/ZpvbifFNP+RZTEirrkammb/5gk7MRpGsv2d5VB3hqL1wCMLOSay/ZfmVUzdgFz9idrb24GxLHNEyUL3ztRRCEsEiHzrnFay+Cw6Hw4cBnwcufX35Pg39klhYu3zaHjDy8/GFx7Ehx/uDPlr9b/nT5j8t/Wr7XK1YnzJ7Vj1YnmBz0lv/v5T/oqfM7y5/29X/+QX+wOgv7V8v/jzmJ8NPV8YRmXHt/1RvqeWtxVMlD/YXXi0F+fPljs1P2SbEt4gf6Jz9cflDsh+33zAf6RzwpjlO5YtWjXlSde3L137h8U/tpdWRN1Ft+rP/4/uX3lw9snjoS9RRhkbWLab8gSdDykiBHwPKSIAV1eRvwhWepQRBkRypMkoSE5NXFtLmaPJdXZSrP3aei4ITgB8/4CG6dydJRX0GErqnC1OzSXA56tff0KV3plM+dbj51lJpS3+0vSrnnMrCtFElcVpusxj7PNrb+jLXfePpeIbs+d+0mTQfXJmxrA+8mTc1tgml2cKzNcoQ3NklCJ8Fn7qstpdr8E2P+icv8E775im4+Pm0v9pVq66fG+qnL+infevyp5wfW1dJgai6C0xS5iyJnU0jvMNWmz43pc5fpc77peDwnrvgU20y15Qtj+cJl+YJnefHsvBQyM7nWdFLf/RFKJ+/t5CZXFwTXXPw9RbPT/yrOUTXL</t>
  </si>
  <si>
    <t>MGb2/7BXHpW66nn4orywe3UB1/fMN67WD3rrfonPbYA6qw1NVmNShs5q5nrcVLkSGhciREKLTEKzW37Ct1zRLScFpKkxfOoyfMo3HH89Wqcxc5WpAyBnA4hnsMhkMLvVc77VeMhnJa/IJC+70Que0U+tExrbA52R4NkOkkY+Cp2+wfTVYRefsTZ15i+mvWAvA5q8/rHo4Hu4fLxaMDcL1uubIosl7k96yw+qPLV8cPk98+fiEO9iNd38+QtzHOR6Ff5BsR5uVrfXt07qH2pOjNQ/Z1WO+Ehnw6EamKVv+3rwDfbA1JOFYBMg10RFMpFp3hHbPLDRAV/zv/yhvdD0IttEsGuBsJjv7vXj2gi2K7RcqOdaV0/wLXv9HPs7uNZtr9EvjY2ELS9VTyNvtx8bD0yN9G6/KHJ3+7GtBXMjsdsvjapuv9R5p8xtvtVghmw37ykLFmm0N/FgHPMxwHzGmPmUTTja9quOcHf7sSkUkQJ+jszI7leGPTsB4hoMJkG49gMEn9wEnxwMPjM+Gpg8aS1/7sBzh28pmEIJHX9V0LnjeVtP+RZT0irrsSnLaQ0BJ2cjCHf8VcGmdIC7449NAGZX4hTaPDuVUc/OnjnGFjJxnNxXkYr75/funfWTYar643tJ2r97//7o4v4oiu8l60zmnFh//azLjr91358NU0+vYxomymebgnuwKNNwG8jzoiCEpgl0fl7ezfDAzLrN/VirO7ser25gKNr/Hly+XXb7/cFM3M33vtuPrTH5hii/wvlbz3EFMQgtIPhcePlZbCN5UZREpP/NtK44euAkWcL1wElSUBtwEH/YKCaiFMEa4KLM0wAnSkiI5V3MJKv5ZHlrVOq5CEwUnBD94EkQwa0zWTrq+4fQNTTAAS7N5aALrXk2HCapSsb9dHhX9ZMkG/XP1d1R//756N7g3jBTaboemKBa0yqptdZMqGOB8YXXmoIghPiEas331oWdH5sLXR+aPyw/X20w6S+/KL7yg2IDRbHT4vXLNy+/V2hPIz2Xvx4ql+AUHASFD0JrwSmIQQi5BMHpvOpLEkVIcSYuwSmIElBwClJQEx7iDhvFRJQimOBMD4fWDSW3ZPEI0bxTtVneC5V6LvoSBSeEPrbadPl0JotGffMQtCap2ezPXA463GlekUc8Kg9dGsNtrMH6gJj21iPGn18fEHNgEmxgOukDYpqoSCYC5i3fLYbd3Mn7+KA31O/+QS+uDghbPjq02X/Eth+skeJa1dMoxDQRrHXiGtTXKMS0EaxythWXTOsoFU1g/GLl2KjLtW+LrULmRsC0vBshVf5WIS4emD07bhXiWgumT2qrkNq0CilPqxDXajCJdiG5DczexINxzMcAU16bViG1d9URnlYhLoUiUsDPkRnZ/cqwmsFTvsFgGoTnLUDwyU3wycHgM+OjgemT1ioUx2N3qxDXUjCJUlqF1KZVyPm2nvItpiRW1mNTzQb9ASdnI0i3Cqm9qw7wtApxCcDsSm4VUvuVUTVjFzxjd7Z8495ImtIwUb7w5RtBEMKCHzqFFyrfCA6CwgcBnwvbMI5EMQhrmPiU2FO+EUQJXb4RRAlYvhGkoC4iA+7Q//Rh7JqMC6LsQg1HEo8Q0ruYUFbTyrRc8/dc9ykKToh/8FwI9elMFo36+iFoTTWcZn/mctC725ruvL8l9d1OYx0LjC+83hQEIQQnVG9235ouyK9w/tZSUxCDEGoJUtPZmi5IIqQ03a3pgiwBpaYgBTXXQf5wl30ESYIpTX97uiQhIZ53KjbL6+JSzw2AouCECMgWm/72dEk66juI0DXpzWaX5nLQq/NZD0Ifz+rUkr77G1Qa1Tld3UNdH4JnNfd5trn1x6yLQ/BW1/91fQheZg7BY1KGPgRvfHAcjcz5riNzlshImd9G5jfzhcx8ITNfyMwXMvOFzHxhbL4wNl8Ymy+MzRfG+gvxYGh+i81vyvw2Mr+ZLwwj85v53DDTv0Xm+6LE/Ga+JR6Y38xfi1Pzm/kbifkbifkbifkbyvwNZf6GMn8jNX/DnH8Sm4NpY2N9PDIfGXPjzHxk7IvH5thaY1AyMB8NzUfGgiQyH0WZKx1w3ZfQ3YcXm9bH/40PTozPTozPTozPTozPTozPTozPTozPTozPTozPTozPTozPTozPTozPTozPTozPTozPTozPTozPTozPTozPTozPTozPTozPTozPTozPTozPTozPTozPTozPTozPTozPTozPTozPTozPTozPTozPTozPTozPTozPTozPTozPTozPTozPTozPTozPTozPTozPTozPTozPTozPTlw+O+H7TNF9hpfXVgcfjg+mxmVT47KpcdnUuGxqXDY1Lpsal02Ny6bGZVPjsqlx2dS4bGpcNjUumxqXTY3LpsZlU+OyqXHZ1Lhsalw2NS6bGpdNjcumxmVT47KpcdnUuGxqXDY1Lpsal02Ny6bGZVPjsqlx2dS4bGpcNjUumxqXTY3LpsZlU+OyqXHZ1Lhsalw2NS6bGpdNjcumxmVT47Kpy2VTvsvwZMCXHOvehfFBblyXG9flxnW5cV1uXJcb1+XGdblxXW5clxvX5cZ1uXFdblyXG9flxnW5cV1uXJcb1+XGdblxXW5clxvX5cZ1uXFdblyXG9flxnW5cV1uXJcb1+XGdblxXW5clxvX5cZ1uXFdblyXG9flxnW5cV1uXJcb1+XGdblxXW5clxvX5cZ1uXFdblyXG9flLtflbNeJH3Y5Ppgbf82Nv+bGX3Pjr7nx19z4a278NTf+mht/zY2/5sZfc+OvufHX3Phrbvw1N/6aG3/Njb/mxl9z46+58dfc+Gtu/DU3/pobf82Nv+bGX3Pjr7nx19z4a278NTf+mht/zY2/5sZfc+OvufHX3Phrbvw1N/6aG3/Njb/mxl9z46+58dfc+Gtu/DU3/pobf82Nv+Yuf835/sJFLbHxYHXM5/hgYdy1MO5aGHctjLsWxl0L466FcdfCuGth3LUw7loYdy2MuxbGXQvjroVx18K4a2HctTDuWhh3LYy7FsZdC+OuhXHXwrhrYdy1MO5aGHctjLsWxl0L466FcdfCuGth3LUw7loYdy2MuxbGXQvjroVx18K4a2HctTDuWhh3LYy7FsZdC+OuhXHXwrhrYdy1MO5auNy14LnrqUXDoAecutsqxl6KxPnQYcYy5yXmsnKbvc+z7a2L9pYbG36tZx2fr/rgNxsYillKsWmh6Igw2x4eVnsTfr385fKfbUw32Ex1JSu5J4FpoiKZyDTviG0e2GtJWfS2zqlfZFsItkzii9m+HQdMG8FmybaL1Ezr6kK05Y4D1zZVpnXb228wGpTdvmP/VgMuGZjP6FsNhoOhayH1K3xzwYxG3Wsw3uw1cN5UdZtvNZjX2q1EVev0472JB+OYjwGmMsaKTNX+O9676gjPXgMuhSJSwM+RGdn9yrBnJ+lcg8H8B5c8gMCTg4FnxqcCcyZtm4En6NzhmwqmTso+g/Fmn4HzTT3lW0xJp6xHpqog+YNNzkaQ3mcw3rvqAM8+Ay4BmFqJ033z7FRGPTvf5RhbSNi7wyxVg7ifjZNBP7kbRf1xck/1Rxf3zkb6C+OLdJ3FnFPhr5912/flufFjNKBhony2SbMHizJxtoE8LwpC6BNAZ9TvlnNmc/11MVnurWbOX3n1G69841vfPnu1t/zI3F7dKzrA3rh8c9UXdvljc4VjOc2O1GAvSgeDvZE5JsA2MDdEB0bhA9N2ziuJQWiHwOfG7u34kigiHWHDQ2UjuSlKEq4fTJKirh88FC2n5JIU4XrBUncrmCggIcR3Mbksp5ijwbpvaPWBDfxYFpwQ++B5Ee7VmSwc9e1D4Bo6wQCP5nLQIU+PcvZ/jXx34aXJoE637SIL115wMQqVhJ0WWbhMCcbURZGFa6Iimcg074htHrjIhAtJZ5GFayG4YETRh84iC9dGcKWorfJjWkdZFQLGz6XomNZtscgSrdc6R0NvkYVNBuazjossbHPBjEYssoyGVZFlNc42q2/zrQbzWhc62MDsTTwYx3wMMJW1KLJo2686wl1kYVMoIgX8HJmR3a8Mqxk85RsM5j94MgEEnhwMPDM+FZgzOyyysE0FUyehyFIFnDueN/WUbzElnbIemWpy5g82ORtBuMhSBZrSAe4iC5sATK3UIot+diqjasYueMbubJHF2XU4imiYKF/4IosgCGEFDp1RByyyCA6Mwgem9ZxXEIOw0IjPjT1FFkGUwEUWQZKARRZBCuoyL+AN15RckGI3iiySgIQQ38XksppiRuWSvOeKcVFwQuyD50W4V2eycNS3D4FrKrI0ezSXgw5bZIltdFpTxl469/3OmLEUrYgVWZj2gotRqCTstsjCZEowpk6KLEwTFclEpnlHbPPARSZcSLqLLEwLwQUjij50F1mYNoIrRW2VH9M6yqoQMH4uRce0botFlqRc64z9RRYuGZjPui6ycM0FMxq1yBJviizOK2dv860G81oXOtjA7E08GMd8DDCVtSmyxHtXHeEpsnApFJECfo7MyO5XhtUMnvINBvMfPJkAAk8OBp4ZnwrMmV0WWbimgqmTUmSJN0UW55t6yreYkk5Zj0w1OfMHm5yNIF1kifeuOsBTZOESgKmVXGSJ9yujasYueMbubJEldhZZEhomyhe+yCIIUlcdPv+AM+qARRbBgVH4wLSe8wpiEBYa8bmxp8giiBK4yCJIErDIIkhBXeYFvOGakgtS7EaRRRKQEOK7mFxWU8zy1uyR5xZ0UXBC7IPnRbhXZ7Jw1LcPgWsqsjR7NJeDDltkSWx0WlMqL11Up9t6kYVpbz1m7FSRhcmUYEydFFmYJiqSiUzzjtjmgYtMuJB0F1mYFoILRhR96C6yMG0EV4raKj+mdZRVIWD8XIqOad0Wiyxpudbpv5mcTQbms66LLFxzwYxGLbJsriYfea4mZ1sN5rUudLCB2Zt4MI75GGAqa1Nk2VxNPmq4mpxNoYgU8HNkRna/Mqxm8JRvMJj/4MkEEHhyMPDM+FRgzuyyyMI1FUydlCLL5lpy95t6yreYkk5Zj0w1OfMHm5yNIF1k2VxL7g80cz4BmFrJRRZzLbk9yCx4xu5skSVxFllSGibKF77IIghCWIFDZ9QBiyyCA6PwgWk95xXEICw04nNjT5FFECVwkUWQJGCRRZCCuswLeMM1JRek2I0iiyQgIcR3MbmsppjltdYjzzXlouCE2AfPi3CvzmThqG8fAtdUZGn2aC4HHbbIomx0WlN6r8VM4jrd1ossTHvBxShUEnZbZGEyJRhTJ0UWpomKZCLTvCO2eeAiEy4k3UUWpoXgghFFH7qLLEwbwZWitsqPaR1lVQgYP5eiY1q3xSJLVq51jvxFFi4ZmM+6LrJwzQUzGrXIMtoUWZy3U9/mWw3mtS50sIHZm3gwjvkYYCprU2QZ7V11hKfIwqVQRAr4OTIju18ZVjN4yjcYzH/wZAIIPDkYeGZ8KjBndllk4ZoKpk5KkWW0KbI439RTvsWUdMp6ZKrJmT/Y5GwE6SLLaO+qAzxFFi4BmFrJRZbRfmVUzdgFz9idLbI4Jph6Quy7atWCifKFL7IIghBW4NAZdcAii+DAKHxgWs95BTEIC4343NhTZBFECVxkESQJWGQRpKAu8wLecE3JBSl2o8giCUgI8V1MLqspZlYuyWeeaaYkOCH2wfMi3KszWTjq24fANRVZmj2ay0GHLbKkNjqtKcdeOvfdi5ixFK2IFVmY9oKLUagk7LbIwmRKMKZOiixMExXJRKZ5R2zzwEUmXEi6iyxMC8EFI4o+dBdZmDaCK0VtlR/TOsqqEDB+LkXHtG57RZasvH965L/4nk0G5rOuiyxcc8GMRi2ybC6+H3kuvmdbDea1LnSwgdmbeDCO+RhgKmtTZNlcfD9quPieTaGIFPBzZEZ2vzKsZvCUbzCY/+DJBBB4cjDwzPhUYM7sssjCNRVMnZQiy+bie/ebesq3mJJOWY9MNTnzB5ucjSBdZNlcfO8PNHM+AZhayUUWc/G9PcgseMbubJEldRVZsgENE+ULXmSRBCGswKEz6nBFFsmBUfjAtJ3zSmIQFhrxubG7yCKJErbIIkkSrsgiSVHXDx6KllNySYqdKLKIAhJCfBeTy3KKmZXXpGeei+9FwQmxD54X4V6dycJR3z4ErqHIAng0l4MOW2Sx9idpTem/zlDV6bZdZOHaCy5GoZKw0yILlynBmLoosnBNVCQTmeYdsc0DF5lwIekssnAtBBeMKPrQWWTh2giuFLVVfkzrKKtCwPi5FB3Tui0WWaL1Wmfmv/ieTQbms46LLGxzwYxGLLJkm4vvM8/F92yrwbzWhQ42MHsTD8YxHwNMZS2KLNnm4vus4eJ7NoUiUsDPkRnZ/cqwmsFTvsFg/oMnE0DgycHAM+NTgTmzwyIL21QwdRKKLNnm4nv3m3rKt5iSTlmPTDU58webnI0gXGTJNhff+wPNnE8AplZqkSUzF9/bg8yCZ+zOFllGziJLRMNE+cIXWQRBCCtw6Iw6YJFFcGAUPjCt57yCGISFRnxu7CmyCKIELrIIkgQssghSUJd5AW+4puSCFLtRZJEEJIT4LiaX1RSzvCY981x8LwpOiH3wvAj36kwWjvr2IXBNRZZmj+Zy0GGLLJmNTmvK2EuX1um2XmRh2gsuRqGSsNsiC5MpwZg6KbIwTVQkE5nmHbHNAxeZcCHpLrIwLQQXjCj60F1kYdoIrhS1VX5M6yirQsD4uRQd07otFlnK+6cz/8X3bDIwn3VdZOGaC2Y0apFlc/F95rn4nm01mNe60MEGZm/iwTjmY4CprE2RZXPxfdZw8T2bQhEp4OfIjOx+ZVjN4CnfYDD/wZMJIPDkYOCZ8anAnEkssqihchdZuKaCqZNSZNlcfO9+U0/5FlPSKeuRqSZn/mCTsxGkiyybi+/9gWbOJwBTK7nIYi6+tweZBc/YnS2yZM4iS0LDRPnCF1kEQeqqw+cfcEYdsMgiODAKH5jWc15BDMJCIz439hRZBFECF1kESQIWWQQpqMu8gDdcU3JBit0oskgCEkJ8F5PLaopZXpOeeS6+FwUnxD54XoR7dSYLR337ELimIkuzR3M56LBFlrGNTmtK5aUb1em2XmRh2luPGTtVZGEyJRhTJ0UWpomKZCLTvCO2eeAiEy4k3UUWpoXgghFFH7qLLEwbwZWitsqPaR1lVQgYP5eiY1q3xSJLef905r/4nk0G5rOuiyxcc8GMRi2ybC6+zzwX37OtBvNaFzrYwOxNPBjHfAwwlbUpsmwuvs8aLr5nUygiBfwcmZHdrwyrGTzlGwzmP3gyAQSeHAw8Mz4VmDO7LLJwTQVTJ6XIsrn43v2mnvItpqRT1iNTTc78wSZnI0gXWTYX3/sDzZxPAKZWcpHFXHxvDzILnrE7W2QZO4ssKQ0T5QtfZBEEIazAoTPqgEUWwYFR+MC0nvMKYhAWGvG5safIIogSuMgiSBKwyCJIQV3mBbzhmpILUuxGkUUSkBDiu5hcVlPM8pr0zHPxvSg4IfbB8yLcqzNZOOrbh8A1FVmaPZrLQYctsgytPtWi0n+fYVbH23qVhWkvuBqFasJuqyxMpgRj6qTKwjRRkUxkmnfENg9cZcKVpLvKwrQQXDGiCER3lYVpI7hU1Fb6Ma2jLAsB4+eSdEzrtlhlKS+gznwXUN/ik4EJresqC9dcMKNRqyyjTZXFeYvzbb7VYF7rQggbmL2JB+OYjwGmsjZVltHeVUd4qixcCkWkgJ8jM7L7lWE1g6d8g8H8B88mgMCTg4FnxqcCc2aXVRauqWDqpFRZRpsqi/NNPeVbTEmnrEemmp35g03ORpCusoz2rjrAU2XhEoCplVxlMTff24PMgmfszlZZtIJwlVn8l7A+w4kChi+zCIIQ1uDQKXXAMovgwCh8YFpPegUxCEuN+OTYU2YRRAlcZhEkCVhmEaSgLvQC3nDNyQUpdqPMIglICPFdzC6rOWZ5UXrmvCj9WBacEPvgiRHu1ZksHPXtQ+CayizNHs3loAOXWVyicuzFG9fxtl5mYdoLLkehmrDbMguTKcGYOimzME1UJBMB88xB1we9uHf596vRXz467C1/v3y0/OJa78WvjPQDZAM4YgOAC1G41nQXYpgWgotKFAnpLsQwbQRXk9qKQ6Z1lJUjZPzGjug1YVu4vWLMuLyoOvNdVH2LTwamva6LMVxzwbxHLcaMN8UY523Pt/lWg9mvC7lsYPYmHoxjPgaY8NoUY8Z7Vx3hKcZwKRSRAn6OzMjuV4bVDJ7yDQZzIDznAAJPDgaeGZ8KzJtdFmO4poLpk1KMGW+KMc439ZRvMSWlsh6Zag7nDzY5G0G6GDPeu+oATzGGSwCmVnIxZrxfGVUzdsEzdneLMUNXMWY8oHGigMGLMZIghJU6dOIdrhgjOTAKHxh8amzDOBLFICxI4hNkdzFGEiVsMUaSJFwxRpKiLiA8FOi8PBpHh6nVIRNRlJ2oyIgCEuJ8F1PMcqI5Lm9VHztvVT+WBScEQHh2hHt1JgtHfQURuIaKDODRXA46cEXGug6slaX3+kM1qONtuyLDtRdck0KFYacVGS5TgjF1UZHhmqhIJgLmrSoy9nqMY/p0xLYeXIrC1aazHMO1EFxWoohIZzmGayO4ntRWHjKto6wdAeMXxa5qDNfALVZjovWi6Nh3o/UtPhmY8jquxrDNBXMesRozHlbVmLHzWujbfKvBzNeFVDYwexMPxjEfA0x2Laox4+HeVUe4qzFsCkWkgJ8jM7L7lWE1g6d8g8EUCM83gMCTg4FnxqcC02aH1Ri2qWD2JFRjqoBzx/OmnvItpmRU1iNTzd/8wSZnIwhXY6pAUzrAXY1hE4CplVqN0c9OZVTN2AXP2N2txkTOakxE40QBw1djBEEIq3TopDtgNUZwYBQ+MPi02IZxJIpBWIzE58eeaowgSuBqjCBJwGqMIAV1KRjwRpy4izGCJLtRjJEEJIT5LmaY1TyzvH197Lx9/VgWnBD/4MkR7tWZLBz1DUTgmooxzR7N5aADF2NiG54WlrEXb1jH23oxhmkvuCSF6sJuizFMpgRj6qQYwzRRkUwEzGvaHhM5tsdwAcDFKFxvuusxTAvBhSWKjHTXY5g2gitKbQUi0zrK6hEwfiNlM2/CNm+L1Zjy6uux7+rrW3wyMOd1XY3hmgsmPWo1Jt5UY5z3R9/mWw2mvi60soHZm3gwjvkYYLZrU42J9646wlON4VIoIgX8HJmR3a8Mqxk85RsMJkB4wgEEnhwMPDM+FZg0u6zGcE0FcyelGhNvqjHON/WUbzEln7IemWoC5w82ORtBuhoT7111gKcawyUAUyu5GhPvV0bVjF3wjN3daoyjr0ZPmhMaJwoYvhojCFKXHT4HgbPugNUYwYFR+MDg82IbxpEoBmE1Ep8de6oxgiiBqzGCJAGrMYIU1LVgxBvDyO6PiSjJblRjJAEJYb6LGWY1zyyvaR87r2k/lgUnxD94coR7dSYLR30DEbimakyzR3M56MDVmMSGp4Wl8uJFdbytV2OY9taDxk5VY5hMCcbUSTWGaaIimQiY5ynFRJnN9iO27eA6FC413YUYpoXgmhJFQboLMUwbwcWkttqQaR1l4QgYv2R4aH0IJ2wDt1iKKS/IHvsuyL7FJwMTXtelGK65YMajlmLUphTjvGX6Nt9qMO91IZQNzN7Eg3HMxwBTXZtSjNq76ghPKYZLoYgU8HNkRna/Mqxm8JRvMJgC4dkGEHhyMPDM+FRg2uyyFMM1FcyelFKM2pRinG/qKd9iSkZlPTLV7M0fbHI2gnQpRu1ddYCnFMMlAFMruRSj9iujasYueMbubikmcZZiUhonChi+FCMIQlijQ6fcAUsxggOj8IHBJ8U2jCNRDMJSJD4/9pRiBFECl2IESQKWYgQpqAvBgDfS6NB60dlEFGQ3KjGSgIQo38UEs5pmlne5j513uR/LghPCHzw3wr06k4WjvoAIXFMlptmjuRx04EqMsuFpXem9c1HFdbytV2KY9oIrUqgs7LYSw2RKMKZOKjFMExXJRMC8YVWGuVKEsT7dR2yzwRUoXGS6izBMC8HVJIp2dBdhmDaCy0htVSHTOsqSETB+kQ5cNgMnbAO3WIQp788e++7PvsUnA3Nd10UYrrlgsqMWYUabIozzEurbfKvBlNeFRjYwexMPxjEfA8xybYowo72rjvAUYbgUikgBP0dmZPcrw2oGT/kGgykQnmgAgScHA8+MTwWmzS6LMFxTwexJKcKMNkUY55t6yreYklFZj0w1cfMHm5yNIF2EGe1ddYCnCMMlAFMruQgz2q+Mqhm74Bm7u0UYx+RTT5a9V8g+y4kChi/CCIIQlufQ2XbAIozgwCh8YPD5sA3jSBSDsAqJz489RRhBlMBFGEGSgEUYQQrqGjDgjXjk7I0UBNmNIowkICHKdzHBrKaZ5U3vY+dN78ey4ITwB8+NcK/OZOGoLyAC11SEafZoLgcduAiT2vC0rhx78ZI63taLMEx7wRUpVBZ2W4RhMiUYUydFGKaJimQiYJ7/cDLzvPe0Zn+y/NTI8MvXl58uH/Rufufb/+Hi1d7s1W98/eLbF3/7rd7p9du9dDAc955bvl+46Ul/+fHaX4Vq/3Kvbzym9bxxqv7v270rP3H5kVb4b1ee7+l///HyUa9w+wPz85Yfajve0R/pv3H5unkinmhbH+gfYR6TT3r6ty+Kn6b/WPyUR9fM9//aGnmP2MMPrqThYtldTGJaCK6KUTSwu5jEtBFcDmurbpnWUZa+gPEbH8Y2+yZs+7ZWS4oH5fXfY9/137f4ZGDK7rqWxDUXzNnUWtJ4U0ty3qF9m281mLm7kPoGZm/iwTjmY4DJuk0tabx31RGeWhKXQhEp4OfIjOx+ZVjN4CnfYDADwvMlIPDkYOCZ8anArNllLYlrKpg8KbWk8aaW5HxTT/kWUxIq65Gp5p/+YJOzEaRrSeO9qw7w1JK4BGBqJdeSxvuVUTVjFzxjd7eWlDpqSfH6HYc5UcDQtSRREMIqI7poEKyWJDowCh8YfFpvwzgSxSAspuLTY2ctSRQlaC1JlCRYLUmUoi4gPBTorHwYH9q3oU5ESXahmCQLSAjzXcww1/NMzbQqPaw/sIEfy4IT4h88OcK9OpOFo76BCJy/mIR4NJeDDlxMsjZjaWHpvypS1fG2XExi2wsuSaG6sMtiEpspwZg6KCaxTVQkEwHz/MWk1FJKWn6o//Do8rsrFV/I9FppKH/53ISS3nOXP1g+NPWeHawnsT0ArqbhgtlVT2JbCK6MUXSwq57EthFcEmurcJnWUZa/gPEbHyY2+yZs+7ZYT4pWy7radF89iU8GZu1u60l8c8G0TasnaXPKetJ6nG1W3+ZbDSbvLtS+gdmbeDCO+RhgvubXk4ztVx3hrCfxKRSRAn6OzMjuV4bVDJ7yDQYzIDxlAgJPDgaeGZ8KzJrd1ZP4poLJE68nbQLOHc+besq3mJJQWY9MNQX1B5ucjSBbT9oEmtIBznoSnwBMrcR6knl2KqNqxi54xu5uPWnkrCdFNE4UMHw9SRCEsNCIrhsErCcJDozCBwaf2dswjkQxCOup+PTYU08SRAlcTxIkCVhPEqSgrmYj3nCc9jkRBdmNcpIkICHKdzHBrKaZUVl8iDxTTUlwQviD50a4V2eycNQXEIFrKic1ezSXgw5cTrJuk9S6MvbipXW8rZeTmPaCK1KoLOy2nMRkSjCmTspJTBMVyUSmeUds88CVJlxMumstTAvBVSOKRnTXWpg2gstFbdUf0zrK0hAwftaxm7Ct22KlJSkXPH2Xk9/ik4EJretKC9dcMKNRKy3xptLivOH7Nt9qMK91IYQNzN7Eg3HMxwBTWZtKS7x31RGeSguXQhEp4OfIjOx+ZVjN4CnfYDD/wbMJIPDkYOCZ8anAnNllpYVrKpg6KZWWeFNpcb6pp3yLKemU9chUszN/sMnZCNKVlnjvqgM8lRYuAZhayZWWeL8yqmbsgmfs7lZaMmelJaFxooDhKy2CIHXZ4XMQOKUOWGkRHBiFD0zrSa8gBmGpEZ8ceyotgiiBKy2CJAErLYIU1IVewBuuObkgxW6UWSQBCSG+i9llNcdMykX5xDPPlAQnxD54YoR7dSYLR337ELimMkuzR3M5aP2/vz5YKa+v+iRmx+WWsQ1Ti0vlwVSpu7cKs5YiGq+WW6zL1s+z7a0Hj+DllneXP1/+DxvTDTZTgjF1Um5hmqhIJjLNO2KbBy434YrSXW5hWgguHVGEorvcwrQRXDNqKwGZ1lHWh4Dxc0k7pnVbLLek5aqn7wLyW3wyMKF1XW7hmgtmNGq5RW3KLc5bvG/zrQbzWheC2MDsTTwYx3wMMJW1KbeovauO8JRbuBSKSAE/R2Zk9yvDagZP+QaD+Q+eVQCBJwcDz4xPBeZMYrnFHXTu8E0FUyel3KI25Rbnm3rKt5iSTlmPTDVL8webnI0gXW5Re1cd4Cm3cAnA1Eout6j9yqiasQuescbas2FyN1F34358dlf1k/Fw0M/Se1k/Tu8l94b3z7Pz+P6KxzkX9iwKsOfDznJLSuNEAW2zZg8XZeZsA3leFISwFodOqa+UW4rZ8rqAMhoM/pM2+D+pno3zhiinwjlbz2EFMQgriPhc11M9EUSRqZ7YOG6KcgSsnQhSUFdvAV+4JtiCFMFqJ8kwc9dOJAEJ8bqLqWI1YUzLlXbnjffHsuCEyAfPcnCvzmThqG8fAuf16AzxaC4HHXaLSmT1qVaI/usnR3W8rddMmPaCa0uowOu2ZsJkSjCmTmomTBMVyUTAPN+JZ//2BXN5zs/MiWcrXywfVs65fMv0Pf16+e613vK3y/cvX1s+vPyh/vXG6viyR8uPe8sPzY+5fL34+w8uXyvOOvu88OuHyyfaq/ovPbn8rjna7PLtg97yg97l2+aMtOUn+vsf1b7eu3xTf/axNvEjbYc5Me0nl29oY942T8fj5SP9h7d65pgz87D0lv9bf/tnq6fm8o3e8v9rCHrPWU5R+3KvMOvx5Y/0F1dHpw0HA9OOpdE/9TF8dvnmVRt/sjrC7aH+5Nulbcay1wvbVkNinmINr3/QTzTqI/Nwm099YU6G0z/mSXGY3GurM+HMv7N6/h/oH/zm6hS34hA5c0Zc8XfXP958f9FoVrrn0wLODMCHxc//2AyQGZf3lj9d/mH5m+Uvl7/SH/3fy9/09X/e0Z96Tzv9n/RHP+3pr/6iOm/uyj/wC/31X/Wu/+13+rdffuXCXJ+kh/Snxra+/nEPtN8+1++lMb/4i8v3zQdPj/Wh7WU4Yr8M9fwtWKFjWgiuNhImI54KHdNGcJmx7USDaR1lSREYvygaOa4zYlu4xSpdVi6W+26ov8UnAyVU11U6rrmghqJW6UabKp3zmvfbfKtBJdXF1MvA7E08GMd8DFA8tanSjfauOsJTpeNSKCIF/ByZkd2vDKsZPOUbDOZAeP4KBJ4cDDwzPhWYN4lVOu+mKK6pYPqkVOlGmyqd80095VtMSamsR6ZaD/AHm5yNIF2lG+1ddYCnSsclAFMruUo32q+Mqhm74Bm7s1W6aOCs0vlvaH6GEwUMX6UTBCGs+qKLOPwqnSCnwjnxVRON9aXVzLc+K18+vDLpt863q7+2Wisx8+1hNBhcfi9KdHp66ZXikPmPlh+Yn1ksMVy+refyT5afFF97asXhx71ilm+WFB709YfvF5vMPl5vMYt7y8+e+RvmXmOzKvBY2/DD4t8vv+23+p80h8W/uV5/MJ78oPhBxfLHQ/1ls0LyqFhg0D/pWWNu//9e+wVmRe9F17f2ntMG/GC1nlMsgjwsl1I+6BXLUJ8XQ/uaWQ66/L7+vreLBUKzbtIrBmm9imj8cHXZ0IzlainCuEs7Sv9j+qd8WKxNfPDlZ228+Z+/+eo37mofFj/xc81fLACZR/vd5W96UaYdNqL9tV46KP/ST/WXPjXLPv1itUYPbS+9/F5S+P89/Rc/KxaDHppFo3eX/3v5215yEOm/q8zX/7dxkrb9i97tk158qC6/p6dq+vO/vPzJ6v5q82SsbxB4o1heMoyP9ECbla63zbgtH62MMM/id82w9b72yrdevndhPvuzwifFbsWn7idYLe3p8f2x7SU+En2JCZUafLXHU6MWRAlaoxbkCFijFqSgVskAX/iWmARJdqNOLQlIUCxdLJZUSyZZWdXMPMsmkuCE6AfP83GvzmThqG8gAtdUp272aC4Hbfb4PRVAzUQp4F6/yDVnGntwVeqeyGLWUuZCT9etHQdfPM+2F1xtRac8puxlVGl5d9MTLS0/XxVKjbJ9X39iPQ94Z/mzdeX66gVS1RVPqy9+0IuM3tZ67fJtG/kNNnmCkXdS3WaaqEgmMs07YpsHrrXiCtRdb2RaCK6bEoSlp97ItBFcMG0rGpnWURZHgfFzNSwyrdterXE4ONC/Dct1/7G/4MjFA3MfveCYRC558xW+tWDuo9Ybx5t649hTb+RaDWbALiS0gdmbeDCO+RhgOmtTbxzvXXWEp97IpVBECvg5MiO7XxlWM3jKNxjMgfA8BAg+uQk+ORh8Znw0MHnSio7uwHOHbymYQik1x/Gm5uh8W0/5FlPSKuuxqeZ2/oCTsxGka47jvasO8NQcuQRgdiXXHMf7lVE1Yxc8YwuxfT8bpPfvDfr3o8H9fnI3Hfeze+Nx/+7FRTJI4/tng2T9wjpnzp6lBPbs2VVzHA5onCigbY7t4aLMs20gz4uCEFbw0An4L4pCyOfrOkUxoX7TVKmK6tlreib99KGLRRFu1en6a/3rN3+zmnTfnvXVsLf8qW1AbogOiMIHpO2kVxKDsEBJmBx/uvzQhvKiKIpIeWZwaITesyg3RVHCVWgkKerKwUPRclIuSRGsOpNlh5mjOCPKRwjtXcwsy/mlnhmslvJXH9jAj2XBCbEPnhTBTp3JslHfPYStoTYDODSXgy6Up8qUigf37/UH9y5UP4nGUf/87mjQz+5nF+f30uzi7pl6aQvK07pWrJWn71JZ62BggOGVpyAIITyhyvOdp4o4Wm0+WbVP9U2blP7sF2v5+Wi9X8x00Mxf/tu//c6rL3/tbK07T6/f7o0Hg3j1p9np9MXe0eJ02rPvLb0hOkAKH6DWSlQQgxCNO1GigihCStTamnJTlCSgEBWkoCZDxBs2iokoRTAhOoyG6aFKbYS3ZAkJsb5TKToslcvQI0UlwQnBjy1Fk7E6HLu0qCQc9fVD4Jq0aLNHcznowOdZuNRl5MFLVVbH23ZfENdesCqKisMt9AVxyROMvIu+IK6JimQi07wjtnlgTZQgOF19QVwLwdImriM9fUFcG8GiZluFyLSOUsAExs+l/JjWbbEvKDZ9QeUlicPI2xfExgNzX7d9QWxrwdxH7AsaRlVf0NB5BfxtvtVgBuxCMhuYvYkH45iPAaazFn1B2varjnD3BbEpFJECfo7MyO5XhtUMnvINBnMgPO8Agk9ugk8OBp8ZHw1Mnt31BbEtBVMooS+oCjp3PG/rKd9iSlplPTbVXM4fcHI2gnBfUBVsSge4+4LYBGB2pfYF6WenMqpm7IJn7O5WZyJnX1BM40QBw1dnBEEIK3boBHwL1RnBAVL4ALWeBAtiEBYoCZNld3VGECVwdUaQJGB1RpCCujyMeMNGMRGl2JHqjCQhIdZ3MdWsJpxxuZYfeyadkuCE4AfPkkjVGUk46uuHwDVVZ5o9mstB73CPeuTsFEqog4EBhteigiCE+IRq0QA96oIDovABaa09BTEI4bcT7SmIIqQ9nT3qgigBxacgBTX7Ie6wUUxEKYKJT1+PuiQfIbR3Kj3LK+WHzivlj2XBCbGPLT19PeqSbNR3D2FrUp7NDs3loAP3BVlXJLSWVF68cR1v631BTHvrMeNPsC+ISZ5g5J30BTFNVCQTmeYdsc0Da6IEuensC2JaCJY2cRXp6wti2ggWNdvKQ6Z1lAImMH4u2ce0bot9QanpCxqVpXnfbd63+Hhg7uu4L4hrLZj7qH1BatMX5LwR+zbfajADdqGYDczexINxzMcA01mbviC1d9URnr4gLoUiUsDPkRnZ/cqwmsFTvsFgDoSnHUDwyU3wycHgM+Ojgcmzw74grqVgCqX0BalNX5DzbT3lW0xJq6zHpprL+QNOzkaQ7gtSe1cd4OkL4hKA2ZXcF6T2K6Nqxi54xu5uLSZ29gWlNE4UMHwtRhCEsGCHTsAD1GIEB0ThA9J60iuIQViPJEyO3bUYQZTQtRhBlIC1GEEK6now4g4bxUSUYidqMZJ8hNDexcyyml+WV9QPnVfUH8uCE2IfPCmCnTqTZaO+ewhbUy2m2aG5HPQOd6THzi6gEXUwMMDwylMQhBCeUOW5hY50wQFS+AC1VqKCGIRo3IkSFUQRUqLW+u9NUZKAQlSQgpoMEW/YKCaiFMGEqL8jXZKQEOs7laKjUrl4rmMXBScEP7YU9XakS8JRXz8ErkmLNns0l4MO3BeU2PC0uvRem5YO6nhb7wti2gtWRVFxuI2+ICZ5gpF30hfENFGRTGSad8Q2D6yJEgSnsy+IaSFY2sR1pK8viGkjWNRsqxCZ1lEKmMD4uZQf07ot9gWND47jaFCW5jN/XxAXD8x9HfcFca0Fcx+1Lyjb9AU57zm9zbcazIBdSGYDszfxYBzzMcB01qYvKNu76ghPXxCXQhEp4OfIjOx+ZVjN4CnfYDAHwvMOIPjkJvjkYPCZ8dHA5NlhXxDXUjCFUvqCsk1fkPNtPeVbTEmrrMemmsv5A07ORpDuC8r2rjrA0xfEJQCzK7kvKNuvjKoZu+AZu7vVmcTZFzSmcaKA4aszgiCEFTt0Ar6F6ozgACl8gFpPggUxCAuUhMmyuzojiBK4OiNIErA6I0hBXR5GvGGjmIhS7Eh1RpKQEOu7mGpWE85xuZbvubxaFJwQ/OBZEqk6IwlHff0QuKbqTLNHcznoHe5RT1ydQmvlQhgMDDC4FpUEIcQnVIvK96hLDojCB6St9pTEIITfLrSnJIqQ9nT1qEuihBOfkhTU7Ie4w0YxEaUIJj49PeqifITQ3qX0jMorUCPPnbai4ITYx5aenh51UTbqu4ewNShPwKG5HHTgviBlw9Na0ndNWpoO63jb7gvi2gtWRVEpuIW+IC55gpF30RfENVGRTGSad8Q2D6yJEuSmqy+IayFY2sRVpKcviGsjWNRsKw+Z1lEKmMD4uWQf07rt9QVFkekLitel+Wjo7Qti44G5r9u+ILa1YO4j9gVFw6ovKHLea3qbbzWYAbtQzAZmb+LBOOZjgOmsRV+Qtv2qI9x9QWwKRaSAnyMzsvuVYTWDp3yDwRwITzuA4JOb4JODwWfGRwOTZ3d9QWxLwRRK6Auqgs4dz9t6yreYklZZj001l/MHnJyNINwXVAWb0gHuviA2AZhdqX1B+tmpjKoZu+AZu7u1GOXqC1rfzw1zooDhazGCIIQFO3QCHqAWIzggCh+Q1pNeQQzCeiRhcuyuxQiihK7FCKIErMUIUlDXgxF32CgmohQ7UYuR5COE9i5mltX8MiqX7j13VYuCE2IfPCmCnTqTZaO+ewhbUy2m2aG5HPQOd6QrZxdQTB0MDDC88hQEIYQnVHmG70iXHCCFD1BrJSqIQYjGnShRQRQhJRrbSG6KkgQUooIU1GSIeMNGMRGlCCZEvR3pooSEWN+pFC3vO408N9iKghOCH1uK+jrSReGorx8C16RFmz2ay0EH7guyvqlaXSZevKiOt/W+IKa99aDxJ9gXxCRPMPJO+oKYJiqSiUzzjtjmgTVRguB09gUxLQRLm7iO9PUFMW0Ei5ptFSLTOkoBExg/l/JjWrfFviBl+oLSsjSf+PuCuHhg7uu4L4hrLZj7qH1ByaYvyHmv6W2+1WAG7EIyG5i9iQfjmI+REDEYpfpk76ojPH1BXApFpICfIzOy+5VhNYOnfIPBHAjPO4Dgk5vgk4PBZ8ZHA5Nnh31BXEvBFErpC0o2fUHOt/WUbzElrbIem2ou5w84ORtBui8o2bvqAE9fEJcAzK7kvqBkvzKqZuyCZ+zuVmdSZ1+QonGigOGrM4IghBU7dAK+heqM4AApfIBaT4IFMQgLlITJsrs6I4gSuDojSBKwOiNIQV0eRrxho5iIUuxIdUaSkBDru5hqVhNOVa7ley6vFgUnBD94lkSqzkjCUV8/BK6pOtPs0VwOeod71FNnp1BKHQwMMLwWFQQhxCdUiwboURccEIUPSGvtKYhBCL+daE9BFCHt6exRF0QJKD4FKajZD3GHjWIiShFMfPp61CX5CKG9U+lZXoEaee60FQUnxD629PT1qEuyUd89hK1JeTY7NJeDDtwXNLLhaS058uLFdbyt9wUx7QWroqgU3EZfEJM8wcg76QtimqhIJjLNO2KbB9ZECXLT2RfEtBAsbeIq0tcXxLQRLGq2lYdM6ygFTGD8XLKPad0W+4Iy0xc0LkvzI39fEBcPzH0d9wVxrQVzH7UvaLTpC3Lea3qbbzWYAbtQzAZmb+LBOOZjgOmsTV/QaO+qIzx9QVwKRaSAnyMzsvuVYTWDp3yDwRwITzuA4JOb4JODwWfGRwOTZ4d9QVxLwRRK6QsabfqCnG/rKd9iSlplPTbVXM4fcHI2gnRf0GjvqgM8fUFcAjC7kvuCRvuVUTVjFzxjd7cWM3L2BfnvS3uGEwUMX4sRBCEs2KET8AC1GMEBUfiAtJ70CmIQ1iMJk2N3LUYQpS4CPCj4LNpTixFECViLEaSgrgcj7rBRTEQpdqIWI8lHCO1dzCyr+WVWLt177qoWBSfEPnhSBDt1JstGffcQtqZaTLNDcznoHe5IHzm7gMbUwcAAwytPQRBCeEKV5xY60gUHSOED1FqJCmIQonEnSlQQRUiJxjaSm6IkAYWoIAU1GSLesFFMRCmCCVF/R7okISHWdypFy/tOI88NtqLghODHlqLejnRJOOrrh8A1adFmj+Zy0IH7gjIb3vU4HnjxkjretvuCuPaCVVFUHG6hL4hLnmDkXfQFcU1UJBOZ5h2xzQNrogTB6eoL4loIljZxHenpC+LaCBY1WypErnWUAiYwfg7lx7Vue31B8fBA/xatS/PxwNsXxMYDc1+3fUFsa8HcR+wLigdVX1DsvNf0Nt9qMAN2IZkNzN7Eg3HMxwDTWYu+IG37VUe4+4LYFIpIAT9HZmT3K8NqBk/5BoM5EJ53AMEnN8EnB4PPjI8GJs/u+oLYloIplNAXVAWdO5639ZRvMSWtsh6bci7XEHByNoJwX1AVbEoHuPuC2ARgdqX2BelnpzKqZuyCZ+zuVmcc81E9f/bfl/YMJwoYvDojCUJYsUMn4OGrM5IDpPABaj0JFsQgLFASJsvO6owkStjqjCRJuOqMJAV1eRjxho1iIkqxG9UZUUJCrO9iqllNOIfrtfzYc3m1KDgh+MGzJEp1RhSO+vohcA3VGcCjuRz0DveoZ65OoTiiDgYGGF6LCoIQ4hOqReV71CUHROED0lp7CmIQwm8n2lMQRUh7unrUJVECik9BCmr2Q9xho5iIUgQTn54edVE+QmjvVHqWV6DGnjttRcEJsY8tPT096qJs1HcPYWtSns0OzeWgA/cFjW14WkvGXjxVx9t6XxDTXrAqikrBbfQFMckTjLyTviCmiYpkImCemUke9OLe5d/rQX6w/OPy0WFPS/FHyy+u9V78SqT/8G7NHTe/8+3/cPFqb/bqN75+8e2Lv/1WsWycDqJh7zntzcfaU+uF54/1h+aPhcr/cq/f0/L+wXpKYJafr/xU/Zce689VvtYWPF4+6mmTPjeTBf2XPtS2vKM/0n/j8vXe8gv9qT/qP7xm/jEzi3iiP2V+mv5j8VMeXTPf/2trhD5iOwCs+hIEtbPziWkhWLzFdbKv84lpI1i2bSuAmdZRSrTA+EUj66rjhG3fFnufEtP7pMr2g9jf+8TFA/N7x71PXGvB/E7tfYo3vU/Ou1tv860Gs3wXswIDszfxYBzzMcCU3ab3Kd676ghP7xOXQhEp4OfIjOx+ZVjN4CnfYDALwlMrIPjkJvjkYPCZ8dHA9EnrfUqTyN37xLUUTKKU3qd40/vkfFtP+RZTEivrsanmq/6Ak7MRpHuf4r2rDvD0PnEJwOxK7n2K9yujasYueMbubr1p7Ox9SmicKGD4epMgSF16+BwELjIEqDcJDojCBwSf2NswjkQxCGuuhOmxu94kiBK63iSIErDeJEhBXfMG3JEMDxMbyEQUZCdKTpJ8hOjexeSymmImZYXCcyW3KDgh/MHzItipM1k26uuHsDWVnJodmstB73Dj/djZ7KSog4EBhhefgiCE8ISKzy003gsOkMIHqLUYFcQgRONOxKggipAYtU7Vb4qSBNSighTUZAh4I4sOraeRTERBgmlRf++9JCEh3HeqRsubXWPPXb2i4IT4x1aj3t57STjqG4jANcnRZo/mctBhO6DsO1i1wEy9eGkdb+sdUEx760HjT7ADikmeYOSddEAxTVQkEwHz/B1QMdoBNRwMVe85/R1myfmNok/p7bWXig6lsudp1Z10+eNOGqI67YhiOgSsBRNUtrMjimkhWNLFxbOvI4ppI1jMbSuLmdZRCrfA+EVRcqhsFk7YFm6xJ2pkeqKysi0h9fdEcfHAjN9xTxTXWjDjU3ui0k1PlPPe2tt8q8G838VEwcDsTTwYx3wMMIm36YlK9646wtMTxaVQRAr4OTIju18ZVjN4yjcYzIPwbAsIPrkJPjkYfGZ8NDCBdtgTxbUUTKOUnqh00xPlfFtP+RZTUivrsalmsP6Ak7MRpHui0r2rDvD0RHEJwOxK7olK9yujasYueMbubFkqHjh7okY0ThQwfFlKEISwTokuO2yhLCU4QAofIHzqb8M4EsWoiwQPBmHC7C5LCaIELksJkgQsSwlSUBfFAW+ko8P1kvaz83RBkh2pS0kSEuJ9F9PNatI5KqsYngvKRcEJARCeKZHqUpJw1FcQgfN6dIZ4NJeD3t0efa1HXW1S/qv0LIOBAYbXo4IghPiE6tEAPfqCA6LwAWmtPwUxCOG3E/0piCKkP509+oIoAQWoIMX/n72/bY4kOe580a+Cl1qgC5YPEfmga/tiZrbZt4bTAwyyMUCVRiarwsNZmiRyjaTOuXbMZCaSoqQ1aZfSavdeGSlpltTaOfvi2r3DhxGHnOHMVyh8oxORQBWmExkRf/dKj6yyQ+6qprsBdPvPI9L97+ERGdTsBwxHnh8XZe+ATEVRoilQ3y59ST5CfB9Uf67vus09lxeLghMCIFt/+nbpS7JRH0CELSQ/wwPayEFH3hblWuCsvXhlF2/0bVFMe8H2KKoHx9gWxSRXGPkg26KYJmqSiYB5/m1RFbotqkgS/TuvvwrqYPWZGaLvD7IBasj9T0zPg31fgpx27n9iWgi2b3GV7Nv/xLQRbNxuK3+Z1lGatIj/+uXBlG3feLufVPLMfKTrDQi1f/cTFw9M7APvfuJaCyZ26u6n+nH3k/N23nf4VoPpfYhywMIcTj0YL/kYYK7eZvdTffj6QHh2P3EpNJECnkfWs0cbwzoGn/ANBrMgXFMBwaexwacBg88pHw1MnwPufuJaCiZRyu6n+nH3k/NpPeNbTEmsrGmzKVT9AadhI0jvfqoPXx8Az+4nLgGYXcm7n+qjjVEdY895xu5utyl17X5SCY0TBYzebZIEIaxGoqsL8t0mSYdo3CF4Rd+H8VwUg7DYSiiPnd0mSZTI3SZJlHjdJkmKrnLwUKBleVb2YUxFMXah0yTKR4jtQ5SW6wJTJQ+NCeW5cl0UnBD84KoIHtRTWTbqw4ewBTpNwIA2ctA7vPE+dW10Uv6bAHucgQHGl56CIITwhErP+BvvJR2kcQdtLUUFMQjReBApKogiJEXzPpIXoiQRlaggBTUZAqOhVR/GVBQjmhL17roXJSQE+0G16PreXuW5iVkUnBD92FrUt+teFI76/CFwITEaHtFGDjrytieXvMy8eFUXb+xtT1x7wb4oqg5H2PbEJVcY+RDbnrgmapKJgHn+bU8p+joonWTq4HdWPzff+und9+yo7t4VeFyfg61egox2bXjiWgh2bHF17NnwxLUR7NVuq3uZ1lH6soj/skr3FxhTtokj7nnK7Z4n9bDtQGXePU9sPDCrD7vniW0tmNWJe55UttnzpJw3D7/DtxrM7UMUAxbmcOrBeMnHABP1FnuejO2vD4R7zxObQhMp4HlkPXu0Maxj8AnfYDARwhUVEHwaG3waMPic8tHADDrcnie2pWAeJex52gSd9zxP6xnfYkpuZU2bTZXqDzgNG0F4z9Mm2KwHwL3niU0AZlfqniczdzZGdYw95xm7u42nzLnnKadxooDxG0+CIIS1SHRpYYTGk6CDNO4gvLzvw3guikFYeiVUzO7GkyBK5MaTIEnExpMgBXXhGxiN3NTpunfL7lQUZUeaT5KEhIA/RL25qTrzdavCc/+6KDghAsKlEqn5JAlHfQYRuFDzKTyijRz0Dm/Cz5w7oRTVGRhgfEEqCEKIT6ggjbAJX9AhGnfI1gJUEIMQfgcRoIIoQgLUuQlfECWiAhWkoGY/YDjSOjsu694RmYqyRJOgvp34knyEAD+oAF1f5Ks8NzOLghMiIFuA+nbiS7JRn0CELaQ/wwPayEFH3vzUuzhhFKX24tVdvNE3PzHt7caMPdz8xCRXGPkgm5+YJmqSiYB5gc1PGtz8lCZpdvA7dvOSfdNTu9j8+cT8bR8btf9dq/V3bicUcwDABjBBVjt3QjEtBPu4uFr27YRi2gh2cLeVwUzrKN1axH9Jeqz6LJyyLRxxI1RhN0KV670I2r8RiosHZviBN0JxrQUzPHUjlH7cCOW8gPgdvtVgnh+iLrAwh1MPxks+Bpi0t9kIpQ9fHwjPRiguhSZSwPPIevZoY1jH4BO+wWAehIsrIPg0Nvg0YPA55aOBCXTAjVBcS8E0StkIpR83Qjmf1jO+xZTUypo2m4rVH3AaNoL0Rih9+PoAeDZCcQnA7EreCKWPNkZ1jD3nGbu7fafcuRGqoHGigPH7ToIghGVJdJkhQt9J0CEadwhe2vdhPBfFIKy6Egpkd99JECV230kQJWLfSZCCuuoNDEeqj7PeMD4VJdmJrpMkHyG8D1FdbmrMYt2k8FyxLgpOiH9wYQQP6qksG/X5Q9hCXafwgDZy0Du8DT937noqqc7AAOOrT0EQQnhC1ecI2/AFHaRxB22tRgUxCNF4EDUqiCKkRns73S9ESSKKUUEKajIERiNPjvsPkU1FSaKJUf8ufElCQrwfVI6ur+lVnouXRcEJAZAtR7278CXhqI8gAhfSo+ERbeSgI++CUn14RmF6L/Yrky7e6LugmPaC3VFUII6xC4pJrjDyQXZBMU3UJBMB8wK7oMw0w7ZBWQmfHfyO+Q6j+G0B8NN2B9Qu7n9iuh7s+xIEtXP/E9NCsH2L62Tf/iemjWDjdlsFzLSO0qQF/Jc5mmVTtoEjbn+qn73MdbLegVD5tz9x8cDUPvD2J661YGqnbn+qHrc/OS8afodvNZjgh6gILMzh1IPxko8BZutttj9Vh68PhGf7E5dCEyngeWQ9e7QxrGPwCd9gMA3CZRUQfBobfBow+Jzy0cD8OeD2J66lYBalbH+qHrc/OZ/WM77FlMzKmjabUtUfcBo2gvT2p+rw9QHwbH/iEoDZlbz9qTraGNUx9pxn7O42oJRz+1NN40QB4zegBEEIC5Lo+sIIDShBB2ncQXiN34fxXBSDsP5KqJfdDShBlMgNKEGSiA0oQQrq6jcwGsVx3TscU1GQHek/SRISwv0Q1eam5qzX3QrPneui4IT4BxdKpP6TJBz1CUTgQv2n8Ig2ctA7vBtfufZD6YTqDAwwuhyVBCHEJ1SOyu/Gl3SIxh2yrfyUxCCE3yHkpySKkPx07caXRImnPyUpqNkPGI78WBW94zEVJYkmQD278UX5COF9SPmp15f3as9tzKLghPjHlp+e3fiibNTnD2ELqE9gQBs56Mi7n3oDkdGT3vv9yrSLN/buJ669YHMUlYMj7H7ikiuMfIjdT1wTNclEwLzA7id081Oa5PYCvHYXUjtarcSXeA8UbyPUcd8wPGcPA9gCJkhr104oroVgJxdXzJ6dUFwbwR7utlKYaR2lX4v4rzrWfQZO2QaOtxNKZ3YnVP6wGUGn3p1QbDwwzQ+7E4ptLZjmiTuhdLrZCaWddw+/w7caTPZDFAcW5nDqwXjJxwAz9xY7oYztrw+EeycUm0ITKeB5ZD17tDGsY/AJ32AwDcIVFhB8Ght8GjD4nPLRwPw53E4otqVgFiXshNoEnfc8T+sZ32JKZmVNm03Z6g84DRtBeCfUJtisB8C9E4pNAGZX6k4oM3c2RnWMPecZu7utJ+3aCaUzGicKGL/1JAhCWJtE1xoitJ4EHaJxh+D1fR/Gc1EMwtIroT52t54EUWK3ngRRIraeBCmoS9/AcGTHZdk7HlNRkp1oPUnyEcL7ENXlpsbM1p0Kz83rouCE+AcXRvCgnsqyUZ8/hC3UegoPaCMHvcP78LVz41NOdQYGGF99CoIQwhOqPuPvw5d0kMYdtLUaFcQgRONB1KggipAazftIXoiSRBSjghTUZAiMhj7Wug9kKgoSTYt69+GLEhLC/aBqdH13r/bcxiwKToh/bDXq24cvCkd9AhG4kBwNj2gjBx15J1Tvk2oEpvLiZV280XdCMe3tBo093AnFJFcY+SA7oZgmapKJgHlf+ao+Tp8dpJPc7oV6drD6B+PZT+/+s3V6OwZ/YXS83Z10sPrC/P5jo+t/1m49+uTLG57uNyE9Dpr9g7s/bzX/R30OeM52ANh8Jaha5x4kpoVgDxUXq749SEwbwe7ptjKUaR2lUwr4L9O5cxMS08IRNyFpuwmpWO8DUP5NSFw8MMMOvAmJay2YYambkNTjJiTnHcDv8K0G8+wQwtzCHE49GC/5GIqIwdgXoA5fHwjPJiQuhSZSwPPIevZoY1jH4BO+wWAehKsbIPg0Nvg0YPA55aOBCXTATUhcS8E0StmEpB43ITmf1jO+xZTUypo2m4rRH3AaNoL0JiR1+PoAeDYhcQnA7ErehKSONkZ1jD3nGbu7baDCuQlJ0zhRwPhtIEEQwrogWuaP0AYSdJDGHYSX2n0Yz0UxCMughILZ3QYSRIncBhIkidgGEqSgLkIDo1EWx4nuI5mKkuxIH0iSkBDvhyg3N0WnXncNPNegi4ITAiBcKZH6QJJw1EcQgQv1gcIj2shB7/Cm+MK5LamgOgMDjK9HBUEI8QnVoxE2xQs6ROMO2Vp/CmIQwu8g+lMQRUh/OjfFC6JEFKCCFNTsBwxHXh0nWe+ATEVRoilQ3654ST5CfB9Uf65v09We65FFwQkBkK0/fbviJdmoDyDCFpKf4QFt5KDN/37/2b1Y+T2fvBx4O1LZh2mEZenB1EXVxYy2Hal3SeVNtr1gmxTVhdtvR7LfYf8K+8Orn+Gbkpj8CuMfZFMS00RNMpFp3nO2eWCrlKBAnVuGmBaCHU9cWPq2DDFtBHud2ypGpnWUvibgv17fTdnWjbhdqLLbhep1x770bxfi4oEZkLFdqHR17b/KtxbMgNTtQuXjdiHnZbnv8K0G8+AQ+tnCHE49GC/5GGA622a7UHn4+kB4tgtxKTSRAp5H1rNHG8M6Bp/wDQZzIFyEAMGnscGnAYPPKR8NTJ607ULuwPMe31IwhVK2C5WP24WcT+sZ32JKWmVNm01l5w84DRtBertQefj6AHi2C3EJwOxK3i5UHm2M6hh7zjPWWntVJvlNcm2KZ10tJ6q4vposbuqbSa0WS3Vzq2/TqwceZ/3sWUhg19DO7UK+W+p6OFHAvkrbw0WptvtA3hQFISzfoWX4l7cLbTYCHaw+tHeI3/35weq/rX5mf3lQvr43qI/9LVF2jbNvXd8KYhAWIgl1sLsTI4jSzfceFLxgdu8EEiSJ2IgRpKCuAyOj0UcxFaWI1oOp8+q4rPoA35YFJETxIYrITSlZrdfsPZeBi4ITYh9c/5A2AUnCUZ8+BC7UhQmPaCMHvcObgErnJqCa6gwMML7KFAQhxCdUZUbYBCToEI07ZGvpKYhBCL+DSE9BFCHp2VubvhAliSg9BSmoyQ8ZjT6KqShFNOnp2/4jyUeI7IMqz/XlsdpzHbAoOCH0sZWnb/uPJBv12UPYQsIzPKCNHHTktxD1lohv5EXiwSvKvIs39rYfrr1guxNVgqNt++HyK4x/iG0/XBM1yUTAvMCtbMr87p/NV35h3zvUNyaT3kvaDuokLY63v4KNdQNbn8efsz0OdnEJMtq1k4lrIdiMxdWxZycT10awDbul7uVaR2m5Iv4rk+PeVDJlWzjebqYifWY+socNBUXi3c3ExgMT+7C7mdjWgomduJupSDa7mQrn5bfv8K0G0/sQ5YCFOZx6MF7yMcAsvcVuJmP76wPh3s3EptBECngeWc8ebQzrGHzCNxjMg3BNBQSfxgafBgw+p3w0MIHSdjOVieuta+/xLQXTKGE30ybovOd5Ws/4FlNSK2varAvVQMBp2AjCu5k2wWY9AO7dTGwCMLtSdzOZubMxqmPsOc/Y3e0zOV75+4YJUTROFDB6n0kShLAaia4uyPeZJB2icYfgtXwfxnNRDMJiK6FAdvaZJFHi9pkkSeL1mSQpqGvdwGik5XHiqssFSXah1yTKR4juQxSXmxIzfWhNFJ6LvkXBCeEProvgQT2VZaM+fwhboNcEDGgjB73DW+kr1yanIqM6AwOMLz4FQQjhCRWfg26ll2TXOPvWOlMQgxBoB9GZgihCOrN3br0QJYmoMwUpqHkOGA1twrbqI5mKkkTTmb7t9KKAhEg+qNBcXwxbeG76FQUnxD+20PRtpxeFoz6BCFxIaYZHtJGDti81+lLosQIy5suN6j5coyVzD64uky5upF1OteuuNa69YBsUlYL/vPqp3bhy9xebdch2p8r9KuT3HzenfGmny/2GJ7un5Zft/phPjFZ8uL/rr9r3uK+3Ov3a/iWrj1afmW/5S/Prh2u+nn35K5+vft7+6jft7WAPW2O+aE367sPfuvqFkaLJs8zuPDF/791f3X23z6VvsV2qMJcOsnGKaaImmcg07znbPLC7ShC3zl1GTAvBJimuWX27jJg2gu3RbdUo0zpKKxTwX6/vpmzrRtxhpOwOI3vHWlHYj3Ld7s/9e424oGB6pe81ygyKe7MR11wwv1I3G+WPm42c98u+w7cazLJDyHQLczj1YLzkY4CZbZvNRvnh6wPh2WzEpdBECngeWc8ebQzrGHzCNxhMh3CtA8ShxsahxsahxsahBoxDp3xIMKPSth15YtB7fFPBxErZd5Q/7jtyPrhnfIspyZY1gzalpD/2NGwE6X1H+eHrA+DZd8QlADMted9RfrQxqmPsOc9Ya+1VVudZli4n13V+NVEqU5MqS5LJTbqs62WZFuXNQ1JzFuqelQt2se7cd6RonChgX0nv4aKU9X0gb4qCdFWIb4DAev//86WS3dT6/4cp6X/ZFuOm3jal/fM8/wObNhJlDyl93F7f/dP2q7b8/3xy/4d2U1KfN94S9YbGvbF1HSyIQVgMJdTL7maQIIpQM6j/QoUXoigRu0GCFNS1aGQ4+iimohTROkHKzLWyj+9tWT5CXB+iwtzUmWrdNvDc6i0KToh9cHEED+qpLBv12UPYQn2g8IA2ctD3293VdVle3eSTZVpVE1XobLLIb5YTVS+u02WxuK701QcjyM7e5WMjOzXVGRhgfNkpCEIIT6jsfLrd/WEPe/+u9/vz1sidwH3eeUvUOxr3ztYyVBCDEIoHkaGCKEIy1HXRmiRKRBkqSEFNhchw9FFMRSmiydCiOlauje+SfIQ4P6gMXd8IW3ju+BUFJ8Q+tgx1DuqpLBv12UPYQjI0PKCNHHQrQ5f1tV6ovJpki7Q231vdTpZ6kU2qQlXX1+n1daYfQmtcGZr3OcPI0ILqDAwwvgwVBCGEJ1SGfviwsWj9Lqdf2a1In64+Xv3qQY4erP6l3Yr05+2WKLtM2r79x6rN+2//YvX5gflr/mH1w0l7IvNvV/+0+q/m87+vftLnobdEPaRxD20tRQUxCOF4ECkqiCIiRdP+avaFKElEJSpIQc2GwGi4lKggRTQlmhbHddHH97YsHyHUD6pE15fDFp7bfkXBCaGPrUSdg3oqy0Z99hC2kBIND2gjB90q0UWRJYskv52Utwt7XDNNJ4vb25uJ0tfZ7eImudK3yw9GUKKqzxlGiZZUZ2CA8ZWoIAghPKFK9Ic9e+M/sQLzS9vhD756883FHy8O/njxzcX//r9/7UGiGtn5Sbtm+qsHydq8SLUq3334XZYkd983Hwfmr/6sz1VvibpK467aWpIKYhDiMkGSOje1C5IIKdKkt8X2QhQloiQVpKCmRWA4XJJUkCKeJM0rdVzrPsK3ZQkJUX9QUVquNYznMl1RcELwY4tSrfRx7loflYSjPn4IXEiVhke0kYOO+xL6/jVvozMrD15Rqi7e6MczmfZ2g8Zvj2c+yk6mSxXm0kGOZzJN1CQTmeY9Z5vXDeiCxzOZFoKHSUgK1Xk8k2kjeIpkW+nJtI5yYgTwn0tSMq0b8Xhm/exlbtKn+bCvgi83b2Ou/MczuaBgeh36eCbXXDC/Uo9nVo/HM503Pr7DtxrMskPIcgtzOPVgvORjgJltm+OZ1eHrA+E5nsml0EQKeB5Zzx5tDOsYfMI3GEyHcG0DxKHGxqHGxqHGxqEGjEOnfEgwow55PJNrKphYKcczq8fjmc4H94xvMSXZsmbQpnT0x56GjSB9PLM6fH0APMczuQRgpiUfz6yONkZ1jD3nGdsK3OQ2u9ZqOVkstZ6ofKkmyzRPJgt9W91W+qZM6ofHwFmoe1Yq2MW683hmTeNEAeO3hQRBCAuEaL2/RVvo7+wdZ+0mpfb3Oknq+y/8sL2Q7OPVr2yl/lDlf3H/TetmUZ/v3hL1ncZ9t3XVLIhBWCodoroWJIndJxJE6eoJD8q2xbogBXWhGhgOV1EvSBGtT1Qr7VCmb8sCErLAEPXopipd32xbeK4qFgUnxD64lMJH9VQWjvr0IXChNlF4RBs56N3dRm8P9PY54w1TTlOdgQFGV6mSIIT4hKrUEbbRS3pI4x7aVotKYhDiMUGLOrfRS6IIidHeMPJClCSeFpWkoGZDYDQcWlSSIpoW9WyjF+UjhPohpWiZPAiX0nNhrig4IfSxpahnG70oG/XZQ9gCShQY0EYOenffK6IcF5UYJZpSnYEBxleigiCE8IQq0cjvFZH0jsa9s7UKFcQghOJBVKggiogKdb9XRBIlogwVpKCmQmQ4+iimohTRZKjnvSKifIQ4P6gMXd+/WHou1BQFJ8Q+tgz1vFdElI367CFsIRkaHtBGDnp336psZKjqc4aRoRnVGRhgfBkqCEIIT6gMFX6rsqQ3NO6NrWWnIAYh9A4iOwVRhGSn663KkigRZacgBTX1IcPRRzEVpYgmOz1vVRblI8T1QWXn+jLG0nO9pig4IfaxZafnrcqibNRnD2ELyc7wgDZy0JGPazr2f5a5F0938cY+rsm1txszfntc81F0Ml2qMJcOcVyTa6Immcg07znbPPB8CkHHujaUci0ED5fg8tRzXJNrY1d7yhzX5FpHOUEC+M+lJ5nWjXdcs7S3aZb2Ns3S3qZZrm+xK/23abJBwfQ68HFNtrlgfiUe1ywfb9MsPbdpsq0Gs+wQqtzCHE49GC/5GGBm2+K4Zvl4m2YZuE2TTaGJFPA8sp492hjWMfiEbzCYDuHSBohDjY1DjY1DjY1DDRiHTvmQYEYd8Lgm21QwsRKOa5aPt2m6H9wzvsWUZMuaQZvS0R97GjaC8HHN8vE2TX/cecUnADMt9bhmaW/T7I855zxjd7fvk7qOa5aKxokCxu/7CIJ0VYhvgMB6X7rvI+gNjXtj6zpYEIOw9kmol919H0GU2H0fQZSIfR9BCuraMzIcfRRTUYqd6PtI8hHi+hAV5qbOXF++WHpu0xQFJ8Q+uDiCB/VUlo367CFsob5PeEAbOegd3vXuODhlZKemOgMDjC87BUEI4QmVnbF3vQt6R+Pe2VqGCmIQQvEgMlQQRUiGOne9C6JElKGCFNRUiAxHH8VUlCKaDPXtepfkI8T5QWXo+vLF0nObpig4IfaxZahv17skG/XZQ9hCMjQ8oI0c9A6/BiR1Hr4sqM7AAOPLUEEQQnhCZegYrwER9JDGPbS1FBXEIITjQaSoIIqIFHW/BkSQJKISFaSgZkNgNFxKVJAimhL1vQZEko8Q6gdVouvLF0vPbZqi4ITQx1aivteASLJRnz2ELaREwwPayEHv7m2aRomqPmcYJeq7xKnXGRhgfCUqCEIIT6gS3eK1yVvfpinpKo27amtJKohBiMsESerc1C5IIqRIXW9JlkSJKEkFKahpERgOlyQVpIgnSX23aYoSEqL+oKJ0ffdi6blNUxScEPz4otQ9rKeydNTnD6ELydLwkDZy0JHPZ7o675UXr+jijX4+k2lvN2r89nzmo+5kulRhLh3kfCbTRE0yETDPvj/o2UF+cPefjJ8/Wv3r6pPjg9VPjOr/4ncPvvLVus/652zruwFf8Pgm00LwsAlJwTqPbzJtBE+ZbCtNmdZRTpQg/kuL3t7WlG3giCc47YWblb1ws7IXblbri+5K/4WbbFAwAQ99gpNrLpiBqSc4Hy/cLD0XbrKtBvPwEMrdwhxOPRgv+Rhg7tvmBOfjhZtl4MJNNoUmUsDzyHr2aGNYx+ATvsFgRoTLHyAONTYONTYONTYONWAcOuVDgkmVdoIz16pwn+DkmgrmVsoJzscLN90P7hnfYkq+Zc2gTXHpjz0NG0H6BOfjhZv+uPOKTwBmWvIJTnvhZn/MOecZu7udo8x5grOmcaKA8TtHgiCENUR0RWDUzpGgqzTuKryM/pK3Pu9z0Mt7B9krRz+3ixrt1z9/drD66O7P7r57bDxUp1mdJO8+O7j7i3bV5bsHj2dg7S/bP7u/xtR8j/0Hfmn+MfMNB3mSHOYP7jRfskcfPr37j+0QfHRQ3f+p+fzo/lCE/QuO+7z+XNTrhLXeIcp/QZLYjS5BlIiNLkEK6kI7MhyZUo43AE5FWSK3u1x7sCQJCalqiKJ5Uzqv75AsPbeCioITQiBc73WHVSt9nLuOA0jCUR9CBC7U7QqPaCMHvcPHATLXqdTKfzFVjzMwwOhSWhKEEJ9QKT3CcQBJD2ncQ7iC7sN4LopBiMcESeo8DiCJIqRJe8PIC1GSeJJUkoKaDZHRyGt93KvXpqIo8RRpcZz2Tri3ZfkI8X5IPVqtb5KsPFeDioIT4h9bj9pB7S2jTmXZqA8gwhaQo8CANnLQO/ySlMx1OrXyX1DV4wwMML4cFQQhhCdUjkZ+SYqkdzTuna2lqCAGIRQPIkUFUUSkqPslKZIoEbWoIAU1FQLDkZbqWPUOyFQUJZoW9bwpRZSPEOwH1aLr6yQrz/2gouCEAMjWop43pYiyUR9AhC2kRcMD2shB7/B7ojPX+dQqozoDA4yvRQVBCOEJ1aLC74mW9IbGvbG19hTEIITeQbSnIIqQ9nS9J1oSJaL2FKSgpj5gOLI6OS57B2QqihJNe3peFi3KRwjug2rP9Z2SleeSUFFwQgBka0/Py6JF2agPIMIW0p7hAW3koCMfQs378IyazL14ZRdv7EOoXHu7MeO3h1AflSfTpQpz6RCHULkmapKJgHn+Q6hpb9fzOdt88MwNQey6tqFyLQQPzOAa1nMKlWsjeFJmW3HKtI5yKgbwn67zY91n4ZRt4XjHUCt7kWhlLxKt7EWi1foCv8p/kSgbFEzBAx9DZZsL5mDiMdTq8SLRynORKNtqMBMPodwtzOHUg/GSjwFmvy2OoVaPF4lWgYtE2RSaSAHPI+vZo41hHYNP+AaDKREuf4A41Ng41Ng41Ng41IBx6JQPCWbVAY+hsk0FkyvhGGr1eJGo+8E941tMSbisGbQpL/2xp2EjCB9DrR4vEvXHnVd8AjDTUo+h</t>
  </si>
  <si>
    <t>VvYi0f6Yc84zdncbRLnrGGqlaJwoYPwGkSBIV4X4BghcE5BuEAl6Q+PewGvlPoznohiE9VFCzexuEAmixG4QCaJEbBAJUlDXp4HhSFV1nDs7RIIsO9EhkuQjRPch6sxNtbm+fbLyXCcqCk6IgHCJBA/qqSwb9QlE2EIdovCANnLQO7xTPnce3NRUZ2CA8cWnIAghPKHiM/ZOeUHvaNw7W4tRQQxCKB5EjAqiCIlR5055QZSIYlSQgpoKgeGo6uOkvzqYiqJE06K+nfKSfIRgP6gWXV9BWXnuFBUFJwRAthb17ZSXZKM+gAhbSIuGB7SRg97hl4jkzlObBdUZGGB8LSoIQghPqBYd4yUigh7SuIe21qOCGIRwPIgeFUQR0aPul4gIkkSUo4IU1GwIjEaZOt4NNRUliaZGfe8QkeQjhPtB1ej6GsrKc6+oKDgh/LHVqO8dIpJs1OcPYQup0fCANnLQrRotk9vsWqvlZLHUeqLypTIaNk8mC31b3Vb6pkzqUdSo6nOGUaP+26x6nIEBxlejgiCE8ISq0S3eDv13RrO27zG+/71Okvr+Cz+066hW0NpN9g8b9L+4/6b1O6P7fPeWqO807rutdaogBiFQE3Sqc+O7IImQTHW9f1kSJaJOFaSg5klgOIpcHyfON4wIskRTqrXSjm2jb8sCEnLBoFJ1fTVl5bltVBScEAHZUtU9qqeycNRnEIELadXwiDZy0JHPebrUZ+XFq7p4o5/zZNrbDRq/Pef5qD2ZLlWYSwc558k0UZNMBMxLNyc8v3y+M++drM/ZZncDveD5TqaF4EkUknx1nu9k2tjVpkLnO5nWUY6bAP5TRZ95U7Z5Ix7utHeM1vaO0dreMVqv7/ar/HeMskHBvDv04U6uuWDipR7ufLxjtPLcMcq2Gky/Q+h1C3M49WC85GOAKW+bw52Pd4xWgTtG2RSaSAHPI+vZo41hHYNP+AaD+RAueoA41Ng41Ng41Ng41IBx6JQPCabUIQ93ck0FMyvlcOfjHaPuB/eMbzEl27Jm0Kam9Meeho0gfbjz8Y5Rf9x5xScAMy35cKe9Y7Q/5pzzjLXWYpcoWR5nBe9ZwmBX8c7DnTWNEwWM30USBCGsHKILAVt0kba+Y1TSVRp3FV4992E8F8UgLJkOUU0LksRuGgmidOWDB2Xb4lyQgrpgDQyHqo+z3qk1FSWJ1jLyXtkpSkiI/EPUoJtKdH3BY+W5slMUnBAA4fKpf1h1H92pLB31GUToQk2j8JA2ctA7vN1euY5+1v4bo3qcgQFGl6aSIIQAhUrTEbbbS3pI4x7aVpFKYhACMkGROrfbS6IISdLeMPJClCSeIpWkoGZDYDS0du22lwSJJ0jdu+1F+QjRfkg5Wq8veKw9N3aKghOiH1+Ounfbi7JRHz+ELSBGgQFt5KB3+D0kynX2s/ZfGdXjDAwwvhgVBCGEJ1SMRn4PiaR3NO6drYWoIAYhFA8iRAVRRISo+z0kkigRlaggBTUVAsNRHNd9HFNRjmhC1PMSElE+QqQfVIiub3esPdd1ioIToh9biHpeQiLKRn36ELaQEA0PaCMHvcNvY1auY591RnUGBhhfiAqCEMITKkSF38Ys6Q2Ne2Nr4SmIQQi9gwhPQRQh4el6G7MkSkThKUhBTX3AcKSp6+IkSZBoytPzKmZRPkJoH1R5ru92rD2XdYqCE8IfW3l6XsUsykZ9/BC2kPIMD2gjB23+9/vP7gXX7/mU5cCHOXsDktGUuQdTl2kXM9phzt4ey5tse7ux4/8Ghzk/N+oUOczJdanCXDrEYU6uiZpkItO852zzwEMqBEnr2mbKtRA8YYIrVc+hTa6N4NGSbSUo07puftvy0Gav76Zs68Y7s1nbCzlreyFnbS/krNcX4dX+CznZoGB6ZZzZrKvceWaTbS6YX4lnNuvHCzlrz4WcbKvBLDuEOrcwh1MPxks+BpjZtjizWT9eyFkHLuRkU2giBTyPrGePNoZ1DD7hGwymQ7jEAeJQY+NQY+NQY+NQA8ahUz4kmFFpZzY9Meg9vqlgYiWc2awfL+R0P7hnfIspyZY1gzYlpD/2NGwE4TOb9eOFnP6484pPAGZa6pnN2l7I2R9zznnGWmuTRNcqUdcTfX17M0nTm9tJnahsUl3XC3WV3xR5dnXP4yzUPSsW7GLddWazVjROFLCvpPdwUcr6PpA3RUG6KsQ3QGC9/+GmtP7IV4Z/dPeDhz1Kb7zI8vtfPW8R739d2BOa7UfqO6Up6RyNO2frslgQg7AkOkT5LEgi0hBK+wPIC1GSiP0gQQrqgjQwGq6iXZAiWjMoS/LqONF9hG/LEhLC/BAF56bsXF/kWHtu5hQFJ8Q+uFZ62sJMsmPt2ookSUd9/hC6UEMoPKSNHPQOH9B0HOUxOlRTnYEBxtehgiCEAEXVoTEPaAp6SOMe2lqMCmIQAjJBjLq3JwmiCKnR3jDyQpQkohoVpKBmQ2A0XGpUkCKaGk0L58tCRPkIoX5QLbq+yLH23MwpCk4IfXwt6hrUU1k26rOHsIWUaHhAGznoHd4Ur52nMwuqMzDA+EpUEIQQnlAlKr0pXtAbGvfG1qpTEIMQegdRnYIoIqrTsyleECWi7BSkoKY+ZDj6KKaiFNFkp29HvCQfIa4PKjvXNzbWnis4RcEJsY8tO3074iXZqM8ewhaSneEBbeSgd/ilINp5FtN3x1OvMzDA+LJTEIQQnlDZGfulIILe0bh3tpahghiEUDyIDBVEEZKhzpeCCKJElKGCFNRUiAxHH8VUlCKaDPW9EkSSjxDnB5Wh68sYa8/1mqLghNjHlqG+V4JIslGfPYQtJEPDA9rIQUe+XbN3RdsIy8qDV5R1F2/0A5lMe7sx47cHMh9FJ9OlCnPpIAcymSZqkolM856zzevGc8EDmUwLweMjuDz1Hchk2gieG9lWdzKto5wRAfzn0pNM60Y8kFk/e6mSxH6k9mN9eV3tv0STDQqm16EPZHLNBfMr9UDm4yWatecSTbbVYJYdQpVbmMOpB+MlHwPMbNscyHy8RLMOXKLJptBECngeWc8ebQzrGHzCNxhMh3BpA8ShxsahxsahxsahBoxDp3xIMKMOeSCTayqYWCkHMh8v0XQ/uGd8iynJljWDNqWjP/Y0bATpA5mPl2j6484rPgGYackHMu0lmv0x55xn7O72gQrngcyaxokCxu8DCYIQ1gfRej92H0jQOxr3ztZ1sSAGYS2UUD+7+0CCKLH7QIIoEftAghTUtWhkOPoopqIUO9EHkuQjxPkhKs5N3bm+X7H2XJkpCk6IfXCxBA/qqSwb9dlD2EJ9oPCANnLQO7wLvnCcx1SJ/8KmHmdggLFlqCgIITyhMlR2F7yoNzTujS1lpygGIfQOIDtFUYRkp2MXvChKNNkpSkFNfchw9FFMRSmiyU73LnhZPkJcH1B22jXqVqU8/KIP/KUsOCH2sWWnexe8LBv12UPY/LITGdBGDnqHXwNSOA5fqsR/PVOPMzDA+LJTEIQQnlDZGf81IKIe0riHtpaighiEcDyIFBVEEZGirteAiJJEVKKCFNRsCIyGS4kKUkRTou7XgMjyEUL9oEo0XQsX992YsuCE0MdWou7XgMiyUZ89hC2kRMMD2shB7/CLkQvHeUyVZFRnYIDxlaggCCE8UZVolBcjizpH487ZWoQKYhAiMUGEOraxi5IIadD+FyOLkkTUoIIU1DwIjIZLgwpSRNOgvhcjyxISwvygKjRbixb3PZmy4ITYx1ehnhcjy9JRnz+ELqRDw0PayEFHPpDZu8ptlGXuw6uSLt7IBzLZ9najxm8PZD7KTqZLFebSAQ5ksk3UJBOZ5j1nmweeQBlCyTItBI+PUBSq60Am20bw3Mi22pNpHeWMCOA/l6ZkWjfagUyTIO0xTG0/CvvxcDOdIfEdyOSDgul12AOZfHPB/Eo7kGnMWR/IfPBzn9Xv8K0Gs+wQutzCHE49GC/5GGBm4x/ItLa/PhDOA5l8Ck2kgOeR9ezRxrCOwSd8g8F0CBc3QBxqbBxqbBxqbBxqwDh0yocEM+pwBzL5poKJFT+Q+Rh/3vM8uGd8iynJljWDNqWjP/Y0bATZA5mPcWc9AM4DmXwCMNMSD2TaubMxqmPsOc/Y3W0ElY4DmcZSGicKGL8RJAjSVSG+AQLr/ciNIEHnaNw5W5fFghiExdAhymdBksiNIEGSiI0gQQrqQjQwGq6iXZBiRxpBkoSEMD9EwbkpO9W6a+C+IVMWnBD74FqJ1giSpKM+fwhdqBEUHtJGDnqHt8aXzhOZmuoMDDC+DhUEIQQoqg6NuTVe0EMa99DWYlQQgxCQCWLUvTVeEEVIjfaGkReiJBHVqCAFNRsCo+FSo4IU0dSob2u8JB8h1A+qRfVauLhvyJQFJ4Q+vhb1bI2XZKM+ewhbSImGB7SRg97hd4OUzkOaBdUZGGB8JSoIQghPqBKVfjeIoDc07o2tVacgBiH0DqI6BVFEVKfn3SCCKBFlpyAFNfUhw9FHMRWliCY7fe8GkeQjxPVBZWexVinuGzJlwQmxjy07fe8GkWSjPnsIW0h2hge0kYPe4Tcjl84Tmb57mnqdgQHGl52CIITwhMrOuG9GFvWOxr2ztQwVxCCE4kFkqCCKkAx1vBlZFCWiDBWkoKZCZDj6KKaiFNFkqPvNyLJ8hDg/qAwt16rFfUOmLDgh9rFlqPvNyLJs1GcPYQvJ0PCANnLQkQ9kVn14RlhWXrwnF4COfiCTaW83Zvz2QOaj6GS6VGEuHeRAJtNETTKRad5ztnndeC54IJNpIXh8BJenvgOZTBvBcyPb6k6mdZQzIoD/XHqSad2IBzLtDZmpvSEztTdkptn6IJT3hkw+KJhehz6QyTUXzK/UA5nV44FM9w2ZfKvBLDuEKrcwh1MPxks+BpjZtjmQWR2+PhCeA5lcCk2kgOeR9ezRxrCOwSd8g8F0CJc2QBxqbBxqbBxqbBxqwDh0yocEM+qQBzK5poKJlXIgs3o8kOm+IZNvMSXZsmbQpnT0x56GjSB9ILM6fH0APAcyuQRgpiUfyKyONkZ1jD3nGbu7faDKeSCzpnGigPH7QIIghPVBtN6P3QcS9I7GvbN1XSyIQVgLJdTP7j6QIErsPpAgSsQ+kCAFdS0aGY4+iqkoxU70gST5CHF+iIpzU3fW67aB+4ZMWXBC7IOLJXhQT2XZqM8ewhbqA4UHtJGD3uFd8JXrPGaaUJ2BAUaXoZIghPCEylDhXfCS3tC4N7aVnZIYhNA7hOyURBGSna5d8JIo8WSnJAU19SHD0UcxFaWIJjs9u+BF+QhxfUjZma4vVEw9N2SKghNiH1t2enbBi7JRnz2ELSA7gQFt5KB3+DUglevwZeq9pKnPGRhgfNkpCEIIT6jsHOE1IJIe0riHtpaighiEcDyIFBVEEZGizteASJJEVKKCFNRsCIyGS4kKUkRTop7XgIjyEUL9oEp0faFi6rkhUxScEPrYStTzGhBRNuqzh7CFlGh4QBs56B1+MXLlOo+ZZlRnYIDxlaggCCE8UZVonBcjSzpH487ZWoQKYhAiMUGEuraxS5IIaVDHi5ElSSJqUEEKah4ERsOlQQUpomlQ74uRRQkJYX5QFbq+TjH13JApCk6IfXwV6nsxsigd9flD6EI6NDykjRx05AOZdR+eUZa5Fy/r4o19IJNrbzdq/PZA5qPsZLpUYS4d4kAm10RNMhEwzxaszw7yg7v/ZPz80epfV58cH6x+svpk9cXvHnzlq6rP+uds68EDKkMIXaaF4OkSioB1ntfk2ggeK9lWmjKt66a9Lc9r5lnSv4YwZVs43pnN1F6imdpLNFN7iWa6vrwu9V+iyQYFM/DAZzbZ5oIpmHhmM328RDP1XKLJthpMxENIdwtzOPVgvORjgMlvizOb6eMlmmngEk02hSZSwPPIevZoY1jH4BO+wWBKhOsfIA41Ng41Ng41Ng41YBw65UOCWZV2ZlOpUjkqu/f4poLJlXBmM328RNP94J7xLaYkXNYM2lSX/tjTsBGEz2ymj5do+uPOKz4BmGmpZzZTe4lmf8w55xm7u72i2nVmM1U0ThQwfq9IEKSrQnwDBC4JRO4VCTpH487BK+fVD/tdcmAPu97/xlbSH61+3v6mPdH6od3ZZXd5PTswf/Bnd989PnjxKinrl88O7v6iXWz5rl1N+bjdHHa/9evuL82P/8p83f6dvzT/mPlHrU8Pzf+17jRfsqdqP737j6ZqN//OQZrc/7H5/Oj+wK39i4773P5c1O2E9d0hSn5Bksi9LUGSiL0tQQrq2jowGrk2OUj1oUxFUSI3uFzbrCQJCblpiCp5Uyuvr4lMPTd/ioITAiBc4NEaXJJ01IcQoQs1uMJD2shB7/CWf0d7yYhnTXUGBhhfPAuCEAIUVTzH3PIv6CGNewhX0H0Yz0UxCAGZoEjdW/4FUYQkaW8YeSFKElGSClJQsyEwGnmlHO+dnoqiRJOkaXGc9k64t2X5CPF+UEG6vi0y9Vz/KQpOiH98QWoGtbewPZVloz6ACFtIjoYHtJGD3uEXn9TOE6gF1RkYYHw5KghCCE+oHJV+8YmgNzTuja2lpyAGIfQOIj0FUUSkp+fFJ4IoEbWnIAU19QHDUSX9q9NTUZBoytP37hNJPkJoH1R5ri+MTD03gIqCE8IfW3n63n0iyUZ9/BC2kPIMD2gjB73Db36unSdO/fdQ9TgDA4yvPAVBCOEJVZ6R3/ws6R2Ne2drJSqIQQjFgyhRQRQhJep687MkSkQlKkhBTYXAcChX13oqShJNinre/izKR4j1g0rR9aWRqecWUFFwQvxjS1HP259F2ajPH8IWkqLhAW3koOMeOu3fZ2HEZeXFy7t4ox86ZdrbjRm/PXT6KDyZLlWYSwc5dMo0UZNMBMzzHzpNex+y52zzu/Fe8NQp00LwfAwuYX2nTpk2ggdjttWmTOsoh2AA/2Wu0whTtoUjnjq1N4Vm9qbQzN4Umq1v6Ev9N4WyQcEUPPSpU665YA6mnjp9vCk09dwUyrYazMRDKHcLczj1YLzkY4DZb5tTp483haaBm0LZFJpIAc8j69mjjWEdg0/4BoMpES5/gDjU2DjU2DjU2DjUgHHolA8JZtUhT51yTQWTK+XU6eNNoe4H94xvMSXhsmbQprz0x56GjSB96vTxplB/3HnFJwAzLfnUqb0ptD/mnPOM3dl+kXa0uU1JX9M4UcD4/SJBEMIaIromELtfJOgdjXsHr537MJ6LYhDWSwk1tLtfJIgSu18kiBKxXyRIQV2vBoYjL4/zondApqIoO9EwkuQjBPshys5N8bm+XTL1XBcqCk4IgHDFBA/qqSwb9QFE2EINo/CANnLQu7tr3mjR3nXlN1Tmv8SqxxkYYHQtKglCCE+oFhXeNS/pDY17Y1vtKYlBCL1DaE9JFCHt6do1L4kST3tKUlBTHzAchYnjZe+ATEVRomlPz755UT5CcB9Se2brKyYzz52houCEAMjWnp5986Js1AcQYQtoT2BAGzno3X2BiNGeeZ8zjPb0X1vV4wwMML72FAQhhCdUe47wAhFJD2ncQ1vrUUEMQjgeRI8KoojoUecLRCRJIspRQQpqNgRGI6ur47p3QKaiKNHkqOcFIqJ8hHg/qBxd3zOZeS4OFQUnxD+2HPW8QESUjfoAImwhORoe0EYOendfBq0dl34YOZpRnYEBxpejgiCE8ESVo3FeBi3pHI07B1ei9JdBf/kN0FmSvfYG6F9vFpHXuxw+P2j/5k8fywGxN0JL+p6QPgjy2bUdX5JESD073ggtSRJRPQtSUJM3MBpZqY4TxykASZRo6tn7RmhRQkKCGlQ/r+/HzDxXnoqCEwIgXz/73ggtSkd9CBG6kIIOD2kjBx359Kljq2qWe/FUF2/s06dce7tR47enTx8FM9OlCnPpEKdPuSZqkomAeYHTp72T9jnbfPCozRByl2kheE6GImOdp0+5NoIHZLYVqEzrKIdhAP9lRpapPgunbAvHO32a2TtPM3vnaWbvPM3Wdw1m/jtP2aBgCh749CnbXDAHE0+fZo93nmaeO0/ZVoOZeAjtbmEOpx6Ml3wMMPttcfo0e7zzNAvcecqm0EQKeB5Zzx5tDOsYfMI3GEyJcAEExKHGxqHGxqHGxqEGjEOnfEgwqw54+pRtKphcCadPs8c7T90P7hnfYkrCZc2gTXnpjz0NG0H49Gn2eOepP+684hOAmZZ6+jSzd572x5xznrG72+ZyLPiakl7ROFHA+G0uQZCuCvENELgmELnNJegcjTsHL53pbS7XnaeVXv3jl1teP28bVt9b/fR+mUSqtyXocMLS7hDFviBJ5N6WIEnE3pYgBXVZHRiNzJ5UUH0oU1GUHeltSRISstIQ9fGmSl5fjZl5bjsVBScEQLi0o/W2JOmoDyFCF+pthYe0kYPe4cMKjl3GRjZrqjMwwPiyWRCEEKCosjnmYQVBD2ncQ7h27sN4LopBCMgEReo+rCCIIiRJe8PIC1GSiJJUkIKaDYHRyKriOKn6UKaiKNEkqe+wgiQfId4PKkjXl2NmnttORcEJ8Y8vSD2HFSTZqA8gwhaSo+EBbeSgd/i9Lanz7GxBdQYGGF+OCoIQwhMqR6Xf2yLoDY17Y2vpKYhBCL2DSE9BFBHp6XlviyBKRO0pSEFNfcBw6Pq4d6lwKgoSTXn63toiyUcI7YMqz/XlmJnntlNRcEL4YytP31tbJNmojx/CFlKe4QFt5KB3+O3VqfOYrP++rR5nYIDxlacgCCE8ocoz8turJb2jce9srUQFMQiheBAlKogipERdb6+WRImoRAUpqKkQGI5cH5cuKSpIEk2Kel5eLcpHiPWDStH15ZiZ57ZTUXBC/GNLUc/Lq0XZqM8fwhaSouEBbeSgI583dXXZKy+e7uKNft6UaW83Zvz2vOmj8GS6VGEuHeS8KdNETTIRMM9/3rS/hn/ONr8b7wXPmzItBE/G4BLWd96UaSN4JGZbbcq0jnL8BfBf4brrlGvfiKdN7V2nub3rNLd3nebrOwYz/12nbFAwAQ992pRrLpiBqadNH+86zTx3nbKtBvPwELrdwhxOPRgv+Rhg7tvmtOnjXadZ4K5TNoUmUsDzyHr2aGNYx+ATvsFgQoSLHyAONTYONTYONTYONWAcOuVDgjl1yNOmXFPB1Eo5bfp416n7wT3jW0xJt6wZtCku/bGnYSNInzZ9vOvUH3de8QnATEs+bWrvOu2POec8Y3e3W5Q5T5vWNE4UMH63SBCEsIKIrgjE7hYJekfj3sEr5z6M56IYhNVSQgXt7hYJosTuFgmiROwWCVJQV6uh4aj7x2MqSrIT3SJJPkKsH6Lq3NSe65sxM89Vp6LghPgHF0zwoJ7KslGfP4Qt1C0KD2gjB73DW+Yz1wnO3H/3Vo8zMMDoUlQShBCeUCkqvGVe0hsa98a20lMSgxB6h5CekihC0tO1ZV4SJZ70lKSgpj5gOFITxHvHYypKEk16evbMi/IRYvuQ0jNfX4yZe246FQUnxD+29PTsmRdloz5/CFtAegID2shB7/DLQzLXac3cf89WjzMwwPjSUxCEEJ5Q6TnCy0MkPaRxD20tRwUxCOF4EDkqiCIiR50vD5EkiahGBSmo2RAYjfI47x2OqShINDHqeXWIKB8h2g8qRtfXYuaee05FwQnRjy1GPa8OEWWjPn4IW0iMhge0kYPe4RdAZ64DnA/hjOAMDDC+GBUEIYQnqhiN8wJoSedo3Dlb61BBDEIkJuhQ1552SRIhGep4rbIkSUQZKkhBzYPAaBTHpWMrvSRINBnqfamyKCEh0g8qRNe3S+aeC0NFwQnhjy9EfS9VFqWjPoIIXUiKhoe0kYM2//v9P/2SdHFqzW/dXH37a9/4eo8jWFLTteSZezh1mXU5XSc53dZSBOTjYc5ec99km9udZh7ngjLxX2zfu12I/FXbAf+ZXYH8ot2Z+Xl7lvI37QZO+6ufPTt4/LO7v777fnvK0v7B3Xfsl/tQjTLMf3fK5n0SLt3A20XL+0NXub3iL7cnr5T9lapdgZKLo+g4+CZ2y/CuZXjXMrxrGd51MbzLZ9B0Bnwbu0E4sQgnFuHEIpy4EE74CPhjxA/W98dncntZW27P0Cj7KwdKw0Z5ch4igEKbTa+s/a+s/a+s/a9c9r/i24+nC+KBCGP+uTX/3Jp/bs0/d5l/zjP/SwHZppHf82XBId9nkLtOP+TKS/HkbQ1RXmeQu19nwLW3mxS2fJ2B3TH2V+0hhftXGdjdYPb6pvv23H2S+7x9v8DH7bLJDx5eVfD3q/+y+tHqvzz87mcHmd1R9qn59h8ctBc62b/ufhua3VTW54K32C7oJhLB1w9wTdQkE5nmPWebB56mHGIphmkheBSSssTifL0A10bwDOS2iydM67p5fsvXC/T6bsq2bryXC+T2Fuvc3mKdl/ajejjUmyvvywXYoGA2pL9cIFVl6Xy5ANtcMB8SXy6Qq83LBXLnNUjv8K0Gs+J2ddJmPUkdTj0YL/kYioiBK9r1IV9j++sD4X65AJtCEyngeWQ9e7Qx7GlJxDUYTIfw0hwQhxobhxobhxobhxowDp3yIcGMSnu5gCcGvcc3FUyshJcLbOLPe54H94xvMSXZsmbQZuHTH3saNoLwywU2cWc9AO6XC7AJwExLrKXt3NkY9bR45hjbVgg6vVpqdT1ZqNvbibpRV5NldVVN9M1NfbNYZFW15nHW1X+8GHYng61aXdW1pmGifH0VuAeLUoX3gbwpCkJob6Hl+b/cX6l8/4a/j+7fLHi/Hm33zLaHudLkMNWH2TPt3J4giKxx5K1rXUEMQn8Or4ld7138iiiKzP6EPo4XohwRdycIUlBbo8BYuApxQYpoWxOqxCEm35blI0TuIUrITSG5vost91yuJwpOCHxw9QMP6qksG/XZQ9hC2xLCA9rIQbe6Ut0kRblM9GRxnVxPlK70pF7eLCfL69tlXVRJnlw9CK6ourJ3edjoyoLqC4wvvq4UBCFEJ1RXfmj7O/Yoln0nVSsj718BsPp4fXzL/plODs3/T56pxP4udwpMQXaNs28tMAUxCHEWF5jtVpWfHx/0j8tXRIGiykxBjogyU5CCmuqAsXDJTEGKaDJTKccO37dl+QiBfFCZub54LffcpCcKTgh/bJnpHNRTWTbqs4ewhWRmeEAbOeiHF1LdptfpVTJJr66yiVpeq0l1Y3705ja9KWpV5FW2/CC+zMz7fGFkpu8ql15fYHzxZaYgCCE68WWm3RzU7jL6aPUz84c/uPvPd//RfJkkNwV9oHEfbC03BTEI8XZAuSkIFFVuCnJElJuCFNSUB4yFS24KUkSTm87bAN+W5SME9EHl5vpytdxzW54oOCH8seWmc1BPZdmozx7CFpKb4QFt5KBbuZku6uvsqkgnVZbfTlSW68kyravJTV0m6fXyutTq5oP4clP1+cLITd+NA72+wPjiy01BEEJ0guXmw7H/jw5WP2yP93/v7s8PVv/DaM1fte8AuN/X/ouHM/+Zbk/2Z/efx9ohbN4S9YLGvbC14BTEIERcguB0bioXJJFRms7z/YIkEbWmIAU13wGj4dKaghTRtKangS6JRwjmg0rNaq1MPFe9iYITAh9baqY6S47z3qWtU1k66sOH0IXEZnhIGznomFcz586meO2hK6qiSzf6UUamvd2gsc9HGZkuUJgLBjnKyDRRk0xkmvecbV43AAseZWRaCB68oKhJ91FGpo3giYttdSLTOsrpCsB/Lv3HtG68o4zKXpGs7BXJKrMf+foIUe0/ysgFBbPh0EcZueaC+ZB6lLF+PMrovA/oHb7VYFYcQkZbmMOpB+MlHwPMbNscZawPXx8Iz1FGLoUmUsDzyHr2aGNYx+ATvsFgOoRrESAONTYONTYONTYONWAcOuVDghl1yKOMXFPBxEo5ylg/HmV0PrhnfIspyZY1gzaVnj/2NGwE6aOM9eHrA+A5ysglADMt+ShjfbQxqmPsOc/Y1tpsqW9u1dUkKQpt35pXTarkup4kiU50UVVprR9SsbOu9iwscGtr11FG5b8t5Qkmyhe9OSMJQljPQ8vzH91fM3ew+rkpy7+4f2uePdvYvlbvN/dfvL8IZF2Qp+2hxtVn5k96x/ItURdo3AXb1r6SGIQFygFqZEmSuJ0ZSZJ4nRlJiq5Q8FBsWZlLUkTrzORJ7bwGWRSQEMuHKCrXpaVaX12mPHfRiYITQh9cDz2JH4k61mUf3KksHPXpQ+ACrRlgRBs56N093ei8BlmlVF9gfPGlpiAIITyhUnPQ042S7Bpn31pjCmIQAi1BYwa2m0sCyUjNPo4XohwRhaYgBTXVAWPhEpqCFNGEpud0oygfIZAPqjPXt5IpzzVzouCE8MfWmZ7TjaJs1GcPYQvJzPCANnLQu3u60Xn/h8qovsD44stMQRBCdOLLzAFON0r6QOM+2FpuCmIQ4u2AclMQKKrcFOSIKDcFKagpDxgLl9wUpIgmNz2nG0X5CAF9ULm5vnlMeS6TEwUnhD+23PScbhRloz57CFtIboYHtJGD3t13ATsvNVY51RcYX3y5KQhCiE6o3BziXcCSyBpH3lpdCmIQwiuuLt3vApZEiaorBTki6kpBCmpuA8bCpSsFKaLpSs+7gEX5CJF7UF2Zr2VI7tGVkuCEwMfWlZ53AYuyUZ89hC2kK8MD2shBxz3I6FqYVF66sks39kFGrr3dkLHHBxm5LlCYC4Y4yMg1UZNMBMyz7YlnB/nB3X+y7xxZ/evqk+OD1U/s7tbfvfh3xbEdkB+ufvTaMPxw9U+rvzVK/n9Mnr6W5OB32nH9tF0ytuNl978e2A2w/+Zh/D4z327/pU/b95z8pfndd9oC4LPO0Jp/8MD87mMziz6+v6Tabqv9hV2RPmg33f5y9Yu779193/zqc/Ovf9bOo4+O+9z9nO1u8CQKrqHdm06ZFoLHSAjS2H0wk2sjeH5kW9nLtI5yVgTxX1r1LzpM2RaOeDjT3jOp7D2Tyt4zqdb3uyn/PZNsUDDDD3w4k20umOOJhzPV4z2TynPPJNtqMNMPURhYmMOpB+MlH0MRMeiHpNTjPZMqcM8km0ITKeB5ZD17tDGsY/AJ32AwJcLVFRCHGhuHGhuHGhuHGjAOnfIhwaxKO5yZZak+1o7DmWxTweRKOJypHu+ZdD+4Z3yLKQmXNYM21as/9jRsBOHDmerxnkl/3HnFJwAzLfVwprL3TPbHnHOesTvbW8qdhzM1DRPli99bEgQhrFCiSw6D9JYEkTWOjNfvfRjPRTEIS6x4XezpLQmiRO0tCXJE7C0JUlDXt5GxyHpXdaeiHDvRXZLkI8TuIYrITSm5vphQeW6aFAUnhD64/oEH9VSWjfr0IWyh7lJ4QBs56N09i+l8qaYqqL7A+OIrS0EQQnRCleWwZzEF2TXOvrXEFMQgxFlcYgY3xwsCRRWaghwRhaYgBTXVAWOh696QPRXliCY0facxJfkIoXxQobm+mlB57poUBScEQLbQ9J3GlGSjPn0IW0hohge0kYPe3dOY7k1PvouQen2B8cUXmoIghOjEF5pDnMYU9IHGfbC14BTEIMTbAQWnIFBUwSnIEVFwClJQUx4yFmXVxzEV5YgmOH3nMSX5CCF9UMG5vpxQeW6bFAUnBEC24PSdx5Rkoz59CFtIcIYHtJGD3t3bJnPneUzfZUi9vsD44gtOQRBCdIIFp8xtk5Je0LgXtpacghiEiEuQnM7t5YIkMlrT+U5jQZKIalOQgprvkNHIk+OsN3RPRVGiCU5PJ10SjxDRB9Wb6/sJlefKSVFwQvRj603vlZOidNQnEKELKc7wkDZy0HFParo0ZO2lq7p0o5/UZNrbDRr7fFKT6QKFuWCQk5pMEzXJRMA870lNbX7dGcifWQH/sAf2I7uebHcq3H3/4O675o+/t/pp38iu/v6rqx8dtD/0xcHqx2ma2d20n9uR/bidF58cfPXriz+5PXjtlKc9makze8jTWPFfVz8zRUQ7E0wNYUsK89d+vvrpl037ZPXL146Rfnp/c8r9fPv71Y9XH05Wf3tgK4z26pS779i/4RcP/9L9d7az0wA9zDX75fbAqfnz39yfJoUPmt6b88WXlt6NxR+uPjwokv9XVt4Du86VMidHN/0JnitlWgiegKEIeve5UqaN4NGXbaU60zrKMRfAf7mujnvvaJiyLRzvXKm2l35qe+mntpd+6vVle8p/6ScbFNQjQ58r5ZoLKhLqudLHSz+V59JPttWgLhmikLEwh1MPxks+BqgttjlX+njppwpc+smm0EQKeB5Zzx5tDOsYfMI3GEyJcDUIxKHGxqHGxqHGxqEGjEOnfEgwqw55rpRrKphcKedKHy/9dD+4Z3yLKQmXNYM2tbY/9jRsBOlzpY+Xfvrjzis+AZhpyedK7aWf/THnnGdsay10a5Plca5seJZ2uKsbrnOl2n8r1RNMlC96j0wShLCiii6QSFz6KekCjbsAX33ow3guikFYIh6gTpYkidsgkySJ1yCTpOgKBQ8FXJ3XrisUp6Io0Rpkvps/RQEJAX2IynJdX+r1PZHac/OnKDgh/sFF0ZMg4rn5UxSO+ggicIEOGTCijRz07p42Va7Tpjql+gLji683BUEI4QnVm4OeNpVk1zj71kJTEIMQaAlCM7D5XxJIRm/2cbwQ5YioNgUpqKkOGYuyVn0gU1GQaFrTc9xUlI8QyweVmuu7IrXn8k9RcEIEZEtNz3FTUTbq44ewhZRmeEAbOejdPW6qXMdNdUb1BcYXX2kKghCiE19pDnDcVNIHGvfB1opTEIMQbwdUnIJAURWnIEdExSlIQU15wFjovLf3NhXliCY4PcdNRfkIIX1Qwbm+LVJ7rv8UBScEQLbg9Bw3FWWjPn0IW0hwhge0kYPe3Vc0K9dRAZ1TfYHxxRecgiCE6IQKziFe0SyJrHHkrfWlIAYhvOL60v2KZkmUqMpSkCOishSkoOY2YCzysjdGT0U5oilLzyuaRfkIsXtQZbm+L1J7LgAVBSeEPray9LyiWZSN+vQhbCFlGR7QRg7a/O/37+Xlw3x2asdv3Vx9+2vf+HqPJxjS0bVKqTyYutRdTNf5UretFD24PmLaa+ybbGO7c8zjWFDzffhwzvBTI/Q+6TPWSDr1u1O2xU9indvk7ULdw9EleyVeUbliGxdC0SHwDeDW8net5e+6LH+Xb7mmW45v/DaGn1jDT1yGn/ANx6c6P5o+HDOx15c5ABo2wJPTAgEA2nx5Za1+5bL6Fd9qPHQTDwkYo8+t0ecuo895RreT5YOY+cd5AkB7zX9y03akDNRv7ptsc/EHE81B/2d7fP03DwsNHx+0DS77joPv2hPk9oR72z25PzL/ffuN92sT7R9vspf5hj5Qk7+0zV9M2tj5y97mqmubxOzR20K7MhkXJ0YmK0wmMwzvWoZ3XQzv8hk0nYEUp04swolFOLEIJy6EEz4C/hBtnd3svZwGpbEojQulYaOI57nC5Dlj/ytr/yuX/a/49uPJgpXxCpPxjPnn1vxzl/nnPPO/tJpoKX7PlwOHe8mPzSuuFFh4KZ7Umq4UOOBLfuxn4cyBTHu7SWHLl/x82L4h5ecPyWz9qp/+lPfj1Q9Xf/fwWp8vp7+PHv7s/73+qn3/o3OVnsndzR6Cb/bhmqhJJjLNe842r7sCJvduGa6F4Cl4wnq++90yXBvB4+/brtUzresm9y3fLdPruynbuhHfK1Nacbu+HVwX3rfJsPHAxEd/m0xZu1aWv8q3Fsx8xJfJ6GLzMhntvFTlHb7VYP7briLatC2Kw6kH4yUfA0xnjEpo/VIHY/vrA+F+mQybQhMp4HlkPXu0Mexp8cM1GMyBcAcICD6NDT4NGHxO+Whg8qS9QsYdeN7jWwqmUMIbZDZB5z3P03rGt5iSVlnTZtNW8wecho0g/AaZTbBZD4D7DTJsAjC7EktlO3c2Rj2tjTnGWmuv9M11nVT1ZHmj9UQt7enf62U+SW6zqlhk18vlQt/zOMvmP14Mue2tLZ2dxbPvxokeTJSvr8D2YFGK7D6QN0VBCFsn0Or7f5o6+iNTR9sXrT7U3l9+l8xHdz94uGBh9VPzHZ+270y9//2/tC+Y+XPzf39h/u/P7r/d/NnDe1XblesPV/+w+uHElO0/Wf3t6p9W/9V8/vfVT54d5In5p37e58C3RB2ocQduXSMLYnQ1hAeDUEs7RuQroigim+jUse4jeSFKEnEbnSAFdSMPMBquEl6QItomujQ7Ll2b6CT5CJlgiDp0U42uL4/SntvARMEJoQ8uoeBBPZVloz57CJt3QE+RAW3koO97OLdVUtxeJ5PbLLmdqKuiNt9b15OrmxuVFPntIlEPSSKqTu1dWDY61XdPRa8vML74OlUQhBCdUJ369+3NAL/5Uo/I/rZ9b7/tEn3n8R4B+7bDHxmhaUXnP6z+0fzfPz1I2HdOJzo9WP1tn0PeEnWIxh2yte4UxCAE30F0pyCKiO5Mju165FOUF6IoEYWnIAU1+SHD0UcxFaWIJjyr6rhyCU9JPkJoH1R4ru+Q0p5rwUTBCbGPLTydg3oqy0Z99hC2kPAMD2gjBx3vUrDcIyVrD11R1V260fcLMe0F+6WoEoy/X4jJrTDuQfYLMU3UJBMB83pvAmvXmI3Xv7TG/FPzB79crzAfmPH8/GEINheHHbz1lfTfmmoxfWYk+2fZ/8P+Pv+3mUqeVQeObT/P2X4Am7IEUevcmMS0EOyt4lrVtzGJaSPYVd1WhDKto3RQAf/lVV31v8NhyjZxvN1Jhb31qkjXGwT8d12x8cA0O/DuJK61YJ6l7k56vOpKe666YlsNZtshxLmFOZx6MF7yMcDkuc3upMerrnTgqis2hSZSwPPIevZoY1jH4BO+wWAihCscIPg0Nvg0YPA55aOBGZS2OylNK+3ensQ1FUyklO1JjxdcuR/XM77FlOTKmjebutEfcRo2gvT2pMcLrvzR5hWfAEyv5O1J9oKr/khzzjN2Z9s+mWt7UuG/fOEJJsoXve0jCUJYG0SLffm2j6RDNO4QvMTuw3guikFY+iRUyM62jyRK5LaPJEq8to8kRVc4eCjQylxXyvF6zakoyi70fkT5CPF9iPJyXWQW69uRCs99V6LghAAIV0bwoJ7KslEfQIQt0PsBBrSRg97dzfGZq1NUpFRfYHzx1acgCCE6oepz9zbHSzpQ4w7cWq0KYhCC9SBqVRBFRK06N8dLkkQUq4IU1FwJjEZaapUdV30sU1GWaGo1zY6TXjX+tiwfIR8MqlbXNywVniuzRMEJAZCtVu2gln1sp7Js1CcQYQup1fCANnLQ9j2zz+73kkR8w1HeR2l0aOah1KV7ZRozlqIvX9+xpPrsfZNtL9hDRWUkc8dS+0cfr37zICn/3nzlR8+sbPz71Yf3f5a5Ny1x0RWGPsSmJa6JmmQi07znbPPAFipBe7r2EnEtBDuhuKT07CXi2gi2QLcVi0zrKO1OwH+Ojepc60bcRpTbbUTqoZNfZN5tRGw8MPfRtxEVee3cRsS2Fkx+xG1ERbbZRlQ4b1Z6h281mAKHUM4W5nDqwXjJxwDT2RbbiIztrw+EexsRm0ITKeB5ZD17tDGsY/AJ32AwB8LlBxB8Ght8GjD4nPLRwORJ20bkDjzv8S0FUyhhF9Em6LzneVrP+BZT0ipr2mxqOn/AadgIwruINsFmPQDuXURsAjC7UncRmbmzMapj7DnPWGstVkVbHmfl7FlC4FbPzl1EOQ0T5eursT1YlDq7D+RNURDCuh1agO9gH0fQgRp34NY1siAGYRmTUEu7+ziCKCJ9nNTZxxEkidjHEaSgriIDo+Eq4QUpYnZwXC85EuUjZIIh6tBNNbq+WK7w3BQoCk4IfXAJBQ/qqSwb9dlD2EIdnPCANnLQu7vbPXfuN1JUX2B88XWqIAghOqE6NcJud0GHaNwhW+tOQQxC8B1EdwqiiOhOz253QZSIwlOQgpr8kOHoo5iKUkQTnr6N7pJ8hNA+qPBUa52iPMJTEpwQ+9jC07fRXZKN+uwhbCHhGR7QRg467kuOVB+dkZLaQ1fUSZdu9C1DTHu7IWMftwwx0RWGPsiWIaaJmmQiYN6g7znqrcKes2HB5itBvDo3IDEtBHuouCb1bUBi2gh2T7cVm0zrKJ1SwH915tjzOWVbOOImJHuNcFGu9wFo/yYkLh6YTQfehMS1Fkyn1E1I+nETkvZsQuJaDSbVITS4hTmcejBe8jHABLnNJiR9+PpAeDYhcSk0kQKeR9azRxvDOgaf8A0G8yBcyADBp7HBpwGDzykfDUygtE1Ita6OtWsTEtdSMI1SNiHpx01Izqf1jG8xJbWyps2mOvQHnIaNIL0JSR++PgCeTUhcAjC7kjch6aONUR1jz3nG7mxzRzk3IRU0TJQvfnNHEISwAoiW9BGaO4IO0bhD8Cq6D+O5KAZhgZNQH7ubO4IosZs7gigRmzuCFNQFZmA40rw6TuveEZmKsuxEi0eSjxDghygvN0Vmse4IeK70FgUnREC4MoIH9VSWjfoEImyhFk94QBs56N3dA6+ce4tKqi8wvvjyUxCEEJ1Q+bmDe+AFHahxB24tVwUxCMF6ELkqiCIiV9174AVJIqpVQQpqrkRGI6/SY6daFWSJplZ97zKS5CPkg0HV6vp22MJz3a8oOCEAstWq711GkmzUJxBhC6nV8IA2ctD2XUZ/+iWd5pSj37q5+vbXvvH1Hkew1KhLiXpvl6uecLq2JrmtpYjMx91Jvea+yTa3O808zgWl5P9pZOB37tcx7/569fGB0YQfGdX4+d137/76QQ86tip9+Q428w19oEYXVr87ZdM+CZVu3O0i5cNeg/rZS1Vm9kPbj8p8VKn9UPajNB+1vVqpzl3Rk8up6Jx4q8fCvWvh3rVw71q4dy3cuxbuXQv3roV718K964J7lw+n6XB4F8iwnVi2E8t2YtlOLNuJZTuxbCeW7cSynbjYTvhs+PPIj/oPvej6WWMZG8vYWMbGMjaWsbGMjWVsXIwNm/FJAzLASJuYryzYKwv2yoK9smCvLNgrC/bKgr2yYK9cYK/4YHimIrYmDde55Tq3XOeW69xynVuuc8t1brnOLde5i+ucx/WlBQeb2qK9ZtB92Urtpcico4MZy8zKnszMtBfc3oSm5R+1m08/X/3a5mO7rHP3l203sZugv3wp6uN3r3cYfzk/P3zTzw6yA/Mdn5ov/qDPA2+xPdBNYpJbh5kmapKJTPOes83rFkiCm32ZFnYXfkQ3+zJtBHcpbbucw7SOsiMJ8J/rxBjTuvE2+pZWWZfrewML/6WlbDwwBdI3+qpCuTf6cq0FcyB1o+/jpaWF59JSttVgJtyuYtusatkrBN0YL/kYYDpjFGSbvXePl5YWgUtL2RSaSAHPI+vZo41hTysqrsFgDoQXCIHg09jg04DB55SPBiZP2kZfd+B5j28pmEIpG30f7yx1P61nfIspaZU1bTarrv6A07ARpDf6Pt5Z6g82r/gEYHYlVtN27myMelolc4xta4FK6zy5vZ4k1zd6orI6myyvymRS3VY3y+uiurmKvtOi/W8f5hvq4fU+MCbK11dqe7Ao5XYfyJuiIITOGlqH//DLFfXP2oO8v1l9PjH/+cT86RcPu30/MV9Y76F49bU//MM/+ebX/mjxsAXj7I13Duokye9/d3p28pWD5+dnJwdZb9B+S9RBGncQXgO/+JNv/6833zw4/eY3/vjm2zd/+K0H4rQ4mBys/rHdp7I5M/vaAsUvVp+aP9scczZe/NT2Fex2lI/sAsXq58cHB6sftvtXvnP3nftGxL+a3/yZHQO7sfrzdh/Mdx67Er9rv/8fez37XNSzhN4moXx3bu6QRBHZ3JH0H0l9IUoSb3OHJEVX2ngotlw1kKSIuK0jLY61Y2OHKCEh/QxR/K5L4HJ9A2fpuVJVFJwQ/OC67UmdU+vj2rEPWRSO+vghcIGdHcCINnLQu3oMzv7Xsfuj9N3Y1esLjC++OhYEIYQnVB3LH4OTdIjGHYKr4T6M56IYhOg7iPQURBGSnq5jcJIoEbWnIAU1+SHD0UcxFaWIpj09B+BE+QihfVDlub5Ns/RcjyoKToh9bOXpOQAnykZ99hC2kPAMD2gjBx3zHYeZU0pmHrqiTrt0Y+9X4toLdmlRJTjifiWuBxTmgSH2K3FN1CQTmeY9Z5sH9moJqtO1X4lrIdhyxcWkZ78S10aw2bqtSmRaR2msAv5zqT+mdSPuV7K3o5brCwpL/+2obDwwBQ67X4ltLZgDifuVysfbUUvP7ahsq8FMOIRwtjCHUw/GSz4GmM622K9UPt6OWgZuR2VTaCIFPI+sZ482hnUMPuEbDOZAuPoAgk9jg08DBp9TPhqYPIfbr8S2FEyhhP1K5ePtqO6n9YxvMSWtsqbNpqTzB5yGjSC8X6l8vB3VH2xe8QnA7Erdr1Ta21H7A805z9id7cg4j/2UOQ0T5YvfkREEISzboXV4hI6MoEM07pCta15BDMKqJKE2dndkBFFid2QEUSJ2ZAQpqKvCyHD0UUxFKXaiIyPJRwjtQxSWm/JyfTtm6bnuVBScEPvgmgge1FNZNuqzh7CFOjLhAW3koHd3o7y7f6OovsD44gtPQRBCdEKF5wgb5QUdpHEHbS1EBTEIwXgQISqIIiRE8z6SF6IkEXWoIAU1FyKj0UcxFaWIpkP9u9IlCQmxflAlur4us/TcfyoKTgh+bCXq3ZUuCUd9/BC4kBQNj2gjBx13c1BvWjDiUnvpsi7d6JuDmPZ2Y8Yebw5iekBhHhhkcxDTRE0ykWnec7Z5YGOUoDudm4OYFoL9TVxO+jYHMW0EO5vbCkWmdZQuJuA/lwBkWjfi5iB7a2m5vjiw9N9aysYDU+DAm4O41oI5kLo56PHW0tJzaynbajATDqGcLczh1IPxko8BprNtNgc93lpaBm4tZVNoIgU8j6xnjzaGdQw+4RsM5kC4/ACCT2ODTwMGn1M+Gpg8B9wcxLUUTKGUzUGPt5a6n9YzvsWUtMqaNpuSzh9wGjaC9Oagx1tL/cHmFZ8AzK7kzUH21tL+QHPOM3ZnezS5c3NQQcNE+eL3aARBCOt2aB0+Qo9G0EEad9DWNbAgBmGZklAru3s0giiRezSCJBF7NIIU1EViZDT6KKaiFDvSo5EkJMT6ISrNTb25vu+y9FxgKgpOCH5wkUTq0UjCUR8/BC7UowmPaCMHvbv71J33RpUl1RcYX3wpKghCCE+oFI2wT13QIRp3yNbSUxCDEH0HkZ6CKELS07lPXRAlovYUpKAmP2Q4+iimohTRtKdvn7okHyG0D6o813dXlp7LSEXBCbGPrTx9+9Ql2ajPHsIWEp7hAW3koONuDlJ9dEZK+u5rK+q8Szf65iCmvWBLFFWCY24OYnpAYR4YZHMQ00RNMpFp3nO2eWBjlKA6nZuDmBaC/U1cTPo2BzFtBDub26pEpnWULibgP5f6Y1o34uYge81wlaz785V/cxAXD0yBA28O4loL5kDq5qDqcXNQ5dkcxLUazIRDCGcLczj1YLzkY4DpbJvNQdXh6wPh2RzEpdBECngeWc8ebQzrGHzCNxjMgXD1AQSfxgafBgw+p3w0MHkOuDmIaymYQimbg6rHzUHOp/WMbzElrbKmzaak8wecho0gvTmoOnx9ADybg7gEYHYlbw6qjjZGdYw95xm7sx0Z5dwcVNMwUb74HRlBEMKyHVqHR+jICDpE4w7ZuuYVxCCsShJqY3dHRhAldkdGECViR0aQgroqjAxHH8VUlGInOjKSfITQPkRhuSkv6/UCvucybVFwQuyDayJ4UE9l2ajPHsIW6siEB7SRg97dXenKtRXoYWIQfIHxRReekiCE6IQKz/i70iUdpHEHbStEJTEIwXgIISqJIiRE8z6SF6Ik8XSoJAU1FyKj0UcxFaWIpkO9u9JFCQmxfkglWq1vP60899mKghOCH1uJ+nali8JRHz8ELiBFgRFt5KDjbg7SfXRGXPouTStq1aUbe3MQ116wJYpqwxE3B3E9oDAPDLE5iGuiJpkImGdvC3x2kB/c/Sfj6o9W/7r65Phg9ROj2b/43YO3vpKa33zYHZZ/Xf3Ujs2nRuS3I9jq/NXH9pvu/tr8LZ/c/eDZQbsQ/endfzajbnW/+Qt/Y37wY/Npv9lUCWYimA87Dezi9S/apeuP2lXrj58dPPxzX7SD//nDDz780M8OVr9sKwr7F5h/bv3Pfr76+erz1yfNR7/b/t787T9/+NP75XHzz37c/vb+L21/7nPz7/3m0QrLcPdXBvB79ifsf41N5lf2T83faef2p8aq+7/vd1ZfmK9+cmCNslB332//0U9Wn9m/1rrk3xz3zYPn7HkAdqAJAt+1C4trIdhIxnW7ZxcW10awhbytImdaR2kXA/7Lq7rq3wA7ZZs43lasKrNbsfKH3RBV6t2KxcYDBcewW7HY1oKKg7gVq0o3W7Eq592y7/CtBnXHEHWKhTmcejBe8jFA8bDFVixj++sD4d6KxabQRAp4HlnPHm0M6xh8wjcYTIRwsQcEn8YGnwYMPqd8NDCD0rZiFXXh3IrFthTMo4StWJug857naT3jW0zJraxpsymg/QGnYSMIb8XaBJv1ALi3YrEJwOxK3Ypl5s7GqI6x5zxjd7Yjpl1bsaqMhonyxe+ICYIQVknRVY8ROmKCDtK4g/AVhz6M56IYhEVhQsHs7ogJokTuiAmSROyICVJQl+SB0UjToj7WvasxU1GWHemLSRISIv4Q9eam6szWXRTP9eGi4IQQCJdKpL6YJBz1IUTgQn2x8Ig2ctC7ezZAO7do5VRfYHzxBakgCCE8oYJU/myApEM07pCtBaggBiH6DiJABVGEBKjrbIAkSkQFKkhBTX7AcOhKHZe98mwqihJNgHoOCIjyEeL7oPJzfRNt5blaWBScEADZ8tNzQECUjfoAImwh9Rke0EYOOu6urN44ZPSk8tLpLt3ou7KY9nZDxh7vymJ6QGEeGGRXFtNETTIRMM+/Kyt7uinrxZ98+3+9+ebB6Te/8cc33775w289LCOnxYEZyH/sDYvP2bhgz5UgZZ2bj5gWgq1TXKH6Nh8xbQSbpttKT6Z1lAYp4L86S/sXmadsC0fce6Tt3qNi3f5X/r1HXDwwrQ6894hrLZhXqXuP1OPeI+fVte/wrQaz6xBi3MIcTj0YL/kYiojB2A6gDl8fCM/eIy6FJlLA88h69mhjWMfgE77BYB6EKxog+DQ2+DRg8Dnlo4EJdMC9R1xLwTRK2XukHvceOZ/WM77FlNTKmjabMtEfcBo2gvTeI3X4+gB49h5xCcDsSt57pI42RnWMPecZu7OtnsK590jTMFG++K0eQRDCUiBa20do9Qg6ROMOwevoPoznohiElU5Cfexu9QiixG71CKJEbPUIUlBXmoHhSPPqOK17R2QqyrITvR5JPkKAH6K83BSZet0a8FxGLgpOiIBwZQQP6qksG/UJRNhCvZ7wgDZy0Lu79b1w7jQqqL7A+OLLT0EQQnRC5ecIW98FHaRxB20tRwUxCMF4EDkqiCIkR3u7Ei9ESSKqUUEKai4ERiMri+O87kOZiqJEE6P+ne+ShISAP6gcXd9qW3nuKRYFJ0RAthz17nyXhKM+gwhcSI+GR7SRg46796jsozMKs/TSFV260fceMe0Fu6OoQBxz7xHTAwrzwCB7j5gmapKJTPOes80De6QE8encK8S0EGx14prSt1eIaSPY5NxWLTKtozQ0Af/1+m7Ktm7EfUKV3SdUr1v1pX+fEBcPTIED7xPiWgvmQOo+ofJxn5DzFtt3+FaDmXAI5WxhDqcejJd8DDCdbbNPqDx8fSA8+4S4FJpIAc8j69mjjWEdg0/4BoM5EC4/gODT2ODTgMHnlI8GJs8B9wlxLQVTKGWfUPm4T8j5tJ7xLaakVda02ZR0/oDTsBGk9wmVh68PgGefEJcAzK7kfULl0caojrHnPGN3tlFTOvcJ+W/Fe4KJ8sVv1AiCENbt0Dp8hEaNoIM07qCta2BBDMIyJaFWdjdqBFEiN2oESSI2agQpqIvEyGj0UUxFKXakRyNJSIj1Q1Sam3qzWq/oe64oFwUnBD+4SCL1aCThqI8fAhfq0YRHtJGD3t0t66Vzz1BN9QXGF1+KCoIQwhMqRSNsWRd0iMYdsrX0FMQgRN9BpKcgipD0dG5ZF0SJqD0FKajJDxmOPoqpKEU07enbrC7JRwjtgyrP9UW3lefmYlFwQuxjK0/fZnVJNuqzh7CFhGd4QBs56Libg6o+ujfUQ43hoiu7dGNvDuLaC7ZEUSU44uYgrgcU5oEhNgdxTdQkEwHzAtfF5b+9L072vjjuRABb0AR979qGxbUQ7CTjst2zDYtrI9hD3lKPc62j9IsB/2Vl1p8zpmwLx9uKVafPzEf2sBuiTrxbsdh4oOAYdisW21pQcRC3YtXJZitW7bwz+B2+1aDuGKJMsTCHUw/GSz4GKB622IplbH99INxbsdgUmkgBzyPr2aONYR2DT/gGg3kQrvWA4NPY4NOAweeUjwYm0OG2YrEtBdMoYSvWJui853laz/gWU1Ira9qsC+hAwGnYCMJbsTbBZj0A7q1YbAIwu1K3Ypm5szGqY+w5z9id7X9Vrq1Ytf9WvCeYKF/0/pckCGGRFF31kO9/STpE4w7BVxj6MJ6LYhDWgAn1sbP/JYkSuf8liRKv/yVJQV2DB4ZDJcdV7164qSjJLvTARPkI4X2I4nJTYqYPLZPacyu5KDgh/sF1ETyop7Js1OcPYQv0wIABbeSgd/ccQOXafFVnVF9gfPHFpyAIITqh4jP+OQBJB2ncQbgY7b9X49/dfOtr/8vXD9IqOVDJQaoPJgdGkX/0oOLb9tVrDbBfGBH/g4O2sfPx6je2t/Wpbf7YvtFHbb/q565uj6C/CFF/ENUriCKkentF1gtRkoiiV5CCmnSB0ajS46J3S/5UlCSa6PUeOhAlJCSWQWXv+gLd2nMlsig4IQCyZa/v0IEoHPURROBCujc8oo0cdNy9X3UfnVGyuZeu6tKNvveLaS/Yg0WF6Jh7v5geUJgHBtn7xTRRk0wEzAvs/dJmpv1295fs7i/mVAC73gSd79z9xbQQbF7j8t23+4tpI9i23laYM62jtKgB/2VF3v/6wynbwhF3fym7+0uvN2Dk/t1fXDxQcgy8+4trLag5qLu/8sfdX867id/hWw0qjyEqFQtzOPVgvORjgPJhm91f+eHrA+HZ/cWl0EQKeB5Zzx5tDOsYfMI3GMyDcLkHBJ/GBp8GDD6nfDQwgQ64+4trKZhGKbu/8sfdX86n9YxvMSW1sqbNpoT2B5yGjSC9+ys/fH0APLu/uARgdiXv/sqPNkZ1jD3nGbuzDbjauftL0TBRvvgNOEGQrvLwjQ+47jFCA07QQRp3EL7m0Nt/00mmBui5HRysfmh+aX7k7jv3lf+/mt/cLzf8yi43fNH+db9ZV+W/a7//H3s9+1zUs4SVakIJ727VCaJEbtUJkkRs1QlSUPsEwGiUJs/0JpqpKMmOtOokCQkpaIgCeFMGq3Vjx3N3vSg4IQDCtRupVScJR30EEbhQqy48oo0c9O6ej6idW9Q01RcYX3yFLAhCCE+oQo5wPkLQIRp3CK6I+zCei2IQou8g8lMQRUh+Os9HCKJE1J+CFNTkBwxHXh9r3TsgU1GUaALUd0BCko8Q3weVn+sLkGvPjdai4IQAyJafvgMSkmzUBxBhC6nP8IA2ctDmf79/L0HVB359+a2bq29/7Rtf7/EEQ16qPkwjLAsPpq7yLqZrx5jbVopmXG8a6zX2Tbax3TnmcSyoC//Rrone70L68h6eh41jd98/aLeB/cau27UK8td3f2FE46/6sIwELH53ymZ7EhXdcNsFxYedDOWzlzpJ7YeyH4X9qMxHmtiPzH7YL6T2C6n95tR+NbNfzexXc/sFbX+r7W+1/Wbd/pn9vsJ+obBfKJQr0nIdpeiOwjtR1jvvWu+8a73zrvXOu9Y771rvvGu98671zrvWO+9a77xrvfOu9c671jvvWu+8a73zrvXOu9Y771rvvGu98671zrvWO+9a77zr8s67fO9ounfwLpdxzol1zol1zol1zol1zol1zol1zol1zol1zol1zol1zol1zol1zol1zol1zol1zol1zol1zol1zol1zol1zol1zonLOSd85+ABhJ+jHpr15bPGOqmxTmqskxrrpMY6qbFOaqyTGuukxjqpsU5qrJMa66TGOqmxTmqskxrrpMY6qbFOaqyTGuukxuWkhu2kJy3egJNoz9Yr65lX1jOvrGdeWc+8sp55ZT3zynrmlfXMK+uZV9Yzr6xnXlnPvLKeeWU988p65pX1zCvrmVfWM6+sZ15Zz7yynnnl8swrvmfwxE7sHhvHnFvHnFvHnFvHnFvHnFvHnFvHnFvHnFvHnFvHnFvHnFvHnFvHnFvHnFvHnFvHnFvHnFvHnFvHnFvHnFvHnFvHnLscc85zTPtgfbARPr/nU0LDbZ5Xzh506WV4cmN0hK3zylrcZ+2bbGu7YmHLjfNdGbT6Rbsw9p3Hfcqv7W9+2BX/yeqXB6u/NX9gNy9/0bZEP263J7v0ERO2m/Al98gzTdQkE5nmPWebB+5XI6y6OfdtMy0Et53hi2m+fdtMG8ENZ9uukjGto2wuA/zX67sp27oR92zby5Pr2tY3yXrvpP8GZTYjmO7oG7fTXNfundtcc8GUR925/XiFcu25QpltNZj6tiuSN2uG9kZTN8ZLPgaY1Bgl7GYz5eMVynXgCmU2hSZSwPPIevZoY9jTCpBrMJgJ4eVXIAQ1NgQ1NgQ1YAg65fOBeZS2fdsTft7jmwqmU8r+7ceLlN3P7BnfYkqKZU2ezcq2P+w0bATp/duPFyn7Q84rPgGYZIkVuJ07G6OeFsYcY621t9e31VWyqCaZLrOJSopqUi8W9eSmrKvb6/q2Wt7e3vM4a+Y/Xgy5O8VZi5rK2XePXw8kStdXXXugKBV2H8iboiCE3iVafH9492dtw+ETe7T4s3Yrsj2s/Em7J+Wv/6CP8S1RRo0zbl3QCmJ0U70Hg1D42n7QZ+05dHv0/Lt9WF8RxepmeA8WoVru43ghyhFx34kgBbXtDYyFq/IWpIi25SRNXELybVlAQtweonLc1I/rC3Rrz5XIouCEKAgXPfionsrCUZ8+BM47oqfIiDZy0K2ozK5Uqa/ycrLQt4X53tvrSVUtq0mRXynznVdlpR+e54ii0rXhuaZ6AqOLLyoFQQjBCRaV9y/KsSfYnnRo7v7GJSoFGTXOuLWoFMQghFOCqHR2UwRJZHTkcaL7UF6IokSUkoIU1GQGDIdLSgpSRJOSVV4dJ3Uf4NuygIRoPaiUXF+JW3vuOBYFJ8Q+tpR0j+qpLBz16UPgQlIyPKKNHHQrJa+LclGpq2pynWfme9M0n1SZXkxuS317u0iXN+nyIU9ElJJ5nyfe0A8VBsETGF1sKSkKQghOqJT8YfsyA/s6wu/060ZRII0DbakbRTEIsZOgG5HFSFEsGRHZx/FClCOaghSloOYwYCz6FaQoRTQFmbiWImXxCCF6QP1omO7VxsMv+sBfyoITYiBbP2Yqdy1FysJRnz0Ezq8fkRFt5KDjvShdORYXdeK//Kjuso2615ttLbjhDZVzUfZ6s2EVBjvAXm+2iZpkImCe/33o9cHqv9i3i7UvE/9OOzC/MuPQ7hZ4HIhPDs6+cfWHt9/4+rMDK9fvvnt88M7X/uhri2f3rzOzMrF9ndnfpvrh5eqPw/5R+4Iz+6649iVnn5nve+vff+1q8b984+DljQlVf/S1K2NPqg/eMr/6w4OstDfzfunN5Q/vOfui3cfw5/YNaXd/8+UfeOff5kWSmL/3s2f3M+7h1e0Pb+f3/+jmJ+++Zz2w+vT+u9fG/mbzkv9fHaT13fczZf+5RK9/yL73/5fm1+Yf/PLb483fevf9x7/6L1pffLd9Q7vddLH6lfXb4zvdPlz9XfvOtt4n+zl7JoGbEQkFgWMhmW0huJ2QoO2d2/LZNoL7CLfV7UzrKHsGAf/ljmQ4ZRs42s58ndjzwUl+vyPWnnzzbMrn44G6ZNhN+XxzQW1C25RvzFlvyn/wc5/V7/CtBjXKEPWMhTmcejBe8jFA9cHflG9tf30gnJvy+RSaSAHPI+vZo41hHYNP+AaDeRAuCoHo09jo04DR55SPBiZQ2n78LMmrY90bed7jmwrmUXw//mPUec/zuJ7xLabkVta82VTa/ojTsBFk9+M/Rpv1ADj34/MJwPxK3I9v587GqI6x5zxjd7TflTn245sARYNE6eL3uwRBCIup6AIJ0O8SBNI4EL7C0IfxXBSDsNZLKG+xfpcgVtR+lyBHxH6XIAV1zR0YC099LQiyCy0vSTxClB6iRNwUitm6QeK+G1gWnBAG4eqG1PKShKM+fghcqOUVHtFGDnpXd99nzgZZTvUERhdfQgqCEIITKiE5u+9FGTXOuLWqFMQghFOCqnQ2TQRJZISka/e9KEpELSlIQU1mwHDk+rju1fZTUZJoYtKzA18WkBCxB5WT+Vp8uK9ylQUnxD+2nPTswJeFoz6BCFxIToZHtJGDtm8Qf3YvpKK9NTPvYzRCUXkYdVV0GSPtpOpNzG+yrQW7lKjKY+2kshcAWjFolOHdn60+u3+zeHsz48+fHdh7au43wdz9wP5gH/5bbHyF4Q+yt4ppoiaZyDTvOds8sFE5hPZkWgj2G0ma0rlhh2kj2GjcViwyraM0FQH/uTbQM60bcbeOXrfKlX+jDpcMTHv0jTpVXrr36XCtBTMfdZ+Oetyn47xS7x2+1WAGHEI1W5jDqQfjJR9DETEYnXN1+PpAePbpcCk0kQKeR9azRxvDOgaf8A0G0x9cegBxpwHjzimfCkyZtC067pjzHt9SMHFSduioxx06zgf1jG8xJZmyZsymkvPHmoaNIL1DRx2+PgCeHTpcAjCxknfoqKONUR1jz3nG3gucpbqqltnkRqmribou80m1yG4nV9e6uE2uiqvbPPYOndy5Q0fTIFG6vsraA0WprvtA3hQFISzWoYX3f199/Nrpkcd7u1a/fris1RTnH7el+adtK+Yv27r81867u0Q9oHEPbF3YCmIQFh+HKIAFSYSaL659PIIkEXsvghTUlV9gNFxltyBFtL5LmhbKvY9HkpAQy4coITeFpF4v07tvbpUFJ8Q+uPohDOupLB31+UPoQp2X8JA2ctAxz66rPjajHQsPW5kkXbaROy5Ma8H1JlT4jdZxYeIrDH+QjgvTRE0ykWnec7Z54JLTEIKTaSG4fEQRku6OC9NGcOFoW4nItI6ySAT4zyX9mNaN2HEp1yufhb/jwiUD097AHReutWDmo3ZciseOS+HpuHCtBjPgEHLZwhxOPRgv+RhgJtum41Icvj4Qno4Ll0ITKeB5ZD17tDGsY/AJ32Aw/cE1BxB3GjDunPKpwJQ5YMeFaymYOCkdl+Kx4+J8UM/4FlOSKWvGbCo4f6xp2AjSHZfi8PUB8HRcuARgYiV3XIqjjVEdY895xu5ox8V1u7cJTTRIlC5+x0UQhLBKhxbeEh0XQQ9o3ANbF7aCGN3s78EYogAWJInccREkidhxEaSgrvgCo+EquwUpdqTjIklIiOVDlJCbQrJcL8+7776WBSfEPrj6IQzrqSwd9flD6LxDeooMaSMHHbPjovvYjHb0XcpWJmmXbeSOC9NacL0JFX6jdVyY+ArDH6TjwjRRk0xkmvecbR645DSE4GRaCC4fUYSku+PCtBFcONpWIjKtoywSAf5zST+mdSN2XOr1ymfl77hwycC0N3DHhWstmPmoHZfqsePivEP1Hb7VYAYcQi5bmMOpB+MlHwPMZNt0XKrD1wfC03HhUmgiBTyPrGePNoZ1DD7hGwymP7jmAOJOA8adUz4VmDIH7LhwLQUTJ6XjUj12XJwP6hnfYkoyZc2YTQXnjzUNG0G641Idvj4Ano4LlwBMrOSOS3W0Mapj7DnP2B3tuGhnx6WmQaJ08TsugiCEVTq08JbouAh6QOMe2LqwFcQgrDoOUQALkkTuuAiSROy4CFJQV3yB0XCV3YIUO9JxkSQkxPIhSshNIVmvl+fd13vLghNiH1z9EIb1VJaO+vwhdKGOS3hIGznomB2X3i1Jb+g08bJlXbZxOy5ca8H1JlT4jdVx4eIrDH+IjgvXRE0yETDPf2OjvWHxh3ffW/3UDMDnq58+3EH4IOQ//NLgfWJfD/yj1d+t/tvqxwd5cvf9St99P082dyV+ZmqAf1394u579h7Dj9trHz8yf/jJQZnY+xf/wvyDv2nvRPhZ+3Lh9U2O9zXB3d8cJM+UPjh7452DNEkr+9d91P7TP7OW9Hn4OdvD4KrZAJqZayG4AkbRws6mEddGcO1rS5XLtY6yzgX4rzdnTNnWjdc0StOHxds08TaN2GRg5h62acS2FkzexKZRmmyaRqnztut3+FaDSXwIxW9hDqcejJd8DDAZb9E0Mra/PhDuphGbQhMp4HlkPXu0Maxj8AnfYDD9wWUTEHcaMO6c8qnAlElrGqWZ1s67C9mmgpmT0DXaBJz3PE/qGd9iSjZlTZl1FRoINg0bQbhrtAk06wFwd43YBGBmpXaNzNzZGNUx9pxn7I52jQpX1yj1XdDYA4nSRe8aSYIQVhrRxQOBrpGkBzTuAbw478N4LopBWDkdogIWJInbNZIkidc1kqSgrloDo1H0r9ZORTl2o28kSkiI5kNUkZtaMn1oMqTO66lfyoIToh9cABGG9VSWjvoEInSBvhEwpI0cdMy+UdnHZtRj5mXLu2wj942Y1oJLTqj0G61vxMRXGP4gfSOmiZpkImCev29U7FzfqE7SAusbMT0MLpwNoZqZFoKLYBQ17O4bMW0EV7+21blM6ygrXYj/tKr7C4op28QRm0f5ehE38zePuGRg+h64ecS1Fszg1OZR9tg8ct4b/Q7fajCTDyH7Lczh1IPxko8BZuRtmkfZ4esD4WkecSk0kQKeR9azRxvDOgaf8A0GcyBcOwFxpwHjzimfCsybQzaPuKaC6ZPSPMoem0fOJ/WMbzElpbKmzKYU9Qebho0g3TzKDl8fAE/ziEsAZlZy8yg72hjVMfacZ+yONo9KZ/Mop0GidPGbR4IghOVGdAVBonkk6AGNewCv0Ff/h3GCKYgPbDltymdbjltyR135XJSQsLI6RIUsSBK5ryRIErGvJEhBXdVGRqNM1HHiKswFWXaktyRJSAj2QxSZm1IzXzcick+5KQlOiIBwfUQY1lNZOupTiNCFekvhIW3koGP2lnoP7Rtxqbxsqss2cm+JaS24IoUqw9F6S0x8heEP0ltimqhJJgLm+XtL6U41l57ZyfHx6tftnPieteXATKmP27/Q/NjBRZbkkzR5iENPNTfT5+BK2xBammkhuGpG0cjubhPTRnC5bFv1y7SOsjQG+C9TvSM8Zds3YqtpfZF66rtI/W0+GZjNB241ca0FEzq11aQeW03O28jf4VsNJvYhqgALczj1YLzkYygiBmMFWB2+PhCeVhOXQhMp4HlkPXu0Maxj8AnfYDABwqUUEHcaMO6c8qnApDlkq4lrKpg7Ka0m9dhqcj6pZ3yLKfmUNWU2lak/2DRsBOlWkzp8fQA8rSYuAZhZya0mdbQxqmPsOc/YHW01Vc5Wk6ZBonTxW02CIITVR3RBQaLVJOgBjXsAL9j7MJ6LYhBWU4eogQVJIveTBEki9pMEKagr2cBoZEXRvyo6FSXZkW6SJCEhng9RR26qSb1uPWhPRSkJToh/cAlEGNZTWTrqM4jQhbpJ4SFt5KDN/37/S0LLisjf86nKIbtLdR+r0ZOFh1VXVZc1Sncp689rb7KtBRehUDH4T0bk/WL1U/P5s7Z7tPql/fiM2HNafWE7Sgf2lIr5JvuVjw/absenVmse5M+yg7Z/Yf+NT+/+sxGUtjFhlOV32r/907u/Mf/uumvxif3hT9t/zvzRgf17700wVrW9jI+dMpTpU4X5dJCWFdNETTKRad5ztnng</t>
  </si>
  <si>
    <t>4tYQypZpIbhQRVGs7u4O00ZwhWpbLcq0jrIaBfiv13dTtnUivZ0nNrtFI9dsMFHSGzdplrobN1xrwVxJbdwUj40b56Xm7/CtBnMmSXCjU+Ml32wwLW3TqCkOX3e8p1HDpdBECnjeWM8ebQzrGHzCNxjMZewqxTVTTvkmg8mN2oVxBZD3+JaCKY7ShCkemzDO4HHGt5iS9oacDg3bZOmmS3H4usM9TRcuAZgVyU2X4mhjVMfYc56xETdV9r/UztS9pcfuMtFOJ2O2Dl33Mq0Fc/j/Petepk9BgTFI3cs0UZNMZJr3nG0eqBWGqHuZFoLSYJi6l2kjKAq2rXuZ1lEEAOC/zOG+KdvAsUtfrtlgshy49OVaC6ZLaulbPpa+paf05VoNpk2p0pdrNpiZtil9y8PXHe8pfbkUmkgBzxvr2aONYU9LX67BYDqTKH25JoP5jVj6Vql7/yHXUjDLUUrf8rH0dQaPM77FlMw35HRo2CZLl77l4esO95S+XAIwK5JL3/JoY9TT0pdj7EMH+CFUR+0Ap64thb5bgXWdOJ2O2corhZWzFGZaC+Z0tBSmHjBc/Xj1w9XfPWwU/GT1ywPzk7+++15bon5pr+Dd9w9Wv3g4Vdb+baZG/r79u+yOwu/2eeQttkdAuTBIIcs0UZNMZJr3nG0emPmHKGSZFoKJfphClmkjmOK3LWSZ1lHSOeA/VxXLtE6kin2SCHsP59XrQzKV/3AelwxMhYxCt8xcG96+yjcXzIbUSrd6rHQrT6XLtRrMiqRK1yEELczh1IPxko8BprJtKt/q8PWB8FS+XApNpIDnkfXs0cawp5Uv12Aw/8GVLxB4GjDwnPKpwJxJLI7dQec9vqlg6qRUx9Vjdex8Us/4FlPSKWvKbHb6+oNNw0aQrparw9cHwFMtcwnA1EqulqujjVFPq2WOsdba27xe6DqrJnma3k7S9OZmUteJmlynRZEurpLlsn7IYs4q+o8Xw57OSx0Hb0wtXdMoUby+ettDRam5+0DeFAXpig7f8IDl+If3BXL7WpYvl89tn/jhmJ7tFt+/1sW2k//r6r+sPjz41r/NtH1NzEHzjT/5+vWb31h88/qg+ZP/cPPNr3zt6zd9nnlL1DMa98zWNa8gRlcXeDCGqI0FSbpawENCqKH7OF6IcnSFgodj2zpbkKIrHjwU29bjghTRDux5us+SeITwPkRduaku6/XRrtpTYUqCE8IeXBI9iR156ukHStJRHz6Ezjukp8iQNnLQUbcp9ua2N3SWeODKpOjCjdub4VoLrkKhYnCHejNcjyjMI0P0ZrgmapKJgHmB90FWx+1rH18bzO6bOB6G78dmCvxo0o6LGcOD1Y/MmNk7wf7MfMfdd+7nxK/v/syMn33jp/nawf/z9J2Dr5yZqsC+cPLg4a2fHx288/IgKXT5rX9v30W5+sfU/Oe/t6+h/My++/Hur+1fZXehftzuXf3VQZ7o5O77aZ4kz6wpn9rtqPbrH7Xm/fy4bwSes0cAXH4bQGJzLQSX0gjS2d1+4toIrqFtKYu51lHWyxD/5ce6z8Ap28DxOlBZ+rAQnCXeDhSbDEz4A3eg2OaCOZ/YgcqSTQfq3s99Vr/DtxrM/UNUChbmcOrBeMnHABP2Fh0oY/vrA+HuQLEpNJECnkfWs0cbwzoGn/ANBlMgXG4BgacBA88pnwpMm7QOVKarwtmBYpsKZk9CB2oTcN7zPKlnfIspGZU1ZdbVayDYNGwE4Q7UJtCsB8DdgWITgKmV2oEyc2djVMfYc56xu9qBchwVfENnKY0SxYvegZIEISxRoosOETtQkp7RuGfwyr4P47koBmEpdojyWJAkZgdKkiNeB0qSgroIjoyFuyQXBNmBJpQoHiHCD1FabgrM9KFjcf+LPvCXsuCEyAdXRaQmlCgd9flD6AJNKGBIGzloe2Do2b3yindQKO+DNNIy80DqOu1CRmpG9SblN9nWggtSqC7cvhn19+YPfnSw+tlBemB+7NO27dF2MdoLyT5rr3/9+P5VGEZGtn/8+d2ft3eV/cC2TD7s889bbP8ozD+DtKaYJmqSiUzznrPNAxethhCmTAvBBSiC4PT0bZg2gitP24pJpnWUVSbAf72+m7KtG7Fpkz8zH8p+aPtR2I/SflT2ozYfeWI/UvuR2Q/7E7n9iXx9L0+W+Rs+XK+ASZXR8MnL2t3w4ZoL5lVqwyd7bPhknoYP12owvw6hyi3M4dSD8ZKPAabBbRo+2eHrA+Fp+HApNJECnkfWs0cbwzoGn/ANBnMnXNoAQauxQauxQauxQauxQauxQauxQauxQauxQauxQauxQauxQauxQasBg9Yp3yNgrqY1izwB6z2+qWDKpjSLssdmkfMpP+NbTEnjrOm2qTL9gaphI0g3i7LD1wfA0yziEoBpmdwsyo42RnWMPecZ25ZHeXWb5MtqkmRKT1SpisniNl9OanVdq7wskmW+vOdx1vKeRQ1mPe9sFuU0ShSvr+r3UFEq/z6QN0VBCEuJ6KLA/7R3SN99b/WFreg/tx8/ay+TtsX9Z39g80X+TB/2v7DlLVFYjcNuXT4LYhBWQfEy++6v+rf5fkUURaYBpPtAXoiCROwACVJQV6CBwXAV94IUEds/de9Ue1sWjxCzhyg0N+Vmvu4V5J6SUxKcEPjgGgkd01NZNOqTh6CFej/h8WzkoFs9WS9uF+Xi+mqSFYmaqOVtNanSLJ/kWa0yVShdlQ9KK6ae7FXNRk8qqiswvPh6UhCEEJvIenKjHbPeJ/QtUTCNg22tHQUxCCF0EO0oiCKiHXNXI0cQJKJ2FKSgZjBgMFzaUZAionbMel8m87YsHiE+D6od1VprKI92lAQnBL4ttGP/mJ7KolGfPAQtpB3D49nIQbfasVzWhU7ym4muqtp8b1VNluVtYX6bXC0Wi6LIFjcfRNeOeZ8rjHbUVFdgePG1oyAIITbB2rE9w/zr9gTzw7U+v7Aq0l7us/pFe7T516tPDu7+qt3H/rNnB+Yn/nn1X1Y/Xv3D6kerH7aKc/WTvHdU3xJ1hsadsbXeFMQghF1cb5ox+3kfyldEUUT0ZnKc6z6UF6IoERWnIAU17yHD0UcxFaWIpji1du9Wl+QjhPVBJadeSxTtkZyS4ITYx5aczkE9lWWjPnsIW0hzhge0kYO+738XV1dqsawnOk+KiVLLZLJMsutJmV8tMnV9pXSx/CC65lR9rjCas6C6AsOLrzkFQQjBCdWc/2KE5aerT9rzkPaKxk/v/ua1jev2ZTr3wvJLr/e5+0v7yqXVr+yfF8lh1nsty1uirtC4K7ZWnIIYhKiLK07PCqcgipTi7CN5IUoSUXAKUlCTHjIafRRTUYp4gvO4cOlNSTxCSB9UbxZreeK8c/ylLDgh8vH1pmNMT2XRqE8eghaSm+HxbOSgW7l5ndfFVa7yiUpuriYqT24my0Knk6vb6qZapMltVqoPostN3ecKIzd9N8b1ugLDiy83BUEIsQmVmz82AvJjIzn9gvOgPZz5G/NH32tfAPmz9lzlz6zkZGtRQT9p3E9ba1FBDEJEHkSLCqKIaNH8uOgjeSFKElGLClJQMyIwGi4tKkgRTYum+rh2iVFJPkLAH1SMlmvx4rwF+KUsOCH0scWoc1BPZdmozx7CFlKj4QFt5KBbNZqrpbq5vrqZ6MQq1yItJsub7HZSX6uytNI1qRcfRFejvQnEqFH/jUw9rsDw4qtRQRBCcELV6IdfekHH39wrS/uGcKtGPzKi89O7H9z957v/aL7cqsusMuryMHmmknZr5+qzPh+8JeoDjftga6UpiEEIt7jSbF/p8vPjg/5x+YookIjeTPv3dr8QJYmoNwUpqDkPGA2X3hSkiKY3s+y46p1rb8vyEUL6oHqzWssTzw24ouCEAMjWm85BPZVloz57CFtIb4YHtJGDvl/9vFGqSpNkskjy24nKbpeTZZ3kk9tFep1USt/kagS92bsYZvRmTXUFhhdfbwqCEILTFnrTt5IJaE1Bfo3zb601BTEIoXZArSkIJKI1VX+oeCFKElFrClJQ8x0wGi6tKUgRTWsWxXHtOkskyUcI54NqzfXFiZnnLkxRcEIAZGtN56CeyrJRnz2ELaQ1wwPayEG3WjO5WZbLq9tssrhKq4laXt9Mqpu8mORXV0t1da2rKnmY7TG1Zu/4v6Fz310fva7A8KJrTUkQQnCCtebjC46fvInY/PbuB6vP7PuLwyq0zxtviXpD497YVnlKYhACL6483f10SRQhzelY35Qkiac5JSmoeQ8YDYfmlKSIpjnVce1Y3hTFI0T1ISVnnjwolNxzvaIoOCHysSWna0xPZdGoTx6CFlCcwHg2ctCt4kwX9XV2VaSTKmvVaa4ny7SuJjd1maTXy+tSq5sPoivOus8VRnGmVFdgePEVpyAIITbhinNz79oPbR/97nt3f36w+h+rj1a/al+p+VMjLv9s9Ys/uL9RI9OJvaA7u/881o61tLdEvaBxL2ytNAUxCPEWV5rOqywkSUSEZnqc6D6UF6IoEZWmIAU13wHD4VKaghTRlKb7jjVRPEI0H1Rpri/kyj13rImCEyIfW2mmOkuO87yP7lSWjvrwIXQhsRke0kYO+r6VvizLok6qyaK8uZ6om9ubySK9SSapukqu8+Xi+ja9/SC62Ex7n2ujNjOqLzC++GpTEIQQn1C1+SN709q92vyvRnZ+/+67d98zqvPnd98xQvMj86tftEubOrFX+vYRvyVKrHHirZWlIAYhvhKUZaB7LgkUW2AKokQUmIIU1BwHDIdLYApSRBOYynlMXRSPEMAHFZjZWo14Lg4TBScEQLbAdI3pqSwa9clD0ELqMjyejRx0qy5vbvOiuC6WkzS1y55pcTVZXF3p9jjRjfmzmyp7mOxR1WXa5wujLnOqLzC++OpSEIQQnBjq8qO7PzMS8hP7Vvf2NNBHdz84+B17UZBd0/zi7gdGav569dG/CatNQQ9o3ANbq01BDEKwHVBtCgKJqM3kuP9KgReiKBHVpiAFNechw9FHMRWliKY2s+PKpTYl8QgBfVC1ub5jJvfcGSQKTgiAbLXpGtNTWTTqk4eghdRmeDwbOehWbS6XVzeL27yeaKWuJqqsbieLIjHfmy6r69Qo01w/PMtR1WZvZ8+oTUX1BcYXX20KghCCE6o2/769Mug37RbM+xe/t2uZn9zfRWmk5kf2wND9vswDo03/dvXj1U9W/7D6R/N///TQT1/9y+qfVj9c/bP5/In9nv+f+c2PD9451enB6m/7vPSWqJc07qWtFakgBiEgExSp843wkihCWrS3cH0hShJRigpSUBMiMhp9FFNRimhStKrcWlSSjxDuB9Wi6ztrcs8dRKLghNDH1qLOQT2VZaM+ewhbSIyGB7SRg75vrKfXaXqt68lS39qXx18lk6pWtxN1laRFkmTLW/WQJKKK0bzPF0aMaqovML74YlQQhBCdUDH6t+2CptGdk/Yqok9Wv2mXNotD1fukviXKp3G+rWWkIAYhluIy0nMUSBBFSEaWug/lhShKRB0pSEHNZchw9FFMRSmi6UjPkqYkHiFQDyoj19fQ5J57hUTBCaGPLSM9S5qSaNQnD0ELqcjweDZy0FZG+tTh//aNb/5hDzxPGao+OCMLCw9cmZRduK//yR/9UZ/kc9hKkXvFsVGvx9oY6zjK+ibb2m64cHkW1HT/uPr8vp29+teDth/6cDLcvmN99fPV5wdfOgHe3jv549UPV3/3sLD4yeqXB6u/N3/wo4PVzw5S2/r+1B4dP1ifLP9k9Zltl7f/94n5/OzJgfMPVx/2+ecttn8U5p8HTfgHX/sWMv36TPx3bBM1yUTAPLsh+9lBfnD3n+5HcvXJ8cHqJ8bFX/zuwVtfyY4Pvnzmvx3ZX315XD9f/fphLH+4+iej8v9l9T8m7Ymt79yvOx+Y/5i/y/wtaZodfPXriz+5vTV/5z8/vIn/YdDbg10/sC/o/+ndX7Ur1O18eZgjP159OPl3Xzlo3+P/yYEZ/87ZL/OtafZM200Szw7sX3Vg7b373t33X3/Tv/mVmURmVrWkn7Zm/mWL9ev7L/263ZZhP7+z+ridXwdFcvf9rHww/NmB+Qu/83CfwG9aZ3xm56ux+SM74Ttz9P7Sgd/Yv+qnrbM+Nr9U9mia+Th4MNc40vrq7nvWSeY3B63nzF/fetl+fLx+GMx3/dnd9578jenmL+uY8mvzgx+bv+DTh2foV+u3MmyG0w5Q968rrIHm47hv4j5nT9xuxnZMXLxQcZ8kY1rYrUEcFuL1R3qc9J/becG2sVtcOGzctrBgWteVLg7r0IKhztL+i7qmbAufFAQOE0nFwBN1Nf3K87Ozk7MHfdWcv/wdI4fLZ+ajsh+1+VCJ/UjtR2Y/cvuh7Ie2H4X9sD+h7E+o+t/YR9diW332LOmVaG/zvQJKro1Xmj/+5unX+5Lfk0cgL2vH4bWv8s0FVdfGXGTMrPeO7gfsqw9+7rP6Hb7VoPoaolCzMIdTD8ZLPgYokjYYzrnisN2affj6QLgo3uVTaCIFPI+sZ482hnUMPuEbDOZPuNoFglZjg1Zjg1Zjg1Zjg1Zjg1Zjg1Zjg1Zjg1Zjg1Zjg1Zjg1Zjg1YDBq1TvkfAfP0fSAErS4rqWPcGrPf4poJp+z+gk+z0MVi953nKz/gWU1I5a7pt1h78gaphI2Rgqv/2lkFqPQAugld8AjAtf5sUoKxHjzZGdYw95xm7q31A1b+R5A0T2GiUKF78NqAgCGF1GV0yorcBBfk0zoevp/RhPBfF6CoDDwZeXXvagIIosduAgigR24CCFNRmBDAcRZ0c1/0jMhVl2YVmoCQeIVwPUWNuKs31tWy55549UXBCAITLI3RMT2XRqM8fguYdz1NkPBs56J093+Boxhkp6bsBptcVGF58KSkIQohNqJQc63iDoJc07qWtBakgBiEe44LUc7xBEEVIkLqONwiSRNSjghTUfAiMRp05NgtPRUmiqVHfEQdJPkLIH1SOrm9tyz3X8ImCE8IfW476jjhIslGfP4QtpEfDA9rIQe/s211Uf2vc6NGa6goML74eFQQhBCdUj0q83EXQAxr3wNZaUxCDEGwJWjP0chdBICHF6Xy5iyBKRMkpSEFNecBwZHlynPePyFSUJZro9CyBSuIRwvqgmnN9e1vuuY5PFJwQBtma07MEKolGff4QtJDkDI9nIwe9s6+rVseqzxVv6IfmLcEVGF50ySkJQohNDMnJfVu1JLHGibeVmJIYhNg6nMSUBBKRmO63VUuixJOYkhTUFAcMR12Ux3nROyJTUZZoEtP9zmpRPEIYH1JiqvV1bcpz/Z4oOCEMsiWm+53VomjU5w9BC0hMYDwbOeidvX5PHfeGLCMxfZfD9LoCw4svMQVBCLEJlZhC1+9JekHjXthadgpiEOItQXa6Dk1KksTWm4IoEfWmIAU13wHD4debgizR9Kb7Ej5RPEJMH1Rvrm9sU55L+ETBCfGPrTe9l/CJ0lEfQYQuJDnDQ9rIQbeSE7sdOrbkLPpcYSRnRnUFhhdfcgqCEMITLjk3L6h48soX89u7H6w+s+8M+YP12yzWbyK5+8v7zZ7tgaLkMCv7vPGWqDc07o2tpacgBiH04tLTfaJIEkVEezr2gr8QJYkoPQUpqHkPGI28Kupj1RvEp6Is0aSnOq57J9zbsniE2D6o9Fxf56Y81/OJghPiH1t6usb0VBaN+vwhaCHdGR7PRg661Z25Wqqb66ubiU6SYqKKtJgsb7LbSX2tyjJT11dJvfgguu7sFShGd+ZUV2B48XWnIAghNsG680tS82/u1eVvVh+1CvQjI0eN/mw3cz68Ry2rjMI8TJ6pxP4udy50CvpA4z7YWm0KYhCiLa42g/11QSARzZk6NacgSUTNKUhBzXnIaKSJPtYuzSnIEk1zZtlx5RKdknyEwD6o6Fzf6qY8t/SJghPCIFt0Ogf1VJaN+gQibCHVGR7QRg76fg/njVJVmiSTRdKujN4uJ8s6ySe3i/Q6qZS+ydUIqrPqc4VRnYrqCgwvvuoUBCEEpy1Up29NE1Ccgvwa599acQpiEELtgIpTEEhEcToK1BeiJBEVpyAFNd8ho5HnyXGa9rFMRVmiKc6iOK57k9PbsnyEoD6o4lxf3aY8d/GJghPCIFtxOgf1VJaN+gQibCHFGR7QRg76XnHmdXGVq3yikpur9lzRZFnodHJ1W91UizS5zUr1QXTFWfe5wihOTXYFhBdfcQqCEIITqjh/bHTKx6tf2Jdvtls7P7bKs+fiis8f7uh47Q4NK0bDKrXPT2+J+knjftpamQpiEEIyrkw9nXdBFBFNmvdv1nkhShJRkwpSUDMiMhp5WhwXvel9KsoSTZOm+rh27fqU5COE/UE16foiOOW52E8UnBAA2ZrUOainsmzUJxBhC2nS8IA2ctCtJlXF1ZVaLOuJzu2KqVomk2WSXU/K/GphF0yVLpYfRNekae8EMKK0oPoC44svSgVBCNEJFaX/YsTmpwFJytadgq7QuCu21p2CGISwO4juFEQR0Z1J/9vWXoiSRNSdghTUrAeMRlYWx3nvqsJUFCWa7NTus+2SeIS4PqjqLNYixXNfmSg4IfyxVadrTE9l0aiPH4IWEp3h8WzkoFvRWS7rQif5zURXlX3bfFVNluVtYX6bXC0Wi6LIFjcfxBedve0bIzrJb9PH+OKLTkEQQnBCRef/NGLyo/Yioo/XVw7/otWYvzR//AurQs0ffmLv1LV3B//s2YH5iX9e/ZfVj1f/sPrR6of3evQnea80eEvUGRp3xtayUxCDEHdx2el+U7wkipTs1H0oL0RRIupOQQpq4gOGI8+yY6V7R2QqyhJPeGr3KXdJPkJwH1R5ru+6UZ67i0TBCRGQrzxdg3oqy0Z9AhG2kPQMD2gjB91Kz3pxuygX11eTrEiU+d7balKlWT7Js1plqlC6Kh80WVTpmfX5wkhP8ovzMb740lMQhBCdYOlp2+p331t90YrI/Jk+7H8f9FuiYBoH21pGCmIQgiguIz2rl4IoIjIy743+L0RBIopIQQpqCgMGIysL59qlIEk0CZkcZ65dnJJ4hBg9qIJc306jPNcNiYITgh9bQbrG9FQWjfr0IWghARkez0YO+r5hnle3Sb6sJkmm9ESVqpgsbvPlpFbXtcrLIlnmyw/iC8jeVS4jIGuqLzC++AJSEIQQnMgC0t4r9Ln9aO+9tG3x1WcbUdm/4vyWKKzGYbcWlYIYhLg6iKgURBERlanuA3khChJRVApSUNMaMhh5ldb9706eirJElJV1L97bsniEyD2orFzfQKM8NwqJghPC3xaysn9MT2XRqM8fghaSleHxbOSgzf9+3/ywMj/zez7Z+L9945t/2OMEnmTsHdk3tPa9017XWRfy63/yR3/UpwUdtlJ0YHGcG1O1MdZxs9GbbGu7YcPlWVDs/aMRde1FP6t/PWjPGT+8H9Oez1n93Mi/L+2KbNvYP179cPV39+9kN3/8ie1zH6z+1l5Lefedu++2B3p+s/r5swN7i/r90fO7H9if7/PCW2wvKMwLDyrwD772LWSS9Zn479gmapKJTPOes83rRmGHebgAdb4AnmthV1s6LCToyuOkv1v1gm1jVzY6bNxSMnKt66Yjh3WoFOz13ZRt3ROB5zCPJO6eZMvpV56fnZ2cPeTL5vzl77zUOv03NoBZ023OfJb0ps23+WRg+tuQNX/8zdOv94Wo7hDURe7ouH6Vby2YADfWIm63zju69/lXH9zcZ/U7fKvBRDiEdrYwh1MPxks+BpjJNhjOqeKw3Zp9+PpAuCje5VNoIgU8j6xnjzaGdQw+4RsMpj+4AAHiTgPGnVM+FZgy/8NAMec9vqVg4vwP6Dw5fYw373ke1DO+xZRkypox64ouEGsaNkIGJtxvbxln1gPgInjFJwAT67dJMcZ69GhjVMfYc56xrYC9UmmeJqmpoevFROlKTRZXN+WkqBfXSXp7vVwsHh5YZ93sWUBg1s7Hjp3iOqVRonh9FbaHilJl94G8KQpCWLNDC/APOzX3r75ccX+++rUppFf/vd0V/v9d/f9XP1n988OFaKuftmcZ/9r8QPv7tL0ZzX4oz6W8ks7RuHO2LnoFMQjLk0MUx4IkMs2Z/gDyQpQkXndGkoK6OgyMhqskF6SI1pepsuS46t3P9LYsICHKD1FdbmrM9S1a2nMxmig4IfTBhRE+qqeycNSnD4EL9GaAEW3koO2eH5+2HLQnU/TBGVWZeeDKpOrCjdyTYVoLLkWhknDsngzTCwrzwiA9GaaJmmQi07znbPPARakhZCfTQnCBiSIn3T0Zpo3g0tK2QpFpHWUZCfCfSwAyrRuxJ5Ov10Yzf0+GSwamv4F7MlxrwQRI7clkjz0Z55VZ7/CtBhPhEKrZwhxOPRgv+RhgJtumJ5Mdvj4Qnp4Ml0ITKeB5ZD17tDGsY/AJ32Aw/cGlBxB3GjDunPKpwJQ5YE+GaymYOCk9meyxJ+N8UM/4FlOSKWvGbCo5f6xp2AjSPZns8PUB8PRkuARgYiX3ZLKjjVEdY895xt6nqHKRVvWVqZivk4la2refp+a3dZVkVVGV+bJ+iP7OutmzcMCsnZ09mZxGieLF78kIghBW69ACPNyTeVJcPzRl/m7dlOnzw1uiftC4H7aubwUxCGuQQ9TBgiSR2y+CJBHbL4IU1AVgYDRc1bcgRbT2S1lWx4njvLUoICGgD1FIbsrJ9bV+2nNPoyg4IfTBNRA+qqeycNSnD4ELtV/CI9rIQUdtv5R9cEZAKi9c3YUbuf3CtBZcdULV39jtF6YXFOaFQdovTBM1yUSmec/Z5oHrT0PITqaF4FoSRU662y9MG8FVpG2FItM6yooR4D+XAGRaN2L7Ra+XQZW//cIlA9PfwO0XrrVgAqS2X9Rj+8V5k987fKvBRDiEarYwh1MPxks+hiJiMJZF1eHrA+Fpv3ApNJECnkfWs0cbwzoGn/ANBtMfXHoAcacB484pnwpMmQO2X7iWgomT0n5Rj+0X54N6xreYkkxZM2ZTyfljTcNGkG6/qMPXB8DTfuESgImV3H5RRxujOsae84zd1fZL6Wy/aBolihe//SIIQlitQwtwufaLoB807oet61tBDMIa5BB1sCBJ5PaLIEnE9osgBXUBGBgNV/UtSLEb7RdJQEJAH6KQ3JST6/tEteeCWFFwQuiDayB8VE9l4ahPHwIXar+ER7SRg47afukdUSMgCx9cmnThRm6/MK0FV51Q9Td2+4XpBYV5YZD2C9NETTKRad5ztnng+tMQspNpIbiWRJGT7vYL00ZwFWlboci0jrJiBPjPJQCZ1o3YfinXy6CFv/3CJQPT38DtF661YAKktl+Kx/aL8/7Qd/hWg4lwCNVsYQ6nHoyXfAwwk23TfikOXx8IT/uFS6GJFPA8sp492hjWMfiEbzCY/uDSA4g7DRh3TvlUYMocsP3CtRRMnJT2S/HYfnE+qGd8iynJlDVjNpWcP9Y0bATp9ktx+PoAeNovXAIwsZLbL8XRxqiOsec8Y9sKoLopr6ridqLKcmk+lrUpm/XtJFnorFrm2W1ZXd3zOOtmz8IBs3Z2tl9KGiWKF7/9IghCWK1DC/Afrj4yhfN3TM39XVOI2xeMrT5rf/ORqbg/ufvLthj/tamkn/RlDvr43xLl1zj/1nWtIEY3+Xswhqh/BUlk2i59HC9EOSI2XQQpqMu+wFi4am5BimhNl8R5R7UoHiGID1E8bkrI9ZXG2nNHtSg4IezBdc+TF455LqkWhaM+ewicd0RPkRFt5KCjtlzqPjgjGr0XKKZpF27klgvTWnClCVV8Y7dcmF5QmBcGabkwTdQkEwHz7IsEnx3kB3f/6X68Vp8cH6x+Yofgdw/e+kpufvPhl4bqkycjcGD+YxT86lftV9cvDTaDt/rR6u9W/23148AmqudsV4DrW0PIW6aF4FoVQbZ62jtMG8FVqm0lKdM6yooU4L/S9WqMKdvCEVs89XqptfK3eLhkYLoduMXDtRZMuNQWT/XY4nFes/wO32ow8Q6h0i3M4dSD8ZKPAWbObVo81eHrA+Fp8XApNJECnkfWs0cbwzoGn/ANBlMgXOoAcacB484pnwpMm7QWT6qUOu6/keM9vqlg9qT0eKrHHo/zST3jW0zJqKwpsykd/cGmYSNI93iqw9cHwNPj4RKAmZXc46mONkZ1jD3nGduqWOjt4JbHWah7ViqYxbqzx1PTKFG8+D0eQRDC8iBa8YeP2Ax664ygczTuHLzK7sN4LopBWAkdokIWJJFpADnP3QiSRGwBCVJQl6GB0Sir8rh0FeaCKNH6QPaSktrVCZIEJIT6IWrMTaW5vkReOy+RfykLToh/cHnUN6rOq2ck4aiPIAIX6gSFR7SRg47ZCcp6n9M3dJF44bIu3LidIK614IIUqgtH7gRxvaAwLwzRCeKaqEkmAub5O0HqtU7Q53d/aYbho7sf2PGzm7i+a4fpv1ulf/fndogOVv/TjKf91o8O3kj1QZpZTV/Yjyx5dnD3F+00+O7B2Rvv1En/ZU/P2a4Bl8UG0L1cC8ElLoqedXaGuDaCa1tbKlWudZR1LMR/adk7CadsA8drDBXrW8EL363gb/PJwOw7bGOIbS2Yf4mNoSLZNIYK59Xa7/CtBvPwEKLdwhxOPRgv+RhgIt2iMVQkh68PhLsxxKbQRAp4HlnPHm0M6xh8wjcYzIBw5QPEnQaMO6d8KjBrDtgYYpsKJk9CY2gTcN7zPKlnfIspCZU1ZdaVZCDYNGwE4cbQJtCsB8DdGGITgJmV2hgyc2djVMfYc56x9zkKeXGG5XHW7Z6FC2bt7moMFb5bcXsoUbzojSFJEMJqIboAEG4MMd+9JukHjfsBr6/7MJ6LYhDWQIeohQVJ4vaAJEni9YAkKagL0MhoZHV+7KrBBVGi9YB8L2ATBSRE9SHKyU1Rub6svnBeVv9SFpwQ/+BKCB/VU1k46iOIwAV6QMCINnLQUXtALhWZeeHyLtzIPSCmteDaEyoBx+4BMb2gMC8M0gNimqhJJgLm+XtAaXnQp+cfD/M/Oc7/66dH/7vq3/zip/ZHjm3/6KPVL9u/7s/s931k/oGP7d95UPQ3jx43j5kf/of2O9sf+qj9y3/e5+vnbF+DS2pDCGmmheDyGEUgu5tKTBvBdbFtpS/TOsoaGOC/zMTnPgOnbANHbCqtrzUvfNeav80nA9P5wE0lrrVgQqc2lbLHppLzbvB3+FaDiX2IKsDCHE49GC/5GGBm3qaplB2+PhCephKXQhMp4HlkPXu0Maxj8AnfYDADwqUUEHcaMO6c8qnArDlkU4lrKpg8KU2l7LGp5HxSz/gWUxIqa8psSlN/sGnYCNJNpezw9QHwNJW4BGBmJTeVsqONUR1jz3nG7mpTybFQ/IYJTjRKFC9+U0kQhLD8iK4oyDWVBP2gcT/gBXsfxnNRDMKi6hC1sCBJ5KaSIEnEppIgBXVFGxiNLD8udB/JVJRkN3pKkoCEoD5ENbmpKfN1ByL31JWS4ITwBxdC+KieysJRn0AELtRTCo9oIwcdtafUm+KMiFReONWFG7mnxLQWXHpCFeDYPSWmFxTmhUF6SkwTNclEwLxATykzv/vHLTpId985WP3S/OwX7Z/YjtFvzE9+vPrswPznl87u1N33D+zA216TMcn+mPmbf3bQziQ7h8yP20bSF+bLH5mp9enD3/vJM/Njq8+ObaPJzJHVT++/9RPzxV+Yz5+Z//vF3fcevriZi8YQ+4vW6s3fdfcDe6SqnXn26z9r/2l7kspWKH/TTkTzN31xP1PtWarPHnpirV/+1szoD5/Zv7rb9nr2eu+sBVh31TbHsJ4dFPn6V1/+jru/Prj7nrWzPeBlrLGWfGEZ7Jftk/K9vun2nD3dwEXFIUoJpoXgAiGlRHC31Zg2giuD24p/pnWUVUDAf4V7nxjTwBHbauvr6gvfdfVv88lARTNwW41rLahpqG019dhWc975/g7falDbDFEIWZjDqQfjJR9DETEYq93q8PWB8LTVuBSaSAHPI+vZo41hHYNP+AaDGRCuJoG404Bx55RPBWbNIdtqXFPB5Elpq6nHtprzST3jW0xJqKwps6nO/cGmYSNIt9XU4esD4GmrcQnAzEpuq6mjjVEdY895xrZVHfTGfcvjXAvxLAYx10OcbTVNo0Tx4rfVBEEIK7DoosrgFzVJ8mucH1+r6MN4LopBWE8eogYWJJFpp/VxvBDliNhME6SgLuUDY+GpuwVBovXS3Hc1ieIR4vgQBeSmjNTrvov2lJKS4ITIB9c+T97Q57mrSRSO+vghcKFOWnhEGzlo87/f/9OH/5m/5N9/7fr65utvGQV12goo64xieZUtl4tkcqNu9URVye2kqsrbyULlySLXKr2+XnzwugbNdMePN390s/HO6268/xf5j4eti2d1r9tm/a/OtuL6qb8wylaKdp8ACA4vhizRvJ9oLkTU1QAQEV4cGaA33ugneuMNAaQvCTT3lPzWzdW3v/aNr/sZ+VMyTZ7NtO6fl7XnYdaZu3TtTjwIgTjxjN1zh91zrt3d6QXZTZxexu433nAYbiYfw/IvlZ3jzaK0fwalvpe/6EyPO4X6jZ6zjY4yf/qNthOLYfVOzJ1+MTFLfSe9dVaMO3f6jZ6zjY4yd/qNtpOKYbU1W409d3LH3PGdD9BZOe7c6Td6zjY6ytzpN9pOKobVOxF3lGPu+HYDmqJk3LnTb/ScbXSUudNvtJ1UDKt3Iu7oZ7PMKGeTVme5+W9u/qvMf5X5r+5vds5sA9wDW487r/SzuQGaG6C5AZoboLkBmhuguQNozgaKMue00dmZFduZ/VVuf5XbXyn7K2V/5eCy85UB1q7L3IPZNbffe216ghtP7nHhJUbHis1pqh9uOzp2nlh8325kcDPm7svFwN0oX0LBp+JDUxWw/4JtvyLbj1t+Blh+ybZcUyznB7iHfRwAyoyN0g1pYRTqJHoF2D9n2w9uP+GEL+PUo7VhTyMTx2Br8aLIblKVlpNaFeVEqet8UqWLbFKni5tFmuviun6yEkXoZQ8TuNbhq2gHzAyeN4AVNFegPuh91ILo2z9uRXC6zsSQ2ylS3dyq4qZYTG6v1e1EVVf2rpy0mORVfX2dZJn5q7p7OMabIiU0RUqqvzAfjDVFSmCKSCHfR5HF9e3Sfu9imdYTlWbLyUIti0mh9LJY3tZ1WqqdmSIVNEV815b2P1KQD8aaIhUwRaSQ2ylye3VV3JbLq0lVXl1NVH2VTpZqcTW5LRZZtlguq6qsdmaK1NAU8S7K9/kL88FYU6QGpogUcvdAZOTCKEuC7O9n3nX02v0elAiFEWD/Bdt+RbYft/wMsPySbXn3IQqr8S0mUQOgzNgoEQojwP45237JwihLjtaGPSmMWAbvm6TJUiRfZd5mzlNXoD4YKV9laXC6zsSQ907SZBk0Rbw9mz5/YT4Ya4pkwBSRQm6nyM3t4jrLF7eT2+XyeqLyLJss0mU5Sa7yurrK1E2e78zySpZDU8TbmunzF+aDsaZIDkwRKeS9W4HLFDRFFNVfmA/GmiIKmCJSyGMXRuHF8vftkHjY3dvqYhRGYfsv2PYrsv245WeA5Zdsy7sPUViNbzGJGgBlxkaJURiF7Z+z7RctjPTR2rCnhRHH4L3LV1DHyM4hiitQH4yVr4COkRjy3nWMMqhjlHnbJ33+wnww1hQBOkZiyPu3vAJ1jDJv+6T3kYJ8MNYUATpGYsj7t7wCdYwyb/ukz1+YD8aaIkDHSAx55MIoDy+Wv5/7157d50UiFEaA/Rds+xXZftzyM8DyS7bl3YcorMa3mEQNgDJjo0QojAD752z7JQujPDlaG/akMGIZvG+SJoc6Rrm/ffLEFagPRspXOdAxEkPeO0mTQx2j3N8+6fEX5oOxpgjQMRJD3ruOUQ51jHJ/+6THX5gPxpoiQMdIDHnvVuByqGOUK6q/MB+MNUWAjpEYcvtGFMt9jz32maM8vHj+fq59vshH3VoH2H/Btl+R7cctPwMsv2Rb3n2owup8i0nUACgzNkqMQils/5xtv2ihpI/Whj0tlDgGW4uXqSryIleTKrs2gay+LiZLnRcT87ur5aKqs0X+EKN2IH9BHSSbmymuQH0wVv4COkhiyPcSJ83q+lpfTRbFopooXVYm16U3k3pxVSxvVFYb3bwzUwTqIOX+Azh9O0QgH4w1RYAOkhjy/i23QB2k3H8Ah79bdaQpAnSQxJDbKXKV3abX6VUySa+usolaXpvYc5Poyc1telMYFZ1X2XJnpgjUQcq97ZQ+f2E+GGuKAB0kMeSRO0gqvHj+vvKvRbvfGhWhMALsv2Dbr8j245afAZZfsi3vPkRhNb7FJGoAlBkbJUJhBNg/Z9svWRip5Ght2JPCiGXwvuUrBXWQlL+d8sQVqA9GylcK6CCJIe9dB0lBHSTlb6f0+AvzwVhTBOggiSHfvz8vW+qbW3U1SYpCT0z5ZIqo5LqeJIlOdFFVaa13ZnlFQR0k5W+n9PgL88FYUwToIIkh790KnII6SEpR/YX5YKwpAnSQxJBtB+nZ/bsUx+wcqfCi+ftK+3yQj3r2CLD/gm2/ItuPW34GWH7Jtrz7MIVV+RaTqAFQZmyUGAVS2P45237RAkkfrQ17WiBxDLYWJ3mmihsjfkzEMko5q40MyotksshNzisSXefL+oNdyVtQ50j52yg9+6MxH4yVt4DOkRjy3rUFFNQ5Uv42Cv+UxUhTBOgciSHvXw0NdY6Uv43CP2Ux0hQBOkdiyPcnGPVtUee5npTLKp2oq/x6sjRxZnK7TIqbmyoz/6/cmSkCdY6Uv43Sd5wP8sFYUwToHIkhj9w50uFF8/e1fw3afWdEhMIIsP+Cbb8i249bfgZYfsm2vPsQhdX4FpOoAVBmbJQIhRFg/5xtv2RhpJOjef9d8vbmAYbB+5avNNQ50v42yhNXoD4YKV9poHMkhrx3hZGGOkfa30bp8Rfmg7GmCNA5EkPeu8JIQ50j7W+j9PgL88FYUwToHIkh790KnIY6R1pR/YX5YKwpAnSOxJD/dHMb87P7k0evzYOuM6DrnVi+aO/i0oWDXvvoc/xEPWQ/Lmzb+7YcRs/ZRnelLGQ0rGbv79RyGG3vs2VYbc1Ox547pWPu+Neu8b10kP3UudNv9JxtdJS502+0nVQMq63Zeuy5Uz2bZUV76Z8yH7UrDPnXuPHiGsKhTqXq2dwyzC3D3MUwZzNEmVmVveSvuL/WT9lPB4adhAyOnYhTtb1r0nFNu/YvkY97YamxfO6yfM62PMq8qtvLI11XtbNs3wW9ZENWYSJWYeJXmZn/K57NKvNnVW7+z/7azLXa/Hmtzf+Z70mT1H4o+1GajzSxH7n9KOyH+fY0s9+S2T+zN6Kmmf2+PLMf9lfK/krZX2n7K21/VdhfFfZXpf3Z0v6YtSKt7K9q+6u6vWTV3rKa2F/ZfzdrL15tb161/1Bm717N7OWrmb19NbPXr2au+1e1v00w7v2rNgabQZmbQZmbQZmbQZkbd8zNoMwr+2vzGJlBmRufzM2gzO2gzO2gzO2gzO2gzO2gzO2gzO2gzO2gzO2gzO2gzO2gzO2gzO2gzO2gzO2gzO2gzO2gzO2gzO2gzO2gzO2gzO2gzO2gzO2gzO2gzO2gzO2gzO2gzLP28tj29lj7D9lBmdtBmdtBmdtBmbsGZc4elBgRoM0phU0phc0xZlzMR2E+KvsFMzTmo/2tjRS1/Wpt75Wt7TfbAbKfqv0s7WeatJ95+1m0n/YH7TjZz/bP28tq7VDZy5Gz9rP9tWp/rdpf6/bXuv110f66aH9dtn9P2f4NrYV22Mxn3f66vr8Qt70RN2l/3dqT3V+Ue39TbvuvZ+1duVl7WW7W3pabtdflusbQRkrGILajeD+INruOuQOxCPcY3i+8S/Zq1PtyAfsv2PYrsv245WeA5ZdsyzXFcn5SfViQAVBmbJRuCgqjUCfRK8D+Odt+yUZbkRytDXsSmVgGt4J/kd/kRvxN9HJRTFR9U06Wy6tqkpX1TbpMs6peJB90dNxY658F1GgrvF2np65AfTDS+mcBNNrEkO97sYtcF4mqJsvqtpqo8uZmUl1nanJVFotEm2yvkuXOTBGo0VZ4u059/sJ8MNYUARptYsjtFLlWi3JRlzcTo/fSiSqy68kiW1xN8pvbalEtbqqr3XlBfgE12gpv16nPX5gPxpoiQKNNDHnk7WVFuIP0fqF87LV7gSaG6g3bf8G2X5Htxy0/Ayy/ZFvefYjCUmuLSdQAKDM2SgzVG7Z/zrZfVPWqo7VhT1Uvx+B7SWMyWFnpSa51aQKXEUK1/bi6yq90ppKrYlF/sCv5SkP5StNcgfpgrHwVPiY2E0O+P1K8TDJ9nZaTXN3UE6UXalJdFeYHkjors3RR5OntzkwR6GhWUVD9hflgrCkCHM0SQ96/2hk6mlV4+4Z9/sJ8MNYUAY5miSGPrXrDZ47eL/z3HbmbEjFUb9j+C7b9imw/bvkZYPkl2/LuQxSWWltMogZAmbFRYqjesP1ztv2iqrc6Whv2VPVyDN67fAUdAiy8DbmnrkB9MFa+Ag4BiiHvneotE2SKlP4jSD3+wnww0hQpw92rmRjy3tXOJdQxKv3nlHr8hflgrCkCdIzEkEdWvWW4FfJ+6WuFFEnSZY+pegH7L9j2K7L9uOVngOWXbMu7D1FYam0xiRoAZcZGiaB6AfvnbPslVW+ZHa0Ne6J6WQbvW2+yhHqTpa9R1+MK1Adj5SugNymGvHc7HEroEKA9A0vzF+aDsaZIuHs1E0Peu9q5hDpGpab6C/PBWFME6BiJIY+tesOtkPfLwss+6r5ewP4Ltv2KbD9u+Rlg+SXb8u5DFJZaW0yiBkCZsVFiqN6w/XO2/aKqtzhaG/ZU9XIM3rt8BfUmS1+jrscVqA/GyldAb1IMef/WeqHXRpa+zkivvzAfjDVFwt2rmRjy/q31Qh2j0tc+6fUX5oOxpgjQMRJDHln1VuFWyPuVrxVSJFmXPabqBey/YNuvyPbjlp8Bll+yLe8+RGGptcUkagCUGRslguoF7J+z7ZdUvVVytDbsieplGbxvkqaCepOVr1HX4wrUByPlqwroTYoh711hVGXQFPF3Rnr8hflgrCkS7l7NxJDbF76Zn354LeTYB/arcGvk/cp/bKv/2vpnkSRO2P4Ltv2yEids+SXb8u5DFc6rW0yiBkCZsVFiSJyw/XO2/aISJz9aG/ZU4nAMthYnurit8ttssjSFmL0W79b8allPqut6oa7ymyLPdqadXUG9ykrRXIH6YKz8BfQqxZDvX7yVl9VVmepJurxKJyq51ebbknqS6kWdZjeJuqqvd2aKQL3KSlP9hflgrCkC9CrFkMdetQm3ad6vCg97kYwracL2X7Dtl5U0Ycsv2ZZ3H6JwHt1iEjUAyoyNEkPShO2fs+0XlTTF0dqwp5KGY/De5SuoV1n5G3f84N33qAXRt3/cgF6lGPL+qV6oV1n5G3d8CTjSFAF6lWLIY0uacBPu/crfhBv1YmfA/gu2/bKSJmz5Jdvy7kMUzqNbTKIGQJmxUWJImrD9c7b9opKmPlob9lTScAzet3xVQ+coa39Pru+WY8gHI+WrOtw3nYkh753qraFeZe1v3PX4C/PBWFME6FWKIY8saepwE+792t+Ec1/hE0HSAPZfsO0XlTSA5Zdsy7sPUTiPbjGJGgBlxkaJIGkA++ds+yUlTZ0drQ17ImlYBluLr3S+yKtFOqmW+c1EFbf1ZFGl15P66ja5yW/S62W5/GBX8hV0jrL2Hyp84grUB2Plq3CfdCaGvH+SBupN1orqL8wHY00RoDcphjy2pAk33d6vtZfdfbNcDEkTtv+Cbb+spAlbfsm2vPsQhfPoFpOoAVBmbJQYkiZs/5xtv6ik0Udrw55KGo7Be7dKA73jtS5orkB9MFa+CvdJZ2LI+ydpoN5k7W/U9fgL88FYUwToTYohjy1pwk2392t/0819pWkMSRO2/4Jtv6ykCVt+yba8+xCF8+gWk6gBUGZslBiSJmz/nG2/qKSpjtaGPZU0HIP3Ll9BJ3Zrfw/uiStQH4yVr8J90pkY8t6p3jSBmpPm26gew7ww0iQxPOFZIgc9sqxJk3DnzQy5v/U26pVNCMEFn0BU2iC2X/Jt7z5M4Yy6xVRqEJgZHyaCvEEI5nwCSYFjrDramPZE4vBs3r8ElmEJzN+W67mGBPPCaAks3DudyUHvnRROE6hjab6N6jHMC6NNE6BnKQc9us4Jt+PMkCsv/aiX9CAEF3wCYZ0Ttv2Sb3v3YQon1i2mUoPAzPgwUXROmGDOJ5DVOepoY1qPzuHYbI3Gtl7sSgKDDvKab6M5A/XCaAks3FCdyUHvoc6B2pjm26gew7ww2jQBGply0Ou32qQPCXXs19qkSbhpZ+aAr2un1aj7ixGCCz6BIhPgtp8htl/ybe8+XeFMu8VUahCYGR8mivAJE8z5BLLCpzzamNYjfDg2W6Nv1c2yLorFZGn+a6v85aRKbpeTJNGJLqoqrfVDwNqFjAYd9zXfRnMG6oXRMlq47TqTg26nib6pyxtV6cnVza3JfstlMakX6maik5trnWXF7fK62J1pAjU7zbdRPYZ5YbRpArQ75aDHXuBJw2289803eeiLNOnSR9U5AMEFn0BW5wC2X/Jt7z5M4cS6xVRqEJgZHyaGzgEI5nwCUZ2TJkcb057qHJbNe5fAUugMsPk2mjNQL4yVwNJw+3UmB71/cjjF+p2pt/XX5zHMC6NNE6TfKQY9us4Jt/HMkHvbeOmoN5AhBBd8AmGdE7b9km9792EKJ9YtplKDwMz4MFF0TphgzieQ1Tn50ca0Hp3DsXn/Ehh0MDi1a+kUZ6BeGC2BhduvMznoPZTDWL8z1VSPYV4YbZog/U4x6NF1TriNZ4a88NJnXfq4OidMcMEnENY5Ydsv+bZ3H6ZwYt1iKjUIzIwPE0XnhAnmfAJZnVMcbUzr0Tkcm/cvgUGnhc230ZyBemG0BBbuts7koPdQDmPtzdR7YLHPY5gXRpsmSHtTDHqzYechXNi8OuqGnTTcxjNzwN/GG/WoOUJwwScQFj5h2y/5tnefrnCm3WIqNQjMjA8TRfiECeZ8AlnhUx9tTOsRPhybrdHJ8uq6TNKryeLaXhicL5S9MPhmUt2o2/Qq13WdLz/YlYyWYUeKM19Xr8cZqBfGymhZuP06k4Meu3LPwm08M+T+Nt6o9w4hBBd8AtkEBth+ybe9+zCFI+YWU6lBYGZ8mBgJDCCY8wlEE1hmjxRnriPFLJv3L4FlWALzd5v7rluBvDBaAkNa7GLQoyewcFfRDLm/QzfqLTMIwQWfQDiBhW2/5NvefZjCEXOLqdQgMDM+TJQEFiaY8wlkE5htsWeuFjvL5v1LYFiL3T7TFGegXhgtgSEtdjHo0RNYuHNshlx76cc98wcQXPAJhBNY2PZLvu3dhykcMbeYSg0CM+PDRElgYYI5n0A2gemjjWk9CYxj8/4lMOwUu51KFGegXhgtgYU7/jM56E1TrLonH/0UexZuJZs54D8EO+7rewCCCz6BcEYL237Jt737dIVD6BZTqUFgZnyYKBktTDDnE8hmNHuK/cG0nozGsdkavajz24UqF5OqrLKJSnU9WRQmwJXlQql6sdTXZfrBzmQ0bJtH5j/Q3fOKEswLo2U0ZJuHGHQ7TZb1dX6TXqWTIlHpRKnqZlLnVT2pr3Re3pi/f6mS3Zkm2Cn2zN9I7vEY5oXRpkm44z+Tg/7Te2x9ky1vtPni0m4w09mkUtdmctW5MjM0varqamemSY612HN/t7nHY5gXxpomOdJiF4O+jybLq5vFbV5PtFJXE1VWtybyJNrEoGV1nS4X17nenWiSY0eKc19Xr//Bgrww2jQJt19nctBjrwPm4TaeGXJ/G2/Ui/gQggs+gSIT4LafIbZf8m3vPkxhmb7FVGoQmBkfJkbVBBDM+QSiVVOeHW1Me1o1sWzevwSGvbU793f1eu4fw7wwWgILt19nctB7KIexfmeuqB7DvDDaNEH6nWLQ+1dc59iR4lxTPYZ5YbRpEu6FzeSg76PJ8jrPC/Nty6tbE28WajFZLLJkcpUU2W2ZV8nN1WJ3pgnWfMr9fZi+BwvywmjTBGk+iUGPXjWFl9fNkPuWqot03ANYAMEFn0CRCXDbzxDbL/m2dx+msEzfYio1CMyMDxOlagoTzPkEslWT7TXlrl4Ty2ZrdJXoyijkZGL0s204qGRSJ3U1uV1c6+oqrfUy2aEEhvWacv/p2p6zSJgXRktgSK9JDHoP5TDWa8p9bZdej2FeGG2aIL0mMej9K64V1mtS/pe09ngM88JY00QhvSYx6P1bqlNYr0n5T5D1PViQF0abJkivSQx67KpJhZfXzZD7l6rHvUgYILjgEygyAW77GWL7Jd/27sMUlulbTKUGgZnxYWJUTQDBnE8gWjUp22tSrl4Ty+b9S2BYr0n52y49l6ViXhgtgSG9JjHoPZTDWK9JKarHMC+MNk2QXpMY9P4V1wrrNSlN9RjmhdGmCdJrEoPev23hCus1KX/bpcdjmBdGmyZIr0kMevSqKby8bobcv1Q97rkmgOCCT6DIBLjtZ4jtl3zbuw9TWKZvMZUaBGbGh4lSNYUJ5nwC2arJ9pqUq9fEsnnvek0K6zUpf9ulZ7c15oXREhjSaxKD3kM5jPWalL/twj/iM9Y0QXpNYtD7V1xrrNek/W0X/hGfkaaJRnpNYtD7t1SnsV6T9rdd+Ed8xpomSK9JDHrsqkmHl9fNkHuXqrOkSx+1agIILvgEikyA236G2H7Jt737MIVl+hZTqUFgZnyYGFUTQDDnE4hWTdr2mrSr18Syef8SGNZr0t62y1NnoF4YLYEhvSYx6D2Uw1ivSSuqxzAvjDZNkF6TGPT+Fdca6zVpTfUY5oXRpgnSaxKD3r+lOo31mrS37dLnMcwLo00TpNckBr15qV59Tz76S/V0eL3dzAHf2rXW414lDhBc8AkUmQC3/Qyx/ZJve/fpCuv2LaZSg8DM+DBRyqgwwZxPIFtG2eaTdjWfWDa3wuemLJblbTK5rjKT/bI0nyySpZ5cq+t6mVRVWt3uzu4JjTWftPf9ck+dgXphtIyGNJ/EoNtpopLsenG7vJmkhZHRSifXk+WNup4UaZWom9v8Oq93aJpgzSft68P0egzzwmjTBGk+iUHvX7VdYM2nwteH6fUY5oWxpkmBNJ/EoNtpUtxWSXF7nUxus+R2oq6KelJd1/Xk6uZGJUV+u0hUuTvTBGs+Fd73y/V5DPPCaNMEaT6JQY/dfCrC6+1myP1r1+NWTQDBBZ9AkQlw288Q2y/5tncfprBM32IqNQjMjA8To2oCCOZ8AtGqqbDNp8LVfGLZvH8JDGs+Ff4+DD+W9z1zQfgBnjuk+SQGvYdyGGs+FYrqMcwLo00TpPkkBr1/xXWBNZ8KTfUY5oXRpgnSfBKD3r+lugJrPhX+Pgx/1WqsaYI0n8SgR6+awsvrZsh9S9VFlnXp41ZNYYILPoEiE+C2nyG2X/Jt7z5MYZm+xVRqEJgZHyZK1RQmmPMJZKsm22sqXL0mls37l8CwXlPhPfPz1BmoF0ZLYEivSQx6D+Uw1msqfG2XXo9hXhhtmiC9JjHo/VuDKbFeU+k989PnMcwLY02TEuk1iUGPLYfLcAvFDLn3/E6Wd+mjymGA4IJPoMgEuO1niO2XfNu7D1NYf20xlRoEZsaHiSGHAYI5n0BUDpfp0ca0p3KYZfP+JbAMS2D+jsoTZ6BeGC2BhVtfMzno/WsilFivqfS3XXo8hnlhtGmC9JrEoPevaiqxXlOpqB7DvDDaNEF6TWLQo8vhcAvFDLn20qsufVw5HCa44BMoMgFu+xli+yXf9u7DFNZfW0ylBoGZ8WGiyOEwwZxPICuH9dHGtB45zLF571aHS6y9WRY0Z6BeGC2BIe1NMeg91DklNk38HZUej2FeGG2ahFtfMznoPayasF5T6W+79HgM88Jo0wTpNYlB7+EaDNZrKv1tlx6PYV4YbZogvSYx6LGrpircQnnffJOXXnfpo1ZNAMEFn0CRCXDbzxDbL/m2dx+msEzfYio1CMyMDxOjagII5nwC0aqpSo42pj2tmlg2710Cq7CjdJW/o/LEGagXxkpgVbj1NZOD3j85XGG9psrfdunxGOaF0aYJ0msSg96/4rrCek2Vv+3S4zHMC6NNE6TXJAa9f0t1FdZrqhTVY5gXRpsmSK9JDHr9Gqzs4a15djqM+hqsKrzebuaA9rhD63H3YgEEF3wCRSbAbT9DbL/k2959usK6fYup1CAwMz5MlDIqTDDnE8iWUbb59GBaTxnFsbk1ul4s6yTJJ3qpciONFuWkWi6sUiqKrEq0ui5vPtiZjIY1nypfH6bHGagXRstoSPNJDLqdJml1VS6uq9tJulwU5ntNtVXlhcl+WZaW5i9KF7f57kwTrPlU+fowvR7DvDDaNEGaT2LQ7TS5yurc/PFycl3nVxOlMjWpsiSZ3KTLul6WaVHe7NA0wZpPlf/9cj0ew7ww2jRBmk9i0Hu4doc1nypfH6bXY5gXRpsmSPNJDHrs5lMdXm9/33yTh77Iii591KoJILjgEygyAW77GWL7Jd/27sMUlulbTKUGgZnxYWJUTQDBnE8gWjXVtvlUu5pPLJv3LoHVWPOp9vdhnjgD9cJYCaxGmk9i0Psnh2us+VT7+zA9HsO8MNo0QZpPYtD7V1zXWPOp9vdhejyGeWG0aYI0n8Sg92+prsaaT7WiegzzwmjTBGk+iUHb5pMF/2DknlMdXmY3Q689XtB63ANPAMEFn0CRCXDbzxDbL/m2dx+qsFzfYio1CMyMDxOlegoTzPkEstWT7Tk9mNZTPXFstkYv62u9UHk1yRZpPVGFSX9LbaNZoarr6/T6OtO7syerxnpOtb/90nf2B/LCaIkM6TmJQbfTxOjn2+tKqUlRlHqiSl1PFtdlOtGJ+d7FbZGUudqdaYL1nGp/+6XHY5gXRpsmSM9JDHoPi2ys51T72y89HsO8MNo0QXpOYtB7uGSH9Zxqf/uFf/ZnrGmC9JzEoEfuOZmJG6R/33yTh77Iyi59zKoJIbjgEygyAW77GWL7Jd/27sMUlulbTKUGgZnxYSJUTQjBnE8gWTUZq442pj2pmng271sCyxKo52S+jeYM1AsjJTDDE5y1MznovZPDWQL1nMy3UT2GeWG0aQL0nOSg9664zhKo52S+jeoxzAujTROg5yQHvXdLdVkC9ZzMt1E9hnlhtGkC9JzkoEevmsLL62bItZe+6tLHrZrCBBd8AkUmwG0/Q2y/5NvefZjCMn2LqdQgMDM+TJSqKUww5xPIVk36aGNaT9XEsXn/EhjUazLfRnMG6oXREhjQa5KD3kM5DPWazLdRPYZ5YbRpAvSa5KD3sLiGek3m26gew7ww2jQBek1y0Hu4VAf1msy3UT2GeWG0aQL0muSgx66a0vDy+vvmm7z0dZc+atUEEFzwCRSZALf9DLH9km9792EKy/QtplKDwMz4MDGqJoBgzicQrZpS22tKXb0mls17l8BSrNeU+tsuT5yBemGsBJYivSYx6P2TwynWa0r9bZcej2FeGG2aIL0mMej9K65TrNeU+tsuPR7DvDDaNEF6TWLQ+7dUl2K9plRRPYZ5YbRpgvSaxKBHr5rCy+tmyLWPPk+69HGrpjDBBZ9AkQlw288Q2y/5tncfprBM32IqNQjMjA8TpWoKE8z5BLJVk+01PZjWUzVxbN6/BIb1mlJv2+WpM1AvjJbAkF6TGPQeymGs15R62y59HsO8MNo0QXpNYtB7WFxjvabU23bp8xjmhdGmCdJrEoPew6U6rNeUetsufR7DvDDaNEF6TWLQY1dNWXh5/f0s8y5V52mXPmrVBBBc8AkUmQC3/Qyx/ZJve/dhCsv0LaZSg8DM+DAxqiaAYM4nEK2aMttryly9JpbNe5fAMqzXlHnbLk+dgXphrASWIb0mMej9k8MZ1mvKvG2XPo9hXhhtmiC9JjHo/SuuM6zXlHnbLn0ew7ww2jRBek1i0Pu3VJdhvSYrJGkew7ww2jRBek1i0KNXTeHldTPk2kufdenjVk1hggs+gSIT4LafIbZf8m3vPkxhmb7FVGoQmBkfJkrVFCaY8wlkqybba3owradq4ti8fwkM6zVl/rbLE2egXhgtgSG9JjHoPZTDWK8p87ddejyGeWG0aYL0msSg97C4xnpNmb/t0uMxzAujTROk1yQGvYdLdVivKfO3XXo8hnlhtGmC9JrEoMeumvLw8vr75pu89KPedosQXPAJFJkAt/0Msf2Sb3v3YQrL9C2mUoPAzPgwMaomgGDOJxCtmnLba8pdvSaWzXuXwHKs15T72y78O/j6nrkg/ADPHdJrEoPePzmcY72m3N924d/oOdY0QXpNYtD7V1znWK8p97ddejyGeWG0aYL0msSg92+pLsd6TZaO5jHMC6NNE6TXJAY9etUUXl43Q6699KPe14QQXPAJFJkAt/0Msf2Sb3v3YQrL9C2mUoPAzPgwUaqmMMGcTyBbNdle04NpPVUTx+b9S2BYryn3t134Vxf1PXNB+AGeO6TXJAa9h3IY6zXl/rYL/+qisaYJ0msSg97D4hrrNeX+tgv/6qKxpgnSaxKD3sOlOqzXlPvbLvyri8aaJkivSQx67KpJhZfX3zff5KXXXfqoVRNAcMEnUGQC3PYzxPZLvu3dhyks07eYSg0CM+PDxKiaAII5n0C0alK216RcvSaWzXuXwBTWa1L+tssTZ6BeGCuBKaTXJAa9f3JYYb0m5W+79HgM88Jo0wTpNYlB719xrbBek/K3XXo8hnlhtGmC9JrEoPdvqU5hvSalqB7DvDDaNEF6TWLQo1dN4eV1M+TaS1906eNWTWGCCz6BIhPgtp8htl/ybe8+TGGZvsVUahCYGR8mStUUJpjzCWSrJttrejCtp2ri2Lx/CQzrNSl/2+WJM1AvjJbAkF6TGPQeymGs16T8bZcej2FeGG2aIL0mMeg9LK6xXpPyt116PIZ5YbRpgvSaxKD3cKkO6zUpf9ulx2OYF0abJkivSQx67KpJh5fX3zff5KV/csdv1KoJILjgEygyAW77GWL7Jd/27sMUlulbTKUGgZnxYWJUTQDBnE8gWjVp22vSrl4Ty+a9S2Aa6zVpf9ul58ZyzAtjJTCN9JrEoPdPDmus16T9bZcej2FeGG2aIL0mMej9K6411mvS/rZLj8cwL4w2TZBekxj0/i3VaazXpBXVY5gXRpsmSK9JDNr87/fbqfIkXHRd8a2bq29/7RtfF/BEc/7ydwxi8cx8VC4HaI8DtMZ3VkEYuOC1ts+t7XOX7XO+7V2dC9kOS11rulW0xTP72W+8/QrHemt+em+9/c/veSNMuBJkTatNXAmvhZuo4lsL13rkwjxMcMEnUGQC3PYzxPZLvu2aYjs/Qm1idRhmxoeJUpiHCeZ8AtnCvDjamNYTpjg2W6N1eX2V67ycFFli9NSVNjkyXaRGXlU3ql4uiuvr+oOd0UhYn0r7WjY9zkC9MJpGQvpUYtCjryyH2y/vt2rOSV/klfOZjZLAwgQXfALhBBa2/ZJve/dhCkfMLaZSg8DM+DBREliYYM4nkE1g1dHGtJ4ExrF5/xIY1hrVNc0ZqBdGS2BIa1QM+r7Ib9m7E6HrC6jEZLnivsovUlPlF9WzmWFyuKHwtVi0xsMPxIJHoPtS3wDMLcDcBTDnA0Sp9w2A/azMpwvBfp3D8KWqf8QZltkZpl2Ty9e90frJxeeRJ1dmJ1e/7XO+7XHmVdbOq37j23nHsL7tnN5bP/o6UhFu+7xvvslHWYx7SSJAcMEnUGQC3PYzxPZLvu2aYjs/Qq3lAAAz48PEkOEAwZxPICrDi+xoY1pPmOLYbI2uanWrM51PltfXi4lKCz2pr1Uxubq9LW9uyyy/VrvTuS+wlmzh6072OAP1wlgyvEBasmLQ7TRZpKkqtKonRXplJLuqyslSX5WT22V5nVynlS6K3anWCqwlWyiqxzAvjDZNkJasGPTYy41F+MSTGXLtoS9ytxaNonPCBBd8AmGdE7b9km9792EKJ9YtplKDwMz4MFF0TphgzieQ1Tn2+N+DaT06h2Pz/iUw7PhfUdCcgXphtAQW7vLO5KD3UA5jbdXC12Hs9RjmhdGmCdJWFYPebD0bf1G6fjbLSrsyXeb2Q9uP0n7YL1T2C5X9QmW/UNkvVPYLtf1Cbb9Q2y/U9gu1+UKepPYjtx/afpT2w34hzeyH/bO0Mh+Z/b5M2Q/7LXliP+yP5YX9sD+h7E8o+xPK/oS2P6HtT2j7E4X9icL+hF1Sz631eWl/Zc3NK/sra19e2wV3a5BK7K9S+ytrgcrsrzLXprvC15LSRdYd+siLpfWzuR21uR21uR21uR21uR21uR21uR21uR21uR21uR21uR21uR21uR21uR21uR21uR21uR21uR21uR21uR21uR21uR21uR21uR21uR21uR21uR21uR21uR21uR21uR21uR21uR21uR21uR21uR21uR21uR21uR21uR21uR21uR21uR21uR21uR21uR21uR21uR21uR21uR21uWvU5vxRi7NMXNtl4rJtQhhy+6nbz7L9bL9atV+t2q9W7Ver9qtV+9W6/WrdfrVuv1q3X63tV+0o2s+8/dTtZ9l+tl9Ns/az/fPUtkDsaNpP1X6232kG1H62f0NetJ/tz6r2Z1X7s6r9Wd3+rG5/Vrc/W7Q/W7Q/27ZY8pbRDq/5bInsAJvP1n47xG+8oVpr7SCbz7T9dWubHWf76dyayRrptmV8P9LjL6mH26Im69ZeynFvNQAILvgEikyA236G2H7Jt11TbOdn8I2WCcPM+DBRSs0wwZxPIFtq1kcb03rCFMdma3R5lVaFTvKJUZTJRF1l2aRW13pS3lwvSvOF+qbYnRqiTKAaovQ21p86A/XCWDVEGT7pO5ODHnuttAyfGDVD7j0xqhLnMxsjgQEEF3wC2QQG2H7Jt737MIUj5hZTqUFgZnyYGAkMIJjzCUQTWJkebUx7msBYNu9fAsuwBOZrkPc4A/XCaAksvJNhJgc9egILd8TNkHsPKatxNzUBBBd8AuEEFrb9km9792EKR8wtplKDwMz4MFESWJhgzieQTWD50ca0ngTGsXn/Ehi2W6VUNGegXhgtgSG7VcSgR09g4Qa9GXLtpc+cz2yUBBYmuOATCCewsO2XfNu7D1M4Ym4xlRoEZsaHiZLAwgRzPoFsArO7VR5M60lgHJv3L4Fhu1XKguYM1AujJTBkt4oY9OgJLLwJwwy5dxOGenKvedwEFia44BMIJ7Cw7Zd827sPUzhibjGVGgRmxoeJksDCBHM+gWwCK482pvUkMI7N+5fAsPejl96j7k+dgXphtAQWfifBTA569AQW7lubIff1gAs17iYOgOCCTyCcwMK2X/Jt7z5M4Yi5xVRqEJgZHyZKAgsTzPkEsgnMbuJ4MK0ngXFs3rsEVmGbOCrvW8CfOgP1wlgJrEI2cYhBj53AqnDf2gy5vwc87i3hAMEFn0A2gQG2X/Jt7z5M4Yi5xVRqEJgZHyZGAgMI5nwC0QRW2U0clWsTB8vm/UtgGZbA/PsZeu4uxbwwWgJDNnGIQY+ewMJ9azPk/h7wuBe2AgQXfALhBBa2/ZJve/dhCkfMLaZSg8DM+DBREliYYM4nkE1gdhNH5drEwbJ5/xIYtomjUjRnoF4YLYEhmzjEoEdPYOG+tRly7aUf9xX9AMEFn0A4gYVtv+Tb3n2YwhFzi6nUIDAzPkyUBBYmmPMJZBOY3cTxYFpPAuPYvH8JDNvEURU0Z6BeGC2BIZs4xKBHT2DhvrUZcn8PeNxX9AMEF3wC4QQWtv2Sb3v3YQpHzC2mUoPAzPgwURJYmGDOJ5BNYHYTR+XaxMGyef8SGLaJo/LvZ+h5Wz3mhdESGLKJQwx69AQW7lubIff3gMd96SNAcMEnEE5gYdsv+bZ3H6ZwxNxiKjUIzIwPEyWBhQnmfALZBGY3cTyY1pPAODbvXQKrsU0ctX8/Q8+L7TAvjJXAamQThxj02AmsDvetzZB7e8B63DdxAAQXfALZBAbYfsm3vfswhSPmFlOpQWBmfJgYCQwgmPMJRBNYbTdx1K5NHCyb9y+BZVgC8+5neOoM1AujJTBkE4cY9OgJLNy3NkPu7QHrcd/EARBc8AmEE1jY9ku+7d2HKRwxt5hKDQIz48NESWBhgjmfQDaB2U0ctWsTB8vm/Utg2CaOWtGcgXphtASGbOIQgx49gYX71mbItZc+cz6zURJYmOCCTyCcwMK2X/Jt7z5M4Yi5xVRqEJgZHyZKAgsTzPkEsgnMbuJ4MK0ngXFs3r8Ehm3iqAuaM1AvjJbAkE0cYtCjJ7Bw39oMubcHrMd9EwdAcMEnEE5gYdsv+bZ3H6ZwxNxiKjUIzIwPEyWBhQnmfALZBGY3cdSuTRwsm/cvgWGbOGrvfoanzkC9MFoCQzZxiEGPnsDCfWsz5N4esB73TRwAwQWfQDiBhW2/5NvefZjCEXOLqdQgMDM+TJQEFiaY8wlkE5jdxPFgWk8C49i8bwksT6BNHObbaM5AvTBSAjM8wVk7k4MeOYHlSbhvbYbc3wMe9U0cCMEFn0A0gSG2X/Jt7z5M4Yi5xVRqEJgZHyZCAkMI5nwCyQRmrDramPYkgfFs3r8ElmEJzL+fgf9Sir5nLgg/wHMHbOKQgx49gYX71mbI/T3gUd/EgRBc8AmEE1jY9ku+7d2HKRwxt5hKDQIz48NESWBhgjmfQDaB5Ucb03oSGMfm/Utg0CYO8200Z6BeGC2BAZs45KDN/37fgn8w7s3MeRLuX5uh1x4v6GLkSixMcMEnEE5kYdsv+bZ3H6pw5NxiKjUIzIwPEyWRhQnmfALZRKaPNqb1JDKOzdboRaqulL7KJ/niSk9UnSaTqriuJnlxra7T22W1zG8/2JlEBm3mMN9GcwbqhdESGbCZQw569Eos3L82Q+7vBY/6SimE4IJPIJzAwrZf8m3vPkzhiLnFVGoQmBkfJkoCCxPM+QSyCaw82pjWk8A4Nu9fAoM2c5hvozkD9cJoCQzYzCEHbSsxS17dg6cfjF2RhfvZZgr4esO6GDmhhQku+ATCCS1s+yXf9u7DFY6gW0ylBoGZ8WGiJLQwwZxPIJvQ6qONaT0JjWOzNbq4rZLi9jqZ3GbJ7URdFfWkuq7rydXNjUqK/HaRqAesHUhoKba5I/Xtc+hxBuqFsRJaimzuEINup4mutM6T2+tJcn1jkl9WZ5PlVWky4G11s7wuqpurhd6daZJi08TXT+71GOaF0aZJuPE/k4Meu3BPww1kM+T+BvKor9JECC74BLI6B7D9km9792EKJ9YtplKDwMz4MDF0DkAw5xOI6pw0O9qY9lTnsGzevwSWYwnM30/ueask5oXREli48T+Tg95DOYx12lNF9RjmhdGmCdJpF4MeXeeEm4pmyLWXftQ3riIEF3wCYZ0Ttv2Sb3v3YQon1i2mUoPAzPgwUXROmGDOJ5DVObbD/mBaj87h2Lx/CQzrsKcFzRmoF0ZLYEiHXQx6D+VwiU0Tf1Ovx2OYF0abJuHu60wOenSdE+7imSH3dvGKJ291jKtzwgQXfAJhnRO2/ZJve/dhCifWLaZSg8DM+DBRdE6YYM4nkNU51dHGtB6dw7F5/xJYjSUwXxOvxxmoF0ZLYOFu60wOev/kcIa1NzPvMe4+j2FeGGuaZEh7Uwx6bJ2Thbt2Zsi9R1+LUd/fjBBc8AlkdQ5g+yXf9u7DFE6sW0ylBoGZ8WFi6ByAYM4nENU5mT27nrnOrrNs3r8ElmEJzNvEe+oM1AujJbBwt3UmB71/cjjD2puZt9PX5zHMC6NNE6S9KQY9us4Jd+3MkCsvfdalj6tzwgQXfAJhnRO2/ZJve/dhCifWLaZSg8DM+DBRdE6YYM4nkNU56mhjWo/O4di8fwlMYwlM05yBemG0BBbuts7koPdQDmPtTRtxaB7DvDDa</t>
  </si>
  <si>
    <t>NEHam2LQo+uccNfODLm3a1eM+jZ4hOCCTyCsc8K2X/Jt7z5M4cS6xVRqEJgZHyaKzgkTzPkEsjrHHiB+MK1H53Bs3r8Ehh0gzvxNvJ4Xo2NeGC2BhbutMznoPZTDWHsz83f6ejyGeWG0aYK0N8Wgx9Y5ebhr9775Ji/9qJcGIAQXfAJZnQPYfsm3vfswhRPrFlOpQWBmfJgYOgcgmPMJRHVOnhxtTHuqc1g2710Cy7EDw7m/idfz/nzMC2MlsDzcbZ3JQe+fHM6x9mbu7/T1eAzzwmjTBGlvikGPrnPCXTsz5P6u3bhvNAUILvgEwjonbPsl3/buwxROrFtMpQaBmfFhouicMMGcTyCrc+yruXPXq7lZNu9fAsMODOeK5gzUC6MlsHC3dSYHvYdyGGtv5prqMcwLo00TpL0pBj26zgl37cyQF176ca8gAQgu+ATCOids+yXf9u7DFE6sW0ylBoGZ8WGi6JwwwZxPIKtziqONaT06h2Pz/iUw7MBw7m/i9dzGgXlhtAQW7rbO5KD3UA5j7c3c3+nr8RjmhdGmCdLeFIMeXeeEu3ZmyP1du3HfhwwQXPAJhHVO2PZLvu3dhymcWLeYSg0CM+PDRNE5YYI5n0BW59j3IT+Y1qNzODbvXQJT2IFh5W/i8V8N3PfMBeG3f+5UuNs6k4PePzmssPam8nf6+K8GHmuaIO1NMeixdY4Kd+3MkPu7duO+DxkguOATyOocwPZLvu3dhymcWLeYSg0CM+PDxNA5AMGcTyCqc5R9H/KDaU91Dsvm/Utg2IFh5W/i8V8N3PfMBeEHeO7C3daZHPQeymGsvakU1WOYF0abJkh7Uwx6dJ0T7tqZIdde+nHfhwwQXPAJhHVO2PZLvu3dhymcWLeYSg0CM+PDRNE5YYI5n0BW59j3IT+Y1qNzODbvXwLDDgyrguYM1AujJbBwt3UmB72Hchhrbyp/p4//auCxpgnS3hSDHl3nhLt2Zsi9Xbsy6dLH1Tlhggs+gbDOCdt+ybe9+zCFE+sWU6lBYGZ8mCg6J0ww5xPI6hz7PmTleh8yy+b9S2DYgWHlbeI9dQbqhdESWLjbOpOD3j85rLH2pvZ2+vo8hnlhrGmikfamGPTYOkeHu3ZmyL1du3Lc9yEDBBd8AlmdA9h+ybe9+zCFE+sWU6lBYGZ8mBg6ByCY8wlEdY6270PWrvchs2zevwSWYQnM28R76gzUC6MlsHC3dSYHvX9yWGPtTe3t9PV5DPPCaNMEaW+KQY+uc8JdOzPkykufdenj6pwwwQWfQFjnhG2/5NvefZjCiXWLqdQgMDM+TBSdEyaY8wlkdY59H/KDaT06h2Pz/iUw7MCw1jRnoF4YLYGFu60zOeg9lMNYe1MXVI9hXhhtmiDtTTFo87/fNz9sBcHvjap3wt07M/S+7p0eeT8yQHDBJxDWO2HbL/m2dx+qcILdYio1CMyMDxNF74QJ5nwCWb1j34v8YFqP3uHYbI02CS6/Sa5N+NLVcqKK66vJ4qa+mdRqsVQ3t/o2vUo/2JlEhh0c1r5mXo8zUC+MlsjCXdeZHPQe6h2szal9Hb9ej2FeGG2aIG1OMeix13WKcPfuffNNHvqiHPf+B4Dggk8gq3MA2y/5tncfpnBi3WIqNQjMjA8TQ+cABHM+gajOKex7kQvXe5FZNu9dAiuwg8OFv5nHvwqh75kLwg/w3IW7rjM56P2TwwXW5iz8Hb8ej2FeGG2aIG1OMWi7rmPJ63twOxtGXd8pwt08MwV83Tw98v5kgOCCTyCse8K2X/Jt7z5c4US7xVRqEJgZHyaK7gkTzPkEsrrHvie5cL0nmWVzm9CyOs+ydDm5rvOriVKZmlRZkkxu0mVdL8u0KG8envFdSGjYQeJC0ZyBemG0hBbuws7koO/lsbouy6ubfLJMq8okP51NFvmNSYP14jpdFovrSl/tzjTB2p6FpnoM88Jo0wRpe4pBt9NkWV/rhcqrSbZIa/O91e1kqRfZpCpUdX2dXl9ndhlyV6YJ1vYsCqrHMC+MNk2QtqcYdDtNFkWWLJL8dlLeLmzFlaaTxe3tzUTp6+x2cZNc6dvl7kwT7FRn4e2w9HkM88Jo0yTcCpvJQY++WhxuqZgh9x8KG/cWPYDggk+gyAS47WeI7Zd827sPU1imbzGVGgRmxoeJUjWFCeZ8AtmqyZ7qLFynOlk2W6PL5Da71mo5WSy1nqh8qYw6ypPJQt9Wt5W+KZN6h3QO1u4sfJ2/HmegXhgtgSHtTjHo/ZPDJXaqs/R3WHo8hnlhrGlShlthMzno/SuuS6z3VPrbMH33DkJeGG2aIL0nMej9W6orsd5T6W/D9HgM88Jo0wTpPYlBj101leHldTPk/pNj497JCRBc8AkUmQC3/Qyx/ZJve/dhCsv0LaZSg8DM+DAxqiaAYM4nEK2aSttrKl29JpbN+5fAsF5TqWjOQL0wWgJDek1i0Hsoh7FeU6mpHsO8MNo0QXpNYtB7WFxjvabS13bp9RjmhdGmCdJrEoPev15TifWaSl/bpddjmBdGmyZIr0kMevSqKby8bobcv1Q97g2/AMEFn0CRCXDbzxDbL/m2dx+msEzfYio1CMyMDxOlagoTzPkEslWT7TWVrl4Ty+b9S2BYr6n0t116bjHFvDBaAkN6TWLQ+yeHK6zXVPnbLj0ew7ww1jSpkF6TGPT+FdcV1muq/G2XvjuRIS+MNk2QXpMY9P4t1VVYr6nyt116PIZ5YbRpgvSaxKDHrpqq8PK6GXL/UvW494UDBBd8AkUmwG0/Q2y/5NvefZjCMn2LqdQgMDM+TIyqCSCY8wlEq6bK9poqV6+JZfP+JTCs11QpmjNQL4yWwJBekxj0HsphrNdUaarHMC+MNk2QXpMY9B4W11ivqfK3XXo8hnlhtGmC9JrEoPdvW3iF9Zoqf9ulx2OYF0abJkivSQx69KopvLxuhty/VD3u2z4Bggs+gSIT4LafIbZf8m3vPkxhmb7FVGoQmBkfJkrVFCaY8wlkqybba6pcvSaWzXvXa6qwXlPlb7v0vNEQ88JoCQzpNYlB758crrFeU+1vu/R4DPPCWNOkRnpNYtD7V1zXWK+p9rdd+t6PCnlhtGmC9JrEoPdvqa7Gek21v+3S97ZlyAujTROk1yQG/af3dyXYQR/1XXp1eJndDL1vyVqPfAcmQHDBJ1BkAtz2M8T2S77t3YcqLNe3mEoNAjPjw8SongCCOZ9AtHqqbc+pdvWcWDZbo5NE1ypR1xN9bYRzmt7cTupEZfZtsgt1ld8UebZDegfrOdWK5gzUC6MlMqTnJAa9h9UT1nOqNdVjmBdGmyZIz0kMeg9lMdZzqn3tl16PYV4YbZogPScx6D0ssrGeU+1rv/R6DPPCaNME6TmJQY/dc6rDy+xmyP1L1nWXPm7VFCa44BMoMgFu+xli+yXf9u7DFJbpW0ylBoGZ8WGiVE1hgjmfQLZqsj2n2tVzYtm8fwkM6znV/vbLE2egXhgtgSE9JzHovZPDKoF6TubbqB7DvDDSNDE84WkiB713xbVKoJ6T+TaqxzAvjDZNgJ6THPTeLdWpBOo5mW+jegzzwmjTBOg5yUGPXDWpJLy8bobct1RdVEmXPmbVhBBc8AkUmQC3/Qyx/ZJve/dhCsv0LaZSg8DM+DARqiaEYM4nkKyajFVHG9OeVE08m/cvgUG9JvNtNGegXhgtgQG9JjnoPZTDUK/JfBvVY5gXRpsmQK9JDnoPi2uo12S+jeoxzAujTROg1yQHvXdLdSqBek3m26gew7ww2jQBek1y0KNXTeHldTPk3qXqatQdegjBBZ9AkQlw288Q2y/5tncfprBM32IqNQjMjA8TpWoKE8z5BLJVU3W0Ma2nauLYvH8JDOo1mW+jOQP1wmgJDOg1yUHvnxxOsV5T6m279HkM88JY0yRFek1i0PtXXKdYryn1tl36PIZ5YbRpgvSaxKD3b6kuxXpNqbft0ucxzAujTROk1yQGPXbVlIaX182Q+5eqsy591KoJILjgEygyAW77GWL7Jd/27sMUlulbTKUGgZnxYWJUTQDBnE8gWjWltteUunpNLJv3L4FhvaZU0ZyBemG0BIb0msSg91AOY72mVFM9hnlhtGmC9JrEoPewuMZ6Tam/7dLjMcwLo00TpNckBr1/S3Up1mtK/W2XHo9hXhhtmiC9JjHo0aum8PK6GXL/UnXepY9bNYUJLvgEikyA236G2H7Jt737MIVl+hZTqUFgZnyYKFVTmGDOJ5CtmmyvKXX1mlg2718Cw3pNqb/t8sQZqBdGS2BIr0kMev/kcIb1mjJ/26XHY5gXxpomGdJrEoPev+I6w3pNmb/t0uMxzAujTROk1yQGvX9LdRnWa8r8bZcej2FeGG2aIL0mMeixq6YsvLxuhty/VK269FGrJoDggk+gyAS47WeI7Zd827sPU1imbzGVGgRmxoeJUTUBBHM+gWjVlNleU+bqNbFs3r8EhvWa7DNNcQbqhdESGNJrEoPeQzmM9ZrsUNI8hnlhtGmC9JrEoPewuMZ6TZm/7dLjMcwLo00TpNckBr1/S3UZ1mvK/G2XHo9hXhhtmiC9JjHo0aum8PK6GXL/UrXu0setmsIEF3wCRSbAbT9DbL/k2959mMIyfYup1CAwMz5MlKopTDDnE8hWTbbXlLl6TSyb9y+BYb2mzN92eeIM1AujJTCk1yQGvX9yOMd6Tbm/7dLjMcwLY02THOk1iUHvX3GdY72m3N926fEY5oXRpgnSaxKD3r+luhzrNeX+tkuPxzAvjDZNkF6TGLT53++3U+VJVum64ls3V9/+2je+LuCJ5vzl7xhE9cx81OZD2V+p2uUK37q1LrOuK5y6FwLCpa+lmFuKuaWYW4q5i2LOp+hqX4gClr8WwqhcQ2E/a/up2l87QOx3cUgsSv0w0T4Y98owAxt8AE3UUV7KcdudAMEFn0CRCXDbzxDbL/m2a4rt/Ai2ieVhmBkfJkbhDhDM+QSihXuujjam9YQpjs3WaK3Tq6U2iXShbm8n6kZdTZbVVTXRNzf1zWKRVZXdL7QrGgrrY+Wa5gzUC6NpKKSPJQbdThN1kxTlMtGTxXVyPVG60pN6aYr85fXtsi6qJE+ust2ZJlgfK/e1dHo9hnlhtGmC9LHEoB/Wd27T6/QqmaRXV9lELa9NkX9jfvTmNr0palXkVbbcnWmC9bFyX0un12OYF0abJkgfSwy6nSbpor7Orop0UmW5iTxZrifLtK4mN3WZpNfL61Krm92ZJhU2TXxL570ew7ww2jQJ9zhmctBjtzvz8Fq5GXL/WnnRpY9bNYUJLvgEikyA236G2H7Jt737MIVl+hZTqUFgZnyYKFVTmGDOJ5CtmuqjjWk9VRPH5tbobKlvbo1gTopC2+XHalIl1/UkSXSii6pKa707clhhfSzlb+k8cQbqhbESmEL6WGLQ+1c1KayPpfwtnR6PYV4YbZogfSwx6P2rmhTWx1L+lk6PxzAvjDZNkD6WGPT+LdWpHJsm/mMaPR7DvDDaNAmfp5nJQY9dNanw8roZcuWlL7v0UasmgOCCT6DIBLjtZ4jtl3zbuw9TWKZvMZUaBGbGh4lRNQEEcz6BaNWkbK/pwbSnVRPL5v1LYFivSWmaM1AvjJbAkF6TGPQeVk1Yr0n52i69HsO8MNo0QXpNYtB7WDVhvSblPz7U4zHMC6NNE6TXJAa9f70mhfWalP+YRo/HMC+MNk2QXpMY9OhVU3h53Qy5f6m66tLHrZrCBBd8AkUmwG0/Q2y/5NvefZjCMn2LqdQgMDM+TJSqKUww5xPIVk221/RgWk/VxLF573pNGus1aX/b5YkzUC+MlcA00msSg96/qkljvSbtb7v0eAzzwmjTBOk1iUHvX9WksV6T9rddejyGeWG0aYL0msSg92+pTmO9Ju1vu/R4DPPCaNME6TWJQd8frbPso5+t0/rZTBWVywPK4wFd4m+SgDBwxXt/os7YPnfZPufbHuUcnbHdfDqMt1/nWN+u2Yw+owozo7Q9rVlk9kO75pb2EuLb9iAg8twqzNzS9rSmoZi7KOZ8ijizrLCzTLenNQ2H/ewHaWckg8SiPIyHnXijntbU4XV1k8h86+q6HHctCCC44BMoMgFu+xli+yXfdk2xnR/BNvIgDDPjw8RYCwII5nwC0bUgXRxtTOsJUxyb2+pN31zXSVVPljdaGwlvFwSul/kkuc2qYpFdL5eLh1m2C7Ic63lp/1GjvkIG8sJoshzpeYlB32ez2yopbq+TyW2WGAl/VdT2xRj15OrmRiVFfrtIVLk70wTreWn/UaMej2FeGG2aID0vMeixe146vMxvhty/ZF536ePqnDDBBZ9AWOeEbb/k2959mMKJdYup1CAwMz5MFJ0TJpjzCWR1ju15PZjWo3M4Nu9dAiuwnlfhb/88cQbqhbESWIH0vMSg908OF1jPq/C3f3o8hnlhtGmC9LzEoO0qtflhm05HXdcpwi0dM/S+lo4ux9U7AMEFn0BW7wC2X/Jt7z5U4QS7xVRqEJgZHyaG3gEI5nwCUb1TZEcb057qHZbN+5fIsHZr4X9zIj+m9z1zQfgBnjuk3SoGvYeyGLubqlBUj2FeGG2ahI99zeSgx17XKcLHh8yQaw99USdd+rg6J0xwwScQ1jlh2y/5tncfpnBi3WIqNQjMjA8TReeECeZ8Almdo482pvXoHI7N+5fAsKN9RUFzBuqF0RJYuOs6k4PeQzmMtTkLX8ev12OYF0abJkibUwz6T9cv9s+686DrCmhPEssT91vFCrtLrLS7xEq7DbGszEeV2g/7nv+qNB+G03zkLh95e3wVnsIgUjyL3e8hK+z2sdJuHyvtTkWDN7d4c4s3t3hzizd34c35eN38BuHBKe5hc1nRbisr221lZbud0RCaT4NoP9vLAQyk+TSU9rMfs90GyeC0oA+i1k7kcZcow10oE8V8HR1dZc7RjCLdwwQXfAJFJsBtP0Nsv+Tbrim28yPiJjeEYWZ8mCjSPUww5xPISnfbkn0wrSdMcWy2RutK6zy5vZ4k1zcmMWd1Nllelcmkuq1ultdFdXO1Q5qsxFqypa872eMM1AtjabISacmKQe9fhVdiLdnS153s9RjmhdGmCdKSFYMee4myDHefzJD7OjlFnXbpo+ocgOCCTyCrcwDbL/m2dx+mcGLdYio1CMyMDxND5wAEcz6BqM4pbSu2dLViWTbvXwLDWrGl9xDoU2egXhgtgSGtWDHoPZTDWCu2VFSPYV4YbZogrVgx6NF1Trj7ZIZce+mzLn1cnRMmuOATCOucsO2XfNu7D1M4sW4xlRoEZsaHiaJzwgRzPoGszrGt2AfTenQOx+b9S2BYK7YsaM5AvTBaAkNasWLQeyiHsVZs6e9K9ngM88Jo0wRpxYpBj65zwgcpzZB7Xx5a5136uDonTHDBJxDWOWHbL/m2dx+mcGLdYio1CMyMDxNF54QJ5nwCWZ1THW1M69E5HJv3L4HVWALzNfF6nIF6YbQEFu62zuSg908OV1h7s/IevuzzGOaFsaZJhbQ3xaDH1jlVuGtnhtx7kLJ+ciFvVJ0DEFzwCWR1DmD7Jd/27sMUTqxbTKUGgZnxYWLoHIBgzicQ1TlVerQx7anOYdm8fwkswxKYv4nXc7045oXREli42zqTg94/OVxh7c3K3+nr8RjmhdGmCdLeFIMeXeeEu3ZmyJWX3v1i3Cg6J0xwwScQ1jlh2y/5tncfpnBi3WIqNQjMjA8TReeECeZ8AlmdYy+RfDCtR+dwbN6/BIZdIllpmjNQL4yWwMLd1pkc9B7KYay9WRVUj2FeGG2aIO1NMejRdU64a2eG3N+1c7+aPYrOCRNc8AmEdU7Y9ku+7d2HKZxYt5hKDQIz48NE0TlhgjmfQFbnlP9XdVfT5LaNBf9Kaq5jVAHEB8m9psp724PlskRWLvy0p3Y8SsmTzW6q8t8XoORJIlFE8ykgRB/oGQkadTcf0CDeI/j4Bm1knkPBvD4Dw/ZwzqaTeBdioCpEMzB/trUIR3qF02EsvZlNZ/pGFMNUiBYmSHozGOnY85zcn7X7ZBtNsr94uO+i8xyAwZbOIOw8B8C+o2M/70x+Y70hlDYImYJOZol5DsCgpDMIOs/J+eMbtMt5Dgnz6gwsx24YzqeTeCOPKsdUiGVguT/bWoQjvb7pcI6lN/PpTN+IYpgK0cIESW8GIx19nuPP2tlTPp21i/voNoDBls4g8DzHj31Hx37emfzGekMobRAyBZ3MIvMcP4OSziDsPEc+vkEbmedQMK/PwLAbhnM1TwxUhWgG5s+2FuFIr3A6jKU3cz1XMUyFaGGCpDeDkf797cHb6jwQzrWAtkwkSXHc+9LO1grNhTsodzDukNmD4O6QuIN7Q7g3hGss3LuJezdx70r3hna/averdo318JprZ9wb7gHM2qhrKpsJlXWG34wDSYX74HHzTKtP6fQpnT6l06d0+pROn9LpUzp9SqdP6fQpnT6l06d0+pROn9LpUzp9SqdP6fQpnT6l06d0+pTX9Cnp+pxbLKQP7LKn3Tdzt7OmE8gd1XA0w9HtwelEcsdkOA7viuFdMXxKDG2SoU0ytJHDu3p4RQ+v6OFT+vj60N4M7w6Pkb4mmsNFUc3JdnpwefTHSOf+dJodlqdSU9azrsbGItcifgZbOgM1mwGO/QOCfUfHrudgp4/wb2bnJ1PQySxyLeJnUNIZhL0Wcbnl/FpumYTZge7bPmt4lbFEpwmzk4uM5VWVsy7Ns77N+6zu+5/uZpKJ5Zbz6f2XR+qEMBWiTTKR3HIw0se91RuV6kamrNK9sW3tFUyW1RkzslG2ZZNmmt9PmGC55XwqzTqqGKZCtDBBcsvBSA9h0pq0ylSTsVYmtq0QkmWJrlif6r6vRN2J+m4uWTWHbp21zeYqhqkQKUwsH3+YhCMdeWneXmF42dtTPp2/ivr0TYTBls5AzWaAY/+AYN/RsZ93Jv/864ZQ2iBkCjqZBabDCIOSziDkdNiienyDdjEdpmFen4FBuWXbbJ4YqArRDAzILYcjvbrpsObQrbO22VzFMBWihYk/71iEI/378Wnj7qTHXP7T3J/HsqdeTaigs6i3liAMtnQGgec7fuw7OvbzTuU32BtCaYOQKehkFpnv+BmUdAZh5zvq8Q3ayHyHgnnIUvDaWl6dsE6phqk2taZXJT1rWm163piml3c034FyzLbZPDFQFaIZGZBjDkc6+gW7/85Qe8rNBPuU86t9dhED8zPY0hkENjA/9h0d+3ln8o+YN4TSBiFT0MksYmB+BiWdQVgDM49v0EYMjIJ5fQYGbUptm80TA1UhmoH5s65FONLRDcyfvbOnfCp7l/KoDxlDGGzpDAIbmB/7jo79vDP5R8wbQmmDkCnoZBYxMD+Dks4grIFlj2/QRgyMgnl9BgZl1m2zeWKgKkQzMCCzHo50bAMT/oTxJ9tokn1ytc8uYWAAgy2dQVgDA7Dv6NjPO5N/xLwhlDYImYJOZgkDAxiUdAZBDUzwxzdolwZGwrw6AxPQXdu22TwxUBViGZjwJ/qLcKSjG5g/YWxP+VTCOOVRHwuEMNjSGQQ2MD/2HR37eWfyj5g3hNIGIVPQySxiYH4GJZ1BWANLHt+gjRgYBfP6DAwr5hBTdQ0jYqAqRDMwpJgjGOnoBubPW9tTribZR33eC8JgS2cQ2MD82Hd07OedyT9i3hBKG4RMQSeziIH5GZR0BmENzBVxnKCNGBgF8/oMDCviEHqeGKgK0QwMKeIIRnrYKMAxPxKPdVPylVNtJljrLOpGSBac97xt6QwCG5cf+46O/bwT+UfKvytkCjroRQzKL3tJZxDWoFyRxgnaiEFRMMeZOl8ZaaZrDKJuc2DBecNmS2cQeKTxY9/Rses52P/ukYYKepGRxi97SWcQdqRJH9+gjYw0FMynOc4p0mPNcf64aPeXOtgRafKu/Txu4SrAYEtnEHhE8mPf0bHrOdjJI9IfFw9+MgWdzCIjlZ9BSWcQdqRydT/iWt0PCbMD3cu80nmSMSlEz4ToOpbnXLFWGCOqhtd1furj93DRjtX9iHyeGKgK0S7akbqfYKQjTZ3fDCzxlzp8so0m2Kc87q2DAIMtnUFYAwOw7+jYzzuTf8S8IZQ2CJmCTmYJAwMYlHQGQQ0scXU/ybW6HxLm1RlYgtX9JNMlMCN30WEqxDKwBKn7CUb6Xu6BT/wlD/bUT5UP6DzuHRgAgy2dQWAj82Pf0bGfdyr/yHlDKG0QMgWdzCJG5mdQ0hmENTJX/3OCNmJkFMzDgpHMei7rjPFEaaZSZVjVy5rlqs2VTA2vZf3T3RgZVv+TTJXCjIiBqhDNyJD6n2CkhzDJq75Kq7ZhibFWp+o+Y5lIJJNJrhJllM7S5H7CBHpqg3ZD/zzFMBWihYm/NqQIR3oIk7TOjeayYzrLcts2y1id9sb+ypuqqoxJqu5+wgQrxnCncp5imArRwgQpxghG+mg6pmlUVedMS26YUjVnNU9alsqmSlTbKG3uyHSgh9JrN3+ZpximQrQw8Sfyi3Ckj/sRytw0UkmmeNcwJXnHaqMFa/qsyyrB+yRV9xMm2PYGyVRyb1QxTIVoYeLPwhbhSA9hIlWturaxIw93IWWEYXWX9CxvVZq6mOJ5dT9hAu3ibpvNVQxTIVqY+FNgRTjSx9GkUyoTnLOKy56ppK9ZnXPJ+kq0PFO6k+qOwgTLOSXT6ZexjgWpEC1MkJxTMNJDmPCuTuumT1jViMzOY9qOZZ00TDZNrZrWzm74/azsSmwXdzm5ofmYYpgKscJE+vMRRTjSx7LzKm+TxgiWJUNISc1qkWesy1Mu2rpNteruJ0ywBICcWgsfVQxTIVqYIAmAYKSPplOnqcl5xqq0a5nq+o5VouNMqIa3sq7aXvT3EyYJFiYz1xpRFaKFiX9RuAhHegiTrpfGtKZmQriRR5jGjkGNHia+nX2ty5I7Mh1sFVbOXpDEVIgWJsgqbDDSQ5jUddNVvbQXz8MNL2nWs8pw21bUWStsSMk72nldYquwUs1VDFMhWpggq7DBSB9NR7RCtDpnte7dUlzDWZYr9yhVLgznSd3fz7NztcRWYaWeqximQrQwQVZhg5GOXV0n/YuL9pRPLS6mPD1nv2hRAsBgS2egZjPAsX9AsO/o2M87kz8LfkMobRAyBZ2MmU1mbih9RBiUdAZBixKku2XuBO2yKIGEeX0Ghi38y+m7ei7EQFWIZmDIwn8w0iucDmML/3J6K9URxTAVooUJsvAfjPQKL66xhX85tQY+qhimQrQwQRb+g5Fe31Kdwhb+1XR9+9j4C6kQK0wUsvAfjPT6Fv4VtvCvpovgRxTDVIgWJsjCfzDS60sjKmzhX02tgY8qhqkQLUyQhf9gpNdXu6KwhX81vRPhiGKYCtHCBFn4D0Z6fbUrClv4V2quYpgK0cIEWfgPRnp9BZMKW/hXerZikArRwgRZ+A9Gen3l1worv1Yz1xpRFaKFiX9RuAhHen03cyhsFVbNXpDEVIgWJsgqbDDS67s1TGGrsGr2giSmQrQwQVZhg5Fe342mCluFVbMXJDEVooUJsgobjPRpxwQ7TYm7Y4L2LzJ+0nq6ujg5V2HR4gSAwZbOQM1mgGP/gGDf0bGfdyp/NvyGUNogZAo6GTObzNxQ+ogwKOkMghYnaLf1j7629Q8J8zAtbpSQggs7muUVsx6nWNV0KTN51XLRt3VV3U9xgsYSAHq6CP5CDFSFWEamkQRAMNKxq+u0f13bnvLpde24G88DDLZ0BoENzI99R8d+3pn8I+YNobRByBR0MosYmJ9BSWcQ1sDclj8naCMGRsE8ZLBlWoksd6UQLbdXbW5tWdhf84wnmclSWeenHnIPBoblnPR0+uVCDFSFaAaG5JyCkY5uYP5Uij3lapJ9frXPLmJgfgZbOoPABubHvqNjP+9M/hHzhlDaIGQKOplFDMzPoKQzCGtg7pFfJ2gjBkbBvD4Dw9KcWs8TA1UhmoEhac5gpKMbmD97Z0+5mWIv+NU+u4iB+Rls6QwCG5gf+46O/bwz+UfMG0Jpg5Ap6GQWMTA/g5LOIKyBufubTtBGDIyC2YHWWZc2memZStPaHurcDmC6Z7zSSVbLpE+z5qe7MTAss64nk8yXYqAqRDMwJLMejHR0A/MnjO0pn0wYi7i7hgMMtnQGgQ3Mj31Hx37emfwj5g2htEHIFHQyixiYn0FJZxDWwNzzm/S15zeRMK8vB4YVc+h8nhioCtEMDCnmCEY6toEZf976k200yT652meXMDCAwZbOIKyBAdh3dOznnck/Yt4QShuETEEns4SBAQxKOoOgBmZcEYe5VsRBwry6JUSDFXGYyRsaL8VAVYhlYAYp4ghGOrqB+fPW9pRP5oCFvNpnFzEwP4MtnUFgA/Nj39Gxn3cm/4h5QyhtEDIFncwiBuZnUNIZhDUwV8RhrhVxkDCvz8CwIg4zWc9wKQaqQjQDQ4o4gpGObmD+vLU95WqSvbraZxcxMD+DLZ1BYAPzY9/RsZ93Jv+IeUMobRAyBZ3MIgbmZ1DSGYQ1MFfEcYI2YmAUzKvLgRmsiMPoeWKgKkQzMKSIIxhpdz/Y79//Pbz70zc//OPhvbCv/OU7j7H17k9f9v2Vb6//e+6+WfUe+v3Lq/u/2T/vD+6H6vC5dn/tffJeqyy1Sj+8VF/dF3x8+tp9++Ff3a8/fNh/rV7st317+s2+YS8pH355abvD89OLa/eyt//Zj1XPT59fnMDuz37ZH55+s99VPdsWz13/aj/+n+7w+tQMrzS2WXewr/16qH7+2P3Xfub18Etn/0ptKXaHAWu9f33dfz3+5F7cOBbfv/DdCAU+/LO6vXton6rP+xf3XZRPD4BJnzw8ff5C/Ojr/mfKB+0n+6fngaj738W0bfBt/2xPv4uF9sern3WBUR1eLxt8jwUXDL98rbvD+/3BhtkxgNxPP+5b9y3/7F66gxXZtvv5sH/tmten/Ytr9bxv/t3Z8Pv+cuewHDulffHp5Yvtkq8O/P8BvhTv/A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</si>
  <si>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</si>
  <si>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</si>
  <si>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</si>
  <si>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</si>
  <si>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</si>
  <si>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</si>
  <si>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</si>
  <si>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</si>
  <si>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</si>
  <si>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</si>
  <si>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</si>
  <si>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</si>
  <si>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</si>
  <si>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</si>
  <si>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</si>
  <si>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</si>
  <si>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</si>
  <si>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</si>
  <si>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</si>
  <si>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</si>
  <si>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</si>
  <si>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</si>
  <si>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</si>
  <si>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</si>
  <si>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</si>
  <si>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</si>
  <si>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</si>
  <si>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</si>
  <si>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</si>
  <si>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</si>
  <si>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</si>
  <si>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</si>
  <si>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</si>
  <si>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</si>
  <si>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</si>
  <si>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</si>
  <si>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</si>
  <si>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</si>
  <si>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</si>
  <si>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</si>
  <si>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</si>
  <si>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</si>
  <si>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</si>
  <si>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</si>
  <si>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</si>
  <si>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</si>
  <si>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</si>
  <si>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</si>
  <si>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</si>
  <si>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</si>
  <si>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</si>
  <si>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</si>
  <si>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ВЫПОЛНЕНИЯ № 2</t>
  </si>
  <si>
    <t>КС2</t>
  </si>
  <si>
    <t xml:space="preserve">СУММА </t>
  </si>
  <si>
    <t>МАРТ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</si>
</sst>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0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8"/>
      <color rgb="FFFF0000"/>
      <name val="Calibri"/>
      <family val="2"/>
      <charset val="204"/>
    </font>
    <font>
      <b/>
      <sz val="16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center" vertical="center" wrapText="1"/>
    </xf>
    <xf numFmtId="4" fontId="7" fillId="0" borderId="7" xfId="0" applyNumberFormat="1" applyFont="1" applyBorder="1" applyAlignment="1" applyProtection="1">
      <alignment horizontal="center" vertical="center"/>
    </xf>
    <xf numFmtId="0" fontId="0" fillId="4" borderId="2" xfId="0" applyFill="1" applyBorder="1" applyProtection="1"/>
    <xf numFmtId="4" fontId="7" fillId="4" borderId="7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0" fontId="9" fillId="0" borderId="7" xfId="0" applyFont="1" applyBorder="1" applyAlignment="1" applyProtection="1">
      <alignment horizontal="left" vertical="center" wrapText="1"/>
    </xf>
    <xf numFmtId="0" fontId="9" fillId="0" borderId="7" xfId="0" applyFont="1" applyBorder="1" applyAlignment="1" applyProtection="1">
      <alignment horizontal="center" vertical="center" wrapText="1"/>
    </xf>
    <xf numFmtId="164" fontId="9" fillId="0" borderId="7" xfId="0" applyNumberFormat="1" applyFont="1" applyBorder="1" applyAlignment="1" applyProtection="1">
      <alignment horizontal="center" vertical="center" wrapText="1"/>
    </xf>
    <xf numFmtId="4" fontId="9" fillId="0" borderId="7" xfId="0" applyNumberFormat="1" applyFont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left" vertical="center"/>
    </xf>
    <xf numFmtId="0" fontId="9" fillId="5" borderId="7" xfId="0" applyFont="1" applyFill="1" applyBorder="1" applyAlignment="1" applyProtection="1">
      <alignment horizontal="left" vertical="center" wrapText="1"/>
    </xf>
    <xf numFmtId="0" fontId="9" fillId="5" borderId="7" xfId="0" applyFont="1" applyFill="1" applyBorder="1" applyAlignment="1" applyProtection="1">
      <alignment horizontal="center" vertical="center" wrapText="1"/>
    </xf>
    <xf numFmtId="164" fontId="9" fillId="5" borderId="7" xfId="0" applyNumberFormat="1" applyFont="1" applyFill="1" applyBorder="1" applyAlignment="1" applyProtection="1">
      <alignment horizontal="center" vertical="center" wrapText="1"/>
    </xf>
    <xf numFmtId="164" fontId="10" fillId="5" borderId="7" xfId="0" applyNumberFormat="1" applyFont="1" applyFill="1" applyBorder="1" applyAlignment="1" applyProtection="1">
      <alignment horizontal="center" vertical="center" wrapText="1"/>
    </xf>
    <xf numFmtId="4" fontId="9" fillId="5" borderId="7" xfId="0" applyNumberFormat="1" applyFont="1" applyFill="1" applyBorder="1" applyAlignment="1" applyProtection="1">
      <alignment horizontal="center" vertical="center" wrapText="1"/>
    </xf>
    <xf numFmtId="0" fontId="4" fillId="6" borderId="7" xfId="0" applyFont="1" applyFill="1" applyBorder="1" applyAlignment="1" applyProtection="1">
      <alignment horizontal="left" vertical="center"/>
    </xf>
    <xf numFmtId="0" fontId="9" fillId="6" borderId="7" xfId="0" applyFont="1" applyFill="1" applyBorder="1" applyAlignment="1" applyProtection="1">
      <alignment horizontal="left" vertical="center" wrapText="1"/>
    </xf>
    <xf numFmtId="0" fontId="9" fillId="6" borderId="7" xfId="0" applyFont="1" applyFill="1" applyBorder="1" applyAlignment="1" applyProtection="1">
      <alignment horizontal="center" vertical="center" wrapText="1"/>
    </xf>
    <xf numFmtId="164" fontId="9" fillId="6" borderId="7" xfId="0" applyNumberFormat="1" applyFont="1" applyFill="1" applyBorder="1" applyAlignment="1" applyProtection="1">
      <alignment horizontal="center" vertical="center" wrapText="1"/>
    </xf>
    <xf numFmtId="4" fontId="9" fillId="6" borderId="7" xfId="0" applyNumberFormat="1" applyFont="1" applyFill="1" applyBorder="1" applyAlignment="1" applyProtection="1">
      <alignment horizontal="center" vertical="center" wrapText="1"/>
    </xf>
    <xf numFmtId="0" fontId="11" fillId="0" borderId="7" xfId="0" applyFont="1" applyBorder="1" applyAlignment="1" applyProtection="1">
      <alignment horizontal="right" vertical="center" wrapText="1"/>
    </xf>
    <xf numFmtId="0" fontId="9" fillId="0" borderId="7" xfId="0" applyFont="1" applyBorder="1" applyAlignment="1" applyProtection="1">
      <alignment horizontal="center" vertical="center"/>
    </xf>
    <xf numFmtId="164" fontId="9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</xf>
    <xf numFmtId="4" fontId="9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 applyProtection="1">
      <alignment horizontal="right" vertical="center" wrapText="1"/>
    </xf>
    <xf numFmtId="0" fontId="9" fillId="5" borderId="7" xfId="0" applyFont="1" applyFill="1" applyBorder="1" applyAlignment="1" applyProtection="1">
      <alignment horizontal="center" vertical="center"/>
    </xf>
    <xf numFmtId="164" fontId="9" fillId="5" borderId="7" xfId="0" applyNumberFormat="1" applyFont="1" applyFill="1" applyBorder="1" applyAlignment="1" applyProtection="1">
      <alignment horizontal="center" vertical="center"/>
    </xf>
    <xf numFmtId="164" fontId="10" fillId="5" borderId="7" xfId="0" applyNumberFormat="1" applyFont="1" applyFill="1" applyBorder="1" applyAlignment="1" applyProtection="1">
      <alignment horizontal="center" vertical="center"/>
    </xf>
    <xf numFmtId="4" fontId="9" fillId="5" borderId="7" xfId="0" applyNumberFormat="1" applyFont="1" applyFill="1" applyBorder="1" applyAlignment="1" applyProtection="1">
      <alignment horizontal="center" vertical="center"/>
    </xf>
    <xf numFmtId="0" fontId="0" fillId="5" borderId="2" xfId="0" applyFill="1" applyBorder="1" applyProtection="1"/>
    <xf numFmtId="0" fontId="0" fillId="5" borderId="3" xfId="0" applyFill="1" applyBorder="1" applyProtection="1"/>
    <xf numFmtId="0" fontId="11" fillId="6" borderId="7" xfId="0" applyFont="1" applyFill="1" applyBorder="1" applyAlignment="1" applyProtection="1">
      <alignment horizontal="right" vertical="center" wrapText="1"/>
    </xf>
    <xf numFmtId="0" fontId="9" fillId="6" borderId="7" xfId="0" applyFont="1" applyFill="1" applyBorder="1" applyAlignment="1" applyProtection="1">
      <alignment horizontal="center" vertical="center"/>
    </xf>
    <xf numFmtId="164" fontId="9" fillId="6" borderId="7" xfId="0" applyNumberFormat="1" applyFont="1" applyFill="1" applyBorder="1" applyAlignment="1" applyProtection="1">
      <alignment horizontal="center" vertical="center"/>
    </xf>
    <xf numFmtId="4" fontId="9" fillId="6" borderId="7" xfId="0" applyNumberFormat="1" applyFont="1" applyFill="1" applyBorder="1" applyAlignment="1" applyProtection="1">
      <alignment horizontal="center" vertical="center"/>
    </xf>
    <xf numFmtId="0" fontId="0" fillId="6" borderId="2" xfId="0" applyFill="1" applyBorder="1" applyProtection="1"/>
    <xf numFmtId="0" fontId="0" fillId="6" borderId="3" xfId="0" applyFill="1" applyBorder="1" applyProtection="1"/>
    <xf numFmtId="0" fontId="11" fillId="7" borderId="7" xfId="0" applyFont="1" applyFill="1" applyBorder="1" applyAlignment="1" applyProtection="1">
      <alignment horizontal="right" vertical="center" wrapText="1"/>
    </xf>
    <xf numFmtId="164" fontId="12" fillId="5" borderId="7" xfId="0" applyNumberFormat="1" applyFont="1" applyFill="1" applyBorder="1" applyAlignment="1" applyProtection="1">
      <alignment horizontal="center" vertical="center"/>
    </xf>
    <xf numFmtId="164" fontId="13" fillId="0" borderId="7" xfId="0" applyNumberFormat="1" applyFont="1" applyBorder="1" applyAlignment="1" applyProtection="1">
      <alignment horizontal="center" vertical="center"/>
    </xf>
    <xf numFmtId="164" fontId="13" fillId="6" borderId="7" xfId="0" applyNumberFormat="1" applyFont="1" applyFill="1" applyBorder="1" applyAlignment="1" applyProtection="1">
      <alignment horizontal="center" vertical="center"/>
    </xf>
    <xf numFmtId="0" fontId="4" fillId="8" borderId="7" xfId="0" applyFont="1" applyFill="1" applyBorder="1" applyAlignment="1" applyProtection="1">
      <alignment horizontal="left" vertical="center"/>
    </xf>
    <xf numFmtId="0" fontId="9" fillId="8" borderId="7" xfId="0" applyFont="1" applyFill="1" applyBorder="1" applyAlignment="1" applyProtection="1">
      <alignment horizontal="left" vertical="center" wrapText="1"/>
    </xf>
    <xf numFmtId="0" fontId="9" fillId="8" borderId="7" xfId="0" applyFont="1" applyFill="1" applyBorder="1" applyAlignment="1" applyProtection="1">
      <alignment horizontal="center" vertical="center" wrapText="1"/>
    </xf>
    <xf numFmtId="164" fontId="9" fillId="8" borderId="7" xfId="0" applyNumberFormat="1" applyFont="1" applyFill="1" applyBorder="1" applyAlignment="1" applyProtection="1">
      <alignment horizontal="center" vertical="center" wrapText="1"/>
    </xf>
    <xf numFmtId="4" fontId="9" fillId="8" borderId="7" xfId="0" applyNumberFormat="1" applyFont="1" applyFill="1" applyBorder="1" applyAlignment="1" applyProtection="1">
      <alignment horizontal="center" vertical="center" wrapText="1"/>
    </xf>
    <xf numFmtId="0" fontId="11" fillId="8" borderId="7" xfId="0" applyFont="1" applyFill="1" applyBorder="1" applyAlignment="1" applyProtection="1">
      <alignment horizontal="right" vertical="center" wrapText="1"/>
    </xf>
    <xf numFmtId="0" fontId="9" fillId="8" borderId="7" xfId="0" applyFont="1" applyFill="1" applyBorder="1" applyAlignment="1" applyProtection="1">
      <alignment horizontal="center" vertical="center"/>
    </xf>
    <xf numFmtId="164" fontId="9" fillId="8" borderId="7" xfId="0" applyNumberFormat="1" applyFont="1" applyFill="1" applyBorder="1" applyAlignment="1" applyProtection="1">
      <alignment horizontal="center" vertical="center"/>
    </xf>
    <xf numFmtId="4" fontId="9" fillId="8" borderId="7" xfId="0" applyNumberFormat="1" applyFont="1" applyFill="1" applyBorder="1" applyAlignment="1" applyProtection="1">
      <alignment horizontal="center" vertical="center"/>
    </xf>
    <xf numFmtId="0" fontId="0" fillId="8" borderId="2" xfId="0" applyFill="1" applyBorder="1" applyProtection="1"/>
    <xf numFmtId="0" fontId="0" fillId="8" borderId="3" xfId="0" applyFill="1" applyBorder="1" applyProtection="1"/>
    <xf numFmtId="164" fontId="13" fillId="8" borderId="7" xfId="0" applyNumberFormat="1" applyFont="1" applyFill="1" applyBorder="1" applyAlignment="1" applyProtection="1">
      <alignment horizontal="center" vertical="center"/>
    </xf>
    <xf numFmtId="164" fontId="14" fillId="0" borderId="7" xfId="0" applyNumberFormat="1" applyFont="1" applyBorder="1" applyAlignment="1" applyProtection="1">
      <alignment horizontal="center" vertical="center"/>
    </xf>
    <xf numFmtId="164" fontId="14" fillId="5" borderId="7" xfId="0" applyNumberFormat="1" applyFont="1" applyFill="1" applyBorder="1" applyAlignment="1" applyProtection="1">
      <alignment horizontal="center" vertical="center"/>
    </xf>
    <xf numFmtId="164" fontId="14" fillId="6" borderId="7" xfId="0" applyNumberFormat="1" applyFont="1" applyFill="1" applyBorder="1" applyAlignment="1" applyProtection="1">
      <alignment horizontal="center" vertical="center"/>
    </xf>
    <xf numFmtId="164" fontId="14" fillId="8" borderId="7" xfId="0" applyNumberFormat="1" applyFont="1" applyFill="1" applyBorder="1" applyAlignment="1" applyProtection="1">
      <alignment horizontal="center" vertical="center"/>
    </xf>
    <xf numFmtId="0" fontId="0" fillId="3" borderId="0" xfId="0" applyFill="1" applyProtection="1"/>
    <xf numFmtId="0" fontId="10" fillId="3" borderId="7" xfId="0" applyFont="1" applyFill="1" applyBorder="1" applyAlignment="1" applyProtection="1">
      <alignment horizontal="right" vertical="center"/>
    </xf>
    <xf numFmtId="4" fontId="10" fillId="3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4" fillId="9" borderId="7" xfId="0" applyFont="1" applyFill="1" applyBorder="1" applyAlignment="1" applyProtection="1">
      <alignment horizontal="left" vertical="center"/>
    </xf>
    <xf numFmtId="0" fontId="9" fillId="9" borderId="7" xfId="0" applyFont="1" applyFill="1" applyBorder="1" applyAlignment="1" applyProtection="1">
      <alignment horizontal="left" vertical="center" wrapText="1"/>
    </xf>
    <xf numFmtId="0" fontId="9" fillId="9" borderId="7" xfId="0" applyFont="1" applyFill="1" applyBorder="1" applyAlignment="1" applyProtection="1">
      <alignment horizontal="center" vertical="center" wrapText="1"/>
    </xf>
    <xf numFmtId="164" fontId="9" fillId="9" borderId="7" xfId="0" applyNumberFormat="1" applyFont="1" applyFill="1" applyBorder="1" applyAlignment="1" applyProtection="1">
      <alignment horizontal="center" vertical="center" wrapText="1"/>
    </xf>
    <xf numFmtId="4" fontId="9" fillId="9" borderId="7" xfId="0" applyNumberFormat="1" applyFont="1" applyFill="1" applyBorder="1" applyAlignment="1" applyProtection="1">
      <alignment horizontal="center" vertical="center" wrapText="1"/>
    </xf>
    <xf numFmtId="9" fontId="16" fillId="9" borderId="7" xfId="0" applyNumberFormat="1" applyFont="1" applyFill="1" applyBorder="1" applyAlignment="1" applyProtection="1">
      <alignment horizontal="center" vertical="center" wrapText="1"/>
    </xf>
    <xf numFmtId="164" fontId="16" fillId="0" borderId="7" xfId="0" applyNumberFormat="1" applyFont="1" applyBorder="1" applyAlignment="1" applyProtection="1">
      <alignment horizontal="center" vertical="center"/>
    </xf>
    <xf numFmtId="0" fontId="4" fillId="11" borderId="7" xfId="0" applyFont="1" applyFill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center" vertical="center" wrapText="1"/>
    </xf>
    <xf numFmtId="4" fontId="7" fillId="4" borderId="1" xfId="0" applyNumberFormat="1" applyFont="1" applyFill="1" applyBorder="1" applyAlignment="1" applyProtection="1">
      <alignment horizontal="center" vertical="center"/>
    </xf>
    <xf numFmtId="4" fontId="7" fillId="0" borderId="1" xfId="0" applyNumberFormat="1" applyFont="1" applyBorder="1" applyAlignment="1" applyProtection="1">
      <alignment horizontal="center" vertical="center"/>
    </xf>
    <xf numFmtId="4" fontId="9" fillId="0" borderId="1" xfId="0" applyNumberFormat="1" applyFont="1" applyBorder="1" applyAlignment="1" applyProtection="1">
      <alignment horizontal="center" vertical="center" wrapText="1"/>
    </xf>
    <xf numFmtId="4" fontId="9" fillId="9" borderId="1" xfId="0" applyNumberFormat="1" applyFont="1" applyFill="1" applyBorder="1" applyAlignment="1" applyProtection="1">
      <alignment horizontal="center" vertical="center" wrapText="1"/>
    </xf>
    <xf numFmtId="4" fontId="10" fillId="3" borderId="1" xfId="0" applyNumberFormat="1" applyFont="1" applyFill="1" applyBorder="1" applyAlignment="1" applyProtection="1">
      <alignment horizontal="center" vertical="center"/>
    </xf>
    <xf numFmtId="4" fontId="7" fillId="4" borderId="3" xfId="0" applyNumberFormat="1" applyFont="1" applyFill="1" applyBorder="1" applyAlignment="1" applyProtection="1">
      <alignment horizontal="center" vertical="center"/>
    </xf>
    <xf numFmtId="4" fontId="7" fillId="0" borderId="3" xfId="0" applyNumberFormat="1" applyFont="1" applyBorder="1" applyAlignment="1" applyProtection="1">
      <alignment horizontal="center" vertical="center"/>
    </xf>
    <xf numFmtId="4" fontId="9" fillId="0" borderId="3" xfId="0" applyNumberFormat="1" applyFont="1" applyBorder="1" applyAlignment="1" applyProtection="1">
      <alignment horizontal="center" vertical="center" wrapText="1"/>
    </xf>
    <xf numFmtId="4" fontId="9" fillId="0" borderId="3" xfId="0" applyNumberFormat="1" applyFont="1" applyBorder="1" applyAlignment="1" applyProtection="1">
      <alignment horizontal="center" vertical="center"/>
    </xf>
    <xf numFmtId="4" fontId="9" fillId="9" borderId="3" xfId="0" applyNumberFormat="1" applyFont="1" applyFill="1" applyBorder="1" applyAlignment="1" applyProtection="1">
      <alignment horizontal="center" vertical="center" wrapText="1"/>
    </xf>
    <xf numFmtId="4" fontId="10" fillId="3" borderId="3" xfId="0" applyNumberFormat="1" applyFont="1" applyFill="1" applyBorder="1" applyAlignment="1" applyProtection="1">
      <alignment horizontal="center" vertical="center"/>
    </xf>
    <xf numFmtId="0" fontId="0" fillId="4" borderId="15" xfId="0" applyFill="1" applyBorder="1" applyProtection="1"/>
    <xf numFmtId="0" fontId="16" fillId="0" borderId="17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7" fillId="4" borderId="15" xfId="0" applyFont="1" applyFill="1" applyBorder="1" applyProtection="1"/>
    <xf numFmtId="0" fontId="17" fillId="4" borderId="2" xfId="0" applyFont="1" applyFill="1" applyBorder="1" applyProtection="1"/>
    <xf numFmtId="0" fontId="17" fillId="4" borderId="19" xfId="0" applyFont="1" applyFill="1" applyBorder="1" applyProtection="1"/>
    <xf numFmtId="0" fontId="17" fillId="0" borderId="20" xfId="0" applyFont="1" applyBorder="1"/>
    <xf numFmtId="0" fontId="17" fillId="0" borderId="0" xfId="0" applyFont="1" applyBorder="1"/>
    <xf numFmtId="0" fontId="17" fillId="0" borderId="21" xfId="0" applyFont="1" applyBorder="1"/>
    <xf numFmtId="4" fontId="16" fillId="0" borderId="17" xfId="0" applyNumberFormat="1" applyFont="1" applyBorder="1" applyAlignment="1" applyProtection="1">
      <alignment horizontal="center" vertical="center" wrapText="1"/>
    </xf>
    <xf numFmtId="4" fontId="16" fillId="3" borderId="7" xfId="0" applyNumberFormat="1" applyFont="1" applyFill="1" applyBorder="1" applyAlignment="1" applyProtection="1">
      <alignment horizontal="center" vertical="center" wrapText="1"/>
    </xf>
    <xf numFmtId="4" fontId="16" fillId="0" borderId="22" xfId="0" applyNumberFormat="1" applyFont="1" applyBorder="1" applyAlignment="1" applyProtection="1">
      <alignment horizontal="center" vertical="center" wrapText="1"/>
    </xf>
    <xf numFmtId="4" fontId="16" fillId="3" borderId="17" xfId="0" applyNumberFormat="1" applyFont="1" applyFill="1" applyBorder="1" applyAlignment="1" applyProtection="1">
      <alignment horizontal="center" vertical="center"/>
    </xf>
    <xf numFmtId="4" fontId="16" fillId="3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3" borderId="17" xfId="0" applyNumberFormat="1" applyFont="1" applyFill="1" applyBorder="1" applyAlignment="1" applyProtection="1">
      <alignment horizontal="center" vertical="center"/>
      <protection locked="0"/>
    </xf>
    <xf numFmtId="4" fontId="16" fillId="9" borderId="17" xfId="0" applyNumberFormat="1" applyFont="1" applyFill="1" applyBorder="1" applyAlignment="1" applyProtection="1">
      <alignment horizontal="center" vertical="center" wrapText="1"/>
    </xf>
    <xf numFmtId="4" fontId="16" fillId="10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9" borderId="22" xfId="0" applyNumberFormat="1" applyFont="1" applyFill="1" applyBorder="1" applyAlignment="1" applyProtection="1">
      <alignment horizontal="center" vertical="center" wrapText="1"/>
    </xf>
    <xf numFmtId="0" fontId="17" fillId="3" borderId="23" xfId="0" applyFont="1" applyFill="1" applyBorder="1" applyProtection="1"/>
    <xf numFmtId="0" fontId="17" fillId="3" borderId="24" xfId="0" applyFont="1" applyFill="1" applyBorder="1" applyProtection="1"/>
    <xf numFmtId="0" fontId="17" fillId="3" borderId="25" xfId="0" applyFont="1" applyFill="1" applyBorder="1" applyProtection="1"/>
    <xf numFmtId="0" fontId="0" fillId="12" borderId="0" xfId="0" applyFill="1"/>
    <xf numFmtId="4" fontId="7" fillId="12" borderId="7" xfId="0" applyNumberFormat="1" applyFont="1" applyFill="1" applyBorder="1" applyAlignment="1" applyProtection="1">
      <alignment horizontal="center" vertical="center"/>
    </xf>
    <xf numFmtId="4" fontId="9" fillId="12" borderId="7" xfId="0" applyNumberFormat="1" applyFont="1" applyFill="1" applyBorder="1" applyAlignment="1" applyProtection="1">
      <alignment horizontal="center" vertical="center" wrapText="1"/>
    </xf>
    <xf numFmtId="4" fontId="9" fillId="12" borderId="7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vertical="center"/>
    </xf>
    <xf numFmtId="164" fontId="9" fillId="0" borderId="1" xfId="0" applyNumberFormat="1" applyFont="1" applyBorder="1" applyAlignment="1" applyProtection="1">
      <alignment horizontal="center" vertical="center" wrapText="1"/>
    </xf>
    <xf numFmtId="164" fontId="9" fillId="0" borderId="1" xfId="0" applyNumberFormat="1" applyFont="1" applyBorder="1" applyAlignment="1" applyProtection="1">
      <alignment horizontal="center" vertical="center"/>
    </xf>
    <xf numFmtId="164" fontId="13" fillId="0" borderId="1" xfId="0" applyNumberFormat="1" applyFont="1" applyBorder="1" applyAlignment="1" applyProtection="1">
      <alignment horizontal="center" vertical="center"/>
    </xf>
    <xf numFmtId="164" fontId="9" fillId="9" borderId="1" xfId="0" applyNumberFormat="1" applyFont="1" applyFill="1" applyBorder="1" applyAlignment="1" applyProtection="1">
      <alignment horizontal="center" vertical="center" wrapText="1"/>
    </xf>
    <xf numFmtId="4" fontId="9" fillId="12" borderId="3" xfId="0" applyNumberFormat="1" applyFont="1" applyFill="1" applyBorder="1" applyAlignment="1" applyProtection="1">
      <alignment horizontal="center" vertical="center" wrapText="1"/>
    </xf>
    <xf numFmtId="0" fontId="0" fillId="12" borderId="20" xfId="0" applyFill="1" applyBorder="1"/>
    <xf numFmtId="4" fontId="9" fillId="12" borderId="17" xfId="0" applyNumberFormat="1" applyFont="1" applyFill="1" applyBorder="1" applyAlignment="1" applyProtection="1">
      <alignment horizontal="center" vertical="center" wrapText="1"/>
    </xf>
    <xf numFmtId="4" fontId="9" fillId="13" borderId="17" xfId="0" applyNumberFormat="1" applyFont="1" applyFill="1" applyBorder="1" applyAlignment="1" applyProtection="1">
      <alignment horizontal="center" vertical="center"/>
    </xf>
    <xf numFmtId="4" fontId="9" fillId="13" borderId="29" xfId="0" applyNumberFormat="1" applyFont="1" applyFill="1" applyBorder="1" applyAlignment="1" applyProtection="1">
      <alignment horizontal="center" vertical="center"/>
    </xf>
    <xf numFmtId="0" fontId="0" fillId="3" borderId="30" xfId="0" applyFill="1" applyBorder="1" applyProtection="1"/>
    <xf numFmtId="0" fontId="0" fillId="12" borderId="31" xfId="0" applyFill="1" applyBorder="1" applyAlignment="1"/>
    <xf numFmtId="0" fontId="0" fillId="12" borderId="20" xfId="0" applyFill="1" applyBorder="1" applyAlignment="1"/>
    <xf numFmtId="0" fontId="0" fillId="12" borderId="33" xfId="0" applyFill="1" applyBorder="1" applyAlignment="1"/>
    <xf numFmtId="0" fontId="16" fillId="14" borderId="22" xfId="0" applyFont="1" applyFill="1" applyBorder="1" applyAlignment="1" applyProtection="1">
      <alignment horizontal="center" vertical="center" wrapText="1"/>
    </xf>
    <xf numFmtId="0" fontId="0" fillId="15" borderId="32" xfId="0" applyFill="1" applyBorder="1" applyProtection="1"/>
    <xf numFmtId="0" fontId="0" fillId="14" borderId="34" xfId="0" applyFill="1" applyBorder="1" applyAlignment="1"/>
    <xf numFmtId="0" fontId="0" fillId="14" borderId="35" xfId="0" applyFill="1" applyBorder="1" applyAlignment="1"/>
    <xf numFmtId="0" fontId="0" fillId="14" borderId="36" xfId="0" applyFill="1" applyBorder="1" applyAlignment="1"/>
    <xf numFmtId="4" fontId="9" fillId="15" borderId="18" xfId="0" applyNumberFormat="1" applyFont="1" applyFill="1" applyBorder="1" applyAlignment="1" applyProtection="1">
      <alignment horizontal="center" vertical="center" wrapText="1"/>
    </xf>
    <xf numFmtId="0" fontId="0" fillId="14" borderId="21" xfId="0" applyFill="1" applyBorder="1"/>
    <xf numFmtId="4" fontId="9" fillId="15" borderId="22" xfId="0" applyNumberFormat="1" applyFont="1" applyFill="1" applyBorder="1" applyAlignment="1" applyProtection="1">
      <alignment horizontal="center" vertical="center" wrapText="1"/>
    </xf>
    <xf numFmtId="0" fontId="0" fillId="14" borderId="25" xfId="0" applyFill="1" applyBorder="1"/>
    <xf numFmtId="4" fontId="18" fillId="12" borderId="17" xfId="0" applyNumberFormat="1" applyFont="1" applyFill="1" applyBorder="1" applyAlignment="1" applyProtection="1">
      <alignment horizontal="center" vertical="center" wrapText="1"/>
    </xf>
    <xf numFmtId="4" fontId="18" fillId="15" borderId="22" xfId="0" applyNumberFormat="1" applyFont="1" applyFill="1" applyBorder="1" applyAlignment="1" applyProtection="1">
      <alignment horizontal="center" vertical="center" wrapText="1"/>
    </xf>
    <xf numFmtId="4" fontId="16" fillId="12" borderId="17" xfId="0" applyNumberFormat="1" applyFont="1" applyFill="1" applyBorder="1" applyAlignment="1" applyProtection="1">
      <alignment horizontal="center" vertical="center" wrapText="1"/>
    </xf>
    <xf numFmtId="4" fontId="16" fillId="15" borderId="22" xfId="0" applyNumberFormat="1" applyFont="1" applyFill="1" applyBorder="1" applyAlignment="1" applyProtection="1">
      <alignment horizontal="center" vertical="center" wrapText="1"/>
    </xf>
    <xf numFmtId="4" fontId="16" fillId="10" borderId="22" xfId="0" applyNumberFormat="1" applyFont="1" applyFill="1" applyBorder="1" applyAlignment="1" applyProtection="1">
      <alignment horizontal="center" vertical="center" wrapText="1"/>
    </xf>
    <xf numFmtId="4" fontId="19" fillId="15" borderId="8" xfId="0" applyNumberFormat="1" applyFont="1" applyFill="1" applyBorder="1" applyAlignment="1" applyProtection="1">
      <alignment horizontal="center" vertical="center"/>
    </xf>
    <xf numFmtId="0" fontId="9" fillId="11" borderId="7" xfId="0" applyFont="1" applyFill="1" applyBorder="1" applyAlignment="1" applyProtection="1">
      <alignment horizontal="left" vertical="center" wrapText="1"/>
    </xf>
    <xf numFmtId="0" fontId="9" fillId="11" borderId="7" xfId="0" applyFont="1" applyFill="1" applyBorder="1" applyAlignment="1" applyProtection="1">
      <alignment horizontal="center" vertical="center" wrapText="1"/>
    </xf>
    <xf numFmtId="164" fontId="9" fillId="11" borderId="7" xfId="0" applyNumberFormat="1" applyFont="1" applyFill="1" applyBorder="1" applyAlignment="1" applyProtection="1">
      <alignment horizontal="center" vertical="center" wrapText="1"/>
    </xf>
    <xf numFmtId="164" fontId="15" fillId="11" borderId="7" xfId="0" applyNumberFormat="1" applyFont="1" applyFill="1" applyBorder="1" applyAlignment="1" applyProtection="1">
      <alignment horizontal="center" vertical="center" wrapText="1"/>
    </xf>
    <xf numFmtId="164" fontId="9" fillId="11" borderId="1" xfId="0" applyNumberFormat="1" applyFont="1" applyFill="1" applyBorder="1" applyAlignment="1" applyProtection="1">
      <alignment horizontal="center" vertical="center" wrapText="1"/>
    </xf>
    <xf numFmtId="9" fontId="16" fillId="11" borderId="7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16" fillId="0" borderId="15" xfId="0" applyFont="1" applyBorder="1" applyAlignment="1" applyProtection="1">
      <alignment horizontal="center" vertical="center" wrapText="1"/>
    </xf>
    <xf numFmtId="0" fontId="16" fillId="0" borderId="3" xfId="0" applyFont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/>
    </xf>
    <xf numFmtId="0" fontId="16" fillId="3" borderId="14" xfId="0" applyFont="1" applyFill="1" applyBorder="1" applyAlignment="1" applyProtection="1">
      <alignment horizontal="center" vertical="center"/>
    </xf>
    <xf numFmtId="0" fontId="16" fillId="0" borderId="16" xfId="0" applyFont="1" applyBorder="1" applyAlignment="1" applyProtection="1">
      <alignment horizontal="center" vertical="center" wrapText="1"/>
    </xf>
    <xf numFmtId="0" fontId="16" fillId="0" borderId="18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3" borderId="14" xfId="0" applyFont="1" applyFill="1" applyBorder="1" applyAlignment="1" applyProtection="1">
      <alignment horizontal="center" vertical="center"/>
      <protection locked="0"/>
    </xf>
    <xf numFmtId="0" fontId="16" fillId="0" borderId="19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</xf>
    <xf numFmtId="0" fontId="4" fillId="0" borderId="28" xfId="0" applyFont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0"/>
  <tableStyles count="0" defaultTableStyle="Table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30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830" sqref="AA830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63" t="s">
        <v>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</row>
    <row r="3" spans="1:35" ht="15" customHeight="1" x14ac:dyDescent="0.3">
      <c r="A3" s="164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</row>
    <row r="4" spans="1:35" ht="15" customHeight="1" x14ac:dyDescent="0.3">
      <c r="A4" s="165" t="s">
        <v>6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</row>
    <row r="5" spans="1:35" ht="40.799999999999997" customHeight="1" x14ac:dyDescent="0.3">
      <c r="A5" s="158" t="s">
        <v>23</v>
      </c>
      <c r="B5" s="158" t="s">
        <v>24</v>
      </c>
      <c r="C5" s="158" t="s">
        <v>25</v>
      </c>
      <c r="D5" s="158" t="s">
        <v>26</v>
      </c>
      <c r="E5" s="158" t="s">
        <v>27</v>
      </c>
      <c r="F5" s="158" t="s">
        <v>28</v>
      </c>
      <c r="G5" s="158" t="s">
        <v>29</v>
      </c>
      <c r="H5" s="158" t="s">
        <v>30</v>
      </c>
      <c r="I5" s="158" t="s">
        <v>31</v>
      </c>
      <c r="J5" s="166" t="s">
        <v>7</v>
      </c>
      <c r="K5" s="167"/>
      <c r="L5" s="167"/>
      <c r="M5" s="167"/>
      <c r="N5" s="167"/>
      <c r="O5" s="168"/>
      <c r="P5" s="169" t="s">
        <v>8</v>
      </c>
      <c r="Q5" s="170"/>
      <c r="R5" s="171"/>
      <c r="S5" s="169" t="s">
        <v>9</v>
      </c>
      <c r="T5" s="170"/>
      <c r="U5" s="171"/>
    </row>
    <row r="6" spans="1:35" ht="15.75" customHeight="1" x14ac:dyDescent="0.3">
      <c r="A6" s="172"/>
      <c r="B6" s="172"/>
      <c r="C6" s="172"/>
      <c r="D6" s="172"/>
      <c r="E6" s="172"/>
      <c r="F6" s="172"/>
      <c r="G6" s="172"/>
      <c r="H6" s="172"/>
      <c r="I6" s="172"/>
      <c r="J6" s="156" t="s">
        <v>32</v>
      </c>
      <c r="K6" s="157"/>
      <c r="L6" s="158" t="s">
        <v>32</v>
      </c>
      <c r="M6" s="156" t="s">
        <v>35</v>
      </c>
      <c r="N6" s="157"/>
      <c r="O6" s="158" t="s">
        <v>36</v>
      </c>
      <c r="P6" s="156" t="s">
        <v>32</v>
      </c>
      <c r="Q6" s="157"/>
      <c r="R6" s="158" t="s">
        <v>32</v>
      </c>
      <c r="S6" s="156" t="s">
        <v>35</v>
      </c>
      <c r="T6" s="157"/>
      <c r="U6" s="158" t="s">
        <v>36</v>
      </c>
    </row>
    <row r="7" spans="1:35" ht="31.2" customHeight="1" x14ac:dyDescent="0.3">
      <c r="A7" s="159"/>
      <c r="B7" s="159"/>
      <c r="C7" s="159"/>
      <c r="D7" s="159"/>
      <c r="E7" s="159"/>
      <c r="F7" s="159"/>
      <c r="G7" s="159"/>
      <c r="H7" s="159"/>
      <c r="I7" s="159"/>
      <c r="J7" s="5" t="s">
        <v>33</v>
      </c>
      <c r="K7" s="5" t="s">
        <v>34</v>
      </c>
      <c r="L7" s="159"/>
      <c r="M7" s="5" t="s">
        <v>33</v>
      </c>
      <c r="N7" s="5" t="s">
        <v>34</v>
      </c>
      <c r="O7" s="159"/>
      <c r="P7" s="5" t="s">
        <v>33</v>
      </c>
      <c r="Q7" s="5" t="s">
        <v>34</v>
      </c>
      <c r="R7" s="159"/>
      <c r="S7" s="5" t="s">
        <v>33</v>
      </c>
      <c r="T7" s="5" t="s">
        <v>34</v>
      </c>
      <c r="U7" s="159"/>
    </row>
    <row r="8" spans="1:35" ht="30" customHeight="1" x14ac:dyDescent="0.3">
      <c r="A8" s="160" t="s">
        <v>37</v>
      </c>
      <c r="B8" s="161"/>
      <c r="C8" s="161"/>
      <c r="D8" s="161"/>
      <c r="E8" s="161"/>
      <c r="F8" s="161"/>
      <c r="G8" s="161"/>
      <c r="H8" s="161"/>
      <c r="I8" s="162"/>
      <c r="J8" s="7"/>
      <c r="K8" s="7"/>
      <c r="L8" s="7"/>
      <c r="M8" s="8">
        <f>SUM(M9)</f>
        <v>23958071.489999998</v>
      </c>
      <c r="N8" s="8">
        <f>SUM(N9)</f>
        <v>31630464.809999999</v>
      </c>
      <c r="O8" s="8">
        <f>SUM(O9)</f>
        <v>55588536.299999997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 t="e">
        <f>SUM(AA9)</f>
        <v>#VALUE!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53" t="s">
        <v>40</v>
      </c>
      <c r="D9" s="154"/>
      <c r="E9" s="154"/>
      <c r="F9" s="154"/>
      <c r="G9" s="154"/>
      <c r="H9" s="154"/>
      <c r="I9" s="155"/>
      <c r="M9" s="6">
        <f>SUM(M10,M75)</f>
        <v>23958071.489999998</v>
      </c>
      <c r="N9" s="6">
        <f>SUM(N10,N75)</f>
        <v>31630464.809999999</v>
      </c>
      <c r="O9" s="6">
        <f>SUM(O10,O75)</f>
        <v>55588536.299999997</v>
      </c>
      <c r="S9" s="6">
        <f>SUM(S10,S75)</f>
        <v>22896107.140000001</v>
      </c>
      <c r="T9" s="6">
        <f>SUM(T10,T75)</f>
        <v>47445697.219999999</v>
      </c>
      <c r="U9" s="6">
        <f>SUM(U10,U75)</f>
        <v>70341804.359999999</v>
      </c>
      <c r="Y9" s="9">
        <f>SUM(Y10,Y75)</f>
        <v>19080089.32</v>
      </c>
      <c r="Z9" s="9">
        <f>SUM(Z10,Z75)</f>
        <v>39538081.100000001</v>
      </c>
      <c r="AA9" s="9" t="e">
        <f>SUM(AA10,AA75)</f>
        <v>#VALUE!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53" t="s">
        <v>43</v>
      </c>
      <c r="D10" s="154"/>
      <c r="E10" s="154"/>
      <c r="F10" s="154"/>
      <c r="G10" s="154"/>
      <c r="H10" s="154"/>
      <c r="I10" s="155"/>
      <c r="M10" s="6">
        <f t="shared" ref="M10:O13" si="0">SUM(M11)</f>
        <v>49224.53</v>
      </c>
      <c r="N10" s="6">
        <f t="shared" si="0"/>
        <v>128833.7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316339.15999999997</v>
      </c>
      <c r="Y10" s="9">
        <f t="shared" ref="Y10:AA13" si="2">SUM(Y11)</f>
        <v>102573.84</v>
      </c>
      <c r="Z10" s="9">
        <f t="shared" si="2"/>
        <v>161042.13</v>
      </c>
      <c r="AA10" s="9">
        <f t="shared" si="2"/>
        <v>263615.96999999997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53" t="s">
        <v>46</v>
      </c>
      <c r="D11" s="154"/>
      <c r="E11" s="154"/>
      <c r="F11" s="154"/>
      <c r="G11" s="154"/>
      <c r="H11" s="154"/>
      <c r="I11" s="155"/>
      <c r="M11" s="6">
        <f t="shared" si="0"/>
        <v>49224.53</v>
      </c>
      <c r="N11" s="6">
        <f t="shared" si="0"/>
        <v>128833.7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316339.15999999997</v>
      </c>
      <c r="Y11" s="9">
        <f t="shared" si="2"/>
        <v>102573.84</v>
      </c>
      <c r="Z11" s="9">
        <f t="shared" si="2"/>
        <v>161042.13</v>
      </c>
      <c r="AA11" s="9">
        <f t="shared" si="2"/>
        <v>263615.96999999997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53" t="s">
        <v>49</v>
      </c>
      <c r="D12" s="154"/>
      <c r="E12" s="154"/>
      <c r="F12" s="154"/>
      <c r="G12" s="154"/>
      <c r="H12" s="154"/>
      <c r="I12" s="155"/>
      <c r="M12" s="6">
        <f t="shared" si="0"/>
        <v>49224.53</v>
      </c>
      <c r="N12" s="6">
        <f t="shared" si="0"/>
        <v>128833.7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316339.15999999997</v>
      </c>
      <c r="Y12" s="9">
        <f t="shared" si="2"/>
        <v>102573.84</v>
      </c>
      <c r="Z12" s="9">
        <f t="shared" si="2"/>
        <v>161042.13</v>
      </c>
      <c r="AA12" s="9">
        <f t="shared" si="2"/>
        <v>263615.96999999997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53" t="s">
        <v>52</v>
      </c>
      <c r="D13" s="154"/>
      <c r="E13" s="154"/>
      <c r="F13" s="154"/>
      <c r="G13" s="154"/>
      <c r="H13" s="154"/>
      <c r="I13" s="155"/>
      <c r="M13" s="6">
        <f t="shared" si="0"/>
        <v>49224.53</v>
      </c>
      <c r="N13" s="6">
        <f t="shared" si="0"/>
        <v>128833.7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316339.15999999997</v>
      </c>
      <c r="Y13" s="9">
        <f t="shared" si="2"/>
        <v>102573.84</v>
      </c>
      <c r="Z13" s="9">
        <f t="shared" si="2"/>
        <v>161042.13</v>
      </c>
      <c r="AA13" s="9">
        <f t="shared" si="2"/>
        <v>263615.96999999997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53" t="s">
        <v>55</v>
      </c>
      <c r="D14" s="154"/>
      <c r="E14" s="154"/>
      <c r="F14" s="154"/>
      <c r="G14" s="154"/>
      <c r="H14" s="154"/>
      <c r="I14" s="155"/>
      <c r="M14" s="6">
        <f>SUM(M15,M25,M35,M40,M45,M55,M60,M70)</f>
        <v>49224.53</v>
      </c>
      <c r="N14" s="6">
        <f>SUM(N15,N25,N35,N40,N45,N55,N60,N70)</f>
        <v>128833.7</v>
      </c>
      <c r="O14" s="6">
        <f>SUM(O15,O25,O35,O40,O45,O55,O60,O70)</f>
        <v>178058.23</v>
      </c>
      <c r="S14" s="6">
        <f>SUM(S15,S25,S35,S40,S45,S55,S60,S70)</f>
        <v>123088.61</v>
      </c>
      <c r="T14" s="6">
        <f>SUM(T15,T25,T35,T40,T45,T55,T60,T70)</f>
        <v>193250.55</v>
      </c>
      <c r="U14" s="6">
        <f>SUM(U15,U25,U35,U40,U45,U55,U60,U70)</f>
        <v>316339.15999999997</v>
      </c>
      <c r="Y14" s="9">
        <f>SUM(Y15,Y25,Y35,Y40,Y45,Y55,Y60,Y70)</f>
        <v>102573.84</v>
      </c>
      <c r="Z14" s="9">
        <f>SUM(Z15,Z25,Z35,Z40,Z45,Z55,Z60,Z70)</f>
        <v>161042.13</v>
      </c>
      <c r="AA14" s="9">
        <f>SUM(AA15,AA25,AA35,AA40,AA45,AA55,AA60,AA70)</f>
        <v>263615.96999999997</v>
      </c>
      <c r="AD14" s="4">
        <v>304337529</v>
      </c>
      <c r="AE14" s="4">
        <v>20344598</v>
      </c>
    </row>
    <row r="15" spans="1:35" ht="36" x14ac:dyDescent="0.3">
      <c r="A15" s="17" t="s">
        <v>56</v>
      </c>
      <c r="B15" s="17" t="s">
        <v>57</v>
      </c>
      <c r="C15" s="18" t="s">
        <v>58</v>
      </c>
      <c r="D15" s="19"/>
      <c r="E15" s="19"/>
      <c r="F15" s="19" t="s">
        <v>59</v>
      </c>
      <c r="G15" s="20">
        <v>1</v>
      </c>
      <c r="H15" s="19"/>
      <c r="I15" s="21">
        <v>0</v>
      </c>
      <c r="J15" s="22">
        <f>IFERROR(ROUND(SUM(M17,M19,M21,M23)/I15, 2),0)</f>
        <v>0</v>
      </c>
      <c r="K15" s="22">
        <v>2293</v>
      </c>
      <c r="L15" s="22">
        <f>J15+ROUND(K15, 2)</f>
        <v>2293</v>
      </c>
      <c r="M15" s="22">
        <f>ROUND(J15*I15, 2)</f>
        <v>0</v>
      </c>
      <c r="N15" s="22">
        <f>ROUND(I15*ROUND(K15, 2), 2)</f>
        <v>0</v>
      </c>
      <c r="O15" s="22">
        <f>M15+N15</f>
        <v>0</v>
      </c>
      <c r="P15" s="22">
        <f>IFERROR(ROUND(SUM(S17,S19,S21,S23)/I15, 2),0)</f>
        <v>0</v>
      </c>
      <c r="Q15" s="22">
        <v>2293</v>
      </c>
      <c r="R15" s="22">
        <f>P15+ROUND(Q15, 2)</f>
        <v>2293</v>
      </c>
      <c r="S15" s="22">
        <f>ROUND(P15*I15, 2)</f>
        <v>0</v>
      </c>
      <c r="T15" s="22">
        <f>ROUND(I15*ROUND(Q15, 2), 2)</f>
        <v>0</v>
      </c>
      <c r="U15" s="22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162" x14ac:dyDescent="0.3">
      <c r="A16" s="23" t="s">
        <v>63</v>
      </c>
      <c r="B16" s="23" t="s">
        <v>57</v>
      </c>
      <c r="C16" s="24" t="s">
        <v>58</v>
      </c>
      <c r="D16" s="25"/>
      <c r="E16" s="25" t="s">
        <v>64</v>
      </c>
      <c r="F16" s="25" t="s">
        <v>59</v>
      </c>
      <c r="G16" s="26">
        <v>1</v>
      </c>
      <c r="H16" s="25"/>
      <c r="I16" s="26">
        <v>6.3</v>
      </c>
      <c r="J16" s="27">
        <v>0</v>
      </c>
      <c r="K16" s="27">
        <v>2293</v>
      </c>
      <c r="L16" s="27"/>
      <c r="M16" s="27">
        <v>0</v>
      </c>
      <c r="N16" s="27"/>
      <c r="O16" s="27"/>
      <c r="P16" s="27">
        <v>0</v>
      </c>
      <c r="Q16" s="27">
        <v>2293</v>
      </c>
      <c r="R16" s="27"/>
      <c r="S16" s="27">
        <v>0</v>
      </c>
      <c r="T16" s="27"/>
      <c r="U16" s="27"/>
      <c r="V16" s="9"/>
      <c r="W16" s="9">
        <f>ROUND(Q16 / 1.2, 2)</f>
        <v>1910.83</v>
      </c>
      <c r="X16" s="9" t="e">
        <f>ROUND(R16 / 1.2, 2)</f>
        <v>#VALUE!</v>
      </c>
      <c r="Y16" s="9"/>
      <c r="Z16" s="9" t="e">
        <f>ROUND(T16 / 1.2, 2)</f>
        <v>#VALUE!</v>
      </c>
      <c r="AA16" s="9"/>
      <c r="AD16" s="4">
        <v>281879674</v>
      </c>
      <c r="AE16" s="4">
        <v>20344603</v>
      </c>
      <c r="AG16" s="4" t="s">
        <v>60</v>
      </c>
      <c r="AH16" s="4" t="s">
        <v>61</v>
      </c>
      <c r="AI16" s="4"/>
    </row>
    <row r="17" spans="1:35" ht="54" x14ac:dyDescent="0.3">
      <c r="A17" s="17" t="s">
        <v>65</v>
      </c>
      <c r="B17" s="17"/>
      <c r="C17" s="34" t="s">
        <v>66</v>
      </c>
      <c r="D17" s="19"/>
      <c r="E17" s="19"/>
      <c r="F17" s="35" t="s">
        <v>67</v>
      </c>
      <c r="G17" s="36">
        <v>1</v>
      </c>
      <c r="H17" s="19"/>
      <c r="I17" s="37">
        <v>0</v>
      </c>
      <c r="J17" s="38">
        <v>102.33</v>
      </c>
      <c r="K17" s="39"/>
      <c r="L17" s="39"/>
      <c r="M17" s="38">
        <f t="shared" ref="M17:M24" si="3">ROUND(ROUND(J17, 2)*I17, 2)</f>
        <v>0</v>
      </c>
      <c r="N17" s="39"/>
      <c r="O17" s="39"/>
      <c r="P17" s="38">
        <v>102.33</v>
      </c>
      <c r="Q17" s="39"/>
      <c r="R17" s="39"/>
      <c r="S17" s="38">
        <f t="shared" ref="S17:S24" si="4">ROUND(ROUND(P17, 2)*I17, 2)</f>
        <v>0</v>
      </c>
      <c r="T17" s="39"/>
      <c r="U17" s="40"/>
      <c r="V17" s="9">
        <f t="shared" ref="V17:V24" si="5">ROUND(ROUND(P17, 2)/1.2, 2)</f>
        <v>85.28</v>
      </c>
      <c r="Y17" s="9">
        <f t="shared" ref="Y17:Y25" si="6">ROUND(S17 / 1.2, 2)</f>
        <v>0</v>
      </c>
      <c r="AD17" s="4" t="s">
        <v>68</v>
      </c>
      <c r="AE17" s="4" t="s">
        <v>69</v>
      </c>
      <c r="AF17" s="4" t="s">
        <v>70</v>
      </c>
    </row>
    <row r="18" spans="1:35" ht="54" x14ac:dyDescent="0.3">
      <c r="A18" s="23" t="s">
        <v>71</v>
      </c>
      <c r="B18" s="23"/>
      <c r="C18" s="41" t="s">
        <v>66</v>
      </c>
      <c r="D18" s="25"/>
      <c r="E18" s="25"/>
      <c r="F18" s="42" t="s">
        <v>67</v>
      </c>
      <c r="G18" s="43">
        <v>1</v>
      </c>
      <c r="H18" s="25"/>
      <c r="I18" s="43">
        <v>6.3</v>
      </c>
      <c r="J18" s="44">
        <v>102.33</v>
      </c>
      <c r="K18" s="45"/>
      <c r="L18" s="45"/>
      <c r="M18" s="44">
        <f t="shared" si="3"/>
        <v>644.67999999999995</v>
      </c>
      <c r="N18" s="45"/>
      <c r="O18" s="45"/>
      <c r="P18" s="44">
        <v>102.33</v>
      </c>
      <c r="Q18" s="45"/>
      <c r="R18" s="45"/>
      <c r="S18" s="44">
        <f t="shared" si="4"/>
        <v>644.67999999999995</v>
      </c>
      <c r="T18" s="45"/>
      <c r="U18" s="46"/>
      <c r="V18" s="9">
        <f t="shared" si="5"/>
        <v>85.28</v>
      </c>
      <c r="Y18" s="9">
        <f t="shared" si="6"/>
        <v>537.23</v>
      </c>
      <c r="AD18" s="4" t="s">
        <v>72</v>
      </c>
      <c r="AE18" s="4" t="s">
        <v>69</v>
      </c>
      <c r="AF18" s="4" t="s">
        <v>70</v>
      </c>
    </row>
    <row r="19" spans="1:35" ht="36" x14ac:dyDescent="0.3">
      <c r="A19" s="17" t="s">
        <v>73</v>
      </c>
      <c r="B19" s="17"/>
      <c r="C19" s="34" t="s">
        <v>74</v>
      </c>
      <c r="D19" s="19"/>
      <c r="E19" s="19"/>
      <c r="F19" s="35" t="s">
        <v>59</v>
      </c>
      <c r="G19" s="36">
        <v>4.2</v>
      </c>
      <c r="H19" s="19"/>
      <c r="I19" s="37">
        <v>0</v>
      </c>
      <c r="J19" s="38">
        <v>104.57</v>
      </c>
      <c r="K19" s="39"/>
      <c r="L19" s="39"/>
      <c r="M19" s="38">
        <f t="shared" si="3"/>
        <v>0</v>
      </c>
      <c r="N19" s="39"/>
      <c r="O19" s="39"/>
      <c r="P19" s="38">
        <v>104.57</v>
      </c>
      <c r="Q19" s="39"/>
      <c r="R19" s="39"/>
      <c r="S19" s="38">
        <f t="shared" si="4"/>
        <v>0</v>
      </c>
      <c r="T19" s="39"/>
      <c r="U19" s="40"/>
      <c r="V19" s="9">
        <f t="shared" si="5"/>
        <v>87.14</v>
      </c>
      <c r="Y19" s="9">
        <f t="shared" si="6"/>
        <v>0</v>
      </c>
      <c r="AD19" s="4" t="s">
        <v>75</v>
      </c>
      <c r="AE19" s="4" t="s">
        <v>76</v>
      </c>
      <c r="AF19" s="4" t="s">
        <v>77</v>
      </c>
    </row>
    <row r="20" spans="1:35" ht="36" x14ac:dyDescent="0.3">
      <c r="A20" s="23" t="s">
        <v>78</v>
      </c>
      <c r="B20" s="23"/>
      <c r="C20" s="41" t="s">
        <v>74</v>
      </c>
      <c r="D20" s="25"/>
      <c r="E20" s="25"/>
      <c r="F20" s="42" t="s">
        <v>59</v>
      </c>
      <c r="G20" s="43">
        <v>4.2</v>
      </c>
      <c r="H20" s="25"/>
      <c r="I20" s="43">
        <v>26.46</v>
      </c>
      <c r="J20" s="44">
        <v>104.57</v>
      </c>
      <c r="K20" s="45"/>
      <c r="L20" s="45"/>
      <c r="M20" s="44">
        <f t="shared" si="3"/>
        <v>2766.92</v>
      </c>
      <c r="N20" s="45"/>
      <c r="O20" s="45"/>
      <c r="P20" s="44">
        <v>104.57</v>
      </c>
      <c r="Q20" s="45"/>
      <c r="R20" s="45"/>
      <c r="S20" s="44">
        <f t="shared" si="4"/>
        <v>2766.92</v>
      </c>
      <c r="T20" s="45"/>
      <c r="U20" s="46"/>
      <c r="V20" s="9">
        <f t="shared" si="5"/>
        <v>87.14</v>
      </c>
      <c r="Y20" s="9">
        <f t="shared" si="6"/>
        <v>2305.77</v>
      </c>
      <c r="AD20" s="4" t="s">
        <v>79</v>
      </c>
      <c r="AE20" s="4" t="s">
        <v>76</v>
      </c>
      <c r="AF20" s="4" t="s">
        <v>77</v>
      </c>
    </row>
    <row r="21" spans="1:35" ht="18" x14ac:dyDescent="0.3">
      <c r="A21" s="17" t="s">
        <v>80</v>
      </c>
      <c r="B21" s="17"/>
      <c r="C21" s="34" t="s">
        <v>81</v>
      </c>
      <c r="D21" s="19"/>
      <c r="E21" s="19"/>
      <c r="F21" s="35" t="s">
        <v>82</v>
      </c>
      <c r="G21" s="36">
        <v>4.07</v>
      </c>
      <c r="H21" s="19"/>
      <c r="I21" s="48">
        <v>0</v>
      </c>
      <c r="J21" s="38">
        <v>64.56</v>
      </c>
      <c r="K21" s="39"/>
      <c r="L21" s="39"/>
      <c r="M21" s="38">
        <f t="shared" si="3"/>
        <v>0</v>
      </c>
      <c r="N21" s="39"/>
      <c r="O21" s="39"/>
      <c r="P21" s="38">
        <v>64.56</v>
      </c>
      <c r="Q21" s="39"/>
      <c r="R21" s="39"/>
      <c r="S21" s="38">
        <f t="shared" si="4"/>
        <v>0</v>
      </c>
      <c r="T21" s="39"/>
      <c r="U21" s="40"/>
      <c r="V21" s="9">
        <f t="shared" si="5"/>
        <v>53.8</v>
      </c>
      <c r="Y21" s="9">
        <f t="shared" si="6"/>
        <v>0</v>
      </c>
      <c r="AD21" s="4" t="s">
        <v>83</v>
      </c>
      <c r="AE21" s="4" t="s">
        <v>84</v>
      </c>
      <c r="AF21" s="4" t="s">
        <v>85</v>
      </c>
    </row>
    <row r="22" spans="1:35" ht="18" x14ac:dyDescent="0.3">
      <c r="A22" s="23" t="s">
        <v>86</v>
      </c>
      <c r="B22" s="23"/>
      <c r="C22" s="41" t="s">
        <v>81</v>
      </c>
      <c r="D22" s="25"/>
      <c r="E22" s="25"/>
      <c r="F22" s="42" t="s">
        <v>82</v>
      </c>
      <c r="G22" s="43">
        <v>4.07</v>
      </c>
      <c r="H22" s="25"/>
      <c r="I22" s="50">
        <v>25.640999999999998</v>
      </c>
      <c r="J22" s="44">
        <v>64.56</v>
      </c>
      <c r="K22" s="45"/>
      <c r="L22" s="45"/>
      <c r="M22" s="44">
        <f t="shared" si="3"/>
        <v>1655.38</v>
      </c>
      <c r="N22" s="45"/>
      <c r="O22" s="45"/>
      <c r="P22" s="44">
        <v>64.56</v>
      </c>
      <c r="Q22" s="45"/>
      <c r="R22" s="45"/>
      <c r="S22" s="44">
        <f t="shared" si="4"/>
        <v>1655.38</v>
      </c>
      <c r="T22" s="45"/>
      <c r="U22" s="46"/>
      <c r="V22" s="9">
        <f t="shared" si="5"/>
        <v>53.8</v>
      </c>
      <c r="Y22" s="9">
        <f t="shared" si="6"/>
        <v>1379.48</v>
      </c>
      <c r="AD22" s="4" t="s">
        <v>87</v>
      </c>
      <c r="AE22" s="4" t="s">
        <v>84</v>
      </c>
      <c r="AF22" s="4" t="s">
        <v>85</v>
      </c>
    </row>
    <row r="23" spans="1:35" ht="18" x14ac:dyDescent="0.3">
      <c r="A23" s="17" t="s">
        <v>88</v>
      </c>
      <c r="B23" s="17"/>
      <c r="C23" s="34" t="s">
        <v>89</v>
      </c>
      <c r="D23" s="19"/>
      <c r="E23" s="19"/>
      <c r="F23" s="35" t="s">
        <v>82</v>
      </c>
      <c r="G23" s="36">
        <v>1.42</v>
      </c>
      <c r="H23" s="19"/>
      <c r="I23" s="48">
        <v>0</v>
      </c>
      <c r="J23" s="38">
        <v>51.63</v>
      </c>
      <c r="K23" s="39"/>
      <c r="L23" s="39"/>
      <c r="M23" s="38">
        <f t="shared" si="3"/>
        <v>0</v>
      </c>
      <c r="N23" s="39"/>
      <c r="O23" s="39"/>
      <c r="P23" s="38">
        <v>51.63</v>
      </c>
      <c r="Q23" s="39"/>
      <c r="R23" s="39"/>
      <c r="S23" s="38">
        <f t="shared" si="4"/>
        <v>0</v>
      </c>
      <c r="T23" s="39"/>
      <c r="U23" s="40"/>
      <c r="V23" s="9">
        <f t="shared" si="5"/>
        <v>43.03</v>
      </c>
      <c r="Y23" s="9">
        <f t="shared" si="6"/>
        <v>0</v>
      </c>
      <c r="AD23" s="4" t="s">
        <v>90</v>
      </c>
      <c r="AE23" s="4" t="s">
        <v>91</v>
      </c>
      <c r="AF23" s="4" t="s">
        <v>92</v>
      </c>
    </row>
    <row r="24" spans="1:35" ht="18" x14ac:dyDescent="0.3">
      <c r="A24" s="23" t="s">
        <v>93</v>
      </c>
      <c r="B24" s="23"/>
      <c r="C24" s="41" t="s">
        <v>89</v>
      </c>
      <c r="D24" s="25"/>
      <c r="E24" s="25"/>
      <c r="F24" s="42" t="s">
        <v>82</v>
      </c>
      <c r="G24" s="43">
        <v>1.42</v>
      </c>
      <c r="H24" s="25"/>
      <c r="I24" s="50">
        <v>8.9459999999999997</v>
      </c>
      <c r="J24" s="44">
        <v>51.63</v>
      </c>
      <c r="K24" s="45"/>
      <c r="L24" s="45"/>
      <c r="M24" s="44">
        <f t="shared" si="3"/>
        <v>461.88</v>
      </c>
      <c r="N24" s="45"/>
      <c r="O24" s="45"/>
      <c r="P24" s="44">
        <v>51.63</v>
      </c>
      <c r="Q24" s="45"/>
      <c r="R24" s="45"/>
      <c r="S24" s="44">
        <f t="shared" si="4"/>
        <v>461.88</v>
      </c>
      <c r="T24" s="45"/>
      <c r="U24" s="46"/>
      <c r="V24" s="9">
        <f t="shared" si="5"/>
        <v>43.03</v>
      </c>
      <c r="Y24" s="9">
        <f t="shared" si="6"/>
        <v>384.9</v>
      </c>
      <c r="AD24" s="4" t="s">
        <v>94</v>
      </c>
      <c r="AE24" s="4" t="s">
        <v>91</v>
      </c>
      <c r="AF24" s="4" t="s">
        <v>92</v>
      </c>
    </row>
    <row r="25" spans="1:35" ht="36" x14ac:dyDescent="0.3">
      <c r="A25" s="17" t="s">
        <v>95</v>
      </c>
      <c r="B25" s="17" t="s">
        <v>57</v>
      </c>
      <c r="C25" s="18" t="s">
        <v>58</v>
      </c>
      <c r="D25" s="19"/>
      <c r="E25" s="19"/>
      <c r="F25" s="19" t="s">
        <v>59</v>
      </c>
      <c r="G25" s="20">
        <v>1</v>
      </c>
      <c r="H25" s="19"/>
      <c r="I25" s="21">
        <v>0</v>
      </c>
      <c r="J25" s="22">
        <f>IFERROR(ROUND(SUM(M27,M29,M31,M33)/I25, 2),0)</f>
        <v>0</v>
      </c>
      <c r="K25" s="22">
        <v>2293</v>
      </c>
      <c r="L25" s="22">
        <f>J25+ROUND(K25, 2)</f>
        <v>2293</v>
      </c>
      <c r="M25" s="22">
        <f>ROUND(J25*I25, 2)</f>
        <v>0</v>
      </c>
      <c r="N25" s="22">
        <f>ROUND(I25*ROUND(K25, 2), 2)</f>
        <v>0</v>
      </c>
      <c r="O25" s="22">
        <f>M25+N25</f>
        <v>0</v>
      </c>
      <c r="P25" s="22">
        <f>IFERROR(ROUND(SUM(S27,S29,S31,S33)/I25, 2),0)</f>
        <v>0</v>
      </c>
      <c r="Q25" s="22">
        <v>2293</v>
      </c>
      <c r="R25" s="22">
        <f>P25+ROUND(Q25, 2)</f>
        <v>2293</v>
      </c>
      <c r="S25" s="22">
        <f>ROUND(P25*I25, 2)</f>
        <v>0</v>
      </c>
      <c r="T25" s="22">
        <f>ROUND(I25*ROUND(Q25, 2), 2)</f>
        <v>0</v>
      </c>
      <c r="U25" s="22">
        <f>S25+T25</f>
        <v>0</v>
      </c>
      <c r="V25" s="9">
        <f>ROUND(P25 / 1.2, 2)</f>
        <v>0</v>
      </c>
      <c r="W25" s="9">
        <f>ROUND(Q25 / 1.2, 2)</f>
        <v>1910.83</v>
      </c>
      <c r="X25" s="9">
        <f>ROUND(R25 / 1.2, 2)</f>
        <v>1910.83</v>
      </c>
      <c r="Y25" s="9">
        <f t="shared" si="6"/>
        <v>0</v>
      </c>
      <c r="Z25" s="9">
        <f>ROUND(T25 / 1.2, 2)</f>
        <v>0</v>
      </c>
      <c r="AA25" s="9">
        <f>Y25+Z25</f>
        <v>0</v>
      </c>
      <c r="AD25" s="4">
        <v>304337593</v>
      </c>
      <c r="AE25" s="4">
        <v>20839230</v>
      </c>
      <c r="AG25" s="4" t="s">
        <v>60</v>
      </c>
      <c r="AH25" s="4" t="s">
        <v>61</v>
      </c>
      <c r="AI25" s="4" t="s">
        <v>62</v>
      </c>
    </row>
    <row r="26" spans="1:35" ht="198" x14ac:dyDescent="0.3">
      <c r="A26" s="23" t="s">
        <v>96</v>
      </c>
      <c r="B26" s="23" t="s">
        <v>57</v>
      </c>
      <c r="C26" s="24" t="s">
        <v>58</v>
      </c>
      <c r="D26" s="25"/>
      <c r="E26" s="25" t="s">
        <v>97</v>
      </c>
      <c r="F26" s="25" t="s">
        <v>59</v>
      </c>
      <c r="G26" s="26">
        <v>1</v>
      </c>
      <c r="H26" s="25"/>
      <c r="I26" s="26">
        <v>25.4</v>
      </c>
      <c r="J26" s="27">
        <v>0</v>
      </c>
      <c r="K26" s="27">
        <v>2293</v>
      </c>
      <c r="L26" s="27"/>
      <c r="M26" s="27">
        <v>0</v>
      </c>
      <c r="N26" s="27"/>
      <c r="O26" s="27"/>
      <c r="P26" s="27">
        <v>0</v>
      </c>
      <c r="Q26" s="27">
        <v>2293</v>
      </c>
      <c r="R26" s="27"/>
      <c r="S26" s="27">
        <v>0</v>
      </c>
      <c r="T26" s="27"/>
      <c r="U26" s="27"/>
      <c r="V26" s="9"/>
      <c r="W26" s="9">
        <f>ROUND(Q26 / 1.2, 2)</f>
        <v>1910.83</v>
      </c>
      <c r="X26" s="9" t="e">
        <f>ROUND(R26 / 1.2, 2)</f>
        <v>#VALUE!</v>
      </c>
      <c r="Y26" s="9"/>
      <c r="Z26" s="9" t="e">
        <f>ROUND(T26 / 1.2, 2)</f>
        <v>#VALUE!</v>
      </c>
      <c r="AA26" s="9"/>
      <c r="AD26" s="4">
        <v>281902539</v>
      </c>
      <c r="AE26" s="4">
        <v>20839230</v>
      </c>
      <c r="AG26" s="4" t="s">
        <v>60</v>
      </c>
      <c r="AH26" s="4" t="s">
        <v>61</v>
      </c>
      <c r="AI26" s="4"/>
    </row>
    <row r="27" spans="1:35" ht="18" x14ac:dyDescent="0.3">
      <c r="A27" s="17" t="s">
        <v>98</v>
      </c>
      <c r="B27" s="17"/>
      <c r="C27" s="34" t="s">
        <v>81</v>
      </c>
      <c r="D27" s="19"/>
      <c r="E27" s="19"/>
      <c r="F27" s="35" t="s">
        <v>82</v>
      </c>
      <c r="G27" s="36">
        <v>4.07</v>
      </c>
      <c r="H27" s="19"/>
      <c r="I27" s="48">
        <v>0</v>
      </c>
      <c r="J27" s="38">
        <v>64.56</v>
      </c>
      <c r="K27" s="39"/>
      <c r="L27" s="39"/>
      <c r="M27" s="38">
        <f t="shared" ref="M27:M34" si="7">ROUND(ROUND(J27, 2)*I27, 2)</f>
        <v>0</v>
      </c>
      <c r="N27" s="39"/>
      <c r="O27" s="39"/>
      <c r="P27" s="38">
        <v>64.56</v>
      </c>
      <c r="Q27" s="39"/>
      <c r="R27" s="39"/>
      <c r="S27" s="38">
        <f t="shared" ref="S27:S34" si="8">ROUND(ROUND(P27, 2)*I27, 2)</f>
        <v>0</v>
      </c>
      <c r="T27" s="39"/>
      <c r="U27" s="40"/>
      <c r="V27" s="9">
        <f t="shared" ref="V27:V34" si="9">ROUND(ROUND(P27, 2)/1.2, 2)</f>
        <v>53.8</v>
      </c>
      <c r="Y27" s="9">
        <f t="shared" ref="Y27:Y45" si="10">ROUND(S27 / 1.2, 2)</f>
        <v>0</v>
      </c>
      <c r="AD27" s="4" t="s">
        <v>99</v>
      </c>
      <c r="AE27" s="4" t="s">
        <v>100</v>
      </c>
      <c r="AF27" s="4" t="s">
        <v>85</v>
      </c>
    </row>
    <row r="28" spans="1:35" ht="18" x14ac:dyDescent="0.3">
      <c r="A28" s="23" t="s">
        <v>101</v>
      </c>
      <c r="B28" s="23"/>
      <c r="C28" s="41" t="s">
        <v>81</v>
      </c>
      <c r="D28" s="25"/>
      <c r="E28" s="25"/>
      <c r="F28" s="42" t="s">
        <v>82</v>
      </c>
      <c r="G28" s="43">
        <v>4.07</v>
      </c>
      <c r="H28" s="25"/>
      <c r="I28" s="50">
        <v>103.378</v>
      </c>
      <c r="J28" s="44">
        <v>64.56</v>
      </c>
      <c r="K28" s="45"/>
      <c r="L28" s="45"/>
      <c r="M28" s="44">
        <f t="shared" si="7"/>
        <v>6674.08</v>
      </c>
      <c r="N28" s="45"/>
      <c r="O28" s="45"/>
      <c r="P28" s="44">
        <v>64.56</v>
      </c>
      <c r="Q28" s="45"/>
      <c r="R28" s="45"/>
      <c r="S28" s="44">
        <f t="shared" si="8"/>
        <v>6674.08</v>
      </c>
      <c r="T28" s="45"/>
      <c r="U28" s="46"/>
      <c r="V28" s="9">
        <f t="shared" si="9"/>
        <v>53.8</v>
      </c>
      <c r="Y28" s="9">
        <f t="shared" si="10"/>
        <v>5561.73</v>
      </c>
      <c r="AD28" s="4" t="s">
        <v>102</v>
      </c>
      <c r="AE28" s="4" t="s">
        <v>100</v>
      </c>
      <c r="AF28" s="4" t="s">
        <v>85</v>
      </c>
    </row>
    <row r="29" spans="1:35" ht="18" x14ac:dyDescent="0.3">
      <c r="A29" s="17" t="s">
        <v>103</v>
      </c>
      <c r="B29" s="17"/>
      <c r="C29" s="34" t="s">
        <v>89</v>
      </c>
      <c r="D29" s="19"/>
      <c r="E29" s="19"/>
      <c r="F29" s="35" t="s">
        <v>82</v>
      </c>
      <c r="G29" s="36">
        <v>1.42</v>
      </c>
      <c r="H29" s="19"/>
      <c r="I29" s="48">
        <v>0</v>
      </c>
      <c r="J29" s="38">
        <v>51.63</v>
      </c>
      <c r="K29" s="39"/>
      <c r="L29" s="39"/>
      <c r="M29" s="38">
        <f t="shared" si="7"/>
        <v>0</v>
      </c>
      <c r="N29" s="39"/>
      <c r="O29" s="39"/>
      <c r="P29" s="38">
        <v>51.63</v>
      </c>
      <c r="Q29" s="39"/>
      <c r="R29" s="39"/>
      <c r="S29" s="38">
        <f t="shared" si="8"/>
        <v>0</v>
      </c>
      <c r="T29" s="39"/>
      <c r="U29" s="40"/>
      <c r="V29" s="9">
        <f t="shared" si="9"/>
        <v>43.03</v>
      </c>
      <c r="Y29" s="9">
        <f t="shared" si="10"/>
        <v>0</v>
      </c>
      <c r="AD29" s="4" t="s">
        <v>104</v>
      </c>
      <c r="AE29" s="4" t="s">
        <v>105</v>
      </c>
      <c r="AF29" s="4" t="s">
        <v>92</v>
      </c>
    </row>
    <row r="30" spans="1:35" ht="18" x14ac:dyDescent="0.3">
      <c r="A30" s="23" t="s">
        <v>106</v>
      </c>
      <c r="B30" s="23"/>
      <c r="C30" s="41" t="s">
        <v>89</v>
      </c>
      <c r="D30" s="25"/>
      <c r="E30" s="25"/>
      <c r="F30" s="42" t="s">
        <v>82</v>
      </c>
      <c r="G30" s="43">
        <v>1.42</v>
      </c>
      <c r="H30" s="25"/>
      <c r="I30" s="50">
        <v>36.067999999999998</v>
      </c>
      <c r="J30" s="44">
        <v>51.63</v>
      </c>
      <c r="K30" s="45"/>
      <c r="L30" s="45"/>
      <c r="M30" s="44">
        <f t="shared" si="7"/>
        <v>1862.19</v>
      </c>
      <c r="N30" s="45"/>
      <c r="O30" s="45"/>
      <c r="P30" s="44">
        <v>51.63</v>
      </c>
      <c r="Q30" s="45"/>
      <c r="R30" s="45"/>
      <c r="S30" s="44">
        <f t="shared" si="8"/>
        <v>1862.19</v>
      </c>
      <c r="T30" s="45"/>
      <c r="U30" s="46"/>
      <c r="V30" s="9">
        <f t="shared" si="9"/>
        <v>43.03</v>
      </c>
      <c r="Y30" s="9">
        <f t="shared" si="10"/>
        <v>1551.83</v>
      </c>
      <c r="AD30" s="4" t="s">
        <v>107</v>
      </c>
      <c r="AE30" s="4" t="s">
        <v>105</v>
      </c>
      <c r="AF30" s="4" t="s">
        <v>92</v>
      </c>
    </row>
    <row r="31" spans="1:35" ht="36" x14ac:dyDescent="0.3">
      <c r="A31" s="17" t="s">
        <v>108</v>
      </c>
      <c r="B31" s="17"/>
      <c r="C31" s="34" t="s">
        <v>109</v>
      </c>
      <c r="D31" s="19"/>
      <c r="E31" s="19"/>
      <c r="F31" s="35" t="s">
        <v>59</v>
      </c>
      <c r="G31" s="36">
        <v>2.1</v>
      </c>
      <c r="H31" s="19"/>
      <c r="I31" s="37">
        <v>0</v>
      </c>
      <c r="J31" s="38">
        <v>135.53</v>
      </c>
      <c r="K31" s="39"/>
      <c r="L31" s="39"/>
      <c r="M31" s="38">
        <f t="shared" si="7"/>
        <v>0</v>
      </c>
      <c r="N31" s="39"/>
      <c r="O31" s="39"/>
      <c r="P31" s="38">
        <v>1520.33</v>
      </c>
      <c r="Q31" s="39"/>
      <c r="R31" s="39"/>
      <c r="S31" s="38">
        <f t="shared" si="8"/>
        <v>0</v>
      </c>
      <c r="T31" s="39"/>
      <c r="U31" s="40"/>
      <c r="V31" s="9">
        <f t="shared" si="9"/>
        <v>1266.94</v>
      </c>
      <c r="Y31" s="9">
        <f t="shared" si="10"/>
        <v>0</v>
      </c>
      <c r="AD31" s="4" t="s">
        <v>110</v>
      </c>
      <c r="AE31" s="4" t="s">
        <v>111</v>
      </c>
      <c r="AF31" s="4" t="s">
        <v>112</v>
      </c>
    </row>
    <row r="32" spans="1:35" ht="36" x14ac:dyDescent="0.3">
      <c r="A32" s="23" t="s">
        <v>113</v>
      </c>
      <c r="B32" s="23"/>
      <c r="C32" s="41" t="s">
        <v>109</v>
      </c>
      <c r="D32" s="25"/>
      <c r="E32" s="25" t="s">
        <v>114</v>
      </c>
      <c r="F32" s="42" t="s">
        <v>59</v>
      </c>
      <c r="G32" s="43">
        <v>2.1</v>
      </c>
      <c r="H32" s="25"/>
      <c r="I32" s="43">
        <v>53.34</v>
      </c>
      <c r="J32" s="44">
        <v>135.53</v>
      </c>
      <c r="K32" s="45"/>
      <c r="L32" s="45"/>
      <c r="M32" s="44">
        <f t="shared" si="7"/>
        <v>7229.17</v>
      </c>
      <c r="N32" s="45"/>
      <c r="O32" s="45"/>
      <c r="P32" s="44">
        <v>1520.33</v>
      </c>
      <c r="Q32" s="45"/>
      <c r="R32" s="45"/>
      <c r="S32" s="44">
        <f t="shared" si="8"/>
        <v>81094.399999999994</v>
      </c>
      <c r="T32" s="45"/>
      <c r="U32" s="46"/>
      <c r="V32" s="9">
        <f t="shared" si="9"/>
        <v>1266.94</v>
      </c>
      <c r="Y32" s="9">
        <f t="shared" si="10"/>
        <v>67578.67</v>
      </c>
      <c r="AD32" s="4" t="s">
        <v>115</v>
      </c>
      <c r="AE32" s="4" t="s">
        <v>111</v>
      </c>
      <c r="AF32" s="4" t="s">
        <v>112</v>
      </c>
    </row>
    <row r="33" spans="1:35" ht="72" x14ac:dyDescent="0.3">
      <c r="A33" s="17" t="s">
        <v>116</v>
      </c>
      <c r="B33" s="17"/>
      <c r="C33" s="34" t="s">
        <v>66</v>
      </c>
      <c r="D33" s="19"/>
      <c r="E33" s="19"/>
      <c r="F33" s="35" t="s">
        <v>67</v>
      </c>
      <c r="G33" s="36">
        <v>1</v>
      </c>
      <c r="H33" s="19"/>
      <c r="I33" s="37">
        <v>0</v>
      </c>
      <c r="J33" s="38">
        <v>102.33</v>
      </c>
      <c r="K33" s="39"/>
      <c r="L33" s="39"/>
      <c r="M33" s="38">
        <f t="shared" si="7"/>
        <v>0</v>
      </c>
      <c r="N33" s="39"/>
      <c r="O33" s="39"/>
      <c r="P33" s="38">
        <v>102.33</v>
      </c>
      <c r="Q33" s="39"/>
      <c r="R33" s="39"/>
      <c r="S33" s="38">
        <f t="shared" si="8"/>
        <v>0</v>
      </c>
      <c r="T33" s="39"/>
      <c r="U33" s="40"/>
      <c r="V33" s="9">
        <f t="shared" si="9"/>
        <v>85.28</v>
      </c>
      <c r="Y33" s="9">
        <f t="shared" si="10"/>
        <v>0</v>
      </c>
      <c r="AD33" s="4" t="s">
        <v>117</v>
      </c>
      <c r="AE33" s="4" t="s">
        <v>118</v>
      </c>
      <c r="AF33" s="4" t="s">
        <v>70</v>
      </c>
    </row>
    <row r="34" spans="1:35" ht="72" x14ac:dyDescent="0.3">
      <c r="A34" s="23" t="s">
        <v>119</v>
      </c>
      <c r="B34" s="23"/>
      <c r="C34" s="41" t="s">
        <v>66</v>
      </c>
      <c r="D34" s="25"/>
      <c r="E34" s="25"/>
      <c r="F34" s="42" t="s">
        <v>67</v>
      </c>
      <c r="G34" s="43">
        <v>1</v>
      </c>
      <c r="H34" s="25"/>
      <c r="I34" s="43">
        <v>25.4</v>
      </c>
      <c r="J34" s="44">
        <v>102.33</v>
      </c>
      <c r="K34" s="45"/>
      <c r="L34" s="45"/>
      <c r="M34" s="44">
        <f t="shared" si="7"/>
        <v>2599.1799999999998</v>
      </c>
      <c r="N34" s="45"/>
      <c r="O34" s="45"/>
      <c r="P34" s="44">
        <v>102.33</v>
      </c>
      <c r="Q34" s="45"/>
      <c r="R34" s="45"/>
      <c r="S34" s="44">
        <f t="shared" si="8"/>
        <v>2599.1799999999998</v>
      </c>
      <c r="T34" s="45"/>
      <c r="U34" s="46"/>
      <c r="V34" s="9">
        <f t="shared" si="9"/>
        <v>85.28</v>
      </c>
      <c r="Y34" s="9">
        <f t="shared" si="10"/>
        <v>2165.98</v>
      </c>
      <c r="AD34" s="4" t="s">
        <v>120</v>
      </c>
      <c r="AE34" s="4" t="s">
        <v>118</v>
      </c>
      <c r="AF34" s="4" t="s">
        <v>70</v>
      </c>
    </row>
    <row r="35" spans="1:35" ht="162" x14ac:dyDescent="0.3">
      <c r="A35" s="51" t="s">
        <v>121</v>
      </c>
      <c r="B35" s="51" t="s">
        <v>57</v>
      </c>
      <c r="C35" s="52" t="s">
        <v>58</v>
      </c>
      <c r="D35" s="53"/>
      <c r="E35" s="53" t="s">
        <v>64</v>
      </c>
      <c r="F35" s="53" t="s">
        <v>59</v>
      </c>
      <c r="G35" s="54">
        <v>1</v>
      </c>
      <c r="H35" s="53"/>
      <c r="I35" s="54">
        <v>6.3</v>
      </c>
      <c r="J35" s="55">
        <f>IFERROR(ROUND(SUM(M36,M37,M38,M39)/I35, 2),0)</f>
        <v>877.62</v>
      </c>
      <c r="K35" s="55">
        <v>2293</v>
      </c>
      <c r="L35" s="55">
        <f>J35+ROUND(K35, 2)</f>
        <v>3170.62</v>
      </c>
      <c r="M35" s="55">
        <f>ROUND(J35*I35, 2)</f>
        <v>5529.01</v>
      </c>
      <c r="N35" s="55">
        <f>ROUND(I35*ROUND(K35, 2), 2)</f>
        <v>14445.9</v>
      </c>
      <c r="O35" s="55">
        <f>M35+N35</f>
        <v>19974.91</v>
      </c>
      <c r="P35" s="55">
        <f>IFERROR(ROUND(SUM(S36,S37,S38,S39)/I35, 2),0)</f>
        <v>877.6</v>
      </c>
      <c r="Q35" s="55">
        <v>3439.5</v>
      </c>
      <c r="R35" s="55">
        <f>P35+ROUND(Q35, 2)</f>
        <v>4317.1000000000004</v>
      </c>
      <c r="S35" s="55">
        <f>ROUND(P35*I35, 2)</f>
        <v>5528.88</v>
      </c>
      <c r="T35" s="55">
        <f>ROUND(I35*ROUND(Q35, 2), 2)</f>
        <v>21668.85</v>
      </c>
      <c r="U35" s="55">
        <f>S35+T35</f>
        <v>27197.73</v>
      </c>
      <c r="V35" s="9">
        <f>ROUND(P35 / 1.2, 2)</f>
        <v>731.33</v>
      </c>
      <c r="W35" s="9">
        <f>ROUND(Q35 / 1.2, 2)</f>
        <v>2866.25</v>
      </c>
      <c r="X35" s="9">
        <f>ROUND(R35 / 1.2, 2)</f>
        <v>3597.58</v>
      </c>
      <c r="Y35" s="9">
        <f t="shared" si="10"/>
        <v>4607.3999999999996</v>
      </c>
      <c r="Z35" s="9">
        <f>ROUND(T35 / 1.2, 2)</f>
        <v>18057.38</v>
      </c>
      <c r="AA35" s="9">
        <f>Y35+Z35</f>
        <v>22664.78</v>
      </c>
      <c r="AD35" s="4">
        <v>304337594</v>
      </c>
      <c r="AE35" s="4">
        <v>20839231</v>
      </c>
      <c r="AG35" s="4" t="s">
        <v>60</v>
      </c>
      <c r="AH35" s="4" t="s">
        <v>61</v>
      </c>
      <c r="AI35" s="4" t="s">
        <v>62</v>
      </c>
    </row>
    <row r="36" spans="1:35" ht="72" x14ac:dyDescent="0.3">
      <c r="A36" s="51" t="s">
        <v>122</v>
      </c>
      <c r="B36" s="51"/>
      <c r="C36" s="56" t="s">
        <v>66</v>
      </c>
      <c r="D36" s="53"/>
      <c r="E36" s="53"/>
      <c r="F36" s="57" t="s">
        <v>67</v>
      </c>
      <c r="G36" s="58">
        <v>1</v>
      </c>
      <c r="H36" s="53"/>
      <c r="I36" s="58">
        <v>6.3</v>
      </c>
      <c r="J36" s="59">
        <v>102.34</v>
      </c>
      <c r="K36" s="60"/>
      <c r="L36" s="60"/>
      <c r="M36" s="59">
        <f>ROUND(ROUND(J36, 2)*I36, 2)</f>
        <v>644.74</v>
      </c>
      <c r="N36" s="60"/>
      <c r="O36" s="60"/>
      <c r="P36" s="59">
        <v>102.33</v>
      </c>
      <c r="Q36" s="60"/>
      <c r="R36" s="60"/>
      <c r="S36" s="59">
        <f>ROUND(ROUND(P36, 2)*I36, 2)</f>
        <v>644.67999999999995</v>
      </c>
      <c r="T36" s="60"/>
      <c r="U36" s="61"/>
      <c r="V36" s="9">
        <f>ROUND(ROUND(P36, 2)/1.2, 2)</f>
        <v>85.28</v>
      </c>
      <c r="Y36" s="9">
        <f t="shared" si="10"/>
        <v>537.23</v>
      </c>
      <c r="AD36" s="4" t="s">
        <v>123</v>
      </c>
      <c r="AE36" s="4" t="s">
        <v>124</v>
      </c>
      <c r="AF36" s="4" t="s">
        <v>70</v>
      </c>
    </row>
    <row r="37" spans="1:35" ht="36" x14ac:dyDescent="0.3">
      <c r="A37" s="51" t="s">
        <v>125</v>
      </c>
      <c r="B37" s="51"/>
      <c r="C37" s="47" t="s">
        <v>74</v>
      </c>
      <c r="D37" s="53"/>
      <c r="E37" s="53"/>
      <c r="F37" s="57" t="s">
        <v>59</v>
      </c>
      <c r="G37" s="58">
        <v>4.2</v>
      </c>
      <c r="H37" s="53"/>
      <c r="I37" s="58">
        <v>26.46</v>
      </c>
      <c r="J37" s="59">
        <v>104.57</v>
      </c>
      <c r="K37" s="60"/>
      <c r="L37" s="60"/>
      <c r="M37" s="59">
        <f>ROUND(ROUND(J37, 2)*I37, 2)</f>
        <v>2766.92</v>
      </c>
      <c r="N37" s="60"/>
      <c r="O37" s="60"/>
      <c r="P37" s="59">
        <v>104.57</v>
      </c>
      <c r="Q37" s="60"/>
      <c r="R37" s="60"/>
      <c r="S37" s="59">
        <f>ROUND(ROUND(P37, 2)*I37, 2)</f>
        <v>2766.92</v>
      </c>
      <c r="T37" s="60"/>
      <c r="U37" s="61"/>
      <c r="V37" s="9">
        <f>ROUND(ROUND(P37, 2)/1.2, 2)</f>
        <v>87.14</v>
      </c>
      <c r="Y37" s="9">
        <f t="shared" si="10"/>
        <v>2305.77</v>
      </c>
      <c r="AD37" s="4" t="s">
        <v>126</v>
      </c>
      <c r="AE37" s="4" t="s">
        <v>127</v>
      </c>
      <c r="AF37" s="4" t="s">
        <v>77</v>
      </c>
    </row>
    <row r="38" spans="1:35" ht="18" x14ac:dyDescent="0.3">
      <c r="A38" s="51" t="s">
        <v>128</v>
      </c>
      <c r="B38" s="51"/>
      <c r="C38" s="47" t="s">
        <v>81</v>
      </c>
      <c r="D38" s="53"/>
      <c r="E38" s="53"/>
      <c r="F38" s="57" t="s">
        <v>82</v>
      </c>
      <c r="G38" s="58">
        <v>4.07</v>
      </c>
      <c r="H38" s="53"/>
      <c r="I38" s="62">
        <v>25.640999999999998</v>
      </c>
      <c r="J38" s="59">
        <v>64.56</v>
      </c>
      <c r="K38" s="60"/>
      <c r="L38" s="60"/>
      <c r="M38" s="59">
        <f>ROUND(ROUND(J38, 2)*I38, 2)</f>
        <v>1655.38</v>
      </c>
      <c r="N38" s="60"/>
      <c r="O38" s="60"/>
      <c r="P38" s="59">
        <v>64.56</v>
      </c>
      <c r="Q38" s="60"/>
      <c r="R38" s="60"/>
      <c r="S38" s="59">
        <f>ROUND(ROUND(P38, 2)*I38, 2)</f>
        <v>1655.38</v>
      </c>
      <c r="T38" s="60"/>
      <c r="U38" s="61"/>
      <c r="V38" s="9">
        <f>ROUND(ROUND(P38, 2)/1.2, 2)</f>
        <v>53.8</v>
      </c>
      <c r="Y38" s="9">
        <f t="shared" si="10"/>
        <v>1379.48</v>
      </c>
      <c r="AD38" s="4" t="s">
        <v>129</v>
      </c>
      <c r="AE38" s="4" t="s">
        <v>130</v>
      </c>
      <c r="AF38" s="4" t="s">
        <v>85</v>
      </c>
    </row>
    <row r="39" spans="1:35" ht="18" x14ac:dyDescent="0.3">
      <c r="A39" s="51" t="s">
        <v>131</v>
      </c>
      <c r="B39" s="51"/>
      <c r="C39" s="47" t="s">
        <v>89</v>
      </c>
      <c r="D39" s="53"/>
      <c r="E39" s="53"/>
      <c r="F39" s="57" t="s">
        <v>82</v>
      </c>
      <c r="G39" s="58">
        <v>1.42</v>
      </c>
      <c r="H39" s="53"/>
      <c r="I39" s="62">
        <v>8.9459999999999997</v>
      </c>
      <c r="J39" s="59">
        <v>51.64</v>
      </c>
      <c r="K39" s="60"/>
      <c r="L39" s="60"/>
      <c r="M39" s="59">
        <f>ROUND(ROUND(J39, 2)*I39, 2)</f>
        <v>461.97</v>
      </c>
      <c r="N39" s="60"/>
      <c r="O39" s="60"/>
      <c r="P39" s="59">
        <v>51.63</v>
      </c>
      <c r="Q39" s="60"/>
      <c r="R39" s="60"/>
      <c r="S39" s="59">
        <f>ROUND(ROUND(P39, 2)*I39, 2)</f>
        <v>461.88</v>
      </c>
      <c r="T39" s="60"/>
      <c r="U39" s="61"/>
      <c r="V39" s="9">
        <f>ROUND(ROUND(P39, 2)/1.2, 2)</f>
        <v>43.03</v>
      </c>
      <c r="Y39" s="9">
        <f t="shared" si="10"/>
        <v>384.9</v>
      </c>
      <c r="AD39" s="4" t="s">
        <v>132</v>
      </c>
      <c r="AE39" s="4" t="s">
        <v>133</v>
      </c>
      <c r="AF39" s="4" t="s">
        <v>92</v>
      </c>
    </row>
    <row r="40" spans="1:35" ht="198" x14ac:dyDescent="0.3">
      <c r="A40" s="51" t="s">
        <v>134</v>
      </c>
      <c r="B40" s="51" t="s">
        <v>57</v>
      </c>
      <c r="C40" s="52" t="s">
        <v>58</v>
      </c>
      <c r="D40" s="53"/>
      <c r="E40" s="53" t="s">
        <v>97</v>
      </c>
      <c r="F40" s="53" t="s">
        <v>59</v>
      </c>
      <c r="G40" s="54">
        <v>1</v>
      </c>
      <c r="H40" s="53"/>
      <c r="I40" s="54">
        <v>25.4</v>
      </c>
      <c r="J40" s="55">
        <f>IFERROR(ROUND(SUM(M41,M42,M43,M44)/I40, 2),0)</f>
        <v>723.04</v>
      </c>
      <c r="K40" s="55">
        <v>2293</v>
      </c>
      <c r="L40" s="55">
        <f>J40+ROUND(K40, 2)</f>
        <v>3016.04</v>
      </c>
      <c r="M40" s="55">
        <f>ROUND(J40*I40, 2)</f>
        <v>18365.22</v>
      </c>
      <c r="N40" s="55">
        <f>ROUND(I40*ROUND(K40, 2), 2)</f>
        <v>58242.2</v>
      </c>
      <c r="O40" s="55">
        <f>M40+N40</f>
        <v>76607.42</v>
      </c>
      <c r="P40" s="55">
        <f>IFERROR(ROUND(SUM(S41,S42,S43,S44)/I40, 2),0)</f>
        <v>3631.1</v>
      </c>
      <c r="Q40" s="55">
        <v>3439.5</v>
      </c>
      <c r="R40" s="55">
        <f>P40+ROUND(Q40, 2)</f>
        <v>7070.6</v>
      </c>
      <c r="S40" s="55">
        <f>ROUND(P40*I40, 2)</f>
        <v>92229.94</v>
      </c>
      <c r="T40" s="55">
        <f>ROUND(I40*ROUND(Q40, 2), 2)</f>
        <v>87363.3</v>
      </c>
      <c r="U40" s="55">
        <f>S40+T40</f>
        <v>179593.24</v>
      </c>
      <c r="V40" s="9">
        <f>ROUND(P40 / 1.2, 2)</f>
        <v>3025.92</v>
      </c>
      <c r="W40" s="9">
        <f>ROUND(Q40 / 1.2, 2)</f>
        <v>2866.25</v>
      </c>
      <c r="X40" s="9">
        <f>ROUND(R40 / 1.2, 2)</f>
        <v>5892.17</v>
      </c>
      <c r="Y40" s="9">
        <f t="shared" si="10"/>
        <v>76858.28</v>
      </c>
      <c r="Z40" s="9">
        <f>ROUND(T40 / 1.2, 2)</f>
        <v>72802.75</v>
      </c>
      <c r="AA40" s="9">
        <f>Y40+Z40</f>
        <v>149661.03</v>
      </c>
      <c r="AD40" s="4">
        <v>304337595</v>
      </c>
      <c r="AE40" s="4">
        <v>20839232</v>
      </c>
      <c r="AG40" s="4" t="s">
        <v>60</v>
      </c>
      <c r="AH40" s="4" t="s">
        <v>61</v>
      </c>
      <c r="AI40" s="4" t="s">
        <v>62</v>
      </c>
    </row>
    <row r="41" spans="1:35" ht="18" x14ac:dyDescent="0.3">
      <c r="A41" s="51" t="s">
        <v>135</v>
      </c>
      <c r="B41" s="51"/>
      <c r="C41" s="47" t="s">
        <v>81</v>
      </c>
      <c r="D41" s="53"/>
      <c r="E41" s="53"/>
      <c r="F41" s="57" t="s">
        <v>82</v>
      </c>
      <c r="G41" s="58">
        <v>4.07</v>
      </c>
      <c r="H41" s="53"/>
      <c r="I41" s="62">
        <v>103.378</v>
      </c>
      <c r="J41" s="59">
        <v>64.56</v>
      </c>
      <c r="K41" s="60"/>
      <c r="L41" s="60"/>
      <c r="M41" s="59">
        <f>ROUND(ROUND(J41, 2)*I41, 2)</f>
        <v>6674.08</v>
      </c>
      <c r="N41" s="60"/>
      <c r="O41" s="60"/>
      <c r="P41" s="59">
        <v>64.56</v>
      </c>
      <c r="Q41" s="60"/>
      <c r="R41" s="60"/>
      <c r="S41" s="59">
        <f>ROUND(ROUND(P41, 2)*I41, 2)</f>
        <v>6674.08</v>
      </c>
      <c r="T41" s="60"/>
      <c r="U41" s="61"/>
      <c r="V41" s="9">
        <f>ROUND(ROUND(P41, 2)/1.2, 2)</f>
        <v>53.8</v>
      </c>
      <c r="Y41" s="9">
        <f t="shared" si="10"/>
        <v>5561.73</v>
      </c>
      <c r="AD41" s="4" t="s">
        <v>136</v>
      </c>
      <c r="AE41" s="4" t="s">
        <v>137</v>
      </c>
      <c r="AF41" s="4" t="s">
        <v>85</v>
      </c>
    </row>
    <row r="42" spans="1:35" ht="18" x14ac:dyDescent="0.3">
      <c r="A42" s="51" t="s">
        <v>138</v>
      </c>
      <c r="B42" s="51"/>
      <c r="C42" s="47" t="s">
        <v>89</v>
      </c>
      <c r="D42" s="53"/>
      <c r="E42" s="53"/>
      <c r="F42" s="57" t="s">
        <v>82</v>
      </c>
      <c r="G42" s="58">
        <v>1.42</v>
      </c>
      <c r="H42" s="53"/>
      <c r="I42" s="62">
        <v>36.067999999999998</v>
      </c>
      <c r="J42" s="59">
        <v>51.64</v>
      </c>
      <c r="K42" s="60"/>
      <c r="L42" s="60"/>
      <c r="M42" s="59">
        <f>ROUND(ROUND(J42, 2)*I42, 2)</f>
        <v>1862.55</v>
      </c>
      <c r="N42" s="60"/>
      <c r="O42" s="60"/>
      <c r="P42" s="59">
        <v>51.63</v>
      </c>
      <c r="Q42" s="60"/>
      <c r="R42" s="60"/>
      <c r="S42" s="59">
        <f>ROUND(ROUND(P42, 2)*I42, 2)</f>
        <v>1862.19</v>
      </c>
      <c r="T42" s="60"/>
      <c r="U42" s="61"/>
      <c r="V42" s="9">
        <f>ROUND(ROUND(P42, 2)/1.2, 2)</f>
        <v>43.03</v>
      </c>
      <c r="Y42" s="9">
        <f t="shared" si="10"/>
        <v>1551.83</v>
      </c>
      <c r="AD42" s="4" t="s">
        <v>139</v>
      </c>
      <c r="AE42" s="4" t="s">
        <v>140</v>
      </c>
      <c r="AF42" s="4" t="s">
        <v>92</v>
      </c>
    </row>
    <row r="43" spans="1:35" ht="36" x14ac:dyDescent="0.3">
      <c r="A43" s="51" t="s">
        <v>141</v>
      </c>
      <c r="B43" s="51"/>
      <c r="C43" s="56" t="s">
        <v>109</v>
      </c>
      <c r="D43" s="53"/>
      <c r="E43" s="53" t="s">
        <v>114</v>
      </c>
      <c r="F43" s="57" t="s">
        <v>59</v>
      </c>
      <c r="G43" s="58">
        <v>2.1</v>
      </c>
      <c r="H43" s="53"/>
      <c r="I43" s="58">
        <v>53.34</v>
      </c>
      <c r="J43" s="59">
        <v>135.53</v>
      </c>
      <c r="K43" s="60"/>
      <c r="L43" s="60"/>
      <c r="M43" s="59">
        <f>ROUND(ROUND(J43, 2)*I43, 2)</f>
        <v>7229.17</v>
      </c>
      <c r="N43" s="60"/>
      <c r="O43" s="60"/>
      <c r="P43" s="59">
        <v>1520.33</v>
      </c>
      <c r="Q43" s="60"/>
      <c r="R43" s="60"/>
      <c r="S43" s="59">
        <f>ROUND(ROUND(P43, 2)*I43, 2)</f>
        <v>81094.399999999994</v>
      </c>
      <c r="T43" s="60"/>
      <c r="U43" s="61"/>
      <c r="V43" s="9">
        <f>ROUND(ROUND(P43, 2)/1.2, 2)</f>
        <v>1266.94</v>
      </c>
      <c r="Y43" s="9">
        <f t="shared" si="10"/>
        <v>67578.67</v>
      </c>
      <c r="AD43" s="4" t="s">
        <v>142</v>
      </c>
      <c r="AE43" s="4" t="s">
        <v>143</v>
      </c>
      <c r="AF43" s="4" t="s">
        <v>112</v>
      </c>
    </row>
    <row r="44" spans="1:35" ht="72" x14ac:dyDescent="0.3">
      <c r="A44" s="51" t="s">
        <v>144</v>
      </c>
      <c r="B44" s="51"/>
      <c r="C44" s="56" t="s">
        <v>66</v>
      </c>
      <c r="D44" s="53"/>
      <c r="E44" s="53"/>
      <c r="F44" s="57" t="s">
        <v>67</v>
      </c>
      <c r="G44" s="58">
        <v>1</v>
      </c>
      <c r="H44" s="53"/>
      <c r="I44" s="58">
        <v>25.4</v>
      </c>
      <c r="J44" s="59">
        <v>102.34</v>
      </c>
      <c r="K44" s="60"/>
      <c r="L44" s="60"/>
      <c r="M44" s="59">
        <f>ROUND(ROUND(J44, 2)*I44, 2)</f>
        <v>2599.44</v>
      </c>
      <c r="N44" s="60"/>
      <c r="O44" s="60"/>
      <c r="P44" s="59">
        <v>102.33</v>
      </c>
      <c r="Q44" s="60"/>
      <c r="R44" s="60"/>
      <c r="S44" s="59">
        <f>ROUND(ROUND(P44, 2)*I44, 2)</f>
        <v>2599.1799999999998</v>
      </c>
      <c r="T44" s="60"/>
      <c r="U44" s="61"/>
      <c r="V44" s="9">
        <f>ROUND(ROUND(P44, 2)/1.2, 2)</f>
        <v>85.28</v>
      </c>
      <c r="Y44" s="9">
        <f t="shared" si="10"/>
        <v>2165.98</v>
      </c>
      <c r="AD44" s="4" t="s">
        <v>145</v>
      </c>
      <c r="AE44" s="4" t="s">
        <v>146</v>
      </c>
      <c r="AF44" s="4" t="s">
        <v>70</v>
      </c>
    </row>
    <row r="45" spans="1:35" ht="36" x14ac:dyDescent="0.3">
      <c r="A45" s="17" t="s">
        <v>147</v>
      </c>
      <c r="B45" s="17" t="s">
        <v>148</v>
      </c>
      <c r="C45" s="18" t="s">
        <v>149</v>
      </c>
      <c r="D45" s="19" t="s">
        <v>150</v>
      </c>
      <c r="E45" s="19"/>
      <c r="F45" s="19" t="s">
        <v>59</v>
      </c>
      <c r="G45" s="20">
        <v>1</v>
      </c>
      <c r="H45" s="19"/>
      <c r="I45" s="21">
        <v>0</v>
      </c>
      <c r="J45" s="22">
        <f>IFERROR(ROUND(SUM(M47,M49,M51,M53)/I45, 2),0)</f>
        <v>0</v>
      </c>
      <c r="K45" s="22">
        <v>1064</v>
      </c>
      <c r="L45" s="22">
        <f>J45+ROUND(K45, 2)</f>
        <v>1064</v>
      </c>
      <c r="M45" s="22">
        <f>ROUND(J45*I45, 2)</f>
        <v>0</v>
      </c>
      <c r="N45" s="22">
        <f>ROUND(I45*ROUND(K45, 2), 2)</f>
        <v>0</v>
      </c>
      <c r="O45" s="22">
        <f>M45+N45</f>
        <v>0</v>
      </c>
      <c r="P45" s="22">
        <f>IFERROR(ROUND(SUM(S47,S49,S51,S53)/I45, 2),0)</f>
        <v>0</v>
      </c>
      <c r="Q45" s="22">
        <v>1064</v>
      </c>
      <c r="R45" s="22">
        <f>P45+ROUND(Q45, 2)</f>
        <v>1064</v>
      </c>
      <c r="S45" s="22">
        <f>ROUND(P45*I45, 2)</f>
        <v>0</v>
      </c>
      <c r="T45" s="22">
        <f>ROUND(I45*ROUND(Q45, 2), 2)</f>
        <v>0</v>
      </c>
      <c r="U45" s="22">
        <f>S45+T45</f>
        <v>0</v>
      </c>
      <c r="V45" s="9">
        <f>ROUND(P45 / 1.2, 2)</f>
        <v>0</v>
      </c>
      <c r="W45" s="9">
        <f>ROUND(Q45 / 1.2, 2)</f>
        <v>886.67</v>
      </c>
      <c r="X45" s="9">
        <f>ROUND(R45 / 1.2, 2)</f>
        <v>886.67</v>
      </c>
      <c r="Y45" s="9">
        <f t="shared" si="10"/>
        <v>0</v>
      </c>
      <c r="Z45" s="9">
        <f>ROUND(T45 / 1.2, 2)</f>
        <v>0</v>
      </c>
      <c r="AA45" s="9">
        <f>Y45+Z45</f>
        <v>0</v>
      </c>
      <c r="AD45" s="4">
        <v>304337533</v>
      </c>
      <c r="AE45" s="4">
        <v>21096611</v>
      </c>
      <c r="AG45" s="4" t="s">
        <v>151</v>
      </c>
      <c r="AH45" s="4" t="s">
        <v>152</v>
      </c>
      <c r="AI45" s="4" t="s">
        <v>62</v>
      </c>
    </row>
    <row r="46" spans="1:35" ht="144" x14ac:dyDescent="0.3">
      <c r="A46" s="23" t="s">
        <v>153</v>
      </c>
      <c r="B46" s="23" t="s">
        <v>148</v>
      </c>
      <c r="C46" s="24" t="s">
        <v>149</v>
      </c>
      <c r="D46" s="25" t="s">
        <v>150</v>
      </c>
      <c r="E46" s="25" t="s">
        <v>154</v>
      </c>
      <c r="F46" s="25" t="s">
        <v>59</v>
      </c>
      <c r="G46" s="26">
        <v>1</v>
      </c>
      <c r="H46" s="25"/>
      <c r="I46" s="26">
        <v>45.4</v>
      </c>
      <c r="J46" s="27">
        <v>0</v>
      </c>
      <c r="K46" s="27">
        <v>1064</v>
      </c>
      <c r="L46" s="27"/>
      <c r="M46" s="27">
        <v>0</v>
      </c>
      <c r="N46" s="27"/>
      <c r="O46" s="27"/>
      <c r="P46" s="27">
        <v>0</v>
      </c>
      <c r="Q46" s="27">
        <v>1064</v>
      </c>
      <c r="R46" s="27"/>
      <c r="S46" s="27">
        <v>0</v>
      </c>
      <c r="T46" s="27"/>
      <c r="U46" s="27"/>
      <c r="V46" s="9"/>
      <c r="W46" s="9">
        <f>ROUND(Q46 / 1.2, 2)</f>
        <v>886.67</v>
      </c>
      <c r="X46" s="9" t="e">
        <f>ROUND(R46 / 1.2, 2)</f>
        <v>#VALUE!</v>
      </c>
      <c r="Y46" s="9"/>
      <c r="Z46" s="9" t="e">
        <f>ROUND(T46 / 1.2, 2)</f>
        <v>#VALUE!</v>
      </c>
      <c r="AA46" s="9"/>
      <c r="AD46" s="4">
        <v>278420212</v>
      </c>
      <c r="AE46" s="4">
        <v>21096611</v>
      </c>
      <c r="AG46" s="4" t="s">
        <v>151</v>
      </c>
      <c r="AH46" s="4" t="s">
        <v>152</v>
      </c>
      <c r="AI46" s="4"/>
    </row>
    <row r="47" spans="1:35" ht="72" x14ac:dyDescent="0.3">
      <c r="A47" s="17" t="s">
        <v>155</v>
      </c>
      <c r="B47" s="17"/>
      <c r="C47" s="34" t="s">
        <v>156</v>
      </c>
      <c r="D47" s="19"/>
      <c r="E47" s="19"/>
      <c r="F47" s="35" t="s">
        <v>67</v>
      </c>
      <c r="G47" s="36">
        <v>1</v>
      </c>
      <c r="H47" s="19"/>
      <c r="I47" s="37">
        <v>0</v>
      </c>
      <c r="J47" s="38">
        <v>43.7</v>
      </c>
      <c r="K47" s="39"/>
      <c r="L47" s="39"/>
      <c r="M47" s="38">
        <f t="shared" ref="M47:M54" si="11">ROUND(ROUND(J47, 2)*I47, 2)</f>
        <v>0</v>
      </c>
      <c r="N47" s="39"/>
      <c r="O47" s="39"/>
      <c r="P47" s="38">
        <v>43.7</v>
      </c>
      <c r="Q47" s="39"/>
      <c r="R47" s="39"/>
      <c r="S47" s="38">
        <f t="shared" ref="S47:S54" si="12">ROUND(ROUND(P47, 2)*I47, 2)</f>
        <v>0</v>
      </c>
      <c r="T47" s="39"/>
      <c r="U47" s="40"/>
      <c r="V47" s="9">
        <f t="shared" ref="V47:V54" si="13">ROUND(ROUND(P47, 2)/1.2, 2)</f>
        <v>36.42</v>
      </c>
      <c r="Y47" s="9">
        <f t="shared" ref="Y47:Y60" si="14">ROUND(S47 / 1.2, 2)</f>
        <v>0</v>
      </c>
      <c r="AD47" s="4" t="s">
        <v>157</v>
      </c>
      <c r="AE47" s="4" t="s">
        <v>158</v>
      </c>
      <c r="AF47" s="4" t="s">
        <v>159</v>
      </c>
    </row>
    <row r="48" spans="1:35" ht="72" x14ac:dyDescent="0.3">
      <c r="A48" s="23" t="s">
        <v>160</v>
      </c>
      <c r="B48" s="23"/>
      <c r="C48" s="41" t="s">
        <v>156</v>
      </c>
      <c r="D48" s="25"/>
      <c r="E48" s="25"/>
      <c r="F48" s="42" t="s">
        <v>67</v>
      </c>
      <c r="G48" s="43">
        <v>1</v>
      </c>
      <c r="H48" s="25"/>
      <c r="I48" s="43">
        <v>45.4</v>
      </c>
      <c r="J48" s="44">
        <v>43.7</v>
      </c>
      <c r="K48" s="45"/>
      <c r="L48" s="45"/>
      <c r="M48" s="44">
        <f t="shared" si="11"/>
        <v>1983.98</v>
      </c>
      <c r="N48" s="45"/>
      <c r="O48" s="45"/>
      <c r="P48" s="44">
        <v>43.7</v>
      </c>
      <c r="Q48" s="45"/>
      <c r="R48" s="45"/>
      <c r="S48" s="44">
        <f t="shared" si="12"/>
        <v>1983.98</v>
      </c>
      <c r="T48" s="45"/>
      <c r="U48" s="46"/>
      <c r="V48" s="9">
        <f t="shared" si="13"/>
        <v>36.42</v>
      </c>
      <c r="Y48" s="9">
        <f t="shared" si="14"/>
        <v>1653.32</v>
      </c>
      <c r="AD48" s="4" t="s">
        <v>161</v>
      </c>
      <c r="AE48" s="4" t="s">
        <v>158</v>
      </c>
      <c r="AF48" s="4" t="s">
        <v>159</v>
      </c>
    </row>
    <row r="49" spans="1:35" ht="36" x14ac:dyDescent="0.3">
      <c r="A49" s="17" t="s">
        <v>162</v>
      </c>
      <c r="B49" s="17"/>
      <c r="C49" s="34" t="s">
        <v>163</v>
      </c>
      <c r="D49" s="19"/>
      <c r="E49" s="19"/>
      <c r="F49" s="35" t="s">
        <v>59</v>
      </c>
      <c r="G49" s="36">
        <v>1.2</v>
      </c>
      <c r="H49" s="19"/>
      <c r="I49" s="37">
        <v>0</v>
      </c>
      <c r="J49" s="38">
        <v>104.57</v>
      </c>
      <c r="K49" s="39"/>
      <c r="L49" s="39"/>
      <c r="M49" s="38">
        <f t="shared" si="11"/>
        <v>0</v>
      </c>
      <c r="N49" s="39"/>
      <c r="O49" s="39"/>
      <c r="P49" s="38">
        <v>104.57</v>
      </c>
      <c r="Q49" s="39"/>
      <c r="R49" s="39"/>
      <c r="S49" s="38">
        <f t="shared" si="12"/>
        <v>0</v>
      </c>
      <c r="T49" s="39"/>
      <c r="U49" s="40"/>
      <c r="V49" s="9">
        <f t="shared" si="13"/>
        <v>87.14</v>
      </c>
      <c r="Y49" s="9">
        <f t="shared" si="14"/>
        <v>0</v>
      </c>
      <c r="AD49" s="4" t="s">
        <v>164</v>
      </c>
      <c r="AE49" s="4" t="s">
        <v>165</v>
      </c>
      <c r="AF49" s="4" t="s">
        <v>166</v>
      </c>
    </row>
    <row r="50" spans="1:35" ht="36" x14ac:dyDescent="0.3">
      <c r="A50" s="23" t="s">
        <v>167</v>
      </c>
      <c r="B50" s="23"/>
      <c r="C50" s="41" t="s">
        <v>163</v>
      </c>
      <c r="D50" s="25"/>
      <c r="E50" s="25"/>
      <c r="F50" s="42" t="s">
        <v>59</v>
      </c>
      <c r="G50" s="43">
        <v>1.2</v>
      </c>
      <c r="H50" s="25"/>
      <c r="I50" s="43">
        <v>54.48</v>
      </c>
      <c r="J50" s="44">
        <v>104.57</v>
      </c>
      <c r="K50" s="45"/>
      <c r="L50" s="45"/>
      <c r="M50" s="44">
        <f t="shared" si="11"/>
        <v>5696.97</v>
      </c>
      <c r="N50" s="45"/>
      <c r="O50" s="45"/>
      <c r="P50" s="44">
        <v>104.57</v>
      </c>
      <c r="Q50" s="45"/>
      <c r="R50" s="45"/>
      <c r="S50" s="44">
        <f t="shared" si="12"/>
        <v>5696.97</v>
      </c>
      <c r="T50" s="45"/>
      <c r="U50" s="46"/>
      <c r="V50" s="9">
        <f t="shared" si="13"/>
        <v>87.14</v>
      </c>
      <c r="Y50" s="9">
        <f t="shared" si="14"/>
        <v>4747.4799999999996</v>
      </c>
      <c r="AD50" s="4" t="s">
        <v>168</v>
      </c>
      <c r="AE50" s="4" t="s">
        <v>165</v>
      </c>
      <c r="AF50" s="4" t="s">
        <v>166</v>
      </c>
    </row>
    <row r="51" spans="1:35" ht="18" x14ac:dyDescent="0.3">
      <c r="A51" s="17" t="s">
        <v>169</v>
      </c>
      <c r="B51" s="17"/>
      <c r="C51" s="34" t="s">
        <v>81</v>
      </c>
      <c r="D51" s="19"/>
      <c r="E51" s="19"/>
      <c r="F51" s="35" t="s">
        <v>82</v>
      </c>
      <c r="G51" s="36">
        <v>2.1</v>
      </c>
      <c r="H51" s="19"/>
      <c r="I51" s="37">
        <v>0</v>
      </c>
      <c r="J51" s="38">
        <v>64.56</v>
      </c>
      <c r="K51" s="39"/>
      <c r="L51" s="39"/>
      <c r="M51" s="38">
        <f t="shared" si="11"/>
        <v>0</v>
      </c>
      <c r="N51" s="39"/>
      <c r="O51" s="39"/>
      <c r="P51" s="38">
        <v>64.56</v>
      </c>
      <c r="Q51" s="39"/>
      <c r="R51" s="39"/>
      <c r="S51" s="38">
        <f t="shared" si="12"/>
        <v>0</v>
      </c>
      <c r="T51" s="39"/>
      <c r="U51" s="40"/>
      <c r="V51" s="9">
        <f t="shared" si="13"/>
        <v>53.8</v>
      </c>
      <c r="Y51" s="9">
        <f t="shared" si="14"/>
        <v>0</v>
      </c>
      <c r="AD51" s="4" t="s">
        <v>170</v>
      </c>
      <c r="AE51" s="4" t="s">
        <v>171</v>
      </c>
      <c r="AF51" s="4" t="s">
        <v>85</v>
      </c>
    </row>
    <row r="52" spans="1:35" ht="18" x14ac:dyDescent="0.3">
      <c r="A52" s="23" t="s">
        <v>172</v>
      </c>
      <c r="B52" s="23"/>
      <c r="C52" s="41" t="s">
        <v>81</v>
      </c>
      <c r="D52" s="25"/>
      <c r="E52" s="25"/>
      <c r="F52" s="42" t="s">
        <v>82</v>
      </c>
      <c r="G52" s="43">
        <v>2.1</v>
      </c>
      <c r="H52" s="25"/>
      <c r="I52" s="43">
        <v>95.34</v>
      </c>
      <c r="J52" s="44">
        <v>64.56</v>
      </c>
      <c r="K52" s="45"/>
      <c r="L52" s="45"/>
      <c r="M52" s="44">
        <f t="shared" si="11"/>
        <v>6155.15</v>
      </c>
      <c r="N52" s="45"/>
      <c r="O52" s="45"/>
      <c r="P52" s="44">
        <v>64.56</v>
      </c>
      <c r="Q52" s="45"/>
      <c r="R52" s="45"/>
      <c r="S52" s="44">
        <f t="shared" si="12"/>
        <v>6155.15</v>
      </c>
      <c r="T52" s="45"/>
      <c r="U52" s="46"/>
      <c r="V52" s="9">
        <f t="shared" si="13"/>
        <v>53.8</v>
      </c>
      <c r="Y52" s="9">
        <f t="shared" si="14"/>
        <v>5129.29</v>
      </c>
      <c r="AD52" s="4" t="s">
        <v>173</v>
      </c>
      <c r="AE52" s="4" t="s">
        <v>171</v>
      </c>
      <c r="AF52" s="4" t="s">
        <v>85</v>
      </c>
    </row>
    <row r="53" spans="1:35" ht="18" x14ac:dyDescent="0.3">
      <c r="A53" s="17" t="s">
        <v>174</v>
      </c>
      <c r="B53" s="17"/>
      <c r="C53" s="34" t="s">
        <v>175</v>
      </c>
      <c r="D53" s="19"/>
      <c r="E53" s="19"/>
      <c r="F53" s="35" t="s">
        <v>82</v>
      </c>
      <c r="G53" s="36">
        <v>0.8</v>
      </c>
      <c r="H53" s="19"/>
      <c r="I53" s="37">
        <v>0</v>
      </c>
      <c r="J53" s="38">
        <v>35.76</v>
      </c>
      <c r="K53" s="39"/>
      <c r="L53" s="39"/>
      <c r="M53" s="38">
        <f t="shared" si="11"/>
        <v>0</v>
      </c>
      <c r="N53" s="39"/>
      <c r="O53" s="39"/>
      <c r="P53" s="38">
        <v>35.76</v>
      </c>
      <c r="Q53" s="39"/>
      <c r="R53" s="39"/>
      <c r="S53" s="38">
        <f t="shared" si="12"/>
        <v>0</v>
      </c>
      <c r="T53" s="39"/>
      <c r="U53" s="40"/>
      <c r="V53" s="9">
        <f t="shared" si="13"/>
        <v>29.8</v>
      </c>
      <c r="Y53" s="9">
        <f t="shared" si="14"/>
        <v>0</v>
      </c>
      <c r="AD53" s="4" t="s">
        <v>176</v>
      </c>
      <c r="AE53" s="4" t="s">
        <v>177</v>
      </c>
      <c r="AF53" s="4" t="s">
        <v>178</v>
      </c>
    </row>
    <row r="54" spans="1:35" ht="18" x14ac:dyDescent="0.3">
      <c r="A54" s="23" t="s">
        <v>179</v>
      </c>
      <c r="B54" s="23"/>
      <c r="C54" s="41" t="s">
        <v>175</v>
      </c>
      <c r="D54" s="25"/>
      <c r="E54" s="25"/>
      <c r="F54" s="42" t="s">
        <v>82</v>
      </c>
      <c r="G54" s="43">
        <v>0.8</v>
      </c>
      <c r="H54" s="25"/>
      <c r="I54" s="43">
        <v>36.32</v>
      </c>
      <c r="J54" s="44">
        <v>35.76</v>
      </c>
      <c r="K54" s="45"/>
      <c r="L54" s="45"/>
      <c r="M54" s="44">
        <f t="shared" si="11"/>
        <v>1298.8</v>
      </c>
      <c r="N54" s="45"/>
      <c r="O54" s="45"/>
      <c r="P54" s="44">
        <v>35.76</v>
      </c>
      <c r="Q54" s="45"/>
      <c r="R54" s="45"/>
      <c r="S54" s="44">
        <f t="shared" si="12"/>
        <v>1298.8</v>
      </c>
      <c r="T54" s="45"/>
      <c r="U54" s="46"/>
      <c r="V54" s="9">
        <f t="shared" si="13"/>
        <v>29.8</v>
      </c>
      <c r="Y54" s="9">
        <f t="shared" si="14"/>
        <v>1082.33</v>
      </c>
      <c r="AD54" s="4" t="s">
        <v>180</v>
      </c>
      <c r="AE54" s="4" t="s">
        <v>177</v>
      </c>
      <c r="AF54" s="4" t="s">
        <v>178</v>
      </c>
    </row>
    <row r="55" spans="1:35" ht="144" x14ac:dyDescent="0.3">
      <c r="A55" s="51" t="s">
        <v>181</v>
      </c>
      <c r="B55" s="51" t="s">
        <v>148</v>
      </c>
      <c r="C55" s="52" t="s">
        <v>149</v>
      </c>
      <c r="D55" s="53" t="s">
        <v>150</v>
      </c>
      <c r="E55" s="53" t="s">
        <v>154</v>
      </c>
      <c r="F55" s="53" t="s">
        <v>59</v>
      </c>
      <c r="G55" s="54">
        <v>1</v>
      </c>
      <c r="H55" s="53"/>
      <c r="I55" s="54">
        <v>45.4</v>
      </c>
      <c r="J55" s="55">
        <f>IFERROR(ROUND(SUM(M56,M57,M58,M59)/I55, 2),0)</f>
        <v>484.9</v>
      </c>
      <c r="K55" s="55">
        <v>1064</v>
      </c>
      <c r="L55" s="55">
        <f>J55+ROUND(K55, 2)</f>
        <v>1548.9</v>
      </c>
      <c r="M55" s="55">
        <f>ROUND(J55*I55, 2)</f>
        <v>22014.46</v>
      </c>
      <c r="N55" s="55">
        <f>ROUND(I55*ROUND(K55, 2), 2)</f>
        <v>48305.599999999999</v>
      </c>
      <c r="O55" s="55">
        <f>M55+N55</f>
        <v>70320.06</v>
      </c>
      <c r="P55" s="55">
        <f>IFERROR(ROUND(SUM(S56,S57,S58,S59)/I55, 2),0)</f>
        <v>484.89</v>
      </c>
      <c r="Q55" s="55">
        <v>1596</v>
      </c>
      <c r="R55" s="55">
        <f>P55+ROUND(Q55, 2)</f>
        <v>2080.89</v>
      </c>
      <c r="S55" s="55">
        <f>ROUND(P55*I55, 2)</f>
        <v>22014.01</v>
      </c>
      <c r="T55" s="55">
        <f>ROUND(I55*ROUND(Q55, 2), 2)</f>
        <v>72458.399999999994</v>
      </c>
      <c r="U55" s="55">
        <f>S55+T55</f>
        <v>94472.41</v>
      </c>
      <c r="V55" s="9">
        <f>ROUND(P55 / 1.2, 2)</f>
        <v>404.08</v>
      </c>
      <c r="W55" s="9">
        <f>ROUND(Q55 / 1.2, 2)</f>
        <v>1330</v>
      </c>
      <c r="X55" s="9">
        <f>ROUND(R55 / 1.2, 2)</f>
        <v>1734.08</v>
      </c>
      <c r="Y55" s="9">
        <f t="shared" si="14"/>
        <v>18345.009999999998</v>
      </c>
      <c r="Z55" s="9">
        <f>ROUND(T55 / 1.2, 2)</f>
        <v>60382</v>
      </c>
      <c r="AA55" s="9">
        <f>Y55+Z55</f>
        <v>78727.009999999995</v>
      </c>
      <c r="AD55" s="4">
        <v>304337596</v>
      </c>
      <c r="AE55" s="4">
        <v>21916285</v>
      </c>
      <c r="AG55" s="4" t="s">
        <v>151</v>
      </c>
      <c r="AH55" s="4" t="s">
        <v>152</v>
      </c>
      <c r="AI55" s="4" t="s">
        <v>62</v>
      </c>
    </row>
    <row r="56" spans="1:35" ht="18" x14ac:dyDescent="0.3">
      <c r="A56" s="51" t="s">
        <v>182</v>
      </c>
      <c r="B56" s="51"/>
      <c r="C56" s="56" t="s">
        <v>175</v>
      </c>
      <c r="D56" s="53"/>
      <c r="E56" s="53"/>
      <c r="F56" s="57" t="s">
        <v>82</v>
      </c>
      <c r="G56" s="58">
        <v>0.8</v>
      </c>
      <c r="H56" s="53"/>
      <c r="I56" s="58">
        <v>36.32</v>
      </c>
      <c r="J56" s="59">
        <v>35.76</v>
      </c>
      <c r="K56" s="60"/>
      <c r="L56" s="60"/>
      <c r="M56" s="59">
        <f>ROUND(ROUND(J56, 2)*I56, 2)</f>
        <v>1298.8</v>
      </c>
      <c r="N56" s="60"/>
      <c r="O56" s="60"/>
      <c r="P56" s="59">
        <v>35.76</v>
      </c>
      <c r="Q56" s="60"/>
      <c r="R56" s="60"/>
      <c r="S56" s="59">
        <f>ROUND(ROUND(P56, 2)*I56, 2)</f>
        <v>1298.8</v>
      </c>
      <c r="T56" s="60"/>
      <c r="U56" s="61"/>
      <c r="V56" s="9">
        <f>ROUND(ROUND(P56, 2)/1.2, 2)</f>
        <v>29.8</v>
      </c>
      <c r="Y56" s="9">
        <f t="shared" si="14"/>
        <v>1082.33</v>
      </c>
      <c r="AD56" s="4" t="s">
        <v>183</v>
      </c>
      <c r="AE56" s="4" t="s">
        <v>184</v>
      </c>
      <c r="AF56" s="4" t="s">
        <v>178</v>
      </c>
    </row>
    <row r="57" spans="1:35" ht="18" x14ac:dyDescent="0.3">
      <c r="A57" s="51" t="s">
        <v>185</v>
      </c>
      <c r="B57" s="51"/>
      <c r="C57" s="47" t="s">
        <v>89</v>
      </c>
      <c r="D57" s="53"/>
      <c r="E57" s="53"/>
      <c r="F57" s="57" t="s">
        <v>82</v>
      </c>
      <c r="G57" s="58">
        <v>0.8</v>
      </c>
      <c r="H57" s="53"/>
      <c r="I57" s="58">
        <v>36.32</v>
      </c>
      <c r="J57" s="59">
        <v>51.64</v>
      </c>
      <c r="K57" s="60"/>
      <c r="L57" s="60"/>
      <c r="M57" s="59">
        <f>ROUND(ROUND(J57, 2)*I57, 2)</f>
        <v>1875.56</v>
      </c>
      <c r="N57" s="60"/>
      <c r="O57" s="60"/>
      <c r="P57" s="59">
        <v>51.63</v>
      </c>
      <c r="Q57" s="60"/>
      <c r="R57" s="60"/>
      <c r="S57" s="59">
        <f>ROUND(ROUND(P57, 2)*I57, 2)</f>
        <v>1875.2</v>
      </c>
      <c r="T57" s="60"/>
      <c r="U57" s="61"/>
      <c r="V57" s="9">
        <f>ROUND(ROUND(P57, 2)/1.2, 2)</f>
        <v>43.03</v>
      </c>
      <c r="Y57" s="9">
        <f t="shared" si="14"/>
        <v>1562.67</v>
      </c>
      <c r="AD57" s="4" t="s">
        <v>186</v>
      </c>
      <c r="AE57" s="4" t="s">
        <v>187</v>
      </c>
      <c r="AF57" s="4" t="s">
        <v>92</v>
      </c>
    </row>
    <row r="58" spans="1:35" ht="18" x14ac:dyDescent="0.3">
      <c r="A58" s="51" t="s">
        <v>188</v>
      </c>
      <c r="B58" s="51"/>
      <c r="C58" s="47" t="s">
        <v>189</v>
      </c>
      <c r="D58" s="53"/>
      <c r="E58" s="53"/>
      <c r="F58" s="57" t="s">
        <v>59</v>
      </c>
      <c r="G58" s="58">
        <v>1.2</v>
      </c>
      <c r="H58" s="53"/>
      <c r="I58" s="58">
        <v>54.48</v>
      </c>
      <c r="J58" s="59">
        <v>309.39999999999998</v>
      </c>
      <c r="K58" s="60"/>
      <c r="L58" s="60"/>
      <c r="M58" s="59">
        <f>ROUND(ROUND(J58, 2)*I58, 2)</f>
        <v>16856.11</v>
      </c>
      <c r="N58" s="60"/>
      <c r="O58" s="60"/>
      <c r="P58" s="59">
        <v>309.39999999999998</v>
      </c>
      <c r="Q58" s="60"/>
      <c r="R58" s="60"/>
      <c r="S58" s="59">
        <f>ROUND(ROUND(P58, 2)*I58, 2)</f>
        <v>16856.11</v>
      </c>
      <c r="T58" s="60"/>
      <c r="U58" s="61"/>
      <c r="V58" s="9">
        <f>ROUND(ROUND(P58, 2)/1.2, 2)</f>
        <v>257.83</v>
      </c>
      <c r="Y58" s="9">
        <f t="shared" si="14"/>
        <v>14046.76</v>
      </c>
      <c r="AD58" s="4" t="s">
        <v>190</v>
      </c>
      <c r="AE58" s="4" t="s">
        <v>191</v>
      </c>
      <c r="AF58" s="4" t="s">
        <v>192</v>
      </c>
    </row>
    <row r="59" spans="1:35" ht="72" x14ac:dyDescent="0.3">
      <c r="A59" s="51" t="s">
        <v>193</v>
      </c>
      <c r="B59" s="51"/>
      <c r="C59" s="56" t="s">
        <v>156</v>
      </c>
      <c r="D59" s="53"/>
      <c r="E59" s="53"/>
      <c r="F59" s="57" t="s">
        <v>67</v>
      </c>
      <c r="G59" s="58">
        <v>1</v>
      </c>
      <c r="H59" s="53"/>
      <c r="I59" s="58">
        <v>45.4</v>
      </c>
      <c r="J59" s="59">
        <v>43.7</v>
      </c>
      <c r="K59" s="60"/>
      <c r="L59" s="60"/>
      <c r="M59" s="59">
        <f>ROUND(ROUND(J59, 2)*I59, 2)</f>
        <v>1983.98</v>
      </c>
      <c r="N59" s="60"/>
      <c r="O59" s="60"/>
      <c r="P59" s="59">
        <v>43.7</v>
      </c>
      <c r="Q59" s="60"/>
      <c r="R59" s="60"/>
      <c r="S59" s="59">
        <f>ROUND(ROUND(P59, 2)*I59, 2)</f>
        <v>1983.98</v>
      </c>
      <c r="T59" s="60"/>
      <c r="U59" s="61"/>
      <c r="V59" s="9">
        <f>ROUND(ROUND(P59, 2)/1.2, 2)</f>
        <v>36.42</v>
      </c>
      <c r="Y59" s="9">
        <f t="shared" si="14"/>
        <v>1653.32</v>
      </c>
      <c r="AD59" s="4" t="s">
        <v>194</v>
      </c>
      <c r="AE59" s="4" t="s">
        <v>195</v>
      </c>
      <c r="AF59" s="4" t="s">
        <v>159</v>
      </c>
    </row>
    <row r="60" spans="1:35" ht="36" x14ac:dyDescent="0.3">
      <c r="A60" s="17" t="s">
        <v>196</v>
      </c>
      <c r="B60" s="17" t="s">
        <v>197</v>
      </c>
      <c r="C60" s="18" t="s">
        <v>198</v>
      </c>
      <c r="D60" s="19" t="s">
        <v>150</v>
      </c>
      <c r="E60" s="19"/>
      <c r="F60" s="19" t="s">
        <v>59</v>
      </c>
      <c r="G60" s="20">
        <v>1</v>
      </c>
      <c r="H60" s="19"/>
      <c r="I60" s="21">
        <v>0</v>
      </c>
      <c r="J60" s="22">
        <f>IFERROR(ROUND(SUM(M62,M64,M66,M68)/I60, 2),0)</f>
        <v>0</v>
      </c>
      <c r="K60" s="22">
        <v>1225</v>
      </c>
      <c r="L60" s="22">
        <f>J60+ROUND(K60, 2)</f>
        <v>1225</v>
      </c>
      <c r="M60" s="22">
        <f>ROUND(J60*I60, 2)</f>
        <v>0</v>
      </c>
      <c r="N60" s="22">
        <f>ROUND(I60*ROUND(K60, 2), 2)</f>
        <v>0</v>
      </c>
      <c r="O60" s="22">
        <f>M60+N60</f>
        <v>0</v>
      </c>
      <c r="P60" s="22">
        <f>IFERROR(ROUND(SUM(S62,S64,S66,S68)/I60, 2),0)</f>
        <v>0</v>
      </c>
      <c r="Q60" s="22">
        <v>1225</v>
      </c>
      <c r="R60" s="22">
        <f>P60+ROUND(Q60, 2)</f>
        <v>1225</v>
      </c>
      <c r="S60" s="22">
        <f>ROUND(P60*I60, 2)</f>
        <v>0</v>
      </c>
      <c r="T60" s="22">
        <f>ROUND(I60*ROUND(Q60, 2), 2)</f>
        <v>0</v>
      </c>
      <c r="U60" s="22">
        <f>S60+T60</f>
        <v>0</v>
      </c>
      <c r="V60" s="9">
        <f>ROUND(P60 / 1.2, 2)</f>
        <v>0</v>
      </c>
      <c r="W60" s="9">
        <f>ROUND(Q60 / 1.2, 2)</f>
        <v>1020.83</v>
      </c>
      <c r="X60" s="9">
        <f>ROUND(R60 / 1.2, 2)</f>
        <v>1020.83</v>
      </c>
      <c r="Y60" s="9">
        <f t="shared" si="14"/>
        <v>0</v>
      </c>
      <c r="Z60" s="9">
        <f>ROUND(T60 / 1.2, 2)</f>
        <v>0</v>
      </c>
      <c r="AA60" s="9">
        <f>Y60+Z60</f>
        <v>0</v>
      </c>
      <c r="AD60" s="4">
        <v>304337534</v>
      </c>
      <c r="AE60" s="4">
        <v>21096613</v>
      </c>
      <c r="AG60" s="4" t="s">
        <v>199</v>
      </c>
      <c r="AH60" s="4" t="s">
        <v>200</v>
      </c>
      <c r="AI60" s="4" t="s">
        <v>62</v>
      </c>
    </row>
    <row r="61" spans="1:35" ht="108" x14ac:dyDescent="0.3">
      <c r="A61" s="23" t="s">
        <v>201</v>
      </c>
      <c r="B61" s="23" t="s">
        <v>197</v>
      </c>
      <c r="C61" s="24" t="s">
        <v>198</v>
      </c>
      <c r="D61" s="25" t="s">
        <v>150</v>
      </c>
      <c r="E61" s="25" t="s">
        <v>202</v>
      </c>
      <c r="F61" s="25" t="s">
        <v>59</v>
      </c>
      <c r="G61" s="26">
        <v>1</v>
      </c>
      <c r="H61" s="25"/>
      <c r="I61" s="26">
        <v>6.4</v>
      </c>
      <c r="J61" s="27">
        <v>0</v>
      </c>
      <c r="K61" s="27">
        <v>1225</v>
      </c>
      <c r="L61" s="27"/>
      <c r="M61" s="27">
        <v>0</v>
      </c>
      <c r="N61" s="27"/>
      <c r="O61" s="27"/>
      <c r="P61" s="27">
        <v>0</v>
      </c>
      <c r="Q61" s="27">
        <v>1225</v>
      </c>
      <c r="R61" s="27"/>
      <c r="S61" s="27">
        <v>0</v>
      </c>
      <c r="T61" s="27"/>
      <c r="U61" s="27"/>
      <c r="V61" s="9"/>
      <c r="W61" s="9">
        <f>ROUND(Q61 / 1.2, 2)</f>
        <v>1020.83</v>
      </c>
      <c r="X61" s="9" t="e">
        <f>ROUND(R61 / 1.2, 2)</f>
        <v>#VALUE!</v>
      </c>
      <c r="Y61" s="9"/>
      <c r="Z61" s="9" t="e">
        <f>ROUND(T61 / 1.2, 2)</f>
        <v>#VALUE!</v>
      </c>
      <c r="AA61" s="9"/>
      <c r="AD61" s="4">
        <v>278420213</v>
      </c>
      <c r="AE61" s="4">
        <v>21096613</v>
      </c>
      <c r="AG61" s="4" t="s">
        <v>199</v>
      </c>
      <c r="AH61" s="4" t="s">
        <v>200</v>
      </c>
      <c r="AI61" s="4"/>
    </row>
    <row r="62" spans="1:35" ht="72" x14ac:dyDescent="0.3">
      <c r="A62" s="17" t="s">
        <v>203</v>
      </c>
      <c r="B62" s="17"/>
      <c r="C62" s="34" t="s">
        <v>204</v>
      </c>
      <c r="D62" s="19"/>
      <c r="E62" s="19"/>
      <c r="F62" s="35" t="s">
        <v>67</v>
      </c>
      <c r="G62" s="36">
        <v>1</v>
      </c>
      <c r="H62" s="19"/>
      <c r="I62" s="37">
        <v>0</v>
      </c>
      <c r="J62" s="38">
        <v>111.15</v>
      </c>
      <c r="K62" s="39"/>
      <c r="L62" s="39"/>
      <c r="M62" s="38">
        <f t="shared" ref="M62:M69" si="15">ROUND(ROUND(J62, 2)*I62, 2)</f>
        <v>0</v>
      </c>
      <c r="N62" s="39"/>
      <c r="O62" s="39"/>
      <c r="P62" s="38">
        <v>111.15</v>
      </c>
      <c r="Q62" s="39"/>
      <c r="R62" s="39"/>
      <c r="S62" s="38">
        <f t="shared" ref="S62:S69" si="16">ROUND(ROUND(P62, 2)*I62, 2)</f>
        <v>0</v>
      </c>
      <c r="T62" s="39"/>
      <c r="U62" s="40"/>
      <c r="V62" s="9">
        <f t="shared" ref="V62:V69" si="17">ROUND(ROUND(P62, 2)/1.2, 2)</f>
        <v>92.63</v>
      </c>
      <c r="Y62" s="9">
        <f t="shared" ref="Y62:Y74" si="18">ROUND(S62 / 1.2, 2)</f>
        <v>0</v>
      </c>
      <c r="AD62" s="4" t="s">
        <v>205</v>
      </c>
      <c r="AE62" s="4" t="s">
        <v>206</v>
      </c>
      <c r="AF62" s="4" t="s">
        <v>207</v>
      </c>
    </row>
    <row r="63" spans="1:35" ht="72" x14ac:dyDescent="0.3">
      <c r="A63" s="23" t="s">
        <v>208</v>
      </c>
      <c r="B63" s="23"/>
      <c r="C63" s="41" t="s">
        <v>204</v>
      </c>
      <c r="D63" s="25"/>
      <c r="E63" s="25"/>
      <c r="F63" s="42" t="s">
        <v>67</v>
      </c>
      <c r="G63" s="43">
        <v>1</v>
      </c>
      <c r="H63" s="25"/>
      <c r="I63" s="43">
        <v>6.4</v>
      </c>
      <c r="J63" s="44">
        <v>111.15</v>
      </c>
      <c r="K63" s="45"/>
      <c r="L63" s="45"/>
      <c r="M63" s="44">
        <f t="shared" si="15"/>
        <v>711.36</v>
      </c>
      <c r="N63" s="45"/>
      <c r="O63" s="45"/>
      <c r="P63" s="44">
        <v>111.15</v>
      </c>
      <c r="Q63" s="45"/>
      <c r="R63" s="45"/>
      <c r="S63" s="44">
        <f t="shared" si="16"/>
        <v>711.36</v>
      </c>
      <c r="T63" s="45"/>
      <c r="U63" s="46"/>
      <c r="V63" s="9">
        <f t="shared" si="17"/>
        <v>92.63</v>
      </c>
      <c r="Y63" s="9">
        <f t="shared" si="18"/>
        <v>592.79999999999995</v>
      </c>
      <c r="AD63" s="4" t="s">
        <v>209</v>
      </c>
      <c r="AE63" s="4" t="s">
        <v>206</v>
      </c>
      <c r="AF63" s="4" t="s">
        <v>207</v>
      </c>
    </row>
    <row r="64" spans="1:35" ht="18" x14ac:dyDescent="0.3">
      <c r="A64" s="17" t="s">
        <v>210</v>
      </c>
      <c r="B64" s="17"/>
      <c r="C64" s="34" t="s">
        <v>81</v>
      </c>
      <c r="D64" s="19"/>
      <c r="E64" s="19"/>
      <c r="F64" s="35" t="s">
        <v>82</v>
      </c>
      <c r="G64" s="36">
        <v>2.1</v>
      </c>
      <c r="H64" s="19"/>
      <c r="I64" s="37">
        <v>0</v>
      </c>
      <c r="J64" s="38">
        <v>64.56</v>
      </c>
      <c r="K64" s="39"/>
      <c r="L64" s="39"/>
      <c r="M64" s="38">
        <f t="shared" si="15"/>
        <v>0</v>
      </c>
      <c r="N64" s="39"/>
      <c r="O64" s="39"/>
      <c r="P64" s="38">
        <v>64.56</v>
      </c>
      <c r="Q64" s="39"/>
      <c r="R64" s="39"/>
      <c r="S64" s="38">
        <f t="shared" si="16"/>
        <v>0</v>
      </c>
      <c r="T64" s="39"/>
      <c r="U64" s="40"/>
      <c r="V64" s="9">
        <f t="shared" si="17"/>
        <v>53.8</v>
      </c>
      <c r="Y64" s="9">
        <f t="shared" si="18"/>
        <v>0</v>
      </c>
      <c r="AD64" s="4" t="s">
        <v>211</v>
      </c>
      <c r="AE64" s="4" t="s">
        <v>212</v>
      </c>
      <c r="AF64" s="4" t="s">
        <v>85</v>
      </c>
    </row>
    <row r="65" spans="1:35" ht="18" x14ac:dyDescent="0.3">
      <c r="A65" s="23" t="s">
        <v>213</v>
      </c>
      <c r="B65" s="23"/>
      <c r="C65" s="41" t="s">
        <v>81</v>
      </c>
      <c r="D65" s="25"/>
      <c r="E65" s="25"/>
      <c r="F65" s="42" t="s">
        <v>82</v>
      </c>
      <c r="G65" s="43">
        <v>2.1</v>
      </c>
      <c r="H65" s="25"/>
      <c r="I65" s="43">
        <v>13.44</v>
      </c>
      <c r="J65" s="44">
        <v>64.56</v>
      </c>
      <c r="K65" s="45"/>
      <c r="L65" s="45"/>
      <c r="M65" s="44">
        <f t="shared" si="15"/>
        <v>867.69</v>
      </c>
      <c r="N65" s="45"/>
      <c r="O65" s="45"/>
      <c r="P65" s="44">
        <v>64.56</v>
      </c>
      <c r="Q65" s="45"/>
      <c r="R65" s="45"/>
      <c r="S65" s="44">
        <f t="shared" si="16"/>
        <v>867.69</v>
      </c>
      <c r="T65" s="45"/>
      <c r="U65" s="46"/>
      <c r="V65" s="9">
        <f t="shared" si="17"/>
        <v>53.8</v>
      </c>
      <c r="Y65" s="9">
        <f t="shared" si="18"/>
        <v>723.08</v>
      </c>
      <c r="AD65" s="4" t="s">
        <v>214</v>
      </c>
      <c r="AE65" s="4" t="s">
        <v>212</v>
      </c>
      <c r="AF65" s="4" t="s">
        <v>85</v>
      </c>
    </row>
    <row r="66" spans="1:35" ht="18" x14ac:dyDescent="0.3">
      <c r="A66" s="17" t="s">
        <v>215</v>
      </c>
      <c r="B66" s="17"/>
      <c r="C66" s="34" t="s">
        <v>89</v>
      </c>
      <c r="D66" s="19"/>
      <c r="E66" s="19"/>
      <c r="F66" s="35" t="s">
        <v>82</v>
      </c>
      <c r="G66" s="36">
        <v>0.8</v>
      </c>
      <c r="H66" s="19"/>
      <c r="I66" s="37">
        <v>0</v>
      </c>
      <c r="J66" s="38">
        <v>51.63</v>
      </c>
      <c r="K66" s="39"/>
      <c r="L66" s="39"/>
      <c r="M66" s="38">
        <f t="shared" si="15"/>
        <v>0</v>
      </c>
      <c r="N66" s="39"/>
      <c r="O66" s="39"/>
      <c r="P66" s="38">
        <v>51.63</v>
      </c>
      <c r="Q66" s="39"/>
      <c r="R66" s="39"/>
      <c r="S66" s="38">
        <f t="shared" si="16"/>
        <v>0</v>
      </c>
      <c r="T66" s="39"/>
      <c r="U66" s="40"/>
      <c r="V66" s="9">
        <f t="shared" si="17"/>
        <v>43.03</v>
      </c>
      <c r="Y66" s="9">
        <f t="shared" si="18"/>
        <v>0</v>
      </c>
      <c r="AD66" s="4" t="s">
        <v>216</v>
      </c>
      <c r="AE66" s="4" t="s">
        <v>217</v>
      </c>
      <c r="AF66" s="4" t="s">
        <v>92</v>
      </c>
    </row>
    <row r="67" spans="1:35" ht="18" x14ac:dyDescent="0.3">
      <c r="A67" s="23" t="s">
        <v>218</v>
      </c>
      <c r="B67" s="23"/>
      <c r="C67" s="41" t="s">
        <v>89</v>
      </c>
      <c r="D67" s="25"/>
      <c r="E67" s="25"/>
      <c r="F67" s="42" t="s">
        <v>82</v>
      </c>
      <c r="G67" s="43">
        <v>0.8</v>
      </c>
      <c r="H67" s="25"/>
      <c r="I67" s="43">
        <v>5.12</v>
      </c>
      <c r="J67" s="44">
        <v>51.63</v>
      </c>
      <c r="K67" s="45"/>
      <c r="L67" s="45"/>
      <c r="M67" s="44">
        <f t="shared" si="15"/>
        <v>264.35000000000002</v>
      </c>
      <c r="N67" s="45"/>
      <c r="O67" s="45"/>
      <c r="P67" s="44">
        <v>51.63</v>
      </c>
      <c r="Q67" s="45"/>
      <c r="R67" s="45"/>
      <c r="S67" s="44">
        <f t="shared" si="16"/>
        <v>264.35000000000002</v>
      </c>
      <c r="T67" s="45"/>
      <c r="U67" s="46"/>
      <c r="V67" s="9">
        <f t="shared" si="17"/>
        <v>43.03</v>
      </c>
      <c r="Y67" s="9">
        <f t="shared" si="18"/>
        <v>220.29</v>
      </c>
      <c r="AD67" s="4" t="s">
        <v>219</v>
      </c>
      <c r="AE67" s="4" t="s">
        <v>217</v>
      </c>
      <c r="AF67" s="4" t="s">
        <v>92</v>
      </c>
    </row>
    <row r="68" spans="1:35" ht="36" x14ac:dyDescent="0.3">
      <c r="A68" s="17" t="s">
        <v>220</v>
      </c>
      <c r="B68" s="17"/>
      <c r="C68" s="34" t="s">
        <v>74</v>
      </c>
      <c r="D68" s="19"/>
      <c r="E68" s="19"/>
      <c r="F68" s="35" t="s">
        <v>59</v>
      </c>
      <c r="G68" s="36">
        <v>2.2000000000000002</v>
      </c>
      <c r="H68" s="19"/>
      <c r="I68" s="37">
        <v>0</v>
      </c>
      <c r="J68" s="38">
        <v>104.57</v>
      </c>
      <c r="K68" s="39"/>
      <c r="L68" s="39"/>
      <c r="M68" s="38">
        <f t="shared" si="15"/>
        <v>0</v>
      </c>
      <c r="N68" s="39"/>
      <c r="O68" s="39"/>
      <c r="P68" s="38">
        <v>104.57</v>
      </c>
      <c r="Q68" s="39"/>
      <c r="R68" s="39"/>
      <c r="S68" s="38">
        <f t="shared" si="16"/>
        <v>0</v>
      </c>
      <c r="T68" s="39"/>
      <c r="U68" s="40"/>
      <c r="V68" s="9">
        <f t="shared" si="17"/>
        <v>87.14</v>
      </c>
      <c r="Y68" s="9">
        <f t="shared" si="18"/>
        <v>0</v>
      </c>
      <c r="AD68" s="4" t="s">
        <v>221</v>
      </c>
      <c r="AE68" s="4" t="s">
        <v>222</v>
      </c>
      <c r="AF68" s="4" t="s">
        <v>223</v>
      </c>
    </row>
    <row r="69" spans="1:35" ht="36" x14ac:dyDescent="0.3">
      <c r="A69" s="23" t="s">
        <v>224</v>
      </c>
      <c r="B69" s="23"/>
      <c r="C69" s="41" t="s">
        <v>74</v>
      </c>
      <c r="D69" s="25"/>
      <c r="E69" s="25"/>
      <c r="F69" s="42" t="s">
        <v>59</v>
      </c>
      <c r="G69" s="43">
        <v>2.2000000000000002</v>
      </c>
      <c r="H69" s="25"/>
      <c r="I69" s="43">
        <v>14.08</v>
      </c>
      <c r="J69" s="44">
        <v>104.57</v>
      </c>
      <c r="K69" s="45"/>
      <c r="L69" s="45"/>
      <c r="M69" s="44">
        <f t="shared" si="15"/>
        <v>1472.35</v>
      </c>
      <c r="N69" s="45"/>
      <c r="O69" s="45"/>
      <c r="P69" s="44">
        <v>104.57</v>
      </c>
      <c r="Q69" s="45"/>
      <c r="R69" s="45"/>
      <c r="S69" s="44">
        <f t="shared" si="16"/>
        <v>1472.35</v>
      </c>
      <c r="T69" s="45"/>
      <c r="U69" s="46"/>
      <c r="V69" s="9">
        <f t="shared" si="17"/>
        <v>87.14</v>
      </c>
      <c r="Y69" s="9">
        <f t="shared" si="18"/>
        <v>1226.96</v>
      </c>
      <c r="AD69" s="4" t="s">
        <v>225</v>
      </c>
      <c r="AE69" s="4" t="s">
        <v>222</v>
      </c>
      <c r="AF69" s="4" t="s">
        <v>223</v>
      </c>
    </row>
    <row r="70" spans="1:35" ht="108" x14ac:dyDescent="0.3">
      <c r="A70" s="51" t="s">
        <v>226</v>
      </c>
      <c r="B70" s="51" t="s">
        <v>197</v>
      </c>
      <c r="C70" s="52" t="s">
        <v>198</v>
      </c>
      <c r="D70" s="53" t="s">
        <v>150</v>
      </c>
      <c r="E70" s="53" t="s">
        <v>202</v>
      </c>
      <c r="F70" s="53" t="s">
        <v>59</v>
      </c>
      <c r="G70" s="54">
        <v>1</v>
      </c>
      <c r="H70" s="53"/>
      <c r="I70" s="54">
        <v>6.4</v>
      </c>
      <c r="J70" s="55">
        <f>IFERROR(ROUND(SUM(M71,M72,M73,M74)/I70, 2),0)</f>
        <v>518.1</v>
      </c>
      <c r="K70" s="55">
        <v>1225</v>
      </c>
      <c r="L70" s="55">
        <f>J70+ROUND(K70, 2)</f>
        <v>1743.1</v>
      </c>
      <c r="M70" s="55">
        <f>ROUND(J70*I70, 2)</f>
        <v>3315.84</v>
      </c>
      <c r="N70" s="55">
        <f>ROUND(I70*ROUND(K70, 2), 2)</f>
        <v>7840</v>
      </c>
      <c r="O70" s="55">
        <f>M70+N70</f>
        <v>11155.84</v>
      </c>
      <c r="P70" s="55">
        <f>IFERROR(ROUND(SUM(S71,S72,S73,S74)/I70, 2),0)</f>
        <v>518.09</v>
      </c>
      <c r="Q70" s="55">
        <v>1837.5</v>
      </c>
      <c r="R70" s="55">
        <f>P70+ROUND(Q70, 2)</f>
        <v>2355.59</v>
      </c>
      <c r="S70" s="55">
        <f>ROUND(P70*I70, 2)</f>
        <v>3315.78</v>
      </c>
      <c r="T70" s="55">
        <f>ROUND(I70*ROUND(Q70, 2), 2)</f>
        <v>11760</v>
      </c>
      <c r="U70" s="55">
        <f>S70+T70</f>
        <v>15075.78</v>
      </c>
      <c r="V70" s="9">
        <f>ROUND(P70 / 1.2, 2)</f>
        <v>431.74</v>
      </c>
      <c r="W70" s="9">
        <f>ROUND(Q70 / 1.2, 2)</f>
        <v>1531.25</v>
      </c>
      <c r="X70" s="9">
        <f>ROUND(R70 / 1.2, 2)</f>
        <v>1962.99</v>
      </c>
      <c r="Y70" s="9">
        <f t="shared" si="18"/>
        <v>2763.15</v>
      </c>
      <c r="Z70" s="9">
        <f>ROUND(T70 / 1.2, 2)</f>
        <v>9800</v>
      </c>
      <c r="AA70" s="9">
        <f>Y70+Z70</f>
        <v>12563.15</v>
      </c>
      <c r="AD70" s="4">
        <v>304337597</v>
      </c>
      <c r="AE70" s="4">
        <v>21916286</v>
      </c>
      <c r="AG70" s="4" t="s">
        <v>199</v>
      </c>
      <c r="AH70" s="4" t="s">
        <v>200</v>
      </c>
      <c r="AI70" s="4" t="s">
        <v>62</v>
      </c>
    </row>
    <row r="71" spans="1:35" ht="36" x14ac:dyDescent="0.3">
      <c r="A71" s="51" t="s">
        <v>227</v>
      </c>
      <c r="B71" s="51"/>
      <c r="C71" s="47" t="s">
        <v>74</v>
      </c>
      <c r="D71" s="53"/>
      <c r="E71" s="53"/>
      <c r="F71" s="57" t="s">
        <v>59</v>
      </c>
      <c r="G71" s="58">
        <v>2.2000000000000002</v>
      </c>
      <c r="H71" s="53"/>
      <c r="I71" s="58">
        <v>14.08</v>
      </c>
      <c r="J71" s="59">
        <v>104.57</v>
      </c>
      <c r="K71" s="60"/>
      <c r="L71" s="60"/>
      <c r="M71" s="59">
        <f>ROUND(ROUND(J71, 2)*I71, 2)</f>
        <v>1472.35</v>
      </c>
      <c r="N71" s="60"/>
      <c r="O71" s="60"/>
      <c r="P71" s="59">
        <v>104.57</v>
      </c>
      <c r="Q71" s="60"/>
      <c r="R71" s="60"/>
      <c r="S71" s="59">
        <f>ROUND(ROUND(P71, 2)*I71, 2)</f>
        <v>1472.35</v>
      </c>
      <c r="T71" s="60"/>
      <c r="U71" s="61"/>
      <c r="V71" s="9">
        <f>ROUND(ROUND(P71, 2)/1.2, 2)</f>
        <v>87.14</v>
      </c>
      <c r="Y71" s="9">
        <f t="shared" si="18"/>
        <v>1226.96</v>
      </c>
      <c r="AD71" s="4" t="s">
        <v>228</v>
      </c>
      <c r="AE71" s="4" t="s">
        <v>229</v>
      </c>
      <c r="AF71" s="4" t="s">
        <v>223</v>
      </c>
    </row>
    <row r="72" spans="1:35" ht="18" x14ac:dyDescent="0.3">
      <c r="A72" s="51" t="s">
        <v>230</v>
      </c>
      <c r="B72" s="51"/>
      <c r="C72" s="47" t="s">
        <v>81</v>
      </c>
      <c r="D72" s="53"/>
      <c r="E72" s="53"/>
      <c r="F72" s="57" t="s">
        <v>82</v>
      </c>
      <c r="G72" s="58">
        <v>2.1</v>
      </c>
      <c r="H72" s="53"/>
      <c r="I72" s="58">
        <v>13.44</v>
      </c>
      <c r="J72" s="59">
        <v>64.56</v>
      </c>
      <c r="K72" s="60"/>
      <c r="L72" s="60"/>
      <c r="M72" s="59">
        <f>ROUND(ROUND(J72, 2)*I72, 2)</f>
        <v>867.69</v>
      </c>
      <c r="N72" s="60"/>
      <c r="O72" s="60"/>
      <c r="P72" s="59">
        <v>64.56</v>
      </c>
      <c r="Q72" s="60"/>
      <c r="R72" s="60"/>
      <c r="S72" s="59">
        <f>ROUND(ROUND(P72, 2)*I72, 2)</f>
        <v>867.69</v>
      </c>
      <c r="T72" s="60"/>
      <c r="U72" s="61"/>
      <c r="V72" s="9">
        <f>ROUND(ROUND(P72, 2)/1.2, 2)</f>
        <v>53.8</v>
      </c>
      <c r="Y72" s="9">
        <f t="shared" si="18"/>
        <v>723.08</v>
      </c>
      <c r="AD72" s="4" t="s">
        <v>231</v>
      </c>
      <c r="AE72" s="4" t="s">
        <v>232</v>
      </c>
      <c r="AF72" s="4" t="s">
        <v>85</v>
      </c>
    </row>
    <row r="73" spans="1:35" ht="18" x14ac:dyDescent="0.3">
      <c r="A73" s="51" t="s">
        <v>233</v>
      </c>
      <c r="B73" s="51"/>
      <c r="C73" s="47" t="s">
        <v>89</v>
      </c>
      <c r="D73" s="53"/>
      <c r="E73" s="53"/>
      <c r="F73" s="57" t="s">
        <v>82</v>
      </c>
      <c r="G73" s="58">
        <v>0.8</v>
      </c>
      <c r="H73" s="53"/>
      <c r="I73" s="58">
        <v>5.12</v>
      </c>
      <c r="J73" s="59">
        <v>51.64</v>
      </c>
      <c r="K73" s="60"/>
      <c r="L73" s="60"/>
      <c r="M73" s="59">
        <f>ROUND(ROUND(J73, 2)*I73, 2)</f>
        <v>264.39999999999998</v>
      </c>
      <c r="N73" s="60"/>
      <c r="O73" s="60"/>
      <c r="P73" s="59">
        <v>51.63</v>
      </c>
      <c r="Q73" s="60"/>
      <c r="R73" s="60"/>
      <c r="S73" s="59">
        <f>ROUND(ROUND(P73, 2)*I73, 2)</f>
        <v>264.35000000000002</v>
      </c>
      <c r="T73" s="60"/>
      <c r="U73" s="61"/>
      <c r="V73" s="9">
        <f>ROUND(ROUND(P73, 2)/1.2, 2)</f>
        <v>43.03</v>
      </c>
      <c r="Y73" s="9">
        <f t="shared" si="18"/>
        <v>220.29</v>
      </c>
      <c r="AD73" s="4" t="s">
        <v>234</v>
      </c>
      <c r="AE73" s="4" t="s">
        <v>235</v>
      </c>
      <c r="AF73" s="4" t="s">
        <v>92</v>
      </c>
    </row>
    <row r="74" spans="1:35" ht="72" x14ac:dyDescent="0.3">
      <c r="A74" s="51" t="s">
        <v>236</v>
      </c>
      <c r="B74" s="51"/>
      <c r="C74" s="56" t="s">
        <v>204</v>
      </c>
      <c r="D74" s="53"/>
      <c r="E74" s="53"/>
      <c r="F74" s="57" t="s">
        <v>67</v>
      </c>
      <c r="G74" s="58">
        <v>1</v>
      </c>
      <c r="H74" s="53"/>
      <c r="I74" s="58">
        <v>6.4</v>
      </c>
      <c r="J74" s="59">
        <v>111.16</v>
      </c>
      <c r="K74" s="60"/>
      <c r="L74" s="60"/>
      <c r="M74" s="59">
        <f>ROUND(ROUND(J74, 2)*I74, 2)</f>
        <v>711.42</v>
      </c>
      <c r="N74" s="60"/>
      <c r="O74" s="60"/>
      <c r="P74" s="59">
        <v>111.15</v>
      </c>
      <c r="Q74" s="60"/>
      <c r="R74" s="60"/>
      <c r="S74" s="59">
        <f>ROUND(ROUND(P74, 2)*I74, 2)</f>
        <v>711.36</v>
      </c>
      <c r="T74" s="60"/>
      <c r="U74" s="61"/>
      <c r="V74" s="9">
        <f>ROUND(ROUND(P74, 2)/1.2, 2)</f>
        <v>92.63</v>
      </c>
      <c r="Y74" s="9">
        <f t="shared" si="18"/>
        <v>592.79999999999995</v>
      </c>
      <c r="AD74" s="4" t="s">
        <v>237</v>
      </c>
      <c r="AE74" s="4" t="s">
        <v>238</v>
      </c>
      <c r="AF74" s="4" t="s">
        <v>207</v>
      </c>
    </row>
    <row r="75" spans="1:35" ht="16.95" customHeight="1" x14ac:dyDescent="0.3">
      <c r="A75" s="10" t="s">
        <v>239</v>
      </c>
      <c r="B75" s="10" t="s">
        <v>240</v>
      </c>
      <c r="C75" s="153" t="s">
        <v>241</v>
      </c>
      <c r="D75" s="154"/>
      <c r="E75" s="154"/>
      <c r="F75" s="154"/>
      <c r="G75" s="154"/>
      <c r="H75" s="154"/>
      <c r="I75" s="155"/>
      <c r="M75" s="6">
        <f t="shared" ref="M75:O76" si="19">SUM(M76)</f>
        <v>23908846.960000001</v>
      </c>
      <c r="N75" s="6">
        <f t="shared" si="19"/>
        <v>31501631.109999999</v>
      </c>
      <c r="O75" s="6">
        <f t="shared" si="19"/>
        <v>55410478.07</v>
      </c>
      <c r="S75" s="6">
        <f t="shared" ref="S75:U76" si="20">SUM(S76)</f>
        <v>22773018.530000001</v>
      </c>
      <c r="T75" s="6">
        <f t="shared" si="20"/>
        <v>47252446.670000002</v>
      </c>
      <c r="U75" s="6">
        <f t="shared" si="20"/>
        <v>70025465.200000003</v>
      </c>
      <c r="Y75" s="9">
        <f t="shared" ref="Y75:AA76" si="21">SUM(Y76)</f>
        <v>18977515.48</v>
      </c>
      <c r="Z75" s="9">
        <f t="shared" si="21"/>
        <v>39377038.969999999</v>
      </c>
      <c r="AA75" s="9" t="e">
        <f t="shared" si="21"/>
        <v>#VALUE!</v>
      </c>
      <c r="AD75" s="4">
        <v>304337535</v>
      </c>
      <c r="AE75" s="4">
        <v>20296909</v>
      </c>
    </row>
    <row r="76" spans="1:35" ht="16.95" customHeight="1" x14ac:dyDescent="0.3">
      <c r="A76" s="10" t="s">
        <v>242</v>
      </c>
      <c r="B76" s="10" t="s">
        <v>243</v>
      </c>
      <c r="C76" s="153" t="s">
        <v>244</v>
      </c>
      <c r="D76" s="154"/>
      <c r="E76" s="154"/>
      <c r="F76" s="154"/>
      <c r="G76" s="154"/>
      <c r="H76" s="154"/>
      <c r="I76" s="155"/>
      <c r="M76" s="6">
        <f t="shared" si="19"/>
        <v>23908846.960000001</v>
      </c>
      <c r="N76" s="6">
        <f t="shared" si="19"/>
        <v>31501631.109999999</v>
      </c>
      <c r="O76" s="6">
        <f t="shared" si="19"/>
        <v>55410478.07</v>
      </c>
      <c r="S76" s="6">
        <f t="shared" si="20"/>
        <v>22773018.530000001</v>
      </c>
      <c r="T76" s="6">
        <f t="shared" si="20"/>
        <v>47252446.670000002</v>
      </c>
      <c r="U76" s="6">
        <f t="shared" si="20"/>
        <v>70025465.200000003</v>
      </c>
      <c r="Y76" s="9">
        <f t="shared" si="21"/>
        <v>18977515.48</v>
      </c>
      <c r="Z76" s="9">
        <f t="shared" si="21"/>
        <v>39377038.969999999</v>
      </c>
      <c r="AA76" s="9" t="e">
        <f t="shared" si="21"/>
        <v>#VALUE!</v>
      </c>
      <c r="AD76" s="4">
        <v>304337536</v>
      </c>
      <c r="AE76" s="4">
        <v>20296911</v>
      </c>
    </row>
    <row r="77" spans="1:35" ht="16.95" customHeight="1" x14ac:dyDescent="0.3">
      <c r="A77" s="10" t="s">
        <v>245</v>
      </c>
      <c r="B77" s="10" t="s">
        <v>246</v>
      </c>
      <c r="C77" s="153" t="s">
        <v>247</v>
      </c>
      <c r="D77" s="154"/>
      <c r="E77" s="154"/>
      <c r="F77" s="154"/>
      <c r="G77" s="154"/>
      <c r="H77" s="154"/>
      <c r="I77" s="155"/>
      <c r="M77" s="6">
        <f>SUM(M78,M380,M665,M725)</f>
        <v>23908846.960000001</v>
      </c>
      <c r="N77" s="6">
        <f>SUM(N78,N380,N665,N725)</f>
        <v>31501631.109999999</v>
      </c>
      <c r="O77" s="6">
        <f>SUM(O78,O380,O665,O725)</f>
        <v>55410478.07</v>
      </c>
      <c r="S77" s="6">
        <f>SUM(S78,S380,S665,S725)</f>
        <v>22773018.530000001</v>
      </c>
      <c r="T77" s="6">
        <f>SUM(T78,T380,T665,T725)</f>
        <v>47252446.670000002</v>
      </c>
      <c r="U77" s="6">
        <f>SUM(U78,U380,U665,U725)</f>
        <v>70025465.200000003</v>
      </c>
      <c r="Y77" s="9">
        <f>SUM(Y78,Y380,Y665,Y725)</f>
        <v>18977515.48</v>
      </c>
      <c r="Z77" s="9">
        <f>SUM(Z78,Z380,Z665,Z725)</f>
        <v>39377038.969999999</v>
      </c>
      <c r="AA77" s="9" t="e">
        <f>SUM(AA78,AA380,AA665,AA725)</f>
        <v>#VALUE!</v>
      </c>
      <c r="AD77" s="4">
        <v>304337537</v>
      </c>
      <c r="AE77" s="4">
        <v>20296917</v>
      </c>
    </row>
    <row r="78" spans="1:35" ht="16.95" customHeight="1" x14ac:dyDescent="0.3">
      <c r="A78" s="10" t="s">
        <v>248</v>
      </c>
      <c r="B78" s="10" t="s">
        <v>249</v>
      </c>
      <c r="C78" s="153" t="s">
        <v>250</v>
      </c>
      <c r="D78" s="154"/>
      <c r="E78" s="154"/>
      <c r="F78" s="154"/>
      <c r="G78" s="154"/>
      <c r="H78" s="154"/>
      <c r="I78" s="155"/>
      <c r="M78" s="6">
        <f>SUM(M79,M373)</f>
        <v>11342871.83</v>
      </c>
      <c r="N78" s="6">
        <f>SUM(N79,N373)</f>
        <v>11179170.51</v>
      </c>
      <c r="O78" s="6">
        <f>SUM(O79,O373)</f>
        <v>22522042.34</v>
      </c>
      <c r="S78" s="6">
        <f>SUM(S79,S373)</f>
        <v>12112476.130000001</v>
      </c>
      <c r="T78" s="6">
        <f>SUM(T79,T373)</f>
        <v>16768755.77</v>
      </c>
      <c r="U78" s="6">
        <f>SUM(U79,U373)</f>
        <v>28881231.899999999</v>
      </c>
      <c r="Y78" s="9">
        <f>SUM(Y79,Y373)</f>
        <v>10093730.1</v>
      </c>
      <c r="Z78" s="9">
        <f>SUM(Z79,Z373)</f>
        <v>13973963.18</v>
      </c>
      <c r="AA78" s="9">
        <f>SUM(AA79,AA373)</f>
        <v>24067693.280000001</v>
      </c>
      <c r="AD78" s="4">
        <v>304337538</v>
      </c>
      <c r="AE78" s="4">
        <v>20296918</v>
      </c>
    </row>
    <row r="79" spans="1:35" ht="16.95" customHeight="1" x14ac:dyDescent="0.3">
      <c r="A79" s="10" t="s">
        <v>251</v>
      </c>
      <c r="B79" s="10" t="s">
        <v>252</v>
      </c>
      <c r="C79" s="153" t="s">
        <v>253</v>
      </c>
      <c r="D79" s="154"/>
      <c r="E79" s="154"/>
      <c r="F79" s="154"/>
      <c r="G79" s="154"/>
      <c r="H79" s="154"/>
      <c r="I79" s="155"/>
      <c r="M79" s="6">
        <f>SUM(M80,M88,M96,M104,M108,M112,M115,M121,M127,M133,M139,M142,M145,M148,M151,M157,M163,M166,M169,M173,M177,M179,M181,M191,M201,M211,M216,M221,M226,M236,M246,M254,M258,M263,M268,M278,M283,M293,M303,M313,M323,M333,M343,M348,M353,M358,M363,M368)</f>
        <v>11013221.83</v>
      </c>
      <c r="N79" s="6">
        <f>SUM(N80,N88,N96,N104,N108,N112,N115,N121,N127,N133,N139,N142,N145,N148,N151,N157,N163,N166,N169,N173,N177,N179,N181,N191,N201,N211,N216,N221,N226,N236,N246,N254,N258,N263,N268,N278,N283,N293,N303,N313,N323,N333,N343,N348,N353,N358,N363,N368)</f>
        <v>11150161.310000001</v>
      </c>
      <c r="O79" s="6">
        <f>SUM(O80,O88,O96,O104,O108,O112,O115,O121,O127,O133,O139,O142,O145,O148,O151,O157,O163,O166,O169,O173,O177,O179,O181,O191,O201,O211,O216,O221,O226,O236,O246,O254,O258,O263,O268,O278,O283,O293,O303,O313,O323,O333,O343,O348,O353,O358,O363,O368)</f>
        <v>22163383.140000001</v>
      </c>
      <c r="S79" s="6">
        <f>SUM(S80,S88,S96,S104,S108,S112,S115,S121,S127,S133,S139,S142,S145,S148,S151,S157,S163,S166,S169,S173,S177,S179,S181,S191,S201,S211,S216,S221,S226,S236,S246,S254,S258,S263,S268,S278,S283,S293,S303,S313,S323,S333,S343,S348,S353,S358,S363,S368)</f>
        <v>11782826.130000001</v>
      </c>
      <c r="T79" s="6">
        <f>SUM(T80,T88,T96,T104,T108,T112,T115,T121,T127,T133,T139,T142,T145,T148,T151,T157,T163,T166,T169,T173,T177,T179,T181,T191,T201,T211,T216,T221,T226,T236,T246,T254,T258,T263,T268,T278,T283,T293,T303,T313,T323,T333,T343,T348,T353,T358,T363,T368)</f>
        <v>16725241.970000001</v>
      </c>
      <c r="U79" s="6">
        <f>SUM(U80,U88,U96,U104,U108,U112,U115,U121,U127,U133,U139,U142,U145,U148,U151,U157,U163,U166,U169,U173,U177,U179,U181,U191,U201,U211,U216,U221,U226,U236,U246,U254,U258,U263,U268,U278,U283,U293,U303,U313,U323,U333,U343,U348,U353,U358,U363,U368)</f>
        <v>28508068.100000001</v>
      </c>
      <c r="Y79" s="9">
        <f>SUM(Y80,Y88,Y96,Y104,Y108,Y112,Y115,Y121,Y127,Y133,Y139,Y142,Y145,Y148,Y151,Y157,Y163,Y166,Y169,Y173,Y177,Y179,Y181,Y191,Y201,Y211,Y216,Y221,Y226,Y236,Y246,Y254,Y258,Y263,Y268,Y278,Y283,Y293,Y303,Y313,Y323,Y333,Y343,Y348,Y353,Y358,Y363,Y368)</f>
        <v>9819021.7699999996</v>
      </c>
      <c r="Z79" s="9">
        <f>SUM(Z80,Z88,Z96,Z104,Z108,Z112,Z115,Z121,Z127,Z133,Z139,Z142,Z145,Z148,Z151,Z157,Z163,Z166,Z169,Z173,Z177,Z179,Z181,Z191,Z201,Z211,Z216,Z221,Z226,Z236,Z246,Z254,Z258,Z263,Z268,Z278,Z283,Z293,Z303,Z313,Z323,Z333,Z343,Z348,Z353,Z358,Z363,Z368)</f>
        <v>13937701.68</v>
      </c>
      <c r="AA79" s="9">
        <f>SUM(AA80,AA88,AA96,AA104,AA108,AA112,AA115,AA121,AA127,AA133,AA139,AA142,AA145,AA148,AA151,AA157,AA163,AA166,AA169,AA173,AA177,AA179,AA181,AA191,AA201,AA211,AA216,AA221,AA226,AA236,AA246,AA254,AA258,AA263,AA268,AA278,AA283,AA293,AA303,AA313,AA323,AA333,AA343,AA348,AA353,AA358,AA363,AA368)</f>
        <v>23756723.449999999</v>
      </c>
      <c r="AD79" s="4">
        <v>304337539</v>
      </c>
      <c r="AE79" s="4">
        <v>20297376</v>
      </c>
    </row>
    <row r="80" spans="1:35" ht="18" x14ac:dyDescent="0.3">
      <c r="A80" s="17" t="s">
        <v>254</v>
      </c>
      <c r="B80" s="17" t="s">
        <v>255</v>
      </c>
      <c r="C80" s="18" t="s">
        <v>256</v>
      </c>
      <c r="D80" s="19" t="s">
        <v>257</v>
      </c>
      <c r="E80" s="19"/>
      <c r="F80" s="19" t="s">
        <v>59</v>
      </c>
      <c r="G80" s="20">
        <v>1</v>
      </c>
      <c r="H80" s="19"/>
      <c r="I80" s="21">
        <v>0</v>
      </c>
      <c r="J80" s="22">
        <f>IFERROR(ROUND(SUM(M82,M84,M86)/I80, 2),0)</f>
        <v>0</v>
      </c>
      <c r="K80" s="22">
        <v>556</v>
      </c>
      <c r="L80" s="22">
        <f>J80+ROUND(K80, 2)</f>
        <v>556</v>
      </c>
      <c r="M80" s="22">
        <f>ROUND(J80*I80, 2)</f>
        <v>0</v>
      </c>
      <c r="N80" s="22">
        <f>ROUND(I80*ROUND(K80, 2), 2)</f>
        <v>0</v>
      </c>
      <c r="O80" s="22">
        <f>M80+N80</f>
        <v>0</v>
      </c>
      <c r="P80" s="22">
        <f>IFERROR(ROUND(SUM(S82,S84,S86)/I80, 2),0)</f>
        <v>0</v>
      </c>
      <c r="Q80" s="22">
        <v>556</v>
      </c>
      <c r="R80" s="22">
        <f>P80+ROUND(Q80, 2)</f>
        <v>556</v>
      </c>
      <c r="S80" s="22">
        <f>ROUND(P80*I80, 2)</f>
        <v>0</v>
      </c>
      <c r="T80" s="22">
        <f>ROUND(I80*ROUND(Q80, 2), 2)</f>
        <v>0</v>
      </c>
      <c r="U80" s="22">
        <f>S80+T80</f>
        <v>0</v>
      </c>
      <c r="V80" s="9">
        <f>ROUND(P80 / 1.2, 2)</f>
        <v>0</v>
      </c>
      <c r="W80" s="9">
        <f>ROUND(Q80 / 1.2, 2)</f>
        <v>463.33</v>
      </c>
      <c r="X80" s="9">
        <f>ROUND(R80 / 1.2, 2)</f>
        <v>463.33</v>
      </c>
      <c r="Y80" s="9">
        <f>ROUND(S80 / 1.2, 2)</f>
        <v>0</v>
      </c>
      <c r="Z80" s="9">
        <f>ROUND(T80 / 1.2, 2)</f>
        <v>0</v>
      </c>
      <c r="AA80" s="9">
        <f>Y80+Z80</f>
        <v>0</v>
      </c>
      <c r="AD80" s="4">
        <v>304337541</v>
      </c>
      <c r="AE80" s="4">
        <v>20297393</v>
      </c>
      <c r="AG80" s="4" t="s">
        <v>258</v>
      </c>
      <c r="AH80" s="4" t="s">
        <v>259</v>
      </c>
      <c r="AI80" s="4" t="s">
        <v>260</v>
      </c>
    </row>
    <row r="81" spans="1:35" ht="18" x14ac:dyDescent="0.3">
      <c r="A81" s="23" t="s">
        <v>261</v>
      </c>
      <c r="B81" s="23" t="s">
        <v>255</v>
      </c>
      <c r="C81" s="24" t="s">
        <v>256</v>
      </c>
      <c r="D81" s="25" t="s">
        <v>257</v>
      </c>
      <c r="E81" s="25" t="s">
        <v>262</v>
      </c>
      <c r="F81" s="25" t="s">
        <v>59</v>
      </c>
      <c r="G81" s="26">
        <v>1</v>
      </c>
      <c r="H81" s="25"/>
      <c r="I81" s="26">
        <v>435.4</v>
      </c>
      <c r="J81" s="27">
        <v>0</v>
      </c>
      <c r="K81" s="27">
        <v>556</v>
      </c>
      <c r="L81" s="27"/>
      <c r="M81" s="27">
        <v>0</v>
      </c>
      <c r="N81" s="27"/>
      <c r="O81" s="27"/>
      <c r="P81" s="27">
        <v>0</v>
      </c>
      <c r="Q81" s="27">
        <v>556</v>
      </c>
      <c r="R81" s="27"/>
      <c r="S81" s="27">
        <v>0</v>
      </c>
      <c r="T81" s="27"/>
      <c r="U81" s="27"/>
      <c r="V81" s="9"/>
      <c r="W81" s="9">
        <f>ROUND(Q81 / 1.2, 2)</f>
        <v>463.33</v>
      </c>
      <c r="X81" s="9" t="e">
        <f>ROUND(R81 / 1.2, 2)</f>
        <v>#VALUE!</v>
      </c>
      <c r="Y81" s="9"/>
      <c r="Z81" s="9" t="e">
        <f>ROUND(T81 / 1.2, 2)</f>
        <v>#VALUE!</v>
      </c>
      <c r="AA81" s="9"/>
      <c r="AD81" s="4">
        <v>281879684</v>
      </c>
      <c r="AE81" s="4">
        <v>20297393</v>
      </c>
      <c r="AG81" s="4" t="s">
        <v>258</v>
      </c>
      <c r="AH81" s="4" t="s">
        <v>259</v>
      </c>
      <c r="AI81" s="4"/>
    </row>
    <row r="82" spans="1:35" ht="18" x14ac:dyDescent="0.3">
      <c r="A82" s="17" t="s">
        <v>263</v>
      </c>
      <c r="B82" s="17"/>
      <c r="C82" s="34" t="s">
        <v>264</v>
      </c>
      <c r="D82" s="19"/>
      <c r="E82" s="19"/>
      <c r="F82" s="35" t="s">
        <v>265</v>
      </c>
      <c r="G82" s="36">
        <v>0.3</v>
      </c>
      <c r="H82" s="19"/>
      <c r="I82" s="37">
        <v>0</v>
      </c>
      <c r="J82" s="38">
        <v>220</v>
      </c>
      <c r="K82" s="39"/>
      <c r="L82" s="39"/>
      <c r="M82" s="38">
        <f t="shared" ref="M82:M87" si="22">ROUND(ROUND(J82, 2)*I82, 2)</f>
        <v>0</v>
      </c>
      <c r="N82" s="39"/>
      <c r="O82" s="39"/>
      <c r="P82" s="38">
        <v>220</v>
      </c>
      <c r="Q82" s="39"/>
      <c r="R82" s="39"/>
      <c r="S82" s="38">
        <f t="shared" ref="S82:S87" si="23">ROUND(ROUND(P82, 2)*I82, 2)</f>
        <v>0</v>
      </c>
      <c r="T82" s="39"/>
      <c r="U82" s="40"/>
      <c r="V82" s="9">
        <f t="shared" ref="V82:V87" si="24">ROUND(ROUND(P82, 2)/1.2, 2)</f>
        <v>183.33</v>
      </c>
      <c r="Y82" s="9">
        <f t="shared" ref="Y82:Y88" si="25">ROUND(S82 / 1.2, 2)</f>
        <v>0</v>
      </c>
      <c r="AD82" s="4" t="s">
        <v>266</v>
      </c>
      <c r="AE82" s="4" t="s">
        <v>267</v>
      </c>
      <c r="AF82" s="4" t="s">
        <v>268</v>
      </c>
    </row>
    <row r="83" spans="1:35" ht="18" x14ac:dyDescent="0.3">
      <c r="A83" s="23" t="s">
        <v>269</v>
      </c>
      <c r="B83" s="23"/>
      <c r="C83" s="41" t="s">
        <v>264</v>
      </c>
      <c r="D83" s="25"/>
      <c r="E83" s="25"/>
      <c r="F83" s="42" t="s">
        <v>265</v>
      </c>
      <c r="G83" s="43">
        <v>0.3</v>
      </c>
      <c r="H83" s="25"/>
      <c r="I83" s="43">
        <v>130.62</v>
      </c>
      <c r="J83" s="44">
        <v>220</v>
      </c>
      <c r="K83" s="45"/>
      <c r="L83" s="45"/>
      <c r="M83" s="44">
        <f t="shared" si="22"/>
        <v>28736.400000000001</v>
      </c>
      <c r="N83" s="45"/>
      <c r="O83" s="45"/>
      <c r="P83" s="44">
        <v>220</v>
      </c>
      <c r="Q83" s="45"/>
      <c r="R83" s="45"/>
      <c r="S83" s="44">
        <f t="shared" si="23"/>
        <v>28736.400000000001</v>
      </c>
      <c r="T83" s="45"/>
      <c r="U83" s="46"/>
      <c r="V83" s="9">
        <f t="shared" si="24"/>
        <v>183.33</v>
      </c>
      <c r="Y83" s="9">
        <f t="shared" si="25"/>
        <v>23947</v>
      </c>
      <c r="AD83" s="4" t="s">
        <v>270</v>
      </c>
      <c r="AE83" s="4" t="s">
        <v>267</v>
      </c>
      <c r="AF83" s="4" t="s">
        <v>268</v>
      </c>
    </row>
    <row r="84" spans="1:35" ht="72" x14ac:dyDescent="0.3">
      <c r="A84" s="17" t="s">
        <v>271</v>
      </c>
      <c r="B84" s="17"/>
      <c r="C84" s="34" t="s">
        <v>272</v>
      </c>
      <c r="D84" s="19"/>
      <c r="E84" s="19"/>
      <c r="F84" s="35" t="s">
        <v>82</v>
      </c>
      <c r="G84" s="36">
        <v>1</v>
      </c>
      <c r="H84" s="19"/>
      <c r="I84" s="48">
        <v>0</v>
      </c>
      <c r="J84" s="38">
        <v>51</v>
      </c>
      <c r="K84" s="39"/>
      <c r="L84" s="39"/>
      <c r="M84" s="38">
        <f t="shared" si="22"/>
        <v>0</v>
      </c>
      <c r="N84" s="39"/>
      <c r="O84" s="39"/>
      <c r="P84" s="38">
        <v>51</v>
      </c>
      <c r="Q84" s="39"/>
      <c r="R84" s="39"/>
      <c r="S84" s="38">
        <f t="shared" si="23"/>
        <v>0</v>
      </c>
      <c r="T84" s="39"/>
      <c r="U84" s="40"/>
      <c r="V84" s="9">
        <f t="shared" si="24"/>
        <v>42.5</v>
      </c>
      <c r="Y84" s="9">
        <f t="shared" si="25"/>
        <v>0</v>
      </c>
      <c r="AD84" s="4" t="s">
        <v>273</v>
      </c>
      <c r="AE84" s="4" t="s">
        <v>274</v>
      </c>
      <c r="AF84" s="4" t="s">
        <v>275</v>
      </c>
    </row>
    <row r="85" spans="1:35" ht="72" x14ac:dyDescent="0.3">
      <c r="A85" s="23" t="s">
        <v>276</v>
      </c>
      <c r="B85" s="23"/>
      <c r="C85" s="41" t="s">
        <v>272</v>
      </c>
      <c r="D85" s="25"/>
      <c r="E85" s="25"/>
      <c r="F85" s="42" t="s">
        <v>82</v>
      </c>
      <c r="G85" s="43">
        <v>1</v>
      </c>
      <c r="H85" s="25"/>
      <c r="I85" s="50">
        <v>356</v>
      </c>
      <c r="J85" s="44">
        <v>51</v>
      </c>
      <c r="K85" s="45"/>
      <c r="L85" s="45"/>
      <c r="M85" s="44">
        <f t="shared" si="22"/>
        <v>18156</v>
      </c>
      <c r="N85" s="45"/>
      <c r="O85" s="45"/>
      <c r="P85" s="44">
        <v>51</v>
      </c>
      <c r="Q85" s="45"/>
      <c r="R85" s="45"/>
      <c r="S85" s="44">
        <f t="shared" si="23"/>
        <v>18156</v>
      </c>
      <c r="T85" s="45"/>
      <c r="U85" s="46"/>
      <c r="V85" s="9">
        <f t="shared" si="24"/>
        <v>42.5</v>
      </c>
      <c r="Y85" s="9">
        <f t="shared" si="25"/>
        <v>15130</v>
      </c>
      <c r="AD85" s="4" t="s">
        <v>277</v>
      </c>
      <c r="AE85" s="4" t="s">
        <v>274</v>
      </c>
      <c r="AF85" s="4" t="s">
        <v>275</v>
      </c>
    </row>
    <row r="86" spans="1:35" ht="72" x14ac:dyDescent="0.3">
      <c r="A86" s="17" t="s">
        <v>278</v>
      </c>
      <c r="B86" s="17"/>
      <c r="C86" s="34" t="s">
        <v>279</v>
      </c>
      <c r="D86" s="19"/>
      <c r="E86" s="19"/>
      <c r="F86" s="35" t="s">
        <v>59</v>
      </c>
      <c r="G86" s="36">
        <v>1.1000000000000001</v>
      </c>
      <c r="H86" s="19"/>
      <c r="I86" s="48">
        <v>0</v>
      </c>
      <c r="J86" s="38">
        <v>1339</v>
      </c>
      <c r="K86" s="39"/>
      <c r="L86" s="39"/>
      <c r="M86" s="38">
        <f t="shared" si="22"/>
        <v>0</v>
      </c>
      <c r="N86" s="39"/>
      <c r="O86" s="39"/>
      <c r="P86" s="38">
        <v>1339</v>
      </c>
      <c r="Q86" s="39"/>
      <c r="R86" s="39"/>
      <c r="S86" s="38">
        <f t="shared" si="23"/>
        <v>0</v>
      </c>
      <c r="T86" s="39"/>
      <c r="U86" s="40"/>
      <c r="V86" s="9">
        <f t="shared" si="24"/>
        <v>1115.83</v>
      </c>
      <c r="Y86" s="9">
        <f t="shared" si="25"/>
        <v>0</v>
      </c>
      <c r="AD86" s="4" t="s">
        <v>280</v>
      </c>
      <c r="AE86" s="4" t="s">
        <v>281</v>
      </c>
      <c r="AF86" s="4" t="s">
        <v>282</v>
      </c>
    </row>
    <row r="87" spans="1:35" ht="72" x14ac:dyDescent="0.3">
      <c r="A87" s="23" t="s">
        <v>283</v>
      </c>
      <c r="B87" s="23"/>
      <c r="C87" s="41" t="s">
        <v>279</v>
      </c>
      <c r="D87" s="25"/>
      <c r="E87" s="25" t="s">
        <v>284</v>
      </c>
      <c r="F87" s="42" t="s">
        <v>59</v>
      </c>
      <c r="G87" s="43">
        <v>1.1000000000000001</v>
      </c>
      <c r="H87" s="25"/>
      <c r="I87" s="50">
        <v>478.94</v>
      </c>
      <c r="J87" s="44">
        <v>1339</v>
      </c>
      <c r="K87" s="45"/>
      <c r="L87" s="45"/>
      <c r="M87" s="44">
        <f t="shared" si="22"/>
        <v>641300.66</v>
      </c>
      <c r="N87" s="45"/>
      <c r="O87" s="45"/>
      <c r="P87" s="44">
        <v>1339</v>
      </c>
      <c r="Q87" s="45"/>
      <c r="R87" s="45"/>
      <c r="S87" s="44">
        <f t="shared" si="23"/>
        <v>641300.66</v>
      </c>
      <c r="T87" s="45"/>
      <c r="U87" s="46"/>
      <c r="V87" s="9">
        <f t="shared" si="24"/>
        <v>1115.83</v>
      </c>
      <c r="Y87" s="9">
        <f t="shared" si="25"/>
        <v>534417.22</v>
      </c>
      <c r="AD87" s="4" t="s">
        <v>285</v>
      </c>
      <c r="AE87" s="4" t="s">
        <v>281</v>
      </c>
      <c r="AF87" s="4" t="s">
        <v>282</v>
      </c>
    </row>
    <row r="88" spans="1:35" ht="18" x14ac:dyDescent="0.3">
      <c r="A88" s="17" t="s">
        <v>286</v>
      </c>
      <c r="B88" s="17" t="s">
        <v>255</v>
      </c>
      <c r="C88" s="18" t="s">
        <v>256</v>
      </c>
      <c r="D88" s="19" t="s">
        <v>257</v>
      </c>
      <c r="E88" s="19"/>
      <c r="F88" s="19" t="s">
        <v>59</v>
      </c>
      <c r="G88" s="20">
        <v>1</v>
      </c>
      <c r="H88" s="19"/>
      <c r="I88" s="21">
        <v>0</v>
      </c>
      <c r="J88" s="22">
        <f>IFERROR(ROUND(SUM(M90,M92,M94)/I88, 2),0)</f>
        <v>0</v>
      </c>
      <c r="K88" s="22">
        <v>556</v>
      </c>
      <c r="L88" s="22">
        <f>J88+ROUND(K88, 2)</f>
        <v>556</v>
      </c>
      <c r="M88" s="22">
        <f>ROUND(J88*I88, 2)</f>
        <v>0</v>
      </c>
      <c r="N88" s="22">
        <f>ROUND(I88*ROUND(K88, 2), 2)</f>
        <v>0</v>
      </c>
      <c r="O88" s="22">
        <f>M88+N88</f>
        <v>0</v>
      </c>
      <c r="P88" s="22">
        <f>IFERROR(ROUND(SUM(S90,S92,S94)/I88, 2),0)</f>
        <v>0</v>
      </c>
      <c r="Q88" s="22">
        <v>556</v>
      </c>
      <c r="R88" s="22">
        <f>P88+ROUND(Q88, 2)</f>
        <v>556</v>
      </c>
      <c r="S88" s="22">
        <f>ROUND(P88*I88, 2)</f>
        <v>0</v>
      </c>
      <c r="T88" s="22">
        <f>ROUND(I88*ROUND(Q88, 2), 2)</f>
        <v>0</v>
      </c>
      <c r="U88" s="22">
        <f>S88+T88</f>
        <v>0</v>
      </c>
      <c r="V88" s="9">
        <f>ROUND(P88 / 1.2, 2)</f>
        <v>0</v>
      </c>
      <c r="W88" s="9">
        <f>ROUND(Q88 / 1.2, 2)</f>
        <v>463.33</v>
      </c>
      <c r="X88" s="9">
        <f>ROUND(R88 / 1.2, 2)</f>
        <v>463.33</v>
      </c>
      <c r="Y88" s="9">
        <f t="shared" si="25"/>
        <v>0</v>
      </c>
      <c r="Z88" s="9">
        <f>ROUND(T88 / 1.2, 2)</f>
        <v>0</v>
      </c>
      <c r="AA88" s="9">
        <f>Y88+Z88</f>
        <v>0</v>
      </c>
      <c r="AD88" s="4">
        <v>304337598</v>
      </c>
      <c r="AE88" s="4">
        <v>20297494</v>
      </c>
      <c r="AG88" s="4" t="s">
        <v>258</v>
      </c>
      <c r="AH88" s="4" t="s">
        <v>259</v>
      </c>
      <c r="AI88" s="4" t="s">
        <v>260</v>
      </c>
    </row>
    <row r="89" spans="1:35" ht="18" x14ac:dyDescent="0.3">
      <c r="A89" s="23" t="s">
        <v>287</v>
      </c>
      <c r="B89" s="23" t="s">
        <v>255</v>
      </c>
      <c r="C89" s="24" t="s">
        <v>256</v>
      </c>
      <c r="D89" s="25" t="s">
        <v>257</v>
      </c>
      <c r="E89" s="25" t="s">
        <v>288</v>
      </c>
      <c r="F89" s="25" t="s">
        <v>59</v>
      </c>
      <c r="G89" s="26">
        <v>1</v>
      </c>
      <c r="H89" s="25"/>
      <c r="I89" s="26">
        <v>1236</v>
      </c>
      <c r="J89" s="27">
        <v>0</v>
      </c>
      <c r="K89" s="27">
        <v>556</v>
      </c>
      <c r="L89" s="27"/>
      <c r="M89" s="27">
        <v>0</v>
      </c>
      <c r="N89" s="27"/>
      <c r="O89" s="27"/>
      <c r="P89" s="27">
        <v>0</v>
      </c>
      <c r="Q89" s="27">
        <v>556</v>
      </c>
      <c r="R89" s="27"/>
      <c r="S89" s="27">
        <v>0</v>
      </c>
      <c r="T89" s="27"/>
      <c r="U89" s="27"/>
      <c r="V89" s="9"/>
      <c r="W89" s="9">
        <f>ROUND(Q89 / 1.2, 2)</f>
        <v>463.33</v>
      </c>
      <c r="X89" s="9" t="e">
        <f>ROUND(R89 / 1.2, 2)</f>
        <v>#VALUE!</v>
      </c>
      <c r="Y89" s="9"/>
      <c r="Z89" s="9" t="e">
        <f>ROUND(T89 / 1.2, 2)</f>
        <v>#VALUE!</v>
      </c>
      <c r="AA89" s="9"/>
      <c r="AD89" s="4">
        <v>278420307</v>
      </c>
      <c r="AE89" s="4">
        <v>20297494</v>
      </c>
      <c r="AG89" s="4" t="s">
        <v>258</v>
      </c>
      <c r="AH89" s="4" t="s">
        <v>259</v>
      </c>
      <c r="AI89" s="4"/>
    </row>
    <row r="90" spans="1:35" ht="54" x14ac:dyDescent="0.3">
      <c r="A90" s="17" t="s">
        <v>289</v>
      </c>
      <c r="B90" s="17"/>
      <c r="C90" s="34" t="s">
        <v>290</v>
      </c>
      <c r="D90" s="19"/>
      <c r="E90" s="19"/>
      <c r="F90" s="35" t="s">
        <v>59</v>
      </c>
      <c r="G90" s="36">
        <v>1.1000000000000001</v>
      </c>
      <c r="H90" s="19"/>
      <c r="I90" s="48">
        <v>0</v>
      </c>
      <c r="J90" s="38">
        <v>1339</v>
      </c>
      <c r="K90" s="39"/>
      <c r="L90" s="39"/>
      <c r="M90" s="38">
        <f t="shared" ref="M90:M95" si="26">ROUND(ROUND(J90, 2)*I90, 2)</f>
        <v>0</v>
      </c>
      <c r="N90" s="39"/>
      <c r="O90" s="39"/>
      <c r="P90" s="38">
        <v>1339</v>
      </c>
      <c r="Q90" s="39"/>
      <c r="R90" s="39"/>
      <c r="S90" s="38">
        <f t="shared" ref="S90:S95" si="27">ROUND(ROUND(P90, 2)*I90, 2)</f>
        <v>0</v>
      </c>
      <c r="T90" s="39"/>
      <c r="U90" s="40"/>
      <c r="V90" s="9">
        <f t="shared" ref="V90:V95" si="28">ROUND(ROUND(P90, 2)/1.2, 2)</f>
        <v>1115.83</v>
      </c>
      <c r="Y90" s="9">
        <f t="shared" ref="Y90:Y96" si="29">ROUND(S90 / 1.2, 2)</f>
        <v>0</v>
      </c>
      <c r="AD90" s="4" t="s">
        <v>291</v>
      </c>
      <c r="AE90" s="4" t="s">
        <v>292</v>
      </c>
      <c r="AF90" s="4" t="s">
        <v>293</v>
      </c>
    </row>
    <row r="91" spans="1:35" ht="54" x14ac:dyDescent="0.3">
      <c r="A91" s="23" t="s">
        <v>294</v>
      </c>
      <c r="B91" s="23"/>
      <c r="C91" s="41" t="s">
        <v>290</v>
      </c>
      <c r="D91" s="25"/>
      <c r="E91" s="25"/>
      <c r="F91" s="42" t="s">
        <v>59</v>
      </c>
      <c r="G91" s="43">
        <v>1.1000000000000001</v>
      </c>
      <c r="H91" s="25"/>
      <c r="I91" s="50">
        <v>1359.6</v>
      </c>
      <c r="J91" s="44">
        <v>1339</v>
      </c>
      <c r="K91" s="45"/>
      <c r="L91" s="45"/>
      <c r="M91" s="44">
        <f t="shared" si="26"/>
        <v>1820504.4</v>
      </c>
      <c r="N91" s="45"/>
      <c r="O91" s="45"/>
      <c r="P91" s="44">
        <v>1339</v>
      </c>
      <c r="Q91" s="45"/>
      <c r="R91" s="45"/>
      <c r="S91" s="44">
        <f t="shared" si="27"/>
        <v>1820504.4</v>
      </c>
      <c r="T91" s="45"/>
      <c r="U91" s="46"/>
      <c r="V91" s="9">
        <f t="shared" si="28"/>
        <v>1115.83</v>
      </c>
      <c r="Y91" s="9">
        <f t="shared" si="29"/>
        <v>1517087</v>
      </c>
      <c r="AD91" s="4" t="s">
        <v>295</v>
      </c>
      <c r="AE91" s="4" t="s">
        <v>292</v>
      </c>
      <c r="AF91" s="4" t="s">
        <v>293</v>
      </c>
    </row>
    <row r="92" spans="1:35" ht="72" x14ac:dyDescent="0.3">
      <c r="A92" s="17" t="s">
        <v>296</v>
      </c>
      <c r="B92" s="17"/>
      <c r="C92" s="34" t="s">
        <v>297</v>
      </c>
      <c r="D92" s="19"/>
      <c r="E92" s="19"/>
      <c r="F92" s="35" t="s">
        <v>82</v>
      </c>
      <c r="G92" s="36">
        <v>1</v>
      </c>
      <c r="H92" s="19"/>
      <c r="I92" s="48">
        <v>0</v>
      </c>
      <c r="J92" s="38">
        <v>51</v>
      </c>
      <c r="K92" s="39"/>
      <c r="L92" s="39"/>
      <c r="M92" s="38">
        <f t="shared" si="26"/>
        <v>0</v>
      </c>
      <c r="N92" s="39"/>
      <c r="O92" s="39"/>
      <c r="P92" s="38">
        <v>51</v>
      </c>
      <c r="Q92" s="39"/>
      <c r="R92" s="39"/>
      <c r="S92" s="38">
        <f t="shared" si="27"/>
        <v>0</v>
      </c>
      <c r="T92" s="39"/>
      <c r="U92" s="40"/>
      <c r="V92" s="9">
        <f t="shared" si="28"/>
        <v>42.5</v>
      </c>
      <c r="Y92" s="9">
        <f t="shared" si="29"/>
        <v>0</v>
      </c>
      <c r="AD92" s="4" t="s">
        <v>298</v>
      </c>
      <c r="AE92" s="4" t="s">
        <v>299</v>
      </c>
      <c r="AF92" s="4" t="s">
        <v>300</v>
      </c>
    </row>
    <row r="93" spans="1:35" ht="72" x14ac:dyDescent="0.3">
      <c r="A93" s="23" t="s">
        <v>301</v>
      </c>
      <c r="B93" s="23"/>
      <c r="C93" s="41" t="s">
        <v>297</v>
      </c>
      <c r="D93" s="25"/>
      <c r="E93" s="25"/>
      <c r="F93" s="42" t="s">
        <v>82</v>
      </c>
      <c r="G93" s="43">
        <v>1</v>
      </c>
      <c r="H93" s="25"/>
      <c r="I93" s="50">
        <v>561</v>
      </c>
      <c r="J93" s="44">
        <v>51</v>
      </c>
      <c r="K93" s="45"/>
      <c r="L93" s="45"/>
      <c r="M93" s="44">
        <f t="shared" si="26"/>
        <v>28611</v>
      </c>
      <c r="N93" s="45"/>
      <c r="O93" s="45"/>
      <c r="P93" s="44">
        <v>51</v>
      </c>
      <c r="Q93" s="45"/>
      <c r="R93" s="45"/>
      <c r="S93" s="44">
        <f t="shared" si="27"/>
        <v>28611</v>
      </c>
      <c r="T93" s="45"/>
      <c r="U93" s="46"/>
      <c r="V93" s="9">
        <f t="shared" si="28"/>
        <v>42.5</v>
      </c>
      <c r="Y93" s="9">
        <f t="shared" si="29"/>
        <v>23842.5</v>
      </c>
      <c r="AD93" s="4" t="s">
        <v>302</v>
      </c>
      <c r="AE93" s="4" t="s">
        <v>299</v>
      </c>
      <c r="AF93" s="4" t="s">
        <v>300</v>
      </c>
    </row>
    <row r="94" spans="1:35" ht="18" x14ac:dyDescent="0.3">
      <c r="A94" s="17" t="s">
        <v>303</v>
      </c>
      <c r="B94" s="17"/>
      <c r="C94" s="34" t="s">
        <v>264</v>
      </c>
      <c r="D94" s="19"/>
      <c r="E94" s="19"/>
      <c r="F94" s="35" t="s">
        <v>265</v>
      </c>
      <c r="G94" s="36">
        <v>0.3</v>
      </c>
      <c r="H94" s="19"/>
      <c r="I94" s="37">
        <v>0</v>
      </c>
      <c r="J94" s="38">
        <v>220</v>
      </c>
      <c r="K94" s="39"/>
      <c r="L94" s="39"/>
      <c r="M94" s="38">
        <f t="shared" si="26"/>
        <v>0</v>
      </c>
      <c r="N94" s="39"/>
      <c r="O94" s="39"/>
      <c r="P94" s="38">
        <v>220</v>
      </c>
      <c r="Q94" s="39"/>
      <c r="R94" s="39"/>
      <c r="S94" s="38">
        <f t="shared" si="27"/>
        <v>0</v>
      </c>
      <c r="T94" s="39"/>
      <c r="U94" s="40"/>
      <c r="V94" s="9">
        <f t="shared" si="28"/>
        <v>183.33</v>
      </c>
      <c r="Y94" s="9">
        <f t="shared" si="29"/>
        <v>0</v>
      </c>
      <c r="AD94" s="4" t="s">
        <v>304</v>
      </c>
      <c r="AE94" s="4" t="s">
        <v>305</v>
      </c>
      <c r="AF94" s="4" t="s">
        <v>268</v>
      </c>
    </row>
    <row r="95" spans="1:35" ht="18" x14ac:dyDescent="0.3">
      <c r="A95" s="23" t="s">
        <v>306</v>
      </c>
      <c r="B95" s="23"/>
      <c r="C95" s="41" t="s">
        <v>264</v>
      </c>
      <c r="D95" s="25"/>
      <c r="E95" s="25"/>
      <c r="F95" s="42" t="s">
        <v>265</v>
      </c>
      <c r="G95" s="43">
        <v>0.3</v>
      </c>
      <c r="H95" s="25"/>
      <c r="I95" s="43">
        <v>370.8</v>
      </c>
      <c r="J95" s="44">
        <v>220</v>
      </c>
      <c r="K95" s="45"/>
      <c r="L95" s="45"/>
      <c r="M95" s="44">
        <f t="shared" si="26"/>
        <v>81576</v>
      </c>
      <c r="N95" s="45"/>
      <c r="O95" s="45"/>
      <c r="P95" s="44">
        <v>220</v>
      </c>
      <c r="Q95" s="45"/>
      <c r="R95" s="45"/>
      <c r="S95" s="44">
        <f t="shared" si="27"/>
        <v>81576</v>
      </c>
      <c r="T95" s="45"/>
      <c r="U95" s="46"/>
      <c r="V95" s="9">
        <f t="shared" si="28"/>
        <v>183.33</v>
      </c>
      <c r="Y95" s="9">
        <f t="shared" si="29"/>
        <v>67980</v>
      </c>
      <c r="AD95" s="4" t="s">
        <v>307</v>
      </c>
      <c r="AE95" s="4" t="s">
        <v>305</v>
      </c>
      <c r="AF95" s="4" t="s">
        <v>268</v>
      </c>
    </row>
    <row r="96" spans="1:35" ht="18" x14ac:dyDescent="0.3">
      <c r="A96" s="17" t="s">
        <v>308</v>
      </c>
      <c r="B96" s="17" t="s">
        <v>255</v>
      </c>
      <c r="C96" s="18" t="s">
        <v>256</v>
      </c>
      <c r="D96" s="19" t="s">
        <v>257</v>
      </c>
      <c r="E96" s="19" t="s">
        <v>309</v>
      </c>
      <c r="F96" s="19" t="s">
        <v>59</v>
      </c>
      <c r="G96" s="20">
        <v>1</v>
      </c>
      <c r="H96" s="19"/>
      <c r="I96" s="21">
        <v>0</v>
      </c>
      <c r="J96" s="22">
        <f>IFERROR(ROUND(SUM(M98,M100,M102)/I96, 2),0)</f>
        <v>0</v>
      </c>
      <c r="K96" s="22">
        <v>556</v>
      </c>
      <c r="L96" s="22">
        <f>J96+ROUND(K96, 2)</f>
        <v>556</v>
      </c>
      <c r="M96" s="22">
        <f>ROUND(J96*I96, 2)</f>
        <v>0</v>
      </c>
      <c r="N96" s="22">
        <f>ROUND(I96*ROUND(K96, 2), 2)</f>
        <v>0</v>
      </c>
      <c r="O96" s="22">
        <f>M96+N96</f>
        <v>0</v>
      </c>
      <c r="P96" s="22">
        <f>IFERROR(ROUND(SUM(S98,S100,S102)/I96, 2),0)</f>
        <v>0</v>
      </c>
      <c r="Q96" s="22">
        <v>556</v>
      </c>
      <c r="R96" s="22">
        <f>P96+ROUND(Q96, 2)</f>
        <v>556</v>
      </c>
      <c r="S96" s="22">
        <f>ROUND(P96*I96, 2)</f>
        <v>0</v>
      </c>
      <c r="T96" s="22">
        <f>ROUND(I96*ROUND(Q96, 2), 2)</f>
        <v>0</v>
      </c>
      <c r="U96" s="22">
        <f>S96+T96</f>
        <v>0</v>
      </c>
      <c r="V96" s="9">
        <f>ROUND(P96 / 1.2, 2)</f>
        <v>0</v>
      </c>
      <c r="W96" s="9">
        <f>ROUND(Q96 / 1.2, 2)</f>
        <v>463.33</v>
      </c>
      <c r="X96" s="9">
        <f>ROUND(R96 / 1.2, 2)</f>
        <v>463.33</v>
      </c>
      <c r="Y96" s="9">
        <f t="shared" si="29"/>
        <v>0</v>
      </c>
      <c r="Z96" s="9">
        <f>ROUND(T96 / 1.2, 2)</f>
        <v>0</v>
      </c>
      <c r="AA96" s="9">
        <f>Y96+Z96</f>
        <v>0</v>
      </c>
      <c r="AD96" s="4">
        <v>304337599</v>
      </c>
      <c r="AE96" s="4">
        <v>20297502</v>
      </c>
      <c r="AG96" s="4" t="s">
        <v>258</v>
      </c>
      <c r="AH96" s="4" t="s">
        <v>259</v>
      </c>
      <c r="AI96" s="4" t="s">
        <v>260</v>
      </c>
    </row>
    <row r="97" spans="1:35" ht="18" x14ac:dyDescent="0.3">
      <c r="A97" s="23" t="s">
        <v>310</v>
      </c>
      <c r="B97" s="23" t="s">
        <v>255</v>
      </c>
      <c r="C97" s="24" t="s">
        <v>256</v>
      </c>
      <c r="D97" s="25" t="s">
        <v>257</v>
      </c>
      <c r="E97" s="25" t="s">
        <v>309</v>
      </c>
      <c r="F97" s="25" t="s">
        <v>59</v>
      </c>
      <c r="G97" s="26">
        <v>1</v>
      </c>
      <c r="H97" s="25"/>
      <c r="I97" s="26">
        <v>2276</v>
      </c>
      <c r="J97" s="27">
        <v>0</v>
      </c>
      <c r="K97" s="27">
        <v>556</v>
      </c>
      <c r="L97" s="27"/>
      <c r="M97" s="27">
        <v>0</v>
      </c>
      <c r="N97" s="27"/>
      <c r="O97" s="27"/>
      <c r="P97" s="27">
        <v>0</v>
      </c>
      <c r="Q97" s="27">
        <v>556</v>
      </c>
      <c r="R97" s="27"/>
      <c r="S97" s="27">
        <v>0</v>
      </c>
      <c r="T97" s="27"/>
      <c r="U97" s="27"/>
      <c r="V97" s="9"/>
      <c r="W97" s="9">
        <f>ROUND(Q97 / 1.2, 2)</f>
        <v>463.33</v>
      </c>
      <c r="X97" s="9" t="e">
        <f>ROUND(R97 / 1.2, 2)</f>
        <v>#VALUE!</v>
      </c>
      <c r="Y97" s="9"/>
      <c r="Z97" s="9" t="e">
        <f>ROUND(T97 / 1.2, 2)</f>
        <v>#VALUE!</v>
      </c>
      <c r="AA97" s="9"/>
      <c r="AD97" s="4">
        <v>278420308</v>
      </c>
      <c r="AE97" s="4">
        <v>20297502</v>
      </c>
      <c r="AG97" s="4" t="s">
        <v>258</v>
      </c>
      <c r="AH97" s="4" t="s">
        <v>259</v>
      </c>
      <c r="AI97" s="4"/>
    </row>
    <row r="98" spans="1:35" ht="18" x14ac:dyDescent="0.3">
      <c r="A98" s="17" t="s">
        <v>311</v>
      </c>
      <c r="B98" s="17"/>
      <c r="C98" s="34" t="s">
        <v>264</v>
      </c>
      <c r="D98" s="19"/>
      <c r="E98" s="19"/>
      <c r="F98" s="35" t="s">
        <v>265</v>
      </c>
      <c r="G98" s="36">
        <v>0.3</v>
      </c>
      <c r="H98" s="19"/>
      <c r="I98" s="37">
        <v>0</v>
      </c>
      <c r="J98" s="38">
        <v>220</v>
      </c>
      <c r="K98" s="39"/>
      <c r="L98" s="39"/>
      <c r="M98" s="38">
        <f t="shared" ref="M98:M103" si="30">ROUND(ROUND(J98, 2)*I98, 2)</f>
        <v>0</v>
      </c>
      <c r="N98" s="39"/>
      <c r="O98" s="39"/>
      <c r="P98" s="38">
        <v>220</v>
      </c>
      <c r="Q98" s="39"/>
      <c r="R98" s="39"/>
      <c r="S98" s="38">
        <f t="shared" ref="S98:S103" si="31">ROUND(ROUND(P98, 2)*I98, 2)</f>
        <v>0</v>
      </c>
      <c r="T98" s="39"/>
      <c r="U98" s="40"/>
      <c r="V98" s="9">
        <f t="shared" ref="V98:V103" si="32">ROUND(ROUND(P98, 2)/1.2, 2)</f>
        <v>183.33</v>
      </c>
      <c r="Y98" s="9">
        <f t="shared" ref="Y98:Y115" si="33">ROUND(S98 / 1.2, 2)</f>
        <v>0</v>
      </c>
      <c r="AD98" s="4" t="s">
        <v>312</v>
      </c>
      <c r="AE98" s="4" t="s">
        <v>313</v>
      </c>
      <c r="AF98" s="4" t="s">
        <v>268</v>
      </c>
    </row>
    <row r="99" spans="1:35" ht="18" x14ac:dyDescent="0.3">
      <c r="A99" s="23" t="s">
        <v>314</v>
      </c>
      <c r="B99" s="23"/>
      <c r="C99" s="41" t="s">
        <v>264</v>
      </c>
      <c r="D99" s="25"/>
      <c r="E99" s="25"/>
      <c r="F99" s="42" t="s">
        <v>265</v>
      </c>
      <c r="G99" s="43">
        <v>0.3</v>
      </c>
      <c r="H99" s="25"/>
      <c r="I99" s="43">
        <v>682.8</v>
      </c>
      <c r="J99" s="44">
        <v>220</v>
      </c>
      <c r="K99" s="45"/>
      <c r="L99" s="45"/>
      <c r="M99" s="44">
        <f t="shared" si="30"/>
        <v>150216</v>
      </c>
      <c r="N99" s="45"/>
      <c r="O99" s="45"/>
      <c r="P99" s="44">
        <v>220</v>
      </c>
      <c r="Q99" s="45"/>
      <c r="R99" s="45"/>
      <c r="S99" s="44">
        <f t="shared" si="31"/>
        <v>150216</v>
      </c>
      <c r="T99" s="45"/>
      <c r="U99" s="46"/>
      <c r="V99" s="9">
        <f t="shared" si="32"/>
        <v>183.33</v>
      </c>
      <c r="Y99" s="9">
        <f t="shared" si="33"/>
        <v>125180</v>
      </c>
      <c r="AD99" s="4" t="s">
        <v>315</v>
      </c>
      <c r="AE99" s="4" t="s">
        <v>313</v>
      </c>
      <c r="AF99" s="4" t="s">
        <v>268</v>
      </c>
    </row>
    <row r="100" spans="1:35" ht="72" x14ac:dyDescent="0.3">
      <c r="A100" s="17" t="s">
        <v>316</v>
      </c>
      <c r="B100" s="17"/>
      <c r="C100" s="34" t="s">
        <v>297</v>
      </c>
      <c r="D100" s="19"/>
      <c r="E100" s="19"/>
      <c r="F100" s="35" t="s">
        <v>82</v>
      </c>
      <c r="G100" s="36">
        <v>1</v>
      </c>
      <c r="H100" s="19"/>
      <c r="I100" s="48">
        <v>0</v>
      </c>
      <c r="J100" s="38">
        <v>51</v>
      </c>
      <c r="K100" s="39"/>
      <c r="L100" s="39"/>
      <c r="M100" s="38">
        <f t="shared" si="30"/>
        <v>0</v>
      </c>
      <c r="N100" s="39"/>
      <c r="O100" s="39"/>
      <c r="P100" s="38">
        <v>51</v>
      </c>
      <c r="Q100" s="39"/>
      <c r="R100" s="39"/>
      <c r="S100" s="38">
        <f t="shared" si="31"/>
        <v>0</v>
      </c>
      <c r="T100" s="39"/>
      <c r="U100" s="40"/>
      <c r="V100" s="9">
        <f t="shared" si="32"/>
        <v>42.5</v>
      </c>
      <c r="Y100" s="9">
        <f t="shared" si="33"/>
        <v>0</v>
      </c>
      <c r="AD100" s="4" t="s">
        <v>317</v>
      </c>
      <c r="AE100" s="4" t="s">
        <v>318</v>
      </c>
      <c r="AF100" s="4" t="s">
        <v>300</v>
      </c>
    </row>
    <row r="101" spans="1:35" ht="72" x14ac:dyDescent="0.3">
      <c r="A101" s="23" t="s">
        <v>319</v>
      </c>
      <c r="B101" s="23"/>
      <c r="C101" s="41" t="s">
        <v>297</v>
      </c>
      <c r="D101" s="25"/>
      <c r="E101" s="25"/>
      <c r="F101" s="42" t="s">
        <v>82</v>
      </c>
      <c r="G101" s="43">
        <v>1</v>
      </c>
      <c r="H101" s="25"/>
      <c r="I101" s="50">
        <v>1033</v>
      </c>
      <c r="J101" s="44">
        <v>51</v>
      </c>
      <c r="K101" s="45"/>
      <c r="L101" s="45"/>
      <c r="M101" s="44">
        <f t="shared" si="30"/>
        <v>52683</v>
      </c>
      <c r="N101" s="45"/>
      <c r="O101" s="45"/>
      <c r="P101" s="44">
        <v>51</v>
      </c>
      <c r="Q101" s="45"/>
      <c r="R101" s="45"/>
      <c r="S101" s="44">
        <f t="shared" si="31"/>
        <v>52683</v>
      </c>
      <c r="T101" s="45"/>
      <c r="U101" s="46"/>
      <c r="V101" s="9">
        <f t="shared" si="32"/>
        <v>42.5</v>
      </c>
      <c r="Y101" s="9">
        <f t="shared" si="33"/>
        <v>43902.5</v>
      </c>
      <c r="AD101" s="4" t="s">
        <v>320</v>
      </c>
      <c r="AE101" s="4" t="s">
        <v>318</v>
      </c>
      <c r="AF101" s="4" t="s">
        <v>300</v>
      </c>
    </row>
    <row r="102" spans="1:35" ht="54" x14ac:dyDescent="0.3">
      <c r="A102" s="17" t="s">
        <v>321</v>
      </c>
      <c r="B102" s="17"/>
      <c r="C102" s="34" t="s">
        <v>290</v>
      </c>
      <c r="D102" s="19"/>
      <c r="E102" s="19"/>
      <c r="F102" s="35" t="s">
        <v>59</v>
      </c>
      <c r="G102" s="36">
        <v>1.1000000000000001</v>
      </c>
      <c r="H102" s="19"/>
      <c r="I102" s="48">
        <v>0</v>
      </c>
      <c r="J102" s="38">
        <v>1339</v>
      </c>
      <c r="K102" s="39"/>
      <c r="L102" s="39"/>
      <c r="M102" s="38">
        <f t="shared" si="30"/>
        <v>0</v>
      </c>
      <c r="N102" s="39"/>
      <c r="O102" s="39"/>
      <c r="P102" s="38">
        <v>1339</v>
      </c>
      <c r="Q102" s="39"/>
      <c r="R102" s="39"/>
      <c r="S102" s="38">
        <f t="shared" si="31"/>
        <v>0</v>
      </c>
      <c r="T102" s="39"/>
      <c r="U102" s="40"/>
      <c r="V102" s="9">
        <f t="shared" si="32"/>
        <v>1115.83</v>
      </c>
      <c r="Y102" s="9">
        <f t="shared" si="33"/>
        <v>0</v>
      </c>
      <c r="AD102" s="4" t="s">
        <v>322</v>
      </c>
      <c r="AE102" s="4" t="s">
        <v>323</v>
      </c>
      <c r="AF102" s="4" t="s">
        <v>293</v>
      </c>
    </row>
    <row r="103" spans="1:35" ht="54" x14ac:dyDescent="0.3">
      <c r="A103" s="23" t="s">
        <v>324</v>
      </c>
      <c r="B103" s="23"/>
      <c r="C103" s="41" t="s">
        <v>290</v>
      </c>
      <c r="D103" s="25"/>
      <c r="E103" s="25"/>
      <c r="F103" s="42" t="s">
        <v>59</v>
      </c>
      <c r="G103" s="43">
        <v>1.1000000000000001</v>
      </c>
      <c r="H103" s="25"/>
      <c r="I103" s="50">
        <v>2503.6</v>
      </c>
      <c r="J103" s="44">
        <v>1339</v>
      </c>
      <c r="K103" s="45"/>
      <c r="L103" s="45"/>
      <c r="M103" s="44">
        <f t="shared" si="30"/>
        <v>3352320.4</v>
      </c>
      <c r="N103" s="45"/>
      <c r="O103" s="45"/>
      <c r="P103" s="44">
        <v>1339</v>
      </c>
      <c r="Q103" s="45"/>
      <c r="R103" s="45"/>
      <c r="S103" s="44">
        <f t="shared" si="31"/>
        <v>3352320.4</v>
      </c>
      <c r="T103" s="45"/>
      <c r="U103" s="46"/>
      <c r="V103" s="9">
        <f t="shared" si="32"/>
        <v>1115.83</v>
      </c>
      <c r="Y103" s="9">
        <f t="shared" si="33"/>
        <v>2793600.33</v>
      </c>
      <c r="AD103" s="4" t="s">
        <v>325</v>
      </c>
      <c r="AE103" s="4" t="s">
        <v>323</v>
      </c>
      <c r="AF103" s="4" t="s">
        <v>293</v>
      </c>
    </row>
    <row r="104" spans="1:35" ht="18" x14ac:dyDescent="0.3">
      <c r="A104" s="51" t="s">
        <v>326</v>
      </c>
      <c r="B104" s="51" t="s">
        <v>255</v>
      </c>
      <c r="C104" s="52" t="s">
        <v>256</v>
      </c>
      <c r="D104" s="53" t="s">
        <v>257</v>
      </c>
      <c r="E104" s="53" t="s">
        <v>262</v>
      </c>
      <c r="F104" s="53" t="s">
        <v>59</v>
      </c>
      <c r="G104" s="54">
        <v>1</v>
      </c>
      <c r="H104" s="53"/>
      <c r="I104" s="54">
        <v>435.4</v>
      </c>
      <c r="J104" s="55">
        <f>IFERROR(ROUND(SUM(M105,M106,M107)/I104, 2),0)</f>
        <v>1580.6</v>
      </c>
      <c r="K104" s="55">
        <v>556</v>
      </c>
      <c r="L104" s="55">
        <f>J104+ROUND(K104, 2)</f>
        <v>2136.6</v>
      </c>
      <c r="M104" s="55">
        <f>ROUND(J104*I104, 2)</f>
        <v>688193.24</v>
      </c>
      <c r="N104" s="55">
        <f>ROUND(I104*ROUND(K104, 2), 2)</f>
        <v>242082.4</v>
      </c>
      <c r="O104" s="55">
        <f>M104+N104</f>
        <v>930275.64</v>
      </c>
      <c r="P104" s="55">
        <f>IFERROR(ROUND(SUM(S105,S106,S107)/I104, 2),0)</f>
        <v>1580.6</v>
      </c>
      <c r="Q104" s="55">
        <v>834</v>
      </c>
      <c r="R104" s="55">
        <f>P104+ROUND(Q104, 2)</f>
        <v>2414.6</v>
      </c>
      <c r="S104" s="55">
        <f>ROUND(P104*I104, 2)</f>
        <v>688193.24</v>
      </c>
      <c r="T104" s="55">
        <f>ROUND(I104*ROUND(Q104, 2), 2)</f>
        <v>363123.6</v>
      </c>
      <c r="U104" s="55">
        <f>S104+T104</f>
        <v>1051316.8400000001</v>
      </c>
      <c r="V104" s="9">
        <f>ROUND(P104 / 1.2, 2)</f>
        <v>1317.17</v>
      </c>
      <c r="W104" s="9">
        <f>ROUND(Q104 / 1.2, 2)</f>
        <v>695</v>
      </c>
      <c r="X104" s="9">
        <f>ROUND(R104 / 1.2, 2)</f>
        <v>2012.17</v>
      </c>
      <c r="Y104" s="9">
        <f t="shared" si="33"/>
        <v>573494.37</v>
      </c>
      <c r="Z104" s="9">
        <f>ROUND(T104 / 1.2, 2)</f>
        <v>302603</v>
      </c>
      <c r="AA104" s="9">
        <f>Y104+Z104</f>
        <v>876097.37</v>
      </c>
      <c r="AD104" s="4">
        <v>304337600</v>
      </c>
      <c r="AE104" s="4">
        <v>20297504</v>
      </c>
      <c r="AG104" s="4" t="s">
        <v>258</v>
      </c>
      <c r="AH104" s="4" t="s">
        <v>259</v>
      </c>
      <c r="AI104" s="4" t="s">
        <v>260</v>
      </c>
    </row>
    <row r="105" spans="1:35" ht="72" x14ac:dyDescent="0.3">
      <c r="A105" s="51" t="s">
        <v>327</v>
      </c>
      <c r="B105" s="51"/>
      <c r="C105" s="47" t="s">
        <v>279</v>
      </c>
      <c r="D105" s="53"/>
      <c r="E105" s="53" t="s">
        <v>284</v>
      </c>
      <c r="F105" s="57" t="s">
        <v>59</v>
      </c>
      <c r="G105" s="58">
        <v>1.1000000000000001</v>
      </c>
      <c r="H105" s="53"/>
      <c r="I105" s="62">
        <v>478.94</v>
      </c>
      <c r="J105" s="59">
        <v>1339</v>
      </c>
      <c r="K105" s="60"/>
      <c r="L105" s="60"/>
      <c r="M105" s="59">
        <f>ROUND(ROUND(J105, 2)*I105, 2)</f>
        <v>641300.66</v>
      </c>
      <c r="N105" s="60"/>
      <c r="O105" s="60"/>
      <c r="P105" s="59">
        <v>1339</v>
      </c>
      <c r="Q105" s="60"/>
      <c r="R105" s="60"/>
      <c r="S105" s="59">
        <f>ROUND(ROUND(P105, 2)*I105, 2)</f>
        <v>641300.66</v>
      </c>
      <c r="T105" s="60"/>
      <c r="U105" s="61"/>
      <c r="V105" s="9">
        <f>ROUND(ROUND(P105, 2)/1.2, 2)</f>
        <v>1115.83</v>
      </c>
      <c r="Y105" s="9">
        <f t="shared" si="33"/>
        <v>534417.22</v>
      </c>
      <c r="AD105" s="4" t="s">
        <v>328</v>
      </c>
      <c r="AE105" s="4" t="s">
        <v>329</v>
      </c>
      <c r="AF105" s="4" t="s">
        <v>282</v>
      </c>
    </row>
    <row r="106" spans="1:35" ht="72" x14ac:dyDescent="0.3">
      <c r="A106" s="51" t="s">
        <v>330</v>
      </c>
      <c r="B106" s="51"/>
      <c r="C106" s="47" t="s">
        <v>272</v>
      </c>
      <c r="D106" s="53"/>
      <c r="E106" s="53"/>
      <c r="F106" s="57" t="s">
        <v>82</v>
      </c>
      <c r="G106" s="58">
        <v>1</v>
      </c>
      <c r="H106" s="53"/>
      <c r="I106" s="62">
        <v>356</v>
      </c>
      <c r="J106" s="59">
        <v>51</v>
      </c>
      <c r="K106" s="60"/>
      <c r="L106" s="60"/>
      <c r="M106" s="59">
        <f>ROUND(ROUND(J106, 2)*I106, 2)</f>
        <v>18156</v>
      </c>
      <c r="N106" s="60"/>
      <c r="O106" s="60"/>
      <c r="P106" s="59">
        <v>51</v>
      </c>
      <c r="Q106" s="60"/>
      <c r="R106" s="60"/>
      <c r="S106" s="59">
        <f>ROUND(ROUND(P106, 2)*I106, 2)</f>
        <v>18156</v>
      </c>
      <c r="T106" s="60"/>
      <c r="U106" s="61"/>
      <c r="V106" s="9">
        <f>ROUND(ROUND(P106, 2)/1.2, 2)</f>
        <v>42.5</v>
      </c>
      <c r="Y106" s="9">
        <f t="shared" si="33"/>
        <v>15130</v>
      </c>
      <c r="AD106" s="4" t="s">
        <v>331</v>
      </c>
      <c r="AE106" s="4" t="s">
        <v>332</v>
      </c>
      <c r="AF106" s="4" t="s">
        <v>275</v>
      </c>
    </row>
    <row r="107" spans="1:35" ht="18" x14ac:dyDescent="0.3">
      <c r="A107" s="51" t="s">
        <v>333</v>
      </c>
      <c r="B107" s="51"/>
      <c r="C107" s="56" t="s">
        <v>264</v>
      </c>
      <c r="D107" s="53"/>
      <c r="E107" s="53"/>
      <c r="F107" s="57" t="s">
        <v>265</v>
      </c>
      <c r="G107" s="58">
        <v>0.3</v>
      </c>
      <c r="H107" s="53"/>
      <c r="I107" s="58">
        <v>130.62</v>
      </c>
      <c r="J107" s="59">
        <v>220</v>
      </c>
      <c r="K107" s="60"/>
      <c r="L107" s="60"/>
      <c r="M107" s="59">
        <f>ROUND(ROUND(J107, 2)*I107, 2)</f>
        <v>28736.400000000001</v>
      </c>
      <c r="N107" s="60"/>
      <c r="O107" s="60"/>
      <c r="P107" s="59">
        <v>220</v>
      </c>
      <c r="Q107" s="60"/>
      <c r="R107" s="60"/>
      <c r="S107" s="59">
        <f>ROUND(ROUND(P107, 2)*I107, 2)</f>
        <v>28736.400000000001</v>
      </c>
      <c r="T107" s="60"/>
      <c r="U107" s="61"/>
      <c r="V107" s="9">
        <f>ROUND(ROUND(P107, 2)/1.2, 2)</f>
        <v>183.33</v>
      </c>
      <c r="Y107" s="9">
        <f t="shared" si="33"/>
        <v>23947</v>
      </c>
      <c r="AD107" s="4" t="s">
        <v>334</v>
      </c>
      <c r="AE107" s="4" t="s">
        <v>335</v>
      </c>
      <c r="AF107" s="4" t="s">
        <v>268</v>
      </c>
    </row>
    <row r="108" spans="1:35" ht="18" x14ac:dyDescent="0.3">
      <c r="A108" s="51" t="s">
        <v>336</v>
      </c>
      <c r="B108" s="51" t="s">
        <v>255</v>
      </c>
      <c r="C108" s="52" t="s">
        <v>256</v>
      </c>
      <c r="D108" s="53" t="s">
        <v>257</v>
      </c>
      <c r="E108" s="53" t="s">
        <v>288</v>
      </c>
      <c r="F108" s="53" t="s">
        <v>59</v>
      </c>
      <c r="G108" s="54">
        <v>1</v>
      </c>
      <c r="H108" s="53"/>
      <c r="I108" s="54">
        <v>1236</v>
      </c>
      <c r="J108" s="55">
        <f>IFERROR(ROUND(SUM(M109,M110,M111)/I108, 2),0)</f>
        <v>1562.05</v>
      </c>
      <c r="K108" s="55">
        <v>556</v>
      </c>
      <c r="L108" s="55">
        <f>J108+ROUND(K108, 2)</f>
        <v>2118.0500000000002</v>
      </c>
      <c r="M108" s="55">
        <f>ROUND(J108*I108, 2)</f>
        <v>1930693.8</v>
      </c>
      <c r="N108" s="55">
        <f>ROUND(I108*ROUND(K108, 2), 2)</f>
        <v>687216</v>
      </c>
      <c r="O108" s="55">
        <f>M108+N108</f>
        <v>2617909.7999999998</v>
      </c>
      <c r="P108" s="55">
        <f>IFERROR(ROUND(SUM(S109,S110,S111)/I108, 2),0)</f>
        <v>1562.05</v>
      </c>
      <c r="Q108" s="55">
        <v>834</v>
      </c>
      <c r="R108" s="55">
        <f>P108+ROUND(Q108, 2)</f>
        <v>2396.0500000000002</v>
      </c>
      <c r="S108" s="55">
        <f>ROUND(P108*I108, 2)</f>
        <v>1930693.8</v>
      </c>
      <c r="T108" s="55">
        <f>ROUND(I108*ROUND(Q108, 2), 2)</f>
        <v>1030824</v>
      </c>
      <c r="U108" s="55">
        <f>S108+T108</f>
        <v>2961517.8</v>
      </c>
      <c r="V108" s="9">
        <f>ROUND(P108 / 1.2, 2)</f>
        <v>1301.71</v>
      </c>
      <c r="W108" s="9">
        <f>ROUND(Q108 / 1.2, 2)</f>
        <v>695</v>
      </c>
      <c r="X108" s="9">
        <f>ROUND(R108 / 1.2, 2)</f>
        <v>1996.71</v>
      </c>
      <c r="Y108" s="9">
        <f t="shared" si="33"/>
        <v>1608911.5</v>
      </c>
      <c r="Z108" s="9">
        <f>ROUND(T108 / 1.2, 2)</f>
        <v>859020</v>
      </c>
      <c r="AA108" s="9">
        <f>Y108+Z108</f>
        <v>2467931.5</v>
      </c>
      <c r="AD108" s="4">
        <v>304337601</v>
      </c>
      <c r="AE108" s="4">
        <v>20298402</v>
      </c>
      <c r="AG108" s="4" t="s">
        <v>258</v>
      </c>
      <c r="AH108" s="4" t="s">
        <v>259</v>
      </c>
      <c r="AI108" s="4" t="s">
        <v>260</v>
      </c>
    </row>
    <row r="109" spans="1:35" ht="18" x14ac:dyDescent="0.3">
      <c r="A109" s="51" t="s">
        <v>337</v>
      </c>
      <c r="B109" s="51"/>
      <c r="C109" s="56" t="s">
        <v>264</v>
      </c>
      <c r="D109" s="53"/>
      <c r="E109" s="53"/>
      <c r="F109" s="57" t="s">
        <v>265</v>
      </c>
      <c r="G109" s="58">
        <v>0.3</v>
      </c>
      <c r="H109" s="53"/>
      <c r="I109" s="58">
        <v>370.8</v>
      </c>
      <c r="J109" s="59">
        <v>220</v>
      </c>
      <c r="K109" s="60"/>
      <c r="L109" s="60"/>
      <c r="M109" s="59">
        <f>ROUND(ROUND(J109, 2)*I109, 2)</f>
        <v>81576</v>
      </c>
      <c r="N109" s="60"/>
      <c r="O109" s="60"/>
      <c r="P109" s="59">
        <v>220</v>
      </c>
      <c r="Q109" s="60"/>
      <c r="R109" s="60"/>
      <c r="S109" s="59">
        <f>ROUND(ROUND(P109, 2)*I109, 2)</f>
        <v>81576</v>
      </c>
      <c r="T109" s="60"/>
      <c r="U109" s="61"/>
      <c r="V109" s="9">
        <f>ROUND(ROUND(P109, 2)/1.2, 2)</f>
        <v>183.33</v>
      </c>
      <c r="Y109" s="9">
        <f t="shared" si="33"/>
        <v>67980</v>
      </c>
      <c r="AD109" s="4" t="s">
        <v>338</v>
      </c>
      <c r="AE109" s="4" t="s">
        <v>339</v>
      </c>
      <c r="AF109" s="4" t="s">
        <v>268</v>
      </c>
    </row>
    <row r="110" spans="1:35" ht="72" x14ac:dyDescent="0.3">
      <c r="A110" s="51" t="s">
        <v>340</v>
      </c>
      <c r="B110" s="51"/>
      <c r="C110" s="47" t="s">
        <v>297</v>
      </c>
      <c r="D110" s="53"/>
      <c r="E110" s="53"/>
      <c r="F110" s="57" t="s">
        <v>82</v>
      </c>
      <c r="G110" s="58">
        <v>1</v>
      </c>
      <c r="H110" s="53"/>
      <c r="I110" s="62">
        <v>561</v>
      </c>
      <c r="J110" s="59">
        <v>51</v>
      </c>
      <c r="K110" s="60"/>
      <c r="L110" s="60"/>
      <c r="M110" s="59">
        <f>ROUND(ROUND(J110, 2)*I110, 2)</f>
        <v>28611</v>
      </c>
      <c r="N110" s="60"/>
      <c r="O110" s="60"/>
      <c r="P110" s="59">
        <v>51</v>
      </c>
      <c r="Q110" s="60"/>
      <c r="R110" s="60"/>
      <c r="S110" s="59">
        <f>ROUND(ROUND(P110, 2)*I110, 2)</f>
        <v>28611</v>
      </c>
      <c r="T110" s="60"/>
      <c r="U110" s="61"/>
      <c r="V110" s="9">
        <f>ROUND(ROUND(P110, 2)/1.2, 2)</f>
        <v>42.5</v>
      </c>
      <c r="Y110" s="9">
        <f t="shared" si="33"/>
        <v>23842.5</v>
      </c>
      <c r="AD110" s="4" t="s">
        <v>341</v>
      </c>
      <c r="AE110" s="4" t="s">
        <v>342</v>
      </c>
      <c r="AF110" s="4" t="s">
        <v>300</v>
      </c>
    </row>
    <row r="111" spans="1:35" ht="54" x14ac:dyDescent="0.3">
      <c r="A111" s="51" t="s">
        <v>343</v>
      </c>
      <c r="B111" s="51"/>
      <c r="C111" s="47" t="s">
        <v>290</v>
      </c>
      <c r="D111" s="53"/>
      <c r="E111" s="53"/>
      <c r="F111" s="57" t="s">
        <v>59</v>
      </c>
      <c r="G111" s="58">
        <v>1.1000000000000001</v>
      </c>
      <c r="H111" s="53"/>
      <c r="I111" s="62">
        <v>1359.6</v>
      </c>
      <c r="J111" s="59">
        <v>1339</v>
      </c>
      <c r="K111" s="60"/>
      <c r="L111" s="60"/>
      <c r="M111" s="59">
        <f>ROUND(ROUND(J111, 2)*I111, 2)</f>
        <v>1820504.4</v>
      </c>
      <c r="N111" s="60"/>
      <c r="O111" s="60"/>
      <c r="P111" s="59">
        <v>1339</v>
      </c>
      <c r="Q111" s="60"/>
      <c r="R111" s="60"/>
      <c r="S111" s="59">
        <f>ROUND(ROUND(P111, 2)*I111, 2)</f>
        <v>1820504.4</v>
      </c>
      <c r="T111" s="60"/>
      <c r="U111" s="61"/>
      <c r="V111" s="9">
        <f>ROUND(ROUND(P111, 2)/1.2, 2)</f>
        <v>1115.83</v>
      </c>
      <c r="Y111" s="9">
        <f t="shared" si="33"/>
        <v>1517087</v>
      </c>
      <c r="AD111" s="4" t="s">
        <v>344</v>
      </c>
      <c r="AE111" s="4" t="s">
        <v>345</v>
      </c>
      <c r="AF111" s="4" t="s">
        <v>293</v>
      </c>
    </row>
    <row r="112" spans="1:35" ht="18" x14ac:dyDescent="0.3">
      <c r="A112" s="51" t="s">
        <v>346</v>
      </c>
      <c r="B112" s="51" t="s">
        <v>255</v>
      </c>
      <c r="C112" s="52" t="s">
        <v>256</v>
      </c>
      <c r="D112" s="53" t="s">
        <v>257</v>
      </c>
      <c r="E112" s="53" t="s">
        <v>309</v>
      </c>
      <c r="F112" s="53" t="s">
        <v>59</v>
      </c>
      <c r="G112" s="54">
        <v>1</v>
      </c>
      <c r="H112" s="53"/>
      <c r="I112" s="54">
        <v>2276</v>
      </c>
      <c r="J112" s="55">
        <f>IFERROR(ROUND(SUM(M113,M114)/I112, 2),0)</f>
        <v>89.15</v>
      </c>
      <c r="K112" s="55">
        <v>556</v>
      </c>
      <c r="L112" s="55">
        <f>J112+ROUND(K112, 2)</f>
        <v>645.15</v>
      </c>
      <c r="M112" s="55">
        <f>ROUND(J112*I112, 2)</f>
        <v>202905.4</v>
      </c>
      <c r="N112" s="55">
        <f>ROUND(I112*ROUND(K112, 2), 2)</f>
        <v>1265456</v>
      </c>
      <c r="O112" s="55">
        <f>M112+N112</f>
        <v>1468361.4</v>
      </c>
      <c r="P112" s="55">
        <f>IFERROR(ROUND(SUM(S113,S114)/I112, 2),0)</f>
        <v>89.15</v>
      </c>
      <c r="Q112" s="55">
        <v>834</v>
      </c>
      <c r="R112" s="55">
        <f>P112+ROUND(Q112, 2)</f>
        <v>923.15</v>
      </c>
      <c r="S112" s="55">
        <f>ROUND(P112*I112, 2)</f>
        <v>202905.4</v>
      </c>
      <c r="T112" s="55">
        <f>ROUND(I112*ROUND(Q112, 2), 2)</f>
        <v>1898184</v>
      </c>
      <c r="U112" s="55">
        <f>S112+T112</f>
        <v>2101089.4</v>
      </c>
      <c r="V112" s="9">
        <f>ROUND(P112 / 1.2, 2)</f>
        <v>74.290000000000006</v>
      </c>
      <c r="W112" s="9">
        <f>ROUND(Q112 / 1.2, 2)</f>
        <v>695</v>
      </c>
      <c r="X112" s="9">
        <f>ROUND(R112 / 1.2, 2)</f>
        <v>769.29</v>
      </c>
      <c r="Y112" s="9">
        <f t="shared" si="33"/>
        <v>169087.83</v>
      </c>
      <c r="Z112" s="9">
        <f>ROUND(T112 / 1.2, 2)</f>
        <v>1581820</v>
      </c>
      <c r="AA112" s="9">
        <f>Y112+Z112</f>
        <v>1750907.83</v>
      </c>
      <c r="AD112" s="4">
        <v>304337602</v>
      </c>
      <c r="AE112" s="4">
        <v>20298403</v>
      </c>
      <c r="AG112" s="4" t="s">
        <v>258</v>
      </c>
      <c r="AH112" s="4" t="s">
        <v>259</v>
      </c>
      <c r="AI112" s="4" t="s">
        <v>260</v>
      </c>
    </row>
    <row r="113" spans="1:35" ht="72" x14ac:dyDescent="0.3">
      <c r="A113" s="51" t="s">
        <v>347</v>
      </c>
      <c r="B113" s="51"/>
      <c r="C113" s="47" t="s">
        <v>297</v>
      </c>
      <c r="D113" s="53"/>
      <c r="E113" s="53"/>
      <c r="F113" s="57" t="s">
        <v>82</v>
      </c>
      <c r="G113" s="58">
        <v>1</v>
      </c>
      <c r="H113" s="53"/>
      <c r="I113" s="62">
        <v>1033</v>
      </c>
      <c r="J113" s="59">
        <v>51</v>
      </c>
      <c r="K113" s="60"/>
      <c r="L113" s="60"/>
      <c r="M113" s="59">
        <f>ROUND(ROUND(J113, 2)*I113, 2)</f>
        <v>52683</v>
      </c>
      <c r="N113" s="60"/>
      <c r="O113" s="60"/>
      <c r="P113" s="59">
        <v>51</v>
      </c>
      <c r="Q113" s="60"/>
      <c r="R113" s="60"/>
      <c r="S113" s="59">
        <f>ROUND(ROUND(P113, 2)*I113, 2)</f>
        <v>52683</v>
      </c>
      <c r="T113" s="60"/>
      <c r="U113" s="61"/>
      <c r="V113" s="9">
        <f>ROUND(ROUND(P113, 2)/1.2, 2)</f>
        <v>42.5</v>
      </c>
      <c r="Y113" s="9">
        <f t="shared" si="33"/>
        <v>43902.5</v>
      </c>
      <c r="AD113" s="4" t="s">
        <v>348</v>
      </c>
      <c r="AE113" s="4" t="s">
        <v>349</v>
      </c>
      <c r="AF113" s="4" t="s">
        <v>300</v>
      </c>
    </row>
    <row r="114" spans="1:35" ht="18" x14ac:dyDescent="0.3">
      <c r="A114" s="51" t="s">
        <v>350</v>
      </c>
      <c r="B114" s="51"/>
      <c r="C114" s="56" t="s">
        <v>264</v>
      </c>
      <c r="D114" s="53"/>
      <c r="E114" s="53"/>
      <c r="F114" s="57" t="s">
        <v>265</v>
      </c>
      <c r="G114" s="58">
        <v>0.3</v>
      </c>
      <c r="H114" s="53"/>
      <c r="I114" s="58">
        <v>682.8</v>
      </c>
      <c r="J114" s="59">
        <v>220</v>
      </c>
      <c r="K114" s="60"/>
      <c r="L114" s="60"/>
      <c r="M114" s="59">
        <f>ROUND(ROUND(J114, 2)*I114, 2)</f>
        <v>150216</v>
      </c>
      <c r="N114" s="60"/>
      <c r="O114" s="60"/>
      <c r="P114" s="59">
        <v>220</v>
      </c>
      <c r="Q114" s="60"/>
      <c r="R114" s="60"/>
      <c r="S114" s="59">
        <f>ROUND(ROUND(P114, 2)*I114, 2)</f>
        <v>150216</v>
      </c>
      <c r="T114" s="60"/>
      <c r="U114" s="61"/>
      <c r="V114" s="9">
        <f>ROUND(ROUND(P114, 2)/1.2, 2)</f>
        <v>183.33</v>
      </c>
      <c r="Y114" s="9">
        <f t="shared" si="33"/>
        <v>125180</v>
      </c>
      <c r="AD114" s="4" t="s">
        <v>351</v>
      </c>
      <c r="AE114" s="4" t="s">
        <v>352</v>
      </c>
      <c r="AF114" s="4" t="s">
        <v>268</v>
      </c>
    </row>
    <row r="115" spans="1:35" ht="18" x14ac:dyDescent="0.3">
      <c r="A115" s="17" t="s">
        <v>353</v>
      </c>
      <c r="B115" s="17" t="s">
        <v>354</v>
      </c>
      <c r="C115" s="18" t="s">
        <v>355</v>
      </c>
      <c r="D115" s="19"/>
      <c r="E115" s="19"/>
      <c r="F115" s="19" t="s">
        <v>82</v>
      </c>
      <c r="G115" s="20">
        <v>1</v>
      </c>
      <c r="H115" s="19"/>
      <c r="I115" s="21">
        <v>0</v>
      </c>
      <c r="J115" s="22">
        <f>IFERROR(ROUND(SUM(M117,M119)/I115, 2),0)</f>
        <v>0</v>
      </c>
      <c r="K115" s="22">
        <v>200</v>
      </c>
      <c r="L115" s="22">
        <f>J115+ROUND(K115, 2)</f>
        <v>200</v>
      </c>
      <c r="M115" s="22">
        <f>ROUND(J115*I115, 2)</f>
        <v>0</v>
      </c>
      <c r="N115" s="22">
        <f>ROUND(I115*ROUND(K115, 2), 2)</f>
        <v>0</v>
      </c>
      <c r="O115" s="22">
        <f>M115+N115</f>
        <v>0</v>
      </c>
      <c r="P115" s="22">
        <f>IFERROR(ROUND(SUM(S117,S119)/I115, 2),0)</f>
        <v>0</v>
      </c>
      <c r="Q115" s="22">
        <v>200</v>
      </c>
      <c r="R115" s="22">
        <f>P115+ROUND(Q115, 2)</f>
        <v>200</v>
      </c>
      <c r="S115" s="22">
        <f>ROUND(P115*I115, 2)</f>
        <v>0</v>
      </c>
      <c r="T115" s="22">
        <f>ROUND(I115*ROUND(Q115, 2), 2)</f>
        <v>0</v>
      </c>
      <c r="U115" s="22">
        <f>S115+T115</f>
        <v>0</v>
      </c>
      <c r="V115" s="9">
        <f>ROUND(P115 / 1.2, 2)</f>
        <v>0</v>
      </c>
      <c r="W115" s="9">
        <f>ROUND(Q115 / 1.2, 2)</f>
        <v>166.67</v>
      </c>
      <c r="X115" s="9">
        <f>ROUND(R115 / 1.2, 2)</f>
        <v>166.67</v>
      </c>
      <c r="Y115" s="9">
        <f t="shared" si="33"/>
        <v>0</v>
      </c>
      <c r="Z115" s="9">
        <f>ROUND(T115 / 1.2, 2)</f>
        <v>0</v>
      </c>
      <c r="AA115" s="9">
        <f>Y115+Z115</f>
        <v>0</v>
      </c>
      <c r="AD115" s="4">
        <v>304337543</v>
      </c>
      <c r="AE115" s="4">
        <v>20298510</v>
      </c>
      <c r="AG115" s="4" t="s">
        <v>356</v>
      </c>
      <c r="AH115" s="4" t="s">
        <v>357</v>
      </c>
      <c r="AI115" s="4" t="s">
        <v>260</v>
      </c>
    </row>
    <row r="116" spans="1:35" ht="72" x14ac:dyDescent="0.3">
      <c r="A116" s="23" t="s">
        <v>358</v>
      </c>
      <c r="B116" s="23" t="s">
        <v>354</v>
      </c>
      <c r="C116" s="24" t="s">
        <v>355</v>
      </c>
      <c r="D116" s="25"/>
      <c r="E116" s="25" t="s">
        <v>359</v>
      </c>
      <c r="F116" s="25" t="s">
        <v>82</v>
      </c>
      <c r="G116" s="26">
        <v>1</v>
      </c>
      <c r="H116" s="25"/>
      <c r="I116" s="26">
        <v>25</v>
      </c>
      <c r="J116" s="27">
        <v>0</v>
      </c>
      <c r="K116" s="27">
        <v>200</v>
      </c>
      <c r="L116" s="27"/>
      <c r="M116" s="27">
        <v>0</v>
      </c>
      <c r="N116" s="27"/>
      <c r="O116" s="27"/>
      <c r="P116" s="27">
        <v>0</v>
      </c>
      <c r="Q116" s="27">
        <v>200</v>
      </c>
      <c r="R116" s="27"/>
      <c r="S116" s="27">
        <v>0</v>
      </c>
      <c r="T116" s="27"/>
      <c r="U116" s="27"/>
      <c r="V116" s="9"/>
      <c r="W116" s="9">
        <f>ROUND(Q116 / 1.2, 2)</f>
        <v>166.67</v>
      </c>
      <c r="X116" s="9" t="e">
        <f>ROUND(R116 / 1.2, 2)</f>
        <v>#VALUE!</v>
      </c>
      <c r="Y116" s="9"/>
      <c r="Z116" s="9" t="e">
        <f>ROUND(T116 / 1.2, 2)</f>
        <v>#VALUE!</v>
      </c>
      <c r="AA116" s="9"/>
      <c r="AD116" s="4">
        <v>281915975</v>
      </c>
      <c r="AE116" s="4">
        <v>20298510</v>
      </c>
      <c r="AG116" s="4" t="s">
        <v>356</v>
      </c>
      <c r="AH116" s="4" t="s">
        <v>357</v>
      </c>
      <c r="AI116" s="4"/>
    </row>
    <row r="117" spans="1:35" ht="36" x14ac:dyDescent="0.3">
      <c r="A117" s="17" t="s">
        <v>360</v>
      </c>
      <c r="B117" s="17"/>
      <c r="C117" s="34" t="s">
        <v>361</v>
      </c>
      <c r="D117" s="19"/>
      <c r="E117" s="19"/>
      <c r="F117" s="35" t="s">
        <v>82</v>
      </c>
      <c r="G117" s="36">
        <v>1.1000000000000001</v>
      </c>
      <c r="H117" s="19"/>
      <c r="I117" s="48">
        <v>0</v>
      </c>
      <c r="J117" s="38">
        <v>0</v>
      </c>
      <c r="K117" s="39"/>
      <c r="L117" s="39"/>
      <c r="M117" s="38">
        <f>ROUND(ROUND(J117, 2)*I117, 2)</f>
        <v>0</v>
      </c>
      <c r="N117" s="39"/>
      <c r="O117" s="39"/>
      <c r="P117" s="38">
        <v>516.79999999999995</v>
      </c>
      <c r="Q117" s="39"/>
      <c r="R117" s="39"/>
      <c r="S117" s="38">
        <f>ROUND(ROUND(P117, 2)*I117, 2)</f>
        <v>0</v>
      </c>
      <c r="T117" s="39"/>
      <c r="U117" s="40"/>
      <c r="V117" s="9">
        <f>ROUND(ROUND(P117, 2)/1.2, 2)</f>
        <v>430.67</v>
      </c>
      <c r="Y117" s="9">
        <f>ROUND(S117 / 1.2, 2)</f>
        <v>0</v>
      </c>
      <c r="AD117" s="4" t="s">
        <v>362</v>
      </c>
      <c r="AE117" s="4" t="s">
        <v>363</v>
      </c>
      <c r="AF117" s="4" t="s">
        <v>364</v>
      </c>
    </row>
    <row r="118" spans="1:35" ht="36" x14ac:dyDescent="0.3">
      <c r="A118" s="23" t="s">
        <v>365</v>
      </c>
      <c r="B118" s="23"/>
      <c r="C118" s="41" t="s">
        <v>361</v>
      </c>
      <c r="D118" s="25"/>
      <c r="E118" s="25"/>
      <c r="F118" s="42" t="s">
        <v>82</v>
      </c>
      <c r="G118" s="43">
        <v>1.1000000000000001</v>
      </c>
      <c r="H118" s="25"/>
      <c r="I118" s="50">
        <v>27.5</v>
      </c>
      <c r="J118" s="44">
        <v>0</v>
      </c>
      <c r="K118" s="45"/>
      <c r="L118" s="45"/>
      <c r="M118" s="44">
        <f>ROUND(ROUND(J118, 2)*I118, 2)</f>
        <v>0</v>
      </c>
      <c r="N118" s="45"/>
      <c r="O118" s="45"/>
      <c r="P118" s="44">
        <v>516.79999999999995</v>
      </c>
      <c r="Q118" s="45"/>
      <c r="R118" s="45"/>
      <c r="S118" s="44">
        <f>ROUND(ROUND(P118, 2)*I118, 2)</f>
        <v>14212</v>
      </c>
      <c r="T118" s="45"/>
      <c r="U118" s="46"/>
      <c r="V118" s="9">
        <f>ROUND(ROUND(P118, 2)/1.2, 2)</f>
        <v>430.67</v>
      </c>
      <c r="Y118" s="9">
        <f>ROUND(S118 / 1.2, 2)</f>
        <v>11843.33</v>
      </c>
      <c r="AD118" s="4" t="s">
        <v>366</v>
      </c>
      <c r="AE118" s="4" t="s">
        <v>363</v>
      </c>
      <c r="AF118" s="4" t="s">
        <v>364</v>
      </c>
    </row>
    <row r="119" spans="1:35" ht="18" x14ac:dyDescent="0.3">
      <c r="A119" s="17" t="s">
        <v>367</v>
      </c>
      <c r="B119" s="17"/>
      <c r="C119" s="34" t="s">
        <v>368</v>
      </c>
      <c r="D119" s="19"/>
      <c r="E119" s="19"/>
      <c r="F119" s="35" t="s">
        <v>369</v>
      </c>
      <c r="G119" s="64">
        <v>0.09</v>
      </c>
      <c r="H119" s="19"/>
      <c r="I119" s="37">
        <v>0</v>
      </c>
      <c r="J119" s="38">
        <v>100</v>
      </c>
      <c r="K119" s="39"/>
      <c r="L119" s="39"/>
      <c r="M119" s="38">
        <f>ROUND(ROUND(J119, 2)*I119, 2)</f>
        <v>0</v>
      </c>
      <c r="N119" s="39"/>
      <c r="O119" s="39"/>
      <c r="P119" s="38">
        <v>100</v>
      </c>
      <c r="Q119" s="39"/>
      <c r="R119" s="39"/>
      <c r="S119" s="38">
        <f>ROUND(ROUND(P119, 2)*I119, 2)</f>
        <v>0</v>
      </c>
      <c r="T119" s="39"/>
      <c r="U119" s="40"/>
      <c r="V119" s="9">
        <f>ROUND(ROUND(P119, 2)/1.2, 2)</f>
        <v>83.33</v>
      </c>
      <c r="Y119" s="9">
        <f>ROUND(S119 / 1.2, 2)</f>
        <v>0</v>
      </c>
      <c r="AD119" s="4" t="s">
        <v>370</v>
      </c>
      <c r="AE119" s="4" t="s">
        <v>371</v>
      </c>
      <c r="AF119" s="4" t="s">
        <v>372</v>
      </c>
    </row>
    <row r="120" spans="1:35" ht="18" x14ac:dyDescent="0.3">
      <c r="A120" s="23" t="s">
        <v>373</v>
      </c>
      <c r="B120" s="23"/>
      <c r="C120" s="41" t="s">
        <v>368</v>
      </c>
      <c r="D120" s="25"/>
      <c r="E120" s="25"/>
      <c r="F120" s="42" t="s">
        <v>369</v>
      </c>
      <c r="G120" s="65">
        <v>0.09</v>
      </c>
      <c r="H120" s="25"/>
      <c r="I120" s="43">
        <v>2.25</v>
      </c>
      <c r="J120" s="44">
        <v>100</v>
      </c>
      <c r="K120" s="45"/>
      <c r="L120" s="45"/>
      <c r="M120" s="44">
        <f>ROUND(ROUND(J120, 2)*I120, 2)</f>
        <v>225</v>
      </c>
      <c r="N120" s="45"/>
      <c r="O120" s="45"/>
      <c r="P120" s="44">
        <v>100</v>
      </c>
      <c r="Q120" s="45"/>
      <c r="R120" s="45"/>
      <c r="S120" s="44">
        <f>ROUND(ROUND(P120, 2)*I120, 2)</f>
        <v>225</v>
      </c>
      <c r="T120" s="45"/>
      <c r="U120" s="46"/>
      <c r="V120" s="9">
        <f>ROUND(ROUND(P120, 2)/1.2, 2)</f>
        <v>83.33</v>
      </c>
      <c r="Y120" s="9">
        <f>ROUND(S120 / 1.2, 2)</f>
        <v>187.5</v>
      </c>
      <c r="AD120" s="4" t="s">
        <v>374</v>
      </c>
      <c r="AE120" s="4" t="s">
        <v>371</v>
      </c>
      <c r="AF120" s="4" t="s">
        <v>372</v>
      </c>
    </row>
    <row r="121" spans="1:35" ht="18" x14ac:dyDescent="0.3">
      <c r="A121" s="17" t="s">
        <v>375</v>
      </c>
      <c r="B121" s="17" t="s">
        <v>354</v>
      </c>
      <c r="C121" s="18" t="s">
        <v>355</v>
      </c>
      <c r="D121" s="19"/>
      <c r="E121" s="19"/>
      <c r="F121" s="19" t="s">
        <v>82</v>
      </c>
      <c r="G121" s="20">
        <v>1</v>
      </c>
      <c r="H121" s="19"/>
      <c r="I121" s="21">
        <v>0</v>
      </c>
      <c r="J121" s="22">
        <f>IFERROR(ROUND(SUM(M123,M125)/I121, 2),0)</f>
        <v>0</v>
      </c>
      <c r="K121" s="22">
        <v>200</v>
      </c>
      <c r="L121" s="22">
        <f>J121+ROUND(K121, 2)</f>
        <v>200</v>
      </c>
      <c r="M121" s="22">
        <f>ROUND(J121*I121, 2)</f>
        <v>0</v>
      </c>
      <c r="N121" s="22">
        <f>ROUND(I121*ROUND(K121, 2), 2)</f>
        <v>0</v>
      </c>
      <c r="O121" s="22">
        <f>M121+N121</f>
        <v>0</v>
      </c>
      <c r="P121" s="22">
        <f>IFERROR(ROUND(SUM(S123,S125)/I121, 2),0)</f>
        <v>0</v>
      </c>
      <c r="Q121" s="22">
        <v>200</v>
      </c>
      <c r="R121" s="22">
        <f>P121+ROUND(Q121, 2)</f>
        <v>200</v>
      </c>
      <c r="S121" s="22">
        <f>ROUND(P121*I121, 2)</f>
        <v>0</v>
      </c>
      <c r="T121" s="22">
        <f>ROUND(I121*ROUND(Q121, 2), 2)</f>
        <v>0</v>
      </c>
      <c r="U121" s="22">
        <f>S121+T121</f>
        <v>0</v>
      </c>
      <c r="V121" s="9">
        <f>ROUND(P121 / 1.2, 2)</f>
        <v>0</v>
      </c>
      <c r="W121" s="9">
        <f>ROUND(Q121 / 1.2, 2)</f>
        <v>166.67</v>
      </c>
      <c r="X121" s="9">
        <f>ROUND(R121 / 1.2, 2)</f>
        <v>166.67</v>
      </c>
      <c r="Y121" s="9">
        <f>ROUND(S121 / 1.2, 2)</f>
        <v>0</v>
      </c>
      <c r="Z121" s="9">
        <f>ROUND(T121 / 1.2, 2)</f>
        <v>0</v>
      </c>
      <c r="AA121" s="9">
        <f>Y121+Z121</f>
        <v>0</v>
      </c>
      <c r="AD121" s="4">
        <v>304337603</v>
      </c>
      <c r="AE121" s="4">
        <v>20298511</v>
      </c>
      <c r="AG121" s="4" t="s">
        <v>356</v>
      </c>
      <c r="AH121" s="4" t="s">
        <v>357</v>
      </c>
      <c r="AI121" s="4" t="s">
        <v>260</v>
      </c>
    </row>
    <row r="122" spans="1:35" ht="72" x14ac:dyDescent="0.3">
      <c r="A122" s="23" t="s">
        <v>376</v>
      </c>
      <c r="B122" s="23" t="s">
        <v>354</v>
      </c>
      <c r="C122" s="24" t="s">
        <v>355</v>
      </c>
      <c r="D122" s="25"/>
      <c r="E122" s="25" t="s">
        <v>377</v>
      </c>
      <c r="F122" s="25" t="s">
        <v>82</v>
      </c>
      <c r="G122" s="26">
        <v>1</v>
      </c>
      <c r="H122" s="25"/>
      <c r="I122" s="26">
        <v>8.1</v>
      </c>
      <c r="J122" s="27">
        <v>0</v>
      </c>
      <c r="K122" s="27">
        <v>200</v>
      </c>
      <c r="L122" s="27"/>
      <c r="M122" s="27">
        <v>0</v>
      </c>
      <c r="N122" s="27"/>
      <c r="O122" s="27"/>
      <c r="P122" s="27">
        <v>0</v>
      </c>
      <c r="Q122" s="27">
        <v>200</v>
      </c>
      <c r="R122" s="27"/>
      <c r="S122" s="27">
        <v>0</v>
      </c>
      <c r="T122" s="27"/>
      <c r="U122" s="27"/>
      <c r="V122" s="9"/>
      <c r="W122" s="9">
        <f>ROUND(Q122 / 1.2, 2)</f>
        <v>166.67</v>
      </c>
      <c r="X122" s="9" t="e">
        <f>ROUND(R122 / 1.2, 2)</f>
        <v>#VALUE!</v>
      </c>
      <c r="Y122" s="9"/>
      <c r="Z122" s="9" t="e">
        <f>ROUND(T122 / 1.2, 2)</f>
        <v>#VALUE!</v>
      </c>
      <c r="AA122" s="9"/>
      <c r="AD122" s="4">
        <v>281916028</v>
      </c>
      <c r="AE122" s="4">
        <v>20298511</v>
      </c>
      <c r="AG122" s="4" t="s">
        <v>356</v>
      </c>
      <c r="AH122" s="4" t="s">
        <v>357</v>
      </c>
      <c r="AI122" s="4"/>
    </row>
    <row r="123" spans="1:35" ht="18" x14ac:dyDescent="0.3">
      <c r="A123" s="17" t="s">
        <v>378</v>
      </c>
      <c r="B123" s="17"/>
      <c r="C123" s="34" t="s">
        <v>368</v>
      </c>
      <c r="D123" s="19"/>
      <c r="E123" s="19"/>
      <c r="F123" s="35" t="s">
        <v>369</v>
      </c>
      <c r="G123" s="64">
        <v>0.09</v>
      </c>
      <c r="H123" s="19"/>
      <c r="I123" s="37">
        <v>0</v>
      </c>
      <c r="J123" s="38">
        <v>100</v>
      </c>
      <c r="K123" s="39"/>
      <c r="L123" s="39"/>
      <c r="M123" s="38">
        <f>ROUND(ROUND(J123, 2)*I123, 2)</f>
        <v>0</v>
      </c>
      <c r="N123" s="39"/>
      <c r="O123" s="39"/>
      <c r="P123" s="38">
        <v>100</v>
      </c>
      <c r="Q123" s="39"/>
      <c r="R123" s="39"/>
      <c r="S123" s="38">
        <f>ROUND(ROUND(P123, 2)*I123, 2)</f>
        <v>0</v>
      </c>
      <c r="T123" s="39"/>
      <c r="U123" s="40"/>
      <c r="V123" s="9">
        <f>ROUND(ROUND(P123, 2)/1.2, 2)</f>
        <v>83.33</v>
      </c>
      <c r="Y123" s="9">
        <f>ROUND(S123 / 1.2, 2)</f>
        <v>0</v>
      </c>
      <c r="AD123" s="4" t="s">
        <v>379</v>
      </c>
      <c r="AE123" s="4" t="s">
        <v>380</v>
      </c>
      <c r="AF123" s="4" t="s">
        <v>372</v>
      </c>
    </row>
    <row r="124" spans="1:35" ht="18" x14ac:dyDescent="0.3">
      <c r="A124" s="23" t="s">
        <v>381</v>
      </c>
      <c r="B124" s="23"/>
      <c r="C124" s="41" t="s">
        <v>368</v>
      </c>
      <c r="D124" s="25"/>
      <c r="E124" s="25"/>
      <c r="F124" s="42" t="s">
        <v>369</v>
      </c>
      <c r="G124" s="65">
        <v>0.09</v>
      </c>
      <c r="H124" s="25"/>
      <c r="I124" s="43">
        <v>0.72899999999999998</v>
      </c>
      <c r="J124" s="44">
        <v>100</v>
      </c>
      <c r="K124" s="45"/>
      <c r="L124" s="45"/>
      <c r="M124" s="44">
        <f>ROUND(ROUND(J124, 2)*I124, 2)</f>
        <v>72.900000000000006</v>
      </c>
      <c r="N124" s="45"/>
      <c r="O124" s="45"/>
      <c r="P124" s="44">
        <v>100</v>
      </c>
      <c r="Q124" s="45"/>
      <c r="R124" s="45"/>
      <c r="S124" s="44">
        <f>ROUND(ROUND(P124, 2)*I124, 2)</f>
        <v>72.900000000000006</v>
      </c>
      <c r="T124" s="45"/>
      <c r="U124" s="46"/>
      <c r="V124" s="9">
        <f>ROUND(ROUND(P124, 2)/1.2, 2)</f>
        <v>83.33</v>
      </c>
      <c r="Y124" s="9">
        <f>ROUND(S124 / 1.2, 2)</f>
        <v>60.75</v>
      </c>
      <c r="AD124" s="4" t="s">
        <v>382</v>
      </c>
      <c r="AE124" s="4" t="s">
        <v>380</v>
      </c>
      <c r="AF124" s="4" t="s">
        <v>372</v>
      </c>
    </row>
    <row r="125" spans="1:35" ht="36" x14ac:dyDescent="0.3">
      <c r="A125" s="17" t="s">
        <v>383</v>
      </c>
      <c r="B125" s="17"/>
      <c r="C125" s="34" t="s">
        <v>361</v>
      </c>
      <c r="D125" s="19"/>
      <c r="E125" s="19"/>
      <c r="F125" s="35" t="s">
        <v>82</v>
      </c>
      <c r="G125" s="36">
        <v>1.1000000000000001</v>
      </c>
      <c r="H125" s="19"/>
      <c r="I125" s="48">
        <v>0</v>
      </c>
      <c r="J125" s="38">
        <v>0</v>
      </c>
      <c r="K125" s="39"/>
      <c r="L125" s="39"/>
      <c r="M125" s="38">
        <f>ROUND(ROUND(J125, 2)*I125, 2)</f>
        <v>0</v>
      </c>
      <c r="N125" s="39"/>
      <c r="O125" s="39"/>
      <c r="P125" s="38">
        <v>516.79999999999995</v>
      </c>
      <c r="Q125" s="39"/>
      <c r="R125" s="39"/>
      <c r="S125" s="38">
        <f>ROUND(ROUND(P125, 2)*I125, 2)</f>
        <v>0</v>
      </c>
      <c r="T125" s="39"/>
      <c r="U125" s="40"/>
      <c r="V125" s="9">
        <f>ROUND(ROUND(P125, 2)/1.2, 2)</f>
        <v>430.67</v>
      </c>
      <c r="Y125" s="9">
        <f>ROUND(S125 / 1.2, 2)</f>
        <v>0</v>
      </c>
      <c r="AD125" s="4" t="s">
        <v>384</v>
      </c>
      <c r="AE125" s="4" t="s">
        <v>385</v>
      </c>
      <c r="AF125" s="4" t="s">
        <v>364</v>
      </c>
    </row>
    <row r="126" spans="1:35" ht="36" x14ac:dyDescent="0.3">
      <c r="A126" s="23" t="s">
        <v>386</v>
      </c>
      <c r="B126" s="23"/>
      <c r="C126" s="41" t="s">
        <v>361</v>
      </c>
      <c r="D126" s="25"/>
      <c r="E126" s="25"/>
      <c r="F126" s="42" t="s">
        <v>82</v>
      </c>
      <c r="G126" s="43">
        <v>1.1000000000000001</v>
      </c>
      <c r="H126" s="25"/>
      <c r="I126" s="50">
        <v>8.91</v>
      </c>
      <c r="J126" s="44">
        <v>0</v>
      </c>
      <c r="K126" s="45"/>
      <c r="L126" s="45"/>
      <c r="M126" s="44">
        <f>ROUND(ROUND(J126, 2)*I126, 2)</f>
        <v>0</v>
      </c>
      <c r="N126" s="45"/>
      <c r="O126" s="45"/>
      <c r="P126" s="44">
        <v>516.79999999999995</v>
      </c>
      <c r="Q126" s="45"/>
      <c r="R126" s="45"/>
      <c r="S126" s="44">
        <f>ROUND(ROUND(P126, 2)*I126, 2)</f>
        <v>4604.6899999999996</v>
      </c>
      <c r="T126" s="45"/>
      <c r="U126" s="46"/>
      <c r="V126" s="9">
        <f>ROUND(ROUND(P126, 2)/1.2, 2)</f>
        <v>430.67</v>
      </c>
      <c r="Y126" s="9">
        <f>ROUND(S126 / 1.2, 2)</f>
        <v>3837.24</v>
      </c>
      <c r="AD126" s="4" t="s">
        <v>387</v>
      </c>
      <c r="AE126" s="4" t="s">
        <v>385</v>
      </c>
      <c r="AF126" s="4" t="s">
        <v>364</v>
      </c>
    </row>
    <row r="127" spans="1:35" ht="18" x14ac:dyDescent="0.3">
      <c r="A127" s="17" t="s">
        <v>388</v>
      </c>
      <c r="B127" s="17" t="s">
        <v>354</v>
      </c>
      <c r="C127" s="18" t="s">
        <v>355</v>
      </c>
      <c r="D127" s="19"/>
      <c r="E127" s="19"/>
      <c r="F127" s="19" t="s">
        <v>82</v>
      </c>
      <c r="G127" s="20">
        <v>1</v>
      </c>
      <c r="H127" s="19"/>
      <c r="I127" s="21">
        <v>0</v>
      </c>
      <c r="J127" s="22">
        <f>IFERROR(ROUND(SUM(M129,M131)/I127, 2),0)</f>
        <v>0</v>
      </c>
      <c r="K127" s="22">
        <v>200</v>
      </c>
      <c r="L127" s="22">
        <f>J127+ROUND(K127, 2)</f>
        <v>200</v>
      </c>
      <c r="M127" s="22">
        <f>ROUND(J127*I127, 2)</f>
        <v>0</v>
      </c>
      <c r="N127" s="22">
        <f>ROUND(I127*ROUND(K127, 2), 2)</f>
        <v>0</v>
      </c>
      <c r="O127" s="22">
        <f>M127+N127</f>
        <v>0</v>
      </c>
      <c r="P127" s="22">
        <f>IFERROR(ROUND(SUM(S129,S131)/I127, 2),0)</f>
        <v>0</v>
      </c>
      <c r="Q127" s="22">
        <v>200</v>
      </c>
      <c r="R127" s="22">
        <f>P127+ROUND(Q127, 2)</f>
        <v>200</v>
      </c>
      <c r="S127" s="22">
        <f>ROUND(P127*I127, 2)</f>
        <v>0</v>
      </c>
      <c r="T127" s="22">
        <f>ROUND(I127*ROUND(Q127, 2), 2)</f>
        <v>0</v>
      </c>
      <c r="U127" s="22">
        <f>S127+T127</f>
        <v>0</v>
      </c>
      <c r="V127" s="9">
        <f>ROUND(P127 / 1.2, 2)</f>
        <v>0</v>
      </c>
      <c r="W127" s="9">
        <f>ROUND(Q127 / 1.2, 2)</f>
        <v>166.67</v>
      </c>
      <c r="X127" s="9">
        <f>ROUND(R127 / 1.2, 2)</f>
        <v>166.67</v>
      </c>
      <c r="Y127" s="9">
        <f>ROUND(S127 / 1.2, 2)</f>
        <v>0</v>
      </c>
      <c r="Z127" s="9">
        <f>ROUND(T127 / 1.2, 2)</f>
        <v>0</v>
      </c>
      <c r="AA127" s="9">
        <f>Y127+Z127</f>
        <v>0</v>
      </c>
      <c r="AD127" s="4">
        <v>304337604</v>
      </c>
      <c r="AE127" s="4">
        <v>20298519</v>
      </c>
      <c r="AG127" s="4" t="s">
        <v>356</v>
      </c>
      <c r="AH127" s="4" t="s">
        <v>357</v>
      </c>
      <c r="AI127" s="4" t="s">
        <v>260</v>
      </c>
    </row>
    <row r="128" spans="1:35" ht="72" x14ac:dyDescent="0.3">
      <c r="A128" s="23" t="s">
        <v>389</v>
      </c>
      <c r="B128" s="23" t="s">
        <v>354</v>
      </c>
      <c r="C128" s="24" t="s">
        <v>355</v>
      </c>
      <c r="D128" s="25"/>
      <c r="E128" s="25" t="s">
        <v>390</v>
      </c>
      <c r="F128" s="25" t="s">
        <v>82</v>
      </c>
      <c r="G128" s="26">
        <v>1</v>
      </c>
      <c r="H128" s="25"/>
      <c r="I128" s="26">
        <v>11</v>
      </c>
      <c r="J128" s="27">
        <v>0</v>
      </c>
      <c r="K128" s="27">
        <v>200</v>
      </c>
      <c r="L128" s="27"/>
      <c r="M128" s="27">
        <v>0</v>
      </c>
      <c r="N128" s="27"/>
      <c r="O128" s="27"/>
      <c r="P128" s="27">
        <v>0</v>
      </c>
      <c r="Q128" s="27">
        <v>200</v>
      </c>
      <c r="R128" s="27"/>
      <c r="S128" s="27">
        <v>0</v>
      </c>
      <c r="T128" s="27"/>
      <c r="U128" s="27"/>
      <c r="V128" s="9"/>
      <c r="W128" s="9">
        <f>ROUND(Q128 / 1.2, 2)</f>
        <v>166.67</v>
      </c>
      <c r="X128" s="9" t="e">
        <f>ROUND(R128 / 1.2, 2)</f>
        <v>#VALUE!</v>
      </c>
      <c r="Y128" s="9"/>
      <c r="Z128" s="9" t="e">
        <f>ROUND(T128 / 1.2, 2)</f>
        <v>#VALUE!</v>
      </c>
      <c r="AA128" s="9"/>
      <c r="AD128" s="4">
        <v>281916029</v>
      </c>
      <c r="AE128" s="4">
        <v>20298519</v>
      </c>
      <c r="AG128" s="4" t="s">
        <v>356</v>
      </c>
      <c r="AH128" s="4" t="s">
        <v>357</v>
      </c>
      <c r="AI128" s="4"/>
    </row>
    <row r="129" spans="1:35" ht="36" x14ac:dyDescent="0.3">
      <c r="A129" s="17" t="s">
        <v>391</v>
      </c>
      <c r="B129" s="17"/>
      <c r="C129" s="34" t="s">
        <v>361</v>
      </c>
      <c r="D129" s="19"/>
      <c r="E129" s="19"/>
      <c r="F129" s="35" t="s">
        <v>82</v>
      </c>
      <c r="G129" s="36">
        <v>1.1000000000000001</v>
      </c>
      <c r="H129" s="19"/>
      <c r="I129" s="48">
        <v>0</v>
      </c>
      <c r="J129" s="38">
        <v>0</v>
      </c>
      <c r="K129" s="39"/>
      <c r="L129" s="39"/>
      <c r="M129" s="38">
        <f>ROUND(ROUND(J129, 2)*I129, 2)</f>
        <v>0</v>
      </c>
      <c r="N129" s="39"/>
      <c r="O129" s="39"/>
      <c r="P129" s="38">
        <v>516.79999999999995</v>
      </c>
      <c r="Q129" s="39"/>
      <c r="R129" s="39"/>
      <c r="S129" s="38">
        <f>ROUND(ROUND(P129, 2)*I129, 2)</f>
        <v>0</v>
      </c>
      <c r="T129" s="39"/>
      <c r="U129" s="40"/>
      <c r="V129" s="9">
        <f>ROUND(ROUND(P129, 2)/1.2, 2)</f>
        <v>430.67</v>
      </c>
      <c r="Y129" s="9">
        <f>ROUND(S129 / 1.2, 2)</f>
        <v>0</v>
      </c>
      <c r="AD129" s="4" t="s">
        <v>392</v>
      </c>
      <c r="AE129" s="4" t="s">
        <v>393</v>
      </c>
      <c r="AF129" s="4" t="s">
        <v>364</v>
      </c>
    </row>
    <row r="130" spans="1:35" ht="36" x14ac:dyDescent="0.3">
      <c r="A130" s="23" t="s">
        <v>394</v>
      </c>
      <c r="B130" s="23"/>
      <c r="C130" s="41" t="s">
        <v>361</v>
      </c>
      <c r="D130" s="25"/>
      <c r="E130" s="25"/>
      <c r="F130" s="42" t="s">
        <v>82</v>
      </c>
      <c r="G130" s="43">
        <v>1.1000000000000001</v>
      </c>
      <c r="H130" s="25"/>
      <c r="I130" s="50">
        <v>12.1</v>
      </c>
      <c r="J130" s="44">
        <v>0</v>
      </c>
      <c r="K130" s="45"/>
      <c r="L130" s="45"/>
      <c r="M130" s="44">
        <f>ROUND(ROUND(J130, 2)*I130, 2)</f>
        <v>0</v>
      </c>
      <c r="N130" s="45"/>
      <c r="O130" s="45"/>
      <c r="P130" s="44">
        <v>516.79999999999995</v>
      </c>
      <c r="Q130" s="45"/>
      <c r="R130" s="45"/>
      <c r="S130" s="44">
        <f>ROUND(ROUND(P130, 2)*I130, 2)</f>
        <v>6253.28</v>
      </c>
      <c r="T130" s="45"/>
      <c r="U130" s="46"/>
      <c r="V130" s="9">
        <f>ROUND(ROUND(P130, 2)/1.2, 2)</f>
        <v>430.67</v>
      </c>
      <c r="Y130" s="9">
        <f>ROUND(S130 / 1.2, 2)</f>
        <v>5211.07</v>
      </c>
      <c r="AD130" s="4" t="s">
        <v>395</v>
      </c>
      <c r="AE130" s="4" t="s">
        <v>393</v>
      </c>
      <c r="AF130" s="4" t="s">
        <v>364</v>
      </c>
    </row>
    <row r="131" spans="1:35" ht="18" x14ac:dyDescent="0.3">
      <c r="A131" s="17" t="s">
        <v>396</v>
      </c>
      <c r="B131" s="17"/>
      <c r="C131" s="34" t="s">
        <v>368</v>
      </c>
      <c r="D131" s="19"/>
      <c r="E131" s="19"/>
      <c r="F131" s="35" t="s">
        <v>369</v>
      </c>
      <c r="G131" s="64">
        <v>0.09</v>
      </c>
      <c r="H131" s="19"/>
      <c r="I131" s="37">
        <v>0</v>
      </c>
      <c r="J131" s="38">
        <v>100</v>
      </c>
      <c r="K131" s="39"/>
      <c r="L131" s="39"/>
      <c r="M131" s="38">
        <f>ROUND(ROUND(J131, 2)*I131, 2)</f>
        <v>0</v>
      </c>
      <c r="N131" s="39"/>
      <c r="O131" s="39"/>
      <c r="P131" s="38">
        <v>100</v>
      </c>
      <c r="Q131" s="39"/>
      <c r="R131" s="39"/>
      <c r="S131" s="38">
        <f>ROUND(ROUND(P131, 2)*I131, 2)</f>
        <v>0</v>
      </c>
      <c r="T131" s="39"/>
      <c r="U131" s="40"/>
      <c r="V131" s="9">
        <f>ROUND(ROUND(P131, 2)/1.2, 2)</f>
        <v>83.33</v>
      </c>
      <c r="Y131" s="9">
        <f>ROUND(S131 / 1.2, 2)</f>
        <v>0</v>
      </c>
      <c r="AD131" s="4" t="s">
        <v>397</v>
      </c>
      <c r="AE131" s="4" t="s">
        <v>398</v>
      </c>
      <c r="AF131" s="4" t="s">
        <v>372</v>
      </c>
    </row>
    <row r="132" spans="1:35" ht="18" x14ac:dyDescent="0.3">
      <c r="A132" s="23" t="s">
        <v>399</v>
      </c>
      <c r="B132" s="23"/>
      <c r="C132" s="41" t="s">
        <v>368</v>
      </c>
      <c r="D132" s="25"/>
      <c r="E132" s="25"/>
      <c r="F132" s="42" t="s">
        <v>369</v>
      </c>
      <c r="G132" s="65">
        <v>0.09</v>
      </c>
      <c r="H132" s="25"/>
      <c r="I132" s="43">
        <v>0.99</v>
      </c>
      <c r="J132" s="44">
        <v>100</v>
      </c>
      <c r="K132" s="45"/>
      <c r="L132" s="45"/>
      <c r="M132" s="44">
        <f>ROUND(ROUND(J132, 2)*I132, 2)</f>
        <v>99</v>
      </c>
      <c r="N132" s="45"/>
      <c r="O132" s="45"/>
      <c r="P132" s="44">
        <v>100</v>
      </c>
      <c r="Q132" s="45"/>
      <c r="R132" s="45"/>
      <c r="S132" s="44">
        <f>ROUND(ROUND(P132, 2)*I132, 2)</f>
        <v>99</v>
      </c>
      <c r="T132" s="45"/>
      <c r="U132" s="46"/>
      <c r="V132" s="9">
        <f>ROUND(ROUND(P132, 2)/1.2, 2)</f>
        <v>83.33</v>
      </c>
      <c r="Y132" s="9">
        <f>ROUND(S132 / 1.2, 2)</f>
        <v>82.5</v>
      </c>
      <c r="AD132" s="4" t="s">
        <v>400</v>
      </c>
      <c r="AE132" s="4" t="s">
        <v>398</v>
      </c>
      <c r="AF132" s="4" t="s">
        <v>372</v>
      </c>
    </row>
    <row r="133" spans="1:35" ht="18" x14ac:dyDescent="0.3">
      <c r="A133" s="17" t="s">
        <v>401</v>
      </c>
      <c r="B133" s="17" t="s">
        <v>354</v>
      </c>
      <c r="C133" s="18" t="s">
        <v>355</v>
      </c>
      <c r="D133" s="19"/>
      <c r="E133" s="19"/>
      <c r="F133" s="19" t="s">
        <v>82</v>
      </c>
      <c r="G133" s="20">
        <v>1</v>
      </c>
      <c r="H133" s="19"/>
      <c r="I133" s="21">
        <v>0</v>
      </c>
      <c r="J133" s="22">
        <f>IFERROR(ROUND(SUM(M135,M137)/I133, 2),0)</f>
        <v>0</v>
      </c>
      <c r="K133" s="22">
        <v>200</v>
      </c>
      <c r="L133" s="22">
        <f>J133+ROUND(K133, 2)</f>
        <v>200</v>
      </c>
      <c r="M133" s="22">
        <f>ROUND(J133*I133, 2)</f>
        <v>0</v>
      </c>
      <c r="N133" s="22">
        <f>ROUND(I133*ROUND(K133, 2), 2)</f>
        <v>0</v>
      </c>
      <c r="O133" s="22">
        <f>M133+N133</f>
        <v>0</v>
      </c>
      <c r="P133" s="22">
        <f>IFERROR(ROUND(SUM(S135,S137)/I133, 2),0)</f>
        <v>0</v>
      </c>
      <c r="Q133" s="22">
        <v>200</v>
      </c>
      <c r="R133" s="22">
        <f>P133+ROUND(Q133, 2)</f>
        <v>200</v>
      </c>
      <c r="S133" s="22">
        <f>ROUND(P133*I133, 2)</f>
        <v>0</v>
      </c>
      <c r="T133" s="22">
        <f>ROUND(I133*ROUND(Q133, 2), 2)</f>
        <v>0</v>
      </c>
      <c r="U133" s="22">
        <f>S133+T133</f>
        <v>0</v>
      </c>
      <c r="V133" s="9">
        <f>ROUND(P133 / 1.2, 2)</f>
        <v>0</v>
      </c>
      <c r="W133" s="9">
        <f>ROUND(Q133 / 1.2, 2)</f>
        <v>166.67</v>
      </c>
      <c r="X133" s="9">
        <f>ROUND(R133 / 1.2, 2)</f>
        <v>166.67</v>
      </c>
      <c r="Y133" s="9">
        <f>ROUND(S133 / 1.2, 2)</f>
        <v>0</v>
      </c>
      <c r="Z133" s="9">
        <f>ROUND(T133 / 1.2, 2)</f>
        <v>0</v>
      </c>
      <c r="AA133" s="9">
        <f>Y133+Z133</f>
        <v>0</v>
      </c>
      <c r="AD133" s="4">
        <v>304337605</v>
      </c>
      <c r="AE133" s="4">
        <v>20298509</v>
      </c>
      <c r="AG133" s="4" t="s">
        <v>356</v>
      </c>
      <c r="AH133" s="4" t="s">
        <v>357</v>
      </c>
      <c r="AI133" s="4" t="s">
        <v>260</v>
      </c>
    </row>
    <row r="134" spans="1:35" ht="18" x14ac:dyDescent="0.3">
      <c r="A134" s="23" t="s">
        <v>402</v>
      </c>
      <c r="B134" s="23" t="s">
        <v>354</v>
      </c>
      <c r="C134" s="24" t="s">
        <v>355</v>
      </c>
      <c r="D134" s="25"/>
      <c r="E134" s="25" t="s">
        <v>403</v>
      </c>
      <c r="F134" s="25" t="s">
        <v>82</v>
      </c>
      <c r="G134" s="26">
        <v>1</v>
      </c>
      <c r="H134" s="25"/>
      <c r="I134" s="26">
        <v>106.7</v>
      </c>
      <c r="J134" s="27">
        <v>0</v>
      </c>
      <c r="K134" s="27">
        <v>200</v>
      </c>
      <c r="L134" s="27"/>
      <c r="M134" s="27">
        <v>0</v>
      </c>
      <c r="N134" s="27"/>
      <c r="O134" s="27"/>
      <c r="P134" s="27">
        <v>0</v>
      </c>
      <c r="Q134" s="27">
        <v>200</v>
      </c>
      <c r="R134" s="27"/>
      <c r="S134" s="27">
        <v>0</v>
      </c>
      <c r="T134" s="27"/>
      <c r="U134" s="27"/>
      <c r="V134" s="9"/>
      <c r="W134" s="9">
        <f>ROUND(Q134 / 1.2, 2)</f>
        <v>166.67</v>
      </c>
      <c r="X134" s="9" t="e">
        <f>ROUND(R134 / 1.2, 2)</f>
        <v>#VALUE!</v>
      </c>
      <c r="Y134" s="9"/>
      <c r="Z134" s="9" t="e">
        <f>ROUND(T134 / 1.2, 2)</f>
        <v>#VALUE!</v>
      </c>
      <c r="AA134" s="9"/>
      <c r="AD134" s="4">
        <v>278271870</v>
      </c>
      <c r="AE134" s="4">
        <v>20298509</v>
      </c>
      <c r="AG134" s="4" t="s">
        <v>356</v>
      </c>
      <c r="AH134" s="4" t="s">
        <v>357</v>
      </c>
      <c r="AI134" s="4"/>
    </row>
    <row r="135" spans="1:35" ht="18" x14ac:dyDescent="0.3">
      <c r="A135" s="17" t="s">
        <v>404</v>
      </c>
      <c r="B135" s="17"/>
      <c r="C135" s="34" t="s">
        <v>405</v>
      </c>
      <c r="D135" s="19"/>
      <c r="E135" s="19"/>
      <c r="F135" s="35" t="s">
        <v>82</v>
      </c>
      <c r="G135" s="36">
        <v>1.05</v>
      </c>
      <c r="H135" s="19"/>
      <c r="I135" s="48">
        <v>0</v>
      </c>
      <c r="J135" s="38">
        <v>140.54</v>
      </c>
      <c r="K135" s="39"/>
      <c r="L135" s="39"/>
      <c r="M135" s="38">
        <f>ROUND(ROUND(J135, 2)*I135, 2)</f>
        <v>0</v>
      </c>
      <c r="N135" s="39"/>
      <c r="O135" s="39"/>
      <c r="P135" s="38">
        <v>140.54</v>
      </c>
      <c r="Q135" s="39"/>
      <c r="R135" s="39"/>
      <c r="S135" s="38">
        <f>ROUND(ROUND(P135, 2)*I135, 2)</f>
        <v>0</v>
      </c>
      <c r="T135" s="39"/>
      <c r="U135" s="40"/>
      <c r="V135" s="9">
        <f>ROUND(ROUND(P135, 2)/1.2, 2)</f>
        <v>117.12</v>
      </c>
      <c r="Y135" s="9">
        <f t="shared" ref="Y135:Y151" si="34">ROUND(S135 / 1.2, 2)</f>
        <v>0</v>
      </c>
      <c r="AD135" s="4" t="s">
        <v>406</v>
      </c>
      <c r="AE135" s="4" t="s">
        <v>407</v>
      </c>
      <c r="AF135" s="4" t="s">
        <v>408</v>
      </c>
    </row>
    <row r="136" spans="1:35" ht="18" x14ac:dyDescent="0.3">
      <c r="A136" s="23" t="s">
        <v>409</v>
      </c>
      <c r="B136" s="23"/>
      <c r="C136" s="41" t="s">
        <v>405</v>
      </c>
      <c r="D136" s="25"/>
      <c r="E136" s="25"/>
      <c r="F136" s="42" t="s">
        <v>82</v>
      </c>
      <c r="G136" s="43">
        <v>1.05</v>
      </c>
      <c r="H136" s="25"/>
      <c r="I136" s="50">
        <v>68.984999999999999</v>
      </c>
      <c r="J136" s="44">
        <v>140.54</v>
      </c>
      <c r="K136" s="45"/>
      <c r="L136" s="45"/>
      <c r="M136" s="44">
        <f>ROUND(ROUND(J136, 2)*I136, 2)</f>
        <v>9695.15</v>
      </c>
      <c r="N136" s="45"/>
      <c r="O136" s="45"/>
      <c r="P136" s="44">
        <v>140.54</v>
      </c>
      <c r="Q136" s="45"/>
      <c r="R136" s="45"/>
      <c r="S136" s="44">
        <f>ROUND(ROUND(P136, 2)*I136, 2)</f>
        <v>9695.15</v>
      </c>
      <c r="T136" s="45"/>
      <c r="U136" s="46"/>
      <c r="V136" s="9">
        <f>ROUND(ROUND(P136, 2)/1.2, 2)</f>
        <v>117.12</v>
      </c>
      <c r="Y136" s="9">
        <f t="shared" si="34"/>
        <v>8079.29</v>
      </c>
      <c r="AD136" s="4" t="s">
        <v>410</v>
      </c>
      <c r="AE136" s="4" t="s">
        <v>407</v>
      </c>
      <c r="AF136" s="4" t="s">
        <v>408</v>
      </c>
    </row>
    <row r="137" spans="1:35" ht="18" x14ac:dyDescent="0.3">
      <c r="A137" s="17" t="s">
        <v>411</v>
      </c>
      <c r="B137" s="17"/>
      <c r="C137" s="34" t="s">
        <v>368</v>
      </c>
      <c r="D137" s="19"/>
      <c r="E137" s="19"/>
      <c r="F137" s="35" t="s">
        <v>369</v>
      </c>
      <c r="G137" s="64">
        <v>0.09</v>
      </c>
      <c r="H137" s="19"/>
      <c r="I137" s="37">
        <v>0</v>
      </c>
      <c r="J137" s="38">
        <v>100</v>
      </c>
      <c r="K137" s="39"/>
      <c r="L137" s="39"/>
      <c r="M137" s="38">
        <f>ROUND(ROUND(J137, 2)*I137, 2)</f>
        <v>0</v>
      </c>
      <c r="N137" s="39"/>
      <c r="O137" s="39"/>
      <c r="P137" s="38">
        <v>100</v>
      </c>
      <c r="Q137" s="39"/>
      <c r="R137" s="39"/>
      <c r="S137" s="38">
        <f>ROUND(ROUND(P137, 2)*I137, 2)</f>
        <v>0</v>
      </c>
      <c r="T137" s="39"/>
      <c r="U137" s="40"/>
      <c r="V137" s="9">
        <f>ROUND(ROUND(P137, 2)/1.2, 2)</f>
        <v>83.33</v>
      </c>
      <c r="Y137" s="9">
        <f t="shared" si="34"/>
        <v>0</v>
      </c>
      <c r="AD137" s="4" t="s">
        <v>412</v>
      </c>
      <c r="AE137" s="4" t="s">
        <v>413</v>
      </c>
      <c r="AF137" s="4" t="s">
        <v>372</v>
      </c>
    </row>
    <row r="138" spans="1:35" ht="18" x14ac:dyDescent="0.3">
      <c r="A138" s="23" t="s">
        <v>414</v>
      </c>
      <c r="B138" s="23"/>
      <c r="C138" s="41" t="s">
        <v>368</v>
      </c>
      <c r="D138" s="25"/>
      <c r="E138" s="25"/>
      <c r="F138" s="42" t="s">
        <v>369</v>
      </c>
      <c r="G138" s="65">
        <v>0.09</v>
      </c>
      <c r="H138" s="25"/>
      <c r="I138" s="43">
        <v>9.6029999999999998</v>
      </c>
      <c r="J138" s="44">
        <v>100</v>
      </c>
      <c r="K138" s="45"/>
      <c r="L138" s="45"/>
      <c r="M138" s="44">
        <f>ROUND(ROUND(J138, 2)*I138, 2)</f>
        <v>960.3</v>
      </c>
      <c r="N138" s="45"/>
      <c r="O138" s="45"/>
      <c r="P138" s="44">
        <v>100</v>
      </c>
      <c r="Q138" s="45"/>
      <c r="R138" s="45"/>
      <c r="S138" s="44">
        <f>ROUND(ROUND(P138, 2)*I138, 2)</f>
        <v>960.3</v>
      </c>
      <c r="T138" s="45"/>
      <c r="U138" s="46"/>
      <c r="V138" s="9">
        <f>ROUND(ROUND(P138, 2)/1.2, 2)</f>
        <v>83.33</v>
      </c>
      <c r="Y138" s="9">
        <f t="shared" si="34"/>
        <v>800.25</v>
      </c>
      <c r="AD138" s="4" t="s">
        <v>415</v>
      </c>
      <c r="AE138" s="4" t="s">
        <v>413</v>
      </c>
      <c r="AF138" s="4" t="s">
        <v>372</v>
      </c>
    </row>
    <row r="139" spans="1:35" ht="72" x14ac:dyDescent="0.3">
      <c r="A139" s="51" t="s">
        <v>416</v>
      </c>
      <c r="B139" s="51" t="s">
        <v>354</v>
      </c>
      <c r="C139" s="52" t="s">
        <v>355</v>
      </c>
      <c r="D139" s="53"/>
      <c r="E139" s="53" t="s">
        <v>359</v>
      </c>
      <c r="F139" s="53" t="s">
        <v>82</v>
      </c>
      <c r="G139" s="54">
        <v>1</v>
      </c>
      <c r="H139" s="53"/>
      <c r="I139" s="54">
        <v>25</v>
      </c>
      <c r="J139" s="55">
        <f>IFERROR(ROUND(SUM(M140,M141)/I139, 2),0)</f>
        <v>9</v>
      </c>
      <c r="K139" s="55">
        <v>200</v>
      </c>
      <c r="L139" s="55">
        <f>J139+ROUND(K139, 2)</f>
        <v>209</v>
      </c>
      <c r="M139" s="55">
        <f>ROUND(J139*I139, 2)</f>
        <v>225</v>
      </c>
      <c r="N139" s="55">
        <f>ROUND(I139*ROUND(K139, 2), 2)</f>
        <v>5000</v>
      </c>
      <c r="O139" s="55">
        <f>M139+N139</f>
        <v>5225</v>
      </c>
      <c r="P139" s="55">
        <f>IFERROR(ROUND(SUM(S140,S141)/I139, 2),0)</f>
        <v>9</v>
      </c>
      <c r="Q139" s="55">
        <v>300</v>
      </c>
      <c r="R139" s="55">
        <f>P139+ROUND(Q139, 2)</f>
        <v>309</v>
      </c>
      <c r="S139" s="55">
        <f>ROUND(P139*I139, 2)</f>
        <v>225</v>
      </c>
      <c r="T139" s="55">
        <f>ROUND(I139*ROUND(Q139, 2), 2)</f>
        <v>7500</v>
      </c>
      <c r="U139" s="55">
        <f>S139+T139</f>
        <v>7725</v>
      </c>
      <c r="V139" s="9">
        <f>ROUND(P139 / 1.2, 2)</f>
        <v>7.5</v>
      </c>
      <c r="W139" s="9">
        <f>ROUND(Q139 / 1.2, 2)</f>
        <v>250</v>
      </c>
      <c r="X139" s="9">
        <f>ROUND(R139 / 1.2, 2)</f>
        <v>257.5</v>
      </c>
      <c r="Y139" s="9">
        <f t="shared" si="34"/>
        <v>187.5</v>
      </c>
      <c r="Z139" s="9">
        <f>ROUND(T139 / 1.2, 2)</f>
        <v>6250</v>
      </c>
      <c r="AA139" s="9">
        <f>Y139+Z139</f>
        <v>6437.5</v>
      </c>
      <c r="AD139" s="4">
        <v>304337606</v>
      </c>
      <c r="AE139" s="4">
        <v>21916282</v>
      </c>
      <c r="AG139" s="4" t="s">
        <v>356</v>
      </c>
      <c r="AH139" s="4" t="s">
        <v>357</v>
      </c>
      <c r="AI139" s="4" t="s">
        <v>260</v>
      </c>
    </row>
    <row r="140" spans="1:35" ht="36" x14ac:dyDescent="0.3">
      <c r="A140" s="51" t="s">
        <v>417</v>
      </c>
      <c r="B140" s="51"/>
      <c r="C140" s="56" t="s">
        <v>361</v>
      </c>
      <c r="D140" s="53"/>
      <c r="E140" s="53"/>
      <c r="F140" s="57" t="s">
        <v>82</v>
      </c>
      <c r="G140" s="58">
        <v>1.1000000000000001</v>
      </c>
      <c r="H140" s="53"/>
      <c r="I140" s="62">
        <v>27.5</v>
      </c>
      <c r="J140" s="59">
        <v>0</v>
      </c>
      <c r="K140" s="60"/>
      <c r="L140" s="60"/>
      <c r="M140" s="59">
        <f>ROUND(ROUND(J140, 2)*I140, 2)</f>
        <v>0</v>
      </c>
      <c r="N140" s="60"/>
      <c r="O140" s="60"/>
      <c r="P140" s="59">
        <v>0</v>
      </c>
      <c r="Q140" s="60"/>
      <c r="R140" s="60"/>
      <c r="S140" s="59">
        <f>ROUND(ROUND(P140, 2)*I140, 2)</f>
        <v>0</v>
      </c>
      <c r="T140" s="60"/>
      <c r="U140" s="61"/>
      <c r="V140" s="9">
        <f>ROUND(ROUND(P140, 2)/1.2, 2)</f>
        <v>0</v>
      </c>
      <c r="Y140" s="9">
        <f t="shared" si="34"/>
        <v>0</v>
      </c>
      <c r="AD140" s="4" t="s">
        <v>418</v>
      </c>
      <c r="AE140" s="4" t="s">
        <v>419</v>
      </c>
      <c r="AF140" s="4" t="s">
        <v>364</v>
      </c>
    </row>
    <row r="141" spans="1:35" ht="18" x14ac:dyDescent="0.3">
      <c r="A141" s="51" t="s">
        <v>420</v>
      </c>
      <c r="B141" s="51"/>
      <c r="C141" s="56" t="s">
        <v>368</v>
      </c>
      <c r="D141" s="53"/>
      <c r="E141" s="53"/>
      <c r="F141" s="57" t="s">
        <v>369</v>
      </c>
      <c r="G141" s="66">
        <v>0.09</v>
      </c>
      <c r="H141" s="53"/>
      <c r="I141" s="58">
        <v>2.25</v>
      </c>
      <c r="J141" s="59">
        <v>100</v>
      </c>
      <c r="K141" s="60"/>
      <c r="L141" s="60"/>
      <c r="M141" s="59">
        <f>ROUND(ROUND(J141, 2)*I141, 2)</f>
        <v>225</v>
      </c>
      <c r="N141" s="60"/>
      <c r="O141" s="60"/>
      <c r="P141" s="59">
        <v>100</v>
      </c>
      <c r="Q141" s="60"/>
      <c r="R141" s="60"/>
      <c r="S141" s="59">
        <f>ROUND(ROUND(P141, 2)*I141, 2)</f>
        <v>225</v>
      </c>
      <c r="T141" s="60"/>
      <c r="U141" s="61"/>
      <c r="V141" s="9">
        <f>ROUND(ROUND(P141, 2)/1.2, 2)</f>
        <v>83.33</v>
      </c>
      <c r="Y141" s="9">
        <f t="shared" si="34"/>
        <v>187.5</v>
      </c>
      <c r="AD141" s="4" t="s">
        <v>421</v>
      </c>
      <c r="AE141" s="4" t="s">
        <v>422</v>
      </c>
      <c r="AF141" s="4" t="s">
        <v>372</v>
      </c>
    </row>
    <row r="142" spans="1:35" ht="72" x14ac:dyDescent="0.3">
      <c r="A142" s="51" t="s">
        <v>423</v>
      </c>
      <c r="B142" s="51" t="s">
        <v>354</v>
      </c>
      <c r="C142" s="52" t="s">
        <v>355</v>
      </c>
      <c r="D142" s="53"/>
      <c r="E142" s="53" t="s">
        <v>377</v>
      </c>
      <c r="F142" s="53" t="s">
        <v>82</v>
      </c>
      <c r="G142" s="54">
        <v>1</v>
      </c>
      <c r="H142" s="53"/>
      <c r="I142" s="54">
        <v>8.1</v>
      </c>
      <c r="J142" s="55">
        <f>IFERROR(ROUND(SUM(M143,M144)/I142, 2),0)</f>
        <v>9</v>
      </c>
      <c r="K142" s="55">
        <v>200</v>
      </c>
      <c r="L142" s="55">
        <f>J142+ROUND(K142, 2)</f>
        <v>209</v>
      </c>
      <c r="M142" s="55">
        <f>ROUND(J142*I142, 2)</f>
        <v>72.900000000000006</v>
      </c>
      <c r="N142" s="55">
        <f>ROUND(I142*ROUND(K142, 2), 2)</f>
        <v>1620</v>
      </c>
      <c r="O142" s="55">
        <f>M142+N142</f>
        <v>1692.9</v>
      </c>
      <c r="P142" s="55">
        <f>IFERROR(ROUND(SUM(S143,S144)/I142, 2),0)</f>
        <v>9</v>
      </c>
      <c r="Q142" s="55">
        <v>300</v>
      </c>
      <c r="R142" s="55">
        <f>P142+ROUND(Q142, 2)</f>
        <v>309</v>
      </c>
      <c r="S142" s="55">
        <f>ROUND(P142*I142, 2)</f>
        <v>72.900000000000006</v>
      </c>
      <c r="T142" s="55">
        <f>ROUND(I142*ROUND(Q142, 2), 2)</f>
        <v>2430</v>
      </c>
      <c r="U142" s="55">
        <f>S142+T142</f>
        <v>2502.9</v>
      </c>
      <c r="V142" s="9">
        <f>ROUND(P142 / 1.2, 2)</f>
        <v>7.5</v>
      </c>
      <c r="W142" s="9">
        <f>ROUND(Q142 / 1.2, 2)</f>
        <v>250</v>
      </c>
      <c r="X142" s="9">
        <f>ROUND(R142 / 1.2, 2)</f>
        <v>257.5</v>
      </c>
      <c r="Y142" s="9">
        <f t="shared" si="34"/>
        <v>60.75</v>
      </c>
      <c r="Z142" s="9">
        <f>ROUND(T142 / 1.2, 2)</f>
        <v>2025</v>
      </c>
      <c r="AA142" s="9">
        <f>Y142+Z142</f>
        <v>2085.75</v>
      </c>
      <c r="AD142" s="4">
        <v>304337607</v>
      </c>
      <c r="AE142" s="4">
        <v>21916283</v>
      </c>
      <c r="AG142" s="4" t="s">
        <v>356</v>
      </c>
      <c r="AH142" s="4" t="s">
        <v>357</v>
      </c>
      <c r="AI142" s="4" t="s">
        <v>260</v>
      </c>
    </row>
    <row r="143" spans="1:35" ht="18" x14ac:dyDescent="0.3">
      <c r="A143" s="51" t="s">
        <v>424</v>
      </c>
      <c r="B143" s="51"/>
      <c r="C143" s="56" t="s">
        <v>368</v>
      </c>
      <c r="D143" s="53"/>
      <c r="E143" s="53"/>
      <c r="F143" s="57" t="s">
        <v>369</v>
      </c>
      <c r="G143" s="66">
        <v>0.09</v>
      </c>
      <c r="H143" s="53"/>
      <c r="I143" s="58">
        <v>0.72899999999999998</v>
      </c>
      <c r="J143" s="59">
        <v>100</v>
      </c>
      <c r="K143" s="60"/>
      <c r="L143" s="60"/>
      <c r="M143" s="59">
        <f>ROUND(ROUND(J143, 2)*I143, 2)</f>
        <v>72.900000000000006</v>
      </c>
      <c r="N143" s="60"/>
      <c r="O143" s="60"/>
      <c r="P143" s="59">
        <v>100</v>
      </c>
      <c r="Q143" s="60"/>
      <c r="R143" s="60"/>
      <c r="S143" s="59">
        <f>ROUND(ROUND(P143, 2)*I143, 2)</f>
        <v>72.900000000000006</v>
      </c>
      <c r="T143" s="60"/>
      <c r="U143" s="61"/>
      <c r="V143" s="9">
        <f>ROUND(ROUND(P143, 2)/1.2, 2)</f>
        <v>83.33</v>
      </c>
      <c r="Y143" s="9">
        <f t="shared" si="34"/>
        <v>60.75</v>
      </c>
      <c r="AD143" s="4" t="s">
        <v>425</v>
      </c>
      <c r="AE143" s="4" t="s">
        <v>426</v>
      </c>
      <c r="AF143" s="4" t="s">
        <v>372</v>
      </c>
    </row>
    <row r="144" spans="1:35" ht="36" x14ac:dyDescent="0.3">
      <c r="A144" s="51" t="s">
        <v>427</v>
      </c>
      <c r="B144" s="51"/>
      <c r="C144" s="56" t="s">
        <v>361</v>
      </c>
      <c r="D144" s="53"/>
      <c r="E144" s="53"/>
      <c r="F144" s="57" t="s">
        <v>82</v>
      </c>
      <c r="G144" s="58">
        <v>1.1000000000000001</v>
      </c>
      <c r="H144" s="53"/>
      <c r="I144" s="62">
        <v>8.91</v>
      </c>
      <c r="J144" s="59">
        <v>0</v>
      </c>
      <c r="K144" s="60"/>
      <c r="L144" s="60"/>
      <c r="M144" s="59">
        <f>ROUND(ROUND(J144, 2)*I144, 2)</f>
        <v>0</v>
      </c>
      <c r="N144" s="60"/>
      <c r="O144" s="60"/>
      <c r="P144" s="59">
        <v>0</v>
      </c>
      <c r="Q144" s="60"/>
      <c r="R144" s="60"/>
      <c r="S144" s="59">
        <f>ROUND(ROUND(P144, 2)*I144, 2)</f>
        <v>0</v>
      </c>
      <c r="T144" s="60"/>
      <c r="U144" s="61"/>
      <c r="V144" s="9">
        <f>ROUND(ROUND(P144, 2)/1.2, 2)</f>
        <v>0</v>
      </c>
      <c r="Y144" s="9">
        <f t="shared" si="34"/>
        <v>0</v>
      </c>
      <c r="AD144" s="4" t="s">
        <v>428</v>
      </c>
      <c r="AE144" s="4" t="s">
        <v>429</v>
      </c>
      <c r="AF144" s="4" t="s">
        <v>364</v>
      </c>
    </row>
    <row r="145" spans="1:35" ht="72" x14ac:dyDescent="0.3">
      <c r="A145" s="51" t="s">
        <v>430</v>
      </c>
      <c r="B145" s="51" t="s">
        <v>354</v>
      </c>
      <c r="C145" s="52" t="s">
        <v>355</v>
      </c>
      <c r="D145" s="53"/>
      <c r="E145" s="53" t="s">
        <v>390</v>
      </c>
      <c r="F145" s="53" t="s">
        <v>82</v>
      </c>
      <c r="G145" s="54">
        <v>1</v>
      </c>
      <c r="H145" s="53"/>
      <c r="I145" s="54">
        <v>11</v>
      </c>
      <c r="J145" s="55">
        <f>IFERROR(ROUND(SUM(M146,M147)/I145, 2),0)</f>
        <v>9</v>
      </c>
      <c r="K145" s="55">
        <v>200</v>
      </c>
      <c r="L145" s="55">
        <f>J145+ROUND(K145, 2)</f>
        <v>209</v>
      </c>
      <c r="M145" s="55">
        <f>ROUND(J145*I145, 2)</f>
        <v>99</v>
      </c>
      <c r="N145" s="55">
        <f>ROUND(I145*ROUND(K145, 2), 2)</f>
        <v>2200</v>
      </c>
      <c r="O145" s="55">
        <f>M145+N145</f>
        <v>2299</v>
      </c>
      <c r="P145" s="55">
        <f>IFERROR(ROUND(SUM(S146,S147)/I145, 2),0)</f>
        <v>9</v>
      </c>
      <c r="Q145" s="55">
        <v>300</v>
      </c>
      <c r="R145" s="55">
        <f>P145+ROUND(Q145, 2)</f>
        <v>309</v>
      </c>
      <c r="S145" s="55">
        <f>ROUND(P145*I145, 2)</f>
        <v>99</v>
      </c>
      <c r="T145" s="55">
        <f>ROUND(I145*ROUND(Q145, 2), 2)</f>
        <v>3300</v>
      </c>
      <c r="U145" s="55">
        <f>S145+T145</f>
        <v>3399</v>
      </c>
      <c r="V145" s="9">
        <f>ROUND(P145 / 1.2, 2)</f>
        <v>7.5</v>
      </c>
      <c r="W145" s="9">
        <f>ROUND(Q145 / 1.2, 2)</f>
        <v>250</v>
      </c>
      <c r="X145" s="9">
        <f>ROUND(R145 / 1.2, 2)</f>
        <v>257.5</v>
      </c>
      <c r="Y145" s="9">
        <f t="shared" si="34"/>
        <v>82.5</v>
      </c>
      <c r="Z145" s="9">
        <f>ROUND(T145 / 1.2, 2)</f>
        <v>2750</v>
      </c>
      <c r="AA145" s="9">
        <f>Y145+Z145</f>
        <v>2832.5</v>
      </c>
      <c r="AD145" s="4">
        <v>304337608</v>
      </c>
      <c r="AE145" s="4">
        <v>21916296</v>
      </c>
      <c r="AG145" s="4" t="s">
        <v>356</v>
      </c>
      <c r="AH145" s="4" t="s">
        <v>357</v>
      </c>
      <c r="AI145" s="4" t="s">
        <v>260</v>
      </c>
    </row>
    <row r="146" spans="1:35" ht="36" x14ac:dyDescent="0.3">
      <c r="A146" s="51" t="s">
        <v>431</v>
      </c>
      <c r="B146" s="51"/>
      <c r="C146" s="56" t="s">
        <v>361</v>
      </c>
      <c r="D146" s="53"/>
      <c r="E146" s="53"/>
      <c r="F146" s="57" t="s">
        <v>82</v>
      </c>
      <c r="G146" s="58">
        <v>1.1000000000000001</v>
      </c>
      <c r="H146" s="53"/>
      <c r="I146" s="62">
        <v>12.1</v>
      </c>
      <c r="J146" s="59">
        <v>0</v>
      </c>
      <c r="K146" s="60"/>
      <c r="L146" s="60"/>
      <c r="M146" s="59">
        <f>ROUND(ROUND(J146, 2)*I146, 2)</f>
        <v>0</v>
      </c>
      <c r="N146" s="60"/>
      <c r="O146" s="60"/>
      <c r="P146" s="59">
        <v>0</v>
      </c>
      <c r="Q146" s="60"/>
      <c r="R146" s="60"/>
      <c r="S146" s="59">
        <f>ROUND(ROUND(P146, 2)*I146, 2)</f>
        <v>0</v>
      </c>
      <c r="T146" s="60"/>
      <c r="U146" s="61"/>
      <c r="V146" s="9">
        <f>ROUND(ROUND(P146, 2)/1.2, 2)</f>
        <v>0</v>
      </c>
      <c r="Y146" s="9">
        <f t="shared" si="34"/>
        <v>0</v>
      </c>
      <c r="AD146" s="4" t="s">
        <v>432</v>
      </c>
      <c r="AE146" s="4" t="s">
        <v>433</v>
      </c>
      <c r="AF146" s="4" t="s">
        <v>364</v>
      </c>
    </row>
    <row r="147" spans="1:35" ht="18" x14ac:dyDescent="0.3">
      <c r="A147" s="51" t="s">
        <v>434</v>
      </c>
      <c r="B147" s="51"/>
      <c r="C147" s="56" t="s">
        <v>368</v>
      </c>
      <c r="D147" s="53"/>
      <c r="E147" s="53"/>
      <c r="F147" s="57" t="s">
        <v>369</v>
      </c>
      <c r="G147" s="66">
        <v>0.09</v>
      </c>
      <c r="H147" s="53"/>
      <c r="I147" s="58">
        <v>0.99</v>
      </c>
      <c r="J147" s="59">
        <v>100</v>
      </c>
      <c r="K147" s="60"/>
      <c r="L147" s="60"/>
      <c r="M147" s="59">
        <f>ROUND(ROUND(J147, 2)*I147, 2)</f>
        <v>99</v>
      </c>
      <c r="N147" s="60"/>
      <c r="O147" s="60"/>
      <c r="P147" s="59">
        <v>100</v>
      </c>
      <c r="Q147" s="60"/>
      <c r="R147" s="60"/>
      <c r="S147" s="59">
        <f>ROUND(ROUND(P147, 2)*I147, 2)</f>
        <v>99</v>
      </c>
      <c r="T147" s="60"/>
      <c r="U147" s="61"/>
      <c r="V147" s="9">
        <f>ROUND(ROUND(P147, 2)/1.2, 2)</f>
        <v>83.33</v>
      </c>
      <c r="Y147" s="9">
        <f t="shared" si="34"/>
        <v>82.5</v>
      </c>
      <c r="AD147" s="4" t="s">
        <v>435</v>
      </c>
      <c r="AE147" s="4" t="s">
        <v>436</v>
      </c>
      <c r="AF147" s="4" t="s">
        <v>372</v>
      </c>
    </row>
    <row r="148" spans="1:35" ht="18" x14ac:dyDescent="0.3">
      <c r="A148" s="51" t="s">
        <v>437</v>
      </c>
      <c r="B148" s="51" t="s">
        <v>354</v>
      </c>
      <c r="C148" s="52" t="s">
        <v>355</v>
      </c>
      <c r="D148" s="53"/>
      <c r="E148" s="53" t="s">
        <v>403</v>
      </c>
      <c r="F148" s="53" t="s">
        <v>82</v>
      </c>
      <c r="G148" s="54">
        <v>1</v>
      </c>
      <c r="H148" s="53"/>
      <c r="I148" s="54">
        <v>106.7</v>
      </c>
      <c r="J148" s="55">
        <f>IFERROR(ROUND(SUM(M149,M150)/I148, 2),0)</f>
        <v>99.86</v>
      </c>
      <c r="K148" s="55">
        <v>200</v>
      </c>
      <c r="L148" s="55">
        <f>J148+ROUND(K148, 2)</f>
        <v>299.86</v>
      </c>
      <c r="M148" s="55">
        <f>ROUND(J148*I148, 2)</f>
        <v>10655.06</v>
      </c>
      <c r="N148" s="55">
        <f>ROUND(I148*ROUND(K148, 2), 2)</f>
        <v>21340</v>
      </c>
      <c r="O148" s="55">
        <f>M148+N148</f>
        <v>31995.06</v>
      </c>
      <c r="P148" s="55">
        <f>IFERROR(ROUND(SUM(S149,S150)/I148, 2),0)</f>
        <v>99.86</v>
      </c>
      <c r="Q148" s="55">
        <v>300</v>
      </c>
      <c r="R148" s="55">
        <f>P148+ROUND(Q148, 2)</f>
        <v>399.86</v>
      </c>
      <c r="S148" s="55">
        <f>ROUND(P148*I148, 2)</f>
        <v>10655.06</v>
      </c>
      <c r="T148" s="55">
        <f>ROUND(I148*ROUND(Q148, 2), 2)</f>
        <v>32010</v>
      </c>
      <c r="U148" s="55">
        <f>S148+T148</f>
        <v>42665.06</v>
      </c>
      <c r="V148" s="9">
        <f>ROUND(P148 / 1.2, 2)</f>
        <v>83.22</v>
      </c>
      <c r="W148" s="9">
        <f>ROUND(Q148 / 1.2, 2)</f>
        <v>250</v>
      </c>
      <c r="X148" s="9">
        <f>ROUND(R148 / 1.2, 2)</f>
        <v>333.22</v>
      </c>
      <c r="Y148" s="9">
        <f t="shared" si="34"/>
        <v>8879.2199999999993</v>
      </c>
      <c r="Z148" s="9">
        <f>ROUND(T148 / 1.2, 2)</f>
        <v>26675</v>
      </c>
      <c r="AA148" s="9">
        <f>Y148+Z148</f>
        <v>35554.22</v>
      </c>
      <c r="AD148" s="4">
        <v>304337609</v>
      </c>
      <c r="AE148" s="4">
        <v>21916281</v>
      </c>
      <c r="AG148" s="4" t="s">
        <v>356</v>
      </c>
      <c r="AH148" s="4" t="s">
        <v>357</v>
      </c>
      <c r="AI148" s="4" t="s">
        <v>260</v>
      </c>
    </row>
    <row r="149" spans="1:35" ht="18" x14ac:dyDescent="0.3">
      <c r="A149" s="51" t="s">
        <v>438</v>
      </c>
      <c r="B149" s="51"/>
      <c r="C149" s="47" t="s">
        <v>405</v>
      </c>
      <c r="D149" s="53"/>
      <c r="E149" s="53"/>
      <c r="F149" s="57" t="s">
        <v>82</v>
      </c>
      <c r="G149" s="58">
        <v>1.05</v>
      </c>
      <c r="H149" s="53"/>
      <c r="I149" s="62">
        <v>68.984999999999999</v>
      </c>
      <c r="J149" s="59">
        <v>140.54</v>
      </c>
      <c r="K149" s="60"/>
      <c r="L149" s="60"/>
      <c r="M149" s="59">
        <f>ROUND(ROUND(J149, 2)*I149, 2)</f>
        <v>9695.15</v>
      </c>
      <c r="N149" s="60"/>
      <c r="O149" s="60"/>
      <c r="P149" s="59">
        <v>140.54</v>
      </c>
      <c r="Q149" s="60"/>
      <c r="R149" s="60"/>
      <c r="S149" s="59">
        <f>ROUND(ROUND(P149, 2)*I149, 2)</f>
        <v>9695.15</v>
      </c>
      <c r="T149" s="60"/>
      <c r="U149" s="61"/>
      <c r="V149" s="9">
        <f>ROUND(ROUND(P149, 2)/1.2, 2)</f>
        <v>117.12</v>
      </c>
      <c r="Y149" s="9">
        <f t="shared" si="34"/>
        <v>8079.29</v>
      </c>
      <c r="AD149" s="4" t="s">
        <v>439</v>
      </c>
      <c r="AE149" s="4" t="s">
        <v>440</v>
      </c>
      <c r="AF149" s="4" t="s">
        <v>408</v>
      </c>
    </row>
    <row r="150" spans="1:35" ht="18" x14ac:dyDescent="0.3">
      <c r="A150" s="51" t="s">
        <v>441</v>
      </c>
      <c r="B150" s="51"/>
      <c r="C150" s="56" t="s">
        <v>368</v>
      </c>
      <c r="D150" s="53"/>
      <c r="E150" s="53"/>
      <c r="F150" s="57" t="s">
        <v>369</v>
      </c>
      <c r="G150" s="66">
        <v>0.09</v>
      </c>
      <c r="H150" s="53"/>
      <c r="I150" s="58">
        <v>9.6029999999999998</v>
      </c>
      <c r="J150" s="59">
        <v>100</v>
      </c>
      <c r="K150" s="60"/>
      <c r="L150" s="60"/>
      <c r="M150" s="59">
        <f>ROUND(ROUND(J150, 2)*I150, 2)</f>
        <v>960.3</v>
      </c>
      <c r="N150" s="60"/>
      <c r="O150" s="60"/>
      <c r="P150" s="59">
        <v>100</v>
      </c>
      <c r="Q150" s="60"/>
      <c r="R150" s="60"/>
      <c r="S150" s="59">
        <f>ROUND(ROUND(P150, 2)*I150, 2)</f>
        <v>960.3</v>
      </c>
      <c r="T150" s="60"/>
      <c r="U150" s="61"/>
      <c r="V150" s="9">
        <f>ROUND(ROUND(P150, 2)/1.2, 2)</f>
        <v>83.33</v>
      </c>
      <c r="Y150" s="9">
        <f t="shared" si="34"/>
        <v>800.25</v>
      </c>
      <c r="AD150" s="4" t="s">
        <v>442</v>
      </c>
      <c r="AE150" s="4" t="s">
        <v>443</v>
      </c>
      <c r="AF150" s="4" t="s">
        <v>372</v>
      </c>
    </row>
    <row r="151" spans="1:35" ht="36" x14ac:dyDescent="0.3">
      <c r="A151" s="17" t="s">
        <v>444</v>
      </c>
      <c r="B151" s="17" t="s">
        <v>445</v>
      </c>
      <c r="C151" s="18" t="s">
        <v>446</v>
      </c>
      <c r="D151" s="19"/>
      <c r="E151" s="19"/>
      <c r="F151" s="19" t="s">
        <v>59</v>
      </c>
      <c r="G151" s="20">
        <v>1</v>
      </c>
      <c r="H151" s="19"/>
      <c r="I151" s="21">
        <v>0</v>
      </c>
      <c r="J151" s="22">
        <f>IFERROR(ROUND(SUM(M153,M155)/I151, 2),0)</f>
        <v>0</v>
      </c>
      <c r="K151" s="22">
        <v>661</v>
      </c>
      <c r="L151" s="22">
        <f>J151+ROUND(K151, 2)</f>
        <v>661</v>
      </c>
      <c r="M151" s="22">
        <f>ROUND(J151*I151, 2)</f>
        <v>0</v>
      </c>
      <c r="N151" s="22">
        <f>ROUND(I151*ROUND(K151, 2), 2)</f>
        <v>0</v>
      </c>
      <c r="O151" s="22">
        <f>M151+N151</f>
        <v>0</v>
      </c>
      <c r="P151" s="22">
        <f>IFERROR(ROUND(SUM(S153,S155)/I151, 2),0)</f>
        <v>0</v>
      </c>
      <c r="Q151" s="22">
        <v>661</v>
      </c>
      <c r="R151" s="22">
        <f>P151+ROUND(Q151, 2)</f>
        <v>661</v>
      </c>
      <c r="S151" s="22">
        <f>ROUND(P151*I151, 2)</f>
        <v>0</v>
      </c>
      <c r="T151" s="22">
        <f>ROUND(I151*ROUND(Q151, 2), 2)</f>
        <v>0</v>
      </c>
      <c r="U151" s="22">
        <f>S151+T151</f>
        <v>0</v>
      </c>
      <c r="V151" s="9">
        <f>ROUND(P151 / 1.2, 2)</f>
        <v>0</v>
      </c>
      <c r="W151" s="9">
        <f>ROUND(Q151 / 1.2, 2)</f>
        <v>550.83000000000004</v>
      </c>
      <c r="X151" s="9">
        <f>ROUND(R151 / 1.2, 2)</f>
        <v>550.83000000000004</v>
      </c>
      <c r="Y151" s="9">
        <f t="shared" si="34"/>
        <v>0</v>
      </c>
      <c r="Z151" s="9">
        <f>ROUND(T151 / 1.2, 2)</f>
        <v>0</v>
      </c>
      <c r="AA151" s="9">
        <f>Y151+Z151</f>
        <v>0</v>
      </c>
      <c r="AD151" s="4">
        <v>304337545</v>
      </c>
      <c r="AE151" s="4">
        <v>20299703</v>
      </c>
      <c r="AG151" s="4" t="s">
        <v>447</v>
      </c>
      <c r="AH151" s="4" t="s">
        <v>448</v>
      </c>
      <c r="AI151" s="4" t="s">
        <v>260</v>
      </c>
    </row>
    <row r="152" spans="1:35" ht="90" x14ac:dyDescent="0.3">
      <c r="A152" s="23" t="s">
        <v>449</v>
      </c>
      <c r="B152" s="23" t="s">
        <v>445</v>
      </c>
      <c r="C152" s="24" t="s">
        <v>446</v>
      </c>
      <c r="D152" s="25"/>
      <c r="E152" s="25" t="s">
        <v>450</v>
      </c>
      <c r="F152" s="25" t="s">
        <v>59</v>
      </c>
      <c r="G152" s="26">
        <v>1</v>
      </c>
      <c r="H152" s="25"/>
      <c r="I152" s="26">
        <v>245.2</v>
      </c>
      <c r="J152" s="27">
        <v>0</v>
      </c>
      <c r="K152" s="27">
        <v>661</v>
      </c>
      <c r="L152" s="27"/>
      <c r="M152" s="27">
        <v>0</v>
      </c>
      <c r="N152" s="27"/>
      <c r="O152" s="27"/>
      <c r="P152" s="27">
        <v>0</v>
      </c>
      <c r="Q152" s="27">
        <v>661</v>
      </c>
      <c r="R152" s="27"/>
      <c r="S152" s="27">
        <v>0</v>
      </c>
      <c r="T152" s="27"/>
      <c r="U152" s="27"/>
      <c r="V152" s="9"/>
      <c r="W152" s="9">
        <f>ROUND(Q152 / 1.2, 2)</f>
        <v>550.83000000000004</v>
      </c>
      <c r="X152" s="9" t="e">
        <f>ROUND(R152 / 1.2, 2)</f>
        <v>#VALUE!</v>
      </c>
      <c r="Y152" s="9"/>
      <c r="Z152" s="9" t="e">
        <f>ROUND(T152 / 1.2, 2)</f>
        <v>#VALUE!</v>
      </c>
      <c r="AA152" s="9"/>
      <c r="AD152" s="4">
        <v>281915977</v>
      </c>
      <c r="AE152" s="4">
        <v>20299703</v>
      </c>
      <c r="AG152" s="4" t="s">
        <v>447</v>
      </c>
      <c r="AH152" s="4" t="s">
        <v>448</v>
      </c>
      <c r="AI152" s="4"/>
    </row>
    <row r="153" spans="1:35" ht="90" x14ac:dyDescent="0.3">
      <c r="A153" s="17" t="s">
        <v>451</v>
      </c>
      <c r="B153" s="17"/>
      <c r="C153" s="34" t="s">
        <v>452</v>
      </c>
      <c r="D153" s="19"/>
      <c r="E153" s="19"/>
      <c r="F153" s="35" t="s">
        <v>369</v>
      </c>
      <c r="G153" s="36">
        <v>1</v>
      </c>
      <c r="H153" s="19"/>
      <c r="I153" s="48">
        <v>0</v>
      </c>
      <c r="J153" s="38">
        <v>0</v>
      </c>
      <c r="K153" s="39"/>
      <c r="L153" s="39"/>
      <c r="M153" s="38">
        <f>ROUND(ROUND(J153, 2)*I153, 2)</f>
        <v>0</v>
      </c>
      <c r="N153" s="39"/>
      <c r="O153" s="39"/>
      <c r="P153" s="38">
        <v>3880</v>
      </c>
      <c r="Q153" s="39"/>
      <c r="R153" s="39"/>
      <c r="S153" s="38">
        <f>ROUND(ROUND(P153, 2)*I153, 2)</f>
        <v>0</v>
      </c>
      <c r="T153" s="39"/>
      <c r="U153" s="40"/>
      <c r="V153" s="9">
        <f>ROUND(ROUND(P153, 2)/1.2, 2)</f>
        <v>3233.33</v>
      </c>
      <c r="Y153" s="9">
        <f>ROUND(S153 / 1.2, 2)</f>
        <v>0</v>
      </c>
      <c r="AD153" s="4" t="s">
        <v>453</v>
      </c>
      <c r="AE153" s="4" t="s">
        <v>454</v>
      </c>
      <c r="AF153" s="4" t="s">
        <v>455</v>
      </c>
    </row>
    <row r="154" spans="1:35" ht="90" x14ac:dyDescent="0.3">
      <c r="A154" s="23" t="s">
        <v>456</v>
      </c>
      <c r="B154" s="23"/>
      <c r="C154" s="41" t="s">
        <v>452</v>
      </c>
      <c r="D154" s="25"/>
      <c r="E154" s="25" t="s">
        <v>457</v>
      </c>
      <c r="F154" s="42" t="s">
        <v>369</v>
      </c>
      <c r="G154" s="43">
        <v>1</v>
      </c>
      <c r="H154" s="25"/>
      <c r="I154" s="50">
        <v>28.45</v>
      </c>
      <c r="J154" s="44">
        <v>0</v>
      </c>
      <c r="K154" s="45"/>
      <c r="L154" s="45"/>
      <c r="M154" s="44">
        <f>ROUND(ROUND(J154, 2)*I154, 2)</f>
        <v>0</v>
      </c>
      <c r="N154" s="45"/>
      <c r="O154" s="45"/>
      <c r="P154" s="44">
        <v>3880</v>
      </c>
      <c r="Q154" s="45"/>
      <c r="R154" s="45"/>
      <c r="S154" s="44">
        <f>ROUND(ROUND(P154, 2)*I154, 2)</f>
        <v>110386</v>
      </c>
      <c r="T154" s="45"/>
      <c r="U154" s="46"/>
      <c r="V154" s="9">
        <f>ROUND(ROUND(P154, 2)/1.2, 2)</f>
        <v>3233.33</v>
      </c>
      <c r="Y154" s="9">
        <f>ROUND(S154 / 1.2, 2)</f>
        <v>91988.33</v>
      </c>
      <c r="AD154" s="4" t="s">
        <v>458</v>
      </c>
      <c r="AE154" s="4" t="s">
        <v>454</v>
      </c>
      <c r="AF154" s="4" t="s">
        <v>455</v>
      </c>
    </row>
    <row r="155" spans="1:35" ht="36" x14ac:dyDescent="0.3">
      <c r="A155" s="17" t="s">
        <v>459</v>
      </c>
      <c r="B155" s="17"/>
      <c r="C155" s="34" t="s">
        <v>460</v>
      </c>
      <c r="D155" s="19"/>
      <c r="E155" s="19"/>
      <c r="F155" s="35" t="s">
        <v>59</v>
      </c>
      <c r="G155" s="36">
        <v>1.03</v>
      </c>
      <c r="H155" s="19"/>
      <c r="I155" s="48">
        <v>0</v>
      </c>
      <c r="J155" s="38">
        <v>0</v>
      </c>
      <c r="K155" s="39"/>
      <c r="L155" s="39"/>
      <c r="M155" s="38">
        <f>ROUND(ROUND(J155, 2)*I155, 2)</f>
        <v>0</v>
      </c>
      <c r="N155" s="39"/>
      <c r="O155" s="39"/>
      <c r="P155" s="38">
        <v>2000</v>
      </c>
      <c r="Q155" s="39"/>
      <c r="R155" s="39"/>
      <c r="S155" s="38">
        <f>ROUND(ROUND(P155, 2)*I155, 2)</f>
        <v>0</v>
      </c>
      <c r="T155" s="39"/>
      <c r="U155" s="40"/>
      <c r="V155" s="9">
        <f>ROUND(ROUND(P155, 2)/1.2, 2)</f>
        <v>1666.67</v>
      </c>
      <c r="Y155" s="9">
        <f>ROUND(S155 / 1.2, 2)</f>
        <v>0</v>
      </c>
      <c r="AD155" s="4" t="s">
        <v>461</v>
      </c>
      <c r="AE155" s="4" t="s">
        <v>462</v>
      </c>
      <c r="AF155" s="4" t="s">
        <v>463</v>
      </c>
    </row>
    <row r="156" spans="1:35" ht="36" x14ac:dyDescent="0.3">
      <c r="A156" s="23" t="s">
        <v>464</v>
      </c>
      <c r="B156" s="23"/>
      <c r="C156" s="41" t="s">
        <v>460</v>
      </c>
      <c r="D156" s="25"/>
      <c r="E156" s="25" t="s">
        <v>465</v>
      </c>
      <c r="F156" s="42" t="s">
        <v>59</v>
      </c>
      <c r="G156" s="43">
        <v>1.03</v>
      </c>
      <c r="H156" s="25"/>
      <c r="I156" s="50">
        <v>252.55600000000001</v>
      </c>
      <c r="J156" s="44">
        <v>0</v>
      </c>
      <c r="K156" s="45"/>
      <c r="L156" s="45"/>
      <c r="M156" s="44">
        <f>ROUND(ROUND(J156, 2)*I156, 2)</f>
        <v>0</v>
      </c>
      <c r="N156" s="45"/>
      <c r="O156" s="45"/>
      <c r="P156" s="44">
        <v>2000</v>
      </c>
      <c r="Q156" s="45"/>
      <c r="R156" s="45"/>
      <c r="S156" s="44">
        <f>ROUND(ROUND(P156, 2)*I156, 2)</f>
        <v>505112</v>
      </c>
      <c r="T156" s="45"/>
      <c r="U156" s="46"/>
      <c r="V156" s="9">
        <f>ROUND(ROUND(P156, 2)/1.2, 2)</f>
        <v>1666.67</v>
      </c>
      <c r="Y156" s="9">
        <f>ROUND(S156 / 1.2, 2)</f>
        <v>420926.67</v>
      </c>
      <c r="AD156" s="4" t="s">
        <v>466</v>
      </c>
      <c r="AE156" s="4" t="s">
        <v>462</v>
      </c>
      <c r="AF156" s="4" t="s">
        <v>463</v>
      </c>
    </row>
    <row r="157" spans="1:35" ht="36" x14ac:dyDescent="0.3">
      <c r="A157" s="17" t="s">
        <v>467</v>
      </c>
      <c r="B157" s="17" t="s">
        <v>445</v>
      </c>
      <c r="C157" s="18" t="s">
        <v>446</v>
      </c>
      <c r="D157" s="19"/>
      <c r="E157" s="19"/>
      <c r="F157" s="19" t="s">
        <v>59</v>
      </c>
      <c r="G157" s="20">
        <v>1</v>
      </c>
      <c r="H157" s="19"/>
      <c r="I157" s="21">
        <v>0</v>
      </c>
      <c r="J157" s="22">
        <f>IFERROR(ROUND(SUM(M159,M161)/I157, 2),0)</f>
        <v>0</v>
      </c>
      <c r="K157" s="22">
        <v>661</v>
      </c>
      <c r="L157" s="22">
        <f>J157+ROUND(K157, 2)</f>
        <v>661</v>
      </c>
      <c r="M157" s="22">
        <f>ROUND(J157*I157, 2)</f>
        <v>0</v>
      </c>
      <c r="N157" s="22">
        <f>ROUND(I157*ROUND(K157, 2), 2)</f>
        <v>0</v>
      </c>
      <c r="O157" s="22">
        <f>M157+N157</f>
        <v>0</v>
      </c>
      <c r="P157" s="22">
        <f>IFERROR(ROUND(SUM(S159,S161)/I157, 2),0)</f>
        <v>0</v>
      </c>
      <c r="Q157" s="22">
        <v>661</v>
      </c>
      <c r="R157" s="22">
        <f>P157+ROUND(Q157, 2)</f>
        <v>661</v>
      </c>
      <c r="S157" s="22">
        <f>ROUND(P157*I157, 2)</f>
        <v>0</v>
      </c>
      <c r="T157" s="22">
        <f>ROUND(I157*ROUND(Q157, 2), 2)</f>
        <v>0</v>
      </c>
      <c r="U157" s="22">
        <f>S157+T157</f>
        <v>0</v>
      </c>
      <c r="V157" s="9">
        <f>ROUND(P157 / 1.2, 2)</f>
        <v>0</v>
      </c>
      <c r="W157" s="9">
        <f>ROUND(Q157 / 1.2, 2)</f>
        <v>550.83000000000004</v>
      </c>
      <c r="X157" s="9">
        <f>ROUND(R157 / 1.2, 2)</f>
        <v>550.83000000000004</v>
      </c>
      <c r="Y157" s="9">
        <f>ROUND(S157 / 1.2, 2)</f>
        <v>0</v>
      </c>
      <c r="Z157" s="9">
        <f>ROUND(T157 / 1.2, 2)</f>
        <v>0</v>
      </c>
      <c r="AA157" s="9">
        <f>Y157+Z157</f>
        <v>0</v>
      </c>
      <c r="AD157" s="4">
        <v>304337610</v>
      </c>
      <c r="AE157" s="4">
        <v>20299702</v>
      </c>
      <c r="AG157" s="4" t="s">
        <v>447</v>
      </c>
      <c r="AH157" s="4" t="s">
        <v>448</v>
      </c>
      <c r="AI157" s="4" t="s">
        <v>260</v>
      </c>
    </row>
    <row r="158" spans="1:35" ht="90" x14ac:dyDescent="0.3">
      <c r="A158" s="23" t="s">
        <v>468</v>
      </c>
      <c r="B158" s="23" t="s">
        <v>445</v>
      </c>
      <c r="C158" s="24" t="s">
        <v>446</v>
      </c>
      <c r="D158" s="25"/>
      <c r="E158" s="25" t="s">
        <v>469</v>
      </c>
      <c r="F158" s="25" t="s">
        <v>59</v>
      </c>
      <c r="G158" s="26">
        <v>1</v>
      </c>
      <c r="H158" s="25"/>
      <c r="I158" s="26">
        <v>45.7</v>
      </c>
      <c r="J158" s="27">
        <v>0</v>
      </c>
      <c r="K158" s="27">
        <v>661</v>
      </c>
      <c r="L158" s="27"/>
      <c r="M158" s="27">
        <v>0</v>
      </c>
      <c r="N158" s="27"/>
      <c r="O158" s="27"/>
      <c r="P158" s="27">
        <v>0</v>
      </c>
      <c r="Q158" s="27">
        <v>661</v>
      </c>
      <c r="R158" s="27"/>
      <c r="S158" s="27">
        <v>0</v>
      </c>
      <c r="T158" s="27"/>
      <c r="U158" s="27"/>
      <c r="V158" s="9"/>
      <c r="W158" s="9">
        <f>ROUND(Q158 / 1.2, 2)</f>
        <v>550.83000000000004</v>
      </c>
      <c r="X158" s="9" t="e">
        <f>ROUND(R158 / 1.2, 2)</f>
        <v>#VALUE!</v>
      </c>
      <c r="Y158" s="9"/>
      <c r="Z158" s="9" t="e">
        <f>ROUND(T158 / 1.2, 2)</f>
        <v>#VALUE!</v>
      </c>
      <c r="AA158" s="9"/>
      <c r="AD158" s="4">
        <v>281916031</v>
      </c>
      <c r="AE158" s="4">
        <v>20299702</v>
      </c>
      <c r="AG158" s="4" t="s">
        <v>447</v>
      </c>
      <c r="AH158" s="4" t="s">
        <v>448</v>
      </c>
      <c r="AI158" s="4"/>
    </row>
    <row r="159" spans="1:35" ht="36" x14ac:dyDescent="0.3">
      <c r="A159" s="17" t="s">
        <v>470</v>
      </c>
      <c r="B159" s="17"/>
      <c r="C159" s="34" t="s">
        <v>460</v>
      </c>
      <c r="D159" s="19"/>
      <c r="E159" s="19"/>
      <c r="F159" s="35" t="s">
        <v>59</v>
      </c>
      <c r="G159" s="36">
        <v>1.03</v>
      </c>
      <c r="H159" s="19"/>
      <c r="I159" s="48">
        <v>0</v>
      </c>
      <c r="J159" s="38">
        <v>0</v>
      </c>
      <c r="K159" s="39"/>
      <c r="L159" s="39"/>
      <c r="M159" s="38">
        <f>ROUND(ROUND(J159, 2)*I159, 2)</f>
        <v>0</v>
      </c>
      <c r="N159" s="39"/>
      <c r="O159" s="39"/>
      <c r="P159" s="38">
        <v>2000</v>
      </c>
      <c r="Q159" s="39"/>
      <c r="R159" s="39"/>
      <c r="S159" s="38">
        <f>ROUND(ROUND(P159, 2)*I159, 2)</f>
        <v>0</v>
      </c>
      <c r="T159" s="39"/>
      <c r="U159" s="40"/>
      <c r="V159" s="9">
        <f>ROUND(ROUND(P159, 2)/1.2, 2)</f>
        <v>1666.67</v>
      </c>
      <c r="Y159" s="9">
        <f t="shared" ref="Y159:Y169" si="35">ROUND(S159 / 1.2, 2)</f>
        <v>0</v>
      </c>
      <c r="AD159" s="4" t="s">
        <v>471</v>
      </c>
      <c r="AE159" s="4" t="s">
        <v>472</v>
      </c>
      <c r="AF159" s="4" t="s">
        <v>463</v>
      </c>
    </row>
    <row r="160" spans="1:35" ht="36" x14ac:dyDescent="0.3">
      <c r="A160" s="23" t="s">
        <v>473</v>
      </c>
      <c r="B160" s="23"/>
      <c r="C160" s="41" t="s">
        <v>460</v>
      </c>
      <c r="D160" s="25"/>
      <c r="E160" s="25"/>
      <c r="F160" s="42" t="s">
        <v>59</v>
      </c>
      <c r="G160" s="43">
        <v>1.03</v>
      </c>
      <c r="H160" s="25"/>
      <c r="I160" s="50">
        <v>47.070999999999998</v>
      </c>
      <c r="J160" s="44">
        <v>0</v>
      </c>
      <c r="K160" s="45"/>
      <c r="L160" s="45"/>
      <c r="M160" s="44">
        <f>ROUND(ROUND(J160, 2)*I160, 2)</f>
        <v>0</v>
      </c>
      <c r="N160" s="45"/>
      <c r="O160" s="45"/>
      <c r="P160" s="44">
        <v>2000</v>
      </c>
      <c r="Q160" s="45"/>
      <c r="R160" s="45"/>
      <c r="S160" s="44">
        <f>ROUND(ROUND(P160, 2)*I160, 2)</f>
        <v>94142</v>
      </c>
      <c r="T160" s="45"/>
      <c r="U160" s="46"/>
      <c r="V160" s="9">
        <f>ROUND(ROUND(P160, 2)/1.2, 2)</f>
        <v>1666.67</v>
      </c>
      <c r="Y160" s="9">
        <f t="shared" si="35"/>
        <v>78451.67</v>
      </c>
      <c r="AD160" s="4" t="s">
        <v>474</v>
      </c>
      <c r="AE160" s="4" t="s">
        <v>472</v>
      </c>
      <c r="AF160" s="4" t="s">
        <v>463</v>
      </c>
    </row>
    <row r="161" spans="1:35" ht="90" x14ac:dyDescent="0.3">
      <c r="A161" s="17" t="s">
        <v>475</v>
      </c>
      <c r="B161" s="17"/>
      <c r="C161" s="34" t="s">
        <v>452</v>
      </c>
      <c r="D161" s="19"/>
      <c r="E161" s="19"/>
      <c r="F161" s="35" t="s">
        <v>369</v>
      </c>
      <c r="G161" s="36">
        <v>1</v>
      </c>
      <c r="H161" s="19"/>
      <c r="I161" s="48">
        <v>0</v>
      </c>
      <c r="J161" s="38">
        <v>0</v>
      </c>
      <c r="K161" s="39"/>
      <c r="L161" s="39"/>
      <c r="M161" s="38">
        <f>ROUND(ROUND(J161, 2)*I161, 2)</f>
        <v>0</v>
      </c>
      <c r="N161" s="39"/>
      <c r="O161" s="39"/>
      <c r="P161" s="38">
        <v>3880</v>
      </c>
      <c r="Q161" s="39"/>
      <c r="R161" s="39"/>
      <c r="S161" s="38">
        <f>ROUND(ROUND(P161, 2)*I161, 2)</f>
        <v>0</v>
      </c>
      <c r="T161" s="39"/>
      <c r="U161" s="40"/>
      <c r="V161" s="9">
        <f>ROUND(ROUND(P161, 2)/1.2, 2)</f>
        <v>3233.33</v>
      </c>
      <c r="Y161" s="9">
        <f t="shared" si="35"/>
        <v>0</v>
      </c>
      <c r="AD161" s="4" t="s">
        <v>476</v>
      </c>
      <c r="AE161" s="4" t="s">
        <v>477</v>
      </c>
      <c r="AF161" s="4" t="s">
        <v>455</v>
      </c>
    </row>
    <row r="162" spans="1:35" ht="90" x14ac:dyDescent="0.3">
      <c r="A162" s="23" t="s">
        <v>478</v>
      </c>
      <c r="B162" s="23"/>
      <c r="C162" s="41" t="s">
        <v>452</v>
      </c>
      <c r="D162" s="25"/>
      <c r="E162" s="25"/>
      <c r="F162" s="42" t="s">
        <v>369</v>
      </c>
      <c r="G162" s="43">
        <v>1</v>
      </c>
      <c r="H162" s="25"/>
      <c r="I162" s="50">
        <v>5.3</v>
      </c>
      <c r="J162" s="44">
        <v>0</v>
      </c>
      <c r="K162" s="45"/>
      <c r="L162" s="45"/>
      <c r="M162" s="44">
        <f>ROUND(ROUND(J162, 2)*I162, 2)</f>
        <v>0</v>
      </c>
      <c r="N162" s="45"/>
      <c r="O162" s="45"/>
      <c r="P162" s="44">
        <v>3880</v>
      </c>
      <c r="Q162" s="45"/>
      <c r="R162" s="45"/>
      <c r="S162" s="44">
        <f>ROUND(ROUND(P162, 2)*I162, 2)</f>
        <v>20564</v>
      </c>
      <c r="T162" s="45"/>
      <c r="U162" s="46"/>
      <c r="V162" s="9">
        <f>ROUND(ROUND(P162, 2)/1.2, 2)</f>
        <v>3233.33</v>
      </c>
      <c r="Y162" s="9">
        <f t="shared" si="35"/>
        <v>17136.669999999998</v>
      </c>
      <c r="AD162" s="4" t="s">
        <v>479</v>
      </c>
      <c r="AE162" s="4" t="s">
        <v>477</v>
      </c>
      <c r="AF162" s="4" t="s">
        <v>455</v>
      </c>
    </row>
    <row r="163" spans="1:35" ht="90" x14ac:dyDescent="0.3">
      <c r="A163" s="51" t="s">
        <v>480</v>
      </c>
      <c r="B163" s="51" t="s">
        <v>445</v>
      </c>
      <c r="C163" s="52" t="s">
        <v>446</v>
      </c>
      <c r="D163" s="53"/>
      <c r="E163" s="53" t="s">
        <v>450</v>
      </c>
      <c r="F163" s="53" t="s">
        <v>59</v>
      </c>
      <c r="G163" s="54">
        <v>1</v>
      </c>
      <c r="H163" s="53"/>
      <c r="I163" s="54">
        <v>245.2</v>
      </c>
      <c r="J163" s="55">
        <f>IFERROR(ROUND(SUM(M164,M165)/I163, 2),0)</f>
        <v>0</v>
      </c>
      <c r="K163" s="55">
        <v>661</v>
      </c>
      <c r="L163" s="55">
        <f>J163+ROUND(K163, 2)</f>
        <v>661</v>
      </c>
      <c r="M163" s="55">
        <f>ROUND(J163*I163, 2)</f>
        <v>0</v>
      </c>
      <c r="N163" s="55">
        <f>ROUND(I163*ROUND(K163, 2), 2)</f>
        <v>162077.20000000001</v>
      </c>
      <c r="O163" s="55">
        <f>M163+N163</f>
        <v>162077.20000000001</v>
      </c>
      <c r="P163" s="55">
        <f>IFERROR(ROUND(SUM(S164,S165)/I163, 2),0)</f>
        <v>4146.0600000000004</v>
      </c>
      <c r="Q163" s="55">
        <v>991.5</v>
      </c>
      <c r="R163" s="55">
        <f>P163+ROUND(Q163, 2)</f>
        <v>5137.5600000000004</v>
      </c>
      <c r="S163" s="55">
        <f>ROUND(P163*I163, 2)</f>
        <v>1016613.91</v>
      </c>
      <c r="T163" s="55">
        <f>ROUND(I163*ROUND(Q163, 2), 2)</f>
        <v>243115.8</v>
      </c>
      <c r="U163" s="55">
        <f>S163+T163</f>
        <v>1259729.71</v>
      </c>
      <c r="V163" s="9">
        <f>ROUND(P163 / 1.2, 2)</f>
        <v>3455.05</v>
      </c>
      <c r="W163" s="9">
        <f>ROUND(Q163 / 1.2, 2)</f>
        <v>826.25</v>
      </c>
      <c r="X163" s="9">
        <f>ROUND(R163 / 1.2, 2)</f>
        <v>4281.3</v>
      </c>
      <c r="Y163" s="9">
        <f t="shared" si="35"/>
        <v>847178.26</v>
      </c>
      <c r="Z163" s="9">
        <f>ROUND(T163 / 1.2, 2)</f>
        <v>202596.5</v>
      </c>
      <c r="AA163" s="9">
        <f>Y163+Z163</f>
        <v>1049774.76</v>
      </c>
      <c r="AD163" s="4">
        <v>304337611</v>
      </c>
      <c r="AE163" s="4">
        <v>21916297</v>
      </c>
      <c r="AG163" s="4" t="s">
        <v>447</v>
      </c>
      <c r="AH163" s="4" t="s">
        <v>448</v>
      </c>
      <c r="AI163" s="4" t="s">
        <v>260</v>
      </c>
    </row>
    <row r="164" spans="1:35" ht="90" x14ac:dyDescent="0.3">
      <c r="A164" s="51" t="s">
        <v>481</v>
      </c>
      <c r="B164" s="51"/>
      <c r="C164" s="56" t="s">
        <v>452</v>
      </c>
      <c r="D164" s="53"/>
      <c r="E164" s="53" t="s">
        <v>457</v>
      </c>
      <c r="F164" s="57" t="s">
        <v>369</v>
      </c>
      <c r="G164" s="58">
        <v>1</v>
      </c>
      <c r="H164" s="53"/>
      <c r="I164" s="62">
        <v>28.45</v>
      </c>
      <c r="J164" s="59">
        <v>0</v>
      </c>
      <c r="K164" s="60"/>
      <c r="L164" s="60"/>
      <c r="M164" s="59">
        <f>ROUND(ROUND(J164, 2)*I164, 2)</f>
        <v>0</v>
      </c>
      <c r="N164" s="60"/>
      <c r="O164" s="60"/>
      <c r="P164" s="59">
        <v>2000</v>
      </c>
      <c r="Q164" s="60"/>
      <c r="R164" s="60"/>
      <c r="S164" s="59">
        <f>ROUND(ROUND(P164, 2)*I164, 2)</f>
        <v>56900</v>
      </c>
      <c r="T164" s="60"/>
      <c r="U164" s="61"/>
      <c r="V164" s="9">
        <f>ROUND(ROUND(P164, 2)/1.2, 2)</f>
        <v>1666.67</v>
      </c>
      <c r="Y164" s="9">
        <f t="shared" si="35"/>
        <v>47416.67</v>
      </c>
      <c r="AD164" s="4" t="s">
        <v>482</v>
      </c>
      <c r="AE164" s="4" t="s">
        <v>483</v>
      </c>
      <c r="AF164" s="4" t="s">
        <v>455</v>
      </c>
    </row>
    <row r="165" spans="1:35" ht="36" x14ac:dyDescent="0.3">
      <c r="A165" s="51" t="s">
        <v>484</v>
      </c>
      <c r="B165" s="51"/>
      <c r="C165" s="56" t="s">
        <v>460</v>
      </c>
      <c r="D165" s="53"/>
      <c r="E165" s="53" t="s">
        <v>465</v>
      </c>
      <c r="F165" s="57" t="s">
        <v>59</v>
      </c>
      <c r="G165" s="58">
        <v>1.03</v>
      </c>
      <c r="H165" s="53"/>
      <c r="I165" s="62">
        <v>252.55600000000001</v>
      </c>
      <c r="J165" s="59">
        <v>0</v>
      </c>
      <c r="K165" s="60"/>
      <c r="L165" s="60"/>
      <c r="M165" s="59">
        <f>ROUND(ROUND(J165, 2)*I165, 2)</f>
        <v>0</v>
      </c>
      <c r="N165" s="60"/>
      <c r="O165" s="60"/>
      <c r="P165" s="59">
        <v>3800</v>
      </c>
      <c r="Q165" s="60"/>
      <c r="R165" s="60"/>
      <c r="S165" s="59">
        <f>ROUND(ROUND(P165, 2)*I165, 2)</f>
        <v>959712.8</v>
      </c>
      <c r="T165" s="60"/>
      <c r="U165" s="61"/>
      <c r="V165" s="9">
        <f>ROUND(ROUND(P165, 2)/1.2, 2)</f>
        <v>3166.67</v>
      </c>
      <c r="Y165" s="9">
        <f t="shared" si="35"/>
        <v>799760.67</v>
      </c>
      <c r="AD165" s="4" t="s">
        <v>485</v>
      </c>
      <c r="AE165" s="4" t="s">
        <v>486</v>
      </c>
      <c r="AF165" s="4" t="s">
        <v>463</v>
      </c>
    </row>
    <row r="166" spans="1:35" ht="90" x14ac:dyDescent="0.3">
      <c r="A166" s="51" t="s">
        <v>487</v>
      </c>
      <c r="B166" s="51" t="s">
        <v>445</v>
      </c>
      <c r="C166" s="52" t="s">
        <v>446</v>
      </c>
      <c r="D166" s="53"/>
      <c r="E166" s="53" t="s">
        <v>469</v>
      </c>
      <c r="F166" s="53" t="s">
        <v>59</v>
      </c>
      <c r="G166" s="54">
        <v>1</v>
      </c>
      <c r="H166" s="53"/>
      <c r="I166" s="54">
        <v>45.7</v>
      </c>
      <c r="J166" s="55">
        <f>IFERROR(ROUND(SUM(M167,M168)/I166, 2),0)</f>
        <v>0</v>
      </c>
      <c r="K166" s="55">
        <v>661</v>
      </c>
      <c r="L166" s="55">
        <f>J166+ROUND(K166, 2)</f>
        <v>661</v>
      </c>
      <c r="M166" s="55">
        <f>ROUND(J166*I166, 2)</f>
        <v>0</v>
      </c>
      <c r="N166" s="55">
        <f>ROUND(I166*ROUND(K166, 2), 2)</f>
        <v>30207.7</v>
      </c>
      <c r="O166" s="55">
        <f>M166+N166</f>
        <v>30207.7</v>
      </c>
      <c r="P166" s="55">
        <f>IFERROR(ROUND(SUM(S167,S168)/I166, 2),0)</f>
        <v>2509.98</v>
      </c>
      <c r="Q166" s="55">
        <v>991.5</v>
      </c>
      <c r="R166" s="55">
        <f>P166+ROUND(Q166, 2)</f>
        <v>3501.48</v>
      </c>
      <c r="S166" s="55">
        <f>ROUND(P166*I166, 2)</f>
        <v>114706.09</v>
      </c>
      <c r="T166" s="55">
        <f>ROUND(I166*ROUND(Q166, 2), 2)</f>
        <v>45311.55</v>
      </c>
      <c r="U166" s="55">
        <f>S166+T166</f>
        <v>160017.64000000001</v>
      </c>
      <c r="V166" s="9">
        <f>ROUND(P166 / 1.2, 2)</f>
        <v>2091.65</v>
      </c>
      <c r="W166" s="9">
        <f>ROUND(Q166 / 1.2, 2)</f>
        <v>826.25</v>
      </c>
      <c r="X166" s="9">
        <f>ROUND(R166 / 1.2, 2)</f>
        <v>2917.9</v>
      </c>
      <c r="Y166" s="9">
        <f t="shared" si="35"/>
        <v>95588.41</v>
      </c>
      <c r="Z166" s="9">
        <f>ROUND(T166 / 1.2, 2)</f>
        <v>37759.629999999997</v>
      </c>
      <c r="AA166" s="9">
        <f>Y166+Z166</f>
        <v>133348.04</v>
      </c>
      <c r="AD166" s="4">
        <v>304337612</v>
      </c>
      <c r="AE166" s="4">
        <v>21916298</v>
      </c>
      <c r="AG166" s="4" t="s">
        <v>447</v>
      </c>
      <c r="AH166" s="4" t="s">
        <v>448</v>
      </c>
      <c r="AI166" s="4" t="s">
        <v>260</v>
      </c>
    </row>
    <row r="167" spans="1:35" ht="36" x14ac:dyDescent="0.3">
      <c r="A167" s="51" t="s">
        <v>488</v>
      </c>
      <c r="B167" s="51"/>
      <c r="C167" s="56" t="s">
        <v>460</v>
      </c>
      <c r="D167" s="53"/>
      <c r="E167" s="53"/>
      <c r="F167" s="57" t="s">
        <v>59</v>
      </c>
      <c r="G167" s="58">
        <v>1.03</v>
      </c>
      <c r="H167" s="53"/>
      <c r="I167" s="62">
        <v>47.070999999999998</v>
      </c>
      <c r="J167" s="59">
        <v>0</v>
      </c>
      <c r="K167" s="60"/>
      <c r="L167" s="60"/>
      <c r="M167" s="59">
        <f>ROUND(ROUND(J167, 2)*I167, 2)</f>
        <v>0</v>
      </c>
      <c r="N167" s="60"/>
      <c r="O167" s="60"/>
      <c r="P167" s="59">
        <v>2000</v>
      </c>
      <c r="Q167" s="60"/>
      <c r="R167" s="60"/>
      <c r="S167" s="59">
        <f>ROUND(ROUND(P167, 2)*I167, 2)</f>
        <v>94142</v>
      </c>
      <c r="T167" s="60"/>
      <c r="U167" s="61"/>
      <c r="V167" s="9">
        <f>ROUND(ROUND(P167, 2)/1.2, 2)</f>
        <v>1666.67</v>
      </c>
      <c r="Y167" s="9">
        <f t="shared" si="35"/>
        <v>78451.67</v>
      </c>
      <c r="AD167" s="4" t="s">
        <v>489</v>
      </c>
      <c r="AE167" s="4" t="s">
        <v>490</v>
      </c>
      <c r="AF167" s="4" t="s">
        <v>463</v>
      </c>
    </row>
    <row r="168" spans="1:35" ht="90" x14ac:dyDescent="0.3">
      <c r="A168" s="51" t="s">
        <v>491</v>
      </c>
      <c r="B168" s="51"/>
      <c r="C168" s="56" t="s">
        <v>452</v>
      </c>
      <c r="D168" s="53"/>
      <c r="E168" s="53"/>
      <c r="F168" s="57" t="s">
        <v>369</v>
      </c>
      <c r="G168" s="58">
        <v>1</v>
      </c>
      <c r="H168" s="53"/>
      <c r="I168" s="62">
        <v>5.3</v>
      </c>
      <c r="J168" s="59">
        <v>0</v>
      </c>
      <c r="K168" s="60"/>
      <c r="L168" s="60"/>
      <c r="M168" s="59">
        <f>ROUND(ROUND(J168, 2)*I168, 2)</f>
        <v>0</v>
      </c>
      <c r="N168" s="60"/>
      <c r="O168" s="60"/>
      <c r="P168" s="59">
        <v>3880</v>
      </c>
      <c r="Q168" s="60"/>
      <c r="R168" s="60"/>
      <c r="S168" s="59">
        <f>ROUND(ROUND(P168, 2)*I168, 2)</f>
        <v>20564</v>
      </c>
      <c r="T168" s="60"/>
      <c r="U168" s="61"/>
      <c r="V168" s="9">
        <f>ROUND(ROUND(P168, 2)/1.2, 2)</f>
        <v>3233.33</v>
      </c>
      <c r="Y168" s="9">
        <f t="shared" si="35"/>
        <v>17136.669999999998</v>
      </c>
      <c r="AD168" s="4" t="s">
        <v>492</v>
      </c>
      <c r="AE168" s="4" t="s">
        <v>493</v>
      </c>
      <c r="AF168" s="4" t="s">
        <v>455</v>
      </c>
    </row>
    <row r="169" spans="1:35" ht="36" x14ac:dyDescent="0.3">
      <c r="A169" s="17" t="s">
        <v>494</v>
      </c>
      <c r="B169" s="17" t="s">
        <v>495</v>
      </c>
      <c r="C169" s="18" t="s">
        <v>496</v>
      </c>
      <c r="D169" s="19"/>
      <c r="E169" s="19"/>
      <c r="F169" s="19" t="s">
        <v>82</v>
      </c>
      <c r="G169" s="20">
        <v>1</v>
      </c>
      <c r="H169" s="19"/>
      <c r="I169" s="21">
        <v>0</v>
      </c>
      <c r="J169" s="22">
        <f>IFERROR(ROUND(SUM(M171)/I169, 2),0)</f>
        <v>0</v>
      </c>
      <c r="K169" s="22">
        <v>210</v>
      </c>
      <c r="L169" s="22">
        <f>J169+ROUND(K169, 2)</f>
        <v>210</v>
      </c>
      <c r="M169" s="22">
        <f>ROUND(J169*I169, 2)</f>
        <v>0</v>
      </c>
      <c r="N169" s="22">
        <f>ROUND(I169*ROUND(K169, 2), 2)</f>
        <v>0</v>
      </c>
      <c r="O169" s="22">
        <f>M169+N169</f>
        <v>0</v>
      </c>
      <c r="P169" s="22">
        <f>IFERROR(ROUND(SUM(S171)/I169, 2),0)</f>
        <v>0</v>
      </c>
      <c r="Q169" s="22">
        <v>210</v>
      </c>
      <c r="R169" s="22">
        <f>P169+ROUND(Q169, 2)</f>
        <v>210</v>
      </c>
      <c r="S169" s="22">
        <f>ROUND(P169*I169, 2)</f>
        <v>0</v>
      </c>
      <c r="T169" s="22">
        <f>ROUND(I169*ROUND(Q169, 2), 2)</f>
        <v>0</v>
      </c>
      <c r="U169" s="22">
        <f>S169+T169</f>
        <v>0</v>
      </c>
      <c r="V169" s="9">
        <f>ROUND(P169 / 1.2, 2)</f>
        <v>0</v>
      </c>
      <c r="W169" s="9">
        <f>ROUND(Q169 / 1.2, 2)</f>
        <v>175</v>
      </c>
      <c r="X169" s="9">
        <f>ROUND(R169 / 1.2, 2)</f>
        <v>175</v>
      </c>
      <c r="Y169" s="9">
        <f t="shared" si="35"/>
        <v>0</v>
      </c>
      <c r="Z169" s="9">
        <f>ROUND(T169 / 1.2, 2)</f>
        <v>0</v>
      </c>
      <c r="AA169" s="9">
        <f>Y169+Z169</f>
        <v>0</v>
      </c>
      <c r="AD169" s="4">
        <v>304337547</v>
      </c>
      <c r="AE169" s="4">
        <v>20322538</v>
      </c>
      <c r="AG169" s="4" t="s">
        <v>497</v>
      </c>
      <c r="AH169" s="4" t="s">
        <v>498</v>
      </c>
      <c r="AI169" s="4" t="s">
        <v>260</v>
      </c>
    </row>
    <row r="170" spans="1:35" ht="36" x14ac:dyDescent="0.3">
      <c r="A170" s="23" t="s">
        <v>499</v>
      </c>
      <c r="B170" s="23" t="s">
        <v>495</v>
      </c>
      <c r="C170" s="24" t="s">
        <v>496</v>
      </c>
      <c r="D170" s="25"/>
      <c r="E170" s="25" t="s">
        <v>500</v>
      </c>
      <c r="F170" s="25" t="s">
        <v>82</v>
      </c>
      <c r="G170" s="26">
        <v>1</v>
      </c>
      <c r="H170" s="25"/>
      <c r="I170" s="26">
        <v>1012.89</v>
      </c>
      <c r="J170" s="27">
        <v>0</v>
      </c>
      <c r="K170" s="27">
        <v>210</v>
      </c>
      <c r="L170" s="27"/>
      <c r="M170" s="27">
        <v>0</v>
      </c>
      <c r="N170" s="27"/>
      <c r="O170" s="27"/>
      <c r="P170" s="27">
        <v>0</v>
      </c>
      <c r="Q170" s="27">
        <v>210</v>
      </c>
      <c r="R170" s="27"/>
      <c r="S170" s="27">
        <v>0</v>
      </c>
      <c r="T170" s="27"/>
      <c r="U170" s="27"/>
      <c r="V170" s="9"/>
      <c r="W170" s="9">
        <f>ROUND(Q170 / 1.2, 2)</f>
        <v>175</v>
      </c>
      <c r="X170" s="9" t="e">
        <f>ROUND(R170 / 1.2, 2)</f>
        <v>#VALUE!</v>
      </c>
      <c r="Y170" s="9"/>
      <c r="Z170" s="9" t="e">
        <f>ROUND(T170 / 1.2, 2)</f>
        <v>#VALUE!</v>
      </c>
      <c r="AA170" s="9"/>
      <c r="AD170" s="4">
        <v>281915979</v>
      </c>
      <c r="AE170" s="4">
        <v>20322538</v>
      </c>
      <c r="AG170" s="4" t="s">
        <v>497</v>
      </c>
      <c r="AH170" s="4" t="s">
        <v>498</v>
      </c>
      <c r="AI170" s="4"/>
    </row>
    <row r="171" spans="1:35" ht="72" x14ac:dyDescent="0.3">
      <c r="A171" s="17" t="s">
        <v>501</v>
      </c>
      <c r="B171" s="17"/>
      <c r="C171" s="34" t="s">
        <v>502</v>
      </c>
      <c r="D171" s="19"/>
      <c r="E171" s="19"/>
      <c r="F171" s="35" t="s">
        <v>82</v>
      </c>
      <c r="G171" s="36">
        <v>1.1000000000000001</v>
      </c>
      <c r="H171" s="19"/>
      <c r="I171" s="48">
        <v>0</v>
      </c>
      <c r="J171" s="38">
        <v>0</v>
      </c>
      <c r="K171" s="39"/>
      <c r="L171" s="39"/>
      <c r="M171" s="38">
        <f>ROUND(ROUND(J171, 2)*I171, 2)</f>
        <v>0</v>
      </c>
      <c r="N171" s="39"/>
      <c r="O171" s="39"/>
      <c r="P171" s="38">
        <v>372.4</v>
      </c>
      <c r="Q171" s="39"/>
      <c r="R171" s="39"/>
      <c r="S171" s="38">
        <f>ROUND(ROUND(P171, 2)*I171, 2)</f>
        <v>0</v>
      </c>
      <c r="T171" s="39"/>
      <c r="U171" s="40"/>
      <c r="V171" s="9">
        <f>ROUND(ROUND(P171, 2)/1.2, 2)</f>
        <v>310.33</v>
      </c>
      <c r="Y171" s="9">
        <f>ROUND(S171 / 1.2, 2)</f>
        <v>0</v>
      </c>
      <c r="AD171" s="4" t="s">
        <v>503</v>
      </c>
      <c r="AE171" s="4" t="s">
        <v>504</v>
      </c>
      <c r="AF171" s="4" t="s">
        <v>505</v>
      </c>
    </row>
    <row r="172" spans="1:35" ht="72" x14ac:dyDescent="0.3">
      <c r="A172" s="23" t="s">
        <v>506</v>
      </c>
      <c r="B172" s="23"/>
      <c r="C172" s="41" t="s">
        <v>502</v>
      </c>
      <c r="D172" s="25"/>
      <c r="E172" s="25" t="s">
        <v>507</v>
      </c>
      <c r="F172" s="42" t="s">
        <v>82</v>
      </c>
      <c r="G172" s="43">
        <v>1.1000000000000001</v>
      </c>
      <c r="H172" s="25"/>
      <c r="I172" s="50">
        <v>1114.1790000000001</v>
      </c>
      <c r="J172" s="44">
        <v>0</v>
      </c>
      <c r="K172" s="45"/>
      <c r="L172" s="45"/>
      <c r="M172" s="44">
        <f>ROUND(ROUND(J172, 2)*I172, 2)</f>
        <v>0</v>
      </c>
      <c r="N172" s="45"/>
      <c r="O172" s="45"/>
      <c r="P172" s="44">
        <v>372.4</v>
      </c>
      <c r="Q172" s="45"/>
      <c r="R172" s="45"/>
      <c r="S172" s="44">
        <f>ROUND(ROUND(P172, 2)*I172, 2)</f>
        <v>414920.26</v>
      </c>
      <c r="T172" s="45"/>
      <c r="U172" s="46"/>
      <c r="V172" s="9">
        <f>ROUND(ROUND(P172, 2)/1.2, 2)</f>
        <v>310.33</v>
      </c>
      <c r="Y172" s="9">
        <f>ROUND(S172 / 1.2, 2)</f>
        <v>345766.88</v>
      </c>
      <c r="AD172" s="4" t="s">
        <v>508</v>
      </c>
      <c r="AE172" s="4" t="s">
        <v>504</v>
      </c>
      <c r="AF172" s="4" t="s">
        <v>505</v>
      </c>
    </row>
    <row r="173" spans="1:35" ht="36" x14ac:dyDescent="0.3">
      <c r="A173" s="17" t="s">
        <v>509</v>
      </c>
      <c r="B173" s="17" t="s">
        <v>495</v>
      </c>
      <c r="C173" s="18" t="s">
        <v>496</v>
      </c>
      <c r="D173" s="19"/>
      <c r="E173" s="19"/>
      <c r="F173" s="19" t="s">
        <v>82</v>
      </c>
      <c r="G173" s="20">
        <v>1</v>
      </c>
      <c r="H173" s="19"/>
      <c r="I173" s="21">
        <v>0</v>
      </c>
      <c r="J173" s="22">
        <f>IFERROR(ROUND(SUM(M175)/I173, 2),0)</f>
        <v>0</v>
      </c>
      <c r="K173" s="22">
        <v>210</v>
      </c>
      <c r="L173" s="22">
        <f>J173+ROUND(K173, 2)</f>
        <v>210</v>
      </c>
      <c r="M173" s="22">
        <f>ROUND(J173*I173, 2)</f>
        <v>0</v>
      </c>
      <c r="N173" s="22">
        <f>ROUND(I173*ROUND(K173, 2), 2)</f>
        <v>0</v>
      </c>
      <c r="O173" s="22">
        <f>M173+N173</f>
        <v>0</v>
      </c>
      <c r="P173" s="22">
        <f>IFERROR(ROUND(SUM(S175)/I173, 2),0)</f>
        <v>0</v>
      </c>
      <c r="Q173" s="22">
        <v>210</v>
      </c>
      <c r="R173" s="22">
        <f>P173+ROUND(Q173, 2)</f>
        <v>210</v>
      </c>
      <c r="S173" s="22">
        <f>ROUND(P173*I173, 2)</f>
        <v>0</v>
      </c>
      <c r="T173" s="22">
        <f>ROUND(I173*ROUND(Q173, 2), 2)</f>
        <v>0</v>
      </c>
      <c r="U173" s="22">
        <f>S173+T173</f>
        <v>0</v>
      </c>
      <c r="V173" s="9">
        <f>ROUND(P173 / 1.2, 2)</f>
        <v>0</v>
      </c>
      <c r="W173" s="9">
        <f>ROUND(Q173 / 1.2, 2)</f>
        <v>175</v>
      </c>
      <c r="X173" s="9">
        <f>ROUND(R173 / 1.2, 2)</f>
        <v>175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304337613</v>
      </c>
      <c r="AE173" s="4">
        <v>20322539</v>
      </c>
      <c r="AG173" s="4" t="s">
        <v>497</v>
      </c>
      <c r="AH173" s="4" t="s">
        <v>498</v>
      </c>
      <c r="AI173" s="4" t="s">
        <v>260</v>
      </c>
    </row>
    <row r="174" spans="1:35" ht="36" x14ac:dyDescent="0.3">
      <c r="A174" s="23" t="s">
        <v>510</v>
      </c>
      <c r="B174" s="23" t="s">
        <v>495</v>
      </c>
      <c r="C174" s="24" t="s">
        <v>496</v>
      </c>
      <c r="D174" s="25"/>
      <c r="E174" s="25" t="s">
        <v>511</v>
      </c>
      <c r="F174" s="25" t="s">
        <v>82</v>
      </c>
      <c r="G174" s="26">
        <v>1</v>
      </c>
      <c r="H174" s="25"/>
      <c r="I174" s="26">
        <v>409.31</v>
      </c>
      <c r="J174" s="27">
        <v>0</v>
      </c>
      <c r="K174" s="27">
        <v>210</v>
      </c>
      <c r="L174" s="27"/>
      <c r="M174" s="27">
        <v>0</v>
      </c>
      <c r="N174" s="27"/>
      <c r="O174" s="27"/>
      <c r="P174" s="27">
        <v>0</v>
      </c>
      <c r="Q174" s="27">
        <v>210</v>
      </c>
      <c r="R174" s="27"/>
      <c r="S174" s="27">
        <v>0</v>
      </c>
      <c r="T174" s="27"/>
      <c r="U174" s="27"/>
      <c r="V174" s="9"/>
      <c r="W174" s="9">
        <f>ROUND(Q174 / 1.2, 2)</f>
        <v>175</v>
      </c>
      <c r="X174" s="9" t="e">
        <f>ROUND(R174 / 1.2, 2)</f>
        <v>#VALUE!</v>
      </c>
      <c r="Y174" s="9"/>
      <c r="Z174" s="9" t="e">
        <f>ROUND(T174 / 1.2, 2)</f>
        <v>#VALUE!</v>
      </c>
      <c r="AA174" s="9"/>
      <c r="AD174" s="4">
        <v>281916032</v>
      </c>
      <c r="AE174" s="4">
        <v>20322539</v>
      </c>
      <c r="AG174" s="4" t="s">
        <v>497</v>
      </c>
      <c r="AH174" s="4" t="s">
        <v>498</v>
      </c>
      <c r="AI174" s="4"/>
    </row>
    <row r="175" spans="1:35" ht="72" x14ac:dyDescent="0.3">
      <c r="A175" s="17" t="s">
        <v>512</v>
      </c>
      <c r="B175" s="17"/>
      <c r="C175" s="34" t="s">
        <v>502</v>
      </c>
      <c r="D175" s="19"/>
      <c r="E175" s="19"/>
      <c r="F175" s="35" t="s">
        <v>82</v>
      </c>
      <c r="G175" s="36">
        <v>1.1000000000000001</v>
      </c>
      <c r="H175" s="19"/>
      <c r="I175" s="48">
        <v>0</v>
      </c>
      <c r="J175" s="38">
        <v>0</v>
      </c>
      <c r="K175" s="39"/>
      <c r="L175" s="39"/>
      <c r="M175" s="38">
        <f>ROUND(ROUND(J175, 2)*I175, 2)</f>
        <v>0</v>
      </c>
      <c r="N175" s="39"/>
      <c r="O175" s="39"/>
      <c r="P175" s="38">
        <v>372.4</v>
      </c>
      <c r="Q175" s="39"/>
      <c r="R175" s="39"/>
      <c r="S175" s="38">
        <f>ROUND(ROUND(P175, 2)*I175, 2)</f>
        <v>0</v>
      </c>
      <c r="T175" s="39"/>
      <c r="U175" s="40"/>
      <c r="V175" s="9">
        <f>ROUND(ROUND(P175, 2)/1.2, 2)</f>
        <v>310.33</v>
      </c>
      <c r="Y175" s="9">
        <f t="shared" ref="Y175:Y181" si="36">ROUND(S175 / 1.2, 2)</f>
        <v>0</v>
      </c>
      <c r="AD175" s="4" t="s">
        <v>513</v>
      </c>
      <c r="AE175" s="4" t="s">
        <v>514</v>
      </c>
      <c r="AF175" s="4" t="s">
        <v>505</v>
      </c>
    </row>
    <row r="176" spans="1:35" ht="72" x14ac:dyDescent="0.3">
      <c r="A176" s="23" t="s">
        <v>515</v>
      </c>
      <c r="B176" s="23"/>
      <c r="C176" s="41" t="s">
        <v>502</v>
      </c>
      <c r="D176" s="25"/>
      <c r="E176" s="25" t="s">
        <v>516</v>
      </c>
      <c r="F176" s="42" t="s">
        <v>82</v>
      </c>
      <c r="G176" s="43">
        <v>1.1000000000000001</v>
      </c>
      <c r="H176" s="25"/>
      <c r="I176" s="50">
        <v>450.24099999999999</v>
      </c>
      <c r="J176" s="44">
        <v>0</v>
      </c>
      <c r="K176" s="45"/>
      <c r="L176" s="45"/>
      <c r="M176" s="44">
        <f>ROUND(ROUND(J176, 2)*I176, 2)</f>
        <v>0</v>
      </c>
      <c r="N176" s="45"/>
      <c r="O176" s="45"/>
      <c r="P176" s="44">
        <v>372.4</v>
      </c>
      <c r="Q176" s="45"/>
      <c r="R176" s="45"/>
      <c r="S176" s="44">
        <f>ROUND(ROUND(P176, 2)*I176, 2)</f>
        <v>167669.75</v>
      </c>
      <c r="T176" s="45"/>
      <c r="U176" s="46"/>
      <c r="V176" s="9">
        <f>ROUND(ROUND(P176, 2)/1.2, 2)</f>
        <v>310.33</v>
      </c>
      <c r="Y176" s="9">
        <f t="shared" si="36"/>
        <v>139724.79</v>
      </c>
      <c r="AD176" s="4" t="s">
        <v>517</v>
      </c>
      <c r="AE176" s="4" t="s">
        <v>514</v>
      </c>
      <c r="AF176" s="4" t="s">
        <v>505</v>
      </c>
    </row>
    <row r="177" spans="1:35" ht="36" x14ac:dyDescent="0.3">
      <c r="A177" s="51" t="s">
        <v>518</v>
      </c>
      <c r="B177" s="51" t="s">
        <v>495</v>
      </c>
      <c r="C177" s="52" t="s">
        <v>496</v>
      </c>
      <c r="D177" s="53"/>
      <c r="E177" s="53" t="s">
        <v>500</v>
      </c>
      <c r="F177" s="53" t="s">
        <v>82</v>
      </c>
      <c r="G177" s="54">
        <v>1</v>
      </c>
      <c r="H177" s="53"/>
      <c r="I177" s="54">
        <v>1012.89</v>
      </c>
      <c r="J177" s="55">
        <f>IFERROR(ROUND(SUM(M178)/I177, 2),0)</f>
        <v>0</v>
      </c>
      <c r="K177" s="55">
        <v>210</v>
      </c>
      <c r="L177" s="55">
        <f>J177+ROUND(K177, 2)</f>
        <v>210</v>
      </c>
      <c r="M177" s="55">
        <f>ROUND(J177*I177, 2)</f>
        <v>0</v>
      </c>
      <c r="N177" s="55">
        <f>ROUND(I177*ROUND(K177, 2), 2)</f>
        <v>212706.9</v>
      </c>
      <c r="O177" s="55">
        <f>M177+N177</f>
        <v>212706.9</v>
      </c>
      <c r="P177" s="55">
        <f>IFERROR(ROUND(SUM(S178)/I177, 2),0)</f>
        <v>409.64</v>
      </c>
      <c r="Q177" s="55">
        <v>315</v>
      </c>
      <c r="R177" s="55">
        <f>P177+ROUND(Q177, 2)</f>
        <v>724.64</v>
      </c>
      <c r="S177" s="55">
        <f>ROUND(P177*I177, 2)</f>
        <v>414920.26</v>
      </c>
      <c r="T177" s="55">
        <f>ROUND(I177*ROUND(Q177, 2), 2)</f>
        <v>319060.34999999998</v>
      </c>
      <c r="U177" s="55">
        <f>S177+T177</f>
        <v>733980.61</v>
      </c>
      <c r="V177" s="9">
        <f>ROUND(P177 / 1.2, 2)</f>
        <v>341.37</v>
      </c>
      <c r="W177" s="9">
        <f>ROUND(Q177 / 1.2, 2)</f>
        <v>262.5</v>
      </c>
      <c r="X177" s="9">
        <f>ROUND(R177 / 1.2, 2)</f>
        <v>603.87</v>
      </c>
      <c r="Y177" s="9">
        <f t="shared" si="36"/>
        <v>345766.88</v>
      </c>
      <c r="Z177" s="9">
        <f>ROUND(T177 / 1.2, 2)</f>
        <v>265883.63</v>
      </c>
      <c r="AA177" s="9">
        <f>Y177+Z177</f>
        <v>611650.51</v>
      </c>
      <c r="AD177" s="4">
        <v>304337614</v>
      </c>
      <c r="AE177" s="4">
        <v>21916294</v>
      </c>
      <c r="AG177" s="4" t="s">
        <v>497</v>
      </c>
      <c r="AH177" s="4" t="s">
        <v>498</v>
      </c>
      <c r="AI177" s="4" t="s">
        <v>260</v>
      </c>
    </row>
    <row r="178" spans="1:35" ht="72" x14ac:dyDescent="0.3">
      <c r="A178" s="51" t="s">
        <v>519</v>
      </c>
      <c r="B178" s="51"/>
      <c r="C178" s="56" t="s">
        <v>502</v>
      </c>
      <c r="D178" s="53"/>
      <c r="E178" s="53" t="s">
        <v>507</v>
      </c>
      <c r="F178" s="57" t="s">
        <v>82</v>
      </c>
      <c r="G178" s="58">
        <v>1.1000000000000001</v>
      </c>
      <c r="H178" s="53"/>
      <c r="I178" s="62">
        <v>1114.1790000000001</v>
      </c>
      <c r="J178" s="59">
        <v>0</v>
      </c>
      <c r="K178" s="60"/>
      <c r="L178" s="60"/>
      <c r="M178" s="59">
        <f>ROUND(ROUND(J178, 2)*I178, 2)</f>
        <v>0</v>
      </c>
      <c r="N178" s="60"/>
      <c r="O178" s="60"/>
      <c r="P178" s="59">
        <v>372.4</v>
      </c>
      <c r="Q178" s="60"/>
      <c r="R178" s="60"/>
      <c r="S178" s="59">
        <f>ROUND(ROUND(P178, 2)*I178, 2)</f>
        <v>414920.26</v>
      </c>
      <c r="T178" s="60"/>
      <c r="U178" s="61"/>
      <c r="V178" s="9">
        <f>ROUND(ROUND(P178, 2)/1.2, 2)</f>
        <v>310.33</v>
      </c>
      <c r="Y178" s="9">
        <f t="shared" si="36"/>
        <v>345766.88</v>
      </c>
      <c r="AD178" s="4" t="s">
        <v>520</v>
      </c>
      <c r="AE178" s="4" t="s">
        <v>521</v>
      </c>
      <c r="AF178" s="4" t="s">
        <v>505</v>
      </c>
    </row>
    <row r="179" spans="1:35" ht="36" x14ac:dyDescent="0.3">
      <c r="A179" s="51" t="s">
        <v>522</v>
      </c>
      <c r="B179" s="51" t="s">
        <v>495</v>
      </c>
      <c r="C179" s="52" t="s">
        <v>496</v>
      </c>
      <c r="D179" s="53"/>
      <c r="E179" s="53" t="s">
        <v>511</v>
      </c>
      <c r="F179" s="53" t="s">
        <v>82</v>
      </c>
      <c r="G179" s="54">
        <v>1</v>
      </c>
      <c r="H179" s="53"/>
      <c r="I179" s="54">
        <v>409.31</v>
      </c>
      <c r="J179" s="55">
        <f>IFERROR(ROUND(SUM(M180)/I179, 2),0)</f>
        <v>0</v>
      </c>
      <c r="K179" s="55">
        <v>210</v>
      </c>
      <c r="L179" s="55">
        <f>J179+ROUND(K179, 2)</f>
        <v>210</v>
      </c>
      <c r="M179" s="55">
        <f>ROUND(J179*I179, 2)</f>
        <v>0</v>
      </c>
      <c r="N179" s="55">
        <f>ROUND(I179*ROUND(K179, 2), 2)</f>
        <v>85955.1</v>
      </c>
      <c r="O179" s="55">
        <f>M179+N179</f>
        <v>85955.1</v>
      </c>
      <c r="P179" s="55">
        <f>IFERROR(ROUND(SUM(S180)/I179, 2),0)</f>
        <v>409.64</v>
      </c>
      <c r="Q179" s="55">
        <v>315</v>
      </c>
      <c r="R179" s="55">
        <f>P179+ROUND(Q179, 2)</f>
        <v>724.64</v>
      </c>
      <c r="S179" s="55">
        <f>ROUND(P179*I179, 2)</f>
        <v>167669.75</v>
      </c>
      <c r="T179" s="55">
        <f>ROUND(I179*ROUND(Q179, 2), 2)</f>
        <v>128932.65</v>
      </c>
      <c r="U179" s="55">
        <f>S179+T179</f>
        <v>296602.40000000002</v>
      </c>
      <c r="V179" s="9">
        <f>ROUND(P179 / 1.2, 2)</f>
        <v>341.37</v>
      </c>
      <c r="W179" s="9">
        <f>ROUND(Q179 / 1.2, 2)</f>
        <v>262.5</v>
      </c>
      <c r="X179" s="9">
        <f>ROUND(R179 / 1.2, 2)</f>
        <v>603.87</v>
      </c>
      <c r="Y179" s="9">
        <f t="shared" si="36"/>
        <v>139724.79</v>
      </c>
      <c r="Z179" s="9">
        <f>ROUND(T179 / 1.2, 2)</f>
        <v>107443.88</v>
      </c>
      <c r="AA179" s="9">
        <f>Y179+Z179</f>
        <v>247168.67</v>
      </c>
      <c r="AD179" s="4">
        <v>304337615</v>
      </c>
      <c r="AE179" s="4">
        <v>21916295</v>
      </c>
      <c r="AG179" s="4" t="s">
        <v>497</v>
      </c>
      <c r="AH179" s="4" t="s">
        <v>498</v>
      </c>
      <c r="AI179" s="4" t="s">
        <v>260</v>
      </c>
    </row>
    <row r="180" spans="1:35" ht="72" x14ac:dyDescent="0.3">
      <c r="A180" s="51" t="s">
        <v>523</v>
      </c>
      <c r="B180" s="51"/>
      <c r="C180" s="56" t="s">
        <v>502</v>
      </c>
      <c r="D180" s="53"/>
      <c r="E180" s="53" t="s">
        <v>516</v>
      </c>
      <c r="F180" s="57" t="s">
        <v>82</v>
      </c>
      <c r="G180" s="58">
        <v>1.1000000000000001</v>
      </c>
      <c r="H180" s="53"/>
      <c r="I180" s="62">
        <v>450.24099999999999</v>
      </c>
      <c r="J180" s="59">
        <v>0</v>
      </c>
      <c r="K180" s="60"/>
      <c r="L180" s="60"/>
      <c r="M180" s="59">
        <f>ROUND(ROUND(J180, 2)*I180, 2)</f>
        <v>0</v>
      </c>
      <c r="N180" s="60"/>
      <c r="O180" s="60"/>
      <c r="P180" s="59">
        <v>372.4</v>
      </c>
      <c r="Q180" s="60"/>
      <c r="R180" s="60"/>
      <c r="S180" s="59">
        <f>ROUND(ROUND(P180, 2)*I180, 2)</f>
        <v>167669.75</v>
      </c>
      <c r="T180" s="60"/>
      <c r="U180" s="61"/>
      <c r="V180" s="9">
        <f>ROUND(ROUND(P180, 2)/1.2, 2)</f>
        <v>310.33</v>
      </c>
      <c r="Y180" s="9">
        <f t="shared" si="36"/>
        <v>139724.79</v>
      </c>
      <c r="AD180" s="4" t="s">
        <v>524</v>
      </c>
      <c r="AE180" s="4" t="s">
        <v>525</v>
      </c>
      <c r="AF180" s="4" t="s">
        <v>505</v>
      </c>
    </row>
    <row r="181" spans="1:35" ht="36" x14ac:dyDescent="0.3">
      <c r="A181" s="17" t="s">
        <v>526</v>
      </c>
      <c r="B181" s="17" t="s">
        <v>527</v>
      </c>
      <c r="C181" s="18" t="s">
        <v>528</v>
      </c>
      <c r="D181" s="19"/>
      <c r="E181" s="19"/>
      <c r="F181" s="19" t="s">
        <v>59</v>
      </c>
      <c r="G181" s="20">
        <v>1</v>
      </c>
      <c r="H181" s="19"/>
      <c r="I181" s="21">
        <v>0</v>
      </c>
      <c r="J181" s="22">
        <f>IFERROR(ROUND(SUM(M183,M185,M187,M189)/I181, 2),0)</f>
        <v>0</v>
      </c>
      <c r="K181" s="22">
        <v>2310</v>
      </c>
      <c r="L181" s="22">
        <f>J181+ROUND(K181, 2)</f>
        <v>2310</v>
      </c>
      <c r="M181" s="22">
        <f>ROUND(J181*I181, 2)</f>
        <v>0</v>
      </c>
      <c r="N181" s="22">
        <f>ROUND(I181*ROUND(K181, 2), 2)</f>
        <v>0</v>
      </c>
      <c r="O181" s="22">
        <f>M181+N181</f>
        <v>0</v>
      </c>
      <c r="P181" s="22">
        <f>IFERROR(ROUND(SUM(S183,S185,S187,S189)/I181, 2),0)</f>
        <v>0</v>
      </c>
      <c r="Q181" s="22">
        <v>2310</v>
      </c>
      <c r="R181" s="22">
        <f>P181+ROUND(Q181, 2)</f>
        <v>2310</v>
      </c>
      <c r="S181" s="22">
        <f>ROUND(P181*I181, 2)</f>
        <v>0</v>
      </c>
      <c r="T181" s="22">
        <f>ROUND(I181*ROUND(Q181, 2), 2)</f>
        <v>0</v>
      </c>
      <c r="U181" s="22">
        <f>S181+T181</f>
        <v>0</v>
      </c>
      <c r="V181" s="9">
        <f>ROUND(P181 / 1.2, 2)</f>
        <v>0</v>
      </c>
      <c r="W181" s="9">
        <f>ROUND(Q181 / 1.2, 2)</f>
        <v>1925</v>
      </c>
      <c r="X181" s="9">
        <f>ROUND(R181 / 1.2, 2)</f>
        <v>1925</v>
      </c>
      <c r="Y181" s="9">
        <f t="shared" si="36"/>
        <v>0</v>
      </c>
      <c r="Z181" s="9">
        <f>ROUND(T181 / 1.2, 2)</f>
        <v>0</v>
      </c>
      <c r="AA181" s="9">
        <f>Y181+Z181</f>
        <v>0</v>
      </c>
      <c r="AD181" s="4">
        <v>304337549</v>
      </c>
      <c r="AE181" s="4">
        <v>20865471</v>
      </c>
      <c r="AG181" s="4" t="s">
        <v>529</v>
      </c>
      <c r="AH181" s="4" t="s">
        <v>530</v>
      </c>
      <c r="AI181" s="4" t="s">
        <v>260</v>
      </c>
    </row>
    <row r="182" spans="1:35" ht="36" x14ac:dyDescent="0.3">
      <c r="A182" s="23" t="s">
        <v>531</v>
      </c>
      <c r="B182" s="23" t="s">
        <v>527</v>
      </c>
      <c r="C182" s="24" t="s">
        <v>528</v>
      </c>
      <c r="D182" s="25"/>
      <c r="E182" s="25" t="s">
        <v>532</v>
      </c>
      <c r="F182" s="25" t="s">
        <v>59</v>
      </c>
      <c r="G182" s="26">
        <v>1</v>
      </c>
      <c r="H182" s="25"/>
      <c r="I182" s="26">
        <v>338.3</v>
      </c>
      <c r="J182" s="27">
        <v>0</v>
      </c>
      <c r="K182" s="27">
        <v>2310</v>
      </c>
      <c r="L182" s="27"/>
      <c r="M182" s="27">
        <v>0</v>
      </c>
      <c r="N182" s="27"/>
      <c r="O182" s="27"/>
      <c r="P182" s="27">
        <v>0</v>
      </c>
      <c r="Q182" s="27">
        <v>2310</v>
      </c>
      <c r="R182" s="27"/>
      <c r="S182" s="27">
        <v>0</v>
      </c>
      <c r="T182" s="27"/>
      <c r="U182" s="27"/>
      <c r="V182" s="9"/>
      <c r="W182" s="9">
        <f>ROUND(Q182 / 1.2, 2)</f>
        <v>1925</v>
      </c>
      <c r="X182" s="9" t="e">
        <f>ROUND(R182 / 1.2, 2)</f>
        <v>#VALUE!</v>
      </c>
      <c r="Y182" s="9"/>
      <c r="Z182" s="9" t="e">
        <f>ROUND(T182 / 1.2, 2)</f>
        <v>#VALUE!</v>
      </c>
      <c r="AA182" s="9"/>
      <c r="AD182" s="4">
        <v>278284730</v>
      </c>
      <c r="AE182" s="4">
        <v>20865471</v>
      </c>
      <c r="AG182" s="4" t="s">
        <v>529</v>
      </c>
      <c r="AH182" s="4" t="s">
        <v>530</v>
      </c>
      <c r="AI182" s="4"/>
    </row>
    <row r="183" spans="1:35" ht="54" x14ac:dyDescent="0.3">
      <c r="A183" s="17" t="s">
        <v>533</v>
      </c>
      <c r="B183" s="17"/>
      <c r="C183" s="34" t="s">
        <v>534</v>
      </c>
      <c r="D183" s="19"/>
      <c r="E183" s="19"/>
      <c r="F183" s="35" t="s">
        <v>369</v>
      </c>
      <c r="G183" s="36">
        <v>4</v>
      </c>
      <c r="H183" s="19"/>
      <c r="I183" s="37">
        <v>0</v>
      </c>
      <c r="J183" s="38">
        <v>396</v>
      </c>
      <c r="K183" s="39"/>
      <c r="L183" s="39"/>
      <c r="M183" s="38">
        <f t="shared" ref="M183:M190" si="37">ROUND(ROUND(J183, 2)*I183, 2)</f>
        <v>0</v>
      </c>
      <c r="N183" s="39"/>
      <c r="O183" s="39"/>
      <c r="P183" s="38">
        <v>396</v>
      </c>
      <c r="Q183" s="39"/>
      <c r="R183" s="39"/>
      <c r="S183" s="38">
        <f t="shared" ref="S183:S190" si="38">ROUND(ROUND(P183, 2)*I183, 2)</f>
        <v>0</v>
      </c>
      <c r="T183" s="39"/>
      <c r="U183" s="40"/>
      <c r="V183" s="9">
        <f t="shared" ref="V183:V190" si="39">ROUND(ROUND(P183, 2)/1.2, 2)</f>
        <v>330</v>
      </c>
      <c r="Y183" s="9">
        <f t="shared" ref="Y183:Y191" si="40">ROUND(S183 / 1.2, 2)</f>
        <v>0</v>
      </c>
      <c r="AD183" s="4" t="s">
        <v>535</v>
      </c>
      <c r="AE183" s="4" t="s">
        <v>536</v>
      </c>
      <c r="AF183" s="4" t="s">
        <v>537</v>
      </c>
    </row>
    <row r="184" spans="1:35" ht="90" x14ac:dyDescent="0.3">
      <c r="A184" s="23" t="s">
        <v>538</v>
      </c>
      <c r="B184" s="23"/>
      <c r="C184" s="41" t="s">
        <v>534</v>
      </c>
      <c r="D184" s="25"/>
      <c r="E184" s="25" t="s">
        <v>539</v>
      </c>
      <c r="F184" s="42" t="s">
        <v>369</v>
      </c>
      <c r="G184" s="43">
        <v>4</v>
      </c>
      <c r="H184" s="25"/>
      <c r="I184" s="43">
        <v>1353.2</v>
      </c>
      <c r="J184" s="44">
        <v>396</v>
      </c>
      <c r="K184" s="45"/>
      <c r="L184" s="45"/>
      <c r="M184" s="44">
        <f t="shared" si="37"/>
        <v>535867.19999999995</v>
      </c>
      <c r="N184" s="45"/>
      <c r="O184" s="45"/>
      <c r="P184" s="44">
        <v>396</v>
      </c>
      <c r="Q184" s="45"/>
      <c r="R184" s="45"/>
      <c r="S184" s="44">
        <f t="shared" si="38"/>
        <v>535867.19999999995</v>
      </c>
      <c r="T184" s="45"/>
      <c r="U184" s="46"/>
      <c r="V184" s="9">
        <f t="shared" si="39"/>
        <v>330</v>
      </c>
      <c r="Y184" s="9">
        <f t="shared" si="40"/>
        <v>446556</v>
      </c>
      <c r="AD184" s="4" t="s">
        <v>540</v>
      </c>
      <c r="AE184" s="4" t="s">
        <v>536</v>
      </c>
      <c r="AF184" s="4" t="s">
        <v>537</v>
      </c>
    </row>
    <row r="185" spans="1:35" ht="36" x14ac:dyDescent="0.3">
      <c r="A185" s="17" t="s">
        <v>541</v>
      </c>
      <c r="B185" s="17"/>
      <c r="C185" s="34" t="s">
        <v>542</v>
      </c>
      <c r="D185" s="19"/>
      <c r="E185" s="19"/>
      <c r="F185" s="35" t="s">
        <v>265</v>
      </c>
      <c r="G185" s="36">
        <v>1.2</v>
      </c>
      <c r="H185" s="19"/>
      <c r="I185" s="48">
        <v>0</v>
      </c>
      <c r="J185" s="38">
        <v>16.96</v>
      </c>
      <c r="K185" s="39"/>
      <c r="L185" s="39"/>
      <c r="M185" s="38">
        <f t="shared" si="37"/>
        <v>0</v>
      </c>
      <c r="N185" s="39"/>
      <c r="O185" s="39"/>
      <c r="P185" s="38">
        <v>16.96</v>
      </c>
      <c r="Q185" s="39"/>
      <c r="R185" s="39"/>
      <c r="S185" s="38">
        <f t="shared" si="38"/>
        <v>0</v>
      </c>
      <c r="T185" s="39"/>
      <c r="U185" s="40"/>
      <c r="V185" s="9">
        <f t="shared" si="39"/>
        <v>14.13</v>
      </c>
      <c r="Y185" s="9">
        <f t="shared" si="40"/>
        <v>0</v>
      </c>
      <c r="AD185" s="4" t="s">
        <v>543</v>
      </c>
      <c r="AE185" s="4" t="s">
        <v>544</v>
      </c>
      <c r="AF185" s="4" t="s">
        <v>545</v>
      </c>
    </row>
    <row r="186" spans="1:35" ht="36" x14ac:dyDescent="0.3">
      <c r="A186" s="23" t="s">
        <v>546</v>
      </c>
      <c r="B186" s="23"/>
      <c r="C186" s="41" t="s">
        <v>542</v>
      </c>
      <c r="D186" s="25"/>
      <c r="E186" s="25"/>
      <c r="F186" s="42" t="s">
        <v>265</v>
      </c>
      <c r="G186" s="43">
        <v>1.2</v>
      </c>
      <c r="H186" s="25"/>
      <c r="I186" s="50">
        <v>405.96</v>
      </c>
      <c r="J186" s="44">
        <v>16.96</v>
      </c>
      <c r="K186" s="45"/>
      <c r="L186" s="45"/>
      <c r="M186" s="44">
        <f t="shared" si="37"/>
        <v>6885.08</v>
      </c>
      <c r="N186" s="45"/>
      <c r="O186" s="45"/>
      <c r="P186" s="44">
        <v>16.96</v>
      </c>
      <c r="Q186" s="45"/>
      <c r="R186" s="45"/>
      <c r="S186" s="44">
        <f t="shared" si="38"/>
        <v>6885.08</v>
      </c>
      <c r="T186" s="45"/>
      <c r="U186" s="46"/>
      <c r="V186" s="9">
        <f t="shared" si="39"/>
        <v>14.13</v>
      </c>
      <c r="Y186" s="9">
        <f t="shared" si="40"/>
        <v>5737.57</v>
      </c>
      <c r="AD186" s="4" t="s">
        <v>547</v>
      </c>
      <c r="AE186" s="4" t="s">
        <v>544</v>
      </c>
      <c r="AF186" s="4" t="s">
        <v>545</v>
      </c>
    </row>
    <row r="187" spans="1:35" ht="18" x14ac:dyDescent="0.3">
      <c r="A187" s="17" t="s">
        <v>548</v>
      </c>
      <c r="B187" s="17"/>
      <c r="C187" s="34" t="s">
        <v>549</v>
      </c>
      <c r="D187" s="19"/>
      <c r="E187" s="19"/>
      <c r="F187" s="35" t="s">
        <v>265</v>
      </c>
      <c r="G187" s="36">
        <v>0.25</v>
      </c>
      <c r="H187" s="19"/>
      <c r="I187" s="37">
        <v>0</v>
      </c>
      <c r="J187" s="38">
        <v>47.44</v>
      </c>
      <c r="K187" s="39"/>
      <c r="L187" s="39"/>
      <c r="M187" s="38">
        <f t="shared" si="37"/>
        <v>0</v>
      </c>
      <c r="N187" s="39"/>
      <c r="O187" s="39"/>
      <c r="P187" s="38">
        <v>47.44</v>
      </c>
      <c r="Q187" s="39"/>
      <c r="R187" s="39"/>
      <c r="S187" s="38">
        <f t="shared" si="38"/>
        <v>0</v>
      </c>
      <c r="T187" s="39"/>
      <c r="U187" s="40"/>
      <c r="V187" s="9">
        <f t="shared" si="39"/>
        <v>39.53</v>
      </c>
      <c r="Y187" s="9">
        <f t="shared" si="40"/>
        <v>0</v>
      </c>
      <c r="AD187" s="4" t="s">
        <v>550</v>
      </c>
      <c r="AE187" s="4" t="s">
        <v>551</v>
      </c>
      <c r="AF187" s="4" t="s">
        <v>552</v>
      </c>
    </row>
    <row r="188" spans="1:35" ht="18" x14ac:dyDescent="0.3">
      <c r="A188" s="23" t="s">
        <v>553</v>
      </c>
      <c r="B188" s="23"/>
      <c r="C188" s="41" t="s">
        <v>549</v>
      </c>
      <c r="D188" s="25"/>
      <c r="E188" s="25"/>
      <c r="F188" s="42" t="s">
        <v>265</v>
      </c>
      <c r="G188" s="43">
        <v>0.25</v>
      </c>
      <c r="H188" s="25"/>
      <c r="I188" s="43">
        <v>84.575000000000003</v>
      </c>
      <c r="J188" s="44">
        <v>47.44</v>
      </c>
      <c r="K188" s="45"/>
      <c r="L188" s="45"/>
      <c r="M188" s="44">
        <f t="shared" si="37"/>
        <v>4012.24</v>
      </c>
      <c r="N188" s="45"/>
      <c r="O188" s="45"/>
      <c r="P188" s="44">
        <v>47.44</v>
      </c>
      <c r="Q188" s="45"/>
      <c r="R188" s="45"/>
      <c r="S188" s="44">
        <f t="shared" si="38"/>
        <v>4012.24</v>
      </c>
      <c r="T188" s="45"/>
      <c r="U188" s="46"/>
      <c r="V188" s="9">
        <f t="shared" si="39"/>
        <v>39.53</v>
      </c>
      <c r="Y188" s="9">
        <f t="shared" si="40"/>
        <v>3343.53</v>
      </c>
      <c r="AD188" s="4" t="s">
        <v>554</v>
      </c>
      <c r="AE188" s="4" t="s">
        <v>551</v>
      </c>
      <c r="AF188" s="4" t="s">
        <v>552</v>
      </c>
    </row>
    <row r="189" spans="1:35" ht="36" x14ac:dyDescent="0.3">
      <c r="A189" s="17" t="s">
        <v>555</v>
      </c>
      <c r="B189" s="17"/>
      <c r="C189" s="34" t="s">
        <v>556</v>
      </c>
      <c r="D189" s="19"/>
      <c r="E189" s="19"/>
      <c r="F189" s="35" t="s">
        <v>265</v>
      </c>
      <c r="G189" s="36">
        <v>0.15</v>
      </c>
      <c r="H189" s="19"/>
      <c r="I189" s="37">
        <v>0</v>
      </c>
      <c r="J189" s="38">
        <v>88.8</v>
      </c>
      <c r="K189" s="39"/>
      <c r="L189" s="39"/>
      <c r="M189" s="38">
        <f t="shared" si="37"/>
        <v>0</v>
      </c>
      <c r="N189" s="39"/>
      <c r="O189" s="39"/>
      <c r="P189" s="38">
        <v>88.8</v>
      </c>
      <c r="Q189" s="39"/>
      <c r="R189" s="39"/>
      <c r="S189" s="38">
        <f t="shared" si="38"/>
        <v>0</v>
      </c>
      <c r="T189" s="39"/>
      <c r="U189" s="40"/>
      <c r="V189" s="9">
        <f t="shared" si="39"/>
        <v>74</v>
      </c>
      <c r="Y189" s="9">
        <f t="shared" si="40"/>
        <v>0</v>
      </c>
      <c r="AD189" s="4" t="s">
        <v>557</v>
      </c>
      <c r="AE189" s="4" t="s">
        <v>558</v>
      </c>
      <c r="AF189" s="4" t="s">
        <v>559</v>
      </c>
    </row>
    <row r="190" spans="1:35" ht="36" x14ac:dyDescent="0.3">
      <c r="A190" s="23" t="s">
        <v>560</v>
      </c>
      <c r="B190" s="23"/>
      <c r="C190" s="41" t="s">
        <v>556</v>
      </c>
      <c r="D190" s="25"/>
      <c r="E190" s="25"/>
      <c r="F190" s="42" t="s">
        <v>265</v>
      </c>
      <c r="G190" s="43">
        <v>0.15</v>
      </c>
      <c r="H190" s="25"/>
      <c r="I190" s="43">
        <v>50.744999999999997</v>
      </c>
      <c r="J190" s="44">
        <v>88.8</v>
      </c>
      <c r="K190" s="45"/>
      <c r="L190" s="45"/>
      <c r="M190" s="44">
        <f t="shared" si="37"/>
        <v>4506.16</v>
      </c>
      <c r="N190" s="45"/>
      <c r="O190" s="45"/>
      <c r="P190" s="44">
        <v>88.8</v>
      </c>
      <c r="Q190" s="45"/>
      <c r="R190" s="45"/>
      <c r="S190" s="44">
        <f t="shared" si="38"/>
        <v>4506.16</v>
      </c>
      <c r="T190" s="45"/>
      <c r="U190" s="46"/>
      <c r="V190" s="9">
        <f t="shared" si="39"/>
        <v>74</v>
      </c>
      <c r="Y190" s="9">
        <f t="shared" si="40"/>
        <v>3755.13</v>
      </c>
      <c r="AD190" s="4" t="s">
        <v>561</v>
      </c>
      <c r="AE190" s="4" t="s">
        <v>558</v>
      </c>
      <c r="AF190" s="4" t="s">
        <v>559</v>
      </c>
    </row>
    <row r="191" spans="1:35" ht="36" x14ac:dyDescent="0.3">
      <c r="A191" s="17" t="s">
        <v>562</v>
      </c>
      <c r="B191" s="17" t="s">
        <v>527</v>
      </c>
      <c r="C191" s="18" t="s">
        <v>528</v>
      </c>
      <c r="D191" s="19"/>
      <c r="E191" s="19"/>
      <c r="F191" s="19" t="s">
        <v>59</v>
      </c>
      <c r="G191" s="20">
        <v>1</v>
      </c>
      <c r="H191" s="19"/>
      <c r="I191" s="21">
        <v>0</v>
      </c>
      <c r="J191" s="22">
        <f>IFERROR(ROUND(SUM(M193,M195,M197,M199)/I191, 2),0)</f>
        <v>0</v>
      </c>
      <c r="K191" s="22">
        <v>2310</v>
      </c>
      <c r="L191" s="22">
        <f>J191+ROUND(K191, 2)</f>
        <v>2310</v>
      </c>
      <c r="M191" s="22">
        <f>ROUND(J191*I191, 2)</f>
        <v>0</v>
      </c>
      <c r="N191" s="22">
        <f>ROUND(I191*ROUND(K191, 2), 2)</f>
        <v>0</v>
      </c>
      <c r="O191" s="22">
        <f>M191+N191</f>
        <v>0</v>
      </c>
      <c r="P191" s="22">
        <f>IFERROR(ROUND(SUM(S193,S195,S197,S199)/I191, 2),0)</f>
        <v>0</v>
      </c>
      <c r="Q191" s="22">
        <v>2310</v>
      </c>
      <c r="R191" s="22">
        <f>P191+ROUND(Q191, 2)</f>
        <v>2310</v>
      </c>
      <c r="S191" s="22">
        <f>ROUND(P191*I191, 2)</f>
        <v>0</v>
      </c>
      <c r="T191" s="22">
        <f>ROUND(I191*ROUND(Q191, 2), 2)</f>
        <v>0</v>
      </c>
      <c r="U191" s="22">
        <f>S191+T191</f>
        <v>0</v>
      </c>
      <c r="V191" s="9">
        <f>ROUND(P191 / 1.2, 2)</f>
        <v>0</v>
      </c>
      <c r="W191" s="9">
        <f>ROUND(Q191 / 1.2, 2)</f>
        <v>1925</v>
      </c>
      <c r="X191" s="9">
        <f>ROUND(R191 / 1.2, 2)</f>
        <v>1925</v>
      </c>
      <c r="Y191" s="9">
        <f t="shared" si="40"/>
        <v>0</v>
      </c>
      <c r="Z191" s="9">
        <f>ROUND(T191 / 1.2, 2)</f>
        <v>0</v>
      </c>
      <c r="AA191" s="9">
        <f>Y191+Z191</f>
        <v>0</v>
      </c>
      <c r="AD191" s="4">
        <v>304337616</v>
      </c>
      <c r="AE191" s="4">
        <v>20865472</v>
      </c>
      <c r="AG191" s="4" t="s">
        <v>529</v>
      </c>
      <c r="AH191" s="4" t="s">
        <v>530</v>
      </c>
      <c r="AI191" s="4" t="s">
        <v>260</v>
      </c>
    </row>
    <row r="192" spans="1:35" ht="36" x14ac:dyDescent="0.3">
      <c r="A192" s="23" t="s">
        <v>563</v>
      </c>
      <c r="B192" s="23" t="s">
        <v>527</v>
      </c>
      <c r="C192" s="24" t="s">
        <v>528</v>
      </c>
      <c r="D192" s="25"/>
      <c r="E192" s="25" t="s">
        <v>564</v>
      </c>
      <c r="F192" s="25" t="s">
        <v>59</v>
      </c>
      <c r="G192" s="26">
        <v>1</v>
      </c>
      <c r="H192" s="25"/>
      <c r="I192" s="26">
        <v>190.6</v>
      </c>
      <c r="J192" s="27">
        <v>0</v>
      </c>
      <c r="K192" s="27">
        <v>2310</v>
      </c>
      <c r="L192" s="27"/>
      <c r="M192" s="27">
        <v>0</v>
      </c>
      <c r="N192" s="27"/>
      <c r="O192" s="27"/>
      <c r="P192" s="27">
        <v>0</v>
      </c>
      <c r="Q192" s="27">
        <v>2310</v>
      </c>
      <c r="R192" s="27"/>
      <c r="S192" s="27">
        <v>0</v>
      </c>
      <c r="T192" s="27"/>
      <c r="U192" s="27"/>
      <c r="V192" s="9"/>
      <c r="W192" s="9">
        <f>ROUND(Q192 / 1.2, 2)</f>
        <v>1925</v>
      </c>
      <c r="X192" s="9" t="e">
        <f>ROUND(R192 / 1.2, 2)</f>
        <v>#VALUE!</v>
      </c>
      <c r="Y192" s="9"/>
      <c r="Z192" s="9" t="e">
        <f>ROUND(T192 / 1.2, 2)</f>
        <v>#VALUE!</v>
      </c>
      <c r="AA192" s="9"/>
      <c r="AD192" s="4">
        <v>279169585</v>
      </c>
      <c r="AE192" s="4">
        <v>20865472</v>
      </c>
      <c r="AG192" s="4" t="s">
        <v>529</v>
      </c>
      <c r="AH192" s="4" t="s">
        <v>530</v>
      </c>
      <c r="AI192" s="4"/>
    </row>
    <row r="193" spans="1:35" ht="36" x14ac:dyDescent="0.3">
      <c r="A193" s="17" t="s">
        <v>565</v>
      </c>
      <c r="B193" s="17"/>
      <c r="C193" s="34" t="s">
        <v>556</v>
      </c>
      <c r="D193" s="19"/>
      <c r="E193" s="19"/>
      <c r="F193" s="35" t="s">
        <v>265</v>
      </c>
      <c r="G193" s="36">
        <v>0.15</v>
      </c>
      <c r="H193" s="19"/>
      <c r="I193" s="37">
        <v>0</v>
      </c>
      <c r="J193" s="38">
        <v>88.8</v>
      </c>
      <c r="K193" s="39"/>
      <c r="L193" s="39"/>
      <c r="M193" s="38">
        <f t="shared" ref="M193:M200" si="41">ROUND(ROUND(J193, 2)*I193, 2)</f>
        <v>0</v>
      </c>
      <c r="N193" s="39"/>
      <c r="O193" s="39"/>
      <c r="P193" s="38">
        <v>88.8</v>
      </c>
      <c r="Q193" s="39"/>
      <c r="R193" s="39"/>
      <c r="S193" s="38">
        <f t="shared" ref="S193:S200" si="42">ROUND(ROUND(P193, 2)*I193, 2)</f>
        <v>0</v>
      </c>
      <c r="T193" s="39"/>
      <c r="U193" s="40"/>
      <c r="V193" s="9">
        <f t="shared" ref="V193:V200" si="43">ROUND(ROUND(P193, 2)/1.2, 2)</f>
        <v>74</v>
      </c>
      <c r="Y193" s="9">
        <f t="shared" ref="Y193:Y201" si="44">ROUND(S193 / 1.2, 2)</f>
        <v>0</v>
      </c>
      <c r="AD193" s="4" t="s">
        <v>566</v>
      </c>
      <c r="AE193" s="4" t="s">
        <v>567</v>
      </c>
      <c r="AF193" s="4" t="s">
        <v>559</v>
      </c>
    </row>
    <row r="194" spans="1:35" ht="36" x14ac:dyDescent="0.3">
      <c r="A194" s="23" t="s">
        <v>568</v>
      </c>
      <c r="B194" s="23"/>
      <c r="C194" s="41" t="s">
        <v>556</v>
      </c>
      <c r="D194" s="25"/>
      <c r="E194" s="25"/>
      <c r="F194" s="42" t="s">
        <v>265</v>
      </c>
      <c r="G194" s="43">
        <v>0.15</v>
      </c>
      <c r="H194" s="25"/>
      <c r="I194" s="43">
        <v>28.59</v>
      </c>
      <c r="J194" s="44">
        <v>88.8</v>
      </c>
      <c r="K194" s="45"/>
      <c r="L194" s="45"/>
      <c r="M194" s="44">
        <f t="shared" si="41"/>
        <v>2538.79</v>
      </c>
      <c r="N194" s="45"/>
      <c r="O194" s="45"/>
      <c r="P194" s="44">
        <v>88.8</v>
      </c>
      <c r="Q194" s="45"/>
      <c r="R194" s="45"/>
      <c r="S194" s="44">
        <f t="shared" si="42"/>
        <v>2538.79</v>
      </c>
      <c r="T194" s="45"/>
      <c r="U194" s="46"/>
      <c r="V194" s="9">
        <f t="shared" si="43"/>
        <v>74</v>
      </c>
      <c r="Y194" s="9">
        <f t="shared" si="44"/>
        <v>2115.66</v>
      </c>
      <c r="AD194" s="4" t="s">
        <v>569</v>
      </c>
      <c r="AE194" s="4" t="s">
        <v>567</v>
      </c>
      <c r="AF194" s="4" t="s">
        <v>559</v>
      </c>
    </row>
    <row r="195" spans="1:35" ht="18" x14ac:dyDescent="0.3">
      <c r="A195" s="17" t="s">
        <v>570</v>
      </c>
      <c r="B195" s="17"/>
      <c r="C195" s="34" t="s">
        <v>549</v>
      </c>
      <c r="D195" s="19"/>
      <c r="E195" s="19"/>
      <c r="F195" s="35" t="s">
        <v>265</v>
      </c>
      <c r="G195" s="36">
        <v>0.25</v>
      </c>
      <c r="H195" s="19"/>
      <c r="I195" s="37">
        <v>0</v>
      </c>
      <c r="J195" s="38">
        <v>47.44</v>
      </c>
      <c r="K195" s="39"/>
      <c r="L195" s="39"/>
      <c r="M195" s="38">
        <f t="shared" si="41"/>
        <v>0</v>
      </c>
      <c r="N195" s="39"/>
      <c r="O195" s="39"/>
      <c r="P195" s="38">
        <v>47.44</v>
      </c>
      <c r="Q195" s="39"/>
      <c r="R195" s="39"/>
      <c r="S195" s="38">
        <f t="shared" si="42"/>
        <v>0</v>
      </c>
      <c r="T195" s="39"/>
      <c r="U195" s="40"/>
      <c r="V195" s="9">
        <f t="shared" si="43"/>
        <v>39.53</v>
      </c>
      <c r="Y195" s="9">
        <f t="shared" si="44"/>
        <v>0</v>
      </c>
      <c r="AD195" s="4" t="s">
        <v>571</v>
      </c>
      <c r="AE195" s="4" t="s">
        <v>572</v>
      </c>
      <c r="AF195" s="4" t="s">
        <v>552</v>
      </c>
    </row>
    <row r="196" spans="1:35" ht="18" x14ac:dyDescent="0.3">
      <c r="A196" s="23" t="s">
        <v>573</v>
      </c>
      <c r="B196" s="23"/>
      <c r="C196" s="41" t="s">
        <v>549</v>
      </c>
      <c r="D196" s="25"/>
      <c r="E196" s="25"/>
      <c r="F196" s="42" t="s">
        <v>265</v>
      </c>
      <c r="G196" s="43">
        <v>0.25</v>
      </c>
      <c r="H196" s="25"/>
      <c r="I196" s="43">
        <v>47.65</v>
      </c>
      <c r="J196" s="44">
        <v>47.44</v>
      </c>
      <c r="K196" s="45"/>
      <c r="L196" s="45"/>
      <c r="M196" s="44">
        <f t="shared" si="41"/>
        <v>2260.52</v>
      </c>
      <c r="N196" s="45"/>
      <c r="O196" s="45"/>
      <c r="P196" s="44">
        <v>47.44</v>
      </c>
      <c r="Q196" s="45"/>
      <c r="R196" s="45"/>
      <c r="S196" s="44">
        <f t="shared" si="42"/>
        <v>2260.52</v>
      </c>
      <c r="T196" s="45"/>
      <c r="U196" s="46"/>
      <c r="V196" s="9">
        <f t="shared" si="43"/>
        <v>39.53</v>
      </c>
      <c r="Y196" s="9">
        <f t="shared" si="44"/>
        <v>1883.77</v>
      </c>
      <c r="AD196" s="4" t="s">
        <v>574</v>
      </c>
      <c r="AE196" s="4" t="s">
        <v>572</v>
      </c>
      <c r="AF196" s="4" t="s">
        <v>552</v>
      </c>
    </row>
    <row r="197" spans="1:35" ht="36" x14ac:dyDescent="0.3">
      <c r="A197" s="17" t="s">
        <v>575</v>
      </c>
      <c r="B197" s="17"/>
      <c r="C197" s="34" t="s">
        <v>542</v>
      </c>
      <c r="D197" s="19"/>
      <c r="E197" s="19"/>
      <c r="F197" s="35" t="s">
        <v>265</v>
      </c>
      <c r="G197" s="36">
        <v>1.2</v>
      </c>
      <c r="H197" s="19"/>
      <c r="I197" s="48">
        <v>0</v>
      </c>
      <c r="J197" s="38">
        <v>16.96</v>
      </c>
      <c r="K197" s="39"/>
      <c r="L197" s="39"/>
      <c r="M197" s="38">
        <f t="shared" si="41"/>
        <v>0</v>
      </c>
      <c r="N197" s="39"/>
      <c r="O197" s="39"/>
      <c r="P197" s="38">
        <v>16.96</v>
      </c>
      <c r="Q197" s="39"/>
      <c r="R197" s="39"/>
      <c r="S197" s="38">
        <f t="shared" si="42"/>
        <v>0</v>
      </c>
      <c r="T197" s="39"/>
      <c r="U197" s="40"/>
      <c r="V197" s="9">
        <f t="shared" si="43"/>
        <v>14.13</v>
      </c>
      <c r="Y197" s="9">
        <f t="shared" si="44"/>
        <v>0</v>
      </c>
      <c r="AD197" s="4" t="s">
        <v>576</v>
      </c>
      <c r="AE197" s="4" t="s">
        <v>577</v>
      </c>
      <c r="AF197" s="4" t="s">
        <v>545</v>
      </c>
    </row>
    <row r="198" spans="1:35" ht="36" x14ac:dyDescent="0.3">
      <c r="A198" s="23" t="s">
        <v>578</v>
      </c>
      <c r="B198" s="23"/>
      <c r="C198" s="41" t="s">
        <v>542</v>
      </c>
      <c r="D198" s="25"/>
      <c r="E198" s="25"/>
      <c r="F198" s="42" t="s">
        <v>265</v>
      </c>
      <c r="G198" s="43">
        <v>1.2</v>
      </c>
      <c r="H198" s="25"/>
      <c r="I198" s="50">
        <v>228.72</v>
      </c>
      <c r="J198" s="44">
        <v>16.96</v>
      </c>
      <c r="K198" s="45"/>
      <c r="L198" s="45"/>
      <c r="M198" s="44">
        <f t="shared" si="41"/>
        <v>3879.09</v>
      </c>
      <c r="N198" s="45"/>
      <c r="O198" s="45"/>
      <c r="P198" s="44">
        <v>16.96</v>
      </c>
      <c r="Q198" s="45"/>
      <c r="R198" s="45"/>
      <c r="S198" s="44">
        <f t="shared" si="42"/>
        <v>3879.09</v>
      </c>
      <c r="T198" s="45"/>
      <c r="U198" s="46"/>
      <c r="V198" s="9">
        <f t="shared" si="43"/>
        <v>14.13</v>
      </c>
      <c r="Y198" s="9">
        <f t="shared" si="44"/>
        <v>3232.58</v>
      </c>
      <c r="AD198" s="4" t="s">
        <v>579</v>
      </c>
      <c r="AE198" s="4" t="s">
        <v>577</v>
      </c>
      <c r="AF198" s="4" t="s">
        <v>545</v>
      </c>
    </row>
    <row r="199" spans="1:35" ht="36" x14ac:dyDescent="0.3">
      <c r="A199" s="17" t="s">
        <v>580</v>
      </c>
      <c r="B199" s="17"/>
      <c r="C199" s="34" t="s">
        <v>581</v>
      </c>
      <c r="D199" s="19"/>
      <c r="E199" s="19"/>
      <c r="F199" s="35" t="s">
        <v>369</v>
      </c>
      <c r="G199" s="36">
        <v>4</v>
      </c>
      <c r="H199" s="19"/>
      <c r="I199" s="37">
        <v>0</v>
      </c>
      <c r="J199" s="38">
        <v>356.11</v>
      </c>
      <c r="K199" s="39"/>
      <c r="L199" s="39"/>
      <c r="M199" s="38">
        <f t="shared" si="41"/>
        <v>0</v>
      </c>
      <c r="N199" s="39"/>
      <c r="O199" s="39"/>
      <c r="P199" s="38">
        <v>356.11</v>
      </c>
      <c r="Q199" s="39"/>
      <c r="R199" s="39"/>
      <c r="S199" s="38">
        <f t="shared" si="42"/>
        <v>0</v>
      </c>
      <c r="T199" s="39"/>
      <c r="U199" s="40"/>
      <c r="V199" s="9">
        <f t="shared" si="43"/>
        <v>296.76</v>
      </c>
      <c r="Y199" s="9">
        <f t="shared" si="44"/>
        <v>0</v>
      </c>
      <c r="AD199" s="4" t="s">
        <v>582</v>
      </c>
      <c r="AE199" s="4" t="s">
        <v>583</v>
      </c>
      <c r="AF199" s="4" t="s">
        <v>584</v>
      </c>
    </row>
    <row r="200" spans="1:35" ht="90" x14ac:dyDescent="0.3">
      <c r="A200" s="23" t="s">
        <v>585</v>
      </c>
      <c r="B200" s="23"/>
      <c r="C200" s="41" t="s">
        <v>581</v>
      </c>
      <c r="D200" s="25"/>
      <c r="E200" s="25" t="s">
        <v>586</v>
      </c>
      <c r="F200" s="42" t="s">
        <v>369</v>
      </c>
      <c r="G200" s="43">
        <v>4</v>
      </c>
      <c r="H200" s="25"/>
      <c r="I200" s="43">
        <v>762.4</v>
      </c>
      <c r="J200" s="44">
        <v>356.11</v>
      </c>
      <c r="K200" s="45"/>
      <c r="L200" s="45"/>
      <c r="M200" s="44">
        <f t="shared" si="41"/>
        <v>271498.26</v>
      </c>
      <c r="N200" s="45"/>
      <c r="O200" s="45"/>
      <c r="P200" s="44">
        <v>356.11</v>
      </c>
      <c r="Q200" s="45"/>
      <c r="R200" s="45"/>
      <c r="S200" s="44">
        <f t="shared" si="42"/>
        <v>271498.26</v>
      </c>
      <c r="T200" s="45"/>
      <c r="U200" s="46"/>
      <c r="V200" s="9">
        <f t="shared" si="43"/>
        <v>296.76</v>
      </c>
      <c r="Y200" s="9">
        <f t="shared" si="44"/>
        <v>226248.55</v>
      </c>
      <c r="AD200" s="4" t="s">
        <v>587</v>
      </c>
      <c r="AE200" s="4" t="s">
        <v>583</v>
      </c>
      <c r="AF200" s="4" t="s">
        <v>584</v>
      </c>
    </row>
    <row r="201" spans="1:35" ht="36" x14ac:dyDescent="0.3">
      <c r="A201" s="17" t="s">
        <v>588</v>
      </c>
      <c r="B201" s="17" t="s">
        <v>527</v>
      </c>
      <c r="C201" s="18" t="s">
        <v>528</v>
      </c>
      <c r="D201" s="19"/>
      <c r="E201" s="19"/>
      <c r="F201" s="19" t="s">
        <v>59</v>
      </c>
      <c r="G201" s="20">
        <v>1</v>
      </c>
      <c r="H201" s="19"/>
      <c r="I201" s="21">
        <v>0</v>
      </c>
      <c r="J201" s="22">
        <f>IFERROR(ROUND(SUM(M203,M205,M207,M209)/I201, 2),0)</f>
        <v>0</v>
      </c>
      <c r="K201" s="22">
        <v>2310</v>
      </c>
      <c r="L201" s="22">
        <f>J201+ROUND(K201, 2)</f>
        <v>2310</v>
      </c>
      <c r="M201" s="22">
        <f>ROUND(J201*I201, 2)</f>
        <v>0</v>
      </c>
      <c r="N201" s="22">
        <f>ROUND(I201*ROUND(K201, 2), 2)</f>
        <v>0</v>
      </c>
      <c r="O201" s="22">
        <f>M201+N201</f>
        <v>0</v>
      </c>
      <c r="P201" s="22">
        <f>IFERROR(ROUND(SUM(S203,S205,S207,S209)/I201, 2),0)</f>
        <v>0</v>
      </c>
      <c r="Q201" s="22">
        <v>2310</v>
      </c>
      <c r="R201" s="22">
        <f>P201+ROUND(Q201, 2)</f>
        <v>2310</v>
      </c>
      <c r="S201" s="22">
        <f>ROUND(P201*I201, 2)</f>
        <v>0</v>
      </c>
      <c r="T201" s="22">
        <f>ROUND(I201*ROUND(Q201, 2), 2)</f>
        <v>0</v>
      </c>
      <c r="U201" s="22">
        <f>S201+T201</f>
        <v>0</v>
      </c>
      <c r="V201" s="9">
        <f>ROUND(P201 / 1.2, 2)</f>
        <v>0</v>
      </c>
      <c r="W201" s="9">
        <f>ROUND(Q201 / 1.2, 2)</f>
        <v>1925</v>
      </c>
      <c r="X201" s="9">
        <f>ROUND(R201 / 1.2, 2)</f>
        <v>1925</v>
      </c>
      <c r="Y201" s="9">
        <f t="shared" si="44"/>
        <v>0</v>
      </c>
      <c r="Z201" s="9">
        <f>ROUND(T201 / 1.2, 2)</f>
        <v>0</v>
      </c>
      <c r="AA201" s="9">
        <f>Y201+Z201</f>
        <v>0</v>
      </c>
      <c r="AD201" s="4">
        <v>304337617</v>
      </c>
      <c r="AE201" s="4">
        <v>20865473</v>
      </c>
      <c r="AG201" s="4" t="s">
        <v>529</v>
      </c>
      <c r="AH201" s="4" t="s">
        <v>530</v>
      </c>
      <c r="AI201" s="4" t="s">
        <v>260</v>
      </c>
    </row>
    <row r="202" spans="1:35" ht="36" x14ac:dyDescent="0.3">
      <c r="A202" s="23" t="s">
        <v>589</v>
      </c>
      <c r="B202" s="23" t="s">
        <v>527</v>
      </c>
      <c r="C202" s="24" t="s">
        <v>528</v>
      </c>
      <c r="D202" s="25"/>
      <c r="E202" s="25" t="s">
        <v>590</v>
      </c>
      <c r="F202" s="25" t="s">
        <v>59</v>
      </c>
      <c r="G202" s="26">
        <v>1</v>
      </c>
      <c r="H202" s="25"/>
      <c r="I202" s="26">
        <v>129.4</v>
      </c>
      <c r="J202" s="27">
        <v>0</v>
      </c>
      <c r="K202" s="27">
        <v>2310</v>
      </c>
      <c r="L202" s="27"/>
      <c r="M202" s="27">
        <v>0</v>
      </c>
      <c r="N202" s="27"/>
      <c r="O202" s="27"/>
      <c r="P202" s="27">
        <v>0</v>
      </c>
      <c r="Q202" s="27">
        <v>2310</v>
      </c>
      <c r="R202" s="27"/>
      <c r="S202" s="27">
        <v>0</v>
      </c>
      <c r="T202" s="27"/>
      <c r="U202" s="27"/>
      <c r="V202" s="9"/>
      <c r="W202" s="9">
        <f>ROUND(Q202 / 1.2, 2)</f>
        <v>1925</v>
      </c>
      <c r="X202" s="9" t="e">
        <f>ROUND(R202 / 1.2, 2)</f>
        <v>#VALUE!</v>
      </c>
      <c r="Y202" s="9"/>
      <c r="Z202" s="9" t="e">
        <f>ROUND(T202 / 1.2, 2)</f>
        <v>#VALUE!</v>
      </c>
      <c r="AA202" s="9"/>
      <c r="AD202" s="4">
        <v>275822501</v>
      </c>
      <c r="AE202" s="4">
        <v>20865473</v>
      </c>
      <c r="AG202" s="4" t="s">
        <v>529</v>
      </c>
      <c r="AH202" s="4" t="s">
        <v>530</v>
      </c>
      <c r="AI202" s="4"/>
    </row>
    <row r="203" spans="1:35" ht="54" x14ac:dyDescent="0.3">
      <c r="A203" s="17" t="s">
        <v>591</v>
      </c>
      <c r="B203" s="17"/>
      <c r="C203" s="34" t="s">
        <v>592</v>
      </c>
      <c r="D203" s="19"/>
      <c r="E203" s="19"/>
      <c r="F203" s="35" t="s">
        <v>369</v>
      </c>
      <c r="G203" s="36">
        <v>4</v>
      </c>
      <c r="H203" s="19"/>
      <c r="I203" s="37">
        <v>0</v>
      </c>
      <c r="J203" s="38">
        <v>1100.4000000000001</v>
      </c>
      <c r="K203" s="39"/>
      <c r="L203" s="39"/>
      <c r="M203" s="38">
        <f t="shared" ref="M203:M210" si="45">ROUND(ROUND(J203, 2)*I203, 2)</f>
        <v>0</v>
      </c>
      <c r="N203" s="39"/>
      <c r="O203" s="39"/>
      <c r="P203" s="38">
        <v>1100.4000000000001</v>
      </c>
      <c r="Q203" s="39"/>
      <c r="R203" s="39"/>
      <c r="S203" s="38">
        <f t="shared" ref="S203:S210" si="46">ROUND(ROUND(P203, 2)*I203, 2)</f>
        <v>0</v>
      </c>
      <c r="T203" s="39"/>
      <c r="U203" s="40"/>
      <c r="V203" s="9">
        <f t="shared" ref="V203:V210" si="47">ROUND(ROUND(P203, 2)/1.2, 2)</f>
        <v>917</v>
      </c>
      <c r="Y203" s="9">
        <f t="shared" ref="Y203:Y226" si="48">ROUND(S203 / 1.2, 2)</f>
        <v>0</v>
      </c>
      <c r="AD203" s="4" t="s">
        <v>593</v>
      </c>
      <c r="AE203" s="4" t="s">
        <v>594</v>
      </c>
      <c r="AF203" s="4" t="s">
        <v>595</v>
      </c>
    </row>
    <row r="204" spans="1:35" ht="72" x14ac:dyDescent="0.3">
      <c r="A204" s="23" t="s">
        <v>596</v>
      </c>
      <c r="B204" s="23"/>
      <c r="C204" s="41" t="s">
        <v>592</v>
      </c>
      <c r="D204" s="25"/>
      <c r="E204" s="25" t="s">
        <v>597</v>
      </c>
      <c r="F204" s="42" t="s">
        <v>369</v>
      </c>
      <c r="G204" s="43">
        <v>4</v>
      </c>
      <c r="H204" s="25"/>
      <c r="I204" s="43">
        <v>517.6</v>
      </c>
      <c r="J204" s="44">
        <v>1100.4000000000001</v>
      </c>
      <c r="K204" s="45"/>
      <c r="L204" s="45"/>
      <c r="M204" s="44">
        <f t="shared" si="45"/>
        <v>569567.04</v>
      </c>
      <c r="N204" s="45"/>
      <c r="O204" s="45"/>
      <c r="P204" s="44">
        <v>1100.4000000000001</v>
      </c>
      <c r="Q204" s="45"/>
      <c r="R204" s="45"/>
      <c r="S204" s="44">
        <f t="shared" si="46"/>
        <v>569567.04</v>
      </c>
      <c r="T204" s="45"/>
      <c r="U204" s="46"/>
      <c r="V204" s="9">
        <f t="shared" si="47"/>
        <v>917</v>
      </c>
      <c r="Y204" s="9">
        <f t="shared" si="48"/>
        <v>474639.2</v>
      </c>
      <c r="AD204" s="4" t="s">
        <v>598</v>
      </c>
      <c r="AE204" s="4" t="s">
        <v>594</v>
      </c>
      <c r="AF204" s="4" t="s">
        <v>595</v>
      </c>
    </row>
    <row r="205" spans="1:35" ht="36" x14ac:dyDescent="0.3">
      <c r="A205" s="17" t="s">
        <v>599</v>
      </c>
      <c r="B205" s="17"/>
      <c r="C205" s="34" t="s">
        <v>542</v>
      </c>
      <c r="D205" s="19"/>
      <c r="E205" s="19"/>
      <c r="F205" s="35" t="s">
        <v>265</v>
      </c>
      <c r="G205" s="36">
        <v>1.2</v>
      </c>
      <c r="H205" s="19"/>
      <c r="I205" s="48">
        <v>0</v>
      </c>
      <c r="J205" s="38">
        <v>16.96</v>
      </c>
      <c r="K205" s="39"/>
      <c r="L205" s="39"/>
      <c r="M205" s="38">
        <f t="shared" si="45"/>
        <v>0</v>
      </c>
      <c r="N205" s="39"/>
      <c r="O205" s="39"/>
      <c r="P205" s="38">
        <v>16.96</v>
      </c>
      <c r="Q205" s="39"/>
      <c r="R205" s="39"/>
      <c r="S205" s="38">
        <f t="shared" si="46"/>
        <v>0</v>
      </c>
      <c r="T205" s="39"/>
      <c r="U205" s="40"/>
      <c r="V205" s="9">
        <f t="shared" si="47"/>
        <v>14.13</v>
      </c>
      <c r="Y205" s="9">
        <f t="shared" si="48"/>
        <v>0</v>
      </c>
      <c r="AD205" s="4" t="s">
        <v>600</v>
      </c>
      <c r="AE205" s="4" t="s">
        <v>601</v>
      </c>
      <c r="AF205" s="4" t="s">
        <v>545</v>
      </c>
    </row>
    <row r="206" spans="1:35" ht="36" x14ac:dyDescent="0.3">
      <c r="A206" s="23" t="s">
        <v>602</v>
      </c>
      <c r="B206" s="23"/>
      <c r="C206" s="41" t="s">
        <v>542</v>
      </c>
      <c r="D206" s="25"/>
      <c r="E206" s="25"/>
      <c r="F206" s="42" t="s">
        <v>265</v>
      </c>
      <c r="G206" s="43">
        <v>1.2</v>
      </c>
      <c r="H206" s="25"/>
      <c r="I206" s="50">
        <v>155.28</v>
      </c>
      <c r="J206" s="44">
        <v>16.96</v>
      </c>
      <c r="K206" s="45"/>
      <c r="L206" s="45"/>
      <c r="M206" s="44">
        <f t="shared" si="45"/>
        <v>2633.55</v>
      </c>
      <c r="N206" s="45"/>
      <c r="O206" s="45"/>
      <c r="P206" s="44">
        <v>16.96</v>
      </c>
      <c r="Q206" s="45"/>
      <c r="R206" s="45"/>
      <c r="S206" s="44">
        <f t="shared" si="46"/>
        <v>2633.55</v>
      </c>
      <c r="T206" s="45"/>
      <c r="U206" s="46"/>
      <c r="V206" s="9">
        <f t="shared" si="47"/>
        <v>14.13</v>
      </c>
      <c r="Y206" s="9">
        <f t="shared" si="48"/>
        <v>2194.63</v>
      </c>
      <c r="AD206" s="4" t="s">
        <v>603</v>
      </c>
      <c r="AE206" s="4" t="s">
        <v>601</v>
      </c>
      <c r="AF206" s="4" t="s">
        <v>545</v>
      </c>
    </row>
    <row r="207" spans="1:35" ht="18" x14ac:dyDescent="0.3">
      <c r="A207" s="17" t="s">
        <v>604</v>
      </c>
      <c r="B207" s="17"/>
      <c r="C207" s="34" t="s">
        <v>549</v>
      </c>
      <c r="D207" s="19"/>
      <c r="E207" s="19"/>
      <c r="F207" s="35" t="s">
        <v>265</v>
      </c>
      <c r="G207" s="36">
        <v>0.25</v>
      </c>
      <c r="H207" s="19"/>
      <c r="I207" s="37">
        <v>0</v>
      </c>
      <c r="J207" s="38">
        <v>47.44</v>
      </c>
      <c r="K207" s="39"/>
      <c r="L207" s="39"/>
      <c r="M207" s="38">
        <f t="shared" si="45"/>
        <v>0</v>
      </c>
      <c r="N207" s="39"/>
      <c r="O207" s="39"/>
      <c r="P207" s="38">
        <v>47.44</v>
      </c>
      <c r="Q207" s="39"/>
      <c r="R207" s="39"/>
      <c r="S207" s="38">
        <f t="shared" si="46"/>
        <v>0</v>
      </c>
      <c r="T207" s="39"/>
      <c r="U207" s="40"/>
      <c r="V207" s="9">
        <f t="shared" si="47"/>
        <v>39.53</v>
      </c>
      <c r="Y207" s="9">
        <f t="shared" si="48"/>
        <v>0</v>
      </c>
      <c r="AD207" s="4" t="s">
        <v>605</v>
      </c>
      <c r="AE207" s="4" t="s">
        <v>606</v>
      </c>
      <c r="AF207" s="4" t="s">
        <v>552</v>
      </c>
    </row>
    <row r="208" spans="1:35" ht="18" x14ac:dyDescent="0.3">
      <c r="A208" s="23" t="s">
        <v>607</v>
      </c>
      <c r="B208" s="23"/>
      <c r="C208" s="41" t="s">
        <v>549</v>
      </c>
      <c r="D208" s="25"/>
      <c r="E208" s="25"/>
      <c r="F208" s="42" t="s">
        <v>265</v>
      </c>
      <c r="G208" s="43">
        <v>0.25</v>
      </c>
      <c r="H208" s="25"/>
      <c r="I208" s="43">
        <v>32.35</v>
      </c>
      <c r="J208" s="44">
        <v>47.44</v>
      </c>
      <c r="K208" s="45"/>
      <c r="L208" s="45"/>
      <c r="M208" s="44">
        <f t="shared" si="45"/>
        <v>1534.68</v>
      </c>
      <c r="N208" s="45"/>
      <c r="O208" s="45"/>
      <c r="P208" s="44">
        <v>47.44</v>
      </c>
      <c r="Q208" s="45"/>
      <c r="R208" s="45"/>
      <c r="S208" s="44">
        <f t="shared" si="46"/>
        <v>1534.68</v>
      </c>
      <c r="T208" s="45"/>
      <c r="U208" s="46"/>
      <c r="V208" s="9">
        <f t="shared" si="47"/>
        <v>39.53</v>
      </c>
      <c r="Y208" s="9">
        <f t="shared" si="48"/>
        <v>1278.9000000000001</v>
      </c>
      <c r="AD208" s="4" t="s">
        <v>608</v>
      </c>
      <c r="AE208" s="4" t="s">
        <v>606</v>
      </c>
      <c r="AF208" s="4" t="s">
        <v>552</v>
      </c>
    </row>
    <row r="209" spans="1:35" ht="36" x14ac:dyDescent="0.3">
      <c r="A209" s="17" t="s">
        <v>609</v>
      </c>
      <c r="B209" s="17"/>
      <c r="C209" s="34" t="s">
        <v>556</v>
      </c>
      <c r="D209" s="19"/>
      <c r="E209" s="19"/>
      <c r="F209" s="35" t="s">
        <v>265</v>
      </c>
      <c r="G209" s="36">
        <v>0.15</v>
      </c>
      <c r="H209" s="19"/>
      <c r="I209" s="37">
        <v>0</v>
      </c>
      <c r="J209" s="38">
        <v>88.8</v>
      </c>
      <c r="K209" s="39"/>
      <c r="L209" s="39"/>
      <c r="M209" s="38">
        <f t="shared" si="45"/>
        <v>0</v>
      </c>
      <c r="N209" s="39"/>
      <c r="O209" s="39"/>
      <c r="P209" s="38">
        <v>88.8</v>
      </c>
      <c r="Q209" s="39"/>
      <c r="R209" s="39"/>
      <c r="S209" s="38">
        <f t="shared" si="46"/>
        <v>0</v>
      </c>
      <c r="T209" s="39"/>
      <c r="U209" s="40"/>
      <c r="V209" s="9">
        <f t="shared" si="47"/>
        <v>74</v>
      </c>
      <c r="Y209" s="9">
        <f t="shared" si="48"/>
        <v>0</v>
      </c>
      <c r="AD209" s="4" t="s">
        <v>610</v>
      </c>
      <c r="AE209" s="4" t="s">
        <v>611</v>
      </c>
      <c r="AF209" s="4" t="s">
        <v>559</v>
      </c>
    </row>
    <row r="210" spans="1:35" ht="36" x14ac:dyDescent="0.3">
      <c r="A210" s="23" t="s">
        <v>612</v>
      </c>
      <c r="B210" s="23"/>
      <c r="C210" s="41" t="s">
        <v>556</v>
      </c>
      <c r="D210" s="25"/>
      <c r="E210" s="25"/>
      <c r="F210" s="42" t="s">
        <v>265</v>
      </c>
      <c r="G210" s="43">
        <v>0.15</v>
      </c>
      <c r="H210" s="25"/>
      <c r="I210" s="43">
        <v>19.41</v>
      </c>
      <c r="J210" s="44">
        <v>88.8</v>
      </c>
      <c r="K210" s="45"/>
      <c r="L210" s="45"/>
      <c r="M210" s="44">
        <f t="shared" si="45"/>
        <v>1723.61</v>
      </c>
      <c r="N210" s="45"/>
      <c r="O210" s="45"/>
      <c r="P210" s="44">
        <v>88.8</v>
      </c>
      <c r="Q210" s="45"/>
      <c r="R210" s="45"/>
      <c r="S210" s="44">
        <f t="shared" si="46"/>
        <v>1723.61</v>
      </c>
      <c r="T210" s="45"/>
      <c r="U210" s="46"/>
      <c r="V210" s="9">
        <f t="shared" si="47"/>
        <v>74</v>
      </c>
      <c r="Y210" s="9">
        <f t="shared" si="48"/>
        <v>1436.34</v>
      </c>
      <c r="AD210" s="4" t="s">
        <v>613</v>
      </c>
      <c r="AE210" s="4" t="s">
        <v>611</v>
      </c>
      <c r="AF210" s="4" t="s">
        <v>559</v>
      </c>
    </row>
    <row r="211" spans="1:35" ht="36" x14ac:dyDescent="0.3">
      <c r="A211" s="51" t="s">
        <v>614</v>
      </c>
      <c r="B211" s="51" t="s">
        <v>527</v>
      </c>
      <c r="C211" s="52" t="s">
        <v>528</v>
      </c>
      <c r="D211" s="53"/>
      <c r="E211" s="53" t="s">
        <v>532</v>
      </c>
      <c r="F211" s="53" t="s">
        <v>59</v>
      </c>
      <c r="G211" s="54">
        <v>1</v>
      </c>
      <c r="H211" s="53"/>
      <c r="I211" s="54">
        <v>338.3</v>
      </c>
      <c r="J211" s="55">
        <f>IFERROR(ROUND(SUM(M212,M213,M214,M215)/I211, 2),0)</f>
        <v>1628.52</v>
      </c>
      <c r="K211" s="55">
        <v>2310</v>
      </c>
      <c r="L211" s="55">
        <f>J211+ROUND(K211, 2)</f>
        <v>3938.52</v>
      </c>
      <c r="M211" s="55">
        <f>ROUND(J211*I211, 2)</f>
        <v>550928.31999999995</v>
      </c>
      <c r="N211" s="55">
        <f>ROUND(I211*ROUND(K211, 2), 2)</f>
        <v>781473</v>
      </c>
      <c r="O211" s="55">
        <f>M211+N211</f>
        <v>1332401.32</v>
      </c>
      <c r="P211" s="55">
        <f>IFERROR(ROUND(SUM(S212,S213,S214,S215)/I211, 2),0)</f>
        <v>1628.51</v>
      </c>
      <c r="Q211" s="55">
        <v>3465</v>
      </c>
      <c r="R211" s="55">
        <f>P211+ROUND(Q211, 2)</f>
        <v>5093.51</v>
      </c>
      <c r="S211" s="55">
        <f>ROUND(P211*I211, 2)</f>
        <v>550924.93000000005</v>
      </c>
      <c r="T211" s="55">
        <f>ROUND(I211*ROUND(Q211, 2), 2)</f>
        <v>1172209.5</v>
      </c>
      <c r="U211" s="55">
        <f>S211+T211</f>
        <v>1723134.43</v>
      </c>
      <c r="V211" s="9">
        <f>ROUND(P211 / 1.2, 2)</f>
        <v>1357.09</v>
      </c>
      <c r="W211" s="9">
        <f>ROUND(Q211 / 1.2, 2)</f>
        <v>2887.5</v>
      </c>
      <c r="X211" s="9">
        <f>ROUND(R211 / 1.2, 2)</f>
        <v>4244.59</v>
      </c>
      <c r="Y211" s="9">
        <f t="shared" si="48"/>
        <v>459104.11</v>
      </c>
      <c r="Z211" s="9">
        <f>ROUND(T211 / 1.2, 2)</f>
        <v>976841.25</v>
      </c>
      <c r="AA211" s="9">
        <f>Y211+Z211</f>
        <v>1435945.36</v>
      </c>
      <c r="AD211" s="4">
        <v>304337618</v>
      </c>
      <c r="AE211" s="4">
        <v>21916288</v>
      </c>
      <c r="AG211" s="4" t="s">
        <v>529</v>
      </c>
      <c r="AH211" s="4" t="s">
        <v>530</v>
      </c>
      <c r="AI211" s="4" t="s">
        <v>260</v>
      </c>
    </row>
    <row r="212" spans="1:35" ht="36" x14ac:dyDescent="0.3">
      <c r="A212" s="51" t="s">
        <v>615</v>
      </c>
      <c r="B212" s="51"/>
      <c r="C212" s="56" t="s">
        <v>556</v>
      </c>
      <c r="D212" s="53"/>
      <c r="E212" s="53"/>
      <c r="F212" s="57" t="s">
        <v>265</v>
      </c>
      <c r="G212" s="58">
        <v>0.15</v>
      </c>
      <c r="H212" s="53"/>
      <c r="I212" s="58">
        <v>50.744999999999997</v>
      </c>
      <c r="J212" s="59">
        <v>88.8</v>
      </c>
      <c r="K212" s="60"/>
      <c r="L212" s="60"/>
      <c r="M212" s="59">
        <f>ROUND(ROUND(J212, 2)*I212, 2)</f>
        <v>4506.16</v>
      </c>
      <c r="N212" s="60"/>
      <c r="O212" s="60"/>
      <c r="P212" s="59">
        <v>88.8</v>
      </c>
      <c r="Q212" s="60"/>
      <c r="R212" s="60"/>
      <c r="S212" s="59">
        <f>ROUND(ROUND(P212, 2)*I212, 2)</f>
        <v>4506.16</v>
      </c>
      <c r="T212" s="60"/>
      <c r="U212" s="61"/>
      <c r="V212" s="9">
        <f>ROUND(ROUND(P212, 2)/1.2, 2)</f>
        <v>74</v>
      </c>
      <c r="Y212" s="9">
        <f t="shared" si="48"/>
        <v>3755.13</v>
      </c>
      <c r="AD212" s="4" t="s">
        <v>616</v>
      </c>
      <c r="AE212" s="4" t="s">
        <v>617</v>
      </c>
      <c r="AF212" s="4" t="s">
        <v>559</v>
      </c>
    </row>
    <row r="213" spans="1:35" ht="18" x14ac:dyDescent="0.3">
      <c r="A213" s="51" t="s">
        <v>618</v>
      </c>
      <c r="B213" s="51"/>
      <c r="C213" s="56" t="s">
        <v>549</v>
      </c>
      <c r="D213" s="53"/>
      <c r="E213" s="53"/>
      <c r="F213" s="57" t="s">
        <v>265</v>
      </c>
      <c r="G213" s="58">
        <v>0.25</v>
      </c>
      <c r="H213" s="53"/>
      <c r="I213" s="58">
        <v>84.575000000000003</v>
      </c>
      <c r="J213" s="59">
        <v>47.44</v>
      </c>
      <c r="K213" s="60"/>
      <c r="L213" s="60"/>
      <c r="M213" s="59">
        <f>ROUND(ROUND(J213, 2)*I213, 2)</f>
        <v>4012.24</v>
      </c>
      <c r="N213" s="60"/>
      <c r="O213" s="60"/>
      <c r="P213" s="59">
        <v>47.44</v>
      </c>
      <c r="Q213" s="60"/>
      <c r="R213" s="60"/>
      <c r="S213" s="59">
        <f>ROUND(ROUND(P213, 2)*I213, 2)</f>
        <v>4012.24</v>
      </c>
      <c r="T213" s="60"/>
      <c r="U213" s="61"/>
      <c r="V213" s="9">
        <f>ROUND(ROUND(P213, 2)/1.2, 2)</f>
        <v>39.53</v>
      </c>
      <c r="Y213" s="9">
        <f t="shared" si="48"/>
        <v>3343.53</v>
      </c>
      <c r="AD213" s="4" t="s">
        <v>619</v>
      </c>
      <c r="AE213" s="4" t="s">
        <v>620</v>
      </c>
      <c r="AF213" s="4" t="s">
        <v>552</v>
      </c>
    </row>
    <row r="214" spans="1:35" ht="36" x14ac:dyDescent="0.3">
      <c r="A214" s="51" t="s">
        <v>621</v>
      </c>
      <c r="B214" s="51"/>
      <c r="C214" s="47" t="s">
        <v>542</v>
      </c>
      <c r="D214" s="53"/>
      <c r="E214" s="53"/>
      <c r="F214" s="57" t="s">
        <v>265</v>
      </c>
      <c r="G214" s="58">
        <v>1.2</v>
      </c>
      <c r="H214" s="53"/>
      <c r="I214" s="62">
        <v>405.96</v>
      </c>
      <c r="J214" s="59">
        <v>16.12</v>
      </c>
      <c r="K214" s="60"/>
      <c r="L214" s="60"/>
      <c r="M214" s="59">
        <f>ROUND(ROUND(J214, 2)*I214, 2)</f>
        <v>6544.08</v>
      </c>
      <c r="N214" s="60"/>
      <c r="O214" s="60"/>
      <c r="P214" s="59">
        <v>16.11</v>
      </c>
      <c r="Q214" s="60"/>
      <c r="R214" s="60"/>
      <c r="S214" s="59">
        <f>ROUND(ROUND(P214, 2)*I214, 2)</f>
        <v>6540.02</v>
      </c>
      <c r="T214" s="60"/>
      <c r="U214" s="61"/>
      <c r="V214" s="9">
        <f>ROUND(ROUND(P214, 2)/1.2, 2)</f>
        <v>13.43</v>
      </c>
      <c r="Y214" s="9">
        <f t="shared" si="48"/>
        <v>5450.02</v>
      </c>
      <c r="AD214" s="4" t="s">
        <v>622</v>
      </c>
      <c r="AE214" s="4" t="s">
        <v>623</v>
      </c>
      <c r="AF214" s="4" t="s">
        <v>545</v>
      </c>
    </row>
    <row r="215" spans="1:35" ht="90" x14ac:dyDescent="0.3">
      <c r="A215" s="51" t="s">
        <v>624</v>
      </c>
      <c r="B215" s="51"/>
      <c r="C215" s="47" t="s">
        <v>534</v>
      </c>
      <c r="D215" s="53"/>
      <c r="E215" s="53" t="s">
        <v>539</v>
      </c>
      <c r="F215" s="57" t="s">
        <v>369</v>
      </c>
      <c r="G215" s="58">
        <v>4</v>
      </c>
      <c r="H215" s="53"/>
      <c r="I215" s="58">
        <v>1353.2</v>
      </c>
      <c r="J215" s="59">
        <v>396</v>
      </c>
      <c r="K215" s="60"/>
      <c r="L215" s="60"/>
      <c r="M215" s="59">
        <f>ROUND(ROUND(J215, 2)*I215, 2)</f>
        <v>535867.19999999995</v>
      </c>
      <c r="N215" s="60"/>
      <c r="O215" s="60"/>
      <c r="P215" s="59">
        <v>396</v>
      </c>
      <c r="Q215" s="60"/>
      <c r="R215" s="60"/>
      <c r="S215" s="59">
        <f>ROUND(ROUND(P215, 2)*I215, 2)</f>
        <v>535867.19999999995</v>
      </c>
      <c r="T215" s="60"/>
      <c r="U215" s="61"/>
      <c r="V215" s="9">
        <f>ROUND(ROUND(P215, 2)/1.2, 2)</f>
        <v>330</v>
      </c>
      <c r="Y215" s="9">
        <f t="shared" si="48"/>
        <v>446556</v>
      </c>
      <c r="AD215" s="4" t="s">
        <v>625</v>
      </c>
      <c r="AE215" s="4" t="s">
        <v>626</v>
      </c>
      <c r="AF215" s="4" t="s">
        <v>537</v>
      </c>
    </row>
    <row r="216" spans="1:35" ht="36" x14ac:dyDescent="0.3">
      <c r="A216" s="51" t="s">
        <v>627</v>
      </c>
      <c r="B216" s="51" t="s">
        <v>527</v>
      </c>
      <c r="C216" s="52" t="s">
        <v>528</v>
      </c>
      <c r="D216" s="53"/>
      <c r="E216" s="53" t="s">
        <v>564</v>
      </c>
      <c r="F216" s="53" t="s">
        <v>59</v>
      </c>
      <c r="G216" s="54">
        <v>1</v>
      </c>
      <c r="H216" s="53"/>
      <c r="I216" s="54">
        <v>190.6</v>
      </c>
      <c r="J216" s="55">
        <f>IFERROR(ROUND(SUM(M217,M218,M219,M220)/I216, 2),0)</f>
        <v>4446.12</v>
      </c>
      <c r="K216" s="55">
        <v>2310</v>
      </c>
      <c r="L216" s="55">
        <f>J216+ROUND(K216, 2)</f>
        <v>6756.12</v>
      </c>
      <c r="M216" s="55">
        <f>ROUND(J216*I216, 2)</f>
        <v>847430.47</v>
      </c>
      <c r="N216" s="55">
        <f>ROUND(I216*ROUND(K216, 2), 2)</f>
        <v>440286</v>
      </c>
      <c r="O216" s="55">
        <f>M216+N216</f>
        <v>1287716.47</v>
      </c>
      <c r="P216" s="55">
        <f>IFERROR(ROUND(SUM(S217,S218,S219,S220)/I216, 2),0)</f>
        <v>4446.1099999999997</v>
      </c>
      <c r="Q216" s="55">
        <v>3465</v>
      </c>
      <c r="R216" s="55">
        <f>P216+ROUND(Q216, 2)</f>
        <v>7911.11</v>
      </c>
      <c r="S216" s="55">
        <f>ROUND(P216*I216, 2)</f>
        <v>847428.57</v>
      </c>
      <c r="T216" s="55">
        <f>ROUND(I216*ROUND(Q216, 2), 2)</f>
        <v>660429</v>
      </c>
      <c r="U216" s="55">
        <f>S216+T216</f>
        <v>1507857.57</v>
      </c>
      <c r="V216" s="9">
        <f>ROUND(P216 / 1.2, 2)</f>
        <v>3705.09</v>
      </c>
      <c r="W216" s="9">
        <f>ROUND(Q216 / 1.2, 2)</f>
        <v>2887.5</v>
      </c>
      <c r="X216" s="9">
        <f>ROUND(R216 / 1.2, 2)</f>
        <v>6592.59</v>
      </c>
      <c r="Y216" s="9">
        <f t="shared" si="48"/>
        <v>706190.48</v>
      </c>
      <c r="Z216" s="9">
        <f>ROUND(T216 / 1.2, 2)</f>
        <v>550357.5</v>
      </c>
      <c r="AA216" s="9">
        <f>Y216+Z216</f>
        <v>1256547.98</v>
      </c>
      <c r="AD216" s="4">
        <v>304337619</v>
      </c>
      <c r="AE216" s="4">
        <v>21916289</v>
      </c>
      <c r="AG216" s="4" t="s">
        <v>529</v>
      </c>
      <c r="AH216" s="4" t="s">
        <v>530</v>
      </c>
      <c r="AI216" s="4" t="s">
        <v>260</v>
      </c>
    </row>
    <row r="217" spans="1:35" ht="90" x14ac:dyDescent="0.3">
      <c r="A217" s="51" t="s">
        <v>628</v>
      </c>
      <c r="B217" s="51"/>
      <c r="C217" s="47" t="s">
        <v>592</v>
      </c>
      <c r="D217" s="53"/>
      <c r="E217" s="53" t="s">
        <v>586</v>
      </c>
      <c r="F217" s="57" t="s">
        <v>369</v>
      </c>
      <c r="G217" s="58">
        <v>4</v>
      </c>
      <c r="H217" s="53"/>
      <c r="I217" s="58">
        <v>762.4</v>
      </c>
      <c r="J217" s="59">
        <v>1100.4000000000001</v>
      </c>
      <c r="K217" s="60"/>
      <c r="L217" s="60"/>
      <c r="M217" s="59">
        <f>ROUND(ROUND(J217, 2)*I217, 2)</f>
        <v>838944.96</v>
      </c>
      <c r="N217" s="60"/>
      <c r="O217" s="60"/>
      <c r="P217" s="59">
        <v>1100.4000000000001</v>
      </c>
      <c r="Q217" s="60"/>
      <c r="R217" s="60"/>
      <c r="S217" s="59">
        <f>ROUND(ROUND(P217, 2)*I217, 2)</f>
        <v>838944.96</v>
      </c>
      <c r="T217" s="60"/>
      <c r="U217" s="61"/>
      <c r="V217" s="9">
        <f>ROUND(ROUND(P217, 2)/1.2, 2)</f>
        <v>917</v>
      </c>
      <c r="Y217" s="9">
        <f t="shared" si="48"/>
        <v>699120.8</v>
      </c>
      <c r="AD217" s="4" t="s">
        <v>629</v>
      </c>
      <c r="AE217" s="4" t="s">
        <v>630</v>
      </c>
      <c r="AF217" s="4" t="s">
        <v>595</v>
      </c>
    </row>
    <row r="218" spans="1:35" ht="36" x14ac:dyDescent="0.3">
      <c r="A218" s="51" t="s">
        <v>631</v>
      </c>
      <c r="B218" s="51"/>
      <c r="C218" s="47" t="s">
        <v>542</v>
      </c>
      <c r="D218" s="53"/>
      <c r="E218" s="53"/>
      <c r="F218" s="57" t="s">
        <v>265</v>
      </c>
      <c r="G218" s="58">
        <v>1.2</v>
      </c>
      <c r="H218" s="53"/>
      <c r="I218" s="62">
        <v>228.72</v>
      </c>
      <c r="J218" s="59">
        <v>16.12</v>
      </c>
      <c r="K218" s="60"/>
      <c r="L218" s="60"/>
      <c r="M218" s="59">
        <f>ROUND(ROUND(J218, 2)*I218, 2)</f>
        <v>3686.97</v>
      </c>
      <c r="N218" s="60"/>
      <c r="O218" s="60"/>
      <c r="P218" s="59">
        <v>16.11</v>
      </c>
      <c r="Q218" s="60"/>
      <c r="R218" s="60"/>
      <c r="S218" s="59">
        <f>ROUND(ROUND(P218, 2)*I218, 2)</f>
        <v>3684.68</v>
      </c>
      <c r="T218" s="60"/>
      <c r="U218" s="61"/>
      <c r="V218" s="9">
        <f>ROUND(ROUND(P218, 2)/1.2, 2)</f>
        <v>13.43</v>
      </c>
      <c r="Y218" s="9">
        <f t="shared" si="48"/>
        <v>3070.57</v>
      </c>
      <c r="AD218" s="4" t="s">
        <v>632</v>
      </c>
      <c r="AE218" s="4" t="s">
        <v>633</v>
      </c>
      <c r="AF218" s="4" t="s">
        <v>545</v>
      </c>
    </row>
    <row r="219" spans="1:35" ht="18" x14ac:dyDescent="0.3">
      <c r="A219" s="51" t="s">
        <v>634</v>
      </c>
      <c r="B219" s="51"/>
      <c r="C219" s="56" t="s">
        <v>549</v>
      </c>
      <c r="D219" s="53"/>
      <c r="E219" s="53"/>
      <c r="F219" s="57" t="s">
        <v>265</v>
      </c>
      <c r="G219" s="58">
        <v>0.25</v>
      </c>
      <c r="H219" s="53"/>
      <c r="I219" s="58">
        <v>47.65</v>
      </c>
      <c r="J219" s="59">
        <v>47.44</v>
      </c>
      <c r="K219" s="60"/>
      <c r="L219" s="60"/>
      <c r="M219" s="59">
        <f>ROUND(ROUND(J219, 2)*I219, 2)</f>
        <v>2260.52</v>
      </c>
      <c r="N219" s="60"/>
      <c r="O219" s="60"/>
      <c r="P219" s="59">
        <v>47.44</v>
      </c>
      <c r="Q219" s="60"/>
      <c r="R219" s="60"/>
      <c r="S219" s="59">
        <f>ROUND(ROUND(P219, 2)*I219, 2)</f>
        <v>2260.52</v>
      </c>
      <c r="T219" s="60"/>
      <c r="U219" s="61"/>
      <c r="V219" s="9">
        <f>ROUND(ROUND(P219, 2)/1.2, 2)</f>
        <v>39.53</v>
      </c>
      <c r="Y219" s="9">
        <f t="shared" si="48"/>
        <v>1883.77</v>
      </c>
      <c r="AD219" s="4" t="s">
        <v>635</v>
      </c>
      <c r="AE219" s="4" t="s">
        <v>636</v>
      </c>
      <c r="AF219" s="4" t="s">
        <v>552</v>
      </c>
    </row>
    <row r="220" spans="1:35" ht="36" x14ac:dyDescent="0.3">
      <c r="A220" s="51" t="s">
        <v>637</v>
      </c>
      <c r="B220" s="51"/>
      <c r="C220" s="56" t="s">
        <v>556</v>
      </c>
      <c r="D220" s="53"/>
      <c r="E220" s="53"/>
      <c r="F220" s="57" t="s">
        <v>265</v>
      </c>
      <c r="G220" s="58">
        <v>0.15</v>
      </c>
      <c r="H220" s="53"/>
      <c r="I220" s="58">
        <v>28.59</v>
      </c>
      <c r="J220" s="59">
        <v>88.8</v>
      </c>
      <c r="K220" s="60"/>
      <c r="L220" s="60"/>
      <c r="M220" s="59">
        <f>ROUND(ROUND(J220, 2)*I220, 2)</f>
        <v>2538.79</v>
      </c>
      <c r="N220" s="60"/>
      <c r="O220" s="60"/>
      <c r="P220" s="59">
        <v>88.8</v>
      </c>
      <c r="Q220" s="60"/>
      <c r="R220" s="60"/>
      <c r="S220" s="59">
        <f>ROUND(ROUND(P220, 2)*I220, 2)</f>
        <v>2538.79</v>
      </c>
      <c r="T220" s="60"/>
      <c r="U220" s="61"/>
      <c r="V220" s="9">
        <f>ROUND(ROUND(P220, 2)/1.2, 2)</f>
        <v>74</v>
      </c>
      <c r="Y220" s="9">
        <f t="shared" si="48"/>
        <v>2115.66</v>
      </c>
      <c r="AD220" s="4" t="s">
        <v>638</v>
      </c>
      <c r="AE220" s="4" t="s">
        <v>639</v>
      </c>
      <c r="AF220" s="4" t="s">
        <v>559</v>
      </c>
    </row>
    <row r="221" spans="1:35" ht="36" x14ac:dyDescent="0.3">
      <c r="A221" s="51" t="s">
        <v>640</v>
      </c>
      <c r="B221" s="51" t="s">
        <v>527</v>
      </c>
      <c r="C221" s="52" t="s">
        <v>528</v>
      </c>
      <c r="D221" s="53"/>
      <c r="E221" s="53" t="s">
        <v>641</v>
      </c>
      <c r="F221" s="53" t="s">
        <v>59</v>
      </c>
      <c r="G221" s="54">
        <v>1</v>
      </c>
      <c r="H221" s="53"/>
      <c r="I221" s="54">
        <v>129.4</v>
      </c>
      <c r="J221" s="55">
        <f>IFERROR(ROUND(SUM(M222,M223,M224,M225)/I221, 2),0)</f>
        <v>4446.12</v>
      </c>
      <c r="K221" s="55">
        <v>2310</v>
      </c>
      <c r="L221" s="55">
        <f>J221+ROUND(K221, 2)</f>
        <v>6756.12</v>
      </c>
      <c r="M221" s="55">
        <f>ROUND(J221*I221, 2)</f>
        <v>575327.93000000005</v>
      </c>
      <c r="N221" s="55">
        <f>ROUND(I221*ROUND(K221, 2), 2)</f>
        <v>298914</v>
      </c>
      <c r="O221" s="55">
        <f>M221+N221</f>
        <v>874241.93</v>
      </c>
      <c r="P221" s="55">
        <f>IFERROR(ROUND(SUM(S222,S223,S224,S225)/I221, 2),0)</f>
        <v>4446.1099999999997</v>
      </c>
      <c r="Q221" s="55">
        <v>3465</v>
      </c>
      <c r="R221" s="55">
        <f>P221+ROUND(Q221, 2)</f>
        <v>7911.11</v>
      </c>
      <c r="S221" s="55">
        <f>ROUND(P221*I221, 2)</f>
        <v>575326.63</v>
      </c>
      <c r="T221" s="55">
        <f>ROUND(I221*ROUND(Q221, 2), 2)</f>
        <v>448371</v>
      </c>
      <c r="U221" s="55">
        <f>S221+T221</f>
        <v>1023697.63</v>
      </c>
      <c r="V221" s="9">
        <f>ROUND(P221 / 1.2, 2)</f>
        <v>3705.09</v>
      </c>
      <c r="W221" s="9">
        <f>ROUND(Q221 / 1.2, 2)</f>
        <v>2887.5</v>
      </c>
      <c r="X221" s="9">
        <f>ROUND(R221 / 1.2, 2)</f>
        <v>6592.59</v>
      </c>
      <c r="Y221" s="9">
        <f t="shared" si="48"/>
        <v>479438.86</v>
      </c>
      <c r="Z221" s="9">
        <f>ROUND(T221 / 1.2, 2)</f>
        <v>373642.5</v>
      </c>
      <c r="AA221" s="9">
        <f>Y221+Z221</f>
        <v>853081.36</v>
      </c>
      <c r="AD221" s="4">
        <v>304337620</v>
      </c>
      <c r="AE221" s="4">
        <v>21935199</v>
      </c>
      <c r="AG221" s="4" t="s">
        <v>529</v>
      </c>
      <c r="AH221" s="4" t="s">
        <v>530</v>
      </c>
      <c r="AI221" s="4" t="s">
        <v>260</v>
      </c>
    </row>
    <row r="222" spans="1:35" ht="36" x14ac:dyDescent="0.3">
      <c r="A222" s="51" t="s">
        <v>642</v>
      </c>
      <c r="B222" s="51"/>
      <c r="C222" s="56" t="s">
        <v>556</v>
      </c>
      <c r="D222" s="53"/>
      <c r="E222" s="53"/>
      <c r="F222" s="57" t="s">
        <v>265</v>
      </c>
      <c r="G222" s="58">
        <v>0.15</v>
      </c>
      <c r="H222" s="53"/>
      <c r="I222" s="58">
        <v>19.41</v>
      </c>
      <c r="J222" s="59">
        <v>88.8</v>
      </c>
      <c r="K222" s="60"/>
      <c r="L222" s="60"/>
      <c r="M222" s="59">
        <f>ROUND(ROUND(J222, 2)*I222, 2)</f>
        <v>1723.61</v>
      </c>
      <c r="N222" s="60"/>
      <c r="O222" s="60"/>
      <c r="P222" s="59">
        <v>88.8</v>
      </c>
      <c r="Q222" s="60"/>
      <c r="R222" s="60"/>
      <c r="S222" s="59">
        <f>ROUND(ROUND(P222, 2)*I222, 2)</f>
        <v>1723.61</v>
      </c>
      <c r="T222" s="60"/>
      <c r="U222" s="61"/>
      <c r="V222" s="9">
        <f>ROUND(ROUND(P222, 2)/1.2, 2)</f>
        <v>74</v>
      </c>
      <c r="Y222" s="9">
        <f t="shared" si="48"/>
        <v>1436.34</v>
      </c>
      <c r="AD222" s="4" t="s">
        <v>643</v>
      </c>
      <c r="AE222" s="4" t="s">
        <v>644</v>
      </c>
      <c r="AF222" s="4" t="s">
        <v>559</v>
      </c>
    </row>
    <row r="223" spans="1:35" ht="18" x14ac:dyDescent="0.3">
      <c r="A223" s="51" t="s">
        <v>645</v>
      </c>
      <c r="B223" s="51"/>
      <c r="C223" s="56" t="s">
        <v>549</v>
      </c>
      <c r="D223" s="53"/>
      <c r="E223" s="53"/>
      <c r="F223" s="57" t="s">
        <v>265</v>
      </c>
      <c r="G223" s="58">
        <v>0.25</v>
      </c>
      <c r="H223" s="53"/>
      <c r="I223" s="58">
        <v>32.35</v>
      </c>
      <c r="J223" s="59">
        <v>47.44</v>
      </c>
      <c r="K223" s="60"/>
      <c r="L223" s="60"/>
      <c r="M223" s="59">
        <f>ROUND(ROUND(J223, 2)*I223, 2)</f>
        <v>1534.68</v>
      </c>
      <c r="N223" s="60"/>
      <c r="O223" s="60"/>
      <c r="P223" s="59">
        <v>47.44</v>
      </c>
      <c r="Q223" s="60"/>
      <c r="R223" s="60"/>
      <c r="S223" s="59">
        <f>ROUND(ROUND(P223, 2)*I223, 2)</f>
        <v>1534.68</v>
      </c>
      <c r="T223" s="60"/>
      <c r="U223" s="61"/>
      <c r="V223" s="9">
        <f>ROUND(ROUND(P223, 2)/1.2, 2)</f>
        <v>39.53</v>
      </c>
      <c r="Y223" s="9">
        <f t="shared" si="48"/>
        <v>1278.9000000000001</v>
      </c>
      <c r="AD223" s="4" t="s">
        <v>646</v>
      </c>
      <c r="AE223" s="4" t="s">
        <v>647</v>
      </c>
      <c r="AF223" s="4" t="s">
        <v>552</v>
      </c>
    </row>
    <row r="224" spans="1:35" ht="36" x14ac:dyDescent="0.3">
      <c r="A224" s="51" t="s">
        <v>648</v>
      </c>
      <c r="B224" s="51"/>
      <c r="C224" s="47" t="s">
        <v>542</v>
      </c>
      <c r="D224" s="53"/>
      <c r="E224" s="53"/>
      <c r="F224" s="57" t="s">
        <v>265</v>
      </c>
      <c r="G224" s="58">
        <v>1.2</v>
      </c>
      <c r="H224" s="53"/>
      <c r="I224" s="62">
        <v>155.28</v>
      </c>
      <c r="J224" s="59">
        <v>16.12</v>
      </c>
      <c r="K224" s="60"/>
      <c r="L224" s="60"/>
      <c r="M224" s="59">
        <f>ROUND(ROUND(J224, 2)*I224, 2)</f>
        <v>2503.11</v>
      </c>
      <c r="N224" s="60"/>
      <c r="O224" s="60"/>
      <c r="P224" s="59">
        <v>16.11</v>
      </c>
      <c r="Q224" s="60"/>
      <c r="R224" s="60"/>
      <c r="S224" s="59">
        <f>ROUND(ROUND(P224, 2)*I224, 2)</f>
        <v>2501.56</v>
      </c>
      <c r="T224" s="60"/>
      <c r="U224" s="61"/>
      <c r="V224" s="9">
        <f>ROUND(ROUND(P224, 2)/1.2, 2)</f>
        <v>13.43</v>
      </c>
      <c r="Y224" s="9">
        <f t="shared" si="48"/>
        <v>2084.63</v>
      </c>
      <c r="AD224" s="4" t="s">
        <v>649</v>
      </c>
      <c r="AE224" s="4" t="s">
        <v>650</v>
      </c>
      <c r="AF224" s="4" t="s">
        <v>545</v>
      </c>
    </row>
    <row r="225" spans="1:35" ht="72" x14ac:dyDescent="0.3">
      <c r="A225" s="51" t="s">
        <v>651</v>
      </c>
      <c r="B225" s="51"/>
      <c r="C225" s="47" t="s">
        <v>592</v>
      </c>
      <c r="D225" s="53"/>
      <c r="E225" s="53" t="s">
        <v>597</v>
      </c>
      <c r="F225" s="57" t="s">
        <v>369</v>
      </c>
      <c r="G225" s="58">
        <v>4</v>
      </c>
      <c r="H225" s="53"/>
      <c r="I225" s="58">
        <v>517.6</v>
      </c>
      <c r="J225" s="59">
        <v>1100.4000000000001</v>
      </c>
      <c r="K225" s="60"/>
      <c r="L225" s="60"/>
      <c r="M225" s="59">
        <f>ROUND(ROUND(J225, 2)*I225, 2)</f>
        <v>569567.04</v>
      </c>
      <c r="N225" s="60"/>
      <c r="O225" s="60"/>
      <c r="P225" s="59">
        <v>1100.4000000000001</v>
      </c>
      <c r="Q225" s="60"/>
      <c r="R225" s="60"/>
      <c r="S225" s="59">
        <f>ROUND(ROUND(P225, 2)*I225, 2)</f>
        <v>569567.04</v>
      </c>
      <c r="T225" s="60"/>
      <c r="U225" s="61"/>
      <c r="V225" s="9">
        <f>ROUND(ROUND(P225, 2)/1.2, 2)</f>
        <v>917</v>
      </c>
      <c r="Y225" s="9">
        <f t="shared" si="48"/>
        <v>474639.2</v>
      </c>
      <c r="AD225" s="4" t="s">
        <v>652</v>
      </c>
      <c r="AE225" s="4" t="s">
        <v>653</v>
      </c>
      <c r="AF225" s="4" t="s">
        <v>595</v>
      </c>
    </row>
    <row r="226" spans="1:35" ht="36" x14ac:dyDescent="0.3">
      <c r="A226" s="17" t="s">
        <v>654</v>
      </c>
      <c r="B226" s="17" t="s">
        <v>655</v>
      </c>
      <c r="C226" s="18" t="s">
        <v>656</v>
      </c>
      <c r="D226" s="19"/>
      <c r="E226" s="19"/>
      <c r="F226" s="19" t="s">
        <v>82</v>
      </c>
      <c r="G226" s="20">
        <v>1</v>
      </c>
      <c r="H226" s="19"/>
      <c r="I226" s="21">
        <v>0</v>
      </c>
      <c r="J226" s="22">
        <f>IFERROR(ROUND(SUM(M228,M230,M232,M234)/I226, 2),0)</f>
        <v>0</v>
      </c>
      <c r="K226" s="22">
        <v>473</v>
      </c>
      <c r="L226" s="22">
        <f>J226+ROUND(K226, 2)</f>
        <v>473</v>
      </c>
      <c r="M226" s="22">
        <f>ROUND(J226*I226, 2)</f>
        <v>0</v>
      </c>
      <c r="N226" s="22">
        <f>ROUND(I226*ROUND(K226, 2), 2)</f>
        <v>0</v>
      </c>
      <c r="O226" s="22">
        <f>M226+N226</f>
        <v>0</v>
      </c>
      <c r="P226" s="22">
        <f>IFERROR(ROUND(SUM(S228,S230,S232,S234)/I226, 2),0)</f>
        <v>0</v>
      </c>
      <c r="Q226" s="22">
        <v>473</v>
      </c>
      <c r="R226" s="22">
        <f>P226+ROUND(Q226, 2)</f>
        <v>473</v>
      </c>
      <c r="S226" s="22">
        <f>ROUND(P226*I226, 2)</f>
        <v>0</v>
      </c>
      <c r="T226" s="22">
        <f>ROUND(I226*ROUND(Q226, 2), 2)</f>
        <v>0</v>
      </c>
      <c r="U226" s="22">
        <f>S226+T226</f>
        <v>0</v>
      </c>
      <c r="V226" s="9">
        <f>ROUND(P226 / 1.2, 2)</f>
        <v>0</v>
      </c>
      <c r="W226" s="9">
        <f>ROUND(Q226 / 1.2, 2)</f>
        <v>394.17</v>
      </c>
      <c r="X226" s="9">
        <f>ROUND(R226 / 1.2, 2)</f>
        <v>394.17</v>
      </c>
      <c r="Y226" s="9">
        <f t="shared" si="48"/>
        <v>0</v>
      </c>
      <c r="Z226" s="9">
        <f>ROUND(T226 / 1.2, 2)</f>
        <v>0</v>
      </c>
      <c r="AA226" s="9">
        <f>Y226+Z226</f>
        <v>0</v>
      </c>
      <c r="AD226" s="4">
        <v>304337551</v>
      </c>
      <c r="AE226" s="4">
        <v>20322535</v>
      </c>
      <c r="AG226" s="4" t="s">
        <v>657</v>
      </c>
      <c r="AH226" s="4" t="s">
        <v>658</v>
      </c>
      <c r="AI226" s="4" t="s">
        <v>260</v>
      </c>
    </row>
    <row r="227" spans="1:35" ht="36" x14ac:dyDescent="0.3">
      <c r="A227" s="23" t="s">
        <v>659</v>
      </c>
      <c r="B227" s="23" t="s">
        <v>655</v>
      </c>
      <c r="C227" s="24" t="s">
        <v>656</v>
      </c>
      <c r="D227" s="25"/>
      <c r="E227" s="25" t="s">
        <v>660</v>
      </c>
      <c r="F227" s="25" t="s">
        <v>82</v>
      </c>
      <c r="G227" s="26">
        <v>1</v>
      </c>
      <c r="H227" s="25"/>
      <c r="I227" s="26">
        <v>103.54</v>
      </c>
      <c r="J227" s="27">
        <v>0</v>
      </c>
      <c r="K227" s="27">
        <v>473</v>
      </c>
      <c r="L227" s="27"/>
      <c r="M227" s="27">
        <v>0</v>
      </c>
      <c r="N227" s="27"/>
      <c r="O227" s="27"/>
      <c r="P227" s="27">
        <v>0</v>
      </c>
      <c r="Q227" s="27">
        <v>473</v>
      </c>
      <c r="R227" s="27"/>
      <c r="S227" s="27">
        <v>0</v>
      </c>
      <c r="T227" s="27"/>
      <c r="U227" s="27"/>
      <c r="V227" s="9"/>
      <c r="W227" s="9">
        <f>ROUND(Q227 / 1.2, 2)</f>
        <v>394.17</v>
      </c>
      <c r="X227" s="9" t="e">
        <f>ROUND(R227 / 1.2, 2)</f>
        <v>#VALUE!</v>
      </c>
      <c r="Y227" s="9"/>
      <c r="Z227" s="9" t="e">
        <f>ROUND(T227 / 1.2, 2)</f>
        <v>#VALUE!</v>
      </c>
      <c r="AA227" s="9"/>
      <c r="AD227" s="4">
        <v>278286203</v>
      </c>
      <c r="AE227" s="4">
        <v>20322535</v>
      </c>
      <c r="AG227" s="4" t="s">
        <v>657</v>
      </c>
      <c r="AH227" s="4" t="s">
        <v>658</v>
      </c>
      <c r="AI227" s="4"/>
    </row>
    <row r="228" spans="1:35" ht="36" x14ac:dyDescent="0.3">
      <c r="A228" s="17" t="s">
        <v>661</v>
      </c>
      <c r="B228" s="17"/>
      <c r="C228" s="34" t="s">
        <v>662</v>
      </c>
      <c r="D228" s="19"/>
      <c r="E228" s="19"/>
      <c r="F228" s="35" t="s">
        <v>265</v>
      </c>
      <c r="G228" s="36">
        <v>0.7</v>
      </c>
      <c r="H228" s="19"/>
      <c r="I228" s="48">
        <v>0</v>
      </c>
      <c r="J228" s="38">
        <v>16.96</v>
      </c>
      <c r="K228" s="39"/>
      <c r="L228" s="39"/>
      <c r="M228" s="38">
        <f t="shared" ref="M228:M235" si="49">ROUND(ROUND(J228, 2)*I228, 2)</f>
        <v>0</v>
      </c>
      <c r="N228" s="39"/>
      <c r="O228" s="39"/>
      <c r="P228" s="38">
        <v>16.96</v>
      </c>
      <c r="Q228" s="39"/>
      <c r="R228" s="39"/>
      <c r="S228" s="38">
        <f t="shared" ref="S228:S235" si="50">ROUND(ROUND(P228, 2)*I228, 2)</f>
        <v>0</v>
      </c>
      <c r="T228" s="39"/>
      <c r="U228" s="40"/>
      <c r="V228" s="9">
        <f t="shared" ref="V228:V235" si="51">ROUND(ROUND(P228, 2)/1.2, 2)</f>
        <v>14.13</v>
      </c>
      <c r="Y228" s="9">
        <f t="shared" ref="Y228:Y236" si="52">ROUND(S228 / 1.2, 2)</f>
        <v>0</v>
      </c>
      <c r="AD228" s="4" t="s">
        <v>663</v>
      </c>
      <c r="AE228" s="4" t="s">
        <v>664</v>
      </c>
      <c r="AF228" s="4" t="s">
        <v>665</v>
      </c>
    </row>
    <row r="229" spans="1:35" ht="36" x14ac:dyDescent="0.3">
      <c r="A229" s="23" t="s">
        <v>666</v>
      </c>
      <c r="B229" s="23"/>
      <c r="C229" s="41" t="s">
        <v>662</v>
      </c>
      <c r="D229" s="25"/>
      <c r="E229" s="25"/>
      <c r="F229" s="42" t="s">
        <v>265</v>
      </c>
      <c r="G229" s="43">
        <v>0.7</v>
      </c>
      <c r="H229" s="25"/>
      <c r="I229" s="50">
        <v>72.477999999999994</v>
      </c>
      <c r="J229" s="44">
        <v>16.96</v>
      </c>
      <c r="K229" s="45"/>
      <c r="L229" s="45"/>
      <c r="M229" s="44">
        <f t="shared" si="49"/>
        <v>1229.23</v>
      </c>
      <c r="N229" s="45"/>
      <c r="O229" s="45"/>
      <c r="P229" s="44">
        <v>16.96</v>
      </c>
      <c r="Q229" s="45"/>
      <c r="R229" s="45"/>
      <c r="S229" s="44">
        <f t="shared" si="50"/>
        <v>1229.23</v>
      </c>
      <c r="T229" s="45"/>
      <c r="U229" s="46"/>
      <c r="V229" s="9">
        <f t="shared" si="51"/>
        <v>14.13</v>
      </c>
      <c r="Y229" s="9">
        <f t="shared" si="52"/>
        <v>1024.3599999999999</v>
      </c>
      <c r="AD229" s="4" t="s">
        <v>667</v>
      </c>
      <c r="AE229" s="4" t="s">
        <v>664</v>
      </c>
      <c r="AF229" s="4" t="s">
        <v>665</v>
      </c>
    </row>
    <row r="230" spans="1:35" ht="36" x14ac:dyDescent="0.3">
      <c r="A230" s="17" t="s">
        <v>668</v>
      </c>
      <c r="B230" s="17"/>
      <c r="C230" s="34" t="s">
        <v>669</v>
      </c>
      <c r="D230" s="19"/>
      <c r="E230" s="19"/>
      <c r="F230" s="35" t="s">
        <v>369</v>
      </c>
      <c r="G230" s="36">
        <v>1.84</v>
      </c>
      <c r="H230" s="19"/>
      <c r="I230" s="48">
        <v>0</v>
      </c>
      <c r="J230" s="38">
        <v>450.95</v>
      </c>
      <c r="K230" s="39"/>
      <c r="L230" s="39"/>
      <c r="M230" s="38">
        <f t="shared" si="49"/>
        <v>0</v>
      </c>
      <c r="N230" s="39"/>
      <c r="O230" s="39"/>
      <c r="P230" s="38">
        <v>450.95</v>
      </c>
      <c r="Q230" s="39"/>
      <c r="R230" s="39"/>
      <c r="S230" s="38">
        <f t="shared" si="50"/>
        <v>0</v>
      </c>
      <c r="T230" s="39"/>
      <c r="U230" s="40"/>
      <c r="V230" s="9">
        <f t="shared" si="51"/>
        <v>375.79</v>
      </c>
      <c r="Y230" s="9">
        <f t="shared" si="52"/>
        <v>0</v>
      </c>
      <c r="AD230" s="4" t="s">
        <v>670</v>
      </c>
      <c r="AE230" s="4" t="s">
        <v>671</v>
      </c>
      <c r="AF230" s="4" t="s">
        <v>672</v>
      </c>
    </row>
    <row r="231" spans="1:35" ht="90" x14ac:dyDescent="0.3">
      <c r="A231" s="23" t="s">
        <v>673</v>
      </c>
      <c r="B231" s="23"/>
      <c r="C231" s="41" t="s">
        <v>669</v>
      </c>
      <c r="D231" s="25"/>
      <c r="E231" s="25" t="s">
        <v>674</v>
      </c>
      <c r="F231" s="42" t="s">
        <v>369</v>
      </c>
      <c r="G231" s="43">
        <v>1.84</v>
      </c>
      <c r="H231" s="25"/>
      <c r="I231" s="50">
        <v>190.51400000000001</v>
      </c>
      <c r="J231" s="44">
        <v>450.95</v>
      </c>
      <c r="K231" s="45"/>
      <c r="L231" s="45"/>
      <c r="M231" s="44">
        <f t="shared" si="49"/>
        <v>85912.29</v>
      </c>
      <c r="N231" s="45"/>
      <c r="O231" s="45"/>
      <c r="P231" s="44">
        <v>450.95</v>
      </c>
      <c r="Q231" s="45"/>
      <c r="R231" s="45"/>
      <c r="S231" s="44">
        <f t="shared" si="50"/>
        <v>85912.29</v>
      </c>
      <c r="T231" s="45"/>
      <c r="U231" s="46"/>
      <c r="V231" s="9">
        <f t="shared" si="51"/>
        <v>375.79</v>
      </c>
      <c r="Y231" s="9">
        <f t="shared" si="52"/>
        <v>71593.58</v>
      </c>
      <c r="AD231" s="4" t="s">
        <v>675</v>
      </c>
      <c r="AE231" s="4" t="s">
        <v>671</v>
      </c>
      <c r="AF231" s="4" t="s">
        <v>672</v>
      </c>
    </row>
    <row r="232" spans="1:35" ht="18" x14ac:dyDescent="0.3">
      <c r="A232" s="17" t="s">
        <v>676</v>
      </c>
      <c r="B232" s="17"/>
      <c r="C232" s="34" t="s">
        <v>549</v>
      </c>
      <c r="D232" s="19"/>
      <c r="E232" s="19"/>
      <c r="F232" s="35" t="s">
        <v>265</v>
      </c>
      <c r="G232" s="36">
        <v>0.04</v>
      </c>
      <c r="H232" s="19"/>
      <c r="I232" s="37">
        <v>0</v>
      </c>
      <c r="J232" s="38">
        <v>47.44</v>
      </c>
      <c r="K232" s="39"/>
      <c r="L232" s="39"/>
      <c r="M232" s="38">
        <f t="shared" si="49"/>
        <v>0</v>
      </c>
      <c r="N232" s="39"/>
      <c r="O232" s="39"/>
      <c r="P232" s="38">
        <v>47.44</v>
      </c>
      <c r="Q232" s="39"/>
      <c r="R232" s="39"/>
      <c r="S232" s="38">
        <f t="shared" si="50"/>
        <v>0</v>
      </c>
      <c r="T232" s="39"/>
      <c r="U232" s="40"/>
      <c r="V232" s="9">
        <f t="shared" si="51"/>
        <v>39.53</v>
      </c>
      <c r="Y232" s="9">
        <f t="shared" si="52"/>
        <v>0</v>
      </c>
      <c r="AD232" s="4" t="s">
        <v>677</v>
      </c>
      <c r="AE232" s="4" t="s">
        <v>678</v>
      </c>
      <c r="AF232" s="4" t="s">
        <v>552</v>
      </c>
    </row>
    <row r="233" spans="1:35" ht="18" x14ac:dyDescent="0.3">
      <c r="A233" s="23" t="s">
        <v>679</v>
      </c>
      <c r="B233" s="23"/>
      <c r="C233" s="41" t="s">
        <v>549</v>
      </c>
      <c r="D233" s="25"/>
      <c r="E233" s="25"/>
      <c r="F233" s="42" t="s">
        <v>265</v>
      </c>
      <c r="G233" s="43">
        <v>0.04</v>
      </c>
      <c r="H233" s="25"/>
      <c r="I233" s="43">
        <v>4.1420000000000003</v>
      </c>
      <c r="J233" s="44">
        <v>47.44</v>
      </c>
      <c r="K233" s="45"/>
      <c r="L233" s="45"/>
      <c r="M233" s="44">
        <f t="shared" si="49"/>
        <v>196.5</v>
      </c>
      <c r="N233" s="45"/>
      <c r="O233" s="45"/>
      <c r="P233" s="44">
        <v>47.44</v>
      </c>
      <c r="Q233" s="45"/>
      <c r="R233" s="45"/>
      <c r="S233" s="44">
        <f t="shared" si="50"/>
        <v>196.5</v>
      </c>
      <c r="T233" s="45"/>
      <c r="U233" s="46"/>
      <c r="V233" s="9">
        <f t="shared" si="51"/>
        <v>39.53</v>
      </c>
      <c r="Y233" s="9">
        <f t="shared" si="52"/>
        <v>163.75</v>
      </c>
      <c r="AD233" s="4" t="s">
        <v>680</v>
      </c>
      <c r="AE233" s="4" t="s">
        <v>678</v>
      </c>
      <c r="AF233" s="4" t="s">
        <v>552</v>
      </c>
    </row>
    <row r="234" spans="1:35" ht="36" x14ac:dyDescent="0.3">
      <c r="A234" s="17" t="s">
        <v>681</v>
      </c>
      <c r="B234" s="17"/>
      <c r="C234" s="34" t="s">
        <v>682</v>
      </c>
      <c r="D234" s="19"/>
      <c r="E234" s="19"/>
      <c r="F234" s="35" t="s">
        <v>265</v>
      </c>
      <c r="G234" s="36">
        <v>1.4999999999999999E-2</v>
      </c>
      <c r="H234" s="19"/>
      <c r="I234" s="37">
        <v>0</v>
      </c>
      <c r="J234" s="38">
        <v>88.8</v>
      </c>
      <c r="K234" s="39"/>
      <c r="L234" s="39"/>
      <c r="M234" s="38">
        <f t="shared" si="49"/>
        <v>0</v>
      </c>
      <c r="N234" s="39"/>
      <c r="O234" s="39"/>
      <c r="P234" s="38">
        <v>88.8</v>
      </c>
      <c r="Q234" s="39"/>
      <c r="R234" s="39"/>
      <c r="S234" s="38">
        <f t="shared" si="50"/>
        <v>0</v>
      </c>
      <c r="T234" s="39"/>
      <c r="U234" s="40"/>
      <c r="V234" s="9">
        <f t="shared" si="51"/>
        <v>74</v>
      </c>
      <c r="Y234" s="9">
        <f t="shared" si="52"/>
        <v>0</v>
      </c>
      <c r="AD234" s="4" t="s">
        <v>683</v>
      </c>
      <c r="AE234" s="4" t="s">
        <v>684</v>
      </c>
      <c r="AF234" s="4" t="s">
        <v>685</v>
      </c>
    </row>
    <row r="235" spans="1:35" ht="36" x14ac:dyDescent="0.3">
      <c r="A235" s="23" t="s">
        <v>686</v>
      </c>
      <c r="B235" s="23"/>
      <c r="C235" s="41" t="s">
        <v>682</v>
      </c>
      <c r="D235" s="25"/>
      <c r="E235" s="25"/>
      <c r="F235" s="42" t="s">
        <v>265</v>
      </c>
      <c r="G235" s="43">
        <v>1.4999999999999999E-2</v>
      </c>
      <c r="H235" s="25"/>
      <c r="I235" s="43">
        <v>1.5529999999999999</v>
      </c>
      <c r="J235" s="44">
        <v>88.8</v>
      </c>
      <c r="K235" s="45"/>
      <c r="L235" s="45"/>
      <c r="M235" s="44">
        <f t="shared" si="49"/>
        <v>137.91</v>
      </c>
      <c r="N235" s="45"/>
      <c r="O235" s="45"/>
      <c r="P235" s="44">
        <v>88.8</v>
      </c>
      <c r="Q235" s="45"/>
      <c r="R235" s="45"/>
      <c r="S235" s="44">
        <f t="shared" si="50"/>
        <v>137.91</v>
      </c>
      <c r="T235" s="45"/>
      <c r="U235" s="46"/>
      <c r="V235" s="9">
        <f t="shared" si="51"/>
        <v>74</v>
      </c>
      <c r="Y235" s="9">
        <f t="shared" si="52"/>
        <v>114.93</v>
      </c>
      <c r="AD235" s="4" t="s">
        <v>687</v>
      </c>
      <c r="AE235" s="4" t="s">
        <v>684</v>
      </c>
      <c r="AF235" s="4" t="s">
        <v>685</v>
      </c>
    </row>
    <row r="236" spans="1:35" ht="36" x14ac:dyDescent="0.3">
      <c r="A236" s="17" t="s">
        <v>688</v>
      </c>
      <c r="B236" s="17" t="s">
        <v>655</v>
      </c>
      <c r="C236" s="18" t="s">
        <v>656</v>
      </c>
      <c r="D236" s="19"/>
      <c r="E236" s="19"/>
      <c r="F236" s="19" t="s">
        <v>82</v>
      </c>
      <c r="G236" s="20">
        <v>1</v>
      </c>
      <c r="H236" s="19"/>
      <c r="I236" s="21">
        <v>0</v>
      </c>
      <c r="J236" s="22">
        <f>IFERROR(ROUND(SUM(M238,M240,M242,M244)/I236, 2),0)</f>
        <v>0</v>
      </c>
      <c r="K236" s="22">
        <v>473</v>
      </c>
      <c r="L236" s="22">
        <f>J236+ROUND(K236, 2)</f>
        <v>473</v>
      </c>
      <c r="M236" s="22">
        <f>ROUND(J236*I236, 2)</f>
        <v>0</v>
      </c>
      <c r="N236" s="22">
        <f>ROUND(I236*ROUND(K236, 2), 2)</f>
        <v>0</v>
      </c>
      <c r="O236" s="22">
        <f>M236+N236</f>
        <v>0</v>
      </c>
      <c r="P236" s="22">
        <f>IFERROR(ROUND(SUM(S238,S240,S242,S244)/I236, 2),0)</f>
        <v>0</v>
      </c>
      <c r="Q236" s="22">
        <v>473</v>
      </c>
      <c r="R236" s="22">
        <f>P236+ROUND(Q236, 2)</f>
        <v>473</v>
      </c>
      <c r="S236" s="22">
        <f>ROUND(P236*I236, 2)</f>
        <v>0</v>
      </c>
      <c r="T236" s="22">
        <f>ROUND(I236*ROUND(Q236, 2), 2)</f>
        <v>0</v>
      </c>
      <c r="U236" s="22">
        <f>S236+T236</f>
        <v>0</v>
      </c>
      <c r="V236" s="9">
        <f>ROUND(P236 / 1.2, 2)</f>
        <v>0</v>
      </c>
      <c r="W236" s="9">
        <f>ROUND(Q236 / 1.2, 2)</f>
        <v>394.17</v>
      </c>
      <c r="X236" s="9">
        <f>ROUND(R236 / 1.2, 2)</f>
        <v>394.17</v>
      </c>
      <c r="Y236" s="9">
        <f t="shared" si="52"/>
        <v>0</v>
      </c>
      <c r="Z236" s="9">
        <f>ROUND(T236 / 1.2, 2)</f>
        <v>0</v>
      </c>
      <c r="AA236" s="9">
        <f>Y236+Z236</f>
        <v>0</v>
      </c>
      <c r="AD236" s="4">
        <v>304337621</v>
      </c>
      <c r="AE236" s="4">
        <v>20322536</v>
      </c>
      <c r="AG236" s="4" t="s">
        <v>657</v>
      </c>
      <c r="AH236" s="4" t="s">
        <v>658</v>
      </c>
      <c r="AI236" s="4" t="s">
        <v>260</v>
      </c>
    </row>
    <row r="237" spans="1:35" ht="36" x14ac:dyDescent="0.3">
      <c r="A237" s="23" t="s">
        <v>689</v>
      </c>
      <c r="B237" s="23" t="s">
        <v>655</v>
      </c>
      <c r="C237" s="24" t="s">
        <v>656</v>
      </c>
      <c r="D237" s="25"/>
      <c r="E237" s="25" t="s">
        <v>690</v>
      </c>
      <c r="F237" s="25" t="s">
        <v>82</v>
      </c>
      <c r="G237" s="26">
        <v>1</v>
      </c>
      <c r="H237" s="25"/>
      <c r="I237" s="26">
        <v>379.83</v>
      </c>
      <c r="J237" s="27">
        <v>0</v>
      </c>
      <c r="K237" s="27">
        <v>473</v>
      </c>
      <c r="L237" s="27"/>
      <c r="M237" s="27">
        <v>0</v>
      </c>
      <c r="N237" s="27"/>
      <c r="O237" s="27"/>
      <c r="P237" s="27">
        <v>0</v>
      </c>
      <c r="Q237" s="27">
        <v>473</v>
      </c>
      <c r="R237" s="27"/>
      <c r="S237" s="27">
        <v>0</v>
      </c>
      <c r="T237" s="27"/>
      <c r="U237" s="27"/>
      <c r="V237" s="9"/>
      <c r="W237" s="9">
        <f>ROUND(Q237 / 1.2, 2)</f>
        <v>394.17</v>
      </c>
      <c r="X237" s="9" t="e">
        <f>ROUND(R237 / 1.2, 2)</f>
        <v>#VALUE!</v>
      </c>
      <c r="Y237" s="9"/>
      <c r="Z237" s="9" t="e">
        <f>ROUND(T237 / 1.2, 2)</f>
        <v>#VALUE!</v>
      </c>
      <c r="AA237" s="9"/>
      <c r="AD237" s="4">
        <v>282588996</v>
      </c>
      <c r="AE237" s="4">
        <v>20322536</v>
      </c>
      <c r="AG237" s="4" t="s">
        <v>657</v>
      </c>
      <c r="AH237" s="4" t="s">
        <v>658</v>
      </c>
      <c r="AI237" s="4"/>
    </row>
    <row r="238" spans="1:35" ht="36" x14ac:dyDescent="0.3">
      <c r="A238" s="17" t="s">
        <v>691</v>
      </c>
      <c r="B238" s="17"/>
      <c r="C238" s="34" t="s">
        <v>682</v>
      </c>
      <c r="D238" s="19"/>
      <c r="E238" s="19"/>
      <c r="F238" s="35" t="s">
        <v>265</v>
      </c>
      <c r="G238" s="36">
        <v>1.4999999999999999E-2</v>
      </c>
      <c r="H238" s="19"/>
      <c r="I238" s="37">
        <v>0</v>
      </c>
      <c r="J238" s="38">
        <v>88.8</v>
      </c>
      <c r="K238" s="39"/>
      <c r="L238" s="39"/>
      <c r="M238" s="38">
        <f t="shared" ref="M238:M245" si="53">ROUND(ROUND(J238, 2)*I238, 2)</f>
        <v>0</v>
      </c>
      <c r="N238" s="39"/>
      <c r="O238" s="39"/>
      <c r="P238" s="38">
        <v>88.8</v>
      </c>
      <c r="Q238" s="39"/>
      <c r="R238" s="39"/>
      <c r="S238" s="38">
        <f t="shared" ref="S238:S245" si="54">ROUND(ROUND(P238, 2)*I238, 2)</f>
        <v>0</v>
      </c>
      <c r="T238" s="39"/>
      <c r="U238" s="40"/>
      <c r="V238" s="9">
        <f t="shared" ref="V238:V245" si="55">ROUND(ROUND(P238, 2)/1.2, 2)</f>
        <v>74</v>
      </c>
      <c r="Y238" s="9">
        <f t="shared" ref="Y238:Y246" si="56">ROUND(S238 / 1.2, 2)</f>
        <v>0</v>
      </c>
      <c r="AD238" s="4" t="s">
        <v>692</v>
      </c>
      <c r="AE238" s="4" t="s">
        <v>693</v>
      </c>
      <c r="AF238" s="4" t="s">
        <v>685</v>
      </c>
    </row>
    <row r="239" spans="1:35" ht="36" x14ac:dyDescent="0.3">
      <c r="A239" s="23" t="s">
        <v>694</v>
      </c>
      <c r="B239" s="23"/>
      <c r="C239" s="41" t="s">
        <v>682</v>
      </c>
      <c r="D239" s="25"/>
      <c r="E239" s="25"/>
      <c r="F239" s="42" t="s">
        <v>265</v>
      </c>
      <c r="G239" s="43">
        <v>1.4999999999999999E-2</v>
      </c>
      <c r="H239" s="25"/>
      <c r="I239" s="43">
        <v>5.6970000000000001</v>
      </c>
      <c r="J239" s="44">
        <v>88.8</v>
      </c>
      <c r="K239" s="45"/>
      <c r="L239" s="45"/>
      <c r="M239" s="44">
        <f t="shared" si="53"/>
        <v>505.89</v>
      </c>
      <c r="N239" s="45"/>
      <c r="O239" s="45"/>
      <c r="P239" s="44">
        <v>88.8</v>
      </c>
      <c r="Q239" s="45"/>
      <c r="R239" s="45"/>
      <c r="S239" s="44">
        <f t="shared" si="54"/>
        <v>505.89</v>
      </c>
      <c r="T239" s="45"/>
      <c r="U239" s="46"/>
      <c r="V239" s="9">
        <f t="shared" si="55"/>
        <v>74</v>
      </c>
      <c r="Y239" s="9">
        <f t="shared" si="56"/>
        <v>421.58</v>
      </c>
      <c r="AD239" s="4" t="s">
        <v>695</v>
      </c>
      <c r="AE239" s="4" t="s">
        <v>693</v>
      </c>
      <c r="AF239" s="4" t="s">
        <v>685</v>
      </c>
    </row>
    <row r="240" spans="1:35" ht="18" x14ac:dyDescent="0.3">
      <c r="A240" s="17" t="s">
        <v>696</v>
      </c>
      <c r="B240" s="17"/>
      <c r="C240" s="34" t="s">
        <v>549</v>
      </c>
      <c r="D240" s="19"/>
      <c r="E240" s="19"/>
      <c r="F240" s="35" t="s">
        <v>265</v>
      </c>
      <c r="G240" s="36">
        <v>0.04</v>
      </c>
      <c r="H240" s="19"/>
      <c r="I240" s="37">
        <v>0</v>
      </c>
      <c r="J240" s="38">
        <v>47.44</v>
      </c>
      <c r="K240" s="39"/>
      <c r="L240" s="39"/>
      <c r="M240" s="38">
        <f t="shared" si="53"/>
        <v>0</v>
      </c>
      <c r="N240" s="39"/>
      <c r="O240" s="39"/>
      <c r="P240" s="38">
        <v>47.44</v>
      </c>
      <c r="Q240" s="39"/>
      <c r="R240" s="39"/>
      <c r="S240" s="38">
        <f t="shared" si="54"/>
        <v>0</v>
      </c>
      <c r="T240" s="39"/>
      <c r="U240" s="40"/>
      <c r="V240" s="9">
        <f t="shared" si="55"/>
        <v>39.53</v>
      </c>
      <c r="Y240" s="9">
        <f t="shared" si="56"/>
        <v>0</v>
      </c>
      <c r="AD240" s="4" t="s">
        <v>697</v>
      </c>
      <c r="AE240" s="4" t="s">
        <v>698</v>
      </c>
      <c r="AF240" s="4" t="s">
        <v>552</v>
      </c>
    </row>
    <row r="241" spans="1:35" ht="18" x14ac:dyDescent="0.3">
      <c r="A241" s="23" t="s">
        <v>699</v>
      </c>
      <c r="B241" s="23"/>
      <c r="C241" s="41" t="s">
        <v>549</v>
      </c>
      <c r="D241" s="25"/>
      <c r="E241" s="25"/>
      <c r="F241" s="42" t="s">
        <v>265</v>
      </c>
      <c r="G241" s="43">
        <v>0.04</v>
      </c>
      <c r="H241" s="25"/>
      <c r="I241" s="43">
        <v>15.193</v>
      </c>
      <c r="J241" s="44">
        <v>47.44</v>
      </c>
      <c r="K241" s="45"/>
      <c r="L241" s="45"/>
      <c r="M241" s="44">
        <f t="shared" si="53"/>
        <v>720.76</v>
      </c>
      <c r="N241" s="45"/>
      <c r="O241" s="45"/>
      <c r="P241" s="44">
        <v>47.44</v>
      </c>
      <c r="Q241" s="45"/>
      <c r="R241" s="45"/>
      <c r="S241" s="44">
        <f t="shared" si="54"/>
        <v>720.76</v>
      </c>
      <c r="T241" s="45"/>
      <c r="U241" s="46"/>
      <c r="V241" s="9">
        <f t="shared" si="55"/>
        <v>39.53</v>
      </c>
      <c r="Y241" s="9">
        <f t="shared" si="56"/>
        <v>600.63</v>
      </c>
      <c r="AD241" s="4" t="s">
        <v>700</v>
      </c>
      <c r="AE241" s="4" t="s">
        <v>698</v>
      </c>
      <c r="AF241" s="4" t="s">
        <v>552</v>
      </c>
    </row>
    <row r="242" spans="1:35" ht="36" x14ac:dyDescent="0.3">
      <c r="A242" s="17" t="s">
        <v>701</v>
      </c>
      <c r="B242" s="17"/>
      <c r="C242" s="34" t="s">
        <v>669</v>
      </c>
      <c r="D242" s="19"/>
      <c r="E242" s="19"/>
      <c r="F242" s="35" t="s">
        <v>369</v>
      </c>
      <c r="G242" s="36">
        <v>1.84</v>
      </c>
      <c r="H242" s="19"/>
      <c r="I242" s="48">
        <v>0</v>
      </c>
      <c r="J242" s="38">
        <v>450.95</v>
      </c>
      <c r="K242" s="39"/>
      <c r="L242" s="39"/>
      <c r="M242" s="38">
        <f t="shared" si="53"/>
        <v>0</v>
      </c>
      <c r="N242" s="39"/>
      <c r="O242" s="39"/>
      <c r="P242" s="38">
        <v>450.95</v>
      </c>
      <c r="Q242" s="39"/>
      <c r="R242" s="39"/>
      <c r="S242" s="38">
        <f t="shared" si="54"/>
        <v>0</v>
      </c>
      <c r="T242" s="39"/>
      <c r="U242" s="40"/>
      <c r="V242" s="9">
        <f t="shared" si="55"/>
        <v>375.79</v>
      </c>
      <c r="Y242" s="9">
        <f t="shared" si="56"/>
        <v>0</v>
      </c>
      <c r="AD242" s="4" t="s">
        <v>702</v>
      </c>
      <c r="AE242" s="4" t="s">
        <v>703</v>
      </c>
      <c r="AF242" s="4" t="s">
        <v>672</v>
      </c>
    </row>
    <row r="243" spans="1:35" ht="72" x14ac:dyDescent="0.3">
      <c r="A243" s="23" t="s">
        <v>704</v>
      </c>
      <c r="B243" s="23"/>
      <c r="C243" s="41" t="s">
        <v>669</v>
      </c>
      <c r="D243" s="25"/>
      <c r="E243" s="25" t="s">
        <v>705</v>
      </c>
      <c r="F243" s="42" t="s">
        <v>369</v>
      </c>
      <c r="G243" s="43">
        <v>1.84</v>
      </c>
      <c r="H243" s="25"/>
      <c r="I243" s="50">
        <v>698.88699999999994</v>
      </c>
      <c r="J243" s="44">
        <v>450.95</v>
      </c>
      <c r="K243" s="45"/>
      <c r="L243" s="45"/>
      <c r="M243" s="44">
        <f t="shared" si="53"/>
        <v>315163.09000000003</v>
      </c>
      <c r="N243" s="45"/>
      <c r="O243" s="45"/>
      <c r="P243" s="44">
        <v>450.95</v>
      </c>
      <c r="Q243" s="45"/>
      <c r="R243" s="45"/>
      <c r="S243" s="44">
        <f t="shared" si="54"/>
        <v>315163.09000000003</v>
      </c>
      <c r="T243" s="45"/>
      <c r="U243" s="46"/>
      <c r="V243" s="9">
        <f t="shared" si="55"/>
        <v>375.79</v>
      </c>
      <c r="Y243" s="9">
        <f t="shared" si="56"/>
        <v>262635.90999999997</v>
      </c>
      <c r="AD243" s="4" t="s">
        <v>706</v>
      </c>
      <c r="AE243" s="4" t="s">
        <v>703</v>
      </c>
      <c r="AF243" s="4" t="s">
        <v>672</v>
      </c>
    </row>
    <row r="244" spans="1:35" ht="36" x14ac:dyDescent="0.3">
      <c r="A244" s="17" t="s">
        <v>707</v>
      </c>
      <c r="B244" s="17"/>
      <c r="C244" s="34" t="s">
        <v>662</v>
      </c>
      <c r="D244" s="19"/>
      <c r="E244" s="19"/>
      <c r="F244" s="35" t="s">
        <v>265</v>
      </c>
      <c r="G244" s="36">
        <v>0.7</v>
      </c>
      <c r="H244" s="19"/>
      <c r="I244" s="48">
        <v>0</v>
      </c>
      <c r="J244" s="38">
        <v>16.96</v>
      </c>
      <c r="K244" s="39"/>
      <c r="L244" s="39"/>
      <c r="M244" s="38">
        <f t="shared" si="53"/>
        <v>0</v>
      </c>
      <c r="N244" s="39"/>
      <c r="O244" s="39"/>
      <c r="P244" s="38">
        <v>16.96</v>
      </c>
      <c r="Q244" s="39"/>
      <c r="R244" s="39"/>
      <c r="S244" s="38">
        <f t="shared" si="54"/>
        <v>0</v>
      </c>
      <c r="T244" s="39"/>
      <c r="U244" s="40"/>
      <c r="V244" s="9">
        <f t="shared" si="55"/>
        <v>14.13</v>
      </c>
      <c r="Y244" s="9">
        <f t="shared" si="56"/>
        <v>0</v>
      </c>
      <c r="AD244" s="4" t="s">
        <v>708</v>
      </c>
      <c r="AE244" s="4" t="s">
        <v>709</v>
      </c>
      <c r="AF244" s="4" t="s">
        <v>665</v>
      </c>
    </row>
    <row r="245" spans="1:35" ht="36" x14ac:dyDescent="0.3">
      <c r="A245" s="23" t="s">
        <v>710</v>
      </c>
      <c r="B245" s="23"/>
      <c r="C245" s="41" t="s">
        <v>662</v>
      </c>
      <c r="D245" s="25"/>
      <c r="E245" s="25"/>
      <c r="F245" s="42" t="s">
        <v>265</v>
      </c>
      <c r="G245" s="43">
        <v>0.7</v>
      </c>
      <c r="H245" s="25"/>
      <c r="I245" s="50">
        <v>265.88099999999997</v>
      </c>
      <c r="J245" s="44">
        <v>16.96</v>
      </c>
      <c r="K245" s="45"/>
      <c r="L245" s="45"/>
      <c r="M245" s="44">
        <f t="shared" si="53"/>
        <v>4509.34</v>
      </c>
      <c r="N245" s="45"/>
      <c r="O245" s="45"/>
      <c r="P245" s="44">
        <v>16.96</v>
      </c>
      <c r="Q245" s="45"/>
      <c r="R245" s="45"/>
      <c r="S245" s="44">
        <f t="shared" si="54"/>
        <v>4509.34</v>
      </c>
      <c r="T245" s="45"/>
      <c r="U245" s="46"/>
      <c r="V245" s="9">
        <f t="shared" si="55"/>
        <v>14.13</v>
      </c>
      <c r="Y245" s="9">
        <f t="shared" si="56"/>
        <v>3757.78</v>
      </c>
      <c r="AD245" s="4" t="s">
        <v>711</v>
      </c>
      <c r="AE245" s="4" t="s">
        <v>709</v>
      </c>
      <c r="AF245" s="4" t="s">
        <v>665</v>
      </c>
    </row>
    <row r="246" spans="1:35" ht="36" x14ac:dyDescent="0.3">
      <c r="A246" s="17" t="s">
        <v>712</v>
      </c>
      <c r="B246" s="17" t="s">
        <v>655</v>
      </c>
      <c r="C246" s="18" t="s">
        <v>656</v>
      </c>
      <c r="D246" s="19"/>
      <c r="E246" s="19" t="s">
        <v>713</v>
      </c>
      <c r="F246" s="19" t="s">
        <v>82</v>
      </c>
      <c r="G246" s="20">
        <v>1</v>
      </c>
      <c r="H246" s="19"/>
      <c r="I246" s="21">
        <v>0</v>
      </c>
      <c r="J246" s="22">
        <f>IFERROR(ROUND(SUM(M248,M250,M252)/I246, 2),0)</f>
        <v>0</v>
      </c>
      <c r="K246" s="22">
        <v>473</v>
      </c>
      <c r="L246" s="22">
        <f>J246+ROUND(K246, 2)</f>
        <v>473</v>
      </c>
      <c r="M246" s="22">
        <f>ROUND(J246*I246, 2)</f>
        <v>0</v>
      </c>
      <c r="N246" s="22">
        <f>ROUND(I246*ROUND(K246, 2), 2)</f>
        <v>0</v>
      </c>
      <c r="O246" s="22">
        <f>M246+N246</f>
        <v>0</v>
      </c>
      <c r="P246" s="22">
        <f>IFERROR(ROUND(SUM(S248,S250,S252)/I246, 2),0)</f>
        <v>0</v>
      </c>
      <c r="Q246" s="22">
        <v>473</v>
      </c>
      <c r="R246" s="22">
        <f>P246+ROUND(Q246, 2)</f>
        <v>473</v>
      </c>
      <c r="S246" s="22">
        <f>ROUND(P246*I246, 2)</f>
        <v>0</v>
      </c>
      <c r="T246" s="22">
        <f>ROUND(I246*ROUND(Q246, 2), 2)</f>
        <v>0</v>
      </c>
      <c r="U246" s="22">
        <f>S246+T246</f>
        <v>0</v>
      </c>
      <c r="V246" s="9">
        <f>ROUND(P246 / 1.2, 2)</f>
        <v>0</v>
      </c>
      <c r="W246" s="9">
        <f>ROUND(Q246 / 1.2, 2)</f>
        <v>394.17</v>
      </c>
      <c r="X246" s="9">
        <f>ROUND(R246 / 1.2, 2)</f>
        <v>394.17</v>
      </c>
      <c r="Y246" s="9">
        <f t="shared" si="56"/>
        <v>0</v>
      </c>
      <c r="Z246" s="9">
        <f>ROUND(T246 / 1.2, 2)</f>
        <v>0</v>
      </c>
      <c r="AA246" s="9">
        <f>Y246+Z246</f>
        <v>0</v>
      </c>
      <c r="AD246" s="4">
        <v>304337622</v>
      </c>
      <c r="AE246" s="4">
        <v>20322537</v>
      </c>
      <c r="AG246" s="4" t="s">
        <v>657</v>
      </c>
      <c r="AH246" s="4" t="s">
        <v>658</v>
      </c>
      <c r="AI246" s="4" t="s">
        <v>260</v>
      </c>
    </row>
    <row r="247" spans="1:35" ht="36" x14ac:dyDescent="0.3">
      <c r="A247" s="23" t="s">
        <v>714</v>
      </c>
      <c r="B247" s="23" t="s">
        <v>655</v>
      </c>
      <c r="C247" s="24" t="s">
        <v>656</v>
      </c>
      <c r="D247" s="25"/>
      <c r="E247" s="25" t="s">
        <v>713</v>
      </c>
      <c r="F247" s="25" t="s">
        <v>82</v>
      </c>
      <c r="G247" s="26">
        <v>1</v>
      </c>
      <c r="H247" s="25"/>
      <c r="I247" s="26">
        <v>78</v>
      </c>
      <c r="J247" s="27">
        <v>0</v>
      </c>
      <c r="K247" s="27">
        <v>473</v>
      </c>
      <c r="L247" s="27"/>
      <c r="M247" s="27">
        <v>0</v>
      </c>
      <c r="N247" s="27"/>
      <c r="O247" s="27"/>
      <c r="P247" s="27">
        <v>0</v>
      </c>
      <c r="Q247" s="27">
        <v>473</v>
      </c>
      <c r="R247" s="27"/>
      <c r="S247" s="27">
        <v>0</v>
      </c>
      <c r="T247" s="27"/>
      <c r="U247" s="27"/>
      <c r="V247" s="9"/>
      <c r="W247" s="9">
        <f>ROUND(Q247 / 1.2, 2)</f>
        <v>394.17</v>
      </c>
      <c r="X247" s="9" t="e">
        <f>ROUND(R247 / 1.2, 2)</f>
        <v>#VALUE!</v>
      </c>
      <c r="Y247" s="9"/>
      <c r="Z247" s="9" t="e">
        <f>ROUND(T247 / 1.2, 2)</f>
        <v>#VALUE!</v>
      </c>
      <c r="AA247" s="9"/>
      <c r="AD247" s="4">
        <v>282588997</v>
      </c>
      <c r="AE247" s="4">
        <v>20322537</v>
      </c>
      <c r="AG247" s="4" t="s">
        <v>657</v>
      </c>
      <c r="AH247" s="4" t="s">
        <v>658</v>
      </c>
      <c r="AI247" s="4"/>
    </row>
    <row r="248" spans="1:35" ht="36" x14ac:dyDescent="0.3">
      <c r="A248" s="17" t="s">
        <v>715</v>
      </c>
      <c r="B248" s="17"/>
      <c r="C248" s="34" t="s">
        <v>662</v>
      </c>
      <c r="D248" s="19"/>
      <c r="E248" s="19"/>
      <c r="F248" s="35" t="s">
        <v>265</v>
      </c>
      <c r="G248" s="36">
        <v>0.7</v>
      </c>
      <c r="H248" s="19"/>
      <c r="I248" s="48">
        <v>0</v>
      </c>
      <c r="J248" s="38">
        <v>16.96</v>
      </c>
      <c r="K248" s="39"/>
      <c r="L248" s="39"/>
      <c r="M248" s="38">
        <f t="shared" ref="M248:M253" si="57">ROUND(ROUND(J248, 2)*I248, 2)</f>
        <v>0</v>
      </c>
      <c r="N248" s="39"/>
      <c r="O248" s="39"/>
      <c r="P248" s="38">
        <v>16.96</v>
      </c>
      <c r="Q248" s="39"/>
      <c r="R248" s="39"/>
      <c r="S248" s="38">
        <f t="shared" ref="S248:S253" si="58">ROUND(ROUND(P248, 2)*I248, 2)</f>
        <v>0</v>
      </c>
      <c r="T248" s="39"/>
      <c r="U248" s="40"/>
      <c r="V248" s="9">
        <f t="shared" ref="V248:V253" si="59">ROUND(ROUND(P248, 2)/1.2, 2)</f>
        <v>14.13</v>
      </c>
      <c r="Y248" s="9">
        <f t="shared" ref="Y248:Y268" si="60">ROUND(S248 / 1.2, 2)</f>
        <v>0</v>
      </c>
      <c r="AD248" s="4" t="s">
        <v>716</v>
      </c>
      <c r="AE248" s="4" t="s">
        <v>717</v>
      </c>
      <c r="AF248" s="4" t="s">
        <v>665</v>
      </c>
    </row>
    <row r="249" spans="1:35" ht="36" x14ac:dyDescent="0.3">
      <c r="A249" s="23" t="s">
        <v>718</v>
      </c>
      <c r="B249" s="23"/>
      <c r="C249" s="41" t="s">
        <v>662</v>
      </c>
      <c r="D249" s="25"/>
      <c r="E249" s="25"/>
      <c r="F249" s="42" t="s">
        <v>265</v>
      </c>
      <c r="G249" s="43">
        <v>0.7</v>
      </c>
      <c r="H249" s="25"/>
      <c r="I249" s="50">
        <v>54.6</v>
      </c>
      <c r="J249" s="44">
        <v>16.96</v>
      </c>
      <c r="K249" s="45"/>
      <c r="L249" s="45"/>
      <c r="M249" s="44">
        <f t="shared" si="57"/>
        <v>926.02</v>
      </c>
      <c r="N249" s="45"/>
      <c r="O249" s="45"/>
      <c r="P249" s="44">
        <v>16.96</v>
      </c>
      <c r="Q249" s="45"/>
      <c r="R249" s="45"/>
      <c r="S249" s="44">
        <f t="shared" si="58"/>
        <v>926.02</v>
      </c>
      <c r="T249" s="45"/>
      <c r="U249" s="46"/>
      <c r="V249" s="9">
        <f t="shared" si="59"/>
        <v>14.13</v>
      </c>
      <c r="Y249" s="9">
        <f t="shared" si="60"/>
        <v>771.68</v>
      </c>
      <c r="AD249" s="4" t="s">
        <v>719</v>
      </c>
      <c r="AE249" s="4" t="s">
        <v>717</v>
      </c>
      <c r="AF249" s="4" t="s">
        <v>665</v>
      </c>
    </row>
    <row r="250" spans="1:35" ht="36" x14ac:dyDescent="0.3">
      <c r="A250" s="17" t="s">
        <v>720</v>
      </c>
      <c r="B250" s="17"/>
      <c r="C250" s="34" t="s">
        <v>669</v>
      </c>
      <c r="D250" s="19"/>
      <c r="E250" s="19"/>
      <c r="F250" s="35" t="s">
        <v>369</v>
      </c>
      <c r="G250" s="36">
        <v>1.84</v>
      </c>
      <c r="H250" s="19"/>
      <c r="I250" s="48">
        <v>0</v>
      </c>
      <c r="J250" s="38">
        <v>450.95</v>
      </c>
      <c r="K250" s="39"/>
      <c r="L250" s="39"/>
      <c r="M250" s="38">
        <f t="shared" si="57"/>
        <v>0</v>
      </c>
      <c r="N250" s="39"/>
      <c r="O250" s="39"/>
      <c r="P250" s="38">
        <v>450.95</v>
      </c>
      <c r="Q250" s="39"/>
      <c r="R250" s="39"/>
      <c r="S250" s="38">
        <f t="shared" si="58"/>
        <v>0</v>
      </c>
      <c r="T250" s="39"/>
      <c r="U250" s="40"/>
      <c r="V250" s="9">
        <f t="shared" si="59"/>
        <v>375.79</v>
      </c>
      <c r="Y250" s="9">
        <f t="shared" si="60"/>
        <v>0</v>
      </c>
      <c r="AD250" s="4" t="s">
        <v>721</v>
      </c>
      <c r="AE250" s="4" t="s">
        <v>722</v>
      </c>
      <c r="AF250" s="4" t="s">
        <v>672</v>
      </c>
    </row>
    <row r="251" spans="1:35" ht="54" x14ac:dyDescent="0.3">
      <c r="A251" s="23" t="s">
        <v>723</v>
      </c>
      <c r="B251" s="23"/>
      <c r="C251" s="41" t="s">
        <v>669</v>
      </c>
      <c r="D251" s="25"/>
      <c r="E251" s="25" t="s">
        <v>724</v>
      </c>
      <c r="F251" s="42" t="s">
        <v>369</v>
      </c>
      <c r="G251" s="43">
        <v>1.84</v>
      </c>
      <c r="H251" s="25"/>
      <c r="I251" s="50">
        <v>143.52000000000001</v>
      </c>
      <c r="J251" s="44">
        <v>450.95</v>
      </c>
      <c r="K251" s="45"/>
      <c r="L251" s="45"/>
      <c r="M251" s="44">
        <f t="shared" si="57"/>
        <v>64720.34</v>
      </c>
      <c r="N251" s="45"/>
      <c r="O251" s="45"/>
      <c r="P251" s="44">
        <v>450.95</v>
      </c>
      <c r="Q251" s="45"/>
      <c r="R251" s="45"/>
      <c r="S251" s="44">
        <f t="shared" si="58"/>
        <v>64720.34</v>
      </c>
      <c r="T251" s="45"/>
      <c r="U251" s="46"/>
      <c r="V251" s="9">
        <f t="shared" si="59"/>
        <v>375.79</v>
      </c>
      <c r="Y251" s="9">
        <f t="shared" si="60"/>
        <v>53933.62</v>
      </c>
      <c r="AD251" s="4" t="s">
        <v>725</v>
      </c>
      <c r="AE251" s="4" t="s">
        <v>722</v>
      </c>
      <c r="AF251" s="4" t="s">
        <v>672</v>
      </c>
    </row>
    <row r="252" spans="1:35" ht="36" x14ac:dyDescent="0.3">
      <c r="A252" s="17" t="s">
        <v>726</v>
      </c>
      <c r="B252" s="17"/>
      <c r="C252" s="34" t="s">
        <v>682</v>
      </c>
      <c r="D252" s="19"/>
      <c r="E252" s="19"/>
      <c r="F252" s="35" t="s">
        <v>265</v>
      </c>
      <c r="G252" s="36">
        <v>1.4999999999999999E-2</v>
      </c>
      <c r="H252" s="19"/>
      <c r="I252" s="37">
        <v>0</v>
      </c>
      <c r="J252" s="38">
        <v>88.8</v>
      </c>
      <c r="K252" s="39"/>
      <c r="L252" s="39"/>
      <c r="M252" s="38">
        <f t="shared" si="57"/>
        <v>0</v>
      </c>
      <c r="N252" s="39"/>
      <c r="O252" s="39"/>
      <c r="P252" s="38">
        <v>88.8</v>
      </c>
      <c r="Q252" s="39"/>
      <c r="R252" s="39"/>
      <c r="S252" s="38">
        <f t="shared" si="58"/>
        <v>0</v>
      </c>
      <c r="T252" s="39"/>
      <c r="U252" s="40"/>
      <c r="V252" s="9">
        <f t="shared" si="59"/>
        <v>74</v>
      </c>
      <c r="Y252" s="9">
        <f t="shared" si="60"/>
        <v>0</v>
      </c>
      <c r="AD252" s="4" t="s">
        <v>727</v>
      </c>
      <c r="AE252" s="4" t="s">
        <v>728</v>
      </c>
      <c r="AF252" s="4" t="s">
        <v>685</v>
      </c>
    </row>
    <row r="253" spans="1:35" ht="36" x14ac:dyDescent="0.3">
      <c r="A253" s="23" t="s">
        <v>729</v>
      </c>
      <c r="B253" s="23"/>
      <c r="C253" s="41" t="s">
        <v>682</v>
      </c>
      <c r="D253" s="25"/>
      <c r="E253" s="25"/>
      <c r="F253" s="42" t="s">
        <v>265</v>
      </c>
      <c r="G253" s="43">
        <v>1.4999999999999999E-2</v>
      </c>
      <c r="H253" s="25"/>
      <c r="I253" s="43">
        <v>1.17</v>
      </c>
      <c r="J253" s="44">
        <v>88.8</v>
      </c>
      <c r="K253" s="45"/>
      <c r="L253" s="45"/>
      <c r="M253" s="44">
        <f t="shared" si="57"/>
        <v>103.9</v>
      </c>
      <c r="N253" s="45"/>
      <c r="O253" s="45"/>
      <c r="P253" s="44">
        <v>88.8</v>
      </c>
      <c r="Q253" s="45"/>
      <c r="R253" s="45"/>
      <c r="S253" s="44">
        <f t="shared" si="58"/>
        <v>103.9</v>
      </c>
      <c r="T253" s="45"/>
      <c r="U253" s="46"/>
      <c r="V253" s="9">
        <f t="shared" si="59"/>
        <v>74</v>
      </c>
      <c r="Y253" s="9">
        <f t="shared" si="60"/>
        <v>86.58</v>
      </c>
      <c r="AD253" s="4" t="s">
        <v>730</v>
      </c>
      <c r="AE253" s="4" t="s">
        <v>728</v>
      </c>
      <c r="AF253" s="4" t="s">
        <v>685</v>
      </c>
    </row>
    <row r="254" spans="1:35" ht="36" x14ac:dyDescent="0.3">
      <c r="A254" s="51" t="s">
        <v>731</v>
      </c>
      <c r="B254" s="51" t="s">
        <v>655</v>
      </c>
      <c r="C254" s="52" t="s">
        <v>656</v>
      </c>
      <c r="D254" s="53"/>
      <c r="E254" s="53" t="s">
        <v>660</v>
      </c>
      <c r="F254" s="53" t="s">
        <v>82</v>
      </c>
      <c r="G254" s="54">
        <v>1</v>
      </c>
      <c r="H254" s="53"/>
      <c r="I254" s="54">
        <v>103.54</v>
      </c>
      <c r="J254" s="55">
        <f>IFERROR(ROUND(SUM(M255,M256,M257)/I254, 2),0)</f>
        <v>832.98</v>
      </c>
      <c r="K254" s="55">
        <v>473</v>
      </c>
      <c r="L254" s="55">
        <f>J254+ROUND(K254, 2)</f>
        <v>1305.98</v>
      </c>
      <c r="M254" s="55">
        <f>ROUND(J254*I254, 2)</f>
        <v>86246.75</v>
      </c>
      <c r="N254" s="55">
        <f>ROUND(I254*ROUND(K254, 2), 2)</f>
        <v>48974.42</v>
      </c>
      <c r="O254" s="55">
        <f>M254+N254</f>
        <v>135221.17000000001</v>
      </c>
      <c r="P254" s="55">
        <f>IFERROR(ROUND(SUM(S255,S256,S257)/I254, 2),0)</f>
        <v>832.98</v>
      </c>
      <c r="Q254" s="55">
        <v>709.5</v>
      </c>
      <c r="R254" s="55">
        <f>P254+ROUND(Q254, 2)</f>
        <v>1542.48</v>
      </c>
      <c r="S254" s="55">
        <f>ROUND(P254*I254, 2)</f>
        <v>86246.75</v>
      </c>
      <c r="T254" s="55">
        <f>ROUND(I254*ROUND(Q254, 2), 2)</f>
        <v>73461.63</v>
      </c>
      <c r="U254" s="55">
        <f>S254+T254</f>
        <v>159708.38</v>
      </c>
      <c r="V254" s="9">
        <f>ROUND(P254 / 1.2, 2)</f>
        <v>694.15</v>
      </c>
      <c r="W254" s="9">
        <f>ROUND(Q254 / 1.2, 2)</f>
        <v>591.25</v>
      </c>
      <c r="X254" s="9">
        <f>ROUND(R254 / 1.2, 2)</f>
        <v>1285.4000000000001</v>
      </c>
      <c r="Y254" s="9">
        <f t="shared" si="60"/>
        <v>71872.289999999994</v>
      </c>
      <c r="Z254" s="9">
        <f>ROUND(T254 / 1.2, 2)</f>
        <v>61218.03</v>
      </c>
      <c r="AA254" s="9">
        <f>Y254+Z254</f>
        <v>133090.32</v>
      </c>
      <c r="AD254" s="4">
        <v>304337623</v>
      </c>
      <c r="AE254" s="4">
        <v>20322534</v>
      </c>
      <c r="AG254" s="4" t="s">
        <v>657</v>
      </c>
      <c r="AH254" s="4" t="s">
        <v>658</v>
      </c>
      <c r="AI254" s="4" t="s">
        <v>260</v>
      </c>
    </row>
    <row r="255" spans="1:35" ht="36" x14ac:dyDescent="0.3">
      <c r="A255" s="51" t="s">
        <v>732</v>
      </c>
      <c r="B255" s="51"/>
      <c r="C255" s="56" t="s">
        <v>682</v>
      </c>
      <c r="D255" s="53"/>
      <c r="E255" s="53"/>
      <c r="F255" s="57" t="s">
        <v>265</v>
      </c>
      <c r="G255" s="58">
        <v>1.4999999999999999E-2</v>
      </c>
      <c r="H255" s="53"/>
      <c r="I255" s="58">
        <v>1.5529999999999999</v>
      </c>
      <c r="J255" s="59">
        <v>88.8</v>
      </c>
      <c r="K255" s="60"/>
      <c r="L255" s="60"/>
      <c r="M255" s="59">
        <f>ROUND(ROUND(J255, 2)*I255, 2)</f>
        <v>137.91</v>
      </c>
      <c r="N255" s="60"/>
      <c r="O255" s="60"/>
      <c r="P255" s="59">
        <v>88.8</v>
      </c>
      <c r="Q255" s="60"/>
      <c r="R255" s="60"/>
      <c r="S255" s="59">
        <f>ROUND(ROUND(P255, 2)*I255, 2)</f>
        <v>137.91</v>
      </c>
      <c r="T255" s="60"/>
      <c r="U255" s="61"/>
      <c r="V255" s="9">
        <f>ROUND(ROUND(P255, 2)/1.2, 2)</f>
        <v>74</v>
      </c>
      <c r="Y255" s="9">
        <f t="shared" si="60"/>
        <v>114.93</v>
      </c>
      <c r="AD255" s="4" t="s">
        <v>733</v>
      </c>
      <c r="AE255" s="4" t="s">
        <v>734</v>
      </c>
      <c r="AF255" s="4" t="s">
        <v>685</v>
      </c>
    </row>
    <row r="256" spans="1:35" ht="18" x14ac:dyDescent="0.3">
      <c r="A256" s="51" t="s">
        <v>735</v>
      </c>
      <c r="B256" s="51"/>
      <c r="C256" s="56" t="s">
        <v>549</v>
      </c>
      <c r="D256" s="53"/>
      <c r="E256" s="53"/>
      <c r="F256" s="57" t="s">
        <v>265</v>
      </c>
      <c r="G256" s="58">
        <v>0.04</v>
      </c>
      <c r="H256" s="53"/>
      <c r="I256" s="58">
        <v>4.1420000000000003</v>
      </c>
      <c r="J256" s="59">
        <v>47.44</v>
      </c>
      <c r="K256" s="60"/>
      <c r="L256" s="60"/>
      <c r="M256" s="59">
        <f>ROUND(ROUND(J256, 2)*I256, 2)</f>
        <v>196.5</v>
      </c>
      <c r="N256" s="60"/>
      <c r="O256" s="60"/>
      <c r="P256" s="59">
        <v>47.44</v>
      </c>
      <c r="Q256" s="60"/>
      <c r="R256" s="60"/>
      <c r="S256" s="59">
        <f>ROUND(ROUND(P256, 2)*I256, 2)</f>
        <v>196.5</v>
      </c>
      <c r="T256" s="60"/>
      <c r="U256" s="61"/>
      <c r="V256" s="9">
        <f>ROUND(ROUND(P256, 2)/1.2, 2)</f>
        <v>39.53</v>
      </c>
      <c r="Y256" s="9">
        <f t="shared" si="60"/>
        <v>163.75</v>
      </c>
      <c r="AD256" s="4" t="s">
        <v>736</v>
      </c>
      <c r="AE256" s="4" t="s">
        <v>737</v>
      </c>
      <c r="AF256" s="4" t="s">
        <v>552</v>
      </c>
    </row>
    <row r="257" spans="1:35" ht="90" x14ac:dyDescent="0.3">
      <c r="A257" s="51" t="s">
        <v>738</v>
      </c>
      <c r="B257" s="51"/>
      <c r="C257" s="56" t="s">
        <v>669</v>
      </c>
      <c r="D257" s="53"/>
      <c r="E257" s="53" t="s">
        <v>674</v>
      </c>
      <c r="F257" s="57" t="s">
        <v>369</v>
      </c>
      <c r="G257" s="58">
        <v>1.84</v>
      </c>
      <c r="H257" s="53"/>
      <c r="I257" s="62">
        <v>190.51400000000001</v>
      </c>
      <c r="J257" s="59">
        <v>450.95</v>
      </c>
      <c r="K257" s="60"/>
      <c r="L257" s="60"/>
      <c r="M257" s="59">
        <f>ROUND(ROUND(J257, 2)*I257, 2)</f>
        <v>85912.29</v>
      </c>
      <c r="N257" s="60"/>
      <c r="O257" s="60"/>
      <c r="P257" s="59">
        <v>450.95</v>
      </c>
      <c r="Q257" s="60"/>
      <c r="R257" s="60"/>
      <c r="S257" s="59">
        <f>ROUND(ROUND(P257, 2)*I257, 2)</f>
        <v>85912.29</v>
      </c>
      <c r="T257" s="60"/>
      <c r="U257" s="61"/>
      <c r="V257" s="9">
        <f>ROUND(ROUND(P257, 2)/1.2, 2)</f>
        <v>375.79</v>
      </c>
      <c r="Y257" s="9">
        <f t="shared" si="60"/>
        <v>71593.58</v>
      </c>
      <c r="AD257" s="4" t="s">
        <v>739</v>
      </c>
      <c r="AE257" s="4" t="s">
        <v>740</v>
      </c>
      <c r="AF257" s="4" t="s">
        <v>672</v>
      </c>
    </row>
    <row r="258" spans="1:35" ht="36" x14ac:dyDescent="0.3">
      <c r="A258" s="51" t="s">
        <v>741</v>
      </c>
      <c r="B258" s="51" t="s">
        <v>655</v>
      </c>
      <c r="C258" s="52" t="s">
        <v>656</v>
      </c>
      <c r="D258" s="53"/>
      <c r="E258" s="53" t="s">
        <v>690</v>
      </c>
      <c r="F258" s="53" t="s">
        <v>82</v>
      </c>
      <c r="G258" s="54">
        <v>1</v>
      </c>
      <c r="H258" s="53"/>
      <c r="I258" s="54">
        <v>379.83</v>
      </c>
      <c r="J258" s="55">
        <f>IFERROR(ROUND(SUM(M259,M260,M261,M262)/I258, 2),0)</f>
        <v>844.26</v>
      </c>
      <c r="K258" s="55">
        <v>473</v>
      </c>
      <c r="L258" s="55">
        <f>J258+ROUND(K258, 2)</f>
        <v>1317.26</v>
      </c>
      <c r="M258" s="55">
        <f>ROUND(J258*I258, 2)</f>
        <v>320675.28000000003</v>
      </c>
      <c r="N258" s="55">
        <f>ROUND(I258*ROUND(K258, 2), 2)</f>
        <v>179659.59</v>
      </c>
      <c r="O258" s="55">
        <f>M258+N258</f>
        <v>500334.87</v>
      </c>
      <c r="P258" s="55">
        <f>IFERROR(ROUND(SUM(S259,S260,S261,S262)/I258, 2),0)</f>
        <v>844.25</v>
      </c>
      <c r="Q258" s="55">
        <v>709.5</v>
      </c>
      <c r="R258" s="55">
        <f>P258+ROUND(Q258, 2)</f>
        <v>1553.75</v>
      </c>
      <c r="S258" s="55">
        <f>ROUND(P258*I258, 2)</f>
        <v>320671.48</v>
      </c>
      <c r="T258" s="55">
        <f>ROUND(I258*ROUND(Q258, 2), 2)</f>
        <v>269489.39</v>
      </c>
      <c r="U258" s="55">
        <f>S258+T258</f>
        <v>590160.87</v>
      </c>
      <c r="V258" s="9">
        <f>ROUND(P258 / 1.2, 2)</f>
        <v>703.54</v>
      </c>
      <c r="W258" s="9">
        <f>ROUND(Q258 / 1.2, 2)</f>
        <v>591.25</v>
      </c>
      <c r="X258" s="9">
        <f>ROUND(R258 / 1.2, 2)</f>
        <v>1294.79</v>
      </c>
      <c r="Y258" s="9">
        <f t="shared" si="60"/>
        <v>267226.23</v>
      </c>
      <c r="Z258" s="9">
        <f>ROUND(T258 / 1.2, 2)</f>
        <v>224574.49</v>
      </c>
      <c r="AA258" s="9">
        <f>Y258+Z258</f>
        <v>491800.72</v>
      </c>
      <c r="AD258" s="4">
        <v>304337624</v>
      </c>
      <c r="AE258" s="4">
        <v>21935204</v>
      </c>
      <c r="AG258" s="4" t="s">
        <v>657</v>
      </c>
      <c r="AH258" s="4" t="s">
        <v>658</v>
      </c>
      <c r="AI258" s="4" t="s">
        <v>260</v>
      </c>
    </row>
    <row r="259" spans="1:35" ht="36" x14ac:dyDescent="0.3">
      <c r="A259" s="51" t="s">
        <v>742</v>
      </c>
      <c r="B259" s="51"/>
      <c r="C259" s="47" t="s">
        <v>662</v>
      </c>
      <c r="D259" s="53"/>
      <c r="E259" s="53"/>
      <c r="F259" s="57" t="s">
        <v>265</v>
      </c>
      <c r="G259" s="58">
        <v>0.7</v>
      </c>
      <c r="H259" s="53"/>
      <c r="I259" s="62">
        <v>265.88099999999997</v>
      </c>
      <c r="J259" s="59">
        <v>16.12</v>
      </c>
      <c r="K259" s="60"/>
      <c r="L259" s="60"/>
      <c r="M259" s="59">
        <f>ROUND(ROUND(J259, 2)*I259, 2)</f>
        <v>4286</v>
      </c>
      <c r="N259" s="60"/>
      <c r="O259" s="60"/>
      <c r="P259" s="59">
        <v>16.11</v>
      </c>
      <c r="Q259" s="60"/>
      <c r="R259" s="60"/>
      <c r="S259" s="59">
        <f>ROUND(ROUND(P259, 2)*I259, 2)</f>
        <v>4283.34</v>
      </c>
      <c r="T259" s="60"/>
      <c r="U259" s="61"/>
      <c r="V259" s="9">
        <f>ROUND(ROUND(P259, 2)/1.2, 2)</f>
        <v>13.43</v>
      </c>
      <c r="Y259" s="9">
        <f t="shared" si="60"/>
        <v>3569.45</v>
      </c>
      <c r="AD259" s="4" t="s">
        <v>743</v>
      </c>
      <c r="AE259" s="4" t="s">
        <v>744</v>
      </c>
      <c r="AF259" s="4" t="s">
        <v>665</v>
      </c>
    </row>
    <row r="260" spans="1:35" ht="72" x14ac:dyDescent="0.3">
      <c r="A260" s="51" t="s">
        <v>745</v>
      </c>
      <c r="B260" s="51"/>
      <c r="C260" s="56" t="s">
        <v>669</v>
      </c>
      <c r="D260" s="53"/>
      <c r="E260" s="53" t="s">
        <v>705</v>
      </c>
      <c r="F260" s="57" t="s">
        <v>369</v>
      </c>
      <c r="G260" s="58">
        <v>1.84</v>
      </c>
      <c r="H260" s="53"/>
      <c r="I260" s="62">
        <v>698.88699999999994</v>
      </c>
      <c r="J260" s="59">
        <v>450.95</v>
      </c>
      <c r="K260" s="60"/>
      <c r="L260" s="60"/>
      <c r="M260" s="59">
        <f>ROUND(ROUND(J260, 2)*I260, 2)</f>
        <v>315163.09000000003</v>
      </c>
      <c r="N260" s="60"/>
      <c r="O260" s="60"/>
      <c r="P260" s="59">
        <v>450.95</v>
      </c>
      <c r="Q260" s="60"/>
      <c r="R260" s="60"/>
      <c r="S260" s="59">
        <f>ROUND(ROUND(P260, 2)*I260, 2)</f>
        <v>315163.09000000003</v>
      </c>
      <c r="T260" s="60"/>
      <c r="U260" s="61"/>
      <c r="V260" s="9">
        <f>ROUND(ROUND(P260, 2)/1.2, 2)</f>
        <v>375.79</v>
      </c>
      <c r="Y260" s="9">
        <f t="shared" si="60"/>
        <v>262635.90999999997</v>
      </c>
      <c r="AD260" s="4" t="s">
        <v>746</v>
      </c>
      <c r="AE260" s="4" t="s">
        <v>747</v>
      </c>
      <c r="AF260" s="4" t="s">
        <v>672</v>
      </c>
    </row>
    <row r="261" spans="1:35" ht="18" x14ac:dyDescent="0.3">
      <c r="A261" s="51" t="s">
        <v>748</v>
      </c>
      <c r="B261" s="51"/>
      <c r="C261" s="56" t="s">
        <v>549</v>
      </c>
      <c r="D261" s="53"/>
      <c r="E261" s="53"/>
      <c r="F261" s="57" t="s">
        <v>265</v>
      </c>
      <c r="G261" s="58">
        <v>0.04</v>
      </c>
      <c r="H261" s="53"/>
      <c r="I261" s="58">
        <v>15.193</v>
      </c>
      <c r="J261" s="59">
        <v>47.44</v>
      </c>
      <c r="K261" s="60"/>
      <c r="L261" s="60"/>
      <c r="M261" s="59">
        <f>ROUND(ROUND(J261, 2)*I261, 2)</f>
        <v>720.76</v>
      </c>
      <c r="N261" s="60"/>
      <c r="O261" s="60"/>
      <c r="P261" s="59">
        <v>47.44</v>
      </c>
      <c r="Q261" s="60"/>
      <c r="R261" s="60"/>
      <c r="S261" s="59">
        <f>ROUND(ROUND(P261, 2)*I261, 2)</f>
        <v>720.76</v>
      </c>
      <c r="T261" s="60"/>
      <c r="U261" s="61"/>
      <c r="V261" s="9">
        <f>ROUND(ROUND(P261, 2)/1.2, 2)</f>
        <v>39.53</v>
      </c>
      <c r="Y261" s="9">
        <f t="shared" si="60"/>
        <v>600.63</v>
      </c>
      <c r="AD261" s="4" t="s">
        <v>749</v>
      </c>
      <c r="AE261" s="4" t="s">
        <v>750</v>
      </c>
      <c r="AF261" s="4" t="s">
        <v>552</v>
      </c>
    </row>
    <row r="262" spans="1:35" ht="36" x14ac:dyDescent="0.3">
      <c r="A262" s="51" t="s">
        <v>751</v>
      </c>
      <c r="B262" s="51"/>
      <c r="C262" s="56" t="s">
        <v>682</v>
      </c>
      <c r="D262" s="53"/>
      <c r="E262" s="53"/>
      <c r="F262" s="57" t="s">
        <v>265</v>
      </c>
      <c r="G262" s="58">
        <v>1.4999999999999999E-2</v>
      </c>
      <c r="H262" s="53"/>
      <c r="I262" s="58">
        <v>5.6970000000000001</v>
      </c>
      <c r="J262" s="59">
        <v>88.8</v>
      </c>
      <c r="K262" s="60"/>
      <c r="L262" s="60"/>
      <c r="M262" s="59">
        <f>ROUND(ROUND(J262, 2)*I262, 2)</f>
        <v>505.89</v>
      </c>
      <c r="N262" s="60"/>
      <c r="O262" s="60"/>
      <c r="P262" s="59">
        <v>88.8</v>
      </c>
      <c r="Q262" s="60"/>
      <c r="R262" s="60"/>
      <c r="S262" s="59">
        <f>ROUND(ROUND(P262, 2)*I262, 2)</f>
        <v>505.89</v>
      </c>
      <c r="T262" s="60"/>
      <c r="U262" s="61"/>
      <c r="V262" s="9">
        <f>ROUND(ROUND(P262, 2)/1.2, 2)</f>
        <v>74</v>
      </c>
      <c r="Y262" s="9">
        <f t="shared" si="60"/>
        <v>421.58</v>
      </c>
      <c r="AD262" s="4" t="s">
        <v>752</v>
      </c>
      <c r="AE262" s="4" t="s">
        <v>753</v>
      </c>
      <c r="AF262" s="4" t="s">
        <v>685</v>
      </c>
    </row>
    <row r="263" spans="1:35" ht="36" x14ac:dyDescent="0.3">
      <c r="A263" s="51" t="s">
        <v>754</v>
      </c>
      <c r="B263" s="51" t="s">
        <v>655</v>
      </c>
      <c r="C263" s="52" t="s">
        <v>656</v>
      </c>
      <c r="D263" s="53"/>
      <c r="E263" s="53" t="s">
        <v>713</v>
      </c>
      <c r="F263" s="53" t="s">
        <v>82</v>
      </c>
      <c r="G263" s="54">
        <v>1</v>
      </c>
      <c r="H263" s="53"/>
      <c r="I263" s="54">
        <v>78</v>
      </c>
      <c r="J263" s="55">
        <f>IFERROR(ROUND(SUM(M264,M265,M266,M267)/I263, 2),0)</f>
        <v>844.26</v>
      </c>
      <c r="K263" s="55">
        <v>473</v>
      </c>
      <c r="L263" s="55">
        <f>J263+ROUND(K263, 2)</f>
        <v>1317.26</v>
      </c>
      <c r="M263" s="55">
        <f>ROUND(J263*I263, 2)</f>
        <v>65852.28</v>
      </c>
      <c r="N263" s="55">
        <f>ROUND(I263*ROUND(K263, 2), 2)</f>
        <v>36894</v>
      </c>
      <c r="O263" s="55">
        <f>M263+N263</f>
        <v>102746.28</v>
      </c>
      <c r="P263" s="55">
        <f>IFERROR(ROUND(SUM(S264,S265,S266,S267)/I263, 2),0)</f>
        <v>844.25</v>
      </c>
      <c r="Q263" s="55">
        <v>709.5</v>
      </c>
      <c r="R263" s="55">
        <f>P263+ROUND(Q263, 2)</f>
        <v>1553.75</v>
      </c>
      <c r="S263" s="55">
        <f>ROUND(P263*I263, 2)</f>
        <v>65851.5</v>
      </c>
      <c r="T263" s="55">
        <f>ROUND(I263*ROUND(Q263, 2), 2)</f>
        <v>55341</v>
      </c>
      <c r="U263" s="55">
        <f>S263+T263</f>
        <v>121192.5</v>
      </c>
      <c r="V263" s="9">
        <f>ROUND(P263 / 1.2, 2)</f>
        <v>703.54</v>
      </c>
      <c r="W263" s="9">
        <f>ROUND(Q263 / 1.2, 2)</f>
        <v>591.25</v>
      </c>
      <c r="X263" s="9">
        <f>ROUND(R263 / 1.2, 2)</f>
        <v>1294.79</v>
      </c>
      <c r="Y263" s="9">
        <f t="shared" si="60"/>
        <v>54876.25</v>
      </c>
      <c r="Z263" s="9">
        <f>ROUND(T263 / 1.2, 2)</f>
        <v>46117.5</v>
      </c>
      <c r="AA263" s="9">
        <f>Y263+Z263</f>
        <v>100993.75</v>
      </c>
      <c r="AD263" s="4">
        <v>304337625</v>
      </c>
      <c r="AE263" s="4">
        <v>21935202</v>
      </c>
      <c r="AG263" s="4" t="s">
        <v>657</v>
      </c>
      <c r="AH263" s="4" t="s">
        <v>658</v>
      </c>
      <c r="AI263" s="4" t="s">
        <v>260</v>
      </c>
    </row>
    <row r="264" spans="1:35" ht="36" x14ac:dyDescent="0.3">
      <c r="A264" s="51" t="s">
        <v>755</v>
      </c>
      <c r="B264" s="51"/>
      <c r="C264" s="56" t="s">
        <v>682</v>
      </c>
      <c r="D264" s="53"/>
      <c r="E264" s="53"/>
      <c r="F264" s="57" t="s">
        <v>265</v>
      </c>
      <c r="G264" s="58">
        <v>1.4999999999999999E-2</v>
      </c>
      <c r="H264" s="53"/>
      <c r="I264" s="58">
        <v>1.17</v>
      </c>
      <c r="J264" s="59">
        <v>88.8</v>
      </c>
      <c r="K264" s="60"/>
      <c r="L264" s="60"/>
      <c r="M264" s="59">
        <f>ROUND(ROUND(J264, 2)*I264, 2)</f>
        <v>103.9</v>
      </c>
      <c r="N264" s="60"/>
      <c r="O264" s="60"/>
      <c r="P264" s="59">
        <v>88.8</v>
      </c>
      <c r="Q264" s="60"/>
      <c r="R264" s="60"/>
      <c r="S264" s="59">
        <f>ROUND(ROUND(P264, 2)*I264, 2)</f>
        <v>103.9</v>
      </c>
      <c r="T264" s="60"/>
      <c r="U264" s="61"/>
      <c r="V264" s="9">
        <f>ROUND(ROUND(P264, 2)/1.2, 2)</f>
        <v>74</v>
      </c>
      <c r="Y264" s="9">
        <f t="shared" si="60"/>
        <v>86.58</v>
      </c>
      <c r="AD264" s="4" t="s">
        <v>756</v>
      </c>
      <c r="AE264" s="4" t="s">
        <v>757</v>
      </c>
      <c r="AF264" s="4" t="s">
        <v>685</v>
      </c>
    </row>
    <row r="265" spans="1:35" ht="18" x14ac:dyDescent="0.3">
      <c r="A265" s="51" t="s">
        <v>758</v>
      </c>
      <c r="B265" s="51"/>
      <c r="C265" s="56" t="s">
        <v>549</v>
      </c>
      <c r="D265" s="53"/>
      <c r="E265" s="53"/>
      <c r="F265" s="57" t="s">
        <v>265</v>
      </c>
      <c r="G265" s="58">
        <v>0.04</v>
      </c>
      <c r="H265" s="53"/>
      <c r="I265" s="58">
        <v>3.12</v>
      </c>
      <c r="J265" s="59">
        <v>47.44</v>
      </c>
      <c r="K265" s="60"/>
      <c r="L265" s="60"/>
      <c r="M265" s="59">
        <f>ROUND(ROUND(J265, 2)*I265, 2)</f>
        <v>148.01</v>
      </c>
      <c r="N265" s="60"/>
      <c r="O265" s="60"/>
      <c r="P265" s="59">
        <v>47.44</v>
      </c>
      <c r="Q265" s="60"/>
      <c r="R265" s="60"/>
      <c r="S265" s="59">
        <f>ROUND(ROUND(P265, 2)*I265, 2)</f>
        <v>148.01</v>
      </c>
      <c r="T265" s="60"/>
      <c r="U265" s="61"/>
      <c r="V265" s="9">
        <f>ROUND(ROUND(P265, 2)/1.2, 2)</f>
        <v>39.53</v>
      </c>
      <c r="Y265" s="9">
        <f t="shared" si="60"/>
        <v>123.34</v>
      </c>
      <c r="AD265" s="4" t="s">
        <v>759</v>
      </c>
      <c r="AE265" s="4" t="s">
        <v>760</v>
      </c>
      <c r="AF265" s="4" t="s">
        <v>552</v>
      </c>
    </row>
    <row r="266" spans="1:35" ht="54" x14ac:dyDescent="0.3">
      <c r="A266" s="51" t="s">
        <v>761</v>
      </c>
      <c r="B266" s="51"/>
      <c r="C266" s="56" t="s">
        <v>669</v>
      </c>
      <c r="D266" s="53"/>
      <c r="E266" s="53" t="s">
        <v>724</v>
      </c>
      <c r="F266" s="57" t="s">
        <v>369</v>
      </c>
      <c r="G266" s="58">
        <v>1.84</v>
      </c>
      <c r="H266" s="53"/>
      <c r="I266" s="62">
        <v>143.52000000000001</v>
      </c>
      <c r="J266" s="59">
        <v>450.95</v>
      </c>
      <c r="K266" s="60"/>
      <c r="L266" s="60"/>
      <c r="M266" s="59">
        <f>ROUND(ROUND(J266, 2)*I266, 2)</f>
        <v>64720.34</v>
      </c>
      <c r="N266" s="60"/>
      <c r="O266" s="60"/>
      <c r="P266" s="59">
        <v>450.95</v>
      </c>
      <c r="Q266" s="60"/>
      <c r="R266" s="60"/>
      <c r="S266" s="59">
        <f>ROUND(ROUND(P266, 2)*I266, 2)</f>
        <v>64720.34</v>
      </c>
      <c r="T266" s="60"/>
      <c r="U266" s="61"/>
      <c r="V266" s="9">
        <f>ROUND(ROUND(P266, 2)/1.2, 2)</f>
        <v>375.79</v>
      </c>
      <c r="Y266" s="9">
        <f t="shared" si="60"/>
        <v>53933.62</v>
      </c>
      <c r="AD266" s="4" t="s">
        <v>762</v>
      </c>
      <c r="AE266" s="4" t="s">
        <v>763</v>
      </c>
      <c r="AF266" s="4" t="s">
        <v>672</v>
      </c>
    </row>
    <row r="267" spans="1:35" ht="36" x14ac:dyDescent="0.3">
      <c r="A267" s="51" t="s">
        <v>764</v>
      </c>
      <c r="B267" s="51"/>
      <c r="C267" s="47" t="s">
        <v>662</v>
      </c>
      <c r="D267" s="53"/>
      <c r="E267" s="53"/>
      <c r="F267" s="57" t="s">
        <v>265</v>
      </c>
      <c r="G267" s="58">
        <v>0.7</v>
      </c>
      <c r="H267" s="53"/>
      <c r="I267" s="62">
        <v>54.6</v>
      </c>
      <c r="J267" s="59">
        <v>16.12</v>
      </c>
      <c r="K267" s="60"/>
      <c r="L267" s="60"/>
      <c r="M267" s="59">
        <f>ROUND(ROUND(J267, 2)*I267, 2)</f>
        <v>880.15</v>
      </c>
      <c r="N267" s="60"/>
      <c r="O267" s="60"/>
      <c r="P267" s="59">
        <v>16.11</v>
      </c>
      <c r="Q267" s="60"/>
      <c r="R267" s="60"/>
      <c r="S267" s="59">
        <f>ROUND(ROUND(P267, 2)*I267, 2)</f>
        <v>879.61</v>
      </c>
      <c r="T267" s="60"/>
      <c r="U267" s="61"/>
      <c r="V267" s="9">
        <f>ROUND(ROUND(P267, 2)/1.2, 2)</f>
        <v>13.43</v>
      </c>
      <c r="Y267" s="9">
        <f t="shared" si="60"/>
        <v>733.01</v>
      </c>
      <c r="AD267" s="4" t="s">
        <v>765</v>
      </c>
      <c r="AE267" s="4" t="s">
        <v>766</v>
      </c>
      <c r="AF267" s="4" t="s">
        <v>665</v>
      </c>
    </row>
    <row r="268" spans="1:35" ht="54" x14ac:dyDescent="0.3">
      <c r="A268" s="17" t="s">
        <v>767</v>
      </c>
      <c r="B268" s="17" t="s">
        <v>768</v>
      </c>
      <c r="C268" s="18" t="s">
        <v>769</v>
      </c>
      <c r="D268" s="19"/>
      <c r="E268" s="19"/>
      <c r="F268" s="19" t="s">
        <v>59</v>
      </c>
      <c r="G268" s="20">
        <v>1</v>
      </c>
      <c r="H268" s="19"/>
      <c r="I268" s="21">
        <v>0</v>
      </c>
      <c r="J268" s="22">
        <f>IFERROR(ROUND(SUM(M270,M272,M274,M276)/I268, 2),0)</f>
        <v>0</v>
      </c>
      <c r="K268" s="22">
        <v>1655</v>
      </c>
      <c r="L268" s="22">
        <f>J268+ROUND(K268, 2)</f>
        <v>1655</v>
      </c>
      <c r="M268" s="22">
        <f>ROUND(J268*I268, 2)</f>
        <v>0</v>
      </c>
      <c r="N268" s="22">
        <f>ROUND(I268*ROUND(K268, 2), 2)</f>
        <v>0</v>
      </c>
      <c r="O268" s="22">
        <f>M268+N268</f>
        <v>0</v>
      </c>
      <c r="P268" s="22">
        <f>IFERROR(ROUND(SUM(S270,S272,S274,S276)/I268, 2),0)</f>
        <v>0</v>
      </c>
      <c r="Q268" s="22">
        <v>1655</v>
      </c>
      <c r="R268" s="22">
        <f>P268+ROUND(Q268, 2)</f>
        <v>1655</v>
      </c>
      <c r="S268" s="22">
        <f>ROUND(P268*I268, 2)</f>
        <v>0</v>
      </c>
      <c r="T268" s="22">
        <f>ROUND(I268*ROUND(Q268, 2), 2)</f>
        <v>0</v>
      </c>
      <c r="U268" s="22">
        <f>S268+T268</f>
        <v>0</v>
      </c>
      <c r="V268" s="9">
        <f>ROUND(P268 / 1.2, 2)</f>
        <v>0</v>
      </c>
      <c r="W268" s="9">
        <f>ROUND(Q268 / 1.2, 2)</f>
        <v>1379.17</v>
      </c>
      <c r="X268" s="9">
        <f>ROUND(R268 / 1.2, 2)</f>
        <v>1379.17</v>
      </c>
      <c r="Y268" s="9">
        <f t="shared" si="60"/>
        <v>0</v>
      </c>
      <c r="Z268" s="9">
        <f>ROUND(T268 / 1.2, 2)</f>
        <v>0</v>
      </c>
      <c r="AA268" s="9">
        <f>Y268+Z268</f>
        <v>0</v>
      </c>
      <c r="AD268" s="4">
        <v>304337553</v>
      </c>
      <c r="AE268" s="4">
        <v>20317965</v>
      </c>
      <c r="AG268" s="4" t="s">
        <v>770</v>
      </c>
      <c r="AH268" s="4" t="s">
        <v>771</v>
      </c>
      <c r="AI268" s="4" t="s">
        <v>260</v>
      </c>
    </row>
    <row r="269" spans="1:35" ht="54" x14ac:dyDescent="0.3">
      <c r="A269" s="23" t="s">
        <v>772</v>
      </c>
      <c r="B269" s="23" t="s">
        <v>768</v>
      </c>
      <c r="C269" s="24" t="s">
        <v>769</v>
      </c>
      <c r="D269" s="25"/>
      <c r="E269" s="25" t="s">
        <v>773</v>
      </c>
      <c r="F269" s="25" t="s">
        <v>59</v>
      </c>
      <c r="G269" s="26">
        <v>1</v>
      </c>
      <c r="H269" s="25"/>
      <c r="I269" s="26">
        <v>370.9</v>
      </c>
      <c r="J269" s="27">
        <v>0</v>
      </c>
      <c r="K269" s="27">
        <v>1655</v>
      </c>
      <c r="L269" s="27"/>
      <c r="M269" s="27">
        <v>0</v>
      </c>
      <c r="N269" s="27"/>
      <c r="O269" s="27"/>
      <c r="P269" s="27">
        <v>0</v>
      </c>
      <c r="Q269" s="27">
        <v>1655</v>
      </c>
      <c r="R269" s="27"/>
      <c r="S269" s="27">
        <v>0</v>
      </c>
      <c r="T269" s="27"/>
      <c r="U269" s="27"/>
      <c r="V269" s="9"/>
      <c r="W269" s="9">
        <f>ROUND(Q269 / 1.2, 2)</f>
        <v>1379.17</v>
      </c>
      <c r="X269" s="9" t="e">
        <f>ROUND(R269 / 1.2, 2)</f>
        <v>#VALUE!</v>
      </c>
      <c r="Y269" s="9"/>
      <c r="Z269" s="9" t="e">
        <f>ROUND(T269 / 1.2, 2)</f>
        <v>#VALUE!</v>
      </c>
      <c r="AA269" s="9"/>
      <c r="AD269" s="4">
        <v>278420231</v>
      </c>
      <c r="AE269" s="4">
        <v>20317965</v>
      </c>
      <c r="AG269" s="4" t="s">
        <v>770</v>
      </c>
      <c r="AH269" s="4" t="s">
        <v>771</v>
      </c>
      <c r="AI269" s="4"/>
    </row>
    <row r="270" spans="1:35" ht="36" x14ac:dyDescent="0.3">
      <c r="A270" s="17" t="s">
        <v>774</v>
      </c>
      <c r="B270" s="17"/>
      <c r="C270" s="34" t="s">
        <v>775</v>
      </c>
      <c r="D270" s="19"/>
      <c r="E270" s="19"/>
      <c r="F270" s="35" t="s">
        <v>265</v>
      </c>
      <c r="G270" s="36">
        <v>7</v>
      </c>
      <c r="H270" s="19"/>
      <c r="I270" s="37">
        <v>0</v>
      </c>
      <c r="J270" s="38">
        <v>16.96</v>
      </c>
      <c r="K270" s="39"/>
      <c r="L270" s="39"/>
      <c r="M270" s="38">
        <f t="shared" ref="M270:M277" si="61">ROUND(ROUND(J270, 2)*I270, 2)</f>
        <v>0</v>
      </c>
      <c r="N270" s="39"/>
      <c r="O270" s="39"/>
      <c r="P270" s="38">
        <v>16.96</v>
      </c>
      <c r="Q270" s="39"/>
      <c r="R270" s="39"/>
      <c r="S270" s="38">
        <f t="shared" ref="S270:S277" si="62">ROUND(ROUND(P270, 2)*I270, 2)</f>
        <v>0</v>
      </c>
      <c r="T270" s="39"/>
      <c r="U270" s="40"/>
      <c r="V270" s="9">
        <f t="shared" ref="V270:V277" si="63">ROUND(ROUND(P270, 2)/1.2, 2)</f>
        <v>14.13</v>
      </c>
      <c r="Y270" s="9">
        <f t="shared" ref="Y270:Y283" si="64">ROUND(S270 / 1.2, 2)</f>
        <v>0</v>
      </c>
      <c r="AD270" s="4" t="s">
        <v>776</v>
      </c>
      <c r="AE270" s="4" t="s">
        <v>777</v>
      </c>
      <c r="AF270" s="4" t="s">
        <v>778</v>
      </c>
    </row>
    <row r="271" spans="1:35" ht="36" x14ac:dyDescent="0.3">
      <c r="A271" s="23" t="s">
        <v>779</v>
      </c>
      <c r="B271" s="23"/>
      <c r="C271" s="41" t="s">
        <v>775</v>
      </c>
      <c r="D271" s="25"/>
      <c r="E271" s="25"/>
      <c r="F271" s="42" t="s">
        <v>265</v>
      </c>
      <c r="G271" s="43">
        <v>7</v>
      </c>
      <c r="H271" s="25"/>
      <c r="I271" s="43">
        <v>2596.3000000000002</v>
      </c>
      <c r="J271" s="44">
        <v>16.96</v>
      </c>
      <c r="K271" s="45"/>
      <c r="L271" s="45"/>
      <c r="M271" s="44">
        <f t="shared" si="61"/>
        <v>44033.25</v>
      </c>
      <c r="N271" s="45"/>
      <c r="O271" s="45"/>
      <c r="P271" s="44">
        <v>16.96</v>
      </c>
      <c r="Q271" s="45"/>
      <c r="R271" s="45"/>
      <c r="S271" s="44">
        <f t="shared" si="62"/>
        <v>44033.25</v>
      </c>
      <c r="T271" s="45"/>
      <c r="U271" s="46"/>
      <c r="V271" s="9">
        <f t="shared" si="63"/>
        <v>14.13</v>
      </c>
      <c r="Y271" s="9">
        <f t="shared" si="64"/>
        <v>36694.379999999997</v>
      </c>
      <c r="AD271" s="4" t="s">
        <v>780</v>
      </c>
      <c r="AE271" s="4" t="s">
        <v>777</v>
      </c>
      <c r="AF271" s="4" t="s">
        <v>778</v>
      </c>
    </row>
    <row r="272" spans="1:35" ht="36" x14ac:dyDescent="0.3">
      <c r="A272" s="17" t="s">
        <v>781</v>
      </c>
      <c r="B272" s="17"/>
      <c r="C272" s="34" t="s">
        <v>782</v>
      </c>
      <c r="D272" s="19"/>
      <c r="E272" s="19"/>
      <c r="F272" s="35" t="s">
        <v>59</v>
      </c>
      <c r="G272" s="36">
        <v>1.07</v>
      </c>
      <c r="H272" s="19"/>
      <c r="I272" s="48">
        <v>0</v>
      </c>
      <c r="J272" s="38">
        <v>845.25</v>
      </c>
      <c r="K272" s="39"/>
      <c r="L272" s="39"/>
      <c r="M272" s="38">
        <f t="shared" si="61"/>
        <v>0</v>
      </c>
      <c r="N272" s="39"/>
      <c r="O272" s="39"/>
      <c r="P272" s="38">
        <v>845.25</v>
      </c>
      <c r="Q272" s="39"/>
      <c r="R272" s="39"/>
      <c r="S272" s="38">
        <f t="shared" si="62"/>
        <v>0</v>
      </c>
      <c r="T272" s="39"/>
      <c r="U272" s="40"/>
      <c r="V272" s="9">
        <f t="shared" si="63"/>
        <v>704.38</v>
      </c>
      <c r="Y272" s="9">
        <f t="shared" si="64"/>
        <v>0</v>
      </c>
      <c r="AD272" s="4" t="s">
        <v>783</v>
      </c>
      <c r="AE272" s="4" t="s">
        <v>784</v>
      </c>
      <c r="AF272" s="4" t="s">
        <v>785</v>
      </c>
    </row>
    <row r="273" spans="1:35" ht="72" x14ac:dyDescent="0.3">
      <c r="A273" s="23" t="s">
        <v>786</v>
      </c>
      <c r="B273" s="23"/>
      <c r="C273" s="41" t="s">
        <v>782</v>
      </c>
      <c r="D273" s="25"/>
      <c r="E273" s="25" t="s">
        <v>787</v>
      </c>
      <c r="F273" s="42" t="s">
        <v>59</v>
      </c>
      <c r="G273" s="43">
        <v>1.07</v>
      </c>
      <c r="H273" s="25"/>
      <c r="I273" s="50">
        <v>396.863</v>
      </c>
      <c r="J273" s="44">
        <v>845.25</v>
      </c>
      <c r="K273" s="45"/>
      <c r="L273" s="45"/>
      <c r="M273" s="44">
        <f t="shared" si="61"/>
        <v>335448.45</v>
      </c>
      <c r="N273" s="45"/>
      <c r="O273" s="45"/>
      <c r="P273" s="44">
        <v>845.25</v>
      </c>
      <c r="Q273" s="45"/>
      <c r="R273" s="45"/>
      <c r="S273" s="44">
        <f t="shared" si="62"/>
        <v>335448.45</v>
      </c>
      <c r="T273" s="45"/>
      <c r="U273" s="46"/>
      <c r="V273" s="9">
        <f t="shared" si="63"/>
        <v>704.38</v>
      </c>
      <c r="Y273" s="9">
        <f t="shared" si="64"/>
        <v>279540.38</v>
      </c>
      <c r="AD273" s="4" t="s">
        <v>788</v>
      </c>
      <c r="AE273" s="4" t="s">
        <v>784</v>
      </c>
      <c r="AF273" s="4" t="s">
        <v>785</v>
      </c>
    </row>
    <row r="274" spans="1:35" ht="36" x14ac:dyDescent="0.3">
      <c r="A274" s="17" t="s">
        <v>789</v>
      </c>
      <c r="B274" s="17"/>
      <c r="C274" s="34" t="s">
        <v>790</v>
      </c>
      <c r="D274" s="19"/>
      <c r="E274" s="19"/>
      <c r="F274" s="35" t="s">
        <v>265</v>
      </c>
      <c r="G274" s="36">
        <v>0.25</v>
      </c>
      <c r="H274" s="19"/>
      <c r="I274" s="48">
        <v>0</v>
      </c>
      <c r="J274" s="38">
        <v>40.270000000000003</v>
      </c>
      <c r="K274" s="39"/>
      <c r="L274" s="39"/>
      <c r="M274" s="38">
        <f t="shared" si="61"/>
        <v>0</v>
      </c>
      <c r="N274" s="39"/>
      <c r="O274" s="39"/>
      <c r="P274" s="38">
        <v>40.270000000000003</v>
      </c>
      <c r="Q274" s="39"/>
      <c r="R274" s="39"/>
      <c r="S274" s="38">
        <f t="shared" si="62"/>
        <v>0</v>
      </c>
      <c r="T274" s="39"/>
      <c r="U274" s="40"/>
      <c r="V274" s="9">
        <f t="shared" si="63"/>
        <v>33.56</v>
      </c>
      <c r="Y274" s="9">
        <f t="shared" si="64"/>
        <v>0</v>
      </c>
      <c r="AD274" s="4" t="s">
        <v>791</v>
      </c>
      <c r="AE274" s="4" t="s">
        <v>792</v>
      </c>
      <c r="AF274" s="4" t="s">
        <v>793</v>
      </c>
    </row>
    <row r="275" spans="1:35" ht="36" x14ac:dyDescent="0.3">
      <c r="A275" s="23" t="s">
        <v>794</v>
      </c>
      <c r="B275" s="23"/>
      <c r="C275" s="41" t="s">
        <v>790</v>
      </c>
      <c r="D275" s="25"/>
      <c r="E275" s="25"/>
      <c r="F275" s="42" t="s">
        <v>265</v>
      </c>
      <c r="G275" s="43">
        <v>0.25</v>
      </c>
      <c r="H275" s="25"/>
      <c r="I275" s="50">
        <v>92.724999999999994</v>
      </c>
      <c r="J275" s="44">
        <v>40.270000000000003</v>
      </c>
      <c r="K275" s="45"/>
      <c r="L275" s="45"/>
      <c r="M275" s="44">
        <f t="shared" si="61"/>
        <v>3734.04</v>
      </c>
      <c r="N275" s="45"/>
      <c r="O275" s="45"/>
      <c r="P275" s="44">
        <v>40.270000000000003</v>
      </c>
      <c r="Q275" s="45"/>
      <c r="R275" s="45"/>
      <c r="S275" s="44">
        <f t="shared" si="62"/>
        <v>3734.04</v>
      </c>
      <c r="T275" s="45"/>
      <c r="U275" s="46"/>
      <c r="V275" s="9">
        <f t="shared" si="63"/>
        <v>33.56</v>
      </c>
      <c r="Y275" s="9">
        <f t="shared" si="64"/>
        <v>3111.7</v>
      </c>
      <c r="AD275" s="4" t="s">
        <v>795</v>
      </c>
      <c r="AE275" s="4" t="s">
        <v>792</v>
      </c>
      <c r="AF275" s="4" t="s">
        <v>793</v>
      </c>
    </row>
    <row r="276" spans="1:35" ht="36" x14ac:dyDescent="0.3">
      <c r="A276" s="17" t="s">
        <v>796</v>
      </c>
      <c r="B276" s="17"/>
      <c r="C276" s="34" t="s">
        <v>682</v>
      </c>
      <c r="D276" s="19"/>
      <c r="E276" s="19"/>
      <c r="F276" s="35" t="s">
        <v>265</v>
      </c>
      <c r="G276" s="36">
        <v>0.15</v>
      </c>
      <c r="H276" s="19"/>
      <c r="I276" s="37">
        <v>0</v>
      </c>
      <c r="J276" s="38">
        <v>88.8</v>
      </c>
      <c r="K276" s="39"/>
      <c r="L276" s="39"/>
      <c r="M276" s="38">
        <f t="shared" si="61"/>
        <v>0</v>
      </c>
      <c r="N276" s="39"/>
      <c r="O276" s="39"/>
      <c r="P276" s="38">
        <v>88.8</v>
      </c>
      <c r="Q276" s="39"/>
      <c r="R276" s="39"/>
      <c r="S276" s="38">
        <f t="shared" si="62"/>
        <v>0</v>
      </c>
      <c r="T276" s="39"/>
      <c r="U276" s="40"/>
      <c r="V276" s="9">
        <f t="shared" si="63"/>
        <v>74</v>
      </c>
      <c r="Y276" s="9">
        <f t="shared" si="64"/>
        <v>0</v>
      </c>
      <c r="AD276" s="4" t="s">
        <v>797</v>
      </c>
      <c r="AE276" s="4" t="s">
        <v>798</v>
      </c>
      <c r="AF276" s="4" t="s">
        <v>685</v>
      </c>
    </row>
    <row r="277" spans="1:35" ht="36" x14ac:dyDescent="0.3">
      <c r="A277" s="23" t="s">
        <v>799</v>
      </c>
      <c r="B277" s="23"/>
      <c r="C277" s="41" t="s">
        <v>682</v>
      </c>
      <c r="D277" s="25"/>
      <c r="E277" s="25"/>
      <c r="F277" s="42" t="s">
        <v>265</v>
      </c>
      <c r="G277" s="43">
        <v>0.15</v>
      </c>
      <c r="H277" s="25"/>
      <c r="I277" s="43">
        <v>55.634999999999998</v>
      </c>
      <c r="J277" s="44">
        <v>88.8</v>
      </c>
      <c r="K277" s="45"/>
      <c r="L277" s="45"/>
      <c r="M277" s="44">
        <f t="shared" si="61"/>
        <v>4940.3900000000003</v>
      </c>
      <c r="N277" s="45"/>
      <c r="O277" s="45"/>
      <c r="P277" s="44">
        <v>88.8</v>
      </c>
      <c r="Q277" s="45"/>
      <c r="R277" s="45"/>
      <c r="S277" s="44">
        <f t="shared" si="62"/>
        <v>4940.3900000000003</v>
      </c>
      <c r="T277" s="45"/>
      <c r="U277" s="46"/>
      <c r="V277" s="9">
        <f t="shared" si="63"/>
        <v>74</v>
      </c>
      <c r="Y277" s="9">
        <f t="shared" si="64"/>
        <v>4116.99</v>
      </c>
      <c r="AD277" s="4" t="s">
        <v>800</v>
      </c>
      <c r="AE277" s="4" t="s">
        <v>798</v>
      </c>
      <c r="AF277" s="4" t="s">
        <v>685</v>
      </c>
    </row>
    <row r="278" spans="1:35" ht="54" x14ac:dyDescent="0.3">
      <c r="A278" s="51" t="s">
        <v>801</v>
      </c>
      <c r="B278" s="51" t="s">
        <v>768</v>
      </c>
      <c r="C278" s="52" t="s">
        <v>769</v>
      </c>
      <c r="D278" s="53"/>
      <c r="E278" s="53" t="s">
        <v>773</v>
      </c>
      <c r="F278" s="53" t="s">
        <v>59</v>
      </c>
      <c r="G278" s="54">
        <v>1</v>
      </c>
      <c r="H278" s="53"/>
      <c r="I278" s="54">
        <v>370.9</v>
      </c>
      <c r="J278" s="55">
        <f>IFERROR(ROUND(SUM(M279,M280,M281,M282)/I278, 2),0)</f>
        <v>1040.6600000000001</v>
      </c>
      <c r="K278" s="55">
        <v>1655</v>
      </c>
      <c r="L278" s="55">
        <f>J278+ROUND(K278, 2)</f>
        <v>2695.66</v>
      </c>
      <c r="M278" s="55">
        <f>ROUND(J278*I278, 2)</f>
        <v>385980.79</v>
      </c>
      <c r="N278" s="55">
        <f>ROUND(I278*ROUND(K278, 2), 2)</f>
        <v>613839.5</v>
      </c>
      <c r="O278" s="55">
        <f>M278+N278</f>
        <v>999820.29</v>
      </c>
      <c r="P278" s="55">
        <f>IFERROR(ROUND(SUM(S279,S280,S281,S282)/I278, 2),0)</f>
        <v>1040.58</v>
      </c>
      <c r="Q278" s="55">
        <v>2482.5</v>
      </c>
      <c r="R278" s="55">
        <f>P278+ROUND(Q278, 2)</f>
        <v>3523.08</v>
      </c>
      <c r="S278" s="55">
        <f>ROUND(P278*I278, 2)</f>
        <v>385951.12</v>
      </c>
      <c r="T278" s="55">
        <f>ROUND(I278*ROUND(Q278, 2), 2)</f>
        <v>920759.25</v>
      </c>
      <c r="U278" s="55">
        <f>S278+T278</f>
        <v>1306710.3700000001</v>
      </c>
      <c r="V278" s="9">
        <f>ROUND(P278 / 1.2, 2)</f>
        <v>867.15</v>
      </c>
      <c r="W278" s="9">
        <f>ROUND(Q278 / 1.2, 2)</f>
        <v>2068.75</v>
      </c>
      <c r="X278" s="9">
        <f>ROUND(R278 / 1.2, 2)</f>
        <v>2935.9</v>
      </c>
      <c r="Y278" s="9">
        <f t="shared" si="64"/>
        <v>321625.93</v>
      </c>
      <c r="Z278" s="9">
        <f>ROUND(T278 / 1.2, 2)</f>
        <v>767299.38</v>
      </c>
      <c r="AA278" s="9">
        <f>Y278+Z278</f>
        <v>1088925.31</v>
      </c>
      <c r="AD278" s="4">
        <v>304337626</v>
      </c>
      <c r="AE278" s="4">
        <v>21935198</v>
      </c>
      <c r="AG278" s="4" t="s">
        <v>770</v>
      </c>
      <c r="AH278" s="4" t="s">
        <v>771</v>
      </c>
      <c r="AI278" s="4" t="s">
        <v>260</v>
      </c>
    </row>
    <row r="279" spans="1:35" ht="36" x14ac:dyDescent="0.3">
      <c r="A279" s="51" t="s">
        <v>802</v>
      </c>
      <c r="B279" s="51"/>
      <c r="C279" s="56" t="s">
        <v>682</v>
      </c>
      <c r="D279" s="53"/>
      <c r="E279" s="53"/>
      <c r="F279" s="57" t="s">
        <v>265</v>
      </c>
      <c r="G279" s="58">
        <v>0.15</v>
      </c>
      <c r="H279" s="53"/>
      <c r="I279" s="58">
        <v>55.634999999999998</v>
      </c>
      <c r="J279" s="59">
        <v>88.8</v>
      </c>
      <c r="K279" s="60"/>
      <c r="L279" s="60"/>
      <c r="M279" s="59">
        <f>ROUND(ROUND(J279, 2)*I279, 2)</f>
        <v>4940.3900000000003</v>
      </c>
      <c r="N279" s="60"/>
      <c r="O279" s="60"/>
      <c r="P279" s="59">
        <v>88.8</v>
      </c>
      <c r="Q279" s="60"/>
      <c r="R279" s="60"/>
      <c r="S279" s="59">
        <f>ROUND(ROUND(P279, 2)*I279, 2)</f>
        <v>4940.3900000000003</v>
      </c>
      <c r="T279" s="60"/>
      <c r="U279" s="61"/>
      <c r="V279" s="9">
        <f>ROUND(ROUND(P279, 2)/1.2, 2)</f>
        <v>74</v>
      </c>
      <c r="Y279" s="9">
        <f t="shared" si="64"/>
        <v>4116.99</v>
      </c>
      <c r="AD279" s="4" t="s">
        <v>803</v>
      </c>
      <c r="AE279" s="4" t="s">
        <v>804</v>
      </c>
      <c r="AF279" s="4" t="s">
        <v>685</v>
      </c>
    </row>
    <row r="280" spans="1:35" ht="36" x14ac:dyDescent="0.3">
      <c r="A280" s="51" t="s">
        <v>805</v>
      </c>
      <c r="B280" s="51"/>
      <c r="C280" s="56" t="s">
        <v>790</v>
      </c>
      <c r="D280" s="53"/>
      <c r="E280" s="53"/>
      <c r="F280" s="57" t="s">
        <v>265</v>
      </c>
      <c r="G280" s="58">
        <v>0.25</v>
      </c>
      <c r="H280" s="53"/>
      <c r="I280" s="62">
        <v>92.724999999999994</v>
      </c>
      <c r="J280" s="59">
        <v>40.270000000000003</v>
      </c>
      <c r="K280" s="60"/>
      <c r="L280" s="60"/>
      <c r="M280" s="59">
        <f>ROUND(ROUND(J280, 2)*I280, 2)</f>
        <v>3734.04</v>
      </c>
      <c r="N280" s="60"/>
      <c r="O280" s="60"/>
      <c r="P280" s="59">
        <v>40.270000000000003</v>
      </c>
      <c r="Q280" s="60"/>
      <c r="R280" s="60"/>
      <c r="S280" s="59">
        <f>ROUND(ROUND(P280, 2)*I280, 2)</f>
        <v>3734.04</v>
      </c>
      <c r="T280" s="60"/>
      <c r="U280" s="61"/>
      <c r="V280" s="9">
        <f>ROUND(ROUND(P280, 2)/1.2, 2)</f>
        <v>33.56</v>
      </c>
      <c r="Y280" s="9">
        <f t="shared" si="64"/>
        <v>3111.7</v>
      </c>
      <c r="AD280" s="4" t="s">
        <v>806</v>
      </c>
      <c r="AE280" s="4" t="s">
        <v>807</v>
      </c>
      <c r="AF280" s="4" t="s">
        <v>793</v>
      </c>
    </row>
    <row r="281" spans="1:35" ht="72" x14ac:dyDescent="0.3">
      <c r="A281" s="51" t="s">
        <v>808</v>
      </c>
      <c r="B281" s="51"/>
      <c r="C281" s="56" t="s">
        <v>782</v>
      </c>
      <c r="D281" s="53"/>
      <c r="E281" s="53" t="s">
        <v>787</v>
      </c>
      <c r="F281" s="57" t="s">
        <v>59</v>
      </c>
      <c r="G281" s="58">
        <v>1.07</v>
      </c>
      <c r="H281" s="53"/>
      <c r="I281" s="62">
        <v>396.863</v>
      </c>
      <c r="J281" s="59">
        <v>845.26</v>
      </c>
      <c r="K281" s="60"/>
      <c r="L281" s="60"/>
      <c r="M281" s="59">
        <f>ROUND(ROUND(J281, 2)*I281, 2)</f>
        <v>335452.42</v>
      </c>
      <c r="N281" s="60"/>
      <c r="O281" s="60"/>
      <c r="P281" s="59">
        <v>845.25</v>
      </c>
      <c r="Q281" s="60"/>
      <c r="R281" s="60"/>
      <c r="S281" s="59">
        <f>ROUND(ROUND(P281, 2)*I281, 2)</f>
        <v>335448.45</v>
      </c>
      <c r="T281" s="60"/>
      <c r="U281" s="61"/>
      <c r="V281" s="9">
        <f>ROUND(ROUND(P281, 2)/1.2, 2)</f>
        <v>704.38</v>
      </c>
      <c r="Y281" s="9">
        <f t="shared" si="64"/>
        <v>279540.38</v>
      </c>
      <c r="AD281" s="4" t="s">
        <v>809</v>
      </c>
      <c r="AE281" s="4" t="s">
        <v>810</v>
      </c>
      <c r="AF281" s="4" t="s">
        <v>785</v>
      </c>
    </row>
    <row r="282" spans="1:35" ht="36" x14ac:dyDescent="0.3">
      <c r="A282" s="51" t="s">
        <v>811</v>
      </c>
      <c r="B282" s="51"/>
      <c r="C282" s="47" t="s">
        <v>775</v>
      </c>
      <c r="D282" s="53"/>
      <c r="E282" s="53"/>
      <c r="F282" s="57" t="s">
        <v>265</v>
      </c>
      <c r="G282" s="58">
        <v>7</v>
      </c>
      <c r="H282" s="53"/>
      <c r="I282" s="58">
        <v>2596.3000000000002</v>
      </c>
      <c r="J282" s="59">
        <v>16.12</v>
      </c>
      <c r="K282" s="60"/>
      <c r="L282" s="60"/>
      <c r="M282" s="59">
        <f>ROUND(ROUND(J282, 2)*I282, 2)</f>
        <v>41852.36</v>
      </c>
      <c r="N282" s="60"/>
      <c r="O282" s="60"/>
      <c r="P282" s="59">
        <v>16.11</v>
      </c>
      <c r="Q282" s="60"/>
      <c r="R282" s="60"/>
      <c r="S282" s="59">
        <f>ROUND(ROUND(P282, 2)*I282, 2)</f>
        <v>41826.39</v>
      </c>
      <c r="T282" s="60"/>
      <c r="U282" s="61"/>
      <c r="V282" s="9">
        <f>ROUND(ROUND(P282, 2)/1.2, 2)</f>
        <v>13.43</v>
      </c>
      <c r="Y282" s="9">
        <f t="shared" si="64"/>
        <v>34855.33</v>
      </c>
      <c r="AD282" s="4" t="s">
        <v>812</v>
      </c>
      <c r="AE282" s="4" t="s">
        <v>813</v>
      </c>
      <c r="AF282" s="4" t="s">
        <v>778</v>
      </c>
    </row>
    <row r="283" spans="1:35" ht="54" x14ac:dyDescent="0.3">
      <c r="A283" s="17" t="s">
        <v>814</v>
      </c>
      <c r="B283" s="17" t="s">
        <v>815</v>
      </c>
      <c r="C283" s="18" t="s">
        <v>816</v>
      </c>
      <c r="D283" s="19"/>
      <c r="E283" s="19"/>
      <c r="F283" s="19" t="s">
        <v>59</v>
      </c>
      <c r="G283" s="20">
        <v>1</v>
      </c>
      <c r="H283" s="19"/>
      <c r="I283" s="21">
        <v>0</v>
      </c>
      <c r="J283" s="22">
        <f>IFERROR(ROUND(SUM(M285,M287,M289,M291)/I283, 2),0)</f>
        <v>0</v>
      </c>
      <c r="K283" s="22">
        <v>2785</v>
      </c>
      <c r="L283" s="22">
        <f>J283+ROUND(K283, 2)</f>
        <v>2785</v>
      </c>
      <c r="M283" s="22">
        <f>ROUND(J283*I283, 2)</f>
        <v>0</v>
      </c>
      <c r="N283" s="22">
        <f>ROUND(I283*ROUND(K283, 2), 2)</f>
        <v>0</v>
      </c>
      <c r="O283" s="22">
        <f>M283+N283</f>
        <v>0</v>
      </c>
      <c r="P283" s="22">
        <f>IFERROR(ROUND(SUM(S285,S287,S289,S291)/I283, 2),0)</f>
        <v>0</v>
      </c>
      <c r="Q283" s="22">
        <v>2785</v>
      </c>
      <c r="R283" s="22">
        <f>P283+ROUND(Q283, 2)</f>
        <v>2785</v>
      </c>
      <c r="S283" s="22">
        <f>ROUND(P283*I283, 2)</f>
        <v>0</v>
      </c>
      <c r="T283" s="22">
        <f>ROUND(I283*ROUND(Q283, 2), 2)</f>
        <v>0</v>
      </c>
      <c r="U283" s="22">
        <f>S283+T283</f>
        <v>0</v>
      </c>
      <c r="V283" s="9">
        <f>ROUND(P283 / 1.2, 2)</f>
        <v>0</v>
      </c>
      <c r="W283" s="9">
        <f>ROUND(Q283 / 1.2, 2)</f>
        <v>2320.83</v>
      </c>
      <c r="X283" s="9">
        <f>ROUND(R283 / 1.2, 2)</f>
        <v>2320.83</v>
      </c>
      <c r="Y283" s="9">
        <f t="shared" si="64"/>
        <v>0</v>
      </c>
      <c r="Z283" s="9">
        <f>ROUND(T283 / 1.2, 2)</f>
        <v>0</v>
      </c>
      <c r="AA283" s="9">
        <f>Y283+Z283</f>
        <v>0</v>
      </c>
      <c r="AD283" s="4">
        <v>304337554</v>
      </c>
      <c r="AE283" s="4">
        <v>20317960</v>
      </c>
      <c r="AG283" s="4" t="s">
        <v>817</v>
      </c>
      <c r="AH283" s="4" t="s">
        <v>818</v>
      </c>
      <c r="AI283" s="4" t="s">
        <v>260</v>
      </c>
    </row>
    <row r="284" spans="1:35" ht="54" x14ac:dyDescent="0.3">
      <c r="A284" s="23" t="s">
        <v>819</v>
      </c>
      <c r="B284" s="23" t="s">
        <v>815</v>
      </c>
      <c r="C284" s="24" t="s">
        <v>816</v>
      </c>
      <c r="D284" s="25"/>
      <c r="E284" s="25" t="s">
        <v>820</v>
      </c>
      <c r="F284" s="25" t="s">
        <v>59</v>
      </c>
      <c r="G284" s="26">
        <v>1</v>
      </c>
      <c r="H284" s="25"/>
      <c r="I284" s="26">
        <v>1132.5</v>
      </c>
      <c r="J284" s="27">
        <v>0</v>
      </c>
      <c r="K284" s="27">
        <v>2785</v>
      </c>
      <c r="L284" s="27"/>
      <c r="M284" s="27">
        <v>0</v>
      </c>
      <c r="N284" s="27"/>
      <c r="O284" s="27"/>
      <c r="P284" s="27">
        <v>0</v>
      </c>
      <c r="Q284" s="27">
        <v>2785</v>
      </c>
      <c r="R284" s="27"/>
      <c r="S284" s="27">
        <v>0</v>
      </c>
      <c r="T284" s="27"/>
      <c r="U284" s="27"/>
      <c r="V284" s="9"/>
      <c r="W284" s="9">
        <f>ROUND(Q284 / 1.2, 2)</f>
        <v>2320.83</v>
      </c>
      <c r="X284" s="9" t="e">
        <f>ROUND(R284 / 1.2, 2)</f>
        <v>#VALUE!</v>
      </c>
      <c r="Y284" s="9"/>
      <c r="Z284" s="9" t="e">
        <f>ROUND(T284 / 1.2, 2)</f>
        <v>#VALUE!</v>
      </c>
      <c r="AA284" s="9"/>
      <c r="AD284" s="4">
        <v>281967384</v>
      </c>
      <c r="AE284" s="4">
        <v>20317960</v>
      </c>
      <c r="AG284" s="4" t="s">
        <v>817</v>
      </c>
      <c r="AH284" s="4" t="s">
        <v>818</v>
      </c>
      <c r="AI284" s="4"/>
    </row>
    <row r="285" spans="1:35" ht="36" x14ac:dyDescent="0.3">
      <c r="A285" s="17" t="s">
        <v>821</v>
      </c>
      <c r="B285" s="17"/>
      <c r="C285" s="34" t="s">
        <v>822</v>
      </c>
      <c r="D285" s="19"/>
      <c r="E285" s="19"/>
      <c r="F285" s="35" t="s">
        <v>265</v>
      </c>
      <c r="G285" s="36">
        <v>1.2</v>
      </c>
      <c r="H285" s="19"/>
      <c r="I285" s="48">
        <v>0</v>
      </c>
      <c r="J285" s="38">
        <v>16.96</v>
      </c>
      <c r="K285" s="39"/>
      <c r="L285" s="39"/>
      <c r="M285" s="38">
        <f t="shared" ref="M285:M292" si="65">ROUND(ROUND(J285, 2)*I285, 2)</f>
        <v>0</v>
      </c>
      <c r="N285" s="39"/>
      <c r="O285" s="39"/>
      <c r="P285" s="38">
        <v>16.96</v>
      </c>
      <c r="Q285" s="39"/>
      <c r="R285" s="39"/>
      <c r="S285" s="38">
        <f t="shared" ref="S285:S292" si="66">ROUND(ROUND(P285, 2)*I285, 2)</f>
        <v>0</v>
      </c>
      <c r="T285" s="39"/>
      <c r="U285" s="40"/>
      <c r="V285" s="9">
        <f t="shared" ref="V285:V292" si="67">ROUND(ROUND(P285, 2)/1.2, 2)</f>
        <v>14.13</v>
      </c>
      <c r="Y285" s="9">
        <f t="shared" ref="Y285:Y293" si="68">ROUND(S285 / 1.2, 2)</f>
        <v>0</v>
      </c>
      <c r="AD285" s="4" t="s">
        <v>823</v>
      </c>
      <c r="AE285" s="4" t="s">
        <v>824</v>
      </c>
      <c r="AF285" s="4" t="s">
        <v>825</v>
      </c>
    </row>
    <row r="286" spans="1:35" ht="36" x14ac:dyDescent="0.3">
      <c r="A286" s="23" t="s">
        <v>826</v>
      </c>
      <c r="B286" s="23"/>
      <c r="C286" s="41" t="s">
        <v>822</v>
      </c>
      <c r="D286" s="25"/>
      <c r="E286" s="25"/>
      <c r="F286" s="42" t="s">
        <v>265</v>
      </c>
      <c r="G286" s="43">
        <v>1.2</v>
      </c>
      <c r="H286" s="25"/>
      <c r="I286" s="50">
        <v>1359</v>
      </c>
      <c r="J286" s="44">
        <v>16.96</v>
      </c>
      <c r="K286" s="45"/>
      <c r="L286" s="45"/>
      <c r="M286" s="44">
        <f t="shared" si="65"/>
        <v>23048.639999999999</v>
      </c>
      <c r="N286" s="45"/>
      <c r="O286" s="45"/>
      <c r="P286" s="44">
        <v>16.96</v>
      </c>
      <c r="Q286" s="45"/>
      <c r="R286" s="45"/>
      <c r="S286" s="44">
        <f t="shared" si="66"/>
        <v>23048.639999999999</v>
      </c>
      <c r="T286" s="45"/>
      <c r="U286" s="46"/>
      <c r="V286" s="9">
        <f t="shared" si="67"/>
        <v>14.13</v>
      </c>
      <c r="Y286" s="9">
        <f t="shared" si="68"/>
        <v>19207.2</v>
      </c>
      <c r="AD286" s="4" t="s">
        <v>827</v>
      </c>
      <c r="AE286" s="4" t="s">
        <v>824</v>
      </c>
      <c r="AF286" s="4" t="s">
        <v>825</v>
      </c>
    </row>
    <row r="287" spans="1:35" ht="36" x14ac:dyDescent="0.3">
      <c r="A287" s="17" t="s">
        <v>828</v>
      </c>
      <c r="B287" s="17"/>
      <c r="C287" s="34" t="s">
        <v>829</v>
      </c>
      <c r="D287" s="19"/>
      <c r="E287" s="19"/>
      <c r="F287" s="35" t="s">
        <v>59</v>
      </c>
      <c r="G287" s="36">
        <v>1.2</v>
      </c>
      <c r="H287" s="19"/>
      <c r="I287" s="48">
        <v>0</v>
      </c>
      <c r="J287" s="38">
        <v>2021.25</v>
      </c>
      <c r="K287" s="39"/>
      <c r="L287" s="39"/>
      <c r="M287" s="38">
        <f t="shared" si="65"/>
        <v>0</v>
      </c>
      <c r="N287" s="39"/>
      <c r="O287" s="39"/>
      <c r="P287" s="38">
        <v>1684.3</v>
      </c>
      <c r="Q287" s="39"/>
      <c r="R287" s="39"/>
      <c r="S287" s="38">
        <f t="shared" si="66"/>
        <v>0</v>
      </c>
      <c r="T287" s="39"/>
      <c r="U287" s="40"/>
      <c r="V287" s="9">
        <f t="shared" si="67"/>
        <v>1403.58</v>
      </c>
      <c r="Y287" s="9">
        <f t="shared" si="68"/>
        <v>0</v>
      </c>
      <c r="AD287" s="4" t="s">
        <v>830</v>
      </c>
      <c r="AE287" s="4" t="s">
        <v>831</v>
      </c>
      <c r="AF287" s="4" t="s">
        <v>832</v>
      </c>
    </row>
    <row r="288" spans="1:35" ht="72" x14ac:dyDescent="0.3">
      <c r="A288" s="23" t="s">
        <v>833</v>
      </c>
      <c r="B288" s="23"/>
      <c r="C288" s="41" t="s">
        <v>829</v>
      </c>
      <c r="D288" s="25"/>
      <c r="E288" s="25" t="s">
        <v>834</v>
      </c>
      <c r="F288" s="42" t="s">
        <v>59</v>
      </c>
      <c r="G288" s="43">
        <v>1.2</v>
      </c>
      <c r="H288" s="25"/>
      <c r="I288" s="50">
        <v>1359</v>
      </c>
      <c r="J288" s="44">
        <v>2021.25</v>
      </c>
      <c r="K288" s="45"/>
      <c r="L288" s="45"/>
      <c r="M288" s="44">
        <f t="shared" si="65"/>
        <v>2746878.75</v>
      </c>
      <c r="N288" s="45"/>
      <c r="O288" s="45"/>
      <c r="P288" s="44">
        <v>1684.3</v>
      </c>
      <c r="Q288" s="45"/>
      <c r="R288" s="45"/>
      <c r="S288" s="44">
        <f t="shared" si="66"/>
        <v>2288963.7000000002</v>
      </c>
      <c r="T288" s="45"/>
      <c r="U288" s="46"/>
      <c r="V288" s="9">
        <f t="shared" si="67"/>
        <v>1403.58</v>
      </c>
      <c r="Y288" s="9">
        <f t="shared" si="68"/>
        <v>1907469.75</v>
      </c>
      <c r="AD288" s="4" t="s">
        <v>835</v>
      </c>
      <c r="AE288" s="4" t="s">
        <v>831</v>
      </c>
      <c r="AF288" s="4" t="s">
        <v>832</v>
      </c>
    </row>
    <row r="289" spans="1:35" ht="36" x14ac:dyDescent="0.3">
      <c r="A289" s="17" t="s">
        <v>836</v>
      </c>
      <c r="B289" s="17"/>
      <c r="C289" s="34" t="s">
        <v>790</v>
      </c>
      <c r="D289" s="19"/>
      <c r="E289" s="19"/>
      <c r="F289" s="35" t="s">
        <v>265</v>
      </c>
      <c r="G289" s="36">
        <v>0.25</v>
      </c>
      <c r="H289" s="19"/>
      <c r="I289" s="48">
        <v>0</v>
      </c>
      <c r="J289" s="38">
        <v>40.270000000000003</v>
      </c>
      <c r="K289" s="39"/>
      <c r="L289" s="39"/>
      <c r="M289" s="38">
        <f t="shared" si="65"/>
        <v>0</v>
      </c>
      <c r="N289" s="39"/>
      <c r="O289" s="39"/>
      <c r="P289" s="38">
        <v>40.270000000000003</v>
      </c>
      <c r="Q289" s="39"/>
      <c r="R289" s="39"/>
      <c r="S289" s="38">
        <f t="shared" si="66"/>
        <v>0</v>
      </c>
      <c r="T289" s="39"/>
      <c r="U289" s="40"/>
      <c r="V289" s="9">
        <f t="shared" si="67"/>
        <v>33.56</v>
      </c>
      <c r="Y289" s="9">
        <f t="shared" si="68"/>
        <v>0</v>
      </c>
      <c r="AD289" s="4" t="s">
        <v>837</v>
      </c>
      <c r="AE289" s="4" t="s">
        <v>838</v>
      </c>
      <c r="AF289" s="4" t="s">
        <v>793</v>
      </c>
    </row>
    <row r="290" spans="1:35" ht="36" x14ac:dyDescent="0.3">
      <c r="A290" s="23" t="s">
        <v>839</v>
      </c>
      <c r="B290" s="23"/>
      <c r="C290" s="41" t="s">
        <v>790</v>
      </c>
      <c r="D290" s="25"/>
      <c r="E290" s="25"/>
      <c r="F290" s="42" t="s">
        <v>265</v>
      </c>
      <c r="G290" s="43">
        <v>0.25</v>
      </c>
      <c r="H290" s="25"/>
      <c r="I290" s="50">
        <v>283.125</v>
      </c>
      <c r="J290" s="44">
        <v>40.270000000000003</v>
      </c>
      <c r="K290" s="45"/>
      <c r="L290" s="45"/>
      <c r="M290" s="44">
        <f t="shared" si="65"/>
        <v>11401.44</v>
      </c>
      <c r="N290" s="45"/>
      <c r="O290" s="45"/>
      <c r="P290" s="44">
        <v>40.270000000000003</v>
      </c>
      <c r="Q290" s="45"/>
      <c r="R290" s="45"/>
      <c r="S290" s="44">
        <f t="shared" si="66"/>
        <v>11401.44</v>
      </c>
      <c r="T290" s="45"/>
      <c r="U290" s="46"/>
      <c r="V290" s="9">
        <f t="shared" si="67"/>
        <v>33.56</v>
      </c>
      <c r="Y290" s="9">
        <f t="shared" si="68"/>
        <v>9501.2000000000007</v>
      </c>
      <c r="AD290" s="4" t="s">
        <v>840</v>
      </c>
      <c r="AE290" s="4" t="s">
        <v>838</v>
      </c>
      <c r="AF290" s="4" t="s">
        <v>793</v>
      </c>
    </row>
    <row r="291" spans="1:35" ht="36" x14ac:dyDescent="0.3">
      <c r="A291" s="17" t="s">
        <v>841</v>
      </c>
      <c r="B291" s="17"/>
      <c r="C291" s="34" t="s">
        <v>682</v>
      </c>
      <c r="D291" s="19"/>
      <c r="E291" s="19"/>
      <c r="F291" s="35" t="s">
        <v>265</v>
      </c>
      <c r="G291" s="36">
        <v>0.15</v>
      </c>
      <c r="H291" s="19"/>
      <c r="I291" s="37">
        <v>0</v>
      </c>
      <c r="J291" s="38">
        <v>88.8</v>
      </c>
      <c r="K291" s="39"/>
      <c r="L291" s="39"/>
      <c r="M291" s="38">
        <f t="shared" si="65"/>
        <v>0</v>
      </c>
      <c r="N291" s="39"/>
      <c r="O291" s="39"/>
      <c r="P291" s="38">
        <v>88.8</v>
      </c>
      <c r="Q291" s="39"/>
      <c r="R291" s="39"/>
      <c r="S291" s="38">
        <f t="shared" si="66"/>
        <v>0</v>
      </c>
      <c r="T291" s="39"/>
      <c r="U291" s="40"/>
      <c r="V291" s="9">
        <f t="shared" si="67"/>
        <v>74</v>
      </c>
      <c r="Y291" s="9">
        <f t="shared" si="68"/>
        <v>0</v>
      </c>
      <c r="AD291" s="4" t="s">
        <v>842</v>
      </c>
      <c r="AE291" s="4" t="s">
        <v>843</v>
      </c>
      <c r="AF291" s="4" t="s">
        <v>685</v>
      </c>
    </row>
    <row r="292" spans="1:35" ht="36" x14ac:dyDescent="0.3">
      <c r="A292" s="23" t="s">
        <v>844</v>
      </c>
      <c r="B292" s="23"/>
      <c r="C292" s="41" t="s">
        <v>682</v>
      </c>
      <c r="D292" s="25"/>
      <c r="E292" s="25"/>
      <c r="F292" s="42" t="s">
        <v>265</v>
      </c>
      <c r="G292" s="43">
        <v>0.15</v>
      </c>
      <c r="H292" s="25"/>
      <c r="I292" s="43">
        <v>169.875</v>
      </c>
      <c r="J292" s="44">
        <v>88.8</v>
      </c>
      <c r="K292" s="45"/>
      <c r="L292" s="45"/>
      <c r="M292" s="44">
        <f t="shared" si="65"/>
        <v>15084.9</v>
      </c>
      <c r="N292" s="45"/>
      <c r="O292" s="45"/>
      <c r="P292" s="44">
        <v>88.8</v>
      </c>
      <c r="Q292" s="45"/>
      <c r="R292" s="45"/>
      <c r="S292" s="44">
        <f t="shared" si="66"/>
        <v>15084.9</v>
      </c>
      <c r="T292" s="45"/>
      <c r="U292" s="46"/>
      <c r="V292" s="9">
        <f t="shared" si="67"/>
        <v>74</v>
      </c>
      <c r="Y292" s="9">
        <f t="shared" si="68"/>
        <v>12570.75</v>
      </c>
      <c r="AD292" s="4" t="s">
        <v>845</v>
      </c>
      <c r="AE292" s="4" t="s">
        <v>843</v>
      </c>
      <c r="AF292" s="4" t="s">
        <v>685</v>
      </c>
    </row>
    <row r="293" spans="1:35" ht="54" x14ac:dyDescent="0.3">
      <c r="A293" s="17" t="s">
        <v>846</v>
      </c>
      <c r="B293" s="17" t="s">
        <v>815</v>
      </c>
      <c r="C293" s="18" t="s">
        <v>816</v>
      </c>
      <c r="D293" s="19"/>
      <c r="E293" s="19"/>
      <c r="F293" s="19" t="s">
        <v>59</v>
      </c>
      <c r="G293" s="20">
        <v>1</v>
      </c>
      <c r="H293" s="19"/>
      <c r="I293" s="21">
        <v>0</v>
      </c>
      <c r="J293" s="22">
        <f>IFERROR(ROUND(SUM(M295,M297,M299,M301)/I293, 2),0)</f>
        <v>0</v>
      </c>
      <c r="K293" s="22">
        <v>2785</v>
      </c>
      <c r="L293" s="22">
        <f>J293+ROUND(K293, 2)</f>
        <v>2785</v>
      </c>
      <c r="M293" s="22">
        <f>ROUND(J293*I293, 2)</f>
        <v>0</v>
      </c>
      <c r="N293" s="22">
        <f>ROUND(I293*ROUND(K293, 2), 2)</f>
        <v>0</v>
      </c>
      <c r="O293" s="22">
        <f>M293+N293</f>
        <v>0</v>
      </c>
      <c r="P293" s="22">
        <f>IFERROR(ROUND(SUM(S295,S297,S299,S301)/I293, 2),0)</f>
        <v>0</v>
      </c>
      <c r="Q293" s="22">
        <v>2785</v>
      </c>
      <c r="R293" s="22">
        <f>P293+ROUND(Q293, 2)</f>
        <v>2785</v>
      </c>
      <c r="S293" s="22">
        <f>ROUND(P293*I293, 2)</f>
        <v>0</v>
      </c>
      <c r="T293" s="22">
        <f>ROUND(I293*ROUND(Q293, 2), 2)</f>
        <v>0</v>
      </c>
      <c r="U293" s="22">
        <f>S293+T293</f>
        <v>0</v>
      </c>
      <c r="V293" s="9">
        <f>ROUND(P293 / 1.2, 2)</f>
        <v>0</v>
      </c>
      <c r="W293" s="9">
        <f>ROUND(Q293 / 1.2, 2)</f>
        <v>2320.83</v>
      </c>
      <c r="X293" s="9">
        <f>ROUND(R293 / 1.2, 2)</f>
        <v>2320.83</v>
      </c>
      <c r="Y293" s="9">
        <f t="shared" si="68"/>
        <v>0</v>
      </c>
      <c r="Z293" s="9">
        <f>ROUND(T293 / 1.2, 2)</f>
        <v>0</v>
      </c>
      <c r="AA293" s="9">
        <f>Y293+Z293</f>
        <v>0</v>
      </c>
      <c r="AD293" s="4">
        <v>304337627</v>
      </c>
      <c r="AE293" s="4">
        <v>20317962</v>
      </c>
      <c r="AG293" s="4" t="s">
        <v>817</v>
      </c>
      <c r="AH293" s="4" t="s">
        <v>818</v>
      </c>
      <c r="AI293" s="4" t="s">
        <v>260</v>
      </c>
    </row>
    <row r="294" spans="1:35" ht="54" x14ac:dyDescent="0.3">
      <c r="A294" s="23" t="s">
        <v>847</v>
      </c>
      <c r="B294" s="23" t="s">
        <v>815</v>
      </c>
      <c r="C294" s="24" t="s">
        <v>816</v>
      </c>
      <c r="D294" s="25"/>
      <c r="E294" s="25" t="s">
        <v>848</v>
      </c>
      <c r="F294" s="25" t="s">
        <v>59</v>
      </c>
      <c r="G294" s="26">
        <v>1</v>
      </c>
      <c r="H294" s="25"/>
      <c r="I294" s="26">
        <v>31.2</v>
      </c>
      <c r="J294" s="27">
        <v>0</v>
      </c>
      <c r="K294" s="27">
        <v>2785</v>
      </c>
      <c r="L294" s="27"/>
      <c r="M294" s="27">
        <v>0</v>
      </c>
      <c r="N294" s="27"/>
      <c r="O294" s="27"/>
      <c r="P294" s="27">
        <v>0</v>
      </c>
      <c r="Q294" s="27">
        <v>2785</v>
      </c>
      <c r="R294" s="27"/>
      <c r="S294" s="27">
        <v>0</v>
      </c>
      <c r="T294" s="27"/>
      <c r="U294" s="27"/>
      <c r="V294" s="9"/>
      <c r="W294" s="9">
        <f>ROUND(Q294 / 1.2, 2)</f>
        <v>2320.83</v>
      </c>
      <c r="X294" s="9" t="e">
        <f>ROUND(R294 / 1.2, 2)</f>
        <v>#VALUE!</v>
      </c>
      <c r="Y294" s="9"/>
      <c r="Z294" s="9" t="e">
        <f>ROUND(T294 / 1.2, 2)</f>
        <v>#VALUE!</v>
      </c>
      <c r="AA294" s="9"/>
      <c r="AD294" s="4">
        <v>281967435</v>
      </c>
      <c r="AE294" s="4">
        <v>20317962</v>
      </c>
      <c r="AG294" s="4" t="s">
        <v>817</v>
      </c>
      <c r="AH294" s="4" t="s">
        <v>818</v>
      </c>
      <c r="AI294" s="4"/>
    </row>
    <row r="295" spans="1:35" ht="36" x14ac:dyDescent="0.3">
      <c r="A295" s="17" t="s">
        <v>849</v>
      </c>
      <c r="B295" s="17"/>
      <c r="C295" s="34" t="s">
        <v>682</v>
      </c>
      <c r="D295" s="19"/>
      <c r="E295" s="19"/>
      <c r="F295" s="35" t="s">
        <v>265</v>
      </c>
      <c r="G295" s="36">
        <v>0.15</v>
      </c>
      <c r="H295" s="19"/>
      <c r="I295" s="37">
        <v>0</v>
      </c>
      <c r="J295" s="38">
        <v>88.8</v>
      </c>
      <c r="K295" s="39"/>
      <c r="L295" s="39"/>
      <c r="M295" s="38">
        <f t="shared" ref="M295:M302" si="69">ROUND(ROUND(J295, 2)*I295, 2)</f>
        <v>0</v>
      </c>
      <c r="N295" s="39"/>
      <c r="O295" s="39"/>
      <c r="P295" s="38">
        <v>88.8</v>
      </c>
      <c r="Q295" s="39"/>
      <c r="R295" s="39"/>
      <c r="S295" s="38">
        <f t="shared" ref="S295:S302" si="70">ROUND(ROUND(P295, 2)*I295, 2)</f>
        <v>0</v>
      </c>
      <c r="T295" s="39"/>
      <c r="U295" s="40"/>
      <c r="V295" s="9">
        <f t="shared" ref="V295:V302" si="71">ROUND(ROUND(P295, 2)/1.2, 2)</f>
        <v>74</v>
      </c>
      <c r="Y295" s="9">
        <f t="shared" ref="Y295:Y303" si="72">ROUND(S295 / 1.2, 2)</f>
        <v>0</v>
      </c>
      <c r="AD295" s="4" t="s">
        <v>850</v>
      </c>
      <c r="AE295" s="4" t="s">
        <v>851</v>
      </c>
      <c r="AF295" s="4" t="s">
        <v>685</v>
      </c>
    </row>
    <row r="296" spans="1:35" ht="36" x14ac:dyDescent="0.3">
      <c r="A296" s="23" t="s">
        <v>852</v>
      </c>
      <c r="B296" s="23"/>
      <c r="C296" s="41" t="s">
        <v>682</v>
      </c>
      <c r="D296" s="25"/>
      <c r="E296" s="25"/>
      <c r="F296" s="42" t="s">
        <v>265</v>
      </c>
      <c r="G296" s="43">
        <v>0.15</v>
      </c>
      <c r="H296" s="25"/>
      <c r="I296" s="43">
        <v>4.68</v>
      </c>
      <c r="J296" s="44">
        <v>88.8</v>
      </c>
      <c r="K296" s="45"/>
      <c r="L296" s="45"/>
      <c r="M296" s="44">
        <f t="shared" si="69"/>
        <v>415.58</v>
      </c>
      <c r="N296" s="45"/>
      <c r="O296" s="45"/>
      <c r="P296" s="44">
        <v>88.8</v>
      </c>
      <c r="Q296" s="45"/>
      <c r="R296" s="45"/>
      <c r="S296" s="44">
        <f t="shared" si="70"/>
        <v>415.58</v>
      </c>
      <c r="T296" s="45"/>
      <c r="U296" s="46"/>
      <c r="V296" s="9">
        <f t="shared" si="71"/>
        <v>74</v>
      </c>
      <c r="Y296" s="9">
        <f t="shared" si="72"/>
        <v>346.32</v>
      </c>
      <c r="AD296" s="4" t="s">
        <v>853</v>
      </c>
      <c r="AE296" s="4" t="s">
        <v>851</v>
      </c>
      <c r="AF296" s="4" t="s">
        <v>685</v>
      </c>
    </row>
    <row r="297" spans="1:35" ht="36" x14ac:dyDescent="0.3">
      <c r="A297" s="17" t="s">
        <v>854</v>
      </c>
      <c r="B297" s="17"/>
      <c r="C297" s="34" t="s">
        <v>790</v>
      </c>
      <c r="D297" s="19"/>
      <c r="E297" s="19"/>
      <c r="F297" s="35" t="s">
        <v>265</v>
      </c>
      <c r="G297" s="36">
        <v>0.25</v>
      </c>
      <c r="H297" s="19"/>
      <c r="I297" s="48">
        <v>0</v>
      </c>
      <c r="J297" s="38">
        <v>40.270000000000003</v>
      </c>
      <c r="K297" s="39"/>
      <c r="L297" s="39"/>
      <c r="M297" s="38">
        <f t="shared" si="69"/>
        <v>0</v>
      </c>
      <c r="N297" s="39"/>
      <c r="O297" s="39"/>
      <c r="P297" s="38">
        <v>40.270000000000003</v>
      </c>
      <c r="Q297" s="39"/>
      <c r="R297" s="39"/>
      <c r="S297" s="38">
        <f t="shared" si="70"/>
        <v>0</v>
      </c>
      <c r="T297" s="39"/>
      <c r="U297" s="40"/>
      <c r="V297" s="9">
        <f t="shared" si="71"/>
        <v>33.56</v>
      </c>
      <c r="Y297" s="9">
        <f t="shared" si="72"/>
        <v>0</v>
      </c>
      <c r="AD297" s="4" t="s">
        <v>855</v>
      </c>
      <c r="AE297" s="4" t="s">
        <v>856</v>
      </c>
      <c r="AF297" s="4" t="s">
        <v>793</v>
      </c>
    </row>
    <row r="298" spans="1:35" ht="36" x14ac:dyDescent="0.3">
      <c r="A298" s="23" t="s">
        <v>857</v>
      </c>
      <c r="B298" s="23"/>
      <c r="C298" s="41" t="s">
        <v>790</v>
      </c>
      <c r="D298" s="25"/>
      <c r="E298" s="25"/>
      <c r="F298" s="42" t="s">
        <v>265</v>
      </c>
      <c r="G298" s="43">
        <v>0.25</v>
      </c>
      <c r="H298" s="25"/>
      <c r="I298" s="50">
        <v>7.8</v>
      </c>
      <c r="J298" s="44">
        <v>40.270000000000003</v>
      </c>
      <c r="K298" s="45"/>
      <c r="L298" s="45"/>
      <c r="M298" s="44">
        <f t="shared" si="69"/>
        <v>314.11</v>
      </c>
      <c r="N298" s="45"/>
      <c r="O298" s="45"/>
      <c r="P298" s="44">
        <v>40.270000000000003</v>
      </c>
      <c r="Q298" s="45"/>
      <c r="R298" s="45"/>
      <c r="S298" s="44">
        <f t="shared" si="70"/>
        <v>314.11</v>
      </c>
      <c r="T298" s="45"/>
      <c r="U298" s="46"/>
      <c r="V298" s="9">
        <f t="shared" si="71"/>
        <v>33.56</v>
      </c>
      <c r="Y298" s="9">
        <f t="shared" si="72"/>
        <v>261.76</v>
      </c>
      <c r="AD298" s="4" t="s">
        <v>858</v>
      </c>
      <c r="AE298" s="4" t="s">
        <v>856</v>
      </c>
      <c r="AF298" s="4" t="s">
        <v>793</v>
      </c>
    </row>
    <row r="299" spans="1:35" ht="36" x14ac:dyDescent="0.3">
      <c r="A299" s="17" t="s">
        <v>859</v>
      </c>
      <c r="B299" s="17"/>
      <c r="C299" s="34" t="s">
        <v>829</v>
      </c>
      <c r="D299" s="19"/>
      <c r="E299" s="19"/>
      <c r="F299" s="35" t="s">
        <v>59</v>
      </c>
      <c r="G299" s="36">
        <v>1.2</v>
      </c>
      <c r="H299" s="19"/>
      <c r="I299" s="48">
        <v>0</v>
      </c>
      <c r="J299" s="38">
        <v>2021.25</v>
      </c>
      <c r="K299" s="39"/>
      <c r="L299" s="39"/>
      <c r="M299" s="38">
        <f t="shared" si="69"/>
        <v>0</v>
      </c>
      <c r="N299" s="39"/>
      <c r="O299" s="39"/>
      <c r="P299" s="38">
        <v>1675.8</v>
      </c>
      <c r="Q299" s="39"/>
      <c r="R299" s="39"/>
      <c r="S299" s="38">
        <f t="shared" si="70"/>
        <v>0</v>
      </c>
      <c r="T299" s="39"/>
      <c r="U299" s="40"/>
      <c r="V299" s="9">
        <f t="shared" si="71"/>
        <v>1396.5</v>
      </c>
      <c r="Y299" s="9">
        <f t="shared" si="72"/>
        <v>0</v>
      </c>
      <c r="AD299" s="4" t="s">
        <v>860</v>
      </c>
      <c r="AE299" s="4" t="s">
        <v>861</v>
      </c>
      <c r="AF299" s="4" t="s">
        <v>832</v>
      </c>
    </row>
    <row r="300" spans="1:35" ht="72" x14ac:dyDescent="0.3">
      <c r="A300" s="23" t="s">
        <v>862</v>
      </c>
      <c r="B300" s="23"/>
      <c r="C300" s="41" t="s">
        <v>829</v>
      </c>
      <c r="D300" s="25"/>
      <c r="E300" s="25" t="s">
        <v>863</v>
      </c>
      <c r="F300" s="42" t="s">
        <v>59</v>
      </c>
      <c r="G300" s="43">
        <v>1.2</v>
      </c>
      <c r="H300" s="25"/>
      <c r="I300" s="50">
        <v>37.44</v>
      </c>
      <c r="J300" s="44">
        <v>2021.25</v>
      </c>
      <c r="K300" s="45"/>
      <c r="L300" s="45"/>
      <c r="M300" s="44">
        <f t="shared" si="69"/>
        <v>75675.600000000006</v>
      </c>
      <c r="N300" s="45"/>
      <c r="O300" s="45"/>
      <c r="P300" s="44">
        <v>1675.8</v>
      </c>
      <c r="Q300" s="45"/>
      <c r="R300" s="45"/>
      <c r="S300" s="44">
        <f t="shared" si="70"/>
        <v>62741.95</v>
      </c>
      <c r="T300" s="45"/>
      <c r="U300" s="46"/>
      <c r="V300" s="9">
        <f t="shared" si="71"/>
        <v>1396.5</v>
      </c>
      <c r="Y300" s="9">
        <f t="shared" si="72"/>
        <v>52284.959999999999</v>
      </c>
      <c r="AD300" s="4" t="s">
        <v>864</v>
      </c>
      <c r="AE300" s="4" t="s">
        <v>861</v>
      </c>
      <c r="AF300" s="4" t="s">
        <v>832</v>
      </c>
    </row>
    <row r="301" spans="1:35" ht="36" x14ac:dyDescent="0.3">
      <c r="A301" s="17" t="s">
        <v>865</v>
      </c>
      <c r="B301" s="17"/>
      <c r="C301" s="34" t="s">
        <v>822</v>
      </c>
      <c r="D301" s="19"/>
      <c r="E301" s="19"/>
      <c r="F301" s="35" t="s">
        <v>265</v>
      </c>
      <c r="G301" s="36">
        <v>1.2</v>
      </c>
      <c r="H301" s="19"/>
      <c r="I301" s="48">
        <v>0</v>
      </c>
      <c r="J301" s="38">
        <v>16.96</v>
      </c>
      <c r="K301" s="39"/>
      <c r="L301" s="39"/>
      <c r="M301" s="38">
        <f t="shared" si="69"/>
        <v>0</v>
      </c>
      <c r="N301" s="39"/>
      <c r="O301" s="39"/>
      <c r="P301" s="38">
        <v>16.96</v>
      </c>
      <c r="Q301" s="39"/>
      <c r="R301" s="39"/>
      <c r="S301" s="38">
        <f t="shared" si="70"/>
        <v>0</v>
      </c>
      <c r="T301" s="39"/>
      <c r="U301" s="40"/>
      <c r="V301" s="9">
        <f t="shared" si="71"/>
        <v>14.13</v>
      </c>
      <c r="Y301" s="9">
        <f t="shared" si="72"/>
        <v>0</v>
      </c>
      <c r="AD301" s="4" t="s">
        <v>866</v>
      </c>
      <c r="AE301" s="4" t="s">
        <v>867</v>
      </c>
      <c r="AF301" s="4" t="s">
        <v>825</v>
      </c>
    </row>
    <row r="302" spans="1:35" ht="36" x14ac:dyDescent="0.3">
      <c r="A302" s="23" t="s">
        <v>868</v>
      </c>
      <c r="B302" s="23"/>
      <c r="C302" s="41" t="s">
        <v>822</v>
      </c>
      <c r="D302" s="25"/>
      <c r="E302" s="25"/>
      <c r="F302" s="42" t="s">
        <v>265</v>
      </c>
      <c r="G302" s="43">
        <v>1.2</v>
      </c>
      <c r="H302" s="25"/>
      <c r="I302" s="50">
        <v>37.44</v>
      </c>
      <c r="J302" s="44">
        <v>16.96</v>
      </c>
      <c r="K302" s="45"/>
      <c r="L302" s="45"/>
      <c r="M302" s="44">
        <f t="shared" si="69"/>
        <v>634.98</v>
      </c>
      <c r="N302" s="45"/>
      <c r="O302" s="45"/>
      <c r="P302" s="44">
        <v>16.96</v>
      </c>
      <c r="Q302" s="45"/>
      <c r="R302" s="45"/>
      <c r="S302" s="44">
        <f t="shared" si="70"/>
        <v>634.98</v>
      </c>
      <c r="T302" s="45"/>
      <c r="U302" s="46"/>
      <c r="V302" s="9">
        <f t="shared" si="71"/>
        <v>14.13</v>
      </c>
      <c r="Y302" s="9">
        <f t="shared" si="72"/>
        <v>529.15</v>
      </c>
      <c r="AD302" s="4" t="s">
        <v>869</v>
      </c>
      <c r="AE302" s="4" t="s">
        <v>867</v>
      </c>
      <c r="AF302" s="4" t="s">
        <v>825</v>
      </c>
    </row>
    <row r="303" spans="1:35" ht="54" x14ac:dyDescent="0.3">
      <c r="A303" s="17" t="s">
        <v>870</v>
      </c>
      <c r="B303" s="17" t="s">
        <v>815</v>
      </c>
      <c r="C303" s="18" t="s">
        <v>816</v>
      </c>
      <c r="D303" s="19"/>
      <c r="E303" s="19"/>
      <c r="F303" s="19" t="s">
        <v>59</v>
      </c>
      <c r="G303" s="20">
        <v>1</v>
      </c>
      <c r="H303" s="19"/>
      <c r="I303" s="21">
        <v>0</v>
      </c>
      <c r="J303" s="22">
        <f>IFERROR(ROUND(SUM(M305,M307,M309,M311)/I303, 2),0)</f>
        <v>0</v>
      </c>
      <c r="K303" s="22">
        <v>2785</v>
      </c>
      <c r="L303" s="22">
        <f>J303+ROUND(K303, 2)</f>
        <v>2785</v>
      </c>
      <c r="M303" s="22">
        <f>ROUND(J303*I303, 2)</f>
        <v>0</v>
      </c>
      <c r="N303" s="22">
        <f>ROUND(I303*ROUND(K303, 2), 2)</f>
        <v>0</v>
      </c>
      <c r="O303" s="22">
        <f>M303+N303</f>
        <v>0</v>
      </c>
      <c r="P303" s="22">
        <f>IFERROR(ROUND(SUM(S305,S307,S309,S311)/I303, 2),0)</f>
        <v>0</v>
      </c>
      <c r="Q303" s="22">
        <v>2785</v>
      </c>
      <c r="R303" s="22">
        <f>P303+ROUND(Q303, 2)</f>
        <v>2785</v>
      </c>
      <c r="S303" s="22">
        <f>ROUND(P303*I303, 2)</f>
        <v>0</v>
      </c>
      <c r="T303" s="22">
        <f>ROUND(I303*ROUND(Q303, 2), 2)</f>
        <v>0</v>
      </c>
      <c r="U303" s="22">
        <f>S303+T303</f>
        <v>0</v>
      </c>
      <c r="V303" s="9">
        <f>ROUND(P303 / 1.2, 2)</f>
        <v>0</v>
      </c>
      <c r="W303" s="9">
        <f>ROUND(Q303 / 1.2, 2)</f>
        <v>2320.83</v>
      </c>
      <c r="X303" s="9">
        <f>ROUND(R303 / 1.2, 2)</f>
        <v>2320.83</v>
      </c>
      <c r="Y303" s="9">
        <f t="shared" si="72"/>
        <v>0</v>
      </c>
      <c r="Z303" s="9">
        <f>ROUND(T303 / 1.2, 2)</f>
        <v>0</v>
      </c>
      <c r="AA303" s="9">
        <f>Y303+Z303</f>
        <v>0</v>
      </c>
      <c r="AD303" s="4">
        <v>304337628</v>
      </c>
      <c r="AE303" s="4">
        <v>20317963</v>
      </c>
      <c r="AG303" s="4" t="s">
        <v>817</v>
      </c>
      <c r="AH303" s="4" t="s">
        <v>818</v>
      </c>
      <c r="AI303" s="4" t="s">
        <v>260</v>
      </c>
    </row>
    <row r="304" spans="1:35" ht="54" x14ac:dyDescent="0.3">
      <c r="A304" s="23" t="s">
        <v>871</v>
      </c>
      <c r="B304" s="23" t="s">
        <v>815</v>
      </c>
      <c r="C304" s="24" t="s">
        <v>816</v>
      </c>
      <c r="D304" s="25"/>
      <c r="E304" s="25" t="s">
        <v>872</v>
      </c>
      <c r="F304" s="25" t="s">
        <v>59</v>
      </c>
      <c r="G304" s="26">
        <v>1</v>
      </c>
      <c r="H304" s="25"/>
      <c r="I304" s="26">
        <v>560.4</v>
      </c>
      <c r="J304" s="27">
        <v>0</v>
      </c>
      <c r="K304" s="27">
        <v>2785</v>
      </c>
      <c r="L304" s="27"/>
      <c r="M304" s="27">
        <v>0</v>
      </c>
      <c r="N304" s="27"/>
      <c r="O304" s="27"/>
      <c r="P304" s="27">
        <v>0</v>
      </c>
      <c r="Q304" s="27">
        <v>2785</v>
      </c>
      <c r="R304" s="27"/>
      <c r="S304" s="27">
        <v>0</v>
      </c>
      <c r="T304" s="27"/>
      <c r="U304" s="27"/>
      <c r="V304" s="9"/>
      <c r="W304" s="9">
        <f>ROUND(Q304 / 1.2, 2)</f>
        <v>2320.83</v>
      </c>
      <c r="X304" s="9" t="e">
        <f>ROUND(R304 / 1.2, 2)</f>
        <v>#VALUE!</v>
      </c>
      <c r="Y304" s="9"/>
      <c r="Z304" s="9" t="e">
        <f>ROUND(T304 / 1.2, 2)</f>
        <v>#VALUE!</v>
      </c>
      <c r="AA304" s="9"/>
      <c r="AD304" s="4">
        <v>281967436</v>
      </c>
      <c r="AE304" s="4">
        <v>20317963</v>
      </c>
      <c r="AG304" s="4" t="s">
        <v>817</v>
      </c>
      <c r="AH304" s="4" t="s">
        <v>818</v>
      </c>
      <c r="AI304" s="4"/>
    </row>
    <row r="305" spans="1:35" ht="36" x14ac:dyDescent="0.3">
      <c r="A305" s="17" t="s">
        <v>873</v>
      </c>
      <c r="B305" s="17"/>
      <c r="C305" s="34" t="s">
        <v>822</v>
      </c>
      <c r="D305" s="19"/>
      <c r="E305" s="19"/>
      <c r="F305" s="35" t="s">
        <v>265</v>
      </c>
      <c r="G305" s="36">
        <v>1.2</v>
      </c>
      <c r="H305" s="19"/>
      <c r="I305" s="48">
        <v>0</v>
      </c>
      <c r="J305" s="38">
        <v>16.96</v>
      </c>
      <c r="K305" s="39"/>
      <c r="L305" s="39"/>
      <c r="M305" s="38">
        <f t="shared" ref="M305:M312" si="73">ROUND(ROUND(J305, 2)*I305, 2)</f>
        <v>0</v>
      </c>
      <c r="N305" s="39"/>
      <c r="O305" s="39"/>
      <c r="P305" s="38">
        <v>16.96</v>
      </c>
      <c r="Q305" s="39"/>
      <c r="R305" s="39"/>
      <c r="S305" s="38">
        <f t="shared" ref="S305:S312" si="74">ROUND(ROUND(P305, 2)*I305, 2)</f>
        <v>0</v>
      </c>
      <c r="T305" s="39"/>
      <c r="U305" s="40"/>
      <c r="V305" s="9">
        <f t="shared" ref="V305:V312" si="75">ROUND(ROUND(P305, 2)/1.2, 2)</f>
        <v>14.13</v>
      </c>
      <c r="Y305" s="9">
        <f t="shared" ref="Y305:Y313" si="76">ROUND(S305 / 1.2, 2)</f>
        <v>0</v>
      </c>
      <c r="AD305" s="4" t="s">
        <v>874</v>
      </c>
      <c r="AE305" s="4" t="s">
        <v>875</v>
      </c>
      <c r="AF305" s="4" t="s">
        <v>825</v>
      </c>
    </row>
    <row r="306" spans="1:35" ht="36" x14ac:dyDescent="0.3">
      <c r="A306" s="23" t="s">
        <v>876</v>
      </c>
      <c r="B306" s="23"/>
      <c r="C306" s="41" t="s">
        <v>822</v>
      </c>
      <c r="D306" s="25"/>
      <c r="E306" s="25"/>
      <c r="F306" s="42" t="s">
        <v>265</v>
      </c>
      <c r="G306" s="43">
        <v>1.2</v>
      </c>
      <c r="H306" s="25"/>
      <c r="I306" s="50">
        <v>672.48</v>
      </c>
      <c r="J306" s="44">
        <v>16.96</v>
      </c>
      <c r="K306" s="45"/>
      <c r="L306" s="45"/>
      <c r="M306" s="44">
        <f t="shared" si="73"/>
        <v>11405.26</v>
      </c>
      <c r="N306" s="45"/>
      <c r="O306" s="45"/>
      <c r="P306" s="44">
        <v>16.96</v>
      </c>
      <c r="Q306" s="45"/>
      <c r="R306" s="45"/>
      <c r="S306" s="44">
        <f t="shared" si="74"/>
        <v>11405.26</v>
      </c>
      <c r="T306" s="45"/>
      <c r="U306" s="46"/>
      <c r="V306" s="9">
        <f t="shared" si="75"/>
        <v>14.13</v>
      </c>
      <c r="Y306" s="9">
        <f t="shared" si="76"/>
        <v>9504.3799999999992</v>
      </c>
      <c r="AD306" s="4" t="s">
        <v>877</v>
      </c>
      <c r="AE306" s="4" t="s">
        <v>875</v>
      </c>
      <c r="AF306" s="4" t="s">
        <v>825</v>
      </c>
    </row>
    <row r="307" spans="1:35" ht="36" x14ac:dyDescent="0.3">
      <c r="A307" s="17" t="s">
        <v>878</v>
      </c>
      <c r="B307" s="17"/>
      <c r="C307" s="34" t="s">
        <v>829</v>
      </c>
      <c r="D307" s="19"/>
      <c r="E307" s="19"/>
      <c r="F307" s="35" t="s">
        <v>59</v>
      </c>
      <c r="G307" s="36">
        <v>1.2</v>
      </c>
      <c r="H307" s="19"/>
      <c r="I307" s="48">
        <v>0</v>
      </c>
      <c r="J307" s="38">
        <v>2021.25</v>
      </c>
      <c r="K307" s="39"/>
      <c r="L307" s="39"/>
      <c r="M307" s="38">
        <f t="shared" si="73"/>
        <v>0</v>
      </c>
      <c r="N307" s="39"/>
      <c r="O307" s="39"/>
      <c r="P307" s="38">
        <v>1622.5</v>
      </c>
      <c r="Q307" s="39"/>
      <c r="R307" s="39"/>
      <c r="S307" s="38">
        <f t="shared" si="74"/>
        <v>0</v>
      </c>
      <c r="T307" s="39"/>
      <c r="U307" s="40"/>
      <c r="V307" s="9">
        <f t="shared" si="75"/>
        <v>1352.08</v>
      </c>
      <c r="Y307" s="9">
        <f t="shared" si="76"/>
        <v>0</v>
      </c>
      <c r="AD307" s="4" t="s">
        <v>879</v>
      </c>
      <c r="AE307" s="4" t="s">
        <v>880</v>
      </c>
      <c r="AF307" s="4" t="s">
        <v>832</v>
      </c>
    </row>
    <row r="308" spans="1:35" ht="90" x14ac:dyDescent="0.3">
      <c r="A308" s="23" t="s">
        <v>881</v>
      </c>
      <c r="B308" s="23"/>
      <c r="C308" s="41" t="s">
        <v>829</v>
      </c>
      <c r="D308" s="25"/>
      <c r="E308" s="25" t="s">
        <v>882</v>
      </c>
      <c r="F308" s="42" t="s">
        <v>59</v>
      </c>
      <c r="G308" s="43">
        <v>1.2</v>
      </c>
      <c r="H308" s="25"/>
      <c r="I308" s="50">
        <v>672.48</v>
      </c>
      <c r="J308" s="44">
        <v>2021.25</v>
      </c>
      <c r="K308" s="45"/>
      <c r="L308" s="45"/>
      <c r="M308" s="44">
        <f t="shared" si="73"/>
        <v>1359250.2</v>
      </c>
      <c r="N308" s="45"/>
      <c r="O308" s="45"/>
      <c r="P308" s="44">
        <v>1622.5</v>
      </c>
      <c r="Q308" s="45"/>
      <c r="R308" s="45"/>
      <c r="S308" s="44">
        <f t="shared" si="74"/>
        <v>1091098.8</v>
      </c>
      <c r="T308" s="45"/>
      <c r="U308" s="46"/>
      <c r="V308" s="9">
        <f t="shared" si="75"/>
        <v>1352.08</v>
      </c>
      <c r="Y308" s="9">
        <f t="shared" si="76"/>
        <v>909249</v>
      </c>
      <c r="AD308" s="4" t="s">
        <v>883</v>
      </c>
      <c r="AE308" s="4" t="s">
        <v>880</v>
      </c>
      <c r="AF308" s="4" t="s">
        <v>832</v>
      </c>
    </row>
    <row r="309" spans="1:35" ht="36" x14ac:dyDescent="0.3">
      <c r="A309" s="17" t="s">
        <v>884</v>
      </c>
      <c r="B309" s="17"/>
      <c r="C309" s="34" t="s">
        <v>790</v>
      </c>
      <c r="D309" s="19"/>
      <c r="E309" s="19"/>
      <c r="F309" s="35" t="s">
        <v>265</v>
      </c>
      <c r="G309" s="36">
        <v>0.25</v>
      </c>
      <c r="H309" s="19"/>
      <c r="I309" s="48">
        <v>0</v>
      </c>
      <c r="J309" s="38">
        <v>40.270000000000003</v>
      </c>
      <c r="K309" s="39"/>
      <c r="L309" s="39"/>
      <c r="M309" s="38">
        <f t="shared" si="73"/>
        <v>0</v>
      </c>
      <c r="N309" s="39"/>
      <c r="O309" s="39"/>
      <c r="P309" s="38">
        <v>40.270000000000003</v>
      </c>
      <c r="Q309" s="39"/>
      <c r="R309" s="39"/>
      <c r="S309" s="38">
        <f t="shared" si="74"/>
        <v>0</v>
      </c>
      <c r="T309" s="39"/>
      <c r="U309" s="40"/>
      <c r="V309" s="9">
        <f t="shared" si="75"/>
        <v>33.56</v>
      </c>
      <c r="Y309" s="9">
        <f t="shared" si="76"/>
        <v>0</v>
      </c>
      <c r="AD309" s="4" t="s">
        <v>885</v>
      </c>
      <c r="AE309" s="4" t="s">
        <v>886</v>
      </c>
      <c r="AF309" s="4" t="s">
        <v>793</v>
      </c>
    </row>
    <row r="310" spans="1:35" ht="36" x14ac:dyDescent="0.3">
      <c r="A310" s="23" t="s">
        <v>887</v>
      </c>
      <c r="B310" s="23"/>
      <c r="C310" s="41" t="s">
        <v>790</v>
      </c>
      <c r="D310" s="25"/>
      <c r="E310" s="25"/>
      <c r="F310" s="42" t="s">
        <v>265</v>
      </c>
      <c r="G310" s="43">
        <v>0.25</v>
      </c>
      <c r="H310" s="25"/>
      <c r="I310" s="50">
        <v>140.1</v>
      </c>
      <c r="J310" s="44">
        <v>40.270000000000003</v>
      </c>
      <c r="K310" s="45"/>
      <c r="L310" s="45"/>
      <c r="M310" s="44">
        <f t="shared" si="73"/>
        <v>5641.83</v>
      </c>
      <c r="N310" s="45"/>
      <c r="O310" s="45"/>
      <c r="P310" s="44">
        <v>40.270000000000003</v>
      </c>
      <c r="Q310" s="45"/>
      <c r="R310" s="45"/>
      <c r="S310" s="44">
        <f t="shared" si="74"/>
        <v>5641.83</v>
      </c>
      <c r="T310" s="45"/>
      <c r="U310" s="46"/>
      <c r="V310" s="9">
        <f t="shared" si="75"/>
        <v>33.56</v>
      </c>
      <c r="Y310" s="9">
        <f t="shared" si="76"/>
        <v>4701.53</v>
      </c>
      <c r="AD310" s="4" t="s">
        <v>888</v>
      </c>
      <c r="AE310" s="4" t="s">
        <v>886</v>
      </c>
      <c r="AF310" s="4" t="s">
        <v>793</v>
      </c>
    </row>
    <row r="311" spans="1:35" ht="36" x14ac:dyDescent="0.3">
      <c r="A311" s="17" t="s">
        <v>889</v>
      </c>
      <c r="B311" s="17"/>
      <c r="C311" s="34" t="s">
        <v>682</v>
      </c>
      <c r="D311" s="19"/>
      <c r="E311" s="19"/>
      <c r="F311" s="35" t="s">
        <v>265</v>
      </c>
      <c r="G311" s="36">
        <v>0.15</v>
      </c>
      <c r="H311" s="19"/>
      <c r="I311" s="37">
        <v>0</v>
      </c>
      <c r="J311" s="38">
        <v>88.8</v>
      </c>
      <c r="K311" s="39"/>
      <c r="L311" s="39"/>
      <c r="M311" s="38">
        <f t="shared" si="73"/>
        <v>0</v>
      </c>
      <c r="N311" s="39"/>
      <c r="O311" s="39"/>
      <c r="P311" s="38">
        <v>88.8</v>
      </c>
      <c r="Q311" s="39"/>
      <c r="R311" s="39"/>
      <c r="S311" s="38">
        <f t="shared" si="74"/>
        <v>0</v>
      </c>
      <c r="T311" s="39"/>
      <c r="U311" s="40"/>
      <c r="V311" s="9">
        <f t="shared" si="75"/>
        <v>74</v>
      </c>
      <c r="Y311" s="9">
        <f t="shared" si="76"/>
        <v>0</v>
      </c>
      <c r="AD311" s="4" t="s">
        <v>890</v>
      </c>
      <c r="AE311" s="4" t="s">
        <v>891</v>
      </c>
      <c r="AF311" s="4" t="s">
        <v>685</v>
      </c>
    </row>
    <row r="312" spans="1:35" ht="36" x14ac:dyDescent="0.3">
      <c r="A312" s="23" t="s">
        <v>892</v>
      </c>
      <c r="B312" s="23"/>
      <c r="C312" s="41" t="s">
        <v>682</v>
      </c>
      <c r="D312" s="25"/>
      <c r="E312" s="25"/>
      <c r="F312" s="42" t="s">
        <v>265</v>
      </c>
      <c r="G312" s="43">
        <v>0.15</v>
      </c>
      <c r="H312" s="25"/>
      <c r="I312" s="43">
        <v>84.06</v>
      </c>
      <c r="J312" s="44">
        <v>88.8</v>
      </c>
      <c r="K312" s="45"/>
      <c r="L312" s="45"/>
      <c r="M312" s="44">
        <f t="shared" si="73"/>
        <v>7464.53</v>
      </c>
      <c r="N312" s="45"/>
      <c r="O312" s="45"/>
      <c r="P312" s="44">
        <v>88.8</v>
      </c>
      <c r="Q312" s="45"/>
      <c r="R312" s="45"/>
      <c r="S312" s="44">
        <f t="shared" si="74"/>
        <v>7464.53</v>
      </c>
      <c r="T312" s="45"/>
      <c r="U312" s="46"/>
      <c r="V312" s="9">
        <f t="shared" si="75"/>
        <v>74</v>
      </c>
      <c r="Y312" s="9">
        <f t="shared" si="76"/>
        <v>6220.44</v>
      </c>
      <c r="AD312" s="4" t="s">
        <v>893</v>
      </c>
      <c r="AE312" s="4" t="s">
        <v>891</v>
      </c>
      <c r="AF312" s="4" t="s">
        <v>685</v>
      </c>
    </row>
    <row r="313" spans="1:35" ht="54" x14ac:dyDescent="0.3">
      <c r="A313" s="17" t="s">
        <v>894</v>
      </c>
      <c r="B313" s="17" t="s">
        <v>815</v>
      </c>
      <c r="C313" s="18" t="s">
        <v>816</v>
      </c>
      <c r="D313" s="19"/>
      <c r="E313" s="19"/>
      <c r="F313" s="19" t="s">
        <v>59</v>
      </c>
      <c r="G313" s="20">
        <v>1</v>
      </c>
      <c r="H313" s="19"/>
      <c r="I313" s="21">
        <v>0</v>
      </c>
      <c r="J313" s="22">
        <f>IFERROR(ROUND(SUM(M315,M317,M319,M321)/I313, 2),0)</f>
        <v>0</v>
      </c>
      <c r="K313" s="22">
        <v>2785</v>
      </c>
      <c r="L313" s="22">
        <f>J313+ROUND(K313, 2)</f>
        <v>2785</v>
      </c>
      <c r="M313" s="22">
        <f>ROUND(J313*I313, 2)</f>
        <v>0</v>
      </c>
      <c r="N313" s="22">
        <f>ROUND(I313*ROUND(K313, 2), 2)</f>
        <v>0</v>
      </c>
      <c r="O313" s="22">
        <f>M313+N313</f>
        <v>0</v>
      </c>
      <c r="P313" s="22">
        <f>IFERROR(ROUND(SUM(S315,S317,S319,S321)/I313, 2),0)</f>
        <v>0</v>
      </c>
      <c r="Q313" s="22">
        <v>2785</v>
      </c>
      <c r="R313" s="22">
        <f>P313+ROUND(Q313, 2)</f>
        <v>2785</v>
      </c>
      <c r="S313" s="22">
        <f>ROUND(P313*I313, 2)</f>
        <v>0</v>
      </c>
      <c r="T313" s="22">
        <f>ROUND(I313*ROUND(Q313, 2), 2)</f>
        <v>0</v>
      </c>
      <c r="U313" s="22">
        <f>S313+T313</f>
        <v>0</v>
      </c>
      <c r="V313" s="9">
        <f>ROUND(P313 / 1.2, 2)</f>
        <v>0</v>
      </c>
      <c r="W313" s="9">
        <f>ROUND(Q313 / 1.2, 2)</f>
        <v>2320.83</v>
      </c>
      <c r="X313" s="9">
        <f>ROUND(R313 / 1.2, 2)</f>
        <v>2320.83</v>
      </c>
      <c r="Y313" s="9">
        <f t="shared" si="76"/>
        <v>0</v>
      </c>
      <c r="Z313" s="9">
        <f>ROUND(T313 / 1.2, 2)</f>
        <v>0</v>
      </c>
      <c r="AA313" s="9">
        <f>Y313+Z313</f>
        <v>0</v>
      </c>
      <c r="AD313" s="4">
        <v>304337629</v>
      </c>
      <c r="AE313" s="4">
        <v>20317964</v>
      </c>
      <c r="AG313" s="4" t="s">
        <v>817</v>
      </c>
      <c r="AH313" s="4" t="s">
        <v>818</v>
      </c>
      <c r="AI313" s="4" t="s">
        <v>260</v>
      </c>
    </row>
    <row r="314" spans="1:35" ht="54" x14ac:dyDescent="0.3">
      <c r="A314" s="23" t="s">
        <v>895</v>
      </c>
      <c r="B314" s="23" t="s">
        <v>815</v>
      </c>
      <c r="C314" s="24" t="s">
        <v>816</v>
      </c>
      <c r="D314" s="25"/>
      <c r="E314" s="25" t="s">
        <v>896</v>
      </c>
      <c r="F314" s="25" t="s">
        <v>59</v>
      </c>
      <c r="G314" s="26">
        <v>1</v>
      </c>
      <c r="H314" s="25"/>
      <c r="I314" s="26">
        <v>28</v>
      </c>
      <c r="J314" s="27">
        <v>0</v>
      </c>
      <c r="K314" s="27">
        <v>2785</v>
      </c>
      <c r="L314" s="27"/>
      <c r="M314" s="27">
        <v>0</v>
      </c>
      <c r="N314" s="27"/>
      <c r="O314" s="27"/>
      <c r="P314" s="27">
        <v>0</v>
      </c>
      <c r="Q314" s="27">
        <v>2785</v>
      </c>
      <c r="R314" s="27"/>
      <c r="S314" s="27">
        <v>0</v>
      </c>
      <c r="T314" s="27"/>
      <c r="U314" s="27"/>
      <c r="V314" s="9"/>
      <c r="W314" s="9">
        <f>ROUND(Q314 / 1.2, 2)</f>
        <v>2320.83</v>
      </c>
      <c r="X314" s="9" t="e">
        <f>ROUND(R314 / 1.2, 2)</f>
        <v>#VALUE!</v>
      </c>
      <c r="Y314" s="9"/>
      <c r="Z314" s="9" t="e">
        <f>ROUND(T314 / 1.2, 2)</f>
        <v>#VALUE!</v>
      </c>
      <c r="AA314" s="9"/>
      <c r="AD314" s="4">
        <v>281967437</v>
      </c>
      <c r="AE314" s="4">
        <v>20317964</v>
      </c>
      <c r="AG314" s="4" t="s">
        <v>817</v>
      </c>
      <c r="AH314" s="4" t="s">
        <v>818</v>
      </c>
      <c r="AI314" s="4"/>
    </row>
    <row r="315" spans="1:35" ht="36" x14ac:dyDescent="0.3">
      <c r="A315" s="17" t="s">
        <v>897</v>
      </c>
      <c r="B315" s="17"/>
      <c r="C315" s="34" t="s">
        <v>682</v>
      </c>
      <c r="D315" s="19"/>
      <c r="E315" s="19"/>
      <c r="F315" s="35" t="s">
        <v>265</v>
      </c>
      <c r="G315" s="36">
        <v>0.15</v>
      </c>
      <c r="H315" s="19"/>
      <c r="I315" s="37">
        <v>0</v>
      </c>
      <c r="J315" s="38">
        <v>88.8</v>
      </c>
      <c r="K315" s="39"/>
      <c r="L315" s="39"/>
      <c r="M315" s="38">
        <f t="shared" ref="M315:M322" si="77">ROUND(ROUND(J315, 2)*I315, 2)</f>
        <v>0</v>
      </c>
      <c r="N315" s="39"/>
      <c r="O315" s="39"/>
      <c r="P315" s="38">
        <v>88.8</v>
      </c>
      <c r="Q315" s="39"/>
      <c r="R315" s="39"/>
      <c r="S315" s="38">
        <f t="shared" ref="S315:S322" si="78">ROUND(ROUND(P315, 2)*I315, 2)</f>
        <v>0</v>
      </c>
      <c r="T315" s="39"/>
      <c r="U315" s="40"/>
      <c r="V315" s="9">
        <f t="shared" ref="V315:V322" si="79">ROUND(ROUND(P315, 2)/1.2, 2)</f>
        <v>74</v>
      </c>
      <c r="Y315" s="9">
        <f t="shared" ref="Y315:Y323" si="80">ROUND(S315 / 1.2, 2)</f>
        <v>0</v>
      </c>
      <c r="AD315" s="4" t="s">
        <v>898</v>
      </c>
      <c r="AE315" s="4" t="s">
        <v>899</v>
      </c>
      <c r="AF315" s="4" t="s">
        <v>685</v>
      </c>
    </row>
    <row r="316" spans="1:35" ht="36" x14ac:dyDescent="0.3">
      <c r="A316" s="23" t="s">
        <v>900</v>
      </c>
      <c r="B316" s="23"/>
      <c r="C316" s="41" t="s">
        <v>682</v>
      </c>
      <c r="D316" s="25"/>
      <c r="E316" s="25"/>
      <c r="F316" s="42" t="s">
        <v>265</v>
      </c>
      <c r="G316" s="43">
        <v>0.15</v>
      </c>
      <c r="H316" s="25"/>
      <c r="I316" s="43">
        <v>4.2</v>
      </c>
      <c r="J316" s="44">
        <v>88.8</v>
      </c>
      <c r="K316" s="45"/>
      <c r="L316" s="45"/>
      <c r="M316" s="44">
        <f t="shared" si="77"/>
        <v>372.96</v>
      </c>
      <c r="N316" s="45"/>
      <c r="O316" s="45"/>
      <c r="P316" s="44">
        <v>88.8</v>
      </c>
      <c r="Q316" s="45"/>
      <c r="R316" s="45"/>
      <c r="S316" s="44">
        <f t="shared" si="78"/>
        <v>372.96</v>
      </c>
      <c r="T316" s="45"/>
      <c r="U316" s="46"/>
      <c r="V316" s="9">
        <f t="shared" si="79"/>
        <v>74</v>
      </c>
      <c r="Y316" s="9">
        <f t="shared" si="80"/>
        <v>310.8</v>
      </c>
      <c r="AD316" s="4" t="s">
        <v>901</v>
      </c>
      <c r="AE316" s="4" t="s">
        <v>899</v>
      </c>
      <c r="AF316" s="4" t="s">
        <v>685</v>
      </c>
    </row>
    <row r="317" spans="1:35" ht="36" x14ac:dyDescent="0.3">
      <c r="A317" s="17" t="s">
        <v>902</v>
      </c>
      <c r="B317" s="17"/>
      <c r="C317" s="34" t="s">
        <v>790</v>
      </c>
      <c r="D317" s="19"/>
      <c r="E317" s="19"/>
      <c r="F317" s="35" t="s">
        <v>265</v>
      </c>
      <c r="G317" s="36">
        <v>0.25</v>
      </c>
      <c r="H317" s="19"/>
      <c r="I317" s="48">
        <v>0</v>
      </c>
      <c r="J317" s="38">
        <v>40.270000000000003</v>
      </c>
      <c r="K317" s="39"/>
      <c r="L317" s="39"/>
      <c r="M317" s="38">
        <f t="shared" si="77"/>
        <v>0</v>
      </c>
      <c r="N317" s="39"/>
      <c r="O317" s="39"/>
      <c r="P317" s="38">
        <v>40.270000000000003</v>
      </c>
      <c r="Q317" s="39"/>
      <c r="R317" s="39"/>
      <c r="S317" s="38">
        <f t="shared" si="78"/>
        <v>0</v>
      </c>
      <c r="T317" s="39"/>
      <c r="U317" s="40"/>
      <c r="V317" s="9">
        <f t="shared" si="79"/>
        <v>33.56</v>
      </c>
      <c r="Y317" s="9">
        <f t="shared" si="80"/>
        <v>0</v>
      </c>
      <c r="AD317" s="4" t="s">
        <v>903</v>
      </c>
      <c r="AE317" s="4" t="s">
        <v>904</v>
      </c>
      <c r="AF317" s="4" t="s">
        <v>793</v>
      </c>
    </row>
    <row r="318" spans="1:35" ht="36" x14ac:dyDescent="0.3">
      <c r="A318" s="23" t="s">
        <v>905</v>
      </c>
      <c r="B318" s="23"/>
      <c r="C318" s="41" t="s">
        <v>790</v>
      </c>
      <c r="D318" s="25"/>
      <c r="E318" s="25"/>
      <c r="F318" s="42" t="s">
        <v>265</v>
      </c>
      <c r="G318" s="43">
        <v>0.25</v>
      </c>
      <c r="H318" s="25"/>
      <c r="I318" s="50">
        <v>7</v>
      </c>
      <c r="J318" s="44">
        <v>40.270000000000003</v>
      </c>
      <c r="K318" s="45"/>
      <c r="L318" s="45"/>
      <c r="M318" s="44">
        <f t="shared" si="77"/>
        <v>281.89</v>
      </c>
      <c r="N318" s="45"/>
      <c r="O318" s="45"/>
      <c r="P318" s="44">
        <v>40.270000000000003</v>
      </c>
      <c r="Q318" s="45"/>
      <c r="R318" s="45"/>
      <c r="S318" s="44">
        <f t="shared" si="78"/>
        <v>281.89</v>
      </c>
      <c r="T318" s="45"/>
      <c r="U318" s="46"/>
      <c r="V318" s="9">
        <f t="shared" si="79"/>
        <v>33.56</v>
      </c>
      <c r="Y318" s="9">
        <f t="shared" si="80"/>
        <v>234.91</v>
      </c>
      <c r="AD318" s="4" t="s">
        <v>906</v>
      </c>
      <c r="AE318" s="4" t="s">
        <v>904</v>
      </c>
      <c r="AF318" s="4" t="s">
        <v>793</v>
      </c>
    </row>
    <row r="319" spans="1:35" ht="36" x14ac:dyDescent="0.3">
      <c r="A319" s="17" t="s">
        <v>907</v>
      </c>
      <c r="B319" s="17"/>
      <c r="C319" s="34" t="s">
        <v>829</v>
      </c>
      <c r="D319" s="19"/>
      <c r="E319" s="19"/>
      <c r="F319" s="35" t="s">
        <v>59</v>
      </c>
      <c r="G319" s="36">
        <v>1.2</v>
      </c>
      <c r="H319" s="19"/>
      <c r="I319" s="48">
        <v>0</v>
      </c>
      <c r="J319" s="38">
        <v>2021.25</v>
      </c>
      <c r="K319" s="39"/>
      <c r="L319" s="39"/>
      <c r="M319" s="38">
        <f t="shared" si="77"/>
        <v>0</v>
      </c>
      <c r="N319" s="39"/>
      <c r="O319" s="39"/>
      <c r="P319" s="38">
        <v>1693.1</v>
      </c>
      <c r="Q319" s="39"/>
      <c r="R319" s="39"/>
      <c r="S319" s="38">
        <f t="shared" si="78"/>
        <v>0</v>
      </c>
      <c r="T319" s="39"/>
      <c r="U319" s="40"/>
      <c r="V319" s="9">
        <f t="shared" si="79"/>
        <v>1410.92</v>
      </c>
      <c r="Y319" s="9">
        <f t="shared" si="80"/>
        <v>0</v>
      </c>
      <c r="AD319" s="4" t="s">
        <v>908</v>
      </c>
      <c r="AE319" s="4" t="s">
        <v>909</v>
      </c>
      <c r="AF319" s="4" t="s">
        <v>832</v>
      </c>
    </row>
    <row r="320" spans="1:35" ht="72" x14ac:dyDescent="0.3">
      <c r="A320" s="23" t="s">
        <v>910</v>
      </c>
      <c r="B320" s="23"/>
      <c r="C320" s="41" t="s">
        <v>829</v>
      </c>
      <c r="D320" s="25"/>
      <c r="E320" s="25" t="s">
        <v>911</v>
      </c>
      <c r="F320" s="42" t="s">
        <v>59</v>
      </c>
      <c r="G320" s="43">
        <v>1.2</v>
      </c>
      <c r="H320" s="25"/>
      <c r="I320" s="50">
        <v>33.6</v>
      </c>
      <c r="J320" s="44">
        <v>2021.25</v>
      </c>
      <c r="K320" s="45"/>
      <c r="L320" s="45"/>
      <c r="M320" s="44">
        <f t="shared" si="77"/>
        <v>67914</v>
      </c>
      <c r="N320" s="45"/>
      <c r="O320" s="45"/>
      <c r="P320" s="44">
        <v>1693.1</v>
      </c>
      <c r="Q320" s="45"/>
      <c r="R320" s="45"/>
      <c r="S320" s="44">
        <f t="shared" si="78"/>
        <v>56888.160000000003</v>
      </c>
      <c r="T320" s="45"/>
      <c r="U320" s="46"/>
      <c r="V320" s="9">
        <f t="shared" si="79"/>
        <v>1410.92</v>
      </c>
      <c r="Y320" s="9">
        <f t="shared" si="80"/>
        <v>47406.8</v>
      </c>
      <c r="AD320" s="4" t="s">
        <v>912</v>
      </c>
      <c r="AE320" s="4" t="s">
        <v>909</v>
      </c>
      <c r="AF320" s="4" t="s">
        <v>832</v>
      </c>
    </row>
    <row r="321" spans="1:35" ht="36" x14ac:dyDescent="0.3">
      <c r="A321" s="17" t="s">
        <v>913</v>
      </c>
      <c r="B321" s="17"/>
      <c r="C321" s="34" t="s">
        <v>822</v>
      </c>
      <c r="D321" s="19"/>
      <c r="E321" s="19"/>
      <c r="F321" s="35" t="s">
        <v>265</v>
      </c>
      <c r="G321" s="36">
        <v>1.2</v>
      </c>
      <c r="H321" s="19"/>
      <c r="I321" s="48">
        <v>0</v>
      </c>
      <c r="J321" s="38">
        <v>16.96</v>
      </c>
      <c r="K321" s="39"/>
      <c r="L321" s="39"/>
      <c r="M321" s="38">
        <f t="shared" si="77"/>
        <v>0</v>
      </c>
      <c r="N321" s="39"/>
      <c r="O321" s="39"/>
      <c r="P321" s="38">
        <v>16.96</v>
      </c>
      <c r="Q321" s="39"/>
      <c r="R321" s="39"/>
      <c r="S321" s="38">
        <f t="shared" si="78"/>
        <v>0</v>
      </c>
      <c r="T321" s="39"/>
      <c r="U321" s="40"/>
      <c r="V321" s="9">
        <f t="shared" si="79"/>
        <v>14.13</v>
      </c>
      <c r="Y321" s="9">
        <f t="shared" si="80"/>
        <v>0</v>
      </c>
      <c r="AD321" s="4" t="s">
        <v>914</v>
      </c>
      <c r="AE321" s="4" t="s">
        <v>915</v>
      </c>
      <c r="AF321" s="4" t="s">
        <v>825</v>
      </c>
    </row>
    <row r="322" spans="1:35" ht="36" x14ac:dyDescent="0.3">
      <c r="A322" s="23" t="s">
        <v>916</v>
      </c>
      <c r="B322" s="23"/>
      <c r="C322" s="41" t="s">
        <v>822</v>
      </c>
      <c r="D322" s="25"/>
      <c r="E322" s="25"/>
      <c r="F322" s="42" t="s">
        <v>265</v>
      </c>
      <c r="G322" s="43">
        <v>1.2</v>
      </c>
      <c r="H322" s="25"/>
      <c r="I322" s="50">
        <v>33.6</v>
      </c>
      <c r="J322" s="44">
        <v>16.96</v>
      </c>
      <c r="K322" s="45"/>
      <c r="L322" s="45"/>
      <c r="M322" s="44">
        <f t="shared" si="77"/>
        <v>569.86</v>
      </c>
      <c r="N322" s="45"/>
      <c r="O322" s="45"/>
      <c r="P322" s="44">
        <v>16.96</v>
      </c>
      <c r="Q322" s="45"/>
      <c r="R322" s="45"/>
      <c r="S322" s="44">
        <f t="shared" si="78"/>
        <v>569.86</v>
      </c>
      <c r="T322" s="45"/>
      <c r="U322" s="46"/>
      <c r="V322" s="9">
        <f t="shared" si="79"/>
        <v>14.13</v>
      </c>
      <c r="Y322" s="9">
        <f t="shared" si="80"/>
        <v>474.88</v>
      </c>
      <c r="AD322" s="4" t="s">
        <v>917</v>
      </c>
      <c r="AE322" s="4" t="s">
        <v>915</v>
      </c>
      <c r="AF322" s="4" t="s">
        <v>825</v>
      </c>
    </row>
    <row r="323" spans="1:35" ht="54" x14ac:dyDescent="0.3">
      <c r="A323" s="17" t="s">
        <v>918</v>
      </c>
      <c r="B323" s="17" t="s">
        <v>815</v>
      </c>
      <c r="C323" s="18" t="s">
        <v>816</v>
      </c>
      <c r="D323" s="19"/>
      <c r="E323" s="19"/>
      <c r="F323" s="19" t="s">
        <v>59</v>
      </c>
      <c r="G323" s="20">
        <v>1</v>
      </c>
      <c r="H323" s="19"/>
      <c r="I323" s="21">
        <v>0</v>
      </c>
      <c r="J323" s="22">
        <f>IFERROR(ROUND(SUM(M325,M327,M329,M331)/I323, 2),0)</f>
        <v>0</v>
      </c>
      <c r="K323" s="22">
        <v>2785</v>
      </c>
      <c r="L323" s="22">
        <f>J323+ROUND(K323, 2)</f>
        <v>2785</v>
      </c>
      <c r="M323" s="22">
        <f>ROUND(J323*I323, 2)</f>
        <v>0</v>
      </c>
      <c r="N323" s="22">
        <f>ROUND(I323*ROUND(K323, 2), 2)</f>
        <v>0</v>
      </c>
      <c r="O323" s="22">
        <f>M323+N323</f>
        <v>0</v>
      </c>
      <c r="P323" s="22">
        <f>IFERROR(ROUND(SUM(S325,S327,S329,S331)/I323, 2),0)</f>
        <v>0</v>
      </c>
      <c r="Q323" s="22">
        <v>2785</v>
      </c>
      <c r="R323" s="22">
        <f>P323+ROUND(Q323, 2)</f>
        <v>2785</v>
      </c>
      <c r="S323" s="22">
        <f>ROUND(P323*I323, 2)</f>
        <v>0</v>
      </c>
      <c r="T323" s="22">
        <f>ROUND(I323*ROUND(Q323, 2), 2)</f>
        <v>0</v>
      </c>
      <c r="U323" s="22">
        <f>S323+T323</f>
        <v>0</v>
      </c>
      <c r="V323" s="9">
        <f>ROUND(P323 / 1.2, 2)</f>
        <v>0</v>
      </c>
      <c r="W323" s="9">
        <f>ROUND(Q323 / 1.2, 2)</f>
        <v>2320.83</v>
      </c>
      <c r="X323" s="9">
        <f>ROUND(R323 / 1.2, 2)</f>
        <v>2320.83</v>
      </c>
      <c r="Y323" s="9">
        <f t="shared" si="80"/>
        <v>0</v>
      </c>
      <c r="Z323" s="9">
        <f>ROUND(T323 / 1.2, 2)</f>
        <v>0</v>
      </c>
      <c r="AA323" s="9">
        <f>Y323+Z323</f>
        <v>0</v>
      </c>
      <c r="AD323" s="4">
        <v>304337630</v>
      </c>
      <c r="AE323" s="4">
        <v>20317961</v>
      </c>
      <c r="AG323" s="4" t="s">
        <v>817</v>
      </c>
      <c r="AH323" s="4" t="s">
        <v>818</v>
      </c>
      <c r="AI323" s="4" t="s">
        <v>260</v>
      </c>
    </row>
    <row r="324" spans="1:35" ht="54" x14ac:dyDescent="0.3">
      <c r="A324" s="23" t="s">
        <v>919</v>
      </c>
      <c r="B324" s="23" t="s">
        <v>815</v>
      </c>
      <c r="C324" s="24" t="s">
        <v>816</v>
      </c>
      <c r="D324" s="25"/>
      <c r="E324" s="25" t="s">
        <v>920</v>
      </c>
      <c r="F324" s="25" t="s">
        <v>59</v>
      </c>
      <c r="G324" s="26">
        <v>1</v>
      </c>
      <c r="H324" s="25"/>
      <c r="I324" s="26">
        <v>207.1</v>
      </c>
      <c r="J324" s="27">
        <v>0</v>
      </c>
      <c r="K324" s="27">
        <v>2785</v>
      </c>
      <c r="L324" s="27"/>
      <c r="M324" s="27">
        <v>0</v>
      </c>
      <c r="N324" s="27"/>
      <c r="O324" s="27"/>
      <c r="P324" s="27">
        <v>0</v>
      </c>
      <c r="Q324" s="27">
        <v>2785</v>
      </c>
      <c r="R324" s="27"/>
      <c r="S324" s="27">
        <v>0</v>
      </c>
      <c r="T324" s="27"/>
      <c r="U324" s="27"/>
      <c r="V324" s="9"/>
      <c r="W324" s="9">
        <f>ROUND(Q324 / 1.2, 2)</f>
        <v>2320.83</v>
      </c>
      <c r="X324" s="9" t="e">
        <f>ROUND(R324 / 1.2, 2)</f>
        <v>#VALUE!</v>
      </c>
      <c r="Y324" s="9"/>
      <c r="Z324" s="9" t="e">
        <f>ROUND(T324 / 1.2, 2)</f>
        <v>#VALUE!</v>
      </c>
      <c r="AA324" s="9"/>
      <c r="AD324" s="4">
        <v>281967438</v>
      </c>
      <c r="AE324" s="4">
        <v>20317961</v>
      </c>
      <c r="AG324" s="4" t="s">
        <v>817</v>
      </c>
      <c r="AH324" s="4" t="s">
        <v>818</v>
      </c>
      <c r="AI324" s="4"/>
    </row>
    <row r="325" spans="1:35" ht="36" x14ac:dyDescent="0.3">
      <c r="A325" s="17" t="s">
        <v>921</v>
      </c>
      <c r="B325" s="17"/>
      <c r="C325" s="34" t="s">
        <v>822</v>
      </c>
      <c r="D325" s="19"/>
      <c r="E325" s="19"/>
      <c r="F325" s="35" t="s">
        <v>265</v>
      </c>
      <c r="G325" s="36">
        <v>1.2</v>
      </c>
      <c r="H325" s="19"/>
      <c r="I325" s="48">
        <v>0</v>
      </c>
      <c r="J325" s="38">
        <v>16.96</v>
      </c>
      <c r="K325" s="39"/>
      <c r="L325" s="39"/>
      <c r="M325" s="38">
        <f t="shared" ref="M325:M332" si="81">ROUND(ROUND(J325, 2)*I325, 2)</f>
        <v>0</v>
      </c>
      <c r="N325" s="39"/>
      <c r="O325" s="39"/>
      <c r="P325" s="38">
        <v>16.96</v>
      </c>
      <c r="Q325" s="39"/>
      <c r="R325" s="39"/>
      <c r="S325" s="38">
        <f t="shared" ref="S325:S332" si="82">ROUND(ROUND(P325, 2)*I325, 2)</f>
        <v>0</v>
      </c>
      <c r="T325" s="39"/>
      <c r="U325" s="40"/>
      <c r="V325" s="9">
        <f t="shared" ref="V325:V332" si="83">ROUND(ROUND(P325, 2)/1.2, 2)</f>
        <v>14.13</v>
      </c>
      <c r="Y325" s="9">
        <f t="shared" ref="Y325:Y333" si="84">ROUND(S325 / 1.2, 2)</f>
        <v>0</v>
      </c>
      <c r="AD325" s="4" t="s">
        <v>922</v>
      </c>
      <c r="AE325" s="4" t="s">
        <v>923</v>
      </c>
      <c r="AF325" s="4" t="s">
        <v>825</v>
      </c>
    </row>
    <row r="326" spans="1:35" ht="36" x14ac:dyDescent="0.3">
      <c r="A326" s="23" t="s">
        <v>924</v>
      </c>
      <c r="B326" s="23"/>
      <c r="C326" s="41" t="s">
        <v>822</v>
      </c>
      <c r="D326" s="25"/>
      <c r="E326" s="25"/>
      <c r="F326" s="42" t="s">
        <v>265</v>
      </c>
      <c r="G326" s="43">
        <v>1.2</v>
      </c>
      <c r="H326" s="25"/>
      <c r="I326" s="50">
        <v>248.52</v>
      </c>
      <c r="J326" s="44">
        <v>16.96</v>
      </c>
      <c r="K326" s="45"/>
      <c r="L326" s="45"/>
      <c r="M326" s="44">
        <f t="shared" si="81"/>
        <v>4214.8999999999996</v>
      </c>
      <c r="N326" s="45"/>
      <c r="O326" s="45"/>
      <c r="P326" s="44">
        <v>16.96</v>
      </c>
      <c r="Q326" s="45"/>
      <c r="R326" s="45"/>
      <c r="S326" s="44">
        <f t="shared" si="82"/>
        <v>4214.8999999999996</v>
      </c>
      <c r="T326" s="45"/>
      <c r="U326" s="46"/>
      <c r="V326" s="9">
        <f t="shared" si="83"/>
        <v>14.13</v>
      </c>
      <c r="Y326" s="9">
        <f t="shared" si="84"/>
        <v>3512.42</v>
      </c>
      <c r="AD326" s="4" t="s">
        <v>925</v>
      </c>
      <c r="AE326" s="4" t="s">
        <v>923</v>
      </c>
      <c r="AF326" s="4" t="s">
        <v>825</v>
      </c>
    </row>
    <row r="327" spans="1:35" ht="36" x14ac:dyDescent="0.3">
      <c r="A327" s="17" t="s">
        <v>926</v>
      </c>
      <c r="B327" s="17"/>
      <c r="C327" s="34" t="s">
        <v>829</v>
      </c>
      <c r="D327" s="19"/>
      <c r="E327" s="19"/>
      <c r="F327" s="35" t="s">
        <v>59</v>
      </c>
      <c r="G327" s="36">
        <v>1.2</v>
      </c>
      <c r="H327" s="19"/>
      <c r="I327" s="48">
        <v>0</v>
      </c>
      <c r="J327" s="38">
        <v>2021.25</v>
      </c>
      <c r="K327" s="39"/>
      <c r="L327" s="39"/>
      <c r="M327" s="38">
        <f t="shared" si="81"/>
        <v>0</v>
      </c>
      <c r="N327" s="39"/>
      <c r="O327" s="39"/>
      <c r="P327" s="38">
        <v>1630.9</v>
      </c>
      <c r="Q327" s="39"/>
      <c r="R327" s="39"/>
      <c r="S327" s="38">
        <f t="shared" si="82"/>
        <v>0</v>
      </c>
      <c r="T327" s="39"/>
      <c r="U327" s="40"/>
      <c r="V327" s="9">
        <f t="shared" si="83"/>
        <v>1359.08</v>
      </c>
      <c r="Y327" s="9">
        <f t="shared" si="84"/>
        <v>0</v>
      </c>
      <c r="AD327" s="4" t="s">
        <v>927</v>
      </c>
      <c r="AE327" s="4" t="s">
        <v>928</v>
      </c>
      <c r="AF327" s="4" t="s">
        <v>832</v>
      </c>
    </row>
    <row r="328" spans="1:35" ht="72" x14ac:dyDescent="0.3">
      <c r="A328" s="23" t="s">
        <v>929</v>
      </c>
      <c r="B328" s="23"/>
      <c r="C328" s="41" t="s">
        <v>829</v>
      </c>
      <c r="D328" s="25"/>
      <c r="E328" s="25" t="s">
        <v>930</v>
      </c>
      <c r="F328" s="42" t="s">
        <v>59</v>
      </c>
      <c r="G328" s="43">
        <v>1.2</v>
      </c>
      <c r="H328" s="25"/>
      <c r="I328" s="50">
        <v>248.52</v>
      </c>
      <c r="J328" s="44">
        <v>2021.25</v>
      </c>
      <c r="K328" s="45"/>
      <c r="L328" s="45"/>
      <c r="M328" s="44">
        <f t="shared" si="81"/>
        <v>502321.05</v>
      </c>
      <c r="N328" s="45"/>
      <c r="O328" s="45"/>
      <c r="P328" s="44">
        <v>1630.9</v>
      </c>
      <c r="Q328" s="45"/>
      <c r="R328" s="45"/>
      <c r="S328" s="44">
        <f t="shared" si="82"/>
        <v>405311.27</v>
      </c>
      <c r="T328" s="45"/>
      <c r="U328" s="46"/>
      <c r="V328" s="9">
        <f t="shared" si="83"/>
        <v>1359.08</v>
      </c>
      <c r="Y328" s="9">
        <f t="shared" si="84"/>
        <v>337759.39</v>
      </c>
      <c r="AD328" s="4" t="s">
        <v>931</v>
      </c>
      <c r="AE328" s="4" t="s">
        <v>928</v>
      </c>
      <c r="AF328" s="4" t="s">
        <v>832</v>
      </c>
    </row>
    <row r="329" spans="1:35" ht="36" x14ac:dyDescent="0.3">
      <c r="A329" s="17" t="s">
        <v>932</v>
      </c>
      <c r="B329" s="17"/>
      <c r="C329" s="34" t="s">
        <v>790</v>
      </c>
      <c r="D329" s="19"/>
      <c r="E329" s="19"/>
      <c r="F329" s="35" t="s">
        <v>265</v>
      </c>
      <c r="G329" s="36">
        <v>0.25</v>
      </c>
      <c r="H329" s="19"/>
      <c r="I329" s="48">
        <v>0</v>
      </c>
      <c r="J329" s="38">
        <v>40.270000000000003</v>
      </c>
      <c r="K329" s="39"/>
      <c r="L329" s="39"/>
      <c r="M329" s="38">
        <f t="shared" si="81"/>
        <v>0</v>
      </c>
      <c r="N329" s="39"/>
      <c r="O329" s="39"/>
      <c r="P329" s="38">
        <v>40.270000000000003</v>
      </c>
      <c r="Q329" s="39"/>
      <c r="R329" s="39"/>
      <c r="S329" s="38">
        <f t="shared" si="82"/>
        <v>0</v>
      </c>
      <c r="T329" s="39"/>
      <c r="U329" s="40"/>
      <c r="V329" s="9">
        <f t="shared" si="83"/>
        <v>33.56</v>
      </c>
      <c r="Y329" s="9">
        <f t="shared" si="84"/>
        <v>0</v>
      </c>
      <c r="AD329" s="4" t="s">
        <v>933</v>
      </c>
      <c r="AE329" s="4" t="s">
        <v>934</v>
      </c>
      <c r="AF329" s="4" t="s">
        <v>793</v>
      </c>
    </row>
    <row r="330" spans="1:35" ht="36" x14ac:dyDescent="0.3">
      <c r="A330" s="23" t="s">
        <v>935</v>
      </c>
      <c r="B330" s="23"/>
      <c r="C330" s="41" t="s">
        <v>790</v>
      </c>
      <c r="D330" s="25"/>
      <c r="E330" s="25"/>
      <c r="F330" s="42" t="s">
        <v>265</v>
      </c>
      <c r="G330" s="43">
        <v>0.25</v>
      </c>
      <c r="H330" s="25"/>
      <c r="I330" s="50">
        <v>51.774999999999999</v>
      </c>
      <c r="J330" s="44">
        <v>40.270000000000003</v>
      </c>
      <c r="K330" s="45"/>
      <c r="L330" s="45"/>
      <c r="M330" s="44">
        <f t="shared" si="81"/>
        <v>2084.98</v>
      </c>
      <c r="N330" s="45"/>
      <c r="O330" s="45"/>
      <c r="P330" s="44">
        <v>40.270000000000003</v>
      </c>
      <c r="Q330" s="45"/>
      <c r="R330" s="45"/>
      <c r="S330" s="44">
        <f t="shared" si="82"/>
        <v>2084.98</v>
      </c>
      <c r="T330" s="45"/>
      <c r="U330" s="46"/>
      <c r="V330" s="9">
        <f t="shared" si="83"/>
        <v>33.56</v>
      </c>
      <c r="Y330" s="9">
        <f t="shared" si="84"/>
        <v>1737.48</v>
      </c>
      <c r="AD330" s="4" t="s">
        <v>936</v>
      </c>
      <c r="AE330" s="4" t="s">
        <v>934</v>
      </c>
      <c r="AF330" s="4" t="s">
        <v>793</v>
      </c>
    </row>
    <row r="331" spans="1:35" ht="36" x14ac:dyDescent="0.3">
      <c r="A331" s="17" t="s">
        <v>937</v>
      </c>
      <c r="B331" s="17"/>
      <c r="C331" s="34" t="s">
        <v>682</v>
      </c>
      <c r="D331" s="19"/>
      <c r="E331" s="19"/>
      <c r="F331" s="35" t="s">
        <v>265</v>
      </c>
      <c r="G331" s="36">
        <v>0.15</v>
      </c>
      <c r="H331" s="19"/>
      <c r="I331" s="37">
        <v>0</v>
      </c>
      <c r="J331" s="38">
        <v>88.8</v>
      </c>
      <c r="K331" s="39"/>
      <c r="L331" s="39"/>
      <c r="M331" s="38">
        <f t="shared" si="81"/>
        <v>0</v>
      </c>
      <c r="N331" s="39"/>
      <c r="O331" s="39"/>
      <c r="P331" s="38">
        <v>88.8</v>
      </c>
      <c r="Q331" s="39"/>
      <c r="R331" s="39"/>
      <c r="S331" s="38">
        <f t="shared" si="82"/>
        <v>0</v>
      </c>
      <c r="T331" s="39"/>
      <c r="U331" s="40"/>
      <c r="V331" s="9">
        <f t="shared" si="83"/>
        <v>74</v>
      </c>
      <c r="Y331" s="9">
        <f t="shared" si="84"/>
        <v>0</v>
      </c>
      <c r="AD331" s="4" t="s">
        <v>938</v>
      </c>
      <c r="AE331" s="4" t="s">
        <v>939</v>
      </c>
      <c r="AF331" s="4" t="s">
        <v>685</v>
      </c>
    </row>
    <row r="332" spans="1:35" ht="36" x14ac:dyDescent="0.3">
      <c r="A332" s="23" t="s">
        <v>940</v>
      </c>
      <c r="B332" s="23"/>
      <c r="C332" s="41" t="s">
        <v>682</v>
      </c>
      <c r="D332" s="25"/>
      <c r="E332" s="25"/>
      <c r="F332" s="42" t="s">
        <v>265</v>
      </c>
      <c r="G332" s="43">
        <v>0.15</v>
      </c>
      <c r="H332" s="25"/>
      <c r="I332" s="43">
        <v>31.065000000000001</v>
      </c>
      <c r="J332" s="44">
        <v>88.8</v>
      </c>
      <c r="K332" s="45"/>
      <c r="L332" s="45"/>
      <c r="M332" s="44">
        <f t="shared" si="81"/>
        <v>2758.57</v>
      </c>
      <c r="N332" s="45"/>
      <c r="O332" s="45"/>
      <c r="P332" s="44">
        <v>88.8</v>
      </c>
      <c r="Q332" s="45"/>
      <c r="R332" s="45"/>
      <c r="S332" s="44">
        <f t="shared" si="82"/>
        <v>2758.57</v>
      </c>
      <c r="T332" s="45"/>
      <c r="U332" s="46"/>
      <c r="V332" s="9">
        <f t="shared" si="83"/>
        <v>74</v>
      </c>
      <c r="Y332" s="9">
        <f t="shared" si="84"/>
        <v>2298.81</v>
      </c>
      <c r="AD332" s="4" t="s">
        <v>941</v>
      </c>
      <c r="AE332" s="4" t="s">
        <v>939</v>
      </c>
      <c r="AF332" s="4" t="s">
        <v>685</v>
      </c>
    </row>
    <row r="333" spans="1:35" ht="54" x14ac:dyDescent="0.3">
      <c r="A333" s="17" t="s">
        <v>942</v>
      </c>
      <c r="B333" s="17" t="s">
        <v>815</v>
      </c>
      <c r="C333" s="18" t="s">
        <v>816</v>
      </c>
      <c r="D333" s="19"/>
      <c r="E333" s="19"/>
      <c r="F333" s="19" t="s">
        <v>59</v>
      </c>
      <c r="G333" s="20">
        <v>1</v>
      </c>
      <c r="H333" s="19"/>
      <c r="I333" s="21">
        <v>0</v>
      </c>
      <c r="J333" s="22">
        <f>IFERROR(ROUND(SUM(M335,M337,M339,M341)/I333, 2),0)</f>
        <v>0</v>
      </c>
      <c r="K333" s="22">
        <v>2785</v>
      </c>
      <c r="L333" s="22">
        <f>J333+ROUND(K333, 2)</f>
        <v>2785</v>
      </c>
      <c r="M333" s="22">
        <f>ROUND(J333*I333, 2)</f>
        <v>0</v>
      </c>
      <c r="N333" s="22">
        <f>ROUND(I333*ROUND(K333, 2), 2)</f>
        <v>0</v>
      </c>
      <c r="O333" s="22">
        <f>M333+N333</f>
        <v>0</v>
      </c>
      <c r="P333" s="22">
        <f>IFERROR(ROUND(SUM(S335,S337,S339,S341)/I333, 2),0)</f>
        <v>0</v>
      </c>
      <c r="Q333" s="22">
        <v>2785</v>
      </c>
      <c r="R333" s="22">
        <f>P333+ROUND(Q333, 2)</f>
        <v>2785</v>
      </c>
      <c r="S333" s="22">
        <f>ROUND(P333*I333, 2)</f>
        <v>0</v>
      </c>
      <c r="T333" s="22">
        <f>ROUND(I333*ROUND(Q333, 2), 2)</f>
        <v>0</v>
      </c>
      <c r="U333" s="22">
        <f>S333+T333</f>
        <v>0</v>
      </c>
      <c r="V333" s="9">
        <f>ROUND(P333 / 1.2, 2)</f>
        <v>0</v>
      </c>
      <c r="W333" s="9">
        <f>ROUND(Q333 / 1.2, 2)</f>
        <v>2320.83</v>
      </c>
      <c r="X333" s="9">
        <f>ROUND(R333 / 1.2, 2)</f>
        <v>2320.83</v>
      </c>
      <c r="Y333" s="9">
        <f t="shared" si="84"/>
        <v>0</v>
      </c>
      <c r="Z333" s="9">
        <f>ROUND(T333 / 1.2, 2)</f>
        <v>0</v>
      </c>
      <c r="AA333" s="9">
        <f>Y333+Z333</f>
        <v>0</v>
      </c>
      <c r="AD333" s="4">
        <v>304337631</v>
      </c>
      <c r="AE333" s="4">
        <v>20321878</v>
      </c>
      <c r="AG333" s="4" t="s">
        <v>817</v>
      </c>
      <c r="AH333" s="4" t="s">
        <v>818</v>
      </c>
      <c r="AI333" s="4" t="s">
        <v>260</v>
      </c>
    </row>
    <row r="334" spans="1:35" ht="54" x14ac:dyDescent="0.3">
      <c r="A334" s="23" t="s">
        <v>943</v>
      </c>
      <c r="B334" s="23" t="s">
        <v>815</v>
      </c>
      <c r="C334" s="24" t="s">
        <v>816</v>
      </c>
      <c r="D334" s="25"/>
      <c r="E334" s="25" t="s">
        <v>944</v>
      </c>
      <c r="F334" s="25" t="s">
        <v>59</v>
      </c>
      <c r="G334" s="26">
        <v>1</v>
      </c>
      <c r="H334" s="25"/>
      <c r="I334" s="26">
        <v>207.5</v>
      </c>
      <c r="J334" s="27">
        <v>0</v>
      </c>
      <c r="K334" s="27">
        <v>2785</v>
      </c>
      <c r="L334" s="27"/>
      <c r="M334" s="27">
        <v>0</v>
      </c>
      <c r="N334" s="27"/>
      <c r="O334" s="27"/>
      <c r="P334" s="27">
        <v>0</v>
      </c>
      <c r="Q334" s="27">
        <v>2785</v>
      </c>
      <c r="R334" s="27"/>
      <c r="S334" s="27">
        <v>0</v>
      </c>
      <c r="T334" s="27"/>
      <c r="U334" s="27"/>
      <c r="V334" s="9"/>
      <c r="W334" s="9">
        <f>ROUND(Q334 / 1.2, 2)</f>
        <v>2320.83</v>
      </c>
      <c r="X334" s="9" t="e">
        <f>ROUND(R334 / 1.2, 2)</f>
        <v>#VALUE!</v>
      </c>
      <c r="Y334" s="9"/>
      <c r="Z334" s="9" t="e">
        <f>ROUND(T334 / 1.2, 2)</f>
        <v>#VALUE!</v>
      </c>
      <c r="AA334" s="9"/>
      <c r="AD334" s="4">
        <v>281967439</v>
      </c>
      <c r="AE334" s="4">
        <v>20321878</v>
      </c>
      <c r="AG334" s="4" t="s">
        <v>817</v>
      </c>
      <c r="AH334" s="4" t="s">
        <v>818</v>
      </c>
      <c r="AI334" s="4"/>
    </row>
    <row r="335" spans="1:35" ht="36" x14ac:dyDescent="0.3">
      <c r="A335" s="17" t="s">
        <v>945</v>
      </c>
      <c r="B335" s="17"/>
      <c r="C335" s="34" t="s">
        <v>682</v>
      </c>
      <c r="D335" s="19"/>
      <c r="E335" s="19"/>
      <c r="F335" s="35" t="s">
        <v>265</v>
      </c>
      <c r="G335" s="36">
        <v>0.15</v>
      </c>
      <c r="H335" s="19"/>
      <c r="I335" s="37">
        <v>0</v>
      </c>
      <c r="J335" s="38">
        <v>88.8</v>
      </c>
      <c r="K335" s="39"/>
      <c r="L335" s="39"/>
      <c r="M335" s="38">
        <f t="shared" ref="M335:M342" si="85">ROUND(ROUND(J335, 2)*I335, 2)</f>
        <v>0</v>
      </c>
      <c r="N335" s="39"/>
      <c r="O335" s="39"/>
      <c r="P335" s="38">
        <v>88.8</v>
      </c>
      <c r="Q335" s="39"/>
      <c r="R335" s="39"/>
      <c r="S335" s="38">
        <f t="shared" ref="S335:S342" si="86">ROUND(ROUND(P335, 2)*I335, 2)</f>
        <v>0</v>
      </c>
      <c r="T335" s="39"/>
      <c r="U335" s="40"/>
      <c r="V335" s="9">
        <f t="shared" ref="V335:V342" si="87">ROUND(ROUND(P335, 2)/1.2, 2)</f>
        <v>74</v>
      </c>
      <c r="Y335" s="9">
        <f t="shared" ref="Y335:Y372" si="88">ROUND(S335 / 1.2, 2)</f>
        <v>0</v>
      </c>
      <c r="AD335" s="4" t="s">
        <v>946</v>
      </c>
      <c r="AE335" s="4" t="s">
        <v>947</v>
      </c>
      <c r="AF335" s="4" t="s">
        <v>685</v>
      </c>
    </row>
    <row r="336" spans="1:35" ht="36" x14ac:dyDescent="0.3">
      <c r="A336" s="23" t="s">
        <v>948</v>
      </c>
      <c r="B336" s="23"/>
      <c r="C336" s="41" t="s">
        <v>682</v>
      </c>
      <c r="D336" s="25"/>
      <c r="E336" s="25"/>
      <c r="F336" s="42" t="s">
        <v>265</v>
      </c>
      <c r="G336" s="43">
        <v>0.15</v>
      </c>
      <c r="H336" s="25"/>
      <c r="I336" s="43">
        <v>31.125</v>
      </c>
      <c r="J336" s="44">
        <v>88.8</v>
      </c>
      <c r="K336" s="45"/>
      <c r="L336" s="45"/>
      <c r="M336" s="44">
        <f t="shared" si="85"/>
        <v>2763.9</v>
      </c>
      <c r="N336" s="45"/>
      <c r="O336" s="45"/>
      <c r="P336" s="44">
        <v>88.8</v>
      </c>
      <c r="Q336" s="45"/>
      <c r="R336" s="45"/>
      <c r="S336" s="44">
        <f t="shared" si="86"/>
        <v>2763.9</v>
      </c>
      <c r="T336" s="45"/>
      <c r="U336" s="46"/>
      <c r="V336" s="9">
        <f t="shared" si="87"/>
        <v>74</v>
      </c>
      <c r="Y336" s="9">
        <f t="shared" si="88"/>
        <v>2303.25</v>
      </c>
      <c r="AD336" s="4" t="s">
        <v>949</v>
      </c>
      <c r="AE336" s="4" t="s">
        <v>947</v>
      </c>
      <c r="AF336" s="4" t="s">
        <v>685</v>
      </c>
    </row>
    <row r="337" spans="1:35" ht="36" x14ac:dyDescent="0.3">
      <c r="A337" s="17" t="s">
        <v>950</v>
      </c>
      <c r="B337" s="17"/>
      <c r="C337" s="34" t="s">
        <v>790</v>
      </c>
      <c r="D337" s="19"/>
      <c r="E337" s="19"/>
      <c r="F337" s="35" t="s">
        <v>265</v>
      </c>
      <c r="G337" s="36">
        <v>0.25</v>
      </c>
      <c r="H337" s="19"/>
      <c r="I337" s="48">
        <v>0</v>
      </c>
      <c r="J337" s="38">
        <v>40.270000000000003</v>
      </c>
      <c r="K337" s="39"/>
      <c r="L337" s="39"/>
      <c r="M337" s="38">
        <f t="shared" si="85"/>
        <v>0</v>
      </c>
      <c r="N337" s="39"/>
      <c r="O337" s="39"/>
      <c r="P337" s="38">
        <v>40.270000000000003</v>
      </c>
      <c r="Q337" s="39"/>
      <c r="R337" s="39"/>
      <c r="S337" s="38">
        <f t="shared" si="86"/>
        <v>0</v>
      </c>
      <c r="T337" s="39"/>
      <c r="U337" s="40"/>
      <c r="V337" s="9">
        <f t="shared" si="87"/>
        <v>33.56</v>
      </c>
      <c r="Y337" s="9">
        <f t="shared" si="88"/>
        <v>0</v>
      </c>
      <c r="AD337" s="4" t="s">
        <v>951</v>
      </c>
      <c r="AE337" s="4" t="s">
        <v>952</v>
      </c>
      <c r="AF337" s="4" t="s">
        <v>793</v>
      </c>
    </row>
    <row r="338" spans="1:35" ht="36" x14ac:dyDescent="0.3">
      <c r="A338" s="23" t="s">
        <v>953</v>
      </c>
      <c r="B338" s="23"/>
      <c r="C338" s="41" t="s">
        <v>790</v>
      </c>
      <c r="D338" s="25"/>
      <c r="E338" s="25"/>
      <c r="F338" s="42" t="s">
        <v>265</v>
      </c>
      <c r="G338" s="43">
        <v>0.25</v>
      </c>
      <c r="H338" s="25"/>
      <c r="I338" s="50">
        <v>51.875</v>
      </c>
      <c r="J338" s="44">
        <v>40.270000000000003</v>
      </c>
      <c r="K338" s="45"/>
      <c r="L338" s="45"/>
      <c r="M338" s="44">
        <f t="shared" si="85"/>
        <v>2089.0100000000002</v>
      </c>
      <c r="N338" s="45"/>
      <c r="O338" s="45"/>
      <c r="P338" s="44">
        <v>40.270000000000003</v>
      </c>
      <c r="Q338" s="45"/>
      <c r="R338" s="45"/>
      <c r="S338" s="44">
        <f t="shared" si="86"/>
        <v>2089.0100000000002</v>
      </c>
      <c r="T338" s="45"/>
      <c r="U338" s="46"/>
      <c r="V338" s="9">
        <f t="shared" si="87"/>
        <v>33.56</v>
      </c>
      <c r="Y338" s="9">
        <f t="shared" si="88"/>
        <v>1740.84</v>
      </c>
      <c r="AD338" s="4" t="s">
        <v>954</v>
      </c>
      <c r="AE338" s="4" t="s">
        <v>952</v>
      </c>
      <c r="AF338" s="4" t="s">
        <v>793</v>
      </c>
    </row>
    <row r="339" spans="1:35" ht="36" x14ac:dyDescent="0.3">
      <c r="A339" s="17" t="s">
        <v>955</v>
      </c>
      <c r="B339" s="17"/>
      <c r="C339" s="34" t="s">
        <v>829</v>
      </c>
      <c r="D339" s="19"/>
      <c r="E339" s="19"/>
      <c r="F339" s="35" t="s">
        <v>59</v>
      </c>
      <c r="G339" s="36">
        <v>1.2</v>
      </c>
      <c r="H339" s="19"/>
      <c r="I339" s="48">
        <v>0</v>
      </c>
      <c r="J339" s="38">
        <v>2021.25</v>
      </c>
      <c r="K339" s="39"/>
      <c r="L339" s="39"/>
      <c r="M339" s="38">
        <f t="shared" si="85"/>
        <v>0</v>
      </c>
      <c r="N339" s="39"/>
      <c r="O339" s="39"/>
      <c r="P339" s="38">
        <v>1630.9</v>
      </c>
      <c r="Q339" s="39"/>
      <c r="R339" s="39"/>
      <c r="S339" s="38">
        <f t="shared" si="86"/>
        <v>0</v>
      </c>
      <c r="T339" s="39"/>
      <c r="U339" s="40"/>
      <c r="V339" s="9">
        <f t="shared" si="87"/>
        <v>1359.08</v>
      </c>
      <c r="Y339" s="9">
        <f t="shared" si="88"/>
        <v>0</v>
      </c>
      <c r="AD339" s="4" t="s">
        <v>956</v>
      </c>
      <c r="AE339" s="4" t="s">
        <v>957</v>
      </c>
      <c r="AF339" s="4" t="s">
        <v>832</v>
      </c>
    </row>
    <row r="340" spans="1:35" ht="90" x14ac:dyDescent="0.3">
      <c r="A340" s="23" t="s">
        <v>958</v>
      </c>
      <c r="B340" s="23"/>
      <c r="C340" s="41" t="s">
        <v>829</v>
      </c>
      <c r="D340" s="25"/>
      <c r="E340" s="25" t="s">
        <v>959</v>
      </c>
      <c r="F340" s="42" t="s">
        <v>59</v>
      </c>
      <c r="G340" s="43">
        <v>1.2</v>
      </c>
      <c r="H340" s="25"/>
      <c r="I340" s="50">
        <v>249</v>
      </c>
      <c r="J340" s="44">
        <v>2021.25</v>
      </c>
      <c r="K340" s="45"/>
      <c r="L340" s="45"/>
      <c r="M340" s="44">
        <f t="shared" si="85"/>
        <v>503291.25</v>
      </c>
      <c r="N340" s="45"/>
      <c r="O340" s="45"/>
      <c r="P340" s="44">
        <v>1630.9</v>
      </c>
      <c r="Q340" s="45"/>
      <c r="R340" s="45"/>
      <c r="S340" s="44">
        <f t="shared" si="86"/>
        <v>406094.1</v>
      </c>
      <c r="T340" s="45"/>
      <c r="U340" s="46"/>
      <c r="V340" s="9">
        <f t="shared" si="87"/>
        <v>1359.08</v>
      </c>
      <c r="Y340" s="9">
        <f t="shared" si="88"/>
        <v>338411.75</v>
      </c>
      <c r="AD340" s="4" t="s">
        <v>960</v>
      </c>
      <c r="AE340" s="4" t="s">
        <v>957</v>
      </c>
      <c r="AF340" s="4" t="s">
        <v>832</v>
      </c>
    </row>
    <row r="341" spans="1:35" ht="36" x14ac:dyDescent="0.3">
      <c r="A341" s="17" t="s">
        <v>961</v>
      </c>
      <c r="B341" s="17"/>
      <c r="C341" s="34" t="s">
        <v>822</v>
      </c>
      <c r="D341" s="19"/>
      <c r="E341" s="19"/>
      <c r="F341" s="35" t="s">
        <v>265</v>
      </c>
      <c r="G341" s="36">
        <v>1.2</v>
      </c>
      <c r="H341" s="19"/>
      <c r="I341" s="48">
        <v>0</v>
      </c>
      <c r="J341" s="38">
        <v>16.96</v>
      </c>
      <c r="K341" s="39"/>
      <c r="L341" s="39"/>
      <c r="M341" s="38">
        <f t="shared" si="85"/>
        <v>0</v>
      </c>
      <c r="N341" s="39"/>
      <c r="O341" s="39"/>
      <c r="P341" s="38">
        <v>16.96</v>
      </c>
      <c r="Q341" s="39"/>
      <c r="R341" s="39"/>
      <c r="S341" s="38">
        <f t="shared" si="86"/>
        <v>0</v>
      </c>
      <c r="T341" s="39"/>
      <c r="U341" s="40"/>
      <c r="V341" s="9">
        <f t="shared" si="87"/>
        <v>14.13</v>
      </c>
      <c r="Y341" s="9">
        <f t="shared" si="88"/>
        <v>0</v>
      </c>
      <c r="AD341" s="4" t="s">
        <v>962</v>
      </c>
      <c r="AE341" s="4" t="s">
        <v>963</v>
      </c>
      <c r="AF341" s="4" t="s">
        <v>825</v>
      </c>
    </row>
    <row r="342" spans="1:35" ht="36" x14ac:dyDescent="0.3">
      <c r="A342" s="23" t="s">
        <v>964</v>
      </c>
      <c r="B342" s="23"/>
      <c r="C342" s="41" t="s">
        <v>822</v>
      </c>
      <c r="D342" s="25"/>
      <c r="E342" s="25"/>
      <c r="F342" s="42" t="s">
        <v>265</v>
      </c>
      <c r="G342" s="43">
        <v>1.2</v>
      </c>
      <c r="H342" s="25"/>
      <c r="I342" s="50">
        <v>249</v>
      </c>
      <c r="J342" s="44">
        <v>16.96</v>
      </c>
      <c r="K342" s="45"/>
      <c r="L342" s="45"/>
      <c r="M342" s="44">
        <f t="shared" si="85"/>
        <v>4223.04</v>
      </c>
      <c r="N342" s="45"/>
      <c r="O342" s="45"/>
      <c r="P342" s="44">
        <v>16.96</v>
      </c>
      <c r="Q342" s="45"/>
      <c r="R342" s="45"/>
      <c r="S342" s="44">
        <f t="shared" si="86"/>
        <v>4223.04</v>
      </c>
      <c r="T342" s="45"/>
      <c r="U342" s="46"/>
      <c r="V342" s="9">
        <f t="shared" si="87"/>
        <v>14.13</v>
      </c>
      <c r="Y342" s="9">
        <f t="shared" si="88"/>
        <v>3519.2</v>
      </c>
      <c r="AD342" s="4" t="s">
        <v>965</v>
      </c>
      <c r="AE342" s="4" t="s">
        <v>963</v>
      </c>
      <c r="AF342" s="4" t="s">
        <v>825</v>
      </c>
    </row>
    <row r="343" spans="1:35" ht="54" x14ac:dyDescent="0.3">
      <c r="A343" s="51" t="s">
        <v>966</v>
      </c>
      <c r="B343" s="51" t="s">
        <v>815</v>
      </c>
      <c r="C343" s="52" t="s">
        <v>816</v>
      </c>
      <c r="D343" s="53"/>
      <c r="E343" s="53" t="s">
        <v>820</v>
      </c>
      <c r="F343" s="53" t="s">
        <v>59</v>
      </c>
      <c r="G343" s="54">
        <v>1</v>
      </c>
      <c r="H343" s="53"/>
      <c r="I343" s="54">
        <v>1132.5</v>
      </c>
      <c r="J343" s="55">
        <f>IFERROR(ROUND(SUM(M344,M345,M346,M347)/I343, 2),0)</f>
        <v>2468.2399999999998</v>
      </c>
      <c r="K343" s="55">
        <v>2785</v>
      </c>
      <c r="L343" s="55">
        <f>J343+ROUND(K343, 2)</f>
        <v>5253.24</v>
      </c>
      <c r="M343" s="55">
        <f>ROUND(J343*I343, 2)</f>
        <v>2795281.8</v>
      </c>
      <c r="N343" s="55">
        <f>ROUND(I343*ROUND(K343, 2), 2)</f>
        <v>3154012.5</v>
      </c>
      <c r="O343" s="55">
        <f>M343+N343</f>
        <v>5949294.2999999998</v>
      </c>
      <c r="P343" s="55">
        <f>IFERROR(ROUND(SUM(S344,S345,S346,S347)/I343, 2),0)</f>
        <v>2063.89</v>
      </c>
      <c r="Q343" s="55">
        <v>4177.5</v>
      </c>
      <c r="R343" s="55">
        <f>P343+ROUND(Q343, 2)</f>
        <v>6241.39</v>
      </c>
      <c r="S343" s="55">
        <f>ROUND(P343*I343, 2)</f>
        <v>2337355.4300000002</v>
      </c>
      <c r="T343" s="55">
        <f>ROUND(I343*ROUND(Q343, 2), 2)</f>
        <v>4731018.75</v>
      </c>
      <c r="U343" s="55">
        <f>S343+T343</f>
        <v>7068374.1799999997</v>
      </c>
      <c r="V343" s="9">
        <f>ROUND(P343 / 1.2, 2)</f>
        <v>1719.91</v>
      </c>
      <c r="W343" s="9">
        <f>ROUND(Q343 / 1.2, 2)</f>
        <v>3481.25</v>
      </c>
      <c r="X343" s="9">
        <f>ROUND(R343 / 1.2, 2)</f>
        <v>5201.16</v>
      </c>
      <c r="Y343" s="9">
        <f t="shared" si="88"/>
        <v>1947796.19</v>
      </c>
      <c r="Z343" s="9">
        <f>ROUND(T343 / 1.2, 2)</f>
        <v>3942515.63</v>
      </c>
      <c r="AA343" s="9">
        <f>Y343+Z343</f>
        <v>5890311.8200000003</v>
      </c>
      <c r="AD343" s="4">
        <v>304337632</v>
      </c>
      <c r="AE343" s="4">
        <v>21935191</v>
      </c>
      <c r="AG343" s="4" t="s">
        <v>817</v>
      </c>
      <c r="AH343" s="4" t="s">
        <v>818</v>
      </c>
      <c r="AI343" s="4" t="s">
        <v>260</v>
      </c>
    </row>
    <row r="344" spans="1:35" ht="36" x14ac:dyDescent="0.3">
      <c r="A344" s="51" t="s">
        <v>967</v>
      </c>
      <c r="B344" s="51"/>
      <c r="C344" s="47" t="s">
        <v>822</v>
      </c>
      <c r="D344" s="53"/>
      <c r="E344" s="53"/>
      <c r="F344" s="57" t="s">
        <v>265</v>
      </c>
      <c r="G344" s="58">
        <v>1.2</v>
      </c>
      <c r="H344" s="53"/>
      <c r="I344" s="62">
        <v>1359</v>
      </c>
      <c r="J344" s="59">
        <v>16.12</v>
      </c>
      <c r="K344" s="60"/>
      <c r="L344" s="60"/>
      <c r="M344" s="59">
        <f>ROUND(ROUND(J344, 2)*I344, 2)</f>
        <v>21907.08</v>
      </c>
      <c r="N344" s="60"/>
      <c r="O344" s="60"/>
      <c r="P344" s="59">
        <v>16.12</v>
      </c>
      <c r="Q344" s="60"/>
      <c r="R344" s="60"/>
      <c r="S344" s="59">
        <f>ROUND(ROUND(P344, 2)*I344, 2)</f>
        <v>21907.08</v>
      </c>
      <c r="T344" s="60"/>
      <c r="U344" s="61"/>
      <c r="V344" s="9">
        <f>ROUND(ROUND(P344, 2)/1.2, 2)</f>
        <v>13.43</v>
      </c>
      <c r="Y344" s="9">
        <f t="shared" si="88"/>
        <v>18255.900000000001</v>
      </c>
      <c r="AD344" s="4" t="s">
        <v>968</v>
      </c>
      <c r="AE344" s="4" t="s">
        <v>969</v>
      </c>
      <c r="AF344" s="4" t="s">
        <v>825</v>
      </c>
    </row>
    <row r="345" spans="1:35" ht="72" x14ac:dyDescent="0.3">
      <c r="A345" s="51" t="s">
        <v>970</v>
      </c>
      <c r="B345" s="51"/>
      <c r="C345" s="56" t="s">
        <v>829</v>
      </c>
      <c r="D345" s="53"/>
      <c r="E345" s="53" t="s">
        <v>834</v>
      </c>
      <c r="F345" s="57" t="s">
        <v>59</v>
      </c>
      <c r="G345" s="58">
        <v>1.2</v>
      </c>
      <c r="H345" s="53"/>
      <c r="I345" s="62">
        <v>1359</v>
      </c>
      <c r="J345" s="59">
        <v>2021.26</v>
      </c>
      <c r="K345" s="60"/>
      <c r="L345" s="60"/>
      <c r="M345" s="59">
        <f>ROUND(ROUND(J345, 2)*I345, 2)</f>
        <v>2746892.34</v>
      </c>
      <c r="N345" s="60"/>
      <c r="O345" s="60"/>
      <c r="P345" s="59">
        <v>1684.3</v>
      </c>
      <c r="Q345" s="60"/>
      <c r="R345" s="60"/>
      <c r="S345" s="59">
        <f>ROUND(ROUND(P345, 2)*I345, 2)</f>
        <v>2288963.7000000002</v>
      </c>
      <c r="T345" s="60"/>
      <c r="U345" s="61"/>
      <c r="V345" s="9">
        <f>ROUND(ROUND(P345, 2)/1.2, 2)</f>
        <v>1403.58</v>
      </c>
      <c r="Y345" s="9">
        <f t="shared" si="88"/>
        <v>1907469.75</v>
      </c>
      <c r="AD345" s="4" t="s">
        <v>971</v>
      </c>
      <c r="AE345" s="4" t="s">
        <v>972</v>
      </c>
      <c r="AF345" s="4" t="s">
        <v>832</v>
      </c>
    </row>
    <row r="346" spans="1:35" ht="36" x14ac:dyDescent="0.3">
      <c r="A346" s="51" t="s">
        <v>973</v>
      </c>
      <c r="B346" s="51"/>
      <c r="C346" s="56" t="s">
        <v>790</v>
      </c>
      <c r="D346" s="53"/>
      <c r="E346" s="53"/>
      <c r="F346" s="57" t="s">
        <v>265</v>
      </c>
      <c r="G346" s="58">
        <v>0.25</v>
      </c>
      <c r="H346" s="53"/>
      <c r="I346" s="62">
        <v>283.125</v>
      </c>
      <c r="J346" s="59">
        <v>40.270000000000003</v>
      </c>
      <c r="K346" s="60"/>
      <c r="L346" s="60"/>
      <c r="M346" s="59">
        <f>ROUND(ROUND(J346, 2)*I346, 2)</f>
        <v>11401.44</v>
      </c>
      <c r="N346" s="60"/>
      <c r="O346" s="60"/>
      <c r="P346" s="59">
        <v>40.270000000000003</v>
      </c>
      <c r="Q346" s="60"/>
      <c r="R346" s="60"/>
      <c r="S346" s="59">
        <f>ROUND(ROUND(P346, 2)*I346, 2)</f>
        <v>11401.44</v>
      </c>
      <c r="T346" s="60"/>
      <c r="U346" s="61"/>
      <c r="V346" s="9">
        <f>ROUND(ROUND(P346, 2)/1.2, 2)</f>
        <v>33.56</v>
      </c>
      <c r="Y346" s="9">
        <f t="shared" si="88"/>
        <v>9501.2000000000007</v>
      </c>
      <c r="AD346" s="4" t="s">
        <v>974</v>
      </c>
      <c r="AE346" s="4" t="s">
        <v>975</v>
      </c>
      <c r="AF346" s="4" t="s">
        <v>793</v>
      </c>
    </row>
    <row r="347" spans="1:35" ht="36" x14ac:dyDescent="0.3">
      <c r="A347" s="51" t="s">
        <v>976</v>
      </c>
      <c r="B347" s="51"/>
      <c r="C347" s="56" t="s">
        <v>682</v>
      </c>
      <c r="D347" s="53"/>
      <c r="E347" s="53"/>
      <c r="F347" s="57" t="s">
        <v>265</v>
      </c>
      <c r="G347" s="58">
        <v>0.15</v>
      </c>
      <c r="H347" s="53"/>
      <c r="I347" s="58">
        <v>169.875</v>
      </c>
      <c r="J347" s="59">
        <v>88.8</v>
      </c>
      <c r="K347" s="60"/>
      <c r="L347" s="60"/>
      <c r="M347" s="59">
        <f>ROUND(ROUND(J347, 2)*I347, 2)</f>
        <v>15084.9</v>
      </c>
      <c r="N347" s="60"/>
      <c r="O347" s="60"/>
      <c r="P347" s="59">
        <v>88.8</v>
      </c>
      <c r="Q347" s="60"/>
      <c r="R347" s="60"/>
      <c r="S347" s="59">
        <f>ROUND(ROUND(P347, 2)*I347, 2)</f>
        <v>15084.9</v>
      </c>
      <c r="T347" s="60"/>
      <c r="U347" s="61"/>
      <c r="V347" s="9">
        <f>ROUND(ROUND(P347, 2)/1.2, 2)</f>
        <v>74</v>
      </c>
      <c r="Y347" s="9">
        <f t="shared" si="88"/>
        <v>12570.75</v>
      </c>
      <c r="AD347" s="4" t="s">
        <v>977</v>
      </c>
      <c r="AE347" s="4" t="s">
        <v>978</v>
      </c>
      <c r="AF347" s="4" t="s">
        <v>685</v>
      </c>
    </row>
    <row r="348" spans="1:35" ht="54" x14ac:dyDescent="0.3">
      <c r="A348" s="51" t="s">
        <v>979</v>
      </c>
      <c r="B348" s="51" t="s">
        <v>815</v>
      </c>
      <c r="C348" s="52" t="s">
        <v>816</v>
      </c>
      <c r="D348" s="53"/>
      <c r="E348" s="53" t="s">
        <v>848</v>
      </c>
      <c r="F348" s="53" t="s">
        <v>59</v>
      </c>
      <c r="G348" s="54">
        <v>1</v>
      </c>
      <c r="H348" s="53"/>
      <c r="I348" s="54">
        <v>31.2</v>
      </c>
      <c r="J348" s="55">
        <f>IFERROR(ROUND(SUM(M349,M350,M351,M352)/I348, 2),0)</f>
        <v>2468.2399999999998</v>
      </c>
      <c r="K348" s="55">
        <v>2785</v>
      </c>
      <c r="L348" s="55">
        <f>J348+ROUND(K348, 2)</f>
        <v>5253.24</v>
      </c>
      <c r="M348" s="55">
        <f>ROUND(J348*I348, 2)</f>
        <v>77009.09</v>
      </c>
      <c r="N348" s="55">
        <f>ROUND(I348*ROUND(K348, 2), 2)</f>
        <v>86892</v>
      </c>
      <c r="O348" s="55">
        <f>M348+N348</f>
        <v>163901.09</v>
      </c>
      <c r="P348" s="55">
        <f>IFERROR(ROUND(SUM(S349,S350,S351,S352)/I348, 2),0)</f>
        <v>2053.6799999999998</v>
      </c>
      <c r="Q348" s="55">
        <v>4177.5</v>
      </c>
      <c r="R348" s="55">
        <f>P348+ROUND(Q348, 2)</f>
        <v>6231.18</v>
      </c>
      <c r="S348" s="55">
        <f>ROUND(P348*I348, 2)</f>
        <v>64074.82</v>
      </c>
      <c r="T348" s="55">
        <f>ROUND(I348*ROUND(Q348, 2), 2)</f>
        <v>130338</v>
      </c>
      <c r="U348" s="55">
        <f>S348+T348</f>
        <v>194412.82</v>
      </c>
      <c r="V348" s="9">
        <f>ROUND(P348 / 1.2, 2)</f>
        <v>1711.4</v>
      </c>
      <c r="W348" s="9">
        <f>ROUND(Q348 / 1.2, 2)</f>
        <v>3481.25</v>
      </c>
      <c r="X348" s="9">
        <f>ROUND(R348 / 1.2, 2)</f>
        <v>5192.6499999999996</v>
      </c>
      <c r="Y348" s="9">
        <f t="shared" si="88"/>
        <v>53395.68</v>
      </c>
      <c r="Z348" s="9">
        <f>ROUND(T348 / 1.2, 2)</f>
        <v>108615</v>
      </c>
      <c r="AA348" s="9">
        <f>Y348+Z348</f>
        <v>162010.68</v>
      </c>
      <c r="AD348" s="4">
        <v>304337633</v>
      </c>
      <c r="AE348" s="4">
        <v>21935195</v>
      </c>
      <c r="AG348" s="4" t="s">
        <v>817</v>
      </c>
      <c r="AH348" s="4" t="s">
        <v>818</v>
      </c>
      <c r="AI348" s="4" t="s">
        <v>260</v>
      </c>
    </row>
    <row r="349" spans="1:35" ht="36" x14ac:dyDescent="0.3">
      <c r="A349" s="51" t="s">
        <v>980</v>
      </c>
      <c r="B349" s="51"/>
      <c r="C349" s="56" t="s">
        <v>682</v>
      </c>
      <c r="D349" s="53"/>
      <c r="E349" s="53"/>
      <c r="F349" s="57" t="s">
        <v>265</v>
      </c>
      <c r="G349" s="58">
        <v>0.15</v>
      </c>
      <c r="H349" s="53"/>
      <c r="I349" s="58">
        <v>4.68</v>
      </c>
      <c r="J349" s="59">
        <v>88.8</v>
      </c>
      <c r="K349" s="60"/>
      <c r="L349" s="60"/>
      <c r="M349" s="59">
        <f>ROUND(ROUND(J349, 2)*I349, 2)</f>
        <v>415.58</v>
      </c>
      <c r="N349" s="60"/>
      <c r="O349" s="60"/>
      <c r="P349" s="59">
        <v>88.8</v>
      </c>
      <c r="Q349" s="60"/>
      <c r="R349" s="60"/>
      <c r="S349" s="59">
        <f>ROUND(ROUND(P349, 2)*I349, 2)</f>
        <v>415.58</v>
      </c>
      <c r="T349" s="60"/>
      <c r="U349" s="61"/>
      <c r="V349" s="9">
        <f>ROUND(ROUND(P349, 2)/1.2, 2)</f>
        <v>74</v>
      </c>
      <c r="Y349" s="9">
        <f t="shared" si="88"/>
        <v>346.32</v>
      </c>
      <c r="AD349" s="4" t="s">
        <v>981</v>
      </c>
      <c r="AE349" s="4" t="s">
        <v>982</v>
      </c>
      <c r="AF349" s="4" t="s">
        <v>685</v>
      </c>
    </row>
    <row r="350" spans="1:35" ht="36" x14ac:dyDescent="0.3">
      <c r="A350" s="51" t="s">
        <v>983</v>
      </c>
      <c r="B350" s="51"/>
      <c r="C350" s="56" t="s">
        <v>790</v>
      </c>
      <c r="D350" s="53"/>
      <c r="E350" s="53"/>
      <c r="F350" s="57" t="s">
        <v>265</v>
      </c>
      <c r="G350" s="58">
        <v>0.25</v>
      </c>
      <c r="H350" s="53"/>
      <c r="I350" s="62">
        <v>7.8</v>
      </c>
      <c r="J350" s="59">
        <v>40.270000000000003</v>
      </c>
      <c r="K350" s="60"/>
      <c r="L350" s="60"/>
      <c r="M350" s="59">
        <f>ROUND(ROUND(J350, 2)*I350, 2)</f>
        <v>314.11</v>
      </c>
      <c r="N350" s="60"/>
      <c r="O350" s="60"/>
      <c r="P350" s="59">
        <v>40.270000000000003</v>
      </c>
      <c r="Q350" s="60"/>
      <c r="R350" s="60"/>
      <c r="S350" s="59">
        <f>ROUND(ROUND(P350, 2)*I350, 2)</f>
        <v>314.11</v>
      </c>
      <c r="T350" s="60"/>
      <c r="U350" s="61"/>
      <c r="V350" s="9">
        <f>ROUND(ROUND(P350, 2)/1.2, 2)</f>
        <v>33.56</v>
      </c>
      <c r="Y350" s="9">
        <f t="shared" si="88"/>
        <v>261.76</v>
      </c>
      <c r="AD350" s="4" t="s">
        <v>984</v>
      </c>
      <c r="AE350" s="4" t="s">
        <v>985</v>
      </c>
      <c r="AF350" s="4" t="s">
        <v>793</v>
      </c>
    </row>
    <row r="351" spans="1:35" ht="72" x14ac:dyDescent="0.3">
      <c r="A351" s="51" t="s">
        <v>986</v>
      </c>
      <c r="B351" s="51"/>
      <c r="C351" s="56" t="s">
        <v>829</v>
      </c>
      <c r="D351" s="53"/>
      <c r="E351" s="53" t="s">
        <v>863</v>
      </c>
      <c r="F351" s="57" t="s">
        <v>59</v>
      </c>
      <c r="G351" s="58">
        <v>1.2</v>
      </c>
      <c r="H351" s="53"/>
      <c r="I351" s="62">
        <v>37.44</v>
      </c>
      <c r="J351" s="59">
        <v>2021.26</v>
      </c>
      <c r="K351" s="60"/>
      <c r="L351" s="60"/>
      <c r="M351" s="59">
        <f>ROUND(ROUND(J351, 2)*I351, 2)</f>
        <v>75675.97</v>
      </c>
      <c r="N351" s="60"/>
      <c r="O351" s="60"/>
      <c r="P351" s="59">
        <v>1675.8</v>
      </c>
      <c r="Q351" s="60"/>
      <c r="R351" s="60"/>
      <c r="S351" s="59">
        <f>ROUND(ROUND(P351, 2)*I351, 2)</f>
        <v>62741.95</v>
      </c>
      <c r="T351" s="60"/>
      <c r="U351" s="61"/>
      <c r="V351" s="9">
        <f>ROUND(ROUND(P351, 2)/1.2, 2)</f>
        <v>1396.5</v>
      </c>
      <c r="Y351" s="9">
        <f t="shared" si="88"/>
        <v>52284.959999999999</v>
      </c>
      <c r="AD351" s="4" t="s">
        <v>987</v>
      </c>
      <c r="AE351" s="4" t="s">
        <v>988</v>
      </c>
      <c r="AF351" s="4" t="s">
        <v>832</v>
      </c>
    </row>
    <row r="352" spans="1:35" ht="36" x14ac:dyDescent="0.3">
      <c r="A352" s="51" t="s">
        <v>989</v>
      </c>
      <c r="B352" s="51"/>
      <c r="C352" s="47" t="s">
        <v>822</v>
      </c>
      <c r="D352" s="53"/>
      <c r="E352" s="53"/>
      <c r="F352" s="57" t="s">
        <v>265</v>
      </c>
      <c r="G352" s="58">
        <v>1.2</v>
      </c>
      <c r="H352" s="53"/>
      <c r="I352" s="62">
        <v>37.44</v>
      </c>
      <c r="J352" s="59">
        <v>16.12</v>
      </c>
      <c r="K352" s="60"/>
      <c r="L352" s="60"/>
      <c r="M352" s="59">
        <f>ROUND(ROUND(J352, 2)*I352, 2)</f>
        <v>603.53</v>
      </c>
      <c r="N352" s="60"/>
      <c r="O352" s="60"/>
      <c r="P352" s="59">
        <v>16.11</v>
      </c>
      <c r="Q352" s="60"/>
      <c r="R352" s="60"/>
      <c r="S352" s="59">
        <f>ROUND(ROUND(P352, 2)*I352, 2)</f>
        <v>603.16</v>
      </c>
      <c r="T352" s="60"/>
      <c r="U352" s="61"/>
      <c r="V352" s="9">
        <f>ROUND(ROUND(P352, 2)/1.2, 2)</f>
        <v>13.43</v>
      </c>
      <c r="Y352" s="9">
        <f t="shared" si="88"/>
        <v>502.63</v>
      </c>
      <c r="AD352" s="4" t="s">
        <v>990</v>
      </c>
      <c r="AE352" s="4" t="s">
        <v>991</v>
      </c>
      <c r="AF352" s="4" t="s">
        <v>825</v>
      </c>
    </row>
    <row r="353" spans="1:35" ht="54" x14ac:dyDescent="0.3">
      <c r="A353" s="51" t="s">
        <v>992</v>
      </c>
      <c r="B353" s="51" t="s">
        <v>815</v>
      </c>
      <c r="C353" s="52" t="s">
        <v>816</v>
      </c>
      <c r="D353" s="53"/>
      <c r="E353" s="53" t="s">
        <v>872</v>
      </c>
      <c r="F353" s="53" t="s">
        <v>59</v>
      </c>
      <c r="G353" s="54">
        <v>1</v>
      </c>
      <c r="H353" s="53"/>
      <c r="I353" s="54">
        <v>560.4</v>
      </c>
      <c r="J353" s="55">
        <f>IFERROR(ROUND(SUM(M354,M355,M356,M357)/I353, 2),0)</f>
        <v>2468.2399999999998</v>
      </c>
      <c r="K353" s="55">
        <v>2785</v>
      </c>
      <c r="L353" s="55">
        <f>J353+ROUND(K353, 2)</f>
        <v>5253.24</v>
      </c>
      <c r="M353" s="55">
        <f>ROUND(J353*I353, 2)</f>
        <v>1383201.7</v>
      </c>
      <c r="N353" s="55">
        <f>ROUND(I353*ROUND(K353, 2), 2)</f>
        <v>1560714</v>
      </c>
      <c r="O353" s="55">
        <f>M353+N353</f>
        <v>2943915.7</v>
      </c>
      <c r="P353" s="55">
        <f>IFERROR(ROUND(SUM(S354,S355,S356,S357)/I353, 2),0)</f>
        <v>1989.72</v>
      </c>
      <c r="Q353" s="55">
        <v>4177.5</v>
      </c>
      <c r="R353" s="55">
        <f>P353+ROUND(Q353, 2)</f>
        <v>6167.22</v>
      </c>
      <c r="S353" s="55">
        <f>ROUND(P353*I353, 2)</f>
        <v>1115039.0900000001</v>
      </c>
      <c r="T353" s="55">
        <f>ROUND(I353*ROUND(Q353, 2), 2)</f>
        <v>2341071</v>
      </c>
      <c r="U353" s="55">
        <f>S353+T353</f>
        <v>3456110.09</v>
      </c>
      <c r="V353" s="9">
        <f>ROUND(P353 / 1.2, 2)</f>
        <v>1658.1</v>
      </c>
      <c r="W353" s="9">
        <f>ROUND(Q353 / 1.2, 2)</f>
        <v>3481.25</v>
      </c>
      <c r="X353" s="9">
        <f>ROUND(R353 / 1.2, 2)</f>
        <v>5139.3500000000004</v>
      </c>
      <c r="Y353" s="9">
        <f t="shared" si="88"/>
        <v>929199.24</v>
      </c>
      <c r="Z353" s="9">
        <f>ROUND(T353 / 1.2, 2)</f>
        <v>1950892.5</v>
      </c>
      <c r="AA353" s="9">
        <f>Y353+Z353</f>
        <v>2880091.74</v>
      </c>
      <c r="AD353" s="4">
        <v>304337634</v>
      </c>
      <c r="AE353" s="4">
        <v>21935196</v>
      </c>
      <c r="AG353" s="4" t="s">
        <v>817</v>
      </c>
      <c r="AH353" s="4" t="s">
        <v>818</v>
      </c>
      <c r="AI353" s="4" t="s">
        <v>260</v>
      </c>
    </row>
    <row r="354" spans="1:35" ht="36" x14ac:dyDescent="0.3">
      <c r="A354" s="51" t="s">
        <v>993</v>
      </c>
      <c r="B354" s="51"/>
      <c r="C354" s="47" t="s">
        <v>822</v>
      </c>
      <c r="D354" s="53"/>
      <c r="E354" s="53"/>
      <c r="F354" s="57" t="s">
        <v>265</v>
      </c>
      <c r="G354" s="58">
        <v>1.2</v>
      </c>
      <c r="H354" s="53"/>
      <c r="I354" s="62">
        <v>672.48</v>
      </c>
      <c r="J354" s="59">
        <v>16.12</v>
      </c>
      <c r="K354" s="60"/>
      <c r="L354" s="60"/>
      <c r="M354" s="59">
        <f>ROUND(ROUND(J354, 2)*I354, 2)</f>
        <v>10840.38</v>
      </c>
      <c r="N354" s="60"/>
      <c r="O354" s="60"/>
      <c r="P354" s="59">
        <v>16.11</v>
      </c>
      <c r="Q354" s="60"/>
      <c r="R354" s="60"/>
      <c r="S354" s="59">
        <f>ROUND(ROUND(P354, 2)*I354, 2)</f>
        <v>10833.65</v>
      </c>
      <c r="T354" s="60"/>
      <c r="U354" s="61"/>
      <c r="V354" s="9">
        <f>ROUND(ROUND(P354, 2)/1.2, 2)</f>
        <v>13.43</v>
      </c>
      <c r="Y354" s="9">
        <f t="shared" si="88"/>
        <v>9028.0400000000009</v>
      </c>
      <c r="AD354" s="4" t="s">
        <v>994</v>
      </c>
      <c r="AE354" s="4" t="s">
        <v>995</v>
      </c>
      <c r="AF354" s="4" t="s">
        <v>825</v>
      </c>
    </row>
    <row r="355" spans="1:35" ht="90" x14ac:dyDescent="0.3">
      <c r="A355" s="51" t="s">
        <v>996</v>
      </c>
      <c r="B355" s="51"/>
      <c r="C355" s="56" t="s">
        <v>829</v>
      </c>
      <c r="D355" s="53"/>
      <c r="E355" s="53" t="s">
        <v>882</v>
      </c>
      <c r="F355" s="57" t="s">
        <v>59</v>
      </c>
      <c r="G355" s="58">
        <v>1.2</v>
      </c>
      <c r="H355" s="53"/>
      <c r="I355" s="62">
        <v>672.48</v>
      </c>
      <c r="J355" s="59">
        <v>2021.26</v>
      </c>
      <c r="K355" s="60"/>
      <c r="L355" s="60"/>
      <c r="M355" s="59">
        <f>ROUND(ROUND(J355, 2)*I355, 2)</f>
        <v>1359256.92</v>
      </c>
      <c r="N355" s="60"/>
      <c r="O355" s="60"/>
      <c r="P355" s="59">
        <v>1622.5</v>
      </c>
      <c r="Q355" s="60"/>
      <c r="R355" s="60"/>
      <c r="S355" s="59">
        <f>ROUND(ROUND(P355, 2)*I355, 2)</f>
        <v>1091098.8</v>
      </c>
      <c r="T355" s="60"/>
      <c r="U355" s="61"/>
      <c r="V355" s="9">
        <f>ROUND(ROUND(P355, 2)/1.2, 2)</f>
        <v>1352.08</v>
      </c>
      <c r="Y355" s="9">
        <f t="shared" si="88"/>
        <v>909249</v>
      </c>
      <c r="AD355" s="4" t="s">
        <v>997</v>
      </c>
      <c r="AE355" s="4" t="s">
        <v>998</v>
      </c>
      <c r="AF355" s="4" t="s">
        <v>832</v>
      </c>
    </row>
    <row r="356" spans="1:35" ht="36" x14ac:dyDescent="0.3">
      <c r="A356" s="51" t="s">
        <v>999</v>
      </c>
      <c r="B356" s="51"/>
      <c r="C356" s="56" t="s">
        <v>790</v>
      </c>
      <c r="D356" s="53"/>
      <c r="E356" s="53"/>
      <c r="F356" s="57" t="s">
        <v>265</v>
      </c>
      <c r="G356" s="58">
        <v>0.25</v>
      </c>
      <c r="H356" s="53"/>
      <c r="I356" s="62">
        <v>140.1</v>
      </c>
      <c r="J356" s="59">
        <v>40.270000000000003</v>
      </c>
      <c r="K356" s="60"/>
      <c r="L356" s="60"/>
      <c r="M356" s="59">
        <f>ROUND(ROUND(J356, 2)*I356, 2)</f>
        <v>5641.83</v>
      </c>
      <c r="N356" s="60"/>
      <c r="O356" s="60"/>
      <c r="P356" s="59">
        <v>40.270000000000003</v>
      </c>
      <c r="Q356" s="60"/>
      <c r="R356" s="60"/>
      <c r="S356" s="59">
        <f>ROUND(ROUND(P356, 2)*I356, 2)</f>
        <v>5641.83</v>
      </c>
      <c r="T356" s="60"/>
      <c r="U356" s="61"/>
      <c r="V356" s="9">
        <f>ROUND(ROUND(P356, 2)/1.2, 2)</f>
        <v>33.56</v>
      </c>
      <c r="Y356" s="9">
        <f t="shared" si="88"/>
        <v>4701.53</v>
      </c>
      <c r="AD356" s="4" t="s">
        <v>1000</v>
      </c>
      <c r="AE356" s="4" t="s">
        <v>1001</v>
      </c>
      <c r="AF356" s="4" t="s">
        <v>793</v>
      </c>
    </row>
    <row r="357" spans="1:35" ht="36" x14ac:dyDescent="0.3">
      <c r="A357" s="51" t="s">
        <v>1002</v>
      </c>
      <c r="B357" s="51"/>
      <c r="C357" s="56" t="s">
        <v>682</v>
      </c>
      <c r="D357" s="53"/>
      <c r="E357" s="53"/>
      <c r="F357" s="57" t="s">
        <v>265</v>
      </c>
      <c r="G357" s="58">
        <v>0.15</v>
      </c>
      <c r="H357" s="53"/>
      <c r="I357" s="58">
        <v>84.06</v>
      </c>
      <c r="J357" s="59">
        <v>88.8</v>
      </c>
      <c r="K357" s="60"/>
      <c r="L357" s="60"/>
      <c r="M357" s="59">
        <f>ROUND(ROUND(J357, 2)*I357, 2)</f>
        <v>7464.53</v>
      </c>
      <c r="N357" s="60"/>
      <c r="O357" s="60"/>
      <c r="P357" s="59">
        <v>88.8</v>
      </c>
      <c r="Q357" s="60"/>
      <c r="R357" s="60"/>
      <c r="S357" s="59">
        <f>ROUND(ROUND(P357, 2)*I357, 2)</f>
        <v>7464.53</v>
      </c>
      <c r="T357" s="60"/>
      <c r="U357" s="61"/>
      <c r="V357" s="9">
        <f>ROUND(ROUND(P357, 2)/1.2, 2)</f>
        <v>74</v>
      </c>
      <c r="Y357" s="9">
        <f t="shared" si="88"/>
        <v>6220.44</v>
      </c>
      <c r="AD357" s="4" t="s">
        <v>1003</v>
      </c>
      <c r="AE357" s="4" t="s">
        <v>1004</v>
      </c>
      <c r="AF357" s="4" t="s">
        <v>685</v>
      </c>
    </row>
    <row r="358" spans="1:35" ht="54" x14ac:dyDescent="0.3">
      <c r="A358" s="51" t="s">
        <v>1005</v>
      </c>
      <c r="B358" s="51" t="s">
        <v>815</v>
      </c>
      <c r="C358" s="52" t="s">
        <v>816</v>
      </c>
      <c r="D358" s="53"/>
      <c r="E358" s="53" t="s">
        <v>896</v>
      </c>
      <c r="F358" s="53" t="s">
        <v>59</v>
      </c>
      <c r="G358" s="54">
        <v>1</v>
      </c>
      <c r="H358" s="53"/>
      <c r="I358" s="54">
        <v>28</v>
      </c>
      <c r="J358" s="55">
        <f>IFERROR(ROUND(SUM(M359,M360,M361,M362)/I358, 2),0)</f>
        <v>2468.2399999999998</v>
      </c>
      <c r="K358" s="55">
        <v>2785</v>
      </c>
      <c r="L358" s="55">
        <f>J358+ROUND(K358, 2)</f>
        <v>5253.24</v>
      </c>
      <c r="M358" s="55">
        <f>ROUND(J358*I358, 2)</f>
        <v>69110.720000000001</v>
      </c>
      <c r="N358" s="55">
        <f>ROUND(I358*ROUND(K358, 2), 2)</f>
        <v>77980</v>
      </c>
      <c r="O358" s="55">
        <f>M358+N358</f>
        <v>147090.72</v>
      </c>
      <c r="P358" s="55">
        <f>IFERROR(ROUND(SUM(S359,S360,S361,S362)/I358, 2),0)</f>
        <v>2074.44</v>
      </c>
      <c r="Q358" s="55">
        <v>4177.5</v>
      </c>
      <c r="R358" s="55">
        <f>P358+ROUND(Q358, 2)</f>
        <v>6251.94</v>
      </c>
      <c r="S358" s="55">
        <f>ROUND(P358*I358, 2)</f>
        <v>58084.32</v>
      </c>
      <c r="T358" s="55">
        <f>ROUND(I358*ROUND(Q358, 2), 2)</f>
        <v>116970</v>
      </c>
      <c r="U358" s="55">
        <f>S358+T358</f>
        <v>175054.32</v>
      </c>
      <c r="V358" s="9">
        <f>ROUND(P358 / 1.2, 2)</f>
        <v>1728.7</v>
      </c>
      <c r="W358" s="9">
        <f>ROUND(Q358 / 1.2, 2)</f>
        <v>3481.25</v>
      </c>
      <c r="X358" s="9">
        <f>ROUND(R358 / 1.2, 2)</f>
        <v>5209.95</v>
      </c>
      <c r="Y358" s="9">
        <f t="shared" si="88"/>
        <v>48403.6</v>
      </c>
      <c r="Z358" s="9">
        <f>ROUND(T358 / 1.2, 2)</f>
        <v>97475</v>
      </c>
      <c r="AA358" s="9">
        <f>Y358+Z358</f>
        <v>145878.6</v>
      </c>
      <c r="AD358" s="4">
        <v>304337635</v>
      </c>
      <c r="AE358" s="4">
        <v>21935197</v>
      </c>
      <c r="AG358" s="4" t="s">
        <v>817</v>
      </c>
      <c r="AH358" s="4" t="s">
        <v>818</v>
      </c>
      <c r="AI358" s="4" t="s">
        <v>260</v>
      </c>
    </row>
    <row r="359" spans="1:35" ht="36" x14ac:dyDescent="0.3">
      <c r="A359" s="51" t="s">
        <v>1006</v>
      </c>
      <c r="B359" s="51"/>
      <c r="C359" s="56" t="s">
        <v>682</v>
      </c>
      <c r="D359" s="53"/>
      <c r="E359" s="53"/>
      <c r="F359" s="57" t="s">
        <v>265</v>
      </c>
      <c r="G359" s="58">
        <v>0.15</v>
      </c>
      <c r="H359" s="53"/>
      <c r="I359" s="58">
        <v>4.2</v>
      </c>
      <c r="J359" s="59">
        <v>88.8</v>
      </c>
      <c r="K359" s="60"/>
      <c r="L359" s="60"/>
      <c r="M359" s="59">
        <f>ROUND(ROUND(J359, 2)*I359, 2)</f>
        <v>372.96</v>
      </c>
      <c r="N359" s="60"/>
      <c r="O359" s="60"/>
      <c r="P359" s="59">
        <v>88.8</v>
      </c>
      <c r="Q359" s="60"/>
      <c r="R359" s="60"/>
      <c r="S359" s="59">
        <f>ROUND(ROUND(P359, 2)*I359, 2)</f>
        <v>372.96</v>
      </c>
      <c r="T359" s="60"/>
      <c r="U359" s="61"/>
      <c r="V359" s="9">
        <f>ROUND(ROUND(P359, 2)/1.2, 2)</f>
        <v>74</v>
      </c>
      <c r="Y359" s="9">
        <f t="shared" si="88"/>
        <v>310.8</v>
      </c>
      <c r="AD359" s="4" t="s">
        <v>1007</v>
      </c>
      <c r="AE359" s="4" t="s">
        <v>1008</v>
      </c>
      <c r="AF359" s="4" t="s">
        <v>685</v>
      </c>
    </row>
    <row r="360" spans="1:35" ht="36" x14ac:dyDescent="0.3">
      <c r="A360" s="51" t="s">
        <v>1009</v>
      </c>
      <c r="B360" s="51"/>
      <c r="C360" s="56" t="s">
        <v>790</v>
      </c>
      <c r="D360" s="53"/>
      <c r="E360" s="53"/>
      <c r="F360" s="57" t="s">
        <v>265</v>
      </c>
      <c r="G360" s="58">
        <v>0.25</v>
      </c>
      <c r="H360" s="53"/>
      <c r="I360" s="62">
        <v>7</v>
      </c>
      <c r="J360" s="59">
        <v>40.270000000000003</v>
      </c>
      <c r="K360" s="60"/>
      <c r="L360" s="60"/>
      <c r="M360" s="59">
        <f>ROUND(ROUND(J360, 2)*I360, 2)</f>
        <v>281.89</v>
      </c>
      <c r="N360" s="60"/>
      <c r="O360" s="60"/>
      <c r="P360" s="59">
        <v>40.270000000000003</v>
      </c>
      <c r="Q360" s="60"/>
      <c r="R360" s="60"/>
      <c r="S360" s="59">
        <f>ROUND(ROUND(P360, 2)*I360, 2)</f>
        <v>281.89</v>
      </c>
      <c r="T360" s="60"/>
      <c r="U360" s="61"/>
      <c r="V360" s="9">
        <f>ROUND(ROUND(P360, 2)/1.2, 2)</f>
        <v>33.56</v>
      </c>
      <c r="Y360" s="9">
        <f t="shared" si="88"/>
        <v>234.91</v>
      </c>
      <c r="AD360" s="4" t="s">
        <v>1010</v>
      </c>
      <c r="AE360" s="4" t="s">
        <v>1011</v>
      </c>
      <c r="AF360" s="4" t="s">
        <v>793</v>
      </c>
    </row>
    <row r="361" spans="1:35" ht="72" x14ac:dyDescent="0.3">
      <c r="A361" s="51" t="s">
        <v>1012</v>
      </c>
      <c r="B361" s="51"/>
      <c r="C361" s="56" t="s">
        <v>829</v>
      </c>
      <c r="D361" s="53"/>
      <c r="E361" s="53" t="s">
        <v>911</v>
      </c>
      <c r="F361" s="57" t="s">
        <v>59</v>
      </c>
      <c r="G361" s="58">
        <v>1.2</v>
      </c>
      <c r="H361" s="53"/>
      <c r="I361" s="62">
        <v>33.6</v>
      </c>
      <c r="J361" s="59">
        <v>2021.26</v>
      </c>
      <c r="K361" s="60"/>
      <c r="L361" s="60"/>
      <c r="M361" s="59">
        <f>ROUND(ROUND(J361, 2)*I361, 2)</f>
        <v>67914.34</v>
      </c>
      <c r="N361" s="60"/>
      <c r="O361" s="60"/>
      <c r="P361" s="59">
        <v>1693.1</v>
      </c>
      <c r="Q361" s="60"/>
      <c r="R361" s="60"/>
      <c r="S361" s="59">
        <f>ROUND(ROUND(P361, 2)*I361, 2)</f>
        <v>56888.160000000003</v>
      </c>
      <c r="T361" s="60"/>
      <c r="U361" s="61"/>
      <c r="V361" s="9">
        <f>ROUND(ROUND(P361, 2)/1.2, 2)</f>
        <v>1410.92</v>
      </c>
      <c r="Y361" s="9">
        <f t="shared" si="88"/>
        <v>47406.8</v>
      </c>
      <c r="AD361" s="4" t="s">
        <v>1013</v>
      </c>
      <c r="AE361" s="4" t="s">
        <v>1014</v>
      </c>
      <c r="AF361" s="4" t="s">
        <v>832</v>
      </c>
    </row>
    <row r="362" spans="1:35" ht="36" x14ac:dyDescent="0.3">
      <c r="A362" s="51" t="s">
        <v>1015</v>
      </c>
      <c r="B362" s="51"/>
      <c r="C362" s="47" t="s">
        <v>822</v>
      </c>
      <c r="D362" s="53"/>
      <c r="E362" s="53"/>
      <c r="F362" s="57" t="s">
        <v>265</v>
      </c>
      <c r="G362" s="58">
        <v>1.2</v>
      </c>
      <c r="H362" s="53"/>
      <c r="I362" s="62">
        <v>33.6</v>
      </c>
      <c r="J362" s="59">
        <v>16.12</v>
      </c>
      <c r="K362" s="60"/>
      <c r="L362" s="60"/>
      <c r="M362" s="59">
        <f>ROUND(ROUND(J362, 2)*I362, 2)</f>
        <v>541.63</v>
      </c>
      <c r="N362" s="60"/>
      <c r="O362" s="60"/>
      <c r="P362" s="59">
        <v>16.11</v>
      </c>
      <c r="Q362" s="60"/>
      <c r="R362" s="60"/>
      <c r="S362" s="59">
        <f>ROUND(ROUND(P362, 2)*I362, 2)</f>
        <v>541.29999999999995</v>
      </c>
      <c r="T362" s="60"/>
      <c r="U362" s="61"/>
      <c r="V362" s="9">
        <f>ROUND(ROUND(P362, 2)/1.2, 2)</f>
        <v>13.43</v>
      </c>
      <c r="Y362" s="9">
        <f t="shared" si="88"/>
        <v>451.08</v>
      </c>
      <c r="AD362" s="4" t="s">
        <v>1016</v>
      </c>
      <c r="AE362" s="4" t="s">
        <v>1017</v>
      </c>
      <c r="AF362" s="4" t="s">
        <v>825</v>
      </c>
    </row>
    <row r="363" spans="1:35" ht="54" x14ac:dyDescent="0.3">
      <c r="A363" s="51" t="s">
        <v>1018</v>
      </c>
      <c r="B363" s="51" t="s">
        <v>815</v>
      </c>
      <c r="C363" s="52" t="s">
        <v>816</v>
      </c>
      <c r="D363" s="53"/>
      <c r="E363" s="53" t="s">
        <v>920</v>
      </c>
      <c r="F363" s="53" t="s">
        <v>59</v>
      </c>
      <c r="G363" s="54">
        <v>1</v>
      </c>
      <c r="H363" s="53"/>
      <c r="I363" s="54">
        <v>207.1</v>
      </c>
      <c r="J363" s="55">
        <f>IFERROR(ROUND(SUM(M364,M365,M366,M367)/I363, 2),0)</f>
        <v>2468.2399999999998</v>
      </c>
      <c r="K363" s="55">
        <v>2785</v>
      </c>
      <c r="L363" s="55">
        <f>J363+ROUND(K363, 2)</f>
        <v>5253.24</v>
      </c>
      <c r="M363" s="55">
        <f>ROUND(J363*I363, 2)</f>
        <v>511172.5</v>
      </c>
      <c r="N363" s="55">
        <f>ROUND(I363*ROUND(K363, 2), 2)</f>
        <v>576773.5</v>
      </c>
      <c r="O363" s="55">
        <f>M363+N363</f>
        <v>1087946</v>
      </c>
      <c r="P363" s="55">
        <f>IFERROR(ROUND(SUM(S364,S365,S366,S367)/I363, 2),0)</f>
        <v>1999.8</v>
      </c>
      <c r="Q363" s="55">
        <v>4177.5</v>
      </c>
      <c r="R363" s="55">
        <f>P363+ROUND(Q363, 2)</f>
        <v>6177.3</v>
      </c>
      <c r="S363" s="55">
        <f>ROUND(P363*I363, 2)</f>
        <v>414158.58</v>
      </c>
      <c r="T363" s="55">
        <f>ROUND(I363*ROUND(Q363, 2), 2)</f>
        <v>865160.25</v>
      </c>
      <c r="U363" s="55">
        <f>S363+T363</f>
        <v>1279318.83</v>
      </c>
      <c r="V363" s="9">
        <f>ROUND(P363 / 1.2, 2)</f>
        <v>1666.5</v>
      </c>
      <c r="W363" s="9">
        <f>ROUND(Q363 / 1.2, 2)</f>
        <v>3481.25</v>
      </c>
      <c r="X363" s="9">
        <f>ROUND(R363 / 1.2, 2)</f>
        <v>5147.75</v>
      </c>
      <c r="Y363" s="9">
        <f t="shared" si="88"/>
        <v>345132.15</v>
      </c>
      <c r="Z363" s="9">
        <f>ROUND(T363 / 1.2, 2)</f>
        <v>720966.88</v>
      </c>
      <c r="AA363" s="9">
        <f>Y363+Z363</f>
        <v>1066099.03</v>
      </c>
      <c r="AD363" s="4">
        <v>304337636</v>
      </c>
      <c r="AE363" s="4">
        <v>21935194</v>
      </c>
      <c r="AG363" s="4" t="s">
        <v>817</v>
      </c>
      <c r="AH363" s="4" t="s">
        <v>818</v>
      </c>
      <c r="AI363" s="4" t="s">
        <v>260</v>
      </c>
    </row>
    <row r="364" spans="1:35" ht="36" x14ac:dyDescent="0.3">
      <c r="A364" s="51" t="s">
        <v>1019</v>
      </c>
      <c r="B364" s="51"/>
      <c r="C364" s="47" t="s">
        <v>822</v>
      </c>
      <c r="D364" s="53"/>
      <c r="E364" s="53"/>
      <c r="F364" s="57" t="s">
        <v>265</v>
      </c>
      <c r="G364" s="58">
        <v>1.2</v>
      </c>
      <c r="H364" s="53"/>
      <c r="I364" s="62">
        <v>248.52</v>
      </c>
      <c r="J364" s="59">
        <v>16.12</v>
      </c>
      <c r="K364" s="60"/>
      <c r="L364" s="60"/>
      <c r="M364" s="59">
        <f>ROUND(ROUND(J364, 2)*I364, 2)</f>
        <v>4006.14</v>
      </c>
      <c r="N364" s="60"/>
      <c r="O364" s="60"/>
      <c r="P364" s="59">
        <v>16.11</v>
      </c>
      <c r="Q364" s="60"/>
      <c r="R364" s="60"/>
      <c r="S364" s="59">
        <f>ROUND(ROUND(P364, 2)*I364, 2)</f>
        <v>4003.66</v>
      </c>
      <c r="T364" s="60"/>
      <c r="U364" s="61"/>
      <c r="V364" s="9">
        <f>ROUND(ROUND(P364, 2)/1.2, 2)</f>
        <v>13.43</v>
      </c>
      <c r="Y364" s="9">
        <f t="shared" si="88"/>
        <v>3336.38</v>
      </c>
      <c r="AD364" s="4" t="s">
        <v>1020</v>
      </c>
      <c r="AE364" s="4" t="s">
        <v>1021</v>
      </c>
      <c r="AF364" s="4" t="s">
        <v>825</v>
      </c>
    </row>
    <row r="365" spans="1:35" ht="72" x14ac:dyDescent="0.3">
      <c r="A365" s="51" t="s">
        <v>1022</v>
      </c>
      <c r="B365" s="51"/>
      <c r="C365" s="56" t="s">
        <v>829</v>
      </c>
      <c r="D365" s="53"/>
      <c r="E365" s="53" t="s">
        <v>930</v>
      </c>
      <c r="F365" s="57" t="s">
        <v>59</v>
      </c>
      <c r="G365" s="58">
        <v>1.2</v>
      </c>
      <c r="H365" s="53"/>
      <c r="I365" s="62">
        <v>248.52</v>
      </c>
      <c r="J365" s="59">
        <v>2021.26</v>
      </c>
      <c r="K365" s="60"/>
      <c r="L365" s="60"/>
      <c r="M365" s="59">
        <f>ROUND(ROUND(J365, 2)*I365, 2)</f>
        <v>502323.54</v>
      </c>
      <c r="N365" s="60"/>
      <c r="O365" s="60"/>
      <c r="P365" s="59">
        <v>1630.9</v>
      </c>
      <c r="Q365" s="60"/>
      <c r="R365" s="60"/>
      <c r="S365" s="59">
        <f>ROUND(ROUND(P365, 2)*I365, 2)</f>
        <v>405311.27</v>
      </c>
      <c r="T365" s="60"/>
      <c r="U365" s="61"/>
      <c r="V365" s="9">
        <f>ROUND(ROUND(P365, 2)/1.2, 2)</f>
        <v>1359.08</v>
      </c>
      <c r="Y365" s="9">
        <f t="shared" si="88"/>
        <v>337759.39</v>
      </c>
      <c r="AD365" s="4" t="s">
        <v>1023</v>
      </c>
      <c r="AE365" s="4" t="s">
        <v>1024</v>
      </c>
      <c r="AF365" s="4" t="s">
        <v>832</v>
      </c>
    </row>
    <row r="366" spans="1:35" ht="36" x14ac:dyDescent="0.3">
      <c r="A366" s="51" t="s">
        <v>1025</v>
      </c>
      <c r="B366" s="51"/>
      <c r="C366" s="56" t="s">
        <v>790</v>
      </c>
      <c r="D366" s="53"/>
      <c r="E366" s="53"/>
      <c r="F366" s="57" t="s">
        <v>265</v>
      </c>
      <c r="G366" s="58">
        <v>0.25</v>
      </c>
      <c r="H366" s="53"/>
      <c r="I366" s="62">
        <v>51.774999999999999</v>
      </c>
      <c r="J366" s="59">
        <v>40.270000000000003</v>
      </c>
      <c r="K366" s="60"/>
      <c r="L366" s="60"/>
      <c r="M366" s="59">
        <f>ROUND(ROUND(J366, 2)*I366, 2)</f>
        <v>2084.98</v>
      </c>
      <c r="N366" s="60"/>
      <c r="O366" s="60"/>
      <c r="P366" s="59">
        <v>40.270000000000003</v>
      </c>
      <c r="Q366" s="60"/>
      <c r="R366" s="60"/>
      <c r="S366" s="59">
        <f>ROUND(ROUND(P366, 2)*I366, 2)</f>
        <v>2084.98</v>
      </c>
      <c r="T366" s="60"/>
      <c r="U366" s="61"/>
      <c r="V366" s="9">
        <f>ROUND(ROUND(P366, 2)/1.2, 2)</f>
        <v>33.56</v>
      </c>
      <c r="Y366" s="9">
        <f t="shared" si="88"/>
        <v>1737.48</v>
      </c>
      <c r="AD366" s="4" t="s">
        <v>1026</v>
      </c>
      <c r="AE366" s="4" t="s">
        <v>1027</v>
      </c>
      <c r="AF366" s="4" t="s">
        <v>793</v>
      </c>
    </row>
    <row r="367" spans="1:35" ht="36" x14ac:dyDescent="0.3">
      <c r="A367" s="51" t="s">
        <v>1028</v>
      </c>
      <c r="B367" s="51"/>
      <c r="C367" s="56" t="s">
        <v>682</v>
      </c>
      <c r="D367" s="53"/>
      <c r="E367" s="53"/>
      <c r="F367" s="57" t="s">
        <v>265</v>
      </c>
      <c r="G367" s="58">
        <v>0.15</v>
      </c>
      <c r="H367" s="53"/>
      <c r="I367" s="58">
        <v>31.065000000000001</v>
      </c>
      <c r="J367" s="59">
        <v>88.8</v>
      </c>
      <c r="K367" s="60"/>
      <c r="L367" s="60"/>
      <c r="M367" s="59">
        <f>ROUND(ROUND(J367, 2)*I367, 2)</f>
        <v>2758.57</v>
      </c>
      <c r="N367" s="60"/>
      <c r="O367" s="60"/>
      <c r="P367" s="59">
        <v>88.8</v>
      </c>
      <c r="Q367" s="60"/>
      <c r="R367" s="60"/>
      <c r="S367" s="59">
        <f>ROUND(ROUND(P367, 2)*I367, 2)</f>
        <v>2758.57</v>
      </c>
      <c r="T367" s="60"/>
      <c r="U367" s="61"/>
      <c r="V367" s="9">
        <f>ROUND(ROUND(P367, 2)/1.2, 2)</f>
        <v>74</v>
      </c>
      <c r="Y367" s="9">
        <f t="shared" si="88"/>
        <v>2298.81</v>
      </c>
      <c r="AD367" s="4" t="s">
        <v>1029</v>
      </c>
      <c r="AE367" s="4" t="s">
        <v>1030</v>
      </c>
      <c r="AF367" s="4" t="s">
        <v>685</v>
      </c>
    </row>
    <row r="368" spans="1:35" ht="54" x14ac:dyDescent="0.3">
      <c r="A368" s="51" t="s">
        <v>1031</v>
      </c>
      <c r="B368" s="51" t="s">
        <v>815</v>
      </c>
      <c r="C368" s="52" t="s">
        <v>816</v>
      </c>
      <c r="D368" s="53"/>
      <c r="E368" s="53" t="s">
        <v>944</v>
      </c>
      <c r="F368" s="53" t="s">
        <v>59</v>
      </c>
      <c r="G368" s="54">
        <v>1</v>
      </c>
      <c r="H368" s="53"/>
      <c r="I368" s="54">
        <v>207.5</v>
      </c>
      <c r="J368" s="55">
        <f>IFERROR(ROUND(SUM(M369,M370,M371,M372)/I368, 2),0)</f>
        <v>2468.2399999999998</v>
      </c>
      <c r="K368" s="55">
        <v>2785</v>
      </c>
      <c r="L368" s="55">
        <f>J368+ROUND(K368, 2)</f>
        <v>5253.24</v>
      </c>
      <c r="M368" s="55">
        <f>ROUND(J368*I368, 2)</f>
        <v>512159.8</v>
      </c>
      <c r="N368" s="55">
        <f>ROUND(I368*ROUND(K368, 2), 2)</f>
        <v>577887.5</v>
      </c>
      <c r="O368" s="55">
        <f>M368+N368</f>
        <v>1090047.3</v>
      </c>
      <c r="P368" s="55">
        <f>IFERROR(ROUND(SUM(S369,S370,S371,S372)/I368, 2),0)</f>
        <v>1999.8</v>
      </c>
      <c r="Q368" s="55">
        <v>4177.5</v>
      </c>
      <c r="R368" s="55">
        <f>P368+ROUND(Q368, 2)</f>
        <v>6177.3</v>
      </c>
      <c r="S368" s="55">
        <f>ROUND(P368*I368, 2)</f>
        <v>414958.5</v>
      </c>
      <c r="T368" s="55">
        <f>ROUND(I368*ROUND(Q368, 2), 2)</f>
        <v>866831.25</v>
      </c>
      <c r="U368" s="55">
        <f>S368+T368</f>
        <v>1281789.75</v>
      </c>
      <c r="V368" s="9">
        <f>ROUND(P368 / 1.2, 2)</f>
        <v>1666.5</v>
      </c>
      <c r="W368" s="9">
        <f>ROUND(Q368 / 1.2, 2)</f>
        <v>3481.25</v>
      </c>
      <c r="X368" s="9">
        <f>ROUND(R368 / 1.2, 2)</f>
        <v>5147.75</v>
      </c>
      <c r="Y368" s="9">
        <f t="shared" si="88"/>
        <v>345798.75</v>
      </c>
      <c r="Z368" s="9">
        <f>ROUND(T368 / 1.2, 2)</f>
        <v>722359.38</v>
      </c>
      <c r="AA368" s="9">
        <f>Y368+Z368</f>
        <v>1068158.1299999999</v>
      </c>
      <c r="AD368" s="4">
        <v>304337637</v>
      </c>
      <c r="AE368" s="4">
        <v>21935192</v>
      </c>
      <c r="AG368" s="4" t="s">
        <v>817</v>
      </c>
      <c r="AH368" s="4" t="s">
        <v>818</v>
      </c>
      <c r="AI368" s="4" t="s">
        <v>260</v>
      </c>
    </row>
    <row r="369" spans="1:35" ht="36" x14ac:dyDescent="0.3">
      <c r="A369" s="51" t="s">
        <v>1032</v>
      </c>
      <c r="B369" s="51"/>
      <c r="C369" s="56" t="s">
        <v>682</v>
      </c>
      <c r="D369" s="53"/>
      <c r="E369" s="53"/>
      <c r="F369" s="57" t="s">
        <v>265</v>
      </c>
      <c r="G369" s="58">
        <v>0.15</v>
      </c>
      <c r="H369" s="53"/>
      <c r="I369" s="58">
        <v>31.125</v>
      </c>
      <c r="J369" s="59">
        <v>88.8</v>
      </c>
      <c r="K369" s="60"/>
      <c r="L369" s="60"/>
      <c r="M369" s="59">
        <f>ROUND(ROUND(J369, 2)*I369, 2)</f>
        <v>2763.9</v>
      </c>
      <c r="N369" s="60"/>
      <c r="O369" s="60"/>
      <c r="P369" s="59">
        <v>88.8</v>
      </c>
      <c r="Q369" s="60"/>
      <c r="R369" s="60"/>
      <c r="S369" s="59">
        <f>ROUND(ROUND(P369, 2)*I369, 2)</f>
        <v>2763.9</v>
      </c>
      <c r="T369" s="60"/>
      <c r="U369" s="61"/>
      <c r="V369" s="9">
        <f>ROUND(ROUND(P369, 2)/1.2, 2)</f>
        <v>74</v>
      </c>
      <c r="Y369" s="9">
        <f t="shared" si="88"/>
        <v>2303.25</v>
      </c>
      <c r="AD369" s="4" t="s">
        <v>1033</v>
      </c>
      <c r="AE369" s="4" t="s">
        <v>1034</v>
      </c>
      <c r="AF369" s="4" t="s">
        <v>685</v>
      </c>
    </row>
    <row r="370" spans="1:35" ht="36" x14ac:dyDescent="0.3">
      <c r="A370" s="51" t="s">
        <v>1035</v>
      </c>
      <c r="B370" s="51"/>
      <c r="C370" s="56" t="s">
        <v>790</v>
      </c>
      <c r="D370" s="53"/>
      <c r="E370" s="53"/>
      <c r="F370" s="57" t="s">
        <v>265</v>
      </c>
      <c r="G370" s="58">
        <v>0.25</v>
      </c>
      <c r="H370" s="53"/>
      <c r="I370" s="62">
        <v>51.875</v>
      </c>
      <c r="J370" s="59">
        <v>40.270000000000003</v>
      </c>
      <c r="K370" s="60"/>
      <c r="L370" s="60"/>
      <c r="M370" s="59">
        <f>ROUND(ROUND(J370, 2)*I370, 2)</f>
        <v>2089.0100000000002</v>
      </c>
      <c r="N370" s="60"/>
      <c r="O370" s="60"/>
      <c r="P370" s="59">
        <v>40.270000000000003</v>
      </c>
      <c r="Q370" s="60"/>
      <c r="R370" s="60"/>
      <c r="S370" s="59">
        <f>ROUND(ROUND(P370, 2)*I370, 2)</f>
        <v>2089.0100000000002</v>
      </c>
      <c r="T370" s="60"/>
      <c r="U370" s="61"/>
      <c r="V370" s="9">
        <f>ROUND(ROUND(P370, 2)/1.2, 2)</f>
        <v>33.56</v>
      </c>
      <c r="Y370" s="9">
        <f t="shared" si="88"/>
        <v>1740.84</v>
      </c>
      <c r="AD370" s="4" t="s">
        <v>1036</v>
      </c>
      <c r="AE370" s="4" t="s">
        <v>1037</v>
      </c>
      <c r="AF370" s="4" t="s">
        <v>793</v>
      </c>
    </row>
    <row r="371" spans="1:35" ht="90" x14ac:dyDescent="0.3">
      <c r="A371" s="51" t="s">
        <v>1038</v>
      </c>
      <c r="B371" s="51"/>
      <c r="C371" s="56" t="s">
        <v>829</v>
      </c>
      <c r="D371" s="53"/>
      <c r="E371" s="53" t="s">
        <v>959</v>
      </c>
      <c r="F371" s="57" t="s">
        <v>59</v>
      </c>
      <c r="G371" s="58">
        <v>1.2</v>
      </c>
      <c r="H371" s="53"/>
      <c r="I371" s="62">
        <v>249</v>
      </c>
      <c r="J371" s="59">
        <v>2021.26</v>
      </c>
      <c r="K371" s="60"/>
      <c r="L371" s="60"/>
      <c r="M371" s="59">
        <f>ROUND(ROUND(J371, 2)*I371, 2)</f>
        <v>503293.74</v>
      </c>
      <c r="N371" s="60"/>
      <c r="O371" s="60"/>
      <c r="P371" s="59">
        <v>1630.9</v>
      </c>
      <c r="Q371" s="60"/>
      <c r="R371" s="60"/>
      <c r="S371" s="59">
        <f>ROUND(ROUND(P371, 2)*I371, 2)</f>
        <v>406094.1</v>
      </c>
      <c r="T371" s="60"/>
      <c r="U371" s="61"/>
      <c r="V371" s="9">
        <f>ROUND(ROUND(P371, 2)/1.2, 2)</f>
        <v>1359.08</v>
      </c>
      <c r="Y371" s="9">
        <f t="shared" si="88"/>
        <v>338411.75</v>
      </c>
      <c r="AD371" s="4" t="s">
        <v>1039</v>
      </c>
      <c r="AE371" s="4" t="s">
        <v>1040</v>
      </c>
      <c r="AF371" s="4" t="s">
        <v>832</v>
      </c>
    </row>
    <row r="372" spans="1:35" ht="36" x14ac:dyDescent="0.3">
      <c r="A372" s="51" t="s">
        <v>1041</v>
      </c>
      <c r="B372" s="51"/>
      <c r="C372" s="47" t="s">
        <v>822</v>
      </c>
      <c r="D372" s="53"/>
      <c r="E372" s="53"/>
      <c r="F372" s="57" t="s">
        <v>265</v>
      </c>
      <c r="G372" s="58">
        <v>1.2</v>
      </c>
      <c r="H372" s="53"/>
      <c r="I372" s="62">
        <v>249</v>
      </c>
      <c r="J372" s="59">
        <v>16.12</v>
      </c>
      <c r="K372" s="60"/>
      <c r="L372" s="60"/>
      <c r="M372" s="59">
        <f>ROUND(ROUND(J372, 2)*I372, 2)</f>
        <v>4013.88</v>
      </c>
      <c r="N372" s="60"/>
      <c r="O372" s="60"/>
      <c r="P372" s="59">
        <v>16.11</v>
      </c>
      <c r="Q372" s="60"/>
      <c r="R372" s="60"/>
      <c r="S372" s="59">
        <f>ROUND(ROUND(P372, 2)*I372, 2)</f>
        <v>4011.39</v>
      </c>
      <c r="T372" s="60"/>
      <c r="U372" s="61"/>
      <c r="V372" s="9">
        <f>ROUND(ROUND(P372, 2)/1.2, 2)</f>
        <v>13.43</v>
      </c>
      <c r="Y372" s="9">
        <f t="shared" si="88"/>
        <v>3342.83</v>
      </c>
      <c r="AD372" s="4" t="s">
        <v>1042</v>
      </c>
      <c r="AE372" s="4" t="s">
        <v>1043</v>
      </c>
      <c r="AF372" s="4" t="s">
        <v>825</v>
      </c>
    </row>
    <row r="373" spans="1:35" ht="16.95" customHeight="1" x14ac:dyDescent="0.3">
      <c r="A373" s="10" t="s">
        <v>1044</v>
      </c>
      <c r="B373" s="10" t="s">
        <v>1045</v>
      </c>
      <c r="C373" s="153" t="s">
        <v>1046</v>
      </c>
      <c r="D373" s="154"/>
      <c r="E373" s="154"/>
      <c r="F373" s="154"/>
      <c r="G373" s="154"/>
      <c r="H373" s="154"/>
      <c r="I373" s="155"/>
      <c r="M373" s="6">
        <f>SUM(M374,M378)</f>
        <v>329650</v>
      </c>
      <c r="N373" s="6">
        <f>SUM(N374,N378)</f>
        <v>29009.200000000001</v>
      </c>
      <c r="O373" s="6">
        <f>SUM(O374,O378)</f>
        <v>358659.2</v>
      </c>
      <c r="S373" s="6">
        <f>SUM(S374,S378)</f>
        <v>329650</v>
      </c>
      <c r="T373" s="6">
        <f>SUM(T374,T378)</f>
        <v>43513.8</v>
      </c>
      <c r="U373" s="6">
        <f>SUM(U374,U378)</f>
        <v>373163.8</v>
      </c>
      <c r="Y373" s="9">
        <f>SUM(Y374,Y378)</f>
        <v>274708.33</v>
      </c>
      <c r="Z373" s="9">
        <f>SUM(Z374,Z378)</f>
        <v>36261.5</v>
      </c>
      <c r="AA373" s="9">
        <f>SUM(AA374,AA378)</f>
        <v>310969.83</v>
      </c>
      <c r="AD373" s="4">
        <v>304337555</v>
      </c>
      <c r="AE373" s="4">
        <v>20297490</v>
      </c>
    </row>
    <row r="374" spans="1:35" ht="18" x14ac:dyDescent="0.3">
      <c r="A374" s="17" t="s">
        <v>1047</v>
      </c>
      <c r="B374" s="17" t="s">
        <v>1048</v>
      </c>
      <c r="C374" s="18" t="s">
        <v>1049</v>
      </c>
      <c r="D374" s="19"/>
      <c r="E374" s="19"/>
      <c r="F374" s="19" t="s">
        <v>59</v>
      </c>
      <c r="G374" s="20">
        <v>1</v>
      </c>
      <c r="H374" s="19"/>
      <c r="I374" s="21">
        <v>0</v>
      </c>
      <c r="J374" s="22">
        <f>IFERROR(ROUND(SUM(M376)/I374, 2),0)</f>
        <v>0</v>
      </c>
      <c r="K374" s="22">
        <v>836</v>
      </c>
      <c r="L374" s="22">
        <f>J374+ROUND(K374, 2)</f>
        <v>836</v>
      </c>
      <c r="M374" s="22">
        <f>ROUND(J374*I374, 2)</f>
        <v>0</v>
      </c>
      <c r="N374" s="22">
        <f>ROUND(I374*ROUND(K374, 2), 2)</f>
        <v>0</v>
      </c>
      <c r="O374" s="22">
        <f>M374+N374</f>
        <v>0</v>
      </c>
      <c r="P374" s="22">
        <f>IFERROR(ROUND(SUM(S376)/I374, 2),0)</f>
        <v>0</v>
      </c>
      <c r="Q374" s="22">
        <v>836</v>
      </c>
      <c r="R374" s="22">
        <f>P374+ROUND(Q374, 2)</f>
        <v>836</v>
      </c>
      <c r="S374" s="22">
        <f>ROUND(P374*I374, 2)</f>
        <v>0</v>
      </c>
      <c r="T374" s="22">
        <f>ROUND(I374*ROUND(Q374, 2), 2)</f>
        <v>0</v>
      </c>
      <c r="U374" s="22">
        <f>S374+T374</f>
        <v>0</v>
      </c>
      <c r="V374" s="9">
        <f>ROUND(P374 / 1.2, 2)</f>
        <v>0</v>
      </c>
      <c r="W374" s="9">
        <f>ROUND(Q374 / 1.2, 2)</f>
        <v>696.67</v>
      </c>
      <c r="X374" s="9">
        <f>ROUND(R374 / 1.2, 2)</f>
        <v>696.67</v>
      </c>
      <c r="Y374" s="9">
        <f>ROUND(S374 / 1.2, 2)</f>
        <v>0</v>
      </c>
      <c r="Z374" s="9">
        <f>ROUND(T374 / 1.2, 2)</f>
        <v>0</v>
      </c>
      <c r="AA374" s="9">
        <f>Y374+Z374</f>
        <v>0</v>
      </c>
      <c r="AD374" s="4">
        <v>304337557</v>
      </c>
      <c r="AE374" s="4">
        <v>20297493</v>
      </c>
      <c r="AG374" s="4" t="s">
        <v>1050</v>
      </c>
      <c r="AH374" s="4" t="s">
        <v>1051</v>
      </c>
      <c r="AI374" s="4" t="s">
        <v>260</v>
      </c>
    </row>
    <row r="375" spans="1:35" ht="18" x14ac:dyDescent="0.3">
      <c r="A375" s="23" t="s">
        <v>1052</v>
      </c>
      <c r="B375" s="23" t="s">
        <v>1048</v>
      </c>
      <c r="C375" s="24" t="s">
        <v>1049</v>
      </c>
      <c r="D375" s="25"/>
      <c r="E375" s="25" t="s">
        <v>1053</v>
      </c>
      <c r="F375" s="25" t="s">
        <v>59</v>
      </c>
      <c r="G375" s="26">
        <v>1</v>
      </c>
      <c r="H375" s="25"/>
      <c r="I375" s="26">
        <v>34.700000000000003</v>
      </c>
      <c r="J375" s="27">
        <v>0</v>
      </c>
      <c r="K375" s="27">
        <v>836</v>
      </c>
      <c r="L375" s="27"/>
      <c r="M375" s="27">
        <v>0</v>
      </c>
      <c r="N375" s="27"/>
      <c r="O375" s="27"/>
      <c r="P375" s="27">
        <v>0</v>
      </c>
      <c r="Q375" s="27">
        <v>836</v>
      </c>
      <c r="R375" s="27"/>
      <c r="S375" s="27">
        <v>0</v>
      </c>
      <c r="T375" s="27"/>
      <c r="U375" s="27"/>
      <c r="V375" s="9"/>
      <c r="W375" s="9">
        <f>ROUND(Q375 / 1.2, 2)</f>
        <v>696.67</v>
      </c>
      <c r="X375" s="9" t="e">
        <f>ROUND(R375 / 1.2, 2)</f>
        <v>#VALUE!</v>
      </c>
      <c r="Y375" s="9"/>
      <c r="Z375" s="9" t="e">
        <f>ROUND(T375 / 1.2, 2)</f>
        <v>#VALUE!</v>
      </c>
      <c r="AA375" s="9"/>
      <c r="AD375" s="4">
        <v>281879700</v>
      </c>
      <c r="AE375" s="4">
        <v>20297493</v>
      </c>
      <c r="AG375" s="4" t="s">
        <v>1050</v>
      </c>
      <c r="AH375" s="4" t="s">
        <v>1051</v>
      </c>
      <c r="AI375" s="4"/>
    </row>
    <row r="376" spans="1:35" ht="18" x14ac:dyDescent="0.3">
      <c r="A376" s="17" t="s">
        <v>1054</v>
      </c>
      <c r="B376" s="17"/>
      <c r="C376" s="34" t="s">
        <v>1055</v>
      </c>
      <c r="D376" s="19"/>
      <c r="E376" s="19"/>
      <c r="F376" s="35" t="s">
        <v>59</v>
      </c>
      <c r="G376" s="36">
        <v>1</v>
      </c>
      <c r="H376" s="19"/>
      <c r="I376" s="37">
        <v>0</v>
      </c>
      <c r="J376" s="38">
        <v>9500</v>
      </c>
      <c r="K376" s="39"/>
      <c r="L376" s="39"/>
      <c r="M376" s="38">
        <f>ROUND(ROUND(J376, 2)*I376, 2)</f>
        <v>0</v>
      </c>
      <c r="N376" s="39"/>
      <c r="O376" s="39"/>
      <c r="P376" s="38">
        <v>9500</v>
      </c>
      <c r="Q376" s="39"/>
      <c r="R376" s="39"/>
      <c r="S376" s="38">
        <f>ROUND(ROUND(P376, 2)*I376, 2)</f>
        <v>0</v>
      </c>
      <c r="T376" s="39"/>
      <c r="U376" s="40"/>
      <c r="V376" s="9">
        <f>ROUND(ROUND(P376, 2)/1.2, 2)</f>
        <v>7916.67</v>
      </c>
      <c r="Y376" s="9">
        <f>ROUND(S376 / 1.2, 2)</f>
        <v>0</v>
      </c>
      <c r="AD376" s="4" t="s">
        <v>1056</v>
      </c>
      <c r="AE376" s="4" t="s">
        <v>1057</v>
      </c>
      <c r="AF376" s="4" t="s">
        <v>1058</v>
      </c>
    </row>
    <row r="377" spans="1:35" ht="90" x14ac:dyDescent="0.3">
      <c r="A377" s="23" t="s">
        <v>1059</v>
      </c>
      <c r="B377" s="23"/>
      <c r="C377" s="41" t="s">
        <v>1055</v>
      </c>
      <c r="D377" s="25"/>
      <c r="E377" s="25" t="s">
        <v>1060</v>
      </c>
      <c r="F377" s="42" t="s">
        <v>59</v>
      </c>
      <c r="G377" s="43">
        <v>1</v>
      </c>
      <c r="H377" s="25"/>
      <c r="I377" s="43">
        <v>34.700000000000003</v>
      </c>
      <c r="J377" s="44">
        <v>9500</v>
      </c>
      <c r="K377" s="45"/>
      <c r="L377" s="45"/>
      <c r="M377" s="44">
        <f>ROUND(ROUND(J377, 2)*I377, 2)</f>
        <v>329650</v>
      </c>
      <c r="N377" s="45"/>
      <c r="O377" s="45"/>
      <c r="P377" s="44">
        <v>9500</v>
      </c>
      <c r="Q377" s="45"/>
      <c r="R377" s="45"/>
      <c r="S377" s="44">
        <f>ROUND(ROUND(P377, 2)*I377, 2)</f>
        <v>329650</v>
      </c>
      <c r="T377" s="45"/>
      <c r="U377" s="46"/>
      <c r="V377" s="9">
        <f>ROUND(ROUND(P377, 2)/1.2, 2)</f>
        <v>7916.67</v>
      </c>
      <c r="Y377" s="9">
        <f>ROUND(S377 / 1.2, 2)</f>
        <v>274708.33</v>
      </c>
      <c r="AD377" s="4" t="s">
        <v>1061</v>
      </c>
      <c r="AE377" s="4" t="s">
        <v>1057</v>
      </c>
      <c r="AF377" s="4" t="s">
        <v>1058</v>
      </c>
    </row>
    <row r="378" spans="1:35" ht="18" x14ac:dyDescent="0.3">
      <c r="A378" s="51" t="s">
        <v>1062</v>
      </c>
      <c r="B378" s="51" t="s">
        <v>1048</v>
      </c>
      <c r="C378" s="52" t="s">
        <v>1049</v>
      </c>
      <c r="D378" s="53"/>
      <c r="E378" s="53" t="s">
        <v>1053</v>
      </c>
      <c r="F378" s="53" t="s">
        <v>59</v>
      </c>
      <c r="G378" s="54">
        <v>1</v>
      </c>
      <c r="H378" s="53"/>
      <c r="I378" s="54">
        <v>34.700000000000003</v>
      </c>
      <c r="J378" s="55">
        <f>IFERROR(ROUND(SUM(M379)/I378, 2),0)</f>
        <v>9500</v>
      </c>
      <c r="K378" s="55">
        <v>836</v>
      </c>
      <c r="L378" s="55">
        <f>J378+ROUND(K378, 2)</f>
        <v>10336</v>
      </c>
      <c r="M378" s="55">
        <f>ROUND(J378*I378, 2)</f>
        <v>329650</v>
      </c>
      <c r="N378" s="55">
        <f>ROUND(I378*ROUND(K378, 2), 2)</f>
        <v>29009.200000000001</v>
      </c>
      <c r="O378" s="55">
        <f>M378+N378</f>
        <v>358659.2</v>
      </c>
      <c r="P378" s="55">
        <f>IFERROR(ROUND(SUM(S379)/I378, 2),0)</f>
        <v>9500</v>
      </c>
      <c r="Q378" s="55">
        <v>1254</v>
      </c>
      <c r="R378" s="55">
        <f>P378+ROUND(Q378, 2)</f>
        <v>10754</v>
      </c>
      <c r="S378" s="55">
        <f>ROUND(P378*I378, 2)</f>
        <v>329650</v>
      </c>
      <c r="T378" s="55">
        <f>ROUND(I378*ROUND(Q378, 2), 2)</f>
        <v>43513.8</v>
      </c>
      <c r="U378" s="55">
        <f>S378+T378</f>
        <v>373163.8</v>
      </c>
      <c r="V378" s="9">
        <f>ROUND(P378 / 1.2, 2)</f>
        <v>7916.67</v>
      </c>
      <c r="W378" s="9">
        <f>ROUND(Q378 / 1.2, 2)</f>
        <v>1045</v>
      </c>
      <c r="X378" s="9">
        <f>ROUND(R378 / 1.2, 2)</f>
        <v>8961.67</v>
      </c>
      <c r="Y378" s="9">
        <f>ROUND(S378 / 1.2, 2)</f>
        <v>274708.33</v>
      </c>
      <c r="Z378" s="9">
        <f>ROUND(T378 / 1.2, 2)</f>
        <v>36261.5</v>
      </c>
      <c r="AA378" s="9">
        <f>Y378+Z378</f>
        <v>310969.83</v>
      </c>
      <c r="AD378" s="4">
        <v>304337638</v>
      </c>
      <c r="AE378" s="4">
        <v>20299701</v>
      </c>
      <c r="AG378" s="4" t="s">
        <v>1050</v>
      </c>
      <c r="AH378" s="4" t="s">
        <v>1051</v>
      </c>
      <c r="AI378" s="4" t="s">
        <v>260</v>
      </c>
    </row>
    <row r="379" spans="1:35" ht="90" x14ac:dyDescent="0.3">
      <c r="A379" s="51" t="s">
        <v>1063</v>
      </c>
      <c r="B379" s="51"/>
      <c r="C379" s="56" t="s">
        <v>1055</v>
      </c>
      <c r="D379" s="53"/>
      <c r="E379" s="53" t="s">
        <v>1060</v>
      </c>
      <c r="F379" s="57" t="s">
        <v>59</v>
      </c>
      <c r="G379" s="58">
        <v>1</v>
      </c>
      <c r="H379" s="53"/>
      <c r="I379" s="58">
        <v>34.700000000000003</v>
      </c>
      <c r="J379" s="59">
        <v>9500</v>
      </c>
      <c r="K379" s="60"/>
      <c r="L379" s="60"/>
      <c r="M379" s="59">
        <f>ROUND(ROUND(J379, 2)*I379, 2)</f>
        <v>329650</v>
      </c>
      <c r="N379" s="60"/>
      <c r="O379" s="60"/>
      <c r="P379" s="59">
        <v>9500</v>
      </c>
      <c r="Q379" s="60"/>
      <c r="R379" s="60"/>
      <c r="S379" s="59">
        <f>ROUND(ROUND(P379, 2)*I379, 2)</f>
        <v>329650</v>
      </c>
      <c r="T379" s="60"/>
      <c r="U379" s="61"/>
      <c r="V379" s="9">
        <f>ROUND(ROUND(P379, 2)/1.2, 2)</f>
        <v>7916.67</v>
      </c>
      <c r="Y379" s="9">
        <f>ROUND(S379 / 1.2, 2)</f>
        <v>274708.33</v>
      </c>
      <c r="AD379" s="4" t="s">
        <v>1064</v>
      </c>
      <c r="AE379" s="4" t="s">
        <v>1065</v>
      </c>
      <c r="AF379" s="4" t="s">
        <v>1058</v>
      </c>
    </row>
    <row r="380" spans="1:35" ht="16.95" customHeight="1" x14ac:dyDescent="0.3">
      <c r="A380" s="10" t="s">
        <v>1066</v>
      </c>
      <c r="B380" s="10" t="s">
        <v>1067</v>
      </c>
      <c r="C380" s="153" t="s">
        <v>1068</v>
      </c>
      <c r="D380" s="154"/>
      <c r="E380" s="154"/>
      <c r="F380" s="154"/>
      <c r="G380" s="154"/>
      <c r="H380" s="154"/>
      <c r="I380" s="155"/>
      <c r="M380" s="6">
        <f>SUM(M381,M391,M634)</f>
        <v>5802522.5599999996</v>
      </c>
      <c r="N380" s="6">
        <f>SUM(N381,N391,N634)</f>
        <v>9178574.6999999993</v>
      </c>
      <c r="O380" s="6">
        <f>SUM(O381,O391,O634)</f>
        <v>14981097.26</v>
      </c>
      <c r="S380" s="6">
        <f>SUM(S381,S391,S634)</f>
        <v>3503673.5</v>
      </c>
      <c r="T380" s="6">
        <f>SUM(T381,T391,T634)</f>
        <v>13767862.050000001</v>
      </c>
      <c r="U380" s="6">
        <f>SUM(U381,U391,U634)</f>
        <v>17271535.550000001</v>
      </c>
      <c r="Y380" s="9">
        <f>SUM(Y381,Y391,Y634)</f>
        <v>2919727.95</v>
      </c>
      <c r="Z380" s="9">
        <f>SUM(Z381,Z391,Z634)</f>
        <v>11473218.390000001</v>
      </c>
      <c r="AA380" s="9">
        <f>SUM(AA381,AA391,AA634)</f>
        <v>14392946.34</v>
      </c>
      <c r="AD380" s="4">
        <v>304337558</v>
      </c>
      <c r="AE380" s="4">
        <v>20297474</v>
      </c>
    </row>
    <row r="381" spans="1:35" ht="16.95" customHeight="1" x14ac:dyDescent="0.3">
      <c r="A381" s="10" t="s">
        <v>1069</v>
      </c>
      <c r="B381" s="10" t="s">
        <v>1070</v>
      </c>
      <c r="C381" s="153" t="s">
        <v>1071</v>
      </c>
      <c r="D381" s="154"/>
      <c r="E381" s="154"/>
      <c r="F381" s="154"/>
      <c r="G381" s="154"/>
      <c r="H381" s="154"/>
      <c r="I381" s="155"/>
      <c r="M381" s="6">
        <f>SUM(M382,M388)</f>
        <v>1902.81</v>
      </c>
      <c r="N381" s="6">
        <f>SUM(N382,N388)</f>
        <v>80682</v>
      </c>
      <c r="O381" s="6">
        <f>SUM(O382,O388)</f>
        <v>82584.81</v>
      </c>
      <c r="S381" s="6">
        <f>SUM(S382,S388)</f>
        <v>1902.81</v>
      </c>
      <c r="T381" s="6">
        <f>SUM(T382,T388)</f>
        <v>121023</v>
      </c>
      <c r="U381" s="6">
        <f>SUM(U382,U388)</f>
        <v>122925.81</v>
      </c>
      <c r="Y381" s="9">
        <f>SUM(Y382,Y388)</f>
        <v>1585.68</v>
      </c>
      <c r="Z381" s="9">
        <f>SUM(Z382,Z388)</f>
        <v>100852.5</v>
      </c>
      <c r="AA381" s="9">
        <f>SUM(AA382,AA388)</f>
        <v>102438.18</v>
      </c>
      <c r="AD381" s="4">
        <v>304337559</v>
      </c>
      <c r="AE381" s="4">
        <v>20297483</v>
      </c>
    </row>
    <row r="382" spans="1:35" ht="36" x14ac:dyDescent="0.3">
      <c r="A382" s="17" t="s">
        <v>1072</v>
      </c>
      <c r="B382" s="17" t="s">
        <v>1073</v>
      </c>
      <c r="C382" s="18" t="s">
        <v>1074</v>
      </c>
      <c r="D382" s="19"/>
      <c r="E382" s="19"/>
      <c r="F382" s="19" t="s">
        <v>369</v>
      </c>
      <c r="G382" s="20">
        <v>1</v>
      </c>
      <c r="H382" s="19"/>
      <c r="I382" s="21">
        <v>0</v>
      </c>
      <c r="J382" s="22">
        <f>IFERROR(ROUND(SUM(M384,M386)/I382, 2),0)</f>
        <v>0</v>
      </c>
      <c r="K382" s="22">
        <v>226</v>
      </c>
      <c r="L382" s="22">
        <f>J382+ROUND(K382, 2)</f>
        <v>226</v>
      </c>
      <c r="M382" s="22">
        <f>ROUND(J382*I382, 2)</f>
        <v>0</v>
      </c>
      <c r="N382" s="22">
        <f>ROUND(I382*ROUND(K382, 2), 2)</f>
        <v>0</v>
      </c>
      <c r="O382" s="22">
        <f>M382+N382</f>
        <v>0</v>
      </c>
      <c r="P382" s="22">
        <f>IFERROR(ROUND(SUM(S384,S386)/I382, 2),0)</f>
        <v>0</v>
      </c>
      <c r="Q382" s="22">
        <v>226</v>
      </c>
      <c r="R382" s="22">
        <f>P382+ROUND(Q382, 2)</f>
        <v>226</v>
      </c>
      <c r="S382" s="22">
        <f>ROUND(P382*I382, 2)</f>
        <v>0</v>
      </c>
      <c r="T382" s="22">
        <f>ROUND(I382*ROUND(Q382, 2), 2)</f>
        <v>0</v>
      </c>
      <c r="U382" s="22">
        <f>S382+T382</f>
        <v>0</v>
      </c>
      <c r="V382" s="9">
        <f>ROUND(P382 / 1.2, 2)</f>
        <v>0</v>
      </c>
      <c r="W382" s="9">
        <f>ROUND(Q382 / 1.2, 2)</f>
        <v>188.33</v>
      </c>
      <c r="X382" s="9">
        <f>ROUND(R382 / 1.2, 2)</f>
        <v>188.33</v>
      </c>
      <c r="Y382" s="9">
        <f>ROUND(S382 / 1.2, 2)</f>
        <v>0</v>
      </c>
      <c r="Z382" s="9">
        <f>ROUND(T382 / 1.2, 2)</f>
        <v>0</v>
      </c>
      <c r="AA382" s="9">
        <f>Y382+Z382</f>
        <v>0</v>
      </c>
      <c r="AD382" s="4">
        <v>304337561</v>
      </c>
      <c r="AE382" s="4">
        <v>20297507</v>
      </c>
      <c r="AG382" s="4" t="s">
        <v>1075</v>
      </c>
      <c r="AH382" s="4" t="s">
        <v>1076</v>
      </c>
      <c r="AI382" s="4" t="s">
        <v>260</v>
      </c>
    </row>
    <row r="383" spans="1:35" ht="36" x14ac:dyDescent="0.3">
      <c r="A383" s="23" t="s">
        <v>1077</v>
      </c>
      <c r="B383" s="23" t="s">
        <v>1073</v>
      </c>
      <c r="C383" s="24" t="s">
        <v>1074</v>
      </c>
      <c r="D383" s="25"/>
      <c r="E383" s="25" t="s">
        <v>1078</v>
      </c>
      <c r="F383" s="25" t="s">
        <v>369</v>
      </c>
      <c r="G383" s="26">
        <v>1</v>
      </c>
      <c r="H383" s="25"/>
      <c r="I383" s="26">
        <v>357</v>
      </c>
      <c r="J383" s="27">
        <v>0</v>
      </c>
      <c r="K383" s="27">
        <v>226</v>
      </c>
      <c r="L383" s="27"/>
      <c r="M383" s="27">
        <v>0</v>
      </c>
      <c r="N383" s="27"/>
      <c r="O383" s="27"/>
      <c r="P383" s="27">
        <v>0</v>
      </c>
      <c r="Q383" s="27">
        <v>226</v>
      </c>
      <c r="R383" s="27"/>
      <c r="S383" s="27">
        <v>0</v>
      </c>
      <c r="T383" s="27"/>
      <c r="U383" s="27"/>
      <c r="V383" s="9"/>
      <c r="W383" s="9">
        <f>ROUND(Q383 / 1.2, 2)</f>
        <v>188.33</v>
      </c>
      <c r="X383" s="9" t="e">
        <f>ROUND(R383 / 1.2, 2)</f>
        <v>#VALUE!</v>
      </c>
      <c r="Y383" s="9"/>
      <c r="Z383" s="9" t="e">
        <f>ROUND(T383 / 1.2, 2)</f>
        <v>#VALUE!</v>
      </c>
      <c r="AA383" s="9"/>
      <c r="AD383" s="4">
        <v>281879704</v>
      </c>
      <c r="AE383" s="4">
        <v>20297507</v>
      </c>
      <c r="AG383" s="4" t="s">
        <v>1075</v>
      </c>
      <c r="AH383" s="4" t="s">
        <v>1076</v>
      </c>
      <c r="AI383" s="4"/>
    </row>
    <row r="384" spans="1:35" ht="18" x14ac:dyDescent="0.3">
      <c r="A384" s="17" t="s">
        <v>1079</v>
      </c>
      <c r="B384" s="17"/>
      <c r="C384" s="34" t="s">
        <v>1080</v>
      </c>
      <c r="D384" s="19"/>
      <c r="E384" s="19"/>
      <c r="F384" s="35" t="s">
        <v>1081</v>
      </c>
      <c r="G384" s="36">
        <v>1E-3</v>
      </c>
      <c r="H384" s="19"/>
      <c r="I384" s="48">
        <v>0</v>
      </c>
      <c r="J384" s="38">
        <v>2800</v>
      </c>
      <c r="K384" s="39"/>
      <c r="L384" s="39"/>
      <c r="M384" s="38">
        <f>ROUND(ROUND(J384, 2)*I384, 2)</f>
        <v>0</v>
      </c>
      <c r="N384" s="39"/>
      <c r="O384" s="39"/>
      <c r="P384" s="38">
        <v>2800</v>
      </c>
      <c r="Q384" s="39"/>
      <c r="R384" s="39"/>
      <c r="S384" s="38">
        <f>ROUND(ROUND(P384, 2)*I384, 2)</f>
        <v>0</v>
      </c>
      <c r="T384" s="39"/>
      <c r="U384" s="40"/>
      <c r="V384" s="9">
        <f>ROUND(ROUND(P384, 2)/1.2, 2)</f>
        <v>2333.33</v>
      </c>
      <c r="Y384" s="9">
        <f t="shared" ref="Y384:Y390" si="89">ROUND(S384 / 1.2, 2)</f>
        <v>0</v>
      </c>
      <c r="AD384" s="4" t="s">
        <v>1082</v>
      </c>
      <c r="AE384" s="4" t="s">
        <v>1083</v>
      </c>
      <c r="AF384" s="4" t="s">
        <v>1084</v>
      </c>
    </row>
    <row r="385" spans="1:35" ht="18" x14ac:dyDescent="0.3">
      <c r="A385" s="23" t="s">
        <v>1085</v>
      </c>
      <c r="B385" s="23"/>
      <c r="C385" s="41" t="s">
        <v>1080</v>
      </c>
      <c r="D385" s="25"/>
      <c r="E385" s="25"/>
      <c r="F385" s="42" t="s">
        <v>1081</v>
      </c>
      <c r="G385" s="43">
        <v>1E-3</v>
      </c>
      <c r="H385" s="25"/>
      <c r="I385" s="50">
        <v>0.35699999999999998</v>
      </c>
      <c r="J385" s="44">
        <v>2800</v>
      </c>
      <c r="K385" s="45"/>
      <c r="L385" s="45"/>
      <c r="M385" s="44">
        <f>ROUND(ROUND(J385, 2)*I385, 2)</f>
        <v>999.6</v>
      </c>
      <c r="N385" s="45"/>
      <c r="O385" s="45"/>
      <c r="P385" s="44">
        <v>2800</v>
      </c>
      <c r="Q385" s="45"/>
      <c r="R385" s="45"/>
      <c r="S385" s="44">
        <f>ROUND(ROUND(P385, 2)*I385, 2)</f>
        <v>999.6</v>
      </c>
      <c r="T385" s="45"/>
      <c r="U385" s="46"/>
      <c r="V385" s="9">
        <f>ROUND(ROUND(P385, 2)/1.2, 2)</f>
        <v>2333.33</v>
      </c>
      <c r="Y385" s="9">
        <f t="shared" si="89"/>
        <v>833</v>
      </c>
      <c r="AD385" s="4" t="s">
        <v>1086</v>
      </c>
      <c r="AE385" s="4" t="s">
        <v>1083</v>
      </c>
      <c r="AF385" s="4" t="s">
        <v>1084</v>
      </c>
    </row>
    <row r="386" spans="1:35" ht="18" x14ac:dyDescent="0.3">
      <c r="A386" s="17" t="s">
        <v>1087</v>
      </c>
      <c r="B386" s="17"/>
      <c r="C386" s="34" t="s">
        <v>1088</v>
      </c>
      <c r="D386" s="19"/>
      <c r="E386" s="19"/>
      <c r="F386" s="35" t="s">
        <v>265</v>
      </c>
      <c r="G386" s="36">
        <v>0.41</v>
      </c>
      <c r="H386" s="19"/>
      <c r="I386" s="48">
        <v>0</v>
      </c>
      <c r="J386" s="38">
        <v>6.17</v>
      </c>
      <c r="K386" s="39"/>
      <c r="L386" s="39"/>
      <c r="M386" s="38">
        <f>ROUND(ROUND(J386, 2)*I386, 2)</f>
        <v>0</v>
      </c>
      <c r="N386" s="39"/>
      <c r="O386" s="39"/>
      <c r="P386" s="38">
        <v>6.17</v>
      </c>
      <c r="Q386" s="39"/>
      <c r="R386" s="39"/>
      <c r="S386" s="38">
        <f>ROUND(ROUND(P386, 2)*I386, 2)</f>
        <v>0</v>
      </c>
      <c r="T386" s="39"/>
      <c r="U386" s="40"/>
      <c r="V386" s="9">
        <f>ROUND(ROUND(P386, 2)/1.2, 2)</f>
        <v>5.14</v>
      </c>
      <c r="Y386" s="9">
        <f t="shared" si="89"/>
        <v>0</v>
      </c>
      <c r="AD386" s="4" t="s">
        <v>1089</v>
      </c>
      <c r="AE386" s="4" t="s">
        <v>1090</v>
      </c>
      <c r="AF386" s="4" t="s">
        <v>1091</v>
      </c>
    </row>
    <row r="387" spans="1:35" ht="18" x14ac:dyDescent="0.3">
      <c r="A387" s="23" t="s">
        <v>1092</v>
      </c>
      <c r="B387" s="23"/>
      <c r="C387" s="41" t="s">
        <v>1088</v>
      </c>
      <c r="D387" s="25"/>
      <c r="E387" s="25"/>
      <c r="F387" s="42" t="s">
        <v>265</v>
      </c>
      <c r="G387" s="43">
        <v>0.41</v>
      </c>
      <c r="H387" s="25"/>
      <c r="I387" s="50">
        <v>146.37</v>
      </c>
      <c r="J387" s="44">
        <v>6.17</v>
      </c>
      <c r="K387" s="45"/>
      <c r="L387" s="45"/>
      <c r="M387" s="44">
        <f>ROUND(ROUND(J387, 2)*I387, 2)</f>
        <v>903.1</v>
      </c>
      <c r="N387" s="45"/>
      <c r="O387" s="45"/>
      <c r="P387" s="44">
        <v>6.17</v>
      </c>
      <c r="Q387" s="45"/>
      <c r="R387" s="45"/>
      <c r="S387" s="44">
        <f>ROUND(ROUND(P387, 2)*I387, 2)</f>
        <v>903.1</v>
      </c>
      <c r="T387" s="45"/>
      <c r="U387" s="46"/>
      <c r="V387" s="9">
        <f>ROUND(ROUND(P387, 2)/1.2, 2)</f>
        <v>5.14</v>
      </c>
      <c r="Y387" s="9">
        <f t="shared" si="89"/>
        <v>752.58</v>
      </c>
      <c r="AD387" s="4" t="s">
        <v>1093</v>
      </c>
      <c r="AE387" s="4" t="s">
        <v>1090</v>
      </c>
      <c r="AF387" s="4" t="s">
        <v>1091</v>
      </c>
    </row>
    <row r="388" spans="1:35" ht="36" x14ac:dyDescent="0.3">
      <c r="A388" s="51" t="s">
        <v>1094</v>
      </c>
      <c r="B388" s="51" t="s">
        <v>1073</v>
      </c>
      <c r="C388" s="52" t="s">
        <v>1074</v>
      </c>
      <c r="D388" s="53"/>
      <c r="E388" s="53" t="s">
        <v>1078</v>
      </c>
      <c r="F388" s="53" t="s">
        <v>369</v>
      </c>
      <c r="G388" s="54">
        <v>1</v>
      </c>
      <c r="H388" s="53"/>
      <c r="I388" s="54">
        <v>357</v>
      </c>
      <c r="J388" s="55">
        <f>IFERROR(ROUND(SUM(M389,M390)/I388, 2),0)</f>
        <v>5.33</v>
      </c>
      <c r="K388" s="55">
        <v>226</v>
      </c>
      <c r="L388" s="55">
        <f>J388+ROUND(K388, 2)</f>
        <v>231.33</v>
      </c>
      <c r="M388" s="55">
        <f>ROUND(J388*I388, 2)</f>
        <v>1902.81</v>
      </c>
      <c r="N388" s="55">
        <f>ROUND(I388*ROUND(K388, 2), 2)</f>
        <v>80682</v>
      </c>
      <c r="O388" s="55">
        <f>M388+N388</f>
        <v>82584.81</v>
      </c>
      <c r="P388" s="55">
        <f>IFERROR(ROUND(SUM(S389,S390)/I388, 2),0)</f>
        <v>5.33</v>
      </c>
      <c r="Q388" s="55">
        <v>339</v>
      </c>
      <c r="R388" s="55">
        <f>P388+ROUND(Q388, 2)</f>
        <v>344.33</v>
      </c>
      <c r="S388" s="55">
        <f>ROUND(P388*I388, 2)</f>
        <v>1902.81</v>
      </c>
      <c r="T388" s="55">
        <f>ROUND(I388*ROUND(Q388, 2), 2)</f>
        <v>121023</v>
      </c>
      <c r="U388" s="55">
        <f>S388+T388</f>
        <v>122925.81</v>
      </c>
      <c r="V388" s="9">
        <f>ROUND(P388 / 1.2, 2)</f>
        <v>4.4400000000000004</v>
      </c>
      <c r="W388" s="9">
        <f>ROUND(Q388 / 1.2, 2)</f>
        <v>282.5</v>
      </c>
      <c r="X388" s="9">
        <f>ROUND(R388 / 1.2, 2)</f>
        <v>286.94</v>
      </c>
      <c r="Y388" s="9">
        <f t="shared" si="89"/>
        <v>1585.68</v>
      </c>
      <c r="Z388" s="9">
        <f>ROUND(T388 / 1.2, 2)</f>
        <v>100852.5</v>
      </c>
      <c r="AA388" s="9">
        <f>Y388+Z388</f>
        <v>102438.18</v>
      </c>
      <c r="AD388" s="4">
        <v>304337639</v>
      </c>
      <c r="AE388" s="4">
        <v>21935158</v>
      </c>
      <c r="AG388" s="4" t="s">
        <v>1075</v>
      </c>
      <c r="AH388" s="4" t="s">
        <v>1076</v>
      </c>
      <c r="AI388" s="4" t="s">
        <v>260</v>
      </c>
    </row>
    <row r="389" spans="1:35" ht="18" x14ac:dyDescent="0.3">
      <c r="A389" s="51" t="s">
        <v>1095</v>
      </c>
      <c r="B389" s="51"/>
      <c r="C389" s="56" t="s">
        <v>1088</v>
      </c>
      <c r="D389" s="53"/>
      <c r="E389" s="53"/>
      <c r="F389" s="57" t="s">
        <v>265</v>
      </c>
      <c r="G389" s="58">
        <v>0.41</v>
      </c>
      <c r="H389" s="53"/>
      <c r="I389" s="62">
        <v>146.37</v>
      </c>
      <c r="J389" s="59">
        <v>6.17</v>
      </c>
      <c r="K389" s="60"/>
      <c r="L389" s="60"/>
      <c r="M389" s="59">
        <f>ROUND(ROUND(J389, 2)*I389, 2)</f>
        <v>903.1</v>
      </c>
      <c r="N389" s="60"/>
      <c r="O389" s="60"/>
      <c r="P389" s="59">
        <v>6.17</v>
      </c>
      <c r="Q389" s="60"/>
      <c r="R389" s="60"/>
      <c r="S389" s="59">
        <f>ROUND(ROUND(P389, 2)*I389, 2)</f>
        <v>903.1</v>
      </c>
      <c r="T389" s="60"/>
      <c r="U389" s="61"/>
      <c r="V389" s="9">
        <f>ROUND(ROUND(P389, 2)/1.2, 2)</f>
        <v>5.14</v>
      </c>
      <c r="Y389" s="9">
        <f t="shared" si="89"/>
        <v>752.58</v>
      </c>
      <c r="AD389" s="4" t="s">
        <v>1096</v>
      </c>
      <c r="AE389" s="4" t="s">
        <v>1097</v>
      </c>
      <c r="AF389" s="4" t="s">
        <v>1091</v>
      </c>
    </row>
    <row r="390" spans="1:35" ht="18" x14ac:dyDescent="0.3">
      <c r="A390" s="51" t="s">
        <v>1098</v>
      </c>
      <c r="B390" s="51"/>
      <c r="C390" s="56" t="s">
        <v>1080</v>
      </c>
      <c r="D390" s="53"/>
      <c r="E390" s="53"/>
      <c r="F390" s="57" t="s">
        <v>1081</v>
      </c>
      <c r="G390" s="58">
        <v>1E-3</v>
      </c>
      <c r="H390" s="53"/>
      <c r="I390" s="62">
        <v>0.35699999999999998</v>
      </c>
      <c r="J390" s="59">
        <v>2800</v>
      </c>
      <c r="K390" s="60"/>
      <c r="L390" s="60"/>
      <c r="M390" s="59">
        <f>ROUND(ROUND(J390, 2)*I390, 2)</f>
        <v>999.6</v>
      </c>
      <c r="N390" s="60"/>
      <c r="O390" s="60"/>
      <c r="P390" s="59">
        <v>2800</v>
      </c>
      <c r="Q390" s="60"/>
      <c r="R390" s="60"/>
      <c r="S390" s="59">
        <f>ROUND(ROUND(P390, 2)*I390, 2)</f>
        <v>999.6</v>
      </c>
      <c r="T390" s="60"/>
      <c r="U390" s="61"/>
      <c r="V390" s="9">
        <f>ROUND(ROUND(P390, 2)/1.2, 2)</f>
        <v>2333.33</v>
      </c>
      <c r="Y390" s="9">
        <f t="shared" si="89"/>
        <v>833</v>
      </c>
      <c r="AD390" s="4" t="s">
        <v>1099</v>
      </c>
      <c r="AE390" s="4" t="s">
        <v>1100</v>
      </c>
      <c r="AF390" s="4" t="s">
        <v>1084</v>
      </c>
    </row>
    <row r="391" spans="1:35" ht="16.95" customHeight="1" x14ac:dyDescent="0.3">
      <c r="A391" s="10" t="s">
        <v>1101</v>
      </c>
      <c r="B391" s="10" t="s">
        <v>1102</v>
      </c>
      <c r="C391" s="153" t="s">
        <v>1103</v>
      </c>
      <c r="D391" s="154"/>
      <c r="E391" s="154"/>
      <c r="F391" s="154"/>
      <c r="G391" s="154"/>
      <c r="H391" s="154"/>
      <c r="I391" s="155"/>
      <c r="M391" s="6">
        <f>SUM(M392,M396,M400,M404,M408,M412,M416,M420,M422,M424,M426,M428,M430,M432,M434,M436,M438,M440,M442,M446,M448,M454,M460,M466,M472,M478,M484,M490,M496,M499,M502,M505,M508,M511,M514,M517,M520,M526,M529,M539,M549,M559,M564,M569,M574,M584,M594,M604,M614,M619,M624,M629)</f>
        <v>5506461.4500000002</v>
      </c>
      <c r="N391" s="6">
        <f>SUM(N392,N396,N400,N404,N408,N412,N416,N420,N422,N424,N426,N428,N430,N432,N434,N436,N438,N440,N442,N446,N448,N454,N460,N466,N472,N478,N484,N490,N496,N499,N502,N505,N508,N511,N514,N517,N520,N526,N529,N539,N549,N559,N564,N569,N574,N584,N594,N604,N614,N619,N624,N629)</f>
        <v>8393216</v>
      </c>
      <c r="O391" s="6">
        <f>SUM(O392,O396,O400,O404,O408,O412,O416,O420,O422,O424,O426,O428,O430,O432,O434,O436,O438,O440,O442,O446,O448,O454,O460,O466,O472,O478,O484,O490,O496,O499,O502,O505,O508,O511,O514,O517,O520,O526,O529,O539,O549,O559,O564,O569,O574,O584,O594,O604,O614,O619,O624,O629)</f>
        <v>13899677.449999999</v>
      </c>
      <c r="S391" s="6">
        <f>SUM(S392,S396,S400,S404,S408,S412,S416,S420,S422,S424,S426,S428,S430,S432,S434,S436,S438,S440,S442,S446,S448,S454,S460,S466,S472,S478,S484,S490,S496,S499,S502,S505,S508,S511,S514,S517,S520,S526,S529,S539,S549,S559,S564,S569,S574,S584,S594,S604,S614,S619,S624,S629)</f>
        <v>3090423.67</v>
      </c>
      <c r="T391" s="6">
        <f>SUM(T392,T396,T400,T404,T408,T412,T416,T420,T422,T424,T426,T428,T430,T432,T434,T436,T438,T440,T442,T446,T448,T454,T460,T466,T472,T478,T484,T490,T496,T499,T502,T505,T508,T511,T514,T517,T520,T526,T529,T539,T549,T559,T564,T569,T574,T584,T594,T604,T614,T619,T624,T629)</f>
        <v>12589824</v>
      </c>
      <c r="U391" s="6">
        <f>SUM(U392,U396,U400,U404,U408,U412,U416,U420,U422,U424,U426,U428,U430,U432,U434,U436,U438,U440,U442,U446,U448,U454,U460,U466,U472,U478,U484,U490,U496,U499,U502,U505,U508,U511,U514,U517,U520,U526,U529,U539,U549,U559,U564,U569,U574,U584,U594,U604,U614,U619,U624,U629)</f>
        <v>15680247.67</v>
      </c>
      <c r="Y391" s="9">
        <f>SUM(Y392,Y396,Y400,Y404,Y408,Y412,Y416,Y420,Y422,Y424,Y426,Y428,Y430,Y432,Y434,Y436,Y438,Y440,Y442,Y446,Y448,Y454,Y460,Y466,Y472,Y478,Y484,Y490,Y496,Y499,Y502,Y505,Y508,Y511,Y514,Y517,Y520,Y526,Y529,Y539,Y549,Y559,Y564,Y569,Y574,Y584,Y594,Y604,Y614,Y619,Y624,Y629)</f>
        <v>2575353.08</v>
      </c>
      <c r="Z391" s="9">
        <f>SUM(Z392,Z396,Z400,Z404,Z408,Z412,Z416,Z420,Z422,Z424,Z426,Z428,Z430,Z432,Z434,Z436,Z438,Z440,Z442,Z446,Z448,Z454,Z460,Z466,Z472,Z478,Z484,Z490,Z496,Z499,Z502,Z505,Z508,Z511,Z514,Z517,Z520,Z526,Z529,Z539,Z549,Z559,Z564,Z569,Z574,Z584,Z594,Z604,Z614,Z619,Z624,Z629)</f>
        <v>10491520.01</v>
      </c>
      <c r="AA391" s="9">
        <f>SUM(AA392,AA396,AA400,AA404,AA408,AA412,AA416,AA420,AA422,AA424,AA426,AA428,AA430,AA432,AA434,AA436,AA438,AA440,AA442,AA446,AA448,AA454,AA460,AA466,AA472,AA478,AA484,AA490,AA496,AA499,AA502,AA505,AA508,AA511,AA514,AA517,AA520,AA526,AA529,AA539,AA549,AA559,AA564,AA569,AA574,AA584,AA594,AA604,AA614,AA619,AA624,AA629)</f>
        <v>13066873.09</v>
      </c>
      <c r="AD391" s="4">
        <v>304337562</v>
      </c>
      <c r="AE391" s="4">
        <v>20299756</v>
      </c>
    </row>
    <row r="392" spans="1:35" ht="18" x14ac:dyDescent="0.3">
      <c r="A392" s="17" t="s">
        <v>1104</v>
      </c>
      <c r="B392" s="17" t="s">
        <v>1105</v>
      </c>
      <c r="C392" s="18" t="s">
        <v>1106</v>
      </c>
      <c r="D392" s="19"/>
      <c r="E392" s="19"/>
      <c r="F392" s="19" t="s">
        <v>59</v>
      </c>
      <c r="G392" s="20">
        <v>1</v>
      </c>
      <c r="H392" s="19"/>
      <c r="I392" s="21">
        <v>0</v>
      </c>
      <c r="J392" s="22">
        <f>IFERROR(ROUND(SUM(M394)/I392, 2),0)</f>
        <v>0</v>
      </c>
      <c r="K392" s="22">
        <v>1010</v>
      </c>
      <c r="L392" s="22">
        <f>J392+ROUND(K392, 2)</f>
        <v>1010</v>
      </c>
      <c r="M392" s="22">
        <f>ROUND(J392*I392, 2)</f>
        <v>0</v>
      </c>
      <c r="N392" s="22">
        <f>ROUND(I392*ROUND(K392, 2), 2)</f>
        <v>0</v>
      </c>
      <c r="O392" s="22">
        <f>M392+N392</f>
        <v>0</v>
      </c>
      <c r="P392" s="22">
        <f>IFERROR(ROUND(SUM(S394)/I392, 2),0)</f>
        <v>0</v>
      </c>
      <c r="Q392" s="22">
        <v>1010</v>
      </c>
      <c r="R392" s="22">
        <f>P392+ROUND(Q392, 2)</f>
        <v>1010</v>
      </c>
      <c r="S392" s="22">
        <f>ROUND(P392*I392, 2)</f>
        <v>0</v>
      </c>
      <c r="T392" s="22">
        <f>ROUND(I392*ROUND(Q392, 2), 2)</f>
        <v>0</v>
      </c>
      <c r="U392" s="22">
        <f>S392+T392</f>
        <v>0</v>
      </c>
      <c r="V392" s="9">
        <f>ROUND(P392 / 1.2, 2)</f>
        <v>0</v>
      </c>
      <c r="W392" s="9">
        <f>ROUND(Q392 / 1.2, 2)</f>
        <v>841.67</v>
      </c>
      <c r="X392" s="9">
        <f>ROUND(R392 / 1.2, 2)</f>
        <v>841.67</v>
      </c>
      <c r="Y392" s="9">
        <f>ROUND(S392 / 1.2, 2)</f>
        <v>0</v>
      </c>
      <c r="Z392" s="9">
        <f>ROUND(T392 / 1.2, 2)</f>
        <v>0</v>
      </c>
      <c r="AA392" s="9">
        <f>Y392+Z392</f>
        <v>0</v>
      </c>
      <c r="AD392" s="4">
        <v>304337564</v>
      </c>
      <c r="AE392" s="4">
        <v>20300514</v>
      </c>
      <c r="AG392" s="4" t="s">
        <v>1107</v>
      </c>
      <c r="AH392" s="4" t="s">
        <v>1108</v>
      </c>
      <c r="AI392" s="4" t="s">
        <v>260</v>
      </c>
    </row>
    <row r="393" spans="1:35" ht="18" x14ac:dyDescent="0.3">
      <c r="A393" s="23" t="s">
        <v>1109</v>
      </c>
      <c r="B393" s="23" t="s">
        <v>1105</v>
      </c>
      <c r="C393" s="24" t="s">
        <v>1106</v>
      </c>
      <c r="D393" s="25"/>
      <c r="E393" s="25" t="s">
        <v>1110</v>
      </c>
      <c r="F393" s="25" t="s">
        <v>59</v>
      </c>
      <c r="G393" s="26">
        <v>1</v>
      </c>
      <c r="H393" s="25"/>
      <c r="I393" s="26">
        <v>195.1</v>
      </c>
      <c r="J393" s="27">
        <v>0</v>
      </c>
      <c r="K393" s="27">
        <v>1010</v>
      </c>
      <c r="L393" s="27"/>
      <c r="M393" s="27">
        <v>0</v>
      </c>
      <c r="N393" s="27"/>
      <c r="O393" s="27"/>
      <c r="P393" s="27">
        <v>0</v>
      </c>
      <c r="Q393" s="27">
        <v>1010</v>
      </c>
      <c r="R393" s="27"/>
      <c r="S393" s="27">
        <v>0</v>
      </c>
      <c r="T393" s="27"/>
      <c r="U393" s="27"/>
      <c r="V393" s="9"/>
      <c r="W393" s="9">
        <f>ROUND(Q393 / 1.2, 2)</f>
        <v>841.67</v>
      </c>
      <c r="X393" s="9" t="e">
        <f>ROUND(R393 / 1.2, 2)</f>
        <v>#VALUE!</v>
      </c>
      <c r="Y393" s="9"/>
      <c r="Z393" s="9" t="e">
        <f>ROUND(T393 / 1.2, 2)</f>
        <v>#VALUE!</v>
      </c>
      <c r="AA393" s="9"/>
      <c r="AD393" s="4">
        <v>281879707</v>
      </c>
      <c r="AE393" s="4">
        <v>20300514</v>
      </c>
      <c r="AG393" s="4" t="s">
        <v>1107</v>
      </c>
      <c r="AH393" s="4" t="s">
        <v>1108</v>
      </c>
      <c r="AI393" s="4"/>
    </row>
    <row r="394" spans="1:35" ht="36" x14ac:dyDescent="0.3">
      <c r="A394" s="17" t="s">
        <v>1111</v>
      </c>
      <c r="B394" s="17"/>
      <c r="C394" s="34" t="s">
        <v>1112</v>
      </c>
      <c r="D394" s="19"/>
      <c r="E394" s="19"/>
      <c r="F394" s="35" t="s">
        <v>369</v>
      </c>
      <c r="G394" s="36">
        <v>1.5</v>
      </c>
      <c r="H394" s="19"/>
      <c r="I394" s="37">
        <v>0</v>
      </c>
      <c r="J394" s="38">
        <v>260</v>
      </c>
      <c r="K394" s="39"/>
      <c r="L394" s="39"/>
      <c r="M394" s="38">
        <f>ROUND(ROUND(J394, 2)*I394, 2)</f>
        <v>0</v>
      </c>
      <c r="N394" s="39"/>
      <c r="O394" s="39"/>
      <c r="P394" s="38">
        <v>260</v>
      </c>
      <c r="Q394" s="39"/>
      <c r="R394" s="39"/>
      <c r="S394" s="38">
        <f>ROUND(ROUND(P394, 2)*I394, 2)</f>
        <v>0</v>
      </c>
      <c r="T394" s="39"/>
      <c r="U394" s="40"/>
      <c r="V394" s="9">
        <f>ROUND(ROUND(P394, 2)/1.2, 2)</f>
        <v>216.67</v>
      </c>
      <c r="Y394" s="9">
        <f>ROUND(S394 / 1.2, 2)</f>
        <v>0</v>
      </c>
      <c r="AD394" s="4" t="s">
        <v>1113</v>
      </c>
      <c r="AE394" s="4" t="s">
        <v>1114</v>
      </c>
      <c r="AF394" s="4" t="s">
        <v>1115</v>
      </c>
    </row>
    <row r="395" spans="1:35" ht="36" x14ac:dyDescent="0.3">
      <c r="A395" s="23" t="s">
        <v>1116</v>
      </c>
      <c r="B395" s="23"/>
      <c r="C395" s="41" t="s">
        <v>1112</v>
      </c>
      <c r="D395" s="25"/>
      <c r="E395" s="25"/>
      <c r="F395" s="42" t="s">
        <v>369</v>
      </c>
      <c r="G395" s="43">
        <v>1.5</v>
      </c>
      <c r="H395" s="25"/>
      <c r="I395" s="43">
        <v>292.64999999999998</v>
      </c>
      <c r="J395" s="44">
        <v>260</v>
      </c>
      <c r="K395" s="45"/>
      <c r="L395" s="45"/>
      <c r="M395" s="44">
        <f>ROUND(ROUND(J395, 2)*I395, 2)</f>
        <v>76089</v>
      </c>
      <c r="N395" s="45"/>
      <c r="O395" s="45"/>
      <c r="P395" s="44">
        <v>260</v>
      </c>
      <c r="Q395" s="45"/>
      <c r="R395" s="45"/>
      <c r="S395" s="44">
        <f>ROUND(ROUND(P395, 2)*I395, 2)</f>
        <v>76089</v>
      </c>
      <c r="T395" s="45"/>
      <c r="U395" s="46"/>
      <c r="V395" s="9">
        <f>ROUND(ROUND(P395, 2)/1.2, 2)</f>
        <v>216.67</v>
      </c>
      <c r="Y395" s="9">
        <f>ROUND(S395 / 1.2, 2)</f>
        <v>63407.5</v>
      </c>
      <c r="AD395" s="4" t="s">
        <v>1117</v>
      </c>
      <c r="AE395" s="4" t="s">
        <v>1114</v>
      </c>
      <c r="AF395" s="4" t="s">
        <v>1115</v>
      </c>
    </row>
    <row r="396" spans="1:35" ht="18" x14ac:dyDescent="0.3">
      <c r="A396" s="17" t="s">
        <v>1118</v>
      </c>
      <c r="B396" s="17" t="s">
        <v>1105</v>
      </c>
      <c r="C396" s="18" t="s">
        <v>1106</v>
      </c>
      <c r="D396" s="19"/>
      <c r="E396" s="19"/>
      <c r="F396" s="19" t="s">
        <v>59</v>
      </c>
      <c r="G396" s="20">
        <v>1</v>
      </c>
      <c r="H396" s="19"/>
      <c r="I396" s="21">
        <v>0</v>
      </c>
      <c r="J396" s="22">
        <f>IFERROR(ROUND(SUM(M398)/I396, 2),0)</f>
        <v>0</v>
      </c>
      <c r="K396" s="22">
        <v>1010</v>
      </c>
      <c r="L396" s="22">
        <f>J396+ROUND(K396, 2)</f>
        <v>1010</v>
      </c>
      <c r="M396" s="22">
        <f>ROUND(J396*I396, 2)</f>
        <v>0</v>
      </c>
      <c r="N396" s="22">
        <f>ROUND(I396*ROUND(K396, 2), 2)</f>
        <v>0</v>
      </c>
      <c r="O396" s="22">
        <f>M396+N396</f>
        <v>0</v>
      </c>
      <c r="P396" s="22">
        <f>IFERROR(ROUND(SUM(S398)/I396, 2),0)</f>
        <v>0</v>
      </c>
      <c r="Q396" s="22">
        <v>1010</v>
      </c>
      <c r="R396" s="22">
        <f>P396+ROUND(Q396, 2)</f>
        <v>1010</v>
      </c>
      <c r="S396" s="22">
        <f>ROUND(P396*I396, 2)</f>
        <v>0</v>
      </c>
      <c r="T396" s="22">
        <f>ROUND(I396*ROUND(Q396, 2), 2)</f>
        <v>0</v>
      </c>
      <c r="U396" s="22">
        <f>S396+T396</f>
        <v>0</v>
      </c>
      <c r="V396" s="9">
        <f>ROUND(P396 / 1.2, 2)</f>
        <v>0</v>
      </c>
      <c r="W396" s="9">
        <f>ROUND(Q396 / 1.2, 2)</f>
        <v>841.67</v>
      </c>
      <c r="X396" s="9">
        <f>ROUND(R396 / 1.2, 2)</f>
        <v>841.67</v>
      </c>
      <c r="Y396" s="9">
        <f>ROUND(S396 / 1.2, 2)</f>
        <v>0</v>
      </c>
      <c r="Z396" s="9">
        <f>ROUND(T396 / 1.2, 2)</f>
        <v>0</v>
      </c>
      <c r="AA396" s="9">
        <f>Y396+Z396</f>
        <v>0</v>
      </c>
      <c r="AD396" s="4">
        <v>304337640</v>
      </c>
      <c r="AE396" s="4">
        <v>20300510</v>
      </c>
      <c r="AG396" s="4" t="s">
        <v>1107</v>
      </c>
      <c r="AH396" s="4" t="s">
        <v>1108</v>
      </c>
      <c r="AI396" s="4" t="s">
        <v>260</v>
      </c>
    </row>
    <row r="397" spans="1:35" ht="18" x14ac:dyDescent="0.3">
      <c r="A397" s="23" t="s">
        <v>1119</v>
      </c>
      <c r="B397" s="23" t="s">
        <v>1105</v>
      </c>
      <c r="C397" s="24" t="s">
        <v>1106</v>
      </c>
      <c r="D397" s="25"/>
      <c r="E397" s="25" t="s">
        <v>1120</v>
      </c>
      <c r="F397" s="25" t="s">
        <v>59</v>
      </c>
      <c r="G397" s="26">
        <v>1</v>
      </c>
      <c r="H397" s="25"/>
      <c r="I397" s="26">
        <v>23.1</v>
      </c>
      <c r="J397" s="27">
        <v>0</v>
      </c>
      <c r="K397" s="27">
        <v>1010</v>
      </c>
      <c r="L397" s="27"/>
      <c r="M397" s="27">
        <v>0</v>
      </c>
      <c r="N397" s="27"/>
      <c r="O397" s="27"/>
      <c r="P397" s="27">
        <v>0</v>
      </c>
      <c r="Q397" s="27">
        <v>1010</v>
      </c>
      <c r="R397" s="27"/>
      <c r="S397" s="27">
        <v>0</v>
      </c>
      <c r="T397" s="27"/>
      <c r="U397" s="27"/>
      <c r="V397" s="9"/>
      <c r="W397" s="9">
        <f>ROUND(Q397 / 1.2, 2)</f>
        <v>841.67</v>
      </c>
      <c r="X397" s="9" t="e">
        <f>ROUND(R397 / 1.2, 2)</f>
        <v>#VALUE!</v>
      </c>
      <c r="Y397" s="9"/>
      <c r="Z397" s="9" t="e">
        <f>ROUND(T397 / 1.2, 2)</f>
        <v>#VALUE!</v>
      </c>
      <c r="AA397" s="9"/>
      <c r="AD397" s="4">
        <v>281879753</v>
      </c>
      <c r="AE397" s="4">
        <v>20300510</v>
      </c>
      <c r="AG397" s="4" t="s">
        <v>1107</v>
      </c>
      <c r="AH397" s="4" t="s">
        <v>1108</v>
      </c>
      <c r="AI397" s="4"/>
    </row>
    <row r="398" spans="1:35" ht="36" x14ac:dyDescent="0.3">
      <c r="A398" s="17" t="s">
        <v>1121</v>
      </c>
      <c r="B398" s="17"/>
      <c r="C398" s="34" t="s">
        <v>1112</v>
      </c>
      <c r="D398" s="19"/>
      <c r="E398" s="19"/>
      <c r="F398" s="35" t="s">
        <v>369</v>
      </c>
      <c r="G398" s="36">
        <v>1.5</v>
      </c>
      <c r="H398" s="19"/>
      <c r="I398" s="37">
        <v>0</v>
      </c>
      <c r="J398" s="38">
        <v>260</v>
      </c>
      <c r="K398" s="39"/>
      <c r="L398" s="39"/>
      <c r="M398" s="38">
        <f>ROUND(ROUND(J398, 2)*I398, 2)</f>
        <v>0</v>
      </c>
      <c r="N398" s="39"/>
      <c r="O398" s="39"/>
      <c r="P398" s="38">
        <v>260</v>
      </c>
      <c r="Q398" s="39"/>
      <c r="R398" s="39"/>
      <c r="S398" s="38">
        <f>ROUND(ROUND(P398, 2)*I398, 2)</f>
        <v>0</v>
      </c>
      <c r="T398" s="39"/>
      <c r="U398" s="40"/>
      <c r="V398" s="9">
        <f>ROUND(ROUND(P398, 2)/1.2, 2)</f>
        <v>216.67</v>
      </c>
      <c r="Y398" s="9">
        <f>ROUND(S398 / 1.2, 2)</f>
        <v>0</v>
      </c>
      <c r="AD398" s="4" t="s">
        <v>1122</v>
      </c>
      <c r="AE398" s="4" t="s">
        <v>1123</v>
      </c>
      <c r="AF398" s="4" t="s">
        <v>1115</v>
      </c>
    </row>
    <row r="399" spans="1:35" ht="36" x14ac:dyDescent="0.3">
      <c r="A399" s="23" t="s">
        <v>1124</v>
      </c>
      <c r="B399" s="23"/>
      <c r="C399" s="41" t="s">
        <v>1112</v>
      </c>
      <c r="D399" s="25"/>
      <c r="E399" s="25"/>
      <c r="F399" s="42" t="s">
        <v>369</v>
      </c>
      <c r="G399" s="43">
        <v>1.5</v>
      </c>
      <c r="H399" s="25"/>
      <c r="I399" s="43">
        <v>34.65</v>
      </c>
      <c r="J399" s="44">
        <v>260</v>
      </c>
      <c r="K399" s="45"/>
      <c r="L399" s="45"/>
      <c r="M399" s="44">
        <f>ROUND(ROUND(J399, 2)*I399, 2)</f>
        <v>9009</v>
      </c>
      <c r="N399" s="45"/>
      <c r="O399" s="45"/>
      <c r="P399" s="44">
        <v>260</v>
      </c>
      <c r="Q399" s="45"/>
      <c r="R399" s="45"/>
      <c r="S399" s="44">
        <f>ROUND(ROUND(P399, 2)*I399, 2)</f>
        <v>9009</v>
      </c>
      <c r="T399" s="45"/>
      <c r="U399" s="46"/>
      <c r="V399" s="9">
        <f>ROUND(ROUND(P399, 2)/1.2, 2)</f>
        <v>216.67</v>
      </c>
      <c r="Y399" s="9">
        <f>ROUND(S399 / 1.2, 2)</f>
        <v>7507.5</v>
      </c>
      <c r="AD399" s="4" t="s">
        <v>1125</v>
      </c>
      <c r="AE399" s="4" t="s">
        <v>1123</v>
      </c>
      <c r="AF399" s="4" t="s">
        <v>1115</v>
      </c>
    </row>
    <row r="400" spans="1:35" ht="18" x14ac:dyDescent="0.3">
      <c r="A400" s="17" t="s">
        <v>1126</v>
      </c>
      <c r="B400" s="17" t="s">
        <v>1105</v>
      </c>
      <c r="C400" s="18" t="s">
        <v>1106</v>
      </c>
      <c r="D400" s="19"/>
      <c r="E400" s="19"/>
      <c r="F400" s="19" t="s">
        <v>59</v>
      </c>
      <c r="G400" s="20">
        <v>1</v>
      </c>
      <c r="H400" s="19"/>
      <c r="I400" s="21">
        <v>0</v>
      </c>
      <c r="J400" s="22">
        <f>IFERROR(ROUND(SUM(M402)/I400, 2),0)</f>
        <v>0</v>
      </c>
      <c r="K400" s="22">
        <v>1010</v>
      </c>
      <c r="L400" s="22">
        <f>J400+ROUND(K400, 2)</f>
        <v>1010</v>
      </c>
      <c r="M400" s="22">
        <f>ROUND(J400*I400, 2)</f>
        <v>0</v>
      </c>
      <c r="N400" s="22">
        <f>ROUND(I400*ROUND(K400, 2), 2)</f>
        <v>0</v>
      </c>
      <c r="O400" s="22">
        <f>M400+N400</f>
        <v>0</v>
      </c>
      <c r="P400" s="22">
        <f>IFERROR(ROUND(SUM(S402)/I400, 2),0)</f>
        <v>0</v>
      </c>
      <c r="Q400" s="22">
        <v>1010</v>
      </c>
      <c r="R400" s="22">
        <f>P400+ROUND(Q400, 2)</f>
        <v>1010</v>
      </c>
      <c r="S400" s="22">
        <f>ROUND(P400*I400, 2)</f>
        <v>0</v>
      </c>
      <c r="T400" s="22">
        <f>ROUND(I400*ROUND(Q400, 2), 2)</f>
        <v>0</v>
      </c>
      <c r="U400" s="22">
        <f>S400+T400</f>
        <v>0</v>
      </c>
      <c r="V400" s="9">
        <f>ROUND(P400 / 1.2, 2)</f>
        <v>0</v>
      </c>
      <c r="W400" s="9">
        <f>ROUND(Q400 / 1.2, 2)</f>
        <v>841.67</v>
      </c>
      <c r="X400" s="9">
        <f>ROUND(R400 / 1.2, 2)</f>
        <v>841.67</v>
      </c>
      <c r="Y400" s="9">
        <f>ROUND(S400 / 1.2, 2)</f>
        <v>0</v>
      </c>
      <c r="Z400" s="9">
        <f>ROUND(T400 / 1.2, 2)</f>
        <v>0</v>
      </c>
      <c r="AA400" s="9">
        <f>Y400+Z400</f>
        <v>0</v>
      </c>
      <c r="AD400" s="4">
        <v>304337641</v>
      </c>
      <c r="AE400" s="4">
        <v>20300512</v>
      </c>
      <c r="AG400" s="4" t="s">
        <v>1107</v>
      </c>
      <c r="AH400" s="4" t="s">
        <v>1108</v>
      </c>
      <c r="AI400" s="4" t="s">
        <v>260</v>
      </c>
    </row>
    <row r="401" spans="1:35" ht="18" x14ac:dyDescent="0.3">
      <c r="A401" s="23" t="s">
        <v>1127</v>
      </c>
      <c r="B401" s="23" t="s">
        <v>1105</v>
      </c>
      <c r="C401" s="24" t="s">
        <v>1106</v>
      </c>
      <c r="D401" s="25"/>
      <c r="E401" s="25" t="s">
        <v>1128</v>
      </c>
      <c r="F401" s="25" t="s">
        <v>59</v>
      </c>
      <c r="G401" s="26">
        <v>1</v>
      </c>
      <c r="H401" s="25"/>
      <c r="I401" s="26">
        <v>75</v>
      </c>
      <c r="J401" s="27">
        <v>0</v>
      </c>
      <c r="K401" s="27">
        <v>1010</v>
      </c>
      <c r="L401" s="27"/>
      <c r="M401" s="27">
        <v>0</v>
      </c>
      <c r="N401" s="27"/>
      <c r="O401" s="27"/>
      <c r="P401" s="27">
        <v>0</v>
      </c>
      <c r="Q401" s="27">
        <v>1010</v>
      </c>
      <c r="R401" s="27"/>
      <c r="S401" s="27">
        <v>0</v>
      </c>
      <c r="T401" s="27"/>
      <c r="U401" s="27"/>
      <c r="V401" s="9"/>
      <c r="W401" s="9">
        <f>ROUND(Q401 / 1.2, 2)</f>
        <v>841.67</v>
      </c>
      <c r="X401" s="9" t="e">
        <f>ROUND(R401 / 1.2, 2)</f>
        <v>#VALUE!</v>
      </c>
      <c r="Y401" s="9"/>
      <c r="Z401" s="9" t="e">
        <f>ROUND(T401 / 1.2, 2)</f>
        <v>#VALUE!</v>
      </c>
      <c r="AA401" s="9"/>
      <c r="AD401" s="4">
        <v>278331803</v>
      </c>
      <c r="AE401" s="4">
        <v>20300512</v>
      </c>
      <c r="AG401" s="4" t="s">
        <v>1107</v>
      </c>
      <c r="AH401" s="4" t="s">
        <v>1108</v>
      </c>
      <c r="AI401" s="4"/>
    </row>
    <row r="402" spans="1:35" ht="36" x14ac:dyDescent="0.3">
      <c r="A402" s="17" t="s">
        <v>1129</v>
      </c>
      <c r="B402" s="17"/>
      <c r="C402" s="34" t="s">
        <v>1112</v>
      </c>
      <c r="D402" s="19"/>
      <c r="E402" s="19"/>
      <c r="F402" s="35" t="s">
        <v>369</v>
      </c>
      <c r="G402" s="36">
        <v>1.5</v>
      </c>
      <c r="H402" s="19"/>
      <c r="I402" s="37">
        <v>0</v>
      </c>
      <c r="J402" s="38">
        <v>260</v>
      </c>
      <c r="K402" s="39"/>
      <c r="L402" s="39"/>
      <c r="M402" s="38">
        <f>ROUND(ROUND(J402, 2)*I402, 2)</f>
        <v>0</v>
      </c>
      <c r="N402" s="39"/>
      <c r="O402" s="39"/>
      <c r="P402" s="38">
        <v>260</v>
      </c>
      <c r="Q402" s="39"/>
      <c r="R402" s="39"/>
      <c r="S402" s="38">
        <f>ROUND(ROUND(P402, 2)*I402, 2)</f>
        <v>0</v>
      </c>
      <c r="T402" s="39"/>
      <c r="U402" s="40"/>
      <c r="V402" s="9">
        <f>ROUND(ROUND(P402, 2)/1.2, 2)</f>
        <v>216.67</v>
      </c>
      <c r="Y402" s="9">
        <f>ROUND(S402 / 1.2, 2)</f>
        <v>0</v>
      </c>
      <c r="AD402" s="4" t="s">
        <v>1130</v>
      </c>
      <c r="AE402" s="4" t="s">
        <v>1131</v>
      </c>
      <c r="AF402" s="4" t="s">
        <v>1115</v>
      </c>
    </row>
    <row r="403" spans="1:35" ht="36" x14ac:dyDescent="0.3">
      <c r="A403" s="23" t="s">
        <v>1132</v>
      </c>
      <c r="B403" s="23"/>
      <c r="C403" s="41" t="s">
        <v>1112</v>
      </c>
      <c r="D403" s="25"/>
      <c r="E403" s="25"/>
      <c r="F403" s="42" t="s">
        <v>369</v>
      </c>
      <c r="G403" s="43">
        <v>1.5</v>
      </c>
      <c r="H403" s="25"/>
      <c r="I403" s="43">
        <v>112.5</v>
      </c>
      <c r="J403" s="44">
        <v>260</v>
      </c>
      <c r="K403" s="45"/>
      <c r="L403" s="45"/>
      <c r="M403" s="44">
        <f>ROUND(ROUND(J403, 2)*I403, 2)</f>
        <v>29250</v>
      </c>
      <c r="N403" s="45"/>
      <c r="O403" s="45"/>
      <c r="P403" s="44">
        <v>260</v>
      </c>
      <c r="Q403" s="45"/>
      <c r="R403" s="45"/>
      <c r="S403" s="44">
        <f>ROUND(ROUND(P403, 2)*I403, 2)</f>
        <v>29250</v>
      </c>
      <c r="T403" s="45"/>
      <c r="U403" s="46"/>
      <c r="V403" s="9">
        <f>ROUND(ROUND(P403, 2)/1.2, 2)</f>
        <v>216.67</v>
      </c>
      <c r="Y403" s="9">
        <f>ROUND(S403 / 1.2, 2)</f>
        <v>24375</v>
      </c>
      <c r="AD403" s="4" t="s">
        <v>1133</v>
      </c>
      <c r="AE403" s="4" t="s">
        <v>1131</v>
      </c>
      <c r="AF403" s="4" t="s">
        <v>1115</v>
      </c>
    </row>
    <row r="404" spans="1:35" ht="18" x14ac:dyDescent="0.3">
      <c r="A404" s="17" t="s">
        <v>1134</v>
      </c>
      <c r="B404" s="17" t="s">
        <v>1105</v>
      </c>
      <c r="C404" s="18" t="s">
        <v>1106</v>
      </c>
      <c r="D404" s="19"/>
      <c r="E404" s="19"/>
      <c r="F404" s="19" t="s">
        <v>59</v>
      </c>
      <c r="G404" s="20">
        <v>1</v>
      </c>
      <c r="H404" s="19"/>
      <c r="I404" s="21">
        <v>0</v>
      </c>
      <c r="J404" s="22">
        <f>IFERROR(ROUND(SUM(M406)/I404, 2),0)</f>
        <v>0</v>
      </c>
      <c r="K404" s="22">
        <v>1010</v>
      </c>
      <c r="L404" s="22">
        <f>J404+ROUND(K404, 2)</f>
        <v>1010</v>
      </c>
      <c r="M404" s="22">
        <f>ROUND(J404*I404, 2)</f>
        <v>0</v>
      </c>
      <c r="N404" s="22">
        <f>ROUND(I404*ROUND(K404, 2), 2)</f>
        <v>0</v>
      </c>
      <c r="O404" s="22">
        <f>M404+N404</f>
        <v>0</v>
      </c>
      <c r="P404" s="22">
        <f>IFERROR(ROUND(SUM(S406)/I404, 2),0)</f>
        <v>0</v>
      </c>
      <c r="Q404" s="22">
        <v>1010</v>
      </c>
      <c r="R404" s="22">
        <f>P404+ROUND(Q404, 2)</f>
        <v>1010</v>
      </c>
      <c r="S404" s="22">
        <f>ROUND(P404*I404, 2)</f>
        <v>0</v>
      </c>
      <c r="T404" s="22">
        <f>ROUND(I404*ROUND(Q404, 2), 2)</f>
        <v>0</v>
      </c>
      <c r="U404" s="22">
        <f>S404+T404</f>
        <v>0</v>
      </c>
      <c r="V404" s="9">
        <f>ROUND(P404 / 1.2, 2)</f>
        <v>0</v>
      </c>
      <c r="W404" s="9">
        <f>ROUND(Q404 / 1.2, 2)</f>
        <v>841.67</v>
      </c>
      <c r="X404" s="9">
        <f>ROUND(R404 / 1.2, 2)</f>
        <v>841.67</v>
      </c>
      <c r="Y404" s="9">
        <f>ROUND(S404 / 1.2, 2)</f>
        <v>0</v>
      </c>
      <c r="Z404" s="9">
        <f>ROUND(T404 / 1.2, 2)</f>
        <v>0</v>
      </c>
      <c r="AA404" s="9">
        <f>Y404+Z404</f>
        <v>0</v>
      </c>
      <c r="AD404" s="4">
        <v>304337642</v>
      </c>
      <c r="AE404" s="4">
        <v>20866627</v>
      </c>
      <c r="AG404" s="4" t="s">
        <v>1107</v>
      </c>
      <c r="AH404" s="4" t="s">
        <v>1108</v>
      </c>
      <c r="AI404" s="4" t="s">
        <v>260</v>
      </c>
    </row>
    <row r="405" spans="1:35" ht="18" x14ac:dyDescent="0.3">
      <c r="A405" s="23" t="s">
        <v>1135</v>
      </c>
      <c r="B405" s="23" t="s">
        <v>1105</v>
      </c>
      <c r="C405" s="24" t="s">
        <v>1106</v>
      </c>
      <c r="D405" s="25"/>
      <c r="E405" s="25" t="s">
        <v>1136</v>
      </c>
      <c r="F405" s="25" t="s">
        <v>59</v>
      </c>
      <c r="G405" s="26">
        <v>1</v>
      </c>
      <c r="H405" s="25"/>
      <c r="I405" s="26">
        <v>41.8</v>
      </c>
      <c r="J405" s="27">
        <v>0</v>
      </c>
      <c r="K405" s="27">
        <v>1010</v>
      </c>
      <c r="L405" s="27"/>
      <c r="M405" s="27">
        <v>0</v>
      </c>
      <c r="N405" s="27"/>
      <c r="O405" s="27"/>
      <c r="P405" s="27">
        <v>0</v>
      </c>
      <c r="Q405" s="27">
        <v>1010</v>
      </c>
      <c r="R405" s="27"/>
      <c r="S405" s="27">
        <v>0</v>
      </c>
      <c r="T405" s="27"/>
      <c r="U405" s="27"/>
      <c r="V405" s="9"/>
      <c r="W405" s="9">
        <f>ROUND(Q405 / 1.2, 2)</f>
        <v>841.67</v>
      </c>
      <c r="X405" s="9" t="e">
        <f>ROUND(R405 / 1.2, 2)</f>
        <v>#VALUE!</v>
      </c>
      <c r="Y405" s="9"/>
      <c r="Z405" s="9" t="e">
        <f>ROUND(T405 / 1.2, 2)</f>
        <v>#VALUE!</v>
      </c>
      <c r="AA405" s="9"/>
      <c r="AD405" s="4">
        <v>275822513</v>
      </c>
      <c r="AE405" s="4">
        <v>20866627</v>
      </c>
      <c r="AG405" s="4" t="s">
        <v>1107</v>
      </c>
      <c r="AH405" s="4" t="s">
        <v>1108</v>
      </c>
      <c r="AI405" s="4"/>
    </row>
    <row r="406" spans="1:35" ht="36" x14ac:dyDescent="0.3">
      <c r="A406" s="17" t="s">
        <v>1137</v>
      </c>
      <c r="B406" s="17"/>
      <c r="C406" s="34" t="s">
        <v>1112</v>
      </c>
      <c r="D406" s="19"/>
      <c r="E406" s="19"/>
      <c r="F406" s="35" t="s">
        <v>369</v>
      </c>
      <c r="G406" s="36">
        <v>1.5</v>
      </c>
      <c r="H406" s="19"/>
      <c r="I406" s="37">
        <v>0</v>
      </c>
      <c r="J406" s="38">
        <v>260</v>
      </c>
      <c r="K406" s="39"/>
      <c r="L406" s="39"/>
      <c r="M406" s="38">
        <f>ROUND(ROUND(J406, 2)*I406, 2)</f>
        <v>0</v>
      </c>
      <c r="N406" s="39"/>
      <c r="O406" s="39"/>
      <c r="P406" s="38">
        <v>260</v>
      </c>
      <c r="Q406" s="39"/>
      <c r="R406" s="39"/>
      <c r="S406" s="38">
        <f>ROUND(ROUND(P406, 2)*I406, 2)</f>
        <v>0</v>
      </c>
      <c r="T406" s="39"/>
      <c r="U406" s="40"/>
      <c r="V406" s="9">
        <f>ROUND(ROUND(P406, 2)/1.2, 2)</f>
        <v>216.67</v>
      </c>
      <c r="Y406" s="9">
        <f>ROUND(S406 / 1.2, 2)</f>
        <v>0</v>
      </c>
      <c r="AD406" s="4" t="s">
        <v>1138</v>
      </c>
      <c r="AE406" s="4" t="s">
        <v>1139</v>
      </c>
      <c r="AF406" s="4" t="s">
        <v>1115</v>
      </c>
    </row>
    <row r="407" spans="1:35" ht="36" x14ac:dyDescent="0.3">
      <c r="A407" s="23" t="s">
        <v>1140</v>
      </c>
      <c r="B407" s="23"/>
      <c r="C407" s="41" t="s">
        <v>1112</v>
      </c>
      <c r="D407" s="25"/>
      <c r="E407" s="25"/>
      <c r="F407" s="42" t="s">
        <v>369</v>
      </c>
      <c r="G407" s="43">
        <v>1.5</v>
      </c>
      <c r="H407" s="25"/>
      <c r="I407" s="43">
        <v>62.7</v>
      </c>
      <c r="J407" s="44">
        <v>260</v>
      </c>
      <c r="K407" s="45"/>
      <c r="L407" s="45"/>
      <c r="M407" s="44">
        <f>ROUND(ROUND(J407, 2)*I407, 2)</f>
        <v>16302</v>
      </c>
      <c r="N407" s="45"/>
      <c r="O407" s="45"/>
      <c r="P407" s="44">
        <v>260</v>
      </c>
      <c r="Q407" s="45"/>
      <c r="R407" s="45"/>
      <c r="S407" s="44">
        <f>ROUND(ROUND(P407, 2)*I407, 2)</f>
        <v>16302</v>
      </c>
      <c r="T407" s="45"/>
      <c r="U407" s="46"/>
      <c r="V407" s="9">
        <f>ROUND(ROUND(P407, 2)/1.2, 2)</f>
        <v>216.67</v>
      </c>
      <c r="Y407" s="9">
        <f>ROUND(S407 / 1.2, 2)</f>
        <v>13585</v>
      </c>
      <c r="AD407" s="4" t="s">
        <v>1141</v>
      </c>
      <c r="AE407" s="4" t="s">
        <v>1139</v>
      </c>
      <c r="AF407" s="4" t="s">
        <v>1115</v>
      </c>
    </row>
    <row r="408" spans="1:35" ht="18" x14ac:dyDescent="0.3">
      <c r="A408" s="17" t="s">
        <v>1142</v>
      </c>
      <c r="B408" s="17" t="s">
        <v>1105</v>
      </c>
      <c r="C408" s="18" t="s">
        <v>1106</v>
      </c>
      <c r="D408" s="19"/>
      <c r="E408" s="19"/>
      <c r="F408" s="19" t="s">
        <v>59</v>
      </c>
      <c r="G408" s="20">
        <v>1</v>
      </c>
      <c r="H408" s="19"/>
      <c r="I408" s="21">
        <v>0</v>
      </c>
      <c r="J408" s="22">
        <f>IFERROR(ROUND(SUM(M410)/I408, 2),0)</f>
        <v>0</v>
      </c>
      <c r="K408" s="22">
        <v>1010</v>
      </c>
      <c r="L408" s="22">
        <f>J408+ROUND(K408, 2)</f>
        <v>1010</v>
      </c>
      <c r="M408" s="22">
        <f>ROUND(J408*I408, 2)</f>
        <v>0</v>
      </c>
      <c r="N408" s="22">
        <f>ROUND(I408*ROUND(K408, 2), 2)</f>
        <v>0</v>
      </c>
      <c r="O408" s="22">
        <f>M408+N408</f>
        <v>0</v>
      </c>
      <c r="P408" s="22">
        <f>IFERROR(ROUND(SUM(S410)/I408, 2),0)</f>
        <v>0</v>
      </c>
      <c r="Q408" s="22">
        <v>1010</v>
      </c>
      <c r="R408" s="22">
        <f>P408+ROUND(Q408, 2)</f>
        <v>1010</v>
      </c>
      <c r="S408" s="22">
        <f>ROUND(P408*I408, 2)</f>
        <v>0</v>
      </c>
      <c r="T408" s="22">
        <f>ROUND(I408*ROUND(Q408, 2), 2)</f>
        <v>0</v>
      </c>
      <c r="U408" s="22">
        <f>S408+T408</f>
        <v>0</v>
      </c>
      <c r="V408" s="9">
        <f>ROUND(P408 / 1.2, 2)</f>
        <v>0</v>
      </c>
      <c r="W408" s="9">
        <f>ROUND(Q408 / 1.2, 2)</f>
        <v>841.67</v>
      </c>
      <c r="X408" s="9">
        <f>ROUND(R408 / 1.2, 2)</f>
        <v>841.67</v>
      </c>
      <c r="Y408" s="9">
        <f>ROUND(S408 / 1.2, 2)</f>
        <v>0</v>
      </c>
      <c r="Z408" s="9">
        <f>ROUND(T408 / 1.2, 2)</f>
        <v>0</v>
      </c>
      <c r="AA408" s="9">
        <f>Y408+Z408</f>
        <v>0</v>
      </c>
      <c r="AD408" s="4">
        <v>304337643</v>
      </c>
      <c r="AE408" s="4">
        <v>20866620</v>
      </c>
      <c r="AG408" s="4" t="s">
        <v>1107</v>
      </c>
      <c r="AH408" s="4" t="s">
        <v>1108</v>
      </c>
      <c r="AI408" s="4" t="s">
        <v>260</v>
      </c>
    </row>
    <row r="409" spans="1:35" ht="18" x14ac:dyDescent="0.3">
      <c r="A409" s="23" t="s">
        <v>1143</v>
      </c>
      <c r="B409" s="23" t="s">
        <v>1105</v>
      </c>
      <c r="C409" s="24" t="s">
        <v>1106</v>
      </c>
      <c r="D409" s="25"/>
      <c r="E409" s="25" t="s">
        <v>1144</v>
      </c>
      <c r="F409" s="25" t="s">
        <v>59</v>
      </c>
      <c r="G409" s="26">
        <v>1</v>
      </c>
      <c r="H409" s="25"/>
      <c r="I409" s="26">
        <v>25.2</v>
      </c>
      <c r="J409" s="27">
        <v>0</v>
      </c>
      <c r="K409" s="27">
        <v>1010</v>
      </c>
      <c r="L409" s="27"/>
      <c r="M409" s="27">
        <v>0</v>
      </c>
      <c r="N409" s="27"/>
      <c r="O409" s="27"/>
      <c r="P409" s="27">
        <v>0</v>
      </c>
      <c r="Q409" s="27">
        <v>1010</v>
      </c>
      <c r="R409" s="27"/>
      <c r="S409" s="27">
        <v>0</v>
      </c>
      <c r="T409" s="27"/>
      <c r="U409" s="27"/>
      <c r="V409" s="9"/>
      <c r="W409" s="9">
        <f>ROUND(Q409 / 1.2, 2)</f>
        <v>841.67</v>
      </c>
      <c r="X409" s="9" t="e">
        <f>ROUND(R409 / 1.2, 2)</f>
        <v>#VALUE!</v>
      </c>
      <c r="Y409" s="9"/>
      <c r="Z409" s="9" t="e">
        <f>ROUND(T409 / 1.2, 2)</f>
        <v>#VALUE!</v>
      </c>
      <c r="AA409" s="9"/>
      <c r="AD409" s="4">
        <v>275822514</v>
      </c>
      <c r="AE409" s="4">
        <v>20866620</v>
      </c>
      <c r="AG409" s="4" t="s">
        <v>1107</v>
      </c>
      <c r="AH409" s="4" t="s">
        <v>1108</v>
      </c>
      <c r="AI409" s="4"/>
    </row>
    <row r="410" spans="1:35" ht="36" x14ac:dyDescent="0.3">
      <c r="A410" s="17" t="s">
        <v>1145</v>
      </c>
      <c r="B410" s="17"/>
      <c r="C410" s="34" t="s">
        <v>1112</v>
      </c>
      <c r="D410" s="19"/>
      <c r="E410" s="19"/>
      <c r="F410" s="35" t="s">
        <v>369</v>
      </c>
      <c r="G410" s="36">
        <v>1.5</v>
      </c>
      <c r="H410" s="19"/>
      <c r="I410" s="37">
        <v>0</v>
      </c>
      <c r="J410" s="38">
        <v>260</v>
      </c>
      <c r="K410" s="39"/>
      <c r="L410" s="39"/>
      <c r="M410" s="38">
        <f>ROUND(ROUND(J410, 2)*I410, 2)</f>
        <v>0</v>
      </c>
      <c r="N410" s="39"/>
      <c r="O410" s="39"/>
      <c r="P410" s="38">
        <v>260</v>
      </c>
      <c r="Q410" s="39"/>
      <c r="R410" s="39"/>
      <c r="S410" s="38">
        <f>ROUND(ROUND(P410, 2)*I410, 2)</f>
        <v>0</v>
      </c>
      <c r="T410" s="39"/>
      <c r="U410" s="40"/>
      <c r="V410" s="9">
        <f>ROUND(ROUND(P410, 2)/1.2, 2)</f>
        <v>216.67</v>
      </c>
      <c r="Y410" s="9">
        <f>ROUND(S410 / 1.2, 2)</f>
        <v>0</v>
      </c>
      <c r="AD410" s="4" t="s">
        <v>1146</v>
      </c>
      <c r="AE410" s="4" t="s">
        <v>1147</v>
      </c>
      <c r="AF410" s="4" t="s">
        <v>1115</v>
      </c>
    </row>
    <row r="411" spans="1:35" ht="36" x14ac:dyDescent="0.3">
      <c r="A411" s="23" t="s">
        <v>1148</v>
      </c>
      <c r="B411" s="23"/>
      <c r="C411" s="41" t="s">
        <v>1112</v>
      </c>
      <c r="D411" s="25"/>
      <c r="E411" s="25"/>
      <c r="F411" s="42" t="s">
        <v>369</v>
      </c>
      <c r="G411" s="43">
        <v>1.5</v>
      </c>
      <c r="H411" s="25"/>
      <c r="I411" s="43">
        <v>37.799999999999997</v>
      </c>
      <c r="J411" s="44">
        <v>260</v>
      </c>
      <c r="K411" s="45"/>
      <c r="L411" s="45"/>
      <c r="M411" s="44">
        <f>ROUND(ROUND(J411, 2)*I411, 2)</f>
        <v>9828</v>
      </c>
      <c r="N411" s="45"/>
      <c r="O411" s="45"/>
      <c r="P411" s="44">
        <v>260</v>
      </c>
      <c r="Q411" s="45"/>
      <c r="R411" s="45"/>
      <c r="S411" s="44">
        <f>ROUND(ROUND(P411, 2)*I411, 2)</f>
        <v>9828</v>
      </c>
      <c r="T411" s="45"/>
      <c r="U411" s="46"/>
      <c r="V411" s="9">
        <f>ROUND(ROUND(P411, 2)/1.2, 2)</f>
        <v>216.67</v>
      </c>
      <c r="Y411" s="9">
        <f>ROUND(S411 / 1.2, 2)</f>
        <v>8190</v>
      </c>
      <c r="AD411" s="4" t="s">
        <v>1149</v>
      </c>
      <c r="AE411" s="4" t="s">
        <v>1147</v>
      </c>
      <c r="AF411" s="4" t="s">
        <v>1115</v>
      </c>
    </row>
    <row r="412" spans="1:35" ht="18" x14ac:dyDescent="0.3">
      <c r="A412" s="17" t="s">
        <v>1150</v>
      </c>
      <c r="B412" s="17" t="s">
        <v>1105</v>
      </c>
      <c r="C412" s="18" t="s">
        <v>1106</v>
      </c>
      <c r="D412" s="19"/>
      <c r="E412" s="19"/>
      <c r="F412" s="19" t="s">
        <v>59</v>
      </c>
      <c r="G412" s="20">
        <v>1</v>
      </c>
      <c r="H412" s="19"/>
      <c r="I412" s="21">
        <v>0</v>
      </c>
      <c r="J412" s="22">
        <f>IFERROR(ROUND(SUM(M414)/I412, 2),0)</f>
        <v>0</v>
      </c>
      <c r="K412" s="22">
        <v>1010</v>
      </c>
      <c r="L412" s="22">
        <f>J412+ROUND(K412, 2)</f>
        <v>1010</v>
      </c>
      <c r="M412" s="22">
        <f>ROUND(J412*I412, 2)</f>
        <v>0</v>
      </c>
      <c r="N412" s="22">
        <f>ROUND(I412*ROUND(K412, 2), 2)</f>
        <v>0</v>
      </c>
      <c r="O412" s="22">
        <f>M412+N412</f>
        <v>0</v>
      </c>
      <c r="P412" s="22">
        <f>IFERROR(ROUND(SUM(S414)/I412, 2),0)</f>
        <v>0</v>
      </c>
      <c r="Q412" s="22">
        <v>1010</v>
      </c>
      <c r="R412" s="22">
        <f>P412+ROUND(Q412, 2)</f>
        <v>1010</v>
      </c>
      <c r="S412" s="22">
        <f>ROUND(P412*I412, 2)</f>
        <v>0</v>
      </c>
      <c r="T412" s="22">
        <f>ROUND(I412*ROUND(Q412, 2), 2)</f>
        <v>0</v>
      </c>
      <c r="U412" s="22">
        <f>S412+T412</f>
        <v>0</v>
      </c>
      <c r="V412" s="9">
        <f>ROUND(P412 / 1.2, 2)</f>
        <v>0</v>
      </c>
      <c r="W412" s="9">
        <f>ROUND(Q412 / 1.2, 2)</f>
        <v>841.67</v>
      </c>
      <c r="X412" s="9">
        <f>ROUND(R412 / 1.2, 2)</f>
        <v>841.67</v>
      </c>
      <c r="Y412" s="9">
        <f>ROUND(S412 / 1.2, 2)</f>
        <v>0</v>
      </c>
      <c r="Z412" s="9">
        <f>ROUND(T412 / 1.2, 2)</f>
        <v>0</v>
      </c>
      <c r="AA412" s="9">
        <f>Y412+Z412</f>
        <v>0</v>
      </c>
      <c r="AD412" s="4">
        <v>304337644</v>
      </c>
      <c r="AE412" s="4">
        <v>21180286</v>
      </c>
      <c r="AG412" s="4" t="s">
        <v>1107</v>
      </c>
      <c r="AH412" s="4" t="s">
        <v>1108</v>
      </c>
      <c r="AI412" s="4" t="s">
        <v>260</v>
      </c>
    </row>
    <row r="413" spans="1:35" ht="108" x14ac:dyDescent="0.3">
      <c r="A413" s="23" t="s">
        <v>1151</v>
      </c>
      <c r="B413" s="23" t="s">
        <v>1105</v>
      </c>
      <c r="C413" s="24" t="s">
        <v>1106</v>
      </c>
      <c r="D413" s="25"/>
      <c r="E413" s="25" t="s">
        <v>1152</v>
      </c>
      <c r="F413" s="25" t="s">
        <v>59</v>
      </c>
      <c r="G413" s="26">
        <v>1</v>
      </c>
      <c r="H413" s="25"/>
      <c r="I413" s="26">
        <v>9.3000000000000007</v>
      </c>
      <c r="J413" s="27">
        <v>0</v>
      </c>
      <c r="K413" s="27">
        <v>1010</v>
      </c>
      <c r="L413" s="27"/>
      <c r="M413" s="27">
        <v>0</v>
      </c>
      <c r="N413" s="27"/>
      <c r="O413" s="27"/>
      <c r="P413" s="27">
        <v>0</v>
      </c>
      <c r="Q413" s="27">
        <v>1010</v>
      </c>
      <c r="R413" s="27"/>
      <c r="S413" s="27">
        <v>0</v>
      </c>
      <c r="T413" s="27"/>
      <c r="U413" s="27"/>
      <c r="V413" s="9"/>
      <c r="W413" s="9">
        <f>ROUND(Q413 / 1.2, 2)</f>
        <v>841.67</v>
      </c>
      <c r="X413" s="9" t="e">
        <f>ROUND(R413 / 1.2, 2)</f>
        <v>#VALUE!</v>
      </c>
      <c r="Y413" s="9"/>
      <c r="Z413" s="9" t="e">
        <f>ROUND(T413 / 1.2, 2)</f>
        <v>#VALUE!</v>
      </c>
      <c r="AA413" s="9"/>
      <c r="AD413" s="4">
        <v>279187233</v>
      </c>
      <c r="AE413" s="4">
        <v>21180286</v>
      </c>
      <c r="AG413" s="4" t="s">
        <v>1107</v>
      </c>
      <c r="AH413" s="4" t="s">
        <v>1108</v>
      </c>
      <c r="AI413" s="4"/>
    </row>
    <row r="414" spans="1:35" ht="36" x14ac:dyDescent="0.3">
      <c r="A414" s="17" t="s">
        <v>1153</v>
      </c>
      <c r="B414" s="17"/>
      <c r="C414" s="34" t="s">
        <v>1112</v>
      </c>
      <c r="D414" s="19"/>
      <c r="E414" s="19"/>
      <c r="F414" s="35" t="s">
        <v>369</v>
      </c>
      <c r="G414" s="36">
        <v>1.5</v>
      </c>
      <c r="H414" s="19"/>
      <c r="I414" s="37">
        <v>0</v>
      </c>
      <c r="J414" s="38">
        <v>260</v>
      </c>
      <c r="K414" s="39"/>
      <c r="L414" s="39"/>
      <c r="M414" s="38">
        <f>ROUND(ROUND(J414, 2)*I414, 2)</f>
        <v>0</v>
      </c>
      <c r="N414" s="39"/>
      <c r="O414" s="39"/>
      <c r="P414" s="38">
        <v>260</v>
      </c>
      <c r="Q414" s="39"/>
      <c r="R414" s="39"/>
      <c r="S414" s="38">
        <f>ROUND(ROUND(P414, 2)*I414, 2)</f>
        <v>0</v>
      </c>
      <c r="T414" s="39"/>
      <c r="U414" s="40"/>
      <c r="V414" s="9">
        <f>ROUND(ROUND(P414, 2)/1.2, 2)</f>
        <v>216.67</v>
      </c>
      <c r="Y414" s="9">
        <f>ROUND(S414 / 1.2, 2)</f>
        <v>0</v>
      </c>
      <c r="AD414" s="4" t="s">
        <v>1154</v>
      </c>
      <c r="AE414" s="4" t="s">
        <v>1155</v>
      </c>
      <c r="AF414" s="4" t="s">
        <v>1115</v>
      </c>
    </row>
    <row r="415" spans="1:35" ht="36" x14ac:dyDescent="0.3">
      <c r="A415" s="23" t="s">
        <v>1156</v>
      </c>
      <c r="B415" s="23"/>
      <c r="C415" s="41" t="s">
        <v>1112</v>
      </c>
      <c r="D415" s="25"/>
      <c r="E415" s="25"/>
      <c r="F415" s="42" t="s">
        <v>369</v>
      </c>
      <c r="G415" s="43">
        <v>1.5</v>
      </c>
      <c r="H415" s="25"/>
      <c r="I415" s="43">
        <v>13.95</v>
      </c>
      <c r="J415" s="44">
        <v>260</v>
      </c>
      <c r="K415" s="45"/>
      <c r="L415" s="45"/>
      <c r="M415" s="44">
        <f>ROUND(ROUND(J415, 2)*I415, 2)</f>
        <v>3627</v>
      </c>
      <c r="N415" s="45"/>
      <c r="O415" s="45"/>
      <c r="P415" s="44">
        <v>260</v>
      </c>
      <c r="Q415" s="45"/>
      <c r="R415" s="45"/>
      <c r="S415" s="44">
        <f>ROUND(ROUND(P415, 2)*I415, 2)</f>
        <v>3627</v>
      </c>
      <c r="T415" s="45"/>
      <c r="U415" s="46"/>
      <c r="V415" s="9">
        <f>ROUND(ROUND(P415, 2)/1.2, 2)</f>
        <v>216.67</v>
      </c>
      <c r="Y415" s="9">
        <f>ROUND(S415 / 1.2, 2)</f>
        <v>3022.5</v>
      </c>
      <c r="AD415" s="4" t="s">
        <v>1157</v>
      </c>
      <c r="AE415" s="4" t="s">
        <v>1155</v>
      </c>
      <c r="AF415" s="4" t="s">
        <v>1115</v>
      </c>
    </row>
    <row r="416" spans="1:35" ht="18" x14ac:dyDescent="0.3">
      <c r="A416" s="17" t="s">
        <v>1158</v>
      </c>
      <c r="B416" s="17" t="s">
        <v>1105</v>
      </c>
      <c r="C416" s="18" t="s">
        <v>1106</v>
      </c>
      <c r="D416" s="19"/>
      <c r="E416" s="19"/>
      <c r="F416" s="19" t="s">
        <v>59</v>
      </c>
      <c r="G416" s="20">
        <v>1</v>
      </c>
      <c r="H416" s="19"/>
      <c r="I416" s="21">
        <v>0</v>
      </c>
      <c r="J416" s="22">
        <f>IFERROR(ROUND(SUM(M418)/I416, 2),0)</f>
        <v>0</v>
      </c>
      <c r="K416" s="22">
        <v>1010</v>
      </c>
      <c r="L416" s="22">
        <f>J416+ROUND(K416, 2)</f>
        <v>1010</v>
      </c>
      <c r="M416" s="22">
        <f>ROUND(J416*I416, 2)</f>
        <v>0</v>
      </c>
      <c r="N416" s="22">
        <f>ROUND(I416*ROUND(K416, 2), 2)</f>
        <v>0</v>
      </c>
      <c r="O416" s="22">
        <f>M416+N416</f>
        <v>0</v>
      </c>
      <c r="P416" s="22">
        <f>IFERROR(ROUND(SUM(S418)/I416, 2),0)</f>
        <v>0</v>
      </c>
      <c r="Q416" s="22">
        <v>1010</v>
      </c>
      <c r="R416" s="22">
        <f>P416+ROUND(Q416, 2)</f>
        <v>1010</v>
      </c>
      <c r="S416" s="22">
        <f>ROUND(P416*I416, 2)</f>
        <v>0</v>
      </c>
      <c r="T416" s="22">
        <f>ROUND(I416*ROUND(Q416, 2), 2)</f>
        <v>0</v>
      </c>
      <c r="U416" s="22">
        <f>S416+T416</f>
        <v>0</v>
      </c>
      <c r="V416" s="9">
        <f>ROUND(P416 / 1.2, 2)</f>
        <v>0</v>
      </c>
      <c r="W416" s="9">
        <f>ROUND(Q416 / 1.2, 2)</f>
        <v>841.67</v>
      </c>
      <c r="X416" s="9">
        <f>ROUND(R416 / 1.2, 2)</f>
        <v>841.67</v>
      </c>
      <c r="Y416" s="9">
        <f>ROUND(S416 / 1.2, 2)</f>
        <v>0</v>
      </c>
      <c r="Z416" s="9">
        <f>ROUND(T416 / 1.2, 2)</f>
        <v>0</v>
      </c>
      <c r="AA416" s="9">
        <f>Y416+Z416</f>
        <v>0</v>
      </c>
      <c r="AD416" s="4">
        <v>304337645</v>
      </c>
      <c r="AE416" s="4">
        <v>21180287</v>
      </c>
      <c r="AG416" s="4" t="s">
        <v>1107</v>
      </c>
      <c r="AH416" s="4" t="s">
        <v>1108</v>
      </c>
      <c r="AI416" s="4" t="s">
        <v>260</v>
      </c>
    </row>
    <row r="417" spans="1:35" ht="108" x14ac:dyDescent="0.3">
      <c r="A417" s="23" t="s">
        <v>1159</v>
      </c>
      <c r="B417" s="23" t="s">
        <v>1105</v>
      </c>
      <c r="C417" s="24" t="s">
        <v>1106</v>
      </c>
      <c r="D417" s="25"/>
      <c r="E417" s="25" t="s">
        <v>1160</v>
      </c>
      <c r="F417" s="25" t="s">
        <v>59</v>
      </c>
      <c r="G417" s="26">
        <v>1</v>
      </c>
      <c r="H417" s="25"/>
      <c r="I417" s="26">
        <v>9.4</v>
      </c>
      <c r="J417" s="27">
        <v>0</v>
      </c>
      <c r="K417" s="27">
        <v>1010</v>
      </c>
      <c r="L417" s="27"/>
      <c r="M417" s="27">
        <v>0</v>
      </c>
      <c r="N417" s="27"/>
      <c r="O417" s="27"/>
      <c r="P417" s="27">
        <v>0</v>
      </c>
      <c r="Q417" s="27">
        <v>1010</v>
      </c>
      <c r="R417" s="27"/>
      <c r="S417" s="27">
        <v>0</v>
      </c>
      <c r="T417" s="27"/>
      <c r="U417" s="27"/>
      <c r="V417" s="9"/>
      <c r="W417" s="9">
        <f>ROUND(Q417 / 1.2, 2)</f>
        <v>841.67</v>
      </c>
      <c r="X417" s="9" t="e">
        <f>ROUND(R417 / 1.2, 2)</f>
        <v>#VALUE!</v>
      </c>
      <c r="Y417" s="9"/>
      <c r="Z417" s="9" t="e">
        <f>ROUND(T417 / 1.2, 2)</f>
        <v>#VALUE!</v>
      </c>
      <c r="AA417" s="9"/>
      <c r="AD417" s="4">
        <v>279187234</v>
      </c>
      <c r="AE417" s="4">
        <v>21180287</v>
      </c>
      <c r="AG417" s="4" t="s">
        <v>1107</v>
      </c>
      <c r="AH417" s="4" t="s">
        <v>1108</v>
      </c>
      <c r="AI417" s="4"/>
    </row>
    <row r="418" spans="1:35" ht="36" x14ac:dyDescent="0.3">
      <c r="A418" s="17" t="s">
        <v>1161</v>
      </c>
      <c r="B418" s="17"/>
      <c r="C418" s="34" t="s">
        <v>1112</v>
      </c>
      <c r="D418" s="19"/>
      <c r="E418" s="19"/>
      <c r="F418" s="35" t="s">
        <v>369</v>
      </c>
      <c r="G418" s="36">
        <v>1.5</v>
      </c>
      <c r="H418" s="19"/>
      <c r="I418" s="37">
        <v>0</v>
      </c>
      <c r="J418" s="38">
        <v>260</v>
      </c>
      <c r="K418" s="39"/>
      <c r="L418" s="39"/>
      <c r="M418" s="38">
        <f>ROUND(ROUND(J418, 2)*I418, 2)</f>
        <v>0</v>
      </c>
      <c r="N418" s="39"/>
      <c r="O418" s="39"/>
      <c r="P418" s="38">
        <v>260</v>
      </c>
      <c r="Q418" s="39"/>
      <c r="R418" s="39"/>
      <c r="S418" s="38">
        <f>ROUND(ROUND(P418, 2)*I418, 2)</f>
        <v>0</v>
      </c>
      <c r="T418" s="39"/>
      <c r="U418" s="40"/>
      <c r="V418" s="9">
        <f>ROUND(ROUND(P418, 2)/1.2, 2)</f>
        <v>216.67</v>
      </c>
      <c r="Y418" s="9">
        <f t="shared" ref="Y418:Y442" si="90">ROUND(S418 / 1.2, 2)</f>
        <v>0</v>
      </c>
      <c r="AD418" s="4" t="s">
        <v>1162</v>
      </c>
      <c r="AE418" s="4" t="s">
        <v>1163</v>
      </c>
      <c r="AF418" s="4" t="s">
        <v>1115</v>
      </c>
    </row>
    <row r="419" spans="1:35" ht="36" x14ac:dyDescent="0.3">
      <c r="A419" s="23" t="s">
        <v>1164</v>
      </c>
      <c r="B419" s="23"/>
      <c r="C419" s="41" t="s">
        <v>1112</v>
      </c>
      <c r="D419" s="25"/>
      <c r="E419" s="25"/>
      <c r="F419" s="42" t="s">
        <v>369</v>
      </c>
      <c r="G419" s="43">
        <v>1.5</v>
      </c>
      <c r="H419" s="25"/>
      <c r="I419" s="43">
        <v>14.1</v>
      </c>
      <c r="J419" s="44">
        <v>260</v>
      </c>
      <c r="K419" s="45"/>
      <c r="L419" s="45"/>
      <c r="M419" s="44">
        <f>ROUND(ROUND(J419, 2)*I419, 2)</f>
        <v>3666</v>
      </c>
      <c r="N419" s="45"/>
      <c r="O419" s="45"/>
      <c r="P419" s="44">
        <v>260</v>
      </c>
      <c r="Q419" s="45"/>
      <c r="R419" s="45"/>
      <c r="S419" s="44">
        <f>ROUND(ROUND(P419, 2)*I419, 2)</f>
        <v>3666</v>
      </c>
      <c r="T419" s="45"/>
      <c r="U419" s="46"/>
      <c r="V419" s="9">
        <f>ROUND(ROUND(P419, 2)/1.2, 2)</f>
        <v>216.67</v>
      </c>
      <c r="Y419" s="9">
        <f t="shared" si="90"/>
        <v>3055</v>
      </c>
      <c r="AD419" s="4" t="s">
        <v>1165</v>
      </c>
      <c r="AE419" s="4" t="s">
        <v>1163</v>
      </c>
      <c r="AF419" s="4" t="s">
        <v>1115</v>
      </c>
    </row>
    <row r="420" spans="1:35" ht="18" x14ac:dyDescent="0.3">
      <c r="A420" s="51" t="s">
        <v>1166</v>
      </c>
      <c r="B420" s="51" t="s">
        <v>1105</v>
      </c>
      <c r="C420" s="52" t="s">
        <v>1106</v>
      </c>
      <c r="D420" s="53"/>
      <c r="E420" s="53"/>
      <c r="F420" s="53" t="s">
        <v>59</v>
      </c>
      <c r="G420" s="54">
        <v>1</v>
      </c>
      <c r="H420" s="53"/>
      <c r="I420" s="54">
        <v>0</v>
      </c>
      <c r="J420" s="55">
        <f>IFERROR(ROUND(SUM(M421)/I420, 2),0)</f>
        <v>0</v>
      </c>
      <c r="K420" s="55">
        <v>1010</v>
      </c>
      <c r="L420" s="55">
        <f>J420+ROUND(K420, 2)</f>
        <v>1010</v>
      </c>
      <c r="M420" s="55">
        <f>ROUND(J420*I420, 2)</f>
        <v>0</v>
      </c>
      <c r="N420" s="55">
        <f>ROUND(I420*ROUND(K420, 2), 2)</f>
        <v>0</v>
      </c>
      <c r="O420" s="55">
        <f>M420+N420</f>
        <v>0</v>
      </c>
      <c r="P420" s="55">
        <f>IFERROR(ROUND(SUM(S421)/I420, 2),0)</f>
        <v>0</v>
      </c>
      <c r="Q420" s="55">
        <v>1515</v>
      </c>
      <c r="R420" s="55">
        <f>P420+ROUND(Q420, 2)</f>
        <v>1515</v>
      </c>
      <c r="S420" s="55">
        <f>ROUND(P420*I420, 2)</f>
        <v>0</v>
      </c>
      <c r="T420" s="55">
        <f>ROUND(I420*ROUND(Q420, 2), 2)</f>
        <v>0</v>
      </c>
      <c r="U420" s="55">
        <f>S420+T420</f>
        <v>0</v>
      </c>
      <c r="V420" s="9">
        <f>ROUND(P420 / 1.2, 2)</f>
        <v>0</v>
      </c>
      <c r="W420" s="9">
        <f>ROUND(Q420 / 1.2, 2)</f>
        <v>1262.5</v>
      </c>
      <c r="X420" s="9">
        <f>ROUND(R420 / 1.2, 2)</f>
        <v>1262.5</v>
      </c>
      <c r="Y420" s="9">
        <f t="shared" si="90"/>
        <v>0</v>
      </c>
      <c r="Z420" s="9">
        <f>ROUND(T420 / 1.2, 2)</f>
        <v>0</v>
      </c>
      <c r="AA420" s="9">
        <f>Y420+Z420</f>
        <v>0</v>
      </c>
      <c r="AD420" s="4">
        <v>304337646</v>
      </c>
      <c r="AE420" s="4">
        <v>21935177</v>
      </c>
      <c r="AG420" s="4" t="s">
        <v>1107</v>
      </c>
      <c r="AH420" s="4" t="s">
        <v>1108</v>
      </c>
      <c r="AI420" s="4" t="s">
        <v>260</v>
      </c>
    </row>
    <row r="421" spans="1:35" ht="36" x14ac:dyDescent="0.3">
      <c r="A421" s="51" t="s">
        <v>1167</v>
      </c>
      <c r="B421" s="51"/>
      <c r="C421" s="56" t="s">
        <v>1112</v>
      </c>
      <c r="D421" s="53"/>
      <c r="E421" s="53"/>
      <c r="F421" s="57" t="s">
        <v>369</v>
      </c>
      <c r="G421" s="58">
        <v>1.5</v>
      </c>
      <c r="H421" s="53"/>
      <c r="I421" s="58">
        <v>0</v>
      </c>
      <c r="J421" s="59">
        <v>260</v>
      </c>
      <c r="K421" s="60"/>
      <c r="L421" s="60"/>
      <c r="M421" s="59">
        <f>ROUND(ROUND(J421, 2)*I421, 2)</f>
        <v>0</v>
      </c>
      <c r="N421" s="60"/>
      <c r="O421" s="60"/>
      <c r="P421" s="59">
        <v>260</v>
      </c>
      <c r="Q421" s="60"/>
      <c r="R421" s="60"/>
      <c r="S421" s="59">
        <f>ROUND(ROUND(P421, 2)*I421, 2)</f>
        <v>0</v>
      </c>
      <c r="T421" s="60"/>
      <c r="U421" s="61"/>
      <c r="V421" s="9">
        <f>ROUND(ROUND(P421, 2)/1.2, 2)</f>
        <v>216.67</v>
      </c>
      <c r="Y421" s="9">
        <f t="shared" si="90"/>
        <v>0</v>
      </c>
      <c r="AD421" s="4" t="s">
        <v>1168</v>
      </c>
      <c r="AE421" s="4" t="s">
        <v>1169</v>
      </c>
      <c r="AF421" s="4" t="s">
        <v>1115</v>
      </c>
    </row>
    <row r="422" spans="1:35" ht="18" x14ac:dyDescent="0.3">
      <c r="A422" s="51" t="s">
        <v>1170</v>
      </c>
      <c r="B422" s="51" t="s">
        <v>1105</v>
      </c>
      <c r="C422" s="52" t="s">
        <v>1106</v>
      </c>
      <c r="D422" s="53"/>
      <c r="E422" s="53"/>
      <c r="F422" s="53" t="s">
        <v>59</v>
      </c>
      <c r="G422" s="54">
        <v>1</v>
      </c>
      <c r="H422" s="53"/>
      <c r="I422" s="54">
        <v>0</v>
      </c>
      <c r="J422" s="55">
        <f>IFERROR(ROUND(SUM(M423)/I422, 2),0)</f>
        <v>0</v>
      </c>
      <c r="K422" s="55">
        <v>1010</v>
      </c>
      <c r="L422" s="55">
        <f>J422+ROUND(K422, 2)</f>
        <v>1010</v>
      </c>
      <c r="M422" s="55">
        <f>ROUND(J422*I422, 2)</f>
        <v>0</v>
      </c>
      <c r="N422" s="55">
        <f>ROUND(I422*ROUND(K422, 2), 2)</f>
        <v>0</v>
      </c>
      <c r="O422" s="55">
        <f>M422+N422</f>
        <v>0</v>
      </c>
      <c r="P422" s="55">
        <f>IFERROR(ROUND(SUM(S423)/I422, 2),0)</f>
        <v>0</v>
      </c>
      <c r="Q422" s="55">
        <v>1515</v>
      </c>
      <c r="R422" s="55">
        <f>P422+ROUND(Q422, 2)</f>
        <v>1515</v>
      </c>
      <c r="S422" s="55">
        <f>ROUND(P422*I422, 2)</f>
        <v>0</v>
      </c>
      <c r="T422" s="55">
        <f>ROUND(I422*ROUND(Q422, 2), 2)</f>
        <v>0</v>
      </c>
      <c r="U422" s="55">
        <f>S422+T422</f>
        <v>0</v>
      </c>
      <c r="V422" s="9">
        <f>ROUND(P422 / 1.2, 2)</f>
        <v>0</v>
      </c>
      <c r="W422" s="9">
        <f>ROUND(Q422 / 1.2, 2)</f>
        <v>1262.5</v>
      </c>
      <c r="X422" s="9">
        <f>ROUND(R422 / 1.2, 2)</f>
        <v>1262.5</v>
      </c>
      <c r="Y422" s="9">
        <f t="shared" si="90"/>
        <v>0</v>
      </c>
      <c r="Z422" s="9">
        <f>ROUND(T422 / 1.2, 2)</f>
        <v>0</v>
      </c>
      <c r="AA422" s="9">
        <f>Y422+Z422</f>
        <v>0</v>
      </c>
      <c r="AD422" s="4">
        <v>304337647</v>
      </c>
      <c r="AE422" s="4">
        <v>21935178</v>
      </c>
      <c r="AG422" s="4" t="s">
        <v>1107</v>
      </c>
      <c r="AH422" s="4" t="s">
        <v>1108</v>
      </c>
      <c r="AI422" s="4" t="s">
        <v>260</v>
      </c>
    </row>
    <row r="423" spans="1:35" ht="36" x14ac:dyDescent="0.3">
      <c r="A423" s="51" t="s">
        <v>1171</v>
      </c>
      <c r="B423" s="51"/>
      <c r="C423" s="56" t="s">
        <v>1112</v>
      </c>
      <c r="D423" s="53"/>
      <c r="E423" s="53"/>
      <c r="F423" s="57" t="s">
        <v>369</v>
      </c>
      <c r="G423" s="58">
        <v>1.5</v>
      </c>
      <c r="H423" s="53"/>
      <c r="I423" s="58">
        <v>0</v>
      </c>
      <c r="J423" s="59">
        <v>260</v>
      </c>
      <c r="K423" s="60"/>
      <c r="L423" s="60"/>
      <c r="M423" s="59">
        <f>ROUND(ROUND(J423, 2)*I423, 2)</f>
        <v>0</v>
      </c>
      <c r="N423" s="60"/>
      <c r="O423" s="60"/>
      <c r="P423" s="59">
        <v>260</v>
      </c>
      <c r="Q423" s="60"/>
      <c r="R423" s="60"/>
      <c r="S423" s="59">
        <f>ROUND(ROUND(P423, 2)*I423, 2)</f>
        <v>0</v>
      </c>
      <c r="T423" s="60"/>
      <c r="U423" s="61"/>
      <c r="V423" s="9">
        <f>ROUND(ROUND(P423, 2)/1.2, 2)</f>
        <v>216.67</v>
      </c>
      <c r="Y423" s="9">
        <f t="shared" si="90"/>
        <v>0</v>
      </c>
      <c r="AD423" s="4" t="s">
        <v>1172</v>
      </c>
      <c r="AE423" s="4" t="s">
        <v>1173</v>
      </c>
      <c r="AF423" s="4" t="s">
        <v>1115</v>
      </c>
    </row>
    <row r="424" spans="1:35" ht="18" x14ac:dyDescent="0.3">
      <c r="A424" s="51" t="s">
        <v>1174</v>
      </c>
      <c r="B424" s="51" t="s">
        <v>1105</v>
      </c>
      <c r="C424" s="52" t="s">
        <v>1106</v>
      </c>
      <c r="D424" s="53"/>
      <c r="E424" s="53"/>
      <c r="F424" s="53" t="s">
        <v>59</v>
      </c>
      <c r="G424" s="54">
        <v>1</v>
      </c>
      <c r="H424" s="53"/>
      <c r="I424" s="54">
        <v>0</v>
      </c>
      <c r="J424" s="55">
        <f>IFERROR(ROUND(SUM(M425)/I424, 2),0)</f>
        <v>0</v>
      </c>
      <c r="K424" s="55">
        <v>1010</v>
      </c>
      <c r="L424" s="55">
        <f>J424+ROUND(K424, 2)</f>
        <v>1010</v>
      </c>
      <c r="M424" s="55">
        <f>ROUND(J424*I424, 2)</f>
        <v>0</v>
      </c>
      <c r="N424" s="55">
        <f>ROUND(I424*ROUND(K424, 2), 2)</f>
        <v>0</v>
      </c>
      <c r="O424" s="55">
        <f>M424+N424</f>
        <v>0</v>
      </c>
      <c r="P424" s="55">
        <f>IFERROR(ROUND(SUM(S425)/I424, 2),0)</f>
        <v>0</v>
      </c>
      <c r="Q424" s="55">
        <v>1515</v>
      </c>
      <c r="R424" s="55">
        <f>P424+ROUND(Q424, 2)</f>
        <v>1515</v>
      </c>
      <c r="S424" s="55">
        <f>ROUND(P424*I424, 2)</f>
        <v>0</v>
      </c>
      <c r="T424" s="55">
        <f>ROUND(I424*ROUND(Q424, 2), 2)</f>
        <v>0</v>
      </c>
      <c r="U424" s="55">
        <f>S424+T424</f>
        <v>0</v>
      </c>
      <c r="V424" s="9">
        <f>ROUND(P424 / 1.2, 2)</f>
        <v>0</v>
      </c>
      <c r="W424" s="9">
        <f>ROUND(Q424 / 1.2, 2)</f>
        <v>1262.5</v>
      </c>
      <c r="X424" s="9">
        <f>ROUND(R424 / 1.2, 2)</f>
        <v>1262.5</v>
      </c>
      <c r="Y424" s="9">
        <f t="shared" si="90"/>
        <v>0</v>
      </c>
      <c r="Z424" s="9">
        <f>ROUND(T424 / 1.2, 2)</f>
        <v>0</v>
      </c>
      <c r="AA424" s="9">
        <f>Y424+Z424</f>
        <v>0</v>
      </c>
      <c r="AD424" s="4">
        <v>304337648</v>
      </c>
      <c r="AE424" s="4">
        <v>21935179</v>
      </c>
      <c r="AG424" s="4" t="s">
        <v>1107</v>
      </c>
      <c r="AH424" s="4" t="s">
        <v>1108</v>
      </c>
      <c r="AI424" s="4" t="s">
        <v>260</v>
      </c>
    </row>
    <row r="425" spans="1:35" ht="36" x14ac:dyDescent="0.3">
      <c r="A425" s="51" t="s">
        <v>1175</v>
      </c>
      <c r="B425" s="51"/>
      <c r="C425" s="56" t="s">
        <v>1112</v>
      </c>
      <c r="D425" s="53"/>
      <c r="E425" s="53"/>
      <c r="F425" s="57" t="s">
        <v>369</v>
      </c>
      <c r="G425" s="58">
        <v>1.5</v>
      </c>
      <c r="H425" s="53"/>
      <c r="I425" s="58">
        <v>0</v>
      </c>
      <c r="J425" s="59">
        <v>260</v>
      </c>
      <c r="K425" s="60"/>
      <c r="L425" s="60"/>
      <c r="M425" s="59">
        <f>ROUND(ROUND(J425, 2)*I425, 2)</f>
        <v>0</v>
      </c>
      <c r="N425" s="60"/>
      <c r="O425" s="60"/>
      <c r="P425" s="59">
        <v>260</v>
      </c>
      <c r="Q425" s="60"/>
      <c r="R425" s="60"/>
      <c r="S425" s="59">
        <f>ROUND(ROUND(P425, 2)*I425, 2)</f>
        <v>0</v>
      </c>
      <c r="T425" s="60"/>
      <c r="U425" s="61"/>
      <c r="V425" s="9">
        <f>ROUND(ROUND(P425, 2)/1.2, 2)</f>
        <v>216.67</v>
      </c>
      <c r="Y425" s="9">
        <f t="shared" si="90"/>
        <v>0</v>
      </c>
      <c r="AD425" s="4" t="s">
        <v>1176</v>
      </c>
      <c r="AE425" s="4" t="s">
        <v>1177</v>
      </c>
      <c r="AF425" s="4" t="s">
        <v>1115</v>
      </c>
    </row>
    <row r="426" spans="1:35" ht="18" x14ac:dyDescent="0.3">
      <c r="A426" s="51" t="s">
        <v>1178</v>
      </c>
      <c r="B426" s="51" t="s">
        <v>1105</v>
      </c>
      <c r="C426" s="52" t="s">
        <v>1106</v>
      </c>
      <c r="D426" s="53"/>
      <c r="E426" s="53" t="s">
        <v>1110</v>
      </c>
      <c r="F426" s="53" t="s">
        <v>59</v>
      </c>
      <c r="G426" s="54">
        <v>1</v>
      </c>
      <c r="H426" s="53"/>
      <c r="I426" s="54">
        <v>195.1</v>
      </c>
      <c r="J426" s="55">
        <f>IFERROR(ROUND(SUM(M427)/I426, 2),0)</f>
        <v>390</v>
      </c>
      <c r="K426" s="55">
        <v>1010</v>
      </c>
      <c r="L426" s="55">
        <f>J426+ROUND(K426, 2)</f>
        <v>1400</v>
      </c>
      <c r="M426" s="55">
        <f>ROUND(J426*I426, 2)</f>
        <v>76089</v>
      </c>
      <c r="N426" s="55">
        <f>ROUND(I426*ROUND(K426, 2), 2)</f>
        <v>197051</v>
      </c>
      <c r="O426" s="55">
        <f>M426+N426</f>
        <v>273140</v>
      </c>
      <c r="P426" s="55">
        <f>IFERROR(ROUND(SUM(S427)/I426, 2),0)</f>
        <v>390</v>
      </c>
      <c r="Q426" s="55">
        <v>1515</v>
      </c>
      <c r="R426" s="55">
        <f>P426+ROUND(Q426, 2)</f>
        <v>1905</v>
      </c>
      <c r="S426" s="55">
        <f>ROUND(P426*I426, 2)</f>
        <v>76089</v>
      </c>
      <c r="T426" s="55">
        <f>ROUND(I426*ROUND(Q426, 2), 2)</f>
        <v>295576.5</v>
      </c>
      <c r="U426" s="55">
        <f>S426+T426</f>
        <v>371665.5</v>
      </c>
      <c r="V426" s="9">
        <f>ROUND(P426 / 1.2, 2)</f>
        <v>325</v>
      </c>
      <c r="W426" s="9">
        <f>ROUND(Q426 / 1.2, 2)</f>
        <v>1262.5</v>
      </c>
      <c r="X426" s="9">
        <f>ROUND(R426 / 1.2, 2)</f>
        <v>1587.5</v>
      </c>
      <c r="Y426" s="9">
        <f t="shared" si="90"/>
        <v>63407.5</v>
      </c>
      <c r="Z426" s="9">
        <f>ROUND(T426 / 1.2, 2)</f>
        <v>246313.75</v>
      </c>
      <c r="AA426" s="9">
        <f>Y426+Z426</f>
        <v>309721.25</v>
      </c>
      <c r="AD426" s="4">
        <v>304337649</v>
      </c>
      <c r="AE426" s="4">
        <v>21950058</v>
      </c>
      <c r="AG426" s="4" t="s">
        <v>1107</v>
      </c>
      <c r="AH426" s="4" t="s">
        <v>1108</v>
      </c>
      <c r="AI426" s="4" t="s">
        <v>260</v>
      </c>
    </row>
    <row r="427" spans="1:35" ht="36" x14ac:dyDescent="0.3">
      <c r="A427" s="51" t="s">
        <v>1179</v>
      </c>
      <c r="B427" s="51"/>
      <c r="C427" s="56" t="s">
        <v>1112</v>
      </c>
      <c r="D427" s="53"/>
      <c r="E427" s="53"/>
      <c r="F427" s="57" t="s">
        <v>369</v>
      </c>
      <c r="G427" s="58">
        <v>1.5</v>
      </c>
      <c r="H427" s="53"/>
      <c r="I427" s="58">
        <v>292.64999999999998</v>
      </c>
      <c r="J427" s="59">
        <v>260</v>
      </c>
      <c r="K427" s="60"/>
      <c r="L427" s="60"/>
      <c r="M427" s="59">
        <f>ROUND(ROUND(J427, 2)*I427, 2)</f>
        <v>76089</v>
      </c>
      <c r="N427" s="60"/>
      <c r="O427" s="60"/>
      <c r="P427" s="59">
        <v>260</v>
      </c>
      <c r="Q427" s="60"/>
      <c r="R427" s="60"/>
      <c r="S427" s="59">
        <f>ROUND(ROUND(P427, 2)*I427, 2)</f>
        <v>76089</v>
      </c>
      <c r="T427" s="60"/>
      <c r="U427" s="61"/>
      <c r="V427" s="9">
        <f>ROUND(ROUND(P427, 2)/1.2, 2)</f>
        <v>216.67</v>
      </c>
      <c r="Y427" s="9">
        <f t="shared" si="90"/>
        <v>63407.5</v>
      </c>
      <c r="AD427" s="4" t="s">
        <v>1180</v>
      </c>
      <c r="AE427" s="4" t="s">
        <v>1181</v>
      </c>
      <c r="AF427" s="4" t="s">
        <v>1115</v>
      </c>
    </row>
    <row r="428" spans="1:35" ht="18" x14ac:dyDescent="0.3">
      <c r="A428" s="51" t="s">
        <v>1182</v>
      </c>
      <c r="B428" s="51" t="s">
        <v>1105</v>
      </c>
      <c r="C428" s="52" t="s">
        <v>1106</v>
      </c>
      <c r="D428" s="53"/>
      <c r="E428" s="53" t="s">
        <v>1120</v>
      </c>
      <c r="F428" s="53" t="s">
        <v>59</v>
      </c>
      <c r="G428" s="54">
        <v>1</v>
      </c>
      <c r="H428" s="53"/>
      <c r="I428" s="54">
        <v>23.1</v>
      </c>
      <c r="J428" s="55">
        <f>IFERROR(ROUND(SUM(M429)/I428, 2),0)</f>
        <v>390</v>
      </c>
      <c r="K428" s="55">
        <v>1010</v>
      </c>
      <c r="L428" s="55">
        <f>J428+ROUND(K428, 2)</f>
        <v>1400</v>
      </c>
      <c r="M428" s="55">
        <f>ROUND(J428*I428, 2)</f>
        <v>9009</v>
      </c>
      <c r="N428" s="55">
        <f>ROUND(I428*ROUND(K428, 2), 2)</f>
        <v>23331</v>
      </c>
      <c r="O428" s="55">
        <f>M428+N428</f>
        <v>32340</v>
      </c>
      <c r="P428" s="55">
        <f>IFERROR(ROUND(SUM(S429)/I428, 2),0)</f>
        <v>390</v>
      </c>
      <c r="Q428" s="55">
        <v>1515</v>
      </c>
      <c r="R428" s="55">
        <f>P428+ROUND(Q428, 2)</f>
        <v>1905</v>
      </c>
      <c r="S428" s="55">
        <f>ROUND(P428*I428, 2)</f>
        <v>9009</v>
      </c>
      <c r="T428" s="55">
        <f>ROUND(I428*ROUND(Q428, 2), 2)</f>
        <v>34996.5</v>
      </c>
      <c r="U428" s="55">
        <f>S428+T428</f>
        <v>44005.5</v>
      </c>
      <c r="V428" s="9">
        <f>ROUND(P428 / 1.2, 2)</f>
        <v>325</v>
      </c>
      <c r="W428" s="9">
        <f>ROUND(Q428 / 1.2, 2)</f>
        <v>1262.5</v>
      </c>
      <c r="X428" s="9">
        <f>ROUND(R428 / 1.2, 2)</f>
        <v>1587.5</v>
      </c>
      <c r="Y428" s="9">
        <f t="shared" si="90"/>
        <v>7507.5</v>
      </c>
      <c r="Z428" s="9">
        <f>ROUND(T428 / 1.2, 2)</f>
        <v>29163.75</v>
      </c>
      <c r="AA428" s="9">
        <f>Y428+Z428</f>
        <v>36671.25</v>
      </c>
      <c r="AD428" s="4">
        <v>304337650</v>
      </c>
      <c r="AE428" s="4">
        <v>21950071</v>
      </c>
      <c r="AG428" s="4" t="s">
        <v>1107</v>
      </c>
      <c r="AH428" s="4" t="s">
        <v>1108</v>
      </c>
      <c r="AI428" s="4" t="s">
        <v>260</v>
      </c>
    </row>
    <row r="429" spans="1:35" ht="36" x14ac:dyDescent="0.3">
      <c r="A429" s="51" t="s">
        <v>1183</v>
      </c>
      <c r="B429" s="51"/>
      <c r="C429" s="56" t="s">
        <v>1112</v>
      </c>
      <c r="D429" s="53"/>
      <c r="E429" s="53"/>
      <c r="F429" s="57" t="s">
        <v>369</v>
      </c>
      <c r="G429" s="58">
        <v>1.5</v>
      </c>
      <c r="H429" s="53"/>
      <c r="I429" s="58">
        <v>34.65</v>
      </c>
      <c r="J429" s="59">
        <v>260</v>
      </c>
      <c r="K429" s="60"/>
      <c r="L429" s="60"/>
      <c r="M429" s="59">
        <f>ROUND(ROUND(J429, 2)*I429, 2)</f>
        <v>9009</v>
      </c>
      <c r="N429" s="60"/>
      <c r="O429" s="60"/>
      <c r="P429" s="59">
        <v>260</v>
      </c>
      <c r="Q429" s="60"/>
      <c r="R429" s="60"/>
      <c r="S429" s="59">
        <f>ROUND(ROUND(P429, 2)*I429, 2)</f>
        <v>9009</v>
      </c>
      <c r="T429" s="60"/>
      <c r="U429" s="61"/>
      <c r="V429" s="9">
        <f>ROUND(ROUND(P429, 2)/1.2, 2)</f>
        <v>216.67</v>
      </c>
      <c r="Y429" s="9">
        <f t="shared" si="90"/>
        <v>7507.5</v>
      </c>
      <c r="AD429" s="4" t="s">
        <v>1184</v>
      </c>
      <c r="AE429" s="4" t="s">
        <v>1185</v>
      </c>
      <c r="AF429" s="4" t="s">
        <v>1115</v>
      </c>
    </row>
    <row r="430" spans="1:35" ht="18" x14ac:dyDescent="0.3">
      <c r="A430" s="51" t="s">
        <v>1186</v>
      </c>
      <c r="B430" s="51" t="s">
        <v>1105</v>
      </c>
      <c r="C430" s="52" t="s">
        <v>1106</v>
      </c>
      <c r="D430" s="53"/>
      <c r="E430" s="53" t="s">
        <v>1128</v>
      </c>
      <c r="F430" s="53" t="s">
        <v>59</v>
      </c>
      <c r="G430" s="54">
        <v>1</v>
      </c>
      <c r="H430" s="53"/>
      <c r="I430" s="54">
        <v>75</v>
      </c>
      <c r="J430" s="55">
        <f>IFERROR(ROUND(SUM(M431)/I430, 2),0)</f>
        <v>390</v>
      </c>
      <c r="K430" s="55">
        <v>1010</v>
      </c>
      <c r="L430" s="55">
        <f>J430+ROUND(K430, 2)</f>
        <v>1400</v>
      </c>
      <c r="M430" s="55">
        <f>ROUND(J430*I430, 2)</f>
        <v>29250</v>
      </c>
      <c r="N430" s="55">
        <f>ROUND(I430*ROUND(K430, 2), 2)</f>
        <v>75750</v>
      </c>
      <c r="O430" s="55">
        <f>M430+N430</f>
        <v>105000</v>
      </c>
      <c r="P430" s="55">
        <f>IFERROR(ROUND(SUM(S431)/I430, 2),0)</f>
        <v>390</v>
      </c>
      <c r="Q430" s="55">
        <v>1515</v>
      </c>
      <c r="R430" s="55">
        <f>P430+ROUND(Q430, 2)</f>
        <v>1905</v>
      </c>
      <c r="S430" s="55">
        <f>ROUND(P430*I430, 2)</f>
        <v>29250</v>
      </c>
      <c r="T430" s="55">
        <f>ROUND(I430*ROUND(Q430, 2), 2)</f>
        <v>113625</v>
      </c>
      <c r="U430" s="55">
        <f>S430+T430</f>
        <v>142875</v>
      </c>
      <c r="V430" s="9">
        <f>ROUND(P430 / 1.2, 2)</f>
        <v>325</v>
      </c>
      <c r="W430" s="9">
        <f>ROUND(Q430 / 1.2, 2)</f>
        <v>1262.5</v>
      </c>
      <c r="X430" s="9">
        <f>ROUND(R430 / 1.2, 2)</f>
        <v>1587.5</v>
      </c>
      <c r="Y430" s="9">
        <f t="shared" si="90"/>
        <v>24375</v>
      </c>
      <c r="Z430" s="9">
        <f>ROUND(T430 / 1.2, 2)</f>
        <v>94687.5</v>
      </c>
      <c r="AA430" s="9">
        <f>Y430+Z430</f>
        <v>119062.5</v>
      </c>
      <c r="AD430" s="4">
        <v>304337651</v>
      </c>
      <c r="AE430" s="4">
        <v>21950059</v>
      </c>
      <c r="AG430" s="4" t="s">
        <v>1107</v>
      </c>
      <c r="AH430" s="4" t="s">
        <v>1108</v>
      </c>
      <c r="AI430" s="4" t="s">
        <v>260</v>
      </c>
    </row>
    <row r="431" spans="1:35" ht="36" x14ac:dyDescent="0.3">
      <c r="A431" s="51" t="s">
        <v>1187</v>
      </c>
      <c r="B431" s="51"/>
      <c r="C431" s="56" t="s">
        <v>1112</v>
      </c>
      <c r="D431" s="53"/>
      <c r="E431" s="53"/>
      <c r="F431" s="57" t="s">
        <v>369</v>
      </c>
      <c r="G431" s="58">
        <v>1.5</v>
      </c>
      <c r="H431" s="53"/>
      <c r="I431" s="58">
        <v>112.5</v>
      </c>
      <c r="J431" s="59">
        <v>260</v>
      </c>
      <c r="K431" s="60"/>
      <c r="L431" s="60"/>
      <c r="M431" s="59">
        <f>ROUND(ROUND(J431, 2)*I431, 2)</f>
        <v>29250</v>
      </c>
      <c r="N431" s="60"/>
      <c r="O431" s="60"/>
      <c r="P431" s="59">
        <v>260</v>
      </c>
      <c r="Q431" s="60"/>
      <c r="R431" s="60"/>
      <c r="S431" s="59">
        <f>ROUND(ROUND(P431, 2)*I431, 2)</f>
        <v>29250</v>
      </c>
      <c r="T431" s="60"/>
      <c r="U431" s="61"/>
      <c r="V431" s="9">
        <f>ROUND(ROUND(P431, 2)/1.2, 2)</f>
        <v>216.67</v>
      </c>
      <c r="Y431" s="9">
        <f t="shared" si="90"/>
        <v>24375</v>
      </c>
      <c r="AD431" s="4" t="s">
        <v>1188</v>
      </c>
      <c r="AE431" s="4" t="s">
        <v>1189</v>
      </c>
      <c r="AF431" s="4" t="s">
        <v>1115</v>
      </c>
    </row>
    <row r="432" spans="1:35" ht="18" x14ac:dyDescent="0.3">
      <c r="A432" s="51" t="s">
        <v>1190</v>
      </c>
      <c r="B432" s="51" t="s">
        <v>1105</v>
      </c>
      <c r="C432" s="52" t="s">
        <v>1106</v>
      </c>
      <c r="D432" s="53"/>
      <c r="E432" s="53" t="s">
        <v>1136</v>
      </c>
      <c r="F432" s="53" t="s">
        <v>59</v>
      </c>
      <c r="G432" s="54">
        <v>1</v>
      </c>
      <c r="H432" s="53"/>
      <c r="I432" s="54">
        <v>41.8</v>
      </c>
      <c r="J432" s="55">
        <f>IFERROR(ROUND(SUM(M433)/I432, 2),0)</f>
        <v>390</v>
      </c>
      <c r="K432" s="55">
        <v>1010</v>
      </c>
      <c r="L432" s="55">
        <f>J432+ROUND(K432, 2)</f>
        <v>1400</v>
      </c>
      <c r="M432" s="55">
        <f>ROUND(J432*I432, 2)</f>
        <v>16302</v>
      </c>
      <c r="N432" s="55">
        <f>ROUND(I432*ROUND(K432, 2), 2)</f>
        <v>42218</v>
      </c>
      <c r="O432" s="55">
        <f>M432+N432</f>
        <v>58520</v>
      </c>
      <c r="P432" s="55">
        <f>IFERROR(ROUND(SUM(S433)/I432, 2),0)</f>
        <v>390</v>
      </c>
      <c r="Q432" s="55">
        <v>1515</v>
      </c>
      <c r="R432" s="55">
        <f>P432+ROUND(Q432, 2)</f>
        <v>1905</v>
      </c>
      <c r="S432" s="55">
        <f>ROUND(P432*I432, 2)</f>
        <v>16302</v>
      </c>
      <c r="T432" s="55">
        <f>ROUND(I432*ROUND(Q432, 2), 2)</f>
        <v>63327</v>
      </c>
      <c r="U432" s="55">
        <f>S432+T432</f>
        <v>79629</v>
      </c>
      <c r="V432" s="9">
        <f>ROUND(P432 / 1.2, 2)</f>
        <v>325</v>
      </c>
      <c r="W432" s="9">
        <f>ROUND(Q432 / 1.2, 2)</f>
        <v>1262.5</v>
      </c>
      <c r="X432" s="9">
        <f>ROUND(R432 / 1.2, 2)</f>
        <v>1587.5</v>
      </c>
      <c r="Y432" s="9">
        <f t="shared" si="90"/>
        <v>13585</v>
      </c>
      <c r="Z432" s="9">
        <f>ROUND(T432 / 1.2, 2)</f>
        <v>52772.5</v>
      </c>
      <c r="AA432" s="9">
        <f>Y432+Z432</f>
        <v>66357.5</v>
      </c>
      <c r="AD432" s="4">
        <v>304337652</v>
      </c>
      <c r="AE432" s="4">
        <v>21950072</v>
      </c>
      <c r="AG432" s="4" t="s">
        <v>1107</v>
      </c>
      <c r="AH432" s="4" t="s">
        <v>1108</v>
      </c>
      <c r="AI432" s="4" t="s">
        <v>260</v>
      </c>
    </row>
    <row r="433" spans="1:35" ht="36" x14ac:dyDescent="0.3">
      <c r="A433" s="51" t="s">
        <v>1191</v>
      </c>
      <c r="B433" s="51"/>
      <c r="C433" s="56" t="s">
        <v>1112</v>
      </c>
      <c r="D433" s="53"/>
      <c r="E433" s="53"/>
      <c r="F433" s="57" t="s">
        <v>369</v>
      </c>
      <c r="G433" s="58">
        <v>1.5</v>
      </c>
      <c r="H433" s="53"/>
      <c r="I433" s="58">
        <v>62.7</v>
      </c>
      <c r="J433" s="59">
        <v>260</v>
      </c>
      <c r="K433" s="60"/>
      <c r="L433" s="60"/>
      <c r="M433" s="59">
        <f>ROUND(ROUND(J433, 2)*I433, 2)</f>
        <v>16302</v>
      </c>
      <c r="N433" s="60"/>
      <c r="O433" s="60"/>
      <c r="P433" s="59">
        <v>260</v>
      </c>
      <c r="Q433" s="60"/>
      <c r="R433" s="60"/>
      <c r="S433" s="59">
        <f>ROUND(ROUND(P433, 2)*I433, 2)</f>
        <v>16302</v>
      </c>
      <c r="T433" s="60"/>
      <c r="U433" s="61"/>
      <c r="V433" s="9">
        <f>ROUND(ROUND(P433, 2)/1.2, 2)</f>
        <v>216.67</v>
      </c>
      <c r="Y433" s="9">
        <f t="shared" si="90"/>
        <v>13585</v>
      </c>
      <c r="AD433" s="4" t="s">
        <v>1192</v>
      </c>
      <c r="AE433" s="4" t="s">
        <v>1193</v>
      </c>
      <c r="AF433" s="4" t="s">
        <v>1115</v>
      </c>
    </row>
    <row r="434" spans="1:35" ht="18" x14ac:dyDescent="0.3">
      <c r="A434" s="51" t="s">
        <v>1194</v>
      </c>
      <c r="B434" s="51" t="s">
        <v>1105</v>
      </c>
      <c r="C434" s="52" t="s">
        <v>1106</v>
      </c>
      <c r="D434" s="53"/>
      <c r="E434" s="53" t="s">
        <v>1144</v>
      </c>
      <c r="F434" s="53" t="s">
        <v>59</v>
      </c>
      <c r="G434" s="54">
        <v>1</v>
      </c>
      <c r="H434" s="53"/>
      <c r="I434" s="54">
        <v>25.2</v>
      </c>
      <c r="J434" s="55">
        <f>IFERROR(ROUND(SUM(M435)/I434, 2),0)</f>
        <v>390</v>
      </c>
      <c r="K434" s="55">
        <v>1010</v>
      </c>
      <c r="L434" s="55">
        <f>J434+ROUND(K434, 2)</f>
        <v>1400</v>
      </c>
      <c r="M434" s="55">
        <f>ROUND(J434*I434, 2)</f>
        <v>9828</v>
      </c>
      <c r="N434" s="55">
        <f>ROUND(I434*ROUND(K434, 2), 2)</f>
        <v>25452</v>
      </c>
      <c r="O434" s="55">
        <f>M434+N434</f>
        <v>35280</v>
      </c>
      <c r="P434" s="55">
        <f>IFERROR(ROUND(SUM(S435)/I434, 2),0)</f>
        <v>390</v>
      </c>
      <c r="Q434" s="55">
        <v>1515</v>
      </c>
      <c r="R434" s="55">
        <f>P434+ROUND(Q434, 2)</f>
        <v>1905</v>
      </c>
      <c r="S434" s="55">
        <f>ROUND(P434*I434, 2)</f>
        <v>9828</v>
      </c>
      <c r="T434" s="55">
        <f>ROUND(I434*ROUND(Q434, 2), 2)</f>
        <v>38178</v>
      </c>
      <c r="U434" s="55">
        <f>S434+T434</f>
        <v>48006</v>
      </c>
      <c r="V434" s="9">
        <f>ROUND(P434 / 1.2, 2)</f>
        <v>325</v>
      </c>
      <c r="W434" s="9">
        <f>ROUND(Q434 / 1.2, 2)</f>
        <v>1262.5</v>
      </c>
      <c r="X434" s="9">
        <f>ROUND(R434 / 1.2, 2)</f>
        <v>1587.5</v>
      </c>
      <c r="Y434" s="9">
        <f t="shared" si="90"/>
        <v>8190</v>
      </c>
      <c r="Z434" s="9">
        <f>ROUND(T434 / 1.2, 2)</f>
        <v>31815</v>
      </c>
      <c r="AA434" s="9">
        <f>Y434+Z434</f>
        <v>40005</v>
      </c>
      <c r="AD434" s="4">
        <v>304337653</v>
      </c>
      <c r="AE434" s="4">
        <v>21950030</v>
      </c>
      <c r="AG434" s="4" t="s">
        <v>1107</v>
      </c>
      <c r="AH434" s="4" t="s">
        <v>1108</v>
      </c>
      <c r="AI434" s="4" t="s">
        <v>260</v>
      </c>
    </row>
    <row r="435" spans="1:35" ht="36" x14ac:dyDescent="0.3">
      <c r="A435" s="51" t="s">
        <v>1195</v>
      </c>
      <c r="B435" s="51"/>
      <c r="C435" s="56" t="s">
        <v>1112</v>
      </c>
      <c r="D435" s="53"/>
      <c r="E435" s="53"/>
      <c r="F435" s="57" t="s">
        <v>369</v>
      </c>
      <c r="G435" s="58">
        <v>1.5</v>
      </c>
      <c r="H435" s="53"/>
      <c r="I435" s="58">
        <v>37.799999999999997</v>
      </c>
      <c r="J435" s="59">
        <v>260</v>
      </c>
      <c r="K435" s="60"/>
      <c r="L435" s="60"/>
      <c r="M435" s="59">
        <f>ROUND(ROUND(J435, 2)*I435, 2)</f>
        <v>9828</v>
      </c>
      <c r="N435" s="60"/>
      <c r="O435" s="60"/>
      <c r="P435" s="59">
        <v>260</v>
      </c>
      <c r="Q435" s="60"/>
      <c r="R435" s="60"/>
      <c r="S435" s="59">
        <f>ROUND(ROUND(P435, 2)*I435, 2)</f>
        <v>9828</v>
      </c>
      <c r="T435" s="60"/>
      <c r="U435" s="61"/>
      <c r="V435" s="9">
        <f>ROUND(ROUND(P435, 2)/1.2, 2)</f>
        <v>216.67</v>
      </c>
      <c r="Y435" s="9">
        <f t="shared" si="90"/>
        <v>8190</v>
      </c>
      <c r="AD435" s="4" t="s">
        <v>1196</v>
      </c>
      <c r="AE435" s="4" t="s">
        <v>1197</v>
      </c>
      <c r="AF435" s="4" t="s">
        <v>1115</v>
      </c>
    </row>
    <row r="436" spans="1:35" ht="108" x14ac:dyDescent="0.3">
      <c r="A436" s="51" t="s">
        <v>1198</v>
      </c>
      <c r="B436" s="51" t="s">
        <v>1105</v>
      </c>
      <c r="C436" s="52" t="s">
        <v>1106</v>
      </c>
      <c r="D436" s="53"/>
      <c r="E436" s="53" t="s">
        <v>1152</v>
      </c>
      <c r="F436" s="53" t="s">
        <v>59</v>
      </c>
      <c r="G436" s="54">
        <v>1</v>
      </c>
      <c r="H436" s="53"/>
      <c r="I436" s="54">
        <v>9.3000000000000007</v>
      </c>
      <c r="J436" s="55">
        <f>IFERROR(ROUND(SUM(M437)/I436, 2),0)</f>
        <v>390</v>
      </c>
      <c r="K436" s="55">
        <v>1010</v>
      </c>
      <c r="L436" s="55">
        <f>J436+ROUND(K436, 2)</f>
        <v>1400</v>
      </c>
      <c r="M436" s="55">
        <f>ROUND(J436*I436, 2)</f>
        <v>3627</v>
      </c>
      <c r="N436" s="55">
        <f>ROUND(I436*ROUND(K436, 2), 2)</f>
        <v>9393</v>
      </c>
      <c r="O436" s="55">
        <f>M436+N436</f>
        <v>13020</v>
      </c>
      <c r="P436" s="55">
        <f>IFERROR(ROUND(SUM(S437)/I436, 2),0)</f>
        <v>390</v>
      </c>
      <c r="Q436" s="55">
        <v>1515</v>
      </c>
      <c r="R436" s="55">
        <f>P436+ROUND(Q436, 2)</f>
        <v>1905</v>
      </c>
      <c r="S436" s="55">
        <f>ROUND(P436*I436, 2)</f>
        <v>3627</v>
      </c>
      <c r="T436" s="55">
        <f>ROUND(I436*ROUND(Q436, 2), 2)</f>
        <v>14089.5</v>
      </c>
      <c r="U436" s="55">
        <f>S436+T436</f>
        <v>17716.5</v>
      </c>
      <c r="V436" s="9">
        <f>ROUND(P436 / 1.2, 2)</f>
        <v>325</v>
      </c>
      <c r="W436" s="9">
        <f>ROUND(Q436 / 1.2, 2)</f>
        <v>1262.5</v>
      </c>
      <c r="X436" s="9">
        <f>ROUND(R436 / 1.2, 2)</f>
        <v>1587.5</v>
      </c>
      <c r="Y436" s="9">
        <f t="shared" si="90"/>
        <v>3022.5</v>
      </c>
      <c r="Z436" s="9">
        <f>ROUND(T436 / 1.2, 2)</f>
        <v>11741.25</v>
      </c>
      <c r="AA436" s="9">
        <f>Y436+Z436</f>
        <v>14763.75</v>
      </c>
      <c r="AD436" s="4">
        <v>304337654</v>
      </c>
      <c r="AE436" s="4">
        <v>21950053</v>
      </c>
      <c r="AG436" s="4" t="s">
        <v>1107</v>
      </c>
      <c r="AH436" s="4" t="s">
        <v>1108</v>
      </c>
      <c r="AI436" s="4" t="s">
        <v>260</v>
      </c>
    </row>
    <row r="437" spans="1:35" ht="36" x14ac:dyDescent="0.3">
      <c r="A437" s="51" t="s">
        <v>1199</v>
      </c>
      <c r="B437" s="51"/>
      <c r="C437" s="56" t="s">
        <v>1112</v>
      </c>
      <c r="D437" s="53"/>
      <c r="E437" s="53"/>
      <c r="F437" s="57" t="s">
        <v>369</v>
      </c>
      <c r="G437" s="58">
        <v>1.5</v>
      </c>
      <c r="H437" s="53"/>
      <c r="I437" s="58">
        <v>13.95</v>
      </c>
      <c r="J437" s="59">
        <v>260</v>
      </c>
      <c r="K437" s="60"/>
      <c r="L437" s="60"/>
      <c r="M437" s="59">
        <f>ROUND(ROUND(J437, 2)*I437, 2)</f>
        <v>3627</v>
      </c>
      <c r="N437" s="60"/>
      <c r="O437" s="60"/>
      <c r="P437" s="59">
        <v>260</v>
      </c>
      <c r="Q437" s="60"/>
      <c r="R437" s="60"/>
      <c r="S437" s="59">
        <f>ROUND(ROUND(P437, 2)*I437, 2)</f>
        <v>3627</v>
      </c>
      <c r="T437" s="60"/>
      <c r="U437" s="61"/>
      <c r="V437" s="9">
        <f>ROUND(ROUND(P437, 2)/1.2, 2)</f>
        <v>216.67</v>
      </c>
      <c r="Y437" s="9">
        <f t="shared" si="90"/>
        <v>3022.5</v>
      </c>
      <c r="AD437" s="4" t="s">
        <v>1200</v>
      </c>
      <c r="AE437" s="4" t="s">
        <v>1201</v>
      </c>
      <c r="AF437" s="4" t="s">
        <v>1115</v>
      </c>
    </row>
    <row r="438" spans="1:35" ht="108" x14ac:dyDescent="0.3">
      <c r="A438" s="51" t="s">
        <v>1202</v>
      </c>
      <c r="B438" s="51" t="s">
        <v>1105</v>
      </c>
      <c r="C438" s="52" t="s">
        <v>1106</v>
      </c>
      <c r="D438" s="53"/>
      <c r="E438" s="53" t="s">
        <v>1160</v>
      </c>
      <c r="F438" s="53" t="s">
        <v>59</v>
      </c>
      <c r="G438" s="54">
        <v>1</v>
      </c>
      <c r="H438" s="53"/>
      <c r="I438" s="54">
        <v>9.4</v>
      </c>
      <c r="J438" s="55">
        <f>IFERROR(ROUND(SUM(M439)/I438, 2),0)</f>
        <v>390</v>
      </c>
      <c r="K438" s="55">
        <v>1010</v>
      </c>
      <c r="L438" s="55">
        <f>J438+ROUND(K438, 2)</f>
        <v>1400</v>
      </c>
      <c r="M438" s="55">
        <f>ROUND(J438*I438, 2)</f>
        <v>3666</v>
      </c>
      <c r="N438" s="55">
        <f>ROUND(I438*ROUND(K438, 2), 2)</f>
        <v>9494</v>
      </c>
      <c r="O438" s="55">
        <f>M438+N438</f>
        <v>13160</v>
      </c>
      <c r="P438" s="55">
        <f>IFERROR(ROUND(SUM(S439)/I438, 2),0)</f>
        <v>390</v>
      </c>
      <c r="Q438" s="55">
        <v>1515</v>
      </c>
      <c r="R438" s="55">
        <f>P438+ROUND(Q438, 2)</f>
        <v>1905</v>
      </c>
      <c r="S438" s="55">
        <f>ROUND(P438*I438, 2)</f>
        <v>3666</v>
      </c>
      <c r="T438" s="55">
        <f>ROUND(I438*ROUND(Q438, 2), 2)</f>
        <v>14241</v>
      </c>
      <c r="U438" s="55">
        <f>S438+T438</f>
        <v>17907</v>
      </c>
      <c r="V438" s="9">
        <f>ROUND(P438 / 1.2, 2)</f>
        <v>325</v>
      </c>
      <c r="W438" s="9">
        <f>ROUND(Q438 / 1.2, 2)</f>
        <v>1262.5</v>
      </c>
      <c r="X438" s="9">
        <f>ROUND(R438 / 1.2, 2)</f>
        <v>1587.5</v>
      </c>
      <c r="Y438" s="9">
        <f t="shared" si="90"/>
        <v>3055</v>
      </c>
      <c r="Z438" s="9">
        <f>ROUND(T438 / 1.2, 2)</f>
        <v>11867.5</v>
      </c>
      <c r="AA438" s="9">
        <f>Y438+Z438</f>
        <v>14922.5</v>
      </c>
      <c r="AD438" s="4">
        <v>304337655</v>
      </c>
      <c r="AE438" s="4">
        <v>21950057</v>
      </c>
      <c r="AG438" s="4" t="s">
        <v>1107</v>
      </c>
      <c r="AH438" s="4" t="s">
        <v>1108</v>
      </c>
      <c r="AI438" s="4" t="s">
        <v>260</v>
      </c>
    </row>
    <row r="439" spans="1:35" ht="36" x14ac:dyDescent="0.3">
      <c r="A439" s="51" t="s">
        <v>1203</v>
      </c>
      <c r="B439" s="51"/>
      <c r="C439" s="56" t="s">
        <v>1112</v>
      </c>
      <c r="D439" s="53"/>
      <c r="E439" s="53"/>
      <c r="F439" s="57" t="s">
        <v>369</v>
      </c>
      <c r="G439" s="58">
        <v>1.5</v>
      </c>
      <c r="H439" s="53"/>
      <c r="I439" s="58">
        <v>14.1</v>
      </c>
      <c r="J439" s="59">
        <v>260</v>
      </c>
      <c r="K439" s="60"/>
      <c r="L439" s="60"/>
      <c r="M439" s="59">
        <f>ROUND(ROUND(J439, 2)*I439, 2)</f>
        <v>3666</v>
      </c>
      <c r="N439" s="60"/>
      <c r="O439" s="60"/>
      <c r="P439" s="59">
        <v>260</v>
      </c>
      <c r="Q439" s="60"/>
      <c r="R439" s="60"/>
      <c r="S439" s="59">
        <f>ROUND(ROUND(P439, 2)*I439, 2)</f>
        <v>3666</v>
      </c>
      <c r="T439" s="60"/>
      <c r="U439" s="61"/>
      <c r="V439" s="9">
        <f>ROUND(ROUND(P439, 2)/1.2, 2)</f>
        <v>216.67</v>
      </c>
      <c r="Y439" s="9">
        <f t="shared" si="90"/>
        <v>3055</v>
      </c>
      <c r="AD439" s="4" t="s">
        <v>1204</v>
      </c>
      <c r="AE439" s="4" t="s">
        <v>1205</v>
      </c>
      <c r="AF439" s="4" t="s">
        <v>1115</v>
      </c>
    </row>
    <row r="440" spans="1:35" ht="18" x14ac:dyDescent="0.3">
      <c r="A440" s="51" t="s">
        <v>1206</v>
      </c>
      <c r="B440" s="51" t="s">
        <v>1105</v>
      </c>
      <c r="C440" s="52" t="s">
        <v>1106</v>
      </c>
      <c r="D440" s="53"/>
      <c r="E440" s="53"/>
      <c r="F440" s="53" t="s">
        <v>59</v>
      </c>
      <c r="G440" s="54">
        <v>1</v>
      </c>
      <c r="H440" s="53"/>
      <c r="I440" s="54">
        <v>0</v>
      </c>
      <c r="J440" s="55">
        <f>IFERROR(ROUND(SUM(M441)/I440, 2),0)</f>
        <v>0</v>
      </c>
      <c r="K440" s="55">
        <v>1010</v>
      </c>
      <c r="L440" s="55">
        <f>J440+ROUND(K440, 2)</f>
        <v>1010</v>
      </c>
      <c r="M440" s="55">
        <f>ROUND(J440*I440, 2)</f>
        <v>0</v>
      </c>
      <c r="N440" s="55">
        <f>ROUND(I440*ROUND(K440, 2), 2)</f>
        <v>0</v>
      </c>
      <c r="O440" s="55">
        <f>M440+N440</f>
        <v>0</v>
      </c>
      <c r="P440" s="55">
        <f>IFERROR(ROUND(SUM(S441)/I440, 2),0)</f>
        <v>0</v>
      </c>
      <c r="Q440" s="55">
        <v>1515</v>
      </c>
      <c r="R440" s="55">
        <f>P440+ROUND(Q440, 2)</f>
        <v>1515</v>
      </c>
      <c r="S440" s="55">
        <f>ROUND(P440*I440, 2)</f>
        <v>0</v>
      </c>
      <c r="T440" s="55">
        <f>ROUND(I440*ROUND(Q440, 2), 2)</f>
        <v>0</v>
      </c>
      <c r="U440" s="55">
        <f>S440+T440</f>
        <v>0</v>
      </c>
      <c r="V440" s="9">
        <f>ROUND(P440 / 1.2, 2)</f>
        <v>0</v>
      </c>
      <c r="W440" s="9">
        <f>ROUND(Q440 / 1.2, 2)</f>
        <v>1262.5</v>
      </c>
      <c r="X440" s="9">
        <f>ROUND(R440 / 1.2, 2)</f>
        <v>1262.5</v>
      </c>
      <c r="Y440" s="9">
        <f t="shared" si="90"/>
        <v>0</v>
      </c>
      <c r="Z440" s="9">
        <f>ROUND(T440 / 1.2, 2)</f>
        <v>0</v>
      </c>
      <c r="AA440" s="9">
        <f>Y440+Z440</f>
        <v>0</v>
      </c>
      <c r="AD440" s="4">
        <v>304337656</v>
      </c>
      <c r="AE440" s="4">
        <v>21950015</v>
      </c>
      <c r="AG440" s="4" t="s">
        <v>1107</v>
      </c>
      <c r="AH440" s="4" t="s">
        <v>1108</v>
      </c>
      <c r="AI440" s="4" t="s">
        <v>260</v>
      </c>
    </row>
    <row r="441" spans="1:35" ht="36" x14ac:dyDescent="0.3">
      <c r="A441" s="51" t="s">
        <v>1207</v>
      </c>
      <c r="B441" s="51"/>
      <c r="C441" s="56" t="s">
        <v>1112</v>
      </c>
      <c r="D441" s="53"/>
      <c r="E441" s="53"/>
      <c r="F441" s="57" t="s">
        <v>369</v>
      </c>
      <c r="G441" s="58">
        <v>1.5</v>
      </c>
      <c r="H441" s="53"/>
      <c r="I441" s="58">
        <v>0</v>
      </c>
      <c r="J441" s="59">
        <v>260</v>
      </c>
      <c r="K441" s="60"/>
      <c r="L441" s="60"/>
      <c r="M441" s="59">
        <f>ROUND(ROUND(J441, 2)*I441, 2)</f>
        <v>0</v>
      </c>
      <c r="N441" s="60"/>
      <c r="O441" s="60"/>
      <c r="P441" s="59">
        <v>260</v>
      </c>
      <c r="Q441" s="60"/>
      <c r="R441" s="60"/>
      <c r="S441" s="59">
        <f>ROUND(ROUND(P441, 2)*I441, 2)</f>
        <v>0</v>
      </c>
      <c r="T441" s="60"/>
      <c r="U441" s="61"/>
      <c r="V441" s="9">
        <f>ROUND(ROUND(P441, 2)/1.2, 2)</f>
        <v>216.67</v>
      </c>
      <c r="Y441" s="9">
        <f t="shared" si="90"/>
        <v>0</v>
      </c>
      <c r="AD441" s="4" t="s">
        <v>1208</v>
      </c>
      <c r="AE441" s="4" t="s">
        <v>1209</v>
      </c>
      <c r="AF441" s="4" t="s">
        <v>1115</v>
      </c>
    </row>
    <row r="442" spans="1:35" ht="18" x14ac:dyDescent="0.3">
      <c r="A442" s="17" t="s">
        <v>1210</v>
      </c>
      <c r="B442" s="17" t="s">
        <v>1211</v>
      </c>
      <c r="C442" s="18" t="s">
        <v>1212</v>
      </c>
      <c r="D442" s="19"/>
      <c r="E442" s="19"/>
      <c r="F442" s="19" t="s">
        <v>59</v>
      </c>
      <c r="G442" s="20">
        <v>1</v>
      </c>
      <c r="H442" s="19"/>
      <c r="I442" s="21">
        <v>0</v>
      </c>
      <c r="J442" s="22">
        <f>IFERROR(ROUND(SUM(M444)/I442, 2),0)</f>
        <v>0</v>
      </c>
      <c r="K442" s="22">
        <v>1010</v>
      </c>
      <c r="L442" s="22">
        <f>J442+ROUND(K442, 2)</f>
        <v>1010</v>
      </c>
      <c r="M442" s="22">
        <f>ROUND(J442*I442, 2)</f>
        <v>0</v>
      </c>
      <c r="N442" s="22">
        <f>ROUND(I442*ROUND(K442, 2), 2)</f>
        <v>0</v>
      </c>
      <c r="O442" s="22">
        <f>M442+N442</f>
        <v>0</v>
      </c>
      <c r="P442" s="22">
        <f>IFERROR(ROUND(SUM(S444)/I442, 2),0)</f>
        <v>0</v>
      </c>
      <c r="Q442" s="22">
        <v>1010</v>
      </c>
      <c r="R442" s="22">
        <f>P442+ROUND(Q442, 2)</f>
        <v>1010</v>
      </c>
      <c r="S442" s="22">
        <f>ROUND(P442*I442, 2)</f>
        <v>0</v>
      </c>
      <c r="T442" s="22">
        <f>ROUND(I442*ROUND(Q442, 2), 2)</f>
        <v>0</v>
      </c>
      <c r="U442" s="22">
        <f>S442+T442</f>
        <v>0</v>
      </c>
      <c r="V442" s="9">
        <f>ROUND(P442 / 1.2, 2)</f>
        <v>0</v>
      </c>
      <c r="W442" s="9">
        <f>ROUND(Q442 / 1.2, 2)</f>
        <v>841.67</v>
      </c>
      <c r="X442" s="9">
        <f>ROUND(R442 / 1.2, 2)</f>
        <v>841.67</v>
      </c>
      <c r="Y442" s="9">
        <f t="shared" si="90"/>
        <v>0</v>
      </c>
      <c r="Z442" s="9">
        <f>ROUND(T442 / 1.2, 2)</f>
        <v>0</v>
      </c>
      <c r="AA442" s="9">
        <f>Y442+Z442</f>
        <v>0</v>
      </c>
      <c r="AD442" s="4">
        <v>304337565</v>
      </c>
      <c r="AE442" s="4">
        <v>20348169</v>
      </c>
      <c r="AG442" s="4" t="s">
        <v>1213</v>
      </c>
      <c r="AH442" s="4" t="s">
        <v>1214</v>
      </c>
      <c r="AI442" s="4" t="s">
        <v>260</v>
      </c>
    </row>
    <row r="443" spans="1:35" ht="270" x14ac:dyDescent="0.3">
      <c r="A443" s="23" t="s">
        <v>1215</v>
      </c>
      <c r="B443" s="23" t="s">
        <v>1211</v>
      </c>
      <c r="C443" s="24" t="s">
        <v>1212</v>
      </c>
      <c r="D443" s="25"/>
      <c r="E443" s="25" t="s">
        <v>1216</v>
      </c>
      <c r="F443" s="25" t="s">
        <v>59</v>
      </c>
      <c r="G443" s="26">
        <v>1</v>
      </c>
      <c r="H443" s="25"/>
      <c r="I443" s="26">
        <v>227.3</v>
      </c>
      <c r="J443" s="27">
        <v>0</v>
      </c>
      <c r="K443" s="27">
        <v>1010</v>
      </c>
      <c r="L443" s="27"/>
      <c r="M443" s="27">
        <v>0</v>
      </c>
      <c r="N443" s="27"/>
      <c r="O443" s="27"/>
      <c r="P443" s="27">
        <v>0</v>
      </c>
      <c r="Q443" s="27">
        <v>1010</v>
      </c>
      <c r="R443" s="27"/>
      <c r="S443" s="27">
        <v>0</v>
      </c>
      <c r="T443" s="27"/>
      <c r="U443" s="27"/>
      <c r="V443" s="9"/>
      <c r="W443" s="9">
        <f>ROUND(Q443 / 1.2, 2)</f>
        <v>841.67</v>
      </c>
      <c r="X443" s="9" t="e">
        <f>ROUND(R443 / 1.2, 2)</f>
        <v>#VALUE!</v>
      </c>
      <c r="Y443" s="9"/>
      <c r="Z443" s="9" t="e">
        <f>ROUND(T443 / 1.2, 2)</f>
        <v>#VALUE!</v>
      </c>
      <c r="AA443" s="9"/>
      <c r="AD443" s="4">
        <v>281879708</v>
      </c>
      <c r="AE443" s="4">
        <v>20348169</v>
      </c>
      <c r="AG443" s="4" t="s">
        <v>1213</v>
      </c>
      <c r="AH443" s="4" t="s">
        <v>1214</v>
      </c>
      <c r="AI443" s="4"/>
    </row>
    <row r="444" spans="1:35" ht="18" x14ac:dyDescent="0.3">
      <c r="A444" s="17" t="s">
        <v>1217</v>
      </c>
      <c r="B444" s="17"/>
      <c r="C444" s="34" t="s">
        <v>1218</v>
      </c>
      <c r="D444" s="19"/>
      <c r="E444" s="19"/>
      <c r="F444" s="35" t="s">
        <v>369</v>
      </c>
      <c r="G444" s="36">
        <v>1</v>
      </c>
      <c r="H444" s="19"/>
      <c r="I444" s="37">
        <v>0</v>
      </c>
      <c r="J444" s="38">
        <v>418</v>
      </c>
      <c r="K444" s="39"/>
      <c r="L444" s="39"/>
      <c r="M444" s="38">
        <f>ROUND(ROUND(J444, 2)*I444, 2)</f>
        <v>0</v>
      </c>
      <c r="N444" s="39"/>
      <c r="O444" s="39"/>
      <c r="P444" s="38">
        <v>418</v>
      </c>
      <c r="Q444" s="39"/>
      <c r="R444" s="39"/>
      <c r="S444" s="38">
        <f>ROUND(ROUND(P444, 2)*I444, 2)</f>
        <v>0</v>
      </c>
      <c r="T444" s="39"/>
      <c r="U444" s="40"/>
      <c r="V444" s="9">
        <f>ROUND(ROUND(P444, 2)/1.2, 2)</f>
        <v>348.33</v>
      </c>
      <c r="Y444" s="9">
        <f>ROUND(S444 / 1.2, 2)</f>
        <v>0</v>
      </c>
      <c r="AD444" s="4" t="s">
        <v>1219</v>
      </c>
      <c r="AE444" s="4" t="s">
        <v>1220</v>
      </c>
      <c r="AF444" s="4" t="s">
        <v>1221</v>
      </c>
    </row>
    <row r="445" spans="1:35" ht="396" x14ac:dyDescent="0.3">
      <c r="A445" s="23" t="s">
        <v>1222</v>
      </c>
      <c r="B445" s="23"/>
      <c r="C445" s="41" t="s">
        <v>1218</v>
      </c>
      <c r="D445" s="25"/>
      <c r="E445" s="25" t="s">
        <v>1223</v>
      </c>
      <c r="F445" s="42" t="s">
        <v>369</v>
      </c>
      <c r="G445" s="43">
        <v>1</v>
      </c>
      <c r="H445" s="25"/>
      <c r="I445" s="43">
        <v>227.3</v>
      </c>
      <c r="J445" s="44">
        <v>418</v>
      </c>
      <c r="K445" s="45"/>
      <c r="L445" s="45"/>
      <c r="M445" s="44">
        <f>ROUND(ROUND(J445, 2)*I445, 2)</f>
        <v>95011.4</v>
      </c>
      <c r="N445" s="45"/>
      <c r="O445" s="45"/>
      <c r="P445" s="44">
        <v>418</v>
      </c>
      <c r="Q445" s="45"/>
      <c r="R445" s="45"/>
      <c r="S445" s="44">
        <f>ROUND(ROUND(P445, 2)*I445, 2)</f>
        <v>95011.4</v>
      </c>
      <c r="T445" s="45"/>
      <c r="U445" s="46"/>
      <c r="V445" s="9">
        <f>ROUND(ROUND(P445, 2)/1.2, 2)</f>
        <v>348.33</v>
      </c>
      <c r="Y445" s="9">
        <f>ROUND(S445 / 1.2, 2)</f>
        <v>79176.17</v>
      </c>
      <c r="AD445" s="4" t="s">
        <v>1224</v>
      </c>
      <c r="AE445" s="4" t="s">
        <v>1220</v>
      </c>
      <c r="AF445" s="4" t="s">
        <v>1221</v>
      </c>
    </row>
    <row r="446" spans="1:35" ht="270" x14ac:dyDescent="0.3">
      <c r="A446" s="51" t="s">
        <v>1225</v>
      </c>
      <c r="B446" s="51" t="s">
        <v>1211</v>
      </c>
      <c r="C446" s="52" t="s">
        <v>1212</v>
      </c>
      <c r="D446" s="53"/>
      <c r="E446" s="53" t="s">
        <v>1216</v>
      </c>
      <c r="F446" s="53" t="s">
        <v>59</v>
      </c>
      <c r="G446" s="54">
        <v>1</v>
      </c>
      <c r="H446" s="53"/>
      <c r="I446" s="54">
        <v>227.3</v>
      </c>
      <c r="J446" s="55">
        <f>IFERROR(ROUND(SUM(M447)/I446, 2),0)</f>
        <v>418</v>
      </c>
      <c r="K446" s="55">
        <v>1010</v>
      </c>
      <c r="L446" s="55">
        <f>J446+ROUND(K446, 2)</f>
        <v>1428</v>
      </c>
      <c r="M446" s="55">
        <f>ROUND(J446*I446, 2)</f>
        <v>95011.4</v>
      </c>
      <c r="N446" s="55">
        <f>ROUND(I446*ROUND(K446, 2), 2)</f>
        <v>229573</v>
      </c>
      <c r="O446" s="55">
        <f>M446+N446</f>
        <v>324584.40000000002</v>
      </c>
      <c r="P446" s="55">
        <f>IFERROR(ROUND(SUM(S447)/I446, 2),0)</f>
        <v>418</v>
      </c>
      <c r="Q446" s="55">
        <v>1515</v>
      </c>
      <c r="R446" s="55">
        <f>P446+ROUND(Q446, 2)</f>
        <v>1933</v>
      </c>
      <c r="S446" s="55">
        <f>ROUND(P446*I446, 2)</f>
        <v>95011.4</v>
      </c>
      <c r="T446" s="55">
        <f>ROUND(I446*ROUND(Q446, 2), 2)</f>
        <v>344359.5</v>
      </c>
      <c r="U446" s="55">
        <f>S446+T446</f>
        <v>439370.9</v>
      </c>
      <c r="V446" s="9">
        <f>ROUND(P446 / 1.2, 2)</f>
        <v>348.33</v>
      </c>
      <c r="W446" s="9">
        <f>ROUND(Q446 / 1.2, 2)</f>
        <v>1262.5</v>
      </c>
      <c r="X446" s="9">
        <f>ROUND(R446 / 1.2, 2)</f>
        <v>1610.83</v>
      </c>
      <c r="Y446" s="9">
        <f>ROUND(S446 / 1.2, 2)</f>
        <v>79176.17</v>
      </c>
      <c r="Z446" s="9">
        <f>ROUND(T446 / 1.2, 2)</f>
        <v>286966.25</v>
      </c>
      <c r="AA446" s="9">
        <f>Y446+Z446</f>
        <v>366142.42</v>
      </c>
      <c r="AD446" s="4">
        <v>304337657</v>
      </c>
      <c r="AE446" s="4">
        <v>21950062</v>
      </c>
      <c r="AG446" s="4" t="s">
        <v>1213</v>
      </c>
      <c r="AH446" s="4" t="s">
        <v>1214</v>
      </c>
      <c r="AI446" s="4" t="s">
        <v>260</v>
      </c>
    </row>
    <row r="447" spans="1:35" ht="396" x14ac:dyDescent="0.3">
      <c r="A447" s="51" t="s">
        <v>1226</v>
      </c>
      <c r="B447" s="51"/>
      <c r="C447" s="56" t="s">
        <v>1218</v>
      </c>
      <c r="D447" s="53"/>
      <c r="E447" s="53" t="s">
        <v>1223</v>
      </c>
      <c r="F447" s="57" t="s">
        <v>369</v>
      </c>
      <c r="G447" s="58">
        <v>1</v>
      </c>
      <c r="H447" s="53"/>
      <c r="I447" s="58">
        <v>227.3</v>
      </c>
      <c r="J447" s="59">
        <v>418</v>
      </c>
      <c r="K447" s="60"/>
      <c r="L447" s="60"/>
      <c r="M447" s="59">
        <f>ROUND(ROUND(J447, 2)*I447, 2)</f>
        <v>95011.4</v>
      </c>
      <c r="N447" s="60"/>
      <c r="O447" s="60"/>
      <c r="P447" s="59">
        <v>418</v>
      </c>
      <c r="Q447" s="60"/>
      <c r="R447" s="60"/>
      <c r="S447" s="59">
        <f>ROUND(ROUND(P447, 2)*I447, 2)</f>
        <v>95011.4</v>
      </c>
      <c r="T447" s="60"/>
      <c r="U447" s="61"/>
      <c r="V447" s="9">
        <f>ROUND(ROUND(P447, 2)/1.2, 2)</f>
        <v>348.33</v>
      </c>
      <c r="Y447" s="9">
        <f>ROUND(S447 / 1.2, 2)</f>
        <v>79176.17</v>
      </c>
      <c r="AD447" s="4" t="s">
        <v>1227</v>
      </c>
      <c r="AE447" s="4" t="s">
        <v>1228</v>
      </c>
      <c r="AF447" s="4" t="s">
        <v>1221</v>
      </c>
    </row>
    <row r="448" spans="1:35" ht="36" x14ac:dyDescent="0.3">
      <c r="A448" s="17" t="s">
        <v>1229</v>
      </c>
      <c r="B448" s="17" t="s">
        <v>1230</v>
      </c>
      <c r="C448" s="18" t="s">
        <v>1231</v>
      </c>
      <c r="D448" s="19"/>
      <c r="E448" s="19"/>
      <c r="F448" s="19" t="s">
        <v>59</v>
      </c>
      <c r="G448" s="20">
        <v>1</v>
      </c>
      <c r="H448" s="19"/>
      <c r="I448" s="21">
        <v>0</v>
      </c>
      <c r="J448" s="22">
        <f>IFERROR(ROUND(SUM(M450,M452)/I448, 2),0)</f>
        <v>0</v>
      </c>
      <c r="K448" s="22">
        <v>428</v>
      </c>
      <c r="L448" s="22">
        <f>J448+ROUND(K448, 2)</f>
        <v>428</v>
      </c>
      <c r="M448" s="22">
        <f>ROUND(J448*I448, 2)</f>
        <v>0</v>
      </c>
      <c r="N448" s="22">
        <f>ROUND(I448*ROUND(K448, 2), 2)</f>
        <v>0</v>
      </c>
      <c r="O448" s="22">
        <f>M448+N448</f>
        <v>0</v>
      </c>
      <c r="P448" s="22">
        <f>IFERROR(ROUND(SUM(S450,S452)/I448, 2),0)</f>
        <v>0</v>
      </c>
      <c r="Q448" s="22">
        <v>428</v>
      </c>
      <c r="R448" s="22">
        <f>P448+ROUND(Q448, 2)</f>
        <v>428</v>
      </c>
      <c r="S448" s="22">
        <f>ROUND(P448*I448, 2)</f>
        <v>0</v>
      </c>
      <c r="T448" s="22">
        <f>ROUND(I448*ROUND(Q448, 2), 2)</f>
        <v>0</v>
      </c>
      <c r="U448" s="22">
        <f>S448+T448</f>
        <v>0</v>
      </c>
      <c r="V448" s="9">
        <f>ROUND(P448 / 1.2, 2)</f>
        <v>0</v>
      </c>
      <c r="W448" s="9">
        <f>ROUND(Q448 / 1.2, 2)</f>
        <v>356.67</v>
      </c>
      <c r="X448" s="9">
        <f>ROUND(R448 / 1.2, 2)</f>
        <v>356.67</v>
      </c>
      <c r="Y448" s="9">
        <f>ROUND(S448 / 1.2, 2)</f>
        <v>0</v>
      </c>
      <c r="Z448" s="9">
        <f>ROUND(T448 / 1.2, 2)</f>
        <v>0</v>
      </c>
      <c r="AA448" s="9">
        <f>Y448+Z448</f>
        <v>0</v>
      </c>
      <c r="AD448" s="4">
        <v>304337567</v>
      </c>
      <c r="AE448" s="4">
        <v>20300509</v>
      </c>
      <c r="AG448" s="4" t="s">
        <v>1232</v>
      </c>
      <c r="AH448" s="4" t="s">
        <v>1233</v>
      </c>
      <c r="AI448" s="4" t="s">
        <v>260</v>
      </c>
    </row>
    <row r="449" spans="1:35" ht="108" x14ac:dyDescent="0.3">
      <c r="A449" s="23" t="s">
        <v>1234</v>
      </c>
      <c r="B449" s="23" t="s">
        <v>1230</v>
      </c>
      <c r="C449" s="24" t="s">
        <v>1231</v>
      </c>
      <c r="D449" s="25"/>
      <c r="E449" s="25" t="s">
        <v>1235</v>
      </c>
      <c r="F449" s="25" t="s">
        <v>59</v>
      </c>
      <c r="G449" s="26">
        <v>1</v>
      </c>
      <c r="H449" s="25"/>
      <c r="I449" s="26">
        <v>276</v>
      </c>
      <c r="J449" s="27">
        <v>0</v>
      </c>
      <c r="K449" s="27">
        <v>428</v>
      </c>
      <c r="L449" s="27"/>
      <c r="M449" s="27">
        <v>0</v>
      </c>
      <c r="N449" s="27"/>
      <c r="O449" s="27"/>
      <c r="P449" s="27">
        <v>0</v>
      </c>
      <c r="Q449" s="27">
        <v>428</v>
      </c>
      <c r="R449" s="27"/>
      <c r="S449" s="27">
        <v>0</v>
      </c>
      <c r="T449" s="27"/>
      <c r="U449" s="27"/>
      <c r="V449" s="9"/>
      <c r="W449" s="9">
        <f>ROUND(Q449 / 1.2, 2)</f>
        <v>356.67</v>
      </c>
      <c r="X449" s="9" t="e">
        <f>ROUND(R449 / 1.2, 2)</f>
        <v>#VALUE!</v>
      </c>
      <c r="Y449" s="9"/>
      <c r="Z449" s="9" t="e">
        <f>ROUND(T449 / 1.2, 2)</f>
        <v>#VALUE!</v>
      </c>
      <c r="AA449" s="9"/>
      <c r="AD449" s="4">
        <v>281967397</v>
      </c>
      <c r="AE449" s="4">
        <v>20300509</v>
      </c>
      <c r="AG449" s="4" t="s">
        <v>1232</v>
      </c>
      <c r="AH449" s="4" t="s">
        <v>1233</v>
      </c>
      <c r="AI449" s="4"/>
    </row>
    <row r="450" spans="1:35" ht="36" x14ac:dyDescent="0.3">
      <c r="A450" s="17" t="s">
        <v>1236</v>
      </c>
      <c r="B450" s="17"/>
      <c r="C450" s="34" t="s">
        <v>682</v>
      </c>
      <c r="D450" s="19"/>
      <c r="E450" s="19"/>
      <c r="F450" s="35" t="s">
        <v>265</v>
      </c>
      <c r="G450" s="36">
        <v>0.15</v>
      </c>
      <c r="H450" s="19"/>
      <c r="I450" s="37">
        <v>0</v>
      </c>
      <c r="J450" s="38">
        <v>88.8</v>
      </c>
      <c r="K450" s="39"/>
      <c r="L450" s="39"/>
      <c r="M450" s="38">
        <f>ROUND(ROUND(J450, 2)*I450, 2)</f>
        <v>0</v>
      </c>
      <c r="N450" s="39"/>
      <c r="O450" s="39"/>
      <c r="P450" s="38">
        <v>88.8</v>
      </c>
      <c r="Q450" s="39"/>
      <c r="R450" s="39"/>
      <c r="S450" s="38">
        <f>ROUND(ROUND(P450, 2)*I450, 2)</f>
        <v>0</v>
      </c>
      <c r="T450" s="39"/>
      <c r="U450" s="40"/>
      <c r="V450" s="9">
        <f>ROUND(ROUND(P450, 2)/1.2, 2)</f>
        <v>74</v>
      </c>
      <c r="Y450" s="9">
        <f>ROUND(S450 / 1.2, 2)</f>
        <v>0</v>
      </c>
      <c r="AD450" s="4" t="s">
        <v>1237</v>
      </c>
      <c r="AE450" s="4" t="s">
        <v>1238</v>
      </c>
      <c r="AF450" s="4" t="s">
        <v>685</v>
      </c>
    </row>
    <row r="451" spans="1:35" ht="36" x14ac:dyDescent="0.3">
      <c r="A451" s="23" t="s">
        <v>1239</v>
      </c>
      <c r="B451" s="23"/>
      <c r="C451" s="41" t="s">
        <v>682</v>
      </c>
      <c r="D451" s="25"/>
      <c r="E451" s="25"/>
      <c r="F451" s="42" t="s">
        <v>265</v>
      </c>
      <c r="G451" s="43">
        <v>0.15</v>
      </c>
      <c r="H451" s="25"/>
      <c r="I451" s="43">
        <v>41.4</v>
      </c>
      <c r="J451" s="44">
        <v>88.8</v>
      </c>
      <c r="K451" s="45"/>
      <c r="L451" s="45"/>
      <c r="M451" s="44">
        <f>ROUND(ROUND(J451, 2)*I451, 2)</f>
        <v>3676.32</v>
      </c>
      <c r="N451" s="45"/>
      <c r="O451" s="45"/>
      <c r="P451" s="44">
        <v>88.8</v>
      </c>
      <c r="Q451" s="45"/>
      <c r="R451" s="45"/>
      <c r="S451" s="44">
        <f>ROUND(ROUND(P451, 2)*I451, 2)</f>
        <v>3676.32</v>
      </c>
      <c r="T451" s="45"/>
      <c r="U451" s="46"/>
      <c r="V451" s="9">
        <f>ROUND(ROUND(P451, 2)/1.2, 2)</f>
        <v>74</v>
      </c>
      <c r="Y451" s="9">
        <f>ROUND(S451 / 1.2, 2)</f>
        <v>3063.6</v>
      </c>
      <c r="AD451" s="4" t="s">
        <v>1240</v>
      </c>
      <c r="AE451" s="4" t="s">
        <v>1238</v>
      </c>
      <c r="AF451" s="4" t="s">
        <v>685</v>
      </c>
    </row>
    <row r="452" spans="1:35" ht="36" x14ac:dyDescent="0.3">
      <c r="A452" s="17" t="s">
        <v>1241</v>
      </c>
      <c r="B452" s="17"/>
      <c r="C452" s="34" t="s">
        <v>1242</v>
      </c>
      <c r="D452" s="19"/>
      <c r="E452" s="19"/>
      <c r="F452" s="35" t="s">
        <v>265</v>
      </c>
      <c r="G452" s="36">
        <v>0.3</v>
      </c>
      <c r="H452" s="19"/>
      <c r="I452" s="37">
        <v>0</v>
      </c>
      <c r="J452" s="38">
        <v>1216.56</v>
      </c>
      <c r="K452" s="39"/>
      <c r="L452" s="39"/>
      <c r="M452" s="38">
        <f>ROUND(ROUND(J452, 2)*I452, 2)</f>
        <v>0</v>
      </c>
      <c r="N452" s="39"/>
      <c r="O452" s="39"/>
      <c r="P452" s="38">
        <v>495.9</v>
      </c>
      <c r="Q452" s="39"/>
      <c r="R452" s="39"/>
      <c r="S452" s="38">
        <f>ROUND(ROUND(P452, 2)*I452, 2)</f>
        <v>0</v>
      </c>
      <c r="T452" s="39"/>
      <c r="U452" s="40"/>
      <c r="V452" s="9">
        <f>ROUND(ROUND(P452, 2)/1.2, 2)</f>
        <v>413.25</v>
      </c>
      <c r="Y452" s="9">
        <f>ROUND(S452 / 1.2, 2)</f>
        <v>0</v>
      </c>
      <c r="AD452" s="4" t="s">
        <v>1243</v>
      </c>
      <c r="AE452" s="4" t="s">
        <v>1244</v>
      </c>
      <c r="AF452" s="4" t="s">
        <v>1245</v>
      </c>
    </row>
    <row r="453" spans="1:35" ht="36" x14ac:dyDescent="0.3">
      <c r="A453" s="23" t="s">
        <v>1246</v>
      </c>
      <c r="B453" s="23"/>
      <c r="C453" s="41" t="s">
        <v>1242</v>
      </c>
      <c r="D453" s="25"/>
      <c r="E453" s="25"/>
      <c r="F453" s="42" t="s">
        <v>265</v>
      </c>
      <c r="G453" s="43">
        <v>0.3</v>
      </c>
      <c r="H453" s="25"/>
      <c r="I453" s="43">
        <v>82.8</v>
      </c>
      <c r="J453" s="44">
        <v>1216.56</v>
      </c>
      <c r="K453" s="45"/>
      <c r="L453" s="45"/>
      <c r="M453" s="44">
        <f>ROUND(ROUND(J453, 2)*I453, 2)</f>
        <v>100731.17</v>
      </c>
      <c r="N453" s="45"/>
      <c r="O453" s="45"/>
      <c r="P453" s="44">
        <v>495.9</v>
      </c>
      <c r="Q453" s="45"/>
      <c r="R453" s="45"/>
      <c r="S453" s="44">
        <f>ROUND(ROUND(P453, 2)*I453, 2)</f>
        <v>41060.519999999997</v>
      </c>
      <c r="T453" s="45"/>
      <c r="U453" s="46"/>
      <c r="V453" s="9">
        <f>ROUND(ROUND(P453, 2)/1.2, 2)</f>
        <v>413.25</v>
      </c>
      <c r="Y453" s="9">
        <f>ROUND(S453 / 1.2, 2)</f>
        <v>34217.1</v>
      </c>
      <c r="AD453" s="4" t="s">
        <v>1247</v>
      </c>
      <c r="AE453" s="4" t="s">
        <v>1244</v>
      </c>
      <c r="AF453" s="4" t="s">
        <v>1245</v>
      </c>
    </row>
    <row r="454" spans="1:35" ht="36" x14ac:dyDescent="0.3">
      <c r="A454" s="17" t="s">
        <v>1248</v>
      </c>
      <c r="B454" s="17" t="s">
        <v>1230</v>
      </c>
      <c r="C454" s="18" t="s">
        <v>1231</v>
      </c>
      <c r="D454" s="19"/>
      <c r="E454" s="19"/>
      <c r="F454" s="19" t="s">
        <v>59</v>
      </c>
      <c r="G454" s="20">
        <v>1</v>
      </c>
      <c r="H454" s="19"/>
      <c r="I454" s="21">
        <v>0</v>
      </c>
      <c r="J454" s="22">
        <f>IFERROR(ROUND(SUM(M456,M458)/I454, 2),0)</f>
        <v>0</v>
      </c>
      <c r="K454" s="22">
        <v>428</v>
      </c>
      <c r="L454" s="22">
        <f>J454+ROUND(K454, 2)</f>
        <v>428</v>
      </c>
      <c r="M454" s="22">
        <f>ROUND(J454*I454, 2)</f>
        <v>0</v>
      </c>
      <c r="N454" s="22">
        <f>ROUND(I454*ROUND(K454, 2), 2)</f>
        <v>0</v>
      </c>
      <c r="O454" s="22">
        <f>M454+N454</f>
        <v>0</v>
      </c>
      <c r="P454" s="22">
        <f>IFERROR(ROUND(SUM(S456,S458)/I454, 2),0)</f>
        <v>0</v>
      </c>
      <c r="Q454" s="22">
        <v>428</v>
      </c>
      <c r="R454" s="22">
        <f>P454+ROUND(Q454, 2)</f>
        <v>428</v>
      </c>
      <c r="S454" s="22">
        <f>ROUND(P454*I454, 2)</f>
        <v>0</v>
      </c>
      <c r="T454" s="22">
        <f>ROUND(I454*ROUND(Q454, 2), 2)</f>
        <v>0</v>
      </c>
      <c r="U454" s="22">
        <f>S454+T454</f>
        <v>0</v>
      </c>
      <c r="V454" s="9">
        <f>ROUND(P454 / 1.2, 2)</f>
        <v>0</v>
      </c>
      <c r="W454" s="9">
        <f>ROUND(Q454 / 1.2, 2)</f>
        <v>356.67</v>
      </c>
      <c r="X454" s="9">
        <f>ROUND(R454 / 1.2, 2)</f>
        <v>356.67</v>
      </c>
      <c r="Y454" s="9">
        <f>ROUND(S454 / 1.2, 2)</f>
        <v>0</v>
      </c>
      <c r="Z454" s="9">
        <f>ROUND(T454 / 1.2, 2)</f>
        <v>0</v>
      </c>
      <c r="AA454" s="9">
        <f>Y454+Z454</f>
        <v>0</v>
      </c>
      <c r="AD454" s="4">
        <v>304337658</v>
      </c>
      <c r="AE454" s="4">
        <v>20300511</v>
      </c>
      <c r="AG454" s="4" t="s">
        <v>1232</v>
      </c>
      <c r="AH454" s="4" t="s">
        <v>1233</v>
      </c>
      <c r="AI454" s="4" t="s">
        <v>260</v>
      </c>
    </row>
    <row r="455" spans="1:35" ht="108" x14ac:dyDescent="0.3">
      <c r="A455" s="23" t="s">
        <v>1249</v>
      </c>
      <c r="B455" s="23" t="s">
        <v>1230</v>
      </c>
      <c r="C455" s="24" t="s">
        <v>1231</v>
      </c>
      <c r="D455" s="25"/>
      <c r="E455" s="25" t="s">
        <v>1250</v>
      </c>
      <c r="F455" s="25" t="s">
        <v>59</v>
      </c>
      <c r="G455" s="26">
        <v>1</v>
      </c>
      <c r="H455" s="25"/>
      <c r="I455" s="26">
        <v>224.5</v>
      </c>
      <c r="J455" s="27">
        <v>0</v>
      </c>
      <c r="K455" s="27">
        <v>428</v>
      </c>
      <c r="L455" s="27"/>
      <c r="M455" s="27">
        <v>0</v>
      </c>
      <c r="N455" s="27"/>
      <c r="O455" s="27"/>
      <c r="P455" s="27">
        <v>0</v>
      </c>
      <c r="Q455" s="27">
        <v>428</v>
      </c>
      <c r="R455" s="27"/>
      <c r="S455" s="27">
        <v>0</v>
      </c>
      <c r="T455" s="27"/>
      <c r="U455" s="27"/>
      <c r="V455" s="9"/>
      <c r="W455" s="9">
        <f>ROUND(Q455 / 1.2, 2)</f>
        <v>356.67</v>
      </c>
      <c r="X455" s="9" t="e">
        <f>ROUND(R455 / 1.2, 2)</f>
        <v>#VALUE!</v>
      </c>
      <c r="Y455" s="9"/>
      <c r="Z455" s="9" t="e">
        <f>ROUND(T455 / 1.2, 2)</f>
        <v>#VALUE!</v>
      </c>
      <c r="AA455" s="9"/>
      <c r="AD455" s="4">
        <v>281967446</v>
      </c>
      <c r="AE455" s="4">
        <v>20300511</v>
      </c>
      <c r="AG455" s="4" t="s">
        <v>1232</v>
      </c>
      <c r="AH455" s="4" t="s">
        <v>1233</v>
      </c>
      <c r="AI455" s="4"/>
    </row>
    <row r="456" spans="1:35" ht="36" x14ac:dyDescent="0.3">
      <c r="A456" s="17" t="s">
        <v>1251</v>
      </c>
      <c r="B456" s="17"/>
      <c r="C456" s="34" t="s">
        <v>1242</v>
      </c>
      <c r="D456" s="19"/>
      <c r="E456" s="19"/>
      <c r="F456" s="35" t="s">
        <v>265</v>
      </c>
      <c r="G456" s="36">
        <v>0.3</v>
      </c>
      <c r="H456" s="19"/>
      <c r="I456" s="37">
        <v>0</v>
      </c>
      <c r="J456" s="38">
        <v>1216.56</v>
      </c>
      <c r="K456" s="39"/>
      <c r="L456" s="39"/>
      <c r="M456" s="38">
        <f>ROUND(ROUND(J456, 2)*I456, 2)</f>
        <v>0</v>
      </c>
      <c r="N456" s="39"/>
      <c r="O456" s="39"/>
      <c r="P456" s="38">
        <v>495.9</v>
      </c>
      <c r="Q456" s="39"/>
      <c r="R456" s="39"/>
      <c r="S456" s="38">
        <f>ROUND(ROUND(P456, 2)*I456, 2)</f>
        <v>0</v>
      </c>
      <c r="T456" s="39"/>
      <c r="U456" s="40"/>
      <c r="V456" s="9">
        <f>ROUND(ROUND(P456, 2)/1.2, 2)</f>
        <v>413.25</v>
      </c>
      <c r="Y456" s="9">
        <f>ROUND(S456 / 1.2, 2)</f>
        <v>0</v>
      </c>
      <c r="AD456" s="4" t="s">
        <v>1252</v>
      </c>
      <c r="AE456" s="4" t="s">
        <v>1253</v>
      </c>
      <c r="AF456" s="4" t="s">
        <v>1245</v>
      </c>
    </row>
    <row r="457" spans="1:35" ht="36" x14ac:dyDescent="0.3">
      <c r="A457" s="23" t="s">
        <v>1254</v>
      </c>
      <c r="B457" s="23"/>
      <c r="C457" s="41" t="s">
        <v>1242</v>
      </c>
      <c r="D457" s="25"/>
      <c r="E457" s="25"/>
      <c r="F457" s="42" t="s">
        <v>265</v>
      </c>
      <c r="G457" s="43">
        <v>0.3</v>
      </c>
      <c r="H457" s="25"/>
      <c r="I457" s="43">
        <v>67.349999999999994</v>
      </c>
      <c r="J457" s="44">
        <v>1216.56</v>
      </c>
      <c r="K457" s="45"/>
      <c r="L457" s="45"/>
      <c r="M457" s="44">
        <f>ROUND(ROUND(J457, 2)*I457, 2)</f>
        <v>81935.320000000007</v>
      </c>
      <c r="N457" s="45"/>
      <c r="O457" s="45"/>
      <c r="P457" s="44">
        <v>495.9</v>
      </c>
      <c r="Q457" s="45"/>
      <c r="R457" s="45"/>
      <c r="S457" s="44">
        <f>ROUND(ROUND(P457, 2)*I457, 2)</f>
        <v>33398.870000000003</v>
      </c>
      <c r="T457" s="45"/>
      <c r="U457" s="46"/>
      <c r="V457" s="9">
        <f>ROUND(ROUND(P457, 2)/1.2, 2)</f>
        <v>413.25</v>
      </c>
      <c r="Y457" s="9">
        <f>ROUND(S457 / 1.2, 2)</f>
        <v>27832.39</v>
      </c>
      <c r="AD457" s="4" t="s">
        <v>1255</v>
      </c>
      <c r="AE457" s="4" t="s">
        <v>1253</v>
      </c>
      <c r="AF457" s="4" t="s">
        <v>1245</v>
      </c>
    </row>
    <row r="458" spans="1:35" ht="36" x14ac:dyDescent="0.3">
      <c r="A458" s="17" t="s">
        <v>1256</v>
      </c>
      <c r="B458" s="17"/>
      <c r="C458" s="34" t="s">
        <v>682</v>
      </c>
      <c r="D458" s="19"/>
      <c r="E458" s="19"/>
      <c r="F458" s="35" t="s">
        <v>265</v>
      </c>
      <c r="G458" s="36">
        <v>0.15</v>
      </c>
      <c r="H458" s="19"/>
      <c r="I458" s="37">
        <v>0</v>
      </c>
      <c r="J458" s="38">
        <v>88.8</v>
      </c>
      <c r="K458" s="39"/>
      <c r="L458" s="39"/>
      <c r="M458" s="38">
        <f>ROUND(ROUND(J458, 2)*I458, 2)</f>
        <v>0</v>
      </c>
      <c r="N458" s="39"/>
      <c r="O458" s="39"/>
      <c r="P458" s="38">
        <v>88.8</v>
      </c>
      <c r="Q458" s="39"/>
      <c r="R458" s="39"/>
      <c r="S458" s="38">
        <f>ROUND(ROUND(P458, 2)*I458, 2)</f>
        <v>0</v>
      </c>
      <c r="T458" s="39"/>
      <c r="U458" s="40"/>
      <c r="V458" s="9">
        <f>ROUND(ROUND(P458, 2)/1.2, 2)</f>
        <v>74</v>
      </c>
      <c r="Y458" s="9">
        <f>ROUND(S458 / 1.2, 2)</f>
        <v>0</v>
      </c>
      <c r="AD458" s="4" t="s">
        <v>1257</v>
      </c>
      <c r="AE458" s="4" t="s">
        <v>1258</v>
      </c>
      <c r="AF458" s="4" t="s">
        <v>685</v>
      </c>
    </row>
    <row r="459" spans="1:35" ht="36" x14ac:dyDescent="0.3">
      <c r="A459" s="23" t="s">
        <v>1259</v>
      </c>
      <c r="B459" s="23"/>
      <c r="C459" s="41" t="s">
        <v>682</v>
      </c>
      <c r="D459" s="25"/>
      <c r="E459" s="25"/>
      <c r="F459" s="42" t="s">
        <v>265</v>
      </c>
      <c r="G459" s="43">
        <v>0.15</v>
      </c>
      <c r="H459" s="25"/>
      <c r="I459" s="43">
        <v>33.674999999999997</v>
      </c>
      <c r="J459" s="44">
        <v>88.8</v>
      </c>
      <c r="K459" s="45"/>
      <c r="L459" s="45"/>
      <c r="M459" s="44">
        <f>ROUND(ROUND(J459, 2)*I459, 2)</f>
        <v>2990.34</v>
      </c>
      <c r="N459" s="45"/>
      <c r="O459" s="45"/>
      <c r="P459" s="44">
        <v>88.8</v>
      </c>
      <c r="Q459" s="45"/>
      <c r="R459" s="45"/>
      <c r="S459" s="44">
        <f>ROUND(ROUND(P459, 2)*I459, 2)</f>
        <v>2990.34</v>
      </c>
      <c r="T459" s="45"/>
      <c r="U459" s="46"/>
      <c r="V459" s="9">
        <f>ROUND(ROUND(P459, 2)/1.2, 2)</f>
        <v>74</v>
      </c>
      <c r="Y459" s="9">
        <f>ROUND(S459 / 1.2, 2)</f>
        <v>2491.9499999999998</v>
      </c>
      <c r="AD459" s="4" t="s">
        <v>1260</v>
      </c>
      <c r="AE459" s="4" t="s">
        <v>1258</v>
      </c>
      <c r="AF459" s="4" t="s">
        <v>685</v>
      </c>
    </row>
    <row r="460" spans="1:35" ht="36" x14ac:dyDescent="0.3">
      <c r="A460" s="17" t="s">
        <v>1261</v>
      </c>
      <c r="B460" s="17" t="s">
        <v>1230</v>
      </c>
      <c r="C460" s="18" t="s">
        <v>1231</v>
      </c>
      <c r="D460" s="19"/>
      <c r="E460" s="19"/>
      <c r="F460" s="19" t="s">
        <v>59</v>
      </c>
      <c r="G460" s="20">
        <v>1</v>
      </c>
      <c r="H460" s="19"/>
      <c r="I460" s="21">
        <v>0</v>
      </c>
      <c r="J460" s="22">
        <f>IFERROR(ROUND(SUM(M462,M464)/I460, 2),0)</f>
        <v>0</v>
      </c>
      <c r="K460" s="22">
        <v>428</v>
      </c>
      <c r="L460" s="22">
        <f>J460+ROUND(K460, 2)</f>
        <v>428</v>
      </c>
      <c r="M460" s="22">
        <f>ROUND(J460*I460, 2)</f>
        <v>0</v>
      </c>
      <c r="N460" s="22">
        <f>ROUND(I460*ROUND(K460, 2), 2)</f>
        <v>0</v>
      </c>
      <c r="O460" s="22">
        <f>M460+N460</f>
        <v>0</v>
      </c>
      <c r="P460" s="22">
        <f>IFERROR(ROUND(SUM(S462,S464)/I460, 2),0)</f>
        <v>0</v>
      </c>
      <c r="Q460" s="22">
        <v>428</v>
      </c>
      <c r="R460" s="22">
        <f>P460+ROUND(Q460, 2)</f>
        <v>428</v>
      </c>
      <c r="S460" s="22">
        <f>ROUND(P460*I460, 2)</f>
        <v>0</v>
      </c>
      <c r="T460" s="22">
        <f>ROUND(I460*ROUND(Q460, 2), 2)</f>
        <v>0</v>
      </c>
      <c r="U460" s="22">
        <f>S460+T460</f>
        <v>0</v>
      </c>
      <c r="V460" s="9">
        <f>ROUND(P460 / 1.2, 2)</f>
        <v>0</v>
      </c>
      <c r="W460" s="9">
        <f>ROUND(Q460 / 1.2, 2)</f>
        <v>356.67</v>
      </c>
      <c r="X460" s="9">
        <f>ROUND(R460 / 1.2, 2)</f>
        <v>356.67</v>
      </c>
      <c r="Y460" s="9">
        <f>ROUND(S460 / 1.2, 2)</f>
        <v>0</v>
      </c>
      <c r="Z460" s="9">
        <f>ROUND(T460 / 1.2, 2)</f>
        <v>0</v>
      </c>
      <c r="AA460" s="9">
        <f>Y460+Z460</f>
        <v>0</v>
      </c>
      <c r="AD460" s="4">
        <v>304337659</v>
      </c>
      <c r="AE460" s="4">
        <v>20300513</v>
      </c>
      <c r="AG460" s="4" t="s">
        <v>1232</v>
      </c>
      <c r="AH460" s="4" t="s">
        <v>1233</v>
      </c>
      <c r="AI460" s="4" t="s">
        <v>260</v>
      </c>
    </row>
    <row r="461" spans="1:35" ht="108" x14ac:dyDescent="0.3">
      <c r="A461" s="23" t="s">
        <v>1262</v>
      </c>
      <c r="B461" s="23" t="s">
        <v>1230</v>
      </c>
      <c r="C461" s="24" t="s">
        <v>1231</v>
      </c>
      <c r="D461" s="25"/>
      <c r="E461" s="25" t="s">
        <v>1263</v>
      </c>
      <c r="F461" s="25" t="s">
        <v>59</v>
      </c>
      <c r="G461" s="26">
        <v>1</v>
      </c>
      <c r="H461" s="25"/>
      <c r="I461" s="26">
        <v>180</v>
      </c>
      <c r="J461" s="27">
        <v>0</v>
      </c>
      <c r="K461" s="27">
        <v>428</v>
      </c>
      <c r="L461" s="27"/>
      <c r="M461" s="27">
        <v>0</v>
      </c>
      <c r="N461" s="27"/>
      <c r="O461" s="27"/>
      <c r="P461" s="27">
        <v>0</v>
      </c>
      <c r="Q461" s="27">
        <v>428</v>
      </c>
      <c r="R461" s="27"/>
      <c r="S461" s="27">
        <v>0</v>
      </c>
      <c r="T461" s="27"/>
      <c r="U461" s="27"/>
      <c r="V461" s="9"/>
      <c r="W461" s="9">
        <f>ROUND(Q461 / 1.2, 2)</f>
        <v>356.67</v>
      </c>
      <c r="X461" s="9" t="e">
        <f>ROUND(R461 / 1.2, 2)</f>
        <v>#VALUE!</v>
      </c>
      <c r="Y461" s="9"/>
      <c r="Z461" s="9" t="e">
        <f>ROUND(T461 / 1.2, 2)</f>
        <v>#VALUE!</v>
      </c>
      <c r="AA461" s="9"/>
      <c r="AD461" s="4">
        <v>281967447</v>
      </c>
      <c r="AE461" s="4">
        <v>20300513</v>
      </c>
      <c r="AG461" s="4" t="s">
        <v>1232</v>
      </c>
      <c r="AH461" s="4" t="s">
        <v>1233</v>
      </c>
      <c r="AI461" s="4"/>
    </row>
    <row r="462" spans="1:35" ht="36" x14ac:dyDescent="0.3">
      <c r="A462" s="17" t="s">
        <v>1264</v>
      </c>
      <c r="B462" s="17"/>
      <c r="C462" s="34" t="s">
        <v>682</v>
      </c>
      <c r="D462" s="19"/>
      <c r="E462" s="19"/>
      <c r="F462" s="35" t="s">
        <v>265</v>
      </c>
      <c r="G462" s="36">
        <v>0.15</v>
      </c>
      <c r="H462" s="19"/>
      <c r="I462" s="37">
        <v>0</v>
      </c>
      <c r="J462" s="38">
        <v>88.8</v>
      </c>
      <c r="K462" s="39"/>
      <c r="L462" s="39"/>
      <c r="M462" s="38">
        <f>ROUND(ROUND(J462, 2)*I462, 2)</f>
        <v>0</v>
      </c>
      <c r="N462" s="39"/>
      <c r="O462" s="39"/>
      <c r="P462" s="38">
        <v>88.8</v>
      </c>
      <c r="Q462" s="39"/>
      <c r="R462" s="39"/>
      <c r="S462" s="38">
        <f>ROUND(ROUND(P462, 2)*I462, 2)</f>
        <v>0</v>
      </c>
      <c r="T462" s="39"/>
      <c r="U462" s="40"/>
      <c r="V462" s="9">
        <f>ROUND(ROUND(P462, 2)/1.2, 2)</f>
        <v>74</v>
      </c>
      <c r="Y462" s="9">
        <f>ROUND(S462 / 1.2, 2)</f>
        <v>0</v>
      </c>
      <c r="AD462" s="4" t="s">
        <v>1265</v>
      </c>
      <c r="AE462" s="4" t="s">
        <v>1266</v>
      </c>
      <c r="AF462" s="4" t="s">
        <v>685</v>
      </c>
    </row>
    <row r="463" spans="1:35" ht="36" x14ac:dyDescent="0.3">
      <c r="A463" s="23" t="s">
        <v>1267</v>
      </c>
      <c r="B463" s="23"/>
      <c r="C463" s="41" t="s">
        <v>682</v>
      </c>
      <c r="D463" s="25"/>
      <c r="E463" s="25"/>
      <c r="F463" s="42" t="s">
        <v>265</v>
      </c>
      <c r="G463" s="43">
        <v>0.15</v>
      </c>
      <c r="H463" s="25"/>
      <c r="I463" s="43">
        <v>27</v>
      </c>
      <c r="J463" s="44">
        <v>88.8</v>
      </c>
      <c r="K463" s="45"/>
      <c r="L463" s="45"/>
      <c r="M463" s="44">
        <f>ROUND(ROUND(J463, 2)*I463, 2)</f>
        <v>2397.6</v>
      </c>
      <c r="N463" s="45"/>
      <c r="O463" s="45"/>
      <c r="P463" s="44">
        <v>88.8</v>
      </c>
      <c r="Q463" s="45"/>
      <c r="R463" s="45"/>
      <c r="S463" s="44">
        <f>ROUND(ROUND(P463, 2)*I463, 2)</f>
        <v>2397.6</v>
      </c>
      <c r="T463" s="45"/>
      <c r="U463" s="46"/>
      <c r="V463" s="9">
        <f>ROUND(ROUND(P463, 2)/1.2, 2)</f>
        <v>74</v>
      </c>
      <c r="Y463" s="9">
        <f>ROUND(S463 / 1.2, 2)</f>
        <v>1998</v>
      </c>
      <c r="AD463" s="4" t="s">
        <v>1268</v>
      </c>
      <c r="AE463" s="4" t="s">
        <v>1266</v>
      </c>
      <c r="AF463" s="4" t="s">
        <v>685</v>
      </c>
    </row>
    <row r="464" spans="1:35" ht="36" x14ac:dyDescent="0.3">
      <c r="A464" s="17" t="s">
        <v>1269</v>
      </c>
      <c r="B464" s="17"/>
      <c r="C464" s="34" t="s">
        <v>1242</v>
      </c>
      <c r="D464" s="19"/>
      <c r="E464" s="19"/>
      <c r="F464" s="35" t="s">
        <v>265</v>
      </c>
      <c r="G464" s="36">
        <v>0.3</v>
      </c>
      <c r="H464" s="19"/>
      <c r="I464" s="37">
        <v>0</v>
      </c>
      <c r="J464" s="38">
        <v>1216.56</v>
      </c>
      <c r="K464" s="39"/>
      <c r="L464" s="39"/>
      <c r="M464" s="38">
        <f>ROUND(ROUND(J464, 2)*I464, 2)</f>
        <v>0</v>
      </c>
      <c r="N464" s="39"/>
      <c r="O464" s="39"/>
      <c r="P464" s="38">
        <v>495.9</v>
      </c>
      <c r="Q464" s="39"/>
      <c r="R464" s="39"/>
      <c r="S464" s="38">
        <f>ROUND(ROUND(P464, 2)*I464, 2)</f>
        <v>0</v>
      </c>
      <c r="T464" s="39"/>
      <c r="U464" s="40"/>
      <c r="V464" s="9">
        <f>ROUND(ROUND(P464, 2)/1.2, 2)</f>
        <v>413.25</v>
      </c>
      <c r="Y464" s="9">
        <f>ROUND(S464 / 1.2, 2)</f>
        <v>0</v>
      </c>
      <c r="AD464" s="4" t="s">
        <v>1270</v>
      </c>
      <c r="AE464" s="4" t="s">
        <v>1271</v>
      </c>
      <c r="AF464" s="4" t="s">
        <v>1245</v>
      </c>
    </row>
    <row r="465" spans="1:35" ht="36" x14ac:dyDescent="0.3">
      <c r="A465" s="23" t="s">
        <v>1272</v>
      </c>
      <c r="B465" s="23"/>
      <c r="C465" s="41" t="s">
        <v>1242</v>
      </c>
      <c r="D465" s="25"/>
      <c r="E465" s="25"/>
      <c r="F465" s="42" t="s">
        <v>265</v>
      </c>
      <c r="G465" s="43">
        <v>0.3</v>
      </c>
      <c r="H465" s="25"/>
      <c r="I465" s="43">
        <v>54</v>
      </c>
      <c r="J465" s="44">
        <v>1216.56</v>
      </c>
      <c r="K465" s="45"/>
      <c r="L465" s="45"/>
      <c r="M465" s="44">
        <f>ROUND(ROUND(J465, 2)*I465, 2)</f>
        <v>65694.240000000005</v>
      </c>
      <c r="N465" s="45"/>
      <c r="O465" s="45"/>
      <c r="P465" s="44">
        <v>495.9</v>
      </c>
      <c r="Q465" s="45"/>
      <c r="R465" s="45"/>
      <c r="S465" s="44">
        <f>ROUND(ROUND(P465, 2)*I465, 2)</f>
        <v>26778.6</v>
      </c>
      <c r="T465" s="45"/>
      <c r="U465" s="46"/>
      <c r="V465" s="9">
        <f>ROUND(ROUND(P465, 2)/1.2, 2)</f>
        <v>413.25</v>
      </c>
      <c r="Y465" s="9">
        <f>ROUND(S465 / 1.2, 2)</f>
        <v>22315.5</v>
      </c>
      <c r="AD465" s="4" t="s">
        <v>1273</v>
      </c>
      <c r="AE465" s="4" t="s">
        <v>1271</v>
      </c>
      <c r="AF465" s="4" t="s">
        <v>1245</v>
      </c>
    </row>
    <row r="466" spans="1:35" ht="36" x14ac:dyDescent="0.3">
      <c r="A466" s="17" t="s">
        <v>1274</v>
      </c>
      <c r="B466" s="17" t="s">
        <v>1230</v>
      </c>
      <c r="C466" s="18" t="s">
        <v>1231</v>
      </c>
      <c r="D466" s="19"/>
      <c r="E466" s="19"/>
      <c r="F466" s="19" t="s">
        <v>59</v>
      </c>
      <c r="G466" s="20">
        <v>1</v>
      </c>
      <c r="H466" s="19"/>
      <c r="I466" s="21">
        <v>0</v>
      </c>
      <c r="J466" s="22">
        <f>IFERROR(ROUND(SUM(M468,M470)/I466, 2),0)</f>
        <v>0</v>
      </c>
      <c r="K466" s="22">
        <v>428</v>
      </c>
      <c r="L466" s="22">
        <f>J466+ROUND(K466, 2)</f>
        <v>428</v>
      </c>
      <c r="M466" s="22">
        <f>ROUND(J466*I466, 2)</f>
        <v>0</v>
      </c>
      <c r="N466" s="22">
        <f>ROUND(I466*ROUND(K466, 2), 2)</f>
        <v>0</v>
      </c>
      <c r="O466" s="22">
        <f>M466+N466</f>
        <v>0</v>
      </c>
      <c r="P466" s="22">
        <f>IFERROR(ROUND(SUM(S468,S470)/I466, 2),0)</f>
        <v>0</v>
      </c>
      <c r="Q466" s="22">
        <v>428</v>
      </c>
      <c r="R466" s="22">
        <f>P466+ROUND(Q466, 2)</f>
        <v>428</v>
      </c>
      <c r="S466" s="22">
        <f>ROUND(P466*I466, 2)</f>
        <v>0</v>
      </c>
      <c r="T466" s="22">
        <f>ROUND(I466*ROUND(Q466, 2), 2)</f>
        <v>0</v>
      </c>
      <c r="U466" s="22">
        <f>S466+T466</f>
        <v>0</v>
      </c>
      <c r="V466" s="9">
        <f>ROUND(P466 / 1.2, 2)</f>
        <v>0</v>
      </c>
      <c r="W466" s="9">
        <f>ROUND(Q466 / 1.2, 2)</f>
        <v>356.67</v>
      </c>
      <c r="X466" s="9">
        <f>ROUND(R466 / 1.2, 2)</f>
        <v>356.67</v>
      </c>
      <c r="Y466" s="9">
        <f>ROUND(S466 / 1.2, 2)</f>
        <v>0</v>
      </c>
      <c r="Z466" s="9">
        <f>ROUND(T466 / 1.2, 2)</f>
        <v>0</v>
      </c>
      <c r="AA466" s="9">
        <f>Y466+Z466</f>
        <v>0</v>
      </c>
      <c r="AD466" s="4">
        <v>304337660</v>
      </c>
      <c r="AE466" s="4">
        <v>20300713</v>
      </c>
      <c r="AG466" s="4" t="s">
        <v>1232</v>
      </c>
      <c r="AH466" s="4" t="s">
        <v>1233</v>
      </c>
      <c r="AI466" s="4" t="s">
        <v>260</v>
      </c>
    </row>
    <row r="467" spans="1:35" ht="108" x14ac:dyDescent="0.3">
      <c r="A467" s="23" t="s">
        <v>1275</v>
      </c>
      <c r="B467" s="23" t="s">
        <v>1230</v>
      </c>
      <c r="C467" s="24" t="s">
        <v>1231</v>
      </c>
      <c r="D467" s="25"/>
      <c r="E467" s="25" t="s">
        <v>1276</v>
      </c>
      <c r="F467" s="25" t="s">
        <v>59</v>
      </c>
      <c r="G467" s="26">
        <v>1</v>
      </c>
      <c r="H467" s="25"/>
      <c r="I467" s="26">
        <v>1285.3</v>
      </c>
      <c r="J467" s="27">
        <v>0</v>
      </c>
      <c r="K467" s="27">
        <v>428</v>
      </c>
      <c r="L467" s="27"/>
      <c r="M467" s="27">
        <v>0</v>
      </c>
      <c r="N467" s="27"/>
      <c r="O467" s="27"/>
      <c r="P467" s="27">
        <v>0</v>
      </c>
      <c r="Q467" s="27">
        <v>428</v>
      </c>
      <c r="R467" s="27"/>
      <c r="S467" s="27">
        <v>0</v>
      </c>
      <c r="T467" s="27"/>
      <c r="U467" s="27"/>
      <c r="V467" s="9"/>
      <c r="W467" s="9">
        <f>ROUND(Q467 / 1.2, 2)</f>
        <v>356.67</v>
      </c>
      <c r="X467" s="9" t="e">
        <f>ROUND(R467 / 1.2, 2)</f>
        <v>#VALUE!</v>
      </c>
      <c r="Y467" s="9"/>
      <c r="Z467" s="9" t="e">
        <f>ROUND(T467 / 1.2, 2)</f>
        <v>#VALUE!</v>
      </c>
      <c r="AA467" s="9"/>
      <c r="AD467" s="4">
        <v>281967448</v>
      </c>
      <c r="AE467" s="4">
        <v>20300713</v>
      </c>
      <c r="AG467" s="4" t="s">
        <v>1232</v>
      </c>
      <c r="AH467" s="4" t="s">
        <v>1233</v>
      </c>
      <c r="AI467" s="4"/>
    </row>
    <row r="468" spans="1:35" ht="36" x14ac:dyDescent="0.3">
      <c r="A468" s="17" t="s">
        <v>1277</v>
      </c>
      <c r="B468" s="17"/>
      <c r="C468" s="34" t="s">
        <v>1242</v>
      </c>
      <c r="D468" s="19"/>
      <c r="E468" s="19"/>
      <c r="F468" s="35" t="s">
        <v>265</v>
      </c>
      <c r="G468" s="36">
        <v>0.3</v>
      </c>
      <c r="H468" s="19"/>
      <c r="I468" s="37">
        <v>0</v>
      </c>
      <c r="J468" s="38">
        <v>1216.56</v>
      </c>
      <c r="K468" s="39"/>
      <c r="L468" s="39"/>
      <c r="M468" s="38">
        <f>ROUND(ROUND(J468, 2)*I468, 2)</f>
        <v>0</v>
      </c>
      <c r="N468" s="39"/>
      <c r="O468" s="39"/>
      <c r="P468" s="38">
        <v>495.9</v>
      </c>
      <c r="Q468" s="39"/>
      <c r="R468" s="39"/>
      <c r="S468" s="38">
        <f>ROUND(ROUND(P468, 2)*I468, 2)</f>
        <v>0</v>
      </c>
      <c r="T468" s="39"/>
      <c r="U468" s="40"/>
      <c r="V468" s="9">
        <f>ROUND(ROUND(P468, 2)/1.2, 2)</f>
        <v>413.25</v>
      </c>
      <c r="Y468" s="9">
        <f>ROUND(S468 / 1.2, 2)</f>
        <v>0</v>
      </c>
      <c r="AD468" s="4" t="s">
        <v>1278</v>
      </c>
      <c r="AE468" s="4" t="s">
        <v>1279</v>
      </c>
      <c r="AF468" s="4" t="s">
        <v>1245</v>
      </c>
    </row>
    <row r="469" spans="1:35" ht="36" x14ac:dyDescent="0.3">
      <c r="A469" s="23" t="s">
        <v>1280</v>
      </c>
      <c r="B469" s="23"/>
      <c r="C469" s="41" t="s">
        <v>1242</v>
      </c>
      <c r="D469" s="25"/>
      <c r="E469" s="25"/>
      <c r="F469" s="42" t="s">
        <v>265</v>
      </c>
      <c r="G469" s="43">
        <v>0.3</v>
      </c>
      <c r="H469" s="25"/>
      <c r="I469" s="43">
        <v>385.59</v>
      </c>
      <c r="J469" s="44">
        <v>1216.56</v>
      </c>
      <c r="K469" s="45"/>
      <c r="L469" s="45"/>
      <c r="M469" s="44">
        <f>ROUND(ROUND(J469, 2)*I469, 2)</f>
        <v>469093.37</v>
      </c>
      <c r="N469" s="45"/>
      <c r="O469" s="45"/>
      <c r="P469" s="44">
        <v>495.9</v>
      </c>
      <c r="Q469" s="45"/>
      <c r="R469" s="45"/>
      <c r="S469" s="44">
        <f>ROUND(ROUND(P469, 2)*I469, 2)</f>
        <v>191214.07999999999</v>
      </c>
      <c r="T469" s="45"/>
      <c r="U469" s="46"/>
      <c r="V469" s="9">
        <f>ROUND(ROUND(P469, 2)/1.2, 2)</f>
        <v>413.25</v>
      </c>
      <c r="Y469" s="9">
        <f>ROUND(S469 / 1.2, 2)</f>
        <v>159345.07</v>
      </c>
      <c r="AD469" s="4" t="s">
        <v>1281</v>
      </c>
      <c r="AE469" s="4" t="s">
        <v>1279</v>
      </c>
      <c r="AF469" s="4" t="s">
        <v>1245</v>
      </c>
    </row>
    <row r="470" spans="1:35" ht="36" x14ac:dyDescent="0.3">
      <c r="A470" s="17" t="s">
        <v>1282</v>
      </c>
      <c r="B470" s="17"/>
      <c r="C470" s="34" t="s">
        <v>682</v>
      </c>
      <c r="D470" s="19"/>
      <c r="E470" s="19"/>
      <c r="F470" s="35" t="s">
        <v>265</v>
      </c>
      <c r="G470" s="36">
        <v>0.15</v>
      </c>
      <c r="H470" s="19"/>
      <c r="I470" s="37">
        <v>0</v>
      </c>
      <c r="J470" s="38">
        <v>88.8</v>
      </c>
      <c r="K470" s="39"/>
      <c r="L470" s="39"/>
      <c r="M470" s="38">
        <f>ROUND(ROUND(J470, 2)*I470, 2)</f>
        <v>0</v>
      </c>
      <c r="N470" s="39"/>
      <c r="O470" s="39"/>
      <c r="P470" s="38">
        <v>88.8</v>
      </c>
      <c r="Q470" s="39"/>
      <c r="R470" s="39"/>
      <c r="S470" s="38">
        <f>ROUND(ROUND(P470, 2)*I470, 2)</f>
        <v>0</v>
      </c>
      <c r="T470" s="39"/>
      <c r="U470" s="40"/>
      <c r="V470" s="9">
        <f>ROUND(ROUND(P470, 2)/1.2, 2)</f>
        <v>74</v>
      </c>
      <c r="Y470" s="9">
        <f>ROUND(S470 / 1.2, 2)</f>
        <v>0</v>
      </c>
      <c r="AD470" s="4" t="s">
        <v>1283</v>
      </c>
      <c r="AE470" s="4" t="s">
        <v>1284</v>
      </c>
      <c r="AF470" s="4" t="s">
        <v>685</v>
      </c>
    </row>
    <row r="471" spans="1:35" ht="36" x14ac:dyDescent="0.3">
      <c r="A471" s="23" t="s">
        <v>1285</v>
      </c>
      <c r="B471" s="23"/>
      <c r="C471" s="41" t="s">
        <v>682</v>
      </c>
      <c r="D471" s="25"/>
      <c r="E471" s="25"/>
      <c r="F471" s="42" t="s">
        <v>265</v>
      </c>
      <c r="G471" s="43">
        <v>0.15</v>
      </c>
      <c r="H471" s="25"/>
      <c r="I471" s="43">
        <v>192.79499999999999</v>
      </c>
      <c r="J471" s="44">
        <v>88.8</v>
      </c>
      <c r="K471" s="45"/>
      <c r="L471" s="45"/>
      <c r="M471" s="44">
        <f>ROUND(ROUND(J471, 2)*I471, 2)</f>
        <v>17120.2</v>
      </c>
      <c r="N471" s="45"/>
      <c r="O471" s="45"/>
      <c r="P471" s="44">
        <v>88.8</v>
      </c>
      <c r="Q471" s="45"/>
      <c r="R471" s="45"/>
      <c r="S471" s="44">
        <f>ROUND(ROUND(P471, 2)*I471, 2)</f>
        <v>17120.2</v>
      </c>
      <c r="T471" s="45"/>
      <c r="U471" s="46"/>
      <c r="V471" s="9">
        <f>ROUND(ROUND(P471, 2)/1.2, 2)</f>
        <v>74</v>
      </c>
      <c r="Y471" s="9">
        <f>ROUND(S471 / 1.2, 2)</f>
        <v>14266.83</v>
      </c>
      <c r="AD471" s="4" t="s">
        <v>1286</v>
      </c>
      <c r="AE471" s="4" t="s">
        <v>1284</v>
      </c>
      <c r="AF471" s="4" t="s">
        <v>685</v>
      </c>
    </row>
    <row r="472" spans="1:35" ht="36" x14ac:dyDescent="0.3">
      <c r="A472" s="17" t="s">
        <v>1287</v>
      </c>
      <c r="B472" s="17" t="s">
        <v>1230</v>
      </c>
      <c r="C472" s="18" t="s">
        <v>1231</v>
      </c>
      <c r="D472" s="19"/>
      <c r="E472" s="19"/>
      <c r="F472" s="19" t="s">
        <v>59</v>
      </c>
      <c r="G472" s="20">
        <v>1</v>
      </c>
      <c r="H472" s="19"/>
      <c r="I472" s="21">
        <v>0</v>
      </c>
      <c r="J472" s="22">
        <f>IFERROR(ROUND(SUM(M474,M476)/I472, 2),0)</f>
        <v>0</v>
      </c>
      <c r="K472" s="22">
        <v>428</v>
      </c>
      <c r="L472" s="22">
        <f>J472+ROUND(K472, 2)</f>
        <v>428</v>
      </c>
      <c r="M472" s="22">
        <f>ROUND(J472*I472, 2)</f>
        <v>0</v>
      </c>
      <c r="N472" s="22">
        <f>ROUND(I472*ROUND(K472, 2), 2)</f>
        <v>0</v>
      </c>
      <c r="O472" s="22">
        <f>M472+N472</f>
        <v>0</v>
      </c>
      <c r="P472" s="22">
        <f>IFERROR(ROUND(SUM(S474,S476)/I472, 2),0)</f>
        <v>0</v>
      </c>
      <c r="Q472" s="22">
        <v>428</v>
      </c>
      <c r="R472" s="22">
        <f>P472+ROUND(Q472, 2)</f>
        <v>428</v>
      </c>
      <c r="S472" s="22">
        <f>ROUND(P472*I472, 2)</f>
        <v>0</v>
      </c>
      <c r="T472" s="22">
        <f>ROUND(I472*ROUND(Q472, 2), 2)</f>
        <v>0</v>
      </c>
      <c r="U472" s="22">
        <f>S472+T472</f>
        <v>0</v>
      </c>
      <c r="V472" s="9">
        <f>ROUND(P472 / 1.2, 2)</f>
        <v>0</v>
      </c>
      <c r="W472" s="9">
        <f>ROUND(Q472 / 1.2, 2)</f>
        <v>356.67</v>
      </c>
      <c r="X472" s="9">
        <f>ROUND(R472 / 1.2, 2)</f>
        <v>356.67</v>
      </c>
      <c r="Y472" s="9">
        <f>ROUND(S472 / 1.2, 2)</f>
        <v>0</v>
      </c>
      <c r="Z472" s="9">
        <f>ROUND(T472 / 1.2, 2)</f>
        <v>0</v>
      </c>
      <c r="AA472" s="9">
        <f>Y472+Z472</f>
        <v>0</v>
      </c>
      <c r="AD472" s="4">
        <v>304337661</v>
      </c>
      <c r="AE472" s="4">
        <v>20300714</v>
      </c>
      <c r="AG472" s="4" t="s">
        <v>1232</v>
      </c>
      <c r="AH472" s="4" t="s">
        <v>1233</v>
      </c>
      <c r="AI472" s="4" t="s">
        <v>260</v>
      </c>
    </row>
    <row r="473" spans="1:35" ht="108" x14ac:dyDescent="0.3">
      <c r="A473" s="23" t="s">
        <v>1288</v>
      </c>
      <c r="B473" s="23" t="s">
        <v>1230</v>
      </c>
      <c r="C473" s="24" t="s">
        <v>1231</v>
      </c>
      <c r="D473" s="25"/>
      <c r="E473" s="25" t="s">
        <v>1289</v>
      </c>
      <c r="F473" s="25" t="s">
        <v>59</v>
      </c>
      <c r="G473" s="26">
        <v>1</v>
      </c>
      <c r="H473" s="25"/>
      <c r="I473" s="26">
        <v>101.4</v>
      </c>
      <c r="J473" s="27">
        <v>0</v>
      </c>
      <c r="K473" s="27">
        <v>428</v>
      </c>
      <c r="L473" s="27"/>
      <c r="M473" s="27">
        <v>0</v>
      </c>
      <c r="N473" s="27"/>
      <c r="O473" s="27"/>
      <c r="P473" s="27">
        <v>0</v>
      </c>
      <c r="Q473" s="27">
        <v>428</v>
      </c>
      <c r="R473" s="27"/>
      <c r="S473" s="27">
        <v>0</v>
      </c>
      <c r="T473" s="27"/>
      <c r="U473" s="27"/>
      <c r="V473" s="9"/>
      <c r="W473" s="9">
        <f>ROUND(Q473 / 1.2, 2)</f>
        <v>356.67</v>
      </c>
      <c r="X473" s="9" t="e">
        <f>ROUND(R473 / 1.2, 2)</f>
        <v>#VALUE!</v>
      </c>
      <c r="Y473" s="9"/>
      <c r="Z473" s="9" t="e">
        <f>ROUND(T473 / 1.2, 2)</f>
        <v>#VALUE!</v>
      </c>
      <c r="AA473" s="9"/>
      <c r="AD473" s="4">
        <v>281967449</v>
      </c>
      <c r="AE473" s="4">
        <v>20300714</v>
      </c>
      <c r="AG473" s="4" t="s">
        <v>1232</v>
      </c>
      <c r="AH473" s="4" t="s">
        <v>1233</v>
      </c>
      <c r="AI473" s="4"/>
    </row>
    <row r="474" spans="1:35" ht="36" x14ac:dyDescent="0.3">
      <c r="A474" s="17" t="s">
        <v>1290</v>
      </c>
      <c r="B474" s="17"/>
      <c r="C474" s="34" t="s">
        <v>682</v>
      </c>
      <c r="D474" s="19"/>
      <c r="E474" s="19"/>
      <c r="F474" s="35" t="s">
        <v>265</v>
      </c>
      <c r="G474" s="36">
        <v>0.15</v>
      </c>
      <c r="H474" s="19"/>
      <c r="I474" s="37">
        <v>0</v>
      </c>
      <c r="J474" s="38">
        <v>88.8</v>
      </c>
      <c r="K474" s="39"/>
      <c r="L474" s="39"/>
      <c r="M474" s="38">
        <f>ROUND(ROUND(J474, 2)*I474, 2)</f>
        <v>0</v>
      </c>
      <c r="N474" s="39"/>
      <c r="O474" s="39"/>
      <c r="P474" s="38">
        <v>88.8</v>
      </c>
      <c r="Q474" s="39"/>
      <c r="R474" s="39"/>
      <c r="S474" s="38">
        <f>ROUND(ROUND(P474, 2)*I474, 2)</f>
        <v>0</v>
      </c>
      <c r="T474" s="39"/>
      <c r="U474" s="40"/>
      <c r="V474" s="9">
        <f>ROUND(ROUND(P474, 2)/1.2, 2)</f>
        <v>74</v>
      </c>
      <c r="Y474" s="9">
        <f>ROUND(S474 / 1.2, 2)</f>
        <v>0</v>
      </c>
      <c r="AD474" s="4" t="s">
        <v>1291</v>
      </c>
      <c r="AE474" s="4" t="s">
        <v>1292</v>
      </c>
      <c r="AF474" s="4" t="s">
        <v>685</v>
      </c>
    </row>
    <row r="475" spans="1:35" ht="36" x14ac:dyDescent="0.3">
      <c r="A475" s="23" t="s">
        <v>1293</v>
      </c>
      <c r="B475" s="23"/>
      <c r="C475" s="41" t="s">
        <v>682</v>
      </c>
      <c r="D475" s="25"/>
      <c r="E475" s="25"/>
      <c r="F475" s="42" t="s">
        <v>265</v>
      </c>
      <c r="G475" s="43">
        <v>0.15</v>
      </c>
      <c r="H475" s="25"/>
      <c r="I475" s="43">
        <v>15.21</v>
      </c>
      <c r="J475" s="44">
        <v>88.8</v>
      </c>
      <c r="K475" s="45"/>
      <c r="L475" s="45"/>
      <c r="M475" s="44">
        <f>ROUND(ROUND(J475, 2)*I475, 2)</f>
        <v>1350.65</v>
      </c>
      <c r="N475" s="45"/>
      <c r="O475" s="45"/>
      <c r="P475" s="44">
        <v>88.8</v>
      </c>
      <c r="Q475" s="45"/>
      <c r="R475" s="45"/>
      <c r="S475" s="44">
        <f>ROUND(ROUND(P475, 2)*I475, 2)</f>
        <v>1350.65</v>
      </c>
      <c r="T475" s="45"/>
      <c r="U475" s="46"/>
      <c r="V475" s="9">
        <f>ROUND(ROUND(P475, 2)/1.2, 2)</f>
        <v>74</v>
      </c>
      <c r="Y475" s="9">
        <f>ROUND(S475 / 1.2, 2)</f>
        <v>1125.54</v>
      </c>
      <c r="AD475" s="4" t="s">
        <v>1294</v>
      </c>
      <c r="AE475" s="4" t="s">
        <v>1292</v>
      </c>
      <c r="AF475" s="4" t="s">
        <v>685</v>
      </c>
    </row>
    <row r="476" spans="1:35" ht="36" x14ac:dyDescent="0.3">
      <c r="A476" s="17" t="s">
        <v>1295</v>
      </c>
      <c r="B476" s="17"/>
      <c r="C476" s="34" t="s">
        <v>1242</v>
      </c>
      <c r="D476" s="19"/>
      <c r="E476" s="19"/>
      <c r="F476" s="35" t="s">
        <v>265</v>
      </c>
      <c r="G476" s="36">
        <v>0.3</v>
      </c>
      <c r="H476" s="19"/>
      <c r="I476" s="37">
        <v>0</v>
      </c>
      <c r="J476" s="38">
        <v>1216.56</v>
      </c>
      <c r="K476" s="39"/>
      <c r="L476" s="39"/>
      <c r="M476" s="38">
        <f>ROUND(ROUND(J476, 2)*I476, 2)</f>
        <v>0</v>
      </c>
      <c r="N476" s="39"/>
      <c r="O476" s="39"/>
      <c r="P476" s="38">
        <v>495.9</v>
      </c>
      <c r="Q476" s="39"/>
      <c r="R476" s="39"/>
      <c r="S476" s="38">
        <f>ROUND(ROUND(P476, 2)*I476, 2)</f>
        <v>0</v>
      </c>
      <c r="T476" s="39"/>
      <c r="U476" s="40"/>
      <c r="V476" s="9">
        <f>ROUND(ROUND(P476, 2)/1.2, 2)</f>
        <v>413.25</v>
      </c>
      <c r="Y476" s="9">
        <f>ROUND(S476 / 1.2, 2)</f>
        <v>0</v>
      </c>
      <c r="AD476" s="4" t="s">
        <v>1296</v>
      </c>
      <c r="AE476" s="4" t="s">
        <v>1297</v>
      </c>
      <c r="AF476" s="4" t="s">
        <v>1245</v>
      </c>
    </row>
    <row r="477" spans="1:35" ht="36" x14ac:dyDescent="0.3">
      <c r="A477" s="23" t="s">
        <v>1298</v>
      </c>
      <c r="B477" s="23"/>
      <c r="C477" s="41" t="s">
        <v>1242</v>
      </c>
      <c r="D477" s="25"/>
      <c r="E477" s="25"/>
      <c r="F477" s="42" t="s">
        <v>265</v>
      </c>
      <c r="G477" s="43">
        <v>0.3</v>
      </c>
      <c r="H477" s="25"/>
      <c r="I477" s="43">
        <v>30.42</v>
      </c>
      <c r="J477" s="44">
        <v>1216.56</v>
      </c>
      <c r="K477" s="45"/>
      <c r="L477" s="45"/>
      <c r="M477" s="44">
        <f>ROUND(ROUND(J477, 2)*I477, 2)</f>
        <v>37007.760000000002</v>
      </c>
      <c r="N477" s="45"/>
      <c r="O477" s="45"/>
      <c r="P477" s="44">
        <v>495.9</v>
      </c>
      <c r="Q477" s="45"/>
      <c r="R477" s="45"/>
      <c r="S477" s="44">
        <f>ROUND(ROUND(P477, 2)*I477, 2)</f>
        <v>15085.28</v>
      </c>
      <c r="T477" s="45"/>
      <c r="U477" s="46"/>
      <c r="V477" s="9">
        <f>ROUND(ROUND(P477, 2)/1.2, 2)</f>
        <v>413.25</v>
      </c>
      <c r="Y477" s="9">
        <f>ROUND(S477 / 1.2, 2)</f>
        <v>12571.07</v>
      </c>
      <c r="AD477" s="4" t="s">
        <v>1299</v>
      </c>
      <c r="AE477" s="4" t="s">
        <v>1297</v>
      </c>
      <c r="AF477" s="4" t="s">
        <v>1245</v>
      </c>
    </row>
    <row r="478" spans="1:35" ht="36" x14ac:dyDescent="0.3">
      <c r="A478" s="17" t="s">
        <v>1300</v>
      </c>
      <c r="B478" s="17" t="s">
        <v>1230</v>
      </c>
      <c r="C478" s="18" t="s">
        <v>1231</v>
      </c>
      <c r="D478" s="19"/>
      <c r="E478" s="19"/>
      <c r="F478" s="19" t="s">
        <v>59</v>
      </c>
      <c r="G478" s="20">
        <v>1</v>
      </c>
      <c r="H478" s="19"/>
      <c r="I478" s="21">
        <v>0</v>
      </c>
      <c r="J478" s="22">
        <f>IFERROR(ROUND(SUM(M480,M482)/I478, 2),0)</f>
        <v>0</v>
      </c>
      <c r="K478" s="22">
        <v>428</v>
      </c>
      <c r="L478" s="22">
        <f>J478+ROUND(K478, 2)</f>
        <v>428</v>
      </c>
      <c r="M478" s="22">
        <f>ROUND(J478*I478, 2)</f>
        <v>0</v>
      </c>
      <c r="N478" s="22">
        <f>ROUND(I478*ROUND(K478, 2), 2)</f>
        <v>0</v>
      </c>
      <c r="O478" s="22">
        <f>M478+N478</f>
        <v>0</v>
      </c>
      <c r="P478" s="22">
        <f>IFERROR(ROUND(SUM(S480,S482)/I478, 2),0)</f>
        <v>0</v>
      </c>
      <c r="Q478" s="22">
        <v>428</v>
      </c>
      <c r="R478" s="22">
        <f>P478+ROUND(Q478, 2)</f>
        <v>428</v>
      </c>
      <c r="S478" s="22">
        <f>ROUND(P478*I478, 2)</f>
        <v>0</v>
      </c>
      <c r="T478" s="22">
        <f>ROUND(I478*ROUND(Q478, 2), 2)</f>
        <v>0</v>
      </c>
      <c r="U478" s="22">
        <f>S478+T478</f>
        <v>0</v>
      </c>
      <c r="V478" s="9">
        <f>ROUND(P478 / 1.2, 2)</f>
        <v>0</v>
      </c>
      <c r="W478" s="9">
        <f>ROUND(Q478 / 1.2, 2)</f>
        <v>356.67</v>
      </c>
      <c r="X478" s="9">
        <f>ROUND(R478 / 1.2, 2)</f>
        <v>356.67</v>
      </c>
      <c r="Y478" s="9">
        <f>ROUND(S478 / 1.2, 2)</f>
        <v>0</v>
      </c>
      <c r="Z478" s="9">
        <f>ROUND(T478 / 1.2, 2)</f>
        <v>0</v>
      </c>
      <c r="AA478" s="9">
        <f>Y478+Z478</f>
        <v>0</v>
      </c>
      <c r="AD478" s="4">
        <v>304337662</v>
      </c>
      <c r="AE478" s="4">
        <v>20300715</v>
      </c>
      <c r="AG478" s="4" t="s">
        <v>1232</v>
      </c>
      <c r="AH478" s="4" t="s">
        <v>1233</v>
      </c>
      <c r="AI478" s="4" t="s">
        <v>260</v>
      </c>
    </row>
    <row r="479" spans="1:35" ht="108" x14ac:dyDescent="0.3">
      <c r="A479" s="23" t="s">
        <v>1301</v>
      </c>
      <c r="B479" s="23" t="s">
        <v>1230</v>
      </c>
      <c r="C479" s="24" t="s">
        <v>1231</v>
      </c>
      <c r="D479" s="25"/>
      <c r="E479" s="25" t="s">
        <v>1302</v>
      </c>
      <c r="F479" s="25" t="s">
        <v>59</v>
      </c>
      <c r="G479" s="26">
        <v>1</v>
      </c>
      <c r="H479" s="25"/>
      <c r="I479" s="26">
        <v>23.1</v>
      </c>
      <c r="J479" s="27">
        <v>0</v>
      </c>
      <c r="K479" s="27">
        <v>428</v>
      </c>
      <c r="L479" s="27"/>
      <c r="M479" s="27">
        <v>0</v>
      </c>
      <c r="N479" s="27"/>
      <c r="O479" s="27"/>
      <c r="P479" s="27">
        <v>0</v>
      </c>
      <c r="Q479" s="27">
        <v>428</v>
      </c>
      <c r="R479" s="27"/>
      <c r="S479" s="27">
        <v>0</v>
      </c>
      <c r="T479" s="27"/>
      <c r="U479" s="27"/>
      <c r="V479" s="9"/>
      <c r="W479" s="9">
        <f>ROUND(Q479 / 1.2, 2)</f>
        <v>356.67</v>
      </c>
      <c r="X479" s="9" t="e">
        <f>ROUND(R479 / 1.2, 2)</f>
        <v>#VALUE!</v>
      </c>
      <c r="Y479" s="9"/>
      <c r="Z479" s="9" t="e">
        <f>ROUND(T479 / 1.2, 2)</f>
        <v>#VALUE!</v>
      </c>
      <c r="AA479" s="9"/>
      <c r="AD479" s="4">
        <v>281967450</v>
      </c>
      <c r="AE479" s="4">
        <v>20300715</v>
      </c>
      <c r="AG479" s="4" t="s">
        <v>1232</v>
      </c>
      <c r="AH479" s="4" t="s">
        <v>1233</v>
      </c>
      <c r="AI479" s="4"/>
    </row>
    <row r="480" spans="1:35" ht="36" x14ac:dyDescent="0.3">
      <c r="A480" s="17" t="s">
        <v>1303</v>
      </c>
      <c r="B480" s="17"/>
      <c r="C480" s="34" t="s">
        <v>1242</v>
      </c>
      <c r="D480" s="19"/>
      <c r="E480" s="19"/>
      <c r="F480" s="35" t="s">
        <v>265</v>
      </c>
      <c r="G480" s="36">
        <v>0.3</v>
      </c>
      <c r="H480" s="19"/>
      <c r="I480" s="37">
        <v>0</v>
      </c>
      <c r="J480" s="38">
        <v>1216.56</v>
      </c>
      <c r="K480" s="39"/>
      <c r="L480" s="39"/>
      <c r="M480" s="38">
        <f>ROUND(ROUND(J480, 2)*I480, 2)</f>
        <v>0</v>
      </c>
      <c r="N480" s="39"/>
      <c r="O480" s="39"/>
      <c r="P480" s="38">
        <v>495.9</v>
      </c>
      <c r="Q480" s="39"/>
      <c r="R480" s="39"/>
      <c r="S480" s="38">
        <f>ROUND(ROUND(P480, 2)*I480, 2)</f>
        <v>0</v>
      </c>
      <c r="T480" s="39"/>
      <c r="U480" s="40"/>
      <c r="V480" s="9">
        <f>ROUND(ROUND(P480, 2)/1.2, 2)</f>
        <v>413.25</v>
      </c>
      <c r="Y480" s="9">
        <f>ROUND(S480 / 1.2, 2)</f>
        <v>0</v>
      </c>
      <c r="AD480" s="4" t="s">
        <v>1304</v>
      </c>
      <c r="AE480" s="4" t="s">
        <v>1305</v>
      </c>
      <c r="AF480" s="4" t="s">
        <v>1245</v>
      </c>
    </row>
    <row r="481" spans="1:35" ht="36" x14ac:dyDescent="0.3">
      <c r="A481" s="23" t="s">
        <v>1306</v>
      </c>
      <c r="B481" s="23"/>
      <c r="C481" s="41" t="s">
        <v>1242</v>
      </c>
      <c r="D481" s="25"/>
      <c r="E481" s="25"/>
      <c r="F481" s="42" t="s">
        <v>265</v>
      </c>
      <c r="G481" s="43">
        <v>0.3</v>
      </c>
      <c r="H481" s="25"/>
      <c r="I481" s="43">
        <v>6.93</v>
      </c>
      <c r="J481" s="44">
        <v>1216.56</v>
      </c>
      <c r="K481" s="45"/>
      <c r="L481" s="45"/>
      <c r="M481" s="44">
        <f>ROUND(ROUND(J481, 2)*I481, 2)</f>
        <v>8430.76</v>
      </c>
      <c r="N481" s="45"/>
      <c r="O481" s="45"/>
      <c r="P481" s="44">
        <v>495.9</v>
      </c>
      <c r="Q481" s="45"/>
      <c r="R481" s="45"/>
      <c r="S481" s="44">
        <f>ROUND(ROUND(P481, 2)*I481, 2)</f>
        <v>3436.59</v>
      </c>
      <c r="T481" s="45"/>
      <c r="U481" s="46"/>
      <c r="V481" s="9">
        <f>ROUND(ROUND(P481, 2)/1.2, 2)</f>
        <v>413.25</v>
      </c>
      <c r="Y481" s="9">
        <f>ROUND(S481 / 1.2, 2)</f>
        <v>2863.83</v>
      </c>
      <c r="AD481" s="4" t="s">
        <v>1307</v>
      </c>
      <c r="AE481" s="4" t="s">
        <v>1305</v>
      </c>
      <c r="AF481" s="4" t="s">
        <v>1245</v>
      </c>
    </row>
    <row r="482" spans="1:35" ht="36" x14ac:dyDescent="0.3">
      <c r="A482" s="17" t="s">
        <v>1308</v>
      </c>
      <c r="B482" s="17"/>
      <c r="C482" s="34" t="s">
        <v>682</v>
      </c>
      <c r="D482" s="19"/>
      <c r="E482" s="19"/>
      <c r="F482" s="35" t="s">
        <v>265</v>
      </c>
      <c r="G482" s="36">
        <v>0.15</v>
      </c>
      <c r="H482" s="19"/>
      <c r="I482" s="37">
        <v>0</v>
      </c>
      <c r="J482" s="38">
        <v>88.8</v>
      </c>
      <c r="K482" s="39"/>
      <c r="L482" s="39"/>
      <c r="M482" s="38">
        <f>ROUND(ROUND(J482, 2)*I482, 2)</f>
        <v>0</v>
      </c>
      <c r="N482" s="39"/>
      <c r="O482" s="39"/>
      <c r="P482" s="38">
        <v>88.8</v>
      </c>
      <c r="Q482" s="39"/>
      <c r="R482" s="39"/>
      <c r="S482" s="38">
        <f>ROUND(ROUND(P482, 2)*I482, 2)</f>
        <v>0</v>
      </c>
      <c r="T482" s="39"/>
      <c r="U482" s="40"/>
      <c r="V482" s="9">
        <f>ROUND(ROUND(P482, 2)/1.2, 2)</f>
        <v>74</v>
      </c>
      <c r="Y482" s="9">
        <f>ROUND(S482 / 1.2, 2)</f>
        <v>0</v>
      </c>
      <c r="AD482" s="4" t="s">
        <v>1309</v>
      </c>
      <c r="AE482" s="4" t="s">
        <v>1310</v>
      </c>
      <c r="AF482" s="4" t="s">
        <v>685</v>
      </c>
    </row>
    <row r="483" spans="1:35" ht="36" x14ac:dyDescent="0.3">
      <c r="A483" s="23" t="s">
        <v>1311</v>
      </c>
      <c r="B483" s="23"/>
      <c r="C483" s="41" t="s">
        <v>682</v>
      </c>
      <c r="D483" s="25"/>
      <c r="E483" s="25"/>
      <c r="F483" s="42" t="s">
        <v>265</v>
      </c>
      <c r="G483" s="43">
        <v>0.15</v>
      </c>
      <c r="H483" s="25"/>
      <c r="I483" s="43">
        <v>3.4649999999999999</v>
      </c>
      <c r="J483" s="44">
        <v>88.8</v>
      </c>
      <c r="K483" s="45"/>
      <c r="L483" s="45"/>
      <c r="M483" s="44">
        <f>ROUND(ROUND(J483, 2)*I483, 2)</f>
        <v>307.69</v>
      </c>
      <c r="N483" s="45"/>
      <c r="O483" s="45"/>
      <c r="P483" s="44">
        <v>88.8</v>
      </c>
      <c r="Q483" s="45"/>
      <c r="R483" s="45"/>
      <c r="S483" s="44">
        <f>ROUND(ROUND(P483, 2)*I483, 2)</f>
        <v>307.69</v>
      </c>
      <c r="T483" s="45"/>
      <c r="U483" s="46"/>
      <c r="V483" s="9">
        <f>ROUND(ROUND(P483, 2)/1.2, 2)</f>
        <v>74</v>
      </c>
      <c r="Y483" s="9">
        <f>ROUND(S483 / 1.2, 2)</f>
        <v>256.41000000000003</v>
      </c>
      <c r="AD483" s="4" t="s">
        <v>1312</v>
      </c>
      <c r="AE483" s="4" t="s">
        <v>1310</v>
      </c>
      <c r="AF483" s="4" t="s">
        <v>685</v>
      </c>
    </row>
    <row r="484" spans="1:35" ht="36" x14ac:dyDescent="0.3">
      <c r="A484" s="17" t="s">
        <v>1313</v>
      </c>
      <c r="B484" s="17" t="s">
        <v>1230</v>
      </c>
      <c r="C484" s="18" t="s">
        <v>1231</v>
      </c>
      <c r="D484" s="19"/>
      <c r="E484" s="19"/>
      <c r="F484" s="19" t="s">
        <v>59</v>
      </c>
      <c r="G484" s="20">
        <v>1</v>
      </c>
      <c r="H484" s="19"/>
      <c r="I484" s="21">
        <v>0</v>
      </c>
      <c r="J484" s="22">
        <f>IFERROR(ROUND(SUM(M486,M488)/I484, 2),0)</f>
        <v>0</v>
      </c>
      <c r="K484" s="22">
        <v>428</v>
      </c>
      <c r="L484" s="22">
        <f>J484+ROUND(K484, 2)</f>
        <v>428</v>
      </c>
      <c r="M484" s="22">
        <f>ROUND(J484*I484, 2)</f>
        <v>0</v>
      </c>
      <c r="N484" s="22">
        <f>ROUND(I484*ROUND(K484, 2), 2)</f>
        <v>0</v>
      </c>
      <c r="O484" s="22">
        <f>M484+N484</f>
        <v>0</v>
      </c>
      <c r="P484" s="22">
        <f>IFERROR(ROUND(SUM(S486,S488)/I484, 2),0)</f>
        <v>0</v>
      </c>
      <c r="Q484" s="22">
        <v>428</v>
      </c>
      <c r="R484" s="22">
        <f>P484+ROUND(Q484, 2)</f>
        <v>428</v>
      </c>
      <c r="S484" s="22">
        <f>ROUND(P484*I484, 2)</f>
        <v>0</v>
      </c>
      <c r="T484" s="22">
        <f>ROUND(I484*ROUND(Q484, 2), 2)</f>
        <v>0</v>
      </c>
      <c r="U484" s="22">
        <f>S484+T484</f>
        <v>0</v>
      </c>
      <c r="V484" s="9">
        <f>ROUND(P484 / 1.2, 2)</f>
        <v>0</v>
      </c>
      <c r="W484" s="9">
        <f>ROUND(Q484 / 1.2, 2)</f>
        <v>356.67</v>
      </c>
      <c r="X484" s="9">
        <f>ROUND(R484 / 1.2, 2)</f>
        <v>356.67</v>
      </c>
      <c r="Y484" s="9">
        <f>ROUND(S484 / 1.2, 2)</f>
        <v>0</v>
      </c>
      <c r="Z484" s="9">
        <f>ROUND(T484 / 1.2, 2)</f>
        <v>0</v>
      </c>
      <c r="AA484" s="9">
        <f>Y484+Z484</f>
        <v>0</v>
      </c>
      <c r="AD484" s="4">
        <v>304337663</v>
      </c>
      <c r="AE484" s="4">
        <v>20300709</v>
      </c>
      <c r="AG484" s="4" t="s">
        <v>1232</v>
      </c>
      <c r="AH484" s="4" t="s">
        <v>1233</v>
      </c>
      <c r="AI484" s="4" t="s">
        <v>260</v>
      </c>
    </row>
    <row r="485" spans="1:35" ht="108" x14ac:dyDescent="0.3">
      <c r="A485" s="23" t="s">
        <v>1314</v>
      </c>
      <c r="B485" s="23" t="s">
        <v>1230</v>
      </c>
      <c r="C485" s="24" t="s">
        <v>1231</v>
      </c>
      <c r="D485" s="25"/>
      <c r="E485" s="25" t="s">
        <v>1315</v>
      </c>
      <c r="F485" s="25" t="s">
        <v>59</v>
      </c>
      <c r="G485" s="26">
        <v>1</v>
      </c>
      <c r="H485" s="25"/>
      <c r="I485" s="26">
        <v>18.5</v>
      </c>
      <c r="J485" s="27">
        <v>0</v>
      </c>
      <c r="K485" s="27">
        <v>428</v>
      </c>
      <c r="L485" s="27"/>
      <c r="M485" s="27">
        <v>0</v>
      </c>
      <c r="N485" s="27"/>
      <c r="O485" s="27"/>
      <c r="P485" s="27">
        <v>0</v>
      </c>
      <c r="Q485" s="27">
        <v>428</v>
      </c>
      <c r="R485" s="27"/>
      <c r="S485" s="27">
        <v>0</v>
      </c>
      <c r="T485" s="27"/>
      <c r="U485" s="27"/>
      <c r="V485" s="9"/>
      <c r="W485" s="9">
        <f>ROUND(Q485 / 1.2, 2)</f>
        <v>356.67</v>
      </c>
      <c r="X485" s="9" t="e">
        <f>ROUND(R485 / 1.2, 2)</f>
        <v>#VALUE!</v>
      </c>
      <c r="Y485" s="9"/>
      <c r="Z485" s="9" t="e">
        <f>ROUND(T485 / 1.2, 2)</f>
        <v>#VALUE!</v>
      </c>
      <c r="AA485" s="9"/>
      <c r="AD485" s="4">
        <v>281967451</v>
      </c>
      <c r="AE485" s="4">
        <v>20300709</v>
      </c>
      <c r="AG485" s="4" t="s">
        <v>1232</v>
      </c>
      <c r="AH485" s="4" t="s">
        <v>1233</v>
      </c>
      <c r="AI485" s="4"/>
    </row>
    <row r="486" spans="1:35" ht="36" x14ac:dyDescent="0.3">
      <c r="A486" s="17" t="s">
        <v>1316</v>
      </c>
      <c r="B486" s="17"/>
      <c r="C486" s="34" t="s">
        <v>682</v>
      </c>
      <c r="D486" s="19"/>
      <c r="E486" s="19"/>
      <c r="F486" s="35" t="s">
        <v>265</v>
      </c>
      <c r="G486" s="36">
        <v>0.15</v>
      </c>
      <c r="H486" s="19"/>
      <c r="I486" s="37">
        <v>0</v>
      </c>
      <c r="J486" s="38">
        <v>88.8</v>
      </c>
      <c r="K486" s="39"/>
      <c r="L486" s="39"/>
      <c r="M486" s="38">
        <f>ROUND(ROUND(J486, 2)*I486, 2)</f>
        <v>0</v>
      </c>
      <c r="N486" s="39"/>
      <c r="O486" s="39"/>
      <c r="P486" s="38">
        <v>88.8</v>
      </c>
      <c r="Q486" s="39"/>
      <c r="R486" s="39"/>
      <c r="S486" s="38">
        <f>ROUND(ROUND(P486, 2)*I486, 2)</f>
        <v>0</v>
      </c>
      <c r="T486" s="39"/>
      <c r="U486" s="40"/>
      <c r="V486" s="9">
        <f>ROUND(ROUND(P486, 2)/1.2, 2)</f>
        <v>74</v>
      </c>
      <c r="Y486" s="9">
        <f>ROUND(S486 / 1.2, 2)</f>
        <v>0</v>
      </c>
      <c r="AD486" s="4" t="s">
        <v>1317</v>
      </c>
      <c r="AE486" s="4" t="s">
        <v>1318</v>
      </c>
      <c r="AF486" s="4" t="s">
        <v>685</v>
      </c>
    </row>
    <row r="487" spans="1:35" ht="36" x14ac:dyDescent="0.3">
      <c r="A487" s="23" t="s">
        <v>1319</v>
      </c>
      <c r="B487" s="23"/>
      <c r="C487" s="41" t="s">
        <v>682</v>
      </c>
      <c r="D487" s="25"/>
      <c r="E487" s="25"/>
      <c r="F487" s="42" t="s">
        <v>265</v>
      </c>
      <c r="G487" s="43">
        <v>0.15</v>
      </c>
      <c r="H487" s="25"/>
      <c r="I487" s="43">
        <v>2.7749999999999999</v>
      </c>
      <c r="J487" s="44">
        <v>88.8</v>
      </c>
      <c r="K487" s="45"/>
      <c r="L487" s="45"/>
      <c r="M487" s="44">
        <f>ROUND(ROUND(J487, 2)*I487, 2)</f>
        <v>246.42</v>
      </c>
      <c r="N487" s="45"/>
      <c r="O487" s="45"/>
      <c r="P487" s="44">
        <v>88.8</v>
      </c>
      <c r="Q487" s="45"/>
      <c r="R487" s="45"/>
      <c r="S487" s="44">
        <f>ROUND(ROUND(P487, 2)*I487, 2)</f>
        <v>246.42</v>
      </c>
      <c r="T487" s="45"/>
      <c r="U487" s="46"/>
      <c r="V487" s="9">
        <f>ROUND(ROUND(P487, 2)/1.2, 2)</f>
        <v>74</v>
      </c>
      <c r="Y487" s="9">
        <f>ROUND(S487 / 1.2, 2)</f>
        <v>205.35</v>
      </c>
      <c r="AD487" s="4" t="s">
        <v>1320</v>
      </c>
      <c r="AE487" s="4" t="s">
        <v>1318</v>
      </c>
      <c r="AF487" s="4" t="s">
        <v>685</v>
      </c>
    </row>
    <row r="488" spans="1:35" ht="36" x14ac:dyDescent="0.3">
      <c r="A488" s="17" t="s">
        <v>1321</v>
      </c>
      <c r="B488" s="17"/>
      <c r="C488" s="34" t="s">
        <v>1242</v>
      </c>
      <c r="D488" s="19"/>
      <c r="E488" s="19"/>
      <c r="F488" s="35" t="s">
        <v>265</v>
      </c>
      <c r="G488" s="36">
        <v>0.3</v>
      </c>
      <c r="H488" s="19"/>
      <c r="I488" s="37">
        <v>0</v>
      </c>
      <c r="J488" s="38">
        <v>1216.56</v>
      </c>
      <c r="K488" s="39"/>
      <c r="L488" s="39"/>
      <c r="M488" s="38">
        <f>ROUND(ROUND(J488, 2)*I488, 2)</f>
        <v>0</v>
      </c>
      <c r="N488" s="39"/>
      <c r="O488" s="39"/>
      <c r="P488" s="38">
        <v>495.9</v>
      </c>
      <c r="Q488" s="39"/>
      <c r="R488" s="39"/>
      <c r="S488" s="38">
        <f>ROUND(ROUND(P488, 2)*I488, 2)</f>
        <v>0</v>
      </c>
      <c r="T488" s="39"/>
      <c r="U488" s="40"/>
      <c r="V488" s="9">
        <f>ROUND(ROUND(P488, 2)/1.2, 2)</f>
        <v>413.25</v>
      </c>
      <c r="Y488" s="9">
        <f>ROUND(S488 / 1.2, 2)</f>
        <v>0</v>
      </c>
      <c r="AD488" s="4" t="s">
        <v>1322</v>
      </c>
      <c r="AE488" s="4" t="s">
        <v>1323</v>
      </c>
      <c r="AF488" s="4" t="s">
        <v>1245</v>
      </c>
    </row>
    <row r="489" spans="1:35" ht="36" x14ac:dyDescent="0.3">
      <c r="A489" s="23" t="s">
        <v>1324</v>
      </c>
      <c r="B489" s="23"/>
      <c r="C489" s="41" t="s">
        <v>1242</v>
      </c>
      <c r="D489" s="25"/>
      <c r="E489" s="25"/>
      <c r="F489" s="42" t="s">
        <v>265</v>
      </c>
      <c r="G489" s="43">
        <v>0.3</v>
      </c>
      <c r="H489" s="25"/>
      <c r="I489" s="43">
        <v>5.55</v>
      </c>
      <c r="J489" s="44">
        <v>1216.56</v>
      </c>
      <c r="K489" s="45"/>
      <c r="L489" s="45"/>
      <c r="M489" s="44">
        <f>ROUND(ROUND(J489, 2)*I489, 2)</f>
        <v>6751.91</v>
      </c>
      <c r="N489" s="45"/>
      <c r="O489" s="45"/>
      <c r="P489" s="44">
        <v>495.9</v>
      </c>
      <c r="Q489" s="45"/>
      <c r="R489" s="45"/>
      <c r="S489" s="44">
        <f>ROUND(ROUND(P489, 2)*I489, 2)</f>
        <v>2752.25</v>
      </c>
      <c r="T489" s="45"/>
      <c r="U489" s="46"/>
      <c r="V489" s="9">
        <f>ROUND(ROUND(P489, 2)/1.2, 2)</f>
        <v>413.25</v>
      </c>
      <c r="Y489" s="9">
        <f>ROUND(S489 / 1.2, 2)</f>
        <v>2293.54</v>
      </c>
      <c r="AD489" s="4" t="s">
        <v>1325</v>
      </c>
      <c r="AE489" s="4" t="s">
        <v>1323</v>
      </c>
      <c r="AF489" s="4" t="s">
        <v>1245</v>
      </c>
    </row>
    <row r="490" spans="1:35" ht="36" x14ac:dyDescent="0.3">
      <c r="A490" s="17" t="s">
        <v>1326</v>
      </c>
      <c r="B490" s="17" t="s">
        <v>1230</v>
      </c>
      <c r="C490" s="18" t="s">
        <v>1231</v>
      </c>
      <c r="D490" s="19"/>
      <c r="E490" s="19"/>
      <c r="F490" s="19" t="s">
        <v>59</v>
      </c>
      <c r="G490" s="20">
        <v>1</v>
      </c>
      <c r="H490" s="19"/>
      <c r="I490" s="21">
        <v>0</v>
      </c>
      <c r="J490" s="22">
        <f>IFERROR(ROUND(SUM(M492,M494)/I490, 2),0)</f>
        <v>0</v>
      </c>
      <c r="K490" s="22">
        <v>428</v>
      </c>
      <c r="L490" s="22">
        <f>J490+ROUND(K490, 2)</f>
        <v>428</v>
      </c>
      <c r="M490" s="22">
        <f>ROUND(J490*I490, 2)</f>
        <v>0</v>
      </c>
      <c r="N490" s="22">
        <f>ROUND(I490*ROUND(K490, 2), 2)</f>
        <v>0</v>
      </c>
      <c r="O490" s="22">
        <f>M490+N490</f>
        <v>0</v>
      </c>
      <c r="P490" s="22">
        <f>IFERROR(ROUND(SUM(S492,S494)/I490, 2),0)</f>
        <v>0</v>
      </c>
      <c r="Q490" s="22">
        <v>428</v>
      </c>
      <c r="R490" s="22">
        <f>P490+ROUND(Q490, 2)</f>
        <v>428</v>
      </c>
      <c r="S490" s="22">
        <f>ROUND(P490*I490, 2)</f>
        <v>0</v>
      </c>
      <c r="T490" s="22">
        <f>ROUND(I490*ROUND(Q490, 2), 2)</f>
        <v>0</v>
      </c>
      <c r="U490" s="22">
        <f>S490+T490</f>
        <v>0</v>
      </c>
      <c r="V490" s="9">
        <f>ROUND(P490 / 1.2, 2)</f>
        <v>0</v>
      </c>
      <c r="W490" s="9">
        <f>ROUND(Q490 / 1.2, 2)</f>
        <v>356.67</v>
      </c>
      <c r="X490" s="9">
        <f>ROUND(R490 / 1.2, 2)</f>
        <v>356.67</v>
      </c>
      <c r="Y490" s="9">
        <f>ROUND(S490 / 1.2, 2)</f>
        <v>0</v>
      </c>
      <c r="Z490" s="9">
        <f>ROUND(T490 / 1.2, 2)</f>
        <v>0</v>
      </c>
      <c r="AA490" s="9">
        <f>Y490+Z490</f>
        <v>0</v>
      </c>
      <c r="AD490" s="4">
        <v>304337664</v>
      </c>
      <c r="AE490" s="4">
        <v>20300710</v>
      </c>
      <c r="AG490" s="4" t="s">
        <v>1232</v>
      </c>
      <c r="AH490" s="4" t="s">
        <v>1233</v>
      </c>
      <c r="AI490" s="4" t="s">
        <v>260</v>
      </c>
    </row>
    <row r="491" spans="1:35" ht="54" x14ac:dyDescent="0.3">
      <c r="A491" s="23" t="s">
        <v>1327</v>
      </c>
      <c r="B491" s="23" t="s">
        <v>1230</v>
      </c>
      <c r="C491" s="24" t="s">
        <v>1231</v>
      </c>
      <c r="D491" s="25"/>
      <c r="E491" s="25" t="s">
        <v>1328</v>
      </c>
      <c r="F491" s="25" t="s">
        <v>59</v>
      </c>
      <c r="G491" s="26">
        <v>1</v>
      </c>
      <c r="H491" s="25"/>
      <c r="I491" s="26">
        <v>253.5</v>
      </c>
      <c r="J491" s="27">
        <v>0</v>
      </c>
      <c r="K491" s="27">
        <v>428</v>
      </c>
      <c r="L491" s="27"/>
      <c r="M491" s="27">
        <v>0</v>
      </c>
      <c r="N491" s="27"/>
      <c r="O491" s="27"/>
      <c r="P491" s="27">
        <v>0</v>
      </c>
      <c r="Q491" s="27">
        <v>428</v>
      </c>
      <c r="R491" s="27"/>
      <c r="S491" s="27">
        <v>0</v>
      </c>
      <c r="T491" s="27"/>
      <c r="U491" s="27"/>
      <c r="V491" s="9"/>
      <c r="W491" s="9">
        <f>ROUND(Q491 / 1.2, 2)</f>
        <v>356.67</v>
      </c>
      <c r="X491" s="9" t="e">
        <f>ROUND(R491 / 1.2, 2)</f>
        <v>#VALUE!</v>
      </c>
      <c r="Y491" s="9"/>
      <c r="Z491" s="9" t="e">
        <f>ROUND(T491 / 1.2, 2)</f>
        <v>#VALUE!</v>
      </c>
      <c r="AA491" s="9"/>
      <c r="AD491" s="4">
        <v>281967452</v>
      </c>
      <c r="AE491" s="4">
        <v>20300710</v>
      </c>
      <c r="AG491" s="4" t="s">
        <v>1232</v>
      </c>
      <c r="AH491" s="4" t="s">
        <v>1233</v>
      </c>
      <c r="AI491" s="4"/>
    </row>
    <row r="492" spans="1:35" ht="36" x14ac:dyDescent="0.3">
      <c r="A492" s="17" t="s">
        <v>1329</v>
      </c>
      <c r="B492" s="17"/>
      <c r="C492" s="34" t="s">
        <v>1242</v>
      </c>
      <c r="D492" s="19"/>
      <c r="E492" s="19"/>
      <c r="F492" s="35" t="s">
        <v>265</v>
      </c>
      <c r="G492" s="36">
        <v>0.3</v>
      </c>
      <c r="H492" s="19"/>
      <c r="I492" s="37">
        <v>0</v>
      </c>
      <c r="J492" s="38">
        <v>1216.56</v>
      </c>
      <c r="K492" s="39"/>
      <c r="L492" s="39"/>
      <c r="M492" s="38">
        <f>ROUND(ROUND(J492, 2)*I492, 2)</f>
        <v>0</v>
      </c>
      <c r="N492" s="39"/>
      <c r="O492" s="39"/>
      <c r="P492" s="38">
        <v>495.9</v>
      </c>
      <c r="Q492" s="39"/>
      <c r="R492" s="39"/>
      <c r="S492" s="38">
        <f>ROUND(ROUND(P492, 2)*I492, 2)</f>
        <v>0</v>
      </c>
      <c r="T492" s="39"/>
      <c r="U492" s="40"/>
      <c r="V492" s="9">
        <f>ROUND(ROUND(P492, 2)/1.2, 2)</f>
        <v>413.25</v>
      </c>
      <c r="Y492" s="9">
        <f t="shared" ref="Y492:Y520" si="91">ROUND(S492 / 1.2, 2)</f>
        <v>0</v>
      </c>
      <c r="AD492" s="4" t="s">
        <v>1330</v>
      </c>
      <c r="AE492" s="4" t="s">
        <v>1331</v>
      </c>
      <c r="AF492" s="4" t="s">
        <v>1245</v>
      </c>
    </row>
    <row r="493" spans="1:35" ht="36" x14ac:dyDescent="0.3">
      <c r="A493" s="23" t="s">
        <v>1332</v>
      </c>
      <c r="B493" s="23"/>
      <c r="C493" s="41" t="s">
        <v>1242</v>
      </c>
      <c r="D493" s="25"/>
      <c r="E493" s="25"/>
      <c r="F493" s="42" t="s">
        <v>265</v>
      </c>
      <c r="G493" s="43">
        <v>0.3</v>
      </c>
      <c r="H493" s="25"/>
      <c r="I493" s="43">
        <v>76.05</v>
      </c>
      <c r="J493" s="44">
        <v>1216.56</v>
      </c>
      <c r="K493" s="45"/>
      <c r="L493" s="45"/>
      <c r="M493" s="44">
        <f>ROUND(ROUND(J493, 2)*I493, 2)</f>
        <v>92519.39</v>
      </c>
      <c r="N493" s="45"/>
      <c r="O493" s="45"/>
      <c r="P493" s="44">
        <v>495.9</v>
      </c>
      <c r="Q493" s="45"/>
      <c r="R493" s="45"/>
      <c r="S493" s="44">
        <f>ROUND(ROUND(P493, 2)*I493, 2)</f>
        <v>37713.199999999997</v>
      </c>
      <c r="T493" s="45"/>
      <c r="U493" s="46"/>
      <c r="V493" s="9">
        <f>ROUND(ROUND(P493, 2)/1.2, 2)</f>
        <v>413.25</v>
      </c>
      <c r="Y493" s="9">
        <f t="shared" si="91"/>
        <v>31427.67</v>
      </c>
      <c r="AD493" s="4" t="s">
        <v>1333</v>
      </c>
      <c r="AE493" s="4" t="s">
        <v>1331</v>
      </c>
      <c r="AF493" s="4" t="s">
        <v>1245</v>
      </c>
    </row>
    <row r="494" spans="1:35" ht="36" x14ac:dyDescent="0.3">
      <c r="A494" s="17" t="s">
        <v>1334</v>
      </c>
      <c r="B494" s="17"/>
      <c r="C494" s="34" t="s">
        <v>682</v>
      </c>
      <c r="D494" s="19"/>
      <c r="E494" s="19"/>
      <c r="F494" s="35" t="s">
        <v>265</v>
      </c>
      <c r="G494" s="36">
        <v>0.15</v>
      </c>
      <c r="H494" s="19"/>
      <c r="I494" s="37">
        <v>0</v>
      </c>
      <c r="J494" s="38">
        <v>88.8</v>
      </c>
      <c r="K494" s="39"/>
      <c r="L494" s="39"/>
      <c r="M494" s="38">
        <f>ROUND(ROUND(J494, 2)*I494, 2)</f>
        <v>0</v>
      </c>
      <c r="N494" s="39"/>
      <c r="O494" s="39"/>
      <c r="P494" s="38">
        <v>88.8</v>
      </c>
      <c r="Q494" s="39"/>
      <c r="R494" s="39"/>
      <c r="S494" s="38">
        <f>ROUND(ROUND(P494, 2)*I494, 2)</f>
        <v>0</v>
      </c>
      <c r="T494" s="39"/>
      <c r="U494" s="40"/>
      <c r="V494" s="9">
        <f>ROUND(ROUND(P494, 2)/1.2, 2)</f>
        <v>74</v>
      </c>
      <c r="Y494" s="9">
        <f t="shared" si="91"/>
        <v>0</v>
      </c>
      <c r="AD494" s="4" t="s">
        <v>1335</v>
      </c>
      <c r="AE494" s="4" t="s">
        <v>1336</v>
      </c>
      <c r="AF494" s="4" t="s">
        <v>685</v>
      </c>
    </row>
    <row r="495" spans="1:35" ht="36" x14ac:dyDescent="0.3">
      <c r="A495" s="23" t="s">
        <v>1337</v>
      </c>
      <c r="B495" s="23"/>
      <c r="C495" s="41" t="s">
        <v>682</v>
      </c>
      <c r="D495" s="25"/>
      <c r="E495" s="25"/>
      <c r="F495" s="42" t="s">
        <v>265</v>
      </c>
      <c r="G495" s="43">
        <v>0.15</v>
      </c>
      <c r="H495" s="25"/>
      <c r="I495" s="43">
        <v>38.024999999999999</v>
      </c>
      <c r="J495" s="44">
        <v>88.8</v>
      </c>
      <c r="K495" s="45"/>
      <c r="L495" s="45"/>
      <c r="M495" s="44">
        <f>ROUND(ROUND(J495, 2)*I495, 2)</f>
        <v>3376.62</v>
      </c>
      <c r="N495" s="45"/>
      <c r="O495" s="45"/>
      <c r="P495" s="44">
        <v>88.8</v>
      </c>
      <c r="Q495" s="45"/>
      <c r="R495" s="45"/>
      <c r="S495" s="44">
        <f>ROUND(ROUND(P495, 2)*I495, 2)</f>
        <v>3376.62</v>
      </c>
      <c r="T495" s="45"/>
      <c r="U495" s="46"/>
      <c r="V495" s="9">
        <f>ROUND(ROUND(P495, 2)/1.2, 2)</f>
        <v>74</v>
      </c>
      <c r="Y495" s="9">
        <f t="shared" si="91"/>
        <v>2813.85</v>
      </c>
      <c r="AD495" s="4" t="s">
        <v>1338</v>
      </c>
      <c r="AE495" s="4" t="s">
        <v>1336</v>
      </c>
      <c r="AF495" s="4" t="s">
        <v>685</v>
      </c>
    </row>
    <row r="496" spans="1:35" ht="108" x14ac:dyDescent="0.3">
      <c r="A496" s="51" t="s">
        <v>1339</v>
      </c>
      <c r="B496" s="51" t="s">
        <v>1230</v>
      </c>
      <c r="C496" s="52" t="s">
        <v>1231</v>
      </c>
      <c r="D496" s="53"/>
      <c r="E496" s="53" t="s">
        <v>1235</v>
      </c>
      <c r="F496" s="53" t="s">
        <v>59</v>
      </c>
      <c r="G496" s="54">
        <v>1</v>
      </c>
      <c r="H496" s="53"/>
      <c r="I496" s="54">
        <v>276</v>
      </c>
      <c r="J496" s="55">
        <f>IFERROR(ROUND(SUM(M497,M498)/I496, 2),0)</f>
        <v>378.29</v>
      </c>
      <c r="K496" s="55">
        <v>428</v>
      </c>
      <c r="L496" s="55">
        <f>J496+ROUND(K496, 2)</f>
        <v>806.29</v>
      </c>
      <c r="M496" s="55">
        <f>ROUND(J496*I496, 2)</f>
        <v>104408.04</v>
      </c>
      <c r="N496" s="55">
        <f>ROUND(I496*ROUND(K496, 2), 2)</f>
        <v>118128</v>
      </c>
      <c r="O496" s="55">
        <f>M496+N496</f>
        <v>222536.04</v>
      </c>
      <c r="P496" s="55">
        <f>IFERROR(ROUND(SUM(S497,S498)/I496, 2),0)</f>
        <v>162.09</v>
      </c>
      <c r="Q496" s="55">
        <v>642</v>
      </c>
      <c r="R496" s="55">
        <f>P496+ROUND(Q496, 2)</f>
        <v>804.09</v>
      </c>
      <c r="S496" s="55">
        <f>ROUND(P496*I496, 2)</f>
        <v>44736.84</v>
      </c>
      <c r="T496" s="55">
        <f>ROUND(I496*ROUND(Q496, 2), 2)</f>
        <v>177192</v>
      </c>
      <c r="U496" s="55">
        <f>S496+T496</f>
        <v>221928.84</v>
      </c>
      <c r="V496" s="9">
        <f>ROUND(P496 / 1.2, 2)</f>
        <v>135.08000000000001</v>
      </c>
      <c r="W496" s="9">
        <f>ROUND(Q496 / 1.2, 2)</f>
        <v>535</v>
      </c>
      <c r="X496" s="9">
        <f>ROUND(R496 / 1.2, 2)</f>
        <v>670.08</v>
      </c>
      <c r="Y496" s="9">
        <f t="shared" si="91"/>
        <v>37280.699999999997</v>
      </c>
      <c r="Z496" s="9">
        <f>ROUND(T496 / 1.2, 2)</f>
        <v>147660</v>
      </c>
      <c r="AA496" s="9">
        <f>Y496+Z496</f>
        <v>184940.7</v>
      </c>
      <c r="AD496" s="4">
        <v>304337665</v>
      </c>
      <c r="AE496" s="4">
        <v>20300712</v>
      </c>
      <c r="AG496" s="4" t="s">
        <v>1232</v>
      </c>
      <c r="AH496" s="4" t="s">
        <v>1233</v>
      </c>
      <c r="AI496" s="4" t="s">
        <v>260</v>
      </c>
    </row>
    <row r="497" spans="1:35" ht="36" x14ac:dyDescent="0.3">
      <c r="A497" s="51" t="s">
        <v>1340</v>
      </c>
      <c r="B497" s="51"/>
      <c r="C497" s="56" t="s">
        <v>682</v>
      </c>
      <c r="D497" s="53"/>
      <c r="E497" s="53"/>
      <c r="F497" s="57" t="s">
        <v>265</v>
      </c>
      <c r="G497" s="58">
        <v>0.15</v>
      </c>
      <c r="H497" s="53"/>
      <c r="I497" s="58">
        <v>41.4</v>
      </c>
      <c r="J497" s="59">
        <v>88.8</v>
      </c>
      <c r="K497" s="60"/>
      <c r="L497" s="60"/>
      <c r="M497" s="59">
        <f>ROUND(ROUND(J497, 2)*I497, 2)</f>
        <v>3676.32</v>
      </c>
      <c r="N497" s="60"/>
      <c r="O497" s="60"/>
      <c r="P497" s="59">
        <v>88.8</v>
      </c>
      <c r="Q497" s="60"/>
      <c r="R497" s="60"/>
      <c r="S497" s="59">
        <f>ROUND(ROUND(P497, 2)*I497, 2)</f>
        <v>3676.32</v>
      </c>
      <c r="T497" s="60"/>
      <c r="U497" s="61"/>
      <c r="V497" s="9">
        <f>ROUND(ROUND(P497, 2)/1.2, 2)</f>
        <v>74</v>
      </c>
      <c r="Y497" s="9">
        <f t="shared" si="91"/>
        <v>3063.6</v>
      </c>
      <c r="AD497" s="4" t="s">
        <v>1341</v>
      </c>
      <c r="AE497" s="4" t="s">
        <v>1342</v>
      </c>
      <c r="AF497" s="4" t="s">
        <v>685</v>
      </c>
    </row>
    <row r="498" spans="1:35" ht="36" x14ac:dyDescent="0.3">
      <c r="A498" s="51" t="s">
        <v>1343</v>
      </c>
      <c r="B498" s="51"/>
      <c r="C498" s="56" t="s">
        <v>1242</v>
      </c>
      <c r="D498" s="53"/>
      <c r="E498" s="53"/>
      <c r="F498" s="57" t="s">
        <v>265</v>
      </c>
      <c r="G498" s="58">
        <v>0.3</v>
      </c>
      <c r="H498" s="53"/>
      <c r="I498" s="58">
        <v>82.8</v>
      </c>
      <c r="J498" s="59">
        <v>1216.56</v>
      </c>
      <c r="K498" s="60"/>
      <c r="L498" s="60"/>
      <c r="M498" s="59">
        <f>ROUND(ROUND(J498, 2)*I498, 2)</f>
        <v>100731.17</v>
      </c>
      <c r="N498" s="60"/>
      <c r="O498" s="60"/>
      <c r="P498" s="59">
        <v>495.9</v>
      </c>
      <c r="Q498" s="60"/>
      <c r="R498" s="60"/>
      <c r="S498" s="59">
        <f>ROUND(ROUND(P498, 2)*I498, 2)</f>
        <v>41060.519999999997</v>
      </c>
      <c r="T498" s="60"/>
      <c r="U498" s="61"/>
      <c r="V498" s="9">
        <f>ROUND(ROUND(P498, 2)/1.2, 2)</f>
        <v>413.25</v>
      </c>
      <c r="Y498" s="9">
        <f t="shared" si="91"/>
        <v>34217.1</v>
      </c>
      <c r="AD498" s="4" t="s">
        <v>1344</v>
      </c>
      <c r="AE498" s="4" t="s">
        <v>1345</v>
      </c>
      <c r="AF498" s="4" t="s">
        <v>1245</v>
      </c>
    </row>
    <row r="499" spans="1:35" ht="108" x14ac:dyDescent="0.3">
      <c r="A499" s="51" t="s">
        <v>1346</v>
      </c>
      <c r="B499" s="51" t="s">
        <v>1230</v>
      </c>
      <c r="C499" s="52" t="s">
        <v>1231</v>
      </c>
      <c r="D499" s="53"/>
      <c r="E499" s="53" t="s">
        <v>1250</v>
      </c>
      <c r="F499" s="53" t="s">
        <v>59</v>
      </c>
      <c r="G499" s="54">
        <v>1</v>
      </c>
      <c r="H499" s="53"/>
      <c r="I499" s="54">
        <v>224.5</v>
      </c>
      <c r="J499" s="55">
        <f>IFERROR(ROUND(SUM(M500,M501)/I499, 2),0)</f>
        <v>378.29</v>
      </c>
      <c r="K499" s="55">
        <v>428</v>
      </c>
      <c r="L499" s="55">
        <f>J499+ROUND(K499, 2)</f>
        <v>806.29</v>
      </c>
      <c r="M499" s="55">
        <f>ROUND(J499*I499, 2)</f>
        <v>84926.11</v>
      </c>
      <c r="N499" s="55">
        <f>ROUND(I499*ROUND(K499, 2), 2)</f>
        <v>96086</v>
      </c>
      <c r="O499" s="55">
        <f>M499+N499</f>
        <v>181012.11</v>
      </c>
      <c r="P499" s="55">
        <f>IFERROR(ROUND(SUM(S500,S501)/I499, 2),0)</f>
        <v>162.09</v>
      </c>
      <c r="Q499" s="55">
        <v>642</v>
      </c>
      <c r="R499" s="55">
        <f>P499+ROUND(Q499, 2)</f>
        <v>804.09</v>
      </c>
      <c r="S499" s="55">
        <f>ROUND(P499*I499, 2)</f>
        <v>36389.21</v>
      </c>
      <c r="T499" s="55">
        <f>ROUND(I499*ROUND(Q499, 2), 2)</f>
        <v>144129</v>
      </c>
      <c r="U499" s="55">
        <f>S499+T499</f>
        <v>180518.21</v>
      </c>
      <c r="V499" s="9">
        <f>ROUND(P499 / 1.2, 2)</f>
        <v>135.08000000000001</v>
      </c>
      <c r="W499" s="9">
        <f>ROUND(Q499 / 1.2, 2)</f>
        <v>535</v>
      </c>
      <c r="X499" s="9">
        <f>ROUND(R499 / 1.2, 2)</f>
        <v>670.08</v>
      </c>
      <c r="Y499" s="9">
        <f t="shared" si="91"/>
        <v>30324.34</v>
      </c>
      <c r="Z499" s="9">
        <f>ROUND(T499 / 1.2, 2)</f>
        <v>120107.5</v>
      </c>
      <c r="AA499" s="9">
        <f>Y499+Z499</f>
        <v>150431.84</v>
      </c>
      <c r="AD499" s="4">
        <v>304337666</v>
      </c>
      <c r="AE499" s="4">
        <v>21104748</v>
      </c>
      <c r="AG499" s="4" t="s">
        <v>1232</v>
      </c>
      <c r="AH499" s="4" t="s">
        <v>1233</v>
      </c>
      <c r="AI499" s="4" t="s">
        <v>260</v>
      </c>
    </row>
    <row r="500" spans="1:35" ht="36" x14ac:dyDescent="0.3">
      <c r="A500" s="51" t="s">
        <v>1347</v>
      </c>
      <c r="B500" s="51"/>
      <c r="C500" s="56" t="s">
        <v>1242</v>
      </c>
      <c r="D500" s="53"/>
      <c r="E500" s="53"/>
      <c r="F500" s="57" t="s">
        <v>265</v>
      </c>
      <c r="G500" s="58">
        <v>0.3</v>
      </c>
      <c r="H500" s="53"/>
      <c r="I500" s="58">
        <v>67.349999999999994</v>
      </c>
      <c r="J500" s="59">
        <v>1216.56</v>
      </c>
      <c r="K500" s="60"/>
      <c r="L500" s="60"/>
      <c r="M500" s="59">
        <f>ROUND(ROUND(J500, 2)*I500, 2)</f>
        <v>81935.320000000007</v>
      </c>
      <c r="N500" s="60"/>
      <c r="O500" s="60"/>
      <c r="P500" s="59">
        <v>495.9</v>
      </c>
      <c r="Q500" s="60"/>
      <c r="R500" s="60"/>
      <c r="S500" s="59">
        <f>ROUND(ROUND(P500, 2)*I500, 2)</f>
        <v>33398.870000000003</v>
      </c>
      <c r="T500" s="60"/>
      <c r="U500" s="61"/>
      <c r="V500" s="9">
        <f>ROUND(ROUND(P500, 2)/1.2, 2)</f>
        <v>413.25</v>
      </c>
      <c r="Y500" s="9">
        <f t="shared" si="91"/>
        <v>27832.39</v>
      </c>
      <c r="AD500" s="4" t="s">
        <v>1348</v>
      </c>
      <c r="AE500" s="4" t="s">
        <v>1349</v>
      </c>
      <c r="AF500" s="4" t="s">
        <v>1245</v>
      </c>
    </row>
    <row r="501" spans="1:35" ht="36" x14ac:dyDescent="0.3">
      <c r="A501" s="51" t="s">
        <v>1350</v>
      </c>
      <c r="B501" s="51"/>
      <c r="C501" s="56" t="s">
        <v>682</v>
      </c>
      <c r="D501" s="53"/>
      <c r="E501" s="53"/>
      <c r="F501" s="57" t="s">
        <v>265</v>
      </c>
      <c r="G501" s="58">
        <v>0.15</v>
      </c>
      <c r="H501" s="53"/>
      <c r="I501" s="58">
        <v>33.674999999999997</v>
      </c>
      <c r="J501" s="59">
        <v>88.8</v>
      </c>
      <c r="K501" s="60"/>
      <c r="L501" s="60"/>
      <c r="M501" s="59">
        <f>ROUND(ROUND(J501, 2)*I501, 2)</f>
        <v>2990.34</v>
      </c>
      <c r="N501" s="60"/>
      <c r="O501" s="60"/>
      <c r="P501" s="59">
        <v>88.8</v>
      </c>
      <c r="Q501" s="60"/>
      <c r="R501" s="60"/>
      <c r="S501" s="59">
        <f>ROUND(ROUND(P501, 2)*I501, 2)</f>
        <v>2990.34</v>
      </c>
      <c r="T501" s="60"/>
      <c r="U501" s="61"/>
      <c r="V501" s="9">
        <f>ROUND(ROUND(P501, 2)/1.2, 2)</f>
        <v>74</v>
      </c>
      <c r="Y501" s="9">
        <f t="shared" si="91"/>
        <v>2491.9499999999998</v>
      </c>
      <c r="AD501" s="4" t="s">
        <v>1351</v>
      </c>
      <c r="AE501" s="4" t="s">
        <v>1352</v>
      </c>
      <c r="AF501" s="4" t="s">
        <v>685</v>
      </c>
    </row>
    <row r="502" spans="1:35" ht="108" x14ac:dyDescent="0.3">
      <c r="A502" s="51" t="s">
        <v>1353</v>
      </c>
      <c r="B502" s="51" t="s">
        <v>1230</v>
      </c>
      <c r="C502" s="52" t="s">
        <v>1231</v>
      </c>
      <c r="D502" s="53"/>
      <c r="E502" s="53" t="s">
        <v>1263</v>
      </c>
      <c r="F502" s="53" t="s">
        <v>59</v>
      </c>
      <c r="G502" s="54">
        <v>1</v>
      </c>
      <c r="H502" s="53"/>
      <c r="I502" s="54">
        <v>180</v>
      </c>
      <c r="J502" s="55">
        <f>IFERROR(ROUND(SUM(M503,M504)/I502, 2),0)</f>
        <v>378.29</v>
      </c>
      <c r="K502" s="55">
        <v>428</v>
      </c>
      <c r="L502" s="55">
        <f>J502+ROUND(K502, 2)</f>
        <v>806.29</v>
      </c>
      <c r="M502" s="55">
        <f>ROUND(J502*I502, 2)</f>
        <v>68092.2</v>
      </c>
      <c r="N502" s="55">
        <f>ROUND(I502*ROUND(K502, 2), 2)</f>
        <v>77040</v>
      </c>
      <c r="O502" s="55">
        <f>M502+N502</f>
        <v>145132.20000000001</v>
      </c>
      <c r="P502" s="55">
        <f>IFERROR(ROUND(SUM(S503,S504)/I502, 2),0)</f>
        <v>162.09</v>
      </c>
      <c r="Q502" s="55">
        <v>642</v>
      </c>
      <c r="R502" s="55">
        <f>P502+ROUND(Q502, 2)</f>
        <v>804.09</v>
      </c>
      <c r="S502" s="55">
        <f>ROUND(P502*I502, 2)</f>
        <v>29176.2</v>
      </c>
      <c r="T502" s="55">
        <f>ROUND(I502*ROUND(Q502, 2), 2)</f>
        <v>115560</v>
      </c>
      <c r="U502" s="55">
        <f>S502+T502</f>
        <v>144736.20000000001</v>
      </c>
      <c r="V502" s="9">
        <f>ROUND(P502 / 1.2, 2)</f>
        <v>135.08000000000001</v>
      </c>
      <c r="W502" s="9">
        <f>ROUND(Q502 / 1.2, 2)</f>
        <v>535</v>
      </c>
      <c r="X502" s="9">
        <f>ROUND(R502 / 1.2, 2)</f>
        <v>670.08</v>
      </c>
      <c r="Y502" s="9">
        <f t="shared" si="91"/>
        <v>24313.5</v>
      </c>
      <c r="Z502" s="9">
        <f>ROUND(T502 / 1.2, 2)</f>
        <v>96300</v>
      </c>
      <c r="AA502" s="9">
        <f>Y502+Z502</f>
        <v>120613.5</v>
      </c>
      <c r="AD502" s="4">
        <v>304337667</v>
      </c>
      <c r="AE502" s="4">
        <v>21950060</v>
      </c>
      <c r="AG502" s="4" t="s">
        <v>1232</v>
      </c>
      <c r="AH502" s="4" t="s">
        <v>1233</v>
      </c>
      <c r="AI502" s="4" t="s">
        <v>260</v>
      </c>
    </row>
    <row r="503" spans="1:35" ht="36" x14ac:dyDescent="0.3">
      <c r="A503" s="51" t="s">
        <v>1354</v>
      </c>
      <c r="B503" s="51"/>
      <c r="C503" s="56" t="s">
        <v>682</v>
      </c>
      <c r="D503" s="53"/>
      <c r="E503" s="53"/>
      <c r="F503" s="57" t="s">
        <v>265</v>
      </c>
      <c r="G503" s="58">
        <v>0.15</v>
      </c>
      <c r="H503" s="53"/>
      <c r="I503" s="58">
        <v>27</v>
      </c>
      <c r="J503" s="59">
        <v>88.8</v>
      </c>
      <c r="K503" s="60"/>
      <c r="L503" s="60"/>
      <c r="M503" s="59">
        <f>ROUND(ROUND(J503, 2)*I503, 2)</f>
        <v>2397.6</v>
      </c>
      <c r="N503" s="60"/>
      <c r="O503" s="60"/>
      <c r="P503" s="59">
        <v>88.8</v>
      </c>
      <c r="Q503" s="60"/>
      <c r="R503" s="60"/>
      <c r="S503" s="59">
        <f>ROUND(ROUND(P503, 2)*I503, 2)</f>
        <v>2397.6</v>
      </c>
      <c r="T503" s="60"/>
      <c r="U503" s="61"/>
      <c r="V503" s="9">
        <f>ROUND(ROUND(P503, 2)/1.2, 2)</f>
        <v>74</v>
      </c>
      <c r="Y503" s="9">
        <f t="shared" si="91"/>
        <v>1998</v>
      </c>
      <c r="AD503" s="4" t="s">
        <v>1355</v>
      </c>
      <c r="AE503" s="4" t="s">
        <v>1356</v>
      </c>
      <c r="AF503" s="4" t="s">
        <v>685</v>
      </c>
    </row>
    <row r="504" spans="1:35" ht="36" x14ac:dyDescent="0.3">
      <c r="A504" s="51" t="s">
        <v>1357</v>
      </c>
      <c r="B504" s="51"/>
      <c r="C504" s="56" t="s">
        <v>1242</v>
      </c>
      <c r="D504" s="53"/>
      <c r="E504" s="53"/>
      <c r="F504" s="57" t="s">
        <v>265</v>
      </c>
      <c r="G504" s="58">
        <v>0.3</v>
      </c>
      <c r="H504" s="53"/>
      <c r="I504" s="58">
        <v>54</v>
      </c>
      <c r="J504" s="59">
        <v>1216.56</v>
      </c>
      <c r="K504" s="60"/>
      <c r="L504" s="60"/>
      <c r="M504" s="59">
        <f>ROUND(ROUND(J504, 2)*I504, 2)</f>
        <v>65694.240000000005</v>
      </c>
      <c r="N504" s="60"/>
      <c r="O504" s="60"/>
      <c r="P504" s="59">
        <v>495.9</v>
      </c>
      <c r="Q504" s="60"/>
      <c r="R504" s="60"/>
      <c r="S504" s="59">
        <f>ROUND(ROUND(P504, 2)*I504, 2)</f>
        <v>26778.6</v>
      </c>
      <c r="T504" s="60"/>
      <c r="U504" s="61"/>
      <c r="V504" s="9">
        <f>ROUND(ROUND(P504, 2)/1.2, 2)</f>
        <v>413.25</v>
      </c>
      <c r="Y504" s="9">
        <f t="shared" si="91"/>
        <v>22315.5</v>
      </c>
      <c r="AD504" s="4" t="s">
        <v>1358</v>
      </c>
      <c r="AE504" s="4" t="s">
        <v>1359</v>
      </c>
      <c r="AF504" s="4" t="s">
        <v>1245</v>
      </c>
    </row>
    <row r="505" spans="1:35" ht="108" x14ac:dyDescent="0.3">
      <c r="A505" s="51" t="s">
        <v>1360</v>
      </c>
      <c r="B505" s="51" t="s">
        <v>1230</v>
      </c>
      <c r="C505" s="52" t="s">
        <v>1231</v>
      </c>
      <c r="D505" s="53"/>
      <c r="E505" s="53" t="s">
        <v>1276</v>
      </c>
      <c r="F505" s="53" t="s">
        <v>59</v>
      </c>
      <c r="G505" s="54">
        <v>1</v>
      </c>
      <c r="H505" s="53"/>
      <c r="I505" s="54">
        <v>1285.3</v>
      </c>
      <c r="J505" s="55">
        <f>IFERROR(ROUND(SUM(M506,M507)/I505, 2),0)</f>
        <v>378.29</v>
      </c>
      <c r="K505" s="55">
        <v>428</v>
      </c>
      <c r="L505" s="55">
        <f>J505+ROUND(K505, 2)</f>
        <v>806.29</v>
      </c>
      <c r="M505" s="55">
        <f>ROUND(J505*I505, 2)</f>
        <v>486216.14</v>
      </c>
      <c r="N505" s="55">
        <f>ROUND(I505*ROUND(K505, 2), 2)</f>
        <v>550108.4</v>
      </c>
      <c r="O505" s="55">
        <f>M505+N505</f>
        <v>1036324.54</v>
      </c>
      <c r="P505" s="55">
        <f>IFERROR(ROUND(SUM(S506,S507)/I505, 2),0)</f>
        <v>162.09</v>
      </c>
      <c r="Q505" s="55">
        <v>642</v>
      </c>
      <c r="R505" s="55">
        <f>P505+ROUND(Q505, 2)</f>
        <v>804.09</v>
      </c>
      <c r="S505" s="55">
        <f>ROUND(P505*I505, 2)</f>
        <v>208334.28</v>
      </c>
      <c r="T505" s="55">
        <f>ROUND(I505*ROUND(Q505, 2), 2)</f>
        <v>825162.6</v>
      </c>
      <c r="U505" s="55">
        <f>S505+T505</f>
        <v>1033496.88</v>
      </c>
      <c r="V505" s="9">
        <f>ROUND(P505 / 1.2, 2)</f>
        <v>135.08000000000001</v>
      </c>
      <c r="W505" s="9">
        <f>ROUND(Q505 / 1.2, 2)</f>
        <v>535</v>
      </c>
      <c r="X505" s="9">
        <f>ROUND(R505 / 1.2, 2)</f>
        <v>670.08</v>
      </c>
      <c r="Y505" s="9">
        <f t="shared" si="91"/>
        <v>173611.9</v>
      </c>
      <c r="Z505" s="9">
        <f>ROUND(T505 / 1.2, 2)</f>
        <v>687635.5</v>
      </c>
      <c r="AA505" s="9">
        <f>Y505+Z505</f>
        <v>861247.4</v>
      </c>
      <c r="AD505" s="4">
        <v>304337668</v>
      </c>
      <c r="AE505" s="4">
        <v>21950048</v>
      </c>
      <c r="AG505" s="4" t="s">
        <v>1232</v>
      </c>
      <c r="AH505" s="4" t="s">
        <v>1233</v>
      </c>
      <c r="AI505" s="4" t="s">
        <v>260</v>
      </c>
    </row>
    <row r="506" spans="1:35" ht="36" x14ac:dyDescent="0.3">
      <c r="A506" s="51" t="s">
        <v>1361</v>
      </c>
      <c r="B506" s="51"/>
      <c r="C506" s="56" t="s">
        <v>1242</v>
      </c>
      <c r="D506" s="53"/>
      <c r="E506" s="53"/>
      <c r="F506" s="57" t="s">
        <v>265</v>
      </c>
      <c r="G506" s="58">
        <v>0.3</v>
      </c>
      <c r="H506" s="53"/>
      <c r="I506" s="58">
        <v>385.59</v>
      </c>
      <c r="J506" s="59">
        <v>1216.56</v>
      </c>
      <c r="K506" s="60"/>
      <c r="L506" s="60"/>
      <c r="M506" s="59">
        <f>ROUND(ROUND(J506, 2)*I506, 2)</f>
        <v>469093.37</v>
      </c>
      <c r="N506" s="60"/>
      <c r="O506" s="60"/>
      <c r="P506" s="59">
        <v>495.9</v>
      </c>
      <c r="Q506" s="60"/>
      <c r="R506" s="60"/>
      <c r="S506" s="59">
        <f>ROUND(ROUND(P506, 2)*I506, 2)</f>
        <v>191214.07999999999</v>
      </c>
      <c r="T506" s="60"/>
      <c r="U506" s="61"/>
      <c r="V506" s="9">
        <f>ROUND(ROUND(P506, 2)/1.2, 2)</f>
        <v>413.25</v>
      </c>
      <c r="Y506" s="9">
        <f t="shared" si="91"/>
        <v>159345.07</v>
      </c>
      <c r="AD506" s="4" t="s">
        <v>1362</v>
      </c>
      <c r="AE506" s="4" t="s">
        <v>1363</v>
      </c>
      <c r="AF506" s="4" t="s">
        <v>1245</v>
      </c>
    </row>
    <row r="507" spans="1:35" ht="36" x14ac:dyDescent="0.3">
      <c r="A507" s="51" t="s">
        <v>1364</v>
      </c>
      <c r="B507" s="51"/>
      <c r="C507" s="56" t="s">
        <v>682</v>
      </c>
      <c r="D507" s="53"/>
      <c r="E507" s="53"/>
      <c r="F507" s="57" t="s">
        <v>265</v>
      </c>
      <c r="G507" s="58">
        <v>0.15</v>
      </c>
      <c r="H507" s="53"/>
      <c r="I507" s="58">
        <v>192.79499999999999</v>
      </c>
      <c r="J507" s="59">
        <v>88.8</v>
      </c>
      <c r="K507" s="60"/>
      <c r="L507" s="60"/>
      <c r="M507" s="59">
        <f>ROUND(ROUND(J507, 2)*I507, 2)</f>
        <v>17120.2</v>
      </c>
      <c r="N507" s="60"/>
      <c r="O507" s="60"/>
      <c r="P507" s="59">
        <v>88.8</v>
      </c>
      <c r="Q507" s="60"/>
      <c r="R507" s="60"/>
      <c r="S507" s="59">
        <f>ROUND(ROUND(P507, 2)*I507, 2)</f>
        <v>17120.2</v>
      </c>
      <c r="T507" s="60"/>
      <c r="U507" s="61"/>
      <c r="V507" s="9">
        <f>ROUND(ROUND(P507, 2)/1.2, 2)</f>
        <v>74</v>
      </c>
      <c r="Y507" s="9">
        <f t="shared" si="91"/>
        <v>14266.83</v>
      </c>
      <c r="AD507" s="4" t="s">
        <v>1365</v>
      </c>
      <c r="AE507" s="4" t="s">
        <v>1366</v>
      </c>
      <c r="AF507" s="4" t="s">
        <v>685</v>
      </c>
    </row>
    <row r="508" spans="1:35" ht="108" x14ac:dyDescent="0.3">
      <c r="A508" s="51" t="s">
        <v>1367</v>
      </c>
      <c r="B508" s="51" t="s">
        <v>1230</v>
      </c>
      <c r="C508" s="52" t="s">
        <v>1231</v>
      </c>
      <c r="D508" s="53"/>
      <c r="E508" s="53" t="s">
        <v>1289</v>
      </c>
      <c r="F508" s="53" t="s">
        <v>59</v>
      </c>
      <c r="G508" s="54">
        <v>1</v>
      </c>
      <c r="H508" s="53"/>
      <c r="I508" s="54">
        <v>101.4</v>
      </c>
      <c r="J508" s="55">
        <f>IFERROR(ROUND(SUM(M509,M510)/I508, 2),0)</f>
        <v>378.29</v>
      </c>
      <c r="K508" s="55">
        <v>428</v>
      </c>
      <c r="L508" s="55">
        <f>J508+ROUND(K508, 2)</f>
        <v>806.29</v>
      </c>
      <c r="M508" s="55">
        <f>ROUND(J508*I508, 2)</f>
        <v>38358.61</v>
      </c>
      <c r="N508" s="55">
        <f>ROUND(I508*ROUND(K508, 2), 2)</f>
        <v>43399.199999999997</v>
      </c>
      <c r="O508" s="55">
        <f>M508+N508</f>
        <v>81757.81</v>
      </c>
      <c r="P508" s="55">
        <f>IFERROR(ROUND(SUM(S509,S510)/I508, 2),0)</f>
        <v>162.09</v>
      </c>
      <c r="Q508" s="55">
        <v>642</v>
      </c>
      <c r="R508" s="55">
        <f>P508+ROUND(Q508, 2)</f>
        <v>804.09</v>
      </c>
      <c r="S508" s="55">
        <f>ROUND(P508*I508, 2)</f>
        <v>16435.93</v>
      </c>
      <c r="T508" s="55">
        <f>ROUND(I508*ROUND(Q508, 2), 2)</f>
        <v>65098.8</v>
      </c>
      <c r="U508" s="55">
        <f>S508+T508</f>
        <v>81534.73</v>
      </c>
      <c r="V508" s="9">
        <f>ROUND(P508 / 1.2, 2)</f>
        <v>135.08000000000001</v>
      </c>
      <c r="W508" s="9">
        <f>ROUND(Q508 / 1.2, 2)</f>
        <v>535</v>
      </c>
      <c r="X508" s="9">
        <f>ROUND(R508 / 1.2, 2)</f>
        <v>670.08</v>
      </c>
      <c r="Y508" s="9">
        <f t="shared" si="91"/>
        <v>13696.61</v>
      </c>
      <c r="Z508" s="9">
        <f>ROUND(T508 / 1.2, 2)</f>
        <v>54249</v>
      </c>
      <c r="AA508" s="9">
        <f>Y508+Z508</f>
        <v>67945.61</v>
      </c>
      <c r="AD508" s="4">
        <v>304337669</v>
      </c>
      <c r="AE508" s="4">
        <v>21950050</v>
      </c>
      <c r="AG508" s="4" t="s">
        <v>1232</v>
      </c>
      <c r="AH508" s="4" t="s">
        <v>1233</v>
      </c>
      <c r="AI508" s="4" t="s">
        <v>260</v>
      </c>
    </row>
    <row r="509" spans="1:35" ht="36" x14ac:dyDescent="0.3">
      <c r="A509" s="51" t="s">
        <v>1368</v>
      </c>
      <c r="B509" s="51"/>
      <c r="C509" s="56" t="s">
        <v>682</v>
      </c>
      <c r="D509" s="53"/>
      <c r="E509" s="53"/>
      <c r="F509" s="57" t="s">
        <v>265</v>
      </c>
      <c r="G509" s="58">
        <v>0.15</v>
      </c>
      <c r="H509" s="53"/>
      <c r="I509" s="58">
        <v>15.21</v>
      </c>
      <c r="J509" s="59">
        <v>88.8</v>
      </c>
      <c r="K509" s="60"/>
      <c r="L509" s="60"/>
      <c r="M509" s="59">
        <f>ROUND(ROUND(J509, 2)*I509, 2)</f>
        <v>1350.65</v>
      </c>
      <c r="N509" s="60"/>
      <c r="O509" s="60"/>
      <c r="P509" s="59">
        <v>88.8</v>
      </c>
      <c r="Q509" s="60"/>
      <c r="R509" s="60"/>
      <c r="S509" s="59">
        <f>ROUND(ROUND(P509, 2)*I509, 2)</f>
        <v>1350.65</v>
      </c>
      <c r="T509" s="60"/>
      <c r="U509" s="61"/>
      <c r="V509" s="9">
        <f>ROUND(ROUND(P509, 2)/1.2, 2)</f>
        <v>74</v>
      </c>
      <c r="Y509" s="9">
        <f t="shared" si="91"/>
        <v>1125.54</v>
      </c>
      <c r="AD509" s="4" t="s">
        <v>1369</v>
      </c>
      <c r="AE509" s="4" t="s">
        <v>1370</v>
      </c>
      <c r="AF509" s="4" t="s">
        <v>685</v>
      </c>
    </row>
    <row r="510" spans="1:35" ht="36" x14ac:dyDescent="0.3">
      <c r="A510" s="51" t="s">
        <v>1371</v>
      </c>
      <c r="B510" s="51"/>
      <c r="C510" s="56" t="s">
        <v>1242</v>
      </c>
      <c r="D510" s="53"/>
      <c r="E510" s="53"/>
      <c r="F510" s="57" t="s">
        <v>265</v>
      </c>
      <c r="G510" s="58">
        <v>0.3</v>
      </c>
      <c r="H510" s="53"/>
      <c r="I510" s="58">
        <v>30.42</v>
      </c>
      <c r="J510" s="59">
        <v>1216.56</v>
      </c>
      <c r="K510" s="60"/>
      <c r="L510" s="60"/>
      <c r="M510" s="59">
        <f>ROUND(ROUND(J510, 2)*I510, 2)</f>
        <v>37007.760000000002</v>
      </c>
      <c r="N510" s="60"/>
      <c r="O510" s="60"/>
      <c r="P510" s="59">
        <v>495.9</v>
      </c>
      <c r="Q510" s="60"/>
      <c r="R510" s="60"/>
      <c r="S510" s="59">
        <f>ROUND(ROUND(P510, 2)*I510, 2)</f>
        <v>15085.28</v>
      </c>
      <c r="T510" s="60"/>
      <c r="U510" s="61"/>
      <c r="V510" s="9">
        <f>ROUND(ROUND(P510, 2)/1.2, 2)</f>
        <v>413.25</v>
      </c>
      <c r="Y510" s="9">
        <f t="shared" si="91"/>
        <v>12571.07</v>
      </c>
      <c r="AD510" s="4" t="s">
        <v>1372</v>
      </c>
      <c r="AE510" s="4" t="s">
        <v>1373</v>
      </c>
      <c r="AF510" s="4" t="s">
        <v>1245</v>
      </c>
    </row>
    <row r="511" spans="1:35" ht="108" x14ac:dyDescent="0.3">
      <c r="A511" s="51" t="s">
        <v>1374</v>
      </c>
      <c r="B511" s="51" t="s">
        <v>1230</v>
      </c>
      <c r="C511" s="52" t="s">
        <v>1231</v>
      </c>
      <c r="D511" s="53"/>
      <c r="E511" s="53" t="s">
        <v>1302</v>
      </c>
      <c r="F511" s="53" t="s">
        <v>59</v>
      </c>
      <c r="G511" s="54">
        <v>1</v>
      </c>
      <c r="H511" s="53"/>
      <c r="I511" s="54">
        <v>23.1</v>
      </c>
      <c r="J511" s="55">
        <f>IFERROR(ROUND(SUM(M512,M513)/I511, 2),0)</f>
        <v>378.29</v>
      </c>
      <c r="K511" s="55">
        <v>428</v>
      </c>
      <c r="L511" s="55">
        <f>J511+ROUND(K511, 2)</f>
        <v>806.29</v>
      </c>
      <c r="M511" s="55">
        <f>ROUND(J511*I511, 2)</f>
        <v>8738.5</v>
      </c>
      <c r="N511" s="55">
        <f>ROUND(I511*ROUND(K511, 2), 2)</f>
        <v>9886.7999999999993</v>
      </c>
      <c r="O511" s="55">
        <f>M511+N511</f>
        <v>18625.3</v>
      </c>
      <c r="P511" s="55">
        <f>IFERROR(ROUND(SUM(S512,S513)/I511, 2),0)</f>
        <v>162.09</v>
      </c>
      <c r="Q511" s="55">
        <v>642</v>
      </c>
      <c r="R511" s="55">
        <f>P511+ROUND(Q511, 2)</f>
        <v>804.09</v>
      </c>
      <c r="S511" s="55">
        <f>ROUND(P511*I511, 2)</f>
        <v>3744.28</v>
      </c>
      <c r="T511" s="55">
        <f>ROUND(I511*ROUND(Q511, 2), 2)</f>
        <v>14830.2</v>
      </c>
      <c r="U511" s="55">
        <f>S511+T511</f>
        <v>18574.48</v>
      </c>
      <c r="V511" s="9">
        <f>ROUND(P511 / 1.2, 2)</f>
        <v>135.08000000000001</v>
      </c>
      <c r="W511" s="9">
        <f>ROUND(Q511 / 1.2, 2)</f>
        <v>535</v>
      </c>
      <c r="X511" s="9">
        <f>ROUND(R511 / 1.2, 2)</f>
        <v>670.08</v>
      </c>
      <c r="Y511" s="9">
        <f t="shared" si="91"/>
        <v>3120.23</v>
      </c>
      <c r="Z511" s="9">
        <f>ROUND(T511 / 1.2, 2)</f>
        <v>12358.5</v>
      </c>
      <c r="AA511" s="9">
        <f>Y511+Z511</f>
        <v>15478.73</v>
      </c>
      <c r="AD511" s="4">
        <v>304337670</v>
      </c>
      <c r="AE511" s="4">
        <v>21950044</v>
      </c>
      <c r="AG511" s="4" t="s">
        <v>1232</v>
      </c>
      <c r="AH511" s="4" t="s">
        <v>1233</v>
      </c>
      <c r="AI511" s="4" t="s">
        <v>260</v>
      </c>
    </row>
    <row r="512" spans="1:35" ht="36" x14ac:dyDescent="0.3">
      <c r="A512" s="51" t="s">
        <v>1375</v>
      </c>
      <c r="B512" s="51"/>
      <c r="C512" s="56" t="s">
        <v>1242</v>
      </c>
      <c r="D512" s="53"/>
      <c r="E512" s="53"/>
      <c r="F512" s="57" t="s">
        <v>265</v>
      </c>
      <c r="G512" s="58">
        <v>0.3</v>
      </c>
      <c r="H512" s="53"/>
      <c r="I512" s="58">
        <v>6.93</v>
      </c>
      <c r="J512" s="59">
        <v>1216.56</v>
      </c>
      <c r="K512" s="60"/>
      <c r="L512" s="60"/>
      <c r="M512" s="59">
        <f>ROUND(ROUND(J512, 2)*I512, 2)</f>
        <v>8430.76</v>
      </c>
      <c r="N512" s="60"/>
      <c r="O512" s="60"/>
      <c r="P512" s="59">
        <v>495.9</v>
      </c>
      <c r="Q512" s="60"/>
      <c r="R512" s="60"/>
      <c r="S512" s="59">
        <f>ROUND(ROUND(P512, 2)*I512, 2)</f>
        <v>3436.59</v>
      </c>
      <c r="T512" s="60"/>
      <c r="U512" s="61"/>
      <c r="V512" s="9">
        <f>ROUND(ROUND(P512, 2)/1.2, 2)</f>
        <v>413.25</v>
      </c>
      <c r="Y512" s="9">
        <f t="shared" si="91"/>
        <v>2863.83</v>
      </c>
      <c r="AD512" s="4" t="s">
        <v>1376</v>
      </c>
      <c r="AE512" s="4" t="s">
        <v>1377</v>
      </c>
      <c r="AF512" s="4" t="s">
        <v>1245</v>
      </c>
    </row>
    <row r="513" spans="1:35" ht="36" x14ac:dyDescent="0.3">
      <c r="A513" s="51" t="s">
        <v>1378</v>
      </c>
      <c r="B513" s="51"/>
      <c r="C513" s="56" t="s">
        <v>682</v>
      </c>
      <c r="D513" s="53"/>
      <c r="E513" s="53"/>
      <c r="F513" s="57" t="s">
        <v>265</v>
      </c>
      <c r="G513" s="58">
        <v>0.15</v>
      </c>
      <c r="H513" s="53"/>
      <c r="I513" s="58">
        <v>3.4649999999999999</v>
      </c>
      <c r="J513" s="59">
        <v>88.8</v>
      </c>
      <c r="K513" s="60"/>
      <c r="L513" s="60"/>
      <c r="M513" s="59">
        <f>ROUND(ROUND(J513, 2)*I513, 2)</f>
        <v>307.69</v>
      </c>
      <c r="N513" s="60"/>
      <c r="O513" s="60"/>
      <c r="P513" s="59">
        <v>88.8</v>
      </c>
      <c r="Q513" s="60"/>
      <c r="R513" s="60"/>
      <c r="S513" s="59">
        <f>ROUND(ROUND(P513, 2)*I513, 2)</f>
        <v>307.69</v>
      </c>
      <c r="T513" s="60"/>
      <c r="U513" s="61"/>
      <c r="V513" s="9">
        <f>ROUND(ROUND(P513, 2)/1.2, 2)</f>
        <v>74</v>
      </c>
      <c r="Y513" s="9">
        <f t="shared" si="91"/>
        <v>256.41000000000003</v>
      </c>
      <c r="AD513" s="4" t="s">
        <v>1379</v>
      </c>
      <c r="AE513" s="4" t="s">
        <v>1380</v>
      </c>
      <c r="AF513" s="4" t="s">
        <v>685</v>
      </c>
    </row>
    <row r="514" spans="1:35" ht="108" x14ac:dyDescent="0.3">
      <c r="A514" s="51" t="s">
        <v>1381</v>
      </c>
      <c r="B514" s="51" t="s">
        <v>1230</v>
      </c>
      <c r="C514" s="52" t="s">
        <v>1231</v>
      </c>
      <c r="D514" s="53"/>
      <c r="E514" s="53" t="s">
        <v>1315</v>
      </c>
      <c r="F514" s="53" t="s">
        <v>59</v>
      </c>
      <c r="G514" s="54">
        <v>1</v>
      </c>
      <c r="H514" s="53"/>
      <c r="I514" s="54">
        <v>18.5</v>
      </c>
      <c r="J514" s="55">
        <f>IFERROR(ROUND(SUM(M515,M516)/I514, 2),0)</f>
        <v>378.29</v>
      </c>
      <c r="K514" s="55">
        <v>428</v>
      </c>
      <c r="L514" s="55">
        <f>J514+ROUND(K514, 2)</f>
        <v>806.29</v>
      </c>
      <c r="M514" s="55">
        <f>ROUND(J514*I514, 2)</f>
        <v>6998.37</v>
      </c>
      <c r="N514" s="55">
        <f>ROUND(I514*ROUND(K514, 2), 2)</f>
        <v>7918</v>
      </c>
      <c r="O514" s="55">
        <f>M514+N514</f>
        <v>14916.37</v>
      </c>
      <c r="P514" s="55">
        <f>IFERROR(ROUND(SUM(S515,S516)/I514, 2),0)</f>
        <v>162.09</v>
      </c>
      <c r="Q514" s="55">
        <v>642</v>
      </c>
      <c r="R514" s="55">
        <f>P514+ROUND(Q514, 2)</f>
        <v>804.09</v>
      </c>
      <c r="S514" s="55">
        <f>ROUND(P514*I514, 2)</f>
        <v>2998.67</v>
      </c>
      <c r="T514" s="55">
        <f>ROUND(I514*ROUND(Q514, 2), 2)</f>
        <v>11877</v>
      </c>
      <c r="U514" s="55">
        <f>S514+T514</f>
        <v>14875.67</v>
      </c>
      <c r="V514" s="9">
        <f>ROUND(P514 / 1.2, 2)</f>
        <v>135.08000000000001</v>
      </c>
      <c r="W514" s="9">
        <f>ROUND(Q514 / 1.2, 2)</f>
        <v>535</v>
      </c>
      <c r="X514" s="9">
        <f>ROUND(R514 / 1.2, 2)</f>
        <v>670.08</v>
      </c>
      <c r="Y514" s="9">
        <f t="shared" si="91"/>
        <v>2498.89</v>
      </c>
      <c r="Z514" s="9">
        <f>ROUND(T514 / 1.2, 2)</f>
        <v>9897.5</v>
      </c>
      <c r="AA514" s="9">
        <f>Y514+Z514</f>
        <v>12396.39</v>
      </c>
      <c r="AD514" s="4">
        <v>304337671</v>
      </c>
      <c r="AE514" s="4">
        <v>21950046</v>
      </c>
      <c r="AG514" s="4" t="s">
        <v>1232</v>
      </c>
      <c r="AH514" s="4" t="s">
        <v>1233</v>
      </c>
      <c r="AI514" s="4" t="s">
        <v>260</v>
      </c>
    </row>
    <row r="515" spans="1:35" ht="36" x14ac:dyDescent="0.3">
      <c r="A515" s="51" t="s">
        <v>1382</v>
      </c>
      <c r="B515" s="51"/>
      <c r="C515" s="56" t="s">
        <v>682</v>
      </c>
      <c r="D515" s="53"/>
      <c r="E515" s="53"/>
      <c r="F515" s="57" t="s">
        <v>265</v>
      </c>
      <c r="G515" s="58">
        <v>0.15</v>
      </c>
      <c r="H515" s="53"/>
      <c r="I515" s="58">
        <v>2.7749999999999999</v>
      </c>
      <c r="J515" s="59">
        <v>88.8</v>
      </c>
      <c r="K515" s="60"/>
      <c r="L515" s="60"/>
      <c r="M515" s="59">
        <f>ROUND(ROUND(J515, 2)*I515, 2)</f>
        <v>246.42</v>
      </c>
      <c r="N515" s="60"/>
      <c r="O515" s="60"/>
      <c r="P515" s="59">
        <v>88.8</v>
      </c>
      <c r="Q515" s="60"/>
      <c r="R515" s="60"/>
      <c r="S515" s="59">
        <f>ROUND(ROUND(P515, 2)*I515, 2)</f>
        <v>246.42</v>
      </c>
      <c r="T515" s="60"/>
      <c r="U515" s="61"/>
      <c r="V515" s="9">
        <f>ROUND(ROUND(P515, 2)/1.2, 2)</f>
        <v>74</v>
      </c>
      <c r="Y515" s="9">
        <f t="shared" si="91"/>
        <v>205.35</v>
      </c>
      <c r="AD515" s="4" t="s">
        <v>1383</v>
      </c>
      <c r="AE515" s="4" t="s">
        <v>1384</v>
      </c>
      <c r="AF515" s="4" t="s">
        <v>685</v>
      </c>
    </row>
    <row r="516" spans="1:35" ht="36" x14ac:dyDescent="0.3">
      <c r="A516" s="51" t="s">
        <v>1385</v>
      </c>
      <c r="B516" s="51"/>
      <c r="C516" s="56" t="s">
        <v>1242</v>
      </c>
      <c r="D516" s="53"/>
      <c r="E516" s="53"/>
      <c r="F516" s="57" t="s">
        <v>265</v>
      </c>
      <c r="G516" s="58">
        <v>0.3</v>
      </c>
      <c r="H516" s="53"/>
      <c r="I516" s="58">
        <v>5.55</v>
      </c>
      <c r="J516" s="59">
        <v>1216.56</v>
      </c>
      <c r="K516" s="60"/>
      <c r="L516" s="60"/>
      <c r="M516" s="59">
        <f>ROUND(ROUND(J516, 2)*I516, 2)</f>
        <v>6751.91</v>
      </c>
      <c r="N516" s="60"/>
      <c r="O516" s="60"/>
      <c r="P516" s="59">
        <v>495.9</v>
      </c>
      <c r="Q516" s="60"/>
      <c r="R516" s="60"/>
      <c r="S516" s="59">
        <f>ROUND(ROUND(P516, 2)*I516, 2)</f>
        <v>2752.25</v>
      </c>
      <c r="T516" s="60"/>
      <c r="U516" s="61"/>
      <c r="V516" s="9">
        <f>ROUND(ROUND(P516, 2)/1.2, 2)</f>
        <v>413.25</v>
      </c>
      <c r="Y516" s="9">
        <f t="shared" si="91"/>
        <v>2293.54</v>
      </c>
      <c r="AD516" s="4" t="s">
        <v>1386</v>
      </c>
      <c r="AE516" s="4" t="s">
        <v>1387</v>
      </c>
      <c r="AF516" s="4" t="s">
        <v>1245</v>
      </c>
    </row>
    <row r="517" spans="1:35" ht="54" x14ac:dyDescent="0.3">
      <c r="A517" s="51" t="s">
        <v>1388</v>
      </c>
      <c r="B517" s="51" t="s">
        <v>1230</v>
      </c>
      <c r="C517" s="52" t="s">
        <v>1231</v>
      </c>
      <c r="D517" s="53"/>
      <c r="E517" s="53" t="s">
        <v>1328</v>
      </c>
      <c r="F517" s="53" t="s">
        <v>59</v>
      </c>
      <c r="G517" s="54">
        <v>1</v>
      </c>
      <c r="H517" s="53"/>
      <c r="I517" s="54">
        <v>253.5</v>
      </c>
      <c r="J517" s="55">
        <f>IFERROR(ROUND(SUM(M518,M519)/I517, 2),0)</f>
        <v>378.29</v>
      </c>
      <c r="K517" s="55">
        <v>428</v>
      </c>
      <c r="L517" s="55">
        <f>J517+ROUND(K517, 2)</f>
        <v>806.29</v>
      </c>
      <c r="M517" s="55">
        <f>ROUND(J517*I517, 2)</f>
        <v>95896.52</v>
      </c>
      <c r="N517" s="55">
        <f>ROUND(I517*ROUND(K517, 2), 2)</f>
        <v>108498</v>
      </c>
      <c r="O517" s="55">
        <f>M517+N517</f>
        <v>204394.52</v>
      </c>
      <c r="P517" s="55">
        <f>IFERROR(ROUND(SUM(S518,S519)/I517, 2),0)</f>
        <v>162.09</v>
      </c>
      <c r="Q517" s="55">
        <v>642</v>
      </c>
      <c r="R517" s="55">
        <f>P517+ROUND(Q517, 2)</f>
        <v>804.09</v>
      </c>
      <c r="S517" s="55">
        <f>ROUND(P517*I517, 2)</f>
        <v>41089.82</v>
      </c>
      <c r="T517" s="55">
        <f>ROUND(I517*ROUND(Q517, 2), 2)</f>
        <v>162747</v>
      </c>
      <c r="U517" s="55">
        <f>S517+T517</f>
        <v>203836.82</v>
      </c>
      <c r="V517" s="9">
        <f>ROUND(P517 / 1.2, 2)</f>
        <v>135.08000000000001</v>
      </c>
      <c r="W517" s="9">
        <f>ROUND(Q517 / 1.2, 2)</f>
        <v>535</v>
      </c>
      <c r="X517" s="9">
        <f>ROUND(R517 / 1.2, 2)</f>
        <v>670.08</v>
      </c>
      <c r="Y517" s="9">
        <f t="shared" si="91"/>
        <v>34241.519999999997</v>
      </c>
      <c r="Z517" s="9">
        <f>ROUND(T517 / 1.2, 2)</f>
        <v>135622.5</v>
      </c>
      <c r="AA517" s="9">
        <f>Y517+Z517</f>
        <v>169864.02</v>
      </c>
      <c r="AD517" s="4">
        <v>304337672</v>
      </c>
      <c r="AE517" s="4">
        <v>21950073</v>
      </c>
      <c r="AG517" s="4" t="s">
        <v>1232</v>
      </c>
      <c r="AH517" s="4" t="s">
        <v>1233</v>
      </c>
      <c r="AI517" s="4" t="s">
        <v>260</v>
      </c>
    </row>
    <row r="518" spans="1:35" ht="36" x14ac:dyDescent="0.3">
      <c r="A518" s="51" t="s">
        <v>1389</v>
      </c>
      <c r="B518" s="51"/>
      <c r="C518" s="56" t="s">
        <v>1242</v>
      </c>
      <c r="D518" s="53"/>
      <c r="E518" s="53"/>
      <c r="F518" s="57" t="s">
        <v>265</v>
      </c>
      <c r="G518" s="58">
        <v>0.3</v>
      </c>
      <c r="H518" s="53"/>
      <c r="I518" s="58">
        <v>76.05</v>
      </c>
      <c r="J518" s="59">
        <v>1216.56</v>
      </c>
      <c r="K518" s="60"/>
      <c r="L518" s="60"/>
      <c r="M518" s="59">
        <f>ROUND(ROUND(J518, 2)*I518, 2)</f>
        <v>92519.39</v>
      </c>
      <c r="N518" s="60"/>
      <c r="O518" s="60"/>
      <c r="P518" s="59">
        <v>495.9</v>
      </c>
      <c r="Q518" s="60"/>
      <c r="R518" s="60"/>
      <c r="S518" s="59">
        <f>ROUND(ROUND(P518, 2)*I518, 2)</f>
        <v>37713.199999999997</v>
      </c>
      <c r="T518" s="60"/>
      <c r="U518" s="61"/>
      <c r="V518" s="9">
        <f>ROUND(ROUND(P518, 2)/1.2, 2)</f>
        <v>413.25</v>
      </c>
      <c r="Y518" s="9">
        <f t="shared" si="91"/>
        <v>31427.67</v>
      </c>
      <c r="AD518" s="4" t="s">
        <v>1390</v>
      </c>
      <c r="AE518" s="4" t="s">
        <v>1391</v>
      </c>
      <c r="AF518" s="4" t="s">
        <v>1245</v>
      </c>
    </row>
    <row r="519" spans="1:35" ht="36" x14ac:dyDescent="0.3">
      <c r="A519" s="51" t="s">
        <v>1392</v>
      </c>
      <c r="B519" s="51"/>
      <c r="C519" s="56" t="s">
        <v>682</v>
      </c>
      <c r="D519" s="53"/>
      <c r="E519" s="53"/>
      <c r="F519" s="57" t="s">
        <v>265</v>
      </c>
      <c r="G519" s="58">
        <v>0.15</v>
      </c>
      <c r="H519" s="53"/>
      <c r="I519" s="58">
        <v>38.024999999999999</v>
      </c>
      <c r="J519" s="59">
        <v>88.8</v>
      </c>
      <c r="K519" s="60"/>
      <c r="L519" s="60"/>
      <c r="M519" s="59">
        <f>ROUND(ROUND(J519, 2)*I519, 2)</f>
        <v>3376.62</v>
      </c>
      <c r="N519" s="60"/>
      <c r="O519" s="60"/>
      <c r="P519" s="59">
        <v>88.8</v>
      </c>
      <c r="Q519" s="60"/>
      <c r="R519" s="60"/>
      <c r="S519" s="59">
        <f>ROUND(ROUND(P519, 2)*I519, 2)</f>
        <v>3376.62</v>
      </c>
      <c r="T519" s="60"/>
      <c r="U519" s="61"/>
      <c r="V519" s="9">
        <f>ROUND(ROUND(P519, 2)/1.2, 2)</f>
        <v>74</v>
      </c>
      <c r="Y519" s="9">
        <f t="shared" si="91"/>
        <v>2813.85</v>
      </c>
      <c r="AD519" s="4" t="s">
        <v>1393</v>
      </c>
      <c r="AE519" s="4" t="s">
        <v>1394</v>
      </c>
      <c r="AF519" s="4" t="s">
        <v>685</v>
      </c>
    </row>
    <row r="520" spans="1:35" ht="36" x14ac:dyDescent="0.3">
      <c r="A520" s="17" t="s">
        <v>1395</v>
      </c>
      <c r="B520" s="17" t="s">
        <v>1396</v>
      </c>
      <c r="C520" s="18" t="s">
        <v>1397</v>
      </c>
      <c r="D520" s="19"/>
      <c r="E520" s="19"/>
      <c r="F520" s="19" t="s">
        <v>59</v>
      </c>
      <c r="G520" s="20">
        <v>1</v>
      </c>
      <c r="H520" s="19"/>
      <c r="I520" s="21">
        <v>0</v>
      </c>
      <c r="J520" s="22">
        <f>IFERROR(ROUND(SUM(M522,M524)/I520, 2),0)</f>
        <v>0</v>
      </c>
      <c r="K520" s="22">
        <v>472</v>
      </c>
      <c r="L520" s="22">
        <f>J520+ROUND(K520, 2)</f>
        <v>472</v>
      </c>
      <c r="M520" s="22">
        <f>ROUND(J520*I520, 2)</f>
        <v>0</v>
      </c>
      <c r="N520" s="22">
        <f>ROUND(I520*ROUND(K520, 2), 2)</f>
        <v>0</v>
      </c>
      <c r="O520" s="22">
        <f>M520+N520</f>
        <v>0</v>
      </c>
      <c r="P520" s="22">
        <f>IFERROR(ROUND(SUM(S522,S524)/I520, 2),0)</f>
        <v>0</v>
      </c>
      <c r="Q520" s="22">
        <v>472</v>
      </c>
      <c r="R520" s="22">
        <f>P520+ROUND(Q520, 2)</f>
        <v>472</v>
      </c>
      <c r="S520" s="22">
        <f>ROUND(P520*I520, 2)</f>
        <v>0</v>
      </c>
      <c r="T520" s="22">
        <f>ROUND(I520*ROUND(Q520, 2), 2)</f>
        <v>0</v>
      </c>
      <c r="U520" s="22">
        <f>S520+T520</f>
        <v>0</v>
      </c>
      <c r="V520" s="9">
        <f>ROUND(P520 / 1.2, 2)</f>
        <v>0</v>
      </c>
      <c r="W520" s="9">
        <f>ROUND(Q520 / 1.2, 2)</f>
        <v>393.33</v>
      </c>
      <c r="X520" s="9">
        <f>ROUND(R520 / 1.2, 2)</f>
        <v>393.33</v>
      </c>
      <c r="Y520" s="9">
        <f t="shared" si="91"/>
        <v>0</v>
      </c>
      <c r="Z520" s="9">
        <f>ROUND(T520 / 1.2, 2)</f>
        <v>0</v>
      </c>
      <c r="AA520" s="9">
        <f>Y520+Z520</f>
        <v>0</v>
      </c>
      <c r="AD520" s="4">
        <v>304337568</v>
      </c>
      <c r="AE520" s="4">
        <v>20300711</v>
      </c>
      <c r="AG520" s="4" t="s">
        <v>1398</v>
      </c>
      <c r="AH520" s="4" t="s">
        <v>1399</v>
      </c>
      <c r="AI520" s="4" t="s">
        <v>260</v>
      </c>
    </row>
    <row r="521" spans="1:35" ht="108" x14ac:dyDescent="0.3">
      <c r="A521" s="23" t="s">
        <v>1400</v>
      </c>
      <c r="B521" s="23" t="s">
        <v>1396</v>
      </c>
      <c r="C521" s="24" t="s">
        <v>1397</v>
      </c>
      <c r="D521" s="25"/>
      <c r="E521" s="25" t="s">
        <v>1401</v>
      </c>
      <c r="F521" s="25" t="s">
        <v>59</v>
      </c>
      <c r="G521" s="26">
        <v>1</v>
      </c>
      <c r="H521" s="25"/>
      <c r="I521" s="26">
        <v>170.8</v>
      </c>
      <c r="J521" s="27">
        <v>0</v>
      </c>
      <c r="K521" s="27">
        <v>472</v>
      </c>
      <c r="L521" s="27"/>
      <c r="M521" s="27">
        <v>0</v>
      </c>
      <c r="N521" s="27"/>
      <c r="O521" s="27"/>
      <c r="P521" s="27">
        <v>0</v>
      </c>
      <c r="Q521" s="27">
        <v>472</v>
      </c>
      <c r="R521" s="27"/>
      <c r="S521" s="27">
        <v>0</v>
      </c>
      <c r="T521" s="27"/>
      <c r="U521" s="27"/>
      <c r="V521" s="9"/>
      <c r="W521" s="9">
        <f>ROUND(Q521 / 1.2, 2)</f>
        <v>393.33</v>
      </c>
      <c r="X521" s="9" t="e">
        <f>ROUND(R521 / 1.2, 2)</f>
        <v>#VALUE!</v>
      </c>
      <c r="Y521" s="9"/>
      <c r="Z521" s="9" t="e">
        <f>ROUND(T521 / 1.2, 2)</f>
        <v>#VALUE!</v>
      </c>
      <c r="AA521" s="9"/>
      <c r="AD521" s="4">
        <v>281967398</v>
      </c>
      <c r="AE521" s="4">
        <v>20300711</v>
      </c>
      <c r="AG521" s="4" t="s">
        <v>1398</v>
      </c>
      <c r="AH521" s="4" t="s">
        <v>1399</v>
      </c>
      <c r="AI521" s="4"/>
    </row>
    <row r="522" spans="1:35" ht="18" x14ac:dyDescent="0.3">
      <c r="A522" s="17" t="s">
        <v>1402</v>
      </c>
      <c r="B522" s="17"/>
      <c r="C522" s="34" t="s">
        <v>1403</v>
      </c>
      <c r="D522" s="19"/>
      <c r="E522" s="19"/>
      <c r="F522" s="35" t="s">
        <v>265</v>
      </c>
      <c r="G522" s="36">
        <v>0.3</v>
      </c>
      <c r="H522" s="19"/>
      <c r="I522" s="37">
        <v>0</v>
      </c>
      <c r="J522" s="38">
        <v>938.78</v>
      </c>
      <c r="K522" s="39"/>
      <c r="L522" s="39"/>
      <c r="M522" s="38">
        <f>ROUND(ROUND(J522, 2)*I522, 2)</f>
        <v>0</v>
      </c>
      <c r="N522" s="39"/>
      <c r="O522" s="39"/>
      <c r="P522" s="38">
        <v>495.9</v>
      </c>
      <c r="Q522" s="39"/>
      <c r="R522" s="39"/>
      <c r="S522" s="38">
        <f>ROUND(ROUND(P522, 2)*I522, 2)</f>
        <v>0</v>
      </c>
      <c r="T522" s="39"/>
      <c r="U522" s="40"/>
      <c r="V522" s="9">
        <f>ROUND(ROUND(P522, 2)/1.2, 2)</f>
        <v>413.25</v>
      </c>
      <c r="Y522" s="9">
        <f t="shared" ref="Y522:Y529" si="92">ROUND(S522 / 1.2, 2)</f>
        <v>0</v>
      </c>
      <c r="AD522" s="4" t="s">
        <v>1404</v>
      </c>
      <c r="AE522" s="4" t="s">
        <v>1405</v>
      </c>
      <c r="AF522" s="4" t="s">
        <v>1406</v>
      </c>
    </row>
    <row r="523" spans="1:35" ht="18" x14ac:dyDescent="0.3">
      <c r="A523" s="23" t="s">
        <v>1407</v>
      </c>
      <c r="B523" s="23"/>
      <c r="C523" s="41" t="s">
        <v>1403</v>
      </c>
      <c r="D523" s="25"/>
      <c r="E523" s="25"/>
      <c r="F523" s="42" t="s">
        <v>265</v>
      </c>
      <c r="G523" s="43">
        <v>0.3</v>
      </c>
      <c r="H523" s="25"/>
      <c r="I523" s="43">
        <v>51.24</v>
      </c>
      <c r="J523" s="44">
        <v>938.78</v>
      </c>
      <c r="K523" s="45"/>
      <c r="L523" s="45"/>
      <c r="M523" s="44">
        <f>ROUND(ROUND(J523, 2)*I523, 2)</f>
        <v>48103.09</v>
      </c>
      <c r="N523" s="45"/>
      <c r="O523" s="45"/>
      <c r="P523" s="44">
        <v>495.9</v>
      </c>
      <c r="Q523" s="45"/>
      <c r="R523" s="45"/>
      <c r="S523" s="44">
        <f>ROUND(ROUND(P523, 2)*I523, 2)</f>
        <v>25409.919999999998</v>
      </c>
      <c r="T523" s="45"/>
      <c r="U523" s="46"/>
      <c r="V523" s="9">
        <f>ROUND(ROUND(P523, 2)/1.2, 2)</f>
        <v>413.25</v>
      </c>
      <c r="Y523" s="9">
        <f t="shared" si="92"/>
        <v>21174.93</v>
      </c>
      <c r="AD523" s="4" t="s">
        <v>1408</v>
      </c>
      <c r="AE523" s="4" t="s">
        <v>1405</v>
      </c>
      <c r="AF523" s="4" t="s">
        <v>1406</v>
      </c>
    </row>
    <row r="524" spans="1:35" ht="36" x14ac:dyDescent="0.3">
      <c r="A524" s="17" t="s">
        <v>1409</v>
      </c>
      <c r="B524" s="17"/>
      <c r="C524" s="34" t="s">
        <v>682</v>
      </c>
      <c r="D524" s="19"/>
      <c r="E524" s="19"/>
      <c r="F524" s="35" t="s">
        <v>265</v>
      </c>
      <c r="G524" s="36">
        <v>0.1</v>
      </c>
      <c r="H524" s="19"/>
      <c r="I524" s="37">
        <v>0</v>
      </c>
      <c r="J524" s="38">
        <v>88.8</v>
      </c>
      <c r="K524" s="39"/>
      <c r="L524" s="39"/>
      <c r="M524" s="38">
        <f>ROUND(ROUND(J524, 2)*I524, 2)</f>
        <v>0</v>
      </c>
      <c r="N524" s="39"/>
      <c r="O524" s="39"/>
      <c r="P524" s="38">
        <v>88.8</v>
      </c>
      <c r="Q524" s="39"/>
      <c r="R524" s="39"/>
      <c r="S524" s="38">
        <f>ROUND(ROUND(P524, 2)*I524, 2)</f>
        <v>0</v>
      </c>
      <c r="T524" s="39"/>
      <c r="U524" s="40"/>
      <c r="V524" s="9">
        <f>ROUND(ROUND(P524, 2)/1.2, 2)</f>
        <v>74</v>
      </c>
      <c r="Y524" s="9">
        <f t="shared" si="92"/>
        <v>0</v>
      </c>
      <c r="AD524" s="4" t="s">
        <v>1410</v>
      </c>
      <c r="AE524" s="4" t="s">
        <v>1411</v>
      </c>
      <c r="AF524" s="4" t="s">
        <v>685</v>
      </c>
    </row>
    <row r="525" spans="1:35" ht="36" x14ac:dyDescent="0.3">
      <c r="A525" s="23" t="s">
        <v>1412</v>
      </c>
      <c r="B525" s="23"/>
      <c r="C525" s="41" t="s">
        <v>682</v>
      </c>
      <c r="D525" s="25"/>
      <c r="E525" s="25"/>
      <c r="F525" s="42" t="s">
        <v>265</v>
      </c>
      <c r="G525" s="43">
        <v>0.1</v>
      </c>
      <c r="H525" s="25"/>
      <c r="I525" s="43">
        <v>17.079999999999998</v>
      </c>
      <c r="J525" s="44">
        <v>88.8</v>
      </c>
      <c r="K525" s="45"/>
      <c r="L525" s="45"/>
      <c r="M525" s="44">
        <f>ROUND(ROUND(J525, 2)*I525, 2)</f>
        <v>1516.7</v>
      </c>
      <c r="N525" s="45"/>
      <c r="O525" s="45"/>
      <c r="P525" s="44">
        <v>88.8</v>
      </c>
      <c r="Q525" s="45"/>
      <c r="R525" s="45"/>
      <c r="S525" s="44">
        <f>ROUND(ROUND(P525, 2)*I525, 2)</f>
        <v>1516.7</v>
      </c>
      <c r="T525" s="45"/>
      <c r="U525" s="46"/>
      <c r="V525" s="9">
        <f>ROUND(ROUND(P525, 2)/1.2, 2)</f>
        <v>74</v>
      </c>
      <c r="Y525" s="9">
        <f t="shared" si="92"/>
        <v>1263.92</v>
      </c>
      <c r="AD525" s="4" t="s">
        <v>1413</v>
      </c>
      <c r="AE525" s="4" t="s">
        <v>1411</v>
      </c>
      <c r="AF525" s="4" t="s">
        <v>685</v>
      </c>
    </row>
    <row r="526" spans="1:35" ht="108" x14ac:dyDescent="0.3">
      <c r="A526" s="51" t="s">
        <v>1414</v>
      </c>
      <c r="B526" s="51" t="s">
        <v>1396</v>
      </c>
      <c r="C526" s="52" t="s">
        <v>1397</v>
      </c>
      <c r="D526" s="53"/>
      <c r="E526" s="53" t="s">
        <v>1401</v>
      </c>
      <c r="F526" s="53" t="s">
        <v>59</v>
      </c>
      <c r="G526" s="54">
        <v>1</v>
      </c>
      <c r="H526" s="53"/>
      <c r="I526" s="54">
        <v>170.8</v>
      </c>
      <c r="J526" s="55">
        <f>IFERROR(ROUND(SUM(M527,M528)/I526, 2),0)</f>
        <v>290.51</v>
      </c>
      <c r="K526" s="55">
        <v>472</v>
      </c>
      <c r="L526" s="55">
        <f>J526+ROUND(K526, 2)</f>
        <v>762.51</v>
      </c>
      <c r="M526" s="55">
        <f>ROUND(J526*I526, 2)</f>
        <v>49619.11</v>
      </c>
      <c r="N526" s="55">
        <f>ROUND(I526*ROUND(K526, 2), 2)</f>
        <v>80617.600000000006</v>
      </c>
      <c r="O526" s="55">
        <f>M526+N526</f>
        <v>130236.71</v>
      </c>
      <c r="P526" s="55">
        <f>IFERROR(ROUND(SUM(S527,S528)/I526, 2),0)</f>
        <v>157.65</v>
      </c>
      <c r="Q526" s="55">
        <v>708</v>
      </c>
      <c r="R526" s="55">
        <f>P526+ROUND(Q526, 2)</f>
        <v>865.65</v>
      </c>
      <c r="S526" s="55">
        <f>ROUND(P526*I526, 2)</f>
        <v>26926.62</v>
      </c>
      <c r="T526" s="55">
        <f>ROUND(I526*ROUND(Q526, 2), 2)</f>
        <v>120926.39999999999</v>
      </c>
      <c r="U526" s="55">
        <f>S526+T526</f>
        <v>147853.01999999999</v>
      </c>
      <c r="V526" s="9">
        <f>ROUND(P526 / 1.2, 2)</f>
        <v>131.38</v>
      </c>
      <c r="W526" s="9">
        <f>ROUND(Q526 / 1.2, 2)</f>
        <v>590</v>
      </c>
      <c r="X526" s="9">
        <f>ROUND(R526 / 1.2, 2)</f>
        <v>721.38</v>
      </c>
      <c r="Y526" s="9">
        <f t="shared" si="92"/>
        <v>22438.85</v>
      </c>
      <c r="Z526" s="9">
        <f>ROUND(T526 / 1.2, 2)</f>
        <v>100772</v>
      </c>
      <c r="AA526" s="9">
        <f>Y526+Z526</f>
        <v>123210.85</v>
      </c>
      <c r="AD526" s="4">
        <v>304337673</v>
      </c>
      <c r="AE526" s="4">
        <v>21950049</v>
      </c>
      <c r="AG526" s="4" t="s">
        <v>1398</v>
      </c>
      <c r="AH526" s="4" t="s">
        <v>1399</v>
      </c>
      <c r="AI526" s="4" t="s">
        <v>260</v>
      </c>
    </row>
    <row r="527" spans="1:35" ht="36" x14ac:dyDescent="0.3">
      <c r="A527" s="51" t="s">
        <v>1415</v>
      </c>
      <c r="B527" s="51"/>
      <c r="C527" s="56" t="s">
        <v>682</v>
      </c>
      <c r="D527" s="53"/>
      <c r="E527" s="53"/>
      <c r="F527" s="57" t="s">
        <v>265</v>
      </c>
      <c r="G527" s="58">
        <v>0.1</v>
      </c>
      <c r="H527" s="53"/>
      <c r="I527" s="58">
        <v>17.079999999999998</v>
      </c>
      <c r="J527" s="59">
        <v>88.8</v>
      </c>
      <c r="K527" s="60"/>
      <c r="L527" s="60"/>
      <c r="M527" s="59">
        <f>ROUND(ROUND(J527, 2)*I527, 2)</f>
        <v>1516.7</v>
      </c>
      <c r="N527" s="60"/>
      <c r="O527" s="60"/>
      <c r="P527" s="59">
        <v>88.8</v>
      </c>
      <c r="Q527" s="60"/>
      <c r="R527" s="60"/>
      <c r="S527" s="59">
        <f>ROUND(ROUND(P527, 2)*I527, 2)</f>
        <v>1516.7</v>
      </c>
      <c r="T527" s="60"/>
      <c r="U527" s="61"/>
      <c r="V527" s="9">
        <f>ROUND(ROUND(P527, 2)/1.2, 2)</f>
        <v>74</v>
      </c>
      <c r="Y527" s="9">
        <f t="shared" si="92"/>
        <v>1263.92</v>
      </c>
      <c r="AD527" s="4" t="s">
        <v>1416</v>
      </c>
      <c r="AE527" s="4" t="s">
        <v>1417</v>
      </c>
      <c r="AF527" s="4" t="s">
        <v>685</v>
      </c>
    </row>
    <row r="528" spans="1:35" ht="18" x14ac:dyDescent="0.3">
      <c r="A528" s="51" t="s">
        <v>1418</v>
      </c>
      <c r="B528" s="51"/>
      <c r="C528" s="56" t="s">
        <v>1403</v>
      </c>
      <c r="D528" s="53"/>
      <c r="E528" s="53"/>
      <c r="F528" s="57" t="s">
        <v>265</v>
      </c>
      <c r="G528" s="58">
        <v>0.3</v>
      </c>
      <c r="H528" s="53"/>
      <c r="I528" s="58">
        <v>51.24</v>
      </c>
      <c r="J528" s="59">
        <v>938.78</v>
      </c>
      <c r="K528" s="60"/>
      <c r="L528" s="60"/>
      <c r="M528" s="59">
        <f>ROUND(ROUND(J528, 2)*I528, 2)</f>
        <v>48103.09</v>
      </c>
      <c r="N528" s="60"/>
      <c r="O528" s="60"/>
      <c r="P528" s="59">
        <v>495.9</v>
      </c>
      <c r="Q528" s="60"/>
      <c r="R528" s="60"/>
      <c r="S528" s="59">
        <f>ROUND(ROUND(P528, 2)*I528, 2)</f>
        <v>25409.919999999998</v>
      </c>
      <c r="T528" s="60"/>
      <c r="U528" s="61"/>
      <c r="V528" s="9">
        <f>ROUND(ROUND(P528, 2)/1.2, 2)</f>
        <v>413.25</v>
      </c>
      <c r="Y528" s="9">
        <f t="shared" si="92"/>
        <v>21174.93</v>
      </c>
      <c r="AD528" s="4" t="s">
        <v>1419</v>
      </c>
      <c r="AE528" s="4" t="s">
        <v>1420</v>
      </c>
      <c r="AF528" s="4" t="s">
        <v>1406</v>
      </c>
    </row>
    <row r="529" spans="1:35" ht="54" x14ac:dyDescent="0.3">
      <c r="A529" s="17" t="s">
        <v>1421</v>
      </c>
      <c r="B529" s="17" t="s">
        <v>1422</v>
      </c>
      <c r="C529" s="18" t="s">
        <v>1423</v>
      </c>
      <c r="D529" s="19"/>
      <c r="E529" s="19"/>
      <c r="F529" s="19" t="s">
        <v>59</v>
      </c>
      <c r="G529" s="20">
        <v>1</v>
      </c>
      <c r="H529" s="19"/>
      <c r="I529" s="21">
        <v>0</v>
      </c>
      <c r="J529" s="22">
        <f>IFERROR(ROUND(SUM(M531,M533,M535,M537)/I529, 2),0)</f>
        <v>0</v>
      </c>
      <c r="K529" s="22">
        <v>2364</v>
      </c>
      <c r="L529" s="22">
        <f>J529+ROUND(K529, 2)</f>
        <v>2364</v>
      </c>
      <c r="M529" s="22">
        <f>ROUND(J529*I529, 2)</f>
        <v>0</v>
      </c>
      <c r="N529" s="22">
        <f>ROUND(I529*ROUND(K529, 2), 2)</f>
        <v>0</v>
      </c>
      <c r="O529" s="22">
        <f>M529+N529</f>
        <v>0</v>
      </c>
      <c r="P529" s="22">
        <f>IFERROR(ROUND(SUM(S531,S533,S535,S537)/I529, 2),0)</f>
        <v>0</v>
      </c>
      <c r="Q529" s="22">
        <v>2364</v>
      </c>
      <c r="R529" s="22">
        <f>P529+ROUND(Q529, 2)</f>
        <v>2364</v>
      </c>
      <c r="S529" s="22">
        <f>ROUND(P529*I529, 2)</f>
        <v>0</v>
      </c>
      <c r="T529" s="22">
        <f>ROUND(I529*ROUND(Q529, 2), 2)</f>
        <v>0</v>
      </c>
      <c r="U529" s="22">
        <f>S529+T529</f>
        <v>0</v>
      </c>
      <c r="V529" s="9">
        <f>ROUND(P529 / 1.2, 2)</f>
        <v>0</v>
      </c>
      <c r="W529" s="9">
        <f>ROUND(Q529 / 1.2, 2)</f>
        <v>1970</v>
      </c>
      <c r="X529" s="9">
        <f>ROUND(R529 / 1.2, 2)</f>
        <v>1970</v>
      </c>
      <c r="Y529" s="9">
        <f t="shared" si="92"/>
        <v>0</v>
      </c>
      <c r="Z529" s="9">
        <f>ROUND(T529 / 1.2, 2)</f>
        <v>0</v>
      </c>
      <c r="AA529" s="9">
        <f>Y529+Z529</f>
        <v>0</v>
      </c>
      <c r="AD529" s="4">
        <v>304337570</v>
      </c>
      <c r="AE529" s="4">
        <v>20336106</v>
      </c>
      <c r="AG529" s="4" t="s">
        <v>1424</v>
      </c>
      <c r="AH529" s="4" t="s">
        <v>1425</v>
      </c>
      <c r="AI529" s="4" t="s">
        <v>260</v>
      </c>
    </row>
    <row r="530" spans="1:35" ht="54" x14ac:dyDescent="0.3">
      <c r="A530" s="23" t="s">
        <v>1426</v>
      </c>
      <c r="B530" s="23" t="s">
        <v>1422</v>
      </c>
      <c r="C530" s="24" t="s">
        <v>1423</v>
      </c>
      <c r="D530" s="25"/>
      <c r="E530" s="25" t="s">
        <v>1427</v>
      </c>
      <c r="F530" s="25" t="s">
        <v>59</v>
      </c>
      <c r="G530" s="26">
        <v>1</v>
      </c>
      <c r="H530" s="25"/>
      <c r="I530" s="26">
        <v>1163</v>
      </c>
      <c r="J530" s="27">
        <v>0</v>
      </c>
      <c r="K530" s="27">
        <v>2364</v>
      </c>
      <c r="L530" s="27"/>
      <c r="M530" s="27">
        <v>0</v>
      </c>
      <c r="N530" s="27"/>
      <c r="O530" s="27"/>
      <c r="P530" s="27">
        <v>0</v>
      </c>
      <c r="Q530" s="27">
        <v>2364</v>
      </c>
      <c r="R530" s="27"/>
      <c r="S530" s="27">
        <v>0</v>
      </c>
      <c r="T530" s="27"/>
      <c r="U530" s="27"/>
      <c r="V530" s="9"/>
      <c r="W530" s="9">
        <f>ROUND(Q530 / 1.2, 2)</f>
        <v>1970</v>
      </c>
      <c r="X530" s="9" t="e">
        <f>ROUND(R530 / 1.2, 2)</f>
        <v>#VALUE!</v>
      </c>
      <c r="Y530" s="9"/>
      <c r="Z530" s="9" t="e">
        <f>ROUND(T530 / 1.2, 2)</f>
        <v>#VALUE!</v>
      </c>
      <c r="AA530" s="9"/>
      <c r="AD530" s="4">
        <v>281967400</v>
      </c>
      <c r="AE530" s="4">
        <v>20336106</v>
      </c>
      <c r="AG530" s="4" t="s">
        <v>1424</v>
      </c>
      <c r="AH530" s="4" t="s">
        <v>1425</v>
      </c>
      <c r="AI530" s="4"/>
    </row>
    <row r="531" spans="1:35" ht="36" x14ac:dyDescent="0.3">
      <c r="A531" s="17" t="s">
        <v>1428</v>
      </c>
      <c r="B531" s="17"/>
      <c r="C531" s="34" t="s">
        <v>790</v>
      </c>
      <c r="D531" s="19"/>
      <c r="E531" s="19"/>
      <c r="F531" s="35" t="s">
        <v>265</v>
      </c>
      <c r="G531" s="36">
        <v>0.25</v>
      </c>
      <c r="H531" s="19"/>
      <c r="I531" s="48">
        <v>0</v>
      </c>
      <c r="J531" s="38">
        <v>40.270000000000003</v>
      </c>
      <c r="K531" s="39"/>
      <c r="L531" s="39"/>
      <c r="M531" s="38">
        <f t="shared" ref="M531:M538" si="93">ROUND(ROUND(J531, 2)*I531, 2)</f>
        <v>0</v>
      </c>
      <c r="N531" s="39"/>
      <c r="O531" s="39"/>
      <c r="P531" s="38">
        <v>40.270000000000003</v>
      </c>
      <c r="Q531" s="39"/>
      <c r="R531" s="39"/>
      <c r="S531" s="38">
        <f t="shared" ref="S531:S538" si="94">ROUND(ROUND(P531, 2)*I531, 2)</f>
        <v>0</v>
      </c>
      <c r="T531" s="39"/>
      <c r="U531" s="40"/>
      <c r="V531" s="9">
        <f t="shared" ref="V531:V538" si="95">ROUND(ROUND(P531, 2)/1.2, 2)</f>
        <v>33.56</v>
      </c>
      <c r="Y531" s="9">
        <f t="shared" ref="Y531:Y539" si="96">ROUND(S531 / 1.2, 2)</f>
        <v>0</v>
      </c>
      <c r="AD531" s="4" t="s">
        <v>1429</v>
      </c>
      <c r="AE531" s="4" t="s">
        <v>1430</v>
      </c>
      <c r="AF531" s="4" t="s">
        <v>793</v>
      </c>
    </row>
    <row r="532" spans="1:35" ht="36" x14ac:dyDescent="0.3">
      <c r="A532" s="23" t="s">
        <v>1431</v>
      </c>
      <c r="B532" s="23"/>
      <c r="C532" s="41" t="s">
        <v>790</v>
      </c>
      <c r="D532" s="25"/>
      <c r="E532" s="25"/>
      <c r="F532" s="42" t="s">
        <v>265</v>
      </c>
      <c r="G532" s="43">
        <v>0.25</v>
      </c>
      <c r="H532" s="25"/>
      <c r="I532" s="50">
        <v>290.75</v>
      </c>
      <c r="J532" s="44">
        <v>40.270000000000003</v>
      </c>
      <c r="K532" s="45"/>
      <c r="L532" s="45"/>
      <c r="M532" s="44">
        <f t="shared" si="93"/>
        <v>11708.5</v>
      </c>
      <c r="N532" s="45"/>
      <c r="O532" s="45"/>
      <c r="P532" s="44">
        <v>40.270000000000003</v>
      </c>
      <c r="Q532" s="45"/>
      <c r="R532" s="45"/>
      <c r="S532" s="44">
        <f t="shared" si="94"/>
        <v>11708.5</v>
      </c>
      <c r="T532" s="45"/>
      <c r="U532" s="46"/>
      <c r="V532" s="9">
        <f t="shared" si="95"/>
        <v>33.56</v>
      </c>
      <c r="Y532" s="9">
        <f t="shared" si="96"/>
        <v>9757.08</v>
      </c>
      <c r="AD532" s="4" t="s">
        <v>1432</v>
      </c>
      <c r="AE532" s="4" t="s">
        <v>1430</v>
      </c>
      <c r="AF532" s="4" t="s">
        <v>793</v>
      </c>
    </row>
    <row r="533" spans="1:35" ht="36" x14ac:dyDescent="0.3">
      <c r="A533" s="17" t="s">
        <v>1433</v>
      </c>
      <c r="B533" s="17"/>
      <c r="C533" s="34" t="s">
        <v>1434</v>
      </c>
      <c r="D533" s="19"/>
      <c r="E533" s="19"/>
      <c r="F533" s="35" t="s">
        <v>265</v>
      </c>
      <c r="G533" s="36">
        <v>0.15</v>
      </c>
      <c r="H533" s="19"/>
      <c r="I533" s="37">
        <v>0</v>
      </c>
      <c r="J533" s="38">
        <v>68.400000000000006</v>
      </c>
      <c r="K533" s="39"/>
      <c r="L533" s="39"/>
      <c r="M533" s="38">
        <f t="shared" si="93"/>
        <v>0</v>
      </c>
      <c r="N533" s="39"/>
      <c r="O533" s="39"/>
      <c r="P533" s="38">
        <v>68.400000000000006</v>
      </c>
      <c r="Q533" s="39"/>
      <c r="R533" s="39"/>
      <c r="S533" s="38">
        <f t="shared" si="94"/>
        <v>0</v>
      </c>
      <c r="T533" s="39"/>
      <c r="U533" s="40"/>
      <c r="V533" s="9">
        <f t="shared" si="95"/>
        <v>57</v>
      </c>
      <c r="Y533" s="9">
        <f t="shared" si="96"/>
        <v>0</v>
      </c>
      <c r="AD533" s="4" t="s">
        <v>1435</v>
      </c>
      <c r="AE533" s="4" t="s">
        <v>1436</v>
      </c>
      <c r="AF533" s="4" t="s">
        <v>1437</v>
      </c>
    </row>
    <row r="534" spans="1:35" ht="36" x14ac:dyDescent="0.3">
      <c r="A534" s="23" t="s">
        <v>1438</v>
      </c>
      <c r="B534" s="23"/>
      <c r="C534" s="41" t="s">
        <v>1434</v>
      </c>
      <c r="D534" s="25"/>
      <c r="E534" s="25"/>
      <c r="F534" s="42" t="s">
        <v>265</v>
      </c>
      <c r="G534" s="43">
        <v>0.15</v>
      </c>
      <c r="H534" s="25"/>
      <c r="I534" s="43">
        <v>174.45</v>
      </c>
      <c r="J534" s="44">
        <v>68.400000000000006</v>
      </c>
      <c r="K534" s="45"/>
      <c r="L534" s="45"/>
      <c r="M534" s="44">
        <f t="shared" si="93"/>
        <v>11932.38</v>
      </c>
      <c r="N534" s="45"/>
      <c r="O534" s="45"/>
      <c r="P534" s="44">
        <v>68.400000000000006</v>
      </c>
      <c r="Q534" s="45"/>
      <c r="R534" s="45"/>
      <c r="S534" s="44">
        <f t="shared" si="94"/>
        <v>11932.38</v>
      </c>
      <c r="T534" s="45"/>
      <c r="U534" s="46"/>
      <c r="V534" s="9">
        <f t="shared" si="95"/>
        <v>57</v>
      </c>
      <c r="Y534" s="9">
        <f t="shared" si="96"/>
        <v>9943.65</v>
      </c>
      <c r="AD534" s="4" t="s">
        <v>1439</v>
      </c>
      <c r="AE534" s="4" t="s">
        <v>1436</v>
      </c>
      <c r="AF534" s="4" t="s">
        <v>1437</v>
      </c>
    </row>
    <row r="535" spans="1:35" ht="36" x14ac:dyDescent="0.3">
      <c r="A535" s="17" t="s">
        <v>1440</v>
      </c>
      <c r="B535" s="17"/>
      <c r="C535" s="34" t="s">
        <v>822</v>
      </c>
      <c r="D535" s="19"/>
      <c r="E535" s="19"/>
      <c r="F535" s="35" t="s">
        <v>265</v>
      </c>
      <c r="G535" s="36">
        <v>1.2</v>
      </c>
      <c r="H535" s="19"/>
      <c r="I535" s="48">
        <v>0</v>
      </c>
      <c r="J535" s="38">
        <v>16.96</v>
      </c>
      <c r="K535" s="39"/>
      <c r="L535" s="39"/>
      <c r="M535" s="38">
        <f t="shared" si="93"/>
        <v>0</v>
      </c>
      <c r="N535" s="39"/>
      <c r="O535" s="39"/>
      <c r="P535" s="38">
        <v>16.96</v>
      </c>
      <c r="Q535" s="39"/>
      <c r="R535" s="39"/>
      <c r="S535" s="38">
        <f t="shared" si="94"/>
        <v>0</v>
      </c>
      <c r="T535" s="39"/>
      <c r="U535" s="40"/>
      <c r="V535" s="9">
        <f t="shared" si="95"/>
        <v>14.13</v>
      </c>
      <c r="Y535" s="9">
        <f t="shared" si="96"/>
        <v>0</v>
      </c>
      <c r="AD535" s="4" t="s">
        <v>1441</v>
      </c>
      <c r="AE535" s="4" t="s">
        <v>1442</v>
      </c>
      <c r="AF535" s="4" t="s">
        <v>825</v>
      </c>
    </row>
    <row r="536" spans="1:35" ht="36" x14ac:dyDescent="0.3">
      <c r="A536" s="23" t="s">
        <v>1443</v>
      </c>
      <c r="B536" s="23"/>
      <c r="C536" s="41" t="s">
        <v>822</v>
      </c>
      <c r="D536" s="25"/>
      <c r="E536" s="25"/>
      <c r="F536" s="42" t="s">
        <v>265</v>
      </c>
      <c r="G536" s="43">
        <v>1.2</v>
      </c>
      <c r="H536" s="25"/>
      <c r="I536" s="50">
        <v>1395.6</v>
      </c>
      <c r="J536" s="44">
        <v>16.96</v>
      </c>
      <c r="K536" s="45"/>
      <c r="L536" s="45"/>
      <c r="M536" s="44">
        <f t="shared" si="93"/>
        <v>23669.38</v>
      </c>
      <c r="N536" s="45"/>
      <c r="O536" s="45"/>
      <c r="P536" s="44">
        <v>16.96</v>
      </c>
      <c r="Q536" s="45"/>
      <c r="R536" s="45"/>
      <c r="S536" s="44">
        <f t="shared" si="94"/>
        <v>23669.38</v>
      </c>
      <c r="T536" s="45"/>
      <c r="U536" s="46"/>
      <c r="V536" s="9">
        <f t="shared" si="95"/>
        <v>14.13</v>
      </c>
      <c r="Y536" s="9">
        <f t="shared" si="96"/>
        <v>19724.48</v>
      </c>
      <c r="AD536" s="4" t="s">
        <v>1444</v>
      </c>
      <c r="AE536" s="4" t="s">
        <v>1442</v>
      </c>
      <c r="AF536" s="4" t="s">
        <v>825</v>
      </c>
    </row>
    <row r="537" spans="1:35" ht="36" x14ac:dyDescent="0.3">
      <c r="A537" s="17" t="s">
        <v>1445</v>
      </c>
      <c r="B537" s="17"/>
      <c r="C537" s="34" t="s">
        <v>1446</v>
      </c>
      <c r="D537" s="19"/>
      <c r="E537" s="19"/>
      <c r="F537" s="35" t="s">
        <v>59</v>
      </c>
      <c r="G537" s="36">
        <v>1.07</v>
      </c>
      <c r="H537" s="19"/>
      <c r="I537" s="48">
        <v>0</v>
      </c>
      <c r="J537" s="38">
        <v>1384.95</v>
      </c>
      <c r="K537" s="39"/>
      <c r="L537" s="39"/>
      <c r="M537" s="38">
        <f t="shared" si="93"/>
        <v>0</v>
      </c>
      <c r="N537" s="39"/>
      <c r="O537" s="39"/>
      <c r="P537" s="38">
        <v>545.29999999999995</v>
      </c>
      <c r="Q537" s="39"/>
      <c r="R537" s="39"/>
      <c r="S537" s="38">
        <f t="shared" si="94"/>
        <v>0</v>
      </c>
      <c r="T537" s="39"/>
      <c r="U537" s="40"/>
      <c r="V537" s="9">
        <f t="shared" si="95"/>
        <v>454.42</v>
      </c>
      <c r="Y537" s="9">
        <f t="shared" si="96"/>
        <v>0</v>
      </c>
      <c r="AD537" s="4" t="s">
        <v>1447</v>
      </c>
      <c r="AE537" s="4" t="s">
        <v>1448</v>
      </c>
      <c r="AF537" s="4" t="s">
        <v>1449</v>
      </c>
    </row>
    <row r="538" spans="1:35" ht="72" x14ac:dyDescent="0.3">
      <c r="A538" s="23" t="s">
        <v>1450</v>
      </c>
      <c r="B538" s="23"/>
      <c r="C538" s="41" t="s">
        <v>1446</v>
      </c>
      <c r="D538" s="25"/>
      <c r="E538" s="25" t="s">
        <v>787</v>
      </c>
      <c r="F538" s="42" t="s">
        <v>59</v>
      </c>
      <c r="G538" s="43">
        <v>1.07</v>
      </c>
      <c r="H538" s="25"/>
      <c r="I538" s="50">
        <v>1244.4100000000001</v>
      </c>
      <c r="J538" s="44">
        <v>1384.95</v>
      </c>
      <c r="K538" s="45"/>
      <c r="L538" s="45"/>
      <c r="M538" s="44">
        <f t="shared" si="93"/>
        <v>1723445.63</v>
      </c>
      <c r="N538" s="45"/>
      <c r="O538" s="45"/>
      <c r="P538" s="44">
        <v>545.29999999999995</v>
      </c>
      <c r="Q538" s="45"/>
      <c r="R538" s="45"/>
      <c r="S538" s="44">
        <f t="shared" si="94"/>
        <v>678576.77</v>
      </c>
      <c r="T538" s="45"/>
      <c r="U538" s="46"/>
      <c r="V538" s="9">
        <f t="shared" si="95"/>
        <v>454.42</v>
      </c>
      <c r="Y538" s="9">
        <f t="shared" si="96"/>
        <v>565480.64</v>
      </c>
      <c r="AD538" s="4" t="s">
        <v>1451</v>
      </c>
      <c r="AE538" s="4" t="s">
        <v>1448</v>
      </c>
      <c r="AF538" s="4" t="s">
        <v>1449</v>
      </c>
    </row>
    <row r="539" spans="1:35" ht="54" x14ac:dyDescent="0.3">
      <c r="A539" s="17" t="s">
        <v>1452</v>
      </c>
      <c r="B539" s="17" t="s">
        <v>1422</v>
      </c>
      <c r="C539" s="18" t="s">
        <v>1423</v>
      </c>
      <c r="D539" s="19"/>
      <c r="E539" s="19"/>
      <c r="F539" s="19" t="s">
        <v>59</v>
      </c>
      <c r="G539" s="20">
        <v>1</v>
      </c>
      <c r="H539" s="19"/>
      <c r="I539" s="21">
        <v>0</v>
      </c>
      <c r="J539" s="22">
        <f>IFERROR(ROUND(SUM(M541,M543,M545,M547)/I539, 2),0)</f>
        <v>0</v>
      </c>
      <c r="K539" s="22">
        <v>2364</v>
      </c>
      <c r="L539" s="22">
        <f>J539+ROUND(K539, 2)</f>
        <v>2364</v>
      </c>
      <c r="M539" s="22">
        <f>ROUND(J539*I539, 2)</f>
        <v>0</v>
      </c>
      <c r="N539" s="22">
        <f>ROUND(I539*ROUND(K539, 2), 2)</f>
        <v>0</v>
      </c>
      <c r="O539" s="22">
        <f>M539+N539</f>
        <v>0</v>
      </c>
      <c r="P539" s="22">
        <f>IFERROR(ROUND(SUM(S541,S543,S545,S547)/I539, 2),0)</f>
        <v>0</v>
      </c>
      <c r="Q539" s="22">
        <v>2364</v>
      </c>
      <c r="R539" s="22">
        <f>P539+ROUND(Q539, 2)</f>
        <v>2364</v>
      </c>
      <c r="S539" s="22">
        <f>ROUND(P539*I539, 2)</f>
        <v>0</v>
      </c>
      <c r="T539" s="22">
        <f>ROUND(I539*ROUND(Q539, 2), 2)</f>
        <v>0</v>
      </c>
      <c r="U539" s="22">
        <f>S539+T539</f>
        <v>0</v>
      </c>
      <c r="V539" s="9">
        <f>ROUND(P539 / 1.2, 2)</f>
        <v>0</v>
      </c>
      <c r="W539" s="9">
        <f>ROUND(Q539 / 1.2, 2)</f>
        <v>1970</v>
      </c>
      <c r="X539" s="9">
        <f>ROUND(R539 / 1.2, 2)</f>
        <v>1970</v>
      </c>
      <c r="Y539" s="9">
        <f t="shared" si="96"/>
        <v>0</v>
      </c>
      <c r="Z539" s="9">
        <f>ROUND(T539 / 1.2, 2)</f>
        <v>0</v>
      </c>
      <c r="AA539" s="9">
        <f>Y539+Z539</f>
        <v>0</v>
      </c>
      <c r="AD539" s="4">
        <v>304337674</v>
      </c>
      <c r="AE539" s="4">
        <v>20867052</v>
      </c>
      <c r="AG539" s="4" t="s">
        <v>1424</v>
      </c>
      <c r="AH539" s="4" t="s">
        <v>1425</v>
      </c>
      <c r="AI539" s="4" t="s">
        <v>260</v>
      </c>
    </row>
    <row r="540" spans="1:35" ht="54" x14ac:dyDescent="0.3">
      <c r="A540" s="23" t="s">
        <v>1453</v>
      </c>
      <c r="B540" s="23" t="s">
        <v>1422</v>
      </c>
      <c r="C540" s="24" t="s">
        <v>1423</v>
      </c>
      <c r="D540" s="25"/>
      <c r="E540" s="25" t="s">
        <v>1454</v>
      </c>
      <c r="F540" s="25" t="s">
        <v>59</v>
      </c>
      <c r="G540" s="26">
        <v>1</v>
      </c>
      <c r="H540" s="25"/>
      <c r="I540" s="26">
        <v>593.5</v>
      </c>
      <c r="J540" s="27">
        <v>0</v>
      </c>
      <c r="K540" s="27">
        <v>2364</v>
      </c>
      <c r="L540" s="27"/>
      <c r="M540" s="27">
        <v>0</v>
      </c>
      <c r="N540" s="27"/>
      <c r="O540" s="27"/>
      <c r="P540" s="27">
        <v>0</v>
      </c>
      <c r="Q540" s="27">
        <v>2364</v>
      </c>
      <c r="R540" s="27"/>
      <c r="S540" s="27">
        <v>0</v>
      </c>
      <c r="T540" s="27"/>
      <c r="U540" s="27"/>
      <c r="V540" s="9"/>
      <c r="W540" s="9">
        <f>ROUND(Q540 / 1.2, 2)</f>
        <v>1970</v>
      </c>
      <c r="X540" s="9" t="e">
        <f>ROUND(R540 / 1.2, 2)</f>
        <v>#VALUE!</v>
      </c>
      <c r="Y540" s="9"/>
      <c r="Z540" s="9" t="e">
        <f>ROUND(T540 / 1.2, 2)</f>
        <v>#VALUE!</v>
      </c>
      <c r="AA540" s="9"/>
      <c r="AD540" s="4">
        <v>278354317</v>
      </c>
      <c r="AE540" s="4">
        <v>20867052</v>
      </c>
      <c r="AG540" s="4" t="s">
        <v>1424</v>
      </c>
      <c r="AH540" s="4" t="s">
        <v>1425</v>
      </c>
      <c r="AI540" s="4"/>
    </row>
    <row r="541" spans="1:35" ht="36" x14ac:dyDescent="0.3">
      <c r="A541" s="17" t="s">
        <v>1455</v>
      </c>
      <c r="B541" s="17"/>
      <c r="C541" s="34" t="s">
        <v>1456</v>
      </c>
      <c r="D541" s="19"/>
      <c r="E541" s="19"/>
      <c r="F541" s="35" t="s">
        <v>59</v>
      </c>
      <c r="G541" s="36">
        <v>1.07</v>
      </c>
      <c r="H541" s="19"/>
      <c r="I541" s="48">
        <v>0</v>
      </c>
      <c r="J541" s="38">
        <v>945</v>
      </c>
      <c r="K541" s="39"/>
      <c r="L541" s="39"/>
      <c r="M541" s="38">
        <f t="shared" ref="M541:M548" si="97">ROUND(ROUND(J541, 2)*I541, 2)</f>
        <v>0</v>
      </c>
      <c r="N541" s="39"/>
      <c r="O541" s="39"/>
      <c r="P541" s="38">
        <v>945</v>
      </c>
      <c r="Q541" s="39"/>
      <c r="R541" s="39"/>
      <c r="S541" s="38">
        <f t="shared" ref="S541:S548" si="98">ROUND(ROUND(P541, 2)*I541, 2)</f>
        <v>0</v>
      </c>
      <c r="T541" s="39"/>
      <c r="U541" s="40"/>
      <c r="V541" s="9">
        <f t="shared" ref="V541:V548" si="99">ROUND(ROUND(P541, 2)/1.2, 2)</f>
        <v>787.5</v>
      </c>
      <c r="Y541" s="9">
        <f t="shared" ref="Y541:Y549" si="100">ROUND(S541 / 1.2, 2)</f>
        <v>0</v>
      </c>
      <c r="AD541" s="4" t="s">
        <v>1457</v>
      </c>
      <c r="AE541" s="4" t="s">
        <v>1458</v>
      </c>
      <c r="AF541" s="4" t="s">
        <v>1459</v>
      </c>
    </row>
    <row r="542" spans="1:35" ht="36" x14ac:dyDescent="0.3">
      <c r="A542" s="23" t="s">
        <v>1460</v>
      </c>
      <c r="B542" s="23"/>
      <c r="C542" s="41" t="s">
        <v>1456</v>
      </c>
      <c r="D542" s="25"/>
      <c r="E542" s="25"/>
      <c r="F542" s="42" t="s">
        <v>59</v>
      </c>
      <c r="G542" s="43">
        <v>1.07</v>
      </c>
      <c r="H542" s="25"/>
      <c r="I542" s="50">
        <v>635.04499999999996</v>
      </c>
      <c r="J542" s="44">
        <v>945</v>
      </c>
      <c r="K542" s="45"/>
      <c r="L542" s="45"/>
      <c r="M542" s="44">
        <f t="shared" si="97"/>
        <v>600117.53</v>
      </c>
      <c r="N542" s="45"/>
      <c r="O542" s="45"/>
      <c r="P542" s="44">
        <v>945</v>
      </c>
      <c r="Q542" s="45"/>
      <c r="R542" s="45"/>
      <c r="S542" s="44">
        <f t="shared" si="98"/>
        <v>600117.53</v>
      </c>
      <c r="T542" s="45"/>
      <c r="U542" s="46"/>
      <c r="V542" s="9">
        <f t="shared" si="99"/>
        <v>787.5</v>
      </c>
      <c r="Y542" s="9">
        <f t="shared" si="100"/>
        <v>500097.94</v>
      </c>
      <c r="AD542" s="4" t="s">
        <v>1461</v>
      </c>
      <c r="AE542" s="4" t="s">
        <v>1458</v>
      </c>
      <c r="AF542" s="4" t="s">
        <v>1459</v>
      </c>
    </row>
    <row r="543" spans="1:35" ht="36" x14ac:dyDescent="0.3">
      <c r="A543" s="17" t="s">
        <v>1462</v>
      </c>
      <c r="B543" s="17"/>
      <c r="C543" s="34" t="s">
        <v>822</v>
      </c>
      <c r="D543" s="19"/>
      <c r="E543" s="19"/>
      <c r="F543" s="35" t="s">
        <v>265</v>
      </c>
      <c r="G543" s="36">
        <v>1.2</v>
      </c>
      <c r="H543" s="19"/>
      <c r="I543" s="48">
        <v>0</v>
      </c>
      <c r="J543" s="38">
        <v>16.96</v>
      </c>
      <c r="K543" s="39"/>
      <c r="L543" s="39"/>
      <c r="M543" s="38">
        <f t="shared" si="97"/>
        <v>0</v>
      </c>
      <c r="N543" s="39"/>
      <c r="O543" s="39"/>
      <c r="P543" s="38">
        <v>16.96</v>
      </c>
      <c r="Q543" s="39"/>
      <c r="R543" s="39"/>
      <c r="S543" s="38">
        <f t="shared" si="98"/>
        <v>0</v>
      </c>
      <c r="T543" s="39"/>
      <c r="U543" s="40"/>
      <c r="V543" s="9">
        <f t="shared" si="99"/>
        <v>14.13</v>
      </c>
      <c r="Y543" s="9">
        <f t="shared" si="100"/>
        <v>0</v>
      </c>
      <c r="AD543" s="4" t="s">
        <v>1463</v>
      </c>
      <c r="AE543" s="4" t="s">
        <v>1464</v>
      </c>
      <c r="AF543" s="4" t="s">
        <v>825</v>
      </c>
    </row>
    <row r="544" spans="1:35" ht="36" x14ac:dyDescent="0.3">
      <c r="A544" s="23" t="s">
        <v>1465</v>
      </c>
      <c r="B544" s="23"/>
      <c r="C544" s="41" t="s">
        <v>822</v>
      </c>
      <c r="D544" s="25"/>
      <c r="E544" s="25"/>
      <c r="F544" s="42" t="s">
        <v>265</v>
      </c>
      <c r="G544" s="43">
        <v>1.2</v>
      </c>
      <c r="H544" s="25"/>
      <c r="I544" s="50">
        <v>712.2</v>
      </c>
      <c r="J544" s="44">
        <v>16.96</v>
      </c>
      <c r="K544" s="45"/>
      <c r="L544" s="45"/>
      <c r="M544" s="44">
        <f t="shared" si="97"/>
        <v>12078.91</v>
      </c>
      <c r="N544" s="45"/>
      <c r="O544" s="45"/>
      <c r="P544" s="44">
        <v>16.96</v>
      </c>
      <c r="Q544" s="45"/>
      <c r="R544" s="45"/>
      <c r="S544" s="44">
        <f t="shared" si="98"/>
        <v>12078.91</v>
      </c>
      <c r="T544" s="45"/>
      <c r="U544" s="46"/>
      <c r="V544" s="9">
        <f t="shared" si="99"/>
        <v>14.13</v>
      </c>
      <c r="Y544" s="9">
        <f t="shared" si="100"/>
        <v>10065.76</v>
      </c>
      <c r="AD544" s="4" t="s">
        <v>1466</v>
      </c>
      <c r="AE544" s="4" t="s">
        <v>1464</v>
      </c>
      <c r="AF544" s="4" t="s">
        <v>825</v>
      </c>
    </row>
    <row r="545" spans="1:35" ht="36" x14ac:dyDescent="0.3">
      <c r="A545" s="17" t="s">
        <v>1467</v>
      </c>
      <c r="B545" s="17"/>
      <c r="C545" s="34" t="s">
        <v>1434</v>
      </c>
      <c r="D545" s="19"/>
      <c r="E545" s="19"/>
      <c r="F545" s="35" t="s">
        <v>265</v>
      </c>
      <c r="G545" s="36">
        <v>0.15</v>
      </c>
      <c r="H545" s="19"/>
      <c r="I545" s="37">
        <v>0</v>
      </c>
      <c r="J545" s="38">
        <v>68.400000000000006</v>
      </c>
      <c r="K545" s="39"/>
      <c r="L545" s="39"/>
      <c r="M545" s="38">
        <f t="shared" si="97"/>
        <v>0</v>
      </c>
      <c r="N545" s="39"/>
      <c r="O545" s="39"/>
      <c r="P545" s="38">
        <v>68.400000000000006</v>
      </c>
      <c r="Q545" s="39"/>
      <c r="R545" s="39"/>
      <c r="S545" s="38">
        <f t="shared" si="98"/>
        <v>0</v>
      </c>
      <c r="T545" s="39"/>
      <c r="U545" s="40"/>
      <c r="V545" s="9">
        <f t="shared" si="99"/>
        <v>57</v>
      </c>
      <c r="Y545" s="9">
        <f t="shared" si="100"/>
        <v>0</v>
      </c>
      <c r="AD545" s="4" t="s">
        <v>1468</v>
      </c>
      <c r="AE545" s="4" t="s">
        <v>1469</v>
      </c>
      <c r="AF545" s="4" t="s">
        <v>1437</v>
      </c>
    </row>
    <row r="546" spans="1:35" ht="36" x14ac:dyDescent="0.3">
      <c r="A546" s="23" t="s">
        <v>1470</v>
      </c>
      <c r="B546" s="23"/>
      <c r="C546" s="41" t="s">
        <v>1434</v>
      </c>
      <c r="D546" s="25"/>
      <c r="E546" s="25"/>
      <c r="F546" s="42" t="s">
        <v>265</v>
      </c>
      <c r="G546" s="43">
        <v>0.15</v>
      </c>
      <c r="H546" s="25"/>
      <c r="I546" s="43">
        <v>89.025000000000006</v>
      </c>
      <c r="J546" s="44">
        <v>68.400000000000006</v>
      </c>
      <c r="K546" s="45"/>
      <c r="L546" s="45"/>
      <c r="M546" s="44">
        <f t="shared" si="97"/>
        <v>6089.31</v>
      </c>
      <c r="N546" s="45"/>
      <c r="O546" s="45"/>
      <c r="P546" s="44">
        <v>68.400000000000006</v>
      </c>
      <c r="Q546" s="45"/>
      <c r="R546" s="45"/>
      <c r="S546" s="44">
        <f t="shared" si="98"/>
        <v>6089.31</v>
      </c>
      <c r="T546" s="45"/>
      <c r="U546" s="46"/>
      <c r="V546" s="9">
        <f t="shared" si="99"/>
        <v>57</v>
      </c>
      <c r="Y546" s="9">
        <f t="shared" si="100"/>
        <v>5074.43</v>
      </c>
      <c r="AD546" s="4" t="s">
        <v>1471</v>
      </c>
      <c r="AE546" s="4" t="s">
        <v>1469</v>
      </c>
      <c r="AF546" s="4" t="s">
        <v>1437</v>
      </c>
    </row>
    <row r="547" spans="1:35" ht="36" x14ac:dyDescent="0.3">
      <c r="A547" s="17" t="s">
        <v>1472</v>
      </c>
      <c r="B547" s="17"/>
      <c r="C547" s="34" t="s">
        <v>790</v>
      </c>
      <c r="D547" s="19"/>
      <c r="E547" s="19"/>
      <c r="F547" s="35" t="s">
        <v>265</v>
      </c>
      <c r="G547" s="36">
        <v>0.25</v>
      </c>
      <c r="H547" s="19"/>
      <c r="I547" s="48">
        <v>0</v>
      </c>
      <c r="J547" s="38">
        <v>40.270000000000003</v>
      </c>
      <c r="K547" s="39"/>
      <c r="L547" s="39"/>
      <c r="M547" s="38">
        <f t="shared" si="97"/>
        <v>0</v>
      </c>
      <c r="N547" s="39"/>
      <c r="O547" s="39"/>
      <c r="P547" s="38">
        <v>40.270000000000003</v>
      </c>
      <c r="Q547" s="39"/>
      <c r="R547" s="39"/>
      <c r="S547" s="38">
        <f t="shared" si="98"/>
        <v>0</v>
      </c>
      <c r="T547" s="39"/>
      <c r="U547" s="40"/>
      <c r="V547" s="9">
        <f t="shared" si="99"/>
        <v>33.56</v>
      </c>
      <c r="Y547" s="9">
        <f t="shared" si="100"/>
        <v>0</v>
      </c>
      <c r="AD547" s="4" t="s">
        <v>1473</v>
      </c>
      <c r="AE547" s="4" t="s">
        <v>1474</v>
      </c>
      <c r="AF547" s="4" t="s">
        <v>793</v>
      </c>
    </row>
    <row r="548" spans="1:35" ht="36" x14ac:dyDescent="0.3">
      <c r="A548" s="23" t="s">
        <v>1475</v>
      </c>
      <c r="B548" s="23"/>
      <c r="C548" s="41" t="s">
        <v>790</v>
      </c>
      <c r="D548" s="25"/>
      <c r="E548" s="25"/>
      <c r="F548" s="42" t="s">
        <v>265</v>
      </c>
      <c r="G548" s="43">
        <v>0.25</v>
      </c>
      <c r="H548" s="25"/>
      <c r="I548" s="50">
        <v>148.375</v>
      </c>
      <c r="J548" s="44">
        <v>40.270000000000003</v>
      </c>
      <c r="K548" s="45"/>
      <c r="L548" s="45"/>
      <c r="M548" s="44">
        <f t="shared" si="97"/>
        <v>5975.06</v>
      </c>
      <c r="N548" s="45"/>
      <c r="O548" s="45"/>
      <c r="P548" s="44">
        <v>40.270000000000003</v>
      </c>
      <c r="Q548" s="45"/>
      <c r="R548" s="45"/>
      <c r="S548" s="44">
        <f t="shared" si="98"/>
        <v>5975.06</v>
      </c>
      <c r="T548" s="45"/>
      <c r="U548" s="46"/>
      <c r="V548" s="9">
        <f t="shared" si="99"/>
        <v>33.56</v>
      </c>
      <c r="Y548" s="9">
        <f t="shared" si="100"/>
        <v>4979.22</v>
      </c>
      <c r="AD548" s="4" t="s">
        <v>1476</v>
      </c>
      <c r="AE548" s="4" t="s">
        <v>1474</v>
      </c>
      <c r="AF548" s="4" t="s">
        <v>793</v>
      </c>
    </row>
    <row r="549" spans="1:35" ht="54" x14ac:dyDescent="0.3">
      <c r="A549" s="17" t="s">
        <v>1477</v>
      </c>
      <c r="B549" s="17" t="s">
        <v>1422</v>
      </c>
      <c r="C549" s="18" t="s">
        <v>1423</v>
      </c>
      <c r="D549" s="19"/>
      <c r="E549" s="19"/>
      <c r="F549" s="19" t="s">
        <v>59</v>
      </c>
      <c r="G549" s="20">
        <v>1</v>
      </c>
      <c r="H549" s="19"/>
      <c r="I549" s="21">
        <v>0</v>
      </c>
      <c r="J549" s="22">
        <f>IFERROR(ROUND(SUM(M551,M553,M555,M557)/I549, 2),0)</f>
        <v>0</v>
      </c>
      <c r="K549" s="22">
        <v>2364</v>
      </c>
      <c r="L549" s="22">
        <f>J549+ROUND(K549, 2)</f>
        <v>2364</v>
      </c>
      <c r="M549" s="22">
        <f>ROUND(J549*I549, 2)</f>
        <v>0</v>
      </c>
      <c r="N549" s="22">
        <f>ROUND(I549*ROUND(K549, 2), 2)</f>
        <v>0</v>
      </c>
      <c r="O549" s="22">
        <f>M549+N549</f>
        <v>0</v>
      </c>
      <c r="P549" s="22">
        <f>IFERROR(ROUND(SUM(S551,S553,S555,S557)/I549, 2),0)</f>
        <v>0</v>
      </c>
      <c r="Q549" s="22">
        <v>2364</v>
      </c>
      <c r="R549" s="22">
        <f>P549+ROUND(Q549, 2)</f>
        <v>2364</v>
      </c>
      <c r="S549" s="22">
        <f>ROUND(P549*I549, 2)</f>
        <v>0</v>
      </c>
      <c r="T549" s="22">
        <f>ROUND(I549*ROUND(Q549, 2), 2)</f>
        <v>0</v>
      </c>
      <c r="U549" s="22">
        <f>S549+T549</f>
        <v>0</v>
      </c>
      <c r="V549" s="9">
        <f>ROUND(P549 / 1.2, 2)</f>
        <v>0</v>
      </c>
      <c r="W549" s="9">
        <f>ROUND(Q549 / 1.2, 2)</f>
        <v>1970</v>
      </c>
      <c r="X549" s="9">
        <f>ROUND(R549 / 1.2, 2)</f>
        <v>1970</v>
      </c>
      <c r="Y549" s="9">
        <f t="shared" si="100"/>
        <v>0</v>
      </c>
      <c r="Z549" s="9">
        <f>ROUND(T549 / 1.2, 2)</f>
        <v>0</v>
      </c>
      <c r="AA549" s="9">
        <f>Y549+Z549</f>
        <v>0</v>
      </c>
      <c r="AD549" s="4">
        <v>304337675</v>
      </c>
      <c r="AE549" s="4">
        <v>20867050</v>
      </c>
      <c r="AG549" s="4" t="s">
        <v>1424</v>
      </c>
      <c r="AH549" s="4" t="s">
        <v>1425</v>
      </c>
      <c r="AI549" s="4" t="s">
        <v>260</v>
      </c>
    </row>
    <row r="550" spans="1:35" ht="54" x14ac:dyDescent="0.3">
      <c r="A550" s="23" t="s">
        <v>1478</v>
      </c>
      <c r="B550" s="23" t="s">
        <v>1422</v>
      </c>
      <c r="C550" s="24" t="s">
        <v>1423</v>
      </c>
      <c r="D550" s="25"/>
      <c r="E550" s="25" t="s">
        <v>1479</v>
      </c>
      <c r="F550" s="25" t="s">
        <v>59</v>
      </c>
      <c r="G550" s="26">
        <v>1</v>
      </c>
      <c r="H550" s="25"/>
      <c r="I550" s="26">
        <v>46</v>
      </c>
      <c r="J550" s="27">
        <v>0</v>
      </c>
      <c r="K550" s="27">
        <v>2364</v>
      </c>
      <c r="L550" s="27"/>
      <c r="M550" s="27">
        <v>0</v>
      </c>
      <c r="N550" s="27"/>
      <c r="O550" s="27"/>
      <c r="P550" s="27">
        <v>0</v>
      </c>
      <c r="Q550" s="27">
        <v>2364</v>
      </c>
      <c r="R550" s="27"/>
      <c r="S550" s="27">
        <v>0</v>
      </c>
      <c r="T550" s="27"/>
      <c r="U550" s="27"/>
      <c r="V550" s="9"/>
      <c r="W550" s="9">
        <f>ROUND(Q550 / 1.2, 2)</f>
        <v>1970</v>
      </c>
      <c r="X550" s="9" t="e">
        <f>ROUND(R550 / 1.2, 2)</f>
        <v>#VALUE!</v>
      </c>
      <c r="Y550" s="9"/>
      <c r="Z550" s="9" t="e">
        <f>ROUND(T550 / 1.2, 2)</f>
        <v>#VALUE!</v>
      </c>
      <c r="AA550" s="9"/>
      <c r="AD550" s="4">
        <v>278354318</v>
      </c>
      <c r="AE550" s="4">
        <v>20867050</v>
      </c>
      <c r="AG550" s="4" t="s">
        <v>1424</v>
      </c>
      <c r="AH550" s="4" t="s">
        <v>1425</v>
      </c>
      <c r="AI550" s="4"/>
    </row>
    <row r="551" spans="1:35" ht="36" x14ac:dyDescent="0.3">
      <c r="A551" s="17" t="s">
        <v>1480</v>
      </c>
      <c r="B551" s="17"/>
      <c r="C551" s="34" t="s">
        <v>790</v>
      </c>
      <c r="D551" s="19"/>
      <c r="E551" s="19"/>
      <c r="F551" s="35" t="s">
        <v>265</v>
      </c>
      <c r="G551" s="36">
        <v>0.25</v>
      </c>
      <c r="H551" s="19"/>
      <c r="I551" s="48">
        <v>0</v>
      </c>
      <c r="J551" s="38">
        <v>40.270000000000003</v>
      </c>
      <c r="K551" s="39"/>
      <c r="L551" s="39"/>
      <c r="M551" s="38">
        <f t="shared" ref="M551:M558" si="101">ROUND(ROUND(J551, 2)*I551, 2)</f>
        <v>0</v>
      </c>
      <c r="N551" s="39"/>
      <c r="O551" s="39"/>
      <c r="P551" s="38">
        <v>40.270000000000003</v>
      </c>
      <c r="Q551" s="39"/>
      <c r="R551" s="39"/>
      <c r="S551" s="38">
        <f t="shared" ref="S551:S558" si="102">ROUND(ROUND(P551, 2)*I551, 2)</f>
        <v>0</v>
      </c>
      <c r="T551" s="39"/>
      <c r="U551" s="40"/>
      <c r="V551" s="9">
        <f t="shared" ref="V551:V558" si="103">ROUND(ROUND(P551, 2)/1.2, 2)</f>
        <v>33.56</v>
      </c>
      <c r="Y551" s="9">
        <f t="shared" ref="Y551:Y574" si="104">ROUND(S551 / 1.2, 2)</f>
        <v>0</v>
      </c>
      <c r="AD551" s="4" t="s">
        <v>1481</v>
      </c>
      <c r="AE551" s="4" t="s">
        <v>1482</v>
      </c>
      <c r="AF551" s="4" t="s">
        <v>793</v>
      </c>
    </row>
    <row r="552" spans="1:35" ht="36" x14ac:dyDescent="0.3">
      <c r="A552" s="23" t="s">
        <v>1483</v>
      </c>
      <c r="B552" s="23"/>
      <c r="C552" s="41" t="s">
        <v>790</v>
      </c>
      <c r="D552" s="25"/>
      <c r="E552" s="25"/>
      <c r="F552" s="42" t="s">
        <v>265</v>
      </c>
      <c r="G552" s="43">
        <v>0.25</v>
      </c>
      <c r="H552" s="25"/>
      <c r="I552" s="50">
        <v>11.5</v>
      </c>
      <c r="J552" s="44">
        <v>40.270000000000003</v>
      </c>
      <c r="K552" s="45"/>
      <c r="L552" s="45"/>
      <c r="M552" s="44">
        <f t="shared" si="101"/>
        <v>463.11</v>
      </c>
      <c r="N552" s="45"/>
      <c r="O552" s="45"/>
      <c r="P552" s="44">
        <v>40.270000000000003</v>
      </c>
      <c r="Q552" s="45"/>
      <c r="R552" s="45"/>
      <c r="S552" s="44">
        <f t="shared" si="102"/>
        <v>463.11</v>
      </c>
      <c r="T552" s="45"/>
      <c r="U552" s="46"/>
      <c r="V552" s="9">
        <f t="shared" si="103"/>
        <v>33.56</v>
      </c>
      <c r="Y552" s="9">
        <f t="shared" si="104"/>
        <v>385.93</v>
      </c>
      <c r="AD552" s="4" t="s">
        <v>1484</v>
      </c>
      <c r="AE552" s="4" t="s">
        <v>1482</v>
      </c>
      <c r="AF552" s="4" t="s">
        <v>793</v>
      </c>
    </row>
    <row r="553" spans="1:35" ht="36" x14ac:dyDescent="0.3">
      <c r="A553" s="17" t="s">
        <v>1485</v>
      </c>
      <c r="B553" s="17"/>
      <c r="C553" s="34" t="s">
        <v>1434</v>
      </c>
      <c r="D553" s="19"/>
      <c r="E553" s="19"/>
      <c r="F553" s="35" t="s">
        <v>265</v>
      </c>
      <c r="G553" s="36">
        <v>0.15</v>
      </c>
      <c r="H553" s="19"/>
      <c r="I553" s="37">
        <v>0</v>
      </c>
      <c r="J553" s="38">
        <v>68.400000000000006</v>
      </c>
      <c r="K553" s="39"/>
      <c r="L553" s="39"/>
      <c r="M553" s="38">
        <f t="shared" si="101"/>
        <v>0</v>
      </c>
      <c r="N553" s="39"/>
      <c r="O553" s="39"/>
      <c r="P553" s="38">
        <v>68.400000000000006</v>
      </c>
      <c r="Q553" s="39"/>
      <c r="R553" s="39"/>
      <c r="S553" s="38">
        <f t="shared" si="102"/>
        <v>0</v>
      </c>
      <c r="T553" s="39"/>
      <c r="U553" s="40"/>
      <c r="V553" s="9">
        <f t="shared" si="103"/>
        <v>57</v>
      </c>
      <c r="Y553" s="9">
        <f t="shared" si="104"/>
        <v>0</v>
      </c>
      <c r="AD553" s="4" t="s">
        <v>1486</v>
      </c>
      <c r="AE553" s="4" t="s">
        <v>1487</v>
      </c>
      <c r="AF553" s="4" t="s">
        <v>1437</v>
      </c>
    </row>
    <row r="554" spans="1:35" ht="36" x14ac:dyDescent="0.3">
      <c r="A554" s="23" t="s">
        <v>1488</v>
      </c>
      <c r="B554" s="23"/>
      <c r="C554" s="41" t="s">
        <v>1434</v>
      </c>
      <c r="D554" s="25"/>
      <c r="E554" s="25"/>
      <c r="F554" s="42" t="s">
        <v>265</v>
      </c>
      <c r="G554" s="43">
        <v>0.15</v>
      </c>
      <c r="H554" s="25"/>
      <c r="I554" s="43">
        <v>6.9</v>
      </c>
      <c r="J554" s="44">
        <v>68.400000000000006</v>
      </c>
      <c r="K554" s="45"/>
      <c r="L554" s="45"/>
      <c r="M554" s="44">
        <f t="shared" si="101"/>
        <v>471.96</v>
      </c>
      <c r="N554" s="45"/>
      <c r="O554" s="45"/>
      <c r="P554" s="44">
        <v>68.400000000000006</v>
      </c>
      <c r="Q554" s="45"/>
      <c r="R554" s="45"/>
      <c r="S554" s="44">
        <f t="shared" si="102"/>
        <v>471.96</v>
      </c>
      <c r="T554" s="45"/>
      <c r="U554" s="46"/>
      <c r="V554" s="9">
        <f t="shared" si="103"/>
        <v>57</v>
      </c>
      <c r="Y554" s="9">
        <f t="shared" si="104"/>
        <v>393.3</v>
      </c>
      <c r="AD554" s="4" t="s">
        <v>1489</v>
      </c>
      <c r="AE554" s="4" t="s">
        <v>1487</v>
      </c>
      <c r="AF554" s="4" t="s">
        <v>1437</v>
      </c>
    </row>
    <row r="555" spans="1:35" ht="36" x14ac:dyDescent="0.3">
      <c r="A555" s="17" t="s">
        <v>1490</v>
      </c>
      <c r="B555" s="17"/>
      <c r="C555" s="34" t="s">
        <v>822</v>
      </c>
      <c r="D555" s="19"/>
      <c r="E555" s="19"/>
      <c r="F555" s="35" t="s">
        <v>265</v>
      </c>
      <c r="G555" s="36">
        <v>1.2</v>
      </c>
      <c r="H555" s="19"/>
      <c r="I555" s="48">
        <v>0</v>
      </c>
      <c r="J555" s="38">
        <v>16.96</v>
      </c>
      <c r="K555" s="39"/>
      <c r="L555" s="39"/>
      <c r="M555" s="38">
        <f t="shared" si="101"/>
        <v>0</v>
      </c>
      <c r="N555" s="39"/>
      <c r="O555" s="39"/>
      <c r="P555" s="38">
        <v>16.96</v>
      </c>
      <c r="Q555" s="39"/>
      <c r="R555" s="39"/>
      <c r="S555" s="38">
        <f t="shared" si="102"/>
        <v>0</v>
      </c>
      <c r="T555" s="39"/>
      <c r="U555" s="40"/>
      <c r="V555" s="9">
        <f t="shared" si="103"/>
        <v>14.13</v>
      </c>
      <c r="Y555" s="9">
        <f t="shared" si="104"/>
        <v>0</v>
      </c>
      <c r="AD555" s="4" t="s">
        <v>1491</v>
      </c>
      <c r="AE555" s="4" t="s">
        <v>1492</v>
      </c>
      <c r="AF555" s="4" t="s">
        <v>825</v>
      </c>
    </row>
    <row r="556" spans="1:35" ht="36" x14ac:dyDescent="0.3">
      <c r="A556" s="23" t="s">
        <v>1493</v>
      </c>
      <c r="B556" s="23"/>
      <c r="C556" s="41" t="s">
        <v>822</v>
      </c>
      <c r="D556" s="25"/>
      <c r="E556" s="25"/>
      <c r="F556" s="42" t="s">
        <v>265</v>
      </c>
      <c r="G556" s="43">
        <v>1.2</v>
      </c>
      <c r="H556" s="25"/>
      <c r="I556" s="50">
        <v>55.2</v>
      </c>
      <c r="J556" s="44">
        <v>16.96</v>
      </c>
      <c r="K556" s="45"/>
      <c r="L556" s="45"/>
      <c r="M556" s="44">
        <f t="shared" si="101"/>
        <v>936.19</v>
      </c>
      <c r="N556" s="45"/>
      <c r="O556" s="45"/>
      <c r="P556" s="44">
        <v>16.96</v>
      </c>
      <c r="Q556" s="45"/>
      <c r="R556" s="45"/>
      <c r="S556" s="44">
        <f t="shared" si="102"/>
        <v>936.19</v>
      </c>
      <c r="T556" s="45"/>
      <c r="U556" s="46"/>
      <c r="V556" s="9">
        <f t="shared" si="103"/>
        <v>14.13</v>
      </c>
      <c r="Y556" s="9">
        <f t="shared" si="104"/>
        <v>780.16</v>
      </c>
      <c r="AD556" s="4" t="s">
        <v>1494</v>
      </c>
      <c r="AE556" s="4" t="s">
        <v>1492</v>
      </c>
      <c r="AF556" s="4" t="s">
        <v>825</v>
      </c>
    </row>
    <row r="557" spans="1:35" ht="36" x14ac:dyDescent="0.3">
      <c r="A557" s="17" t="s">
        <v>1495</v>
      </c>
      <c r="B557" s="17"/>
      <c r="C557" s="34" t="s">
        <v>1446</v>
      </c>
      <c r="D557" s="19"/>
      <c r="E557" s="19"/>
      <c r="F557" s="35" t="s">
        <v>59</v>
      </c>
      <c r="G557" s="36">
        <v>1.07</v>
      </c>
      <c r="H557" s="19"/>
      <c r="I557" s="48">
        <v>0</v>
      </c>
      <c r="J557" s="38">
        <v>1384.95</v>
      </c>
      <c r="K557" s="39"/>
      <c r="L557" s="39"/>
      <c r="M557" s="38">
        <f t="shared" si="101"/>
        <v>0</v>
      </c>
      <c r="N557" s="39"/>
      <c r="O557" s="39"/>
      <c r="P557" s="38">
        <v>1384.95</v>
      </c>
      <c r="Q557" s="39"/>
      <c r="R557" s="39"/>
      <c r="S557" s="38">
        <f t="shared" si="102"/>
        <v>0</v>
      </c>
      <c r="T557" s="39"/>
      <c r="U557" s="40"/>
      <c r="V557" s="9">
        <f t="shared" si="103"/>
        <v>1154.1300000000001</v>
      </c>
      <c r="Y557" s="9">
        <f t="shared" si="104"/>
        <v>0</v>
      </c>
      <c r="AD557" s="4" t="s">
        <v>1496</v>
      </c>
      <c r="AE557" s="4" t="s">
        <v>1497</v>
      </c>
      <c r="AF557" s="4" t="s">
        <v>1449</v>
      </c>
    </row>
    <row r="558" spans="1:35" ht="36" x14ac:dyDescent="0.3">
      <c r="A558" s="23" t="s">
        <v>1498</v>
      </c>
      <c r="B558" s="23"/>
      <c r="C558" s="41" t="s">
        <v>1446</v>
      </c>
      <c r="D558" s="25"/>
      <c r="E558" s="25"/>
      <c r="F558" s="42" t="s">
        <v>59</v>
      </c>
      <c r="G558" s="43">
        <v>1.07</v>
      </c>
      <c r="H558" s="25"/>
      <c r="I558" s="50">
        <v>49.22</v>
      </c>
      <c r="J558" s="44">
        <v>1384.95</v>
      </c>
      <c r="K558" s="45"/>
      <c r="L558" s="45"/>
      <c r="M558" s="44">
        <f t="shared" si="101"/>
        <v>68167.240000000005</v>
      </c>
      <c r="N558" s="45"/>
      <c r="O558" s="45"/>
      <c r="P558" s="44">
        <v>1384.95</v>
      </c>
      <c r="Q558" s="45"/>
      <c r="R558" s="45"/>
      <c r="S558" s="44">
        <f t="shared" si="102"/>
        <v>68167.240000000005</v>
      </c>
      <c r="T558" s="45"/>
      <c r="U558" s="46"/>
      <c r="V558" s="9">
        <f t="shared" si="103"/>
        <v>1154.1300000000001</v>
      </c>
      <c r="Y558" s="9">
        <f t="shared" si="104"/>
        <v>56806.03</v>
      </c>
      <c r="AD558" s="4" t="s">
        <v>1499</v>
      </c>
      <c r="AE558" s="4" t="s">
        <v>1497</v>
      </c>
      <c r="AF558" s="4" t="s">
        <v>1449</v>
      </c>
    </row>
    <row r="559" spans="1:35" ht="54" x14ac:dyDescent="0.3">
      <c r="A559" s="51" t="s">
        <v>1500</v>
      </c>
      <c r="B559" s="51" t="s">
        <v>1422</v>
      </c>
      <c r="C559" s="52" t="s">
        <v>1423</v>
      </c>
      <c r="D559" s="53"/>
      <c r="E559" s="53" t="s">
        <v>1427</v>
      </c>
      <c r="F559" s="53" t="s">
        <v>59</v>
      </c>
      <c r="G559" s="54">
        <v>1</v>
      </c>
      <c r="H559" s="53"/>
      <c r="I559" s="54">
        <v>1163</v>
      </c>
      <c r="J559" s="55">
        <f>IFERROR(ROUND(SUM(M560,M561,M562,M563)/I559, 2),0)</f>
        <v>1521.58</v>
      </c>
      <c r="K559" s="55">
        <v>2364</v>
      </c>
      <c r="L559" s="55">
        <f>J559+ROUND(K559, 2)</f>
        <v>3885.58</v>
      </c>
      <c r="M559" s="55">
        <f>ROUND(J559*I559, 2)</f>
        <v>1769597.54</v>
      </c>
      <c r="N559" s="55">
        <f>ROUND(I559*ROUND(K559, 2), 2)</f>
        <v>2749332</v>
      </c>
      <c r="O559" s="55">
        <f>M559+N559</f>
        <v>4518929.54</v>
      </c>
      <c r="P559" s="55">
        <f>IFERROR(ROUND(SUM(S560,S561,S562,S563)/I559, 2),0)</f>
        <v>623.13</v>
      </c>
      <c r="Q559" s="55">
        <v>3546</v>
      </c>
      <c r="R559" s="55">
        <f>P559+ROUND(Q559, 2)</f>
        <v>4169.13</v>
      </c>
      <c r="S559" s="55">
        <f>ROUND(P559*I559, 2)</f>
        <v>724700.19</v>
      </c>
      <c r="T559" s="55">
        <f>ROUND(I559*ROUND(Q559, 2), 2)</f>
        <v>4123998</v>
      </c>
      <c r="U559" s="55">
        <f>S559+T559</f>
        <v>4848698.1900000004</v>
      </c>
      <c r="V559" s="9">
        <f>ROUND(P559 / 1.2, 2)</f>
        <v>519.28</v>
      </c>
      <c r="W559" s="9">
        <f>ROUND(Q559 / 1.2, 2)</f>
        <v>2955</v>
      </c>
      <c r="X559" s="9">
        <f>ROUND(R559 / 1.2, 2)</f>
        <v>3474.28</v>
      </c>
      <c r="Y559" s="9">
        <f t="shared" si="104"/>
        <v>603916.82999999996</v>
      </c>
      <c r="Z559" s="9">
        <f>ROUND(T559 / 1.2, 2)</f>
        <v>3436665</v>
      </c>
      <c r="AA559" s="9">
        <f>Y559+Z559</f>
        <v>4040581.83</v>
      </c>
      <c r="AD559" s="4">
        <v>304337676</v>
      </c>
      <c r="AE559" s="4">
        <v>21950061</v>
      </c>
      <c r="AG559" s="4" t="s">
        <v>1424</v>
      </c>
      <c r="AH559" s="4" t="s">
        <v>1425</v>
      </c>
      <c r="AI559" s="4" t="s">
        <v>260</v>
      </c>
    </row>
    <row r="560" spans="1:35" ht="72" x14ac:dyDescent="0.3">
      <c r="A560" s="51" t="s">
        <v>1501</v>
      </c>
      <c r="B560" s="51"/>
      <c r="C560" s="47" t="s">
        <v>1446</v>
      </c>
      <c r="D560" s="53"/>
      <c r="E560" s="53" t="s">
        <v>787</v>
      </c>
      <c r="F560" s="57" t="s">
        <v>59</v>
      </c>
      <c r="G560" s="58">
        <v>1.07</v>
      </c>
      <c r="H560" s="53"/>
      <c r="I560" s="62">
        <v>1244.4100000000001</v>
      </c>
      <c r="J560" s="59">
        <v>1384.96</v>
      </c>
      <c r="K560" s="60"/>
      <c r="L560" s="60"/>
      <c r="M560" s="59">
        <f>ROUND(ROUND(J560, 2)*I560, 2)</f>
        <v>1723458.07</v>
      </c>
      <c r="N560" s="60"/>
      <c r="O560" s="60"/>
      <c r="P560" s="59">
        <v>545.29999999999995</v>
      </c>
      <c r="Q560" s="60"/>
      <c r="R560" s="60"/>
      <c r="S560" s="59">
        <f>ROUND(ROUND(P560, 2)*I560, 2)</f>
        <v>678576.77</v>
      </c>
      <c r="T560" s="60"/>
      <c r="U560" s="61"/>
      <c r="V560" s="9">
        <f>ROUND(ROUND(P560, 2)/1.2, 2)</f>
        <v>454.42</v>
      </c>
      <c r="Y560" s="9">
        <f t="shared" si="104"/>
        <v>565480.64</v>
      </c>
      <c r="AD560" s="4" t="s">
        <v>1502</v>
      </c>
      <c r="AE560" s="4" t="s">
        <v>1503</v>
      </c>
      <c r="AF560" s="4" t="s">
        <v>1449</v>
      </c>
    </row>
    <row r="561" spans="1:35" ht="36" x14ac:dyDescent="0.3">
      <c r="A561" s="51" t="s">
        <v>1504</v>
      </c>
      <c r="B561" s="51"/>
      <c r="C561" s="47" t="s">
        <v>822</v>
      </c>
      <c r="D561" s="53"/>
      <c r="E561" s="53"/>
      <c r="F561" s="57" t="s">
        <v>265</v>
      </c>
      <c r="G561" s="58">
        <v>1.2</v>
      </c>
      <c r="H561" s="53"/>
      <c r="I561" s="62">
        <v>1395.6</v>
      </c>
      <c r="J561" s="59">
        <v>16.12</v>
      </c>
      <c r="K561" s="60"/>
      <c r="L561" s="60"/>
      <c r="M561" s="59">
        <f>ROUND(ROUND(J561, 2)*I561, 2)</f>
        <v>22497.07</v>
      </c>
      <c r="N561" s="60"/>
      <c r="O561" s="60"/>
      <c r="P561" s="59">
        <v>16.11</v>
      </c>
      <c r="Q561" s="60"/>
      <c r="R561" s="60"/>
      <c r="S561" s="59">
        <f>ROUND(ROUND(P561, 2)*I561, 2)</f>
        <v>22483.119999999999</v>
      </c>
      <c r="T561" s="60"/>
      <c r="U561" s="61"/>
      <c r="V561" s="9">
        <f>ROUND(ROUND(P561, 2)/1.2, 2)</f>
        <v>13.43</v>
      </c>
      <c r="Y561" s="9">
        <f t="shared" si="104"/>
        <v>18735.93</v>
      </c>
      <c r="AD561" s="4" t="s">
        <v>1505</v>
      </c>
      <c r="AE561" s="4" t="s">
        <v>1506</v>
      </c>
      <c r="AF561" s="4" t="s">
        <v>825</v>
      </c>
    </row>
    <row r="562" spans="1:35" ht="36" x14ac:dyDescent="0.3">
      <c r="A562" s="51" t="s">
        <v>1507</v>
      </c>
      <c r="B562" s="51"/>
      <c r="C562" s="56" t="s">
        <v>1434</v>
      </c>
      <c r="D562" s="53"/>
      <c r="E562" s="53"/>
      <c r="F562" s="57" t="s">
        <v>265</v>
      </c>
      <c r="G562" s="58">
        <v>0.15</v>
      </c>
      <c r="H562" s="53"/>
      <c r="I562" s="58">
        <v>174.45</v>
      </c>
      <c r="J562" s="59">
        <v>68.400000000000006</v>
      </c>
      <c r="K562" s="60"/>
      <c r="L562" s="60"/>
      <c r="M562" s="59">
        <f>ROUND(ROUND(J562, 2)*I562, 2)</f>
        <v>11932.38</v>
      </c>
      <c r="N562" s="60"/>
      <c r="O562" s="60"/>
      <c r="P562" s="59">
        <v>68.400000000000006</v>
      </c>
      <c r="Q562" s="60"/>
      <c r="R562" s="60"/>
      <c r="S562" s="59">
        <f>ROUND(ROUND(P562, 2)*I562, 2)</f>
        <v>11932.38</v>
      </c>
      <c r="T562" s="60"/>
      <c r="U562" s="61"/>
      <c r="V562" s="9">
        <f>ROUND(ROUND(P562, 2)/1.2, 2)</f>
        <v>57</v>
      </c>
      <c r="Y562" s="9">
        <f t="shared" si="104"/>
        <v>9943.65</v>
      </c>
      <c r="AD562" s="4" t="s">
        <v>1508</v>
      </c>
      <c r="AE562" s="4" t="s">
        <v>1509</v>
      </c>
      <c r="AF562" s="4" t="s">
        <v>1437</v>
      </c>
    </row>
    <row r="563" spans="1:35" ht="36" x14ac:dyDescent="0.3">
      <c r="A563" s="51" t="s">
        <v>1510</v>
      </c>
      <c r="B563" s="51"/>
      <c r="C563" s="56" t="s">
        <v>790</v>
      </c>
      <c r="D563" s="53"/>
      <c r="E563" s="53"/>
      <c r="F563" s="57" t="s">
        <v>265</v>
      </c>
      <c r="G563" s="58">
        <v>0.25</v>
      </c>
      <c r="H563" s="53"/>
      <c r="I563" s="62">
        <v>290.75</v>
      </c>
      <c r="J563" s="59">
        <v>40.270000000000003</v>
      </c>
      <c r="K563" s="60"/>
      <c r="L563" s="60"/>
      <c r="M563" s="59">
        <f>ROUND(ROUND(J563, 2)*I563, 2)</f>
        <v>11708.5</v>
      </c>
      <c r="N563" s="60"/>
      <c r="O563" s="60"/>
      <c r="P563" s="59">
        <v>40.270000000000003</v>
      </c>
      <c r="Q563" s="60"/>
      <c r="R563" s="60"/>
      <c r="S563" s="59">
        <f>ROUND(ROUND(P563, 2)*I563, 2)</f>
        <v>11708.5</v>
      </c>
      <c r="T563" s="60"/>
      <c r="U563" s="61"/>
      <c r="V563" s="9">
        <f>ROUND(ROUND(P563, 2)/1.2, 2)</f>
        <v>33.56</v>
      </c>
      <c r="Y563" s="9">
        <f t="shared" si="104"/>
        <v>9757.08</v>
      </c>
      <c r="AD563" s="4" t="s">
        <v>1511</v>
      </c>
      <c r="AE563" s="4" t="s">
        <v>1512</v>
      </c>
      <c r="AF563" s="4" t="s">
        <v>793</v>
      </c>
    </row>
    <row r="564" spans="1:35" ht="54" x14ac:dyDescent="0.3">
      <c r="A564" s="51" t="s">
        <v>1513</v>
      </c>
      <c r="B564" s="51" t="s">
        <v>1422</v>
      </c>
      <c r="C564" s="52" t="s">
        <v>1423</v>
      </c>
      <c r="D564" s="53"/>
      <c r="E564" s="53" t="s">
        <v>1454</v>
      </c>
      <c r="F564" s="53" t="s">
        <v>59</v>
      </c>
      <c r="G564" s="54">
        <v>1</v>
      </c>
      <c r="H564" s="53"/>
      <c r="I564" s="54">
        <v>593.5</v>
      </c>
      <c r="J564" s="55">
        <f>IFERROR(ROUND(SUM(M565,M566,M567,M568)/I564, 2),0)</f>
        <v>1050.82</v>
      </c>
      <c r="K564" s="55">
        <v>2364</v>
      </c>
      <c r="L564" s="55">
        <f>J564+ROUND(K564, 2)</f>
        <v>3414.82</v>
      </c>
      <c r="M564" s="55">
        <f>ROUND(J564*I564, 2)</f>
        <v>623661.67000000004</v>
      </c>
      <c r="N564" s="55">
        <f>ROUND(I564*ROUND(K564, 2), 2)</f>
        <v>1403034</v>
      </c>
      <c r="O564" s="55">
        <f>M564+N564</f>
        <v>2026695.67</v>
      </c>
      <c r="P564" s="55">
        <f>IFERROR(ROUND(SUM(S565,S566,S567,S568)/I564, 2),0)</f>
        <v>1050.81</v>
      </c>
      <c r="Q564" s="55">
        <v>3546</v>
      </c>
      <c r="R564" s="55">
        <f>P564+ROUND(Q564, 2)</f>
        <v>4596.8100000000004</v>
      </c>
      <c r="S564" s="55">
        <f>ROUND(P564*I564, 2)</f>
        <v>623655.74</v>
      </c>
      <c r="T564" s="55">
        <f>ROUND(I564*ROUND(Q564, 2), 2)</f>
        <v>2104551</v>
      </c>
      <c r="U564" s="55">
        <f>S564+T564</f>
        <v>2728206.74</v>
      </c>
      <c r="V564" s="9">
        <f>ROUND(P564 / 1.2, 2)</f>
        <v>875.68</v>
      </c>
      <c r="W564" s="9">
        <f>ROUND(Q564 / 1.2, 2)</f>
        <v>2955</v>
      </c>
      <c r="X564" s="9">
        <f>ROUND(R564 / 1.2, 2)</f>
        <v>3830.68</v>
      </c>
      <c r="Y564" s="9">
        <f t="shared" si="104"/>
        <v>519713.12</v>
      </c>
      <c r="Z564" s="9">
        <f>ROUND(T564 / 1.2, 2)</f>
        <v>1753792.5</v>
      </c>
      <c r="AA564" s="9">
        <f>Y564+Z564</f>
        <v>2273505.62</v>
      </c>
      <c r="AD564" s="4">
        <v>304337677</v>
      </c>
      <c r="AE564" s="4">
        <v>21950051</v>
      </c>
      <c r="AG564" s="4" t="s">
        <v>1424</v>
      </c>
      <c r="AH564" s="4" t="s">
        <v>1425</v>
      </c>
      <c r="AI564" s="4" t="s">
        <v>260</v>
      </c>
    </row>
    <row r="565" spans="1:35" ht="36" x14ac:dyDescent="0.3">
      <c r="A565" s="51" t="s">
        <v>1514</v>
      </c>
      <c r="B565" s="51"/>
      <c r="C565" s="56" t="s">
        <v>790</v>
      </c>
      <c r="D565" s="53"/>
      <c r="E565" s="53"/>
      <c r="F565" s="57" t="s">
        <v>265</v>
      </c>
      <c r="G565" s="58">
        <v>0.25</v>
      </c>
      <c r="H565" s="53"/>
      <c r="I565" s="62">
        <v>148.375</v>
      </c>
      <c r="J565" s="59">
        <v>40.270000000000003</v>
      </c>
      <c r="K565" s="60"/>
      <c r="L565" s="60"/>
      <c r="M565" s="59">
        <f>ROUND(ROUND(J565, 2)*I565, 2)</f>
        <v>5975.06</v>
      </c>
      <c r="N565" s="60"/>
      <c r="O565" s="60"/>
      <c r="P565" s="59">
        <v>40.270000000000003</v>
      </c>
      <c r="Q565" s="60"/>
      <c r="R565" s="60"/>
      <c r="S565" s="59">
        <f>ROUND(ROUND(P565, 2)*I565, 2)</f>
        <v>5975.06</v>
      </c>
      <c r="T565" s="60"/>
      <c r="U565" s="61"/>
      <c r="V565" s="9">
        <f>ROUND(ROUND(P565, 2)/1.2, 2)</f>
        <v>33.56</v>
      </c>
      <c r="Y565" s="9">
        <f t="shared" si="104"/>
        <v>4979.22</v>
      </c>
      <c r="AD565" s="4" t="s">
        <v>1515</v>
      </c>
      <c r="AE565" s="4" t="s">
        <v>1516</v>
      </c>
      <c r="AF565" s="4" t="s">
        <v>793</v>
      </c>
    </row>
    <row r="566" spans="1:35" ht="36" x14ac:dyDescent="0.3">
      <c r="A566" s="51" t="s">
        <v>1517</v>
      </c>
      <c r="B566" s="51"/>
      <c r="C566" s="56" t="s">
        <v>1434</v>
      </c>
      <c r="D566" s="53"/>
      <c r="E566" s="53"/>
      <c r="F566" s="57" t="s">
        <v>265</v>
      </c>
      <c r="G566" s="58">
        <v>0.15</v>
      </c>
      <c r="H566" s="53"/>
      <c r="I566" s="58">
        <v>89.025000000000006</v>
      </c>
      <c r="J566" s="59">
        <v>68.400000000000006</v>
      </c>
      <c r="K566" s="60"/>
      <c r="L566" s="60"/>
      <c r="M566" s="59">
        <f>ROUND(ROUND(J566, 2)*I566, 2)</f>
        <v>6089.31</v>
      </c>
      <c r="N566" s="60"/>
      <c r="O566" s="60"/>
      <c r="P566" s="59">
        <v>68.400000000000006</v>
      </c>
      <c r="Q566" s="60"/>
      <c r="R566" s="60"/>
      <c r="S566" s="59">
        <f>ROUND(ROUND(P566, 2)*I566, 2)</f>
        <v>6089.31</v>
      </c>
      <c r="T566" s="60"/>
      <c r="U566" s="61"/>
      <c r="V566" s="9">
        <f>ROUND(ROUND(P566, 2)/1.2, 2)</f>
        <v>57</v>
      </c>
      <c r="Y566" s="9">
        <f t="shared" si="104"/>
        <v>5074.43</v>
      </c>
      <c r="AD566" s="4" t="s">
        <v>1518</v>
      </c>
      <c r="AE566" s="4" t="s">
        <v>1519</v>
      </c>
      <c r="AF566" s="4" t="s">
        <v>1437</v>
      </c>
    </row>
    <row r="567" spans="1:35" ht="36" x14ac:dyDescent="0.3">
      <c r="A567" s="51" t="s">
        <v>1520</v>
      </c>
      <c r="B567" s="51"/>
      <c r="C567" s="47" t="s">
        <v>822</v>
      </c>
      <c r="D567" s="53"/>
      <c r="E567" s="53"/>
      <c r="F567" s="57" t="s">
        <v>265</v>
      </c>
      <c r="G567" s="58">
        <v>1.2</v>
      </c>
      <c r="H567" s="53"/>
      <c r="I567" s="62">
        <v>712.2</v>
      </c>
      <c r="J567" s="59">
        <v>16.12</v>
      </c>
      <c r="K567" s="60"/>
      <c r="L567" s="60"/>
      <c r="M567" s="59">
        <f>ROUND(ROUND(J567, 2)*I567, 2)</f>
        <v>11480.66</v>
      </c>
      <c r="N567" s="60"/>
      <c r="O567" s="60"/>
      <c r="P567" s="59">
        <v>16.11</v>
      </c>
      <c r="Q567" s="60"/>
      <c r="R567" s="60"/>
      <c r="S567" s="59">
        <f>ROUND(ROUND(P567, 2)*I567, 2)</f>
        <v>11473.54</v>
      </c>
      <c r="T567" s="60"/>
      <c r="U567" s="61"/>
      <c r="V567" s="9">
        <f>ROUND(ROUND(P567, 2)/1.2, 2)</f>
        <v>13.43</v>
      </c>
      <c r="Y567" s="9">
        <f t="shared" si="104"/>
        <v>9561.2800000000007</v>
      </c>
      <c r="AD567" s="4" t="s">
        <v>1521</v>
      </c>
      <c r="AE567" s="4" t="s">
        <v>1522</v>
      </c>
      <c r="AF567" s="4" t="s">
        <v>825</v>
      </c>
    </row>
    <row r="568" spans="1:35" ht="36" x14ac:dyDescent="0.3">
      <c r="A568" s="51" t="s">
        <v>1523</v>
      </c>
      <c r="B568" s="51"/>
      <c r="C568" s="47" t="s">
        <v>1456</v>
      </c>
      <c r="D568" s="53"/>
      <c r="E568" s="53"/>
      <c r="F568" s="57" t="s">
        <v>59</v>
      </c>
      <c r="G568" s="58">
        <v>1.07</v>
      </c>
      <c r="H568" s="53"/>
      <c r="I568" s="62">
        <v>635.04499999999996</v>
      </c>
      <c r="J568" s="59">
        <v>945</v>
      </c>
      <c r="K568" s="60"/>
      <c r="L568" s="60"/>
      <c r="M568" s="59">
        <f>ROUND(ROUND(J568, 2)*I568, 2)</f>
        <v>600117.53</v>
      </c>
      <c r="N568" s="60"/>
      <c r="O568" s="60"/>
      <c r="P568" s="59">
        <v>945</v>
      </c>
      <c r="Q568" s="60"/>
      <c r="R568" s="60"/>
      <c r="S568" s="59">
        <f>ROUND(ROUND(P568, 2)*I568, 2)</f>
        <v>600117.53</v>
      </c>
      <c r="T568" s="60"/>
      <c r="U568" s="61"/>
      <c r="V568" s="9">
        <f>ROUND(ROUND(P568, 2)/1.2, 2)</f>
        <v>787.5</v>
      </c>
      <c r="Y568" s="9">
        <f t="shared" si="104"/>
        <v>500097.94</v>
      </c>
      <c r="AD568" s="4" t="s">
        <v>1524</v>
      </c>
      <c r="AE568" s="4" t="s">
        <v>1525</v>
      </c>
      <c r="AF568" s="4" t="s">
        <v>1459</v>
      </c>
    </row>
    <row r="569" spans="1:35" ht="54" x14ac:dyDescent="0.3">
      <c r="A569" s="51" t="s">
        <v>1526</v>
      </c>
      <c r="B569" s="51" t="s">
        <v>1422</v>
      </c>
      <c r="C569" s="52" t="s">
        <v>1423</v>
      </c>
      <c r="D569" s="53"/>
      <c r="E569" s="53" t="s">
        <v>1479</v>
      </c>
      <c r="F569" s="53" t="s">
        <v>59</v>
      </c>
      <c r="G569" s="54">
        <v>1</v>
      </c>
      <c r="H569" s="53"/>
      <c r="I569" s="54">
        <v>46</v>
      </c>
      <c r="J569" s="55">
        <f>IFERROR(ROUND(SUM(M570,M571,M572,M573)/I569, 2),0)</f>
        <v>1521.58</v>
      </c>
      <c r="K569" s="55">
        <v>2364</v>
      </c>
      <c r="L569" s="55">
        <f>J569+ROUND(K569, 2)</f>
        <v>3885.58</v>
      </c>
      <c r="M569" s="55">
        <f>ROUND(J569*I569, 2)</f>
        <v>69992.679999999993</v>
      </c>
      <c r="N569" s="55">
        <f>ROUND(I569*ROUND(K569, 2), 2)</f>
        <v>108744</v>
      </c>
      <c r="O569" s="55">
        <f>M569+N569</f>
        <v>178736.68</v>
      </c>
      <c r="P569" s="55">
        <f>IFERROR(ROUND(SUM(S570,S571,S572,S573)/I569, 2),0)</f>
        <v>1521.56</v>
      </c>
      <c r="Q569" s="55">
        <v>3546</v>
      </c>
      <c r="R569" s="55">
        <f>P569+ROUND(Q569, 2)</f>
        <v>5067.5600000000004</v>
      </c>
      <c r="S569" s="55">
        <f>ROUND(P569*I569, 2)</f>
        <v>69991.759999999995</v>
      </c>
      <c r="T569" s="55">
        <f>ROUND(I569*ROUND(Q569, 2), 2)</f>
        <v>163116</v>
      </c>
      <c r="U569" s="55">
        <f>S569+T569</f>
        <v>233107.76</v>
      </c>
      <c r="V569" s="9">
        <f>ROUND(P569 / 1.2, 2)</f>
        <v>1267.97</v>
      </c>
      <c r="W569" s="9">
        <f>ROUND(Q569 / 1.2, 2)</f>
        <v>2955</v>
      </c>
      <c r="X569" s="9">
        <f>ROUND(R569 / 1.2, 2)</f>
        <v>4222.97</v>
      </c>
      <c r="Y569" s="9">
        <f t="shared" si="104"/>
        <v>58326.47</v>
      </c>
      <c r="Z569" s="9">
        <f>ROUND(T569 / 1.2, 2)</f>
        <v>135930</v>
      </c>
      <c r="AA569" s="9">
        <f>Y569+Z569</f>
        <v>194256.47</v>
      </c>
      <c r="AD569" s="4">
        <v>304337678</v>
      </c>
      <c r="AE569" s="4">
        <v>21950031</v>
      </c>
      <c r="AG569" s="4" t="s">
        <v>1424</v>
      </c>
      <c r="AH569" s="4" t="s">
        <v>1425</v>
      </c>
      <c r="AI569" s="4" t="s">
        <v>260</v>
      </c>
    </row>
    <row r="570" spans="1:35" ht="36" x14ac:dyDescent="0.3">
      <c r="A570" s="51" t="s">
        <v>1527</v>
      </c>
      <c r="B570" s="51"/>
      <c r="C570" s="47" t="s">
        <v>1446</v>
      </c>
      <c r="D570" s="53"/>
      <c r="E570" s="53"/>
      <c r="F570" s="57" t="s">
        <v>59</v>
      </c>
      <c r="G570" s="58">
        <v>1.07</v>
      </c>
      <c r="H570" s="53"/>
      <c r="I570" s="62">
        <v>49.22</v>
      </c>
      <c r="J570" s="59">
        <v>1384.96</v>
      </c>
      <c r="K570" s="60"/>
      <c r="L570" s="60"/>
      <c r="M570" s="59">
        <f>ROUND(ROUND(J570, 2)*I570, 2)</f>
        <v>68167.73</v>
      </c>
      <c r="N570" s="60"/>
      <c r="O570" s="60"/>
      <c r="P570" s="59">
        <v>1384.95</v>
      </c>
      <c r="Q570" s="60"/>
      <c r="R570" s="60"/>
      <c r="S570" s="59">
        <f>ROUND(ROUND(P570, 2)*I570, 2)</f>
        <v>68167.240000000005</v>
      </c>
      <c r="T570" s="60"/>
      <c r="U570" s="61"/>
      <c r="V570" s="9">
        <f>ROUND(ROUND(P570, 2)/1.2, 2)</f>
        <v>1154.1300000000001</v>
      </c>
      <c r="Y570" s="9">
        <f t="shared" si="104"/>
        <v>56806.03</v>
      </c>
      <c r="AD570" s="4" t="s">
        <v>1528</v>
      </c>
      <c r="AE570" s="4" t="s">
        <v>1529</v>
      </c>
      <c r="AF570" s="4" t="s">
        <v>1449</v>
      </c>
    </row>
    <row r="571" spans="1:35" ht="36" x14ac:dyDescent="0.3">
      <c r="A571" s="51" t="s">
        <v>1530</v>
      </c>
      <c r="B571" s="51"/>
      <c r="C571" s="47" t="s">
        <v>822</v>
      </c>
      <c r="D571" s="53"/>
      <c r="E571" s="53"/>
      <c r="F571" s="57" t="s">
        <v>265</v>
      </c>
      <c r="G571" s="58">
        <v>1.2</v>
      </c>
      <c r="H571" s="53"/>
      <c r="I571" s="62">
        <v>55.2</v>
      </c>
      <c r="J571" s="59">
        <v>16.12</v>
      </c>
      <c r="K571" s="60"/>
      <c r="L571" s="60"/>
      <c r="M571" s="59">
        <f>ROUND(ROUND(J571, 2)*I571, 2)</f>
        <v>889.82</v>
      </c>
      <c r="N571" s="60"/>
      <c r="O571" s="60"/>
      <c r="P571" s="59">
        <v>16.11</v>
      </c>
      <c r="Q571" s="60"/>
      <c r="R571" s="60"/>
      <c r="S571" s="59">
        <f>ROUND(ROUND(P571, 2)*I571, 2)</f>
        <v>889.27</v>
      </c>
      <c r="T571" s="60"/>
      <c r="U571" s="61"/>
      <c r="V571" s="9">
        <f>ROUND(ROUND(P571, 2)/1.2, 2)</f>
        <v>13.43</v>
      </c>
      <c r="Y571" s="9">
        <f t="shared" si="104"/>
        <v>741.06</v>
      </c>
      <c r="AD571" s="4" t="s">
        <v>1531</v>
      </c>
      <c r="AE571" s="4" t="s">
        <v>1532</v>
      </c>
      <c r="AF571" s="4" t="s">
        <v>825</v>
      </c>
    </row>
    <row r="572" spans="1:35" ht="36" x14ac:dyDescent="0.3">
      <c r="A572" s="51" t="s">
        <v>1533</v>
      </c>
      <c r="B572" s="51"/>
      <c r="C572" s="56" t="s">
        <v>1434</v>
      </c>
      <c r="D572" s="53"/>
      <c r="E572" s="53"/>
      <c r="F572" s="57" t="s">
        <v>265</v>
      </c>
      <c r="G572" s="58">
        <v>0.15</v>
      </c>
      <c r="H572" s="53"/>
      <c r="I572" s="58">
        <v>6.9</v>
      </c>
      <c r="J572" s="59">
        <v>68.400000000000006</v>
      </c>
      <c r="K572" s="60"/>
      <c r="L572" s="60"/>
      <c r="M572" s="59">
        <f>ROUND(ROUND(J572, 2)*I572, 2)</f>
        <v>471.96</v>
      </c>
      <c r="N572" s="60"/>
      <c r="O572" s="60"/>
      <c r="P572" s="59">
        <v>68.400000000000006</v>
      </c>
      <c r="Q572" s="60"/>
      <c r="R572" s="60"/>
      <c r="S572" s="59">
        <f>ROUND(ROUND(P572, 2)*I572, 2)</f>
        <v>471.96</v>
      </c>
      <c r="T572" s="60"/>
      <c r="U572" s="61"/>
      <c r="V572" s="9">
        <f>ROUND(ROUND(P572, 2)/1.2, 2)</f>
        <v>57</v>
      </c>
      <c r="Y572" s="9">
        <f t="shared" si="104"/>
        <v>393.3</v>
      </c>
      <c r="AD572" s="4" t="s">
        <v>1534</v>
      </c>
      <c r="AE572" s="4" t="s">
        <v>1535</v>
      </c>
      <c r="AF572" s="4" t="s">
        <v>1437</v>
      </c>
    </row>
    <row r="573" spans="1:35" ht="36" x14ac:dyDescent="0.3">
      <c r="A573" s="51" t="s">
        <v>1536</v>
      </c>
      <c r="B573" s="51"/>
      <c r="C573" s="56" t="s">
        <v>790</v>
      </c>
      <c r="D573" s="53"/>
      <c r="E573" s="53"/>
      <c r="F573" s="57" t="s">
        <v>265</v>
      </c>
      <c r="G573" s="58">
        <v>0.25</v>
      </c>
      <c r="H573" s="53"/>
      <c r="I573" s="62">
        <v>11.5</v>
      </c>
      <c r="J573" s="59">
        <v>40.270000000000003</v>
      </c>
      <c r="K573" s="60"/>
      <c r="L573" s="60"/>
      <c r="M573" s="59">
        <f>ROUND(ROUND(J573, 2)*I573, 2)</f>
        <v>463.11</v>
      </c>
      <c r="N573" s="60"/>
      <c r="O573" s="60"/>
      <c r="P573" s="59">
        <v>40.270000000000003</v>
      </c>
      <c r="Q573" s="60"/>
      <c r="R573" s="60"/>
      <c r="S573" s="59">
        <f>ROUND(ROUND(P573, 2)*I573, 2)</f>
        <v>463.11</v>
      </c>
      <c r="T573" s="60"/>
      <c r="U573" s="61"/>
      <c r="V573" s="9">
        <f>ROUND(ROUND(P573, 2)/1.2, 2)</f>
        <v>33.56</v>
      </c>
      <c r="Y573" s="9">
        <f t="shared" si="104"/>
        <v>385.93</v>
      </c>
      <c r="AD573" s="4" t="s">
        <v>1537</v>
      </c>
      <c r="AE573" s="4" t="s">
        <v>1538</v>
      </c>
      <c r="AF573" s="4" t="s">
        <v>793</v>
      </c>
    </row>
    <row r="574" spans="1:35" ht="54" x14ac:dyDescent="0.3">
      <c r="A574" s="17" t="s">
        <v>1539</v>
      </c>
      <c r="B574" s="17" t="s">
        <v>1540</v>
      </c>
      <c r="C574" s="18" t="s">
        <v>1541</v>
      </c>
      <c r="D574" s="19"/>
      <c r="E574" s="19"/>
      <c r="F574" s="19" t="s">
        <v>59</v>
      </c>
      <c r="G574" s="20">
        <v>1</v>
      </c>
      <c r="H574" s="19"/>
      <c r="I574" s="21">
        <v>0</v>
      </c>
      <c r="J574" s="22">
        <f>IFERROR(ROUND(SUM(M576,M578,M580,M582)/I574, 2),0)</f>
        <v>0</v>
      </c>
      <c r="K574" s="22">
        <v>2983</v>
      </c>
      <c r="L574" s="22">
        <f>J574+ROUND(K574, 2)</f>
        <v>2983</v>
      </c>
      <c r="M574" s="22">
        <f>ROUND(J574*I574, 2)</f>
        <v>0</v>
      </c>
      <c r="N574" s="22">
        <f>ROUND(I574*ROUND(K574, 2), 2)</f>
        <v>0</v>
      </c>
      <c r="O574" s="22">
        <f>M574+N574</f>
        <v>0</v>
      </c>
      <c r="P574" s="22">
        <f>IFERROR(ROUND(SUM(S576,S578,S580,S582)/I574, 2),0)</f>
        <v>0</v>
      </c>
      <c r="Q574" s="22">
        <v>2983</v>
      </c>
      <c r="R574" s="22">
        <f>P574+ROUND(Q574, 2)</f>
        <v>2983</v>
      </c>
      <c r="S574" s="22">
        <f>ROUND(P574*I574, 2)</f>
        <v>0</v>
      </c>
      <c r="T574" s="22">
        <f>ROUND(I574*ROUND(Q574, 2), 2)</f>
        <v>0</v>
      </c>
      <c r="U574" s="22">
        <f>S574+T574</f>
        <v>0</v>
      </c>
      <c r="V574" s="9">
        <f>ROUND(P574 / 1.2, 2)</f>
        <v>0</v>
      </c>
      <c r="W574" s="9">
        <f>ROUND(Q574 / 1.2, 2)</f>
        <v>2485.83</v>
      </c>
      <c r="X574" s="9">
        <f>ROUND(R574 / 1.2, 2)</f>
        <v>2485.83</v>
      </c>
      <c r="Y574" s="9">
        <f t="shared" si="104"/>
        <v>0</v>
      </c>
      <c r="Z574" s="9">
        <f>ROUND(T574 / 1.2, 2)</f>
        <v>0</v>
      </c>
      <c r="AA574" s="9">
        <f>Y574+Z574</f>
        <v>0</v>
      </c>
      <c r="AD574" s="4">
        <v>304337571</v>
      </c>
      <c r="AE574" s="4">
        <v>20335430</v>
      </c>
      <c r="AG574" s="4" t="s">
        <v>1542</v>
      </c>
      <c r="AH574" s="4" t="s">
        <v>1543</v>
      </c>
      <c r="AI574" s="4" t="s">
        <v>260</v>
      </c>
    </row>
    <row r="575" spans="1:35" ht="54" x14ac:dyDescent="0.3">
      <c r="A575" s="23" t="s">
        <v>1544</v>
      </c>
      <c r="B575" s="23" t="s">
        <v>1540</v>
      </c>
      <c r="C575" s="24" t="s">
        <v>1541</v>
      </c>
      <c r="D575" s="25"/>
      <c r="E575" s="25" t="s">
        <v>1545</v>
      </c>
      <c r="F575" s="25" t="s">
        <v>59</v>
      </c>
      <c r="G575" s="26">
        <v>1</v>
      </c>
      <c r="H575" s="25"/>
      <c r="I575" s="26">
        <v>320.39999999999998</v>
      </c>
      <c r="J575" s="27">
        <v>0</v>
      </c>
      <c r="K575" s="27">
        <v>2983</v>
      </c>
      <c r="L575" s="27"/>
      <c r="M575" s="27">
        <v>0</v>
      </c>
      <c r="N575" s="27"/>
      <c r="O575" s="27"/>
      <c r="P575" s="27">
        <v>0</v>
      </c>
      <c r="Q575" s="27">
        <v>2983</v>
      </c>
      <c r="R575" s="27"/>
      <c r="S575" s="27">
        <v>0</v>
      </c>
      <c r="T575" s="27"/>
      <c r="U575" s="27"/>
      <c r="V575" s="9"/>
      <c r="W575" s="9">
        <f>ROUND(Q575 / 1.2, 2)</f>
        <v>2485.83</v>
      </c>
      <c r="X575" s="9" t="e">
        <f>ROUND(R575 / 1.2, 2)</f>
        <v>#VALUE!</v>
      </c>
      <c r="Y575" s="9"/>
      <c r="Z575" s="9" t="e">
        <f>ROUND(T575 / 1.2, 2)</f>
        <v>#VALUE!</v>
      </c>
      <c r="AA575" s="9"/>
      <c r="AD575" s="4">
        <v>281967401</v>
      </c>
      <c r="AE575" s="4">
        <v>20335430</v>
      </c>
      <c r="AG575" s="4" t="s">
        <v>1542</v>
      </c>
      <c r="AH575" s="4" t="s">
        <v>1543</v>
      </c>
      <c r="AI575" s="4"/>
    </row>
    <row r="576" spans="1:35" ht="36" x14ac:dyDescent="0.3">
      <c r="A576" s="17" t="s">
        <v>1546</v>
      </c>
      <c r="B576" s="17"/>
      <c r="C576" s="34" t="s">
        <v>1547</v>
      </c>
      <c r="D576" s="19"/>
      <c r="E576" s="19"/>
      <c r="F576" s="35" t="s">
        <v>59</v>
      </c>
      <c r="G576" s="36">
        <v>1.1000000000000001</v>
      </c>
      <c r="H576" s="19"/>
      <c r="I576" s="48">
        <v>0</v>
      </c>
      <c r="J576" s="38">
        <v>2038.05</v>
      </c>
      <c r="K576" s="39"/>
      <c r="L576" s="39"/>
      <c r="M576" s="38">
        <f t="shared" ref="M576:M583" si="105">ROUND(ROUND(J576, 2)*I576, 2)</f>
        <v>0</v>
      </c>
      <c r="N576" s="39"/>
      <c r="O576" s="39"/>
      <c r="P576" s="38">
        <v>1102.5</v>
      </c>
      <c r="Q576" s="39"/>
      <c r="R576" s="39"/>
      <c r="S576" s="38">
        <f t="shared" ref="S576:S583" si="106">ROUND(ROUND(P576, 2)*I576, 2)</f>
        <v>0</v>
      </c>
      <c r="T576" s="39"/>
      <c r="U576" s="40"/>
      <c r="V576" s="9">
        <f t="shared" ref="V576:V583" si="107">ROUND(ROUND(P576, 2)/1.2, 2)</f>
        <v>918.75</v>
      </c>
      <c r="Y576" s="9">
        <f t="shared" ref="Y576:Y584" si="108">ROUND(S576 / 1.2, 2)</f>
        <v>0</v>
      </c>
      <c r="AD576" s="4" t="s">
        <v>1548</v>
      </c>
      <c r="AE576" s="4" t="s">
        <v>1549</v>
      </c>
      <c r="AF576" s="4" t="s">
        <v>1550</v>
      </c>
    </row>
    <row r="577" spans="1:35" ht="72" x14ac:dyDescent="0.3">
      <c r="A577" s="23" t="s">
        <v>1551</v>
      </c>
      <c r="B577" s="23"/>
      <c r="C577" s="41" t="s">
        <v>1547</v>
      </c>
      <c r="D577" s="25"/>
      <c r="E577" s="25" t="s">
        <v>1552</v>
      </c>
      <c r="F577" s="42" t="s">
        <v>59</v>
      </c>
      <c r="G577" s="43">
        <v>1.1000000000000001</v>
      </c>
      <c r="H577" s="25"/>
      <c r="I577" s="50">
        <v>352.44</v>
      </c>
      <c r="J577" s="44">
        <v>2038.05</v>
      </c>
      <c r="K577" s="45"/>
      <c r="L577" s="45"/>
      <c r="M577" s="44">
        <f t="shared" si="105"/>
        <v>718290.34</v>
      </c>
      <c r="N577" s="45"/>
      <c r="O577" s="45"/>
      <c r="P577" s="44">
        <v>1102.5</v>
      </c>
      <c r="Q577" s="45"/>
      <c r="R577" s="45"/>
      <c r="S577" s="44">
        <f t="shared" si="106"/>
        <v>388565.1</v>
      </c>
      <c r="T577" s="45"/>
      <c r="U577" s="46"/>
      <c r="V577" s="9">
        <f t="shared" si="107"/>
        <v>918.75</v>
      </c>
      <c r="Y577" s="9">
        <f t="shared" si="108"/>
        <v>323804.25</v>
      </c>
      <c r="AD577" s="4" t="s">
        <v>1553</v>
      </c>
      <c r="AE577" s="4" t="s">
        <v>1549</v>
      </c>
      <c r="AF577" s="4" t="s">
        <v>1550</v>
      </c>
    </row>
    <row r="578" spans="1:35" ht="36" x14ac:dyDescent="0.3">
      <c r="A578" s="17" t="s">
        <v>1554</v>
      </c>
      <c r="B578" s="17"/>
      <c r="C578" s="34" t="s">
        <v>822</v>
      </c>
      <c r="D578" s="19"/>
      <c r="E578" s="19"/>
      <c r="F578" s="35" t="s">
        <v>265</v>
      </c>
      <c r="G578" s="36">
        <v>1.2</v>
      </c>
      <c r="H578" s="19"/>
      <c r="I578" s="48">
        <v>0</v>
      </c>
      <c r="J578" s="38">
        <v>16.96</v>
      </c>
      <c r="K578" s="39"/>
      <c r="L578" s="39"/>
      <c r="M578" s="38">
        <f t="shared" si="105"/>
        <v>0</v>
      </c>
      <c r="N578" s="39"/>
      <c r="O578" s="39"/>
      <c r="P578" s="38">
        <v>16.96</v>
      </c>
      <c r="Q578" s="39"/>
      <c r="R578" s="39"/>
      <c r="S578" s="38">
        <f t="shared" si="106"/>
        <v>0</v>
      </c>
      <c r="T578" s="39"/>
      <c r="U578" s="40"/>
      <c r="V578" s="9">
        <f t="shared" si="107"/>
        <v>14.13</v>
      </c>
      <c r="Y578" s="9">
        <f t="shared" si="108"/>
        <v>0</v>
      </c>
      <c r="AD578" s="4" t="s">
        <v>1555</v>
      </c>
      <c r="AE578" s="4" t="s">
        <v>1556</v>
      </c>
      <c r="AF578" s="4" t="s">
        <v>825</v>
      </c>
    </row>
    <row r="579" spans="1:35" ht="36" x14ac:dyDescent="0.3">
      <c r="A579" s="23" t="s">
        <v>1557</v>
      </c>
      <c r="B579" s="23"/>
      <c r="C579" s="41" t="s">
        <v>822</v>
      </c>
      <c r="D579" s="25"/>
      <c r="E579" s="25"/>
      <c r="F579" s="42" t="s">
        <v>265</v>
      </c>
      <c r="G579" s="43">
        <v>1.2</v>
      </c>
      <c r="H579" s="25"/>
      <c r="I579" s="50">
        <v>384.48</v>
      </c>
      <c r="J579" s="44">
        <v>16.96</v>
      </c>
      <c r="K579" s="45"/>
      <c r="L579" s="45"/>
      <c r="M579" s="44">
        <f t="shared" si="105"/>
        <v>6520.78</v>
      </c>
      <c r="N579" s="45"/>
      <c r="O579" s="45"/>
      <c r="P579" s="44">
        <v>16.96</v>
      </c>
      <c r="Q579" s="45"/>
      <c r="R579" s="45"/>
      <c r="S579" s="44">
        <f t="shared" si="106"/>
        <v>6520.78</v>
      </c>
      <c r="T579" s="45"/>
      <c r="U579" s="46"/>
      <c r="V579" s="9">
        <f t="shared" si="107"/>
        <v>14.13</v>
      </c>
      <c r="Y579" s="9">
        <f t="shared" si="108"/>
        <v>5433.98</v>
      </c>
      <c r="AD579" s="4" t="s">
        <v>1558</v>
      </c>
      <c r="AE579" s="4" t="s">
        <v>1556</v>
      </c>
      <c r="AF579" s="4" t="s">
        <v>825</v>
      </c>
    </row>
    <row r="580" spans="1:35" ht="36" x14ac:dyDescent="0.3">
      <c r="A580" s="17" t="s">
        <v>1559</v>
      </c>
      <c r="B580" s="17"/>
      <c r="C580" s="34" t="s">
        <v>790</v>
      </c>
      <c r="D580" s="19"/>
      <c r="E580" s="19"/>
      <c r="F580" s="35" t="s">
        <v>265</v>
      </c>
      <c r="G580" s="36">
        <v>0.25</v>
      </c>
      <c r="H580" s="19"/>
      <c r="I580" s="48">
        <v>0</v>
      </c>
      <c r="J580" s="38">
        <v>40.270000000000003</v>
      </c>
      <c r="K580" s="39"/>
      <c r="L580" s="39"/>
      <c r="M580" s="38">
        <f t="shared" si="105"/>
        <v>0</v>
      </c>
      <c r="N580" s="39"/>
      <c r="O580" s="39"/>
      <c r="P580" s="38">
        <v>40.270000000000003</v>
      </c>
      <c r="Q580" s="39"/>
      <c r="R580" s="39"/>
      <c r="S580" s="38">
        <f t="shared" si="106"/>
        <v>0</v>
      </c>
      <c r="T580" s="39"/>
      <c r="U580" s="40"/>
      <c r="V580" s="9">
        <f t="shared" si="107"/>
        <v>33.56</v>
      </c>
      <c r="Y580" s="9">
        <f t="shared" si="108"/>
        <v>0</v>
      </c>
      <c r="AD580" s="4" t="s">
        <v>1560</v>
      </c>
      <c r="AE580" s="4" t="s">
        <v>1561</v>
      </c>
      <c r="AF580" s="4" t="s">
        <v>793</v>
      </c>
    </row>
    <row r="581" spans="1:35" ht="36" x14ac:dyDescent="0.3">
      <c r="A581" s="23" t="s">
        <v>1562</v>
      </c>
      <c r="B581" s="23"/>
      <c r="C581" s="41" t="s">
        <v>790</v>
      </c>
      <c r="D581" s="25"/>
      <c r="E581" s="25"/>
      <c r="F581" s="42" t="s">
        <v>265</v>
      </c>
      <c r="G581" s="43">
        <v>0.25</v>
      </c>
      <c r="H581" s="25"/>
      <c r="I581" s="50">
        <v>80.099999999999994</v>
      </c>
      <c r="J581" s="44">
        <v>40.270000000000003</v>
      </c>
      <c r="K581" s="45"/>
      <c r="L581" s="45"/>
      <c r="M581" s="44">
        <f t="shared" si="105"/>
        <v>3225.63</v>
      </c>
      <c r="N581" s="45"/>
      <c r="O581" s="45"/>
      <c r="P581" s="44">
        <v>40.270000000000003</v>
      </c>
      <c r="Q581" s="45"/>
      <c r="R581" s="45"/>
      <c r="S581" s="44">
        <f t="shared" si="106"/>
        <v>3225.63</v>
      </c>
      <c r="T581" s="45"/>
      <c r="U581" s="46"/>
      <c r="V581" s="9">
        <f t="shared" si="107"/>
        <v>33.56</v>
      </c>
      <c r="Y581" s="9">
        <f t="shared" si="108"/>
        <v>2688.03</v>
      </c>
      <c r="AD581" s="4" t="s">
        <v>1563</v>
      </c>
      <c r="AE581" s="4" t="s">
        <v>1561</v>
      </c>
      <c r="AF581" s="4" t="s">
        <v>793</v>
      </c>
    </row>
    <row r="582" spans="1:35" ht="36" x14ac:dyDescent="0.3">
      <c r="A582" s="17" t="s">
        <v>1564</v>
      </c>
      <c r="B582" s="17"/>
      <c r="C582" s="34" t="s">
        <v>1434</v>
      </c>
      <c r="D582" s="19"/>
      <c r="E582" s="19"/>
      <c r="F582" s="35" t="s">
        <v>265</v>
      </c>
      <c r="G582" s="36">
        <v>0.15</v>
      </c>
      <c r="H582" s="19"/>
      <c r="I582" s="37">
        <v>0</v>
      </c>
      <c r="J582" s="38">
        <v>68.400000000000006</v>
      </c>
      <c r="K582" s="39"/>
      <c r="L582" s="39"/>
      <c r="M582" s="38">
        <f t="shared" si="105"/>
        <v>0</v>
      </c>
      <c r="N582" s="39"/>
      <c r="O582" s="39"/>
      <c r="P582" s="38">
        <v>68.400000000000006</v>
      </c>
      <c r="Q582" s="39"/>
      <c r="R582" s="39"/>
      <c r="S582" s="38">
        <f t="shared" si="106"/>
        <v>0</v>
      </c>
      <c r="T582" s="39"/>
      <c r="U582" s="40"/>
      <c r="V582" s="9">
        <f t="shared" si="107"/>
        <v>57</v>
      </c>
      <c r="Y582" s="9">
        <f t="shared" si="108"/>
        <v>0</v>
      </c>
      <c r="AD582" s="4" t="s">
        <v>1565</v>
      </c>
      <c r="AE582" s="4" t="s">
        <v>1566</v>
      </c>
      <c r="AF582" s="4" t="s">
        <v>1437</v>
      </c>
    </row>
    <row r="583" spans="1:35" ht="36" x14ac:dyDescent="0.3">
      <c r="A583" s="23" t="s">
        <v>1567</v>
      </c>
      <c r="B583" s="23"/>
      <c r="C583" s="41" t="s">
        <v>1434</v>
      </c>
      <c r="D583" s="25"/>
      <c r="E583" s="25"/>
      <c r="F583" s="42" t="s">
        <v>265</v>
      </c>
      <c r="G583" s="43">
        <v>0.15</v>
      </c>
      <c r="H583" s="25"/>
      <c r="I583" s="43">
        <v>48.06</v>
      </c>
      <c r="J583" s="44">
        <v>68.400000000000006</v>
      </c>
      <c r="K583" s="45"/>
      <c r="L583" s="45"/>
      <c r="M583" s="44">
        <f t="shared" si="105"/>
        <v>3287.3</v>
      </c>
      <c r="N583" s="45"/>
      <c r="O583" s="45"/>
      <c r="P583" s="44">
        <v>68.400000000000006</v>
      </c>
      <c r="Q583" s="45"/>
      <c r="R583" s="45"/>
      <c r="S583" s="44">
        <f t="shared" si="106"/>
        <v>3287.3</v>
      </c>
      <c r="T583" s="45"/>
      <c r="U583" s="46"/>
      <c r="V583" s="9">
        <f t="shared" si="107"/>
        <v>57</v>
      </c>
      <c r="Y583" s="9">
        <f t="shared" si="108"/>
        <v>2739.42</v>
      </c>
      <c r="AD583" s="4" t="s">
        <v>1568</v>
      </c>
      <c r="AE583" s="4" t="s">
        <v>1566</v>
      </c>
      <c r="AF583" s="4" t="s">
        <v>1437</v>
      </c>
    </row>
    <row r="584" spans="1:35" ht="54" x14ac:dyDescent="0.3">
      <c r="A584" s="17" t="s">
        <v>1569</v>
      </c>
      <c r="B584" s="17" t="s">
        <v>1540</v>
      </c>
      <c r="C584" s="18" t="s">
        <v>1541</v>
      </c>
      <c r="D584" s="19"/>
      <c r="E584" s="19"/>
      <c r="F584" s="19" t="s">
        <v>59</v>
      </c>
      <c r="G584" s="20">
        <v>1</v>
      </c>
      <c r="H584" s="19"/>
      <c r="I584" s="21">
        <v>0</v>
      </c>
      <c r="J584" s="22">
        <f>IFERROR(ROUND(SUM(M586,M588,M590,M592)/I584, 2),0)</f>
        <v>0</v>
      </c>
      <c r="K584" s="22">
        <v>2983</v>
      </c>
      <c r="L584" s="22">
        <f>J584+ROUND(K584, 2)</f>
        <v>2983</v>
      </c>
      <c r="M584" s="22">
        <f>ROUND(J584*I584, 2)</f>
        <v>0</v>
      </c>
      <c r="N584" s="22">
        <f>ROUND(I584*ROUND(K584, 2), 2)</f>
        <v>0</v>
      </c>
      <c r="O584" s="22">
        <f>M584+N584</f>
        <v>0</v>
      </c>
      <c r="P584" s="22">
        <f>IFERROR(ROUND(SUM(S586,S588,S590,S592)/I584, 2),0)</f>
        <v>0</v>
      </c>
      <c r="Q584" s="22">
        <v>2983</v>
      </c>
      <c r="R584" s="22">
        <f>P584+ROUND(Q584, 2)</f>
        <v>2983</v>
      </c>
      <c r="S584" s="22">
        <f>ROUND(P584*I584, 2)</f>
        <v>0</v>
      </c>
      <c r="T584" s="22">
        <f>ROUND(I584*ROUND(Q584, 2), 2)</f>
        <v>0</v>
      </c>
      <c r="U584" s="22">
        <f>S584+T584</f>
        <v>0</v>
      </c>
      <c r="V584" s="9">
        <f>ROUND(P584 / 1.2, 2)</f>
        <v>0</v>
      </c>
      <c r="W584" s="9">
        <f>ROUND(Q584 / 1.2, 2)</f>
        <v>2485.83</v>
      </c>
      <c r="X584" s="9">
        <f>ROUND(R584 / 1.2, 2)</f>
        <v>2485.83</v>
      </c>
      <c r="Y584" s="9">
        <f t="shared" si="108"/>
        <v>0</v>
      </c>
      <c r="Z584" s="9">
        <f>ROUND(T584 / 1.2, 2)</f>
        <v>0</v>
      </c>
      <c r="AA584" s="9">
        <f>Y584+Z584</f>
        <v>0</v>
      </c>
      <c r="AD584" s="4">
        <v>304337679</v>
      </c>
      <c r="AE584" s="4">
        <v>20336104</v>
      </c>
      <c r="AG584" s="4" t="s">
        <v>1542</v>
      </c>
      <c r="AH584" s="4" t="s">
        <v>1543</v>
      </c>
      <c r="AI584" s="4" t="s">
        <v>260</v>
      </c>
    </row>
    <row r="585" spans="1:35" ht="54" x14ac:dyDescent="0.3">
      <c r="A585" s="23" t="s">
        <v>1570</v>
      </c>
      <c r="B585" s="23" t="s">
        <v>1540</v>
      </c>
      <c r="C585" s="24" t="s">
        <v>1541</v>
      </c>
      <c r="D585" s="25"/>
      <c r="E585" s="25" t="s">
        <v>1571</v>
      </c>
      <c r="F585" s="25" t="s">
        <v>59</v>
      </c>
      <c r="G585" s="26">
        <v>1</v>
      </c>
      <c r="H585" s="25"/>
      <c r="I585" s="26">
        <v>249.1</v>
      </c>
      <c r="J585" s="27">
        <v>0</v>
      </c>
      <c r="K585" s="27">
        <v>2983</v>
      </c>
      <c r="L585" s="27"/>
      <c r="M585" s="27">
        <v>0</v>
      </c>
      <c r="N585" s="27"/>
      <c r="O585" s="27"/>
      <c r="P585" s="27">
        <v>0</v>
      </c>
      <c r="Q585" s="27">
        <v>2983</v>
      </c>
      <c r="R585" s="27"/>
      <c r="S585" s="27">
        <v>0</v>
      </c>
      <c r="T585" s="27"/>
      <c r="U585" s="27"/>
      <c r="V585" s="9"/>
      <c r="W585" s="9">
        <f>ROUND(Q585 / 1.2, 2)</f>
        <v>2485.83</v>
      </c>
      <c r="X585" s="9" t="e">
        <f>ROUND(R585 / 1.2, 2)</f>
        <v>#VALUE!</v>
      </c>
      <c r="Y585" s="9"/>
      <c r="Z585" s="9" t="e">
        <f>ROUND(T585 / 1.2, 2)</f>
        <v>#VALUE!</v>
      </c>
      <c r="AA585" s="9"/>
      <c r="AD585" s="4">
        <v>281967455</v>
      </c>
      <c r="AE585" s="4">
        <v>20336104</v>
      </c>
      <c r="AG585" s="4" t="s">
        <v>1542</v>
      </c>
      <c r="AH585" s="4" t="s">
        <v>1543</v>
      </c>
      <c r="AI585" s="4"/>
    </row>
    <row r="586" spans="1:35" ht="36" x14ac:dyDescent="0.3">
      <c r="A586" s="17" t="s">
        <v>1572</v>
      </c>
      <c r="B586" s="17"/>
      <c r="C586" s="34" t="s">
        <v>1434</v>
      </c>
      <c r="D586" s="19"/>
      <c r="E586" s="19"/>
      <c r="F586" s="35" t="s">
        <v>265</v>
      </c>
      <c r="G586" s="36">
        <v>0.15</v>
      </c>
      <c r="H586" s="19"/>
      <c r="I586" s="37">
        <v>0</v>
      </c>
      <c r="J586" s="38">
        <v>68.400000000000006</v>
      </c>
      <c r="K586" s="39"/>
      <c r="L586" s="39"/>
      <c r="M586" s="38">
        <f t="shared" ref="M586:M593" si="109">ROUND(ROUND(J586, 2)*I586, 2)</f>
        <v>0</v>
      </c>
      <c r="N586" s="39"/>
      <c r="O586" s="39"/>
      <c r="P586" s="38">
        <v>68.400000000000006</v>
      </c>
      <c r="Q586" s="39"/>
      <c r="R586" s="39"/>
      <c r="S586" s="38">
        <f t="shared" ref="S586:S593" si="110">ROUND(ROUND(P586, 2)*I586, 2)</f>
        <v>0</v>
      </c>
      <c r="T586" s="39"/>
      <c r="U586" s="40"/>
      <c r="V586" s="9">
        <f t="shared" ref="V586:V593" si="111">ROUND(ROUND(P586, 2)/1.2, 2)</f>
        <v>57</v>
      </c>
      <c r="Y586" s="9">
        <f t="shared" ref="Y586:Y594" si="112">ROUND(S586 / 1.2, 2)</f>
        <v>0</v>
      </c>
      <c r="AD586" s="4" t="s">
        <v>1573</v>
      </c>
      <c r="AE586" s="4" t="s">
        <v>1574</v>
      </c>
      <c r="AF586" s="4" t="s">
        <v>1437</v>
      </c>
    </row>
    <row r="587" spans="1:35" ht="36" x14ac:dyDescent="0.3">
      <c r="A587" s="23" t="s">
        <v>1575</v>
      </c>
      <c r="B587" s="23"/>
      <c r="C587" s="41" t="s">
        <v>1434</v>
      </c>
      <c r="D587" s="25"/>
      <c r="E587" s="25"/>
      <c r="F587" s="42" t="s">
        <v>265</v>
      </c>
      <c r="G587" s="43">
        <v>0.15</v>
      </c>
      <c r="H587" s="25"/>
      <c r="I587" s="43">
        <v>37.365000000000002</v>
      </c>
      <c r="J587" s="44">
        <v>68.400000000000006</v>
      </c>
      <c r="K587" s="45"/>
      <c r="L587" s="45"/>
      <c r="M587" s="44">
        <f t="shared" si="109"/>
        <v>2555.77</v>
      </c>
      <c r="N587" s="45"/>
      <c r="O587" s="45"/>
      <c r="P587" s="44">
        <v>68.400000000000006</v>
      </c>
      <c r="Q587" s="45"/>
      <c r="R587" s="45"/>
      <c r="S587" s="44">
        <f t="shared" si="110"/>
        <v>2555.77</v>
      </c>
      <c r="T587" s="45"/>
      <c r="U587" s="46"/>
      <c r="V587" s="9">
        <f t="shared" si="111"/>
        <v>57</v>
      </c>
      <c r="Y587" s="9">
        <f t="shared" si="112"/>
        <v>2129.81</v>
      </c>
      <c r="AD587" s="4" t="s">
        <v>1576</v>
      </c>
      <c r="AE587" s="4" t="s">
        <v>1574</v>
      </c>
      <c r="AF587" s="4" t="s">
        <v>1437</v>
      </c>
    </row>
    <row r="588" spans="1:35" ht="36" x14ac:dyDescent="0.3">
      <c r="A588" s="17" t="s">
        <v>1577</v>
      </c>
      <c r="B588" s="17"/>
      <c r="C588" s="34" t="s">
        <v>790</v>
      </c>
      <c r="D588" s="19"/>
      <c r="E588" s="19"/>
      <c r="F588" s="35" t="s">
        <v>265</v>
      </c>
      <c r="G588" s="36">
        <v>0.25</v>
      </c>
      <c r="H588" s="19"/>
      <c r="I588" s="48">
        <v>0</v>
      </c>
      <c r="J588" s="38">
        <v>40.270000000000003</v>
      </c>
      <c r="K588" s="39"/>
      <c r="L588" s="39"/>
      <c r="M588" s="38">
        <f t="shared" si="109"/>
        <v>0</v>
      </c>
      <c r="N588" s="39"/>
      <c r="O588" s="39"/>
      <c r="P588" s="38">
        <v>40.270000000000003</v>
      </c>
      <c r="Q588" s="39"/>
      <c r="R588" s="39"/>
      <c r="S588" s="38">
        <f t="shared" si="110"/>
        <v>0</v>
      </c>
      <c r="T588" s="39"/>
      <c r="U588" s="40"/>
      <c r="V588" s="9">
        <f t="shared" si="111"/>
        <v>33.56</v>
      </c>
      <c r="Y588" s="9">
        <f t="shared" si="112"/>
        <v>0</v>
      </c>
      <c r="AD588" s="4" t="s">
        <v>1578</v>
      </c>
      <c r="AE588" s="4" t="s">
        <v>1579</v>
      </c>
      <c r="AF588" s="4" t="s">
        <v>793</v>
      </c>
    </row>
    <row r="589" spans="1:35" ht="36" x14ac:dyDescent="0.3">
      <c r="A589" s="23" t="s">
        <v>1580</v>
      </c>
      <c r="B589" s="23"/>
      <c r="C589" s="41" t="s">
        <v>790</v>
      </c>
      <c r="D589" s="25"/>
      <c r="E589" s="25"/>
      <c r="F589" s="42" t="s">
        <v>265</v>
      </c>
      <c r="G589" s="43">
        <v>0.25</v>
      </c>
      <c r="H589" s="25"/>
      <c r="I589" s="50">
        <v>62.274999999999999</v>
      </c>
      <c r="J589" s="44">
        <v>40.270000000000003</v>
      </c>
      <c r="K589" s="45"/>
      <c r="L589" s="45"/>
      <c r="M589" s="44">
        <f t="shared" si="109"/>
        <v>2507.81</v>
      </c>
      <c r="N589" s="45"/>
      <c r="O589" s="45"/>
      <c r="P589" s="44">
        <v>40.270000000000003</v>
      </c>
      <c r="Q589" s="45"/>
      <c r="R589" s="45"/>
      <c r="S589" s="44">
        <f t="shared" si="110"/>
        <v>2507.81</v>
      </c>
      <c r="T589" s="45"/>
      <c r="U589" s="46"/>
      <c r="V589" s="9">
        <f t="shared" si="111"/>
        <v>33.56</v>
      </c>
      <c r="Y589" s="9">
        <f t="shared" si="112"/>
        <v>2089.84</v>
      </c>
      <c r="AD589" s="4" t="s">
        <v>1581</v>
      </c>
      <c r="AE589" s="4" t="s">
        <v>1579</v>
      </c>
      <c r="AF589" s="4" t="s">
        <v>793</v>
      </c>
    </row>
    <row r="590" spans="1:35" ht="36" x14ac:dyDescent="0.3">
      <c r="A590" s="17" t="s">
        <v>1582</v>
      </c>
      <c r="B590" s="17"/>
      <c r="C590" s="34" t="s">
        <v>822</v>
      </c>
      <c r="D590" s="19"/>
      <c r="E590" s="19"/>
      <c r="F590" s="35" t="s">
        <v>265</v>
      </c>
      <c r="G590" s="36">
        <v>1.2</v>
      </c>
      <c r="H590" s="19"/>
      <c r="I590" s="48">
        <v>0</v>
      </c>
      <c r="J590" s="38">
        <v>16.96</v>
      </c>
      <c r="K590" s="39"/>
      <c r="L590" s="39"/>
      <c r="M590" s="38">
        <f t="shared" si="109"/>
        <v>0</v>
      </c>
      <c r="N590" s="39"/>
      <c r="O590" s="39"/>
      <c r="P590" s="38">
        <v>16.96</v>
      </c>
      <c r="Q590" s="39"/>
      <c r="R590" s="39"/>
      <c r="S590" s="38">
        <f t="shared" si="110"/>
        <v>0</v>
      </c>
      <c r="T590" s="39"/>
      <c r="U590" s="40"/>
      <c r="V590" s="9">
        <f t="shared" si="111"/>
        <v>14.13</v>
      </c>
      <c r="Y590" s="9">
        <f t="shared" si="112"/>
        <v>0</v>
      </c>
      <c r="AD590" s="4" t="s">
        <v>1583</v>
      </c>
      <c r="AE590" s="4" t="s">
        <v>1584</v>
      </c>
      <c r="AF590" s="4" t="s">
        <v>825</v>
      </c>
    </row>
    <row r="591" spans="1:35" ht="36" x14ac:dyDescent="0.3">
      <c r="A591" s="23" t="s">
        <v>1585</v>
      </c>
      <c r="B591" s="23"/>
      <c r="C591" s="41" t="s">
        <v>822</v>
      </c>
      <c r="D591" s="25"/>
      <c r="E591" s="25"/>
      <c r="F591" s="42" t="s">
        <v>265</v>
      </c>
      <c r="G591" s="43">
        <v>1.2</v>
      </c>
      <c r="H591" s="25"/>
      <c r="I591" s="50">
        <v>298.92</v>
      </c>
      <c r="J591" s="44">
        <v>16.96</v>
      </c>
      <c r="K591" s="45"/>
      <c r="L591" s="45"/>
      <c r="M591" s="44">
        <f t="shared" si="109"/>
        <v>5069.68</v>
      </c>
      <c r="N591" s="45"/>
      <c r="O591" s="45"/>
      <c r="P591" s="44">
        <v>16.96</v>
      </c>
      <c r="Q591" s="45"/>
      <c r="R591" s="45"/>
      <c r="S591" s="44">
        <f t="shared" si="110"/>
        <v>5069.68</v>
      </c>
      <c r="T591" s="45"/>
      <c r="U591" s="46"/>
      <c r="V591" s="9">
        <f t="shared" si="111"/>
        <v>14.13</v>
      </c>
      <c r="Y591" s="9">
        <f t="shared" si="112"/>
        <v>4224.7299999999996</v>
      </c>
      <c r="AD591" s="4" t="s">
        <v>1586</v>
      </c>
      <c r="AE591" s="4" t="s">
        <v>1584</v>
      </c>
      <c r="AF591" s="4" t="s">
        <v>825</v>
      </c>
    </row>
    <row r="592" spans="1:35" ht="36" x14ac:dyDescent="0.3">
      <c r="A592" s="17" t="s">
        <v>1587</v>
      </c>
      <c r="B592" s="17"/>
      <c r="C592" s="34" t="s">
        <v>1547</v>
      </c>
      <c r="D592" s="19"/>
      <c r="E592" s="19"/>
      <c r="F592" s="35" t="s">
        <v>59</v>
      </c>
      <c r="G592" s="36">
        <v>1.1000000000000001</v>
      </c>
      <c r="H592" s="19"/>
      <c r="I592" s="48">
        <v>0</v>
      </c>
      <c r="J592" s="38">
        <v>2038.05</v>
      </c>
      <c r="K592" s="39"/>
      <c r="L592" s="39"/>
      <c r="M592" s="38">
        <f t="shared" si="109"/>
        <v>0</v>
      </c>
      <c r="N592" s="39"/>
      <c r="O592" s="39"/>
      <c r="P592" s="38">
        <v>1102.5</v>
      </c>
      <c r="Q592" s="39"/>
      <c r="R592" s="39"/>
      <c r="S592" s="38">
        <f t="shared" si="110"/>
        <v>0</v>
      </c>
      <c r="T592" s="39"/>
      <c r="U592" s="40"/>
      <c r="V592" s="9">
        <f t="shared" si="111"/>
        <v>918.75</v>
      </c>
      <c r="Y592" s="9">
        <f t="shared" si="112"/>
        <v>0</v>
      </c>
      <c r="AD592" s="4" t="s">
        <v>1588</v>
      </c>
      <c r="AE592" s="4" t="s">
        <v>1589</v>
      </c>
      <c r="AF592" s="4" t="s">
        <v>1550</v>
      </c>
    </row>
    <row r="593" spans="1:35" ht="72" x14ac:dyDescent="0.3">
      <c r="A593" s="23" t="s">
        <v>1590</v>
      </c>
      <c r="B593" s="23"/>
      <c r="C593" s="41" t="s">
        <v>1547</v>
      </c>
      <c r="D593" s="25"/>
      <c r="E593" s="25" t="s">
        <v>1591</v>
      </c>
      <c r="F593" s="42" t="s">
        <v>59</v>
      </c>
      <c r="G593" s="43">
        <v>1.1000000000000001</v>
      </c>
      <c r="H593" s="25"/>
      <c r="I593" s="50">
        <v>274.01</v>
      </c>
      <c r="J593" s="44">
        <v>2038.05</v>
      </c>
      <c r="K593" s="45"/>
      <c r="L593" s="45"/>
      <c r="M593" s="44">
        <f t="shared" si="109"/>
        <v>558446.07999999996</v>
      </c>
      <c r="N593" s="45"/>
      <c r="O593" s="45"/>
      <c r="P593" s="44">
        <v>1102.5</v>
      </c>
      <c r="Q593" s="45"/>
      <c r="R593" s="45"/>
      <c r="S593" s="44">
        <f t="shared" si="110"/>
        <v>302096.03000000003</v>
      </c>
      <c r="T593" s="45"/>
      <c r="U593" s="46"/>
      <c r="V593" s="9">
        <f t="shared" si="111"/>
        <v>918.75</v>
      </c>
      <c r="Y593" s="9">
        <f t="shared" si="112"/>
        <v>251746.69</v>
      </c>
      <c r="AD593" s="4" t="s">
        <v>1592</v>
      </c>
      <c r="AE593" s="4" t="s">
        <v>1589</v>
      </c>
      <c r="AF593" s="4" t="s">
        <v>1550</v>
      </c>
    </row>
    <row r="594" spans="1:35" ht="54" x14ac:dyDescent="0.3">
      <c r="A594" s="17" t="s">
        <v>1593</v>
      </c>
      <c r="B594" s="17" t="s">
        <v>1540</v>
      </c>
      <c r="C594" s="18" t="s">
        <v>1541</v>
      </c>
      <c r="D594" s="19"/>
      <c r="E594" s="19"/>
      <c r="F594" s="19" t="s">
        <v>59</v>
      </c>
      <c r="G594" s="20">
        <v>1</v>
      </c>
      <c r="H594" s="19"/>
      <c r="I594" s="21">
        <v>0</v>
      </c>
      <c r="J594" s="22">
        <f>IFERROR(ROUND(SUM(M596,M598,M600,M602)/I594, 2),0)</f>
        <v>0</v>
      </c>
      <c r="K594" s="22">
        <v>2983</v>
      </c>
      <c r="L594" s="22">
        <f>J594+ROUND(K594, 2)</f>
        <v>2983</v>
      </c>
      <c r="M594" s="22">
        <f>ROUND(J594*I594, 2)</f>
        <v>0</v>
      </c>
      <c r="N594" s="22">
        <f>ROUND(I594*ROUND(K594, 2), 2)</f>
        <v>0</v>
      </c>
      <c r="O594" s="22">
        <f>M594+N594</f>
        <v>0</v>
      </c>
      <c r="P594" s="22">
        <f>IFERROR(ROUND(SUM(S596,S598,S600,S602)/I594, 2),0)</f>
        <v>0</v>
      </c>
      <c r="Q594" s="22">
        <v>2983</v>
      </c>
      <c r="R594" s="22">
        <f>P594+ROUND(Q594, 2)</f>
        <v>2983</v>
      </c>
      <c r="S594" s="22">
        <f>ROUND(P594*I594, 2)</f>
        <v>0</v>
      </c>
      <c r="T594" s="22">
        <f>ROUND(I594*ROUND(Q594, 2), 2)</f>
        <v>0</v>
      </c>
      <c r="U594" s="22">
        <f>S594+T594</f>
        <v>0</v>
      </c>
      <c r="V594" s="9">
        <f>ROUND(P594 / 1.2, 2)</f>
        <v>0</v>
      </c>
      <c r="W594" s="9">
        <f>ROUND(Q594 / 1.2, 2)</f>
        <v>2485.83</v>
      </c>
      <c r="X594" s="9">
        <f>ROUND(R594 / 1.2, 2)</f>
        <v>2485.83</v>
      </c>
      <c r="Y594" s="9">
        <f t="shared" si="112"/>
        <v>0</v>
      </c>
      <c r="Z594" s="9">
        <f>ROUND(T594 / 1.2, 2)</f>
        <v>0</v>
      </c>
      <c r="AA594" s="9">
        <f>Y594+Z594</f>
        <v>0</v>
      </c>
      <c r="AD594" s="4">
        <v>304337680</v>
      </c>
      <c r="AE594" s="4">
        <v>20336105</v>
      </c>
      <c r="AG594" s="4" t="s">
        <v>1542</v>
      </c>
      <c r="AH594" s="4" t="s">
        <v>1543</v>
      </c>
      <c r="AI594" s="4" t="s">
        <v>260</v>
      </c>
    </row>
    <row r="595" spans="1:35" ht="54" x14ac:dyDescent="0.3">
      <c r="A595" s="23" t="s">
        <v>1594</v>
      </c>
      <c r="B595" s="23" t="s">
        <v>1540</v>
      </c>
      <c r="C595" s="24" t="s">
        <v>1541</v>
      </c>
      <c r="D595" s="25"/>
      <c r="E595" s="25" t="s">
        <v>1595</v>
      </c>
      <c r="F595" s="25" t="s">
        <v>59</v>
      </c>
      <c r="G595" s="26">
        <v>1</v>
      </c>
      <c r="H595" s="25"/>
      <c r="I595" s="26">
        <v>238.4</v>
      </c>
      <c r="J595" s="27">
        <v>0</v>
      </c>
      <c r="K595" s="27">
        <v>2983</v>
      </c>
      <c r="L595" s="27"/>
      <c r="M595" s="27">
        <v>0</v>
      </c>
      <c r="N595" s="27"/>
      <c r="O595" s="27"/>
      <c r="P595" s="27">
        <v>0</v>
      </c>
      <c r="Q595" s="27">
        <v>2983</v>
      </c>
      <c r="R595" s="27"/>
      <c r="S595" s="27">
        <v>0</v>
      </c>
      <c r="T595" s="27"/>
      <c r="U595" s="27"/>
      <c r="V595" s="9"/>
      <c r="W595" s="9">
        <f>ROUND(Q595 / 1.2, 2)</f>
        <v>2485.83</v>
      </c>
      <c r="X595" s="9" t="e">
        <f>ROUND(R595 / 1.2, 2)</f>
        <v>#VALUE!</v>
      </c>
      <c r="Y595" s="9"/>
      <c r="Z595" s="9" t="e">
        <f>ROUND(T595 / 1.2, 2)</f>
        <v>#VALUE!</v>
      </c>
      <c r="AA595" s="9"/>
      <c r="AD595" s="4">
        <v>281967456</v>
      </c>
      <c r="AE595" s="4">
        <v>20336105</v>
      </c>
      <c r="AG595" s="4" t="s">
        <v>1542</v>
      </c>
      <c r="AH595" s="4" t="s">
        <v>1543</v>
      </c>
      <c r="AI595" s="4"/>
    </row>
    <row r="596" spans="1:35" ht="36" x14ac:dyDescent="0.3">
      <c r="A596" s="17" t="s">
        <v>1596</v>
      </c>
      <c r="B596" s="17"/>
      <c r="C596" s="34" t="s">
        <v>1547</v>
      </c>
      <c r="D596" s="19"/>
      <c r="E596" s="19"/>
      <c r="F596" s="35" t="s">
        <v>59</v>
      </c>
      <c r="G596" s="36">
        <v>1.1000000000000001</v>
      </c>
      <c r="H596" s="19"/>
      <c r="I596" s="48">
        <v>0</v>
      </c>
      <c r="J596" s="38">
        <v>2038.05</v>
      </c>
      <c r="K596" s="39"/>
      <c r="L596" s="39"/>
      <c r="M596" s="38">
        <f t="shared" ref="M596:M603" si="113">ROUND(ROUND(J596, 2)*I596, 2)</f>
        <v>0</v>
      </c>
      <c r="N596" s="39"/>
      <c r="O596" s="39"/>
      <c r="P596" s="38">
        <v>1102.5</v>
      </c>
      <c r="Q596" s="39"/>
      <c r="R596" s="39"/>
      <c r="S596" s="38">
        <f t="shared" ref="S596:S603" si="114">ROUND(ROUND(P596, 2)*I596, 2)</f>
        <v>0</v>
      </c>
      <c r="T596" s="39"/>
      <c r="U596" s="40"/>
      <c r="V596" s="9">
        <f t="shared" ref="V596:V603" si="115">ROUND(ROUND(P596, 2)/1.2, 2)</f>
        <v>918.75</v>
      </c>
      <c r="Y596" s="9">
        <f t="shared" ref="Y596:Y604" si="116">ROUND(S596 / 1.2, 2)</f>
        <v>0</v>
      </c>
      <c r="AD596" s="4" t="s">
        <v>1597</v>
      </c>
      <c r="AE596" s="4" t="s">
        <v>1598</v>
      </c>
      <c r="AF596" s="4" t="s">
        <v>1550</v>
      </c>
    </row>
    <row r="597" spans="1:35" ht="72" x14ac:dyDescent="0.3">
      <c r="A597" s="23" t="s">
        <v>1599</v>
      </c>
      <c r="B597" s="23"/>
      <c r="C597" s="41" t="s">
        <v>1547</v>
      </c>
      <c r="D597" s="25"/>
      <c r="E597" s="25" t="s">
        <v>911</v>
      </c>
      <c r="F597" s="42" t="s">
        <v>59</v>
      </c>
      <c r="G597" s="43">
        <v>1.1000000000000001</v>
      </c>
      <c r="H597" s="25"/>
      <c r="I597" s="50">
        <v>262.24</v>
      </c>
      <c r="J597" s="44">
        <v>2038.05</v>
      </c>
      <c r="K597" s="45"/>
      <c r="L597" s="45"/>
      <c r="M597" s="44">
        <f t="shared" si="113"/>
        <v>534458.23</v>
      </c>
      <c r="N597" s="45"/>
      <c r="O597" s="45"/>
      <c r="P597" s="44">
        <v>1102.5</v>
      </c>
      <c r="Q597" s="45"/>
      <c r="R597" s="45"/>
      <c r="S597" s="44">
        <f t="shared" si="114"/>
        <v>289119.59999999998</v>
      </c>
      <c r="T597" s="45"/>
      <c r="U597" s="46"/>
      <c r="V597" s="9">
        <f t="shared" si="115"/>
        <v>918.75</v>
      </c>
      <c r="Y597" s="9">
        <f t="shared" si="116"/>
        <v>240933</v>
      </c>
      <c r="AD597" s="4" t="s">
        <v>1600</v>
      </c>
      <c r="AE597" s="4" t="s">
        <v>1598</v>
      </c>
      <c r="AF597" s="4" t="s">
        <v>1550</v>
      </c>
    </row>
    <row r="598" spans="1:35" ht="36" x14ac:dyDescent="0.3">
      <c r="A598" s="17" t="s">
        <v>1601</v>
      </c>
      <c r="B598" s="17"/>
      <c r="C598" s="34" t="s">
        <v>822</v>
      </c>
      <c r="D598" s="19"/>
      <c r="E598" s="19"/>
      <c r="F598" s="35" t="s">
        <v>265</v>
      </c>
      <c r="G598" s="36">
        <v>1.2</v>
      </c>
      <c r="H598" s="19"/>
      <c r="I598" s="48">
        <v>0</v>
      </c>
      <c r="J598" s="38">
        <v>16.96</v>
      </c>
      <c r="K598" s="39"/>
      <c r="L598" s="39"/>
      <c r="M598" s="38">
        <f t="shared" si="113"/>
        <v>0</v>
      </c>
      <c r="N598" s="39"/>
      <c r="O598" s="39"/>
      <c r="P598" s="38">
        <v>16.96</v>
      </c>
      <c r="Q598" s="39"/>
      <c r="R598" s="39"/>
      <c r="S598" s="38">
        <f t="shared" si="114"/>
        <v>0</v>
      </c>
      <c r="T598" s="39"/>
      <c r="U598" s="40"/>
      <c r="V598" s="9">
        <f t="shared" si="115"/>
        <v>14.13</v>
      </c>
      <c r="Y598" s="9">
        <f t="shared" si="116"/>
        <v>0</v>
      </c>
      <c r="AD598" s="4" t="s">
        <v>1602</v>
      </c>
      <c r="AE598" s="4" t="s">
        <v>1603</v>
      </c>
      <c r="AF598" s="4" t="s">
        <v>825</v>
      </c>
    </row>
    <row r="599" spans="1:35" ht="36" x14ac:dyDescent="0.3">
      <c r="A599" s="23" t="s">
        <v>1604</v>
      </c>
      <c r="B599" s="23"/>
      <c r="C599" s="41" t="s">
        <v>822</v>
      </c>
      <c r="D599" s="25"/>
      <c r="E599" s="25"/>
      <c r="F599" s="42" t="s">
        <v>265</v>
      </c>
      <c r="G599" s="43">
        <v>1.2</v>
      </c>
      <c r="H599" s="25"/>
      <c r="I599" s="50">
        <v>286.08</v>
      </c>
      <c r="J599" s="44">
        <v>16.96</v>
      </c>
      <c r="K599" s="45"/>
      <c r="L599" s="45"/>
      <c r="M599" s="44">
        <f t="shared" si="113"/>
        <v>4851.92</v>
      </c>
      <c r="N599" s="45"/>
      <c r="O599" s="45"/>
      <c r="P599" s="44">
        <v>16.96</v>
      </c>
      <c r="Q599" s="45"/>
      <c r="R599" s="45"/>
      <c r="S599" s="44">
        <f t="shared" si="114"/>
        <v>4851.92</v>
      </c>
      <c r="T599" s="45"/>
      <c r="U599" s="46"/>
      <c r="V599" s="9">
        <f t="shared" si="115"/>
        <v>14.13</v>
      </c>
      <c r="Y599" s="9">
        <f t="shared" si="116"/>
        <v>4043.27</v>
      </c>
      <c r="AD599" s="4" t="s">
        <v>1605</v>
      </c>
      <c r="AE599" s="4" t="s">
        <v>1603</v>
      </c>
      <c r="AF599" s="4" t="s">
        <v>825</v>
      </c>
    </row>
    <row r="600" spans="1:35" ht="36" x14ac:dyDescent="0.3">
      <c r="A600" s="17" t="s">
        <v>1606</v>
      </c>
      <c r="B600" s="17"/>
      <c r="C600" s="34" t="s">
        <v>790</v>
      </c>
      <c r="D600" s="19"/>
      <c r="E600" s="19"/>
      <c r="F600" s="35" t="s">
        <v>265</v>
      </c>
      <c r="G600" s="36">
        <v>0.25</v>
      </c>
      <c r="H600" s="19"/>
      <c r="I600" s="48">
        <v>0</v>
      </c>
      <c r="J600" s="38">
        <v>40.270000000000003</v>
      </c>
      <c r="K600" s="39"/>
      <c r="L600" s="39"/>
      <c r="M600" s="38">
        <f t="shared" si="113"/>
        <v>0</v>
      </c>
      <c r="N600" s="39"/>
      <c r="O600" s="39"/>
      <c r="P600" s="38">
        <v>40.270000000000003</v>
      </c>
      <c r="Q600" s="39"/>
      <c r="R600" s="39"/>
      <c r="S600" s="38">
        <f t="shared" si="114"/>
        <v>0</v>
      </c>
      <c r="T600" s="39"/>
      <c r="U600" s="40"/>
      <c r="V600" s="9">
        <f t="shared" si="115"/>
        <v>33.56</v>
      </c>
      <c r="Y600" s="9">
        <f t="shared" si="116"/>
        <v>0</v>
      </c>
      <c r="AD600" s="4" t="s">
        <v>1607</v>
      </c>
      <c r="AE600" s="4" t="s">
        <v>1608</v>
      </c>
      <c r="AF600" s="4" t="s">
        <v>793</v>
      </c>
    </row>
    <row r="601" spans="1:35" ht="36" x14ac:dyDescent="0.3">
      <c r="A601" s="23" t="s">
        <v>1609</v>
      </c>
      <c r="B601" s="23"/>
      <c r="C601" s="41" t="s">
        <v>790</v>
      </c>
      <c r="D601" s="25"/>
      <c r="E601" s="25"/>
      <c r="F601" s="42" t="s">
        <v>265</v>
      </c>
      <c r="G601" s="43">
        <v>0.25</v>
      </c>
      <c r="H601" s="25"/>
      <c r="I601" s="50">
        <v>59.6</v>
      </c>
      <c r="J601" s="44">
        <v>40.270000000000003</v>
      </c>
      <c r="K601" s="45"/>
      <c r="L601" s="45"/>
      <c r="M601" s="44">
        <f t="shared" si="113"/>
        <v>2400.09</v>
      </c>
      <c r="N601" s="45"/>
      <c r="O601" s="45"/>
      <c r="P601" s="44">
        <v>40.270000000000003</v>
      </c>
      <c r="Q601" s="45"/>
      <c r="R601" s="45"/>
      <c r="S601" s="44">
        <f t="shared" si="114"/>
        <v>2400.09</v>
      </c>
      <c r="T601" s="45"/>
      <c r="U601" s="46"/>
      <c r="V601" s="9">
        <f t="shared" si="115"/>
        <v>33.56</v>
      </c>
      <c r="Y601" s="9">
        <f t="shared" si="116"/>
        <v>2000.08</v>
      </c>
      <c r="AD601" s="4" t="s">
        <v>1610</v>
      </c>
      <c r="AE601" s="4" t="s">
        <v>1608</v>
      </c>
      <c r="AF601" s="4" t="s">
        <v>793</v>
      </c>
    </row>
    <row r="602" spans="1:35" ht="36" x14ac:dyDescent="0.3">
      <c r="A602" s="17" t="s">
        <v>1611</v>
      </c>
      <c r="B602" s="17"/>
      <c r="C602" s="34" t="s">
        <v>1434</v>
      </c>
      <c r="D602" s="19"/>
      <c r="E602" s="19"/>
      <c r="F602" s="35" t="s">
        <v>265</v>
      </c>
      <c r="G602" s="36">
        <v>0.15</v>
      </c>
      <c r="H602" s="19"/>
      <c r="I602" s="37">
        <v>0</v>
      </c>
      <c r="J602" s="38">
        <v>68.400000000000006</v>
      </c>
      <c r="K602" s="39"/>
      <c r="L602" s="39"/>
      <c r="M602" s="38">
        <f t="shared" si="113"/>
        <v>0</v>
      </c>
      <c r="N602" s="39"/>
      <c r="O602" s="39"/>
      <c r="P602" s="38">
        <v>68.400000000000006</v>
      </c>
      <c r="Q602" s="39"/>
      <c r="R602" s="39"/>
      <c r="S602" s="38">
        <f t="shared" si="114"/>
        <v>0</v>
      </c>
      <c r="T602" s="39"/>
      <c r="U602" s="40"/>
      <c r="V602" s="9">
        <f t="shared" si="115"/>
        <v>57</v>
      </c>
      <c r="Y602" s="9">
        <f t="shared" si="116"/>
        <v>0</v>
      </c>
      <c r="AD602" s="4" t="s">
        <v>1612</v>
      </c>
      <c r="AE602" s="4" t="s">
        <v>1613</v>
      </c>
      <c r="AF602" s="4" t="s">
        <v>1437</v>
      </c>
    </row>
    <row r="603" spans="1:35" ht="36" x14ac:dyDescent="0.3">
      <c r="A603" s="23" t="s">
        <v>1614</v>
      </c>
      <c r="B603" s="23"/>
      <c r="C603" s="41" t="s">
        <v>1434</v>
      </c>
      <c r="D603" s="25"/>
      <c r="E603" s="25"/>
      <c r="F603" s="42" t="s">
        <v>265</v>
      </c>
      <c r="G603" s="43">
        <v>0.15</v>
      </c>
      <c r="H603" s="25"/>
      <c r="I603" s="43">
        <v>35.76</v>
      </c>
      <c r="J603" s="44">
        <v>68.400000000000006</v>
      </c>
      <c r="K603" s="45"/>
      <c r="L603" s="45"/>
      <c r="M603" s="44">
        <f t="shared" si="113"/>
        <v>2445.98</v>
      </c>
      <c r="N603" s="45"/>
      <c r="O603" s="45"/>
      <c r="P603" s="44">
        <v>68.400000000000006</v>
      </c>
      <c r="Q603" s="45"/>
      <c r="R603" s="45"/>
      <c r="S603" s="44">
        <f t="shared" si="114"/>
        <v>2445.98</v>
      </c>
      <c r="T603" s="45"/>
      <c r="U603" s="46"/>
      <c r="V603" s="9">
        <f t="shared" si="115"/>
        <v>57</v>
      </c>
      <c r="Y603" s="9">
        <f t="shared" si="116"/>
        <v>2038.32</v>
      </c>
      <c r="AD603" s="4" t="s">
        <v>1615</v>
      </c>
      <c r="AE603" s="4" t="s">
        <v>1613</v>
      </c>
      <c r="AF603" s="4" t="s">
        <v>1437</v>
      </c>
    </row>
    <row r="604" spans="1:35" ht="54" x14ac:dyDescent="0.3">
      <c r="A604" s="17" t="s">
        <v>1616</v>
      </c>
      <c r="B604" s="17" t="s">
        <v>1540</v>
      </c>
      <c r="C604" s="18" t="s">
        <v>1541</v>
      </c>
      <c r="D604" s="19"/>
      <c r="E604" s="19"/>
      <c r="F604" s="19" t="s">
        <v>59</v>
      </c>
      <c r="G604" s="20">
        <v>1</v>
      </c>
      <c r="H604" s="19"/>
      <c r="I604" s="21">
        <v>0</v>
      </c>
      <c r="J604" s="22">
        <f>IFERROR(ROUND(SUM(M606,M608,M610,M612)/I604, 2),0)</f>
        <v>0</v>
      </c>
      <c r="K604" s="22">
        <v>2983</v>
      </c>
      <c r="L604" s="22">
        <f>J604+ROUND(K604, 2)</f>
        <v>2983</v>
      </c>
      <c r="M604" s="22">
        <f>ROUND(J604*I604, 2)</f>
        <v>0</v>
      </c>
      <c r="N604" s="22">
        <f>ROUND(I604*ROUND(K604, 2), 2)</f>
        <v>0</v>
      </c>
      <c r="O604" s="22">
        <f>M604+N604</f>
        <v>0</v>
      </c>
      <c r="P604" s="22">
        <f>IFERROR(ROUND(SUM(S606,S608,S610,S612)/I604, 2),0)</f>
        <v>0</v>
      </c>
      <c r="Q604" s="22">
        <v>2983</v>
      </c>
      <c r="R604" s="22">
        <f>P604+ROUND(Q604, 2)</f>
        <v>2983</v>
      </c>
      <c r="S604" s="22">
        <f>ROUND(P604*I604, 2)</f>
        <v>0</v>
      </c>
      <c r="T604" s="22">
        <f>ROUND(I604*ROUND(Q604, 2), 2)</f>
        <v>0</v>
      </c>
      <c r="U604" s="22">
        <f>S604+T604</f>
        <v>0</v>
      </c>
      <c r="V604" s="9">
        <f>ROUND(P604 / 1.2, 2)</f>
        <v>0</v>
      </c>
      <c r="W604" s="9">
        <f>ROUND(Q604 / 1.2, 2)</f>
        <v>2485.83</v>
      </c>
      <c r="X604" s="9">
        <f>ROUND(R604 / 1.2, 2)</f>
        <v>2485.83</v>
      </c>
      <c r="Y604" s="9">
        <f t="shared" si="116"/>
        <v>0</v>
      </c>
      <c r="Z604" s="9">
        <f>ROUND(T604 / 1.2, 2)</f>
        <v>0</v>
      </c>
      <c r="AA604" s="9">
        <f>Y604+Z604</f>
        <v>0</v>
      </c>
      <c r="AD604" s="4">
        <v>304337681</v>
      </c>
      <c r="AE604" s="4">
        <v>20336103</v>
      </c>
      <c r="AG604" s="4" t="s">
        <v>1542</v>
      </c>
      <c r="AH604" s="4" t="s">
        <v>1543</v>
      </c>
      <c r="AI604" s="4" t="s">
        <v>260</v>
      </c>
    </row>
    <row r="605" spans="1:35" ht="54" x14ac:dyDescent="0.3">
      <c r="A605" s="23" t="s">
        <v>1617</v>
      </c>
      <c r="B605" s="23" t="s">
        <v>1540</v>
      </c>
      <c r="C605" s="24" t="s">
        <v>1541</v>
      </c>
      <c r="D605" s="25"/>
      <c r="E605" s="25" t="s">
        <v>1618</v>
      </c>
      <c r="F605" s="25" t="s">
        <v>59</v>
      </c>
      <c r="G605" s="26">
        <v>1</v>
      </c>
      <c r="H605" s="25"/>
      <c r="I605" s="26">
        <v>6.1</v>
      </c>
      <c r="J605" s="27">
        <v>0</v>
      </c>
      <c r="K605" s="27">
        <v>2983</v>
      </c>
      <c r="L605" s="27"/>
      <c r="M605" s="27">
        <v>0</v>
      </c>
      <c r="N605" s="27"/>
      <c r="O605" s="27"/>
      <c r="P605" s="27">
        <v>0</v>
      </c>
      <c r="Q605" s="27">
        <v>2983</v>
      </c>
      <c r="R605" s="27"/>
      <c r="S605" s="27">
        <v>0</v>
      </c>
      <c r="T605" s="27"/>
      <c r="U605" s="27"/>
      <c r="V605" s="9"/>
      <c r="W605" s="9">
        <f>ROUND(Q605 / 1.2, 2)</f>
        <v>2485.83</v>
      </c>
      <c r="X605" s="9" t="e">
        <f>ROUND(R605 / 1.2, 2)</f>
        <v>#VALUE!</v>
      </c>
      <c r="Y605" s="9"/>
      <c r="Z605" s="9" t="e">
        <f>ROUND(T605 / 1.2, 2)</f>
        <v>#VALUE!</v>
      </c>
      <c r="AA605" s="9"/>
      <c r="AD605" s="4">
        <v>281967457</v>
      </c>
      <c r="AE605" s="4">
        <v>20336103</v>
      </c>
      <c r="AG605" s="4" t="s">
        <v>1542</v>
      </c>
      <c r="AH605" s="4" t="s">
        <v>1543</v>
      </c>
      <c r="AI605" s="4"/>
    </row>
    <row r="606" spans="1:35" ht="36" x14ac:dyDescent="0.3">
      <c r="A606" s="17" t="s">
        <v>1619</v>
      </c>
      <c r="B606" s="17"/>
      <c r="C606" s="34" t="s">
        <v>1434</v>
      </c>
      <c r="D606" s="19"/>
      <c r="E606" s="19"/>
      <c r="F606" s="35" t="s">
        <v>265</v>
      </c>
      <c r="G606" s="36">
        <v>0.15</v>
      </c>
      <c r="H606" s="19"/>
      <c r="I606" s="37">
        <v>0</v>
      </c>
      <c r="J606" s="38">
        <v>68.400000000000006</v>
      </c>
      <c r="K606" s="39"/>
      <c r="L606" s="39"/>
      <c r="M606" s="38">
        <f t="shared" ref="M606:M613" si="117">ROUND(ROUND(J606, 2)*I606, 2)</f>
        <v>0</v>
      </c>
      <c r="N606" s="39"/>
      <c r="O606" s="39"/>
      <c r="P606" s="38">
        <v>68.400000000000006</v>
      </c>
      <c r="Q606" s="39"/>
      <c r="R606" s="39"/>
      <c r="S606" s="38">
        <f t="shared" ref="S606:S613" si="118">ROUND(ROUND(P606, 2)*I606, 2)</f>
        <v>0</v>
      </c>
      <c r="T606" s="39"/>
      <c r="U606" s="40"/>
      <c r="V606" s="9">
        <f t="shared" ref="V606:V613" si="119">ROUND(ROUND(P606, 2)/1.2, 2)</f>
        <v>57</v>
      </c>
      <c r="Y606" s="9">
        <f t="shared" ref="Y606:Y633" si="120">ROUND(S606 / 1.2, 2)</f>
        <v>0</v>
      </c>
      <c r="AD606" s="4" t="s">
        <v>1620</v>
      </c>
      <c r="AE606" s="4" t="s">
        <v>1621</v>
      </c>
      <c r="AF606" s="4" t="s">
        <v>1437</v>
      </c>
    </row>
    <row r="607" spans="1:35" ht="36" x14ac:dyDescent="0.3">
      <c r="A607" s="23" t="s">
        <v>1622</v>
      </c>
      <c r="B607" s="23"/>
      <c r="C607" s="41" t="s">
        <v>1434</v>
      </c>
      <c r="D607" s="25"/>
      <c r="E607" s="25"/>
      <c r="F607" s="42" t="s">
        <v>265</v>
      </c>
      <c r="G607" s="43">
        <v>0.15</v>
      </c>
      <c r="H607" s="25"/>
      <c r="I607" s="43">
        <v>0.91500000000000004</v>
      </c>
      <c r="J607" s="44">
        <v>68.400000000000006</v>
      </c>
      <c r="K607" s="45"/>
      <c r="L607" s="45"/>
      <c r="M607" s="44">
        <f t="shared" si="117"/>
        <v>62.59</v>
      </c>
      <c r="N607" s="45"/>
      <c r="O607" s="45"/>
      <c r="P607" s="44">
        <v>68.400000000000006</v>
      </c>
      <c r="Q607" s="45"/>
      <c r="R607" s="45"/>
      <c r="S607" s="44">
        <f t="shared" si="118"/>
        <v>62.59</v>
      </c>
      <c r="T607" s="45"/>
      <c r="U607" s="46"/>
      <c r="V607" s="9">
        <f t="shared" si="119"/>
        <v>57</v>
      </c>
      <c r="Y607" s="9">
        <f t="shared" si="120"/>
        <v>52.16</v>
      </c>
      <c r="AD607" s="4" t="s">
        <v>1623</v>
      </c>
      <c r="AE607" s="4" t="s">
        <v>1621</v>
      </c>
      <c r="AF607" s="4" t="s">
        <v>1437</v>
      </c>
    </row>
    <row r="608" spans="1:35" ht="36" x14ac:dyDescent="0.3">
      <c r="A608" s="17" t="s">
        <v>1624</v>
      </c>
      <c r="B608" s="17"/>
      <c r="C608" s="34" t="s">
        <v>790</v>
      </c>
      <c r="D608" s="19"/>
      <c r="E608" s="19"/>
      <c r="F608" s="35" t="s">
        <v>265</v>
      </c>
      <c r="G608" s="36">
        <v>0.25</v>
      </c>
      <c r="H608" s="19"/>
      <c r="I608" s="48">
        <v>0</v>
      </c>
      <c r="J608" s="38">
        <v>40.270000000000003</v>
      </c>
      <c r="K608" s="39"/>
      <c r="L608" s="39"/>
      <c r="M608" s="38">
        <f t="shared" si="117"/>
        <v>0</v>
      </c>
      <c r="N608" s="39"/>
      <c r="O608" s="39"/>
      <c r="P608" s="38">
        <v>40.270000000000003</v>
      </c>
      <c r="Q608" s="39"/>
      <c r="R608" s="39"/>
      <c r="S608" s="38">
        <f t="shared" si="118"/>
        <v>0</v>
      </c>
      <c r="T608" s="39"/>
      <c r="U608" s="40"/>
      <c r="V608" s="9">
        <f t="shared" si="119"/>
        <v>33.56</v>
      </c>
      <c r="Y608" s="9">
        <f t="shared" si="120"/>
        <v>0</v>
      </c>
      <c r="AD608" s="4" t="s">
        <v>1625</v>
      </c>
      <c r="AE608" s="4" t="s">
        <v>1626</v>
      </c>
      <c r="AF608" s="4" t="s">
        <v>793</v>
      </c>
    </row>
    <row r="609" spans="1:35" ht="36" x14ac:dyDescent="0.3">
      <c r="A609" s="23" t="s">
        <v>1627</v>
      </c>
      <c r="B609" s="23"/>
      <c r="C609" s="41" t="s">
        <v>790</v>
      </c>
      <c r="D609" s="25"/>
      <c r="E609" s="25"/>
      <c r="F609" s="42" t="s">
        <v>265</v>
      </c>
      <c r="G609" s="43">
        <v>0.25</v>
      </c>
      <c r="H609" s="25"/>
      <c r="I609" s="50">
        <v>1.5249999999999999</v>
      </c>
      <c r="J609" s="44">
        <v>40.270000000000003</v>
      </c>
      <c r="K609" s="45"/>
      <c r="L609" s="45"/>
      <c r="M609" s="44">
        <f t="shared" si="117"/>
        <v>61.41</v>
      </c>
      <c r="N609" s="45"/>
      <c r="O609" s="45"/>
      <c r="P609" s="44">
        <v>40.270000000000003</v>
      </c>
      <c r="Q609" s="45"/>
      <c r="R609" s="45"/>
      <c r="S609" s="44">
        <f t="shared" si="118"/>
        <v>61.41</v>
      </c>
      <c r="T609" s="45"/>
      <c r="U609" s="46"/>
      <c r="V609" s="9">
        <f t="shared" si="119"/>
        <v>33.56</v>
      </c>
      <c r="Y609" s="9">
        <f t="shared" si="120"/>
        <v>51.18</v>
      </c>
      <c r="AD609" s="4" t="s">
        <v>1628</v>
      </c>
      <c r="AE609" s="4" t="s">
        <v>1626</v>
      </c>
      <c r="AF609" s="4" t="s">
        <v>793</v>
      </c>
    </row>
    <row r="610" spans="1:35" ht="36" x14ac:dyDescent="0.3">
      <c r="A610" s="17" t="s">
        <v>1629</v>
      </c>
      <c r="B610" s="17"/>
      <c r="C610" s="34" t="s">
        <v>822</v>
      </c>
      <c r="D610" s="19"/>
      <c r="E610" s="19"/>
      <c r="F610" s="35" t="s">
        <v>265</v>
      </c>
      <c r="G610" s="36">
        <v>1.2</v>
      </c>
      <c r="H610" s="19"/>
      <c r="I610" s="48">
        <v>0</v>
      </c>
      <c r="J610" s="38">
        <v>16.96</v>
      </c>
      <c r="K610" s="39"/>
      <c r="L610" s="39"/>
      <c r="M610" s="38">
        <f t="shared" si="117"/>
        <v>0</v>
      </c>
      <c r="N610" s="39"/>
      <c r="O610" s="39"/>
      <c r="P610" s="38">
        <v>16.96</v>
      </c>
      <c r="Q610" s="39"/>
      <c r="R610" s="39"/>
      <c r="S610" s="38">
        <f t="shared" si="118"/>
        <v>0</v>
      </c>
      <c r="T610" s="39"/>
      <c r="U610" s="40"/>
      <c r="V610" s="9">
        <f t="shared" si="119"/>
        <v>14.13</v>
      </c>
      <c r="Y610" s="9">
        <f t="shared" si="120"/>
        <v>0</v>
      </c>
      <c r="AD610" s="4" t="s">
        <v>1630</v>
      </c>
      <c r="AE610" s="4" t="s">
        <v>1631</v>
      </c>
      <c r="AF610" s="4" t="s">
        <v>825</v>
      </c>
    </row>
    <row r="611" spans="1:35" ht="36" x14ac:dyDescent="0.3">
      <c r="A611" s="23" t="s">
        <v>1632</v>
      </c>
      <c r="B611" s="23"/>
      <c r="C611" s="41" t="s">
        <v>822</v>
      </c>
      <c r="D611" s="25"/>
      <c r="E611" s="25"/>
      <c r="F611" s="42" t="s">
        <v>265</v>
      </c>
      <c r="G611" s="43">
        <v>1.2</v>
      </c>
      <c r="H611" s="25"/>
      <c r="I611" s="50">
        <v>7.32</v>
      </c>
      <c r="J611" s="44">
        <v>16.96</v>
      </c>
      <c r="K611" s="45"/>
      <c r="L611" s="45"/>
      <c r="M611" s="44">
        <f t="shared" si="117"/>
        <v>124.15</v>
      </c>
      <c r="N611" s="45"/>
      <c r="O611" s="45"/>
      <c r="P611" s="44">
        <v>16.96</v>
      </c>
      <c r="Q611" s="45"/>
      <c r="R611" s="45"/>
      <c r="S611" s="44">
        <f t="shared" si="118"/>
        <v>124.15</v>
      </c>
      <c r="T611" s="45"/>
      <c r="U611" s="46"/>
      <c r="V611" s="9">
        <f t="shared" si="119"/>
        <v>14.13</v>
      </c>
      <c r="Y611" s="9">
        <f t="shared" si="120"/>
        <v>103.46</v>
      </c>
      <c r="AD611" s="4" t="s">
        <v>1633</v>
      </c>
      <c r="AE611" s="4" t="s">
        <v>1631</v>
      </c>
      <c r="AF611" s="4" t="s">
        <v>825</v>
      </c>
    </row>
    <row r="612" spans="1:35" ht="36" x14ac:dyDescent="0.3">
      <c r="A612" s="17" t="s">
        <v>1634</v>
      </c>
      <c r="B612" s="17"/>
      <c r="C612" s="34" t="s">
        <v>1547</v>
      </c>
      <c r="D612" s="19"/>
      <c r="E612" s="19"/>
      <c r="F612" s="35" t="s">
        <v>59</v>
      </c>
      <c r="G612" s="36">
        <v>1.1000000000000001</v>
      </c>
      <c r="H612" s="19"/>
      <c r="I612" s="48">
        <v>0</v>
      </c>
      <c r="J612" s="38">
        <v>2038.05</v>
      </c>
      <c r="K612" s="39"/>
      <c r="L612" s="39"/>
      <c r="M612" s="38">
        <f t="shared" si="117"/>
        <v>0</v>
      </c>
      <c r="N612" s="39"/>
      <c r="O612" s="39"/>
      <c r="P612" s="38">
        <v>1102.5</v>
      </c>
      <c r="Q612" s="39"/>
      <c r="R612" s="39"/>
      <c r="S612" s="38">
        <f t="shared" si="118"/>
        <v>0</v>
      </c>
      <c r="T612" s="39"/>
      <c r="U612" s="40"/>
      <c r="V612" s="9">
        <f t="shared" si="119"/>
        <v>918.75</v>
      </c>
      <c r="Y612" s="9">
        <f t="shared" si="120"/>
        <v>0</v>
      </c>
      <c r="AD612" s="4" t="s">
        <v>1635</v>
      </c>
      <c r="AE612" s="4" t="s">
        <v>1636</v>
      </c>
      <c r="AF612" s="4" t="s">
        <v>1550</v>
      </c>
    </row>
    <row r="613" spans="1:35" ht="36" x14ac:dyDescent="0.3">
      <c r="A613" s="23" t="s">
        <v>1637</v>
      </c>
      <c r="B613" s="23"/>
      <c r="C613" s="41" t="s">
        <v>1547</v>
      </c>
      <c r="D613" s="25"/>
      <c r="E613" s="25"/>
      <c r="F613" s="42" t="s">
        <v>59</v>
      </c>
      <c r="G613" s="43">
        <v>1.1000000000000001</v>
      </c>
      <c r="H613" s="25"/>
      <c r="I613" s="50">
        <v>6.71</v>
      </c>
      <c r="J613" s="44">
        <v>2038.05</v>
      </c>
      <c r="K613" s="45"/>
      <c r="L613" s="45"/>
      <c r="M613" s="44">
        <f t="shared" si="117"/>
        <v>13675.32</v>
      </c>
      <c r="N613" s="45"/>
      <c r="O613" s="45"/>
      <c r="P613" s="44">
        <v>1102.5</v>
      </c>
      <c r="Q613" s="45"/>
      <c r="R613" s="45"/>
      <c r="S613" s="44">
        <f t="shared" si="118"/>
        <v>7397.78</v>
      </c>
      <c r="T613" s="45"/>
      <c r="U613" s="46"/>
      <c r="V613" s="9">
        <f t="shared" si="119"/>
        <v>918.75</v>
      </c>
      <c r="Y613" s="9">
        <f t="shared" si="120"/>
        <v>6164.82</v>
      </c>
      <c r="AD613" s="4" t="s">
        <v>1638</v>
      </c>
      <c r="AE613" s="4" t="s">
        <v>1636</v>
      </c>
      <c r="AF613" s="4" t="s">
        <v>1550</v>
      </c>
    </row>
    <row r="614" spans="1:35" ht="54" x14ac:dyDescent="0.3">
      <c r="A614" s="51" t="s">
        <v>1639</v>
      </c>
      <c r="B614" s="51" t="s">
        <v>1540</v>
      </c>
      <c r="C614" s="52" t="s">
        <v>1541</v>
      </c>
      <c r="D614" s="53"/>
      <c r="E614" s="53" t="s">
        <v>1545</v>
      </c>
      <c r="F614" s="53" t="s">
        <v>59</v>
      </c>
      <c r="G614" s="54">
        <v>1</v>
      </c>
      <c r="H614" s="53"/>
      <c r="I614" s="54">
        <v>320.39999999999998</v>
      </c>
      <c r="J614" s="55">
        <f>IFERROR(ROUND(SUM(M615,M616,M617,M618)/I614, 2),0)</f>
        <v>2281.54</v>
      </c>
      <c r="K614" s="55">
        <v>2983</v>
      </c>
      <c r="L614" s="55">
        <f>J614+ROUND(K614, 2)</f>
        <v>5264.54</v>
      </c>
      <c r="M614" s="55">
        <f>ROUND(J614*I614, 2)</f>
        <v>731005.42</v>
      </c>
      <c r="N614" s="55">
        <f>ROUND(I614*ROUND(K614, 2), 2)</f>
        <v>955753.2</v>
      </c>
      <c r="O614" s="55">
        <f>M614+N614</f>
        <v>1686758.62</v>
      </c>
      <c r="P614" s="55">
        <f>IFERROR(ROUND(SUM(S615,S616,S617,S618)/I614, 2),0)</f>
        <v>1252.4100000000001</v>
      </c>
      <c r="Q614" s="55">
        <v>4474.5</v>
      </c>
      <c r="R614" s="55">
        <f>P614+ROUND(Q614, 2)</f>
        <v>5726.91</v>
      </c>
      <c r="S614" s="55">
        <f>ROUND(P614*I614, 2)</f>
        <v>401272.16</v>
      </c>
      <c r="T614" s="55">
        <f>ROUND(I614*ROUND(Q614, 2), 2)</f>
        <v>1433629.8</v>
      </c>
      <c r="U614" s="55">
        <f>S614+T614</f>
        <v>1834901.96</v>
      </c>
      <c r="V614" s="9">
        <f>ROUND(P614 / 1.2, 2)</f>
        <v>1043.68</v>
      </c>
      <c r="W614" s="9">
        <f>ROUND(Q614 / 1.2, 2)</f>
        <v>3728.75</v>
      </c>
      <c r="X614" s="9">
        <f>ROUND(R614 / 1.2, 2)</f>
        <v>4772.43</v>
      </c>
      <c r="Y614" s="9">
        <f t="shared" si="120"/>
        <v>334393.46999999997</v>
      </c>
      <c r="Z614" s="9">
        <f>ROUND(T614 / 1.2, 2)</f>
        <v>1194691.5</v>
      </c>
      <c r="AA614" s="9">
        <f>Y614+Z614</f>
        <v>1529084.97</v>
      </c>
      <c r="AD614" s="4">
        <v>304337682</v>
      </c>
      <c r="AE614" s="4">
        <v>21950056</v>
      </c>
      <c r="AG614" s="4" t="s">
        <v>1542</v>
      </c>
      <c r="AH614" s="4" t="s">
        <v>1543</v>
      </c>
      <c r="AI614" s="4" t="s">
        <v>260</v>
      </c>
    </row>
    <row r="615" spans="1:35" ht="72" x14ac:dyDescent="0.3">
      <c r="A615" s="51" t="s">
        <v>1640</v>
      </c>
      <c r="B615" s="51"/>
      <c r="C615" s="47" t="s">
        <v>1547</v>
      </c>
      <c r="D615" s="53"/>
      <c r="E615" s="53" t="s">
        <v>1552</v>
      </c>
      <c r="F615" s="57" t="s">
        <v>59</v>
      </c>
      <c r="G615" s="58">
        <v>1.1000000000000001</v>
      </c>
      <c r="H615" s="53"/>
      <c r="I615" s="62">
        <v>352.44</v>
      </c>
      <c r="J615" s="59">
        <v>2038.06</v>
      </c>
      <c r="K615" s="60"/>
      <c r="L615" s="60"/>
      <c r="M615" s="59">
        <f>ROUND(ROUND(J615, 2)*I615, 2)</f>
        <v>718293.87</v>
      </c>
      <c r="N615" s="60"/>
      <c r="O615" s="60"/>
      <c r="P615" s="59">
        <v>1102.5</v>
      </c>
      <c r="Q615" s="60"/>
      <c r="R615" s="60"/>
      <c r="S615" s="59">
        <f>ROUND(ROUND(P615, 2)*I615, 2)</f>
        <v>388565.1</v>
      </c>
      <c r="T615" s="60"/>
      <c r="U615" s="61"/>
      <c r="V615" s="9">
        <f>ROUND(ROUND(P615, 2)/1.2, 2)</f>
        <v>918.75</v>
      </c>
      <c r="Y615" s="9">
        <f t="shared" si="120"/>
        <v>323804.25</v>
      </c>
      <c r="AD615" s="4" t="s">
        <v>1641</v>
      </c>
      <c r="AE615" s="4" t="s">
        <v>1642</v>
      </c>
      <c r="AF615" s="4" t="s">
        <v>1550</v>
      </c>
    </row>
    <row r="616" spans="1:35" ht="36" x14ac:dyDescent="0.3">
      <c r="A616" s="51" t="s">
        <v>1643</v>
      </c>
      <c r="B616" s="51"/>
      <c r="C616" s="47" t="s">
        <v>822</v>
      </c>
      <c r="D616" s="53"/>
      <c r="E616" s="53"/>
      <c r="F616" s="57" t="s">
        <v>265</v>
      </c>
      <c r="G616" s="58">
        <v>1.2</v>
      </c>
      <c r="H616" s="53"/>
      <c r="I616" s="62">
        <v>384.48</v>
      </c>
      <c r="J616" s="59">
        <v>16.12</v>
      </c>
      <c r="K616" s="60"/>
      <c r="L616" s="60"/>
      <c r="M616" s="59">
        <f>ROUND(ROUND(J616, 2)*I616, 2)</f>
        <v>6197.82</v>
      </c>
      <c r="N616" s="60"/>
      <c r="O616" s="60"/>
      <c r="P616" s="59">
        <v>16.11</v>
      </c>
      <c r="Q616" s="60"/>
      <c r="R616" s="60"/>
      <c r="S616" s="59">
        <f>ROUND(ROUND(P616, 2)*I616, 2)</f>
        <v>6193.97</v>
      </c>
      <c r="T616" s="60"/>
      <c r="U616" s="61"/>
      <c r="V616" s="9">
        <f>ROUND(ROUND(P616, 2)/1.2, 2)</f>
        <v>13.43</v>
      </c>
      <c r="Y616" s="9">
        <f t="shared" si="120"/>
        <v>5161.6400000000003</v>
      </c>
      <c r="AD616" s="4" t="s">
        <v>1644</v>
      </c>
      <c r="AE616" s="4" t="s">
        <v>1645</v>
      </c>
      <c r="AF616" s="4" t="s">
        <v>825</v>
      </c>
    </row>
    <row r="617" spans="1:35" ht="36" x14ac:dyDescent="0.3">
      <c r="A617" s="51" t="s">
        <v>1646</v>
      </c>
      <c r="B617" s="51"/>
      <c r="C617" s="56" t="s">
        <v>790</v>
      </c>
      <c r="D617" s="53"/>
      <c r="E617" s="53"/>
      <c r="F617" s="57" t="s">
        <v>265</v>
      </c>
      <c r="G617" s="58">
        <v>0.25</v>
      </c>
      <c r="H617" s="53"/>
      <c r="I617" s="62">
        <v>80.099999999999994</v>
      </c>
      <c r="J617" s="59">
        <v>40.270000000000003</v>
      </c>
      <c r="K617" s="60"/>
      <c r="L617" s="60"/>
      <c r="M617" s="59">
        <f>ROUND(ROUND(J617, 2)*I617, 2)</f>
        <v>3225.63</v>
      </c>
      <c r="N617" s="60"/>
      <c r="O617" s="60"/>
      <c r="P617" s="59">
        <v>40.270000000000003</v>
      </c>
      <c r="Q617" s="60"/>
      <c r="R617" s="60"/>
      <c r="S617" s="59">
        <f>ROUND(ROUND(P617, 2)*I617, 2)</f>
        <v>3225.63</v>
      </c>
      <c r="T617" s="60"/>
      <c r="U617" s="61"/>
      <c r="V617" s="9">
        <f>ROUND(ROUND(P617, 2)/1.2, 2)</f>
        <v>33.56</v>
      </c>
      <c r="Y617" s="9">
        <f t="shared" si="120"/>
        <v>2688.03</v>
      </c>
      <c r="AD617" s="4" t="s">
        <v>1647</v>
      </c>
      <c r="AE617" s="4" t="s">
        <v>1648</v>
      </c>
      <c r="AF617" s="4" t="s">
        <v>793</v>
      </c>
    </row>
    <row r="618" spans="1:35" ht="36" x14ac:dyDescent="0.3">
      <c r="A618" s="51" t="s">
        <v>1649</v>
      </c>
      <c r="B618" s="51"/>
      <c r="C618" s="56" t="s">
        <v>1434</v>
      </c>
      <c r="D618" s="53"/>
      <c r="E618" s="53"/>
      <c r="F618" s="57" t="s">
        <v>265</v>
      </c>
      <c r="G618" s="58">
        <v>0.15</v>
      </c>
      <c r="H618" s="53"/>
      <c r="I618" s="58">
        <v>48.06</v>
      </c>
      <c r="J618" s="59">
        <v>68.400000000000006</v>
      </c>
      <c r="K618" s="60"/>
      <c r="L618" s="60"/>
      <c r="M618" s="59">
        <f>ROUND(ROUND(J618, 2)*I618, 2)</f>
        <v>3287.3</v>
      </c>
      <c r="N618" s="60"/>
      <c r="O618" s="60"/>
      <c r="P618" s="59">
        <v>68.400000000000006</v>
      </c>
      <c r="Q618" s="60"/>
      <c r="R618" s="60"/>
      <c r="S618" s="59">
        <f>ROUND(ROUND(P618, 2)*I618, 2)</f>
        <v>3287.3</v>
      </c>
      <c r="T618" s="60"/>
      <c r="U618" s="61"/>
      <c r="V618" s="9">
        <f>ROUND(ROUND(P618, 2)/1.2, 2)</f>
        <v>57</v>
      </c>
      <c r="Y618" s="9">
        <f t="shared" si="120"/>
        <v>2739.42</v>
      </c>
      <c r="AD618" s="4" t="s">
        <v>1650</v>
      </c>
      <c r="AE618" s="4" t="s">
        <v>1651</v>
      </c>
      <c r="AF618" s="4" t="s">
        <v>1437</v>
      </c>
    </row>
    <row r="619" spans="1:35" ht="54" x14ac:dyDescent="0.3">
      <c r="A619" s="51" t="s">
        <v>1652</v>
      </c>
      <c r="B619" s="51" t="s">
        <v>1540</v>
      </c>
      <c r="C619" s="52" t="s">
        <v>1541</v>
      </c>
      <c r="D619" s="53"/>
      <c r="E619" s="53" t="s">
        <v>1571</v>
      </c>
      <c r="F619" s="53" t="s">
        <v>59</v>
      </c>
      <c r="G619" s="54">
        <v>1</v>
      </c>
      <c r="H619" s="53"/>
      <c r="I619" s="54">
        <v>249.1</v>
      </c>
      <c r="J619" s="55">
        <f>IFERROR(ROUND(SUM(M620,M621,M622,M623)/I619, 2),0)</f>
        <v>2281.54</v>
      </c>
      <c r="K619" s="55">
        <v>2983</v>
      </c>
      <c r="L619" s="55">
        <f>J619+ROUND(K619, 2)</f>
        <v>5264.54</v>
      </c>
      <c r="M619" s="55">
        <f>ROUND(J619*I619, 2)</f>
        <v>568331.61</v>
      </c>
      <c r="N619" s="55">
        <f>ROUND(I619*ROUND(K619, 2), 2)</f>
        <v>743065.3</v>
      </c>
      <c r="O619" s="55">
        <f>M619+N619</f>
        <v>1311396.9099999999</v>
      </c>
      <c r="P619" s="55">
        <f>IFERROR(ROUND(SUM(S620,S621,S622,S623)/I619, 2),0)</f>
        <v>1252.4100000000001</v>
      </c>
      <c r="Q619" s="55">
        <v>4474.5</v>
      </c>
      <c r="R619" s="55">
        <f>P619+ROUND(Q619, 2)</f>
        <v>5726.91</v>
      </c>
      <c r="S619" s="55">
        <f>ROUND(P619*I619, 2)</f>
        <v>311975.33</v>
      </c>
      <c r="T619" s="55">
        <f>ROUND(I619*ROUND(Q619, 2), 2)</f>
        <v>1114597.95</v>
      </c>
      <c r="U619" s="55">
        <f>S619+T619</f>
        <v>1426573.28</v>
      </c>
      <c r="V619" s="9">
        <f>ROUND(P619 / 1.2, 2)</f>
        <v>1043.68</v>
      </c>
      <c r="W619" s="9">
        <f>ROUND(Q619 / 1.2, 2)</f>
        <v>3728.75</v>
      </c>
      <c r="X619" s="9">
        <f>ROUND(R619 / 1.2, 2)</f>
        <v>4772.43</v>
      </c>
      <c r="Y619" s="9">
        <f t="shared" si="120"/>
        <v>259979.44</v>
      </c>
      <c r="Z619" s="9">
        <f>ROUND(T619 / 1.2, 2)</f>
        <v>928831.63</v>
      </c>
      <c r="AA619" s="9">
        <f>Y619+Z619</f>
        <v>1188811.07</v>
      </c>
      <c r="AD619" s="4">
        <v>304337683</v>
      </c>
      <c r="AE619" s="4">
        <v>21950045</v>
      </c>
      <c r="AG619" s="4" t="s">
        <v>1542</v>
      </c>
      <c r="AH619" s="4" t="s">
        <v>1543</v>
      </c>
      <c r="AI619" s="4" t="s">
        <v>260</v>
      </c>
    </row>
    <row r="620" spans="1:35" ht="36" x14ac:dyDescent="0.3">
      <c r="A620" s="51" t="s">
        <v>1653</v>
      </c>
      <c r="B620" s="51"/>
      <c r="C620" s="56" t="s">
        <v>1434</v>
      </c>
      <c r="D620" s="53"/>
      <c r="E620" s="53"/>
      <c r="F620" s="57" t="s">
        <v>265</v>
      </c>
      <c r="G620" s="58">
        <v>0.15</v>
      </c>
      <c r="H620" s="53"/>
      <c r="I620" s="58">
        <v>37.365000000000002</v>
      </c>
      <c r="J620" s="59">
        <v>68.400000000000006</v>
      </c>
      <c r="K620" s="60"/>
      <c r="L620" s="60"/>
      <c r="M620" s="59">
        <f>ROUND(ROUND(J620, 2)*I620, 2)</f>
        <v>2555.77</v>
      </c>
      <c r="N620" s="60"/>
      <c r="O620" s="60"/>
      <c r="P620" s="59">
        <v>68.400000000000006</v>
      </c>
      <c r="Q620" s="60"/>
      <c r="R620" s="60"/>
      <c r="S620" s="59">
        <f>ROUND(ROUND(P620, 2)*I620, 2)</f>
        <v>2555.77</v>
      </c>
      <c r="T620" s="60"/>
      <c r="U620" s="61"/>
      <c r="V620" s="9">
        <f>ROUND(ROUND(P620, 2)/1.2, 2)</f>
        <v>57</v>
      </c>
      <c r="Y620" s="9">
        <f t="shared" si="120"/>
        <v>2129.81</v>
      </c>
      <c r="AD620" s="4" t="s">
        <v>1654</v>
      </c>
      <c r="AE620" s="4" t="s">
        <v>1655</v>
      </c>
      <c r="AF620" s="4" t="s">
        <v>1437</v>
      </c>
    </row>
    <row r="621" spans="1:35" ht="36" x14ac:dyDescent="0.3">
      <c r="A621" s="51" t="s">
        <v>1656</v>
      </c>
      <c r="B621" s="51"/>
      <c r="C621" s="56" t="s">
        <v>790</v>
      </c>
      <c r="D621" s="53"/>
      <c r="E621" s="53"/>
      <c r="F621" s="57" t="s">
        <v>265</v>
      </c>
      <c r="G621" s="58">
        <v>0.25</v>
      </c>
      <c r="H621" s="53"/>
      <c r="I621" s="62">
        <v>62.274999999999999</v>
      </c>
      <c r="J621" s="59">
        <v>40.270000000000003</v>
      </c>
      <c r="K621" s="60"/>
      <c r="L621" s="60"/>
      <c r="M621" s="59">
        <f>ROUND(ROUND(J621, 2)*I621, 2)</f>
        <v>2507.81</v>
      </c>
      <c r="N621" s="60"/>
      <c r="O621" s="60"/>
      <c r="P621" s="59">
        <v>40.270000000000003</v>
      </c>
      <c r="Q621" s="60"/>
      <c r="R621" s="60"/>
      <c r="S621" s="59">
        <f>ROUND(ROUND(P621, 2)*I621, 2)</f>
        <v>2507.81</v>
      </c>
      <c r="T621" s="60"/>
      <c r="U621" s="61"/>
      <c r="V621" s="9">
        <f>ROUND(ROUND(P621, 2)/1.2, 2)</f>
        <v>33.56</v>
      </c>
      <c r="Y621" s="9">
        <f t="shared" si="120"/>
        <v>2089.84</v>
      </c>
      <c r="AD621" s="4" t="s">
        <v>1657</v>
      </c>
      <c r="AE621" s="4" t="s">
        <v>1658</v>
      </c>
      <c r="AF621" s="4" t="s">
        <v>793</v>
      </c>
    </row>
    <row r="622" spans="1:35" ht="36" x14ac:dyDescent="0.3">
      <c r="A622" s="51" t="s">
        <v>1659</v>
      </c>
      <c r="B622" s="51"/>
      <c r="C622" s="47" t="s">
        <v>822</v>
      </c>
      <c r="D622" s="53"/>
      <c r="E622" s="53"/>
      <c r="F622" s="57" t="s">
        <v>265</v>
      </c>
      <c r="G622" s="58">
        <v>1.2</v>
      </c>
      <c r="H622" s="53"/>
      <c r="I622" s="62">
        <v>298.92</v>
      </c>
      <c r="J622" s="59">
        <v>16.12</v>
      </c>
      <c r="K622" s="60"/>
      <c r="L622" s="60"/>
      <c r="M622" s="59">
        <f>ROUND(ROUND(J622, 2)*I622, 2)</f>
        <v>4818.59</v>
      </c>
      <c r="N622" s="60"/>
      <c r="O622" s="60"/>
      <c r="P622" s="59">
        <v>16.11</v>
      </c>
      <c r="Q622" s="60"/>
      <c r="R622" s="60"/>
      <c r="S622" s="59">
        <f>ROUND(ROUND(P622, 2)*I622, 2)</f>
        <v>4815.6000000000004</v>
      </c>
      <c r="T622" s="60"/>
      <c r="U622" s="61"/>
      <c r="V622" s="9">
        <f>ROUND(ROUND(P622, 2)/1.2, 2)</f>
        <v>13.43</v>
      </c>
      <c r="Y622" s="9">
        <f t="shared" si="120"/>
        <v>4013</v>
      </c>
      <c r="AD622" s="4" t="s">
        <v>1660</v>
      </c>
      <c r="AE622" s="4" t="s">
        <v>1661</v>
      </c>
      <c r="AF622" s="4" t="s">
        <v>825</v>
      </c>
    </row>
    <row r="623" spans="1:35" ht="72" x14ac:dyDescent="0.3">
      <c r="A623" s="51" t="s">
        <v>1662</v>
      </c>
      <c r="B623" s="51"/>
      <c r="C623" s="47" t="s">
        <v>1547</v>
      </c>
      <c r="D623" s="53"/>
      <c r="E623" s="53" t="s">
        <v>1591</v>
      </c>
      <c r="F623" s="57" t="s">
        <v>59</v>
      </c>
      <c r="G623" s="58">
        <v>1.1000000000000001</v>
      </c>
      <c r="H623" s="53"/>
      <c r="I623" s="62">
        <v>274.01</v>
      </c>
      <c r="J623" s="59">
        <v>2038.06</v>
      </c>
      <c r="K623" s="60"/>
      <c r="L623" s="60"/>
      <c r="M623" s="59">
        <f>ROUND(ROUND(J623, 2)*I623, 2)</f>
        <v>558448.81999999995</v>
      </c>
      <c r="N623" s="60"/>
      <c r="O623" s="60"/>
      <c r="P623" s="59">
        <v>1102.5</v>
      </c>
      <c r="Q623" s="60"/>
      <c r="R623" s="60"/>
      <c r="S623" s="59">
        <f>ROUND(ROUND(P623, 2)*I623, 2)</f>
        <v>302096.03000000003</v>
      </c>
      <c r="T623" s="60"/>
      <c r="U623" s="61"/>
      <c r="V623" s="9">
        <f>ROUND(ROUND(P623, 2)/1.2, 2)</f>
        <v>918.75</v>
      </c>
      <c r="Y623" s="9">
        <f t="shared" si="120"/>
        <v>251746.69</v>
      </c>
      <c r="AD623" s="4" t="s">
        <v>1663</v>
      </c>
      <c r="AE623" s="4" t="s">
        <v>1664</v>
      </c>
      <c r="AF623" s="4" t="s">
        <v>1550</v>
      </c>
    </row>
    <row r="624" spans="1:35" ht="54" x14ac:dyDescent="0.3">
      <c r="A624" s="51" t="s">
        <v>1665</v>
      </c>
      <c r="B624" s="51" t="s">
        <v>1540</v>
      </c>
      <c r="C624" s="52" t="s">
        <v>1541</v>
      </c>
      <c r="D624" s="53"/>
      <c r="E624" s="53" t="s">
        <v>1595</v>
      </c>
      <c r="F624" s="53" t="s">
        <v>59</v>
      </c>
      <c r="G624" s="54">
        <v>1</v>
      </c>
      <c r="H624" s="53"/>
      <c r="I624" s="54">
        <v>238.4</v>
      </c>
      <c r="J624" s="55">
        <f>IFERROR(ROUND(SUM(M625,M626,M627,M628)/I624, 2),0)</f>
        <v>2281.54</v>
      </c>
      <c r="K624" s="55">
        <v>2983</v>
      </c>
      <c r="L624" s="55">
        <f>J624+ROUND(K624, 2)</f>
        <v>5264.54</v>
      </c>
      <c r="M624" s="55">
        <f>ROUND(J624*I624, 2)</f>
        <v>543919.14</v>
      </c>
      <c r="N624" s="55">
        <f>ROUND(I624*ROUND(K624, 2), 2)</f>
        <v>711147.2</v>
      </c>
      <c r="O624" s="55">
        <f>M624+N624</f>
        <v>1255066.3400000001</v>
      </c>
      <c r="P624" s="55">
        <f>IFERROR(ROUND(SUM(S625,S626,S627,S628)/I624, 2),0)</f>
        <v>1252.4100000000001</v>
      </c>
      <c r="Q624" s="55">
        <v>4474.5</v>
      </c>
      <c r="R624" s="55">
        <f>P624+ROUND(Q624, 2)</f>
        <v>5726.91</v>
      </c>
      <c r="S624" s="55">
        <f>ROUND(P624*I624, 2)</f>
        <v>298574.53999999998</v>
      </c>
      <c r="T624" s="55">
        <f>ROUND(I624*ROUND(Q624, 2), 2)</f>
        <v>1066720.8</v>
      </c>
      <c r="U624" s="55">
        <f>S624+T624</f>
        <v>1365295.34</v>
      </c>
      <c r="V624" s="9">
        <f>ROUND(P624 / 1.2, 2)</f>
        <v>1043.68</v>
      </c>
      <c r="W624" s="9">
        <f>ROUND(Q624 / 1.2, 2)</f>
        <v>3728.75</v>
      </c>
      <c r="X624" s="9">
        <f>ROUND(R624 / 1.2, 2)</f>
        <v>4772.43</v>
      </c>
      <c r="Y624" s="9">
        <f t="shared" si="120"/>
        <v>248812.12</v>
      </c>
      <c r="Z624" s="9">
        <f>ROUND(T624 / 1.2, 2)</f>
        <v>888934</v>
      </c>
      <c r="AA624" s="9">
        <f>Y624+Z624</f>
        <v>1137746.1200000001</v>
      </c>
      <c r="AD624" s="4">
        <v>304337684</v>
      </c>
      <c r="AE624" s="4">
        <v>21950047</v>
      </c>
      <c r="AG624" s="4" t="s">
        <v>1542</v>
      </c>
      <c r="AH624" s="4" t="s">
        <v>1543</v>
      </c>
      <c r="AI624" s="4" t="s">
        <v>260</v>
      </c>
    </row>
    <row r="625" spans="1:35" ht="72" x14ac:dyDescent="0.3">
      <c r="A625" s="51" t="s">
        <v>1666</v>
      </c>
      <c r="B625" s="51"/>
      <c r="C625" s="47" t="s">
        <v>1547</v>
      </c>
      <c r="D625" s="53"/>
      <c r="E625" s="53" t="s">
        <v>911</v>
      </c>
      <c r="F625" s="57" t="s">
        <v>59</v>
      </c>
      <c r="G625" s="58">
        <v>1.1000000000000001</v>
      </c>
      <c r="H625" s="53"/>
      <c r="I625" s="62">
        <v>262.24</v>
      </c>
      <c r="J625" s="59">
        <v>2038.06</v>
      </c>
      <c r="K625" s="60"/>
      <c r="L625" s="60"/>
      <c r="M625" s="59">
        <f>ROUND(ROUND(J625, 2)*I625, 2)</f>
        <v>534460.85</v>
      </c>
      <c r="N625" s="60"/>
      <c r="O625" s="60"/>
      <c r="P625" s="59">
        <v>1102.5</v>
      </c>
      <c r="Q625" s="60"/>
      <c r="R625" s="60"/>
      <c r="S625" s="59">
        <f>ROUND(ROUND(P625, 2)*I625, 2)</f>
        <v>289119.59999999998</v>
      </c>
      <c r="T625" s="60"/>
      <c r="U625" s="61"/>
      <c r="V625" s="9">
        <f>ROUND(ROUND(P625, 2)/1.2, 2)</f>
        <v>918.75</v>
      </c>
      <c r="Y625" s="9">
        <f t="shared" si="120"/>
        <v>240933</v>
      </c>
      <c r="AD625" s="4" t="s">
        <v>1667</v>
      </c>
      <c r="AE625" s="4" t="s">
        <v>1668</v>
      </c>
      <c r="AF625" s="4" t="s">
        <v>1550</v>
      </c>
    </row>
    <row r="626" spans="1:35" ht="36" x14ac:dyDescent="0.3">
      <c r="A626" s="51" t="s">
        <v>1669</v>
      </c>
      <c r="B626" s="51"/>
      <c r="C626" s="47" t="s">
        <v>822</v>
      </c>
      <c r="D626" s="53"/>
      <c r="E626" s="53"/>
      <c r="F626" s="57" t="s">
        <v>265</v>
      </c>
      <c r="G626" s="58">
        <v>1.2</v>
      </c>
      <c r="H626" s="53"/>
      <c r="I626" s="62">
        <v>286.08</v>
      </c>
      <c r="J626" s="59">
        <v>16.12</v>
      </c>
      <c r="K626" s="60"/>
      <c r="L626" s="60"/>
      <c r="M626" s="59">
        <f>ROUND(ROUND(J626, 2)*I626, 2)</f>
        <v>4611.6099999999997</v>
      </c>
      <c r="N626" s="60"/>
      <c r="O626" s="60"/>
      <c r="P626" s="59">
        <v>16.11</v>
      </c>
      <c r="Q626" s="60"/>
      <c r="R626" s="60"/>
      <c r="S626" s="59">
        <f>ROUND(ROUND(P626, 2)*I626, 2)</f>
        <v>4608.75</v>
      </c>
      <c r="T626" s="60"/>
      <c r="U626" s="61"/>
      <c r="V626" s="9">
        <f>ROUND(ROUND(P626, 2)/1.2, 2)</f>
        <v>13.43</v>
      </c>
      <c r="Y626" s="9">
        <f t="shared" si="120"/>
        <v>3840.63</v>
      </c>
      <c r="AD626" s="4" t="s">
        <v>1670</v>
      </c>
      <c r="AE626" s="4" t="s">
        <v>1671</v>
      </c>
      <c r="AF626" s="4" t="s">
        <v>825</v>
      </c>
    </row>
    <row r="627" spans="1:35" ht="36" x14ac:dyDescent="0.3">
      <c r="A627" s="51" t="s">
        <v>1672</v>
      </c>
      <c r="B627" s="51"/>
      <c r="C627" s="56" t="s">
        <v>790</v>
      </c>
      <c r="D627" s="53"/>
      <c r="E627" s="53"/>
      <c r="F627" s="57" t="s">
        <v>265</v>
      </c>
      <c r="G627" s="58">
        <v>0.25</v>
      </c>
      <c r="H627" s="53"/>
      <c r="I627" s="62">
        <v>59.6</v>
      </c>
      <c r="J627" s="59">
        <v>40.270000000000003</v>
      </c>
      <c r="K627" s="60"/>
      <c r="L627" s="60"/>
      <c r="M627" s="59">
        <f>ROUND(ROUND(J627, 2)*I627, 2)</f>
        <v>2400.09</v>
      </c>
      <c r="N627" s="60"/>
      <c r="O627" s="60"/>
      <c r="P627" s="59">
        <v>40.270000000000003</v>
      </c>
      <c r="Q627" s="60"/>
      <c r="R627" s="60"/>
      <c r="S627" s="59">
        <f>ROUND(ROUND(P627, 2)*I627, 2)</f>
        <v>2400.09</v>
      </c>
      <c r="T627" s="60"/>
      <c r="U627" s="61"/>
      <c r="V627" s="9">
        <f>ROUND(ROUND(P627, 2)/1.2, 2)</f>
        <v>33.56</v>
      </c>
      <c r="Y627" s="9">
        <f t="shared" si="120"/>
        <v>2000.08</v>
      </c>
      <c r="AD627" s="4" t="s">
        <v>1673</v>
      </c>
      <c r="AE627" s="4" t="s">
        <v>1674</v>
      </c>
      <c r="AF627" s="4" t="s">
        <v>793</v>
      </c>
    </row>
    <row r="628" spans="1:35" ht="36" x14ac:dyDescent="0.3">
      <c r="A628" s="51" t="s">
        <v>1675</v>
      </c>
      <c r="B628" s="51"/>
      <c r="C628" s="56" t="s">
        <v>1434</v>
      </c>
      <c r="D628" s="53"/>
      <c r="E628" s="53"/>
      <c r="F628" s="57" t="s">
        <v>265</v>
      </c>
      <c r="G628" s="58">
        <v>0.15</v>
      </c>
      <c r="H628" s="53"/>
      <c r="I628" s="58">
        <v>35.76</v>
      </c>
      <c r="J628" s="59">
        <v>68.400000000000006</v>
      </c>
      <c r="K628" s="60"/>
      <c r="L628" s="60"/>
      <c r="M628" s="59">
        <f>ROUND(ROUND(J628, 2)*I628, 2)</f>
        <v>2445.98</v>
      </c>
      <c r="N628" s="60"/>
      <c r="O628" s="60"/>
      <c r="P628" s="59">
        <v>68.400000000000006</v>
      </c>
      <c r="Q628" s="60"/>
      <c r="R628" s="60"/>
      <c r="S628" s="59">
        <f>ROUND(ROUND(P628, 2)*I628, 2)</f>
        <v>2445.98</v>
      </c>
      <c r="T628" s="60"/>
      <c r="U628" s="61"/>
      <c r="V628" s="9">
        <f>ROUND(ROUND(P628, 2)/1.2, 2)</f>
        <v>57</v>
      </c>
      <c r="Y628" s="9">
        <f t="shared" si="120"/>
        <v>2038.32</v>
      </c>
      <c r="AD628" s="4" t="s">
        <v>1676</v>
      </c>
      <c r="AE628" s="4" t="s">
        <v>1677</v>
      </c>
      <c r="AF628" s="4" t="s">
        <v>1437</v>
      </c>
    </row>
    <row r="629" spans="1:35" ht="54" x14ac:dyDescent="0.3">
      <c r="A629" s="51" t="s">
        <v>1678</v>
      </c>
      <c r="B629" s="51" t="s">
        <v>1540</v>
      </c>
      <c r="C629" s="52" t="s">
        <v>1541</v>
      </c>
      <c r="D629" s="53"/>
      <c r="E629" s="53" t="s">
        <v>1618</v>
      </c>
      <c r="F629" s="53" t="s">
        <v>59</v>
      </c>
      <c r="G629" s="54">
        <v>1</v>
      </c>
      <c r="H629" s="53"/>
      <c r="I629" s="54">
        <v>6.1</v>
      </c>
      <c r="J629" s="55">
        <f>IFERROR(ROUND(SUM(M630,M631,M632,M633)/I629, 2),0)</f>
        <v>2281.54</v>
      </c>
      <c r="K629" s="55">
        <v>2983</v>
      </c>
      <c r="L629" s="55">
        <f>J629+ROUND(K629, 2)</f>
        <v>5264.54</v>
      </c>
      <c r="M629" s="55">
        <f>ROUND(J629*I629, 2)</f>
        <v>13917.39</v>
      </c>
      <c r="N629" s="55">
        <f>ROUND(I629*ROUND(K629, 2), 2)</f>
        <v>18196.3</v>
      </c>
      <c r="O629" s="55">
        <f>M629+N629</f>
        <v>32113.69</v>
      </c>
      <c r="P629" s="55">
        <f>IFERROR(ROUND(SUM(S630,S631,S632,S633)/I629, 2),0)</f>
        <v>1252.4100000000001</v>
      </c>
      <c r="Q629" s="55">
        <v>4474.5</v>
      </c>
      <c r="R629" s="55">
        <f>P629+ROUND(Q629, 2)</f>
        <v>5726.91</v>
      </c>
      <c r="S629" s="55">
        <f>ROUND(P629*I629, 2)</f>
        <v>7639.7</v>
      </c>
      <c r="T629" s="55">
        <f>ROUND(I629*ROUND(Q629, 2), 2)</f>
        <v>27294.45</v>
      </c>
      <c r="U629" s="55">
        <f>S629+T629</f>
        <v>34934.15</v>
      </c>
      <c r="V629" s="9">
        <f>ROUND(P629 / 1.2, 2)</f>
        <v>1043.68</v>
      </c>
      <c r="W629" s="9">
        <f>ROUND(Q629 / 1.2, 2)</f>
        <v>3728.75</v>
      </c>
      <c r="X629" s="9">
        <f>ROUND(R629 / 1.2, 2)</f>
        <v>4772.43</v>
      </c>
      <c r="Y629" s="9">
        <f t="shared" si="120"/>
        <v>6366.42</v>
      </c>
      <c r="Z629" s="9">
        <f>ROUND(T629 / 1.2, 2)</f>
        <v>22745.38</v>
      </c>
      <c r="AA629" s="9">
        <f>Y629+Z629</f>
        <v>29111.8</v>
      </c>
      <c r="AD629" s="4">
        <v>304337685</v>
      </c>
      <c r="AE629" s="4">
        <v>21950054</v>
      </c>
      <c r="AG629" s="4" t="s">
        <v>1542</v>
      </c>
      <c r="AH629" s="4" t="s">
        <v>1543</v>
      </c>
      <c r="AI629" s="4" t="s">
        <v>260</v>
      </c>
    </row>
    <row r="630" spans="1:35" ht="36" x14ac:dyDescent="0.3">
      <c r="A630" s="51" t="s">
        <v>1679</v>
      </c>
      <c r="B630" s="51"/>
      <c r="C630" s="56" t="s">
        <v>1434</v>
      </c>
      <c r="D630" s="53"/>
      <c r="E630" s="53"/>
      <c r="F630" s="57" t="s">
        <v>265</v>
      </c>
      <c r="G630" s="58">
        <v>0.15</v>
      </c>
      <c r="H630" s="53"/>
      <c r="I630" s="58">
        <v>0.91500000000000004</v>
      </c>
      <c r="J630" s="59">
        <v>68.400000000000006</v>
      </c>
      <c r="K630" s="60"/>
      <c r="L630" s="60"/>
      <c r="M630" s="59">
        <f>ROUND(ROUND(J630, 2)*I630, 2)</f>
        <v>62.59</v>
      </c>
      <c r="N630" s="60"/>
      <c r="O630" s="60"/>
      <c r="P630" s="59">
        <v>68.400000000000006</v>
      </c>
      <c r="Q630" s="60"/>
      <c r="R630" s="60"/>
      <c r="S630" s="59">
        <f>ROUND(ROUND(P630, 2)*I630, 2)</f>
        <v>62.59</v>
      </c>
      <c r="T630" s="60"/>
      <c r="U630" s="61"/>
      <c r="V630" s="9">
        <f>ROUND(ROUND(P630, 2)/1.2, 2)</f>
        <v>57</v>
      </c>
      <c r="Y630" s="9">
        <f t="shared" si="120"/>
        <v>52.16</v>
      </c>
      <c r="AD630" s="4" t="s">
        <v>1680</v>
      </c>
      <c r="AE630" s="4" t="s">
        <v>1681</v>
      </c>
      <c r="AF630" s="4" t="s">
        <v>1437</v>
      </c>
    </row>
    <row r="631" spans="1:35" ht="36" x14ac:dyDescent="0.3">
      <c r="A631" s="51" t="s">
        <v>1682</v>
      </c>
      <c r="B631" s="51"/>
      <c r="C631" s="56" t="s">
        <v>790</v>
      </c>
      <c r="D631" s="53"/>
      <c r="E631" s="53"/>
      <c r="F631" s="57" t="s">
        <v>265</v>
      </c>
      <c r="G631" s="58">
        <v>0.25</v>
      </c>
      <c r="H631" s="53"/>
      <c r="I631" s="62">
        <v>1.5249999999999999</v>
      </c>
      <c r="J631" s="59">
        <v>40.270000000000003</v>
      </c>
      <c r="K631" s="60"/>
      <c r="L631" s="60"/>
      <c r="M631" s="59">
        <f>ROUND(ROUND(J631, 2)*I631, 2)</f>
        <v>61.41</v>
      </c>
      <c r="N631" s="60"/>
      <c r="O631" s="60"/>
      <c r="P631" s="59">
        <v>40.270000000000003</v>
      </c>
      <c r="Q631" s="60"/>
      <c r="R631" s="60"/>
      <c r="S631" s="59">
        <f>ROUND(ROUND(P631, 2)*I631, 2)</f>
        <v>61.41</v>
      </c>
      <c r="T631" s="60"/>
      <c r="U631" s="61"/>
      <c r="V631" s="9">
        <f>ROUND(ROUND(P631, 2)/1.2, 2)</f>
        <v>33.56</v>
      </c>
      <c r="Y631" s="9">
        <f t="shared" si="120"/>
        <v>51.18</v>
      </c>
      <c r="AD631" s="4" t="s">
        <v>1683</v>
      </c>
      <c r="AE631" s="4" t="s">
        <v>1684</v>
      </c>
      <c r="AF631" s="4" t="s">
        <v>793</v>
      </c>
    </row>
    <row r="632" spans="1:35" ht="36" x14ac:dyDescent="0.3">
      <c r="A632" s="51" t="s">
        <v>1685</v>
      </c>
      <c r="B632" s="51"/>
      <c r="C632" s="47" t="s">
        <v>822</v>
      </c>
      <c r="D632" s="53"/>
      <c r="E632" s="53"/>
      <c r="F632" s="57" t="s">
        <v>265</v>
      </c>
      <c r="G632" s="58">
        <v>1.2</v>
      </c>
      <c r="H632" s="53"/>
      <c r="I632" s="62">
        <v>7.32</v>
      </c>
      <c r="J632" s="59">
        <v>16.12</v>
      </c>
      <c r="K632" s="60"/>
      <c r="L632" s="60"/>
      <c r="M632" s="59">
        <f>ROUND(ROUND(J632, 2)*I632, 2)</f>
        <v>118</v>
      </c>
      <c r="N632" s="60"/>
      <c r="O632" s="60"/>
      <c r="P632" s="59">
        <v>16.11</v>
      </c>
      <c r="Q632" s="60"/>
      <c r="R632" s="60"/>
      <c r="S632" s="59">
        <f>ROUND(ROUND(P632, 2)*I632, 2)</f>
        <v>117.93</v>
      </c>
      <c r="T632" s="60"/>
      <c r="U632" s="61"/>
      <c r="V632" s="9">
        <f>ROUND(ROUND(P632, 2)/1.2, 2)</f>
        <v>13.43</v>
      </c>
      <c r="Y632" s="9">
        <f t="shared" si="120"/>
        <v>98.28</v>
      </c>
      <c r="AD632" s="4" t="s">
        <v>1686</v>
      </c>
      <c r="AE632" s="4" t="s">
        <v>1687</v>
      </c>
      <c r="AF632" s="4" t="s">
        <v>825</v>
      </c>
    </row>
    <row r="633" spans="1:35" ht="36" x14ac:dyDescent="0.3">
      <c r="A633" s="51" t="s">
        <v>1688</v>
      </c>
      <c r="B633" s="51"/>
      <c r="C633" s="47" t="s">
        <v>1547</v>
      </c>
      <c r="D633" s="53"/>
      <c r="E633" s="53"/>
      <c r="F633" s="57" t="s">
        <v>59</v>
      </c>
      <c r="G633" s="58">
        <v>1.1000000000000001</v>
      </c>
      <c r="H633" s="53"/>
      <c r="I633" s="62">
        <v>6.71</v>
      </c>
      <c r="J633" s="59">
        <v>2038.06</v>
      </c>
      <c r="K633" s="60"/>
      <c r="L633" s="60"/>
      <c r="M633" s="59">
        <f>ROUND(ROUND(J633, 2)*I633, 2)</f>
        <v>13675.38</v>
      </c>
      <c r="N633" s="60"/>
      <c r="O633" s="60"/>
      <c r="P633" s="59">
        <v>1102.5</v>
      </c>
      <c r="Q633" s="60"/>
      <c r="R633" s="60"/>
      <c r="S633" s="59">
        <f>ROUND(ROUND(P633, 2)*I633, 2)</f>
        <v>7397.78</v>
      </c>
      <c r="T633" s="60"/>
      <c r="U633" s="61"/>
      <c r="V633" s="9">
        <f>ROUND(ROUND(P633, 2)/1.2, 2)</f>
        <v>918.75</v>
      </c>
      <c r="Y633" s="9">
        <f t="shared" si="120"/>
        <v>6164.82</v>
      </c>
      <c r="AD633" s="4" t="s">
        <v>1689</v>
      </c>
      <c r="AE633" s="4" t="s">
        <v>1690</v>
      </c>
      <c r="AF633" s="4" t="s">
        <v>1550</v>
      </c>
    </row>
    <row r="634" spans="1:35" ht="16.95" customHeight="1" x14ac:dyDescent="0.3">
      <c r="A634" s="10" t="s">
        <v>1691</v>
      </c>
      <c r="B634" s="10" t="s">
        <v>1692</v>
      </c>
      <c r="C634" s="153" t="s">
        <v>1693</v>
      </c>
      <c r="D634" s="154"/>
      <c r="E634" s="154"/>
      <c r="F634" s="154"/>
      <c r="G634" s="154"/>
      <c r="H634" s="154"/>
      <c r="I634" s="155"/>
      <c r="M634" s="6">
        <f>SUM(M635,M645,M655,M660)</f>
        <v>294158.3</v>
      </c>
      <c r="N634" s="6">
        <f>SUM(N635,N645,N655,N660)</f>
        <v>704676.7</v>
      </c>
      <c r="O634" s="6">
        <f>SUM(O635,O645,O655,O660)</f>
        <v>998835</v>
      </c>
      <c r="S634" s="6">
        <f>SUM(S635,S645,S655,S660)</f>
        <v>411347.02</v>
      </c>
      <c r="T634" s="6">
        <f>SUM(T635,T645,T655,T660)</f>
        <v>1057015.05</v>
      </c>
      <c r="U634" s="6">
        <f>SUM(U635,U645,U655,U660)</f>
        <v>1468362.07</v>
      </c>
      <c r="Y634" s="9">
        <f>SUM(Y635,Y645,Y655,Y660)</f>
        <v>342789.19</v>
      </c>
      <c r="Z634" s="9">
        <f>SUM(Z635,Z645,Z655,Z660)</f>
        <v>880845.88</v>
      </c>
      <c r="AA634" s="9">
        <f>SUM(AA635,AA645,AA655,AA660)</f>
        <v>1223635.07</v>
      </c>
      <c r="AD634" s="4">
        <v>304337572</v>
      </c>
      <c r="AE634" s="4">
        <v>20338501</v>
      </c>
    </row>
    <row r="635" spans="1:35" ht="36" x14ac:dyDescent="0.3">
      <c r="A635" s="17" t="s">
        <v>1694</v>
      </c>
      <c r="B635" s="17" t="s">
        <v>1695</v>
      </c>
      <c r="C635" s="18" t="s">
        <v>1696</v>
      </c>
      <c r="D635" s="19"/>
      <c r="E635" s="19"/>
      <c r="F635" s="19" t="s">
        <v>59</v>
      </c>
      <c r="G635" s="20">
        <v>1</v>
      </c>
      <c r="H635" s="19"/>
      <c r="I635" s="21">
        <v>0</v>
      </c>
      <c r="J635" s="22">
        <f>IFERROR(ROUND(SUM(M637,M639,M641,M643)/I635, 2),0)</f>
        <v>0</v>
      </c>
      <c r="K635" s="22">
        <v>1477</v>
      </c>
      <c r="L635" s="22">
        <f>J635+ROUND(K635, 2)</f>
        <v>1477</v>
      </c>
      <c r="M635" s="22">
        <f>ROUND(J635*I635, 2)</f>
        <v>0</v>
      </c>
      <c r="N635" s="22">
        <f>ROUND(I635*ROUND(K635, 2), 2)</f>
        <v>0</v>
      </c>
      <c r="O635" s="22">
        <f>M635+N635</f>
        <v>0</v>
      </c>
      <c r="P635" s="22">
        <f>IFERROR(ROUND(SUM(S637,S639,S641,S643)/I635, 2),0)</f>
        <v>0</v>
      </c>
      <c r="Q635" s="22">
        <v>1477</v>
      </c>
      <c r="R635" s="22">
        <f>P635+ROUND(Q635, 2)</f>
        <v>1477</v>
      </c>
      <c r="S635" s="22">
        <f>ROUND(P635*I635, 2)</f>
        <v>0</v>
      </c>
      <c r="T635" s="22">
        <f>ROUND(I635*ROUND(Q635, 2), 2)</f>
        <v>0</v>
      </c>
      <c r="U635" s="22">
        <f>S635+T635</f>
        <v>0</v>
      </c>
      <c r="V635" s="9">
        <f>ROUND(P635 / 1.2, 2)</f>
        <v>0</v>
      </c>
      <c r="W635" s="9">
        <f>ROUND(Q635 / 1.2, 2)</f>
        <v>1230.83</v>
      </c>
      <c r="X635" s="9">
        <f>ROUND(R635 / 1.2, 2)</f>
        <v>1230.83</v>
      </c>
      <c r="Y635" s="9">
        <f>ROUND(S635 / 1.2, 2)</f>
        <v>0</v>
      </c>
      <c r="Z635" s="9">
        <f>ROUND(T635 / 1.2, 2)</f>
        <v>0</v>
      </c>
      <c r="AA635" s="9">
        <f>Y635+Z635</f>
        <v>0</v>
      </c>
      <c r="AD635" s="4">
        <v>304337574</v>
      </c>
      <c r="AE635" s="4">
        <v>20343922</v>
      </c>
      <c r="AG635" s="4" t="s">
        <v>1697</v>
      </c>
      <c r="AH635" s="4" t="s">
        <v>1698</v>
      </c>
      <c r="AI635" s="4" t="s">
        <v>260</v>
      </c>
    </row>
    <row r="636" spans="1:35" ht="90" x14ac:dyDescent="0.3">
      <c r="A636" s="23" t="s">
        <v>1699</v>
      </c>
      <c r="B636" s="23" t="s">
        <v>1695</v>
      </c>
      <c r="C636" s="24" t="s">
        <v>1696</v>
      </c>
      <c r="D636" s="25"/>
      <c r="E636" s="25" t="s">
        <v>1700</v>
      </c>
      <c r="F636" s="25" t="s">
        <v>59</v>
      </c>
      <c r="G636" s="26">
        <v>1</v>
      </c>
      <c r="H636" s="25"/>
      <c r="I636" s="26">
        <v>118.4</v>
      </c>
      <c r="J636" s="27">
        <v>0</v>
      </c>
      <c r="K636" s="27">
        <v>1477</v>
      </c>
      <c r="L636" s="27"/>
      <c r="M636" s="27">
        <v>0</v>
      </c>
      <c r="N636" s="27"/>
      <c r="O636" s="27"/>
      <c r="P636" s="27">
        <v>0</v>
      </c>
      <c r="Q636" s="27">
        <v>1477</v>
      </c>
      <c r="R636" s="27"/>
      <c r="S636" s="27">
        <v>0</v>
      </c>
      <c r="T636" s="27"/>
      <c r="U636" s="27"/>
      <c r="V636" s="9"/>
      <c r="W636" s="9">
        <f>ROUND(Q636 / 1.2, 2)</f>
        <v>1230.83</v>
      </c>
      <c r="X636" s="9" t="e">
        <f>ROUND(R636 / 1.2, 2)</f>
        <v>#VALUE!</v>
      </c>
      <c r="Y636" s="9"/>
      <c r="Z636" s="9" t="e">
        <f>ROUND(T636 / 1.2, 2)</f>
        <v>#VALUE!</v>
      </c>
      <c r="AA636" s="9"/>
      <c r="AD636" s="4">
        <v>281967404</v>
      </c>
      <c r="AE636" s="4">
        <v>20343922</v>
      </c>
      <c r="AG636" s="4" t="s">
        <v>1697</v>
      </c>
      <c r="AH636" s="4" t="s">
        <v>1698</v>
      </c>
      <c r="AI636" s="4"/>
    </row>
    <row r="637" spans="1:35" ht="18" x14ac:dyDescent="0.3">
      <c r="A637" s="17" t="s">
        <v>1701</v>
      </c>
      <c r="B637" s="17"/>
      <c r="C637" s="34" t="s">
        <v>1702</v>
      </c>
      <c r="D637" s="19"/>
      <c r="E637" s="19"/>
      <c r="F637" s="35" t="s">
        <v>369</v>
      </c>
      <c r="G637" s="36">
        <v>1</v>
      </c>
      <c r="H637" s="19"/>
      <c r="I637" s="48">
        <v>0</v>
      </c>
      <c r="J637" s="38">
        <v>80</v>
      </c>
      <c r="K637" s="39"/>
      <c r="L637" s="39"/>
      <c r="M637" s="38">
        <f t="shared" ref="M637:M644" si="121">ROUND(ROUND(J637, 2)*I637, 2)</f>
        <v>0</v>
      </c>
      <c r="N637" s="39"/>
      <c r="O637" s="39"/>
      <c r="P637" s="38">
        <v>80</v>
      </c>
      <c r="Q637" s="39"/>
      <c r="R637" s="39"/>
      <c r="S637" s="38">
        <f t="shared" ref="S637:S644" si="122">ROUND(ROUND(P637, 2)*I637, 2)</f>
        <v>0</v>
      </c>
      <c r="T637" s="39"/>
      <c r="U637" s="40"/>
      <c r="V637" s="9">
        <f t="shared" ref="V637:V644" si="123">ROUND(ROUND(P637, 2)/1.2, 2)</f>
        <v>66.67</v>
      </c>
      <c r="Y637" s="9">
        <f t="shared" ref="Y637:Y645" si="124">ROUND(S637 / 1.2, 2)</f>
        <v>0</v>
      </c>
      <c r="AD637" s="4" t="s">
        <v>1703</v>
      </c>
      <c r="AE637" s="4" t="s">
        <v>1704</v>
      </c>
      <c r="AF637" s="4" t="s">
        <v>1705</v>
      </c>
    </row>
    <row r="638" spans="1:35" ht="18" x14ac:dyDescent="0.3">
      <c r="A638" s="23" t="s">
        <v>1706</v>
      </c>
      <c r="B638" s="23"/>
      <c r="C638" s="41" t="s">
        <v>1702</v>
      </c>
      <c r="D638" s="25"/>
      <c r="E638" s="25"/>
      <c r="F638" s="42" t="s">
        <v>369</v>
      </c>
      <c r="G638" s="43">
        <v>1</v>
      </c>
      <c r="H638" s="25"/>
      <c r="I638" s="50">
        <v>123</v>
      </c>
      <c r="J638" s="44">
        <v>80</v>
      </c>
      <c r="K638" s="45"/>
      <c r="L638" s="45"/>
      <c r="M638" s="44">
        <f t="shared" si="121"/>
        <v>9840</v>
      </c>
      <c r="N638" s="45"/>
      <c r="O638" s="45"/>
      <c r="P638" s="44">
        <v>80</v>
      </c>
      <c r="Q638" s="45"/>
      <c r="R638" s="45"/>
      <c r="S638" s="44">
        <f t="shared" si="122"/>
        <v>9840</v>
      </c>
      <c r="T638" s="45"/>
      <c r="U638" s="46"/>
      <c r="V638" s="9">
        <f t="shared" si="123"/>
        <v>66.67</v>
      </c>
      <c r="Y638" s="9">
        <f t="shared" si="124"/>
        <v>8200</v>
      </c>
      <c r="AD638" s="4" t="s">
        <v>1707</v>
      </c>
      <c r="AE638" s="4" t="s">
        <v>1704</v>
      </c>
      <c r="AF638" s="4" t="s">
        <v>1705</v>
      </c>
    </row>
    <row r="639" spans="1:35" ht="18" x14ac:dyDescent="0.3">
      <c r="A639" s="17" t="s">
        <v>1708</v>
      </c>
      <c r="B639" s="17"/>
      <c r="C639" s="34" t="s">
        <v>1709</v>
      </c>
      <c r="D639" s="19"/>
      <c r="E639" s="19"/>
      <c r="F639" s="35" t="s">
        <v>82</v>
      </c>
      <c r="G639" s="36">
        <v>1</v>
      </c>
      <c r="H639" s="19"/>
      <c r="I639" s="48">
        <v>0</v>
      </c>
      <c r="J639" s="38">
        <v>44.71</v>
      </c>
      <c r="K639" s="39"/>
      <c r="L639" s="39"/>
      <c r="M639" s="38">
        <f t="shared" si="121"/>
        <v>0</v>
      </c>
      <c r="N639" s="39"/>
      <c r="O639" s="39"/>
      <c r="P639" s="38">
        <v>44.71</v>
      </c>
      <c r="Q639" s="39"/>
      <c r="R639" s="39"/>
      <c r="S639" s="38">
        <f t="shared" si="122"/>
        <v>0</v>
      </c>
      <c r="T639" s="39"/>
      <c r="U639" s="40"/>
      <c r="V639" s="9">
        <f t="shared" si="123"/>
        <v>37.26</v>
      </c>
      <c r="Y639" s="9">
        <f t="shared" si="124"/>
        <v>0</v>
      </c>
      <c r="AD639" s="4" t="s">
        <v>1710</v>
      </c>
      <c r="AE639" s="4" t="s">
        <v>1711</v>
      </c>
      <c r="AF639" s="4" t="s">
        <v>1712</v>
      </c>
    </row>
    <row r="640" spans="1:35" ht="18" x14ac:dyDescent="0.3">
      <c r="A640" s="23" t="s">
        <v>1713</v>
      </c>
      <c r="B640" s="23"/>
      <c r="C640" s="41" t="s">
        <v>1709</v>
      </c>
      <c r="D640" s="25"/>
      <c r="E640" s="25"/>
      <c r="F640" s="42" t="s">
        <v>82</v>
      </c>
      <c r="G640" s="43">
        <v>1</v>
      </c>
      <c r="H640" s="25"/>
      <c r="I640" s="50">
        <v>592</v>
      </c>
      <c r="J640" s="44">
        <v>44.71</v>
      </c>
      <c r="K640" s="45"/>
      <c r="L640" s="45"/>
      <c r="M640" s="44">
        <f t="shared" si="121"/>
        <v>26468.32</v>
      </c>
      <c r="N640" s="45"/>
      <c r="O640" s="45"/>
      <c r="P640" s="44">
        <v>44.71</v>
      </c>
      <c r="Q640" s="45"/>
      <c r="R640" s="45"/>
      <c r="S640" s="44">
        <f t="shared" si="122"/>
        <v>26468.32</v>
      </c>
      <c r="T640" s="45"/>
      <c r="U640" s="46"/>
      <c r="V640" s="9">
        <f t="shared" si="123"/>
        <v>37.26</v>
      </c>
      <c r="Y640" s="9">
        <f t="shared" si="124"/>
        <v>22056.93</v>
      </c>
      <c r="AD640" s="4" t="s">
        <v>1714</v>
      </c>
      <c r="AE640" s="4" t="s">
        <v>1711</v>
      </c>
      <c r="AF640" s="4" t="s">
        <v>1712</v>
      </c>
    </row>
    <row r="641" spans="1:35" ht="18" x14ac:dyDescent="0.3">
      <c r="A641" s="17" t="s">
        <v>1715</v>
      </c>
      <c r="B641" s="17"/>
      <c r="C641" s="34" t="s">
        <v>175</v>
      </c>
      <c r="D641" s="19"/>
      <c r="E641" s="19"/>
      <c r="F641" s="35" t="s">
        <v>82</v>
      </c>
      <c r="G641" s="36">
        <v>1</v>
      </c>
      <c r="H641" s="19"/>
      <c r="I641" s="48">
        <v>0</v>
      </c>
      <c r="J641" s="38">
        <v>35.76</v>
      </c>
      <c r="K641" s="39"/>
      <c r="L641" s="39"/>
      <c r="M641" s="38">
        <f t="shared" si="121"/>
        <v>0</v>
      </c>
      <c r="N641" s="39"/>
      <c r="O641" s="39"/>
      <c r="P641" s="38">
        <v>35.76</v>
      </c>
      <c r="Q641" s="39"/>
      <c r="R641" s="39"/>
      <c r="S641" s="38">
        <f t="shared" si="122"/>
        <v>0</v>
      </c>
      <c r="T641" s="39"/>
      <c r="U641" s="40"/>
      <c r="V641" s="9">
        <f t="shared" si="123"/>
        <v>29.8</v>
      </c>
      <c r="Y641" s="9">
        <f t="shared" si="124"/>
        <v>0</v>
      </c>
      <c r="AD641" s="4" t="s">
        <v>1716</v>
      </c>
      <c r="AE641" s="4" t="s">
        <v>1717</v>
      </c>
      <c r="AF641" s="4" t="s">
        <v>178</v>
      </c>
    </row>
    <row r="642" spans="1:35" ht="18" x14ac:dyDescent="0.3">
      <c r="A642" s="23" t="s">
        <v>1718</v>
      </c>
      <c r="B642" s="23"/>
      <c r="C642" s="41" t="s">
        <v>175</v>
      </c>
      <c r="D642" s="25"/>
      <c r="E642" s="25"/>
      <c r="F642" s="42" t="s">
        <v>82</v>
      </c>
      <c r="G642" s="43">
        <v>1</v>
      </c>
      <c r="H642" s="25"/>
      <c r="I642" s="50">
        <v>178</v>
      </c>
      <c r="J642" s="44">
        <v>35.76</v>
      </c>
      <c r="K642" s="45"/>
      <c r="L642" s="45"/>
      <c r="M642" s="44">
        <f t="shared" si="121"/>
        <v>6365.28</v>
      </c>
      <c r="N642" s="45"/>
      <c r="O642" s="45"/>
      <c r="P642" s="44">
        <v>35.76</v>
      </c>
      <c r="Q642" s="45"/>
      <c r="R642" s="45"/>
      <c r="S642" s="44">
        <f t="shared" si="122"/>
        <v>6365.28</v>
      </c>
      <c r="T642" s="45"/>
      <c r="U642" s="46"/>
      <c r="V642" s="9">
        <f t="shared" si="123"/>
        <v>29.8</v>
      </c>
      <c r="Y642" s="9">
        <f t="shared" si="124"/>
        <v>5304.4</v>
      </c>
      <c r="AD642" s="4" t="s">
        <v>1719</v>
      </c>
      <c r="AE642" s="4" t="s">
        <v>1717</v>
      </c>
      <c r="AF642" s="4" t="s">
        <v>178</v>
      </c>
    </row>
    <row r="643" spans="1:35" ht="36" x14ac:dyDescent="0.3">
      <c r="A643" s="17" t="s">
        <v>1720</v>
      </c>
      <c r="B643" s="17"/>
      <c r="C643" s="34" t="s">
        <v>1721</v>
      </c>
      <c r="D643" s="19"/>
      <c r="E643" s="19"/>
      <c r="F643" s="35" t="s">
        <v>59</v>
      </c>
      <c r="G643" s="36">
        <v>1.1000000000000001</v>
      </c>
      <c r="H643" s="19"/>
      <c r="I643" s="48">
        <v>0</v>
      </c>
      <c r="J643" s="38">
        <v>0</v>
      </c>
      <c r="K643" s="39"/>
      <c r="L643" s="39"/>
      <c r="M643" s="38">
        <f t="shared" si="121"/>
        <v>0</v>
      </c>
      <c r="N643" s="39"/>
      <c r="O643" s="39"/>
      <c r="P643" s="38">
        <v>1520.33</v>
      </c>
      <c r="Q643" s="39"/>
      <c r="R643" s="39"/>
      <c r="S643" s="38">
        <f t="shared" si="122"/>
        <v>0</v>
      </c>
      <c r="T643" s="39"/>
      <c r="U643" s="40"/>
      <c r="V643" s="9">
        <f t="shared" si="123"/>
        <v>1266.94</v>
      </c>
      <c r="Y643" s="9">
        <f t="shared" si="124"/>
        <v>0</v>
      </c>
      <c r="AD643" s="4" t="s">
        <v>1722</v>
      </c>
      <c r="AE643" s="4" t="s">
        <v>1723</v>
      </c>
      <c r="AF643" s="4" t="s">
        <v>1724</v>
      </c>
    </row>
    <row r="644" spans="1:35" ht="36" x14ac:dyDescent="0.3">
      <c r="A644" s="23" t="s">
        <v>1725</v>
      </c>
      <c r="B644" s="23"/>
      <c r="C644" s="41" t="s">
        <v>1721</v>
      </c>
      <c r="D644" s="25"/>
      <c r="E644" s="25"/>
      <c r="F644" s="42" t="s">
        <v>59</v>
      </c>
      <c r="G644" s="43">
        <v>1.1000000000000001</v>
      </c>
      <c r="H644" s="25"/>
      <c r="I644" s="50">
        <v>130.24</v>
      </c>
      <c r="J644" s="44">
        <v>0</v>
      </c>
      <c r="K644" s="45"/>
      <c r="L644" s="45"/>
      <c r="M644" s="44">
        <f t="shared" si="121"/>
        <v>0</v>
      </c>
      <c r="N644" s="45"/>
      <c r="O644" s="45"/>
      <c r="P644" s="44">
        <v>1520.33</v>
      </c>
      <c r="Q644" s="45"/>
      <c r="R644" s="45"/>
      <c r="S644" s="44">
        <f t="shared" si="122"/>
        <v>198007.78</v>
      </c>
      <c r="T644" s="45"/>
      <c r="U644" s="46"/>
      <c r="V644" s="9">
        <f t="shared" si="123"/>
        <v>1266.94</v>
      </c>
      <c r="Y644" s="9">
        <f t="shared" si="124"/>
        <v>165006.48000000001</v>
      </c>
      <c r="AD644" s="4" t="s">
        <v>1726</v>
      </c>
      <c r="AE644" s="4" t="s">
        <v>1723</v>
      </c>
      <c r="AF644" s="4" t="s">
        <v>1724</v>
      </c>
    </row>
    <row r="645" spans="1:35" ht="36" x14ac:dyDescent="0.3">
      <c r="A645" s="17" t="s">
        <v>1727</v>
      </c>
      <c r="B645" s="17" t="s">
        <v>1695</v>
      </c>
      <c r="C645" s="18" t="s">
        <v>1696</v>
      </c>
      <c r="D645" s="19"/>
      <c r="E645" s="19"/>
      <c r="F645" s="19" t="s">
        <v>59</v>
      </c>
      <c r="G645" s="20">
        <v>1</v>
      </c>
      <c r="H645" s="19"/>
      <c r="I645" s="21">
        <v>0</v>
      </c>
      <c r="J645" s="22">
        <f>IFERROR(ROUND(SUM(M647,M649,M651,M653)/I645, 2),0)</f>
        <v>0</v>
      </c>
      <c r="K645" s="22">
        <v>1477</v>
      </c>
      <c r="L645" s="22">
        <f>J645+ROUND(K645, 2)</f>
        <v>1477</v>
      </c>
      <c r="M645" s="22">
        <f>ROUND(J645*I645, 2)</f>
        <v>0</v>
      </c>
      <c r="N645" s="22">
        <f>ROUND(I645*ROUND(K645, 2), 2)</f>
        <v>0</v>
      </c>
      <c r="O645" s="22">
        <f>M645+N645</f>
        <v>0</v>
      </c>
      <c r="P645" s="22">
        <f>IFERROR(ROUND(SUM(S647,S649,S651,S653)/I645, 2),0)</f>
        <v>0</v>
      </c>
      <c r="Q645" s="22">
        <v>1477</v>
      </c>
      <c r="R645" s="22">
        <f>P645+ROUND(Q645, 2)</f>
        <v>1477</v>
      </c>
      <c r="S645" s="22">
        <f>ROUND(P645*I645, 2)</f>
        <v>0</v>
      </c>
      <c r="T645" s="22">
        <f>ROUND(I645*ROUND(Q645, 2), 2)</f>
        <v>0</v>
      </c>
      <c r="U645" s="22">
        <f>S645+T645</f>
        <v>0</v>
      </c>
      <c r="V645" s="9">
        <f>ROUND(P645 / 1.2, 2)</f>
        <v>0</v>
      </c>
      <c r="W645" s="9">
        <f>ROUND(Q645 / 1.2, 2)</f>
        <v>1230.83</v>
      </c>
      <c r="X645" s="9">
        <f>ROUND(R645 / 1.2, 2)</f>
        <v>1230.83</v>
      </c>
      <c r="Y645" s="9">
        <f t="shared" si="124"/>
        <v>0</v>
      </c>
      <c r="Z645" s="9">
        <f>ROUND(T645 / 1.2, 2)</f>
        <v>0</v>
      </c>
      <c r="AA645" s="9">
        <f>Y645+Z645</f>
        <v>0</v>
      </c>
      <c r="AD645" s="4">
        <v>304337686</v>
      </c>
      <c r="AE645" s="4">
        <v>20344047</v>
      </c>
      <c r="AG645" s="4" t="s">
        <v>1697</v>
      </c>
      <c r="AH645" s="4" t="s">
        <v>1698</v>
      </c>
      <c r="AI645" s="4" t="s">
        <v>260</v>
      </c>
    </row>
    <row r="646" spans="1:35" ht="162" x14ac:dyDescent="0.3">
      <c r="A646" s="23" t="s">
        <v>1728</v>
      </c>
      <c r="B646" s="23" t="s">
        <v>1695</v>
      </c>
      <c r="C646" s="24" t="s">
        <v>1696</v>
      </c>
      <c r="D646" s="25"/>
      <c r="E646" s="25" t="s">
        <v>1729</v>
      </c>
      <c r="F646" s="25" t="s">
        <v>59</v>
      </c>
      <c r="G646" s="26">
        <v>1</v>
      </c>
      <c r="H646" s="25"/>
      <c r="I646" s="26">
        <v>358.7</v>
      </c>
      <c r="J646" s="27">
        <v>0</v>
      </c>
      <c r="K646" s="27">
        <v>1477</v>
      </c>
      <c r="L646" s="27"/>
      <c r="M646" s="27">
        <v>0</v>
      </c>
      <c r="N646" s="27"/>
      <c r="O646" s="27"/>
      <c r="P646" s="27">
        <v>0</v>
      </c>
      <c r="Q646" s="27">
        <v>1477</v>
      </c>
      <c r="R646" s="27"/>
      <c r="S646" s="27">
        <v>0</v>
      </c>
      <c r="T646" s="27"/>
      <c r="U646" s="27"/>
      <c r="V646" s="9"/>
      <c r="W646" s="9">
        <f>ROUND(Q646 / 1.2, 2)</f>
        <v>1230.83</v>
      </c>
      <c r="X646" s="9" t="e">
        <f>ROUND(R646 / 1.2, 2)</f>
        <v>#VALUE!</v>
      </c>
      <c r="Y646" s="9"/>
      <c r="Z646" s="9" t="e">
        <f>ROUND(T646 / 1.2, 2)</f>
        <v>#VALUE!</v>
      </c>
      <c r="AA646" s="9"/>
      <c r="AD646" s="4">
        <v>281967458</v>
      </c>
      <c r="AE646" s="4">
        <v>20344047</v>
      </c>
      <c r="AG646" s="4" t="s">
        <v>1697</v>
      </c>
      <c r="AH646" s="4" t="s">
        <v>1698</v>
      </c>
      <c r="AI646" s="4"/>
    </row>
    <row r="647" spans="1:35" ht="18" x14ac:dyDescent="0.3">
      <c r="A647" s="17" t="s">
        <v>1730</v>
      </c>
      <c r="B647" s="17"/>
      <c r="C647" s="34" t="s">
        <v>189</v>
      </c>
      <c r="D647" s="19"/>
      <c r="E647" s="19"/>
      <c r="F647" s="35" t="s">
        <v>59</v>
      </c>
      <c r="G647" s="36">
        <v>1.1000000000000001</v>
      </c>
      <c r="H647" s="19"/>
      <c r="I647" s="48">
        <v>0</v>
      </c>
      <c r="J647" s="38">
        <v>309.39999999999998</v>
      </c>
      <c r="K647" s="39"/>
      <c r="L647" s="39"/>
      <c r="M647" s="38">
        <f t="shared" ref="M647:M654" si="125">ROUND(ROUND(J647, 2)*I647, 2)</f>
        <v>0</v>
      </c>
      <c r="N647" s="39"/>
      <c r="O647" s="39"/>
      <c r="P647" s="38">
        <v>104.57</v>
      </c>
      <c r="Q647" s="39"/>
      <c r="R647" s="39"/>
      <c r="S647" s="38">
        <f t="shared" ref="S647:S654" si="126">ROUND(ROUND(P647, 2)*I647, 2)</f>
        <v>0</v>
      </c>
      <c r="T647" s="39"/>
      <c r="U647" s="40"/>
      <c r="V647" s="9">
        <f t="shared" ref="V647:V654" si="127">ROUND(ROUND(P647, 2)/1.2, 2)</f>
        <v>87.14</v>
      </c>
      <c r="Y647" s="9">
        <f t="shared" ref="Y647:Y664" si="128">ROUND(S647 / 1.2, 2)</f>
        <v>0</v>
      </c>
      <c r="AD647" s="4" t="s">
        <v>1731</v>
      </c>
      <c r="AE647" s="4" t="s">
        <v>1732</v>
      </c>
      <c r="AF647" s="4" t="s">
        <v>192</v>
      </c>
    </row>
    <row r="648" spans="1:35" ht="18" x14ac:dyDescent="0.3">
      <c r="A648" s="23" t="s">
        <v>1733</v>
      </c>
      <c r="B648" s="23"/>
      <c r="C648" s="41" t="s">
        <v>189</v>
      </c>
      <c r="D648" s="25"/>
      <c r="E648" s="25"/>
      <c r="F648" s="42" t="s">
        <v>59</v>
      </c>
      <c r="G648" s="43">
        <v>1.1000000000000001</v>
      </c>
      <c r="H648" s="25"/>
      <c r="I648" s="50">
        <v>394.57</v>
      </c>
      <c r="J648" s="44">
        <v>309.39999999999998</v>
      </c>
      <c r="K648" s="45"/>
      <c r="L648" s="45"/>
      <c r="M648" s="44">
        <f t="shared" si="125"/>
        <v>122079.96</v>
      </c>
      <c r="N648" s="45"/>
      <c r="O648" s="45"/>
      <c r="P648" s="44">
        <v>104.57</v>
      </c>
      <c r="Q648" s="45"/>
      <c r="R648" s="45"/>
      <c r="S648" s="44">
        <f t="shared" si="126"/>
        <v>41260.18</v>
      </c>
      <c r="T648" s="45"/>
      <c r="U648" s="46"/>
      <c r="V648" s="9">
        <f t="shared" si="127"/>
        <v>87.14</v>
      </c>
      <c r="Y648" s="9">
        <f t="shared" si="128"/>
        <v>34383.480000000003</v>
      </c>
      <c r="AD648" s="4" t="s">
        <v>1734</v>
      </c>
      <c r="AE648" s="4" t="s">
        <v>1732</v>
      </c>
      <c r="AF648" s="4" t="s">
        <v>192</v>
      </c>
    </row>
    <row r="649" spans="1:35" ht="18" x14ac:dyDescent="0.3">
      <c r="A649" s="17" t="s">
        <v>1735</v>
      </c>
      <c r="B649" s="17"/>
      <c r="C649" s="34" t="s">
        <v>1709</v>
      </c>
      <c r="D649" s="19"/>
      <c r="E649" s="19"/>
      <c r="F649" s="35" t="s">
        <v>82</v>
      </c>
      <c r="G649" s="36">
        <v>1</v>
      </c>
      <c r="H649" s="19"/>
      <c r="I649" s="48">
        <v>0</v>
      </c>
      <c r="J649" s="38">
        <v>44.71</v>
      </c>
      <c r="K649" s="39"/>
      <c r="L649" s="39"/>
      <c r="M649" s="38">
        <f t="shared" si="125"/>
        <v>0</v>
      </c>
      <c r="N649" s="39"/>
      <c r="O649" s="39"/>
      <c r="P649" s="38">
        <v>44.71</v>
      </c>
      <c r="Q649" s="39"/>
      <c r="R649" s="39"/>
      <c r="S649" s="38">
        <f t="shared" si="126"/>
        <v>0</v>
      </c>
      <c r="T649" s="39"/>
      <c r="U649" s="40"/>
      <c r="V649" s="9">
        <f t="shared" si="127"/>
        <v>37.26</v>
      </c>
      <c r="Y649" s="9">
        <f t="shared" si="128"/>
        <v>0</v>
      </c>
      <c r="AD649" s="4" t="s">
        <v>1736</v>
      </c>
      <c r="AE649" s="4" t="s">
        <v>1737</v>
      </c>
      <c r="AF649" s="4" t="s">
        <v>1712</v>
      </c>
    </row>
    <row r="650" spans="1:35" ht="18" x14ac:dyDescent="0.3">
      <c r="A650" s="23" t="s">
        <v>1738</v>
      </c>
      <c r="B650" s="23"/>
      <c r="C650" s="41" t="s">
        <v>1709</v>
      </c>
      <c r="D650" s="25"/>
      <c r="E650" s="25"/>
      <c r="F650" s="42" t="s">
        <v>82</v>
      </c>
      <c r="G650" s="43">
        <v>1</v>
      </c>
      <c r="H650" s="25"/>
      <c r="I650" s="50">
        <v>1794</v>
      </c>
      <c r="J650" s="44">
        <v>44.71</v>
      </c>
      <c r="K650" s="45"/>
      <c r="L650" s="45"/>
      <c r="M650" s="44">
        <f t="shared" si="125"/>
        <v>80209.740000000005</v>
      </c>
      <c r="N650" s="45"/>
      <c r="O650" s="45"/>
      <c r="P650" s="44">
        <v>44.71</v>
      </c>
      <c r="Q650" s="45"/>
      <c r="R650" s="45"/>
      <c r="S650" s="44">
        <f t="shared" si="126"/>
        <v>80209.740000000005</v>
      </c>
      <c r="T650" s="45"/>
      <c r="U650" s="46"/>
      <c r="V650" s="9">
        <f t="shared" si="127"/>
        <v>37.26</v>
      </c>
      <c r="Y650" s="9">
        <f t="shared" si="128"/>
        <v>66841.45</v>
      </c>
      <c r="AD650" s="4" t="s">
        <v>1739</v>
      </c>
      <c r="AE650" s="4" t="s">
        <v>1737</v>
      </c>
      <c r="AF650" s="4" t="s">
        <v>1712</v>
      </c>
    </row>
    <row r="651" spans="1:35" ht="18" x14ac:dyDescent="0.3">
      <c r="A651" s="17" t="s">
        <v>1740</v>
      </c>
      <c r="B651" s="17"/>
      <c r="C651" s="34" t="s">
        <v>175</v>
      </c>
      <c r="D651" s="19"/>
      <c r="E651" s="19"/>
      <c r="F651" s="35" t="s">
        <v>82</v>
      </c>
      <c r="G651" s="36">
        <v>1</v>
      </c>
      <c r="H651" s="19"/>
      <c r="I651" s="48">
        <v>0</v>
      </c>
      <c r="J651" s="38">
        <v>35.76</v>
      </c>
      <c r="K651" s="39"/>
      <c r="L651" s="39"/>
      <c r="M651" s="38">
        <f t="shared" si="125"/>
        <v>0</v>
      </c>
      <c r="N651" s="39"/>
      <c r="O651" s="39"/>
      <c r="P651" s="38">
        <v>35.76</v>
      </c>
      <c r="Q651" s="39"/>
      <c r="R651" s="39"/>
      <c r="S651" s="38">
        <f t="shared" si="126"/>
        <v>0</v>
      </c>
      <c r="T651" s="39"/>
      <c r="U651" s="40"/>
      <c r="V651" s="9">
        <f t="shared" si="127"/>
        <v>29.8</v>
      </c>
      <c r="Y651" s="9">
        <f t="shared" si="128"/>
        <v>0</v>
      </c>
      <c r="AD651" s="4" t="s">
        <v>1741</v>
      </c>
      <c r="AE651" s="4" t="s">
        <v>1742</v>
      </c>
      <c r="AF651" s="4" t="s">
        <v>178</v>
      </c>
    </row>
    <row r="652" spans="1:35" ht="18" x14ac:dyDescent="0.3">
      <c r="A652" s="23" t="s">
        <v>1743</v>
      </c>
      <c r="B652" s="23"/>
      <c r="C652" s="41" t="s">
        <v>175</v>
      </c>
      <c r="D652" s="25"/>
      <c r="E652" s="25"/>
      <c r="F652" s="42" t="s">
        <v>82</v>
      </c>
      <c r="G652" s="43">
        <v>1</v>
      </c>
      <c r="H652" s="25"/>
      <c r="I652" s="50">
        <v>539</v>
      </c>
      <c r="J652" s="44">
        <v>35.76</v>
      </c>
      <c r="K652" s="45"/>
      <c r="L652" s="45"/>
      <c r="M652" s="44">
        <f t="shared" si="125"/>
        <v>19274.64</v>
      </c>
      <c r="N652" s="45"/>
      <c r="O652" s="45"/>
      <c r="P652" s="44">
        <v>35.76</v>
      </c>
      <c r="Q652" s="45"/>
      <c r="R652" s="45"/>
      <c r="S652" s="44">
        <f t="shared" si="126"/>
        <v>19274.64</v>
      </c>
      <c r="T652" s="45"/>
      <c r="U652" s="46"/>
      <c r="V652" s="9">
        <f t="shared" si="127"/>
        <v>29.8</v>
      </c>
      <c r="Y652" s="9">
        <f t="shared" si="128"/>
        <v>16062.2</v>
      </c>
      <c r="AD652" s="4" t="s">
        <v>1744</v>
      </c>
      <c r="AE652" s="4" t="s">
        <v>1742</v>
      </c>
      <c r="AF652" s="4" t="s">
        <v>178</v>
      </c>
    </row>
    <row r="653" spans="1:35" ht="18" x14ac:dyDescent="0.3">
      <c r="A653" s="17" t="s">
        <v>1745</v>
      </c>
      <c r="B653" s="17"/>
      <c r="C653" s="34" t="s">
        <v>1702</v>
      </c>
      <c r="D653" s="19"/>
      <c r="E653" s="19"/>
      <c r="F653" s="35" t="s">
        <v>369</v>
      </c>
      <c r="G653" s="36">
        <v>1</v>
      </c>
      <c r="H653" s="19"/>
      <c r="I653" s="48">
        <v>0</v>
      </c>
      <c r="J653" s="38">
        <v>80</v>
      </c>
      <c r="K653" s="39"/>
      <c r="L653" s="39"/>
      <c r="M653" s="38">
        <f t="shared" si="125"/>
        <v>0</v>
      </c>
      <c r="N653" s="39"/>
      <c r="O653" s="39"/>
      <c r="P653" s="38">
        <v>80</v>
      </c>
      <c r="Q653" s="39"/>
      <c r="R653" s="39"/>
      <c r="S653" s="38">
        <f t="shared" si="126"/>
        <v>0</v>
      </c>
      <c r="T653" s="39"/>
      <c r="U653" s="40"/>
      <c r="V653" s="9">
        <f t="shared" si="127"/>
        <v>66.67</v>
      </c>
      <c r="Y653" s="9">
        <f t="shared" si="128"/>
        <v>0</v>
      </c>
      <c r="AD653" s="4" t="s">
        <v>1746</v>
      </c>
      <c r="AE653" s="4" t="s">
        <v>1747</v>
      </c>
      <c r="AF653" s="4" t="s">
        <v>1705</v>
      </c>
    </row>
    <row r="654" spans="1:35" ht="18" x14ac:dyDescent="0.3">
      <c r="A654" s="23" t="s">
        <v>1748</v>
      </c>
      <c r="B654" s="23"/>
      <c r="C654" s="41" t="s">
        <v>1702</v>
      </c>
      <c r="D654" s="25"/>
      <c r="E654" s="25"/>
      <c r="F654" s="42" t="s">
        <v>369</v>
      </c>
      <c r="G654" s="43">
        <v>1</v>
      </c>
      <c r="H654" s="25"/>
      <c r="I654" s="50">
        <v>374</v>
      </c>
      <c r="J654" s="44">
        <v>80</v>
      </c>
      <c r="K654" s="45"/>
      <c r="L654" s="45"/>
      <c r="M654" s="44">
        <f t="shared" si="125"/>
        <v>29920</v>
      </c>
      <c r="N654" s="45"/>
      <c r="O654" s="45"/>
      <c r="P654" s="44">
        <v>80</v>
      </c>
      <c r="Q654" s="45"/>
      <c r="R654" s="45"/>
      <c r="S654" s="44">
        <f t="shared" si="126"/>
        <v>29920</v>
      </c>
      <c r="T654" s="45"/>
      <c r="U654" s="46"/>
      <c r="V654" s="9">
        <f t="shared" si="127"/>
        <v>66.67</v>
      </c>
      <c r="Y654" s="9">
        <f t="shared" si="128"/>
        <v>24933.33</v>
      </c>
      <c r="AD654" s="4" t="s">
        <v>1749</v>
      </c>
      <c r="AE654" s="4" t="s">
        <v>1747</v>
      </c>
      <c r="AF654" s="4" t="s">
        <v>1705</v>
      </c>
    </row>
    <row r="655" spans="1:35" ht="90" x14ac:dyDescent="0.3">
      <c r="A655" s="51" t="s">
        <v>1750</v>
      </c>
      <c r="B655" s="51" t="s">
        <v>1695</v>
      </c>
      <c r="C655" s="52" t="s">
        <v>1696</v>
      </c>
      <c r="D655" s="53"/>
      <c r="E655" s="53" t="s">
        <v>1700</v>
      </c>
      <c r="F655" s="53" t="s">
        <v>59</v>
      </c>
      <c r="G655" s="54">
        <v>1</v>
      </c>
      <c r="H655" s="53"/>
      <c r="I655" s="54">
        <v>118.4</v>
      </c>
      <c r="J655" s="55">
        <f>IFERROR(ROUND(SUM(M656,M657,M658,M659)/I655, 2),0)</f>
        <v>360.42</v>
      </c>
      <c r="K655" s="55">
        <v>1477</v>
      </c>
      <c r="L655" s="55">
        <f>J655+ROUND(K655, 2)</f>
        <v>1837.42</v>
      </c>
      <c r="M655" s="55">
        <f>ROUND(J655*I655, 2)</f>
        <v>42673.73</v>
      </c>
      <c r="N655" s="55">
        <f>ROUND(I655*ROUND(K655, 2), 2)</f>
        <v>174876.79999999999</v>
      </c>
      <c r="O655" s="55">
        <f>M655+N655</f>
        <v>217550.53</v>
      </c>
      <c r="P655" s="55">
        <f>IFERROR(ROUND(SUM(S656,S657,S658,S659)/I655, 2),0)</f>
        <v>2032.78</v>
      </c>
      <c r="Q655" s="55">
        <v>2215.5</v>
      </c>
      <c r="R655" s="55">
        <f>P655+ROUND(Q655, 2)</f>
        <v>4248.28</v>
      </c>
      <c r="S655" s="55">
        <f>ROUND(P655*I655, 2)</f>
        <v>240681.15</v>
      </c>
      <c r="T655" s="55">
        <f>ROUND(I655*ROUND(Q655, 2), 2)</f>
        <v>262315.2</v>
      </c>
      <c r="U655" s="55">
        <f>S655+T655</f>
        <v>502996.35</v>
      </c>
      <c r="V655" s="9">
        <f>ROUND(P655 / 1.2, 2)</f>
        <v>1693.98</v>
      </c>
      <c r="W655" s="9">
        <f>ROUND(Q655 / 1.2, 2)</f>
        <v>1846.25</v>
      </c>
      <c r="X655" s="9">
        <f>ROUND(R655 / 1.2, 2)</f>
        <v>3540.23</v>
      </c>
      <c r="Y655" s="9">
        <f t="shared" si="128"/>
        <v>200567.63</v>
      </c>
      <c r="Z655" s="9">
        <f>ROUND(T655 / 1.2, 2)</f>
        <v>218596</v>
      </c>
      <c r="AA655" s="9">
        <f>Y655+Z655</f>
        <v>419163.63</v>
      </c>
      <c r="AD655" s="4">
        <v>304337687</v>
      </c>
      <c r="AE655" s="4">
        <v>21950068</v>
      </c>
      <c r="AG655" s="4" t="s">
        <v>1697</v>
      </c>
      <c r="AH655" s="4" t="s">
        <v>1698</v>
      </c>
      <c r="AI655" s="4" t="s">
        <v>260</v>
      </c>
    </row>
    <row r="656" spans="1:35" ht="18" x14ac:dyDescent="0.3">
      <c r="A656" s="51" t="s">
        <v>1751</v>
      </c>
      <c r="B656" s="51"/>
      <c r="C656" s="56" t="s">
        <v>1702</v>
      </c>
      <c r="D656" s="53"/>
      <c r="E656" s="53"/>
      <c r="F656" s="57" t="s">
        <v>369</v>
      </c>
      <c r="G656" s="58">
        <v>1</v>
      </c>
      <c r="H656" s="53"/>
      <c r="I656" s="62">
        <v>123</v>
      </c>
      <c r="J656" s="59">
        <v>80</v>
      </c>
      <c r="K656" s="60"/>
      <c r="L656" s="60"/>
      <c r="M656" s="59">
        <f>ROUND(ROUND(J656, 2)*I656, 2)</f>
        <v>9840</v>
      </c>
      <c r="N656" s="60"/>
      <c r="O656" s="60"/>
      <c r="P656" s="59">
        <v>80</v>
      </c>
      <c r="Q656" s="60"/>
      <c r="R656" s="60"/>
      <c r="S656" s="59">
        <f>ROUND(ROUND(P656, 2)*I656, 2)</f>
        <v>9840</v>
      </c>
      <c r="T656" s="60"/>
      <c r="U656" s="61"/>
      <c r="V656" s="9">
        <f>ROUND(ROUND(P656, 2)/1.2, 2)</f>
        <v>66.67</v>
      </c>
      <c r="Y656" s="9">
        <f t="shared" si="128"/>
        <v>8200</v>
      </c>
      <c r="AD656" s="4" t="s">
        <v>1752</v>
      </c>
      <c r="AE656" s="4" t="s">
        <v>1753</v>
      </c>
      <c r="AF656" s="4" t="s">
        <v>1705</v>
      </c>
    </row>
    <row r="657" spans="1:35" ht="18" x14ac:dyDescent="0.3">
      <c r="A657" s="51" t="s">
        <v>1754</v>
      </c>
      <c r="B657" s="51"/>
      <c r="C657" s="56" t="s">
        <v>1709</v>
      </c>
      <c r="D657" s="53"/>
      <c r="E657" s="53"/>
      <c r="F657" s="57" t="s">
        <v>82</v>
      </c>
      <c r="G657" s="58">
        <v>1</v>
      </c>
      <c r="H657" s="53"/>
      <c r="I657" s="62">
        <v>592</v>
      </c>
      <c r="J657" s="59">
        <v>44.71</v>
      </c>
      <c r="K657" s="60"/>
      <c r="L657" s="60"/>
      <c r="M657" s="59">
        <f>ROUND(ROUND(J657, 2)*I657, 2)</f>
        <v>26468.32</v>
      </c>
      <c r="N657" s="60"/>
      <c r="O657" s="60"/>
      <c r="P657" s="59">
        <v>44.71</v>
      </c>
      <c r="Q657" s="60"/>
      <c r="R657" s="60"/>
      <c r="S657" s="59">
        <f>ROUND(ROUND(P657, 2)*I657, 2)</f>
        <v>26468.32</v>
      </c>
      <c r="T657" s="60"/>
      <c r="U657" s="61"/>
      <c r="V657" s="9">
        <f>ROUND(ROUND(P657, 2)/1.2, 2)</f>
        <v>37.26</v>
      </c>
      <c r="Y657" s="9">
        <f t="shared" si="128"/>
        <v>22056.93</v>
      </c>
      <c r="AD657" s="4" t="s">
        <v>1755</v>
      </c>
      <c r="AE657" s="4" t="s">
        <v>1756</v>
      </c>
      <c r="AF657" s="4" t="s">
        <v>1712</v>
      </c>
    </row>
    <row r="658" spans="1:35" ht="18" x14ac:dyDescent="0.3">
      <c r="A658" s="51" t="s">
        <v>1757</v>
      </c>
      <c r="B658" s="51"/>
      <c r="C658" s="56" t="s">
        <v>175</v>
      </c>
      <c r="D658" s="53"/>
      <c r="E658" s="53"/>
      <c r="F658" s="57" t="s">
        <v>82</v>
      </c>
      <c r="G658" s="58">
        <v>1</v>
      </c>
      <c r="H658" s="53"/>
      <c r="I658" s="62">
        <v>178</v>
      </c>
      <c r="J658" s="59">
        <v>35.76</v>
      </c>
      <c r="K658" s="60"/>
      <c r="L658" s="60"/>
      <c r="M658" s="59">
        <f>ROUND(ROUND(J658, 2)*I658, 2)</f>
        <v>6365.28</v>
      </c>
      <c r="N658" s="60"/>
      <c r="O658" s="60"/>
      <c r="P658" s="59">
        <v>35.76</v>
      </c>
      <c r="Q658" s="60"/>
      <c r="R658" s="60"/>
      <c r="S658" s="59">
        <f>ROUND(ROUND(P658, 2)*I658, 2)</f>
        <v>6365.28</v>
      </c>
      <c r="T658" s="60"/>
      <c r="U658" s="61"/>
      <c r="V658" s="9">
        <f>ROUND(ROUND(P658, 2)/1.2, 2)</f>
        <v>29.8</v>
      </c>
      <c r="Y658" s="9">
        <f t="shared" si="128"/>
        <v>5304.4</v>
      </c>
      <c r="AD658" s="4" t="s">
        <v>1758</v>
      </c>
      <c r="AE658" s="4" t="s">
        <v>1759</v>
      </c>
      <c r="AF658" s="4" t="s">
        <v>178</v>
      </c>
    </row>
    <row r="659" spans="1:35" ht="36" x14ac:dyDescent="0.3">
      <c r="A659" s="51" t="s">
        <v>1760</v>
      </c>
      <c r="B659" s="51"/>
      <c r="C659" s="56" t="s">
        <v>1721</v>
      </c>
      <c r="D659" s="53"/>
      <c r="E659" s="53"/>
      <c r="F659" s="57" t="s">
        <v>59</v>
      </c>
      <c r="G659" s="58">
        <v>1.1000000000000001</v>
      </c>
      <c r="H659" s="53"/>
      <c r="I659" s="62">
        <v>130.24</v>
      </c>
      <c r="J659" s="59">
        <v>0</v>
      </c>
      <c r="K659" s="60"/>
      <c r="L659" s="60"/>
      <c r="M659" s="59">
        <f>ROUND(ROUND(J659, 2)*I659, 2)</f>
        <v>0</v>
      </c>
      <c r="N659" s="60"/>
      <c r="O659" s="60"/>
      <c r="P659" s="59">
        <v>1520.33</v>
      </c>
      <c r="Q659" s="60"/>
      <c r="R659" s="60"/>
      <c r="S659" s="59">
        <f>ROUND(ROUND(P659, 2)*I659, 2)</f>
        <v>198007.78</v>
      </c>
      <c r="T659" s="60"/>
      <c r="U659" s="61"/>
      <c r="V659" s="9">
        <f>ROUND(ROUND(P659, 2)/1.2, 2)</f>
        <v>1266.94</v>
      </c>
      <c r="Y659" s="9">
        <f t="shared" si="128"/>
        <v>165006.48000000001</v>
      </c>
      <c r="AD659" s="4" t="s">
        <v>1761</v>
      </c>
      <c r="AE659" s="4" t="s">
        <v>1762</v>
      </c>
      <c r="AF659" s="4" t="s">
        <v>1724</v>
      </c>
    </row>
    <row r="660" spans="1:35" ht="162" x14ac:dyDescent="0.3">
      <c r="A660" s="51" t="s">
        <v>1763</v>
      </c>
      <c r="B660" s="51" t="s">
        <v>1695</v>
      </c>
      <c r="C660" s="52" t="s">
        <v>1696</v>
      </c>
      <c r="D660" s="53"/>
      <c r="E660" s="53" t="s">
        <v>1729</v>
      </c>
      <c r="F660" s="53" t="s">
        <v>59</v>
      </c>
      <c r="G660" s="54">
        <v>1</v>
      </c>
      <c r="H660" s="53"/>
      <c r="I660" s="54">
        <v>358.7</v>
      </c>
      <c r="J660" s="55">
        <f>IFERROR(ROUND(SUM(M661,M662,M663,M664)/I660, 2),0)</f>
        <v>701.1</v>
      </c>
      <c r="K660" s="55">
        <v>1477</v>
      </c>
      <c r="L660" s="55">
        <f>J660+ROUND(K660, 2)</f>
        <v>2178.1</v>
      </c>
      <c r="M660" s="55">
        <f>ROUND(J660*I660, 2)</f>
        <v>251484.57</v>
      </c>
      <c r="N660" s="55">
        <f>ROUND(I660*ROUND(K660, 2), 2)</f>
        <v>529799.9</v>
      </c>
      <c r="O660" s="55">
        <f>M660+N660</f>
        <v>781284.47</v>
      </c>
      <c r="P660" s="55">
        <f>IFERROR(ROUND(SUM(S661,S662,S663,S664)/I660, 2),0)</f>
        <v>475.79</v>
      </c>
      <c r="Q660" s="55">
        <v>2215.5</v>
      </c>
      <c r="R660" s="55">
        <f>P660+ROUND(Q660, 2)</f>
        <v>2691.29</v>
      </c>
      <c r="S660" s="55">
        <f>ROUND(P660*I660, 2)</f>
        <v>170665.87</v>
      </c>
      <c r="T660" s="55">
        <f>ROUND(I660*ROUND(Q660, 2), 2)</f>
        <v>794699.85</v>
      </c>
      <c r="U660" s="55">
        <f>S660+T660</f>
        <v>965365.72</v>
      </c>
      <c r="V660" s="9">
        <f>ROUND(P660 / 1.2, 2)</f>
        <v>396.49</v>
      </c>
      <c r="W660" s="9">
        <f>ROUND(Q660 / 1.2, 2)</f>
        <v>1846.25</v>
      </c>
      <c r="X660" s="9">
        <f>ROUND(R660 / 1.2, 2)</f>
        <v>2242.7399999999998</v>
      </c>
      <c r="Y660" s="9">
        <f t="shared" si="128"/>
        <v>142221.56</v>
      </c>
      <c r="Z660" s="9">
        <f>ROUND(T660 / 1.2, 2)</f>
        <v>662249.88</v>
      </c>
      <c r="AA660" s="9">
        <f>Y660+Z660</f>
        <v>804471.44</v>
      </c>
      <c r="AD660" s="4">
        <v>304337688</v>
      </c>
      <c r="AE660" s="4">
        <v>21950067</v>
      </c>
      <c r="AG660" s="4" t="s">
        <v>1697</v>
      </c>
      <c r="AH660" s="4" t="s">
        <v>1698</v>
      </c>
      <c r="AI660" s="4" t="s">
        <v>260</v>
      </c>
    </row>
    <row r="661" spans="1:35" ht="18" x14ac:dyDescent="0.3">
      <c r="A661" s="51" t="s">
        <v>1764</v>
      </c>
      <c r="B661" s="51"/>
      <c r="C661" s="47" t="s">
        <v>189</v>
      </c>
      <c r="D661" s="53"/>
      <c r="E661" s="53"/>
      <c r="F661" s="57" t="s">
        <v>59</v>
      </c>
      <c r="G661" s="58">
        <v>1.1000000000000001</v>
      </c>
      <c r="H661" s="53"/>
      <c r="I661" s="62">
        <v>394.57</v>
      </c>
      <c r="J661" s="59">
        <v>309.39999999999998</v>
      </c>
      <c r="K661" s="60"/>
      <c r="L661" s="60"/>
      <c r="M661" s="59">
        <f>ROUND(ROUND(J661, 2)*I661, 2)</f>
        <v>122079.96</v>
      </c>
      <c r="N661" s="60"/>
      <c r="O661" s="60"/>
      <c r="P661" s="59">
        <v>104.57</v>
      </c>
      <c r="Q661" s="60"/>
      <c r="R661" s="60"/>
      <c r="S661" s="59">
        <f>ROUND(ROUND(P661, 2)*I661, 2)</f>
        <v>41260.18</v>
      </c>
      <c r="T661" s="60"/>
      <c r="U661" s="61"/>
      <c r="V661" s="9">
        <f>ROUND(ROUND(P661, 2)/1.2, 2)</f>
        <v>87.14</v>
      </c>
      <c r="Y661" s="9">
        <f t="shared" si="128"/>
        <v>34383.480000000003</v>
      </c>
      <c r="AD661" s="4" t="s">
        <v>1765</v>
      </c>
      <c r="AE661" s="4" t="s">
        <v>1766</v>
      </c>
      <c r="AF661" s="4" t="s">
        <v>192</v>
      </c>
    </row>
    <row r="662" spans="1:35" ht="18" x14ac:dyDescent="0.3">
      <c r="A662" s="51" t="s">
        <v>1767</v>
      </c>
      <c r="B662" s="51"/>
      <c r="C662" s="56" t="s">
        <v>1709</v>
      </c>
      <c r="D662" s="53"/>
      <c r="E662" s="53"/>
      <c r="F662" s="57" t="s">
        <v>82</v>
      </c>
      <c r="G662" s="58">
        <v>1</v>
      </c>
      <c r="H662" s="53"/>
      <c r="I662" s="62">
        <v>1794</v>
      </c>
      <c r="J662" s="59">
        <v>44.71</v>
      </c>
      <c r="K662" s="60"/>
      <c r="L662" s="60"/>
      <c r="M662" s="59">
        <f>ROUND(ROUND(J662, 2)*I662, 2)</f>
        <v>80209.740000000005</v>
      </c>
      <c r="N662" s="60"/>
      <c r="O662" s="60"/>
      <c r="P662" s="59">
        <v>44.71</v>
      </c>
      <c r="Q662" s="60"/>
      <c r="R662" s="60"/>
      <c r="S662" s="59">
        <f>ROUND(ROUND(P662, 2)*I662, 2)</f>
        <v>80209.740000000005</v>
      </c>
      <c r="T662" s="60"/>
      <c r="U662" s="61"/>
      <c r="V662" s="9">
        <f>ROUND(ROUND(P662, 2)/1.2, 2)</f>
        <v>37.26</v>
      </c>
      <c r="Y662" s="9">
        <f t="shared" si="128"/>
        <v>66841.45</v>
      </c>
      <c r="AD662" s="4" t="s">
        <v>1768</v>
      </c>
      <c r="AE662" s="4" t="s">
        <v>1769</v>
      </c>
      <c r="AF662" s="4" t="s">
        <v>1712</v>
      </c>
    </row>
    <row r="663" spans="1:35" ht="18" x14ac:dyDescent="0.3">
      <c r="A663" s="51" t="s">
        <v>1770</v>
      </c>
      <c r="B663" s="51"/>
      <c r="C663" s="56" t="s">
        <v>175</v>
      </c>
      <c r="D663" s="53"/>
      <c r="E663" s="53"/>
      <c r="F663" s="57" t="s">
        <v>82</v>
      </c>
      <c r="G663" s="58">
        <v>1</v>
      </c>
      <c r="H663" s="53"/>
      <c r="I663" s="62">
        <v>539</v>
      </c>
      <c r="J663" s="59">
        <v>35.76</v>
      </c>
      <c r="K663" s="60"/>
      <c r="L663" s="60"/>
      <c r="M663" s="59">
        <f>ROUND(ROUND(J663, 2)*I663, 2)</f>
        <v>19274.64</v>
      </c>
      <c r="N663" s="60"/>
      <c r="O663" s="60"/>
      <c r="P663" s="59">
        <v>35.76</v>
      </c>
      <c r="Q663" s="60"/>
      <c r="R663" s="60"/>
      <c r="S663" s="59">
        <f>ROUND(ROUND(P663, 2)*I663, 2)</f>
        <v>19274.64</v>
      </c>
      <c r="T663" s="60"/>
      <c r="U663" s="61"/>
      <c r="V663" s="9">
        <f>ROUND(ROUND(P663, 2)/1.2, 2)</f>
        <v>29.8</v>
      </c>
      <c r="Y663" s="9">
        <f t="shared" si="128"/>
        <v>16062.2</v>
      </c>
      <c r="AD663" s="4" t="s">
        <v>1771</v>
      </c>
      <c r="AE663" s="4" t="s">
        <v>1772</v>
      </c>
      <c r="AF663" s="4" t="s">
        <v>178</v>
      </c>
    </row>
    <row r="664" spans="1:35" ht="18" x14ac:dyDescent="0.3">
      <c r="A664" s="51" t="s">
        <v>1773</v>
      </c>
      <c r="B664" s="51"/>
      <c r="C664" s="56" t="s">
        <v>1702</v>
      </c>
      <c r="D664" s="53"/>
      <c r="E664" s="53"/>
      <c r="F664" s="57" t="s">
        <v>369</v>
      </c>
      <c r="G664" s="58">
        <v>1</v>
      </c>
      <c r="H664" s="53"/>
      <c r="I664" s="62">
        <v>374</v>
      </c>
      <c r="J664" s="59">
        <v>80</v>
      </c>
      <c r="K664" s="60"/>
      <c r="L664" s="60"/>
      <c r="M664" s="59">
        <f>ROUND(ROUND(J664, 2)*I664, 2)</f>
        <v>29920</v>
      </c>
      <c r="N664" s="60"/>
      <c r="O664" s="60"/>
      <c r="P664" s="59">
        <v>80</v>
      </c>
      <c r="Q664" s="60"/>
      <c r="R664" s="60"/>
      <c r="S664" s="59">
        <f>ROUND(ROUND(P664, 2)*I664, 2)</f>
        <v>29920</v>
      </c>
      <c r="T664" s="60"/>
      <c r="U664" s="61"/>
      <c r="V664" s="9">
        <f>ROUND(ROUND(P664, 2)/1.2, 2)</f>
        <v>66.67</v>
      </c>
      <c r="Y664" s="9">
        <f t="shared" si="128"/>
        <v>24933.33</v>
      </c>
      <c r="AD664" s="4" t="s">
        <v>1774</v>
      </c>
      <c r="AE664" s="4" t="s">
        <v>1775</v>
      </c>
      <c r="AF664" s="4" t="s">
        <v>1705</v>
      </c>
    </row>
    <row r="665" spans="1:35" ht="16.95" customHeight="1" x14ac:dyDescent="0.3">
      <c r="A665" s="10" t="s">
        <v>1776</v>
      </c>
      <c r="B665" s="10" t="s">
        <v>1777</v>
      </c>
      <c r="C665" s="153" t="s">
        <v>1778</v>
      </c>
      <c r="D665" s="154"/>
      <c r="E665" s="154"/>
      <c r="F665" s="154"/>
      <c r="G665" s="154"/>
      <c r="H665" s="154"/>
      <c r="I665" s="155"/>
      <c r="M665" s="6">
        <f>SUM(M666,M685)</f>
        <v>2318400.8199999998</v>
      </c>
      <c r="N665" s="6">
        <f>SUM(N666,N685)</f>
        <v>6153445.0999999996</v>
      </c>
      <c r="O665" s="6">
        <f>SUM(O666,O685)</f>
        <v>8471845.9199999999</v>
      </c>
      <c r="S665" s="6">
        <f>SUM(S666,S685)</f>
        <v>1160733.45</v>
      </c>
      <c r="T665" s="6">
        <f>SUM(T666,T685)</f>
        <v>9230167.6500000004</v>
      </c>
      <c r="U665" s="6">
        <f>SUM(U666,U685)</f>
        <v>10390901.1</v>
      </c>
      <c r="Y665" s="9">
        <f>SUM(Y666,Y685)</f>
        <v>967277.88</v>
      </c>
      <c r="Z665" s="9">
        <f>SUM(Z666,Z685)</f>
        <v>7691806.3799999999</v>
      </c>
      <c r="AA665" s="9">
        <f>SUM(AA666,AA685)</f>
        <v>8659084.2599999998</v>
      </c>
      <c r="AD665" s="4">
        <v>304337575</v>
      </c>
      <c r="AE665" s="4">
        <v>20300800</v>
      </c>
    </row>
    <row r="666" spans="1:35" ht="16.95" customHeight="1" x14ac:dyDescent="0.3">
      <c r="A666" s="10" t="s">
        <v>1779</v>
      </c>
      <c r="B666" s="10" t="s">
        <v>1780</v>
      </c>
      <c r="C666" s="153" t="s">
        <v>1781</v>
      </c>
      <c r="D666" s="154"/>
      <c r="E666" s="154"/>
      <c r="F666" s="154"/>
      <c r="G666" s="154"/>
      <c r="H666" s="154"/>
      <c r="I666" s="155"/>
      <c r="M666" s="6">
        <f>SUM(M667,M673,M676,M682)</f>
        <v>292430.89</v>
      </c>
      <c r="N666" s="6">
        <f>SUM(N667,N673,N676,N682)</f>
        <v>3668446.7</v>
      </c>
      <c r="O666" s="6">
        <f>SUM(O667,O673,O676,O682)</f>
        <v>3960877.59</v>
      </c>
      <c r="S666" s="6">
        <f>SUM(S667,S673,S676,S682)</f>
        <v>292644.24</v>
      </c>
      <c r="T666" s="6">
        <f>SUM(T667,T673,T676,T682)</f>
        <v>5502670.0499999998</v>
      </c>
      <c r="U666" s="6">
        <f>SUM(U667,U673,U676,U682)</f>
        <v>5795314.29</v>
      </c>
      <c r="Y666" s="9">
        <f>SUM(Y667,Y673,Y676,Y682)</f>
        <v>243870.2</v>
      </c>
      <c r="Z666" s="9">
        <f>SUM(Z667,Z673,Z676,Z682)</f>
        <v>4585558.38</v>
      </c>
      <c r="AA666" s="9">
        <f>SUM(AA667,AA673,AA676,AA682)</f>
        <v>4829428.58</v>
      </c>
      <c r="AD666" s="4">
        <v>304337576</v>
      </c>
      <c r="AE666" s="4">
        <v>20324128</v>
      </c>
    </row>
    <row r="667" spans="1:35" ht="36" x14ac:dyDescent="0.3">
      <c r="A667" s="17" t="s">
        <v>1782</v>
      </c>
      <c r="B667" s="17" t="s">
        <v>1783</v>
      </c>
      <c r="C667" s="18" t="s">
        <v>1784</v>
      </c>
      <c r="D667" s="19"/>
      <c r="E667" s="19"/>
      <c r="F667" s="19" t="s">
        <v>59</v>
      </c>
      <c r="G667" s="20">
        <v>1</v>
      </c>
      <c r="H667" s="19"/>
      <c r="I667" s="21">
        <v>0</v>
      </c>
      <c r="J667" s="22">
        <f>IFERROR(ROUND(SUM(M669,M671)/I667, 2),0)</f>
        <v>0</v>
      </c>
      <c r="K667" s="22">
        <v>790</v>
      </c>
      <c r="L667" s="22">
        <f>J667+ROUND(K667, 2)</f>
        <v>790</v>
      </c>
      <c r="M667" s="22">
        <f>ROUND(J667*I667, 2)</f>
        <v>0</v>
      </c>
      <c r="N667" s="22">
        <f>ROUND(I667*ROUND(K667, 2), 2)</f>
        <v>0</v>
      </c>
      <c r="O667" s="22">
        <f>M667+N667</f>
        <v>0</v>
      </c>
      <c r="P667" s="22">
        <f>IFERROR(ROUND(SUM(S669,S671)/I667, 2),0)</f>
        <v>0</v>
      </c>
      <c r="Q667" s="22">
        <v>790</v>
      </c>
      <c r="R667" s="22">
        <f>P667+ROUND(Q667, 2)</f>
        <v>790</v>
      </c>
      <c r="S667" s="22">
        <f>ROUND(P667*I667, 2)</f>
        <v>0</v>
      </c>
      <c r="T667" s="22">
        <f>ROUND(I667*ROUND(Q667, 2), 2)</f>
        <v>0</v>
      </c>
      <c r="U667" s="22">
        <f>S667+T667</f>
        <v>0</v>
      </c>
      <c r="V667" s="9">
        <f>ROUND(P667 / 1.2, 2)</f>
        <v>0</v>
      </c>
      <c r="W667" s="9">
        <f>ROUND(Q667 / 1.2, 2)</f>
        <v>658.33</v>
      </c>
      <c r="X667" s="9">
        <f>ROUND(R667 / 1.2, 2)</f>
        <v>658.33</v>
      </c>
      <c r="Y667" s="9">
        <f>ROUND(S667 / 1.2, 2)</f>
        <v>0</v>
      </c>
      <c r="Z667" s="9">
        <f>ROUND(T667 / 1.2, 2)</f>
        <v>0</v>
      </c>
      <c r="AA667" s="9">
        <f>Y667+Z667</f>
        <v>0</v>
      </c>
      <c r="AD667" s="4">
        <v>304337578</v>
      </c>
      <c r="AE667" s="4">
        <v>20324131</v>
      </c>
      <c r="AG667" s="4" t="s">
        <v>1785</v>
      </c>
      <c r="AH667" s="4" t="s">
        <v>1786</v>
      </c>
      <c r="AI667" s="4" t="s">
        <v>260</v>
      </c>
    </row>
    <row r="668" spans="1:35" ht="54" x14ac:dyDescent="0.3">
      <c r="A668" s="23" t="s">
        <v>1787</v>
      </c>
      <c r="B668" s="23" t="s">
        <v>1783</v>
      </c>
      <c r="C668" s="24" t="s">
        <v>1784</v>
      </c>
      <c r="D668" s="25"/>
      <c r="E668" s="25" t="s">
        <v>1788</v>
      </c>
      <c r="F668" s="25" t="s">
        <v>59</v>
      </c>
      <c r="G668" s="26">
        <v>1</v>
      </c>
      <c r="H668" s="25"/>
      <c r="I668" s="26">
        <v>3898.4</v>
      </c>
      <c r="J668" s="27">
        <v>0</v>
      </c>
      <c r="K668" s="27">
        <v>790</v>
      </c>
      <c r="L668" s="27"/>
      <c r="M668" s="27">
        <v>0</v>
      </c>
      <c r="N668" s="27"/>
      <c r="O668" s="27"/>
      <c r="P668" s="27">
        <v>0</v>
      </c>
      <c r="Q668" s="27">
        <v>790</v>
      </c>
      <c r="R668" s="27"/>
      <c r="S668" s="27">
        <v>0</v>
      </c>
      <c r="T668" s="27"/>
      <c r="U668" s="27"/>
      <c r="V668" s="9"/>
      <c r="W668" s="9">
        <f>ROUND(Q668 / 1.2, 2)</f>
        <v>658.33</v>
      </c>
      <c r="X668" s="9" t="e">
        <f>ROUND(R668 / 1.2, 2)</f>
        <v>#VALUE!</v>
      </c>
      <c r="Y668" s="9"/>
      <c r="Z668" s="9" t="e">
        <f>ROUND(T668 / 1.2, 2)</f>
        <v>#VALUE!</v>
      </c>
      <c r="AA668" s="9"/>
      <c r="AD668" s="4">
        <v>281879721</v>
      </c>
      <c r="AE668" s="4">
        <v>20324131</v>
      </c>
      <c r="AG668" s="4" t="s">
        <v>1785</v>
      </c>
      <c r="AH668" s="4" t="s">
        <v>1786</v>
      </c>
      <c r="AI668" s="4"/>
    </row>
    <row r="669" spans="1:35" ht="36" x14ac:dyDescent="0.3">
      <c r="A669" s="17" t="s">
        <v>1789</v>
      </c>
      <c r="B669" s="17"/>
      <c r="C669" s="34" t="s">
        <v>1790</v>
      </c>
      <c r="D669" s="19"/>
      <c r="E669" s="19"/>
      <c r="F669" s="35" t="s">
        <v>265</v>
      </c>
      <c r="G669" s="36">
        <v>4.5</v>
      </c>
      <c r="H669" s="19"/>
      <c r="I669" s="37">
        <v>0</v>
      </c>
      <c r="J669" s="38">
        <v>12.7</v>
      </c>
      <c r="K669" s="39"/>
      <c r="L669" s="39"/>
      <c r="M669" s="38">
        <f>ROUND(ROUND(J669, 2)*I669, 2)</f>
        <v>0</v>
      </c>
      <c r="N669" s="39"/>
      <c r="O669" s="39"/>
      <c r="P669" s="38">
        <v>12.7</v>
      </c>
      <c r="Q669" s="39"/>
      <c r="R669" s="39"/>
      <c r="S669" s="38">
        <f>ROUND(ROUND(P669, 2)*I669, 2)</f>
        <v>0</v>
      </c>
      <c r="T669" s="39"/>
      <c r="U669" s="40"/>
      <c r="V669" s="9">
        <f>ROUND(ROUND(P669, 2)/1.2, 2)</f>
        <v>10.58</v>
      </c>
      <c r="Y669" s="9">
        <f t="shared" ref="Y669:Y676" si="129">ROUND(S669 / 1.2, 2)</f>
        <v>0</v>
      </c>
      <c r="AD669" s="4" t="s">
        <v>1791</v>
      </c>
      <c r="AE669" s="4" t="s">
        <v>1792</v>
      </c>
      <c r="AF669" s="4" t="s">
        <v>1793</v>
      </c>
    </row>
    <row r="670" spans="1:35" ht="36" x14ac:dyDescent="0.3">
      <c r="A670" s="23" t="s">
        <v>1794</v>
      </c>
      <c r="B670" s="23"/>
      <c r="C670" s="41" t="s">
        <v>1790</v>
      </c>
      <c r="D670" s="25"/>
      <c r="E670" s="25"/>
      <c r="F670" s="42" t="s">
        <v>265</v>
      </c>
      <c r="G670" s="43">
        <v>4.5</v>
      </c>
      <c r="H670" s="25"/>
      <c r="I670" s="43">
        <v>17542.8</v>
      </c>
      <c r="J670" s="44">
        <v>12.7</v>
      </c>
      <c r="K670" s="45"/>
      <c r="L670" s="45"/>
      <c r="M670" s="44">
        <f>ROUND(ROUND(J670, 2)*I670, 2)</f>
        <v>222793.56</v>
      </c>
      <c r="N670" s="45"/>
      <c r="O670" s="45"/>
      <c r="P670" s="44">
        <v>12.7</v>
      </c>
      <c r="Q670" s="45"/>
      <c r="R670" s="45"/>
      <c r="S670" s="44">
        <f>ROUND(ROUND(P670, 2)*I670, 2)</f>
        <v>222793.56</v>
      </c>
      <c r="T670" s="45"/>
      <c r="U670" s="46"/>
      <c r="V670" s="9">
        <f>ROUND(ROUND(P670, 2)/1.2, 2)</f>
        <v>10.58</v>
      </c>
      <c r="Y670" s="9">
        <f t="shared" si="129"/>
        <v>185661.3</v>
      </c>
      <c r="AD670" s="4" t="s">
        <v>1795</v>
      </c>
      <c r="AE670" s="4" t="s">
        <v>1792</v>
      </c>
      <c r="AF670" s="4" t="s">
        <v>1793</v>
      </c>
    </row>
    <row r="671" spans="1:35" ht="36" x14ac:dyDescent="0.3">
      <c r="A671" s="17" t="s">
        <v>1796</v>
      </c>
      <c r="B671" s="17"/>
      <c r="C671" s="34" t="s">
        <v>682</v>
      </c>
      <c r="D671" s="19"/>
      <c r="E671" s="19"/>
      <c r="F671" s="35" t="s">
        <v>265</v>
      </c>
      <c r="G671" s="36">
        <v>0.15</v>
      </c>
      <c r="H671" s="19"/>
      <c r="I671" s="37">
        <v>0</v>
      </c>
      <c r="J671" s="38">
        <v>88.8</v>
      </c>
      <c r="K671" s="39"/>
      <c r="L671" s="39"/>
      <c r="M671" s="38">
        <f>ROUND(ROUND(J671, 2)*I671, 2)</f>
        <v>0</v>
      </c>
      <c r="N671" s="39"/>
      <c r="O671" s="39"/>
      <c r="P671" s="38">
        <v>88.8</v>
      </c>
      <c r="Q671" s="39"/>
      <c r="R671" s="39"/>
      <c r="S671" s="38">
        <f>ROUND(ROUND(P671, 2)*I671, 2)</f>
        <v>0</v>
      </c>
      <c r="T671" s="39"/>
      <c r="U671" s="40"/>
      <c r="V671" s="9">
        <f>ROUND(ROUND(P671, 2)/1.2, 2)</f>
        <v>74</v>
      </c>
      <c r="Y671" s="9">
        <f t="shared" si="129"/>
        <v>0</v>
      </c>
      <c r="AD671" s="4" t="s">
        <v>1797</v>
      </c>
      <c r="AE671" s="4" t="s">
        <v>1798</v>
      </c>
      <c r="AF671" s="4" t="s">
        <v>685</v>
      </c>
    </row>
    <row r="672" spans="1:35" ht="36" x14ac:dyDescent="0.3">
      <c r="A672" s="23" t="s">
        <v>1799</v>
      </c>
      <c r="B672" s="23"/>
      <c r="C672" s="41" t="s">
        <v>682</v>
      </c>
      <c r="D672" s="25"/>
      <c r="E672" s="25"/>
      <c r="F672" s="42" t="s">
        <v>265</v>
      </c>
      <c r="G672" s="43">
        <v>0.15</v>
      </c>
      <c r="H672" s="25"/>
      <c r="I672" s="43">
        <v>584.76</v>
      </c>
      <c r="J672" s="44">
        <v>88.8</v>
      </c>
      <c r="K672" s="45"/>
      <c r="L672" s="45"/>
      <c r="M672" s="44">
        <f>ROUND(ROUND(J672, 2)*I672, 2)</f>
        <v>51926.69</v>
      </c>
      <c r="N672" s="45"/>
      <c r="O672" s="45"/>
      <c r="P672" s="44">
        <v>88.8</v>
      </c>
      <c r="Q672" s="45"/>
      <c r="R672" s="45"/>
      <c r="S672" s="44">
        <f>ROUND(ROUND(P672, 2)*I672, 2)</f>
        <v>51926.69</v>
      </c>
      <c r="T672" s="45"/>
      <c r="U672" s="46"/>
      <c r="V672" s="9">
        <f>ROUND(ROUND(P672, 2)/1.2, 2)</f>
        <v>74</v>
      </c>
      <c r="Y672" s="9">
        <f t="shared" si="129"/>
        <v>43272.24</v>
      </c>
      <c r="AD672" s="4" t="s">
        <v>1800</v>
      </c>
      <c r="AE672" s="4" t="s">
        <v>1798</v>
      </c>
      <c r="AF672" s="4" t="s">
        <v>685</v>
      </c>
    </row>
    <row r="673" spans="1:35" ht="54" x14ac:dyDescent="0.3">
      <c r="A673" s="51" t="s">
        <v>1801</v>
      </c>
      <c r="B673" s="51" t="s">
        <v>1783</v>
      </c>
      <c r="C673" s="52" t="s">
        <v>1784</v>
      </c>
      <c r="D673" s="53"/>
      <c r="E673" s="53" t="s">
        <v>1788</v>
      </c>
      <c r="F673" s="53" t="s">
        <v>59</v>
      </c>
      <c r="G673" s="54">
        <v>1</v>
      </c>
      <c r="H673" s="53"/>
      <c r="I673" s="54">
        <v>3898.4</v>
      </c>
      <c r="J673" s="55">
        <f>IFERROR(ROUND(SUM(M674,M675)/I673, 2),0)</f>
        <v>67.59</v>
      </c>
      <c r="K673" s="55">
        <v>790</v>
      </c>
      <c r="L673" s="55">
        <f>J673+ROUND(K673, 2)</f>
        <v>857.59</v>
      </c>
      <c r="M673" s="55">
        <f>ROUND(J673*I673, 2)</f>
        <v>263492.86</v>
      </c>
      <c r="N673" s="55">
        <f>ROUND(I673*ROUND(K673, 2), 2)</f>
        <v>3079736</v>
      </c>
      <c r="O673" s="55">
        <f>M673+N673</f>
        <v>3343228.86</v>
      </c>
      <c r="P673" s="55">
        <f>IFERROR(ROUND(SUM(S674,S675)/I673, 2),0)</f>
        <v>67.64</v>
      </c>
      <c r="Q673" s="55">
        <v>1185</v>
      </c>
      <c r="R673" s="55">
        <f>P673+ROUND(Q673, 2)</f>
        <v>1252.6400000000001</v>
      </c>
      <c r="S673" s="55">
        <f>ROUND(P673*I673, 2)</f>
        <v>263687.78000000003</v>
      </c>
      <c r="T673" s="55">
        <f>ROUND(I673*ROUND(Q673, 2), 2)</f>
        <v>4619604</v>
      </c>
      <c r="U673" s="55">
        <f>S673+T673</f>
        <v>4883291.78</v>
      </c>
      <c r="V673" s="9">
        <f>ROUND(P673 / 1.2, 2)</f>
        <v>56.37</v>
      </c>
      <c r="W673" s="9">
        <f>ROUND(Q673 / 1.2, 2)</f>
        <v>987.5</v>
      </c>
      <c r="X673" s="9">
        <f>ROUND(R673 / 1.2, 2)</f>
        <v>1043.8699999999999</v>
      </c>
      <c r="Y673" s="9">
        <f t="shared" si="129"/>
        <v>219739.82</v>
      </c>
      <c r="Z673" s="9">
        <f>ROUND(T673 / 1.2, 2)</f>
        <v>3849670</v>
      </c>
      <c r="AA673" s="9">
        <f>Y673+Z673</f>
        <v>4069409.82</v>
      </c>
      <c r="AD673" s="4">
        <v>304337689</v>
      </c>
      <c r="AE673" s="4">
        <v>21950069</v>
      </c>
      <c r="AG673" s="4" t="s">
        <v>1785</v>
      </c>
      <c r="AH673" s="4" t="s">
        <v>1786</v>
      </c>
      <c r="AI673" s="4" t="s">
        <v>260</v>
      </c>
    </row>
    <row r="674" spans="1:35" ht="36" x14ac:dyDescent="0.3">
      <c r="A674" s="51" t="s">
        <v>1802</v>
      </c>
      <c r="B674" s="51"/>
      <c r="C674" s="56" t="s">
        <v>682</v>
      </c>
      <c r="D674" s="53"/>
      <c r="E674" s="53"/>
      <c r="F674" s="57" t="s">
        <v>265</v>
      </c>
      <c r="G674" s="58">
        <v>0.15</v>
      </c>
      <c r="H674" s="53"/>
      <c r="I674" s="58">
        <v>584.76</v>
      </c>
      <c r="J674" s="59">
        <v>88.8</v>
      </c>
      <c r="K674" s="60"/>
      <c r="L674" s="60"/>
      <c r="M674" s="59">
        <f>ROUND(ROUND(J674, 2)*I674, 2)</f>
        <v>51926.69</v>
      </c>
      <c r="N674" s="60"/>
      <c r="O674" s="60"/>
      <c r="P674" s="59">
        <v>88.8</v>
      </c>
      <c r="Q674" s="60"/>
      <c r="R674" s="60"/>
      <c r="S674" s="59">
        <f>ROUND(ROUND(P674, 2)*I674, 2)</f>
        <v>51926.69</v>
      </c>
      <c r="T674" s="60"/>
      <c r="U674" s="61"/>
      <c r="V674" s="9">
        <f>ROUND(ROUND(P674, 2)/1.2, 2)</f>
        <v>74</v>
      </c>
      <c r="Y674" s="9">
        <f t="shared" si="129"/>
        <v>43272.24</v>
      </c>
      <c r="AD674" s="4" t="s">
        <v>1803</v>
      </c>
      <c r="AE674" s="4" t="s">
        <v>1804</v>
      </c>
      <c r="AF674" s="4" t="s">
        <v>685</v>
      </c>
    </row>
    <row r="675" spans="1:35" ht="36" x14ac:dyDescent="0.3">
      <c r="A675" s="51" t="s">
        <v>1805</v>
      </c>
      <c r="B675" s="51"/>
      <c r="C675" s="47" t="s">
        <v>1790</v>
      </c>
      <c r="D675" s="53"/>
      <c r="E675" s="53"/>
      <c r="F675" s="57" t="s">
        <v>265</v>
      </c>
      <c r="G675" s="58">
        <v>4.5</v>
      </c>
      <c r="H675" s="53"/>
      <c r="I675" s="58">
        <v>17542.8</v>
      </c>
      <c r="J675" s="59">
        <v>12.06</v>
      </c>
      <c r="K675" s="60"/>
      <c r="L675" s="60"/>
      <c r="M675" s="59">
        <f>ROUND(ROUND(J675, 2)*I675, 2)</f>
        <v>211566.17</v>
      </c>
      <c r="N675" s="60"/>
      <c r="O675" s="60"/>
      <c r="P675" s="59">
        <v>12.07</v>
      </c>
      <c r="Q675" s="60"/>
      <c r="R675" s="60"/>
      <c r="S675" s="59">
        <f>ROUND(ROUND(P675, 2)*I675, 2)</f>
        <v>211741.6</v>
      </c>
      <c r="T675" s="60"/>
      <c r="U675" s="61"/>
      <c r="V675" s="9">
        <f>ROUND(ROUND(P675, 2)/1.2, 2)</f>
        <v>10.06</v>
      </c>
      <c r="Y675" s="9">
        <f t="shared" si="129"/>
        <v>176451.33</v>
      </c>
      <c r="AD675" s="4" t="s">
        <v>1806</v>
      </c>
      <c r="AE675" s="4" t="s">
        <v>1807</v>
      </c>
      <c r="AF675" s="4" t="s">
        <v>1793</v>
      </c>
    </row>
    <row r="676" spans="1:35" ht="36" x14ac:dyDescent="0.3">
      <c r="A676" s="17" t="s">
        <v>1808</v>
      </c>
      <c r="B676" s="17" t="s">
        <v>1809</v>
      </c>
      <c r="C676" s="18" t="s">
        <v>1810</v>
      </c>
      <c r="D676" s="19"/>
      <c r="E676" s="19"/>
      <c r="F676" s="19" t="s">
        <v>59</v>
      </c>
      <c r="G676" s="20">
        <v>1</v>
      </c>
      <c r="H676" s="19"/>
      <c r="I676" s="21">
        <v>0</v>
      </c>
      <c r="J676" s="22">
        <f>IFERROR(ROUND(SUM(M678,M680)/I676, 2),0)</f>
        <v>0</v>
      </c>
      <c r="K676" s="22">
        <v>639</v>
      </c>
      <c r="L676" s="22">
        <f>J676+ROUND(K676, 2)</f>
        <v>639</v>
      </c>
      <c r="M676" s="22">
        <f>ROUND(J676*I676, 2)</f>
        <v>0</v>
      </c>
      <c r="N676" s="22">
        <f>ROUND(I676*ROUND(K676, 2), 2)</f>
        <v>0</v>
      </c>
      <c r="O676" s="22">
        <f>M676+N676</f>
        <v>0</v>
      </c>
      <c r="P676" s="22">
        <f>IFERROR(ROUND(SUM(S678,S680)/I676, 2),0)</f>
        <v>0</v>
      </c>
      <c r="Q676" s="22">
        <v>639</v>
      </c>
      <c r="R676" s="22">
        <f>P676+ROUND(Q676, 2)</f>
        <v>639</v>
      </c>
      <c r="S676" s="22">
        <f>ROUND(P676*I676, 2)</f>
        <v>0</v>
      </c>
      <c r="T676" s="22">
        <f>ROUND(I676*ROUND(Q676, 2), 2)</f>
        <v>0</v>
      </c>
      <c r="U676" s="22">
        <f>S676+T676</f>
        <v>0</v>
      </c>
      <c r="V676" s="9">
        <f>ROUND(P676 / 1.2, 2)</f>
        <v>0</v>
      </c>
      <c r="W676" s="9">
        <f>ROUND(Q676 / 1.2, 2)</f>
        <v>532.5</v>
      </c>
      <c r="X676" s="9">
        <f>ROUND(R676 / 1.2, 2)</f>
        <v>532.5</v>
      </c>
      <c r="Y676" s="9">
        <f t="shared" si="129"/>
        <v>0</v>
      </c>
      <c r="Z676" s="9">
        <f>ROUND(T676 / 1.2, 2)</f>
        <v>0</v>
      </c>
      <c r="AA676" s="9">
        <f>Y676+Z676</f>
        <v>0</v>
      </c>
      <c r="AD676" s="4">
        <v>304337579</v>
      </c>
      <c r="AE676" s="4">
        <v>21107425</v>
      </c>
      <c r="AG676" s="4" t="s">
        <v>1811</v>
      </c>
      <c r="AH676" s="4" t="s">
        <v>1812</v>
      </c>
      <c r="AI676" s="4" t="s">
        <v>260</v>
      </c>
    </row>
    <row r="677" spans="1:35" ht="36" x14ac:dyDescent="0.3">
      <c r="A677" s="23" t="s">
        <v>1813</v>
      </c>
      <c r="B677" s="23" t="s">
        <v>1809</v>
      </c>
      <c r="C677" s="24" t="s">
        <v>1810</v>
      </c>
      <c r="D677" s="25"/>
      <c r="E677" s="25" t="s">
        <v>1814</v>
      </c>
      <c r="F677" s="25" t="s">
        <v>59</v>
      </c>
      <c r="G677" s="26">
        <v>1</v>
      </c>
      <c r="H677" s="25"/>
      <c r="I677" s="26">
        <v>921.3</v>
      </c>
      <c r="J677" s="27">
        <v>0</v>
      </c>
      <c r="K677" s="27">
        <v>639</v>
      </c>
      <c r="L677" s="27"/>
      <c r="M677" s="27">
        <v>0</v>
      </c>
      <c r="N677" s="27"/>
      <c r="O677" s="27"/>
      <c r="P677" s="27">
        <v>0</v>
      </c>
      <c r="Q677" s="27">
        <v>639</v>
      </c>
      <c r="R677" s="27"/>
      <c r="S677" s="27">
        <v>0</v>
      </c>
      <c r="T677" s="27"/>
      <c r="U677" s="27"/>
      <c r="V677" s="9"/>
      <c r="W677" s="9">
        <f>ROUND(Q677 / 1.2, 2)</f>
        <v>532.5</v>
      </c>
      <c r="X677" s="9" t="e">
        <f>ROUND(R677 / 1.2, 2)</f>
        <v>#VALUE!</v>
      </c>
      <c r="Y677" s="9"/>
      <c r="Z677" s="9" t="e">
        <f>ROUND(T677 / 1.2, 2)</f>
        <v>#VALUE!</v>
      </c>
      <c r="AA677" s="9"/>
      <c r="AD677" s="4">
        <v>279187184</v>
      </c>
      <c r="AE677" s="4">
        <v>21107425</v>
      </c>
      <c r="AG677" s="4" t="s">
        <v>1811</v>
      </c>
      <c r="AH677" s="4" t="s">
        <v>1812</v>
      </c>
      <c r="AI677" s="4"/>
    </row>
    <row r="678" spans="1:35" ht="36" x14ac:dyDescent="0.3">
      <c r="A678" s="17" t="s">
        <v>1815</v>
      </c>
      <c r="B678" s="17"/>
      <c r="C678" s="34" t="s">
        <v>1790</v>
      </c>
      <c r="D678" s="19"/>
      <c r="E678" s="19"/>
      <c r="F678" s="35" t="s">
        <v>265</v>
      </c>
      <c r="G678" s="36">
        <v>1.5</v>
      </c>
      <c r="H678" s="19"/>
      <c r="I678" s="37">
        <v>0</v>
      </c>
      <c r="J678" s="38">
        <v>12.7</v>
      </c>
      <c r="K678" s="39"/>
      <c r="L678" s="39"/>
      <c r="M678" s="38">
        <f>ROUND(ROUND(J678, 2)*I678, 2)</f>
        <v>0</v>
      </c>
      <c r="N678" s="39"/>
      <c r="O678" s="39"/>
      <c r="P678" s="38">
        <v>12.7</v>
      </c>
      <c r="Q678" s="39"/>
      <c r="R678" s="39"/>
      <c r="S678" s="38">
        <f>ROUND(ROUND(P678, 2)*I678, 2)</f>
        <v>0</v>
      </c>
      <c r="T678" s="39"/>
      <c r="U678" s="40"/>
      <c r="V678" s="9">
        <f>ROUND(ROUND(P678, 2)/1.2, 2)</f>
        <v>10.58</v>
      </c>
      <c r="Y678" s="9">
        <f t="shared" ref="Y678:Y684" si="130">ROUND(S678 / 1.2, 2)</f>
        <v>0</v>
      </c>
      <c r="AD678" s="4" t="s">
        <v>1816</v>
      </c>
      <c r="AE678" s="4" t="s">
        <v>1817</v>
      </c>
      <c r="AF678" s="4" t="s">
        <v>1793</v>
      </c>
    </row>
    <row r="679" spans="1:35" ht="36" x14ac:dyDescent="0.3">
      <c r="A679" s="23" t="s">
        <v>1818</v>
      </c>
      <c r="B679" s="23"/>
      <c r="C679" s="41" t="s">
        <v>1790</v>
      </c>
      <c r="D679" s="25"/>
      <c r="E679" s="25"/>
      <c r="F679" s="42" t="s">
        <v>265</v>
      </c>
      <c r="G679" s="43">
        <v>1.5</v>
      </c>
      <c r="H679" s="25"/>
      <c r="I679" s="43">
        <v>1381.95</v>
      </c>
      <c r="J679" s="44">
        <v>12.7</v>
      </c>
      <c r="K679" s="45"/>
      <c r="L679" s="45"/>
      <c r="M679" s="44">
        <f>ROUND(ROUND(J679, 2)*I679, 2)</f>
        <v>17550.77</v>
      </c>
      <c r="N679" s="45"/>
      <c r="O679" s="45"/>
      <c r="P679" s="44">
        <v>12.7</v>
      </c>
      <c r="Q679" s="45"/>
      <c r="R679" s="45"/>
      <c r="S679" s="44">
        <f>ROUND(ROUND(P679, 2)*I679, 2)</f>
        <v>17550.77</v>
      </c>
      <c r="T679" s="45"/>
      <c r="U679" s="46"/>
      <c r="V679" s="9">
        <f>ROUND(ROUND(P679, 2)/1.2, 2)</f>
        <v>10.58</v>
      </c>
      <c r="Y679" s="9">
        <f t="shared" si="130"/>
        <v>14625.64</v>
      </c>
      <c r="AD679" s="4" t="s">
        <v>1819</v>
      </c>
      <c r="AE679" s="4" t="s">
        <v>1817</v>
      </c>
      <c r="AF679" s="4" t="s">
        <v>1793</v>
      </c>
    </row>
    <row r="680" spans="1:35" ht="36" x14ac:dyDescent="0.3">
      <c r="A680" s="17" t="s">
        <v>1820</v>
      </c>
      <c r="B680" s="17"/>
      <c r="C680" s="34" t="s">
        <v>682</v>
      </c>
      <c r="D680" s="19"/>
      <c r="E680" s="19"/>
      <c r="F680" s="35" t="s">
        <v>265</v>
      </c>
      <c r="G680" s="36">
        <v>0.15</v>
      </c>
      <c r="H680" s="19"/>
      <c r="I680" s="37">
        <v>0</v>
      </c>
      <c r="J680" s="38">
        <v>88.8</v>
      </c>
      <c r="K680" s="39"/>
      <c r="L680" s="39"/>
      <c r="M680" s="38">
        <f>ROUND(ROUND(J680, 2)*I680, 2)</f>
        <v>0</v>
      </c>
      <c r="N680" s="39"/>
      <c r="O680" s="39"/>
      <c r="P680" s="38">
        <v>88.8</v>
      </c>
      <c r="Q680" s="39"/>
      <c r="R680" s="39"/>
      <c r="S680" s="38">
        <f>ROUND(ROUND(P680, 2)*I680, 2)</f>
        <v>0</v>
      </c>
      <c r="T680" s="39"/>
      <c r="U680" s="40"/>
      <c r="V680" s="9">
        <f>ROUND(ROUND(P680, 2)/1.2, 2)</f>
        <v>74</v>
      </c>
      <c r="Y680" s="9">
        <f t="shared" si="130"/>
        <v>0</v>
      </c>
      <c r="AD680" s="4" t="s">
        <v>1821</v>
      </c>
      <c r="AE680" s="4" t="s">
        <v>1822</v>
      </c>
      <c r="AF680" s="4" t="s">
        <v>685</v>
      </c>
    </row>
    <row r="681" spans="1:35" ht="36" x14ac:dyDescent="0.3">
      <c r="A681" s="23" t="s">
        <v>1823</v>
      </c>
      <c r="B681" s="23"/>
      <c r="C681" s="41" t="s">
        <v>682</v>
      </c>
      <c r="D681" s="25"/>
      <c r="E681" s="25"/>
      <c r="F681" s="42" t="s">
        <v>265</v>
      </c>
      <c r="G681" s="43">
        <v>0.15</v>
      </c>
      <c r="H681" s="25"/>
      <c r="I681" s="43">
        <v>138.19499999999999</v>
      </c>
      <c r="J681" s="44">
        <v>88.8</v>
      </c>
      <c r="K681" s="45"/>
      <c r="L681" s="45"/>
      <c r="M681" s="44">
        <f>ROUND(ROUND(J681, 2)*I681, 2)</f>
        <v>12271.72</v>
      </c>
      <c r="N681" s="45"/>
      <c r="O681" s="45"/>
      <c r="P681" s="44">
        <v>88.8</v>
      </c>
      <c r="Q681" s="45"/>
      <c r="R681" s="45"/>
      <c r="S681" s="44">
        <f>ROUND(ROUND(P681, 2)*I681, 2)</f>
        <v>12271.72</v>
      </c>
      <c r="T681" s="45"/>
      <c r="U681" s="46"/>
      <c r="V681" s="9">
        <f>ROUND(ROUND(P681, 2)/1.2, 2)</f>
        <v>74</v>
      </c>
      <c r="Y681" s="9">
        <f t="shared" si="130"/>
        <v>10226.43</v>
      </c>
      <c r="AD681" s="4" t="s">
        <v>1824</v>
      </c>
      <c r="AE681" s="4" t="s">
        <v>1822</v>
      </c>
      <c r="AF681" s="4" t="s">
        <v>685</v>
      </c>
    </row>
    <row r="682" spans="1:35" ht="36" x14ac:dyDescent="0.3">
      <c r="A682" s="51" t="s">
        <v>1825</v>
      </c>
      <c r="B682" s="51" t="s">
        <v>1809</v>
      </c>
      <c r="C682" s="52" t="s">
        <v>1810</v>
      </c>
      <c r="D682" s="53"/>
      <c r="E682" s="53" t="s">
        <v>1814</v>
      </c>
      <c r="F682" s="53" t="s">
        <v>59</v>
      </c>
      <c r="G682" s="54">
        <v>1</v>
      </c>
      <c r="H682" s="53"/>
      <c r="I682" s="54">
        <v>921.3</v>
      </c>
      <c r="J682" s="55">
        <f>IFERROR(ROUND(SUM(M683,M684)/I682, 2),0)</f>
        <v>31.41</v>
      </c>
      <c r="K682" s="55">
        <v>639</v>
      </c>
      <c r="L682" s="55">
        <f>J682+ROUND(K682, 2)</f>
        <v>670.41</v>
      </c>
      <c r="M682" s="55">
        <f>ROUND(J682*I682, 2)</f>
        <v>28938.03</v>
      </c>
      <c r="N682" s="55">
        <f>ROUND(I682*ROUND(K682, 2), 2)</f>
        <v>588710.69999999995</v>
      </c>
      <c r="O682" s="55">
        <f>M682+N682</f>
        <v>617648.73</v>
      </c>
      <c r="P682" s="55">
        <f>IFERROR(ROUND(SUM(S683,S684)/I682, 2),0)</f>
        <v>31.43</v>
      </c>
      <c r="Q682" s="55">
        <v>958.5</v>
      </c>
      <c r="R682" s="55">
        <f>P682+ROUND(Q682, 2)</f>
        <v>989.93</v>
      </c>
      <c r="S682" s="55">
        <f>ROUND(P682*I682, 2)</f>
        <v>28956.46</v>
      </c>
      <c r="T682" s="55">
        <f>ROUND(I682*ROUND(Q682, 2), 2)</f>
        <v>883066.05</v>
      </c>
      <c r="U682" s="55">
        <f>S682+T682</f>
        <v>912022.51</v>
      </c>
      <c r="V682" s="9">
        <f>ROUND(P682 / 1.2, 2)</f>
        <v>26.19</v>
      </c>
      <c r="W682" s="9">
        <f>ROUND(Q682 / 1.2, 2)</f>
        <v>798.75</v>
      </c>
      <c r="X682" s="9">
        <f>ROUND(R682 / 1.2, 2)</f>
        <v>824.94</v>
      </c>
      <c r="Y682" s="9">
        <f t="shared" si="130"/>
        <v>24130.38</v>
      </c>
      <c r="Z682" s="9">
        <f>ROUND(T682 / 1.2, 2)</f>
        <v>735888.38</v>
      </c>
      <c r="AA682" s="9">
        <f>Y682+Z682</f>
        <v>760018.76</v>
      </c>
      <c r="AD682" s="4">
        <v>304337690</v>
      </c>
      <c r="AE682" s="4">
        <v>21950070</v>
      </c>
      <c r="AG682" s="4" t="s">
        <v>1811</v>
      </c>
      <c r="AH682" s="4" t="s">
        <v>1812</v>
      </c>
      <c r="AI682" s="4" t="s">
        <v>260</v>
      </c>
    </row>
    <row r="683" spans="1:35" ht="36" x14ac:dyDescent="0.3">
      <c r="A683" s="51" t="s">
        <v>1826</v>
      </c>
      <c r="B683" s="51"/>
      <c r="C683" s="56" t="s">
        <v>682</v>
      </c>
      <c r="D683" s="53"/>
      <c r="E683" s="53"/>
      <c r="F683" s="57" t="s">
        <v>265</v>
      </c>
      <c r="G683" s="58">
        <v>0.15</v>
      </c>
      <c r="H683" s="53"/>
      <c r="I683" s="58">
        <v>138.19499999999999</v>
      </c>
      <c r="J683" s="59">
        <v>88.8</v>
      </c>
      <c r="K683" s="60"/>
      <c r="L683" s="60"/>
      <c r="M683" s="59">
        <f>ROUND(ROUND(J683, 2)*I683, 2)</f>
        <v>12271.72</v>
      </c>
      <c r="N683" s="60"/>
      <c r="O683" s="60"/>
      <c r="P683" s="59">
        <v>88.8</v>
      </c>
      <c r="Q683" s="60"/>
      <c r="R683" s="60"/>
      <c r="S683" s="59">
        <f>ROUND(ROUND(P683, 2)*I683, 2)</f>
        <v>12271.72</v>
      </c>
      <c r="T683" s="60"/>
      <c r="U683" s="61"/>
      <c r="V683" s="9">
        <f>ROUND(ROUND(P683, 2)/1.2, 2)</f>
        <v>74</v>
      </c>
      <c r="Y683" s="9">
        <f t="shared" si="130"/>
        <v>10226.43</v>
      </c>
      <c r="AD683" s="4" t="s">
        <v>1827</v>
      </c>
      <c r="AE683" s="4" t="s">
        <v>1828</v>
      </c>
      <c r="AF683" s="4" t="s">
        <v>685</v>
      </c>
    </row>
    <row r="684" spans="1:35" ht="36" x14ac:dyDescent="0.3">
      <c r="A684" s="51" t="s">
        <v>1829</v>
      </c>
      <c r="B684" s="51"/>
      <c r="C684" s="47" t="s">
        <v>1790</v>
      </c>
      <c r="D684" s="53"/>
      <c r="E684" s="53"/>
      <c r="F684" s="57" t="s">
        <v>265</v>
      </c>
      <c r="G684" s="58">
        <v>1.5</v>
      </c>
      <c r="H684" s="53"/>
      <c r="I684" s="58">
        <v>1381.95</v>
      </c>
      <c r="J684" s="59">
        <v>12.06</v>
      </c>
      <c r="K684" s="60"/>
      <c r="L684" s="60"/>
      <c r="M684" s="59">
        <f>ROUND(ROUND(J684, 2)*I684, 2)</f>
        <v>16666.32</v>
      </c>
      <c r="N684" s="60"/>
      <c r="O684" s="60"/>
      <c r="P684" s="59">
        <v>12.07</v>
      </c>
      <c r="Q684" s="60"/>
      <c r="R684" s="60"/>
      <c r="S684" s="59">
        <f>ROUND(ROUND(P684, 2)*I684, 2)</f>
        <v>16680.14</v>
      </c>
      <c r="T684" s="60"/>
      <c r="U684" s="61"/>
      <c r="V684" s="9">
        <f>ROUND(ROUND(P684, 2)/1.2, 2)</f>
        <v>10.06</v>
      </c>
      <c r="Y684" s="9">
        <f t="shared" si="130"/>
        <v>13900.12</v>
      </c>
      <c r="AD684" s="4" t="s">
        <v>1830</v>
      </c>
      <c r="AE684" s="4" t="s">
        <v>1831</v>
      </c>
      <c r="AF684" s="4" t="s">
        <v>1793</v>
      </c>
    </row>
    <row r="685" spans="1:35" ht="16.95" customHeight="1" x14ac:dyDescent="0.3">
      <c r="A685" s="10" t="s">
        <v>1832</v>
      </c>
      <c r="B685" s="10" t="s">
        <v>1833</v>
      </c>
      <c r="C685" s="153" t="s">
        <v>1834</v>
      </c>
      <c r="D685" s="154"/>
      <c r="E685" s="154"/>
      <c r="F685" s="154"/>
      <c r="G685" s="154"/>
      <c r="H685" s="154"/>
      <c r="I685" s="155"/>
      <c r="M685" s="6">
        <f>SUM(M686,M692,M698,M704,M710,M713,M716,M719,M722)</f>
        <v>2025969.93</v>
      </c>
      <c r="N685" s="6">
        <f>SUM(N686,N692,N698,N704,N710,N713,N716,N719,N722)</f>
        <v>2484998.4</v>
      </c>
      <c r="O685" s="6">
        <f>SUM(O686,O692,O698,O704,O710,O713,O716,O719,O722)</f>
        <v>4510968.33</v>
      </c>
      <c r="S685" s="6">
        <f>SUM(S686,S692,S698,S704,S710,S713,S716,S719,S722)</f>
        <v>868089.21</v>
      </c>
      <c r="T685" s="6">
        <f>SUM(T686,T692,T698,T704,T710,T713,T716,T719,T722)</f>
        <v>3727497.6</v>
      </c>
      <c r="U685" s="6">
        <f>SUM(U686,U692,U698,U704,U710,U713,U716,U719,U722)</f>
        <v>4595586.8099999996</v>
      </c>
      <c r="Y685" s="9">
        <f>SUM(Y686,Y692,Y698,Y704,Y710,Y713,Y716,Y719,Y722)</f>
        <v>723407.68</v>
      </c>
      <c r="Z685" s="9">
        <f>SUM(Z686,Z692,Z698,Z704,Z710,Z713,Z716,Z719,Z722)</f>
        <v>3106248</v>
      </c>
      <c r="AA685" s="9">
        <f>SUM(AA686,AA692,AA698,AA704,AA710,AA713,AA716,AA719,AA722)</f>
        <v>3829655.68</v>
      </c>
      <c r="AD685" s="4">
        <v>304337580</v>
      </c>
      <c r="AE685" s="4">
        <v>20300804</v>
      </c>
    </row>
    <row r="686" spans="1:35" ht="36" x14ac:dyDescent="0.3">
      <c r="A686" s="17" t="s">
        <v>1835</v>
      </c>
      <c r="B686" s="17" t="s">
        <v>1836</v>
      </c>
      <c r="C686" s="18" t="s">
        <v>1837</v>
      </c>
      <c r="D686" s="19"/>
      <c r="E686" s="19"/>
      <c r="F686" s="19" t="s">
        <v>59</v>
      </c>
      <c r="G686" s="20">
        <v>1</v>
      </c>
      <c r="H686" s="19"/>
      <c r="I686" s="21">
        <v>0</v>
      </c>
      <c r="J686" s="22">
        <f>IFERROR(ROUND(SUM(M688,M690)/I686, 2),0)</f>
        <v>0</v>
      </c>
      <c r="K686" s="22">
        <v>464</v>
      </c>
      <c r="L686" s="22">
        <f>J686+ROUND(K686, 2)</f>
        <v>464</v>
      </c>
      <c r="M686" s="22">
        <f>ROUND(J686*I686, 2)</f>
        <v>0</v>
      </c>
      <c r="N686" s="22">
        <f>ROUND(I686*ROUND(K686, 2), 2)</f>
        <v>0</v>
      </c>
      <c r="O686" s="22">
        <f>M686+N686</f>
        <v>0</v>
      </c>
      <c r="P686" s="22">
        <f>IFERROR(ROUND(SUM(S688,S690)/I686, 2),0)</f>
        <v>0</v>
      </c>
      <c r="Q686" s="22">
        <v>464</v>
      </c>
      <c r="R686" s="22">
        <f>P686+ROUND(Q686, 2)</f>
        <v>464</v>
      </c>
      <c r="S686" s="22">
        <f>ROUND(P686*I686, 2)</f>
        <v>0</v>
      </c>
      <c r="T686" s="22">
        <f>ROUND(I686*ROUND(Q686, 2), 2)</f>
        <v>0</v>
      </c>
      <c r="U686" s="22">
        <f>S686+T686</f>
        <v>0</v>
      </c>
      <c r="V686" s="9">
        <f>ROUND(P686 / 1.2, 2)</f>
        <v>0</v>
      </c>
      <c r="W686" s="9">
        <f>ROUND(Q686 / 1.2, 2)</f>
        <v>386.67</v>
      </c>
      <c r="X686" s="9">
        <f>ROUND(R686 / 1.2, 2)</f>
        <v>386.67</v>
      </c>
      <c r="Y686" s="9">
        <f>ROUND(S686 / 1.2, 2)</f>
        <v>0</v>
      </c>
      <c r="Z686" s="9">
        <f>ROUND(T686 / 1.2, 2)</f>
        <v>0</v>
      </c>
      <c r="AA686" s="9">
        <f>Y686+Z686</f>
        <v>0</v>
      </c>
      <c r="AD686" s="4">
        <v>304337582</v>
      </c>
      <c r="AE686" s="4">
        <v>20344955</v>
      </c>
      <c r="AG686" s="4" t="s">
        <v>1838</v>
      </c>
      <c r="AH686" s="4" t="s">
        <v>1839</v>
      </c>
      <c r="AI686" s="4" t="s">
        <v>260</v>
      </c>
    </row>
    <row r="687" spans="1:35" ht="162" x14ac:dyDescent="0.3">
      <c r="A687" s="23" t="s">
        <v>1840</v>
      </c>
      <c r="B687" s="23" t="s">
        <v>1836</v>
      </c>
      <c r="C687" s="24" t="s">
        <v>1837</v>
      </c>
      <c r="D687" s="25"/>
      <c r="E687" s="25" t="s">
        <v>1841</v>
      </c>
      <c r="F687" s="25" t="s">
        <v>59</v>
      </c>
      <c r="G687" s="26">
        <v>1</v>
      </c>
      <c r="H687" s="25"/>
      <c r="I687" s="26">
        <v>3898.4</v>
      </c>
      <c r="J687" s="27">
        <v>0</v>
      </c>
      <c r="K687" s="27">
        <v>464</v>
      </c>
      <c r="L687" s="27"/>
      <c r="M687" s="27">
        <v>0</v>
      </c>
      <c r="N687" s="27"/>
      <c r="O687" s="27"/>
      <c r="P687" s="27">
        <v>0</v>
      </c>
      <c r="Q687" s="27">
        <v>464</v>
      </c>
      <c r="R687" s="27"/>
      <c r="S687" s="27">
        <v>0</v>
      </c>
      <c r="T687" s="27"/>
      <c r="U687" s="27"/>
      <c r="V687" s="9"/>
      <c r="W687" s="9">
        <f>ROUND(Q687 / 1.2, 2)</f>
        <v>386.67</v>
      </c>
      <c r="X687" s="9" t="e">
        <f>ROUND(R687 / 1.2, 2)</f>
        <v>#VALUE!</v>
      </c>
      <c r="Y687" s="9"/>
      <c r="Z687" s="9" t="e">
        <f>ROUND(T687 / 1.2, 2)</f>
        <v>#VALUE!</v>
      </c>
      <c r="AA687" s="9"/>
      <c r="AD687" s="4">
        <v>281967412</v>
      </c>
      <c r="AE687" s="4">
        <v>20344955</v>
      </c>
      <c r="AG687" s="4" t="s">
        <v>1838</v>
      </c>
      <c r="AH687" s="4" t="s">
        <v>1839</v>
      </c>
      <c r="AI687" s="4"/>
    </row>
    <row r="688" spans="1:35" ht="72" x14ac:dyDescent="0.3">
      <c r="A688" s="17" t="s">
        <v>1842</v>
      </c>
      <c r="B688" s="17"/>
      <c r="C688" s="34" t="s">
        <v>1242</v>
      </c>
      <c r="D688" s="19"/>
      <c r="E688" s="19" t="s">
        <v>1843</v>
      </c>
      <c r="F688" s="35" t="s">
        <v>265</v>
      </c>
      <c r="G688" s="36">
        <v>0.3</v>
      </c>
      <c r="H688" s="19"/>
      <c r="I688" s="37">
        <v>0</v>
      </c>
      <c r="J688" s="38">
        <v>1216.56</v>
      </c>
      <c r="K688" s="39"/>
      <c r="L688" s="39"/>
      <c r="M688" s="38">
        <f>ROUND(ROUND(J688, 2)*I688, 2)</f>
        <v>0</v>
      </c>
      <c r="N688" s="39"/>
      <c r="O688" s="39"/>
      <c r="P688" s="38">
        <v>495.9</v>
      </c>
      <c r="Q688" s="39"/>
      <c r="R688" s="39"/>
      <c r="S688" s="38">
        <f>ROUND(ROUND(P688, 2)*I688, 2)</f>
        <v>0</v>
      </c>
      <c r="T688" s="39"/>
      <c r="U688" s="40"/>
      <c r="V688" s="9">
        <f>ROUND(ROUND(P688, 2)/1.2, 2)</f>
        <v>413.25</v>
      </c>
      <c r="Y688" s="9">
        <f>ROUND(S688 / 1.2, 2)</f>
        <v>0</v>
      </c>
      <c r="AD688" s="4" t="s">
        <v>1844</v>
      </c>
      <c r="AE688" s="4" t="s">
        <v>1845</v>
      </c>
      <c r="AF688" s="4" t="s">
        <v>1245</v>
      </c>
    </row>
    <row r="689" spans="1:35" ht="72" x14ac:dyDescent="0.3">
      <c r="A689" s="23" t="s">
        <v>1846</v>
      </c>
      <c r="B689" s="23"/>
      <c r="C689" s="41" t="s">
        <v>1242</v>
      </c>
      <c r="D689" s="25"/>
      <c r="E689" s="25" t="s">
        <v>1843</v>
      </c>
      <c r="F689" s="42" t="s">
        <v>265</v>
      </c>
      <c r="G689" s="43">
        <v>0.3</v>
      </c>
      <c r="H689" s="25"/>
      <c r="I689" s="43">
        <v>1169.52</v>
      </c>
      <c r="J689" s="44">
        <v>1216.56</v>
      </c>
      <c r="K689" s="45"/>
      <c r="L689" s="45"/>
      <c r="M689" s="44">
        <f>ROUND(ROUND(J689, 2)*I689, 2)</f>
        <v>1422791.25</v>
      </c>
      <c r="N689" s="45"/>
      <c r="O689" s="45"/>
      <c r="P689" s="44">
        <v>495.9</v>
      </c>
      <c r="Q689" s="45"/>
      <c r="R689" s="45"/>
      <c r="S689" s="44">
        <f>ROUND(ROUND(P689, 2)*I689, 2)</f>
        <v>579964.97</v>
      </c>
      <c r="T689" s="45"/>
      <c r="U689" s="46"/>
      <c r="V689" s="9">
        <f>ROUND(ROUND(P689, 2)/1.2, 2)</f>
        <v>413.25</v>
      </c>
      <c r="Y689" s="9">
        <f>ROUND(S689 / 1.2, 2)</f>
        <v>483304.14</v>
      </c>
      <c r="AD689" s="4" t="s">
        <v>1847</v>
      </c>
      <c r="AE689" s="4" t="s">
        <v>1845</v>
      </c>
      <c r="AF689" s="4" t="s">
        <v>1245</v>
      </c>
    </row>
    <row r="690" spans="1:35" ht="36" x14ac:dyDescent="0.3">
      <c r="A690" s="17" t="s">
        <v>1848</v>
      </c>
      <c r="B690" s="17"/>
      <c r="C690" s="34" t="s">
        <v>682</v>
      </c>
      <c r="D690" s="19"/>
      <c r="E690" s="19"/>
      <c r="F690" s="35" t="s">
        <v>265</v>
      </c>
      <c r="G690" s="36">
        <v>0.15</v>
      </c>
      <c r="H690" s="19"/>
      <c r="I690" s="37">
        <v>0</v>
      </c>
      <c r="J690" s="38">
        <v>88.8</v>
      </c>
      <c r="K690" s="39"/>
      <c r="L690" s="39"/>
      <c r="M690" s="38">
        <f>ROUND(ROUND(J690, 2)*I690, 2)</f>
        <v>0</v>
      </c>
      <c r="N690" s="39"/>
      <c r="O690" s="39"/>
      <c r="P690" s="38">
        <v>88.8</v>
      </c>
      <c r="Q690" s="39"/>
      <c r="R690" s="39"/>
      <c r="S690" s="38">
        <f>ROUND(ROUND(P690, 2)*I690, 2)</f>
        <v>0</v>
      </c>
      <c r="T690" s="39"/>
      <c r="U690" s="40"/>
      <c r="V690" s="9">
        <f>ROUND(ROUND(P690, 2)/1.2, 2)</f>
        <v>74</v>
      </c>
      <c r="Y690" s="9">
        <f>ROUND(S690 / 1.2, 2)</f>
        <v>0</v>
      </c>
      <c r="AD690" s="4" t="s">
        <v>1849</v>
      </c>
      <c r="AE690" s="4" t="s">
        <v>1850</v>
      </c>
      <c r="AF690" s="4" t="s">
        <v>685</v>
      </c>
    </row>
    <row r="691" spans="1:35" ht="36" x14ac:dyDescent="0.3">
      <c r="A691" s="23" t="s">
        <v>1851</v>
      </c>
      <c r="B691" s="23"/>
      <c r="C691" s="41" t="s">
        <v>682</v>
      </c>
      <c r="D691" s="25"/>
      <c r="E691" s="25"/>
      <c r="F691" s="42" t="s">
        <v>265</v>
      </c>
      <c r="G691" s="43">
        <v>0.15</v>
      </c>
      <c r="H691" s="25"/>
      <c r="I691" s="43">
        <v>584.76</v>
      </c>
      <c r="J691" s="44">
        <v>88.8</v>
      </c>
      <c r="K691" s="45"/>
      <c r="L691" s="45"/>
      <c r="M691" s="44">
        <f>ROUND(ROUND(J691, 2)*I691, 2)</f>
        <v>51926.69</v>
      </c>
      <c r="N691" s="45"/>
      <c r="O691" s="45"/>
      <c r="P691" s="44">
        <v>88.8</v>
      </c>
      <c r="Q691" s="45"/>
      <c r="R691" s="45"/>
      <c r="S691" s="44">
        <f>ROUND(ROUND(P691, 2)*I691, 2)</f>
        <v>51926.69</v>
      </c>
      <c r="T691" s="45"/>
      <c r="U691" s="46"/>
      <c r="V691" s="9">
        <f>ROUND(ROUND(P691, 2)/1.2, 2)</f>
        <v>74</v>
      </c>
      <c r="Y691" s="9">
        <f>ROUND(S691 / 1.2, 2)</f>
        <v>43272.24</v>
      </c>
      <c r="AD691" s="4" t="s">
        <v>1852</v>
      </c>
      <c r="AE691" s="4" t="s">
        <v>1850</v>
      </c>
      <c r="AF691" s="4" t="s">
        <v>685</v>
      </c>
    </row>
    <row r="692" spans="1:35" ht="36" x14ac:dyDescent="0.3">
      <c r="A692" s="17" t="s">
        <v>1853</v>
      </c>
      <c r="B692" s="17" t="s">
        <v>1836</v>
      </c>
      <c r="C692" s="18" t="s">
        <v>1837</v>
      </c>
      <c r="D692" s="19"/>
      <c r="E692" s="19"/>
      <c r="F692" s="19" t="s">
        <v>59</v>
      </c>
      <c r="G692" s="20">
        <v>1</v>
      </c>
      <c r="H692" s="19"/>
      <c r="I692" s="21">
        <v>0</v>
      </c>
      <c r="J692" s="22">
        <f>IFERROR(ROUND(SUM(M694,M696)/I692, 2),0)</f>
        <v>0</v>
      </c>
      <c r="K692" s="22">
        <v>464</v>
      </c>
      <c r="L692" s="22">
        <f>J692+ROUND(K692, 2)</f>
        <v>464</v>
      </c>
      <c r="M692" s="22">
        <f>ROUND(J692*I692, 2)</f>
        <v>0</v>
      </c>
      <c r="N692" s="22">
        <f>ROUND(I692*ROUND(K692, 2), 2)</f>
        <v>0</v>
      </c>
      <c r="O692" s="22">
        <f>M692+N692</f>
        <v>0</v>
      </c>
      <c r="P692" s="22">
        <f>IFERROR(ROUND(SUM(S694,S696)/I692, 2),0)</f>
        <v>0</v>
      </c>
      <c r="Q692" s="22">
        <v>464</v>
      </c>
      <c r="R692" s="22">
        <f>P692+ROUND(Q692, 2)</f>
        <v>464</v>
      </c>
      <c r="S692" s="22">
        <f>ROUND(P692*I692, 2)</f>
        <v>0</v>
      </c>
      <c r="T692" s="22">
        <f>ROUND(I692*ROUND(Q692, 2), 2)</f>
        <v>0</v>
      </c>
      <c r="U692" s="22">
        <f>S692+T692</f>
        <v>0</v>
      </c>
      <c r="V692" s="9">
        <f>ROUND(P692 / 1.2, 2)</f>
        <v>0</v>
      </c>
      <c r="W692" s="9">
        <f>ROUND(Q692 / 1.2, 2)</f>
        <v>386.67</v>
      </c>
      <c r="X692" s="9">
        <f>ROUND(R692 / 1.2, 2)</f>
        <v>386.67</v>
      </c>
      <c r="Y692" s="9">
        <f>ROUND(S692 / 1.2, 2)</f>
        <v>0</v>
      </c>
      <c r="Z692" s="9">
        <f>ROUND(T692 / 1.2, 2)</f>
        <v>0</v>
      </c>
      <c r="AA692" s="9">
        <f>Y692+Z692</f>
        <v>0</v>
      </c>
      <c r="AD692" s="4">
        <v>304337691</v>
      </c>
      <c r="AE692" s="4">
        <v>20344956</v>
      </c>
      <c r="AG692" s="4" t="s">
        <v>1838</v>
      </c>
      <c r="AH692" s="4" t="s">
        <v>1839</v>
      </c>
      <c r="AI692" s="4" t="s">
        <v>260</v>
      </c>
    </row>
    <row r="693" spans="1:35" ht="54" x14ac:dyDescent="0.3">
      <c r="A693" s="23" t="s">
        <v>1854</v>
      </c>
      <c r="B693" s="23" t="s">
        <v>1836</v>
      </c>
      <c r="C693" s="24" t="s">
        <v>1837</v>
      </c>
      <c r="D693" s="25"/>
      <c r="E693" s="25" t="s">
        <v>1855</v>
      </c>
      <c r="F693" s="25" t="s">
        <v>59</v>
      </c>
      <c r="G693" s="26">
        <v>1</v>
      </c>
      <c r="H693" s="25"/>
      <c r="I693" s="26">
        <v>921.3</v>
      </c>
      <c r="J693" s="27">
        <v>0</v>
      </c>
      <c r="K693" s="27">
        <v>464</v>
      </c>
      <c r="L693" s="27"/>
      <c r="M693" s="27">
        <v>0</v>
      </c>
      <c r="N693" s="27"/>
      <c r="O693" s="27"/>
      <c r="P693" s="27">
        <v>0</v>
      </c>
      <c r="Q693" s="27">
        <v>464</v>
      </c>
      <c r="R693" s="27"/>
      <c r="S693" s="27">
        <v>0</v>
      </c>
      <c r="T693" s="27"/>
      <c r="U693" s="27"/>
      <c r="V693" s="9"/>
      <c r="W693" s="9">
        <f>ROUND(Q693 / 1.2, 2)</f>
        <v>386.67</v>
      </c>
      <c r="X693" s="9" t="e">
        <f>ROUND(R693 / 1.2, 2)</f>
        <v>#VALUE!</v>
      </c>
      <c r="Y693" s="9"/>
      <c r="Z693" s="9" t="e">
        <f>ROUND(T693 / 1.2, 2)</f>
        <v>#VALUE!</v>
      </c>
      <c r="AA693" s="9"/>
      <c r="AD693" s="4">
        <v>281967459</v>
      </c>
      <c r="AE693" s="4">
        <v>20344956</v>
      </c>
      <c r="AG693" s="4" t="s">
        <v>1838</v>
      </c>
      <c r="AH693" s="4" t="s">
        <v>1839</v>
      </c>
      <c r="AI693" s="4"/>
    </row>
    <row r="694" spans="1:35" ht="36" x14ac:dyDescent="0.3">
      <c r="A694" s="17" t="s">
        <v>1856</v>
      </c>
      <c r="B694" s="17"/>
      <c r="C694" s="34" t="s">
        <v>682</v>
      </c>
      <c r="D694" s="19"/>
      <c r="E694" s="19"/>
      <c r="F694" s="35" t="s">
        <v>265</v>
      </c>
      <c r="G694" s="36">
        <v>0.15</v>
      </c>
      <c r="H694" s="19"/>
      <c r="I694" s="37">
        <v>0</v>
      </c>
      <c r="J694" s="38">
        <v>88.8</v>
      </c>
      <c r="K694" s="39"/>
      <c r="L694" s="39"/>
      <c r="M694" s="38">
        <f>ROUND(ROUND(J694, 2)*I694, 2)</f>
        <v>0</v>
      </c>
      <c r="N694" s="39"/>
      <c r="O694" s="39"/>
      <c r="P694" s="38">
        <v>88.8</v>
      </c>
      <c r="Q694" s="39"/>
      <c r="R694" s="39"/>
      <c r="S694" s="38">
        <f>ROUND(ROUND(P694, 2)*I694, 2)</f>
        <v>0</v>
      </c>
      <c r="T694" s="39"/>
      <c r="U694" s="40"/>
      <c r="V694" s="9">
        <f>ROUND(ROUND(P694, 2)/1.2, 2)</f>
        <v>74</v>
      </c>
      <c r="Y694" s="9">
        <f>ROUND(S694 / 1.2, 2)</f>
        <v>0</v>
      </c>
      <c r="AD694" s="4" t="s">
        <v>1857</v>
      </c>
      <c r="AE694" s="4" t="s">
        <v>1858</v>
      </c>
      <c r="AF694" s="4" t="s">
        <v>685</v>
      </c>
    </row>
    <row r="695" spans="1:35" ht="36" x14ac:dyDescent="0.3">
      <c r="A695" s="23" t="s">
        <v>1859</v>
      </c>
      <c r="B695" s="23"/>
      <c r="C695" s="41" t="s">
        <v>682</v>
      </c>
      <c r="D695" s="25"/>
      <c r="E695" s="25"/>
      <c r="F695" s="42" t="s">
        <v>265</v>
      </c>
      <c r="G695" s="43">
        <v>0.15</v>
      </c>
      <c r="H695" s="25"/>
      <c r="I695" s="43">
        <v>138.19499999999999</v>
      </c>
      <c r="J695" s="44">
        <v>88.8</v>
      </c>
      <c r="K695" s="45"/>
      <c r="L695" s="45"/>
      <c r="M695" s="44">
        <f>ROUND(ROUND(J695, 2)*I695, 2)</f>
        <v>12271.72</v>
      </c>
      <c r="N695" s="45"/>
      <c r="O695" s="45"/>
      <c r="P695" s="44">
        <v>88.8</v>
      </c>
      <c r="Q695" s="45"/>
      <c r="R695" s="45"/>
      <c r="S695" s="44">
        <f>ROUND(ROUND(P695, 2)*I695, 2)</f>
        <v>12271.72</v>
      </c>
      <c r="T695" s="45"/>
      <c r="U695" s="46"/>
      <c r="V695" s="9">
        <f>ROUND(ROUND(P695, 2)/1.2, 2)</f>
        <v>74</v>
      </c>
      <c r="Y695" s="9">
        <f>ROUND(S695 / 1.2, 2)</f>
        <v>10226.43</v>
      </c>
      <c r="AD695" s="4" t="s">
        <v>1860</v>
      </c>
      <c r="AE695" s="4" t="s">
        <v>1858</v>
      </c>
      <c r="AF695" s="4" t="s">
        <v>685</v>
      </c>
    </row>
    <row r="696" spans="1:35" ht="36" x14ac:dyDescent="0.3">
      <c r="A696" s="17" t="s">
        <v>1861</v>
      </c>
      <c r="B696" s="17"/>
      <c r="C696" s="34" t="s">
        <v>1242</v>
      </c>
      <c r="D696" s="19"/>
      <c r="E696" s="19"/>
      <c r="F696" s="35" t="s">
        <v>265</v>
      </c>
      <c r="G696" s="36">
        <v>0.3</v>
      </c>
      <c r="H696" s="19"/>
      <c r="I696" s="37">
        <v>0</v>
      </c>
      <c r="J696" s="38">
        <v>1216.56</v>
      </c>
      <c r="K696" s="39"/>
      <c r="L696" s="39"/>
      <c r="M696" s="38">
        <f>ROUND(ROUND(J696, 2)*I696, 2)</f>
        <v>0</v>
      </c>
      <c r="N696" s="39"/>
      <c r="O696" s="39"/>
      <c r="P696" s="38">
        <v>495.9</v>
      </c>
      <c r="Q696" s="39"/>
      <c r="R696" s="39"/>
      <c r="S696" s="38">
        <f>ROUND(ROUND(P696, 2)*I696, 2)</f>
        <v>0</v>
      </c>
      <c r="T696" s="39"/>
      <c r="U696" s="40"/>
      <c r="V696" s="9">
        <f>ROUND(ROUND(P696, 2)/1.2, 2)</f>
        <v>413.25</v>
      </c>
      <c r="Y696" s="9">
        <f>ROUND(S696 / 1.2, 2)</f>
        <v>0</v>
      </c>
      <c r="AD696" s="4" t="s">
        <v>1862</v>
      </c>
      <c r="AE696" s="4" t="s">
        <v>1863</v>
      </c>
      <c r="AF696" s="4" t="s">
        <v>1245</v>
      </c>
    </row>
    <row r="697" spans="1:35" ht="36" x14ac:dyDescent="0.3">
      <c r="A697" s="23" t="s">
        <v>1864</v>
      </c>
      <c r="B697" s="23"/>
      <c r="C697" s="41" t="s">
        <v>1242</v>
      </c>
      <c r="D697" s="25"/>
      <c r="E697" s="25"/>
      <c r="F697" s="42" t="s">
        <v>265</v>
      </c>
      <c r="G697" s="43">
        <v>0.3</v>
      </c>
      <c r="H697" s="25"/>
      <c r="I697" s="43">
        <v>276.39</v>
      </c>
      <c r="J697" s="44">
        <v>1216.56</v>
      </c>
      <c r="K697" s="45"/>
      <c r="L697" s="45"/>
      <c r="M697" s="44">
        <f>ROUND(ROUND(J697, 2)*I697, 2)</f>
        <v>336245.02</v>
      </c>
      <c r="N697" s="45"/>
      <c r="O697" s="45"/>
      <c r="P697" s="44">
        <v>495.9</v>
      </c>
      <c r="Q697" s="45"/>
      <c r="R697" s="45"/>
      <c r="S697" s="44">
        <f>ROUND(ROUND(P697, 2)*I697, 2)</f>
        <v>137061.79999999999</v>
      </c>
      <c r="T697" s="45"/>
      <c r="U697" s="46"/>
      <c r="V697" s="9">
        <f>ROUND(ROUND(P697, 2)/1.2, 2)</f>
        <v>413.25</v>
      </c>
      <c r="Y697" s="9">
        <f>ROUND(S697 / 1.2, 2)</f>
        <v>114218.17</v>
      </c>
      <c r="AD697" s="4" t="s">
        <v>1865</v>
      </c>
      <c r="AE697" s="4" t="s">
        <v>1863</v>
      </c>
      <c r="AF697" s="4" t="s">
        <v>1245</v>
      </c>
    </row>
    <row r="698" spans="1:35" ht="36" x14ac:dyDescent="0.3">
      <c r="A698" s="17" t="s">
        <v>1866</v>
      </c>
      <c r="B698" s="17" t="s">
        <v>1836</v>
      </c>
      <c r="C698" s="18" t="s">
        <v>1837</v>
      </c>
      <c r="D698" s="19"/>
      <c r="E698" s="19"/>
      <c r="F698" s="19" t="s">
        <v>59</v>
      </c>
      <c r="G698" s="20">
        <v>1</v>
      </c>
      <c r="H698" s="19"/>
      <c r="I698" s="21">
        <v>0</v>
      </c>
      <c r="J698" s="22">
        <f>IFERROR(ROUND(SUM(M700,M702)/I698, 2),0)</f>
        <v>0</v>
      </c>
      <c r="K698" s="22">
        <v>464</v>
      </c>
      <c r="L698" s="22">
        <f>J698+ROUND(K698, 2)</f>
        <v>464</v>
      </c>
      <c r="M698" s="22">
        <f>ROUND(J698*I698, 2)</f>
        <v>0</v>
      </c>
      <c r="N698" s="22">
        <f>ROUND(I698*ROUND(K698, 2), 2)</f>
        <v>0</v>
      </c>
      <c r="O698" s="22">
        <f>M698+N698</f>
        <v>0</v>
      </c>
      <c r="P698" s="22">
        <f>IFERROR(ROUND(SUM(S700,S702)/I698, 2),0)</f>
        <v>0</v>
      </c>
      <c r="Q698" s="22">
        <v>464</v>
      </c>
      <c r="R698" s="22">
        <f>P698+ROUND(Q698, 2)</f>
        <v>464</v>
      </c>
      <c r="S698" s="22">
        <f>ROUND(P698*I698, 2)</f>
        <v>0</v>
      </c>
      <c r="T698" s="22">
        <f>ROUND(I698*ROUND(Q698, 2), 2)</f>
        <v>0</v>
      </c>
      <c r="U698" s="22">
        <f>S698+T698</f>
        <v>0</v>
      </c>
      <c r="V698" s="9">
        <f>ROUND(P698 / 1.2, 2)</f>
        <v>0</v>
      </c>
      <c r="W698" s="9">
        <f>ROUND(Q698 / 1.2, 2)</f>
        <v>386.67</v>
      </c>
      <c r="X698" s="9">
        <f>ROUND(R698 / 1.2, 2)</f>
        <v>386.67</v>
      </c>
      <c r="Y698" s="9">
        <f>ROUND(S698 / 1.2, 2)</f>
        <v>0</v>
      </c>
      <c r="Z698" s="9">
        <f>ROUND(T698 / 1.2, 2)</f>
        <v>0</v>
      </c>
      <c r="AA698" s="9">
        <f>Y698+Z698</f>
        <v>0</v>
      </c>
      <c r="AD698" s="4">
        <v>304337692</v>
      </c>
      <c r="AE698" s="4">
        <v>20345081</v>
      </c>
      <c r="AG698" s="4" t="s">
        <v>1838</v>
      </c>
      <c r="AH698" s="4" t="s">
        <v>1839</v>
      </c>
      <c r="AI698" s="4" t="s">
        <v>260</v>
      </c>
    </row>
    <row r="699" spans="1:35" ht="162" x14ac:dyDescent="0.3">
      <c r="A699" s="23" t="s">
        <v>1867</v>
      </c>
      <c r="B699" s="23" t="s">
        <v>1836</v>
      </c>
      <c r="C699" s="24" t="s">
        <v>1837</v>
      </c>
      <c r="D699" s="25"/>
      <c r="E699" s="25" t="s">
        <v>1868</v>
      </c>
      <c r="F699" s="25" t="s">
        <v>59</v>
      </c>
      <c r="G699" s="26">
        <v>1</v>
      </c>
      <c r="H699" s="25"/>
      <c r="I699" s="26">
        <v>272.2</v>
      </c>
      <c r="J699" s="27">
        <v>0</v>
      </c>
      <c r="K699" s="27">
        <v>464</v>
      </c>
      <c r="L699" s="27"/>
      <c r="M699" s="27">
        <v>0</v>
      </c>
      <c r="N699" s="27"/>
      <c r="O699" s="27"/>
      <c r="P699" s="27">
        <v>0</v>
      </c>
      <c r="Q699" s="27">
        <v>464</v>
      </c>
      <c r="R699" s="27"/>
      <c r="S699" s="27">
        <v>0</v>
      </c>
      <c r="T699" s="27"/>
      <c r="U699" s="27"/>
      <c r="V699" s="9"/>
      <c r="W699" s="9">
        <f>ROUND(Q699 / 1.2, 2)</f>
        <v>386.67</v>
      </c>
      <c r="X699" s="9" t="e">
        <f>ROUND(R699 / 1.2, 2)</f>
        <v>#VALUE!</v>
      </c>
      <c r="Y699" s="9"/>
      <c r="Z699" s="9" t="e">
        <f>ROUND(T699 / 1.2, 2)</f>
        <v>#VALUE!</v>
      </c>
      <c r="AA699" s="9"/>
      <c r="AD699" s="4">
        <v>281967460</v>
      </c>
      <c r="AE699" s="4">
        <v>20345081</v>
      </c>
      <c r="AG699" s="4" t="s">
        <v>1838</v>
      </c>
      <c r="AH699" s="4" t="s">
        <v>1839</v>
      </c>
      <c r="AI699" s="4"/>
    </row>
    <row r="700" spans="1:35" ht="36" x14ac:dyDescent="0.3">
      <c r="A700" s="17" t="s">
        <v>1869</v>
      </c>
      <c r="B700" s="17"/>
      <c r="C700" s="34" t="s">
        <v>1242</v>
      </c>
      <c r="D700" s="19"/>
      <c r="E700" s="19"/>
      <c r="F700" s="35" t="s">
        <v>265</v>
      </c>
      <c r="G700" s="36">
        <v>0.3</v>
      </c>
      <c r="H700" s="19"/>
      <c r="I700" s="37">
        <v>0</v>
      </c>
      <c r="J700" s="38">
        <v>1216.56</v>
      </c>
      <c r="K700" s="39"/>
      <c r="L700" s="39"/>
      <c r="M700" s="38">
        <f>ROUND(ROUND(J700, 2)*I700, 2)</f>
        <v>0</v>
      </c>
      <c r="N700" s="39"/>
      <c r="O700" s="39"/>
      <c r="P700" s="38">
        <v>495.9</v>
      </c>
      <c r="Q700" s="39"/>
      <c r="R700" s="39"/>
      <c r="S700" s="38">
        <f>ROUND(ROUND(P700, 2)*I700, 2)</f>
        <v>0</v>
      </c>
      <c r="T700" s="39"/>
      <c r="U700" s="40"/>
      <c r="V700" s="9">
        <f>ROUND(ROUND(P700, 2)/1.2, 2)</f>
        <v>413.25</v>
      </c>
      <c r="Y700" s="9">
        <f>ROUND(S700 / 1.2, 2)</f>
        <v>0</v>
      </c>
      <c r="AD700" s="4" t="s">
        <v>1870</v>
      </c>
      <c r="AE700" s="4" t="s">
        <v>1871</v>
      </c>
      <c r="AF700" s="4" t="s">
        <v>1245</v>
      </c>
    </row>
    <row r="701" spans="1:35" ht="54" x14ac:dyDescent="0.3">
      <c r="A701" s="23" t="s">
        <v>1872</v>
      </c>
      <c r="B701" s="23"/>
      <c r="C701" s="41" t="s">
        <v>1242</v>
      </c>
      <c r="D701" s="25"/>
      <c r="E701" s="25" t="s">
        <v>1873</v>
      </c>
      <c r="F701" s="42" t="s">
        <v>265</v>
      </c>
      <c r="G701" s="43">
        <v>0.3</v>
      </c>
      <c r="H701" s="25"/>
      <c r="I701" s="43">
        <v>81.66</v>
      </c>
      <c r="J701" s="44">
        <v>1216.56</v>
      </c>
      <c r="K701" s="45"/>
      <c r="L701" s="45"/>
      <c r="M701" s="44">
        <f>ROUND(ROUND(J701, 2)*I701, 2)</f>
        <v>99344.29</v>
      </c>
      <c r="N701" s="45"/>
      <c r="O701" s="45"/>
      <c r="P701" s="44">
        <v>495.9</v>
      </c>
      <c r="Q701" s="45"/>
      <c r="R701" s="45"/>
      <c r="S701" s="44">
        <f>ROUND(ROUND(P701, 2)*I701, 2)</f>
        <v>40495.19</v>
      </c>
      <c r="T701" s="45"/>
      <c r="U701" s="46"/>
      <c r="V701" s="9">
        <f>ROUND(ROUND(P701, 2)/1.2, 2)</f>
        <v>413.25</v>
      </c>
      <c r="Y701" s="9">
        <f>ROUND(S701 / 1.2, 2)</f>
        <v>33745.99</v>
      </c>
      <c r="AD701" s="4" t="s">
        <v>1874</v>
      </c>
      <c r="AE701" s="4" t="s">
        <v>1871</v>
      </c>
      <c r="AF701" s="4" t="s">
        <v>1245</v>
      </c>
    </row>
    <row r="702" spans="1:35" ht="36" x14ac:dyDescent="0.3">
      <c r="A702" s="17" t="s">
        <v>1875</v>
      </c>
      <c r="B702" s="17"/>
      <c r="C702" s="34" t="s">
        <v>682</v>
      </c>
      <c r="D702" s="19"/>
      <c r="E702" s="19"/>
      <c r="F702" s="35" t="s">
        <v>265</v>
      </c>
      <c r="G702" s="36">
        <v>0.15</v>
      </c>
      <c r="H702" s="19"/>
      <c r="I702" s="37">
        <v>0</v>
      </c>
      <c r="J702" s="38">
        <v>88.8</v>
      </c>
      <c r="K702" s="39"/>
      <c r="L702" s="39"/>
      <c r="M702" s="38">
        <f>ROUND(ROUND(J702, 2)*I702, 2)</f>
        <v>0</v>
      </c>
      <c r="N702" s="39"/>
      <c r="O702" s="39"/>
      <c r="P702" s="38">
        <v>88.8</v>
      </c>
      <c r="Q702" s="39"/>
      <c r="R702" s="39"/>
      <c r="S702" s="38">
        <f>ROUND(ROUND(P702, 2)*I702, 2)</f>
        <v>0</v>
      </c>
      <c r="T702" s="39"/>
      <c r="U702" s="40"/>
      <c r="V702" s="9">
        <f>ROUND(ROUND(P702, 2)/1.2, 2)</f>
        <v>74</v>
      </c>
      <c r="Y702" s="9">
        <f>ROUND(S702 / 1.2, 2)</f>
        <v>0</v>
      </c>
      <c r="AD702" s="4" t="s">
        <v>1876</v>
      </c>
      <c r="AE702" s="4" t="s">
        <v>1877</v>
      </c>
      <c r="AF702" s="4" t="s">
        <v>685</v>
      </c>
    </row>
    <row r="703" spans="1:35" ht="36" x14ac:dyDescent="0.3">
      <c r="A703" s="23" t="s">
        <v>1878</v>
      </c>
      <c r="B703" s="23"/>
      <c r="C703" s="41" t="s">
        <v>682</v>
      </c>
      <c r="D703" s="25"/>
      <c r="E703" s="25"/>
      <c r="F703" s="42" t="s">
        <v>265</v>
      </c>
      <c r="G703" s="43">
        <v>0.15</v>
      </c>
      <c r="H703" s="25"/>
      <c r="I703" s="43">
        <v>40.83</v>
      </c>
      <c r="J703" s="44">
        <v>88.8</v>
      </c>
      <c r="K703" s="45"/>
      <c r="L703" s="45"/>
      <c r="M703" s="44">
        <f>ROUND(ROUND(J703, 2)*I703, 2)</f>
        <v>3625.7</v>
      </c>
      <c r="N703" s="45"/>
      <c r="O703" s="45"/>
      <c r="P703" s="44">
        <v>88.8</v>
      </c>
      <c r="Q703" s="45"/>
      <c r="R703" s="45"/>
      <c r="S703" s="44">
        <f>ROUND(ROUND(P703, 2)*I703, 2)</f>
        <v>3625.7</v>
      </c>
      <c r="T703" s="45"/>
      <c r="U703" s="46"/>
      <c r="V703" s="9">
        <f>ROUND(ROUND(P703, 2)/1.2, 2)</f>
        <v>74</v>
      </c>
      <c r="Y703" s="9">
        <f>ROUND(S703 / 1.2, 2)</f>
        <v>3021.42</v>
      </c>
      <c r="AD703" s="4" t="s">
        <v>1879</v>
      </c>
      <c r="AE703" s="4" t="s">
        <v>1877</v>
      </c>
      <c r="AF703" s="4" t="s">
        <v>685</v>
      </c>
    </row>
    <row r="704" spans="1:35" ht="36" x14ac:dyDescent="0.3">
      <c r="A704" s="17" t="s">
        <v>1880</v>
      </c>
      <c r="B704" s="17" t="s">
        <v>1836</v>
      </c>
      <c r="C704" s="18" t="s">
        <v>1837</v>
      </c>
      <c r="D704" s="19"/>
      <c r="E704" s="19"/>
      <c r="F704" s="19" t="s">
        <v>59</v>
      </c>
      <c r="G704" s="20">
        <v>1</v>
      </c>
      <c r="H704" s="19"/>
      <c r="I704" s="21">
        <v>0</v>
      </c>
      <c r="J704" s="22">
        <f>IFERROR(ROUND(SUM(M706,M708)/I704, 2),0)</f>
        <v>0</v>
      </c>
      <c r="K704" s="22">
        <v>464</v>
      </c>
      <c r="L704" s="22">
        <f>J704+ROUND(K704, 2)</f>
        <v>464</v>
      </c>
      <c r="M704" s="22">
        <f>ROUND(J704*I704, 2)</f>
        <v>0</v>
      </c>
      <c r="N704" s="22">
        <f>ROUND(I704*ROUND(K704, 2), 2)</f>
        <v>0</v>
      </c>
      <c r="O704" s="22">
        <f>M704+N704</f>
        <v>0</v>
      </c>
      <c r="P704" s="22">
        <f>IFERROR(ROUND(SUM(S706,S708)/I704, 2),0)</f>
        <v>0</v>
      </c>
      <c r="Q704" s="22">
        <v>464</v>
      </c>
      <c r="R704" s="22">
        <f>P704+ROUND(Q704, 2)</f>
        <v>464</v>
      </c>
      <c r="S704" s="22">
        <f>ROUND(P704*I704, 2)</f>
        <v>0</v>
      </c>
      <c r="T704" s="22">
        <f>ROUND(I704*ROUND(Q704, 2), 2)</f>
        <v>0</v>
      </c>
      <c r="U704" s="22">
        <f>S704+T704</f>
        <v>0</v>
      </c>
      <c r="V704" s="9">
        <f>ROUND(P704 / 1.2, 2)</f>
        <v>0</v>
      </c>
      <c r="W704" s="9">
        <f>ROUND(Q704 / 1.2, 2)</f>
        <v>386.67</v>
      </c>
      <c r="X704" s="9">
        <f>ROUND(R704 / 1.2, 2)</f>
        <v>386.67</v>
      </c>
      <c r="Y704" s="9">
        <f>ROUND(S704 / 1.2, 2)</f>
        <v>0</v>
      </c>
      <c r="Z704" s="9">
        <f>ROUND(T704 / 1.2, 2)</f>
        <v>0</v>
      </c>
      <c r="AA704" s="9">
        <f>Y704+Z704</f>
        <v>0</v>
      </c>
      <c r="AD704" s="4">
        <v>304337693</v>
      </c>
      <c r="AE704" s="4">
        <v>20345310</v>
      </c>
      <c r="AG704" s="4" t="s">
        <v>1838</v>
      </c>
      <c r="AH704" s="4" t="s">
        <v>1839</v>
      </c>
      <c r="AI704" s="4" t="s">
        <v>260</v>
      </c>
    </row>
    <row r="705" spans="1:35" ht="162" x14ac:dyDescent="0.3">
      <c r="A705" s="23" t="s">
        <v>1881</v>
      </c>
      <c r="B705" s="23" t="s">
        <v>1836</v>
      </c>
      <c r="C705" s="24" t="s">
        <v>1837</v>
      </c>
      <c r="D705" s="25"/>
      <c r="E705" s="25" t="s">
        <v>1882</v>
      </c>
      <c r="F705" s="25" t="s">
        <v>59</v>
      </c>
      <c r="G705" s="26">
        <v>1</v>
      </c>
      <c r="H705" s="25"/>
      <c r="I705" s="26">
        <v>263.7</v>
      </c>
      <c r="J705" s="27">
        <v>0</v>
      </c>
      <c r="K705" s="27">
        <v>464</v>
      </c>
      <c r="L705" s="27"/>
      <c r="M705" s="27">
        <v>0</v>
      </c>
      <c r="N705" s="27"/>
      <c r="O705" s="27"/>
      <c r="P705" s="27">
        <v>0</v>
      </c>
      <c r="Q705" s="27">
        <v>464</v>
      </c>
      <c r="R705" s="27"/>
      <c r="S705" s="27">
        <v>0</v>
      </c>
      <c r="T705" s="27"/>
      <c r="U705" s="27"/>
      <c r="V705" s="9"/>
      <c r="W705" s="9">
        <f>ROUND(Q705 / 1.2, 2)</f>
        <v>386.67</v>
      </c>
      <c r="X705" s="9" t="e">
        <f>ROUND(R705 / 1.2, 2)</f>
        <v>#VALUE!</v>
      </c>
      <c r="Y705" s="9"/>
      <c r="Z705" s="9" t="e">
        <f>ROUND(T705 / 1.2, 2)</f>
        <v>#VALUE!</v>
      </c>
      <c r="AA705" s="9"/>
      <c r="AD705" s="4">
        <v>281967461</v>
      </c>
      <c r="AE705" s="4">
        <v>20345310</v>
      </c>
      <c r="AG705" s="4" t="s">
        <v>1838</v>
      </c>
      <c r="AH705" s="4" t="s">
        <v>1839</v>
      </c>
      <c r="AI705" s="4"/>
    </row>
    <row r="706" spans="1:35" ht="36" x14ac:dyDescent="0.3">
      <c r="A706" s="17" t="s">
        <v>1883</v>
      </c>
      <c r="B706" s="17"/>
      <c r="C706" s="34" t="s">
        <v>682</v>
      </c>
      <c r="D706" s="19"/>
      <c r="E706" s="19"/>
      <c r="F706" s="35" t="s">
        <v>265</v>
      </c>
      <c r="G706" s="36">
        <v>0.15</v>
      </c>
      <c r="H706" s="19"/>
      <c r="I706" s="37">
        <v>0</v>
      </c>
      <c r="J706" s="38">
        <v>88.8</v>
      </c>
      <c r="K706" s="39"/>
      <c r="L706" s="39"/>
      <c r="M706" s="38">
        <f>ROUND(ROUND(J706, 2)*I706, 2)</f>
        <v>0</v>
      </c>
      <c r="N706" s="39"/>
      <c r="O706" s="39"/>
      <c r="P706" s="38">
        <v>88.8</v>
      </c>
      <c r="Q706" s="39"/>
      <c r="R706" s="39"/>
      <c r="S706" s="38">
        <f>ROUND(ROUND(P706, 2)*I706, 2)</f>
        <v>0</v>
      </c>
      <c r="T706" s="39"/>
      <c r="U706" s="40"/>
      <c r="V706" s="9">
        <f>ROUND(ROUND(P706, 2)/1.2, 2)</f>
        <v>74</v>
      </c>
      <c r="Y706" s="9">
        <f t="shared" ref="Y706:Y724" si="131">ROUND(S706 / 1.2, 2)</f>
        <v>0</v>
      </c>
      <c r="AD706" s="4" t="s">
        <v>1884</v>
      </c>
      <c r="AE706" s="4" t="s">
        <v>1885</v>
      </c>
      <c r="AF706" s="4" t="s">
        <v>685</v>
      </c>
    </row>
    <row r="707" spans="1:35" ht="36" x14ac:dyDescent="0.3">
      <c r="A707" s="23" t="s">
        <v>1886</v>
      </c>
      <c r="B707" s="23"/>
      <c r="C707" s="41" t="s">
        <v>682</v>
      </c>
      <c r="D707" s="25"/>
      <c r="E707" s="25"/>
      <c r="F707" s="42" t="s">
        <v>265</v>
      </c>
      <c r="G707" s="43">
        <v>0.15</v>
      </c>
      <c r="H707" s="25"/>
      <c r="I707" s="43">
        <v>39.555</v>
      </c>
      <c r="J707" s="44">
        <v>88.8</v>
      </c>
      <c r="K707" s="45"/>
      <c r="L707" s="45"/>
      <c r="M707" s="44">
        <f>ROUND(ROUND(J707, 2)*I707, 2)</f>
        <v>3512.48</v>
      </c>
      <c r="N707" s="45"/>
      <c r="O707" s="45"/>
      <c r="P707" s="44">
        <v>88.8</v>
      </c>
      <c r="Q707" s="45"/>
      <c r="R707" s="45"/>
      <c r="S707" s="44">
        <f>ROUND(ROUND(P707, 2)*I707, 2)</f>
        <v>3512.48</v>
      </c>
      <c r="T707" s="45"/>
      <c r="U707" s="46"/>
      <c r="V707" s="9">
        <f>ROUND(ROUND(P707, 2)/1.2, 2)</f>
        <v>74</v>
      </c>
      <c r="Y707" s="9">
        <f t="shared" si="131"/>
        <v>2927.07</v>
      </c>
      <c r="AD707" s="4" t="s">
        <v>1887</v>
      </c>
      <c r="AE707" s="4" t="s">
        <v>1885</v>
      </c>
      <c r="AF707" s="4" t="s">
        <v>685</v>
      </c>
    </row>
    <row r="708" spans="1:35" ht="36" x14ac:dyDescent="0.3">
      <c r="A708" s="17" t="s">
        <v>1888</v>
      </c>
      <c r="B708" s="17"/>
      <c r="C708" s="34" t="s">
        <v>1242</v>
      </c>
      <c r="D708" s="19"/>
      <c r="E708" s="19"/>
      <c r="F708" s="35" t="s">
        <v>265</v>
      </c>
      <c r="G708" s="36">
        <v>0.3</v>
      </c>
      <c r="H708" s="19"/>
      <c r="I708" s="37">
        <v>0</v>
      </c>
      <c r="J708" s="38">
        <v>1216.56</v>
      </c>
      <c r="K708" s="39"/>
      <c r="L708" s="39"/>
      <c r="M708" s="38">
        <f>ROUND(ROUND(J708, 2)*I708, 2)</f>
        <v>0</v>
      </c>
      <c r="N708" s="39"/>
      <c r="O708" s="39"/>
      <c r="P708" s="38">
        <v>495.9</v>
      </c>
      <c r="Q708" s="39"/>
      <c r="R708" s="39"/>
      <c r="S708" s="38">
        <f>ROUND(ROUND(P708, 2)*I708, 2)</f>
        <v>0</v>
      </c>
      <c r="T708" s="39"/>
      <c r="U708" s="40"/>
      <c r="V708" s="9">
        <f>ROUND(ROUND(P708, 2)/1.2, 2)</f>
        <v>413.25</v>
      </c>
      <c r="Y708" s="9">
        <f t="shared" si="131"/>
        <v>0</v>
      </c>
      <c r="AD708" s="4" t="s">
        <v>1889</v>
      </c>
      <c r="AE708" s="4" t="s">
        <v>1890</v>
      </c>
      <c r="AF708" s="4" t="s">
        <v>1245</v>
      </c>
    </row>
    <row r="709" spans="1:35" ht="90" x14ac:dyDescent="0.3">
      <c r="A709" s="23" t="s">
        <v>1891</v>
      </c>
      <c r="B709" s="23"/>
      <c r="C709" s="41" t="s">
        <v>1242</v>
      </c>
      <c r="D709" s="25"/>
      <c r="E709" s="25" t="s">
        <v>1892</v>
      </c>
      <c r="F709" s="42" t="s">
        <v>265</v>
      </c>
      <c r="G709" s="43">
        <v>0.3</v>
      </c>
      <c r="H709" s="25"/>
      <c r="I709" s="43">
        <v>79.11</v>
      </c>
      <c r="J709" s="44">
        <v>1216.56</v>
      </c>
      <c r="K709" s="45"/>
      <c r="L709" s="45"/>
      <c r="M709" s="44">
        <f>ROUND(ROUND(J709, 2)*I709, 2)</f>
        <v>96242.06</v>
      </c>
      <c r="N709" s="45"/>
      <c r="O709" s="45"/>
      <c r="P709" s="44">
        <v>495.9</v>
      </c>
      <c r="Q709" s="45"/>
      <c r="R709" s="45"/>
      <c r="S709" s="44">
        <f>ROUND(ROUND(P709, 2)*I709, 2)</f>
        <v>39230.65</v>
      </c>
      <c r="T709" s="45"/>
      <c r="U709" s="46"/>
      <c r="V709" s="9">
        <f>ROUND(ROUND(P709, 2)/1.2, 2)</f>
        <v>413.25</v>
      </c>
      <c r="Y709" s="9">
        <f t="shared" si="131"/>
        <v>32692.21</v>
      </c>
      <c r="AD709" s="4" t="s">
        <v>1893</v>
      </c>
      <c r="AE709" s="4" t="s">
        <v>1890</v>
      </c>
      <c r="AF709" s="4" t="s">
        <v>1245</v>
      </c>
    </row>
    <row r="710" spans="1:35" ht="162" x14ac:dyDescent="0.3">
      <c r="A710" s="51" t="s">
        <v>1894</v>
      </c>
      <c r="B710" s="51" t="s">
        <v>1836</v>
      </c>
      <c r="C710" s="52" t="s">
        <v>1837</v>
      </c>
      <c r="D710" s="53"/>
      <c r="E710" s="53" t="s">
        <v>1841</v>
      </c>
      <c r="F710" s="53" t="s">
        <v>59</v>
      </c>
      <c r="G710" s="54">
        <v>1</v>
      </c>
      <c r="H710" s="53"/>
      <c r="I710" s="54">
        <v>3898.4</v>
      </c>
      <c r="J710" s="55">
        <f>IFERROR(ROUND(SUM(M711,M712)/I710, 2),0)</f>
        <v>378.29</v>
      </c>
      <c r="K710" s="55">
        <v>464</v>
      </c>
      <c r="L710" s="55">
        <f>J710+ROUND(K710, 2)</f>
        <v>842.29</v>
      </c>
      <c r="M710" s="55">
        <f>ROUND(J710*I710, 2)</f>
        <v>1474725.74</v>
      </c>
      <c r="N710" s="55">
        <f>ROUND(I710*ROUND(K710, 2), 2)</f>
        <v>1808857.6</v>
      </c>
      <c r="O710" s="55">
        <f>M710+N710</f>
        <v>3283583.34</v>
      </c>
      <c r="P710" s="55">
        <f>IFERROR(ROUND(SUM(S711,S712)/I710, 2),0)</f>
        <v>162.09</v>
      </c>
      <c r="Q710" s="55">
        <v>696</v>
      </c>
      <c r="R710" s="55">
        <f>P710+ROUND(Q710, 2)</f>
        <v>858.09</v>
      </c>
      <c r="S710" s="55">
        <f>ROUND(P710*I710, 2)</f>
        <v>631891.66</v>
      </c>
      <c r="T710" s="55">
        <f>ROUND(I710*ROUND(Q710, 2), 2)</f>
        <v>2713286.4</v>
      </c>
      <c r="U710" s="55">
        <f>S710+T710</f>
        <v>3345178.06</v>
      </c>
      <c r="V710" s="9">
        <f>ROUND(P710 / 1.2, 2)</f>
        <v>135.08000000000001</v>
      </c>
      <c r="W710" s="9">
        <f>ROUND(Q710 / 1.2, 2)</f>
        <v>580</v>
      </c>
      <c r="X710" s="9">
        <f>ROUND(R710 / 1.2, 2)</f>
        <v>715.08</v>
      </c>
      <c r="Y710" s="9">
        <f t="shared" si="131"/>
        <v>526576.38</v>
      </c>
      <c r="Z710" s="9">
        <f>ROUND(T710 / 1.2, 2)</f>
        <v>2261072</v>
      </c>
      <c r="AA710" s="9">
        <f>Y710+Z710</f>
        <v>2787648.38</v>
      </c>
      <c r="AD710" s="4">
        <v>304337694</v>
      </c>
      <c r="AE710" s="4">
        <v>21950032</v>
      </c>
      <c r="AG710" s="4" t="s">
        <v>1838</v>
      </c>
      <c r="AH710" s="4" t="s">
        <v>1839</v>
      </c>
      <c r="AI710" s="4" t="s">
        <v>260</v>
      </c>
    </row>
    <row r="711" spans="1:35" ht="36" x14ac:dyDescent="0.3">
      <c r="A711" s="51" t="s">
        <v>1895</v>
      </c>
      <c r="B711" s="51"/>
      <c r="C711" s="56" t="s">
        <v>1242</v>
      </c>
      <c r="D711" s="53"/>
      <c r="E711" s="53"/>
      <c r="F711" s="57" t="s">
        <v>265</v>
      </c>
      <c r="G711" s="58">
        <v>0.3</v>
      </c>
      <c r="H711" s="53"/>
      <c r="I711" s="58">
        <v>1169.52</v>
      </c>
      <c r="J711" s="59">
        <v>1216.56</v>
      </c>
      <c r="K711" s="60"/>
      <c r="L711" s="60"/>
      <c r="M711" s="59">
        <f>ROUND(ROUND(J711, 2)*I711, 2)</f>
        <v>1422791.25</v>
      </c>
      <c r="N711" s="60"/>
      <c r="O711" s="60"/>
      <c r="P711" s="59">
        <v>495.9</v>
      </c>
      <c r="Q711" s="60"/>
      <c r="R711" s="60"/>
      <c r="S711" s="59">
        <f>ROUND(ROUND(P711, 2)*I711, 2)</f>
        <v>579964.97</v>
      </c>
      <c r="T711" s="60"/>
      <c r="U711" s="61"/>
      <c r="V711" s="9">
        <f>ROUND(ROUND(P711, 2)/1.2, 2)</f>
        <v>413.25</v>
      </c>
      <c r="Y711" s="9">
        <f t="shared" si="131"/>
        <v>483304.14</v>
      </c>
      <c r="AD711" s="4" t="s">
        <v>1896</v>
      </c>
      <c r="AE711" s="4" t="s">
        <v>1897</v>
      </c>
      <c r="AF711" s="4" t="s">
        <v>1245</v>
      </c>
    </row>
    <row r="712" spans="1:35" ht="36" x14ac:dyDescent="0.3">
      <c r="A712" s="51" t="s">
        <v>1898</v>
      </c>
      <c r="B712" s="51"/>
      <c r="C712" s="56" t="s">
        <v>682</v>
      </c>
      <c r="D712" s="53"/>
      <c r="E712" s="53"/>
      <c r="F712" s="57" t="s">
        <v>265</v>
      </c>
      <c r="G712" s="58">
        <v>0.15</v>
      </c>
      <c r="H712" s="53"/>
      <c r="I712" s="58">
        <v>584.76</v>
      </c>
      <c r="J712" s="59">
        <v>88.8</v>
      </c>
      <c r="K712" s="60"/>
      <c r="L712" s="60"/>
      <c r="M712" s="59">
        <f>ROUND(ROUND(J712, 2)*I712, 2)</f>
        <v>51926.69</v>
      </c>
      <c r="N712" s="60"/>
      <c r="O712" s="60"/>
      <c r="P712" s="59">
        <v>88.8</v>
      </c>
      <c r="Q712" s="60"/>
      <c r="R712" s="60"/>
      <c r="S712" s="59">
        <f>ROUND(ROUND(P712, 2)*I712, 2)</f>
        <v>51926.69</v>
      </c>
      <c r="T712" s="60"/>
      <c r="U712" s="61"/>
      <c r="V712" s="9">
        <f>ROUND(ROUND(P712, 2)/1.2, 2)</f>
        <v>74</v>
      </c>
      <c r="Y712" s="9">
        <f t="shared" si="131"/>
        <v>43272.24</v>
      </c>
      <c r="AD712" s="4" t="s">
        <v>1899</v>
      </c>
      <c r="AE712" s="4" t="s">
        <v>1900</v>
      </c>
      <c r="AF712" s="4" t="s">
        <v>685</v>
      </c>
    </row>
    <row r="713" spans="1:35" ht="54" x14ac:dyDescent="0.3">
      <c r="A713" s="51" t="s">
        <v>1901</v>
      </c>
      <c r="B713" s="51" t="s">
        <v>1836</v>
      </c>
      <c r="C713" s="52" t="s">
        <v>1837</v>
      </c>
      <c r="D713" s="53"/>
      <c r="E713" s="53" t="s">
        <v>1855</v>
      </c>
      <c r="F713" s="53" t="s">
        <v>59</v>
      </c>
      <c r="G713" s="54">
        <v>1</v>
      </c>
      <c r="H713" s="53"/>
      <c r="I713" s="54">
        <v>921.3</v>
      </c>
      <c r="J713" s="55">
        <f>IFERROR(ROUND(SUM(M714,M715)/I713, 2),0)</f>
        <v>378.29</v>
      </c>
      <c r="K713" s="55">
        <v>464</v>
      </c>
      <c r="L713" s="55">
        <f>J713+ROUND(K713, 2)</f>
        <v>842.29</v>
      </c>
      <c r="M713" s="55">
        <f>ROUND(J713*I713, 2)</f>
        <v>348518.58</v>
      </c>
      <c r="N713" s="55">
        <f>ROUND(I713*ROUND(K713, 2), 2)</f>
        <v>427483.2</v>
      </c>
      <c r="O713" s="55">
        <f>M713+N713</f>
        <v>776001.78</v>
      </c>
      <c r="P713" s="55">
        <f>IFERROR(ROUND(SUM(S714,S715)/I713, 2),0)</f>
        <v>162.09</v>
      </c>
      <c r="Q713" s="55">
        <v>696</v>
      </c>
      <c r="R713" s="55">
        <f>P713+ROUND(Q713, 2)</f>
        <v>858.09</v>
      </c>
      <c r="S713" s="55">
        <f>ROUND(P713*I713, 2)</f>
        <v>149333.51999999999</v>
      </c>
      <c r="T713" s="55">
        <f>ROUND(I713*ROUND(Q713, 2), 2)</f>
        <v>641224.80000000005</v>
      </c>
      <c r="U713" s="55">
        <f>S713+T713</f>
        <v>790558.32</v>
      </c>
      <c r="V713" s="9">
        <f>ROUND(P713 / 1.2, 2)</f>
        <v>135.08000000000001</v>
      </c>
      <c r="W713" s="9">
        <f>ROUND(Q713 / 1.2, 2)</f>
        <v>580</v>
      </c>
      <c r="X713" s="9">
        <f>ROUND(R713 / 1.2, 2)</f>
        <v>715.08</v>
      </c>
      <c r="Y713" s="9">
        <f t="shared" si="131"/>
        <v>124444.6</v>
      </c>
      <c r="Z713" s="9">
        <f>ROUND(T713 / 1.2, 2)</f>
        <v>534354</v>
      </c>
      <c r="AA713" s="9">
        <f>Y713+Z713</f>
        <v>658798.6</v>
      </c>
      <c r="AD713" s="4">
        <v>304337695</v>
      </c>
      <c r="AE713" s="4">
        <v>21950037</v>
      </c>
      <c r="AG713" s="4" t="s">
        <v>1838</v>
      </c>
      <c r="AH713" s="4" t="s">
        <v>1839</v>
      </c>
      <c r="AI713" s="4" t="s">
        <v>260</v>
      </c>
    </row>
    <row r="714" spans="1:35" ht="36" x14ac:dyDescent="0.3">
      <c r="A714" s="51" t="s">
        <v>1902</v>
      </c>
      <c r="B714" s="51"/>
      <c r="C714" s="56" t="s">
        <v>682</v>
      </c>
      <c r="D714" s="53"/>
      <c r="E714" s="53"/>
      <c r="F714" s="57" t="s">
        <v>265</v>
      </c>
      <c r="G714" s="58">
        <v>0.15</v>
      </c>
      <c r="H714" s="53"/>
      <c r="I714" s="58">
        <v>138.19499999999999</v>
      </c>
      <c r="J714" s="59">
        <v>88.8</v>
      </c>
      <c r="K714" s="60"/>
      <c r="L714" s="60"/>
      <c r="M714" s="59">
        <f>ROUND(ROUND(J714, 2)*I714, 2)</f>
        <v>12271.72</v>
      </c>
      <c r="N714" s="60"/>
      <c r="O714" s="60"/>
      <c r="P714" s="59">
        <v>88.8</v>
      </c>
      <c r="Q714" s="60"/>
      <c r="R714" s="60"/>
      <c r="S714" s="59">
        <f>ROUND(ROUND(P714, 2)*I714, 2)</f>
        <v>12271.72</v>
      </c>
      <c r="T714" s="60"/>
      <c r="U714" s="61"/>
      <c r="V714" s="9">
        <f>ROUND(ROUND(P714, 2)/1.2, 2)</f>
        <v>74</v>
      </c>
      <c r="Y714" s="9">
        <f t="shared" si="131"/>
        <v>10226.43</v>
      </c>
      <c r="AD714" s="4" t="s">
        <v>1903</v>
      </c>
      <c r="AE714" s="4" t="s">
        <v>1904</v>
      </c>
      <c r="AF714" s="4" t="s">
        <v>685</v>
      </c>
    </row>
    <row r="715" spans="1:35" ht="36" x14ac:dyDescent="0.3">
      <c r="A715" s="51" t="s">
        <v>1905</v>
      </c>
      <c r="B715" s="51"/>
      <c r="C715" s="56" t="s">
        <v>1242</v>
      </c>
      <c r="D715" s="53"/>
      <c r="E715" s="53"/>
      <c r="F715" s="57" t="s">
        <v>265</v>
      </c>
      <c r="G715" s="58">
        <v>0.3</v>
      </c>
      <c r="H715" s="53"/>
      <c r="I715" s="58">
        <v>276.39</v>
      </c>
      <c r="J715" s="59">
        <v>1216.56</v>
      </c>
      <c r="K715" s="60"/>
      <c r="L715" s="60"/>
      <c r="M715" s="59">
        <f>ROUND(ROUND(J715, 2)*I715, 2)</f>
        <v>336245.02</v>
      </c>
      <c r="N715" s="60"/>
      <c r="O715" s="60"/>
      <c r="P715" s="59">
        <v>495.9</v>
      </c>
      <c r="Q715" s="60"/>
      <c r="R715" s="60"/>
      <c r="S715" s="59">
        <f>ROUND(ROUND(P715, 2)*I715, 2)</f>
        <v>137061.79999999999</v>
      </c>
      <c r="T715" s="60"/>
      <c r="U715" s="61"/>
      <c r="V715" s="9">
        <f>ROUND(ROUND(P715, 2)/1.2, 2)</f>
        <v>413.25</v>
      </c>
      <c r="Y715" s="9">
        <f t="shared" si="131"/>
        <v>114218.17</v>
      </c>
      <c r="AD715" s="4" t="s">
        <v>1906</v>
      </c>
      <c r="AE715" s="4" t="s">
        <v>1907</v>
      </c>
      <c r="AF715" s="4" t="s">
        <v>1245</v>
      </c>
    </row>
    <row r="716" spans="1:35" ht="36" x14ac:dyDescent="0.3">
      <c r="A716" s="51" t="s">
        <v>1908</v>
      </c>
      <c r="B716" s="51" t="s">
        <v>1836</v>
      </c>
      <c r="C716" s="52" t="s">
        <v>1837</v>
      </c>
      <c r="D716" s="53"/>
      <c r="E716" s="53"/>
      <c r="F716" s="53" t="s">
        <v>59</v>
      </c>
      <c r="G716" s="54">
        <v>1</v>
      </c>
      <c r="H716" s="53"/>
      <c r="I716" s="54">
        <v>0</v>
      </c>
      <c r="J716" s="55">
        <f>IFERROR(ROUND(SUM(M717,M718)/I716, 2),0)</f>
        <v>0</v>
      </c>
      <c r="K716" s="55">
        <v>464</v>
      </c>
      <c r="L716" s="55">
        <f>J716+ROUND(K716, 2)</f>
        <v>464</v>
      </c>
      <c r="M716" s="55">
        <f>ROUND(J716*I716, 2)</f>
        <v>0</v>
      </c>
      <c r="N716" s="55">
        <f>ROUND(I716*ROUND(K716, 2), 2)</f>
        <v>0</v>
      </c>
      <c r="O716" s="55">
        <f>M716+N716</f>
        <v>0</v>
      </c>
      <c r="P716" s="55">
        <f>IFERROR(ROUND(SUM(S717,S718)/I716, 2),0)</f>
        <v>0</v>
      </c>
      <c r="Q716" s="55">
        <v>696</v>
      </c>
      <c r="R716" s="55">
        <f>P716+ROUND(Q716, 2)</f>
        <v>696</v>
      </c>
      <c r="S716" s="55">
        <f>ROUND(P716*I716, 2)</f>
        <v>0</v>
      </c>
      <c r="T716" s="55">
        <f>ROUND(I716*ROUND(Q716, 2), 2)</f>
        <v>0</v>
      </c>
      <c r="U716" s="55">
        <f>S716+T716</f>
        <v>0</v>
      </c>
      <c r="V716" s="9">
        <f>ROUND(P716 / 1.2, 2)</f>
        <v>0</v>
      </c>
      <c r="W716" s="9">
        <f>ROUND(Q716 / 1.2, 2)</f>
        <v>580</v>
      </c>
      <c r="X716" s="9">
        <f>ROUND(R716 / 1.2, 2)</f>
        <v>580</v>
      </c>
      <c r="Y716" s="9">
        <f t="shared" si="131"/>
        <v>0</v>
      </c>
      <c r="Z716" s="9">
        <f>ROUND(T716 / 1.2, 2)</f>
        <v>0</v>
      </c>
      <c r="AA716" s="9">
        <f>Y716+Z716</f>
        <v>0</v>
      </c>
      <c r="AD716" s="4">
        <v>304337696</v>
      </c>
      <c r="AE716" s="4">
        <v>21949971</v>
      </c>
      <c r="AG716" s="4" t="s">
        <v>1838</v>
      </c>
      <c r="AH716" s="4" t="s">
        <v>1839</v>
      </c>
      <c r="AI716" s="4" t="s">
        <v>260</v>
      </c>
    </row>
    <row r="717" spans="1:35" ht="36" x14ac:dyDescent="0.3">
      <c r="A717" s="51" t="s">
        <v>1909</v>
      </c>
      <c r="B717" s="51"/>
      <c r="C717" s="56" t="s">
        <v>1242</v>
      </c>
      <c r="D717" s="53"/>
      <c r="E717" s="53"/>
      <c r="F717" s="57" t="s">
        <v>265</v>
      </c>
      <c r="G717" s="58">
        <v>0.3</v>
      </c>
      <c r="H717" s="53"/>
      <c r="I717" s="58">
        <v>0</v>
      </c>
      <c r="J717" s="59">
        <v>1216.56</v>
      </c>
      <c r="K717" s="60"/>
      <c r="L717" s="60"/>
      <c r="M717" s="59">
        <f>ROUND(ROUND(J717, 2)*I717, 2)</f>
        <v>0</v>
      </c>
      <c r="N717" s="60"/>
      <c r="O717" s="60"/>
      <c r="P717" s="59">
        <v>495.9</v>
      </c>
      <c r="Q717" s="60"/>
      <c r="R717" s="60"/>
      <c r="S717" s="59">
        <f>ROUND(ROUND(P717, 2)*I717, 2)</f>
        <v>0</v>
      </c>
      <c r="T717" s="60"/>
      <c r="U717" s="61"/>
      <c r="V717" s="9">
        <f>ROUND(ROUND(P717, 2)/1.2, 2)</f>
        <v>413.25</v>
      </c>
      <c r="Y717" s="9">
        <f t="shared" si="131"/>
        <v>0</v>
      </c>
      <c r="AD717" s="4" t="s">
        <v>1910</v>
      </c>
      <c r="AE717" s="4" t="s">
        <v>1911</v>
      </c>
      <c r="AF717" s="4" t="s">
        <v>1245</v>
      </c>
    </row>
    <row r="718" spans="1:35" ht="36" x14ac:dyDescent="0.3">
      <c r="A718" s="51" t="s">
        <v>1912</v>
      </c>
      <c r="B718" s="51"/>
      <c r="C718" s="56" t="s">
        <v>682</v>
      </c>
      <c r="D718" s="53"/>
      <c r="E718" s="53"/>
      <c r="F718" s="57" t="s">
        <v>265</v>
      </c>
      <c r="G718" s="58">
        <v>0.15</v>
      </c>
      <c r="H718" s="53"/>
      <c r="I718" s="58">
        <v>0</v>
      </c>
      <c r="J718" s="59">
        <v>88.8</v>
      </c>
      <c r="K718" s="60"/>
      <c r="L718" s="60"/>
      <c r="M718" s="59">
        <f>ROUND(ROUND(J718, 2)*I718, 2)</f>
        <v>0</v>
      </c>
      <c r="N718" s="60"/>
      <c r="O718" s="60"/>
      <c r="P718" s="59">
        <v>88.8</v>
      </c>
      <c r="Q718" s="60"/>
      <c r="R718" s="60"/>
      <c r="S718" s="59">
        <f>ROUND(ROUND(P718, 2)*I718, 2)</f>
        <v>0</v>
      </c>
      <c r="T718" s="60"/>
      <c r="U718" s="61"/>
      <c r="V718" s="9">
        <f>ROUND(ROUND(P718, 2)/1.2, 2)</f>
        <v>74</v>
      </c>
      <c r="Y718" s="9">
        <f t="shared" si="131"/>
        <v>0</v>
      </c>
      <c r="AD718" s="4" t="s">
        <v>1913</v>
      </c>
      <c r="AE718" s="4" t="s">
        <v>1914</v>
      </c>
      <c r="AF718" s="4" t="s">
        <v>685</v>
      </c>
    </row>
    <row r="719" spans="1:35" ht="162" x14ac:dyDescent="0.3">
      <c r="A719" s="51" t="s">
        <v>1915</v>
      </c>
      <c r="B719" s="51" t="s">
        <v>1836</v>
      </c>
      <c r="C719" s="52" t="s">
        <v>1837</v>
      </c>
      <c r="D719" s="53"/>
      <c r="E719" s="53" t="s">
        <v>1868</v>
      </c>
      <c r="F719" s="53" t="s">
        <v>59</v>
      </c>
      <c r="G719" s="54">
        <v>1</v>
      </c>
      <c r="H719" s="53"/>
      <c r="I719" s="54">
        <v>272.2</v>
      </c>
      <c r="J719" s="55">
        <f>IFERROR(ROUND(SUM(M720,M721)/I719, 2),0)</f>
        <v>378.29</v>
      </c>
      <c r="K719" s="55">
        <v>464</v>
      </c>
      <c r="L719" s="55">
        <f>J719+ROUND(K719, 2)</f>
        <v>842.29</v>
      </c>
      <c r="M719" s="55">
        <f>ROUND(J719*I719, 2)</f>
        <v>102970.54</v>
      </c>
      <c r="N719" s="55">
        <f>ROUND(I719*ROUND(K719, 2), 2)</f>
        <v>126300.8</v>
      </c>
      <c r="O719" s="55">
        <f>M719+N719</f>
        <v>229271.34</v>
      </c>
      <c r="P719" s="55">
        <f>IFERROR(ROUND(SUM(S720,S721)/I719, 2),0)</f>
        <v>162.09</v>
      </c>
      <c r="Q719" s="55">
        <v>696</v>
      </c>
      <c r="R719" s="55">
        <f>P719+ROUND(Q719, 2)</f>
        <v>858.09</v>
      </c>
      <c r="S719" s="55">
        <f>ROUND(P719*I719, 2)</f>
        <v>44120.9</v>
      </c>
      <c r="T719" s="55">
        <f>ROUND(I719*ROUND(Q719, 2), 2)</f>
        <v>189451.2</v>
      </c>
      <c r="U719" s="55">
        <f>S719+T719</f>
        <v>233572.1</v>
      </c>
      <c r="V719" s="9">
        <f>ROUND(P719 / 1.2, 2)</f>
        <v>135.08000000000001</v>
      </c>
      <c r="W719" s="9">
        <f>ROUND(Q719 / 1.2, 2)</f>
        <v>580</v>
      </c>
      <c r="X719" s="9">
        <f>ROUND(R719 / 1.2, 2)</f>
        <v>715.08</v>
      </c>
      <c r="Y719" s="9">
        <f t="shared" si="131"/>
        <v>36767.42</v>
      </c>
      <c r="Z719" s="9">
        <f>ROUND(T719 / 1.2, 2)</f>
        <v>157876</v>
      </c>
      <c r="AA719" s="9">
        <f>Y719+Z719</f>
        <v>194643.42</v>
      </c>
      <c r="AD719" s="4">
        <v>304337697</v>
      </c>
      <c r="AE719" s="4">
        <v>21955547</v>
      </c>
      <c r="AG719" s="4" t="s">
        <v>1838</v>
      </c>
      <c r="AH719" s="4" t="s">
        <v>1839</v>
      </c>
      <c r="AI719" s="4" t="s">
        <v>260</v>
      </c>
    </row>
    <row r="720" spans="1:35" ht="36" x14ac:dyDescent="0.3">
      <c r="A720" s="51" t="s">
        <v>1916</v>
      </c>
      <c r="B720" s="51"/>
      <c r="C720" s="56" t="s">
        <v>682</v>
      </c>
      <c r="D720" s="53"/>
      <c r="E720" s="53"/>
      <c r="F720" s="57" t="s">
        <v>265</v>
      </c>
      <c r="G720" s="58">
        <v>0.15</v>
      </c>
      <c r="H720" s="53"/>
      <c r="I720" s="58">
        <v>40.83</v>
      </c>
      <c r="J720" s="59">
        <v>88.8</v>
      </c>
      <c r="K720" s="60"/>
      <c r="L720" s="60"/>
      <c r="M720" s="59">
        <f>ROUND(ROUND(J720, 2)*I720, 2)</f>
        <v>3625.7</v>
      </c>
      <c r="N720" s="60"/>
      <c r="O720" s="60"/>
      <c r="P720" s="59">
        <v>88.8</v>
      </c>
      <c r="Q720" s="60"/>
      <c r="R720" s="60"/>
      <c r="S720" s="59">
        <f>ROUND(ROUND(P720, 2)*I720, 2)</f>
        <v>3625.7</v>
      </c>
      <c r="T720" s="60"/>
      <c r="U720" s="61"/>
      <c r="V720" s="9">
        <f>ROUND(ROUND(P720, 2)/1.2, 2)</f>
        <v>74</v>
      </c>
      <c r="Y720" s="9">
        <f t="shared" si="131"/>
        <v>3021.42</v>
      </c>
      <c r="AD720" s="4" t="s">
        <v>1917</v>
      </c>
      <c r="AE720" s="4" t="s">
        <v>1918</v>
      </c>
      <c r="AF720" s="4" t="s">
        <v>685</v>
      </c>
    </row>
    <row r="721" spans="1:35" ht="54" x14ac:dyDescent="0.3">
      <c r="A721" s="51" t="s">
        <v>1919</v>
      </c>
      <c r="B721" s="51"/>
      <c r="C721" s="56" t="s">
        <v>1242</v>
      </c>
      <c r="D721" s="53"/>
      <c r="E721" s="53" t="s">
        <v>1873</v>
      </c>
      <c r="F721" s="57" t="s">
        <v>265</v>
      </c>
      <c r="G721" s="58">
        <v>0.3</v>
      </c>
      <c r="H721" s="53"/>
      <c r="I721" s="58">
        <v>81.66</v>
      </c>
      <c r="J721" s="59">
        <v>1216.56</v>
      </c>
      <c r="K721" s="60"/>
      <c r="L721" s="60"/>
      <c r="M721" s="59">
        <f>ROUND(ROUND(J721, 2)*I721, 2)</f>
        <v>99344.29</v>
      </c>
      <c r="N721" s="60"/>
      <c r="O721" s="60"/>
      <c r="P721" s="59">
        <v>495.9</v>
      </c>
      <c r="Q721" s="60"/>
      <c r="R721" s="60"/>
      <c r="S721" s="59">
        <f>ROUND(ROUND(P721, 2)*I721, 2)</f>
        <v>40495.19</v>
      </c>
      <c r="T721" s="60"/>
      <c r="U721" s="61"/>
      <c r="V721" s="9">
        <f>ROUND(ROUND(P721, 2)/1.2, 2)</f>
        <v>413.25</v>
      </c>
      <c r="Y721" s="9">
        <f t="shared" si="131"/>
        <v>33745.99</v>
      </c>
      <c r="AD721" s="4" t="s">
        <v>1920</v>
      </c>
      <c r="AE721" s="4" t="s">
        <v>1921</v>
      </c>
      <c r="AF721" s="4" t="s">
        <v>1245</v>
      </c>
    </row>
    <row r="722" spans="1:35" ht="162" x14ac:dyDescent="0.3">
      <c r="A722" s="51" t="s">
        <v>1922</v>
      </c>
      <c r="B722" s="51" t="s">
        <v>1836</v>
      </c>
      <c r="C722" s="52" t="s">
        <v>1837</v>
      </c>
      <c r="D722" s="53"/>
      <c r="E722" s="53" t="s">
        <v>1882</v>
      </c>
      <c r="F722" s="53" t="s">
        <v>59</v>
      </c>
      <c r="G722" s="54">
        <v>1</v>
      </c>
      <c r="H722" s="53"/>
      <c r="I722" s="54">
        <v>263.7</v>
      </c>
      <c r="J722" s="55">
        <f>IFERROR(ROUND(SUM(M723,M724)/I722, 2),0)</f>
        <v>378.29</v>
      </c>
      <c r="K722" s="55">
        <v>464</v>
      </c>
      <c r="L722" s="55">
        <f>J722+ROUND(K722, 2)</f>
        <v>842.29</v>
      </c>
      <c r="M722" s="55">
        <f>ROUND(J722*I722, 2)</f>
        <v>99755.07</v>
      </c>
      <c r="N722" s="55">
        <f>ROUND(I722*ROUND(K722, 2), 2)</f>
        <v>122356.8</v>
      </c>
      <c r="O722" s="55">
        <f>M722+N722</f>
        <v>222111.87</v>
      </c>
      <c r="P722" s="55">
        <f>IFERROR(ROUND(SUM(S723,S724)/I722, 2),0)</f>
        <v>162.09</v>
      </c>
      <c r="Q722" s="55">
        <v>696</v>
      </c>
      <c r="R722" s="55">
        <f>P722+ROUND(Q722, 2)</f>
        <v>858.09</v>
      </c>
      <c r="S722" s="55">
        <f>ROUND(P722*I722, 2)</f>
        <v>42743.13</v>
      </c>
      <c r="T722" s="55">
        <f>ROUND(I722*ROUND(Q722, 2), 2)</f>
        <v>183535.2</v>
      </c>
      <c r="U722" s="55">
        <f>S722+T722</f>
        <v>226278.33</v>
      </c>
      <c r="V722" s="9">
        <f>ROUND(P722 / 1.2, 2)</f>
        <v>135.08000000000001</v>
      </c>
      <c r="W722" s="9">
        <f>ROUND(Q722 / 1.2, 2)</f>
        <v>580</v>
      </c>
      <c r="X722" s="9">
        <f>ROUND(R722 / 1.2, 2)</f>
        <v>715.08</v>
      </c>
      <c r="Y722" s="9">
        <f t="shared" si="131"/>
        <v>35619.279999999999</v>
      </c>
      <c r="Z722" s="9">
        <f>ROUND(T722 / 1.2, 2)</f>
        <v>152946</v>
      </c>
      <c r="AA722" s="9">
        <f>Y722+Z722</f>
        <v>188565.28</v>
      </c>
      <c r="AD722" s="4">
        <v>304337698</v>
      </c>
      <c r="AE722" s="4">
        <v>21955548</v>
      </c>
      <c r="AG722" s="4" t="s">
        <v>1838</v>
      </c>
      <c r="AH722" s="4" t="s">
        <v>1839</v>
      </c>
      <c r="AI722" s="4" t="s">
        <v>260</v>
      </c>
    </row>
    <row r="723" spans="1:35" ht="72" x14ac:dyDescent="0.3">
      <c r="A723" s="51" t="s">
        <v>1923</v>
      </c>
      <c r="B723" s="51"/>
      <c r="C723" s="56" t="s">
        <v>1242</v>
      </c>
      <c r="D723" s="53"/>
      <c r="E723" s="53" t="s">
        <v>1924</v>
      </c>
      <c r="F723" s="57" t="s">
        <v>265</v>
      </c>
      <c r="G723" s="58">
        <v>0.3</v>
      </c>
      <c r="H723" s="53"/>
      <c r="I723" s="58">
        <v>79.11</v>
      </c>
      <c r="J723" s="59">
        <v>1216.56</v>
      </c>
      <c r="K723" s="60"/>
      <c r="L723" s="60"/>
      <c r="M723" s="59">
        <f>ROUND(ROUND(J723, 2)*I723, 2)</f>
        <v>96242.06</v>
      </c>
      <c r="N723" s="60"/>
      <c r="O723" s="60"/>
      <c r="P723" s="59">
        <v>495.9</v>
      </c>
      <c r="Q723" s="60"/>
      <c r="R723" s="60"/>
      <c r="S723" s="59">
        <f>ROUND(ROUND(P723, 2)*I723, 2)</f>
        <v>39230.65</v>
      </c>
      <c r="T723" s="60"/>
      <c r="U723" s="61"/>
      <c r="V723" s="9">
        <f>ROUND(ROUND(P723, 2)/1.2, 2)</f>
        <v>413.25</v>
      </c>
      <c r="Y723" s="9">
        <f t="shared" si="131"/>
        <v>32692.21</v>
      </c>
      <c r="AD723" s="4" t="s">
        <v>1925</v>
      </c>
      <c r="AE723" s="4" t="s">
        <v>1926</v>
      </c>
      <c r="AF723" s="4" t="s">
        <v>1245</v>
      </c>
    </row>
    <row r="724" spans="1:35" ht="36" x14ac:dyDescent="0.3">
      <c r="A724" s="51" t="s">
        <v>1927</v>
      </c>
      <c r="B724" s="51"/>
      <c r="C724" s="56" t="s">
        <v>682</v>
      </c>
      <c r="D724" s="53"/>
      <c r="E724" s="53"/>
      <c r="F724" s="57" t="s">
        <v>265</v>
      </c>
      <c r="G724" s="58">
        <v>0.15</v>
      </c>
      <c r="H724" s="53"/>
      <c r="I724" s="58">
        <v>39.555</v>
      </c>
      <c r="J724" s="59">
        <v>88.8</v>
      </c>
      <c r="K724" s="60"/>
      <c r="L724" s="60"/>
      <c r="M724" s="59">
        <f>ROUND(ROUND(J724, 2)*I724, 2)</f>
        <v>3512.48</v>
      </c>
      <c r="N724" s="60"/>
      <c r="O724" s="60"/>
      <c r="P724" s="59">
        <v>88.8</v>
      </c>
      <c r="Q724" s="60"/>
      <c r="R724" s="60"/>
      <c r="S724" s="59">
        <f>ROUND(ROUND(P724, 2)*I724, 2)</f>
        <v>3512.48</v>
      </c>
      <c r="T724" s="60"/>
      <c r="U724" s="61"/>
      <c r="V724" s="9">
        <f>ROUND(ROUND(P724, 2)/1.2, 2)</f>
        <v>74</v>
      </c>
      <c r="Y724" s="9">
        <f t="shared" si="131"/>
        <v>2927.07</v>
      </c>
      <c r="AD724" s="4" t="s">
        <v>1928</v>
      </c>
      <c r="AE724" s="4" t="s">
        <v>1929</v>
      </c>
      <c r="AF724" s="4" t="s">
        <v>685</v>
      </c>
    </row>
    <row r="725" spans="1:35" ht="16.95" customHeight="1" x14ac:dyDescent="0.3">
      <c r="A725" s="10" t="s">
        <v>1930</v>
      </c>
      <c r="B725" s="10" t="s">
        <v>1931</v>
      </c>
      <c r="C725" s="153" t="s">
        <v>1932</v>
      </c>
      <c r="D725" s="154"/>
      <c r="E725" s="154"/>
      <c r="F725" s="154"/>
      <c r="G725" s="154"/>
      <c r="H725" s="154"/>
      <c r="I725" s="155"/>
      <c r="M725" s="6">
        <f>SUM(M726,M734,M737,M741,M745,M749,M751,M753,M755,M757,M758,M762,M764,M792,M806,M810,M814,M818,M822,M824,M826,M828)</f>
        <v>4445051.75</v>
      </c>
      <c r="N725" s="6">
        <f>SUM(N726,N734,N737,N741,N745,N749,N751,N753,N755,N757,N758,N762,N764,N792,N806,N810,N814,N818,N822,N824,N826,N828)</f>
        <v>4990440.8</v>
      </c>
      <c r="O725" s="6">
        <f>SUM(O726,O734,O737,O741,O745,O749,O751,O753,O755,O757,O758,O762,O764,O792,O806,O810,O814,O818,O822,O824,O826,O828)</f>
        <v>9435492.5500000007</v>
      </c>
      <c r="S725" s="6">
        <f>SUM(S726,S734,S737,S741,S745,S749,S751,S753,S755,S757,S758,S762,S764,S792,S806,S810,S814,S818,S822,S824,S826,S828)</f>
        <v>5996135.4500000002</v>
      </c>
      <c r="T725" s="6">
        <f>SUM(T726,T734,T737,T741,T745,T749,T751,T753,T755,T757,T758,T762,T764,T792,T806,T810,T814,T818,T822,T824,T826,T828)</f>
        <v>7485661.2000000002</v>
      </c>
      <c r="U725" s="6">
        <f>SUM(U726,U734,U737,U741,U745,U749,U751,U753,U755,U757,U758,U762,U764,U792,U806,U810,U814,U818,U822,U824,U826,U828)</f>
        <v>13481796.65</v>
      </c>
      <c r="Y725" s="9">
        <f>SUM(Y726,Y734,Y737,Y741,Y745,Y749,Y751,Y753,Y755,Y757,Y758,Y762,Y764,Y792,Y806,Y810,Y814,Y818,Y822,Y824,Y826,Y828)</f>
        <v>4996779.55</v>
      </c>
      <c r="Z725" s="9">
        <f>SUM(Z726,Z734,Z737,Z741,Z745,Z749,Z751,Z753,Z755,Z757,Z758,Z762,Z764,Z792,Z806,Z810,Z814,Z818,Z822,Z824,Z826,Z828)</f>
        <v>6238051.0199999996</v>
      </c>
      <c r="AA725" s="9" t="e">
        <f>SUM(AA726,AA734,AA737,AA741,AA745,AA749,AA751,AA753,AA755,AA757,AA758,AA762,AA764,AA792,AA806,AA810,AA814,AA818,AA822,AA824,AA826,AA828)</f>
        <v>#VALUE!</v>
      </c>
      <c r="AD725" s="4">
        <v>304337583</v>
      </c>
      <c r="AE725" s="4">
        <v>20300959</v>
      </c>
    </row>
    <row r="726" spans="1:35" ht="18" x14ac:dyDescent="0.3">
      <c r="A726" s="17" t="s">
        <v>1933</v>
      </c>
      <c r="B726" s="17" t="s">
        <v>1934</v>
      </c>
      <c r="C726" s="18" t="s">
        <v>1935</v>
      </c>
      <c r="D726" s="19"/>
      <c r="E726" s="19"/>
      <c r="F726" s="19" t="s">
        <v>59</v>
      </c>
      <c r="G726" s="20">
        <v>1</v>
      </c>
      <c r="H726" s="19"/>
      <c r="I726" s="21">
        <v>0</v>
      </c>
      <c r="J726" s="22">
        <f>IFERROR(ROUND(SUM(M728,M730,M732)/I726, 2),0)</f>
        <v>0</v>
      </c>
      <c r="K726" s="22">
        <v>1359</v>
      </c>
      <c r="L726" s="22">
        <f>J726+ROUND(K726, 2)</f>
        <v>1359</v>
      </c>
      <c r="M726" s="22">
        <f>ROUND(J726*I726, 2)</f>
        <v>0</v>
      </c>
      <c r="N726" s="22">
        <f>ROUND(I726*ROUND(K726, 2), 2)</f>
        <v>0</v>
      </c>
      <c r="O726" s="22">
        <f>M726+N726</f>
        <v>0</v>
      </c>
      <c r="P726" s="22">
        <f>IFERROR(ROUND(SUM(S728,S730,S732)/I726, 2),0)</f>
        <v>0</v>
      </c>
      <c r="Q726" s="22">
        <v>1359</v>
      </c>
      <c r="R726" s="22">
        <f>P726+ROUND(Q726, 2)</f>
        <v>1359</v>
      </c>
      <c r="S726" s="22">
        <f>ROUND(P726*I726, 2)</f>
        <v>0</v>
      </c>
      <c r="T726" s="22">
        <f>ROUND(I726*ROUND(Q726, 2), 2)</f>
        <v>0</v>
      </c>
      <c r="U726" s="22">
        <f>S726+T726</f>
        <v>0</v>
      </c>
      <c r="V726" s="9">
        <f>ROUND(P726 / 1.2, 2)</f>
        <v>0</v>
      </c>
      <c r="W726" s="9">
        <f>ROUND(Q726 / 1.2, 2)</f>
        <v>1132.5</v>
      </c>
      <c r="X726" s="9">
        <f>ROUND(R726 / 1.2, 2)</f>
        <v>1132.5</v>
      </c>
      <c r="Y726" s="9">
        <f>ROUND(S726 / 1.2, 2)</f>
        <v>0</v>
      </c>
      <c r="Z726" s="9">
        <f>ROUND(T726 / 1.2, 2)</f>
        <v>0</v>
      </c>
      <c r="AA726" s="9">
        <f>Y726+Z726</f>
        <v>0</v>
      </c>
      <c r="AD726" s="4">
        <v>304337585</v>
      </c>
      <c r="AE726" s="4">
        <v>20300962</v>
      </c>
      <c r="AG726" s="4" t="s">
        <v>1936</v>
      </c>
      <c r="AH726" s="4" t="s">
        <v>1937</v>
      </c>
      <c r="AI726" s="4" t="s">
        <v>260</v>
      </c>
    </row>
    <row r="727" spans="1:35" ht="216" x14ac:dyDescent="0.3">
      <c r="A727" s="23" t="s">
        <v>1938</v>
      </c>
      <c r="B727" s="23" t="s">
        <v>1934</v>
      </c>
      <c r="C727" s="24" t="s">
        <v>1935</v>
      </c>
      <c r="D727" s="25"/>
      <c r="E727" s="25" t="s">
        <v>1939</v>
      </c>
      <c r="F727" s="25" t="s">
        <v>59</v>
      </c>
      <c r="G727" s="26">
        <v>1</v>
      </c>
      <c r="H727" s="25"/>
      <c r="I727" s="26">
        <v>34.200000000000003</v>
      </c>
      <c r="J727" s="27">
        <v>0</v>
      </c>
      <c r="K727" s="27">
        <v>1359</v>
      </c>
      <c r="L727" s="27"/>
      <c r="M727" s="27">
        <v>0</v>
      </c>
      <c r="N727" s="27"/>
      <c r="O727" s="27"/>
      <c r="P727" s="27">
        <v>0</v>
      </c>
      <c r="Q727" s="27">
        <v>1359</v>
      </c>
      <c r="R727" s="27"/>
      <c r="S727" s="27">
        <v>0</v>
      </c>
      <c r="T727" s="27"/>
      <c r="U727" s="27"/>
      <c r="V727" s="9"/>
      <c r="W727" s="9">
        <f>ROUND(Q727 / 1.2, 2)</f>
        <v>1132.5</v>
      </c>
      <c r="X727" s="9" t="e">
        <f>ROUND(R727 / 1.2, 2)</f>
        <v>#VALUE!</v>
      </c>
      <c r="Y727" s="9"/>
      <c r="Z727" s="9" t="e">
        <f>ROUND(T727 / 1.2, 2)</f>
        <v>#VALUE!</v>
      </c>
      <c r="AA727" s="9"/>
      <c r="AD727" s="4">
        <v>281967415</v>
      </c>
      <c r="AE727" s="4">
        <v>20300962</v>
      </c>
      <c r="AG727" s="4" t="s">
        <v>1936</v>
      </c>
      <c r="AH727" s="4" t="s">
        <v>1937</v>
      </c>
      <c r="AI727" s="4"/>
    </row>
    <row r="728" spans="1:35" ht="18" x14ac:dyDescent="0.3">
      <c r="A728" s="17" t="s">
        <v>1940</v>
      </c>
      <c r="B728" s="17"/>
      <c r="C728" s="34" t="s">
        <v>1941</v>
      </c>
      <c r="D728" s="19"/>
      <c r="E728" s="19"/>
      <c r="F728" s="35" t="s">
        <v>67</v>
      </c>
      <c r="G728" s="36">
        <v>1</v>
      </c>
      <c r="H728" s="19"/>
      <c r="I728" s="37">
        <v>0</v>
      </c>
      <c r="J728" s="38">
        <v>109</v>
      </c>
      <c r="K728" s="39"/>
      <c r="L728" s="39"/>
      <c r="M728" s="38">
        <f t="shared" ref="M728:M733" si="132">ROUND(ROUND(J728, 2)*I728, 2)</f>
        <v>0</v>
      </c>
      <c r="N728" s="39"/>
      <c r="O728" s="39"/>
      <c r="P728" s="38">
        <v>109</v>
      </c>
      <c r="Q728" s="39"/>
      <c r="R728" s="39"/>
      <c r="S728" s="38">
        <f t="shared" ref="S728:S733" si="133">ROUND(ROUND(P728, 2)*I728, 2)</f>
        <v>0</v>
      </c>
      <c r="T728" s="39"/>
      <c r="U728" s="40"/>
      <c r="V728" s="9">
        <f t="shared" ref="V728:V733" si="134">ROUND(ROUND(P728, 2)/1.2, 2)</f>
        <v>90.83</v>
      </c>
      <c r="Y728" s="9">
        <f t="shared" ref="Y728:Y737" si="135">ROUND(S728 / 1.2, 2)</f>
        <v>0</v>
      </c>
      <c r="AD728" s="4" t="s">
        <v>1942</v>
      </c>
      <c r="AE728" s="4" t="s">
        <v>1943</v>
      </c>
      <c r="AF728" s="4" t="s">
        <v>1944</v>
      </c>
    </row>
    <row r="729" spans="1:35" ht="18" x14ac:dyDescent="0.3">
      <c r="A729" s="23" t="s">
        <v>1945</v>
      </c>
      <c r="B729" s="23"/>
      <c r="C729" s="41" t="s">
        <v>1941</v>
      </c>
      <c r="D729" s="25"/>
      <c r="E729" s="25"/>
      <c r="F729" s="42" t="s">
        <v>67</v>
      </c>
      <c r="G729" s="43">
        <v>1</v>
      </c>
      <c r="H729" s="25"/>
      <c r="I729" s="43">
        <v>34.200000000000003</v>
      </c>
      <c r="J729" s="44">
        <v>109</v>
      </c>
      <c r="K729" s="45"/>
      <c r="L729" s="45"/>
      <c r="M729" s="44">
        <f t="shared" si="132"/>
        <v>3727.8</v>
      </c>
      <c r="N729" s="45"/>
      <c r="O729" s="45"/>
      <c r="P729" s="44">
        <v>109</v>
      </c>
      <c r="Q729" s="45"/>
      <c r="R729" s="45"/>
      <c r="S729" s="44">
        <f t="shared" si="133"/>
        <v>3727.8</v>
      </c>
      <c r="T729" s="45"/>
      <c r="U729" s="46"/>
      <c r="V729" s="9">
        <f t="shared" si="134"/>
        <v>90.83</v>
      </c>
      <c r="Y729" s="9">
        <f t="shared" si="135"/>
        <v>3106.5</v>
      </c>
      <c r="AD729" s="4" t="s">
        <v>1946</v>
      </c>
      <c r="AE729" s="4" t="s">
        <v>1943</v>
      </c>
      <c r="AF729" s="4" t="s">
        <v>1944</v>
      </c>
    </row>
    <row r="730" spans="1:35" ht="18" x14ac:dyDescent="0.3">
      <c r="A730" s="17" t="s">
        <v>1947</v>
      </c>
      <c r="B730" s="17"/>
      <c r="C730" s="34" t="s">
        <v>1948</v>
      </c>
      <c r="D730" s="19"/>
      <c r="E730" s="19"/>
      <c r="F730" s="35" t="s">
        <v>59</v>
      </c>
      <c r="G730" s="36">
        <v>1.05</v>
      </c>
      <c r="H730" s="19"/>
      <c r="I730" s="37">
        <v>0</v>
      </c>
      <c r="J730" s="38">
        <v>838.09</v>
      </c>
      <c r="K730" s="39"/>
      <c r="L730" s="39"/>
      <c r="M730" s="38">
        <f t="shared" si="132"/>
        <v>0</v>
      </c>
      <c r="N730" s="39"/>
      <c r="O730" s="39"/>
      <c r="P730" s="38">
        <v>838.09</v>
      </c>
      <c r="Q730" s="39"/>
      <c r="R730" s="39"/>
      <c r="S730" s="38">
        <f t="shared" si="133"/>
        <v>0</v>
      </c>
      <c r="T730" s="39"/>
      <c r="U730" s="40"/>
      <c r="V730" s="9">
        <f t="shared" si="134"/>
        <v>698.41</v>
      </c>
      <c r="Y730" s="9">
        <f t="shared" si="135"/>
        <v>0</v>
      </c>
      <c r="AD730" s="4" t="s">
        <v>1949</v>
      </c>
      <c r="AE730" s="4" t="s">
        <v>1950</v>
      </c>
      <c r="AF730" s="4" t="s">
        <v>1951</v>
      </c>
    </row>
    <row r="731" spans="1:35" ht="18" x14ac:dyDescent="0.3">
      <c r="A731" s="23" t="s">
        <v>1952</v>
      </c>
      <c r="B731" s="23"/>
      <c r="C731" s="41" t="s">
        <v>1948</v>
      </c>
      <c r="D731" s="25"/>
      <c r="E731" s="25"/>
      <c r="F731" s="42" t="s">
        <v>59</v>
      </c>
      <c r="G731" s="43">
        <v>1.05</v>
      </c>
      <c r="H731" s="25"/>
      <c r="I731" s="43">
        <v>35.909999999999997</v>
      </c>
      <c r="J731" s="44">
        <v>838.09</v>
      </c>
      <c r="K731" s="45"/>
      <c r="L731" s="45"/>
      <c r="M731" s="44">
        <f t="shared" si="132"/>
        <v>30095.81</v>
      </c>
      <c r="N731" s="45"/>
      <c r="O731" s="45"/>
      <c r="P731" s="44">
        <v>838.09</v>
      </c>
      <c r="Q731" s="45"/>
      <c r="R731" s="45"/>
      <c r="S731" s="44">
        <f t="shared" si="133"/>
        <v>30095.81</v>
      </c>
      <c r="T731" s="45"/>
      <c r="U731" s="46"/>
      <c r="V731" s="9">
        <f t="shared" si="134"/>
        <v>698.41</v>
      </c>
      <c r="Y731" s="9">
        <f t="shared" si="135"/>
        <v>25079.84</v>
      </c>
      <c r="AD731" s="4" t="s">
        <v>1953</v>
      </c>
      <c r="AE731" s="4" t="s">
        <v>1950</v>
      </c>
      <c r="AF731" s="4" t="s">
        <v>1951</v>
      </c>
    </row>
    <row r="732" spans="1:35" ht="18" x14ac:dyDescent="0.3">
      <c r="A732" s="17" t="s">
        <v>1954</v>
      </c>
      <c r="B732" s="17"/>
      <c r="C732" s="34" t="s">
        <v>1955</v>
      </c>
      <c r="D732" s="19"/>
      <c r="E732" s="19"/>
      <c r="F732" s="35" t="s">
        <v>67</v>
      </c>
      <c r="G732" s="36">
        <v>1</v>
      </c>
      <c r="H732" s="19"/>
      <c r="I732" s="37">
        <v>0</v>
      </c>
      <c r="J732" s="38">
        <v>0</v>
      </c>
      <c r="K732" s="39"/>
      <c r="L732" s="39"/>
      <c r="M732" s="38">
        <f t="shared" si="132"/>
        <v>0</v>
      </c>
      <c r="N732" s="39"/>
      <c r="O732" s="39"/>
      <c r="P732" s="38">
        <v>243</v>
      </c>
      <c r="Q732" s="39"/>
      <c r="R732" s="39"/>
      <c r="S732" s="38">
        <f t="shared" si="133"/>
        <v>0</v>
      </c>
      <c r="T732" s="39"/>
      <c r="U732" s="40"/>
      <c r="V732" s="9">
        <f t="shared" si="134"/>
        <v>202.5</v>
      </c>
      <c r="Y732" s="9">
        <f t="shared" si="135"/>
        <v>0</v>
      </c>
      <c r="AD732" s="4" t="s">
        <v>1956</v>
      </c>
      <c r="AE732" s="4" t="s">
        <v>1957</v>
      </c>
      <c r="AF732" s="4" t="s">
        <v>1958</v>
      </c>
    </row>
    <row r="733" spans="1:35" ht="18" x14ac:dyDescent="0.3">
      <c r="A733" s="23" t="s">
        <v>1959</v>
      </c>
      <c r="B733" s="23"/>
      <c r="C733" s="41" t="s">
        <v>1955</v>
      </c>
      <c r="D733" s="25"/>
      <c r="E733" s="25"/>
      <c r="F733" s="42" t="s">
        <v>67</v>
      </c>
      <c r="G733" s="43">
        <v>1</v>
      </c>
      <c r="H733" s="25"/>
      <c r="I733" s="43">
        <v>34.200000000000003</v>
      </c>
      <c r="J733" s="44">
        <v>0</v>
      </c>
      <c r="K733" s="45"/>
      <c r="L733" s="45"/>
      <c r="M733" s="44">
        <f t="shared" si="132"/>
        <v>0</v>
      </c>
      <c r="N733" s="45"/>
      <c r="O733" s="45"/>
      <c r="P733" s="44">
        <v>243</v>
      </c>
      <c r="Q733" s="45"/>
      <c r="R733" s="45"/>
      <c r="S733" s="44">
        <f t="shared" si="133"/>
        <v>8310.6</v>
      </c>
      <c r="T733" s="45"/>
      <c r="U733" s="46"/>
      <c r="V733" s="9">
        <f t="shared" si="134"/>
        <v>202.5</v>
      </c>
      <c r="Y733" s="9">
        <f t="shared" si="135"/>
        <v>6925.5</v>
      </c>
      <c r="AD733" s="4" t="s">
        <v>1960</v>
      </c>
      <c r="AE733" s="4" t="s">
        <v>1957</v>
      </c>
      <c r="AF733" s="4" t="s">
        <v>1958</v>
      </c>
    </row>
    <row r="734" spans="1:35" ht="216" x14ac:dyDescent="0.3">
      <c r="A734" s="51" t="s">
        <v>1961</v>
      </c>
      <c r="B734" s="51" t="s">
        <v>1934</v>
      </c>
      <c r="C734" s="52" t="s">
        <v>1935</v>
      </c>
      <c r="D734" s="53"/>
      <c r="E734" s="53" t="s">
        <v>1939</v>
      </c>
      <c r="F734" s="53" t="s">
        <v>59</v>
      </c>
      <c r="G734" s="54">
        <v>1</v>
      </c>
      <c r="H734" s="53"/>
      <c r="I734" s="54">
        <v>34.200000000000003</v>
      </c>
      <c r="J734" s="55">
        <f>IFERROR(ROUND(SUM(M735,M736)/I734, 2),0)</f>
        <v>879.99</v>
      </c>
      <c r="K734" s="55">
        <v>1359</v>
      </c>
      <c r="L734" s="55">
        <f>J734+ROUND(K734, 2)</f>
        <v>2238.9899999999998</v>
      </c>
      <c r="M734" s="55">
        <f>ROUND(J734*I734, 2)</f>
        <v>30095.66</v>
      </c>
      <c r="N734" s="55">
        <f>ROUND(I734*ROUND(K734, 2), 2)</f>
        <v>46477.8</v>
      </c>
      <c r="O734" s="55">
        <f>M734+N734</f>
        <v>76573.460000000006</v>
      </c>
      <c r="P734" s="55">
        <f>IFERROR(ROUND(SUM(S735,S736)/I734, 2),0)</f>
        <v>1122.99</v>
      </c>
      <c r="Q734" s="55">
        <v>2038.5</v>
      </c>
      <c r="R734" s="55">
        <f>P734+ROUND(Q734, 2)</f>
        <v>3161.49</v>
      </c>
      <c r="S734" s="55">
        <f>ROUND(P734*I734, 2)</f>
        <v>38406.26</v>
      </c>
      <c r="T734" s="55">
        <f>ROUND(I734*ROUND(Q734, 2), 2)</f>
        <v>69716.7</v>
      </c>
      <c r="U734" s="55">
        <f>S734+T734</f>
        <v>108122.96</v>
      </c>
      <c r="V734" s="9">
        <f>ROUND(P734 / 1.2, 2)</f>
        <v>935.83</v>
      </c>
      <c r="W734" s="9">
        <f>ROUND(Q734 / 1.2, 2)</f>
        <v>1698.75</v>
      </c>
      <c r="X734" s="9">
        <f>ROUND(R734 / 1.2, 2)</f>
        <v>2634.58</v>
      </c>
      <c r="Y734" s="9">
        <f t="shared" si="135"/>
        <v>32005.22</v>
      </c>
      <c r="Z734" s="9">
        <f>ROUND(T734 / 1.2, 2)</f>
        <v>58097.25</v>
      </c>
      <c r="AA734" s="9">
        <f>Y734+Z734</f>
        <v>90102.47</v>
      </c>
      <c r="AD734" s="4">
        <v>304337699</v>
      </c>
      <c r="AE734" s="4">
        <v>20300963</v>
      </c>
      <c r="AG734" s="4" t="s">
        <v>1936</v>
      </c>
      <c r="AH734" s="4" t="s">
        <v>1937</v>
      </c>
      <c r="AI734" s="4" t="s">
        <v>260</v>
      </c>
    </row>
    <row r="735" spans="1:35" ht="18" x14ac:dyDescent="0.3">
      <c r="A735" s="51" t="s">
        <v>1962</v>
      </c>
      <c r="B735" s="51"/>
      <c r="C735" s="56" t="s">
        <v>1955</v>
      </c>
      <c r="D735" s="53"/>
      <c r="E735" s="53"/>
      <c r="F735" s="57" t="s">
        <v>67</v>
      </c>
      <c r="G735" s="58">
        <v>1</v>
      </c>
      <c r="H735" s="53"/>
      <c r="I735" s="58">
        <v>34.200000000000003</v>
      </c>
      <c r="J735" s="59">
        <v>0</v>
      </c>
      <c r="K735" s="60"/>
      <c r="L735" s="60"/>
      <c r="M735" s="59">
        <f>ROUND(ROUND(J735, 2)*I735, 2)</f>
        <v>0</v>
      </c>
      <c r="N735" s="60"/>
      <c r="O735" s="60"/>
      <c r="P735" s="59">
        <v>243</v>
      </c>
      <c r="Q735" s="60"/>
      <c r="R735" s="60"/>
      <c r="S735" s="59">
        <f>ROUND(ROUND(P735, 2)*I735, 2)</f>
        <v>8310.6</v>
      </c>
      <c r="T735" s="60"/>
      <c r="U735" s="61"/>
      <c r="V735" s="9">
        <f>ROUND(ROUND(P735, 2)/1.2, 2)</f>
        <v>202.5</v>
      </c>
      <c r="Y735" s="9">
        <f t="shared" si="135"/>
        <v>6925.5</v>
      </c>
      <c r="AD735" s="4" t="s">
        <v>1963</v>
      </c>
      <c r="AE735" s="4" t="s">
        <v>1964</v>
      </c>
      <c r="AF735" s="4" t="s">
        <v>1958</v>
      </c>
    </row>
    <row r="736" spans="1:35" ht="18" x14ac:dyDescent="0.3">
      <c r="A736" s="51" t="s">
        <v>1965</v>
      </c>
      <c r="B736" s="51"/>
      <c r="C736" s="56" t="s">
        <v>1948</v>
      </c>
      <c r="D736" s="53"/>
      <c r="E736" s="53"/>
      <c r="F736" s="57" t="s">
        <v>59</v>
      </c>
      <c r="G736" s="58">
        <v>1.05</v>
      </c>
      <c r="H736" s="53"/>
      <c r="I736" s="58">
        <v>35.909999999999997</v>
      </c>
      <c r="J736" s="59">
        <v>838.09</v>
      </c>
      <c r="K736" s="60"/>
      <c r="L736" s="60"/>
      <c r="M736" s="59">
        <f>ROUND(ROUND(J736, 2)*I736, 2)</f>
        <v>30095.81</v>
      </c>
      <c r="N736" s="60"/>
      <c r="O736" s="60"/>
      <c r="P736" s="59">
        <v>838.09</v>
      </c>
      <c r="Q736" s="60"/>
      <c r="R736" s="60"/>
      <c r="S736" s="59">
        <f>ROUND(ROUND(P736, 2)*I736, 2)</f>
        <v>30095.81</v>
      </c>
      <c r="T736" s="60"/>
      <c r="U736" s="61"/>
      <c r="V736" s="9">
        <f>ROUND(ROUND(P736, 2)/1.2, 2)</f>
        <v>698.41</v>
      </c>
      <c r="Y736" s="9">
        <f t="shared" si="135"/>
        <v>25079.84</v>
      </c>
      <c r="AD736" s="4" t="s">
        <v>1966</v>
      </c>
      <c r="AE736" s="4" t="s">
        <v>1967</v>
      </c>
      <c r="AF736" s="4" t="s">
        <v>1951</v>
      </c>
    </row>
    <row r="737" spans="1:35" ht="36" x14ac:dyDescent="0.3">
      <c r="A737" s="17" t="s">
        <v>1968</v>
      </c>
      <c r="B737" s="17" t="s">
        <v>1969</v>
      </c>
      <c r="C737" s="18" t="s">
        <v>1970</v>
      </c>
      <c r="D737" s="19"/>
      <c r="E737" s="19"/>
      <c r="F737" s="19" t="s">
        <v>59</v>
      </c>
      <c r="G737" s="20">
        <v>1</v>
      </c>
      <c r="H737" s="19"/>
      <c r="I737" s="21">
        <v>0</v>
      </c>
      <c r="J737" s="22">
        <f>IFERROR(ROUND(SUM(M739)/I737, 2),0)</f>
        <v>0</v>
      </c>
      <c r="K737" s="22">
        <v>837</v>
      </c>
      <c r="L737" s="22">
        <f>J737+ROUND(K737, 2)</f>
        <v>837</v>
      </c>
      <c r="M737" s="22">
        <f>ROUND(J737*I737, 2)</f>
        <v>0</v>
      </c>
      <c r="N737" s="22">
        <f>ROUND(I737*ROUND(K737, 2), 2)</f>
        <v>0</v>
      </c>
      <c r="O737" s="22">
        <f>M737+N737</f>
        <v>0</v>
      </c>
      <c r="P737" s="22">
        <f>IFERROR(ROUND(SUM(S739)/I737, 2),0)</f>
        <v>0</v>
      </c>
      <c r="Q737" s="22">
        <v>837</v>
      </c>
      <c r="R737" s="22">
        <f>P737+ROUND(Q737, 2)</f>
        <v>837</v>
      </c>
      <c r="S737" s="22">
        <f>ROUND(P737*I737, 2)</f>
        <v>0</v>
      </c>
      <c r="T737" s="22">
        <f>ROUND(I737*ROUND(Q737, 2), 2)</f>
        <v>0</v>
      </c>
      <c r="U737" s="22">
        <f>S737+T737</f>
        <v>0</v>
      </c>
      <c r="V737" s="9">
        <f>ROUND(P737 / 1.2, 2)</f>
        <v>0</v>
      </c>
      <c r="W737" s="9">
        <f>ROUND(Q737 / 1.2, 2)</f>
        <v>697.5</v>
      </c>
      <c r="X737" s="9">
        <f>ROUND(R737 / 1.2, 2)</f>
        <v>697.5</v>
      </c>
      <c r="Y737" s="9">
        <f t="shared" si="135"/>
        <v>0</v>
      </c>
      <c r="Z737" s="9">
        <f>ROUND(T737 / 1.2, 2)</f>
        <v>0</v>
      </c>
      <c r="AA737" s="9">
        <f>Y737+Z737</f>
        <v>0</v>
      </c>
      <c r="AD737" s="4">
        <v>304337586</v>
      </c>
      <c r="AE737" s="4">
        <v>20300961</v>
      </c>
      <c r="AG737" s="4" t="s">
        <v>1971</v>
      </c>
      <c r="AH737" s="4" t="s">
        <v>1972</v>
      </c>
      <c r="AI737" s="4" t="s">
        <v>260</v>
      </c>
    </row>
    <row r="738" spans="1:35" ht="90" x14ac:dyDescent="0.3">
      <c r="A738" s="23" t="s">
        <v>1973</v>
      </c>
      <c r="B738" s="23" t="s">
        <v>1969</v>
      </c>
      <c r="C738" s="24" t="s">
        <v>1970</v>
      </c>
      <c r="D738" s="25"/>
      <c r="E738" s="25" t="s">
        <v>1974</v>
      </c>
      <c r="F738" s="25" t="s">
        <v>59</v>
      </c>
      <c r="G738" s="26">
        <v>1</v>
      </c>
      <c r="H738" s="25"/>
      <c r="I738" s="26">
        <v>6</v>
      </c>
      <c r="J738" s="27">
        <v>0</v>
      </c>
      <c r="K738" s="27">
        <v>837</v>
      </c>
      <c r="L738" s="27"/>
      <c r="M738" s="27">
        <v>0</v>
      </c>
      <c r="N738" s="27"/>
      <c r="O738" s="27"/>
      <c r="P738" s="27">
        <v>0</v>
      </c>
      <c r="Q738" s="27">
        <v>837</v>
      </c>
      <c r="R738" s="27"/>
      <c r="S738" s="27">
        <v>0</v>
      </c>
      <c r="T738" s="27"/>
      <c r="U738" s="27"/>
      <c r="V738" s="9"/>
      <c r="W738" s="9">
        <f>ROUND(Q738 / 1.2, 2)</f>
        <v>697.5</v>
      </c>
      <c r="X738" s="9" t="e">
        <f>ROUND(R738 / 1.2, 2)</f>
        <v>#VALUE!</v>
      </c>
      <c r="Y738" s="9"/>
      <c r="Z738" s="9" t="e">
        <f>ROUND(T738 / 1.2, 2)</f>
        <v>#VALUE!</v>
      </c>
      <c r="AA738" s="9"/>
      <c r="AD738" s="4">
        <v>281879729</v>
      </c>
      <c r="AE738" s="4">
        <v>20300961</v>
      </c>
      <c r="AG738" s="4" t="s">
        <v>1971</v>
      </c>
      <c r="AH738" s="4" t="s">
        <v>1972</v>
      </c>
      <c r="AI738" s="4"/>
    </row>
    <row r="739" spans="1:35" ht="18" x14ac:dyDescent="0.3">
      <c r="A739" s="17" t="s">
        <v>1975</v>
      </c>
      <c r="B739" s="17"/>
      <c r="C739" s="34" t="s">
        <v>1976</v>
      </c>
      <c r="D739" s="19"/>
      <c r="E739" s="19"/>
      <c r="F739" s="35" t="s">
        <v>59</v>
      </c>
      <c r="G739" s="36">
        <v>1.1000000000000001</v>
      </c>
      <c r="H739" s="19"/>
      <c r="I739" s="48">
        <v>0</v>
      </c>
      <c r="J739" s="38">
        <v>1164</v>
      </c>
      <c r="K739" s="39"/>
      <c r="L739" s="39"/>
      <c r="M739" s="38">
        <f>ROUND(ROUND(J739, 2)*I739, 2)</f>
        <v>0</v>
      </c>
      <c r="N739" s="39"/>
      <c r="O739" s="39"/>
      <c r="P739" s="38">
        <v>1164</v>
      </c>
      <c r="Q739" s="39"/>
      <c r="R739" s="39"/>
      <c r="S739" s="38">
        <f>ROUND(ROUND(P739, 2)*I739, 2)</f>
        <v>0</v>
      </c>
      <c r="T739" s="39"/>
      <c r="U739" s="40"/>
      <c r="V739" s="9">
        <f>ROUND(ROUND(P739, 2)/1.2, 2)</f>
        <v>970</v>
      </c>
      <c r="Y739" s="9">
        <f>ROUND(S739 / 1.2, 2)</f>
        <v>0</v>
      </c>
      <c r="AD739" s="4" t="s">
        <v>1977</v>
      </c>
      <c r="AE739" s="4" t="s">
        <v>1978</v>
      </c>
      <c r="AF739" s="4" t="s">
        <v>1979</v>
      </c>
    </row>
    <row r="740" spans="1:35" ht="18" x14ac:dyDescent="0.3">
      <c r="A740" s="23" t="s">
        <v>1980</v>
      </c>
      <c r="B740" s="23"/>
      <c r="C740" s="41" t="s">
        <v>1976</v>
      </c>
      <c r="D740" s="25"/>
      <c r="E740" s="25"/>
      <c r="F740" s="42" t="s">
        <v>59</v>
      </c>
      <c r="G740" s="43">
        <v>1.1000000000000001</v>
      </c>
      <c r="H740" s="25"/>
      <c r="I740" s="50">
        <v>6.6</v>
      </c>
      <c r="J740" s="44">
        <v>1164</v>
      </c>
      <c r="K740" s="45"/>
      <c r="L740" s="45"/>
      <c r="M740" s="44">
        <f>ROUND(ROUND(J740, 2)*I740, 2)</f>
        <v>7682.4</v>
      </c>
      <c r="N740" s="45"/>
      <c r="O740" s="45"/>
      <c r="P740" s="44">
        <v>1164</v>
      </c>
      <c r="Q740" s="45"/>
      <c r="R740" s="45"/>
      <c r="S740" s="44">
        <f>ROUND(ROUND(P740, 2)*I740, 2)</f>
        <v>7682.4</v>
      </c>
      <c r="T740" s="45"/>
      <c r="U740" s="46"/>
      <c r="V740" s="9">
        <f>ROUND(ROUND(P740, 2)/1.2, 2)</f>
        <v>970</v>
      </c>
      <c r="Y740" s="9">
        <f>ROUND(S740 / 1.2, 2)</f>
        <v>6402</v>
      </c>
      <c r="AD740" s="4" t="s">
        <v>1981</v>
      </c>
      <c r="AE740" s="4" t="s">
        <v>1978</v>
      </c>
      <c r="AF740" s="4" t="s">
        <v>1979</v>
      </c>
    </row>
    <row r="741" spans="1:35" ht="36" x14ac:dyDescent="0.3">
      <c r="A741" s="17" t="s">
        <v>1982</v>
      </c>
      <c r="B741" s="17" t="s">
        <v>1969</v>
      </c>
      <c r="C741" s="18" t="s">
        <v>1970</v>
      </c>
      <c r="D741" s="19"/>
      <c r="E741" s="19"/>
      <c r="F741" s="19" t="s">
        <v>59</v>
      </c>
      <c r="G741" s="20">
        <v>1</v>
      </c>
      <c r="H741" s="19"/>
      <c r="I741" s="21">
        <v>0</v>
      </c>
      <c r="J741" s="22">
        <f>IFERROR(ROUND(SUM(M743)/I741, 2),0)</f>
        <v>0</v>
      </c>
      <c r="K741" s="22">
        <v>837</v>
      </c>
      <c r="L741" s="22">
        <f>J741+ROUND(K741, 2)</f>
        <v>837</v>
      </c>
      <c r="M741" s="22">
        <f>ROUND(J741*I741, 2)</f>
        <v>0</v>
      </c>
      <c r="N741" s="22">
        <f>ROUND(I741*ROUND(K741, 2), 2)</f>
        <v>0</v>
      </c>
      <c r="O741" s="22">
        <f>M741+N741</f>
        <v>0</v>
      </c>
      <c r="P741" s="22">
        <f>IFERROR(ROUND(SUM(S743)/I741, 2),0)</f>
        <v>0</v>
      </c>
      <c r="Q741" s="22">
        <v>837</v>
      </c>
      <c r="R741" s="22">
        <f>P741+ROUND(Q741, 2)</f>
        <v>837</v>
      </c>
      <c r="S741" s="22">
        <f>ROUND(P741*I741, 2)</f>
        <v>0</v>
      </c>
      <c r="T741" s="22">
        <f>ROUND(I741*ROUND(Q741, 2), 2)</f>
        <v>0</v>
      </c>
      <c r="U741" s="22">
        <f>S741+T741</f>
        <v>0</v>
      </c>
      <c r="V741" s="9">
        <f>ROUND(P741 / 1.2, 2)</f>
        <v>0</v>
      </c>
      <c r="W741" s="9">
        <f>ROUND(Q741 / 1.2, 2)</f>
        <v>697.5</v>
      </c>
      <c r="X741" s="9">
        <f>ROUND(R741 / 1.2, 2)</f>
        <v>697.5</v>
      </c>
      <c r="Y741" s="9">
        <f>ROUND(S741 / 1.2, 2)</f>
        <v>0</v>
      </c>
      <c r="Z741" s="9">
        <f>ROUND(T741 / 1.2, 2)</f>
        <v>0</v>
      </c>
      <c r="AA741" s="9">
        <f>Y741+Z741</f>
        <v>0</v>
      </c>
      <c r="AD741" s="4">
        <v>304337700</v>
      </c>
      <c r="AE741" s="4">
        <v>20301990</v>
      </c>
      <c r="AG741" s="4" t="s">
        <v>1971</v>
      </c>
      <c r="AH741" s="4" t="s">
        <v>1972</v>
      </c>
      <c r="AI741" s="4" t="s">
        <v>260</v>
      </c>
    </row>
    <row r="742" spans="1:35" ht="90" x14ac:dyDescent="0.3">
      <c r="A742" s="23" t="s">
        <v>1983</v>
      </c>
      <c r="B742" s="23" t="s">
        <v>1969</v>
      </c>
      <c r="C742" s="24" t="s">
        <v>1970</v>
      </c>
      <c r="D742" s="25"/>
      <c r="E742" s="25" t="s">
        <v>1984</v>
      </c>
      <c r="F742" s="25" t="s">
        <v>59</v>
      </c>
      <c r="G742" s="26">
        <v>1</v>
      </c>
      <c r="H742" s="25"/>
      <c r="I742" s="26">
        <v>1549.1</v>
      </c>
      <c r="J742" s="27">
        <v>0</v>
      </c>
      <c r="K742" s="27">
        <v>837</v>
      </c>
      <c r="L742" s="27"/>
      <c r="M742" s="27">
        <v>0</v>
      </c>
      <c r="N742" s="27"/>
      <c r="O742" s="27"/>
      <c r="P742" s="27">
        <v>0</v>
      </c>
      <c r="Q742" s="27">
        <v>837</v>
      </c>
      <c r="R742" s="27"/>
      <c r="S742" s="27">
        <v>0</v>
      </c>
      <c r="T742" s="27"/>
      <c r="U742" s="27"/>
      <c r="V742" s="9"/>
      <c r="W742" s="9">
        <f>ROUND(Q742 / 1.2, 2)</f>
        <v>697.5</v>
      </c>
      <c r="X742" s="9" t="e">
        <f>ROUND(R742 / 1.2, 2)</f>
        <v>#VALUE!</v>
      </c>
      <c r="Y742" s="9"/>
      <c r="Z742" s="9" t="e">
        <f>ROUND(T742 / 1.2, 2)</f>
        <v>#VALUE!</v>
      </c>
      <c r="AA742" s="9"/>
      <c r="AD742" s="4">
        <v>281879775</v>
      </c>
      <c r="AE742" s="4">
        <v>20301990</v>
      </c>
      <c r="AG742" s="4" t="s">
        <v>1971</v>
      </c>
      <c r="AH742" s="4" t="s">
        <v>1972</v>
      </c>
      <c r="AI742" s="4"/>
    </row>
    <row r="743" spans="1:35" ht="18" x14ac:dyDescent="0.3">
      <c r="A743" s="17" t="s">
        <v>1985</v>
      </c>
      <c r="B743" s="17"/>
      <c r="C743" s="34" t="s">
        <v>1976</v>
      </c>
      <c r="D743" s="19"/>
      <c r="E743" s="19"/>
      <c r="F743" s="35" t="s">
        <v>59</v>
      </c>
      <c r="G743" s="36">
        <v>1.1000000000000001</v>
      </c>
      <c r="H743" s="19"/>
      <c r="I743" s="48">
        <v>0</v>
      </c>
      <c r="J743" s="38">
        <v>1164</v>
      </c>
      <c r="K743" s="39"/>
      <c r="L743" s="39"/>
      <c r="M743" s="38">
        <f>ROUND(ROUND(J743, 2)*I743, 2)</f>
        <v>0</v>
      </c>
      <c r="N743" s="39"/>
      <c r="O743" s="39"/>
      <c r="P743" s="38">
        <v>1164</v>
      </c>
      <c r="Q743" s="39"/>
      <c r="R743" s="39"/>
      <c r="S743" s="38">
        <f>ROUND(ROUND(P743, 2)*I743, 2)</f>
        <v>0</v>
      </c>
      <c r="T743" s="39"/>
      <c r="U743" s="40"/>
      <c r="V743" s="9">
        <f>ROUND(ROUND(P743, 2)/1.2, 2)</f>
        <v>970</v>
      </c>
      <c r="Y743" s="9">
        <f>ROUND(S743 / 1.2, 2)</f>
        <v>0</v>
      </c>
      <c r="AD743" s="4" t="s">
        <v>1986</v>
      </c>
      <c r="AE743" s="4" t="s">
        <v>1987</v>
      </c>
      <c r="AF743" s="4" t="s">
        <v>1979</v>
      </c>
    </row>
    <row r="744" spans="1:35" ht="18" x14ac:dyDescent="0.3">
      <c r="A744" s="23" t="s">
        <v>1988</v>
      </c>
      <c r="B744" s="23"/>
      <c r="C744" s="41" t="s">
        <v>1976</v>
      </c>
      <c r="D744" s="25"/>
      <c r="E744" s="25" t="s">
        <v>1989</v>
      </c>
      <c r="F744" s="42" t="s">
        <v>59</v>
      </c>
      <c r="G744" s="43">
        <v>1.1000000000000001</v>
      </c>
      <c r="H744" s="25"/>
      <c r="I744" s="50">
        <v>1704.01</v>
      </c>
      <c r="J744" s="44">
        <v>1164</v>
      </c>
      <c r="K744" s="45"/>
      <c r="L744" s="45"/>
      <c r="M744" s="44">
        <f>ROUND(ROUND(J744, 2)*I744, 2)</f>
        <v>1983467.64</v>
      </c>
      <c r="N744" s="45"/>
      <c r="O744" s="45"/>
      <c r="P744" s="44">
        <v>1164</v>
      </c>
      <c r="Q744" s="45"/>
      <c r="R744" s="45"/>
      <c r="S744" s="44">
        <f>ROUND(ROUND(P744, 2)*I744, 2)</f>
        <v>1983467.64</v>
      </c>
      <c r="T744" s="45"/>
      <c r="U744" s="46"/>
      <c r="V744" s="9">
        <f>ROUND(ROUND(P744, 2)/1.2, 2)</f>
        <v>970</v>
      </c>
      <c r="Y744" s="9">
        <f>ROUND(S744 / 1.2, 2)</f>
        <v>1652889.7</v>
      </c>
      <c r="AD744" s="4" t="s">
        <v>1990</v>
      </c>
      <c r="AE744" s="4" t="s">
        <v>1987</v>
      </c>
      <c r="AF744" s="4" t="s">
        <v>1979</v>
      </c>
    </row>
    <row r="745" spans="1:35" ht="36" x14ac:dyDescent="0.3">
      <c r="A745" s="17" t="s">
        <v>1991</v>
      </c>
      <c r="B745" s="17" t="s">
        <v>1969</v>
      </c>
      <c r="C745" s="18" t="s">
        <v>1970</v>
      </c>
      <c r="D745" s="19"/>
      <c r="E745" s="19"/>
      <c r="F745" s="19" t="s">
        <v>59</v>
      </c>
      <c r="G745" s="20">
        <v>1</v>
      </c>
      <c r="H745" s="19"/>
      <c r="I745" s="21">
        <v>0</v>
      </c>
      <c r="J745" s="22">
        <f>IFERROR(ROUND(SUM(M747)/I745, 2),0)</f>
        <v>0</v>
      </c>
      <c r="K745" s="22">
        <v>837</v>
      </c>
      <c r="L745" s="22">
        <f>J745+ROUND(K745, 2)</f>
        <v>837</v>
      </c>
      <c r="M745" s="22">
        <f>ROUND(J745*I745, 2)</f>
        <v>0</v>
      </c>
      <c r="N745" s="22">
        <f>ROUND(I745*ROUND(K745, 2), 2)</f>
        <v>0</v>
      </c>
      <c r="O745" s="22">
        <f>M745+N745</f>
        <v>0</v>
      </c>
      <c r="P745" s="22">
        <f>IFERROR(ROUND(SUM(S747)/I745, 2),0)</f>
        <v>0</v>
      </c>
      <c r="Q745" s="22">
        <v>837</v>
      </c>
      <c r="R745" s="22">
        <f>P745+ROUND(Q745, 2)</f>
        <v>837</v>
      </c>
      <c r="S745" s="22">
        <f>ROUND(P745*I745, 2)</f>
        <v>0</v>
      </c>
      <c r="T745" s="22">
        <f>ROUND(I745*ROUND(Q745, 2), 2)</f>
        <v>0</v>
      </c>
      <c r="U745" s="22">
        <f>S745+T745</f>
        <v>0</v>
      </c>
      <c r="V745" s="9">
        <f>ROUND(P745 / 1.2, 2)</f>
        <v>0</v>
      </c>
      <c r="W745" s="9">
        <f>ROUND(Q745 / 1.2, 2)</f>
        <v>697.5</v>
      </c>
      <c r="X745" s="9">
        <f>ROUND(R745 / 1.2, 2)</f>
        <v>697.5</v>
      </c>
      <c r="Y745" s="9">
        <f>ROUND(S745 / 1.2, 2)</f>
        <v>0</v>
      </c>
      <c r="Z745" s="9">
        <f>ROUND(T745 / 1.2, 2)</f>
        <v>0</v>
      </c>
      <c r="AA745" s="9">
        <f>Y745+Z745</f>
        <v>0</v>
      </c>
      <c r="AD745" s="4">
        <v>304337701</v>
      </c>
      <c r="AE745" s="4">
        <v>20301991</v>
      </c>
      <c r="AG745" s="4" t="s">
        <v>1971</v>
      </c>
      <c r="AH745" s="4" t="s">
        <v>1972</v>
      </c>
      <c r="AI745" s="4" t="s">
        <v>260</v>
      </c>
    </row>
    <row r="746" spans="1:35" ht="90" x14ac:dyDescent="0.3">
      <c r="A746" s="23" t="s">
        <v>1992</v>
      </c>
      <c r="B746" s="23" t="s">
        <v>1969</v>
      </c>
      <c r="C746" s="24" t="s">
        <v>1970</v>
      </c>
      <c r="D746" s="25"/>
      <c r="E746" s="25" t="s">
        <v>1993</v>
      </c>
      <c r="F746" s="25" t="s">
        <v>59</v>
      </c>
      <c r="G746" s="26">
        <v>1</v>
      </c>
      <c r="H746" s="25"/>
      <c r="I746" s="26">
        <v>242</v>
      </c>
      <c r="J746" s="27">
        <v>0</v>
      </c>
      <c r="K746" s="27">
        <v>837</v>
      </c>
      <c r="L746" s="27"/>
      <c r="M746" s="27">
        <v>0</v>
      </c>
      <c r="N746" s="27"/>
      <c r="O746" s="27"/>
      <c r="P746" s="27">
        <v>0</v>
      </c>
      <c r="Q746" s="27">
        <v>837</v>
      </c>
      <c r="R746" s="27"/>
      <c r="S746" s="27">
        <v>0</v>
      </c>
      <c r="T746" s="27"/>
      <c r="U746" s="27"/>
      <c r="V746" s="9"/>
      <c r="W746" s="9">
        <f>ROUND(Q746 / 1.2, 2)</f>
        <v>697.5</v>
      </c>
      <c r="X746" s="9" t="e">
        <f>ROUND(R746 / 1.2, 2)</f>
        <v>#VALUE!</v>
      </c>
      <c r="Y746" s="9"/>
      <c r="Z746" s="9" t="e">
        <f>ROUND(T746 / 1.2, 2)</f>
        <v>#VALUE!</v>
      </c>
      <c r="AA746" s="9"/>
      <c r="AD746" s="4">
        <v>281879776</v>
      </c>
      <c r="AE746" s="4">
        <v>20301991</v>
      </c>
      <c r="AG746" s="4" t="s">
        <v>1971</v>
      </c>
      <c r="AH746" s="4" t="s">
        <v>1972</v>
      </c>
      <c r="AI746" s="4"/>
    </row>
    <row r="747" spans="1:35" ht="18" x14ac:dyDescent="0.3">
      <c r="A747" s="17" t="s">
        <v>1994</v>
      </c>
      <c r="B747" s="17"/>
      <c r="C747" s="34" t="s">
        <v>1976</v>
      </c>
      <c r="D747" s="19"/>
      <c r="E747" s="19"/>
      <c r="F747" s="35" t="s">
        <v>59</v>
      </c>
      <c r="G747" s="36">
        <v>1.1000000000000001</v>
      </c>
      <c r="H747" s="19"/>
      <c r="I747" s="48">
        <v>0</v>
      </c>
      <c r="J747" s="38">
        <v>1164</v>
      </c>
      <c r="K747" s="39"/>
      <c r="L747" s="39"/>
      <c r="M747" s="38">
        <f>ROUND(ROUND(J747, 2)*I747, 2)</f>
        <v>0</v>
      </c>
      <c r="N747" s="39"/>
      <c r="O747" s="39"/>
      <c r="P747" s="38">
        <v>1164</v>
      </c>
      <c r="Q747" s="39"/>
      <c r="R747" s="39"/>
      <c r="S747" s="38">
        <f>ROUND(ROUND(P747, 2)*I747, 2)</f>
        <v>0</v>
      </c>
      <c r="T747" s="39"/>
      <c r="U747" s="40"/>
      <c r="V747" s="9">
        <f>ROUND(ROUND(P747, 2)/1.2, 2)</f>
        <v>970</v>
      </c>
      <c r="Y747" s="9">
        <f t="shared" ref="Y747:Y754" si="136">ROUND(S747 / 1.2, 2)</f>
        <v>0</v>
      </c>
      <c r="AD747" s="4" t="s">
        <v>1995</v>
      </c>
      <c r="AE747" s="4" t="s">
        <v>1996</v>
      </c>
      <c r="AF747" s="4" t="s">
        <v>1979</v>
      </c>
    </row>
    <row r="748" spans="1:35" ht="18" x14ac:dyDescent="0.3">
      <c r="A748" s="23" t="s">
        <v>1997</v>
      </c>
      <c r="B748" s="23"/>
      <c r="C748" s="41" t="s">
        <v>1976</v>
      </c>
      <c r="D748" s="25"/>
      <c r="E748" s="25"/>
      <c r="F748" s="42" t="s">
        <v>59</v>
      </c>
      <c r="G748" s="43">
        <v>1.1000000000000001</v>
      </c>
      <c r="H748" s="25"/>
      <c r="I748" s="50">
        <v>266.2</v>
      </c>
      <c r="J748" s="44">
        <v>1164</v>
      </c>
      <c r="K748" s="45"/>
      <c r="L748" s="45"/>
      <c r="M748" s="44">
        <f>ROUND(ROUND(J748, 2)*I748, 2)</f>
        <v>309856.8</v>
      </c>
      <c r="N748" s="45"/>
      <c r="O748" s="45"/>
      <c r="P748" s="44">
        <v>1164</v>
      </c>
      <c r="Q748" s="45"/>
      <c r="R748" s="45"/>
      <c r="S748" s="44">
        <f>ROUND(ROUND(P748, 2)*I748, 2)</f>
        <v>309856.8</v>
      </c>
      <c r="T748" s="45"/>
      <c r="U748" s="46"/>
      <c r="V748" s="9">
        <f>ROUND(ROUND(P748, 2)/1.2, 2)</f>
        <v>970</v>
      </c>
      <c r="Y748" s="9">
        <f t="shared" si="136"/>
        <v>258214</v>
      </c>
      <c r="AD748" s="4" t="s">
        <v>1998</v>
      </c>
      <c r="AE748" s="4" t="s">
        <v>1996</v>
      </c>
      <c r="AF748" s="4" t="s">
        <v>1979</v>
      </c>
    </row>
    <row r="749" spans="1:35" ht="90" x14ac:dyDescent="0.3">
      <c r="A749" s="51" t="s">
        <v>1999</v>
      </c>
      <c r="B749" s="51" t="s">
        <v>1969</v>
      </c>
      <c r="C749" s="52" t="s">
        <v>1970</v>
      </c>
      <c r="D749" s="53"/>
      <c r="E749" s="53" t="s">
        <v>1974</v>
      </c>
      <c r="F749" s="53" t="s">
        <v>59</v>
      </c>
      <c r="G749" s="54">
        <v>1</v>
      </c>
      <c r="H749" s="53"/>
      <c r="I749" s="54">
        <v>6</v>
      </c>
      <c r="J749" s="55">
        <f>IFERROR(ROUND(SUM(M750)/I749, 2),0)</f>
        <v>1280.4000000000001</v>
      </c>
      <c r="K749" s="55">
        <v>837</v>
      </c>
      <c r="L749" s="55">
        <f>J749+ROUND(K749, 2)</f>
        <v>2117.4</v>
      </c>
      <c r="M749" s="55">
        <f>ROUND(J749*I749, 2)</f>
        <v>7682.4</v>
      </c>
      <c r="N749" s="55">
        <f>ROUND(I749*ROUND(K749, 2), 2)</f>
        <v>5022</v>
      </c>
      <c r="O749" s="55">
        <f>M749+N749</f>
        <v>12704.4</v>
      </c>
      <c r="P749" s="55">
        <f>IFERROR(ROUND(SUM(S750)/I749, 2),0)</f>
        <v>1280.4000000000001</v>
      </c>
      <c r="Q749" s="55">
        <v>1255.5</v>
      </c>
      <c r="R749" s="55">
        <f>P749+ROUND(Q749, 2)</f>
        <v>2535.9</v>
      </c>
      <c r="S749" s="55">
        <f>ROUND(P749*I749, 2)</f>
        <v>7682.4</v>
      </c>
      <c r="T749" s="55">
        <f>ROUND(I749*ROUND(Q749, 2), 2)</f>
        <v>7533</v>
      </c>
      <c r="U749" s="55">
        <f>S749+T749</f>
        <v>15215.4</v>
      </c>
      <c r="V749" s="9">
        <f>ROUND(P749 / 1.2, 2)</f>
        <v>1067</v>
      </c>
      <c r="W749" s="9">
        <f>ROUND(Q749 / 1.2, 2)</f>
        <v>1046.25</v>
      </c>
      <c r="X749" s="9">
        <f>ROUND(R749 / 1.2, 2)</f>
        <v>2113.25</v>
      </c>
      <c r="Y749" s="9">
        <f t="shared" si="136"/>
        <v>6402</v>
      </c>
      <c r="Z749" s="9">
        <f>ROUND(T749 / 1.2, 2)</f>
        <v>6277.5</v>
      </c>
      <c r="AA749" s="9">
        <f>Y749+Z749</f>
        <v>12679.5</v>
      </c>
      <c r="AD749" s="4">
        <v>304337702</v>
      </c>
      <c r="AE749" s="4">
        <v>20301992</v>
      </c>
      <c r="AG749" s="4" t="s">
        <v>1971</v>
      </c>
      <c r="AH749" s="4" t="s">
        <v>1972</v>
      </c>
      <c r="AI749" s="4" t="s">
        <v>260</v>
      </c>
    </row>
    <row r="750" spans="1:35" ht="18" x14ac:dyDescent="0.3">
      <c r="A750" s="51" t="s">
        <v>2000</v>
      </c>
      <c r="B750" s="51"/>
      <c r="C750" s="56" t="s">
        <v>1976</v>
      </c>
      <c r="D750" s="53"/>
      <c r="E750" s="53"/>
      <c r="F750" s="57" t="s">
        <v>59</v>
      </c>
      <c r="G750" s="58">
        <v>1.1000000000000001</v>
      </c>
      <c r="H750" s="53"/>
      <c r="I750" s="62">
        <v>6.6</v>
      </c>
      <c r="J750" s="59">
        <v>1164</v>
      </c>
      <c r="K750" s="60"/>
      <c r="L750" s="60"/>
      <c r="M750" s="59">
        <f>ROUND(ROUND(J750, 2)*I750, 2)</f>
        <v>7682.4</v>
      </c>
      <c r="N750" s="60"/>
      <c r="O750" s="60"/>
      <c r="P750" s="59">
        <v>1164</v>
      </c>
      <c r="Q750" s="60"/>
      <c r="R750" s="60"/>
      <c r="S750" s="59">
        <f>ROUND(ROUND(P750, 2)*I750, 2)</f>
        <v>7682.4</v>
      </c>
      <c r="T750" s="60"/>
      <c r="U750" s="61"/>
      <c r="V750" s="9">
        <f>ROUND(ROUND(P750, 2)/1.2, 2)</f>
        <v>970</v>
      </c>
      <c r="Y750" s="9">
        <f t="shared" si="136"/>
        <v>6402</v>
      </c>
      <c r="AD750" s="4" t="s">
        <v>2001</v>
      </c>
      <c r="AE750" s="4" t="s">
        <v>2002</v>
      </c>
      <c r="AF750" s="4" t="s">
        <v>1979</v>
      </c>
    </row>
    <row r="751" spans="1:35" ht="90" x14ac:dyDescent="0.3">
      <c r="A751" s="51" t="s">
        <v>2003</v>
      </c>
      <c r="B751" s="51" t="s">
        <v>1969</v>
      </c>
      <c r="C751" s="52" t="s">
        <v>1970</v>
      </c>
      <c r="D751" s="53"/>
      <c r="E751" s="53" t="s">
        <v>1984</v>
      </c>
      <c r="F751" s="53" t="s">
        <v>59</v>
      </c>
      <c r="G751" s="54">
        <v>1</v>
      </c>
      <c r="H751" s="53"/>
      <c r="I751" s="54">
        <v>1549.1</v>
      </c>
      <c r="J751" s="55">
        <f>IFERROR(ROUND(SUM(M752)/I751, 2),0)</f>
        <v>1280.4000000000001</v>
      </c>
      <c r="K751" s="55">
        <v>837</v>
      </c>
      <c r="L751" s="55">
        <f>J751+ROUND(K751, 2)</f>
        <v>2117.4</v>
      </c>
      <c r="M751" s="55">
        <f>ROUND(J751*I751, 2)</f>
        <v>1983467.64</v>
      </c>
      <c r="N751" s="55">
        <f>ROUND(I751*ROUND(K751, 2), 2)</f>
        <v>1296596.7</v>
      </c>
      <c r="O751" s="55">
        <f>M751+N751</f>
        <v>3280064.34</v>
      </c>
      <c r="P751" s="55">
        <f>IFERROR(ROUND(SUM(S752)/I751, 2),0)</f>
        <v>1280.4000000000001</v>
      </c>
      <c r="Q751" s="55">
        <v>1255.5</v>
      </c>
      <c r="R751" s="55">
        <f>P751+ROUND(Q751, 2)</f>
        <v>2535.9</v>
      </c>
      <c r="S751" s="55">
        <f>ROUND(P751*I751, 2)</f>
        <v>1983467.64</v>
      </c>
      <c r="T751" s="55">
        <f>ROUND(I751*ROUND(Q751, 2), 2)</f>
        <v>1944895.05</v>
      </c>
      <c r="U751" s="55">
        <f>S751+T751</f>
        <v>3928362.69</v>
      </c>
      <c r="V751" s="9">
        <f>ROUND(P751 / 1.2, 2)</f>
        <v>1067</v>
      </c>
      <c r="W751" s="9">
        <f>ROUND(Q751 / 1.2, 2)</f>
        <v>1046.25</v>
      </c>
      <c r="X751" s="9">
        <f>ROUND(R751 / 1.2, 2)</f>
        <v>2113.25</v>
      </c>
      <c r="Y751" s="9">
        <f t="shared" si="136"/>
        <v>1652889.7</v>
      </c>
      <c r="Z751" s="9">
        <f>ROUND(T751 / 1.2, 2)</f>
        <v>1620745.88</v>
      </c>
      <c r="AA751" s="9">
        <f>Y751+Z751</f>
        <v>3273635.58</v>
      </c>
      <c r="AD751" s="4">
        <v>304337703</v>
      </c>
      <c r="AE751" s="4">
        <v>20301988</v>
      </c>
      <c r="AG751" s="4" t="s">
        <v>1971</v>
      </c>
      <c r="AH751" s="4" t="s">
        <v>1972</v>
      </c>
      <c r="AI751" s="4" t="s">
        <v>260</v>
      </c>
    </row>
    <row r="752" spans="1:35" ht="18" x14ac:dyDescent="0.3">
      <c r="A752" s="51" t="s">
        <v>2004</v>
      </c>
      <c r="B752" s="51"/>
      <c r="C752" s="56" t="s">
        <v>1976</v>
      </c>
      <c r="D752" s="53"/>
      <c r="E752" s="53" t="s">
        <v>1989</v>
      </c>
      <c r="F752" s="57" t="s">
        <v>59</v>
      </c>
      <c r="G752" s="58">
        <v>1.1000000000000001</v>
      </c>
      <c r="H752" s="53"/>
      <c r="I752" s="62">
        <v>1704.01</v>
      </c>
      <c r="J752" s="59">
        <v>1164</v>
      </c>
      <c r="K752" s="60"/>
      <c r="L752" s="60"/>
      <c r="M752" s="59">
        <f>ROUND(ROUND(J752, 2)*I752, 2)</f>
        <v>1983467.64</v>
      </c>
      <c r="N752" s="60"/>
      <c r="O752" s="60"/>
      <c r="P752" s="59">
        <v>1164</v>
      </c>
      <c r="Q752" s="60"/>
      <c r="R752" s="60"/>
      <c r="S752" s="59">
        <f>ROUND(ROUND(P752, 2)*I752, 2)</f>
        <v>1983467.64</v>
      </c>
      <c r="T752" s="60"/>
      <c r="U752" s="61"/>
      <c r="V752" s="9">
        <f>ROUND(ROUND(P752, 2)/1.2, 2)</f>
        <v>970</v>
      </c>
      <c r="Y752" s="9">
        <f t="shared" si="136"/>
        <v>1652889.7</v>
      </c>
      <c r="AD752" s="4" t="s">
        <v>2005</v>
      </c>
      <c r="AE752" s="4" t="s">
        <v>2006</v>
      </c>
      <c r="AF752" s="4" t="s">
        <v>1979</v>
      </c>
    </row>
    <row r="753" spans="1:35" ht="90" x14ac:dyDescent="0.3">
      <c r="A753" s="51" t="s">
        <v>2007</v>
      </c>
      <c r="B753" s="51" t="s">
        <v>1969</v>
      </c>
      <c r="C753" s="52" t="s">
        <v>1970</v>
      </c>
      <c r="D753" s="53"/>
      <c r="E753" s="53" t="s">
        <v>1993</v>
      </c>
      <c r="F753" s="53" t="s">
        <v>59</v>
      </c>
      <c r="G753" s="54">
        <v>1</v>
      </c>
      <c r="H753" s="53"/>
      <c r="I753" s="54">
        <v>242</v>
      </c>
      <c r="J753" s="55">
        <f>IFERROR(ROUND(SUM(M754)/I753, 2),0)</f>
        <v>1280.4000000000001</v>
      </c>
      <c r="K753" s="55">
        <v>837</v>
      </c>
      <c r="L753" s="55">
        <f>J753+ROUND(K753, 2)</f>
        <v>2117.4</v>
      </c>
      <c r="M753" s="55">
        <f>ROUND(J753*I753, 2)</f>
        <v>309856.8</v>
      </c>
      <c r="N753" s="55">
        <f>ROUND(I753*ROUND(K753, 2), 2)</f>
        <v>202554</v>
      </c>
      <c r="O753" s="55">
        <f>M753+N753</f>
        <v>512410.8</v>
      </c>
      <c r="P753" s="55">
        <f>IFERROR(ROUND(SUM(S754)/I753, 2),0)</f>
        <v>1280.4000000000001</v>
      </c>
      <c r="Q753" s="55">
        <v>1255.5</v>
      </c>
      <c r="R753" s="55">
        <f>P753+ROUND(Q753, 2)</f>
        <v>2535.9</v>
      </c>
      <c r="S753" s="55">
        <f>ROUND(P753*I753, 2)</f>
        <v>309856.8</v>
      </c>
      <c r="T753" s="55">
        <f>ROUND(I753*ROUND(Q753, 2), 2)</f>
        <v>303831</v>
      </c>
      <c r="U753" s="55">
        <f>S753+T753</f>
        <v>613687.80000000005</v>
      </c>
      <c r="V753" s="9">
        <f>ROUND(P753 / 1.2, 2)</f>
        <v>1067</v>
      </c>
      <c r="W753" s="9">
        <f>ROUND(Q753 / 1.2, 2)</f>
        <v>1046.25</v>
      </c>
      <c r="X753" s="9">
        <f>ROUND(R753 / 1.2, 2)</f>
        <v>2113.25</v>
      </c>
      <c r="Y753" s="9">
        <f t="shared" si="136"/>
        <v>258214</v>
      </c>
      <c r="Z753" s="9">
        <f>ROUND(T753 / 1.2, 2)</f>
        <v>253192.5</v>
      </c>
      <c r="AA753" s="9">
        <f>Y753+Z753</f>
        <v>511406.5</v>
      </c>
      <c r="AD753" s="4">
        <v>304337704</v>
      </c>
      <c r="AE753" s="4">
        <v>20301989</v>
      </c>
      <c r="AG753" s="4" t="s">
        <v>1971</v>
      </c>
      <c r="AH753" s="4" t="s">
        <v>1972</v>
      </c>
      <c r="AI753" s="4" t="s">
        <v>260</v>
      </c>
    </row>
    <row r="754" spans="1:35" ht="18" x14ac:dyDescent="0.3">
      <c r="A754" s="51" t="s">
        <v>2008</v>
      </c>
      <c r="B754" s="51"/>
      <c r="C754" s="56" t="s">
        <v>1976</v>
      </c>
      <c r="D754" s="53"/>
      <c r="E754" s="53"/>
      <c r="F754" s="57" t="s">
        <v>59</v>
      </c>
      <c r="G754" s="58">
        <v>1.1000000000000001</v>
      </c>
      <c r="H754" s="53"/>
      <c r="I754" s="62">
        <v>266.2</v>
      </c>
      <c r="J754" s="59">
        <v>1164</v>
      </c>
      <c r="K754" s="60"/>
      <c r="L754" s="60"/>
      <c r="M754" s="59">
        <f>ROUND(ROUND(J754, 2)*I754, 2)</f>
        <v>309856.8</v>
      </c>
      <c r="N754" s="60"/>
      <c r="O754" s="60"/>
      <c r="P754" s="59">
        <v>1164</v>
      </c>
      <c r="Q754" s="60"/>
      <c r="R754" s="60"/>
      <c r="S754" s="59">
        <f>ROUND(ROUND(P754, 2)*I754, 2)</f>
        <v>309856.8</v>
      </c>
      <c r="T754" s="60"/>
      <c r="U754" s="61"/>
      <c r="V754" s="9">
        <f>ROUND(ROUND(P754, 2)/1.2, 2)</f>
        <v>970</v>
      </c>
      <c r="Y754" s="9">
        <f t="shared" si="136"/>
        <v>258214</v>
      </c>
      <c r="AD754" s="4" t="s">
        <v>2009</v>
      </c>
      <c r="AE754" s="4" t="s">
        <v>2010</v>
      </c>
      <c r="AF754" s="4" t="s">
        <v>1979</v>
      </c>
    </row>
    <row r="755" spans="1:35" ht="54" x14ac:dyDescent="0.3">
      <c r="A755" s="17" t="s">
        <v>2011</v>
      </c>
      <c r="B755" s="17" t="s">
        <v>2012</v>
      </c>
      <c r="C755" s="18" t="s">
        <v>2013</v>
      </c>
      <c r="D755" s="19"/>
      <c r="E755" s="19"/>
      <c r="F755" s="19" t="s">
        <v>59</v>
      </c>
      <c r="G755" s="20">
        <v>1</v>
      </c>
      <c r="H755" s="19"/>
      <c r="I755" s="21">
        <v>0</v>
      </c>
      <c r="J755" s="22">
        <v>0</v>
      </c>
      <c r="K755" s="22">
        <v>121</v>
      </c>
      <c r="L755" s="22">
        <f>J755+ROUND(K755, 2)</f>
        <v>121</v>
      </c>
      <c r="M755" s="22">
        <v>0</v>
      </c>
      <c r="N755" s="22">
        <f>ROUND(I755*ROUND(K755, 2), 2)</f>
        <v>0</v>
      </c>
      <c r="O755" s="22">
        <f>M755+N755</f>
        <v>0</v>
      </c>
      <c r="P755" s="22">
        <v>0</v>
      </c>
      <c r="Q755" s="22">
        <v>121</v>
      </c>
      <c r="R755" s="22">
        <f>P755+ROUND(Q755, 2)</f>
        <v>121</v>
      </c>
      <c r="S755" s="22">
        <v>0</v>
      </c>
      <c r="T755" s="22">
        <f>ROUND(I755*ROUND(Q755, 2), 2)</f>
        <v>0</v>
      </c>
      <c r="U755" s="22">
        <f>S755+T755</f>
        <v>0</v>
      </c>
      <c r="V755" s="9"/>
      <c r="W755" s="9">
        <f t="shared" ref="W755:X759" si="137">ROUND(Q755 / 1.2, 2)</f>
        <v>100.83</v>
      </c>
      <c r="X755" s="9">
        <f t="shared" si="137"/>
        <v>100.83</v>
      </c>
      <c r="Y755" s="9"/>
      <c r="Z755" s="9">
        <f>ROUND(T755 / 1.2, 2)</f>
        <v>0</v>
      </c>
      <c r="AA755" s="9" t="e">
        <f>Y755+Z755</f>
        <v>#VALUE!</v>
      </c>
      <c r="AD755" s="4">
        <v>304337588</v>
      </c>
      <c r="AE755" s="4">
        <v>20302456</v>
      </c>
      <c r="AG755" s="4" t="s">
        <v>2014</v>
      </c>
      <c r="AH755" s="4" t="s">
        <v>2015</v>
      </c>
      <c r="AI755" s="4" t="s">
        <v>260</v>
      </c>
    </row>
    <row r="756" spans="1:35" ht="54" x14ac:dyDescent="0.3">
      <c r="A756" s="23" t="s">
        <v>2016</v>
      </c>
      <c r="B756" s="23" t="s">
        <v>2012</v>
      </c>
      <c r="C756" s="24" t="s">
        <v>2013</v>
      </c>
      <c r="D756" s="25"/>
      <c r="E756" s="25"/>
      <c r="F756" s="25" t="s">
        <v>59</v>
      </c>
      <c r="G756" s="26">
        <v>1</v>
      </c>
      <c r="H756" s="25"/>
      <c r="I756" s="26">
        <v>2000</v>
      </c>
      <c r="J756" s="27">
        <v>0</v>
      </c>
      <c r="K756" s="27">
        <v>121</v>
      </c>
      <c r="L756" s="27"/>
      <c r="M756" s="27">
        <v>0</v>
      </c>
      <c r="N756" s="27"/>
      <c r="O756" s="27"/>
      <c r="P756" s="27">
        <v>0</v>
      </c>
      <c r="Q756" s="27">
        <v>121</v>
      </c>
      <c r="R756" s="27"/>
      <c r="S756" s="27">
        <v>0</v>
      </c>
      <c r="T756" s="27"/>
      <c r="U756" s="27"/>
      <c r="V756" s="9"/>
      <c r="W756" s="9">
        <f t="shared" si="137"/>
        <v>100.83</v>
      </c>
      <c r="X756" s="9" t="e">
        <f t="shared" si="137"/>
        <v>#VALUE!</v>
      </c>
      <c r="Y756" s="9"/>
      <c r="Z756" s="9" t="e">
        <f>ROUND(T756 / 1.2, 2)</f>
        <v>#VALUE!</v>
      </c>
      <c r="AA756" s="9"/>
      <c r="AD756" s="4">
        <v>278419259</v>
      </c>
      <c r="AE756" s="4">
        <v>20302456</v>
      </c>
      <c r="AG756" s="4" t="s">
        <v>2014</v>
      </c>
      <c r="AH756" s="4" t="s">
        <v>2015</v>
      </c>
      <c r="AI756" s="4"/>
    </row>
    <row r="757" spans="1:35" ht="54" x14ac:dyDescent="0.3">
      <c r="A757" s="51" t="s">
        <v>2017</v>
      </c>
      <c r="B757" s="51" t="s">
        <v>2012</v>
      </c>
      <c r="C757" s="52" t="s">
        <v>2013</v>
      </c>
      <c r="D757" s="53"/>
      <c r="E757" s="53"/>
      <c r="F757" s="53" t="s">
        <v>59</v>
      </c>
      <c r="G757" s="54">
        <v>1</v>
      </c>
      <c r="H757" s="53"/>
      <c r="I757" s="54">
        <v>2000</v>
      </c>
      <c r="J757" s="55">
        <v>0</v>
      </c>
      <c r="K757" s="55">
        <v>121</v>
      </c>
      <c r="L757" s="55">
        <f>J757+ROUND(K757, 2)</f>
        <v>121</v>
      </c>
      <c r="M757" s="55">
        <v>0</v>
      </c>
      <c r="N757" s="55">
        <f>ROUND(I757*ROUND(K757, 2), 2)</f>
        <v>242000</v>
      </c>
      <c r="O757" s="55">
        <f>M757+N757</f>
        <v>242000</v>
      </c>
      <c r="P757" s="55">
        <v>0</v>
      </c>
      <c r="Q757" s="55">
        <v>181.5</v>
      </c>
      <c r="R757" s="55">
        <f>P757+ROUND(Q757, 2)</f>
        <v>181.5</v>
      </c>
      <c r="S757" s="55">
        <v>0</v>
      </c>
      <c r="T757" s="55">
        <f>ROUND(I757*ROUND(Q757, 2), 2)</f>
        <v>363000</v>
      </c>
      <c r="U757" s="55">
        <f>S757+T757</f>
        <v>363000</v>
      </c>
      <c r="V757" s="9"/>
      <c r="W757" s="9">
        <f t="shared" si="137"/>
        <v>151.25</v>
      </c>
      <c r="X757" s="9">
        <f t="shared" si="137"/>
        <v>151.25</v>
      </c>
      <c r="Y757" s="9"/>
      <c r="Z757" s="9">
        <f>ROUND(T757 / 1.2, 2)</f>
        <v>302500</v>
      </c>
      <c r="AA757" s="9" t="e">
        <f>Y757+Z757</f>
        <v>#VALUE!</v>
      </c>
      <c r="AD757" s="4">
        <v>304337705</v>
      </c>
      <c r="AE757" s="4">
        <v>21950000</v>
      </c>
      <c r="AG757" s="4" t="s">
        <v>2014</v>
      </c>
      <c r="AH757" s="4" t="s">
        <v>2015</v>
      </c>
      <c r="AI757" s="4" t="s">
        <v>260</v>
      </c>
    </row>
    <row r="758" spans="1:35" ht="36" x14ac:dyDescent="0.3">
      <c r="A758" s="17" t="s">
        <v>2018</v>
      </c>
      <c r="B758" s="17" t="s">
        <v>2019</v>
      </c>
      <c r="C758" s="18" t="s">
        <v>2020</v>
      </c>
      <c r="D758" s="19"/>
      <c r="E758" s="19"/>
      <c r="F758" s="19" t="s">
        <v>59</v>
      </c>
      <c r="G758" s="20">
        <v>1</v>
      </c>
      <c r="H758" s="19"/>
      <c r="I758" s="21">
        <v>0</v>
      </c>
      <c r="J758" s="22">
        <f>IFERROR(ROUND(SUM(M760)/I758, 2),0)</f>
        <v>0</v>
      </c>
      <c r="K758" s="22">
        <v>1724</v>
      </c>
      <c r="L758" s="22">
        <f>J758+ROUND(K758, 2)</f>
        <v>1724</v>
      </c>
      <c r="M758" s="22">
        <f>ROUND(J758*I758, 2)</f>
        <v>0</v>
      </c>
      <c r="N758" s="22">
        <f>ROUND(I758*ROUND(K758, 2), 2)</f>
        <v>0</v>
      </c>
      <c r="O758" s="22">
        <f>M758+N758</f>
        <v>0</v>
      </c>
      <c r="P758" s="22">
        <f>IFERROR(ROUND(SUM(S760)/I758, 2),0)</f>
        <v>0</v>
      </c>
      <c r="Q758" s="22">
        <v>1724</v>
      </c>
      <c r="R758" s="22">
        <f>P758+ROUND(Q758, 2)</f>
        <v>1724</v>
      </c>
      <c r="S758" s="22">
        <f>ROUND(P758*I758, 2)</f>
        <v>0</v>
      </c>
      <c r="T758" s="22">
        <f>ROUND(I758*ROUND(Q758, 2), 2)</f>
        <v>0</v>
      </c>
      <c r="U758" s="22">
        <f>S758+T758</f>
        <v>0</v>
      </c>
      <c r="V758" s="9">
        <f>ROUND(P758 / 1.2, 2)</f>
        <v>0</v>
      </c>
      <c r="W758" s="9">
        <f t="shared" si="137"/>
        <v>1436.67</v>
      </c>
      <c r="X758" s="9">
        <f t="shared" si="137"/>
        <v>1436.67</v>
      </c>
      <c r="Y758" s="9">
        <f>ROUND(S758 / 1.2, 2)</f>
        <v>0</v>
      </c>
      <c r="Z758" s="9">
        <f>ROUND(T758 / 1.2, 2)</f>
        <v>0</v>
      </c>
      <c r="AA758" s="9">
        <f>Y758+Z758</f>
        <v>0</v>
      </c>
      <c r="AD758" s="4">
        <v>304337590</v>
      </c>
      <c r="AE758" s="4">
        <v>20347730</v>
      </c>
      <c r="AG758" s="4" t="s">
        <v>2021</v>
      </c>
      <c r="AH758" s="4" t="s">
        <v>2022</v>
      </c>
      <c r="AI758" s="4" t="s">
        <v>260</v>
      </c>
    </row>
    <row r="759" spans="1:35" ht="108" x14ac:dyDescent="0.3">
      <c r="A759" s="23" t="s">
        <v>2023</v>
      </c>
      <c r="B759" s="23" t="s">
        <v>2019</v>
      </c>
      <c r="C759" s="24" t="s">
        <v>2020</v>
      </c>
      <c r="D759" s="25"/>
      <c r="E759" s="25" t="s">
        <v>2024</v>
      </c>
      <c r="F759" s="25" t="s">
        <v>59</v>
      </c>
      <c r="G759" s="26">
        <v>1</v>
      </c>
      <c r="H759" s="25"/>
      <c r="I759" s="26">
        <v>13.5</v>
      </c>
      <c r="J759" s="27">
        <v>0</v>
      </c>
      <c r="K759" s="27">
        <v>1724</v>
      </c>
      <c r="L759" s="27"/>
      <c r="M759" s="27">
        <v>0</v>
      </c>
      <c r="N759" s="27"/>
      <c r="O759" s="27"/>
      <c r="P759" s="27">
        <v>0</v>
      </c>
      <c r="Q759" s="27">
        <v>1724</v>
      </c>
      <c r="R759" s="27"/>
      <c r="S759" s="27">
        <v>0</v>
      </c>
      <c r="T759" s="27"/>
      <c r="U759" s="27"/>
      <c r="V759" s="9"/>
      <c r="W759" s="9">
        <f t="shared" si="137"/>
        <v>1436.67</v>
      </c>
      <c r="X759" s="9" t="e">
        <f t="shared" si="137"/>
        <v>#VALUE!</v>
      </c>
      <c r="Y759" s="9"/>
      <c r="Z759" s="9" t="e">
        <f>ROUND(T759 / 1.2, 2)</f>
        <v>#VALUE!</v>
      </c>
      <c r="AA759" s="9"/>
      <c r="AD759" s="4">
        <v>281967420</v>
      </c>
      <c r="AE759" s="4">
        <v>20347730</v>
      </c>
      <c r="AG759" s="4" t="s">
        <v>2021</v>
      </c>
      <c r="AH759" s="4" t="s">
        <v>2022</v>
      </c>
      <c r="AI759" s="4"/>
    </row>
    <row r="760" spans="1:35" ht="36" x14ac:dyDescent="0.3">
      <c r="A760" s="17" t="s">
        <v>2025</v>
      </c>
      <c r="B760" s="17"/>
      <c r="C760" s="34" t="s">
        <v>2026</v>
      </c>
      <c r="D760" s="19"/>
      <c r="E760" s="19"/>
      <c r="F760" s="35" t="s">
        <v>59</v>
      </c>
      <c r="G760" s="36">
        <v>1</v>
      </c>
      <c r="H760" s="19"/>
      <c r="I760" s="37">
        <v>0</v>
      </c>
      <c r="J760" s="38">
        <v>0</v>
      </c>
      <c r="K760" s="39"/>
      <c r="L760" s="39"/>
      <c r="M760" s="38">
        <f>ROUND(ROUND(J760, 2)*I760, 2)</f>
        <v>0</v>
      </c>
      <c r="N760" s="39"/>
      <c r="O760" s="39"/>
      <c r="P760" s="38">
        <v>1310</v>
      </c>
      <c r="Q760" s="39"/>
      <c r="R760" s="39"/>
      <c r="S760" s="38">
        <f>ROUND(ROUND(P760, 2)*I760, 2)</f>
        <v>0</v>
      </c>
      <c r="T760" s="39"/>
      <c r="U760" s="40"/>
      <c r="V760" s="9">
        <f>ROUND(ROUND(P760, 2)/1.2, 2)</f>
        <v>1091.67</v>
      </c>
      <c r="Y760" s="9">
        <f>ROUND(S760 / 1.2, 2)</f>
        <v>0</v>
      </c>
      <c r="AD760" s="4" t="s">
        <v>2027</v>
      </c>
      <c r="AE760" s="4" t="s">
        <v>2028</v>
      </c>
      <c r="AF760" s="4" t="s">
        <v>2029</v>
      </c>
    </row>
    <row r="761" spans="1:35" ht="36" x14ac:dyDescent="0.3">
      <c r="A761" s="23" t="s">
        <v>2030</v>
      </c>
      <c r="B761" s="23"/>
      <c r="C761" s="41" t="s">
        <v>2026</v>
      </c>
      <c r="D761" s="25"/>
      <c r="E761" s="25"/>
      <c r="F761" s="42" t="s">
        <v>59</v>
      </c>
      <c r="G761" s="43">
        <v>1</v>
      </c>
      <c r="H761" s="25"/>
      <c r="I761" s="43">
        <v>13.5</v>
      </c>
      <c r="J761" s="44">
        <v>0</v>
      </c>
      <c r="K761" s="45"/>
      <c r="L761" s="45"/>
      <c r="M761" s="44">
        <f>ROUND(ROUND(J761, 2)*I761, 2)</f>
        <v>0</v>
      </c>
      <c r="N761" s="45"/>
      <c r="O761" s="45"/>
      <c r="P761" s="44">
        <v>1310</v>
      </c>
      <c r="Q761" s="45"/>
      <c r="R761" s="45"/>
      <c r="S761" s="44">
        <f>ROUND(ROUND(P761, 2)*I761, 2)</f>
        <v>17685</v>
      </c>
      <c r="T761" s="45"/>
      <c r="U761" s="46"/>
      <c r="V761" s="9">
        <f>ROUND(ROUND(P761, 2)/1.2, 2)</f>
        <v>1091.67</v>
      </c>
      <c r="Y761" s="9">
        <f>ROUND(S761 / 1.2, 2)</f>
        <v>14737.5</v>
      </c>
      <c r="AD761" s="4" t="s">
        <v>2031</v>
      </c>
      <c r="AE761" s="4" t="s">
        <v>2028</v>
      </c>
      <c r="AF761" s="4" t="s">
        <v>2029</v>
      </c>
    </row>
    <row r="762" spans="1:35" ht="108" x14ac:dyDescent="0.3">
      <c r="A762" s="51" t="s">
        <v>2032</v>
      </c>
      <c r="B762" s="51" t="s">
        <v>2019</v>
      </c>
      <c r="C762" s="52" t="s">
        <v>2020</v>
      </c>
      <c r="D762" s="53"/>
      <c r="E762" s="53" t="s">
        <v>2024</v>
      </c>
      <c r="F762" s="53" t="s">
        <v>59</v>
      </c>
      <c r="G762" s="54">
        <v>1</v>
      </c>
      <c r="H762" s="53"/>
      <c r="I762" s="54">
        <v>13.5</v>
      </c>
      <c r="J762" s="55">
        <f>IFERROR(ROUND(SUM(M763)/I762, 2),0)</f>
        <v>0</v>
      </c>
      <c r="K762" s="55">
        <v>1724</v>
      </c>
      <c r="L762" s="55">
        <f>J762+ROUND(K762, 2)</f>
        <v>1724</v>
      </c>
      <c r="M762" s="55">
        <f>ROUND(J762*I762, 2)</f>
        <v>0</v>
      </c>
      <c r="N762" s="55">
        <f>ROUND(I762*ROUND(K762, 2), 2)</f>
        <v>23274</v>
      </c>
      <c r="O762" s="55">
        <f>M762+N762</f>
        <v>23274</v>
      </c>
      <c r="P762" s="55">
        <f>IFERROR(ROUND(SUM(S763)/I762, 2),0)</f>
        <v>1310</v>
      </c>
      <c r="Q762" s="55">
        <v>2586</v>
      </c>
      <c r="R762" s="55">
        <f>P762+ROUND(Q762, 2)</f>
        <v>3896</v>
      </c>
      <c r="S762" s="55">
        <f>ROUND(P762*I762, 2)</f>
        <v>17685</v>
      </c>
      <c r="T762" s="55">
        <f>ROUND(I762*ROUND(Q762, 2), 2)</f>
        <v>34911</v>
      </c>
      <c r="U762" s="55">
        <f>S762+T762</f>
        <v>52596</v>
      </c>
      <c r="V762" s="9">
        <f>ROUND(P762 / 1.2, 2)</f>
        <v>1091.67</v>
      </c>
      <c r="W762" s="9">
        <f>ROUND(Q762 / 1.2, 2)</f>
        <v>2155</v>
      </c>
      <c r="X762" s="9">
        <f>ROUND(R762 / 1.2, 2)</f>
        <v>3246.67</v>
      </c>
      <c r="Y762" s="9">
        <f>ROUND(S762 / 1.2, 2)</f>
        <v>14737.5</v>
      </c>
      <c r="Z762" s="9">
        <f>ROUND(T762 / 1.2, 2)</f>
        <v>29092.5</v>
      </c>
      <c r="AA762" s="9">
        <f>Y762+Z762</f>
        <v>43830</v>
      </c>
      <c r="AD762" s="4">
        <v>304337706</v>
      </c>
      <c r="AE762" s="4">
        <v>20867315</v>
      </c>
      <c r="AG762" s="4" t="s">
        <v>2021</v>
      </c>
      <c r="AH762" s="4" t="s">
        <v>2022</v>
      </c>
      <c r="AI762" s="4" t="s">
        <v>260</v>
      </c>
    </row>
    <row r="763" spans="1:35" ht="36" x14ac:dyDescent="0.3">
      <c r="A763" s="51" t="s">
        <v>2033</v>
      </c>
      <c r="B763" s="51"/>
      <c r="C763" s="56" t="s">
        <v>2026</v>
      </c>
      <c r="D763" s="53"/>
      <c r="E763" s="53"/>
      <c r="F763" s="57" t="s">
        <v>59</v>
      </c>
      <c r="G763" s="58">
        <v>1</v>
      </c>
      <c r="H763" s="53"/>
      <c r="I763" s="58">
        <v>13.5</v>
      </c>
      <c r="J763" s="59">
        <v>0</v>
      </c>
      <c r="K763" s="60"/>
      <c r="L763" s="60"/>
      <c r="M763" s="59">
        <f>ROUND(ROUND(J763, 2)*I763, 2)</f>
        <v>0</v>
      </c>
      <c r="N763" s="60"/>
      <c r="O763" s="60"/>
      <c r="P763" s="59">
        <v>1310</v>
      </c>
      <c r="Q763" s="60"/>
      <c r="R763" s="60"/>
      <c r="S763" s="59">
        <f>ROUND(ROUND(P763, 2)*I763, 2)</f>
        <v>17685</v>
      </c>
      <c r="T763" s="60"/>
      <c r="U763" s="61"/>
      <c r="V763" s="9">
        <f>ROUND(ROUND(P763, 2)/1.2, 2)</f>
        <v>1091.67</v>
      </c>
      <c r="Y763" s="9">
        <f>ROUND(S763 / 1.2, 2)</f>
        <v>14737.5</v>
      </c>
      <c r="AD763" s="4" t="s">
        <v>2034</v>
      </c>
      <c r="AE763" s="4" t="s">
        <v>2035</v>
      </c>
      <c r="AF763" s="4" t="s">
        <v>2029</v>
      </c>
    </row>
    <row r="764" spans="1:35" ht="36" x14ac:dyDescent="0.3">
      <c r="A764" s="17" t="s">
        <v>2036</v>
      </c>
      <c r="B764" s="17" t="s">
        <v>2037</v>
      </c>
      <c r="C764" s="18" t="s">
        <v>2038</v>
      </c>
      <c r="D764" s="19"/>
      <c r="E764" s="19"/>
      <c r="F764" s="19" t="s">
        <v>59</v>
      </c>
      <c r="G764" s="20">
        <v>1</v>
      </c>
      <c r="H764" s="19"/>
      <c r="I764" s="21">
        <v>0</v>
      </c>
      <c r="J764" s="22">
        <f>IFERROR(ROUND(SUM(M766,M768,M770,M772,M774,M776,M778,M780,M782,M784,M786,M788,M790)/I764, 2),0)</f>
        <v>0</v>
      </c>
      <c r="K764" s="22">
        <v>1379</v>
      </c>
      <c r="L764" s="22">
        <f>J764+ROUND(K764, 2)</f>
        <v>1379</v>
      </c>
      <c r="M764" s="22">
        <f>ROUND(J764*I764, 2)</f>
        <v>0</v>
      </c>
      <c r="N764" s="22">
        <f>ROUND(I764*ROUND(K764, 2), 2)</f>
        <v>0</v>
      </c>
      <c r="O764" s="22">
        <f>M764+N764</f>
        <v>0</v>
      </c>
      <c r="P764" s="22">
        <f>IFERROR(ROUND(SUM(S766,S768,S770,S772,S774,S776,S778,S780,S782,S784,S786,S788,S790)/I764, 2),0)</f>
        <v>0</v>
      </c>
      <c r="Q764" s="22">
        <v>1379</v>
      </c>
      <c r="R764" s="22">
        <f>P764+ROUND(Q764, 2)</f>
        <v>1379</v>
      </c>
      <c r="S764" s="22">
        <f>ROUND(P764*I764, 2)</f>
        <v>0</v>
      </c>
      <c r="T764" s="22">
        <f>ROUND(I764*ROUND(Q764, 2), 2)</f>
        <v>0</v>
      </c>
      <c r="U764" s="22">
        <f>S764+T764</f>
        <v>0</v>
      </c>
      <c r="V764" s="9">
        <f>ROUND(P764 / 1.2, 2)</f>
        <v>0</v>
      </c>
      <c r="W764" s="9">
        <f>ROUND(Q764 / 1.2, 2)</f>
        <v>1149.17</v>
      </c>
      <c r="X764" s="9">
        <f>ROUND(R764 / 1.2, 2)</f>
        <v>1149.17</v>
      </c>
      <c r="Y764" s="9">
        <f>ROUND(S764 / 1.2, 2)</f>
        <v>0</v>
      </c>
      <c r="Z764" s="9">
        <f>ROUND(T764 / 1.2, 2)</f>
        <v>0</v>
      </c>
      <c r="AA764" s="9">
        <f>Y764+Z764</f>
        <v>0</v>
      </c>
      <c r="AD764" s="4">
        <v>304337591</v>
      </c>
      <c r="AE764" s="4">
        <v>20347725</v>
      </c>
      <c r="AG764" s="4" t="s">
        <v>2039</v>
      </c>
      <c r="AH764" s="4" t="s">
        <v>2040</v>
      </c>
      <c r="AI764" s="4" t="s">
        <v>260</v>
      </c>
    </row>
    <row r="765" spans="1:35" ht="234" x14ac:dyDescent="0.3">
      <c r="A765" s="23" t="s">
        <v>2041</v>
      </c>
      <c r="B765" s="23" t="s">
        <v>2037</v>
      </c>
      <c r="C765" s="24" t="s">
        <v>2038</v>
      </c>
      <c r="D765" s="25"/>
      <c r="E765" s="25" t="s">
        <v>2042</v>
      </c>
      <c r="F765" s="25" t="s">
        <v>59</v>
      </c>
      <c r="G765" s="26">
        <v>1</v>
      </c>
      <c r="H765" s="25"/>
      <c r="I765" s="26">
        <v>921.3</v>
      </c>
      <c r="J765" s="27">
        <v>0</v>
      </c>
      <c r="K765" s="27">
        <v>1379</v>
      </c>
      <c r="L765" s="27"/>
      <c r="M765" s="27">
        <v>0</v>
      </c>
      <c r="N765" s="27"/>
      <c r="O765" s="27"/>
      <c r="P765" s="27">
        <v>0</v>
      </c>
      <c r="Q765" s="27">
        <v>1379</v>
      </c>
      <c r="R765" s="27"/>
      <c r="S765" s="27">
        <v>0</v>
      </c>
      <c r="T765" s="27"/>
      <c r="U765" s="27"/>
      <c r="V765" s="9"/>
      <c r="W765" s="9">
        <f>ROUND(Q765 / 1.2, 2)</f>
        <v>1149.17</v>
      </c>
      <c r="X765" s="9" t="e">
        <f>ROUND(R765 / 1.2, 2)</f>
        <v>#VALUE!</v>
      </c>
      <c r="Y765" s="9"/>
      <c r="Z765" s="9" t="e">
        <f>ROUND(T765 / 1.2, 2)</f>
        <v>#VALUE!</v>
      </c>
      <c r="AA765" s="9"/>
      <c r="AD765" s="4">
        <v>282588984</v>
      </c>
      <c r="AE765" s="4">
        <v>20347725</v>
      </c>
      <c r="AG765" s="4" t="s">
        <v>2039</v>
      </c>
      <c r="AH765" s="4" t="s">
        <v>2040</v>
      </c>
      <c r="AI765" s="4"/>
    </row>
    <row r="766" spans="1:35" ht="18" x14ac:dyDescent="0.3">
      <c r="A766" s="17" t="s">
        <v>2043</v>
      </c>
      <c r="B766" s="17"/>
      <c r="C766" s="34" t="s">
        <v>2044</v>
      </c>
      <c r="D766" s="19"/>
      <c r="E766" s="19"/>
      <c r="F766" s="35" t="s">
        <v>369</v>
      </c>
      <c r="G766" s="36">
        <v>15</v>
      </c>
      <c r="H766" s="19"/>
      <c r="I766" s="37">
        <v>0</v>
      </c>
      <c r="J766" s="38">
        <v>0.95</v>
      </c>
      <c r="K766" s="39"/>
      <c r="L766" s="39"/>
      <c r="M766" s="38">
        <f t="shared" ref="M766:M791" si="138">ROUND(ROUND(J766, 2)*I766, 2)</f>
        <v>0</v>
      </c>
      <c r="N766" s="39"/>
      <c r="O766" s="39"/>
      <c r="P766" s="38">
        <v>0.95</v>
      </c>
      <c r="Q766" s="39"/>
      <c r="R766" s="39"/>
      <c r="S766" s="38">
        <f t="shared" ref="S766:S791" si="139">ROUND(ROUND(P766, 2)*I766, 2)</f>
        <v>0</v>
      </c>
      <c r="T766" s="39"/>
      <c r="U766" s="40"/>
      <c r="V766" s="9">
        <f t="shared" ref="V766:V791" si="140">ROUND(ROUND(P766, 2)/1.2, 2)</f>
        <v>0.79</v>
      </c>
      <c r="Y766" s="9">
        <f t="shared" ref="Y766:Y806" si="141">ROUND(S766 / 1.2, 2)</f>
        <v>0</v>
      </c>
      <c r="AD766" s="4" t="s">
        <v>2045</v>
      </c>
      <c r="AE766" s="4" t="s">
        <v>2046</v>
      </c>
      <c r="AF766" s="4" t="s">
        <v>2047</v>
      </c>
    </row>
    <row r="767" spans="1:35" ht="18" x14ac:dyDescent="0.3">
      <c r="A767" s="23" t="s">
        <v>2048</v>
      </c>
      <c r="B767" s="23"/>
      <c r="C767" s="41" t="s">
        <v>2044</v>
      </c>
      <c r="D767" s="25"/>
      <c r="E767" s="25"/>
      <c r="F767" s="42" t="s">
        <v>369</v>
      </c>
      <c r="G767" s="43">
        <v>15</v>
      </c>
      <c r="H767" s="25"/>
      <c r="I767" s="43">
        <v>13819.5</v>
      </c>
      <c r="J767" s="44">
        <v>0.95</v>
      </c>
      <c r="K767" s="45"/>
      <c r="L767" s="45"/>
      <c r="M767" s="44">
        <f t="shared" si="138"/>
        <v>13128.53</v>
      </c>
      <c r="N767" s="45"/>
      <c r="O767" s="45"/>
      <c r="P767" s="44">
        <v>0.95</v>
      </c>
      <c r="Q767" s="45"/>
      <c r="R767" s="45"/>
      <c r="S767" s="44">
        <f t="shared" si="139"/>
        <v>13128.53</v>
      </c>
      <c r="T767" s="45"/>
      <c r="U767" s="46"/>
      <c r="V767" s="9">
        <f t="shared" si="140"/>
        <v>0.79</v>
      </c>
      <c r="Y767" s="9">
        <f t="shared" si="141"/>
        <v>10940.44</v>
      </c>
      <c r="AD767" s="4" t="s">
        <v>2049</v>
      </c>
      <c r="AE767" s="4" t="s">
        <v>2046</v>
      </c>
      <c r="AF767" s="4" t="s">
        <v>2047</v>
      </c>
    </row>
    <row r="768" spans="1:35" ht="18" x14ac:dyDescent="0.3">
      <c r="A768" s="17" t="s">
        <v>2050</v>
      </c>
      <c r="B768" s="17"/>
      <c r="C768" s="34" t="s">
        <v>2051</v>
      </c>
      <c r="D768" s="19"/>
      <c r="E768" s="19"/>
      <c r="F768" s="35" t="s">
        <v>369</v>
      </c>
      <c r="G768" s="36">
        <v>30</v>
      </c>
      <c r="H768" s="19"/>
      <c r="I768" s="37">
        <v>0</v>
      </c>
      <c r="J768" s="38">
        <v>0.28000000000000003</v>
      </c>
      <c r="K768" s="39"/>
      <c r="L768" s="39"/>
      <c r="M768" s="38">
        <f t="shared" si="138"/>
        <v>0</v>
      </c>
      <c r="N768" s="39"/>
      <c r="O768" s="39"/>
      <c r="P768" s="38">
        <v>0.28000000000000003</v>
      </c>
      <c r="Q768" s="39"/>
      <c r="R768" s="39"/>
      <c r="S768" s="38">
        <f t="shared" si="139"/>
        <v>0</v>
      </c>
      <c r="T768" s="39"/>
      <c r="U768" s="40"/>
      <c r="V768" s="9">
        <f t="shared" si="140"/>
        <v>0.23</v>
      </c>
      <c r="Y768" s="9">
        <f t="shared" si="141"/>
        <v>0</v>
      </c>
      <c r="AD768" s="4" t="s">
        <v>2052</v>
      </c>
      <c r="AE768" s="4" t="s">
        <v>2053</v>
      </c>
      <c r="AF768" s="4" t="s">
        <v>2054</v>
      </c>
    </row>
    <row r="769" spans="1:32" ht="18" x14ac:dyDescent="0.3">
      <c r="A769" s="23" t="s">
        <v>2055</v>
      </c>
      <c r="B769" s="23"/>
      <c r="C769" s="41" t="s">
        <v>2051</v>
      </c>
      <c r="D769" s="25"/>
      <c r="E769" s="25"/>
      <c r="F769" s="42" t="s">
        <v>369</v>
      </c>
      <c r="G769" s="43">
        <v>30</v>
      </c>
      <c r="H769" s="25"/>
      <c r="I769" s="43">
        <v>27639</v>
      </c>
      <c r="J769" s="44">
        <v>0.28000000000000003</v>
      </c>
      <c r="K769" s="45"/>
      <c r="L769" s="45"/>
      <c r="M769" s="44">
        <f t="shared" si="138"/>
        <v>7738.92</v>
      </c>
      <c r="N769" s="45"/>
      <c r="O769" s="45"/>
      <c r="P769" s="44">
        <v>0.28000000000000003</v>
      </c>
      <c r="Q769" s="45"/>
      <c r="R769" s="45"/>
      <c r="S769" s="44">
        <f t="shared" si="139"/>
        <v>7738.92</v>
      </c>
      <c r="T769" s="45"/>
      <c r="U769" s="46"/>
      <c r="V769" s="9">
        <f t="shared" si="140"/>
        <v>0.23</v>
      </c>
      <c r="Y769" s="9">
        <f t="shared" si="141"/>
        <v>6449.1</v>
      </c>
      <c r="AD769" s="4" t="s">
        <v>2056</v>
      </c>
      <c r="AE769" s="4" t="s">
        <v>2053</v>
      </c>
      <c r="AF769" s="4" t="s">
        <v>2054</v>
      </c>
    </row>
    <row r="770" spans="1:32" ht="18" x14ac:dyDescent="0.3">
      <c r="A770" s="17" t="s">
        <v>2057</v>
      </c>
      <c r="B770" s="17"/>
      <c r="C770" s="34" t="s">
        <v>2058</v>
      </c>
      <c r="D770" s="19"/>
      <c r="E770" s="19"/>
      <c r="F770" s="35" t="s">
        <v>265</v>
      </c>
      <c r="G770" s="36">
        <v>0.35</v>
      </c>
      <c r="H770" s="19"/>
      <c r="I770" s="37">
        <v>0</v>
      </c>
      <c r="J770" s="38">
        <v>55</v>
      </c>
      <c r="K770" s="39"/>
      <c r="L770" s="39"/>
      <c r="M770" s="38">
        <f t="shared" si="138"/>
        <v>0</v>
      </c>
      <c r="N770" s="39"/>
      <c r="O770" s="39"/>
      <c r="P770" s="38">
        <v>55</v>
      </c>
      <c r="Q770" s="39"/>
      <c r="R770" s="39"/>
      <c r="S770" s="38">
        <f t="shared" si="139"/>
        <v>0</v>
      </c>
      <c r="T770" s="39"/>
      <c r="U770" s="40"/>
      <c r="V770" s="9">
        <f t="shared" si="140"/>
        <v>45.83</v>
      </c>
      <c r="Y770" s="9">
        <f t="shared" si="141"/>
        <v>0</v>
      </c>
      <c r="AD770" s="4" t="s">
        <v>2059</v>
      </c>
      <c r="AE770" s="4" t="s">
        <v>2060</v>
      </c>
      <c r="AF770" s="4" t="s">
        <v>2061</v>
      </c>
    </row>
    <row r="771" spans="1:32" ht="18" x14ac:dyDescent="0.3">
      <c r="A771" s="23" t="s">
        <v>2062</v>
      </c>
      <c r="B771" s="23"/>
      <c r="C771" s="41" t="s">
        <v>2058</v>
      </c>
      <c r="D771" s="25"/>
      <c r="E771" s="25"/>
      <c r="F771" s="42" t="s">
        <v>265</v>
      </c>
      <c r="G771" s="43">
        <v>0.35</v>
      </c>
      <c r="H771" s="25"/>
      <c r="I771" s="43">
        <v>322.45499999999998</v>
      </c>
      <c r="J771" s="44">
        <v>55</v>
      </c>
      <c r="K771" s="45"/>
      <c r="L771" s="45"/>
      <c r="M771" s="44">
        <f t="shared" si="138"/>
        <v>17735.03</v>
      </c>
      <c r="N771" s="45"/>
      <c r="O771" s="45"/>
      <c r="P771" s="44">
        <v>55</v>
      </c>
      <c r="Q771" s="45"/>
      <c r="R771" s="45"/>
      <c r="S771" s="44">
        <f t="shared" si="139"/>
        <v>17735.03</v>
      </c>
      <c r="T771" s="45"/>
      <c r="U771" s="46"/>
      <c r="V771" s="9">
        <f t="shared" si="140"/>
        <v>45.83</v>
      </c>
      <c r="Y771" s="9">
        <f t="shared" si="141"/>
        <v>14779.19</v>
      </c>
      <c r="AD771" s="4" t="s">
        <v>2063</v>
      </c>
      <c r="AE771" s="4" t="s">
        <v>2060</v>
      </c>
      <c r="AF771" s="4" t="s">
        <v>2061</v>
      </c>
    </row>
    <row r="772" spans="1:32" ht="18" x14ac:dyDescent="0.3">
      <c r="A772" s="17" t="s">
        <v>2064</v>
      </c>
      <c r="B772" s="17"/>
      <c r="C772" s="34" t="s">
        <v>2065</v>
      </c>
      <c r="D772" s="19"/>
      <c r="E772" s="19"/>
      <c r="F772" s="35" t="s">
        <v>369</v>
      </c>
      <c r="G772" s="36">
        <v>0.3</v>
      </c>
      <c r="H772" s="19"/>
      <c r="I772" s="37">
        <v>0</v>
      </c>
      <c r="J772" s="38">
        <v>5.6</v>
      </c>
      <c r="K772" s="39"/>
      <c r="L772" s="39"/>
      <c r="M772" s="38">
        <f t="shared" si="138"/>
        <v>0</v>
      </c>
      <c r="N772" s="39"/>
      <c r="O772" s="39"/>
      <c r="P772" s="38">
        <v>5.6</v>
      </c>
      <c r="Q772" s="39"/>
      <c r="R772" s="39"/>
      <c r="S772" s="38">
        <f t="shared" si="139"/>
        <v>0</v>
      </c>
      <c r="T772" s="39"/>
      <c r="U772" s="40"/>
      <c r="V772" s="9">
        <f t="shared" si="140"/>
        <v>4.67</v>
      </c>
      <c r="Y772" s="9">
        <f t="shared" si="141"/>
        <v>0</v>
      </c>
      <c r="AD772" s="4" t="s">
        <v>2066</v>
      </c>
      <c r="AE772" s="4" t="s">
        <v>2067</v>
      </c>
      <c r="AF772" s="4" t="s">
        <v>2068</v>
      </c>
    </row>
    <row r="773" spans="1:32" ht="18" x14ac:dyDescent="0.3">
      <c r="A773" s="23" t="s">
        <v>2069</v>
      </c>
      <c r="B773" s="23"/>
      <c r="C773" s="41" t="s">
        <v>2065</v>
      </c>
      <c r="D773" s="25"/>
      <c r="E773" s="25"/>
      <c r="F773" s="42" t="s">
        <v>369</v>
      </c>
      <c r="G773" s="43">
        <v>0.3</v>
      </c>
      <c r="H773" s="25"/>
      <c r="I773" s="43">
        <v>276.39</v>
      </c>
      <c r="J773" s="44">
        <v>5.6</v>
      </c>
      <c r="K773" s="45"/>
      <c r="L773" s="45"/>
      <c r="M773" s="44">
        <f t="shared" si="138"/>
        <v>1547.78</v>
      </c>
      <c r="N773" s="45"/>
      <c r="O773" s="45"/>
      <c r="P773" s="44">
        <v>5.6</v>
      </c>
      <c r="Q773" s="45"/>
      <c r="R773" s="45"/>
      <c r="S773" s="44">
        <f t="shared" si="139"/>
        <v>1547.78</v>
      </c>
      <c r="T773" s="45"/>
      <c r="U773" s="46"/>
      <c r="V773" s="9">
        <f t="shared" si="140"/>
        <v>4.67</v>
      </c>
      <c r="Y773" s="9">
        <f t="shared" si="141"/>
        <v>1289.82</v>
      </c>
      <c r="AD773" s="4" t="s">
        <v>2070</v>
      </c>
      <c r="AE773" s="4" t="s">
        <v>2067</v>
      </c>
      <c r="AF773" s="4" t="s">
        <v>2068</v>
      </c>
    </row>
    <row r="774" spans="1:32" ht="36" x14ac:dyDescent="0.3">
      <c r="A774" s="17" t="s">
        <v>2071</v>
      </c>
      <c r="B774" s="17"/>
      <c r="C774" s="34" t="s">
        <v>2072</v>
      </c>
      <c r="D774" s="19"/>
      <c r="E774" s="19"/>
      <c r="F774" s="35" t="s">
        <v>369</v>
      </c>
      <c r="G774" s="36">
        <v>3.6</v>
      </c>
      <c r="H774" s="19"/>
      <c r="I774" s="37">
        <v>0</v>
      </c>
      <c r="J774" s="38">
        <v>15.9</v>
      </c>
      <c r="K774" s="39"/>
      <c r="L774" s="39"/>
      <c r="M774" s="38">
        <f t="shared" si="138"/>
        <v>0</v>
      </c>
      <c r="N774" s="39"/>
      <c r="O774" s="39"/>
      <c r="P774" s="38">
        <v>15.9</v>
      </c>
      <c r="Q774" s="39"/>
      <c r="R774" s="39"/>
      <c r="S774" s="38">
        <f t="shared" si="139"/>
        <v>0</v>
      </c>
      <c r="T774" s="39"/>
      <c r="U774" s="40"/>
      <c r="V774" s="9">
        <f t="shared" si="140"/>
        <v>13.25</v>
      </c>
      <c r="Y774" s="9">
        <f t="shared" si="141"/>
        <v>0</v>
      </c>
      <c r="AD774" s="4" t="s">
        <v>2073</v>
      </c>
      <c r="AE774" s="4" t="s">
        <v>2074</v>
      </c>
      <c r="AF774" s="4" t="s">
        <v>2075</v>
      </c>
    </row>
    <row r="775" spans="1:32" ht="36" x14ac:dyDescent="0.3">
      <c r="A775" s="23" t="s">
        <v>2076</v>
      </c>
      <c r="B775" s="23"/>
      <c r="C775" s="41" t="s">
        <v>2072</v>
      </c>
      <c r="D775" s="25"/>
      <c r="E775" s="25"/>
      <c r="F775" s="42" t="s">
        <v>369</v>
      </c>
      <c r="G775" s="43">
        <v>3.6</v>
      </c>
      <c r="H775" s="25"/>
      <c r="I775" s="43">
        <v>3316.68</v>
      </c>
      <c r="J775" s="44">
        <v>15.9</v>
      </c>
      <c r="K775" s="45"/>
      <c r="L775" s="45"/>
      <c r="M775" s="44">
        <f t="shared" si="138"/>
        <v>52735.21</v>
      </c>
      <c r="N775" s="45"/>
      <c r="O775" s="45"/>
      <c r="P775" s="44">
        <v>15.9</v>
      </c>
      <c r="Q775" s="45"/>
      <c r="R775" s="45"/>
      <c r="S775" s="44">
        <f t="shared" si="139"/>
        <v>52735.21</v>
      </c>
      <c r="T775" s="45"/>
      <c r="U775" s="46"/>
      <c r="V775" s="9">
        <f t="shared" si="140"/>
        <v>13.25</v>
      </c>
      <c r="Y775" s="9">
        <f t="shared" si="141"/>
        <v>43946.01</v>
      </c>
      <c r="AD775" s="4" t="s">
        <v>2077</v>
      </c>
      <c r="AE775" s="4" t="s">
        <v>2074</v>
      </c>
      <c r="AF775" s="4" t="s">
        <v>2075</v>
      </c>
    </row>
    <row r="776" spans="1:32" ht="18" x14ac:dyDescent="0.3">
      <c r="A776" s="17" t="s">
        <v>2078</v>
      </c>
      <c r="B776" s="17"/>
      <c r="C776" s="34" t="s">
        <v>2079</v>
      </c>
      <c r="D776" s="19"/>
      <c r="E776" s="19"/>
      <c r="F776" s="35" t="s">
        <v>82</v>
      </c>
      <c r="G776" s="36">
        <v>1.2</v>
      </c>
      <c r="H776" s="19"/>
      <c r="I776" s="37">
        <v>0</v>
      </c>
      <c r="J776" s="38">
        <v>22.82</v>
      </c>
      <c r="K776" s="39"/>
      <c r="L776" s="39"/>
      <c r="M776" s="38">
        <f t="shared" si="138"/>
        <v>0</v>
      </c>
      <c r="N776" s="39"/>
      <c r="O776" s="39"/>
      <c r="P776" s="38">
        <v>22.82</v>
      </c>
      <c r="Q776" s="39"/>
      <c r="R776" s="39"/>
      <c r="S776" s="38">
        <f t="shared" si="139"/>
        <v>0</v>
      </c>
      <c r="T776" s="39"/>
      <c r="U776" s="40"/>
      <c r="V776" s="9">
        <f t="shared" si="140"/>
        <v>19.02</v>
      </c>
      <c r="Y776" s="9">
        <f t="shared" si="141"/>
        <v>0</v>
      </c>
      <c r="AD776" s="4" t="s">
        <v>2080</v>
      </c>
      <c r="AE776" s="4" t="s">
        <v>2081</v>
      </c>
      <c r="AF776" s="4" t="s">
        <v>2082</v>
      </c>
    </row>
    <row r="777" spans="1:32" ht="18" x14ac:dyDescent="0.3">
      <c r="A777" s="23" t="s">
        <v>2083</v>
      </c>
      <c r="B777" s="23"/>
      <c r="C777" s="41" t="s">
        <v>2079</v>
      </c>
      <c r="D777" s="25"/>
      <c r="E777" s="25"/>
      <c r="F777" s="42" t="s">
        <v>82</v>
      </c>
      <c r="G777" s="43">
        <v>1.2</v>
      </c>
      <c r="H777" s="25"/>
      <c r="I777" s="43">
        <v>1105.56</v>
      </c>
      <c r="J777" s="44">
        <v>22.82</v>
      </c>
      <c r="K777" s="45"/>
      <c r="L777" s="45"/>
      <c r="M777" s="44">
        <f t="shared" si="138"/>
        <v>25228.880000000001</v>
      </c>
      <c r="N777" s="45"/>
      <c r="O777" s="45"/>
      <c r="P777" s="44">
        <v>22.82</v>
      </c>
      <c r="Q777" s="45"/>
      <c r="R777" s="45"/>
      <c r="S777" s="44">
        <f t="shared" si="139"/>
        <v>25228.880000000001</v>
      </c>
      <c r="T777" s="45"/>
      <c r="U777" s="46"/>
      <c r="V777" s="9">
        <f t="shared" si="140"/>
        <v>19.02</v>
      </c>
      <c r="Y777" s="9">
        <f t="shared" si="141"/>
        <v>21024.07</v>
      </c>
      <c r="AD777" s="4" t="s">
        <v>2084</v>
      </c>
      <c r="AE777" s="4" t="s">
        <v>2081</v>
      </c>
      <c r="AF777" s="4" t="s">
        <v>2082</v>
      </c>
    </row>
    <row r="778" spans="1:32" ht="18" x14ac:dyDescent="0.3">
      <c r="A778" s="17" t="s">
        <v>2085</v>
      </c>
      <c r="B778" s="17"/>
      <c r="C778" s="34" t="s">
        <v>2086</v>
      </c>
      <c r="D778" s="19"/>
      <c r="E778" s="19"/>
      <c r="F778" s="35" t="s">
        <v>82</v>
      </c>
      <c r="G778" s="36">
        <v>4.7</v>
      </c>
      <c r="H778" s="19"/>
      <c r="I778" s="37">
        <v>0</v>
      </c>
      <c r="J778" s="38">
        <v>66.98</v>
      </c>
      <c r="K778" s="39"/>
      <c r="L778" s="39"/>
      <c r="M778" s="38">
        <f t="shared" si="138"/>
        <v>0</v>
      </c>
      <c r="N778" s="39"/>
      <c r="O778" s="39"/>
      <c r="P778" s="38">
        <v>66.98</v>
      </c>
      <c r="Q778" s="39"/>
      <c r="R778" s="39"/>
      <c r="S778" s="38">
        <f t="shared" si="139"/>
        <v>0</v>
      </c>
      <c r="T778" s="39"/>
      <c r="U778" s="40"/>
      <c r="V778" s="9">
        <f t="shared" si="140"/>
        <v>55.82</v>
      </c>
      <c r="Y778" s="9">
        <f t="shared" si="141"/>
        <v>0</v>
      </c>
      <c r="AD778" s="4" t="s">
        <v>2087</v>
      </c>
      <c r="AE778" s="4" t="s">
        <v>2088</v>
      </c>
      <c r="AF778" s="4" t="s">
        <v>2089</v>
      </c>
    </row>
    <row r="779" spans="1:32" ht="18" x14ac:dyDescent="0.3">
      <c r="A779" s="23" t="s">
        <v>2090</v>
      </c>
      <c r="B779" s="23"/>
      <c r="C779" s="41" t="s">
        <v>2086</v>
      </c>
      <c r="D779" s="25"/>
      <c r="E779" s="25"/>
      <c r="F779" s="42" t="s">
        <v>82</v>
      </c>
      <c r="G779" s="43">
        <v>4.7</v>
      </c>
      <c r="H779" s="25"/>
      <c r="I779" s="43">
        <v>4330.1099999999997</v>
      </c>
      <c r="J779" s="44">
        <v>66.98</v>
      </c>
      <c r="K779" s="45"/>
      <c r="L779" s="45"/>
      <c r="M779" s="44">
        <f t="shared" si="138"/>
        <v>290030.77</v>
      </c>
      <c r="N779" s="45"/>
      <c r="O779" s="45"/>
      <c r="P779" s="44">
        <v>66.98</v>
      </c>
      <c r="Q779" s="45"/>
      <c r="R779" s="45"/>
      <c r="S779" s="44">
        <f t="shared" si="139"/>
        <v>290030.77</v>
      </c>
      <c r="T779" s="45"/>
      <c r="U779" s="46"/>
      <c r="V779" s="9">
        <f t="shared" si="140"/>
        <v>55.82</v>
      </c>
      <c r="Y779" s="9">
        <f t="shared" si="141"/>
        <v>241692.31</v>
      </c>
      <c r="AD779" s="4" t="s">
        <v>2091</v>
      </c>
      <c r="AE779" s="4" t="s">
        <v>2088</v>
      </c>
      <c r="AF779" s="4" t="s">
        <v>2089</v>
      </c>
    </row>
    <row r="780" spans="1:32" ht="18" x14ac:dyDescent="0.3">
      <c r="A780" s="17" t="s">
        <v>2092</v>
      </c>
      <c r="B780" s="17"/>
      <c r="C780" s="34" t="s">
        <v>2093</v>
      </c>
      <c r="D780" s="19"/>
      <c r="E780" s="19"/>
      <c r="F780" s="35" t="s">
        <v>369</v>
      </c>
      <c r="G780" s="36">
        <v>4.2</v>
      </c>
      <c r="H780" s="19"/>
      <c r="I780" s="37">
        <v>0</v>
      </c>
      <c r="J780" s="38">
        <v>4.92</v>
      </c>
      <c r="K780" s="39"/>
      <c r="L780" s="39"/>
      <c r="M780" s="38">
        <f t="shared" si="138"/>
        <v>0</v>
      </c>
      <c r="N780" s="39"/>
      <c r="O780" s="39"/>
      <c r="P780" s="38">
        <v>4.92</v>
      </c>
      <c r="Q780" s="39"/>
      <c r="R780" s="39"/>
      <c r="S780" s="38">
        <f t="shared" si="139"/>
        <v>0</v>
      </c>
      <c r="T780" s="39"/>
      <c r="U780" s="40"/>
      <c r="V780" s="9">
        <f t="shared" si="140"/>
        <v>4.0999999999999996</v>
      </c>
      <c r="Y780" s="9">
        <f t="shared" si="141"/>
        <v>0</v>
      </c>
      <c r="AD780" s="4" t="s">
        <v>2094</v>
      </c>
      <c r="AE780" s="4" t="s">
        <v>2095</v>
      </c>
      <c r="AF780" s="4" t="s">
        <v>2096</v>
      </c>
    </row>
    <row r="781" spans="1:32" ht="18" x14ac:dyDescent="0.3">
      <c r="A781" s="23" t="s">
        <v>2097</v>
      </c>
      <c r="B781" s="23"/>
      <c r="C781" s="41" t="s">
        <v>2093</v>
      </c>
      <c r="D781" s="25"/>
      <c r="E781" s="25"/>
      <c r="F781" s="42" t="s">
        <v>369</v>
      </c>
      <c r="G781" s="43">
        <v>4.2</v>
      </c>
      <c r="H781" s="25"/>
      <c r="I781" s="43">
        <v>3869.46</v>
      </c>
      <c r="J781" s="44">
        <v>4.92</v>
      </c>
      <c r="K781" s="45"/>
      <c r="L781" s="45"/>
      <c r="M781" s="44">
        <f t="shared" si="138"/>
        <v>19037.740000000002</v>
      </c>
      <c r="N781" s="45"/>
      <c r="O781" s="45"/>
      <c r="P781" s="44">
        <v>4.92</v>
      </c>
      <c r="Q781" s="45"/>
      <c r="R781" s="45"/>
      <c r="S781" s="44">
        <f t="shared" si="139"/>
        <v>19037.740000000002</v>
      </c>
      <c r="T781" s="45"/>
      <c r="U781" s="46"/>
      <c r="V781" s="9">
        <f t="shared" si="140"/>
        <v>4.0999999999999996</v>
      </c>
      <c r="Y781" s="9">
        <f t="shared" si="141"/>
        <v>15864.78</v>
      </c>
      <c r="AD781" s="4" t="s">
        <v>2098</v>
      </c>
      <c r="AE781" s="4" t="s">
        <v>2095</v>
      </c>
      <c r="AF781" s="4" t="s">
        <v>2096</v>
      </c>
    </row>
    <row r="782" spans="1:32" ht="36" x14ac:dyDescent="0.3">
      <c r="A782" s="17" t="s">
        <v>2099</v>
      </c>
      <c r="B782" s="17"/>
      <c r="C782" s="34" t="s">
        <v>1721</v>
      </c>
      <c r="D782" s="19"/>
      <c r="E782" s="19"/>
      <c r="F782" s="35" t="s">
        <v>59</v>
      </c>
      <c r="G782" s="36">
        <v>1.05</v>
      </c>
      <c r="H782" s="19"/>
      <c r="I782" s="37">
        <v>0</v>
      </c>
      <c r="J782" s="38">
        <v>0</v>
      </c>
      <c r="K782" s="39"/>
      <c r="L782" s="39"/>
      <c r="M782" s="38">
        <f t="shared" si="138"/>
        <v>0</v>
      </c>
      <c r="N782" s="39"/>
      <c r="O782" s="39"/>
      <c r="P782" s="38">
        <v>1520.33</v>
      </c>
      <c r="Q782" s="39"/>
      <c r="R782" s="39"/>
      <c r="S782" s="38">
        <f t="shared" si="139"/>
        <v>0</v>
      </c>
      <c r="T782" s="39"/>
      <c r="U782" s="40"/>
      <c r="V782" s="9">
        <f t="shared" si="140"/>
        <v>1266.94</v>
      </c>
      <c r="Y782" s="9">
        <f t="shared" si="141"/>
        <v>0</v>
      </c>
      <c r="AD782" s="4" t="s">
        <v>2100</v>
      </c>
      <c r="AE782" s="4" t="s">
        <v>2101</v>
      </c>
      <c r="AF782" s="4" t="s">
        <v>1724</v>
      </c>
    </row>
    <row r="783" spans="1:32" ht="36" x14ac:dyDescent="0.3">
      <c r="A783" s="23" t="s">
        <v>2102</v>
      </c>
      <c r="B783" s="23"/>
      <c r="C783" s="41" t="s">
        <v>1721</v>
      </c>
      <c r="D783" s="25"/>
      <c r="E783" s="25"/>
      <c r="F783" s="42" t="s">
        <v>59</v>
      </c>
      <c r="G783" s="43">
        <v>1.05</v>
      </c>
      <c r="H783" s="25"/>
      <c r="I783" s="43">
        <v>967.36500000000001</v>
      </c>
      <c r="J783" s="44">
        <v>0</v>
      </c>
      <c r="K783" s="45"/>
      <c r="L783" s="45"/>
      <c r="M783" s="44">
        <f t="shared" si="138"/>
        <v>0</v>
      </c>
      <c r="N783" s="45"/>
      <c r="O783" s="45"/>
      <c r="P783" s="44">
        <v>1520.33</v>
      </c>
      <c r="Q783" s="45"/>
      <c r="R783" s="45"/>
      <c r="S783" s="44">
        <f t="shared" si="139"/>
        <v>1470714.03</v>
      </c>
      <c r="T783" s="45"/>
      <c r="U783" s="46"/>
      <c r="V783" s="9">
        <f t="shared" si="140"/>
        <v>1266.94</v>
      </c>
      <c r="Y783" s="9">
        <f t="shared" si="141"/>
        <v>1225595.03</v>
      </c>
      <c r="AD783" s="4" t="s">
        <v>2103</v>
      </c>
      <c r="AE783" s="4" t="s">
        <v>2101</v>
      </c>
      <c r="AF783" s="4" t="s">
        <v>1724</v>
      </c>
    </row>
    <row r="784" spans="1:32" ht="18" x14ac:dyDescent="0.3">
      <c r="A784" s="17" t="s">
        <v>2104</v>
      </c>
      <c r="B784" s="17"/>
      <c r="C784" s="34" t="s">
        <v>2105</v>
      </c>
      <c r="D784" s="19"/>
      <c r="E784" s="19"/>
      <c r="F784" s="35" t="s">
        <v>82</v>
      </c>
      <c r="G784" s="36">
        <v>1.05</v>
      </c>
      <c r="H784" s="19"/>
      <c r="I784" s="37">
        <v>0</v>
      </c>
      <c r="J784" s="38">
        <v>4.5999999999999996</v>
      </c>
      <c r="K784" s="39"/>
      <c r="L784" s="39"/>
      <c r="M784" s="38">
        <f t="shared" si="138"/>
        <v>0</v>
      </c>
      <c r="N784" s="39"/>
      <c r="O784" s="39"/>
      <c r="P784" s="38">
        <v>4.5999999999999996</v>
      </c>
      <c r="Q784" s="39"/>
      <c r="R784" s="39"/>
      <c r="S784" s="38">
        <f t="shared" si="139"/>
        <v>0</v>
      </c>
      <c r="T784" s="39"/>
      <c r="U784" s="40"/>
      <c r="V784" s="9">
        <f t="shared" si="140"/>
        <v>3.83</v>
      </c>
      <c r="Y784" s="9">
        <f t="shared" si="141"/>
        <v>0</v>
      </c>
      <c r="AD784" s="4" t="s">
        <v>2106</v>
      </c>
      <c r="AE784" s="4" t="s">
        <v>2107</v>
      </c>
      <c r="AF784" s="4" t="s">
        <v>2108</v>
      </c>
    </row>
    <row r="785" spans="1:35" ht="18" x14ac:dyDescent="0.3">
      <c r="A785" s="23" t="s">
        <v>2109</v>
      </c>
      <c r="B785" s="23"/>
      <c r="C785" s="41" t="s">
        <v>2105</v>
      </c>
      <c r="D785" s="25"/>
      <c r="E785" s="25"/>
      <c r="F785" s="42" t="s">
        <v>82</v>
      </c>
      <c r="G785" s="43">
        <v>1.05</v>
      </c>
      <c r="H785" s="25"/>
      <c r="I785" s="43">
        <v>967.36500000000001</v>
      </c>
      <c r="J785" s="44">
        <v>4.5999999999999996</v>
      </c>
      <c r="K785" s="45"/>
      <c r="L785" s="45"/>
      <c r="M785" s="44">
        <f t="shared" si="138"/>
        <v>4449.88</v>
      </c>
      <c r="N785" s="45"/>
      <c r="O785" s="45"/>
      <c r="P785" s="44">
        <v>4.5999999999999996</v>
      </c>
      <c r="Q785" s="45"/>
      <c r="R785" s="45"/>
      <c r="S785" s="44">
        <f t="shared" si="139"/>
        <v>4449.88</v>
      </c>
      <c r="T785" s="45"/>
      <c r="U785" s="46"/>
      <c r="V785" s="9">
        <f t="shared" si="140"/>
        <v>3.83</v>
      </c>
      <c r="Y785" s="9">
        <f t="shared" si="141"/>
        <v>3708.23</v>
      </c>
      <c r="AD785" s="4" t="s">
        <v>2110</v>
      </c>
      <c r="AE785" s="4" t="s">
        <v>2107</v>
      </c>
      <c r="AF785" s="4" t="s">
        <v>2108</v>
      </c>
    </row>
    <row r="786" spans="1:35" ht="18" x14ac:dyDescent="0.3">
      <c r="A786" s="17" t="s">
        <v>2111</v>
      </c>
      <c r="B786" s="17"/>
      <c r="C786" s="34" t="s">
        <v>2112</v>
      </c>
      <c r="D786" s="19"/>
      <c r="E786" s="19"/>
      <c r="F786" s="35" t="s">
        <v>82</v>
      </c>
      <c r="G786" s="36">
        <v>0.25</v>
      </c>
      <c r="H786" s="19"/>
      <c r="I786" s="37">
        <v>0</v>
      </c>
      <c r="J786" s="38">
        <v>2.8</v>
      </c>
      <c r="K786" s="39"/>
      <c r="L786" s="39"/>
      <c r="M786" s="38">
        <f t="shared" si="138"/>
        <v>0</v>
      </c>
      <c r="N786" s="39"/>
      <c r="O786" s="39"/>
      <c r="P786" s="38">
        <v>2.8</v>
      </c>
      <c r="Q786" s="39"/>
      <c r="R786" s="39"/>
      <c r="S786" s="38">
        <f t="shared" si="139"/>
        <v>0</v>
      </c>
      <c r="T786" s="39"/>
      <c r="U786" s="40"/>
      <c r="V786" s="9">
        <f t="shared" si="140"/>
        <v>2.33</v>
      </c>
      <c r="Y786" s="9">
        <f t="shared" si="141"/>
        <v>0</v>
      </c>
      <c r="AD786" s="4" t="s">
        <v>2113</v>
      </c>
      <c r="AE786" s="4" t="s">
        <v>2114</v>
      </c>
      <c r="AF786" s="4" t="s">
        <v>2115</v>
      </c>
    </row>
    <row r="787" spans="1:35" ht="18" x14ac:dyDescent="0.3">
      <c r="A787" s="23" t="s">
        <v>2116</v>
      </c>
      <c r="B787" s="23"/>
      <c r="C787" s="41" t="s">
        <v>2112</v>
      </c>
      <c r="D787" s="25"/>
      <c r="E787" s="25"/>
      <c r="F787" s="42" t="s">
        <v>82</v>
      </c>
      <c r="G787" s="43">
        <v>0.25</v>
      </c>
      <c r="H787" s="25"/>
      <c r="I787" s="43">
        <v>230.32499999999999</v>
      </c>
      <c r="J787" s="44">
        <v>2.8</v>
      </c>
      <c r="K787" s="45"/>
      <c r="L787" s="45"/>
      <c r="M787" s="44">
        <f t="shared" si="138"/>
        <v>644.91</v>
      </c>
      <c r="N787" s="45"/>
      <c r="O787" s="45"/>
      <c r="P787" s="44">
        <v>2.8</v>
      </c>
      <c r="Q787" s="45"/>
      <c r="R787" s="45"/>
      <c r="S787" s="44">
        <f t="shared" si="139"/>
        <v>644.91</v>
      </c>
      <c r="T787" s="45"/>
      <c r="U787" s="46"/>
      <c r="V787" s="9">
        <f t="shared" si="140"/>
        <v>2.33</v>
      </c>
      <c r="Y787" s="9">
        <f t="shared" si="141"/>
        <v>537.42999999999995</v>
      </c>
      <c r="AD787" s="4" t="s">
        <v>2117</v>
      </c>
      <c r="AE787" s="4" t="s">
        <v>2114</v>
      </c>
      <c r="AF787" s="4" t="s">
        <v>2115</v>
      </c>
    </row>
    <row r="788" spans="1:35" ht="36" x14ac:dyDescent="0.3">
      <c r="A788" s="17" t="s">
        <v>2118</v>
      </c>
      <c r="B788" s="17"/>
      <c r="C788" s="34" t="s">
        <v>556</v>
      </c>
      <c r="D788" s="19"/>
      <c r="E788" s="19"/>
      <c r="F788" s="35" t="s">
        <v>265</v>
      </c>
      <c r="G788" s="36">
        <v>0.1</v>
      </c>
      <c r="H788" s="19"/>
      <c r="I788" s="37">
        <v>0</v>
      </c>
      <c r="J788" s="38">
        <v>88.8</v>
      </c>
      <c r="K788" s="39"/>
      <c r="L788" s="39"/>
      <c r="M788" s="38">
        <f t="shared" si="138"/>
        <v>0</v>
      </c>
      <c r="N788" s="39"/>
      <c r="O788" s="39"/>
      <c r="P788" s="38">
        <v>88.8</v>
      </c>
      <c r="Q788" s="39"/>
      <c r="R788" s="39"/>
      <c r="S788" s="38">
        <f t="shared" si="139"/>
        <v>0</v>
      </c>
      <c r="T788" s="39"/>
      <c r="U788" s="40"/>
      <c r="V788" s="9">
        <f t="shared" si="140"/>
        <v>74</v>
      </c>
      <c r="Y788" s="9">
        <f t="shared" si="141"/>
        <v>0</v>
      </c>
      <c r="AD788" s="4" t="s">
        <v>2119</v>
      </c>
      <c r="AE788" s="4" t="s">
        <v>2120</v>
      </c>
      <c r="AF788" s="4" t="s">
        <v>559</v>
      </c>
    </row>
    <row r="789" spans="1:35" ht="36" x14ac:dyDescent="0.3">
      <c r="A789" s="23" t="s">
        <v>2121</v>
      </c>
      <c r="B789" s="23"/>
      <c r="C789" s="41" t="s">
        <v>556</v>
      </c>
      <c r="D789" s="25"/>
      <c r="E789" s="25"/>
      <c r="F789" s="42" t="s">
        <v>265</v>
      </c>
      <c r="G789" s="43">
        <v>0.1</v>
      </c>
      <c r="H789" s="25"/>
      <c r="I789" s="43">
        <v>92.13</v>
      </c>
      <c r="J789" s="44">
        <v>88.8</v>
      </c>
      <c r="K789" s="45"/>
      <c r="L789" s="45"/>
      <c r="M789" s="44">
        <f t="shared" si="138"/>
        <v>8181.14</v>
      </c>
      <c r="N789" s="45"/>
      <c r="O789" s="45"/>
      <c r="P789" s="44">
        <v>88.8</v>
      </c>
      <c r="Q789" s="45"/>
      <c r="R789" s="45"/>
      <c r="S789" s="44">
        <f t="shared" si="139"/>
        <v>8181.14</v>
      </c>
      <c r="T789" s="45"/>
      <c r="U789" s="46"/>
      <c r="V789" s="9">
        <f t="shared" si="140"/>
        <v>74</v>
      </c>
      <c r="Y789" s="9">
        <f t="shared" si="141"/>
        <v>6817.62</v>
      </c>
      <c r="AD789" s="4" t="s">
        <v>2122</v>
      </c>
      <c r="AE789" s="4" t="s">
        <v>2120</v>
      </c>
      <c r="AF789" s="4" t="s">
        <v>559</v>
      </c>
    </row>
    <row r="790" spans="1:35" ht="18" x14ac:dyDescent="0.3">
      <c r="A790" s="17" t="s">
        <v>2123</v>
      </c>
      <c r="B790" s="17"/>
      <c r="C790" s="34" t="s">
        <v>2124</v>
      </c>
      <c r="D790" s="19"/>
      <c r="E790" s="19"/>
      <c r="F790" s="35" t="s">
        <v>369</v>
      </c>
      <c r="G790" s="36">
        <v>0.75</v>
      </c>
      <c r="H790" s="19"/>
      <c r="I790" s="37">
        <v>0</v>
      </c>
      <c r="J790" s="38">
        <v>2.8</v>
      </c>
      <c r="K790" s="39"/>
      <c r="L790" s="39"/>
      <c r="M790" s="38">
        <f t="shared" si="138"/>
        <v>0</v>
      </c>
      <c r="N790" s="39"/>
      <c r="O790" s="39"/>
      <c r="P790" s="38">
        <v>2.8</v>
      </c>
      <c r="Q790" s="39"/>
      <c r="R790" s="39"/>
      <c r="S790" s="38">
        <f t="shared" si="139"/>
        <v>0</v>
      </c>
      <c r="T790" s="39"/>
      <c r="U790" s="40"/>
      <c r="V790" s="9">
        <f t="shared" si="140"/>
        <v>2.33</v>
      </c>
      <c r="Y790" s="9">
        <f t="shared" si="141"/>
        <v>0</v>
      </c>
      <c r="AD790" s="4" t="s">
        <v>2125</v>
      </c>
      <c r="AE790" s="4" t="s">
        <v>2126</v>
      </c>
      <c r="AF790" s="4" t="s">
        <v>2127</v>
      </c>
    </row>
    <row r="791" spans="1:35" ht="18" x14ac:dyDescent="0.3">
      <c r="A791" s="23" t="s">
        <v>2128</v>
      </c>
      <c r="B791" s="23"/>
      <c r="C791" s="41" t="s">
        <v>2124</v>
      </c>
      <c r="D791" s="25"/>
      <c r="E791" s="25"/>
      <c r="F791" s="42" t="s">
        <v>369</v>
      </c>
      <c r="G791" s="43">
        <v>0.75</v>
      </c>
      <c r="H791" s="25"/>
      <c r="I791" s="43">
        <v>690.97500000000002</v>
      </c>
      <c r="J791" s="44">
        <v>2.8</v>
      </c>
      <c r="K791" s="45"/>
      <c r="L791" s="45"/>
      <c r="M791" s="44">
        <f t="shared" si="138"/>
        <v>1934.73</v>
      </c>
      <c r="N791" s="45"/>
      <c r="O791" s="45"/>
      <c r="P791" s="44">
        <v>2.8</v>
      </c>
      <c r="Q791" s="45"/>
      <c r="R791" s="45"/>
      <c r="S791" s="44">
        <f t="shared" si="139"/>
        <v>1934.73</v>
      </c>
      <c r="T791" s="45"/>
      <c r="U791" s="46"/>
      <c r="V791" s="9">
        <f t="shared" si="140"/>
        <v>2.33</v>
      </c>
      <c r="Y791" s="9">
        <f t="shared" si="141"/>
        <v>1612.28</v>
      </c>
      <c r="AD791" s="4" t="s">
        <v>2129</v>
      </c>
      <c r="AE791" s="4" t="s">
        <v>2126</v>
      </c>
      <c r="AF791" s="4" t="s">
        <v>2127</v>
      </c>
    </row>
    <row r="792" spans="1:35" ht="234" x14ac:dyDescent="0.3">
      <c r="A792" s="51" t="s">
        <v>2130</v>
      </c>
      <c r="B792" s="51" t="s">
        <v>2037</v>
      </c>
      <c r="C792" s="52" t="s">
        <v>2038</v>
      </c>
      <c r="D792" s="53"/>
      <c r="E792" s="53" t="s">
        <v>2042</v>
      </c>
      <c r="F792" s="53" t="s">
        <v>59</v>
      </c>
      <c r="G792" s="54">
        <v>1</v>
      </c>
      <c r="H792" s="53"/>
      <c r="I792" s="54">
        <v>921.3</v>
      </c>
      <c r="J792" s="55">
        <f>IFERROR(ROUND(SUM(M793,M794,M795,M796,M797,M798,M799,M800,M801,M802,M803,M804,M805)/I792, 2),0)</f>
        <v>480.18</v>
      </c>
      <c r="K792" s="55">
        <v>1379</v>
      </c>
      <c r="L792" s="55">
        <f>J792+ROUND(K792, 2)</f>
        <v>1859.18</v>
      </c>
      <c r="M792" s="55">
        <f>ROUND(J792*I792, 2)</f>
        <v>442389.83</v>
      </c>
      <c r="N792" s="55">
        <f>ROUND(I792*ROUND(K792, 2), 2)</f>
        <v>1270472.7</v>
      </c>
      <c r="O792" s="55">
        <f>M792+N792</f>
        <v>1712862.53</v>
      </c>
      <c r="P792" s="55">
        <f>IFERROR(ROUND(SUM(S793,S794,S795,S796,S797,S798,S799,S800,S801,S802,S803,S804,S805)/I792, 2),0)</f>
        <v>2076.5300000000002</v>
      </c>
      <c r="Q792" s="55">
        <v>2068.5</v>
      </c>
      <c r="R792" s="55">
        <f>P792+ROUND(Q792, 2)</f>
        <v>4145.03</v>
      </c>
      <c r="S792" s="55">
        <f>ROUND(P792*I792, 2)</f>
        <v>1913107.09</v>
      </c>
      <c r="T792" s="55">
        <f>ROUND(I792*ROUND(Q792, 2), 2)</f>
        <v>1905709.05</v>
      </c>
      <c r="U792" s="55">
        <f>S792+T792</f>
        <v>3818816.14</v>
      </c>
      <c r="V792" s="9">
        <f>ROUND(P792 / 1.2, 2)</f>
        <v>1730.44</v>
      </c>
      <c r="W792" s="9">
        <f>ROUND(Q792 / 1.2, 2)</f>
        <v>1723.75</v>
      </c>
      <c r="X792" s="9">
        <f>ROUND(R792 / 1.2, 2)</f>
        <v>3454.19</v>
      </c>
      <c r="Y792" s="9">
        <f t="shared" si="141"/>
        <v>1594255.91</v>
      </c>
      <c r="Z792" s="9">
        <f>ROUND(T792 / 1.2, 2)</f>
        <v>1588090.8799999999</v>
      </c>
      <c r="AA792" s="9">
        <f>Y792+Z792</f>
        <v>3182346.79</v>
      </c>
      <c r="AD792" s="4">
        <v>304337707</v>
      </c>
      <c r="AE792" s="4">
        <v>21950038</v>
      </c>
      <c r="AG792" s="4" t="s">
        <v>2039</v>
      </c>
      <c r="AH792" s="4" t="s">
        <v>2040</v>
      </c>
      <c r="AI792" s="4" t="s">
        <v>260</v>
      </c>
    </row>
    <row r="793" spans="1:35" ht="18" x14ac:dyDescent="0.3">
      <c r="A793" s="51" t="s">
        <v>2131</v>
      </c>
      <c r="B793" s="51"/>
      <c r="C793" s="56" t="s">
        <v>2124</v>
      </c>
      <c r="D793" s="53"/>
      <c r="E793" s="53"/>
      <c r="F793" s="57" t="s">
        <v>369</v>
      </c>
      <c r="G793" s="58">
        <v>0.75</v>
      </c>
      <c r="H793" s="53"/>
      <c r="I793" s="58">
        <v>690.97500000000002</v>
      </c>
      <c r="J793" s="59">
        <v>2.8</v>
      </c>
      <c r="K793" s="60"/>
      <c r="L793" s="60"/>
      <c r="M793" s="59">
        <f t="shared" ref="M793:M805" si="142">ROUND(ROUND(J793, 2)*I793, 2)</f>
        <v>1934.73</v>
      </c>
      <c r="N793" s="60"/>
      <c r="O793" s="60"/>
      <c r="P793" s="59">
        <v>2.8</v>
      </c>
      <c r="Q793" s="60"/>
      <c r="R793" s="60"/>
      <c r="S793" s="59">
        <f t="shared" ref="S793:S805" si="143">ROUND(ROUND(P793, 2)*I793, 2)</f>
        <v>1934.73</v>
      </c>
      <c r="T793" s="60"/>
      <c r="U793" s="61"/>
      <c r="V793" s="9">
        <f t="shared" ref="V793:V805" si="144">ROUND(ROUND(P793, 2)/1.2, 2)</f>
        <v>2.33</v>
      </c>
      <c r="Y793" s="9">
        <f t="shared" si="141"/>
        <v>1612.28</v>
      </c>
      <c r="AD793" s="4" t="s">
        <v>2132</v>
      </c>
      <c r="AE793" s="4" t="s">
        <v>2133</v>
      </c>
      <c r="AF793" s="4" t="s">
        <v>2127</v>
      </c>
    </row>
    <row r="794" spans="1:35" ht="36" x14ac:dyDescent="0.3">
      <c r="A794" s="51" t="s">
        <v>2134</v>
      </c>
      <c r="B794" s="51"/>
      <c r="C794" s="56" t="s">
        <v>556</v>
      </c>
      <c r="D794" s="53"/>
      <c r="E794" s="53"/>
      <c r="F794" s="57" t="s">
        <v>265</v>
      </c>
      <c r="G794" s="58">
        <v>0.1</v>
      </c>
      <c r="H794" s="53"/>
      <c r="I794" s="58">
        <v>92.13</v>
      </c>
      <c r="J794" s="59">
        <v>88.8</v>
      </c>
      <c r="K794" s="60"/>
      <c r="L794" s="60"/>
      <c r="M794" s="59">
        <f t="shared" si="142"/>
        <v>8181.14</v>
      </c>
      <c r="N794" s="60"/>
      <c r="O794" s="60"/>
      <c r="P794" s="59">
        <v>88.8</v>
      </c>
      <c r="Q794" s="60"/>
      <c r="R794" s="60"/>
      <c r="S794" s="59">
        <f t="shared" si="143"/>
        <v>8181.14</v>
      </c>
      <c r="T794" s="60"/>
      <c r="U794" s="61"/>
      <c r="V794" s="9">
        <f t="shared" si="144"/>
        <v>74</v>
      </c>
      <c r="Y794" s="9">
        <f t="shared" si="141"/>
        <v>6817.62</v>
      </c>
      <c r="AD794" s="4" t="s">
        <v>2135</v>
      </c>
      <c r="AE794" s="4" t="s">
        <v>2136</v>
      </c>
      <c r="AF794" s="4" t="s">
        <v>559</v>
      </c>
    </row>
    <row r="795" spans="1:35" ht="18" x14ac:dyDescent="0.3">
      <c r="A795" s="51" t="s">
        <v>2137</v>
      </c>
      <c r="B795" s="51"/>
      <c r="C795" s="56" t="s">
        <v>2112</v>
      </c>
      <c r="D795" s="53"/>
      <c r="E795" s="53"/>
      <c r="F795" s="57" t="s">
        <v>82</v>
      </c>
      <c r="G795" s="58">
        <v>0.25</v>
      </c>
      <c r="H795" s="53"/>
      <c r="I795" s="58">
        <v>230.32499999999999</v>
      </c>
      <c r="J795" s="59">
        <v>2.8</v>
      </c>
      <c r="K795" s="60"/>
      <c r="L795" s="60"/>
      <c r="M795" s="59">
        <f t="shared" si="142"/>
        <v>644.91</v>
      </c>
      <c r="N795" s="60"/>
      <c r="O795" s="60"/>
      <c r="P795" s="59">
        <v>2.8</v>
      </c>
      <c r="Q795" s="60"/>
      <c r="R795" s="60"/>
      <c r="S795" s="59">
        <f t="shared" si="143"/>
        <v>644.91</v>
      </c>
      <c r="T795" s="60"/>
      <c r="U795" s="61"/>
      <c r="V795" s="9">
        <f t="shared" si="144"/>
        <v>2.33</v>
      </c>
      <c r="Y795" s="9">
        <f t="shared" si="141"/>
        <v>537.42999999999995</v>
      </c>
      <c r="AD795" s="4" t="s">
        <v>2138</v>
      </c>
      <c r="AE795" s="4" t="s">
        <v>2139</v>
      </c>
      <c r="AF795" s="4" t="s">
        <v>2115</v>
      </c>
    </row>
    <row r="796" spans="1:35" ht="18" x14ac:dyDescent="0.3">
      <c r="A796" s="51" t="s">
        <v>2140</v>
      </c>
      <c r="B796" s="51"/>
      <c r="C796" s="56" t="s">
        <v>2105</v>
      </c>
      <c r="D796" s="53"/>
      <c r="E796" s="53"/>
      <c r="F796" s="57" t="s">
        <v>82</v>
      </c>
      <c r="G796" s="58">
        <v>1.05</v>
      </c>
      <c r="H796" s="53"/>
      <c r="I796" s="58">
        <v>967.36500000000001</v>
      </c>
      <c r="J796" s="59">
        <v>4.5999999999999996</v>
      </c>
      <c r="K796" s="60"/>
      <c r="L796" s="60"/>
      <c r="M796" s="59">
        <f t="shared" si="142"/>
        <v>4449.88</v>
      </c>
      <c r="N796" s="60"/>
      <c r="O796" s="60"/>
      <c r="P796" s="59">
        <v>4.5999999999999996</v>
      </c>
      <c r="Q796" s="60"/>
      <c r="R796" s="60"/>
      <c r="S796" s="59">
        <f t="shared" si="143"/>
        <v>4449.88</v>
      </c>
      <c r="T796" s="60"/>
      <c r="U796" s="61"/>
      <c r="V796" s="9">
        <f t="shared" si="144"/>
        <v>3.83</v>
      </c>
      <c r="Y796" s="9">
        <f t="shared" si="141"/>
        <v>3708.23</v>
      </c>
      <c r="AD796" s="4" t="s">
        <v>2141</v>
      </c>
      <c r="AE796" s="4" t="s">
        <v>2142</v>
      </c>
      <c r="AF796" s="4" t="s">
        <v>2108</v>
      </c>
    </row>
    <row r="797" spans="1:35" ht="36" x14ac:dyDescent="0.3">
      <c r="A797" s="51" t="s">
        <v>2143</v>
      </c>
      <c r="B797" s="51"/>
      <c r="C797" s="56" t="s">
        <v>1721</v>
      </c>
      <c r="D797" s="53"/>
      <c r="E797" s="53"/>
      <c r="F797" s="57" t="s">
        <v>59</v>
      </c>
      <c r="G797" s="58">
        <v>1.05</v>
      </c>
      <c r="H797" s="53"/>
      <c r="I797" s="58">
        <v>967.36500000000001</v>
      </c>
      <c r="J797" s="59">
        <v>0</v>
      </c>
      <c r="K797" s="60"/>
      <c r="L797" s="60"/>
      <c r="M797" s="59">
        <f t="shared" si="142"/>
        <v>0</v>
      </c>
      <c r="N797" s="60"/>
      <c r="O797" s="60"/>
      <c r="P797" s="59">
        <v>1520.33</v>
      </c>
      <c r="Q797" s="60"/>
      <c r="R797" s="60"/>
      <c r="S797" s="59">
        <f t="shared" si="143"/>
        <v>1470714.03</v>
      </c>
      <c r="T797" s="60"/>
      <c r="U797" s="61"/>
      <c r="V797" s="9">
        <f t="shared" si="144"/>
        <v>1266.94</v>
      </c>
      <c r="Y797" s="9">
        <f t="shared" si="141"/>
        <v>1225595.03</v>
      </c>
      <c r="AD797" s="4" t="s">
        <v>2144</v>
      </c>
      <c r="AE797" s="4" t="s">
        <v>2145</v>
      </c>
      <c r="AF797" s="4" t="s">
        <v>1724</v>
      </c>
    </row>
    <row r="798" spans="1:35" ht="18" x14ac:dyDescent="0.3">
      <c r="A798" s="51" t="s">
        <v>2146</v>
      </c>
      <c r="B798" s="51"/>
      <c r="C798" s="47" t="s">
        <v>2093</v>
      </c>
      <c r="D798" s="53"/>
      <c r="E798" s="53"/>
      <c r="F798" s="57" t="s">
        <v>369</v>
      </c>
      <c r="G798" s="58">
        <v>4.2</v>
      </c>
      <c r="H798" s="53"/>
      <c r="I798" s="58">
        <v>3869.46</v>
      </c>
      <c r="J798" s="59">
        <v>4.92</v>
      </c>
      <c r="K798" s="60"/>
      <c r="L798" s="60"/>
      <c r="M798" s="59">
        <f t="shared" si="142"/>
        <v>19037.740000000002</v>
      </c>
      <c r="N798" s="60"/>
      <c r="O798" s="60"/>
      <c r="P798" s="59">
        <v>4.92</v>
      </c>
      <c r="Q798" s="60"/>
      <c r="R798" s="60"/>
      <c r="S798" s="59">
        <f t="shared" si="143"/>
        <v>19037.740000000002</v>
      </c>
      <c r="T798" s="60"/>
      <c r="U798" s="61"/>
      <c r="V798" s="9">
        <f t="shared" si="144"/>
        <v>4.0999999999999996</v>
      </c>
      <c r="Y798" s="9">
        <f t="shared" si="141"/>
        <v>15864.78</v>
      </c>
      <c r="AD798" s="4" t="s">
        <v>2147</v>
      </c>
      <c r="AE798" s="4" t="s">
        <v>2148</v>
      </c>
      <c r="AF798" s="4" t="s">
        <v>2096</v>
      </c>
    </row>
    <row r="799" spans="1:35" ht="18" x14ac:dyDescent="0.3">
      <c r="A799" s="51" t="s">
        <v>2149</v>
      </c>
      <c r="B799" s="51"/>
      <c r="C799" s="56" t="s">
        <v>2079</v>
      </c>
      <c r="D799" s="53"/>
      <c r="E799" s="53"/>
      <c r="F799" s="57" t="s">
        <v>82</v>
      </c>
      <c r="G799" s="58">
        <v>1.2</v>
      </c>
      <c r="H799" s="53"/>
      <c r="I799" s="58">
        <v>1105.56</v>
      </c>
      <c r="J799" s="59">
        <v>22.82</v>
      </c>
      <c r="K799" s="60"/>
      <c r="L799" s="60"/>
      <c r="M799" s="59">
        <f t="shared" si="142"/>
        <v>25228.880000000001</v>
      </c>
      <c r="N799" s="60"/>
      <c r="O799" s="60"/>
      <c r="P799" s="59">
        <v>22.82</v>
      </c>
      <c r="Q799" s="60"/>
      <c r="R799" s="60"/>
      <c r="S799" s="59">
        <f t="shared" si="143"/>
        <v>25228.880000000001</v>
      </c>
      <c r="T799" s="60"/>
      <c r="U799" s="61"/>
      <c r="V799" s="9">
        <f t="shared" si="144"/>
        <v>19.02</v>
      </c>
      <c r="Y799" s="9">
        <f t="shared" si="141"/>
        <v>21024.07</v>
      </c>
      <c r="AD799" s="4" t="s">
        <v>2150</v>
      </c>
      <c r="AE799" s="4" t="s">
        <v>2151</v>
      </c>
      <c r="AF799" s="4" t="s">
        <v>2082</v>
      </c>
    </row>
    <row r="800" spans="1:35" ht="18" x14ac:dyDescent="0.3">
      <c r="A800" s="51" t="s">
        <v>2152</v>
      </c>
      <c r="B800" s="51"/>
      <c r="C800" s="56" t="s">
        <v>2086</v>
      </c>
      <c r="D800" s="53"/>
      <c r="E800" s="53"/>
      <c r="F800" s="57" t="s">
        <v>82</v>
      </c>
      <c r="G800" s="58">
        <v>4.7</v>
      </c>
      <c r="H800" s="53"/>
      <c r="I800" s="58">
        <v>4330.1099999999997</v>
      </c>
      <c r="J800" s="59">
        <v>66.98</v>
      </c>
      <c r="K800" s="60"/>
      <c r="L800" s="60"/>
      <c r="M800" s="59">
        <f t="shared" si="142"/>
        <v>290030.77</v>
      </c>
      <c r="N800" s="60"/>
      <c r="O800" s="60"/>
      <c r="P800" s="59">
        <v>66.98</v>
      </c>
      <c r="Q800" s="60"/>
      <c r="R800" s="60"/>
      <c r="S800" s="59">
        <f t="shared" si="143"/>
        <v>290030.77</v>
      </c>
      <c r="T800" s="60"/>
      <c r="U800" s="61"/>
      <c r="V800" s="9">
        <f t="shared" si="144"/>
        <v>55.82</v>
      </c>
      <c r="Y800" s="9">
        <f t="shared" si="141"/>
        <v>241692.31</v>
      </c>
      <c r="AD800" s="4" t="s">
        <v>2153</v>
      </c>
      <c r="AE800" s="4" t="s">
        <v>2154</v>
      </c>
      <c r="AF800" s="4" t="s">
        <v>2089</v>
      </c>
    </row>
    <row r="801" spans="1:35" ht="36" x14ac:dyDescent="0.3">
      <c r="A801" s="51" t="s">
        <v>2155</v>
      </c>
      <c r="B801" s="51"/>
      <c r="C801" s="47" t="s">
        <v>2072</v>
      </c>
      <c r="D801" s="53"/>
      <c r="E801" s="53"/>
      <c r="F801" s="57" t="s">
        <v>369</v>
      </c>
      <c r="G801" s="58">
        <v>3.6</v>
      </c>
      <c r="H801" s="53"/>
      <c r="I801" s="58">
        <v>3316.68</v>
      </c>
      <c r="J801" s="59">
        <v>15.9</v>
      </c>
      <c r="K801" s="60"/>
      <c r="L801" s="60"/>
      <c r="M801" s="59">
        <f t="shared" si="142"/>
        <v>52735.21</v>
      </c>
      <c r="N801" s="60"/>
      <c r="O801" s="60"/>
      <c r="P801" s="59">
        <v>15.9</v>
      </c>
      <c r="Q801" s="60"/>
      <c r="R801" s="60"/>
      <c r="S801" s="59">
        <f t="shared" si="143"/>
        <v>52735.21</v>
      </c>
      <c r="T801" s="60"/>
      <c r="U801" s="61"/>
      <c r="V801" s="9">
        <f t="shared" si="144"/>
        <v>13.25</v>
      </c>
      <c r="Y801" s="9">
        <f t="shared" si="141"/>
        <v>43946.01</v>
      </c>
      <c r="AD801" s="4" t="s">
        <v>2156</v>
      </c>
      <c r="AE801" s="4" t="s">
        <v>2157</v>
      </c>
      <c r="AF801" s="4" t="s">
        <v>2075</v>
      </c>
    </row>
    <row r="802" spans="1:35" ht="18" x14ac:dyDescent="0.3">
      <c r="A802" s="51" t="s">
        <v>2158</v>
      </c>
      <c r="B802" s="51"/>
      <c r="C802" s="56" t="s">
        <v>2065</v>
      </c>
      <c r="D802" s="53"/>
      <c r="E802" s="53"/>
      <c r="F802" s="57" t="s">
        <v>369</v>
      </c>
      <c r="G802" s="58">
        <v>0.3</v>
      </c>
      <c r="H802" s="53"/>
      <c r="I802" s="58">
        <v>276.39</v>
      </c>
      <c r="J802" s="59">
        <v>5.6</v>
      </c>
      <c r="K802" s="60"/>
      <c r="L802" s="60"/>
      <c r="M802" s="59">
        <f t="shared" si="142"/>
        <v>1547.78</v>
      </c>
      <c r="N802" s="60"/>
      <c r="O802" s="60"/>
      <c r="P802" s="59">
        <v>5.6</v>
      </c>
      <c r="Q802" s="60"/>
      <c r="R802" s="60"/>
      <c r="S802" s="59">
        <f t="shared" si="143"/>
        <v>1547.78</v>
      </c>
      <c r="T802" s="60"/>
      <c r="U802" s="61"/>
      <c r="V802" s="9">
        <f t="shared" si="144"/>
        <v>4.67</v>
      </c>
      <c r="Y802" s="9">
        <f t="shared" si="141"/>
        <v>1289.82</v>
      </c>
      <c r="AD802" s="4" t="s">
        <v>2159</v>
      </c>
      <c r="AE802" s="4" t="s">
        <v>2160</v>
      </c>
      <c r="AF802" s="4" t="s">
        <v>2068</v>
      </c>
    </row>
    <row r="803" spans="1:35" ht="18" x14ac:dyDescent="0.3">
      <c r="A803" s="51" t="s">
        <v>2161</v>
      </c>
      <c r="B803" s="51"/>
      <c r="C803" s="56" t="s">
        <v>2058</v>
      </c>
      <c r="D803" s="53"/>
      <c r="E803" s="53"/>
      <c r="F803" s="57" t="s">
        <v>265</v>
      </c>
      <c r="G803" s="58">
        <v>0.35</v>
      </c>
      <c r="H803" s="53"/>
      <c r="I803" s="58">
        <v>322.45499999999998</v>
      </c>
      <c r="J803" s="59">
        <v>55</v>
      </c>
      <c r="K803" s="60"/>
      <c r="L803" s="60"/>
      <c r="M803" s="59">
        <f t="shared" si="142"/>
        <v>17735.03</v>
      </c>
      <c r="N803" s="60"/>
      <c r="O803" s="60"/>
      <c r="P803" s="59">
        <v>55</v>
      </c>
      <c r="Q803" s="60"/>
      <c r="R803" s="60"/>
      <c r="S803" s="59">
        <f t="shared" si="143"/>
        <v>17735.03</v>
      </c>
      <c r="T803" s="60"/>
      <c r="U803" s="61"/>
      <c r="V803" s="9">
        <f t="shared" si="144"/>
        <v>45.83</v>
      </c>
      <c r="Y803" s="9">
        <f t="shared" si="141"/>
        <v>14779.19</v>
      </c>
      <c r="AD803" s="4" t="s">
        <v>2162</v>
      </c>
      <c r="AE803" s="4" t="s">
        <v>2163</v>
      </c>
      <c r="AF803" s="4" t="s">
        <v>2061</v>
      </c>
    </row>
    <row r="804" spans="1:35" ht="18" x14ac:dyDescent="0.3">
      <c r="A804" s="51" t="s">
        <v>2164</v>
      </c>
      <c r="B804" s="51"/>
      <c r="C804" s="56" t="s">
        <v>2051</v>
      </c>
      <c r="D804" s="53"/>
      <c r="E804" s="53"/>
      <c r="F804" s="57" t="s">
        <v>369</v>
      </c>
      <c r="G804" s="58">
        <v>30</v>
      </c>
      <c r="H804" s="53"/>
      <c r="I804" s="58">
        <v>27639</v>
      </c>
      <c r="J804" s="59">
        <v>0.28000000000000003</v>
      </c>
      <c r="K804" s="60"/>
      <c r="L804" s="60"/>
      <c r="M804" s="59">
        <f t="shared" si="142"/>
        <v>7738.92</v>
      </c>
      <c r="N804" s="60"/>
      <c r="O804" s="60"/>
      <c r="P804" s="59">
        <v>0.28000000000000003</v>
      </c>
      <c r="Q804" s="60"/>
      <c r="R804" s="60"/>
      <c r="S804" s="59">
        <f t="shared" si="143"/>
        <v>7738.92</v>
      </c>
      <c r="T804" s="60"/>
      <c r="U804" s="61"/>
      <c r="V804" s="9">
        <f t="shared" si="144"/>
        <v>0.23</v>
      </c>
      <c r="Y804" s="9">
        <f t="shared" si="141"/>
        <v>6449.1</v>
      </c>
      <c r="AD804" s="4" t="s">
        <v>2165</v>
      </c>
      <c r="AE804" s="4" t="s">
        <v>2166</v>
      </c>
      <c r="AF804" s="4" t="s">
        <v>2054</v>
      </c>
    </row>
    <row r="805" spans="1:35" ht="18" x14ac:dyDescent="0.3">
      <c r="A805" s="51" t="s">
        <v>2167</v>
      </c>
      <c r="B805" s="51"/>
      <c r="C805" s="56" t="s">
        <v>2044</v>
      </c>
      <c r="D805" s="53"/>
      <c r="E805" s="53"/>
      <c r="F805" s="57" t="s">
        <v>369</v>
      </c>
      <c r="G805" s="58">
        <v>15</v>
      </c>
      <c r="H805" s="53"/>
      <c r="I805" s="58">
        <v>13819.5</v>
      </c>
      <c r="J805" s="59">
        <v>0.95</v>
      </c>
      <c r="K805" s="60"/>
      <c r="L805" s="60"/>
      <c r="M805" s="59">
        <f t="shared" si="142"/>
        <v>13128.53</v>
      </c>
      <c r="N805" s="60"/>
      <c r="O805" s="60"/>
      <c r="P805" s="59">
        <v>0.95</v>
      </c>
      <c r="Q805" s="60"/>
      <c r="R805" s="60"/>
      <c r="S805" s="59">
        <f t="shared" si="143"/>
        <v>13128.53</v>
      </c>
      <c r="T805" s="60"/>
      <c r="U805" s="61"/>
      <c r="V805" s="9">
        <f t="shared" si="144"/>
        <v>0.79</v>
      </c>
      <c r="Y805" s="9">
        <f t="shared" si="141"/>
        <v>10940.44</v>
      </c>
      <c r="AD805" s="4" t="s">
        <v>2168</v>
      </c>
      <c r="AE805" s="4" t="s">
        <v>2169</v>
      </c>
      <c r="AF805" s="4" t="s">
        <v>2047</v>
      </c>
    </row>
    <row r="806" spans="1:35" ht="36" x14ac:dyDescent="0.3">
      <c r="A806" s="17" t="s">
        <v>2170</v>
      </c>
      <c r="B806" s="17" t="s">
        <v>2171</v>
      </c>
      <c r="C806" s="18" t="s">
        <v>2172</v>
      </c>
      <c r="D806" s="19"/>
      <c r="E806" s="19"/>
      <c r="F806" s="19" t="s">
        <v>59</v>
      </c>
      <c r="G806" s="20">
        <v>1</v>
      </c>
      <c r="H806" s="19"/>
      <c r="I806" s="21">
        <v>0</v>
      </c>
      <c r="J806" s="22">
        <f>IFERROR(ROUND(SUM(M808)/I806, 2),0)</f>
        <v>0</v>
      </c>
      <c r="K806" s="22">
        <v>963</v>
      </c>
      <c r="L806" s="22">
        <f>J806+ROUND(K806, 2)</f>
        <v>963</v>
      </c>
      <c r="M806" s="22">
        <f>ROUND(J806*I806, 2)</f>
        <v>0</v>
      </c>
      <c r="N806" s="22">
        <f>ROUND(I806*ROUND(K806, 2), 2)</f>
        <v>0</v>
      </c>
      <c r="O806" s="22">
        <f>M806+N806</f>
        <v>0</v>
      </c>
      <c r="P806" s="22">
        <f>IFERROR(ROUND(SUM(S808)/I806, 2),0)</f>
        <v>0</v>
      </c>
      <c r="Q806" s="22">
        <v>963</v>
      </c>
      <c r="R806" s="22">
        <f>P806+ROUND(Q806, 2)</f>
        <v>963</v>
      </c>
      <c r="S806" s="22">
        <f>ROUND(P806*I806, 2)</f>
        <v>0</v>
      </c>
      <c r="T806" s="22">
        <f>ROUND(I806*ROUND(Q806, 2), 2)</f>
        <v>0</v>
      </c>
      <c r="U806" s="22">
        <f>S806+T806</f>
        <v>0</v>
      </c>
      <c r="V806" s="9">
        <f>ROUND(P806 / 1.2, 2)</f>
        <v>0</v>
      </c>
      <c r="W806" s="9">
        <f>ROUND(Q806 / 1.2, 2)</f>
        <v>802.5</v>
      </c>
      <c r="X806" s="9">
        <f>ROUND(R806 / 1.2, 2)</f>
        <v>802.5</v>
      </c>
      <c r="Y806" s="9">
        <f t="shared" si="141"/>
        <v>0</v>
      </c>
      <c r="Z806" s="9">
        <f>ROUND(T806 / 1.2, 2)</f>
        <v>0</v>
      </c>
      <c r="AA806" s="9">
        <f>Y806+Z806</f>
        <v>0</v>
      </c>
      <c r="AD806" s="4">
        <v>304337592</v>
      </c>
      <c r="AE806" s="4">
        <v>20347726</v>
      </c>
      <c r="AG806" s="4" t="s">
        <v>2173</v>
      </c>
      <c r="AH806" s="4" t="s">
        <v>2174</v>
      </c>
      <c r="AI806" s="4" t="s">
        <v>260</v>
      </c>
    </row>
    <row r="807" spans="1:35" ht="54" x14ac:dyDescent="0.3">
      <c r="A807" s="23" t="s">
        <v>2175</v>
      </c>
      <c r="B807" s="23" t="s">
        <v>2171</v>
      </c>
      <c r="C807" s="24" t="s">
        <v>2172</v>
      </c>
      <c r="D807" s="25"/>
      <c r="E807" s="25" t="s">
        <v>2176</v>
      </c>
      <c r="F807" s="25" t="s">
        <v>59</v>
      </c>
      <c r="G807" s="26">
        <v>1</v>
      </c>
      <c r="H807" s="25"/>
      <c r="I807" s="26">
        <v>716.1</v>
      </c>
      <c r="J807" s="27">
        <v>0</v>
      </c>
      <c r="K807" s="27">
        <v>963</v>
      </c>
      <c r="L807" s="27"/>
      <c r="M807" s="27">
        <v>0</v>
      </c>
      <c r="N807" s="27"/>
      <c r="O807" s="27"/>
      <c r="P807" s="27">
        <v>0</v>
      </c>
      <c r="Q807" s="27">
        <v>963</v>
      </c>
      <c r="R807" s="27"/>
      <c r="S807" s="27">
        <v>0</v>
      </c>
      <c r="T807" s="27"/>
      <c r="U807" s="27"/>
      <c r="V807" s="9"/>
      <c r="W807" s="9">
        <f>ROUND(Q807 / 1.2, 2)</f>
        <v>802.5</v>
      </c>
      <c r="X807" s="9" t="e">
        <f>ROUND(R807 / 1.2, 2)</f>
        <v>#VALUE!</v>
      </c>
      <c r="Y807" s="9"/>
      <c r="Z807" s="9" t="e">
        <f>ROUND(T807 / 1.2, 2)</f>
        <v>#VALUE!</v>
      </c>
      <c r="AA807" s="9"/>
      <c r="AD807" s="4">
        <v>281879735</v>
      </c>
      <c r="AE807" s="4">
        <v>20347726</v>
      </c>
      <c r="AG807" s="4" t="s">
        <v>2173</v>
      </c>
      <c r="AH807" s="4" t="s">
        <v>2174</v>
      </c>
      <c r="AI807" s="4"/>
    </row>
    <row r="808" spans="1:35" ht="36" x14ac:dyDescent="0.3">
      <c r="A808" s="17" t="s">
        <v>2177</v>
      </c>
      <c r="B808" s="17"/>
      <c r="C808" s="34" t="s">
        <v>2178</v>
      </c>
      <c r="D808" s="19"/>
      <c r="E808" s="19"/>
      <c r="F808" s="35" t="s">
        <v>59</v>
      </c>
      <c r="G808" s="36">
        <v>1.1000000000000001</v>
      </c>
      <c r="H808" s="19"/>
      <c r="I808" s="48">
        <v>0</v>
      </c>
      <c r="J808" s="38">
        <v>820.89</v>
      </c>
      <c r="K808" s="39"/>
      <c r="L808" s="39"/>
      <c r="M808" s="38">
        <f>ROUND(ROUND(J808, 2)*I808, 2)</f>
        <v>0</v>
      </c>
      <c r="N808" s="39"/>
      <c r="O808" s="39"/>
      <c r="P808" s="38">
        <v>820.89</v>
      </c>
      <c r="Q808" s="39"/>
      <c r="R808" s="39"/>
      <c r="S808" s="38">
        <f>ROUND(ROUND(P808, 2)*I808, 2)</f>
        <v>0</v>
      </c>
      <c r="T808" s="39"/>
      <c r="U808" s="40"/>
      <c r="V808" s="9">
        <f>ROUND(ROUND(P808, 2)/1.2, 2)</f>
        <v>684.08</v>
      </c>
      <c r="Y808" s="9">
        <f>ROUND(S808 / 1.2, 2)</f>
        <v>0</v>
      </c>
      <c r="AD808" s="4" t="s">
        <v>2179</v>
      </c>
      <c r="AE808" s="4" t="s">
        <v>2180</v>
      </c>
      <c r="AF808" s="4" t="s">
        <v>2181</v>
      </c>
    </row>
    <row r="809" spans="1:35" ht="36" x14ac:dyDescent="0.3">
      <c r="A809" s="23" t="s">
        <v>2182</v>
      </c>
      <c r="B809" s="23"/>
      <c r="C809" s="41" t="s">
        <v>2178</v>
      </c>
      <c r="D809" s="25"/>
      <c r="E809" s="25"/>
      <c r="F809" s="42" t="s">
        <v>59</v>
      </c>
      <c r="G809" s="43">
        <v>1.1000000000000001</v>
      </c>
      <c r="H809" s="25"/>
      <c r="I809" s="50">
        <v>787.71</v>
      </c>
      <c r="J809" s="44">
        <v>820.89</v>
      </c>
      <c r="K809" s="45"/>
      <c r="L809" s="45"/>
      <c r="M809" s="44">
        <f>ROUND(ROUND(J809, 2)*I809, 2)</f>
        <v>646623.26</v>
      </c>
      <c r="N809" s="45"/>
      <c r="O809" s="45"/>
      <c r="P809" s="44">
        <v>820.89</v>
      </c>
      <c r="Q809" s="45"/>
      <c r="R809" s="45"/>
      <c r="S809" s="44">
        <f>ROUND(ROUND(P809, 2)*I809, 2)</f>
        <v>646623.26</v>
      </c>
      <c r="T809" s="45"/>
      <c r="U809" s="46"/>
      <c r="V809" s="9">
        <f>ROUND(ROUND(P809, 2)/1.2, 2)</f>
        <v>684.08</v>
      </c>
      <c r="Y809" s="9">
        <f>ROUND(S809 / 1.2, 2)</f>
        <v>538852.72</v>
      </c>
      <c r="AD809" s="4" t="s">
        <v>2183</v>
      </c>
      <c r="AE809" s="4" t="s">
        <v>2180</v>
      </c>
      <c r="AF809" s="4" t="s">
        <v>2181</v>
      </c>
    </row>
    <row r="810" spans="1:35" ht="36" x14ac:dyDescent="0.3">
      <c r="A810" s="17" t="s">
        <v>2184</v>
      </c>
      <c r="B810" s="17" t="s">
        <v>2171</v>
      </c>
      <c r="C810" s="18" t="s">
        <v>2172</v>
      </c>
      <c r="D810" s="19"/>
      <c r="E810" s="19"/>
      <c r="F810" s="19" t="s">
        <v>59</v>
      </c>
      <c r="G810" s="20">
        <v>1</v>
      </c>
      <c r="H810" s="19"/>
      <c r="I810" s="21">
        <v>0</v>
      </c>
      <c r="J810" s="22">
        <f>IFERROR(ROUND(SUM(M812)/I810, 2),0)</f>
        <v>0</v>
      </c>
      <c r="K810" s="22">
        <v>963</v>
      </c>
      <c r="L810" s="22">
        <f>J810+ROUND(K810, 2)</f>
        <v>963</v>
      </c>
      <c r="M810" s="22">
        <f>ROUND(J810*I810, 2)</f>
        <v>0</v>
      </c>
      <c r="N810" s="22">
        <f>ROUND(I810*ROUND(K810, 2), 2)</f>
        <v>0</v>
      </c>
      <c r="O810" s="22">
        <f>M810+N810</f>
        <v>0</v>
      </c>
      <c r="P810" s="22">
        <f>IFERROR(ROUND(SUM(S812)/I810, 2),0)</f>
        <v>0</v>
      </c>
      <c r="Q810" s="22">
        <v>963</v>
      </c>
      <c r="R810" s="22">
        <f>P810+ROUND(Q810, 2)</f>
        <v>963</v>
      </c>
      <c r="S810" s="22">
        <f>ROUND(P810*I810, 2)</f>
        <v>0</v>
      </c>
      <c r="T810" s="22">
        <f>ROUND(I810*ROUND(Q810, 2), 2)</f>
        <v>0</v>
      </c>
      <c r="U810" s="22">
        <f>S810+T810</f>
        <v>0</v>
      </c>
      <c r="V810" s="9">
        <f>ROUND(P810 / 1.2, 2)</f>
        <v>0</v>
      </c>
      <c r="W810" s="9">
        <f>ROUND(Q810 / 1.2, 2)</f>
        <v>802.5</v>
      </c>
      <c r="X810" s="9">
        <f>ROUND(R810 / 1.2, 2)</f>
        <v>802.5</v>
      </c>
      <c r="Y810" s="9">
        <f>ROUND(S810 / 1.2, 2)</f>
        <v>0</v>
      </c>
      <c r="Z810" s="9">
        <f>ROUND(T810 / 1.2, 2)</f>
        <v>0</v>
      </c>
      <c r="AA810" s="9">
        <f>Y810+Z810</f>
        <v>0</v>
      </c>
      <c r="AD810" s="4">
        <v>304337708</v>
      </c>
      <c r="AE810" s="4">
        <v>20347727</v>
      </c>
      <c r="AG810" s="4" t="s">
        <v>2173</v>
      </c>
      <c r="AH810" s="4" t="s">
        <v>2174</v>
      </c>
      <c r="AI810" s="4" t="s">
        <v>260</v>
      </c>
    </row>
    <row r="811" spans="1:35" ht="72" x14ac:dyDescent="0.3">
      <c r="A811" s="23" t="s">
        <v>2185</v>
      </c>
      <c r="B811" s="23" t="s">
        <v>2171</v>
      </c>
      <c r="C811" s="24" t="s">
        <v>2172</v>
      </c>
      <c r="D811" s="25"/>
      <c r="E811" s="25" t="s">
        <v>2186</v>
      </c>
      <c r="F811" s="25" t="s">
        <v>59</v>
      </c>
      <c r="G811" s="26">
        <v>1</v>
      </c>
      <c r="H811" s="25"/>
      <c r="I811" s="26">
        <v>1176</v>
      </c>
      <c r="J811" s="27">
        <v>0</v>
      </c>
      <c r="K811" s="27">
        <v>963</v>
      </c>
      <c r="L811" s="27"/>
      <c r="M811" s="27">
        <v>0</v>
      </c>
      <c r="N811" s="27"/>
      <c r="O811" s="27"/>
      <c r="P811" s="27">
        <v>0</v>
      </c>
      <c r="Q811" s="27">
        <v>963</v>
      </c>
      <c r="R811" s="27"/>
      <c r="S811" s="27">
        <v>0</v>
      </c>
      <c r="T811" s="27"/>
      <c r="U811" s="27"/>
      <c r="V811" s="9"/>
      <c r="W811" s="9">
        <f>ROUND(Q811 / 1.2, 2)</f>
        <v>802.5</v>
      </c>
      <c r="X811" s="9" t="e">
        <f>ROUND(R811 / 1.2, 2)</f>
        <v>#VALUE!</v>
      </c>
      <c r="Y811" s="9"/>
      <c r="Z811" s="9" t="e">
        <f>ROUND(T811 / 1.2, 2)</f>
        <v>#VALUE!</v>
      </c>
      <c r="AA811" s="9"/>
      <c r="AD811" s="4">
        <v>281879777</v>
      </c>
      <c r="AE811" s="4">
        <v>20347727</v>
      </c>
      <c r="AG811" s="4" t="s">
        <v>2173</v>
      </c>
      <c r="AH811" s="4" t="s">
        <v>2174</v>
      </c>
      <c r="AI811" s="4"/>
    </row>
    <row r="812" spans="1:35" ht="18" x14ac:dyDescent="0.3">
      <c r="A812" s="17" t="s">
        <v>2187</v>
      </c>
      <c r="B812" s="17"/>
      <c r="C812" s="34" t="s">
        <v>2188</v>
      </c>
      <c r="D812" s="19"/>
      <c r="E812" s="19"/>
      <c r="F812" s="35" t="s">
        <v>59</v>
      </c>
      <c r="G812" s="36">
        <v>1.1000000000000001</v>
      </c>
      <c r="H812" s="19"/>
      <c r="I812" s="48">
        <v>0</v>
      </c>
      <c r="J812" s="38">
        <v>778.08</v>
      </c>
      <c r="K812" s="39"/>
      <c r="L812" s="39"/>
      <c r="M812" s="38">
        <f>ROUND(ROUND(J812, 2)*I812, 2)</f>
        <v>0</v>
      </c>
      <c r="N812" s="39"/>
      <c r="O812" s="39"/>
      <c r="P812" s="38">
        <v>778.08</v>
      </c>
      <c r="Q812" s="39"/>
      <c r="R812" s="39"/>
      <c r="S812" s="38">
        <f>ROUND(ROUND(P812, 2)*I812, 2)</f>
        <v>0</v>
      </c>
      <c r="T812" s="39"/>
      <c r="U812" s="40"/>
      <c r="V812" s="9">
        <f>ROUND(ROUND(P812, 2)/1.2, 2)</f>
        <v>648.4</v>
      </c>
      <c r="Y812" s="9">
        <f>ROUND(S812 / 1.2, 2)</f>
        <v>0</v>
      </c>
      <c r="AD812" s="4" t="s">
        <v>2189</v>
      </c>
      <c r="AE812" s="4" t="s">
        <v>2190</v>
      </c>
      <c r="AF812" s="4" t="s">
        <v>2191</v>
      </c>
    </row>
    <row r="813" spans="1:35" ht="18" x14ac:dyDescent="0.3">
      <c r="A813" s="23" t="s">
        <v>2192</v>
      </c>
      <c r="B813" s="23"/>
      <c r="C813" s="41" t="s">
        <v>2188</v>
      </c>
      <c r="D813" s="25"/>
      <c r="E813" s="25"/>
      <c r="F813" s="42" t="s">
        <v>59</v>
      </c>
      <c r="G813" s="43">
        <v>1.1000000000000001</v>
      </c>
      <c r="H813" s="25"/>
      <c r="I813" s="50">
        <v>1293.5999999999999</v>
      </c>
      <c r="J813" s="44">
        <v>778.08</v>
      </c>
      <c r="K813" s="45"/>
      <c r="L813" s="45"/>
      <c r="M813" s="44">
        <f>ROUND(ROUND(J813, 2)*I813, 2)</f>
        <v>1006524.29</v>
      </c>
      <c r="N813" s="45"/>
      <c r="O813" s="45"/>
      <c r="P813" s="44">
        <v>778.08</v>
      </c>
      <c r="Q813" s="45"/>
      <c r="R813" s="45"/>
      <c r="S813" s="44">
        <f>ROUND(ROUND(P813, 2)*I813, 2)</f>
        <v>1006524.29</v>
      </c>
      <c r="T813" s="45"/>
      <c r="U813" s="46"/>
      <c r="V813" s="9">
        <f>ROUND(ROUND(P813, 2)/1.2, 2)</f>
        <v>648.4</v>
      </c>
      <c r="Y813" s="9">
        <f>ROUND(S813 / 1.2, 2)</f>
        <v>838770.24</v>
      </c>
      <c r="AD813" s="4" t="s">
        <v>2193</v>
      </c>
      <c r="AE813" s="4" t="s">
        <v>2190</v>
      </c>
      <c r="AF813" s="4" t="s">
        <v>2191</v>
      </c>
    </row>
    <row r="814" spans="1:35" ht="36" x14ac:dyDescent="0.3">
      <c r="A814" s="17" t="s">
        <v>2194</v>
      </c>
      <c r="B814" s="17" t="s">
        <v>2171</v>
      </c>
      <c r="C814" s="18" t="s">
        <v>2172</v>
      </c>
      <c r="D814" s="19"/>
      <c r="E814" s="19"/>
      <c r="F814" s="19" t="s">
        <v>59</v>
      </c>
      <c r="G814" s="20">
        <v>1</v>
      </c>
      <c r="H814" s="19"/>
      <c r="I814" s="21">
        <v>0</v>
      </c>
      <c r="J814" s="22">
        <f>IFERROR(ROUND(SUM(M816)/I814, 2),0)</f>
        <v>0</v>
      </c>
      <c r="K814" s="22">
        <v>963</v>
      </c>
      <c r="L814" s="22">
        <f>J814+ROUND(K814, 2)</f>
        <v>963</v>
      </c>
      <c r="M814" s="22">
        <f>ROUND(J814*I814, 2)</f>
        <v>0</v>
      </c>
      <c r="N814" s="22">
        <f>ROUND(I814*ROUND(K814, 2), 2)</f>
        <v>0</v>
      </c>
      <c r="O814" s="22">
        <f>M814+N814</f>
        <v>0</v>
      </c>
      <c r="P814" s="22">
        <f>IFERROR(ROUND(SUM(S816)/I814, 2),0)</f>
        <v>0</v>
      </c>
      <c r="Q814" s="22">
        <v>963</v>
      </c>
      <c r="R814" s="22">
        <f>P814+ROUND(Q814, 2)</f>
        <v>963</v>
      </c>
      <c r="S814" s="22">
        <f>ROUND(P814*I814, 2)</f>
        <v>0</v>
      </c>
      <c r="T814" s="22">
        <f>ROUND(I814*ROUND(Q814, 2), 2)</f>
        <v>0</v>
      </c>
      <c r="U814" s="22">
        <f>S814+T814</f>
        <v>0</v>
      </c>
      <c r="V814" s="9">
        <f>ROUND(P814 / 1.2, 2)</f>
        <v>0</v>
      </c>
      <c r="W814" s="9">
        <f>ROUND(Q814 / 1.2, 2)</f>
        <v>802.5</v>
      </c>
      <c r="X814" s="9">
        <f>ROUND(R814 / 1.2, 2)</f>
        <v>802.5</v>
      </c>
      <c r="Y814" s="9">
        <f>ROUND(S814 / 1.2, 2)</f>
        <v>0</v>
      </c>
      <c r="Z814" s="9">
        <f>ROUND(T814 / 1.2, 2)</f>
        <v>0</v>
      </c>
      <c r="AA814" s="9">
        <f>Y814+Z814</f>
        <v>0</v>
      </c>
      <c r="AD814" s="4">
        <v>304337709</v>
      </c>
      <c r="AE814" s="4">
        <v>20347722</v>
      </c>
      <c r="AG814" s="4" t="s">
        <v>2173</v>
      </c>
      <c r="AH814" s="4" t="s">
        <v>2174</v>
      </c>
      <c r="AI814" s="4" t="s">
        <v>260</v>
      </c>
    </row>
    <row r="815" spans="1:35" ht="90" x14ac:dyDescent="0.3">
      <c r="A815" s="23" t="s">
        <v>2195</v>
      </c>
      <c r="B815" s="23" t="s">
        <v>2171</v>
      </c>
      <c r="C815" s="24" t="s">
        <v>2172</v>
      </c>
      <c r="D815" s="25"/>
      <c r="E815" s="25" t="s">
        <v>2196</v>
      </c>
      <c r="F815" s="25" t="s">
        <v>59</v>
      </c>
      <c r="G815" s="26">
        <v>1</v>
      </c>
      <c r="H815" s="25"/>
      <c r="I815" s="26">
        <v>21.5</v>
      </c>
      <c r="J815" s="27">
        <v>0</v>
      </c>
      <c r="K815" s="27">
        <v>963</v>
      </c>
      <c r="L815" s="27"/>
      <c r="M815" s="27">
        <v>0</v>
      </c>
      <c r="N815" s="27"/>
      <c r="O815" s="27"/>
      <c r="P815" s="27">
        <v>0</v>
      </c>
      <c r="Q815" s="27">
        <v>963</v>
      </c>
      <c r="R815" s="27"/>
      <c r="S815" s="27">
        <v>0</v>
      </c>
      <c r="T815" s="27"/>
      <c r="U815" s="27"/>
      <c r="V815" s="9"/>
      <c r="W815" s="9">
        <f>ROUND(Q815 / 1.2, 2)</f>
        <v>802.5</v>
      </c>
      <c r="X815" s="9" t="e">
        <f>ROUND(R815 / 1.2, 2)</f>
        <v>#VALUE!</v>
      </c>
      <c r="Y815" s="9"/>
      <c r="Z815" s="9" t="e">
        <f>ROUND(T815 / 1.2, 2)</f>
        <v>#VALUE!</v>
      </c>
      <c r="AA815" s="9"/>
      <c r="AD815" s="4">
        <v>275822536</v>
      </c>
      <c r="AE815" s="4">
        <v>20347722</v>
      </c>
      <c r="AG815" s="4" t="s">
        <v>2173</v>
      </c>
      <c r="AH815" s="4" t="s">
        <v>2174</v>
      </c>
      <c r="AI815" s="4"/>
    </row>
    <row r="816" spans="1:35" ht="18" x14ac:dyDescent="0.3">
      <c r="A816" s="17" t="s">
        <v>2197</v>
      </c>
      <c r="B816" s="17"/>
      <c r="C816" s="34" t="s">
        <v>2188</v>
      </c>
      <c r="D816" s="19"/>
      <c r="E816" s="19"/>
      <c r="F816" s="35" t="s">
        <v>59</v>
      </c>
      <c r="G816" s="36">
        <v>1.1000000000000001</v>
      </c>
      <c r="H816" s="19"/>
      <c r="I816" s="48">
        <v>0</v>
      </c>
      <c r="J816" s="38">
        <v>778.08</v>
      </c>
      <c r="K816" s="39"/>
      <c r="L816" s="39"/>
      <c r="M816" s="38">
        <f>ROUND(ROUND(J816, 2)*I816, 2)</f>
        <v>0</v>
      </c>
      <c r="N816" s="39"/>
      <c r="O816" s="39"/>
      <c r="P816" s="38">
        <v>778.08</v>
      </c>
      <c r="Q816" s="39"/>
      <c r="R816" s="39"/>
      <c r="S816" s="38">
        <f>ROUND(ROUND(P816, 2)*I816, 2)</f>
        <v>0</v>
      </c>
      <c r="T816" s="39"/>
      <c r="U816" s="40"/>
      <c r="V816" s="9">
        <f>ROUND(ROUND(P816, 2)/1.2, 2)</f>
        <v>648.4</v>
      </c>
      <c r="Y816" s="9">
        <f>ROUND(S816 / 1.2, 2)</f>
        <v>0</v>
      </c>
      <c r="AD816" s="4" t="s">
        <v>2198</v>
      </c>
      <c r="AE816" s="4" t="s">
        <v>2199</v>
      </c>
      <c r="AF816" s="4" t="s">
        <v>2191</v>
      </c>
    </row>
    <row r="817" spans="1:35" ht="18" x14ac:dyDescent="0.3">
      <c r="A817" s="23" t="s">
        <v>2200</v>
      </c>
      <c r="B817" s="23"/>
      <c r="C817" s="41" t="s">
        <v>2188</v>
      </c>
      <c r="D817" s="25"/>
      <c r="E817" s="25"/>
      <c r="F817" s="42" t="s">
        <v>59</v>
      </c>
      <c r="G817" s="43">
        <v>1.1000000000000001</v>
      </c>
      <c r="H817" s="25"/>
      <c r="I817" s="50">
        <v>23.65</v>
      </c>
      <c r="J817" s="44">
        <v>778.08</v>
      </c>
      <c r="K817" s="45"/>
      <c r="L817" s="45"/>
      <c r="M817" s="44">
        <f>ROUND(ROUND(J817, 2)*I817, 2)</f>
        <v>18401.59</v>
      </c>
      <c r="N817" s="45"/>
      <c r="O817" s="45"/>
      <c r="P817" s="44">
        <v>778.08</v>
      </c>
      <c r="Q817" s="45"/>
      <c r="R817" s="45"/>
      <c r="S817" s="44">
        <f>ROUND(ROUND(P817, 2)*I817, 2)</f>
        <v>18401.59</v>
      </c>
      <c r="T817" s="45"/>
      <c r="U817" s="46"/>
      <c r="V817" s="9">
        <f>ROUND(ROUND(P817, 2)/1.2, 2)</f>
        <v>648.4</v>
      </c>
      <c r="Y817" s="9">
        <f>ROUND(S817 / 1.2, 2)</f>
        <v>15334.66</v>
      </c>
      <c r="AD817" s="4" t="s">
        <v>2201</v>
      </c>
      <c r="AE817" s="4" t="s">
        <v>2199</v>
      </c>
      <c r="AF817" s="4" t="s">
        <v>2191</v>
      </c>
    </row>
    <row r="818" spans="1:35" ht="36" x14ac:dyDescent="0.3">
      <c r="A818" s="17" t="s">
        <v>2202</v>
      </c>
      <c r="B818" s="17" t="s">
        <v>2171</v>
      </c>
      <c r="C818" s="18" t="s">
        <v>2172</v>
      </c>
      <c r="D818" s="19"/>
      <c r="E818" s="19"/>
      <c r="F818" s="19" t="s">
        <v>59</v>
      </c>
      <c r="G818" s="20">
        <v>1</v>
      </c>
      <c r="H818" s="19"/>
      <c r="I818" s="21">
        <v>0</v>
      </c>
      <c r="J818" s="22">
        <f>IFERROR(ROUND(SUM(M820)/I818, 2),0)</f>
        <v>0</v>
      </c>
      <c r="K818" s="22">
        <v>963</v>
      </c>
      <c r="L818" s="22">
        <f>J818+ROUND(K818, 2)</f>
        <v>963</v>
      </c>
      <c r="M818" s="22">
        <f>ROUND(J818*I818, 2)</f>
        <v>0</v>
      </c>
      <c r="N818" s="22">
        <f>ROUND(I818*ROUND(K818, 2), 2)</f>
        <v>0</v>
      </c>
      <c r="O818" s="22">
        <f>M818+N818</f>
        <v>0</v>
      </c>
      <c r="P818" s="22">
        <f>IFERROR(ROUND(SUM(S820)/I818, 2),0)</f>
        <v>0</v>
      </c>
      <c r="Q818" s="22">
        <v>963</v>
      </c>
      <c r="R818" s="22">
        <f>P818+ROUND(Q818, 2)</f>
        <v>963</v>
      </c>
      <c r="S818" s="22">
        <f>ROUND(P818*I818, 2)</f>
        <v>0</v>
      </c>
      <c r="T818" s="22">
        <f>ROUND(I818*ROUND(Q818, 2), 2)</f>
        <v>0</v>
      </c>
      <c r="U818" s="22">
        <f>S818+T818</f>
        <v>0</v>
      </c>
      <c r="V818" s="9">
        <f>ROUND(P818 / 1.2, 2)</f>
        <v>0</v>
      </c>
      <c r="W818" s="9">
        <f>ROUND(Q818 / 1.2, 2)</f>
        <v>802.5</v>
      </c>
      <c r="X818" s="9">
        <f>ROUND(R818 / 1.2, 2)</f>
        <v>802.5</v>
      </c>
      <c r="Y818" s="9">
        <f>ROUND(S818 / 1.2, 2)</f>
        <v>0</v>
      </c>
      <c r="Z818" s="9">
        <f>ROUND(T818 / 1.2, 2)</f>
        <v>0</v>
      </c>
      <c r="AA818" s="9">
        <f>Y818+Z818</f>
        <v>0</v>
      </c>
      <c r="AD818" s="4">
        <v>304337710</v>
      </c>
      <c r="AE818" s="4">
        <v>21107984</v>
      </c>
      <c r="AG818" s="4" t="s">
        <v>2173</v>
      </c>
      <c r="AH818" s="4" t="s">
        <v>2174</v>
      </c>
      <c r="AI818" s="4" t="s">
        <v>260</v>
      </c>
    </row>
    <row r="819" spans="1:35" ht="198" x14ac:dyDescent="0.3">
      <c r="A819" s="23" t="s">
        <v>2203</v>
      </c>
      <c r="B819" s="23" t="s">
        <v>2171</v>
      </c>
      <c r="C819" s="24" t="s">
        <v>2172</v>
      </c>
      <c r="D819" s="25"/>
      <c r="E819" s="25" t="s">
        <v>2204</v>
      </c>
      <c r="F819" s="25" t="s">
        <v>59</v>
      </c>
      <c r="G819" s="26">
        <v>1</v>
      </c>
      <c r="H819" s="25"/>
      <c r="I819" s="26">
        <v>63.6</v>
      </c>
      <c r="J819" s="27">
        <v>0</v>
      </c>
      <c r="K819" s="27">
        <v>963</v>
      </c>
      <c r="L819" s="27"/>
      <c r="M819" s="27">
        <v>0</v>
      </c>
      <c r="N819" s="27"/>
      <c r="O819" s="27"/>
      <c r="P819" s="27">
        <v>0</v>
      </c>
      <c r="Q819" s="27">
        <v>963</v>
      </c>
      <c r="R819" s="27"/>
      <c r="S819" s="27">
        <v>0</v>
      </c>
      <c r="T819" s="27"/>
      <c r="U819" s="27"/>
      <c r="V819" s="9"/>
      <c r="W819" s="9">
        <f>ROUND(Q819 / 1.2, 2)</f>
        <v>802.5</v>
      </c>
      <c r="X819" s="9" t="e">
        <f>ROUND(R819 / 1.2, 2)</f>
        <v>#VALUE!</v>
      </c>
      <c r="Y819" s="9"/>
      <c r="Z819" s="9" t="e">
        <f>ROUND(T819 / 1.2, 2)</f>
        <v>#VALUE!</v>
      </c>
      <c r="AA819" s="9"/>
      <c r="AD819" s="4">
        <v>281967466</v>
      </c>
      <c r="AE819" s="4">
        <v>21107984</v>
      </c>
      <c r="AG819" s="4" t="s">
        <v>2173</v>
      </c>
      <c r="AH819" s="4" t="s">
        <v>2174</v>
      </c>
      <c r="AI819" s="4"/>
    </row>
    <row r="820" spans="1:35" ht="18" x14ac:dyDescent="0.3">
      <c r="A820" s="17" t="s">
        <v>2205</v>
      </c>
      <c r="B820" s="17"/>
      <c r="C820" s="34" t="s">
        <v>2206</v>
      </c>
      <c r="D820" s="19"/>
      <c r="E820" s="19"/>
      <c r="F820" s="35" t="s">
        <v>59</v>
      </c>
      <c r="G820" s="36">
        <v>1</v>
      </c>
      <c r="H820" s="19"/>
      <c r="I820" s="48">
        <v>0</v>
      </c>
      <c r="J820" s="38">
        <v>0</v>
      </c>
      <c r="K820" s="39"/>
      <c r="L820" s="39"/>
      <c r="M820" s="38">
        <f>ROUND(ROUND(J820, 2)*I820, 2)</f>
        <v>0</v>
      </c>
      <c r="N820" s="39"/>
      <c r="O820" s="39"/>
      <c r="P820" s="38">
        <v>855</v>
      </c>
      <c r="Q820" s="39"/>
      <c r="R820" s="39"/>
      <c r="S820" s="38">
        <f>ROUND(ROUND(P820, 2)*I820, 2)</f>
        <v>0</v>
      </c>
      <c r="T820" s="39"/>
      <c r="U820" s="40"/>
      <c r="V820" s="9">
        <f>ROUND(ROUND(P820, 2)/1.2, 2)</f>
        <v>712.5</v>
      </c>
      <c r="Y820" s="9">
        <f t="shared" ref="Y820:Y829" si="145">ROUND(S820 / 1.2, 2)</f>
        <v>0</v>
      </c>
      <c r="AD820" s="4" t="s">
        <v>2207</v>
      </c>
      <c r="AE820" s="4" t="s">
        <v>2208</v>
      </c>
      <c r="AF820" s="4" t="s">
        <v>2209</v>
      </c>
    </row>
    <row r="821" spans="1:35" ht="18" x14ac:dyDescent="0.3">
      <c r="A821" s="23" t="s">
        <v>2210</v>
      </c>
      <c r="B821" s="23"/>
      <c r="C821" s="41" t="s">
        <v>2206</v>
      </c>
      <c r="D821" s="25"/>
      <c r="E821" s="25"/>
      <c r="F821" s="42" t="s">
        <v>59</v>
      </c>
      <c r="G821" s="43">
        <v>1</v>
      </c>
      <c r="H821" s="25"/>
      <c r="I821" s="50">
        <v>63.6</v>
      </c>
      <c r="J821" s="44">
        <v>0</v>
      </c>
      <c r="K821" s="45"/>
      <c r="L821" s="45"/>
      <c r="M821" s="44">
        <f>ROUND(ROUND(J821, 2)*I821, 2)</f>
        <v>0</v>
      </c>
      <c r="N821" s="45"/>
      <c r="O821" s="45"/>
      <c r="P821" s="44">
        <v>855</v>
      </c>
      <c r="Q821" s="45"/>
      <c r="R821" s="45"/>
      <c r="S821" s="44">
        <f>ROUND(ROUND(P821, 2)*I821, 2)</f>
        <v>54378</v>
      </c>
      <c r="T821" s="45"/>
      <c r="U821" s="46"/>
      <c r="V821" s="9">
        <f>ROUND(ROUND(P821, 2)/1.2, 2)</f>
        <v>712.5</v>
      </c>
      <c r="Y821" s="9">
        <f t="shared" si="145"/>
        <v>45315</v>
      </c>
      <c r="AD821" s="4" t="s">
        <v>2211</v>
      </c>
      <c r="AE821" s="4" t="s">
        <v>2208</v>
      </c>
      <c r="AF821" s="4" t="s">
        <v>2209</v>
      </c>
    </row>
    <row r="822" spans="1:35" ht="54" x14ac:dyDescent="0.3">
      <c r="A822" s="51" t="s">
        <v>2212</v>
      </c>
      <c r="B822" s="51" t="s">
        <v>2171</v>
      </c>
      <c r="C822" s="52" t="s">
        <v>2172</v>
      </c>
      <c r="D822" s="53"/>
      <c r="E822" s="53" t="s">
        <v>2176</v>
      </c>
      <c r="F822" s="53" t="s">
        <v>59</v>
      </c>
      <c r="G822" s="54">
        <v>1</v>
      </c>
      <c r="H822" s="53"/>
      <c r="I822" s="54">
        <v>716.1</v>
      </c>
      <c r="J822" s="55">
        <f>IFERROR(ROUND(SUM(M823)/I822, 2),0)</f>
        <v>902.99</v>
      </c>
      <c r="K822" s="55">
        <v>963</v>
      </c>
      <c r="L822" s="55">
        <f>J822+ROUND(K822, 2)</f>
        <v>1865.99</v>
      </c>
      <c r="M822" s="55">
        <f>ROUND(J822*I822, 2)</f>
        <v>646631.14</v>
      </c>
      <c r="N822" s="55">
        <f>ROUND(I822*ROUND(K822, 2), 2)</f>
        <v>689604.3</v>
      </c>
      <c r="O822" s="55">
        <f>M822+N822</f>
        <v>1336235.44</v>
      </c>
      <c r="P822" s="55">
        <f>IFERROR(ROUND(SUM(S823)/I822, 2),0)</f>
        <v>902.98</v>
      </c>
      <c r="Q822" s="55">
        <v>1444.5</v>
      </c>
      <c r="R822" s="55">
        <f>P822+ROUND(Q822, 2)</f>
        <v>2347.48</v>
      </c>
      <c r="S822" s="55">
        <f>ROUND(P822*I822, 2)</f>
        <v>646623.98</v>
      </c>
      <c r="T822" s="55">
        <f>ROUND(I822*ROUND(Q822, 2), 2)</f>
        <v>1034406.45</v>
      </c>
      <c r="U822" s="55">
        <f>S822+T822</f>
        <v>1681030.43</v>
      </c>
      <c r="V822" s="9">
        <f>ROUND(P822 / 1.2, 2)</f>
        <v>752.48</v>
      </c>
      <c r="W822" s="9">
        <f>ROUND(Q822 / 1.2, 2)</f>
        <v>1203.75</v>
      </c>
      <c r="X822" s="9">
        <f>ROUND(R822 / 1.2, 2)</f>
        <v>1956.23</v>
      </c>
      <c r="Y822" s="9">
        <f t="shared" si="145"/>
        <v>538853.31999999995</v>
      </c>
      <c r="Z822" s="9">
        <f>ROUND(T822 / 1.2, 2)</f>
        <v>862005.38</v>
      </c>
      <c r="AA822" s="9">
        <f>Y822+Z822</f>
        <v>1400858.7</v>
      </c>
      <c r="AD822" s="4">
        <v>304337711</v>
      </c>
      <c r="AE822" s="4">
        <v>21950039</v>
      </c>
      <c r="AG822" s="4" t="s">
        <v>2173</v>
      </c>
      <c r="AH822" s="4" t="s">
        <v>2174</v>
      </c>
      <c r="AI822" s="4" t="s">
        <v>260</v>
      </c>
    </row>
    <row r="823" spans="1:35" ht="36" x14ac:dyDescent="0.3">
      <c r="A823" s="51" t="s">
        <v>2213</v>
      </c>
      <c r="B823" s="51"/>
      <c r="C823" s="47" t="s">
        <v>2178</v>
      </c>
      <c r="D823" s="53"/>
      <c r="E823" s="53"/>
      <c r="F823" s="57" t="s">
        <v>59</v>
      </c>
      <c r="G823" s="58">
        <v>1.1000000000000001</v>
      </c>
      <c r="H823" s="53"/>
      <c r="I823" s="62">
        <v>787.71</v>
      </c>
      <c r="J823" s="59">
        <v>820.9</v>
      </c>
      <c r="K823" s="60"/>
      <c r="L823" s="60"/>
      <c r="M823" s="59">
        <f>ROUND(ROUND(J823, 2)*I823, 2)</f>
        <v>646631.14</v>
      </c>
      <c r="N823" s="60"/>
      <c r="O823" s="60"/>
      <c r="P823" s="59">
        <v>820.89</v>
      </c>
      <c r="Q823" s="60"/>
      <c r="R823" s="60"/>
      <c r="S823" s="59">
        <f>ROUND(ROUND(P823, 2)*I823, 2)</f>
        <v>646623.26</v>
      </c>
      <c r="T823" s="60"/>
      <c r="U823" s="61"/>
      <c r="V823" s="9">
        <f>ROUND(ROUND(P823, 2)/1.2, 2)</f>
        <v>684.08</v>
      </c>
      <c r="Y823" s="9">
        <f t="shared" si="145"/>
        <v>538852.72</v>
      </c>
      <c r="AD823" s="4" t="s">
        <v>2214</v>
      </c>
      <c r="AE823" s="4" t="s">
        <v>2215</v>
      </c>
      <c r="AF823" s="4" t="s">
        <v>2181</v>
      </c>
    </row>
    <row r="824" spans="1:35" ht="72" x14ac:dyDescent="0.3">
      <c r="A824" s="51" t="s">
        <v>2216</v>
      </c>
      <c r="B824" s="51" t="s">
        <v>2171</v>
      </c>
      <c r="C824" s="52" t="s">
        <v>2172</v>
      </c>
      <c r="D824" s="53"/>
      <c r="E824" s="53" t="s">
        <v>2186</v>
      </c>
      <c r="F824" s="53" t="s">
        <v>59</v>
      </c>
      <c r="G824" s="54">
        <v>1</v>
      </c>
      <c r="H824" s="53"/>
      <c r="I824" s="54">
        <v>1176</v>
      </c>
      <c r="J824" s="55">
        <f>IFERROR(ROUND(SUM(M825)/I824, 2),0)</f>
        <v>855.89</v>
      </c>
      <c r="K824" s="55">
        <v>963</v>
      </c>
      <c r="L824" s="55">
        <f>J824+ROUND(K824, 2)</f>
        <v>1818.89</v>
      </c>
      <c r="M824" s="55">
        <f>ROUND(J824*I824, 2)</f>
        <v>1006526.64</v>
      </c>
      <c r="N824" s="55">
        <f>ROUND(I824*ROUND(K824, 2), 2)</f>
        <v>1132488</v>
      </c>
      <c r="O824" s="55">
        <f>M824+N824</f>
        <v>2139014.64</v>
      </c>
      <c r="P824" s="55">
        <f>IFERROR(ROUND(SUM(S825)/I824, 2),0)</f>
        <v>855.89</v>
      </c>
      <c r="Q824" s="55">
        <v>1444.5</v>
      </c>
      <c r="R824" s="55">
        <f>P824+ROUND(Q824, 2)</f>
        <v>2300.39</v>
      </c>
      <c r="S824" s="55">
        <f>ROUND(P824*I824, 2)</f>
        <v>1006526.64</v>
      </c>
      <c r="T824" s="55">
        <f>ROUND(I824*ROUND(Q824, 2), 2)</f>
        <v>1698732</v>
      </c>
      <c r="U824" s="55">
        <f>S824+T824</f>
        <v>2705258.64</v>
      </c>
      <c r="V824" s="9">
        <f>ROUND(P824 / 1.2, 2)</f>
        <v>713.24</v>
      </c>
      <c r="W824" s="9">
        <f>ROUND(Q824 / 1.2, 2)</f>
        <v>1203.75</v>
      </c>
      <c r="X824" s="9">
        <f>ROUND(R824 / 1.2, 2)</f>
        <v>1916.99</v>
      </c>
      <c r="Y824" s="9">
        <f t="shared" si="145"/>
        <v>838772.2</v>
      </c>
      <c r="Z824" s="9">
        <f>ROUND(T824 / 1.2, 2)</f>
        <v>1415610</v>
      </c>
      <c r="AA824" s="9">
        <f>Y824+Z824</f>
        <v>2254382.2000000002</v>
      </c>
      <c r="AD824" s="4">
        <v>304337712</v>
      </c>
      <c r="AE824" s="4">
        <v>21950040</v>
      </c>
      <c r="AG824" s="4" t="s">
        <v>2173</v>
      </c>
      <c r="AH824" s="4" t="s">
        <v>2174</v>
      </c>
      <c r="AI824" s="4" t="s">
        <v>260</v>
      </c>
    </row>
    <row r="825" spans="1:35" ht="18" x14ac:dyDescent="0.3">
      <c r="A825" s="51" t="s">
        <v>2217</v>
      </c>
      <c r="B825" s="51"/>
      <c r="C825" s="47" t="s">
        <v>2188</v>
      </c>
      <c r="D825" s="53"/>
      <c r="E825" s="53"/>
      <c r="F825" s="57" t="s">
        <v>59</v>
      </c>
      <c r="G825" s="58">
        <v>1.1000000000000001</v>
      </c>
      <c r="H825" s="53"/>
      <c r="I825" s="62">
        <v>1293.5999999999999</v>
      </c>
      <c r="J825" s="59">
        <v>778.08</v>
      </c>
      <c r="K825" s="60"/>
      <c r="L825" s="60"/>
      <c r="M825" s="59">
        <f>ROUND(ROUND(J825, 2)*I825, 2)</f>
        <v>1006524.29</v>
      </c>
      <c r="N825" s="60"/>
      <c r="O825" s="60"/>
      <c r="P825" s="59">
        <v>778.08</v>
      </c>
      <c r="Q825" s="60"/>
      <c r="R825" s="60"/>
      <c r="S825" s="59">
        <f>ROUND(ROUND(P825, 2)*I825, 2)</f>
        <v>1006524.29</v>
      </c>
      <c r="T825" s="60"/>
      <c r="U825" s="61"/>
      <c r="V825" s="9">
        <f>ROUND(ROUND(P825, 2)/1.2, 2)</f>
        <v>648.4</v>
      </c>
      <c r="Y825" s="9">
        <f t="shared" si="145"/>
        <v>838770.24</v>
      </c>
      <c r="AD825" s="4" t="s">
        <v>2218</v>
      </c>
      <c r="AE825" s="4" t="s">
        <v>2219</v>
      </c>
      <c r="AF825" s="4" t="s">
        <v>2191</v>
      </c>
    </row>
    <row r="826" spans="1:35" ht="90" x14ac:dyDescent="0.3">
      <c r="A826" s="51" t="s">
        <v>2220</v>
      </c>
      <c r="B826" s="51" t="s">
        <v>2171</v>
      </c>
      <c r="C826" s="52" t="s">
        <v>2172</v>
      </c>
      <c r="D826" s="53"/>
      <c r="E826" s="53" t="s">
        <v>2196</v>
      </c>
      <c r="F826" s="53" t="s">
        <v>59</v>
      </c>
      <c r="G826" s="54">
        <v>1</v>
      </c>
      <c r="H826" s="53"/>
      <c r="I826" s="54">
        <v>21.5</v>
      </c>
      <c r="J826" s="55">
        <f>IFERROR(ROUND(SUM(M827)/I826, 2),0)</f>
        <v>855.89</v>
      </c>
      <c r="K826" s="55">
        <v>963</v>
      </c>
      <c r="L826" s="55">
        <f>J826+ROUND(K826, 2)</f>
        <v>1818.89</v>
      </c>
      <c r="M826" s="55">
        <f>ROUND(J826*I826, 2)</f>
        <v>18401.64</v>
      </c>
      <c r="N826" s="55">
        <f>ROUND(I826*ROUND(K826, 2), 2)</f>
        <v>20704.5</v>
      </c>
      <c r="O826" s="55">
        <f>M826+N826</f>
        <v>39106.14</v>
      </c>
      <c r="P826" s="55">
        <f>IFERROR(ROUND(SUM(S827)/I826, 2),0)</f>
        <v>855.89</v>
      </c>
      <c r="Q826" s="55">
        <v>1444.5</v>
      </c>
      <c r="R826" s="55">
        <f>P826+ROUND(Q826, 2)</f>
        <v>2300.39</v>
      </c>
      <c r="S826" s="55">
        <f>ROUND(P826*I826, 2)</f>
        <v>18401.64</v>
      </c>
      <c r="T826" s="55">
        <f>ROUND(I826*ROUND(Q826, 2), 2)</f>
        <v>31056.75</v>
      </c>
      <c r="U826" s="55">
        <f>S826+T826</f>
        <v>49458.39</v>
      </c>
      <c r="V826" s="9">
        <f>ROUND(P826 / 1.2, 2)</f>
        <v>713.24</v>
      </c>
      <c r="W826" s="9">
        <f>ROUND(Q826 / 1.2, 2)</f>
        <v>1203.75</v>
      </c>
      <c r="X826" s="9">
        <f>ROUND(R826 / 1.2, 2)</f>
        <v>1916.99</v>
      </c>
      <c r="Y826" s="9">
        <f t="shared" si="145"/>
        <v>15334.7</v>
      </c>
      <c r="Z826" s="9">
        <f>ROUND(T826 / 1.2, 2)</f>
        <v>25880.63</v>
      </c>
      <c r="AA826" s="9">
        <f>Y826+Z826</f>
        <v>41215.33</v>
      </c>
      <c r="AD826" s="4">
        <v>304337713</v>
      </c>
      <c r="AE826" s="4">
        <v>21950035</v>
      </c>
      <c r="AG826" s="4" t="s">
        <v>2173</v>
      </c>
      <c r="AH826" s="4" t="s">
        <v>2174</v>
      </c>
      <c r="AI826" s="4" t="s">
        <v>260</v>
      </c>
    </row>
    <row r="827" spans="1:35" ht="18" x14ac:dyDescent="0.3">
      <c r="A827" s="51" t="s">
        <v>2221</v>
      </c>
      <c r="B827" s="51"/>
      <c r="C827" s="47" t="s">
        <v>2188</v>
      </c>
      <c r="D827" s="53"/>
      <c r="E827" s="53"/>
      <c r="F827" s="57" t="s">
        <v>59</v>
      </c>
      <c r="G827" s="58">
        <v>1.1000000000000001</v>
      </c>
      <c r="H827" s="53"/>
      <c r="I827" s="62">
        <v>23.65</v>
      </c>
      <c r="J827" s="59">
        <v>778.08</v>
      </c>
      <c r="K827" s="60"/>
      <c r="L827" s="60"/>
      <c r="M827" s="59">
        <f>ROUND(ROUND(J827, 2)*I827, 2)</f>
        <v>18401.59</v>
      </c>
      <c r="N827" s="60"/>
      <c r="O827" s="60"/>
      <c r="P827" s="59">
        <v>778.08</v>
      </c>
      <c r="Q827" s="60"/>
      <c r="R827" s="60"/>
      <c r="S827" s="59">
        <f>ROUND(ROUND(P827, 2)*I827, 2)</f>
        <v>18401.59</v>
      </c>
      <c r="T827" s="60"/>
      <c r="U827" s="61"/>
      <c r="V827" s="9">
        <f>ROUND(ROUND(P827, 2)/1.2, 2)</f>
        <v>648.4</v>
      </c>
      <c r="Y827" s="9">
        <f t="shared" si="145"/>
        <v>15334.66</v>
      </c>
      <c r="AD827" s="4" t="s">
        <v>2222</v>
      </c>
      <c r="AE827" s="4" t="s">
        <v>2223</v>
      </c>
      <c r="AF827" s="4" t="s">
        <v>2191</v>
      </c>
    </row>
    <row r="828" spans="1:35" ht="198" x14ac:dyDescent="0.3">
      <c r="A828" s="51" t="s">
        <v>2224</v>
      </c>
      <c r="B828" s="51" t="s">
        <v>2171</v>
      </c>
      <c r="C828" s="52" t="s">
        <v>2172</v>
      </c>
      <c r="D828" s="53"/>
      <c r="E828" s="53" t="s">
        <v>2204</v>
      </c>
      <c r="F828" s="53" t="s">
        <v>59</v>
      </c>
      <c r="G828" s="54">
        <v>1</v>
      </c>
      <c r="H828" s="53"/>
      <c r="I828" s="54">
        <v>63.6</v>
      </c>
      <c r="J828" s="55">
        <f>IFERROR(ROUND(SUM(M829)/I828, 2),0)</f>
        <v>0</v>
      </c>
      <c r="K828" s="55">
        <v>963</v>
      </c>
      <c r="L828" s="55">
        <f>J828+ROUND(K828, 2)</f>
        <v>963</v>
      </c>
      <c r="M828" s="55">
        <f>ROUND(J828*I828, 2)</f>
        <v>0</v>
      </c>
      <c r="N828" s="55">
        <f>ROUND(I828*ROUND(K828, 2), 2)</f>
        <v>61246.8</v>
      </c>
      <c r="O828" s="55">
        <f>M828+N828</f>
        <v>61246.8</v>
      </c>
      <c r="P828" s="55">
        <f>IFERROR(ROUND(SUM(S829)/I828, 2),0)</f>
        <v>855</v>
      </c>
      <c r="Q828" s="55">
        <v>1444.5</v>
      </c>
      <c r="R828" s="55">
        <f>P828+ROUND(Q828, 2)</f>
        <v>2299.5</v>
      </c>
      <c r="S828" s="55">
        <f>ROUND(P828*I828, 2)</f>
        <v>54378</v>
      </c>
      <c r="T828" s="55">
        <f>ROUND(I828*ROUND(Q828, 2), 2)</f>
        <v>91870.2</v>
      </c>
      <c r="U828" s="55">
        <f>S828+T828</f>
        <v>146248.20000000001</v>
      </c>
      <c r="V828" s="9">
        <f>ROUND(P828 / 1.2, 2)</f>
        <v>712.5</v>
      </c>
      <c r="W828" s="9">
        <f>ROUND(Q828 / 1.2, 2)</f>
        <v>1203.75</v>
      </c>
      <c r="X828" s="9">
        <f>ROUND(R828 / 1.2, 2)</f>
        <v>1916.25</v>
      </c>
      <c r="Y828" s="9">
        <f t="shared" si="145"/>
        <v>45315</v>
      </c>
      <c r="Z828" s="9">
        <f>ROUND(T828 / 1.2, 2)</f>
        <v>76558.5</v>
      </c>
      <c r="AA828" s="9">
        <f>Y828+Z828</f>
        <v>121873.5</v>
      </c>
      <c r="AD828" s="4">
        <v>304337714</v>
      </c>
      <c r="AE828" s="4">
        <v>21950033</v>
      </c>
      <c r="AG828" s="4" t="s">
        <v>2173</v>
      </c>
      <c r="AH828" s="4" t="s">
        <v>2174</v>
      </c>
      <c r="AI828" s="4" t="s">
        <v>260</v>
      </c>
    </row>
    <row r="829" spans="1:35" ht="18" x14ac:dyDescent="0.3">
      <c r="A829" s="51" t="s">
        <v>2225</v>
      </c>
      <c r="B829" s="51"/>
      <c r="C829" s="56" t="s">
        <v>2206</v>
      </c>
      <c r="D829" s="53"/>
      <c r="E829" s="53"/>
      <c r="F829" s="57" t="s">
        <v>59</v>
      </c>
      <c r="G829" s="58">
        <v>1</v>
      </c>
      <c r="H829" s="53"/>
      <c r="I829" s="62">
        <v>63.6</v>
      </c>
      <c r="J829" s="59">
        <v>0</v>
      </c>
      <c r="K829" s="60"/>
      <c r="L829" s="60"/>
      <c r="M829" s="59">
        <f>ROUND(ROUND(J829, 2)*I829, 2)</f>
        <v>0</v>
      </c>
      <c r="N829" s="60"/>
      <c r="O829" s="60"/>
      <c r="P829" s="59">
        <v>855</v>
      </c>
      <c r="Q829" s="60"/>
      <c r="R829" s="60"/>
      <c r="S829" s="59">
        <f>ROUND(ROUND(P829, 2)*I829, 2)</f>
        <v>54378</v>
      </c>
      <c r="T829" s="60"/>
      <c r="U829" s="61"/>
      <c r="V829" s="9">
        <f>ROUND(ROUND(P829, 2)/1.2, 2)</f>
        <v>712.5</v>
      </c>
      <c r="Y829" s="9">
        <f t="shared" si="145"/>
        <v>45315</v>
      </c>
      <c r="AD829" s="4" t="s">
        <v>2226</v>
      </c>
      <c r="AE829" s="4" t="s">
        <v>2227</v>
      </c>
      <c r="AF829" s="4" t="s">
        <v>2209</v>
      </c>
    </row>
    <row r="830" spans="1:35" ht="24" customHeight="1" x14ac:dyDescent="0.3">
      <c r="A830" s="67"/>
      <c r="B830" s="67"/>
      <c r="C830" s="67"/>
      <c r="D830" s="68" t="s">
        <v>2228</v>
      </c>
      <c r="E830" s="67"/>
      <c r="F830" s="67"/>
      <c r="G830" s="67"/>
      <c r="H830" s="67"/>
      <c r="I830" s="67"/>
      <c r="J830" s="67"/>
      <c r="K830" s="67"/>
      <c r="L830" s="67"/>
      <c r="M830" s="69">
        <f>SUM(M8)</f>
        <v>23958071.489999998</v>
      </c>
      <c r="N830" s="69">
        <f>SUM(N8)</f>
        <v>31630464.809999999</v>
      </c>
      <c r="O830" s="69">
        <f>M830+N830</f>
        <v>55588536.299999997</v>
      </c>
      <c r="P830" s="67"/>
      <c r="Q830" s="67"/>
      <c r="R830" s="67"/>
      <c r="S830" s="69">
        <f>SUM(S8)</f>
        <v>22896107.140000001</v>
      </c>
      <c r="T830" s="69">
        <f>SUM(T8)</f>
        <v>47445697.219999999</v>
      </c>
      <c r="U830" s="69">
        <f>S830+T830</f>
        <v>70341804.359999999</v>
      </c>
      <c r="Y830" s="9">
        <f>SUM(Y8)</f>
        <v>19080089.32</v>
      </c>
      <c r="Z830" s="9">
        <f>SUM(Z8)</f>
        <v>39538081.100000001</v>
      </c>
      <c r="AA830" s="9">
        <f>Y830+Z830</f>
        <v>58618170.420000002</v>
      </c>
    </row>
  </sheetData>
  <sheetProtection password="C644" sheet="1" formatColumns="0" autoFilter="0"/>
  <autoFilter ref="A7:U7"/>
  <mergeCells count="44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75:I75"/>
    <mergeCell ref="C76:I76"/>
    <mergeCell ref="C77:I77"/>
    <mergeCell ref="C78:I78"/>
    <mergeCell ref="C79:I79"/>
    <mergeCell ref="C373:I373"/>
    <mergeCell ref="C666:I666"/>
    <mergeCell ref="C685:I685"/>
    <mergeCell ref="C725:I725"/>
    <mergeCell ref="C380:I380"/>
    <mergeCell ref="C381:I381"/>
    <mergeCell ref="C391:I391"/>
    <mergeCell ref="C634:I634"/>
    <mergeCell ref="C665:I6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zoomScale="53" zoomScaleNormal="53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63" t="s">
        <v>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</row>
    <row r="3" spans="1:35" ht="15" customHeight="1" x14ac:dyDescent="0.3">
      <c r="A3" s="164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</row>
    <row r="4" spans="1:35" ht="15" customHeight="1" x14ac:dyDescent="0.3">
      <c r="A4" s="165" t="s">
        <v>6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</row>
    <row r="5" spans="1:35" ht="40.799999999999997" customHeight="1" x14ac:dyDescent="0.3">
      <c r="A5" s="158" t="s">
        <v>23</v>
      </c>
      <c r="B5" s="158" t="s">
        <v>24</v>
      </c>
      <c r="C5" s="158" t="s">
        <v>25</v>
      </c>
      <c r="D5" s="158" t="s">
        <v>26</v>
      </c>
      <c r="E5" s="158" t="s">
        <v>27</v>
      </c>
      <c r="F5" s="158" t="s">
        <v>28</v>
      </c>
      <c r="G5" s="158" t="s">
        <v>29</v>
      </c>
      <c r="H5" s="158" t="s">
        <v>30</v>
      </c>
      <c r="I5" s="158" t="s">
        <v>31</v>
      </c>
      <c r="J5" s="166" t="s">
        <v>7</v>
      </c>
      <c r="K5" s="167"/>
      <c r="L5" s="167"/>
      <c r="M5" s="167"/>
      <c r="N5" s="167"/>
      <c r="O5" s="168"/>
      <c r="P5" s="169" t="s">
        <v>8</v>
      </c>
      <c r="Q5" s="170"/>
      <c r="R5" s="171"/>
      <c r="S5" s="169" t="s">
        <v>9</v>
      </c>
      <c r="T5" s="170"/>
      <c r="U5" s="171"/>
    </row>
    <row r="6" spans="1:35" ht="15.75" customHeight="1" x14ac:dyDescent="0.3">
      <c r="A6" s="172"/>
      <c r="B6" s="172"/>
      <c r="C6" s="172"/>
      <c r="D6" s="172"/>
      <c r="E6" s="172"/>
      <c r="F6" s="172"/>
      <c r="G6" s="172"/>
      <c r="H6" s="172"/>
      <c r="I6" s="172"/>
      <c r="J6" s="156" t="s">
        <v>32</v>
      </c>
      <c r="K6" s="157"/>
      <c r="L6" s="158" t="s">
        <v>32</v>
      </c>
      <c r="M6" s="156" t="s">
        <v>35</v>
      </c>
      <c r="N6" s="157"/>
      <c r="O6" s="158" t="s">
        <v>36</v>
      </c>
      <c r="P6" s="156" t="s">
        <v>32</v>
      </c>
      <c r="Q6" s="157"/>
      <c r="R6" s="158" t="s">
        <v>32</v>
      </c>
      <c r="S6" s="156" t="s">
        <v>35</v>
      </c>
      <c r="T6" s="157"/>
      <c r="U6" s="158" t="s">
        <v>36</v>
      </c>
    </row>
    <row r="7" spans="1:35" ht="31.2" customHeight="1" x14ac:dyDescent="0.3">
      <c r="A7" s="159"/>
      <c r="B7" s="159"/>
      <c r="C7" s="159"/>
      <c r="D7" s="159"/>
      <c r="E7" s="159"/>
      <c r="F7" s="159"/>
      <c r="G7" s="159"/>
      <c r="H7" s="159"/>
      <c r="I7" s="159"/>
      <c r="J7" s="5" t="s">
        <v>33</v>
      </c>
      <c r="K7" s="5" t="s">
        <v>34</v>
      </c>
      <c r="L7" s="159"/>
      <c r="M7" s="5" t="s">
        <v>33</v>
      </c>
      <c r="N7" s="5" t="s">
        <v>34</v>
      </c>
      <c r="O7" s="159"/>
      <c r="P7" s="5" t="s">
        <v>33</v>
      </c>
      <c r="Q7" s="5" t="s">
        <v>34</v>
      </c>
      <c r="R7" s="159"/>
      <c r="S7" s="5" t="s">
        <v>33</v>
      </c>
      <c r="T7" s="5" t="s">
        <v>34</v>
      </c>
      <c r="U7" s="159"/>
    </row>
    <row r="8" spans="1:35" ht="30" customHeight="1" x14ac:dyDescent="0.3">
      <c r="A8" s="160" t="s">
        <v>37</v>
      </c>
      <c r="B8" s="161"/>
      <c r="C8" s="161"/>
      <c r="D8" s="161"/>
      <c r="E8" s="161"/>
      <c r="F8" s="161"/>
      <c r="G8" s="161"/>
      <c r="H8" s="161"/>
      <c r="I8" s="162"/>
      <c r="J8" s="7"/>
      <c r="K8" s="7"/>
      <c r="L8" s="7"/>
      <c r="M8" s="8">
        <f>SUM(M9)</f>
        <v>23958071.489999998</v>
      </c>
      <c r="N8" s="8">
        <f>SUM(N9)</f>
        <v>31630464.809999999</v>
      </c>
      <c r="O8" s="8">
        <f>SUM(O9)</f>
        <v>55588536.299999997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 t="e">
        <f>SUM(AA9)</f>
        <v>#VALUE!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53" t="s">
        <v>40</v>
      </c>
      <c r="D9" s="154"/>
      <c r="E9" s="154"/>
      <c r="F9" s="154"/>
      <c r="G9" s="154"/>
      <c r="H9" s="154"/>
      <c r="I9" s="155"/>
      <c r="M9" s="6">
        <f>SUM(M10,M55)</f>
        <v>23958071.489999998</v>
      </c>
      <c r="N9" s="6">
        <f>SUM(N10,N55)</f>
        <v>31630464.809999999</v>
      </c>
      <c r="O9" s="6">
        <f>SUM(O10,O55)</f>
        <v>55588536.299999997</v>
      </c>
      <c r="S9" s="6">
        <f>SUM(S10,S55)</f>
        <v>22896107.140000001</v>
      </c>
      <c r="T9" s="6">
        <f>SUM(T10,T55)</f>
        <v>47445697.219999999</v>
      </c>
      <c r="U9" s="6">
        <f>SUM(U10,U55)</f>
        <v>70341804.359999999</v>
      </c>
      <c r="Y9" s="9">
        <f>SUM(Y10,Y55)</f>
        <v>19080089.32</v>
      </c>
      <c r="Z9" s="9">
        <f>SUM(Z10,Z55)</f>
        <v>39538081.100000001</v>
      </c>
      <c r="AA9" s="9" t="e">
        <f>SUM(AA10,AA55)</f>
        <v>#VALUE!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53" t="s">
        <v>43</v>
      </c>
      <c r="D10" s="154"/>
      <c r="E10" s="154"/>
      <c r="F10" s="154"/>
      <c r="G10" s="154"/>
      <c r="H10" s="154"/>
      <c r="I10" s="155"/>
      <c r="M10" s="6">
        <f t="shared" ref="M10:O13" si="0">SUM(M11)</f>
        <v>49224.53</v>
      </c>
      <c r="N10" s="6">
        <f t="shared" si="0"/>
        <v>128833.7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316339.15999999997</v>
      </c>
      <c r="Y10" s="9">
        <f t="shared" ref="Y10:AA13" si="2">SUM(Y11)</f>
        <v>102573.84</v>
      </c>
      <c r="Z10" s="9">
        <f t="shared" si="2"/>
        <v>161042.13</v>
      </c>
      <c r="AA10" s="9">
        <f t="shared" si="2"/>
        <v>263615.96999999997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53" t="s">
        <v>46</v>
      </c>
      <c r="D11" s="154"/>
      <c r="E11" s="154"/>
      <c r="F11" s="154"/>
      <c r="G11" s="154"/>
      <c r="H11" s="154"/>
      <c r="I11" s="155"/>
      <c r="M11" s="6">
        <f t="shared" si="0"/>
        <v>49224.53</v>
      </c>
      <c r="N11" s="6">
        <f t="shared" si="0"/>
        <v>128833.7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316339.15999999997</v>
      </c>
      <c r="Y11" s="9">
        <f t="shared" si="2"/>
        <v>102573.84</v>
      </c>
      <c r="Z11" s="9">
        <f t="shared" si="2"/>
        <v>161042.13</v>
      </c>
      <c r="AA11" s="9">
        <f t="shared" si="2"/>
        <v>263615.96999999997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53" t="s">
        <v>49</v>
      </c>
      <c r="D12" s="154"/>
      <c r="E12" s="154"/>
      <c r="F12" s="154"/>
      <c r="G12" s="154"/>
      <c r="H12" s="154"/>
      <c r="I12" s="155"/>
      <c r="M12" s="6">
        <f t="shared" si="0"/>
        <v>49224.53</v>
      </c>
      <c r="N12" s="6">
        <f t="shared" si="0"/>
        <v>128833.7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316339.15999999997</v>
      </c>
      <c r="Y12" s="9">
        <f t="shared" si="2"/>
        <v>102573.84</v>
      </c>
      <c r="Z12" s="9">
        <f t="shared" si="2"/>
        <v>161042.13</v>
      </c>
      <c r="AA12" s="9">
        <f t="shared" si="2"/>
        <v>263615.96999999997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53" t="s">
        <v>52</v>
      </c>
      <c r="D13" s="154"/>
      <c r="E13" s="154"/>
      <c r="F13" s="154"/>
      <c r="G13" s="154"/>
      <c r="H13" s="154"/>
      <c r="I13" s="155"/>
      <c r="M13" s="6">
        <f t="shared" si="0"/>
        <v>49224.53</v>
      </c>
      <c r="N13" s="6">
        <f t="shared" si="0"/>
        <v>128833.7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316339.15999999997</v>
      </c>
      <c r="Y13" s="9">
        <f t="shared" si="2"/>
        <v>102573.84</v>
      </c>
      <c r="Z13" s="9">
        <f t="shared" si="2"/>
        <v>161042.13</v>
      </c>
      <c r="AA13" s="9">
        <f t="shared" si="2"/>
        <v>263615.96999999997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53" t="s">
        <v>55</v>
      </c>
      <c r="D14" s="154"/>
      <c r="E14" s="154"/>
      <c r="F14" s="154"/>
      <c r="G14" s="154"/>
      <c r="H14" s="154"/>
      <c r="I14" s="155"/>
      <c r="M14" s="6">
        <f>SUM(M15,M20,M25,M30,M35,M40,M45,M50)</f>
        <v>49224.53</v>
      </c>
      <c r="N14" s="6">
        <f>SUM(N15,N20,N25,N30,N35,N40,N45,N50)</f>
        <v>128833.7</v>
      </c>
      <c r="O14" s="6">
        <f>SUM(O15,O20,O25,O30,O35,O40,O45,O50)</f>
        <v>178058.23</v>
      </c>
      <c r="S14" s="6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316339.15999999997</v>
      </c>
      <c r="Y14" s="9">
        <f>SUM(Y15,Y20,Y25,Y30,Y35,Y40,Y45,Y50)</f>
        <v>102573.84</v>
      </c>
      <c r="Z14" s="9">
        <f>SUM(Z15,Z20,Z25,Z30,Z35,Z40,Z45,Z50)</f>
        <v>161042.13</v>
      </c>
      <c r="AA14" s="9">
        <f>SUM(AA15,AA20,AA25,AA30,AA35,AA40,AA45,AA50)</f>
        <v>263615.96999999997</v>
      </c>
      <c r="AD14" s="4">
        <v>304337529</v>
      </c>
      <c r="AE14" s="4">
        <v>20344598</v>
      </c>
    </row>
    <row r="15" spans="1:35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3">
        <v>0</v>
      </c>
      <c r="J15" s="14">
        <f>IFERROR(ROUND(SUM(M16,M17,M18,M19)/I15, 2),0)</f>
        <v>0</v>
      </c>
      <c r="K15" s="15">
        <v>2293</v>
      </c>
      <c r="L15" s="14">
        <f>J15+ROUND(K15, 2)</f>
        <v>2293</v>
      </c>
      <c r="M15" s="14">
        <f>ROUND(J15*I15, 2)</f>
        <v>0</v>
      </c>
      <c r="N15" s="14">
        <f>ROUND(I15*ROUND(K15, 2), 2)</f>
        <v>0</v>
      </c>
      <c r="O15" s="14">
        <f>M15+N15</f>
        <v>0</v>
      </c>
      <c r="P15" s="14">
        <f>IFERROR(ROUND(SUM(S16,S17,S18,S19)/I15, 2),0)</f>
        <v>0</v>
      </c>
      <c r="Q15" s="15">
        <v>2293</v>
      </c>
      <c r="R15" s="14">
        <f>P15+ROUND(Q15, 2)</f>
        <v>2293</v>
      </c>
      <c r="S15" s="14">
        <f>ROUND(P15*I15, 2)</f>
        <v>0</v>
      </c>
      <c r="T15" s="14">
        <f>ROUND(I15*ROUND(Q15, 2), 2)</f>
        <v>0</v>
      </c>
      <c r="U15" s="14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54" x14ac:dyDescent="0.3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30">
        <v>0</v>
      </c>
      <c r="J16" s="31">
        <v>102.33</v>
      </c>
      <c r="M16" s="32">
        <f>ROUND(ROUND(J16, 2)*I16, 2)</f>
        <v>0</v>
      </c>
      <c r="P16" s="31">
        <v>102.33</v>
      </c>
      <c r="S16" s="32">
        <f>ROUND(ROUND(P16, 2)*I16, 2)</f>
        <v>0</v>
      </c>
      <c r="V16" s="9">
        <f>ROUND(ROUND(P16, 2)/1.2, 2)</f>
        <v>85.28</v>
      </c>
      <c r="Y16" s="9">
        <f t="shared" ref="Y16:Y54" si="3">ROUND(S16 / 1.2, 2)</f>
        <v>0</v>
      </c>
      <c r="AD16" s="4" t="s">
        <v>68</v>
      </c>
      <c r="AE16" s="4" t="s">
        <v>69</v>
      </c>
      <c r="AF16" s="4" t="s">
        <v>70</v>
      </c>
    </row>
    <row r="17" spans="1:35" ht="36" x14ac:dyDescent="0.3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30">
        <v>0</v>
      </c>
      <c r="J17" s="31">
        <v>104.57</v>
      </c>
      <c r="M17" s="32">
        <f>ROUND(ROUND(J17, 2)*I17, 2)</f>
        <v>0</v>
      </c>
      <c r="P17" s="31">
        <v>104.57</v>
      </c>
      <c r="S17" s="32">
        <f>ROUND(ROUND(P17, 2)*I17, 2)</f>
        <v>0</v>
      </c>
      <c r="V17" s="9">
        <f>ROUND(ROUND(P17, 2)/1.2, 2)</f>
        <v>87.14</v>
      </c>
      <c r="Y17" s="9">
        <f t="shared" si="3"/>
        <v>0</v>
      </c>
      <c r="AD17" s="4" t="s">
        <v>75</v>
      </c>
      <c r="AE17" s="4" t="s">
        <v>76</v>
      </c>
      <c r="AF17" s="4" t="s">
        <v>77</v>
      </c>
    </row>
    <row r="18" spans="1:35" ht="18" x14ac:dyDescent="0.3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49">
        <v>0</v>
      </c>
      <c r="J18" s="31">
        <v>64.56</v>
      </c>
      <c r="M18" s="32">
        <f>ROUND(ROUND(J18, 2)*I18, 2)</f>
        <v>0</v>
      </c>
      <c r="P18" s="31">
        <v>64.56</v>
      </c>
      <c r="S18" s="32">
        <f>ROUND(ROUND(P18, 2)*I18, 2)</f>
        <v>0</v>
      </c>
      <c r="V18" s="9">
        <f>ROUND(ROUND(P18, 2)/1.2, 2)</f>
        <v>53.8</v>
      </c>
      <c r="Y18" s="9">
        <f t="shared" si="3"/>
        <v>0</v>
      </c>
      <c r="AD18" s="4" t="s">
        <v>83</v>
      </c>
      <c r="AE18" s="4" t="s">
        <v>84</v>
      </c>
      <c r="AF18" s="4" t="s">
        <v>85</v>
      </c>
    </row>
    <row r="19" spans="1:35" ht="18" x14ac:dyDescent="0.3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49">
        <v>0</v>
      </c>
      <c r="J19" s="31">
        <v>51.63</v>
      </c>
      <c r="M19" s="32">
        <f>ROUND(ROUND(J19, 2)*I19, 2)</f>
        <v>0</v>
      </c>
      <c r="P19" s="31">
        <v>51.63</v>
      </c>
      <c r="S19" s="32">
        <f>ROUND(ROUND(P19, 2)*I19, 2)</f>
        <v>0</v>
      </c>
      <c r="V19" s="9">
        <f>ROUND(ROUND(P19, 2)/1.2, 2)</f>
        <v>43.03</v>
      </c>
      <c r="Y19" s="9">
        <f t="shared" si="3"/>
        <v>0</v>
      </c>
      <c r="AD19" s="4" t="s">
        <v>90</v>
      </c>
      <c r="AE19" s="4" t="s">
        <v>91</v>
      </c>
      <c r="AF19" s="4" t="s">
        <v>92</v>
      </c>
    </row>
    <row r="20" spans="1:35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3">
        <v>0</v>
      </c>
      <c r="J20" s="14">
        <f>IFERROR(ROUND(SUM(M21,M22,M23,M24)/I20, 2),0)</f>
        <v>0</v>
      </c>
      <c r="K20" s="15">
        <v>2293</v>
      </c>
      <c r="L20" s="14">
        <f>J20+ROUND(K20, 2)</f>
        <v>2293</v>
      </c>
      <c r="M20" s="14">
        <f>ROUND(J20*I20, 2)</f>
        <v>0</v>
      </c>
      <c r="N20" s="14">
        <f>ROUND(I20*ROUND(K20, 2), 2)</f>
        <v>0</v>
      </c>
      <c r="O20" s="14">
        <f>M20+N20</f>
        <v>0</v>
      </c>
      <c r="P20" s="14">
        <f>IFERROR(ROUND(SUM(S21,S22,S23,S24)/I20, 2),0)</f>
        <v>0</v>
      </c>
      <c r="Q20" s="15">
        <v>2293</v>
      </c>
      <c r="R20" s="14">
        <f>P20+ROUND(Q20, 2)</f>
        <v>2293</v>
      </c>
      <c r="S20" s="14">
        <f>ROUND(P20*I20, 2)</f>
        <v>0</v>
      </c>
      <c r="T20" s="14">
        <f>ROUND(I20*ROUND(Q20, 2), 2)</f>
        <v>0</v>
      </c>
      <c r="U20" s="14">
        <f>S20+T20</f>
        <v>0</v>
      </c>
      <c r="V20" s="9">
        <f>ROUND(P20 / 1.2, 2)</f>
        <v>0</v>
      </c>
      <c r="W20" s="9">
        <f>ROUND(Q20 / 1.2, 2)</f>
        <v>1910.83</v>
      </c>
      <c r="X20" s="9">
        <f>ROUND(R20 / 1.2, 2)</f>
        <v>1910.83</v>
      </c>
      <c r="Y20" s="9">
        <f t="shared" si="3"/>
        <v>0</v>
      </c>
      <c r="Z20" s="9">
        <f>ROUND(T20 / 1.2, 2)</f>
        <v>0</v>
      </c>
      <c r="AA20" s="9">
        <f>Y20+Z20</f>
        <v>0</v>
      </c>
      <c r="AD20" s="4">
        <v>304337593</v>
      </c>
      <c r="AE20" s="4">
        <v>20839230</v>
      </c>
      <c r="AG20" s="4" t="s">
        <v>60</v>
      </c>
      <c r="AH20" s="4" t="s">
        <v>61</v>
      </c>
      <c r="AI20" s="4" t="s">
        <v>62</v>
      </c>
    </row>
    <row r="21" spans="1:35" ht="18" x14ac:dyDescent="0.3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49">
        <v>0</v>
      </c>
      <c r="J21" s="31">
        <v>64.56</v>
      </c>
      <c r="M21" s="32">
        <f>ROUND(ROUND(J21, 2)*I21, 2)</f>
        <v>0</v>
      </c>
      <c r="P21" s="31">
        <v>64.56</v>
      </c>
      <c r="S21" s="32">
        <f>ROUND(ROUND(P21, 2)*I21, 2)</f>
        <v>0</v>
      </c>
      <c r="V21" s="9">
        <f>ROUND(ROUND(P21, 2)/1.2, 2)</f>
        <v>53.8</v>
      </c>
      <c r="Y21" s="9">
        <f t="shared" si="3"/>
        <v>0</v>
      </c>
      <c r="AD21" s="4" t="s">
        <v>99</v>
      </c>
      <c r="AE21" s="4" t="s">
        <v>100</v>
      </c>
      <c r="AF21" s="4" t="s">
        <v>85</v>
      </c>
    </row>
    <row r="22" spans="1:35" ht="18" x14ac:dyDescent="0.3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49">
        <v>0</v>
      </c>
      <c r="J22" s="31">
        <v>51.63</v>
      </c>
      <c r="M22" s="32">
        <f>ROUND(ROUND(J22, 2)*I22, 2)</f>
        <v>0</v>
      </c>
      <c r="P22" s="31">
        <v>51.63</v>
      </c>
      <c r="S22" s="32">
        <f>ROUND(ROUND(P22, 2)*I22, 2)</f>
        <v>0</v>
      </c>
      <c r="V22" s="9">
        <f>ROUND(ROUND(P22, 2)/1.2, 2)</f>
        <v>43.03</v>
      </c>
      <c r="Y22" s="9">
        <f t="shared" si="3"/>
        <v>0</v>
      </c>
      <c r="AD22" s="4" t="s">
        <v>104</v>
      </c>
      <c r="AE22" s="4" t="s">
        <v>105</v>
      </c>
      <c r="AF22" s="4" t="s">
        <v>92</v>
      </c>
    </row>
    <row r="23" spans="1:35" ht="36" x14ac:dyDescent="0.3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30">
        <v>0</v>
      </c>
      <c r="J23" s="31">
        <v>135.53</v>
      </c>
      <c r="M23" s="32">
        <f>ROUND(ROUND(J23, 2)*I23, 2)</f>
        <v>0</v>
      </c>
      <c r="P23" s="31">
        <v>1520.33</v>
      </c>
      <c r="S23" s="32">
        <f>ROUND(ROUND(P23, 2)*I23, 2)</f>
        <v>0</v>
      </c>
      <c r="V23" s="9">
        <f>ROUND(ROUND(P23, 2)/1.2, 2)</f>
        <v>1266.94</v>
      </c>
      <c r="Y23" s="9">
        <f t="shared" si="3"/>
        <v>0</v>
      </c>
      <c r="AD23" s="4" t="s">
        <v>110</v>
      </c>
      <c r="AE23" s="4" t="s">
        <v>111</v>
      </c>
      <c r="AF23" s="4" t="s">
        <v>112</v>
      </c>
    </row>
    <row r="24" spans="1:35" ht="54" x14ac:dyDescent="0.3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30">
        <v>0</v>
      </c>
      <c r="J24" s="31">
        <v>102.33</v>
      </c>
      <c r="M24" s="32">
        <f>ROUND(ROUND(J24, 2)*I24, 2)</f>
        <v>0</v>
      </c>
      <c r="P24" s="31">
        <v>102.33</v>
      </c>
      <c r="S24" s="32">
        <f>ROUND(ROUND(P24, 2)*I24, 2)</f>
        <v>0</v>
      </c>
      <c r="V24" s="9">
        <f>ROUND(ROUND(P24, 2)/1.2, 2)</f>
        <v>85.28</v>
      </c>
      <c r="Y24" s="9">
        <f t="shared" si="3"/>
        <v>0</v>
      </c>
      <c r="AD24" s="4" t="s">
        <v>117</v>
      </c>
      <c r="AE24" s="4" t="s">
        <v>118</v>
      </c>
      <c r="AF24" s="4" t="s">
        <v>70</v>
      </c>
    </row>
    <row r="25" spans="1:35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3">
        <v>6.3</v>
      </c>
      <c r="J25" s="14">
        <f>IFERROR(ROUND(SUM(M26,M27,M28,M29)/I25, 2),0)</f>
        <v>877.62</v>
      </c>
      <c r="K25" s="15">
        <v>2293</v>
      </c>
      <c r="L25" s="14">
        <f>J25+ROUND(K25, 2)</f>
        <v>3170.62</v>
      </c>
      <c r="M25" s="14">
        <f>ROUND(J25*I25, 2)</f>
        <v>5529.01</v>
      </c>
      <c r="N25" s="14">
        <f>ROUND(I25*ROUND(K25, 2), 2)</f>
        <v>14445.9</v>
      </c>
      <c r="O25" s="14">
        <f>M25+N25</f>
        <v>19974.91</v>
      </c>
      <c r="P25" s="14">
        <f>IFERROR(ROUND(SUM(S26,S27,S28,S29)/I25, 2),0)</f>
        <v>877.6</v>
      </c>
      <c r="Q25" s="16">
        <v>3439.5</v>
      </c>
      <c r="R25" s="14">
        <f>P25+ROUND(Q25, 2)</f>
        <v>4317.1000000000004</v>
      </c>
      <c r="S25" s="14">
        <f>ROUND(P25*I25, 2)</f>
        <v>5528.88</v>
      </c>
      <c r="T25" s="14">
        <f>ROUND(I25*ROUND(Q25, 2), 2)</f>
        <v>21668.85</v>
      </c>
      <c r="U25" s="14">
        <f>S25+T25</f>
        <v>27197.73</v>
      </c>
      <c r="V25" s="9">
        <f>ROUND(P25 / 1.2, 2)</f>
        <v>731.33</v>
      </c>
      <c r="W25" s="9">
        <f>ROUND(Q25 / 1.2, 2)</f>
        <v>2866.25</v>
      </c>
      <c r="X25" s="9">
        <f>ROUND(R25 / 1.2, 2)</f>
        <v>3597.58</v>
      </c>
      <c r="Y25" s="9">
        <f t="shared" si="3"/>
        <v>4607.3999999999996</v>
      </c>
      <c r="Z25" s="9">
        <f>ROUND(T25 / 1.2, 2)</f>
        <v>18057.38</v>
      </c>
      <c r="AA25" s="9">
        <f>Y25+Z25</f>
        <v>22664.78</v>
      </c>
      <c r="AD25" s="4">
        <v>304337594</v>
      </c>
      <c r="AE25" s="4">
        <v>20839231</v>
      </c>
      <c r="AG25" s="4" t="s">
        <v>60</v>
      </c>
      <c r="AH25" s="4" t="s">
        <v>61</v>
      </c>
      <c r="AI25" s="4" t="s">
        <v>62</v>
      </c>
    </row>
    <row r="26" spans="1:35" ht="54" x14ac:dyDescent="0.3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30">
        <v>6.3</v>
      </c>
      <c r="J26" s="31">
        <v>102.34</v>
      </c>
      <c r="M26" s="32">
        <f>ROUND(ROUND(J26, 2)*I26, 2)</f>
        <v>644.74</v>
      </c>
      <c r="P26" s="33">
        <v>102.33</v>
      </c>
      <c r="S26" s="32">
        <f>ROUND(ROUND(P26, 2)*I26, 2)</f>
        <v>644.67999999999995</v>
      </c>
      <c r="V26" s="9">
        <f>ROUND(ROUND(P26, 2)/1.2, 2)</f>
        <v>85.28</v>
      </c>
      <c r="Y26" s="9">
        <f t="shared" si="3"/>
        <v>537.23</v>
      </c>
      <c r="AD26" s="4" t="s">
        <v>123</v>
      </c>
      <c r="AE26" s="4" t="s">
        <v>124</v>
      </c>
      <c r="AF26" s="4" t="s">
        <v>70</v>
      </c>
    </row>
    <row r="27" spans="1:35" ht="36" x14ac:dyDescent="0.3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30">
        <v>26.46</v>
      </c>
      <c r="J27" s="31">
        <v>104.57</v>
      </c>
      <c r="M27" s="32">
        <f>ROUND(ROUND(J27, 2)*I27, 2)</f>
        <v>2766.92</v>
      </c>
      <c r="P27" s="33">
        <v>104.57</v>
      </c>
      <c r="S27" s="32">
        <f>ROUND(ROUND(P27, 2)*I27, 2)</f>
        <v>2766.92</v>
      </c>
      <c r="V27" s="9">
        <f>ROUND(ROUND(P27, 2)/1.2, 2)</f>
        <v>87.14</v>
      </c>
      <c r="Y27" s="9">
        <f t="shared" si="3"/>
        <v>2305.77</v>
      </c>
      <c r="AD27" s="4" t="s">
        <v>126</v>
      </c>
      <c r="AE27" s="4" t="s">
        <v>127</v>
      </c>
      <c r="AF27" s="4" t="s">
        <v>77</v>
      </c>
    </row>
    <row r="28" spans="1:35" ht="18" x14ac:dyDescent="0.3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49">
        <v>25.640999999999998</v>
      </c>
      <c r="J28" s="31">
        <v>64.56</v>
      </c>
      <c r="M28" s="32">
        <f>ROUND(ROUND(J28, 2)*I28, 2)</f>
        <v>1655.38</v>
      </c>
      <c r="P28" s="33">
        <v>64.56</v>
      </c>
      <c r="S28" s="32">
        <f>ROUND(ROUND(P28, 2)*I28, 2)</f>
        <v>1655.38</v>
      </c>
      <c r="V28" s="9">
        <f>ROUND(ROUND(P28, 2)/1.2, 2)</f>
        <v>53.8</v>
      </c>
      <c r="Y28" s="9">
        <f t="shared" si="3"/>
        <v>1379.48</v>
      </c>
      <c r="AD28" s="4" t="s">
        <v>129</v>
      </c>
      <c r="AE28" s="4" t="s">
        <v>130</v>
      </c>
      <c r="AF28" s="4" t="s">
        <v>85</v>
      </c>
    </row>
    <row r="29" spans="1:35" ht="18" x14ac:dyDescent="0.3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49">
        <v>8.9459999999999997</v>
      </c>
      <c r="J29" s="31">
        <v>51.64</v>
      </c>
      <c r="M29" s="32">
        <f>ROUND(ROUND(J29, 2)*I29, 2)</f>
        <v>461.97</v>
      </c>
      <c r="P29" s="33">
        <v>51.63</v>
      </c>
      <c r="S29" s="32">
        <f>ROUND(ROUND(P29, 2)*I29, 2)</f>
        <v>461.88</v>
      </c>
      <c r="V29" s="9">
        <f>ROUND(ROUND(P29, 2)/1.2, 2)</f>
        <v>43.03</v>
      </c>
      <c r="Y29" s="9">
        <f t="shared" si="3"/>
        <v>384.9</v>
      </c>
      <c r="AD29" s="4" t="s">
        <v>132</v>
      </c>
      <c r="AE29" s="4" t="s">
        <v>133</v>
      </c>
      <c r="AF29" s="4" t="s">
        <v>92</v>
      </c>
    </row>
    <row r="30" spans="1:35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3">
        <v>25.4</v>
      </c>
      <c r="J30" s="14">
        <f>IFERROR(ROUND(SUM(M31,M32,M33,M34)/I30, 2),0)</f>
        <v>723.04</v>
      </c>
      <c r="K30" s="15">
        <v>2293</v>
      </c>
      <c r="L30" s="14">
        <f>J30+ROUND(K30, 2)</f>
        <v>3016.04</v>
      </c>
      <c r="M30" s="14">
        <f>ROUND(J30*I30, 2)</f>
        <v>18365.22</v>
      </c>
      <c r="N30" s="14">
        <f>ROUND(I30*ROUND(K30, 2), 2)</f>
        <v>58242.2</v>
      </c>
      <c r="O30" s="14">
        <f>M30+N30</f>
        <v>76607.42</v>
      </c>
      <c r="P30" s="14">
        <f>IFERROR(ROUND(SUM(S31,S32,S33,S34)/I30, 2),0)</f>
        <v>3631.1</v>
      </c>
      <c r="Q30" s="16">
        <v>3439.5</v>
      </c>
      <c r="R30" s="14">
        <f>P30+ROUND(Q30, 2)</f>
        <v>7070.6</v>
      </c>
      <c r="S30" s="14">
        <f>ROUND(P30*I30, 2)</f>
        <v>92229.94</v>
      </c>
      <c r="T30" s="14">
        <f>ROUND(I30*ROUND(Q30, 2), 2)</f>
        <v>87363.3</v>
      </c>
      <c r="U30" s="14">
        <f>S30+T30</f>
        <v>179593.24</v>
      </c>
      <c r="V30" s="9">
        <f>ROUND(P30 / 1.2, 2)</f>
        <v>3025.92</v>
      </c>
      <c r="W30" s="9">
        <f>ROUND(Q30 / 1.2, 2)</f>
        <v>2866.25</v>
      </c>
      <c r="X30" s="9">
        <f>ROUND(R30 / 1.2, 2)</f>
        <v>5892.17</v>
      </c>
      <c r="Y30" s="9">
        <f t="shared" si="3"/>
        <v>76858.28</v>
      </c>
      <c r="Z30" s="9">
        <f>ROUND(T30 / 1.2, 2)</f>
        <v>72802.75</v>
      </c>
      <c r="AA30" s="9">
        <f>Y30+Z30</f>
        <v>149661.03</v>
      </c>
      <c r="AD30" s="4">
        <v>304337595</v>
      </c>
      <c r="AE30" s="4">
        <v>20839232</v>
      </c>
      <c r="AG30" s="4" t="s">
        <v>60</v>
      </c>
      <c r="AH30" s="4" t="s">
        <v>61</v>
      </c>
      <c r="AI30" s="4" t="s">
        <v>62</v>
      </c>
    </row>
    <row r="31" spans="1:35" ht="18" x14ac:dyDescent="0.3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49">
        <v>103.378</v>
      </c>
      <c r="J31" s="31">
        <v>64.56</v>
      </c>
      <c r="M31" s="32">
        <f>ROUND(ROUND(J31, 2)*I31, 2)</f>
        <v>6674.08</v>
      </c>
      <c r="P31" s="33">
        <v>64.56</v>
      </c>
      <c r="S31" s="32">
        <f>ROUND(ROUND(P31, 2)*I31, 2)</f>
        <v>6674.08</v>
      </c>
      <c r="V31" s="9">
        <f>ROUND(ROUND(P31, 2)/1.2, 2)</f>
        <v>53.8</v>
      </c>
      <c r="Y31" s="9">
        <f t="shared" si="3"/>
        <v>5561.73</v>
      </c>
      <c r="AD31" s="4" t="s">
        <v>136</v>
      </c>
      <c r="AE31" s="4" t="s">
        <v>137</v>
      </c>
      <c r="AF31" s="4" t="s">
        <v>85</v>
      </c>
    </row>
    <row r="32" spans="1:35" ht="18" x14ac:dyDescent="0.3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49">
        <v>36.067999999999998</v>
      </c>
      <c r="J32" s="31">
        <v>51.64</v>
      </c>
      <c r="M32" s="32">
        <f>ROUND(ROUND(J32, 2)*I32, 2)</f>
        <v>1862.55</v>
      </c>
      <c r="P32" s="33">
        <v>51.63</v>
      </c>
      <c r="S32" s="32">
        <f>ROUND(ROUND(P32, 2)*I32, 2)</f>
        <v>1862.19</v>
      </c>
      <c r="V32" s="9">
        <f>ROUND(ROUND(P32, 2)/1.2, 2)</f>
        <v>43.03</v>
      </c>
      <c r="Y32" s="9">
        <f t="shared" si="3"/>
        <v>1551.83</v>
      </c>
      <c r="AD32" s="4" t="s">
        <v>139</v>
      </c>
      <c r="AE32" s="4" t="s">
        <v>140</v>
      </c>
      <c r="AF32" s="4" t="s">
        <v>92</v>
      </c>
    </row>
    <row r="33" spans="1:35" ht="36" x14ac:dyDescent="0.3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30">
        <v>53.34</v>
      </c>
      <c r="J33" s="31">
        <v>135.53</v>
      </c>
      <c r="M33" s="32">
        <f>ROUND(ROUND(J33, 2)*I33, 2)</f>
        <v>7229.17</v>
      </c>
      <c r="P33" s="33">
        <v>1520.33</v>
      </c>
      <c r="S33" s="32">
        <f>ROUND(ROUND(P33, 2)*I33, 2)</f>
        <v>81094.399999999994</v>
      </c>
      <c r="V33" s="9">
        <f>ROUND(ROUND(P33, 2)/1.2, 2)</f>
        <v>1266.94</v>
      </c>
      <c r="Y33" s="9">
        <f t="shared" si="3"/>
        <v>67578.67</v>
      </c>
      <c r="AD33" s="4" t="s">
        <v>142</v>
      </c>
      <c r="AE33" s="4" t="s">
        <v>143</v>
      </c>
      <c r="AF33" s="4" t="s">
        <v>112</v>
      </c>
    </row>
    <row r="34" spans="1:35" ht="72" x14ac:dyDescent="0.3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30">
        <v>25.4</v>
      </c>
      <c r="J34" s="31">
        <v>102.34</v>
      </c>
      <c r="M34" s="32">
        <f>ROUND(ROUND(J34, 2)*I34, 2)</f>
        <v>2599.44</v>
      </c>
      <c r="P34" s="33">
        <v>102.33</v>
      </c>
      <c r="S34" s="32">
        <f>ROUND(ROUND(P34, 2)*I34, 2)</f>
        <v>2599.1799999999998</v>
      </c>
      <c r="V34" s="9">
        <f>ROUND(ROUND(P34, 2)/1.2, 2)</f>
        <v>85.28</v>
      </c>
      <c r="Y34" s="9">
        <f t="shared" si="3"/>
        <v>2165.98</v>
      </c>
      <c r="AD34" s="4" t="s">
        <v>145</v>
      </c>
      <c r="AE34" s="4" t="s">
        <v>146</v>
      </c>
      <c r="AF34" s="4" t="s">
        <v>70</v>
      </c>
    </row>
    <row r="35" spans="1:35" ht="36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3">
        <v>0</v>
      </c>
      <c r="J35" s="14">
        <f>IFERROR(ROUND(SUM(M36,M37,M38,M39)/I35, 2),0)</f>
        <v>0</v>
      </c>
      <c r="K35" s="15">
        <v>1064</v>
      </c>
      <c r="L35" s="14">
        <f>J35+ROUND(K35, 2)</f>
        <v>1064</v>
      </c>
      <c r="M35" s="14">
        <f>ROUND(J35*I35, 2)</f>
        <v>0</v>
      </c>
      <c r="N35" s="14">
        <f>ROUND(I35*ROUND(K35, 2), 2)</f>
        <v>0</v>
      </c>
      <c r="O35" s="14">
        <f>M35+N35</f>
        <v>0</v>
      </c>
      <c r="P35" s="14">
        <f>IFERROR(ROUND(SUM(S36,S37,S38,S39)/I35, 2),0)</f>
        <v>0</v>
      </c>
      <c r="Q35" s="15">
        <v>1064</v>
      </c>
      <c r="R35" s="14">
        <f>P35+ROUND(Q35, 2)</f>
        <v>1064</v>
      </c>
      <c r="S35" s="14">
        <f>ROUND(P35*I35, 2)</f>
        <v>0</v>
      </c>
      <c r="T35" s="14">
        <f>ROUND(I35*ROUND(Q35, 2), 2)</f>
        <v>0</v>
      </c>
      <c r="U35" s="14">
        <f>S35+T35</f>
        <v>0</v>
      </c>
      <c r="V35" s="9">
        <f>ROUND(P35 / 1.2, 2)</f>
        <v>0</v>
      </c>
      <c r="W35" s="9">
        <f>ROUND(Q35 / 1.2, 2)</f>
        <v>886.67</v>
      </c>
      <c r="X35" s="9">
        <f>ROUND(R35 / 1.2, 2)</f>
        <v>886.67</v>
      </c>
      <c r="Y35" s="9">
        <f t="shared" si="3"/>
        <v>0</v>
      </c>
      <c r="Z35" s="9">
        <f>ROUND(T35 / 1.2, 2)</f>
        <v>0</v>
      </c>
      <c r="AA35" s="9">
        <f>Y35+Z35</f>
        <v>0</v>
      </c>
      <c r="AD35" s="4">
        <v>304337533</v>
      </c>
      <c r="AE35" s="4">
        <v>21096611</v>
      </c>
      <c r="AG35" s="4" t="s">
        <v>151</v>
      </c>
      <c r="AH35" s="4" t="s">
        <v>152</v>
      </c>
      <c r="AI35" s="4" t="s">
        <v>62</v>
      </c>
    </row>
    <row r="36" spans="1:35" ht="72" x14ac:dyDescent="0.3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30">
        <v>0</v>
      </c>
      <c r="J36" s="31">
        <v>43.7</v>
      </c>
      <c r="M36" s="32">
        <f>ROUND(ROUND(J36, 2)*I36, 2)</f>
        <v>0</v>
      </c>
      <c r="P36" s="31">
        <v>43.7</v>
      </c>
      <c r="S36" s="32">
        <f>ROUND(ROUND(P36, 2)*I36, 2)</f>
        <v>0</v>
      </c>
      <c r="V36" s="9">
        <f>ROUND(ROUND(P36, 2)/1.2, 2)</f>
        <v>36.42</v>
      </c>
      <c r="Y36" s="9">
        <f t="shared" si="3"/>
        <v>0</v>
      </c>
      <c r="AD36" s="4" t="s">
        <v>157</v>
      </c>
      <c r="AE36" s="4" t="s">
        <v>158</v>
      </c>
      <c r="AF36" s="4" t="s">
        <v>159</v>
      </c>
    </row>
    <row r="37" spans="1:35" ht="36" x14ac:dyDescent="0.3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30">
        <v>0</v>
      </c>
      <c r="J37" s="31">
        <v>104.57</v>
      </c>
      <c r="M37" s="32">
        <f>ROUND(ROUND(J37, 2)*I37, 2)</f>
        <v>0</v>
      </c>
      <c r="P37" s="31">
        <v>104.57</v>
      </c>
      <c r="S37" s="32">
        <f>ROUND(ROUND(P37, 2)*I37, 2)</f>
        <v>0</v>
      </c>
      <c r="V37" s="9">
        <f>ROUND(ROUND(P37, 2)/1.2, 2)</f>
        <v>87.14</v>
      </c>
      <c r="Y37" s="9">
        <f t="shared" si="3"/>
        <v>0</v>
      </c>
      <c r="AD37" s="4" t="s">
        <v>164</v>
      </c>
      <c r="AE37" s="4" t="s">
        <v>165</v>
      </c>
      <c r="AF37" s="4" t="s">
        <v>166</v>
      </c>
    </row>
    <row r="38" spans="1:35" ht="18" x14ac:dyDescent="0.3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30">
        <v>0</v>
      </c>
      <c r="J38" s="31">
        <v>64.56</v>
      </c>
      <c r="M38" s="32">
        <f>ROUND(ROUND(J38, 2)*I38, 2)</f>
        <v>0</v>
      </c>
      <c r="P38" s="31">
        <v>64.56</v>
      </c>
      <c r="S38" s="32">
        <f>ROUND(ROUND(P38, 2)*I38, 2)</f>
        <v>0</v>
      </c>
      <c r="V38" s="9">
        <f>ROUND(ROUND(P38, 2)/1.2, 2)</f>
        <v>53.8</v>
      </c>
      <c r="Y38" s="9">
        <f t="shared" si="3"/>
        <v>0</v>
      </c>
      <c r="AD38" s="4" t="s">
        <v>170</v>
      </c>
      <c r="AE38" s="4" t="s">
        <v>171</v>
      </c>
      <c r="AF38" s="4" t="s">
        <v>85</v>
      </c>
    </row>
    <row r="39" spans="1:35" ht="18" x14ac:dyDescent="0.3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30">
        <v>0</v>
      </c>
      <c r="J39" s="31">
        <v>35.76</v>
      </c>
      <c r="M39" s="32">
        <f>ROUND(ROUND(J39, 2)*I39, 2)</f>
        <v>0</v>
      </c>
      <c r="P39" s="31">
        <v>35.76</v>
      </c>
      <c r="S39" s="32">
        <f>ROUND(ROUND(P39, 2)*I39, 2)</f>
        <v>0</v>
      </c>
      <c r="V39" s="9">
        <f>ROUND(ROUND(P39, 2)/1.2, 2)</f>
        <v>29.8</v>
      </c>
      <c r="Y39" s="9">
        <f t="shared" si="3"/>
        <v>0</v>
      </c>
      <c r="AD39" s="4" t="s">
        <v>176</v>
      </c>
      <c r="AE39" s="4" t="s">
        <v>177</v>
      </c>
      <c r="AF39" s="4" t="s">
        <v>178</v>
      </c>
    </row>
    <row r="40" spans="1:35" ht="144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3">
        <v>45.4</v>
      </c>
      <c r="J40" s="14">
        <f>IFERROR(ROUND(SUM(M41,M42,M43,M44)/I40, 2),0)</f>
        <v>484.9</v>
      </c>
      <c r="K40" s="15">
        <v>1064</v>
      </c>
      <c r="L40" s="14">
        <f>J40+ROUND(K40, 2)</f>
        <v>1548.9</v>
      </c>
      <c r="M40" s="14">
        <f>ROUND(J40*I40, 2)</f>
        <v>22014.46</v>
      </c>
      <c r="N40" s="14">
        <f>ROUND(I40*ROUND(K40, 2), 2)</f>
        <v>48305.599999999999</v>
      </c>
      <c r="O40" s="14">
        <f>M40+N40</f>
        <v>70320.06</v>
      </c>
      <c r="P40" s="14">
        <f>IFERROR(ROUND(SUM(S41,S42,S43,S44)/I40, 2),0)</f>
        <v>484.89</v>
      </c>
      <c r="Q40" s="16">
        <v>1596</v>
      </c>
      <c r="R40" s="14">
        <f>P40+ROUND(Q40, 2)</f>
        <v>2080.89</v>
      </c>
      <c r="S40" s="14">
        <f>ROUND(P40*I40, 2)</f>
        <v>22014.01</v>
      </c>
      <c r="T40" s="14">
        <f>ROUND(I40*ROUND(Q40, 2), 2)</f>
        <v>72458.399999999994</v>
      </c>
      <c r="U40" s="14">
        <f>S40+T40</f>
        <v>94472.41</v>
      </c>
      <c r="V40" s="9">
        <f>ROUND(P40 / 1.2, 2)</f>
        <v>404.08</v>
      </c>
      <c r="W40" s="9">
        <f>ROUND(Q40 / 1.2, 2)</f>
        <v>1330</v>
      </c>
      <c r="X40" s="9">
        <f>ROUND(R40 / 1.2, 2)</f>
        <v>1734.08</v>
      </c>
      <c r="Y40" s="9">
        <f t="shared" si="3"/>
        <v>18345.009999999998</v>
      </c>
      <c r="Z40" s="9">
        <f>ROUND(T40 / 1.2, 2)</f>
        <v>60382</v>
      </c>
      <c r="AA40" s="9">
        <f>Y40+Z40</f>
        <v>78727.009999999995</v>
      </c>
      <c r="AD40" s="4">
        <v>304337596</v>
      </c>
      <c r="AE40" s="4">
        <v>21916285</v>
      </c>
      <c r="AG40" s="4" t="s">
        <v>151</v>
      </c>
      <c r="AH40" s="4" t="s">
        <v>152</v>
      </c>
      <c r="AI40" s="4" t="s">
        <v>62</v>
      </c>
    </row>
    <row r="41" spans="1:35" ht="18" x14ac:dyDescent="0.3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30">
        <v>36.32</v>
      </c>
      <c r="J41" s="31">
        <v>35.76</v>
      </c>
      <c r="M41" s="32">
        <f>ROUND(ROUND(J41, 2)*I41, 2)</f>
        <v>1298.8</v>
      </c>
      <c r="P41" s="33">
        <v>35.76</v>
      </c>
      <c r="S41" s="32">
        <f>ROUND(ROUND(P41, 2)*I41, 2)</f>
        <v>1298.8</v>
      </c>
      <c r="V41" s="9">
        <f>ROUND(ROUND(P41, 2)/1.2, 2)</f>
        <v>29.8</v>
      </c>
      <c r="Y41" s="9">
        <f t="shared" si="3"/>
        <v>1082.33</v>
      </c>
      <c r="AD41" s="4" t="s">
        <v>183</v>
      </c>
      <c r="AE41" s="4" t="s">
        <v>184</v>
      </c>
      <c r="AF41" s="4" t="s">
        <v>178</v>
      </c>
    </row>
    <row r="42" spans="1:35" ht="18" x14ac:dyDescent="0.3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30">
        <v>36.32</v>
      </c>
      <c r="J42" s="31">
        <v>51.64</v>
      </c>
      <c r="M42" s="32">
        <f>ROUND(ROUND(J42, 2)*I42, 2)</f>
        <v>1875.56</v>
      </c>
      <c r="P42" s="33">
        <v>51.63</v>
      </c>
      <c r="S42" s="32">
        <f>ROUND(ROUND(P42, 2)*I42, 2)</f>
        <v>1875.2</v>
      </c>
      <c r="V42" s="9">
        <f>ROUND(ROUND(P42, 2)/1.2, 2)</f>
        <v>43.03</v>
      </c>
      <c r="Y42" s="9">
        <f t="shared" si="3"/>
        <v>1562.67</v>
      </c>
      <c r="AD42" s="4" t="s">
        <v>186</v>
      </c>
      <c r="AE42" s="4" t="s">
        <v>187</v>
      </c>
      <c r="AF42" s="4" t="s">
        <v>92</v>
      </c>
    </row>
    <row r="43" spans="1:35" ht="18" x14ac:dyDescent="0.3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30">
        <v>54.48</v>
      </c>
      <c r="J43" s="31">
        <v>309.39999999999998</v>
      </c>
      <c r="M43" s="32">
        <f>ROUND(ROUND(J43, 2)*I43, 2)</f>
        <v>16856.11</v>
      </c>
      <c r="P43" s="33">
        <v>309.39999999999998</v>
      </c>
      <c r="S43" s="32">
        <f>ROUND(ROUND(P43, 2)*I43, 2)</f>
        <v>16856.11</v>
      </c>
      <c r="V43" s="9">
        <f>ROUND(ROUND(P43, 2)/1.2, 2)</f>
        <v>257.83</v>
      </c>
      <c r="Y43" s="9">
        <f t="shared" si="3"/>
        <v>14046.76</v>
      </c>
      <c r="AD43" s="4" t="s">
        <v>190</v>
      </c>
      <c r="AE43" s="4" t="s">
        <v>191</v>
      </c>
      <c r="AF43" s="4" t="s">
        <v>192</v>
      </c>
    </row>
    <row r="44" spans="1:35" ht="72" x14ac:dyDescent="0.3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30">
        <v>45.4</v>
      </c>
      <c r="J44" s="31">
        <v>43.7</v>
      </c>
      <c r="M44" s="32">
        <f>ROUND(ROUND(J44, 2)*I44, 2)</f>
        <v>1983.98</v>
      </c>
      <c r="P44" s="33">
        <v>43.7</v>
      </c>
      <c r="S44" s="32">
        <f>ROUND(ROUND(P44, 2)*I44, 2)</f>
        <v>1983.98</v>
      </c>
      <c r="V44" s="9">
        <f>ROUND(ROUND(P44, 2)/1.2, 2)</f>
        <v>36.42</v>
      </c>
      <c r="Y44" s="9">
        <f t="shared" si="3"/>
        <v>1653.32</v>
      </c>
      <c r="AD44" s="4" t="s">
        <v>194</v>
      </c>
      <c r="AE44" s="4" t="s">
        <v>195</v>
      </c>
      <c r="AF44" s="4" t="s">
        <v>159</v>
      </c>
    </row>
    <row r="45" spans="1:35" ht="36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3">
        <v>0</v>
      </c>
      <c r="J45" s="14">
        <f>IFERROR(ROUND(SUM(M46,M47,M48,M49)/I45, 2),0)</f>
        <v>0</v>
      </c>
      <c r="K45" s="15">
        <v>1225</v>
      </c>
      <c r="L45" s="14">
        <f>J45+ROUND(K45, 2)</f>
        <v>1225</v>
      </c>
      <c r="M45" s="14">
        <f>ROUND(J45*I45, 2)</f>
        <v>0</v>
      </c>
      <c r="N45" s="14">
        <f>ROUND(I45*ROUND(K45, 2), 2)</f>
        <v>0</v>
      </c>
      <c r="O45" s="14">
        <f>M45+N45</f>
        <v>0</v>
      </c>
      <c r="P45" s="14">
        <f>IFERROR(ROUND(SUM(S46,S47,S48,S49)/I45, 2),0)</f>
        <v>0</v>
      </c>
      <c r="Q45" s="15">
        <v>1225</v>
      </c>
      <c r="R45" s="14">
        <f>P45+ROUND(Q45, 2)</f>
        <v>1225</v>
      </c>
      <c r="S45" s="14">
        <f>ROUND(P45*I45, 2)</f>
        <v>0</v>
      </c>
      <c r="T45" s="14">
        <f>ROUND(I45*ROUND(Q45, 2), 2)</f>
        <v>0</v>
      </c>
      <c r="U45" s="14">
        <f>S45+T45</f>
        <v>0</v>
      </c>
      <c r="V45" s="9">
        <f>ROUND(P45 / 1.2, 2)</f>
        <v>0</v>
      </c>
      <c r="W45" s="9">
        <f>ROUND(Q45 / 1.2, 2)</f>
        <v>1020.83</v>
      </c>
      <c r="X45" s="9">
        <f>ROUND(R45 / 1.2, 2)</f>
        <v>1020.83</v>
      </c>
      <c r="Y45" s="9">
        <f t="shared" si="3"/>
        <v>0</v>
      </c>
      <c r="Z45" s="9">
        <f>ROUND(T45 / 1.2, 2)</f>
        <v>0</v>
      </c>
      <c r="AA45" s="9">
        <f>Y45+Z45</f>
        <v>0</v>
      </c>
      <c r="AD45" s="4">
        <v>304337534</v>
      </c>
      <c r="AE45" s="4">
        <v>21096613</v>
      </c>
      <c r="AG45" s="4" t="s">
        <v>199</v>
      </c>
      <c r="AH45" s="4" t="s">
        <v>200</v>
      </c>
      <c r="AI45" s="4" t="s">
        <v>62</v>
      </c>
    </row>
    <row r="46" spans="1:35" ht="72" x14ac:dyDescent="0.3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30">
        <v>0</v>
      </c>
      <c r="J46" s="31">
        <v>111.15</v>
      </c>
      <c r="M46" s="32">
        <f>ROUND(ROUND(J46, 2)*I46, 2)</f>
        <v>0</v>
      </c>
      <c r="P46" s="31">
        <v>111.15</v>
      </c>
      <c r="S46" s="32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205</v>
      </c>
      <c r="AE46" s="4" t="s">
        <v>206</v>
      </c>
      <c r="AF46" s="4" t="s">
        <v>207</v>
      </c>
    </row>
    <row r="47" spans="1:35" ht="18" x14ac:dyDescent="0.3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30">
        <v>0</v>
      </c>
      <c r="J47" s="31">
        <v>64.56</v>
      </c>
      <c r="M47" s="32">
        <f>ROUND(ROUND(J47, 2)*I47, 2)</f>
        <v>0</v>
      </c>
      <c r="P47" s="31">
        <v>64.56</v>
      </c>
      <c r="S47" s="32">
        <f>ROUND(ROUND(P47, 2)*I47, 2)</f>
        <v>0</v>
      </c>
      <c r="V47" s="9">
        <f>ROUND(ROUND(P47, 2)/1.2, 2)</f>
        <v>53.8</v>
      </c>
      <c r="Y47" s="9">
        <f t="shared" si="3"/>
        <v>0</v>
      </c>
      <c r="AD47" s="4" t="s">
        <v>211</v>
      </c>
      <c r="AE47" s="4" t="s">
        <v>212</v>
      </c>
      <c r="AF47" s="4" t="s">
        <v>85</v>
      </c>
    </row>
    <row r="48" spans="1:35" ht="18" x14ac:dyDescent="0.3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30">
        <v>0</v>
      </c>
      <c r="J48" s="31">
        <v>51.63</v>
      </c>
      <c r="M48" s="32">
        <f>ROUND(ROUND(J48, 2)*I48, 2)</f>
        <v>0</v>
      </c>
      <c r="P48" s="31">
        <v>51.63</v>
      </c>
      <c r="S48" s="32">
        <f>ROUND(ROUND(P48, 2)*I48, 2)</f>
        <v>0</v>
      </c>
      <c r="V48" s="9">
        <f>ROUND(ROUND(P48, 2)/1.2, 2)</f>
        <v>43.03</v>
      </c>
      <c r="Y48" s="9">
        <f t="shared" si="3"/>
        <v>0</v>
      </c>
      <c r="AD48" s="4" t="s">
        <v>216</v>
      </c>
      <c r="AE48" s="4" t="s">
        <v>217</v>
      </c>
      <c r="AF48" s="4" t="s">
        <v>92</v>
      </c>
    </row>
    <row r="49" spans="1:35" ht="36" x14ac:dyDescent="0.3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30">
        <v>0</v>
      </c>
      <c r="J49" s="31">
        <v>104.57</v>
      </c>
      <c r="M49" s="32">
        <f>ROUND(ROUND(J49, 2)*I49, 2)</f>
        <v>0</v>
      </c>
      <c r="P49" s="31">
        <v>104.57</v>
      </c>
      <c r="S49" s="32">
        <f>ROUND(ROUND(P49, 2)*I49, 2)</f>
        <v>0</v>
      </c>
      <c r="V49" s="9">
        <f>ROUND(ROUND(P49, 2)/1.2, 2)</f>
        <v>87.14</v>
      </c>
      <c r="Y49" s="9">
        <f t="shared" si="3"/>
        <v>0</v>
      </c>
      <c r="AD49" s="4" t="s">
        <v>221</v>
      </c>
      <c r="AE49" s="4" t="s">
        <v>222</v>
      </c>
      <c r="AF49" s="4" t="s">
        <v>223</v>
      </c>
    </row>
    <row r="50" spans="1:35" ht="10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3">
        <v>6.4</v>
      </c>
      <c r="J50" s="14">
        <f>IFERROR(ROUND(SUM(M51,M52,M53,M54)/I50, 2),0)</f>
        <v>518.1</v>
      </c>
      <c r="K50" s="15">
        <v>1225</v>
      </c>
      <c r="L50" s="14">
        <f>J50+ROUND(K50, 2)</f>
        <v>1743.1</v>
      </c>
      <c r="M50" s="14">
        <f>ROUND(J50*I50, 2)</f>
        <v>3315.84</v>
      </c>
      <c r="N50" s="14">
        <f>ROUND(I50*ROUND(K50, 2), 2)</f>
        <v>7840</v>
      </c>
      <c r="O50" s="14">
        <f>M50+N50</f>
        <v>11155.84</v>
      </c>
      <c r="P50" s="14">
        <f>IFERROR(ROUND(SUM(S51,S52,S53,S54)/I50, 2),0)</f>
        <v>518.09</v>
      </c>
      <c r="Q50" s="16">
        <v>1837.5</v>
      </c>
      <c r="R50" s="14">
        <f>P50+ROUND(Q50, 2)</f>
        <v>2355.59</v>
      </c>
      <c r="S50" s="14">
        <f>ROUND(P50*I50, 2)</f>
        <v>3315.78</v>
      </c>
      <c r="T50" s="14">
        <f>ROUND(I50*ROUND(Q50, 2), 2)</f>
        <v>11760</v>
      </c>
      <c r="U50" s="14">
        <f>S50+T50</f>
        <v>15075.78</v>
      </c>
      <c r="V50" s="9">
        <f>ROUND(P50 / 1.2, 2)</f>
        <v>431.74</v>
      </c>
      <c r="W50" s="9">
        <f>ROUND(Q50 / 1.2, 2)</f>
        <v>1531.25</v>
      </c>
      <c r="X50" s="9">
        <f>ROUND(R50 / 1.2, 2)</f>
        <v>1962.99</v>
      </c>
      <c r="Y50" s="9">
        <f t="shared" si="3"/>
        <v>2763.15</v>
      </c>
      <c r="Z50" s="9">
        <f>ROUND(T50 / 1.2, 2)</f>
        <v>9800</v>
      </c>
      <c r="AA50" s="9">
        <f>Y50+Z50</f>
        <v>12563.15</v>
      </c>
      <c r="AD50" s="4">
        <v>304337597</v>
      </c>
      <c r="AE50" s="4">
        <v>21916286</v>
      </c>
      <c r="AG50" s="4" t="s">
        <v>199</v>
      </c>
      <c r="AH50" s="4" t="s">
        <v>200</v>
      </c>
      <c r="AI50" s="4" t="s">
        <v>62</v>
      </c>
    </row>
    <row r="51" spans="1:35" ht="36" x14ac:dyDescent="0.3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30">
        <v>14.08</v>
      </c>
      <c r="J51" s="31">
        <v>104.57</v>
      </c>
      <c r="M51" s="32">
        <f>ROUND(ROUND(J51, 2)*I51, 2)</f>
        <v>1472.35</v>
      </c>
      <c r="P51" s="33">
        <v>104.57</v>
      </c>
      <c r="S51" s="32">
        <f>ROUND(ROUND(P51, 2)*I51, 2)</f>
        <v>1472.35</v>
      </c>
      <c r="V51" s="9">
        <f>ROUND(ROUND(P51, 2)/1.2, 2)</f>
        <v>87.14</v>
      </c>
      <c r="Y51" s="9">
        <f t="shared" si="3"/>
        <v>1226.96</v>
      </c>
      <c r="AD51" s="4" t="s">
        <v>228</v>
      </c>
      <c r="AE51" s="4" t="s">
        <v>229</v>
      </c>
      <c r="AF51" s="4" t="s">
        <v>223</v>
      </c>
    </row>
    <row r="52" spans="1:35" ht="18" x14ac:dyDescent="0.3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30">
        <v>13.44</v>
      </c>
      <c r="J52" s="31">
        <v>64.56</v>
      </c>
      <c r="M52" s="32">
        <f>ROUND(ROUND(J52, 2)*I52, 2)</f>
        <v>867.69</v>
      </c>
      <c r="P52" s="33">
        <v>64.56</v>
      </c>
      <c r="S52" s="32">
        <f>ROUND(ROUND(P52, 2)*I52, 2)</f>
        <v>867.69</v>
      </c>
      <c r="V52" s="9">
        <f>ROUND(ROUND(P52, 2)/1.2, 2)</f>
        <v>53.8</v>
      </c>
      <c r="Y52" s="9">
        <f t="shared" si="3"/>
        <v>723.08</v>
      </c>
      <c r="AD52" s="4" t="s">
        <v>231</v>
      </c>
      <c r="AE52" s="4" t="s">
        <v>232</v>
      </c>
      <c r="AF52" s="4" t="s">
        <v>85</v>
      </c>
    </row>
    <row r="53" spans="1:35" ht="18" x14ac:dyDescent="0.3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30">
        <v>5.12</v>
      </c>
      <c r="J53" s="31">
        <v>51.64</v>
      </c>
      <c r="M53" s="32">
        <f>ROUND(ROUND(J53, 2)*I53, 2)</f>
        <v>264.39999999999998</v>
      </c>
      <c r="P53" s="33">
        <v>51.63</v>
      </c>
      <c r="S53" s="32">
        <f>ROUND(ROUND(P53, 2)*I53, 2)</f>
        <v>264.35000000000002</v>
      </c>
      <c r="V53" s="9">
        <f>ROUND(ROUND(P53, 2)/1.2, 2)</f>
        <v>43.03</v>
      </c>
      <c r="Y53" s="9">
        <f t="shared" si="3"/>
        <v>220.29</v>
      </c>
      <c r="AD53" s="4" t="s">
        <v>234</v>
      </c>
      <c r="AE53" s="4" t="s">
        <v>235</v>
      </c>
      <c r="AF53" s="4" t="s">
        <v>92</v>
      </c>
    </row>
    <row r="54" spans="1:35" ht="72" x14ac:dyDescent="0.3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30">
        <v>6.4</v>
      </c>
      <c r="J54" s="31">
        <v>111.16</v>
      </c>
      <c r="M54" s="32">
        <f>ROUND(ROUND(J54, 2)*I54, 2)</f>
        <v>711.42</v>
      </c>
      <c r="P54" s="33">
        <v>111.15</v>
      </c>
      <c r="S54" s="32">
        <f>ROUND(ROUND(P54, 2)*I54, 2)</f>
        <v>711.36</v>
      </c>
      <c r="V54" s="9">
        <f>ROUND(ROUND(P54, 2)/1.2, 2)</f>
        <v>92.63</v>
      </c>
      <c r="Y54" s="9">
        <f t="shared" si="3"/>
        <v>592.79999999999995</v>
      </c>
      <c r="AD54" s="4" t="s">
        <v>237</v>
      </c>
      <c r="AE54" s="4" t="s">
        <v>238</v>
      </c>
      <c r="AF54" s="4" t="s">
        <v>207</v>
      </c>
    </row>
    <row r="55" spans="1:35" ht="16.95" customHeight="1" x14ac:dyDescent="0.3">
      <c r="A55" s="10" t="s">
        <v>239</v>
      </c>
      <c r="B55" s="10" t="s">
        <v>240</v>
      </c>
      <c r="C55" s="153" t="s">
        <v>241</v>
      </c>
      <c r="D55" s="154"/>
      <c r="E55" s="154"/>
      <c r="F55" s="154"/>
      <c r="G55" s="154"/>
      <c r="H55" s="154"/>
      <c r="I55" s="155"/>
      <c r="M55" s="6">
        <f t="shared" ref="M55:O56" si="4">SUM(M56)</f>
        <v>23908846.960000001</v>
      </c>
      <c r="N55" s="6">
        <f t="shared" si="4"/>
        <v>31501631.109999999</v>
      </c>
      <c r="O55" s="6">
        <f t="shared" si="4"/>
        <v>55410478.07</v>
      </c>
      <c r="S55" s="6">
        <f t="shared" ref="S55:U56" si="5">SUM(S56)</f>
        <v>22773018.530000001</v>
      </c>
      <c r="T55" s="6">
        <f t="shared" si="5"/>
        <v>47252446.670000002</v>
      </c>
      <c r="U55" s="6">
        <f t="shared" si="5"/>
        <v>70025465.200000003</v>
      </c>
      <c r="Y55" s="9">
        <f t="shared" ref="Y55:AA56" si="6">SUM(Y56)</f>
        <v>18977515.48</v>
      </c>
      <c r="Z55" s="9">
        <f t="shared" si="6"/>
        <v>39377038.969999999</v>
      </c>
      <c r="AA55" s="9" t="e">
        <f t="shared" si="6"/>
        <v>#VALUE!</v>
      </c>
      <c r="AD55" s="4">
        <v>304337535</v>
      </c>
      <c r="AE55" s="4">
        <v>20296909</v>
      </c>
    </row>
    <row r="56" spans="1:35" ht="16.95" customHeight="1" x14ac:dyDescent="0.3">
      <c r="A56" s="10" t="s">
        <v>242</v>
      </c>
      <c r="B56" s="10" t="s">
        <v>243</v>
      </c>
      <c r="C56" s="153" t="s">
        <v>244</v>
      </c>
      <c r="D56" s="154"/>
      <c r="E56" s="154"/>
      <c r="F56" s="154"/>
      <c r="G56" s="154"/>
      <c r="H56" s="154"/>
      <c r="I56" s="155"/>
      <c r="M56" s="6">
        <f t="shared" si="4"/>
        <v>23908846.960000001</v>
      </c>
      <c r="N56" s="6">
        <f t="shared" si="4"/>
        <v>31501631.109999999</v>
      </c>
      <c r="O56" s="6">
        <f t="shared" si="4"/>
        <v>55410478.07</v>
      </c>
      <c r="S56" s="6">
        <f t="shared" si="5"/>
        <v>22773018.530000001</v>
      </c>
      <c r="T56" s="6">
        <f t="shared" si="5"/>
        <v>47252446.670000002</v>
      </c>
      <c r="U56" s="6">
        <f t="shared" si="5"/>
        <v>70025465.200000003</v>
      </c>
      <c r="Y56" s="9">
        <f t="shared" si="6"/>
        <v>18977515.48</v>
      </c>
      <c r="Z56" s="9">
        <f t="shared" si="6"/>
        <v>39377038.969999999</v>
      </c>
      <c r="AA56" s="9" t="e">
        <f t="shared" si="6"/>
        <v>#VALUE!</v>
      </c>
      <c r="AD56" s="4">
        <v>304337536</v>
      </c>
      <c r="AE56" s="4">
        <v>20296911</v>
      </c>
    </row>
    <row r="57" spans="1:35" ht="16.95" customHeight="1" x14ac:dyDescent="0.3">
      <c r="A57" s="10" t="s">
        <v>245</v>
      </c>
      <c r="B57" s="10" t="s">
        <v>246</v>
      </c>
      <c r="C57" s="153" t="s">
        <v>247</v>
      </c>
      <c r="D57" s="154"/>
      <c r="E57" s="154"/>
      <c r="F57" s="154"/>
      <c r="G57" s="154"/>
      <c r="H57" s="154"/>
      <c r="I57" s="155"/>
      <c r="M57" s="6">
        <f>SUM(M58,M260,M454,M496)</f>
        <v>23908846.960000001</v>
      </c>
      <c r="N57" s="6">
        <f>SUM(N58,N260,N454,N496)</f>
        <v>31501631.109999999</v>
      </c>
      <c r="O57" s="6">
        <f>SUM(O58,O260,O454,O496)</f>
        <v>55410478.07</v>
      </c>
      <c r="S57" s="6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  <c r="Y57" s="9">
        <f>SUM(Y58,Y260,Y454,Y496)</f>
        <v>18977515.48</v>
      </c>
      <c r="Z57" s="9">
        <f>SUM(Z58,Z260,Z454,Z496)</f>
        <v>39377038.969999999</v>
      </c>
      <c r="AA57" s="9" t="e">
        <f>SUM(AA58,AA260,AA454,AA496)</f>
        <v>#VALUE!</v>
      </c>
      <c r="AD57" s="4">
        <v>304337537</v>
      </c>
      <c r="AE57" s="4">
        <v>20296917</v>
      </c>
    </row>
    <row r="58" spans="1:35" ht="16.95" customHeight="1" x14ac:dyDescent="0.3">
      <c r="A58" s="10" t="s">
        <v>248</v>
      </c>
      <c r="B58" s="10" t="s">
        <v>249</v>
      </c>
      <c r="C58" s="153" t="s">
        <v>250</v>
      </c>
      <c r="D58" s="154"/>
      <c r="E58" s="154"/>
      <c r="F58" s="154"/>
      <c r="G58" s="154"/>
      <c r="H58" s="154"/>
      <c r="I58" s="155"/>
      <c r="M58" s="6">
        <f>SUM(M59,M255)</f>
        <v>11342871.83</v>
      </c>
      <c r="N58" s="6">
        <f>SUM(N59,N255)</f>
        <v>11179170.51</v>
      </c>
      <c r="O58" s="6">
        <f>SUM(O59,O255)</f>
        <v>22522042.34</v>
      </c>
      <c r="S58" s="6">
        <f>SUM(S59,S255)</f>
        <v>12112476.130000001</v>
      </c>
      <c r="T58" s="6">
        <f>SUM(T59,T255)</f>
        <v>16768755.77</v>
      </c>
      <c r="U58" s="6">
        <f>SUM(U59,U255)</f>
        <v>28881231.899999999</v>
      </c>
      <c r="Y58" s="9">
        <f>SUM(Y59,Y255)</f>
        <v>10093730.1</v>
      </c>
      <c r="Z58" s="9">
        <f>SUM(Z59,Z255)</f>
        <v>13973963.18</v>
      </c>
      <c r="AA58" s="9">
        <f>SUM(AA59,AA255)</f>
        <v>24067693.280000001</v>
      </c>
      <c r="AD58" s="4">
        <v>304337538</v>
      </c>
      <c r="AE58" s="4">
        <v>20296918</v>
      </c>
    </row>
    <row r="59" spans="1:35" ht="16.95" customHeight="1" x14ac:dyDescent="0.3">
      <c r="A59" s="10" t="s">
        <v>251</v>
      </c>
      <c r="B59" s="10" t="s">
        <v>252</v>
      </c>
      <c r="C59" s="153" t="s">
        <v>253</v>
      </c>
      <c r="D59" s="154"/>
      <c r="E59" s="154"/>
      <c r="F59" s="154"/>
      <c r="G59" s="154"/>
      <c r="H59" s="154"/>
      <c r="I59" s="155"/>
      <c r="M59" s="6">
        <f>SUM(M60,M64,M68,M72,M76,M80,M83,M86,M89,M92,M95,M98,M101,M104,M107,M110,M113,M116,M119,M121,M123,M125,M127,M132,M137,M142,M147,M152,M157,M162,M167,M171,M175,M180,M185,M190,M195,M200,M205,M210,M215,M220,M225,M230,M235,M240,M245,M250)</f>
        <v>11013221.83</v>
      </c>
      <c r="N59" s="6">
        <f>SUM(N60,N64,N68,N72,N76,N80,N83,N86,N89,N92,N95,N98,N101,N104,N107,N110,N113,N116,N119,N121,N123,N125,N127,N132,N137,N142,N147,N152,N157,N162,N167,N171,N175,N180,N185,N190,N195,N200,N205,N210,N215,N220,N225,N230,N235,N240,N245,N250)</f>
        <v>11150161.310000001</v>
      </c>
      <c r="O59" s="6">
        <f>SUM(O60,O64,O68,O72,O76,O80,O83,O86,O89,O92,O95,O98,O101,O104,O107,O110,O113,O116,O119,O121,O123,O125,O127,O132,O137,O142,O147,O152,O157,O162,O167,O171,O175,O180,O185,O190,O195,O200,O205,O210,O215,O220,O225,O230,O235,O240,O245,O250)</f>
        <v>22163383.140000001</v>
      </c>
      <c r="S59" s="6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16725241.970000001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  <c r="Y59" s="9">
        <f>SUM(Y60,Y64,Y68,Y72,Y76,Y80,Y83,Y86,Y89,Y92,Y95,Y98,Y101,Y104,Y107,Y110,Y113,Y116,Y119,Y121,Y123,Y125,Y127,Y132,Y137,Y142,Y147,Y152,Y157,Y162,Y167,Y171,Y175,Y180,Y185,Y190,Y195,Y200,Y205,Y210,Y215,Y220,Y225,Y230,Y235,Y240,Y245,Y250)</f>
        <v>9819021.7699999996</v>
      </c>
      <c r="Z59" s="9">
        <f>SUM(Z60,Z64,Z68,Z72,Z76,Z80,Z83,Z86,Z89,Z92,Z95,Z98,Z101,Z104,Z107,Z110,Z113,Z116,Z119,Z121,Z123,Z125,Z127,Z132,Z137,Z142,Z147,Z152,Z157,Z162,Z167,Z171,Z175,Z180,Z185,Z190,Z195,Z200,Z205,Z210,Z215,Z220,Z225,Z230,Z235,Z240,Z245,Z250)</f>
        <v>13937701.68</v>
      </c>
      <c r="AA59" s="9">
        <f>SUM(AA60,AA64,AA68,AA72,AA76,AA80,AA83,AA86,AA89,AA92,AA95,AA98,AA101,AA104,AA107,AA110,AA113,AA116,AA119,AA121,AA123,AA125,AA127,AA132,AA137,AA142,AA147,AA152,AA157,AA162,AA167,AA171,AA175,AA180,AA185,AA190,AA195,AA200,AA205,AA210,AA215,AA220,AA225,AA230,AA235,AA240,AA245,AA250)</f>
        <v>23756723.449999999</v>
      </c>
      <c r="AD59" s="4">
        <v>304337539</v>
      </c>
      <c r="AE59" s="4">
        <v>20297376</v>
      </c>
    </row>
    <row r="60" spans="1:35" ht="18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3">
        <v>0</v>
      </c>
      <c r="J60" s="14">
        <f>IFERROR(ROUND(SUM(M61,M62,M63)/I60, 2),0)</f>
        <v>0</v>
      </c>
      <c r="K60" s="15">
        <v>556</v>
      </c>
      <c r="L60" s="14">
        <f>J60+ROUND(K60, 2)</f>
        <v>556</v>
      </c>
      <c r="M60" s="14">
        <f>ROUND(J60*I60, 2)</f>
        <v>0</v>
      </c>
      <c r="N60" s="14">
        <f>ROUND(I60*ROUND(K60, 2), 2)</f>
        <v>0</v>
      </c>
      <c r="O60" s="14">
        <f>M60+N60</f>
        <v>0</v>
      </c>
      <c r="P60" s="14">
        <f>IFERROR(ROUND(SUM(S61,S62,S63)/I60, 2),0)</f>
        <v>0</v>
      </c>
      <c r="Q60" s="15">
        <v>556</v>
      </c>
      <c r="R60" s="14">
        <f>P60+ROUND(Q60, 2)</f>
        <v>556</v>
      </c>
      <c r="S60" s="14">
        <f>ROUND(P60*I60, 2)</f>
        <v>0</v>
      </c>
      <c r="T60" s="14">
        <f>ROUND(I60*ROUND(Q60, 2), 2)</f>
        <v>0</v>
      </c>
      <c r="U60" s="14">
        <f>S60+T60</f>
        <v>0</v>
      </c>
      <c r="V60" s="9">
        <f>ROUND(P60 / 1.2, 2)</f>
        <v>0</v>
      </c>
      <c r="W60" s="9">
        <f>ROUND(Q60 / 1.2, 2)</f>
        <v>463.33</v>
      </c>
      <c r="X60" s="9">
        <f>ROUND(R60 / 1.2, 2)</f>
        <v>463.33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304337541</v>
      </c>
      <c r="AE60" s="4">
        <v>20297393</v>
      </c>
      <c r="AG60" s="4" t="s">
        <v>258</v>
      </c>
      <c r="AH60" s="4" t="s">
        <v>259</v>
      </c>
      <c r="AI60" s="4" t="s">
        <v>260</v>
      </c>
    </row>
    <row r="61" spans="1:35" ht="18" x14ac:dyDescent="0.3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30">
        <v>0</v>
      </c>
      <c r="J61" s="31">
        <v>220</v>
      </c>
      <c r="M61" s="32">
        <f>ROUND(ROUND(J61, 2)*I61, 2)</f>
        <v>0</v>
      </c>
      <c r="P61" s="31">
        <v>220</v>
      </c>
      <c r="S61" s="32">
        <f>ROUND(ROUND(P61, 2)*I61, 2)</f>
        <v>0</v>
      </c>
      <c r="V61" s="9">
        <f>ROUND(ROUND(P61, 2)/1.2, 2)</f>
        <v>183.33</v>
      </c>
      <c r="Y61" s="9">
        <f t="shared" ref="Y61:Y92" si="7">ROUND(S61 / 1.2, 2)</f>
        <v>0</v>
      </c>
      <c r="AD61" s="4" t="s">
        <v>266</v>
      </c>
      <c r="AE61" s="4" t="s">
        <v>267</v>
      </c>
      <c r="AF61" s="4" t="s">
        <v>268</v>
      </c>
    </row>
    <row r="62" spans="1:35" ht="72" x14ac:dyDescent="0.3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49">
        <v>0</v>
      </c>
      <c r="J62" s="31">
        <v>51</v>
      </c>
      <c r="M62" s="32">
        <f>ROUND(ROUND(J62, 2)*I62, 2)</f>
        <v>0</v>
      </c>
      <c r="P62" s="31">
        <v>51</v>
      </c>
      <c r="S62" s="32">
        <f>ROUND(ROUND(P62, 2)*I62, 2)</f>
        <v>0</v>
      </c>
      <c r="V62" s="9">
        <f>ROUND(ROUND(P62, 2)/1.2, 2)</f>
        <v>42.5</v>
      </c>
      <c r="Y62" s="9">
        <f t="shared" si="7"/>
        <v>0</v>
      </c>
      <c r="AD62" s="4" t="s">
        <v>273</v>
      </c>
      <c r="AE62" s="4" t="s">
        <v>274</v>
      </c>
      <c r="AF62" s="4" t="s">
        <v>275</v>
      </c>
    </row>
    <row r="63" spans="1:35" ht="72" x14ac:dyDescent="0.3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49">
        <v>0</v>
      </c>
      <c r="J63" s="31">
        <v>1339</v>
      </c>
      <c r="M63" s="32">
        <f>ROUND(ROUND(J63, 2)*I63, 2)</f>
        <v>0</v>
      </c>
      <c r="P63" s="31">
        <v>1339</v>
      </c>
      <c r="S63" s="32">
        <f>ROUND(ROUND(P63, 2)*I63, 2)</f>
        <v>0</v>
      </c>
      <c r="V63" s="9">
        <f>ROUND(ROUND(P63, 2)/1.2, 2)</f>
        <v>1115.83</v>
      </c>
      <c r="Y63" s="9">
        <f t="shared" si="7"/>
        <v>0</v>
      </c>
      <c r="AD63" s="4" t="s">
        <v>280</v>
      </c>
      <c r="AE63" s="4" t="s">
        <v>281</v>
      </c>
      <c r="AF63" s="4" t="s">
        <v>282</v>
      </c>
    </row>
    <row r="64" spans="1:35" ht="18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3">
        <v>0</v>
      </c>
      <c r="J64" s="14">
        <f>IFERROR(ROUND(SUM(M65,M66,M67)/I64, 2),0)</f>
        <v>0</v>
      </c>
      <c r="K64" s="15">
        <v>556</v>
      </c>
      <c r="L64" s="14">
        <f>J64+ROUND(K64, 2)</f>
        <v>556</v>
      </c>
      <c r="M64" s="14">
        <f>ROUND(J64*I64, 2)</f>
        <v>0</v>
      </c>
      <c r="N64" s="14">
        <f>ROUND(I64*ROUND(K64, 2), 2)</f>
        <v>0</v>
      </c>
      <c r="O64" s="14">
        <f>M64+N64</f>
        <v>0</v>
      </c>
      <c r="P64" s="14">
        <f>IFERROR(ROUND(SUM(S65,S66,S67)/I64, 2),0)</f>
        <v>0</v>
      </c>
      <c r="Q64" s="15">
        <v>556</v>
      </c>
      <c r="R64" s="14">
        <f>P64+ROUND(Q64, 2)</f>
        <v>556</v>
      </c>
      <c r="S64" s="14">
        <f>ROUND(P64*I64, 2)</f>
        <v>0</v>
      </c>
      <c r="T64" s="14">
        <f>ROUND(I64*ROUND(Q64, 2), 2)</f>
        <v>0</v>
      </c>
      <c r="U64" s="14">
        <f>S64+T64</f>
        <v>0</v>
      </c>
      <c r="V64" s="9">
        <f>ROUND(P64 / 1.2, 2)</f>
        <v>0</v>
      </c>
      <c r="W64" s="9">
        <f>ROUND(Q64 / 1.2, 2)</f>
        <v>463.33</v>
      </c>
      <c r="X64" s="9">
        <f>ROUND(R64 / 1.2, 2)</f>
        <v>463.33</v>
      </c>
      <c r="Y64" s="9">
        <f t="shared" si="7"/>
        <v>0</v>
      </c>
      <c r="Z64" s="9">
        <f>ROUND(T64 / 1.2, 2)</f>
        <v>0</v>
      </c>
      <c r="AA64" s="9">
        <f>Y64+Z64</f>
        <v>0</v>
      </c>
      <c r="AD64" s="4">
        <v>304337598</v>
      </c>
      <c r="AE64" s="4">
        <v>20297494</v>
      </c>
      <c r="AG64" s="4" t="s">
        <v>258</v>
      </c>
      <c r="AH64" s="4" t="s">
        <v>259</v>
      </c>
      <c r="AI64" s="4" t="s">
        <v>260</v>
      </c>
    </row>
    <row r="65" spans="1:35" ht="54" x14ac:dyDescent="0.3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49">
        <v>0</v>
      </c>
      <c r="J65" s="31">
        <v>1339</v>
      </c>
      <c r="M65" s="32">
        <f>ROUND(ROUND(J65, 2)*I65, 2)</f>
        <v>0</v>
      </c>
      <c r="P65" s="31">
        <v>1339</v>
      </c>
      <c r="S65" s="32">
        <f>ROUND(ROUND(P65, 2)*I65, 2)</f>
        <v>0</v>
      </c>
      <c r="V65" s="9">
        <f>ROUND(ROUND(P65, 2)/1.2, 2)</f>
        <v>1115.83</v>
      </c>
      <c r="Y65" s="9">
        <f t="shared" si="7"/>
        <v>0</v>
      </c>
      <c r="AD65" s="4" t="s">
        <v>291</v>
      </c>
      <c r="AE65" s="4" t="s">
        <v>292</v>
      </c>
      <c r="AF65" s="4" t="s">
        <v>293</v>
      </c>
    </row>
    <row r="66" spans="1:35" ht="72" x14ac:dyDescent="0.3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49">
        <v>0</v>
      </c>
      <c r="J66" s="31">
        <v>51</v>
      </c>
      <c r="M66" s="32">
        <f>ROUND(ROUND(J66, 2)*I66, 2)</f>
        <v>0</v>
      </c>
      <c r="P66" s="31">
        <v>51</v>
      </c>
      <c r="S66" s="32">
        <f>ROUND(ROUND(P66, 2)*I66, 2)</f>
        <v>0</v>
      </c>
      <c r="V66" s="9">
        <f>ROUND(ROUND(P66, 2)/1.2, 2)</f>
        <v>42.5</v>
      </c>
      <c r="Y66" s="9">
        <f t="shared" si="7"/>
        <v>0</v>
      </c>
      <c r="AD66" s="4" t="s">
        <v>298</v>
      </c>
      <c r="AE66" s="4" t="s">
        <v>299</v>
      </c>
      <c r="AF66" s="4" t="s">
        <v>300</v>
      </c>
    </row>
    <row r="67" spans="1:35" ht="18" x14ac:dyDescent="0.3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30">
        <v>0</v>
      </c>
      <c r="J67" s="31">
        <v>220</v>
      </c>
      <c r="M67" s="32">
        <f>ROUND(ROUND(J67, 2)*I67, 2)</f>
        <v>0</v>
      </c>
      <c r="P67" s="31">
        <v>220</v>
      </c>
      <c r="S67" s="32">
        <f>ROUND(ROUND(P67, 2)*I67, 2)</f>
        <v>0</v>
      </c>
      <c r="V67" s="9">
        <f>ROUND(ROUND(P67, 2)/1.2, 2)</f>
        <v>183.33</v>
      </c>
      <c r="Y67" s="9">
        <f t="shared" si="7"/>
        <v>0</v>
      </c>
      <c r="AD67" s="4" t="s">
        <v>304</v>
      </c>
      <c r="AE67" s="4" t="s">
        <v>305</v>
      </c>
      <c r="AF67" s="4" t="s">
        <v>268</v>
      </c>
    </row>
    <row r="68" spans="1:35" ht="18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3">
        <v>0</v>
      </c>
      <c r="J68" s="14">
        <f>IFERROR(ROUND(SUM(M69,M70,M71)/I68, 2),0)</f>
        <v>0</v>
      </c>
      <c r="K68" s="15">
        <v>556</v>
      </c>
      <c r="L68" s="14">
        <f>J68+ROUND(K68, 2)</f>
        <v>556</v>
      </c>
      <c r="M68" s="14">
        <f>ROUND(J68*I68, 2)</f>
        <v>0</v>
      </c>
      <c r="N68" s="14">
        <f>ROUND(I68*ROUND(K68, 2), 2)</f>
        <v>0</v>
      </c>
      <c r="O68" s="14">
        <f>M68+N68</f>
        <v>0</v>
      </c>
      <c r="P68" s="14">
        <f>IFERROR(ROUND(SUM(S69,S70,S71)/I68, 2),0)</f>
        <v>0</v>
      </c>
      <c r="Q68" s="15">
        <v>556</v>
      </c>
      <c r="R68" s="14">
        <f>P68+ROUND(Q68, 2)</f>
        <v>556</v>
      </c>
      <c r="S68" s="14">
        <f>ROUND(P68*I68, 2)</f>
        <v>0</v>
      </c>
      <c r="T68" s="14">
        <f>ROUND(I68*ROUND(Q68, 2), 2)</f>
        <v>0</v>
      </c>
      <c r="U68" s="14">
        <f>S68+T68</f>
        <v>0</v>
      </c>
      <c r="V68" s="9">
        <f>ROUND(P68 / 1.2, 2)</f>
        <v>0</v>
      </c>
      <c r="W68" s="9">
        <f>ROUND(Q68 / 1.2, 2)</f>
        <v>463.33</v>
      </c>
      <c r="X68" s="9">
        <f>ROUND(R68 / 1.2, 2)</f>
        <v>463.33</v>
      </c>
      <c r="Y68" s="9">
        <f t="shared" si="7"/>
        <v>0</v>
      </c>
      <c r="Z68" s="9">
        <f>ROUND(T68 / 1.2, 2)</f>
        <v>0</v>
      </c>
      <c r="AA68" s="9">
        <f>Y68+Z68</f>
        <v>0</v>
      </c>
      <c r="AD68" s="4">
        <v>304337599</v>
      </c>
      <c r="AE68" s="4">
        <v>20297502</v>
      </c>
      <c r="AG68" s="4" t="s">
        <v>258</v>
      </c>
      <c r="AH68" s="4" t="s">
        <v>259</v>
      </c>
      <c r="AI68" s="4" t="s">
        <v>260</v>
      </c>
    </row>
    <row r="69" spans="1:35" ht="18" x14ac:dyDescent="0.3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30">
        <v>0</v>
      </c>
      <c r="J69" s="31">
        <v>220</v>
      </c>
      <c r="M69" s="32">
        <f>ROUND(ROUND(J69, 2)*I69, 2)</f>
        <v>0</v>
      </c>
      <c r="P69" s="31">
        <v>220</v>
      </c>
      <c r="S69" s="32">
        <f>ROUND(ROUND(P69, 2)*I69, 2)</f>
        <v>0</v>
      </c>
      <c r="V69" s="9">
        <f>ROUND(ROUND(P69, 2)/1.2, 2)</f>
        <v>183.33</v>
      </c>
      <c r="Y69" s="9">
        <f t="shared" si="7"/>
        <v>0</v>
      </c>
      <c r="AD69" s="4" t="s">
        <v>312</v>
      </c>
      <c r="AE69" s="4" t="s">
        <v>313</v>
      </c>
      <c r="AF69" s="4" t="s">
        <v>268</v>
      </c>
    </row>
    <row r="70" spans="1:35" ht="72" x14ac:dyDescent="0.3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49">
        <v>0</v>
      </c>
      <c r="J70" s="31">
        <v>51</v>
      </c>
      <c r="M70" s="32">
        <f>ROUND(ROUND(J70, 2)*I70, 2)</f>
        <v>0</v>
      </c>
      <c r="P70" s="31">
        <v>51</v>
      </c>
      <c r="S70" s="32">
        <f>ROUND(ROUND(P70, 2)*I70, 2)</f>
        <v>0</v>
      </c>
      <c r="V70" s="9">
        <f>ROUND(ROUND(P70, 2)/1.2, 2)</f>
        <v>42.5</v>
      </c>
      <c r="Y70" s="9">
        <f t="shared" si="7"/>
        <v>0</v>
      </c>
      <c r="AD70" s="4" t="s">
        <v>317</v>
      </c>
      <c r="AE70" s="4" t="s">
        <v>318</v>
      </c>
      <c r="AF70" s="4" t="s">
        <v>300</v>
      </c>
    </row>
    <row r="71" spans="1:35" ht="54" x14ac:dyDescent="0.3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49">
        <v>0</v>
      </c>
      <c r="J71" s="31">
        <v>1339</v>
      </c>
      <c r="M71" s="32">
        <f>ROUND(ROUND(J71, 2)*I71, 2)</f>
        <v>0</v>
      </c>
      <c r="P71" s="31">
        <v>1339</v>
      </c>
      <c r="S71" s="32">
        <f>ROUND(ROUND(P71, 2)*I71, 2)</f>
        <v>0</v>
      </c>
      <c r="V71" s="9">
        <f>ROUND(ROUND(P71, 2)/1.2, 2)</f>
        <v>1115.83</v>
      </c>
      <c r="Y71" s="9">
        <f t="shared" si="7"/>
        <v>0</v>
      </c>
      <c r="AD71" s="4" t="s">
        <v>322</v>
      </c>
      <c r="AE71" s="4" t="s">
        <v>323</v>
      </c>
      <c r="AF71" s="4" t="s">
        <v>293</v>
      </c>
    </row>
    <row r="72" spans="1:35" ht="18" x14ac:dyDescent="0.3">
      <c r="A72" s="10" t="s">
        <v>326</v>
      </c>
      <c r="B72" s="10" t="s">
        <v>255</v>
      </c>
      <c r="C72" s="11" t="s">
        <v>256</v>
      </c>
      <c r="D72" s="12" t="s">
        <v>257</v>
      </c>
      <c r="E72" s="12" t="s">
        <v>262</v>
      </c>
      <c r="F72" s="12" t="s">
        <v>59</v>
      </c>
      <c r="G72" s="13">
        <v>1</v>
      </c>
      <c r="H72" s="13"/>
      <c r="I72" s="13">
        <v>435.4</v>
      </c>
      <c r="J72" s="14">
        <f>IFERROR(ROUND(SUM(M73,M74,M75)/I72, 2),0)</f>
        <v>1580.6</v>
      </c>
      <c r="K72" s="15">
        <v>556</v>
      </c>
      <c r="L72" s="14">
        <f>J72+ROUND(K72, 2)</f>
        <v>2136.6</v>
      </c>
      <c r="M72" s="14">
        <f>ROUND(J72*I72, 2)</f>
        <v>688193.24</v>
      </c>
      <c r="N72" s="14">
        <f>ROUND(I72*ROUND(K72, 2), 2)</f>
        <v>242082.4</v>
      </c>
      <c r="O72" s="14">
        <f>M72+N72</f>
        <v>930275.64</v>
      </c>
      <c r="P72" s="14">
        <f>IFERROR(ROUND(SUM(S73,S74,S75)/I72, 2),0)</f>
        <v>1580.6</v>
      </c>
      <c r="Q72" s="16">
        <v>834</v>
      </c>
      <c r="R72" s="14">
        <f>P72+ROUND(Q72, 2)</f>
        <v>2414.6</v>
      </c>
      <c r="S72" s="14">
        <f>ROUND(P72*I72, 2)</f>
        <v>688193.24</v>
      </c>
      <c r="T72" s="14">
        <f>ROUND(I72*ROUND(Q72, 2), 2)</f>
        <v>363123.6</v>
      </c>
      <c r="U72" s="14">
        <f>S72+T72</f>
        <v>1051316.8400000001</v>
      </c>
      <c r="V72" s="9">
        <f>ROUND(P72 / 1.2, 2)</f>
        <v>1317.17</v>
      </c>
      <c r="W72" s="9">
        <f>ROUND(Q72 / 1.2, 2)</f>
        <v>695</v>
      </c>
      <c r="X72" s="9">
        <f>ROUND(R72 / 1.2, 2)</f>
        <v>2012.17</v>
      </c>
      <c r="Y72" s="9">
        <f t="shared" si="7"/>
        <v>573494.37</v>
      </c>
      <c r="Z72" s="9">
        <f>ROUND(T72 / 1.2, 2)</f>
        <v>302603</v>
      </c>
      <c r="AA72" s="9">
        <f>Y72+Z72</f>
        <v>876097.37</v>
      </c>
      <c r="AD72" s="4">
        <v>304337600</v>
      </c>
      <c r="AE72" s="4">
        <v>20297504</v>
      </c>
      <c r="AG72" s="4" t="s">
        <v>258</v>
      </c>
      <c r="AH72" s="4" t="s">
        <v>259</v>
      </c>
      <c r="AI72" s="4" t="s">
        <v>260</v>
      </c>
    </row>
    <row r="73" spans="1:35" ht="72" x14ac:dyDescent="0.3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49"/>
      <c r="I73" s="49">
        <v>478.94</v>
      </c>
      <c r="J73" s="31">
        <v>1339</v>
      </c>
      <c r="M73" s="32">
        <f>ROUND(ROUND(J73, 2)*I73, 2)</f>
        <v>641300.66</v>
      </c>
      <c r="P73" s="33">
        <v>1339</v>
      </c>
      <c r="S73" s="32">
        <f>ROUND(ROUND(P73, 2)*I73, 2)</f>
        <v>641300.66</v>
      </c>
      <c r="V73" s="9">
        <f>ROUND(ROUND(P73, 2)/1.2, 2)</f>
        <v>1115.83</v>
      </c>
      <c r="Y73" s="9">
        <f t="shared" si="7"/>
        <v>534417.22</v>
      </c>
      <c r="AD73" s="4" t="s">
        <v>328</v>
      </c>
      <c r="AE73" s="4" t="s">
        <v>329</v>
      </c>
      <c r="AF73" s="4" t="s">
        <v>282</v>
      </c>
    </row>
    <row r="74" spans="1:35" ht="72" x14ac:dyDescent="0.3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49"/>
      <c r="I74" s="49">
        <v>356</v>
      </c>
      <c r="J74" s="31">
        <v>51</v>
      </c>
      <c r="M74" s="32">
        <f>ROUND(ROUND(J74, 2)*I74, 2)</f>
        <v>18156</v>
      </c>
      <c r="P74" s="33">
        <v>51</v>
      </c>
      <c r="S74" s="32">
        <f>ROUND(ROUND(P74, 2)*I74, 2)</f>
        <v>18156</v>
      </c>
      <c r="V74" s="9">
        <f>ROUND(ROUND(P74, 2)/1.2, 2)</f>
        <v>42.5</v>
      </c>
      <c r="Y74" s="9">
        <f t="shared" si="7"/>
        <v>15130</v>
      </c>
      <c r="AD74" s="4" t="s">
        <v>331</v>
      </c>
      <c r="AE74" s="4" t="s">
        <v>332</v>
      </c>
      <c r="AF74" s="4" t="s">
        <v>275</v>
      </c>
    </row>
    <row r="75" spans="1:35" ht="18" x14ac:dyDescent="0.3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30"/>
      <c r="I75" s="30">
        <v>130.62</v>
      </c>
      <c r="J75" s="31">
        <v>220</v>
      </c>
      <c r="M75" s="32">
        <f>ROUND(ROUND(J75, 2)*I75, 2)</f>
        <v>28736.400000000001</v>
      </c>
      <c r="P75" s="33">
        <v>220</v>
      </c>
      <c r="S75" s="32">
        <f>ROUND(ROUND(P75, 2)*I75, 2)</f>
        <v>28736.400000000001</v>
      </c>
      <c r="V75" s="9">
        <f>ROUND(ROUND(P75, 2)/1.2, 2)</f>
        <v>183.33</v>
      </c>
      <c r="Y75" s="9">
        <f t="shared" si="7"/>
        <v>23947</v>
      </c>
      <c r="AD75" s="4" t="s">
        <v>334</v>
      </c>
      <c r="AE75" s="4" t="s">
        <v>335</v>
      </c>
      <c r="AF75" s="4" t="s">
        <v>268</v>
      </c>
    </row>
    <row r="76" spans="1:35" ht="18" x14ac:dyDescent="0.3">
      <c r="A76" s="10" t="s">
        <v>336</v>
      </c>
      <c r="B76" s="10" t="s">
        <v>255</v>
      </c>
      <c r="C76" s="11" t="s">
        <v>256</v>
      </c>
      <c r="D76" s="12" t="s">
        <v>257</v>
      </c>
      <c r="E76" s="12" t="s">
        <v>288</v>
      </c>
      <c r="F76" s="12" t="s">
        <v>59</v>
      </c>
      <c r="G76" s="13">
        <v>1</v>
      </c>
      <c r="H76" s="13"/>
      <c r="I76" s="13">
        <v>1236</v>
      </c>
      <c r="J76" s="14">
        <f>IFERROR(ROUND(SUM(M77,M78,M79)/I76, 2),0)</f>
        <v>1562.05</v>
      </c>
      <c r="K76" s="15">
        <v>556</v>
      </c>
      <c r="L76" s="14">
        <f>J76+ROUND(K76, 2)</f>
        <v>2118.0500000000002</v>
      </c>
      <c r="M76" s="14">
        <f>ROUND(J76*I76, 2)</f>
        <v>1930693.8</v>
      </c>
      <c r="N76" s="14">
        <f>ROUND(I76*ROUND(K76, 2), 2)</f>
        <v>687216</v>
      </c>
      <c r="O76" s="14">
        <f>M76+N76</f>
        <v>2617909.7999999998</v>
      </c>
      <c r="P76" s="14">
        <f>IFERROR(ROUND(SUM(S77,S78,S79)/I76, 2),0)</f>
        <v>1562.05</v>
      </c>
      <c r="Q76" s="16">
        <v>834</v>
      </c>
      <c r="R76" s="14">
        <f>P76+ROUND(Q76, 2)</f>
        <v>2396.0500000000002</v>
      </c>
      <c r="S76" s="14">
        <f>ROUND(P76*I76, 2)</f>
        <v>1930693.8</v>
      </c>
      <c r="T76" s="14">
        <f>ROUND(I76*ROUND(Q76, 2), 2)</f>
        <v>1030824</v>
      </c>
      <c r="U76" s="14">
        <f>S76+T76</f>
        <v>2961517.8</v>
      </c>
      <c r="V76" s="9">
        <f>ROUND(P76 / 1.2, 2)</f>
        <v>1301.71</v>
      </c>
      <c r="W76" s="9">
        <f>ROUND(Q76 / 1.2, 2)</f>
        <v>695</v>
      </c>
      <c r="X76" s="9">
        <f>ROUND(R76 / 1.2, 2)</f>
        <v>1996.71</v>
      </c>
      <c r="Y76" s="9">
        <f t="shared" si="7"/>
        <v>1608911.5</v>
      </c>
      <c r="Z76" s="9">
        <f>ROUND(T76 / 1.2, 2)</f>
        <v>859020</v>
      </c>
      <c r="AA76" s="9">
        <f>Y76+Z76</f>
        <v>2467931.5</v>
      </c>
      <c r="AD76" s="4">
        <v>304337601</v>
      </c>
      <c r="AE76" s="4">
        <v>20298402</v>
      </c>
      <c r="AG76" s="4" t="s">
        <v>258</v>
      </c>
      <c r="AH76" s="4" t="s">
        <v>259</v>
      </c>
      <c r="AI76" s="4" t="s">
        <v>260</v>
      </c>
    </row>
    <row r="77" spans="1:35" ht="18" x14ac:dyDescent="0.3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30">
        <v>370.8</v>
      </c>
      <c r="J77" s="31">
        <v>220</v>
      </c>
      <c r="M77" s="32">
        <f>ROUND(ROUND(J77, 2)*I77, 2)</f>
        <v>81576</v>
      </c>
      <c r="P77" s="33">
        <v>220</v>
      </c>
      <c r="S77" s="32">
        <f>ROUND(ROUND(P77, 2)*I77, 2)</f>
        <v>81576</v>
      </c>
      <c r="V77" s="9">
        <f>ROUND(ROUND(P77, 2)/1.2, 2)</f>
        <v>183.33</v>
      </c>
      <c r="Y77" s="9">
        <f t="shared" si="7"/>
        <v>67980</v>
      </c>
      <c r="AD77" s="4" t="s">
        <v>338</v>
      </c>
      <c r="AE77" s="4" t="s">
        <v>339</v>
      </c>
      <c r="AF77" s="4" t="s">
        <v>268</v>
      </c>
    </row>
    <row r="78" spans="1:35" ht="72" x14ac:dyDescent="0.3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49">
        <v>561</v>
      </c>
      <c r="J78" s="31">
        <v>51</v>
      </c>
      <c r="M78" s="32">
        <f>ROUND(ROUND(J78, 2)*I78, 2)</f>
        <v>28611</v>
      </c>
      <c r="P78" s="33">
        <v>51</v>
      </c>
      <c r="S78" s="32">
        <f>ROUND(ROUND(P78, 2)*I78, 2)</f>
        <v>28611</v>
      </c>
      <c r="V78" s="9">
        <f>ROUND(ROUND(P78, 2)/1.2, 2)</f>
        <v>42.5</v>
      </c>
      <c r="Y78" s="9">
        <f t="shared" si="7"/>
        <v>23842.5</v>
      </c>
      <c r="AD78" s="4" t="s">
        <v>341</v>
      </c>
      <c r="AE78" s="4" t="s">
        <v>342</v>
      </c>
      <c r="AF78" s="4" t="s">
        <v>300</v>
      </c>
    </row>
    <row r="79" spans="1:35" ht="54" x14ac:dyDescent="0.3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49">
        <v>1359.6</v>
      </c>
      <c r="J79" s="31">
        <v>1339</v>
      </c>
      <c r="M79" s="32">
        <f>ROUND(ROUND(J79, 2)*I79, 2)</f>
        <v>1820504.4</v>
      </c>
      <c r="P79" s="33">
        <v>1339</v>
      </c>
      <c r="S79" s="32">
        <f>ROUND(ROUND(P79, 2)*I79, 2)</f>
        <v>1820504.4</v>
      </c>
      <c r="V79" s="9">
        <f>ROUND(ROUND(P79, 2)/1.2, 2)</f>
        <v>1115.83</v>
      </c>
      <c r="Y79" s="9">
        <f t="shared" si="7"/>
        <v>1517087</v>
      </c>
      <c r="AD79" s="4" t="s">
        <v>344</v>
      </c>
      <c r="AE79" s="4" t="s">
        <v>345</v>
      </c>
      <c r="AF79" s="4" t="s">
        <v>293</v>
      </c>
    </row>
    <row r="80" spans="1:35" ht="18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3">
        <v>2276</v>
      </c>
      <c r="J80" s="14">
        <f>IFERROR(ROUND(SUM(M81,M82)/I80, 2),0)</f>
        <v>89.15</v>
      </c>
      <c r="K80" s="15">
        <v>556</v>
      </c>
      <c r="L80" s="14">
        <f>J80+ROUND(K80, 2)</f>
        <v>645.15</v>
      </c>
      <c r="M80" s="14">
        <f>ROUND(J80*I80, 2)</f>
        <v>202905.4</v>
      </c>
      <c r="N80" s="14">
        <f>ROUND(I80*ROUND(K80, 2), 2)</f>
        <v>1265456</v>
      </c>
      <c r="O80" s="14">
        <f>M80+N80</f>
        <v>1468361.4</v>
      </c>
      <c r="P80" s="14">
        <f>IFERROR(ROUND(SUM(S81,S82)/I80, 2),0)</f>
        <v>89.15</v>
      </c>
      <c r="Q80" s="16">
        <v>834</v>
      </c>
      <c r="R80" s="14">
        <f>P80+ROUND(Q80, 2)</f>
        <v>923.15</v>
      </c>
      <c r="S80" s="14">
        <f>ROUND(P80*I80, 2)</f>
        <v>202905.4</v>
      </c>
      <c r="T80" s="14">
        <f>ROUND(I80*ROUND(Q80, 2), 2)</f>
        <v>1898184</v>
      </c>
      <c r="U80" s="14">
        <f>S80+T80</f>
        <v>2101089.4</v>
      </c>
      <c r="V80" s="9">
        <f>ROUND(P80 / 1.2, 2)</f>
        <v>74.290000000000006</v>
      </c>
      <c r="W80" s="9">
        <f>ROUND(Q80 / 1.2, 2)</f>
        <v>695</v>
      </c>
      <c r="X80" s="9">
        <f>ROUND(R80 / 1.2, 2)</f>
        <v>769.29</v>
      </c>
      <c r="Y80" s="9">
        <f t="shared" si="7"/>
        <v>169087.83</v>
      </c>
      <c r="Z80" s="9">
        <f>ROUND(T80 / 1.2, 2)</f>
        <v>1581820</v>
      </c>
      <c r="AA80" s="9">
        <f>Y80+Z80</f>
        <v>1750907.83</v>
      </c>
      <c r="AD80" s="4">
        <v>304337602</v>
      </c>
      <c r="AE80" s="4">
        <v>20298403</v>
      </c>
      <c r="AG80" s="4" t="s">
        <v>258</v>
      </c>
      <c r="AH80" s="4" t="s">
        <v>259</v>
      </c>
      <c r="AI80" s="4" t="s">
        <v>260</v>
      </c>
    </row>
    <row r="81" spans="1:35" ht="72" x14ac:dyDescent="0.3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49">
        <v>1033</v>
      </c>
      <c r="J81" s="31">
        <v>51</v>
      </c>
      <c r="M81" s="32">
        <f>ROUND(ROUND(J81, 2)*I81, 2)</f>
        <v>52683</v>
      </c>
      <c r="P81" s="33">
        <v>51</v>
      </c>
      <c r="S81" s="32">
        <f>ROUND(ROUND(P81, 2)*I81, 2)</f>
        <v>52683</v>
      </c>
      <c r="V81" s="9">
        <f>ROUND(ROUND(P81, 2)/1.2, 2)</f>
        <v>42.5</v>
      </c>
      <c r="Y81" s="9">
        <f t="shared" si="7"/>
        <v>43902.5</v>
      </c>
      <c r="AD81" s="4" t="s">
        <v>348</v>
      </c>
      <c r="AE81" s="4" t="s">
        <v>349</v>
      </c>
      <c r="AF81" s="4" t="s">
        <v>300</v>
      </c>
    </row>
    <row r="82" spans="1:35" ht="18" x14ac:dyDescent="0.3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30">
        <v>682.8</v>
      </c>
      <c r="J82" s="31">
        <v>220</v>
      </c>
      <c r="M82" s="32">
        <f>ROUND(ROUND(J82, 2)*I82, 2)</f>
        <v>150216</v>
      </c>
      <c r="P82" s="33">
        <v>220</v>
      </c>
      <c r="S82" s="32">
        <f>ROUND(ROUND(P82, 2)*I82, 2)</f>
        <v>150216</v>
      </c>
      <c r="V82" s="9">
        <f>ROUND(ROUND(P82, 2)/1.2, 2)</f>
        <v>183.33</v>
      </c>
      <c r="Y82" s="9">
        <f t="shared" si="7"/>
        <v>125180</v>
      </c>
      <c r="AD82" s="4" t="s">
        <v>351</v>
      </c>
      <c r="AE82" s="4" t="s">
        <v>352</v>
      </c>
      <c r="AF82" s="4" t="s">
        <v>268</v>
      </c>
    </row>
    <row r="83" spans="1:35" ht="1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3">
        <v>0</v>
      </c>
      <c r="J83" s="14">
        <f>IFERROR(ROUND(SUM(M84,M85)/I83, 2),0)</f>
        <v>0</v>
      </c>
      <c r="K83" s="15">
        <v>200</v>
      </c>
      <c r="L83" s="14">
        <f>J83+ROUND(K83, 2)</f>
        <v>200</v>
      </c>
      <c r="M83" s="14">
        <f>ROUND(J83*I83, 2)</f>
        <v>0</v>
      </c>
      <c r="N83" s="14">
        <f>ROUND(I83*ROUND(K83, 2), 2)</f>
        <v>0</v>
      </c>
      <c r="O83" s="14">
        <f>M83+N83</f>
        <v>0</v>
      </c>
      <c r="P83" s="14">
        <f>IFERROR(ROUND(SUM(S84,S85)/I83, 2),0)</f>
        <v>0</v>
      </c>
      <c r="Q83" s="15">
        <v>200</v>
      </c>
      <c r="R83" s="14">
        <f>P83+ROUND(Q83, 2)</f>
        <v>200</v>
      </c>
      <c r="S83" s="14">
        <f>ROUND(P83*I83, 2)</f>
        <v>0</v>
      </c>
      <c r="T83" s="14">
        <f>ROUND(I83*ROUND(Q83, 2), 2)</f>
        <v>0</v>
      </c>
      <c r="U83" s="14">
        <f>S83+T83</f>
        <v>0</v>
      </c>
      <c r="V83" s="9">
        <f>ROUND(P83 / 1.2, 2)</f>
        <v>0</v>
      </c>
      <c r="W83" s="9">
        <f>ROUND(Q83 / 1.2, 2)</f>
        <v>166.67</v>
      </c>
      <c r="X83" s="9">
        <f>ROUND(R83 / 1.2, 2)</f>
        <v>166.67</v>
      </c>
      <c r="Y83" s="9">
        <f t="shared" si="7"/>
        <v>0</v>
      </c>
      <c r="Z83" s="9">
        <f>ROUND(T83 / 1.2, 2)</f>
        <v>0</v>
      </c>
      <c r="AA83" s="9">
        <f>Y83+Z83</f>
        <v>0</v>
      </c>
      <c r="AD83" s="4">
        <v>304337543</v>
      </c>
      <c r="AE83" s="4">
        <v>20298510</v>
      </c>
      <c r="AG83" s="4" t="s">
        <v>356</v>
      </c>
      <c r="AH83" s="4" t="s">
        <v>357</v>
      </c>
      <c r="AI83" s="4" t="s">
        <v>260</v>
      </c>
    </row>
    <row r="84" spans="1:35" ht="36" x14ac:dyDescent="0.3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49">
        <v>0</v>
      </c>
      <c r="J84" s="31">
        <v>0</v>
      </c>
      <c r="M84" s="32">
        <f>ROUND(ROUND(J84, 2)*I84, 2)</f>
        <v>0</v>
      </c>
      <c r="P84" s="31">
        <v>516.79999999999995</v>
      </c>
      <c r="S84" s="32">
        <f>ROUND(ROUND(P84, 2)*I84, 2)</f>
        <v>0</v>
      </c>
      <c r="V84" s="9">
        <f>ROUND(ROUND(P84, 2)/1.2, 2)</f>
        <v>430.67</v>
      </c>
      <c r="Y84" s="9">
        <f t="shared" si="7"/>
        <v>0</v>
      </c>
      <c r="AD84" s="4" t="s">
        <v>362</v>
      </c>
      <c r="AE84" s="4" t="s">
        <v>363</v>
      </c>
      <c r="AF84" s="4" t="s">
        <v>364</v>
      </c>
    </row>
    <row r="85" spans="1:35" ht="18" x14ac:dyDescent="0.3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30">
        <v>0</v>
      </c>
      <c r="J85" s="31">
        <v>100</v>
      </c>
      <c r="M85" s="32">
        <f>ROUND(ROUND(J85, 2)*I85, 2)</f>
        <v>0</v>
      </c>
      <c r="P85" s="31">
        <v>100</v>
      </c>
      <c r="S85" s="32">
        <f>ROUND(ROUND(P85, 2)*I85, 2)</f>
        <v>0</v>
      </c>
      <c r="V85" s="9">
        <f>ROUND(ROUND(P85, 2)/1.2, 2)</f>
        <v>83.33</v>
      </c>
      <c r="Y85" s="9">
        <f t="shared" si="7"/>
        <v>0</v>
      </c>
      <c r="AD85" s="4" t="s">
        <v>370</v>
      </c>
      <c r="AE85" s="4" t="s">
        <v>371</v>
      </c>
      <c r="AF85" s="4" t="s">
        <v>372</v>
      </c>
    </row>
    <row r="86" spans="1:35" ht="1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3">
        <v>0</v>
      </c>
      <c r="J86" s="14">
        <f>IFERROR(ROUND(SUM(M87,M88)/I86, 2),0)</f>
        <v>0</v>
      </c>
      <c r="K86" s="15">
        <v>200</v>
      </c>
      <c r="L86" s="14">
        <f>J86+ROUND(K86, 2)</f>
        <v>200</v>
      </c>
      <c r="M86" s="14">
        <f>ROUND(J86*I86, 2)</f>
        <v>0</v>
      </c>
      <c r="N86" s="14">
        <f>ROUND(I86*ROUND(K86, 2), 2)</f>
        <v>0</v>
      </c>
      <c r="O86" s="14">
        <f>M86+N86</f>
        <v>0</v>
      </c>
      <c r="P86" s="14">
        <f>IFERROR(ROUND(SUM(S87,S88)/I86, 2),0)</f>
        <v>0</v>
      </c>
      <c r="Q86" s="15">
        <v>200</v>
      </c>
      <c r="R86" s="14">
        <f>P86+ROUND(Q86, 2)</f>
        <v>200</v>
      </c>
      <c r="S86" s="14">
        <f>ROUND(P86*I86, 2)</f>
        <v>0</v>
      </c>
      <c r="T86" s="14">
        <f>ROUND(I86*ROUND(Q86, 2), 2)</f>
        <v>0</v>
      </c>
      <c r="U86" s="14">
        <f>S86+T86</f>
        <v>0</v>
      </c>
      <c r="V86" s="9">
        <f>ROUND(P86 / 1.2, 2)</f>
        <v>0</v>
      </c>
      <c r="W86" s="9">
        <f>ROUND(Q86 / 1.2, 2)</f>
        <v>166.67</v>
      </c>
      <c r="X86" s="9">
        <f>ROUND(R86 / 1.2, 2)</f>
        <v>166.67</v>
      </c>
      <c r="Y86" s="9">
        <f t="shared" si="7"/>
        <v>0</v>
      </c>
      <c r="Z86" s="9">
        <f>ROUND(T86 / 1.2, 2)</f>
        <v>0</v>
      </c>
      <c r="AA86" s="9">
        <f>Y86+Z86</f>
        <v>0</v>
      </c>
      <c r="AD86" s="4">
        <v>304337603</v>
      </c>
      <c r="AE86" s="4">
        <v>20298511</v>
      </c>
      <c r="AG86" s="4" t="s">
        <v>356</v>
      </c>
      <c r="AH86" s="4" t="s">
        <v>357</v>
      </c>
      <c r="AI86" s="4" t="s">
        <v>260</v>
      </c>
    </row>
    <row r="87" spans="1:35" ht="18" x14ac:dyDescent="0.3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30">
        <v>0</v>
      </c>
      <c r="J87" s="31">
        <v>100</v>
      </c>
      <c r="M87" s="32">
        <f>ROUND(ROUND(J87, 2)*I87, 2)</f>
        <v>0</v>
      </c>
      <c r="P87" s="31">
        <v>100</v>
      </c>
      <c r="S87" s="32">
        <f>ROUND(ROUND(P87, 2)*I87, 2)</f>
        <v>0</v>
      </c>
      <c r="V87" s="9">
        <f>ROUND(ROUND(P87, 2)/1.2, 2)</f>
        <v>83.33</v>
      </c>
      <c r="Y87" s="9">
        <f t="shared" si="7"/>
        <v>0</v>
      </c>
      <c r="AD87" s="4" t="s">
        <v>379</v>
      </c>
      <c r="AE87" s="4" t="s">
        <v>380</v>
      </c>
      <c r="AF87" s="4" t="s">
        <v>372</v>
      </c>
    </row>
    <row r="88" spans="1:35" ht="36" x14ac:dyDescent="0.3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49">
        <v>0</v>
      </c>
      <c r="J88" s="31">
        <v>0</v>
      </c>
      <c r="M88" s="32">
        <f>ROUND(ROUND(J88, 2)*I88, 2)</f>
        <v>0</v>
      </c>
      <c r="P88" s="31">
        <v>516.79999999999995</v>
      </c>
      <c r="S88" s="32">
        <f>ROUND(ROUND(P88, 2)*I88, 2)</f>
        <v>0</v>
      </c>
      <c r="V88" s="9">
        <f>ROUND(ROUND(P88, 2)/1.2, 2)</f>
        <v>430.67</v>
      </c>
      <c r="Y88" s="9">
        <f t="shared" si="7"/>
        <v>0</v>
      </c>
      <c r="AD88" s="4" t="s">
        <v>384</v>
      </c>
      <c r="AE88" s="4" t="s">
        <v>385</v>
      </c>
      <c r="AF88" s="4" t="s">
        <v>364</v>
      </c>
    </row>
    <row r="89" spans="1:35" ht="1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3">
        <v>0</v>
      </c>
      <c r="J89" s="14">
        <f>IFERROR(ROUND(SUM(M90,M91)/I89, 2),0)</f>
        <v>0</v>
      </c>
      <c r="K89" s="15">
        <v>200</v>
      </c>
      <c r="L89" s="14">
        <f>J89+ROUND(K89, 2)</f>
        <v>200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IFERROR(ROUND(SUM(S90,S91)/I89, 2),0)</f>
        <v>0</v>
      </c>
      <c r="Q89" s="15">
        <v>200</v>
      </c>
      <c r="R89" s="14">
        <f>P89+ROUND(Q89, 2)</f>
        <v>200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166.67</v>
      </c>
      <c r="X89" s="9">
        <f>ROUND(R89 / 1.2, 2)</f>
        <v>166.67</v>
      </c>
      <c r="Y89" s="9">
        <f t="shared" si="7"/>
        <v>0</v>
      </c>
      <c r="Z89" s="9">
        <f>ROUND(T89 / 1.2, 2)</f>
        <v>0</v>
      </c>
      <c r="AA89" s="9">
        <f>Y89+Z89</f>
        <v>0</v>
      </c>
      <c r="AD89" s="4">
        <v>304337604</v>
      </c>
      <c r="AE89" s="4">
        <v>20298519</v>
      </c>
      <c r="AG89" s="4" t="s">
        <v>356</v>
      </c>
      <c r="AH89" s="4" t="s">
        <v>357</v>
      </c>
      <c r="AI89" s="4" t="s">
        <v>260</v>
      </c>
    </row>
    <row r="90" spans="1:35" ht="36" x14ac:dyDescent="0.3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49">
        <v>0</v>
      </c>
      <c r="J90" s="31">
        <v>0</v>
      </c>
      <c r="M90" s="32">
        <f>ROUND(ROUND(J90, 2)*I90, 2)</f>
        <v>0</v>
      </c>
      <c r="P90" s="31">
        <v>516.79999999999995</v>
      </c>
      <c r="S90" s="32">
        <f>ROUND(ROUND(P90, 2)*I90, 2)</f>
        <v>0</v>
      </c>
      <c r="V90" s="9">
        <f>ROUND(ROUND(P90, 2)/1.2, 2)</f>
        <v>430.67</v>
      </c>
      <c r="Y90" s="9">
        <f t="shared" si="7"/>
        <v>0</v>
      </c>
      <c r="AD90" s="4" t="s">
        <v>392</v>
      </c>
      <c r="AE90" s="4" t="s">
        <v>393</v>
      </c>
      <c r="AF90" s="4" t="s">
        <v>364</v>
      </c>
    </row>
    <row r="91" spans="1:35" ht="18" x14ac:dyDescent="0.3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30">
        <v>0</v>
      </c>
      <c r="J91" s="31">
        <v>100</v>
      </c>
      <c r="M91" s="32">
        <f>ROUND(ROUND(J91, 2)*I91, 2)</f>
        <v>0</v>
      </c>
      <c r="P91" s="31">
        <v>100</v>
      </c>
      <c r="S91" s="32">
        <f>ROUND(ROUND(P91, 2)*I91, 2)</f>
        <v>0</v>
      </c>
      <c r="V91" s="9">
        <f>ROUND(ROUND(P91, 2)/1.2, 2)</f>
        <v>83.33</v>
      </c>
      <c r="Y91" s="9">
        <f t="shared" si="7"/>
        <v>0</v>
      </c>
      <c r="AD91" s="4" t="s">
        <v>397</v>
      </c>
      <c r="AE91" s="4" t="s">
        <v>398</v>
      </c>
      <c r="AF91" s="4" t="s">
        <v>372</v>
      </c>
    </row>
    <row r="92" spans="1:35" ht="1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3">
        <v>0</v>
      </c>
      <c r="J92" s="14">
        <f>IFERROR(ROUND(SUM(M93,M94)/I92, 2),0)</f>
        <v>0</v>
      </c>
      <c r="K92" s="15">
        <v>200</v>
      </c>
      <c r="L92" s="14">
        <f>J92+ROUND(K92, 2)</f>
        <v>200</v>
      </c>
      <c r="M92" s="14">
        <f>ROUND(J92*I92, 2)</f>
        <v>0</v>
      </c>
      <c r="N92" s="14">
        <f>ROUND(I92*ROUND(K92, 2), 2)</f>
        <v>0</v>
      </c>
      <c r="O92" s="14">
        <f>M92+N92</f>
        <v>0</v>
      </c>
      <c r="P92" s="14">
        <f>IFERROR(ROUND(SUM(S93,S94)/I92, 2),0)</f>
        <v>0</v>
      </c>
      <c r="Q92" s="15">
        <v>200</v>
      </c>
      <c r="R92" s="14">
        <f>P92+ROUND(Q92, 2)</f>
        <v>200</v>
      </c>
      <c r="S92" s="14">
        <f>ROUND(P92*I92, 2)</f>
        <v>0</v>
      </c>
      <c r="T92" s="14">
        <f>ROUND(I92*ROUND(Q92, 2), 2)</f>
        <v>0</v>
      </c>
      <c r="U92" s="14">
        <f>S92+T92</f>
        <v>0</v>
      </c>
      <c r="V92" s="9">
        <f>ROUND(P92 / 1.2, 2)</f>
        <v>0</v>
      </c>
      <c r="W92" s="9">
        <f>ROUND(Q92 / 1.2, 2)</f>
        <v>166.67</v>
      </c>
      <c r="X92" s="9">
        <f>ROUND(R92 / 1.2, 2)</f>
        <v>166.67</v>
      </c>
      <c r="Y92" s="9">
        <f t="shared" si="7"/>
        <v>0</v>
      </c>
      <c r="Z92" s="9">
        <f>ROUND(T92 / 1.2, 2)</f>
        <v>0</v>
      </c>
      <c r="AA92" s="9">
        <f>Y92+Z92</f>
        <v>0</v>
      </c>
      <c r="AD92" s="4">
        <v>304337605</v>
      </c>
      <c r="AE92" s="4">
        <v>20298509</v>
      </c>
      <c r="AG92" s="4" t="s">
        <v>356</v>
      </c>
      <c r="AH92" s="4" t="s">
        <v>357</v>
      </c>
      <c r="AI92" s="4" t="s">
        <v>260</v>
      </c>
    </row>
    <row r="93" spans="1:35" ht="18" x14ac:dyDescent="0.3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49">
        <v>0</v>
      </c>
      <c r="J93" s="31">
        <v>140.54</v>
      </c>
      <c r="M93" s="32">
        <f>ROUND(ROUND(J93, 2)*I93, 2)</f>
        <v>0</v>
      </c>
      <c r="P93" s="31">
        <v>140.54</v>
      </c>
      <c r="S93" s="32">
        <f>ROUND(ROUND(P93, 2)*I93, 2)</f>
        <v>0</v>
      </c>
      <c r="V93" s="9">
        <f>ROUND(ROUND(P93, 2)/1.2, 2)</f>
        <v>117.12</v>
      </c>
      <c r="Y93" s="9">
        <f t="shared" ref="Y93:Y124" si="8">ROUND(S93 / 1.2, 2)</f>
        <v>0</v>
      </c>
      <c r="AD93" s="4" t="s">
        <v>406</v>
      </c>
      <c r="AE93" s="4" t="s">
        <v>407</v>
      </c>
      <c r="AF93" s="4" t="s">
        <v>408</v>
      </c>
    </row>
    <row r="94" spans="1:35" ht="18" x14ac:dyDescent="0.3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30">
        <v>0</v>
      </c>
      <c r="J94" s="31">
        <v>100</v>
      </c>
      <c r="M94" s="32">
        <f>ROUND(ROUND(J94, 2)*I94, 2)</f>
        <v>0</v>
      </c>
      <c r="P94" s="31">
        <v>100</v>
      </c>
      <c r="S94" s="32">
        <f>ROUND(ROUND(P94, 2)*I94, 2)</f>
        <v>0</v>
      </c>
      <c r="V94" s="9">
        <f>ROUND(ROUND(P94, 2)/1.2, 2)</f>
        <v>83.33</v>
      </c>
      <c r="Y94" s="9">
        <f t="shared" si="8"/>
        <v>0</v>
      </c>
      <c r="AD94" s="4" t="s">
        <v>412</v>
      </c>
      <c r="AE94" s="4" t="s">
        <v>413</v>
      </c>
      <c r="AF94" s="4" t="s">
        <v>372</v>
      </c>
    </row>
    <row r="95" spans="1:35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3">
        <v>25</v>
      </c>
      <c r="J95" s="14">
        <f>IFERROR(ROUND(SUM(M96,M97)/I95, 2),0)</f>
        <v>9</v>
      </c>
      <c r="K95" s="15">
        <v>200</v>
      </c>
      <c r="L95" s="14">
        <f>J95+ROUND(K95, 2)</f>
        <v>209</v>
      </c>
      <c r="M95" s="14">
        <f>ROUND(J95*I95, 2)</f>
        <v>225</v>
      </c>
      <c r="N95" s="14">
        <f>ROUND(I95*ROUND(K95, 2), 2)</f>
        <v>5000</v>
      </c>
      <c r="O95" s="14">
        <f>M95+N95</f>
        <v>5225</v>
      </c>
      <c r="P95" s="14">
        <f>IFERROR(ROUND(SUM(S96,S97)/I95, 2),0)</f>
        <v>9</v>
      </c>
      <c r="Q95" s="16">
        <v>300</v>
      </c>
      <c r="R95" s="14">
        <f>P95+ROUND(Q95, 2)</f>
        <v>309</v>
      </c>
      <c r="S95" s="14">
        <f>ROUND(P95*I95, 2)</f>
        <v>225</v>
      </c>
      <c r="T95" s="14">
        <f>ROUND(I95*ROUND(Q95, 2), 2)</f>
        <v>7500</v>
      </c>
      <c r="U95" s="14">
        <f>S95+T95</f>
        <v>7725</v>
      </c>
      <c r="V95" s="9">
        <f>ROUND(P95 / 1.2, 2)</f>
        <v>7.5</v>
      </c>
      <c r="W95" s="9">
        <f>ROUND(Q95 / 1.2, 2)</f>
        <v>250</v>
      </c>
      <c r="X95" s="9">
        <f>ROUND(R95 / 1.2, 2)</f>
        <v>257.5</v>
      </c>
      <c r="Y95" s="9">
        <f t="shared" si="8"/>
        <v>187.5</v>
      </c>
      <c r="Z95" s="9">
        <f>ROUND(T95 / 1.2, 2)</f>
        <v>6250</v>
      </c>
      <c r="AA95" s="9">
        <f>Y95+Z95</f>
        <v>6437.5</v>
      </c>
      <c r="AD95" s="4">
        <v>304337606</v>
      </c>
      <c r="AE95" s="4">
        <v>21916282</v>
      </c>
      <c r="AG95" s="4" t="s">
        <v>356</v>
      </c>
      <c r="AH95" s="4" t="s">
        <v>357</v>
      </c>
      <c r="AI95" s="4" t="s">
        <v>260</v>
      </c>
    </row>
    <row r="96" spans="1:35" ht="36" x14ac:dyDescent="0.3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49">
        <v>27.5</v>
      </c>
      <c r="J96" s="31">
        <v>0</v>
      </c>
      <c r="M96" s="32">
        <f>ROUND(ROUND(J96, 2)*I96, 2)</f>
        <v>0</v>
      </c>
      <c r="P96" s="33">
        <v>0</v>
      </c>
      <c r="S96" s="32">
        <f>ROUND(ROUND(P96, 2)*I96, 2)</f>
        <v>0</v>
      </c>
      <c r="V96" s="9">
        <f>ROUND(ROUND(P96, 2)/1.2, 2)</f>
        <v>0</v>
      </c>
      <c r="Y96" s="9">
        <f t="shared" si="8"/>
        <v>0</v>
      </c>
      <c r="AD96" s="4" t="s">
        <v>418</v>
      </c>
      <c r="AE96" s="4" t="s">
        <v>419</v>
      </c>
      <c r="AF96" s="4" t="s">
        <v>364</v>
      </c>
    </row>
    <row r="97" spans="1:35" ht="18" x14ac:dyDescent="0.3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30">
        <v>2.25</v>
      </c>
      <c r="J97" s="31">
        <v>100</v>
      </c>
      <c r="M97" s="32">
        <f>ROUND(ROUND(J97, 2)*I97, 2)</f>
        <v>225</v>
      </c>
      <c r="P97" s="33">
        <v>100</v>
      </c>
      <c r="S97" s="32">
        <f>ROUND(ROUND(P97, 2)*I97, 2)</f>
        <v>225</v>
      </c>
      <c r="V97" s="9">
        <f>ROUND(ROUND(P97, 2)/1.2, 2)</f>
        <v>83.33</v>
      </c>
      <c r="Y97" s="9">
        <f t="shared" si="8"/>
        <v>187.5</v>
      </c>
      <c r="AD97" s="4" t="s">
        <v>421</v>
      </c>
      <c r="AE97" s="4" t="s">
        <v>422</v>
      </c>
      <c r="AF97" s="4" t="s">
        <v>372</v>
      </c>
    </row>
    <row r="98" spans="1:35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3">
        <v>8.1</v>
      </c>
      <c r="J98" s="14">
        <f>IFERROR(ROUND(SUM(M99,M100)/I98, 2),0)</f>
        <v>9</v>
      </c>
      <c r="K98" s="15">
        <v>200</v>
      </c>
      <c r="L98" s="14">
        <f>J98+ROUND(K98, 2)</f>
        <v>209</v>
      </c>
      <c r="M98" s="14">
        <f>ROUND(J98*I98, 2)</f>
        <v>72.900000000000006</v>
      </c>
      <c r="N98" s="14">
        <f>ROUND(I98*ROUND(K98, 2), 2)</f>
        <v>1620</v>
      </c>
      <c r="O98" s="14">
        <f>M98+N98</f>
        <v>1692.9</v>
      </c>
      <c r="P98" s="14">
        <f>IFERROR(ROUND(SUM(S99,S100)/I98, 2),0)</f>
        <v>9</v>
      </c>
      <c r="Q98" s="16">
        <v>300</v>
      </c>
      <c r="R98" s="14">
        <f>P98+ROUND(Q98, 2)</f>
        <v>309</v>
      </c>
      <c r="S98" s="14">
        <f>ROUND(P98*I98, 2)</f>
        <v>72.900000000000006</v>
      </c>
      <c r="T98" s="14">
        <f>ROUND(I98*ROUND(Q98, 2), 2)</f>
        <v>2430</v>
      </c>
      <c r="U98" s="14">
        <f>S98+T98</f>
        <v>2502.9</v>
      </c>
      <c r="V98" s="9">
        <f>ROUND(P98 / 1.2, 2)</f>
        <v>7.5</v>
      </c>
      <c r="W98" s="9">
        <f>ROUND(Q98 / 1.2, 2)</f>
        <v>250</v>
      </c>
      <c r="X98" s="9">
        <f>ROUND(R98 / 1.2, 2)</f>
        <v>257.5</v>
      </c>
      <c r="Y98" s="9">
        <f t="shared" si="8"/>
        <v>60.75</v>
      </c>
      <c r="Z98" s="9">
        <f>ROUND(T98 / 1.2, 2)</f>
        <v>2025</v>
      </c>
      <c r="AA98" s="9">
        <f>Y98+Z98</f>
        <v>2085.75</v>
      </c>
      <c r="AD98" s="4">
        <v>304337607</v>
      </c>
      <c r="AE98" s="4">
        <v>21916283</v>
      </c>
      <c r="AG98" s="4" t="s">
        <v>356</v>
      </c>
      <c r="AH98" s="4" t="s">
        <v>357</v>
      </c>
      <c r="AI98" s="4" t="s">
        <v>260</v>
      </c>
    </row>
    <row r="99" spans="1:35" ht="18" x14ac:dyDescent="0.3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30">
        <v>0.72899999999999998</v>
      </c>
      <c r="J99" s="31">
        <v>100</v>
      </c>
      <c r="M99" s="32">
        <f>ROUND(ROUND(J99, 2)*I99, 2)</f>
        <v>72.900000000000006</v>
      </c>
      <c r="P99" s="33">
        <v>100</v>
      </c>
      <c r="S99" s="32">
        <f>ROUND(ROUND(P99, 2)*I99, 2)</f>
        <v>72.900000000000006</v>
      </c>
      <c r="V99" s="9">
        <f>ROUND(ROUND(P99, 2)/1.2, 2)</f>
        <v>83.33</v>
      </c>
      <c r="Y99" s="9">
        <f t="shared" si="8"/>
        <v>60.75</v>
      </c>
      <c r="AD99" s="4" t="s">
        <v>425</v>
      </c>
      <c r="AE99" s="4" t="s">
        <v>426</v>
      </c>
      <c r="AF99" s="4" t="s">
        <v>372</v>
      </c>
    </row>
    <row r="100" spans="1:35" ht="36" x14ac:dyDescent="0.3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49">
        <v>8.91</v>
      </c>
      <c r="J100" s="31">
        <v>0</v>
      </c>
      <c r="M100" s="32">
        <f>ROUND(ROUND(J100, 2)*I100, 2)</f>
        <v>0</v>
      </c>
      <c r="P100" s="33">
        <v>0</v>
      </c>
      <c r="S100" s="32">
        <f>ROUND(ROUND(P100, 2)*I100, 2)</f>
        <v>0</v>
      </c>
      <c r="V100" s="9">
        <f>ROUND(ROUND(P100, 2)/1.2, 2)</f>
        <v>0</v>
      </c>
      <c r="Y100" s="9">
        <f t="shared" si="8"/>
        <v>0</v>
      </c>
      <c r="AD100" s="4" t="s">
        <v>428</v>
      </c>
      <c r="AE100" s="4" t="s">
        <v>429</v>
      </c>
      <c r="AF100" s="4" t="s">
        <v>364</v>
      </c>
    </row>
    <row r="101" spans="1:35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3">
        <v>11</v>
      </c>
      <c r="J101" s="14">
        <f>IFERROR(ROUND(SUM(M102,M103)/I101, 2),0)</f>
        <v>9</v>
      </c>
      <c r="K101" s="15">
        <v>200</v>
      </c>
      <c r="L101" s="14">
        <f>J101+ROUND(K101, 2)</f>
        <v>209</v>
      </c>
      <c r="M101" s="14">
        <f>ROUND(J101*I101, 2)</f>
        <v>99</v>
      </c>
      <c r="N101" s="14">
        <f>ROUND(I101*ROUND(K101, 2), 2)</f>
        <v>2200</v>
      </c>
      <c r="O101" s="14">
        <f>M101+N101</f>
        <v>2299</v>
      </c>
      <c r="P101" s="14">
        <f>IFERROR(ROUND(SUM(S102,S103)/I101, 2),0)</f>
        <v>9</v>
      </c>
      <c r="Q101" s="16">
        <v>300</v>
      </c>
      <c r="R101" s="14">
        <f>P101+ROUND(Q101, 2)</f>
        <v>309</v>
      </c>
      <c r="S101" s="14">
        <f>ROUND(P101*I101, 2)</f>
        <v>99</v>
      </c>
      <c r="T101" s="14">
        <f>ROUND(I101*ROUND(Q101, 2), 2)</f>
        <v>3300</v>
      </c>
      <c r="U101" s="14">
        <f>S101+T101</f>
        <v>3399</v>
      </c>
      <c r="V101" s="9">
        <f>ROUND(P101 / 1.2, 2)</f>
        <v>7.5</v>
      </c>
      <c r="W101" s="9">
        <f>ROUND(Q101 / 1.2, 2)</f>
        <v>250</v>
      </c>
      <c r="X101" s="9">
        <f>ROUND(R101 / 1.2, 2)</f>
        <v>257.5</v>
      </c>
      <c r="Y101" s="9">
        <f t="shared" si="8"/>
        <v>82.5</v>
      </c>
      <c r="Z101" s="9">
        <f>ROUND(T101 / 1.2, 2)</f>
        <v>2750</v>
      </c>
      <c r="AA101" s="9">
        <f>Y101+Z101</f>
        <v>2832.5</v>
      </c>
      <c r="AD101" s="4">
        <v>304337608</v>
      </c>
      <c r="AE101" s="4">
        <v>21916296</v>
      </c>
      <c r="AG101" s="4" t="s">
        <v>356</v>
      </c>
      <c r="AH101" s="4" t="s">
        <v>357</v>
      </c>
      <c r="AI101" s="4" t="s">
        <v>260</v>
      </c>
    </row>
    <row r="102" spans="1:35" ht="36" x14ac:dyDescent="0.3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49">
        <v>12.1</v>
      </c>
      <c r="J102" s="31">
        <v>0</v>
      </c>
      <c r="M102" s="32">
        <f>ROUND(ROUND(J102, 2)*I102, 2)</f>
        <v>0</v>
      </c>
      <c r="P102" s="33">
        <v>0</v>
      </c>
      <c r="S102" s="32">
        <f>ROUND(ROUND(P102, 2)*I102, 2)</f>
        <v>0</v>
      </c>
      <c r="V102" s="9">
        <f>ROUND(ROUND(P102, 2)/1.2, 2)</f>
        <v>0</v>
      </c>
      <c r="Y102" s="9">
        <f t="shared" si="8"/>
        <v>0</v>
      </c>
      <c r="AD102" s="4" t="s">
        <v>432</v>
      </c>
      <c r="AE102" s="4" t="s">
        <v>433</v>
      </c>
      <c r="AF102" s="4" t="s">
        <v>364</v>
      </c>
    </row>
    <row r="103" spans="1:35" ht="18" x14ac:dyDescent="0.3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30">
        <v>0.99</v>
      </c>
      <c r="J103" s="31">
        <v>100</v>
      </c>
      <c r="M103" s="32">
        <f>ROUND(ROUND(J103, 2)*I103, 2)</f>
        <v>99</v>
      </c>
      <c r="P103" s="33">
        <v>100</v>
      </c>
      <c r="S103" s="32">
        <f>ROUND(ROUND(P103, 2)*I103, 2)</f>
        <v>99</v>
      </c>
      <c r="V103" s="9">
        <f>ROUND(ROUND(P103, 2)/1.2, 2)</f>
        <v>83.33</v>
      </c>
      <c r="Y103" s="9">
        <f t="shared" si="8"/>
        <v>82.5</v>
      </c>
      <c r="AD103" s="4" t="s">
        <v>435</v>
      </c>
      <c r="AE103" s="4" t="s">
        <v>436</v>
      </c>
      <c r="AF103" s="4" t="s">
        <v>372</v>
      </c>
    </row>
    <row r="104" spans="1:35" ht="1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3">
        <v>106.7</v>
      </c>
      <c r="J104" s="14">
        <f>IFERROR(ROUND(SUM(M105,M106)/I104, 2),0)</f>
        <v>99.86</v>
      </c>
      <c r="K104" s="15">
        <v>200</v>
      </c>
      <c r="L104" s="14">
        <f>J104+ROUND(K104, 2)</f>
        <v>299.86</v>
      </c>
      <c r="M104" s="14">
        <f>ROUND(J104*I104, 2)</f>
        <v>10655.06</v>
      </c>
      <c r="N104" s="14">
        <f>ROUND(I104*ROUND(K104, 2), 2)</f>
        <v>21340</v>
      </c>
      <c r="O104" s="14">
        <f>M104+N104</f>
        <v>31995.06</v>
      </c>
      <c r="P104" s="14">
        <f>IFERROR(ROUND(SUM(S105,S106)/I104, 2),0)</f>
        <v>99.86</v>
      </c>
      <c r="Q104" s="16">
        <v>300</v>
      </c>
      <c r="R104" s="14">
        <f>P104+ROUND(Q104, 2)</f>
        <v>399.86</v>
      </c>
      <c r="S104" s="14">
        <f>ROUND(P104*I104, 2)</f>
        <v>10655.06</v>
      </c>
      <c r="T104" s="14">
        <f>ROUND(I104*ROUND(Q104, 2), 2)</f>
        <v>32010</v>
      </c>
      <c r="U104" s="14">
        <f>S104+T104</f>
        <v>42665.06</v>
      </c>
      <c r="V104" s="9">
        <f>ROUND(P104 / 1.2, 2)</f>
        <v>83.22</v>
      </c>
      <c r="W104" s="9">
        <f>ROUND(Q104 / 1.2, 2)</f>
        <v>250</v>
      </c>
      <c r="X104" s="9">
        <f>ROUND(R104 / 1.2, 2)</f>
        <v>333.22</v>
      </c>
      <c r="Y104" s="9">
        <f t="shared" si="8"/>
        <v>8879.2199999999993</v>
      </c>
      <c r="Z104" s="9">
        <f>ROUND(T104 / 1.2, 2)</f>
        <v>26675</v>
      </c>
      <c r="AA104" s="9">
        <f>Y104+Z104</f>
        <v>35554.22</v>
      </c>
      <c r="AD104" s="4">
        <v>304337609</v>
      </c>
      <c r="AE104" s="4">
        <v>21916281</v>
      </c>
      <c r="AG104" s="4" t="s">
        <v>356</v>
      </c>
      <c r="AH104" s="4" t="s">
        <v>357</v>
      </c>
      <c r="AI104" s="4" t="s">
        <v>260</v>
      </c>
    </row>
    <row r="105" spans="1:35" ht="18" x14ac:dyDescent="0.3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49">
        <v>68.984999999999999</v>
      </c>
      <c r="J105" s="31">
        <v>140.54</v>
      </c>
      <c r="M105" s="32">
        <f>ROUND(ROUND(J105, 2)*I105, 2)</f>
        <v>9695.15</v>
      </c>
      <c r="P105" s="33">
        <v>140.54</v>
      </c>
      <c r="S105" s="32">
        <f>ROUND(ROUND(P105, 2)*I105, 2)</f>
        <v>9695.15</v>
      </c>
      <c r="V105" s="9">
        <f>ROUND(ROUND(P105, 2)/1.2, 2)</f>
        <v>117.12</v>
      </c>
      <c r="Y105" s="9">
        <f t="shared" si="8"/>
        <v>8079.29</v>
      </c>
      <c r="AD105" s="4" t="s">
        <v>439</v>
      </c>
      <c r="AE105" s="4" t="s">
        <v>440</v>
      </c>
      <c r="AF105" s="4" t="s">
        <v>408</v>
      </c>
    </row>
    <row r="106" spans="1:35" ht="18" x14ac:dyDescent="0.3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30">
        <v>9.6029999999999998</v>
      </c>
      <c r="J106" s="31">
        <v>100</v>
      </c>
      <c r="M106" s="32">
        <f>ROUND(ROUND(J106, 2)*I106, 2)</f>
        <v>960.3</v>
      </c>
      <c r="P106" s="33">
        <v>100</v>
      </c>
      <c r="S106" s="32">
        <f>ROUND(ROUND(P106, 2)*I106, 2)</f>
        <v>960.3</v>
      </c>
      <c r="V106" s="9">
        <f>ROUND(ROUND(P106, 2)/1.2, 2)</f>
        <v>83.33</v>
      </c>
      <c r="Y106" s="9">
        <f t="shared" si="8"/>
        <v>800.25</v>
      </c>
      <c r="AD106" s="4" t="s">
        <v>442</v>
      </c>
      <c r="AE106" s="4" t="s">
        <v>443</v>
      </c>
      <c r="AF106" s="4" t="s">
        <v>372</v>
      </c>
    </row>
    <row r="107" spans="1:35" ht="36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3">
        <v>0</v>
      </c>
      <c r="J107" s="14">
        <f>IFERROR(ROUND(SUM(M108,M109)/I107, 2),0)</f>
        <v>0</v>
      </c>
      <c r="K107" s="15">
        <v>661</v>
      </c>
      <c r="L107" s="14">
        <f>J107+ROUND(K107, 2)</f>
        <v>661</v>
      </c>
      <c r="M107" s="14">
        <f>ROUND(J107*I107, 2)</f>
        <v>0</v>
      </c>
      <c r="N107" s="14">
        <f>ROUND(I107*ROUND(K107, 2), 2)</f>
        <v>0</v>
      </c>
      <c r="O107" s="14">
        <f>M107+N107</f>
        <v>0</v>
      </c>
      <c r="P107" s="14">
        <f>IFERROR(ROUND(SUM(S108,S109)/I107, 2),0)</f>
        <v>0</v>
      </c>
      <c r="Q107" s="15">
        <v>661</v>
      </c>
      <c r="R107" s="14">
        <f>P107+ROUND(Q107, 2)</f>
        <v>661</v>
      </c>
      <c r="S107" s="14">
        <f>ROUND(P107*I107, 2)</f>
        <v>0</v>
      </c>
      <c r="T107" s="14">
        <f>ROUND(I107*ROUND(Q107, 2), 2)</f>
        <v>0</v>
      </c>
      <c r="U107" s="14">
        <f>S107+T107</f>
        <v>0</v>
      </c>
      <c r="V107" s="9">
        <f>ROUND(P107 / 1.2, 2)</f>
        <v>0</v>
      </c>
      <c r="W107" s="9">
        <f>ROUND(Q107 / 1.2, 2)</f>
        <v>550.83000000000004</v>
      </c>
      <c r="X107" s="9">
        <f>ROUND(R107 / 1.2, 2)</f>
        <v>550.83000000000004</v>
      </c>
      <c r="Y107" s="9">
        <f t="shared" si="8"/>
        <v>0</v>
      </c>
      <c r="Z107" s="9">
        <f>ROUND(T107 / 1.2, 2)</f>
        <v>0</v>
      </c>
      <c r="AA107" s="9">
        <f>Y107+Z107</f>
        <v>0</v>
      </c>
      <c r="AD107" s="4">
        <v>304337545</v>
      </c>
      <c r="AE107" s="4">
        <v>20299703</v>
      </c>
      <c r="AG107" s="4" t="s">
        <v>447</v>
      </c>
      <c r="AH107" s="4" t="s">
        <v>448</v>
      </c>
      <c r="AI107" s="4" t="s">
        <v>260</v>
      </c>
    </row>
    <row r="108" spans="1:35" ht="90" x14ac:dyDescent="0.3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49">
        <v>0</v>
      </c>
      <c r="J108" s="31">
        <v>0</v>
      </c>
      <c r="M108" s="32">
        <f>ROUND(ROUND(J108, 2)*I108, 2)</f>
        <v>0</v>
      </c>
      <c r="P108" s="31">
        <v>3880</v>
      </c>
      <c r="S108" s="32">
        <f>ROUND(ROUND(P108, 2)*I108, 2)</f>
        <v>0</v>
      </c>
      <c r="V108" s="9">
        <f>ROUND(ROUND(P108, 2)/1.2, 2)</f>
        <v>3233.33</v>
      </c>
      <c r="Y108" s="9">
        <f t="shared" si="8"/>
        <v>0</v>
      </c>
      <c r="AD108" s="4" t="s">
        <v>453</v>
      </c>
      <c r="AE108" s="4" t="s">
        <v>454</v>
      </c>
      <c r="AF108" s="4" t="s">
        <v>455</v>
      </c>
    </row>
    <row r="109" spans="1:35" ht="36" x14ac:dyDescent="0.3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49">
        <v>0</v>
      </c>
      <c r="J109" s="31">
        <v>0</v>
      </c>
      <c r="M109" s="32">
        <f>ROUND(ROUND(J109, 2)*I109, 2)</f>
        <v>0</v>
      </c>
      <c r="P109" s="31">
        <v>2000</v>
      </c>
      <c r="S109" s="32">
        <f>ROUND(ROUND(P109, 2)*I109, 2)</f>
        <v>0</v>
      </c>
      <c r="V109" s="9">
        <f>ROUND(ROUND(P109, 2)/1.2, 2)</f>
        <v>1666.67</v>
      </c>
      <c r="Y109" s="9">
        <f t="shared" si="8"/>
        <v>0</v>
      </c>
      <c r="AD109" s="4" t="s">
        <v>461</v>
      </c>
      <c r="AE109" s="4" t="s">
        <v>462</v>
      </c>
      <c r="AF109" s="4" t="s">
        <v>463</v>
      </c>
    </row>
    <row r="110" spans="1:35" ht="36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3">
        <v>0</v>
      </c>
      <c r="J110" s="14">
        <f>IFERROR(ROUND(SUM(M111,M112)/I110, 2),0)</f>
        <v>0</v>
      </c>
      <c r="K110" s="15">
        <v>661</v>
      </c>
      <c r="L110" s="14">
        <f>J110+ROUND(K110, 2)</f>
        <v>661</v>
      </c>
      <c r="M110" s="14">
        <f>ROUND(J110*I110, 2)</f>
        <v>0</v>
      </c>
      <c r="N110" s="14">
        <f>ROUND(I110*ROUND(K110, 2), 2)</f>
        <v>0</v>
      </c>
      <c r="O110" s="14">
        <f>M110+N110</f>
        <v>0</v>
      </c>
      <c r="P110" s="14">
        <f>IFERROR(ROUND(SUM(S111,S112)/I110, 2),0)</f>
        <v>0</v>
      </c>
      <c r="Q110" s="15">
        <v>661</v>
      </c>
      <c r="R110" s="14">
        <f>P110+ROUND(Q110, 2)</f>
        <v>661</v>
      </c>
      <c r="S110" s="14">
        <f>ROUND(P110*I110, 2)</f>
        <v>0</v>
      </c>
      <c r="T110" s="14">
        <f>ROUND(I110*ROUND(Q110, 2), 2)</f>
        <v>0</v>
      </c>
      <c r="U110" s="14">
        <f>S110+T110</f>
        <v>0</v>
      </c>
      <c r="V110" s="9">
        <f>ROUND(P110 / 1.2, 2)</f>
        <v>0</v>
      </c>
      <c r="W110" s="9">
        <f>ROUND(Q110 / 1.2, 2)</f>
        <v>550.83000000000004</v>
      </c>
      <c r="X110" s="9">
        <f>ROUND(R110 / 1.2, 2)</f>
        <v>550.83000000000004</v>
      </c>
      <c r="Y110" s="9">
        <f t="shared" si="8"/>
        <v>0</v>
      </c>
      <c r="Z110" s="9">
        <f>ROUND(T110 / 1.2, 2)</f>
        <v>0</v>
      </c>
      <c r="AA110" s="9">
        <f>Y110+Z110</f>
        <v>0</v>
      </c>
      <c r="AD110" s="4">
        <v>304337610</v>
      </c>
      <c r="AE110" s="4">
        <v>20299702</v>
      </c>
      <c r="AG110" s="4" t="s">
        <v>447</v>
      </c>
      <c r="AH110" s="4" t="s">
        <v>448</v>
      </c>
      <c r="AI110" s="4" t="s">
        <v>260</v>
      </c>
    </row>
    <row r="111" spans="1:35" ht="36" x14ac:dyDescent="0.3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49">
        <v>0</v>
      </c>
      <c r="J111" s="31">
        <v>0</v>
      </c>
      <c r="M111" s="32">
        <f>ROUND(ROUND(J111, 2)*I111, 2)</f>
        <v>0</v>
      </c>
      <c r="P111" s="31">
        <v>2000</v>
      </c>
      <c r="S111" s="32">
        <f>ROUND(ROUND(P111, 2)*I111, 2)</f>
        <v>0</v>
      </c>
      <c r="V111" s="9">
        <f>ROUND(ROUND(P111, 2)/1.2, 2)</f>
        <v>1666.67</v>
      </c>
      <c r="Y111" s="9">
        <f t="shared" si="8"/>
        <v>0</v>
      </c>
      <c r="AD111" s="4" t="s">
        <v>471</v>
      </c>
      <c r="AE111" s="4" t="s">
        <v>472</v>
      </c>
      <c r="AF111" s="4" t="s">
        <v>463</v>
      </c>
    </row>
    <row r="112" spans="1:35" ht="90" x14ac:dyDescent="0.3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49">
        <v>0</v>
      </c>
      <c r="J112" s="31">
        <v>0</v>
      </c>
      <c r="M112" s="32">
        <f>ROUND(ROUND(J112, 2)*I112, 2)</f>
        <v>0</v>
      </c>
      <c r="P112" s="31">
        <v>3880</v>
      </c>
      <c r="S112" s="32">
        <f>ROUND(ROUND(P112, 2)*I112, 2)</f>
        <v>0</v>
      </c>
      <c r="V112" s="9">
        <f>ROUND(ROUND(P112, 2)/1.2, 2)</f>
        <v>3233.33</v>
      </c>
      <c r="Y112" s="9">
        <f t="shared" si="8"/>
        <v>0</v>
      </c>
      <c r="AD112" s="4" t="s">
        <v>476</v>
      </c>
      <c r="AE112" s="4" t="s">
        <v>477</v>
      </c>
      <c r="AF112" s="4" t="s">
        <v>455</v>
      </c>
    </row>
    <row r="113" spans="1:35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3">
        <v>245.2</v>
      </c>
      <c r="J113" s="14">
        <f>IFERROR(ROUND(SUM(M114,M115)/I113, 2),0)</f>
        <v>0</v>
      </c>
      <c r="K113" s="15">
        <v>661</v>
      </c>
      <c r="L113" s="14">
        <f>J113+ROUND(K113, 2)</f>
        <v>661</v>
      </c>
      <c r="M113" s="14">
        <f>ROUND(J113*I113, 2)</f>
        <v>0</v>
      </c>
      <c r="N113" s="14">
        <f>ROUND(I113*ROUND(K113, 2), 2)</f>
        <v>162077.20000000001</v>
      </c>
      <c r="O113" s="14">
        <f>M113+N113</f>
        <v>162077.20000000001</v>
      </c>
      <c r="P113" s="14">
        <f>IFERROR(ROUND(SUM(S114,S115)/I113, 2),0)</f>
        <v>4146.0600000000004</v>
      </c>
      <c r="Q113" s="16">
        <v>991.5</v>
      </c>
      <c r="R113" s="14">
        <f>P113+ROUND(Q113, 2)</f>
        <v>5137.5600000000004</v>
      </c>
      <c r="S113" s="14">
        <f>ROUND(P113*I113, 2)</f>
        <v>1016613.91</v>
      </c>
      <c r="T113" s="14">
        <f>ROUND(I113*ROUND(Q113, 2), 2)</f>
        <v>243115.8</v>
      </c>
      <c r="U113" s="14">
        <f>S113+T113</f>
        <v>1259729.71</v>
      </c>
      <c r="V113" s="9">
        <f>ROUND(P113 / 1.2, 2)</f>
        <v>3455.05</v>
      </c>
      <c r="W113" s="9">
        <f>ROUND(Q113 / 1.2, 2)</f>
        <v>826.25</v>
      </c>
      <c r="X113" s="9">
        <f>ROUND(R113 / 1.2, 2)</f>
        <v>4281.3</v>
      </c>
      <c r="Y113" s="9">
        <f t="shared" si="8"/>
        <v>847178.26</v>
      </c>
      <c r="Z113" s="9">
        <f>ROUND(T113 / 1.2, 2)</f>
        <v>202596.5</v>
      </c>
      <c r="AA113" s="9">
        <f>Y113+Z113</f>
        <v>1049774.76</v>
      </c>
      <c r="AD113" s="4">
        <v>304337611</v>
      </c>
      <c r="AE113" s="4">
        <v>21916297</v>
      </c>
      <c r="AG113" s="4" t="s">
        <v>447</v>
      </c>
      <c r="AH113" s="4" t="s">
        <v>448</v>
      </c>
      <c r="AI113" s="4" t="s">
        <v>260</v>
      </c>
    </row>
    <row r="114" spans="1:35" ht="90" x14ac:dyDescent="0.3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49">
        <v>28.45</v>
      </c>
      <c r="J114" s="31">
        <v>0</v>
      </c>
      <c r="M114" s="32">
        <f>ROUND(ROUND(J114, 2)*I114, 2)</f>
        <v>0</v>
      </c>
      <c r="P114" s="33">
        <v>2000</v>
      </c>
      <c r="S114" s="32">
        <f>ROUND(ROUND(P114, 2)*I114, 2)</f>
        <v>56900</v>
      </c>
      <c r="V114" s="9">
        <f>ROUND(ROUND(P114, 2)/1.2, 2)</f>
        <v>1666.67</v>
      </c>
      <c r="Y114" s="9">
        <f t="shared" si="8"/>
        <v>47416.67</v>
      </c>
      <c r="AD114" s="4" t="s">
        <v>482</v>
      </c>
      <c r="AE114" s="4" t="s">
        <v>483</v>
      </c>
      <c r="AF114" s="4" t="s">
        <v>455</v>
      </c>
    </row>
    <row r="115" spans="1:35" ht="36" x14ac:dyDescent="0.3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49">
        <v>252.55600000000001</v>
      </c>
      <c r="J115" s="31">
        <v>0</v>
      </c>
      <c r="M115" s="32">
        <f>ROUND(ROUND(J115, 2)*I115, 2)</f>
        <v>0</v>
      </c>
      <c r="P115" s="33">
        <v>3800</v>
      </c>
      <c r="S115" s="32">
        <f>ROUND(ROUND(P115, 2)*I115, 2)</f>
        <v>959712.8</v>
      </c>
      <c r="V115" s="9">
        <f>ROUND(ROUND(P115, 2)/1.2, 2)</f>
        <v>3166.67</v>
      </c>
      <c r="Y115" s="9">
        <f t="shared" si="8"/>
        <v>799760.67</v>
      </c>
      <c r="AD115" s="4" t="s">
        <v>485</v>
      </c>
      <c r="AE115" s="4" t="s">
        <v>486</v>
      </c>
      <c r="AF115" s="4" t="s">
        <v>463</v>
      </c>
    </row>
    <row r="116" spans="1:35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3">
        <v>45.7</v>
      </c>
      <c r="J116" s="14">
        <f>IFERROR(ROUND(SUM(M117,M118)/I116, 2),0)</f>
        <v>0</v>
      </c>
      <c r="K116" s="15">
        <v>661</v>
      </c>
      <c r="L116" s="14">
        <f>J116+ROUND(K116, 2)</f>
        <v>661</v>
      </c>
      <c r="M116" s="14">
        <f>ROUND(J116*I116, 2)</f>
        <v>0</v>
      </c>
      <c r="N116" s="14">
        <f>ROUND(I116*ROUND(K116, 2), 2)</f>
        <v>30207.7</v>
      </c>
      <c r="O116" s="14">
        <f>M116+N116</f>
        <v>30207.7</v>
      </c>
      <c r="P116" s="14">
        <f>IFERROR(ROUND(SUM(S117,S118)/I116, 2),0)</f>
        <v>2509.98</v>
      </c>
      <c r="Q116" s="16">
        <v>991.5</v>
      </c>
      <c r="R116" s="14">
        <f>P116+ROUND(Q116, 2)</f>
        <v>3501.48</v>
      </c>
      <c r="S116" s="14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  <c r="V116" s="9">
        <f>ROUND(P116 / 1.2, 2)</f>
        <v>2091.65</v>
      </c>
      <c r="W116" s="9">
        <f>ROUND(Q116 / 1.2, 2)</f>
        <v>826.25</v>
      </c>
      <c r="X116" s="9">
        <f>ROUND(R116 / 1.2, 2)</f>
        <v>2917.9</v>
      </c>
      <c r="Y116" s="9">
        <f t="shared" si="8"/>
        <v>95588.41</v>
      </c>
      <c r="Z116" s="9">
        <f>ROUND(T116 / 1.2, 2)</f>
        <v>37759.629999999997</v>
      </c>
      <c r="AA116" s="9">
        <f>Y116+Z116</f>
        <v>133348.04</v>
      </c>
      <c r="AD116" s="4">
        <v>304337612</v>
      </c>
      <c r="AE116" s="4">
        <v>21916298</v>
      </c>
      <c r="AG116" s="4" t="s">
        <v>447</v>
      </c>
      <c r="AH116" s="4" t="s">
        <v>448</v>
      </c>
      <c r="AI116" s="4" t="s">
        <v>260</v>
      </c>
    </row>
    <row r="117" spans="1:35" ht="36" x14ac:dyDescent="0.3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49">
        <v>47.070999999999998</v>
      </c>
      <c r="J117" s="31">
        <v>0</v>
      </c>
      <c r="M117" s="32">
        <f>ROUND(ROUND(J117, 2)*I117, 2)</f>
        <v>0</v>
      </c>
      <c r="P117" s="33">
        <v>2000</v>
      </c>
      <c r="S117" s="32">
        <f>ROUND(ROUND(P117, 2)*I117, 2)</f>
        <v>94142</v>
      </c>
      <c r="V117" s="9">
        <f>ROUND(ROUND(P117, 2)/1.2, 2)</f>
        <v>1666.67</v>
      </c>
      <c r="Y117" s="9">
        <f t="shared" si="8"/>
        <v>78451.67</v>
      </c>
      <c r="AD117" s="4" t="s">
        <v>489</v>
      </c>
      <c r="AE117" s="4" t="s">
        <v>490</v>
      </c>
      <c r="AF117" s="4" t="s">
        <v>463</v>
      </c>
    </row>
    <row r="118" spans="1:35" ht="90" x14ac:dyDescent="0.3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49">
        <v>5.3</v>
      </c>
      <c r="J118" s="31">
        <v>0</v>
      </c>
      <c r="M118" s="32">
        <f>ROUND(ROUND(J118, 2)*I118, 2)</f>
        <v>0</v>
      </c>
      <c r="P118" s="33">
        <v>3880</v>
      </c>
      <c r="S118" s="32">
        <f>ROUND(ROUND(P118, 2)*I118, 2)</f>
        <v>20564</v>
      </c>
      <c r="V118" s="9">
        <f>ROUND(ROUND(P118, 2)/1.2, 2)</f>
        <v>3233.33</v>
      </c>
      <c r="Y118" s="9">
        <f t="shared" si="8"/>
        <v>17136.669999999998</v>
      </c>
      <c r="AD118" s="4" t="s">
        <v>492</v>
      </c>
      <c r="AE118" s="4" t="s">
        <v>493</v>
      </c>
      <c r="AF118" s="4" t="s">
        <v>455</v>
      </c>
    </row>
    <row r="119" spans="1:35" ht="36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3">
        <v>0</v>
      </c>
      <c r="J119" s="14">
        <f>IFERROR(ROUND(SUM(M120)/I119, 2),0)</f>
        <v>0</v>
      </c>
      <c r="K119" s="15">
        <v>210</v>
      </c>
      <c r="L119" s="14">
        <f>J119+ROUND(K119, 2)</f>
        <v>210</v>
      </c>
      <c r="M119" s="14">
        <f>ROUND(J119*I119, 2)</f>
        <v>0</v>
      </c>
      <c r="N119" s="14">
        <f>ROUND(I119*ROUND(K119, 2), 2)</f>
        <v>0</v>
      </c>
      <c r="O119" s="14">
        <f>M119+N119</f>
        <v>0</v>
      </c>
      <c r="P119" s="14">
        <f>IFERROR(ROUND(SUM(S120)/I119, 2),0)</f>
        <v>0</v>
      </c>
      <c r="Q119" s="15">
        <v>210</v>
      </c>
      <c r="R119" s="14">
        <f>P119+ROUND(Q119, 2)</f>
        <v>210</v>
      </c>
      <c r="S119" s="14">
        <f>ROUND(P119*I119, 2)</f>
        <v>0</v>
      </c>
      <c r="T119" s="14">
        <f>ROUND(I119*ROUND(Q119, 2), 2)</f>
        <v>0</v>
      </c>
      <c r="U119" s="14">
        <f>S119+T119</f>
        <v>0</v>
      </c>
      <c r="V119" s="9">
        <f>ROUND(P119 / 1.2, 2)</f>
        <v>0</v>
      </c>
      <c r="W119" s="9">
        <f>ROUND(Q119 / 1.2, 2)</f>
        <v>175</v>
      </c>
      <c r="X119" s="9">
        <f>ROUND(R119 / 1.2, 2)</f>
        <v>175</v>
      </c>
      <c r="Y119" s="9">
        <f t="shared" si="8"/>
        <v>0</v>
      </c>
      <c r="Z119" s="9">
        <f>ROUND(T119 / 1.2, 2)</f>
        <v>0</v>
      </c>
      <c r="AA119" s="9">
        <f>Y119+Z119</f>
        <v>0</v>
      </c>
      <c r="AD119" s="4">
        <v>304337547</v>
      </c>
      <c r="AE119" s="4">
        <v>20322538</v>
      </c>
      <c r="AG119" s="4" t="s">
        <v>497</v>
      </c>
      <c r="AH119" s="4" t="s">
        <v>498</v>
      </c>
      <c r="AI119" s="4" t="s">
        <v>260</v>
      </c>
    </row>
    <row r="120" spans="1:35" ht="72" x14ac:dyDescent="0.3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49">
        <v>0</v>
      </c>
      <c r="J120" s="31">
        <v>0</v>
      </c>
      <c r="M120" s="32">
        <f>ROUND(ROUND(J120, 2)*I120, 2)</f>
        <v>0</v>
      </c>
      <c r="P120" s="31">
        <v>372.4</v>
      </c>
      <c r="S120" s="32">
        <f>ROUND(ROUND(P120, 2)*I120, 2)</f>
        <v>0</v>
      </c>
      <c r="V120" s="9">
        <f>ROUND(ROUND(P120, 2)/1.2, 2)</f>
        <v>310.33</v>
      </c>
      <c r="Y120" s="9">
        <f t="shared" si="8"/>
        <v>0</v>
      </c>
      <c r="AD120" s="4" t="s">
        <v>503</v>
      </c>
      <c r="AE120" s="4" t="s">
        <v>504</v>
      </c>
      <c r="AF120" s="4" t="s">
        <v>505</v>
      </c>
    </row>
    <row r="121" spans="1:35" ht="36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3">
        <v>0</v>
      </c>
      <c r="J121" s="14">
        <f>IFERROR(ROUND(SUM(M122)/I121, 2),0)</f>
        <v>0</v>
      </c>
      <c r="K121" s="15">
        <v>210</v>
      </c>
      <c r="L121" s="14">
        <f>J121+ROUND(K121, 2)</f>
        <v>210</v>
      </c>
      <c r="M121" s="14">
        <f>ROUND(J121*I121, 2)</f>
        <v>0</v>
      </c>
      <c r="N121" s="14">
        <f>ROUND(I121*ROUND(K121, 2), 2)</f>
        <v>0</v>
      </c>
      <c r="O121" s="14">
        <f>M121+N121</f>
        <v>0</v>
      </c>
      <c r="P121" s="14">
        <f>IFERROR(ROUND(SUM(S122)/I121, 2),0)</f>
        <v>0</v>
      </c>
      <c r="Q121" s="15">
        <v>210</v>
      </c>
      <c r="R121" s="14">
        <f>P121+ROUND(Q121, 2)</f>
        <v>210</v>
      </c>
      <c r="S121" s="14">
        <f>ROUND(P121*I121, 2)</f>
        <v>0</v>
      </c>
      <c r="T121" s="14">
        <f>ROUND(I121*ROUND(Q121, 2), 2)</f>
        <v>0</v>
      </c>
      <c r="U121" s="14">
        <f>S121+T121</f>
        <v>0</v>
      </c>
      <c r="V121" s="9">
        <f>ROUND(P121 / 1.2, 2)</f>
        <v>0</v>
      </c>
      <c r="W121" s="9">
        <f>ROUND(Q121 / 1.2, 2)</f>
        <v>175</v>
      </c>
      <c r="X121" s="9">
        <f>ROUND(R121 / 1.2, 2)</f>
        <v>175</v>
      </c>
      <c r="Y121" s="9">
        <f t="shared" si="8"/>
        <v>0</v>
      </c>
      <c r="Z121" s="9">
        <f>ROUND(T121 / 1.2, 2)</f>
        <v>0</v>
      </c>
      <c r="AA121" s="9">
        <f>Y121+Z121</f>
        <v>0</v>
      </c>
      <c r="AD121" s="4">
        <v>304337613</v>
      </c>
      <c r="AE121" s="4">
        <v>20322539</v>
      </c>
      <c r="AG121" s="4" t="s">
        <v>497</v>
      </c>
      <c r="AH121" s="4" t="s">
        <v>498</v>
      </c>
      <c r="AI121" s="4" t="s">
        <v>260</v>
      </c>
    </row>
    <row r="122" spans="1:35" ht="72" x14ac:dyDescent="0.3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49">
        <v>0</v>
      </c>
      <c r="J122" s="31">
        <v>0</v>
      </c>
      <c r="M122" s="32">
        <f>ROUND(ROUND(J122, 2)*I122, 2)</f>
        <v>0</v>
      </c>
      <c r="P122" s="31">
        <v>372.4</v>
      </c>
      <c r="S122" s="32">
        <f>ROUND(ROUND(P122, 2)*I122, 2)</f>
        <v>0</v>
      </c>
      <c r="V122" s="9">
        <f>ROUND(ROUND(P122, 2)/1.2, 2)</f>
        <v>310.33</v>
      </c>
      <c r="Y122" s="9">
        <f t="shared" si="8"/>
        <v>0</v>
      </c>
      <c r="AD122" s="4" t="s">
        <v>513</v>
      </c>
      <c r="AE122" s="4" t="s">
        <v>514</v>
      </c>
      <c r="AF122" s="4" t="s">
        <v>505</v>
      </c>
    </row>
    <row r="123" spans="1:35" ht="36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3">
        <v>1012.89</v>
      </c>
      <c r="J123" s="14">
        <f>IFERROR(ROUND(SUM(M124)/I123, 2),0)</f>
        <v>0</v>
      </c>
      <c r="K123" s="15">
        <v>210</v>
      </c>
      <c r="L123" s="14">
        <f>J123+ROUND(K123, 2)</f>
        <v>210</v>
      </c>
      <c r="M123" s="14">
        <f>ROUND(J123*I123, 2)</f>
        <v>0</v>
      </c>
      <c r="N123" s="14">
        <f>ROUND(I123*ROUND(K123, 2), 2)</f>
        <v>212706.9</v>
      </c>
      <c r="O123" s="14">
        <f>M123+N123</f>
        <v>212706.9</v>
      </c>
      <c r="P123" s="14">
        <f>IFERROR(ROUND(SUM(S124)/I123, 2),0)</f>
        <v>409.64</v>
      </c>
      <c r="Q123" s="16">
        <v>315</v>
      </c>
      <c r="R123" s="14">
        <f>P123+ROUND(Q123, 2)</f>
        <v>724.64</v>
      </c>
      <c r="S123" s="14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  <c r="V123" s="9">
        <f>ROUND(P123 / 1.2, 2)</f>
        <v>341.37</v>
      </c>
      <c r="W123" s="9">
        <f>ROUND(Q123 / 1.2, 2)</f>
        <v>262.5</v>
      </c>
      <c r="X123" s="9">
        <f>ROUND(R123 / 1.2, 2)</f>
        <v>603.87</v>
      </c>
      <c r="Y123" s="9">
        <f t="shared" si="8"/>
        <v>345766.88</v>
      </c>
      <c r="Z123" s="9">
        <f>ROUND(T123 / 1.2, 2)</f>
        <v>265883.63</v>
      </c>
      <c r="AA123" s="9">
        <f>Y123+Z123</f>
        <v>611650.51</v>
      </c>
      <c r="AD123" s="4">
        <v>304337614</v>
      </c>
      <c r="AE123" s="4">
        <v>21916294</v>
      </c>
      <c r="AG123" s="4" t="s">
        <v>497</v>
      </c>
      <c r="AH123" s="4" t="s">
        <v>498</v>
      </c>
      <c r="AI123" s="4" t="s">
        <v>260</v>
      </c>
    </row>
    <row r="124" spans="1:35" ht="72" x14ac:dyDescent="0.3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49">
        <v>1114.1790000000001</v>
      </c>
      <c r="J124" s="31">
        <v>0</v>
      </c>
      <c r="M124" s="32">
        <f>ROUND(ROUND(J124, 2)*I124, 2)</f>
        <v>0</v>
      </c>
      <c r="P124" s="33">
        <v>372.4</v>
      </c>
      <c r="S124" s="32">
        <f>ROUND(ROUND(P124, 2)*I124, 2)</f>
        <v>414920.26</v>
      </c>
      <c r="V124" s="9">
        <f>ROUND(ROUND(P124, 2)/1.2, 2)</f>
        <v>310.33</v>
      </c>
      <c r="Y124" s="9">
        <f t="shared" si="8"/>
        <v>345766.88</v>
      </c>
      <c r="AD124" s="4" t="s">
        <v>520</v>
      </c>
      <c r="AE124" s="4" t="s">
        <v>521</v>
      </c>
      <c r="AF124" s="4" t="s">
        <v>505</v>
      </c>
    </row>
    <row r="125" spans="1:35" ht="36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3">
        <v>409.31</v>
      </c>
      <c r="J125" s="14">
        <f>IFERROR(ROUND(SUM(M126)/I125, 2),0)</f>
        <v>0</v>
      </c>
      <c r="K125" s="15">
        <v>210</v>
      </c>
      <c r="L125" s="14">
        <f>J125+ROUND(K125, 2)</f>
        <v>210</v>
      </c>
      <c r="M125" s="14">
        <f>ROUND(J125*I125, 2)</f>
        <v>0</v>
      </c>
      <c r="N125" s="14">
        <f>ROUND(I125*ROUND(K125, 2), 2)</f>
        <v>85955.1</v>
      </c>
      <c r="O125" s="14">
        <f>M125+N125</f>
        <v>85955.1</v>
      </c>
      <c r="P125" s="14">
        <f>IFERROR(ROUND(SUM(S126)/I125, 2),0)</f>
        <v>409.64</v>
      </c>
      <c r="Q125" s="16">
        <v>315</v>
      </c>
      <c r="R125" s="14">
        <f>P125+ROUND(Q125, 2)</f>
        <v>724.64</v>
      </c>
      <c r="S125" s="14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  <c r="V125" s="9">
        <f>ROUND(P125 / 1.2, 2)</f>
        <v>341.37</v>
      </c>
      <c r="W125" s="9">
        <f>ROUND(Q125 / 1.2, 2)</f>
        <v>262.5</v>
      </c>
      <c r="X125" s="9">
        <f>ROUND(R125 / 1.2, 2)</f>
        <v>603.87</v>
      </c>
      <c r="Y125" s="9">
        <f t="shared" ref="Y125:Y156" si="9">ROUND(S125 / 1.2, 2)</f>
        <v>139724.79</v>
      </c>
      <c r="Z125" s="9">
        <f>ROUND(T125 / 1.2, 2)</f>
        <v>107443.88</v>
      </c>
      <c r="AA125" s="9">
        <f>Y125+Z125</f>
        <v>247168.67</v>
      </c>
      <c r="AD125" s="4">
        <v>304337615</v>
      </c>
      <c r="AE125" s="4">
        <v>21916295</v>
      </c>
      <c r="AG125" s="4" t="s">
        <v>497</v>
      </c>
      <c r="AH125" s="4" t="s">
        <v>498</v>
      </c>
      <c r="AI125" s="4" t="s">
        <v>260</v>
      </c>
    </row>
    <row r="126" spans="1:35" ht="72" x14ac:dyDescent="0.3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49">
        <v>450.24099999999999</v>
      </c>
      <c r="J126" s="31">
        <v>0</v>
      </c>
      <c r="M126" s="32">
        <f>ROUND(ROUND(J126, 2)*I126, 2)</f>
        <v>0</v>
      </c>
      <c r="P126" s="33">
        <v>372.4</v>
      </c>
      <c r="S126" s="32">
        <f>ROUND(ROUND(P126, 2)*I126, 2)</f>
        <v>167669.75</v>
      </c>
      <c r="V126" s="9">
        <f>ROUND(ROUND(P126, 2)/1.2, 2)</f>
        <v>310.33</v>
      </c>
      <c r="Y126" s="9">
        <f t="shared" si="9"/>
        <v>139724.79</v>
      </c>
      <c r="AD126" s="4" t="s">
        <v>524</v>
      </c>
      <c r="AE126" s="4" t="s">
        <v>525</v>
      </c>
      <c r="AF126" s="4" t="s">
        <v>505</v>
      </c>
    </row>
    <row r="127" spans="1:35" ht="36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3">
        <v>0</v>
      </c>
      <c r="J127" s="14">
        <f>IFERROR(ROUND(SUM(M128,M129,M130,M131)/I127, 2),0)</f>
        <v>0</v>
      </c>
      <c r="K127" s="15">
        <v>2310</v>
      </c>
      <c r="L127" s="14">
        <f>J127+ROUND(K127, 2)</f>
        <v>2310</v>
      </c>
      <c r="M127" s="14">
        <f>ROUND(J127*I127, 2)</f>
        <v>0</v>
      </c>
      <c r="N127" s="14">
        <f>ROUND(I127*ROUND(K127, 2), 2)</f>
        <v>0</v>
      </c>
      <c r="O127" s="14">
        <f>M127+N127</f>
        <v>0</v>
      </c>
      <c r="P127" s="14">
        <f>IFERROR(ROUND(SUM(S128,S129,S130,S131)/I127, 2),0)</f>
        <v>0</v>
      </c>
      <c r="Q127" s="15">
        <v>2310</v>
      </c>
      <c r="R127" s="14">
        <f>P127+ROUND(Q127, 2)</f>
        <v>2310</v>
      </c>
      <c r="S127" s="14">
        <f>ROUND(P127*I127, 2)</f>
        <v>0</v>
      </c>
      <c r="T127" s="14">
        <f>ROUND(I127*ROUND(Q127, 2), 2)</f>
        <v>0</v>
      </c>
      <c r="U127" s="14">
        <f>S127+T127</f>
        <v>0</v>
      </c>
      <c r="V127" s="9">
        <f>ROUND(P127 / 1.2, 2)</f>
        <v>0</v>
      </c>
      <c r="W127" s="9">
        <f>ROUND(Q127 / 1.2, 2)</f>
        <v>1925</v>
      </c>
      <c r="X127" s="9">
        <f>ROUND(R127 / 1.2, 2)</f>
        <v>1925</v>
      </c>
      <c r="Y127" s="9">
        <f t="shared" si="9"/>
        <v>0</v>
      </c>
      <c r="Z127" s="9">
        <f>ROUND(T127 / 1.2, 2)</f>
        <v>0</v>
      </c>
      <c r="AA127" s="9">
        <f>Y127+Z127</f>
        <v>0</v>
      </c>
      <c r="AD127" s="4">
        <v>304337549</v>
      </c>
      <c r="AE127" s="4">
        <v>20865471</v>
      </c>
      <c r="AG127" s="4" t="s">
        <v>529</v>
      </c>
      <c r="AH127" s="4" t="s">
        <v>530</v>
      </c>
      <c r="AI127" s="4" t="s">
        <v>260</v>
      </c>
    </row>
    <row r="128" spans="1:35" ht="54" x14ac:dyDescent="0.3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30">
        <v>0</v>
      </c>
      <c r="J128" s="31">
        <v>396</v>
      </c>
      <c r="M128" s="32">
        <f>ROUND(ROUND(J128, 2)*I128, 2)</f>
        <v>0</v>
      </c>
      <c r="P128" s="31">
        <v>396</v>
      </c>
      <c r="S128" s="32">
        <f>ROUND(ROUND(P128, 2)*I128, 2)</f>
        <v>0</v>
      </c>
      <c r="V128" s="9">
        <f>ROUND(ROUND(P128, 2)/1.2, 2)</f>
        <v>330</v>
      </c>
      <c r="Y128" s="9">
        <f t="shared" si="9"/>
        <v>0</v>
      </c>
      <c r="AD128" s="4" t="s">
        <v>535</v>
      </c>
      <c r="AE128" s="4" t="s">
        <v>536</v>
      </c>
      <c r="AF128" s="4" t="s">
        <v>537</v>
      </c>
    </row>
    <row r="129" spans="1:35" ht="36" x14ac:dyDescent="0.3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49">
        <v>0</v>
      </c>
      <c r="J129" s="31">
        <v>16.96</v>
      </c>
      <c r="M129" s="32">
        <f>ROUND(ROUND(J129, 2)*I129, 2)</f>
        <v>0</v>
      </c>
      <c r="P129" s="31">
        <v>16.96</v>
      </c>
      <c r="S129" s="32">
        <f>ROUND(ROUND(P129, 2)*I129, 2)</f>
        <v>0</v>
      </c>
      <c r="V129" s="9">
        <f>ROUND(ROUND(P129, 2)/1.2, 2)</f>
        <v>14.13</v>
      </c>
      <c r="Y129" s="9">
        <f t="shared" si="9"/>
        <v>0</v>
      </c>
      <c r="AD129" s="4" t="s">
        <v>543</v>
      </c>
      <c r="AE129" s="4" t="s">
        <v>544</v>
      </c>
      <c r="AF129" s="4" t="s">
        <v>545</v>
      </c>
    </row>
    <row r="130" spans="1:35" ht="18" x14ac:dyDescent="0.3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30">
        <v>0</v>
      </c>
      <c r="J130" s="31">
        <v>47.44</v>
      </c>
      <c r="M130" s="32">
        <f>ROUND(ROUND(J130, 2)*I130, 2)</f>
        <v>0</v>
      </c>
      <c r="P130" s="31">
        <v>47.44</v>
      </c>
      <c r="S130" s="32">
        <f>ROUND(ROUND(P130, 2)*I130, 2)</f>
        <v>0</v>
      </c>
      <c r="V130" s="9">
        <f>ROUND(ROUND(P130, 2)/1.2, 2)</f>
        <v>39.53</v>
      </c>
      <c r="Y130" s="9">
        <f t="shared" si="9"/>
        <v>0</v>
      </c>
      <c r="AD130" s="4" t="s">
        <v>550</v>
      </c>
      <c r="AE130" s="4" t="s">
        <v>551</v>
      </c>
      <c r="AF130" s="4" t="s">
        <v>552</v>
      </c>
    </row>
    <row r="131" spans="1:35" ht="36" x14ac:dyDescent="0.3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30">
        <v>0</v>
      </c>
      <c r="J131" s="31">
        <v>88.8</v>
      </c>
      <c r="M131" s="32">
        <f>ROUND(ROUND(J131, 2)*I131, 2)</f>
        <v>0</v>
      </c>
      <c r="P131" s="31">
        <v>88.8</v>
      </c>
      <c r="S131" s="32">
        <f>ROUND(ROUND(P131, 2)*I131, 2)</f>
        <v>0</v>
      </c>
      <c r="V131" s="9">
        <f>ROUND(ROUND(P131, 2)/1.2, 2)</f>
        <v>74</v>
      </c>
      <c r="Y131" s="9">
        <f t="shared" si="9"/>
        <v>0</v>
      </c>
      <c r="AD131" s="4" t="s">
        <v>557</v>
      </c>
      <c r="AE131" s="4" t="s">
        <v>558</v>
      </c>
      <c r="AF131" s="4" t="s">
        <v>559</v>
      </c>
    </row>
    <row r="132" spans="1:35" ht="36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3">
        <v>0</v>
      </c>
      <c r="J132" s="14">
        <f>IFERROR(ROUND(SUM(M133,M134,M135,M136)/I132, 2),0)</f>
        <v>0</v>
      </c>
      <c r="K132" s="15">
        <v>2310</v>
      </c>
      <c r="L132" s="14">
        <f>J132+ROUND(K132, 2)</f>
        <v>2310</v>
      </c>
      <c r="M132" s="14">
        <f>ROUND(J132*I132, 2)</f>
        <v>0</v>
      </c>
      <c r="N132" s="14">
        <f>ROUND(I132*ROUND(K132, 2), 2)</f>
        <v>0</v>
      </c>
      <c r="O132" s="14">
        <f>M132+N132</f>
        <v>0</v>
      </c>
      <c r="P132" s="14">
        <f>IFERROR(ROUND(SUM(S133,S134,S135,S136)/I132, 2),0)</f>
        <v>0</v>
      </c>
      <c r="Q132" s="15">
        <v>2310</v>
      </c>
      <c r="R132" s="14">
        <f>P132+ROUND(Q132, 2)</f>
        <v>2310</v>
      </c>
      <c r="S132" s="14">
        <f>ROUND(P132*I132, 2)</f>
        <v>0</v>
      </c>
      <c r="T132" s="14">
        <f>ROUND(I132*ROUND(Q132, 2), 2)</f>
        <v>0</v>
      </c>
      <c r="U132" s="14">
        <f>S132+T132</f>
        <v>0</v>
      </c>
      <c r="V132" s="9">
        <f>ROUND(P132 / 1.2, 2)</f>
        <v>0</v>
      </c>
      <c r="W132" s="9">
        <f>ROUND(Q132 / 1.2, 2)</f>
        <v>1925</v>
      </c>
      <c r="X132" s="9">
        <f>ROUND(R132 / 1.2, 2)</f>
        <v>1925</v>
      </c>
      <c r="Y132" s="9">
        <f t="shared" si="9"/>
        <v>0</v>
      </c>
      <c r="Z132" s="9">
        <f>ROUND(T132 / 1.2, 2)</f>
        <v>0</v>
      </c>
      <c r="AA132" s="9">
        <f>Y132+Z132</f>
        <v>0</v>
      </c>
      <c r="AD132" s="4">
        <v>304337616</v>
      </c>
      <c r="AE132" s="4">
        <v>20865472</v>
      </c>
      <c r="AG132" s="4" t="s">
        <v>529</v>
      </c>
      <c r="AH132" s="4" t="s">
        <v>530</v>
      </c>
      <c r="AI132" s="4" t="s">
        <v>260</v>
      </c>
    </row>
    <row r="133" spans="1:35" ht="36" x14ac:dyDescent="0.3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30">
        <v>0</v>
      </c>
      <c r="J133" s="31">
        <v>88.8</v>
      </c>
      <c r="M133" s="32">
        <f>ROUND(ROUND(J133, 2)*I133, 2)</f>
        <v>0</v>
      </c>
      <c r="P133" s="31">
        <v>88.8</v>
      </c>
      <c r="S133" s="32">
        <f>ROUND(ROUND(P133, 2)*I133, 2)</f>
        <v>0</v>
      </c>
      <c r="V133" s="9">
        <f>ROUND(ROUND(P133, 2)/1.2, 2)</f>
        <v>74</v>
      </c>
      <c r="Y133" s="9">
        <f t="shared" si="9"/>
        <v>0</v>
      </c>
      <c r="AD133" s="4" t="s">
        <v>566</v>
      </c>
      <c r="AE133" s="4" t="s">
        <v>567</v>
      </c>
      <c r="AF133" s="4" t="s">
        <v>559</v>
      </c>
    </row>
    <row r="134" spans="1:35" ht="18" x14ac:dyDescent="0.3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30">
        <v>0</v>
      </c>
      <c r="J134" s="31">
        <v>47.44</v>
      </c>
      <c r="M134" s="32">
        <f>ROUND(ROUND(J134, 2)*I134, 2)</f>
        <v>0</v>
      </c>
      <c r="P134" s="31">
        <v>47.44</v>
      </c>
      <c r="S134" s="32">
        <f>ROUND(ROUND(P134, 2)*I134, 2)</f>
        <v>0</v>
      </c>
      <c r="V134" s="9">
        <f>ROUND(ROUND(P134, 2)/1.2, 2)</f>
        <v>39.53</v>
      </c>
      <c r="Y134" s="9">
        <f t="shared" si="9"/>
        <v>0</v>
      </c>
      <c r="AD134" s="4" t="s">
        <v>571</v>
      </c>
      <c r="AE134" s="4" t="s">
        <v>572</v>
      </c>
      <c r="AF134" s="4" t="s">
        <v>552</v>
      </c>
    </row>
    <row r="135" spans="1:35" ht="36" x14ac:dyDescent="0.3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49">
        <v>0</v>
      </c>
      <c r="J135" s="31">
        <v>16.96</v>
      </c>
      <c r="M135" s="32">
        <f>ROUND(ROUND(J135, 2)*I135, 2)</f>
        <v>0</v>
      </c>
      <c r="P135" s="31">
        <v>16.96</v>
      </c>
      <c r="S135" s="32">
        <f>ROUND(ROUND(P135, 2)*I135, 2)</f>
        <v>0</v>
      </c>
      <c r="V135" s="9">
        <f>ROUND(ROUND(P135, 2)/1.2, 2)</f>
        <v>14.13</v>
      </c>
      <c r="Y135" s="9">
        <f t="shared" si="9"/>
        <v>0</v>
      </c>
      <c r="AD135" s="4" t="s">
        <v>576</v>
      </c>
      <c r="AE135" s="4" t="s">
        <v>577</v>
      </c>
      <c r="AF135" s="4" t="s">
        <v>545</v>
      </c>
    </row>
    <row r="136" spans="1:35" ht="36" x14ac:dyDescent="0.3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30">
        <v>0</v>
      </c>
      <c r="J136" s="31">
        <v>356.11</v>
      </c>
      <c r="M136" s="32">
        <f>ROUND(ROUND(J136, 2)*I136, 2)</f>
        <v>0</v>
      </c>
      <c r="P136" s="31">
        <v>356.11</v>
      </c>
      <c r="S136" s="32">
        <f>ROUND(ROUND(P136, 2)*I136, 2)</f>
        <v>0</v>
      </c>
      <c r="V136" s="9">
        <f>ROUND(ROUND(P136, 2)/1.2, 2)</f>
        <v>296.76</v>
      </c>
      <c r="Y136" s="9">
        <f t="shared" si="9"/>
        <v>0</v>
      </c>
      <c r="AD136" s="4" t="s">
        <v>582</v>
      </c>
      <c r="AE136" s="4" t="s">
        <v>583</v>
      </c>
      <c r="AF136" s="4" t="s">
        <v>584</v>
      </c>
    </row>
    <row r="137" spans="1:35" ht="36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3">
        <v>0</v>
      </c>
      <c r="J137" s="14">
        <f>IFERROR(ROUND(SUM(M138,M139,M140,M141)/I137, 2),0)</f>
        <v>0</v>
      </c>
      <c r="K137" s="15">
        <v>2310</v>
      </c>
      <c r="L137" s="14">
        <f>J137+ROUND(K137, 2)</f>
        <v>2310</v>
      </c>
      <c r="M137" s="14">
        <f>ROUND(J137*I137, 2)</f>
        <v>0</v>
      </c>
      <c r="N137" s="14">
        <f>ROUND(I137*ROUND(K137, 2), 2)</f>
        <v>0</v>
      </c>
      <c r="O137" s="14">
        <f>M137+N137</f>
        <v>0</v>
      </c>
      <c r="P137" s="14">
        <f>IFERROR(ROUND(SUM(S138,S139,S140,S141)/I137, 2),0)</f>
        <v>0</v>
      </c>
      <c r="Q137" s="15">
        <v>2310</v>
      </c>
      <c r="R137" s="14">
        <f>P137+ROUND(Q137, 2)</f>
        <v>2310</v>
      </c>
      <c r="S137" s="14">
        <f>ROUND(P137*I137, 2)</f>
        <v>0</v>
      </c>
      <c r="T137" s="14">
        <f>ROUND(I137*ROUND(Q137, 2), 2)</f>
        <v>0</v>
      </c>
      <c r="U137" s="14">
        <f>S137+T137</f>
        <v>0</v>
      </c>
      <c r="V137" s="9">
        <f>ROUND(P137 / 1.2, 2)</f>
        <v>0</v>
      </c>
      <c r="W137" s="9">
        <f>ROUND(Q137 / 1.2, 2)</f>
        <v>1925</v>
      </c>
      <c r="X137" s="9">
        <f>ROUND(R137 / 1.2, 2)</f>
        <v>1925</v>
      </c>
      <c r="Y137" s="9">
        <f t="shared" si="9"/>
        <v>0</v>
      </c>
      <c r="Z137" s="9">
        <f>ROUND(T137 / 1.2, 2)</f>
        <v>0</v>
      </c>
      <c r="AA137" s="9">
        <f>Y137+Z137</f>
        <v>0</v>
      </c>
      <c r="AD137" s="4">
        <v>304337617</v>
      </c>
      <c r="AE137" s="4">
        <v>20865473</v>
      </c>
      <c r="AG137" s="4" t="s">
        <v>529</v>
      </c>
      <c r="AH137" s="4" t="s">
        <v>530</v>
      </c>
      <c r="AI137" s="4" t="s">
        <v>260</v>
      </c>
    </row>
    <row r="138" spans="1:35" ht="54" x14ac:dyDescent="0.3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30">
        <v>0</v>
      </c>
      <c r="J138" s="31">
        <v>1100.4000000000001</v>
      </c>
      <c r="M138" s="32">
        <f>ROUND(ROUND(J138, 2)*I138, 2)</f>
        <v>0</v>
      </c>
      <c r="P138" s="31">
        <v>1100.4000000000001</v>
      </c>
      <c r="S138" s="32">
        <f>ROUND(ROUND(P138, 2)*I138, 2)</f>
        <v>0</v>
      </c>
      <c r="V138" s="9">
        <f>ROUND(ROUND(P138, 2)/1.2, 2)</f>
        <v>917</v>
      </c>
      <c r="Y138" s="9">
        <f t="shared" si="9"/>
        <v>0</v>
      </c>
      <c r="AD138" s="4" t="s">
        <v>593</v>
      </c>
      <c r="AE138" s="4" t="s">
        <v>594</v>
      </c>
      <c r="AF138" s="4" t="s">
        <v>595</v>
      </c>
    </row>
    <row r="139" spans="1:35" ht="36" x14ac:dyDescent="0.3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49">
        <v>0</v>
      </c>
      <c r="J139" s="31">
        <v>16.96</v>
      </c>
      <c r="M139" s="32">
        <f>ROUND(ROUND(J139, 2)*I139, 2)</f>
        <v>0</v>
      </c>
      <c r="P139" s="31">
        <v>16.96</v>
      </c>
      <c r="S139" s="32">
        <f>ROUND(ROUND(P139, 2)*I139, 2)</f>
        <v>0</v>
      </c>
      <c r="V139" s="9">
        <f>ROUND(ROUND(P139, 2)/1.2, 2)</f>
        <v>14.13</v>
      </c>
      <c r="Y139" s="9">
        <f t="shared" si="9"/>
        <v>0</v>
      </c>
      <c r="AD139" s="4" t="s">
        <v>600</v>
      </c>
      <c r="AE139" s="4" t="s">
        <v>601</v>
      </c>
      <c r="AF139" s="4" t="s">
        <v>545</v>
      </c>
    </row>
    <row r="140" spans="1:35" ht="18" x14ac:dyDescent="0.3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30">
        <v>0</v>
      </c>
      <c r="J140" s="31">
        <v>47.44</v>
      </c>
      <c r="M140" s="32">
        <f>ROUND(ROUND(J140, 2)*I140, 2)</f>
        <v>0</v>
      </c>
      <c r="P140" s="31">
        <v>47.44</v>
      </c>
      <c r="S140" s="32">
        <f>ROUND(ROUND(P140, 2)*I140, 2)</f>
        <v>0</v>
      </c>
      <c r="V140" s="9">
        <f>ROUND(ROUND(P140, 2)/1.2, 2)</f>
        <v>39.53</v>
      </c>
      <c r="Y140" s="9">
        <f t="shared" si="9"/>
        <v>0</v>
      </c>
      <c r="AD140" s="4" t="s">
        <v>605</v>
      </c>
      <c r="AE140" s="4" t="s">
        <v>606</v>
      </c>
      <c r="AF140" s="4" t="s">
        <v>552</v>
      </c>
    </row>
    <row r="141" spans="1:35" ht="36" x14ac:dyDescent="0.3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30">
        <v>0</v>
      </c>
      <c r="J141" s="31">
        <v>88.8</v>
      </c>
      <c r="M141" s="32">
        <f>ROUND(ROUND(J141, 2)*I141, 2)</f>
        <v>0</v>
      </c>
      <c r="P141" s="31">
        <v>88.8</v>
      </c>
      <c r="S141" s="32">
        <f>ROUND(ROUND(P141, 2)*I141, 2)</f>
        <v>0</v>
      </c>
      <c r="V141" s="9">
        <f>ROUND(ROUND(P141, 2)/1.2, 2)</f>
        <v>74</v>
      </c>
      <c r="Y141" s="9">
        <f t="shared" si="9"/>
        <v>0</v>
      </c>
      <c r="AD141" s="4" t="s">
        <v>610</v>
      </c>
      <c r="AE141" s="4" t="s">
        <v>611</v>
      </c>
      <c r="AF141" s="4" t="s">
        <v>559</v>
      </c>
    </row>
    <row r="142" spans="1:35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3">
        <v>338.3</v>
      </c>
      <c r="J142" s="14">
        <f>IFERROR(ROUND(SUM(M143,M144,M145,M146)/I142, 2),0)</f>
        <v>1628.52</v>
      </c>
      <c r="K142" s="15">
        <v>2310</v>
      </c>
      <c r="L142" s="14">
        <f>J142+ROUND(K142, 2)</f>
        <v>3938.52</v>
      </c>
      <c r="M142" s="14">
        <f>ROUND(J142*I142, 2)</f>
        <v>550928.31999999995</v>
      </c>
      <c r="N142" s="14">
        <f>ROUND(I142*ROUND(K142, 2), 2)</f>
        <v>781473</v>
      </c>
      <c r="O142" s="14">
        <f>M142+N142</f>
        <v>1332401.32</v>
      </c>
      <c r="P142" s="14">
        <f>IFERROR(ROUND(SUM(S143,S144,S145,S146)/I142, 2),0)</f>
        <v>1628.51</v>
      </c>
      <c r="Q142" s="16">
        <v>3465</v>
      </c>
      <c r="R142" s="14">
        <f>P142+ROUND(Q142, 2)</f>
        <v>5093.51</v>
      </c>
      <c r="S142" s="14">
        <f>ROUND(P142*I142, 2)</f>
        <v>550924.93000000005</v>
      </c>
      <c r="T142" s="14">
        <f>ROUND(I142*ROUND(Q142, 2), 2)</f>
        <v>1172209.5</v>
      </c>
      <c r="U142" s="14">
        <f>S142+T142</f>
        <v>1723134.43</v>
      </c>
      <c r="V142" s="9">
        <f>ROUND(P142 / 1.2, 2)</f>
        <v>1357.09</v>
      </c>
      <c r="W142" s="9">
        <f>ROUND(Q142 / 1.2, 2)</f>
        <v>2887.5</v>
      </c>
      <c r="X142" s="9">
        <f>ROUND(R142 / 1.2, 2)</f>
        <v>4244.59</v>
      </c>
      <c r="Y142" s="9">
        <f t="shared" si="9"/>
        <v>459104.11</v>
      </c>
      <c r="Z142" s="9">
        <f>ROUND(T142 / 1.2, 2)</f>
        <v>976841.25</v>
      </c>
      <c r="AA142" s="9">
        <f>Y142+Z142</f>
        <v>1435945.36</v>
      </c>
      <c r="AD142" s="4">
        <v>304337618</v>
      </c>
      <c r="AE142" s="4">
        <v>21916288</v>
      </c>
      <c r="AG142" s="4" t="s">
        <v>529</v>
      </c>
      <c r="AH142" s="4" t="s">
        <v>530</v>
      </c>
      <c r="AI142" s="4" t="s">
        <v>260</v>
      </c>
    </row>
    <row r="143" spans="1:35" ht="36" x14ac:dyDescent="0.3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30">
        <v>50.744999999999997</v>
      </c>
      <c r="J143" s="31">
        <v>88.8</v>
      </c>
      <c r="M143" s="32">
        <f>ROUND(ROUND(J143, 2)*I143, 2)</f>
        <v>4506.16</v>
      </c>
      <c r="P143" s="33">
        <v>88.8</v>
      </c>
      <c r="S143" s="32">
        <f>ROUND(ROUND(P143, 2)*I143, 2)</f>
        <v>4506.16</v>
      </c>
      <c r="V143" s="9">
        <f>ROUND(ROUND(P143, 2)/1.2, 2)</f>
        <v>74</v>
      </c>
      <c r="Y143" s="9">
        <f t="shared" si="9"/>
        <v>3755.13</v>
      </c>
      <c r="AD143" s="4" t="s">
        <v>616</v>
      </c>
      <c r="AE143" s="4" t="s">
        <v>617</v>
      </c>
      <c r="AF143" s="4" t="s">
        <v>559</v>
      </c>
    </row>
    <row r="144" spans="1:35" ht="18" x14ac:dyDescent="0.3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30">
        <v>84.575000000000003</v>
      </c>
      <c r="J144" s="31">
        <v>47.44</v>
      </c>
      <c r="M144" s="32">
        <f>ROUND(ROUND(J144, 2)*I144, 2)</f>
        <v>4012.24</v>
      </c>
      <c r="P144" s="33">
        <v>47.44</v>
      </c>
      <c r="S144" s="32">
        <f>ROUND(ROUND(P144, 2)*I144, 2)</f>
        <v>4012.24</v>
      </c>
      <c r="V144" s="9">
        <f>ROUND(ROUND(P144, 2)/1.2, 2)</f>
        <v>39.53</v>
      </c>
      <c r="Y144" s="9">
        <f t="shared" si="9"/>
        <v>3343.53</v>
      </c>
      <c r="AD144" s="4" t="s">
        <v>619</v>
      </c>
      <c r="AE144" s="4" t="s">
        <v>620</v>
      </c>
      <c r="AF144" s="4" t="s">
        <v>552</v>
      </c>
    </row>
    <row r="145" spans="1:35" ht="36" x14ac:dyDescent="0.3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49">
        <v>405.96</v>
      </c>
      <c r="J145" s="31">
        <v>16.12</v>
      </c>
      <c r="M145" s="32">
        <f>ROUND(ROUND(J145, 2)*I145, 2)</f>
        <v>6544.08</v>
      </c>
      <c r="P145" s="33">
        <v>16.11</v>
      </c>
      <c r="S145" s="32">
        <f>ROUND(ROUND(P145, 2)*I145, 2)</f>
        <v>6540.02</v>
      </c>
      <c r="V145" s="9">
        <f>ROUND(ROUND(P145, 2)/1.2, 2)</f>
        <v>13.43</v>
      </c>
      <c r="Y145" s="9">
        <f t="shared" si="9"/>
        <v>5450.02</v>
      </c>
      <c r="AD145" s="4" t="s">
        <v>622</v>
      </c>
      <c r="AE145" s="4" t="s">
        <v>623</v>
      </c>
      <c r="AF145" s="4" t="s">
        <v>545</v>
      </c>
    </row>
    <row r="146" spans="1:35" ht="90" x14ac:dyDescent="0.3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30">
        <v>1353.2</v>
      </c>
      <c r="J146" s="31">
        <v>396</v>
      </c>
      <c r="M146" s="32">
        <f>ROUND(ROUND(J146, 2)*I146, 2)</f>
        <v>535867.19999999995</v>
      </c>
      <c r="P146" s="33">
        <v>396</v>
      </c>
      <c r="S146" s="32">
        <f>ROUND(ROUND(P146, 2)*I146, 2)</f>
        <v>535867.19999999995</v>
      </c>
      <c r="V146" s="9">
        <f>ROUND(ROUND(P146, 2)/1.2, 2)</f>
        <v>330</v>
      </c>
      <c r="Y146" s="9">
        <f t="shared" si="9"/>
        <v>446556</v>
      </c>
      <c r="AD146" s="4" t="s">
        <v>625</v>
      </c>
      <c r="AE146" s="4" t="s">
        <v>626</v>
      </c>
      <c r="AF146" s="4" t="s">
        <v>537</v>
      </c>
    </row>
    <row r="147" spans="1:35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3">
        <v>190.6</v>
      </c>
      <c r="J147" s="14">
        <f>IFERROR(ROUND(SUM(M148,M149,M150,M151)/I147, 2),0)</f>
        <v>4446.12</v>
      </c>
      <c r="K147" s="15">
        <v>2310</v>
      </c>
      <c r="L147" s="14">
        <f>J147+ROUND(K147, 2)</f>
        <v>6756.12</v>
      </c>
      <c r="M147" s="14">
        <f>ROUND(J147*I147, 2)</f>
        <v>847430.47</v>
      </c>
      <c r="N147" s="14">
        <f>ROUND(I147*ROUND(K147, 2), 2)</f>
        <v>440286</v>
      </c>
      <c r="O147" s="14">
        <f>M147+N147</f>
        <v>1287716.47</v>
      </c>
      <c r="P147" s="14">
        <f>IFERROR(ROUND(SUM(S148,S149,S150,S151)/I147, 2),0)</f>
        <v>4446.1099999999997</v>
      </c>
      <c r="Q147" s="16">
        <v>3465</v>
      </c>
      <c r="R147" s="14">
        <f>P147+ROUND(Q147, 2)</f>
        <v>7911.11</v>
      </c>
      <c r="S147" s="14">
        <f>ROUND(P147*I147, 2)</f>
        <v>847428.57</v>
      </c>
      <c r="T147" s="14">
        <f>ROUND(I147*ROUND(Q147, 2), 2)</f>
        <v>660429</v>
      </c>
      <c r="U147" s="14">
        <f>S147+T147</f>
        <v>1507857.57</v>
      </c>
      <c r="V147" s="9">
        <f>ROUND(P147 / 1.2, 2)</f>
        <v>3705.09</v>
      </c>
      <c r="W147" s="9">
        <f>ROUND(Q147 / 1.2, 2)</f>
        <v>2887.5</v>
      </c>
      <c r="X147" s="9">
        <f>ROUND(R147 / 1.2, 2)</f>
        <v>6592.59</v>
      </c>
      <c r="Y147" s="9">
        <f t="shared" si="9"/>
        <v>706190.48</v>
      </c>
      <c r="Z147" s="9">
        <f>ROUND(T147 / 1.2, 2)</f>
        <v>550357.5</v>
      </c>
      <c r="AA147" s="9">
        <f>Y147+Z147</f>
        <v>1256547.98</v>
      </c>
      <c r="AD147" s="4">
        <v>304337619</v>
      </c>
      <c r="AE147" s="4">
        <v>21916289</v>
      </c>
      <c r="AG147" s="4" t="s">
        <v>529</v>
      </c>
      <c r="AH147" s="4" t="s">
        <v>530</v>
      </c>
      <c r="AI147" s="4" t="s">
        <v>260</v>
      </c>
    </row>
    <row r="148" spans="1:35" ht="90" x14ac:dyDescent="0.3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30">
        <v>762.4</v>
      </c>
      <c r="J148" s="31">
        <v>1100.4000000000001</v>
      </c>
      <c r="M148" s="32">
        <f>ROUND(ROUND(J148, 2)*I148, 2)</f>
        <v>838944.96</v>
      </c>
      <c r="P148" s="33">
        <v>1100.4000000000001</v>
      </c>
      <c r="S148" s="32">
        <f>ROUND(ROUND(P148, 2)*I148, 2)</f>
        <v>838944.96</v>
      </c>
      <c r="V148" s="9">
        <f>ROUND(ROUND(P148, 2)/1.2, 2)</f>
        <v>917</v>
      </c>
      <c r="Y148" s="9">
        <f t="shared" si="9"/>
        <v>699120.8</v>
      </c>
      <c r="AD148" s="4" t="s">
        <v>629</v>
      </c>
      <c r="AE148" s="4" t="s">
        <v>630</v>
      </c>
      <c r="AF148" s="4" t="s">
        <v>595</v>
      </c>
    </row>
    <row r="149" spans="1:35" ht="36" x14ac:dyDescent="0.3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49">
        <v>228.72</v>
      </c>
      <c r="J149" s="31">
        <v>16.12</v>
      </c>
      <c r="M149" s="32">
        <f>ROUND(ROUND(J149, 2)*I149, 2)</f>
        <v>3686.97</v>
      </c>
      <c r="P149" s="33">
        <v>16.11</v>
      </c>
      <c r="S149" s="32">
        <f>ROUND(ROUND(P149, 2)*I149, 2)</f>
        <v>3684.68</v>
      </c>
      <c r="V149" s="9">
        <f>ROUND(ROUND(P149, 2)/1.2, 2)</f>
        <v>13.43</v>
      </c>
      <c r="Y149" s="9">
        <f t="shared" si="9"/>
        <v>3070.57</v>
      </c>
      <c r="AD149" s="4" t="s">
        <v>632</v>
      </c>
      <c r="AE149" s="4" t="s">
        <v>633</v>
      </c>
      <c r="AF149" s="4" t="s">
        <v>545</v>
      </c>
    </row>
    <row r="150" spans="1:35" ht="18" x14ac:dyDescent="0.3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30">
        <v>47.65</v>
      </c>
      <c r="J150" s="31">
        <v>47.44</v>
      </c>
      <c r="M150" s="32">
        <f>ROUND(ROUND(J150, 2)*I150, 2)</f>
        <v>2260.52</v>
      </c>
      <c r="P150" s="33">
        <v>47.44</v>
      </c>
      <c r="S150" s="32">
        <f>ROUND(ROUND(P150, 2)*I150, 2)</f>
        <v>2260.52</v>
      </c>
      <c r="V150" s="9">
        <f>ROUND(ROUND(P150, 2)/1.2, 2)</f>
        <v>39.53</v>
      </c>
      <c r="Y150" s="9">
        <f t="shared" si="9"/>
        <v>1883.77</v>
      </c>
      <c r="AD150" s="4" t="s">
        <v>635</v>
      </c>
      <c r="AE150" s="4" t="s">
        <v>636</v>
      </c>
      <c r="AF150" s="4" t="s">
        <v>552</v>
      </c>
    </row>
    <row r="151" spans="1:35" ht="36" x14ac:dyDescent="0.3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30">
        <v>28.59</v>
      </c>
      <c r="J151" s="31">
        <v>88.8</v>
      </c>
      <c r="M151" s="32">
        <f>ROUND(ROUND(J151, 2)*I151, 2)</f>
        <v>2538.79</v>
      </c>
      <c r="P151" s="33">
        <v>88.8</v>
      </c>
      <c r="S151" s="32">
        <f>ROUND(ROUND(P151, 2)*I151, 2)</f>
        <v>2538.79</v>
      </c>
      <c r="V151" s="9">
        <f>ROUND(ROUND(P151, 2)/1.2, 2)</f>
        <v>74</v>
      </c>
      <c r="Y151" s="9">
        <f t="shared" si="9"/>
        <v>2115.66</v>
      </c>
      <c r="AD151" s="4" t="s">
        <v>638</v>
      </c>
      <c r="AE151" s="4" t="s">
        <v>639</v>
      </c>
      <c r="AF151" s="4" t="s">
        <v>559</v>
      </c>
    </row>
    <row r="152" spans="1:35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3">
        <v>129.4</v>
      </c>
      <c r="J152" s="14">
        <f>IFERROR(ROUND(SUM(M153,M154,M155,M156)/I152, 2),0)</f>
        <v>4446.12</v>
      </c>
      <c r="K152" s="15">
        <v>2310</v>
      </c>
      <c r="L152" s="14">
        <f>J152+ROUND(K152, 2)</f>
        <v>6756.12</v>
      </c>
      <c r="M152" s="14">
        <f>ROUND(J152*I152, 2)</f>
        <v>575327.93000000005</v>
      </c>
      <c r="N152" s="14">
        <f>ROUND(I152*ROUND(K152, 2), 2)</f>
        <v>298914</v>
      </c>
      <c r="O152" s="14">
        <f>M152+N152</f>
        <v>874241.93</v>
      </c>
      <c r="P152" s="14">
        <f>IFERROR(ROUND(SUM(S153,S154,S155,S156)/I152, 2),0)</f>
        <v>4446.1099999999997</v>
      </c>
      <c r="Q152" s="16">
        <v>3465</v>
      </c>
      <c r="R152" s="14">
        <f>P152+ROUND(Q152, 2)</f>
        <v>7911.11</v>
      </c>
      <c r="S152" s="14">
        <f>ROUND(P152*I152, 2)</f>
        <v>575326.63</v>
      </c>
      <c r="T152" s="14">
        <f>ROUND(I152*ROUND(Q152, 2), 2)</f>
        <v>448371</v>
      </c>
      <c r="U152" s="14">
        <f>S152+T152</f>
        <v>1023697.63</v>
      </c>
      <c r="V152" s="9">
        <f>ROUND(P152 / 1.2, 2)</f>
        <v>3705.09</v>
      </c>
      <c r="W152" s="9">
        <f>ROUND(Q152 / 1.2, 2)</f>
        <v>2887.5</v>
      </c>
      <c r="X152" s="9">
        <f>ROUND(R152 / 1.2, 2)</f>
        <v>6592.59</v>
      </c>
      <c r="Y152" s="9">
        <f t="shared" si="9"/>
        <v>479438.86</v>
      </c>
      <c r="Z152" s="9">
        <f>ROUND(T152 / 1.2, 2)</f>
        <v>373642.5</v>
      </c>
      <c r="AA152" s="9">
        <f>Y152+Z152</f>
        <v>853081.36</v>
      </c>
      <c r="AD152" s="4">
        <v>304337620</v>
      </c>
      <c r="AE152" s="4">
        <v>21935199</v>
      </c>
      <c r="AG152" s="4" t="s">
        <v>529</v>
      </c>
      <c r="AH152" s="4" t="s">
        <v>530</v>
      </c>
      <c r="AI152" s="4" t="s">
        <v>260</v>
      </c>
    </row>
    <row r="153" spans="1:35" ht="36" x14ac:dyDescent="0.3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30">
        <v>19.41</v>
      </c>
      <c r="J153" s="31">
        <v>88.8</v>
      </c>
      <c r="M153" s="32">
        <f>ROUND(ROUND(J153, 2)*I153, 2)</f>
        <v>1723.61</v>
      </c>
      <c r="P153" s="33">
        <v>88.8</v>
      </c>
      <c r="S153" s="32">
        <f>ROUND(ROUND(P153, 2)*I153, 2)</f>
        <v>1723.61</v>
      </c>
      <c r="V153" s="9">
        <f>ROUND(ROUND(P153, 2)/1.2, 2)</f>
        <v>74</v>
      </c>
      <c r="Y153" s="9">
        <f t="shared" si="9"/>
        <v>1436.34</v>
      </c>
      <c r="AD153" s="4" t="s">
        <v>643</v>
      </c>
      <c r="AE153" s="4" t="s">
        <v>644</v>
      </c>
      <c r="AF153" s="4" t="s">
        <v>559</v>
      </c>
    </row>
    <row r="154" spans="1:35" ht="18" x14ac:dyDescent="0.3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30">
        <v>32.35</v>
      </c>
      <c r="J154" s="31">
        <v>47.44</v>
      </c>
      <c r="M154" s="32">
        <f>ROUND(ROUND(J154, 2)*I154, 2)</f>
        <v>1534.68</v>
      </c>
      <c r="P154" s="33">
        <v>47.44</v>
      </c>
      <c r="S154" s="32">
        <f>ROUND(ROUND(P154, 2)*I154, 2)</f>
        <v>1534.68</v>
      </c>
      <c r="V154" s="9">
        <f>ROUND(ROUND(P154, 2)/1.2, 2)</f>
        <v>39.53</v>
      </c>
      <c r="Y154" s="9">
        <f t="shared" si="9"/>
        <v>1278.9000000000001</v>
      </c>
      <c r="AD154" s="4" t="s">
        <v>646</v>
      </c>
      <c r="AE154" s="4" t="s">
        <v>647</v>
      </c>
      <c r="AF154" s="4" t="s">
        <v>552</v>
      </c>
    </row>
    <row r="155" spans="1:35" ht="36" x14ac:dyDescent="0.3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49">
        <v>155.28</v>
      </c>
      <c r="J155" s="31">
        <v>16.12</v>
      </c>
      <c r="M155" s="32">
        <f>ROUND(ROUND(J155, 2)*I155, 2)</f>
        <v>2503.11</v>
      </c>
      <c r="P155" s="33">
        <v>16.11</v>
      </c>
      <c r="S155" s="32">
        <f>ROUND(ROUND(P155, 2)*I155, 2)</f>
        <v>2501.56</v>
      </c>
      <c r="V155" s="9">
        <f>ROUND(ROUND(P155, 2)/1.2, 2)</f>
        <v>13.43</v>
      </c>
      <c r="Y155" s="9">
        <f t="shared" si="9"/>
        <v>2084.63</v>
      </c>
      <c r="AD155" s="4" t="s">
        <v>649</v>
      </c>
      <c r="AE155" s="4" t="s">
        <v>650</v>
      </c>
      <c r="AF155" s="4" t="s">
        <v>545</v>
      </c>
    </row>
    <row r="156" spans="1:35" ht="72" x14ac:dyDescent="0.3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30">
        <v>517.6</v>
      </c>
      <c r="J156" s="31">
        <v>1100.4000000000001</v>
      </c>
      <c r="M156" s="32">
        <f>ROUND(ROUND(J156, 2)*I156, 2)</f>
        <v>569567.04</v>
      </c>
      <c r="P156" s="33">
        <v>1100.4000000000001</v>
      </c>
      <c r="S156" s="32">
        <f>ROUND(ROUND(P156, 2)*I156, 2)</f>
        <v>569567.04</v>
      </c>
      <c r="V156" s="9">
        <f>ROUND(ROUND(P156, 2)/1.2, 2)</f>
        <v>917</v>
      </c>
      <c r="Y156" s="9">
        <f t="shared" si="9"/>
        <v>474639.2</v>
      </c>
      <c r="AD156" s="4" t="s">
        <v>652</v>
      </c>
      <c r="AE156" s="4" t="s">
        <v>653</v>
      </c>
      <c r="AF156" s="4" t="s">
        <v>595</v>
      </c>
    </row>
    <row r="157" spans="1:35" ht="36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3">
        <v>0</v>
      </c>
      <c r="J157" s="14">
        <f>IFERROR(ROUND(SUM(M158,M159,M160,M161)/I157, 2),0)</f>
        <v>0</v>
      </c>
      <c r="K157" s="15">
        <v>473</v>
      </c>
      <c r="L157" s="14">
        <f>J157+ROUND(K157, 2)</f>
        <v>473</v>
      </c>
      <c r="M157" s="14">
        <f>ROUND(J157*I157, 2)</f>
        <v>0</v>
      </c>
      <c r="N157" s="14">
        <f>ROUND(I157*ROUND(K157, 2), 2)</f>
        <v>0</v>
      </c>
      <c r="O157" s="14">
        <f>M157+N157</f>
        <v>0</v>
      </c>
      <c r="P157" s="14">
        <f>IFERROR(ROUND(SUM(S158,S159,S160,S161)/I157, 2),0)</f>
        <v>0</v>
      </c>
      <c r="Q157" s="15">
        <v>473</v>
      </c>
      <c r="R157" s="14">
        <f>P157+ROUND(Q157, 2)</f>
        <v>473</v>
      </c>
      <c r="S157" s="14">
        <f>ROUND(P157*I157, 2)</f>
        <v>0</v>
      </c>
      <c r="T157" s="14">
        <f>ROUND(I157*ROUND(Q157, 2), 2)</f>
        <v>0</v>
      </c>
      <c r="U157" s="14">
        <f>S157+T157</f>
        <v>0</v>
      </c>
      <c r="V157" s="9">
        <f>ROUND(P157 / 1.2, 2)</f>
        <v>0</v>
      </c>
      <c r="W157" s="9">
        <f>ROUND(Q157 / 1.2, 2)</f>
        <v>394.17</v>
      </c>
      <c r="X157" s="9">
        <f>ROUND(R157 / 1.2, 2)</f>
        <v>394.17</v>
      </c>
      <c r="Y157" s="9">
        <f t="shared" ref="Y157:Y188" si="10">ROUND(S157 / 1.2, 2)</f>
        <v>0</v>
      </c>
      <c r="Z157" s="9">
        <f>ROUND(T157 / 1.2, 2)</f>
        <v>0</v>
      </c>
      <c r="AA157" s="9">
        <f>Y157+Z157</f>
        <v>0</v>
      </c>
      <c r="AD157" s="4">
        <v>304337551</v>
      </c>
      <c r="AE157" s="4">
        <v>20322535</v>
      </c>
      <c r="AG157" s="4" t="s">
        <v>657</v>
      </c>
      <c r="AH157" s="4" t="s">
        <v>658</v>
      </c>
      <c r="AI157" s="4" t="s">
        <v>260</v>
      </c>
    </row>
    <row r="158" spans="1:35" ht="36" x14ac:dyDescent="0.3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49">
        <v>0</v>
      </c>
      <c r="J158" s="31">
        <v>16.96</v>
      </c>
      <c r="M158" s="32">
        <f>ROUND(ROUND(J158, 2)*I158, 2)</f>
        <v>0</v>
      </c>
      <c r="P158" s="31">
        <v>16.96</v>
      </c>
      <c r="S158" s="32">
        <f>ROUND(ROUND(P158, 2)*I158, 2)</f>
        <v>0</v>
      </c>
      <c r="V158" s="9">
        <f>ROUND(ROUND(P158, 2)/1.2, 2)</f>
        <v>14.13</v>
      </c>
      <c r="Y158" s="9">
        <f t="shared" si="10"/>
        <v>0</v>
      </c>
      <c r="AD158" s="4" t="s">
        <v>663</v>
      </c>
      <c r="AE158" s="4" t="s">
        <v>664</v>
      </c>
      <c r="AF158" s="4" t="s">
        <v>665</v>
      </c>
    </row>
    <row r="159" spans="1:35" ht="36" x14ac:dyDescent="0.3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49">
        <v>0</v>
      </c>
      <c r="J159" s="31">
        <v>450.95</v>
      </c>
      <c r="M159" s="32">
        <f>ROUND(ROUND(J159, 2)*I159, 2)</f>
        <v>0</v>
      </c>
      <c r="P159" s="31">
        <v>450.95</v>
      </c>
      <c r="S159" s="32">
        <f>ROUND(ROUND(P159, 2)*I159, 2)</f>
        <v>0</v>
      </c>
      <c r="V159" s="9">
        <f>ROUND(ROUND(P159, 2)/1.2, 2)</f>
        <v>375.79</v>
      </c>
      <c r="Y159" s="9">
        <f t="shared" si="10"/>
        <v>0</v>
      </c>
      <c r="AD159" s="4" t="s">
        <v>670</v>
      </c>
      <c r="AE159" s="4" t="s">
        <v>671</v>
      </c>
      <c r="AF159" s="4" t="s">
        <v>672</v>
      </c>
    </row>
    <row r="160" spans="1:35" ht="18" x14ac:dyDescent="0.3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30">
        <v>0</v>
      </c>
      <c r="J160" s="31">
        <v>47.44</v>
      </c>
      <c r="M160" s="32">
        <f>ROUND(ROUND(J160, 2)*I160, 2)</f>
        <v>0</v>
      </c>
      <c r="P160" s="31">
        <v>47.44</v>
      </c>
      <c r="S160" s="32">
        <f>ROUND(ROUND(P160, 2)*I160, 2)</f>
        <v>0</v>
      </c>
      <c r="V160" s="9">
        <f>ROUND(ROUND(P160, 2)/1.2, 2)</f>
        <v>39.53</v>
      </c>
      <c r="Y160" s="9">
        <f t="shared" si="10"/>
        <v>0</v>
      </c>
      <c r="AD160" s="4" t="s">
        <v>677</v>
      </c>
      <c r="AE160" s="4" t="s">
        <v>678</v>
      </c>
      <c r="AF160" s="4" t="s">
        <v>552</v>
      </c>
    </row>
    <row r="161" spans="1:35" ht="36" x14ac:dyDescent="0.3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0"/>
        <v>0</v>
      </c>
      <c r="AD161" s="4" t="s">
        <v>683</v>
      </c>
      <c r="AE161" s="4" t="s">
        <v>684</v>
      </c>
      <c r="AF161" s="4" t="s">
        <v>685</v>
      </c>
    </row>
    <row r="162" spans="1:35" ht="36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3">
        <v>0</v>
      </c>
      <c r="J162" s="14">
        <f>IFERROR(ROUND(SUM(M163,M164,M165,M166)/I162, 2),0)</f>
        <v>0</v>
      </c>
      <c r="K162" s="15">
        <v>473</v>
      </c>
      <c r="L162" s="14">
        <f>J162+ROUND(K162, 2)</f>
        <v>473</v>
      </c>
      <c r="M162" s="14">
        <f>ROUND(J162*I162, 2)</f>
        <v>0</v>
      </c>
      <c r="N162" s="14">
        <f>ROUND(I162*ROUND(K162, 2), 2)</f>
        <v>0</v>
      </c>
      <c r="O162" s="14">
        <f>M162+N162</f>
        <v>0</v>
      </c>
      <c r="P162" s="14">
        <f>IFERROR(ROUND(SUM(S163,S164,S165,S166)/I162, 2),0)</f>
        <v>0</v>
      </c>
      <c r="Q162" s="15">
        <v>473</v>
      </c>
      <c r="R162" s="14">
        <f>P162+ROUND(Q162, 2)</f>
        <v>473</v>
      </c>
      <c r="S162" s="14">
        <f>ROUND(P162*I162, 2)</f>
        <v>0</v>
      </c>
      <c r="T162" s="14">
        <f>ROUND(I162*ROUND(Q162, 2), 2)</f>
        <v>0</v>
      </c>
      <c r="U162" s="14">
        <f>S162+T162</f>
        <v>0</v>
      </c>
      <c r="V162" s="9">
        <f>ROUND(P162 / 1.2, 2)</f>
        <v>0</v>
      </c>
      <c r="W162" s="9">
        <f>ROUND(Q162 / 1.2, 2)</f>
        <v>394.17</v>
      </c>
      <c r="X162" s="9">
        <f>ROUND(R162 / 1.2, 2)</f>
        <v>394.17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304337621</v>
      </c>
      <c r="AE162" s="4">
        <v>20322536</v>
      </c>
      <c r="AG162" s="4" t="s">
        <v>657</v>
      </c>
      <c r="AH162" s="4" t="s">
        <v>658</v>
      </c>
      <c r="AI162" s="4" t="s">
        <v>260</v>
      </c>
    </row>
    <row r="163" spans="1:35" ht="36" x14ac:dyDescent="0.3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30">
        <v>0</v>
      </c>
      <c r="J163" s="31">
        <v>88.8</v>
      </c>
      <c r="M163" s="32">
        <f>ROUND(ROUND(J163, 2)*I163, 2)</f>
        <v>0</v>
      </c>
      <c r="P163" s="31">
        <v>88.8</v>
      </c>
      <c r="S163" s="32">
        <f>ROUND(ROUND(P163, 2)*I163, 2)</f>
        <v>0</v>
      </c>
      <c r="V163" s="9">
        <f>ROUND(ROUND(P163, 2)/1.2, 2)</f>
        <v>74</v>
      </c>
      <c r="Y163" s="9">
        <f t="shared" si="10"/>
        <v>0</v>
      </c>
      <c r="AD163" s="4" t="s">
        <v>692</v>
      </c>
      <c r="AE163" s="4" t="s">
        <v>693</v>
      </c>
      <c r="AF163" s="4" t="s">
        <v>685</v>
      </c>
    </row>
    <row r="164" spans="1:35" ht="18" x14ac:dyDescent="0.3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30">
        <v>0</v>
      </c>
      <c r="J164" s="31">
        <v>47.44</v>
      </c>
      <c r="M164" s="32">
        <f>ROUND(ROUND(J164, 2)*I164, 2)</f>
        <v>0</v>
      </c>
      <c r="P164" s="31">
        <v>47.44</v>
      </c>
      <c r="S164" s="32">
        <f>ROUND(ROUND(P164, 2)*I164, 2)</f>
        <v>0</v>
      </c>
      <c r="V164" s="9">
        <f>ROUND(ROUND(P164, 2)/1.2, 2)</f>
        <v>39.53</v>
      </c>
      <c r="Y164" s="9">
        <f t="shared" si="10"/>
        <v>0</v>
      </c>
      <c r="AD164" s="4" t="s">
        <v>697</v>
      </c>
      <c r="AE164" s="4" t="s">
        <v>698</v>
      </c>
      <c r="AF164" s="4" t="s">
        <v>552</v>
      </c>
    </row>
    <row r="165" spans="1:35" ht="36" x14ac:dyDescent="0.3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49">
        <v>0</v>
      </c>
      <c r="J165" s="31">
        <v>450.95</v>
      </c>
      <c r="M165" s="32">
        <f>ROUND(ROUND(J165, 2)*I165, 2)</f>
        <v>0</v>
      </c>
      <c r="P165" s="31">
        <v>450.95</v>
      </c>
      <c r="S165" s="32">
        <f>ROUND(ROUND(P165, 2)*I165, 2)</f>
        <v>0</v>
      </c>
      <c r="V165" s="9">
        <f>ROUND(ROUND(P165, 2)/1.2, 2)</f>
        <v>375.79</v>
      </c>
      <c r="Y165" s="9">
        <f t="shared" si="10"/>
        <v>0</v>
      </c>
      <c r="AD165" s="4" t="s">
        <v>702</v>
      </c>
      <c r="AE165" s="4" t="s">
        <v>703</v>
      </c>
      <c r="AF165" s="4" t="s">
        <v>672</v>
      </c>
    </row>
    <row r="166" spans="1:35" ht="36" x14ac:dyDescent="0.3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49">
        <v>0</v>
      </c>
      <c r="J166" s="31">
        <v>16.96</v>
      </c>
      <c r="M166" s="32">
        <f>ROUND(ROUND(J166, 2)*I166, 2)</f>
        <v>0</v>
      </c>
      <c r="P166" s="31">
        <v>16.96</v>
      </c>
      <c r="S166" s="32">
        <f>ROUND(ROUND(P166, 2)*I166, 2)</f>
        <v>0</v>
      </c>
      <c r="V166" s="9">
        <f>ROUND(ROUND(P166, 2)/1.2, 2)</f>
        <v>14.13</v>
      </c>
      <c r="Y166" s="9">
        <f t="shared" si="10"/>
        <v>0</v>
      </c>
      <c r="AD166" s="4" t="s">
        <v>708</v>
      </c>
      <c r="AE166" s="4" t="s">
        <v>709</v>
      </c>
      <c r="AF166" s="4" t="s">
        <v>665</v>
      </c>
    </row>
    <row r="167" spans="1:35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3">
        <v>0</v>
      </c>
      <c r="J167" s="14">
        <f>IFERROR(ROUND(SUM(M168,M169,M170)/I167, 2),0)</f>
        <v>0</v>
      </c>
      <c r="K167" s="15">
        <v>473</v>
      </c>
      <c r="L167" s="14">
        <f>J167+ROUND(K167, 2)</f>
        <v>473</v>
      </c>
      <c r="M167" s="14">
        <f>ROUND(J167*I167, 2)</f>
        <v>0</v>
      </c>
      <c r="N167" s="14">
        <f>ROUND(I167*ROUND(K167, 2), 2)</f>
        <v>0</v>
      </c>
      <c r="O167" s="14">
        <f>M167+N167</f>
        <v>0</v>
      </c>
      <c r="P167" s="14">
        <f>IFERROR(ROUND(SUM(S168,S169,S170)/I167, 2),0)</f>
        <v>0</v>
      </c>
      <c r="Q167" s="15">
        <v>473</v>
      </c>
      <c r="R167" s="14">
        <f>P167+ROUND(Q167, 2)</f>
        <v>473</v>
      </c>
      <c r="S167" s="14">
        <f>ROUND(P167*I167, 2)</f>
        <v>0</v>
      </c>
      <c r="T167" s="14">
        <f>ROUND(I167*ROUND(Q167, 2), 2)</f>
        <v>0</v>
      </c>
      <c r="U167" s="14">
        <f>S167+T167</f>
        <v>0</v>
      </c>
      <c r="V167" s="9">
        <f>ROUND(P167 / 1.2, 2)</f>
        <v>0</v>
      </c>
      <c r="W167" s="9">
        <f>ROUND(Q167 / 1.2, 2)</f>
        <v>394.17</v>
      </c>
      <c r="X167" s="9">
        <f>ROUND(R167 / 1.2, 2)</f>
        <v>394.17</v>
      </c>
      <c r="Y167" s="9">
        <f t="shared" si="10"/>
        <v>0</v>
      </c>
      <c r="Z167" s="9">
        <f>ROUND(T167 / 1.2, 2)</f>
        <v>0</v>
      </c>
      <c r="AA167" s="9">
        <f>Y167+Z167</f>
        <v>0</v>
      </c>
      <c r="AD167" s="4">
        <v>304337622</v>
      </c>
      <c r="AE167" s="4">
        <v>20322537</v>
      </c>
      <c r="AG167" s="4" t="s">
        <v>657</v>
      </c>
      <c r="AH167" s="4" t="s">
        <v>658</v>
      </c>
      <c r="AI167" s="4" t="s">
        <v>260</v>
      </c>
    </row>
    <row r="168" spans="1:35" ht="36" x14ac:dyDescent="0.3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49">
        <v>0</v>
      </c>
      <c r="J168" s="31">
        <v>16.96</v>
      </c>
      <c r="M168" s="32">
        <f>ROUND(ROUND(J168, 2)*I168, 2)</f>
        <v>0</v>
      </c>
      <c r="P168" s="31">
        <v>16.96</v>
      </c>
      <c r="S168" s="32">
        <f>ROUND(ROUND(P168, 2)*I168, 2)</f>
        <v>0</v>
      </c>
      <c r="V168" s="9">
        <f>ROUND(ROUND(P168, 2)/1.2, 2)</f>
        <v>14.13</v>
      </c>
      <c r="Y168" s="9">
        <f t="shared" si="10"/>
        <v>0</v>
      </c>
      <c r="AD168" s="4" t="s">
        <v>716</v>
      </c>
      <c r="AE168" s="4" t="s">
        <v>717</v>
      </c>
      <c r="AF168" s="4" t="s">
        <v>665</v>
      </c>
    </row>
    <row r="169" spans="1:35" ht="36" x14ac:dyDescent="0.3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49">
        <v>0</v>
      </c>
      <c r="J169" s="31">
        <v>450.95</v>
      </c>
      <c r="M169" s="32">
        <f>ROUND(ROUND(J169, 2)*I169, 2)</f>
        <v>0</v>
      </c>
      <c r="P169" s="31">
        <v>450.95</v>
      </c>
      <c r="S169" s="32">
        <f>ROUND(ROUND(P169, 2)*I169, 2)</f>
        <v>0</v>
      </c>
      <c r="V169" s="9">
        <f>ROUND(ROUND(P169, 2)/1.2, 2)</f>
        <v>375.79</v>
      </c>
      <c r="Y169" s="9">
        <f t="shared" si="10"/>
        <v>0</v>
      </c>
      <c r="AD169" s="4" t="s">
        <v>721</v>
      </c>
      <c r="AE169" s="4" t="s">
        <v>722</v>
      </c>
      <c r="AF169" s="4" t="s">
        <v>672</v>
      </c>
    </row>
    <row r="170" spans="1:35" ht="36" x14ac:dyDescent="0.3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30">
        <v>0</v>
      </c>
      <c r="J170" s="31">
        <v>88.8</v>
      </c>
      <c r="M170" s="32">
        <f>ROUND(ROUND(J170, 2)*I170, 2)</f>
        <v>0</v>
      </c>
      <c r="P170" s="31">
        <v>88.8</v>
      </c>
      <c r="S170" s="32">
        <f>ROUND(ROUND(P170, 2)*I170, 2)</f>
        <v>0</v>
      </c>
      <c r="V170" s="9">
        <f>ROUND(ROUND(P170, 2)/1.2, 2)</f>
        <v>74</v>
      </c>
      <c r="Y170" s="9">
        <f t="shared" si="10"/>
        <v>0</v>
      </c>
      <c r="AD170" s="4" t="s">
        <v>727</v>
      </c>
      <c r="AE170" s="4" t="s">
        <v>728</v>
      </c>
      <c r="AF170" s="4" t="s">
        <v>685</v>
      </c>
    </row>
    <row r="171" spans="1:35" ht="36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3">
        <v>103.54</v>
      </c>
      <c r="J171" s="14">
        <f>IFERROR(ROUND(SUM(M172,M173,M174)/I171, 2),0)</f>
        <v>832.98</v>
      </c>
      <c r="K171" s="15">
        <v>473</v>
      </c>
      <c r="L171" s="14">
        <f>J171+ROUND(K171, 2)</f>
        <v>1305.98</v>
      </c>
      <c r="M171" s="14">
        <f>ROUND(J171*I171, 2)</f>
        <v>86246.75</v>
      </c>
      <c r="N171" s="14">
        <f>ROUND(I171*ROUND(K171, 2), 2)</f>
        <v>48974.42</v>
      </c>
      <c r="O171" s="14">
        <f>M171+N171</f>
        <v>135221.17000000001</v>
      </c>
      <c r="P171" s="14">
        <f>IFERROR(ROUND(SUM(S172,S173,S174)/I171, 2),0)</f>
        <v>832.98</v>
      </c>
      <c r="Q171" s="16">
        <v>709.5</v>
      </c>
      <c r="R171" s="14">
        <f>P171+ROUND(Q171, 2)</f>
        <v>1542.48</v>
      </c>
      <c r="S171" s="14">
        <f>ROUND(P171*I171, 2)</f>
        <v>86246.75</v>
      </c>
      <c r="T171" s="14">
        <f>ROUND(I171*ROUND(Q171, 2), 2)</f>
        <v>73461.63</v>
      </c>
      <c r="U171" s="14">
        <f>S171+T171</f>
        <v>159708.38</v>
      </c>
      <c r="V171" s="9">
        <f>ROUND(P171 / 1.2, 2)</f>
        <v>694.15</v>
      </c>
      <c r="W171" s="9">
        <f>ROUND(Q171 / 1.2, 2)</f>
        <v>591.25</v>
      </c>
      <c r="X171" s="9">
        <f>ROUND(R171 / 1.2, 2)</f>
        <v>1285.4000000000001</v>
      </c>
      <c r="Y171" s="9">
        <f t="shared" si="10"/>
        <v>71872.289999999994</v>
      </c>
      <c r="Z171" s="9">
        <f>ROUND(T171 / 1.2, 2)</f>
        <v>61218.03</v>
      </c>
      <c r="AA171" s="9">
        <f>Y171+Z171</f>
        <v>133090.32</v>
      </c>
      <c r="AD171" s="4">
        <v>304337623</v>
      </c>
      <c r="AE171" s="4">
        <v>20322534</v>
      </c>
      <c r="AG171" s="4" t="s">
        <v>657</v>
      </c>
      <c r="AH171" s="4" t="s">
        <v>658</v>
      </c>
      <c r="AI171" s="4" t="s">
        <v>260</v>
      </c>
    </row>
    <row r="172" spans="1:35" ht="36" x14ac:dyDescent="0.3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30">
        <v>1.5529999999999999</v>
      </c>
      <c r="J172" s="31">
        <v>88.8</v>
      </c>
      <c r="M172" s="32">
        <f>ROUND(ROUND(J172, 2)*I172, 2)</f>
        <v>137.91</v>
      </c>
      <c r="P172" s="33">
        <v>88.8</v>
      </c>
      <c r="S172" s="32">
        <f>ROUND(ROUND(P172, 2)*I172, 2)</f>
        <v>137.91</v>
      </c>
      <c r="V172" s="9">
        <f>ROUND(ROUND(P172, 2)/1.2, 2)</f>
        <v>74</v>
      </c>
      <c r="Y172" s="9">
        <f t="shared" si="10"/>
        <v>114.93</v>
      </c>
      <c r="AD172" s="4" t="s">
        <v>733</v>
      </c>
      <c r="AE172" s="4" t="s">
        <v>734</v>
      </c>
      <c r="AF172" s="4" t="s">
        <v>685</v>
      </c>
    </row>
    <row r="173" spans="1:35" ht="18" x14ac:dyDescent="0.3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30">
        <v>4.1420000000000003</v>
      </c>
      <c r="J173" s="31">
        <v>47.44</v>
      </c>
      <c r="M173" s="32">
        <f>ROUND(ROUND(J173, 2)*I173, 2)</f>
        <v>196.5</v>
      </c>
      <c r="P173" s="33">
        <v>47.44</v>
      </c>
      <c r="S173" s="32">
        <f>ROUND(ROUND(P173, 2)*I173, 2)</f>
        <v>196.5</v>
      </c>
      <c r="V173" s="9">
        <f>ROUND(ROUND(P173, 2)/1.2, 2)</f>
        <v>39.53</v>
      </c>
      <c r="Y173" s="9">
        <f t="shared" si="10"/>
        <v>163.75</v>
      </c>
      <c r="AD173" s="4" t="s">
        <v>736</v>
      </c>
      <c r="AE173" s="4" t="s">
        <v>737</v>
      </c>
      <c r="AF173" s="4" t="s">
        <v>552</v>
      </c>
    </row>
    <row r="174" spans="1:35" ht="90" x14ac:dyDescent="0.3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49">
        <v>190.51400000000001</v>
      </c>
      <c r="J174" s="31">
        <v>450.95</v>
      </c>
      <c r="M174" s="32">
        <f>ROUND(ROUND(J174, 2)*I174, 2)</f>
        <v>85912.29</v>
      </c>
      <c r="P174" s="33">
        <v>450.95</v>
      </c>
      <c r="S174" s="32">
        <f>ROUND(ROUND(P174, 2)*I174, 2)</f>
        <v>85912.29</v>
      </c>
      <c r="V174" s="9">
        <f>ROUND(ROUND(P174, 2)/1.2, 2)</f>
        <v>375.79</v>
      </c>
      <c r="Y174" s="9">
        <f t="shared" si="10"/>
        <v>71593.58</v>
      </c>
      <c r="AD174" s="4" t="s">
        <v>739</v>
      </c>
      <c r="AE174" s="4" t="s">
        <v>740</v>
      </c>
      <c r="AF174" s="4" t="s">
        <v>672</v>
      </c>
    </row>
    <row r="175" spans="1:35" ht="36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3">
        <v>379.83</v>
      </c>
      <c r="J175" s="14">
        <f>IFERROR(ROUND(SUM(M176,M177,M178,M179)/I175, 2),0)</f>
        <v>844.26</v>
      </c>
      <c r="K175" s="15">
        <v>473</v>
      </c>
      <c r="L175" s="14">
        <f>J175+ROUND(K175, 2)</f>
        <v>1317.26</v>
      </c>
      <c r="M175" s="14">
        <f>ROUND(J175*I175, 2)</f>
        <v>320675.28000000003</v>
      </c>
      <c r="N175" s="14">
        <f>ROUND(I175*ROUND(K175, 2), 2)</f>
        <v>179659.59</v>
      </c>
      <c r="O175" s="14">
        <f>M175+N175</f>
        <v>500334.87</v>
      </c>
      <c r="P175" s="14">
        <f>IFERROR(ROUND(SUM(S176,S177,S178,S179)/I175, 2),0)</f>
        <v>844.25</v>
      </c>
      <c r="Q175" s="16">
        <v>709.5</v>
      </c>
      <c r="R175" s="14">
        <f>P175+ROUND(Q175, 2)</f>
        <v>1553.75</v>
      </c>
      <c r="S175" s="14">
        <f>ROUND(P175*I175, 2)</f>
        <v>320671.48</v>
      </c>
      <c r="T175" s="14">
        <f>ROUND(I175*ROUND(Q175, 2), 2)</f>
        <v>269489.39</v>
      </c>
      <c r="U175" s="14">
        <f>S175+T175</f>
        <v>590160.87</v>
      </c>
      <c r="V175" s="9">
        <f>ROUND(P175 / 1.2, 2)</f>
        <v>703.54</v>
      </c>
      <c r="W175" s="9">
        <f>ROUND(Q175 / 1.2, 2)</f>
        <v>591.25</v>
      </c>
      <c r="X175" s="9">
        <f>ROUND(R175 / 1.2, 2)</f>
        <v>1294.79</v>
      </c>
      <c r="Y175" s="9">
        <f t="shared" si="10"/>
        <v>267226.23</v>
      </c>
      <c r="Z175" s="9">
        <f>ROUND(T175 / 1.2, 2)</f>
        <v>224574.49</v>
      </c>
      <c r="AA175" s="9">
        <f>Y175+Z175</f>
        <v>491800.72</v>
      </c>
      <c r="AD175" s="4">
        <v>304337624</v>
      </c>
      <c r="AE175" s="4">
        <v>21935204</v>
      </c>
      <c r="AG175" s="4" t="s">
        <v>657</v>
      </c>
      <c r="AH175" s="4" t="s">
        <v>658</v>
      </c>
      <c r="AI175" s="4" t="s">
        <v>260</v>
      </c>
    </row>
    <row r="176" spans="1:35" ht="36" x14ac:dyDescent="0.3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49">
        <v>265.88099999999997</v>
      </c>
      <c r="J176" s="31">
        <v>16.12</v>
      </c>
      <c r="M176" s="32">
        <f>ROUND(ROUND(J176, 2)*I176, 2)</f>
        <v>4286</v>
      </c>
      <c r="P176" s="33">
        <v>16.11</v>
      </c>
      <c r="S176" s="32">
        <f>ROUND(ROUND(P176, 2)*I176, 2)</f>
        <v>4283.34</v>
      </c>
      <c r="V176" s="9">
        <f>ROUND(ROUND(P176, 2)/1.2, 2)</f>
        <v>13.43</v>
      </c>
      <c r="Y176" s="9">
        <f t="shared" si="10"/>
        <v>3569.45</v>
      </c>
      <c r="AD176" s="4" t="s">
        <v>743</v>
      </c>
      <c r="AE176" s="4" t="s">
        <v>744</v>
      </c>
      <c r="AF176" s="4" t="s">
        <v>665</v>
      </c>
    </row>
    <row r="177" spans="1:35" ht="72" x14ac:dyDescent="0.3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49">
        <v>698.88699999999994</v>
      </c>
      <c r="J177" s="31">
        <v>450.95</v>
      </c>
      <c r="M177" s="32">
        <f>ROUND(ROUND(J177, 2)*I177, 2)</f>
        <v>315163.09000000003</v>
      </c>
      <c r="P177" s="33">
        <v>450.95</v>
      </c>
      <c r="S177" s="32">
        <f>ROUND(ROUND(P177, 2)*I177, 2)</f>
        <v>315163.09000000003</v>
      </c>
      <c r="V177" s="9">
        <f>ROUND(ROUND(P177, 2)/1.2, 2)</f>
        <v>375.79</v>
      </c>
      <c r="Y177" s="9">
        <f t="shared" si="10"/>
        <v>262635.90999999997</v>
      </c>
      <c r="AD177" s="4" t="s">
        <v>746</v>
      </c>
      <c r="AE177" s="4" t="s">
        <v>747</v>
      </c>
      <c r="AF177" s="4" t="s">
        <v>672</v>
      </c>
    </row>
    <row r="178" spans="1:35" ht="18" x14ac:dyDescent="0.3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30">
        <v>15.193</v>
      </c>
      <c r="J178" s="31">
        <v>47.44</v>
      </c>
      <c r="M178" s="32">
        <f>ROUND(ROUND(J178, 2)*I178, 2)</f>
        <v>720.76</v>
      </c>
      <c r="P178" s="33">
        <v>47.44</v>
      </c>
      <c r="S178" s="32">
        <f>ROUND(ROUND(P178, 2)*I178, 2)</f>
        <v>720.76</v>
      </c>
      <c r="V178" s="9">
        <f>ROUND(ROUND(P178, 2)/1.2, 2)</f>
        <v>39.53</v>
      </c>
      <c r="Y178" s="9">
        <f t="shared" si="10"/>
        <v>600.63</v>
      </c>
      <c r="AD178" s="4" t="s">
        <v>749</v>
      </c>
      <c r="AE178" s="4" t="s">
        <v>750</v>
      </c>
      <c r="AF178" s="4" t="s">
        <v>552</v>
      </c>
    </row>
    <row r="179" spans="1:35" ht="36" x14ac:dyDescent="0.3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30">
        <v>5.6970000000000001</v>
      </c>
      <c r="J179" s="31">
        <v>88.8</v>
      </c>
      <c r="M179" s="32">
        <f>ROUND(ROUND(J179, 2)*I179, 2)</f>
        <v>505.89</v>
      </c>
      <c r="P179" s="33">
        <v>88.8</v>
      </c>
      <c r="S179" s="32">
        <f>ROUND(ROUND(P179, 2)*I179, 2)</f>
        <v>505.89</v>
      </c>
      <c r="V179" s="9">
        <f>ROUND(ROUND(P179, 2)/1.2, 2)</f>
        <v>74</v>
      </c>
      <c r="Y179" s="9">
        <f t="shared" si="10"/>
        <v>421.58</v>
      </c>
      <c r="AD179" s="4" t="s">
        <v>752</v>
      </c>
      <c r="AE179" s="4" t="s">
        <v>753</v>
      </c>
      <c r="AF179" s="4" t="s">
        <v>685</v>
      </c>
    </row>
    <row r="180" spans="1:35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3">
        <v>78</v>
      </c>
      <c r="J180" s="14">
        <f>IFERROR(ROUND(SUM(M181,M182,M183,M184)/I180, 2),0)</f>
        <v>844.26</v>
      </c>
      <c r="K180" s="15">
        <v>473</v>
      </c>
      <c r="L180" s="14">
        <f>J180+ROUND(K180, 2)</f>
        <v>1317.26</v>
      </c>
      <c r="M180" s="14">
        <f>ROUND(J180*I180, 2)</f>
        <v>65852.28</v>
      </c>
      <c r="N180" s="14">
        <f>ROUND(I180*ROUND(K180, 2), 2)</f>
        <v>36894</v>
      </c>
      <c r="O180" s="14">
        <f>M180+N180</f>
        <v>102746.28</v>
      </c>
      <c r="P180" s="14">
        <f>IFERROR(ROUND(SUM(S181,S182,S183,S184)/I180, 2),0)</f>
        <v>844.25</v>
      </c>
      <c r="Q180" s="16">
        <v>709.5</v>
      </c>
      <c r="R180" s="14">
        <f>P180+ROUND(Q180, 2)</f>
        <v>1553.75</v>
      </c>
      <c r="S180" s="14">
        <f>ROUND(P180*I180, 2)</f>
        <v>65851.5</v>
      </c>
      <c r="T180" s="14">
        <f>ROUND(I180*ROUND(Q180, 2), 2)</f>
        <v>55341</v>
      </c>
      <c r="U180" s="14">
        <f>S180+T180</f>
        <v>121192.5</v>
      </c>
      <c r="V180" s="9">
        <f>ROUND(P180 / 1.2, 2)</f>
        <v>703.54</v>
      </c>
      <c r="W180" s="9">
        <f>ROUND(Q180 / 1.2, 2)</f>
        <v>591.25</v>
      </c>
      <c r="X180" s="9">
        <f>ROUND(R180 / 1.2, 2)</f>
        <v>1294.79</v>
      </c>
      <c r="Y180" s="9">
        <f t="shared" si="10"/>
        <v>54876.25</v>
      </c>
      <c r="Z180" s="9">
        <f>ROUND(T180 / 1.2, 2)</f>
        <v>46117.5</v>
      </c>
      <c r="AA180" s="9">
        <f>Y180+Z180</f>
        <v>100993.75</v>
      </c>
      <c r="AD180" s="4">
        <v>304337625</v>
      </c>
      <c r="AE180" s="4">
        <v>21935202</v>
      </c>
      <c r="AG180" s="4" t="s">
        <v>657</v>
      </c>
      <c r="AH180" s="4" t="s">
        <v>658</v>
      </c>
      <c r="AI180" s="4" t="s">
        <v>260</v>
      </c>
    </row>
    <row r="181" spans="1:35" ht="36" x14ac:dyDescent="0.3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30">
        <v>1.17</v>
      </c>
      <c r="J181" s="31">
        <v>88.8</v>
      </c>
      <c r="M181" s="32">
        <f>ROUND(ROUND(J181, 2)*I181, 2)</f>
        <v>103.9</v>
      </c>
      <c r="P181" s="33">
        <v>88.8</v>
      </c>
      <c r="S181" s="32">
        <f>ROUND(ROUND(P181, 2)*I181, 2)</f>
        <v>103.9</v>
      </c>
      <c r="V181" s="9">
        <f>ROUND(ROUND(P181, 2)/1.2, 2)</f>
        <v>74</v>
      </c>
      <c r="Y181" s="9">
        <f t="shared" si="10"/>
        <v>86.58</v>
      </c>
      <c r="AD181" s="4" t="s">
        <v>756</v>
      </c>
      <c r="AE181" s="4" t="s">
        <v>757</v>
      </c>
      <c r="AF181" s="4" t="s">
        <v>685</v>
      </c>
    </row>
    <row r="182" spans="1:35" ht="18" x14ac:dyDescent="0.3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30">
        <v>3.12</v>
      </c>
      <c r="J182" s="31">
        <v>47.44</v>
      </c>
      <c r="M182" s="32">
        <f>ROUND(ROUND(J182, 2)*I182, 2)</f>
        <v>148.01</v>
      </c>
      <c r="P182" s="33">
        <v>47.44</v>
      </c>
      <c r="S182" s="32">
        <f>ROUND(ROUND(P182, 2)*I182, 2)</f>
        <v>148.01</v>
      </c>
      <c r="V182" s="9">
        <f>ROUND(ROUND(P182, 2)/1.2, 2)</f>
        <v>39.53</v>
      </c>
      <c r="Y182" s="9">
        <f t="shared" si="10"/>
        <v>123.34</v>
      </c>
      <c r="AD182" s="4" t="s">
        <v>759</v>
      </c>
      <c r="AE182" s="4" t="s">
        <v>760</v>
      </c>
      <c r="AF182" s="4" t="s">
        <v>552</v>
      </c>
    </row>
    <row r="183" spans="1:35" ht="54" x14ac:dyDescent="0.3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49">
        <v>143.52000000000001</v>
      </c>
      <c r="J183" s="31">
        <v>450.95</v>
      </c>
      <c r="M183" s="32">
        <f>ROUND(ROUND(J183, 2)*I183, 2)</f>
        <v>64720.34</v>
      </c>
      <c r="P183" s="33">
        <v>450.95</v>
      </c>
      <c r="S183" s="32">
        <f>ROUND(ROUND(P183, 2)*I183, 2)</f>
        <v>64720.34</v>
      </c>
      <c r="V183" s="9">
        <f>ROUND(ROUND(P183, 2)/1.2, 2)</f>
        <v>375.79</v>
      </c>
      <c r="Y183" s="9">
        <f t="shared" si="10"/>
        <v>53933.62</v>
      </c>
      <c r="AD183" s="4" t="s">
        <v>762</v>
      </c>
      <c r="AE183" s="4" t="s">
        <v>763</v>
      </c>
      <c r="AF183" s="4" t="s">
        <v>672</v>
      </c>
    </row>
    <row r="184" spans="1:35" ht="36" x14ac:dyDescent="0.3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49">
        <v>54.6</v>
      </c>
      <c r="J184" s="31">
        <v>16.12</v>
      </c>
      <c r="M184" s="32">
        <f>ROUND(ROUND(J184, 2)*I184, 2)</f>
        <v>880.15</v>
      </c>
      <c r="P184" s="33">
        <v>16.11</v>
      </c>
      <c r="S184" s="32">
        <f>ROUND(ROUND(P184, 2)*I184, 2)</f>
        <v>879.61</v>
      </c>
      <c r="V184" s="9">
        <f>ROUND(ROUND(P184, 2)/1.2, 2)</f>
        <v>13.43</v>
      </c>
      <c r="Y184" s="9">
        <f t="shared" si="10"/>
        <v>733.01</v>
      </c>
      <c r="AD184" s="4" t="s">
        <v>765</v>
      </c>
      <c r="AE184" s="4" t="s">
        <v>766</v>
      </c>
      <c r="AF184" s="4" t="s">
        <v>665</v>
      </c>
    </row>
    <row r="185" spans="1:35" ht="54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3">
        <v>0</v>
      </c>
      <c r="J185" s="14">
        <f>IFERROR(ROUND(SUM(M186,M187,M188,M189)/I185, 2),0)</f>
        <v>0</v>
      </c>
      <c r="K185" s="15">
        <v>1655</v>
      </c>
      <c r="L185" s="14">
        <f>J185+ROUND(K185, 2)</f>
        <v>1655</v>
      </c>
      <c r="M185" s="14">
        <f>ROUND(J185*I185, 2)</f>
        <v>0</v>
      </c>
      <c r="N185" s="14">
        <f>ROUND(I185*ROUND(K185, 2), 2)</f>
        <v>0</v>
      </c>
      <c r="O185" s="14">
        <f>M185+N185</f>
        <v>0</v>
      </c>
      <c r="P185" s="14">
        <f>IFERROR(ROUND(SUM(S186,S187,S188,S189)/I185, 2),0)</f>
        <v>0</v>
      </c>
      <c r="Q185" s="15">
        <v>1655</v>
      </c>
      <c r="R185" s="14">
        <f>P185+ROUND(Q185, 2)</f>
        <v>1655</v>
      </c>
      <c r="S185" s="14">
        <f>ROUND(P185*I185, 2)</f>
        <v>0</v>
      </c>
      <c r="T185" s="14">
        <f>ROUND(I185*ROUND(Q185, 2), 2)</f>
        <v>0</v>
      </c>
      <c r="U185" s="14">
        <f>S185+T185</f>
        <v>0</v>
      </c>
      <c r="V185" s="9">
        <f>ROUND(P185 / 1.2, 2)</f>
        <v>0</v>
      </c>
      <c r="W185" s="9">
        <f>ROUND(Q185 / 1.2, 2)</f>
        <v>1379.17</v>
      </c>
      <c r="X185" s="9">
        <f>ROUND(R185 / 1.2, 2)</f>
        <v>1379.17</v>
      </c>
      <c r="Y185" s="9">
        <f t="shared" si="10"/>
        <v>0</v>
      </c>
      <c r="Z185" s="9">
        <f>ROUND(T185 / 1.2, 2)</f>
        <v>0</v>
      </c>
      <c r="AA185" s="9">
        <f>Y185+Z185</f>
        <v>0</v>
      </c>
      <c r="AD185" s="4">
        <v>304337553</v>
      </c>
      <c r="AE185" s="4">
        <v>20317965</v>
      </c>
      <c r="AG185" s="4" t="s">
        <v>770</v>
      </c>
      <c r="AH185" s="4" t="s">
        <v>771</v>
      </c>
      <c r="AI185" s="4" t="s">
        <v>260</v>
      </c>
    </row>
    <row r="186" spans="1:35" ht="36" x14ac:dyDescent="0.3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30">
        <v>0</v>
      </c>
      <c r="J186" s="31">
        <v>16.96</v>
      </c>
      <c r="M186" s="32">
        <f>ROUND(ROUND(J186, 2)*I186, 2)</f>
        <v>0</v>
      </c>
      <c r="P186" s="31">
        <v>16.96</v>
      </c>
      <c r="S186" s="32">
        <f>ROUND(ROUND(P186, 2)*I186, 2)</f>
        <v>0</v>
      </c>
      <c r="V186" s="9">
        <f>ROUND(ROUND(P186, 2)/1.2, 2)</f>
        <v>14.13</v>
      </c>
      <c r="Y186" s="9">
        <f t="shared" si="10"/>
        <v>0</v>
      </c>
      <c r="AD186" s="4" t="s">
        <v>776</v>
      </c>
      <c r="AE186" s="4" t="s">
        <v>777</v>
      </c>
      <c r="AF186" s="4" t="s">
        <v>778</v>
      </c>
    </row>
    <row r="187" spans="1:35" ht="36" x14ac:dyDescent="0.3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49">
        <v>0</v>
      </c>
      <c r="J187" s="31">
        <v>845.25</v>
      </c>
      <c r="M187" s="32">
        <f>ROUND(ROUND(J187, 2)*I187, 2)</f>
        <v>0</v>
      </c>
      <c r="P187" s="31">
        <v>845.25</v>
      </c>
      <c r="S187" s="32">
        <f>ROUND(ROUND(P187, 2)*I187, 2)</f>
        <v>0</v>
      </c>
      <c r="V187" s="9">
        <f>ROUND(ROUND(P187, 2)/1.2, 2)</f>
        <v>704.38</v>
      </c>
      <c r="Y187" s="9">
        <f t="shared" si="10"/>
        <v>0</v>
      </c>
      <c r="AD187" s="4" t="s">
        <v>783</v>
      </c>
      <c r="AE187" s="4" t="s">
        <v>784</v>
      </c>
      <c r="AF187" s="4" t="s">
        <v>785</v>
      </c>
    </row>
    <row r="188" spans="1:35" ht="36" x14ac:dyDescent="0.3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49">
        <v>0</v>
      </c>
      <c r="J188" s="31">
        <v>40.270000000000003</v>
      </c>
      <c r="M188" s="32">
        <f>ROUND(ROUND(J188, 2)*I188, 2)</f>
        <v>0</v>
      </c>
      <c r="P188" s="31">
        <v>40.270000000000003</v>
      </c>
      <c r="S188" s="32">
        <f>ROUND(ROUND(P188, 2)*I188, 2)</f>
        <v>0</v>
      </c>
      <c r="V188" s="9">
        <f>ROUND(ROUND(P188, 2)/1.2, 2)</f>
        <v>33.56</v>
      </c>
      <c r="Y188" s="9">
        <f t="shared" si="10"/>
        <v>0</v>
      </c>
      <c r="AD188" s="4" t="s">
        <v>791</v>
      </c>
      <c r="AE188" s="4" t="s">
        <v>792</v>
      </c>
      <c r="AF188" s="4" t="s">
        <v>793</v>
      </c>
    </row>
    <row r="189" spans="1:35" ht="36" x14ac:dyDescent="0.3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30">
        <v>0</v>
      </c>
      <c r="J189" s="31">
        <v>88.8</v>
      </c>
      <c r="M189" s="32">
        <f>ROUND(ROUND(J189, 2)*I189, 2)</f>
        <v>0</v>
      </c>
      <c r="P189" s="31">
        <v>88.8</v>
      </c>
      <c r="S189" s="32">
        <f>ROUND(ROUND(P189, 2)*I189, 2)</f>
        <v>0</v>
      </c>
      <c r="V189" s="9">
        <f>ROUND(ROUND(P189, 2)/1.2, 2)</f>
        <v>74</v>
      </c>
      <c r="Y189" s="9">
        <f t="shared" ref="Y189:Y220" si="11">ROUND(S189 / 1.2, 2)</f>
        <v>0</v>
      </c>
      <c r="AD189" s="4" t="s">
        <v>797</v>
      </c>
      <c r="AE189" s="4" t="s">
        <v>798</v>
      </c>
      <c r="AF189" s="4" t="s">
        <v>685</v>
      </c>
    </row>
    <row r="190" spans="1:35" ht="54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3">
        <v>370.9</v>
      </c>
      <c r="J190" s="14">
        <f>IFERROR(ROUND(SUM(M191,M192,M193,M194)/I190, 2),0)</f>
        <v>1040.6600000000001</v>
      </c>
      <c r="K190" s="15">
        <v>1655</v>
      </c>
      <c r="L190" s="14">
        <f>J190+ROUND(K190, 2)</f>
        <v>2695.66</v>
      </c>
      <c r="M190" s="14">
        <f>ROUND(J190*I190, 2)</f>
        <v>385980.79</v>
      </c>
      <c r="N190" s="14">
        <f>ROUND(I190*ROUND(K190, 2), 2)</f>
        <v>613839.5</v>
      </c>
      <c r="O190" s="14">
        <f>M190+N190</f>
        <v>999820.29</v>
      </c>
      <c r="P190" s="14">
        <f>IFERROR(ROUND(SUM(S191,S192,S193,S194)/I190, 2),0)</f>
        <v>1040.58</v>
      </c>
      <c r="Q190" s="16">
        <v>2482.5</v>
      </c>
      <c r="R190" s="14">
        <f>P190+ROUND(Q190, 2)</f>
        <v>3523.08</v>
      </c>
      <c r="S190" s="14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  <c r="V190" s="9">
        <f>ROUND(P190 / 1.2, 2)</f>
        <v>867.15</v>
      </c>
      <c r="W190" s="9">
        <f>ROUND(Q190 / 1.2, 2)</f>
        <v>2068.75</v>
      </c>
      <c r="X190" s="9">
        <f>ROUND(R190 / 1.2, 2)</f>
        <v>2935.9</v>
      </c>
      <c r="Y190" s="9">
        <f t="shared" si="11"/>
        <v>321625.93</v>
      </c>
      <c r="Z190" s="9">
        <f>ROUND(T190 / 1.2, 2)</f>
        <v>767299.38</v>
      </c>
      <c r="AA190" s="9">
        <f>Y190+Z190</f>
        <v>1088925.31</v>
      </c>
      <c r="AD190" s="4">
        <v>304337626</v>
      </c>
      <c r="AE190" s="4">
        <v>21935198</v>
      </c>
      <c r="AG190" s="4" t="s">
        <v>770</v>
      </c>
      <c r="AH190" s="4" t="s">
        <v>771</v>
      </c>
      <c r="AI190" s="4" t="s">
        <v>260</v>
      </c>
    </row>
    <row r="191" spans="1:35" ht="36" x14ac:dyDescent="0.3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30">
        <v>55.634999999999998</v>
      </c>
      <c r="J191" s="31">
        <v>88.8</v>
      </c>
      <c r="M191" s="32">
        <f>ROUND(ROUND(J191, 2)*I191, 2)</f>
        <v>4940.3900000000003</v>
      </c>
      <c r="P191" s="33">
        <v>88.8</v>
      </c>
      <c r="S191" s="32">
        <f>ROUND(ROUND(P191, 2)*I191, 2)</f>
        <v>4940.3900000000003</v>
      </c>
      <c r="V191" s="9">
        <f>ROUND(ROUND(P191, 2)/1.2, 2)</f>
        <v>74</v>
      </c>
      <c r="Y191" s="9">
        <f t="shared" si="11"/>
        <v>4116.99</v>
      </c>
      <c r="AD191" s="4" t="s">
        <v>803</v>
      </c>
      <c r="AE191" s="4" t="s">
        <v>804</v>
      </c>
      <c r="AF191" s="4" t="s">
        <v>685</v>
      </c>
    </row>
    <row r="192" spans="1:35" ht="36" x14ac:dyDescent="0.3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49">
        <v>92.724999999999994</v>
      </c>
      <c r="J192" s="31">
        <v>40.270000000000003</v>
      </c>
      <c r="M192" s="32">
        <f>ROUND(ROUND(J192, 2)*I192, 2)</f>
        <v>3734.04</v>
      </c>
      <c r="P192" s="33">
        <v>40.270000000000003</v>
      </c>
      <c r="S192" s="32">
        <f>ROUND(ROUND(P192, 2)*I192, 2)</f>
        <v>3734.04</v>
      </c>
      <c r="V192" s="9">
        <f>ROUND(ROUND(P192, 2)/1.2, 2)</f>
        <v>33.56</v>
      </c>
      <c r="Y192" s="9">
        <f t="shared" si="11"/>
        <v>3111.7</v>
      </c>
      <c r="AD192" s="4" t="s">
        <v>806</v>
      </c>
      <c r="AE192" s="4" t="s">
        <v>807</v>
      </c>
      <c r="AF192" s="4" t="s">
        <v>793</v>
      </c>
    </row>
    <row r="193" spans="1:35" ht="72" x14ac:dyDescent="0.3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49">
        <v>396.863</v>
      </c>
      <c r="J193" s="31">
        <v>845.26</v>
      </c>
      <c r="M193" s="32">
        <f>ROUND(ROUND(J193, 2)*I193, 2)</f>
        <v>335452.42</v>
      </c>
      <c r="P193" s="33">
        <v>845.25</v>
      </c>
      <c r="S193" s="32">
        <f>ROUND(ROUND(P193, 2)*I193, 2)</f>
        <v>335448.45</v>
      </c>
      <c r="V193" s="9">
        <f>ROUND(ROUND(P193, 2)/1.2, 2)</f>
        <v>704.38</v>
      </c>
      <c r="Y193" s="9">
        <f t="shared" si="11"/>
        <v>279540.38</v>
      </c>
      <c r="AD193" s="4" t="s">
        <v>809</v>
      </c>
      <c r="AE193" s="4" t="s">
        <v>810</v>
      </c>
      <c r="AF193" s="4" t="s">
        <v>785</v>
      </c>
    </row>
    <row r="194" spans="1:35" ht="36" x14ac:dyDescent="0.3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30">
        <v>2596.3000000000002</v>
      </c>
      <c r="J194" s="31">
        <v>16.12</v>
      </c>
      <c r="M194" s="32">
        <f>ROUND(ROUND(J194, 2)*I194, 2)</f>
        <v>41852.36</v>
      </c>
      <c r="P194" s="33">
        <v>16.11</v>
      </c>
      <c r="S194" s="32">
        <f>ROUND(ROUND(P194, 2)*I194, 2)</f>
        <v>41826.39</v>
      </c>
      <c r="V194" s="9">
        <f>ROUND(ROUND(P194, 2)/1.2, 2)</f>
        <v>13.43</v>
      </c>
      <c r="Y194" s="9">
        <f t="shared" si="11"/>
        <v>34855.33</v>
      </c>
      <c r="AD194" s="4" t="s">
        <v>812</v>
      </c>
      <c r="AE194" s="4" t="s">
        <v>813</v>
      </c>
      <c r="AF194" s="4" t="s">
        <v>778</v>
      </c>
    </row>
    <row r="195" spans="1:35" ht="54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3">
        <v>0</v>
      </c>
      <c r="J195" s="14">
        <f>IFERROR(ROUND(SUM(M196,M197,M198,M199)/I195, 2),0)</f>
        <v>0</v>
      </c>
      <c r="K195" s="15">
        <v>2785</v>
      </c>
      <c r="L195" s="14">
        <f>J195+ROUND(K195, 2)</f>
        <v>2785</v>
      </c>
      <c r="M195" s="14">
        <f>ROUND(J195*I195, 2)</f>
        <v>0</v>
      </c>
      <c r="N195" s="14">
        <f>ROUND(I195*ROUND(K195, 2), 2)</f>
        <v>0</v>
      </c>
      <c r="O195" s="14">
        <f>M195+N195</f>
        <v>0</v>
      </c>
      <c r="P195" s="14">
        <f>IFERROR(ROUND(SUM(S196,S197,S198,S199)/I195, 2),0)</f>
        <v>0</v>
      </c>
      <c r="Q195" s="15">
        <v>2785</v>
      </c>
      <c r="R195" s="14">
        <f>P195+ROUND(Q195, 2)</f>
        <v>2785</v>
      </c>
      <c r="S195" s="14">
        <f>ROUND(P195*I195, 2)</f>
        <v>0</v>
      </c>
      <c r="T195" s="14">
        <f>ROUND(I195*ROUND(Q195, 2), 2)</f>
        <v>0</v>
      </c>
      <c r="U195" s="14">
        <f>S195+T195</f>
        <v>0</v>
      </c>
      <c r="V195" s="9">
        <f>ROUND(P195 / 1.2, 2)</f>
        <v>0</v>
      </c>
      <c r="W195" s="9">
        <f>ROUND(Q195 / 1.2, 2)</f>
        <v>2320.83</v>
      </c>
      <c r="X195" s="9">
        <f>ROUND(R195 / 1.2, 2)</f>
        <v>2320.83</v>
      </c>
      <c r="Y195" s="9">
        <f t="shared" si="11"/>
        <v>0</v>
      </c>
      <c r="Z195" s="9">
        <f>ROUND(T195 / 1.2, 2)</f>
        <v>0</v>
      </c>
      <c r="AA195" s="9">
        <f>Y195+Z195</f>
        <v>0</v>
      </c>
      <c r="AD195" s="4">
        <v>304337554</v>
      </c>
      <c r="AE195" s="4">
        <v>20317960</v>
      </c>
      <c r="AG195" s="4" t="s">
        <v>817</v>
      </c>
      <c r="AH195" s="4" t="s">
        <v>818</v>
      </c>
      <c r="AI195" s="4" t="s">
        <v>260</v>
      </c>
    </row>
    <row r="196" spans="1:35" ht="36" x14ac:dyDescent="0.3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49">
        <v>0</v>
      </c>
      <c r="J196" s="31">
        <v>16.96</v>
      </c>
      <c r="M196" s="32">
        <f>ROUND(ROUND(J196, 2)*I196, 2)</f>
        <v>0</v>
      </c>
      <c r="P196" s="31">
        <v>16.96</v>
      </c>
      <c r="S196" s="32">
        <f>ROUND(ROUND(P196, 2)*I196, 2)</f>
        <v>0</v>
      </c>
      <c r="V196" s="9">
        <f>ROUND(ROUND(P196, 2)/1.2, 2)</f>
        <v>14.13</v>
      </c>
      <c r="Y196" s="9">
        <f t="shared" si="11"/>
        <v>0</v>
      </c>
      <c r="AD196" s="4" t="s">
        <v>823</v>
      </c>
      <c r="AE196" s="4" t="s">
        <v>824</v>
      </c>
      <c r="AF196" s="4" t="s">
        <v>825</v>
      </c>
    </row>
    <row r="197" spans="1:35" ht="36" x14ac:dyDescent="0.3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49">
        <v>0</v>
      </c>
      <c r="J197" s="31">
        <v>2021.25</v>
      </c>
      <c r="M197" s="32">
        <f>ROUND(ROUND(J197, 2)*I197, 2)</f>
        <v>0</v>
      </c>
      <c r="P197" s="31">
        <v>1684.3</v>
      </c>
      <c r="S197" s="32">
        <f>ROUND(ROUND(P197, 2)*I197, 2)</f>
        <v>0</v>
      </c>
      <c r="V197" s="9">
        <f>ROUND(ROUND(P197, 2)/1.2, 2)</f>
        <v>1403.58</v>
      </c>
      <c r="Y197" s="9">
        <f t="shared" si="11"/>
        <v>0</v>
      </c>
      <c r="AD197" s="4" t="s">
        <v>830</v>
      </c>
      <c r="AE197" s="4" t="s">
        <v>831</v>
      </c>
      <c r="AF197" s="4" t="s">
        <v>832</v>
      </c>
    </row>
    <row r="198" spans="1:35" ht="36" x14ac:dyDescent="0.3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49">
        <v>0</v>
      </c>
      <c r="J198" s="31">
        <v>40.270000000000003</v>
      </c>
      <c r="M198" s="32">
        <f>ROUND(ROUND(J198, 2)*I198, 2)</f>
        <v>0</v>
      </c>
      <c r="P198" s="31">
        <v>40.270000000000003</v>
      </c>
      <c r="S198" s="32">
        <f>ROUND(ROUND(P198, 2)*I198, 2)</f>
        <v>0</v>
      </c>
      <c r="V198" s="9">
        <f>ROUND(ROUND(P198, 2)/1.2, 2)</f>
        <v>33.56</v>
      </c>
      <c r="Y198" s="9">
        <f t="shared" si="11"/>
        <v>0</v>
      </c>
      <c r="AD198" s="4" t="s">
        <v>837</v>
      </c>
      <c r="AE198" s="4" t="s">
        <v>838</v>
      </c>
      <c r="AF198" s="4" t="s">
        <v>793</v>
      </c>
    </row>
    <row r="199" spans="1:35" ht="36" x14ac:dyDescent="0.3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30">
        <v>0</v>
      </c>
      <c r="J199" s="31">
        <v>88.8</v>
      </c>
      <c r="M199" s="32">
        <f>ROUND(ROUND(J199, 2)*I199, 2)</f>
        <v>0</v>
      </c>
      <c r="P199" s="31">
        <v>88.8</v>
      </c>
      <c r="S199" s="32">
        <f>ROUND(ROUND(P199, 2)*I199, 2)</f>
        <v>0</v>
      </c>
      <c r="V199" s="9">
        <f>ROUND(ROUND(P199, 2)/1.2, 2)</f>
        <v>74</v>
      </c>
      <c r="Y199" s="9">
        <f t="shared" si="11"/>
        <v>0</v>
      </c>
      <c r="AD199" s="4" t="s">
        <v>842</v>
      </c>
      <c r="AE199" s="4" t="s">
        <v>843</v>
      </c>
      <c r="AF199" s="4" t="s">
        <v>685</v>
      </c>
    </row>
    <row r="200" spans="1:35" ht="54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3">
        <v>0</v>
      </c>
      <c r="J200" s="14">
        <f>IFERROR(ROUND(SUM(M201,M202,M203,M204)/I200, 2),0)</f>
        <v>0</v>
      </c>
      <c r="K200" s="15">
        <v>2785</v>
      </c>
      <c r="L200" s="14">
        <f>J200+ROUND(K200, 2)</f>
        <v>2785</v>
      </c>
      <c r="M200" s="14">
        <f>ROUND(J200*I200, 2)</f>
        <v>0</v>
      </c>
      <c r="N200" s="14">
        <f>ROUND(I200*ROUND(K200, 2), 2)</f>
        <v>0</v>
      </c>
      <c r="O200" s="14">
        <f>M200+N200</f>
        <v>0</v>
      </c>
      <c r="P200" s="14">
        <f>IFERROR(ROUND(SUM(S201,S202,S203,S204)/I200, 2),0)</f>
        <v>0</v>
      </c>
      <c r="Q200" s="15">
        <v>2785</v>
      </c>
      <c r="R200" s="14">
        <f>P200+ROUND(Q200, 2)</f>
        <v>2785</v>
      </c>
      <c r="S200" s="14">
        <f>ROUND(P200*I200, 2)</f>
        <v>0</v>
      </c>
      <c r="T200" s="14">
        <f>ROUND(I200*ROUND(Q200, 2), 2)</f>
        <v>0</v>
      </c>
      <c r="U200" s="14">
        <f>S200+T200</f>
        <v>0</v>
      </c>
      <c r="V200" s="9">
        <f>ROUND(P200 / 1.2, 2)</f>
        <v>0</v>
      </c>
      <c r="W200" s="9">
        <f>ROUND(Q200 / 1.2, 2)</f>
        <v>2320.83</v>
      </c>
      <c r="X200" s="9">
        <f>ROUND(R200 / 1.2, 2)</f>
        <v>2320.83</v>
      </c>
      <c r="Y200" s="9">
        <f t="shared" si="11"/>
        <v>0</v>
      </c>
      <c r="Z200" s="9">
        <f>ROUND(T200 / 1.2, 2)</f>
        <v>0</v>
      </c>
      <c r="AA200" s="9">
        <f>Y200+Z200</f>
        <v>0</v>
      </c>
      <c r="AD200" s="4">
        <v>304337627</v>
      </c>
      <c r="AE200" s="4">
        <v>20317962</v>
      </c>
      <c r="AG200" s="4" t="s">
        <v>817</v>
      </c>
      <c r="AH200" s="4" t="s">
        <v>818</v>
      </c>
      <c r="AI200" s="4" t="s">
        <v>260</v>
      </c>
    </row>
    <row r="201" spans="1:35" ht="36" x14ac:dyDescent="0.3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30">
        <v>0</v>
      </c>
      <c r="J201" s="31">
        <v>88.8</v>
      </c>
      <c r="M201" s="32">
        <f>ROUND(ROUND(J201, 2)*I201, 2)</f>
        <v>0</v>
      </c>
      <c r="P201" s="31">
        <v>88.8</v>
      </c>
      <c r="S201" s="32">
        <f>ROUND(ROUND(P201, 2)*I201, 2)</f>
        <v>0</v>
      </c>
      <c r="V201" s="9">
        <f>ROUND(ROUND(P201, 2)/1.2, 2)</f>
        <v>74</v>
      </c>
      <c r="Y201" s="9">
        <f t="shared" si="11"/>
        <v>0</v>
      </c>
      <c r="AD201" s="4" t="s">
        <v>850</v>
      </c>
      <c r="AE201" s="4" t="s">
        <v>851</v>
      </c>
      <c r="AF201" s="4" t="s">
        <v>685</v>
      </c>
    </row>
    <row r="202" spans="1:35" ht="36" x14ac:dyDescent="0.3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49">
        <v>0</v>
      </c>
      <c r="J202" s="31">
        <v>40.270000000000003</v>
      </c>
      <c r="M202" s="32">
        <f>ROUND(ROUND(J202, 2)*I202, 2)</f>
        <v>0</v>
      </c>
      <c r="P202" s="31">
        <v>40.270000000000003</v>
      </c>
      <c r="S202" s="32">
        <f>ROUND(ROUND(P202, 2)*I202, 2)</f>
        <v>0</v>
      </c>
      <c r="V202" s="9">
        <f>ROUND(ROUND(P202, 2)/1.2, 2)</f>
        <v>33.56</v>
      </c>
      <c r="Y202" s="9">
        <f t="shared" si="11"/>
        <v>0</v>
      </c>
      <c r="AD202" s="4" t="s">
        <v>855</v>
      </c>
      <c r="AE202" s="4" t="s">
        <v>856</v>
      </c>
      <c r="AF202" s="4" t="s">
        <v>793</v>
      </c>
    </row>
    <row r="203" spans="1:35" ht="36" x14ac:dyDescent="0.3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49">
        <v>0</v>
      </c>
      <c r="J203" s="31">
        <v>2021.25</v>
      </c>
      <c r="M203" s="32">
        <f>ROUND(ROUND(J203, 2)*I203, 2)</f>
        <v>0</v>
      </c>
      <c r="P203" s="31">
        <v>1675.8</v>
      </c>
      <c r="S203" s="32">
        <f>ROUND(ROUND(P203, 2)*I203, 2)</f>
        <v>0</v>
      </c>
      <c r="V203" s="9">
        <f>ROUND(ROUND(P203, 2)/1.2, 2)</f>
        <v>1396.5</v>
      </c>
      <c r="Y203" s="9">
        <f t="shared" si="11"/>
        <v>0</v>
      </c>
      <c r="AD203" s="4" t="s">
        <v>860</v>
      </c>
      <c r="AE203" s="4" t="s">
        <v>861</v>
      </c>
      <c r="AF203" s="4" t="s">
        <v>832</v>
      </c>
    </row>
    <row r="204" spans="1:35" ht="36" x14ac:dyDescent="0.3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49">
        <v>0</v>
      </c>
      <c r="J204" s="31">
        <v>16.96</v>
      </c>
      <c r="M204" s="32">
        <f>ROUND(ROUND(J204, 2)*I204, 2)</f>
        <v>0</v>
      </c>
      <c r="P204" s="31">
        <v>16.96</v>
      </c>
      <c r="S204" s="32">
        <f>ROUND(ROUND(P204, 2)*I204, 2)</f>
        <v>0</v>
      </c>
      <c r="V204" s="9">
        <f>ROUND(ROUND(P204, 2)/1.2, 2)</f>
        <v>14.13</v>
      </c>
      <c r="Y204" s="9">
        <f t="shared" si="11"/>
        <v>0</v>
      </c>
      <c r="AD204" s="4" t="s">
        <v>866</v>
      </c>
      <c r="AE204" s="4" t="s">
        <v>867</v>
      </c>
      <c r="AF204" s="4" t="s">
        <v>825</v>
      </c>
    </row>
    <row r="205" spans="1:35" ht="54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3">
        <v>0</v>
      </c>
      <c r="J205" s="14">
        <f>IFERROR(ROUND(SUM(M206,M207,M208,M209)/I205, 2),0)</f>
        <v>0</v>
      </c>
      <c r="K205" s="15">
        <v>2785</v>
      </c>
      <c r="L205" s="14">
        <f>J205+ROUND(K205, 2)</f>
        <v>2785</v>
      </c>
      <c r="M205" s="14">
        <f>ROUND(J205*I205, 2)</f>
        <v>0</v>
      </c>
      <c r="N205" s="14">
        <f>ROUND(I205*ROUND(K205, 2), 2)</f>
        <v>0</v>
      </c>
      <c r="O205" s="14">
        <f>M205+N205</f>
        <v>0</v>
      </c>
      <c r="P205" s="14">
        <f>IFERROR(ROUND(SUM(S206,S207,S208,S209)/I205, 2),0)</f>
        <v>0</v>
      </c>
      <c r="Q205" s="15">
        <v>2785</v>
      </c>
      <c r="R205" s="14">
        <f>P205+ROUND(Q205, 2)</f>
        <v>2785</v>
      </c>
      <c r="S205" s="14">
        <f>ROUND(P205*I205, 2)</f>
        <v>0</v>
      </c>
      <c r="T205" s="14">
        <f>ROUND(I205*ROUND(Q205, 2), 2)</f>
        <v>0</v>
      </c>
      <c r="U205" s="14">
        <f>S205+T205</f>
        <v>0</v>
      </c>
      <c r="V205" s="9">
        <f>ROUND(P205 / 1.2, 2)</f>
        <v>0</v>
      </c>
      <c r="W205" s="9">
        <f>ROUND(Q205 / 1.2, 2)</f>
        <v>2320.83</v>
      </c>
      <c r="X205" s="9">
        <f>ROUND(R205 / 1.2, 2)</f>
        <v>2320.83</v>
      </c>
      <c r="Y205" s="9">
        <f t="shared" si="11"/>
        <v>0</v>
      </c>
      <c r="Z205" s="9">
        <f>ROUND(T205 / 1.2, 2)</f>
        <v>0</v>
      </c>
      <c r="AA205" s="9">
        <f>Y205+Z205</f>
        <v>0</v>
      </c>
      <c r="AD205" s="4">
        <v>304337628</v>
      </c>
      <c r="AE205" s="4">
        <v>20317963</v>
      </c>
      <c r="AG205" s="4" t="s">
        <v>817</v>
      </c>
      <c r="AH205" s="4" t="s">
        <v>818</v>
      </c>
      <c r="AI205" s="4" t="s">
        <v>260</v>
      </c>
    </row>
    <row r="206" spans="1:35" ht="36" x14ac:dyDescent="0.3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49">
        <v>0</v>
      </c>
      <c r="J206" s="31">
        <v>16.96</v>
      </c>
      <c r="M206" s="32">
        <f>ROUND(ROUND(J206, 2)*I206, 2)</f>
        <v>0</v>
      </c>
      <c r="P206" s="31">
        <v>16.96</v>
      </c>
      <c r="S206" s="32">
        <f>ROUND(ROUND(P206, 2)*I206, 2)</f>
        <v>0</v>
      </c>
      <c r="V206" s="9">
        <f>ROUND(ROUND(P206, 2)/1.2, 2)</f>
        <v>14.13</v>
      </c>
      <c r="Y206" s="9">
        <f t="shared" si="11"/>
        <v>0</v>
      </c>
      <c r="AD206" s="4" t="s">
        <v>874</v>
      </c>
      <c r="AE206" s="4" t="s">
        <v>875</v>
      </c>
      <c r="AF206" s="4" t="s">
        <v>825</v>
      </c>
    </row>
    <row r="207" spans="1:35" ht="36" x14ac:dyDescent="0.3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49">
        <v>0</v>
      </c>
      <c r="J207" s="31">
        <v>2021.25</v>
      </c>
      <c r="M207" s="32">
        <f>ROUND(ROUND(J207, 2)*I207, 2)</f>
        <v>0</v>
      </c>
      <c r="P207" s="31">
        <v>1622.5</v>
      </c>
      <c r="S207" s="32">
        <f>ROUND(ROUND(P207, 2)*I207, 2)</f>
        <v>0</v>
      </c>
      <c r="V207" s="9">
        <f>ROUND(ROUND(P207, 2)/1.2, 2)</f>
        <v>1352.08</v>
      </c>
      <c r="Y207" s="9">
        <f t="shared" si="11"/>
        <v>0</v>
      </c>
      <c r="AD207" s="4" t="s">
        <v>879</v>
      </c>
      <c r="AE207" s="4" t="s">
        <v>880</v>
      </c>
      <c r="AF207" s="4" t="s">
        <v>832</v>
      </c>
    </row>
    <row r="208" spans="1:35" ht="36" x14ac:dyDescent="0.3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49">
        <v>0</v>
      </c>
      <c r="J208" s="31">
        <v>40.270000000000003</v>
      </c>
      <c r="M208" s="32">
        <f>ROUND(ROUND(J208, 2)*I208, 2)</f>
        <v>0</v>
      </c>
      <c r="P208" s="31">
        <v>40.270000000000003</v>
      </c>
      <c r="S208" s="32">
        <f>ROUND(ROUND(P208, 2)*I208, 2)</f>
        <v>0</v>
      </c>
      <c r="V208" s="9">
        <f>ROUND(ROUND(P208, 2)/1.2, 2)</f>
        <v>33.56</v>
      </c>
      <c r="Y208" s="9">
        <f t="shared" si="11"/>
        <v>0</v>
      </c>
      <c r="AD208" s="4" t="s">
        <v>885</v>
      </c>
      <c r="AE208" s="4" t="s">
        <v>886</v>
      </c>
      <c r="AF208" s="4" t="s">
        <v>793</v>
      </c>
    </row>
    <row r="209" spans="1:35" ht="36" x14ac:dyDescent="0.3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30">
        <v>0</v>
      </c>
      <c r="J209" s="31">
        <v>88.8</v>
      </c>
      <c r="M209" s="32">
        <f>ROUND(ROUND(J209, 2)*I209, 2)</f>
        <v>0</v>
      </c>
      <c r="P209" s="31">
        <v>88.8</v>
      </c>
      <c r="S209" s="32">
        <f>ROUND(ROUND(P209, 2)*I209, 2)</f>
        <v>0</v>
      </c>
      <c r="V209" s="9">
        <f>ROUND(ROUND(P209, 2)/1.2, 2)</f>
        <v>74</v>
      </c>
      <c r="Y209" s="9">
        <f t="shared" si="11"/>
        <v>0</v>
      </c>
      <c r="AD209" s="4" t="s">
        <v>890</v>
      </c>
      <c r="AE209" s="4" t="s">
        <v>891</v>
      </c>
      <c r="AF209" s="4" t="s">
        <v>685</v>
      </c>
    </row>
    <row r="210" spans="1:35" ht="54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3">
        <v>0</v>
      </c>
      <c r="J210" s="14">
        <f>IFERROR(ROUND(SUM(M211,M212,M213,M214)/I210, 2),0)</f>
        <v>0</v>
      </c>
      <c r="K210" s="15">
        <v>2785</v>
      </c>
      <c r="L210" s="14">
        <f>J210+ROUND(K210, 2)</f>
        <v>2785</v>
      </c>
      <c r="M210" s="14">
        <f>ROUND(J210*I210, 2)</f>
        <v>0</v>
      </c>
      <c r="N210" s="14">
        <f>ROUND(I210*ROUND(K210, 2), 2)</f>
        <v>0</v>
      </c>
      <c r="O210" s="14">
        <f>M210+N210</f>
        <v>0</v>
      </c>
      <c r="P210" s="14">
        <f>IFERROR(ROUND(SUM(S211,S212,S213,S214)/I210, 2),0)</f>
        <v>0</v>
      </c>
      <c r="Q210" s="15">
        <v>2785</v>
      </c>
      <c r="R210" s="14">
        <f>P210+ROUND(Q210, 2)</f>
        <v>2785</v>
      </c>
      <c r="S210" s="14">
        <f>ROUND(P210*I210, 2)</f>
        <v>0</v>
      </c>
      <c r="T210" s="14">
        <f>ROUND(I210*ROUND(Q210, 2), 2)</f>
        <v>0</v>
      </c>
      <c r="U210" s="14">
        <f>S210+T210</f>
        <v>0</v>
      </c>
      <c r="V210" s="9">
        <f>ROUND(P210 / 1.2, 2)</f>
        <v>0</v>
      </c>
      <c r="W210" s="9">
        <f>ROUND(Q210 / 1.2, 2)</f>
        <v>2320.83</v>
      </c>
      <c r="X210" s="9">
        <f>ROUND(R210 / 1.2, 2)</f>
        <v>2320.83</v>
      </c>
      <c r="Y210" s="9">
        <f t="shared" si="11"/>
        <v>0</v>
      </c>
      <c r="Z210" s="9">
        <f>ROUND(T210 / 1.2, 2)</f>
        <v>0</v>
      </c>
      <c r="AA210" s="9">
        <f>Y210+Z210</f>
        <v>0</v>
      </c>
      <c r="AD210" s="4">
        <v>304337629</v>
      </c>
      <c r="AE210" s="4">
        <v>20317964</v>
      </c>
      <c r="AG210" s="4" t="s">
        <v>817</v>
      </c>
      <c r="AH210" s="4" t="s">
        <v>818</v>
      </c>
      <c r="AI210" s="4" t="s">
        <v>260</v>
      </c>
    </row>
    <row r="211" spans="1:35" ht="36" x14ac:dyDescent="0.3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30">
        <v>0</v>
      </c>
      <c r="J211" s="31">
        <v>88.8</v>
      </c>
      <c r="M211" s="32">
        <f>ROUND(ROUND(J211, 2)*I211, 2)</f>
        <v>0</v>
      </c>
      <c r="P211" s="31">
        <v>88.8</v>
      </c>
      <c r="S211" s="32">
        <f>ROUND(ROUND(P211, 2)*I211, 2)</f>
        <v>0</v>
      </c>
      <c r="V211" s="9">
        <f>ROUND(ROUND(P211, 2)/1.2, 2)</f>
        <v>74</v>
      </c>
      <c r="Y211" s="9">
        <f t="shared" si="11"/>
        <v>0</v>
      </c>
      <c r="AD211" s="4" t="s">
        <v>898</v>
      </c>
      <c r="AE211" s="4" t="s">
        <v>899</v>
      </c>
      <c r="AF211" s="4" t="s">
        <v>685</v>
      </c>
    </row>
    <row r="212" spans="1:35" ht="36" x14ac:dyDescent="0.3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49">
        <v>0</v>
      </c>
      <c r="J212" s="31">
        <v>40.270000000000003</v>
      </c>
      <c r="M212" s="32">
        <f>ROUND(ROUND(J212, 2)*I212, 2)</f>
        <v>0</v>
      </c>
      <c r="P212" s="31">
        <v>40.270000000000003</v>
      </c>
      <c r="S212" s="32">
        <f>ROUND(ROUND(P212, 2)*I212, 2)</f>
        <v>0</v>
      </c>
      <c r="V212" s="9">
        <f>ROUND(ROUND(P212, 2)/1.2, 2)</f>
        <v>33.56</v>
      </c>
      <c r="Y212" s="9">
        <f t="shared" si="11"/>
        <v>0</v>
      </c>
      <c r="AD212" s="4" t="s">
        <v>903</v>
      </c>
      <c r="AE212" s="4" t="s">
        <v>904</v>
      </c>
      <c r="AF212" s="4" t="s">
        <v>793</v>
      </c>
    </row>
    <row r="213" spans="1:35" ht="36" x14ac:dyDescent="0.3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49">
        <v>0</v>
      </c>
      <c r="J213" s="31">
        <v>2021.25</v>
      </c>
      <c r="M213" s="32">
        <f>ROUND(ROUND(J213, 2)*I213, 2)</f>
        <v>0</v>
      </c>
      <c r="P213" s="31">
        <v>1693.1</v>
      </c>
      <c r="S213" s="32">
        <f>ROUND(ROUND(P213, 2)*I213, 2)</f>
        <v>0</v>
      </c>
      <c r="V213" s="9">
        <f>ROUND(ROUND(P213, 2)/1.2, 2)</f>
        <v>1410.92</v>
      </c>
      <c r="Y213" s="9">
        <f t="shared" si="11"/>
        <v>0</v>
      </c>
      <c r="AD213" s="4" t="s">
        <v>908</v>
      </c>
      <c r="AE213" s="4" t="s">
        <v>909</v>
      </c>
      <c r="AF213" s="4" t="s">
        <v>832</v>
      </c>
    </row>
    <row r="214" spans="1:35" ht="36" x14ac:dyDescent="0.3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49">
        <v>0</v>
      </c>
      <c r="J214" s="31">
        <v>16.96</v>
      </c>
      <c r="M214" s="32">
        <f>ROUND(ROUND(J214, 2)*I214, 2)</f>
        <v>0</v>
      </c>
      <c r="P214" s="31">
        <v>16.96</v>
      </c>
      <c r="S214" s="32">
        <f>ROUND(ROUND(P214, 2)*I214, 2)</f>
        <v>0</v>
      </c>
      <c r="V214" s="9">
        <f>ROUND(ROUND(P214, 2)/1.2, 2)</f>
        <v>14.13</v>
      </c>
      <c r="Y214" s="9">
        <f t="shared" si="11"/>
        <v>0</v>
      </c>
      <c r="AD214" s="4" t="s">
        <v>914</v>
      </c>
      <c r="AE214" s="4" t="s">
        <v>915</v>
      </c>
      <c r="AF214" s="4" t="s">
        <v>825</v>
      </c>
    </row>
    <row r="215" spans="1:35" ht="54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3">
        <v>0</v>
      </c>
      <c r="J215" s="14">
        <f>IFERROR(ROUND(SUM(M216,M217,M218,M219)/I215, 2),0)</f>
        <v>0</v>
      </c>
      <c r="K215" s="15">
        <v>2785</v>
      </c>
      <c r="L215" s="14">
        <f>J215+ROUND(K215, 2)</f>
        <v>2785</v>
      </c>
      <c r="M215" s="14">
        <f>ROUND(J215*I215, 2)</f>
        <v>0</v>
      </c>
      <c r="N215" s="14">
        <f>ROUND(I215*ROUND(K215, 2), 2)</f>
        <v>0</v>
      </c>
      <c r="O215" s="14">
        <f>M215+N215</f>
        <v>0</v>
      </c>
      <c r="P215" s="14">
        <f>IFERROR(ROUND(SUM(S216,S217,S218,S219)/I215, 2),0)</f>
        <v>0</v>
      </c>
      <c r="Q215" s="15">
        <v>2785</v>
      </c>
      <c r="R215" s="14">
        <f>P215+ROUND(Q215, 2)</f>
        <v>2785</v>
      </c>
      <c r="S215" s="14">
        <f>ROUND(P215*I215, 2)</f>
        <v>0</v>
      </c>
      <c r="T215" s="14">
        <f>ROUND(I215*ROUND(Q215, 2), 2)</f>
        <v>0</v>
      </c>
      <c r="U215" s="14">
        <f>S215+T215</f>
        <v>0</v>
      </c>
      <c r="V215" s="9">
        <f>ROUND(P215 / 1.2, 2)</f>
        <v>0</v>
      </c>
      <c r="W215" s="9">
        <f>ROUND(Q215 / 1.2, 2)</f>
        <v>2320.83</v>
      </c>
      <c r="X215" s="9">
        <f>ROUND(R215 / 1.2, 2)</f>
        <v>2320.83</v>
      </c>
      <c r="Y215" s="9">
        <f t="shared" si="11"/>
        <v>0</v>
      </c>
      <c r="Z215" s="9">
        <f>ROUND(T215 / 1.2, 2)</f>
        <v>0</v>
      </c>
      <c r="AA215" s="9">
        <f>Y215+Z215</f>
        <v>0</v>
      </c>
      <c r="AD215" s="4">
        <v>304337630</v>
      </c>
      <c r="AE215" s="4">
        <v>20317961</v>
      </c>
      <c r="AG215" s="4" t="s">
        <v>817</v>
      </c>
      <c r="AH215" s="4" t="s">
        <v>818</v>
      </c>
      <c r="AI215" s="4" t="s">
        <v>260</v>
      </c>
    </row>
    <row r="216" spans="1:35" ht="36" x14ac:dyDescent="0.3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49">
        <v>0</v>
      </c>
      <c r="J216" s="31">
        <v>16.96</v>
      </c>
      <c r="M216" s="32">
        <f>ROUND(ROUND(J216, 2)*I216, 2)</f>
        <v>0</v>
      </c>
      <c r="P216" s="31">
        <v>16.96</v>
      </c>
      <c r="S216" s="32">
        <f>ROUND(ROUND(P216, 2)*I216, 2)</f>
        <v>0</v>
      </c>
      <c r="V216" s="9">
        <f>ROUND(ROUND(P216, 2)/1.2, 2)</f>
        <v>14.13</v>
      </c>
      <c r="Y216" s="9">
        <f t="shared" si="11"/>
        <v>0</v>
      </c>
      <c r="AD216" s="4" t="s">
        <v>922</v>
      </c>
      <c r="AE216" s="4" t="s">
        <v>923</v>
      </c>
      <c r="AF216" s="4" t="s">
        <v>825</v>
      </c>
    </row>
    <row r="217" spans="1:35" ht="36" x14ac:dyDescent="0.3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49">
        <v>0</v>
      </c>
      <c r="J217" s="31">
        <v>2021.25</v>
      </c>
      <c r="M217" s="32">
        <f>ROUND(ROUND(J217, 2)*I217, 2)</f>
        <v>0</v>
      </c>
      <c r="P217" s="31">
        <v>1630.9</v>
      </c>
      <c r="S217" s="32">
        <f>ROUND(ROUND(P217, 2)*I217, 2)</f>
        <v>0</v>
      </c>
      <c r="V217" s="9">
        <f>ROUND(ROUND(P217, 2)/1.2, 2)</f>
        <v>1359.08</v>
      </c>
      <c r="Y217" s="9">
        <f t="shared" si="11"/>
        <v>0</v>
      </c>
      <c r="AD217" s="4" t="s">
        <v>927</v>
      </c>
      <c r="AE217" s="4" t="s">
        <v>928</v>
      </c>
      <c r="AF217" s="4" t="s">
        <v>832</v>
      </c>
    </row>
    <row r="218" spans="1:35" ht="36" x14ac:dyDescent="0.3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49">
        <v>0</v>
      </c>
      <c r="J218" s="31">
        <v>40.270000000000003</v>
      </c>
      <c r="M218" s="32">
        <f>ROUND(ROUND(J218, 2)*I218, 2)</f>
        <v>0</v>
      </c>
      <c r="P218" s="31">
        <v>40.270000000000003</v>
      </c>
      <c r="S218" s="32">
        <f>ROUND(ROUND(P218, 2)*I218, 2)</f>
        <v>0</v>
      </c>
      <c r="V218" s="9">
        <f>ROUND(ROUND(P218, 2)/1.2, 2)</f>
        <v>33.56</v>
      </c>
      <c r="Y218" s="9">
        <f t="shared" si="11"/>
        <v>0</v>
      </c>
      <c r="AD218" s="4" t="s">
        <v>933</v>
      </c>
      <c r="AE218" s="4" t="s">
        <v>934</v>
      </c>
      <c r="AF218" s="4" t="s">
        <v>793</v>
      </c>
    </row>
    <row r="219" spans="1:35" ht="36" x14ac:dyDescent="0.3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30">
        <v>0</v>
      </c>
      <c r="J219" s="31">
        <v>88.8</v>
      </c>
      <c r="M219" s="32">
        <f>ROUND(ROUND(J219, 2)*I219, 2)</f>
        <v>0</v>
      </c>
      <c r="P219" s="31">
        <v>88.8</v>
      </c>
      <c r="S219" s="32">
        <f>ROUND(ROUND(P219, 2)*I219, 2)</f>
        <v>0</v>
      </c>
      <c r="V219" s="9">
        <f>ROUND(ROUND(P219, 2)/1.2, 2)</f>
        <v>74</v>
      </c>
      <c r="Y219" s="9">
        <f t="shared" si="11"/>
        <v>0</v>
      </c>
      <c r="AD219" s="4" t="s">
        <v>938</v>
      </c>
      <c r="AE219" s="4" t="s">
        <v>939</v>
      </c>
      <c r="AF219" s="4" t="s">
        <v>685</v>
      </c>
    </row>
    <row r="220" spans="1:35" ht="54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3">
        <v>0</v>
      </c>
      <c r="J220" s="14">
        <f>IFERROR(ROUND(SUM(M221,M222,M223,M224)/I220, 2),0)</f>
        <v>0</v>
      </c>
      <c r="K220" s="15">
        <v>2785</v>
      </c>
      <c r="L220" s="14">
        <f>J220+ROUND(K220, 2)</f>
        <v>2785</v>
      </c>
      <c r="M220" s="14">
        <f>ROUND(J220*I220, 2)</f>
        <v>0</v>
      </c>
      <c r="N220" s="14">
        <f>ROUND(I220*ROUND(K220, 2), 2)</f>
        <v>0</v>
      </c>
      <c r="O220" s="14">
        <f>M220+N220</f>
        <v>0</v>
      </c>
      <c r="P220" s="14">
        <f>IFERROR(ROUND(SUM(S221,S222,S223,S224)/I220, 2),0)</f>
        <v>0</v>
      </c>
      <c r="Q220" s="15">
        <v>2785</v>
      </c>
      <c r="R220" s="14">
        <f>P220+ROUND(Q220, 2)</f>
        <v>2785</v>
      </c>
      <c r="S220" s="14">
        <f>ROUND(P220*I220, 2)</f>
        <v>0</v>
      </c>
      <c r="T220" s="14">
        <f>ROUND(I220*ROUND(Q220, 2), 2)</f>
        <v>0</v>
      </c>
      <c r="U220" s="14">
        <f>S220+T220</f>
        <v>0</v>
      </c>
      <c r="V220" s="9">
        <f>ROUND(P220 / 1.2, 2)</f>
        <v>0</v>
      </c>
      <c r="W220" s="9">
        <f>ROUND(Q220 / 1.2, 2)</f>
        <v>2320.83</v>
      </c>
      <c r="X220" s="9">
        <f>ROUND(R220 / 1.2, 2)</f>
        <v>2320.83</v>
      </c>
      <c r="Y220" s="9">
        <f t="shared" si="11"/>
        <v>0</v>
      </c>
      <c r="Z220" s="9">
        <f>ROUND(T220 / 1.2, 2)</f>
        <v>0</v>
      </c>
      <c r="AA220" s="9">
        <f>Y220+Z220</f>
        <v>0</v>
      </c>
      <c r="AD220" s="4">
        <v>304337631</v>
      </c>
      <c r="AE220" s="4">
        <v>20321878</v>
      </c>
      <c r="AG220" s="4" t="s">
        <v>817</v>
      </c>
      <c r="AH220" s="4" t="s">
        <v>818</v>
      </c>
      <c r="AI220" s="4" t="s">
        <v>260</v>
      </c>
    </row>
    <row r="221" spans="1:35" ht="36" x14ac:dyDescent="0.3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30">
        <v>0</v>
      </c>
      <c r="J221" s="31">
        <v>88.8</v>
      </c>
      <c r="M221" s="32">
        <f>ROUND(ROUND(J221, 2)*I221, 2)</f>
        <v>0</v>
      </c>
      <c r="P221" s="31">
        <v>88.8</v>
      </c>
      <c r="S221" s="32">
        <f>ROUND(ROUND(P221, 2)*I221, 2)</f>
        <v>0</v>
      </c>
      <c r="V221" s="9">
        <f>ROUND(ROUND(P221, 2)/1.2, 2)</f>
        <v>74</v>
      </c>
      <c r="Y221" s="9">
        <f t="shared" ref="Y221:Y254" si="12">ROUND(S221 / 1.2, 2)</f>
        <v>0</v>
      </c>
      <c r="AD221" s="4" t="s">
        <v>946</v>
      </c>
      <c r="AE221" s="4" t="s">
        <v>947</v>
      </c>
      <c r="AF221" s="4" t="s">
        <v>685</v>
      </c>
    </row>
    <row r="222" spans="1:35" ht="36" x14ac:dyDescent="0.3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49">
        <v>0</v>
      </c>
      <c r="J222" s="31">
        <v>40.270000000000003</v>
      </c>
      <c r="M222" s="32">
        <f>ROUND(ROUND(J222, 2)*I222, 2)</f>
        <v>0</v>
      </c>
      <c r="P222" s="31">
        <v>40.270000000000003</v>
      </c>
      <c r="S222" s="32">
        <f>ROUND(ROUND(P222, 2)*I222, 2)</f>
        <v>0</v>
      </c>
      <c r="V222" s="9">
        <f>ROUND(ROUND(P222, 2)/1.2, 2)</f>
        <v>33.56</v>
      </c>
      <c r="Y222" s="9">
        <f t="shared" si="12"/>
        <v>0</v>
      </c>
      <c r="AD222" s="4" t="s">
        <v>951</v>
      </c>
      <c r="AE222" s="4" t="s">
        <v>952</v>
      </c>
      <c r="AF222" s="4" t="s">
        <v>793</v>
      </c>
    </row>
    <row r="223" spans="1:35" ht="36" x14ac:dyDescent="0.3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49">
        <v>0</v>
      </c>
      <c r="J223" s="31">
        <v>2021.25</v>
      </c>
      <c r="M223" s="32">
        <f>ROUND(ROUND(J223, 2)*I223, 2)</f>
        <v>0</v>
      </c>
      <c r="P223" s="31">
        <v>1630.9</v>
      </c>
      <c r="S223" s="32">
        <f>ROUND(ROUND(P223, 2)*I223, 2)</f>
        <v>0</v>
      </c>
      <c r="V223" s="9">
        <f>ROUND(ROUND(P223, 2)/1.2, 2)</f>
        <v>1359.08</v>
      </c>
      <c r="Y223" s="9">
        <f t="shared" si="12"/>
        <v>0</v>
      </c>
      <c r="AD223" s="4" t="s">
        <v>956</v>
      </c>
      <c r="AE223" s="4" t="s">
        <v>957</v>
      </c>
      <c r="AF223" s="4" t="s">
        <v>832</v>
      </c>
    </row>
    <row r="224" spans="1:35" ht="36" x14ac:dyDescent="0.3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49">
        <v>0</v>
      </c>
      <c r="J224" s="31">
        <v>16.96</v>
      </c>
      <c r="M224" s="32">
        <f>ROUND(ROUND(J224, 2)*I224, 2)</f>
        <v>0</v>
      </c>
      <c r="P224" s="31">
        <v>16.96</v>
      </c>
      <c r="S224" s="32">
        <f>ROUND(ROUND(P224, 2)*I224, 2)</f>
        <v>0</v>
      </c>
      <c r="V224" s="9">
        <f>ROUND(ROUND(P224, 2)/1.2, 2)</f>
        <v>14.13</v>
      </c>
      <c r="Y224" s="9">
        <f t="shared" si="12"/>
        <v>0</v>
      </c>
      <c r="AD224" s="4" t="s">
        <v>962</v>
      </c>
      <c r="AE224" s="4" t="s">
        <v>963</v>
      </c>
      <c r="AF224" s="4" t="s">
        <v>825</v>
      </c>
    </row>
    <row r="225" spans="1:35" ht="54" x14ac:dyDescent="0.3">
      <c r="A225" s="10" t="s">
        <v>966</v>
      </c>
      <c r="B225" s="10" t="s">
        <v>815</v>
      </c>
      <c r="C225" s="11" t="s">
        <v>816</v>
      </c>
      <c r="D225" s="12"/>
      <c r="E225" s="12" t="s">
        <v>820</v>
      </c>
      <c r="F225" s="12" t="s">
        <v>59</v>
      </c>
      <c r="G225" s="13">
        <v>1</v>
      </c>
      <c r="H225" s="13"/>
      <c r="I225" s="13">
        <v>1132.5</v>
      </c>
      <c r="J225" s="14">
        <f>IFERROR(ROUND(SUM(M226,M227,M228,M229)/I225, 2),0)</f>
        <v>2468.2399999999998</v>
      </c>
      <c r="K225" s="15">
        <v>2785</v>
      </c>
      <c r="L225" s="14">
        <f>J225+ROUND(K225, 2)</f>
        <v>5253.24</v>
      </c>
      <c r="M225" s="14">
        <f>ROUND(J225*I225, 2)</f>
        <v>2795281.8</v>
      </c>
      <c r="N225" s="14">
        <f>ROUND(I225*ROUND(K225, 2), 2)</f>
        <v>3154012.5</v>
      </c>
      <c r="O225" s="14">
        <f>M225+N225</f>
        <v>5949294.2999999998</v>
      </c>
      <c r="P225" s="14">
        <f>IFERROR(ROUND(SUM(S226,S227,S228,S229)/I225, 2),0)</f>
        <v>2063.89</v>
      </c>
      <c r="Q225" s="16">
        <v>4177.5</v>
      </c>
      <c r="R225" s="14">
        <f>P225+ROUND(Q225, 2)</f>
        <v>6241.39</v>
      </c>
      <c r="S225" s="14">
        <f>ROUND(P225*I225, 2)</f>
        <v>2337355.4300000002</v>
      </c>
      <c r="T225" s="14">
        <f>ROUND(I225*ROUND(Q225, 2), 2)</f>
        <v>4731018.75</v>
      </c>
      <c r="U225" s="14">
        <f>S225+T225</f>
        <v>7068374.1799999997</v>
      </c>
      <c r="V225" s="9">
        <f>ROUND(P225 / 1.2, 2)</f>
        <v>1719.91</v>
      </c>
      <c r="W225" s="9">
        <f>ROUND(Q225 / 1.2, 2)</f>
        <v>3481.25</v>
      </c>
      <c r="X225" s="9">
        <f>ROUND(R225 / 1.2, 2)</f>
        <v>5201.16</v>
      </c>
      <c r="Y225" s="9">
        <f t="shared" si="12"/>
        <v>1947796.19</v>
      </c>
      <c r="Z225" s="9">
        <f>ROUND(T225 / 1.2, 2)</f>
        <v>3942515.63</v>
      </c>
      <c r="AA225" s="9">
        <f>Y225+Z225</f>
        <v>5890311.8200000003</v>
      </c>
      <c r="AD225" s="4">
        <v>304337632</v>
      </c>
      <c r="AE225" s="4">
        <v>21935191</v>
      </c>
      <c r="AG225" s="4" t="s">
        <v>817</v>
      </c>
      <c r="AH225" s="4" t="s">
        <v>818</v>
      </c>
      <c r="AI225" s="4" t="s">
        <v>260</v>
      </c>
    </row>
    <row r="226" spans="1:35" ht="36" x14ac:dyDescent="0.3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49">
        <v>1359</v>
      </c>
      <c r="J226" s="31">
        <v>16.12</v>
      </c>
      <c r="M226" s="32">
        <f>ROUND(ROUND(J226, 2)*I226, 2)</f>
        <v>21907.08</v>
      </c>
      <c r="P226" s="33">
        <v>16.12</v>
      </c>
      <c r="S226" s="32">
        <f>ROUND(ROUND(P226, 2)*I226, 2)</f>
        <v>21907.08</v>
      </c>
      <c r="V226" s="9">
        <f>ROUND(ROUND(P226, 2)/1.2, 2)</f>
        <v>13.43</v>
      </c>
      <c r="Y226" s="9">
        <f t="shared" si="12"/>
        <v>18255.900000000001</v>
      </c>
      <c r="AD226" s="4" t="s">
        <v>968</v>
      </c>
      <c r="AE226" s="4" t="s">
        <v>969</v>
      </c>
      <c r="AF226" s="4" t="s">
        <v>825</v>
      </c>
    </row>
    <row r="227" spans="1:35" ht="72" x14ac:dyDescent="0.3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49">
        <v>1359</v>
      </c>
      <c r="J227" s="31">
        <v>2021.26</v>
      </c>
      <c r="M227" s="32">
        <f>ROUND(ROUND(J227, 2)*I227, 2)</f>
        <v>2746892.34</v>
      </c>
      <c r="P227" s="33">
        <v>1684.3</v>
      </c>
      <c r="S227" s="32">
        <f>ROUND(ROUND(P227, 2)*I227, 2)</f>
        <v>2288963.7000000002</v>
      </c>
      <c r="V227" s="9">
        <f>ROUND(ROUND(P227, 2)/1.2, 2)</f>
        <v>1403.58</v>
      </c>
      <c r="Y227" s="9">
        <f t="shared" si="12"/>
        <v>1907469.75</v>
      </c>
      <c r="AD227" s="4" t="s">
        <v>971</v>
      </c>
      <c r="AE227" s="4" t="s">
        <v>972</v>
      </c>
      <c r="AF227" s="4" t="s">
        <v>832</v>
      </c>
    </row>
    <row r="228" spans="1:35" ht="36" x14ac:dyDescent="0.3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49">
        <v>283.125</v>
      </c>
      <c r="J228" s="31">
        <v>40.270000000000003</v>
      </c>
      <c r="M228" s="32">
        <f>ROUND(ROUND(J228, 2)*I228, 2)</f>
        <v>11401.44</v>
      </c>
      <c r="P228" s="33">
        <v>40.270000000000003</v>
      </c>
      <c r="S228" s="32">
        <f>ROUND(ROUND(P228, 2)*I228, 2)</f>
        <v>11401.44</v>
      </c>
      <c r="V228" s="9">
        <f>ROUND(ROUND(P228, 2)/1.2, 2)</f>
        <v>33.56</v>
      </c>
      <c r="Y228" s="9">
        <f t="shared" si="12"/>
        <v>9501.2000000000007</v>
      </c>
      <c r="AD228" s="4" t="s">
        <v>974</v>
      </c>
      <c r="AE228" s="4" t="s">
        <v>975</v>
      </c>
      <c r="AF228" s="4" t="s">
        <v>793</v>
      </c>
    </row>
    <row r="229" spans="1:35" ht="36" x14ac:dyDescent="0.3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30">
        <v>169.875</v>
      </c>
      <c r="J229" s="31">
        <v>88.8</v>
      </c>
      <c r="M229" s="32">
        <f>ROUND(ROUND(J229, 2)*I229, 2)</f>
        <v>15084.9</v>
      </c>
      <c r="P229" s="33">
        <v>88.8</v>
      </c>
      <c r="S229" s="32">
        <f>ROUND(ROUND(P229, 2)*I229, 2)</f>
        <v>15084.9</v>
      </c>
      <c r="V229" s="9">
        <f>ROUND(ROUND(P229, 2)/1.2, 2)</f>
        <v>74</v>
      </c>
      <c r="Y229" s="9">
        <f t="shared" si="12"/>
        <v>12570.75</v>
      </c>
      <c r="AD229" s="4" t="s">
        <v>977</v>
      </c>
      <c r="AE229" s="4" t="s">
        <v>978</v>
      </c>
      <c r="AF229" s="4" t="s">
        <v>685</v>
      </c>
    </row>
    <row r="230" spans="1:35" ht="54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3">
        <v>31.2</v>
      </c>
      <c r="J230" s="14">
        <f>IFERROR(ROUND(SUM(M231,M232,M233,M234)/I230, 2),0)</f>
        <v>2468.2399999999998</v>
      </c>
      <c r="K230" s="15">
        <v>2785</v>
      </c>
      <c r="L230" s="14">
        <f>J230+ROUND(K230, 2)</f>
        <v>5253.24</v>
      </c>
      <c r="M230" s="14">
        <f>ROUND(J230*I230, 2)</f>
        <v>77009.09</v>
      </c>
      <c r="N230" s="14">
        <f>ROUND(I230*ROUND(K230, 2), 2)</f>
        <v>86892</v>
      </c>
      <c r="O230" s="14">
        <f>M230+N230</f>
        <v>163901.09</v>
      </c>
      <c r="P230" s="14">
        <f>IFERROR(ROUND(SUM(S231,S232,S233,S234)/I230, 2),0)</f>
        <v>2053.6799999999998</v>
      </c>
      <c r="Q230" s="16">
        <v>4177.5</v>
      </c>
      <c r="R230" s="14">
        <f>P230+ROUND(Q230, 2)</f>
        <v>6231.18</v>
      </c>
      <c r="S230" s="14">
        <f>ROUND(P230*I230, 2)</f>
        <v>64074.82</v>
      </c>
      <c r="T230" s="14">
        <f>ROUND(I230*ROUND(Q230, 2), 2)</f>
        <v>130338</v>
      </c>
      <c r="U230" s="14">
        <f>S230+T230</f>
        <v>194412.82</v>
      </c>
      <c r="V230" s="9">
        <f>ROUND(P230 / 1.2, 2)</f>
        <v>1711.4</v>
      </c>
      <c r="W230" s="9">
        <f>ROUND(Q230 / 1.2, 2)</f>
        <v>3481.25</v>
      </c>
      <c r="X230" s="9">
        <f>ROUND(R230 / 1.2, 2)</f>
        <v>5192.6499999999996</v>
      </c>
      <c r="Y230" s="9">
        <f t="shared" si="12"/>
        <v>53395.68</v>
      </c>
      <c r="Z230" s="9">
        <f>ROUND(T230 / 1.2, 2)</f>
        <v>108615</v>
      </c>
      <c r="AA230" s="9">
        <f>Y230+Z230</f>
        <v>162010.68</v>
      </c>
      <c r="AD230" s="4">
        <v>304337633</v>
      </c>
      <c r="AE230" s="4">
        <v>21935195</v>
      </c>
      <c r="AG230" s="4" t="s">
        <v>817</v>
      </c>
      <c r="AH230" s="4" t="s">
        <v>818</v>
      </c>
      <c r="AI230" s="4" t="s">
        <v>260</v>
      </c>
    </row>
    <row r="231" spans="1:35" ht="36" x14ac:dyDescent="0.3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30">
        <v>4.68</v>
      </c>
      <c r="J231" s="31">
        <v>88.8</v>
      </c>
      <c r="M231" s="32">
        <f>ROUND(ROUND(J231, 2)*I231, 2)</f>
        <v>415.58</v>
      </c>
      <c r="P231" s="33">
        <v>88.8</v>
      </c>
      <c r="S231" s="32">
        <f>ROUND(ROUND(P231, 2)*I231, 2)</f>
        <v>415.58</v>
      </c>
      <c r="V231" s="9">
        <f>ROUND(ROUND(P231, 2)/1.2, 2)</f>
        <v>74</v>
      </c>
      <c r="Y231" s="9">
        <f t="shared" si="12"/>
        <v>346.32</v>
      </c>
      <c r="AD231" s="4" t="s">
        <v>981</v>
      </c>
      <c r="AE231" s="4" t="s">
        <v>982</v>
      </c>
      <c r="AF231" s="4" t="s">
        <v>685</v>
      </c>
    </row>
    <row r="232" spans="1:35" ht="36" x14ac:dyDescent="0.3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49">
        <v>7.8</v>
      </c>
      <c r="J232" s="31">
        <v>40.270000000000003</v>
      </c>
      <c r="M232" s="32">
        <f>ROUND(ROUND(J232, 2)*I232, 2)</f>
        <v>314.11</v>
      </c>
      <c r="P232" s="33">
        <v>40.270000000000003</v>
      </c>
      <c r="S232" s="32">
        <f>ROUND(ROUND(P232, 2)*I232, 2)</f>
        <v>314.11</v>
      </c>
      <c r="V232" s="9">
        <f>ROUND(ROUND(P232, 2)/1.2, 2)</f>
        <v>33.56</v>
      </c>
      <c r="Y232" s="9">
        <f t="shared" si="12"/>
        <v>261.76</v>
      </c>
      <c r="AD232" s="4" t="s">
        <v>984</v>
      </c>
      <c r="AE232" s="4" t="s">
        <v>985</v>
      </c>
      <c r="AF232" s="4" t="s">
        <v>793</v>
      </c>
    </row>
    <row r="233" spans="1:35" ht="72" x14ac:dyDescent="0.3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49">
        <v>37.44</v>
      </c>
      <c r="J233" s="31">
        <v>2021.26</v>
      </c>
      <c r="M233" s="32">
        <f>ROUND(ROUND(J233, 2)*I233, 2)</f>
        <v>75675.97</v>
      </c>
      <c r="P233" s="33">
        <v>1675.8</v>
      </c>
      <c r="S233" s="32">
        <f>ROUND(ROUND(P233, 2)*I233, 2)</f>
        <v>62741.95</v>
      </c>
      <c r="V233" s="9">
        <f>ROUND(ROUND(P233, 2)/1.2, 2)</f>
        <v>1396.5</v>
      </c>
      <c r="Y233" s="9">
        <f t="shared" si="12"/>
        <v>52284.959999999999</v>
      </c>
      <c r="AD233" s="4" t="s">
        <v>987</v>
      </c>
      <c r="AE233" s="4" t="s">
        <v>988</v>
      </c>
      <c r="AF233" s="4" t="s">
        <v>832</v>
      </c>
    </row>
    <row r="234" spans="1:35" ht="36" x14ac:dyDescent="0.3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49">
        <v>37.44</v>
      </c>
      <c r="J234" s="31">
        <v>16.12</v>
      </c>
      <c r="M234" s="32">
        <f>ROUND(ROUND(J234, 2)*I234, 2)</f>
        <v>603.53</v>
      </c>
      <c r="P234" s="33">
        <v>16.11</v>
      </c>
      <c r="S234" s="32">
        <f>ROUND(ROUND(P234, 2)*I234, 2)</f>
        <v>603.16</v>
      </c>
      <c r="V234" s="9">
        <f>ROUND(ROUND(P234, 2)/1.2, 2)</f>
        <v>13.43</v>
      </c>
      <c r="Y234" s="9">
        <f t="shared" si="12"/>
        <v>502.63</v>
      </c>
      <c r="AD234" s="4" t="s">
        <v>990</v>
      </c>
      <c r="AE234" s="4" t="s">
        <v>991</v>
      </c>
      <c r="AF234" s="4" t="s">
        <v>825</v>
      </c>
    </row>
    <row r="235" spans="1:35" ht="54" x14ac:dyDescent="0.3">
      <c r="A235" s="10" t="s">
        <v>992</v>
      </c>
      <c r="B235" s="10" t="s">
        <v>815</v>
      </c>
      <c r="C235" s="11" t="s">
        <v>816</v>
      </c>
      <c r="D235" s="12"/>
      <c r="E235" s="12" t="s">
        <v>872</v>
      </c>
      <c r="F235" s="12" t="s">
        <v>59</v>
      </c>
      <c r="G235" s="13">
        <v>1</v>
      </c>
      <c r="H235" s="13"/>
      <c r="I235" s="13">
        <v>560.4</v>
      </c>
      <c r="J235" s="14">
        <f>IFERROR(ROUND(SUM(M236,M237,M238,M239)/I235, 2),0)</f>
        <v>2468.2399999999998</v>
      </c>
      <c r="K235" s="15">
        <v>2785</v>
      </c>
      <c r="L235" s="14">
        <f>J235+ROUND(K235, 2)</f>
        <v>5253.24</v>
      </c>
      <c r="M235" s="14">
        <f>ROUND(J235*I235, 2)</f>
        <v>1383201.7</v>
      </c>
      <c r="N235" s="14">
        <f>ROUND(I235*ROUND(K235, 2), 2)</f>
        <v>1560714</v>
      </c>
      <c r="O235" s="14">
        <f>M235+N235</f>
        <v>2943915.7</v>
      </c>
      <c r="P235" s="14">
        <f>IFERROR(ROUND(SUM(S236,S237,S238,S239)/I235, 2),0)</f>
        <v>1989.72</v>
      </c>
      <c r="Q235" s="16">
        <v>4177.5</v>
      </c>
      <c r="R235" s="14">
        <f>P235+ROUND(Q235, 2)</f>
        <v>6167.22</v>
      </c>
      <c r="S235" s="14">
        <f>ROUND(P235*I235, 2)</f>
        <v>1115039.0900000001</v>
      </c>
      <c r="T235" s="14">
        <f>ROUND(I235*ROUND(Q235, 2), 2)</f>
        <v>2341071</v>
      </c>
      <c r="U235" s="14">
        <f>S235+T235</f>
        <v>3456110.09</v>
      </c>
      <c r="V235" s="9">
        <f>ROUND(P235 / 1.2, 2)</f>
        <v>1658.1</v>
      </c>
      <c r="W235" s="9">
        <f>ROUND(Q235 / 1.2, 2)</f>
        <v>3481.25</v>
      </c>
      <c r="X235" s="9">
        <f>ROUND(R235 / 1.2, 2)</f>
        <v>5139.3500000000004</v>
      </c>
      <c r="Y235" s="9">
        <f t="shared" si="12"/>
        <v>929199.24</v>
      </c>
      <c r="Z235" s="9">
        <f>ROUND(T235 / 1.2, 2)</f>
        <v>1950892.5</v>
      </c>
      <c r="AA235" s="9">
        <f>Y235+Z235</f>
        <v>2880091.74</v>
      </c>
      <c r="AD235" s="4">
        <v>304337634</v>
      </c>
      <c r="AE235" s="4">
        <v>21935196</v>
      </c>
      <c r="AG235" s="4" t="s">
        <v>817</v>
      </c>
      <c r="AH235" s="4" t="s">
        <v>818</v>
      </c>
      <c r="AI235" s="4" t="s">
        <v>260</v>
      </c>
    </row>
    <row r="236" spans="1:35" ht="36" x14ac:dyDescent="0.3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49">
        <v>672.48</v>
      </c>
      <c r="J236" s="31">
        <v>16.12</v>
      </c>
      <c r="M236" s="32">
        <f>ROUND(ROUND(J236, 2)*I236, 2)</f>
        <v>10840.38</v>
      </c>
      <c r="P236" s="33">
        <v>16.11</v>
      </c>
      <c r="S236" s="32">
        <f>ROUND(ROUND(P236, 2)*I236, 2)</f>
        <v>10833.65</v>
      </c>
      <c r="V236" s="9">
        <f>ROUND(ROUND(P236, 2)/1.2, 2)</f>
        <v>13.43</v>
      </c>
      <c r="Y236" s="9">
        <f t="shared" si="12"/>
        <v>9028.0400000000009</v>
      </c>
      <c r="AD236" s="4" t="s">
        <v>994</v>
      </c>
      <c r="AE236" s="4" t="s">
        <v>995</v>
      </c>
      <c r="AF236" s="4" t="s">
        <v>825</v>
      </c>
    </row>
    <row r="237" spans="1:35" ht="90" x14ac:dyDescent="0.3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49">
        <v>672.48</v>
      </c>
      <c r="J237" s="31">
        <v>2021.26</v>
      </c>
      <c r="M237" s="32">
        <f>ROUND(ROUND(J237, 2)*I237, 2)</f>
        <v>1359256.92</v>
      </c>
      <c r="P237" s="33">
        <v>1622.5</v>
      </c>
      <c r="S237" s="32">
        <f>ROUND(ROUND(P237, 2)*I237, 2)</f>
        <v>1091098.8</v>
      </c>
      <c r="V237" s="9">
        <f>ROUND(ROUND(P237, 2)/1.2, 2)</f>
        <v>1352.08</v>
      </c>
      <c r="Y237" s="9">
        <f t="shared" si="12"/>
        <v>909249</v>
      </c>
      <c r="AD237" s="4" t="s">
        <v>997</v>
      </c>
      <c r="AE237" s="4" t="s">
        <v>998</v>
      </c>
      <c r="AF237" s="4" t="s">
        <v>832</v>
      </c>
    </row>
    <row r="238" spans="1:35" ht="36" x14ac:dyDescent="0.3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49">
        <v>140.1</v>
      </c>
      <c r="J238" s="31">
        <v>40.270000000000003</v>
      </c>
      <c r="M238" s="32">
        <f>ROUND(ROUND(J238, 2)*I238, 2)</f>
        <v>5641.83</v>
      </c>
      <c r="P238" s="33">
        <v>40.270000000000003</v>
      </c>
      <c r="S238" s="32">
        <f>ROUND(ROUND(P238, 2)*I238, 2)</f>
        <v>5641.83</v>
      </c>
      <c r="V238" s="9">
        <f>ROUND(ROUND(P238, 2)/1.2, 2)</f>
        <v>33.56</v>
      </c>
      <c r="Y238" s="9">
        <f t="shared" si="12"/>
        <v>4701.53</v>
      </c>
      <c r="AD238" s="4" t="s">
        <v>1000</v>
      </c>
      <c r="AE238" s="4" t="s">
        <v>1001</v>
      </c>
      <c r="AF238" s="4" t="s">
        <v>793</v>
      </c>
    </row>
    <row r="239" spans="1:35" ht="36" x14ac:dyDescent="0.3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30">
        <v>84.06</v>
      </c>
      <c r="J239" s="31">
        <v>88.8</v>
      </c>
      <c r="M239" s="32">
        <f>ROUND(ROUND(J239, 2)*I239, 2)</f>
        <v>7464.53</v>
      </c>
      <c r="P239" s="33">
        <v>88.8</v>
      </c>
      <c r="S239" s="32">
        <f>ROUND(ROUND(P239, 2)*I239, 2)</f>
        <v>7464.53</v>
      </c>
      <c r="V239" s="9">
        <f>ROUND(ROUND(P239, 2)/1.2, 2)</f>
        <v>74</v>
      </c>
      <c r="Y239" s="9">
        <f t="shared" si="12"/>
        <v>6220.44</v>
      </c>
      <c r="AD239" s="4" t="s">
        <v>1003</v>
      </c>
      <c r="AE239" s="4" t="s">
        <v>1004</v>
      </c>
      <c r="AF239" s="4" t="s">
        <v>685</v>
      </c>
    </row>
    <row r="240" spans="1:35" ht="54" x14ac:dyDescent="0.3">
      <c r="A240" s="10" t="s">
        <v>1005</v>
      </c>
      <c r="B240" s="10" t="s">
        <v>815</v>
      </c>
      <c r="C240" s="11" t="s">
        <v>816</v>
      </c>
      <c r="D240" s="12"/>
      <c r="E240" s="12" t="s">
        <v>896</v>
      </c>
      <c r="F240" s="12" t="s">
        <v>59</v>
      </c>
      <c r="G240" s="13">
        <v>1</v>
      </c>
      <c r="H240" s="13"/>
      <c r="I240" s="13">
        <v>28</v>
      </c>
      <c r="J240" s="14">
        <f>IFERROR(ROUND(SUM(M241,M242,M243,M244)/I240, 2),0)</f>
        <v>2468.2399999999998</v>
      </c>
      <c r="K240" s="15">
        <v>2785</v>
      </c>
      <c r="L240" s="14">
        <f>J240+ROUND(K240, 2)</f>
        <v>5253.24</v>
      </c>
      <c r="M240" s="14">
        <f>ROUND(J240*I240, 2)</f>
        <v>69110.720000000001</v>
      </c>
      <c r="N240" s="14">
        <f>ROUND(I240*ROUND(K240, 2), 2)</f>
        <v>77980</v>
      </c>
      <c r="O240" s="14">
        <f>M240+N240</f>
        <v>147090.72</v>
      </c>
      <c r="P240" s="14">
        <f>IFERROR(ROUND(SUM(S241,S242,S243,S244)/I240, 2),0)</f>
        <v>2074.44</v>
      </c>
      <c r="Q240" s="16">
        <v>4177.5</v>
      </c>
      <c r="R240" s="14">
        <f>P240+ROUND(Q240, 2)</f>
        <v>6251.94</v>
      </c>
      <c r="S240" s="14">
        <f>ROUND(P240*I240, 2)</f>
        <v>58084.32</v>
      </c>
      <c r="T240" s="14">
        <f>ROUND(I240*ROUND(Q240, 2), 2)</f>
        <v>116970</v>
      </c>
      <c r="U240" s="14">
        <f>S240+T240</f>
        <v>175054.32</v>
      </c>
      <c r="V240" s="9">
        <f>ROUND(P240 / 1.2, 2)</f>
        <v>1728.7</v>
      </c>
      <c r="W240" s="9">
        <f>ROUND(Q240 / 1.2, 2)</f>
        <v>3481.25</v>
      </c>
      <c r="X240" s="9">
        <f>ROUND(R240 / 1.2, 2)</f>
        <v>5209.95</v>
      </c>
      <c r="Y240" s="9">
        <f t="shared" si="12"/>
        <v>48403.6</v>
      </c>
      <c r="Z240" s="9">
        <f>ROUND(T240 / 1.2, 2)</f>
        <v>97475</v>
      </c>
      <c r="AA240" s="9">
        <f>Y240+Z240</f>
        <v>145878.6</v>
      </c>
      <c r="AD240" s="4">
        <v>304337635</v>
      </c>
      <c r="AE240" s="4">
        <v>21935197</v>
      </c>
      <c r="AG240" s="4" t="s">
        <v>817</v>
      </c>
      <c r="AH240" s="4" t="s">
        <v>818</v>
      </c>
      <c r="AI240" s="4" t="s">
        <v>260</v>
      </c>
    </row>
    <row r="241" spans="1:35" ht="36" x14ac:dyDescent="0.3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30">
        <v>4.2</v>
      </c>
      <c r="J241" s="31">
        <v>88.8</v>
      </c>
      <c r="M241" s="32">
        <f>ROUND(ROUND(J241, 2)*I241, 2)</f>
        <v>372.96</v>
      </c>
      <c r="P241" s="33">
        <v>88.8</v>
      </c>
      <c r="S241" s="32">
        <f>ROUND(ROUND(P241, 2)*I241, 2)</f>
        <v>372.96</v>
      </c>
      <c r="V241" s="9">
        <f>ROUND(ROUND(P241, 2)/1.2, 2)</f>
        <v>74</v>
      </c>
      <c r="Y241" s="9">
        <f t="shared" si="12"/>
        <v>310.8</v>
      </c>
      <c r="AD241" s="4" t="s">
        <v>1007</v>
      </c>
      <c r="AE241" s="4" t="s">
        <v>1008</v>
      </c>
      <c r="AF241" s="4" t="s">
        <v>685</v>
      </c>
    </row>
    <row r="242" spans="1:35" ht="36" x14ac:dyDescent="0.3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49">
        <v>7</v>
      </c>
      <c r="J242" s="31">
        <v>40.270000000000003</v>
      </c>
      <c r="M242" s="32">
        <f>ROUND(ROUND(J242, 2)*I242, 2)</f>
        <v>281.89</v>
      </c>
      <c r="P242" s="33">
        <v>40.270000000000003</v>
      </c>
      <c r="S242" s="32">
        <f>ROUND(ROUND(P242, 2)*I242, 2)</f>
        <v>281.89</v>
      </c>
      <c r="V242" s="9">
        <f>ROUND(ROUND(P242, 2)/1.2, 2)</f>
        <v>33.56</v>
      </c>
      <c r="Y242" s="9">
        <f t="shared" si="12"/>
        <v>234.91</v>
      </c>
      <c r="AD242" s="4" t="s">
        <v>1010</v>
      </c>
      <c r="AE242" s="4" t="s">
        <v>1011</v>
      </c>
      <c r="AF242" s="4" t="s">
        <v>793</v>
      </c>
    </row>
    <row r="243" spans="1:35" ht="72" x14ac:dyDescent="0.3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49">
        <v>33.6</v>
      </c>
      <c r="J243" s="31">
        <v>2021.26</v>
      </c>
      <c r="M243" s="32">
        <f>ROUND(ROUND(J243, 2)*I243, 2)</f>
        <v>67914.34</v>
      </c>
      <c r="P243" s="33">
        <v>1693.1</v>
      </c>
      <c r="S243" s="32">
        <f>ROUND(ROUND(P243, 2)*I243, 2)</f>
        <v>56888.160000000003</v>
      </c>
      <c r="V243" s="9">
        <f>ROUND(ROUND(P243, 2)/1.2, 2)</f>
        <v>1410.92</v>
      </c>
      <c r="Y243" s="9">
        <f t="shared" si="12"/>
        <v>47406.8</v>
      </c>
      <c r="AD243" s="4" t="s">
        <v>1013</v>
      </c>
      <c r="AE243" s="4" t="s">
        <v>1014</v>
      </c>
      <c r="AF243" s="4" t="s">
        <v>832</v>
      </c>
    </row>
    <row r="244" spans="1:35" ht="36" x14ac:dyDescent="0.3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49">
        <v>33.6</v>
      </c>
      <c r="J244" s="31">
        <v>16.12</v>
      </c>
      <c r="M244" s="32">
        <f>ROUND(ROUND(J244, 2)*I244, 2)</f>
        <v>541.63</v>
      </c>
      <c r="P244" s="33">
        <v>16.11</v>
      </c>
      <c r="S244" s="32">
        <f>ROUND(ROUND(P244, 2)*I244, 2)</f>
        <v>541.29999999999995</v>
      </c>
      <c r="V244" s="9">
        <f>ROUND(ROUND(P244, 2)/1.2, 2)</f>
        <v>13.43</v>
      </c>
      <c r="Y244" s="9">
        <f t="shared" si="12"/>
        <v>451.08</v>
      </c>
      <c r="AD244" s="4" t="s">
        <v>1016</v>
      </c>
      <c r="AE244" s="4" t="s">
        <v>1017</v>
      </c>
      <c r="AF244" s="4" t="s">
        <v>825</v>
      </c>
    </row>
    <row r="245" spans="1:35" ht="54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3">
        <v>207.1</v>
      </c>
      <c r="J245" s="14">
        <f>IFERROR(ROUND(SUM(M246,M247,M248,M249)/I245, 2),0)</f>
        <v>2468.2399999999998</v>
      </c>
      <c r="K245" s="15">
        <v>2785</v>
      </c>
      <c r="L245" s="14">
        <f>J245+ROUND(K245, 2)</f>
        <v>5253.24</v>
      </c>
      <c r="M245" s="14">
        <f>ROUND(J245*I245, 2)</f>
        <v>511172.5</v>
      </c>
      <c r="N245" s="14">
        <f>ROUND(I245*ROUND(K245, 2), 2)</f>
        <v>576773.5</v>
      </c>
      <c r="O245" s="14">
        <f>M245+N245</f>
        <v>1087946</v>
      </c>
      <c r="P245" s="14">
        <f>IFERROR(ROUND(SUM(S246,S247,S248,S249)/I245, 2),0)</f>
        <v>1999.8</v>
      </c>
      <c r="Q245" s="16">
        <v>4177.5</v>
      </c>
      <c r="R245" s="14">
        <f>P245+ROUND(Q245, 2)</f>
        <v>6177.3</v>
      </c>
      <c r="S245" s="14">
        <f>ROUND(P245*I245, 2)</f>
        <v>414158.58</v>
      </c>
      <c r="T245" s="14">
        <f>ROUND(I245*ROUND(Q245, 2), 2)</f>
        <v>865160.25</v>
      </c>
      <c r="U245" s="14">
        <f>S245+T245</f>
        <v>1279318.83</v>
      </c>
      <c r="V245" s="9">
        <f>ROUND(P245 / 1.2, 2)</f>
        <v>1666.5</v>
      </c>
      <c r="W245" s="9">
        <f>ROUND(Q245 / 1.2, 2)</f>
        <v>3481.25</v>
      </c>
      <c r="X245" s="9">
        <f>ROUND(R245 / 1.2, 2)</f>
        <v>5147.75</v>
      </c>
      <c r="Y245" s="9">
        <f t="shared" si="12"/>
        <v>345132.15</v>
      </c>
      <c r="Z245" s="9">
        <f>ROUND(T245 / 1.2, 2)</f>
        <v>720966.88</v>
      </c>
      <c r="AA245" s="9">
        <f>Y245+Z245</f>
        <v>1066099.03</v>
      </c>
      <c r="AD245" s="4">
        <v>304337636</v>
      </c>
      <c r="AE245" s="4">
        <v>21935194</v>
      </c>
      <c r="AG245" s="4" t="s">
        <v>817</v>
      </c>
      <c r="AH245" s="4" t="s">
        <v>818</v>
      </c>
      <c r="AI245" s="4" t="s">
        <v>260</v>
      </c>
    </row>
    <row r="246" spans="1:35" ht="36" x14ac:dyDescent="0.3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49">
        <v>248.52</v>
      </c>
      <c r="J246" s="31">
        <v>16.12</v>
      </c>
      <c r="M246" s="32">
        <f>ROUND(ROUND(J246, 2)*I246, 2)</f>
        <v>4006.14</v>
      </c>
      <c r="P246" s="33">
        <v>16.11</v>
      </c>
      <c r="S246" s="32">
        <f>ROUND(ROUND(P246, 2)*I246, 2)</f>
        <v>4003.66</v>
      </c>
      <c r="V246" s="9">
        <f>ROUND(ROUND(P246, 2)/1.2, 2)</f>
        <v>13.43</v>
      </c>
      <c r="Y246" s="9">
        <f t="shared" si="12"/>
        <v>3336.38</v>
      </c>
      <c r="AD246" s="4" t="s">
        <v>1020</v>
      </c>
      <c r="AE246" s="4" t="s">
        <v>1021</v>
      </c>
      <c r="AF246" s="4" t="s">
        <v>825</v>
      </c>
    </row>
    <row r="247" spans="1:35" ht="72" x14ac:dyDescent="0.3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49">
        <v>248.52</v>
      </c>
      <c r="J247" s="31">
        <v>2021.26</v>
      </c>
      <c r="M247" s="32">
        <f>ROUND(ROUND(J247, 2)*I247, 2)</f>
        <v>502323.54</v>
      </c>
      <c r="P247" s="33">
        <v>1630.9</v>
      </c>
      <c r="S247" s="32">
        <f>ROUND(ROUND(P247, 2)*I247, 2)</f>
        <v>405311.27</v>
      </c>
      <c r="V247" s="9">
        <f>ROUND(ROUND(P247, 2)/1.2, 2)</f>
        <v>1359.08</v>
      </c>
      <c r="Y247" s="9">
        <f t="shared" si="12"/>
        <v>337759.39</v>
      </c>
      <c r="AD247" s="4" t="s">
        <v>1023</v>
      </c>
      <c r="AE247" s="4" t="s">
        <v>1024</v>
      </c>
      <c r="AF247" s="4" t="s">
        <v>832</v>
      </c>
    </row>
    <row r="248" spans="1:35" ht="36" x14ac:dyDescent="0.3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49">
        <v>51.774999999999999</v>
      </c>
      <c r="J248" s="31">
        <v>40.270000000000003</v>
      </c>
      <c r="M248" s="32">
        <f>ROUND(ROUND(J248, 2)*I248, 2)</f>
        <v>2084.98</v>
      </c>
      <c r="P248" s="33">
        <v>40.270000000000003</v>
      </c>
      <c r="S248" s="32">
        <f>ROUND(ROUND(P248, 2)*I248, 2)</f>
        <v>2084.98</v>
      </c>
      <c r="V248" s="9">
        <f>ROUND(ROUND(P248, 2)/1.2, 2)</f>
        <v>33.56</v>
      </c>
      <c r="Y248" s="9">
        <f t="shared" si="12"/>
        <v>1737.48</v>
      </c>
      <c r="AD248" s="4" t="s">
        <v>1026</v>
      </c>
      <c r="AE248" s="4" t="s">
        <v>1027</v>
      </c>
      <c r="AF248" s="4" t="s">
        <v>793</v>
      </c>
    </row>
    <row r="249" spans="1:35" ht="36" x14ac:dyDescent="0.3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30">
        <v>31.065000000000001</v>
      </c>
      <c r="J249" s="31">
        <v>88.8</v>
      </c>
      <c r="M249" s="32">
        <f>ROUND(ROUND(J249, 2)*I249, 2)</f>
        <v>2758.57</v>
      </c>
      <c r="P249" s="33">
        <v>88.8</v>
      </c>
      <c r="S249" s="32">
        <f>ROUND(ROUND(P249, 2)*I249, 2)</f>
        <v>2758.57</v>
      </c>
      <c r="V249" s="9">
        <f>ROUND(ROUND(P249, 2)/1.2, 2)</f>
        <v>74</v>
      </c>
      <c r="Y249" s="9">
        <f t="shared" si="12"/>
        <v>2298.81</v>
      </c>
      <c r="AD249" s="4" t="s">
        <v>1029</v>
      </c>
      <c r="AE249" s="4" t="s">
        <v>1030</v>
      </c>
      <c r="AF249" s="4" t="s">
        <v>685</v>
      </c>
    </row>
    <row r="250" spans="1:35" ht="54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3">
        <v>207.5</v>
      </c>
      <c r="J250" s="14">
        <f>IFERROR(ROUND(SUM(M251,M252,M253,M254)/I250, 2),0)</f>
        <v>2468.2399999999998</v>
      </c>
      <c r="K250" s="15">
        <v>2785</v>
      </c>
      <c r="L250" s="14">
        <f>J250+ROUND(K250, 2)</f>
        <v>5253.24</v>
      </c>
      <c r="M250" s="14">
        <f>ROUND(J250*I250, 2)</f>
        <v>512159.8</v>
      </c>
      <c r="N250" s="14">
        <f>ROUND(I250*ROUND(K250, 2), 2)</f>
        <v>577887.5</v>
      </c>
      <c r="O250" s="14">
        <f>M250+N250</f>
        <v>1090047.3</v>
      </c>
      <c r="P250" s="14">
        <f>IFERROR(ROUND(SUM(S251,S252,S253,S254)/I250, 2),0)</f>
        <v>1999.8</v>
      </c>
      <c r="Q250" s="16">
        <v>4177.5</v>
      </c>
      <c r="R250" s="14">
        <f>P250+ROUND(Q250, 2)</f>
        <v>6177.3</v>
      </c>
      <c r="S250" s="14">
        <f>ROUND(P250*I250, 2)</f>
        <v>414958.5</v>
      </c>
      <c r="T250" s="14">
        <f>ROUND(I250*ROUND(Q250, 2), 2)</f>
        <v>866831.25</v>
      </c>
      <c r="U250" s="14">
        <f>S250+T250</f>
        <v>1281789.75</v>
      </c>
      <c r="V250" s="9">
        <f>ROUND(P250 / 1.2, 2)</f>
        <v>1666.5</v>
      </c>
      <c r="W250" s="9">
        <f>ROUND(Q250 / 1.2, 2)</f>
        <v>3481.25</v>
      </c>
      <c r="X250" s="9">
        <f>ROUND(R250 / 1.2, 2)</f>
        <v>5147.75</v>
      </c>
      <c r="Y250" s="9">
        <f t="shared" si="12"/>
        <v>345798.75</v>
      </c>
      <c r="Z250" s="9">
        <f>ROUND(T250 / 1.2, 2)</f>
        <v>722359.38</v>
      </c>
      <c r="AA250" s="9">
        <f>Y250+Z250</f>
        <v>1068158.1299999999</v>
      </c>
      <c r="AD250" s="4">
        <v>304337637</v>
      </c>
      <c r="AE250" s="4">
        <v>21935192</v>
      </c>
      <c r="AG250" s="4" t="s">
        <v>817</v>
      </c>
      <c r="AH250" s="4" t="s">
        <v>818</v>
      </c>
      <c r="AI250" s="4" t="s">
        <v>260</v>
      </c>
    </row>
    <row r="251" spans="1:35" ht="36" x14ac:dyDescent="0.3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30">
        <v>31.125</v>
      </c>
      <c r="J251" s="31">
        <v>88.8</v>
      </c>
      <c r="M251" s="32">
        <f>ROUND(ROUND(J251, 2)*I251, 2)</f>
        <v>2763.9</v>
      </c>
      <c r="P251" s="33">
        <v>88.8</v>
      </c>
      <c r="S251" s="32">
        <f>ROUND(ROUND(P251, 2)*I251, 2)</f>
        <v>2763.9</v>
      </c>
      <c r="V251" s="9">
        <f>ROUND(ROUND(P251, 2)/1.2, 2)</f>
        <v>74</v>
      </c>
      <c r="Y251" s="9">
        <f t="shared" si="12"/>
        <v>2303.25</v>
      </c>
      <c r="AD251" s="4" t="s">
        <v>1033</v>
      </c>
      <c r="AE251" s="4" t="s">
        <v>1034</v>
      </c>
      <c r="AF251" s="4" t="s">
        <v>685</v>
      </c>
    </row>
    <row r="252" spans="1:35" ht="36" x14ac:dyDescent="0.3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49">
        <v>51.875</v>
      </c>
      <c r="J252" s="31">
        <v>40.270000000000003</v>
      </c>
      <c r="M252" s="32">
        <f>ROUND(ROUND(J252, 2)*I252, 2)</f>
        <v>2089.0100000000002</v>
      </c>
      <c r="P252" s="33">
        <v>40.270000000000003</v>
      </c>
      <c r="S252" s="32">
        <f>ROUND(ROUND(P252, 2)*I252, 2)</f>
        <v>2089.0100000000002</v>
      </c>
      <c r="V252" s="9">
        <f>ROUND(ROUND(P252, 2)/1.2, 2)</f>
        <v>33.56</v>
      </c>
      <c r="Y252" s="9">
        <f t="shared" si="12"/>
        <v>1740.84</v>
      </c>
      <c r="AD252" s="4" t="s">
        <v>1036</v>
      </c>
      <c r="AE252" s="4" t="s">
        <v>1037</v>
      </c>
      <c r="AF252" s="4" t="s">
        <v>793</v>
      </c>
    </row>
    <row r="253" spans="1:35" ht="90" x14ac:dyDescent="0.3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49">
        <v>249</v>
      </c>
      <c r="J253" s="31">
        <v>2021.26</v>
      </c>
      <c r="M253" s="32">
        <f>ROUND(ROUND(J253, 2)*I253, 2)</f>
        <v>503293.74</v>
      </c>
      <c r="P253" s="33">
        <v>1630.9</v>
      </c>
      <c r="S253" s="32">
        <f>ROUND(ROUND(P253, 2)*I253, 2)</f>
        <v>406094.1</v>
      </c>
      <c r="V253" s="9">
        <f>ROUND(ROUND(P253, 2)/1.2, 2)</f>
        <v>1359.08</v>
      </c>
      <c r="Y253" s="9">
        <f t="shared" si="12"/>
        <v>338411.75</v>
      </c>
      <c r="AD253" s="4" t="s">
        <v>1039</v>
      </c>
      <c r="AE253" s="4" t="s">
        <v>1040</v>
      </c>
      <c r="AF253" s="4" t="s">
        <v>832</v>
      </c>
    </row>
    <row r="254" spans="1:35" ht="36" x14ac:dyDescent="0.3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49">
        <v>249</v>
      </c>
      <c r="J254" s="31">
        <v>16.12</v>
      </c>
      <c r="M254" s="32">
        <f>ROUND(ROUND(J254, 2)*I254, 2)</f>
        <v>4013.88</v>
      </c>
      <c r="P254" s="33">
        <v>16.11</v>
      </c>
      <c r="S254" s="32">
        <f>ROUND(ROUND(P254, 2)*I254, 2)</f>
        <v>4011.39</v>
      </c>
      <c r="V254" s="9">
        <f>ROUND(ROUND(P254, 2)/1.2, 2)</f>
        <v>13.43</v>
      </c>
      <c r="Y254" s="9">
        <f t="shared" si="12"/>
        <v>3342.83</v>
      </c>
      <c r="AD254" s="4" t="s">
        <v>1042</v>
      </c>
      <c r="AE254" s="4" t="s">
        <v>1043</v>
      </c>
      <c r="AF254" s="4" t="s">
        <v>825</v>
      </c>
    </row>
    <row r="255" spans="1:35" ht="16.95" customHeight="1" x14ac:dyDescent="0.3">
      <c r="A255" s="10" t="s">
        <v>1044</v>
      </c>
      <c r="B255" s="10" t="s">
        <v>1045</v>
      </c>
      <c r="C255" s="153" t="s">
        <v>1046</v>
      </c>
      <c r="D255" s="154"/>
      <c r="E255" s="154"/>
      <c r="F255" s="154"/>
      <c r="G255" s="154"/>
      <c r="H255" s="154"/>
      <c r="I255" s="155"/>
      <c r="M255" s="6">
        <f>SUM(M256,M258)</f>
        <v>329650</v>
      </c>
      <c r="N255" s="6">
        <f>SUM(N256,N258)</f>
        <v>29009.200000000001</v>
      </c>
      <c r="O255" s="6">
        <f>SUM(O256,O258)</f>
        <v>358659.2</v>
      </c>
      <c r="S255" s="6">
        <f>SUM(S256,S258)</f>
        <v>329650</v>
      </c>
      <c r="T255" s="6">
        <f>SUM(T256,T258)</f>
        <v>43513.8</v>
      </c>
      <c r="U255" s="6">
        <f>SUM(U256,U258)</f>
        <v>373163.8</v>
      </c>
      <c r="Y255" s="9">
        <f>SUM(Y256,Y258)</f>
        <v>274708.33</v>
      </c>
      <c r="Z255" s="9">
        <f>SUM(Z256,Z258)</f>
        <v>36261.5</v>
      </c>
      <c r="AA255" s="9">
        <f>SUM(AA256,AA258)</f>
        <v>310969.83</v>
      </c>
      <c r="AD255" s="4">
        <v>304337555</v>
      </c>
      <c r="AE255" s="4">
        <v>20297490</v>
      </c>
    </row>
    <row r="256" spans="1:35" ht="1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3">
        <v>0</v>
      </c>
      <c r="J256" s="14">
        <f>IFERROR(ROUND(SUM(M257)/I256, 2),0)</f>
        <v>0</v>
      </c>
      <c r="K256" s="15">
        <v>836</v>
      </c>
      <c r="L256" s="14">
        <f>J256+ROUND(K256, 2)</f>
        <v>836</v>
      </c>
      <c r="M256" s="14">
        <f>ROUND(J256*I256, 2)</f>
        <v>0</v>
      </c>
      <c r="N256" s="14">
        <f>ROUND(I256*ROUND(K256, 2), 2)</f>
        <v>0</v>
      </c>
      <c r="O256" s="14">
        <f>M256+N256</f>
        <v>0</v>
      </c>
      <c r="P256" s="14">
        <f>IFERROR(ROUND(SUM(S257)/I256, 2),0)</f>
        <v>0</v>
      </c>
      <c r="Q256" s="15">
        <v>836</v>
      </c>
      <c r="R256" s="14">
        <f>P256+ROUND(Q256, 2)</f>
        <v>836</v>
      </c>
      <c r="S256" s="14">
        <f>ROUND(P256*I256, 2)</f>
        <v>0</v>
      </c>
      <c r="T256" s="14">
        <f>ROUND(I256*ROUND(Q256, 2), 2)</f>
        <v>0</v>
      </c>
      <c r="U256" s="14">
        <f>S256+T256</f>
        <v>0</v>
      </c>
      <c r="V256" s="9">
        <f>ROUND(P256 / 1.2, 2)</f>
        <v>0</v>
      </c>
      <c r="W256" s="9">
        <f>ROUND(Q256 / 1.2, 2)</f>
        <v>696.67</v>
      </c>
      <c r="X256" s="9">
        <f>ROUND(R256 / 1.2, 2)</f>
        <v>696.67</v>
      </c>
      <c r="Y256" s="9">
        <f>ROUND(S256 / 1.2, 2)</f>
        <v>0</v>
      </c>
      <c r="Z256" s="9">
        <f>ROUND(T256 / 1.2, 2)</f>
        <v>0</v>
      </c>
      <c r="AA256" s="9">
        <f>Y256+Z256</f>
        <v>0</v>
      </c>
      <c r="AD256" s="4">
        <v>304337557</v>
      </c>
      <c r="AE256" s="4">
        <v>20297493</v>
      </c>
      <c r="AG256" s="4" t="s">
        <v>1050</v>
      </c>
      <c r="AH256" s="4" t="s">
        <v>1051</v>
      </c>
      <c r="AI256" s="4" t="s">
        <v>260</v>
      </c>
    </row>
    <row r="257" spans="1:35" ht="18" x14ac:dyDescent="0.3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30">
        <v>0</v>
      </c>
      <c r="J257" s="31">
        <v>9500</v>
      </c>
      <c r="M257" s="32">
        <f>ROUND(ROUND(J257, 2)*I257, 2)</f>
        <v>0</v>
      </c>
      <c r="P257" s="31">
        <v>9500</v>
      </c>
      <c r="S257" s="32">
        <f>ROUND(ROUND(P257, 2)*I257, 2)</f>
        <v>0</v>
      </c>
      <c r="V257" s="9">
        <f>ROUND(ROUND(P257, 2)/1.2, 2)</f>
        <v>7916.67</v>
      </c>
      <c r="Y257" s="9">
        <f>ROUND(S257 / 1.2, 2)</f>
        <v>0</v>
      </c>
      <c r="AD257" s="4" t="s">
        <v>1056</v>
      </c>
      <c r="AE257" s="4" t="s">
        <v>1057</v>
      </c>
      <c r="AF257" s="4" t="s">
        <v>1058</v>
      </c>
    </row>
    <row r="258" spans="1:35" ht="1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3">
        <v>34.700000000000003</v>
      </c>
      <c r="J258" s="14">
        <f>IFERROR(ROUND(SUM(M259)/I258, 2),0)</f>
        <v>9500</v>
      </c>
      <c r="K258" s="15">
        <v>836</v>
      </c>
      <c r="L258" s="14">
        <f>J258+ROUND(K258, 2)</f>
        <v>10336</v>
      </c>
      <c r="M258" s="14">
        <f>ROUND(J258*I258, 2)</f>
        <v>329650</v>
      </c>
      <c r="N258" s="14">
        <f>ROUND(I258*ROUND(K258, 2), 2)</f>
        <v>29009.200000000001</v>
      </c>
      <c r="O258" s="14">
        <f>M258+N258</f>
        <v>358659.2</v>
      </c>
      <c r="P258" s="14">
        <f>IFERROR(ROUND(SUM(S259)/I258, 2),0)</f>
        <v>9500</v>
      </c>
      <c r="Q258" s="16">
        <v>1254</v>
      </c>
      <c r="R258" s="14">
        <f>P258+ROUND(Q258, 2)</f>
        <v>10754</v>
      </c>
      <c r="S258" s="14">
        <f>ROUND(P258*I258, 2)</f>
        <v>329650</v>
      </c>
      <c r="T258" s="14">
        <f>ROUND(I258*ROUND(Q258, 2), 2)</f>
        <v>43513.8</v>
      </c>
      <c r="U258" s="14">
        <f>S258+T258</f>
        <v>373163.8</v>
      </c>
      <c r="V258" s="9">
        <f>ROUND(P258 / 1.2, 2)</f>
        <v>7916.67</v>
      </c>
      <c r="W258" s="9">
        <f>ROUND(Q258 / 1.2, 2)</f>
        <v>1045</v>
      </c>
      <c r="X258" s="9">
        <f>ROUND(R258 / 1.2, 2)</f>
        <v>8961.67</v>
      </c>
      <c r="Y258" s="9">
        <f>ROUND(S258 / 1.2, 2)</f>
        <v>274708.33</v>
      </c>
      <c r="Z258" s="9">
        <f>ROUND(T258 / 1.2, 2)</f>
        <v>36261.5</v>
      </c>
      <c r="AA258" s="9">
        <f>Y258+Z258</f>
        <v>310969.83</v>
      </c>
      <c r="AD258" s="4">
        <v>304337638</v>
      </c>
      <c r="AE258" s="4">
        <v>20299701</v>
      </c>
      <c r="AG258" s="4" t="s">
        <v>1050</v>
      </c>
      <c r="AH258" s="4" t="s">
        <v>1051</v>
      </c>
      <c r="AI258" s="4" t="s">
        <v>260</v>
      </c>
    </row>
    <row r="259" spans="1:35" ht="90" x14ac:dyDescent="0.3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30">
        <v>34.700000000000003</v>
      </c>
      <c r="J259" s="31">
        <v>9500</v>
      </c>
      <c r="M259" s="32">
        <f>ROUND(ROUND(J259, 2)*I259, 2)</f>
        <v>329650</v>
      </c>
      <c r="P259" s="33">
        <v>9500</v>
      </c>
      <c r="S259" s="32">
        <f>ROUND(ROUND(P259, 2)*I259, 2)</f>
        <v>329650</v>
      </c>
      <c r="V259" s="9">
        <f>ROUND(ROUND(P259, 2)/1.2, 2)</f>
        <v>7916.67</v>
      </c>
      <c r="Y259" s="9">
        <f>ROUND(S259 / 1.2, 2)</f>
        <v>274708.33</v>
      </c>
      <c r="AD259" s="4" t="s">
        <v>1064</v>
      </c>
      <c r="AE259" s="4" t="s">
        <v>1065</v>
      </c>
      <c r="AF259" s="4" t="s">
        <v>1058</v>
      </c>
    </row>
    <row r="260" spans="1:35" ht="16.95" customHeight="1" x14ac:dyDescent="0.3">
      <c r="A260" s="10" t="s">
        <v>1066</v>
      </c>
      <c r="B260" s="10" t="s">
        <v>1067</v>
      </c>
      <c r="C260" s="153" t="s">
        <v>1068</v>
      </c>
      <c r="D260" s="154"/>
      <c r="E260" s="154"/>
      <c r="F260" s="154"/>
      <c r="G260" s="154"/>
      <c r="H260" s="154"/>
      <c r="I260" s="155"/>
      <c r="M260" s="6">
        <f>SUM(M261,M268,M433)</f>
        <v>5802522.5599999996</v>
      </c>
      <c r="N260" s="6">
        <f>SUM(N261,N268,N433)</f>
        <v>9178574.6999999993</v>
      </c>
      <c r="O260" s="6">
        <f>SUM(O261,O268,O433)</f>
        <v>14981097.26</v>
      </c>
      <c r="S260" s="6">
        <f>SUM(S261,S268,S433)</f>
        <v>3503673.5</v>
      </c>
      <c r="T260" s="6">
        <f>SUM(T261,T268,T433)</f>
        <v>13767862.050000001</v>
      </c>
      <c r="U260" s="6">
        <f>SUM(U261,U268,U433)</f>
        <v>17271535.550000001</v>
      </c>
      <c r="Y260" s="9">
        <f>SUM(Y261,Y268,Y433)</f>
        <v>2919727.95</v>
      </c>
      <c r="Z260" s="9">
        <f>SUM(Z261,Z268,Z433)</f>
        <v>11473218.390000001</v>
      </c>
      <c r="AA260" s="9">
        <f>SUM(AA261,AA268,AA433)</f>
        <v>14392946.34</v>
      </c>
      <c r="AD260" s="4">
        <v>304337558</v>
      </c>
      <c r="AE260" s="4">
        <v>20297474</v>
      </c>
    </row>
    <row r="261" spans="1:35" ht="16.95" customHeight="1" x14ac:dyDescent="0.3">
      <c r="A261" s="10" t="s">
        <v>1069</v>
      </c>
      <c r="B261" s="10" t="s">
        <v>1070</v>
      </c>
      <c r="C261" s="153" t="s">
        <v>1071</v>
      </c>
      <c r="D261" s="154"/>
      <c r="E261" s="154"/>
      <c r="F261" s="154"/>
      <c r="G261" s="154"/>
      <c r="H261" s="154"/>
      <c r="I261" s="155"/>
      <c r="M261" s="6">
        <f>SUM(M262,M265)</f>
        <v>1902.81</v>
      </c>
      <c r="N261" s="6">
        <f>SUM(N262,N265)</f>
        <v>80682</v>
      </c>
      <c r="O261" s="6">
        <f>SUM(O262,O265)</f>
        <v>82584.81</v>
      </c>
      <c r="S261" s="6">
        <f>SUM(S262,S265)</f>
        <v>1902.81</v>
      </c>
      <c r="T261" s="6">
        <f>SUM(T262,T265)</f>
        <v>121023</v>
      </c>
      <c r="U261" s="6">
        <f>SUM(U262,U265)</f>
        <v>122925.81</v>
      </c>
      <c r="Y261" s="9">
        <f>SUM(Y262,Y265)</f>
        <v>1585.68</v>
      </c>
      <c r="Z261" s="9">
        <f>SUM(Z262,Z265)</f>
        <v>100852.5</v>
      </c>
      <c r="AA261" s="9">
        <f>SUM(AA262,AA265)</f>
        <v>102438.18</v>
      </c>
      <c r="AD261" s="4">
        <v>304337559</v>
      </c>
      <c r="AE261" s="4">
        <v>20297483</v>
      </c>
    </row>
    <row r="262" spans="1:35" ht="36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3">
        <v>0</v>
      </c>
      <c r="J262" s="14">
        <f>IFERROR(ROUND(SUM(M263,M264)/I262, 2),0)</f>
        <v>0</v>
      </c>
      <c r="K262" s="15">
        <v>226</v>
      </c>
      <c r="L262" s="14">
        <f>J262+ROUND(K262, 2)</f>
        <v>226</v>
      </c>
      <c r="M262" s="14">
        <f>ROUND(J262*I262, 2)</f>
        <v>0</v>
      </c>
      <c r="N262" s="14">
        <f>ROUND(I262*ROUND(K262, 2), 2)</f>
        <v>0</v>
      </c>
      <c r="O262" s="14">
        <f>M262+N262</f>
        <v>0</v>
      </c>
      <c r="P262" s="14">
        <f>IFERROR(ROUND(SUM(S263,S264)/I262, 2),0)</f>
        <v>0</v>
      </c>
      <c r="Q262" s="15">
        <v>226</v>
      </c>
      <c r="R262" s="14">
        <f>P262+ROUND(Q262, 2)</f>
        <v>226</v>
      </c>
      <c r="S262" s="14">
        <f>ROUND(P262*I262, 2)</f>
        <v>0</v>
      </c>
      <c r="T262" s="14">
        <f>ROUND(I262*ROUND(Q262, 2), 2)</f>
        <v>0</v>
      </c>
      <c r="U262" s="14">
        <f>S262+T262</f>
        <v>0</v>
      </c>
      <c r="V262" s="9">
        <f>ROUND(P262 / 1.2, 2)</f>
        <v>0</v>
      </c>
      <c r="W262" s="9">
        <f>ROUND(Q262 / 1.2, 2)</f>
        <v>188.33</v>
      </c>
      <c r="X262" s="9">
        <f>ROUND(R262 / 1.2, 2)</f>
        <v>188.33</v>
      </c>
      <c r="Y262" s="9">
        <f>ROUND(S262 / 1.2, 2)</f>
        <v>0</v>
      </c>
      <c r="Z262" s="9">
        <f>ROUND(T262 / 1.2, 2)</f>
        <v>0</v>
      </c>
      <c r="AA262" s="9">
        <f>Y262+Z262</f>
        <v>0</v>
      </c>
      <c r="AD262" s="4">
        <v>304337561</v>
      </c>
      <c r="AE262" s="4">
        <v>20297507</v>
      </c>
      <c r="AG262" s="4" t="s">
        <v>1075</v>
      </c>
      <c r="AH262" s="4" t="s">
        <v>1076</v>
      </c>
      <c r="AI262" s="4" t="s">
        <v>260</v>
      </c>
    </row>
    <row r="263" spans="1:35" ht="18" x14ac:dyDescent="0.3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49">
        <v>0</v>
      </c>
      <c r="J263" s="31">
        <v>2800</v>
      </c>
      <c r="M263" s="32">
        <f>ROUND(ROUND(J263, 2)*I263, 2)</f>
        <v>0</v>
      </c>
      <c r="P263" s="31">
        <v>2800</v>
      </c>
      <c r="S263" s="32">
        <f>ROUND(ROUND(P263, 2)*I263, 2)</f>
        <v>0</v>
      </c>
      <c r="V263" s="9">
        <f>ROUND(ROUND(P263, 2)/1.2, 2)</f>
        <v>2333.33</v>
      </c>
      <c r="Y263" s="9">
        <f>ROUND(S263 / 1.2, 2)</f>
        <v>0</v>
      </c>
      <c r="AD263" s="4" t="s">
        <v>1082</v>
      </c>
      <c r="AE263" s="4" t="s">
        <v>1083</v>
      </c>
      <c r="AF263" s="4" t="s">
        <v>1084</v>
      </c>
    </row>
    <row r="264" spans="1:35" ht="18" x14ac:dyDescent="0.3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49">
        <v>0</v>
      </c>
      <c r="J264" s="31">
        <v>6.17</v>
      </c>
      <c r="M264" s="32">
        <f>ROUND(ROUND(J264, 2)*I264, 2)</f>
        <v>0</v>
      </c>
      <c r="P264" s="31">
        <v>6.17</v>
      </c>
      <c r="S264" s="32">
        <f>ROUND(ROUND(P264, 2)*I264, 2)</f>
        <v>0</v>
      </c>
      <c r="V264" s="9">
        <f>ROUND(ROUND(P264, 2)/1.2, 2)</f>
        <v>5.14</v>
      </c>
      <c r="Y264" s="9">
        <f>ROUND(S264 / 1.2, 2)</f>
        <v>0</v>
      </c>
      <c r="AD264" s="4" t="s">
        <v>1089</v>
      </c>
      <c r="AE264" s="4" t="s">
        <v>1090</v>
      </c>
      <c r="AF264" s="4" t="s">
        <v>1091</v>
      </c>
    </row>
    <row r="265" spans="1:35" ht="36" x14ac:dyDescent="0.3">
      <c r="A265" s="10" t="s">
        <v>1094</v>
      </c>
      <c r="B265" s="10" t="s">
        <v>1073</v>
      </c>
      <c r="C265" s="11" t="s">
        <v>1074</v>
      </c>
      <c r="D265" s="12"/>
      <c r="E265" s="12" t="s">
        <v>1078</v>
      </c>
      <c r="F265" s="12" t="s">
        <v>369</v>
      </c>
      <c r="G265" s="13">
        <v>1</v>
      </c>
      <c r="H265" s="13"/>
      <c r="I265" s="13">
        <v>357</v>
      </c>
      <c r="J265" s="14">
        <f>IFERROR(ROUND(SUM(M266,M267)/I265, 2),0)</f>
        <v>5.33</v>
      </c>
      <c r="K265" s="15">
        <v>226</v>
      </c>
      <c r="L265" s="14">
        <f>J265+ROUND(K265, 2)</f>
        <v>231.33</v>
      </c>
      <c r="M265" s="14">
        <f>ROUND(J265*I265, 2)</f>
        <v>1902.81</v>
      </c>
      <c r="N265" s="14">
        <f>ROUND(I265*ROUND(K265, 2), 2)</f>
        <v>80682</v>
      </c>
      <c r="O265" s="14">
        <f>M265+N265</f>
        <v>82584.81</v>
      </c>
      <c r="P265" s="14">
        <f>IFERROR(ROUND(SUM(S266,S267)/I265, 2),0)</f>
        <v>5.33</v>
      </c>
      <c r="Q265" s="16">
        <v>339</v>
      </c>
      <c r="R265" s="14">
        <f>P265+ROUND(Q265, 2)</f>
        <v>344.33</v>
      </c>
      <c r="S265" s="14">
        <f>ROUND(P265*I265, 2)</f>
        <v>1902.81</v>
      </c>
      <c r="T265" s="14">
        <f>ROUND(I265*ROUND(Q265, 2), 2)</f>
        <v>121023</v>
      </c>
      <c r="U265" s="14">
        <f>S265+T265</f>
        <v>122925.81</v>
      </c>
      <c r="V265" s="9">
        <f>ROUND(P265 / 1.2, 2)</f>
        <v>4.4400000000000004</v>
      </c>
      <c r="W265" s="9">
        <f>ROUND(Q265 / 1.2, 2)</f>
        <v>282.5</v>
      </c>
      <c r="X265" s="9">
        <f>ROUND(R265 / 1.2, 2)</f>
        <v>286.94</v>
      </c>
      <c r="Y265" s="9">
        <f>ROUND(S265 / 1.2, 2)</f>
        <v>1585.68</v>
      </c>
      <c r="Z265" s="9">
        <f>ROUND(T265 / 1.2, 2)</f>
        <v>100852.5</v>
      </c>
      <c r="AA265" s="9">
        <f>Y265+Z265</f>
        <v>102438.18</v>
      </c>
      <c r="AD265" s="4">
        <v>304337639</v>
      </c>
      <c r="AE265" s="4">
        <v>21935158</v>
      </c>
      <c r="AG265" s="4" t="s">
        <v>1075</v>
      </c>
      <c r="AH265" s="4" t="s">
        <v>1076</v>
      </c>
      <c r="AI265" s="4" t="s">
        <v>260</v>
      </c>
    </row>
    <row r="266" spans="1:35" ht="18" x14ac:dyDescent="0.3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49">
        <v>146.37</v>
      </c>
      <c r="J266" s="31">
        <v>6.17</v>
      </c>
      <c r="M266" s="32">
        <f>ROUND(ROUND(J266, 2)*I266, 2)</f>
        <v>903.1</v>
      </c>
      <c r="P266" s="33">
        <v>6.17</v>
      </c>
      <c r="S266" s="32">
        <f>ROUND(ROUND(P266, 2)*I266, 2)</f>
        <v>903.1</v>
      </c>
      <c r="V266" s="9">
        <f>ROUND(ROUND(P266, 2)/1.2, 2)</f>
        <v>5.14</v>
      </c>
      <c r="Y266" s="9">
        <f>ROUND(S266 / 1.2, 2)</f>
        <v>752.58</v>
      </c>
      <c r="AD266" s="4" t="s">
        <v>1096</v>
      </c>
      <c r="AE266" s="4" t="s">
        <v>1097</v>
      </c>
      <c r="AF266" s="4" t="s">
        <v>1091</v>
      </c>
    </row>
    <row r="267" spans="1:35" ht="18" x14ac:dyDescent="0.3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49">
        <v>0.35699999999999998</v>
      </c>
      <c r="J267" s="31">
        <v>2800</v>
      </c>
      <c r="M267" s="32">
        <f>ROUND(ROUND(J267, 2)*I267, 2)</f>
        <v>999.6</v>
      </c>
      <c r="P267" s="33">
        <v>2800</v>
      </c>
      <c r="S267" s="32">
        <f>ROUND(ROUND(P267, 2)*I267, 2)</f>
        <v>999.6</v>
      </c>
      <c r="V267" s="9">
        <f>ROUND(ROUND(P267, 2)/1.2, 2)</f>
        <v>2333.33</v>
      </c>
      <c r="Y267" s="9">
        <f>ROUND(S267 / 1.2, 2)</f>
        <v>833</v>
      </c>
      <c r="AD267" s="4" t="s">
        <v>1099</v>
      </c>
      <c r="AE267" s="4" t="s">
        <v>1100</v>
      </c>
      <c r="AF267" s="4" t="s">
        <v>1084</v>
      </c>
    </row>
    <row r="268" spans="1:35" ht="16.95" customHeight="1" x14ac:dyDescent="0.3">
      <c r="A268" s="10" t="s">
        <v>1101</v>
      </c>
      <c r="B268" s="10" t="s">
        <v>1102</v>
      </c>
      <c r="C268" s="153" t="s">
        <v>1103</v>
      </c>
      <c r="D268" s="154"/>
      <c r="E268" s="154"/>
      <c r="F268" s="154"/>
      <c r="G268" s="154"/>
      <c r="H268" s="154"/>
      <c r="I268" s="155"/>
      <c r="M268" s="6">
        <f>SUM(M269,M271,M273,M275,M277,M279,M281,M283,M285,M287,M289,M291,M293,M295,M297,M299,M301,M303,M305,M307,M309,M312,M315,M318,M321,M324,M327,M330,M333,M336,M339,M342,M345,M348,M351,M354,M357,M360,M363,M368,M373,M378,M383,M388,M393,M398,M403,M408,M413,M418,M423,M428)</f>
        <v>5506461.4500000002</v>
      </c>
      <c r="N268" s="6">
        <f>SUM(N269,N271,N273,N275,N277,N279,N281,N283,N285,N287,N289,N291,N293,N295,N297,N299,N301,N303,N305,N307,N309,N312,N315,N318,N321,N324,N327,N330,N333,N336,N339,N342,N345,N348,N351,N354,N357,N360,N363,N368,N373,N378,N383,N388,N393,N398,N403,N408,N413,N418,N423,N428)</f>
        <v>8393216</v>
      </c>
      <c r="O268" s="6">
        <f>SUM(O269,O271,O273,O275,O277,O279,O281,O283,O285,O287,O289,O291,O293,O295,O297,O299,O301,O303,O305,O307,O309,O312,O315,O318,O321,O324,O327,O330,O333,O336,O339,O342,O345,O348,O351,O354,O357,O360,O363,O368,O373,O378,O383,O388,O393,O398,O403,O408,O413,O418,O423,O428)</f>
        <v>13899677.449999999</v>
      </c>
      <c r="S268" s="6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15680247.67</v>
      </c>
      <c r="Y268" s="9">
        <f>SUM(Y269,Y271,Y273,Y275,Y277,Y279,Y281,Y283,Y285,Y287,Y289,Y291,Y293,Y295,Y297,Y299,Y301,Y303,Y305,Y307,Y309,Y312,Y315,Y318,Y321,Y324,Y327,Y330,Y333,Y336,Y339,Y342,Y345,Y348,Y351,Y354,Y357,Y360,Y363,Y368,Y373,Y378,Y383,Y388,Y393,Y398,Y403,Y408,Y413,Y418,Y423,Y428)</f>
        <v>2575353.08</v>
      </c>
      <c r="Z268" s="9">
        <f>SUM(Z269,Z271,Z273,Z275,Z277,Z279,Z281,Z283,Z285,Z287,Z289,Z291,Z293,Z295,Z297,Z299,Z301,Z303,Z305,Z307,Z309,Z312,Z315,Z318,Z321,Z324,Z327,Z330,Z333,Z336,Z339,Z342,Z345,Z348,Z351,Z354,Z357,Z360,Z363,Z368,Z373,Z378,Z383,Z388,Z393,Z398,Z403,Z408,Z413,Z418,Z423,Z428)</f>
        <v>10491520.01</v>
      </c>
      <c r="AA268" s="9">
        <f>SUM(AA269,AA271,AA273,AA275,AA277,AA279,AA281,AA283,AA285,AA287,AA289,AA291,AA293,AA295,AA297,AA299,AA301,AA303,AA305,AA307,AA309,AA312,AA315,AA318,AA321,AA324,AA327,AA330,AA333,AA336,AA339,AA342,AA345,AA348,AA351,AA354,AA357,AA360,AA363,AA368,AA373,AA378,AA383,AA388,AA393,AA398,AA403,AA408,AA413,AA418,AA423,AA428)</f>
        <v>13066873.09</v>
      </c>
      <c r="AD268" s="4">
        <v>304337562</v>
      </c>
      <c r="AE268" s="4">
        <v>20299756</v>
      </c>
    </row>
    <row r="269" spans="1:35" ht="1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3">
        <v>0</v>
      </c>
      <c r="J269" s="14">
        <f>IFERROR(ROUND(SUM(M270)/I269, 2),0)</f>
        <v>0</v>
      </c>
      <c r="K269" s="15">
        <v>1010</v>
      </c>
      <c r="L269" s="14">
        <f>J269+ROUND(K269, 2)</f>
        <v>1010</v>
      </c>
      <c r="M269" s="14">
        <f>ROUND(J269*I269, 2)</f>
        <v>0</v>
      </c>
      <c r="N269" s="14">
        <f>ROUND(I269*ROUND(K269, 2), 2)</f>
        <v>0</v>
      </c>
      <c r="O269" s="14">
        <f>M269+N269</f>
        <v>0</v>
      </c>
      <c r="P269" s="14">
        <f>IFERROR(ROUND(SUM(S270)/I269, 2),0)</f>
        <v>0</v>
      </c>
      <c r="Q269" s="15">
        <v>1010</v>
      </c>
      <c r="R269" s="14">
        <f>P269+ROUND(Q269, 2)</f>
        <v>1010</v>
      </c>
      <c r="S269" s="14">
        <f>ROUND(P269*I269, 2)</f>
        <v>0</v>
      </c>
      <c r="T269" s="14">
        <f>ROUND(I269*ROUND(Q269, 2), 2)</f>
        <v>0</v>
      </c>
      <c r="U269" s="14">
        <f>S269+T269</f>
        <v>0</v>
      </c>
      <c r="V269" s="9">
        <f>ROUND(P269 / 1.2, 2)</f>
        <v>0</v>
      </c>
      <c r="W269" s="9">
        <f>ROUND(Q269 / 1.2, 2)</f>
        <v>841.67</v>
      </c>
      <c r="X269" s="9">
        <f>ROUND(R269 / 1.2, 2)</f>
        <v>841.67</v>
      </c>
      <c r="Y269" s="9">
        <f>ROUND(S269 / 1.2, 2)</f>
        <v>0</v>
      </c>
      <c r="Z269" s="9">
        <f>ROUND(T269 / 1.2, 2)</f>
        <v>0</v>
      </c>
      <c r="AA269" s="9">
        <f>Y269+Z269</f>
        <v>0</v>
      </c>
      <c r="AD269" s="4">
        <v>304337564</v>
      </c>
      <c r="AE269" s="4">
        <v>20300514</v>
      </c>
      <c r="AG269" s="4" t="s">
        <v>1107</v>
      </c>
      <c r="AH269" s="4" t="s">
        <v>1108</v>
      </c>
      <c r="AI269" s="4" t="s">
        <v>260</v>
      </c>
    </row>
    <row r="270" spans="1:35" ht="36" x14ac:dyDescent="0.3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30">
        <v>0</v>
      </c>
      <c r="J270" s="31">
        <v>260</v>
      </c>
      <c r="M270" s="32">
        <f>ROUND(ROUND(J270, 2)*I270, 2)</f>
        <v>0</v>
      </c>
      <c r="P270" s="31">
        <v>260</v>
      </c>
      <c r="S270" s="32">
        <f>ROUND(ROUND(P270, 2)*I270, 2)</f>
        <v>0</v>
      </c>
      <c r="V270" s="9">
        <f>ROUND(ROUND(P270, 2)/1.2, 2)</f>
        <v>216.67</v>
      </c>
      <c r="Y270" s="9">
        <f t="shared" ref="Y270:Y301" si="13">ROUND(S270 / 1.2, 2)</f>
        <v>0</v>
      </c>
      <c r="AD270" s="4" t="s">
        <v>1113</v>
      </c>
      <c r="AE270" s="4" t="s">
        <v>1114</v>
      </c>
      <c r="AF270" s="4" t="s">
        <v>1115</v>
      </c>
    </row>
    <row r="271" spans="1:35" ht="1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3">
        <v>0</v>
      </c>
      <c r="J271" s="14">
        <f>IFERROR(ROUND(SUM(M272)/I271, 2),0)</f>
        <v>0</v>
      </c>
      <c r="K271" s="15">
        <v>1010</v>
      </c>
      <c r="L271" s="14">
        <f>J271+ROUND(K271, 2)</f>
        <v>1010</v>
      </c>
      <c r="M271" s="14">
        <f>ROUND(J271*I271, 2)</f>
        <v>0</v>
      </c>
      <c r="N271" s="14">
        <f>ROUND(I271*ROUND(K271, 2), 2)</f>
        <v>0</v>
      </c>
      <c r="O271" s="14">
        <f>M271+N271</f>
        <v>0</v>
      </c>
      <c r="P271" s="14">
        <f>IFERROR(ROUND(SUM(S272)/I271, 2),0)</f>
        <v>0</v>
      </c>
      <c r="Q271" s="15">
        <v>1010</v>
      </c>
      <c r="R271" s="14">
        <f>P271+ROUND(Q271, 2)</f>
        <v>1010</v>
      </c>
      <c r="S271" s="14">
        <f>ROUND(P271*I271, 2)</f>
        <v>0</v>
      </c>
      <c r="T271" s="14">
        <f>ROUND(I271*ROUND(Q271, 2), 2)</f>
        <v>0</v>
      </c>
      <c r="U271" s="14">
        <f>S271+T271</f>
        <v>0</v>
      </c>
      <c r="V271" s="9">
        <f>ROUND(P271 / 1.2, 2)</f>
        <v>0</v>
      </c>
      <c r="W271" s="9">
        <f>ROUND(Q271 / 1.2, 2)</f>
        <v>841.67</v>
      </c>
      <c r="X271" s="9">
        <f>ROUND(R271 / 1.2, 2)</f>
        <v>841.67</v>
      </c>
      <c r="Y271" s="9">
        <f t="shared" si="13"/>
        <v>0</v>
      </c>
      <c r="Z271" s="9">
        <f>ROUND(T271 / 1.2, 2)</f>
        <v>0</v>
      </c>
      <c r="AA271" s="9">
        <f>Y271+Z271</f>
        <v>0</v>
      </c>
      <c r="AD271" s="4">
        <v>304337640</v>
      </c>
      <c r="AE271" s="4">
        <v>20300510</v>
      </c>
      <c r="AG271" s="4" t="s">
        <v>1107</v>
      </c>
      <c r="AH271" s="4" t="s">
        <v>1108</v>
      </c>
      <c r="AI271" s="4" t="s">
        <v>260</v>
      </c>
    </row>
    <row r="272" spans="1:35" ht="36" x14ac:dyDescent="0.3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30">
        <v>0</v>
      </c>
      <c r="J272" s="31">
        <v>260</v>
      </c>
      <c r="M272" s="32">
        <f>ROUND(ROUND(J272, 2)*I272, 2)</f>
        <v>0</v>
      </c>
      <c r="P272" s="31">
        <v>260</v>
      </c>
      <c r="S272" s="32">
        <f>ROUND(ROUND(P272, 2)*I272, 2)</f>
        <v>0</v>
      </c>
      <c r="V272" s="9">
        <f>ROUND(ROUND(P272, 2)/1.2, 2)</f>
        <v>216.67</v>
      </c>
      <c r="Y272" s="9">
        <f t="shared" si="13"/>
        <v>0</v>
      </c>
      <c r="AD272" s="4" t="s">
        <v>1122</v>
      </c>
      <c r="AE272" s="4" t="s">
        <v>1123</v>
      </c>
      <c r="AF272" s="4" t="s">
        <v>1115</v>
      </c>
    </row>
    <row r="273" spans="1:35" ht="1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3">
        <v>0</v>
      </c>
      <c r="J273" s="14">
        <f>IFERROR(ROUND(SUM(M274)/I273, 2),0)</f>
        <v>0</v>
      </c>
      <c r="K273" s="15">
        <v>1010</v>
      </c>
      <c r="L273" s="14">
        <f>J273+ROUND(K273, 2)</f>
        <v>1010</v>
      </c>
      <c r="M273" s="14">
        <f>ROUND(J273*I273, 2)</f>
        <v>0</v>
      </c>
      <c r="N273" s="14">
        <f>ROUND(I273*ROUND(K273, 2), 2)</f>
        <v>0</v>
      </c>
      <c r="O273" s="14">
        <f>M273+N273</f>
        <v>0</v>
      </c>
      <c r="P273" s="14">
        <f>IFERROR(ROUND(SUM(S274)/I273, 2),0)</f>
        <v>0</v>
      </c>
      <c r="Q273" s="15">
        <v>1010</v>
      </c>
      <c r="R273" s="14">
        <f>P273+ROUND(Q273, 2)</f>
        <v>1010</v>
      </c>
      <c r="S273" s="14">
        <f>ROUND(P273*I273, 2)</f>
        <v>0</v>
      </c>
      <c r="T273" s="14">
        <f>ROUND(I273*ROUND(Q273, 2), 2)</f>
        <v>0</v>
      </c>
      <c r="U273" s="14">
        <f>S273+T273</f>
        <v>0</v>
      </c>
      <c r="V273" s="9">
        <f>ROUND(P273 / 1.2, 2)</f>
        <v>0</v>
      </c>
      <c r="W273" s="9">
        <f>ROUND(Q273 / 1.2, 2)</f>
        <v>841.67</v>
      </c>
      <c r="X273" s="9">
        <f>ROUND(R273 / 1.2, 2)</f>
        <v>841.67</v>
      </c>
      <c r="Y273" s="9">
        <f t="shared" si="13"/>
        <v>0</v>
      </c>
      <c r="Z273" s="9">
        <f>ROUND(T273 / 1.2, 2)</f>
        <v>0</v>
      </c>
      <c r="AA273" s="9">
        <f>Y273+Z273</f>
        <v>0</v>
      </c>
      <c r="AD273" s="4">
        <v>304337641</v>
      </c>
      <c r="AE273" s="4">
        <v>20300512</v>
      </c>
      <c r="AG273" s="4" t="s">
        <v>1107</v>
      </c>
      <c r="AH273" s="4" t="s">
        <v>1108</v>
      </c>
      <c r="AI273" s="4" t="s">
        <v>260</v>
      </c>
    </row>
    <row r="274" spans="1:35" ht="36" x14ac:dyDescent="0.3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30">
        <v>0</v>
      </c>
      <c r="J274" s="31">
        <v>260</v>
      </c>
      <c r="M274" s="32">
        <f>ROUND(ROUND(J274, 2)*I274, 2)</f>
        <v>0</v>
      </c>
      <c r="P274" s="31">
        <v>260</v>
      </c>
      <c r="S274" s="32">
        <f>ROUND(ROUND(P274, 2)*I274, 2)</f>
        <v>0</v>
      </c>
      <c r="V274" s="9">
        <f>ROUND(ROUND(P274, 2)/1.2, 2)</f>
        <v>216.67</v>
      </c>
      <c r="Y274" s="9">
        <f t="shared" si="13"/>
        <v>0</v>
      </c>
      <c r="AD274" s="4" t="s">
        <v>1130</v>
      </c>
      <c r="AE274" s="4" t="s">
        <v>1131</v>
      </c>
      <c r="AF274" s="4" t="s">
        <v>1115</v>
      </c>
    </row>
    <row r="275" spans="1:35" ht="1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3">
        <v>0</v>
      </c>
      <c r="J275" s="14">
        <f>IFERROR(ROUND(SUM(M276)/I275, 2),0)</f>
        <v>0</v>
      </c>
      <c r="K275" s="15">
        <v>1010</v>
      </c>
      <c r="L275" s="14">
        <f>J275+ROUND(K275, 2)</f>
        <v>1010</v>
      </c>
      <c r="M275" s="14">
        <f>ROUND(J275*I275, 2)</f>
        <v>0</v>
      </c>
      <c r="N275" s="14">
        <f>ROUND(I275*ROUND(K275, 2), 2)</f>
        <v>0</v>
      </c>
      <c r="O275" s="14">
        <f>M275+N275</f>
        <v>0</v>
      </c>
      <c r="P275" s="14">
        <f>IFERROR(ROUND(SUM(S276)/I275, 2),0)</f>
        <v>0</v>
      </c>
      <c r="Q275" s="15">
        <v>1010</v>
      </c>
      <c r="R275" s="14">
        <f>P275+ROUND(Q275, 2)</f>
        <v>1010</v>
      </c>
      <c r="S275" s="14">
        <f>ROUND(P275*I275, 2)</f>
        <v>0</v>
      </c>
      <c r="T275" s="14">
        <f>ROUND(I275*ROUND(Q275, 2), 2)</f>
        <v>0</v>
      </c>
      <c r="U275" s="14">
        <f>S275+T275</f>
        <v>0</v>
      </c>
      <c r="V275" s="9">
        <f>ROUND(P275 / 1.2, 2)</f>
        <v>0</v>
      </c>
      <c r="W275" s="9">
        <f>ROUND(Q275 / 1.2, 2)</f>
        <v>841.67</v>
      </c>
      <c r="X275" s="9">
        <f>ROUND(R275 / 1.2, 2)</f>
        <v>841.67</v>
      </c>
      <c r="Y275" s="9">
        <f t="shared" si="13"/>
        <v>0</v>
      </c>
      <c r="Z275" s="9">
        <f>ROUND(T275 / 1.2, 2)</f>
        <v>0</v>
      </c>
      <c r="AA275" s="9">
        <f>Y275+Z275</f>
        <v>0</v>
      </c>
      <c r="AD275" s="4">
        <v>304337642</v>
      </c>
      <c r="AE275" s="4">
        <v>20866627</v>
      </c>
      <c r="AG275" s="4" t="s">
        <v>1107</v>
      </c>
      <c r="AH275" s="4" t="s">
        <v>1108</v>
      </c>
      <c r="AI275" s="4" t="s">
        <v>260</v>
      </c>
    </row>
    <row r="276" spans="1:35" ht="36" x14ac:dyDescent="0.3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30">
        <v>0</v>
      </c>
      <c r="J276" s="31">
        <v>260</v>
      </c>
      <c r="M276" s="32">
        <f>ROUND(ROUND(J276, 2)*I276, 2)</f>
        <v>0</v>
      </c>
      <c r="P276" s="31">
        <v>260</v>
      </c>
      <c r="S276" s="32">
        <f>ROUND(ROUND(P276, 2)*I276, 2)</f>
        <v>0</v>
      </c>
      <c r="V276" s="9">
        <f>ROUND(ROUND(P276, 2)/1.2, 2)</f>
        <v>216.67</v>
      </c>
      <c r="Y276" s="9">
        <f t="shared" si="13"/>
        <v>0</v>
      </c>
      <c r="AD276" s="4" t="s">
        <v>1138</v>
      </c>
      <c r="AE276" s="4" t="s">
        <v>1139</v>
      </c>
      <c r="AF276" s="4" t="s">
        <v>1115</v>
      </c>
    </row>
    <row r="277" spans="1:35" ht="1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3">
        <v>0</v>
      </c>
      <c r="J277" s="14">
        <f>IFERROR(ROUND(SUM(M278)/I277, 2),0)</f>
        <v>0</v>
      </c>
      <c r="K277" s="15">
        <v>1010</v>
      </c>
      <c r="L277" s="14">
        <f>J277+ROUND(K277, 2)</f>
        <v>1010</v>
      </c>
      <c r="M277" s="14">
        <f>ROUND(J277*I277, 2)</f>
        <v>0</v>
      </c>
      <c r="N277" s="14">
        <f>ROUND(I277*ROUND(K277, 2), 2)</f>
        <v>0</v>
      </c>
      <c r="O277" s="14">
        <f>M277+N277</f>
        <v>0</v>
      </c>
      <c r="P277" s="14">
        <f>IFERROR(ROUND(SUM(S278)/I277, 2),0)</f>
        <v>0</v>
      </c>
      <c r="Q277" s="15">
        <v>1010</v>
      </c>
      <c r="R277" s="14">
        <f>P277+ROUND(Q277, 2)</f>
        <v>1010</v>
      </c>
      <c r="S277" s="14">
        <f>ROUND(P277*I277, 2)</f>
        <v>0</v>
      </c>
      <c r="T277" s="14">
        <f>ROUND(I277*ROUND(Q277, 2), 2)</f>
        <v>0</v>
      </c>
      <c r="U277" s="14">
        <f>S277+T277</f>
        <v>0</v>
      </c>
      <c r="V277" s="9">
        <f>ROUND(P277 / 1.2, 2)</f>
        <v>0</v>
      </c>
      <c r="W277" s="9">
        <f>ROUND(Q277 / 1.2, 2)</f>
        <v>841.67</v>
      </c>
      <c r="X277" s="9">
        <f>ROUND(R277 / 1.2, 2)</f>
        <v>841.67</v>
      </c>
      <c r="Y277" s="9">
        <f t="shared" si="13"/>
        <v>0</v>
      </c>
      <c r="Z277" s="9">
        <f>ROUND(T277 / 1.2, 2)</f>
        <v>0</v>
      </c>
      <c r="AA277" s="9">
        <f>Y277+Z277</f>
        <v>0</v>
      </c>
      <c r="AD277" s="4">
        <v>304337643</v>
      </c>
      <c r="AE277" s="4">
        <v>20866620</v>
      </c>
      <c r="AG277" s="4" t="s">
        <v>1107</v>
      </c>
      <c r="AH277" s="4" t="s">
        <v>1108</v>
      </c>
      <c r="AI277" s="4" t="s">
        <v>260</v>
      </c>
    </row>
    <row r="278" spans="1:35" ht="36" x14ac:dyDescent="0.3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30">
        <v>0</v>
      </c>
      <c r="J278" s="31">
        <v>260</v>
      </c>
      <c r="M278" s="32">
        <f>ROUND(ROUND(J278, 2)*I278, 2)</f>
        <v>0</v>
      </c>
      <c r="P278" s="31">
        <v>260</v>
      </c>
      <c r="S278" s="32">
        <f>ROUND(ROUND(P278, 2)*I278, 2)</f>
        <v>0</v>
      </c>
      <c r="V278" s="9">
        <f>ROUND(ROUND(P278, 2)/1.2, 2)</f>
        <v>216.67</v>
      </c>
      <c r="Y278" s="9">
        <f t="shared" si="13"/>
        <v>0</v>
      </c>
      <c r="AD278" s="4" t="s">
        <v>1146</v>
      </c>
      <c r="AE278" s="4" t="s">
        <v>1147</v>
      </c>
      <c r="AF278" s="4" t="s">
        <v>1115</v>
      </c>
    </row>
    <row r="279" spans="1:35" ht="1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3">
        <v>0</v>
      </c>
      <c r="J279" s="14">
        <f>IFERROR(ROUND(SUM(M280)/I279, 2),0)</f>
        <v>0</v>
      </c>
      <c r="K279" s="15">
        <v>1010</v>
      </c>
      <c r="L279" s="14">
        <f>J279+ROUND(K279, 2)</f>
        <v>1010</v>
      </c>
      <c r="M279" s="14">
        <f>ROUND(J279*I279, 2)</f>
        <v>0</v>
      </c>
      <c r="N279" s="14">
        <f>ROUND(I279*ROUND(K279, 2), 2)</f>
        <v>0</v>
      </c>
      <c r="O279" s="14">
        <f>M279+N279</f>
        <v>0</v>
      </c>
      <c r="P279" s="14">
        <f>IFERROR(ROUND(SUM(S280)/I279, 2),0)</f>
        <v>0</v>
      </c>
      <c r="Q279" s="15">
        <v>1010</v>
      </c>
      <c r="R279" s="14">
        <f>P279+ROUND(Q279, 2)</f>
        <v>1010</v>
      </c>
      <c r="S279" s="14">
        <f>ROUND(P279*I279, 2)</f>
        <v>0</v>
      </c>
      <c r="T279" s="14">
        <f>ROUND(I279*ROUND(Q279, 2), 2)</f>
        <v>0</v>
      </c>
      <c r="U279" s="14">
        <f>S279+T279</f>
        <v>0</v>
      </c>
      <c r="V279" s="9">
        <f>ROUND(P279 / 1.2, 2)</f>
        <v>0</v>
      </c>
      <c r="W279" s="9">
        <f>ROUND(Q279 / 1.2, 2)</f>
        <v>841.67</v>
      </c>
      <c r="X279" s="9">
        <f>ROUND(R279 / 1.2, 2)</f>
        <v>841.67</v>
      </c>
      <c r="Y279" s="9">
        <f t="shared" si="13"/>
        <v>0</v>
      </c>
      <c r="Z279" s="9">
        <f>ROUND(T279 / 1.2, 2)</f>
        <v>0</v>
      </c>
      <c r="AA279" s="9">
        <f>Y279+Z279</f>
        <v>0</v>
      </c>
      <c r="AD279" s="4">
        <v>304337644</v>
      </c>
      <c r="AE279" s="4">
        <v>21180286</v>
      </c>
      <c r="AG279" s="4" t="s">
        <v>1107</v>
      </c>
      <c r="AH279" s="4" t="s">
        <v>1108</v>
      </c>
      <c r="AI279" s="4" t="s">
        <v>260</v>
      </c>
    </row>
    <row r="280" spans="1:35" ht="36" x14ac:dyDescent="0.3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30">
        <v>0</v>
      </c>
      <c r="J280" s="31">
        <v>260</v>
      </c>
      <c r="M280" s="32">
        <f>ROUND(ROUND(J280, 2)*I280, 2)</f>
        <v>0</v>
      </c>
      <c r="P280" s="31">
        <v>260</v>
      </c>
      <c r="S280" s="32">
        <f>ROUND(ROUND(P280, 2)*I280, 2)</f>
        <v>0</v>
      </c>
      <c r="V280" s="9">
        <f>ROUND(ROUND(P280, 2)/1.2, 2)</f>
        <v>216.67</v>
      </c>
      <c r="Y280" s="9">
        <f t="shared" si="13"/>
        <v>0</v>
      </c>
      <c r="AD280" s="4" t="s">
        <v>1154</v>
      </c>
      <c r="AE280" s="4" t="s">
        <v>1155</v>
      </c>
      <c r="AF280" s="4" t="s">
        <v>1115</v>
      </c>
    </row>
    <row r="281" spans="1:35" ht="1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3">
        <v>0</v>
      </c>
      <c r="J281" s="14">
        <f>IFERROR(ROUND(SUM(M282)/I281, 2),0)</f>
        <v>0</v>
      </c>
      <c r="K281" s="15">
        <v>1010</v>
      </c>
      <c r="L281" s="14">
        <f>J281+ROUND(K281, 2)</f>
        <v>1010</v>
      </c>
      <c r="M281" s="14">
        <f>ROUND(J281*I281, 2)</f>
        <v>0</v>
      </c>
      <c r="N281" s="14">
        <f>ROUND(I281*ROUND(K281, 2), 2)</f>
        <v>0</v>
      </c>
      <c r="O281" s="14">
        <f>M281+N281</f>
        <v>0</v>
      </c>
      <c r="P281" s="14">
        <f>IFERROR(ROUND(SUM(S282)/I281, 2),0)</f>
        <v>0</v>
      </c>
      <c r="Q281" s="15">
        <v>1010</v>
      </c>
      <c r="R281" s="14">
        <f>P281+ROUND(Q281, 2)</f>
        <v>1010</v>
      </c>
      <c r="S281" s="14">
        <f>ROUND(P281*I281, 2)</f>
        <v>0</v>
      </c>
      <c r="T281" s="14">
        <f>ROUND(I281*ROUND(Q281, 2), 2)</f>
        <v>0</v>
      </c>
      <c r="U281" s="14">
        <f>S281+T281</f>
        <v>0</v>
      </c>
      <c r="V281" s="9">
        <f>ROUND(P281 / 1.2, 2)</f>
        <v>0</v>
      </c>
      <c r="W281" s="9">
        <f>ROUND(Q281 / 1.2, 2)</f>
        <v>841.67</v>
      </c>
      <c r="X281" s="9">
        <f>ROUND(R281 / 1.2, 2)</f>
        <v>841.67</v>
      </c>
      <c r="Y281" s="9">
        <f t="shared" si="13"/>
        <v>0</v>
      </c>
      <c r="Z281" s="9">
        <f>ROUND(T281 / 1.2, 2)</f>
        <v>0</v>
      </c>
      <c r="AA281" s="9">
        <f>Y281+Z281</f>
        <v>0</v>
      </c>
      <c r="AD281" s="4">
        <v>304337645</v>
      </c>
      <c r="AE281" s="4">
        <v>21180287</v>
      </c>
      <c r="AG281" s="4" t="s">
        <v>1107</v>
      </c>
      <c r="AH281" s="4" t="s">
        <v>1108</v>
      </c>
      <c r="AI281" s="4" t="s">
        <v>260</v>
      </c>
    </row>
    <row r="282" spans="1:35" ht="36" x14ac:dyDescent="0.3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30">
        <v>0</v>
      </c>
      <c r="J282" s="31">
        <v>260</v>
      </c>
      <c r="M282" s="32">
        <f>ROUND(ROUND(J282, 2)*I282, 2)</f>
        <v>0</v>
      </c>
      <c r="P282" s="31">
        <v>260</v>
      </c>
      <c r="S282" s="32">
        <f>ROUND(ROUND(P282, 2)*I282, 2)</f>
        <v>0</v>
      </c>
      <c r="V282" s="9">
        <f>ROUND(ROUND(P282, 2)/1.2, 2)</f>
        <v>216.67</v>
      </c>
      <c r="Y282" s="9">
        <f t="shared" si="13"/>
        <v>0</v>
      </c>
      <c r="AD282" s="4" t="s">
        <v>1162</v>
      </c>
      <c r="AE282" s="4" t="s">
        <v>1163</v>
      </c>
      <c r="AF282" s="4" t="s">
        <v>1115</v>
      </c>
    </row>
    <row r="283" spans="1:35" ht="1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3">
        <v>0</v>
      </c>
      <c r="J283" s="14">
        <f>IFERROR(ROUND(SUM(M284)/I283, 2),0)</f>
        <v>0</v>
      </c>
      <c r="K283" s="15">
        <v>1010</v>
      </c>
      <c r="L283" s="14">
        <f>J283+ROUND(K283, 2)</f>
        <v>1010</v>
      </c>
      <c r="M283" s="14">
        <f>ROUND(J283*I283, 2)</f>
        <v>0</v>
      </c>
      <c r="N283" s="14">
        <f>ROUND(I283*ROUND(K283, 2), 2)</f>
        <v>0</v>
      </c>
      <c r="O283" s="14">
        <f>M283+N283</f>
        <v>0</v>
      </c>
      <c r="P283" s="14">
        <f>IFERROR(ROUND(SUM(S284)/I283, 2),0)</f>
        <v>0</v>
      </c>
      <c r="Q283" s="16">
        <v>1515</v>
      </c>
      <c r="R283" s="14">
        <f>P283+ROUND(Q283, 2)</f>
        <v>1515</v>
      </c>
      <c r="S283" s="14">
        <f>ROUND(P283*I283, 2)</f>
        <v>0</v>
      </c>
      <c r="T283" s="14">
        <f>ROUND(I283*ROUND(Q283, 2), 2)</f>
        <v>0</v>
      </c>
      <c r="U283" s="14">
        <f>S283+T283</f>
        <v>0</v>
      </c>
      <c r="V283" s="9">
        <f>ROUND(P283 / 1.2, 2)</f>
        <v>0</v>
      </c>
      <c r="W283" s="9">
        <f>ROUND(Q283 / 1.2, 2)</f>
        <v>1262.5</v>
      </c>
      <c r="X283" s="9">
        <f>ROUND(R283 / 1.2, 2)</f>
        <v>1262.5</v>
      </c>
      <c r="Y283" s="9">
        <f t="shared" si="13"/>
        <v>0</v>
      </c>
      <c r="Z283" s="9">
        <f>ROUND(T283 / 1.2, 2)</f>
        <v>0</v>
      </c>
      <c r="AA283" s="9">
        <f>Y283+Z283</f>
        <v>0</v>
      </c>
      <c r="AD283" s="4">
        <v>304337646</v>
      </c>
      <c r="AE283" s="4">
        <v>21935177</v>
      </c>
      <c r="AG283" s="4" t="s">
        <v>1107</v>
      </c>
      <c r="AH283" s="4" t="s">
        <v>1108</v>
      </c>
      <c r="AI283" s="4" t="s">
        <v>260</v>
      </c>
    </row>
    <row r="284" spans="1:35" ht="36" x14ac:dyDescent="0.3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30">
        <v>0</v>
      </c>
      <c r="J284" s="31">
        <v>260</v>
      </c>
      <c r="M284" s="32">
        <f>ROUND(ROUND(J284, 2)*I284, 2)</f>
        <v>0</v>
      </c>
      <c r="P284" s="33">
        <v>260</v>
      </c>
      <c r="S284" s="32">
        <f>ROUND(ROUND(P284, 2)*I284, 2)</f>
        <v>0</v>
      </c>
      <c r="V284" s="9">
        <f>ROUND(ROUND(P284, 2)/1.2, 2)</f>
        <v>216.67</v>
      </c>
      <c r="Y284" s="9">
        <f t="shared" si="13"/>
        <v>0</v>
      </c>
      <c r="AD284" s="4" t="s">
        <v>1168</v>
      </c>
      <c r="AE284" s="4" t="s">
        <v>1169</v>
      </c>
      <c r="AF284" s="4" t="s">
        <v>1115</v>
      </c>
    </row>
    <row r="285" spans="1:35" ht="1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3">
        <v>0</v>
      </c>
      <c r="J285" s="14">
        <f>IFERROR(ROUND(SUM(M286)/I285, 2),0)</f>
        <v>0</v>
      </c>
      <c r="K285" s="15">
        <v>1010</v>
      </c>
      <c r="L285" s="14">
        <f>J285+ROUND(K285, 2)</f>
        <v>1010</v>
      </c>
      <c r="M285" s="14">
        <f>ROUND(J285*I285, 2)</f>
        <v>0</v>
      </c>
      <c r="N285" s="14">
        <f>ROUND(I285*ROUND(K285, 2), 2)</f>
        <v>0</v>
      </c>
      <c r="O285" s="14">
        <f>M285+N285</f>
        <v>0</v>
      </c>
      <c r="P285" s="14">
        <f>IFERROR(ROUND(SUM(S286)/I285, 2),0)</f>
        <v>0</v>
      </c>
      <c r="Q285" s="16">
        <v>1515</v>
      </c>
      <c r="R285" s="14">
        <f>P285+ROUND(Q285, 2)</f>
        <v>1515</v>
      </c>
      <c r="S285" s="14">
        <f>ROUND(P285*I285, 2)</f>
        <v>0</v>
      </c>
      <c r="T285" s="14">
        <f>ROUND(I285*ROUND(Q285, 2), 2)</f>
        <v>0</v>
      </c>
      <c r="U285" s="14">
        <f>S285+T285</f>
        <v>0</v>
      </c>
      <c r="V285" s="9">
        <f>ROUND(P285 / 1.2, 2)</f>
        <v>0</v>
      </c>
      <c r="W285" s="9">
        <f>ROUND(Q285 / 1.2, 2)</f>
        <v>1262.5</v>
      </c>
      <c r="X285" s="9">
        <f>ROUND(R285 / 1.2, 2)</f>
        <v>1262.5</v>
      </c>
      <c r="Y285" s="9">
        <f t="shared" si="13"/>
        <v>0</v>
      </c>
      <c r="Z285" s="9">
        <f>ROUND(T285 / 1.2, 2)</f>
        <v>0</v>
      </c>
      <c r="AA285" s="9">
        <f>Y285+Z285</f>
        <v>0</v>
      </c>
      <c r="AD285" s="4">
        <v>304337647</v>
      </c>
      <c r="AE285" s="4">
        <v>21935178</v>
      </c>
      <c r="AG285" s="4" t="s">
        <v>1107</v>
      </c>
      <c r="AH285" s="4" t="s">
        <v>1108</v>
      </c>
      <c r="AI285" s="4" t="s">
        <v>260</v>
      </c>
    </row>
    <row r="286" spans="1:35" ht="36" x14ac:dyDescent="0.3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30">
        <v>0</v>
      </c>
      <c r="J286" s="31">
        <v>260</v>
      </c>
      <c r="M286" s="32">
        <f>ROUND(ROUND(J286, 2)*I286, 2)</f>
        <v>0</v>
      </c>
      <c r="P286" s="33">
        <v>260</v>
      </c>
      <c r="S286" s="32">
        <f>ROUND(ROUND(P286, 2)*I286, 2)</f>
        <v>0</v>
      </c>
      <c r="V286" s="9">
        <f>ROUND(ROUND(P286, 2)/1.2, 2)</f>
        <v>216.67</v>
      </c>
      <c r="Y286" s="9">
        <f t="shared" si="13"/>
        <v>0</v>
      </c>
      <c r="AD286" s="4" t="s">
        <v>1172</v>
      </c>
      <c r="AE286" s="4" t="s">
        <v>1173</v>
      </c>
      <c r="AF286" s="4" t="s">
        <v>1115</v>
      </c>
    </row>
    <row r="287" spans="1:35" ht="1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3">
        <v>0</v>
      </c>
      <c r="J287" s="14">
        <f>IFERROR(ROUND(SUM(M288)/I287, 2),0)</f>
        <v>0</v>
      </c>
      <c r="K287" s="15">
        <v>1010</v>
      </c>
      <c r="L287" s="14">
        <f>J287+ROUND(K287, 2)</f>
        <v>1010</v>
      </c>
      <c r="M287" s="14">
        <f>ROUND(J287*I287, 2)</f>
        <v>0</v>
      </c>
      <c r="N287" s="14">
        <f>ROUND(I287*ROUND(K287, 2), 2)</f>
        <v>0</v>
      </c>
      <c r="O287" s="14">
        <f>M287+N287</f>
        <v>0</v>
      </c>
      <c r="P287" s="14">
        <f>IFERROR(ROUND(SUM(S288)/I287, 2),0)</f>
        <v>0</v>
      </c>
      <c r="Q287" s="16">
        <v>1515</v>
      </c>
      <c r="R287" s="14">
        <f>P287+ROUND(Q287, 2)</f>
        <v>1515</v>
      </c>
      <c r="S287" s="14">
        <f>ROUND(P287*I287, 2)</f>
        <v>0</v>
      </c>
      <c r="T287" s="14">
        <f>ROUND(I287*ROUND(Q287, 2), 2)</f>
        <v>0</v>
      </c>
      <c r="U287" s="14">
        <f>S287+T287</f>
        <v>0</v>
      </c>
      <c r="V287" s="9">
        <f>ROUND(P287 / 1.2, 2)</f>
        <v>0</v>
      </c>
      <c r="W287" s="9">
        <f>ROUND(Q287 / 1.2, 2)</f>
        <v>1262.5</v>
      </c>
      <c r="X287" s="9">
        <f>ROUND(R287 / 1.2, 2)</f>
        <v>1262.5</v>
      </c>
      <c r="Y287" s="9">
        <f t="shared" si="13"/>
        <v>0</v>
      </c>
      <c r="Z287" s="9">
        <f>ROUND(T287 / 1.2, 2)</f>
        <v>0</v>
      </c>
      <c r="AA287" s="9">
        <f>Y287+Z287</f>
        <v>0</v>
      </c>
      <c r="AD287" s="4">
        <v>304337648</v>
      </c>
      <c r="AE287" s="4">
        <v>21935179</v>
      </c>
      <c r="AG287" s="4" t="s">
        <v>1107</v>
      </c>
      <c r="AH287" s="4" t="s">
        <v>1108</v>
      </c>
      <c r="AI287" s="4" t="s">
        <v>260</v>
      </c>
    </row>
    <row r="288" spans="1:35" ht="36" x14ac:dyDescent="0.3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30">
        <v>0</v>
      </c>
      <c r="J288" s="31">
        <v>260</v>
      </c>
      <c r="M288" s="32">
        <f>ROUND(ROUND(J288, 2)*I288, 2)</f>
        <v>0</v>
      </c>
      <c r="P288" s="33">
        <v>260</v>
      </c>
      <c r="S288" s="32">
        <f>ROUND(ROUND(P288, 2)*I288, 2)</f>
        <v>0</v>
      </c>
      <c r="V288" s="9">
        <f>ROUND(ROUND(P288, 2)/1.2, 2)</f>
        <v>216.67</v>
      </c>
      <c r="Y288" s="9">
        <f t="shared" si="13"/>
        <v>0</v>
      </c>
      <c r="AD288" s="4" t="s">
        <v>1176</v>
      </c>
      <c r="AE288" s="4" t="s">
        <v>1177</v>
      </c>
      <c r="AF288" s="4" t="s">
        <v>1115</v>
      </c>
    </row>
    <row r="289" spans="1:35" ht="1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3">
        <v>195.1</v>
      </c>
      <c r="J289" s="14">
        <f>IFERROR(ROUND(SUM(M290)/I289, 2),0)</f>
        <v>390</v>
      </c>
      <c r="K289" s="15">
        <v>1010</v>
      </c>
      <c r="L289" s="14">
        <f>J289+ROUND(K289, 2)</f>
        <v>1400</v>
      </c>
      <c r="M289" s="14">
        <f>ROUND(J289*I289, 2)</f>
        <v>76089</v>
      </c>
      <c r="N289" s="14">
        <f>ROUND(I289*ROUND(K289, 2), 2)</f>
        <v>197051</v>
      </c>
      <c r="O289" s="14">
        <f>M289+N289</f>
        <v>273140</v>
      </c>
      <c r="P289" s="14">
        <f>IFERROR(ROUND(SUM(S290)/I289, 2),0)</f>
        <v>390</v>
      </c>
      <c r="Q289" s="16">
        <v>1515</v>
      </c>
      <c r="R289" s="14">
        <f>P289+ROUND(Q289, 2)</f>
        <v>1905</v>
      </c>
      <c r="S289" s="14">
        <f>ROUND(P289*I289, 2)</f>
        <v>76089</v>
      </c>
      <c r="T289" s="14">
        <f>ROUND(I289*ROUND(Q289, 2), 2)</f>
        <v>295576.5</v>
      </c>
      <c r="U289" s="14">
        <f>S289+T289</f>
        <v>371665.5</v>
      </c>
      <c r="V289" s="9">
        <f>ROUND(P289 / 1.2, 2)</f>
        <v>325</v>
      </c>
      <c r="W289" s="9">
        <f>ROUND(Q289 / 1.2, 2)</f>
        <v>1262.5</v>
      </c>
      <c r="X289" s="9">
        <f>ROUND(R289 / 1.2, 2)</f>
        <v>1587.5</v>
      </c>
      <c r="Y289" s="9">
        <f t="shared" si="13"/>
        <v>63407.5</v>
      </c>
      <c r="Z289" s="9">
        <f>ROUND(T289 / 1.2, 2)</f>
        <v>246313.75</v>
      </c>
      <c r="AA289" s="9">
        <f>Y289+Z289</f>
        <v>309721.25</v>
      </c>
      <c r="AD289" s="4">
        <v>304337649</v>
      </c>
      <c r="AE289" s="4">
        <v>21950058</v>
      </c>
      <c r="AG289" s="4" t="s">
        <v>1107</v>
      </c>
      <c r="AH289" s="4" t="s">
        <v>1108</v>
      </c>
      <c r="AI289" s="4" t="s">
        <v>260</v>
      </c>
    </row>
    <row r="290" spans="1:35" ht="36" x14ac:dyDescent="0.3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30">
        <v>292.64999999999998</v>
      </c>
      <c r="J290" s="31">
        <v>260</v>
      </c>
      <c r="M290" s="32">
        <f>ROUND(ROUND(J290, 2)*I290, 2)</f>
        <v>76089</v>
      </c>
      <c r="P290" s="33">
        <v>260</v>
      </c>
      <c r="S290" s="32">
        <f>ROUND(ROUND(P290, 2)*I290, 2)</f>
        <v>76089</v>
      </c>
      <c r="V290" s="9">
        <f>ROUND(ROUND(P290, 2)/1.2, 2)</f>
        <v>216.67</v>
      </c>
      <c r="Y290" s="9">
        <f t="shared" si="13"/>
        <v>63407.5</v>
      </c>
      <c r="AD290" s="4" t="s">
        <v>1180</v>
      </c>
      <c r="AE290" s="4" t="s">
        <v>1181</v>
      </c>
      <c r="AF290" s="4" t="s">
        <v>1115</v>
      </c>
    </row>
    <row r="291" spans="1:35" ht="1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3">
        <v>23.1</v>
      </c>
      <c r="J291" s="14">
        <f>IFERROR(ROUND(SUM(M292)/I291, 2),0)</f>
        <v>390</v>
      </c>
      <c r="K291" s="15">
        <v>1010</v>
      </c>
      <c r="L291" s="14">
        <f>J291+ROUND(K291, 2)</f>
        <v>1400</v>
      </c>
      <c r="M291" s="14">
        <f>ROUND(J291*I291, 2)</f>
        <v>9009</v>
      </c>
      <c r="N291" s="14">
        <f>ROUND(I291*ROUND(K291, 2), 2)</f>
        <v>23331</v>
      </c>
      <c r="O291" s="14">
        <f>M291+N291</f>
        <v>32340</v>
      </c>
      <c r="P291" s="14">
        <f>IFERROR(ROUND(SUM(S292)/I291, 2),0)</f>
        <v>390</v>
      </c>
      <c r="Q291" s="16">
        <v>1515</v>
      </c>
      <c r="R291" s="14">
        <f>P291+ROUND(Q291, 2)</f>
        <v>1905</v>
      </c>
      <c r="S291" s="14">
        <f>ROUND(P291*I291, 2)</f>
        <v>9009</v>
      </c>
      <c r="T291" s="14">
        <f>ROUND(I291*ROUND(Q291, 2), 2)</f>
        <v>34996.5</v>
      </c>
      <c r="U291" s="14">
        <f>S291+T291</f>
        <v>44005.5</v>
      </c>
      <c r="V291" s="9">
        <f>ROUND(P291 / 1.2, 2)</f>
        <v>325</v>
      </c>
      <c r="W291" s="9">
        <f>ROUND(Q291 / 1.2, 2)</f>
        <v>1262.5</v>
      </c>
      <c r="X291" s="9">
        <f>ROUND(R291 / 1.2, 2)</f>
        <v>1587.5</v>
      </c>
      <c r="Y291" s="9">
        <f t="shared" si="13"/>
        <v>7507.5</v>
      </c>
      <c r="Z291" s="9">
        <f>ROUND(T291 / 1.2, 2)</f>
        <v>29163.75</v>
      </c>
      <c r="AA291" s="9">
        <f>Y291+Z291</f>
        <v>36671.25</v>
      </c>
      <c r="AD291" s="4">
        <v>304337650</v>
      </c>
      <c r="AE291" s="4">
        <v>21950071</v>
      </c>
      <c r="AG291" s="4" t="s">
        <v>1107</v>
      </c>
      <c r="AH291" s="4" t="s">
        <v>1108</v>
      </c>
      <c r="AI291" s="4" t="s">
        <v>260</v>
      </c>
    </row>
    <row r="292" spans="1:35" ht="36" x14ac:dyDescent="0.3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30">
        <v>34.65</v>
      </c>
      <c r="J292" s="31">
        <v>260</v>
      </c>
      <c r="M292" s="32">
        <f>ROUND(ROUND(J292, 2)*I292, 2)</f>
        <v>9009</v>
      </c>
      <c r="P292" s="33">
        <v>260</v>
      </c>
      <c r="S292" s="32">
        <f>ROUND(ROUND(P292, 2)*I292, 2)</f>
        <v>9009</v>
      </c>
      <c r="V292" s="9">
        <f>ROUND(ROUND(P292, 2)/1.2, 2)</f>
        <v>216.67</v>
      </c>
      <c r="Y292" s="9">
        <f t="shared" si="13"/>
        <v>7507.5</v>
      </c>
      <c r="AD292" s="4" t="s">
        <v>1184</v>
      </c>
      <c r="AE292" s="4" t="s">
        <v>1185</v>
      </c>
      <c r="AF292" s="4" t="s">
        <v>1115</v>
      </c>
    </row>
    <row r="293" spans="1:35" ht="1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3">
        <v>75</v>
      </c>
      <c r="J293" s="14">
        <f>IFERROR(ROUND(SUM(M294)/I293, 2),0)</f>
        <v>390</v>
      </c>
      <c r="K293" s="15">
        <v>1010</v>
      </c>
      <c r="L293" s="14">
        <f>J293+ROUND(K293, 2)</f>
        <v>1400</v>
      </c>
      <c r="M293" s="14">
        <f>ROUND(J293*I293, 2)</f>
        <v>29250</v>
      </c>
      <c r="N293" s="14">
        <f>ROUND(I293*ROUND(K293, 2), 2)</f>
        <v>75750</v>
      </c>
      <c r="O293" s="14">
        <f>M293+N293</f>
        <v>105000</v>
      </c>
      <c r="P293" s="14">
        <f>IFERROR(ROUND(SUM(S294)/I293, 2),0)</f>
        <v>390</v>
      </c>
      <c r="Q293" s="16">
        <v>1515</v>
      </c>
      <c r="R293" s="14">
        <f>P293+ROUND(Q293, 2)</f>
        <v>1905</v>
      </c>
      <c r="S293" s="14">
        <f>ROUND(P293*I293, 2)</f>
        <v>29250</v>
      </c>
      <c r="T293" s="14">
        <f>ROUND(I293*ROUND(Q293, 2), 2)</f>
        <v>113625</v>
      </c>
      <c r="U293" s="14">
        <f>S293+T293</f>
        <v>142875</v>
      </c>
      <c r="V293" s="9">
        <f>ROUND(P293 / 1.2, 2)</f>
        <v>325</v>
      </c>
      <c r="W293" s="9">
        <f>ROUND(Q293 / 1.2, 2)</f>
        <v>1262.5</v>
      </c>
      <c r="X293" s="9">
        <f>ROUND(R293 / 1.2, 2)</f>
        <v>1587.5</v>
      </c>
      <c r="Y293" s="9">
        <f t="shared" si="13"/>
        <v>24375</v>
      </c>
      <c r="Z293" s="9">
        <f>ROUND(T293 / 1.2, 2)</f>
        <v>94687.5</v>
      </c>
      <c r="AA293" s="9">
        <f>Y293+Z293</f>
        <v>119062.5</v>
      </c>
      <c r="AD293" s="4">
        <v>304337651</v>
      </c>
      <c r="AE293" s="4">
        <v>21950059</v>
      </c>
      <c r="AG293" s="4" t="s">
        <v>1107</v>
      </c>
      <c r="AH293" s="4" t="s">
        <v>1108</v>
      </c>
      <c r="AI293" s="4" t="s">
        <v>260</v>
      </c>
    </row>
    <row r="294" spans="1:35" ht="36" x14ac:dyDescent="0.3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30">
        <v>112.5</v>
      </c>
      <c r="J294" s="31">
        <v>260</v>
      </c>
      <c r="M294" s="32">
        <f>ROUND(ROUND(J294, 2)*I294, 2)</f>
        <v>29250</v>
      </c>
      <c r="P294" s="33">
        <v>260</v>
      </c>
      <c r="S294" s="32">
        <f>ROUND(ROUND(P294, 2)*I294, 2)</f>
        <v>29250</v>
      </c>
      <c r="V294" s="9">
        <f>ROUND(ROUND(P294, 2)/1.2, 2)</f>
        <v>216.67</v>
      </c>
      <c r="Y294" s="9">
        <f t="shared" si="13"/>
        <v>24375</v>
      </c>
      <c r="AD294" s="4" t="s">
        <v>1188</v>
      </c>
      <c r="AE294" s="4" t="s">
        <v>1189</v>
      </c>
      <c r="AF294" s="4" t="s">
        <v>1115</v>
      </c>
    </row>
    <row r="295" spans="1:35" ht="1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3">
        <v>41.8</v>
      </c>
      <c r="J295" s="14">
        <f>IFERROR(ROUND(SUM(M296)/I295, 2),0)</f>
        <v>390</v>
      </c>
      <c r="K295" s="15">
        <v>1010</v>
      </c>
      <c r="L295" s="14">
        <f>J295+ROUND(K295, 2)</f>
        <v>1400</v>
      </c>
      <c r="M295" s="14">
        <f>ROUND(J295*I295, 2)</f>
        <v>16302</v>
      </c>
      <c r="N295" s="14">
        <f>ROUND(I295*ROUND(K295, 2), 2)</f>
        <v>42218</v>
      </c>
      <c r="O295" s="14">
        <f>M295+N295</f>
        <v>58520</v>
      </c>
      <c r="P295" s="14">
        <f>IFERROR(ROUND(SUM(S296)/I295, 2),0)</f>
        <v>390</v>
      </c>
      <c r="Q295" s="16">
        <v>1515</v>
      </c>
      <c r="R295" s="14">
        <f>P295+ROUND(Q295, 2)</f>
        <v>1905</v>
      </c>
      <c r="S295" s="14">
        <f>ROUND(P295*I295, 2)</f>
        <v>16302</v>
      </c>
      <c r="T295" s="14">
        <f>ROUND(I295*ROUND(Q295, 2), 2)</f>
        <v>63327</v>
      </c>
      <c r="U295" s="14">
        <f>S295+T295</f>
        <v>79629</v>
      </c>
      <c r="V295" s="9">
        <f>ROUND(P295 / 1.2, 2)</f>
        <v>325</v>
      </c>
      <c r="W295" s="9">
        <f>ROUND(Q295 / 1.2, 2)</f>
        <v>1262.5</v>
      </c>
      <c r="X295" s="9">
        <f>ROUND(R295 / 1.2, 2)</f>
        <v>1587.5</v>
      </c>
      <c r="Y295" s="9">
        <f t="shared" si="13"/>
        <v>13585</v>
      </c>
      <c r="Z295" s="9">
        <f>ROUND(T295 / 1.2, 2)</f>
        <v>52772.5</v>
      </c>
      <c r="AA295" s="9">
        <f>Y295+Z295</f>
        <v>66357.5</v>
      </c>
      <c r="AD295" s="4">
        <v>304337652</v>
      </c>
      <c r="AE295" s="4">
        <v>21950072</v>
      </c>
      <c r="AG295" s="4" t="s">
        <v>1107</v>
      </c>
      <c r="AH295" s="4" t="s">
        <v>1108</v>
      </c>
      <c r="AI295" s="4" t="s">
        <v>260</v>
      </c>
    </row>
    <row r="296" spans="1:35" ht="36" x14ac:dyDescent="0.3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30">
        <v>62.7</v>
      </c>
      <c r="J296" s="31">
        <v>260</v>
      </c>
      <c r="M296" s="32">
        <f>ROUND(ROUND(J296, 2)*I296, 2)</f>
        <v>16302</v>
      </c>
      <c r="P296" s="33">
        <v>260</v>
      </c>
      <c r="S296" s="32">
        <f>ROUND(ROUND(P296, 2)*I296, 2)</f>
        <v>16302</v>
      </c>
      <c r="V296" s="9">
        <f>ROUND(ROUND(P296, 2)/1.2, 2)</f>
        <v>216.67</v>
      </c>
      <c r="Y296" s="9">
        <f t="shared" si="13"/>
        <v>13585</v>
      </c>
      <c r="AD296" s="4" t="s">
        <v>1192</v>
      </c>
      <c r="AE296" s="4" t="s">
        <v>1193</v>
      </c>
      <c r="AF296" s="4" t="s">
        <v>1115</v>
      </c>
    </row>
    <row r="297" spans="1:35" ht="1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3">
        <v>25.2</v>
      </c>
      <c r="J297" s="14">
        <f>IFERROR(ROUND(SUM(M298)/I297, 2),0)</f>
        <v>390</v>
      </c>
      <c r="K297" s="15">
        <v>1010</v>
      </c>
      <c r="L297" s="14">
        <f>J297+ROUND(K297, 2)</f>
        <v>1400</v>
      </c>
      <c r="M297" s="14">
        <f>ROUND(J297*I297, 2)</f>
        <v>9828</v>
      </c>
      <c r="N297" s="14">
        <f>ROUND(I297*ROUND(K297, 2), 2)</f>
        <v>25452</v>
      </c>
      <c r="O297" s="14">
        <f>M297+N297</f>
        <v>35280</v>
      </c>
      <c r="P297" s="14">
        <f>IFERROR(ROUND(SUM(S298)/I297, 2),0)</f>
        <v>390</v>
      </c>
      <c r="Q297" s="16">
        <v>1515</v>
      </c>
      <c r="R297" s="14">
        <f>P297+ROUND(Q297, 2)</f>
        <v>1905</v>
      </c>
      <c r="S297" s="14">
        <f>ROUND(P297*I297, 2)</f>
        <v>9828</v>
      </c>
      <c r="T297" s="14">
        <f>ROUND(I297*ROUND(Q297, 2), 2)</f>
        <v>38178</v>
      </c>
      <c r="U297" s="14">
        <f>S297+T297</f>
        <v>48006</v>
      </c>
      <c r="V297" s="9">
        <f>ROUND(P297 / 1.2, 2)</f>
        <v>325</v>
      </c>
      <c r="W297" s="9">
        <f>ROUND(Q297 / 1.2, 2)</f>
        <v>1262.5</v>
      </c>
      <c r="X297" s="9">
        <f>ROUND(R297 / 1.2, 2)</f>
        <v>1587.5</v>
      </c>
      <c r="Y297" s="9">
        <f t="shared" si="13"/>
        <v>8190</v>
      </c>
      <c r="Z297" s="9">
        <f>ROUND(T297 / 1.2, 2)</f>
        <v>31815</v>
      </c>
      <c r="AA297" s="9">
        <f>Y297+Z297</f>
        <v>40005</v>
      </c>
      <c r="AD297" s="4">
        <v>304337653</v>
      </c>
      <c r="AE297" s="4">
        <v>21950030</v>
      </c>
      <c r="AG297" s="4" t="s">
        <v>1107</v>
      </c>
      <c r="AH297" s="4" t="s">
        <v>1108</v>
      </c>
      <c r="AI297" s="4" t="s">
        <v>260</v>
      </c>
    </row>
    <row r="298" spans="1:35" ht="36" x14ac:dyDescent="0.3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30">
        <v>37.799999999999997</v>
      </c>
      <c r="J298" s="31">
        <v>260</v>
      </c>
      <c r="M298" s="32">
        <f>ROUND(ROUND(J298, 2)*I298, 2)</f>
        <v>9828</v>
      </c>
      <c r="P298" s="33">
        <v>260</v>
      </c>
      <c r="S298" s="32">
        <f>ROUND(ROUND(P298, 2)*I298, 2)</f>
        <v>9828</v>
      </c>
      <c r="V298" s="9">
        <f>ROUND(ROUND(P298, 2)/1.2, 2)</f>
        <v>216.67</v>
      </c>
      <c r="Y298" s="9">
        <f t="shared" si="13"/>
        <v>8190</v>
      </c>
      <c r="AD298" s="4" t="s">
        <v>1196</v>
      </c>
      <c r="AE298" s="4" t="s">
        <v>1197</v>
      </c>
      <c r="AF298" s="4" t="s">
        <v>1115</v>
      </c>
    </row>
    <row r="299" spans="1:35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3">
        <v>9.3000000000000007</v>
      </c>
      <c r="J299" s="14">
        <f>IFERROR(ROUND(SUM(M300)/I299, 2),0)</f>
        <v>390</v>
      </c>
      <c r="K299" s="15">
        <v>1010</v>
      </c>
      <c r="L299" s="14">
        <f>J299+ROUND(K299, 2)</f>
        <v>1400</v>
      </c>
      <c r="M299" s="14">
        <f>ROUND(J299*I299, 2)</f>
        <v>3627</v>
      </c>
      <c r="N299" s="14">
        <f>ROUND(I299*ROUND(K299, 2), 2)</f>
        <v>9393</v>
      </c>
      <c r="O299" s="14">
        <f>M299+N299</f>
        <v>13020</v>
      </c>
      <c r="P299" s="14">
        <f>IFERROR(ROUND(SUM(S300)/I299, 2),0)</f>
        <v>390</v>
      </c>
      <c r="Q299" s="16">
        <v>1515</v>
      </c>
      <c r="R299" s="14">
        <f>P299+ROUND(Q299, 2)</f>
        <v>1905</v>
      </c>
      <c r="S299" s="14">
        <f>ROUND(P299*I299, 2)</f>
        <v>3627</v>
      </c>
      <c r="T299" s="14">
        <f>ROUND(I299*ROUND(Q299, 2), 2)</f>
        <v>14089.5</v>
      </c>
      <c r="U299" s="14">
        <f>S299+T299</f>
        <v>17716.5</v>
      </c>
      <c r="V299" s="9">
        <f>ROUND(P299 / 1.2, 2)</f>
        <v>325</v>
      </c>
      <c r="W299" s="9">
        <f>ROUND(Q299 / 1.2, 2)</f>
        <v>1262.5</v>
      </c>
      <c r="X299" s="9">
        <f>ROUND(R299 / 1.2, 2)</f>
        <v>1587.5</v>
      </c>
      <c r="Y299" s="9">
        <f t="shared" si="13"/>
        <v>3022.5</v>
      </c>
      <c r="Z299" s="9">
        <f>ROUND(T299 / 1.2, 2)</f>
        <v>11741.25</v>
      </c>
      <c r="AA299" s="9">
        <f>Y299+Z299</f>
        <v>14763.75</v>
      </c>
      <c r="AD299" s="4">
        <v>304337654</v>
      </c>
      <c r="AE299" s="4">
        <v>21950053</v>
      </c>
      <c r="AG299" s="4" t="s">
        <v>1107</v>
      </c>
      <c r="AH299" s="4" t="s">
        <v>1108</v>
      </c>
      <c r="AI299" s="4" t="s">
        <v>260</v>
      </c>
    </row>
    <row r="300" spans="1:35" ht="36" x14ac:dyDescent="0.3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30">
        <v>13.95</v>
      </c>
      <c r="J300" s="31">
        <v>260</v>
      </c>
      <c r="M300" s="32">
        <f>ROUND(ROUND(J300, 2)*I300, 2)</f>
        <v>3627</v>
      </c>
      <c r="P300" s="33">
        <v>260</v>
      </c>
      <c r="S300" s="32">
        <f>ROUND(ROUND(P300, 2)*I300, 2)</f>
        <v>3627</v>
      </c>
      <c r="V300" s="9">
        <f>ROUND(ROUND(P300, 2)/1.2, 2)</f>
        <v>216.67</v>
      </c>
      <c r="Y300" s="9">
        <f t="shared" si="13"/>
        <v>3022.5</v>
      </c>
      <c r="AD300" s="4" t="s">
        <v>1200</v>
      </c>
      <c r="AE300" s="4" t="s">
        <v>1201</v>
      </c>
      <c r="AF300" s="4" t="s">
        <v>1115</v>
      </c>
    </row>
    <row r="301" spans="1:35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3">
        <v>9.4</v>
      </c>
      <c r="J301" s="14">
        <f>IFERROR(ROUND(SUM(M302)/I301, 2),0)</f>
        <v>390</v>
      </c>
      <c r="K301" s="15">
        <v>1010</v>
      </c>
      <c r="L301" s="14">
        <f>J301+ROUND(K301, 2)</f>
        <v>1400</v>
      </c>
      <c r="M301" s="14">
        <f>ROUND(J301*I301, 2)</f>
        <v>3666</v>
      </c>
      <c r="N301" s="14">
        <f>ROUND(I301*ROUND(K301, 2), 2)</f>
        <v>9494</v>
      </c>
      <c r="O301" s="14">
        <f>M301+N301</f>
        <v>13160</v>
      </c>
      <c r="P301" s="14">
        <f>IFERROR(ROUND(SUM(S302)/I301, 2),0)</f>
        <v>390</v>
      </c>
      <c r="Q301" s="16">
        <v>1515</v>
      </c>
      <c r="R301" s="14">
        <f>P301+ROUND(Q301, 2)</f>
        <v>1905</v>
      </c>
      <c r="S301" s="14">
        <f>ROUND(P301*I301, 2)</f>
        <v>3666</v>
      </c>
      <c r="T301" s="14">
        <f>ROUND(I301*ROUND(Q301, 2), 2)</f>
        <v>14241</v>
      </c>
      <c r="U301" s="14">
        <f>S301+T301</f>
        <v>17907</v>
      </c>
      <c r="V301" s="9">
        <f>ROUND(P301 / 1.2, 2)</f>
        <v>325</v>
      </c>
      <c r="W301" s="9">
        <f>ROUND(Q301 / 1.2, 2)</f>
        <v>1262.5</v>
      </c>
      <c r="X301" s="9">
        <f>ROUND(R301 / 1.2, 2)</f>
        <v>1587.5</v>
      </c>
      <c r="Y301" s="9">
        <f t="shared" si="13"/>
        <v>3055</v>
      </c>
      <c r="Z301" s="9">
        <f>ROUND(T301 / 1.2, 2)</f>
        <v>11867.5</v>
      </c>
      <c r="AA301" s="9">
        <f>Y301+Z301</f>
        <v>14922.5</v>
      </c>
      <c r="AD301" s="4">
        <v>304337655</v>
      </c>
      <c r="AE301" s="4">
        <v>21950057</v>
      </c>
      <c r="AG301" s="4" t="s">
        <v>1107</v>
      </c>
      <c r="AH301" s="4" t="s">
        <v>1108</v>
      </c>
      <c r="AI301" s="4" t="s">
        <v>260</v>
      </c>
    </row>
    <row r="302" spans="1:35" ht="36" x14ac:dyDescent="0.3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30">
        <v>14.1</v>
      </c>
      <c r="J302" s="31">
        <v>260</v>
      </c>
      <c r="M302" s="32">
        <f>ROUND(ROUND(J302, 2)*I302, 2)</f>
        <v>3666</v>
      </c>
      <c r="P302" s="33">
        <v>260</v>
      </c>
      <c r="S302" s="32">
        <f>ROUND(ROUND(P302, 2)*I302, 2)</f>
        <v>3666</v>
      </c>
      <c r="V302" s="9">
        <f>ROUND(ROUND(P302, 2)/1.2, 2)</f>
        <v>216.67</v>
      </c>
      <c r="Y302" s="9">
        <f t="shared" ref="Y302:Y333" si="14">ROUND(S302 / 1.2, 2)</f>
        <v>3055</v>
      </c>
      <c r="AD302" s="4" t="s">
        <v>1204</v>
      </c>
      <c r="AE302" s="4" t="s">
        <v>1205</v>
      </c>
      <c r="AF302" s="4" t="s">
        <v>1115</v>
      </c>
    </row>
    <row r="303" spans="1:35" ht="1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3">
        <v>0</v>
      </c>
      <c r="J303" s="14">
        <f>IFERROR(ROUND(SUM(M304)/I303, 2),0)</f>
        <v>0</v>
      </c>
      <c r="K303" s="15">
        <v>1010</v>
      </c>
      <c r="L303" s="14">
        <f>J303+ROUND(K303, 2)</f>
        <v>1010</v>
      </c>
      <c r="M303" s="14">
        <f>ROUND(J303*I303, 2)</f>
        <v>0</v>
      </c>
      <c r="N303" s="14">
        <f>ROUND(I303*ROUND(K303, 2), 2)</f>
        <v>0</v>
      </c>
      <c r="O303" s="14">
        <f>M303+N303</f>
        <v>0</v>
      </c>
      <c r="P303" s="14">
        <f>IFERROR(ROUND(SUM(S304)/I303, 2),0)</f>
        <v>0</v>
      </c>
      <c r="Q303" s="16">
        <v>1515</v>
      </c>
      <c r="R303" s="14">
        <f>P303+ROUND(Q303, 2)</f>
        <v>1515</v>
      </c>
      <c r="S303" s="14">
        <f>ROUND(P303*I303, 2)</f>
        <v>0</v>
      </c>
      <c r="T303" s="14">
        <f>ROUND(I303*ROUND(Q303, 2), 2)</f>
        <v>0</v>
      </c>
      <c r="U303" s="14">
        <f>S303+T303</f>
        <v>0</v>
      </c>
      <c r="V303" s="9">
        <f>ROUND(P303 / 1.2, 2)</f>
        <v>0</v>
      </c>
      <c r="W303" s="9">
        <f>ROUND(Q303 / 1.2, 2)</f>
        <v>1262.5</v>
      </c>
      <c r="X303" s="9">
        <f>ROUND(R303 / 1.2, 2)</f>
        <v>1262.5</v>
      </c>
      <c r="Y303" s="9">
        <f t="shared" si="14"/>
        <v>0</v>
      </c>
      <c r="Z303" s="9">
        <f>ROUND(T303 / 1.2, 2)</f>
        <v>0</v>
      </c>
      <c r="AA303" s="9">
        <f>Y303+Z303</f>
        <v>0</v>
      </c>
      <c r="AD303" s="4">
        <v>304337656</v>
      </c>
      <c r="AE303" s="4">
        <v>21950015</v>
      </c>
      <c r="AG303" s="4" t="s">
        <v>1107</v>
      </c>
      <c r="AH303" s="4" t="s">
        <v>1108</v>
      </c>
      <c r="AI303" s="4" t="s">
        <v>260</v>
      </c>
    </row>
    <row r="304" spans="1:35" ht="36" x14ac:dyDescent="0.3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30">
        <v>0</v>
      </c>
      <c r="J304" s="31">
        <v>260</v>
      </c>
      <c r="M304" s="32">
        <f>ROUND(ROUND(J304, 2)*I304, 2)</f>
        <v>0</v>
      </c>
      <c r="P304" s="33">
        <v>260</v>
      </c>
      <c r="S304" s="32">
        <f>ROUND(ROUND(P304, 2)*I304, 2)</f>
        <v>0</v>
      </c>
      <c r="V304" s="9">
        <f>ROUND(ROUND(P304, 2)/1.2, 2)</f>
        <v>216.67</v>
      </c>
      <c r="Y304" s="9">
        <f t="shared" si="14"/>
        <v>0</v>
      </c>
      <c r="AD304" s="4" t="s">
        <v>1208</v>
      </c>
      <c r="AE304" s="4" t="s">
        <v>1209</v>
      </c>
      <c r="AF304" s="4" t="s">
        <v>1115</v>
      </c>
    </row>
    <row r="305" spans="1:35" ht="1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3">
        <v>0</v>
      </c>
      <c r="J305" s="14">
        <f>IFERROR(ROUND(SUM(M306)/I305, 2),0)</f>
        <v>0</v>
      </c>
      <c r="K305" s="15">
        <v>1010</v>
      </c>
      <c r="L305" s="14">
        <f>J305+ROUND(K305, 2)</f>
        <v>1010</v>
      </c>
      <c r="M305" s="14">
        <f>ROUND(J305*I305, 2)</f>
        <v>0</v>
      </c>
      <c r="N305" s="14">
        <f>ROUND(I305*ROUND(K305, 2), 2)</f>
        <v>0</v>
      </c>
      <c r="O305" s="14">
        <f>M305+N305</f>
        <v>0</v>
      </c>
      <c r="P305" s="14">
        <f>IFERROR(ROUND(SUM(S306)/I305, 2),0)</f>
        <v>0</v>
      </c>
      <c r="Q305" s="15">
        <v>1010</v>
      </c>
      <c r="R305" s="14">
        <f>P305+ROUND(Q305, 2)</f>
        <v>1010</v>
      </c>
      <c r="S305" s="14">
        <f>ROUND(P305*I305, 2)</f>
        <v>0</v>
      </c>
      <c r="T305" s="14">
        <f>ROUND(I305*ROUND(Q305, 2), 2)</f>
        <v>0</v>
      </c>
      <c r="U305" s="14">
        <f>S305+T305</f>
        <v>0</v>
      </c>
      <c r="V305" s="9">
        <f>ROUND(P305 / 1.2, 2)</f>
        <v>0</v>
      </c>
      <c r="W305" s="9">
        <f>ROUND(Q305 / 1.2, 2)</f>
        <v>841.67</v>
      </c>
      <c r="X305" s="9">
        <f>ROUND(R305 / 1.2, 2)</f>
        <v>841.67</v>
      </c>
      <c r="Y305" s="9">
        <f t="shared" si="14"/>
        <v>0</v>
      </c>
      <c r="Z305" s="9">
        <f>ROUND(T305 / 1.2, 2)</f>
        <v>0</v>
      </c>
      <c r="AA305" s="9">
        <f>Y305+Z305</f>
        <v>0</v>
      </c>
      <c r="AD305" s="4">
        <v>304337565</v>
      </c>
      <c r="AE305" s="4">
        <v>20348169</v>
      </c>
      <c r="AG305" s="4" t="s">
        <v>1213</v>
      </c>
      <c r="AH305" s="4" t="s">
        <v>1214</v>
      </c>
      <c r="AI305" s="4" t="s">
        <v>260</v>
      </c>
    </row>
    <row r="306" spans="1:35" ht="18" x14ac:dyDescent="0.3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30">
        <v>0</v>
      </c>
      <c r="J306" s="31">
        <v>418</v>
      </c>
      <c r="M306" s="32">
        <f>ROUND(ROUND(J306, 2)*I306, 2)</f>
        <v>0</v>
      </c>
      <c r="P306" s="31">
        <v>418</v>
      </c>
      <c r="S306" s="32">
        <f>ROUND(ROUND(P306, 2)*I306, 2)</f>
        <v>0</v>
      </c>
      <c r="V306" s="9">
        <f>ROUND(ROUND(P306, 2)/1.2, 2)</f>
        <v>348.33</v>
      </c>
      <c r="Y306" s="9">
        <f t="shared" si="14"/>
        <v>0</v>
      </c>
      <c r="AD306" s="4" t="s">
        <v>1219</v>
      </c>
      <c r="AE306" s="4" t="s">
        <v>1220</v>
      </c>
      <c r="AF306" s="4" t="s">
        <v>1221</v>
      </c>
    </row>
    <row r="307" spans="1:35" ht="270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3">
        <v>227.3</v>
      </c>
      <c r="J307" s="14">
        <f>IFERROR(ROUND(SUM(M308)/I307, 2),0)</f>
        <v>418</v>
      </c>
      <c r="K307" s="15">
        <v>1010</v>
      </c>
      <c r="L307" s="14">
        <f>J307+ROUND(K307, 2)</f>
        <v>1428</v>
      </c>
      <c r="M307" s="14">
        <f>ROUND(J307*I307, 2)</f>
        <v>95011.4</v>
      </c>
      <c r="N307" s="14">
        <f>ROUND(I307*ROUND(K307, 2), 2)</f>
        <v>229573</v>
      </c>
      <c r="O307" s="14">
        <f>M307+N307</f>
        <v>324584.40000000002</v>
      </c>
      <c r="P307" s="14">
        <f>IFERROR(ROUND(SUM(S308)/I307, 2),0)</f>
        <v>418</v>
      </c>
      <c r="Q307" s="16">
        <v>1515</v>
      </c>
      <c r="R307" s="14">
        <f>P307+ROUND(Q307, 2)</f>
        <v>1933</v>
      </c>
      <c r="S307" s="14">
        <f>ROUND(P307*I307, 2)</f>
        <v>95011.4</v>
      </c>
      <c r="T307" s="14">
        <f>ROUND(I307*ROUND(Q307, 2), 2)</f>
        <v>344359.5</v>
      </c>
      <c r="U307" s="14">
        <f>S307+T307</f>
        <v>439370.9</v>
      </c>
      <c r="V307" s="9">
        <f>ROUND(P307 / 1.2, 2)</f>
        <v>348.33</v>
      </c>
      <c r="W307" s="9">
        <f>ROUND(Q307 / 1.2, 2)</f>
        <v>1262.5</v>
      </c>
      <c r="X307" s="9">
        <f>ROUND(R307 / 1.2, 2)</f>
        <v>1610.83</v>
      </c>
      <c r="Y307" s="9">
        <f t="shared" si="14"/>
        <v>79176.17</v>
      </c>
      <c r="Z307" s="9">
        <f>ROUND(T307 / 1.2, 2)</f>
        <v>286966.25</v>
      </c>
      <c r="AA307" s="9">
        <f>Y307+Z307</f>
        <v>366142.42</v>
      </c>
      <c r="AD307" s="4">
        <v>304337657</v>
      </c>
      <c r="AE307" s="4">
        <v>21950062</v>
      </c>
      <c r="AG307" s="4" t="s">
        <v>1213</v>
      </c>
      <c r="AH307" s="4" t="s">
        <v>1214</v>
      </c>
      <c r="AI307" s="4" t="s">
        <v>260</v>
      </c>
    </row>
    <row r="308" spans="1:35" ht="396" x14ac:dyDescent="0.3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30">
        <v>227.3</v>
      </c>
      <c r="J308" s="31">
        <v>418</v>
      </c>
      <c r="M308" s="32">
        <f>ROUND(ROUND(J308, 2)*I308, 2)</f>
        <v>95011.4</v>
      </c>
      <c r="P308" s="33">
        <v>418</v>
      </c>
      <c r="S308" s="32">
        <f>ROUND(ROUND(P308, 2)*I308, 2)</f>
        <v>95011.4</v>
      </c>
      <c r="V308" s="9">
        <f>ROUND(ROUND(P308, 2)/1.2, 2)</f>
        <v>348.33</v>
      </c>
      <c r="Y308" s="9">
        <f t="shared" si="14"/>
        <v>79176.17</v>
      </c>
      <c r="AD308" s="4" t="s">
        <v>1227</v>
      </c>
      <c r="AE308" s="4" t="s">
        <v>1228</v>
      </c>
      <c r="AF308" s="4" t="s">
        <v>1221</v>
      </c>
    </row>
    <row r="309" spans="1:35" ht="36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3">
        <v>0</v>
      </c>
      <c r="J309" s="14">
        <f>IFERROR(ROUND(SUM(M310,M311)/I309, 2),0)</f>
        <v>0</v>
      </c>
      <c r="K309" s="15">
        <v>428</v>
      </c>
      <c r="L309" s="14">
        <f>J309+ROUND(K309, 2)</f>
        <v>428</v>
      </c>
      <c r="M309" s="14">
        <f>ROUND(J309*I309, 2)</f>
        <v>0</v>
      </c>
      <c r="N309" s="14">
        <f>ROUND(I309*ROUND(K309, 2), 2)</f>
        <v>0</v>
      </c>
      <c r="O309" s="14">
        <f>M309+N309</f>
        <v>0</v>
      </c>
      <c r="P309" s="14">
        <f>IFERROR(ROUND(SUM(S310,S311)/I309, 2),0)</f>
        <v>0</v>
      </c>
      <c r="Q309" s="15">
        <v>428</v>
      </c>
      <c r="R309" s="14">
        <f>P309+ROUND(Q309, 2)</f>
        <v>428</v>
      </c>
      <c r="S309" s="14">
        <f>ROUND(P309*I309, 2)</f>
        <v>0</v>
      </c>
      <c r="T309" s="14">
        <f>ROUND(I309*ROUND(Q309, 2), 2)</f>
        <v>0</v>
      </c>
      <c r="U309" s="14">
        <f>S309+T309</f>
        <v>0</v>
      </c>
      <c r="V309" s="9">
        <f>ROUND(P309 / 1.2, 2)</f>
        <v>0</v>
      </c>
      <c r="W309" s="9">
        <f>ROUND(Q309 / 1.2, 2)</f>
        <v>356.67</v>
      </c>
      <c r="X309" s="9">
        <f>ROUND(R309 / 1.2, 2)</f>
        <v>356.67</v>
      </c>
      <c r="Y309" s="9">
        <f t="shared" si="14"/>
        <v>0</v>
      </c>
      <c r="Z309" s="9">
        <f>ROUND(T309 / 1.2, 2)</f>
        <v>0</v>
      </c>
      <c r="AA309" s="9">
        <f>Y309+Z309</f>
        <v>0</v>
      </c>
      <c r="AD309" s="4">
        <v>304337567</v>
      </c>
      <c r="AE309" s="4">
        <v>20300509</v>
      </c>
      <c r="AG309" s="4" t="s">
        <v>1232</v>
      </c>
      <c r="AH309" s="4" t="s">
        <v>1233</v>
      </c>
      <c r="AI309" s="4" t="s">
        <v>260</v>
      </c>
    </row>
    <row r="310" spans="1:35" ht="36" x14ac:dyDescent="0.3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30">
        <v>0</v>
      </c>
      <c r="J310" s="31">
        <v>88.8</v>
      </c>
      <c r="M310" s="32">
        <f>ROUND(ROUND(J310, 2)*I310, 2)</f>
        <v>0</v>
      </c>
      <c r="P310" s="31">
        <v>88.8</v>
      </c>
      <c r="S310" s="32">
        <f>ROUND(ROUND(P310, 2)*I310, 2)</f>
        <v>0</v>
      </c>
      <c r="V310" s="9">
        <f>ROUND(ROUND(P310, 2)/1.2, 2)</f>
        <v>74</v>
      </c>
      <c r="Y310" s="9">
        <f t="shared" si="14"/>
        <v>0</v>
      </c>
      <c r="AD310" s="4" t="s">
        <v>1237</v>
      </c>
      <c r="AE310" s="4" t="s">
        <v>1238</v>
      </c>
      <c r="AF310" s="4" t="s">
        <v>685</v>
      </c>
    </row>
    <row r="311" spans="1:35" ht="36" x14ac:dyDescent="0.3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30">
        <v>0</v>
      </c>
      <c r="J311" s="31">
        <v>1216.56</v>
      </c>
      <c r="M311" s="32">
        <f>ROUND(ROUND(J311, 2)*I311, 2)</f>
        <v>0</v>
      </c>
      <c r="P311" s="31">
        <v>495.9</v>
      </c>
      <c r="S311" s="32">
        <f>ROUND(ROUND(P311, 2)*I311, 2)</f>
        <v>0</v>
      </c>
      <c r="V311" s="9">
        <f>ROUND(ROUND(P311, 2)/1.2, 2)</f>
        <v>413.25</v>
      </c>
      <c r="Y311" s="9">
        <f t="shared" si="14"/>
        <v>0</v>
      </c>
      <c r="AD311" s="4" t="s">
        <v>1243</v>
      </c>
      <c r="AE311" s="4" t="s">
        <v>1244</v>
      </c>
      <c r="AF311" s="4" t="s">
        <v>1245</v>
      </c>
    </row>
    <row r="312" spans="1:35" ht="36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3">
        <v>0</v>
      </c>
      <c r="J312" s="14">
        <f>IFERROR(ROUND(SUM(M313,M314)/I312, 2),0)</f>
        <v>0</v>
      </c>
      <c r="K312" s="15">
        <v>428</v>
      </c>
      <c r="L312" s="14">
        <f>J312+ROUND(K312, 2)</f>
        <v>428</v>
      </c>
      <c r="M312" s="14">
        <f>ROUND(J312*I312, 2)</f>
        <v>0</v>
      </c>
      <c r="N312" s="14">
        <f>ROUND(I312*ROUND(K312, 2), 2)</f>
        <v>0</v>
      </c>
      <c r="O312" s="14">
        <f>M312+N312</f>
        <v>0</v>
      </c>
      <c r="P312" s="14">
        <f>IFERROR(ROUND(SUM(S313,S314)/I312, 2),0)</f>
        <v>0</v>
      </c>
      <c r="Q312" s="15">
        <v>428</v>
      </c>
      <c r="R312" s="14">
        <f>P312+ROUND(Q312, 2)</f>
        <v>428</v>
      </c>
      <c r="S312" s="14">
        <f>ROUND(P312*I312, 2)</f>
        <v>0</v>
      </c>
      <c r="T312" s="14">
        <f>ROUND(I312*ROUND(Q312, 2), 2)</f>
        <v>0</v>
      </c>
      <c r="U312" s="14">
        <f>S312+T312</f>
        <v>0</v>
      </c>
      <c r="V312" s="9">
        <f>ROUND(P312 / 1.2, 2)</f>
        <v>0</v>
      </c>
      <c r="W312" s="9">
        <f>ROUND(Q312 / 1.2, 2)</f>
        <v>356.67</v>
      </c>
      <c r="X312" s="9">
        <f>ROUND(R312 / 1.2, 2)</f>
        <v>356.67</v>
      </c>
      <c r="Y312" s="9">
        <f t="shared" si="14"/>
        <v>0</v>
      </c>
      <c r="Z312" s="9">
        <f>ROUND(T312 / 1.2, 2)</f>
        <v>0</v>
      </c>
      <c r="AA312" s="9">
        <f>Y312+Z312</f>
        <v>0</v>
      </c>
      <c r="AD312" s="4">
        <v>304337658</v>
      </c>
      <c r="AE312" s="4">
        <v>20300511</v>
      </c>
      <c r="AG312" s="4" t="s">
        <v>1232</v>
      </c>
      <c r="AH312" s="4" t="s">
        <v>1233</v>
      </c>
      <c r="AI312" s="4" t="s">
        <v>260</v>
      </c>
    </row>
    <row r="313" spans="1:35" ht="36" x14ac:dyDescent="0.3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30">
        <v>0</v>
      </c>
      <c r="J313" s="31">
        <v>1216.56</v>
      </c>
      <c r="M313" s="32">
        <f>ROUND(ROUND(J313, 2)*I313, 2)</f>
        <v>0</v>
      </c>
      <c r="P313" s="31">
        <v>495.9</v>
      </c>
      <c r="S313" s="32">
        <f>ROUND(ROUND(P313, 2)*I313, 2)</f>
        <v>0</v>
      </c>
      <c r="V313" s="9">
        <f>ROUND(ROUND(P313, 2)/1.2, 2)</f>
        <v>413.25</v>
      </c>
      <c r="Y313" s="9">
        <f t="shared" si="14"/>
        <v>0</v>
      </c>
      <c r="AD313" s="4" t="s">
        <v>1252</v>
      </c>
      <c r="AE313" s="4" t="s">
        <v>1253</v>
      </c>
      <c r="AF313" s="4" t="s">
        <v>1245</v>
      </c>
    </row>
    <row r="314" spans="1:35" ht="36" x14ac:dyDescent="0.3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14"/>
        <v>0</v>
      </c>
      <c r="AD314" s="4" t="s">
        <v>1257</v>
      </c>
      <c r="AE314" s="4" t="s">
        <v>1258</v>
      </c>
      <c r="AF314" s="4" t="s">
        <v>685</v>
      </c>
    </row>
    <row r="315" spans="1:35" ht="36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3">
        <v>0</v>
      </c>
      <c r="J315" s="14">
        <f>IFERROR(ROUND(SUM(M316,M317)/I315, 2),0)</f>
        <v>0</v>
      </c>
      <c r="K315" s="15">
        <v>428</v>
      </c>
      <c r="L315" s="14">
        <f>J315+ROUND(K315, 2)</f>
        <v>428</v>
      </c>
      <c r="M315" s="14">
        <f>ROUND(J315*I315, 2)</f>
        <v>0</v>
      </c>
      <c r="N315" s="14">
        <f>ROUND(I315*ROUND(K315, 2), 2)</f>
        <v>0</v>
      </c>
      <c r="O315" s="14">
        <f>M315+N315</f>
        <v>0</v>
      </c>
      <c r="P315" s="14">
        <f>IFERROR(ROUND(SUM(S316,S317)/I315, 2),0)</f>
        <v>0</v>
      </c>
      <c r="Q315" s="15">
        <v>428</v>
      </c>
      <c r="R315" s="14">
        <f>P315+ROUND(Q315, 2)</f>
        <v>428</v>
      </c>
      <c r="S315" s="14">
        <f>ROUND(P315*I315, 2)</f>
        <v>0</v>
      </c>
      <c r="T315" s="14">
        <f>ROUND(I315*ROUND(Q315, 2), 2)</f>
        <v>0</v>
      </c>
      <c r="U315" s="14">
        <f>S315+T315</f>
        <v>0</v>
      </c>
      <c r="V315" s="9">
        <f>ROUND(P315 / 1.2, 2)</f>
        <v>0</v>
      </c>
      <c r="W315" s="9">
        <f>ROUND(Q315 / 1.2, 2)</f>
        <v>356.67</v>
      </c>
      <c r="X315" s="9">
        <f>ROUND(R315 / 1.2, 2)</f>
        <v>356.67</v>
      </c>
      <c r="Y315" s="9">
        <f t="shared" si="14"/>
        <v>0</v>
      </c>
      <c r="Z315" s="9">
        <f>ROUND(T315 / 1.2, 2)</f>
        <v>0</v>
      </c>
      <c r="AA315" s="9">
        <f>Y315+Z315</f>
        <v>0</v>
      </c>
      <c r="AD315" s="4">
        <v>304337659</v>
      </c>
      <c r="AE315" s="4">
        <v>20300513</v>
      </c>
      <c r="AG315" s="4" t="s">
        <v>1232</v>
      </c>
      <c r="AH315" s="4" t="s">
        <v>1233</v>
      </c>
      <c r="AI315" s="4" t="s">
        <v>260</v>
      </c>
    </row>
    <row r="316" spans="1:35" ht="36" x14ac:dyDescent="0.3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30">
        <v>0</v>
      </c>
      <c r="J316" s="31">
        <v>88.8</v>
      </c>
      <c r="M316" s="32">
        <f>ROUND(ROUND(J316, 2)*I316, 2)</f>
        <v>0</v>
      </c>
      <c r="P316" s="31">
        <v>88.8</v>
      </c>
      <c r="S316" s="32">
        <f>ROUND(ROUND(P316, 2)*I316, 2)</f>
        <v>0</v>
      </c>
      <c r="V316" s="9">
        <f>ROUND(ROUND(P316, 2)/1.2, 2)</f>
        <v>74</v>
      </c>
      <c r="Y316" s="9">
        <f t="shared" si="14"/>
        <v>0</v>
      </c>
      <c r="AD316" s="4" t="s">
        <v>1265</v>
      </c>
      <c r="AE316" s="4" t="s">
        <v>1266</v>
      </c>
      <c r="AF316" s="4" t="s">
        <v>685</v>
      </c>
    </row>
    <row r="317" spans="1:35" ht="36" x14ac:dyDescent="0.3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30">
        <v>0</v>
      </c>
      <c r="J317" s="31">
        <v>1216.56</v>
      </c>
      <c r="M317" s="32">
        <f>ROUND(ROUND(J317, 2)*I317, 2)</f>
        <v>0</v>
      </c>
      <c r="P317" s="31">
        <v>495.9</v>
      </c>
      <c r="S317" s="32">
        <f>ROUND(ROUND(P317, 2)*I317, 2)</f>
        <v>0</v>
      </c>
      <c r="V317" s="9">
        <f>ROUND(ROUND(P317, 2)/1.2, 2)</f>
        <v>413.25</v>
      </c>
      <c r="Y317" s="9">
        <f t="shared" si="14"/>
        <v>0</v>
      </c>
      <c r="AD317" s="4" t="s">
        <v>1270</v>
      </c>
      <c r="AE317" s="4" t="s">
        <v>1271</v>
      </c>
      <c r="AF317" s="4" t="s">
        <v>1245</v>
      </c>
    </row>
    <row r="318" spans="1:35" ht="36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3">
        <v>0</v>
      </c>
      <c r="J318" s="14">
        <f>IFERROR(ROUND(SUM(M319,M320)/I318, 2),0)</f>
        <v>0</v>
      </c>
      <c r="K318" s="15">
        <v>428</v>
      </c>
      <c r="L318" s="14">
        <f>J318+ROUND(K318, 2)</f>
        <v>428</v>
      </c>
      <c r="M318" s="14">
        <f>ROUND(J318*I318, 2)</f>
        <v>0</v>
      </c>
      <c r="N318" s="14">
        <f>ROUND(I318*ROUND(K318, 2), 2)</f>
        <v>0</v>
      </c>
      <c r="O318" s="14">
        <f>M318+N318</f>
        <v>0</v>
      </c>
      <c r="P318" s="14">
        <f>IFERROR(ROUND(SUM(S319,S320)/I318, 2),0)</f>
        <v>0</v>
      </c>
      <c r="Q318" s="15">
        <v>428</v>
      </c>
      <c r="R318" s="14">
        <f>P318+ROUND(Q318, 2)</f>
        <v>428</v>
      </c>
      <c r="S318" s="14">
        <f>ROUND(P318*I318, 2)</f>
        <v>0</v>
      </c>
      <c r="T318" s="14">
        <f>ROUND(I318*ROUND(Q318, 2), 2)</f>
        <v>0</v>
      </c>
      <c r="U318" s="14">
        <f>S318+T318</f>
        <v>0</v>
      </c>
      <c r="V318" s="9">
        <f>ROUND(P318 / 1.2, 2)</f>
        <v>0</v>
      </c>
      <c r="W318" s="9">
        <f>ROUND(Q318 / 1.2, 2)</f>
        <v>356.67</v>
      </c>
      <c r="X318" s="9">
        <f>ROUND(R318 / 1.2, 2)</f>
        <v>356.67</v>
      </c>
      <c r="Y318" s="9">
        <f t="shared" si="14"/>
        <v>0</v>
      </c>
      <c r="Z318" s="9">
        <f>ROUND(T318 / 1.2, 2)</f>
        <v>0</v>
      </c>
      <c r="AA318" s="9">
        <f>Y318+Z318</f>
        <v>0</v>
      </c>
      <c r="AD318" s="4">
        <v>304337660</v>
      </c>
      <c r="AE318" s="4">
        <v>20300713</v>
      </c>
      <c r="AG318" s="4" t="s">
        <v>1232</v>
      </c>
      <c r="AH318" s="4" t="s">
        <v>1233</v>
      </c>
      <c r="AI318" s="4" t="s">
        <v>260</v>
      </c>
    </row>
    <row r="319" spans="1:35" ht="36" x14ac:dyDescent="0.3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30">
        <v>0</v>
      </c>
      <c r="J319" s="31">
        <v>1216.56</v>
      </c>
      <c r="M319" s="32">
        <f>ROUND(ROUND(J319, 2)*I319, 2)</f>
        <v>0</v>
      </c>
      <c r="P319" s="31">
        <v>495.9</v>
      </c>
      <c r="S319" s="32">
        <f>ROUND(ROUND(P319, 2)*I319, 2)</f>
        <v>0</v>
      </c>
      <c r="V319" s="9">
        <f>ROUND(ROUND(P319, 2)/1.2, 2)</f>
        <v>413.25</v>
      </c>
      <c r="Y319" s="9">
        <f t="shared" si="14"/>
        <v>0</v>
      </c>
      <c r="AD319" s="4" t="s">
        <v>1278</v>
      </c>
      <c r="AE319" s="4" t="s">
        <v>1279</v>
      </c>
      <c r="AF319" s="4" t="s">
        <v>1245</v>
      </c>
    </row>
    <row r="320" spans="1:35" ht="36" x14ac:dyDescent="0.3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30">
        <v>0</v>
      </c>
      <c r="J320" s="31">
        <v>88.8</v>
      </c>
      <c r="M320" s="32">
        <f>ROUND(ROUND(J320, 2)*I320, 2)</f>
        <v>0</v>
      </c>
      <c r="P320" s="31">
        <v>88.8</v>
      </c>
      <c r="S320" s="32">
        <f>ROUND(ROUND(P320, 2)*I320, 2)</f>
        <v>0</v>
      </c>
      <c r="V320" s="9">
        <f>ROUND(ROUND(P320, 2)/1.2, 2)</f>
        <v>74</v>
      </c>
      <c r="Y320" s="9">
        <f t="shared" si="14"/>
        <v>0</v>
      </c>
      <c r="AD320" s="4" t="s">
        <v>1283</v>
      </c>
      <c r="AE320" s="4" t="s">
        <v>1284</v>
      </c>
      <c r="AF320" s="4" t="s">
        <v>685</v>
      </c>
    </row>
    <row r="321" spans="1:35" ht="36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3">
        <v>0</v>
      </c>
      <c r="J321" s="14">
        <f>IFERROR(ROUND(SUM(M322,M323)/I321, 2),0)</f>
        <v>0</v>
      </c>
      <c r="K321" s="15">
        <v>428</v>
      </c>
      <c r="L321" s="14">
        <f>J321+ROUND(K321, 2)</f>
        <v>428</v>
      </c>
      <c r="M321" s="14">
        <f>ROUND(J321*I321, 2)</f>
        <v>0</v>
      </c>
      <c r="N321" s="14">
        <f>ROUND(I321*ROUND(K321, 2), 2)</f>
        <v>0</v>
      </c>
      <c r="O321" s="14">
        <f>M321+N321</f>
        <v>0</v>
      </c>
      <c r="P321" s="14">
        <f>IFERROR(ROUND(SUM(S322,S323)/I321, 2),0)</f>
        <v>0</v>
      </c>
      <c r="Q321" s="15">
        <v>428</v>
      </c>
      <c r="R321" s="14">
        <f>P321+ROUND(Q321, 2)</f>
        <v>428</v>
      </c>
      <c r="S321" s="14">
        <f>ROUND(P321*I321, 2)</f>
        <v>0</v>
      </c>
      <c r="T321" s="14">
        <f>ROUND(I321*ROUND(Q321, 2), 2)</f>
        <v>0</v>
      </c>
      <c r="U321" s="14">
        <f>S321+T321</f>
        <v>0</v>
      </c>
      <c r="V321" s="9">
        <f>ROUND(P321 / 1.2, 2)</f>
        <v>0</v>
      </c>
      <c r="W321" s="9">
        <f>ROUND(Q321 / 1.2, 2)</f>
        <v>356.67</v>
      </c>
      <c r="X321" s="9">
        <f>ROUND(R321 / 1.2, 2)</f>
        <v>356.67</v>
      </c>
      <c r="Y321" s="9">
        <f t="shared" si="14"/>
        <v>0</v>
      </c>
      <c r="Z321" s="9">
        <f>ROUND(T321 / 1.2, 2)</f>
        <v>0</v>
      </c>
      <c r="AA321" s="9">
        <f>Y321+Z321</f>
        <v>0</v>
      </c>
      <c r="AD321" s="4">
        <v>304337661</v>
      </c>
      <c r="AE321" s="4">
        <v>20300714</v>
      </c>
      <c r="AG321" s="4" t="s">
        <v>1232</v>
      </c>
      <c r="AH321" s="4" t="s">
        <v>1233</v>
      </c>
      <c r="AI321" s="4" t="s">
        <v>260</v>
      </c>
    </row>
    <row r="322" spans="1:35" ht="36" x14ac:dyDescent="0.3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30">
        <v>0</v>
      </c>
      <c r="J322" s="31">
        <v>88.8</v>
      </c>
      <c r="M322" s="32">
        <f>ROUND(ROUND(J322, 2)*I322, 2)</f>
        <v>0</v>
      </c>
      <c r="P322" s="31">
        <v>88.8</v>
      </c>
      <c r="S322" s="32">
        <f>ROUND(ROUND(P322, 2)*I322, 2)</f>
        <v>0</v>
      </c>
      <c r="V322" s="9">
        <f>ROUND(ROUND(P322, 2)/1.2, 2)</f>
        <v>74</v>
      </c>
      <c r="Y322" s="9">
        <f t="shared" si="14"/>
        <v>0</v>
      </c>
      <c r="AD322" s="4" t="s">
        <v>1291</v>
      </c>
      <c r="AE322" s="4" t="s">
        <v>1292</v>
      </c>
      <c r="AF322" s="4" t="s">
        <v>685</v>
      </c>
    </row>
    <row r="323" spans="1:35" ht="36" x14ac:dyDescent="0.3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30">
        <v>0</v>
      </c>
      <c r="J323" s="31">
        <v>1216.56</v>
      </c>
      <c r="M323" s="32">
        <f>ROUND(ROUND(J323, 2)*I323, 2)</f>
        <v>0</v>
      </c>
      <c r="P323" s="31">
        <v>495.9</v>
      </c>
      <c r="S323" s="32">
        <f>ROUND(ROUND(P323, 2)*I323, 2)</f>
        <v>0</v>
      </c>
      <c r="V323" s="9">
        <f>ROUND(ROUND(P323, 2)/1.2, 2)</f>
        <v>413.25</v>
      </c>
      <c r="Y323" s="9">
        <f t="shared" si="14"/>
        <v>0</v>
      </c>
      <c r="AD323" s="4" t="s">
        <v>1296</v>
      </c>
      <c r="AE323" s="4" t="s">
        <v>1297</v>
      </c>
      <c r="AF323" s="4" t="s">
        <v>1245</v>
      </c>
    </row>
    <row r="324" spans="1:35" ht="36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3">
        <v>0</v>
      </c>
      <c r="J324" s="14">
        <f>IFERROR(ROUND(SUM(M325,M326)/I324, 2),0)</f>
        <v>0</v>
      </c>
      <c r="K324" s="15">
        <v>428</v>
      </c>
      <c r="L324" s="14">
        <f>J324+ROUND(K324, 2)</f>
        <v>428</v>
      </c>
      <c r="M324" s="14">
        <f>ROUND(J324*I324, 2)</f>
        <v>0</v>
      </c>
      <c r="N324" s="14">
        <f>ROUND(I324*ROUND(K324, 2), 2)</f>
        <v>0</v>
      </c>
      <c r="O324" s="14">
        <f>M324+N324</f>
        <v>0</v>
      </c>
      <c r="P324" s="14">
        <f>IFERROR(ROUND(SUM(S325,S326)/I324, 2),0)</f>
        <v>0</v>
      </c>
      <c r="Q324" s="15">
        <v>428</v>
      </c>
      <c r="R324" s="14">
        <f>P324+ROUND(Q324, 2)</f>
        <v>428</v>
      </c>
      <c r="S324" s="14">
        <f>ROUND(P324*I324, 2)</f>
        <v>0</v>
      </c>
      <c r="T324" s="14">
        <f>ROUND(I324*ROUND(Q324, 2), 2)</f>
        <v>0</v>
      </c>
      <c r="U324" s="14">
        <f>S324+T324</f>
        <v>0</v>
      </c>
      <c r="V324" s="9">
        <f>ROUND(P324 / 1.2, 2)</f>
        <v>0</v>
      </c>
      <c r="W324" s="9">
        <f>ROUND(Q324 / 1.2, 2)</f>
        <v>356.67</v>
      </c>
      <c r="X324" s="9">
        <f>ROUND(R324 / 1.2, 2)</f>
        <v>356.67</v>
      </c>
      <c r="Y324" s="9">
        <f t="shared" si="14"/>
        <v>0</v>
      </c>
      <c r="Z324" s="9">
        <f>ROUND(T324 / 1.2, 2)</f>
        <v>0</v>
      </c>
      <c r="AA324" s="9">
        <f>Y324+Z324</f>
        <v>0</v>
      </c>
      <c r="AD324" s="4">
        <v>304337662</v>
      </c>
      <c r="AE324" s="4">
        <v>20300715</v>
      </c>
      <c r="AG324" s="4" t="s">
        <v>1232</v>
      </c>
      <c r="AH324" s="4" t="s">
        <v>1233</v>
      </c>
      <c r="AI324" s="4" t="s">
        <v>260</v>
      </c>
    </row>
    <row r="325" spans="1:35" ht="36" x14ac:dyDescent="0.3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30">
        <v>0</v>
      </c>
      <c r="J325" s="31">
        <v>1216.56</v>
      </c>
      <c r="M325" s="32">
        <f>ROUND(ROUND(J325, 2)*I325, 2)</f>
        <v>0</v>
      </c>
      <c r="P325" s="31">
        <v>495.9</v>
      </c>
      <c r="S325" s="32">
        <f>ROUND(ROUND(P325, 2)*I325, 2)</f>
        <v>0</v>
      </c>
      <c r="V325" s="9">
        <f>ROUND(ROUND(P325, 2)/1.2, 2)</f>
        <v>413.25</v>
      </c>
      <c r="Y325" s="9">
        <f t="shared" si="14"/>
        <v>0</v>
      </c>
      <c r="AD325" s="4" t="s">
        <v>1304</v>
      </c>
      <c r="AE325" s="4" t="s">
        <v>1305</v>
      </c>
      <c r="AF325" s="4" t="s">
        <v>1245</v>
      </c>
    </row>
    <row r="326" spans="1:35" ht="36" x14ac:dyDescent="0.3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30">
        <v>0</v>
      </c>
      <c r="J326" s="31">
        <v>88.8</v>
      </c>
      <c r="M326" s="32">
        <f>ROUND(ROUND(J326, 2)*I326, 2)</f>
        <v>0</v>
      </c>
      <c r="P326" s="31">
        <v>88.8</v>
      </c>
      <c r="S326" s="32">
        <f>ROUND(ROUND(P326, 2)*I326, 2)</f>
        <v>0</v>
      </c>
      <c r="V326" s="9">
        <f>ROUND(ROUND(P326, 2)/1.2, 2)</f>
        <v>74</v>
      </c>
      <c r="Y326" s="9">
        <f t="shared" si="14"/>
        <v>0</v>
      </c>
      <c r="AD326" s="4" t="s">
        <v>1309</v>
      </c>
      <c r="AE326" s="4" t="s">
        <v>1310</v>
      </c>
      <c r="AF326" s="4" t="s">
        <v>685</v>
      </c>
    </row>
    <row r="327" spans="1:35" ht="36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3">
        <v>0</v>
      </c>
      <c r="J327" s="14">
        <f>IFERROR(ROUND(SUM(M328,M329)/I327, 2),0)</f>
        <v>0</v>
      </c>
      <c r="K327" s="15">
        <v>428</v>
      </c>
      <c r="L327" s="14">
        <f>J327+ROUND(K327, 2)</f>
        <v>428</v>
      </c>
      <c r="M327" s="14">
        <f>ROUND(J327*I327, 2)</f>
        <v>0</v>
      </c>
      <c r="N327" s="14">
        <f>ROUND(I327*ROUND(K327, 2), 2)</f>
        <v>0</v>
      </c>
      <c r="O327" s="14">
        <f>M327+N327</f>
        <v>0</v>
      </c>
      <c r="P327" s="14">
        <f>IFERROR(ROUND(SUM(S328,S329)/I327, 2),0)</f>
        <v>0</v>
      </c>
      <c r="Q327" s="15">
        <v>428</v>
      </c>
      <c r="R327" s="14">
        <f>P327+ROUND(Q327, 2)</f>
        <v>428</v>
      </c>
      <c r="S327" s="14">
        <f>ROUND(P327*I327, 2)</f>
        <v>0</v>
      </c>
      <c r="T327" s="14">
        <f>ROUND(I327*ROUND(Q327, 2), 2)</f>
        <v>0</v>
      </c>
      <c r="U327" s="14">
        <f>S327+T327</f>
        <v>0</v>
      </c>
      <c r="V327" s="9">
        <f>ROUND(P327 / 1.2, 2)</f>
        <v>0</v>
      </c>
      <c r="W327" s="9">
        <f>ROUND(Q327 / 1.2, 2)</f>
        <v>356.67</v>
      </c>
      <c r="X327" s="9">
        <f>ROUND(R327 / 1.2, 2)</f>
        <v>356.67</v>
      </c>
      <c r="Y327" s="9">
        <f t="shared" si="14"/>
        <v>0</v>
      </c>
      <c r="Z327" s="9">
        <f>ROUND(T327 / 1.2, 2)</f>
        <v>0</v>
      </c>
      <c r="AA327" s="9">
        <f>Y327+Z327</f>
        <v>0</v>
      </c>
      <c r="AD327" s="4">
        <v>304337663</v>
      </c>
      <c r="AE327" s="4">
        <v>20300709</v>
      </c>
      <c r="AG327" s="4" t="s">
        <v>1232</v>
      </c>
      <c r="AH327" s="4" t="s">
        <v>1233</v>
      </c>
      <c r="AI327" s="4" t="s">
        <v>260</v>
      </c>
    </row>
    <row r="328" spans="1:35" ht="36" x14ac:dyDescent="0.3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30">
        <v>0</v>
      </c>
      <c r="J328" s="31">
        <v>88.8</v>
      </c>
      <c r="M328" s="32">
        <f>ROUND(ROUND(J328, 2)*I328, 2)</f>
        <v>0</v>
      </c>
      <c r="P328" s="31">
        <v>88.8</v>
      </c>
      <c r="S328" s="32">
        <f>ROUND(ROUND(P328, 2)*I328, 2)</f>
        <v>0</v>
      </c>
      <c r="V328" s="9">
        <f>ROUND(ROUND(P328, 2)/1.2, 2)</f>
        <v>74</v>
      </c>
      <c r="Y328" s="9">
        <f t="shared" si="14"/>
        <v>0</v>
      </c>
      <c r="AD328" s="4" t="s">
        <v>1317</v>
      </c>
      <c r="AE328" s="4" t="s">
        <v>1318</v>
      </c>
      <c r="AF328" s="4" t="s">
        <v>685</v>
      </c>
    </row>
    <row r="329" spans="1:35" ht="36" x14ac:dyDescent="0.3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30">
        <v>0</v>
      </c>
      <c r="J329" s="31">
        <v>1216.56</v>
      </c>
      <c r="M329" s="32">
        <f>ROUND(ROUND(J329, 2)*I329, 2)</f>
        <v>0</v>
      </c>
      <c r="P329" s="31">
        <v>495.9</v>
      </c>
      <c r="S329" s="32">
        <f>ROUND(ROUND(P329, 2)*I329, 2)</f>
        <v>0</v>
      </c>
      <c r="V329" s="9">
        <f>ROUND(ROUND(P329, 2)/1.2, 2)</f>
        <v>413.25</v>
      </c>
      <c r="Y329" s="9">
        <f t="shared" si="14"/>
        <v>0</v>
      </c>
      <c r="AD329" s="4" t="s">
        <v>1322</v>
      </c>
      <c r="AE329" s="4" t="s">
        <v>1323</v>
      </c>
      <c r="AF329" s="4" t="s">
        <v>1245</v>
      </c>
    </row>
    <row r="330" spans="1:35" ht="36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3">
        <v>0</v>
      </c>
      <c r="J330" s="14">
        <f>IFERROR(ROUND(SUM(M331,M332)/I330, 2),0)</f>
        <v>0</v>
      </c>
      <c r="K330" s="15">
        <v>428</v>
      </c>
      <c r="L330" s="14">
        <f>J330+ROUND(K330, 2)</f>
        <v>428</v>
      </c>
      <c r="M330" s="14">
        <f>ROUND(J330*I330, 2)</f>
        <v>0</v>
      </c>
      <c r="N330" s="14">
        <f>ROUND(I330*ROUND(K330, 2), 2)</f>
        <v>0</v>
      </c>
      <c r="O330" s="14">
        <f>M330+N330</f>
        <v>0</v>
      </c>
      <c r="P330" s="14">
        <f>IFERROR(ROUND(SUM(S331,S332)/I330, 2),0)</f>
        <v>0</v>
      </c>
      <c r="Q330" s="15">
        <v>428</v>
      </c>
      <c r="R330" s="14">
        <f>P330+ROUND(Q330, 2)</f>
        <v>428</v>
      </c>
      <c r="S330" s="14">
        <f>ROUND(P330*I330, 2)</f>
        <v>0</v>
      </c>
      <c r="T330" s="14">
        <f>ROUND(I330*ROUND(Q330, 2), 2)</f>
        <v>0</v>
      </c>
      <c r="U330" s="14">
        <f>S330+T330</f>
        <v>0</v>
      </c>
      <c r="V330" s="9">
        <f>ROUND(P330 / 1.2, 2)</f>
        <v>0</v>
      </c>
      <c r="W330" s="9">
        <f>ROUND(Q330 / 1.2, 2)</f>
        <v>356.67</v>
      </c>
      <c r="X330" s="9">
        <f>ROUND(R330 / 1.2, 2)</f>
        <v>356.67</v>
      </c>
      <c r="Y330" s="9">
        <f t="shared" si="14"/>
        <v>0</v>
      </c>
      <c r="Z330" s="9">
        <f>ROUND(T330 / 1.2, 2)</f>
        <v>0</v>
      </c>
      <c r="AA330" s="9">
        <f>Y330+Z330</f>
        <v>0</v>
      </c>
      <c r="AD330" s="4">
        <v>304337664</v>
      </c>
      <c r="AE330" s="4">
        <v>20300710</v>
      </c>
      <c r="AG330" s="4" t="s">
        <v>1232</v>
      </c>
      <c r="AH330" s="4" t="s">
        <v>1233</v>
      </c>
      <c r="AI330" s="4" t="s">
        <v>260</v>
      </c>
    </row>
    <row r="331" spans="1:35" ht="36" x14ac:dyDescent="0.3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30">
        <v>0</v>
      </c>
      <c r="J331" s="31">
        <v>1216.56</v>
      </c>
      <c r="M331" s="32">
        <f>ROUND(ROUND(J331, 2)*I331, 2)</f>
        <v>0</v>
      </c>
      <c r="P331" s="31">
        <v>495.9</v>
      </c>
      <c r="S331" s="32">
        <f>ROUND(ROUND(P331, 2)*I331, 2)</f>
        <v>0</v>
      </c>
      <c r="V331" s="9">
        <f>ROUND(ROUND(P331, 2)/1.2, 2)</f>
        <v>413.25</v>
      </c>
      <c r="Y331" s="9">
        <f t="shared" si="14"/>
        <v>0</v>
      </c>
      <c r="AD331" s="4" t="s">
        <v>1330</v>
      </c>
      <c r="AE331" s="4" t="s">
        <v>1331</v>
      </c>
      <c r="AF331" s="4" t="s">
        <v>1245</v>
      </c>
    </row>
    <row r="332" spans="1:35" ht="36" x14ac:dyDescent="0.3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30">
        <v>0</v>
      </c>
      <c r="J332" s="31">
        <v>88.8</v>
      </c>
      <c r="M332" s="32">
        <f>ROUND(ROUND(J332, 2)*I332, 2)</f>
        <v>0</v>
      </c>
      <c r="P332" s="31">
        <v>88.8</v>
      </c>
      <c r="S332" s="32">
        <f>ROUND(ROUND(P332, 2)*I332, 2)</f>
        <v>0</v>
      </c>
      <c r="V332" s="9">
        <f>ROUND(ROUND(P332, 2)/1.2, 2)</f>
        <v>74</v>
      </c>
      <c r="Y332" s="9">
        <f t="shared" si="14"/>
        <v>0</v>
      </c>
      <c r="AD332" s="4" t="s">
        <v>1335</v>
      </c>
      <c r="AE332" s="4" t="s">
        <v>1336</v>
      </c>
      <c r="AF332" s="4" t="s">
        <v>685</v>
      </c>
    </row>
    <row r="333" spans="1:35" ht="108" x14ac:dyDescent="0.3">
      <c r="A333" s="10" t="s">
        <v>1339</v>
      </c>
      <c r="B333" s="10" t="s">
        <v>1230</v>
      </c>
      <c r="C333" s="11" t="s">
        <v>1231</v>
      </c>
      <c r="D333" s="12"/>
      <c r="E333" s="12" t="s">
        <v>1235</v>
      </c>
      <c r="F333" s="12" t="s">
        <v>59</v>
      </c>
      <c r="G333" s="13">
        <v>1</v>
      </c>
      <c r="H333" s="13"/>
      <c r="I333" s="13">
        <v>276</v>
      </c>
      <c r="J333" s="14">
        <f>IFERROR(ROUND(SUM(M334,M335)/I333, 2),0)</f>
        <v>378.29</v>
      </c>
      <c r="K333" s="15">
        <v>428</v>
      </c>
      <c r="L333" s="14">
        <f>J333+ROUND(K333, 2)</f>
        <v>806.29</v>
      </c>
      <c r="M333" s="14">
        <f>ROUND(J333*I333, 2)</f>
        <v>104408.04</v>
      </c>
      <c r="N333" s="14">
        <f>ROUND(I333*ROUND(K333, 2), 2)</f>
        <v>118128</v>
      </c>
      <c r="O333" s="14">
        <f>M333+N333</f>
        <v>222536.04</v>
      </c>
      <c r="P333" s="14">
        <f>IFERROR(ROUND(SUM(S334,S335)/I333, 2),0)</f>
        <v>162.09</v>
      </c>
      <c r="Q333" s="16">
        <v>642</v>
      </c>
      <c r="R333" s="14">
        <f>P333+ROUND(Q333, 2)</f>
        <v>804.09</v>
      </c>
      <c r="S333" s="14">
        <f>ROUND(P333*I333, 2)</f>
        <v>44736.84</v>
      </c>
      <c r="T333" s="14">
        <f>ROUND(I333*ROUND(Q333, 2), 2)</f>
        <v>177192</v>
      </c>
      <c r="U333" s="14">
        <f>S333+T333</f>
        <v>221928.84</v>
      </c>
      <c r="V333" s="9">
        <f>ROUND(P333 / 1.2, 2)</f>
        <v>135.08000000000001</v>
      </c>
      <c r="W333" s="9">
        <f>ROUND(Q333 / 1.2, 2)</f>
        <v>535</v>
      </c>
      <c r="X333" s="9">
        <f>ROUND(R333 / 1.2, 2)</f>
        <v>670.08</v>
      </c>
      <c r="Y333" s="9">
        <f t="shared" si="14"/>
        <v>37280.699999999997</v>
      </c>
      <c r="Z333" s="9">
        <f>ROUND(T333 / 1.2, 2)</f>
        <v>147660</v>
      </c>
      <c r="AA333" s="9">
        <f>Y333+Z333</f>
        <v>184940.7</v>
      </c>
      <c r="AD333" s="4">
        <v>304337665</v>
      </c>
      <c r="AE333" s="4">
        <v>20300712</v>
      </c>
      <c r="AG333" s="4" t="s">
        <v>1232</v>
      </c>
      <c r="AH333" s="4" t="s">
        <v>1233</v>
      </c>
      <c r="AI333" s="4" t="s">
        <v>260</v>
      </c>
    </row>
    <row r="334" spans="1:35" ht="36" x14ac:dyDescent="0.3">
      <c r="A334" s="10" t="s">
        <v>1340</v>
      </c>
      <c r="B334" s="10"/>
      <c r="C334" s="28" t="s">
        <v>682</v>
      </c>
      <c r="D334" s="12"/>
      <c r="E334" s="12"/>
      <c r="F334" s="29" t="s">
        <v>265</v>
      </c>
      <c r="G334" s="30">
        <v>0.15</v>
      </c>
      <c r="H334" s="30"/>
      <c r="I334" s="30">
        <v>41.4</v>
      </c>
      <c r="J334" s="31">
        <v>88.8</v>
      </c>
      <c r="M334" s="32">
        <f>ROUND(ROUND(J334, 2)*I334, 2)</f>
        <v>3676.32</v>
      </c>
      <c r="P334" s="33">
        <v>88.8</v>
      </c>
      <c r="S334" s="32">
        <f>ROUND(ROUND(P334, 2)*I334, 2)</f>
        <v>3676.32</v>
      </c>
      <c r="V334" s="9">
        <f>ROUND(ROUND(P334, 2)/1.2, 2)</f>
        <v>74</v>
      </c>
      <c r="Y334" s="9">
        <f t="shared" ref="Y334:Y365" si="15">ROUND(S334 / 1.2, 2)</f>
        <v>3063.6</v>
      </c>
      <c r="AD334" s="4" t="s">
        <v>1341</v>
      </c>
      <c r="AE334" s="4" t="s">
        <v>1342</v>
      </c>
      <c r="AF334" s="4" t="s">
        <v>685</v>
      </c>
    </row>
    <row r="335" spans="1:35" ht="36" x14ac:dyDescent="0.3">
      <c r="A335" s="10" t="s">
        <v>1343</v>
      </c>
      <c r="B335" s="10"/>
      <c r="C335" s="28" t="s">
        <v>1242</v>
      </c>
      <c r="D335" s="12"/>
      <c r="E335" s="12"/>
      <c r="F335" s="29" t="s">
        <v>265</v>
      </c>
      <c r="G335" s="30">
        <v>0.3</v>
      </c>
      <c r="H335" s="30"/>
      <c r="I335" s="30">
        <v>82.8</v>
      </c>
      <c r="J335" s="31">
        <v>1216.56</v>
      </c>
      <c r="M335" s="32">
        <f>ROUND(ROUND(J335, 2)*I335, 2)</f>
        <v>100731.17</v>
      </c>
      <c r="P335" s="33">
        <v>495.9</v>
      </c>
      <c r="S335" s="32">
        <f>ROUND(ROUND(P335, 2)*I335, 2)</f>
        <v>41060.519999999997</v>
      </c>
      <c r="V335" s="9">
        <f>ROUND(ROUND(P335, 2)/1.2, 2)</f>
        <v>413.25</v>
      </c>
      <c r="Y335" s="9">
        <f t="shared" si="15"/>
        <v>34217.1</v>
      </c>
      <c r="AD335" s="4" t="s">
        <v>1344</v>
      </c>
      <c r="AE335" s="4" t="s">
        <v>1345</v>
      </c>
      <c r="AF335" s="4" t="s">
        <v>1245</v>
      </c>
    </row>
    <row r="336" spans="1:35" ht="108" x14ac:dyDescent="0.3">
      <c r="A336" s="10" t="s">
        <v>1346</v>
      </c>
      <c r="B336" s="10" t="s">
        <v>1230</v>
      </c>
      <c r="C336" s="11" t="s">
        <v>1231</v>
      </c>
      <c r="D336" s="12"/>
      <c r="E336" s="12" t="s">
        <v>1250</v>
      </c>
      <c r="F336" s="12" t="s">
        <v>59</v>
      </c>
      <c r="G336" s="13">
        <v>1</v>
      </c>
      <c r="H336" s="13"/>
      <c r="I336" s="13">
        <v>224.5</v>
      </c>
      <c r="J336" s="14">
        <f>IFERROR(ROUND(SUM(M337,M338)/I336, 2),0)</f>
        <v>378.29</v>
      </c>
      <c r="K336" s="15">
        <v>428</v>
      </c>
      <c r="L336" s="14">
        <f>J336+ROUND(K336, 2)</f>
        <v>806.29</v>
      </c>
      <c r="M336" s="14">
        <f>ROUND(J336*I336, 2)</f>
        <v>84926.11</v>
      </c>
      <c r="N336" s="14">
        <f>ROUND(I336*ROUND(K336, 2), 2)</f>
        <v>96086</v>
      </c>
      <c r="O336" s="14">
        <f>M336+N336</f>
        <v>181012.11</v>
      </c>
      <c r="P336" s="14">
        <f>IFERROR(ROUND(SUM(S337,S338)/I336, 2),0)</f>
        <v>162.09</v>
      </c>
      <c r="Q336" s="16">
        <v>642</v>
      </c>
      <c r="R336" s="14">
        <f>P336+ROUND(Q336, 2)</f>
        <v>804.09</v>
      </c>
      <c r="S336" s="14">
        <f>ROUND(P336*I336, 2)</f>
        <v>36389.21</v>
      </c>
      <c r="T336" s="14">
        <f>ROUND(I336*ROUND(Q336, 2), 2)</f>
        <v>144129</v>
      </c>
      <c r="U336" s="14">
        <f>S336+T336</f>
        <v>180518.21</v>
      </c>
      <c r="V336" s="9">
        <f>ROUND(P336 / 1.2, 2)</f>
        <v>135.08000000000001</v>
      </c>
      <c r="W336" s="9">
        <f>ROUND(Q336 / 1.2, 2)</f>
        <v>535</v>
      </c>
      <c r="X336" s="9">
        <f>ROUND(R336 / 1.2, 2)</f>
        <v>670.08</v>
      </c>
      <c r="Y336" s="9">
        <f t="shared" si="15"/>
        <v>30324.34</v>
      </c>
      <c r="Z336" s="9">
        <f>ROUND(T336 / 1.2, 2)</f>
        <v>120107.5</v>
      </c>
      <c r="AA336" s="9">
        <f>Y336+Z336</f>
        <v>150431.84</v>
      </c>
      <c r="AD336" s="4">
        <v>304337666</v>
      </c>
      <c r="AE336" s="4">
        <v>21104748</v>
      </c>
      <c r="AG336" s="4" t="s">
        <v>1232</v>
      </c>
      <c r="AH336" s="4" t="s">
        <v>1233</v>
      </c>
      <c r="AI336" s="4" t="s">
        <v>260</v>
      </c>
    </row>
    <row r="337" spans="1:35" ht="36" x14ac:dyDescent="0.3">
      <c r="A337" s="10" t="s">
        <v>1347</v>
      </c>
      <c r="B337" s="10"/>
      <c r="C337" s="28" t="s">
        <v>1242</v>
      </c>
      <c r="D337" s="12"/>
      <c r="E337" s="12"/>
      <c r="F337" s="29" t="s">
        <v>265</v>
      </c>
      <c r="G337" s="30">
        <v>0.3</v>
      </c>
      <c r="H337" s="30"/>
      <c r="I337" s="30">
        <v>67.349999999999994</v>
      </c>
      <c r="J337" s="31">
        <v>1216.56</v>
      </c>
      <c r="M337" s="32">
        <f>ROUND(ROUND(J337, 2)*I337, 2)</f>
        <v>81935.320000000007</v>
      </c>
      <c r="P337" s="33">
        <v>495.9</v>
      </c>
      <c r="S337" s="32">
        <f>ROUND(ROUND(P337, 2)*I337, 2)</f>
        <v>33398.870000000003</v>
      </c>
      <c r="V337" s="9">
        <f>ROUND(ROUND(P337, 2)/1.2, 2)</f>
        <v>413.25</v>
      </c>
      <c r="Y337" s="9">
        <f t="shared" si="15"/>
        <v>27832.39</v>
      </c>
      <c r="AD337" s="4" t="s">
        <v>1348</v>
      </c>
      <c r="AE337" s="4" t="s">
        <v>1349</v>
      </c>
      <c r="AF337" s="4" t="s">
        <v>1245</v>
      </c>
    </row>
    <row r="338" spans="1:35" ht="36" x14ac:dyDescent="0.3">
      <c r="A338" s="10" t="s">
        <v>1350</v>
      </c>
      <c r="B338" s="10"/>
      <c r="C338" s="28" t="s">
        <v>682</v>
      </c>
      <c r="D338" s="12"/>
      <c r="E338" s="12"/>
      <c r="F338" s="29" t="s">
        <v>265</v>
      </c>
      <c r="G338" s="30">
        <v>0.15</v>
      </c>
      <c r="H338" s="30"/>
      <c r="I338" s="30">
        <v>33.674999999999997</v>
      </c>
      <c r="J338" s="31">
        <v>88.8</v>
      </c>
      <c r="M338" s="32">
        <f>ROUND(ROUND(J338, 2)*I338, 2)</f>
        <v>2990.34</v>
      </c>
      <c r="P338" s="33">
        <v>88.8</v>
      </c>
      <c r="S338" s="32">
        <f>ROUND(ROUND(P338, 2)*I338, 2)</f>
        <v>2990.34</v>
      </c>
      <c r="V338" s="9">
        <f>ROUND(ROUND(P338, 2)/1.2, 2)</f>
        <v>74</v>
      </c>
      <c r="Y338" s="9">
        <f t="shared" si="15"/>
        <v>2491.9499999999998</v>
      </c>
      <c r="AD338" s="4" t="s">
        <v>1351</v>
      </c>
      <c r="AE338" s="4" t="s">
        <v>1352</v>
      </c>
      <c r="AF338" s="4" t="s">
        <v>685</v>
      </c>
    </row>
    <row r="339" spans="1:35" ht="108" x14ac:dyDescent="0.3">
      <c r="A339" s="10" t="s">
        <v>1353</v>
      </c>
      <c r="B339" s="10" t="s">
        <v>1230</v>
      </c>
      <c r="C339" s="11" t="s">
        <v>1231</v>
      </c>
      <c r="D339" s="12"/>
      <c r="E339" s="12" t="s">
        <v>1263</v>
      </c>
      <c r="F339" s="12" t="s">
        <v>59</v>
      </c>
      <c r="G339" s="13">
        <v>1</v>
      </c>
      <c r="H339" s="13"/>
      <c r="I339" s="13">
        <v>180</v>
      </c>
      <c r="J339" s="14">
        <f>IFERROR(ROUND(SUM(M340,M341)/I339, 2),0)</f>
        <v>378.29</v>
      </c>
      <c r="K339" s="15">
        <v>428</v>
      </c>
      <c r="L339" s="14">
        <f>J339+ROUND(K339, 2)</f>
        <v>806.29</v>
      </c>
      <c r="M339" s="14">
        <f>ROUND(J339*I339, 2)</f>
        <v>68092.2</v>
      </c>
      <c r="N339" s="14">
        <f>ROUND(I339*ROUND(K339, 2), 2)</f>
        <v>77040</v>
      </c>
      <c r="O339" s="14">
        <f>M339+N339</f>
        <v>145132.20000000001</v>
      </c>
      <c r="P339" s="14">
        <f>IFERROR(ROUND(SUM(S340,S341)/I339, 2),0)</f>
        <v>162.09</v>
      </c>
      <c r="Q339" s="16">
        <v>642</v>
      </c>
      <c r="R339" s="14">
        <f>P339+ROUND(Q339, 2)</f>
        <v>804.09</v>
      </c>
      <c r="S339" s="14">
        <f>ROUND(P339*I339, 2)</f>
        <v>29176.2</v>
      </c>
      <c r="T339" s="14">
        <f>ROUND(I339*ROUND(Q339, 2), 2)</f>
        <v>115560</v>
      </c>
      <c r="U339" s="14">
        <f>S339+T339</f>
        <v>144736.20000000001</v>
      </c>
      <c r="V339" s="9">
        <f>ROUND(P339 / 1.2, 2)</f>
        <v>135.08000000000001</v>
      </c>
      <c r="W339" s="9">
        <f>ROUND(Q339 / 1.2, 2)</f>
        <v>535</v>
      </c>
      <c r="X339" s="9">
        <f>ROUND(R339 / 1.2, 2)</f>
        <v>670.08</v>
      </c>
      <c r="Y339" s="9">
        <f t="shared" si="15"/>
        <v>24313.5</v>
      </c>
      <c r="Z339" s="9">
        <f>ROUND(T339 / 1.2, 2)</f>
        <v>96300</v>
      </c>
      <c r="AA339" s="9">
        <f>Y339+Z339</f>
        <v>120613.5</v>
      </c>
      <c r="AD339" s="4">
        <v>304337667</v>
      </c>
      <c r="AE339" s="4">
        <v>21950060</v>
      </c>
      <c r="AG339" s="4" t="s">
        <v>1232</v>
      </c>
      <c r="AH339" s="4" t="s">
        <v>1233</v>
      </c>
      <c r="AI339" s="4" t="s">
        <v>260</v>
      </c>
    </row>
    <row r="340" spans="1:35" ht="36" x14ac:dyDescent="0.3">
      <c r="A340" s="10" t="s">
        <v>1354</v>
      </c>
      <c r="B340" s="10"/>
      <c r="C340" s="28" t="s">
        <v>682</v>
      </c>
      <c r="D340" s="12"/>
      <c r="E340" s="12"/>
      <c r="F340" s="29" t="s">
        <v>265</v>
      </c>
      <c r="G340" s="30">
        <v>0.15</v>
      </c>
      <c r="H340" s="30"/>
      <c r="I340" s="30">
        <v>27</v>
      </c>
      <c r="J340" s="31">
        <v>88.8</v>
      </c>
      <c r="M340" s="32">
        <f>ROUND(ROUND(J340, 2)*I340, 2)</f>
        <v>2397.6</v>
      </c>
      <c r="P340" s="33">
        <v>88.8</v>
      </c>
      <c r="S340" s="32">
        <f>ROUND(ROUND(P340, 2)*I340, 2)</f>
        <v>2397.6</v>
      </c>
      <c r="V340" s="9">
        <f>ROUND(ROUND(P340, 2)/1.2, 2)</f>
        <v>74</v>
      </c>
      <c r="Y340" s="9">
        <f t="shared" si="15"/>
        <v>1998</v>
      </c>
      <c r="AD340" s="4" t="s">
        <v>1355</v>
      </c>
      <c r="AE340" s="4" t="s">
        <v>1356</v>
      </c>
      <c r="AF340" s="4" t="s">
        <v>685</v>
      </c>
    </row>
    <row r="341" spans="1:35" ht="36" x14ac:dyDescent="0.3">
      <c r="A341" s="10" t="s">
        <v>1357</v>
      </c>
      <c r="B341" s="10"/>
      <c r="C341" s="28" t="s">
        <v>1242</v>
      </c>
      <c r="D341" s="12"/>
      <c r="E341" s="12"/>
      <c r="F341" s="29" t="s">
        <v>265</v>
      </c>
      <c r="G341" s="30">
        <v>0.3</v>
      </c>
      <c r="H341" s="30"/>
      <c r="I341" s="30">
        <v>54</v>
      </c>
      <c r="J341" s="31">
        <v>1216.56</v>
      </c>
      <c r="M341" s="32">
        <f>ROUND(ROUND(J341, 2)*I341, 2)</f>
        <v>65694.240000000005</v>
      </c>
      <c r="P341" s="33">
        <v>495.9</v>
      </c>
      <c r="S341" s="32">
        <f>ROUND(ROUND(P341, 2)*I341, 2)</f>
        <v>26778.6</v>
      </c>
      <c r="V341" s="9">
        <f>ROUND(ROUND(P341, 2)/1.2, 2)</f>
        <v>413.25</v>
      </c>
      <c r="Y341" s="9">
        <f t="shared" si="15"/>
        <v>22315.5</v>
      </c>
      <c r="AD341" s="4" t="s">
        <v>1358</v>
      </c>
      <c r="AE341" s="4" t="s">
        <v>1359</v>
      </c>
      <c r="AF341" s="4" t="s">
        <v>1245</v>
      </c>
    </row>
    <row r="342" spans="1:35" ht="108" x14ac:dyDescent="0.3">
      <c r="A342" s="10" t="s">
        <v>1360</v>
      </c>
      <c r="B342" s="10" t="s">
        <v>1230</v>
      </c>
      <c r="C342" s="11" t="s">
        <v>1231</v>
      </c>
      <c r="D342" s="12"/>
      <c r="E342" s="12" t="s">
        <v>1276</v>
      </c>
      <c r="F342" s="12" t="s">
        <v>59</v>
      </c>
      <c r="G342" s="13">
        <v>1</v>
      </c>
      <c r="H342" s="13"/>
      <c r="I342" s="13">
        <v>1285.3</v>
      </c>
      <c r="J342" s="14">
        <f>IFERROR(ROUND(SUM(M343,M344)/I342, 2),0)</f>
        <v>378.29</v>
      </c>
      <c r="K342" s="15">
        <v>428</v>
      </c>
      <c r="L342" s="14">
        <f>J342+ROUND(K342, 2)</f>
        <v>806.29</v>
      </c>
      <c r="M342" s="14">
        <f>ROUND(J342*I342, 2)</f>
        <v>486216.14</v>
      </c>
      <c r="N342" s="14">
        <f>ROUND(I342*ROUND(K342, 2), 2)</f>
        <v>550108.4</v>
      </c>
      <c r="O342" s="14">
        <f>M342+N342</f>
        <v>1036324.54</v>
      </c>
      <c r="P342" s="14">
        <f>IFERROR(ROUND(SUM(S343,S344)/I342, 2),0)</f>
        <v>162.09</v>
      </c>
      <c r="Q342" s="16">
        <v>642</v>
      </c>
      <c r="R342" s="14">
        <f>P342+ROUND(Q342, 2)</f>
        <v>804.09</v>
      </c>
      <c r="S342" s="14">
        <f>ROUND(P342*I342, 2)</f>
        <v>208334.28</v>
      </c>
      <c r="T342" s="14">
        <f>ROUND(I342*ROUND(Q342, 2), 2)</f>
        <v>825162.6</v>
      </c>
      <c r="U342" s="14">
        <f>S342+T342</f>
        <v>1033496.88</v>
      </c>
      <c r="V342" s="9">
        <f>ROUND(P342 / 1.2, 2)</f>
        <v>135.08000000000001</v>
      </c>
      <c r="W342" s="9">
        <f>ROUND(Q342 / 1.2, 2)</f>
        <v>535</v>
      </c>
      <c r="X342" s="9">
        <f>ROUND(R342 / 1.2, 2)</f>
        <v>670.08</v>
      </c>
      <c r="Y342" s="9">
        <f t="shared" si="15"/>
        <v>173611.9</v>
      </c>
      <c r="Z342" s="9">
        <f>ROUND(T342 / 1.2, 2)</f>
        <v>687635.5</v>
      </c>
      <c r="AA342" s="9">
        <f>Y342+Z342</f>
        <v>861247.4</v>
      </c>
      <c r="AD342" s="4">
        <v>304337668</v>
      </c>
      <c r="AE342" s="4">
        <v>21950048</v>
      </c>
      <c r="AG342" s="4" t="s">
        <v>1232</v>
      </c>
      <c r="AH342" s="4" t="s">
        <v>1233</v>
      </c>
      <c r="AI342" s="4" t="s">
        <v>260</v>
      </c>
    </row>
    <row r="343" spans="1:35" ht="36" x14ac:dyDescent="0.3">
      <c r="A343" s="10" t="s">
        <v>1361</v>
      </c>
      <c r="B343" s="10"/>
      <c r="C343" s="28" t="s">
        <v>1242</v>
      </c>
      <c r="D343" s="12"/>
      <c r="E343" s="12"/>
      <c r="F343" s="29" t="s">
        <v>265</v>
      </c>
      <c r="G343" s="30">
        <v>0.3</v>
      </c>
      <c r="H343" s="30"/>
      <c r="I343" s="30">
        <v>385.59</v>
      </c>
      <c r="J343" s="31">
        <v>1216.56</v>
      </c>
      <c r="M343" s="32">
        <f>ROUND(ROUND(J343, 2)*I343, 2)</f>
        <v>469093.37</v>
      </c>
      <c r="P343" s="33">
        <v>495.9</v>
      </c>
      <c r="S343" s="32">
        <f>ROUND(ROUND(P343, 2)*I343, 2)</f>
        <v>191214.07999999999</v>
      </c>
      <c r="V343" s="9">
        <f>ROUND(ROUND(P343, 2)/1.2, 2)</f>
        <v>413.25</v>
      </c>
      <c r="Y343" s="9">
        <f t="shared" si="15"/>
        <v>159345.07</v>
      </c>
      <c r="AD343" s="4" t="s">
        <v>1362</v>
      </c>
      <c r="AE343" s="4" t="s">
        <v>1363</v>
      </c>
      <c r="AF343" s="4" t="s">
        <v>1245</v>
      </c>
    </row>
    <row r="344" spans="1:35" ht="36" x14ac:dyDescent="0.3">
      <c r="A344" s="10" t="s">
        <v>1364</v>
      </c>
      <c r="B344" s="10"/>
      <c r="C344" s="28" t="s">
        <v>682</v>
      </c>
      <c r="D344" s="12"/>
      <c r="E344" s="12"/>
      <c r="F344" s="29" t="s">
        <v>265</v>
      </c>
      <c r="G344" s="30">
        <v>0.15</v>
      </c>
      <c r="H344" s="30"/>
      <c r="I344" s="30">
        <v>192.79499999999999</v>
      </c>
      <c r="J344" s="31">
        <v>88.8</v>
      </c>
      <c r="M344" s="32">
        <f>ROUND(ROUND(J344, 2)*I344, 2)</f>
        <v>17120.2</v>
      </c>
      <c r="P344" s="33">
        <v>88.8</v>
      </c>
      <c r="S344" s="32">
        <f>ROUND(ROUND(P344, 2)*I344, 2)</f>
        <v>17120.2</v>
      </c>
      <c r="V344" s="9">
        <f>ROUND(ROUND(P344, 2)/1.2, 2)</f>
        <v>74</v>
      </c>
      <c r="Y344" s="9">
        <f t="shared" si="15"/>
        <v>14266.83</v>
      </c>
      <c r="AD344" s="4" t="s">
        <v>1365</v>
      </c>
      <c r="AE344" s="4" t="s">
        <v>1366</v>
      </c>
      <c r="AF344" s="4" t="s">
        <v>685</v>
      </c>
    </row>
    <row r="345" spans="1:35" ht="108" x14ac:dyDescent="0.3">
      <c r="A345" s="10" t="s">
        <v>1367</v>
      </c>
      <c r="B345" s="10" t="s">
        <v>1230</v>
      </c>
      <c r="C345" s="11" t="s">
        <v>1231</v>
      </c>
      <c r="D345" s="12"/>
      <c r="E345" s="12" t="s">
        <v>1289</v>
      </c>
      <c r="F345" s="12" t="s">
        <v>59</v>
      </c>
      <c r="G345" s="13">
        <v>1</v>
      </c>
      <c r="H345" s="13"/>
      <c r="I345" s="13">
        <v>101.4</v>
      </c>
      <c r="J345" s="14">
        <f>IFERROR(ROUND(SUM(M346,M347)/I345, 2),0)</f>
        <v>378.29</v>
      </c>
      <c r="K345" s="15">
        <v>428</v>
      </c>
      <c r="L345" s="14">
        <f>J345+ROUND(K345, 2)</f>
        <v>806.29</v>
      </c>
      <c r="M345" s="14">
        <f>ROUND(J345*I345, 2)</f>
        <v>38358.61</v>
      </c>
      <c r="N345" s="14">
        <f>ROUND(I345*ROUND(K345, 2), 2)</f>
        <v>43399.199999999997</v>
      </c>
      <c r="O345" s="14">
        <f>M345+N345</f>
        <v>81757.81</v>
      </c>
      <c r="P345" s="14">
        <f>IFERROR(ROUND(SUM(S346,S347)/I345, 2),0)</f>
        <v>162.09</v>
      </c>
      <c r="Q345" s="16">
        <v>642</v>
      </c>
      <c r="R345" s="14">
        <f>P345+ROUND(Q345, 2)</f>
        <v>804.09</v>
      </c>
      <c r="S345" s="14">
        <f>ROUND(P345*I345, 2)</f>
        <v>16435.93</v>
      </c>
      <c r="T345" s="14">
        <f>ROUND(I345*ROUND(Q345, 2), 2)</f>
        <v>65098.8</v>
      </c>
      <c r="U345" s="14">
        <f>S345+T345</f>
        <v>81534.73</v>
      </c>
      <c r="V345" s="9">
        <f>ROUND(P345 / 1.2, 2)</f>
        <v>135.08000000000001</v>
      </c>
      <c r="W345" s="9">
        <f>ROUND(Q345 / 1.2, 2)</f>
        <v>535</v>
      </c>
      <c r="X345" s="9">
        <f>ROUND(R345 / 1.2, 2)</f>
        <v>670.08</v>
      </c>
      <c r="Y345" s="9">
        <f t="shared" si="15"/>
        <v>13696.61</v>
      </c>
      <c r="Z345" s="9">
        <f>ROUND(T345 / 1.2, 2)</f>
        <v>54249</v>
      </c>
      <c r="AA345" s="9">
        <f>Y345+Z345</f>
        <v>67945.61</v>
      </c>
      <c r="AD345" s="4">
        <v>304337669</v>
      </c>
      <c r="AE345" s="4">
        <v>21950050</v>
      </c>
      <c r="AG345" s="4" t="s">
        <v>1232</v>
      </c>
      <c r="AH345" s="4" t="s">
        <v>1233</v>
      </c>
      <c r="AI345" s="4" t="s">
        <v>260</v>
      </c>
    </row>
    <row r="346" spans="1:35" ht="36" x14ac:dyDescent="0.3">
      <c r="A346" s="10" t="s">
        <v>1368</v>
      </c>
      <c r="B346" s="10"/>
      <c r="C346" s="28" t="s">
        <v>682</v>
      </c>
      <c r="D346" s="12"/>
      <c r="E346" s="12"/>
      <c r="F346" s="29" t="s">
        <v>265</v>
      </c>
      <c r="G346" s="30">
        <v>0.15</v>
      </c>
      <c r="H346" s="30"/>
      <c r="I346" s="30">
        <v>15.21</v>
      </c>
      <c r="J346" s="31">
        <v>88.8</v>
      </c>
      <c r="M346" s="32">
        <f>ROUND(ROUND(J346, 2)*I346, 2)</f>
        <v>1350.65</v>
      </c>
      <c r="P346" s="33">
        <v>88.8</v>
      </c>
      <c r="S346" s="32">
        <f>ROUND(ROUND(P346, 2)*I346, 2)</f>
        <v>1350.65</v>
      </c>
      <c r="V346" s="9">
        <f>ROUND(ROUND(P346, 2)/1.2, 2)</f>
        <v>74</v>
      </c>
      <c r="Y346" s="9">
        <f t="shared" si="15"/>
        <v>1125.54</v>
      </c>
      <c r="AD346" s="4" t="s">
        <v>1369</v>
      </c>
      <c r="AE346" s="4" t="s">
        <v>1370</v>
      </c>
      <c r="AF346" s="4" t="s">
        <v>685</v>
      </c>
    </row>
    <row r="347" spans="1:35" ht="36" x14ac:dyDescent="0.3">
      <c r="A347" s="10" t="s">
        <v>1371</v>
      </c>
      <c r="B347" s="10"/>
      <c r="C347" s="28" t="s">
        <v>1242</v>
      </c>
      <c r="D347" s="12"/>
      <c r="E347" s="12"/>
      <c r="F347" s="29" t="s">
        <v>265</v>
      </c>
      <c r="G347" s="30">
        <v>0.3</v>
      </c>
      <c r="H347" s="30"/>
      <c r="I347" s="30">
        <v>30.42</v>
      </c>
      <c r="J347" s="31">
        <v>1216.56</v>
      </c>
      <c r="M347" s="32">
        <f>ROUND(ROUND(J347, 2)*I347, 2)</f>
        <v>37007.760000000002</v>
      </c>
      <c r="P347" s="33">
        <v>495.9</v>
      </c>
      <c r="S347" s="32">
        <f>ROUND(ROUND(P347, 2)*I347, 2)</f>
        <v>15085.28</v>
      </c>
      <c r="V347" s="9">
        <f>ROUND(ROUND(P347, 2)/1.2, 2)</f>
        <v>413.25</v>
      </c>
      <c r="Y347" s="9">
        <f t="shared" si="15"/>
        <v>12571.07</v>
      </c>
      <c r="AD347" s="4" t="s">
        <v>1372</v>
      </c>
      <c r="AE347" s="4" t="s">
        <v>1373</v>
      </c>
      <c r="AF347" s="4" t="s">
        <v>1245</v>
      </c>
    </row>
    <row r="348" spans="1:35" ht="108" x14ac:dyDescent="0.3">
      <c r="A348" s="10" t="s">
        <v>1374</v>
      </c>
      <c r="B348" s="10" t="s">
        <v>1230</v>
      </c>
      <c r="C348" s="11" t="s">
        <v>1231</v>
      </c>
      <c r="D348" s="12"/>
      <c r="E348" s="12" t="s">
        <v>1302</v>
      </c>
      <c r="F348" s="12" t="s">
        <v>59</v>
      </c>
      <c r="G348" s="13">
        <v>1</v>
      </c>
      <c r="H348" s="13"/>
      <c r="I348" s="13">
        <v>23.1</v>
      </c>
      <c r="J348" s="14">
        <f>IFERROR(ROUND(SUM(M349,M350)/I348, 2),0)</f>
        <v>378.29</v>
      </c>
      <c r="K348" s="15">
        <v>428</v>
      </c>
      <c r="L348" s="14">
        <f>J348+ROUND(K348, 2)</f>
        <v>806.29</v>
      </c>
      <c r="M348" s="14">
        <f>ROUND(J348*I348, 2)</f>
        <v>8738.5</v>
      </c>
      <c r="N348" s="14">
        <f>ROUND(I348*ROUND(K348, 2), 2)</f>
        <v>9886.7999999999993</v>
      </c>
      <c r="O348" s="14">
        <f>M348+N348</f>
        <v>18625.3</v>
      </c>
      <c r="P348" s="14">
        <f>IFERROR(ROUND(SUM(S349,S350)/I348, 2),0)</f>
        <v>162.09</v>
      </c>
      <c r="Q348" s="16">
        <v>642</v>
      </c>
      <c r="R348" s="14">
        <f>P348+ROUND(Q348, 2)</f>
        <v>804.09</v>
      </c>
      <c r="S348" s="14">
        <f>ROUND(P348*I348, 2)</f>
        <v>3744.28</v>
      </c>
      <c r="T348" s="14">
        <f>ROUND(I348*ROUND(Q348, 2), 2)</f>
        <v>14830.2</v>
      </c>
      <c r="U348" s="14">
        <f>S348+T348</f>
        <v>18574.48</v>
      </c>
      <c r="V348" s="9">
        <f>ROUND(P348 / 1.2, 2)</f>
        <v>135.08000000000001</v>
      </c>
      <c r="W348" s="9">
        <f>ROUND(Q348 / 1.2, 2)</f>
        <v>535</v>
      </c>
      <c r="X348" s="9">
        <f>ROUND(R348 / 1.2, 2)</f>
        <v>670.08</v>
      </c>
      <c r="Y348" s="9">
        <f t="shared" si="15"/>
        <v>3120.23</v>
      </c>
      <c r="Z348" s="9">
        <f>ROUND(T348 / 1.2, 2)</f>
        <v>12358.5</v>
      </c>
      <c r="AA348" s="9">
        <f>Y348+Z348</f>
        <v>15478.73</v>
      </c>
      <c r="AD348" s="4">
        <v>304337670</v>
      </c>
      <c r="AE348" s="4">
        <v>21950044</v>
      </c>
      <c r="AG348" s="4" t="s">
        <v>1232</v>
      </c>
      <c r="AH348" s="4" t="s">
        <v>1233</v>
      </c>
      <c r="AI348" s="4" t="s">
        <v>260</v>
      </c>
    </row>
    <row r="349" spans="1:35" ht="36" x14ac:dyDescent="0.3">
      <c r="A349" s="10" t="s">
        <v>1375</v>
      </c>
      <c r="B349" s="10"/>
      <c r="C349" s="28" t="s">
        <v>1242</v>
      </c>
      <c r="D349" s="12"/>
      <c r="E349" s="12"/>
      <c r="F349" s="29" t="s">
        <v>265</v>
      </c>
      <c r="G349" s="30">
        <v>0.3</v>
      </c>
      <c r="H349" s="30"/>
      <c r="I349" s="30">
        <v>6.93</v>
      </c>
      <c r="J349" s="31">
        <v>1216.56</v>
      </c>
      <c r="M349" s="32">
        <f>ROUND(ROUND(J349, 2)*I349, 2)</f>
        <v>8430.76</v>
      </c>
      <c r="P349" s="33">
        <v>495.9</v>
      </c>
      <c r="S349" s="32">
        <f>ROUND(ROUND(P349, 2)*I349, 2)</f>
        <v>3436.59</v>
      </c>
      <c r="V349" s="9">
        <f>ROUND(ROUND(P349, 2)/1.2, 2)</f>
        <v>413.25</v>
      </c>
      <c r="Y349" s="9">
        <f t="shared" si="15"/>
        <v>2863.83</v>
      </c>
      <c r="AD349" s="4" t="s">
        <v>1376</v>
      </c>
      <c r="AE349" s="4" t="s">
        <v>1377</v>
      </c>
      <c r="AF349" s="4" t="s">
        <v>1245</v>
      </c>
    </row>
    <row r="350" spans="1:35" ht="36" x14ac:dyDescent="0.3">
      <c r="A350" s="10" t="s">
        <v>1378</v>
      </c>
      <c r="B350" s="10"/>
      <c r="C350" s="28" t="s">
        <v>682</v>
      </c>
      <c r="D350" s="12"/>
      <c r="E350" s="12"/>
      <c r="F350" s="29" t="s">
        <v>265</v>
      </c>
      <c r="G350" s="30">
        <v>0.15</v>
      </c>
      <c r="H350" s="30"/>
      <c r="I350" s="30">
        <v>3.4649999999999999</v>
      </c>
      <c r="J350" s="31">
        <v>88.8</v>
      </c>
      <c r="M350" s="32">
        <f>ROUND(ROUND(J350, 2)*I350, 2)</f>
        <v>307.69</v>
      </c>
      <c r="P350" s="33">
        <v>88.8</v>
      </c>
      <c r="S350" s="32">
        <f>ROUND(ROUND(P350, 2)*I350, 2)</f>
        <v>307.69</v>
      </c>
      <c r="V350" s="9">
        <f>ROUND(ROUND(P350, 2)/1.2, 2)</f>
        <v>74</v>
      </c>
      <c r="Y350" s="9">
        <f t="shared" si="15"/>
        <v>256.41000000000003</v>
      </c>
      <c r="AD350" s="4" t="s">
        <v>1379</v>
      </c>
      <c r="AE350" s="4" t="s">
        <v>1380</v>
      </c>
      <c r="AF350" s="4" t="s">
        <v>685</v>
      </c>
    </row>
    <row r="351" spans="1:35" ht="108" x14ac:dyDescent="0.3">
      <c r="A351" s="10" t="s">
        <v>1381</v>
      </c>
      <c r="B351" s="10" t="s">
        <v>1230</v>
      </c>
      <c r="C351" s="11" t="s">
        <v>1231</v>
      </c>
      <c r="D351" s="12"/>
      <c r="E351" s="12" t="s">
        <v>1315</v>
      </c>
      <c r="F351" s="12" t="s">
        <v>59</v>
      </c>
      <c r="G351" s="13">
        <v>1</v>
      </c>
      <c r="H351" s="13"/>
      <c r="I351" s="13">
        <v>18.5</v>
      </c>
      <c r="J351" s="14">
        <f>IFERROR(ROUND(SUM(M352,M353)/I351, 2),0)</f>
        <v>378.29</v>
      </c>
      <c r="K351" s="15">
        <v>428</v>
      </c>
      <c r="L351" s="14">
        <f>J351+ROUND(K351, 2)</f>
        <v>806.29</v>
      </c>
      <c r="M351" s="14">
        <f>ROUND(J351*I351, 2)</f>
        <v>6998.37</v>
      </c>
      <c r="N351" s="14">
        <f>ROUND(I351*ROUND(K351, 2), 2)</f>
        <v>7918</v>
      </c>
      <c r="O351" s="14">
        <f>M351+N351</f>
        <v>14916.37</v>
      </c>
      <c r="P351" s="14">
        <f>IFERROR(ROUND(SUM(S352,S353)/I351, 2),0)</f>
        <v>162.09</v>
      </c>
      <c r="Q351" s="16">
        <v>642</v>
      </c>
      <c r="R351" s="14">
        <f>P351+ROUND(Q351, 2)</f>
        <v>804.09</v>
      </c>
      <c r="S351" s="14">
        <f>ROUND(P351*I351, 2)</f>
        <v>2998.67</v>
      </c>
      <c r="T351" s="14">
        <f>ROUND(I351*ROUND(Q351, 2), 2)</f>
        <v>11877</v>
      </c>
      <c r="U351" s="14">
        <f>S351+T351</f>
        <v>14875.67</v>
      </c>
      <c r="V351" s="9">
        <f>ROUND(P351 / 1.2, 2)</f>
        <v>135.08000000000001</v>
      </c>
      <c r="W351" s="9">
        <f>ROUND(Q351 / 1.2, 2)</f>
        <v>535</v>
      </c>
      <c r="X351" s="9">
        <f>ROUND(R351 / 1.2, 2)</f>
        <v>670.08</v>
      </c>
      <c r="Y351" s="9">
        <f t="shared" si="15"/>
        <v>2498.89</v>
      </c>
      <c r="Z351" s="9">
        <f>ROUND(T351 / 1.2, 2)</f>
        <v>9897.5</v>
      </c>
      <c r="AA351" s="9">
        <f>Y351+Z351</f>
        <v>12396.39</v>
      </c>
      <c r="AD351" s="4">
        <v>304337671</v>
      </c>
      <c r="AE351" s="4">
        <v>21950046</v>
      </c>
      <c r="AG351" s="4" t="s">
        <v>1232</v>
      </c>
      <c r="AH351" s="4" t="s">
        <v>1233</v>
      </c>
      <c r="AI351" s="4" t="s">
        <v>260</v>
      </c>
    </row>
    <row r="352" spans="1:35" ht="36" x14ac:dyDescent="0.3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30">
        <v>2.7749999999999999</v>
      </c>
      <c r="J352" s="31">
        <v>88.8</v>
      </c>
      <c r="M352" s="32">
        <f>ROUND(ROUND(J352, 2)*I352, 2)</f>
        <v>246.42</v>
      </c>
      <c r="P352" s="33">
        <v>88.8</v>
      </c>
      <c r="S352" s="32">
        <f>ROUND(ROUND(P352, 2)*I352, 2)</f>
        <v>246.42</v>
      </c>
      <c r="V352" s="9">
        <f>ROUND(ROUND(P352, 2)/1.2, 2)</f>
        <v>74</v>
      </c>
      <c r="Y352" s="9">
        <f t="shared" si="15"/>
        <v>205.35</v>
      </c>
      <c r="AD352" s="4" t="s">
        <v>1383</v>
      </c>
      <c r="AE352" s="4" t="s">
        <v>1384</v>
      </c>
      <c r="AF352" s="4" t="s">
        <v>685</v>
      </c>
    </row>
    <row r="353" spans="1:35" ht="36" x14ac:dyDescent="0.3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30">
        <v>5.55</v>
      </c>
      <c r="J353" s="31">
        <v>1216.56</v>
      </c>
      <c r="M353" s="32">
        <f>ROUND(ROUND(J353, 2)*I353, 2)</f>
        <v>6751.91</v>
      </c>
      <c r="P353" s="33">
        <v>495.9</v>
      </c>
      <c r="S353" s="32">
        <f>ROUND(ROUND(P353, 2)*I353, 2)</f>
        <v>2752.25</v>
      </c>
      <c r="V353" s="9">
        <f>ROUND(ROUND(P353, 2)/1.2, 2)</f>
        <v>413.25</v>
      </c>
      <c r="Y353" s="9">
        <f t="shared" si="15"/>
        <v>2293.54</v>
      </c>
      <c r="AD353" s="4" t="s">
        <v>1386</v>
      </c>
      <c r="AE353" s="4" t="s">
        <v>1387</v>
      </c>
      <c r="AF353" s="4" t="s">
        <v>1245</v>
      </c>
    </row>
    <row r="354" spans="1:35" ht="54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3">
        <v>253.5</v>
      </c>
      <c r="J354" s="14">
        <f>IFERROR(ROUND(SUM(M355,M356)/I354, 2),0)</f>
        <v>378.29</v>
      </c>
      <c r="K354" s="15">
        <v>428</v>
      </c>
      <c r="L354" s="14">
        <f>J354+ROUND(K354, 2)</f>
        <v>806.29</v>
      </c>
      <c r="M354" s="14">
        <f>ROUND(J354*I354, 2)</f>
        <v>95896.52</v>
      </c>
      <c r="N354" s="14">
        <f>ROUND(I354*ROUND(K354, 2), 2)</f>
        <v>108498</v>
      </c>
      <c r="O354" s="14">
        <f>M354+N354</f>
        <v>204394.52</v>
      </c>
      <c r="P354" s="14">
        <f>IFERROR(ROUND(SUM(S355,S356)/I354, 2),0)</f>
        <v>162.09</v>
      </c>
      <c r="Q354" s="16">
        <v>642</v>
      </c>
      <c r="R354" s="14">
        <f>P354+ROUND(Q354, 2)</f>
        <v>804.09</v>
      </c>
      <c r="S354" s="14">
        <f>ROUND(P354*I354, 2)</f>
        <v>41089.82</v>
      </c>
      <c r="T354" s="14">
        <f>ROUND(I354*ROUND(Q354, 2), 2)</f>
        <v>162747</v>
      </c>
      <c r="U354" s="14">
        <f>S354+T354</f>
        <v>203836.82</v>
      </c>
      <c r="V354" s="9">
        <f>ROUND(P354 / 1.2, 2)</f>
        <v>135.08000000000001</v>
      </c>
      <c r="W354" s="9">
        <f>ROUND(Q354 / 1.2, 2)</f>
        <v>535</v>
      </c>
      <c r="X354" s="9">
        <f>ROUND(R354 / 1.2, 2)</f>
        <v>670.08</v>
      </c>
      <c r="Y354" s="9">
        <f t="shared" si="15"/>
        <v>34241.519999999997</v>
      </c>
      <c r="Z354" s="9">
        <f>ROUND(T354 / 1.2, 2)</f>
        <v>135622.5</v>
      </c>
      <c r="AA354" s="9">
        <f>Y354+Z354</f>
        <v>169864.02</v>
      </c>
      <c r="AD354" s="4">
        <v>304337672</v>
      </c>
      <c r="AE354" s="4">
        <v>21950073</v>
      </c>
      <c r="AG354" s="4" t="s">
        <v>1232</v>
      </c>
      <c r="AH354" s="4" t="s">
        <v>1233</v>
      </c>
      <c r="AI354" s="4" t="s">
        <v>260</v>
      </c>
    </row>
    <row r="355" spans="1:35" ht="36" x14ac:dyDescent="0.3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30">
        <v>76.05</v>
      </c>
      <c r="J355" s="31">
        <v>1216.56</v>
      </c>
      <c r="M355" s="32">
        <f>ROUND(ROUND(J355, 2)*I355, 2)</f>
        <v>92519.39</v>
      </c>
      <c r="P355" s="33">
        <v>495.9</v>
      </c>
      <c r="S355" s="32">
        <f>ROUND(ROUND(P355, 2)*I355, 2)</f>
        <v>37713.199999999997</v>
      </c>
      <c r="V355" s="9">
        <f>ROUND(ROUND(P355, 2)/1.2, 2)</f>
        <v>413.25</v>
      </c>
      <c r="Y355" s="9">
        <f t="shared" si="15"/>
        <v>31427.67</v>
      </c>
      <c r="AD355" s="4" t="s">
        <v>1390</v>
      </c>
      <c r="AE355" s="4" t="s">
        <v>1391</v>
      </c>
      <c r="AF355" s="4" t="s">
        <v>1245</v>
      </c>
    </row>
    <row r="356" spans="1:35" ht="36" x14ac:dyDescent="0.3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30">
        <v>38.024999999999999</v>
      </c>
      <c r="J356" s="31">
        <v>88.8</v>
      </c>
      <c r="M356" s="32">
        <f>ROUND(ROUND(J356, 2)*I356, 2)</f>
        <v>3376.62</v>
      </c>
      <c r="P356" s="33">
        <v>88.8</v>
      </c>
      <c r="S356" s="32">
        <f>ROUND(ROUND(P356, 2)*I356, 2)</f>
        <v>3376.62</v>
      </c>
      <c r="V356" s="9">
        <f>ROUND(ROUND(P356, 2)/1.2, 2)</f>
        <v>74</v>
      </c>
      <c r="Y356" s="9">
        <f t="shared" si="15"/>
        <v>2813.85</v>
      </c>
      <c r="AD356" s="4" t="s">
        <v>1393</v>
      </c>
      <c r="AE356" s="4" t="s">
        <v>1394</v>
      </c>
      <c r="AF356" s="4" t="s">
        <v>685</v>
      </c>
    </row>
    <row r="357" spans="1:35" ht="36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3">
        <v>0</v>
      </c>
      <c r="J357" s="14">
        <f>IFERROR(ROUND(SUM(M358,M359)/I357, 2),0)</f>
        <v>0</v>
      </c>
      <c r="K357" s="15">
        <v>472</v>
      </c>
      <c r="L357" s="14">
        <f>J357+ROUND(K357, 2)</f>
        <v>472</v>
      </c>
      <c r="M357" s="14">
        <f>ROUND(J357*I357, 2)</f>
        <v>0</v>
      </c>
      <c r="N357" s="14">
        <f>ROUND(I357*ROUND(K357, 2), 2)</f>
        <v>0</v>
      </c>
      <c r="O357" s="14">
        <f>M357+N357</f>
        <v>0</v>
      </c>
      <c r="P357" s="14">
        <f>IFERROR(ROUND(SUM(S358,S359)/I357, 2),0)</f>
        <v>0</v>
      </c>
      <c r="Q357" s="15">
        <v>472</v>
      </c>
      <c r="R357" s="14">
        <f>P357+ROUND(Q357, 2)</f>
        <v>472</v>
      </c>
      <c r="S357" s="14">
        <f>ROUND(P357*I357, 2)</f>
        <v>0</v>
      </c>
      <c r="T357" s="14">
        <f>ROUND(I357*ROUND(Q357, 2), 2)</f>
        <v>0</v>
      </c>
      <c r="U357" s="14">
        <f>S357+T357</f>
        <v>0</v>
      </c>
      <c r="V357" s="9">
        <f>ROUND(P357 / 1.2, 2)</f>
        <v>0</v>
      </c>
      <c r="W357" s="9">
        <f>ROUND(Q357 / 1.2, 2)</f>
        <v>393.33</v>
      </c>
      <c r="X357" s="9">
        <f>ROUND(R357 / 1.2, 2)</f>
        <v>393.33</v>
      </c>
      <c r="Y357" s="9">
        <f t="shared" si="15"/>
        <v>0</v>
      </c>
      <c r="Z357" s="9">
        <f>ROUND(T357 / 1.2, 2)</f>
        <v>0</v>
      </c>
      <c r="AA357" s="9">
        <f>Y357+Z357</f>
        <v>0</v>
      </c>
      <c r="AD357" s="4">
        <v>304337568</v>
      </c>
      <c r="AE357" s="4">
        <v>20300711</v>
      </c>
      <c r="AG357" s="4" t="s">
        <v>1398</v>
      </c>
      <c r="AH357" s="4" t="s">
        <v>1399</v>
      </c>
      <c r="AI357" s="4" t="s">
        <v>260</v>
      </c>
    </row>
    <row r="358" spans="1:35" ht="18" x14ac:dyDescent="0.3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30">
        <v>0</v>
      </c>
      <c r="J358" s="31">
        <v>938.78</v>
      </c>
      <c r="M358" s="32">
        <f>ROUND(ROUND(J358, 2)*I358, 2)</f>
        <v>0</v>
      </c>
      <c r="P358" s="31">
        <v>495.9</v>
      </c>
      <c r="S358" s="32">
        <f>ROUND(ROUND(P358, 2)*I358, 2)</f>
        <v>0</v>
      </c>
      <c r="V358" s="9">
        <f>ROUND(ROUND(P358, 2)/1.2, 2)</f>
        <v>413.25</v>
      </c>
      <c r="Y358" s="9">
        <f t="shared" si="15"/>
        <v>0</v>
      </c>
      <c r="AD358" s="4" t="s">
        <v>1404</v>
      </c>
      <c r="AE358" s="4" t="s">
        <v>1405</v>
      </c>
      <c r="AF358" s="4" t="s">
        <v>1406</v>
      </c>
    </row>
    <row r="359" spans="1:35" ht="36" x14ac:dyDescent="0.3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30">
        <v>0</v>
      </c>
      <c r="J359" s="31">
        <v>88.8</v>
      </c>
      <c r="M359" s="32">
        <f>ROUND(ROUND(J359, 2)*I359, 2)</f>
        <v>0</v>
      </c>
      <c r="P359" s="31">
        <v>88.8</v>
      </c>
      <c r="S359" s="32">
        <f>ROUND(ROUND(P359, 2)*I359, 2)</f>
        <v>0</v>
      </c>
      <c r="V359" s="9">
        <f>ROUND(ROUND(P359, 2)/1.2, 2)</f>
        <v>74</v>
      </c>
      <c r="Y359" s="9">
        <f t="shared" si="15"/>
        <v>0</v>
      </c>
      <c r="AD359" s="4" t="s">
        <v>1410</v>
      </c>
      <c r="AE359" s="4" t="s">
        <v>1411</v>
      </c>
      <c r="AF359" s="4" t="s">
        <v>685</v>
      </c>
    </row>
    <row r="360" spans="1:35" ht="108" x14ac:dyDescent="0.3">
      <c r="A360" s="10" t="s">
        <v>1414</v>
      </c>
      <c r="B360" s="10" t="s">
        <v>1396</v>
      </c>
      <c r="C360" s="11" t="s">
        <v>1397</v>
      </c>
      <c r="D360" s="12"/>
      <c r="E360" s="12" t="s">
        <v>1401</v>
      </c>
      <c r="F360" s="12" t="s">
        <v>59</v>
      </c>
      <c r="G360" s="13">
        <v>1</v>
      </c>
      <c r="H360" s="13"/>
      <c r="I360" s="13">
        <v>170.8</v>
      </c>
      <c r="J360" s="14">
        <f>IFERROR(ROUND(SUM(M361,M362)/I360, 2),0)</f>
        <v>290.51</v>
      </c>
      <c r="K360" s="15">
        <v>472</v>
      </c>
      <c r="L360" s="14">
        <f>J360+ROUND(K360, 2)</f>
        <v>762.51</v>
      </c>
      <c r="M360" s="14">
        <f>ROUND(J360*I360, 2)</f>
        <v>49619.11</v>
      </c>
      <c r="N360" s="14">
        <f>ROUND(I360*ROUND(K360, 2), 2)</f>
        <v>80617.600000000006</v>
      </c>
      <c r="O360" s="14">
        <f>M360+N360</f>
        <v>130236.71</v>
      </c>
      <c r="P360" s="14">
        <f>IFERROR(ROUND(SUM(S361,S362)/I360, 2),0)</f>
        <v>157.65</v>
      </c>
      <c r="Q360" s="16">
        <v>708</v>
      </c>
      <c r="R360" s="14">
        <f>P360+ROUND(Q360, 2)</f>
        <v>865.65</v>
      </c>
      <c r="S360" s="14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  <c r="V360" s="9">
        <f>ROUND(P360 / 1.2, 2)</f>
        <v>131.38</v>
      </c>
      <c r="W360" s="9">
        <f>ROUND(Q360 / 1.2, 2)</f>
        <v>590</v>
      </c>
      <c r="X360" s="9">
        <f>ROUND(R360 / 1.2, 2)</f>
        <v>721.38</v>
      </c>
      <c r="Y360" s="9">
        <f t="shared" si="15"/>
        <v>22438.85</v>
      </c>
      <c r="Z360" s="9">
        <f>ROUND(T360 / 1.2, 2)</f>
        <v>100772</v>
      </c>
      <c r="AA360" s="9">
        <f>Y360+Z360</f>
        <v>123210.85</v>
      </c>
      <c r="AD360" s="4">
        <v>304337673</v>
      </c>
      <c r="AE360" s="4">
        <v>21950049</v>
      </c>
      <c r="AG360" s="4" t="s">
        <v>1398</v>
      </c>
      <c r="AH360" s="4" t="s">
        <v>1399</v>
      </c>
      <c r="AI360" s="4" t="s">
        <v>260</v>
      </c>
    </row>
    <row r="361" spans="1:35" ht="36" x14ac:dyDescent="0.3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30">
        <v>17.079999999999998</v>
      </c>
      <c r="J361" s="31">
        <v>88.8</v>
      </c>
      <c r="M361" s="32">
        <f>ROUND(ROUND(J361, 2)*I361, 2)</f>
        <v>1516.7</v>
      </c>
      <c r="P361" s="33">
        <v>88.8</v>
      </c>
      <c r="S361" s="32">
        <f>ROUND(ROUND(P361, 2)*I361, 2)</f>
        <v>1516.7</v>
      </c>
      <c r="V361" s="9">
        <f>ROUND(ROUND(P361, 2)/1.2, 2)</f>
        <v>74</v>
      </c>
      <c r="Y361" s="9">
        <f t="shared" si="15"/>
        <v>1263.92</v>
      </c>
      <c r="AD361" s="4" t="s">
        <v>1416</v>
      </c>
      <c r="AE361" s="4" t="s">
        <v>1417</v>
      </c>
      <c r="AF361" s="4" t="s">
        <v>685</v>
      </c>
    </row>
    <row r="362" spans="1:35" ht="18" x14ac:dyDescent="0.3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30">
        <v>51.24</v>
      </c>
      <c r="J362" s="31">
        <v>938.78</v>
      </c>
      <c r="M362" s="32">
        <f>ROUND(ROUND(J362, 2)*I362, 2)</f>
        <v>48103.09</v>
      </c>
      <c r="P362" s="33">
        <v>495.9</v>
      </c>
      <c r="S362" s="32">
        <f>ROUND(ROUND(P362, 2)*I362, 2)</f>
        <v>25409.919999999998</v>
      </c>
      <c r="V362" s="9">
        <f>ROUND(ROUND(P362, 2)/1.2, 2)</f>
        <v>413.25</v>
      </c>
      <c r="Y362" s="9">
        <f t="shared" si="15"/>
        <v>21174.93</v>
      </c>
      <c r="AD362" s="4" t="s">
        <v>1419</v>
      </c>
      <c r="AE362" s="4" t="s">
        <v>1420</v>
      </c>
      <c r="AF362" s="4" t="s">
        <v>1406</v>
      </c>
    </row>
    <row r="363" spans="1:35" ht="54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3">
        <v>0</v>
      </c>
      <c r="J363" s="14">
        <f>IFERROR(ROUND(SUM(M364,M365,M366,M367)/I363, 2),0)</f>
        <v>0</v>
      </c>
      <c r="K363" s="15">
        <v>2364</v>
      </c>
      <c r="L363" s="14">
        <f>J363+ROUND(K363, 2)</f>
        <v>2364</v>
      </c>
      <c r="M363" s="14">
        <f>ROUND(J363*I363, 2)</f>
        <v>0</v>
      </c>
      <c r="N363" s="14">
        <f>ROUND(I363*ROUND(K363, 2), 2)</f>
        <v>0</v>
      </c>
      <c r="O363" s="14">
        <f>M363+N363</f>
        <v>0</v>
      </c>
      <c r="P363" s="14">
        <f>IFERROR(ROUND(SUM(S364,S365,S366,S367)/I363, 2),0)</f>
        <v>0</v>
      </c>
      <c r="Q363" s="15">
        <v>2364</v>
      </c>
      <c r="R363" s="14">
        <f>P363+ROUND(Q363, 2)</f>
        <v>2364</v>
      </c>
      <c r="S363" s="14">
        <f>ROUND(P363*I363, 2)</f>
        <v>0</v>
      </c>
      <c r="T363" s="14">
        <f>ROUND(I363*ROUND(Q363, 2), 2)</f>
        <v>0</v>
      </c>
      <c r="U363" s="14">
        <f>S363+T363</f>
        <v>0</v>
      </c>
      <c r="V363" s="9">
        <f>ROUND(P363 / 1.2, 2)</f>
        <v>0</v>
      </c>
      <c r="W363" s="9">
        <f>ROUND(Q363 / 1.2, 2)</f>
        <v>1970</v>
      </c>
      <c r="X363" s="9">
        <f>ROUND(R363 / 1.2, 2)</f>
        <v>1970</v>
      </c>
      <c r="Y363" s="9">
        <f t="shared" si="15"/>
        <v>0</v>
      </c>
      <c r="Z363" s="9">
        <f>ROUND(T363 / 1.2, 2)</f>
        <v>0</v>
      </c>
      <c r="AA363" s="9">
        <f>Y363+Z363</f>
        <v>0</v>
      </c>
      <c r="AD363" s="4">
        <v>304337570</v>
      </c>
      <c r="AE363" s="4">
        <v>20336106</v>
      </c>
      <c r="AG363" s="4" t="s">
        <v>1424</v>
      </c>
      <c r="AH363" s="4" t="s">
        <v>1425</v>
      </c>
      <c r="AI363" s="4" t="s">
        <v>260</v>
      </c>
    </row>
    <row r="364" spans="1:35" ht="36" x14ac:dyDescent="0.3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49">
        <v>0</v>
      </c>
      <c r="J364" s="31">
        <v>40.270000000000003</v>
      </c>
      <c r="M364" s="32">
        <f>ROUND(ROUND(J364, 2)*I364, 2)</f>
        <v>0</v>
      </c>
      <c r="P364" s="31">
        <v>40.270000000000003</v>
      </c>
      <c r="S364" s="32">
        <f>ROUND(ROUND(P364, 2)*I364, 2)</f>
        <v>0</v>
      </c>
      <c r="V364" s="9">
        <f>ROUND(ROUND(P364, 2)/1.2, 2)</f>
        <v>33.56</v>
      </c>
      <c r="Y364" s="9">
        <f t="shared" si="15"/>
        <v>0</v>
      </c>
      <c r="AD364" s="4" t="s">
        <v>1429</v>
      </c>
      <c r="AE364" s="4" t="s">
        <v>1430</v>
      </c>
      <c r="AF364" s="4" t="s">
        <v>793</v>
      </c>
    </row>
    <row r="365" spans="1:35" ht="36" x14ac:dyDescent="0.3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30">
        <v>0</v>
      </c>
      <c r="J365" s="31">
        <v>68.400000000000006</v>
      </c>
      <c r="M365" s="32">
        <f>ROUND(ROUND(J365, 2)*I365, 2)</f>
        <v>0</v>
      </c>
      <c r="P365" s="31">
        <v>68.400000000000006</v>
      </c>
      <c r="S365" s="32">
        <f>ROUND(ROUND(P365, 2)*I365, 2)</f>
        <v>0</v>
      </c>
      <c r="V365" s="9">
        <f>ROUND(ROUND(P365, 2)/1.2, 2)</f>
        <v>57</v>
      </c>
      <c r="Y365" s="9">
        <f t="shared" si="15"/>
        <v>0</v>
      </c>
      <c r="AD365" s="4" t="s">
        <v>1435</v>
      </c>
      <c r="AE365" s="4" t="s">
        <v>1436</v>
      </c>
      <c r="AF365" s="4" t="s">
        <v>1437</v>
      </c>
    </row>
    <row r="366" spans="1:35" ht="36" x14ac:dyDescent="0.3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49">
        <v>0</v>
      </c>
      <c r="J366" s="31">
        <v>16.96</v>
      </c>
      <c r="M366" s="32">
        <f>ROUND(ROUND(J366, 2)*I366, 2)</f>
        <v>0</v>
      </c>
      <c r="P366" s="31">
        <v>16.96</v>
      </c>
      <c r="S366" s="32">
        <f>ROUND(ROUND(P366, 2)*I366, 2)</f>
        <v>0</v>
      </c>
      <c r="V366" s="9">
        <f>ROUND(ROUND(P366, 2)/1.2, 2)</f>
        <v>14.13</v>
      </c>
      <c r="Y366" s="9">
        <f t="shared" ref="Y366:Y397" si="16">ROUND(S366 / 1.2, 2)</f>
        <v>0</v>
      </c>
      <c r="AD366" s="4" t="s">
        <v>1441</v>
      </c>
      <c r="AE366" s="4" t="s">
        <v>1442</v>
      </c>
      <c r="AF366" s="4" t="s">
        <v>825</v>
      </c>
    </row>
    <row r="367" spans="1:35" ht="36" x14ac:dyDescent="0.3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49">
        <v>0</v>
      </c>
      <c r="J367" s="31">
        <v>1384.95</v>
      </c>
      <c r="M367" s="32">
        <f>ROUND(ROUND(J367, 2)*I367, 2)</f>
        <v>0</v>
      </c>
      <c r="P367" s="31">
        <v>545.29999999999995</v>
      </c>
      <c r="S367" s="32">
        <f>ROUND(ROUND(P367, 2)*I367, 2)</f>
        <v>0</v>
      </c>
      <c r="V367" s="9">
        <f>ROUND(ROUND(P367, 2)/1.2, 2)</f>
        <v>454.42</v>
      </c>
      <c r="Y367" s="9">
        <f t="shared" si="16"/>
        <v>0</v>
      </c>
      <c r="AD367" s="4" t="s">
        <v>1447</v>
      </c>
      <c r="AE367" s="4" t="s">
        <v>1448</v>
      </c>
      <c r="AF367" s="4" t="s">
        <v>1449</v>
      </c>
    </row>
    <row r="368" spans="1:35" ht="54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3">
        <v>0</v>
      </c>
      <c r="J368" s="14">
        <f>IFERROR(ROUND(SUM(M369,M370,M371,M372)/I368, 2),0)</f>
        <v>0</v>
      </c>
      <c r="K368" s="15">
        <v>2364</v>
      </c>
      <c r="L368" s="14">
        <f>J368+ROUND(K368, 2)</f>
        <v>2364</v>
      </c>
      <c r="M368" s="14">
        <f>ROUND(J368*I368, 2)</f>
        <v>0</v>
      </c>
      <c r="N368" s="14">
        <f>ROUND(I368*ROUND(K368, 2), 2)</f>
        <v>0</v>
      </c>
      <c r="O368" s="14">
        <f>M368+N368</f>
        <v>0</v>
      </c>
      <c r="P368" s="14">
        <f>IFERROR(ROUND(SUM(S369,S370,S371,S372)/I368, 2),0)</f>
        <v>0</v>
      </c>
      <c r="Q368" s="15">
        <v>2364</v>
      </c>
      <c r="R368" s="14">
        <f>P368+ROUND(Q368, 2)</f>
        <v>2364</v>
      </c>
      <c r="S368" s="14">
        <f>ROUND(P368*I368, 2)</f>
        <v>0</v>
      </c>
      <c r="T368" s="14">
        <f>ROUND(I368*ROUND(Q368, 2), 2)</f>
        <v>0</v>
      </c>
      <c r="U368" s="14">
        <f>S368+T368</f>
        <v>0</v>
      </c>
      <c r="V368" s="9">
        <f>ROUND(P368 / 1.2, 2)</f>
        <v>0</v>
      </c>
      <c r="W368" s="9">
        <f>ROUND(Q368 / 1.2, 2)</f>
        <v>1970</v>
      </c>
      <c r="X368" s="9">
        <f>ROUND(R368 / 1.2, 2)</f>
        <v>1970</v>
      </c>
      <c r="Y368" s="9">
        <f t="shared" si="16"/>
        <v>0</v>
      </c>
      <c r="Z368" s="9">
        <f>ROUND(T368 / 1.2, 2)</f>
        <v>0</v>
      </c>
      <c r="AA368" s="9">
        <f>Y368+Z368</f>
        <v>0</v>
      </c>
      <c r="AD368" s="4">
        <v>304337674</v>
      </c>
      <c r="AE368" s="4">
        <v>20867052</v>
      </c>
      <c r="AG368" s="4" t="s">
        <v>1424</v>
      </c>
      <c r="AH368" s="4" t="s">
        <v>1425</v>
      </c>
      <c r="AI368" s="4" t="s">
        <v>260</v>
      </c>
    </row>
    <row r="369" spans="1:35" ht="36" x14ac:dyDescent="0.3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49">
        <v>0</v>
      </c>
      <c r="J369" s="31">
        <v>945</v>
      </c>
      <c r="M369" s="32">
        <f>ROUND(ROUND(J369, 2)*I369, 2)</f>
        <v>0</v>
      </c>
      <c r="P369" s="31">
        <v>945</v>
      </c>
      <c r="S369" s="32">
        <f>ROUND(ROUND(P369, 2)*I369, 2)</f>
        <v>0</v>
      </c>
      <c r="V369" s="9">
        <f>ROUND(ROUND(P369, 2)/1.2, 2)</f>
        <v>787.5</v>
      </c>
      <c r="Y369" s="9">
        <f t="shared" si="16"/>
        <v>0</v>
      </c>
      <c r="AD369" s="4" t="s">
        <v>1457</v>
      </c>
      <c r="AE369" s="4" t="s">
        <v>1458</v>
      </c>
      <c r="AF369" s="4" t="s">
        <v>1459</v>
      </c>
    </row>
    <row r="370" spans="1:35" ht="36" x14ac:dyDescent="0.3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49">
        <v>0</v>
      </c>
      <c r="J370" s="31">
        <v>16.96</v>
      </c>
      <c r="M370" s="32">
        <f>ROUND(ROUND(J370, 2)*I370, 2)</f>
        <v>0</v>
      </c>
      <c r="P370" s="31">
        <v>16.96</v>
      </c>
      <c r="S370" s="32">
        <f>ROUND(ROUND(P370, 2)*I370, 2)</f>
        <v>0</v>
      </c>
      <c r="V370" s="9">
        <f>ROUND(ROUND(P370, 2)/1.2, 2)</f>
        <v>14.13</v>
      </c>
      <c r="Y370" s="9">
        <f t="shared" si="16"/>
        <v>0</v>
      </c>
      <c r="AD370" s="4" t="s">
        <v>1463</v>
      </c>
      <c r="AE370" s="4" t="s">
        <v>1464</v>
      </c>
      <c r="AF370" s="4" t="s">
        <v>825</v>
      </c>
    </row>
    <row r="371" spans="1:35" ht="36" x14ac:dyDescent="0.3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30">
        <v>0</v>
      </c>
      <c r="J371" s="31">
        <v>68.400000000000006</v>
      </c>
      <c r="M371" s="32">
        <f>ROUND(ROUND(J371, 2)*I371, 2)</f>
        <v>0</v>
      </c>
      <c r="P371" s="31">
        <v>68.400000000000006</v>
      </c>
      <c r="S371" s="32">
        <f>ROUND(ROUND(P371, 2)*I371, 2)</f>
        <v>0</v>
      </c>
      <c r="V371" s="9">
        <f>ROUND(ROUND(P371, 2)/1.2, 2)</f>
        <v>57</v>
      </c>
      <c r="Y371" s="9">
        <f t="shared" si="16"/>
        <v>0</v>
      </c>
      <c r="AD371" s="4" t="s">
        <v>1468</v>
      </c>
      <c r="AE371" s="4" t="s">
        <v>1469</v>
      </c>
      <c r="AF371" s="4" t="s">
        <v>1437</v>
      </c>
    </row>
    <row r="372" spans="1:35" ht="36" x14ac:dyDescent="0.3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49">
        <v>0</v>
      </c>
      <c r="J372" s="31">
        <v>40.270000000000003</v>
      </c>
      <c r="M372" s="32">
        <f>ROUND(ROUND(J372, 2)*I372, 2)</f>
        <v>0</v>
      </c>
      <c r="P372" s="31">
        <v>40.270000000000003</v>
      </c>
      <c r="S372" s="32">
        <f>ROUND(ROUND(P372, 2)*I372, 2)</f>
        <v>0</v>
      </c>
      <c r="V372" s="9">
        <f>ROUND(ROUND(P372, 2)/1.2, 2)</f>
        <v>33.56</v>
      </c>
      <c r="Y372" s="9">
        <f t="shared" si="16"/>
        <v>0</v>
      </c>
      <c r="AD372" s="4" t="s">
        <v>1473</v>
      </c>
      <c r="AE372" s="4" t="s">
        <v>1474</v>
      </c>
      <c r="AF372" s="4" t="s">
        <v>793</v>
      </c>
    </row>
    <row r="373" spans="1:35" ht="54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3">
        <v>0</v>
      </c>
      <c r="J373" s="14">
        <f>IFERROR(ROUND(SUM(M374,M375,M376,M377)/I373, 2),0)</f>
        <v>0</v>
      </c>
      <c r="K373" s="15">
        <v>2364</v>
      </c>
      <c r="L373" s="14">
        <f>J373+ROUND(K373, 2)</f>
        <v>2364</v>
      </c>
      <c r="M373" s="14">
        <f>ROUND(J373*I373, 2)</f>
        <v>0</v>
      </c>
      <c r="N373" s="14">
        <f>ROUND(I373*ROUND(K373, 2), 2)</f>
        <v>0</v>
      </c>
      <c r="O373" s="14">
        <f>M373+N373</f>
        <v>0</v>
      </c>
      <c r="P373" s="14">
        <f>IFERROR(ROUND(SUM(S374,S375,S376,S377)/I373, 2),0)</f>
        <v>0</v>
      </c>
      <c r="Q373" s="15">
        <v>2364</v>
      </c>
      <c r="R373" s="14">
        <f>P373+ROUND(Q373, 2)</f>
        <v>2364</v>
      </c>
      <c r="S373" s="14">
        <f>ROUND(P373*I373, 2)</f>
        <v>0</v>
      </c>
      <c r="T373" s="14">
        <f>ROUND(I373*ROUND(Q373, 2), 2)</f>
        <v>0</v>
      </c>
      <c r="U373" s="14">
        <f>S373+T373</f>
        <v>0</v>
      </c>
      <c r="V373" s="9">
        <f>ROUND(P373 / 1.2, 2)</f>
        <v>0</v>
      </c>
      <c r="W373" s="9">
        <f>ROUND(Q373 / 1.2, 2)</f>
        <v>1970</v>
      </c>
      <c r="X373" s="9">
        <f>ROUND(R373 / 1.2, 2)</f>
        <v>1970</v>
      </c>
      <c r="Y373" s="9">
        <f t="shared" si="16"/>
        <v>0</v>
      </c>
      <c r="Z373" s="9">
        <f>ROUND(T373 / 1.2, 2)</f>
        <v>0</v>
      </c>
      <c r="AA373" s="9">
        <f>Y373+Z373</f>
        <v>0</v>
      </c>
      <c r="AD373" s="4">
        <v>304337675</v>
      </c>
      <c r="AE373" s="4">
        <v>20867050</v>
      </c>
      <c r="AG373" s="4" t="s">
        <v>1424</v>
      </c>
      <c r="AH373" s="4" t="s">
        <v>1425</v>
      </c>
      <c r="AI373" s="4" t="s">
        <v>260</v>
      </c>
    </row>
    <row r="374" spans="1:35" ht="36" x14ac:dyDescent="0.3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49">
        <v>0</v>
      </c>
      <c r="J374" s="31">
        <v>40.270000000000003</v>
      </c>
      <c r="M374" s="32">
        <f>ROUND(ROUND(J374, 2)*I374, 2)</f>
        <v>0</v>
      </c>
      <c r="P374" s="31">
        <v>40.270000000000003</v>
      </c>
      <c r="S374" s="32">
        <f>ROUND(ROUND(P374, 2)*I374, 2)</f>
        <v>0</v>
      </c>
      <c r="V374" s="9">
        <f>ROUND(ROUND(P374, 2)/1.2, 2)</f>
        <v>33.56</v>
      </c>
      <c r="Y374" s="9">
        <f t="shared" si="16"/>
        <v>0</v>
      </c>
      <c r="AD374" s="4" t="s">
        <v>1481</v>
      </c>
      <c r="AE374" s="4" t="s">
        <v>1482</v>
      </c>
      <c r="AF374" s="4" t="s">
        <v>793</v>
      </c>
    </row>
    <row r="375" spans="1:35" ht="36" x14ac:dyDescent="0.3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30">
        <v>0</v>
      </c>
      <c r="J375" s="31">
        <v>68.400000000000006</v>
      </c>
      <c r="M375" s="32">
        <f>ROUND(ROUND(J375, 2)*I375, 2)</f>
        <v>0</v>
      </c>
      <c r="P375" s="31">
        <v>68.400000000000006</v>
      </c>
      <c r="S375" s="32">
        <f>ROUND(ROUND(P375, 2)*I375, 2)</f>
        <v>0</v>
      </c>
      <c r="V375" s="9">
        <f>ROUND(ROUND(P375, 2)/1.2, 2)</f>
        <v>57</v>
      </c>
      <c r="Y375" s="9">
        <f t="shared" si="16"/>
        <v>0</v>
      </c>
      <c r="AD375" s="4" t="s">
        <v>1486</v>
      </c>
      <c r="AE375" s="4" t="s">
        <v>1487</v>
      </c>
      <c r="AF375" s="4" t="s">
        <v>1437</v>
      </c>
    </row>
    <row r="376" spans="1:35" ht="36" x14ac:dyDescent="0.3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49">
        <v>0</v>
      </c>
      <c r="J376" s="31">
        <v>16.96</v>
      </c>
      <c r="M376" s="32">
        <f>ROUND(ROUND(J376, 2)*I376, 2)</f>
        <v>0</v>
      </c>
      <c r="P376" s="31">
        <v>16.96</v>
      </c>
      <c r="S376" s="32">
        <f>ROUND(ROUND(P376, 2)*I376, 2)</f>
        <v>0</v>
      </c>
      <c r="V376" s="9">
        <f>ROUND(ROUND(P376, 2)/1.2, 2)</f>
        <v>14.13</v>
      </c>
      <c r="Y376" s="9">
        <f t="shared" si="16"/>
        <v>0</v>
      </c>
      <c r="AD376" s="4" t="s">
        <v>1491</v>
      </c>
      <c r="AE376" s="4" t="s">
        <v>1492</v>
      </c>
      <c r="AF376" s="4" t="s">
        <v>825</v>
      </c>
    </row>
    <row r="377" spans="1:35" ht="36" x14ac:dyDescent="0.3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49">
        <v>0</v>
      </c>
      <c r="J377" s="31">
        <v>1384.95</v>
      </c>
      <c r="M377" s="32">
        <f>ROUND(ROUND(J377, 2)*I377, 2)</f>
        <v>0</v>
      </c>
      <c r="P377" s="31">
        <v>1384.95</v>
      </c>
      <c r="S377" s="32">
        <f>ROUND(ROUND(P377, 2)*I377, 2)</f>
        <v>0</v>
      </c>
      <c r="V377" s="9">
        <f>ROUND(ROUND(P377, 2)/1.2, 2)</f>
        <v>1154.1300000000001</v>
      </c>
      <c r="Y377" s="9">
        <f t="shared" si="16"/>
        <v>0</v>
      </c>
      <c r="AD377" s="4" t="s">
        <v>1496</v>
      </c>
      <c r="AE377" s="4" t="s">
        <v>1497</v>
      </c>
      <c r="AF377" s="4" t="s">
        <v>1449</v>
      </c>
    </row>
    <row r="378" spans="1:35" ht="54" x14ac:dyDescent="0.3">
      <c r="A378" s="10" t="s">
        <v>1500</v>
      </c>
      <c r="B378" s="10" t="s">
        <v>1422</v>
      </c>
      <c r="C378" s="11" t="s">
        <v>1423</v>
      </c>
      <c r="D378" s="12"/>
      <c r="E378" s="12" t="s">
        <v>1427</v>
      </c>
      <c r="F378" s="12" t="s">
        <v>59</v>
      </c>
      <c r="G378" s="13">
        <v>1</v>
      </c>
      <c r="H378" s="13"/>
      <c r="I378" s="13">
        <v>1163</v>
      </c>
      <c r="J378" s="14">
        <f>IFERROR(ROUND(SUM(M379,M380,M381,M382)/I378, 2),0)</f>
        <v>1521.58</v>
      </c>
      <c r="K378" s="15">
        <v>2364</v>
      </c>
      <c r="L378" s="14">
        <f>J378+ROUND(K378, 2)</f>
        <v>3885.58</v>
      </c>
      <c r="M378" s="14">
        <f>ROUND(J378*I378, 2)</f>
        <v>1769597.54</v>
      </c>
      <c r="N378" s="14">
        <f>ROUND(I378*ROUND(K378, 2), 2)</f>
        <v>2749332</v>
      </c>
      <c r="O378" s="14">
        <f>M378+N378</f>
        <v>4518929.54</v>
      </c>
      <c r="P378" s="14">
        <f>IFERROR(ROUND(SUM(S379,S380,S381,S382)/I378, 2),0)</f>
        <v>623.13</v>
      </c>
      <c r="Q378" s="16">
        <v>3546</v>
      </c>
      <c r="R378" s="14">
        <f>P378+ROUND(Q378, 2)</f>
        <v>4169.13</v>
      </c>
      <c r="S378" s="14">
        <f>ROUND(P378*I378, 2)</f>
        <v>724700.19</v>
      </c>
      <c r="T378" s="14">
        <f>ROUND(I378*ROUND(Q378, 2), 2)</f>
        <v>4123998</v>
      </c>
      <c r="U378" s="14">
        <f>S378+T378</f>
        <v>4848698.1900000004</v>
      </c>
      <c r="V378" s="9">
        <f>ROUND(P378 / 1.2, 2)</f>
        <v>519.28</v>
      </c>
      <c r="W378" s="9">
        <f>ROUND(Q378 / 1.2, 2)</f>
        <v>2955</v>
      </c>
      <c r="X378" s="9">
        <f>ROUND(R378 / 1.2, 2)</f>
        <v>3474.28</v>
      </c>
      <c r="Y378" s="9">
        <f t="shared" si="16"/>
        <v>603916.82999999996</v>
      </c>
      <c r="Z378" s="9">
        <f>ROUND(T378 / 1.2, 2)</f>
        <v>3436665</v>
      </c>
      <c r="AA378" s="9">
        <f>Y378+Z378</f>
        <v>4040581.83</v>
      </c>
      <c r="AD378" s="4">
        <v>304337676</v>
      </c>
      <c r="AE378" s="4">
        <v>21950061</v>
      </c>
      <c r="AG378" s="4" t="s">
        <v>1424</v>
      </c>
      <c r="AH378" s="4" t="s">
        <v>1425</v>
      </c>
      <c r="AI378" s="4" t="s">
        <v>260</v>
      </c>
    </row>
    <row r="379" spans="1:35" ht="72" x14ac:dyDescent="0.3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49">
        <v>1244.4100000000001</v>
      </c>
      <c r="J379" s="31">
        <v>1384.96</v>
      </c>
      <c r="M379" s="32">
        <f>ROUND(ROUND(J379, 2)*I379, 2)</f>
        <v>1723458.07</v>
      </c>
      <c r="P379" s="33">
        <v>545.29999999999995</v>
      </c>
      <c r="S379" s="32">
        <f>ROUND(ROUND(P379, 2)*I379, 2)</f>
        <v>678576.77</v>
      </c>
      <c r="V379" s="9">
        <f>ROUND(ROUND(P379, 2)/1.2, 2)</f>
        <v>454.42</v>
      </c>
      <c r="Y379" s="9">
        <f t="shared" si="16"/>
        <v>565480.64</v>
      </c>
      <c r="AD379" s="4" t="s">
        <v>1502</v>
      </c>
      <c r="AE379" s="4" t="s">
        <v>1503</v>
      </c>
      <c r="AF379" s="4" t="s">
        <v>1449</v>
      </c>
    </row>
    <row r="380" spans="1:35" ht="36" x14ac:dyDescent="0.3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49">
        <v>1395.6</v>
      </c>
      <c r="J380" s="31">
        <v>16.12</v>
      </c>
      <c r="M380" s="32">
        <f>ROUND(ROUND(J380, 2)*I380, 2)</f>
        <v>22497.07</v>
      </c>
      <c r="P380" s="33">
        <v>16.11</v>
      </c>
      <c r="S380" s="32">
        <f>ROUND(ROUND(P380, 2)*I380, 2)</f>
        <v>22483.119999999999</v>
      </c>
      <c r="V380" s="9">
        <f>ROUND(ROUND(P380, 2)/1.2, 2)</f>
        <v>13.43</v>
      </c>
      <c r="Y380" s="9">
        <f t="shared" si="16"/>
        <v>18735.93</v>
      </c>
      <c r="AD380" s="4" t="s">
        <v>1505</v>
      </c>
      <c r="AE380" s="4" t="s">
        <v>1506</v>
      </c>
      <c r="AF380" s="4" t="s">
        <v>825</v>
      </c>
    </row>
    <row r="381" spans="1:35" ht="36" x14ac:dyDescent="0.3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30">
        <v>174.45</v>
      </c>
      <c r="J381" s="31">
        <v>68.400000000000006</v>
      </c>
      <c r="M381" s="32">
        <f>ROUND(ROUND(J381, 2)*I381, 2)</f>
        <v>11932.38</v>
      </c>
      <c r="P381" s="33">
        <v>68.400000000000006</v>
      </c>
      <c r="S381" s="32">
        <f>ROUND(ROUND(P381, 2)*I381, 2)</f>
        <v>11932.38</v>
      </c>
      <c r="V381" s="9">
        <f>ROUND(ROUND(P381, 2)/1.2, 2)</f>
        <v>57</v>
      </c>
      <c r="Y381" s="9">
        <f t="shared" si="16"/>
        <v>9943.65</v>
      </c>
      <c r="AD381" s="4" t="s">
        <v>1508</v>
      </c>
      <c r="AE381" s="4" t="s">
        <v>1509</v>
      </c>
      <c r="AF381" s="4" t="s">
        <v>1437</v>
      </c>
    </row>
    <row r="382" spans="1:35" ht="36" x14ac:dyDescent="0.3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49">
        <v>290.75</v>
      </c>
      <c r="J382" s="31">
        <v>40.270000000000003</v>
      </c>
      <c r="M382" s="32">
        <f>ROUND(ROUND(J382, 2)*I382, 2)</f>
        <v>11708.5</v>
      </c>
      <c r="P382" s="33">
        <v>40.270000000000003</v>
      </c>
      <c r="S382" s="32">
        <f>ROUND(ROUND(P382, 2)*I382, 2)</f>
        <v>11708.5</v>
      </c>
      <c r="V382" s="9">
        <f>ROUND(ROUND(P382, 2)/1.2, 2)</f>
        <v>33.56</v>
      </c>
      <c r="Y382" s="9">
        <f t="shared" si="16"/>
        <v>9757.08</v>
      </c>
      <c r="AD382" s="4" t="s">
        <v>1511</v>
      </c>
      <c r="AE382" s="4" t="s">
        <v>1512</v>
      </c>
      <c r="AF382" s="4" t="s">
        <v>793</v>
      </c>
    </row>
    <row r="383" spans="1:35" ht="54" x14ac:dyDescent="0.3">
      <c r="A383" s="10" t="s">
        <v>1513</v>
      </c>
      <c r="B383" s="10" t="s">
        <v>1422</v>
      </c>
      <c r="C383" s="11" t="s">
        <v>1423</v>
      </c>
      <c r="D383" s="12"/>
      <c r="E383" s="12" t="s">
        <v>1454</v>
      </c>
      <c r="F383" s="12" t="s">
        <v>59</v>
      </c>
      <c r="G383" s="13">
        <v>1</v>
      </c>
      <c r="H383" s="13"/>
      <c r="I383" s="13">
        <v>593.5</v>
      </c>
      <c r="J383" s="14">
        <f>IFERROR(ROUND(SUM(M384,M385,M386,M387)/I383, 2),0)</f>
        <v>1050.82</v>
      </c>
      <c r="K383" s="15">
        <v>2364</v>
      </c>
      <c r="L383" s="14">
        <f>J383+ROUND(K383, 2)</f>
        <v>3414.82</v>
      </c>
      <c r="M383" s="14">
        <f>ROUND(J383*I383, 2)</f>
        <v>623661.67000000004</v>
      </c>
      <c r="N383" s="14">
        <f>ROUND(I383*ROUND(K383, 2), 2)</f>
        <v>1403034</v>
      </c>
      <c r="O383" s="14">
        <f>M383+N383</f>
        <v>2026695.67</v>
      </c>
      <c r="P383" s="14">
        <f>IFERROR(ROUND(SUM(S384,S385,S386,S387)/I383, 2),0)</f>
        <v>1050.81</v>
      </c>
      <c r="Q383" s="16">
        <v>3546</v>
      </c>
      <c r="R383" s="14">
        <f>P383+ROUND(Q383, 2)</f>
        <v>4596.8100000000004</v>
      </c>
      <c r="S383" s="14">
        <f>ROUND(P383*I383, 2)</f>
        <v>623655.74</v>
      </c>
      <c r="T383" s="14">
        <f>ROUND(I383*ROUND(Q383, 2), 2)</f>
        <v>2104551</v>
      </c>
      <c r="U383" s="14">
        <f>S383+T383</f>
        <v>2728206.74</v>
      </c>
      <c r="V383" s="9">
        <f>ROUND(P383 / 1.2, 2)</f>
        <v>875.68</v>
      </c>
      <c r="W383" s="9">
        <f>ROUND(Q383 / 1.2, 2)</f>
        <v>2955</v>
      </c>
      <c r="X383" s="9">
        <f>ROUND(R383 / 1.2, 2)</f>
        <v>3830.68</v>
      </c>
      <c r="Y383" s="9">
        <f t="shared" si="16"/>
        <v>519713.12</v>
      </c>
      <c r="Z383" s="9">
        <f>ROUND(T383 / 1.2, 2)</f>
        <v>1753792.5</v>
      </c>
      <c r="AA383" s="9">
        <f>Y383+Z383</f>
        <v>2273505.62</v>
      </c>
      <c r="AD383" s="4">
        <v>304337677</v>
      </c>
      <c r="AE383" s="4">
        <v>21950051</v>
      </c>
      <c r="AG383" s="4" t="s">
        <v>1424</v>
      </c>
      <c r="AH383" s="4" t="s">
        <v>1425</v>
      </c>
      <c r="AI383" s="4" t="s">
        <v>260</v>
      </c>
    </row>
    <row r="384" spans="1:35" ht="36" x14ac:dyDescent="0.3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49">
        <v>148.375</v>
      </c>
      <c r="J384" s="31">
        <v>40.270000000000003</v>
      </c>
      <c r="M384" s="32">
        <f>ROUND(ROUND(J384, 2)*I384, 2)</f>
        <v>5975.06</v>
      </c>
      <c r="P384" s="33">
        <v>40.270000000000003</v>
      </c>
      <c r="S384" s="32">
        <f>ROUND(ROUND(P384, 2)*I384, 2)</f>
        <v>5975.06</v>
      </c>
      <c r="V384" s="9">
        <f>ROUND(ROUND(P384, 2)/1.2, 2)</f>
        <v>33.56</v>
      </c>
      <c r="Y384" s="9">
        <f t="shared" si="16"/>
        <v>4979.22</v>
      </c>
      <c r="AD384" s="4" t="s">
        <v>1515</v>
      </c>
      <c r="AE384" s="4" t="s">
        <v>1516</v>
      </c>
      <c r="AF384" s="4" t="s">
        <v>793</v>
      </c>
    </row>
    <row r="385" spans="1:35" ht="36" x14ac:dyDescent="0.3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30">
        <v>89.025000000000006</v>
      </c>
      <c r="J385" s="31">
        <v>68.400000000000006</v>
      </c>
      <c r="M385" s="32">
        <f>ROUND(ROUND(J385, 2)*I385, 2)</f>
        <v>6089.31</v>
      </c>
      <c r="P385" s="33">
        <v>68.400000000000006</v>
      </c>
      <c r="S385" s="32">
        <f>ROUND(ROUND(P385, 2)*I385, 2)</f>
        <v>6089.31</v>
      </c>
      <c r="V385" s="9">
        <f>ROUND(ROUND(P385, 2)/1.2, 2)</f>
        <v>57</v>
      </c>
      <c r="Y385" s="9">
        <f t="shared" si="16"/>
        <v>5074.43</v>
      </c>
      <c r="AD385" s="4" t="s">
        <v>1518</v>
      </c>
      <c r="AE385" s="4" t="s">
        <v>1519</v>
      </c>
      <c r="AF385" s="4" t="s">
        <v>1437</v>
      </c>
    </row>
    <row r="386" spans="1:35" ht="36" x14ac:dyDescent="0.3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49">
        <v>712.2</v>
      </c>
      <c r="J386" s="31">
        <v>16.12</v>
      </c>
      <c r="M386" s="32">
        <f>ROUND(ROUND(J386, 2)*I386, 2)</f>
        <v>11480.66</v>
      </c>
      <c r="P386" s="33">
        <v>16.11</v>
      </c>
      <c r="S386" s="32">
        <f>ROUND(ROUND(P386, 2)*I386, 2)</f>
        <v>11473.54</v>
      </c>
      <c r="V386" s="9">
        <f>ROUND(ROUND(P386, 2)/1.2, 2)</f>
        <v>13.43</v>
      </c>
      <c r="Y386" s="9">
        <f t="shared" si="16"/>
        <v>9561.2800000000007</v>
      </c>
      <c r="AD386" s="4" t="s">
        <v>1521</v>
      </c>
      <c r="AE386" s="4" t="s">
        <v>1522</v>
      </c>
      <c r="AF386" s="4" t="s">
        <v>825</v>
      </c>
    </row>
    <row r="387" spans="1:35" ht="36" x14ac:dyDescent="0.3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49">
        <v>635.04499999999996</v>
      </c>
      <c r="J387" s="31">
        <v>945</v>
      </c>
      <c r="M387" s="32">
        <f>ROUND(ROUND(J387, 2)*I387, 2)</f>
        <v>600117.53</v>
      </c>
      <c r="P387" s="33">
        <v>945</v>
      </c>
      <c r="S387" s="32">
        <f>ROUND(ROUND(P387, 2)*I387, 2)</f>
        <v>600117.53</v>
      </c>
      <c r="V387" s="9">
        <f>ROUND(ROUND(P387, 2)/1.2, 2)</f>
        <v>787.5</v>
      </c>
      <c r="Y387" s="9">
        <f t="shared" si="16"/>
        <v>500097.94</v>
      </c>
      <c r="AD387" s="4" t="s">
        <v>1524</v>
      </c>
      <c r="AE387" s="4" t="s">
        <v>1525</v>
      </c>
      <c r="AF387" s="4" t="s">
        <v>1459</v>
      </c>
    </row>
    <row r="388" spans="1:35" ht="54" x14ac:dyDescent="0.3">
      <c r="A388" s="10" t="s">
        <v>1526</v>
      </c>
      <c r="B388" s="10" t="s">
        <v>1422</v>
      </c>
      <c r="C388" s="11" t="s">
        <v>1423</v>
      </c>
      <c r="D388" s="12"/>
      <c r="E388" s="12" t="s">
        <v>1479</v>
      </c>
      <c r="F388" s="12" t="s">
        <v>59</v>
      </c>
      <c r="G388" s="13">
        <v>1</v>
      </c>
      <c r="H388" s="13"/>
      <c r="I388" s="13">
        <v>46</v>
      </c>
      <c r="J388" s="14">
        <f>IFERROR(ROUND(SUM(M389,M390,M391,M392)/I388, 2),0)</f>
        <v>1521.58</v>
      </c>
      <c r="K388" s="15">
        <v>2364</v>
      </c>
      <c r="L388" s="14">
        <f>J388+ROUND(K388, 2)</f>
        <v>3885.58</v>
      </c>
      <c r="M388" s="14">
        <f>ROUND(J388*I388, 2)</f>
        <v>69992.679999999993</v>
      </c>
      <c r="N388" s="14">
        <f>ROUND(I388*ROUND(K388, 2), 2)</f>
        <v>108744</v>
      </c>
      <c r="O388" s="14">
        <f>M388+N388</f>
        <v>178736.68</v>
      </c>
      <c r="P388" s="14">
        <f>IFERROR(ROUND(SUM(S389,S390,S391,S392)/I388, 2),0)</f>
        <v>1521.56</v>
      </c>
      <c r="Q388" s="16">
        <v>3546</v>
      </c>
      <c r="R388" s="14">
        <f>P388+ROUND(Q388, 2)</f>
        <v>5067.5600000000004</v>
      </c>
      <c r="S388" s="14">
        <f>ROUND(P388*I388, 2)</f>
        <v>69991.759999999995</v>
      </c>
      <c r="T388" s="14">
        <f>ROUND(I388*ROUND(Q388, 2), 2)</f>
        <v>163116</v>
      </c>
      <c r="U388" s="14">
        <f>S388+T388</f>
        <v>233107.76</v>
      </c>
      <c r="V388" s="9">
        <f>ROUND(P388 / 1.2, 2)</f>
        <v>1267.97</v>
      </c>
      <c r="W388" s="9">
        <f>ROUND(Q388 / 1.2, 2)</f>
        <v>2955</v>
      </c>
      <c r="X388" s="9">
        <f>ROUND(R388 / 1.2, 2)</f>
        <v>4222.97</v>
      </c>
      <c r="Y388" s="9">
        <f t="shared" si="16"/>
        <v>58326.47</v>
      </c>
      <c r="Z388" s="9">
        <f>ROUND(T388 / 1.2, 2)</f>
        <v>135930</v>
      </c>
      <c r="AA388" s="9">
        <f>Y388+Z388</f>
        <v>194256.47</v>
      </c>
      <c r="AD388" s="4">
        <v>304337678</v>
      </c>
      <c r="AE388" s="4">
        <v>21950031</v>
      </c>
      <c r="AG388" s="4" t="s">
        <v>1424</v>
      </c>
      <c r="AH388" s="4" t="s">
        <v>1425</v>
      </c>
      <c r="AI388" s="4" t="s">
        <v>260</v>
      </c>
    </row>
    <row r="389" spans="1:35" ht="36" x14ac:dyDescent="0.3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49">
        <v>49.22</v>
      </c>
      <c r="J389" s="31">
        <v>1384.96</v>
      </c>
      <c r="M389" s="32">
        <f>ROUND(ROUND(J389, 2)*I389, 2)</f>
        <v>68167.73</v>
      </c>
      <c r="P389" s="33">
        <v>1384.95</v>
      </c>
      <c r="S389" s="32">
        <f>ROUND(ROUND(P389, 2)*I389, 2)</f>
        <v>68167.240000000005</v>
      </c>
      <c r="V389" s="9">
        <f>ROUND(ROUND(P389, 2)/1.2, 2)</f>
        <v>1154.1300000000001</v>
      </c>
      <c r="Y389" s="9">
        <f t="shared" si="16"/>
        <v>56806.03</v>
      </c>
      <c r="AD389" s="4" t="s">
        <v>1528</v>
      </c>
      <c r="AE389" s="4" t="s">
        <v>1529</v>
      </c>
      <c r="AF389" s="4" t="s">
        <v>1449</v>
      </c>
    </row>
    <row r="390" spans="1:35" ht="36" x14ac:dyDescent="0.3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49">
        <v>55.2</v>
      </c>
      <c r="J390" s="31">
        <v>16.12</v>
      </c>
      <c r="M390" s="32">
        <f>ROUND(ROUND(J390, 2)*I390, 2)</f>
        <v>889.82</v>
      </c>
      <c r="P390" s="33">
        <v>16.11</v>
      </c>
      <c r="S390" s="32">
        <f>ROUND(ROUND(P390, 2)*I390, 2)</f>
        <v>889.27</v>
      </c>
      <c r="V390" s="9">
        <f>ROUND(ROUND(P390, 2)/1.2, 2)</f>
        <v>13.43</v>
      </c>
      <c r="Y390" s="9">
        <f t="shared" si="16"/>
        <v>741.06</v>
      </c>
      <c r="AD390" s="4" t="s">
        <v>1531</v>
      </c>
      <c r="AE390" s="4" t="s">
        <v>1532</v>
      </c>
      <c r="AF390" s="4" t="s">
        <v>825</v>
      </c>
    </row>
    <row r="391" spans="1:35" ht="36" x14ac:dyDescent="0.3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30">
        <v>6.9</v>
      </c>
      <c r="J391" s="31">
        <v>68.400000000000006</v>
      </c>
      <c r="M391" s="32">
        <f>ROUND(ROUND(J391, 2)*I391, 2)</f>
        <v>471.96</v>
      </c>
      <c r="P391" s="33">
        <v>68.400000000000006</v>
      </c>
      <c r="S391" s="32">
        <f>ROUND(ROUND(P391, 2)*I391, 2)</f>
        <v>471.96</v>
      </c>
      <c r="V391" s="9">
        <f>ROUND(ROUND(P391, 2)/1.2, 2)</f>
        <v>57</v>
      </c>
      <c r="Y391" s="9">
        <f t="shared" si="16"/>
        <v>393.3</v>
      </c>
      <c r="AD391" s="4" t="s">
        <v>1534</v>
      </c>
      <c r="AE391" s="4" t="s">
        <v>1535</v>
      </c>
      <c r="AF391" s="4" t="s">
        <v>1437</v>
      </c>
    </row>
    <row r="392" spans="1:35" ht="36" x14ac:dyDescent="0.3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49">
        <v>11.5</v>
      </c>
      <c r="J392" s="31">
        <v>40.270000000000003</v>
      </c>
      <c r="M392" s="32">
        <f>ROUND(ROUND(J392, 2)*I392, 2)</f>
        <v>463.11</v>
      </c>
      <c r="P392" s="33">
        <v>40.270000000000003</v>
      </c>
      <c r="S392" s="32">
        <f>ROUND(ROUND(P392, 2)*I392, 2)</f>
        <v>463.11</v>
      </c>
      <c r="V392" s="9">
        <f>ROUND(ROUND(P392, 2)/1.2, 2)</f>
        <v>33.56</v>
      </c>
      <c r="Y392" s="9">
        <f t="shared" si="16"/>
        <v>385.93</v>
      </c>
      <c r="AD392" s="4" t="s">
        <v>1537</v>
      </c>
      <c r="AE392" s="4" t="s">
        <v>1538</v>
      </c>
      <c r="AF392" s="4" t="s">
        <v>793</v>
      </c>
    </row>
    <row r="393" spans="1:35" ht="54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3">
        <v>0</v>
      </c>
      <c r="J393" s="14">
        <f>IFERROR(ROUND(SUM(M394,M395,M396,M397)/I393, 2),0)</f>
        <v>0</v>
      </c>
      <c r="K393" s="15">
        <v>2983</v>
      </c>
      <c r="L393" s="14">
        <f>J393+ROUND(K393, 2)</f>
        <v>2983</v>
      </c>
      <c r="M393" s="14">
        <f>ROUND(J393*I393, 2)</f>
        <v>0</v>
      </c>
      <c r="N393" s="14">
        <f>ROUND(I393*ROUND(K393, 2), 2)</f>
        <v>0</v>
      </c>
      <c r="O393" s="14">
        <f>M393+N393</f>
        <v>0</v>
      </c>
      <c r="P393" s="14">
        <f>IFERROR(ROUND(SUM(S394,S395,S396,S397)/I393, 2),0)</f>
        <v>0</v>
      </c>
      <c r="Q393" s="15">
        <v>2983</v>
      </c>
      <c r="R393" s="14">
        <f>P393+ROUND(Q393, 2)</f>
        <v>2983</v>
      </c>
      <c r="S393" s="14">
        <f>ROUND(P393*I393, 2)</f>
        <v>0</v>
      </c>
      <c r="T393" s="14">
        <f>ROUND(I393*ROUND(Q393, 2), 2)</f>
        <v>0</v>
      </c>
      <c r="U393" s="14">
        <f>S393+T393</f>
        <v>0</v>
      </c>
      <c r="V393" s="9">
        <f>ROUND(P393 / 1.2, 2)</f>
        <v>0</v>
      </c>
      <c r="W393" s="9">
        <f>ROUND(Q393 / 1.2, 2)</f>
        <v>2485.83</v>
      </c>
      <c r="X393" s="9">
        <f>ROUND(R393 / 1.2, 2)</f>
        <v>2485.83</v>
      </c>
      <c r="Y393" s="9">
        <f t="shared" si="16"/>
        <v>0</v>
      </c>
      <c r="Z393" s="9">
        <f>ROUND(T393 / 1.2, 2)</f>
        <v>0</v>
      </c>
      <c r="AA393" s="9">
        <f>Y393+Z393</f>
        <v>0</v>
      </c>
      <c r="AD393" s="4">
        <v>304337571</v>
      </c>
      <c r="AE393" s="4">
        <v>20335430</v>
      </c>
      <c r="AG393" s="4" t="s">
        <v>1542</v>
      </c>
      <c r="AH393" s="4" t="s">
        <v>1543</v>
      </c>
      <c r="AI393" s="4" t="s">
        <v>260</v>
      </c>
    </row>
    <row r="394" spans="1:35" ht="36" x14ac:dyDescent="0.3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49">
        <v>0</v>
      </c>
      <c r="J394" s="31">
        <v>2038.05</v>
      </c>
      <c r="M394" s="32">
        <f>ROUND(ROUND(J394, 2)*I394, 2)</f>
        <v>0</v>
      </c>
      <c r="P394" s="31">
        <v>1102.5</v>
      </c>
      <c r="S394" s="32">
        <f>ROUND(ROUND(P394, 2)*I394, 2)</f>
        <v>0</v>
      </c>
      <c r="V394" s="9">
        <f>ROUND(ROUND(P394, 2)/1.2, 2)</f>
        <v>918.75</v>
      </c>
      <c r="Y394" s="9">
        <f t="shared" si="16"/>
        <v>0</v>
      </c>
      <c r="AD394" s="4" t="s">
        <v>1548</v>
      </c>
      <c r="AE394" s="4" t="s">
        <v>1549</v>
      </c>
      <c r="AF394" s="4" t="s">
        <v>1550</v>
      </c>
    </row>
    <row r="395" spans="1:35" ht="36" x14ac:dyDescent="0.3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49">
        <v>0</v>
      </c>
      <c r="J395" s="31">
        <v>16.96</v>
      </c>
      <c r="M395" s="32">
        <f>ROUND(ROUND(J395, 2)*I395, 2)</f>
        <v>0</v>
      </c>
      <c r="P395" s="31">
        <v>16.96</v>
      </c>
      <c r="S395" s="32">
        <f>ROUND(ROUND(P395, 2)*I395, 2)</f>
        <v>0</v>
      </c>
      <c r="V395" s="9">
        <f>ROUND(ROUND(P395, 2)/1.2, 2)</f>
        <v>14.13</v>
      </c>
      <c r="Y395" s="9">
        <f t="shared" si="16"/>
        <v>0</v>
      </c>
      <c r="AD395" s="4" t="s">
        <v>1555</v>
      </c>
      <c r="AE395" s="4" t="s">
        <v>1556</v>
      </c>
      <c r="AF395" s="4" t="s">
        <v>825</v>
      </c>
    </row>
    <row r="396" spans="1:35" ht="36" x14ac:dyDescent="0.3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49">
        <v>0</v>
      </c>
      <c r="J396" s="31">
        <v>40.270000000000003</v>
      </c>
      <c r="M396" s="32">
        <f>ROUND(ROUND(J396, 2)*I396, 2)</f>
        <v>0</v>
      </c>
      <c r="P396" s="31">
        <v>40.270000000000003</v>
      </c>
      <c r="S396" s="32">
        <f>ROUND(ROUND(P396, 2)*I396, 2)</f>
        <v>0</v>
      </c>
      <c r="V396" s="9">
        <f>ROUND(ROUND(P396, 2)/1.2, 2)</f>
        <v>33.56</v>
      </c>
      <c r="Y396" s="9">
        <f t="shared" si="16"/>
        <v>0</v>
      </c>
      <c r="AD396" s="4" t="s">
        <v>1560</v>
      </c>
      <c r="AE396" s="4" t="s">
        <v>1561</v>
      </c>
      <c r="AF396" s="4" t="s">
        <v>793</v>
      </c>
    </row>
    <row r="397" spans="1:35" ht="36" x14ac:dyDescent="0.3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30">
        <v>0</v>
      </c>
      <c r="J397" s="31">
        <v>68.400000000000006</v>
      </c>
      <c r="M397" s="32">
        <f>ROUND(ROUND(J397, 2)*I397, 2)</f>
        <v>0</v>
      </c>
      <c r="P397" s="31">
        <v>68.400000000000006</v>
      </c>
      <c r="S397" s="32">
        <f>ROUND(ROUND(P397, 2)*I397, 2)</f>
        <v>0</v>
      </c>
      <c r="V397" s="9">
        <f>ROUND(ROUND(P397, 2)/1.2, 2)</f>
        <v>57</v>
      </c>
      <c r="Y397" s="9">
        <f t="shared" si="16"/>
        <v>0</v>
      </c>
      <c r="AD397" s="4" t="s">
        <v>1565</v>
      </c>
      <c r="AE397" s="4" t="s">
        <v>1566</v>
      </c>
      <c r="AF397" s="4" t="s">
        <v>1437</v>
      </c>
    </row>
    <row r="398" spans="1:35" ht="54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3">
        <v>0</v>
      </c>
      <c r="J398" s="14">
        <f>IFERROR(ROUND(SUM(M399,M400,M401,M402)/I398, 2),0)</f>
        <v>0</v>
      </c>
      <c r="K398" s="15">
        <v>2983</v>
      </c>
      <c r="L398" s="14">
        <f>J398+ROUND(K398, 2)</f>
        <v>2983</v>
      </c>
      <c r="M398" s="14">
        <f>ROUND(J398*I398, 2)</f>
        <v>0</v>
      </c>
      <c r="N398" s="14">
        <f>ROUND(I398*ROUND(K398, 2), 2)</f>
        <v>0</v>
      </c>
      <c r="O398" s="14">
        <f>M398+N398</f>
        <v>0</v>
      </c>
      <c r="P398" s="14">
        <f>IFERROR(ROUND(SUM(S399,S400,S401,S402)/I398, 2),0)</f>
        <v>0</v>
      </c>
      <c r="Q398" s="15">
        <v>2983</v>
      </c>
      <c r="R398" s="14">
        <f>P398+ROUND(Q398, 2)</f>
        <v>2983</v>
      </c>
      <c r="S398" s="14">
        <f>ROUND(P398*I398, 2)</f>
        <v>0</v>
      </c>
      <c r="T398" s="14">
        <f>ROUND(I398*ROUND(Q398, 2), 2)</f>
        <v>0</v>
      </c>
      <c r="U398" s="14">
        <f>S398+T398</f>
        <v>0</v>
      </c>
      <c r="V398" s="9">
        <f>ROUND(P398 / 1.2, 2)</f>
        <v>0</v>
      </c>
      <c r="W398" s="9">
        <f>ROUND(Q398 / 1.2, 2)</f>
        <v>2485.83</v>
      </c>
      <c r="X398" s="9">
        <f>ROUND(R398 / 1.2, 2)</f>
        <v>2485.83</v>
      </c>
      <c r="Y398" s="9">
        <f t="shared" ref="Y398:Y432" si="17">ROUND(S398 / 1.2, 2)</f>
        <v>0</v>
      </c>
      <c r="Z398" s="9">
        <f>ROUND(T398 / 1.2, 2)</f>
        <v>0</v>
      </c>
      <c r="AA398" s="9">
        <f>Y398+Z398</f>
        <v>0</v>
      </c>
      <c r="AD398" s="4">
        <v>304337679</v>
      </c>
      <c r="AE398" s="4">
        <v>20336104</v>
      </c>
      <c r="AG398" s="4" t="s">
        <v>1542</v>
      </c>
      <c r="AH398" s="4" t="s">
        <v>1543</v>
      </c>
      <c r="AI398" s="4" t="s">
        <v>260</v>
      </c>
    </row>
    <row r="399" spans="1:35" ht="36" x14ac:dyDescent="0.3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30">
        <v>0</v>
      </c>
      <c r="J399" s="31">
        <v>68.400000000000006</v>
      </c>
      <c r="M399" s="32">
        <f>ROUND(ROUND(J399, 2)*I399, 2)</f>
        <v>0</v>
      </c>
      <c r="P399" s="31">
        <v>68.400000000000006</v>
      </c>
      <c r="S399" s="32">
        <f>ROUND(ROUND(P399, 2)*I399, 2)</f>
        <v>0</v>
      </c>
      <c r="V399" s="9">
        <f>ROUND(ROUND(P399, 2)/1.2, 2)</f>
        <v>57</v>
      </c>
      <c r="Y399" s="9">
        <f t="shared" si="17"/>
        <v>0</v>
      </c>
      <c r="AD399" s="4" t="s">
        <v>1573</v>
      </c>
      <c r="AE399" s="4" t="s">
        <v>1574</v>
      </c>
      <c r="AF399" s="4" t="s">
        <v>1437</v>
      </c>
    </row>
    <row r="400" spans="1:35" ht="36" x14ac:dyDescent="0.3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49">
        <v>0</v>
      </c>
      <c r="J400" s="31">
        <v>40.270000000000003</v>
      </c>
      <c r="M400" s="32">
        <f>ROUND(ROUND(J400, 2)*I400, 2)</f>
        <v>0</v>
      </c>
      <c r="P400" s="31">
        <v>40.270000000000003</v>
      </c>
      <c r="S400" s="32">
        <f>ROUND(ROUND(P400, 2)*I400, 2)</f>
        <v>0</v>
      </c>
      <c r="V400" s="9">
        <f>ROUND(ROUND(P400, 2)/1.2, 2)</f>
        <v>33.56</v>
      </c>
      <c r="Y400" s="9">
        <f t="shared" si="17"/>
        <v>0</v>
      </c>
      <c r="AD400" s="4" t="s">
        <v>1578</v>
      </c>
      <c r="AE400" s="4" t="s">
        <v>1579</v>
      </c>
      <c r="AF400" s="4" t="s">
        <v>793</v>
      </c>
    </row>
    <row r="401" spans="1:35" ht="36" x14ac:dyDescent="0.3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49">
        <v>0</v>
      </c>
      <c r="J401" s="31">
        <v>16.96</v>
      </c>
      <c r="M401" s="32">
        <f>ROUND(ROUND(J401, 2)*I401, 2)</f>
        <v>0</v>
      </c>
      <c r="P401" s="31">
        <v>16.96</v>
      </c>
      <c r="S401" s="32">
        <f>ROUND(ROUND(P401, 2)*I401, 2)</f>
        <v>0</v>
      </c>
      <c r="V401" s="9">
        <f>ROUND(ROUND(P401, 2)/1.2, 2)</f>
        <v>14.13</v>
      </c>
      <c r="Y401" s="9">
        <f t="shared" si="17"/>
        <v>0</v>
      </c>
      <c r="AD401" s="4" t="s">
        <v>1583</v>
      </c>
      <c r="AE401" s="4" t="s">
        <v>1584</v>
      </c>
      <c r="AF401" s="4" t="s">
        <v>825</v>
      </c>
    </row>
    <row r="402" spans="1:35" ht="36" x14ac:dyDescent="0.3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49">
        <v>0</v>
      </c>
      <c r="J402" s="31">
        <v>2038.05</v>
      </c>
      <c r="M402" s="32">
        <f>ROUND(ROUND(J402, 2)*I402, 2)</f>
        <v>0</v>
      </c>
      <c r="P402" s="31">
        <v>1102.5</v>
      </c>
      <c r="S402" s="32">
        <f>ROUND(ROUND(P402, 2)*I402, 2)</f>
        <v>0</v>
      </c>
      <c r="V402" s="9">
        <f>ROUND(ROUND(P402, 2)/1.2, 2)</f>
        <v>918.75</v>
      </c>
      <c r="Y402" s="9">
        <f t="shared" si="17"/>
        <v>0</v>
      </c>
      <c r="AD402" s="4" t="s">
        <v>1588</v>
      </c>
      <c r="AE402" s="4" t="s">
        <v>1589</v>
      </c>
      <c r="AF402" s="4" t="s">
        <v>1550</v>
      </c>
    </row>
    <row r="403" spans="1:35" ht="54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3">
        <v>0</v>
      </c>
      <c r="J403" s="14">
        <f>IFERROR(ROUND(SUM(M404,M405,M406,M407)/I403, 2),0)</f>
        <v>0</v>
      </c>
      <c r="K403" s="15">
        <v>2983</v>
      </c>
      <c r="L403" s="14">
        <f>J403+ROUND(K403, 2)</f>
        <v>2983</v>
      </c>
      <c r="M403" s="14">
        <f>ROUND(J403*I403, 2)</f>
        <v>0</v>
      </c>
      <c r="N403" s="14">
        <f>ROUND(I403*ROUND(K403, 2), 2)</f>
        <v>0</v>
      </c>
      <c r="O403" s="14">
        <f>M403+N403</f>
        <v>0</v>
      </c>
      <c r="P403" s="14">
        <f>IFERROR(ROUND(SUM(S404,S405,S406,S407)/I403, 2),0)</f>
        <v>0</v>
      </c>
      <c r="Q403" s="15">
        <v>2983</v>
      </c>
      <c r="R403" s="14">
        <f>P403+ROUND(Q403, 2)</f>
        <v>2983</v>
      </c>
      <c r="S403" s="14">
        <f>ROUND(P403*I403, 2)</f>
        <v>0</v>
      </c>
      <c r="T403" s="14">
        <f>ROUND(I403*ROUND(Q403, 2), 2)</f>
        <v>0</v>
      </c>
      <c r="U403" s="14">
        <f>S403+T403</f>
        <v>0</v>
      </c>
      <c r="V403" s="9">
        <f>ROUND(P403 / 1.2, 2)</f>
        <v>0</v>
      </c>
      <c r="W403" s="9">
        <f>ROUND(Q403 / 1.2, 2)</f>
        <v>2485.83</v>
      </c>
      <c r="X403" s="9">
        <f>ROUND(R403 / 1.2, 2)</f>
        <v>2485.83</v>
      </c>
      <c r="Y403" s="9">
        <f t="shared" si="17"/>
        <v>0</v>
      </c>
      <c r="Z403" s="9">
        <f>ROUND(T403 / 1.2, 2)</f>
        <v>0</v>
      </c>
      <c r="AA403" s="9">
        <f>Y403+Z403</f>
        <v>0</v>
      </c>
      <c r="AD403" s="4">
        <v>304337680</v>
      </c>
      <c r="AE403" s="4">
        <v>20336105</v>
      </c>
      <c r="AG403" s="4" t="s">
        <v>1542</v>
      </c>
      <c r="AH403" s="4" t="s">
        <v>1543</v>
      </c>
      <c r="AI403" s="4" t="s">
        <v>260</v>
      </c>
    </row>
    <row r="404" spans="1:35" ht="36" x14ac:dyDescent="0.3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49">
        <v>0</v>
      </c>
      <c r="J404" s="31">
        <v>2038.05</v>
      </c>
      <c r="M404" s="32">
        <f>ROUND(ROUND(J404, 2)*I404, 2)</f>
        <v>0</v>
      </c>
      <c r="P404" s="31">
        <v>1102.5</v>
      </c>
      <c r="S404" s="32">
        <f>ROUND(ROUND(P404, 2)*I404, 2)</f>
        <v>0</v>
      </c>
      <c r="V404" s="9">
        <f>ROUND(ROUND(P404, 2)/1.2, 2)</f>
        <v>918.75</v>
      </c>
      <c r="Y404" s="9">
        <f t="shared" si="17"/>
        <v>0</v>
      </c>
      <c r="AD404" s="4" t="s">
        <v>1597</v>
      </c>
      <c r="AE404" s="4" t="s">
        <v>1598</v>
      </c>
      <c r="AF404" s="4" t="s">
        <v>1550</v>
      </c>
    </row>
    <row r="405" spans="1:35" ht="36" x14ac:dyDescent="0.3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49">
        <v>0</v>
      </c>
      <c r="J405" s="31">
        <v>16.96</v>
      </c>
      <c r="M405" s="32">
        <f>ROUND(ROUND(J405, 2)*I405, 2)</f>
        <v>0</v>
      </c>
      <c r="P405" s="31">
        <v>16.96</v>
      </c>
      <c r="S405" s="32">
        <f>ROUND(ROUND(P405, 2)*I405, 2)</f>
        <v>0</v>
      </c>
      <c r="V405" s="9">
        <f>ROUND(ROUND(P405, 2)/1.2, 2)</f>
        <v>14.13</v>
      </c>
      <c r="Y405" s="9">
        <f t="shared" si="17"/>
        <v>0</v>
      </c>
      <c r="AD405" s="4" t="s">
        <v>1602</v>
      </c>
      <c r="AE405" s="4" t="s">
        <v>1603</v>
      </c>
      <c r="AF405" s="4" t="s">
        <v>825</v>
      </c>
    </row>
    <row r="406" spans="1:35" ht="36" x14ac:dyDescent="0.3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49">
        <v>0</v>
      </c>
      <c r="J406" s="31">
        <v>40.270000000000003</v>
      </c>
      <c r="M406" s="32">
        <f>ROUND(ROUND(J406, 2)*I406, 2)</f>
        <v>0</v>
      </c>
      <c r="P406" s="31">
        <v>40.270000000000003</v>
      </c>
      <c r="S406" s="32">
        <f>ROUND(ROUND(P406, 2)*I406, 2)</f>
        <v>0</v>
      </c>
      <c r="V406" s="9">
        <f>ROUND(ROUND(P406, 2)/1.2, 2)</f>
        <v>33.56</v>
      </c>
      <c r="Y406" s="9">
        <f t="shared" si="17"/>
        <v>0</v>
      </c>
      <c r="AD406" s="4" t="s">
        <v>1607</v>
      </c>
      <c r="AE406" s="4" t="s">
        <v>1608</v>
      </c>
      <c r="AF406" s="4" t="s">
        <v>793</v>
      </c>
    </row>
    <row r="407" spans="1:35" ht="36" x14ac:dyDescent="0.3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30">
        <v>0</v>
      </c>
      <c r="J407" s="31">
        <v>68.400000000000006</v>
      </c>
      <c r="M407" s="32">
        <f>ROUND(ROUND(J407, 2)*I407, 2)</f>
        <v>0</v>
      </c>
      <c r="P407" s="31">
        <v>68.400000000000006</v>
      </c>
      <c r="S407" s="32">
        <f>ROUND(ROUND(P407, 2)*I407, 2)</f>
        <v>0</v>
      </c>
      <c r="V407" s="9">
        <f>ROUND(ROUND(P407, 2)/1.2, 2)</f>
        <v>57</v>
      </c>
      <c r="Y407" s="9">
        <f t="shared" si="17"/>
        <v>0</v>
      </c>
      <c r="AD407" s="4" t="s">
        <v>1612</v>
      </c>
      <c r="AE407" s="4" t="s">
        <v>1613</v>
      </c>
      <c r="AF407" s="4" t="s">
        <v>1437</v>
      </c>
    </row>
    <row r="408" spans="1:35" ht="54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3">
        <v>0</v>
      </c>
      <c r="J408" s="14">
        <f>IFERROR(ROUND(SUM(M409,M410,M411,M412)/I408, 2),0)</f>
        <v>0</v>
      </c>
      <c r="K408" s="15">
        <v>2983</v>
      </c>
      <c r="L408" s="14">
        <f>J408+ROUND(K408, 2)</f>
        <v>2983</v>
      </c>
      <c r="M408" s="14">
        <f>ROUND(J408*I408, 2)</f>
        <v>0</v>
      </c>
      <c r="N408" s="14">
        <f>ROUND(I408*ROUND(K408, 2), 2)</f>
        <v>0</v>
      </c>
      <c r="O408" s="14">
        <f>M408+N408</f>
        <v>0</v>
      </c>
      <c r="P408" s="14">
        <f>IFERROR(ROUND(SUM(S409,S410,S411,S412)/I408, 2),0)</f>
        <v>0</v>
      </c>
      <c r="Q408" s="15">
        <v>2983</v>
      </c>
      <c r="R408" s="14">
        <f>P408+ROUND(Q408, 2)</f>
        <v>2983</v>
      </c>
      <c r="S408" s="14">
        <f>ROUND(P408*I408, 2)</f>
        <v>0</v>
      </c>
      <c r="T408" s="14">
        <f>ROUND(I408*ROUND(Q408, 2), 2)</f>
        <v>0</v>
      </c>
      <c r="U408" s="14">
        <f>S408+T408</f>
        <v>0</v>
      </c>
      <c r="V408" s="9">
        <f>ROUND(P408 / 1.2, 2)</f>
        <v>0</v>
      </c>
      <c r="W408" s="9">
        <f>ROUND(Q408 / 1.2, 2)</f>
        <v>2485.83</v>
      </c>
      <c r="X408" s="9">
        <f>ROUND(R408 / 1.2, 2)</f>
        <v>2485.83</v>
      </c>
      <c r="Y408" s="9">
        <f t="shared" si="17"/>
        <v>0</v>
      </c>
      <c r="Z408" s="9">
        <f>ROUND(T408 / 1.2, 2)</f>
        <v>0</v>
      </c>
      <c r="AA408" s="9">
        <f>Y408+Z408</f>
        <v>0</v>
      </c>
      <c r="AD408" s="4">
        <v>304337681</v>
      </c>
      <c r="AE408" s="4">
        <v>20336103</v>
      </c>
      <c r="AG408" s="4" t="s">
        <v>1542</v>
      </c>
      <c r="AH408" s="4" t="s">
        <v>1543</v>
      </c>
      <c r="AI408" s="4" t="s">
        <v>260</v>
      </c>
    </row>
    <row r="409" spans="1:35" ht="36" x14ac:dyDescent="0.3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30">
        <v>0</v>
      </c>
      <c r="J409" s="31">
        <v>68.400000000000006</v>
      </c>
      <c r="M409" s="32">
        <f>ROUND(ROUND(J409, 2)*I409, 2)</f>
        <v>0</v>
      </c>
      <c r="P409" s="31">
        <v>68.400000000000006</v>
      </c>
      <c r="S409" s="32">
        <f>ROUND(ROUND(P409, 2)*I409, 2)</f>
        <v>0</v>
      </c>
      <c r="V409" s="9">
        <f>ROUND(ROUND(P409, 2)/1.2, 2)</f>
        <v>57</v>
      </c>
      <c r="Y409" s="9">
        <f t="shared" si="17"/>
        <v>0</v>
      </c>
      <c r="AD409" s="4" t="s">
        <v>1620</v>
      </c>
      <c r="AE409" s="4" t="s">
        <v>1621</v>
      </c>
      <c r="AF409" s="4" t="s">
        <v>1437</v>
      </c>
    </row>
    <row r="410" spans="1:35" ht="36" x14ac:dyDescent="0.3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49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17"/>
        <v>0</v>
      </c>
      <c r="AD410" s="4" t="s">
        <v>1625</v>
      </c>
      <c r="AE410" s="4" t="s">
        <v>1626</v>
      </c>
      <c r="AF410" s="4" t="s">
        <v>793</v>
      </c>
    </row>
    <row r="411" spans="1:35" ht="36" x14ac:dyDescent="0.3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49">
        <v>0</v>
      </c>
      <c r="J411" s="31">
        <v>16.96</v>
      </c>
      <c r="M411" s="32">
        <f>ROUND(ROUND(J411, 2)*I411, 2)</f>
        <v>0</v>
      </c>
      <c r="P411" s="31">
        <v>16.96</v>
      </c>
      <c r="S411" s="32">
        <f>ROUND(ROUND(P411, 2)*I411, 2)</f>
        <v>0</v>
      </c>
      <c r="V411" s="9">
        <f>ROUND(ROUND(P411, 2)/1.2, 2)</f>
        <v>14.13</v>
      </c>
      <c r="Y411" s="9">
        <f t="shared" si="17"/>
        <v>0</v>
      </c>
      <c r="AD411" s="4" t="s">
        <v>1630</v>
      </c>
      <c r="AE411" s="4" t="s">
        <v>1631</v>
      </c>
      <c r="AF411" s="4" t="s">
        <v>825</v>
      </c>
    </row>
    <row r="412" spans="1:35" ht="36" x14ac:dyDescent="0.3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49">
        <v>0</v>
      </c>
      <c r="J412" s="31">
        <v>2038.05</v>
      </c>
      <c r="M412" s="32">
        <f>ROUND(ROUND(J412, 2)*I412, 2)</f>
        <v>0</v>
      </c>
      <c r="P412" s="31">
        <v>1102.5</v>
      </c>
      <c r="S412" s="32">
        <f>ROUND(ROUND(P412, 2)*I412, 2)</f>
        <v>0</v>
      </c>
      <c r="V412" s="9">
        <f>ROUND(ROUND(P412, 2)/1.2, 2)</f>
        <v>918.75</v>
      </c>
      <c r="Y412" s="9">
        <f t="shared" si="17"/>
        <v>0</v>
      </c>
      <c r="AD412" s="4" t="s">
        <v>1635</v>
      </c>
      <c r="AE412" s="4" t="s">
        <v>1636</v>
      </c>
      <c r="AF412" s="4" t="s">
        <v>1550</v>
      </c>
    </row>
    <row r="413" spans="1:35" ht="54" x14ac:dyDescent="0.3">
      <c r="A413" s="10" t="s">
        <v>1639</v>
      </c>
      <c r="B413" s="10" t="s">
        <v>1540</v>
      </c>
      <c r="C413" s="11" t="s">
        <v>1541</v>
      </c>
      <c r="D413" s="12"/>
      <c r="E413" s="12" t="s">
        <v>1545</v>
      </c>
      <c r="F413" s="12" t="s">
        <v>59</v>
      </c>
      <c r="G413" s="13">
        <v>1</v>
      </c>
      <c r="H413" s="13"/>
      <c r="I413" s="13">
        <v>320.39999999999998</v>
      </c>
      <c r="J413" s="14">
        <f>IFERROR(ROUND(SUM(M414,M415,M416,M417)/I413, 2),0)</f>
        <v>2281.54</v>
      </c>
      <c r="K413" s="15">
        <v>2983</v>
      </c>
      <c r="L413" s="14">
        <f>J413+ROUND(K413, 2)</f>
        <v>5264.54</v>
      </c>
      <c r="M413" s="14">
        <f>ROUND(J413*I413, 2)</f>
        <v>731005.42</v>
      </c>
      <c r="N413" s="14">
        <f>ROUND(I413*ROUND(K413, 2), 2)</f>
        <v>955753.2</v>
      </c>
      <c r="O413" s="14">
        <f>M413+N413</f>
        <v>1686758.62</v>
      </c>
      <c r="P413" s="14">
        <f>IFERROR(ROUND(SUM(S414,S415,S416,S417)/I413, 2),0)</f>
        <v>1252.4100000000001</v>
      </c>
      <c r="Q413" s="16">
        <v>4474.5</v>
      </c>
      <c r="R413" s="14">
        <f>P413+ROUND(Q413, 2)</f>
        <v>5726.91</v>
      </c>
      <c r="S413" s="14">
        <f>ROUND(P413*I413, 2)</f>
        <v>401272.16</v>
      </c>
      <c r="T413" s="14">
        <f>ROUND(I413*ROUND(Q413, 2), 2)</f>
        <v>1433629.8</v>
      </c>
      <c r="U413" s="14">
        <f>S413+T413</f>
        <v>1834901.96</v>
      </c>
      <c r="V413" s="9">
        <f>ROUND(P413 / 1.2, 2)</f>
        <v>1043.68</v>
      </c>
      <c r="W413" s="9">
        <f>ROUND(Q413 / 1.2, 2)</f>
        <v>3728.75</v>
      </c>
      <c r="X413" s="9">
        <f>ROUND(R413 / 1.2, 2)</f>
        <v>4772.43</v>
      </c>
      <c r="Y413" s="9">
        <f t="shared" si="17"/>
        <v>334393.46999999997</v>
      </c>
      <c r="Z413" s="9">
        <f>ROUND(T413 / 1.2, 2)</f>
        <v>1194691.5</v>
      </c>
      <c r="AA413" s="9">
        <f>Y413+Z413</f>
        <v>1529084.97</v>
      </c>
      <c r="AD413" s="4">
        <v>304337682</v>
      </c>
      <c r="AE413" s="4">
        <v>21950056</v>
      </c>
      <c r="AG413" s="4" t="s">
        <v>1542</v>
      </c>
      <c r="AH413" s="4" t="s">
        <v>1543</v>
      </c>
      <c r="AI413" s="4" t="s">
        <v>260</v>
      </c>
    </row>
    <row r="414" spans="1:35" ht="72" x14ac:dyDescent="0.3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49">
        <v>352.44</v>
      </c>
      <c r="J414" s="31">
        <v>2038.06</v>
      </c>
      <c r="M414" s="32">
        <f>ROUND(ROUND(J414, 2)*I414, 2)</f>
        <v>718293.87</v>
      </c>
      <c r="P414" s="33">
        <v>1102.5</v>
      </c>
      <c r="S414" s="32">
        <f>ROUND(ROUND(P414, 2)*I414, 2)</f>
        <v>388565.1</v>
      </c>
      <c r="V414" s="9">
        <f>ROUND(ROUND(P414, 2)/1.2, 2)</f>
        <v>918.75</v>
      </c>
      <c r="Y414" s="9">
        <f t="shared" si="17"/>
        <v>323804.25</v>
      </c>
      <c r="AD414" s="4" t="s">
        <v>1641</v>
      </c>
      <c r="AE414" s="4" t="s">
        <v>1642</v>
      </c>
      <c r="AF414" s="4" t="s">
        <v>1550</v>
      </c>
    </row>
    <row r="415" spans="1:35" ht="36" x14ac:dyDescent="0.3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49">
        <v>384.48</v>
      </c>
      <c r="J415" s="31">
        <v>16.12</v>
      </c>
      <c r="M415" s="32">
        <f>ROUND(ROUND(J415, 2)*I415, 2)</f>
        <v>6197.82</v>
      </c>
      <c r="P415" s="33">
        <v>16.11</v>
      </c>
      <c r="S415" s="32">
        <f>ROUND(ROUND(P415, 2)*I415, 2)</f>
        <v>6193.97</v>
      </c>
      <c r="V415" s="9">
        <f>ROUND(ROUND(P415, 2)/1.2, 2)</f>
        <v>13.43</v>
      </c>
      <c r="Y415" s="9">
        <f t="shared" si="17"/>
        <v>5161.6400000000003</v>
      </c>
      <c r="AD415" s="4" t="s">
        <v>1644</v>
      </c>
      <c r="AE415" s="4" t="s">
        <v>1645</v>
      </c>
      <c r="AF415" s="4" t="s">
        <v>825</v>
      </c>
    </row>
    <row r="416" spans="1:35" ht="36" x14ac:dyDescent="0.3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49">
        <v>80.099999999999994</v>
      </c>
      <c r="J416" s="31">
        <v>40.270000000000003</v>
      </c>
      <c r="M416" s="32">
        <f>ROUND(ROUND(J416, 2)*I416, 2)</f>
        <v>3225.63</v>
      </c>
      <c r="P416" s="33">
        <v>40.270000000000003</v>
      </c>
      <c r="S416" s="32">
        <f>ROUND(ROUND(P416, 2)*I416, 2)</f>
        <v>3225.63</v>
      </c>
      <c r="V416" s="9">
        <f>ROUND(ROUND(P416, 2)/1.2, 2)</f>
        <v>33.56</v>
      </c>
      <c r="Y416" s="9">
        <f t="shared" si="17"/>
        <v>2688.03</v>
      </c>
      <c r="AD416" s="4" t="s">
        <v>1647</v>
      </c>
      <c r="AE416" s="4" t="s">
        <v>1648</v>
      </c>
      <c r="AF416" s="4" t="s">
        <v>793</v>
      </c>
    </row>
    <row r="417" spans="1:35" ht="36" x14ac:dyDescent="0.3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30">
        <v>48.06</v>
      </c>
      <c r="J417" s="31">
        <v>68.400000000000006</v>
      </c>
      <c r="M417" s="32">
        <f>ROUND(ROUND(J417, 2)*I417, 2)</f>
        <v>3287.3</v>
      </c>
      <c r="P417" s="33">
        <v>68.400000000000006</v>
      </c>
      <c r="S417" s="32">
        <f>ROUND(ROUND(P417, 2)*I417, 2)</f>
        <v>3287.3</v>
      </c>
      <c r="V417" s="9">
        <f>ROUND(ROUND(P417, 2)/1.2, 2)</f>
        <v>57</v>
      </c>
      <c r="Y417" s="9">
        <f t="shared" si="17"/>
        <v>2739.42</v>
      </c>
      <c r="AD417" s="4" t="s">
        <v>1650</v>
      </c>
      <c r="AE417" s="4" t="s">
        <v>1651</v>
      </c>
      <c r="AF417" s="4" t="s">
        <v>1437</v>
      </c>
    </row>
    <row r="418" spans="1:35" ht="54" x14ac:dyDescent="0.3">
      <c r="A418" s="10" t="s">
        <v>1652</v>
      </c>
      <c r="B418" s="10" t="s">
        <v>1540</v>
      </c>
      <c r="C418" s="11" t="s">
        <v>1541</v>
      </c>
      <c r="D418" s="12"/>
      <c r="E418" s="12" t="s">
        <v>1571</v>
      </c>
      <c r="F418" s="12" t="s">
        <v>59</v>
      </c>
      <c r="G418" s="13">
        <v>1</v>
      </c>
      <c r="H418" s="13"/>
      <c r="I418" s="13">
        <v>249.1</v>
      </c>
      <c r="J418" s="14">
        <f>IFERROR(ROUND(SUM(M419,M420,M421,M422)/I418, 2),0)</f>
        <v>2281.54</v>
      </c>
      <c r="K418" s="15">
        <v>2983</v>
      </c>
      <c r="L418" s="14">
        <f>J418+ROUND(K418, 2)</f>
        <v>5264.54</v>
      </c>
      <c r="M418" s="14">
        <f>ROUND(J418*I418, 2)</f>
        <v>568331.61</v>
      </c>
      <c r="N418" s="14">
        <f>ROUND(I418*ROUND(K418, 2), 2)</f>
        <v>743065.3</v>
      </c>
      <c r="O418" s="14">
        <f>M418+N418</f>
        <v>1311396.9099999999</v>
      </c>
      <c r="P418" s="14">
        <f>IFERROR(ROUND(SUM(S419,S420,S421,S422)/I418, 2),0)</f>
        <v>1252.4100000000001</v>
      </c>
      <c r="Q418" s="16">
        <v>4474.5</v>
      </c>
      <c r="R418" s="14">
        <f>P418+ROUND(Q418, 2)</f>
        <v>5726.91</v>
      </c>
      <c r="S418" s="14">
        <f>ROUND(P418*I418, 2)</f>
        <v>311975.33</v>
      </c>
      <c r="T418" s="14">
        <f>ROUND(I418*ROUND(Q418, 2), 2)</f>
        <v>1114597.95</v>
      </c>
      <c r="U418" s="14">
        <f>S418+T418</f>
        <v>1426573.28</v>
      </c>
      <c r="V418" s="9">
        <f>ROUND(P418 / 1.2, 2)</f>
        <v>1043.68</v>
      </c>
      <c r="W418" s="9">
        <f>ROUND(Q418 / 1.2, 2)</f>
        <v>3728.75</v>
      </c>
      <c r="X418" s="9">
        <f>ROUND(R418 / 1.2, 2)</f>
        <v>4772.43</v>
      </c>
      <c r="Y418" s="9">
        <f t="shared" si="17"/>
        <v>259979.44</v>
      </c>
      <c r="Z418" s="9">
        <f>ROUND(T418 / 1.2, 2)</f>
        <v>928831.63</v>
      </c>
      <c r="AA418" s="9">
        <f>Y418+Z418</f>
        <v>1188811.07</v>
      </c>
      <c r="AD418" s="4">
        <v>304337683</v>
      </c>
      <c r="AE418" s="4">
        <v>21950045</v>
      </c>
      <c r="AG418" s="4" t="s">
        <v>1542</v>
      </c>
      <c r="AH418" s="4" t="s">
        <v>1543</v>
      </c>
      <c r="AI418" s="4" t="s">
        <v>260</v>
      </c>
    </row>
    <row r="419" spans="1:35" ht="36" x14ac:dyDescent="0.3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30">
        <v>37.365000000000002</v>
      </c>
      <c r="J419" s="31">
        <v>68.400000000000006</v>
      </c>
      <c r="M419" s="32">
        <f>ROUND(ROUND(J419, 2)*I419, 2)</f>
        <v>2555.77</v>
      </c>
      <c r="P419" s="33">
        <v>68.400000000000006</v>
      </c>
      <c r="S419" s="32">
        <f>ROUND(ROUND(P419, 2)*I419, 2)</f>
        <v>2555.77</v>
      </c>
      <c r="V419" s="9">
        <f>ROUND(ROUND(P419, 2)/1.2, 2)</f>
        <v>57</v>
      </c>
      <c r="Y419" s="9">
        <f t="shared" si="17"/>
        <v>2129.81</v>
      </c>
      <c r="AD419" s="4" t="s">
        <v>1654</v>
      </c>
      <c r="AE419" s="4" t="s">
        <v>1655</v>
      </c>
      <c r="AF419" s="4" t="s">
        <v>1437</v>
      </c>
    </row>
    <row r="420" spans="1:35" ht="36" x14ac:dyDescent="0.3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49">
        <v>62.274999999999999</v>
      </c>
      <c r="J420" s="31">
        <v>40.270000000000003</v>
      </c>
      <c r="M420" s="32">
        <f>ROUND(ROUND(J420, 2)*I420, 2)</f>
        <v>2507.81</v>
      </c>
      <c r="P420" s="33">
        <v>40.270000000000003</v>
      </c>
      <c r="S420" s="32">
        <f>ROUND(ROUND(P420, 2)*I420, 2)</f>
        <v>2507.81</v>
      </c>
      <c r="V420" s="9">
        <f>ROUND(ROUND(P420, 2)/1.2, 2)</f>
        <v>33.56</v>
      </c>
      <c r="Y420" s="9">
        <f t="shared" si="17"/>
        <v>2089.84</v>
      </c>
      <c r="AD420" s="4" t="s">
        <v>1657</v>
      </c>
      <c r="AE420" s="4" t="s">
        <v>1658</v>
      </c>
      <c r="AF420" s="4" t="s">
        <v>793</v>
      </c>
    </row>
    <row r="421" spans="1:35" ht="36" x14ac:dyDescent="0.3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49">
        <v>298.92</v>
      </c>
      <c r="J421" s="31">
        <v>16.12</v>
      </c>
      <c r="M421" s="32">
        <f>ROUND(ROUND(J421, 2)*I421, 2)</f>
        <v>4818.59</v>
      </c>
      <c r="P421" s="33">
        <v>16.11</v>
      </c>
      <c r="S421" s="32">
        <f>ROUND(ROUND(P421, 2)*I421, 2)</f>
        <v>4815.6000000000004</v>
      </c>
      <c r="V421" s="9">
        <f>ROUND(ROUND(P421, 2)/1.2, 2)</f>
        <v>13.43</v>
      </c>
      <c r="Y421" s="9">
        <f t="shared" si="17"/>
        <v>4013</v>
      </c>
      <c r="AD421" s="4" t="s">
        <v>1660</v>
      </c>
      <c r="AE421" s="4" t="s">
        <v>1661</v>
      </c>
      <c r="AF421" s="4" t="s">
        <v>825</v>
      </c>
    </row>
    <row r="422" spans="1:35" ht="72" x14ac:dyDescent="0.3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49">
        <v>274.01</v>
      </c>
      <c r="J422" s="31">
        <v>2038.06</v>
      </c>
      <c r="M422" s="32">
        <f>ROUND(ROUND(J422, 2)*I422, 2)</f>
        <v>558448.81999999995</v>
      </c>
      <c r="P422" s="33">
        <v>1102.5</v>
      </c>
      <c r="S422" s="32">
        <f>ROUND(ROUND(P422, 2)*I422, 2)</f>
        <v>302096.03000000003</v>
      </c>
      <c r="V422" s="9">
        <f>ROUND(ROUND(P422, 2)/1.2, 2)</f>
        <v>918.75</v>
      </c>
      <c r="Y422" s="9">
        <f t="shared" si="17"/>
        <v>251746.69</v>
      </c>
      <c r="AD422" s="4" t="s">
        <v>1663</v>
      </c>
      <c r="AE422" s="4" t="s">
        <v>1664</v>
      </c>
      <c r="AF422" s="4" t="s">
        <v>1550</v>
      </c>
    </row>
    <row r="423" spans="1:35" ht="54" x14ac:dyDescent="0.3">
      <c r="A423" s="10" t="s">
        <v>1665</v>
      </c>
      <c r="B423" s="10" t="s">
        <v>1540</v>
      </c>
      <c r="C423" s="11" t="s">
        <v>1541</v>
      </c>
      <c r="D423" s="12"/>
      <c r="E423" s="12" t="s">
        <v>1595</v>
      </c>
      <c r="F423" s="12" t="s">
        <v>59</v>
      </c>
      <c r="G423" s="13">
        <v>1</v>
      </c>
      <c r="H423" s="13"/>
      <c r="I423" s="13">
        <v>238.4</v>
      </c>
      <c r="J423" s="14">
        <f>IFERROR(ROUND(SUM(M424,M425,M426,M427)/I423, 2),0)</f>
        <v>2281.54</v>
      </c>
      <c r="K423" s="15">
        <v>2983</v>
      </c>
      <c r="L423" s="14">
        <f>J423+ROUND(K423, 2)</f>
        <v>5264.54</v>
      </c>
      <c r="M423" s="14">
        <f>ROUND(J423*I423, 2)</f>
        <v>543919.14</v>
      </c>
      <c r="N423" s="14">
        <f>ROUND(I423*ROUND(K423, 2), 2)</f>
        <v>711147.2</v>
      </c>
      <c r="O423" s="14">
        <f>M423+N423</f>
        <v>1255066.3400000001</v>
      </c>
      <c r="P423" s="14">
        <f>IFERROR(ROUND(SUM(S424,S425,S426,S427)/I423, 2),0)</f>
        <v>1252.4100000000001</v>
      </c>
      <c r="Q423" s="16">
        <v>4474.5</v>
      </c>
      <c r="R423" s="14">
        <f>P423+ROUND(Q423, 2)</f>
        <v>5726.91</v>
      </c>
      <c r="S423" s="14">
        <f>ROUND(P423*I423, 2)</f>
        <v>298574.53999999998</v>
      </c>
      <c r="T423" s="14">
        <f>ROUND(I423*ROUND(Q423, 2), 2)</f>
        <v>1066720.8</v>
      </c>
      <c r="U423" s="14">
        <f>S423+T423</f>
        <v>1365295.34</v>
      </c>
      <c r="V423" s="9">
        <f>ROUND(P423 / 1.2, 2)</f>
        <v>1043.68</v>
      </c>
      <c r="W423" s="9">
        <f>ROUND(Q423 / 1.2, 2)</f>
        <v>3728.75</v>
      </c>
      <c r="X423" s="9">
        <f>ROUND(R423 / 1.2, 2)</f>
        <v>4772.43</v>
      </c>
      <c r="Y423" s="9">
        <f t="shared" si="17"/>
        <v>248812.12</v>
      </c>
      <c r="Z423" s="9">
        <f>ROUND(T423 / 1.2, 2)</f>
        <v>888934</v>
      </c>
      <c r="AA423" s="9">
        <f>Y423+Z423</f>
        <v>1137746.1200000001</v>
      </c>
      <c r="AD423" s="4">
        <v>304337684</v>
      </c>
      <c r="AE423" s="4">
        <v>21950047</v>
      </c>
      <c r="AG423" s="4" t="s">
        <v>1542</v>
      </c>
      <c r="AH423" s="4" t="s">
        <v>1543</v>
      </c>
      <c r="AI423" s="4" t="s">
        <v>260</v>
      </c>
    </row>
    <row r="424" spans="1:35" ht="72" x14ac:dyDescent="0.3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49">
        <v>262.24</v>
      </c>
      <c r="J424" s="31">
        <v>2038.06</v>
      </c>
      <c r="M424" s="32">
        <f>ROUND(ROUND(J424, 2)*I424, 2)</f>
        <v>534460.85</v>
      </c>
      <c r="P424" s="33">
        <v>1102.5</v>
      </c>
      <c r="S424" s="32">
        <f>ROUND(ROUND(P424, 2)*I424, 2)</f>
        <v>289119.59999999998</v>
      </c>
      <c r="V424" s="9">
        <f>ROUND(ROUND(P424, 2)/1.2, 2)</f>
        <v>918.75</v>
      </c>
      <c r="Y424" s="9">
        <f t="shared" si="17"/>
        <v>240933</v>
      </c>
      <c r="AD424" s="4" t="s">
        <v>1667</v>
      </c>
      <c r="AE424" s="4" t="s">
        <v>1668</v>
      </c>
      <c r="AF424" s="4" t="s">
        <v>1550</v>
      </c>
    </row>
    <row r="425" spans="1:35" ht="36" x14ac:dyDescent="0.3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49">
        <v>286.08</v>
      </c>
      <c r="J425" s="31">
        <v>16.12</v>
      </c>
      <c r="M425" s="32">
        <f>ROUND(ROUND(J425, 2)*I425, 2)</f>
        <v>4611.6099999999997</v>
      </c>
      <c r="P425" s="33">
        <v>16.11</v>
      </c>
      <c r="S425" s="32">
        <f>ROUND(ROUND(P425, 2)*I425, 2)</f>
        <v>4608.75</v>
      </c>
      <c r="V425" s="9">
        <f>ROUND(ROUND(P425, 2)/1.2, 2)</f>
        <v>13.43</v>
      </c>
      <c r="Y425" s="9">
        <f t="shared" si="17"/>
        <v>3840.63</v>
      </c>
      <c r="AD425" s="4" t="s">
        <v>1670</v>
      </c>
      <c r="AE425" s="4" t="s">
        <v>1671</v>
      </c>
      <c r="AF425" s="4" t="s">
        <v>825</v>
      </c>
    </row>
    <row r="426" spans="1:35" ht="36" x14ac:dyDescent="0.3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49">
        <v>59.6</v>
      </c>
      <c r="J426" s="31">
        <v>40.270000000000003</v>
      </c>
      <c r="M426" s="32">
        <f>ROUND(ROUND(J426, 2)*I426, 2)</f>
        <v>2400.09</v>
      </c>
      <c r="P426" s="33">
        <v>40.270000000000003</v>
      </c>
      <c r="S426" s="32">
        <f>ROUND(ROUND(P426, 2)*I426, 2)</f>
        <v>2400.09</v>
      </c>
      <c r="V426" s="9">
        <f>ROUND(ROUND(P426, 2)/1.2, 2)</f>
        <v>33.56</v>
      </c>
      <c r="Y426" s="9">
        <f t="shared" si="17"/>
        <v>2000.08</v>
      </c>
      <c r="AD426" s="4" t="s">
        <v>1673</v>
      </c>
      <c r="AE426" s="4" t="s">
        <v>1674</v>
      </c>
      <c r="AF426" s="4" t="s">
        <v>793</v>
      </c>
    </row>
    <row r="427" spans="1:35" ht="36" x14ac:dyDescent="0.3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30">
        <v>35.76</v>
      </c>
      <c r="J427" s="31">
        <v>68.400000000000006</v>
      </c>
      <c r="M427" s="32">
        <f>ROUND(ROUND(J427, 2)*I427, 2)</f>
        <v>2445.98</v>
      </c>
      <c r="P427" s="33">
        <v>68.400000000000006</v>
      </c>
      <c r="S427" s="32">
        <f>ROUND(ROUND(P427, 2)*I427, 2)</f>
        <v>2445.98</v>
      </c>
      <c r="V427" s="9">
        <f>ROUND(ROUND(P427, 2)/1.2, 2)</f>
        <v>57</v>
      </c>
      <c r="Y427" s="9">
        <f t="shared" si="17"/>
        <v>2038.32</v>
      </c>
      <c r="AD427" s="4" t="s">
        <v>1676</v>
      </c>
      <c r="AE427" s="4" t="s">
        <v>1677</v>
      </c>
      <c r="AF427" s="4" t="s">
        <v>1437</v>
      </c>
    </row>
    <row r="428" spans="1:35" ht="54" x14ac:dyDescent="0.3">
      <c r="A428" s="10" t="s">
        <v>1678</v>
      </c>
      <c r="B428" s="10" t="s">
        <v>1540</v>
      </c>
      <c r="C428" s="11" t="s">
        <v>1541</v>
      </c>
      <c r="D428" s="12"/>
      <c r="E428" s="12" t="s">
        <v>1618</v>
      </c>
      <c r="F428" s="12" t="s">
        <v>59</v>
      </c>
      <c r="G428" s="13">
        <v>1</v>
      </c>
      <c r="H428" s="13"/>
      <c r="I428" s="13">
        <v>6.1</v>
      </c>
      <c r="J428" s="14">
        <f>IFERROR(ROUND(SUM(M429,M430,M431,M432)/I428, 2),0)</f>
        <v>2281.54</v>
      </c>
      <c r="K428" s="15">
        <v>2983</v>
      </c>
      <c r="L428" s="14">
        <f>J428+ROUND(K428, 2)</f>
        <v>5264.54</v>
      </c>
      <c r="M428" s="14">
        <f>ROUND(J428*I428, 2)</f>
        <v>13917.39</v>
      </c>
      <c r="N428" s="14">
        <f>ROUND(I428*ROUND(K428, 2), 2)</f>
        <v>18196.3</v>
      </c>
      <c r="O428" s="14">
        <f>M428+N428</f>
        <v>32113.69</v>
      </c>
      <c r="P428" s="14">
        <f>IFERROR(ROUND(SUM(S429,S430,S431,S432)/I428, 2),0)</f>
        <v>1252.4100000000001</v>
      </c>
      <c r="Q428" s="16">
        <v>4474.5</v>
      </c>
      <c r="R428" s="14">
        <f>P428+ROUND(Q428, 2)</f>
        <v>5726.91</v>
      </c>
      <c r="S428" s="14">
        <f>ROUND(P428*I428, 2)</f>
        <v>7639.7</v>
      </c>
      <c r="T428" s="14">
        <f>ROUND(I428*ROUND(Q428, 2), 2)</f>
        <v>27294.45</v>
      </c>
      <c r="U428" s="14">
        <f>S428+T428</f>
        <v>34934.15</v>
      </c>
      <c r="V428" s="9">
        <f>ROUND(P428 / 1.2, 2)</f>
        <v>1043.68</v>
      </c>
      <c r="W428" s="9">
        <f>ROUND(Q428 / 1.2, 2)</f>
        <v>3728.75</v>
      </c>
      <c r="X428" s="9">
        <f>ROUND(R428 / 1.2, 2)</f>
        <v>4772.43</v>
      </c>
      <c r="Y428" s="9">
        <f t="shared" si="17"/>
        <v>6366.42</v>
      </c>
      <c r="Z428" s="9">
        <f>ROUND(T428 / 1.2, 2)</f>
        <v>22745.38</v>
      </c>
      <c r="AA428" s="9">
        <f>Y428+Z428</f>
        <v>29111.8</v>
      </c>
      <c r="AD428" s="4">
        <v>304337685</v>
      </c>
      <c r="AE428" s="4">
        <v>21950054</v>
      </c>
      <c r="AG428" s="4" t="s">
        <v>1542</v>
      </c>
      <c r="AH428" s="4" t="s">
        <v>1543</v>
      </c>
      <c r="AI428" s="4" t="s">
        <v>260</v>
      </c>
    </row>
    <row r="429" spans="1:35" ht="36" x14ac:dyDescent="0.3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30">
        <v>0.91500000000000004</v>
      </c>
      <c r="J429" s="31">
        <v>68.400000000000006</v>
      </c>
      <c r="M429" s="32">
        <f>ROUND(ROUND(J429, 2)*I429, 2)</f>
        <v>62.59</v>
      </c>
      <c r="P429" s="33">
        <v>68.400000000000006</v>
      </c>
      <c r="S429" s="32">
        <f>ROUND(ROUND(P429, 2)*I429, 2)</f>
        <v>62.59</v>
      </c>
      <c r="V429" s="9">
        <f>ROUND(ROUND(P429, 2)/1.2, 2)</f>
        <v>57</v>
      </c>
      <c r="Y429" s="9">
        <f t="shared" si="17"/>
        <v>52.16</v>
      </c>
      <c r="AD429" s="4" t="s">
        <v>1680</v>
      </c>
      <c r="AE429" s="4" t="s">
        <v>1681</v>
      </c>
      <c r="AF429" s="4" t="s">
        <v>1437</v>
      </c>
    </row>
    <row r="430" spans="1:35" ht="36" x14ac:dyDescent="0.3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49">
        <v>1.5249999999999999</v>
      </c>
      <c r="J430" s="31">
        <v>40.270000000000003</v>
      </c>
      <c r="M430" s="32">
        <f>ROUND(ROUND(J430, 2)*I430, 2)</f>
        <v>61.41</v>
      </c>
      <c r="P430" s="33">
        <v>40.270000000000003</v>
      </c>
      <c r="S430" s="32">
        <f>ROUND(ROUND(P430, 2)*I430, 2)</f>
        <v>61.41</v>
      </c>
      <c r="V430" s="9">
        <f>ROUND(ROUND(P430, 2)/1.2, 2)</f>
        <v>33.56</v>
      </c>
      <c r="Y430" s="9">
        <f t="shared" si="17"/>
        <v>51.18</v>
      </c>
      <c r="AD430" s="4" t="s">
        <v>1683</v>
      </c>
      <c r="AE430" s="4" t="s">
        <v>1684</v>
      </c>
      <c r="AF430" s="4" t="s">
        <v>793</v>
      </c>
    </row>
    <row r="431" spans="1:35" ht="36" x14ac:dyDescent="0.3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49">
        <v>7.32</v>
      </c>
      <c r="J431" s="31">
        <v>16.12</v>
      </c>
      <c r="M431" s="32">
        <f>ROUND(ROUND(J431, 2)*I431, 2)</f>
        <v>118</v>
      </c>
      <c r="P431" s="33">
        <v>16.11</v>
      </c>
      <c r="S431" s="32">
        <f>ROUND(ROUND(P431, 2)*I431, 2)</f>
        <v>117.93</v>
      </c>
      <c r="V431" s="9">
        <f>ROUND(ROUND(P431, 2)/1.2, 2)</f>
        <v>13.43</v>
      </c>
      <c r="Y431" s="9">
        <f t="shared" si="17"/>
        <v>98.28</v>
      </c>
      <c r="AD431" s="4" t="s">
        <v>1686</v>
      </c>
      <c r="AE431" s="4" t="s">
        <v>1687</v>
      </c>
      <c r="AF431" s="4" t="s">
        <v>825</v>
      </c>
    </row>
    <row r="432" spans="1:35" ht="36" x14ac:dyDescent="0.3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49">
        <v>6.71</v>
      </c>
      <c r="J432" s="31">
        <v>2038.06</v>
      </c>
      <c r="M432" s="32">
        <f>ROUND(ROUND(J432, 2)*I432, 2)</f>
        <v>13675.38</v>
      </c>
      <c r="P432" s="33">
        <v>1102.5</v>
      </c>
      <c r="S432" s="32">
        <f>ROUND(ROUND(P432, 2)*I432, 2)</f>
        <v>7397.78</v>
      </c>
      <c r="V432" s="9">
        <f>ROUND(ROUND(P432, 2)/1.2, 2)</f>
        <v>918.75</v>
      </c>
      <c r="Y432" s="9">
        <f t="shared" si="17"/>
        <v>6164.82</v>
      </c>
      <c r="AD432" s="4" t="s">
        <v>1689</v>
      </c>
      <c r="AE432" s="4" t="s">
        <v>1690</v>
      </c>
      <c r="AF432" s="4" t="s">
        <v>1550</v>
      </c>
    </row>
    <row r="433" spans="1:35" ht="16.95" customHeight="1" x14ac:dyDescent="0.3">
      <c r="A433" s="10" t="s">
        <v>1691</v>
      </c>
      <c r="B433" s="10" t="s">
        <v>1692</v>
      </c>
      <c r="C433" s="153" t="s">
        <v>1693</v>
      </c>
      <c r="D433" s="154"/>
      <c r="E433" s="154"/>
      <c r="F433" s="154"/>
      <c r="G433" s="154"/>
      <c r="H433" s="154"/>
      <c r="I433" s="155"/>
      <c r="M433" s="6">
        <f>SUM(M434,M439,M444,M449)</f>
        <v>294158.3</v>
      </c>
      <c r="N433" s="6">
        <f>SUM(N434,N439,N444,N449)</f>
        <v>704676.7</v>
      </c>
      <c r="O433" s="6">
        <f>SUM(O434,O439,O444,O449)</f>
        <v>998835</v>
      </c>
      <c r="S433" s="6">
        <f>SUM(S434,S439,S444,S449)</f>
        <v>411347.02</v>
      </c>
      <c r="T433" s="6">
        <f>SUM(T434,T439,T444,T449)</f>
        <v>1057015.05</v>
      </c>
      <c r="U433" s="6">
        <f>SUM(U434,U439,U444,U449)</f>
        <v>1468362.07</v>
      </c>
      <c r="Y433" s="9">
        <f>SUM(Y434,Y439,Y444,Y449)</f>
        <v>342789.19</v>
      </c>
      <c r="Z433" s="9">
        <f>SUM(Z434,Z439,Z444,Z449)</f>
        <v>880845.88</v>
      </c>
      <c r="AA433" s="9">
        <f>SUM(AA434,AA439,AA444,AA449)</f>
        <v>1223635.07</v>
      </c>
      <c r="AD433" s="4">
        <v>304337572</v>
      </c>
      <c r="AE433" s="4">
        <v>20338501</v>
      </c>
    </row>
    <row r="434" spans="1:35" ht="36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3">
        <v>0</v>
      </c>
      <c r="J434" s="14">
        <f>IFERROR(ROUND(SUM(M435,M436,M437,M438)/I434, 2),0)</f>
        <v>0</v>
      </c>
      <c r="K434" s="15">
        <v>1477</v>
      </c>
      <c r="L434" s="14">
        <f>J434+ROUND(K434, 2)</f>
        <v>1477</v>
      </c>
      <c r="M434" s="14">
        <f>ROUND(J434*I434, 2)</f>
        <v>0</v>
      </c>
      <c r="N434" s="14">
        <f>ROUND(I434*ROUND(K434, 2), 2)</f>
        <v>0</v>
      </c>
      <c r="O434" s="14">
        <f>M434+N434</f>
        <v>0</v>
      </c>
      <c r="P434" s="14">
        <f>IFERROR(ROUND(SUM(S435,S436,S437,S438)/I434, 2),0)</f>
        <v>0</v>
      </c>
      <c r="Q434" s="15">
        <v>1477</v>
      </c>
      <c r="R434" s="14">
        <f>P434+ROUND(Q434, 2)</f>
        <v>1477</v>
      </c>
      <c r="S434" s="14">
        <f>ROUND(P434*I434, 2)</f>
        <v>0</v>
      </c>
      <c r="T434" s="14">
        <f>ROUND(I434*ROUND(Q434, 2), 2)</f>
        <v>0</v>
      </c>
      <c r="U434" s="14">
        <f>S434+T434</f>
        <v>0</v>
      </c>
      <c r="V434" s="9">
        <f>ROUND(P434 / 1.2, 2)</f>
        <v>0</v>
      </c>
      <c r="W434" s="9">
        <f>ROUND(Q434 / 1.2, 2)</f>
        <v>1230.83</v>
      </c>
      <c r="X434" s="9">
        <f>ROUND(R434 / 1.2, 2)</f>
        <v>1230.83</v>
      </c>
      <c r="Y434" s="9">
        <f>ROUND(S434 / 1.2, 2)</f>
        <v>0</v>
      </c>
      <c r="Z434" s="9">
        <f>ROUND(T434 / 1.2, 2)</f>
        <v>0</v>
      </c>
      <c r="AA434" s="9">
        <f>Y434+Z434</f>
        <v>0</v>
      </c>
      <c r="AD434" s="4">
        <v>304337574</v>
      </c>
      <c r="AE434" s="4">
        <v>20343922</v>
      </c>
      <c r="AG434" s="4" t="s">
        <v>1697</v>
      </c>
      <c r="AH434" s="4" t="s">
        <v>1698</v>
      </c>
      <c r="AI434" s="4" t="s">
        <v>260</v>
      </c>
    </row>
    <row r="435" spans="1:35" ht="18" x14ac:dyDescent="0.3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49">
        <v>0</v>
      </c>
      <c r="J435" s="31">
        <v>80</v>
      </c>
      <c r="M435" s="32">
        <f>ROUND(ROUND(J435, 2)*I435, 2)</f>
        <v>0</v>
      </c>
      <c r="P435" s="31">
        <v>80</v>
      </c>
      <c r="S435" s="32">
        <f>ROUND(ROUND(P435, 2)*I435, 2)</f>
        <v>0</v>
      </c>
      <c r="V435" s="9">
        <f>ROUND(ROUND(P435, 2)/1.2, 2)</f>
        <v>66.67</v>
      </c>
      <c r="Y435" s="9">
        <f t="shared" ref="Y435:Y453" si="18">ROUND(S435 / 1.2, 2)</f>
        <v>0</v>
      </c>
      <c r="AD435" s="4" t="s">
        <v>1703</v>
      </c>
      <c r="AE435" s="4" t="s">
        <v>1704</v>
      </c>
      <c r="AF435" s="4" t="s">
        <v>1705</v>
      </c>
    </row>
    <row r="436" spans="1:35" ht="18" x14ac:dyDescent="0.3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49">
        <v>0</v>
      </c>
      <c r="J436" s="31">
        <v>44.71</v>
      </c>
      <c r="M436" s="32">
        <f>ROUND(ROUND(J436, 2)*I436, 2)</f>
        <v>0</v>
      </c>
      <c r="P436" s="31">
        <v>44.71</v>
      </c>
      <c r="S436" s="32">
        <f>ROUND(ROUND(P436, 2)*I436, 2)</f>
        <v>0</v>
      </c>
      <c r="V436" s="9">
        <f>ROUND(ROUND(P436, 2)/1.2, 2)</f>
        <v>37.26</v>
      </c>
      <c r="Y436" s="9">
        <f t="shared" si="18"/>
        <v>0</v>
      </c>
      <c r="AD436" s="4" t="s">
        <v>1710</v>
      </c>
      <c r="AE436" s="4" t="s">
        <v>1711</v>
      </c>
      <c r="AF436" s="4" t="s">
        <v>1712</v>
      </c>
    </row>
    <row r="437" spans="1:35" ht="18" x14ac:dyDescent="0.3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49">
        <v>0</v>
      </c>
      <c r="J437" s="31">
        <v>35.76</v>
      </c>
      <c r="M437" s="32">
        <f>ROUND(ROUND(J437, 2)*I437, 2)</f>
        <v>0</v>
      </c>
      <c r="P437" s="31">
        <v>35.76</v>
      </c>
      <c r="S437" s="32">
        <f>ROUND(ROUND(P437, 2)*I437, 2)</f>
        <v>0</v>
      </c>
      <c r="V437" s="9">
        <f>ROUND(ROUND(P437, 2)/1.2, 2)</f>
        <v>29.8</v>
      </c>
      <c r="Y437" s="9">
        <f t="shared" si="18"/>
        <v>0</v>
      </c>
      <c r="AD437" s="4" t="s">
        <v>1716</v>
      </c>
      <c r="AE437" s="4" t="s">
        <v>1717</v>
      </c>
      <c r="AF437" s="4" t="s">
        <v>178</v>
      </c>
    </row>
    <row r="438" spans="1:35" ht="36" x14ac:dyDescent="0.3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49">
        <v>0</v>
      </c>
      <c r="J438" s="31">
        <v>0</v>
      </c>
      <c r="M438" s="32">
        <f>ROUND(ROUND(J438, 2)*I438, 2)</f>
        <v>0</v>
      </c>
      <c r="P438" s="31">
        <v>1520.33</v>
      </c>
      <c r="S438" s="32">
        <f>ROUND(ROUND(P438, 2)*I438, 2)</f>
        <v>0</v>
      </c>
      <c r="V438" s="9">
        <f>ROUND(ROUND(P438, 2)/1.2, 2)</f>
        <v>1266.94</v>
      </c>
      <c r="Y438" s="9">
        <f t="shared" si="18"/>
        <v>0</v>
      </c>
      <c r="AD438" s="4" t="s">
        <v>1722</v>
      </c>
      <c r="AE438" s="4" t="s">
        <v>1723</v>
      </c>
      <c r="AF438" s="4" t="s">
        <v>1724</v>
      </c>
    </row>
    <row r="439" spans="1:35" ht="36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3">
        <v>0</v>
      </c>
      <c r="J439" s="14">
        <f>IFERROR(ROUND(SUM(M440,M441,M442,M443)/I439, 2),0)</f>
        <v>0</v>
      </c>
      <c r="K439" s="15">
        <v>1477</v>
      </c>
      <c r="L439" s="14">
        <f>J439+ROUND(K439, 2)</f>
        <v>1477</v>
      </c>
      <c r="M439" s="14">
        <f>ROUND(J439*I439, 2)</f>
        <v>0</v>
      </c>
      <c r="N439" s="14">
        <f>ROUND(I439*ROUND(K439, 2), 2)</f>
        <v>0</v>
      </c>
      <c r="O439" s="14">
        <f>M439+N439</f>
        <v>0</v>
      </c>
      <c r="P439" s="14">
        <f>IFERROR(ROUND(SUM(S440,S441,S442,S443)/I439, 2),0)</f>
        <v>0</v>
      </c>
      <c r="Q439" s="15">
        <v>1477</v>
      </c>
      <c r="R439" s="14">
        <f>P439+ROUND(Q439, 2)</f>
        <v>1477</v>
      </c>
      <c r="S439" s="14">
        <f>ROUND(P439*I439, 2)</f>
        <v>0</v>
      </c>
      <c r="T439" s="14">
        <f>ROUND(I439*ROUND(Q439, 2), 2)</f>
        <v>0</v>
      </c>
      <c r="U439" s="14">
        <f>S439+T439</f>
        <v>0</v>
      </c>
      <c r="V439" s="9">
        <f>ROUND(P439 / 1.2, 2)</f>
        <v>0</v>
      </c>
      <c r="W439" s="9">
        <f>ROUND(Q439 / 1.2, 2)</f>
        <v>1230.83</v>
      </c>
      <c r="X439" s="9">
        <f>ROUND(R439 / 1.2, 2)</f>
        <v>1230.83</v>
      </c>
      <c r="Y439" s="9">
        <f t="shared" si="18"/>
        <v>0</v>
      </c>
      <c r="Z439" s="9">
        <f>ROUND(T439 / 1.2, 2)</f>
        <v>0</v>
      </c>
      <c r="AA439" s="9">
        <f>Y439+Z439</f>
        <v>0</v>
      </c>
      <c r="AD439" s="4">
        <v>304337686</v>
      </c>
      <c r="AE439" s="4">
        <v>20344047</v>
      </c>
      <c r="AG439" s="4" t="s">
        <v>1697</v>
      </c>
      <c r="AH439" s="4" t="s">
        <v>1698</v>
      </c>
      <c r="AI439" s="4" t="s">
        <v>260</v>
      </c>
    </row>
    <row r="440" spans="1:35" ht="18" x14ac:dyDescent="0.3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49">
        <v>0</v>
      </c>
      <c r="J440" s="31">
        <v>309.39999999999998</v>
      </c>
      <c r="M440" s="32">
        <f>ROUND(ROUND(J440, 2)*I440, 2)</f>
        <v>0</v>
      </c>
      <c r="P440" s="31">
        <v>104.57</v>
      </c>
      <c r="S440" s="32">
        <f>ROUND(ROUND(P440, 2)*I440, 2)</f>
        <v>0</v>
      </c>
      <c r="V440" s="9">
        <f>ROUND(ROUND(P440, 2)/1.2, 2)</f>
        <v>87.14</v>
      </c>
      <c r="Y440" s="9">
        <f t="shared" si="18"/>
        <v>0</v>
      </c>
      <c r="AD440" s="4" t="s">
        <v>1731</v>
      </c>
      <c r="AE440" s="4" t="s">
        <v>1732</v>
      </c>
      <c r="AF440" s="4" t="s">
        <v>192</v>
      </c>
    </row>
    <row r="441" spans="1:35" ht="18" x14ac:dyDescent="0.3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49">
        <v>0</v>
      </c>
      <c r="J441" s="31">
        <v>44.71</v>
      </c>
      <c r="M441" s="32">
        <f>ROUND(ROUND(J441, 2)*I441, 2)</f>
        <v>0</v>
      </c>
      <c r="P441" s="31">
        <v>44.71</v>
      </c>
      <c r="S441" s="32">
        <f>ROUND(ROUND(P441, 2)*I441, 2)</f>
        <v>0</v>
      </c>
      <c r="V441" s="9">
        <f>ROUND(ROUND(P441, 2)/1.2, 2)</f>
        <v>37.26</v>
      </c>
      <c r="Y441" s="9">
        <f t="shared" si="18"/>
        <v>0</v>
      </c>
      <c r="AD441" s="4" t="s">
        <v>1736</v>
      </c>
      <c r="AE441" s="4" t="s">
        <v>1737</v>
      </c>
      <c r="AF441" s="4" t="s">
        <v>1712</v>
      </c>
    </row>
    <row r="442" spans="1:35" ht="18" x14ac:dyDescent="0.3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49">
        <v>0</v>
      </c>
      <c r="J442" s="31">
        <v>35.76</v>
      </c>
      <c r="M442" s="32">
        <f>ROUND(ROUND(J442, 2)*I442, 2)</f>
        <v>0</v>
      </c>
      <c r="P442" s="31">
        <v>35.76</v>
      </c>
      <c r="S442" s="32">
        <f>ROUND(ROUND(P442, 2)*I442, 2)</f>
        <v>0</v>
      </c>
      <c r="V442" s="9">
        <f>ROUND(ROUND(P442, 2)/1.2, 2)</f>
        <v>29.8</v>
      </c>
      <c r="Y442" s="9">
        <f t="shared" si="18"/>
        <v>0</v>
      </c>
      <c r="AD442" s="4" t="s">
        <v>1741</v>
      </c>
      <c r="AE442" s="4" t="s">
        <v>1742</v>
      </c>
      <c r="AF442" s="4" t="s">
        <v>178</v>
      </c>
    </row>
    <row r="443" spans="1:35" ht="18" x14ac:dyDescent="0.3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49">
        <v>0</v>
      </c>
      <c r="J443" s="31">
        <v>80</v>
      </c>
      <c r="M443" s="32">
        <f>ROUND(ROUND(J443, 2)*I443, 2)</f>
        <v>0</v>
      </c>
      <c r="P443" s="31">
        <v>80</v>
      </c>
      <c r="S443" s="32">
        <f>ROUND(ROUND(P443, 2)*I443, 2)</f>
        <v>0</v>
      </c>
      <c r="V443" s="9">
        <f>ROUND(ROUND(P443, 2)/1.2, 2)</f>
        <v>66.67</v>
      </c>
      <c r="Y443" s="9">
        <f t="shared" si="18"/>
        <v>0</v>
      </c>
      <c r="AD443" s="4" t="s">
        <v>1746</v>
      </c>
      <c r="AE443" s="4" t="s">
        <v>1747</v>
      </c>
      <c r="AF443" s="4" t="s">
        <v>1705</v>
      </c>
    </row>
    <row r="444" spans="1:35" ht="90" x14ac:dyDescent="0.3">
      <c r="A444" s="10" t="s">
        <v>1750</v>
      </c>
      <c r="B444" s="10" t="s">
        <v>1695</v>
      </c>
      <c r="C444" s="11" t="s">
        <v>1696</v>
      </c>
      <c r="D444" s="12"/>
      <c r="E444" s="12" t="s">
        <v>1700</v>
      </c>
      <c r="F444" s="12" t="s">
        <v>59</v>
      </c>
      <c r="G444" s="13">
        <v>1</v>
      </c>
      <c r="H444" s="13"/>
      <c r="I444" s="13">
        <v>118.4</v>
      </c>
      <c r="J444" s="14">
        <f>IFERROR(ROUND(SUM(M445,M446,M447,M448)/I444, 2),0)</f>
        <v>360.42</v>
      </c>
      <c r="K444" s="15">
        <v>1477</v>
      </c>
      <c r="L444" s="14">
        <f>J444+ROUND(K444, 2)</f>
        <v>1837.42</v>
      </c>
      <c r="M444" s="14">
        <f>ROUND(J444*I444, 2)</f>
        <v>42673.73</v>
      </c>
      <c r="N444" s="14">
        <f>ROUND(I444*ROUND(K444, 2), 2)</f>
        <v>174876.79999999999</v>
      </c>
      <c r="O444" s="14">
        <f>M444+N444</f>
        <v>217550.53</v>
      </c>
      <c r="P444" s="14">
        <f>IFERROR(ROUND(SUM(S445,S446,S447,S448)/I444, 2),0)</f>
        <v>2032.78</v>
      </c>
      <c r="Q444" s="16">
        <v>2215.5</v>
      </c>
      <c r="R444" s="14">
        <f>P444+ROUND(Q444, 2)</f>
        <v>4248.28</v>
      </c>
      <c r="S444" s="14">
        <f>ROUND(P444*I444, 2)</f>
        <v>240681.15</v>
      </c>
      <c r="T444" s="14">
        <f>ROUND(I444*ROUND(Q444, 2), 2)</f>
        <v>262315.2</v>
      </c>
      <c r="U444" s="14">
        <f>S444+T444</f>
        <v>502996.35</v>
      </c>
      <c r="V444" s="9">
        <f>ROUND(P444 / 1.2, 2)</f>
        <v>1693.98</v>
      </c>
      <c r="W444" s="9">
        <f>ROUND(Q444 / 1.2, 2)</f>
        <v>1846.25</v>
      </c>
      <c r="X444" s="9">
        <f>ROUND(R444 / 1.2, 2)</f>
        <v>3540.23</v>
      </c>
      <c r="Y444" s="9">
        <f t="shared" si="18"/>
        <v>200567.63</v>
      </c>
      <c r="Z444" s="9">
        <f>ROUND(T444 / 1.2, 2)</f>
        <v>218596</v>
      </c>
      <c r="AA444" s="9">
        <f>Y444+Z444</f>
        <v>419163.63</v>
      </c>
      <c r="AD444" s="4">
        <v>304337687</v>
      </c>
      <c r="AE444" s="4">
        <v>21950068</v>
      </c>
      <c r="AG444" s="4" t="s">
        <v>1697</v>
      </c>
      <c r="AH444" s="4" t="s">
        <v>1698</v>
      </c>
      <c r="AI444" s="4" t="s">
        <v>260</v>
      </c>
    </row>
    <row r="445" spans="1:35" ht="18" x14ac:dyDescent="0.3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49">
        <v>123</v>
      </c>
      <c r="J445" s="31">
        <v>80</v>
      </c>
      <c r="M445" s="32">
        <f>ROUND(ROUND(J445, 2)*I445, 2)</f>
        <v>9840</v>
      </c>
      <c r="P445" s="33">
        <v>80</v>
      </c>
      <c r="S445" s="32">
        <f>ROUND(ROUND(P445, 2)*I445, 2)</f>
        <v>9840</v>
      </c>
      <c r="V445" s="9">
        <f>ROUND(ROUND(P445, 2)/1.2, 2)</f>
        <v>66.67</v>
      </c>
      <c r="Y445" s="9">
        <f t="shared" si="18"/>
        <v>8200</v>
      </c>
      <c r="AD445" s="4" t="s">
        <v>1752</v>
      </c>
      <c r="AE445" s="4" t="s">
        <v>1753</v>
      </c>
      <c r="AF445" s="4" t="s">
        <v>1705</v>
      </c>
    </row>
    <row r="446" spans="1:35" ht="18" x14ac:dyDescent="0.3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49">
        <v>592</v>
      </c>
      <c r="J446" s="31">
        <v>44.71</v>
      </c>
      <c r="M446" s="32">
        <f>ROUND(ROUND(J446, 2)*I446, 2)</f>
        <v>26468.32</v>
      </c>
      <c r="P446" s="33">
        <v>44.71</v>
      </c>
      <c r="S446" s="32">
        <f>ROUND(ROUND(P446, 2)*I446, 2)</f>
        <v>26468.32</v>
      </c>
      <c r="V446" s="9">
        <f>ROUND(ROUND(P446, 2)/1.2, 2)</f>
        <v>37.26</v>
      </c>
      <c r="Y446" s="9">
        <f t="shared" si="18"/>
        <v>22056.93</v>
      </c>
      <c r="AD446" s="4" t="s">
        <v>1755</v>
      </c>
      <c r="AE446" s="4" t="s">
        <v>1756</v>
      </c>
      <c r="AF446" s="4" t="s">
        <v>1712</v>
      </c>
    </row>
    <row r="447" spans="1:35" ht="18" x14ac:dyDescent="0.3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49">
        <v>178</v>
      </c>
      <c r="J447" s="31">
        <v>35.76</v>
      </c>
      <c r="M447" s="32">
        <f>ROUND(ROUND(J447, 2)*I447, 2)</f>
        <v>6365.28</v>
      </c>
      <c r="P447" s="33">
        <v>35.76</v>
      </c>
      <c r="S447" s="32">
        <f>ROUND(ROUND(P447, 2)*I447, 2)</f>
        <v>6365.28</v>
      </c>
      <c r="V447" s="9">
        <f>ROUND(ROUND(P447, 2)/1.2, 2)</f>
        <v>29.8</v>
      </c>
      <c r="Y447" s="9">
        <f t="shared" si="18"/>
        <v>5304.4</v>
      </c>
      <c r="AD447" s="4" t="s">
        <v>1758</v>
      </c>
      <c r="AE447" s="4" t="s">
        <v>1759</v>
      </c>
      <c r="AF447" s="4" t="s">
        <v>178</v>
      </c>
    </row>
    <row r="448" spans="1:35" ht="36" x14ac:dyDescent="0.3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49">
        <v>130.24</v>
      </c>
      <c r="J448" s="31">
        <v>0</v>
      </c>
      <c r="M448" s="32">
        <f>ROUND(ROUND(J448, 2)*I448, 2)</f>
        <v>0</v>
      </c>
      <c r="P448" s="33">
        <v>1520.33</v>
      </c>
      <c r="S448" s="32">
        <f>ROUND(ROUND(P448, 2)*I448, 2)</f>
        <v>198007.78</v>
      </c>
      <c r="V448" s="9">
        <f>ROUND(ROUND(P448, 2)/1.2, 2)</f>
        <v>1266.94</v>
      </c>
      <c r="Y448" s="9">
        <f t="shared" si="18"/>
        <v>165006.48000000001</v>
      </c>
      <c r="AD448" s="4" t="s">
        <v>1761</v>
      </c>
      <c r="AE448" s="4" t="s">
        <v>1762</v>
      </c>
      <c r="AF448" s="4" t="s">
        <v>1724</v>
      </c>
    </row>
    <row r="449" spans="1:35" ht="162" x14ac:dyDescent="0.3">
      <c r="A449" s="10" t="s">
        <v>1763</v>
      </c>
      <c r="B449" s="10" t="s">
        <v>1695</v>
      </c>
      <c r="C449" s="11" t="s">
        <v>1696</v>
      </c>
      <c r="D449" s="12"/>
      <c r="E449" s="12" t="s">
        <v>1729</v>
      </c>
      <c r="F449" s="12" t="s">
        <v>59</v>
      </c>
      <c r="G449" s="13">
        <v>1</v>
      </c>
      <c r="H449" s="13"/>
      <c r="I449" s="13">
        <v>358.7</v>
      </c>
      <c r="J449" s="14">
        <f>IFERROR(ROUND(SUM(M450,M451,M452,M453)/I449, 2),0)</f>
        <v>701.1</v>
      </c>
      <c r="K449" s="15">
        <v>1477</v>
      </c>
      <c r="L449" s="14">
        <f>J449+ROUND(K449, 2)</f>
        <v>2178.1</v>
      </c>
      <c r="M449" s="14">
        <f>ROUND(J449*I449, 2)</f>
        <v>251484.57</v>
      </c>
      <c r="N449" s="14">
        <f>ROUND(I449*ROUND(K449, 2), 2)</f>
        <v>529799.9</v>
      </c>
      <c r="O449" s="14">
        <f>M449+N449</f>
        <v>781284.47</v>
      </c>
      <c r="P449" s="14">
        <f>IFERROR(ROUND(SUM(S450,S451,S452,S453)/I449, 2),0)</f>
        <v>475.79</v>
      </c>
      <c r="Q449" s="16">
        <v>2215.5</v>
      </c>
      <c r="R449" s="14">
        <f>P449+ROUND(Q449, 2)</f>
        <v>2691.29</v>
      </c>
      <c r="S449" s="14">
        <f>ROUND(P449*I449, 2)</f>
        <v>170665.87</v>
      </c>
      <c r="T449" s="14">
        <f>ROUND(I449*ROUND(Q449, 2), 2)</f>
        <v>794699.85</v>
      </c>
      <c r="U449" s="14">
        <f>S449+T449</f>
        <v>965365.72</v>
      </c>
      <c r="V449" s="9">
        <f>ROUND(P449 / 1.2, 2)</f>
        <v>396.49</v>
      </c>
      <c r="W449" s="9">
        <f>ROUND(Q449 / 1.2, 2)</f>
        <v>1846.25</v>
      </c>
      <c r="X449" s="9">
        <f>ROUND(R449 / 1.2, 2)</f>
        <v>2242.7399999999998</v>
      </c>
      <c r="Y449" s="9">
        <f t="shared" si="18"/>
        <v>142221.56</v>
      </c>
      <c r="Z449" s="9">
        <f>ROUND(T449 / 1.2, 2)</f>
        <v>662249.88</v>
      </c>
      <c r="AA449" s="9">
        <f>Y449+Z449</f>
        <v>804471.44</v>
      </c>
      <c r="AD449" s="4">
        <v>304337688</v>
      </c>
      <c r="AE449" s="4">
        <v>21950067</v>
      </c>
      <c r="AG449" s="4" t="s">
        <v>1697</v>
      </c>
      <c r="AH449" s="4" t="s">
        <v>1698</v>
      </c>
      <c r="AI449" s="4" t="s">
        <v>260</v>
      </c>
    </row>
    <row r="450" spans="1:35" ht="18" x14ac:dyDescent="0.3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49">
        <v>394.57</v>
      </c>
      <c r="J450" s="31">
        <v>309.39999999999998</v>
      </c>
      <c r="M450" s="32">
        <f>ROUND(ROUND(J450, 2)*I450, 2)</f>
        <v>122079.96</v>
      </c>
      <c r="P450" s="33">
        <v>104.57</v>
      </c>
      <c r="S450" s="32">
        <f>ROUND(ROUND(P450, 2)*I450, 2)</f>
        <v>41260.18</v>
      </c>
      <c r="V450" s="9">
        <f>ROUND(ROUND(P450, 2)/1.2, 2)</f>
        <v>87.14</v>
      </c>
      <c r="Y450" s="9">
        <f t="shared" si="18"/>
        <v>34383.480000000003</v>
      </c>
      <c r="AD450" s="4" t="s">
        <v>1765</v>
      </c>
      <c r="AE450" s="4" t="s">
        <v>1766</v>
      </c>
      <c r="AF450" s="4" t="s">
        <v>192</v>
      </c>
    </row>
    <row r="451" spans="1:35" ht="18" x14ac:dyDescent="0.3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49">
        <v>1794</v>
      </c>
      <c r="J451" s="31">
        <v>44.71</v>
      </c>
      <c r="M451" s="32">
        <f>ROUND(ROUND(J451, 2)*I451, 2)</f>
        <v>80209.740000000005</v>
      </c>
      <c r="P451" s="33">
        <v>44.71</v>
      </c>
      <c r="S451" s="32">
        <f>ROUND(ROUND(P451, 2)*I451, 2)</f>
        <v>80209.740000000005</v>
      </c>
      <c r="V451" s="9">
        <f>ROUND(ROUND(P451, 2)/1.2, 2)</f>
        <v>37.26</v>
      </c>
      <c r="Y451" s="9">
        <f t="shared" si="18"/>
        <v>66841.45</v>
      </c>
      <c r="AD451" s="4" t="s">
        <v>1768</v>
      </c>
      <c r="AE451" s="4" t="s">
        <v>1769</v>
      </c>
      <c r="AF451" s="4" t="s">
        <v>1712</v>
      </c>
    </row>
    <row r="452" spans="1:35" ht="18" x14ac:dyDescent="0.3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49">
        <v>539</v>
      </c>
      <c r="J452" s="31">
        <v>35.76</v>
      </c>
      <c r="M452" s="32">
        <f>ROUND(ROUND(J452, 2)*I452, 2)</f>
        <v>19274.64</v>
      </c>
      <c r="P452" s="33">
        <v>35.76</v>
      </c>
      <c r="S452" s="32">
        <f>ROUND(ROUND(P452, 2)*I452, 2)</f>
        <v>19274.64</v>
      </c>
      <c r="V452" s="9">
        <f>ROUND(ROUND(P452, 2)/1.2, 2)</f>
        <v>29.8</v>
      </c>
      <c r="Y452" s="9">
        <f t="shared" si="18"/>
        <v>16062.2</v>
      </c>
      <c r="AD452" s="4" t="s">
        <v>1771</v>
      </c>
      <c r="AE452" s="4" t="s">
        <v>1772</v>
      </c>
      <c r="AF452" s="4" t="s">
        <v>178</v>
      </c>
    </row>
    <row r="453" spans="1:35" ht="18" x14ac:dyDescent="0.3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49">
        <v>374</v>
      </c>
      <c r="J453" s="31">
        <v>80</v>
      </c>
      <c r="M453" s="32">
        <f>ROUND(ROUND(J453, 2)*I453, 2)</f>
        <v>29920</v>
      </c>
      <c r="P453" s="33">
        <v>80</v>
      </c>
      <c r="S453" s="32">
        <f>ROUND(ROUND(P453, 2)*I453, 2)</f>
        <v>29920</v>
      </c>
      <c r="V453" s="9">
        <f>ROUND(ROUND(P453, 2)/1.2, 2)</f>
        <v>66.67</v>
      </c>
      <c r="Y453" s="9">
        <f t="shared" si="18"/>
        <v>24933.33</v>
      </c>
      <c r="AD453" s="4" t="s">
        <v>1774</v>
      </c>
      <c r="AE453" s="4" t="s">
        <v>1775</v>
      </c>
      <c r="AF453" s="4" t="s">
        <v>1705</v>
      </c>
    </row>
    <row r="454" spans="1:35" ht="16.95" customHeight="1" x14ac:dyDescent="0.3">
      <c r="A454" s="10" t="s">
        <v>1776</v>
      </c>
      <c r="B454" s="10" t="s">
        <v>1777</v>
      </c>
      <c r="C454" s="153" t="s">
        <v>1778</v>
      </c>
      <c r="D454" s="154"/>
      <c r="E454" s="154"/>
      <c r="F454" s="154"/>
      <c r="G454" s="154"/>
      <c r="H454" s="154"/>
      <c r="I454" s="155"/>
      <c r="M454" s="6">
        <f>SUM(M455,M468)</f>
        <v>2318400.8199999998</v>
      </c>
      <c r="N454" s="6">
        <f>SUM(N455,N468)</f>
        <v>6153445.0999999996</v>
      </c>
      <c r="O454" s="6">
        <f>SUM(O455,O468)</f>
        <v>8471845.9199999999</v>
      </c>
      <c r="S454" s="6">
        <f>SUM(S455,S468)</f>
        <v>1160733.45</v>
      </c>
      <c r="T454" s="6">
        <f>SUM(T455,T468)</f>
        <v>9230167.6500000004</v>
      </c>
      <c r="U454" s="6">
        <f>SUM(U455,U468)</f>
        <v>10390901.1</v>
      </c>
      <c r="Y454" s="9">
        <f>SUM(Y455,Y468)</f>
        <v>967277.88</v>
      </c>
      <c r="Z454" s="9">
        <f>SUM(Z455,Z468)</f>
        <v>7691806.3799999999</v>
      </c>
      <c r="AA454" s="9">
        <f>SUM(AA455,AA468)</f>
        <v>8659084.2599999998</v>
      </c>
      <c r="AD454" s="4">
        <v>304337575</v>
      </c>
      <c r="AE454" s="4">
        <v>20300800</v>
      </c>
    </row>
    <row r="455" spans="1:35" ht="16.95" customHeight="1" x14ac:dyDescent="0.3">
      <c r="A455" s="10" t="s">
        <v>1779</v>
      </c>
      <c r="B455" s="10" t="s">
        <v>1780</v>
      </c>
      <c r="C455" s="153" t="s">
        <v>1781</v>
      </c>
      <c r="D455" s="154"/>
      <c r="E455" s="154"/>
      <c r="F455" s="154"/>
      <c r="G455" s="154"/>
      <c r="H455" s="154"/>
      <c r="I455" s="155"/>
      <c r="M455" s="6">
        <f>SUM(M456,M459,M462,M465)</f>
        <v>292430.89</v>
      </c>
      <c r="N455" s="6">
        <f>SUM(N456,N459,N462,N465)</f>
        <v>3668446.7</v>
      </c>
      <c r="O455" s="6">
        <f>SUM(O456,O459,O462,O465)</f>
        <v>3960877.59</v>
      </c>
      <c r="S455" s="6">
        <f>SUM(S456,S459,S462,S465)</f>
        <v>292644.24</v>
      </c>
      <c r="T455" s="6">
        <f>SUM(T456,T459,T462,T465)</f>
        <v>5502670.0499999998</v>
      </c>
      <c r="U455" s="6">
        <f>SUM(U456,U459,U462,U465)</f>
        <v>5795314.29</v>
      </c>
      <c r="Y455" s="9">
        <f>SUM(Y456,Y459,Y462,Y465)</f>
        <v>243870.2</v>
      </c>
      <c r="Z455" s="9">
        <f>SUM(Z456,Z459,Z462,Z465)</f>
        <v>4585558.38</v>
      </c>
      <c r="AA455" s="9">
        <f>SUM(AA456,AA459,AA462,AA465)</f>
        <v>4829428.58</v>
      </c>
      <c r="AD455" s="4">
        <v>304337576</v>
      </c>
      <c r="AE455" s="4">
        <v>20324128</v>
      </c>
    </row>
    <row r="456" spans="1:35" ht="36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3">
        <v>0</v>
      </c>
      <c r="J456" s="14">
        <f>IFERROR(ROUND(SUM(M457,M458)/I456, 2),0)</f>
        <v>0</v>
      </c>
      <c r="K456" s="15">
        <v>790</v>
      </c>
      <c r="L456" s="14">
        <f>J456+ROUND(K456, 2)</f>
        <v>790</v>
      </c>
      <c r="M456" s="14">
        <f>ROUND(J456*I456, 2)</f>
        <v>0</v>
      </c>
      <c r="N456" s="14">
        <f>ROUND(I456*ROUND(K456, 2), 2)</f>
        <v>0</v>
      </c>
      <c r="O456" s="14">
        <f>M456+N456</f>
        <v>0</v>
      </c>
      <c r="P456" s="14">
        <f>IFERROR(ROUND(SUM(S457,S458)/I456, 2),0)</f>
        <v>0</v>
      </c>
      <c r="Q456" s="15">
        <v>790</v>
      </c>
      <c r="R456" s="14">
        <f>P456+ROUND(Q456, 2)</f>
        <v>790</v>
      </c>
      <c r="S456" s="14">
        <f>ROUND(P456*I456, 2)</f>
        <v>0</v>
      </c>
      <c r="T456" s="14">
        <f>ROUND(I456*ROUND(Q456, 2), 2)</f>
        <v>0</v>
      </c>
      <c r="U456" s="14">
        <f>S456+T456</f>
        <v>0</v>
      </c>
      <c r="V456" s="9">
        <f>ROUND(P456 / 1.2, 2)</f>
        <v>0</v>
      </c>
      <c r="W456" s="9">
        <f>ROUND(Q456 / 1.2, 2)</f>
        <v>658.33</v>
      </c>
      <c r="X456" s="9">
        <f>ROUND(R456 / 1.2, 2)</f>
        <v>658.33</v>
      </c>
      <c r="Y456" s="9">
        <f>ROUND(S456 / 1.2, 2)</f>
        <v>0</v>
      </c>
      <c r="Z456" s="9">
        <f>ROUND(T456 / 1.2, 2)</f>
        <v>0</v>
      </c>
      <c r="AA456" s="9">
        <f>Y456+Z456</f>
        <v>0</v>
      </c>
      <c r="AD456" s="4">
        <v>304337578</v>
      </c>
      <c r="AE456" s="4">
        <v>20324131</v>
      </c>
      <c r="AG456" s="4" t="s">
        <v>1785</v>
      </c>
      <c r="AH456" s="4" t="s">
        <v>1786</v>
      </c>
      <c r="AI456" s="4" t="s">
        <v>260</v>
      </c>
    </row>
    <row r="457" spans="1:35" ht="36" x14ac:dyDescent="0.3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30">
        <v>0</v>
      </c>
      <c r="J457" s="31">
        <v>12.7</v>
      </c>
      <c r="M457" s="32">
        <f>ROUND(ROUND(J457, 2)*I457, 2)</f>
        <v>0</v>
      </c>
      <c r="P457" s="31">
        <v>12.7</v>
      </c>
      <c r="S457" s="32">
        <f>ROUND(ROUND(P457, 2)*I457, 2)</f>
        <v>0</v>
      </c>
      <c r="V457" s="9">
        <f>ROUND(ROUND(P457, 2)/1.2, 2)</f>
        <v>10.58</v>
      </c>
      <c r="Y457" s="9">
        <f t="shared" ref="Y457:Y467" si="19">ROUND(S457 / 1.2, 2)</f>
        <v>0</v>
      </c>
      <c r="AD457" s="4" t="s">
        <v>1791</v>
      </c>
      <c r="AE457" s="4" t="s">
        <v>1792</v>
      </c>
      <c r="AF457" s="4" t="s">
        <v>1793</v>
      </c>
    </row>
    <row r="458" spans="1:35" ht="36" x14ac:dyDescent="0.3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30">
        <v>0</v>
      </c>
      <c r="J458" s="31">
        <v>88.8</v>
      </c>
      <c r="M458" s="32">
        <f>ROUND(ROUND(J458, 2)*I458, 2)</f>
        <v>0</v>
      </c>
      <c r="P458" s="31">
        <v>88.8</v>
      </c>
      <c r="S458" s="32">
        <f>ROUND(ROUND(P458, 2)*I458, 2)</f>
        <v>0</v>
      </c>
      <c r="V458" s="9">
        <f>ROUND(ROUND(P458, 2)/1.2, 2)</f>
        <v>74</v>
      </c>
      <c r="Y458" s="9">
        <f t="shared" si="19"/>
        <v>0</v>
      </c>
      <c r="AD458" s="4" t="s">
        <v>1797</v>
      </c>
      <c r="AE458" s="4" t="s">
        <v>1798</v>
      </c>
      <c r="AF458" s="4" t="s">
        <v>685</v>
      </c>
    </row>
    <row r="459" spans="1:35" ht="54" x14ac:dyDescent="0.3">
      <c r="A459" s="10" t="s">
        <v>1801</v>
      </c>
      <c r="B459" s="10" t="s">
        <v>1783</v>
      </c>
      <c r="C459" s="11" t="s">
        <v>1784</v>
      </c>
      <c r="D459" s="12"/>
      <c r="E459" s="12" t="s">
        <v>1788</v>
      </c>
      <c r="F459" s="12" t="s">
        <v>59</v>
      </c>
      <c r="G459" s="13">
        <v>1</v>
      </c>
      <c r="H459" s="13"/>
      <c r="I459" s="13">
        <v>3898.4</v>
      </c>
      <c r="J459" s="14">
        <f>IFERROR(ROUND(SUM(M460,M461)/I459, 2),0)</f>
        <v>67.59</v>
      </c>
      <c r="K459" s="15">
        <v>790</v>
      </c>
      <c r="L459" s="14">
        <f>J459+ROUND(K459, 2)</f>
        <v>857.59</v>
      </c>
      <c r="M459" s="14">
        <f>ROUND(J459*I459, 2)</f>
        <v>263492.86</v>
      </c>
      <c r="N459" s="14">
        <f>ROUND(I459*ROUND(K459, 2), 2)</f>
        <v>3079736</v>
      </c>
      <c r="O459" s="14">
        <f>M459+N459</f>
        <v>3343228.86</v>
      </c>
      <c r="P459" s="14">
        <f>IFERROR(ROUND(SUM(S460,S461)/I459, 2),0)</f>
        <v>67.64</v>
      </c>
      <c r="Q459" s="16">
        <v>1185</v>
      </c>
      <c r="R459" s="14">
        <f>P459+ROUND(Q459, 2)</f>
        <v>1252.6400000000001</v>
      </c>
      <c r="S459" s="14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  <c r="V459" s="9">
        <f>ROUND(P459 / 1.2, 2)</f>
        <v>56.37</v>
      </c>
      <c r="W459" s="9">
        <f>ROUND(Q459 / 1.2, 2)</f>
        <v>987.5</v>
      </c>
      <c r="X459" s="9">
        <f>ROUND(R459 / 1.2, 2)</f>
        <v>1043.8699999999999</v>
      </c>
      <c r="Y459" s="9">
        <f t="shared" si="19"/>
        <v>219739.82</v>
      </c>
      <c r="Z459" s="9">
        <f>ROUND(T459 / 1.2, 2)</f>
        <v>3849670</v>
      </c>
      <c r="AA459" s="9">
        <f>Y459+Z459</f>
        <v>4069409.82</v>
      </c>
      <c r="AD459" s="4">
        <v>304337689</v>
      </c>
      <c r="AE459" s="4">
        <v>21950069</v>
      </c>
      <c r="AG459" s="4" t="s">
        <v>1785</v>
      </c>
      <c r="AH459" s="4" t="s">
        <v>1786</v>
      </c>
      <c r="AI459" s="4" t="s">
        <v>260</v>
      </c>
    </row>
    <row r="460" spans="1:35" ht="36" x14ac:dyDescent="0.3">
      <c r="A460" s="10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30">
        <v>584.76</v>
      </c>
      <c r="J460" s="31">
        <v>88.8</v>
      </c>
      <c r="M460" s="32">
        <f>ROUND(ROUND(J460, 2)*I460, 2)</f>
        <v>51926.69</v>
      </c>
      <c r="P460" s="33">
        <v>88.8</v>
      </c>
      <c r="S460" s="32">
        <f>ROUND(ROUND(P460, 2)*I460, 2)</f>
        <v>51926.69</v>
      </c>
      <c r="V460" s="9">
        <f>ROUND(ROUND(P460, 2)/1.2, 2)</f>
        <v>74</v>
      </c>
      <c r="Y460" s="9">
        <f t="shared" si="19"/>
        <v>43272.24</v>
      </c>
      <c r="AD460" s="4" t="s">
        <v>1803</v>
      </c>
      <c r="AE460" s="4" t="s">
        <v>1804</v>
      </c>
      <c r="AF460" s="4" t="s">
        <v>685</v>
      </c>
    </row>
    <row r="461" spans="1:35" ht="36" x14ac:dyDescent="0.3">
      <c r="A461" s="10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30">
        <v>17542.8</v>
      </c>
      <c r="J461" s="31">
        <v>12.06</v>
      </c>
      <c r="M461" s="32">
        <f>ROUND(ROUND(J461, 2)*I461, 2)</f>
        <v>211566.17</v>
      </c>
      <c r="P461" s="33">
        <v>12.07</v>
      </c>
      <c r="S461" s="32">
        <f>ROUND(ROUND(P461, 2)*I461, 2)</f>
        <v>211741.6</v>
      </c>
      <c r="V461" s="9">
        <f>ROUND(ROUND(P461, 2)/1.2, 2)</f>
        <v>10.06</v>
      </c>
      <c r="Y461" s="9">
        <f t="shared" si="19"/>
        <v>176451.33</v>
      </c>
      <c r="AD461" s="4" t="s">
        <v>1806</v>
      </c>
      <c r="AE461" s="4" t="s">
        <v>1807</v>
      </c>
      <c r="AF461" s="4" t="s">
        <v>1793</v>
      </c>
    </row>
    <row r="462" spans="1:35" ht="36" x14ac:dyDescent="0.3">
      <c r="A462" s="10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3">
        <v>0</v>
      </c>
      <c r="J462" s="14">
        <f>IFERROR(ROUND(SUM(M463,M464)/I462, 2),0)</f>
        <v>0</v>
      </c>
      <c r="K462" s="15">
        <v>639</v>
      </c>
      <c r="L462" s="14">
        <f>J462+ROUND(K462, 2)</f>
        <v>639</v>
      </c>
      <c r="M462" s="14">
        <f>ROUND(J462*I462, 2)</f>
        <v>0</v>
      </c>
      <c r="N462" s="14">
        <f>ROUND(I462*ROUND(K462, 2), 2)</f>
        <v>0</v>
      </c>
      <c r="O462" s="14">
        <f>M462+N462</f>
        <v>0</v>
      </c>
      <c r="P462" s="14">
        <f>IFERROR(ROUND(SUM(S463,S464)/I462, 2),0)</f>
        <v>0</v>
      </c>
      <c r="Q462" s="15">
        <v>639</v>
      </c>
      <c r="R462" s="14">
        <f>P462+ROUND(Q462, 2)</f>
        <v>639</v>
      </c>
      <c r="S462" s="14">
        <f>ROUND(P462*I462, 2)</f>
        <v>0</v>
      </c>
      <c r="T462" s="14">
        <f>ROUND(I462*ROUND(Q462, 2), 2)</f>
        <v>0</v>
      </c>
      <c r="U462" s="14">
        <f>S462+T462</f>
        <v>0</v>
      </c>
      <c r="V462" s="9">
        <f>ROUND(P462 / 1.2, 2)</f>
        <v>0</v>
      </c>
      <c r="W462" s="9">
        <f>ROUND(Q462 / 1.2, 2)</f>
        <v>532.5</v>
      </c>
      <c r="X462" s="9">
        <f>ROUND(R462 / 1.2, 2)</f>
        <v>532.5</v>
      </c>
      <c r="Y462" s="9">
        <f t="shared" si="19"/>
        <v>0</v>
      </c>
      <c r="Z462" s="9">
        <f>ROUND(T462 / 1.2, 2)</f>
        <v>0</v>
      </c>
      <c r="AA462" s="9">
        <f>Y462+Z462</f>
        <v>0</v>
      </c>
      <c r="AD462" s="4">
        <v>304337579</v>
      </c>
      <c r="AE462" s="4">
        <v>21107425</v>
      </c>
      <c r="AG462" s="4" t="s">
        <v>1811</v>
      </c>
      <c r="AH462" s="4" t="s">
        <v>1812</v>
      </c>
      <c r="AI462" s="4" t="s">
        <v>260</v>
      </c>
    </row>
    <row r="463" spans="1:35" ht="36" x14ac:dyDescent="0.3">
      <c r="A463" s="10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30">
        <v>0</v>
      </c>
      <c r="J463" s="31">
        <v>12.7</v>
      </c>
      <c r="M463" s="32">
        <f>ROUND(ROUND(J463, 2)*I463, 2)</f>
        <v>0</v>
      </c>
      <c r="P463" s="31">
        <v>12.7</v>
      </c>
      <c r="S463" s="32">
        <f>ROUND(ROUND(P463, 2)*I463, 2)</f>
        <v>0</v>
      </c>
      <c r="V463" s="9">
        <f>ROUND(ROUND(P463, 2)/1.2, 2)</f>
        <v>10.58</v>
      </c>
      <c r="Y463" s="9">
        <f t="shared" si="19"/>
        <v>0</v>
      </c>
      <c r="AD463" s="4" t="s">
        <v>1816</v>
      </c>
      <c r="AE463" s="4" t="s">
        <v>1817</v>
      </c>
      <c r="AF463" s="4" t="s">
        <v>1793</v>
      </c>
    </row>
    <row r="464" spans="1:35" ht="36" x14ac:dyDescent="0.3">
      <c r="A464" s="10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30">
        <v>0</v>
      </c>
      <c r="J464" s="31">
        <v>88.8</v>
      </c>
      <c r="M464" s="32">
        <f>ROUND(ROUND(J464, 2)*I464, 2)</f>
        <v>0</v>
      </c>
      <c r="P464" s="31">
        <v>88.8</v>
      </c>
      <c r="S464" s="32">
        <f>ROUND(ROUND(P464, 2)*I464, 2)</f>
        <v>0</v>
      </c>
      <c r="V464" s="9">
        <f>ROUND(ROUND(P464, 2)/1.2, 2)</f>
        <v>74</v>
      </c>
      <c r="Y464" s="9">
        <f t="shared" si="19"/>
        <v>0</v>
      </c>
      <c r="AD464" s="4" t="s">
        <v>1821</v>
      </c>
      <c r="AE464" s="4" t="s">
        <v>1822</v>
      </c>
      <c r="AF464" s="4" t="s">
        <v>685</v>
      </c>
    </row>
    <row r="465" spans="1:35" ht="36" x14ac:dyDescent="0.3">
      <c r="A465" s="10" t="s">
        <v>1825</v>
      </c>
      <c r="B465" s="10" t="s">
        <v>1809</v>
      </c>
      <c r="C465" s="11" t="s">
        <v>1810</v>
      </c>
      <c r="D465" s="12"/>
      <c r="E465" s="12" t="s">
        <v>1814</v>
      </c>
      <c r="F465" s="12" t="s">
        <v>59</v>
      </c>
      <c r="G465" s="13">
        <v>1</v>
      </c>
      <c r="H465" s="13"/>
      <c r="I465" s="13">
        <v>921.3</v>
      </c>
      <c r="J465" s="14">
        <f>IFERROR(ROUND(SUM(M466,M467)/I465, 2),0)</f>
        <v>31.41</v>
      </c>
      <c r="K465" s="15">
        <v>639</v>
      </c>
      <c r="L465" s="14">
        <f>J465+ROUND(K465, 2)</f>
        <v>670.41</v>
      </c>
      <c r="M465" s="14">
        <f>ROUND(J465*I465, 2)</f>
        <v>28938.03</v>
      </c>
      <c r="N465" s="14">
        <f>ROUND(I465*ROUND(K465, 2), 2)</f>
        <v>588710.69999999995</v>
      </c>
      <c r="O465" s="14">
        <f>M465+N465</f>
        <v>617648.73</v>
      </c>
      <c r="P465" s="14">
        <f>IFERROR(ROUND(SUM(S466,S467)/I465, 2),0)</f>
        <v>31.43</v>
      </c>
      <c r="Q465" s="16">
        <v>958.5</v>
      </c>
      <c r="R465" s="14">
        <f>P465+ROUND(Q465, 2)</f>
        <v>989.93</v>
      </c>
      <c r="S465" s="14">
        <f>ROUND(P465*I465, 2)</f>
        <v>28956.46</v>
      </c>
      <c r="T465" s="14">
        <f>ROUND(I465*ROUND(Q465, 2), 2)</f>
        <v>883066.05</v>
      </c>
      <c r="U465" s="14">
        <f>S465+T465</f>
        <v>912022.51</v>
      </c>
      <c r="V465" s="9">
        <f>ROUND(P465 / 1.2, 2)</f>
        <v>26.19</v>
      </c>
      <c r="W465" s="9">
        <f>ROUND(Q465 / 1.2, 2)</f>
        <v>798.75</v>
      </c>
      <c r="X465" s="9">
        <f>ROUND(R465 / 1.2, 2)</f>
        <v>824.94</v>
      </c>
      <c r="Y465" s="9">
        <f t="shared" si="19"/>
        <v>24130.38</v>
      </c>
      <c r="Z465" s="9">
        <f>ROUND(T465 / 1.2, 2)</f>
        <v>735888.38</v>
      </c>
      <c r="AA465" s="9">
        <f>Y465+Z465</f>
        <v>760018.76</v>
      </c>
      <c r="AD465" s="4">
        <v>304337690</v>
      </c>
      <c r="AE465" s="4">
        <v>21950070</v>
      </c>
      <c r="AG465" s="4" t="s">
        <v>1811</v>
      </c>
      <c r="AH465" s="4" t="s">
        <v>1812</v>
      </c>
      <c r="AI465" s="4" t="s">
        <v>260</v>
      </c>
    </row>
    <row r="466" spans="1:35" ht="36" x14ac:dyDescent="0.3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30">
        <v>138.19499999999999</v>
      </c>
      <c r="J466" s="31">
        <v>88.8</v>
      </c>
      <c r="M466" s="32">
        <f>ROUND(ROUND(J466, 2)*I466, 2)</f>
        <v>12271.72</v>
      </c>
      <c r="P466" s="33">
        <v>88.8</v>
      </c>
      <c r="S466" s="32">
        <f>ROUND(ROUND(P466, 2)*I466, 2)</f>
        <v>12271.72</v>
      </c>
      <c r="V466" s="9">
        <f>ROUND(ROUND(P466, 2)/1.2, 2)</f>
        <v>74</v>
      </c>
      <c r="Y466" s="9">
        <f t="shared" si="19"/>
        <v>10226.43</v>
      </c>
      <c r="AD466" s="4" t="s">
        <v>1827</v>
      </c>
      <c r="AE466" s="4" t="s">
        <v>1828</v>
      </c>
      <c r="AF466" s="4" t="s">
        <v>685</v>
      </c>
    </row>
    <row r="467" spans="1:35" ht="36" x14ac:dyDescent="0.3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30">
        <v>1381.95</v>
      </c>
      <c r="J467" s="31">
        <v>12.06</v>
      </c>
      <c r="M467" s="32">
        <f>ROUND(ROUND(J467, 2)*I467, 2)</f>
        <v>16666.32</v>
      </c>
      <c r="P467" s="33">
        <v>12.07</v>
      </c>
      <c r="S467" s="32">
        <f>ROUND(ROUND(P467, 2)*I467, 2)</f>
        <v>16680.14</v>
      </c>
      <c r="V467" s="9">
        <f>ROUND(ROUND(P467, 2)/1.2, 2)</f>
        <v>10.06</v>
      </c>
      <c r="Y467" s="9">
        <f t="shared" si="19"/>
        <v>13900.12</v>
      </c>
      <c r="AD467" s="4" t="s">
        <v>1830</v>
      </c>
      <c r="AE467" s="4" t="s">
        <v>1831</v>
      </c>
      <c r="AF467" s="4" t="s">
        <v>1793</v>
      </c>
    </row>
    <row r="468" spans="1:35" ht="16.95" customHeight="1" x14ac:dyDescent="0.3">
      <c r="A468" s="10" t="s">
        <v>1832</v>
      </c>
      <c r="B468" s="10" t="s">
        <v>1833</v>
      </c>
      <c r="C468" s="153" t="s">
        <v>1834</v>
      </c>
      <c r="D468" s="154"/>
      <c r="E468" s="154"/>
      <c r="F468" s="154"/>
      <c r="G468" s="154"/>
      <c r="H468" s="154"/>
      <c r="I468" s="155"/>
      <c r="M468" s="6">
        <f>SUM(M469,M472,M475,M478,M481,M484,M487,M490,M493)</f>
        <v>2025969.93</v>
      </c>
      <c r="N468" s="6">
        <f>SUM(N469,N472,N475,N478,N481,N484,N487,N490,N493)</f>
        <v>2484998.4</v>
      </c>
      <c r="O468" s="6">
        <f>SUM(O469,O472,O475,O478,O481,O484,O487,O490,O493)</f>
        <v>4510968.33</v>
      </c>
      <c r="S468" s="6">
        <f>SUM(S469,S472,S475,S478,S481,S484,S487,S490,S493)</f>
        <v>868089.21</v>
      </c>
      <c r="T468" s="6">
        <f>SUM(T469,T472,T475,T478,T481,T484,T487,T490,T493)</f>
        <v>3727497.6</v>
      </c>
      <c r="U468" s="6">
        <f>SUM(U469,U472,U475,U478,U481,U484,U487,U490,U493)</f>
        <v>4595586.8099999996</v>
      </c>
      <c r="Y468" s="9">
        <f>SUM(Y469,Y472,Y475,Y478,Y481,Y484,Y487,Y490,Y493)</f>
        <v>723407.68</v>
      </c>
      <c r="Z468" s="9">
        <f>SUM(Z469,Z472,Z475,Z478,Z481,Z484,Z487,Z490,Z493)</f>
        <v>3106248</v>
      </c>
      <c r="AA468" s="9">
        <f>SUM(AA469,AA472,AA475,AA478,AA481,AA484,AA487,AA490,AA493)</f>
        <v>3829655.68</v>
      </c>
      <c r="AD468" s="4">
        <v>304337580</v>
      </c>
      <c r="AE468" s="4">
        <v>20300804</v>
      </c>
    </row>
    <row r="469" spans="1:35" ht="36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3">
        <v>0</v>
      </c>
      <c r="J469" s="14">
        <f>IFERROR(ROUND(SUM(M470,M471)/I469, 2),0)</f>
        <v>0</v>
      </c>
      <c r="K469" s="15">
        <v>464</v>
      </c>
      <c r="L469" s="14">
        <f>J469+ROUND(K469, 2)</f>
        <v>464</v>
      </c>
      <c r="M469" s="14">
        <f>ROUND(J469*I469, 2)</f>
        <v>0</v>
      </c>
      <c r="N469" s="14">
        <f>ROUND(I469*ROUND(K469, 2), 2)</f>
        <v>0</v>
      </c>
      <c r="O469" s="14">
        <f>M469+N469</f>
        <v>0</v>
      </c>
      <c r="P469" s="14">
        <f>IFERROR(ROUND(SUM(S470,S471)/I469, 2),0)</f>
        <v>0</v>
      </c>
      <c r="Q469" s="15">
        <v>464</v>
      </c>
      <c r="R469" s="14">
        <f>P469+ROUND(Q469, 2)</f>
        <v>464</v>
      </c>
      <c r="S469" s="14">
        <f>ROUND(P469*I469, 2)</f>
        <v>0</v>
      </c>
      <c r="T469" s="14">
        <f>ROUND(I469*ROUND(Q469, 2), 2)</f>
        <v>0</v>
      </c>
      <c r="U469" s="14">
        <f>S469+T469</f>
        <v>0</v>
      </c>
      <c r="V469" s="9">
        <f>ROUND(P469 / 1.2, 2)</f>
        <v>0</v>
      </c>
      <c r="W469" s="9">
        <f>ROUND(Q469 / 1.2, 2)</f>
        <v>386.67</v>
      </c>
      <c r="X469" s="9">
        <f>ROUND(R469 / 1.2, 2)</f>
        <v>386.67</v>
      </c>
      <c r="Y469" s="9">
        <f>ROUND(S469 / 1.2, 2)</f>
        <v>0</v>
      </c>
      <c r="Z469" s="9">
        <f>ROUND(T469 / 1.2, 2)</f>
        <v>0</v>
      </c>
      <c r="AA469" s="9">
        <f>Y469+Z469</f>
        <v>0</v>
      </c>
      <c r="AD469" s="4">
        <v>304337582</v>
      </c>
      <c r="AE469" s="4">
        <v>20344955</v>
      </c>
      <c r="AG469" s="4" t="s">
        <v>1838</v>
      </c>
      <c r="AH469" s="4" t="s">
        <v>1839</v>
      </c>
      <c r="AI469" s="4" t="s">
        <v>260</v>
      </c>
    </row>
    <row r="470" spans="1:35" ht="72" x14ac:dyDescent="0.3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30">
        <v>0</v>
      </c>
      <c r="J470" s="31">
        <v>1216.56</v>
      </c>
      <c r="M470" s="32">
        <f>ROUND(ROUND(J470, 2)*I470, 2)</f>
        <v>0</v>
      </c>
      <c r="P470" s="31">
        <v>495.9</v>
      </c>
      <c r="S470" s="32">
        <f>ROUND(ROUND(P470, 2)*I470, 2)</f>
        <v>0</v>
      </c>
      <c r="V470" s="9">
        <f>ROUND(ROUND(P470, 2)/1.2, 2)</f>
        <v>413.25</v>
      </c>
      <c r="Y470" s="9">
        <f t="shared" ref="Y470:Y495" si="20">ROUND(S470 / 1.2, 2)</f>
        <v>0</v>
      </c>
      <c r="AD470" s="4" t="s">
        <v>1844</v>
      </c>
      <c r="AE470" s="4" t="s">
        <v>1845</v>
      </c>
      <c r="AF470" s="4" t="s">
        <v>1245</v>
      </c>
    </row>
    <row r="471" spans="1:35" ht="36" x14ac:dyDescent="0.3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si="20"/>
        <v>0</v>
      </c>
      <c r="AD471" s="4" t="s">
        <v>1849</v>
      </c>
      <c r="AE471" s="4" t="s">
        <v>1850</v>
      </c>
      <c r="AF471" s="4" t="s">
        <v>685</v>
      </c>
    </row>
    <row r="472" spans="1:35" ht="36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3">
        <v>0</v>
      </c>
      <c r="J472" s="14">
        <f>IFERROR(ROUND(SUM(M473,M474)/I472, 2),0)</f>
        <v>0</v>
      </c>
      <c r="K472" s="15">
        <v>464</v>
      </c>
      <c r="L472" s="14">
        <f>J472+ROUND(K472, 2)</f>
        <v>464</v>
      </c>
      <c r="M472" s="14">
        <f>ROUND(J472*I472, 2)</f>
        <v>0</v>
      </c>
      <c r="N472" s="14">
        <f>ROUND(I472*ROUND(K472, 2), 2)</f>
        <v>0</v>
      </c>
      <c r="O472" s="14">
        <f>M472+N472</f>
        <v>0</v>
      </c>
      <c r="P472" s="14">
        <f>IFERROR(ROUND(SUM(S473,S474)/I472, 2),0)</f>
        <v>0</v>
      </c>
      <c r="Q472" s="15">
        <v>464</v>
      </c>
      <c r="R472" s="14">
        <f>P472+ROUND(Q472, 2)</f>
        <v>464</v>
      </c>
      <c r="S472" s="14">
        <f>ROUND(P472*I472, 2)</f>
        <v>0</v>
      </c>
      <c r="T472" s="14">
        <f>ROUND(I472*ROUND(Q472, 2), 2)</f>
        <v>0</v>
      </c>
      <c r="U472" s="14">
        <f>S472+T472</f>
        <v>0</v>
      </c>
      <c r="V472" s="9">
        <f>ROUND(P472 / 1.2, 2)</f>
        <v>0</v>
      </c>
      <c r="W472" s="9">
        <f>ROUND(Q472 / 1.2, 2)</f>
        <v>386.67</v>
      </c>
      <c r="X472" s="9">
        <f>ROUND(R472 / 1.2, 2)</f>
        <v>386.67</v>
      </c>
      <c r="Y472" s="9">
        <f t="shared" si="20"/>
        <v>0</v>
      </c>
      <c r="Z472" s="9">
        <f>ROUND(T472 / 1.2, 2)</f>
        <v>0</v>
      </c>
      <c r="AA472" s="9">
        <f>Y472+Z472</f>
        <v>0</v>
      </c>
      <c r="AD472" s="4">
        <v>304337691</v>
      </c>
      <c r="AE472" s="4">
        <v>20344956</v>
      </c>
      <c r="AG472" s="4" t="s">
        <v>1838</v>
      </c>
      <c r="AH472" s="4" t="s">
        <v>1839</v>
      </c>
      <c r="AI472" s="4" t="s">
        <v>260</v>
      </c>
    </row>
    <row r="473" spans="1:35" ht="36" x14ac:dyDescent="0.3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0"/>
        <v>0</v>
      </c>
      <c r="AD473" s="4" t="s">
        <v>1857</v>
      </c>
      <c r="AE473" s="4" t="s">
        <v>1858</v>
      </c>
      <c r="AF473" s="4" t="s">
        <v>685</v>
      </c>
    </row>
    <row r="474" spans="1:35" ht="36" x14ac:dyDescent="0.3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30">
        <v>0</v>
      </c>
      <c r="J474" s="31">
        <v>1216.56</v>
      </c>
      <c r="M474" s="32">
        <f>ROUND(ROUND(J474, 2)*I474, 2)</f>
        <v>0</v>
      </c>
      <c r="P474" s="31">
        <v>495.9</v>
      </c>
      <c r="S474" s="32">
        <f>ROUND(ROUND(P474, 2)*I474, 2)</f>
        <v>0</v>
      </c>
      <c r="V474" s="9">
        <f>ROUND(ROUND(P474, 2)/1.2, 2)</f>
        <v>413.25</v>
      </c>
      <c r="Y474" s="9">
        <f t="shared" si="20"/>
        <v>0</v>
      </c>
      <c r="AD474" s="4" t="s">
        <v>1862</v>
      </c>
      <c r="AE474" s="4" t="s">
        <v>1863</v>
      </c>
      <c r="AF474" s="4" t="s">
        <v>1245</v>
      </c>
    </row>
    <row r="475" spans="1:35" ht="36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3">
        <v>0</v>
      </c>
      <c r="J475" s="14">
        <f>IFERROR(ROUND(SUM(M476,M477)/I475, 2),0)</f>
        <v>0</v>
      </c>
      <c r="K475" s="15">
        <v>464</v>
      </c>
      <c r="L475" s="14">
        <f>J475+ROUND(K475, 2)</f>
        <v>464</v>
      </c>
      <c r="M475" s="14">
        <f>ROUND(J475*I475, 2)</f>
        <v>0</v>
      </c>
      <c r="N475" s="14">
        <f>ROUND(I475*ROUND(K475, 2), 2)</f>
        <v>0</v>
      </c>
      <c r="O475" s="14">
        <f>M475+N475</f>
        <v>0</v>
      </c>
      <c r="P475" s="14">
        <f>IFERROR(ROUND(SUM(S476,S477)/I475, 2),0)</f>
        <v>0</v>
      </c>
      <c r="Q475" s="15">
        <v>464</v>
      </c>
      <c r="R475" s="14">
        <f>P475+ROUND(Q475, 2)</f>
        <v>464</v>
      </c>
      <c r="S475" s="14">
        <f>ROUND(P475*I475, 2)</f>
        <v>0</v>
      </c>
      <c r="T475" s="14">
        <f>ROUND(I475*ROUND(Q475, 2), 2)</f>
        <v>0</v>
      </c>
      <c r="U475" s="14">
        <f>S475+T475</f>
        <v>0</v>
      </c>
      <c r="V475" s="9">
        <f>ROUND(P475 / 1.2, 2)</f>
        <v>0</v>
      </c>
      <c r="W475" s="9">
        <f>ROUND(Q475 / 1.2, 2)</f>
        <v>386.67</v>
      </c>
      <c r="X475" s="9">
        <f>ROUND(R475 / 1.2, 2)</f>
        <v>386.67</v>
      </c>
      <c r="Y475" s="9">
        <f t="shared" si="20"/>
        <v>0</v>
      </c>
      <c r="Z475" s="9">
        <f>ROUND(T475 / 1.2, 2)</f>
        <v>0</v>
      </c>
      <c r="AA475" s="9">
        <f>Y475+Z475</f>
        <v>0</v>
      </c>
      <c r="AD475" s="4">
        <v>304337692</v>
      </c>
      <c r="AE475" s="4">
        <v>20345081</v>
      </c>
      <c r="AG475" s="4" t="s">
        <v>1838</v>
      </c>
      <c r="AH475" s="4" t="s">
        <v>1839</v>
      </c>
      <c r="AI475" s="4" t="s">
        <v>260</v>
      </c>
    </row>
    <row r="476" spans="1:35" ht="36" x14ac:dyDescent="0.3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30">
        <v>0</v>
      </c>
      <c r="J476" s="31">
        <v>1216.56</v>
      </c>
      <c r="M476" s="32">
        <f>ROUND(ROUND(J476, 2)*I476, 2)</f>
        <v>0</v>
      </c>
      <c r="P476" s="31">
        <v>495.9</v>
      </c>
      <c r="S476" s="32">
        <f>ROUND(ROUND(P476, 2)*I476, 2)</f>
        <v>0</v>
      </c>
      <c r="V476" s="9">
        <f>ROUND(ROUND(P476, 2)/1.2, 2)</f>
        <v>413.25</v>
      </c>
      <c r="Y476" s="9">
        <f t="shared" si="20"/>
        <v>0</v>
      </c>
      <c r="AD476" s="4" t="s">
        <v>1870</v>
      </c>
      <c r="AE476" s="4" t="s">
        <v>1871</v>
      </c>
      <c r="AF476" s="4" t="s">
        <v>1245</v>
      </c>
    </row>
    <row r="477" spans="1:35" ht="36" x14ac:dyDescent="0.3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0"/>
        <v>0</v>
      </c>
      <c r="AD477" s="4" t="s">
        <v>1876</v>
      </c>
      <c r="AE477" s="4" t="s">
        <v>1877</v>
      </c>
      <c r="AF477" s="4" t="s">
        <v>685</v>
      </c>
    </row>
    <row r="478" spans="1:35" ht="36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3">
        <v>0</v>
      </c>
      <c r="J478" s="14">
        <f>IFERROR(ROUND(SUM(M479,M480)/I478, 2),0)</f>
        <v>0</v>
      </c>
      <c r="K478" s="15">
        <v>464</v>
      </c>
      <c r="L478" s="14">
        <f>J478+ROUND(K478, 2)</f>
        <v>464</v>
      </c>
      <c r="M478" s="14">
        <f>ROUND(J478*I478, 2)</f>
        <v>0</v>
      </c>
      <c r="N478" s="14">
        <f>ROUND(I478*ROUND(K478, 2), 2)</f>
        <v>0</v>
      </c>
      <c r="O478" s="14">
        <f>M478+N478</f>
        <v>0</v>
      </c>
      <c r="P478" s="14">
        <f>IFERROR(ROUND(SUM(S479,S480)/I478, 2),0)</f>
        <v>0</v>
      </c>
      <c r="Q478" s="15">
        <v>464</v>
      </c>
      <c r="R478" s="14">
        <f>P478+ROUND(Q478, 2)</f>
        <v>464</v>
      </c>
      <c r="S478" s="14">
        <f>ROUND(P478*I478, 2)</f>
        <v>0</v>
      </c>
      <c r="T478" s="14">
        <f>ROUND(I478*ROUND(Q478, 2), 2)</f>
        <v>0</v>
      </c>
      <c r="U478" s="14">
        <f>S478+T478</f>
        <v>0</v>
      </c>
      <c r="V478" s="9">
        <f>ROUND(P478 / 1.2, 2)</f>
        <v>0</v>
      </c>
      <c r="W478" s="9">
        <f>ROUND(Q478 / 1.2, 2)</f>
        <v>386.67</v>
      </c>
      <c r="X478" s="9">
        <f>ROUND(R478 / 1.2, 2)</f>
        <v>386.67</v>
      </c>
      <c r="Y478" s="9">
        <f t="shared" si="20"/>
        <v>0</v>
      </c>
      <c r="Z478" s="9">
        <f>ROUND(T478 / 1.2, 2)</f>
        <v>0</v>
      </c>
      <c r="AA478" s="9">
        <f>Y478+Z478</f>
        <v>0</v>
      </c>
      <c r="AD478" s="4">
        <v>304337693</v>
      </c>
      <c r="AE478" s="4">
        <v>20345310</v>
      </c>
      <c r="AG478" s="4" t="s">
        <v>1838</v>
      </c>
      <c r="AH478" s="4" t="s">
        <v>1839</v>
      </c>
      <c r="AI478" s="4" t="s">
        <v>260</v>
      </c>
    </row>
    <row r="479" spans="1:35" ht="36" x14ac:dyDescent="0.3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0"/>
        <v>0</v>
      </c>
      <c r="AD479" s="4" t="s">
        <v>1884</v>
      </c>
      <c r="AE479" s="4" t="s">
        <v>1885</v>
      </c>
      <c r="AF479" s="4" t="s">
        <v>685</v>
      </c>
    </row>
    <row r="480" spans="1:35" ht="36" x14ac:dyDescent="0.3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30">
        <v>0</v>
      </c>
      <c r="J480" s="31">
        <v>1216.56</v>
      </c>
      <c r="M480" s="32">
        <f>ROUND(ROUND(J480, 2)*I480, 2)</f>
        <v>0</v>
      </c>
      <c r="P480" s="31">
        <v>495.9</v>
      </c>
      <c r="S480" s="32">
        <f>ROUND(ROUND(P480, 2)*I480, 2)</f>
        <v>0</v>
      </c>
      <c r="V480" s="9">
        <f>ROUND(ROUND(P480, 2)/1.2, 2)</f>
        <v>413.25</v>
      </c>
      <c r="Y480" s="9">
        <f t="shared" si="20"/>
        <v>0</v>
      </c>
      <c r="AD480" s="4" t="s">
        <v>1889</v>
      </c>
      <c r="AE480" s="4" t="s">
        <v>1890</v>
      </c>
      <c r="AF480" s="4" t="s">
        <v>1245</v>
      </c>
    </row>
    <row r="481" spans="1:35" ht="162" x14ac:dyDescent="0.3">
      <c r="A481" s="10" t="s">
        <v>1894</v>
      </c>
      <c r="B481" s="10" t="s">
        <v>1836</v>
      </c>
      <c r="C481" s="11" t="s">
        <v>1837</v>
      </c>
      <c r="D481" s="12"/>
      <c r="E481" s="12" t="s">
        <v>1841</v>
      </c>
      <c r="F481" s="12" t="s">
        <v>59</v>
      </c>
      <c r="G481" s="13">
        <v>1</v>
      </c>
      <c r="H481" s="13"/>
      <c r="I481" s="13">
        <v>3898.4</v>
      </c>
      <c r="J481" s="14">
        <f>IFERROR(ROUND(SUM(M482,M483)/I481, 2),0)</f>
        <v>378.29</v>
      </c>
      <c r="K481" s="15">
        <v>464</v>
      </c>
      <c r="L481" s="14">
        <f>J481+ROUND(K481, 2)</f>
        <v>842.29</v>
      </c>
      <c r="M481" s="14">
        <f>ROUND(J481*I481, 2)</f>
        <v>1474725.74</v>
      </c>
      <c r="N481" s="14">
        <f>ROUND(I481*ROUND(K481, 2), 2)</f>
        <v>1808857.6</v>
      </c>
      <c r="O481" s="14">
        <f>M481+N481</f>
        <v>3283583.34</v>
      </c>
      <c r="P481" s="14">
        <f>IFERROR(ROUND(SUM(S482,S483)/I481, 2),0)</f>
        <v>162.09</v>
      </c>
      <c r="Q481" s="16">
        <v>696</v>
      </c>
      <c r="R481" s="14">
        <f>P481+ROUND(Q481, 2)</f>
        <v>858.09</v>
      </c>
      <c r="S481" s="14">
        <f>ROUND(P481*I481, 2)</f>
        <v>631891.66</v>
      </c>
      <c r="T481" s="14">
        <f>ROUND(I481*ROUND(Q481, 2), 2)</f>
        <v>2713286.4</v>
      </c>
      <c r="U481" s="14">
        <f>S481+T481</f>
        <v>3345178.06</v>
      </c>
      <c r="V481" s="9">
        <f>ROUND(P481 / 1.2, 2)</f>
        <v>135.08000000000001</v>
      </c>
      <c r="W481" s="9">
        <f>ROUND(Q481 / 1.2, 2)</f>
        <v>580</v>
      </c>
      <c r="X481" s="9">
        <f>ROUND(R481 / 1.2, 2)</f>
        <v>715.08</v>
      </c>
      <c r="Y481" s="9">
        <f t="shared" si="20"/>
        <v>526576.38</v>
      </c>
      <c r="Z481" s="9">
        <f>ROUND(T481 / 1.2, 2)</f>
        <v>2261072</v>
      </c>
      <c r="AA481" s="9">
        <f>Y481+Z481</f>
        <v>2787648.38</v>
      </c>
      <c r="AD481" s="4">
        <v>304337694</v>
      </c>
      <c r="AE481" s="4">
        <v>21950032</v>
      </c>
      <c r="AG481" s="4" t="s">
        <v>1838</v>
      </c>
      <c r="AH481" s="4" t="s">
        <v>1839</v>
      </c>
      <c r="AI481" s="4" t="s">
        <v>260</v>
      </c>
    </row>
    <row r="482" spans="1:35" ht="36" x14ac:dyDescent="0.3">
      <c r="A482" s="10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30">
        <v>1169.52</v>
      </c>
      <c r="J482" s="31">
        <v>1216.56</v>
      </c>
      <c r="M482" s="32">
        <f>ROUND(ROUND(J482, 2)*I482, 2)</f>
        <v>1422791.25</v>
      </c>
      <c r="P482" s="33">
        <v>495.9</v>
      </c>
      <c r="S482" s="32">
        <f>ROUND(ROUND(P482, 2)*I482, 2)</f>
        <v>579964.97</v>
      </c>
      <c r="V482" s="9">
        <f>ROUND(ROUND(P482, 2)/1.2, 2)</f>
        <v>413.25</v>
      </c>
      <c r="Y482" s="9">
        <f t="shared" si="20"/>
        <v>483304.14</v>
      </c>
      <c r="AD482" s="4" t="s">
        <v>1896</v>
      </c>
      <c r="AE482" s="4" t="s">
        <v>1897</v>
      </c>
      <c r="AF482" s="4" t="s">
        <v>1245</v>
      </c>
    </row>
    <row r="483" spans="1:35" ht="36" x14ac:dyDescent="0.3">
      <c r="A483" s="10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30">
        <v>584.76</v>
      </c>
      <c r="J483" s="31">
        <v>88.8</v>
      </c>
      <c r="M483" s="32">
        <f>ROUND(ROUND(J483, 2)*I483, 2)</f>
        <v>51926.69</v>
      </c>
      <c r="P483" s="33">
        <v>88.8</v>
      </c>
      <c r="S483" s="32">
        <f>ROUND(ROUND(P483, 2)*I483, 2)</f>
        <v>51926.69</v>
      </c>
      <c r="V483" s="9">
        <f>ROUND(ROUND(P483, 2)/1.2, 2)</f>
        <v>74</v>
      </c>
      <c r="Y483" s="9">
        <f t="shared" si="20"/>
        <v>43272.24</v>
      </c>
      <c r="AD483" s="4" t="s">
        <v>1899</v>
      </c>
      <c r="AE483" s="4" t="s">
        <v>1900</v>
      </c>
      <c r="AF483" s="4" t="s">
        <v>685</v>
      </c>
    </row>
    <row r="484" spans="1:35" ht="54" x14ac:dyDescent="0.3">
      <c r="A484" s="10" t="s">
        <v>1901</v>
      </c>
      <c r="B484" s="10" t="s">
        <v>1836</v>
      </c>
      <c r="C484" s="11" t="s">
        <v>1837</v>
      </c>
      <c r="D484" s="12"/>
      <c r="E484" s="12" t="s">
        <v>1855</v>
      </c>
      <c r="F484" s="12" t="s">
        <v>59</v>
      </c>
      <c r="G484" s="13">
        <v>1</v>
      </c>
      <c r="H484" s="13"/>
      <c r="I484" s="13">
        <v>921.3</v>
      </c>
      <c r="J484" s="14">
        <f>IFERROR(ROUND(SUM(M485,M486)/I484, 2),0)</f>
        <v>378.29</v>
      </c>
      <c r="K484" s="15">
        <v>464</v>
      </c>
      <c r="L484" s="14">
        <f>J484+ROUND(K484, 2)</f>
        <v>842.29</v>
      </c>
      <c r="M484" s="14">
        <f>ROUND(J484*I484, 2)</f>
        <v>348518.58</v>
      </c>
      <c r="N484" s="14">
        <f>ROUND(I484*ROUND(K484, 2), 2)</f>
        <v>427483.2</v>
      </c>
      <c r="O484" s="14">
        <f>M484+N484</f>
        <v>776001.78</v>
      </c>
      <c r="P484" s="14">
        <f>IFERROR(ROUND(SUM(S485,S486)/I484, 2),0)</f>
        <v>162.09</v>
      </c>
      <c r="Q484" s="16">
        <v>696</v>
      </c>
      <c r="R484" s="14">
        <f>P484+ROUND(Q484, 2)</f>
        <v>858.09</v>
      </c>
      <c r="S484" s="14">
        <f>ROUND(P484*I484, 2)</f>
        <v>149333.51999999999</v>
      </c>
      <c r="T484" s="14">
        <f>ROUND(I484*ROUND(Q484, 2), 2)</f>
        <v>641224.80000000005</v>
      </c>
      <c r="U484" s="14">
        <f>S484+T484</f>
        <v>790558.32</v>
      </c>
      <c r="V484" s="9">
        <f>ROUND(P484 / 1.2, 2)</f>
        <v>135.08000000000001</v>
      </c>
      <c r="W484" s="9">
        <f>ROUND(Q484 / 1.2, 2)</f>
        <v>580</v>
      </c>
      <c r="X484" s="9">
        <f>ROUND(R484 / 1.2, 2)</f>
        <v>715.08</v>
      </c>
      <c r="Y484" s="9">
        <f t="shared" si="20"/>
        <v>124444.6</v>
      </c>
      <c r="Z484" s="9">
        <f>ROUND(T484 / 1.2, 2)</f>
        <v>534354</v>
      </c>
      <c r="AA484" s="9">
        <f>Y484+Z484</f>
        <v>658798.6</v>
      </c>
      <c r="AD484" s="4">
        <v>304337695</v>
      </c>
      <c r="AE484" s="4">
        <v>21950037</v>
      </c>
      <c r="AG484" s="4" t="s">
        <v>1838</v>
      </c>
      <c r="AH484" s="4" t="s">
        <v>1839</v>
      </c>
      <c r="AI484" s="4" t="s">
        <v>260</v>
      </c>
    </row>
    <row r="485" spans="1:35" ht="36" x14ac:dyDescent="0.3">
      <c r="A485" s="10" t="s">
        <v>1902</v>
      </c>
      <c r="B485" s="10"/>
      <c r="C485" s="28" t="s">
        <v>682</v>
      </c>
      <c r="D485" s="12"/>
      <c r="E485" s="12"/>
      <c r="F485" s="29" t="s">
        <v>265</v>
      </c>
      <c r="G485" s="30">
        <v>0.15</v>
      </c>
      <c r="H485" s="30"/>
      <c r="I485" s="30">
        <v>138.19499999999999</v>
      </c>
      <c r="J485" s="31">
        <v>88.8</v>
      </c>
      <c r="M485" s="32">
        <f>ROUND(ROUND(J485, 2)*I485, 2)</f>
        <v>12271.72</v>
      </c>
      <c r="P485" s="33">
        <v>88.8</v>
      </c>
      <c r="S485" s="32">
        <f>ROUND(ROUND(P485, 2)*I485, 2)</f>
        <v>12271.72</v>
      </c>
      <c r="V485" s="9">
        <f>ROUND(ROUND(P485, 2)/1.2, 2)</f>
        <v>74</v>
      </c>
      <c r="Y485" s="9">
        <f t="shared" si="20"/>
        <v>10226.43</v>
      </c>
      <c r="AD485" s="4" t="s">
        <v>1903</v>
      </c>
      <c r="AE485" s="4" t="s">
        <v>1904</v>
      </c>
      <c r="AF485" s="4" t="s">
        <v>685</v>
      </c>
    </row>
    <row r="486" spans="1:35" ht="36" x14ac:dyDescent="0.3">
      <c r="A486" s="10" t="s">
        <v>1905</v>
      </c>
      <c r="B486" s="10"/>
      <c r="C486" s="28" t="s">
        <v>1242</v>
      </c>
      <c r="D486" s="12"/>
      <c r="E486" s="12"/>
      <c r="F486" s="29" t="s">
        <v>265</v>
      </c>
      <c r="G486" s="30">
        <v>0.3</v>
      </c>
      <c r="H486" s="30"/>
      <c r="I486" s="30">
        <v>276.39</v>
      </c>
      <c r="J486" s="31">
        <v>1216.56</v>
      </c>
      <c r="M486" s="32">
        <f>ROUND(ROUND(J486, 2)*I486, 2)</f>
        <v>336245.02</v>
      </c>
      <c r="P486" s="33">
        <v>495.9</v>
      </c>
      <c r="S486" s="32">
        <f>ROUND(ROUND(P486, 2)*I486, 2)</f>
        <v>137061.79999999999</v>
      </c>
      <c r="V486" s="9">
        <f>ROUND(ROUND(P486, 2)/1.2, 2)</f>
        <v>413.25</v>
      </c>
      <c r="Y486" s="9">
        <f t="shared" si="20"/>
        <v>114218.17</v>
      </c>
      <c r="AD486" s="4" t="s">
        <v>1906</v>
      </c>
      <c r="AE486" s="4" t="s">
        <v>1907</v>
      </c>
      <c r="AF486" s="4" t="s">
        <v>1245</v>
      </c>
    </row>
    <row r="487" spans="1:35" ht="36" x14ac:dyDescent="0.3">
      <c r="A487" s="10" t="s">
        <v>1908</v>
      </c>
      <c r="B487" s="10" t="s">
        <v>1836</v>
      </c>
      <c r="C487" s="11" t="s">
        <v>1837</v>
      </c>
      <c r="D487" s="12"/>
      <c r="E487" s="12"/>
      <c r="F487" s="12" t="s">
        <v>59</v>
      </c>
      <c r="G487" s="13">
        <v>1</v>
      </c>
      <c r="H487" s="13"/>
      <c r="I487" s="13">
        <v>0</v>
      </c>
      <c r="J487" s="14">
        <f>IFERROR(ROUND(SUM(M488,M489)/I487, 2),0)</f>
        <v>0</v>
      </c>
      <c r="K487" s="15">
        <v>464</v>
      </c>
      <c r="L487" s="14">
        <f>J487+ROUND(K487, 2)</f>
        <v>464</v>
      </c>
      <c r="M487" s="14">
        <f>ROUND(J487*I487, 2)</f>
        <v>0</v>
      </c>
      <c r="N487" s="14">
        <f>ROUND(I487*ROUND(K487, 2), 2)</f>
        <v>0</v>
      </c>
      <c r="O487" s="14">
        <f>M487+N487</f>
        <v>0</v>
      </c>
      <c r="P487" s="14">
        <f>IFERROR(ROUND(SUM(S488,S489)/I487, 2),0)</f>
        <v>0</v>
      </c>
      <c r="Q487" s="16">
        <v>696</v>
      </c>
      <c r="R487" s="14">
        <f>P487+ROUND(Q487, 2)</f>
        <v>696</v>
      </c>
      <c r="S487" s="14">
        <f>ROUND(P487*I487, 2)</f>
        <v>0</v>
      </c>
      <c r="T487" s="14">
        <f>ROUND(I487*ROUND(Q487, 2), 2)</f>
        <v>0</v>
      </c>
      <c r="U487" s="14">
        <f>S487+T487</f>
        <v>0</v>
      </c>
      <c r="V487" s="9">
        <f>ROUND(P487 / 1.2, 2)</f>
        <v>0</v>
      </c>
      <c r="W487" s="9">
        <f>ROUND(Q487 / 1.2, 2)</f>
        <v>580</v>
      </c>
      <c r="X487" s="9">
        <f>ROUND(R487 / 1.2, 2)</f>
        <v>580</v>
      </c>
      <c r="Y487" s="9">
        <f t="shared" si="20"/>
        <v>0</v>
      </c>
      <c r="Z487" s="9">
        <f>ROUND(T487 / 1.2, 2)</f>
        <v>0</v>
      </c>
      <c r="AA487" s="9">
        <f>Y487+Z487</f>
        <v>0</v>
      </c>
      <c r="AD487" s="4">
        <v>304337696</v>
      </c>
      <c r="AE487" s="4">
        <v>21949971</v>
      </c>
      <c r="AG487" s="4" t="s">
        <v>1838</v>
      </c>
      <c r="AH487" s="4" t="s">
        <v>1839</v>
      </c>
      <c r="AI487" s="4" t="s">
        <v>260</v>
      </c>
    </row>
    <row r="488" spans="1:35" ht="36" x14ac:dyDescent="0.3">
      <c r="A488" s="10" t="s">
        <v>1909</v>
      </c>
      <c r="B488" s="10"/>
      <c r="C488" s="28" t="s">
        <v>1242</v>
      </c>
      <c r="D488" s="12"/>
      <c r="E488" s="12"/>
      <c r="F488" s="29" t="s">
        <v>265</v>
      </c>
      <c r="G488" s="30">
        <v>0.3</v>
      </c>
      <c r="H488" s="30"/>
      <c r="I488" s="30">
        <v>0</v>
      </c>
      <c r="J488" s="31">
        <v>1216.56</v>
      </c>
      <c r="M488" s="32">
        <f>ROUND(ROUND(J488, 2)*I488, 2)</f>
        <v>0</v>
      </c>
      <c r="P488" s="33">
        <v>495.9</v>
      </c>
      <c r="S488" s="32">
        <f>ROUND(ROUND(P488, 2)*I488, 2)</f>
        <v>0</v>
      </c>
      <c r="V488" s="9">
        <f>ROUND(ROUND(P488, 2)/1.2, 2)</f>
        <v>413.25</v>
      </c>
      <c r="Y488" s="9">
        <f t="shared" si="20"/>
        <v>0</v>
      </c>
      <c r="AD488" s="4" t="s">
        <v>1910</v>
      </c>
      <c r="AE488" s="4" t="s">
        <v>1911</v>
      </c>
      <c r="AF488" s="4" t="s">
        <v>1245</v>
      </c>
    </row>
    <row r="489" spans="1:35" ht="36" x14ac:dyDescent="0.3">
      <c r="A489" s="10" t="s">
        <v>1912</v>
      </c>
      <c r="B489" s="10"/>
      <c r="C489" s="28" t="s">
        <v>682</v>
      </c>
      <c r="D489" s="12"/>
      <c r="E489" s="12"/>
      <c r="F489" s="29" t="s">
        <v>265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3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0"/>
        <v>0</v>
      </c>
      <c r="AD489" s="4" t="s">
        <v>1913</v>
      </c>
      <c r="AE489" s="4" t="s">
        <v>1914</v>
      </c>
      <c r="AF489" s="4" t="s">
        <v>685</v>
      </c>
    </row>
    <row r="490" spans="1:35" ht="162" x14ac:dyDescent="0.3">
      <c r="A490" s="10" t="s">
        <v>1915</v>
      </c>
      <c r="B490" s="10" t="s">
        <v>1836</v>
      </c>
      <c r="C490" s="11" t="s">
        <v>1837</v>
      </c>
      <c r="D490" s="12"/>
      <c r="E490" s="12" t="s">
        <v>1868</v>
      </c>
      <c r="F490" s="12" t="s">
        <v>59</v>
      </c>
      <c r="G490" s="13">
        <v>1</v>
      </c>
      <c r="H490" s="13"/>
      <c r="I490" s="13">
        <v>272.2</v>
      </c>
      <c r="J490" s="14">
        <f>IFERROR(ROUND(SUM(M491,M492)/I490, 2),0)</f>
        <v>378.29</v>
      </c>
      <c r="K490" s="15">
        <v>464</v>
      </c>
      <c r="L490" s="14">
        <f>J490+ROUND(K490, 2)</f>
        <v>842.29</v>
      </c>
      <c r="M490" s="14">
        <f>ROUND(J490*I490, 2)</f>
        <v>102970.54</v>
      </c>
      <c r="N490" s="14">
        <f>ROUND(I490*ROUND(K490, 2), 2)</f>
        <v>126300.8</v>
      </c>
      <c r="O490" s="14">
        <f>M490+N490</f>
        <v>229271.34</v>
      </c>
      <c r="P490" s="14">
        <f>IFERROR(ROUND(SUM(S491,S492)/I490, 2),0)</f>
        <v>162.09</v>
      </c>
      <c r="Q490" s="16">
        <v>696</v>
      </c>
      <c r="R490" s="14">
        <f>P490+ROUND(Q490, 2)</f>
        <v>858.09</v>
      </c>
      <c r="S490" s="14">
        <f>ROUND(P490*I490, 2)</f>
        <v>44120.9</v>
      </c>
      <c r="T490" s="14">
        <f>ROUND(I490*ROUND(Q490, 2), 2)</f>
        <v>189451.2</v>
      </c>
      <c r="U490" s="14">
        <f>S490+T490</f>
        <v>233572.1</v>
      </c>
      <c r="V490" s="9">
        <f>ROUND(P490 / 1.2, 2)</f>
        <v>135.08000000000001</v>
      </c>
      <c r="W490" s="9">
        <f>ROUND(Q490 / 1.2, 2)</f>
        <v>580</v>
      </c>
      <c r="X490" s="9">
        <f>ROUND(R490 / 1.2, 2)</f>
        <v>715.08</v>
      </c>
      <c r="Y490" s="9">
        <f t="shared" si="20"/>
        <v>36767.42</v>
      </c>
      <c r="Z490" s="9">
        <f>ROUND(T490 / 1.2, 2)</f>
        <v>157876</v>
      </c>
      <c r="AA490" s="9">
        <f>Y490+Z490</f>
        <v>194643.42</v>
      </c>
      <c r="AD490" s="4">
        <v>304337697</v>
      </c>
      <c r="AE490" s="4">
        <v>21955547</v>
      </c>
      <c r="AG490" s="4" t="s">
        <v>1838</v>
      </c>
      <c r="AH490" s="4" t="s">
        <v>1839</v>
      </c>
      <c r="AI490" s="4" t="s">
        <v>260</v>
      </c>
    </row>
    <row r="491" spans="1:35" ht="36" x14ac:dyDescent="0.3">
      <c r="A491" s="10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30">
        <v>40.83</v>
      </c>
      <c r="J491" s="31">
        <v>88.8</v>
      </c>
      <c r="M491" s="32">
        <f>ROUND(ROUND(J491, 2)*I491, 2)</f>
        <v>3625.7</v>
      </c>
      <c r="P491" s="33">
        <v>88.8</v>
      </c>
      <c r="S491" s="32">
        <f>ROUND(ROUND(P491, 2)*I491, 2)</f>
        <v>3625.7</v>
      </c>
      <c r="V491" s="9">
        <f>ROUND(ROUND(P491, 2)/1.2, 2)</f>
        <v>74</v>
      </c>
      <c r="Y491" s="9">
        <f t="shared" si="20"/>
        <v>3021.42</v>
      </c>
      <c r="AD491" s="4" t="s">
        <v>1917</v>
      </c>
      <c r="AE491" s="4" t="s">
        <v>1918</v>
      </c>
      <c r="AF491" s="4" t="s">
        <v>685</v>
      </c>
    </row>
    <row r="492" spans="1:35" ht="54" x14ac:dyDescent="0.3">
      <c r="A492" s="10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30">
        <v>81.66</v>
      </c>
      <c r="J492" s="31">
        <v>1216.56</v>
      </c>
      <c r="M492" s="32">
        <f>ROUND(ROUND(J492, 2)*I492, 2)</f>
        <v>99344.29</v>
      </c>
      <c r="P492" s="33">
        <v>495.9</v>
      </c>
      <c r="S492" s="32">
        <f>ROUND(ROUND(P492, 2)*I492, 2)</f>
        <v>40495.19</v>
      </c>
      <c r="V492" s="9">
        <f>ROUND(ROUND(P492, 2)/1.2, 2)</f>
        <v>413.25</v>
      </c>
      <c r="Y492" s="9">
        <f t="shared" si="20"/>
        <v>33745.99</v>
      </c>
      <c r="AD492" s="4" t="s">
        <v>1920</v>
      </c>
      <c r="AE492" s="4" t="s">
        <v>1921</v>
      </c>
      <c r="AF492" s="4" t="s">
        <v>1245</v>
      </c>
    </row>
    <row r="493" spans="1:35" ht="162" x14ac:dyDescent="0.3">
      <c r="A493" s="10" t="s">
        <v>1922</v>
      </c>
      <c r="B493" s="10" t="s">
        <v>1836</v>
      </c>
      <c r="C493" s="11" t="s">
        <v>1837</v>
      </c>
      <c r="D493" s="12"/>
      <c r="E493" s="12" t="s">
        <v>1882</v>
      </c>
      <c r="F493" s="12" t="s">
        <v>59</v>
      </c>
      <c r="G493" s="13">
        <v>1</v>
      </c>
      <c r="H493" s="13"/>
      <c r="I493" s="13">
        <v>263.7</v>
      </c>
      <c r="J493" s="14">
        <f>IFERROR(ROUND(SUM(M494,M495)/I493, 2),0)</f>
        <v>378.29</v>
      </c>
      <c r="K493" s="15">
        <v>464</v>
      </c>
      <c r="L493" s="14">
        <f>J493+ROUND(K493, 2)</f>
        <v>842.29</v>
      </c>
      <c r="M493" s="14">
        <f>ROUND(J493*I493, 2)</f>
        <v>99755.07</v>
      </c>
      <c r="N493" s="14">
        <f>ROUND(I493*ROUND(K493, 2), 2)</f>
        <v>122356.8</v>
      </c>
      <c r="O493" s="14">
        <f>M493+N493</f>
        <v>222111.87</v>
      </c>
      <c r="P493" s="14">
        <f>IFERROR(ROUND(SUM(S494,S495)/I493, 2),0)</f>
        <v>162.09</v>
      </c>
      <c r="Q493" s="16">
        <v>696</v>
      </c>
      <c r="R493" s="14">
        <f>P493+ROUND(Q493, 2)</f>
        <v>858.09</v>
      </c>
      <c r="S493" s="14">
        <f>ROUND(P493*I493, 2)</f>
        <v>42743.13</v>
      </c>
      <c r="T493" s="14">
        <f>ROUND(I493*ROUND(Q493, 2), 2)</f>
        <v>183535.2</v>
      </c>
      <c r="U493" s="14">
        <f>S493+T493</f>
        <v>226278.33</v>
      </c>
      <c r="V493" s="9">
        <f>ROUND(P493 / 1.2, 2)</f>
        <v>135.08000000000001</v>
      </c>
      <c r="W493" s="9">
        <f>ROUND(Q493 / 1.2, 2)</f>
        <v>580</v>
      </c>
      <c r="X493" s="9">
        <f>ROUND(R493 / 1.2, 2)</f>
        <v>715.08</v>
      </c>
      <c r="Y493" s="9">
        <f t="shared" si="20"/>
        <v>35619.279999999999</v>
      </c>
      <c r="Z493" s="9">
        <f>ROUND(T493 / 1.2, 2)</f>
        <v>152946</v>
      </c>
      <c r="AA493" s="9">
        <f>Y493+Z493</f>
        <v>188565.28</v>
      </c>
      <c r="AD493" s="4">
        <v>304337698</v>
      </c>
      <c r="AE493" s="4">
        <v>21955548</v>
      </c>
      <c r="AG493" s="4" t="s">
        <v>1838</v>
      </c>
      <c r="AH493" s="4" t="s">
        <v>1839</v>
      </c>
      <c r="AI493" s="4" t="s">
        <v>260</v>
      </c>
    </row>
    <row r="494" spans="1:35" ht="72" x14ac:dyDescent="0.3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30">
        <v>79.11</v>
      </c>
      <c r="J494" s="31">
        <v>1216.56</v>
      </c>
      <c r="M494" s="32">
        <f>ROUND(ROUND(J494, 2)*I494, 2)</f>
        <v>96242.06</v>
      </c>
      <c r="P494" s="33">
        <v>495.9</v>
      </c>
      <c r="S494" s="32">
        <f>ROUND(ROUND(P494, 2)*I494, 2)</f>
        <v>39230.65</v>
      </c>
      <c r="V494" s="9">
        <f>ROUND(ROUND(P494, 2)/1.2, 2)</f>
        <v>413.25</v>
      </c>
      <c r="Y494" s="9">
        <f t="shared" si="20"/>
        <v>32692.21</v>
      </c>
      <c r="AD494" s="4" t="s">
        <v>1925</v>
      </c>
      <c r="AE494" s="4" t="s">
        <v>1926</v>
      </c>
      <c r="AF494" s="4" t="s">
        <v>1245</v>
      </c>
    </row>
    <row r="495" spans="1:35" ht="36" x14ac:dyDescent="0.3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30">
        <v>39.555</v>
      </c>
      <c r="J495" s="31">
        <v>88.8</v>
      </c>
      <c r="M495" s="32">
        <f>ROUND(ROUND(J495, 2)*I495, 2)</f>
        <v>3512.48</v>
      </c>
      <c r="P495" s="33">
        <v>88.8</v>
      </c>
      <c r="S495" s="32">
        <f>ROUND(ROUND(P495, 2)*I495, 2)</f>
        <v>3512.48</v>
      </c>
      <c r="V495" s="9">
        <f>ROUND(ROUND(P495, 2)/1.2, 2)</f>
        <v>74</v>
      </c>
      <c r="Y495" s="9">
        <f t="shared" si="20"/>
        <v>2927.07</v>
      </c>
      <c r="AD495" s="4" t="s">
        <v>1928</v>
      </c>
      <c r="AE495" s="4" t="s">
        <v>1929</v>
      </c>
      <c r="AF495" s="4" t="s">
        <v>685</v>
      </c>
    </row>
    <row r="496" spans="1:35" ht="16.95" customHeight="1" x14ac:dyDescent="0.3">
      <c r="A496" s="10" t="s">
        <v>1930</v>
      </c>
      <c r="B496" s="10" t="s">
        <v>1931</v>
      </c>
      <c r="C496" s="153" t="s">
        <v>1932</v>
      </c>
      <c r="D496" s="154"/>
      <c r="E496" s="154"/>
      <c r="F496" s="154"/>
      <c r="G496" s="154"/>
      <c r="H496" s="154"/>
      <c r="I496" s="155"/>
      <c r="M496" s="6">
        <f>SUM(M497,M501,M504,M506,M508,M510,M512,M514,M516,M517,M518,M520,M522,M536,M550,M552,M554,M556,M558,M560,M562,M564)</f>
        <v>4445051.75</v>
      </c>
      <c r="N496" s="6">
        <f>SUM(N497,N501,N504,N506,N508,N510,N512,N514,N516,N517,N518,N520,N522,N536,N550,N552,N554,N556,N558,N560,N562,N564)</f>
        <v>4990440.8</v>
      </c>
      <c r="O496" s="6">
        <f>SUM(O497,O501,O504,O506,O508,O510,O512,O514,O516,O517,O518,O520,O522,O536,O550,O552,O554,O556,O558,O560,O562,O564)</f>
        <v>9435492.5500000007</v>
      </c>
      <c r="S496" s="6">
        <f>SUM(S497,S501,S504,S506,S508,S510,S512,S514,S516,S517,S518,S520,S522,S536,S550,S552,S554,S556,S558,S560,S562,S564)</f>
        <v>5996135.4500000002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  <c r="Y496" s="9">
        <f>SUM(Y497,Y501,Y504,Y506,Y508,Y510,Y512,Y514,Y516,Y517,Y518,Y520,Y522,Y536,Y550,Y552,Y554,Y556,Y558,Y560,Y562,Y564)</f>
        <v>4996779.55</v>
      </c>
      <c r="Z496" s="9">
        <f>SUM(Z497,Z501,Z504,Z506,Z508,Z510,Z512,Z514,Z516,Z517,Z518,Z520,Z522,Z536,Z550,Z552,Z554,Z556,Z558,Z560,Z562,Z564)</f>
        <v>6238051.0199999996</v>
      </c>
      <c r="AA496" s="9" t="e">
        <f>SUM(AA497,AA501,AA504,AA506,AA508,AA510,AA512,AA514,AA516,AA517,AA518,AA520,AA522,AA536,AA550,AA552,AA554,AA556,AA558,AA560,AA562,AA564)</f>
        <v>#VALUE!</v>
      </c>
      <c r="AD496" s="4">
        <v>304337583</v>
      </c>
      <c r="AE496" s="4">
        <v>20300959</v>
      </c>
    </row>
    <row r="497" spans="1:35" ht="18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3">
        <v>0</v>
      </c>
      <c r="J497" s="14">
        <f>IFERROR(ROUND(SUM(M498,M499,M500)/I497, 2),0)</f>
        <v>0</v>
      </c>
      <c r="K497" s="15">
        <v>1359</v>
      </c>
      <c r="L497" s="14">
        <f>J497+ROUND(K497, 2)</f>
        <v>1359</v>
      </c>
      <c r="M497" s="14">
        <f>ROUND(J497*I497, 2)</f>
        <v>0</v>
      </c>
      <c r="N497" s="14">
        <f>ROUND(I497*ROUND(K497, 2), 2)</f>
        <v>0</v>
      </c>
      <c r="O497" s="14">
        <f>M497+N497</f>
        <v>0</v>
      </c>
      <c r="P497" s="14">
        <f>IFERROR(ROUND(SUM(S498,S499,S500)/I497, 2),0)</f>
        <v>0</v>
      </c>
      <c r="Q497" s="15">
        <v>1359</v>
      </c>
      <c r="R497" s="14">
        <f>P497+ROUND(Q497, 2)</f>
        <v>1359</v>
      </c>
      <c r="S497" s="14">
        <f>ROUND(P497*I497, 2)</f>
        <v>0</v>
      </c>
      <c r="T497" s="14">
        <f>ROUND(I497*ROUND(Q497, 2), 2)</f>
        <v>0</v>
      </c>
      <c r="U497" s="14">
        <f>S497+T497</f>
        <v>0</v>
      </c>
      <c r="V497" s="9">
        <f>ROUND(P497 / 1.2, 2)</f>
        <v>0</v>
      </c>
      <c r="W497" s="9">
        <f>ROUND(Q497 / 1.2, 2)</f>
        <v>1132.5</v>
      </c>
      <c r="X497" s="9">
        <f>ROUND(R497 / 1.2, 2)</f>
        <v>1132.5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304337585</v>
      </c>
      <c r="AE497" s="4">
        <v>20300962</v>
      </c>
      <c r="AG497" s="4" t="s">
        <v>1936</v>
      </c>
      <c r="AH497" s="4" t="s">
        <v>1937</v>
      </c>
      <c r="AI497" s="4" t="s">
        <v>260</v>
      </c>
    </row>
    <row r="498" spans="1:35" ht="18" x14ac:dyDescent="0.3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30">
        <v>0</v>
      </c>
      <c r="J498" s="31">
        <v>109</v>
      </c>
      <c r="M498" s="32">
        <f>ROUND(ROUND(J498, 2)*I498, 2)</f>
        <v>0</v>
      </c>
      <c r="P498" s="31">
        <v>109</v>
      </c>
      <c r="S498" s="32">
        <f>ROUND(ROUND(P498, 2)*I498, 2)</f>
        <v>0</v>
      </c>
      <c r="V498" s="9">
        <f>ROUND(ROUND(P498, 2)/1.2, 2)</f>
        <v>90.83</v>
      </c>
      <c r="Y498" s="9">
        <f t="shared" ref="Y498:Y515" si="21">ROUND(S498 / 1.2, 2)</f>
        <v>0</v>
      </c>
      <c r="AD498" s="4" t="s">
        <v>1942</v>
      </c>
      <c r="AE498" s="4" t="s">
        <v>1943</v>
      </c>
      <c r="AF498" s="4" t="s">
        <v>1944</v>
      </c>
    </row>
    <row r="499" spans="1:35" ht="18" x14ac:dyDescent="0.3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30">
        <v>0</v>
      </c>
      <c r="J499" s="31">
        <v>838.09</v>
      </c>
      <c r="M499" s="32">
        <f>ROUND(ROUND(J499, 2)*I499, 2)</f>
        <v>0</v>
      </c>
      <c r="P499" s="31">
        <v>838.09</v>
      </c>
      <c r="S499" s="32">
        <f>ROUND(ROUND(P499, 2)*I499, 2)</f>
        <v>0</v>
      </c>
      <c r="V499" s="9">
        <f>ROUND(ROUND(P499, 2)/1.2, 2)</f>
        <v>698.41</v>
      </c>
      <c r="Y499" s="9">
        <f t="shared" si="21"/>
        <v>0</v>
      </c>
      <c r="AD499" s="4" t="s">
        <v>1949</v>
      </c>
      <c r="AE499" s="4" t="s">
        <v>1950</v>
      </c>
      <c r="AF499" s="4" t="s">
        <v>1951</v>
      </c>
    </row>
    <row r="500" spans="1:35" ht="18" x14ac:dyDescent="0.3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243</v>
      </c>
      <c r="S500" s="32">
        <f>ROUND(ROUND(P500, 2)*I500, 2)</f>
        <v>0</v>
      </c>
      <c r="V500" s="9">
        <f>ROUND(ROUND(P500, 2)/1.2, 2)</f>
        <v>202.5</v>
      </c>
      <c r="Y500" s="9">
        <f t="shared" si="21"/>
        <v>0</v>
      </c>
      <c r="AD500" s="4" t="s">
        <v>1956</v>
      </c>
      <c r="AE500" s="4" t="s">
        <v>1957</v>
      </c>
      <c r="AF500" s="4" t="s">
        <v>1958</v>
      </c>
    </row>
    <row r="501" spans="1:35" ht="216" x14ac:dyDescent="0.3">
      <c r="A501" s="10" t="s">
        <v>1961</v>
      </c>
      <c r="B501" s="10" t="s">
        <v>1934</v>
      </c>
      <c r="C501" s="11" t="s">
        <v>1935</v>
      </c>
      <c r="D501" s="12"/>
      <c r="E501" s="12" t="s">
        <v>1939</v>
      </c>
      <c r="F501" s="12" t="s">
        <v>59</v>
      </c>
      <c r="G501" s="13">
        <v>1</v>
      </c>
      <c r="H501" s="13"/>
      <c r="I501" s="13">
        <v>34.200000000000003</v>
      </c>
      <c r="J501" s="14">
        <f>IFERROR(ROUND(SUM(M502,M503)/I501, 2),0)</f>
        <v>879.99</v>
      </c>
      <c r="K501" s="15">
        <v>1359</v>
      </c>
      <c r="L501" s="14">
        <f>J501+ROUND(K501, 2)</f>
        <v>2238.9899999999998</v>
      </c>
      <c r="M501" s="14">
        <f>ROUND(J501*I501, 2)</f>
        <v>30095.66</v>
      </c>
      <c r="N501" s="14">
        <f>ROUND(I501*ROUND(K501, 2), 2)</f>
        <v>46477.8</v>
      </c>
      <c r="O501" s="14">
        <f>M501+N501</f>
        <v>76573.460000000006</v>
      </c>
      <c r="P501" s="14">
        <f>IFERROR(ROUND(SUM(S502,S503)/I501, 2),0)</f>
        <v>1122.99</v>
      </c>
      <c r="Q501" s="16">
        <v>2038.5</v>
      </c>
      <c r="R501" s="14">
        <f>P501+ROUND(Q501, 2)</f>
        <v>3161.49</v>
      </c>
      <c r="S501" s="14">
        <f>ROUND(P501*I501, 2)</f>
        <v>38406.26</v>
      </c>
      <c r="T501" s="14">
        <f>ROUND(I501*ROUND(Q501, 2), 2)</f>
        <v>69716.7</v>
      </c>
      <c r="U501" s="14">
        <f>S501+T501</f>
        <v>108122.96</v>
      </c>
      <c r="V501" s="9">
        <f>ROUND(P501 / 1.2, 2)</f>
        <v>935.83</v>
      </c>
      <c r="W501" s="9">
        <f>ROUND(Q501 / 1.2, 2)</f>
        <v>1698.75</v>
      </c>
      <c r="X501" s="9">
        <f>ROUND(R501 / 1.2, 2)</f>
        <v>2634.58</v>
      </c>
      <c r="Y501" s="9">
        <f t="shared" si="21"/>
        <v>32005.22</v>
      </c>
      <c r="Z501" s="9">
        <f>ROUND(T501 / 1.2, 2)</f>
        <v>58097.25</v>
      </c>
      <c r="AA501" s="9">
        <f>Y501+Z501</f>
        <v>90102.47</v>
      </c>
      <c r="AD501" s="4">
        <v>304337699</v>
      </c>
      <c r="AE501" s="4">
        <v>20300963</v>
      </c>
      <c r="AG501" s="4" t="s">
        <v>1936</v>
      </c>
      <c r="AH501" s="4" t="s">
        <v>1937</v>
      </c>
      <c r="AI501" s="4" t="s">
        <v>260</v>
      </c>
    </row>
    <row r="502" spans="1:35" ht="18" x14ac:dyDescent="0.3">
      <c r="A502" s="10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30">
        <v>34.200000000000003</v>
      </c>
      <c r="J502" s="31">
        <v>0</v>
      </c>
      <c r="M502" s="32">
        <f>ROUND(ROUND(J502, 2)*I502, 2)</f>
        <v>0</v>
      </c>
      <c r="P502" s="33">
        <v>243</v>
      </c>
      <c r="S502" s="32">
        <f>ROUND(ROUND(P502, 2)*I502, 2)</f>
        <v>8310.6</v>
      </c>
      <c r="V502" s="9">
        <f>ROUND(ROUND(P502, 2)/1.2, 2)</f>
        <v>202.5</v>
      </c>
      <c r="Y502" s="9">
        <f t="shared" si="21"/>
        <v>6925.5</v>
      </c>
      <c r="AD502" s="4" t="s">
        <v>1963</v>
      </c>
      <c r="AE502" s="4" t="s">
        <v>1964</v>
      </c>
      <c r="AF502" s="4" t="s">
        <v>1958</v>
      </c>
    </row>
    <row r="503" spans="1:35" ht="18" x14ac:dyDescent="0.3">
      <c r="A503" s="10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30">
        <v>35.909999999999997</v>
      </c>
      <c r="J503" s="31">
        <v>838.09</v>
      </c>
      <c r="M503" s="32">
        <f>ROUND(ROUND(J503, 2)*I503, 2)</f>
        <v>30095.81</v>
      </c>
      <c r="P503" s="33">
        <v>838.09</v>
      </c>
      <c r="S503" s="32">
        <f>ROUND(ROUND(P503, 2)*I503, 2)</f>
        <v>30095.81</v>
      </c>
      <c r="V503" s="9">
        <f>ROUND(ROUND(P503, 2)/1.2, 2)</f>
        <v>698.41</v>
      </c>
      <c r="Y503" s="9">
        <f t="shared" si="21"/>
        <v>25079.84</v>
      </c>
      <c r="AD503" s="4" t="s">
        <v>1966</v>
      </c>
      <c r="AE503" s="4" t="s">
        <v>1967</v>
      </c>
      <c r="AF503" s="4" t="s">
        <v>1951</v>
      </c>
    </row>
    <row r="504" spans="1:35" ht="36" x14ac:dyDescent="0.3">
      <c r="A504" s="10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3">
        <v>0</v>
      </c>
      <c r="J504" s="14">
        <f>IFERROR(ROUND(SUM(M505)/I504, 2),0)</f>
        <v>0</v>
      </c>
      <c r="K504" s="15">
        <v>837</v>
      </c>
      <c r="L504" s="14">
        <f>J504+ROUND(K504, 2)</f>
        <v>837</v>
      </c>
      <c r="M504" s="14">
        <f>ROUND(J504*I504, 2)</f>
        <v>0</v>
      </c>
      <c r="N504" s="14">
        <f>ROUND(I504*ROUND(K504, 2), 2)</f>
        <v>0</v>
      </c>
      <c r="O504" s="14">
        <f>M504+N504</f>
        <v>0</v>
      </c>
      <c r="P504" s="14">
        <f>IFERROR(ROUND(SUM(S505)/I504, 2),0)</f>
        <v>0</v>
      </c>
      <c r="Q504" s="15">
        <v>837</v>
      </c>
      <c r="R504" s="14">
        <f>P504+ROUND(Q504, 2)</f>
        <v>837</v>
      </c>
      <c r="S504" s="14">
        <f>ROUND(P504*I504, 2)</f>
        <v>0</v>
      </c>
      <c r="T504" s="14">
        <f>ROUND(I504*ROUND(Q504, 2), 2)</f>
        <v>0</v>
      </c>
      <c r="U504" s="14">
        <f>S504+T504</f>
        <v>0</v>
      </c>
      <c r="V504" s="9">
        <f>ROUND(P504 / 1.2, 2)</f>
        <v>0</v>
      </c>
      <c r="W504" s="9">
        <f>ROUND(Q504 / 1.2, 2)</f>
        <v>697.5</v>
      </c>
      <c r="X504" s="9">
        <f>ROUND(R504 / 1.2, 2)</f>
        <v>697.5</v>
      </c>
      <c r="Y504" s="9">
        <f t="shared" si="21"/>
        <v>0</v>
      </c>
      <c r="Z504" s="9">
        <f>ROUND(T504 / 1.2, 2)</f>
        <v>0</v>
      </c>
      <c r="AA504" s="9">
        <f>Y504+Z504</f>
        <v>0</v>
      </c>
      <c r="AD504" s="4">
        <v>304337586</v>
      </c>
      <c r="AE504" s="4">
        <v>20300961</v>
      </c>
      <c r="AG504" s="4" t="s">
        <v>1971</v>
      </c>
      <c r="AH504" s="4" t="s">
        <v>1972</v>
      </c>
      <c r="AI504" s="4" t="s">
        <v>260</v>
      </c>
    </row>
    <row r="505" spans="1:35" ht="18" x14ac:dyDescent="0.3">
      <c r="A505" s="10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49">
        <v>0</v>
      </c>
      <c r="J505" s="31">
        <v>1164</v>
      </c>
      <c r="M505" s="32">
        <f>ROUND(ROUND(J505, 2)*I505, 2)</f>
        <v>0</v>
      </c>
      <c r="P505" s="31">
        <v>1164</v>
      </c>
      <c r="S505" s="32">
        <f>ROUND(ROUND(P505, 2)*I505, 2)</f>
        <v>0</v>
      </c>
      <c r="V505" s="9">
        <f>ROUND(ROUND(P505, 2)/1.2, 2)</f>
        <v>970</v>
      </c>
      <c r="Y505" s="9">
        <f t="shared" si="21"/>
        <v>0</v>
      </c>
      <c r="AD505" s="4" t="s">
        <v>1977</v>
      </c>
      <c r="AE505" s="4" t="s">
        <v>1978</v>
      </c>
      <c r="AF505" s="4" t="s">
        <v>1979</v>
      </c>
    </row>
    <row r="506" spans="1:35" ht="36" x14ac:dyDescent="0.3">
      <c r="A506" s="10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3">
        <v>0</v>
      </c>
      <c r="J506" s="14">
        <f>IFERROR(ROUND(SUM(M507)/I506, 2),0)</f>
        <v>0</v>
      </c>
      <c r="K506" s="15">
        <v>837</v>
      </c>
      <c r="L506" s="14">
        <f>J506+ROUND(K506, 2)</f>
        <v>837</v>
      </c>
      <c r="M506" s="14">
        <f>ROUND(J506*I506, 2)</f>
        <v>0</v>
      </c>
      <c r="N506" s="14">
        <f>ROUND(I506*ROUND(K506, 2), 2)</f>
        <v>0</v>
      </c>
      <c r="O506" s="14">
        <f>M506+N506</f>
        <v>0</v>
      </c>
      <c r="P506" s="14">
        <f>IFERROR(ROUND(SUM(S507)/I506, 2),0)</f>
        <v>0</v>
      </c>
      <c r="Q506" s="15">
        <v>837</v>
      </c>
      <c r="R506" s="14">
        <f>P506+ROUND(Q506, 2)</f>
        <v>837</v>
      </c>
      <c r="S506" s="14">
        <f>ROUND(P506*I506, 2)</f>
        <v>0</v>
      </c>
      <c r="T506" s="14">
        <f>ROUND(I506*ROUND(Q506, 2), 2)</f>
        <v>0</v>
      </c>
      <c r="U506" s="14">
        <f>S506+T506</f>
        <v>0</v>
      </c>
      <c r="V506" s="9">
        <f>ROUND(P506 / 1.2, 2)</f>
        <v>0</v>
      </c>
      <c r="W506" s="9">
        <f>ROUND(Q506 / 1.2, 2)</f>
        <v>697.5</v>
      </c>
      <c r="X506" s="9">
        <f>ROUND(R506 / 1.2, 2)</f>
        <v>697.5</v>
      </c>
      <c r="Y506" s="9">
        <f t="shared" si="21"/>
        <v>0</v>
      </c>
      <c r="Z506" s="9">
        <f>ROUND(T506 / 1.2, 2)</f>
        <v>0</v>
      </c>
      <c r="AA506" s="9">
        <f>Y506+Z506</f>
        <v>0</v>
      </c>
      <c r="AD506" s="4">
        <v>304337700</v>
      </c>
      <c r="AE506" s="4">
        <v>20301990</v>
      </c>
      <c r="AG506" s="4" t="s">
        <v>1971</v>
      </c>
      <c r="AH506" s="4" t="s">
        <v>1972</v>
      </c>
      <c r="AI506" s="4" t="s">
        <v>260</v>
      </c>
    </row>
    <row r="507" spans="1:35" ht="18" x14ac:dyDescent="0.3">
      <c r="A507" s="10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49">
        <v>0</v>
      </c>
      <c r="J507" s="31">
        <v>1164</v>
      </c>
      <c r="M507" s="32">
        <f>ROUND(ROUND(J507, 2)*I507, 2)</f>
        <v>0</v>
      </c>
      <c r="P507" s="31">
        <v>1164</v>
      </c>
      <c r="S507" s="32">
        <f>ROUND(ROUND(P507, 2)*I507, 2)</f>
        <v>0</v>
      </c>
      <c r="V507" s="9">
        <f>ROUND(ROUND(P507, 2)/1.2, 2)</f>
        <v>970</v>
      </c>
      <c r="Y507" s="9">
        <f t="shared" si="21"/>
        <v>0</v>
      </c>
      <c r="AD507" s="4" t="s">
        <v>1986</v>
      </c>
      <c r="AE507" s="4" t="s">
        <v>1987</v>
      </c>
      <c r="AF507" s="4" t="s">
        <v>1979</v>
      </c>
    </row>
    <row r="508" spans="1:35" ht="36" x14ac:dyDescent="0.3">
      <c r="A508" s="10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3">
        <v>0</v>
      </c>
      <c r="J508" s="14">
        <f>IFERROR(ROUND(SUM(M509)/I508, 2),0)</f>
        <v>0</v>
      </c>
      <c r="K508" s="15">
        <v>837</v>
      </c>
      <c r="L508" s="14">
        <f>J508+ROUND(K508, 2)</f>
        <v>837</v>
      </c>
      <c r="M508" s="14">
        <f>ROUND(J508*I508, 2)</f>
        <v>0</v>
      </c>
      <c r="N508" s="14">
        <f>ROUND(I508*ROUND(K508, 2), 2)</f>
        <v>0</v>
      </c>
      <c r="O508" s="14">
        <f>M508+N508</f>
        <v>0</v>
      </c>
      <c r="P508" s="14">
        <f>IFERROR(ROUND(SUM(S509)/I508, 2),0)</f>
        <v>0</v>
      </c>
      <c r="Q508" s="15">
        <v>837</v>
      </c>
      <c r="R508" s="14">
        <f>P508+ROUND(Q508, 2)</f>
        <v>837</v>
      </c>
      <c r="S508" s="14">
        <f>ROUND(P508*I508, 2)</f>
        <v>0</v>
      </c>
      <c r="T508" s="14">
        <f>ROUND(I508*ROUND(Q508, 2), 2)</f>
        <v>0</v>
      </c>
      <c r="U508" s="14">
        <f>S508+T508</f>
        <v>0</v>
      </c>
      <c r="V508" s="9">
        <f>ROUND(P508 / 1.2, 2)</f>
        <v>0</v>
      </c>
      <c r="W508" s="9">
        <f>ROUND(Q508 / 1.2, 2)</f>
        <v>697.5</v>
      </c>
      <c r="X508" s="9">
        <f>ROUND(R508 / 1.2, 2)</f>
        <v>697.5</v>
      </c>
      <c r="Y508" s="9">
        <f t="shared" si="21"/>
        <v>0</v>
      </c>
      <c r="Z508" s="9">
        <f>ROUND(T508 / 1.2, 2)</f>
        <v>0</v>
      </c>
      <c r="AA508" s="9">
        <f>Y508+Z508</f>
        <v>0</v>
      </c>
      <c r="AD508" s="4">
        <v>304337701</v>
      </c>
      <c r="AE508" s="4">
        <v>20301991</v>
      </c>
      <c r="AG508" s="4" t="s">
        <v>1971</v>
      </c>
      <c r="AH508" s="4" t="s">
        <v>1972</v>
      </c>
      <c r="AI508" s="4" t="s">
        <v>260</v>
      </c>
    </row>
    <row r="509" spans="1:35" ht="18" x14ac:dyDescent="0.3">
      <c r="A509" s="10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49">
        <v>0</v>
      </c>
      <c r="J509" s="31">
        <v>1164</v>
      </c>
      <c r="M509" s="32">
        <f>ROUND(ROUND(J509, 2)*I509, 2)</f>
        <v>0</v>
      </c>
      <c r="P509" s="31">
        <v>1164</v>
      </c>
      <c r="S509" s="32">
        <f>ROUND(ROUND(P509, 2)*I509, 2)</f>
        <v>0</v>
      </c>
      <c r="V509" s="9">
        <f>ROUND(ROUND(P509, 2)/1.2, 2)</f>
        <v>970</v>
      </c>
      <c r="Y509" s="9">
        <f t="shared" si="21"/>
        <v>0</v>
      </c>
      <c r="AD509" s="4" t="s">
        <v>1995</v>
      </c>
      <c r="AE509" s="4" t="s">
        <v>1996</v>
      </c>
      <c r="AF509" s="4" t="s">
        <v>1979</v>
      </c>
    </row>
    <row r="510" spans="1:35" ht="90" x14ac:dyDescent="0.3">
      <c r="A510" s="10" t="s">
        <v>1999</v>
      </c>
      <c r="B510" s="10" t="s">
        <v>1969</v>
      </c>
      <c r="C510" s="11" t="s">
        <v>1970</v>
      </c>
      <c r="D510" s="12"/>
      <c r="E510" s="12" t="s">
        <v>1974</v>
      </c>
      <c r="F510" s="12" t="s">
        <v>59</v>
      </c>
      <c r="G510" s="13">
        <v>1</v>
      </c>
      <c r="H510" s="13"/>
      <c r="I510" s="13">
        <v>6</v>
      </c>
      <c r="J510" s="14">
        <f>IFERROR(ROUND(SUM(M511)/I510, 2),0)</f>
        <v>1280.4000000000001</v>
      </c>
      <c r="K510" s="15">
        <v>837</v>
      </c>
      <c r="L510" s="14">
        <f>J510+ROUND(K510, 2)</f>
        <v>2117.4</v>
      </c>
      <c r="M510" s="14">
        <f>ROUND(J510*I510, 2)</f>
        <v>7682.4</v>
      </c>
      <c r="N510" s="14">
        <f>ROUND(I510*ROUND(K510, 2), 2)</f>
        <v>5022</v>
      </c>
      <c r="O510" s="14">
        <f>M510+N510</f>
        <v>12704.4</v>
      </c>
      <c r="P510" s="14">
        <f>IFERROR(ROUND(SUM(S511)/I510, 2),0)</f>
        <v>1280.4000000000001</v>
      </c>
      <c r="Q510" s="16">
        <v>1255.5</v>
      </c>
      <c r="R510" s="14">
        <f>P510+ROUND(Q510, 2)</f>
        <v>2535.9</v>
      </c>
      <c r="S510" s="14">
        <f>ROUND(P510*I510, 2)</f>
        <v>7682.4</v>
      </c>
      <c r="T510" s="14">
        <f>ROUND(I510*ROUND(Q510, 2), 2)</f>
        <v>7533</v>
      </c>
      <c r="U510" s="14">
        <f>S510+T510</f>
        <v>15215.4</v>
      </c>
      <c r="V510" s="9">
        <f>ROUND(P510 / 1.2, 2)</f>
        <v>1067</v>
      </c>
      <c r="W510" s="9">
        <f>ROUND(Q510 / 1.2, 2)</f>
        <v>1046.25</v>
      </c>
      <c r="X510" s="9">
        <f>ROUND(R510 / 1.2, 2)</f>
        <v>2113.25</v>
      </c>
      <c r="Y510" s="9">
        <f t="shared" si="21"/>
        <v>6402</v>
      </c>
      <c r="Z510" s="9">
        <f>ROUND(T510 / 1.2, 2)</f>
        <v>6277.5</v>
      </c>
      <c r="AA510" s="9">
        <f>Y510+Z510</f>
        <v>12679.5</v>
      </c>
      <c r="AD510" s="4">
        <v>304337702</v>
      </c>
      <c r="AE510" s="4">
        <v>20301992</v>
      </c>
      <c r="AG510" s="4" t="s">
        <v>1971</v>
      </c>
      <c r="AH510" s="4" t="s">
        <v>1972</v>
      </c>
      <c r="AI510" s="4" t="s">
        <v>260</v>
      </c>
    </row>
    <row r="511" spans="1:35" ht="18" x14ac:dyDescent="0.3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49">
        <v>6.6</v>
      </c>
      <c r="J511" s="31">
        <v>1164</v>
      </c>
      <c r="M511" s="32">
        <f>ROUND(ROUND(J511, 2)*I511, 2)</f>
        <v>7682.4</v>
      </c>
      <c r="P511" s="33">
        <v>1164</v>
      </c>
      <c r="S511" s="32">
        <f>ROUND(ROUND(P511, 2)*I511, 2)</f>
        <v>7682.4</v>
      </c>
      <c r="V511" s="9">
        <f>ROUND(ROUND(P511, 2)/1.2, 2)</f>
        <v>970</v>
      </c>
      <c r="Y511" s="9">
        <f t="shared" si="21"/>
        <v>6402</v>
      </c>
      <c r="AD511" s="4" t="s">
        <v>2001</v>
      </c>
      <c r="AE511" s="4" t="s">
        <v>2002</v>
      </c>
      <c r="AF511" s="4" t="s">
        <v>1979</v>
      </c>
    </row>
    <row r="512" spans="1:35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3">
        <v>1549.1</v>
      </c>
      <c r="J512" s="14">
        <f>IFERROR(ROUND(SUM(M513)/I512, 2),0)</f>
        <v>1280.4000000000001</v>
      </c>
      <c r="K512" s="15">
        <v>837</v>
      </c>
      <c r="L512" s="14">
        <f>J512+ROUND(K512, 2)</f>
        <v>2117.4</v>
      </c>
      <c r="M512" s="14">
        <f>ROUND(J512*I512, 2)</f>
        <v>1983467.64</v>
      </c>
      <c r="N512" s="14">
        <f>ROUND(I512*ROUND(K512, 2), 2)</f>
        <v>1296596.7</v>
      </c>
      <c r="O512" s="14">
        <f>M512+N512</f>
        <v>3280064.34</v>
      </c>
      <c r="P512" s="14">
        <f>IFERROR(ROUND(SUM(S513)/I512, 2),0)</f>
        <v>1280.4000000000001</v>
      </c>
      <c r="Q512" s="16">
        <v>1255.5</v>
      </c>
      <c r="R512" s="14">
        <f>P512+ROUND(Q512, 2)</f>
        <v>2535.9</v>
      </c>
      <c r="S512" s="14">
        <f>ROUND(P512*I512, 2)</f>
        <v>1983467.64</v>
      </c>
      <c r="T512" s="14">
        <f>ROUND(I512*ROUND(Q512, 2), 2)</f>
        <v>1944895.05</v>
      </c>
      <c r="U512" s="14">
        <f>S512+T512</f>
        <v>3928362.69</v>
      </c>
      <c r="V512" s="9">
        <f>ROUND(P512 / 1.2, 2)</f>
        <v>1067</v>
      </c>
      <c r="W512" s="9">
        <f>ROUND(Q512 / 1.2, 2)</f>
        <v>1046.25</v>
      </c>
      <c r="X512" s="9">
        <f>ROUND(R512 / 1.2, 2)</f>
        <v>2113.25</v>
      </c>
      <c r="Y512" s="9">
        <f t="shared" si="21"/>
        <v>1652889.7</v>
      </c>
      <c r="Z512" s="9">
        <f>ROUND(T512 / 1.2, 2)</f>
        <v>1620745.88</v>
      </c>
      <c r="AA512" s="9">
        <f>Y512+Z512</f>
        <v>3273635.58</v>
      </c>
      <c r="AD512" s="4">
        <v>304337703</v>
      </c>
      <c r="AE512" s="4">
        <v>20301988</v>
      </c>
      <c r="AG512" s="4" t="s">
        <v>1971</v>
      </c>
      <c r="AH512" s="4" t="s">
        <v>1972</v>
      </c>
      <c r="AI512" s="4" t="s">
        <v>260</v>
      </c>
    </row>
    <row r="513" spans="1:35" ht="18" x14ac:dyDescent="0.3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49">
        <v>1704.01</v>
      </c>
      <c r="J513" s="31">
        <v>1164</v>
      </c>
      <c r="M513" s="32">
        <f>ROUND(ROUND(J513, 2)*I513, 2)</f>
        <v>1983467.64</v>
      </c>
      <c r="P513" s="33">
        <v>1164</v>
      </c>
      <c r="S513" s="32">
        <f>ROUND(ROUND(P513, 2)*I513, 2)</f>
        <v>1983467.64</v>
      </c>
      <c r="V513" s="9">
        <f>ROUND(ROUND(P513, 2)/1.2, 2)</f>
        <v>970</v>
      </c>
      <c r="Y513" s="9">
        <f t="shared" si="21"/>
        <v>1652889.7</v>
      </c>
      <c r="AD513" s="4" t="s">
        <v>2005</v>
      </c>
      <c r="AE513" s="4" t="s">
        <v>2006</v>
      </c>
      <c r="AF513" s="4" t="s">
        <v>1979</v>
      </c>
    </row>
    <row r="514" spans="1:35" ht="90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3">
        <v>242</v>
      </c>
      <c r="J514" s="14">
        <f>IFERROR(ROUND(SUM(M515)/I514, 2),0)</f>
        <v>1280.4000000000001</v>
      </c>
      <c r="K514" s="15">
        <v>837</v>
      </c>
      <c r="L514" s="14">
        <f>J514+ROUND(K514, 2)</f>
        <v>2117.4</v>
      </c>
      <c r="M514" s="14">
        <f>ROUND(J514*I514, 2)</f>
        <v>309856.8</v>
      </c>
      <c r="N514" s="14">
        <f>ROUND(I514*ROUND(K514, 2), 2)</f>
        <v>202554</v>
      </c>
      <c r="O514" s="14">
        <f>M514+N514</f>
        <v>512410.8</v>
      </c>
      <c r="P514" s="14">
        <f>IFERROR(ROUND(SUM(S515)/I514, 2),0)</f>
        <v>1280.4000000000001</v>
      </c>
      <c r="Q514" s="16">
        <v>1255.5</v>
      </c>
      <c r="R514" s="14">
        <f>P514+ROUND(Q514, 2)</f>
        <v>2535.9</v>
      </c>
      <c r="S514" s="14">
        <f>ROUND(P514*I514, 2)</f>
        <v>309856.8</v>
      </c>
      <c r="T514" s="14">
        <f>ROUND(I514*ROUND(Q514, 2), 2)</f>
        <v>303831</v>
      </c>
      <c r="U514" s="14">
        <f>S514+T514</f>
        <v>613687.80000000005</v>
      </c>
      <c r="V514" s="9">
        <f>ROUND(P514 / 1.2, 2)</f>
        <v>1067</v>
      </c>
      <c r="W514" s="9">
        <f>ROUND(Q514 / 1.2, 2)</f>
        <v>1046.25</v>
      </c>
      <c r="X514" s="9">
        <f>ROUND(R514 / 1.2, 2)</f>
        <v>2113.25</v>
      </c>
      <c r="Y514" s="9">
        <f t="shared" si="21"/>
        <v>258214</v>
      </c>
      <c r="Z514" s="9">
        <f>ROUND(T514 / 1.2, 2)</f>
        <v>253192.5</v>
      </c>
      <c r="AA514" s="9">
        <f>Y514+Z514</f>
        <v>511406.5</v>
      </c>
      <c r="AD514" s="4">
        <v>304337704</v>
      </c>
      <c r="AE514" s="4">
        <v>20301989</v>
      </c>
      <c r="AG514" s="4" t="s">
        <v>1971</v>
      </c>
      <c r="AH514" s="4" t="s">
        <v>1972</v>
      </c>
      <c r="AI514" s="4" t="s">
        <v>260</v>
      </c>
    </row>
    <row r="515" spans="1:35" ht="18" x14ac:dyDescent="0.3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49">
        <v>266.2</v>
      </c>
      <c r="J515" s="31">
        <v>1164</v>
      </c>
      <c r="M515" s="32">
        <f>ROUND(ROUND(J515, 2)*I515, 2)</f>
        <v>309856.8</v>
      </c>
      <c r="P515" s="33">
        <v>1164</v>
      </c>
      <c r="S515" s="32">
        <f>ROUND(ROUND(P515, 2)*I515, 2)</f>
        <v>309856.8</v>
      </c>
      <c r="V515" s="9">
        <f>ROUND(ROUND(P515, 2)/1.2, 2)</f>
        <v>970</v>
      </c>
      <c r="Y515" s="9">
        <f t="shared" si="21"/>
        <v>258214</v>
      </c>
      <c r="AD515" s="4" t="s">
        <v>2009</v>
      </c>
      <c r="AE515" s="4" t="s">
        <v>2010</v>
      </c>
      <c r="AF515" s="4" t="s">
        <v>1979</v>
      </c>
    </row>
    <row r="516" spans="1:35" ht="54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3">
        <v>0</v>
      </c>
      <c r="J516" s="14">
        <v>0</v>
      </c>
      <c r="K516" s="15">
        <v>121</v>
      </c>
      <c r="L516" s="14">
        <f>J516+ROUND(K516, 2)</f>
        <v>121</v>
      </c>
      <c r="M516" s="14">
        <v>0</v>
      </c>
      <c r="N516" s="14">
        <f>ROUND(I516*ROUND(K516, 2), 2)</f>
        <v>0</v>
      </c>
      <c r="O516" s="14">
        <f>M516+N516</f>
        <v>0</v>
      </c>
      <c r="P516" s="14">
        <v>0</v>
      </c>
      <c r="Q516" s="15">
        <v>121</v>
      </c>
      <c r="R516" s="14">
        <f>P516+ROUND(Q516, 2)</f>
        <v>121</v>
      </c>
      <c r="S516" s="14">
        <v>0</v>
      </c>
      <c r="T516" s="14">
        <f>ROUND(I516*ROUND(Q516, 2), 2)</f>
        <v>0</v>
      </c>
      <c r="U516" s="14">
        <f>S516+T516</f>
        <v>0</v>
      </c>
      <c r="V516" s="9"/>
      <c r="W516" s="9">
        <f t="shared" ref="W516:X518" si="22">ROUND(Q516 / 1.2, 2)</f>
        <v>100.83</v>
      </c>
      <c r="X516" s="9">
        <f t="shared" si="22"/>
        <v>100.83</v>
      </c>
      <c r="Y516" s="9"/>
      <c r="Z516" s="9">
        <f>ROUND(T516 / 1.2, 2)</f>
        <v>0</v>
      </c>
      <c r="AA516" s="9" t="e">
        <f>Y516+Z516</f>
        <v>#VALUE!</v>
      </c>
      <c r="AD516" s="4">
        <v>304337588</v>
      </c>
      <c r="AE516" s="4">
        <v>20302456</v>
      </c>
      <c r="AG516" s="4" t="s">
        <v>2014</v>
      </c>
      <c r="AH516" s="4" t="s">
        <v>2015</v>
      </c>
      <c r="AI516" s="4" t="s">
        <v>260</v>
      </c>
    </row>
    <row r="517" spans="1:35" ht="54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3">
        <v>2000</v>
      </c>
      <c r="J517" s="14">
        <v>0</v>
      </c>
      <c r="K517" s="15">
        <v>121</v>
      </c>
      <c r="L517" s="14">
        <f>J517+ROUND(K517, 2)</f>
        <v>121</v>
      </c>
      <c r="M517" s="14">
        <v>0</v>
      </c>
      <c r="N517" s="14">
        <f>ROUND(I517*ROUND(K517, 2), 2)</f>
        <v>242000</v>
      </c>
      <c r="O517" s="14">
        <f>M517+N517</f>
        <v>242000</v>
      </c>
      <c r="P517" s="14">
        <v>0</v>
      </c>
      <c r="Q517" s="16">
        <v>181.5</v>
      </c>
      <c r="R517" s="14">
        <f>P517+ROUND(Q517, 2)</f>
        <v>181.5</v>
      </c>
      <c r="S517" s="14">
        <v>0</v>
      </c>
      <c r="T517" s="14">
        <f>ROUND(I517*ROUND(Q517, 2), 2)</f>
        <v>363000</v>
      </c>
      <c r="U517" s="14">
        <f>S517+T517</f>
        <v>363000</v>
      </c>
      <c r="V517" s="9"/>
      <c r="W517" s="9">
        <f t="shared" si="22"/>
        <v>151.25</v>
      </c>
      <c r="X517" s="9">
        <f t="shared" si="22"/>
        <v>151.25</v>
      </c>
      <c r="Y517" s="9"/>
      <c r="Z517" s="9">
        <f>ROUND(T517 / 1.2, 2)</f>
        <v>302500</v>
      </c>
      <c r="AA517" s="9" t="e">
        <f>Y517+Z517</f>
        <v>#VALUE!</v>
      </c>
      <c r="AD517" s="4">
        <v>304337705</v>
      </c>
      <c r="AE517" s="4">
        <v>21950000</v>
      </c>
      <c r="AG517" s="4" t="s">
        <v>2014</v>
      </c>
      <c r="AH517" s="4" t="s">
        <v>2015</v>
      </c>
      <c r="AI517" s="4" t="s">
        <v>260</v>
      </c>
    </row>
    <row r="518" spans="1:35" ht="36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3">
        <v>0</v>
      </c>
      <c r="J518" s="14">
        <f>IFERROR(ROUND(SUM(M519)/I518, 2),0)</f>
        <v>0</v>
      </c>
      <c r="K518" s="15">
        <v>1724</v>
      </c>
      <c r="L518" s="14">
        <f>J518+ROUND(K518, 2)</f>
        <v>1724</v>
      </c>
      <c r="M518" s="14">
        <f>ROUND(J518*I518, 2)</f>
        <v>0</v>
      </c>
      <c r="N518" s="14">
        <f>ROUND(I518*ROUND(K518, 2), 2)</f>
        <v>0</v>
      </c>
      <c r="O518" s="14">
        <f>M518+N518</f>
        <v>0</v>
      </c>
      <c r="P518" s="14">
        <f>IFERROR(ROUND(SUM(S519)/I518, 2),0)</f>
        <v>0</v>
      </c>
      <c r="Q518" s="15">
        <v>1724</v>
      </c>
      <c r="R518" s="14">
        <f>P518+ROUND(Q518, 2)</f>
        <v>1724</v>
      </c>
      <c r="S518" s="14">
        <f>ROUND(P518*I518, 2)</f>
        <v>0</v>
      </c>
      <c r="T518" s="14">
        <f>ROUND(I518*ROUND(Q518, 2), 2)</f>
        <v>0</v>
      </c>
      <c r="U518" s="14">
        <f>S518+T518</f>
        <v>0</v>
      </c>
      <c r="V518" s="9">
        <f>ROUND(P518 / 1.2, 2)</f>
        <v>0</v>
      </c>
      <c r="W518" s="9">
        <f t="shared" si="22"/>
        <v>1436.67</v>
      </c>
      <c r="X518" s="9">
        <f t="shared" si="22"/>
        <v>1436.67</v>
      </c>
      <c r="Y518" s="9">
        <f t="shared" ref="Y518:Y565" si="23">ROUND(S518 / 1.2, 2)</f>
        <v>0</v>
      </c>
      <c r="Z518" s="9">
        <f>ROUND(T518 / 1.2, 2)</f>
        <v>0</v>
      </c>
      <c r="AA518" s="9">
        <f>Y518+Z518</f>
        <v>0</v>
      </c>
      <c r="AD518" s="4">
        <v>304337590</v>
      </c>
      <c r="AE518" s="4">
        <v>20347730</v>
      </c>
      <c r="AG518" s="4" t="s">
        <v>2021</v>
      </c>
      <c r="AH518" s="4" t="s">
        <v>2022</v>
      </c>
      <c r="AI518" s="4" t="s">
        <v>260</v>
      </c>
    </row>
    <row r="519" spans="1:35" ht="36" x14ac:dyDescent="0.3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30">
        <v>0</v>
      </c>
      <c r="J519" s="31">
        <v>0</v>
      </c>
      <c r="M519" s="32">
        <f>ROUND(ROUND(J519, 2)*I519, 2)</f>
        <v>0</v>
      </c>
      <c r="P519" s="31">
        <v>1310</v>
      </c>
      <c r="S519" s="32">
        <f>ROUND(ROUND(P519, 2)*I519, 2)</f>
        <v>0</v>
      </c>
      <c r="V519" s="9">
        <f>ROUND(ROUND(P519, 2)/1.2, 2)</f>
        <v>1091.67</v>
      </c>
      <c r="Y519" s="9">
        <f t="shared" si="23"/>
        <v>0</v>
      </c>
      <c r="AD519" s="4" t="s">
        <v>2027</v>
      </c>
      <c r="AE519" s="4" t="s">
        <v>2028</v>
      </c>
      <c r="AF519" s="4" t="s">
        <v>2029</v>
      </c>
    </row>
    <row r="520" spans="1:35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3">
        <v>13.5</v>
      </c>
      <c r="J520" s="14">
        <f>IFERROR(ROUND(SUM(M521)/I520, 2),0)</f>
        <v>0</v>
      </c>
      <c r="K520" s="15">
        <v>1724</v>
      </c>
      <c r="L520" s="14">
        <f>J520+ROUND(K520, 2)</f>
        <v>1724</v>
      </c>
      <c r="M520" s="14">
        <f>ROUND(J520*I520, 2)</f>
        <v>0</v>
      </c>
      <c r="N520" s="14">
        <f>ROUND(I520*ROUND(K520, 2), 2)</f>
        <v>23274</v>
      </c>
      <c r="O520" s="14">
        <f>M520+N520</f>
        <v>23274</v>
      </c>
      <c r="P520" s="14">
        <f>IFERROR(ROUND(SUM(S521)/I520, 2),0)</f>
        <v>1310</v>
      </c>
      <c r="Q520" s="16">
        <v>2586</v>
      </c>
      <c r="R520" s="14">
        <f>P520+ROUND(Q520, 2)</f>
        <v>3896</v>
      </c>
      <c r="S520" s="14">
        <f>ROUND(P520*I520, 2)</f>
        <v>17685</v>
      </c>
      <c r="T520" s="14">
        <f>ROUND(I520*ROUND(Q520, 2), 2)</f>
        <v>34911</v>
      </c>
      <c r="U520" s="14">
        <f>S520+T520</f>
        <v>52596</v>
      </c>
      <c r="V520" s="9">
        <f>ROUND(P520 / 1.2, 2)</f>
        <v>1091.67</v>
      </c>
      <c r="W520" s="9">
        <f>ROUND(Q520 / 1.2, 2)</f>
        <v>2155</v>
      </c>
      <c r="X520" s="9">
        <f>ROUND(R520 / 1.2, 2)</f>
        <v>3246.67</v>
      </c>
      <c r="Y520" s="9">
        <f t="shared" si="23"/>
        <v>14737.5</v>
      </c>
      <c r="Z520" s="9">
        <f>ROUND(T520 / 1.2, 2)</f>
        <v>29092.5</v>
      </c>
      <c r="AA520" s="9">
        <f>Y520+Z520</f>
        <v>43830</v>
      </c>
      <c r="AD520" s="4">
        <v>304337706</v>
      </c>
      <c r="AE520" s="4">
        <v>20867315</v>
      </c>
      <c r="AG520" s="4" t="s">
        <v>2021</v>
      </c>
      <c r="AH520" s="4" t="s">
        <v>2022</v>
      </c>
      <c r="AI520" s="4" t="s">
        <v>260</v>
      </c>
    </row>
    <row r="521" spans="1:35" ht="36" x14ac:dyDescent="0.3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30">
        <v>13.5</v>
      </c>
      <c r="J521" s="31">
        <v>0</v>
      </c>
      <c r="M521" s="32">
        <f>ROUND(ROUND(J521, 2)*I521, 2)</f>
        <v>0</v>
      </c>
      <c r="P521" s="33">
        <v>1310</v>
      </c>
      <c r="S521" s="32">
        <f>ROUND(ROUND(P521, 2)*I521, 2)</f>
        <v>17685</v>
      </c>
      <c r="V521" s="9">
        <f>ROUND(ROUND(P521, 2)/1.2, 2)</f>
        <v>1091.67</v>
      </c>
      <c r="Y521" s="9">
        <f t="shared" si="23"/>
        <v>14737.5</v>
      </c>
      <c r="AD521" s="4" t="s">
        <v>2034</v>
      </c>
      <c r="AE521" s="4" t="s">
        <v>2035</v>
      </c>
      <c r="AF521" s="4" t="s">
        <v>2029</v>
      </c>
    </row>
    <row r="522" spans="1:35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3">
        <v>0</v>
      </c>
      <c r="J522" s="14">
        <f>IFERROR(ROUND(SUM(M523,M524,M525,M526,M527,M528,M529,M530,M531,M532,M533,M534,M535)/I522, 2),0)</f>
        <v>0</v>
      </c>
      <c r="K522" s="15">
        <v>1379</v>
      </c>
      <c r="L522" s="14">
        <f>J522+ROUND(K522, 2)</f>
        <v>1379</v>
      </c>
      <c r="M522" s="14">
        <f>ROUND(J522*I522, 2)</f>
        <v>0</v>
      </c>
      <c r="N522" s="14">
        <f>ROUND(I522*ROUND(K522, 2), 2)</f>
        <v>0</v>
      </c>
      <c r="O522" s="14">
        <f>M522+N522</f>
        <v>0</v>
      </c>
      <c r="P522" s="14">
        <f>IFERROR(ROUND(SUM(S523,S524,S525,S526,S527,S528,S529,S530,S531,S532,S533,S534,S535)/I522, 2),0)</f>
        <v>0</v>
      </c>
      <c r="Q522" s="15">
        <v>1379</v>
      </c>
      <c r="R522" s="14">
        <f>P522+ROUND(Q522, 2)</f>
        <v>1379</v>
      </c>
      <c r="S522" s="14">
        <f>ROUND(P522*I522, 2)</f>
        <v>0</v>
      </c>
      <c r="T522" s="14">
        <f>ROUND(I522*ROUND(Q522, 2), 2)</f>
        <v>0</v>
      </c>
      <c r="U522" s="14">
        <f>S522+T522</f>
        <v>0</v>
      </c>
      <c r="V522" s="9">
        <f>ROUND(P522 / 1.2, 2)</f>
        <v>0</v>
      </c>
      <c r="W522" s="9">
        <f>ROUND(Q522 / 1.2, 2)</f>
        <v>1149.17</v>
      </c>
      <c r="X522" s="9">
        <f>ROUND(R522 / 1.2, 2)</f>
        <v>1149.17</v>
      </c>
      <c r="Y522" s="9">
        <f t="shared" si="23"/>
        <v>0</v>
      </c>
      <c r="Z522" s="9">
        <f>ROUND(T522 / 1.2, 2)</f>
        <v>0</v>
      </c>
      <c r="AA522" s="9">
        <f>Y522+Z522</f>
        <v>0</v>
      </c>
      <c r="AD522" s="4">
        <v>304337591</v>
      </c>
      <c r="AE522" s="4">
        <v>20347725</v>
      </c>
      <c r="AG522" s="4" t="s">
        <v>2039</v>
      </c>
      <c r="AH522" s="4" t="s">
        <v>2040</v>
      </c>
      <c r="AI522" s="4" t="s">
        <v>260</v>
      </c>
    </row>
    <row r="523" spans="1:35" ht="18" x14ac:dyDescent="0.3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30">
        <v>0</v>
      </c>
      <c r="J523" s="31">
        <v>0.95</v>
      </c>
      <c r="M523" s="32">
        <f t="shared" ref="M523:M535" si="24">ROUND(ROUND(J523, 2)*I523, 2)</f>
        <v>0</v>
      </c>
      <c r="P523" s="31">
        <v>0.95</v>
      </c>
      <c r="S523" s="32">
        <f t="shared" ref="S523:S535" si="25">ROUND(ROUND(P523, 2)*I523, 2)</f>
        <v>0</v>
      </c>
      <c r="V523" s="9">
        <f t="shared" ref="V523:V535" si="26">ROUND(ROUND(P523, 2)/1.2, 2)</f>
        <v>0.79</v>
      </c>
      <c r="Y523" s="9">
        <f t="shared" si="23"/>
        <v>0</v>
      </c>
      <c r="AD523" s="4" t="s">
        <v>2045</v>
      </c>
      <c r="AE523" s="4" t="s">
        <v>2046</v>
      </c>
      <c r="AF523" s="4" t="s">
        <v>2047</v>
      </c>
    </row>
    <row r="524" spans="1:35" ht="18" x14ac:dyDescent="0.3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30">
        <v>0</v>
      </c>
      <c r="J524" s="31">
        <v>0.28000000000000003</v>
      </c>
      <c r="M524" s="32">
        <f t="shared" si="24"/>
        <v>0</v>
      </c>
      <c r="P524" s="31">
        <v>0.28000000000000003</v>
      </c>
      <c r="S524" s="32">
        <f t="shared" si="25"/>
        <v>0</v>
      </c>
      <c r="V524" s="9">
        <f t="shared" si="26"/>
        <v>0.23</v>
      </c>
      <c r="Y524" s="9">
        <f t="shared" si="23"/>
        <v>0</v>
      </c>
      <c r="AD524" s="4" t="s">
        <v>2052</v>
      </c>
      <c r="AE524" s="4" t="s">
        <v>2053</v>
      </c>
      <c r="AF524" s="4" t="s">
        <v>2054</v>
      </c>
    </row>
    <row r="525" spans="1:35" ht="18" x14ac:dyDescent="0.3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30">
        <v>0</v>
      </c>
      <c r="J525" s="31">
        <v>55</v>
      </c>
      <c r="M525" s="32">
        <f t="shared" si="24"/>
        <v>0</v>
      </c>
      <c r="P525" s="31">
        <v>55</v>
      </c>
      <c r="S525" s="32">
        <f t="shared" si="25"/>
        <v>0</v>
      </c>
      <c r="V525" s="9">
        <f t="shared" si="26"/>
        <v>45.83</v>
      </c>
      <c r="Y525" s="9">
        <f t="shared" si="23"/>
        <v>0</v>
      </c>
      <c r="AD525" s="4" t="s">
        <v>2059</v>
      </c>
      <c r="AE525" s="4" t="s">
        <v>2060</v>
      </c>
      <c r="AF525" s="4" t="s">
        <v>2061</v>
      </c>
    </row>
    <row r="526" spans="1:35" ht="18" x14ac:dyDescent="0.3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30">
        <v>0</v>
      </c>
      <c r="J526" s="31">
        <v>5.6</v>
      </c>
      <c r="M526" s="32">
        <f t="shared" si="24"/>
        <v>0</v>
      </c>
      <c r="P526" s="31">
        <v>5.6</v>
      </c>
      <c r="S526" s="32">
        <f t="shared" si="25"/>
        <v>0</v>
      </c>
      <c r="V526" s="9">
        <f t="shared" si="26"/>
        <v>4.67</v>
      </c>
      <c r="Y526" s="9">
        <f t="shared" si="23"/>
        <v>0</v>
      </c>
      <c r="AD526" s="4" t="s">
        <v>2066</v>
      </c>
      <c r="AE526" s="4" t="s">
        <v>2067</v>
      </c>
      <c r="AF526" s="4" t="s">
        <v>2068</v>
      </c>
    </row>
    <row r="527" spans="1:35" ht="36" x14ac:dyDescent="0.3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30">
        <v>0</v>
      </c>
      <c r="J527" s="31">
        <v>15.9</v>
      </c>
      <c r="M527" s="32">
        <f t="shared" si="24"/>
        <v>0</v>
      </c>
      <c r="P527" s="31">
        <v>15.9</v>
      </c>
      <c r="S527" s="32">
        <f t="shared" si="25"/>
        <v>0</v>
      </c>
      <c r="V527" s="9">
        <f t="shared" si="26"/>
        <v>13.25</v>
      </c>
      <c r="Y527" s="9">
        <f t="shared" si="23"/>
        <v>0</v>
      </c>
      <c r="AD527" s="4" t="s">
        <v>2073</v>
      </c>
      <c r="AE527" s="4" t="s">
        <v>2074</v>
      </c>
      <c r="AF527" s="4" t="s">
        <v>2075</v>
      </c>
    </row>
    <row r="528" spans="1:35" ht="18" x14ac:dyDescent="0.3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30">
        <v>0</v>
      </c>
      <c r="J528" s="31">
        <v>22.82</v>
      </c>
      <c r="M528" s="32">
        <f t="shared" si="24"/>
        <v>0</v>
      </c>
      <c r="P528" s="31">
        <v>22.82</v>
      </c>
      <c r="S528" s="32">
        <f t="shared" si="25"/>
        <v>0</v>
      </c>
      <c r="V528" s="9">
        <f t="shared" si="26"/>
        <v>19.02</v>
      </c>
      <c r="Y528" s="9">
        <f t="shared" si="23"/>
        <v>0</v>
      </c>
      <c r="AD528" s="4" t="s">
        <v>2080</v>
      </c>
      <c r="AE528" s="4" t="s">
        <v>2081</v>
      </c>
      <c r="AF528" s="4" t="s">
        <v>2082</v>
      </c>
    </row>
    <row r="529" spans="1:35" ht="18" x14ac:dyDescent="0.3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30">
        <v>0</v>
      </c>
      <c r="J529" s="31">
        <v>66.98</v>
      </c>
      <c r="M529" s="32">
        <f t="shared" si="24"/>
        <v>0</v>
      </c>
      <c r="P529" s="31">
        <v>66.98</v>
      </c>
      <c r="S529" s="32">
        <f t="shared" si="25"/>
        <v>0</v>
      </c>
      <c r="V529" s="9">
        <f t="shared" si="26"/>
        <v>55.82</v>
      </c>
      <c r="Y529" s="9">
        <f t="shared" si="23"/>
        <v>0</v>
      </c>
      <c r="AD529" s="4" t="s">
        <v>2087</v>
      </c>
      <c r="AE529" s="4" t="s">
        <v>2088</v>
      </c>
      <c r="AF529" s="4" t="s">
        <v>2089</v>
      </c>
    </row>
    <row r="530" spans="1:35" ht="18" x14ac:dyDescent="0.3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30">
        <v>0</v>
      </c>
      <c r="J530" s="31">
        <v>4.92</v>
      </c>
      <c r="M530" s="32">
        <f t="shared" si="24"/>
        <v>0</v>
      </c>
      <c r="P530" s="31">
        <v>4.92</v>
      </c>
      <c r="S530" s="32">
        <f t="shared" si="25"/>
        <v>0</v>
      </c>
      <c r="V530" s="9">
        <f t="shared" si="26"/>
        <v>4.0999999999999996</v>
      </c>
      <c r="Y530" s="9">
        <f t="shared" si="23"/>
        <v>0</v>
      </c>
      <c r="AD530" s="4" t="s">
        <v>2094</v>
      </c>
      <c r="AE530" s="4" t="s">
        <v>2095</v>
      </c>
      <c r="AF530" s="4" t="s">
        <v>2096</v>
      </c>
    </row>
    <row r="531" spans="1:35" ht="36" x14ac:dyDescent="0.3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30">
        <v>0</v>
      </c>
      <c r="J531" s="31">
        <v>0</v>
      </c>
      <c r="M531" s="32">
        <f t="shared" si="24"/>
        <v>0</v>
      </c>
      <c r="P531" s="31">
        <v>1520.33</v>
      </c>
      <c r="S531" s="32">
        <f t="shared" si="25"/>
        <v>0</v>
      </c>
      <c r="V531" s="9">
        <f t="shared" si="26"/>
        <v>1266.94</v>
      </c>
      <c r="Y531" s="9">
        <f t="shared" si="23"/>
        <v>0</v>
      </c>
      <c r="AD531" s="4" t="s">
        <v>2100</v>
      </c>
      <c r="AE531" s="4" t="s">
        <v>2101</v>
      </c>
      <c r="AF531" s="4" t="s">
        <v>1724</v>
      </c>
    </row>
    <row r="532" spans="1:35" ht="18" x14ac:dyDescent="0.3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30">
        <v>0</v>
      </c>
      <c r="J532" s="31">
        <v>4.5999999999999996</v>
      </c>
      <c r="M532" s="32">
        <f t="shared" si="24"/>
        <v>0</v>
      </c>
      <c r="P532" s="31">
        <v>4.5999999999999996</v>
      </c>
      <c r="S532" s="32">
        <f t="shared" si="25"/>
        <v>0</v>
      </c>
      <c r="V532" s="9">
        <f t="shared" si="26"/>
        <v>3.83</v>
      </c>
      <c r="Y532" s="9">
        <f t="shared" si="23"/>
        <v>0</v>
      </c>
      <c r="AD532" s="4" t="s">
        <v>2106</v>
      </c>
      <c r="AE532" s="4" t="s">
        <v>2107</v>
      </c>
      <c r="AF532" s="4" t="s">
        <v>2108</v>
      </c>
    </row>
    <row r="533" spans="1:35" ht="18" x14ac:dyDescent="0.3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30">
        <v>0</v>
      </c>
      <c r="J533" s="31">
        <v>2.8</v>
      </c>
      <c r="M533" s="32">
        <f t="shared" si="24"/>
        <v>0</v>
      </c>
      <c r="P533" s="31">
        <v>2.8</v>
      </c>
      <c r="S533" s="32">
        <f t="shared" si="25"/>
        <v>0</v>
      </c>
      <c r="V533" s="9">
        <f t="shared" si="26"/>
        <v>2.33</v>
      </c>
      <c r="Y533" s="9">
        <f t="shared" si="23"/>
        <v>0</v>
      </c>
      <c r="AD533" s="4" t="s">
        <v>2113</v>
      </c>
      <c r="AE533" s="4" t="s">
        <v>2114</v>
      </c>
      <c r="AF533" s="4" t="s">
        <v>2115</v>
      </c>
    </row>
    <row r="534" spans="1:35" ht="36" x14ac:dyDescent="0.3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30">
        <v>0</v>
      </c>
      <c r="J534" s="31">
        <v>88.8</v>
      </c>
      <c r="M534" s="32">
        <f t="shared" si="24"/>
        <v>0</v>
      </c>
      <c r="P534" s="31">
        <v>88.8</v>
      </c>
      <c r="S534" s="32">
        <f t="shared" si="25"/>
        <v>0</v>
      </c>
      <c r="V534" s="9">
        <f t="shared" si="26"/>
        <v>74</v>
      </c>
      <c r="Y534" s="9">
        <f t="shared" si="23"/>
        <v>0</v>
      </c>
      <c r="AD534" s="4" t="s">
        <v>2119</v>
      </c>
      <c r="AE534" s="4" t="s">
        <v>2120</v>
      </c>
      <c r="AF534" s="4" t="s">
        <v>559</v>
      </c>
    </row>
    <row r="535" spans="1:35" ht="18" x14ac:dyDescent="0.3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30">
        <v>0</v>
      </c>
      <c r="J535" s="31">
        <v>2.8</v>
      </c>
      <c r="M535" s="32">
        <f t="shared" si="24"/>
        <v>0</v>
      </c>
      <c r="P535" s="31">
        <v>2.8</v>
      </c>
      <c r="S535" s="32">
        <f t="shared" si="25"/>
        <v>0</v>
      </c>
      <c r="V535" s="9">
        <f t="shared" si="26"/>
        <v>2.33</v>
      </c>
      <c r="Y535" s="9">
        <f t="shared" si="23"/>
        <v>0</v>
      </c>
      <c r="AD535" s="4" t="s">
        <v>2125</v>
      </c>
      <c r="AE535" s="4" t="s">
        <v>2126</v>
      </c>
      <c r="AF535" s="4" t="s">
        <v>2127</v>
      </c>
    </row>
    <row r="536" spans="1:35" ht="234" x14ac:dyDescent="0.3">
      <c r="A536" s="10" t="s">
        <v>2130</v>
      </c>
      <c r="B536" s="10" t="s">
        <v>2037</v>
      </c>
      <c r="C536" s="11" t="s">
        <v>2038</v>
      </c>
      <c r="D536" s="12"/>
      <c r="E536" s="12" t="s">
        <v>2042</v>
      </c>
      <c r="F536" s="12" t="s">
        <v>59</v>
      </c>
      <c r="G536" s="13">
        <v>1</v>
      </c>
      <c r="H536" s="13"/>
      <c r="I536" s="13">
        <v>921.3</v>
      </c>
      <c r="J536" s="14">
        <f>IFERROR(ROUND(SUM(M537,M538,M539,M540,M541,M542,M543,M544,M545,M546,M547,M548,M549)/I536, 2),0)</f>
        <v>480.18</v>
      </c>
      <c r="K536" s="15">
        <v>1379</v>
      </c>
      <c r="L536" s="14">
        <f>J536+ROUND(K536, 2)</f>
        <v>1859.18</v>
      </c>
      <c r="M536" s="14">
        <f>ROUND(J536*I536, 2)</f>
        <v>442389.83</v>
      </c>
      <c r="N536" s="14">
        <f>ROUND(I536*ROUND(K536, 2), 2)</f>
        <v>1270472.7</v>
      </c>
      <c r="O536" s="14">
        <f>M536+N536</f>
        <v>1712862.53</v>
      </c>
      <c r="P536" s="14">
        <f>IFERROR(ROUND(SUM(S537,S538,S539,S540,S541,S542,S543,S544,S545,S546,S547,S548,S549)/I536, 2),0)</f>
        <v>2076.5300000000002</v>
      </c>
      <c r="Q536" s="16">
        <v>2068.5</v>
      </c>
      <c r="R536" s="14">
        <f>P536+ROUND(Q536, 2)</f>
        <v>4145.03</v>
      </c>
      <c r="S536" s="14">
        <f>ROUND(P536*I536, 2)</f>
        <v>1913107.09</v>
      </c>
      <c r="T536" s="14">
        <f>ROUND(I536*ROUND(Q536, 2), 2)</f>
        <v>1905709.05</v>
      </c>
      <c r="U536" s="14">
        <f>S536+T536</f>
        <v>3818816.14</v>
      </c>
      <c r="V536" s="9">
        <f>ROUND(P536 / 1.2, 2)</f>
        <v>1730.44</v>
      </c>
      <c r="W536" s="9">
        <f>ROUND(Q536 / 1.2, 2)</f>
        <v>1723.75</v>
      </c>
      <c r="X536" s="9">
        <f>ROUND(R536 / 1.2, 2)</f>
        <v>3454.19</v>
      </c>
      <c r="Y536" s="9">
        <f t="shared" si="23"/>
        <v>1594255.91</v>
      </c>
      <c r="Z536" s="9">
        <f>ROUND(T536 / 1.2, 2)</f>
        <v>1588090.8799999999</v>
      </c>
      <c r="AA536" s="9">
        <f>Y536+Z536</f>
        <v>3182346.79</v>
      </c>
      <c r="AD536" s="4">
        <v>304337707</v>
      </c>
      <c r="AE536" s="4">
        <v>21950038</v>
      </c>
      <c r="AG536" s="4" t="s">
        <v>2039</v>
      </c>
      <c r="AH536" s="4" t="s">
        <v>2040</v>
      </c>
      <c r="AI536" s="4" t="s">
        <v>260</v>
      </c>
    </row>
    <row r="537" spans="1:35" ht="18" x14ac:dyDescent="0.3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30">
        <v>690.97500000000002</v>
      </c>
      <c r="J537" s="31">
        <v>2.8</v>
      </c>
      <c r="M537" s="32">
        <f t="shared" ref="M537:M549" si="27">ROUND(ROUND(J537, 2)*I537, 2)</f>
        <v>1934.73</v>
      </c>
      <c r="P537" s="33">
        <v>2.8</v>
      </c>
      <c r="S537" s="32">
        <f t="shared" ref="S537:S549" si="28">ROUND(ROUND(P537, 2)*I537, 2)</f>
        <v>1934.73</v>
      </c>
      <c r="V537" s="9">
        <f t="shared" ref="V537:V549" si="29">ROUND(ROUND(P537, 2)/1.2, 2)</f>
        <v>2.33</v>
      </c>
      <c r="Y537" s="9">
        <f t="shared" si="23"/>
        <v>1612.28</v>
      </c>
      <c r="AD537" s="4" t="s">
        <v>2132</v>
      </c>
      <c r="AE537" s="4" t="s">
        <v>2133</v>
      </c>
      <c r="AF537" s="4" t="s">
        <v>2127</v>
      </c>
    </row>
    <row r="538" spans="1:35" ht="36" x14ac:dyDescent="0.3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30">
        <v>92.13</v>
      </c>
      <c r="J538" s="31">
        <v>88.8</v>
      </c>
      <c r="M538" s="32">
        <f t="shared" si="27"/>
        <v>8181.14</v>
      </c>
      <c r="P538" s="33">
        <v>88.8</v>
      </c>
      <c r="S538" s="32">
        <f t="shared" si="28"/>
        <v>8181.14</v>
      </c>
      <c r="V538" s="9">
        <f t="shared" si="29"/>
        <v>74</v>
      </c>
      <c r="Y538" s="9">
        <f t="shared" si="23"/>
        <v>6817.62</v>
      </c>
      <c r="AD538" s="4" t="s">
        <v>2135</v>
      </c>
      <c r="AE538" s="4" t="s">
        <v>2136</v>
      </c>
      <c r="AF538" s="4" t="s">
        <v>559</v>
      </c>
    </row>
    <row r="539" spans="1:35" ht="18" x14ac:dyDescent="0.3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30">
        <v>230.32499999999999</v>
      </c>
      <c r="J539" s="31">
        <v>2.8</v>
      </c>
      <c r="M539" s="32">
        <f t="shared" si="27"/>
        <v>644.91</v>
      </c>
      <c r="P539" s="33">
        <v>2.8</v>
      </c>
      <c r="S539" s="32">
        <f t="shared" si="28"/>
        <v>644.91</v>
      </c>
      <c r="V539" s="9">
        <f t="shared" si="29"/>
        <v>2.33</v>
      </c>
      <c r="Y539" s="9">
        <f t="shared" si="23"/>
        <v>537.42999999999995</v>
      </c>
      <c r="AD539" s="4" t="s">
        <v>2138</v>
      </c>
      <c r="AE539" s="4" t="s">
        <v>2139</v>
      </c>
      <c r="AF539" s="4" t="s">
        <v>2115</v>
      </c>
    </row>
    <row r="540" spans="1:35" ht="18" x14ac:dyDescent="0.3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30">
        <v>967.36500000000001</v>
      </c>
      <c r="J540" s="31">
        <v>4.5999999999999996</v>
      </c>
      <c r="M540" s="32">
        <f t="shared" si="27"/>
        <v>4449.88</v>
      </c>
      <c r="P540" s="33">
        <v>4.5999999999999996</v>
      </c>
      <c r="S540" s="32">
        <f t="shared" si="28"/>
        <v>4449.88</v>
      </c>
      <c r="V540" s="9">
        <f t="shared" si="29"/>
        <v>3.83</v>
      </c>
      <c r="Y540" s="9">
        <f t="shared" si="23"/>
        <v>3708.23</v>
      </c>
      <c r="AD540" s="4" t="s">
        <v>2141</v>
      </c>
      <c r="AE540" s="4" t="s">
        <v>2142</v>
      </c>
      <c r="AF540" s="4" t="s">
        <v>2108</v>
      </c>
    </row>
    <row r="541" spans="1:35" ht="36" x14ac:dyDescent="0.3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30">
        <v>967.36500000000001</v>
      </c>
      <c r="J541" s="31">
        <v>0</v>
      </c>
      <c r="M541" s="32">
        <f t="shared" si="27"/>
        <v>0</v>
      </c>
      <c r="P541" s="33">
        <v>1520.33</v>
      </c>
      <c r="S541" s="32">
        <f t="shared" si="28"/>
        <v>1470714.03</v>
      </c>
      <c r="V541" s="9">
        <f t="shared" si="29"/>
        <v>1266.94</v>
      </c>
      <c r="Y541" s="9">
        <f t="shared" si="23"/>
        <v>1225595.03</v>
      </c>
      <c r="AD541" s="4" t="s">
        <v>2144</v>
      </c>
      <c r="AE541" s="4" t="s">
        <v>2145</v>
      </c>
      <c r="AF541" s="4" t="s">
        <v>1724</v>
      </c>
    </row>
    <row r="542" spans="1:35" ht="18" x14ac:dyDescent="0.3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30">
        <v>3869.46</v>
      </c>
      <c r="J542" s="31">
        <v>4.92</v>
      </c>
      <c r="M542" s="32">
        <f t="shared" si="27"/>
        <v>19037.740000000002</v>
      </c>
      <c r="P542" s="33">
        <v>4.92</v>
      </c>
      <c r="S542" s="32">
        <f t="shared" si="28"/>
        <v>19037.740000000002</v>
      </c>
      <c r="V542" s="9">
        <f t="shared" si="29"/>
        <v>4.0999999999999996</v>
      </c>
      <c r="Y542" s="9">
        <f t="shared" si="23"/>
        <v>15864.78</v>
      </c>
      <c r="AD542" s="4" t="s">
        <v>2147</v>
      </c>
      <c r="AE542" s="4" t="s">
        <v>2148</v>
      </c>
      <c r="AF542" s="4" t="s">
        <v>2096</v>
      </c>
    </row>
    <row r="543" spans="1:35" ht="18" x14ac:dyDescent="0.3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30">
        <v>1105.56</v>
      </c>
      <c r="J543" s="31">
        <v>22.82</v>
      </c>
      <c r="M543" s="32">
        <f t="shared" si="27"/>
        <v>25228.880000000001</v>
      </c>
      <c r="P543" s="33">
        <v>22.82</v>
      </c>
      <c r="S543" s="32">
        <f t="shared" si="28"/>
        <v>25228.880000000001</v>
      </c>
      <c r="V543" s="9">
        <f t="shared" si="29"/>
        <v>19.02</v>
      </c>
      <c r="Y543" s="9">
        <f t="shared" si="23"/>
        <v>21024.07</v>
      </c>
      <c r="AD543" s="4" t="s">
        <v>2150</v>
      </c>
      <c r="AE543" s="4" t="s">
        <v>2151</v>
      </c>
      <c r="AF543" s="4" t="s">
        <v>2082</v>
      </c>
    </row>
    <row r="544" spans="1:35" ht="18" x14ac:dyDescent="0.3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30">
        <v>4330.1099999999997</v>
      </c>
      <c r="J544" s="31">
        <v>66.98</v>
      </c>
      <c r="M544" s="32">
        <f t="shared" si="27"/>
        <v>290030.77</v>
      </c>
      <c r="P544" s="33">
        <v>66.98</v>
      </c>
      <c r="S544" s="32">
        <f t="shared" si="28"/>
        <v>290030.77</v>
      </c>
      <c r="V544" s="9">
        <f t="shared" si="29"/>
        <v>55.82</v>
      </c>
      <c r="Y544" s="9">
        <f t="shared" si="23"/>
        <v>241692.31</v>
      </c>
      <c r="AD544" s="4" t="s">
        <v>2153</v>
      </c>
      <c r="AE544" s="4" t="s">
        <v>2154</v>
      </c>
      <c r="AF544" s="4" t="s">
        <v>2089</v>
      </c>
    </row>
    <row r="545" spans="1:35" ht="36" x14ac:dyDescent="0.3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30">
        <v>3316.68</v>
      </c>
      <c r="J545" s="31">
        <v>15.9</v>
      </c>
      <c r="M545" s="32">
        <f t="shared" si="27"/>
        <v>52735.21</v>
      </c>
      <c r="P545" s="33">
        <v>15.9</v>
      </c>
      <c r="S545" s="32">
        <f t="shared" si="28"/>
        <v>52735.21</v>
      </c>
      <c r="V545" s="9">
        <f t="shared" si="29"/>
        <v>13.25</v>
      </c>
      <c r="Y545" s="9">
        <f t="shared" si="23"/>
        <v>43946.01</v>
      </c>
      <c r="AD545" s="4" t="s">
        <v>2156</v>
      </c>
      <c r="AE545" s="4" t="s">
        <v>2157</v>
      </c>
      <c r="AF545" s="4" t="s">
        <v>2075</v>
      </c>
    </row>
    <row r="546" spans="1:35" ht="18" x14ac:dyDescent="0.3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30">
        <v>276.39</v>
      </c>
      <c r="J546" s="31">
        <v>5.6</v>
      </c>
      <c r="M546" s="32">
        <f t="shared" si="27"/>
        <v>1547.78</v>
      </c>
      <c r="P546" s="33">
        <v>5.6</v>
      </c>
      <c r="S546" s="32">
        <f t="shared" si="28"/>
        <v>1547.78</v>
      </c>
      <c r="V546" s="9">
        <f t="shared" si="29"/>
        <v>4.67</v>
      </c>
      <c r="Y546" s="9">
        <f t="shared" si="23"/>
        <v>1289.82</v>
      </c>
      <c r="AD546" s="4" t="s">
        <v>2159</v>
      </c>
      <c r="AE546" s="4" t="s">
        <v>2160</v>
      </c>
      <c r="AF546" s="4" t="s">
        <v>2068</v>
      </c>
    </row>
    <row r="547" spans="1:35" ht="18" x14ac:dyDescent="0.3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30">
        <v>322.45499999999998</v>
      </c>
      <c r="J547" s="31">
        <v>55</v>
      </c>
      <c r="M547" s="32">
        <f t="shared" si="27"/>
        <v>17735.03</v>
      </c>
      <c r="P547" s="33">
        <v>55</v>
      </c>
      <c r="S547" s="32">
        <f t="shared" si="28"/>
        <v>17735.03</v>
      </c>
      <c r="V547" s="9">
        <f t="shared" si="29"/>
        <v>45.83</v>
      </c>
      <c r="Y547" s="9">
        <f t="shared" si="23"/>
        <v>14779.19</v>
      </c>
      <c r="AD547" s="4" t="s">
        <v>2162</v>
      </c>
      <c r="AE547" s="4" t="s">
        <v>2163</v>
      </c>
      <c r="AF547" s="4" t="s">
        <v>2061</v>
      </c>
    </row>
    <row r="548" spans="1:35" ht="18" x14ac:dyDescent="0.3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30">
        <v>27639</v>
      </c>
      <c r="J548" s="31">
        <v>0.28000000000000003</v>
      </c>
      <c r="M548" s="32">
        <f t="shared" si="27"/>
        <v>7738.92</v>
      </c>
      <c r="P548" s="33">
        <v>0.28000000000000003</v>
      </c>
      <c r="S548" s="32">
        <f t="shared" si="28"/>
        <v>7738.92</v>
      </c>
      <c r="V548" s="9">
        <f t="shared" si="29"/>
        <v>0.23</v>
      </c>
      <c r="Y548" s="9">
        <f t="shared" si="23"/>
        <v>6449.1</v>
      </c>
      <c r="AD548" s="4" t="s">
        <v>2165</v>
      </c>
      <c r="AE548" s="4" t="s">
        <v>2166</v>
      </c>
      <c r="AF548" s="4" t="s">
        <v>2054</v>
      </c>
    </row>
    <row r="549" spans="1:35" ht="18" x14ac:dyDescent="0.3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30">
        <v>13819.5</v>
      </c>
      <c r="J549" s="31">
        <v>0.95</v>
      </c>
      <c r="M549" s="32">
        <f t="shared" si="27"/>
        <v>13128.53</v>
      </c>
      <c r="P549" s="33">
        <v>0.95</v>
      </c>
      <c r="S549" s="32">
        <f t="shared" si="28"/>
        <v>13128.53</v>
      </c>
      <c r="V549" s="9">
        <f t="shared" si="29"/>
        <v>0.79</v>
      </c>
      <c r="Y549" s="9">
        <f t="shared" si="23"/>
        <v>10940.44</v>
      </c>
      <c r="AD549" s="4" t="s">
        <v>2168</v>
      </c>
      <c r="AE549" s="4" t="s">
        <v>2169</v>
      </c>
      <c r="AF549" s="4" t="s">
        <v>2047</v>
      </c>
    </row>
    <row r="550" spans="1:35" ht="36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3">
        <v>0</v>
      </c>
      <c r="J550" s="14">
        <f>IFERROR(ROUND(SUM(M551)/I550, 2),0)</f>
        <v>0</v>
      </c>
      <c r="K550" s="15">
        <v>963</v>
      </c>
      <c r="L550" s="14">
        <f>J550+ROUND(K550, 2)</f>
        <v>963</v>
      </c>
      <c r="M550" s="14">
        <f>ROUND(J550*I550, 2)</f>
        <v>0</v>
      </c>
      <c r="N550" s="14">
        <f>ROUND(I550*ROUND(K550, 2), 2)</f>
        <v>0</v>
      </c>
      <c r="O550" s="14">
        <f>M550+N550</f>
        <v>0</v>
      </c>
      <c r="P550" s="14">
        <f>IFERROR(ROUND(SUM(S551)/I550, 2),0)</f>
        <v>0</v>
      </c>
      <c r="Q550" s="15">
        <v>963</v>
      </c>
      <c r="R550" s="14">
        <f>P550+ROUND(Q550, 2)</f>
        <v>963</v>
      </c>
      <c r="S550" s="14">
        <f>ROUND(P550*I550, 2)</f>
        <v>0</v>
      </c>
      <c r="T550" s="14">
        <f>ROUND(I550*ROUND(Q550, 2), 2)</f>
        <v>0</v>
      </c>
      <c r="U550" s="14">
        <f>S550+T550</f>
        <v>0</v>
      </c>
      <c r="V550" s="9">
        <f>ROUND(P550 / 1.2, 2)</f>
        <v>0</v>
      </c>
      <c r="W550" s="9">
        <f>ROUND(Q550 / 1.2, 2)</f>
        <v>802.5</v>
      </c>
      <c r="X550" s="9">
        <f>ROUND(R550 / 1.2, 2)</f>
        <v>802.5</v>
      </c>
      <c r="Y550" s="9">
        <f t="shared" si="23"/>
        <v>0</v>
      </c>
      <c r="Z550" s="9">
        <f>ROUND(T550 / 1.2, 2)</f>
        <v>0</v>
      </c>
      <c r="AA550" s="9">
        <f>Y550+Z550</f>
        <v>0</v>
      </c>
      <c r="AD550" s="4">
        <v>304337592</v>
      </c>
      <c r="AE550" s="4">
        <v>20347726</v>
      </c>
      <c r="AG550" s="4" t="s">
        <v>2173</v>
      </c>
      <c r="AH550" s="4" t="s">
        <v>2174</v>
      </c>
      <c r="AI550" s="4" t="s">
        <v>260</v>
      </c>
    </row>
    <row r="551" spans="1:35" ht="36" x14ac:dyDescent="0.3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49">
        <v>0</v>
      </c>
      <c r="J551" s="31">
        <v>820.89</v>
      </c>
      <c r="M551" s="32">
        <f>ROUND(ROUND(J551, 2)*I551, 2)</f>
        <v>0</v>
      </c>
      <c r="P551" s="31">
        <v>820.89</v>
      </c>
      <c r="S551" s="32">
        <f>ROUND(ROUND(P551, 2)*I551, 2)</f>
        <v>0</v>
      </c>
      <c r="V551" s="9">
        <f>ROUND(ROUND(P551, 2)/1.2, 2)</f>
        <v>684.08</v>
      </c>
      <c r="Y551" s="9">
        <f t="shared" si="23"/>
        <v>0</v>
      </c>
      <c r="AD551" s="4" t="s">
        <v>2179</v>
      </c>
      <c r="AE551" s="4" t="s">
        <v>2180</v>
      </c>
      <c r="AF551" s="4" t="s">
        <v>2181</v>
      </c>
    </row>
    <row r="552" spans="1:35" ht="36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3">
        <v>0</v>
      </c>
      <c r="J552" s="14">
        <f>IFERROR(ROUND(SUM(M553)/I552, 2),0)</f>
        <v>0</v>
      </c>
      <c r="K552" s="15">
        <v>963</v>
      </c>
      <c r="L552" s="14">
        <f>J552+ROUND(K552, 2)</f>
        <v>963</v>
      </c>
      <c r="M552" s="14">
        <f>ROUND(J552*I552, 2)</f>
        <v>0</v>
      </c>
      <c r="N552" s="14">
        <f>ROUND(I552*ROUND(K552, 2), 2)</f>
        <v>0</v>
      </c>
      <c r="O552" s="14">
        <f>M552+N552</f>
        <v>0</v>
      </c>
      <c r="P552" s="14">
        <f>IFERROR(ROUND(SUM(S553)/I552, 2),0)</f>
        <v>0</v>
      </c>
      <c r="Q552" s="15">
        <v>963</v>
      </c>
      <c r="R552" s="14">
        <f>P552+ROUND(Q552, 2)</f>
        <v>963</v>
      </c>
      <c r="S552" s="14">
        <f>ROUND(P552*I552, 2)</f>
        <v>0</v>
      </c>
      <c r="T552" s="14">
        <f>ROUND(I552*ROUND(Q552, 2), 2)</f>
        <v>0</v>
      </c>
      <c r="U552" s="14">
        <f>S552+T552</f>
        <v>0</v>
      </c>
      <c r="V552" s="9">
        <f>ROUND(P552 / 1.2, 2)</f>
        <v>0</v>
      </c>
      <c r="W552" s="9">
        <f>ROUND(Q552 / 1.2, 2)</f>
        <v>802.5</v>
      </c>
      <c r="X552" s="9">
        <f>ROUND(R552 / 1.2, 2)</f>
        <v>802.5</v>
      </c>
      <c r="Y552" s="9">
        <f t="shared" si="23"/>
        <v>0</v>
      </c>
      <c r="Z552" s="9">
        <f>ROUND(T552 / 1.2, 2)</f>
        <v>0</v>
      </c>
      <c r="AA552" s="9">
        <f>Y552+Z552</f>
        <v>0</v>
      </c>
      <c r="AD552" s="4">
        <v>304337708</v>
      </c>
      <c r="AE552" s="4">
        <v>20347727</v>
      </c>
      <c r="AG552" s="4" t="s">
        <v>2173</v>
      </c>
      <c r="AH552" s="4" t="s">
        <v>2174</v>
      </c>
      <c r="AI552" s="4" t="s">
        <v>260</v>
      </c>
    </row>
    <row r="553" spans="1:35" ht="18" x14ac:dyDescent="0.3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49">
        <v>0</v>
      </c>
      <c r="J553" s="31">
        <v>778.08</v>
      </c>
      <c r="M553" s="32">
        <f>ROUND(ROUND(J553, 2)*I553, 2)</f>
        <v>0</v>
      </c>
      <c r="P553" s="31">
        <v>778.08</v>
      </c>
      <c r="S553" s="32">
        <f>ROUND(ROUND(P553, 2)*I553, 2)</f>
        <v>0</v>
      </c>
      <c r="V553" s="9">
        <f>ROUND(ROUND(P553, 2)/1.2, 2)</f>
        <v>648.4</v>
      </c>
      <c r="Y553" s="9">
        <f t="shared" si="23"/>
        <v>0</v>
      </c>
      <c r="AD553" s="4" t="s">
        <v>2189</v>
      </c>
      <c r="AE553" s="4" t="s">
        <v>2190</v>
      </c>
      <c r="AF553" s="4" t="s">
        <v>2191</v>
      </c>
    </row>
    <row r="554" spans="1:35" ht="36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3">
        <v>0</v>
      </c>
      <c r="J554" s="14">
        <f>IFERROR(ROUND(SUM(M555)/I554, 2),0)</f>
        <v>0</v>
      </c>
      <c r="K554" s="15">
        <v>963</v>
      </c>
      <c r="L554" s="14">
        <f>J554+ROUND(K554, 2)</f>
        <v>963</v>
      </c>
      <c r="M554" s="14">
        <f>ROUND(J554*I554, 2)</f>
        <v>0</v>
      </c>
      <c r="N554" s="14">
        <f>ROUND(I554*ROUND(K554, 2), 2)</f>
        <v>0</v>
      </c>
      <c r="O554" s="14">
        <f>M554+N554</f>
        <v>0</v>
      </c>
      <c r="P554" s="14">
        <f>IFERROR(ROUND(SUM(S555)/I554, 2),0)</f>
        <v>0</v>
      </c>
      <c r="Q554" s="15">
        <v>963</v>
      </c>
      <c r="R554" s="14">
        <f>P554+ROUND(Q554, 2)</f>
        <v>963</v>
      </c>
      <c r="S554" s="14">
        <f>ROUND(P554*I554, 2)</f>
        <v>0</v>
      </c>
      <c r="T554" s="14">
        <f>ROUND(I554*ROUND(Q554, 2), 2)</f>
        <v>0</v>
      </c>
      <c r="U554" s="14">
        <f>S554+T554</f>
        <v>0</v>
      </c>
      <c r="V554" s="9">
        <f>ROUND(P554 / 1.2, 2)</f>
        <v>0</v>
      </c>
      <c r="W554" s="9">
        <f>ROUND(Q554 / 1.2, 2)</f>
        <v>802.5</v>
      </c>
      <c r="X554" s="9">
        <f>ROUND(R554 / 1.2, 2)</f>
        <v>802.5</v>
      </c>
      <c r="Y554" s="9">
        <f t="shared" si="23"/>
        <v>0</v>
      </c>
      <c r="Z554" s="9">
        <f>ROUND(T554 / 1.2, 2)</f>
        <v>0</v>
      </c>
      <c r="AA554" s="9">
        <f>Y554+Z554</f>
        <v>0</v>
      </c>
      <c r="AD554" s="4">
        <v>304337709</v>
      </c>
      <c r="AE554" s="4">
        <v>20347722</v>
      </c>
      <c r="AG554" s="4" t="s">
        <v>2173</v>
      </c>
      <c r="AH554" s="4" t="s">
        <v>2174</v>
      </c>
      <c r="AI554" s="4" t="s">
        <v>260</v>
      </c>
    </row>
    <row r="555" spans="1:35" ht="18" x14ac:dyDescent="0.3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49">
        <v>0</v>
      </c>
      <c r="J555" s="31">
        <v>778.08</v>
      </c>
      <c r="M555" s="32">
        <f>ROUND(ROUND(J555, 2)*I555, 2)</f>
        <v>0</v>
      </c>
      <c r="P555" s="31">
        <v>778.08</v>
      </c>
      <c r="S555" s="32">
        <f>ROUND(ROUND(P555, 2)*I555, 2)</f>
        <v>0</v>
      </c>
      <c r="V555" s="9">
        <f>ROUND(ROUND(P555, 2)/1.2, 2)</f>
        <v>648.4</v>
      </c>
      <c r="Y555" s="9">
        <f t="shared" si="23"/>
        <v>0</v>
      </c>
      <c r="AD555" s="4" t="s">
        <v>2198</v>
      </c>
      <c r="AE555" s="4" t="s">
        <v>2199</v>
      </c>
      <c r="AF555" s="4" t="s">
        <v>2191</v>
      </c>
    </row>
    <row r="556" spans="1:35" ht="36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3">
        <v>0</v>
      </c>
      <c r="J556" s="14">
        <f>IFERROR(ROUND(SUM(M557)/I556, 2),0)</f>
        <v>0</v>
      </c>
      <c r="K556" s="15">
        <v>963</v>
      </c>
      <c r="L556" s="14">
        <f>J556+ROUND(K556, 2)</f>
        <v>963</v>
      </c>
      <c r="M556" s="14">
        <f>ROUND(J556*I556, 2)</f>
        <v>0</v>
      </c>
      <c r="N556" s="14">
        <f>ROUND(I556*ROUND(K556, 2), 2)</f>
        <v>0</v>
      </c>
      <c r="O556" s="14">
        <f>M556+N556</f>
        <v>0</v>
      </c>
      <c r="P556" s="14">
        <f>IFERROR(ROUND(SUM(S557)/I556, 2),0)</f>
        <v>0</v>
      </c>
      <c r="Q556" s="15">
        <v>963</v>
      </c>
      <c r="R556" s="14">
        <f>P556+ROUND(Q556, 2)</f>
        <v>963</v>
      </c>
      <c r="S556" s="14">
        <f>ROUND(P556*I556, 2)</f>
        <v>0</v>
      </c>
      <c r="T556" s="14">
        <f>ROUND(I556*ROUND(Q556, 2), 2)</f>
        <v>0</v>
      </c>
      <c r="U556" s="14">
        <f>S556+T556</f>
        <v>0</v>
      </c>
      <c r="V556" s="9">
        <f>ROUND(P556 / 1.2, 2)</f>
        <v>0</v>
      </c>
      <c r="W556" s="9">
        <f>ROUND(Q556 / 1.2, 2)</f>
        <v>802.5</v>
      </c>
      <c r="X556" s="9">
        <f>ROUND(R556 / 1.2, 2)</f>
        <v>802.5</v>
      </c>
      <c r="Y556" s="9">
        <f t="shared" si="23"/>
        <v>0</v>
      </c>
      <c r="Z556" s="9">
        <f>ROUND(T556 / 1.2, 2)</f>
        <v>0</v>
      </c>
      <c r="AA556" s="9">
        <f>Y556+Z556</f>
        <v>0</v>
      </c>
      <c r="AD556" s="4">
        <v>304337710</v>
      </c>
      <c r="AE556" s="4">
        <v>21107984</v>
      </c>
      <c r="AG556" s="4" t="s">
        <v>2173</v>
      </c>
      <c r="AH556" s="4" t="s">
        <v>2174</v>
      </c>
      <c r="AI556" s="4" t="s">
        <v>260</v>
      </c>
    </row>
    <row r="557" spans="1:35" ht="18" x14ac:dyDescent="0.3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49">
        <v>0</v>
      </c>
      <c r="J557" s="31">
        <v>0</v>
      </c>
      <c r="M557" s="32">
        <f>ROUND(ROUND(J557, 2)*I557, 2)</f>
        <v>0</v>
      </c>
      <c r="P557" s="31">
        <v>855</v>
      </c>
      <c r="S557" s="32">
        <f>ROUND(ROUND(P557, 2)*I557, 2)</f>
        <v>0</v>
      </c>
      <c r="V557" s="9">
        <f>ROUND(ROUND(P557, 2)/1.2, 2)</f>
        <v>712.5</v>
      </c>
      <c r="Y557" s="9">
        <f t="shared" si="23"/>
        <v>0</v>
      </c>
      <c r="AD557" s="4" t="s">
        <v>2207</v>
      </c>
      <c r="AE557" s="4" t="s">
        <v>2208</v>
      </c>
      <c r="AF557" s="4" t="s">
        <v>2209</v>
      </c>
    </row>
    <row r="558" spans="1:35" ht="54" x14ac:dyDescent="0.3">
      <c r="A558" s="10" t="s">
        <v>2212</v>
      </c>
      <c r="B558" s="10" t="s">
        <v>2171</v>
      </c>
      <c r="C558" s="11" t="s">
        <v>2172</v>
      </c>
      <c r="D558" s="12"/>
      <c r="E558" s="12" t="s">
        <v>2176</v>
      </c>
      <c r="F558" s="12" t="s">
        <v>59</v>
      </c>
      <c r="G558" s="13">
        <v>1</v>
      </c>
      <c r="H558" s="13"/>
      <c r="I558" s="13">
        <v>716.1</v>
      </c>
      <c r="J558" s="14">
        <f>IFERROR(ROUND(SUM(M559)/I558, 2),0)</f>
        <v>902.99</v>
      </c>
      <c r="K558" s="15">
        <v>963</v>
      </c>
      <c r="L558" s="14">
        <f>J558+ROUND(K558, 2)</f>
        <v>1865.99</v>
      </c>
      <c r="M558" s="14">
        <f>ROUND(J558*I558, 2)</f>
        <v>646631.14</v>
      </c>
      <c r="N558" s="14">
        <f>ROUND(I558*ROUND(K558, 2), 2)</f>
        <v>689604.3</v>
      </c>
      <c r="O558" s="14">
        <f>M558+N558</f>
        <v>1336235.44</v>
      </c>
      <c r="P558" s="14">
        <f>IFERROR(ROUND(SUM(S559)/I558, 2),0)</f>
        <v>902.98</v>
      </c>
      <c r="Q558" s="16">
        <v>1444.5</v>
      </c>
      <c r="R558" s="14">
        <f>P558+ROUND(Q558, 2)</f>
        <v>2347.48</v>
      </c>
      <c r="S558" s="14">
        <f>ROUND(P558*I558, 2)</f>
        <v>646623.98</v>
      </c>
      <c r="T558" s="14">
        <f>ROUND(I558*ROUND(Q558, 2), 2)</f>
        <v>1034406.45</v>
      </c>
      <c r="U558" s="14">
        <f>S558+T558</f>
        <v>1681030.43</v>
      </c>
      <c r="V558" s="9">
        <f>ROUND(P558 / 1.2, 2)</f>
        <v>752.48</v>
      </c>
      <c r="W558" s="9">
        <f>ROUND(Q558 / 1.2, 2)</f>
        <v>1203.75</v>
      </c>
      <c r="X558" s="9">
        <f>ROUND(R558 / 1.2, 2)</f>
        <v>1956.23</v>
      </c>
      <c r="Y558" s="9">
        <f t="shared" si="23"/>
        <v>538853.31999999995</v>
      </c>
      <c r="Z558" s="9">
        <f>ROUND(T558 / 1.2, 2)</f>
        <v>862005.38</v>
      </c>
      <c r="AA558" s="9">
        <f>Y558+Z558</f>
        <v>1400858.7</v>
      </c>
      <c r="AD558" s="4">
        <v>304337711</v>
      </c>
      <c r="AE558" s="4">
        <v>21950039</v>
      </c>
      <c r="AG558" s="4" t="s">
        <v>2173</v>
      </c>
      <c r="AH558" s="4" t="s">
        <v>2174</v>
      </c>
      <c r="AI558" s="4" t="s">
        <v>260</v>
      </c>
    </row>
    <row r="559" spans="1:35" ht="36" x14ac:dyDescent="0.3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49">
        <v>787.71</v>
      </c>
      <c r="J559" s="31">
        <v>820.9</v>
      </c>
      <c r="M559" s="32">
        <f>ROUND(ROUND(J559, 2)*I559, 2)</f>
        <v>646631.14</v>
      </c>
      <c r="P559" s="33">
        <v>820.89</v>
      </c>
      <c r="S559" s="32">
        <f>ROUND(ROUND(P559, 2)*I559, 2)</f>
        <v>646623.26</v>
      </c>
      <c r="V559" s="9">
        <f>ROUND(ROUND(P559, 2)/1.2, 2)</f>
        <v>684.08</v>
      </c>
      <c r="Y559" s="9">
        <f t="shared" si="23"/>
        <v>538852.72</v>
      </c>
      <c r="AD559" s="4" t="s">
        <v>2214</v>
      </c>
      <c r="AE559" s="4" t="s">
        <v>2215</v>
      </c>
      <c r="AF559" s="4" t="s">
        <v>2181</v>
      </c>
    </row>
    <row r="560" spans="1:35" ht="72" x14ac:dyDescent="0.3">
      <c r="A560" s="10" t="s">
        <v>2216</v>
      </c>
      <c r="B560" s="10" t="s">
        <v>2171</v>
      </c>
      <c r="C560" s="11" t="s">
        <v>2172</v>
      </c>
      <c r="D560" s="12"/>
      <c r="E560" s="12" t="s">
        <v>2186</v>
      </c>
      <c r="F560" s="12" t="s">
        <v>59</v>
      </c>
      <c r="G560" s="13">
        <v>1</v>
      </c>
      <c r="H560" s="13"/>
      <c r="I560" s="13">
        <v>1176</v>
      </c>
      <c r="J560" s="14">
        <f>IFERROR(ROUND(SUM(M561)/I560, 2),0)</f>
        <v>855.89</v>
      </c>
      <c r="K560" s="15">
        <v>963</v>
      </c>
      <c r="L560" s="14">
        <f>J560+ROUND(K560, 2)</f>
        <v>1818.89</v>
      </c>
      <c r="M560" s="14">
        <f>ROUND(J560*I560, 2)</f>
        <v>1006526.64</v>
      </c>
      <c r="N560" s="14">
        <f>ROUND(I560*ROUND(K560, 2), 2)</f>
        <v>1132488</v>
      </c>
      <c r="O560" s="14">
        <f>M560+N560</f>
        <v>2139014.64</v>
      </c>
      <c r="P560" s="14">
        <f>IFERROR(ROUND(SUM(S561)/I560, 2),0)</f>
        <v>855.89</v>
      </c>
      <c r="Q560" s="16">
        <v>1444.5</v>
      </c>
      <c r="R560" s="14">
        <f>P560+ROUND(Q560, 2)</f>
        <v>2300.39</v>
      </c>
      <c r="S560" s="14">
        <f>ROUND(P560*I560, 2)</f>
        <v>1006526.64</v>
      </c>
      <c r="T560" s="14">
        <f>ROUND(I560*ROUND(Q560, 2), 2)</f>
        <v>1698732</v>
      </c>
      <c r="U560" s="14">
        <f>S560+T560</f>
        <v>2705258.64</v>
      </c>
      <c r="V560" s="9">
        <f>ROUND(P560 / 1.2, 2)</f>
        <v>713.24</v>
      </c>
      <c r="W560" s="9">
        <f>ROUND(Q560 / 1.2, 2)</f>
        <v>1203.75</v>
      </c>
      <c r="X560" s="9">
        <f>ROUND(R560 / 1.2, 2)</f>
        <v>1916.99</v>
      </c>
      <c r="Y560" s="9">
        <f t="shared" si="23"/>
        <v>838772.2</v>
      </c>
      <c r="Z560" s="9">
        <f>ROUND(T560 / 1.2, 2)</f>
        <v>1415610</v>
      </c>
      <c r="AA560" s="9">
        <f>Y560+Z560</f>
        <v>2254382.2000000002</v>
      </c>
      <c r="AD560" s="4">
        <v>304337712</v>
      </c>
      <c r="AE560" s="4">
        <v>21950040</v>
      </c>
      <c r="AG560" s="4" t="s">
        <v>2173</v>
      </c>
      <c r="AH560" s="4" t="s">
        <v>2174</v>
      </c>
      <c r="AI560" s="4" t="s">
        <v>260</v>
      </c>
    </row>
    <row r="561" spans="1:35" ht="18" x14ac:dyDescent="0.3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49">
        <v>1293.5999999999999</v>
      </c>
      <c r="J561" s="31">
        <v>778.08</v>
      </c>
      <c r="M561" s="32">
        <f>ROUND(ROUND(J561, 2)*I561, 2)</f>
        <v>1006524.29</v>
      </c>
      <c r="P561" s="33">
        <v>778.08</v>
      </c>
      <c r="S561" s="32">
        <f>ROUND(ROUND(P561, 2)*I561, 2)</f>
        <v>1006524.29</v>
      </c>
      <c r="V561" s="9">
        <f>ROUND(ROUND(P561, 2)/1.2, 2)</f>
        <v>648.4</v>
      </c>
      <c r="Y561" s="9">
        <f t="shared" si="23"/>
        <v>838770.24</v>
      </c>
      <c r="AD561" s="4" t="s">
        <v>2218</v>
      </c>
      <c r="AE561" s="4" t="s">
        <v>2219</v>
      </c>
      <c r="AF561" s="4" t="s">
        <v>2191</v>
      </c>
    </row>
    <row r="562" spans="1:35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3">
        <v>21.5</v>
      </c>
      <c r="J562" s="14">
        <f>IFERROR(ROUND(SUM(M563)/I562, 2),0)</f>
        <v>855.89</v>
      </c>
      <c r="K562" s="15">
        <v>963</v>
      </c>
      <c r="L562" s="14">
        <f>J562+ROUND(K562, 2)</f>
        <v>1818.89</v>
      </c>
      <c r="M562" s="14">
        <f>ROUND(J562*I562, 2)</f>
        <v>18401.64</v>
      </c>
      <c r="N562" s="14">
        <f>ROUND(I562*ROUND(K562, 2), 2)</f>
        <v>20704.5</v>
      </c>
      <c r="O562" s="14">
        <f>M562+N562</f>
        <v>39106.14</v>
      </c>
      <c r="P562" s="14">
        <f>IFERROR(ROUND(SUM(S563)/I562, 2),0)</f>
        <v>855.89</v>
      </c>
      <c r="Q562" s="16">
        <v>1444.5</v>
      </c>
      <c r="R562" s="14">
        <f>P562+ROUND(Q562, 2)</f>
        <v>2300.39</v>
      </c>
      <c r="S562" s="14">
        <f>ROUND(P562*I562, 2)</f>
        <v>18401.64</v>
      </c>
      <c r="T562" s="14">
        <f>ROUND(I562*ROUND(Q562, 2), 2)</f>
        <v>31056.75</v>
      </c>
      <c r="U562" s="14">
        <f>S562+T562</f>
        <v>49458.39</v>
      </c>
      <c r="V562" s="9">
        <f>ROUND(P562 / 1.2, 2)</f>
        <v>713.24</v>
      </c>
      <c r="W562" s="9">
        <f>ROUND(Q562 / 1.2, 2)</f>
        <v>1203.75</v>
      </c>
      <c r="X562" s="9">
        <f>ROUND(R562 / 1.2, 2)</f>
        <v>1916.99</v>
      </c>
      <c r="Y562" s="9">
        <f t="shared" si="23"/>
        <v>15334.7</v>
      </c>
      <c r="Z562" s="9">
        <f>ROUND(T562 / 1.2, 2)</f>
        <v>25880.63</v>
      </c>
      <c r="AA562" s="9">
        <f>Y562+Z562</f>
        <v>41215.33</v>
      </c>
      <c r="AD562" s="4">
        <v>304337713</v>
      </c>
      <c r="AE562" s="4">
        <v>21950035</v>
      </c>
      <c r="AG562" s="4" t="s">
        <v>2173</v>
      </c>
      <c r="AH562" s="4" t="s">
        <v>2174</v>
      </c>
      <c r="AI562" s="4" t="s">
        <v>260</v>
      </c>
    </row>
    <row r="563" spans="1:35" ht="18" x14ac:dyDescent="0.3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49">
        <v>23.65</v>
      </c>
      <c r="J563" s="31">
        <v>778.08</v>
      </c>
      <c r="M563" s="32">
        <f>ROUND(ROUND(J563, 2)*I563, 2)</f>
        <v>18401.59</v>
      </c>
      <c r="P563" s="33">
        <v>778.08</v>
      </c>
      <c r="S563" s="32">
        <f>ROUND(ROUND(P563, 2)*I563, 2)</f>
        <v>18401.59</v>
      </c>
      <c r="V563" s="9">
        <f>ROUND(ROUND(P563, 2)/1.2, 2)</f>
        <v>648.4</v>
      </c>
      <c r="Y563" s="9">
        <f t="shared" si="23"/>
        <v>15334.66</v>
      </c>
      <c r="AD563" s="4" t="s">
        <v>2222</v>
      </c>
      <c r="AE563" s="4" t="s">
        <v>2223</v>
      </c>
      <c r="AF563" s="4" t="s">
        <v>2191</v>
      </c>
    </row>
    <row r="564" spans="1:35" ht="198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3">
        <v>63.6</v>
      </c>
      <c r="J564" s="14">
        <f>IFERROR(ROUND(SUM(M565)/I564, 2),0)</f>
        <v>0</v>
      </c>
      <c r="K564" s="15">
        <v>963</v>
      </c>
      <c r="L564" s="14">
        <f>J564+ROUND(K564, 2)</f>
        <v>963</v>
      </c>
      <c r="M564" s="14">
        <f>ROUND(J564*I564, 2)</f>
        <v>0</v>
      </c>
      <c r="N564" s="14">
        <f>ROUND(I564*ROUND(K564, 2), 2)</f>
        <v>61246.8</v>
      </c>
      <c r="O564" s="14">
        <f>M564+N564</f>
        <v>61246.8</v>
      </c>
      <c r="P564" s="14">
        <f>IFERROR(ROUND(SUM(S565)/I564, 2),0)</f>
        <v>855</v>
      </c>
      <c r="Q564" s="16">
        <v>1444.5</v>
      </c>
      <c r="R564" s="14">
        <f>P564+ROUND(Q564, 2)</f>
        <v>2299.5</v>
      </c>
      <c r="S564" s="14">
        <f>ROUND(P564*I564, 2)</f>
        <v>54378</v>
      </c>
      <c r="T564" s="14">
        <f>ROUND(I564*ROUND(Q564, 2), 2)</f>
        <v>91870.2</v>
      </c>
      <c r="U564" s="14">
        <f>S564+T564</f>
        <v>146248.20000000001</v>
      </c>
      <c r="V564" s="9">
        <f>ROUND(P564 / 1.2, 2)</f>
        <v>712.5</v>
      </c>
      <c r="W564" s="9">
        <f>ROUND(Q564 / 1.2, 2)</f>
        <v>1203.75</v>
      </c>
      <c r="X564" s="9">
        <f>ROUND(R564 / 1.2, 2)</f>
        <v>1916.25</v>
      </c>
      <c r="Y564" s="9">
        <f t="shared" si="23"/>
        <v>45315</v>
      </c>
      <c r="Z564" s="9">
        <f>ROUND(T564 / 1.2, 2)</f>
        <v>76558.5</v>
      </c>
      <c r="AA564" s="9">
        <f>Y564+Z564</f>
        <v>121873.5</v>
      </c>
      <c r="AD564" s="4">
        <v>304337714</v>
      </c>
      <c r="AE564" s="4">
        <v>21950033</v>
      </c>
      <c r="AG564" s="4" t="s">
        <v>2173</v>
      </c>
      <c r="AH564" s="4" t="s">
        <v>2174</v>
      </c>
      <c r="AI564" s="4" t="s">
        <v>260</v>
      </c>
    </row>
    <row r="565" spans="1:35" ht="18" x14ac:dyDescent="0.3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49"/>
      <c r="I565" s="49">
        <v>63.6</v>
      </c>
      <c r="J565" s="31">
        <v>0</v>
      </c>
      <c r="M565" s="32">
        <f>ROUND(ROUND(J565, 2)*I565, 2)</f>
        <v>0</v>
      </c>
      <c r="P565" s="33">
        <v>855</v>
      </c>
      <c r="S565" s="32">
        <f>ROUND(ROUND(P565, 2)*I565, 2)</f>
        <v>54378</v>
      </c>
      <c r="V565" s="9">
        <f>ROUND(ROUND(P565, 2)/1.2, 2)</f>
        <v>712.5</v>
      </c>
      <c r="Y565" s="9">
        <f t="shared" si="23"/>
        <v>45315</v>
      </c>
      <c r="AD565" s="4" t="s">
        <v>2226</v>
      </c>
      <c r="AE565" s="4" t="s">
        <v>2227</v>
      </c>
      <c r="AF565" s="4" t="s">
        <v>2209</v>
      </c>
    </row>
    <row r="566" spans="1:35" ht="24" customHeight="1" x14ac:dyDescent="0.3">
      <c r="A566" s="67"/>
      <c r="B566" s="67"/>
      <c r="C566" s="67"/>
      <c r="D566" s="68" t="s">
        <v>2228</v>
      </c>
      <c r="E566" s="67"/>
      <c r="F566" s="67"/>
      <c r="G566" s="67"/>
      <c r="H566" s="67"/>
      <c r="I566" s="67"/>
      <c r="J566" s="67"/>
      <c r="K566" s="67"/>
      <c r="L566" s="67"/>
      <c r="M566" s="69">
        <f>SUM(M8)</f>
        <v>23958071.489999998</v>
      </c>
      <c r="N566" s="69">
        <f>SUM(N8)</f>
        <v>31630464.809999999</v>
      </c>
      <c r="O566" s="69">
        <f>M566+N566</f>
        <v>55588536.299999997</v>
      </c>
      <c r="P566" s="67"/>
      <c r="Q566" s="67"/>
      <c r="R566" s="67"/>
      <c r="S566" s="69">
        <f>SUM(S8)</f>
        <v>22896107.140000001</v>
      </c>
      <c r="T566" s="69">
        <f>SUM(T8)</f>
        <v>47445697.219999999</v>
      </c>
      <c r="U566" s="69">
        <f>S566+T566</f>
        <v>70341804.359999999</v>
      </c>
      <c r="Y566" s="9">
        <f>SUM(Y8)</f>
        <v>19080089.32</v>
      </c>
      <c r="Z566" s="9">
        <f>SUM(Z8)</f>
        <v>39538081.100000001</v>
      </c>
      <c r="AA566" s="9">
        <f>Y566+Z566</f>
        <v>58618170.420000002</v>
      </c>
    </row>
    <row r="567" spans="1:35" ht="22.8" x14ac:dyDescent="0.3">
      <c r="A567" s="160" t="s">
        <v>2235</v>
      </c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2"/>
    </row>
    <row r="568" spans="1:35" ht="15.6" x14ac:dyDescent="0.3">
      <c r="A568" s="71"/>
      <c r="B568" s="5" t="s">
        <v>2236</v>
      </c>
      <c r="C568" s="70" t="s">
        <v>2237</v>
      </c>
      <c r="D568" s="70" t="s">
        <v>2238</v>
      </c>
      <c r="E568" s="72"/>
      <c r="F568" s="72"/>
      <c r="G568" s="72"/>
      <c r="H568" s="156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57"/>
    </row>
    <row r="569" spans="1:35" ht="15.6" x14ac:dyDescent="0.3">
      <c r="A569" s="71"/>
      <c r="B569" s="5" t="s">
        <v>2239</v>
      </c>
      <c r="C569" s="70" t="s">
        <v>2240</v>
      </c>
      <c r="D569" s="70" t="s">
        <v>2241</v>
      </c>
      <c r="E569" s="72"/>
      <c r="F569" s="72"/>
      <c r="G569" s="72"/>
      <c r="H569" s="156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57"/>
    </row>
    <row r="570" spans="1:35" ht="31.2" x14ac:dyDescent="0.3">
      <c r="A570" s="71"/>
      <c r="B570" s="5" t="s">
        <v>2242</v>
      </c>
      <c r="C570" s="70" t="s">
        <v>2243</v>
      </c>
      <c r="D570" s="70" t="s">
        <v>2244</v>
      </c>
      <c r="E570" s="72"/>
      <c r="F570" s="72"/>
      <c r="G570" s="72"/>
      <c r="H570" s="156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57"/>
    </row>
    <row r="571" spans="1:35" ht="15.6" x14ac:dyDescent="0.3">
      <c r="A571" s="71"/>
      <c r="B571" s="5" t="s">
        <v>2245</v>
      </c>
      <c r="C571" s="70" t="s">
        <v>2246</v>
      </c>
      <c r="D571" s="70" t="s">
        <v>2247</v>
      </c>
      <c r="E571" s="72"/>
      <c r="F571" s="72"/>
      <c r="G571" s="72"/>
      <c r="H571" s="156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57"/>
    </row>
    <row r="572" spans="1:35" ht="15.6" x14ac:dyDescent="0.3">
      <c r="A572" s="71"/>
      <c r="B572" s="5" t="s">
        <v>2248</v>
      </c>
      <c r="C572" s="70" t="s">
        <v>2249</v>
      </c>
      <c r="D572" s="70" t="s">
        <v>2241</v>
      </c>
      <c r="E572" s="72"/>
      <c r="F572" s="72"/>
      <c r="G572" s="72"/>
      <c r="H572" s="156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57"/>
    </row>
    <row r="573" spans="1:35" ht="31.2" x14ac:dyDescent="0.3">
      <c r="A573" s="71"/>
      <c r="B573" s="5" t="s">
        <v>2250</v>
      </c>
      <c r="C573" s="70" t="s">
        <v>2251</v>
      </c>
      <c r="D573" s="70" t="s">
        <v>2252</v>
      </c>
      <c r="E573" s="72"/>
      <c r="F573" s="72"/>
      <c r="G573" s="72"/>
      <c r="H573" s="156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57"/>
    </row>
    <row r="574" spans="1:35" ht="31.2" x14ac:dyDescent="0.3">
      <c r="A574" s="71"/>
      <c r="B574" s="5" t="s">
        <v>2253</v>
      </c>
      <c r="C574" s="70" t="s">
        <v>2254</v>
      </c>
      <c r="D574" s="70" t="s">
        <v>2255</v>
      </c>
      <c r="E574" s="72"/>
      <c r="F574" s="72"/>
      <c r="G574" s="72"/>
      <c r="H574" s="156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57"/>
    </row>
    <row r="575" spans="1:35" ht="15.6" x14ac:dyDescent="0.3">
      <c r="A575" s="71"/>
      <c r="B575" s="5" t="s">
        <v>2256</v>
      </c>
      <c r="C575" s="70" t="s">
        <v>2257</v>
      </c>
      <c r="D575" s="70" t="s">
        <v>2258</v>
      </c>
      <c r="E575" s="72"/>
      <c r="F575" s="72"/>
      <c r="G575" s="72"/>
      <c r="H575" s="156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57"/>
    </row>
    <row r="576" spans="1:35" ht="15.6" x14ac:dyDescent="0.3">
      <c r="A576" s="71"/>
      <c r="B576" s="5" t="s">
        <v>2259</v>
      </c>
      <c r="C576" s="70" t="s">
        <v>2260</v>
      </c>
      <c r="D576" s="70" t="s">
        <v>2261</v>
      </c>
      <c r="E576" s="72"/>
      <c r="F576" s="72"/>
      <c r="G576" s="72"/>
      <c r="H576" s="156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57"/>
    </row>
    <row r="577" spans="1:21" ht="31.2" x14ac:dyDescent="0.3">
      <c r="A577" s="71"/>
      <c r="B577" s="5" t="s">
        <v>2262</v>
      </c>
      <c r="C577" s="70" t="s">
        <v>2263</v>
      </c>
      <c r="D577" s="70" t="s">
        <v>2264</v>
      </c>
      <c r="E577" s="72"/>
      <c r="F577" s="72"/>
      <c r="G577" s="72"/>
      <c r="H577" s="156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57"/>
    </row>
    <row r="578" spans="1:21" ht="46.8" x14ac:dyDescent="0.3">
      <c r="A578" s="71"/>
      <c r="B578" s="5" t="s">
        <v>2265</v>
      </c>
      <c r="C578" s="70" t="s">
        <v>2266</v>
      </c>
      <c r="D578" s="70" t="s">
        <v>2267</v>
      </c>
      <c r="E578" s="72"/>
      <c r="F578" s="72"/>
      <c r="G578" s="72"/>
      <c r="H578" s="156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57"/>
    </row>
    <row r="579" spans="1:21" ht="31.2" x14ac:dyDescent="0.3">
      <c r="A579" s="71"/>
      <c r="B579" s="5" t="s">
        <v>2268</v>
      </c>
      <c r="C579" s="70" t="s">
        <v>2269</v>
      </c>
      <c r="D579" s="70" t="s">
        <v>2270</v>
      </c>
      <c r="E579" s="72"/>
      <c r="F579" s="72"/>
      <c r="G579" s="72"/>
      <c r="H579" s="156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57"/>
    </row>
    <row r="580" spans="1:21" ht="15.6" x14ac:dyDescent="0.3">
      <c r="A580" s="71"/>
      <c r="B580" s="5" t="s">
        <v>2271</v>
      </c>
      <c r="C580" s="70" t="s">
        <v>2272</v>
      </c>
      <c r="D580" s="70" t="s">
        <v>2273</v>
      </c>
      <c r="E580" s="72"/>
      <c r="F580" s="72"/>
      <c r="G580" s="72"/>
      <c r="H580" s="156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57"/>
    </row>
    <row r="581" spans="1:21" ht="48" customHeight="1" x14ac:dyDescent="0.3">
      <c r="A581" s="71"/>
      <c r="B581" s="5" t="s">
        <v>2274</v>
      </c>
      <c r="C581" s="70" t="s">
        <v>2275</v>
      </c>
      <c r="D581" s="70" t="s">
        <v>2276</v>
      </c>
      <c r="E581" s="72"/>
      <c r="F581" s="72"/>
      <c r="G581" s="72"/>
      <c r="H581" s="156" t="s">
        <v>2277</v>
      </c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57"/>
    </row>
    <row r="582" spans="1:21" ht="15.6" x14ac:dyDescent="0.3">
      <c r="A582" s="71"/>
      <c r="B582" s="5" t="s">
        <v>2278</v>
      </c>
      <c r="C582" s="70" t="s">
        <v>2279</v>
      </c>
      <c r="D582" s="70" t="s">
        <v>2280</v>
      </c>
      <c r="E582" s="72"/>
      <c r="F582" s="72"/>
      <c r="G582" s="72"/>
      <c r="H582" s="156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57"/>
    </row>
    <row r="583" spans="1:21" ht="31.2" x14ac:dyDescent="0.3">
      <c r="A583" s="71"/>
      <c r="B583" s="5" t="s">
        <v>2281</v>
      </c>
      <c r="C583" s="70" t="s">
        <v>2282</v>
      </c>
      <c r="D583" s="72"/>
      <c r="E583" s="72"/>
      <c r="F583" s="72"/>
      <c r="G583" s="72"/>
      <c r="H583" s="156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57"/>
    </row>
    <row r="584" spans="1:21" ht="15.6" x14ac:dyDescent="0.3">
      <c r="A584" s="71"/>
      <c r="B584" s="5" t="s">
        <v>2283</v>
      </c>
      <c r="C584" s="70" t="s">
        <v>2284</v>
      </c>
      <c r="D584" s="72"/>
      <c r="E584" s="72"/>
      <c r="F584" s="72"/>
      <c r="G584" s="72"/>
      <c r="H584" s="156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57"/>
    </row>
    <row r="585" spans="1:21" ht="15.6" x14ac:dyDescent="0.3">
      <c r="A585" s="71"/>
      <c r="B585" s="5" t="s">
        <v>2285</v>
      </c>
      <c r="C585" s="70" t="s">
        <v>2286</v>
      </c>
      <c r="D585" s="72"/>
      <c r="E585" s="72"/>
      <c r="F585" s="72"/>
      <c r="G585" s="72"/>
      <c r="H585" s="156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57"/>
    </row>
  </sheetData>
  <sheetProtection password="C644" sheet="1" formatColumns="0" autoFilter="0"/>
  <autoFilter ref="A7:U7"/>
  <mergeCells count="63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55:I55"/>
    <mergeCell ref="C56:I56"/>
    <mergeCell ref="C57:I57"/>
    <mergeCell ref="C58:I58"/>
    <mergeCell ref="C59:I59"/>
    <mergeCell ref="C255:I255"/>
    <mergeCell ref="C260:I260"/>
    <mergeCell ref="C261:I261"/>
    <mergeCell ref="C268:I268"/>
    <mergeCell ref="C433:I433"/>
    <mergeCell ref="C454:I454"/>
    <mergeCell ref="C455:I455"/>
    <mergeCell ref="C468:I468"/>
    <mergeCell ref="C496:I496"/>
    <mergeCell ref="A567:U567"/>
    <mergeCell ref="H568:U568"/>
    <mergeCell ref="H569:U569"/>
    <mergeCell ref="H570:U570"/>
    <mergeCell ref="H571:U571"/>
    <mergeCell ref="H572:U572"/>
    <mergeCell ref="H573:U573"/>
    <mergeCell ref="H574:U574"/>
    <mergeCell ref="H575:U575"/>
    <mergeCell ref="H576:U576"/>
    <mergeCell ref="H577:U577"/>
    <mergeCell ref="H578:U578"/>
    <mergeCell ref="H584:U584"/>
    <mergeCell ref="H585:U585"/>
    <mergeCell ref="H579:U579"/>
    <mergeCell ref="H580:U580"/>
    <mergeCell ref="H581:U581"/>
    <mergeCell ref="H582:U582"/>
    <mergeCell ref="H583:U5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85"/>
  <sheetViews>
    <sheetView tabSelected="1" view="pageBreakPreview" topLeftCell="A53" zoomScale="40" zoomScaleNormal="66" zoomScaleSheetLayoutView="40" workbookViewId="0">
      <selection activeCell="E76" sqref="E76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4" width="12.5546875" customWidth="1"/>
    <col min="5" max="5" width="38" customWidth="1"/>
    <col min="6" max="7" width="16.44140625" customWidth="1"/>
    <col min="8" max="8" width="16" customWidth="1"/>
    <col min="9" max="9" width="16.77734375" customWidth="1"/>
    <col min="10" max="10" width="28.5546875" customWidth="1"/>
    <col min="11" max="11" width="29.6640625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23.88671875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">
      <c r="A2" s="163" t="s">
        <v>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</row>
    <row r="3" spans="1:21" ht="15" customHeight="1" x14ac:dyDescent="0.3">
      <c r="A3" s="164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</row>
    <row r="4" spans="1:21" ht="15" customHeight="1" thickBot="1" x14ac:dyDescent="0.35">
      <c r="A4" s="165" t="s">
        <v>6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</row>
    <row r="5" spans="1:21" ht="42.6" customHeight="1" x14ac:dyDescent="0.3">
      <c r="A5" s="158" t="s">
        <v>23</v>
      </c>
      <c r="B5" s="158" t="s">
        <v>24</v>
      </c>
      <c r="C5" s="158" t="s">
        <v>25</v>
      </c>
      <c r="D5" s="158" t="s">
        <v>26</v>
      </c>
      <c r="E5" s="158" t="s">
        <v>27</v>
      </c>
      <c r="F5" s="158" t="s">
        <v>28</v>
      </c>
      <c r="G5" s="158" t="s">
        <v>29</v>
      </c>
      <c r="H5" s="158" t="s">
        <v>30</v>
      </c>
      <c r="I5" s="180" t="s">
        <v>31</v>
      </c>
      <c r="J5" s="176" t="s">
        <v>2287</v>
      </c>
      <c r="K5" s="177"/>
      <c r="L5" s="118"/>
      <c r="M5" s="118"/>
      <c r="N5" s="118"/>
      <c r="O5" s="118"/>
      <c r="P5" s="183" t="s">
        <v>8</v>
      </c>
      <c r="Q5" s="184"/>
      <c r="R5" s="185"/>
      <c r="S5" s="170" t="s">
        <v>9</v>
      </c>
      <c r="T5" s="170"/>
      <c r="U5" s="171"/>
    </row>
    <row r="6" spans="1:21" ht="39.6" customHeight="1" x14ac:dyDescent="0.3">
      <c r="A6" s="172"/>
      <c r="B6" s="172"/>
      <c r="C6" s="172"/>
      <c r="D6" s="172"/>
      <c r="E6" s="172"/>
      <c r="F6" s="172"/>
      <c r="G6" s="172"/>
      <c r="H6" s="172"/>
      <c r="I6" s="181"/>
      <c r="J6" s="174" t="s">
        <v>2290</v>
      </c>
      <c r="K6" s="186"/>
      <c r="L6" s="187"/>
      <c r="M6" s="156"/>
      <c r="N6" s="157"/>
      <c r="O6" s="180"/>
      <c r="P6" s="174" t="s">
        <v>32</v>
      </c>
      <c r="Q6" s="175"/>
      <c r="R6" s="178" t="s">
        <v>32</v>
      </c>
      <c r="S6" s="173" t="s">
        <v>35</v>
      </c>
      <c r="T6" s="157"/>
      <c r="U6" s="158" t="s">
        <v>36</v>
      </c>
    </row>
    <row r="7" spans="1:21" ht="68.400000000000006" customHeight="1" x14ac:dyDescent="0.3">
      <c r="A7" s="159"/>
      <c r="B7" s="159"/>
      <c r="C7" s="159"/>
      <c r="D7" s="159"/>
      <c r="E7" s="159"/>
      <c r="F7" s="159"/>
      <c r="G7" s="159"/>
      <c r="H7" s="159"/>
      <c r="I7" s="182"/>
      <c r="J7" s="94" t="s">
        <v>2288</v>
      </c>
      <c r="K7" s="132" t="s">
        <v>2289</v>
      </c>
      <c r="L7" s="188"/>
      <c r="M7" s="5"/>
      <c r="N7" s="5"/>
      <c r="O7" s="182"/>
      <c r="P7" s="94" t="s">
        <v>33</v>
      </c>
      <c r="Q7" s="95" t="s">
        <v>34</v>
      </c>
      <c r="R7" s="179"/>
      <c r="S7" s="81" t="s">
        <v>33</v>
      </c>
      <c r="T7" s="5" t="s">
        <v>34</v>
      </c>
      <c r="U7" s="159"/>
    </row>
    <row r="8" spans="1:21" ht="30" customHeight="1" x14ac:dyDescent="0.45">
      <c r="A8" s="160" t="s">
        <v>37</v>
      </c>
      <c r="B8" s="161"/>
      <c r="C8" s="161"/>
      <c r="D8" s="161"/>
      <c r="E8" s="161"/>
      <c r="F8" s="161"/>
      <c r="G8" s="161"/>
      <c r="H8" s="161"/>
      <c r="I8" s="161"/>
      <c r="J8" s="93"/>
      <c r="K8" s="133"/>
      <c r="L8" s="7"/>
      <c r="M8" s="8"/>
      <c r="N8" s="8"/>
      <c r="O8" s="82"/>
      <c r="P8" s="96"/>
      <c r="Q8" s="97"/>
      <c r="R8" s="98"/>
      <c r="S8" s="87">
        <f>SUM(S9)</f>
        <v>22896107.140000001</v>
      </c>
      <c r="T8" s="8">
        <f>SUM(T9)</f>
        <v>47445697.219999999</v>
      </c>
      <c r="U8" s="8">
        <f>SUM(U9)</f>
        <v>70341804.359999999</v>
      </c>
    </row>
    <row r="9" spans="1:21" ht="16.95" customHeight="1" x14ac:dyDescent="0.45">
      <c r="A9" s="10" t="s">
        <v>39</v>
      </c>
      <c r="B9" s="10" t="s">
        <v>2</v>
      </c>
      <c r="C9" s="153" t="s">
        <v>40</v>
      </c>
      <c r="D9" s="154"/>
      <c r="E9" s="154"/>
      <c r="F9" s="154"/>
      <c r="G9" s="154"/>
      <c r="H9" s="154"/>
      <c r="I9" s="154"/>
      <c r="J9" s="129"/>
      <c r="K9" s="134"/>
      <c r="L9" s="114"/>
      <c r="M9" s="115"/>
      <c r="N9" s="115"/>
      <c r="O9" s="83"/>
      <c r="P9" s="99"/>
      <c r="Q9" s="100"/>
      <c r="R9" s="101"/>
      <c r="S9" s="88">
        <f>SUM(S10,S55)</f>
        <v>22896107.140000001</v>
      </c>
      <c r="T9" s="6">
        <f>SUM(T10,T55)</f>
        <v>47445697.219999999</v>
      </c>
      <c r="U9" s="6">
        <f>SUM(U10,U55)</f>
        <v>70341804.359999999</v>
      </c>
    </row>
    <row r="10" spans="1:21" ht="16.95" customHeight="1" x14ac:dyDescent="0.45">
      <c r="A10" s="10" t="s">
        <v>41</v>
      </c>
      <c r="B10" s="10" t="s">
        <v>42</v>
      </c>
      <c r="C10" s="153" t="s">
        <v>43</v>
      </c>
      <c r="D10" s="154"/>
      <c r="E10" s="154"/>
      <c r="F10" s="154"/>
      <c r="G10" s="154"/>
      <c r="H10" s="154"/>
      <c r="I10" s="154"/>
      <c r="J10" s="130"/>
      <c r="K10" s="135"/>
      <c r="L10" s="114"/>
      <c r="M10" s="115"/>
      <c r="N10" s="115"/>
      <c r="O10" s="83"/>
      <c r="P10" s="99"/>
      <c r="Q10" s="100"/>
      <c r="R10" s="101"/>
      <c r="S10" s="88">
        <f t="shared" ref="S10:U13" si="0">SUM(S11)</f>
        <v>123088.61</v>
      </c>
      <c r="T10" s="6">
        <f t="shared" si="0"/>
        <v>193250.55</v>
      </c>
      <c r="U10" s="6">
        <f t="shared" si="0"/>
        <v>316339.16000000003</v>
      </c>
    </row>
    <row r="11" spans="1:21" ht="16.95" customHeight="1" x14ac:dyDescent="0.45">
      <c r="A11" s="10" t="s">
        <v>44</v>
      </c>
      <c r="B11" s="10" t="s">
        <v>45</v>
      </c>
      <c r="C11" s="153" t="s">
        <v>46</v>
      </c>
      <c r="D11" s="154"/>
      <c r="E11" s="154"/>
      <c r="F11" s="154"/>
      <c r="G11" s="154"/>
      <c r="H11" s="154"/>
      <c r="I11" s="154"/>
      <c r="J11" s="130"/>
      <c r="K11" s="135"/>
      <c r="L11" s="114"/>
      <c r="M11" s="115"/>
      <c r="N11" s="115"/>
      <c r="O11" s="83"/>
      <c r="P11" s="99"/>
      <c r="Q11" s="100"/>
      <c r="R11" s="101"/>
      <c r="S11" s="88">
        <f t="shared" si="0"/>
        <v>123088.61</v>
      </c>
      <c r="T11" s="6">
        <f t="shared" si="0"/>
        <v>193250.55</v>
      </c>
      <c r="U11" s="6">
        <f t="shared" si="0"/>
        <v>316339.16000000003</v>
      </c>
    </row>
    <row r="12" spans="1:21" ht="16.95" customHeight="1" x14ac:dyDescent="0.45">
      <c r="A12" s="10" t="s">
        <v>47</v>
      </c>
      <c r="B12" s="10" t="s">
        <v>48</v>
      </c>
      <c r="C12" s="153" t="s">
        <v>49</v>
      </c>
      <c r="D12" s="154"/>
      <c r="E12" s="154"/>
      <c r="F12" s="154"/>
      <c r="G12" s="154"/>
      <c r="H12" s="154"/>
      <c r="I12" s="154"/>
      <c r="J12" s="130"/>
      <c r="K12" s="135"/>
      <c r="L12" s="114"/>
      <c r="M12" s="115"/>
      <c r="N12" s="115"/>
      <c r="O12" s="83"/>
      <c r="P12" s="99"/>
      <c r="Q12" s="100"/>
      <c r="R12" s="101"/>
      <c r="S12" s="88">
        <f t="shared" si="0"/>
        <v>123088.61</v>
      </c>
      <c r="T12" s="6">
        <f t="shared" si="0"/>
        <v>193250.55</v>
      </c>
      <c r="U12" s="6">
        <f t="shared" si="0"/>
        <v>316339.16000000003</v>
      </c>
    </row>
    <row r="13" spans="1:21" ht="16.95" customHeight="1" x14ac:dyDescent="0.45">
      <c r="A13" s="10" t="s">
        <v>50</v>
      </c>
      <c r="B13" s="10" t="s">
        <v>51</v>
      </c>
      <c r="C13" s="153" t="s">
        <v>52</v>
      </c>
      <c r="D13" s="154"/>
      <c r="E13" s="154"/>
      <c r="F13" s="154"/>
      <c r="G13" s="154"/>
      <c r="H13" s="154"/>
      <c r="I13" s="154"/>
      <c r="J13" s="130"/>
      <c r="K13" s="135"/>
      <c r="L13" s="114"/>
      <c r="M13" s="115"/>
      <c r="N13" s="115"/>
      <c r="O13" s="83"/>
      <c r="P13" s="99"/>
      <c r="Q13" s="100"/>
      <c r="R13" s="101"/>
      <c r="S13" s="88">
        <f t="shared" si="0"/>
        <v>123088.61</v>
      </c>
      <c r="T13" s="6">
        <f t="shared" si="0"/>
        <v>193250.55</v>
      </c>
      <c r="U13" s="6">
        <f t="shared" si="0"/>
        <v>316339.16000000003</v>
      </c>
    </row>
    <row r="14" spans="1:21" ht="16.95" customHeight="1" x14ac:dyDescent="0.45">
      <c r="A14" s="10" t="s">
        <v>53</v>
      </c>
      <c r="B14" s="10" t="s">
        <v>54</v>
      </c>
      <c r="C14" s="153" t="s">
        <v>55</v>
      </c>
      <c r="D14" s="154"/>
      <c r="E14" s="154"/>
      <c r="F14" s="154"/>
      <c r="G14" s="154"/>
      <c r="H14" s="154"/>
      <c r="I14" s="154"/>
      <c r="J14" s="131"/>
      <c r="K14" s="136"/>
      <c r="L14" s="114"/>
      <c r="M14" s="115"/>
      <c r="N14" s="115"/>
      <c r="O14" s="83"/>
      <c r="P14" s="99"/>
      <c r="Q14" s="100"/>
      <c r="R14" s="101"/>
      <c r="S14" s="88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</row>
    <row r="15" spans="1:21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19">
        <v>0</v>
      </c>
      <c r="J15" s="125"/>
      <c r="K15" s="137">
        <f>SUM(L2)</f>
        <v>0</v>
      </c>
      <c r="L15" s="123"/>
      <c r="M15" s="116"/>
      <c r="N15" s="116"/>
      <c r="O15" s="84"/>
      <c r="P15" s="102">
        <f>IFERROR(ROUND(SUM(S16,S17,S18,S19)/I15, 2),0)</f>
        <v>0</v>
      </c>
      <c r="Q15" s="103">
        <v>2293</v>
      </c>
      <c r="R15" s="104">
        <f>P15+ROUND(Q15, 2)</f>
        <v>2293</v>
      </c>
      <c r="S15" s="89">
        <f>ROUND(P15*I15, 2)</f>
        <v>0</v>
      </c>
      <c r="T15" s="14">
        <f>ROUND(I15*ROUND(Q15, 2), 2)</f>
        <v>0</v>
      </c>
      <c r="U15" s="14">
        <f>S15+T15</f>
        <v>0</v>
      </c>
    </row>
    <row r="16" spans="1:21" ht="72" x14ac:dyDescent="0.45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120">
        <v>0</v>
      </c>
      <c r="J16" s="126"/>
      <c r="K16" s="138"/>
      <c r="L16" s="114"/>
      <c r="M16" s="117"/>
      <c r="N16" s="114"/>
      <c r="P16" s="105">
        <v>102.33</v>
      </c>
      <c r="Q16" s="100"/>
      <c r="R16" s="101"/>
      <c r="S16" s="90">
        <f>ROUND(ROUND(P16, 2)*I16, 2)</f>
        <v>0</v>
      </c>
    </row>
    <row r="17" spans="1:21" ht="36" x14ac:dyDescent="0.45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120">
        <v>0</v>
      </c>
      <c r="J17" s="126"/>
      <c r="K17" s="138"/>
      <c r="L17" s="114"/>
      <c r="M17" s="117"/>
      <c r="N17" s="114"/>
      <c r="P17" s="105">
        <v>104.57</v>
      </c>
      <c r="Q17" s="100"/>
      <c r="R17" s="101"/>
      <c r="S17" s="90">
        <f>ROUND(ROUND(P17, 2)*I17, 2)</f>
        <v>0</v>
      </c>
    </row>
    <row r="18" spans="1:21" ht="23.4" x14ac:dyDescent="0.45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121">
        <v>0</v>
      </c>
      <c r="J18" s="126"/>
      <c r="K18" s="138"/>
      <c r="L18" s="114"/>
      <c r="M18" s="117"/>
      <c r="N18" s="114"/>
      <c r="P18" s="105">
        <v>64.56</v>
      </c>
      <c r="Q18" s="100"/>
      <c r="R18" s="101"/>
      <c r="S18" s="90">
        <f>ROUND(ROUND(P18, 2)*I18, 2)</f>
        <v>0</v>
      </c>
    </row>
    <row r="19" spans="1:21" ht="23.4" x14ac:dyDescent="0.45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121">
        <v>0</v>
      </c>
      <c r="J19" s="126"/>
      <c r="K19" s="138"/>
      <c r="L19" s="114"/>
      <c r="M19" s="117"/>
      <c r="N19" s="114"/>
      <c r="P19" s="105">
        <v>51.63</v>
      </c>
      <c r="Q19" s="100"/>
      <c r="R19" s="101"/>
      <c r="S19" s="90">
        <f>ROUND(ROUND(P19, 2)*I19, 2)</f>
        <v>0</v>
      </c>
    </row>
    <row r="20" spans="1:21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19">
        <v>0</v>
      </c>
      <c r="J20" s="125"/>
      <c r="K20" s="139"/>
      <c r="L20" s="123"/>
      <c r="M20" s="116"/>
      <c r="N20" s="116"/>
      <c r="O20" s="84"/>
      <c r="P20" s="102">
        <f>IFERROR(ROUND(SUM(S21,S22,S23,S24)/I20, 2),0)</f>
        <v>0</v>
      </c>
      <c r="Q20" s="103">
        <v>2293</v>
      </c>
      <c r="R20" s="104">
        <f>P20+ROUND(Q20, 2)</f>
        <v>2293</v>
      </c>
      <c r="S20" s="89">
        <f>ROUND(P20*I20, 2)</f>
        <v>0</v>
      </c>
      <c r="T20" s="14">
        <f>ROUND(I20*ROUND(Q20, 2), 2)</f>
        <v>0</v>
      </c>
      <c r="U20" s="14">
        <f>S20+T20</f>
        <v>0</v>
      </c>
    </row>
    <row r="21" spans="1:21" ht="23.4" x14ac:dyDescent="0.45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121">
        <v>0</v>
      </c>
      <c r="J21" s="126"/>
      <c r="K21" s="138"/>
      <c r="L21" s="114"/>
      <c r="M21" s="117"/>
      <c r="N21" s="114"/>
      <c r="P21" s="105">
        <v>64.56</v>
      </c>
      <c r="Q21" s="100"/>
      <c r="R21" s="101"/>
      <c r="S21" s="90">
        <f>ROUND(ROUND(P21, 2)*I21, 2)</f>
        <v>0</v>
      </c>
    </row>
    <row r="22" spans="1:21" ht="23.4" x14ac:dyDescent="0.45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121">
        <v>0</v>
      </c>
      <c r="J22" s="126"/>
      <c r="K22" s="138"/>
      <c r="L22" s="114"/>
      <c r="M22" s="117"/>
      <c r="N22" s="114"/>
      <c r="P22" s="105">
        <v>51.63</v>
      </c>
      <c r="Q22" s="100"/>
      <c r="R22" s="101"/>
      <c r="S22" s="90">
        <f>ROUND(ROUND(P22, 2)*I22, 2)</f>
        <v>0</v>
      </c>
    </row>
    <row r="23" spans="1:21" ht="36" x14ac:dyDescent="0.45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120">
        <v>0</v>
      </c>
      <c r="J23" s="126"/>
      <c r="K23" s="138"/>
      <c r="L23" s="114"/>
      <c r="M23" s="117"/>
      <c r="N23" s="114"/>
      <c r="P23" s="105">
        <v>1520.33</v>
      </c>
      <c r="Q23" s="100"/>
      <c r="R23" s="101"/>
      <c r="S23" s="90">
        <f>ROUND(ROUND(P23, 2)*I23, 2)</f>
        <v>0</v>
      </c>
    </row>
    <row r="24" spans="1:21" ht="72" x14ac:dyDescent="0.45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120">
        <v>0</v>
      </c>
      <c r="J24" s="126"/>
      <c r="K24" s="138"/>
      <c r="L24" s="114"/>
      <c r="M24" s="117"/>
      <c r="N24" s="114"/>
      <c r="P24" s="105">
        <v>102.33</v>
      </c>
      <c r="Q24" s="100"/>
      <c r="R24" s="101"/>
      <c r="S24" s="90">
        <f>ROUND(ROUND(P24, 2)*I24, 2)</f>
        <v>0</v>
      </c>
    </row>
    <row r="25" spans="1:21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19">
        <v>6.3</v>
      </c>
      <c r="J25" s="125"/>
      <c r="K25" s="139"/>
      <c r="L25" s="123"/>
      <c r="M25" s="116"/>
      <c r="N25" s="116"/>
      <c r="O25" s="84"/>
      <c r="P25" s="102">
        <f>IFERROR(ROUND(SUM(S26,S27,S28,S29)/I25, 2),0)</f>
        <v>877.6</v>
      </c>
      <c r="Q25" s="106">
        <v>3439.5</v>
      </c>
      <c r="R25" s="104">
        <f>P25+ROUND(Q25, 2)</f>
        <v>4317.1000000000004</v>
      </c>
      <c r="S25" s="89">
        <f>ROUND(P25*I25, 2)</f>
        <v>5528.88</v>
      </c>
      <c r="T25" s="14">
        <f>ROUND(I25*ROUND(Q25, 2), 2)</f>
        <v>21668.85</v>
      </c>
      <c r="U25" s="14">
        <f>S25+T25</f>
        <v>27197.73</v>
      </c>
    </row>
    <row r="26" spans="1:21" ht="72" x14ac:dyDescent="0.45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120">
        <v>6.3</v>
      </c>
      <c r="J26" s="126"/>
      <c r="K26" s="138"/>
      <c r="L26" s="114"/>
      <c r="M26" s="117"/>
      <c r="N26" s="114"/>
      <c r="P26" s="107">
        <v>102.33</v>
      </c>
      <c r="Q26" s="100"/>
      <c r="R26" s="101"/>
      <c r="S26" s="90">
        <f>ROUND(ROUND(P26, 2)*I26, 2)</f>
        <v>644.67999999999995</v>
      </c>
    </row>
    <row r="27" spans="1:21" ht="36" x14ac:dyDescent="0.45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120">
        <v>26.46</v>
      </c>
      <c r="J27" s="126"/>
      <c r="K27" s="138"/>
      <c r="L27" s="114"/>
      <c r="M27" s="117"/>
      <c r="N27" s="114"/>
      <c r="P27" s="107">
        <v>104.57</v>
      </c>
      <c r="Q27" s="100"/>
      <c r="R27" s="101"/>
      <c r="S27" s="90">
        <f>ROUND(ROUND(P27, 2)*I27, 2)</f>
        <v>2766.92</v>
      </c>
    </row>
    <row r="28" spans="1:21" ht="23.4" x14ac:dyDescent="0.45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121">
        <v>25.640999999999998</v>
      </c>
      <c r="J28" s="126"/>
      <c r="K28" s="138"/>
      <c r="L28" s="114"/>
      <c r="M28" s="117"/>
      <c r="N28" s="114"/>
      <c r="P28" s="107">
        <v>64.56</v>
      </c>
      <c r="Q28" s="100"/>
      <c r="R28" s="101"/>
      <c r="S28" s="90">
        <f>ROUND(ROUND(P28, 2)*I28, 2)</f>
        <v>1655.38</v>
      </c>
    </row>
    <row r="29" spans="1:21" ht="23.4" x14ac:dyDescent="0.45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121">
        <v>8.9459999999999997</v>
      </c>
      <c r="J29" s="126"/>
      <c r="K29" s="138"/>
      <c r="L29" s="114"/>
      <c r="M29" s="117"/>
      <c r="N29" s="114"/>
      <c r="P29" s="107">
        <v>51.63</v>
      </c>
      <c r="Q29" s="100"/>
      <c r="R29" s="101"/>
      <c r="S29" s="90">
        <f>ROUND(ROUND(P29, 2)*I29, 2)</f>
        <v>461.88</v>
      </c>
    </row>
    <row r="30" spans="1:21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19">
        <v>25.4</v>
      </c>
      <c r="J30" s="125"/>
      <c r="K30" s="139"/>
      <c r="L30" s="123"/>
      <c r="M30" s="116"/>
      <c r="N30" s="116"/>
      <c r="O30" s="84"/>
      <c r="P30" s="102">
        <f>IFERROR(ROUND(SUM(S31,S32,S33,S34)/I30, 2),0)</f>
        <v>3631.1</v>
      </c>
      <c r="Q30" s="106">
        <v>3439.5</v>
      </c>
      <c r="R30" s="104">
        <f>P30+ROUND(Q30, 2)</f>
        <v>7070.6</v>
      </c>
      <c r="S30" s="89">
        <f>ROUND(P30*I30, 2)</f>
        <v>92229.94</v>
      </c>
      <c r="T30" s="14">
        <f>ROUND(I30*ROUND(Q30, 2), 2)</f>
        <v>87363.3</v>
      </c>
      <c r="U30" s="14">
        <f>S30+T30</f>
        <v>179593.24</v>
      </c>
    </row>
    <row r="31" spans="1:21" ht="23.4" x14ac:dyDescent="0.45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121">
        <v>103.378</v>
      </c>
      <c r="J31" s="126"/>
      <c r="K31" s="138"/>
      <c r="L31" s="114"/>
      <c r="M31" s="117"/>
      <c r="N31" s="114"/>
      <c r="P31" s="107">
        <v>64.56</v>
      </c>
      <c r="Q31" s="100"/>
      <c r="R31" s="101"/>
      <c r="S31" s="90">
        <f>ROUND(ROUND(P31, 2)*I31, 2)</f>
        <v>6674.08</v>
      </c>
    </row>
    <row r="32" spans="1:21" ht="23.4" x14ac:dyDescent="0.45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121">
        <v>36.067999999999998</v>
      </c>
      <c r="J32" s="126"/>
      <c r="K32" s="138"/>
      <c r="L32" s="114"/>
      <c r="M32" s="117"/>
      <c r="N32" s="114"/>
      <c r="P32" s="107">
        <v>51.63</v>
      </c>
      <c r="Q32" s="100"/>
      <c r="R32" s="101"/>
      <c r="S32" s="90">
        <f>ROUND(ROUND(P32, 2)*I32, 2)</f>
        <v>1862.19</v>
      </c>
    </row>
    <row r="33" spans="1:21" ht="36" x14ac:dyDescent="0.45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120">
        <v>53.34</v>
      </c>
      <c r="J33" s="126"/>
      <c r="K33" s="138"/>
      <c r="L33" s="114"/>
      <c r="M33" s="117"/>
      <c r="N33" s="114"/>
      <c r="P33" s="107">
        <v>1520.33</v>
      </c>
      <c r="Q33" s="100"/>
      <c r="R33" s="101"/>
      <c r="S33" s="90">
        <f>ROUND(ROUND(P33, 2)*I33, 2)</f>
        <v>81094.399999999994</v>
      </c>
    </row>
    <row r="34" spans="1:21" ht="72" x14ac:dyDescent="0.45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120">
        <v>25.4</v>
      </c>
      <c r="J34" s="126"/>
      <c r="K34" s="138"/>
      <c r="L34" s="114"/>
      <c r="M34" s="117"/>
      <c r="N34" s="114"/>
      <c r="P34" s="107">
        <v>102.33</v>
      </c>
      <c r="Q34" s="100"/>
      <c r="R34" s="101"/>
      <c r="S34" s="90">
        <f>ROUND(ROUND(P34, 2)*I34, 2)</f>
        <v>2599.1799999999998</v>
      </c>
    </row>
    <row r="35" spans="1:21" ht="90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19">
        <v>0</v>
      </c>
      <c r="J35" s="125"/>
      <c r="K35" s="139"/>
      <c r="L35" s="123"/>
      <c r="M35" s="116"/>
      <c r="N35" s="116"/>
      <c r="O35" s="84"/>
      <c r="P35" s="102">
        <f>IFERROR(ROUND(SUM(S36,S37,S38,S39)/I35, 2),0)</f>
        <v>0</v>
      </c>
      <c r="Q35" s="103">
        <v>1064</v>
      </c>
      <c r="R35" s="104">
        <f>P35+ROUND(Q35, 2)</f>
        <v>1064</v>
      </c>
      <c r="S35" s="89">
        <f>ROUND(P35*I35, 2)</f>
        <v>0</v>
      </c>
      <c r="T35" s="14">
        <f>ROUND(I35*ROUND(Q35, 2), 2)</f>
        <v>0</v>
      </c>
      <c r="U35" s="14">
        <f>S35+T35</f>
        <v>0</v>
      </c>
    </row>
    <row r="36" spans="1:21" ht="72" x14ac:dyDescent="0.45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120">
        <v>0</v>
      </c>
      <c r="J36" s="126"/>
      <c r="K36" s="138"/>
      <c r="L36" s="114"/>
      <c r="M36" s="117"/>
      <c r="N36" s="114"/>
      <c r="P36" s="105">
        <v>43.7</v>
      </c>
      <c r="Q36" s="100"/>
      <c r="R36" s="101"/>
      <c r="S36" s="90">
        <f>ROUND(ROUND(P36, 2)*I36, 2)</f>
        <v>0</v>
      </c>
    </row>
    <row r="37" spans="1:21" ht="36" x14ac:dyDescent="0.45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120">
        <v>0</v>
      </c>
      <c r="J37" s="126"/>
      <c r="K37" s="138"/>
      <c r="L37" s="114"/>
      <c r="M37" s="117"/>
      <c r="N37" s="114"/>
      <c r="P37" s="105">
        <v>104.57</v>
      </c>
      <c r="Q37" s="100"/>
      <c r="R37" s="101"/>
      <c r="S37" s="90">
        <f>ROUND(ROUND(P37, 2)*I37, 2)</f>
        <v>0</v>
      </c>
    </row>
    <row r="38" spans="1:21" ht="23.4" x14ac:dyDescent="0.45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120">
        <v>0</v>
      </c>
      <c r="J38" s="126"/>
      <c r="K38" s="138"/>
      <c r="L38" s="114"/>
      <c r="M38" s="117"/>
      <c r="N38" s="114"/>
      <c r="P38" s="105">
        <v>64.56</v>
      </c>
      <c r="Q38" s="100"/>
      <c r="R38" s="101"/>
      <c r="S38" s="90">
        <f>ROUND(ROUND(P38, 2)*I38, 2)</f>
        <v>0</v>
      </c>
    </row>
    <row r="39" spans="1:21" ht="23.4" x14ac:dyDescent="0.45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120">
        <v>0</v>
      </c>
      <c r="J39" s="126"/>
      <c r="K39" s="138"/>
      <c r="L39" s="114"/>
      <c r="M39" s="117"/>
      <c r="N39" s="114"/>
      <c r="P39" s="105">
        <v>35.76</v>
      </c>
      <c r="Q39" s="100"/>
      <c r="R39" s="101"/>
      <c r="S39" s="90">
        <f>ROUND(ROUND(P39, 2)*I39, 2)</f>
        <v>0</v>
      </c>
    </row>
    <row r="40" spans="1:21" ht="144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19">
        <v>45.4</v>
      </c>
      <c r="J40" s="125"/>
      <c r="K40" s="139"/>
      <c r="L40" s="123"/>
      <c r="M40" s="116"/>
      <c r="N40" s="116"/>
      <c r="O40" s="84"/>
      <c r="P40" s="102">
        <f>IFERROR(ROUND(SUM(S41,S42,S43,S44)/I40, 2),0)</f>
        <v>484.89</v>
      </c>
      <c r="Q40" s="106">
        <v>1596</v>
      </c>
      <c r="R40" s="104">
        <f>P40+ROUND(Q40, 2)</f>
        <v>2080.89</v>
      </c>
      <c r="S40" s="89">
        <f>ROUND(P40*I40, 2)</f>
        <v>22014.01</v>
      </c>
      <c r="T40" s="14">
        <f>ROUND(I40*ROUND(Q40, 2), 2)</f>
        <v>72458.399999999994</v>
      </c>
      <c r="U40" s="14">
        <f>S40+T40</f>
        <v>94472.409999999989</v>
      </c>
    </row>
    <row r="41" spans="1:21" ht="23.4" x14ac:dyDescent="0.45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120">
        <v>36.32</v>
      </c>
      <c r="J41" s="126"/>
      <c r="K41" s="138"/>
      <c r="L41" s="114"/>
      <c r="M41" s="117"/>
      <c r="N41" s="114"/>
      <c r="P41" s="107">
        <v>35.76</v>
      </c>
      <c r="Q41" s="100"/>
      <c r="R41" s="101"/>
      <c r="S41" s="90">
        <f>ROUND(ROUND(P41, 2)*I41, 2)</f>
        <v>1298.8</v>
      </c>
    </row>
    <row r="42" spans="1:21" ht="23.4" x14ac:dyDescent="0.45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120">
        <v>36.32</v>
      </c>
      <c r="J42" s="126"/>
      <c r="K42" s="138"/>
      <c r="L42" s="114"/>
      <c r="M42" s="117"/>
      <c r="N42" s="114"/>
      <c r="P42" s="107">
        <v>51.63</v>
      </c>
      <c r="Q42" s="100"/>
      <c r="R42" s="101"/>
      <c r="S42" s="90">
        <f>ROUND(ROUND(P42, 2)*I42, 2)</f>
        <v>1875.2</v>
      </c>
    </row>
    <row r="43" spans="1:21" ht="23.4" x14ac:dyDescent="0.45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120">
        <v>54.48</v>
      </c>
      <c r="J43" s="126"/>
      <c r="K43" s="138"/>
      <c r="L43" s="114"/>
      <c r="M43" s="117"/>
      <c r="N43" s="114"/>
      <c r="P43" s="107">
        <v>309.39999999999998</v>
      </c>
      <c r="Q43" s="100"/>
      <c r="R43" s="101"/>
      <c r="S43" s="90">
        <f>ROUND(ROUND(P43, 2)*I43, 2)</f>
        <v>16856.11</v>
      </c>
    </row>
    <row r="44" spans="1:21" ht="72" x14ac:dyDescent="0.45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120">
        <v>45.4</v>
      </c>
      <c r="J44" s="126"/>
      <c r="K44" s="138"/>
      <c r="L44" s="114"/>
      <c r="M44" s="117"/>
      <c r="N44" s="114"/>
      <c r="P44" s="107">
        <v>43.7</v>
      </c>
      <c r="Q44" s="100"/>
      <c r="R44" s="101"/>
      <c r="S44" s="90">
        <f>ROUND(ROUND(P44, 2)*I44, 2)</f>
        <v>1983.98</v>
      </c>
    </row>
    <row r="45" spans="1:21" ht="90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19">
        <v>0</v>
      </c>
      <c r="J45" s="125"/>
      <c r="K45" s="139"/>
      <c r="L45" s="123"/>
      <c r="M45" s="116"/>
      <c r="N45" s="116"/>
      <c r="O45" s="84"/>
      <c r="P45" s="102">
        <f>IFERROR(ROUND(SUM(S46,S47,S48,S49)/I45, 2),0)</f>
        <v>0</v>
      </c>
      <c r="Q45" s="103">
        <v>1225</v>
      </c>
      <c r="R45" s="104">
        <f>P45+ROUND(Q45, 2)</f>
        <v>1225</v>
      </c>
      <c r="S45" s="89">
        <f>ROUND(P45*I45, 2)</f>
        <v>0</v>
      </c>
      <c r="T45" s="14">
        <f>ROUND(I45*ROUND(Q45, 2), 2)</f>
        <v>0</v>
      </c>
      <c r="U45" s="14">
        <f>S45+T45</f>
        <v>0</v>
      </c>
    </row>
    <row r="46" spans="1:21" ht="72" x14ac:dyDescent="0.45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120">
        <v>0</v>
      </c>
      <c r="J46" s="126"/>
      <c r="K46" s="138"/>
      <c r="L46" s="114"/>
      <c r="M46" s="117"/>
      <c r="N46" s="114"/>
      <c r="P46" s="105">
        <v>111.15</v>
      </c>
      <c r="Q46" s="100"/>
      <c r="R46" s="101"/>
      <c r="S46" s="90">
        <f>ROUND(ROUND(P46, 2)*I46, 2)</f>
        <v>0</v>
      </c>
    </row>
    <row r="47" spans="1:21" ht="23.4" x14ac:dyDescent="0.45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120">
        <v>0</v>
      </c>
      <c r="J47" s="126"/>
      <c r="K47" s="138"/>
      <c r="L47" s="114"/>
      <c r="M47" s="117"/>
      <c r="N47" s="114"/>
      <c r="P47" s="105">
        <v>64.56</v>
      </c>
      <c r="Q47" s="100"/>
      <c r="R47" s="101"/>
      <c r="S47" s="90">
        <f>ROUND(ROUND(P47, 2)*I47, 2)</f>
        <v>0</v>
      </c>
    </row>
    <row r="48" spans="1:21" ht="23.4" x14ac:dyDescent="0.45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120">
        <v>0</v>
      </c>
      <c r="J48" s="126"/>
      <c r="K48" s="138"/>
      <c r="L48" s="114"/>
      <c r="M48" s="117"/>
      <c r="N48" s="114"/>
      <c r="P48" s="105">
        <v>51.63</v>
      </c>
      <c r="Q48" s="100"/>
      <c r="R48" s="101"/>
      <c r="S48" s="90">
        <f>ROUND(ROUND(P48, 2)*I48, 2)</f>
        <v>0</v>
      </c>
    </row>
    <row r="49" spans="1:21" ht="36" x14ac:dyDescent="0.45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120">
        <v>0</v>
      </c>
      <c r="J49" s="126"/>
      <c r="K49" s="138"/>
      <c r="L49" s="114"/>
      <c r="M49" s="117"/>
      <c r="N49" s="114"/>
      <c r="P49" s="105">
        <v>104.57</v>
      </c>
      <c r="Q49" s="100"/>
      <c r="R49" s="101"/>
      <c r="S49" s="90">
        <f>ROUND(ROUND(P49, 2)*I49, 2)</f>
        <v>0</v>
      </c>
    </row>
    <row r="50" spans="1:21" ht="10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19">
        <v>6.4</v>
      </c>
      <c r="J50" s="125"/>
      <c r="K50" s="139"/>
      <c r="L50" s="123"/>
      <c r="M50" s="116"/>
      <c r="N50" s="116"/>
      <c r="O50" s="84"/>
      <c r="P50" s="102">
        <f>IFERROR(ROUND(SUM(S51,S52,S53,S54)/I50, 2),0)</f>
        <v>518.09</v>
      </c>
      <c r="Q50" s="106">
        <v>1837.5</v>
      </c>
      <c r="R50" s="104">
        <f>P50+ROUND(Q50, 2)</f>
        <v>2355.59</v>
      </c>
      <c r="S50" s="89">
        <f>ROUND(P50*I50, 2)</f>
        <v>3315.78</v>
      </c>
      <c r="T50" s="14">
        <f>ROUND(I50*ROUND(Q50, 2), 2)</f>
        <v>11760</v>
      </c>
      <c r="U50" s="14">
        <f>S50+T50</f>
        <v>15075.78</v>
      </c>
    </row>
    <row r="51" spans="1:21" ht="36" x14ac:dyDescent="0.45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120">
        <v>14.08</v>
      </c>
      <c r="J51" s="126"/>
      <c r="K51" s="138"/>
      <c r="L51" s="114"/>
      <c r="M51" s="117"/>
      <c r="N51" s="114"/>
      <c r="P51" s="107">
        <v>104.57</v>
      </c>
      <c r="Q51" s="100"/>
      <c r="R51" s="101"/>
      <c r="S51" s="90">
        <f>ROUND(ROUND(P51, 2)*I51, 2)</f>
        <v>1472.35</v>
      </c>
    </row>
    <row r="52" spans="1:21" ht="23.4" x14ac:dyDescent="0.45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120">
        <v>13.44</v>
      </c>
      <c r="J52" s="126"/>
      <c r="K52" s="138"/>
      <c r="L52" s="114"/>
      <c r="M52" s="117"/>
      <c r="N52" s="114"/>
      <c r="P52" s="107">
        <v>64.56</v>
      </c>
      <c r="Q52" s="100"/>
      <c r="R52" s="101"/>
      <c r="S52" s="90">
        <f>ROUND(ROUND(P52, 2)*I52, 2)</f>
        <v>867.69</v>
      </c>
    </row>
    <row r="53" spans="1:21" ht="23.4" x14ac:dyDescent="0.45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120">
        <v>5.12</v>
      </c>
      <c r="J53" s="126"/>
      <c r="K53" s="138"/>
      <c r="L53" s="114"/>
      <c r="M53" s="117"/>
      <c r="N53" s="114"/>
      <c r="P53" s="107">
        <v>51.63</v>
      </c>
      <c r="Q53" s="100"/>
      <c r="R53" s="101"/>
      <c r="S53" s="90">
        <f>ROUND(ROUND(P53, 2)*I53, 2)</f>
        <v>264.35000000000002</v>
      </c>
    </row>
    <row r="54" spans="1:21" ht="72" x14ac:dyDescent="0.45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120">
        <v>6.4</v>
      </c>
      <c r="J54" s="126"/>
      <c r="K54" s="138"/>
      <c r="L54" s="114"/>
      <c r="M54" s="117"/>
      <c r="N54" s="114"/>
      <c r="P54" s="107">
        <v>111.15</v>
      </c>
      <c r="Q54" s="100"/>
      <c r="R54" s="101"/>
      <c r="S54" s="90">
        <f>ROUND(ROUND(P54, 2)*I54, 2)</f>
        <v>711.36</v>
      </c>
    </row>
    <row r="55" spans="1:21" ht="16.95" customHeight="1" x14ac:dyDescent="0.45">
      <c r="A55" s="10" t="s">
        <v>239</v>
      </c>
      <c r="B55" s="10" t="s">
        <v>240</v>
      </c>
      <c r="C55" s="153" t="s">
        <v>241</v>
      </c>
      <c r="D55" s="154"/>
      <c r="E55" s="154"/>
      <c r="F55" s="154"/>
      <c r="G55" s="154"/>
      <c r="H55" s="154"/>
      <c r="I55" s="154"/>
      <c r="J55" s="124"/>
      <c r="K55" s="138"/>
      <c r="L55" s="114"/>
      <c r="M55" s="115"/>
      <c r="N55" s="115"/>
      <c r="O55" s="83"/>
      <c r="P55" s="99"/>
      <c r="Q55" s="100"/>
      <c r="R55" s="101"/>
      <c r="S55" s="88">
        <f t="shared" ref="S55:U56" si="1">SUM(S56)</f>
        <v>22773018.530000001</v>
      </c>
      <c r="T55" s="6">
        <f t="shared" si="1"/>
        <v>47252446.670000002</v>
      </c>
      <c r="U55" s="6">
        <f t="shared" si="1"/>
        <v>70025465.200000003</v>
      </c>
    </row>
    <row r="56" spans="1:21" ht="16.95" customHeight="1" x14ac:dyDescent="0.45">
      <c r="A56" s="10" t="s">
        <v>242</v>
      </c>
      <c r="B56" s="10" t="s">
        <v>243</v>
      </c>
      <c r="C56" s="153" t="s">
        <v>244</v>
      </c>
      <c r="D56" s="154"/>
      <c r="E56" s="154"/>
      <c r="F56" s="154"/>
      <c r="G56" s="154"/>
      <c r="H56" s="154"/>
      <c r="I56" s="154"/>
      <c r="J56" s="124"/>
      <c r="K56" s="138"/>
      <c r="L56" s="114"/>
      <c r="M56" s="115"/>
      <c r="N56" s="115"/>
      <c r="O56" s="83"/>
      <c r="P56" s="99"/>
      <c r="Q56" s="100"/>
      <c r="R56" s="101"/>
      <c r="S56" s="88">
        <f t="shared" si="1"/>
        <v>22773018.530000001</v>
      </c>
      <c r="T56" s="6">
        <f t="shared" si="1"/>
        <v>47252446.670000002</v>
      </c>
      <c r="U56" s="6">
        <f t="shared" si="1"/>
        <v>70025465.200000003</v>
      </c>
    </row>
    <row r="57" spans="1:21" ht="16.95" customHeight="1" x14ac:dyDescent="0.45">
      <c r="A57" s="10" t="s">
        <v>245</v>
      </c>
      <c r="B57" s="10" t="s">
        <v>246</v>
      </c>
      <c r="C57" s="153" t="s">
        <v>247</v>
      </c>
      <c r="D57" s="154"/>
      <c r="E57" s="154"/>
      <c r="F57" s="154"/>
      <c r="G57" s="154"/>
      <c r="H57" s="154"/>
      <c r="I57" s="154"/>
      <c r="J57" s="124"/>
      <c r="K57" s="138"/>
      <c r="L57" s="114"/>
      <c r="M57" s="115"/>
      <c r="N57" s="115"/>
      <c r="O57" s="83"/>
      <c r="P57" s="99"/>
      <c r="Q57" s="100"/>
      <c r="R57" s="101"/>
      <c r="S57" s="88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</row>
    <row r="58" spans="1:21" ht="16.95" customHeight="1" x14ac:dyDescent="0.45">
      <c r="A58" s="10" t="s">
        <v>248</v>
      </c>
      <c r="B58" s="10" t="s">
        <v>249</v>
      </c>
      <c r="C58" s="153" t="s">
        <v>250</v>
      </c>
      <c r="D58" s="154"/>
      <c r="E58" s="154"/>
      <c r="F58" s="154"/>
      <c r="G58" s="154"/>
      <c r="H58" s="154"/>
      <c r="I58" s="154"/>
      <c r="J58" s="124"/>
      <c r="K58" s="138"/>
      <c r="L58" s="114"/>
      <c r="M58" s="115"/>
      <c r="N58" s="115"/>
      <c r="O58" s="83"/>
      <c r="P58" s="99"/>
      <c r="Q58" s="100"/>
      <c r="R58" s="101"/>
      <c r="S58" s="88">
        <f>SUM(S59,S255)</f>
        <v>12112476.130000001</v>
      </c>
      <c r="T58" s="6">
        <f>SUM(T59,T255)</f>
        <v>16768755.77</v>
      </c>
      <c r="U58" s="6">
        <f>SUM(U59,U255)</f>
        <v>28881231.900000002</v>
      </c>
    </row>
    <row r="59" spans="1:21" ht="16.95" customHeight="1" x14ac:dyDescent="0.45">
      <c r="A59" s="10" t="s">
        <v>251</v>
      </c>
      <c r="B59" s="10" t="s">
        <v>252</v>
      </c>
      <c r="C59" s="153" t="s">
        <v>253</v>
      </c>
      <c r="D59" s="154"/>
      <c r="E59" s="154"/>
      <c r="F59" s="154"/>
      <c r="G59" s="154"/>
      <c r="H59" s="154"/>
      <c r="I59" s="154"/>
      <c r="J59" s="124"/>
      <c r="K59" s="138"/>
      <c r="L59" s="114"/>
      <c r="M59" s="115"/>
      <c r="N59" s="115"/>
      <c r="O59" s="83"/>
      <c r="P59" s="99"/>
      <c r="Q59" s="100"/>
      <c r="R59" s="101"/>
      <c r="S59" s="88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16725241.969999999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</row>
    <row r="60" spans="1:21" ht="31.8" customHeight="1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19">
        <v>0</v>
      </c>
      <c r="J60" s="125"/>
      <c r="K60" s="139"/>
      <c r="L60" s="123"/>
      <c r="M60" s="116"/>
      <c r="N60" s="116"/>
      <c r="O60" s="84"/>
      <c r="P60" s="102">
        <f>IFERROR(ROUND(SUM(S61,S62,S63)/I60, 2),0)</f>
        <v>0</v>
      </c>
      <c r="Q60" s="103">
        <v>556</v>
      </c>
      <c r="R60" s="104">
        <f>P60+ROUND(Q60, 2)</f>
        <v>556</v>
      </c>
      <c r="S60" s="89">
        <f>ROUND(P60*I60, 2)</f>
        <v>0</v>
      </c>
      <c r="T60" s="14">
        <f>ROUND(I60*ROUND(Q60, 2), 2)</f>
        <v>0</v>
      </c>
      <c r="U60" s="14">
        <f>S60+T60</f>
        <v>0</v>
      </c>
    </row>
    <row r="61" spans="1:21" ht="23.4" x14ac:dyDescent="0.45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120">
        <v>0</v>
      </c>
      <c r="J61" s="126"/>
      <c r="K61" s="138"/>
      <c r="L61" s="114"/>
      <c r="M61" s="117"/>
      <c r="N61" s="114"/>
      <c r="P61" s="105">
        <v>220</v>
      </c>
      <c r="Q61" s="100"/>
      <c r="R61" s="101"/>
      <c r="S61" s="90">
        <f>ROUND(ROUND(P61, 2)*I61, 2)</f>
        <v>0</v>
      </c>
    </row>
    <row r="62" spans="1:21" ht="72" x14ac:dyDescent="0.45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121">
        <v>0</v>
      </c>
      <c r="J62" s="126"/>
      <c r="K62" s="138"/>
      <c r="L62" s="114"/>
      <c r="M62" s="117"/>
      <c r="N62" s="114"/>
      <c r="P62" s="105">
        <v>51</v>
      </c>
      <c r="Q62" s="100"/>
      <c r="R62" s="101"/>
      <c r="S62" s="90">
        <f>ROUND(ROUND(P62, 2)*I62, 2)</f>
        <v>0</v>
      </c>
    </row>
    <row r="63" spans="1:21" ht="72" x14ac:dyDescent="0.45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121">
        <v>0</v>
      </c>
      <c r="J63" s="126"/>
      <c r="K63" s="138"/>
      <c r="L63" s="114"/>
      <c r="M63" s="117"/>
      <c r="N63" s="114"/>
      <c r="P63" s="105">
        <v>1339</v>
      </c>
      <c r="Q63" s="100"/>
      <c r="R63" s="101"/>
      <c r="S63" s="90">
        <f>ROUND(ROUND(P63, 2)*I63, 2)</f>
        <v>0</v>
      </c>
    </row>
    <row r="64" spans="1:21" ht="54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19">
        <v>0</v>
      </c>
      <c r="J64" s="125"/>
      <c r="K64" s="139"/>
      <c r="L64" s="123"/>
      <c r="M64" s="116"/>
      <c r="N64" s="116"/>
      <c r="O64" s="84"/>
      <c r="P64" s="102">
        <f>IFERROR(ROUND(SUM(S65,S66,S67)/I64, 2),0)</f>
        <v>0</v>
      </c>
      <c r="Q64" s="103">
        <v>556</v>
      </c>
      <c r="R64" s="104">
        <f>P64+ROUND(Q64, 2)</f>
        <v>556</v>
      </c>
      <c r="S64" s="89">
        <f>ROUND(P64*I64, 2)</f>
        <v>0</v>
      </c>
      <c r="T64" s="14">
        <f>ROUND(I64*ROUND(Q64, 2), 2)</f>
        <v>0</v>
      </c>
      <c r="U64" s="14">
        <f>S64+T64</f>
        <v>0</v>
      </c>
    </row>
    <row r="65" spans="1:21" ht="54" x14ac:dyDescent="0.45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121">
        <v>0</v>
      </c>
      <c r="J65" s="126"/>
      <c r="K65" s="138"/>
      <c r="L65" s="114"/>
      <c r="M65" s="117"/>
      <c r="N65" s="114"/>
      <c r="P65" s="105">
        <v>1339</v>
      </c>
      <c r="Q65" s="100"/>
      <c r="R65" s="101"/>
      <c r="S65" s="90">
        <f>ROUND(ROUND(P65, 2)*I65, 2)</f>
        <v>0</v>
      </c>
    </row>
    <row r="66" spans="1:21" ht="72" x14ac:dyDescent="0.45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121">
        <v>0</v>
      </c>
      <c r="J66" s="126"/>
      <c r="K66" s="138"/>
      <c r="L66" s="114"/>
      <c r="M66" s="117"/>
      <c r="N66" s="114"/>
      <c r="P66" s="105">
        <v>51</v>
      </c>
      <c r="Q66" s="100"/>
      <c r="R66" s="101"/>
      <c r="S66" s="90">
        <f>ROUND(ROUND(P66, 2)*I66, 2)</f>
        <v>0</v>
      </c>
    </row>
    <row r="67" spans="1:21" ht="23.4" x14ac:dyDescent="0.45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120">
        <v>0</v>
      </c>
      <c r="J67" s="126"/>
      <c r="K67" s="138"/>
      <c r="L67" s="114"/>
      <c r="M67" s="117"/>
      <c r="N67" s="114"/>
      <c r="P67" s="105">
        <v>220</v>
      </c>
      <c r="Q67" s="100"/>
      <c r="R67" s="101"/>
      <c r="S67" s="90">
        <f>ROUND(ROUND(P67, 2)*I67, 2)</f>
        <v>0</v>
      </c>
    </row>
    <row r="68" spans="1:21" ht="54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19">
        <v>0</v>
      </c>
      <c r="J68" s="125"/>
      <c r="K68" s="139"/>
      <c r="L68" s="123"/>
      <c r="M68" s="116"/>
      <c r="N68" s="116"/>
      <c r="O68" s="84"/>
      <c r="P68" s="102">
        <f>IFERROR(ROUND(SUM(S69,S70,S71)/I68, 2),0)</f>
        <v>0</v>
      </c>
      <c r="Q68" s="103">
        <v>556</v>
      </c>
      <c r="R68" s="104">
        <f>P68+ROUND(Q68, 2)</f>
        <v>556</v>
      </c>
      <c r="S68" s="89">
        <f>ROUND(P68*I68, 2)</f>
        <v>0</v>
      </c>
      <c r="T68" s="14">
        <f>ROUND(I68*ROUND(Q68, 2), 2)</f>
        <v>0</v>
      </c>
      <c r="U68" s="14">
        <f>S68+T68</f>
        <v>0</v>
      </c>
    </row>
    <row r="69" spans="1:21" ht="23.4" x14ac:dyDescent="0.45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120">
        <v>0</v>
      </c>
      <c r="J69" s="126"/>
      <c r="K69" s="138"/>
      <c r="L69" s="114"/>
      <c r="M69" s="117"/>
      <c r="N69" s="114"/>
      <c r="P69" s="105">
        <v>220</v>
      </c>
      <c r="Q69" s="100"/>
      <c r="R69" s="101"/>
      <c r="S69" s="90">
        <f>ROUND(ROUND(P69, 2)*I69, 2)</f>
        <v>0</v>
      </c>
    </row>
    <row r="70" spans="1:21" ht="72" x14ac:dyDescent="0.45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121">
        <v>0</v>
      </c>
      <c r="J70" s="126"/>
      <c r="K70" s="138"/>
      <c r="L70" s="114"/>
      <c r="M70" s="117"/>
      <c r="N70" s="114"/>
      <c r="P70" s="105">
        <v>51</v>
      </c>
      <c r="Q70" s="100"/>
      <c r="R70" s="101"/>
      <c r="S70" s="90">
        <f>ROUND(ROUND(P70, 2)*I70, 2)</f>
        <v>0</v>
      </c>
    </row>
    <row r="71" spans="1:21" ht="54" x14ac:dyDescent="0.45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121">
        <v>0</v>
      </c>
      <c r="J71" s="126"/>
      <c r="K71" s="138"/>
      <c r="L71" s="114"/>
      <c r="M71" s="117"/>
      <c r="N71" s="114"/>
      <c r="P71" s="105">
        <v>1339</v>
      </c>
      <c r="Q71" s="100"/>
      <c r="R71" s="101"/>
      <c r="S71" s="90">
        <f>ROUND(ROUND(P71, 2)*I71, 2)</f>
        <v>0</v>
      </c>
    </row>
    <row r="72" spans="1:21" ht="41.4" customHeight="1" x14ac:dyDescent="0.3">
      <c r="A72" s="80" t="s">
        <v>326</v>
      </c>
      <c r="B72" s="80" t="s">
        <v>255</v>
      </c>
      <c r="C72" s="147" t="s">
        <v>256</v>
      </c>
      <c r="D72" s="148" t="s">
        <v>257</v>
      </c>
      <c r="E72" s="148" t="s">
        <v>262</v>
      </c>
      <c r="F72" s="148" t="s">
        <v>59</v>
      </c>
      <c r="G72" s="149">
        <v>1</v>
      </c>
      <c r="H72" s="152">
        <v>1</v>
      </c>
      <c r="I72" s="151">
        <v>435.4</v>
      </c>
      <c r="J72" s="125"/>
      <c r="K72" s="139"/>
      <c r="L72" s="123"/>
      <c r="M72" s="116"/>
      <c r="N72" s="116"/>
      <c r="O72" s="85"/>
      <c r="P72" s="108">
        <f>IFERROR(ROUND(SUM(S73,S74,S75)/I72, 2),0)</f>
        <v>1580.6</v>
      </c>
      <c r="Q72" s="109">
        <v>834</v>
      </c>
      <c r="R72" s="110">
        <f>P72+ROUND(Q72, 2)</f>
        <v>2414.6</v>
      </c>
      <c r="S72" s="91">
        <f>ROUND(P72*I72, 2)</f>
        <v>688193.24</v>
      </c>
      <c r="T72" s="77">
        <f>ROUND(I72*ROUND(Q72, 2), 2)</f>
        <v>363123.6</v>
      </c>
      <c r="U72" s="77">
        <f>S72+T72</f>
        <v>1051316.8399999999</v>
      </c>
    </row>
    <row r="73" spans="1:21" ht="72" x14ac:dyDescent="0.45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79"/>
      <c r="I73" s="121">
        <v>478.94</v>
      </c>
      <c r="J73" s="126"/>
      <c r="K73" s="138"/>
      <c r="L73" s="114"/>
      <c r="M73" s="117"/>
      <c r="N73" s="114"/>
      <c r="P73" s="107">
        <v>1339</v>
      </c>
      <c r="Q73" s="100"/>
      <c r="R73" s="101"/>
      <c r="S73" s="90">
        <f>ROUND(ROUND(P73, 2)*I73, 2)</f>
        <v>641300.66</v>
      </c>
    </row>
    <row r="74" spans="1:21" ht="72" x14ac:dyDescent="0.45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79"/>
      <c r="I74" s="121">
        <v>356</v>
      </c>
      <c r="J74" s="126"/>
      <c r="K74" s="138"/>
      <c r="L74" s="114"/>
      <c r="M74" s="117"/>
      <c r="N74" s="114"/>
      <c r="P74" s="107">
        <v>51</v>
      </c>
      <c r="Q74" s="100"/>
      <c r="R74" s="101"/>
      <c r="S74" s="90">
        <f>ROUND(ROUND(P74, 2)*I74, 2)</f>
        <v>18156</v>
      </c>
    </row>
    <row r="75" spans="1:21" ht="23.4" x14ac:dyDescent="0.45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79"/>
      <c r="I75" s="120">
        <v>130.62</v>
      </c>
      <c r="J75" s="126"/>
      <c r="K75" s="138"/>
      <c r="L75" s="114"/>
      <c r="M75" s="117"/>
      <c r="N75" s="114"/>
      <c r="P75" s="107">
        <v>220</v>
      </c>
      <c r="Q75" s="100"/>
      <c r="R75" s="101"/>
      <c r="S75" s="90">
        <f>ROUND(ROUND(P75, 2)*I75, 2)</f>
        <v>28736.400000000001</v>
      </c>
    </row>
    <row r="76" spans="1:21" ht="34.200000000000003" customHeight="1" x14ac:dyDescent="0.3">
      <c r="A76" s="73" t="s">
        <v>336</v>
      </c>
      <c r="B76" s="73" t="s">
        <v>255</v>
      </c>
      <c r="C76" s="74" t="s">
        <v>256</v>
      </c>
      <c r="D76" s="75" t="s">
        <v>257</v>
      </c>
      <c r="E76" s="75" t="s">
        <v>288</v>
      </c>
      <c r="F76" s="75" t="s">
        <v>59</v>
      </c>
      <c r="G76" s="76">
        <v>1</v>
      </c>
      <c r="H76" s="78">
        <v>0.5</v>
      </c>
      <c r="I76" s="122">
        <v>1236</v>
      </c>
      <c r="J76" s="143">
        <v>696.7</v>
      </c>
      <c r="K76" s="144">
        <f>J76*R76</f>
        <v>1669328.0350000001</v>
      </c>
      <c r="L76" s="123"/>
      <c r="M76" s="116"/>
      <c r="N76" s="116"/>
      <c r="O76" s="85"/>
      <c r="P76" s="108">
        <f>IFERROR(ROUND(SUM(S77,S78,S79)/I76, 2),0)</f>
        <v>1562.05</v>
      </c>
      <c r="Q76" s="109">
        <v>834</v>
      </c>
      <c r="R76" s="110">
        <f>P76+ROUND(Q76, 2)</f>
        <v>2396.0500000000002</v>
      </c>
      <c r="S76" s="91">
        <f>ROUND(P76*I76, 2)</f>
        <v>1930693.8</v>
      </c>
      <c r="T76" s="77">
        <f>ROUND(I76*ROUND(Q76, 2), 2)</f>
        <v>1030824</v>
      </c>
      <c r="U76" s="77">
        <f>S76+T76</f>
        <v>2961517.8</v>
      </c>
    </row>
    <row r="77" spans="1:21" ht="23.4" x14ac:dyDescent="0.45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120">
        <v>370.8</v>
      </c>
      <c r="J77" s="126"/>
      <c r="K77" s="138"/>
      <c r="L77" s="114"/>
      <c r="M77" s="117"/>
      <c r="N77" s="114"/>
      <c r="P77" s="107">
        <v>220</v>
      </c>
      <c r="Q77" s="100"/>
      <c r="R77" s="101"/>
      <c r="S77" s="90">
        <f>ROUND(ROUND(P77, 2)*I77, 2)</f>
        <v>81576</v>
      </c>
    </row>
    <row r="78" spans="1:21" ht="72" x14ac:dyDescent="0.45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121">
        <v>561</v>
      </c>
      <c r="J78" s="126"/>
      <c r="K78" s="138"/>
      <c r="L78" s="114"/>
      <c r="M78" s="117"/>
      <c r="N78" s="114"/>
      <c r="P78" s="107">
        <v>51</v>
      </c>
      <c r="Q78" s="100"/>
      <c r="R78" s="101"/>
      <c r="S78" s="90">
        <f>ROUND(ROUND(P78, 2)*I78, 2)</f>
        <v>28611</v>
      </c>
    </row>
    <row r="79" spans="1:21" ht="54" x14ac:dyDescent="0.45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121">
        <v>1359.6</v>
      </c>
      <c r="J79" s="126"/>
      <c r="K79" s="138"/>
      <c r="L79" s="114"/>
      <c r="M79" s="117"/>
      <c r="N79" s="114"/>
      <c r="P79" s="107">
        <v>1339</v>
      </c>
      <c r="Q79" s="100"/>
      <c r="R79" s="101"/>
      <c r="S79" s="90">
        <f>ROUND(ROUND(P79, 2)*I79, 2)</f>
        <v>1820504.4</v>
      </c>
    </row>
    <row r="80" spans="1:21" ht="39.6" customHeight="1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19">
        <v>2276</v>
      </c>
      <c r="J80" s="125"/>
      <c r="K80" s="139"/>
      <c r="L80" s="123"/>
      <c r="M80" s="116"/>
      <c r="N80" s="116"/>
      <c r="O80" s="84"/>
      <c r="P80" s="102">
        <f>IFERROR(ROUND(SUM(S81,S82)/I80, 2),0)</f>
        <v>89.15</v>
      </c>
      <c r="Q80" s="106">
        <v>834</v>
      </c>
      <c r="R80" s="104">
        <f>P80+ROUND(Q80, 2)</f>
        <v>923.15</v>
      </c>
      <c r="S80" s="89">
        <f>ROUND(P80*I80, 2)</f>
        <v>202905.4</v>
      </c>
      <c r="T80" s="14">
        <f>ROUND(I80*ROUND(Q80, 2), 2)</f>
        <v>1898184</v>
      </c>
      <c r="U80" s="14">
        <f>S80+T80</f>
        <v>2101089.4</v>
      </c>
    </row>
    <row r="81" spans="1:21" ht="72" x14ac:dyDescent="0.45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121">
        <v>1033</v>
      </c>
      <c r="J81" s="126"/>
      <c r="K81" s="138"/>
      <c r="L81" s="114"/>
      <c r="M81" s="117"/>
      <c r="N81" s="114"/>
      <c r="P81" s="107">
        <v>51</v>
      </c>
      <c r="Q81" s="100"/>
      <c r="R81" s="101"/>
      <c r="S81" s="90">
        <f>ROUND(ROUND(P81, 2)*I81, 2)</f>
        <v>52683</v>
      </c>
    </row>
    <row r="82" spans="1:21" ht="23.4" x14ac:dyDescent="0.45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120">
        <v>682.8</v>
      </c>
      <c r="J82" s="126"/>
      <c r="K82" s="138"/>
      <c r="L82" s="114"/>
      <c r="M82" s="117"/>
      <c r="N82" s="114"/>
      <c r="P82" s="107">
        <v>220</v>
      </c>
      <c r="Q82" s="100"/>
      <c r="R82" s="101"/>
      <c r="S82" s="90">
        <f>ROUND(ROUND(P82, 2)*I82, 2)</f>
        <v>150216</v>
      </c>
    </row>
    <row r="83" spans="1:21" ht="22.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19">
        <v>0</v>
      </c>
      <c r="J83" s="125"/>
      <c r="K83" s="139"/>
      <c r="L83" s="123"/>
      <c r="M83" s="116"/>
      <c r="N83" s="116"/>
      <c r="O83" s="84"/>
      <c r="P83" s="102">
        <f>IFERROR(ROUND(SUM(S84,S85)/I83, 2),0)</f>
        <v>0</v>
      </c>
      <c r="Q83" s="103">
        <v>200</v>
      </c>
      <c r="R83" s="104">
        <f>P83+ROUND(Q83, 2)</f>
        <v>200</v>
      </c>
      <c r="S83" s="89">
        <f>ROUND(P83*I83, 2)</f>
        <v>0</v>
      </c>
      <c r="T83" s="14">
        <f>ROUND(I83*ROUND(Q83, 2), 2)</f>
        <v>0</v>
      </c>
      <c r="U83" s="14">
        <f>S83+T83</f>
        <v>0</v>
      </c>
    </row>
    <row r="84" spans="1:21" ht="36" x14ac:dyDescent="0.45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121">
        <v>0</v>
      </c>
      <c r="J84" s="126"/>
      <c r="K84" s="138"/>
      <c r="L84" s="114"/>
      <c r="M84" s="117"/>
      <c r="N84" s="114"/>
      <c r="P84" s="105">
        <v>516.79999999999995</v>
      </c>
      <c r="Q84" s="100"/>
      <c r="R84" s="101"/>
      <c r="S84" s="90">
        <f>ROUND(ROUND(P84, 2)*I84, 2)</f>
        <v>0</v>
      </c>
    </row>
    <row r="85" spans="1:21" ht="23.4" x14ac:dyDescent="0.45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120">
        <v>0</v>
      </c>
      <c r="J85" s="126"/>
      <c r="K85" s="138"/>
      <c r="L85" s="114"/>
      <c r="M85" s="117"/>
      <c r="N85" s="114"/>
      <c r="P85" s="105">
        <v>100</v>
      </c>
      <c r="Q85" s="100"/>
      <c r="R85" s="101"/>
      <c r="S85" s="90">
        <f>ROUND(ROUND(P85, 2)*I85, 2)</f>
        <v>0</v>
      </c>
    </row>
    <row r="86" spans="1:21" ht="22.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19">
        <v>0</v>
      </c>
      <c r="J86" s="125"/>
      <c r="K86" s="139"/>
      <c r="L86" s="123"/>
      <c r="M86" s="116"/>
      <c r="N86" s="116"/>
      <c r="O86" s="84"/>
      <c r="P86" s="102">
        <f>IFERROR(ROUND(SUM(S87,S88)/I86, 2),0)</f>
        <v>0</v>
      </c>
      <c r="Q86" s="103">
        <v>200</v>
      </c>
      <c r="R86" s="104">
        <f>P86+ROUND(Q86, 2)</f>
        <v>200</v>
      </c>
      <c r="S86" s="89">
        <f>ROUND(P86*I86, 2)</f>
        <v>0</v>
      </c>
      <c r="T86" s="14">
        <f>ROUND(I86*ROUND(Q86, 2), 2)</f>
        <v>0</v>
      </c>
      <c r="U86" s="14">
        <f>S86+T86</f>
        <v>0</v>
      </c>
    </row>
    <row r="87" spans="1:21" ht="23.4" x14ac:dyDescent="0.45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120">
        <v>0</v>
      </c>
      <c r="J87" s="126"/>
      <c r="K87" s="138"/>
      <c r="L87" s="114"/>
      <c r="M87" s="117"/>
      <c r="N87" s="114"/>
      <c r="P87" s="105">
        <v>100</v>
      </c>
      <c r="Q87" s="100"/>
      <c r="R87" s="101"/>
      <c r="S87" s="90">
        <f>ROUND(ROUND(P87, 2)*I87, 2)</f>
        <v>0</v>
      </c>
    </row>
    <row r="88" spans="1:21" ht="36" x14ac:dyDescent="0.45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121">
        <v>0</v>
      </c>
      <c r="J88" s="126"/>
      <c r="K88" s="138"/>
      <c r="L88" s="114"/>
      <c r="M88" s="117"/>
      <c r="N88" s="114"/>
      <c r="P88" s="105">
        <v>516.79999999999995</v>
      </c>
      <c r="Q88" s="100"/>
      <c r="R88" s="101"/>
      <c r="S88" s="90">
        <f>ROUND(ROUND(P88, 2)*I88, 2)</f>
        <v>0</v>
      </c>
    </row>
    <row r="89" spans="1:21" ht="22.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19">
        <v>0</v>
      </c>
      <c r="J89" s="125"/>
      <c r="K89" s="139"/>
      <c r="L89" s="123"/>
      <c r="M89" s="116"/>
      <c r="N89" s="116"/>
      <c r="O89" s="84"/>
      <c r="P89" s="102">
        <f>IFERROR(ROUND(SUM(S90,S91)/I89, 2),0)</f>
        <v>0</v>
      </c>
      <c r="Q89" s="103">
        <v>200</v>
      </c>
      <c r="R89" s="104">
        <f>P89+ROUND(Q89, 2)</f>
        <v>200</v>
      </c>
      <c r="S89" s="89">
        <f>ROUND(P89*I89, 2)</f>
        <v>0</v>
      </c>
      <c r="T89" s="14">
        <f>ROUND(I89*ROUND(Q89, 2), 2)</f>
        <v>0</v>
      </c>
      <c r="U89" s="14">
        <f>S89+T89</f>
        <v>0</v>
      </c>
    </row>
    <row r="90" spans="1:21" ht="36" x14ac:dyDescent="0.45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121">
        <v>0</v>
      </c>
      <c r="J90" s="126"/>
      <c r="K90" s="138"/>
      <c r="L90" s="114"/>
      <c r="M90" s="117"/>
      <c r="N90" s="114"/>
      <c r="P90" s="105">
        <v>516.79999999999995</v>
      </c>
      <c r="Q90" s="100"/>
      <c r="R90" s="101"/>
      <c r="S90" s="90">
        <f>ROUND(ROUND(P90, 2)*I90, 2)</f>
        <v>0</v>
      </c>
    </row>
    <row r="91" spans="1:21" ht="23.4" x14ac:dyDescent="0.45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120">
        <v>0</v>
      </c>
      <c r="J91" s="126"/>
      <c r="K91" s="138"/>
      <c r="L91" s="114"/>
      <c r="M91" s="117"/>
      <c r="N91" s="114"/>
      <c r="P91" s="105">
        <v>100</v>
      </c>
      <c r="Q91" s="100"/>
      <c r="R91" s="101"/>
      <c r="S91" s="90">
        <f>ROUND(ROUND(P91, 2)*I91, 2)</f>
        <v>0</v>
      </c>
    </row>
    <row r="92" spans="1:21" ht="22.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19">
        <v>0</v>
      </c>
      <c r="J92" s="125"/>
      <c r="K92" s="139"/>
      <c r="L92" s="123"/>
      <c r="M92" s="116"/>
      <c r="N92" s="116"/>
      <c r="O92" s="84"/>
      <c r="P92" s="102">
        <f>IFERROR(ROUND(SUM(S93,S94)/I92, 2),0)</f>
        <v>0</v>
      </c>
      <c r="Q92" s="103">
        <v>200</v>
      </c>
      <c r="R92" s="104">
        <f>P92+ROUND(Q92, 2)</f>
        <v>200</v>
      </c>
      <c r="S92" s="89">
        <f>ROUND(P92*I92, 2)</f>
        <v>0</v>
      </c>
      <c r="T92" s="14">
        <f>ROUND(I92*ROUND(Q92, 2), 2)</f>
        <v>0</v>
      </c>
      <c r="U92" s="14">
        <f>S92+T92</f>
        <v>0</v>
      </c>
    </row>
    <row r="93" spans="1:21" ht="23.4" x14ac:dyDescent="0.45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121">
        <v>0</v>
      </c>
      <c r="J93" s="126"/>
      <c r="K93" s="138"/>
      <c r="L93" s="114"/>
      <c r="M93" s="117"/>
      <c r="N93" s="114"/>
      <c r="P93" s="105">
        <v>140.54</v>
      </c>
      <c r="Q93" s="100"/>
      <c r="R93" s="101"/>
      <c r="S93" s="90">
        <f>ROUND(ROUND(P93, 2)*I93, 2)</f>
        <v>0</v>
      </c>
    </row>
    <row r="94" spans="1:21" ht="23.4" x14ac:dyDescent="0.45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120">
        <v>0</v>
      </c>
      <c r="J94" s="126"/>
      <c r="K94" s="138"/>
      <c r="L94" s="114"/>
      <c r="M94" s="117"/>
      <c r="N94" s="114"/>
      <c r="P94" s="105">
        <v>100</v>
      </c>
      <c r="Q94" s="100"/>
      <c r="R94" s="101"/>
      <c r="S94" s="90">
        <f>ROUND(ROUND(P94, 2)*I94, 2)</f>
        <v>0</v>
      </c>
    </row>
    <row r="95" spans="1:21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19">
        <v>25</v>
      </c>
      <c r="J95" s="125"/>
      <c r="K95" s="139"/>
      <c r="L95" s="123"/>
      <c r="M95" s="116"/>
      <c r="N95" s="116"/>
      <c r="O95" s="84"/>
      <c r="P95" s="102">
        <f>IFERROR(ROUND(SUM(S96,S97)/I95, 2),0)</f>
        <v>9</v>
      </c>
      <c r="Q95" s="106">
        <v>300</v>
      </c>
      <c r="R95" s="104">
        <f>P95+ROUND(Q95, 2)</f>
        <v>309</v>
      </c>
      <c r="S95" s="89">
        <f>ROUND(P95*I95, 2)</f>
        <v>225</v>
      </c>
      <c r="T95" s="14">
        <f>ROUND(I95*ROUND(Q95, 2), 2)</f>
        <v>7500</v>
      </c>
      <c r="U95" s="14">
        <f>S95+T95</f>
        <v>7725</v>
      </c>
    </row>
    <row r="96" spans="1:21" ht="36" x14ac:dyDescent="0.45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121">
        <v>27.5</v>
      </c>
      <c r="J96" s="126"/>
      <c r="K96" s="138"/>
      <c r="L96" s="114"/>
      <c r="M96" s="117"/>
      <c r="N96" s="114"/>
      <c r="P96" s="107">
        <v>0</v>
      </c>
      <c r="Q96" s="100"/>
      <c r="R96" s="101"/>
      <c r="S96" s="90">
        <f>ROUND(ROUND(P96, 2)*I96, 2)</f>
        <v>0</v>
      </c>
    </row>
    <row r="97" spans="1:21" ht="23.4" x14ac:dyDescent="0.45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120">
        <v>2.25</v>
      </c>
      <c r="J97" s="126"/>
      <c r="K97" s="138"/>
      <c r="L97" s="114"/>
      <c r="M97" s="117"/>
      <c r="N97" s="114"/>
      <c r="P97" s="107">
        <v>100</v>
      </c>
      <c r="Q97" s="100"/>
      <c r="R97" s="101"/>
      <c r="S97" s="90">
        <f>ROUND(ROUND(P97, 2)*I97, 2)</f>
        <v>225</v>
      </c>
    </row>
    <row r="98" spans="1:21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19">
        <v>8.1</v>
      </c>
      <c r="J98" s="125"/>
      <c r="K98" s="139"/>
      <c r="L98" s="123"/>
      <c r="M98" s="116"/>
      <c r="N98" s="116"/>
      <c r="O98" s="84"/>
      <c r="P98" s="102">
        <f>IFERROR(ROUND(SUM(S99,S100)/I98, 2),0)</f>
        <v>9</v>
      </c>
      <c r="Q98" s="106">
        <v>300</v>
      </c>
      <c r="R98" s="104">
        <f>P98+ROUND(Q98, 2)</f>
        <v>309</v>
      </c>
      <c r="S98" s="89">
        <f>ROUND(P98*I98, 2)</f>
        <v>72.900000000000006</v>
      </c>
      <c r="T98" s="14">
        <f>ROUND(I98*ROUND(Q98, 2), 2)</f>
        <v>2430</v>
      </c>
      <c r="U98" s="14">
        <f>S98+T98</f>
        <v>2502.9</v>
      </c>
    </row>
    <row r="99" spans="1:21" ht="23.4" x14ac:dyDescent="0.45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120">
        <v>0.72899999999999998</v>
      </c>
      <c r="J99" s="126"/>
      <c r="K99" s="138"/>
      <c r="L99" s="114"/>
      <c r="M99" s="117"/>
      <c r="N99" s="114"/>
      <c r="P99" s="107">
        <v>100</v>
      </c>
      <c r="Q99" s="100"/>
      <c r="R99" s="101"/>
      <c r="S99" s="90">
        <f>ROUND(ROUND(P99, 2)*I99, 2)</f>
        <v>72.900000000000006</v>
      </c>
    </row>
    <row r="100" spans="1:21" ht="36" x14ac:dyDescent="0.45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121">
        <v>8.91</v>
      </c>
      <c r="J100" s="126"/>
      <c r="K100" s="138"/>
      <c r="L100" s="114"/>
      <c r="M100" s="117"/>
      <c r="N100" s="114"/>
      <c r="P100" s="107">
        <v>0</v>
      </c>
      <c r="Q100" s="100"/>
      <c r="R100" s="101"/>
      <c r="S100" s="90">
        <f>ROUND(ROUND(P100, 2)*I100, 2)</f>
        <v>0</v>
      </c>
    </row>
    <row r="101" spans="1:21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19">
        <v>11</v>
      </c>
      <c r="J101" s="125"/>
      <c r="K101" s="139"/>
      <c r="L101" s="123"/>
      <c r="M101" s="116"/>
      <c r="N101" s="116"/>
      <c r="O101" s="84"/>
      <c r="P101" s="102">
        <f>IFERROR(ROUND(SUM(S102,S103)/I101, 2),0)</f>
        <v>9</v>
      </c>
      <c r="Q101" s="106">
        <v>300</v>
      </c>
      <c r="R101" s="104">
        <f>P101+ROUND(Q101, 2)</f>
        <v>309</v>
      </c>
      <c r="S101" s="89">
        <f>ROUND(P101*I101, 2)</f>
        <v>99</v>
      </c>
      <c r="T101" s="14">
        <f>ROUND(I101*ROUND(Q101, 2), 2)</f>
        <v>3300</v>
      </c>
      <c r="U101" s="14">
        <f>S101+T101</f>
        <v>3399</v>
      </c>
    </row>
    <row r="102" spans="1:21" ht="36" x14ac:dyDescent="0.45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121">
        <v>12.1</v>
      </c>
      <c r="J102" s="126"/>
      <c r="K102" s="138"/>
      <c r="L102" s="114"/>
      <c r="M102" s="117"/>
      <c r="N102" s="114"/>
      <c r="P102" s="107">
        <v>0</v>
      </c>
      <c r="Q102" s="100"/>
      <c r="R102" s="101"/>
      <c r="S102" s="90">
        <f>ROUND(ROUND(P102, 2)*I102, 2)</f>
        <v>0</v>
      </c>
    </row>
    <row r="103" spans="1:21" ht="23.4" x14ac:dyDescent="0.45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120">
        <v>0.99</v>
      </c>
      <c r="J103" s="126"/>
      <c r="K103" s="138"/>
      <c r="L103" s="114"/>
      <c r="M103" s="117"/>
      <c r="N103" s="114"/>
      <c r="P103" s="107">
        <v>100</v>
      </c>
      <c r="Q103" s="100"/>
      <c r="R103" s="101"/>
      <c r="S103" s="90">
        <f>ROUND(ROUND(P103, 2)*I103, 2)</f>
        <v>99</v>
      </c>
    </row>
    <row r="104" spans="1:21" ht="22.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19">
        <v>106.7</v>
      </c>
      <c r="J104" s="125"/>
      <c r="K104" s="139"/>
      <c r="L104" s="123"/>
      <c r="M104" s="116"/>
      <c r="N104" s="116"/>
      <c r="O104" s="84"/>
      <c r="P104" s="102">
        <f>IFERROR(ROUND(SUM(S105,S106)/I104, 2),0)</f>
        <v>99.86</v>
      </c>
      <c r="Q104" s="106">
        <v>300</v>
      </c>
      <c r="R104" s="104">
        <f>P104+ROUND(Q104, 2)</f>
        <v>399.86</v>
      </c>
      <c r="S104" s="89">
        <f>ROUND(P104*I104, 2)</f>
        <v>10655.06</v>
      </c>
      <c r="T104" s="14">
        <f>ROUND(I104*ROUND(Q104, 2), 2)</f>
        <v>32010</v>
      </c>
      <c r="U104" s="14">
        <f>S104+T104</f>
        <v>42665.06</v>
      </c>
    </row>
    <row r="105" spans="1:21" ht="23.4" x14ac:dyDescent="0.45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121">
        <v>68.984999999999999</v>
      </c>
      <c r="J105" s="126"/>
      <c r="K105" s="138"/>
      <c r="L105" s="114"/>
      <c r="M105" s="117"/>
      <c r="N105" s="114"/>
      <c r="P105" s="107">
        <v>140.54</v>
      </c>
      <c r="Q105" s="100"/>
      <c r="R105" s="101"/>
      <c r="S105" s="90">
        <f>ROUND(ROUND(P105, 2)*I105, 2)</f>
        <v>9695.15</v>
      </c>
    </row>
    <row r="106" spans="1:21" ht="23.4" x14ac:dyDescent="0.45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120">
        <v>9.6029999999999998</v>
      </c>
      <c r="J106" s="126"/>
      <c r="K106" s="138"/>
      <c r="L106" s="114"/>
      <c r="M106" s="117"/>
      <c r="N106" s="114"/>
      <c r="P106" s="107">
        <v>100</v>
      </c>
      <c r="Q106" s="100"/>
      <c r="R106" s="101"/>
      <c r="S106" s="90">
        <f>ROUND(ROUND(P106, 2)*I106, 2)</f>
        <v>960.3</v>
      </c>
    </row>
    <row r="107" spans="1:21" ht="36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19">
        <v>0</v>
      </c>
      <c r="J107" s="125"/>
      <c r="K107" s="139"/>
      <c r="L107" s="123"/>
      <c r="M107" s="116"/>
      <c r="N107" s="116"/>
      <c r="O107" s="84"/>
      <c r="P107" s="102">
        <f>IFERROR(ROUND(SUM(S108,S109)/I107, 2),0)</f>
        <v>0</v>
      </c>
      <c r="Q107" s="103">
        <v>661</v>
      </c>
      <c r="R107" s="104">
        <f>P107+ROUND(Q107, 2)</f>
        <v>661</v>
      </c>
      <c r="S107" s="89">
        <f>ROUND(P107*I107, 2)</f>
        <v>0</v>
      </c>
      <c r="T107" s="14">
        <f>ROUND(I107*ROUND(Q107, 2), 2)</f>
        <v>0</v>
      </c>
      <c r="U107" s="14">
        <f>S107+T107</f>
        <v>0</v>
      </c>
    </row>
    <row r="108" spans="1:21" ht="90" x14ac:dyDescent="0.45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121">
        <v>0</v>
      </c>
      <c r="J108" s="126"/>
      <c r="K108" s="138"/>
      <c r="L108" s="114"/>
      <c r="M108" s="117"/>
      <c r="N108" s="114"/>
      <c r="P108" s="105">
        <v>3880</v>
      </c>
      <c r="Q108" s="100"/>
      <c r="R108" s="101"/>
      <c r="S108" s="90">
        <f>ROUND(ROUND(P108, 2)*I108, 2)</f>
        <v>0</v>
      </c>
    </row>
    <row r="109" spans="1:21" ht="36" x14ac:dyDescent="0.45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121">
        <v>0</v>
      </c>
      <c r="J109" s="126"/>
      <c r="K109" s="138"/>
      <c r="L109" s="114"/>
      <c r="M109" s="117"/>
      <c r="N109" s="114"/>
      <c r="P109" s="105">
        <v>2000</v>
      </c>
      <c r="Q109" s="100"/>
      <c r="R109" s="101"/>
      <c r="S109" s="90">
        <f>ROUND(ROUND(P109, 2)*I109, 2)</f>
        <v>0</v>
      </c>
    </row>
    <row r="110" spans="1:21" ht="36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19">
        <v>0</v>
      </c>
      <c r="J110" s="125"/>
      <c r="K110" s="139"/>
      <c r="L110" s="123"/>
      <c r="M110" s="116"/>
      <c r="N110" s="116"/>
      <c r="O110" s="84"/>
      <c r="P110" s="102">
        <f>IFERROR(ROUND(SUM(S111,S112)/I110, 2),0)</f>
        <v>0</v>
      </c>
      <c r="Q110" s="103">
        <v>661</v>
      </c>
      <c r="R110" s="104">
        <f>P110+ROUND(Q110, 2)</f>
        <v>661</v>
      </c>
      <c r="S110" s="89">
        <f>ROUND(P110*I110, 2)</f>
        <v>0</v>
      </c>
      <c r="T110" s="14">
        <f>ROUND(I110*ROUND(Q110, 2), 2)</f>
        <v>0</v>
      </c>
      <c r="U110" s="14">
        <f>S110+T110</f>
        <v>0</v>
      </c>
    </row>
    <row r="111" spans="1:21" ht="36" x14ac:dyDescent="0.45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121">
        <v>0</v>
      </c>
      <c r="J111" s="126"/>
      <c r="K111" s="138"/>
      <c r="L111" s="114"/>
      <c r="M111" s="117"/>
      <c r="N111" s="114"/>
      <c r="P111" s="105">
        <v>2000</v>
      </c>
      <c r="Q111" s="100"/>
      <c r="R111" s="101"/>
      <c r="S111" s="90">
        <f>ROUND(ROUND(P111, 2)*I111, 2)</f>
        <v>0</v>
      </c>
    </row>
    <row r="112" spans="1:21" ht="90" x14ac:dyDescent="0.45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121">
        <v>0</v>
      </c>
      <c r="J112" s="126"/>
      <c r="K112" s="138"/>
      <c r="L112" s="114"/>
      <c r="M112" s="117"/>
      <c r="N112" s="114"/>
      <c r="P112" s="105">
        <v>3880</v>
      </c>
      <c r="Q112" s="100"/>
      <c r="R112" s="101"/>
      <c r="S112" s="90">
        <f>ROUND(ROUND(P112, 2)*I112, 2)</f>
        <v>0</v>
      </c>
    </row>
    <row r="113" spans="1:21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19">
        <v>245.2</v>
      </c>
      <c r="J113" s="125"/>
      <c r="K113" s="139"/>
      <c r="L113" s="123"/>
      <c r="M113" s="116"/>
      <c r="N113" s="116"/>
      <c r="O113" s="84"/>
      <c r="P113" s="102">
        <f>IFERROR(ROUND(SUM(S114,S115)/I113, 2),0)</f>
        <v>4146.0600000000004</v>
      </c>
      <c r="Q113" s="106">
        <v>991.5</v>
      </c>
      <c r="R113" s="104">
        <f>P113+ROUND(Q113, 2)</f>
        <v>5137.5600000000004</v>
      </c>
      <c r="S113" s="89">
        <f>ROUND(P113*I113, 2)</f>
        <v>1016613.91</v>
      </c>
      <c r="T113" s="14">
        <f>ROUND(I113*ROUND(Q113, 2), 2)</f>
        <v>243115.8</v>
      </c>
      <c r="U113" s="14">
        <f>S113+T113</f>
        <v>1259729.71</v>
      </c>
    </row>
    <row r="114" spans="1:21" ht="90" x14ac:dyDescent="0.45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121">
        <v>28.45</v>
      </c>
      <c r="J114" s="126"/>
      <c r="K114" s="138"/>
      <c r="L114" s="114"/>
      <c r="M114" s="117"/>
      <c r="N114" s="114"/>
      <c r="P114" s="107">
        <v>2000</v>
      </c>
      <c r="Q114" s="100"/>
      <c r="R114" s="101"/>
      <c r="S114" s="90">
        <f>ROUND(ROUND(P114, 2)*I114, 2)</f>
        <v>56900</v>
      </c>
    </row>
    <row r="115" spans="1:21" ht="36" x14ac:dyDescent="0.45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121">
        <v>252.55600000000001</v>
      </c>
      <c r="J115" s="126"/>
      <c r="K115" s="138"/>
      <c r="L115" s="114"/>
      <c r="M115" s="117"/>
      <c r="N115" s="114"/>
      <c r="P115" s="107">
        <v>3800</v>
      </c>
      <c r="Q115" s="100"/>
      <c r="R115" s="101"/>
      <c r="S115" s="90">
        <f>ROUND(ROUND(P115, 2)*I115, 2)</f>
        <v>959712.8</v>
      </c>
    </row>
    <row r="116" spans="1:21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19">
        <v>45.7</v>
      </c>
      <c r="J116" s="125"/>
      <c r="K116" s="139"/>
      <c r="L116" s="123"/>
      <c r="M116" s="116"/>
      <c r="N116" s="116"/>
      <c r="O116" s="84"/>
      <c r="P116" s="102">
        <f>IFERROR(ROUND(SUM(S117,S118)/I116, 2),0)</f>
        <v>2509.98</v>
      </c>
      <c r="Q116" s="106">
        <v>991.5</v>
      </c>
      <c r="R116" s="104">
        <f>P116+ROUND(Q116, 2)</f>
        <v>3501.48</v>
      </c>
      <c r="S116" s="89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</row>
    <row r="117" spans="1:21" ht="36" x14ac:dyDescent="0.45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121">
        <v>47.070999999999998</v>
      </c>
      <c r="J117" s="126"/>
      <c r="K117" s="138"/>
      <c r="L117" s="114"/>
      <c r="M117" s="117"/>
      <c r="N117" s="114"/>
      <c r="P117" s="107">
        <v>2000</v>
      </c>
      <c r="Q117" s="100"/>
      <c r="R117" s="101"/>
      <c r="S117" s="90">
        <f>ROUND(ROUND(P117, 2)*I117, 2)</f>
        <v>94142</v>
      </c>
    </row>
    <row r="118" spans="1:21" ht="90" x14ac:dyDescent="0.45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121">
        <v>5.3</v>
      </c>
      <c r="J118" s="126"/>
      <c r="K118" s="138"/>
      <c r="L118" s="114"/>
      <c r="M118" s="117"/>
      <c r="N118" s="114"/>
      <c r="P118" s="107">
        <v>3880</v>
      </c>
      <c r="Q118" s="100"/>
      <c r="R118" s="101"/>
      <c r="S118" s="90">
        <f>ROUND(ROUND(P118, 2)*I118, 2)</f>
        <v>20564</v>
      </c>
    </row>
    <row r="119" spans="1:21" ht="36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19">
        <v>0</v>
      </c>
      <c r="J119" s="125"/>
      <c r="K119" s="139"/>
      <c r="L119" s="123"/>
      <c r="M119" s="116"/>
      <c r="N119" s="116"/>
      <c r="O119" s="84"/>
      <c r="P119" s="102">
        <f>IFERROR(ROUND(SUM(S120)/I119, 2),0)</f>
        <v>0</v>
      </c>
      <c r="Q119" s="103">
        <v>210</v>
      </c>
      <c r="R119" s="104">
        <f>P119+ROUND(Q119, 2)</f>
        <v>210</v>
      </c>
      <c r="S119" s="89">
        <f>ROUND(P119*I119, 2)</f>
        <v>0</v>
      </c>
      <c r="T119" s="14">
        <f>ROUND(I119*ROUND(Q119, 2), 2)</f>
        <v>0</v>
      </c>
      <c r="U119" s="14">
        <f>S119+T119</f>
        <v>0</v>
      </c>
    </row>
    <row r="120" spans="1:21" ht="72" x14ac:dyDescent="0.45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121">
        <v>0</v>
      </c>
      <c r="J120" s="126"/>
      <c r="K120" s="138"/>
      <c r="L120" s="114"/>
      <c r="M120" s="117"/>
      <c r="N120" s="114"/>
      <c r="P120" s="105">
        <v>372.4</v>
      </c>
      <c r="Q120" s="100"/>
      <c r="R120" s="101"/>
      <c r="S120" s="90">
        <f>ROUND(ROUND(P120, 2)*I120, 2)</f>
        <v>0</v>
      </c>
    </row>
    <row r="121" spans="1:21" ht="36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19">
        <v>0</v>
      </c>
      <c r="J121" s="125"/>
      <c r="K121" s="139"/>
      <c r="L121" s="123"/>
      <c r="M121" s="116"/>
      <c r="N121" s="116"/>
      <c r="O121" s="84"/>
      <c r="P121" s="102">
        <f>IFERROR(ROUND(SUM(S122)/I121, 2),0)</f>
        <v>0</v>
      </c>
      <c r="Q121" s="103">
        <v>210</v>
      </c>
      <c r="R121" s="104">
        <f>P121+ROUND(Q121, 2)</f>
        <v>210</v>
      </c>
      <c r="S121" s="89">
        <f>ROUND(P121*I121, 2)</f>
        <v>0</v>
      </c>
      <c r="T121" s="14">
        <f>ROUND(I121*ROUND(Q121, 2), 2)</f>
        <v>0</v>
      </c>
      <c r="U121" s="14">
        <f>S121+T121</f>
        <v>0</v>
      </c>
    </row>
    <row r="122" spans="1:21" ht="72" x14ac:dyDescent="0.45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121">
        <v>0</v>
      </c>
      <c r="J122" s="126"/>
      <c r="K122" s="138"/>
      <c r="L122" s="114"/>
      <c r="M122" s="117"/>
      <c r="N122" s="114"/>
      <c r="P122" s="105">
        <v>372.4</v>
      </c>
      <c r="Q122" s="100"/>
      <c r="R122" s="101"/>
      <c r="S122" s="90">
        <f>ROUND(ROUND(P122, 2)*I122, 2)</f>
        <v>0</v>
      </c>
    </row>
    <row r="123" spans="1:21" ht="36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19">
        <v>1012.89</v>
      </c>
      <c r="J123" s="125"/>
      <c r="K123" s="139"/>
      <c r="L123" s="123"/>
      <c r="M123" s="116"/>
      <c r="N123" s="116"/>
      <c r="O123" s="84"/>
      <c r="P123" s="102">
        <f>IFERROR(ROUND(SUM(S124)/I123, 2),0)</f>
        <v>409.64</v>
      </c>
      <c r="Q123" s="106">
        <v>315</v>
      </c>
      <c r="R123" s="104">
        <f>P123+ROUND(Q123, 2)</f>
        <v>724.64</v>
      </c>
      <c r="S123" s="89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</row>
    <row r="124" spans="1:21" ht="72" x14ac:dyDescent="0.45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121">
        <v>1114.1790000000001</v>
      </c>
      <c r="J124" s="126"/>
      <c r="K124" s="138"/>
      <c r="L124" s="114"/>
      <c r="M124" s="117"/>
      <c r="N124" s="114"/>
      <c r="P124" s="107">
        <v>372.4</v>
      </c>
      <c r="Q124" s="100"/>
      <c r="R124" s="101"/>
      <c r="S124" s="90">
        <f>ROUND(ROUND(P124, 2)*I124, 2)</f>
        <v>414920.26</v>
      </c>
    </row>
    <row r="125" spans="1:21" ht="36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19">
        <v>409.31</v>
      </c>
      <c r="J125" s="125"/>
      <c r="K125" s="139"/>
      <c r="L125" s="123"/>
      <c r="M125" s="116"/>
      <c r="N125" s="116"/>
      <c r="O125" s="84"/>
      <c r="P125" s="102">
        <f>IFERROR(ROUND(SUM(S126)/I125, 2),0)</f>
        <v>409.64</v>
      </c>
      <c r="Q125" s="106">
        <v>315</v>
      </c>
      <c r="R125" s="104">
        <f>P125+ROUND(Q125, 2)</f>
        <v>724.64</v>
      </c>
      <c r="S125" s="89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</row>
    <row r="126" spans="1:21" ht="72" x14ac:dyDescent="0.45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121">
        <v>450.24099999999999</v>
      </c>
      <c r="J126" s="126"/>
      <c r="K126" s="138"/>
      <c r="L126" s="114"/>
      <c r="M126" s="117"/>
      <c r="N126" s="114"/>
      <c r="P126" s="107">
        <v>372.4</v>
      </c>
      <c r="Q126" s="100"/>
      <c r="R126" s="101"/>
      <c r="S126" s="90">
        <f>ROUND(ROUND(P126, 2)*I126, 2)</f>
        <v>167669.75</v>
      </c>
    </row>
    <row r="127" spans="1:21" ht="36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19">
        <v>0</v>
      </c>
      <c r="J127" s="125"/>
      <c r="K127" s="139"/>
      <c r="L127" s="123"/>
      <c r="M127" s="116"/>
      <c r="N127" s="116"/>
      <c r="O127" s="84"/>
      <c r="P127" s="102">
        <f>IFERROR(ROUND(SUM(S128,S129,S130,S131)/I127, 2),0)</f>
        <v>0</v>
      </c>
      <c r="Q127" s="103">
        <v>2310</v>
      </c>
      <c r="R127" s="104">
        <f>P127+ROUND(Q127, 2)</f>
        <v>2310</v>
      </c>
      <c r="S127" s="89">
        <f>ROUND(P127*I127, 2)</f>
        <v>0</v>
      </c>
      <c r="T127" s="14">
        <f>ROUND(I127*ROUND(Q127, 2), 2)</f>
        <v>0</v>
      </c>
      <c r="U127" s="14">
        <f>S127+T127</f>
        <v>0</v>
      </c>
    </row>
    <row r="128" spans="1:21" ht="54" x14ac:dyDescent="0.45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120">
        <v>0</v>
      </c>
      <c r="J128" s="126"/>
      <c r="K128" s="138"/>
      <c r="L128" s="114"/>
      <c r="M128" s="117"/>
      <c r="N128" s="114"/>
      <c r="P128" s="105">
        <v>396</v>
      </c>
      <c r="Q128" s="100"/>
      <c r="R128" s="101"/>
      <c r="S128" s="90">
        <f>ROUND(ROUND(P128, 2)*I128, 2)</f>
        <v>0</v>
      </c>
    </row>
    <row r="129" spans="1:21" ht="36" x14ac:dyDescent="0.45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121">
        <v>0</v>
      </c>
      <c r="J129" s="126"/>
      <c r="K129" s="138"/>
      <c r="L129" s="114"/>
      <c r="M129" s="117"/>
      <c r="N129" s="114"/>
      <c r="P129" s="105">
        <v>16.96</v>
      </c>
      <c r="Q129" s="100"/>
      <c r="R129" s="101"/>
      <c r="S129" s="90">
        <f>ROUND(ROUND(P129, 2)*I129, 2)</f>
        <v>0</v>
      </c>
    </row>
    <row r="130" spans="1:21" ht="23.4" x14ac:dyDescent="0.45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120">
        <v>0</v>
      </c>
      <c r="J130" s="126"/>
      <c r="K130" s="138"/>
      <c r="L130" s="114"/>
      <c r="M130" s="117"/>
      <c r="N130" s="114"/>
      <c r="P130" s="105">
        <v>47.44</v>
      </c>
      <c r="Q130" s="100"/>
      <c r="R130" s="101"/>
      <c r="S130" s="90">
        <f>ROUND(ROUND(P130, 2)*I130, 2)</f>
        <v>0</v>
      </c>
    </row>
    <row r="131" spans="1:21" ht="36" x14ac:dyDescent="0.45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120">
        <v>0</v>
      </c>
      <c r="J131" s="126"/>
      <c r="K131" s="138"/>
      <c r="L131" s="114"/>
      <c r="M131" s="117"/>
      <c r="N131" s="114"/>
      <c r="P131" s="105">
        <v>88.8</v>
      </c>
      <c r="Q131" s="100"/>
      <c r="R131" s="101"/>
      <c r="S131" s="90">
        <f>ROUND(ROUND(P131, 2)*I131, 2)</f>
        <v>0</v>
      </c>
    </row>
    <row r="132" spans="1:21" ht="36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19">
        <v>0</v>
      </c>
      <c r="J132" s="125"/>
      <c r="K132" s="139"/>
      <c r="L132" s="123"/>
      <c r="M132" s="116"/>
      <c r="N132" s="116"/>
      <c r="O132" s="84"/>
      <c r="P132" s="102">
        <f>IFERROR(ROUND(SUM(S133,S134,S135,S136)/I132, 2),0)</f>
        <v>0</v>
      </c>
      <c r="Q132" s="103">
        <v>2310</v>
      </c>
      <c r="R132" s="104">
        <f>P132+ROUND(Q132, 2)</f>
        <v>2310</v>
      </c>
      <c r="S132" s="89">
        <f>ROUND(P132*I132, 2)</f>
        <v>0</v>
      </c>
      <c r="T132" s="14">
        <f>ROUND(I132*ROUND(Q132, 2), 2)</f>
        <v>0</v>
      </c>
      <c r="U132" s="14">
        <f>S132+T132</f>
        <v>0</v>
      </c>
    </row>
    <row r="133" spans="1:21" ht="36" x14ac:dyDescent="0.45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120">
        <v>0</v>
      </c>
      <c r="J133" s="126"/>
      <c r="K133" s="138"/>
      <c r="L133" s="114"/>
      <c r="M133" s="117"/>
      <c r="N133" s="114"/>
      <c r="P133" s="105">
        <v>88.8</v>
      </c>
      <c r="Q133" s="100"/>
      <c r="R133" s="101"/>
      <c r="S133" s="90">
        <f>ROUND(ROUND(P133, 2)*I133, 2)</f>
        <v>0</v>
      </c>
    </row>
    <row r="134" spans="1:21" ht="23.4" x14ac:dyDescent="0.45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120">
        <v>0</v>
      </c>
      <c r="J134" s="126"/>
      <c r="K134" s="138"/>
      <c r="L134" s="114"/>
      <c r="M134" s="117"/>
      <c r="N134" s="114"/>
      <c r="P134" s="105">
        <v>47.44</v>
      </c>
      <c r="Q134" s="100"/>
      <c r="R134" s="101"/>
      <c r="S134" s="90">
        <f>ROUND(ROUND(P134, 2)*I134, 2)</f>
        <v>0</v>
      </c>
    </row>
    <row r="135" spans="1:21" ht="36" x14ac:dyDescent="0.45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121">
        <v>0</v>
      </c>
      <c r="J135" s="126"/>
      <c r="K135" s="138"/>
      <c r="L135" s="114"/>
      <c r="M135" s="117"/>
      <c r="N135" s="114"/>
      <c r="P135" s="105">
        <v>16.96</v>
      </c>
      <c r="Q135" s="100"/>
      <c r="R135" s="101"/>
      <c r="S135" s="90">
        <f>ROUND(ROUND(P135, 2)*I135, 2)</f>
        <v>0</v>
      </c>
    </row>
    <row r="136" spans="1:21" ht="36" x14ac:dyDescent="0.45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120">
        <v>0</v>
      </c>
      <c r="J136" s="126"/>
      <c r="K136" s="138"/>
      <c r="L136" s="114"/>
      <c r="M136" s="117"/>
      <c r="N136" s="114"/>
      <c r="P136" s="105">
        <v>356.11</v>
      </c>
      <c r="Q136" s="100"/>
      <c r="R136" s="101"/>
      <c r="S136" s="90">
        <f>ROUND(ROUND(P136, 2)*I136, 2)</f>
        <v>0</v>
      </c>
    </row>
    <row r="137" spans="1:21" ht="36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19">
        <v>0</v>
      </c>
      <c r="J137" s="125"/>
      <c r="K137" s="139"/>
      <c r="L137" s="123"/>
      <c r="M137" s="116"/>
      <c r="N137" s="116"/>
      <c r="O137" s="84"/>
      <c r="P137" s="102">
        <f>IFERROR(ROUND(SUM(S138,S139,S140,S141)/I137, 2),0)</f>
        <v>0</v>
      </c>
      <c r="Q137" s="103">
        <v>2310</v>
      </c>
      <c r="R137" s="104">
        <f>P137+ROUND(Q137, 2)</f>
        <v>2310</v>
      </c>
      <c r="S137" s="89">
        <f>ROUND(P137*I137, 2)</f>
        <v>0</v>
      </c>
      <c r="T137" s="14">
        <f>ROUND(I137*ROUND(Q137, 2), 2)</f>
        <v>0</v>
      </c>
      <c r="U137" s="14">
        <f>S137+T137</f>
        <v>0</v>
      </c>
    </row>
    <row r="138" spans="1:21" ht="54" x14ac:dyDescent="0.45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120">
        <v>0</v>
      </c>
      <c r="J138" s="126"/>
      <c r="K138" s="138"/>
      <c r="L138" s="114"/>
      <c r="M138" s="117"/>
      <c r="N138" s="114"/>
      <c r="P138" s="105">
        <v>1100.4000000000001</v>
      </c>
      <c r="Q138" s="100"/>
      <c r="R138" s="101"/>
      <c r="S138" s="90">
        <f>ROUND(ROUND(P138, 2)*I138, 2)</f>
        <v>0</v>
      </c>
    </row>
    <row r="139" spans="1:21" ht="36" x14ac:dyDescent="0.45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121">
        <v>0</v>
      </c>
      <c r="J139" s="126"/>
      <c r="K139" s="138"/>
      <c r="L139" s="114"/>
      <c r="M139" s="117"/>
      <c r="N139" s="114"/>
      <c r="P139" s="105">
        <v>16.96</v>
      </c>
      <c r="Q139" s="100"/>
      <c r="R139" s="101"/>
      <c r="S139" s="90">
        <f>ROUND(ROUND(P139, 2)*I139, 2)</f>
        <v>0</v>
      </c>
    </row>
    <row r="140" spans="1:21" ht="23.4" x14ac:dyDescent="0.45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120">
        <v>0</v>
      </c>
      <c r="J140" s="126"/>
      <c r="K140" s="138"/>
      <c r="L140" s="114"/>
      <c r="M140" s="117"/>
      <c r="N140" s="114"/>
      <c r="P140" s="105">
        <v>47.44</v>
      </c>
      <c r="Q140" s="100"/>
      <c r="R140" s="101"/>
      <c r="S140" s="90">
        <f>ROUND(ROUND(P140, 2)*I140, 2)</f>
        <v>0</v>
      </c>
    </row>
    <row r="141" spans="1:21" ht="36" x14ac:dyDescent="0.45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120">
        <v>0</v>
      </c>
      <c r="J141" s="126"/>
      <c r="K141" s="138"/>
      <c r="L141" s="114"/>
      <c r="M141" s="117"/>
      <c r="N141" s="114"/>
      <c r="P141" s="105">
        <v>88.8</v>
      </c>
      <c r="Q141" s="100"/>
      <c r="R141" s="101"/>
      <c r="S141" s="90">
        <f>ROUND(ROUND(P141, 2)*I141, 2)</f>
        <v>0</v>
      </c>
    </row>
    <row r="142" spans="1:21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19">
        <v>338.3</v>
      </c>
      <c r="J142" s="125"/>
      <c r="K142" s="139"/>
      <c r="L142" s="123"/>
      <c r="M142" s="116"/>
      <c r="N142" s="116"/>
      <c r="O142" s="84"/>
      <c r="P142" s="102">
        <f>IFERROR(ROUND(SUM(S143,S144,S145,S146)/I142, 2),0)</f>
        <v>1628.51</v>
      </c>
      <c r="Q142" s="106">
        <v>3465</v>
      </c>
      <c r="R142" s="104">
        <f>P142+ROUND(Q142, 2)</f>
        <v>5093.51</v>
      </c>
      <c r="S142" s="89">
        <f>ROUND(P142*I142, 2)</f>
        <v>550924.93000000005</v>
      </c>
      <c r="T142" s="14">
        <f>ROUND(I142*ROUND(Q142, 2), 2)</f>
        <v>1172209.5</v>
      </c>
      <c r="U142" s="14">
        <f>S142+T142</f>
        <v>1723134.4300000002</v>
      </c>
    </row>
    <row r="143" spans="1:21" ht="36" x14ac:dyDescent="0.45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120">
        <v>50.744999999999997</v>
      </c>
      <c r="J143" s="126"/>
      <c r="K143" s="138"/>
      <c r="L143" s="114"/>
      <c r="M143" s="117"/>
      <c r="N143" s="114"/>
      <c r="P143" s="107">
        <v>88.8</v>
      </c>
      <c r="Q143" s="100"/>
      <c r="R143" s="101"/>
      <c r="S143" s="90">
        <f>ROUND(ROUND(P143, 2)*I143, 2)</f>
        <v>4506.16</v>
      </c>
    </row>
    <row r="144" spans="1:21" ht="23.4" x14ac:dyDescent="0.45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120">
        <v>84.575000000000003</v>
      </c>
      <c r="J144" s="126"/>
      <c r="K144" s="138"/>
      <c r="L144" s="114"/>
      <c r="M144" s="117"/>
      <c r="N144" s="114"/>
      <c r="P144" s="107">
        <v>47.44</v>
      </c>
      <c r="Q144" s="100"/>
      <c r="R144" s="101"/>
      <c r="S144" s="90">
        <f>ROUND(ROUND(P144, 2)*I144, 2)</f>
        <v>4012.24</v>
      </c>
    </row>
    <row r="145" spans="1:21" ht="36" x14ac:dyDescent="0.45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121">
        <v>405.96</v>
      </c>
      <c r="J145" s="126"/>
      <c r="K145" s="138"/>
      <c r="L145" s="114"/>
      <c r="M145" s="117"/>
      <c r="N145" s="114"/>
      <c r="P145" s="107">
        <v>16.11</v>
      </c>
      <c r="Q145" s="100"/>
      <c r="R145" s="101"/>
      <c r="S145" s="90">
        <f>ROUND(ROUND(P145, 2)*I145, 2)</f>
        <v>6540.02</v>
      </c>
    </row>
    <row r="146" spans="1:21" ht="90" x14ac:dyDescent="0.45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120">
        <v>1353.2</v>
      </c>
      <c r="J146" s="126"/>
      <c r="K146" s="138"/>
      <c r="L146" s="114"/>
      <c r="M146" s="117"/>
      <c r="N146" s="114"/>
      <c r="P146" s="107">
        <v>396</v>
      </c>
      <c r="Q146" s="100"/>
      <c r="R146" s="101"/>
      <c r="S146" s="90">
        <f>ROUND(ROUND(P146, 2)*I146, 2)</f>
        <v>535867.19999999995</v>
      </c>
    </row>
    <row r="147" spans="1:21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19">
        <v>190.6</v>
      </c>
      <c r="J147" s="125"/>
      <c r="K147" s="139"/>
      <c r="L147" s="123"/>
      <c r="M147" s="116"/>
      <c r="N147" s="116"/>
      <c r="O147" s="84"/>
      <c r="P147" s="102">
        <f>IFERROR(ROUND(SUM(S148,S149,S150,S151)/I147, 2),0)</f>
        <v>4446.1099999999997</v>
      </c>
      <c r="Q147" s="106">
        <v>3465</v>
      </c>
      <c r="R147" s="104">
        <f>P147+ROUND(Q147, 2)</f>
        <v>7911.11</v>
      </c>
      <c r="S147" s="89">
        <f>ROUND(P147*I147, 2)</f>
        <v>847428.57</v>
      </c>
      <c r="T147" s="14">
        <f>ROUND(I147*ROUND(Q147, 2), 2)</f>
        <v>660429</v>
      </c>
      <c r="U147" s="14">
        <f>S147+T147</f>
        <v>1507857.5699999998</v>
      </c>
    </row>
    <row r="148" spans="1:21" ht="90" x14ac:dyDescent="0.45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120">
        <v>762.4</v>
      </c>
      <c r="J148" s="126"/>
      <c r="K148" s="138"/>
      <c r="L148" s="114"/>
      <c r="M148" s="117"/>
      <c r="N148" s="114"/>
      <c r="P148" s="107">
        <v>1100.4000000000001</v>
      </c>
      <c r="Q148" s="100"/>
      <c r="R148" s="101"/>
      <c r="S148" s="90">
        <f>ROUND(ROUND(P148, 2)*I148, 2)</f>
        <v>838944.96</v>
      </c>
    </row>
    <row r="149" spans="1:21" ht="36" x14ac:dyDescent="0.45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121">
        <v>228.72</v>
      </c>
      <c r="J149" s="126"/>
      <c r="K149" s="138"/>
      <c r="L149" s="114"/>
      <c r="M149" s="117"/>
      <c r="N149" s="114"/>
      <c r="P149" s="107">
        <v>16.11</v>
      </c>
      <c r="Q149" s="100"/>
      <c r="R149" s="101"/>
      <c r="S149" s="90">
        <f>ROUND(ROUND(P149, 2)*I149, 2)</f>
        <v>3684.68</v>
      </c>
    </row>
    <row r="150" spans="1:21" ht="23.4" x14ac:dyDescent="0.45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120">
        <v>47.65</v>
      </c>
      <c r="J150" s="126"/>
      <c r="K150" s="138"/>
      <c r="L150" s="114"/>
      <c r="M150" s="117"/>
      <c r="N150" s="114"/>
      <c r="P150" s="107">
        <v>47.44</v>
      </c>
      <c r="Q150" s="100"/>
      <c r="R150" s="101"/>
      <c r="S150" s="90">
        <f>ROUND(ROUND(P150, 2)*I150, 2)</f>
        <v>2260.52</v>
      </c>
    </row>
    <row r="151" spans="1:21" ht="36" x14ac:dyDescent="0.45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120">
        <v>28.59</v>
      </c>
      <c r="J151" s="126"/>
      <c r="K151" s="138"/>
      <c r="L151" s="114"/>
      <c r="M151" s="117"/>
      <c r="N151" s="114"/>
      <c r="P151" s="107">
        <v>88.8</v>
      </c>
      <c r="Q151" s="100"/>
      <c r="R151" s="101"/>
      <c r="S151" s="90">
        <f>ROUND(ROUND(P151, 2)*I151, 2)</f>
        <v>2538.79</v>
      </c>
    </row>
    <row r="152" spans="1:21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19">
        <v>129.4</v>
      </c>
      <c r="J152" s="125"/>
      <c r="K152" s="139"/>
      <c r="L152" s="123"/>
      <c r="M152" s="116"/>
      <c r="N152" s="116"/>
      <c r="O152" s="84"/>
      <c r="P152" s="102">
        <f>IFERROR(ROUND(SUM(S153,S154,S155,S156)/I152, 2),0)</f>
        <v>4446.1099999999997</v>
      </c>
      <c r="Q152" s="106">
        <v>3465</v>
      </c>
      <c r="R152" s="104">
        <f>P152+ROUND(Q152, 2)</f>
        <v>7911.11</v>
      </c>
      <c r="S152" s="89">
        <f>ROUND(P152*I152, 2)</f>
        <v>575326.63</v>
      </c>
      <c r="T152" s="14">
        <f>ROUND(I152*ROUND(Q152, 2), 2)</f>
        <v>448371</v>
      </c>
      <c r="U152" s="14">
        <f>S152+T152</f>
        <v>1023697.63</v>
      </c>
    </row>
    <row r="153" spans="1:21" ht="36" x14ac:dyDescent="0.45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120">
        <v>19.41</v>
      </c>
      <c r="J153" s="126"/>
      <c r="K153" s="138"/>
      <c r="L153" s="114"/>
      <c r="M153" s="117"/>
      <c r="N153" s="114"/>
      <c r="P153" s="107">
        <v>88.8</v>
      </c>
      <c r="Q153" s="100"/>
      <c r="R153" s="101"/>
      <c r="S153" s="90">
        <f>ROUND(ROUND(P153, 2)*I153, 2)</f>
        <v>1723.61</v>
      </c>
    </row>
    <row r="154" spans="1:21" ht="23.4" x14ac:dyDescent="0.45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120">
        <v>32.35</v>
      </c>
      <c r="J154" s="126"/>
      <c r="K154" s="138"/>
      <c r="L154" s="114"/>
      <c r="M154" s="117"/>
      <c r="N154" s="114"/>
      <c r="P154" s="107">
        <v>47.44</v>
      </c>
      <c r="Q154" s="100"/>
      <c r="R154" s="101"/>
      <c r="S154" s="90">
        <f>ROUND(ROUND(P154, 2)*I154, 2)</f>
        <v>1534.68</v>
      </c>
    </row>
    <row r="155" spans="1:21" ht="36" x14ac:dyDescent="0.45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121">
        <v>155.28</v>
      </c>
      <c r="J155" s="126"/>
      <c r="K155" s="138"/>
      <c r="L155" s="114"/>
      <c r="M155" s="117"/>
      <c r="N155" s="114"/>
      <c r="P155" s="107">
        <v>16.11</v>
      </c>
      <c r="Q155" s="100"/>
      <c r="R155" s="101"/>
      <c r="S155" s="90">
        <f>ROUND(ROUND(P155, 2)*I155, 2)</f>
        <v>2501.56</v>
      </c>
    </row>
    <row r="156" spans="1:21" ht="72" x14ac:dyDescent="0.45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120">
        <v>517.6</v>
      </c>
      <c r="J156" s="126"/>
      <c r="K156" s="138"/>
      <c r="L156" s="114"/>
      <c r="M156" s="117"/>
      <c r="N156" s="114"/>
      <c r="P156" s="107">
        <v>1100.4000000000001</v>
      </c>
      <c r="Q156" s="100"/>
      <c r="R156" s="101"/>
      <c r="S156" s="90">
        <f>ROUND(ROUND(P156, 2)*I156, 2)</f>
        <v>569567.04</v>
      </c>
    </row>
    <row r="157" spans="1:21" ht="36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19">
        <v>0</v>
      </c>
      <c r="J157" s="125"/>
      <c r="K157" s="139"/>
      <c r="L157" s="123"/>
      <c r="M157" s="116"/>
      <c r="N157" s="116"/>
      <c r="O157" s="84"/>
      <c r="P157" s="102">
        <f>IFERROR(ROUND(SUM(S158,S159,S160,S161)/I157, 2),0)</f>
        <v>0</v>
      </c>
      <c r="Q157" s="103">
        <v>473</v>
      </c>
      <c r="R157" s="104">
        <f>P157+ROUND(Q157, 2)</f>
        <v>473</v>
      </c>
      <c r="S157" s="89">
        <f>ROUND(P157*I157, 2)</f>
        <v>0</v>
      </c>
      <c r="T157" s="14">
        <f>ROUND(I157*ROUND(Q157, 2), 2)</f>
        <v>0</v>
      </c>
      <c r="U157" s="14">
        <f>S157+T157</f>
        <v>0</v>
      </c>
    </row>
    <row r="158" spans="1:21" ht="36" x14ac:dyDescent="0.45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121">
        <v>0</v>
      </c>
      <c r="J158" s="126"/>
      <c r="K158" s="138"/>
      <c r="L158" s="114"/>
      <c r="M158" s="117"/>
      <c r="N158" s="114"/>
      <c r="P158" s="105">
        <v>16.96</v>
      </c>
      <c r="Q158" s="100"/>
      <c r="R158" s="101"/>
      <c r="S158" s="90">
        <f>ROUND(ROUND(P158, 2)*I158, 2)</f>
        <v>0</v>
      </c>
    </row>
    <row r="159" spans="1:21" ht="36" x14ac:dyDescent="0.45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121">
        <v>0</v>
      </c>
      <c r="J159" s="126"/>
      <c r="K159" s="138"/>
      <c r="L159" s="114"/>
      <c r="M159" s="117"/>
      <c r="N159" s="114"/>
      <c r="P159" s="105">
        <v>450.95</v>
      </c>
      <c r="Q159" s="100"/>
      <c r="R159" s="101"/>
      <c r="S159" s="90">
        <f>ROUND(ROUND(P159, 2)*I159, 2)</f>
        <v>0</v>
      </c>
    </row>
    <row r="160" spans="1:21" ht="23.4" x14ac:dyDescent="0.45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120">
        <v>0</v>
      </c>
      <c r="J160" s="126"/>
      <c r="K160" s="138"/>
      <c r="L160" s="114"/>
      <c r="M160" s="117"/>
      <c r="N160" s="114"/>
      <c r="P160" s="105">
        <v>47.44</v>
      </c>
      <c r="Q160" s="100"/>
      <c r="R160" s="101"/>
      <c r="S160" s="90">
        <f>ROUND(ROUND(P160, 2)*I160, 2)</f>
        <v>0</v>
      </c>
    </row>
    <row r="161" spans="1:21" ht="36" x14ac:dyDescent="0.45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120">
        <v>0</v>
      </c>
      <c r="J161" s="126"/>
      <c r="K161" s="138"/>
      <c r="L161" s="114"/>
      <c r="M161" s="117"/>
      <c r="N161" s="114"/>
      <c r="P161" s="105">
        <v>88.8</v>
      </c>
      <c r="Q161" s="100"/>
      <c r="R161" s="101"/>
      <c r="S161" s="90">
        <f>ROUND(ROUND(P161, 2)*I161, 2)</f>
        <v>0</v>
      </c>
    </row>
    <row r="162" spans="1:21" ht="36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19">
        <v>0</v>
      </c>
      <c r="J162" s="125"/>
      <c r="K162" s="139"/>
      <c r="L162" s="123"/>
      <c r="M162" s="116"/>
      <c r="N162" s="116"/>
      <c r="O162" s="84"/>
      <c r="P162" s="102">
        <f>IFERROR(ROUND(SUM(S163,S164,S165,S166)/I162, 2),0)</f>
        <v>0</v>
      </c>
      <c r="Q162" s="103">
        <v>473</v>
      </c>
      <c r="R162" s="104">
        <f>P162+ROUND(Q162, 2)</f>
        <v>473</v>
      </c>
      <c r="S162" s="89">
        <f>ROUND(P162*I162, 2)</f>
        <v>0</v>
      </c>
      <c r="T162" s="14">
        <f>ROUND(I162*ROUND(Q162, 2), 2)</f>
        <v>0</v>
      </c>
      <c r="U162" s="14">
        <f>S162+T162</f>
        <v>0</v>
      </c>
    </row>
    <row r="163" spans="1:21" ht="36" x14ac:dyDescent="0.45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120">
        <v>0</v>
      </c>
      <c r="J163" s="126"/>
      <c r="K163" s="138"/>
      <c r="L163" s="114"/>
      <c r="M163" s="117"/>
      <c r="N163" s="114"/>
      <c r="P163" s="105">
        <v>88.8</v>
      </c>
      <c r="Q163" s="100"/>
      <c r="R163" s="101"/>
      <c r="S163" s="90">
        <f>ROUND(ROUND(P163, 2)*I163, 2)</f>
        <v>0</v>
      </c>
    </row>
    <row r="164" spans="1:21" ht="23.4" x14ac:dyDescent="0.45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120">
        <v>0</v>
      </c>
      <c r="J164" s="126"/>
      <c r="K164" s="138"/>
      <c r="L164" s="114"/>
      <c r="M164" s="117"/>
      <c r="N164" s="114"/>
      <c r="P164" s="105">
        <v>47.44</v>
      </c>
      <c r="Q164" s="100"/>
      <c r="R164" s="101"/>
      <c r="S164" s="90">
        <f>ROUND(ROUND(P164, 2)*I164, 2)</f>
        <v>0</v>
      </c>
    </row>
    <row r="165" spans="1:21" ht="36" x14ac:dyDescent="0.45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121">
        <v>0</v>
      </c>
      <c r="J165" s="126"/>
      <c r="K165" s="138"/>
      <c r="L165" s="114"/>
      <c r="M165" s="117"/>
      <c r="N165" s="114"/>
      <c r="P165" s="105">
        <v>450.95</v>
      </c>
      <c r="Q165" s="100"/>
      <c r="R165" s="101"/>
      <c r="S165" s="90">
        <f>ROUND(ROUND(P165, 2)*I165, 2)</f>
        <v>0</v>
      </c>
    </row>
    <row r="166" spans="1:21" ht="36" x14ac:dyDescent="0.45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121">
        <v>0</v>
      </c>
      <c r="J166" s="126"/>
      <c r="K166" s="138"/>
      <c r="L166" s="114"/>
      <c r="M166" s="117"/>
      <c r="N166" s="114"/>
      <c r="P166" s="105">
        <v>16.96</v>
      </c>
      <c r="Q166" s="100"/>
      <c r="R166" s="101"/>
      <c r="S166" s="90">
        <f>ROUND(ROUND(P166, 2)*I166, 2)</f>
        <v>0</v>
      </c>
    </row>
    <row r="167" spans="1:21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19">
        <v>0</v>
      </c>
      <c r="J167" s="125"/>
      <c r="K167" s="139"/>
      <c r="L167" s="123"/>
      <c r="M167" s="116"/>
      <c r="N167" s="116"/>
      <c r="O167" s="84"/>
      <c r="P167" s="102">
        <f>IFERROR(ROUND(SUM(S168,S169,S170)/I167, 2),0)</f>
        <v>0</v>
      </c>
      <c r="Q167" s="103">
        <v>473</v>
      </c>
      <c r="R167" s="104">
        <f>P167+ROUND(Q167, 2)</f>
        <v>473</v>
      </c>
      <c r="S167" s="89">
        <f>ROUND(P167*I167, 2)</f>
        <v>0</v>
      </c>
      <c r="T167" s="14">
        <f>ROUND(I167*ROUND(Q167, 2), 2)</f>
        <v>0</v>
      </c>
      <c r="U167" s="14">
        <f>S167+T167</f>
        <v>0</v>
      </c>
    </row>
    <row r="168" spans="1:21" ht="36" x14ac:dyDescent="0.45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121">
        <v>0</v>
      </c>
      <c r="J168" s="126"/>
      <c r="K168" s="138"/>
      <c r="L168" s="114"/>
      <c r="M168" s="117"/>
      <c r="N168" s="114"/>
      <c r="P168" s="105">
        <v>16.96</v>
      </c>
      <c r="Q168" s="100"/>
      <c r="R168" s="101"/>
      <c r="S168" s="90">
        <f>ROUND(ROUND(P168, 2)*I168, 2)</f>
        <v>0</v>
      </c>
    </row>
    <row r="169" spans="1:21" ht="36" x14ac:dyDescent="0.45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121">
        <v>0</v>
      </c>
      <c r="J169" s="126"/>
      <c r="K169" s="138"/>
      <c r="L169" s="114"/>
      <c r="M169" s="117"/>
      <c r="N169" s="114"/>
      <c r="P169" s="105">
        <v>450.95</v>
      </c>
      <c r="Q169" s="100"/>
      <c r="R169" s="101"/>
      <c r="S169" s="90">
        <f>ROUND(ROUND(P169, 2)*I169, 2)</f>
        <v>0</v>
      </c>
    </row>
    <row r="170" spans="1:21" ht="36" x14ac:dyDescent="0.45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120">
        <v>0</v>
      </c>
      <c r="J170" s="126"/>
      <c r="K170" s="138"/>
      <c r="L170" s="114"/>
      <c r="M170" s="117"/>
      <c r="N170" s="114"/>
      <c r="P170" s="105">
        <v>88.8</v>
      </c>
      <c r="Q170" s="100"/>
      <c r="R170" s="101"/>
      <c r="S170" s="90">
        <f>ROUND(ROUND(P170, 2)*I170, 2)</f>
        <v>0</v>
      </c>
    </row>
    <row r="171" spans="1:21" ht="36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19">
        <v>103.54</v>
      </c>
      <c r="J171" s="125"/>
      <c r="K171" s="139"/>
      <c r="L171" s="123"/>
      <c r="M171" s="116"/>
      <c r="N171" s="116"/>
      <c r="O171" s="84"/>
      <c r="P171" s="102">
        <f>IFERROR(ROUND(SUM(S172,S173,S174)/I171, 2),0)</f>
        <v>832.98</v>
      </c>
      <c r="Q171" s="106">
        <v>709.5</v>
      </c>
      <c r="R171" s="104">
        <f>P171+ROUND(Q171, 2)</f>
        <v>1542.48</v>
      </c>
      <c r="S171" s="89">
        <f>ROUND(P171*I171, 2)</f>
        <v>86246.75</v>
      </c>
      <c r="T171" s="14">
        <f>ROUND(I171*ROUND(Q171, 2), 2)</f>
        <v>73461.63</v>
      </c>
      <c r="U171" s="14">
        <f>S171+T171</f>
        <v>159708.38</v>
      </c>
    </row>
    <row r="172" spans="1:21" ht="36" x14ac:dyDescent="0.45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120">
        <v>1.5529999999999999</v>
      </c>
      <c r="J172" s="126"/>
      <c r="K172" s="138"/>
      <c r="L172" s="114"/>
      <c r="M172" s="117"/>
      <c r="N172" s="114"/>
      <c r="P172" s="107">
        <v>88.8</v>
      </c>
      <c r="Q172" s="100"/>
      <c r="R172" s="101"/>
      <c r="S172" s="90">
        <f>ROUND(ROUND(P172, 2)*I172, 2)</f>
        <v>137.91</v>
      </c>
    </row>
    <row r="173" spans="1:21" ht="23.4" x14ac:dyDescent="0.45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120">
        <v>4.1420000000000003</v>
      </c>
      <c r="J173" s="126"/>
      <c r="K173" s="138"/>
      <c r="L173" s="114"/>
      <c r="M173" s="117"/>
      <c r="N173" s="114"/>
      <c r="P173" s="107">
        <v>47.44</v>
      </c>
      <c r="Q173" s="100"/>
      <c r="R173" s="101"/>
      <c r="S173" s="90">
        <f>ROUND(ROUND(P173, 2)*I173, 2)</f>
        <v>196.5</v>
      </c>
    </row>
    <row r="174" spans="1:21" ht="90" x14ac:dyDescent="0.45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121">
        <v>190.51400000000001</v>
      </c>
      <c r="J174" s="126"/>
      <c r="K174" s="138"/>
      <c r="L174" s="114"/>
      <c r="M174" s="117"/>
      <c r="N174" s="114"/>
      <c r="P174" s="107">
        <v>450.95</v>
      </c>
      <c r="Q174" s="100"/>
      <c r="R174" s="101"/>
      <c r="S174" s="90">
        <f>ROUND(ROUND(P174, 2)*I174, 2)</f>
        <v>85912.29</v>
      </c>
    </row>
    <row r="175" spans="1:21" ht="54.6" customHeight="1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19">
        <v>379.83</v>
      </c>
      <c r="J175" s="125"/>
      <c r="K175" s="139"/>
      <c r="L175" s="123"/>
      <c r="M175" s="116"/>
      <c r="N175" s="116"/>
      <c r="O175" s="84"/>
      <c r="P175" s="102">
        <f>IFERROR(ROUND(SUM(S176,S177,S178,S179)/I175, 2),0)</f>
        <v>844.25</v>
      </c>
      <c r="Q175" s="106">
        <v>709.5</v>
      </c>
      <c r="R175" s="104">
        <f>P175+ROUND(Q175, 2)</f>
        <v>1553.75</v>
      </c>
      <c r="S175" s="89">
        <f>ROUND(P175*I175, 2)</f>
        <v>320671.48</v>
      </c>
      <c r="T175" s="14">
        <f>ROUND(I175*ROUND(Q175, 2), 2)</f>
        <v>269489.39</v>
      </c>
      <c r="U175" s="14">
        <f>S175+T175</f>
        <v>590160.87</v>
      </c>
    </row>
    <row r="176" spans="1:21" ht="36" x14ac:dyDescent="0.45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121">
        <v>265.88099999999997</v>
      </c>
      <c r="J176" s="126"/>
      <c r="K176" s="138"/>
      <c r="L176" s="114"/>
      <c r="M176" s="117"/>
      <c r="N176" s="114"/>
      <c r="P176" s="107">
        <v>16.11</v>
      </c>
      <c r="Q176" s="100"/>
      <c r="R176" s="101"/>
      <c r="S176" s="90">
        <f>ROUND(ROUND(P176, 2)*I176, 2)</f>
        <v>4283.34</v>
      </c>
    </row>
    <row r="177" spans="1:21" ht="72" x14ac:dyDescent="0.45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121">
        <v>698.88699999999994</v>
      </c>
      <c r="J177" s="126"/>
      <c r="K177" s="138"/>
      <c r="L177" s="114"/>
      <c r="M177" s="117"/>
      <c r="N177" s="114"/>
      <c r="P177" s="107">
        <v>450.95</v>
      </c>
      <c r="Q177" s="100"/>
      <c r="R177" s="101"/>
      <c r="S177" s="90">
        <f>ROUND(ROUND(P177, 2)*I177, 2)</f>
        <v>315163.09000000003</v>
      </c>
    </row>
    <row r="178" spans="1:21" ht="23.4" x14ac:dyDescent="0.45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120">
        <v>15.193</v>
      </c>
      <c r="J178" s="126"/>
      <c r="K178" s="138"/>
      <c r="L178" s="114"/>
      <c r="M178" s="117"/>
      <c r="N178" s="114"/>
      <c r="P178" s="107">
        <v>47.44</v>
      </c>
      <c r="Q178" s="100"/>
      <c r="R178" s="101"/>
      <c r="S178" s="90">
        <f>ROUND(ROUND(P178, 2)*I178, 2)</f>
        <v>720.76</v>
      </c>
    </row>
    <row r="179" spans="1:21" ht="36" x14ac:dyDescent="0.45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120">
        <v>5.6970000000000001</v>
      </c>
      <c r="J179" s="126"/>
      <c r="K179" s="138"/>
      <c r="L179" s="114"/>
      <c r="M179" s="117"/>
      <c r="N179" s="114"/>
      <c r="P179" s="107">
        <v>88.8</v>
      </c>
      <c r="Q179" s="100"/>
      <c r="R179" s="101"/>
      <c r="S179" s="90">
        <f>ROUND(ROUND(P179, 2)*I179, 2)</f>
        <v>505.89</v>
      </c>
    </row>
    <row r="180" spans="1:21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19">
        <v>78</v>
      </c>
      <c r="J180" s="125"/>
      <c r="K180" s="139"/>
      <c r="L180" s="123"/>
      <c r="M180" s="116"/>
      <c r="N180" s="116"/>
      <c r="O180" s="84"/>
      <c r="P180" s="102">
        <f>IFERROR(ROUND(SUM(S181,S182,S183,S184)/I180, 2),0)</f>
        <v>844.25</v>
      </c>
      <c r="Q180" s="106">
        <v>709.5</v>
      </c>
      <c r="R180" s="104">
        <f>P180+ROUND(Q180, 2)</f>
        <v>1553.75</v>
      </c>
      <c r="S180" s="89">
        <f>ROUND(P180*I180, 2)</f>
        <v>65851.5</v>
      </c>
      <c r="T180" s="14">
        <f>ROUND(I180*ROUND(Q180, 2), 2)</f>
        <v>55341</v>
      </c>
      <c r="U180" s="14">
        <f>S180+T180</f>
        <v>121192.5</v>
      </c>
    </row>
    <row r="181" spans="1:21" ht="36" x14ac:dyDescent="0.45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120">
        <v>1.17</v>
      </c>
      <c r="J181" s="126"/>
      <c r="K181" s="138"/>
      <c r="L181" s="114"/>
      <c r="M181" s="117"/>
      <c r="N181" s="114"/>
      <c r="P181" s="107">
        <v>88.8</v>
      </c>
      <c r="Q181" s="100"/>
      <c r="R181" s="101"/>
      <c r="S181" s="90">
        <f>ROUND(ROUND(P181, 2)*I181, 2)</f>
        <v>103.9</v>
      </c>
    </row>
    <row r="182" spans="1:21" ht="23.4" x14ac:dyDescent="0.45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120">
        <v>3.12</v>
      </c>
      <c r="J182" s="126"/>
      <c r="K182" s="138"/>
      <c r="L182" s="114"/>
      <c r="M182" s="117"/>
      <c r="N182" s="114"/>
      <c r="P182" s="107">
        <v>47.44</v>
      </c>
      <c r="Q182" s="100"/>
      <c r="R182" s="101"/>
      <c r="S182" s="90">
        <f>ROUND(ROUND(P182, 2)*I182, 2)</f>
        <v>148.01</v>
      </c>
    </row>
    <row r="183" spans="1:21" ht="54" x14ac:dyDescent="0.45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121">
        <v>143.52000000000001</v>
      </c>
      <c r="J183" s="126"/>
      <c r="K183" s="138"/>
      <c r="L183" s="114"/>
      <c r="M183" s="117"/>
      <c r="N183" s="114"/>
      <c r="P183" s="107">
        <v>450.95</v>
      </c>
      <c r="Q183" s="100"/>
      <c r="R183" s="101"/>
      <c r="S183" s="90">
        <f>ROUND(ROUND(P183, 2)*I183, 2)</f>
        <v>64720.34</v>
      </c>
    </row>
    <row r="184" spans="1:21" ht="36" x14ac:dyDescent="0.45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121">
        <v>54.6</v>
      </c>
      <c r="J184" s="126"/>
      <c r="K184" s="138"/>
      <c r="L184" s="114"/>
      <c r="M184" s="117"/>
      <c r="N184" s="114"/>
      <c r="P184" s="107">
        <v>16.11</v>
      </c>
      <c r="Q184" s="100"/>
      <c r="R184" s="101"/>
      <c r="S184" s="90">
        <f>ROUND(ROUND(P184, 2)*I184, 2)</f>
        <v>879.61</v>
      </c>
    </row>
    <row r="185" spans="1:21" ht="54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19">
        <v>0</v>
      </c>
      <c r="J185" s="125"/>
      <c r="K185" s="139"/>
      <c r="L185" s="123"/>
      <c r="M185" s="116"/>
      <c r="N185" s="116"/>
      <c r="O185" s="84"/>
      <c r="P185" s="102">
        <f>IFERROR(ROUND(SUM(S186,S187,S188,S189)/I185, 2),0)</f>
        <v>0</v>
      </c>
      <c r="Q185" s="103">
        <v>1655</v>
      </c>
      <c r="R185" s="104">
        <f>P185+ROUND(Q185, 2)</f>
        <v>1655</v>
      </c>
      <c r="S185" s="89">
        <f>ROUND(P185*I185, 2)</f>
        <v>0</v>
      </c>
      <c r="T185" s="14">
        <f>ROUND(I185*ROUND(Q185, 2), 2)</f>
        <v>0</v>
      </c>
      <c r="U185" s="14">
        <f>S185+T185</f>
        <v>0</v>
      </c>
    </row>
    <row r="186" spans="1:21" ht="36" x14ac:dyDescent="0.45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120">
        <v>0</v>
      </c>
      <c r="J186" s="126"/>
      <c r="K186" s="138"/>
      <c r="L186" s="114"/>
      <c r="M186" s="117"/>
      <c r="N186" s="114"/>
      <c r="P186" s="105">
        <v>16.96</v>
      </c>
      <c r="Q186" s="100"/>
      <c r="R186" s="101"/>
      <c r="S186" s="90">
        <f>ROUND(ROUND(P186, 2)*I186, 2)</f>
        <v>0</v>
      </c>
    </row>
    <row r="187" spans="1:21" ht="36" x14ac:dyDescent="0.45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121">
        <v>0</v>
      </c>
      <c r="J187" s="126"/>
      <c r="K187" s="138"/>
      <c r="L187" s="114"/>
      <c r="M187" s="117"/>
      <c r="N187" s="114"/>
      <c r="P187" s="105">
        <v>845.25</v>
      </c>
      <c r="Q187" s="100"/>
      <c r="R187" s="101"/>
      <c r="S187" s="90">
        <f>ROUND(ROUND(P187, 2)*I187, 2)</f>
        <v>0</v>
      </c>
    </row>
    <row r="188" spans="1:21" ht="36" x14ac:dyDescent="0.45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121">
        <v>0</v>
      </c>
      <c r="J188" s="126"/>
      <c r="K188" s="138"/>
      <c r="L188" s="114"/>
      <c r="M188" s="117"/>
      <c r="N188" s="114"/>
      <c r="P188" s="105">
        <v>40.270000000000003</v>
      </c>
      <c r="Q188" s="100"/>
      <c r="R188" s="101"/>
      <c r="S188" s="90">
        <f>ROUND(ROUND(P188, 2)*I188, 2)</f>
        <v>0</v>
      </c>
    </row>
    <row r="189" spans="1:21" ht="36" x14ac:dyDescent="0.45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120">
        <v>0</v>
      </c>
      <c r="J189" s="126"/>
      <c r="K189" s="138"/>
      <c r="L189" s="114"/>
      <c r="M189" s="117"/>
      <c r="N189" s="114"/>
      <c r="P189" s="105">
        <v>88.8</v>
      </c>
      <c r="Q189" s="100"/>
      <c r="R189" s="101"/>
      <c r="S189" s="90">
        <f>ROUND(ROUND(P189, 2)*I189, 2)</f>
        <v>0</v>
      </c>
    </row>
    <row r="190" spans="1:21" ht="54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19">
        <v>370.9</v>
      </c>
      <c r="J190" s="125"/>
      <c r="K190" s="139"/>
      <c r="L190" s="123"/>
      <c r="M190" s="116"/>
      <c r="N190" s="116"/>
      <c r="O190" s="84"/>
      <c r="P190" s="102">
        <f>IFERROR(ROUND(SUM(S191,S192,S193,S194)/I190, 2),0)</f>
        <v>1040.58</v>
      </c>
      <c r="Q190" s="106">
        <v>2482.5</v>
      </c>
      <c r="R190" s="104">
        <f>P190+ROUND(Q190, 2)</f>
        <v>3523.08</v>
      </c>
      <c r="S190" s="89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</row>
    <row r="191" spans="1:21" ht="36" x14ac:dyDescent="0.45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120">
        <v>55.634999999999998</v>
      </c>
      <c r="J191" s="126"/>
      <c r="K191" s="138"/>
      <c r="L191" s="114"/>
      <c r="M191" s="117"/>
      <c r="N191" s="114"/>
      <c r="P191" s="107">
        <v>88.8</v>
      </c>
      <c r="Q191" s="100"/>
      <c r="R191" s="101"/>
      <c r="S191" s="90">
        <f>ROUND(ROUND(P191, 2)*I191, 2)</f>
        <v>4940.3900000000003</v>
      </c>
    </row>
    <row r="192" spans="1:21" ht="36" x14ac:dyDescent="0.45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121">
        <v>92.724999999999994</v>
      </c>
      <c r="J192" s="126"/>
      <c r="K192" s="138"/>
      <c r="L192" s="114"/>
      <c r="M192" s="117"/>
      <c r="N192" s="114"/>
      <c r="P192" s="107">
        <v>40.270000000000003</v>
      </c>
      <c r="Q192" s="100"/>
      <c r="R192" s="101"/>
      <c r="S192" s="90">
        <f>ROUND(ROUND(P192, 2)*I192, 2)</f>
        <v>3734.04</v>
      </c>
    </row>
    <row r="193" spans="1:21" ht="72" x14ac:dyDescent="0.45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121">
        <v>396.863</v>
      </c>
      <c r="J193" s="126"/>
      <c r="K193" s="138"/>
      <c r="L193" s="114"/>
      <c r="M193" s="117"/>
      <c r="N193" s="114"/>
      <c r="P193" s="107">
        <v>845.25</v>
      </c>
      <c r="Q193" s="100"/>
      <c r="R193" s="101"/>
      <c r="S193" s="90">
        <f>ROUND(ROUND(P193, 2)*I193, 2)</f>
        <v>335448.45</v>
      </c>
    </row>
    <row r="194" spans="1:21" ht="36" x14ac:dyDescent="0.45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120">
        <v>2596.3000000000002</v>
      </c>
      <c r="J194" s="126"/>
      <c r="K194" s="138"/>
      <c r="L194" s="114"/>
      <c r="M194" s="117"/>
      <c r="N194" s="114"/>
      <c r="P194" s="107">
        <v>16.11</v>
      </c>
      <c r="Q194" s="100"/>
      <c r="R194" s="101"/>
      <c r="S194" s="90">
        <f>ROUND(ROUND(P194, 2)*I194, 2)</f>
        <v>41826.39</v>
      </c>
    </row>
    <row r="195" spans="1:21" ht="54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19">
        <v>0</v>
      </c>
      <c r="J195" s="125"/>
      <c r="K195" s="139"/>
      <c r="L195" s="123"/>
      <c r="M195" s="116"/>
      <c r="N195" s="116"/>
      <c r="O195" s="84"/>
      <c r="P195" s="102">
        <f>IFERROR(ROUND(SUM(S196,S197,S198,S199)/I195, 2),0)</f>
        <v>0</v>
      </c>
      <c r="Q195" s="103">
        <v>2785</v>
      </c>
      <c r="R195" s="104">
        <f>P195+ROUND(Q195, 2)</f>
        <v>2785</v>
      </c>
      <c r="S195" s="89">
        <f>ROUND(P195*I195, 2)</f>
        <v>0</v>
      </c>
      <c r="T195" s="14">
        <f>ROUND(I195*ROUND(Q195, 2), 2)</f>
        <v>0</v>
      </c>
      <c r="U195" s="14">
        <f>S195+T195</f>
        <v>0</v>
      </c>
    </row>
    <row r="196" spans="1:21" ht="36" x14ac:dyDescent="0.45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121">
        <v>0</v>
      </c>
      <c r="J196" s="126"/>
      <c r="K196" s="138"/>
      <c r="L196" s="114"/>
      <c r="M196" s="117"/>
      <c r="N196" s="114"/>
      <c r="P196" s="105">
        <v>16.96</v>
      </c>
      <c r="Q196" s="100"/>
      <c r="R196" s="101"/>
      <c r="S196" s="90">
        <f>ROUND(ROUND(P196, 2)*I196, 2)</f>
        <v>0</v>
      </c>
    </row>
    <row r="197" spans="1:21" ht="36" x14ac:dyDescent="0.45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121">
        <v>0</v>
      </c>
      <c r="J197" s="126"/>
      <c r="K197" s="138"/>
      <c r="L197" s="114"/>
      <c r="M197" s="117"/>
      <c r="N197" s="114"/>
      <c r="P197" s="105">
        <v>1684.3</v>
      </c>
      <c r="Q197" s="100"/>
      <c r="R197" s="101"/>
      <c r="S197" s="90">
        <f>ROUND(ROUND(P197, 2)*I197, 2)</f>
        <v>0</v>
      </c>
    </row>
    <row r="198" spans="1:21" ht="36" x14ac:dyDescent="0.45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121">
        <v>0</v>
      </c>
      <c r="J198" s="126"/>
      <c r="K198" s="138"/>
      <c r="L198" s="114"/>
      <c r="M198" s="117"/>
      <c r="N198" s="114"/>
      <c r="P198" s="105">
        <v>40.270000000000003</v>
      </c>
      <c r="Q198" s="100"/>
      <c r="R198" s="101"/>
      <c r="S198" s="90">
        <f>ROUND(ROUND(P198, 2)*I198, 2)</f>
        <v>0</v>
      </c>
    </row>
    <row r="199" spans="1:21" ht="36" x14ac:dyDescent="0.45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120">
        <v>0</v>
      </c>
      <c r="J199" s="126"/>
      <c r="K199" s="138"/>
      <c r="L199" s="114"/>
      <c r="M199" s="117"/>
      <c r="N199" s="114"/>
      <c r="P199" s="105">
        <v>88.8</v>
      </c>
      <c r="Q199" s="100"/>
      <c r="R199" s="101"/>
      <c r="S199" s="90">
        <f>ROUND(ROUND(P199, 2)*I199, 2)</f>
        <v>0</v>
      </c>
    </row>
    <row r="200" spans="1:21" ht="54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19">
        <v>0</v>
      </c>
      <c r="J200" s="125"/>
      <c r="K200" s="139"/>
      <c r="L200" s="123"/>
      <c r="M200" s="116"/>
      <c r="N200" s="116"/>
      <c r="O200" s="84"/>
      <c r="P200" s="102">
        <f>IFERROR(ROUND(SUM(S201,S202,S203,S204)/I200, 2),0)</f>
        <v>0</v>
      </c>
      <c r="Q200" s="103">
        <v>2785</v>
      </c>
      <c r="R200" s="104">
        <f>P200+ROUND(Q200, 2)</f>
        <v>2785</v>
      </c>
      <c r="S200" s="89">
        <f>ROUND(P200*I200, 2)</f>
        <v>0</v>
      </c>
      <c r="T200" s="14">
        <f>ROUND(I200*ROUND(Q200, 2), 2)</f>
        <v>0</v>
      </c>
      <c r="U200" s="14">
        <f>S200+T200</f>
        <v>0</v>
      </c>
    </row>
    <row r="201" spans="1:21" ht="36" x14ac:dyDescent="0.45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120">
        <v>0</v>
      </c>
      <c r="J201" s="126"/>
      <c r="K201" s="138"/>
      <c r="L201" s="114"/>
      <c r="M201" s="117"/>
      <c r="N201" s="114"/>
      <c r="P201" s="105">
        <v>88.8</v>
      </c>
      <c r="Q201" s="100"/>
      <c r="R201" s="101"/>
      <c r="S201" s="90">
        <f>ROUND(ROUND(P201, 2)*I201, 2)</f>
        <v>0</v>
      </c>
    </row>
    <row r="202" spans="1:21" ht="36" x14ac:dyDescent="0.45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121">
        <v>0</v>
      </c>
      <c r="J202" s="126"/>
      <c r="K202" s="138"/>
      <c r="L202" s="114"/>
      <c r="M202" s="117"/>
      <c r="N202" s="114"/>
      <c r="P202" s="105">
        <v>40.270000000000003</v>
      </c>
      <c r="Q202" s="100"/>
      <c r="R202" s="101"/>
      <c r="S202" s="90">
        <f>ROUND(ROUND(P202, 2)*I202, 2)</f>
        <v>0</v>
      </c>
    </row>
    <row r="203" spans="1:21" ht="36" x14ac:dyDescent="0.45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121">
        <v>0</v>
      </c>
      <c r="J203" s="126"/>
      <c r="K203" s="138"/>
      <c r="L203" s="114"/>
      <c r="M203" s="117"/>
      <c r="N203" s="114"/>
      <c r="P203" s="105">
        <v>1675.8</v>
      </c>
      <c r="Q203" s="100"/>
      <c r="R203" s="101"/>
      <c r="S203" s="90">
        <f>ROUND(ROUND(P203, 2)*I203, 2)</f>
        <v>0</v>
      </c>
    </row>
    <row r="204" spans="1:21" ht="36" x14ac:dyDescent="0.45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121">
        <v>0</v>
      </c>
      <c r="J204" s="126"/>
      <c r="K204" s="138"/>
      <c r="L204" s="114"/>
      <c r="M204" s="117"/>
      <c r="N204" s="114"/>
      <c r="P204" s="105">
        <v>16.96</v>
      </c>
      <c r="Q204" s="100"/>
      <c r="R204" s="101"/>
      <c r="S204" s="90">
        <f>ROUND(ROUND(P204, 2)*I204, 2)</f>
        <v>0</v>
      </c>
    </row>
    <row r="205" spans="1:21" ht="54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19">
        <v>0</v>
      </c>
      <c r="J205" s="125"/>
      <c r="K205" s="139"/>
      <c r="L205" s="123"/>
      <c r="M205" s="116"/>
      <c r="N205" s="116"/>
      <c r="O205" s="84"/>
      <c r="P205" s="102">
        <f>IFERROR(ROUND(SUM(S206,S207,S208,S209)/I205, 2),0)</f>
        <v>0</v>
      </c>
      <c r="Q205" s="103">
        <v>2785</v>
      </c>
      <c r="R205" s="104">
        <f>P205+ROUND(Q205, 2)</f>
        <v>2785</v>
      </c>
      <c r="S205" s="89">
        <f>ROUND(P205*I205, 2)</f>
        <v>0</v>
      </c>
      <c r="T205" s="14">
        <f>ROUND(I205*ROUND(Q205, 2), 2)</f>
        <v>0</v>
      </c>
      <c r="U205" s="14">
        <f>S205+T205</f>
        <v>0</v>
      </c>
    </row>
    <row r="206" spans="1:21" ht="36" x14ac:dyDescent="0.45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121">
        <v>0</v>
      </c>
      <c r="J206" s="126"/>
      <c r="K206" s="138"/>
      <c r="L206" s="114"/>
      <c r="M206" s="117"/>
      <c r="N206" s="114"/>
      <c r="P206" s="105">
        <v>16.96</v>
      </c>
      <c r="Q206" s="100"/>
      <c r="R206" s="101"/>
      <c r="S206" s="90">
        <f>ROUND(ROUND(P206, 2)*I206, 2)</f>
        <v>0</v>
      </c>
    </row>
    <row r="207" spans="1:21" ht="36" x14ac:dyDescent="0.45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121">
        <v>0</v>
      </c>
      <c r="J207" s="126"/>
      <c r="K207" s="138"/>
      <c r="L207" s="114"/>
      <c r="M207" s="117"/>
      <c r="N207" s="114"/>
      <c r="P207" s="105">
        <v>1622.5</v>
      </c>
      <c r="Q207" s="100"/>
      <c r="R207" s="101"/>
      <c r="S207" s="90">
        <f>ROUND(ROUND(P207, 2)*I207, 2)</f>
        <v>0</v>
      </c>
    </row>
    <row r="208" spans="1:21" ht="36" x14ac:dyDescent="0.45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121">
        <v>0</v>
      </c>
      <c r="J208" s="126"/>
      <c r="K208" s="138"/>
      <c r="L208" s="114"/>
      <c r="M208" s="117"/>
      <c r="N208" s="114"/>
      <c r="P208" s="105">
        <v>40.270000000000003</v>
      </c>
      <c r="Q208" s="100"/>
      <c r="R208" s="101"/>
      <c r="S208" s="90">
        <f>ROUND(ROUND(P208, 2)*I208, 2)</f>
        <v>0</v>
      </c>
    </row>
    <row r="209" spans="1:21" ht="36" x14ac:dyDescent="0.45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120">
        <v>0</v>
      </c>
      <c r="J209" s="126"/>
      <c r="K209" s="138"/>
      <c r="L209" s="114"/>
      <c r="M209" s="117"/>
      <c r="N209" s="114"/>
      <c r="P209" s="105">
        <v>88.8</v>
      </c>
      <c r="Q209" s="100"/>
      <c r="R209" s="101"/>
      <c r="S209" s="90">
        <f>ROUND(ROUND(P209, 2)*I209, 2)</f>
        <v>0</v>
      </c>
    </row>
    <row r="210" spans="1:21" ht="54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19">
        <v>0</v>
      </c>
      <c r="J210" s="125"/>
      <c r="K210" s="139"/>
      <c r="L210" s="123"/>
      <c r="M210" s="116"/>
      <c r="N210" s="116"/>
      <c r="O210" s="84"/>
      <c r="P210" s="102">
        <f>IFERROR(ROUND(SUM(S211,S212,S213,S214)/I210, 2),0)</f>
        <v>0</v>
      </c>
      <c r="Q210" s="103">
        <v>2785</v>
      </c>
      <c r="R210" s="104">
        <f>P210+ROUND(Q210, 2)</f>
        <v>2785</v>
      </c>
      <c r="S210" s="89">
        <f>ROUND(P210*I210, 2)</f>
        <v>0</v>
      </c>
      <c r="T210" s="14">
        <f>ROUND(I210*ROUND(Q210, 2), 2)</f>
        <v>0</v>
      </c>
      <c r="U210" s="14">
        <f>S210+T210</f>
        <v>0</v>
      </c>
    </row>
    <row r="211" spans="1:21" ht="36" x14ac:dyDescent="0.45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120">
        <v>0</v>
      </c>
      <c r="J211" s="126"/>
      <c r="K211" s="138"/>
      <c r="L211" s="114"/>
      <c r="M211" s="117"/>
      <c r="N211" s="114"/>
      <c r="P211" s="105">
        <v>88.8</v>
      </c>
      <c r="Q211" s="100"/>
      <c r="R211" s="101"/>
      <c r="S211" s="90">
        <f>ROUND(ROUND(P211, 2)*I211, 2)</f>
        <v>0</v>
      </c>
    </row>
    <row r="212" spans="1:21" ht="36" x14ac:dyDescent="0.45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121">
        <v>0</v>
      </c>
      <c r="J212" s="126"/>
      <c r="K212" s="138"/>
      <c r="L212" s="114"/>
      <c r="M212" s="117"/>
      <c r="N212" s="114"/>
      <c r="P212" s="105">
        <v>40.270000000000003</v>
      </c>
      <c r="Q212" s="100"/>
      <c r="R212" s="101"/>
      <c r="S212" s="90">
        <f>ROUND(ROUND(P212, 2)*I212, 2)</f>
        <v>0</v>
      </c>
    </row>
    <row r="213" spans="1:21" ht="36" x14ac:dyDescent="0.45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121">
        <v>0</v>
      </c>
      <c r="J213" s="126"/>
      <c r="K213" s="138"/>
      <c r="L213" s="114"/>
      <c r="M213" s="117"/>
      <c r="N213" s="114"/>
      <c r="P213" s="105">
        <v>1693.1</v>
      </c>
      <c r="Q213" s="100"/>
      <c r="R213" s="101"/>
      <c r="S213" s="90">
        <f>ROUND(ROUND(P213, 2)*I213, 2)</f>
        <v>0</v>
      </c>
    </row>
    <row r="214" spans="1:21" ht="36" x14ac:dyDescent="0.45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121">
        <v>0</v>
      </c>
      <c r="J214" s="126"/>
      <c r="K214" s="138"/>
      <c r="L214" s="114"/>
      <c r="M214" s="117"/>
      <c r="N214" s="114"/>
      <c r="P214" s="105">
        <v>16.96</v>
      </c>
      <c r="Q214" s="100"/>
      <c r="R214" s="101"/>
      <c r="S214" s="90">
        <f>ROUND(ROUND(P214, 2)*I214, 2)</f>
        <v>0</v>
      </c>
    </row>
    <row r="215" spans="1:21" ht="54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19">
        <v>0</v>
      </c>
      <c r="J215" s="125"/>
      <c r="K215" s="139"/>
      <c r="L215" s="123"/>
      <c r="M215" s="116"/>
      <c r="N215" s="116"/>
      <c r="O215" s="84"/>
      <c r="P215" s="102">
        <f>IFERROR(ROUND(SUM(S216,S217,S218,S219)/I215, 2),0)</f>
        <v>0</v>
      </c>
      <c r="Q215" s="103">
        <v>2785</v>
      </c>
      <c r="R215" s="104">
        <f>P215+ROUND(Q215, 2)</f>
        <v>2785</v>
      </c>
      <c r="S215" s="89">
        <f>ROUND(P215*I215, 2)</f>
        <v>0</v>
      </c>
      <c r="T215" s="14">
        <f>ROUND(I215*ROUND(Q215, 2), 2)</f>
        <v>0</v>
      </c>
      <c r="U215" s="14">
        <f>S215+T215</f>
        <v>0</v>
      </c>
    </row>
    <row r="216" spans="1:21" ht="36" x14ac:dyDescent="0.45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121">
        <v>0</v>
      </c>
      <c r="J216" s="126"/>
      <c r="K216" s="138"/>
      <c r="L216" s="114"/>
      <c r="M216" s="117"/>
      <c r="N216" s="114"/>
      <c r="P216" s="105">
        <v>16.96</v>
      </c>
      <c r="Q216" s="100"/>
      <c r="R216" s="101"/>
      <c r="S216" s="90">
        <f>ROUND(ROUND(P216, 2)*I216, 2)</f>
        <v>0</v>
      </c>
    </row>
    <row r="217" spans="1:21" ht="36" x14ac:dyDescent="0.45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121">
        <v>0</v>
      </c>
      <c r="J217" s="126"/>
      <c r="K217" s="138"/>
      <c r="L217" s="114"/>
      <c r="M217" s="117"/>
      <c r="N217" s="114"/>
      <c r="P217" s="105">
        <v>1630.9</v>
      </c>
      <c r="Q217" s="100"/>
      <c r="R217" s="101"/>
      <c r="S217" s="90">
        <f>ROUND(ROUND(P217, 2)*I217, 2)</f>
        <v>0</v>
      </c>
    </row>
    <row r="218" spans="1:21" ht="36" x14ac:dyDescent="0.45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121">
        <v>0</v>
      </c>
      <c r="J218" s="126"/>
      <c r="K218" s="138"/>
      <c r="L218" s="114"/>
      <c r="M218" s="117"/>
      <c r="N218" s="114"/>
      <c r="P218" s="105">
        <v>40.270000000000003</v>
      </c>
      <c r="Q218" s="100"/>
      <c r="R218" s="101"/>
      <c r="S218" s="90">
        <f>ROUND(ROUND(P218, 2)*I218, 2)</f>
        <v>0</v>
      </c>
    </row>
    <row r="219" spans="1:21" ht="36" x14ac:dyDescent="0.45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120">
        <v>0</v>
      </c>
      <c r="J219" s="126"/>
      <c r="K219" s="138"/>
      <c r="L219" s="114"/>
      <c r="M219" s="117"/>
      <c r="N219" s="114"/>
      <c r="P219" s="105">
        <v>88.8</v>
      </c>
      <c r="Q219" s="100"/>
      <c r="R219" s="101"/>
      <c r="S219" s="90">
        <f>ROUND(ROUND(P219, 2)*I219, 2)</f>
        <v>0</v>
      </c>
    </row>
    <row r="220" spans="1:21" ht="54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19">
        <v>0</v>
      </c>
      <c r="J220" s="125"/>
      <c r="K220" s="139"/>
      <c r="L220" s="123"/>
      <c r="M220" s="116"/>
      <c r="N220" s="116"/>
      <c r="O220" s="84"/>
      <c r="P220" s="102">
        <f>IFERROR(ROUND(SUM(S221,S222,S223,S224)/I220, 2),0)</f>
        <v>0</v>
      </c>
      <c r="Q220" s="103">
        <v>2785</v>
      </c>
      <c r="R220" s="104">
        <f>P220+ROUND(Q220, 2)</f>
        <v>2785</v>
      </c>
      <c r="S220" s="89">
        <f>ROUND(P220*I220, 2)</f>
        <v>0</v>
      </c>
      <c r="T220" s="14">
        <f>ROUND(I220*ROUND(Q220, 2), 2)</f>
        <v>0</v>
      </c>
      <c r="U220" s="14">
        <f>S220+T220</f>
        <v>0</v>
      </c>
    </row>
    <row r="221" spans="1:21" ht="36" x14ac:dyDescent="0.45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120">
        <v>0</v>
      </c>
      <c r="J221" s="126"/>
      <c r="K221" s="138"/>
      <c r="L221" s="114"/>
      <c r="M221" s="117"/>
      <c r="N221" s="114"/>
      <c r="P221" s="105">
        <v>88.8</v>
      </c>
      <c r="Q221" s="100"/>
      <c r="R221" s="101"/>
      <c r="S221" s="90">
        <f>ROUND(ROUND(P221, 2)*I221, 2)</f>
        <v>0</v>
      </c>
    </row>
    <row r="222" spans="1:21" ht="36" x14ac:dyDescent="0.45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121">
        <v>0</v>
      </c>
      <c r="J222" s="126"/>
      <c r="K222" s="138"/>
      <c r="L222" s="114"/>
      <c r="M222" s="117"/>
      <c r="N222" s="114"/>
      <c r="P222" s="105">
        <v>40.270000000000003</v>
      </c>
      <c r="Q222" s="100"/>
      <c r="R222" s="101"/>
      <c r="S222" s="90">
        <f>ROUND(ROUND(P222, 2)*I222, 2)</f>
        <v>0</v>
      </c>
    </row>
    <row r="223" spans="1:21" ht="36" x14ac:dyDescent="0.45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121">
        <v>0</v>
      </c>
      <c r="J223" s="126"/>
      <c r="K223" s="138"/>
      <c r="L223" s="114"/>
      <c r="M223" s="117"/>
      <c r="N223" s="114"/>
      <c r="P223" s="105">
        <v>1630.9</v>
      </c>
      <c r="Q223" s="100"/>
      <c r="R223" s="101"/>
      <c r="S223" s="90">
        <f>ROUND(ROUND(P223, 2)*I223, 2)</f>
        <v>0</v>
      </c>
    </row>
    <row r="224" spans="1:21" ht="36" x14ac:dyDescent="0.45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121">
        <v>0</v>
      </c>
      <c r="J224" s="126"/>
      <c r="K224" s="138"/>
      <c r="L224" s="114"/>
      <c r="M224" s="117"/>
      <c r="N224" s="114"/>
      <c r="P224" s="105">
        <v>16.96</v>
      </c>
      <c r="Q224" s="100"/>
      <c r="R224" s="101"/>
      <c r="S224" s="90">
        <f>ROUND(ROUND(P224, 2)*I224, 2)</f>
        <v>0</v>
      </c>
    </row>
    <row r="225" spans="1:21" ht="54" x14ac:dyDescent="0.3">
      <c r="A225" s="10" t="s">
        <v>966</v>
      </c>
      <c r="B225" s="10" t="s">
        <v>815</v>
      </c>
      <c r="C225" s="11" t="s">
        <v>816</v>
      </c>
      <c r="D225" s="12"/>
      <c r="E225" s="12" t="s">
        <v>820</v>
      </c>
      <c r="F225" s="12" t="s">
        <v>59</v>
      </c>
      <c r="G225" s="13">
        <v>1</v>
      </c>
      <c r="H225" s="13"/>
      <c r="I225" s="119">
        <v>1132.5</v>
      </c>
      <c r="J225" s="125"/>
      <c r="K225" s="139"/>
      <c r="L225" s="123"/>
      <c r="M225" s="116"/>
      <c r="N225" s="116"/>
      <c r="O225" s="84"/>
      <c r="P225" s="102">
        <f>IFERROR(ROUND(SUM(S226,S227,S228,S229)/I225, 2),0)</f>
        <v>2063.89</v>
      </c>
      <c r="Q225" s="106">
        <v>4177.5</v>
      </c>
      <c r="R225" s="104">
        <f>P225+ROUND(Q225, 2)</f>
        <v>6241.3899999999994</v>
      </c>
      <c r="S225" s="89">
        <f>ROUND(P225*I225, 2)</f>
        <v>2337355.4300000002</v>
      </c>
      <c r="T225" s="14">
        <f>ROUND(I225*ROUND(Q225, 2), 2)</f>
        <v>4731018.75</v>
      </c>
      <c r="U225" s="14">
        <f>S225+T225</f>
        <v>7068374.1799999997</v>
      </c>
    </row>
    <row r="226" spans="1:21" ht="36" x14ac:dyDescent="0.45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121">
        <v>1359</v>
      </c>
      <c r="J226" s="126"/>
      <c r="K226" s="138"/>
      <c r="L226" s="114"/>
      <c r="M226" s="117"/>
      <c r="N226" s="114"/>
      <c r="P226" s="107">
        <v>16.12</v>
      </c>
      <c r="Q226" s="100"/>
      <c r="R226" s="101"/>
      <c r="S226" s="90">
        <f>ROUND(ROUND(P226, 2)*I226, 2)</f>
        <v>21907.08</v>
      </c>
    </row>
    <row r="227" spans="1:21" ht="72" x14ac:dyDescent="0.45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121">
        <v>1359</v>
      </c>
      <c r="J227" s="126"/>
      <c r="K227" s="138"/>
      <c r="L227" s="114"/>
      <c r="M227" s="117"/>
      <c r="N227" s="114"/>
      <c r="P227" s="107">
        <v>1684.3</v>
      </c>
      <c r="Q227" s="100"/>
      <c r="R227" s="101"/>
      <c r="S227" s="90">
        <f>ROUND(ROUND(P227, 2)*I227, 2)</f>
        <v>2288963.7000000002</v>
      </c>
    </row>
    <row r="228" spans="1:21" ht="36" x14ac:dyDescent="0.45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121">
        <v>283.125</v>
      </c>
      <c r="J228" s="126"/>
      <c r="K228" s="138"/>
      <c r="L228" s="114"/>
      <c r="M228" s="117"/>
      <c r="N228" s="114"/>
      <c r="P228" s="107">
        <v>40.270000000000003</v>
      </c>
      <c r="Q228" s="100"/>
      <c r="R228" s="101"/>
      <c r="S228" s="90">
        <f>ROUND(ROUND(P228, 2)*I228, 2)</f>
        <v>11401.44</v>
      </c>
    </row>
    <row r="229" spans="1:21" ht="36" x14ac:dyDescent="0.45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120">
        <v>169.875</v>
      </c>
      <c r="J229" s="126"/>
      <c r="K229" s="138"/>
      <c r="L229" s="114"/>
      <c r="M229" s="117"/>
      <c r="N229" s="114"/>
      <c r="P229" s="107">
        <v>88.8</v>
      </c>
      <c r="Q229" s="100"/>
      <c r="R229" s="101"/>
      <c r="S229" s="90">
        <f>ROUND(ROUND(P229, 2)*I229, 2)</f>
        <v>15084.9</v>
      </c>
    </row>
    <row r="230" spans="1:21" ht="54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19">
        <v>31.2</v>
      </c>
      <c r="J230" s="125"/>
      <c r="K230" s="139"/>
      <c r="L230" s="123"/>
      <c r="M230" s="116"/>
      <c r="N230" s="116"/>
      <c r="O230" s="84"/>
      <c r="P230" s="102">
        <f>IFERROR(ROUND(SUM(S231,S232,S233,S234)/I230, 2),0)</f>
        <v>2053.6799999999998</v>
      </c>
      <c r="Q230" s="106">
        <v>4177.5</v>
      </c>
      <c r="R230" s="104">
        <f>P230+ROUND(Q230, 2)</f>
        <v>6231.18</v>
      </c>
      <c r="S230" s="89">
        <f>ROUND(P230*I230, 2)</f>
        <v>64074.82</v>
      </c>
      <c r="T230" s="14">
        <f>ROUND(I230*ROUND(Q230, 2), 2)</f>
        <v>130338</v>
      </c>
      <c r="U230" s="14">
        <f>S230+T230</f>
        <v>194412.82</v>
      </c>
    </row>
    <row r="231" spans="1:21" ht="36" x14ac:dyDescent="0.45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120">
        <v>4.68</v>
      </c>
      <c r="J231" s="126"/>
      <c r="K231" s="138"/>
      <c r="L231" s="114"/>
      <c r="M231" s="117"/>
      <c r="N231" s="114"/>
      <c r="P231" s="107">
        <v>88.8</v>
      </c>
      <c r="Q231" s="100"/>
      <c r="R231" s="101"/>
      <c r="S231" s="90">
        <f>ROUND(ROUND(P231, 2)*I231, 2)</f>
        <v>415.58</v>
      </c>
    </row>
    <row r="232" spans="1:21" ht="36" x14ac:dyDescent="0.45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121">
        <v>7.8</v>
      </c>
      <c r="J232" s="126"/>
      <c r="K232" s="138"/>
      <c r="L232" s="114"/>
      <c r="M232" s="117"/>
      <c r="N232" s="114"/>
      <c r="P232" s="107">
        <v>40.270000000000003</v>
      </c>
      <c r="Q232" s="100"/>
      <c r="R232" s="101"/>
      <c r="S232" s="90">
        <f>ROUND(ROUND(P232, 2)*I232, 2)</f>
        <v>314.11</v>
      </c>
    </row>
    <row r="233" spans="1:21" ht="72" x14ac:dyDescent="0.45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121">
        <v>37.44</v>
      </c>
      <c r="J233" s="126"/>
      <c r="K233" s="138"/>
      <c r="L233" s="114"/>
      <c r="M233" s="117"/>
      <c r="N233" s="114"/>
      <c r="P233" s="107">
        <v>1675.8</v>
      </c>
      <c r="Q233" s="100"/>
      <c r="R233" s="101"/>
      <c r="S233" s="90">
        <f>ROUND(ROUND(P233, 2)*I233, 2)</f>
        <v>62741.95</v>
      </c>
    </row>
    <row r="234" spans="1:21" ht="36" x14ac:dyDescent="0.45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121">
        <v>37.44</v>
      </c>
      <c r="J234" s="126"/>
      <c r="K234" s="138"/>
      <c r="L234" s="114"/>
      <c r="M234" s="117"/>
      <c r="N234" s="114"/>
      <c r="P234" s="107">
        <v>16.11</v>
      </c>
      <c r="Q234" s="100"/>
      <c r="R234" s="101"/>
      <c r="S234" s="90">
        <f>ROUND(ROUND(P234, 2)*I234, 2)</f>
        <v>603.16</v>
      </c>
    </row>
    <row r="235" spans="1:21" ht="54" x14ac:dyDescent="0.3">
      <c r="A235" s="10" t="s">
        <v>992</v>
      </c>
      <c r="B235" s="10" t="s">
        <v>815</v>
      </c>
      <c r="C235" s="11" t="s">
        <v>816</v>
      </c>
      <c r="D235" s="12"/>
      <c r="E235" s="12" t="s">
        <v>872</v>
      </c>
      <c r="F235" s="12" t="s">
        <v>59</v>
      </c>
      <c r="G235" s="13">
        <v>1</v>
      </c>
      <c r="H235" s="13"/>
      <c r="I235" s="119">
        <v>560.4</v>
      </c>
      <c r="J235" s="125"/>
      <c r="K235" s="139"/>
      <c r="L235" s="123"/>
      <c r="M235" s="116"/>
      <c r="N235" s="116"/>
      <c r="O235" s="84"/>
      <c r="P235" s="102">
        <f>IFERROR(ROUND(SUM(S236,S237,S238,S239)/I235, 2),0)</f>
        <v>1989.72</v>
      </c>
      <c r="Q235" s="106">
        <v>4177.5</v>
      </c>
      <c r="R235" s="104">
        <f>P235+ROUND(Q235, 2)</f>
        <v>6167.22</v>
      </c>
      <c r="S235" s="89">
        <f>ROUND(P235*I235, 2)</f>
        <v>1115039.0900000001</v>
      </c>
      <c r="T235" s="14">
        <f>ROUND(I235*ROUND(Q235, 2), 2)</f>
        <v>2341071</v>
      </c>
      <c r="U235" s="14">
        <f>S235+T235</f>
        <v>3456110.09</v>
      </c>
    </row>
    <row r="236" spans="1:21" ht="36" x14ac:dyDescent="0.45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121">
        <v>672.48</v>
      </c>
      <c r="J236" s="126"/>
      <c r="K236" s="138"/>
      <c r="L236" s="114"/>
      <c r="M236" s="117"/>
      <c r="N236" s="114"/>
      <c r="P236" s="107">
        <v>16.11</v>
      </c>
      <c r="Q236" s="100"/>
      <c r="R236" s="101"/>
      <c r="S236" s="90">
        <f>ROUND(ROUND(P236, 2)*I236, 2)</f>
        <v>10833.65</v>
      </c>
    </row>
    <row r="237" spans="1:21" ht="90" x14ac:dyDescent="0.45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121">
        <v>672.48</v>
      </c>
      <c r="J237" s="126"/>
      <c r="K237" s="138"/>
      <c r="L237" s="114"/>
      <c r="M237" s="117"/>
      <c r="N237" s="114"/>
      <c r="P237" s="107">
        <v>1622.5</v>
      </c>
      <c r="Q237" s="100"/>
      <c r="R237" s="101"/>
      <c r="S237" s="90">
        <f>ROUND(ROUND(P237, 2)*I237, 2)</f>
        <v>1091098.8</v>
      </c>
    </row>
    <row r="238" spans="1:21" ht="36" x14ac:dyDescent="0.45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121">
        <v>140.1</v>
      </c>
      <c r="J238" s="126"/>
      <c r="K238" s="138"/>
      <c r="L238" s="114"/>
      <c r="M238" s="117"/>
      <c r="N238" s="114"/>
      <c r="P238" s="107">
        <v>40.270000000000003</v>
      </c>
      <c r="Q238" s="100"/>
      <c r="R238" s="101"/>
      <c r="S238" s="90">
        <f>ROUND(ROUND(P238, 2)*I238, 2)</f>
        <v>5641.83</v>
      </c>
    </row>
    <row r="239" spans="1:21" ht="36" x14ac:dyDescent="0.45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120">
        <v>84.06</v>
      </c>
      <c r="J239" s="126"/>
      <c r="K239" s="138"/>
      <c r="L239" s="114"/>
      <c r="M239" s="117"/>
      <c r="N239" s="114"/>
      <c r="P239" s="107">
        <v>88.8</v>
      </c>
      <c r="Q239" s="100"/>
      <c r="R239" s="101"/>
      <c r="S239" s="90">
        <f>ROUND(ROUND(P239, 2)*I239, 2)</f>
        <v>7464.53</v>
      </c>
    </row>
    <row r="240" spans="1:21" ht="54" x14ac:dyDescent="0.3">
      <c r="A240" s="10" t="s">
        <v>1005</v>
      </c>
      <c r="B240" s="10" t="s">
        <v>815</v>
      </c>
      <c r="C240" s="11" t="s">
        <v>816</v>
      </c>
      <c r="D240" s="12"/>
      <c r="E240" s="12" t="s">
        <v>896</v>
      </c>
      <c r="F240" s="12" t="s">
        <v>59</v>
      </c>
      <c r="G240" s="13">
        <v>1</v>
      </c>
      <c r="H240" s="13"/>
      <c r="I240" s="119">
        <v>28</v>
      </c>
      <c r="J240" s="125"/>
      <c r="K240" s="139"/>
      <c r="L240" s="123"/>
      <c r="M240" s="116"/>
      <c r="N240" s="116"/>
      <c r="O240" s="84"/>
      <c r="P240" s="102">
        <f>IFERROR(ROUND(SUM(S241,S242,S243,S244)/I240, 2),0)</f>
        <v>2074.44</v>
      </c>
      <c r="Q240" s="106">
        <v>4177.5</v>
      </c>
      <c r="R240" s="104">
        <f>P240+ROUND(Q240, 2)</f>
        <v>6251.9400000000005</v>
      </c>
      <c r="S240" s="89">
        <f>ROUND(P240*I240, 2)</f>
        <v>58084.32</v>
      </c>
      <c r="T240" s="14">
        <f>ROUND(I240*ROUND(Q240, 2), 2)</f>
        <v>116970</v>
      </c>
      <c r="U240" s="14">
        <f>S240+T240</f>
        <v>175054.32</v>
      </c>
    </row>
    <row r="241" spans="1:21" ht="36" x14ac:dyDescent="0.45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120">
        <v>4.2</v>
      </c>
      <c r="J241" s="126"/>
      <c r="K241" s="138"/>
      <c r="L241" s="114"/>
      <c r="M241" s="117"/>
      <c r="N241" s="114"/>
      <c r="P241" s="107">
        <v>88.8</v>
      </c>
      <c r="Q241" s="100"/>
      <c r="R241" s="101"/>
      <c r="S241" s="90">
        <f>ROUND(ROUND(P241, 2)*I241, 2)</f>
        <v>372.96</v>
      </c>
    </row>
    <row r="242" spans="1:21" ht="36" x14ac:dyDescent="0.45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121">
        <v>7</v>
      </c>
      <c r="J242" s="126"/>
      <c r="K242" s="138"/>
      <c r="L242" s="114"/>
      <c r="M242" s="117"/>
      <c r="N242" s="114"/>
      <c r="P242" s="107">
        <v>40.270000000000003</v>
      </c>
      <c r="Q242" s="100"/>
      <c r="R242" s="101"/>
      <c r="S242" s="90">
        <f>ROUND(ROUND(P242, 2)*I242, 2)</f>
        <v>281.89</v>
      </c>
    </row>
    <row r="243" spans="1:21" ht="72" x14ac:dyDescent="0.45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121">
        <v>33.6</v>
      </c>
      <c r="J243" s="126"/>
      <c r="K243" s="138"/>
      <c r="L243" s="114"/>
      <c r="M243" s="117"/>
      <c r="N243" s="114"/>
      <c r="P243" s="107">
        <v>1693.1</v>
      </c>
      <c r="Q243" s="100"/>
      <c r="R243" s="101"/>
      <c r="S243" s="90">
        <f>ROUND(ROUND(P243, 2)*I243, 2)</f>
        <v>56888.160000000003</v>
      </c>
    </row>
    <row r="244" spans="1:21" ht="36" x14ac:dyDescent="0.45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121">
        <v>33.6</v>
      </c>
      <c r="J244" s="126"/>
      <c r="K244" s="138"/>
      <c r="L244" s="114"/>
      <c r="M244" s="117"/>
      <c r="N244" s="114"/>
      <c r="P244" s="107">
        <v>16.11</v>
      </c>
      <c r="Q244" s="100"/>
      <c r="R244" s="101"/>
      <c r="S244" s="90">
        <f>ROUND(ROUND(P244, 2)*I244, 2)</f>
        <v>541.29999999999995</v>
      </c>
    </row>
    <row r="245" spans="1:21" ht="54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19">
        <v>207.1</v>
      </c>
      <c r="J245" s="125"/>
      <c r="K245" s="139"/>
      <c r="L245" s="123"/>
      <c r="M245" s="116"/>
      <c r="N245" s="116"/>
      <c r="O245" s="84"/>
      <c r="P245" s="102">
        <f>IFERROR(ROUND(SUM(S246,S247,S248,S249)/I245, 2),0)</f>
        <v>1999.8</v>
      </c>
      <c r="Q245" s="106">
        <v>4177.5</v>
      </c>
      <c r="R245" s="104">
        <f>P245+ROUND(Q245, 2)</f>
        <v>6177.3</v>
      </c>
      <c r="S245" s="89">
        <f>ROUND(P245*I245, 2)</f>
        <v>414158.58</v>
      </c>
      <c r="T245" s="14">
        <f>ROUND(I245*ROUND(Q245, 2), 2)</f>
        <v>865160.25</v>
      </c>
      <c r="U245" s="14">
        <f>S245+T245</f>
        <v>1279318.83</v>
      </c>
    </row>
    <row r="246" spans="1:21" ht="36" x14ac:dyDescent="0.45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121">
        <v>248.52</v>
      </c>
      <c r="J246" s="126"/>
      <c r="K246" s="138"/>
      <c r="L246" s="114"/>
      <c r="M246" s="117"/>
      <c r="N246" s="114"/>
      <c r="P246" s="107">
        <v>16.11</v>
      </c>
      <c r="Q246" s="100"/>
      <c r="R246" s="101"/>
      <c r="S246" s="90">
        <f>ROUND(ROUND(P246, 2)*I246, 2)</f>
        <v>4003.66</v>
      </c>
    </row>
    <row r="247" spans="1:21" ht="72" x14ac:dyDescent="0.45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121">
        <v>248.52</v>
      </c>
      <c r="J247" s="126"/>
      <c r="K247" s="138"/>
      <c r="L247" s="114"/>
      <c r="M247" s="117"/>
      <c r="N247" s="114"/>
      <c r="P247" s="107">
        <v>1630.9</v>
      </c>
      <c r="Q247" s="100"/>
      <c r="R247" s="101"/>
      <c r="S247" s="90">
        <f>ROUND(ROUND(P247, 2)*I247, 2)</f>
        <v>405311.27</v>
      </c>
    </row>
    <row r="248" spans="1:21" ht="36" x14ac:dyDescent="0.45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121">
        <v>51.774999999999999</v>
      </c>
      <c r="J248" s="126"/>
      <c r="K248" s="138"/>
      <c r="L248" s="114"/>
      <c r="M248" s="117"/>
      <c r="N248" s="114"/>
      <c r="P248" s="107">
        <v>40.270000000000003</v>
      </c>
      <c r="Q248" s="100"/>
      <c r="R248" s="101"/>
      <c r="S248" s="90">
        <f>ROUND(ROUND(P248, 2)*I248, 2)</f>
        <v>2084.98</v>
      </c>
    </row>
    <row r="249" spans="1:21" ht="36" x14ac:dyDescent="0.45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120">
        <v>31.065000000000001</v>
      </c>
      <c r="J249" s="126"/>
      <c r="K249" s="138"/>
      <c r="L249" s="114"/>
      <c r="M249" s="117"/>
      <c r="N249" s="114"/>
      <c r="P249" s="107">
        <v>88.8</v>
      </c>
      <c r="Q249" s="100"/>
      <c r="R249" s="101"/>
      <c r="S249" s="90">
        <f>ROUND(ROUND(P249, 2)*I249, 2)</f>
        <v>2758.57</v>
      </c>
    </row>
    <row r="250" spans="1:21" ht="54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19">
        <v>207.5</v>
      </c>
      <c r="J250" s="125"/>
      <c r="K250" s="139"/>
      <c r="L250" s="123"/>
      <c r="M250" s="116"/>
      <c r="N250" s="116"/>
      <c r="O250" s="84"/>
      <c r="P250" s="102">
        <f>IFERROR(ROUND(SUM(S251,S252,S253,S254)/I250, 2),0)</f>
        <v>1999.8</v>
      </c>
      <c r="Q250" s="106">
        <v>4177.5</v>
      </c>
      <c r="R250" s="104">
        <f>P250+ROUND(Q250, 2)</f>
        <v>6177.3</v>
      </c>
      <c r="S250" s="89">
        <f>ROUND(P250*I250, 2)</f>
        <v>414958.5</v>
      </c>
      <c r="T250" s="14">
        <f>ROUND(I250*ROUND(Q250, 2), 2)</f>
        <v>866831.25</v>
      </c>
      <c r="U250" s="14">
        <f>S250+T250</f>
        <v>1281789.75</v>
      </c>
    </row>
    <row r="251" spans="1:21" ht="36" x14ac:dyDescent="0.45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120">
        <v>31.125</v>
      </c>
      <c r="J251" s="126"/>
      <c r="K251" s="138"/>
      <c r="L251" s="114"/>
      <c r="M251" s="117"/>
      <c r="N251" s="114"/>
      <c r="P251" s="107">
        <v>88.8</v>
      </c>
      <c r="Q251" s="100"/>
      <c r="R251" s="101"/>
      <c r="S251" s="90">
        <f>ROUND(ROUND(P251, 2)*I251, 2)</f>
        <v>2763.9</v>
      </c>
    </row>
    <row r="252" spans="1:21" ht="36" x14ac:dyDescent="0.45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121">
        <v>51.875</v>
      </c>
      <c r="J252" s="126"/>
      <c r="K252" s="138"/>
      <c r="L252" s="114"/>
      <c r="M252" s="117"/>
      <c r="N252" s="114"/>
      <c r="P252" s="107">
        <v>40.270000000000003</v>
      </c>
      <c r="Q252" s="100"/>
      <c r="R252" s="101"/>
      <c r="S252" s="90">
        <f>ROUND(ROUND(P252, 2)*I252, 2)</f>
        <v>2089.0100000000002</v>
      </c>
    </row>
    <row r="253" spans="1:21" ht="90" x14ac:dyDescent="0.45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121">
        <v>249</v>
      </c>
      <c r="J253" s="126"/>
      <c r="K253" s="138"/>
      <c r="L253" s="114"/>
      <c r="M253" s="117"/>
      <c r="N253" s="114"/>
      <c r="P253" s="107">
        <v>1630.9</v>
      </c>
      <c r="Q253" s="100"/>
      <c r="R253" s="101"/>
      <c r="S253" s="90">
        <f>ROUND(ROUND(P253, 2)*I253, 2)</f>
        <v>406094.1</v>
      </c>
    </row>
    <row r="254" spans="1:21" ht="36" x14ac:dyDescent="0.45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121">
        <v>249</v>
      </c>
      <c r="J254" s="126"/>
      <c r="K254" s="138"/>
      <c r="L254" s="114"/>
      <c r="M254" s="117"/>
      <c r="N254" s="114"/>
      <c r="P254" s="107">
        <v>16.11</v>
      </c>
      <c r="Q254" s="100"/>
      <c r="R254" s="101"/>
      <c r="S254" s="90">
        <f>ROUND(ROUND(P254, 2)*I254, 2)</f>
        <v>4011.39</v>
      </c>
    </row>
    <row r="255" spans="1:21" ht="16.95" customHeight="1" x14ac:dyDescent="0.45">
      <c r="A255" s="10" t="s">
        <v>1044</v>
      </c>
      <c r="B255" s="10" t="s">
        <v>1045</v>
      </c>
      <c r="C255" s="153" t="s">
        <v>1046</v>
      </c>
      <c r="D255" s="154"/>
      <c r="E255" s="154"/>
      <c r="F255" s="154"/>
      <c r="G255" s="154"/>
      <c r="H255" s="154"/>
      <c r="I255" s="154"/>
      <c r="J255" s="124"/>
      <c r="K255" s="138"/>
      <c r="L255" s="114"/>
      <c r="M255" s="115"/>
      <c r="N255" s="115"/>
      <c r="O255" s="83"/>
      <c r="P255" s="99"/>
      <c r="Q255" s="100"/>
      <c r="R255" s="101"/>
      <c r="S255" s="88">
        <f>SUM(S256,S258)</f>
        <v>329650</v>
      </c>
      <c r="T255" s="6">
        <f>SUM(T256,T258)</f>
        <v>43513.8</v>
      </c>
      <c r="U255" s="6">
        <f>SUM(U256,U258)</f>
        <v>373163.8</v>
      </c>
    </row>
    <row r="256" spans="1:21" ht="22.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19">
        <v>0</v>
      </c>
      <c r="J256" s="125"/>
      <c r="K256" s="139"/>
      <c r="L256" s="123"/>
      <c r="M256" s="116"/>
      <c r="N256" s="116"/>
      <c r="O256" s="84"/>
      <c r="P256" s="102">
        <f>IFERROR(ROUND(SUM(S257)/I256, 2),0)</f>
        <v>0</v>
      </c>
      <c r="Q256" s="103">
        <v>836</v>
      </c>
      <c r="R256" s="104">
        <f>P256+ROUND(Q256, 2)</f>
        <v>836</v>
      </c>
      <c r="S256" s="89">
        <f>ROUND(P256*I256, 2)</f>
        <v>0</v>
      </c>
      <c r="T256" s="14">
        <f>ROUND(I256*ROUND(Q256, 2), 2)</f>
        <v>0</v>
      </c>
      <c r="U256" s="14">
        <f>S256+T256</f>
        <v>0</v>
      </c>
    </row>
    <row r="257" spans="1:21" ht="23.4" x14ac:dyDescent="0.45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120">
        <v>0</v>
      </c>
      <c r="J257" s="126"/>
      <c r="K257" s="138"/>
      <c r="L257" s="114"/>
      <c r="M257" s="117"/>
      <c r="N257" s="114"/>
      <c r="P257" s="105">
        <v>9500</v>
      </c>
      <c r="Q257" s="100"/>
      <c r="R257" s="101"/>
      <c r="S257" s="90">
        <f>ROUND(ROUND(P257, 2)*I257, 2)</f>
        <v>0</v>
      </c>
    </row>
    <row r="258" spans="1:21" ht="22.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19">
        <v>34.700000000000003</v>
      </c>
      <c r="J258" s="125"/>
      <c r="K258" s="139"/>
      <c r="L258" s="123"/>
      <c r="M258" s="116"/>
      <c r="N258" s="116"/>
      <c r="O258" s="84"/>
      <c r="P258" s="102">
        <f>IFERROR(ROUND(SUM(S259)/I258, 2),0)</f>
        <v>9500</v>
      </c>
      <c r="Q258" s="106">
        <v>1254</v>
      </c>
      <c r="R258" s="104">
        <f>P258+ROUND(Q258, 2)</f>
        <v>10754</v>
      </c>
      <c r="S258" s="89">
        <f>ROUND(P258*I258, 2)</f>
        <v>329650</v>
      </c>
      <c r="T258" s="14">
        <f>ROUND(I258*ROUND(Q258, 2), 2)</f>
        <v>43513.8</v>
      </c>
      <c r="U258" s="14">
        <f>S258+T258</f>
        <v>373163.8</v>
      </c>
    </row>
    <row r="259" spans="1:21" ht="90" x14ac:dyDescent="0.45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120">
        <v>34.700000000000003</v>
      </c>
      <c r="J259" s="126"/>
      <c r="K259" s="138"/>
      <c r="L259" s="114"/>
      <c r="M259" s="117"/>
      <c r="N259" s="114"/>
      <c r="P259" s="107">
        <v>9500</v>
      </c>
      <c r="Q259" s="100"/>
      <c r="R259" s="101"/>
      <c r="S259" s="90">
        <f>ROUND(ROUND(P259, 2)*I259, 2)</f>
        <v>329650</v>
      </c>
    </row>
    <row r="260" spans="1:21" ht="16.95" customHeight="1" x14ac:dyDescent="0.45">
      <c r="A260" s="10" t="s">
        <v>1066</v>
      </c>
      <c r="B260" s="10" t="s">
        <v>1067</v>
      </c>
      <c r="C260" s="153" t="s">
        <v>1068</v>
      </c>
      <c r="D260" s="154"/>
      <c r="E260" s="154"/>
      <c r="F260" s="154"/>
      <c r="G260" s="154"/>
      <c r="H260" s="154"/>
      <c r="I260" s="154"/>
      <c r="J260" s="124"/>
      <c r="K260" s="138"/>
      <c r="L260" s="114"/>
      <c r="M260" s="115"/>
      <c r="N260" s="115"/>
      <c r="O260" s="83"/>
      <c r="P260" s="99"/>
      <c r="Q260" s="100"/>
      <c r="R260" s="101"/>
      <c r="S260" s="88">
        <f>SUM(S261,S268,S433)</f>
        <v>3503673.5000000005</v>
      </c>
      <c r="T260" s="6">
        <f>SUM(T261,T268,T433)</f>
        <v>13767862.050000001</v>
      </c>
      <c r="U260" s="6">
        <f>SUM(U261,U268,U433)</f>
        <v>17271535.549999997</v>
      </c>
    </row>
    <row r="261" spans="1:21" ht="16.95" customHeight="1" x14ac:dyDescent="0.45">
      <c r="A261" s="10" t="s">
        <v>1069</v>
      </c>
      <c r="B261" s="10" t="s">
        <v>1070</v>
      </c>
      <c r="C261" s="153" t="s">
        <v>1071</v>
      </c>
      <c r="D261" s="154"/>
      <c r="E261" s="154"/>
      <c r="F261" s="154"/>
      <c r="G261" s="154"/>
      <c r="H261" s="154"/>
      <c r="I261" s="154"/>
      <c r="J261" s="124"/>
      <c r="K261" s="138"/>
      <c r="L261" s="114"/>
      <c r="M261" s="115"/>
      <c r="N261" s="115"/>
      <c r="O261" s="83"/>
      <c r="P261" s="99"/>
      <c r="Q261" s="100"/>
      <c r="R261" s="101"/>
      <c r="S261" s="88">
        <f>SUM(S262,S265)</f>
        <v>1902.81</v>
      </c>
      <c r="T261" s="6">
        <f>SUM(T262,T265)</f>
        <v>121023</v>
      </c>
      <c r="U261" s="6">
        <f>SUM(U262,U265)</f>
        <v>122925.81</v>
      </c>
    </row>
    <row r="262" spans="1:21" ht="36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19">
        <v>0</v>
      </c>
      <c r="J262" s="125"/>
      <c r="K262" s="139"/>
      <c r="L262" s="123"/>
      <c r="M262" s="116"/>
      <c r="N262" s="116"/>
      <c r="O262" s="84"/>
      <c r="P262" s="102">
        <f>IFERROR(ROUND(SUM(S263,S264)/I262, 2),0)</f>
        <v>0</v>
      </c>
      <c r="Q262" s="103">
        <v>226</v>
      </c>
      <c r="R262" s="104">
        <f>P262+ROUND(Q262, 2)</f>
        <v>226</v>
      </c>
      <c r="S262" s="89">
        <f>ROUND(P262*I262, 2)</f>
        <v>0</v>
      </c>
      <c r="T262" s="14">
        <f>ROUND(I262*ROUND(Q262, 2), 2)</f>
        <v>0</v>
      </c>
      <c r="U262" s="14">
        <f>S262+T262</f>
        <v>0</v>
      </c>
    </row>
    <row r="263" spans="1:21" ht="23.4" x14ac:dyDescent="0.45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121">
        <v>0</v>
      </c>
      <c r="J263" s="126"/>
      <c r="K263" s="138"/>
      <c r="L263" s="114"/>
      <c r="M263" s="117"/>
      <c r="N263" s="114"/>
      <c r="P263" s="105">
        <v>2800</v>
      </c>
      <c r="Q263" s="100"/>
      <c r="R263" s="101"/>
      <c r="S263" s="90">
        <f>ROUND(ROUND(P263, 2)*I263, 2)</f>
        <v>0</v>
      </c>
    </row>
    <row r="264" spans="1:21" ht="23.4" x14ac:dyDescent="0.45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121">
        <v>0</v>
      </c>
      <c r="J264" s="126"/>
      <c r="K264" s="138"/>
      <c r="L264" s="114"/>
      <c r="M264" s="117"/>
      <c r="N264" s="114"/>
      <c r="P264" s="105">
        <v>6.17</v>
      </c>
      <c r="Q264" s="100"/>
      <c r="R264" s="101"/>
      <c r="S264" s="90">
        <f>ROUND(ROUND(P264, 2)*I264, 2)</f>
        <v>0</v>
      </c>
    </row>
    <row r="265" spans="1:21" ht="55.8" customHeight="1" x14ac:dyDescent="0.3">
      <c r="A265" s="73" t="s">
        <v>1094</v>
      </c>
      <c r="B265" s="73" t="s">
        <v>1073</v>
      </c>
      <c r="C265" s="74" t="s">
        <v>1074</v>
      </c>
      <c r="D265" s="75"/>
      <c r="E265" s="75" t="s">
        <v>1078</v>
      </c>
      <c r="F265" s="75" t="s">
        <v>369</v>
      </c>
      <c r="G265" s="76">
        <v>1</v>
      </c>
      <c r="H265" s="76"/>
      <c r="I265" s="122">
        <v>357</v>
      </c>
      <c r="J265" s="143">
        <v>357</v>
      </c>
      <c r="K265" s="144">
        <f>J265*R265</f>
        <v>122925.81</v>
      </c>
      <c r="L265" s="123"/>
      <c r="M265" s="116"/>
      <c r="N265" s="116"/>
      <c r="O265" s="84"/>
      <c r="P265" s="102">
        <f>IFERROR(ROUND(SUM(S266,S267)/I265, 2),0)</f>
        <v>5.33</v>
      </c>
      <c r="Q265" s="106">
        <v>339</v>
      </c>
      <c r="R265" s="104">
        <f>P265+ROUND(Q265, 2)</f>
        <v>344.33</v>
      </c>
      <c r="S265" s="89">
        <f>ROUND(P265*I265, 2)</f>
        <v>1902.81</v>
      </c>
      <c r="T265" s="14">
        <f>ROUND(I265*ROUND(Q265, 2), 2)</f>
        <v>121023</v>
      </c>
      <c r="U265" s="14">
        <f>S265+T265</f>
        <v>122925.81</v>
      </c>
    </row>
    <row r="266" spans="1:21" ht="23.4" x14ac:dyDescent="0.45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121">
        <v>146.37</v>
      </c>
      <c r="J266" s="126"/>
      <c r="K266" s="138"/>
      <c r="L266" s="114"/>
      <c r="M266" s="117"/>
      <c r="N266" s="114"/>
      <c r="P266" s="107">
        <v>6.17</v>
      </c>
      <c r="Q266" s="100"/>
      <c r="R266" s="101"/>
      <c r="S266" s="90">
        <f>ROUND(ROUND(P266, 2)*I266, 2)</f>
        <v>903.1</v>
      </c>
    </row>
    <row r="267" spans="1:21" ht="23.4" x14ac:dyDescent="0.45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121">
        <v>0.35699999999999998</v>
      </c>
      <c r="J267" s="126"/>
      <c r="K267" s="138"/>
      <c r="L267" s="114"/>
      <c r="M267" s="117"/>
      <c r="N267" s="114"/>
      <c r="P267" s="107">
        <v>2800</v>
      </c>
      <c r="Q267" s="100"/>
      <c r="R267" s="101"/>
      <c r="S267" s="90">
        <f>ROUND(ROUND(P267, 2)*I267, 2)</f>
        <v>999.6</v>
      </c>
    </row>
    <row r="268" spans="1:21" ht="16.95" customHeight="1" x14ac:dyDescent="0.45">
      <c r="A268" s="10" t="s">
        <v>1101</v>
      </c>
      <c r="B268" s="10" t="s">
        <v>1102</v>
      </c>
      <c r="C268" s="153" t="s">
        <v>1103</v>
      </c>
      <c r="D268" s="154"/>
      <c r="E268" s="154"/>
      <c r="F268" s="154"/>
      <c r="G268" s="154"/>
      <c r="H268" s="154"/>
      <c r="I268" s="154"/>
      <c r="J268" s="124"/>
      <c r="K268" s="138"/>
      <c r="L268" s="114"/>
      <c r="M268" s="115"/>
      <c r="N268" s="115"/>
      <c r="O268" s="83"/>
      <c r="P268" s="99"/>
      <c r="Q268" s="100"/>
      <c r="R268" s="101"/>
      <c r="S268" s="88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15680247.669999998</v>
      </c>
    </row>
    <row r="269" spans="1:21" ht="22.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19">
        <v>0</v>
      </c>
      <c r="J269" s="125"/>
      <c r="K269" s="139"/>
      <c r="L269" s="123"/>
      <c r="M269" s="116"/>
      <c r="N269" s="116"/>
      <c r="O269" s="84"/>
      <c r="P269" s="102">
        <f>IFERROR(ROUND(SUM(S270)/I269, 2),0)</f>
        <v>0</v>
      </c>
      <c r="Q269" s="103">
        <v>1010</v>
      </c>
      <c r="R269" s="104">
        <f>P269+ROUND(Q269, 2)</f>
        <v>1010</v>
      </c>
      <c r="S269" s="89">
        <f>ROUND(P269*I269, 2)</f>
        <v>0</v>
      </c>
      <c r="T269" s="14">
        <f>ROUND(I269*ROUND(Q269, 2), 2)</f>
        <v>0</v>
      </c>
      <c r="U269" s="14">
        <f>S269+T269</f>
        <v>0</v>
      </c>
    </row>
    <row r="270" spans="1:21" ht="36" x14ac:dyDescent="0.45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120">
        <v>0</v>
      </c>
      <c r="J270" s="126"/>
      <c r="K270" s="138"/>
      <c r="L270" s="114"/>
      <c r="M270" s="117"/>
      <c r="N270" s="114"/>
      <c r="P270" s="105">
        <v>260</v>
      </c>
      <c r="Q270" s="100"/>
      <c r="R270" s="101"/>
      <c r="S270" s="90">
        <f>ROUND(ROUND(P270, 2)*I270, 2)</f>
        <v>0</v>
      </c>
    </row>
    <row r="271" spans="1:21" ht="22.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19">
        <v>0</v>
      </c>
      <c r="J271" s="125"/>
      <c r="K271" s="139"/>
      <c r="L271" s="123"/>
      <c r="M271" s="116"/>
      <c r="N271" s="116"/>
      <c r="O271" s="84"/>
      <c r="P271" s="102">
        <f>IFERROR(ROUND(SUM(S272)/I271, 2),0)</f>
        <v>0</v>
      </c>
      <c r="Q271" s="103">
        <v>1010</v>
      </c>
      <c r="R271" s="104">
        <f>P271+ROUND(Q271, 2)</f>
        <v>1010</v>
      </c>
      <c r="S271" s="89">
        <f>ROUND(P271*I271, 2)</f>
        <v>0</v>
      </c>
      <c r="T271" s="14">
        <f>ROUND(I271*ROUND(Q271, 2), 2)</f>
        <v>0</v>
      </c>
      <c r="U271" s="14">
        <f>S271+T271</f>
        <v>0</v>
      </c>
    </row>
    <row r="272" spans="1:21" ht="36" x14ac:dyDescent="0.45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120">
        <v>0</v>
      </c>
      <c r="J272" s="126"/>
      <c r="K272" s="138"/>
      <c r="L272" s="114"/>
      <c r="M272" s="117"/>
      <c r="N272" s="114"/>
      <c r="P272" s="105">
        <v>260</v>
      </c>
      <c r="Q272" s="100"/>
      <c r="R272" s="101"/>
      <c r="S272" s="90">
        <f>ROUND(ROUND(P272, 2)*I272, 2)</f>
        <v>0</v>
      </c>
    </row>
    <row r="273" spans="1:21" ht="22.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19">
        <v>0</v>
      </c>
      <c r="J273" s="125"/>
      <c r="K273" s="139"/>
      <c r="L273" s="123"/>
      <c r="M273" s="116"/>
      <c r="N273" s="116"/>
      <c r="O273" s="84"/>
      <c r="P273" s="102">
        <f>IFERROR(ROUND(SUM(S274)/I273, 2),0)</f>
        <v>0</v>
      </c>
      <c r="Q273" s="103">
        <v>1010</v>
      </c>
      <c r="R273" s="104">
        <f>P273+ROUND(Q273, 2)</f>
        <v>1010</v>
      </c>
      <c r="S273" s="89">
        <f>ROUND(P273*I273, 2)</f>
        <v>0</v>
      </c>
      <c r="T273" s="14">
        <f>ROUND(I273*ROUND(Q273, 2), 2)</f>
        <v>0</v>
      </c>
      <c r="U273" s="14">
        <f>S273+T273</f>
        <v>0</v>
      </c>
    </row>
    <row r="274" spans="1:21" ht="36" x14ac:dyDescent="0.45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120">
        <v>0</v>
      </c>
      <c r="J274" s="126"/>
      <c r="K274" s="138"/>
      <c r="L274" s="114"/>
      <c r="M274" s="117"/>
      <c r="N274" s="114"/>
      <c r="P274" s="105">
        <v>260</v>
      </c>
      <c r="Q274" s="100"/>
      <c r="R274" s="101"/>
      <c r="S274" s="90">
        <f>ROUND(ROUND(P274, 2)*I274, 2)</f>
        <v>0</v>
      </c>
    </row>
    <row r="275" spans="1:21" ht="22.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19">
        <v>0</v>
      </c>
      <c r="J275" s="125"/>
      <c r="K275" s="139"/>
      <c r="L275" s="123"/>
      <c r="M275" s="116"/>
      <c r="N275" s="116"/>
      <c r="O275" s="84"/>
      <c r="P275" s="102">
        <f>IFERROR(ROUND(SUM(S276)/I275, 2),0)</f>
        <v>0</v>
      </c>
      <c r="Q275" s="103">
        <v>1010</v>
      </c>
      <c r="R275" s="104">
        <f>P275+ROUND(Q275, 2)</f>
        <v>1010</v>
      </c>
      <c r="S275" s="89">
        <f>ROUND(P275*I275, 2)</f>
        <v>0</v>
      </c>
      <c r="T275" s="14">
        <f>ROUND(I275*ROUND(Q275, 2), 2)</f>
        <v>0</v>
      </c>
      <c r="U275" s="14">
        <f>S275+T275</f>
        <v>0</v>
      </c>
    </row>
    <row r="276" spans="1:21" ht="36" x14ac:dyDescent="0.45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120">
        <v>0</v>
      </c>
      <c r="J276" s="126"/>
      <c r="K276" s="138"/>
      <c r="L276" s="114"/>
      <c r="M276" s="117"/>
      <c r="N276" s="114"/>
      <c r="P276" s="105">
        <v>260</v>
      </c>
      <c r="Q276" s="100"/>
      <c r="R276" s="101"/>
      <c r="S276" s="90">
        <f>ROUND(ROUND(P276, 2)*I276, 2)</f>
        <v>0</v>
      </c>
    </row>
    <row r="277" spans="1:21" ht="22.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19">
        <v>0</v>
      </c>
      <c r="J277" s="125"/>
      <c r="K277" s="139"/>
      <c r="L277" s="123"/>
      <c r="M277" s="116"/>
      <c r="N277" s="116"/>
      <c r="O277" s="84"/>
      <c r="P277" s="102">
        <f>IFERROR(ROUND(SUM(S278)/I277, 2),0)</f>
        <v>0</v>
      </c>
      <c r="Q277" s="103">
        <v>1010</v>
      </c>
      <c r="R277" s="104">
        <f>P277+ROUND(Q277, 2)</f>
        <v>1010</v>
      </c>
      <c r="S277" s="89">
        <f>ROUND(P277*I277, 2)</f>
        <v>0</v>
      </c>
      <c r="T277" s="14">
        <f>ROUND(I277*ROUND(Q277, 2), 2)</f>
        <v>0</v>
      </c>
      <c r="U277" s="14">
        <f>S277+T277</f>
        <v>0</v>
      </c>
    </row>
    <row r="278" spans="1:21" ht="36" x14ac:dyDescent="0.45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120">
        <v>0</v>
      </c>
      <c r="J278" s="126"/>
      <c r="K278" s="138"/>
      <c r="L278" s="114"/>
      <c r="M278" s="117"/>
      <c r="N278" s="114"/>
      <c r="P278" s="105">
        <v>260</v>
      </c>
      <c r="Q278" s="100"/>
      <c r="R278" s="101"/>
      <c r="S278" s="90">
        <f>ROUND(ROUND(P278, 2)*I278, 2)</f>
        <v>0</v>
      </c>
    </row>
    <row r="279" spans="1:21" ht="22.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19">
        <v>0</v>
      </c>
      <c r="J279" s="125"/>
      <c r="K279" s="139"/>
      <c r="L279" s="123"/>
      <c r="M279" s="116"/>
      <c r="N279" s="116"/>
      <c r="O279" s="84"/>
      <c r="P279" s="102">
        <f>IFERROR(ROUND(SUM(S280)/I279, 2),0)</f>
        <v>0</v>
      </c>
      <c r="Q279" s="103">
        <v>1010</v>
      </c>
      <c r="R279" s="104">
        <f>P279+ROUND(Q279, 2)</f>
        <v>1010</v>
      </c>
      <c r="S279" s="89">
        <f>ROUND(P279*I279, 2)</f>
        <v>0</v>
      </c>
      <c r="T279" s="14">
        <f>ROUND(I279*ROUND(Q279, 2), 2)</f>
        <v>0</v>
      </c>
      <c r="U279" s="14">
        <f>S279+T279</f>
        <v>0</v>
      </c>
    </row>
    <row r="280" spans="1:21" ht="36" x14ac:dyDescent="0.45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120">
        <v>0</v>
      </c>
      <c r="J280" s="126"/>
      <c r="K280" s="138"/>
      <c r="L280" s="114"/>
      <c r="M280" s="117"/>
      <c r="N280" s="114"/>
      <c r="P280" s="105">
        <v>260</v>
      </c>
      <c r="Q280" s="100"/>
      <c r="R280" s="101"/>
      <c r="S280" s="90">
        <f>ROUND(ROUND(P280, 2)*I280, 2)</f>
        <v>0</v>
      </c>
    </row>
    <row r="281" spans="1:21" ht="22.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19">
        <v>0</v>
      </c>
      <c r="J281" s="125"/>
      <c r="K281" s="139"/>
      <c r="L281" s="123"/>
      <c r="M281" s="116"/>
      <c r="N281" s="116"/>
      <c r="O281" s="84"/>
      <c r="P281" s="102">
        <f>IFERROR(ROUND(SUM(S282)/I281, 2),0)</f>
        <v>0</v>
      </c>
      <c r="Q281" s="103">
        <v>1010</v>
      </c>
      <c r="R281" s="104">
        <f>P281+ROUND(Q281, 2)</f>
        <v>1010</v>
      </c>
      <c r="S281" s="89">
        <f>ROUND(P281*I281, 2)</f>
        <v>0</v>
      </c>
      <c r="T281" s="14">
        <f>ROUND(I281*ROUND(Q281, 2), 2)</f>
        <v>0</v>
      </c>
      <c r="U281" s="14">
        <f>S281+T281</f>
        <v>0</v>
      </c>
    </row>
    <row r="282" spans="1:21" ht="36" x14ac:dyDescent="0.45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120">
        <v>0</v>
      </c>
      <c r="J282" s="126"/>
      <c r="K282" s="138"/>
      <c r="L282" s="114"/>
      <c r="M282" s="117"/>
      <c r="N282" s="114"/>
      <c r="P282" s="105">
        <v>260</v>
      </c>
      <c r="Q282" s="100"/>
      <c r="R282" s="101"/>
      <c r="S282" s="90">
        <f>ROUND(ROUND(P282, 2)*I282, 2)</f>
        <v>0</v>
      </c>
    </row>
    <row r="283" spans="1:21" ht="22.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19">
        <v>0</v>
      </c>
      <c r="J283" s="125"/>
      <c r="K283" s="139"/>
      <c r="L283" s="123"/>
      <c r="M283" s="116"/>
      <c r="N283" s="116"/>
      <c r="O283" s="84"/>
      <c r="P283" s="102">
        <f>IFERROR(ROUND(SUM(S284)/I283, 2),0)</f>
        <v>0</v>
      </c>
      <c r="Q283" s="106">
        <v>1515</v>
      </c>
      <c r="R283" s="104">
        <f>P283+ROUND(Q283, 2)</f>
        <v>1515</v>
      </c>
      <c r="S283" s="89">
        <f>ROUND(P283*I283, 2)</f>
        <v>0</v>
      </c>
      <c r="T283" s="14">
        <f>ROUND(I283*ROUND(Q283, 2), 2)</f>
        <v>0</v>
      </c>
      <c r="U283" s="14">
        <f>S283+T283</f>
        <v>0</v>
      </c>
    </row>
    <row r="284" spans="1:21" ht="36" x14ac:dyDescent="0.45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120">
        <v>0</v>
      </c>
      <c r="J284" s="126"/>
      <c r="K284" s="138"/>
      <c r="L284" s="114"/>
      <c r="M284" s="117"/>
      <c r="N284" s="114"/>
      <c r="P284" s="107">
        <v>260</v>
      </c>
      <c r="Q284" s="100"/>
      <c r="R284" s="101"/>
      <c r="S284" s="90">
        <f>ROUND(ROUND(P284, 2)*I284, 2)</f>
        <v>0</v>
      </c>
    </row>
    <row r="285" spans="1:21" ht="22.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19">
        <v>0</v>
      </c>
      <c r="J285" s="125"/>
      <c r="K285" s="139"/>
      <c r="L285" s="123"/>
      <c r="M285" s="116"/>
      <c r="N285" s="116"/>
      <c r="O285" s="84"/>
      <c r="P285" s="102">
        <f>IFERROR(ROUND(SUM(S286)/I285, 2),0)</f>
        <v>0</v>
      </c>
      <c r="Q285" s="106">
        <v>1515</v>
      </c>
      <c r="R285" s="104">
        <f>P285+ROUND(Q285, 2)</f>
        <v>1515</v>
      </c>
      <c r="S285" s="89">
        <f>ROUND(P285*I285, 2)</f>
        <v>0</v>
      </c>
      <c r="T285" s="14">
        <f>ROUND(I285*ROUND(Q285, 2), 2)</f>
        <v>0</v>
      </c>
      <c r="U285" s="14">
        <f>S285+T285</f>
        <v>0</v>
      </c>
    </row>
    <row r="286" spans="1:21" ht="36" x14ac:dyDescent="0.45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120">
        <v>0</v>
      </c>
      <c r="J286" s="126"/>
      <c r="K286" s="138"/>
      <c r="L286" s="114"/>
      <c r="M286" s="117"/>
      <c r="N286" s="114"/>
      <c r="P286" s="107">
        <v>260</v>
      </c>
      <c r="Q286" s="100"/>
      <c r="R286" s="101"/>
      <c r="S286" s="90">
        <f>ROUND(ROUND(P286, 2)*I286, 2)</f>
        <v>0</v>
      </c>
    </row>
    <row r="287" spans="1:21" ht="22.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19">
        <v>0</v>
      </c>
      <c r="J287" s="125"/>
      <c r="K287" s="139"/>
      <c r="L287" s="123"/>
      <c r="M287" s="116"/>
      <c r="N287" s="116"/>
      <c r="O287" s="84"/>
      <c r="P287" s="102">
        <f>IFERROR(ROUND(SUM(S288)/I287, 2),0)</f>
        <v>0</v>
      </c>
      <c r="Q287" s="106">
        <v>1515</v>
      </c>
      <c r="R287" s="104">
        <f>P287+ROUND(Q287, 2)</f>
        <v>1515</v>
      </c>
      <c r="S287" s="89">
        <f>ROUND(P287*I287, 2)</f>
        <v>0</v>
      </c>
      <c r="T287" s="14">
        <f>ROUND(I287*ROUND(Q287, 2), 2)</f>
        <v>0</v>
      </c>
      <c r="U287" s="14">
        <f>S287+T287</f>
        <v>0</v>
      </c>
    </row>
    <row r="288" spans="1:21" ht="36" x14ac:dyDescent="0.45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120">
        <v>0</v>
      </c>
      <c r="J288" s="126"/>
      <c r="K288" s="138"/>
      <c r="L288" s="114"/>
      <c r="M288" s="117"/>
      <c r="N288" s="114"/>
      <c r="P288" s="107">
        <v>260</v>
      </c>
      <c r="Q288" s="100"/>
      <c r="R288" s="101"/>
      <c r="S288" s="90">
        <f>ROUND(ROUND(P288, 2)*I288, 2)</f>
        <v>0</v>
      </c>
    </row>
    <row r="289" spans="1:21" ht="22.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19">
        <v>195.1</v>
      </c>
      <c r="J289" s="125"/>
      <c r="K289" s="139"/>
      <c r="L289" s="123"/>
      <c r="M289" s="116"/>
      <c r="N289" s="116"/>
      <c r="O289" s="84"/>
      <c r="P289" s="102">
        <f>IFERROR(ROUND(SUM(S290)/I289, 2),0)</f>
        <v>390</v>
      </c>
      <c r="Q289" s="106">
        <v>1515</v>
      </c>
      <c r="R289" s="104">
        <f>P289+ROUND(Q289, 2)</f>
        <v>1905</v>
      </c>
      <c r="S289" s="89">
        <f>ROUND(P289*I289, 2)</f>
        <v>76089</v>
      </c>
      <c r="T289" s="14">
        <f>ROUND(I289*ROUND(Q289, 2), 2)</f>
        <v>295576.5</v>
      </c>
      <c r="U289" s="14">
        <f>S289+T289</f>
        <v>371665.5</v>
      </c>
    </row>
    <row r="290" spans="1:21" ht="36" x14ac:dyDescent="0.45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120">
        <v>292.64999999999998</v>
      </c>
      <c r="J290" s="126"/>
      <c r="K290" s="138"/>
      <c r="L290" s="114"/>
      <c r="M290" s="117"/>
      <c r="N290" s="114"/>
      <c r="P290" s="107">
        <v>260</v>
      </c>
      <c r="Q290" s="100"/>
      <c r="R290" s="101"/>
      <c r="S290" s="90">
        <f>ROUND(ROUND(P290, 2)*I290, 2)</f>
        <v>76089</v>
      </c>
    </row>
    <row r="291" spans="1:21" ht="22.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19">
        <v>23.1</v>
      </c>
      <c r="J291" s="125"/>
      <c r="K291" s="139"/>
      <c r="L291" s="123"/>
      <c r="M291" s="116"/>
      <c r="N291" s="116"/>
      <c r="O291" s="84"/>
      <c r="P291" s="102">
        <f>IFERROR(ROUND(SUM(S292)/I291, 2),0)</f>
        <v>390</v>
      </c>
      <c r="Q291" s="106">
        <v>1515</v>
      </c>
      <c r="R291" s="104">
        <f>P291+ROUND(Q291, 2)</f>
        <v>1905</v>
      </c>
      <c r="S291" s="89">
        <f>ROUND(P291*I291, 2)</f>
        <v>9009</v>
      </c>
      <c r="T291" s="14">
        <f>ROUND(I291*ROUND(Q291, 2), 2)</f>
        <v>34996.5</v>
      </c>
      <c r="U291" s="14">
        <f>S291+T291</f>
        <v>44005.5</v>
      </c>
    </row>
    <row r="292" spans="1:21" ht="36" x14ac:dyDescent="0.45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120">
        <v>34.65</v>
      </c>
      <c r="J292" s="126"/>
      <c r="K292" s="138"/>
      <c r="L292" s="114"/>
      <c r="M292" s="117"/>
      <c r="N292" s="114"/>
      <c r="P292" s="107">
        <v>260</v>
      </c>
      <c r="Q292" s="100"/>
      <c r="R292" s="101"/>
      <c r="S292" s="90">
        <f>ROUND(ROUND(P292, 2)*I292, 2)</f>
        <v>9009</v>
      </c>
    </row>
    <row r="293" spans="1:21" ht="22.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19">
        <v>75</v>
      </c>
      <c r="J293" s="125"/>
      <c r="K293" s="139"/>
      <c r="L293" s="123"/>
      <c r="M293" s="116"/>
      <c r="N293" s="116"/>
      <c r="O293" s="84"/>
      <c r="P293" s="102">
        <f>IFERROR(ROUND(SUM(S294)/I293, 2),0)</f>
        <v>390</v>
      </c>
      <c r="Q293" s="106">
        <v>1515</v>
      </c>
      <c r="R293" s="104">
        <f>P293+ROUND(Q293, 2)</f>
        <v>1905</v>
      </c>
      <c r="S293" s="89">
        <f>ROUND(P293*I293, 2)</f>
        <v>29250</v>
      </c>
      <c r="T293" s="14">
        <f>ROUND(I293*ROUND(Q293, 2), 2)</f>
        <v>113625</v>
      </c>
      <c r="U293" s="14">
        <f>S293+T293</f>
        <v>142875</v>
      </c>
    </row>
    <row r="294" spans="1:21" ht="36" x14ac:dyDescent="0.45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120">
        <v>112.5</v>
      </c>
      <c r="J294" s="126"/>
      <c r="K294" s="138"/>
      <c r="L294" s="114"/>
      <c r="M294" s="117"/>
      <c r="N294" s="114"/>
      <c r="P294" s="107">
        <v>260</v>
      </c>
      <c r="Q294" s="100"/>
      <c r="R294" s="101"/>
      <c r="S294" s="90">
        <f>ROUND(ROUND(P294, 2)*I294, 2)</f>
        <v>29250</v>
      </c>
    </row>
    <row r="295" spans="1:21" ht="22.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19">
        <v>41.8</v>
      </c>
      <c r="J295" s="125"/>
      <c r="K295" s="139"/>
      <c r="L295" s="123"/>
      <c r="M295" s="116"/>
      <c r="N295" s="116"/>
      <c r="O295" s="84"/>
      <c r="P295" s="102">
        <f>IFERROR(ROUND(SUM(S296)/I295, 2),0)</f>
        <v>390</v>
      </c>
      <c r="Q295" s="106">
        <v>1515</v>
      </c>
      <c r="R295" s="104">
        <f>P295+ROUND(Q295, 2)</f>
        <v>1905</v>
      </c>
      <c r="S295" s="89">
        <f>ROUND(P295*I295, 2)</f>
        <v>16302</v>
      </c>
      <c r="T295" s="14">
        <f>ROUND(I295*ROUND(Q295, 2), 2)</f>
        <v>63327</v>
      </c>
      <c r="U295" s="14">
        <f>S295+T295</f>
        <v>79629</v>
      </c>
    </row>
    <row r="296" spans="1:21" ht="36" x14ac:dyDescent="0.45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120">
        <v>62.7</v>
      </c>
      <c r="J296" s="126"/>
      <c r="K296" s="138"/>
      <c r="L296" s="114"/>
      <c r="M296" s="117"/>
      <c r="N296" s="114"/>
      <c r="P296" s="107">
        <v>260</v>
      </c>
      <c r="Q296" s="100"/>
      <c r="R296" s="101"/>
      <c r="S296" s="90">
        <f>ROUND(ROUND(P296, 2)*I296, 2)</f>
        <v>16302</v>
      </c>
    </row>
    <row r="297" spans="1:21" ht="22.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19">
        <v>25.2</v>
      </c>
      <c r="J297" s="125"/>
      <c r="K297" s="139"/>
      <c r="L297" s="123"/>
      <c r="M297" s="116"/>
      <c r="N297" s="116"/>
      <c r="O297" s="84"/>
      <c r="P297" s="102">
        <f>IFERROR(ROUND(SUM(S298)/I297, 2),0)</f>
        <v>390</v>
      </c>
      <c r="Q297" s="106">
        <v>1515</v>
      </c>
      <c r="R297" s="104">
        <f>P297+ROUND(Q297, 2)</f>
        <v>1905</v>
      </c>
      <c r="S297" s="89">
        <f>ROUND(P297*I297, 2)</f>
        <v>9828</v>
      </c>
      <c r="T297" s="14">
        <f>ROUND(I297*ROUND(Q297, 2), 2)</f>
        <v>38178</v>
      </c>
      <c r="U297" s="14">
        <f>S297+T297</f>
        <v>48006</v>
      </c>
    </row>
    <row r="298" spans="1:21" ht="36" x14ac:dyDescent="0.45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120">
        <v>37.799999999999997</v>
      </c>
      <c r="J298" s="126"/>
      <c r="K298" s="138"/>
      <c r="L298" s="114"/>
      <c r="M298" s="117"/>
      <c r="N298" s="114"/>
      <c r="P298" s="107">
        <v>260</v>
      </c>
      <c r="Q298" s="100"/>
      <c r="R298" s="101"/>
      <c r="S298" s="90">
        <f>ROUND(ROUND(P298, 2)*I298, 2)</f>
        <v>9828</v>
      </c>
    </row>
    <row r="299" spans="1:21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19">
        <v>9.3000000000000007</v>
      </c>
      <c r="J299" s="125"/>
      <c r="K299" s="139"/>
      <c r="L299" s="123"/>
      <c r="M299" s="116"/>
      <c r="N299" s="116"/>
      <c r="O299" s="84"/>
      <c r="P299" s="102">
        <f>IFERROR(ROUND(SUM(S300)/I299, 2),0)</f>
        <v>390</v>
      </c>
      <c r="Q299" s="106">
        <v>1515</v>
      </c>
      <c r="R299" s="104">
        <f>P299+ROUND(Q299, 2)</f>
        <v>1905</v>
      </c>
      <c r="S299" s="89">
        <f>ROUND(P299*I299, 2)</f>
        <v>3627</v>
      </c>
      <c r="T299" s="14">
        <f>ROUND(I299*ROUND(Q299, 2), 2)</f>
        <v>14089.5</v>
      </c>
      <c r="U299" s="14">
        <f>S299+T299</f>
        <v>17716.5</v>
      </c>
    </row>
    <row r="300" spans="1:21" ht="36" x14ac:dyDescent="0.45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120">
        <v>13.95</v>
      </c>
      <c r="J300" s="126"/>
      <c r="K300" s="138"/>
      <c r="L300" s="114"/>
      <c r="M300" s="117"/>
      <c r="N300" s="114"/>
      <c r="P300" s="107">
        <v>260</v>
      </c>
      <c r="Q300" s="100"/>
      <c r="R300" s="101"/>
      <c r="S300" s="90">
        <f>ROUND(ROUND(P300, 2)*I300, 2)</f>
        <v>3627</v>
      </c>
    </row>
    <row r="301" spans="1:21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19">
        <v>9.4</v>
      </c>
      <c r="J301" s="125"/>
      <c r="K301" s="139"/>
      <c r="L301" s="123"/>
      <c r="M301" s="116"/>
      <c r="N301" s="116"/>
      <c r="O301" s="84"/>
      <c r="P301" s="102">
        <f>IFERROR(ROUND(SUM(S302)/I301, 2),0)</f>
        <v>390</v>
      </c>
      <c r="Q301" s="106">
        <v>1515</v>
      </c>
      <c r="R301" s="104">
        <f>P301+ROUND(Q301, 2)</f>
        <v>1905</v>
      </c>
      <c r="S301" s="89">
        <f>ROUND(P301*I301, 2)</f>
        <v>3666</v>
      </c>
      <c r="T301" s="14">
        <f>ROUND(I301*ROUND(Q301, 2), 2)</f>
        <v>14241</v>
      </c>
      <c r="U301" s="14">
        <f>S301+T301</f>
        <v>17907</v>
      </c>
    </row>
    <row r="302" spans="1:21" ht="36" x14ac:dyDescent="0.45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120">
        <v>14.1</v>
      </c>
      <c r="J302" s="126"/>
      <c r="K302" s="138"/>
      <c r="L302" s="114"/>
      <c r="M302" s="117"/>
      <c r="N302" s="114"/>
      <c r="P302" s="107">
        <v>260</v>
      </c>
      <c r="Q302" s="100"/>
      <c r="R302" s="101"/>
      <c r="S302" s="90">
        <f>ROUND(ROUND(P302, 2)*I302, 2)</f>
        <v>3666</v>
      </c>
    </row>
    <row r="303" spans="1:21" ht="22.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19">
        <v>0</v>
      </c>
      <c r="J303" s="125"/>
      <c r="K303" s="139"/>
      <c r="L303" s="123"/>
      <c r="M303" s="116"/>
      <c r="N303" s="116"/>
      <c r="O303" s="84"/>
      <c r="P303" s="102">
        <f>IFERROR(ROUND(SUM(S304)/I303, 2),0)</f>
        <v>0</v>
      </c>
      <c r="Q303" s="106">
        <v>1515</v>
      </c>
      <c r="R303" s="104">
        <f>P303+ROUND(Q303, 2)</f>
        <v>1515</v>
      </c>
      <c r="S303" s="89">
        <f>ROUND(P303*I303, 2)</f>
        <v>0</v>
      </c>
      <c r="T303" s="14">
        <f>ROUND(I303*ROUND(Q303, 2), 2)</f>
        <v>0</v>
      </c>
      <c r="U303" s="14">
        <f>S303+T303</f>
        <v>0</v>
      </c>
    </row>
    <row r="304" spans="1:21" ht="36" x14ac:dyDescent="0.45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120">
        <v>0</v>
      </c>
      <c r="J304" s="126"/>
      <c r="K304" s="138"/>
      <c r="L304" s="114"/>
      <c r="M304" s="117"/>
      <c r="N304" s="114"/>
      <c r="P304" s="107">
        <v>260</v>
      </c>
      <c r="Q304" s="100"/>
      <c r="R304" s="101"/>
      <c r="S304" s="90">
        <f>ROUND(ROUND(P304, 2)*I304, 2)</f>
        <v>0</v>
      </c>
    </row>
    <row r="305" spans="1:21" ht="22.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19">
        <v>0</v>
      </c>
      <c r="J305" s="125"/>
      <c r="K305" s="139"/>
      <c r="L305" s="123"/>
      <c r="M305" s="116"/>
      <c r="N305" s="116"/>
      <c r="O305" s="84"/>
      <c r="P305" s="102">
        <f>IFERROR(ROUND(SUM(S306)/I305, 2),0)</f>
        <v>0</v>
      </c>
      <c r="Q305" s="103">
        <v>1010</v>
      </c>
      <c r="R305" s="104">
        <f>P305+ROUND(Q305, 2)</f>
        <v>1010</v>
      </c>
      <c r="S305" s="89">
        <f>ROUND(P305*I305, 2)</f>
        <v>0</v>
      </c>
      <c r="T305" s="14">
        <f>ROUND(I305*ROUND(Q305, 2), 2)</f>
        <v>0</v>
      </c>
      <c r="U305" s="14">
        <f>S305+T305</f>
        <v>0</v>
      </c>
    </row>
    <row r="306" spans="1:21" ht="23.4" x14ac:dyDescent="0.45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120">
        <v>0</v>
      </c>
      <c r="J306" s="126"/>
      <c r="K306" s="138"/>
      <c r="L306" s="114"/>
      <c r="M306" s="117"/>
      <c r="N306" s="114"/>
      <c r="P306" s="105">
        <v>418</v>
      </c>
      <c r="Q306" s="100"/>
      <c r="R306" s="101"/>
      <c r="S306" s="90">
        <f>ROUND(ROUND(P306, 2)*I306, 2)</f>
        <v>0</v>
      </c>
    </row>
    <row r="307" spans="1:21" ht="158.4" customHeight="1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19">
        <v>227.3</v>
      </c>
      <c r="J307" s="125"/>
      <c r="K307" s="139"/>
      <c r="L307" s="123"/>
      <c r="M307" s="116"/>
      <c r="N307" s="116"/>
      <c r="O307" s="84"/>
      <c r="P307" s="102">
        <f>IFERROR(ROUND(SUM(S308)/I307, 2),0)</f>
        <v>418</v>
      </c>
      <c r="Q307" s="106">
        <v>1515</v>
      </c>
      <c r="R307" s="104">
        <f>P307+ROUND(Q307, 2)</f>
        <v>1933</v>
      </c>
      <c r="S307" s="89">
        <f>ROUND(P307*I307, 2)</f>
        <v>95011.4</v>
      </c>
      <c r="T307" s="14">
        <f>ROUND(I307*ROUND(Q307, 2), 2)</f>
        <v>344359.5</v>
      </c>
      <c r="U307" s="14">
        <f>S307+T307</f>
        <v>439370.9</v>
      </c>
    </row>
    <row r="308" spans="1:21" ht="87" customHeight="1" x14ac:dyDescent="0.45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120">
        <v>227.3</v>
      </c>
      <c r="J308" s="126"/>
      <c r="K308" s="138"/>
      <c r="L308" s="114"/>
      <c r="M308" s="117"/>
      <c r="N308" s="114"/>
      <c r="P308" s="107">
        <v>418</v>
      </c>
      <c r="Q308" s="100"/>
      <c r="R308" s="101"/>
      <c r="S308" s="90">
        <f>ROUND(ROUND(P308, 2)*I308, 2)</f>
        <v>95011.4</v>
      </c>
    </row>
    <row r="309" spans="1:21" ht="36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19">
        <v>0</v>
      </c>
      <c r="J309" s="125"/>
      <c r="K309" s="139"/>
      <c r="L309" s="123"/>
      <c r="M309" s="116"/>
      <c r="N309" s="116"/>
      <c r="O309" s="84"/>
      <c r="P309" s="102">
        <f>IFERROR(ROUND(SUM(S310,S311)/I309, 2),0)</f>
        <v>0</v>
      </c>
      <c r="Q309" s="103">
        <v>428</v>
      </c>
      <c r="R309" s="104">
        <f>P309+ROUND(Q309, 2)</f>
        <v>428</v>
      </c>
      <c r="S309" s="89">
        <f>ROUND(P309*I309, 2)</f>
        <v>0</v>
      </c>
      <c r="T309" s="14">
        <f>ROUND(I309*ROUND(Q309, 2), 2)</f>
        <v>0</v>
      </c>
      <c r="U309" s="14">
        <f>S309+T309</f>
        <v>0</v>
      </c>
    </row>
    <row r="310" spans="1:21" ht="36" x14ac:dyDescent="0.45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120">
        <v>0</v>
      </c>
      <c r="J310" s="126"/>
      <c r="K310" s="138"/>
      <c r="L310" s="114"/>
      <c r="M310" s="117"/>
      <c r="N310" s="114"/>
      <c r="P310" s="105">
        <v>88.8</v>
      </c>
      <c r="Q310" s="100"/>
      <c r="R310" s="101"/>
      <c r="S310" s="90">
        <f>ROUND(ROUND(P310, 2)*I310, 2)</f>
        <v>0</v>
      </c>
    </row>
    <row r="311" spans="1:21" ht="36" x14ac:dyDescent="0.45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120">
        <v>0</v>
      </c>
      <c r="J311" s="126"/>
      <c r="K311" s="138"/>
      <c r="L311" s="114"/>
      <c r="M311" s="117"/>
      <c r="N311" s="114"/>
      <c r="P311" s="105">
        <v>495.9</v>
      </c>
      <c r="Q311" s="100"/>
      <c r="R311" s="101"/>
      <c r="S311" s="90">
        <f>ROUND(ROUND(P311, 2)*I311, 2)</f>
        <v>0</v>
      </c>
    </row>
    <row r="312" spans="1:21" ht="36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19">
        <v>0</v>
      </c>
      <c r="J312" s="125"/>
      <c r="K312" s="139"/>
      <c r="L312" s="123"/>
      <c r="M312" s="116"/>
      <c r="N312" s="116"/>
      <c r="O312" s="84"/>
      <c r="P312" s="102">
        <f>IFERROR(ROUND(SUM(S313,S314)/I312, 2),0)</f>
        <v>0</v>
      </c>
      <c r="Q312" s="103">
        <v>428</v>
      </c>
      <c r="R312" s="104">
        <f>P312+ROUND(Q312, 2)</f>
        <v>428</v>
      </c>
      <c r="S312" s="89">
        <f>ROUND(P312*I312, 2)</f>
        <v>0</v>
      </c>
      <c r="T312" s="14">
        <f>ROUND(I312*ROUND(Q312, 2), 2)</f>
        <v>0</v>
      </c>
      <c r="U312" s="14">
        <f>S312+T312</f>
        <v>0</v>
      </c>
    </row>
    <row r="313" spans="1:21" ht="36" x14ac:dyDescent="0.45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120">
        <v>0</v>
      </c>
      <c r="J313" s="126"/>
      <c r="K313" s="138"/>
      <c r="L313" s="114"/>
      <c r="M313" s="117"/>
      <c r="N313" s="114"/>
      <c r="P313" s="105">
        <v>495.9</v>
      </c>
      <c r="Q313" s="100"/>
      <c r="R313" s="101"/>
      <c r="S313" s="90">
        <f>ROUND(ROUND(P313, 2)*I313, 2)</f>
        <v>0</v>
      </c>
    </row>
    <row r="314" spans="1:21" ht="36" x14ac:dyDescent="0.45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120">
        <v>0</v>
      </c>
      <c r="J314" s="126"/>
      <c r="K314" s="138"/>
      <c r="L314" s="114"/>
      <c r="M314" s="117"/>
      <c r="N314" s="114"/>
      <c r="P314" s="105">
        <v>88.8</v>
      </c>
      <c r="Q314" s="100"/>
      <c r="R314" s="101"/>
      <c r="S314" s="90">
        <f>ROUND(ROUND(P314, 2)*I314, 2)</f>
        <v>0</v>
      </c>
    </row>
    <row r="315" spans="1:21" ht="36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19">
        <v>0</v>
      </c>
      <c r="J315" s="125"/>
      <c r="K315" s="139"/>
      <c r="L315" s="123"/>
      <c r="M315" s="116"/>
      <c r="N315" s="116"/>
      <c r="O315" s="84"/>
      <c r="P315" s="102">
        <f>IFERROR(ROUND(SUM(S316,S317)/I315, 2),0)</f>
        <v>0</v>
      </c>
      <c r="Q315" s="103">
        <v>428</v>
      </c>
      <c r="R315" s="104">
        <f>P315+ROUND(Q315, 2)</f>
        <v>428</v>
      </c>
      <c r="S315" s="89">
        <f>ROUND(P315*I315, 2)</f>
        <v>0</v>
      </c>
      <c r="T315" s="14">
        <f>ROUND(I315*ROUND(Q315, 2), 2)</f>
        <v>0</v>
      </c>
      <c r="U315" s="14">
        <f>S315+T315</f>
        <v>0</v>
      </c>
    </row>
    <row r="316" spans="1:21" ht="36" x14ac:dyDescent="0.45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120">
        <v>0</v>
      </c>
      <c r="J316" s="126"/>
      <c r="K316" s="138"/>
      <c r="L316" s="114"/>
      <c r="M316" s="117"/>
      <c r="N316" s="114"/>
      <c r="P316" s="105">
        <v>88.8</v>
      </c>
      <c r="Q316" s="100"/>
      <c r="R316" s="101"/>
      <c r="S316" s="90">
        <f>ROUND(ROUND(P316, 2)*I316, 2)</f>
        <v>0</v>
      </c>
    </row>
    <row r="317" spans="1:21" ht="36" x14ac:dyDescent="0.45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120">
        <v>0</v>
      </c>
      <c r="J317" s="126"/>
      <c r="K317" s="138"/>
      <c r="L317" s="114"/>
      <c r="M317" s="117"/>
      <c r="N317" s="114"/>
      <c r="P317" s="105">
        <v>495.9</v>
      </c>
      <c r="Q317" s="100"/>
      <c r="R317" s="101"/>
      <c r="S317" s="90">
        <f>ROUND(ROUND(P317, 2)*I317, 2)</f>
        <v>0</v>
      </c>
    </row>
    <row r="318" spans="1:21" ht="36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19">
        <v>0</v>
      </c>
      <c r="J318" s="125"/>
      <c r="K318" s="139"/>
      <c r="L318" s="123"/>
      <c r="M318" s="116"/>
      <c r="N318" s="116"/>
      <c r="O318" s="84"/>
      <c r="P318" s="102">
        <f>IFERROR(ROUND(SUM(S319,S320)/I318, 2),0)</f>
        <v>0</v>
      </c>
      <c r="Q318" s="103">
        <v>428</v>
      </c>
      <c r="R318" s="104">
        <f>P318+ROUND(Q318, 2)</f>
        <v>428</v>
      </c>
      <c r="S318" s="89">
        <f>ROUND(P318*I318, 2)</f>
        <v>0</v>
      </c>
      <c r="T318" s="14">
        <f>ROUND(I318*ROUND(Q318, 2), 2)</f>
        <v>0</v>
      </c>
      <c r="U318" s="14">
        <f>S318+T318</f>
        <v>0</v>
      </c>
    </row>
    <row r="319" spans="1:21" ht="36" x14ac:dyDescent="0.45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120">
        <v>0</v>
      </c>
      <c r="J319" s="126"/>
      <c r="K319" s="138"/>
      <c r="L319" s="114"/>
      <c r="M319" s="117"/>
      <c r="N319" s="114"/>
      <c r="P319" s="105">
        <v>495.9</v>
      </c>
      <c r="Q319" s="100"/>
      <c r="R319" s="101"/>
      <c r="S319" s="90">
        <f>ROUND(ROUND(P319, 2)*I319, 2)</f>
        <v>0</v>
      </c>
    </row>
    <row r="320" spans="1:21" ht="36" x14ac:dyDescent="0.45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120">
        <v>0</v>
      </c>
      <c r="J320" s="126"/>
      <c r="K320" s="138"/>
      <c r="L320" s="114"/>
      <c r="M320" s="117"/>
      <c r="N320" s="114"/>
      <c r="P320" s="105">
        <v>88.8</v>
      </c>
      <c r="Q320" s="100"/>
      <c r="R320" s="101"/>
      <c r="S320" s="90">
        <f>ROUND(ROUND(P320, 2)*I320, 2)</f>
        <v>0</v>
      </c>
    </row>
    <row r="321" spans="1:21" ht="36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19">
        <v>0</v>
      </c>
      <c r="J321" s="125"/>
      <c r="K321" s="139"/>
      <c r="L321" s="123"/>
      <c r="M321" s="116"/>
      <c r="N321" s="116"/>
      <c r="O321" s="84"/>
      <c r="P321" s="102">
        <f>IFERROR(ROUND(SUM(S322,S323)/I321, 2),0)</f>
        <v>0</v>
      </c>
      <c r="Q321" s="103">
        <v>428</v>
      </c>
      <c r="R321" s="104">
        <f>P321+ROUND(Q321, 2)</f>
        <v>428</v>
      </c>
      <c r="S321" s="89">
        <f>ROUND(P321*I321, 2)</f>
        <v>0</v>
      </c>
      <c r="T321" s="14">
        <f>ROUND(I321*ROUND(Q321, 2), 2)</f>
        <v>0</v>
      </c>
      <c r="U321" s="14">
        <f>S321+T321</f>
        <v>0</v>
      </c>
    </row>
    <row r="322" spans="1:21" ht="36" x14ac:dyDescent="0.45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120">
        <v>0</v>
      </c>
      <c r="J322" s="126"/>
      <c r="K322" s="138"/>
      <c r="L322" s="114"/>
      <c r="M322" s="117"/>
      <c r="N322" s="114"/>
      <c r="P322" s="105">
        <v>88.8</v>
      </c>
      <c r="Q322" s="100"/>
      <c r="R322" s="101"/>
      <c r="S322" s="90">
        <f>ROUND(ROUND(P322, 2)*I322, 2)</f>
        <v>0</v>
      </c>
    </row>
    <row r="323" spans="1:21" ht="36" x14ac:dyDescent="0.45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120">
        <v>0</v>
      </c>
      <c r="J323" s="126"/>
      <c r="K323" s="138"/>
      <c r="L323" s="114"/>
      <c r="M323" s="117"/>
      <c r="N323" s="114"/>
      <c r="P323" s="105">
        <v>495.9</v>
      </c>
      <c r="Q323" s="100"/>
      <c r="R323" s="101"/>
      <c r="S323" s="90">
        <f>ROUND(ROUND(P323, 2)*I323, 2)</f>
        <v>0</v>
      </c>
    </row>
    <row r="324" spans="1:21" ht="36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19">
        <v>0</v>
      </c>
      <c r="J324" s="125"/>
      <c r="K324" s="139"/>
      <c r="L324" s="123"/>
      <c r="M324" s="116"/>
      <c r="N324" s="116"/>
      <c r="O324" s="84"/>
      <c r="P324" s="102">
        <f>IFERROR(ROUND(SUM(S325,S326)/I324, 2),0)</f>
        <v>0</v>
      </c>
      <c r="Q324" s="103">
        <v>428</v>
      </c>
      <c r="R324" s="104">
        <f>P324+ROUND(Q324, 2)</f>
        <v>428</v>
      </c>
      <c r="S324" s="89">
        <f>ROUND(P324*I324, 2)</f>
        <v>0</v>
      </c>
      <c r="T324" s="14">
        <f>ROUND(I324*ROUND(Q324, 2), 2)</f>
        <v>0</v>
      </c>
      <c r="U324" s="14">
        <f>S324+T324</f>
        <v>0</v>
      </c>
    </row>
    <row r="325" spans="1:21" ht="36" x14ac:dyDescent="0.45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120">
        <v>0</v>
      </c>
      <c r="J325" s="126"/>
      <c r="K325" s="138"/>
      <c r="L325" s="114"/>
      <c r="M325" s="117"/>
      <c r="N325" s="114"/>
      <c r="P325" s="105">
        <v>495.9</v>
      </c>
      <c r="Q325" s="100"/>
      <c r="R325" s="101"/>
      <c r="S325" s="90">
        <f>ROUND(ROUND(P325, 2)*I325, 2)</f>
        <v>0</v>
      </c>
    </row>
    <row r="326" spans="1:21" ht="36" x14ac:dyDescent="0.45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120">
        <v>0</v>
      </c>
      <c r="J326" s="126"/>
      <c r="K326" s="138"/>
      <c r="L326" s="114"/>
      <c r="M326" s="117"/>
      <c r="N326" s="114"/>
      <c r="P326" s="105">
        <v>88.8</v>
      </c>
      <c r="Q326" s="100"/>
      <c r="R326" s="101"/>
      <c r="S326" s="90">
        <f>ROUND(ROUND(P326, 2)*I326, 2)</f>
        <v>0</v>
      </c>
    </row>
    <row r="327" spans="1:21" ht="36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19">
        <v>0</v>
      </c>
      <c r="J327" s="125"/>
      <c r="K327" s="139"/>
      <c r="L327" s="123"/>
      <c r="M327" s="116"/>
      <c r="N327" s="116"/>
      <c r="O327" s="84"/>
      <c r="P327" s="102">
        <f>IFERROR(ROUND(SUM(S328,S329)/I327, 2),0)</f>
        <v>0</v>
      </c>
      <c r="Q327" s="103">
        <v>428</v>
      </c>
      <c r="R327" s="104">
        <f>P327+ROUND(Q327, 2)</f>
        <v>428</v>
      </c>
      <c r="S327" s="89">
        <f>ROUND(P327*I327, 2)</f>
        <v>0</v>
      </c>
      <c r="T327" s="14">
        <f>ROUND(I327*ROUND(Q327, 2), 2)</f>
        <v>0</v>
      </c>
      <c r="U327" s="14">
        <f>S327+T327</f>
        <v>0</v>
      </c>
    </row>
    <row r="328" spans="1:21" ht="36" x14ac:dyDescent="0.45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120">
        <v>0</v>
      </c>
      <c r="J328" s="126"/>
      <c r="K328" s="138"/>
      <c r="L328" s="114"/>
      <c r="M328" s="117"/>
      <c r="N328" s="114"/>
      <c r="P328" s="105">
        <v>88.8</v>
      </c>
      <c r="Q328" s="100"/>
      <c r="R328" s="101"/>
      <c r="S328" s="90">
        <f>ROUND(ROUND(P328, 2)*I328, 2)</f>
        <v>0</v>
      </c>
    </row>
    <row r="329" spans="1:21" ht="36" x14ac:dyDescent="0.45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120">
        <v>0</v>
      </c>
      <c r="J329" s="126"/>
      <c r="K329" s="138"/>
      <c r="L329" s="114"/>
      <c r="M329" s="117"/>
      <c r="N329" s="114"/>
      <c r="P329" s="105">
        <v>495.9</v>
      </c>
      <c r="Q329" s="100"/>
      <c r="R329" s="101"/>
      <c r="S329" s="90">
        <f>ROUND(ROUND(P329, 2)*I329, 2)</f>
        <v>0</v>
      </c>
    </row>
    <row r="330" spans="1:21" ht="36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19">
        <v>0</v>
      </c>
      <c r="J330" s="125"/>
      <c r="K330" s="139"/>
      <c r="L330" s="123"/>
      <c r="M330" s="116"/>
      <c r="N330" s="116"/>
      <c r="O330" s="84"/>
      <c r="P330" s="102">
        <f>IFERROR(ROUND(SUM(S331,S332)/I330, 2),0)</f>
        <v>0</v>
      </c>
      <c r="Q330" s="103">
        <v>428</v>
      </c>
      <c r="R330" s="104">
        <f>P330+ROUND(Q330, 2)</f>
        <v>428</v>
      </c>
      <c r="S330" s="89">
        <f>ROUND(P330*I330, 2)</f>
        <v>0</v>
      </c>
      <c r="T330" s="14">
        <f>ROUND(I330*ROUND(Q330, 2), 2)</f>
        <v>0</v>
      </c>
      <c r="U330" s="14">
        <f>S330+T330</f>
        <v>0</v>
      </c>
    </row>
    <row r="331" spans="1:21" ht="36" x14ac:dyDescent="0.45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120">
        <v>0</v>
      </c>
      <c r="J331" s="126"/>
      <c r="K331" s="138"/>
      <c r="L331" s="114"/>
      <c r="M331" s="117"/>
      <c r="N331" s="114"/>
      <c r="P331" s="105">
        <v>495.9</v>
      </c>
      <c r="Q331" s="100"/>
      <c r="R331" s="101"/>
      <c r="S331" s="90">
        <f>ROUND(ROUND(P331, 2)*I331, 2)</f>
        <v>0</v>
      </c>
    </row>
    <row r="332" spans="1:21" ht="36" x14ac:dyDescent="0.45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120">
        <v>0</v>
      </c>
      <c r="J332" s="126"/>
      <c r="K332" s="138"/>
      <c r="L332" s="114"/>
      <c r="M332" s="117"/>
      <c r="N332" s="114"/>
      <c r="P332" s="105">
        <v>88.8</v>
      </c>
      <c r="Q332" s="100"/>
      <c r="R332" s="101"/>
      <c r="S332" s="90">
        <f>ROUND(ROUND(P332, 2)*I332, 2)</f>
        <v>0</v>
      </c>
    </row>
    <row r="333" spans="1:21" ht="108" x14ac:dyDescent="0.3">
      <c r="A333" s="73" t="s">
        <v>1339</v>
      </c>
      <c r="B333" s="73" t="s">
        <v>1230</v>
      </c>
      <c r="C333" s="74" t="s">
        <v>1231</v>
      </c>
      <c r="D333" s="75"/>
      <c r="E333" s="75" t="s">
        <v>1235</v>
      </c>
      <c r="F333" s="75" t="s">
        <v>59</v>
      </c>
      <c r="G333" s="76">
        <v>1</v>
      </c>
      <c r="H333" s="76"/>
      <c r="I333" s="122">
        <v>276</v>
      </c>
      <c r="J333" s="143">
        <v>276</v>
      </c>
      <c r="K333" s="144">
        <f>J333*R333</f>
        <v>221928.84</v>
      </c>
      <c r="L333" s="123"/>
      <c r="M333" s="116"/>
      <c r="N333" s="116"/>
      <c r="O333" s="84"/>
      <c r="P333" s="102">
        <f>IFERROR(ROUND(SUM(S334,S335)/I333, 2),0)</f>
        <v>162.09</v>
      </c>
      <c r="Q333" s="106">
        <v>642</v>
      </c>
      <c r="R333" s="104">
        <f>P333+ROUND(Q333, 2)</f>
        <v>804.09</v>
      </c>
      <c r="S333" s="89">
        <f>ROUND(P333*I333, 2)</f>
        <v>44736.84</v>
      </c>
      <c r="T333" s="14">
        <f>ROUND(I333*ROUND(Q333, 2), 2)</f>
        <v>177192</v>
      </c>
      <c r="U333" s="14">
        <f>S333+T333</f>
        <v>221928.84</v>
      </c>
    </row>
    <row r="334" spans="1:21" ht="36" x14ac:dyDescent="0.45">
      <c r="A334" s="10" t="s">
        <v>1340</v>
      </c>
      <c r="B334" s="10"/>
      <c r="C334" s="28" t="s">
        <v>682</v>
      </c>
      <c r="D334" s="12"/>
      <c r="E334" s="12"/>
      <c r="F334" s="29" t="s">
        <v>265</v>
      </c>
      <c r="G334" s="30">
        <v>0.15</v>
      </c>
      <c r="H334" s="30"/>
      <c r="I334" s="120">
        <v>41.4</v>
      </c>
      <c r="J334" s="126"/>
      <c r="K334" s="138"/>
      <c r="L334" s="114"/>
      <c r="M334" s="117"/>
      <c r="N334" s="114"/>
      <c r="P334" s="107">
        <v>88.8</v>
      </c>
      <c r="Q334" s="100"/>
      <c r="R334" s="101"/>
      <c r="S334" s="90">
        <f>ROUND(ROUND(P334, 2)*I334, 2)</f>
        <v>3676.32</v>
      </c>
    </row>
    <row r="335" spans="1:21" ht="36" x14ac:dyDescent="0.45">
      <c r="A335" s="10" t="s">
        <v>1343</v>
      </c>
      <c r="B335" s="10"/>
      <c r="C335" s="28" t="s">
        <v>1242</v>
      </c>
      <c r="D335" s="12"/>
      <c r="E335" s="12"/>
      <c r="F335" s="29" t="s">
        <v>265</v>
      </c>
      <c r="G335" s="30">
        <v>0.3</v>
      </c>
      <c r="H335" s="30"/>
      <c r="I335" s="120">
        <v>82.8</v>
      </c>
      <c r="J335" s="126"/>
      <c r="K335" s="138"/>
      <c r="L335" s="114"/>
      <c r="M335" s="117"/>
      <c r="N335" s="114"/>
      <c r="P335" s="107">
        <v>495.9</v>
      </c>
      <c r="Q335" s="100"/>
      <c r="R335" s="101"/>
      <c r="S335" s="90">
        <f>ROUND(ROUND(P335, 2)*I335, 2)</f>
        <v>41060.519999999997</v>
      </c>
    </row>
    <row r="336" spans="1:21" ht="108" x14ac:dyDescent="0.3">
      <c r="A336" s="73" t="s">
        <v>1346</v>
      </c>
      <c r="B336" s="73" t="s">
        <v>1230</v>
      </c>
      <c r="C336" s="74" t="s">
        <v>1231</v>
      </c>
      <c r="D336" s="75"/>
      <c r="E336" s="75" t="s">
        <v>1250</v>
      </c>
      <c r="F336" s="75" t="s">
        <v>59</v>
      </c>
      <c r="G336" s="76">
        <v>1</v>
      </c>
      <c r="H336" s="76"/>
      <c r="I336" s="122">
        <v>224.5</v>
      </c>
      <c r="J336" s="143">
        <v>224.5</v>
      </c>
      <c r="K336" s="144">
        <f>J336*R336</f>
        <v>180518.20500000002</v>
      </c>
      <c r="L336" s="123"/>
      <c r="M336" s="116"/>
      <c r="N336" s="116"/>
      <c r="O336" s="84"/>
      <c r="P336" s="102">
        <f>IFERROR(ROUND(SUM(S337,S338)/I336, 2),0)</f>
        <v>162.09</v>
      </c>
      <c r="Q336" s="106">
        <v>642</v>
      </c>
      <c r="R336" s="104">
        <f>P336+ROUND(Q336, 2)</f>
        <v>804.09</v>
      </c>
      <c r="S336" s="89">
        <f>ROUND(P336*I336, 2)</f>
        <v>36389.21</v>
      </c>
      <c r="T336" s="14">
        <f>ROUND(I336*ROUND(Q336, 2), 2)</f>
        <v>144129</v>
      </c>
      <c r="U336" s="14">
        <f>S336+T336</f>
        <v>180518.21</v>
      </c>
    </row>
    <row r="337" spans="1:21" ht="36" x14ac:dyDescent="0.45">
      <c r="A337" s="10" t="s">
        <v>1347</v>
      </c>
      <c r="B337" s="10"/>
      <c r="C337" s="28" t="s">
        <v>1242</v>
      </c>
      <c r="D337" s="12"/>
      <c r="E337" s="12"/>
      <c r="F337" s="29" t="s">
        <v>265</v>
      </c>
      <c r="G337" s="30">
        <v>0.3</v>
      </c>
      <c r="H337" s="30"/>
      <c r="I337" s="120">
        <v>67.349999999999994</v>
      </c>
      <c r="J337" s="126"/>
      <c r="K337" s="138"/>
      <c r="L337" s="114"/>
      <c r="M337" s="117"/>
      <c r="N337" s="114"/>
      <c r="P337" s="107">
        <v>495.9</v>
      </c>
      <c r="Q337" s="100"/>
      <c r="R337" s="101"/>
      <c r="S337" s="90">
        <f>ROUND(ROUND(P337, 2)*I337, 2)</f>
        <v>33398.870000000003</v>
      </c>
    </row>
    <row r="338" spans="1:21" ht="36" x14ac:dyDescent="0.45">
      <c r="A338" s="10" t="s">
        <v>1350</v>
      </c>
      <c r="B338" s="10"/>
      <c r="C338" s="28" t="s">
        <v>682</v>
      </c>
      <c r="D338" s="12"/>
      <c r="E338" s="12"/>
      <c r="F338" s="29" t="s">
        <v>265</v>
      </c>
      <c r="G338" s="30">
        <v>0.15</v>
      </c>
      <c r="H338" s="30"/>
      <c r="I338" s="120">
        <v>33.674999999999997</v>
      </c>
      <c r="J338" s="126"/>
      <c r="K338" s="138"/>
      <c r="L338" s="114"/>
      <c r="M338" s="117"/>
      <c r="N338" s="114"/>
      <c r="P338" s="107">
        <v>88.8</v>
      </c>
      <c r="Q338" s="100"/>
      <c r="R338" s="101"/>
      <c r="S338" s="90">
        <f>ROUND(ROUND(P338, 2)*I338, 2)</f>
        <v>2990.34</v>
      </c>
    </row>
    <row r="339" spans="1:21" ht="108" x14ac:dyDescent="0.3">
      <c r="A339" s="73" t="s">
        <v>1353</v>
      </c>
      <c r="B339" s="73" t="s">
        <v>1230</v>
      </c>
      <c r="C339" s="74" t="s">
        <v>1231</v>
      </c>
      <c r="D339" s="75"/>
      <c r="E339" s="75" t="s">
        <v>1263</v>
      </c>
      <c r="F339" s="75" t="s">
        <v>59</v>
      </c>
      <c r="G339" s="76">
        <v>1</v>
      </c>
      <c r="H339" s="76"/>
      <c r="I339" s="122">
        <v>180</v>
      </c>
      <c r="J339" s="143">
        <v>180</v>
      </c>
      <c r="K339" s="144">
        <f>J339*R339</f>
        <v>144736.20000000001</v>
      </c>
      <c r="L339" s="123"/>
      <c r="M339" s="116"/>
      <c r="N339" s="116"/>
      <c r="O339" s="84"/>
      <c r="P339" s="102">
        <f>IFERROR(ROUND(SUM(S340,S341)/I339, 2),0)</f>
        <v>162.09</v>
      </c>
      <c r="Q339" s="106">
        <v>642</v>
      </c>
      <c r="R339" s="104">
        <f>P339+ROUND(Q339, 2)</f>
        <v>804.09</v>
      </c>
      <c r="S339" s="89">
        <f>ROUND(P339*I339, 2)</f>
        <v>29176.2</v>
      </c>
      <c r="T339" s="14">
        <f>ROUND(I339*ROUND(Q339, 2), 2)</f>
        <v>115560</v>
      </c>
      <c r="U339" s="14">
        <f>S339+T339</f>
        <v>144736.20000000001</v>
      </c>
    </row>
    <row r="340" spans="1:21" ht="36" x14ac:dyDescent="0.45">
      <c r="A340" s="10" t="s">
        <v>1354</v>
      </c>
      <c r="B340" s="10"/>
      <c r="C340" s="28" t="s">
        <v>682</v>
      </c>
      <c r="D340" s="12"/>
      <c r="E340" s="12"/>
      <c r="F340" s="29" t="s">
        <v>265</v>
      </c>
      <c r="G340" s="30">
        <v>0.15</v>
      </c>
      <c r="H340" s="30"/>
      <c r="I340" s="120">
        <v>27</v>
      </c>
      <c r="J340" s="126"/>
      <c r="K340" s="138"/>
      <c r="L340" s="114"/>
      <c r="M340" s="117"/>
      <c r="N340" s="114"/>
      <c r="P340" s="107">
        <v>88.8</v>
      </c>
      <c r="Q340" s="100"/>
      <c r="R340" s="101"/>
      <c r="S340" s="90">
        <f>ROUND(ROUND(P340, 2)*I340, 2)</f>
        <v>2397.6</v>
      </c>
    </row>
    <row r="341" spans="1:21" ht="36" x14ac:dyDescent="0.45">
      <c r="A341" s="10" t="s">
        <v>1357</v>
      </c>
      <c r="B341" s="10"/>
      <c r="C341" s="28" t="s">
        <v>1242</v>
      </c>
      <c r="D341" s="12"/>
      <c r="E341" s="12"/>
      <c r="F341" s="29" t="s">
        <v>265</v>
      </c>
      <c r="G341" s="30">
        <v>0.3</v>
      </c>
      <c r="H341" s="30"/>
      <c r="I341" s="120">
        <v>54</v>
      </c>
      <c r="J341" s="126"/>
      <c r="K341" s="138"/>
      <c r="L341" s="114"/>
      <c r="M341" s="117"/>
      <c r="N341" s="114"/>
      <c r="P341" s="107">
        <v>495.9</v>
      </c>
      <c r="Q341" s="100"/>
      <c r="R341" s="101"/>
      <c r="S341" s="90">
        <f>ROUND(ROUND(P341, 2)*I341, 2)</f>
        <v>26778.6</v>
      </c>
    </row>
    <row r="342" spans="1:21" ht="108" x14ac:dyDescent="0.3">
      <c r="A342" s="80" t="s">
        <v>1360</v>
      </c>
      <c r="B342" s="80" t="s">
        <v>1230</v>
      </c>
      <c r="C342" s="147" t="s">
        <v>1231</v>
      </c>
      <c r="D342" s="148"/>
      <c r="E342" s="148" t="s">
        <v>1276</v>
      </c>
      <c r="F342" s="148" t="s">
        <v>59</v>
      </c>
      <c r="G342" s="149">
        <v>1</v>
      </c>
      <c r="H342" s="149"/>
      <c r="I342" s="151">
        <v>1285.3</v>
      </c>
      <c r="J342" s="143">
        <v>1285.3</v>
      </c>
      <c r="K342" s="144">
        <f>J342*R342</f>
        <v>1033496.877</v>
      </c>
      <c r="L342" s="123"/>
      <c r="M342" s="116"/>
      <c r="N342" s="116"/>
      <c r="O342" s="84"/>
      <c r="P342" s="102">
        <f>IFERROR(ROUND(SUM(S343,S344)/I342, 2),0)</f>
        <v>162.09</v>
      </c>
      <c r="Q342" s="106">
        <v>642</v>
      </c>
      <c r="R342" s="104">
        <f>P342+ROUND(Q342, 2)</f>
        <v>804.09</v>
      </c>
      <c r="S342" s="89">
        <f>ROUND(P342*I342, 2)</f>
        <v>208334.28</v>
      </c>
      <c r="T342" s="14">
        <f>ROUND(I342*ROUND(Q342, 2), 2)</f>
        <v>825162.6</v>
      </c>
      <c r="U342" s="14">
        <f>S342+T342</f>
        <v>1033496.88</v>
      </c>
    </row>
    <row r="343" spans="1:21" ht="36" x14ac:dyDescent="0.45">
      <c r="A343" s="10" t="s">
        <v>1361</v>
      </c>
      <c r="B343" s="10"/>
      <c r="C343" s="28" t="s">
        <v>1242</v>
      </c>
      <c r="D343" s="12"/>
      <c r="E343" s="12"/>
      <c r="F343" s="29" t="s">
        <v>265</v>
      </c>
      <c r="G343" s="30">
        <v>0.3</v>
      </c>
      <c r="H343" s="30"/>
      <c r="I343" s="120">
        <v>385.59</v>
      </c>
      <c r="J343" s="126"/>
      <c r="K343" s="138"/>
      <c r="L343" s="114"/>
      <c r="M343" s="117"/>
      <c r="N343" s="114"/>
      <c r="P343" s="107">
        <v>495.9</v>
      </c>
      <c r="Q343" s="100"/>
      <c r="R343" s="101"/>
      <c r="S343" s="90">
        <f>ROUND(ROUND(P343, 2)*I343, 2)</f>
        <v>191214.07999999999</v>
      </c>
    </row>
    <row r="344" spans="1:21" ht="36" x14ac:dyDescent="0.45">
      <c r="A344" s="10" t="s">
        <v>1364</v>
      </c>
      <c r="B344" s="10"/>
      <c r="C344" s="28" t="s">
        <v>682</v>
      </c>
      <c r="D344" s="12"/>
      <c r="E344" s="12"/>
      <c r="F344" s="29" t="s">
        <v>265</v>
      </c>
      <c r="G344" s="30">
        <v>0.15</v>
      </c>
      <c r="H344" s="30"/>
      <c r="I344" s="120">
        <v>192.79499999999999</v>
      </c>
      <c r="J344" s="126"/>
      <c r="K344" s="138"/>
      <c r="L344" s="114"/>
      <c r="M344" s="117"/>
      <c r="N344" s="114"/>
      <c r="P344" s="107">
        <v>88.8</v>
      </c>
      <c r="Q344" s="100"/>
      <c r="R344" s="101"/>
      <c r="S344" s="90">
        <f>ROUND(ROUND(P344, 2)*I344, 2)</f>
        <v>17120.2</v>
      </c>
    </row>
    <row r="345" spans="1:21" ht="108" x14ac:dyDescent="0.3">
      <c r="A345" s="73" t="s">
        <v>1367</v>
      </c>
      <c r="B345" s="73" t="s">
        <v>1230</v>
      </c>
      <c r="C345" s="74" t="s">
        <v>1231</v>
      </c>
      <c r="D345" s="75"/>
      <c r="E345" s="75" t="s">
        <v>1289</v>
      </c>
      <c r="F345" s="75" t="s">
        <v>59</v>
      </c>
      <c r="G345" s="76">
        <v>1</v>
      </c>
      <c r="H345" s="76"/>
      <c r="I345" s="122">
        <v>101.4</v>
      </c>
      <c r="J345" s="143">
        <v>101.4</v>
      </c>
      <c r="K345" s="144">
        <f>J345*R345</f>
        <v>81534.72600000001</v>
      </c>
      <c r="L345" s="123"/>
      <c r="M345" s="116"/>
      <c r="N345" s="116"/>
      <c r="O345" s="84"/>
      <c r="P345" s="102">
        <f>IFERROR(ROUND(SUM(S346,S347)/I345, 2),0)</f>
        <v>162.09</v>
      </c>
      <c r="Q345" s="106">
        <v>642</v>
      </c>
      <c r="R345" s="104">
        <f>P345+ROUND(Q345, 2)</f>
        <v>804.09</v>
      </c>
      <c r="S345" s="89">
        <f>ROUND(P345*I345, 2)</f>
        <v>16435.93</v>
      </c>
      <c r="T345" s="14">
        <f>ROUND(I345*ROUND(Q345, 2), 2)</f>
        <v>65098.8</v>
      </c>
      <c r="U345" s="14">
        <f>S345+T345</f>
        <v>81534.73000000001</v>
      </c>
    </row>
    <row r="346" spans="1:21" ht="36" x14ac:dyDescent="0.45">
      <c r="A346" s="10" t="s">
        <v>1368</v>
      </c>
      <c r="B346" s="10"/>
      <c r="C346" s="28" t="s">
        <v>682</v>
      </c>
      <c r="D346" s="12"/>
      <c r="E346" s="12"/>
      <c r="F346" s="29" t="s">
        <v>265</v>
      </c>
      <c r="G346" s="30">
        <v>0.15</v>
      </c>
      <c r="H346" s="30"/>
      <c r="I346" s="120">
        <v>15.21</v>
      </c>
      <c r="J346" s="126"/>
      <c r="K346" s="138"/>
      <c r="L346" s="114"/>
      <c r="M346" s="117"/>
      <c r="N346" s="114"/>
      <c r="P346" s="107">
        <v>88.8</v>
      </c>
      <c r="Q346" s="100"/>
      <c r="R346" s="101"/>
      <c r="S346" s="90">
        <f>ROUND(ROUND(P346, 2)*I346, 2)</f>
        <v>1350.65</v>
      </c>
    </row>
    <row r="347" spans="1:21" ht="36" x14ac:dyDescent="0.45">
      <c r="A347" s="10" t="s">
        <v>1371</v>
      </c>
      <c r="B347" s="10"/>
      <c r="C347" s="28" t="s">
        <v>1242</v>
      </c>
      <c r="D347" s="12"/>
      <c r="E347" s="12"/>
      <c r="F347" s="29" t="s">
        <v>265</v>
      </c>
      <c r="G347" s="30">
        <v>0.3</v>
      </c>
      <c r="H347" s="30"/>
      <c r="I347" s="120">
        <v>30.42</v>
      </c>
      <c r="J347" s="126"/>
      <c r="K347" s="138"/>
      <c r="L347" s="114"/>
      <c r="M347" s="117"/>
      <c r="N347" s="114"/>
      <c r="P347" s="107">
        <v>495.9</v>
      </c>
      <c r="Q347" s="100"/>
      <c r="R347" s="101"/>
      <c r="S347" s="90">
        <f>ROUND(ROUND(P347, 2)*I347, 2)</f>
        <v>15085.28</v>
      </c>
    </row>
    <row r="348" spans="1:21" ht="108" x14ac:dyDescent="0.3">
      <c r="A348" s="73" t="s">
        <v>1374</v>
      </c>
      <c r="B348" s="73" t="s">
        <v>1230</v>
      </c>
      <c r="C348" s="74" t="s">
        <v>1231</v>
      </c>
      <c r="D348" s="75"/>
      <c r="E348" s="75" t="s">
        <v>1302</v>
      </c>
      <c r="F348" s="75" t="s">
        <v>59</v>
      </c>
      <c r="G348" s="76">
        <v>1</v>
      </c>
      <c r="H348" s="76"/>
      <c r="I348" s="122">
        <v>23.1</v>
      </c>
      <c r="J348" s="141">
        <v>23.1</v>
      </c>
      <c r="K348" s="142">
        <f>J348*R348</f>
        <v>18574.479000000003</v>
      </c>
      <c r="L348" s="123"/>
      <c r="M348" s="116"/>
      <c r="N348" s="116"/>
      <c r="O348" s="84"/>
      <c r="P348" s="102">
        <f>IFERROR(ROUND(SUM(S349,S350)/I348, 2),0)</f>
        <v>162.09</v>
      </c>
      <c r="Q348" s="106">
        <v>642</v>
      </c>
      <c r="R348" s="104">
        <f>P348+ROUND(Q348, 2)</f>
        <v>804.09</v>
      </c>
      <c r="S348" s="89">
        <f>ROUND(P348*I348, 2)</f>
        <v>3744.28</v>
      </c>
      <c r="T348" s="14">
        <f>ROUND(I348*ROUND(Q348, 2), 2)</f>
        <v>14830.2</v>
      </c>
      <c r="U348" s="14">
        <f>S348+T348</f>
        <v>18574.48</v>
      </c>
    </row>
    <row r="349" spans="1:21" ht="36" x14ac:dyDescent="0.45">
      <c r="A349" s="10" t="s">
        <v>1375</v>
      </c>
      <c r="B349" s="10"/>
      <c r="C349" s="28" t="s">
        <v>1242</v>
      </c>
      <c r="D349" s="12"/>
      <c r="E349" s="12"/>
      <c r="F349" s="29" t="s">
        <v>265</v>
      </c>
      <c r="G349" s="30">
        <v>0.3</v>
      </c>
      <c r="H349" s="30"/>
      <c r="I349" s="120">
        <v>6.93</v>
      </c>
      <c r="J349" s="126"/>
      <c r="K349" s="138"/>
      <c r="L349" s="114"/>
      <c r="M349" s="117"/>
      <c r="N349" s="114"/>
      <c r="P349" s="107">
        <v>495.9</v>
      </c>
      <c r="Q349" s="100"/>
      <c r="R349" s="101"/>
      <c r="S349" s="90">
        <f>ROUND(ROUND(P349, 2)*I349, 2)</f>
        <v>3436.59</v>
      </c>
    </row>
    <row r="350" spans="1:21" ht="36" x14ac:dyDescent="0.45">
      <c r="A350" s="10" t="s">
        <v>1378</v>
      </c>
      <c r="B350" s="10"/>
      <c r="C350" s="28" t="s">
        <v>682</v>
      </c>
      <c r="D350" s="12"/>
      <c r="E350" s="12"/>
      <c r="F350" s="29" t="s">
        <v>265</v>
      </c>
      <c r="G350" s="30">
        <v>0.15</v>
      </c>
      <c r="H350" s="30"/>
      <c r="I350" s="120">
        <v>3.4649999999999999</v>
      </c>
      <c r="J350" s="126"/>
      <c r="K350" s="138"/>
      <c r="L350" s="114"/>
      <c r="M350" s="117"/>
      <c r="N350" s="114"/>
      <c r="P350" s="107">
        <v>88.8</v>
      </c>
      <c r="Q350" s="100"/>
      <c r="R350" s="101"/>
      <c r="S350" s="90">
        <f>ROUND(ROUND(P350, 2)*I350, 2)</f>
        <v>307.69</v>
      </c>
    </row>
    <row r="351" spans="1:21" ht="108" x14ac:dyDescent="0.3">
      <c r="A351" s="73" t="s">
        <v>1381</v>
      </c>
      <c r="B351" s="73" t="s">
        <v>1230</v>
      </c>
      <c r="C351" s="74" t="s">
        <v>1231</v>
      </c>
      <c r="D351" s="75"/>
      <c r="E351" s="75" t="s">
        <v>1315</v>
      </c>
      <c r="F351" s="75" t="s">
        <v>59</v>
      </c>
      <c r="G351" s="76">
        <v>1</v>
      </c>
      <c r="H351" s="76"/>
      <c r="I351" s="122">
        <v>18.5</v>
      </c>
      <c r="J351" s="141">
        <v>18.5</v>
      </c>
      <c r="K351" s="142">
        <f>J351*R351</f>
        <v>14875.665000000001</v>
      </c>
      <c r="L351" s="123"/>
      <c r="M351" s="116"/>
      <c r="N351" s="116"/>
      <c r="O351" s="84"/>
      <c r="P351" s="102">
        <f>IFERROR(ROUND(SUM(S352,S353)/I351, 2),0)</f>
        <v>162.09</v>
      </c>
      <c r="Q351" s="106">
        <v>642</v>
      </c>
      <c r="R351" s="104">
        <f>P351+ROUND(Q351, 2)</f>
        <v>804.09</v>
      </c>
      <c r="S351" s="89">
        <f>ROUND(P351*I351, 2)</f>
        <v>2998.67</v>
      </c>
      <c r="T351" s="14">
        <f>ROUND(I351*ROUND(Q351, 2), 2)</f>
        <v>11877</v>
      </c>
      <c r="U351" s="14">
        <f>S351+T351</f>
        <v>14875.67</v>
      </c>
    </row>
    <row r="352" spans="1:21" ht="36" x14ac:dyDescent="0.45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120">
        <v>2.7749999999999999</v>
      </c>
      <c r="J352" s="126"/>
      <c r="K352" s="138"/>
      <c r="L352" s="114"/>
      <c r="M352" s="117"/>
      <c r="N352" s="114"/>
      <c r="P352" s="107">
        <v>88.8</v>
      </c>
      <c r="Q352" s="100"/>
      <c r="R352" s="101"/>
      <c r="S352" s="90">
        <f>ROUND(ROUND(P352, 2)*I352, 2)</f>
        <v>246.42</v>
      </c>
    </row>
    <row r="353" spans="1:21" ht="36" x14ac:dyDescent="0.45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120">
        <v>5.55</v>
      </c>
      <c r="J353" s="126"/>
      <c r="K353" s="138"/>
      <c r="L353" s="114"/>
      <c r="M353" s="117"/>
      <c r="N353" s="114"/>
      <c r="P353" s="107">
        <v>495.9</v>
      </c>
      <c r="Q353" s="100"/>
      <c r="R353" s="101"/>
      <c r="S353" s="90">
        <f>ROUND(ROUND(P353, 2)*I353, 2)</f>
        <v>2752.25</v>
      </c>
    </row>
    <row r="354" spans="1:21" ht="54" customHeight="1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19">
        <v>253.5</v>
      </c>
      <c r="J354" s="125"/>
      <c r="K354" s="139"/>
      <c r="L354" s="123"/>
      <c r="M354" s="116"/>
      <c r="N354" s="116"/>
      <c r="O354" s="84"/>
      <c r="P354" s="102">
        <f>IFERROR(ROUND(SUM(S355,S356)/I354, 2),0)</f>
        <v>162.09</v>
      </c>
      <c r="Q354" s="106">
        <v>642</v>
      </c>
      <c r="R354" s="104">
        <f>P354+ROUND(Q354, 2)</f>
        <v>804.09</v>
      </c>
      <c r="S354" s="89">
        <f>ROUND(P354*I354, 2)</f>
        <v>41089.82</v>
      </c>
      <c r="T354" s="14">
        <f>ROUND(I354*ROUND(Q354, 2), 2)</f>
        <v>162747</v>
      </c>
      <c r="U354" s="14">
        <f>S354+T354</f>
        <v>203836.82</v>
      </c>
    </row>
    <row r="355" spans="1:21" ht="36" x14ac:dyDescent="0.45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120">
        <v>76.05</v>
      </c>
      <c r="J355" s="126"/>
      <c r="K355" s="138"/>
      <c r="L355" s="114"/>
      <c r="M355" s="117"/>
      <c r="N355" s="114"/>
      <c r="P355" s="107">
        <v>495.9</v>
      </c>
      <c r="Q355" s="100"/>
      <c r="R355" s="101"/>
      <c r="S355" s="90">
        <f>ROUND(ROUND(P355, 2)*I355, 2)</f>
        <v>37713.199999999997</v>
      </c>
    </row>
    <row r="356" spans="1:21" ht="36" x14ac:dyDescent="0.45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120">
        <v>38.024999999999999</v>
      </c>
      <c r="J356" s="126"/>
      <c r="K356" s="138"/>
      <c r="L356" s="114"/>
      <c r="M356" s="117"/>
      <c r="N356" s="114"/>
      <c r="P356" s="107">
        <v>88.8</v>
      </c>
      <c r="Q356" s="100"/>
      <c r="R356" s="101"/>
      <c r="S356" s="90">
        <f>ROUND(ROUND(P356, 2)*I356, 2)</f>
        <v>3376.62</v>
      </c>
    </row>
    <row r="357" spans="1:21" ht="36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19">
        <v>0</v>
      </c>
      <c r="J357" s="125"/>
      <c r="K357" s="139"/>
      <c r="L357" s="123"/>
      <c r="M357" s="116"/>
      <c r="N357" s="116"/>
      <c r="O357" s="84"/>
      <c r="P357" s="102">
        <f>IFERROR(ROUND(SUM(S358,S359)/I357, 2),0)</f>
        <v>0</v>
      </c>
      <c r="Q357" s="103">
        <v>472</v>
      </c>
      <c r="R357" s="104">
        <f>P357+ROUND(Q357, 2)</f>
        <v>472</v>
      </c>
      <c r="S357" s="89">
        <f>ROUND(P357*I357, 2)</f>
        <v>0</v>
      </c>
      <c r="T357" s="14">
        <f>ROUND(I357*ROUND(Q357, 2), 2)</f>
        <v>0</v>
      </c>
      <c r="U357" s="14">
        <f>S357+T357</f>
        <v>0</v>
      </c>
    </row>
    <row r="358" spans="1:21" ht="23.4" x14ac:dyDescent="0.45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120">
        <v>0</v>
      </c>
      <c r="J358" s="126"/>
      <c r="K358" s="138"/>
      <c r="L358" s="114"/>
      <c r="M358" s="117"/>
      <c r="N358" s="114"/>
      <c r="P358" s="105">
        <v>495.9</v>
      </c>
      <c r="Q358" s="100"/>
      <c r="R358" s="101"/>
      <c r="S358" s="90">
        <f>ROUND(ROUND(P358, 2)*I358, 2)</f>
        <v>0</v>
      </c>
    </row>
    <row r="359" spans="1:21" ht="36" x14ac:dyDescent="0.45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120">
        <v>0</v>
      </c>
      <c r="J359" s="126"/>
      <c r="K359" s="138"/>
      <c r="L359" s="114"/>
      <c r="M359" s="117"/>
      <c r="N359" s="114"/>
      <c r="P359" s="105">
        <v>88.8</v>
      </c>
      <c r="Q359" s="100"/>
      <c r="R359" s="101"/>
      <c r="S359" s="90">
        <f>ROUND(ROUND(P359, 2)*I359, 2)</f>
        <v>0</v>
      </c>
    </row>
    <row r="360" spans="1:21" ht="108" x14ac:dyDescent="0.3">
      <c r="A360" s="73" t="s">
        <v>1414</v>
      </c>
      <c r="B360" s="73" t="s">
        <v>1396</v>
      </c>
      <c r="C360" s="74" t="s">
        <v>1397</v>
      </c>
      <c r="D360" s="75"/>
      <c r="E360" s="75" t="s">
        <v>1401</v>
      </c>
      <c r="F360" s="75" t="s">
        <v>59</v>
      </c>
      <c r="G360" s="76">
        <v>1</v>
      </c>
      <c r="H360" s="76"/>
      <c r="I360" s="122">
        <v>170.8</v>
      </c>
      <c r="J360" s="143">
        <v>170.8</v>
      </c>
      <c r="K360" s="144">
        <f>J360*R360</f>
        <v>147853.02000000002</v>
      </c>
      <c r="L360" s="123"/>
      <c r="M360" s="116"/>
      <c r="N360" s="116"/>
      <c r="O360" s="84"/>
      <c r="P360" s="102">
        <f>IFERROR(ROUND(SUM(S361,S362)/I360, 2),0)</f>
        <v>157.65</v>
      </c>
      <c r="Q360" s="106">
        <v>708</v>
      </c>
      <c r="R360" s="104">
        <f>P360+ROUND(Q360, 2)</f>
        <v>865.65</v>
      </c>
      <c r="S360" s="89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</row>
    <row r="361" spans="1:21" ht="36" x14ac:dyDescent="0.45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120">
        <v>17.079999999999998</v>
      </c>
      <c r="J361" s="126"/>
      <c r="K361" s="138"/>
      <c r="L361" s="114"/>
      <c r="M361" s="117"/>
      <c r="N361" s="114"/>
      <c r="P361" s="107">
        <v>88.8</v>
      </c>
      <c r="Q361" s="100"/>
      <c r="R361" s="101"/>
      <c r="S361" s="90">
        <f>ROUND(ROUND(P361, 2)*I361, 2)</f>
        <v>1516.7</v>
      </c>
    </row>
    <row r="362" spans="1:21" ht="23.4" x14ac:dyDescent="0.45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120">
        <v>51.24</v>
      </c>
      <c r="J362" s="126"/>
      <c r="K362" s="138"/>
      <c r="L362" s="114"/>
      <c r="M362" s="117"/>
      <c r="N362" s="114"/>
      <c r="P362" s="107">
        <v>495.9</v>
      </c>
      <c r="Q362" s="100"/>
      <c r="R362" s="101"/>
      <c r="S362" s="90">
        <f>ROUND(ROUND(P362, 2)*I362, 2)</f>
        <v>25409.919999999998</v>
      </c>
    </row>
    <row r="363" spans="1:21" ht="54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19">
        <v>0</v>
      </c>
      <c r="J363" s="125"/>
      <c r="K363" s="139"/>
      <c r="L363" s="123"/>
      <c r="M363" s="116"/>
      <c r="N363" s="116"/>
      <c r="O363" s="84"/>
      <c r="P363" s="102">
        <f>IFERROR(ROUND(SUM(S364,S365,S366,S367)/I363, 2),0)</f>
        <v>0</v>
      </c>
      <c r="Q363" s="103">
        <v>2364</v>
      </c>
      <c r="R363" s="104">
        <f>P363+ROUND(Q363, 2)</f>
        <v>2364</v>
      </c>
      <c r="S363" s="89">
        <f>ROUND(P363*I363, 2)</f>
        <v>0</v>
      </c>
      <c r="T363" s="14">
        <f>ROUND(I363*ROUND(Q363, 2), 2)</f>
        <v>0</v>
      </c>
      <c r="U363" s="14">
        <f>S363+T363</f>
        <v>0</v>
      </c>
    </row>
    <row r="364" spans="1:21" ht="36" x14ac:dyDescent="0.45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121">
        <v>0</v>
      </c>
      <c r="J364" s="126"/>
      <c r="K364" s="138"/>
      <c r="L364" s="114"/>
      <c r="M364" s="117"/>
      <c r="N364" s="114"/>
      <c r="P364" s="105">
        <v>40.270000000000003</v>
      </c>
      <c r="Q364" s="100"/>
      <c r="R364" s="101"/>
      <c r="S364" s="90">
        <f>ROUND(ROUND(P364, 2)*I364, 2)</f>
        <v>0</v>
      </c>
    </row>
    <row r="365" spans="1:21" ht="36" x14ac:dyDescent="0.45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120">
        <v>0</v>
      </c>
      <c r="J365" s="126"/>
      <c r="K365" s="138"/>
      <c r="L365" s="114"/>
      <c r="M365" s="117"/>
      <c r="N365" s="114"/>
      <c r="P365" s="105">
        <v>68.400000000000006</v>
      </c>
      <c r="Q365" s="100"/>
      <c r="R365" s="101"/>
      <c r="S365" s="90">
        <f>ROUND(ROUND(P365, 2)*I365, 2)</f>
        <v>0</v>
      </c>
    </row>
    <row r="366" spans="1:21" ht="36" x14ac:dyDescent="0.45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121">
        <v>0</v>
      </c>
      <c r="J366" s="126"/>
      <c r="K366" s="138"/>
      <c r="L366" s="114"/>
      <c r="M366" s="117"/>
      <c r="N366" s="114"/>
      <c r="P366" s="105">
        <v>16.96</v>
      </c>
      <c r="Q366" s="100"/>
      <c r="R366" s="101"/>
      <c r="S366" s="90">
        <f>ROUND(ROUND(P366, 2)*I366, 2)</f>
        <v>0</v>
      </c>
    </row>
    <row r="367" spans="1:21" ht="36" x14ac:dyDescent="0.45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121">
        <v>0</v>
      </c>
      <c r="J367" s="126"/>
      <c r="K367" s="138"/>
      <c r="L367" s="114"/>
      <c r="M367" s="117"/>
      <c r="N367" s="114"/>
      <c r="P367" s="105">
        <v>545.29999999999995</v>
      </c>
      <c r="Q367" s="100"/>
      <c r="R367" s="101"/>
      <c r="S367" s="90">
        <f>ROUND(ROUND(P367, 2)*I367, 2)</f>
        <v>0</v>
      </c>
    </row>
    <row r="368" spans="1:21" ht="54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19">
        <v>0</v>
      </c>
      <c r="J368" s="125"/>
      <c r="K368" s="139"/>
      <c r="L368" s="123"/>
      <c r="M368" s="116"/>
      <c r="N368" s="116"/>
      <c r="O368" s="84"/>
      <c r="P368" s="102">
        <f>IFERROR(ROUND(SUM(S369,S370,S371,S372)/I368, 2),0)</f>
        <v>0</v>
      </c>
      <c r="Q368" s="103">
        <v>2364</v>
      </c>
      <c r="R368" s="104">
        <f>P368+ROUND(Q368, 2)</f>
        <v>2364</v>
      </c>
      <c r="S368" s="89">
        <f>ROUND(P368*I368, 2)</f>
        <v>0</v>
      </c>
      <c r="T368" s="14">
        <f>ROUND(I368*ROUND(Q368, 2), 2)</f>
        <v>0</v>
      </c>
      <c r="U368" s="14">
        <f>S368+T368</f>
        <v>0</v>
      </c>
    </row>
    <row r="369" spans="1:21" ht="36" x14ac:dyDescent="0.45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121">
        <v>0</v>
      </c>
      <c r="J369" s="126"/>
      <c r="K369" s="138"/>
      <c r="L369" s="114"/>
      <c r="M369" s="117"/>
      <c r="N369" s="114"/>
      <c r="P369" s="105">
        <v>945</v>
      </c>
      <c r="Q369" s="100"/>
      <c r="R369" s="101"/>
      <c r="S369" s="90">
        <f>ROUND(ROUND(P369, 2)*I369, 2)</f>
        <v>0</v>
      </c>
    </row>
    <row r="370" spans="1:21" ht="36" x14ac:dyDescent="0.45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121">
        <v>0</v>
      </c>
      <c r="J370" s="126"/>
      <c r="K370" s="138"/>
      <c r="L370" s="114"/>
      <c r="M370" s="117"/>
      <c r="N370" s="114"/>
      <c r="P370" s="105">
        <v>16.96</v>
      </c>
      <c r="Q370" s="100"/>
      <c r="R370" s="101"/>
      <c r="S370" s="90">
        <f>ROUND(ROUND(P370, 2)*I370, 2)</f>
        <v>0</v>
      </c>
    </row>
    <row r="371" spans="1:21" ht="36" x14ac:dyDescent="0.45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120">
        <v>0</v>
      </c>
      <c r="J371" s="126"/>
      <c r="K371" s="138"/>
      <c r="L371" s="114"/>
      <c r="M371" s="117"/>
      <c r="N371" s="114"/>
      <c r="P371" s="105">
        <v>68.400000000000006</v>
      </c>
      <c r="Q371" s="100"/>
      <c r="R371" s="101"/>
      <c r="S371" s="90">
        <f>ROUND(ROUND(P371, 2)*I371, 2)</f>
        <v>0</v>
      </c>
    </row>
    <row r="372" spans="1:21" ht="36" x14ac:dyDescent="0.45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121">
        <v>0</v>
      </c>
      <c r="J372" s="126"/>
      <c r="K372" s="138"/>
      <c r="L372" s="114"/>
      <c r="M372" s="117"/>
      <c r="N372" s="114"/>
      <c r="P372" s="105">
        <v>40.270000000000003</v>
      </c>
      <c r="Q372" s="100"/>
      <c r="R372" s="101"/>
      <c r="S372" s="90">
        <f>ROUND(ROUND(P372, 2)*I372, 2)</f>
        <v>0</v>
      </c>
    </row>
    <row r="373" spans="1:21" ht="54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19">
        <v>0</v>
      </c>
      <c r="J373" s="125"/>
      <c r="K373" s="139"/>
      <c r="L373" s="123"/>
      <c r="M373" s="116"/>
      <c r="N373" s="116"/>
      <c r="O373" s="84"/>
      <c r="P373" s="102">
        <f>IFERROR(ROUND(SUM(S374,S375,S376,S377)/I373, 2),0)</f>
        <v>0</v>
      </c>
      <c r="Q373" s="103">
        <v>2364</v>
      </c>
      <c r="R373" s="104">
        <f>P373+ROUND(Q373, 2)</f>
        <v>2364</v>
      </c>
      <c r="S373" s="89">
        <f>ROUND(P373*I373, 2)</f>
        <v>0</v>
      </c>
      <c r="T373" s="14">
        <f>ROUND(I373*ROUND(Q373, 2), 2)</f>
        <v>0</v>
      </c>
      <c r="U373" s="14">
        <f>S373+T373</f>
        <v>0</v>
      </c>
    </row>
    <row r="374" spans="1:21" ht="36" x14ac:dyDescent="0.45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121">
        <v>0</v>
      </c>
      <c r="J374" s="126"/>
      <c r="K374" s="138"/>
      <c r="L374" s="114"/>
      <c r="M374" s="117"/>
      <c r="N374" s="114"/>
      <c r="P374" s="105">
        <v>40.270000000000003</v>
      </c>
      <c r="Q374" s="100"/>
      <c r="R374" s="101"/>
      <c r="S374" s="90">
        <f>ROUND(ROUND(P374, 2)*I374, 2)</f>
        <v>0</v>
      </c>
    </row>
    <row r="375" spans="1:21" ht="36" x14ac:dyDescent="0.45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120">
        <v>0</v>
      </c>
      <c r="J375" s="126"/>
      <c r="K375" s="138"/>
      <c r="L375" s="114"/>
      <c r="M375" s="117"/>
      <c r="N375" s="114"/>
      <c r="P375" s="105">
        <v>68.400000000000006</v>
      </c>
      <c r="Q375" s="100"/>
      <c r="R375" s="101"/>
      <c r="S375" s="90">
        <f>ROUND(ROUND(P375, 2)*I375, 2)</f>
        <v>0</v>
      </c>
    </row>
    <row r="376" spans="1:21" ht="36" x14ac:dyDescent="0.45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121">
        <v>0</v>
      </c>
      <c r="J376" s="126"/>
      <c r="K376" s="138"/>
      <c r="L376" s="114"/>
      <c r="M376" s="117"/>
      <c r="N376" s="114"/>
      <c r="P376" s="105">
        <v>16.96</v>
      </c>
      <c r="Q376" s="100"/>
      <c r="R376" s="101"/>
      <c r="S376" s="90">
        <f>ROUND(ROUND(P376, 2)*I376, 2)</f>
        <v>0</v>
      </c>
    </row>
    <row r="377" spans="1:21" ht="36" x14ac:dyDescent="0.45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121">
        <v>0</v>
      </c>
      <c r="J377" s="126"/>
      <c r="K377" s="138"/>
      <c r="L377" s="114"/>
      <c r="M377" s="117"/>
      <c r="N377" s="114"/>
      <c r="P377" s="105">
        <v>1384.95</v>
      </c>
      <c r="Q377" s="100"/>
      <c r="R377" s="101"/>
      <c r="S377" s="90">
        <f>ROUND(ROUND(P377, 2)*I377, 2)</f>
        <v>0</v>
      </c>
    </row>
    <row r="378" spans="1:21" ht="54" x14ac:dyDescent="0.3">
      <c r="A378" s="80" t="s">
        <v>1500</v>
      </c>
      <c r="B378" s="80" t="s">
        <v>1422</v>
      </c>
      <c r="C378" s="147" t="s">
        <v>1423</v>
      </c>
      <c r="D378" s="148"/>
      <c r="E378" s="148" t="s">
        <v>1427</v>
      </c>
      <c r="F378" s="148" t="s">
        <v>59</v>
      </c>
      <c r="G378" s="149">
        <v>1</v>
      </c>
      <c r="H378" s="149"/>
      <c r="I378" s="151">
        <v>1163</v>
      </c>
      <c r="J378" s="143">
        <v>1163</v>
      </c>
      <c r="K378" s="144">
        <f>J378*R378</f>
        <v>4848698.1900000004</v>
      </c>
      <c r="L378" s="123"/>
      <c r="M378" s="116"/>
      <c r="N378" s="116"/>
      <c r="O378" s="84"/>
      <c r="P378" s="102">
        <f>IFERROR(ROUND(SUM(S379,S380,S381,S382)/I378, 2),0)</f>
        <v>623.13</v>
      </c>
      <c r="Q378" s="106">
        <v>3546</v>
      </c>
      <c r="R378" s="104">
        <f>P378+ROUND(Q378, 2)</f>
        <v>4169.13</v>
      </c>
      <c r="S378" s="89">
        <f>ROUND(P378*I378, 2)</f>
        <v>724700.19</v>
      </c>
      <c r="T378" s="14">
        <f>ROUND(I378*ROUND(Q378, 2), 2)</f>
        <v>4123998</v>
      </c>
      <c r="U378" s="14">
        <f>S378+T378</f>
        <v>4848698.1899999995</v>
      </c>
    </row>
    <row r="379" spans="1:21" ht="72" x14ac:dyDescent="0.45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121">
        <v>1244.4100000000001</v>
      </c>
      <c r="J379" s="126"/>
      <c r="K379" s="138"/>
      <c r="L379" s="114"/>
      <c r="M379" s="117"/>
      <c r="N379" s="114"/>
      <c r="P379" s="107">
        <v>545.29999999999995</v>
      </c>
      <c r="Q379" s="100"/>
      <c r="R379" s="101"/>
      <c r="S379" s="90">
        <f>ROUND(ROUND(P379, 2)*I379, 2)</f>
        <v>678576.77</v>
      </c>
    </row>
    <row r="380" spans="1:21" ht="36" x14ac:dyDescent="0.45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121">
        <v>1395.6</v>
      </c>
      <c r="J380" s="126"/>
      <c r="K380" s="138"/>
      <c r="L380" s="114"/>
      <c r="M380" s="117"/>
      <c r="N380" s="114"/>
      <c r="P380" s="107">
        <v>16.11</v>
      </c>
      <c r="Q380" s="100"/>
      <c r="R380" s="101"/>
      <c r="S380" s="90">
        <f>ROUND(ROUND(P380, 2)*I380, 2)</f>
        <v>22483.119999999999</v>
      </c>
    </row>
    <row r="381" spans="1:21" ht="36" x14ac:dyDescent="0.45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120">
        <v>174.45</v>
      </c>
      <c r="J381" s="126"/>
      <c r="K381" s="138"/>
      <c r="L381" s="114"/>
      <c r="M381" s="117"/>
      <c r="N381" s="114"/>
      <c r="P381" s="107">
        <v>68.400000000000006</v>
      </c>
      <c r="Q381" s="100"/>
      <c r="R381" s="101"/>
      <c r="S381" s="90">
        <f>ROUND(ROUND(P381, 2)*I381, 2)</f>
        <v>11932.38</v>
      </c>
    </row>
    <row r="382" spans="1:21" ht="36" x14ac:dyDescent="0.45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121">
        <v>290.75</v>
      </c>
      <c r="J382" s="126"/>
      <c r="K382" s="138"/>
      <c r="L382" s="114"/>
      <c r="M382" s="117"/>
      <c r="N382" s="114"/>
      <c r="P382" s="107">
        <v>40.270000000000003</v>
      </c>
      <c r="Q382" s="100"/>
      <c r="R382" s="101"/>
      <c r="S382" s="90">
        <f>ROUND(ROUND(P382, 2)*I382, 2)</f>
        <v>11708.5</v>
      </c>
    </row>
    <row r="383" spans="1:21" ht="54" x14ac:dyDescent="0.3">
      <c r="A383" s="80" t="s">
        <v>1513</v>
      </c>
      <c r="B383" s="80" t="s">
        <v>1422</v>
      </c>
      <c r="C383" s="147" t="s">
        <v>1423</v>
      </c>
      <c r="D383" s="148"/>
      <c r="E383" s="148" t="s">
        <v>1454</v>
      </c>
      <c r="F383" s="148" t="s">
        <v>59</v>
      </c>
      <c r="G383" s="149">
        <v>1</v>
      </c>
      <c r="H383" s="150">
        <v>434.2</v>
      </c>
      <c r="I383" s="151">
        <v>593.5</v>
      </c>
      <c r="J383" s="125"/>
      <c r="K383" s="139"/>
      <c r="L383" s="123"/>
      <c r="M383" s="116"/>
      <c r="N383" s="116"/>
      <c r="O383" s="84"/>
      <c r="P383" s="102">
        <f>IFERROR(ROUND(SUM(S384,S385,S386,S387)/I383, 2),0)</f>
        <v>1050.81</v>
      </c>
      <c r="Q383" s="106">
        <v>3546</v>
      </c>
      <c r="R383" s="104">
        <f>P383+ROUND(Q383, 2)</f>
        <v>4596.8099999999995</v>
      </c>
      <c r="S383" s="89">
        <f>ROUND(P383*I383, 2)</f>
        <v>623655.74</v>
      </c>
      <c r="T383" s="14">
        <f>ROUND(I383*ROUND(Q383, 2), 2)</f>
        <v>2104551</v>
      </c>
      <c r="U383" s="14">
        <f>S383+T383</f>
        <v>2728206.74</v>
      </c>
    </row>
    <row r="384" spans="1:21" ht="36" x14ac:dyDescent="0.45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121">
        <v>148.375</v>
      </c>
      <c r="J384" s="126"/>
      <c r="K384" s="138"/>
      <c r="L384" s="114"/>
      <c r="M384" s="117"/>
      <c r="N384" s="114"/>
      <c r="P384" s="107">
        <v>40.270000000000003</v>
      </c>
      <c r="Q384" s="100"/>
      <c r="R384" s="101"/>
      <c r="S384" s="90">
        <f>ROUND(ROUND(P384, 2)*I384, 2)</f>
        <v>5975.06</v>
      </c>
    </row>
    <row r="385" spans="1:21" ht="36" x14ac:dyDescent="0.45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120">
        <v>89.025000000000006</v>
      </c>
      <c r="J385" s="126"/>
      <c r="K385" s="138"/>
      <c r="L385" s="114"/>
      <c r="M385" s="117"/>
      <c r="N385" s="114"/>
      <c r="P385" s="107">
        <v>68.400000000000006</v>
      </c>
      <c r="Q385" s="100"/>
      <c r="R385" s="101"/>
      <c r="S385" s="90">
        <f>ROUND(ROUND(P385, 2)*I385, 2)</f>
        <v>6089.31</v>
      </c>
    </row>
    <row r="386" spans="1:21" ht="36" x14ac:dyDescent="0.45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121">
        <v>712.2</v>
      </c>
      <c r="J386" s="126"/>
      <c r="K386" s="138"/>
      <c r="L386" s="114"/>
      <c r="M386" s="117"/>
      <c r="N386" s="114"/>
      <c r="P386" s="107">
        <v>16.11</v>
      </c>
      <c r="Q386" s="100"/>
      <c r="R386" s="101"/>
      <c r="S386" s="90">
        <f>ROUND(ROUND(P386, 2)*I386, 2)</f>
        <v>11473.54</v>
      </c>
    </row>
    <row r="387" spans="1:21" ht="36" x14ac:dyDescent="0.45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121">
        <v>635.04499999999996</v>
      </c>
      <c r="J387" s="126"/>
      <c r="K387" s="138"/>
      <c r="L387" s="114"/>
      <c r="M387" s="117"/>
      <c r="N387" s="114"/>
      <c r="P387" s="107">
        <v>945</v>
      </c>
      <c r="Q387" s="100"/>
      <c r="R387" s="101"/>
      <c r="S387" s="90">
        <f>ROUND(ROUND(P387, 2)*I387, 2)</f>
        <v>600117.53</v>
      </c>
    </row>
    <row r="388" spans="1:21" ht="54" x14ac:dyDescent="0.3">
      <c r="A388" s="73" t="s">
        <v>1526</v>
      </c>
      <c r="B388" s="73" t="s">
        <v>1422</v>
      </c>
      <c r="C388" s="74" t="s">
        <v>1423</v>
      </c>
      <c r="D388" s="75"/>
      <c r="E388" s="75" t="s">
        <v>1479</v>
      </c>
      <c r="F388" s="75" t="s">
        <v>59</v>
      </c>
      <c r="G388" s="76">
        <v>1</v>
      </c>
      <c r="H388" s="76"/>
      <c r="I388" s="122">
        <v>46</v>
      </c>
      <c r="J388" s="143">
        <v>46</v>
      </c>
      <c r="K388" s="144">
        <f>J388*R388</f>
        <v>233107.75999999998</v>
      </c>
      <c r="L388" s="123"/>
      <c r="M388" s="116"/>
      <c r="N388" s="116"/>
      <c r="O388" s="84"/>
      <c r="P388" s="102">
        <f>IFERROR(ROUND(SUM(S389,S390,S391,S392)/I388, 2),0)</f>
        <v>1521.56</v>
      </c>
      <c r="Q388" s="106">
        <v>3546</v>
      </c>
      <c r="R388" s="104">
        <f>P388+ROUND(Q388, 2)</f>
        <v>5067.5599999999995</v>
      </c>
      <c r="S388" s="89">
        <f>ROUND(P388*I388, 2)</f>
        <v>69991.759999999995</v>
      </c>
      <c r="T388" s="14">
        <f>ROUND(I388*ROUND(Q388, 2), 2)</f>
        <v>163116</v>
      </c>
      <c r="U388" s="14">
        <f>S388+T388</f>
        <v>233107.76</v>
      </c>
    </row>
    <row r="389" spans="1:21" ht="36" x14ac:dyDescent="0.45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121">
        <v>49.22</v>
      </c>
      <c r="J389" s="126"/>
      <c r="K389" s="138"/>
      <c r="L389" s="114"/>
      <c r="M389" s="117"/>
      <c r="N389" s="114"/>
      <c r="P389" s="107">
        <v>1384.95</v>
      </c>
      <c r="Q389" s="100"/>
      <c r="R389" s="101"/>
      <c r="S389" s="90">
        <f>ROUND(ROUND(P389, 2)*I389, 2)</f>
        <v>68167.240000000005</v>
      </c>
    </row>
    <row r="390" spans="1:21" ht="36" x14ac:dyDescent="0.45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121">
        <v>55.2</v>
      </c>
      <c r="J390" s="126"/>
      <c r="K390" s="138"/>
      <c r="L390" s="114"/>
      <c r="M390" s="117"/>
      <c r="N390" s="114"/>
      <c r="P390" s="107">
        <v>16.11</v>
      </c>
      <c r="Q390" s="100"/>
      <c r="R390" s="101"/>
      <c r="S390" s="90">
        <f>ROUND(ROUND(P390, 2)*I390, 2)</f>
        <v>889.27</v>
      </c>
    </row>
    <row r="391" spans="1:21" ht="36" x14ac:dyDescent="0.45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120">
        <v>6.9</v>
      </c>
      <c r="J391" s="126"/>
      <c r="K391" s="138"/>
      <c r="L391" s="114"/>
      <c r="M391" s="117"/>
      <c r="N391" s="114"/>
      <c r="P391" s="107">
        <v>68.400000000000006</v>
      </c>
      <c r="Q391" s="100"/>
      <c r="R391" s="101"/>
      <c r="S391" s="90">
        <f>ROUND(ROUND(P391, 2)*I391, 2)</f>
        <v>471.96</v>
      </c>
    </row>
    <row r="392" spans="1:21" ht="36" x14ac:dyDescent="0.45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121">
        <v>11.5</v>
      </c>
      <c r="J392" s="126"/>
      <c r="K392" s="138"/>
      <c r="L392" s="114"/>
      <c r="M392" s="117"/>
      <c r="N392" s="114"/>
      <c r="P392" s="107">
        <v>40.270000000000003</v>
      </c>
      <c r="Q392" s="100"/>
      <c r="R392" s="101"/>
      <c r="S392" s="90">
        <f>ROUND(ROUND(P392, 2)*I392, 2)</f>
        <v>463.11</v>
      </c>
    </row>
    <row r="393" spans="1:21" ht="54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19">
        <v>0</v>
      </c>
      <c r="J393" s="125"/>
      <c r="K393" s="139"/>
      <c r="L393" s="123"/>
      <c r="M393" s="116"/>
      <c r="N393" s="116"/>
      <c r="O393" s="84"/>
      <c r="P393" s="102">
        <f>IFERROR(ROUND(SUM(S394,S395,S396,S397)/I393, 2),0)</f>
        <v>0</v>
      </c>
      <c r="Q393" s="103">
        <v>2983</v>
      </c>
      <c r="R393" s="104">
        <f>P393+ROUND(Q393, 2)</f>
        <v>2983</v>
      </c>
      <c r="S393" s="89">
        <f>ROUND(P393*I393, 2)</f>
        <v>0</v>
      </c>
      <c r="T393" s="14">
        <f>ROUND(I393*ROUND(Q393, 2), 2)</f>
        <v>0</v>
      </c>
      <c r="U393" s="14">
        <f>S393+T393</f>
        <v>0</v>
      </c>
    </row>
    <row r="394" spans="1:21" ht="36" x14ac:dyDescent="0.45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121">
        <v>0</v>
      </c>
      <c r="J394" s="126"/>
      <c r="K394" s="138"/>
      <c r="L394" s="114"/>
      <c r="M394" s="117"/>
      <c r="N394" s="114"/>
      <c r="P394" s="105">
        <v>1102.5</v>
      </c>
      <c r="Q394" s="100"/>
      <c r="R394" s="101"/>
      <c r="S394" s="90">
        <f>ROUND(ROUND(P394, 2)*I394, 2)</f>
        <v>0</v>
      </c>
    </row>
    <row r="395" spans="1:21" ht="36" x14ac:dyDescent="0.45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121">
        <v>0</v>
      </c>
      <c r="J395" s="126"/>
      <c r="K395" s="138"/>
      <c r="L395" s="114"/>
      <c r="M395" s="117"/>
      <c r="N395" s="114"/>
      <c r="P395" s="105">
        <v>16.96</v>
      </c>
      <c r="Q395" s="100"/>
      <c r="R395" s="101"/>
      <c r="S395" s="90">
        <f>ROUND(ROUND(P395, 2)*I395, 2)</f>
        <v>0</v>
      </c>
    </row>
    <row r="396" spans="1:21" ht="36" x14ac:dyDescent="0.45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121">
        <v>0</v>
      </c>
      <c r="J396" s="126"/>
      <c r="K396" s="138"/>
      <c r="L396" s="114"/>
      <c r="M396" s="117"/>
      <c r="N396" s="114"/>
      <c r="P396" s="105">
        <v>40.270000000000003</v>
      </c>
      <c r="Q396" s="100"/>
      <c r="R396" s="101"/>
      <c r="S396" s="90">
        <f>ROUND(ROUND(P396, 2)*I396, 2)</f>
        <v>0</v>
      </c>
    </row>
    <row r="397" spans="1:21" ht="36" x14ac:dyDescent="0.45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120">
        <v>0</v>
      </c>
      <c r="J397" s="126"/>
      <c r="K397" s="138"/>
      <c r="L397" s="114"/>
      <c r="M397" s="117"/>
      <c r="N397" s="114"/>
      <c r="P397" s="105">
        <v>68.400000000000006</v>
      </c>
      <c r="Q397" s="100"/>
      <c r="R397" s="101"/>
      <c r="S397" s="90">
        <f>ROUND(ROUND(P397, 2)*I397, 2)</f>
        <v>0</v>
      </c>
    </row>
    <row r="398" spans="1:21" ht="54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19">
        <v>0</v>
      </c>
      <c r="J398" s="125"/>
      <c r="K398" s="139"/>
      <c r="L398" s="123"/>
      <c r="M398" s="116"/>
      <c r="N398" s="116"/>
      <c r="O398" s="84"/>
      <c r="P398" s="102">
        <f>IFERROR(ROUND(SUM(S399,S400,S401,S402)/I398, 2),0)</f>
        <v>0</v>
      </c>
      <c r="Q398" s="103">
        <v>2983</v>
      </c>
      <c r="R398" s="104">
        <f>P398+ROUND(Q398, 2)</f>
        <v>2983</v>
      </c>
      <c r="S398" s="89">
        <f>ROUND(P398*I398, 2)</f>
        <v>0</v>
      </c>
      <c r="T398" s="14">
        <f>ROUND(I398*ROUND(Q398, 2), 2)</f>
        <v>0</v>
      </c>
      <c r="U398" s="14">
        <f>S398+T398</f>
        <v>0</v>
      </c>
    </row>
    <row r="399" spans="1:21" ht="36" x14ac:dyDescent="0.45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120">
        <v>0</v>
      </c>
      <c r="J399" s="126"/>
      <c r="K399" s="138"/>
      <c r="L399" s="114"/>
      <c r="M399" s="117"/>
      <c r="N399" s="114"/>
      <c r="P399" s="105">
        <v>68.400000000000006</v>
      </c>
      <c r="Q399" s="100"/>
      <c r="R399" s="101"/>
      <c r="S399" s="90">
        <f>ROUND(ROUND(P399, 2)*I399, 2)</f>
        <v>0</v>
      </c>
    </row>
    <row r="400" spans="1:21" ht="36" x14ac:dyDescent="0.45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121">
        <v>0</v>
      </c>
      <c r="J400" s="126"/>
      <c r="K400" s="138"/>
      <c r="L400" s="114"/>
      <c r="M400" s="117"/>
      <c r="N400" s="114"/>
      <c r="P400" s="105">
        <v>40.270000000000003</v>
      </c>
      <c r="Q400" s="100"/>
      <c r="R400" s="101"/>
      <c r="S400" s="90">
        <f>ROUND(ROUND(P400, 2)*I400, 2)</f>
        <v>0</v>
      </c>
    </row>
    <row r="401" spans="1:21" ht="36" x14ac:dyDescent="0.45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121">
        <v>0</v>
      </c>
      <c r="J401" s="126"/>
      <c r="K401" s="138"/>
      <c r="L401" s="114"/>
      <c r="M401" s="117"/>
      <c r="N401" s="114"/>
      <c r="P401" s="105">
        <v>16.96</v>
      </c>
      <c r="Q401" s="100"/>
      <c r="R401" s="101"/>
      <c r="S401" s="90">
        <f>ROUND(ROUND(P401, 2)*I401, 2)</f>
        <v>0</v>
      </c>
    </row>
    <row r="402" spans="1:21" ht="36" x14ac:dyDescent="0.45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121">
        <v>0</v>
      </c>
      <c r="J402" s="126"/>
      <c r="K402" s="138"/>
      <c r="L402" s="114"/>
      <c r="M402" s="117"/>
      <c r="N402" s="114"/>
      <c r="P402" s="105">
        <v>1102.5</v>
      </c>
      <c r="Q402" s="100"/>
      <c r="R402" s="101"/>
      <c r="S402" s="90">
        <f>ROUND(ROUND(P402, 2)*I402, 2)</f>
        <v>0</v>
      </c>
    </row>
    <row r="403" spans="1:21" ht="54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19">
        <v>0</v>
      </c>
      <c r="J403" s="125"/>
      <c r="K403" s="139"/>
      <c r="L403" s="123"/>
      <c r="M403" s="116"/>
      <c r="N403" s="116"/>
      <c r="O403" s="84"/>
      <c r="P403" s="102">
        <f>IFERROR(ROUND(SUM(S404,S405,S406,S407)/I403, 2),0)</f>
        <v>0</v>
      </c>
      <c r="Q403" s="103">
        <v>2983</v>
      </c>
      <c r="R403" s="104">
        <f>P403+ROUND(Q403, 2)</f>
        <v>2983</v>
      </c>
      <c r="S403" s="89">
        <f>ROUND(P403*I403, 2)</f>
        <v>0</v>
      </c>
      <c r="T403" s="14">
        <f>ROUND(I403*ROUND(Q403, 2), 2)</f>
        <v>0</v>
      </c>
      <c r="U403" s="14">
        <f>S403+T403</f>
        <v>0</v>
      </c>
    </row>
    <row r="404" spans="1:21" ht="36" x14ac:dyDescent="0.45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121">
        <v>0</v>
      </c>
      <c r="J404" s="126"/>
      <c r="K404" s="138"/>
      <c r="L404" s="114"/>
      <c r="M404" s="117"/>
      <c r="N404" s="114"/>
      <c r="P404" s="105">
        <v>1102.5</v>
      </c>
      <c r="Q404" s="100"/>
      <c r="R404" s="101"/>
      <c r="S404" s="90">
        <f>ROUND(ROUND(P404, 2)*I404, 2)</f>
        <v>0</v>
      </c>
    </row>
    <row r="405" spans="1:21" ht="36" x14ac:dyDescent="0.45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121">
        <v>0</v>
      </c>
      <c r="J405" s="126"/>
      <c r="K405" s="138"/>
      <c r="L405" s="114"/>
      <c r="M405" s="117"/>
      <c r="N405" s="114"/>
      <c r="P405" s="105">
        <v>16.96</v>
      </c>
      <c r="Q405" s="100"/>
      <c r="R405" s="101"/>
      <c r="S405" s="90">
        <f>ROUND(ROUND(P405, 2)*I405, 2)</f>
        <v>0</v>
      </c>
    </row>
    <row r="406" spans="1:21" ht="36" x14ac:dyDescent="0.45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121">
        <v>0</v>
      </c>
      <c r="J406" s="126"/>
      <c r="K406" s="138"/>
      <c r="L406" s="114"/>
      <c r="M406" s="117"/>
      <c r="N406" s="114"/>
      <c r="P406" s="105">
        <v>40.270000000000003</v>
      </c>
      <c r="Q406" s="100"/>
      <c r="R406" s="101"/>
      <c r="S406" s="90">
        <f>ROUND(ROUND(P406, 2)*I406, 2)</f>
        <v>0</v>
      </c>
    </row>
    <row r="407" spans="1:21" ht="36" x14ac:dyDescent="0.45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120">
        <v>0</v>
      </c>
      <c r="J407" s="126"/>
      <c r="K407" s="138"/>
      <c r="L407" s="114"/>
      <c r="M407" s="117"/>
      <c r="N407" s="114"/>
      <c r="P407" s="105">
        <v>68.400000000000006</v>
      </c>
      <c r="Q407" s="100"/>
      <c r="R407" s="101"/>
      <c r="S407" s="90">
        <f>ROUND(ROUND(P407, 2)*I407, 2)</f>
        <v>0</v>
      </c>
    </row>
    <row r="408" spans="1:21" ht="54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19">
        <v>0</v>
      </c>
      <c r="J408" s="125"/>
      <c r="K408" s="139"/>
      <c r="L408" s="123"/>
      <c r="M408" s="116"/>
      <c r="N408" s="116"/>
      <c r="O408" s="84"/>
      <c r="P408" s="102">
        <f>IFERROR(ROUND(SUM(S409,S410,S411,S412)/I408, 2),0)</f>
        <v>0</v>
      </c>
      <c r="Q408" s="103">
        <v>2983</v>
      </c>
      <c r="R408" s="104">
        <f>P408+ROUND(Q408, 2)</f>
        <v>2983</v>
      </c>
      <c r="S408" s="89">
        <f>ROUND(P408*I408, 2)</f>
        <v>0</v>
      </c>
      <c r="T408" s="14">
        <f>ROUND(I408*ROUND(Q408, 2), 2)</f>
        <v>0</v>
      </c>
      <c r="U408" s="14">
        <f>S408+T408</f>
        <v>0</v>
      </c>
    </row>
    <row r="409" spans="1:21" ht="36" x14ac:dyDescent="0.45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120">
        <v>0</v>
      </c>
      <c r="J409" s="126"/>
      <c r="K409" s="138"/>
      <c r="L409" s="114"/>
      <c r="M409" s="117"/>
      <c r="N409" s="114"/>
      <c r="P409" s="105">
        <v>68.400000000000006</v>
      </c>
      <c r="Q409" s="100"/>
      <c r="R409" s="101"/>
      <c r="S409" s="90">
        <f>ROUND(ROUND(P409, 2)*I409, 2)</f>
        <v>0</v>
      </c>
    </row>
    <row r="410" spans="1:21" ht="36" x14ac:dyDescent="0.45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121">
        <v>0</v>
      </c>
      <c r="J410" s="126"/>
      <c r="K410" s="138"/>
      <c r="L410" s="114"/>
      <c r="M410" s="117"/>
      <c r="N410" s="114"/>
      <c r="P410" s="105">
        <v>40.270000000000003</v>
      </c>
      <c r="Q410" s="100"/>
      <c r="R410" s="101"/>
      <c r="S410" s="90">
        <f>ROUND(ROUND(P410, 2)*I410, 2)</f>
        <v>0</v>
      </c>
    </row>
    <row r="411" spans="1:21" ht="36" x14ac:dyDescent="0.45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121">
        <v>0</v>
      </c>
      <c r="J411" s="126"/>
      <c r="K411" s="138"/>
      <c r="L411" s="114"/>
      <c r="M411" s="117"/>
      <c r="N411" s="114"/>
      <c r="P411" s="105">
        <v>16.96</v>
      </c>
      <c r="Q411" s="100"/>
      <c r="R411" s="101"/>
      <c r="S411" s="90">
        <f>ROUND(ROUND(P411, 2)*I411, 2)</f>
        <v>0</v>
      </c>
    </row>
    <row r="412" spans="1:21" ht="36" x14ac:dyDescent="0.45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121">
        <v>0</v>
      </c>
      <c r="J412" s="126"/>
      <c r="K412" s="138"/>
      <c r="L412" s="114"/>
      <c r="M412" s="117"/>
      <c r="N412" s="114"/>
      <c r="P412" s="105">
        <v>1102.5</v>
      </c>
      <c r="Q412" s="100"/>
      <c r="R412" s="101"/>
      <c r="S412" s="90">
        <f>ROUND(ROUND(P412, 2)*I412, 2)</f>
        <v>0</v>
      </c>
    </row>
    <row r="413" spans="1:21" ht="54" x14ac:dyDescent="0.3">
      <c r="A413" s="80" t="s">
        <v>1639</v>
      </c>
      <c r="B413" s="80" t="s">
        <v>1540</v>
      </c>
      <c r="C413" s="147" t="s">
        <v>1541</v>
      </c>
      <c r="D413" s="148"/>
      <c r="E413" s="148" t="s">
        <v>1545</v>
      </c>
      <c r="F413" s="148" t="s">
        <v>59</v>
      </c>
      <c r="G413" s="149">
        <v>1</v>
      </c>
      <c r="H413" s="150">
        <v>289.39999999999998</v>
      </c>
      <c r="I413" s="151">
        <v>320.39999999999998</v>
      </c>
      <c r="J413" s="125"/>
      <c r="K413" s="139"/>
      <c r="L413" s="123"/>
      <c r="M413" s="116"/>
      <c r="N413" s="116"/>
      <c r="O413" s="84"/>
      <c r="P413" s="102">
        <f>IFERROR(ROUND(SUM(S414,S415,S416,S417)/I413, 2),0)</f>
        <v>1252.4100000000001</v>
      </c>
      <c r="Q413" s="106">
        <v>4474.5</v>
      </c>
      <c r="R413" s="104">
        <f>P413+ROUND(Q413, 2)</f>
        <v>5726.91</v>
      </c>
      <c r="S413" s="89">
        <f>ROUND(P413*I413, 2)</f>
        <v>401272.16</v>
      </c>
      <c r="T413" s="14">
        <f>ROUND(I413*ROUND(Q413, 2), 2)</f>
        <v>1433629.8</v>
      </c>
      <c r="U413" s="14">
        <f>S413+T413</f>
        <v>1834901.96</v>
      </c>
    </row>
    <row r="414" spans="1:21" ht="72" x14ac:dyDescent="0.45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121">
        <v>352.44</v>
      </c>
      <c r="J414" s="126"/>
      <c r="K414" s="138"/>
      <c r="L414" s="114"/>
      <c r="M414" s="117"/>
      <c r="N414" s="114"/>
      <c r="P414" s="107">
        <v>1102.5</v>
      </c>
      <c r="Q414" s="100"/>
      <c r="R414" s="101"/>
      <c r="S414" s="90">
        <f>ROUND(ROUND(P414, 2)*I414, 2)</f>
        <v>388565.1</v>
      </c>
    </row>
    <row r="415" spans="1:21" ht="36" x14ac:dyDescent="0.45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121">
        <v>384.48</v>
      </c>
      <c r="J415" s="126"/>
      <c r="K415" s="138"/>
      <c r="L415" s="114"/>
      <c r="M415" s="117"/>
      <c r="N415" s="114"/>
      <c r="P415" s="107">
        <v>16.11</v>
      </c>
      <c r="Q415" s="100"/>
      <c r="R415" s="101"/>
      <c r="S415" s="90">
        <f>ROUND(ROUND(P415, 2)*I415, 2)</f>
        <v>6193.97</v>
      </c>
    </row>
    <row r="416" spans="1:21" ht="36" x14ac:dyDescent="0.45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121">
        <v>80.099999999999994</v>
      </c>
      <c r="J416" s="126"/>
      <c r="K416" s="138"/>
      <c r="L416" s="114"/>
      <c r="M416" s="117"/>
      <c r="N416" s="114"/>
      <c r="P416" s="107">
        <v>40.270000000000003</v>
      </c>
      <c r="Q416" s="100"/>
      <c r="R416" s="101"/>
      <c r="S416" s="90">
        <f>ROUND(ROUND(P416, 2)*I416, 2)</f>
        <v>3225.63</v>
      </c>
    </row>
    <row r="417" spans="1:21" ht="36" x14ac:dyDescent="0.45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120">
        <v>48.06</v>
      </c>
      <c r="J417" s="126"/>
      <c r="K417" s="138"/>
      <c r="L417" s="114"/>
      <c r="M417" s="117"/>
      <c r="N417" s="114"/>
      <c r="P417" s="107">
        <v>68.400000000000006</v>
      </c>
      <c r="Q417" s="100"/>
      <c r="R417" s="101"/>
      <c r="S417" s="90">
        <f>ROUND(ROUND(P417, 2)*I417, 2)</f>
        <v>3287.3</v>
      </c>
    </row>
    <row r="418" spans="1:21" ht="54" x14ac:dyDescent="0.3">
      <c r="A418" s="80" t="s">
        <v>1652</v>
      </c>
      <c r="B418" s="80" t="s">
        <v>1540</v>
      </c>
      <c r="C418" s="147" t="s">
        <v>1541</v>
      </c>
      <c r="D418" s="148"/>
      <c r="E418" s="148" t="s">
        <v>1571</v>
      </c>
      <c r="F418" s="148" t="s">
        <v>59</v>
      </c>
      <c r="G418" s="149">
        <v>1</v>
      </c>
      <c r="H418" s="150">
        <v>208.1</v>
      </c>
      <c r="I418" s="151">
        <v>249.1</v>
      </c>
      <c r="J418" s="125"/>
      <c r="K418" s="139"/>
      <c r="L418" s="123"/>
      <c r="M418" s="116"/>
      <c r="N418" s="116"/>
      <c r="O418" s="84"/>
      <c r="P418" s="102">
        <f>IFERROR(ROUND(SUM(S419,S420,S421,S422)/I418, 2),0)</f>
        <v>1252.4100000000001</v>
      </c>
      <c r="Q418" s="106">
        <v>4474.5</v>
      </c>
      <c r="R418" s="104">
        <f>P418+ROUND(Q418, 2)</f>
        <v>5726.91</v>
      </c>
      <c r="S418" s="89">
        <f>ROUND(P418*I418, 2)</f>
        <v>311975.33</v>
      </c>
      <c r="T418" s="14">
        <f>ROUND(I418*ROUND(Q418, 2), 2)</f>
        <v>1114597.95</v>
      </c>
      <c r="U418" s="14">
        <f>S418+T418</f>
        <v>1426573.28</v>
      </c>
    </row>
    <row r="419" spans="1:21" ht="36" x14ac:dyDescent="0.45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120">
        <v>37.365000000000002</v>
      </c>
      <c r="J419" s="126"/>
      <c r="K419" s="138"/>
      <c r="L419" s="114"/>
      <c r="M419" s="117"/>
      <c r="N419" s="114"/>
      <c r="P419" s="107">
        <v>68.400000000000006</v>
      </c>
      <c r="Q419" s="100"/>
      <c r="R419" s="101"/>
      <c r="S419" s="90">
        <f>ROUND(ROUND(P419, 2)*I419, 2)</f>
        <v>2555.77</v>
      </c>
    </row>
    <row r="420" spans="1:21" ht="36" x14ac:dyDescent="0.45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121">
        <v>62.274999999999999</v>
      </c>
      <c r="J420" s="126"/>
      <c r="K420" s="138"/>
      <c r="L420" s="114"/>
      <c r="M420" s="117"/>
      <c r="N420" s="114"/>
      <c r="P420" s="107">
        <v>40.270000000000003</v>
      </c>
      <c r="Q420" s="100"/>
      <c r="R420" s="101"/>
      <c r="S420" s="90">
        <f>ROUND(ROUND(P420, 2)*I420, 2)</f>
        <v>2507.81</v>
      </c>
    </row>
    <row r="421" spans="1:21" ht="36" x14ac:dyDescent="0.45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121">
        <v>298.92</v>
      </c>
      <c r="J421" s="126"/>
      <c r="K421" s="138"/>
      <c r="L421" s="114"/>
      <c r="M421" s="117"/>
      <c r="N421" s="114"/>
      <c r="P421" s="107">
        <v>16.11</v>
      </c>
      <c r="Q421" s="100"/>
      <c r="R421" s="101"/>
      <c r="S421" s="90">
        <f>ROUND(ROUND(P421, 2)*I421, 2)</f>
        <v>4815.6000000000004</v>
      </c>
    </row>
    <row r="422" spans="1:21" ht="72" x14ac:dyDescent="0.45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121">
        <v>274.01</v>
      </c>
      <c r="J422" s="126"/>
      <c r="K422" s="138"/>
      <c r="L422" s="114"/>
      <c r="M422" s="117"/>
      <c r="N422" s="114"/>
      <c r="P422" s="107">
        <v>1102.5</v>
      </c>
      <c r="Q422" s="100"/>
      <c r="R422" s="101"/>
      <c r="S422" s="90">
        <f>ROUND(ROUND(P422, 2)*I422, 2)</f>
        <v>302096.03000000003</v>
      </c>
    </row>
    <row r="423" spans="1:21" ht="54" x14ac:dyDescent="0.3">
      <c r="A423" s="80" t="s">
        <v>1665</v>
      </c>
      <c r="B423" s="80" t="s">
        <v>1540</v>
      </c>
      <c r="C423" s="147" t="s">
        <v>1541</v>
      </c>
      <c r="D423" s="148"/>
      <c r="E423" s="148" t="s">
        <v>1595</v>
      </c>
      <c r="F423" s="148" t="s">
        <v>59</v>
      </c>
      <c r="G423" s="149">
        <v>1</v>
      </c>
      <c r="H423" s="150">
        <v>220.4</v>
      </c>
      <c r="I423" s="151">
        <v>238.4</v>
      </c>
      <c r="J423" s="125"/>
      <c r="K423" s="139"/>
      <c r="L423" s="123"/>
      <c r="M423" s="116"/>
      <c r="N423" s="116"/>
      <c r="O423" s="84"/>
      <c r="P423" s="102">
        <f>IFERROR(ROUND(SUM(S424,S425,S426,S427)/I423, 2),0)</f>
        <v>1252.4100000000001</v>
      </c>
      <c r="Q423" s="106">
        <v>4474.5</v>
      </c>
      <c r="R423" s="104">
        <f>P423+ROUND(Q423, 2)</f>
        <v>5726.91</v>
      </c>
      <c r="S423" s="89">
        <f>ROUND(P423*I423, 2)</f>
        <v>298574.53999999998</v>
      </c>
      <c r="T423" s="14">
        <f>ROUND(I423*ROUND(Q423, 2), 2)</f>
        <v>1066720.8</v>
      </c>
      <c r="U423" s="14">
        <f>S423+T423</f>
        <v>1365295.34</v>
      </c>
    </row>
    <row r="424" spans="1:21" ht="72" x14ac:dyDescent="0.45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121">
        <v>262.24</v>
      </c>
      <c r="J424" s="126"/>
      <c r="K424" s="138"/>
      <c r="L424" s="114"/>
      <c r="M424" s="117"/>
      <c r="N424" s="114"/>
      <c r="P424" s="107">
        <v>1102.5</v>
      </c>
      <c r="Q424" s="100"/>
      <c r="R424" s="101"/>
      <c r="S424" s="90">
        <f>ROUND(ROUND(P424, 2)*I424, 2)</f>
        <v>289119.59999999998</v>
      </c>
    </row>
    <row r="425" spans="1:21" ht="36" x14ac:dyDescent="0.45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121">
        <v>286.08</v>
      </c>
      <c r="J425" s="126"/>
      <c r="K425" s="138"/>
      <c r="L425" s="114"/>
      <c r="M425" s="117"/>
      <c r="N425" s="114"/>
      <c r="P425" s="107">
        <v>16.11</v>
      </c>
      <c r="Q425" s="100"/>
      <c r="R425" s="101"/>
      <c r="S425" s="90">
        <f>ROUND(ROUND(P425, 2)*I425, 2)</f>
        <v>4608.75</v>
      </c>
    </row>
    <row r="426" spans="1:21" ht="36" x14ac:dyDescent="0.45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121">
        <v>59.6</v>
      </c>
      <c r="J426" s="126"/>
      <c r="K426" s="138"/>
      <c r="L426" s="114"/>
      <c r="M426" s="117"/>
      <c r="N426" s="114"/>
      <c r="P426" s="107">
        <v>40.270000000000003</v>
      </c>
      <c r="Q426" s="100"/>
      <c r="R426" s="101"/>
      <c r="S426" s="90">
        <f>ROUND(ROUND(P426, 2)*I426, 2)</f>
        <v>2400.09</v>
      </c>
    </row>
    <row r="427" spans="1:21" ht="36" x14ac:dyDescent="0.45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120">
        <v>35.76</v>
      </c>
      <c r="J427" s="126"/>
      <c r="K427" s="138"/>
      <c r="L427" s="114"/>
      <c r="M427" s="117"/>
      <c r="N427" s="114"/>
      <c r="P427" s="107">
        <v>68.400000000000006</v>
      </c>
      <c r="Q427" s="100"/>
      <c r="R427" s="101"/>
      <c r="S427" s="90">
        <f>ROUND(ROUND(P427, 2)*I427, 2)</f>
        <v>2445.98</v>
      </c>
    </row>
    <row r="428" spans="1:21" ht="54" x14ac:dyDescent="0.3">
      <c r="A428" s="73" t="s">
        <v>1678</v>
      </c>
      <c r="B428" s="73" t="s">
        <v>1540</v>
      </c>
      <c r="C428" s="74" t="s">
        <v>1541</v>
      </c>
      <c r="D428" s="75"/>
      <c r="E428" s="75" t="s">
        <v>1618</v>
      </c>
      <c r="F428" s="75" t="s">
        <v>59</v>
      </c>
      <c r="G428" s="76">
        <v>1</v>
      </c>
      <c r="H428" s="76"/>
      <c r="I428" s="122">
        <v>6.1</v>
      </c>
      <c r="J428" s="125"/>
      <c r="K428" s="139"/>
      <c r="L428" s="123"/>
      <c r="M428" s="116"/>
      <c r="N428" s="116"/>
      <c r="O428" s="84"/>
      <c r="P428" s="102">
        <f>IFERROR(ROUND(SUM(S429,S430,S431,S432)/I428, 2),0)</f>
        <v>1252.4100000000001</v>
      </c>
      <c r="Q428" s="106">
        <v>4474.5</v>
      </c>
      <c r="R428" s="104">
        <f>P428+ROUND(Q428, 2)</f>
        <v>5726.91</v>
      </c>
      <c r="S428" s="89">
        <f>ROUND(P428*I428, 2)</f>
        <v>7639.7</v>
      </c>
      <c r="T428" s="14">
        <f>ROUND(I428*ROUND(Q428, 2), 2)</f>
        <v>27294.45</v>
      </c>
      <c r="U428" s="14">
        <f>S428+T428</f>
        <v>34934.15</v>
      </c>
    </row>
    <row r="429" spans="1:21" ht="36" x14ac:dyDescent="0.45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120">
        <v>0.91500000000000004</v>
      </c>
      <c r="J429" s="126"/>
      <c r="K429" s="138"/>
      <c r="L429" s="114"/>
      <c r="M429" s="117"/>
      <c r="N429" s="114"/>
      <c r="P429" s="107">
        <v>68.400000000000006</v>
      </c>
      <c r="Q429" s="100"/>
      <c r="R429" s="101"/>
      <c r="S429" s="90">
        <f>ROUND(ROUND(P429, 2)*I429, 2)</f>
        <v>62.59</v>
      </c>
    </row>
    <row r="430" spans="1:21" ht="36" x14ac:dyDescent="0.45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121">
        <v>1.5249999999999999</v>
      </c>
      <c r="J430" s="126"/>
      <c r="K430" s="138"/>
      <c r="L430" s="114"/>
      <c r="M430" s="117"/>
      <c r="N430" s="114"/>
      <c r="P430" s="107">
        <v>40.270000000000003</v>
      </c>
      <c r="Q430" s="100"/>
      <c r="R430" s="101"/>
      <c r="S430" s="90">
        <f>ROUND(ROUND(P430, 2)*I430, 2)</f>
        <v>61.41</v>
      </c>
    </row>
    <row r="431" spans="1:21" ht="36" x14ac:dyDescent="0.45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121">
        <v>7.32</v>
      </c>
      <c r="J431" s="126"/>
      <c r="K431" s="138"/>
      <c r="L431" s="114"/>
      <c r="M431" s="117"/>
      <c r="N431" s="114"/>
      <c r="P431" s="107">
        <v>16.11</v>
      </c>
      <c r="Q431" s="100"/>
      <c r="R431" s="101"/>
      <c r="S431" s="90">
        <f>ROUND(ROUND(P431, 2)*I431, 2)</f>
        <v>117.93</v>
      </c>
    </row>
    <row r="432" spans="1:21" ht="36" x14ac:dyDescent="0.45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121">
        <v>6.71</v>
      </c>
      <c r="J432" s="126"/>
      <c r="K432" s="138"/>
      <c r="L432" s="114"/>
      <c r="M432" s="117"/>
      <c r="N432" s="114"/>
      <c r="P432" s="107">
        <v>1102.5</v>
      </c>
      <c r="Q432" s="100"/>
      <c r="R432" s="101"/>
      <c r="S432" s="90">
        <f>ROUND(ROUND(P432, 2)*I432, 2)</f>
        <v>7397.78</v>
      </c>
    </row>
    <row r="433" spans="1:21" ht="16.95" customHeight="1" x14ac:dyDescent="0.45">
      <c r="A433" s="10" t="s">
        <v>1691</v>
      </c>
      <c r="B433" s="10" t="s">
        <v>1692</v>
      </c>
      <c r="C433" s="153" t="s">
        <v>1693</v>
      </c>
      <c r="D433" s="154"/>
      <c r="E433" s="154"/>
      <c r="F433" s="154"/>
      <c r="G433" s="154"/>
      <c r="H433" s="154"/>
      <c r="I433" s="154"/>
      <c r="J433" s="124"/>
      <c r="K433" s="138"/>
      <c r="L433" s="114"/>
      <c r="M433" s="115"/>
      <c r="N433" s="115"/>
      <c r="O433" s="83"/>
      <c r="P433" s="99"/>
      <c r="Q433" s="100"/>
      <c r="R433" s="101"/>
      <c r="S433" s="88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</row>
    <row r="434" spans="1:21" ht="36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19">
        <v>0</v>
      </c>
      <c r="J434" s="125"/>
      <c r="K434" s="139"/>
      <c r="L434" s="123"/>
      <c r="M434" s="116"/>
      <c r="N434" s="116"/>
      <c r="O434" s="84"/>
      <c r="P434" s="102">
        <f>IFERROR(ROUND(SUM(S435,S436,S437,S438)/I434, 2),0)</f>
        <v>0</v>
      </c>
      <c r="Q434" s="103">
        <v>1477</v>
      </c>
      <c r="R434" s="104">
        <f>P434+ROUND(Q434, 2)</f>
        <v>1477</v>
      </c>
      <c r="S434" s="89">
        <f>ROUND(P434*I434, 2)</f>
        <v>0</v>
      </c>
      <c r="T434" s="14">
        <f>ROUND(I434*ROUND(Q434, 2), 2)</f>
        <v>0</v>
      </c>
      <c r="U434" s="14">
        <f>S434+T434</f>
        <v>0</v>
      </c>
    </row>
    <row r="435" spans="1:21" ht="23.4" x14ac:dyDescent="0.45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121">
        <v>0</v>
      </c>
      <c r="J435" s="126"/>
      <c r="K435" s="138"/>
      <c r="L435" s="114"/>
      <c r="M435" s="117"/>
      <c r="N435" s="114"/>
      <c r="P435" s="105">
        <v>80</v>
      </c>
      <c r="Q435" s="100"/>
      <c r="R435" s="101"/>
      <c r="S435" s="90">
        <f>ROUND(ROUND(P435, 2)*I435, 2)</f>
        <v>0</v>
      </c>
    </row>
    <row r="436" spans="1:21" ht="23.4" x14ac:dyDescent="0.45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121">
        <v>0</v>
      </c>
      <c r="J436" s="126"/>
      <c r="K436" s="138"/>
      <c r="L436" s="114"/>
      <c r="M436" s="117"/>
      <c r="N436" s="114"/>
      <c r="P436" s="105">
        <v>44.71</v>
      </c>
      <c r="Q436" s="100"/>
      <c r="R436" s="101"/>
      <c r="S436" s="90">
        <f>ROUND(ROUND(P436, 2)*I436, 2)</f>
        <v>0</v>
      </c>
    </row>
    <row r="437" spans="1:21" ht="23.4" x14ac:dyDescent="0.45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121">
        <v>0</v>
      </c>
      <c r="J437" s="126"/>
      <c r="K437" s="138"/>
      <c r="L437" s="114"/>
      <c r="M437" s="117"/>
      <c r="N437" s="114"/>
      <c r="P437" s="105">
        <v>35.76</v>
      </c>
      <c r="Q437" s="100"/>
      <c r="R437" s="101"/>
      <c r="S437" s="90">
        <f>ROUND(ROUND(P437, 2)*I437, 2)</f>
        <v>0</v>
      </c>
    </row>
    <row r="438" spans="1:21" ht="36" x14ac:dyDescent="0.45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121">
        <v>0</v>
      </c>
      <c r="J438" s="126"/>
      <c r="K438" s="138"/>
      <c r="L438" s="114"/>
      <c r="M438" s="117"/>
      <c r="N438" s="114"/>
      <c r="P438" s="105">
        <v>1520.33</v>
      </c>
      <c r="Q438" s="100"/>
      <c r="R438" s="101"/>
      <c r="S438" s="90">
        <f>ROUND(ROUND(P438, 2)*I438, 2)</f>
        <v>0</v>
      </c>
    </row>
    <row r="439" spans="1:21" ht="36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19">
        <v>0</v>
      </c>
      <c r="J439" s="125"/>
      <c r="K439" s="139"/>
      <c r="L439" s="123"/>
      <c r="M439" s="116"/>
      <c r="N439" s="116"/>
      <c r="O439" s="84"/>
      <c r="P439" s="102">
        <f>IFERROR(ROUND(SUM(S440,S441,S442,S443)/I439, 2),0)</f>
        <v>0</v>
      </c>
      <c r="Q439" s="103">
        <v>1477</v>
      </c>
      <c r="R439" s="104">
        <f>P439+ROUND(Q439, 2)</f>
        <v>1477</v>
      </c>
      <c r="S439" s="89">
        <f>ROUND(P439*I439, 2)</f>
        <v>0</v>
      </c>
      <c r="T439" s="14">
        <f>ROUND(I439*ROUND(Q439, 2), 2)</f>
        <v>0</v>
      </c>
      <c r="U439" s="14">
        <f>S439+T439</f>
        <v>0</v>
      </c>
    </row>
    <row r="440" spans="1:21" ht="23.4" x14ac:dyDescent="0.45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121">
        <v>0</v>
      </c>
      <c r="J440" s="126"/>
      <c r="K440" s="138"/>
      <c r="L440" s="114"/>
      <c r="M440" s="117"/>
      <c r="N440" s="114"/>
      <c r="P440" s="105">
        <v>104.57</v>
      </c>
      <c r="Q440" s="100"/>
      <c r="R440" s="101"/>
      <c r="S440" s="90">
        <f>ROUND(ROUND(P440, 2)*I440, 2)</f>
        <v>0</v>
      </c>
    </row>
    <row r="441" spans="1:21" ht="23.4" x14ac:dyDescent="0.45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121">
        <v>0</v>
      </c>
      <c r="J441" s="126"/>
      <c r="K441" s="138"/>
      <c r="L441" s="114"/>
      <c r="M441" s="117"/>
      <c r="N441" s="114"/>
      <c r="P441" s="105">
        <v>44.71</v>
      </c>
      <c r="Q441" s="100"/>
      <c r="R441" s="101"/>
      <c r="S441" s="90">
        <f>ROUND(ROUND(P441, 2)*I441, 2)</f>
        <v>0</v>
      </c>
    </row>
    <row r="442" spans="1:21" ht="23.4" x14ac:dyDescent="0.45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121">
        <v>0</v>
      </c>
      <c r="J442" s="126"/>
      <c r="K442" s="138"/>
      <c r="L442" s="114"/>
      <c r="M442" s="117"/>
      <c r="N442" s="114"/>
      <c r="P442" s="105">
        <v>35.76</v>
      </c>
      <c r="Q442" s="100"/>
      <c r="R442" s="101"/>
      <c r="S442" s="90">
        <f>ROUND(ROUND(P442, 2)*I442, 2)</f>
        <v>0</v>
      </c>
    </row>
    <row r="443" spans="1:21" ht="23.4" x14ac:dyDescent="0.45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121">
        <v>0</v>
      </c>
      <c r="J443" s="126"/>
      <c r="K443" s="138"/>
      <c r="L443" s="114"/>
      <c r="M443" s="117"/>
      <c r="N443" s="114"/>
      <c r="P443" s="105">
        <v>80</v>
      </c>
      <c r="Q443" s="100"/>
      <c r="R443" s="101"/>
      <c r="S443" s="90">
        <f>ROUND(ROUND(P443, 2)*I443, 2)</f>
        <v>0</v>
      </c>
    </row>
    <row r="444" spans="1:21" ht="90" x14ac:dyDescent="0.3">
      <c r="A444" s="10" t="s">
        <v>1750</v>
      </c>
      <c r="B444" s="10" t="s">
        <v>1695</v>
      </c>
      <c r="C444" s="11" t="s">
        <v>1696</v>
      </c>
      <c r="D444" s="12"/>
      <c r="E444" s="12" t="s">
        <v>1700</v>
      </c>
      <c r="F444" s="12" t="s">
        <v>59</v>
      </c>
      <c r="G444" s="13">
        <v>1</v>
      </c>
      <c r="H444" s="13"/>
      <c r="I444" s="119">
        <v>118.4</v>
      </c>
      <c r="J444" s="125"/>
      <c r="K444" s="139"/>
      <c r="L444" s="123"/>
      <c r="M444" s="116"/>
      <c r="N444" s="116"/>
      <c r="O444" s="84"/>
      <c r="P444" s="102">
        <f>IFERROR(ROUND(SUM(S445,S446,S447,S448)/I444, 2),0)</f>
        <v>2032.78</v>
      </c>
      <c r="Q444" s="106">
        <v>2215.5</v>
      </c>
      <c r="R444" s="104">
        <f>P444+ROUND(Q444, 2)</f>
        <v>4248.28</v>
      </c>
      <c r="S444" s="89">
        <f>ROUND(P444*I444, 2)</f>
        <v>240681.15</v>
      </c>
      <c r="T444" s="14">
        <f>ROUND(I444*ROUND(Q444, 2), 2)</f>
        <v>262315.2</v>
      </c>
      <c r="U444" s="14">
        <f>S444+T444</f>
        <v>502996.35</v>
      </c>
    </row>
    <row r="445" spans="1:21" ht="23.4" x14ac:dyDescent="0.45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121">
        <v>123</v>
      </c>
      <c r="J445" s="126"/>
      <c r="K445" s="138"/>
      <c r="L445" s="114"/>
      <c r="M445" s="117"/>
      <c r="N445" s="114"/>
      <c r="P445" s="107">
        <v>80</v>
      </c>
      <c r="Q445" s="100"/>
      <c r="R445" s="101"/>
      <c r="S445" s="90">
        <f>ROUND(ROUND(P445, 2)*I445, 2)</f>
        <v>9840</v>
      </c>
    </row>
    <row r="446" spans="1:21" ht="23.4" x14ac:dyDescent="0.45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121">
        <v>592</v>
      </c>
      <c r="J446" s="126"/>
      <c r="K446" s="138"/>
      <c r="L446" s="114"/>
      <c r="M446" s="117"/>
      <c r="N446" s="114"/>
      <c r="P446" s="107">
        <v>44.71</v>
      </c>
      <c r="Q446" s="100"/>
      <c r="R446" s="101"/>
      <c r="S446" s="90">
        <f>ROUND(ROUND(P446, 2)*I446, 2)</f>
        <v>26468.32</v>
      </c>
    </row>
    <row r="447" spans="1:21" ht="23.4" x14ac:dyDescent="0.45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121">
        <v>178</v>
      </c>
      <c r="J447" s="126"/>
      <c r="K447" s="138"/>
      <c r="L447" s="114"/>
      <c r="M447" s="117"/>
      <c r="N447" s="114"/>
      <c r="P447" s="107">
        <v>35.76</v>
      </c>
      <c r="Q447" s="100"/>
      <c r="R447" s="101"/>
      <c r="S447" s="90">
        <f>ROUND(ROUND(P447, 2)*I447, 2)</f>
        <v>6365.28</v>
      </c>
    </row>
    <row r="448" spans="1:21" ht="36" x14ac:dyDescent="0.45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121">
        <v>130.24</v>
      </c>
      <c r="J448" s="126"/>
      <c r="K448" s="138"/>
      <c r="L448" s="114"/>
      <c r="M448" s="117"/>
      <c r="N448" s="114"/>
      <c r="P448" s="107">
        <v>1520.33</v>
      </c>
      <c r="Q448" s="100"/>
      <c r="R448" s="101"/>
      <c r="S448" s="90">
        <f>ROUND(ROUND(P448, 2)*I448, 2)</f>
        <v>198007.78</v>
      </c>
    </row>
    <row r="449" spans="1:21" ht="162" x14ac:dyDescent="0.3">
      <c r="A449" s="10" t="s">
        <v>1763</v>
      </c>
      <c r="B449" s="10" t="s">
        <v>1695</v>
      </c>
      <c r="C449" s="11" t="s">
        <v>1696</v>
      </c>
      <c r="D449" s="12"/>
      <c r="E449" s="12" t="s">
        <v>1729</v>
      </c>
      <c r="F449" s="12" t="s">
        <v>59</v>
      </c>
      <c r="G449" s="13">
        <v>1</v>
      </c>
      <c r="H449" s="13"/>
      <c r="I449" s="119">
        <v>358.7</v>
      </c>
      <c r="J449" s="125"/>
      <c r="K449" s="139"/>
      <c r="L449" s="123"/>
      <c r="M449" s="116"/>
      <c r="N449" s="116"/>
      <c r="O449" s="84"/>
      <c r="P449" s="102">
        <f>IFERROR(ROUND(SUM(S450,S451,S452,S453)/I449, 2),0)</f>
        <v>475.79</v>
      </c>
      <c r="Q449" s="106">
        <v>2215.5</v>
      </c>
      <c r="R449" s="104">
        <f>P449+ROUND(Q449, 2)</f>
        <v>2691.29</v>
      </c>
      <c r="S449" s="89">
        <f>ROUND(P449*I449, 2)</f>
        <v>170665.87</v>
      </c>
      <c r="T449" s="14">
        <f>ROUND(I449*ROUND(Q449, 2), 2)</f>
        <v>794699.85</v>
      </c>
      <c r="U449" s="14">
        <f>S449+T449</f>
        <v>965365.72</v>
      </c>
    </row>
    <row r="450" spans="1:21" ht="23.4" x14ac:dyDescent="0.45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121">
        <v>394.57</v>
      </c>
      <c r="J450" s="126"/>
      <c r="K450" s="138"/>
      <c r="L450" s="114"/>
      <c r="M450" s="117"/>
      <c r="N450" s="114"/>
      <c r="P450" s="107">
        <v>104.57</v>
      </c>
      <c r="Q450" s="100"/>
      <c r="R450" s="101"/>
      <c r="S450" s="90">
        <f>ROUND(ROUND(P450, 2)*I450, 2)</f>
        <v>41260.18</v>
      </c>
    </row>
    <row r="451" spans="1:21" ht="23.4" x14ac:dyDescent="0.45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121">
        <v>1794</v>
      </c>
      <c r="J451" s="126"/>
      <c r="K451" s="138"/>
      <c r="L451" s="114"/>
      <c r="M451" s="117"/>
      <c r="N451" s="114"/>
      <c r="P451" s="107">
        <v>44.71</v>
      </c>
      <c r="Q451" s="100"/>
      <c r="R451" s="101"/>
      <c r="S451" s="90">
        <f>ROUND(ROUND(P451, 2)*I451, 2)</f>
        <v>80209.740000000005</v>
      </c>
    </row>
    <row r="452" spans="1:21" ht="23.4" x14ac:dyDescent="0.45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121">
        <v>539</v>
      </c>
      <c r="J452" s="126"/>
      <c r="K452" s="138"/>
      <c r="L452" s="114"/>
      <c r="M452" s="117"/>
      <c r="N452" s="114"/>
      <c r="P452" s="107">
        <v>35.76</v>
      </c>
      <c r="Q452" s="100"/>
      <c r="R452" s="101"/>
      <c r="S452" s="90">
        <f>ROUND(ROUND(P452, 2)*I452, 2)</f>
        <v>19274.64</v>
      </c>
    </row>
    <row r="453" spans="1:21" ht="23.4" x14ac:dyDescent="0.45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121">
        <v>374</v>
      </c>
      <c r="J453" s="126"/>
      <c r="K453" s="138"/>
      <c r="L453" s="114"/>
      <c r="M453" s="117"/>
      <c r="N453" s="114"/>
      <c r="P453" s="107">
        <v>80</v>
      </c>
      <c r="Q453" s="100"/>
      <c r="R453" s="101"/>
      <c r="S453" s="90">
        <f>ROUND(ROUND(P453, 2)*I453, 2)</f>
        <v>29920</v>
      </c>
    </row>
    <row r="454" spans="1:21" ht="16.95" customHeight="1" x14ac:dyDescent="0.45">
      <c r="A454" s="10" t="s">
        <v>1776</v>
      </c>
      <c r="B454" s="10" t="s">
        <v>1777</v>
      </c>
      <c r="C454" s="153" t="s">
        <v>1778</v>
      </c>
      <c r="D454" s="154"/>
      <c r="E454" s="154"/>
      <c r="F454" s="154"/>
      <c r="G454" s="154"/>
      <c r="H454" s="154"/>
      <c r="I454" s="154"/>
      <c r="J454" s="124"/>
      <c r="K454" s="138"/>
      <c r="L454" s="114"/>
      <c r="M454" s="115"/>
      <c r="N454" s="115"/>
      <c r="O454" s="83"/>
      <c r="P454" s="99"/>
      <c r="Q454" s="100"/>
      <c r="R454" s="101"/>
      <c r="S454" s="88">
        <f>SUM(S455,S468)</f>
        <v>1160733.4500000002</v>
      </c>
      <c r="T454" s="6">
        <f>SUM(T455,T468)</f>
        <v>9230167.6500000004</v>
      </c>
      <c r="U454" s="6">
        <f>SUM(U455,U468)</f>
        <v>10390901.1</v>
      </c>
    </row>
    <row r="455" spans="1:21" ht="16.95" customHeight="1" x14ac:dyDescent="0.45">
      <c r="A455" s="10" t="s">
        <v>1779</v>
      </c>
      <c r="B455" s="10" t="s">
        <v>1780</v>
      </c>
      <c r="C455" s="153" t="s">
        <v>1781</v>
      </c>
      <c r="D455" s="154"/>
      <c r="E455" s="154"/>
      <c r="F455" s="154"/>
      <c r="G455" s="154"/>
      <c r="H455" s="154"/>
      <c r="I455" s="154"/>
      <c r="J455" s="124"/>
      <c r="K455" s="138"/>
      <c r="L455" s="114"/>
      <c r="M455" s="115"/>
      <c r="N455" s="115"/>
      <c r="O455" s="83"/>
      <c r="P455" s="99"/>
      <c r="Q455" s="100"/>
      <c r="R455" s="101"/>
      <c r="S455" s="88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</row>
    <row r="456" spans="1:21" ht="36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19">
        <v>0</v>
      </c>
      <c r="J456" s="125"/>
      <c r="K456" s="139"/>
      <c r="L456" s="123"/>
      <c r="M456" s="116"/>
      <c r="N456" s="116"/>
      <c r="O456" s="84"/>
      <c r="P456" s="102">
        <f>IFERROR(ROUND(SUM(S457,S458)/I456, 2),0)</f>
        <v>0</v>
      </c>
      <c r="Q456" s="103">
        <v>790</v>
      </c>
      <c r="R456" s="104">
        <f>P456+ROUND(Q456, 2)</f>
        <v>790</v>
      </c>
      <c r="S456" s="89">
        <f>ROUND(P456*I456, 2)</f>
        <v>0</v>
      </c>
      <c r="T456" s="14">
        <f>ROUND(I456*ROUND(Q456, 2), 2)</f>
        <v>0</v>
      </c>
      <c r="U456" s="14">
        <f>S456+T456</f>
        <v>0</v>
      </c>
    </row>
    <row r="457" spans="1:21" ht="36" x14ac:dyDescent="0.45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120">
        <v>0</v>
      </c>
      <c r="J457" s="126"/>
      <c r="K457" s="138"/>
      <c r="L457" s="114"/>
      <c r="M457" s="117"/>
      <c r="N457" s="114"/>
      <c r="P457" s="105">
        <v>12.7</v>
      </c>
      <c r="Q457" s="100"/>
      <c r="R457" s="101"/>
      <c r="S457" s="90">
        <f>ROUND(ROUND(P457, 2)*I457, 2)</f>
        <v>0</v>
      </c>
    </row>
    <row r="458" spans="1:21" ht="36" x14ac:dyDescent="0.45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120">
        <v>0</v>
      </c>
      <c r="J458" s="126"/>
      <c r="K458" s="138"/>
      <c r="L458" s="114"/>
      <c r="M458" s="117"/>
      <c r="N458" s="114"/>
      <c r="P458" s="105">
        <v>88.8</v>
      </c>
      <c r="Q458" s="100"/>
      <c r="R458" s="101"/>
      <c r="S458" s="90">
        <f>ROUND(ROUND(P458, 2)*I458, 2)</f>
        <v>0</v>
      </c>
    </row>
    <row r="459" spans="1:21" ht="54" x14ac:dyDescent="0.3">
      <c r="A459" s="80" t="s">
        <v>1801</v>
      </c>
      <c r="B459" s="80" t="s">
        <v>1783</v>
      </c>
      <c r="C459" s="147" t="s">
        <v>1784</v>
      </c>
      <c r="D459" s="148"/>
      <c r="E459" s="148" t="s">
        <v>1788</v>
      </c>
      <c r="F459" s="148" t="s">
        <v>59</v>
      </c>
      <c r="G459" s="149">
        <v>1</v>
      </c>
      <c r="H459" s="149"/>
      <c r="I459" s="151">
        <v>3898.4</v>
      </c>
      <c r="J459" s="143">
        <v>3898.4</v>
      </c>
      <c r="K459" s="144">
        <f>J459*R459</f>
        <v>4883291.7760000005</v>
      </c>
      <c r="L459" s="123"/>
      <c r="M459" s="116"/>
      <c r="N459" s="116"/>
      <c r="O459" s="84"/>
      <c r="P459" s="102">
        <f>IFERROR(ROUND(SUM(S460,S461)/I459, 2),0)</f>
        <v>67.64</v>
      </c>
      <c r="Q459" s="106">
        <v>1185</v>
      </c>
      <c r="R459" s="104">
        <f>P459+ROUND(Q459, 2)</f>
        <v>1252.6400000000001</v>
      </c>
      <c r="S459" s="89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</row>
    <row r="460" spans="1:21" ht="36" x14ac:dyDescent="0.45">
      <c r="A460" s="10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120">
        <v>584.76</v>
      </c>
      <c r="J460" s="126"/>
      <c r="K460" s="138"/>
      <c r="L460" s="114"/>
      <c r="M460" s="117"/>
      <c r="N460" s="114"/>
      <c r="P460" s="107">
        <v>88.8</v>
      </c>
      <c r="Q460" s="100"/>
      <c r="R460" s="101"/>
      <c r="S460" s="90">
        <f>ROUND(ROUND(P460, 2)*I460, 2)</f>
        <v>51926.69</v>
      </c>
    </row>
    <row r="461" spans="1:21" ht="36" x14ac:dyDescent="0.45">
      <c r="A461" s="10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120">
        <v>17542.8</v>
      </c>
      <c r="J461" s="126"/>
      <c r="K461" s="138"/>
      <c r="L461" s="114"/>
      <c r="M461" s="117"/>
      <c r="N461" s="114"/>
      <c r="P461" s="107">
        <v>12.07</v>
      </c>
      <c r="Q461" s="100"/>
      <c r="R461" s="101"/>
      <c r="S461" s="90">
        <f>ROUND(ROUND(P461, 2)*I461, 2)</f>
        <v>211741.6</v>
      </c>
    </row>
    <row r="462" spans="1:21" ht="36" x14ac:dyDescent="0.3">
      <c r="A462" s="10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19">
        <v>0</v>
      </c>
      <c r="J462" s="125"/>
      <c r="K462" s="139"/>
      <c r="L462" s="123"/>
      <c r="M462" s="116"/>
      <c r="N462" s="116"/>
      <c r="O462" s="84"/>
      <c r="P462" s="102">
        <f>IFERROR(ROUND(SUM(S463,S464)/I462, 2),0)</f>
        <v>0</v>
      </c>
      <c r="Q462" s="103">
        <v>639</v>
      </c>
      <c r="R462" s="104">
        <f>P462+ROUND(Q462, 2)</f>
        <v>639</v>
      </c>
      <c r="S462" s="89">
        <f>ROUND(P462*I462, 2)</f>
        <v>0</v>
      </c>
      <c r="T462" s="14">
        <f>ROUND(I462*ROUND(Q462, 2), 2)</f>
        <v>0</v>
      </c>
      <c r="U462" s="14">
        <f>S462+T462</f>
        <v>0</v>
      </c>
    </row>
    <row r="463" spans="1:21" ht="36" x14ac:dyDescent="0.45">
      <c r="A463" s="10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120">
        <v>0</v>
      </c>
      <c r="J463" s="126"/>
      <c r="K463" s="138"/>
      <c r="L463" s="114"/>
      <c r="M463" s="117"/>
      <c r="N463" s="114"/>
      <c r="P463" s="105">
        <v>12.7</v>
      </c>
      <c r="Q463" s="100"/>
      <c r="R463" s="101"/>
      <c r="S463" s="90">
        <f>ROUND(ROUND(P463, 2)*I463, 2)</f>
        <v>0</v>
      </c>
    </row>
    <row r="464" spans="1:21" ht="36" x14ac:dyDescent="0.45">
      <c r="A464" s="10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120">
        <v>0</v>
      </c>
      <c r="J464" s="126"/>
      <c r="K464" s="138"/>
      <c r="L464" s="114"/>
      <c r="M464" s="117"/>
      <c r="N464" s="114"/>
      <c r="P464" s="105">
        <v>88.8</v>
      </c>
      <c r="Q464" s="100"/>
      <c r="R464" s="101"/>
      <c r="S464" s="90">
        <f>ROUND(ROUND(P464, 2)*I464, 2)</f>
        <v>0</v>
      </c>
    </row>
    <row r="465" spans="1:21" ht="51" customHeight="1" x14ac:dyDescent="0.3">
      <c r="A465" s="80" t="s">
        <v>1825</v>
      </c>
      <c r="B465" s="80" t="s">
        <v>1809</v>
      </c>
      <c r="C465" s="147" t="s">
        <v>1810</v>
      </c>
      <c r="D465" s="148"/>
      <c r="E465" s="148" t="s">
        <v>1814</v>
      </c>
      <c r="F465" s="148" t="s">
        <v>59</v>
      </c>
      <c r="G465" s="149">
        <v>1</v>
      </c>
      <c r="H465" s="149"/>
      <c r="I465" s="151">
        <v>921.3</v>
      </c>
      <c r="J465" s="143">
        <v>921.3</v>
      </c>
      <c r="K465" s="144">
        <f>J465*R465</f>
        <v>912022.50899999996</v>
      </c>
      <c r="L465" s="123"/>
      <c r="M465" s="116"/>
      <c r="N465" s="116"/>
      <c r="O465" s="84"/>
      <c r="P465" s="102">
        <f>IFERROR(ROUND(SUM(S466,S467)/I465, 2),0)</f>
        <v>31.43</v>
      </c>
      <c r="Q465" s="106">
        <v>958.5</v>
      </c>
      <c r="R465" s="104">
        <f>P465+ROUND(Q465, 2)</f>
        <v>989.93</v>
      </c>
      <c r="S465" s="89">
        <f>ROUND(P465*I465, 2)</f>
        <v>28956.46</v>
      </c>
      <c r="T465" s="14">
        <f>ROUND(I465*ROUND(Q465, 2), 2)</f>
        <v>883066.05</v>
      </c>
      <c r="U465" s="14">
        <f>S465+T465</f>
        <v>912022.51</v>
      </c>
    </row>
    <row r="466" spans="1:21" ht="36" x14ac:dyDescent="0.45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120">
        <v>138.19499999999999</v>
      </c>
      <c r="J466" s="126"/>
      <c r="K466" s="138"/>
      <c r="L466" s="114"/>
      <c r="M466" s="117"/>
      <c r="N466" s="114"/>
      <c r="P466" s="107">
        <v>88.8</v>
      </c>
      <c r="Q466" s="100"/>
      <c r="R466" s="101"/>
      <c r="S466" s="90">
        <f>ROUND(ROUND(P466, 2)*I466, 2)</f>
        <v>12271.72</v>
      </c>
    </row>
    <row r="467" spans="1:21" ht="36" x14ac:dyDescent="0.45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120">
        <v>1381.95</v>
      </c>
      <c r="J467" s="126"/>
      <c r="K467" s="138"/>
      <c r="L467" s="114"/>
      <c r="M467" s="117"/>
      <c r="N467" s="114"/>
      <c r="P467" s="107">
        <v>12.07</v>
      </c>
      <c r="Q467" s="100"/>
      <c r="R467" s="101"/>
      <c r="S467" s="90">
        <f>ROUND(ROUND(P467, 2)*I467, 2)</f>
        <v>16680.14</v>
      </c>
    </row>
    <row r="468" spans="1:21" ht="16.95" customHeight="1" x14ac:dyDescent="0.45">
      <c r="A468" s="10" t="s">
        <v>1832</v>
      </c>
      <c r="B468" s="10" t="s">
        <v>1833</v>
      </c>
      <c r="C468" s="153" t="s">
        <v>1834</v>
      </c>
      <c r="D468" s="154"/>
      <c r="E468" s="154"/>
      <c r="F468" s="154"/>
      <c r="G468" s="154"/>
      <c r="H468" s="154"/>
      <c r="I468" s="154"/>
      <c r="J468" s="124"/>
      <c r="K468" s="138"/>
      <c r="L468" s="114"/>
      <c r="M468" s="115"/>
      <c r="N468" s="115"/>
      <c r="O468" s="83"/>
      <c r="P468" s="99"/>
      <c r="Q468" s="100"/>
      <c r="R468" s="101"/>
      <c r="S468" s="88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</row>
    <row r="469" spans="1:21" ht="36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19">
        <v>0</v>
      </c>
      <c r="J469" s="125"/>
      <c r="K469" s="139"/>
      <c r="L469" s="123"/>
      <c r="M469" s="116"/>
      <c r="N469" s="116"/>
      <c r="O469" s="84"/>
      <c r="P469" s="102">
        <f>IFERROR(ROUND(SUM(S470,S471)/I469, 2),0)</f>
        <v>0</v>
      </c>
      <c r="Q469" s="103">
        <v>464</v>
      </c>
      <c r="R469" s="104">
        <f>P469+ROUND(Q469, 2)</f>
        <v>464</v>
      </c>
      <c r="S469" s="89">
        <f>ROUND(P469*I469, 2)</f>
        <v>0</v>
      </c>
      <c r="T469" s="14">
        <f>ROUND(I469*ROUND(Q469, 2), 2)</f>
        <v>0</v>
      </c>
      <c r="U469" s="14">
        <f>S469+T469</f>
        <v>0</v>
      </c>
    </row>
    <row r="470" spans="1:21" ht="72" x14ac:dyDescent="0.45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120">
        <v>0</v>
      </c>
      <c r="J470" s="126"/>
      <c r="K470" s="138"/>
      <c r="L470" s="114"/>
      <c r="M470" s="117"/>
      <c r="N470" s="114"/>
      <c r="P470" s="105">
        <v>495.9</v>
      </c>
      <c r="Q470" s="100"/>
      <c r="R470" s="101"/>
      <c r="S470" s="90">
        <f>ROUND(ROUND(P470, 2)*I470, 2)</f>
        <v>0</v>
      </c>
    </row>
    <row r="471" spans="1:21" ht="36" x14ac:dyDescent="0.45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120">
        <v>0</v>
      </c>
      <c r="J471" s="126"/>
      <c r="K471" s="138"/>
      <c r="L471" s="114"/>
      <c r="M471" s="117"/>
      <c r="N471" s="114"/>
      <c r="P471" s="105">
        <v>88.8</v>
      </c>
      <c r="Q471" s="100"/>
      <c r="R471" s="101"/>
      <c r="S471" s="90">
        <f>ROUND(ROUND(P471, 2)*I471, 2)</f>
        <v>0</v>
      </c>
    </row>
    <row r="472" spans="1:21" ht="36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19">
        <v>0</v>
      </c>
      <c r="J472" s="125"/>
      <c r="K472" s="139"/>
      <c r="L472" s="123"/>
      <c r="M472" s="116"/>
      <c r="N472" s="116"/>
      <c r="O472" s="84"/>
      <c r="P472" s="102">
        <f>IFERROR(ROUND(SUM(S473,S474)/I472, 2),0)</f>
        <v>0</v>
      </c>
      <c r="Q472" s="103">
        <v>464</v>
      </c>
      <c r="R472" s="104">
        <f>P472+ROUND(Q472, 2)</f>
        <v>464</v>
      </c>
      <c r="S472" s="89">
        <f>ROUND(P472*I472, 2)</f>
        <v>0</v>
      </c>
      <c r="T472" s="14">
        <f>ROUND(I472*ROUND(Q472, 2), 2)</f>
        <v>0</v>
      </c>
      <c r="U472" s="14">
        <f>S472+T472</f>
        <v>0</v>
      </c>
    </row>
    <row r="473" spans="1:21" ht="36" x14ac:dyDescent="0.45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120">
        <v>0</v>
      </c>
      <c r="J473" s="126"/>
      <c r="K473" s="138"/>
      <c r="L473" s="114"/>
      <c r="M473" s="117"/>
      <c r="N473" s="114"/>
      <c r="P473" s="105">
        <v>88.8</v>
      </c>
      <c r="Q473" s="100"/>
      <c r="R473" s="101"/>
      <c r="S473" s="90">
        <f>ROUND(ROUND(P473, 2)*I473, 2)</f>
        <v>0</v>
      </c>
    </row>
    <row r="474" spans="1:21" ht="36" x14ac:dyDescent="0.45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120">
        <v>0</v>
      </c>
      <c r="J474" s="126"/>
      <c r="K474" s="138"/>
      <c r="L474" s="114"/>
      <c r="M474" s="117"/>
      <c r="N474" s="114"/>
      <c r="P474" s="105">
        <v>495.9</v>
      </c>
      <c r="Q474" s="100"/>
      <c r="R474" s="101"/>
      <c r="S474" s="90">
        <f>ROUND(ROUND(P474, 2)*I474, 2)</f>
        <v>0</v>
      </c>
    </row>
    <row r="475" spans="1:21" ht="36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19">
        <v>0</v>
      </c>
      <c r="J475" s="125"/>
      <c r="K475" s="139"/>
      <c r="L475" s="123"/>
      <c r="M475" s="116"/>
      <c r="N475" s="116"/>
      <c r="O475" s="84"/>
      <c r="P475" s="102">
        <f>IFERROR(ROUND(SUM(S476,S477)/I475, 2),0)</f>
        <v>0</v>
      </c>
      <c r="Q475" s="103">
        <v>464</v>
      </c>
      <c r="R475" s="104">
        <f>P475+ROUND(Q475, 2)</f>
        <v>464</v>
      </c>
      <c r="S475" s="89">
        <f>ROUND(P475*I475, 2)</f>
        <v>0</v>
      </c>
      <c r="T475" s="14">
        <f>ROUND(I475*ROUND(Q475, 2), 2)</f>
        <v>0</v>
      </c>
      <c r="U475" s="14">
        <f>S475+T475</f>
        <v>0</v>
      </c>
    </row>
    <row r="476" spans="1:21" ht="36" x14ac:dyDescent="0.45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120">
        <v>0</v>
      </c>
      <c r="J476" s="126"/>
      <c r="K476" s="138"/>
      <c r="L476" s="114"/>
      <c r="M476" s="117"/>
      <c r="N476" s="114"/>
      <c r="P476" s="105">
        <v>495.9</v>
      </c>
      <c r="Q476" s="100"/>
      <c r="R476" s="101"/>
      <c r="S476" s="90">
        <f>ROUND(ROUND(P476, 2)*I476, 2)</f>
        <v>0</v>
      </c>
    </row>
    <row r="477" spans="1:21" ht="36" x14ac:dyDescent="0.45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120">
        <v>0</v>
      </c>
      <c r="J477" s="126"/>
      <c r="K477" s="138"/>
      <c r="L477" s="114"/>
      <c r="M477" s="117"/>
      <c r="N477" s="114"/>
      <c r="P477" s="105">
        <v>88.8</v>
      </c>
      <c r="Q477" s="100"/>
      <c r="R477" s="101"/>
      <c r="S477" s="90">
        <f>ROUND(ROUND(P477, 2)*I477, 2)</f>
        <v>0</v>
      </c>
    </row>
    <row r="478" spans="1:21" ht="36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19">
        <v>0</v>
      </c>
      <c r="J478" s="125"/>
      <c r="K478" s="139"/>
      <c r="L478" s="123"/>
      <c r="M478" s="116"/>
      <c r="N478" s="116"/>
      <c r="O478" s="84"/>
      <c r="P478" s="102">
        <f>IFERROR(ROUND(SUM(S479,S480)/I478, 2),0)</f>
        <v>0</v>
      </c>
      <c r="Q478" s="103">
        <v>464</v>
      </c>
      <c r="R478" s="104">
        <f>P478+ROUND(Q478, 2)</f>
        <v>464</v>
      </c>
      <c r="S478" s="89">
        <f>ROUND(P478*I478, 2)</f>
        <v>0</v>
      </c>
      <c r="T478" s="14">
        <f>ROUND(I478*ROUND(Q478, 2), 2)</f>
        <v>0</v>
      </c>
      <c r="U478" s="14">
        <f>S478+T478</f>
        <v>0</v>
      </c>
    </row>
    <row r="479" spans="1:21" ht="36" x14ac:dyDescent="0.45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120">
        <v>0</v>
      </c>
      <c r="J479" s="126"/>
      <c r="K479" s="138"/>
      <c r="L479" s="114"/>
      <c r="M479" s="117"/>
      <c r="N479" s="114"/>
      <c r="P479" s="105">
        <v>88.8</v>
      </c>
      <c r="Q479" s="100"/>
      <c r="R479" s="101"/>
      <c r="S479" s="90">
        <f>ROUND(ROUND(P479, 2)*I479, 2)</f>
        <v>0</v>
      </c>
    </row>
    <row r="480" spans="1:21" ht="36" x14ac:dyDescent="0.45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120">
        <v>0</v>
      </c>
      <c r="J480" s="126"/>
      <c r="K480" s="138"/>
      <c r="L480" s="114"/>
      <c r="M480" s="117"/>
      <c r="N480" s="114"/>
      <c r="P480" s="105">
        <v>495.9</v>
      </c>
      <c r="Q480" s="100"/>
      <c r="R480" s="101"/>
      <c r="S480" s="90">
        <f>ROUND(ROUND(P480, 2)*I480, 2)</f>
        <v>0</v>
      </c>
    </row>
    <row r="481" spans="1:21" ht="109.2" customHeight="1" x14ac:dyDescent="0.3">
      <c r="A481" s="80" t="s">
        <v>1894</v>
      </c>
      <c r="B481" s="80" t="s">
        <v>1836</v>
      </c>
      <c r="C481" s="147" t="s">
        <v>1837</v>
      </c>
      <c r="D481" s="148"/>
      <c r="E481" s="148" t="s">
        <v>1841</v>
      </c>
      <c r="F481" s="148" t="s">
        <v>59</v>
      </c>
      <c r="G481" s="149">
        <v>1</v>
      </c>
      <c r="H481" s="149"/>
      <c r="I481" s="151">
        <v>3898.4</v>
      </c>
      <c r="J481" s="143">
        <v>3898.4</v>
      </c>
      <c r="K481" s="144">
        <f>J481*R481</f>
        <v>3345178.0560000003</v>
      </c>
      <c r="L481" s="123"/>
      <c r="M481" s="116"/>
      <c r="N481" s="116"/>
      <c r="O481" s="84"/>
      <c r="P481" s="102">
        <f>IFERROR(ROUND(SUM(S482,S483)/I481, 2),0)</f>
        <v>162.09</v>
      </c>
      <c r="Q481" s="106">
        <v>696</v>
      </c>
      <c r="R481" s="104">
        <f>P481+ROUND(Q481, 2)</f>
        <v>858.09</v>
      </c>
      <c r="S481" s="89">
        <f>ROUND(P481*I481, 2)</f>
        <v>631891.66</v>
      </c>
      <c r="T481" s="14">
        <f>ROUND(I481*ROUND(Q481, 2), 2)</f>
        <v>2713286.4</v>
      </c>
      <c r="U481" s="14">
        <f>S481+T481</f>
        <v>3345178.06</v>
      </c>
    </row>
    <row r="482" spans="1:21" ht="36" x14ac:dyDescent="0.45">
      <c r="A482" s="10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120">
        <v>1169.52</v>
      </c>
      <c r="J482" s="126"/>
      <c r="K482" s="138"/>
      <c r="L482" s="114"/>
      <c r="M482" s="117"/>
      <c r="N482" s="114"/>
      <c r="P482" s="107">
        <v>495.9</v>
      </c>
      <c r="Q482" s="100"/>
      <c r="R482" s="101"/>
      <c r="S482" s="90">
        <f>ROUND(ROUND(P482, 2)*I482, 2)</f>
        <v>579964.97</v>
      </c>
    </row>
    <row r="483" spans="1:21" ht="36" x14ac:dyDescent="0.45">
      <c r="A483" s="10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120">
        <v>584.76</v>
      </c>
      <c r="J483" s="126"/>
      <c r="K483" s="138"/>
      <c r="L483" s="114"/>
      <c r="M483" s="117"/>
      <c r="N483" s="114"/>
      <c r="P483" s="107">
        <v>88.8</v>
      </c>
      <c r="Q483" s="100"/>
      <c r="R483" s="101"/>
      <c r="S483" s="90">
        <f>ROUND(ROUND(P483, 2)*I483, 2)</f>
        <v>51926.69</v>
      </c>
    </row>
    <row r="484" spans="1:21" ht="66" customHeight="1" x14ac:dyDescent="0.3">
      <c r="A484" s="80" t="s">
        <v>1901</v>
      </c>
      <c r="B484" s="80" t="s">
        <v>1836</v>
      </c>
      <c r="C484" s="147" t="s">
        <v>1837</v>
      </c>
      <c r="D484" s="148"/>
      <c r="E484" s="148" t="s">
        <v>1855</v>
      </c>
      <c r="F484" s="148" t="s">
        <v>59</v>
      </c>
      <c r="G484" s="149">
        <v>1</v>
      </c>
      <c r="H484" s="149"/>
      <c r="I484" s="151">
        <v>921.3</v>
      </c>
      <c r="J484" s="143">
        <v>921.3</v>
      </c>
      <c r="K484" s="144">
        <f>J484*R484</f>
        <v>790558.31700000004</v>
      </c>
      <c r="L484" s="123"/>
      <c r="M484" s="116"/>
      <c r="N484" s="116"/>
      <c r="O484" s="84"/>
      <c r="P484" s="102">
        <f>IFERROR(ROUND(SUM(S485,S486)/I484, 2),0)</f>
        <v>162.09</v>
      </c>
      <c r="Q484" s="106">
        <v>696</v>
      </c>
      <c r="R484" s="104">
        <f>P484+ROUND(Q484, 2)</f>
        <v>858.09</v>
      </c>
      <c r="S484" s="89">
        <f>ROUND(P484*I484, 2)</f>
        <v>149333.51999999999</v>
      </c>
      <c r="T484" s="14">
        <f>ROUND(I484*ROUND(Q484, 2), 2)</f>
        <v>641224.80000000005</v>
      </c>
      <c r="U484" s="14">
        <f>S484+T484</f>
        <v>790558.32000000007</v>
      </c>
    </row>
    <row r="485" spans="1:21" ht="36" x14ac:dyDescent="0.45">
      <c r="A485" s="10" t="s">
        <v>1902</v>
      </c>
      <c r="B485" s="10"/>
      <c r="C485" s="28" t="s">
        <v>682</v>
      </c>
      <c r="D485" s="12"/>
      <c r="E485" s="12"/>
      <c r="F485" s="29" t="s">
        <v>265</v>
      </c>
      <c r="G485" s="30">
        <v>0.15</v>
      </c>
      <c r="H485" s="30"/>
      <c r="I485" s="120">
        <v>138.19499999999999</v>
      </c>
      <c r="J485" s="126"/>
      <c r="K485" s="138"/>
      <c r="L485" s="114"/>
      <c r="M485" s="117"/>
      <c r="N485" s="114"/>
      <c r="P485" s="107">
        <v>88.8</v>
      </c>
      <c r="Q485" s="100"/>
      <c r="R485" s="101"/>
      <c r="S485" s="90">
        <f>ROUND(ROUND(P485, 2)*I485, 2)</f>
        <v>12271.72</v>
      </c>
    </row>
    <row r="486" spans="1:21" ht="36" x14ac:dyDescent="0.45">
      <c r="A486" s="10" t="s">
        <v>1905</v>
      </c>
      <c r="B486" s="10"/>
      <c r="C486" s="28" t="s">
        <v>1242</v>
      </c>
      <c r="D486" s="12"/>
      <c r="E486" s="12"/>
      <c r="F486" s="29" t="s">
        <v>265</v>
      </c>
      <c r="G486" s="30">
        <v>0.3</v>
      </c>
      <c r="H486" s="30"/>
      <c r="I486" s="120">
        <v>276.39</v>
      </c>
      <c r="J486" s="126"/>
      <c r="K486" s="138"/>
      <c r="L486" s="114"/>
      <c r="M486" s="117"/>
      <c r="N486" s="114"/>
      <c r="P486" s="107">
        <v>495.9</v>
      </c>
      <c r="Q486" s="100"/>
      <c r="R486" s="101"/>
      <c r="S486" s="90">
        <f>ROUND(ROUND(P486, 2)*I486, 2)</f>
        <v>137061.79999999999</v>
      </c>
    </row>
    <row r="487" spans="1:21" ht="36" x14ac:dyDescent="0.3">
      <c r="A487" s="10" t="s">
        <v>1908</v>
      </c>
      <c r="B487" s="10" t="s">
        <v>1836</v>
      </c>
      <c r="C487" s="11" t="s">
        <v>1837</v>
      </c>
      <c r="D487" s="12"/>
      <c r="E487" s="12"/>
      <c r="F487" s="12" t="s">
        <v>59</v>
      </c>
      <c r="G487" s="13">
        <v>1</v>
      </c>
      <c r="H487" s="13"/>
      <c r="I487" s="119">
        <v>0</v>
      </c>
      <c r="J487" s="125"/>
      <c r="K487" s="139"/>
      <c r="L487" s="123"/>
      <c r="M487" s="116"/>
      <c r="N487" s="116"/>
      <c r="O487" s="84"/>
      <c r="P487" s="102">
        <f>IFERROR(ROUND(SUM(S488,S489)/I487, 2),0)</f>
        <v>0</v>
      </c>
      <c r="Q487" s="106">
        <v>696</v>
      </c>
      <c r="R487" s="104">
        <f>P487+ROUND(Q487, 2)</f>
        <v>696</v>
      </c>
      <c r="S487" s="89">
        <f>ROUND(P487*I487, 2)</f>
        <v>0</v>
      </c>
      <c r="T487" s="14">
        <f>ROUND(I487*ROUND(Q487, 2), 2)</f>
        <v>0</v>
      </c>
      <c r="U487" s="14">
        <f>S487+T487</f>
        <v>0</v>
      </c>
    </row>
    <row r="488" spans="1:21" ht="36" x14ac:dyDescent="0.45">
      <c r="A488" s="10" t="s">
        <v>1909</v>
      </c>
      <c r="B488" s="10"/>
      <c r="C488" s="28" t="s">
        <v>1242</v>
      </c>
      <c r="D488" s="12"/>
      <c r="E488" s="12"/>
      <c r="F488" s="29" t="s">
        <v>265</v>
      </c>
      <c r="G488" s="30">
        <v>0.3</v>
      </c>
      <c r="H488" s="30"/>
      <c r="I488" s="120">
        <v>0</v>
      </c>
      <c r="J488" s="126"/>
      <c r="K488" s="138"/>
      <c r="L488" s="114"/>
      <c r="M488" s="117"/>
      <c r="N488" s="114"/>
      <c r="P488" s="107">
        <v>495.9</v>
      </c>
      <c r="Q488" s="100"/>
      <c r="R488" s="101"/>
      <c r="S488" s="90">
        <f>ROUND(ROUND(P488, 2)*I488, 2)</f>
        <v>0</v>
      </c>
    </row>
    <row r="489" spans="1:21" ht="36" x14ac:dyDescent="0.45">
      <c r="A489" s="10" t="s">
        <v>1912</v>
      </c>
      <c r="B489" s="10"/>
      <c r="C489" s="28" t="s">
        <v>682</v>
      </c>
      <c r="D489" s="12"/>
      <c r="E489" s="12"/>
      <c r="F489" s="29" t="s">
        <v>265</v>
      </c>
      <c r="G489" s="30">
        <v>0.15</v>
      </c>
      <c r="H489" s="30"/>
      <c r="I489" s="120">
        <v>0</v>
      </c>
      <c r="J489" s="126"/>
      <c r="K489" s="138"/>
      <c r="L489" s="114"/>
      <c r="M489" s="117"/>
      <c r="N489" s="114"/>
      <c r="P489" s="107">
        <v>88.8</v>
      </c>
      <c r="Q489" s="100"/>
      <c r="R489" s="101"/>
      <c r="S489" s="90">
        <f>ROUND(ROUND(P489, 2)*I489, 2)</f>
        <v>0</v>
      </c>
    </row>
    <row r="490" spans="1:21" ht="115.8" customHeight="1" x14ac:dyDescent="0.3">
      <c r="A490" s="80" t="s">
        <v>1915</v>
      </c>
      <c r="B490" s="80" t="s">
        <v>1836</v>
      </c>
      <c r="C490" s="147" t="s">
        <v>1837</v>
      </c>
      <c r="D490" s="148"/>
      <c r="E490" s="148" t="s">
        <v>1868</v>
      </c>
      <c r="F490" s="148" t="s">
        <v>59</v>
      </c>
      <c r="G490" s="149">
        <v>1</v>
      </c>
      <c r="H490" s="149"/>
      <c r="I490" s="151">
        <v>272.2</v>
      </c>
      <c r="J490" s="143">
        <v>272.2</v>
      </c>
      <c r="K490" s="144">
        <f>J490*R490</f>
        <v>233572.098</v>
      </c>
      <c r="L490" s="123"/>
      <c r="M490" s="116"/>
      <c r="N490" s="116"/>
      <c r="O490" s="84"/>
      <c r="P490" s="102">
        <f>IFERROR(ROUND(SUM(S491,S492)/I490, 2),0)</f>
        <v>162.09</v>
      </c>
      <c r="Q490" s="106">
        <v>696</v>
      </c>
      <c r="R490" s="104">
        <f>P490+ROUND(Q490, 2)</f>
        <v>858.09</v>
      </c>
      <c r="S490" s="89">
        <f>ROUND(P490*I490, 2)</f>
        <v>44120.9</v>
      </c>
      <c r="T490" s="14">
        <f>ROUND(I490*ROUND(Q490, 2), 2)</f>
        <v>189451.2</v>
      </c>
      <c r="U490" s="14">
        <f>S490+T490</f>
        <v>233572.1</v>
      </c>
    </row>
    <row r="491" spans="1:21" ht="36" x14ac:dyDescent="0.45">
      <c r="A491" s="10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120">
        <v>40.83</v>
      </c>
      <c r="J491" s="126"/>
      <c r="K491" s="138"/>
      <c r="L491" s="114"/>
      <c r="M491" s="117"/>
      <c r="N491" s="114"/>
      <c r="P491" s="107">
        <v>88.8</v>
      </c>
      <c r="Q491" s="100"/>
      <c r="R491" s="101"/>
      <c r="S491" s="90">
        <f>ROUND(ROUND(P491, 2)*I491, 2)</f>
        <v>3625.7</v>
      </c>
    </row>
    <row r="492" spans="1:21" ht="54" x14ac:dyDescent="0.45">
      <c r="A492" s="10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120">
        <v>81.66</v>
      </c>
      <c r="J492" s="126"/>
      <c r="K492" s="138"/>
      <c r="L492" s="114"/>
      <c r="M492" s="117"/>
      <c r="N492" s="114"/>
      <c r="P492" s="107">
        <v>495.9</v>
      </c>
      <c r="Q492" s="100"/>
      <c r="R492" s="101"/>
      <c r="S492" s="90">
        <f>ROUND(ROUND(P492, 2)*I492, 2)</f>
        <v>40495.19</v>
      </c>
    </row>
    <row r="493" spans="1:21" ht="115.2" customHeight="1" x14ac:dyDescent="0.3">
      <c r="A493" s="73" t="s">
        <v>1922</v>
      </c>
      <c r="B493" s="73" t="s">
        <v>1836</v>
      </c>
      <c r="C493" s="74" t="s">
        <v>1837</v>
      </c>
      <c r="D493" s="75"/>
      <c r="E493" s="75" t="s">
        <v>1882</v>
      </c>
      <c r="F493" s="75" t="s">
        <v>59</v>
      </c>
      <c r="G493" s="76">
        <v>1</v>
      </c>
      <c r="H493" s="76"/>
      <c r="I493" s="122">
        <v>263.7</v>
      </c>
      <c r="J493" s="108">
        <v>263.7</v>
      </c>
      <c r="K493" s="145">
        <f>J493*R493</f>
        <v>226278.33299999998</v>
      </c>
      <c r="L493" s="123"/>
      <c r="M493" s="116"/>
      <c r="N493" s="116"/>
      <c r="O493" s="84"/>
      <c r="P493" s="102">
        <f>IFERROR(ROUND(SUM(S494,S495)/I493, 2),0)</f>
        <v>162.09</v>
      </c>
      <c r="Q493" s="106">
        <v>696</v>
      </c>
      <c r="R493" s="104">
        <f>P493+ROUND(Q493, 2)</f>
        <v>858.09</v>
      </c>
      <c r="S493" s="89">
        <f>ROUND(P493*I493, 2)</f>
        <v>42743.13</v>
      </c>
      <c r="T493" s="14">
        <f>ROUND(I493*ROUND(Q493, 2), 2)</f>
        <v>183535.2</v>
      </c>
      <c r="U493" s="14">
        <f>S493+T493</f>
        <v>226278.33000000002</v>
      </c>
    </row>
    <row r="494" spans="1:21" ht="72" x14ac:dyDescent="0.45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120">
        <v>79.11</v>
      </c>
      <c r="J494" s="126"/>
      <c r="K494" s="138"/>
      <c r="L494" s="114"/>
      <c r="M494" s="117"/>
      <c r="N494" s="114"/>
      <c r="P494" s="107">
        <v>495.9</v>
      </c>
      <c r="Q494" s="100"/>
      <c r="R494" s="101"/>
      <c r="S494" s="90">
        <f>ROUND(ROUND(P494, 2)*I494, 2)</f>
        <v>39230.65</v>
      </c>
    </row>
    <row r="495" spans="1:21" ht="36" x14ac:dyDescent="0.45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120">
        <v>39.555</v>
      </c>
      <c r="J495" s="126"/>
      <c r="K495" s="138"/>
      <c r="L495" s="114"/>
      <c r="M495" s="117"/>
      <c r="N495" s="114"/>
      <c r="P495" s="107">
        <v>88.8</v>
      </c>
      <c r="Q495" s="100"/>
      <c r="R495" s="101"/>
      <c r="S495" s="90">
        <f>ROUND(ROUND(P495, 2)*I495, 2)</f>
        <v>3512.48</v>
      </c>
    </row>
    <row r="496" spans="1:21" ht="16.95" customHeight="1" x14ac:dyDescent="0.45">
      <c r="A496" s="10" t="s">
        <v>1930</v>
      </c>
      <c r="B496" s="10" t="s">
        <v>1931</v>
      </c>
      <c r="C496" s="153" t="s">
        <v>1932</v>
      </c>
      <c r="D496" s="154"/>
      <c r="E496" s="154"/>
      <c r="F496" s="154"/>
      <c r="G496" s="154"/>
      <c r="H496" s="154"/>
      <c r="I496" s="154"/>
      <c r="J496" s="124"/>
      <c r="K496" s="138"/>
      <c r="L496" s="114"/>
      <c r="M496" s="115"/>
      <c r="N496" s="115"/>
      <c r="O496" s="83"/>
      <c r="P496" s="99"/>
      <c r="Q496" s="100"/>
      <c r="R496" s="101"/>
      <c r="S496" s="88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</row>
    <row r="497" spans="1:21" ht="33.6" customHeight="1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19">
        <v>0</v>
      </c>
      <c r="J497" s="125"/>
      <c r="K497" s="139"/>
      <c r="L497" s="123"/>
      <c r="M497" s="116"/>
      <c r="N497" s="116"/>
      <c r="O497" s="84"/>
      <c r="P497" s="102">
        <f>IFERROR(ROUND(SUM(S498,S499,S500)/I497, 2),0)</f>
        <v>0</v>
      </c>
      <c r="Q497" s="103">
        <v>1359</v>
      </c>
      <c r="R497" s="104">
        <f>P497+ROUND(Q497, 2)</f>
        <v>1359</v>
      </c>
      <c r="S497" s="89">
        <f>ROUND(P497*I497, 2)</f>
        <v>0</v>
      </c>
      <c r="T497" s="14">
        <f>ROUND(I497*ROUND(Q497, 2), 2)</f>
        <v>0</v>
      </c>
      <c r="U497" s="14">
        <f>S497+T497</f>
        <v>0</v>
      </c>
    </row>
    <row r="498" spans="1:21" ht="23.4" x14ac:dyDescent="0.45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120">
        <v>0</v>
      </c>
      <c r="J498" s="126"/>
      <c r="K498" s="138"/>
      <c r="L498" s="114"/>
      <c r="M498" s="117"/>
      <c r="N498" s="114"/>
      <c r="P498" s="105">
        <v>109</v>
      </c>
      <c r="Q498" s="100"/>
      <c r="R498" s="101"/>
      <c r="S498" s="90">
        <f>ROUND(ROUND(P498, 2)*I498, 2)</f>
        <v>0</v>
      </c>
    </row>
    <row r="499" spans="1:21" ht="23.4" x14ac:dyDescent="0.45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120">
        <v>0</v>
      </c>
      <c r="J499" s="126"/>
      <c r="K499" s="138"/>
      <c r="L499" s="114"/>
      <c r="M499" s="117"/>
      <c r="N499" s="114"/>
      <c r="P499" s="105">
        <v>838.09</v>
      </c>
      <c r="Q499" s="100"/>
      <c r="R499" s="101"/>
      <c r="S499" s="90">
        <f>ROUND(ROUND(P499, 2)*I499, 2)</f>
        <v>0</v>
      </c>
    </row>
    <row r="500" spans="1:21" ht="23.4" x14ac:dyDescent="0.45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120">
        <v>0</v>
      </c>
      <c r="J500" s="126"/>
      <c r="K500" s="138"/>
      <c r="L500" s="114"/>
      <c r="M500" s="117"/>
      <c r="N500" s="114"/>
      <c r="P500" s="105">
        <v>243</v>
      </c>
      <c r="Q500" s="100"/>
      <c r="R500" s="101"/>
      <c r="S500" s="90">
        <f>ROUND(ROUND(P500, 2)*I500, 2)</f>
        <v>0</v>
      </c>
    </row>
    <row r="501" spans="1:21" ht="116.4" customHeight="1" x14ac:dyDescent="0.3">
      <c r="A501" s="73" t="s">
        <v>1961</v>
      </c>
      <c r="B501" s="73" t="s">
        <v>1934</v>
      </c>
      <c r="C501" s="74" t="s">
        <v>1935</v>
      </c>
      <c r="D501" s="75"/>
      <c r="E501" s="75" t="s">
        <v>1939</v>
      </c>
      <c r="F501" s="75" t="s">
        <v>59</v>
      </c>
      <c r="G501" s="76">
        <v>1</v>
      </c>
      <c r="H501" s="76"/>
      <c r="I501" s="122">
        <v>34.200000000000003</v>
      </c>
      <c r="J501" s="143">
        <v>34.200000000000003</v>
      </c>
      <c r="K501" s="144">
        <f>J501*R501</f>
        <v>108122.958</v>
      </c>
      <c r="L501" s="123"/>
      <c r="M501" s="116"/>
      <c r="N501" s="116"/>
      <c r="O501" s="84"/>
      <c r="P501" s="102">
        <f>IFERROR(ROUND(SUM(S502,S503)/I501, 2),0)</f>
        <v>1122.99</v>
      </c>
      <c r="Q501" s="106">
        <v>2038.5</v>
      </c>
      <c r="R501" s="104">
        <f>P501+ROUND(Q501, 2)</f>
        <v>3161.49</v>
      </c>
      <c r="S501" s="89">
        <f>ROUND(P501*I501, 2)</f>
        <v>38406.26</v>
      </c>
      <c r="T501" s="14">
        <f>ROUND(I501*ROUND(Q501, 2), 2)</f>
        <v>69716.7</v>
      </c>
      <c r="U501" s="14">
        <f>S501+T501</f>
        <v>108122.95999999999</v>
      </c>
    </row>
    <row r="502" spans="1:21" ht="23.4" x14ac:dyDescent="0.45">
      <c r="A502" s="10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120">
        <v>34.200000000000003</v>
      </c>
      <c r="J502" s="126"/>
      <c r="K502" s="138"/>
      <c r="L502" s="114"/>
      <c r="M502" s="117"/>
      <c r="N502" s="114"/>
      <c r="P502" s="107">
        <v>243</v>
      </c>
      <c r="Q502" s="100"/>
      <c r="R502" s="101"/>
      <c r="S502" s="90">
        <f>ROUND(ROUND(P502, 2)*I502, 2)</f>
        <v>8310.6</v>
      </c>
    </row>
    <row r="503" spans="1:21" ht="23.4" x14ac:dyDescent="0.45">
      <c r="A503" s="10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120">
        <v>35.909999999999997</v>
      </c>
      <c r="J503" s="126"/>
      <c r="K503" s="138"/>
      <c r="L503" s="114"/>
      <c r="M503" s="117"/>
      <c r="N503" s="114"/>
      <c r="P503" s="107">
        <v>838.09</v>
      </c>
      <c r="Q503" s="100"/>
      <c r="R503" s="101"/>
      <c r="S503" s="90">
        <f>ROUND(ROUND(P503, 2)*I503, 2)</f>
        <v>30095.81</v>
      </c>
    </row>
    <row r="504" spans="1:21" ht="36" x14ac:dyDescent="0.3">
      <c r="A504" s="10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19">
        <v>0</v>
      </c>
      <c r="J504" s="125"/>
      <c r="K504" s="139"/>
      <c r="L504" s="123"/>
      <c r="M504" s="116"/>
      <c r="N504" s="116"/>
      <c r="O504" s="84"/>
      <c r="P504" s="102">
        <f>IFERROR(ROUND(SUM(S505)/I504, 2),0)</f>
        <v>0</v>
      </c>
      <c r="Q504" s="103">
        <v>837</v>
      </c>
      <c r="R504" s="104">
        <f>P504+ROUND(Q504, 2)</f>
        <v>837</v>
      </c>
      <c r="S504" s="89">
        <f>ROUND(P504*I504, 2)</f>
        <v>0</v>
      </c>
      <c r="T504" s="14">
        <f>ROUND(I504*ROUND(Q504, 2), 2)</f>
        <v>0</v>
      </c>
      <c r="U504" s="14">
        <f>S504+T504</f>
        <v>0</v>
      </c>
    </row>
    <row r="505" spans="1:21" ht="23.4" x14ac:dyDescent="0.45">
      <c r="A505" s="10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121">
        <v>0</v>
      </c>
      <c r="J505" s="126"/>
      <c r="K505" s="138"/>
      <c r="L505" s="114"/>
      <c r="M505" s="117"/>
      <c r="N505" s="114"/>
      <c r="P505" s="105">
        <v>1164</v>
      </c>
      <c r="Q505" s="100"/>
      <c r="R505" s="101"/>
      <c r="S505" s="90">
        <f>ROUND(ROUND(P505, 2)*I505, 2)</f>
        <v>0</v>
      </c>
    </row>
    <row r="506" spans="1:21" ht="36" x14ac:dyDescent="0.3">
      <c r="A506" s="10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19">
        <v>0</v>
      </c>
      <c r="J506" s="125"/>
      <c r="K506" s="139"/>
      <c r="L506" s="123"/>
      <c r="M506" s="116"/>
      <c r="N506" s="116"/>
      <c r="O506" s="84"/>
      <c r="P506" s="102">
        <f>IFERROR(ROUND(SUM(S507)/I506, 2),0)</f>
        <v>0</v>
      </c>
      <c r="Q506" s="103">
        <v>837</v>
      </c>
      <c r="R506" s="104">
        <f>P506+ROUND(Q506, 2)</f>
        <v>837</v>
      </c>
      <c r="S506" s="89">
        <f>ROUND(P506*I506, 2)</f>
        <v>0</v>
      </c>
      <c r="T506" s="14">
        <f>ROUND(I506*ROUND(Q506, 2), 2)</f>
        <v>0</v>
      </c>
      <c r="U506" s="14">
        <f>S506+T506</f>
        <v>0</v>
      </c>
    </row>
    <row r="507" spans="1:21" ht="23.4" x14ac:dyDescent="0.45">
      <c r="A507" s="10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121">
        <v>0</v>
      </c>
      <c r="J507" s="126"/>
      <c r="K507" s="138"/>
      <c r="L507" s="114"/>
      <c r="M507" s="117"/>
      <c r="N507" s="114"/>
      <c r="P507" s="105">
        <v>1164</v>
      </c>
      <c r="Q507" s="100"/>
      <c r="R507" s="101"/>
      <c r="S507" s="90">
        <f>ROUND(ROUND(P507, 2)*I507, 2)</f>
        <v>0</v>
      </c>
    </row>
    <row r="508" spans="1:21" ht="36" x14ac:dyDescent="0.3">
      <c r="A508" s="10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19">
        <v>0</v>
      </c>
      <c r="J508" s="125"/>
      <c r="K508" s="139"/>
      <c r="L508" s="123"/>
      <c r="M508" s="116"/>
      <c r="N508" s="116"/>
      <c r="O508" s="84"/>
      <c r="P508" s="102">
        <f>IFERROR(ROUND(SUM(S509)/I508, 2),0)</f>
        <v>0</v>
      </c>
      <c r="Q508" s="103">
        <v>837</v>
      </c>
      <c r="R508" s="104">
        <f>P508+ROUND(Q508, 2)</f>
        <v>837</v>
      </c>
      <c r="S508" s="89">
        <f>ROUND(P508*I508, 2)</f>
        <v>0</v>
      </c>
      <c r="T508" s="14">
        <f>ROUND(I508*ROUND(Q508, 2), 2)</f>
        <v>0</v>
      </c>
      <c r="U508" s="14">
        <f>S508+T508</f>
        <v>0</v>
      </c>
    </row>
    <row r="509" spans="1:21" ht="23.4" x14ac:dyDescent="0.45">
      <c r="A509" s="10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121">
        <v>0</v>
      </c>
      <c r="J509" s="126"/>
      <c r="K509" s="138"/>
      <c r="L509" s="114"/>
      <c r="M509" s="117"/>
      <c r="N509" s="114"/>
      <c r="P509" s="105">
        <v>1164</v>
      </c>
      <c r="Q509" s="100"/>
      <c r="R509" s="101"/>
      <c r="S509" s="90">
        <f>ROUND(ROUND(P509, 2)*I509, 2)</f>
        <v>0</v>
      </c>
    </row>
    <row r="510" spans="1:21" ht="90" x14ac:dyDescent="0.3">
      <c r="A510" s="73" t="s">
        <v>1999</v>
      </c>
      <c r="B510" s="73" t="s">
        <v>1969</v>
      </c>
      <c r="C510" s="74" t="s">
        <v>1970</v>
      </c>
      <c r="D510" s="75"/>
      <c r="E510" s="75" t="s">
        <v>1974</v>
      </c>
      <c r="F510" s="75" t="s">
        <v>59</v>
      </c>
      <c r="G510" s="76">
        <v>1</v>
      </c>
      <c r="H510" s="76"/>
      <c r="I510" s="122">
        <v>6</v>
      </c>
      <c r="J510" s="143">
        <v>6</v>
      </c>
      <c r="K510" s="144">
        <f>J510*R510</f>
        <v>15215.400000000001</v>
      </c>
      <c r="L510" s="123"/>
      <c r="M510" s="116"/>
      <c r="N510" s="116"/>
      <c r="O510" s="84"/>
      <c r="P510" s="102">
        <f>IFERROR(ROUND(SUM(S511)/I510, 2),0)</f>
        <v>1280.4000000000001</v>
      </c>
      <c r="Q510" s="106">
        <v>1255.5</v>
      </c>
      <c r="R510" s="104">
        <f>P510+ROUND(Q510, 2)</f>
        <v>2535.9</v>
      </c>
      <c r="S510" s="89">
        <f>ROUND(P510*I510, 2)</f>
        <v>7682.4</v>
      </c>
      <c r="T510" s="14">
        <f>ROUND(I510*ROUND(Q510, 2), 2)</f>
        <v>7533</v>
      </c>
      <c r="U510" s="14">
        <f>S510+T510</f>
        <v>15215.4</v>
      </c>
    </row>
    <row r="511" spans="1:21" ht="23.4" x14ac:dyDescent="0.45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121">
        <v>6.6</v>
      </c>
      <c r="J511" s="126"/>
      <c r="K511" s="138"/>
      <c r="L511" s="114"/>
      <c r="M511" s="117"/>
      <c r="N511" s="114"/>
      <c r="P511" s="107">
        <v>1164</v>
      </c>
      <c r="Q511" s="100"/>
      <c r="R511" s="101"/>
      <c r="S511" s="90">
        <f>ROUND(ROUND(P511, 2)*I511, 2)</f>
        <v>7682.4</v>
      </c>
    </row>
    <row r="512" spans="1:21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19">
        <v>1549.1</v>
      </c>
      <c r="J512" s="125"/>
      <c r="K512" s="139"/>
      <c r="L512" s="123"/>
      <c r="M512" s="116"/>
      <c r="N512" s="116"/>
      <c r="O512" s="84"/>
      <c r="P512" s="102">
        <f>IFERROR(ROUND(SUM(S513)/I512, 2),0)</f>
        <v>1280.4000000000001</v>
      </c>
      <c r="Q512" s="106">
        <v>1255.5</v>
      </c>
      <c r="R512" s="104">
        <f>P512+ROUND(Q512, 2)</f>
        <v>2535.9</v>
      </c>
      <c r="S512" s="89">
        <f>ROUND(P512*I512, 2)</f>
        <v>1983467.64</v>
      </c>
      <c r="T512" s="14">
        <f>ROUND(I512*ROUND(Q512, 2), 2)</f>
        <v>1944895.05</v>
      </c>
      <c r="U512" s="14">
        <f>S512+T512</f>
        <v>3928362.69</v>
      </c>
    </row>
    <row r="513" spans="1:21" ht="23.4" x14ac:dyDescent="0.45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121">
        <v>1704.01</v>
      </c>
      <c r="J513" s="126"/>
      <c r="K513" s="138"/>
      <c r="L513" s="114"/>
      <c r="M513" s="117"/>
      <c r="N513" s="114"/>
      <c r="P513" s="107">
        <v>1164</v>
      </c>
      <c r="Q513" s="100"/>
      <c r="R513" s="101"/>
      <c r="S513" s="90">
        <f>ROUND(ROUND(P513, 2)*I513, 2)</f>
        <v>1983467.64</v>
      </c>
    </row>
    <row r="514" spans="1:21" ht="90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19">
        <v>242</v>
      </c>
      <c r="J514" s="125"/>
      <c r="K514" s="139"/>
      <c r="L514" s="123"/>
      <c r="M514" s="116"/>
      <c r="N514" s="116"/>
      <c r="O514" s="84"/>
      <c r="P514" s="102">
        <f>IFERROR(ROUND(SUM(S515)/I514, 2),0)</f>
        <v>1280.4000000000001</v>
      </c>
      <c r="Q514" s="106">
        <v>1255.5</v>
      </c>
      <c r="R514" s="104">
        <f>P514+ROUND(Q514, 2)</f>
        <v>2535.9</v>
      </c>
      <c r="S514" s="89">
        <f>ROUND(P514*I514, 2)</f>
        <v>309856.8</v>
      </c>
      <c r="T514" s="14">
        <f>ROUND(I514*ROUND(Q514, 2), 2)</f>
        <v>303831</v>
      </c>
      <c r="U514" s="14">
        <f>S514+T514</f>
        <v>613687.80000000005</v>
      </c>
    </row>
    <row r="515" spans="1:21" ht="23.4" x14ac:dyDescent="0.45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121">
        <v>266.2</v>
      </c>
      <c r="J515" s="126"/>
      <c r="K515" s="138"/>
      <c r="L515" s="114"/>
      <c r="M515" s="117"/>
      <c r="N515" s="114"/>
      <c r="P515" s="107">
        <v>1164</v>
      </c>
      <c r="Q515" s="100"/>
      <c r="R515" s="101"/>
      <c r="S515" s="90">
        <f>ROUND(ROUND(P515, 2)*I515, 2)</f>
        <v>309856.8</v>
      </c>
    </row>
    <row r="516" spans="1:21" ht="54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19">
        <v>0</v>
      </c>
      <c r="J516" s="125"/>
      <c r="K516" s="139"/>
      <c r="L516" s="123"/>
      <c r="M516" s="116"/>
      <c r="N516" s="116"/>
      <c r="O516" s="84"/>
      <c r="P516" s="102">
        <v>0</v>
      </c>
      <c r="Q516" s="103">
        <v>121</v>
      </c>
      <c r="R516" s="104">
        <f>P516+ROUND(Q516, 2)</f>
        <v>121</v>
      </c>
      <c r="S516" s="89">
        <v>0</v>
      </c>
      <c r="T516" s="14">
        <f>ROUND(I516*ROUND(Q516, 2), 2)</f>
        <v>0</v>
      </c>
      <c r="U516" s="14">
        <f>S516+T516</f>
        <v>0</v>
      </c>
    </row>
    <row r="517" spans="1:21" ht="54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19">
        <v>2000</v>
      </c>
      <c r="J517" s="125"/>
      <c r="K517" s="139"/>
      <c r="L517" s="123"/>
      <c r="M517" s="116"/>
      <c r="N517" s="116"/>
      <c r="O517" s="84"/>
      <c r="P517" s="102">
        <v>0</v>
      </c>
      <c r="Q517" s="106">
        <v>181.5</v>
      </c>
      <c r="R517" s="104">
        <f>P517+ROUND(Q517, 2)</f>
        <v>181.5</v>
      </c>
      <c r="S517" s="89">
        <v>0</v>
      </c>
      <c r="T517" s="14">
        <f>ROUND(I517*ROUND(Q517, 2), 2)</f>
        <v>363000</v>
      </c>
      <c r="U517" s="14">
        <f>S517+T517</f>
        <v>363000</v>
      </c>
    </row>
    <row r="518" spans="1:21" ht="36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19">
        <v>0</v>
      </c>
      <c r="J518" s="125"/>
      <c r="K518" s="139"/>
      <c r="L518" s="123"/>
      <c r="M518" s="116"/>
      <c r="N518" s="116"/>
      <c r="O518" s="84"/>
      <c r="P518" s="102">
        <f>IFERROR(ROUND(SUM(S519)/I518, 2),0)</f>
        <v>0</v>
      </c>
      <c r="Q518" s="103">
        <v>1724</v>
      </c>
      <c r="R518" s="104">
        <f>P518+ROUND(Q518, 2)</f>
        <v>1724</v>
      </c>
      <c r="S518" s="89">
        <f>ROUND(P518*I518, 2)</f>
        <v>0</v>
      </c>
      <c r="T518" s="14">
        <f>ROUND(I518*ROUND(Q518, 2), 2)</f>
        <v>0</v>
      </c>
      <c r="U518" s="14">
        <f>S518+T518</f>
        <v>0</v>
      </c>
    </row>
    <row r="519" spans="1:21" ht="36" x14ac:dyDescent="0.45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120">
        <v>0</v>
      </c>
      <c r="J519" s="126"/>
      <c r="K519" s="138"/>
      <c r="L519" s="114"/>
      <c r="M519" s="117"/>
      <c r="N519" s="114"/>
      <c r="P519" s="105">
        <v>1310</v>
      </c>
      <c r="Q519" s="100"/>
      <c r="R519" s="101"/>
      <c r="S519" s="90">
        <f>ROUND(ROUND(P519, 2)*I519, 2)</f>
        <v>0</v>
      </c>
    </row>
    <row r="520" spans="1:21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19">
        <v>13.5</v>
      </c>
      <c r="J520" s="125"/>
      <c r="K520" s="139"/>
      <c r="L520" s="123"/>
      <c r="M520" s="116"/>
      <c r="N520" s="116"/>
      <c r="O520" s="84"/>
      <c r="P520" s="102">
        <f>IFERROR(ROUND(SUM(S521)/I520, 2),0)</f>
        <v>1310</v>
      </c>
      <c r="Q520" s="106">
        <v>2586</v>
      </c>
      <c r="R520" s="104">
        <f>P520+ROUND(Q520, 2)</f>
        <v>3896</v>
      </c>
      <c r="S520" s="89">
        <f>ROUND(P520*I520, 2)</f>
        <v>17685</v>
      </c>
      <c r="T520" s="14">
        <f>ROUND(I520*ROUND(Q520, 2), 2)</f>
        <v>34911</v>
      </c>
      <c r="U520" s="14">
        <f>S520+T520</f>
        <v>52596</v>
      </c>
    </row>
    <row r="521" spans="1:21" ht="36" x14ac:dyDescent="0.45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120">
        <v>13.5</v>
      </c>
      <c r="J521" s="126"/>
      <c r="K521" s="138"/>
      <c r="L521" s="114"/>
      <c r="M521" s="117"/>
      <c r="N521" s="114"/>
      <c r="P521" s="107">
        <v>1310</v>
      </c>
      <c r="Q521" s="100"/>
      <c r="R521" s="101"/>
      <c r="S521" s="90">
        <f>ROUND(ROUND(P521, 2)*I521, 2)</f>
        <v>17685</v>
      </c>
    </row>
    <row r="522" spans="1:21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19">
        <v>0</v>
      </c>
      <c r="J522" s="125"/>
      <c r="K522" s="139"/>
      <c r="L522" s="123"/>
      <c r="M522" s="116"/>
      <c r="N522" s="116"/>
      <c r="O522" s="84"/>
      <c r="P522" s="102">
        <f>IFERROR(ROUND(SUM(S523,S524,S525,S526,S527,S528,S529,S530,S531,S532,S533,S534,S535)/I522, 2),0)</f>
        <v>0</v>
      </c>
      <c r="Q522" s="103">
        <v>1379</v>
      </c>
      <c r="R522" s="104">
        <f>P522+ROUND(Q522, 2)</f>
        <v>1379</v>
      </c>
      <c r="S522" s="89">
        <f>ROUND(P522*I522, 2)</f>
        <v>0</v>
      </c>
      <c r="T522" s="14">
        <f>ROUND(I522*ROUND(Q522, 2), 2)</f>
        <v>0</v>
      </c>
      <c r="U522" s="14">
        <f>S522+T522</f>
        <v>0</v>
      </c>
    </row>
    <row r="523" spans="1:21" ht="23.4" x14ac:dyDescent="0.45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120">
        <v>0</v>
      </c>
      <c r="J523" s="126"/>
      <c r="K523" s="138"/>
      <c r="L523" s="114"/>
      <c r="M523" s="117"/>
      <c r="N523" s="114"/>
      <c r="P523" s="105">
        <v>0.95</v>
      </c>
      <c r="Q523" s="100"/>
      <c r="R523" s="101"/>
      <c r="S523" s="90">
        <f t="shared" ref="S523:S535" si="2">ROUND(ROUND(P523, 2)*I523, 2)</f>
        <v>0</v>
      </c>
    </row>
    <row r="524" spans="1:21" ht="23.4" x14ac:dyDescent="0.45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120">
        <v>0</v>
      </c>
      <c r="J524" s="126"/>
      <c r="K524" s="138"/>
      <c r="L524" s="114"/>
      <c r="M524" s="117"/>
      <c r="N524" s="114"/>
      <c r="P524" s="105">
        <v>0.28000000000000003</v>
      </c>
      <c r="Q524" s="100"/>
      <c r="R524" s="101"/>
      <c r="S524" s="90">
        <f t="shared" si="2"/>
        <v>0</v>
      </c>
    </row>
    <row r="525" spans="1:21" ht="23.4" x14ac:dyDescent="0.45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120">
        <v>0</v>
      </c>
      <c r="J525" s="126"/>
      <c r="K525" s="138"/>
      <c r="L525" s="114"/>
      <c r="M525" s="117"/>
      <c r="N525" s="114"/>
      <c r="P525" s="105">
        <v>55</v>
      </c>
      <c r="Q525" s="100"/>
      <c r="R525" s="101"/>
      <c r="S525" s="90">
        <f t="shared" si="2"/>
        <v>0</v>
      </c>
    </row>
    <row r="526" spans="1:21" ht="23.4" x14ac:dyDescent="0.45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120">
        <v>0</v>
      </c>
      <c r="J526" s="126"/>
      <c r="K526" s="138"/>
      <c r="L526" s="114"/>
      <c r="M526" s="117"/>
      <c r="N526" s="114"/>
      <c r="P526" s="105">
        <v>5.6</v>
      </c>
      <c r="Q526" s="100"/>
      <c r="R526" s="101"/>
      <c r="S526" s="90">
        <f t="shared" si="2"/>
        <v>0</v>
      </c>
    </row>
    <row r="527" spans="1:21" ht="36" x14ac:dyDescent="0.45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120">
        <v>0</v>
      </c>
      <c r="J527" s="126"/>
      <c r="K527" s="138"/>
      <c r="L527" s="114"/>
      <c r="M527" s="117"/>
      <c r="N527" s="114"/>
      <c r="P527" s="105">
        <v>15.9</v>
      </c>
      <c r="Q527" s="100"/>
      <c r="R527" s="101"/>
      <c r="S527" s="90">
        <f t="shared" si="2"/>
        <v>0</v>
      </c>
    </row>
    <row r="528" spans="1:21" ht="23.4" x14ac:dyDescent="0.45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120">
        <v>0</v>
      </c>
      <c r="J528" s="126"/>
      <c r="K528" s="138"/>
      <c r="L528" s="114"/>
      <c r="M528" s="117"/>
      <c r="N528" s="114"/>
      <c r="P528" s="105">
        <v>22.82</v>
      </c>
      <c r="Q528" s="100"/>
      <c r="R528" s="101"/>
      <c r="S528" s="90">
        <f t="shared" si="2"/>
        <v>0</v>
      </c>
    </row>
    <row r="529" spans="1:21" ht="23.4" x14ac:dyDescent="0.45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120">
        <v>0</v>
      </c>
      <c r="J529" s="126"/>
      <c r="K529" s="138"/>
      <c r="L529" s="114"/>
      <c r="M529" s="117"/>
      <c r="N529" s="114"/>
      <c r="P529" s="105">
        <v>66.98</v>
      </c>
      <c r="Q529" s="100"/>
      <c r="R529" s="101"/>
      <c r="S529" s="90">
        <f t="shared" si="2"/>
        <v>0</v>
      </c>
    </row>
    <row r="530" spans="1:21" ht="23.4" x14ac:dyDescent="0.45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120">
        <v>0</v>
      </c>
      <c r="J530" s="126"/>
      <c r="K530" s="138"/>
      <c r="L530" s="114"/>
      <c r="M530" s="117"/>
      <c r="N530" s="114"/>
      <c r="P530" s="105">
        <v>4.92</v>
      </c>
      <c r="Q530" s="100"/>
      <c r="R530" s="101"/>
      <c r="S530" s="90">
        <f t="shared" si="2"/>
        <v>0</v>
      </c>
    </row>
    <row r="531" spans="1:21" ht="36" x14ac:dyDescent="0.45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120">
        <v>0</v>
      </c>
      <c r="J531" s="126"/>
      <c r="K531" s="138"/>
      <c r="L531" s="114"/>
      <c r="M531" s="117"/>
      <c r="N531" s="114"/>
      <c r="P531" s="105">
        <v>1520.33</v>
      </c>
      <c r="Q531" s="100"/>
      <c r="R531" s="101"/>
      <c r="S531" s="90">
        <f t="shared" si="2"/>
        <v>0</v>
      </c>
    </row>
    <row r="532" spans="1:21" ht="23.4" x14ac:dyDescent="0.45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120">
        <v>0</v>
      </c>
      <c r="J532" s="126"/>
      <c r="K532" s="138"/>
      <c r="L532" s="114"/>
      <c r="M532" s="117"/>
      <c r="N532" s="114"/>
      <c r="P532" s="105">
        <v>4.5999999999999996</v>
      </c>
      <c r="Q532" s="100"/>
      <c r="R532" s="101"/>
      <c r="S532" s="90">
        <f t="shared" si="2"/>
        <v>0</v>
      </c>
    </row>
    <row r="533" spans="1:21" ht="23.4" x14ac:dyDescent="0.45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120">
        <v>0</v>
      </c>
      <c r="J533" s="126"/>
      <c r="K533" s="138"/>
      <c r="L533" s="114"/>
      <c r="M533" s="117"/>
      <c r="N533" s="114"/>
      <c r="P533" s="105">
        <v>2.8</v>
      </c>
      <c r="Q533" s="100"/>
      <c r="R533" s="101"/>
      <c r="S533" s="90">
        <f t="shared" si="2"/>
        <v>0</v>
      </c>
    </row>
    <row r="534" spans="1:21" ht="36" x14ac:dyDescent="0.45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120">
        <v>0</v>
      </c>
      <c r="J534" s="126"/>
      <c r="K534" s="138"/>
      <c r="L534" s="114"/>
      <c r="M534" s="117"/>
      <c r="N534" s="114"/>
      <c r="P534" s="105">
        <v>88.8</v>
      </c>
      <c r="Q534" s="100"/>
      <c r="R534" s="101"/>
      <c r="S534" s="90">
        <f t="shared" si="2"/>
        <v>0</v>
      </c>
    </row>
    <row r="535" spans="1:21" ht="23.4" x14ac:dyDescent="0.45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120">
        <v>0</v>
      </c>
      <c r="J535" s="126"/>
      <c r="K535" s="138"/>
      <c r="L535" s="114"/>
      <c r="M535" s="117"/>
      <c r="N535" s="114"/>
      <c r="P535" s="105">
        <v>2.8</v>
      </c>
      <c r="Q535" s="100"/>
      <c r="R535" s="101"/>
      <c r="S535" s="90">
        <f t="shared" si="2"/>
        <v>0</v>
      </c>
    </row>
    <row r="536" spans="1:21" ht="144" customHeight="1" x14ac:dyDescent="0.3">
      <c r="A536" s="80" t="s">
        <v>2130</v>
      </c>
      <c r="B536" s="80" t="s">
        <v>2037</v>
      </c>
      <c r="C536" s="147" t="s">
        <v>2038</v>
      </c>
      <c r="D536" s="148"/>
      <c r="E536" s="148" t="s">
        <v>2042</v>
      </c>
      <c r="F536" s="148" t="s">
        <v>59</v>
      </c>
      <c r="G536" s="149">
        <v>1</v>
      </c>
      <c r="H536" s="149"/>
      <c r="I536" s="151">
        <v>921.3</v>
      </c>
      <c r="J536" s="143">
        <v>921.3</v>
      </c>
      <c r="K536" s="144">
        <f>J536*R536</f>
        <v>3818816.1390000004</v>
      </c>
      <c r="L536" s="123"/>
      <c r="M536" s="116"/>
      <c r="N536" s="116"/>
      <c r="O536" s="84"/>
      <c r="P536" s="102">
        <f>IFERROR(ROUND(SUM(S537,S538,S539,S540,S541,S542,S543,S544,S545,S546,S547,S548,S549)/I536, 2),0)</f>
        <v>2076.5300000000002</v>
      </c>
      <c r="Q536" s="106">
        <v>2068.5</v>
      </c>
      <c r="R536" s="104">
        <f>P536+ROUND(Q536, 2)</f>
        <v>4145.0300000000007</v>
      </c>
      <c r="S536" s="89">
        <f>ROUND(P536*I536, 2)</f>
        <v>1913107.09</v>
      </c>
      <c r="T536" s="14">
        <f>ROUND(I536*ROUND(Q536, 2), 2)</f>
        <v>1905709.05</v>
      </c>
      <c r="U536" s="14">
        <f>S536+T536</f>
        <v>3818816.14</v>
      </c>
    </row>
    <row r="537" spans="1:21" ht="23.4" x14ac:dyDescent="0.45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120">
        <v>690.97500000000002</v>
      </c>
      <c r="J537" s="126"/>
      <c r="K537" s="138"/>
      <c r="L537" s="114"/>
      <c r="M537" s="117"/>
      <c r="N537" s="114"/>
      <c r="P537" s="107">
        <v>2.8</v>
      </c>
      <c r="Q537" s="100"/>
      <c r="R537" s="101"/>
      <c r="S537" s="90">
        <f t="shared" ref="S537:S549" si="3">ROUND(ROUND(P537, 2)*I537, 2)</f>
        <v>1934.73</v>
      </c>
    </row>
    <row r="538" spans="1:21" ht="36" x14ac:dyDescent="0.45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120">
        <v>92.13</v>
      </c>
      <c r="J538" s="126"/>
      <c r="K538" s="138"/>
      <c r="L538" s="114"/>
      <c r="M538" s="117"/>
      <c r="N538" s="114"/>
      <c r="P538" s="107">
        <v>88.8</v>
      </c>
      <c r="Q538" s="100"/>
      <c r="R538" s="101"/>
      <c r="S538" s="90">
        <f t="shared" si="3"/>
        <v>8181.14</v>
      </c>
    </row>
    <row r="539" spans="1:21" ht="23.4" x14ac:dyDescent="0.45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120">
        <v>230.32499999999999</v>
      </c>
      <c r="J539" s="126"/>
      <c r="K539" s="138"/>
      <c r="L539" s="114"/>
      <c r="M539" s="117"/>
      <c r="N539" s="114"/>
      <c r="P539" s="107">
        <v>2.8</v>
      </c>
      <c r="Q539" s="100"/>
      <c r="R539" s="101"/>
      <c r="S539" s="90">
        <f t="shared" si="3"/>
        <v>644.91</v>
      </c>
    </row>
    <row r="540" spans="1:21" ht="23.4" x14ac:dyDescent="0.45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120">
        <v>967.36500000000001</v>
      </c>
      <c r="J540" s="126"/>
      <c r="K540" s="138"/>
      <c r="L540" s="114"/>
      <c r="M540" s="117"/>
      <c r="N540" s="114"/>
      <c r="P540" s="107">
        <v>4.5999999999999996</v>
      </c>
      <c r="Q540" s="100"/>
      <c r="R540" s="101"/>
      <c r="S540" s="90">
        <f t="shared" si="3"/>
        <v>4449.88</v>
      </c>
    </row>
    <row r="541" spans="1:21" ht="36" x14ac:dyDescent="0.45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120">
        <v>967.36500000000001</v>
      </c>
      <c r="J541" s="126"/>
      <c r="K541" s="138"/>
      <c r="L541" s="114"/>
      <c r="M541" s="117"/>
      <c r="N541" s="114"/>
      <c r="P541" s="107">
        <v>1520.33</v>
      </c>
      <c r="Q541" s="100"/>
      <c r="R541" s="101"/>
      <c r="S541" s="90">
        <f t="shared" si="3"/>
        <v>1470714.03</v>
      </c>
    </row>
    <row r="542" spans="1:21" ht="23.4" x14ac:dyDescent="0.45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120">
        <v>3869.46</v>
      </c>
      <c r="J542" s="126"/>
      <c r="K542" s="138"/>
      <c r="L542" s="114"/>
      <c r="M542" s="117"/>
      <c r="N542" s="114"/>
      <c r="P542" s="107">
        <v>4.92</v>
      </c>
      <c r="Q542" s="100"/>
      <c r="R542" s="101"/>
      <c r="S542" s="90">
        <f t="shared" si="3"/>
        <v>19037.740000000002</v>
      </c>
    </row>
    <row r="543" spans="1:21" ht="23.4" x14ac:dyDescent="0.45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120">
        <v>1105.56</v>
      </c>
      <c r="J543" s="126"/>
      <c r="K543" s="138"/>
      <c r="L543" s="114"/>
      <c r="M543" s="117"/>
      <c r="N543" s="114"/>
      <c r="P543" s="107">
        <v>22.82</v>
      </c>
      <c r="Q543" s="100"/>
      <c r="R543" s="101"/>
      <c r="S543" s="90">
        <f t="shared" si="3"/>
        <v>25228.880000000001</v>
      </c>
    </row>
    <row r="544" spans="1:21" ht="23.4" x14ac:dyDescent="0.45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120">
        <v>4330.1099999999997</v>
      </c>
      <c r="J544" s="126"/>
      <c r="K544" s="138"/>
      <c r="L544" s="114"/>
      <c r="M544" s="117"/>
      <c r="N544" s="114"/>
      <c r="P544" s="107">
        <v>66.98</v>
      </c>
      <c r="Q544" s="100"/>
      <c r="R544" s="101"/>
      <c r="S544" s="90">
        <f t="shared" si="3"/>
        <v>290030.77</v>
      </c>
    </row>
    <row r="545" spans="1:21" ht="36" x14ac:dyDescent="0.45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120">
        <v>3316.68</v>
      </c>
      <c r="J545" s="126"/>
      <c r="K545" s="138"/>
      <c r="L545" s="114"/>
      <c r="M545" s="117"/>
      <c r="N545" s="114"/>
      <c r="P545" s="107">
        <v>15.9</v>
      </c>
      <c r="Q545" s="100"/>
      <c r="R545" s="101"/>
      <c r="S545" s="90">
        <f t="shared" si="3"/>
        <v>52735.21</v>
      </c>
    </row>
    <row r="546" spans="1:21" ht="23.4" x14ac:dyDescent="0.45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120">
        <v>276.39</v>
      </c>
      <c r="J546" s="126"/>
      <c r="K546" s="138"/>
      <c r="L546" s="114"/>
      <c r="M546" s="117"/>
      <c r="N546" s="114"/>
      <c r="P546" s="107">
        <v>5.6</v>
      </c>
      <c r="Q546" s="100"/>
      <c r="R546" s="101"/>
      <c r="S546" s="90">
        <f t="shared" si="3"/>
        <v>1547.78</v>
      </c>
    </row>
    <row r="547" spans="1:21" ht="23.4" x14ac:dyDescent="0.45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120">
        <v>322.45499999999998</v>
      </c>
      <c r="J547" s="126"/>
      <c r="K547" s="138"/>
      <c r="L547" s="114"/>
      <c r="M547" s="117"/>
      <c r="N547" s="114"/>
      <c r="P547" s="107">
        <v>55</v>
      </c>
      <c r="Q547" s="100"/>
      <c r="R547" s="101"/>
      <c r="S547" s="90">
        <f t="shared" si="3"/>
        <v>17735.03</v>
      </c>
    </row>
    <row r="548" spans="1:21" ht="23.4" x14ac:dyDescent="0.45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120">
        <v>27639</v>
      </c>
      <c r="J548" s="126"/>
      <c r="K548" s="138"/>
      <c r="L548" s="114"/>
      <c r="M548" s="117"/>
      <c r="N548" s="114"/>
      <c r="P548" s="107">
        <v>0.28000000000000003</v>
      </c>
      <c r="Q548" s="100"/>
      <c r="R548" s="101"/>
      <c r="S548" s="90">
        <f t="shared" si="3"/>
        <v>7738.92</v>
      </c>
    </row>
    <row r="549" spans="1:21" ht="23.4" x14ac:dyDescent="0.45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120">
        <v>13819.5</v>
      </c>
      <c r="J549" s="126"/>
      <c r="K549" s="138"/>
      <c r="L549" s="114"/>
      <c r="M549" s="117"/>
      <c r="N549" s="114"/>
      <c r="P549" s="107">
        <v>0.95</v>
      </c>
      <c r="Q549" s="100"/>
      <c r="R549" s="101"/>
      <c r="S549" s="90">
        <f t="shared" si="3"/>
        <v>13128.53</v>
      </c>
    </row>
    <row r="550" spans="1:21" ht="36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19">
        <v>0</v>
      </c>
      <c r="J550" s="125"/>
      <c r="K550" s="139"/>
      <c r="L550" s="123"/>
      <c r="M550" s="116"/>
      <c r="N550" s="116"/>
      <c r="O550" s="84"/>
      <c r="P550" s="102">
        <f>IFERROR(ROUND(SUM(S551)/I550, 2),0)</f>
        <v>0</v>
      </c>
      <c r="Q550" s="103">
        <v>963</v>
      </c>
      <c r="R550" s="104">
        <f>P550+ROUND(Q550, 2)</f>
        <v>963</v>
      </c>
      <c r="S550" s="89">
        <f>ROUND(P550*I550, 2)</f>
        <v>0</v>
      </c>
      <c r="T550" s="14">
        <f>ROUND(I550*ROUND(Q550, 2), 2)</f>
        <v>0</v>
      </c>
      <c r="U550" s="14">
        <f>S550+T550</f>
        <v>0</v>
      </c>
    </row>
    <row r="551" spans="1:21" ht="36" x14ac:dyDescent="0.45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121">
        <v>0</v>
      </c>
      <c r="J551" s="126"/>
      <c r="K551" s="138"/>
      <c r="L551" s="114"/>
      <c r="M551" s="117"/>
      <c r="N551" s="114"/>
      <c r="P551" s="105">
        <v>820.89</v>
      </c>
      <c r="Q551" s="100"/>
      <c r="R551" s="101"/>
      <c r="S551" s="90">
        <f>ROUND(ROUND(P551, 2)*I551, 2)</f>
        <v>0</v>
      </c>
    </row>
    <row r="552" spans="1:21" ht="36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19">
        <v>0</v>
      </c>
      <c r="J552" s="125"/>
      <c r="K552" s="139"/>
      <c r="L552" s="123"/>
      <c r="M552" s="116"/>
      <c r="N552" s="116"/>
      <c r="O552" s="84"/>
      <c r="P552" s="102">
        <f>IFERROR(ROUND(SUM(S553)/I552, 2),0)</f>
        <v>0</v>
      </c>
      <c r="Q552" s="103">
        <v>963</v>
      </c>
      <c r="R552" s="104">
        <f>P552+ROUND(Q552, 2)</f>
        <v>963</v>
      </c>
      <c r="S552" s="89">
        <f>ROUND(P552*I552, 2)</f>
        <v>0</v>
      </c>
      <c r="T552" s="14">
        <f>ROUND(I552*ROUND(Q552, 2), 2)</f>
        <v>0</v>
      </c>
      <c r="U552" s="14">
        <f>S552+T552</f>
        <v>0</v>
      </c>
    </row>
    <row r="553" spans="1:21" ht="23.4" x14ac:dyDescent="0.45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121">
        <v>0</v>
      </c>
      <c r="J553" s="126"/>
      <c r="K553" s="138"/>
      <c r="L553" s="114"/>
      <c r="M553" s="117"/>
      <c r="N553" s="114"/>
      <c r="P553" s="105">
        <v>778.08</v>
      </c>
      <c r="Q553" s="100"/>
      <c r="R553" s="101"/>
      <c r="S553" s="90">
        <f>ROUND(ROUND(P553, 2)*I553, 2)</f>
        <v>0</v>
      </c>
    </row>
    <row r="554" spans="1:21" ht="36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19">
        <v>0</v>
      </c>
      <c r="J554" s="125"/>
      <c r="K554" s="139"/>
      <c r="L554" s="123"/>
      <c r="M554" s="116"/>
      <c r="N554" s="116"/>
      <c r="O554" s="84"/>
      <c r="P554" s="102">
        <f>IFERROR(ROUND(SUM(S555)/I554, 2),0)</f>
        <v>0</v>
      </c>
      <c r="Q554" s="103">
        <v>963</v>
      </c>
      <c r="R554" s="104">
        <f>P554+ROUND(Q554, 2)</f>
        <v>963</v>
      </c>
      <c r="S554" s="89">
        <f>ROUND(P554*I554, 2)</f>
        <v>0</v>
      </c>
      <c r="T554" s="14">
        <f>ROUND(I554*ROUND(Q554, 2), 2)</f>
        <v>0</v>
      </c>
      <c r="U554" s="14">
        <f>S554+T554</f>
        <v>0</v>
      </c>
    </row>
    <row r="555" spans="1:21" ht="23.4" x14ac:dyDescent="0.45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121">
        <v>0</v>
      </c>
      <c r="J555" s="126"/>
      <c r="K555" s="138"/>
      <c r="L555" s="114"/>
      <c r="M555" s="117"/>
      <c r="N555" s="114"/>
      <c r="P555" s="105">
        <v>778.08</v>
      </c>
      <c r="Q555" s="100"/>
      <c r="R555" s="101"/>
      <c r="S555" s="90">
        <f>ROUND(ROUND(P555, 2)*I555, 2)</f>
        <v>0</v>
      </c>
    </row>
    <row r="556" spans="1:21" ht="36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19">
        <v>0</v>
      </c>
      <c r="J556" s="125"/>
      <c r="K556" s="139"/>
      <c r="L556" s="123"/>
      <c r="M556" s="116"/>
      <c r="N556" s="116"/>
      <c r="O556" s="84"/>
      <c r="P556" s="102">
        <f>IFERROR(ROUND(SUM(S557)/I556, 2),0)</f>
        <v>0</v>
      </c>
      <c r="Q556" s="103">
        <v>963</v>
      </c>
      <c r="R556" s="104">
        <f>P556+ROUND(Q556, 2)</f>
        <v>963</v>
      </c>
      <c r="S556" s="89">
        <f>ROUND(P556*I556, 2)</f>
        <v>0</v>
      </c>
      <c r="T556" s="14">
        <f>ROUND(I556*ROUND(Q556, 2), 2)</f>
        <v>0</v>
      </c>
      <c r="U556" s="14">
        <f>S556+T556</f>
        <v>0</v>
      </c>
    </row>
    <row r="557" spans="1:21" ht="23.4" x14ac:dyDescent="0.45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121">
        <v>0</v>
      </c>
      <c r="J557" s="126"/>
      <c r="K557" s="138"/>
      <c r="L557" s="114"/>
      <c r="M557" s="117"/>
      <c r="N557" s="114"/>
      <c r="P557" s="105">
        <v>855</v>
      </c>
      <c r="Q557" s="100"/>
      <c r="R557" s="101"/>
      <c r="S557" s="90">
        <f>ROUND(ROUND(P557, 2)*I557, 2)</f>
        <v>0</v>
      </c>
    </row>
    <row r="558" spans="1:21" ht="54" x14ac:dyDescent="0.3">
      <c r="A558" s="10" t="s">
        <v>2212</v>
      </c>
      <c r="B558" s="10" t="s">
        <v>2171</v>
      </c>
      <c r="C558" s="11" t="s">
        <v>2172</v>
      </c>
      <c r="D558" s="12"/>
      <c r="E558" s="12" t="s">
        <v>2176</v>
      </c>
      <c r="F558" s="12" t="s">
        <v>59</v>
      </c>
      <c r="G558" s="13">
        <v>1</v>
      </c>
      <c r="H558" s="13"/>
      <c r="I558" s="119">
        <v>716.1</v>
      </c>
      <c r="J558" s="125"/>
      <c r="K558" s="139"/>
      <c r="L558" s="123"/>
      <c r="M558" s="116"/>
      <c r="N558" s="116"/>
      <c r="O558" s="84"/>
      <c r="P558" s="102">
        <f>IFERROR(ROUND(SUM(S559)/I558, 2),0)</f>
        <v>902.98</v>
      </c>
      <c r="Q558" s="106">
        <v>1444.5</v>
      </c>
      <c r="R558" s="104">
        <f>P558+ROUND(Q558, 2)</f>
        <v>2347.48</v>
      </c>
      <c r="S558" s="89">
        <f>ROUND(P558*I558, 2)</f>
        <v>646623.98</v>
      </c>
      <c r="T558" s="14">
        <f>ROUND(I558*ROUND(Q558, 2), 2)</f>
        <v>1034406.45</v>
      </c>
      <c r="U558" s="14">
        <f>S558+T558</f>
        <v>1681030.43</v>
      </c>
    </row>
    <row r="559" spans="1:21" ht="36" x14ac:dyDescent="0.45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121">
        <v>787.71</v>
      </c>
      <c r="J559" s="126"/>
      <c r="K559" s="138"/>
      <c r="L559" s="114"/>
      <c r="M559" s="117"/>
      <c r="N559" s="114"/>
      <c r="P559" s="107">
        <v>820.89</v>
      </c>
      <c r="Q559" s="100"/>
      <c r="R559" s="101"/>
      <c r="S559" s="90">
        <f>ROUND(ROUND(P559, 2)*I559, 2)</f>
        <v>646623.26</v>
      </c>
    </row>
    <row r="560" spans="1:21" ht="72" x14ac:dyDescent="0.3">
      <c r="A560" s="10" t="s">
        <v>2216</v>
      </c>
      <c r="B560" s="10" t="s">
        <v>2171</v>
      </c>
      <c r="C560" s="11" t="s">
        <v>2172</v>
      </c>
      <c r="D560" s="12"/>
      <c r="E560" s="12" t="s">
        <v>2186</v>
      </c>
      <c r="F560" s="12" t="s">
        <v>59</v>
      </c>
      <c r="G560" s="13">
        <v>1</v>
      </c>
      <c r="H560" s="13"/>
      <c r="I560" s="119">
        <v>1176</v>
      </c>
      <c r="J560" s="125"/>
      <c r="K560" s="139"/>
      <c r="L560" s="123"/>
      <c r="M560" s="116"/>
      <c r="N560" s="116"/>
      <c r="O560" s="84"/>
      <c r="P560" s="102">
        <f>IFERROR(ROUND(SUM(S561)/I560, 2),0)</f>
        <v>855.89</v>
      </c>
      <c r="Q560" s="106">
        <v>1444.5</v>
      </c>
      <c r="R560" s="104">
        <f>P560+ROUND(Q560, 2)</f>
        <v>2300.39</v>
      </c>
      <c r="S560" s="89">
        <f>ROUND(P560*I560, 2)</f>
        <v>1006526.64</v>
      </c>
      <c r="T560" s="14">
        <f>ROUND(I560*ROUND(Q560, 2), 2)</f>
        <v>1698732</v>
      </c>
      <c r="U560" s="14">
        <f>S560+T560</f>
        <v>2705258.64</v>
      </c>
    </row>
    <row r="561" spans="1:21" ht="23.4" x14ac:dyDescent="0.45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121">
        <v>1293.5999999999999</v>
      </c>
      <c r="J561" s="126"/>
      <c r="K561" s="138"/>
      <c r="L561" s="114"/>
      <c r="M561" s="117"/>
      <c r="N561" s="114"/>
      <c r="P561" s="107">
        <v>778.08</v>
      </c>
      <c r="Q561" s="100"/>
      <c r="R561" s="101"/>
      <c r="S561" s="90">
        <f>ROUND(ROUND(P561, 2)*I561, 2)</f>
        <v>1006524.29</v>
      </c>
    </row>
    <row r="562" spans="1:21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19">
        <v>21.5</v>
      </c>
      <c r="J562" s="125"/>
      <c r="K562" s="139"/>
      <c r="L562" s="123"/>
      <c r="M562" s="116"/>
      <c r="N562" s="116"/>
      <c r="O562" s="84"/>
      <c r="P562" s="102">
        <f>IFERROR(ROUND(SUM(S563)/I562, 2),0)</f>
        <v>855.89</v>
      </c>
      <c r="Q562" s="106">
        <v>1444.5</v>
      </c>
      <c r="R562" s="104">
        <f>P562+ROUND(Q562, 2)</f>
        <v>2300.39</v>
      </c>
      <c r="S562" s="89">
        <f>ROUND(P562*I562, 2)</f>
        <v>18401.64</v>
      </c>
      <c r="T562" s="14">
        <f>ROUND(I562*ROUND(Q562, 2), 2)</f>
        <v>31056.75</v>
      </c>
      <c r="U562" s="14">
        <f>S562+T562</f>
        <v>49458.39</v>
      </c>
    </row>
    <row r="563" spans="1:21" ht="23.4" x14ac:dyDescent="0.45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121">
        <v>23.65</v>
      </c>
      <c r="J563" s="126"/>
      <c r="K563" s="138"/>
      <c r="L563" s="114"/>
      <c r="M563" s="117"/>
      <c r="N563" s="114"/>
      <c r="P563" s="107">
        <v>778.08</v>
      </c>
      <c r="Q563" s="100"/>
      <c r="R563" s="101"/>
      <c r="S563" s="90">
        <f>ROUND(ROUND(P563, 2)*I563, 2)</f>
        <v>18401.59</v>
      </c>
    </row>
    <row r="564" spans="1:21" ht="198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19">
        <v>63.6</v>
      </c>
      <c r="J564" s="125"/>
      <c r="K564" s="139"/>
      <c r="L564" s="123"/>
      <c r="M564" s="116"/>
      <c r="N564" s="116"/>
      <c r="O564" s="84"/>
      <c r="P564" s="102">
        <f>IFERROR(ROUND(SUM(S565)/I564, 2),0)</f>
        <v>855</v>
      </c>
      <c r="Q564" s="106">
        <v>1444.5</v>
      </c>
      <c r="R564" s="104">
        <f>P564+ROUND(Q564, 2)</f>
        <v>2299.5</v>
      </c>
      <c r="S564" s="89">
        <f>ROUND(P564*I564, 2)</f>
        <v>54378</v>
      </c>
      <c r="T564" s="14">
        <f>ROUND(I564*ROUND(Q564, 2), 2)</f>
        <v>91870.2</v>
      </c>
      <c r="U564" s="14">
        <f>S564+T564</f>
        <v>146248.20000000001</v>
      </c>
    </row>
    <row r="565" spans="1:21" ht="24" thickBot="1" x14ac:dyDescent="0.5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49"/>
      <c r="I565" s="121">
        <v>63.6</v>
      </c>
      <c r="J565" s="127"/>
      <c r="K565" s="140"/>
      <c r="L565" s="114"/>
      <c r="M565" s="117"/>
      <c r="N565" s="114"/>
      <c r="P565" s="107">
        <v>855</v>
      </c>
      <c r="Q565" s="100"/>
      <c r="R565" s="101"/>
      <c r="S565" s="90">
        <f>ROUND(ROUND(P565, 2)*I565, 2)</f>
        <v>54378</v>
      </c>
    </row>
    <row r="566" spans="1:21" ht="43.8" customHeight="1" thickBot="1" x14ac:dyDescent="0.5">
      <c r="A566" s="67"/>
      <c r="B566" s="67"/>
      <c r="C566" s="67"/>
      <c r="D566" s="68" t="s">
        <v>2228</v>
      </c>
      <c r="E566" s="67"/>
      <c r="F566" s="67"/>
      <c r="G566" s="67"/>
      <c r="H566" s="67"/>
      <c r="I566" s="67"/>
      <c r="J566" s="128"/>
      <c r="K566" s="146">
        <f>SUM(K13:K565)</f>
        <v>23050633.393000007</v>
      </c>
      <c r="L566" s="67"/>
      <c r="M566" s="69"/>
      <c r="N566" s="69"/>
      <c r="O566" s="86"/>
      <c r="P566" s="111"/>
      <c r="Q566" s="112"/>
      <c r="R566" s="113"/>
      <c r="S566" s="92">
        <f>SUM(S8)</f>
        <v>22896107.140000001</v>
      </c>
      <c r="T566" s="69">
        <f>SUM(T8)</f>
        <v>47445697.219999999</v>
      </c>
      <c r="U566" s="69">
        <f>S566+T566</f>
        <v>70341804.359999999</v>
      </c>
    </row>
    <row r="567" spans="1:21" ht="22.8" x14ac:dyDescent="0.3">
      <c r="A567" s="160" t="s">
        <v>2235</v>
      </c>
      <c r="B567" s="161"/>
      <c r="C567" s="161"/>
      <c r="D567" s="161"/>
      <c r="E567" s="161"/>
      <c r="F567" s="161"/>
      <c r="G567" s="161"/>
      <c r="H567" s="161"/>
      <c r="I567" s="161"/>
      <c r="J567" s="189"/>
      <c r="K567" s="189"/>
      <c r="L567" s="161"/>
      <c r="M567" s="161"/>
      <c r="N567" s="161"/>
      <c r="O567" s="161"/>
      <c r="P567" s="189"/>
      <c r="Q567" s="189"/>
      <c r="R567" s="189"/>
      <c r="S567" s="161"/>
      <c r="T567" s="161"/>
      <c r="U567" s="162"/>
    </row>
    <row r="568" spans="1:21" ht="15.6" x14ac:dyDescent="0.3">
      <c r="A568" s="71"/>
      <c r="B568" s="5" t="s">
        <v>2236</v>
      </c>
      <c r="C568" s="70" t="s">
        <v>2237</v>
      </c>
      <c r="D568" s="70" t="s">
        <v>2238</v>
      </c>
      <c r="E568" s="72"/>
      <c r="F568" s="72"/>
      <c r="G568" s="72"/>
      <c r="H568" s="156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57"/>
    </row>
    <row r="569" spans="1:21" ht="15.6" x14ac:dyDescent="0.3">
      <c r="A569" s="71"/>
      <c r="B569" s="5" t="s">
        <v>2239</v>
      </c>
      <c r="C569" s="70" t="s">
        <v>2240</v>
      </c>
      <c r="D569" s="70" t="s">
        <v>2241</v>
      </c>
      <c r="E569" s="72"/>
      <c r="F569" s="72"/>
      <c r="G569" s="72"/>
      <c r="H569" s="156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57"/>
    </row>
    <row r="570" spans="1:21" ht="31.2" x14ac:dyDescent="0.3">
      <c r="A570" s="71"/>
      <c r="B570" s="5" t="s">
        <v>2242</v>
      </c>
      <c r="C570" s="70" t="s">
        <v>2243</v>
      </c>
      <c r="D570" s="70" t="s">
        <v>2244</v>
      </c>
      <c r="E570" s="72"/>
      <c r="F570" s="72"/>
      <c r="G570" s="72"/>
      <c r="H570" s="156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57"/>
    </row>
    <row r="571" spans="1:21" ht="15.6" x14ac:dyDescent="0.3">
      <c r="A571" s="71"/>
      <c r="B571" s="5" t="s">
        <v>2245</v>
      </c>
      <c r="C571" s="70" t="s">
        <v>2246</v>
      </c>
      <c r="D571" s="70" t="s">
        <v>2247</v>
      </c>
      <c r="E571" s="72"/>
      <c r="F571" s="72"/>
      <c r="G571" s="72"/>
      <c r="H571" s="156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57"/>
    </row>
    <row r="572" spans="1:21" ht="15.6" x14ac:dyDescent="0.3">
      <c r="A572" s="71"/>
      <c r="B572" s="5" t="s">
        <v>2248</v>
      </c>
      <c r="C572" s="70" t="s">
        <v>2249</v>
      </c>
      <c r="D572" s="70" t="s">
        <v>2241</v>
      </c>
      <c r="E572" s="72"/>
      <c r="F572" s="72"/>
      <c r="G572" s="72"/>
      <c r="H572" s="156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57"/>
    </row>
    <row r="573" spans="1:21" ht="46.8" x14ac:dyDescent="0.3">
      <c r="A573" s="71"/>
      <c r="B573" s="5" t="s">
        <v>2250</v>
      </c>
      <c r="C573" s="70" t="s">
        <v>2251</v>
      </c>
      <c r="D573" s="70" t="s">
        <v>2252</v>
      </c>
      <c r="E573" s="72"/>
      <c r="F573" s="72"/>
      <c r="G573" s="72"/>
      <c r="H573" s="156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57"/>
    </row>
    <row r="574" spans="1:21" ht="46.8" x14ac:dyDescent="0.3">
      <c r="A574" s="71"/>
      <c r="B574" s="5" t="s">
        <v>2253</v>
      </c>
      <c r="C574" s="70" t="s">
        <v>2254</v>
      </c>
      <c r="D574" s="70" t="s">
        <v>2255</v>
      </c>
      <c r="E574" s="72"/>
      <c r="F574" s="72"/>
      <c r="G574" s="72"/>
      <c r="H574" s="156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57"/>
    </row>
    <row r="575" spans="1:21" ht="15.6" x14ac:dyDescent="0.3">
      <c r="A575" s="71"/>
      <c r="B575" s="5" t="s">
        <v>2256</v>
      </c>
      <c r="C575" s="70" t="s">
        <v>2257</v>
      </c>
      <c r="D575" s="70" t="s">
        <v>2258</v>
      </c>
      <c r="E575" s="72"/>
      <c r="F575" s="72"/>
      <c r="G575" s="72"/>
      <c r="H575" s="156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57"/>
    </row>
    <row r="576" spans="1:21" ht="31.2" x14ac:dyDescent="0.3">
      <c r="A576" s="71"/>
      <c r="B576" s="5" t="s">
        <v>2259</v>
      </c>
      <c r="C576" s="70" t="s">
        <v>2260</v>
      </c>
      <c r="D576" s="70" t="s">
        <v>2261</v>
      </c>
      <c r="E576" s="72"/>
      <c r="F576" s="72"/>
      <c r="G576" s="72"/>
      <c r="H576" s="156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57"/>
    </row>
    <row r="577" spans="1:21" ht="62.4" x14ac:dyDescent="0.3">
      <c r="A577" s="71"/>
      <c r="B577" s="5" t="s">
        <v>2262</v>
      </c>
      <c r="C577" s="70" t="s">
        <v>2263</v>
      </c>
      <c r="D577" s="70" t="s">
        <v>2264</v>
      </c>
      <c r="E577" s="72"/>
      <c r="F577" s="72"/>
      <c r="G577" s="72"/>
      <c r="H577" s="156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57"/>
    </row>
    <row r="578" spans="1:21" ht="46.8" x14ac:dyDescent="0.3">
      <c r="A578" s="71"/>
      <c r="B578" s="5" t="s">
        <v>2265</v>
      </c>
      <c r="C578" s="70" t="s">
        <v>2266</v>
      </c>
      <c r="D578" s="70" t="s">
        <v>2267</v>
      </c>
      <c r="E578" s="72"/>
      <c r="F578" s="72"/>
      <c r="G578" s="72"/>
      <c r="H578" s="156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57"/>
    </row>
    <row r="579" spans="1:21" ht="31.2" x14ac:dyDescent="0.3">
      <c r="A579" s="71"/>
      <c r="B579" s="5" t="s">
        <v>2268</v>
      </c>
      <c r="C579" s="70" t="s">
        <v>2269</v>
      </c>
      <c r="D579" s="70" t="s">
        <v>2270</v>
      </c>
      <c r="E579" s="72"/>
      <c r="F579" s="72"/>
      <c r="G579" s="72"/>
      <c r="H579" s="156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57"/>
    </row>
    <row r="580" spans="1:21" ht="15.6" x14ac:dyDescent="0.3">
      <c r="A580" s="71"/>
      <c r="B580" s="5" t="s">
        <v>2271</v>
      </c>
      <c r="C580" s="70" t="s">
        <v>2272</v>
      </c>
      <c r="D580" s="70" t="s">
        <v>2273</v>
      </c>
      <c r="E580" s="72"/>
      <c r="F580" s="72"/>
      <c r="G580" s="72"/>
      <c r="H580" s="156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57"/>
    </row>
    <row r="581" spans="1:21" ht="93.6" x14ac:dyDescent="0.3">
      <c r="A581" s="71"/>
      <c r="B581" s="5" t="s">
        <v>2274</v>
      </c>
      <c r="C581" s="70" t="s">
        <v>2275</v>
      </c>
      <c r="D581" s="70" t="s">
        <v>2276</v>
      </c>
      <c r="E581" s="72"/>
      <c r="F581" s="72"/>
      <c r="G581" s="72"/>
      <c r="H581" s="156" t="s">
        <v>2277</v>
      </c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57"/>
    </row>
    <row r="582" spans="1:21" ht="15.6" x14ac:dyDescent="0.3">
      <c r="A582" s="71"/>
      <c r="B582" s="5" t="s">
        <v>2278</v>
      </c>
      <c r="C582" s="70" t="s">
        <v>2279</v>
      </c>
      <c r="D582" s="70" t="s">
        <v>2280</v>
      </c>
      <c r="E582" s="72"/>
      <c r="F582" s="72"/>
      <c r="G582" s="72"/>
      <c r="H582" s="156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57"/>
    </row>
    <row r="583" spans="1:21" ht="31.2" x14ac:dyDescent="0.3">
      <c r="A583" s="71"/>
      <c r="B583" s="5" t="s">
        <v>2281</v>
      </c>
      <c r="C583" s="70" t="s">
        <v>2282</v>
      </c>
      <c r="D583" s="72"/>
      <c r="E583" s="72"/>
      <c r="F583" s="72"/>
      <c r="G583" s="72"/>
      <c r="H583" s="156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57"/>
    </row>
    <row r="584" spans="1:21" ht="15.6" x14ac:dyDescent="0.3">
      <c r="A584" s="71"/>
      <c r="B584" s="5" t="s">
        <v>2283</v>
      </c>
      <c r="C584" s="70" t="s">
        <v>2284</v>
      </c>
      <c r="D584" s="72"/>
      <c r="E584" s="72"/>
      <c r="F584" s="72"/>
      <c r="G584" s="72"/>
      <c r="H584" s="156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57"/>
    </row>
    <row r="585" spans="1:21" ht="15.6" x14ac:dyDescent="0.3">
      <c r="A585" s="71"/>
      <c r="B585" s="5" t="s">
        <v>2285</v>
      </c>
      <c r="C585" s="70" t="s">
        <v>2286</v>
      </c>
      <c r="D585" s="72"/>
      <c r="E585" s="72"/>
      <c r="F585" s="72"/>
      <c r="G585" s="72"/>
      <c r="H585" s="156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57"/>
    </row>
  </sheetData>
  <mergeCells count="63">
    <mergeCell ref="H585:U585"/>
    <mergeCell ref="H579:U579"/>
    <mergeCell ref="H580:U580"/>
    <mergeCell ref="H581:U581"/>
    <mergeCell ref="H582:U582"/>
    <mergeCell ref="H583:U583"/>
    <mergeCell ref="H584:U584"/>
    <mergeCell ref="H578:U578"/>
    <mergeCell ref="A567:U567"/>
    <mergeCell ref="H568:U568"/>
    <mergeCell ref="H569:U569"/>
    <mergeCell ref="H570:U570"/>
    <mergeCell ref="H571:U571"/>
    <mergeCell ref="H572:U572"/>
    <mergeCell ref="H573:U573"/>
    <mergeCell ref="H574:U574"/>
    <mergeCell ref="H575:U575"/>
    <mergeCell ref="H576:U576"/>
    <mergeCell ref="H577:U577"/>
    <mergeCell ref="C12:I12"/>
    <mergeCell ref="C13:I13"/>
    <mergeCell ref="C14:I14"/>
    <mergeCell ref="C55:I55"/>
    <mergeCell ref="C496:I496"/>
    <mergeCell ref="C57:I57"/>
    <mergeCell ref="C58:I58"/>
    <mergeCell ref="C59:I59"/>
    <mergeCell ref="C255:I255"/>
    <mergeCell ref="C260:I260"/>
    <mergeCell ref="C261:I261"/>
    <mergeCell ref="C268:I268"/>
    <mergeCell ref="C433:I433"/>
    <mergeCell ref="C454:I454"/>
    <mergeCell ref="C455:I455"/>
    <mergeCell ref="C468:I468"/>
    <mergeCell ref="C56:I56"/>
    <mergeCell ref="R6:R7"/>
    <mergeCell ref="S6:T6"/>
    <mergeCell ref="U6:U7"/>
    <mergeCell ref="A8:I8"/>
    <mergeCell ref="C9:I9"/>
    <mergeCell ref="C10:I10"/>
    <mergeCell ref="H5:H7"/>
    <mergeCell ref="I5:I7"/>
    <mergeCell ref="P5:R5"/>
    <mergeCell ref="S5:U5"/>
    <mergeCell ref="J6:K6"/>
    <mergeCell ref="L6:L7"/>
    <mergeCell ref="M6:N6"/>
    <mergeCell ref="O6:O7"/>
    <mergeCell ref="C11:I11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J5:K5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2025-12-24T09:55:52Z</dcterms:created>
  <dcterms:modified xsi:type="dcterms:W3CDTF">2026-04-06T10:54:53Z</dcterms:modified>
  <cp:category/>
</cp:coreProperties>
</file>