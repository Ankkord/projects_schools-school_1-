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ТКП" sheetId="1" r:id="rId4"/>
  </sheets>
  <definedNames>
    <definedName name="_xlnm._FilterDatabase" localSheetId="0" hidden="1">'ТКП'!$A$7:$U$7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<sst xmlns="http://schemas.openxmlformats.org/spreadsheetml/2006/main" uniqueCount="207">
  <si>
    <t>Указать название организации (на бланке организации)</t>
  </si>
  <si>
    <t>{"estimateId":5146880,"estimateVersionId":6864627}</t>
  </si>
  <si>
    <t>1</t>
  </si>
  <si>
    <t>NU2Ehlx9Bcs5sE4LzR31jCW6JJDi4A2rVN9Ttzgpsc2RTnVREoMfEfP7ekzeriScvIWf1tIibxkU8/HJK0M3DUbOFI6gw5B0kvvdJCbWDE9f2q3LDABr+x1B3z2bTbYXBUOR4ZV+olvws7w53kmLMAbYtEJUim65MR+y4xUevO8=</t>
  </si>
  <si>
    <t>ТЕХНИКО-КОММЕРЧЕСКОЕ ПРЕДЛОЖЕНИЕ (ТКП)</t>
  </si>
  <si>
    <t>г. Москва, Кронштадтский б-р, вл. 14, БНК на 300 мест, ДОО на 150 мест</t>
  </si>
  <si>
    <t>Стоимость, указанная в предложении, включает в себя все необходимые затраты на выполнение полного комплекса работс НДС 20%</t>
  </si>
  <si>
    <t>Предельная стоимость производства работ (ПСПР)</t>
  </si>
  <si>
    <t>МФ-СТРОЙ ООО</t>
  </si>
  <si>
    <t>9701212867</t>
  </si>
  <si>
    <t>eF7VnWtzG8eV978KilWpkkUMn7n1YAZV+4KiLqFtXkQAtsnlVgoAAZu1FKmlqDjZlKvki9bxo6yd9WXjxxfZcja7+2K3SpbEmBYl6isMvtFzumdAgUD34PQBekZJyiQ1BMDfv+fMufT1dzMHv73emanOXGtenynP/Lq5c7NTF1d2b+7slGc6v2l3dpILMzf6L4Cff7c50967dm1vd3Om+vfwD/4p8OPzq+XN5x+2mX7a5vOPE6+98fxl4t/xn+PH8f34p/h+773eH0rxU/GPB/D1aXwUH5bik96t+GH6T/6qf4HvR6Vz/IWl+Mf4WPzqsfKVL4m/197b29/a3m0eJH903hFXOzcOtq/BtbW9txe3BoB3D7YPfnvl5nb/2jvls2p3u9tv0tT+bnPz+Z+Fvwn/qjLHD8LQLg/+6rXO/o3tvd30FUEY+IFbeUcm5eIkUsAAaDpkJJcnIbmx/SbRgGQolyZBmciaf4i/iP8Sfxt/GX8V37X4l/gb+P8X8ffxf8HXe+LKF6X4O7jwRfx5/DX889/hJ/6OL8Cqf4AXfCe3WbfacIuS9XCuBCpOeu/CkwbPZrkUfwUP20n8tPf73nvwyD2Ch5f/7ij+GR5Kq3cLXvEgPp4rOT789G8g7yvxaJc82y7FT+LD3ru99+A3n4P8u8lvHPb8N1L9XrXhFaX/Hqg8AXVPeBtwR1Uu9d7vOy7ABwG9T0ByKX4G7XIYPwK/dBL/FX7izuhItMbj+Lj3ce9DeP1h7z3+Wmixw/hH8T7+I2+GQ3jXj73b8PUR/2u9O/xy4htvia93ksaCd9yJn8HLjsWbUlfZv3ACbvCkBH/wBICfwaXD+DH8hfsl/iHgM0/43SrBTfk8vldy7V9Im9uvNvyimvu7tBEPocn+kDYub/ez9yBp7BPh7R/wJhMveXBGJzxS38FTB4+b9KF6mVVXWFEqv4n/wwK2H8AV3I3/X4k/CvFdGeUqq64VRRlVbMd13DCoyMhqrNooigzs90Q4jFtgCBAn/w98lRkyq85XikL8ipsldxU/8USlBE7+Xvy9jPICq14ojPJbeFr4c3UofMdA7jXgeWTQC6y6UBj0V+LuC2gegoBSBJ9n3PMpm/kiq158AYnBdd3qfQJfP4RLEFVk6JdY9VJh6F/EjyAD4I72yZwM7jKrXi4MDtq196+9D+aEob6bRk9pG15h1StFYsbHFo9UPCOSOvpfsuovC+O7C5nHR2Cch0nmkKDKKBdZdbEwyv8UXgoyUHhi3o9/nBubyLwcVF8JiqL9hrtOHqLg2bkPycwdHqc2N3d5msfrVZDwaNDlSgUU1tb3gP/7Mi9WvpW701cKQ9M2g1eD6quF0crKB8E9FnspqC7/TVvvUnGNPs56lwtDS1ytvKopQwNjjXolqK4UJkL7EVwNqlf/pm15tbC2HmvLVwtD0zaDtaC6Vhgt3RPXgmr9b9p6a8U1+jjrrReGNi1P3AiqjUlEHOwdNHdGNGzO7DavdZKPpesY6A7DP6UXPRNyrt+4vl/nv1uCj9zfbu5c+qeb29evwadJRHaHRP5drbF0bimUduQtmcWtXdtf3d3HMi7LGZfNMq7ub7dltjKCCG0122cZTiiMIB5MdMdr8tasmUPVu9t1OV/dHB/6TkMbzdbld7phBO+t7a2tzu5kT/i6vD3XTQPr3fUNOeWGaUr0vYf2mt2Q3/v5+YkoJwq4X4kk5Tg+6n2Q9HWKYfqT52NoR0n3k+gijR/D1/51uPSBGON/kryp94lUmxdWG15YlLw/ypgueFFRPN+mjf1h0qF/P0kRe+/CpVvPE0Z5Uy4Uh/0ovl8694uXSmJY5ykfMJUBXiwMUEbzSy8CyyuKKP43qeX5dlE8n/F8U5jY07MDtkfiH+/Hz+AncfHxQIKaDmPzIbMHYgiYD5kcJ0PcvY+lVlqcRG6lYyy0MDiphfp2tVEYUfyp3EILm6ujtFBhd6KO4v4ytdIf04lmJ2K2xuPe+72PS3y6mbBdHq3APkvnEgtPprH1/e7RoN+9L00bFoprBTDic31xYx1uYZhyc3bAnIsiij+Tm3Nhc7TuiYj+uMQd7Nm5QTx96ts1nzDxHp8i85743SPRqSQdLF0oToqYBjYnt8CioOQW6IIFFkUUfy63QK8ons8GvWH8M3y/E//MO6QSw2QlHskVU0mKo8ZE8aLg5EbngdEVRXRJbnN+QTjxl6NlYYnPsHgmZqseihkNT5MgzKdW/l8xF5I7QAh6YJ4Qo/v3vtS/8JKYrnmSzC4E672TpqTcgf4Eielx7w9i/g5PD56M/CVFLVVcC6lk8uEDPk9mjOkXxS03fT4rtSii+N/lts+K4vkU7PoRmOdg/76Y75sU9byn/7A/ifixZM4wJKxg3u/DWwfmoAmv/UQ8L72R9RTwAviV3MALa4YHvBkGGsES2bdkQqPcwIvilhs4AwMviij+k9zACxv2lFdoYn7fM5HmpouGeDfBQ/G6Ez4b+EEpTXZ5B2KyXij+E/8H/PdT1hzLheKkIjxxUWxyQw3AUIsiir+UG2phvdpD3az3+JR+uYEVhii6VIW753OQ748v9YsilZtbBcytKKL4K7m5FTbKcBdy0zu99wbX80AW8G4JHOZXfJrFl/BN0RUl6n7ee/URXLrdX0KTJMXgQK2BdU3Ct/4i8aXiI8asqlworkEGUntu1qWRnIBf/YUsBZJm6xcLUyI3/hCMvyii+Gu58Rc20DFg/CN22c8O+LQoyGO5gQtL4KY9uCqMv6NfuR2LVCFZ8eJaXklkEom3PPsopNWTMB8+TZ6VTtf0HXLL4n9tsMbkf5Mjiefsp6H8A36peIgKa9ihh2gYWVwTbSN/ZIrilj8yETwyRRHF30gfGVbYyMt/iWQ5GUZ7nkkPjLrdBytOA4JYiyoWkApPyu/96HtldWYyTP8InohPpI6W1AddXJsNrIHhhp+9JOZiYZxS62d2tVEYUfyt3PoLG6j5POmrSwLGw3T8+dbzkNFfJ530Esh7N4qjfwT+lhsgZO2pB34ot8CiCOUW6IAFFkUkr70usMIGau4ms7QzU4+sxONk4P3nRKoBPhc8M+TxL6VLXh8J8xV9d7yH9/3ebdF3d5xMGxebM5zw1aa8VvhQ+N/UmfMngCO5tuNzA4PvLP0epEjyRKW45hRQ1vNa9nlmMu4iNG0y/xka9DD+KZ0DLdV3sTB9/A5Ym5u7/A6k3yuW/Clz4SkrCjP+Tv6UeUXx3AN7/5k/YSiHXhQmGOO7YgBG0Qd5sTAyuYl5YGJFEan2SvCL4vlMJKwiXU22JhEj3OB8j0RyIaq+3q1StRT/x1z85Vx8d25gV5Ykde59XE4S3+O5cqljXWtu78gNtCiRcjPwwQyKIorvyc2AFcXDl/IPTlA+4R0DvI/tX+KTqdz7opTJ7z3f5KUoovgH+b0vbOiB700kxhbFVk7pRimPS8nOXWmN+7ywTcxEfpOLkiC/yQHcZE2ifxCfs9VZbR68BdeAL2i13VaraVsdv8ssP7S7VhhWulbT9+ymx3xna6uZvHJ/7+3khyj5dqqss9M5XS0yKA29Fs6B5+7TtMY76Xdb8Jt0JLluDUxJHno536tNOql6Pqwu4ntjsY3yDrzR8dCNMYWVdJF8JZ0hab6+NL0VOctyPcuG9DB9Pei1O1zOilzOiiE5+MdwwtV8clk1M7JcW0+WnsXV5VrqhrQ4elq0rK0hl9IwIEWYm7t5NgoMa7vRaR9sSwIcRIGb11od2S0ajQOOTNK8fFTArQS+4/uVcFhXEnuh+dGEPCT+6rqIieMhXRnjBSLj8EOc0Yq4WBp/DrGwn8QeJalrWvYcnhl9LovRMd4pleY+yUtEL1cyByvtmjo73vxEpn4hqi4SG2AkgKpbYAoB1LHlEZQKPxwiEfB6DmtZQbxMJWb6xFpuaUUBvEIFxj8hE4Y5BXiNCD4SyMaA69lFXUFbp9Li3TkhVClgGxRYYRSbecQiRTRy5MN0fepI2cRoSL1wJMe8QMXEP28vSkQSW8sfigUAP4ky/yP4zHQatXwgxLGri9T2yTlgOeUl1y8veY48cJFV5BC5nPIyoC8r0JfJ6EwfXctdrQD5CpCvKMhXyOT4Z2vSWOaUa6CgplBQoyowHdScch2w6wrsOhkbHyAo0c0pN4C6oaBukKgHsY3HOVWkk08HSMH5ARh5R7o5VxHsiKT4BxIb7O5CTBLb4PPRQn4Ew135qOuC40AMImLnHINcReyh0ucQe+TIy2Rkpo+s5URWFMQrZGK8aU8aa+TkNSq56Rgjx62TcfFOmRJb5LQNEm2epZM6qMhnv/TJHWU7o0EJQUVVQxFZ8c8eNqyIOFJyLL46/1/FOPZfZcQLjgtRhUidc1TxoLJRRRaqghwiiwdVjSq6ULGZPraWG1kB6hUF9QqZGm/lk0YYD6oZVZQh0puOMh5UMqpIQ0XG+2pKpPGgilFFGwrxgNPOJdqo4o18Klyf3VW2NhqVFG/m5MNIVFr8s4iNOPeSTrjeHRnnguNBnCGy5hxn/PKSU1HEGaqCHOKMX15WYC+TsZk+tpYTWQHqFQX1Cpkab9uTxhm/XFPQ16j0puOMX64rkOtkZLyXpsQZv9xQEDdIxIMPJHfaf58VcN7e2/9HiQ5KtFHFGz9Tg69sdRwpMdjMOb4q4hB5h524qmWR4eZTvkQmvi82DjkaONFOLHiBOCQWy/eXIz5IzmJ7PpaUrpSJH4rFIk/TLUiSBTTJ8nKx5OaEH36aLNXh38WnPe2/+5l4D196c3tgpU2ypJJ/3nHvo7mSWxLLuiQNuUBtyOFYorzx17gz+9X2DYydyggvUgmZFiGR7hKVLsDRXes0b9zcR9niE+mTcpkKWMEBdn5zvbN7Qwa4OwTozNm2LUO8QkUMcYi/3tu5iXqcZXC/pMINx38FnIhFmNbzFa23SAV0hmO8gpAnVSJYklKUxcuX1tZW1s6trTSWL55LclsGuW3wEvdRi/zcZvelsnymxctkacgAeipNmb8M3wbPjebk9+EVMiwyhp7CYpodmm42afJXkiaWIb9KRkaG0ckKoYQflJxfVGtYImvwNTXgc9wEHKDPn7kFKgnLZAlMUwLafKBVZ/tYIxURlRYZ8q5P0dfUwNfUUL5mlSwLGSiva/kZGeJVMiIyUF7HmsfqqXe5qn4y18i4OqGTZCgJ+2q2Z6lR+UeK5yx+ule5mu1V6mR8ZPDUrKLBZOpyj9IgkXLUlhM2gyBqW4y1Istvei0ranXaVuh7nW4n8uyu107EKEvra6n9SATSymtVgc30NGLFyYrwDE06hbhMxwWTOoaziqx7gyzQ/5svz4dC+FhMtRSTWx5Chf6s966om+/3PvlVWmr/KKa/8L2Fkn//Wcz7/EAsth08xCY9JkhU5mIHPCu+F/8Q/1Fs8fDH+Pv4h3LJs+FPPZS134LJ9mP49pu06jWoYjhNyFChUR0r7sdlk0qGM4MMJTpldCgTcsWkkOH8IUPIhMW2QRHDWUWGCGxR7jJXVZQbFDJSuGco0SreR0zNnatI5b1sVJ5GGJhGgdkvMxnPpCAhZOpS06RqDbeHrpAwVcWqUVW6Dx1GVeZ9XB1/H2vGFIuktOI0O8x1uxbrOE3LbwUOvLbpWJWg0rabjh0G3tZm3kmptG94nhudXkPgxOWelBrUoeGNsEnpZ0PjPfeTc0AeJRtFPEoPVkq2UztzZuXD+Fgco3AiBokeivNHRGr6VOz1miw36m+DeemN1ZW1eqnVvNEpiYO9b/V+L/axPZa14YLJNmT4Npw0MTWoQsNDTyMxNajESGJqyyvfKyaF5JeYGhShGyMR94KPFsl0LJrUkV9e6rtzkSIxNalPIxRMMzEN0oQmUCemJlVruL0pJ6YmVek+dBhVYxLTsfexZkwx/O8fBm8mt+TcZhwpck/5KRt9rcGw1rxmHAVznoz3ApV32GlMOOPov4emAvHscWC2kdiQ90icqwXJozjfMjlLi89Egl8mh80+HZholGyonpwUMOF0pecTjsQOwmDoTEw8EgcnlVwnYxYSsXF9XONOYxYSkZBpERLpLlHpkEOyGumsahYSERA5uIrPUjNmIRERkYOrE+afRDidoVRE63nKSUhEvuImIYXlJScqL7k2/OekEwQqmZORqBKRsVV/MlLoBsrJSFRYZHjVnIxUOZ2MVFFPRqIiIyPsNFJyUHJ+Ua1hiawBGcgmmIxUOX/mFqgnI1ElME0JaPOBVp3tYw3RrpBpkZEPXdEgfE4NfE4NfE4NfE4N5XNWyfKQcXMak5KoiMi4qTEpqXI6KUn5hK6RcXUiKclg+mVipoepUfkNT0qqnD/T9OpJSVR8ZBDVnZRUma3LPUuDRMpRWzaLoPDuWEHQ7lh+kwVWVAmY1Y5cv+O37VbYSp9OZfWd0RlBq8BVk5Lk264qNWLFyer0DE06tbpMxwWTOjQ6/Sap4VXTkkxNQzLYYgzfYpOWvQZVaHR7apTHytEeg0qGc4EMJRp1tEzGFZMy8hvrMShCt9sZcydsO1RV5QaV5DbaE865irEek+o03P40Cst+eRmmYwShusQ0qVrD6aErI0wVsWpUle5Dh1E1Zqxn7H2sGVOcTEJifqvDtkKLtR3P8v3ItppB07G6rahdsTvw2xbbzDsJVQwERboNgROXexJqUIeGN8ImoflMQoIkdib+X/FK/gt+tOhMybH52XkPf8UzXFlTLphsSoZvykmzU4MqNBz1NLJTg0qMZKf2XDrHcyRBNagkvwTVoAjdWIm4Gb70ViyaVJFfcmorRmBeNipPIx5MMzuN0qwmUmenJlVrOL0pZ6cmVek+cRhVY7LTsfexZkxxssFem7U82w+tcKvbsnzIaq2oyVqW3WrDhZD5XqW1mXd2Kp32M+9mboMuawicuLyzU5M6NLwRNjv9TpxC/gFklMf8YHIxR4kfRM6TS34Wrsgd4+/ibxyp910wKZfh5U6YQZpUoeFMNTJIvh3Vw7mSfJrXZZN6jOSRitXcV0wKyS2NNClCN6gh7gVj8k5OkzJyyyOdcM7zZfJeNipPw3NPMY907ST/SL7LVC8ZVa3h+qabRxpVpfvIYVRl55Hj72PNmGKRRwb+VqXS7nhWywlDyw+YazW9Dn9Xc8tpBc2tkLU3884jpY/xvJt99IGkIXDics8jDerQ8EbYPHK0lzMdWOdXxZadSQ/n/XSKu+jhxPSDyhpnwWTjMHzjTJp1GlSh4Xo1sk5Vv6VJJUbyTWW/pUkl+SWcBkXoRj/EzQgU+aZBFbnlm0E458v7LY3K0/Dw08w3nTRPcdT5pknVGk5vyvmmSVW6TxxG1Zh8c+x9rBlTLFZQDnhLZUI51cNB5CPmrpspsjIsUrV0ctqHg0g3prpApR22r8kPB/mcn6/LU7jkKCrJYb4yAQuuW12kisj31BDXU3g3Kr2vT4+fOy5ODFEgL5ORmT4yfr44Py1EQbxCJsYbOt2PivUnCvIaldzwKSEK3DoZF++qNZcR8BNCFLQNEu2gJXPqnNbqq9YJuF6mBvTh8VNdqx9CraQ4AZHKO+ysJ1yrPxRvSr3fD+1GelSKj8RA1hFcOiqNnPMhXvGUT82SH/PRX/gva4QFaiMM+3xza+qphEyLkEh3iUqHXFmo0b2hWFNPBUSuDcT3WqjX1FMRkWsDJ+yOIMINx+sJ19Q7FdWieiqgkUX1o11ViolPZGpkXNNfJ+8EykM7yLDI0Ka3Tt71+uvkXU+5Tp6MjIxuWnUI1iqWyNTIcESoP9K1q653/kyjK1fGkyUwTQlog4FWne1jjZQjVFpk/CL3VKlMZJVMjAxoU1jsTkZEBjT8YvdTV3FV7SrWyLg6IW6aNlCjEptd3n7qIq5mu4g6GR8Z+zTrUjCSutw9NEikog80mcGZxj/z3aCKLlA/Cz+ylQ2NxtQvSqWkF6ik+F4hbDl6F4rFR+KUi8dJSXk/KTGhoHwY35fBL7h+dZEqIOeuT6bo+qTSD+cdCHq8X0m6PuXIy2Rkpo+M9yWi61NOvEImxhs5OtQouj7l5DUquemuTzlunYyLd8+aIUZ0fcppGyTaAS+dQ3BRdXiyTHJH2c5oUEJ4URyFTGXFP3vYAHMv6Y1UDaMxiCVE1pxjSaCIJVT6HGKJHHmZjMz0kbWcxoqCeIVMjLfnSWOJnLxGJTcdS+S4dTIu3htTYomctkGiHXDJOY2icU+tCClBpgBP2dw4TlI8UcW/C1RYZBcjNqBIN8o6gSjzmA+BiR2r020InvKw07td4gNmj5KRsv6VZHOCZCTuQbJjVjpu9hhKoeTT+I5ah2Le78983+xDcfGwXBKjdMe9j3sfipnByQba4vN+Fp/xgO9+8Eh81AmfR8JH5eDi03RjBPgo/hc+kY7syRp+gdrwwxHG4KAdkZBpERLpLlHpkJ2eGoN2Y1bCETmRXZ1TGbsjIiK7OiccuyPC6XRsYlpPOXRH5DMydDcSaSX7YbuV8pIbwn9Recmzk71p3SBrP2yyRGTk1R/nY66nHOejwiLDr+Y4X3A6zqc8DORVMjIyCE9WKPWnVgfnF9UalsgakPGMUC71u/SD82dugXrUjyqBaUpAmw+06mwfa6R6otIiAyB61A/hc2rgc2rgc2rgc2oon7NKloeMm9MYIqQiIuOmxhBhcDpEqHxC18i4OpGUZDD9Sf+ZHqZG5Tc8YBicP9P06gFDKj4yiGpW4GAydblnaZBIOepWhXVZFDUtVvEjC17JrDDqVqxO0466fshY5KcRS1mbX2tOa5Gum8x0lSmcdzN3/B5ViJUmq+IzFOlU8jIdF0zqGM4tsu7MBEV+7wP4J1+V+yhZbdvfDftufC/+Fr5+Gn8Z/1BKd7z+Hr5+Gv9v/HX8dWl1wXVKS7JmWTDZLAzfLJMWuAZVDOcAGSo0CmHl4lyDSgwtzvVUq3MNSslvda5BEcPJQoYIbOntMvm20IsmdeS2PjecCxWza02q0/Du06ge+zVkJV3WqT5XyahqDbeHLn8wpcKqUVW6jxxGVeZ9XB1/H2vGFCfbwTSbYctrRVYl8HzLt7uR1WRt+GK7TrvjsW6lX5TnlmkqZq9l7v0tawactNwzTYM6NHwRNtP8Mx+U4SMy8WOxpWB83PskGSeKf04zzFf/zoufiB9d1rvtMvWRpSa1M7z2SdNJgyo0/Co+neQjaTIll00qMZRO+jIhV0wKyS+ZNChCN7Ih7oWvGsYxKCO3XLLizcl3SX3ZqDwNBz7NZDI9ecNVn6BiVLWG05tyMmlSle4jh1E1Jpkcex9rxhQny+877Xbg+o7Fus3A8oP2ltVy3aa15bZZ06lEYbuSd7elJ2uGeTfSbQactNyTSYM6NHwRNpk8u0N1731+LopYpM/nEMXfxZ/Gf+lvNfhuSSy1eMIP8Ou93/u491F8ODjRiL8j6d/8If4i/ovo4fyWn+kH37+O/yf5nWP3bjtMnY4abD2Gb71J01GDKjQ8Mz4dHTfNx6AeI0mpM2czmZIrJpXkl5UaFKEbIhE3I/RlKhZNqsgtKfX8Ofn+ii8blacRCKaZlKYHbrjqg1OMqtZwfVNOSk2q0n3iMKrGJKVj72PNmOJkLL3ZbW4xz7ZsP4gsvx2GVuQ5WxZj3SiyKy5PcDfzTUqlPmrey9z3W9rRi5KWd1JqUoeGL8ImpafbXZ8OmEOSmZzId9R7LzlN+nGyIxUkmxZzkpedE3Pm75/OV5ea9oLJtmD4tpgwxTSpQsPPaqSYqgF0k0qMJJf2nB0wmZQrJqXkll2aFKEb6xB3g8kHpxZNysgtvQwqqj5Po/I0XPoU00svPYfDU5+nYlS1htubbnppVJXuI4dRlZ1ejr+PNWOK071d4P1eejuVGeTUVt/L+zO9zC28I39YYg5r7z3plNgLVNJhy5p85f3Q1i58YSOfOykOy+vdlsEveE51kSog3+X4nlte8nyFX6Mq8PUV4GeBiyX5gL2swF4mYzN9bPzsb74sH6hXFNQrZGq8wdM9qVhRAvQ1BX2NSm94eT4g1xXIdTIy3mVrLhDgS/SBuKEgbpCIBwqOHIKOYva/52aSM2Vbo0EJYWeuImO9QGXFP4fYwEM8UsFzIfgQReQcfBRHKpDpcwg8iiMVyMhMH1nLo6woiFfIxHhDnzTgKI5UoJKbDjaKIxXIuHg3TQk0iiMVSLQD/i+nvWA85Uozz8sUgD7AZ1p7wfBAMxcp9oKhwg676Qn3gin2MAVqIwx7e3P7slAJmRYhke4SlW64a2nyfVkUhylQAZELy/Gd5OoNWaiIwx3gRjZkocINR+pJN2RRHqZABTSyI4tkZETRW02lRoY0/U1WMg5TIMMi45reJive6WEKnvowBTIyMrppVSBYq1giUyPDEaHySDc+8E4PU/CyD1MgS2CaEtAGA60628caKUSotMj4RR4WUR6mQCZGBrQp7JRCRkQGNPxOKaeu4qraVayRcXVC3DRtoEYlNrs3yqmLuJrtIupkfGTs06xIwUjqcvfQIJH2D5SNUvvIo+tTmvvOe34mfqhsaDQopSKNIhnsBSosvksIW5EmKwA+hHoT0+PpVxep6Dn3eLLykqfYAZusYDjxQCjAO5ak15OVlxXYy2Rspo+Ndyii55OVVxTUK2RqvKmjY46i95OVawr6GpXedA8oK9cVyHUyMt5ja8Yc0QvKyg0FcYNEPOC6c+sJVR204LEMAcy2lU2O46TFHeW22FRaZLGIDTx/Ev2e9/sbYj8R/+Q7Xh/xPQ34pQdiodmH8VO+3EwmZYEqZdiRG+zQJBIyLUIi3SUqHbIgxHdoKrZDoPIhy7+p9GcSEZHl34T9mUQ4nWIP03oemwtlgItUwIL7M6nUyMBE6M8MQ0+x6PEVMi0yPGl2aLLTDk2m7tCkIiNjlFaBgTWLJTI1MhwRiop+bwU7f6bR1R2aVAlMUwLaYKBVZ/tYI7UFlRYZvwx0aFKJkRFtGh2aVERkRNPo0GSnHZpKV7FGxtWJcdO0gRqV2HCHJjt/prHVHZpUfGTw0ywuwUjqcvfQIJHyDs3yaYabY2mp6NUMMjW4ytbGcRJLy0BVWhJpkWEbW1r+WXRi9gtLft5RcrCROHYpOepoaLpn7/ZA56fY60RsiSEWov6Ubm7Cz116AhXq79NpOuJCug6Vb4XCT1+CN9yRtcwCtWWQqcE0KlUiIdMiJNJdotIhI/3klSqRDxnXp1KpEhGRcX3CSpUIpxPFMa2nrlSJgAVXqlRqZJzTr1Qj25nzpYNir5BhkcFOs1A9Pd7IUx9vREZGRjxDhSqVGhmNJihUTw808rIPNCJLYJoS0AYDrTrbxxopVKm0yPBloFClEiMD2jQKVSoiMqBpFKqnZxSpXcUaGVcnxE3TBmpUYsOF6umpRNkuok7GR8Y+3UI1mK3L3UODRJosdX8nWe7+1vbWVmd3Aaq5VVHMcf6g1XZbraZtdfwus/zQ7lphWOlaTd+zmx7zna2tZvLK0+qWn098Rnpnp3NqRWfVJ38RHZtG26OxdG49kt659VDaHFz1cEtgVYr7OuxMUeLw9skVbcgVbRhSNOxsUYrwJguC5ufliubnDUgaTObUNqmelzAVm3Tkp/atRxnPqF9RT6sYtjoUvqbVKZg3qMzDdoVi1rQrBTMYHAFaWE7RhuOU112/vO45cgNyMnc9qUTFWpBT3gD4DQX8Bhk+F1NyyvPzQD8/r8Dn1kbgH8wGijMreXqz7mRuUhCq++FzMSc59AYZOhczkkNz+yJQvxAuyQOXpLIfN1OUU6z9eOCOVDZEBc/FhjzuipSGREEX7EUbEsQ1p6IwpMx1A6FbrCFBTFOAb5DBczEkHs4U5NzMCOiDXXjcoM4MbLrITtREEbqnWlHFrzp+eiDAnKsq4F/jrBki1RsHITtXB6TgrSrte0Dwv07m97X58eRrCPI3yORMh5zukxIpNYSUdbKUYe80XoquEdUR/BtkfmRHLMVDQaPO9sFGXRMFmBO3nLAZBFHbYqwVWX7Ta1lRq9O2Qt/rdDuRZ3e99uZQGBx2Wteayu0tp+O4+u4rmZAENy/TgTG9psC2gfRRGyt98seNjTXXdWOSk/3VnGaHuW7XYh2nafmtwIHXNh2rElTadtOxw8DbemFMJECZSKDbXrg2KMpEAoSJmJLcn7vVHzXjaUChOU5lbGO85lQyGyMYboxcc5zx/K+T+X1tfjz5GoL8DTL58FM1PrBOYEQ1hJR1spQ8cpzx/BtkfqM5TmW2Dzaa41CARY5jswj8VccKgnYHgh0LrKgSMKsduX7Hb9utsJVqegECWIgKYPJxIGVTYNugqAAWjjXXdWOSkxyH+a0O2wot1nY8y/cj22oGEOy6rahdsTvw2xZ7YUwkQplI5oiOrL1wbVCUiUQIEzElOekNbLOWZ/uhFW51W5YPpmVFTday7FYbLoTM9yqtF8VEXBtjIm7m8IysvXBtUJCJuPZ4EzEmWZhI4G9VKu2OZ0F5FVp+wFyr6XX4u5pbTitoboXshSmmXQdlItmDMJL2wrVBUSbiIEzElOTTbXvCYRsYbghU1zapHcS4givfHHfdzR4oUe+aNJzRovjxSa0YU1BAb5Ch8xhPUEDzwSoCtSizU1sZWSOVU5kt9xLZAyPqeQo51NOuN/aRf53M72vz48nXEORvkMmZDjnZ38jdDJU5h8IZ0eYbZH6ThbPrzfbBRp0NBTid6Vp+7lmKi1dMEa/8LF1RsZNxFNAbZOhc4pUcms/zIlAL7KJtR7791TrnyBBU7EQcBfQGGToX25FDc6MiUA/YTlGpTn9EwR0/vPIaN4sMjSOH6+WaAY3nf53MbzYDGk/+Bpmc6ZDTvVC/8hwvZZ0sJY/EaDz/BpnfaGIUzPbBRj0TBZgTb1VYl0VR02IVP4I632NWGHUrVqdpR10/ZCzy0wf7BejoqaA6ejIHV6Sng6LaoKiOnvEDYOvGJCd9gc1m2PJakVUJPN/y7W5kNVkbvtiu0+54rFvpl/IvgImgBp3czBEYWXvh2qAoE0EMOhmTnPTldNrtwPUdi3WbgeUH7S2r5bpNa8tts6ZTicJ25cXxIqhBJzdzBEbWXrg2KMpEEINOxiQngQZ1BPOLYSIeatDJ2DHUxZiIhxh0MiY54+TtvOtszy2vK052XSed7FrOqdYG8A0F+AYZPI96G8Dhi5x8nnYUOmcfmQmTtyEpBqdIJzfmZkSKwSkydC4GpBqcIlFz7CihLqrDRqbmNdIBK+V8ema88aMNr5P5fW1+PPkagvwNMjnTISe7G7mXoTLn0AWDaPMNMr/JLhjPm+2DjfoaCrDy/KPcgxWDrEcxwkA6YENmSigNeGtKAhaDrEcxykAGzyVoMZ71qIYaSOgvwFCDTM1rpJ10yzlFrvGrkl4n85uNXOPJ3yCTMx1ysu+Ruxsqcx6Ra3ybb5D5jUYuNrsh3+d6nnb+0JiNrgt1N0GmHld5A/JwN+NHn14n85t1N+PJ3yCTMx3yKbsbKnMe7mZ8m2+Q+Y26m2B2Q75b4TxtT/rn2xW+M1Me+MyZ6sxlB66c+bTkPeWBj+lfuXHw253ODdA9093bPeDf23s7e/v8h+b+my3+aZfdy8wPKzPvlMWG8XCpvn2tc6O03Hm7tLZ3rbkLf+3G9j/DLxy3PHNzd6uzv7O9y1+3uwff4G3Nne03d7lJ8o99a29/+5/hbzV34BU7ne4BvP3Xnf2D7ba40oaXdfbh2tv7zev1zm/gPQf7NzvwKS2Q2NkXrK29g4O9a8lP/GKNq+j/wbJEgi3+x3fEm9nabr65t8v/FuXdApj0zv3tN98ivvVg7zrljfDO7vaOEMq/c+uEF9zY24Hbz21ha0H5Xm4Yzf2D0Rf0bYEbgziT4fLePphZYkD8J75nJrzySme3sw+NDK+7vr93kJQL/FU7e+1/7ID59S93OEvySMHF7d23wIkdcPj/D70LwKI=</t>
  </si>
  <si>
    <t>object_element_guid</t>
  </si>
  <si>
    <t>id</t>
  </si>
  <si>
    <t>zeroParent_id</t>
  </si>
  <si>
    <t>material_guid</t>
  </si>
  <si>
    <t>work_guid</t>
  </si>
  <si>
    <t>hwd_guid</t>
  </si>
  <si>
    <t>cost_item_guid</t>
  </si>
  <si>
    <t>Номер п/п</t>
  </si>
  <si>
    <t>Код узла ИСР</t>
  </si>
  <si>
    <t>Наименование затрат</t>
  </si>
  <si>
    <t>Комментарий по ИСР</t>
  </si>
  <si>
    <t>Комментарий подрядчика</t>
  </si>
  <si>
    <t>Ед. изм.</t>
  </si>
  <si>
    <t>Коэф.расхода</t>
  </si>
  <si>
    <t>Кол-во БО</t>
  </si>
  <si>
    <t>Общее кол-во</t>
  </si>
  <si>
    <t>Цена, руб.с НДС 20%</t>
  </si>
  <si>
    <t>Материалы/
оборудование</t>
  </si>
  <si>
    <t>СМР, ПНР</t>
  </si>
  <si>
    <t>Стоимость, рубс НДС 20%</t>
  </si>
  <si>
    <t>Общая стоимость,
руб.с НДС 20%</t>
  </si>
  <si>
    <t>1. Встроенное и Встроенно-пристроенное СКБ</t>
  </si>
  <si>
    <t>6bc2bba0-e4f5-480f-887f-a430a3541dda</t>
  </si>
  <si>
    <t>1.1</t>
  </si>
  <si>
    <t>12</t>
  </si>
  <si>
    <t>Дополнительные работы, неучтенные основным проектом</t>
  </si>
  <si>
    <t>1.1.1</t>
  </si>
  <si>
    <t>12.1</t>
  </si>
  <si>
    <t>Дополнительные работы, неучтенные основным проектом (невозмещаемые)</t>
  </si>
  <si>
    <t>1.1.1.1</t>
  </si>
  <si>
    <t>12.1.21</t>
  </si>
  <si>
    <t>Отделка МОП</t>
  </si>
  <si>
    <t>1.1.1.1.1</t>
  </si>
  <si>
    <t>12.1.21.1</t>
  </si>
  <si>
    <t>МОП 1-й этаж</t>
  </si>
  <si>
    <t>1.1.1.1.1.1</t>
  </si>
  <si>
    <t>12.1.21.1.2</t>
  </si>
  <si>
    <t>Стены</t>
  </si>
  <si>
    <t>1.1.1.1.1.1.1</t>
  </si>
  <si>
    <t>12.1.21.1.2.14.2</t>
  </si>
  <si>
    <t>Выравнивание стен с предварительной огрунтовкой / по оштукатуренной поверхности / толщ. 2 мм</t>
  </si>
  <si>
    <t>м2</t>
  </si>
  <si>
    <t>110a99a0-6a0d-45b9-b62a-cc3e037ec5cf</t>
  </si>
  <si>
    <t>c7f7ed9a-77b6-42c8-bd45-c29ff5735a2a</t>
  </si>
  <si>
    <t>43208d3c-f276-4d19-80eb-e1ae8df17cbf</t>
  </si>
  <si>
    <t>1.1.1.1.1.1.1.1</t>
  </si>
  <si>
    <t>Шпатлевка гипсовая_ / белая / Унифицированная по ПИК-СТАНДАРТ, 30кг</t>
  </si>
  <si>
    <t>кг</t>
  </si>
  <si>
    <t>276414484.54621</t>
  </si>
  <si>
    <t>20887689.54621</t>
  </si>
  <si>
    <t>b18a669c-55b9-4a3b-9bec-843efe930f3c</t>
  </si>
  <si>
    <t>1.1.1.1.1.1.1.2</t>
  </si>
  <si>
    <t>Грунтовка водно-дисперсионная глубокого проникновения EXPORT base Маршалл</t>
  </si>
  <si>
    <t>276414484.1276361</t>
  </si>
  <si>
    <t>20887689.1276361</t>
  </si>
  <si>
    <t>71ae522f-5e1a-4b61-9ba1-767c0a10863d</t>
  </si>
  <si>
    <t>1.1.1.1.1.1.2</t>
  </si>
  <si>
    <t>12.1.21.1.2.16.3</t>
  </si>
  <si>
    <t>Штукатурка стен сухими смесями с установкой маяков с предварительной огрунтовкой / толщ. от 16,5 мм до 21 мм</t>
  </si>
  <si>
    <t>c5aa8ee2-e574-43a3-844b-653c022bb54c</t>
  </si>
  <si>
    <t>4a5c59c9-0553-44c9-b70b-c25500d734e6</t>
  </si>
  <si>
    <t>1.1.1.1.1.1.2.1</t>
  </si>
  <si>
    <t>Штукатурка гипсовая_ / Унифицированная по ПИК-СТАНДАРТ, 30кг</t>
  </si>
  <si>
    <t>276414486.54616</t>
  </si>
  <si>
    <t>20887675.54616</t>
  </si>
  <si>
    <t>b059108e-66ce-4a56-9765-c924e4c0b8b7</t>
  </si>
  <si>
    <t>1.1.1.1.1.1.2.2</t>
  </si>
  <si>
    <t>Грунтовка водно-дисперсионная глубокого проникновения "Эконом" 10 кг_/</t>
  </si>
  <si>
    <t>276414486.54744</t>
  </si>
  <si>
    <t>20887675.54744</t>
  </si>
  <si>
    <t>754be5d8-5c13-4490-a6a1-fb9c70e54bb5</t>
  </si>
  <si>
    <t>1.1.1.1.1.1.2.3</t>
  </si>
  <si>
    <t>Профиль маячковый_/ПМ10</t>
  </si>
  <si>
    <t>пог. м</t>
  </si>
  <si>
    <t>276414486.55030</t>
  </si>
  <si>
    <t>20887675.55030</t>
  </si>
  <si>
    <t>2c5b3048-8dfb-4910-9a5b-0bcdfb85437b</t>
  </si>
  <si>
    <t>1.1.1.1.1.1.2.4</t>
  </si>
  <si>
    <t>Грунтовка _ / универсальная водно-дисперсионная</t>
  </si>
  <si>
    <t>276414486.737422</t>
  </si>
  <si>
    <t>20887675.737422</t>
  </si>
  <si>
    <t>64d77ce3-b188-4652-a3eb-49ad1b6ad85c</t>
  </si>
  <si>
    <t>1.1.1.1.1.2</t>
  </si>
  <si>
    <t>12.1.21.1.8</t>
  </si>
  <si>
    <t>Демонтажные работы</t>
  </si>
  <si>
    <t>1.1.1.1.1.2.1</t>
  </si>
  <si>
    <t>12.1.21.1.8.15.1</t>
  </si>
  <si>
    <t>Демонтаж шпатлевки и/или штукатурки на поверхности стен</t>
  </si>
  <si>
    <t>67ed843b-286e-4669-876d-802f76998bd5</t>
  </si>
  <si>
    <t>18aed159-e807-4adb-a4d5-fcc3f3d2a195</t>
  </si>
  <si>
    <t>1.1.1.2</t>
  </si>
  <si>
    <t>12.1.22</t>
  </si>
  <si>
    <t>Отделка паркинга</t>
  </si>
  <si>
    <t>1.1.1.2.1</t>
  </si>
  <si>
    <t>12.1.22.2</t>
  </si>
  <si>
    <t>1.1.1.2.1.1</t>
  </si>
  <si>
    <t>12.1.22.2.2.1</t>
  </si>
  <si>
    <t>Штукатурка откосов оконных и дверных проемов по стеклотканевой сетке, включая устройство декоративного слоя штукатурки</t>
  </si>
  <si>
    <t>3a4ed675-e8f3-4aab-b90e-5a8b445239a6</t>
  </si>
  <si>
    <t>7db2682a-7683-4e4a-a3ad-b02d78459645</t>
  </si>
  <si>
    <t>1.1.1.2.1.1.1</t>
  </si>
  <si>
    <t>Штукатурка фасадная_ / ОСНОВИТ СТАРТВЭЛЛ PC21 M</t>
  </si>
  <si>
    <t>276414493.40145</t>
  </si>
  <si>
    <t>20887683.40145</t>
  </si>
  <si>
    <t>d75f599a-5749-4935-89f7-ea09f4855943</t>
  </si>
  <si>
    <t>1.1.1.2.1.1.2</t>
  </si>
  <si>
    <t>Уголок малярный_ / L=3м /25х25 мм</t>
  </si>
  <si>
    <t>шт</t>
  </si>
  <si>
    <t>276414493.18405</t>
  </si>
  <si>
    <t>20887683.18405</t>
  </si>
  <si>
    <t>6aa8b3b9-7634-40f9-a5c9-a021ce35f715</t>
  </si>
  <si>
    <t>1.1.1.2.1.1.3</t>
  </si>
  <si>
    <t>Профиль угловой ПВХ_ / с армирующей сеткой / ТЕХНОНИКОЛЬ / 10х15мм</t>
  </si>
  <si>
    <t>276414493.41335</t>
  </si>
  <si>
    <t>20887683.41335</t>
  </si>
  <si>
    <t>1ecc6241-5fa6-46cd-b22a-d2c5a1798c73</t>
  </si>
  <si>
    <t>1.1.1.2.1.1.4</t>
  </si>
  <si>
    <t>Грунт_ / Основит Унконт Т-51 / (два слоя)</t>
  </si>
  <si>
    <t>276414493.34834</t>
  </si>
  <si>
    <t>20887683.34834</t>
  </si>
  <si>
    <t>dafad530-0469-4c88-931d-55f990726aa8</t>
  </si>
  <si>
    <t>1.1.1.3</t>
  </si>
  <si>
    <t>12.1.36</t>
  </si>
  <si>
    <t>Отделка кладовых</t>
  </si>
  <si>
    <t>1.1.1.3.1</t>
  </si>
  <si>
    <t>12.1.36.7</t>
  </si>
  <si>
    <t>1.1.1.3.1.1</t>
  </si>
  <si>
    <t>12.1.36.7.9.1</t>
  </si>
  <si>
    <t>f643be86-4552-431c-af3e-a96d791df92c</t>
  </si>
  <si>
    <t>1.1.1.3.2</t>
  </si>
  <si>
    <t>12.1.36.99</t>
  </si>
  <si>
    <t>Прочие работы</t>
  </si>
  <si>
    <t>1.1.1.3.2.1</t>
  </si>
  <si>
    <t>12.1.36.99.2.1</t>
  </si>
  <si>
    <t>Затарка материала вручную</t>
  </si>
  <si>
    <t>т</t>
  </si>
  <si>
    <t>fc254468-2bfb-4982-b318-56f555c7f8b7</t>
  </si>
  <si>
    <t>4048b7bb-214c-4619-9e74-88592598a54e</t>
  </si>
  <si>
    <t>1.1.1.3.2.2</t>
  </si>
  <si>
    <t>12.1.36.99.6.1</t>
  </si>
  <si>
    <t>Уборка мусора от демонтажных работ с погрузкой в мешки и в контейнеры</t>
  </si>
  <si>
    <t>205f8f69-c91d-42b2-a60c-4b48bb0f6399</t>
  </si>
  <si>
    <t>b9a13636-5a94-4d52-b75f-d43674756967</t>
  </si>
  <si>
    <t>Общая стоимость работ, руб.с НДС 20%</t>
  </si>
  <si>
    <t>Квалификационная и контактная информация</t>
  </si>
  <si>
    <t>А</t>
  </si>
  <si>
    <t>Наличие авансирования</t>
  </si>
  <si>
    <t>да (%) /нет</t>
  </si>
  <si>
    <t>Б</t>
  </si>
  <si>
    <t>Готовность приступить к работе по уведомлению</t>
  </si>
  <si>
    <t>да /нет</t>
  </si>
  <si>
    <t>В</t>
  </si>
  <si>
    <t>Готовность предоставить банковскую гарантию (при наличии аванса)</t>
  </si>
  <si>
    <t>да(банк) /нет</t>
  </si>
  <si>
    <t>Г</t>
  </si>
  <si>
    <t>Срок исполнения предмета тендера</t>
  </si>
  <si>
    <t>мес.</t>
  </si>
  <si>
    <t>Д</t>
  </si>
  <si>
    <t>Гарантийный срок 5 лет</t>
  </si>
  <si>
    <t>E</t>
  </si>
  <si>
    <t>Информация о посещении объекта (были/не были), вопросы по результатам посещения</t>
  </si>
  <si>
    <t>были/не были
да/нет</t>
  </si>
  <si>
    <t>Ж</t>
  </si>
  <si>
    <t>Виды работ, планируемые к выполнению субподрядными организациями</t>
  </si>
  <si>
    <t>вид работ-наименование</t>
  </si>
  <si>
    <t>З</t>
  </si>
  <si>
    <t>Готовность подписать договор в редакции Заказчика</t>
  </si>
  <si>
    <t>да/нет</t>
  </si>
  <si>
    <t>И</t>
  </si>
  <si>
    <t>Наличие СРО</t>
  </si>
  <si>
    <t>да (сумма) /нет</t>
  </si>
  <si>
    <t>К</t>
  </si>
  <si>
    <t>Опыт работы с ГК ПИК (при наличии текущих проектов- указать % реализации)</t>
  </si>
  <si>
    <t>объект/ вид работ/% выполнения</t>
  </si>
  <si>
    <t>Л</t>
  </si>
  <si>
    <t>Опыт реализации подобных видов работ за последние 2-3 года (указать не более 5 ключевых объектов и их заказчиков)</t>
  </si>
  <si>
    <t>объект/заказчик/год</t>
  </si>
  <si>
    <t>М</t>
  </si>
  <si>
    <t>Численность работающих всего / численность, планируемая для выполнения предмета тендера</t>
  </si>
  <si>
    <t>кол-во/кол-во</t>
  </si>
  <si>
    <t>Н</t>
  </si>
  <si>
    <t>Дата регистрации компании</t>
  </si>
  <si>
    <t>дд/мм/гг</t>
  </si>
  <si>
    <t>О</t>
  </si>
  <si>
    <t>Оборот за последние 3 года (указать оборот (выручку) по данным бухгалтерской отчетности за 2014/2015/2016 год)</t>
  </si>
  <si>
    <t>год-сумма/год-сумма/год-сумма (руб.без НДС)</t>
  </si>
  <si>
    <t>2015-
2016-
2017-</t>
  </si>
  <si>
    <t>П</t>
  </si>
  <si>
    <t>Сайт компании</t>
  </si>
  <si>
    <t>ссылка</t>
  </si>
  <si>
    <t>Р</t>
  </si>
  <si>
    <t>Генеральный директор : Ф.И.О. полностью, тел., e-mail</t>
  </si>
  <si>
    <t>С</t>
  </si>
  <si>
    <t>Контактное лицо: Ф.И.О. полностью, тел., e-mail</t>
  </si>
  <si>
    <t>Т</t>
  </si>
  <si>
    <t>Примечание к ТКП претендента</t>
  </si>
</sst>
</file>

<file path=xl/styles.xml><?xml version="1.0" encoding="utf-8"?>
<styleSheet xmlns="http://schemas.openxmlformats.org/spreadsheetml/2006/main" xml:space="preserve">
  <numFmts count="1">
    <numFmt numFmtId="164" formatCode="#,##0.000"/>
  </numFmts>
  <fonts count="1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Times New Roman"/>
    </font>
    <font>
      <b val="0"/>
      <i val="0"/>
      <strike val="0"/>
      <u val="none"/>
      <sz val="12"/>
      <color rgb="FF2F5487"/>
      <name val="Times New Roman"/>
    </font>
    <font>
      <b val="1"/>
      <i val="0"/>
      <strike val="0"/>
      <u val="none"/>
      <sz val="16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16"/>
      <color rgb="FF000000"/>
      <name val="Times New Roman"/>
    </font>
    <font>
      <b val="1"/>
      <i val="0"/>
      <strike val="0"/>
      <u val="none"/>
      <sz val="16"/>
      <color rgb="FFFFFFFF"/>
      <name val="Times New Roman"/>
    </font>
    <font>
      <b val="1"/>
      <i val="0"/>
      <strike val="0"/>
      <u val="none"/>
      <sz val="13"/>
      <color rgb="FF000000"/>
      <name val="Times New Roman"/>
    </font>
    <font>
      <b val="1"/>
      <i val="0"/>
      <strike val="0"/>
      <u val="none"/>
      <sz val="18"/>
      <color rgb="FF000000"/>
      <name val="Times New Roman"/>
    </font>
    <font>
      <b val="0"/>
      <i val="0"/>
      <strike val="0"/>
      <u val="none"/>
      <sz val="14"/>
      <color rgb="FF000000"/>
      <name val="Times New Roman"/>
    </font>
    <font>
      <b val="0"/>
      <i val="1"/>
      <strike val="0"/>
      <u val="none"/>
      <sz val="14"/>
      <color rgb="FF000000"/>
      <name val="Times New Roman"/>
    </font>
    <font>
      <b val="0"/>
      <i val="0"/>
      <strike val="0"/>
      <u val="none"/>
      <sz val="14"/>
      <color rgb="FF800000"/>
      <name val="Times New Roman"/>
    </font>
    <font>
      <b val="1"/>
      <i val="0"/>
      <strike val="0"/>
      <u val="none"/>
      <sz val="14"/>
      <color rgb="FF00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2F5487"/>
        <bgColor rgb="FF000000"/>
      </patternFill>
    </fill>
    <fill>
      <patternFill patternType="solid">
        <fgColor rgb="FFDBE6F1"/>
        <bgColor rgb="FF000000"/>
      </patternFill>
    </fill>
    <fill>
      <patternFill patternType="solid">
        <fgColor rgb="FFD9D9D8"/>
        <bgColor rgb="FF000000"/>
      </patternFill>
    </fill>
    <fill>
      <patternFill patternType="solid">
        <fgColor rgb="FFD8E4BC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 applyProtection="true">
      <alignment horizontal="left" vertical="center" textRotation="0" wrapText="false" shrinkToFit="false"/>
      <protection locked="true"/>
    </xf>
    <xf xfId="0" fontId="2" numFmtId="0" fillId="2" borderId="0" applyFont="1" applyNumberFormat="0" applyFill="1" applyBorder="0" applyAlignment="1" applyProtection="true">
      <alignment horizontal="left" vertical="center" textRotation="0" wrapText="true" shrinkToFit="false"/>
      <protection locked="tru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true"/>
    </xf>
    <xf xfId="0" fontId="4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true"/>
    </xf>
    <xf xfId="0" fontId="5" numFmtId="0" fillId="3" borderId="1" applyFont="1" applyNumberFormat="0" applyFill="1" applyBorder="1" applyAlignment="1" applyProtection="true">
      <alignment horizontal="center" vertical="center" textRotation="0" wrapText="false" shrinkToFit="false"/>
      <protection locked="true"/>
    </xf>
    <xf xfId="0" fontId="5" numFmtId="0" fillId="3" borderId="2" applyFont="1" applyNumberFormat="0" applyFill="1" applyBorder="1" applyAlignment="1" applyProtection="true">
      <alignment horizontal="center" vertical="center" textRotation="0" wrapText="false" shrinkToFit="false"/>
      <protection locked="true"/>
    </xf>
    <xf xfId="0" fontId="5" numFmtId="0" fillId="3" borderId="3" applyFont="1" applyNumberFormat="0" applyFill="1" applyBorder="1" applyAlignment="1" applyProtection="true">
      <alignment horizontal="center" vertical="center" textRotation="0" wrapText="false" shrinkToFit="false"/>
      <protection locked="true"/>
    </xf>
    <xf xfId="0" fontId="5" numFmtId="0" fillId="3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5" numFmtId="0" fillId="3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5" numFmtId="0" fillId="3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0" numFmtId="0" fillId="2" borderId="0" applyFont="0" applyNumberFormat="0" applyFill="1" applyBorder="0" applyAlignment="0" applyProtection="true">
      <protection locked="true"/>
    </xf>
    <xf xfId="0" fontId="6" numFmtId="0" fillId="2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4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true"/>
    </xf>
    <xf xfId="0" fontId="4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true"/>
    </xf>
    <xf xfId="0" fontId="4" numFmtId="0" fillId="0" borderId="5" applyFont="1" applyNumberFormat="0" applyFill="0" applyBorder="1" applyAlignment="1" applyProtection="true">
      <alignment horizontal="center" vertical="center" textRotation="0" wrapText="true" shrinkToFit="false"/>
      <protection locked="true"/>
    </xf>
    <xf xfId="0" fontId="4" numFmtId="0" fillId="0" borderId="6" applyFont="1" applyNumberFormat="0" applyFill="0" applyBorder="1" applyAlignment="1" applyProtection="true">
      <alignment horizontal="center" vertical="center" textRotation="0" wrapText="true" shrinkToFit="false"/>
      <protection locked="true"/>
    </xf>
    <xf xfId="0" fontId="4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/>
    </xf>
    <xf xfId="0" fontId="4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true"/>
    </xf>
    <xf xfId="0" fontId="4" numFmtId="0" fillId="0" borderId="7" applyFont="1" applyNumberFormat="0" applyFill="0" applyBorder="1" applyAlignment="1" applyProtection="true">
      <alignment horizontal="center" vertical="center" textRotation="0" wrapText="true" shrinkToFit="false"/>
      <protection locked="true"/>
    </xf>
    <xf xfId="0" fontId="7" numFmtId="4" fillId="0" borderId="7" applyFont="1" applyNumberFormat="1" applyFill="0" applyBorder="1" applyAlignment="1" applyProtection="true">
      <alignment horizontal="center" vertical="center" textRotation="0" wrapText="false" shrinkToFit="false"/>
      <protection locked="true"/>
    </xf>
    <xf xfId="0" fontId="8" numFmtId="0" fillId="4" borderId="1" applyFont="1" applyNumberFormat="0" applyFill="1" applyBorder="1" applyAlignment="1" applyProtection="true">
      <alignment horizontal="left" vertical="center" textRotation="0" wrapText="false" shrinkToFit="false"/>
      <protection locked="true"/>
    </xf>
    <xf xfId="0" fontId="8" numFmtId="0" fillId="4" borderId="2" applyFont="1" applyNumberFormat="0" applyFill="1" applyBorder="1" applyAlignment="1" applyProtection="true">
      <alignment horizontal="left" vertical="center" textRotation="0" wrapText="false" shrinkToFit="false"/>
      <protection locked="true"/>
    </xf>
    <xf xfId="0" fontId="8" numFmtId="0" fillId="4" borderId="3" applyFont="1" applyNumberFormat="0" applyFill="1" applyBorder="1" applyAlignment="1" applyProtection="true">
      <alignment horizontal="left" vertical="center" textRotation="0" wrapText="false" shrinkToFit="false"/>
      <protection locked="true"/>
    </xf>
    <xf xfId="0" fontId="0" numFmtId="0" fillId="4" borderId="2" applyFont="0" applyNumberFormat="0" applyFill="1" applyBorder="1" applyAlignment="0" applyProtection="true">
      <protection locked="true"/>
    </xf>
    <xf xfId="0" fontId="7" numFmtId="4" fillId="4" borderId="7" applyFont="1" applyNumberFormat="1" applyFill="1" applyBorder="1" applyAlignment="1" applyProtection="true">
      <alignment horizontal="center" vertical="center" textRotation="0" wrapText="false" shrinkToFit="false"/>
      <protection locked="true"/>
    </xf>
    <xf xfId="0" fontId="4" numFmtId="4" fillId="0" borderId="0" applyFont="1" applyNumberFormat="1" applyFill="0" applyBorder="0" applyAlignment="1" applyProtection="true">
      <alignment horizontal="left" vertical="center" textRotation="0" wrapText="false" shrinkToFit="false"/>
      <protection locked="true"/>
    </xf>
    <xf xfId="0" fontId="4" numFmtId="0" fillId="0" borderId="7" applyFont="1" applyNumberFormat="0" applyFill="0" applyBorder="1" applyAlignment="1" applyProtection="true">
      <alignment horizontal="left" vertical="center" textRotation="0" wrapText="false" shrinkToFit="false"/>
      <protection locked="true"/>
    </xf>
    <xf xfId="0" fontId="3" numFmtId="0" fillId="0" borderId="1" applyFont="1" applyNumberFormat="0" applyFill="0" applyBorder="1" applyAlignment="1" applyProtection="true">
      <alignment horizontal="left" vertical="center" textRotation="0" wrapText="false" shrinkToFit="false"/>
      <protection locked="true"/>
    </xf>
    <xf xfId="0" fontId="3" numFmtId="0" fillId="0" borderId="2" applyFont="1" applyNumberFormat="0" applyFill="0" applyBorder="1" applyAlignment="1" applyProtection="true">
      <alignment horizontal="left" vertical="center" textRotation="0" wrapText="false" shrinkToFit="false"/>
      <protection locked="true"/>
    </xf>
    <xf xfId="0" fontId="3" numFmtId="0" fillId="0" borderId="3" applyFont="1" applyNumberFormat="0" applyFill="0" applyBorder="1" applyAlignment="1" applyProtection="true">
      <alignment horizontal="left" vertical="center" textRotation="0" wrapText="false" shrinkToFit="false"/>
      <protection locked="true"/>
    </xf>
    <xf xfId="0" fontId="9" numFmtId="0" fillId="0" borderId="7" applyFont="1" applyNumberFormat="0" applyFill="0" applyBorder="1" applyAlignment="1" applyProtection="true">
      <alignment horizontal="left" vertical="center" textRotation="0" wrapText="true" shrinkToFit="false"/>
      <protection locked="true"/>
    </xf>
    <xf xfId="0" fontId="9" numFmtId="0" fillId="0" borderId="7" applyFont="1" applyNumberFormat="0" applyFill="0" applyBorder="1" applyAlignment="1" applyProtection="true">
      <alignment horizontal="center" vertical="center" textRotation="0" wrapText="true" shrinkToFit="false"/>
      <protection locked="true"/>
    </xf>
    <xf xfId="0" fontId="9" numFmtId="164" fillId="0" borderId="7" applyFont="1" applyNumberFormat="1" applyFill="0" applyBorder="1" applyAlignment="1" applyProtection="true">
      <alignment horizontal="center" vertical="center" textRotation="0" wrapText="true" shrinkToFit="false"/>
      <protection locked="true"/>
    </xf>
    <xf xfId="0" fontId="9" numFmtId="4" fillId="0" borderId="7" applyFont="1" applyNumberFormat="1" applyFill="0" applyBorder="1" applyAlignment="1" applyProtection="true">
      <alignment horizontal="center" vertical="center" textRotation="0" wrapText="true" shrinkToFit="false"/>
      <protection locked="true"/>
    </xf>
    <xf xfId="0" fontId="9" numFmtId="4" fillId="3" borderId="7" applyFont="1" applyNumberFormat="1" applyFill="1" applyBorder="1" applyAlignment="1" applyProtection="true">
      <alignment horizontal="center" vertical="center" textRotation="0" wrapText="true" shrinkToFit="false"/>
      <protection locked="true"/>
    </xf>
    <xf xfId="0" fontId="9" numFmtId="4" fillId="3" borderId="7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10" numFmtId="0" fillId="5" borderId="7" applyFont="1" applyNumberFormat="0" applyFill="1" applyBorder="1" applyAlignment="1" applyProtection="true">
      <alignment horizontal="right" vertical="center" textRotation="0" wrapText="true" shrinkToFit="false"/>
      <protection locked="true"/>
    </xf>
    <xf xfId="0" fontId="9" numFmtId="0" fillId="0" borderId="7" applyFont="1" applyNumberFormat="0" applyFill="0" applyBorder="1" applyAlignment="1" applyProtection="true">
      <alignment horizontal="center" vertical="center" textRotation="0" wrapText="false" shrinkToFit="false"/>
      <protection locked="true"/>
    </xf>
    <xf xfId="0" fontId="9" numFmtId="164" fillId="0" borderId="7" applyFont="1" applyNumberFormat="1" applyFill="0" applyBorder="1" applyAlignment="1" applyProtection="true">
      <alignment horizontal="center" vertical="center" textRotation="0" wrapText="false" shrinkToFit="false"/>
      <protection locked="true"/>
    </xf>
    <xf xfId="0" fontId="9" numFmtId="4" fillId="3" borderId="7" applyFont="1" applyNumberFormat="1" applyFill="1" applyBorder="1" applyAlignment="1" applyProtection="true">
      <alignment horizontal="center" vertical="center" textRotation="0" wrapText="false" shrinkToFit="false"/>
      <protection locked="true"/>
    </xf>
    <xf xfId="0" fontId="9" numFmtId="4" fillId="0" borderId="7" applyFont="1" applyNumberFormat="1" applyFill="0" applyBorder="1" applyAlignment="1" applyProtection="true">
      <alignment horizontal="center" vertical="center" textRotation="0" wrapText="false" shrinkToFit="false"/>
      <protection locked="true"/>
    </xf>
    <xf xfId="0" fontId="9" numFmtId="4" fillId="3" borderId="7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10" numFmtId="0" fillId="0" borderId="7" applyFont="1" applyNumberFormat="0" applyFill="0" applyBorder="1" applyAlignment="1" applyProtection="true">
      <alignment horizontal="right" vertical="center" textRotation="0" wrapText="true" shrinkToFit="false"/>
      <protection locked="true"/>
    </xf>
    <xf xfId="0" fontId="11" numFmtId="164" fillId="0" borderId="7" applyFont="1" applyNumberFormat="1" applyFill="0" applyBorder="1" applyAlignment="1" applyProtection="true">
      <alignment horizontal="center" vertical="center" textRotation="0" wrapText="false" shrinkToFit="false"/>
      <protection locked="true"/>
    </xf>
    <xf xfId="0" fontId="0" numFmtId="0" fillId="3" borderId="0" applyFont="0" applyNumberFormat="0" applyFill="1" applyBorder="0" applyAlignment="0" applyProtection="true">
      <protection locked="true"/>
    </xf>
    <xf xfId="0" fontId="12" numFmtId="0" fillId="3" borderId="7" applyFont="1" applyNumberFormat="0" applyFill="1" applyBorder="1" applyAlignment="1" applyProtection="true">
      <alignment horizontal="right" vertical="center" textRotation="0" wrapText="false" shrinkToFit="false"/>
      <protection locked="true"/>
    </xf>
    <xf xfId="0" fontId="12" numFmtId="4" fillId="3" borderId="7" applyFont="1" applyNumberFormat="1" applyFill="1" applyBorder="1" applyAlignment="1" applyProtection="true">
      <alignment horizontal="center" vertical="center" textRotation="0" wrapText="false" shrinkToFit="false"/>
      <protection locked="true"/>
    </xf>
    <xf xfId="0" fontId="4" numFmtId="0" fillId="0" borderId="7" applyFont="1" applyNumberFormat="0" applyFill="0" applyBorder="1" applyAlignment="1" applyProtection="true">
      <alignment horizontal="left" vertical="center" textRotation="0" wrapText="true" shrinkToFit="false"/>
      <protection locked="true"/>
    </xf>
    <xf xfId="0" fontId="4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true"/>
    </xf>
    <xf xfId="0" fontId="0" numFmtId="0" fillId="0" borderId="1" applyFont="0" applyNumberFormat="0" applyFill="0" applyBorder="1" applyAlignment="0" applyProtection="true">
      <protection locked="true"/>
    </xf>
    <xf xfId="0" fontId="0" numFmtId="0" fillId="0" borderId="2" applyFont="0" applyNumberFormat="0" applyFill="0" applyBorder="1" applyAlignment="0" applyProtection="true">
      <protection locked="tru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I56"/>
  <sheetViews>
    <sheetView tabSelected="1" workbookViewId="0" zoomScale="85" showGridLines="true" showRowColHeaders="1">
      <pane xSplit="9" ySplit="7" activePane="bottomRight" state="frozen" topLeftCell="J8"/>
      <selection pane="bottomRight" activeCell="H56" sqref="H56"/>
    </sheetView>
  </sheetViews>
  <sheetFormatPr defaultRowHeight="14.4" outlineLevelRow="0" outlineLevelCol="0"/>
  <cols>
    <col min="1" max="1" width="20" customWidth="true" style="0"/>
    <col min="2" max="2" width="21.709" bestFit="true" customWidth="true" style="0"/>
    <col min="3" max="3" width="55.67" customWidth="true" style="0"/>
    <col min="4" max="4" width="38" customWidth="true" style="0"/>
    <col min="5" max="5" width="38" customWidth="true" style="0"/>
    <col min="6" max="6" width="16.5" customWidth="true" style="0"/>
    <col min="7" max="7" width="16.5" customWidth="true" style="0"/>
    <col min="8" max="8" width="16" customWidth="true" style="0"/>
    <col min="9" max="9" width="16.82" customWidth="true" style="0"/>
    <col min="10" max="10" width="16" customWidth="true" style="0"/>
    <col min="11" max="11" width="17" customWidth="true" style="0"/>
    <col min="12" max="12" width="17.67" customWidth="true" style="0"/>
    <col min="13" max="13" width="18" customWidth="true" style="0"/>
    <col min="14" max="14" width="18.83" customWidth="true" style="0"/>
    <col min="15" max="15" width="23.67" customWidth="true" style="0"/>
    <col min="16" max="16" width="16" customWidth="true" style="0"/>
    <col min="17" max="17" width="17" customWidth="true" style="0"/>
    <col min="18" max="18" width="17.67" customWidth="true" style="0"/>
    <col min="19" max="19" width="18" customWidth="true" style="0"/>
    <col min="20" max="20" width="18.83" customWidth="true" style="0"/>
    <col min="21" max="21" width="23.67" customWidth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  <col min="27" max="27" width="9.10" hidden="true" style="0"/>
    <col min="28" max="28" width="9.10" hidden="true" style="0"/>
    <col min="29" max="29" width="9.10" hidden="true" style="0"/>
    <col min="30" max="30" width="9.10" hidden="true" style="0"/>
    <col min="31" max="31" width="9.10" hidden="true" style="0"/>
    <col min="32" max="32" width="9.10" hidden="true" style="0"/>
    <col min="33" max="33" width="9.10" hidden="true" style="0"/>
    <col min="34" max="34" width="9.10" hidden="true" style="0"/>
    <col min="35" max="35" width="9.10" hidden="true" style="0"/>
  </cols>
  <sheetData>
    <row r="1" spans="1:35" customHeight="1" ht="15">
      <c r="A1" s="1" t="s">
        <v>0</v>
      </c>
      <c r="B1" s="11"/>
      <c r="C1" s="11"/>
      <c r="D1" s="2" t="s">
        <v>1</v>
      </c>
      <c r="E1" s="2" t="s">
        <v>3</v>
      </c>
      <c r="F1" s="2" t="s">
        <v>2</v>
      </c>
      <c r="G1" s="2" t="s">
        <v>10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AC1" s="13" t="s">
        <v>11</v>
      </c>
      <c r="AD1" s="13" t="s">
        <v>12</v>
      </c>
      <c r="AE1" s="13" t="s">
        <v>13</v>
      </c>
      <c r="AF1" s="13" t="s">
        <v>14</v>
      </c>
      <c r="AG1" s="13" t="s">
        <v>15</v>
      </c>
      <c r="AH1" s="13" t="s">
        <v>16</v>
      </c>
      <c r="AI1" s="13" t="s">
        <v>17</v>
      </c>
    </row>
    <row r="2" spans="1:35" customHeight="1" ht="30.75">
      <c r="A2" s="3" t="s">
        <v>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35" customHeight="1" ht="15">
      <c r="A3" s="12" t="s">
        <v>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spans="1:35" customHeight="1" ht="15">
      <c r="A4" s="4" t="s">
        <v>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35" customHeight="1" ht="40.75">
      <c r="A5" s="14" t="s">
        <v>18</v>
      </c>
      <c r="B5" s="14" t="s">
        <v>19</v>
      </c>
      <c r="C5" s="14" t="s">
        <v>20</v>
      </c>
      <c r="D5" s="14" t="s">
        <v>21</v>
      </c>
      <c r="E5" s="14" t="s">
        <v>22</v>
      </c>
      <c r="F5" s="14" t="s">
        <v>23</v>
      </c>
      <c r="G5" s="14" t="s">
        <v>24</v>
      </c>
      <c r="H5" s="14" t="s">
        <v>25</v>
      </c>
      <c r="I5" s="14" t="s">
        <v>26</v>
      </c>
      <c r="J5" s="5" t="s">
        <v>7</v>
      </c>
      <c r="K5" s="6"/>
      <c r="L5" s="6"/>
      <c r="M5" s="6"/>
      <c r="N5" s="6"/>
      <c r="O5" s="7"/>
      <c r="P5" s="8" t="s">
        <v>8</v>
      </c>
      <c r="Q5" s="9"/>
      <c r="R5" s="10"/>
      <c r="S5" s="8" t="s">
        <v>9</v>
      </c>
      <c r="T5" s="9"/>
      <c r="U5" s="10"/>
    </row>
    <row r="6" spans="1:35" customHeight="1" ht="15.75">
      <c r="A6" s="15"/>
      <c r="B6" s="15"/>
      <c r="C6" s="15"/>
      <c r="D6" s="15"/>
      <c r="E6" s="15"/>
      <c r="F6" s="15"/>
      <c r="G6" s="15"/>
      <c r="H6" s="15"/>
      <c r="I6" s="15"/>
      <c r="J6" s="17" t="s">
        <v>27</v>
      </c>
      <c r="K6" s="18"/>
      <c r="L6" s="14" t="s">
        <v>27</v>
      </c>
      <c r="M6" s="17" t="s">
        <v>30</v>
      </c>
      <c r="N6" s="18"/>
      <c r="O6" s="14" t="s">
        <v>31</v>
      </c>
      <c r="P6" s="17" t="s">
        <v>27</v>
      </c>
      <c r="Q6" s="18"/>
      <c r="R6" s="14" t="s">
        <v>27</v>
      </c>
      <c r="S6" s="17" t="s">
        <v>30</v>
      </c>
      <c r="T6" s="18"/>
      <c r="U6" s="14" t="s">
        <v>31</v>
      </c>
    </row>
    <row r="7" spans="1:35" customHeight="1" ht="31.25">
      <c r="A7" s="16"/>
      <c r="B7" s="16"/>
      <c r="C7" s="16"/>
      <c r="D7" s="16"/>
      <c r="E7" s="16"/>
      <c r="F7" s="16"/>
      <c r="G7" s="16"/>
      <c r="H7" s="16"/>
      <c r="I7" s="16"/>
      <c r="J7" s="19" t="s">
        <v>28</v>
      </c>
      <c r="K7" s="19" t="s">
        <v>29</v>
      </c>
      <c r="L7" s="16"/>
      <c r="M7" s="19" t="s">
        <v>28</v>
      </c>
      <c r="N7" s="19" t="s">
        <v>29</v>
      </c>
      <c r="O7" s="16"/>
      <c r="P7" s="19" t="s">
        <v>28</v>
      </c>
      <c r="Q7" s="19" t="s">
        <v>29</v>
      </c>
      <c r="R7" s="16"/>
      <c r="S7" s="19" t="s">
        <v>28</v>
      </c>
      <c r="T7" s="19" t="s">
        <v>29</v>
      </c>
      <c r="U7" s="16"/>
    </row>
    <row r="8" spans="1:35" customHeight="1" ht="30">
      <c r="A8" s="21" t="s">
        <v>32</v>
      </c>
      <c r="B8" s="22"/>
      <c r="C8" s="22"/>
      <c r="D8" s="22"/>
      <c r="E8" s="22"/>
      <c r="F8" s="22"/>
      <c r="G8" s="22"/>
      <c r="H8" s="22"/>
      <c r="I8" s="23"/>
      <c r="J8" s="24"/>
      <c r="K8" s="24"/>
      <c r="L8" s="24"/>
      <c r="M8" s="25">
        <f>SUM(M9)</f>
        <v>1419120</v>
      </c>
      <c r="N8" s="25">
        <f>SUM(N9)</f>
        <v>13731140.53</v>
      </c>
      <c r="O8" s="25">
        <f>SUM(O9)</f>
        <v>15150260.53</v>
      </c>
      <c r="P8" s="24"/>
      <c r="Q8" s="24"/>
      <c r="R8" s="24"/>
      <c r="S8" s="25">
        <f>SUM(S9)</f>
        <v>0</v>
      </c>
      <c r="T8" s="25">
        <f>SUM(T9)</f>
        <v>0</v>
      </c>
      <c r="U8" s="25">
        <f>SUM(U9)</f>
        <v>0</v>
      </c>
      <c r="Y8" s="26">
        <f>SUM(Y9)</f>
        <v>0</v>
      </c>
      <c r="Z8" s="26">
        <f>SUM(Z9)</f>
        <v>0</v>
      </c>
      <c r="AA8" s="26" t="e">
        <f>SUM(AA9)</f>
        <v>#VALUE!</v>
      </c>
      <c r="AC8" s="13" t="s">
        <v>33</v>
      </c>
    </row>
    <row r="9" spans="1:35" customHeight="1" ht="17">
      <c r="A9" s="27" t="s">
        <v>34</v>
      </c>
      <c r="B9" s="27" t="s">
        <v>35</v>
      </c>
      <c r="C9" s="28" t="s">
        <v>36</v>
      </c>
      <c r="D9" s="29"/>
      <c r="E9" s="29"/>
      <c r="F9" s="29"/>
      <c r="G9" s="29"/>
      <c r="H9" s="29"/>
      <c r="I9" s="30"/>
      <c r="M9" s="20">
        <f>SUM(M10)</f>
        <v>1419120</v>
      </c>
      <c r="N9" s="20">
        <f>SUM(N10)</f>
        <v>13731140.53</v>
      </c>
      <c r="O9" s="20">
        <f>SUM(O10)</f>
        <v>15150260.53</v>
      </c>
      <c r="S9" s="20">
        <f>SUM(S10)</f>
        <v>0</v>
      </c>
      <c r="T9" s="20">
        <f>SUM(T10)</f>
        <v>0</v>
      </c>
      <c r="U9" s="20">
        <f>SUM(U10)</f>
        <v>0</v>
      </c>
      <c r="Y9" s="26">
        <f>SUM(Y10)</f>
        <v>0</v>
      </c>
      <c r="Z9" s="26">
        <f>SUM(Z10)</f>
        <v>0</v>
      </c>
      <c r="AA9" s="26" t="e">
        <f>SUM(AA10)</f>
        <v>#VALUE!</v>
      </c>
      <c r="AD9" s="13">
        <v>276414478</v>
      </c>
      <c r="AE9" s="13">
        <v>20887674</v>
      </c>
    </row>
    <row r="10" spans="1:35" customHeight="1" ht="17">
      <c r="A10" s="27" t="s">
        <v>37</v>
      </c>
      <c r="B10" s="27" t="s">
        <v>38</v>
      </c>
      <c r="C10" s="28" t="s">
        <v>39</v>
      </c>
      <c r="D10" s="29"/>
      <c r="E10" s="29"/>
      <c r="F10" s="29"/>
      <c r="G10" s="29"/>
      <c r="H10" s="29"/>
      <c r="I10" s="30"/>
      <c r="M10" s="20">
        <f>SUM(M11,M24,M31)</f>
        <v>1419120</v>
      </c>
      <c r="N10" s="20">
        <f>SUM(N11,N24,N31)</f>
        <v>13731140.53</v>
      </c>
      <c r="O10" s="20">
        <f>SUM(O11,O24,O31)</f>
        <v>15150260.53</v>
      </c>
      <c r="S10" s="20">
        <f>SUM(S11,S24,S31)</f>
        <v>0</v>
      </c>
      <c r="T10" s="20">
        <f>SUM(T11,T24,T31)</f>
        <v>0</v>
      </c>
      <c r="U10" s="20">
        <f>SUM(U11,U24,U31)</f>
        <v>0</v>
      </c>
      <c r="Y10" s="26">
        <f>SUM(Y11,Y24,Y31)</f>
        <v>0</v>
      </c>
      <c r="Z10" s="26">
        <f>SUM(Z11,Z24,Z31)</f>
        <v>0</v>
      </c>
      <c r="AA10" s="26" t="e">
        <f>SUM(AA11,AA24,AA31)</f>
        <v>#VALUE!</v>
      </c>
      <c r="AD10" s="13">
        <v>276414479</v>
      </c>
      <c r="AE10" s="13">
        <v>20887677</v>
      </c>
    </row>
    <row r="11" spans="1:35" customHeight="1" ht="17">
      <c r="A11" s="27" t="s">
        <v>40</v>
      </c>
      <c r="B11" s="27" t="s">
        <v>41</v>
      </c>
      <c r="C11" s="28" t="s">
        <v>42</v>
      </c>
      <c r="D11" s="29"/>
      <c r="E11" s="29"/>
      <c r="F11" s="29"/>
      <c r="G11" s="29"/>
      <c r="H11" s="29"/>
      <c r="I11" s="30"/>
      <c r="M11" s="20">
        <f>SUM(M12)</f>
        <v>1364450</v>
      </c>
      <c r="N11" s="20">
        <f>SUM(N12)</f>
        <v>9957000</v>
      </c>
      <c r="O11" s="20">
        <f>SUM(O12)</f>
        <v>11321450</v>
      </c>
      <c r="S11" s="20">
        <f>SUM(S12)</f>
        <v>0</v>
      </c>
      <c r="T11" s="20">
        <f>SUM(T12)</f>
        <v>0</v>
      </c>
      <c r="U11" s="20">
        <f>SUM(U12)</f>
        <v>0</v>
      </c>
      <c r="Y11" s="26">
        <f>SUM(Y12)</f>
        <v>0</v>
      </c>
      <c r="Z11" s="26">
        <f>SUM(Z12)</f>
        <v>0</v>
      </c>
      <c r="AA11" s="26" t="e">
        <f>SUM(AA12)</f>
        <v>#VALUE!</v>
      </c>
      <c r="AD11" s="13">
        <v>276414480</v>
      </c>
      <c r="AE11" s="13">
        <v>20887690</v>
      </c>
    </row>
    <row r="12" spans="1:35" customHeight="1" ht="17">
      <c r="A12" s="27" t="s">
        <v>43</v>
      </c>
      <c r="B12" s="27" t="s">
        <v>44</v>
      </c>
      <c r="C12" s="28" t="s">
        <v>45</v>
      </c>
      <c r="D12" s="29"/>
      <c r="E12" s="29"/>
      <c r="F12" s="29"/>
      <c r="G12" s="29"/>
      <c r="H12" s="29"/>
      <c r="I12" s="30"/>
      <c r="M12" s="20">
        <f>SUM(M13,M22)</f>
        <v>1364450</v>
      </c>
      <c r="N12" s="20">
        <f>SUM(N13,N22)</f>
        <v>9957000</v>
      </c>
      <c r="O12" s="20">
        <f>SUM(O13,O22)</f>
        <v>11321450</v>
      </c>
      <c r="S12" s="20">
        <f>SUM(S13,S22)</f>
        <v>0</v>
      </c>
      <c r="T12" s="20">
        <f>SUM(T13,T22)</f>
        <v>0</v>
      </c>
      <c r="U12" s="20">
        <f>SUM(U13,U22)</f>
        <v>0</v>
      </c>
      <c r="Y12" s="26">
        <f>SUM(Y13,Y22)</f>
        <v>0</v>
      </c>
      <c r="Z12" s="26">
        <f>SUM(Z13,Z22)</f>
        <v>0</v>
      </c>
      <c r="AA12" s="26" t="e">
        <f>SUM(AA13,AA22)</f>
        <v>#VALUE!</v>
      </c>
      <c r="AD12" s="13">
        <v>276414481</v>
      </c>
      <c r="AE12" s="13">
        <v>20887681</v>
      </c>
    </row>
    <row r="13" spans="1:35" customHeight="1" ht="17">
      <c r="A13" s="27" t="s">
        <v>46</v>
      </c>
      <c r="B13" s="27" t="s">
        <v>47</v>
      </c>
      <c r="C13" s="28" t="s">
        <v>48</v>
      </c>
      <c r="D13" s="29"/>
      <c r="E13" s="29"/>
      <c r="F13" s="29"/>
      <c r="G13" s="29"/>
      <c r="H13" s="29"/>
      <c r="I13" s="30"/>
      <c r="M13" s="20">
        <f>SUM(M14,M17)</f>
        <v>1364450</v>
      </c>
      <c r="N13" s="20">
        <f>SUM(N14,N17)</f>
        <v>7084000</v>
      </c>
      <c r="O13" s="20">
        <f>SUM(O14,O17)</f>
        <v>8448450</v>
      </c>
      <c r="S13" s="20">
        <f>SUM(S14,S17)</f>
        <v>0</v>
      </c>
      <c r="T13" s="20">
        <f>SUM(T14,T17)</f>
        <v>0</v>
      </c>
      <c r="U13" s="20">
        <f>SUM(U14,U17)</f>
        <v>0</v>
      </c>
      <c r="Y13" s="26">
        <f>SUM(Y14,Y17)</f>
        <v>0</v>
      </c>
      <c r="Z13" s="26">
        <f>SUM(Z14,Z17)</f>
        <v>0</v>
      </c>
      <c r="AA13" s="26">
        <f>SUM(AA14,AA17)</f>
        <v>0</v>
      </c>
      <c r="AD13" s="13">
        <v>276414482</v>
      </c>
      <c r="AE13" s="13">
        <v>20887687</v>
      </c>
    </row>
    <row r="14" spans="1:35">
      <c r="A14" s="27" t="s">
        <v>49</v>
      </c>
      <c r="B14" s="27" t="s">
        <v>50</v>
      </c>
      <c r="C14" s="31" t="s">
        <v>51</v>
      </c>
      <c r="D14" s="32"/>
      <c r="E14" s="32"/>
      <c r="F14" s="32" t="s">
        <v>52</v>
      </c>
      <c r="G14" s="33">
        <v>1.0</v>
      </c>
      <c r="H14" s="33"/>
      <c r="I14" s="33">
        <v>14000</v>
      </c>
      <c r="J14" s="34">
        <f>IFERROR(ROUND(SUM(M15,M16)/I14, 2),0)</f>
        <v>37.15</v>
      </c>
      <c r="K14" s="35">
        <v>329.0</v>
      </c>
      <c r="L14" s="34">
        <f>J14+ROUND(K14, 2)</f>
        <v>366.15</v>
      </c>
      <c r="M14" s="34">
        <f>ROUND(J14*I14, 2)</f>
        <v>520100</v>
      </c>
      <c r="N14" s="34">
        <f>ROUND(I14*ROUND(K14, 2), 2)</f>
        <v>4606000</v>
      </c>
      <c r="O14" s="34">
        <f>M14+N14</f>
        <v>5126100</v>
      </c>
      <c r="P14" s="34">
        <f>IFERROR(ROUND(SUM(S15,S16)/I14, 2),0)</f>
        <v>0</v>
      </c>
      <c r="Q14" s="36">
        <v>0</v>
      </c>
      <c r="R14" s="34">
        <f>P14+ROUND(Q14, 2)</f>
        <v>0</v>
      </c>
      <c r="S14" s="34">
        <f>ROUND(P14*I14, 2)</f>
        <v>0</v>
      </c>
      <c r="T14" s="34">
        <f>ROUND(I14*ROUND(Q14, 2), 2)</f>
        <v>0</v>
      </c>
      <c r="U14" s="34">
        <f>S14+T14</f>
        <v>0</v>
      </c>
      <c r="V14" s="26">
        <f>ROUND(P14 / 1.2, 2)</f>
        <v>0</v>
      </c>
      <c r="W14" s="26">
        <f>ROUND(Q14 / 1.2, 2)</f>
        <v>0</v>
      </c>
      <c r="X14" s="26">
        <f>ROUND(R14 / 1.2, 2)</f>
        <v>0</v>
      </c>
      <c r="Y14" s="26">
        <f>ROUND(S14 / 1.2, 2)</f>
        <v>0</v>
      </c>
      <c r="Z14" s="26">
        <f>ROUND(T14 / 1.2, 2)</f>
        <v>0</v>
      </c>
      <c r="AA14" s="26">
        <f>Y14+Z14</f>
        <v>0</v>
      </c>
      <c r="AD14" s="13">
        <v>276414484</v>
      </c>
      <c r="AE14" s="13">
        <v>20887689</v>
      </c>
      <c r="AG14" s="13" t="s">
        <v>53</v>
      </c>
      <c r="AH14" s="13" t="s">
        <v>54</v>
      </c>
      <c r="AI14" s="13" t="s">
        <v>55</v>
      </c>
    </row>
    <row r="15" spans="1:35">
      <c r="A15" s="27" t="s">
        <v>56</v>
      </c>
      <c r="B15" s="27"/>
      <c r="C15" s="37" t="s">
        <v>57</v>
      </c>
      <c r="D15" s="32"/>
      <c r="E15" s="32"/>
      <c r="F15" s="38" t="s">
        <v>58</v>
      </c>
      <c r="G15" s="39">
        <v>1.8</v>
      </c>
      <c r="H15" s="39"/>
      <c r="I15" s="39">
        <v>25200</v>
      </c>
      <c r="J15" s="40">
        <v>12.7</v>
      </c>
      <c r="M15" s="41">
        <f>ROUND(ROUND(J15, 2)*I15, 2)</f>
        <v>320040</v>
      </c>
      <c r="P15" s="42">
        <v>0</v>
      </c>
      <c r="S15" s="41">
        <f>ROUND(ROUND(P15, 2)*I15, 2)</f>
        <v>0</v>
      </c>
      <c r="V15" s="26">
        <f>ROUND(ROUND(P15, 2)/1.2, 2)</f>
        <v>0</v>
      </c>
      <c r="Y15" s="26">
        <f>ROUND(S15 / 1.2, 2)</f>
        <v>0</v>
      </c>
      <c r="AD15" s="13" t="s">
        <v>59</v>
      </c>
      <c r="AE15" s="13" t="s">
        <v>60</v>
      </c>
      <c r="AF15" s="13" t="s">
        <v>61</v>
      </c>
    </row>
    <row r="16" spans="1:35">
      <c r="A16" s="27" t="s">
        <v>62</v>
      </c>
      <c r="B16" s="27"/>
      <c r="C16" s="43" t="s">
        <v>63</v>
      </c>
      <c r="D16" s="32"/>
      <c r="E16" s="32"/>
      <c r="F16" s="38" t="s">
        <v>58</v>
      </c>
      <c r="G16" s="39">
        <v>0.1</v>
      </c>
      <c r="H16" s="39"/>
      <c r="I16" s="39">
        <v>1400</v>
      </c>
      <c r="J16" s="40">
        <v>142.9</v>
      </c>
      <c r="M16" s="41">
        <f>ROUND(ROUND(J16, 2)*I16, 2)</f>
        <v>200060</v>
      </c>
      <c r="P16" s="42">
        <v>0</v>
      </c>
      <c r="S16" s="41">
        <f>ROUND(ROUND(P16, 2)*I16, 2)</f>
        <v>0</v>
      </c>
      <c r="V16" s="26">
        <f>ROUND(ROUND(P16, 2)/1.2, 2)</f>
        <v>0</v>
      </c>
      <c r="Y16" s="26">
        <f>ROUND(S16 / 1.2, 2)</f>
        <v>0</v>
      </c>
      <c r="AD16" s="13" t="s">
        <v>64</v>
      </c>
      <c r="AE16" s="13" t="s">
        <v>65</v>
      </c>
      <c r="AF16" s="13" t="s">
        <v>66</v>
      </c>
    </row>
    <row r="17" spans="1:35">
      <c r="A17" s="27" t="s">
        <v>67</v>
      </c>
      <c r="B17" s="27" t="s">
        <v>68</v>
      </c>
      <c r="C17" s="31" t="s">
        <v>69</v>
      </c>
      <c r="D17" s="32"/>
      <c r="E17" s="32"/>
      <c r="F17" s="32" t="s">
        <v>52</v>
      </c>
      <c r="G17" s="33">
        <v>1.0</v>
      </c>
      <c r="H17" s="33"/>
      <c r="I17" s="33">
        <v>3000</v>
      </c>
      <c r="J17" s="34">
        <f>IFERROR(ROUND(SUM(M18,M19,M20,M21)/I17, 2),0)</f>
        <v>281.45</v>
      </c>
      <c r="K17" s="35">
        <v>826.0</v>
      </c>
      <c r="L17" s="34">
        <f>J17+ROUND(K17, 2)</f>
        <v>1107.45</v>
      </c>
      <c r="M17" s="34">
        <f>ROUND(J17*I17, 2)</f>
        <v>844350</v>
      </c>
      <c r="N17" s="34">
        <f>ROUND(I17*ROUND(K17, 2), 2)</f>
        <v>2478000</v>
      </c>
      <c r="O17" s="34">
        <f>M17+N17</f>
        <v>3322350</v>
      </c>
      <c r="P17" s="34">
        <f>IFERROR(ROUND(SUM(S18,S19,S20,S21)/I17, 2),0)</f>
        <v>0</v>
      </c>
      <c r="Q17" s="36">
        <v>0</v>
      </c>
      <c r="R17" s="34">
        <f>P17+ROUND(Q17, 2)</f>
        <v>0</v>
      </c>
      <c r="S17" s="34">
        <f>ROUND(P17*I17, 2)</f>
        <v>0</v>
      </c>
      <c r="T17" s="34">
        <f>ROUND(I17*ROUND(Q17, 2), 2)</f>
        <v>0</v>
      </c>
      <c r="U17" s="34">
        <f>S17+T17</f>
        <v>0</v>
      </c>
      <c r="V17" s="26">
        <f>ROUND(P17 / 1.2, 2)</f>
        <v>0</v>
      </c>
      <c r="W17" s="26">
        <f>ROUND(Q17 / 1.2, 2)</f>
        <v>0</v>
      </c>
      <c r="X17" s="26">
        <f>ROUND(R17 / 1.2, 2)</f>
        <v>0</v>
      </c>
      <c r="Y17" s="26">
        <f>ROUND(S17 / 1.2, 2)</f>
        <v>0</v>
      </c>
      <c r="Z17" s="26">
        <f>ROUND(T17 / 1.2, 2)</f>
        <v>0</v>
      </c>
      <c r="AA17" s="26">
        <f>Y17+Z17</f>
        <v>0</v>
      </c>
      <c r="AD17" s="13">
        <v>276414486</v>
      </c>
      <c r="AE17" s="13">
        <v>20887675</v>
      </c>
      <c r="AG17" s="13" t="s">
        <v>70</v>
      </c>
      <c r="AH17" s="13" t="s">
        <v>71</v>
      </c>
      <c r="AI17" s="13" t="s">
        <v>55</v>
      </c>
    </row>
    <row r="18" spans="1:35">
      <c r="A18" s="27" t="s">
        <v>72</v>
      </c>
      <c r="B18" s="27"/>
      <c r="C18" s="37" t="s">
        <v>73</v>
      </c>
      <c r="D18" s="32"/>
      <c r="E18" s="32"/>
      <c r="F18" s="38" t="s">
        <v>58</v>
      </c>
      <c r="G18" s="39">
        <v>1</v>
      </c>
      <c r="H18" s="44"/>
      <c r="I18" s="44">
        <v>100800</v>
      </c>
      <c r="J18" s="40">
        <v>8.2</v>
      </c>
      <c r="M18" s="41">
        <f>ROUND(ROUND(J18, 2)*I18, 2)</f>
        <v>826560</v>
      </c>
      <c r="P18" s="42">
        <v>0</v>
      </c>
      <c r="S18" s="41">
        <f>ROUND(ROUND(P18, 2)*I18, 2)</f>
        <v>0</v>
      </c>
      <c r="V18" s="26">
        <f>ROUND(ROUND(P18, 2)/1.2, 2)</f>
        <v>0</v>
      </c>
      <c r="Y18" s="26">
        <f>ROUND(S18 / 1.2, 2)</f>
        <v>0</v>
      </c>
      <c r="AD18" s="13" t="s">
        <v>74</v>
      </c>
      <c r="AE18" s="13" t="s">
        <v>75</v>
      </c>
      <c r="AF18" s="13" t="s">
        <v>76</v>
      </c>
    </row>
    <row r="19" spans="1:35">
      <c r="A19" s="27" t="s">
        <v>77</v>
      </c>
      <c r="B19" s="27"/>
      <c r="C19" s="43" t="s">
        <v>78</v>
      </c>
      <c r="D19" s="32"/>
      <c r="E19" s="32"/>
      <c r="F19" s="38" t="s">
        <v>58</v>
      </c>
      <c r="G19" s="39">
        <v>0.15</v>
      </c>
      <c r="H19" s="44"/>
      <c r="I19" s="44">
        <v>45</v>
      </c>
      <c r="J19" s="40">
        <v>80.0</v>
      </c>
      <c r="M19" s="41">
        <f>ROUND(ROUND(J19, 2)*I19, 2)</f>
        <v>3600</v>
      </c>
      <c r="P19" s="42">
        <v>0</v>
      </c>
      <c r="S19" s="41">
        <f>ROUND(ROUND(P19, 2)*I19, 2)</f>
        <v>0</v>
      </c>
      <c r="V19" s="26">
        <f>ROUND(ROUND(P19, 2)/1.2, 2)</f>
        <v>0</v>
      </c>
      <c r="Y19" s="26">
        <f>ROUND(S19 / 1.2, 2)</f>
        <v>0</v>
      </c>
      <c r="AD19" s="13" t="s">
        <v>79</v>
      </c>
      <c r="AE19" s="13" t="s">
        <v>80</v>
      </c>
      <c r="AF19" s="13" t="s">
        <v>81</v>
      </c>
    </row>
    <row r="20" spans="1:35">
      <c r="A20" s="27" t="s">
        <v>82</v>
      </c>
      <c r="B20" s="27"/>
      <c r="C20" s="43" t="s">
        <v>83</v>
      </c>
      <c r="D20" s="32"/>
      <c r="E20" s="32"/>
      <c r="F20" s="38" t="s">
        <v>84</v>
      </c>
      <c r="G20" s="39">
        <v>1.1</v>
      </c>
      <c r="H20" s="44"/>
      <c r="I20" s="44">
        <v>550</v>
      </c>
      <c r="J20" s="40">
        <v>18.34</v>
      </c>
      <c r="M20" s="41">
        <f>ROUND(ROUND(J20, 2)*I20, 2)</f>
        <v>10087</v>
      </c>
      <c r="P20" s="42">
        <v>0</v>
      </c>
      <c r="S20" s="41">
        <f>ROUND(ROUND(P20, 2)*I20, 2)</f>
        <v>0</v>
      </c>
      <c r="V20" s="26">
        <f>ROUND(ROUND(P20, 2)/1.2, 2)</f>
        <v>0</v>
      </c>
      <c r="Y20" s="26">
        <f>ROUND(S20 / 1.2, 2)</f>
        <v>0</v>
      </c>
      <c r="AD20" s="13" t="s">
        <v>85</v>
      </c>
      <c r="AE20" s="13" t="s">
        <v>86</v>
      </c>
      <c r="AF20" s="13" t="s">
        <v>87</v>
      </c>
    </row>
    <row r="21" spans="1:35">
      <c r="A21" s="27" t="s">
        <v>88</v>
      </c>
      <c r="B21" s="27"/>
      <c r="C21" s="43" t="s">
        <v>89</v>
      </c>
      <c r="D21" s="32"/>
      <c r="E21" s="32"/>
      <c r="F21" s="38" t="s">
        <v>58</v>
      </c>
      <c r="G21" s="39">
        <v>0.15</v>
      </c>
      <c r="H21" s="44"/>
      <c r="I21" s="44">
        <v>60</v>
      </c>
      <c r="J21" s="40">
        <v>68.4</v>
      </c>
      <c r="M21" s="41">
        <f>ROUND(ROUND(J21, 2)*I21, 2)</f>
        <v>4104</v>
      </c>
      <c r="P21" s="42">
        <v>0</v>
      </c>
      <c r="S21" s="41">
        <f>ROUND(ROUND(P21, 2)*I21, 2)</f>
        <v>0</v>
      </c>
      <c r="V21" s="26">
        <f>ROUND(ROUND(P21, 2)/1.2, 2)</f>
        <v>0</v>
      </c>
      <c r="Y21" s="26">
        <f>ROUND(S21 / 1.2, 2)</f>
        <v>0</v>
      </c>
      <c r="AD21" s="13" t="s">
        <v>90</v>
      </c>
      <c r="AE21" s="13" t="s">
        <v>91</v>
      </c>
      <c r="AF21" s="13" t="s">
        <v>92</v>
      </c>
    </row>
    <row r="22" spans="1:35" customHeight="1" ht="17">
      <c r="A22" s="27" t="s">
        <v>93</v>
      </c>
      <c r="B22" s="27" t="s">
        <v>94</v>
      </c>
      <c r="C22" s="28" t="s">
        <v>95</v>
      </c>
      <c r="D22" s="29"/>
      <c r="E22" s="29"/>
      <c r="F22" s="29"/>
      <c r="G22" s="29"/>
      <c r="H22" s="29"/>
      <c r="I22" s="30"/>
      <c r="M22" s="20">
        <f>SUM(M23)</f>
        <v>0</v>
      </c>
      <c r="N22" s="20">
        <f>SUM(N23)</f>
        <v>2873000</v>
      </c>
      <c r="O22" s="20">
        <f>SUM(O23)</f>
        <v>2873000</v>
      </c>
      <c r="S22" s="20">
        <f>SUM(S23)</f>
        <v>0</v>
      </c>
      <c r="T22" s="20">
        <f>SUM(T23)</f>
        <v>0</v>
      </c>
      <c r="U22" s="20">
        <f>SUM(U23)</f>
        <v>0</v>
      </c>
      <c r="Y22" s="26">
        <f>SUM(Y23)</f>
        <v>0</v>
      </c>
      <c r="Z22" s="26">
        <f>SUM(Z23)</f>
        <v>0</v>
      </c>
      <c r="AA22" s="26" t="e">
        <f>SUM(AA23)</f>
        <v>#VALUE!</v>
      </c>
      <c r="AD22" s="13">
        <v>276414487</v>
      </c>
      <c r="AE22" s="13">
        <v>20887682</v>
      </c>
    </row>
    <row r="23" spans="1:35">
      <c r="A23" s="27" t="s">
        <v>96</v>
      </c>
      <c r="B23" s="27" t="s">
        <v>97</v>
      </c>
      <c r="C23" s="31" t="s">
        <v>98</v>
      </c>
      <c r="D23" s="32"/>
      <c r="E23" s="32"/>
      <c r="F23" s="32" t="s">
        <v>52</v>
      </c>
      <c r="G23" s="33">
        <v>1.0</v>
      </c>
      <c r="H23" s="33"/>
      <c r="I23" s="33">
        <v>17000</v>
      </c>
      <c r="J23" s="34">
        <v>0.0</v>
      </c>
      <c r="K23" s="35">
        <v>169.0</v>
      </c>
      <c r="L23" s="34">
        <f>J23+ROUND(K23, 2)</f>
        <v>169</v>
      </c>
      <c r="M23" s="34">
        <v>0.0</v>
      </c>
      <c r="N23" s="34">
        <f>ROUND(I23*ROUND(K23, 2), 2)</f>
        <v>2873000</v>
      </c>
      <c r="O23" s="34">
        <f>M23+N23</f>
        <v>2873000</v>
      </c>
      <c r="P23" s="34">
        <v>0.0</v>
      </c>
      <c r="Q23" s="36">
        <v>0</v>
      </c>
      <c r="R23" s="34">
        <f>P23+ROUND(Q23, 2)</f>
        <v>0</v>
      </c>
      <c r="S23" s="34">
        <v>0.0</v>
      </c>
      <c r="T23" s="34">
        <f>ROUND(I23*ROUND(Q23, 2), 2)</f>
        <v>0</v>
      </c>
      <c r="U23" s="34">
        <f>S23+T23</f>
        <v>0</v>
      </c>
      <c r="V23" s="26"/>
      <c r="W23" s="26">
        <f>ROUND(Q23 / 1.2, 2)</f>
        <v>0</v>
      </c>
      <c r="X23" s="26">
        <f>ROUND(R23 / 1.2, 2)</f>
        <v>0</v>
      </c>
      <c r="Y23" s="26"/>
      <c r="Z23" s="26">
        <f>ROUND(T23 / 1.2, 2)</f>
        <v>0</v>
      </c>
      <c r="AA23" s="26" t="e">
        <f>Y23+Z23</f>
        <v>#VALUE!</v>
      </c>
      <c r="AD23" s="13">
        <v>276414489</v>
      </c>
      <c r="AE23" s="13">
        <v>20887669</v>
      </c>
      <c r="AG23" s="13" t="s">
        <v>99</v>
      </c>
      <c r="AH23" s="13" t="s">
        <v>100</v>
      </c>
      <c r="AI23" s="13" t="s">
        <v>55</v>
      </c>
    </row>
    <row r="24" spans="1:35" customHeight="1" ht="17">
      <c r="A24" s="27" t="s">
        <v>101</v>
      </c>
      <c r="B24" s="27" t="s">
        <v>102</v>
      </c>
      <c r="C24" s="28" t="s">
        <v>103</v>
      </c>
      <c r="D24" s="29"/>
      <c r="E24" s="29"/>
      <c r="F24" s="29"/>
      <c r="G24" s="29"/>
      <c r="H24" s="29"/>
      <c r="I24" s="30"/>
      <c r="M24" s="20">
        <f>SUM(M25)</f>
        <v>54670</v>
      </c>
      <c r="N24" s="20">
        <f>SUM(N25)</f>
        <v>523000</v>
      </c>
      <c r="O24" s="20">
        <f>SUM(O25)</f>
        <v>577670</v>
      </c>
      <c r="S24" s="20">
        <f>SUM(S25)</f>
        <v>0</v>
      </c>
      <c r="T24" s="20">
        <f>SUM(T25)</f>
        <v>0</v>
      </c>
      <c r="U24" s="20">
        <f>SUM(U25)</f>
        <v>0</v>
      </c>
      <c r="Y24" s="26">
        <f>SUM(Y25)</f>
        <v>0</v>
      </c>
      <c r="Z24" s="26">
        <f>SUM(Z25)</f>
        <v>0</v>
      </c>
      <c r="AA24" s="26">
        <f>SUM(AA25)</f>
        <v>0</v>
      </c>
      <c r="AD24" s="13">
        <v>276414490</v>
      </c>
      <c r="AE24" s="13">
        <v>20887679</v>
      </c>
    </row>
    <row r="25" spans="1:35" customHeight="1" ht="17">
      <c r="A25" s="27" t="s">
        <v>104</v>
      </c>
      <c r="B25" s="27" t="s">
        <v>105</v>
      </c>
      <c r="C25" s="28" t="s">
        <v>48</v>
      </c>
      <c r="D25" s="29"/>
      <c r="E25" s="29"/>
      <c r="F25" s="29"/>
      <c r="G25" s="29"/>
      <c r="H25" s="29"/>
      <c r="I25" s="30"/>
      <c r="M25" s="20">
        <f>SUM(M26)</f>
        <v>54670</v>
      </c>
      <c r="N25" s="20">
        <f>SUM(N26)</f>
        <v>523000</v>
      </c>
      <c r="O25" s="20">
        <f>SUM(O26)</f>
        <v>577670</v>
      </c>
      <c r="S25" s="20">
        <f>SUM(S26)</f>
        <v>0</v>
      </c>
      <c r="T25" s="20">
        <f>SUM(T26)</f>
        <v>0</v>
      </c>
      <c r="U25" s="20">
        <f>SUM(U26)</f>
        <v>0</v>
      </c>
      <c r="Y25" s="26">
        <f>SUM(Y26)</f>
        <v>0</v>
      </c>
      <c r="Z25" s="26">
        <f>SUM(Z26)</f>
        <v>0</v>
      </c>
      <c r="AA25" s="26">
        <f>SUM(AA26)</f>
        <v>0</v>
      </c>
      <c r="AD25" s="13">
        <v>276414491</v>
      </c>
      <c r="AE25" s="13">
        <v>20887692</v>
      </c>
    </row>
    <row r="26" spans="1:35">
      <c r="A26" s="27" t="s">
        <v>106</v>
      </c>
      <c r="B26" s="27" t="s">
        <v>107</v>
      </c>
      <c r="C26" s="31" t="s">
        <v>108</v>
      </c>
      <c r="D26" s="32"/>
      <c r="E26" s="32"/>
      <c r="F26" s="32" t="s">
        <v>84</v>
      </c>
      <c r="G26" s="33">
        <v>1.0</v>
      </c>
      <c r="H26" s="33"/>
      <c r="I26" s="33">
        <v>1000</v>
      </c>
      <c r="J26" s="34">
        <f>IFERROR(ROUND(SUM(M27,M28,M29,M30)/I26, 2),0)</f>
        <v>54.67</v>
      </c>
      <c r="K26" s="35">
        <v>523.0</v>
      </c>
      <c r="L26" s="34">
        <f>J26+ROUND(K26, 2)</f>
        <v>577.67</v>
      </c>
      <c r="M26" s="34">
        <f>ROUND(J26*I26, 2)</f>
        <v>54670</v>
      </c>
      <c r="N26" s="34">
        <f>ROUND(I26*ROUND(K26, 2), 2)</f>
        <v>523000</v>
      </c>
      <c r="O26" s="34">
        <f>M26+N26</f>
        <v>577670</v>
      </c>
      <c r="P26" s="34">
        <f>IFERROR(ROUND(SUM(S27,S28,S29,S30)/I26, 2),0)</f>
        <v>0</v>
      </c>
      <c r="Q26" s="36">
        <v>0</v>
      </c>
      <c r="R26" s="34">
        <f>P26+ROUND(Q26, 2)</f>
        <v>0</v>
      </c>
      <c r="S26" s="34">
        <f>ROUND(P26*I26, 2)</f>
        <v>0</v>
      </c>
      <c r="T26" s="34">
        <f>ROUND(I26*ROUND(Q26, 2), 2)</f>
        <v>0</v>
      </c>
      <c r="U26" s="34">
        <f>S26+T26</f>
        <v>0</v>
      </c>
      <c r="V26" s="26">
        <f>ROUND(P26 / 1.2, 2)</f>
        <v>0</v>
      </c>
      <c r="W26" s="26">
        <f>ROUND(Q26 / 1.2, 2)</f>
        <v>0</v>
      </c>
      <c r="X26" s="26">
        <f>ROUND(R26 / 1.2, 2)</f>
        <v>0</v>
      </c>
      <c r="Y26" s="26">
        <f>ROUND(S26 / 1.2, 2)</f>
        <v>0</v>
      </c>
      <c r="Z26" s="26">
        <f>ROUND(T26 / 1.2, 2)</f>
        <v>0</v>
      </c>
      <c r="AA26" s="26">
        <f>Y26+Z26</f>
        <v>0</v>
      </c>
      <c r="AD26" s="13">
        <v>276414493</v>
      </c>
      <c r="AE26" s="13">
        <v>20887683</v>
      </c>
      <c r="AG26" s="13" t="s">
        <v>109</v>
      </c>
      <c r="AH26" s="13" t="s">
        <v>110</v>
      </c>
      <c r="AI26" s="13" t="s">
        <v>55</v>
      </c>
    </row>
    <row r="27" spans="1:35">
      <c r="A27" s="27" t="s">
        <v>111</v>
      </c>
      <c r="B27" s="27"/>
      <c r="C27" s="43" t="s">
        <v>112</v>
      </c>
      <c r="D27" s="32"/>
      <c r="E27" s="32"/>
      <c r="F27" s="38" t="s">
        <v>58</v>
      </c>
      <c r="G27" s="39">
        <v>0.315</v>
      </c>
      <c r="H27" s="44"/>
      <c r="I27" s="44">
        <v>2520</v>
      </c>
      <c r="J27" s="40">
        <v>8.8</v>
      </c>
      <c r="M27" s="41">
        <f>ROUND(ROUND(J27, 2)*I27, 2)</f>
        <v>22176</v>
      </c>
      <c r="P27" s="42">
        <v>0</v>
      </c>
      <c r="S27" s="41">
        <f>ROUND(ROUND(P27, 2)*I27, 2)</f>
        <v>0</v>
      </c>
      <c r="V27" s="26">
        <f>ROUND(ROUND(P27, 2)/1.2, 2)</f>
        <v>0</v>
      </c>
      <c r="Y27" s="26">
        <f>ROUND(S27 / 1.2, 2)</f>
        <v>0</v>
      </c>
      <c r="AD27" s="13" t="s">
        <v>113</v>
      </c>
      <c r="AE27" s="13" t="s">
        <v>114</v>
      </c>
      <c r="AF27" s="13" t="s">
        <v>115</v>
      </c>
    </row>
    <row r="28" spans="1:35">
      <c r="A28" s="27" t="s">
        <v>116</v>
      </c>
      <c r="B28" s="27"/>
      <c r="C28" s="43" t="s">
        <v>117</v>
      </c>
      <c r="D28" s="32"/>
      <c r="E28" s="32"/>
      <c r="F28" s="38" t="s">
        <v>118</v>
      </c>
      <c r="G28" s="39">
        <v>0.4</v>
      </c>
      <c r="H28" s="39"/>
      <c r="I28" s="39">
        <v>400</v>
      </c>
      <c r="J28" s="40">
        <v>73.1</v>
      </c>
      <c r="M28" s="41">
        <f>ROUND(ROUND(J28, 2)*I28, 2)</f>
        <v>29240</v>
      </c>
      <c r="P28" s="42">
        <v>0</v>
      </c>
      <c r="S28" s="41">
        <f>ROUND(ROUND(P28, 2)*I28, 2)</f>
        <v>0</v>
      </c>
      <c r="V28" s="26">
        <f>ROUND(ROUND(P28, 2)/1.2, 2)</f>
        <v>0</v>
      </c>
      <c r="Y28" s="26">
        <f>ROUND(S28 / 1.2, 2)</f>
        <v>0</v>
      </c>
      <c r="AD28" s="13" t="s">
        <v>119</v>
      </c>
      <c r="AE28" s="13" t="s">
        <v>120</v>
      </c>
      <c r="AF28" s="13" t="s">
        <v>121</v>
      </c>
    </row>
    <row r="29" spans="1:35">
      <c r="A29" s="27" t="s">
        <v>122</v>
      </c>
      <c r="B29" s="27"/>
      <c r="C29" s="43" t="s">
        <v>123</v>
      </c>
      <c r="D29" s="32"/>
      <c r="E29" s="32"/>
      <c r="F29" s="38" t="s">
        <v>84</v>
      </c>
      <c r="G29" s="39">
        <v>1.05</v>
      </c>
      <c r="H29" s="44"/>
      <c r="I29" s="44">
        <v>84</v>
      </c>
      <c r="J29" s="40">
        <v>34.6</v>
      </c>
      <c r="M29" s="41">
        <f>ROUND(ROUND(J29, 2)*I29, 2)</f>
        <v>2906.4</v>
      </c>
      <c r="P29" s="42">
        <v>0</v>
      </c>
      <c r="S29" s="41">
        <f>ROUND(ROUND(P29, 2)*I29, 2)</f>
        <v>0</v>
      </c>
      <c r="V29" s="26">
        <f>ROUND(ROUND(P29, 2)/1.2, 2)</f>
        <v>0</v>
      </c>
      <c r="Y29" s="26">
        <f>ROUND(S29 / 1.2, 2)</f>
        <v>0</v>
      </c>
      <c r="AD29" s="13" t="s">
        <v>124</v>
      </c>
      <c r="AE29" s="13" t="s">
        <v>125</v>
      </c>
      <c r="AF29" s="13" t="s">
        <v>126</v>
      </c>
    </row>
    <row r="30" spans="1:35">
      <c r="A30" s="27" t="s">
        <v>127</v>
      </c>
      <c r="B30" s="27"/>
      <c r="C30" s="43" t="s">
        <v>128</v>
      </c>
      <c r="D30" s="32"/>
      <c r="E30" s="32"/>
      <c r="F30" s="38" t="s">
        <v>58</v>
      </c>
      <c r="G30" s="39">
        <v>0.065</v>
      </c>
      <c r="H30" s="44"/>
      <c r="I30" s="44">
        <v>5.2</v>
      </c>
      <c r="J30" s="40">
        <v>67.1</v>
      </c>
      <c r="M30" s="41">
        <f>ROUND(ROUND(J30, 2)*I30, 2)</f>
        <v>348.92</v>
      </c>
      <c r="P30" s="42">
        <v>0</v>
      </c>
      <c r="S30" s="41">
        <f>ROUND(ROUND(P30, 2)*I30, 2)</f>
        <v>0</v>
      </c>
      <c r="V30" s="26">
        <f>ROUND(ROUND(P30, 2)/1.2, 2)</f>
        <v>0</v>
      </c>
      <c r="Y30" s="26">
        <f>ROUND(S30 / 1.2, 2)</f>
        <v>0</v>
      </c>
      <c r="AD30" s="13" t="s">
        <v>129</v>
      </c>
      <c r="AE30" s="13" t="s">
        <v>130</v>
      </c>
      <c r="AF30" s="13" t="s">
        <v>131</v>
      </c>
    </row>
    <row r="31" spans="1:35" customHeight="1" ht="17">
      <c r="A31" s="27" t="s">
        <v>132</v>
      </c>
      <c r="B31" s="27" t="s">
        <v>133</v>
      </c>
      <c r="C31" s="28" t="s">
        <v>134</v>
      </c>
      <c r="D31" s="29"/>
      <c r="E31" s="29"/>
      <c r="F31" s="29"/>
      <c r="G31" s="29"/>
      <c r="H31" s="29"/>
      <c r="I31" s="30"/>
      <c r="M31" s="20">
        <f>SUM(M32,M34)</f>
        <v>0</v>
      </c>
      <c r="N31" s="20">
        <f>SUM(N32,N34)</f>
        <v>3251140.53</v>
      </c>
      <c r="O31" s="20">
        <f>SUM(O32,O34)</f>
        <v>3251140.53</v>
      </c>
      <c r="S31" s="20">
        <f>SUM(S32,S34)</f>
        <v>0</v>
      </c>
      <c r="T31" s="20">
        <f>SUM(T32,T34)</f>
        <v>0</v>
      </c>
      <c r="U31" s="20">
        <f>SUM(U32,U34)</f>
        <v>0</v>
      </c>
      <c r="Y31" s="26">
        <f>SUM(Y32,Y34)</f>
        <v>0</v>
      </c>
      <c r="Z31" s="26">
        <f>SUM(Z32,Z34)</f>
        <v>0</v>
      </c>
      <c r="AA31" s="26" t="e">
        <f>SUM(AA32,AA34)</f>
        <v>#VALUE!</v>
      </c>
      <c r="AD31" s="13">
        <v>276414494</v>
      </c>
      <c r="AE31" s="13">
        <v>20887685</v>
      </c>
    </row>
    <row r="32" spans="1:35" customHeight="1" ht="17">
      <c r="A32" s="27" t="s">
        <v>135</v>
      </c>
      <c r="B32" s="27" t="s">
        <v>136</v>
      </c>
      <c r="C32" s="28" t="s">
        <v>95</v>
      </c>
      <c r="D32" s="29"/>
      <c r="E32" s="29"/>
      <c r="F32" s="29"/>
      <c r="G32" s="29"/>
      <c r="H32" s="29"/>
      <c r="I32" s="30"/>
      <c r="M32" s="20">
        <f>SUM(M33)</f>
        <v>0</v>
      </c>
      <c r="N32" s="20">
        <f>SUM(N33)</f>
        <v>2873000</v>
      </c>
      <c r="O32" s="20">
        <f>SUM(O33)</f>
        <v>2873000</v>
      </c>
      <c r="S32" s="20">
        <f>SUM(S33)</f>
        <v>0</v>
      </c>
      <c r="T32" s="20">
        <f>SUM(T33)</f>
        <v>0</v>
      </c>
      <c r="U32" s="20">
        <f>SUM(U33)</f>
        <v>0</v>
      </c>
      <c r="Y32" s="26">
        <f>SUM(Y33)</f>
        <v>0</v>
      </c>
      <c r="Z32" s="26">
        <f>SUM(Z33)</f>
        <v>0</v>
      </c>
      <c r="AA32" s="26" t="e">
        <f>SUM(AA33)</f>
        <v>#VALUE!</v>
      </c>
      <c r="AD32" s="13">
        <v>276414495</v>
      </c>
      <c r="AE32" s="13">
        <v>20887680</v>
      </c>
    </row>
    <row r="33" spans="1:35">
      <c r="A33" s="27" t="s">
        <v>137</v>
      </c>
      <c r="B33" s="27" t="s">
        <v>138</v>
      </c>
      <c r="C33" s="31" t="s">
        <v>98</v>
      </c>
      <c r="D33" s="32"/>
      <c r="E33" s="32"/>
      <c r="F33" s="32" t="s">
        <v>52</v>
      </c>
      <c r="G33" s="33">
        <v>1.0</v>
      </c>
      <c r="H33" s="33"/>
      <c r="I33" s="33">
        <v>17000</v>
      </c>
      <c r="J33" s="34">
        <v>0.0</v>
      </c>
      <c r="K33" s="35">
        <v>169.0</v>
      </c>
      <c r="L33" s="34">
        <f>J33+ROUND(K33, 2)</f>
        <v>169</v>
      </c>
      <c r="M33" s="34">
        <v>0.0</v>
      </c>
      <c r="N33" s="34">
        <f>ROUND(I33*ROUND(K33, 2), 2)</f>
        <v>2873000</v>
      </c>
      <c r="O33" s="34">
        <f>M33+N33</f>
        <v>2873000</v>
      </c>
      <c r="P33" s="34">
        <v>0.0</v>
      </c>
      <c r="Q33" s="36">
        <v>0</v>
      </c>
      <c r="R33" s="34">
        <f>P33+ROUND(Q33, 2)</f>
        <v>0</v>
      </c>
      <c r="S33" s="34">
        <v>0.0</v>
      </c>
      <c r="T33" s="34">
        <f>ROUND(I33*ROUND(Q33, 2), 2)</f>
        <v>0</v>
      </c>
      <c r="U33" s="34">
        <f>S33+T33</f>
        <v>0</v>
      </c>
      <c r="V33" s="26"/>
      <c r="W33" s="26">
        <f>ROUND(Q33 / 1.2, 2)</f>
        <v>0</v>
      </c>
      <c r="X33" s="26">
        <f>ROUND(R33 / 1.2, 2)</f>
        <v>0</v>
      </c>
      <c r="Y33" s="26"/>
      <c r="Z33" s="26">
        <f>ROUND(T33 / 1.2, 2)</f>
        <v>0</v>
      </c>
      <c r="AA33" s="26" t="e">
        <f>Y33+Z33</f>
        <v>#VALUE!</v>
      </c>
      <c r="AD33" s="13">
        <v>276414497</v>
      </c>
      <c r="AE33" s="13">
        <v>20887693</v>
      </c>
      <c r="AG33" s="13" t="s">
        <v>99</v>
      </c>
      <c r="AH33" s="13" t="s">
        <v>139</v>
      </c>
      <c r="AI33" s="13" t="s">
        <v>55</v>
      </c>
    </row>
    <row r="34" spans="1:35" customHeight="1" ht="17">
      <c r="A34" s="27" t="s">
        <v>140</v>
      </c>
      <c r="B34" s="27" t="s">
        <v>141</v>
      </c>
      <c r="C34" s="28" t="s">
        <v>142</v>
      </c>
      <c r="D34" s="29"/>
      <c r="E34" s="29"/>
      <c r="F34" s="29"/>
      <c r="G34" s="29"/>
      <c r="H34" s="29"/>
      <c r="I34" s="30"/>
      <c r="M34" s="20">
        <f>SUM(M35,M36)</f>
        <v>0</v>
      </c>
      <c r="N34" s="20">
        <f>SUM(N35,N36)</f>
        <v>378140.53</v>
      </c>
      <c r="O34" s="20">
        <f>SUM(O35,O36)</f>
        <v>378140.53</v>
      </c>
      <c r="S34" s="20">
        <f>SUM(S35,S36)</f>
        <v>0</v>
      </c>
      <c r="T34" s="20">
        <f>SUM(T35,T36)</f>
        <v>0</v>
      </c>
      <c r="U34" s="20">
        <f>SUM(U35,U36)</f>
        <v>0</v>
      </c>
      <c r="Y34" s="26">
        <f>SUM(Y35,Y36)</f>
        <v>0</v>
      </c>
      <c r="Z34" s="26">
        <f>SUM(Z35,Z36)</f>
        <v>0</v>
      </c>
      <c r="AA34" s="26" t="e">
        <f>SUM(AA35,AA36)</f>
        <v>#VALUE!</v>
      </c>
      <c r="AD34" s="13">
        <v>276414498</v>
      </c>
      <c r="AE34" s="13">
        <v>20887686</v>
      </c>
    </row>
    <row r="35" spans="1:35">
      <c r="A35" s="27" t="s">
        <v>143</v>
      </c>
      <c r="B35" s="27" t="s">
        <v>144</v>
      </c>
      <c r="C35" s="31" t="s">
        <v>145</v>
      </c>
      <c r="D35" s="32"/>
      <c r="E35" s="32"/>
      <c r="F35" s="32" t="s">
        <v>146</v>
      </c>
      <c r="G35" s="33">
        <v>1.0</v>
      </c>
      <c r="H35" s="33"/>
      <c r="I35" s="33">
        <v>135.8</v>
      </c>
      <c r="J35" s="34">
        <v>0.0</v>
      </c>
      <c r="K35" s="35">
        <v>1883.05</v>
      </c>
      <c r="L35" s="34">
        <f>J35+ROUND(K35, 2)</f>
        <v>1883.05</v>
      </c>
      <c r="M35" s="34">
        <v>0.0</v>
      </c>
      <c r="N35" s="34">
        <f>ROUND(I35*ROUND(K35, 2), 2)</f>
        <v>255718.19</v>
      </c>
      <c r="O35" s="34">
        <f>M35+N35</f>
        <v>255718.19</v>
      </c>
      <c r="P35" s="34">
        <v>0.0</v>
      </c>
      <c r="Q35" s="36">
        <v>0</v>
      </c>
      <c r="R35" s="34">
        <f>P35+ROUND(Q35, 2)</f>
        <v>0</v>
      </c>
      <c r="S35" s="34">
        <v>0.0</v>
      </c>
      <c r="T35" s="34">
        <f>ROUND(I35*ROUND(Q35, 2), 2)</f>
        <v>0</v>
      </c>
      <c r="U35" s="34">
        <f>S35+T35</f>
        <v>0</v>
      </c>
      <c r="V35" s="26"/>
      <c r="W35" s="26">
        <f>ROUND(Q35 / 1.2, 2)</f>
        <v>0</v>
      </c>
      <c r="X35" s="26">
        <f>ROUND(R35 / 1.2, 2)</f>
        <v>0</v>
      </c>
      <c r="Y35" s="26"/>
      <c r="Z35" s="26">
        <f>ROUND(T35 / 1.2, 2)</f>
        <v>0</v>
      </c>
      <c r="AA35" s="26" t="e">
        <f>Y35+Z35</f>
        <v>#VALUE!</v>
      </c>
      <c r="AD35" s="13">
        <v>276414500</v>
      </c>
      <c r="AE35" s="13">
        <v>20887673</v>
      </c>
      <c r="AG35" s="13" t="s">
        <v>147</v>
      </c>
      <c r="AH35" s="13" t="s">
        <v>148</v>
      </c>
      <c r="AI35" s="13" t="s">
        <v>55</v>
      </c>
    </row>
    <row r="36" spans="1:35">
      <c r="A36" s="27" t="s">
        <v>149</v>
      </c>
      <c r="B36" s="27" t="s">
        <v>150</v>
      </c>
      <c r="C36" s="31" t="s">
        <v>151</v>
      </c>
      <c r="D36" s="32"/>
      <c r="E36" s="32"/>
      <c r="F36" s="32" t="s">
        <v>146</v>
      </c>
      <c r="G36" s="33">
        <v>1.0</v>
      </c>
      <c r="H36" s="33"/>
      <c r="I36" s="33">
        <v>135.8</v>
      </c>
      <c r="J36" s="34">
        <v>0.0</v>
      </c>
      <c r="K36" s="35">
        <v>901.49</v>
      </c>
      <c r="L36" s="34">
        <f>J36+ROUND(K36, 2)</f>
        <v>901.49</v>
      </c>
      <c r="M36" s="34">
        <v>0.0</v>
      </c>
      <c r="N36" s="34">
        <f>ROUND(I36*ROUND(K36, 2), 2)</f>
        <v>122422.34</v>
      </c>
      <c r="O36" s="34">
        <f>M36+N36</f>
        <v>122422.34</v>
      </c>
      <c r="P36" s="34">
        <v>0.0</v>
      </c>
      <c r="Q36" s="36">
        <v>0</v>
      </c>
      <c r="R36" s="34">
        <f>P36+ROUND(Q36, 2)</f>
        <v>0</v>
      </c>
      <c r="S36" s="34">
        <v>0.0</v>
      </c>
      <c r="T36" s="34">
        <f>ROUND(I36*ROUND(Q36, 2), 2)</f>
        <v>0</v>
      </c>
      <c r="U36" s="34">
        <f>S36+T36</f>
        <v>0</v>
      </c>
      <c r="V36" s="26"/>
      <c r="W36" s="26">
        <f>ROUND(Q36 / 1.2, 2)</f>
        <v>0</v>
      </c>
      <c r="X36" s="26">
        <f>ROUND(R36 / 1.2, 2)</f>
        <v>0</v>
      </c>
      <c r="Y36" s="26"/>
      <c r="Z36" s="26">
        <f>ROUND(T36 / 1.2, 2)</f>
        <v>0</v>
      </c>
      <c r="AA36" s="26" t="e">
        <f>Y36+Z36</f>
        <v>#VALUE!</v>
      </c>
      <c r="AD36" s="13">
        <v>276414502</v>
      </c>
      <c r="AE36" s="13">
        <v>20887688</v>
      </c>
      <c r="AG36" s="13" t="s">
        <v>152</v>
      </c>
      <c r="AH36" s="13" t="s">
        <v>153</v>
      </c>
      <c r="AI36" s="13" t="s">
        <v>55</v>
      </c>
    </row>
    <row r="37" spans="1:35" customHeight="1" ht="24">
      <c r="A37" s="45"/>
      <c r="B37" s="45"/>
      <c r="C37" s="45"/>
      <c r="D37" s="46" t="s">
        <v>154</v>
      </c>
      <c r="E37" s="45"/>
      <c r="F37" s="45"/>
      <c r="G37" s="45"/>
      <c r="H37" s="45"/>
      <c r="I37" s="45"/>
      <c r="J37" s="45"/>
      <c r="K37" s="45"/>
      <c r="L37" s="45"/>
      <c r="M37" s="47">
        <f>SUM(M8)</f>
        <v>1419120</v>
      </c>
      <c r="N37" s="47">
        <f>SUM(N8)</f>
        <v>13731140.53</v>
      </c>
      <c r="O37" s="47">
        <f>M37+N37</f>
        <v>15150260.53</v>
      </c>
      <c r="P37" s="45"/>
      <c r="Q37" s="45"/>
      <c r="R37" s="45"/>
      <c r="S37" s="47">
        <f>SUM(S8)</f>
        <v>0</v>
      </c>
      <c r="T37" s="47">
        <f>SUM(T8)</f>
        <v>0</v>
      </c>
      <c r="U37" s="47">
        <f>S37+T37</f>
        <v>0</v>
      </c>
      <c r="Y37" s="26">
        <f>SUM(Y8)</f>
        <v>0</v>
      </c>
      <c r="Z37" s="26">
        <f>SUM(Z8)</f>
        <v>0</v>
      </c>
      <c r="AA37" s="26">
        <f>Y37+Z37</f>
        <v>0</v>
      </c>
    </row>
    <row r="38" spans="1:35">
      <c r="A38" s="21" t="s">
        <v>155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3"/>
    </row>
    <row r="39" spans="1:35">
      <c r="A39" s="50"/>
      <c r="B39" s="19" t="s">
        <v>156</v>
      </c>
      <c r="C39" s="48" t="s">
        <v>157</v>
      </c>
      <c r="D39" s="48" t="s">
        <v>158</v>
      </c>
      <c r="E39" s="51"/>
      <c r="F39" s="51"/>
      <c r="G39" s="51"/>
      <c r="H39" s="17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18"/>
    </row>
    <row r="40" spans="1:35">
      <c r="A40" s="50"/>
      <c r="B40" s="19" t="s">
        <v>159</v>
      </c>
      <c r="C40" s="48" t="s">
        <v>160</v>
      </c>
      <c r="D40" s="48" t="s">
        <v>161</v>
      </c>
      <c r="E40" s="51"/>
      <c r="F40" s="51"/>
      <c r="G40" s="51"/>
      <c r="H40" s="17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18"/>
    </row>
    <row r="41" spans="1:35">
      <c r="A41" s="50"/>
      <c r="B41" s="19" t="s">
        <v>162</v>
      </c>
      <c r="C41" s="48" t="s">
        <v>163</v>
      </c>
      <c r="D41" s="48" t="s">
        <v>164</v>
      </c>
      <c r="E41" s="51"/>
      <c r="F41" s="51"/>
      <c r="G41" s="51"/>
      <c r="H41" s="17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18"/>
    </row>
    <row r="42" spans="1:35">
      <c r="A42" s="50"/>
      <c r="B42" s="19" t="s">
        <v>165</v>
      </c>
      <c r="C42" s="48" t="s">
        <v>166</v>
      </c>
      <c r="D42" s="48" t="s">
        <v>167</v>
      </c>
      <c r="E42" s="51"/>
      <c r="F42" s="51"/>
      <c r="G42" s="51"/>
      <c r="H42" s="17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18"/>
    </row>
    <row r="43" spans="1:35">
      <c r="A43" s="50"/>
      <c r="B43" s="19" t="s">
        <v>168</v>
      </c>
      <c r="C43" s="48" t="s">
        <v>169</v>
      </c>
      <c r="D43" s="48" t="s">
        <v>161</v>
      </c>
      <c r="E43" s="51"/>
      <c r="F43" s="51"/>
      <c r="G43" s="51"/>
      <c r="H43" s="17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18"/>
    </row>
    <row r="44" spans="1:35">
      <c r="A44" s="50"/>
      <c r="B44" s="19" t="s">
        <v>170</v>
      </c>
      <c r="C44" s="48" t="s">
        <v>171</v>
      </c>
      <c r="D44" s="48" t="s">
        <v>172</v>
      </c>
      <c r="E44" s="51"/>
      <c r="F44" s="51"/>
      <c r="G44" s="51"/>
      <c r="H44" s="17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18"/>
    </row>
    <row r="45" spans="1:35">
      <c r="A45" s="50"/>
      <c r="B45" s="19" t="s">
        <v>173</v>
      </c>
      <c r="C45" s="48" t="s">
        <v>174</v>
      </c>
      <c r="D45" s="48" t="s">
        <v>175</v>
      </c>
      <c r="E45" s="51"/>
      <c r="F45" s="51"/>
      <c r="G45" s="51"/>
      <c r="H45" s="17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18"/>
    </row>
    <row r="46" spans="1:35">
      <c r="A46" s="50"/>
      <c r="B46" s="19" t="s">
        <v>176</v>
      </c>
      <c r="C46" s="48" t="s">
        <v>177</v>
      </c>
      <c r="D46" s="48" t="s">
        <v>178</v>
      </c>
      <c r="E46" s="51"/>
      <c r="F46" s="51"/>
      <c r="G46" s="51"/>
      <c r="H46" s="17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18"/>
    </row>
    <row r="47" spans="1:35">
      <c r="A47" s="50"/>
      <c r="B47" s="19" t="s">
        <v>179</v>
      </c>
      <c r="C47" s="48" t="s">
        <v>180</v>
      </c>
      <c r="D47" s="48" t="s">
        <v>181</v>
      </c>
      <c r="E47" s="51"/>
      <c r="F47" s="51"/>
      <c r="G47" s="51"/>
      <c r="H47" s="17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18"/>
    </row>
    <row r="48" spans="1:35">
      <c r="A48" s="50"/>
      <c r="B48" s="19" t="s">
        <v>182</v>
      </c>
      <c r="C48" s="48" t="s">
        <v>183</v>
      </c>
      <c r="D48" s="48" t="s">
        <v>184</v>
      </c>
      <c r="E48" s="51"/>
      <c r="F48" s="51"/>
      <c r="G48" s="51"/>
      <c r="H48" s="17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18"/>
    </row>
    <row r="49" spans="1:35">
      <c r="A49" s="50"/>
      <c r="B49" s="19" t="s">
        <v>185</v>
      </c>
      <c r="C49" s="48" t="s">
        <v>186</v>
      </c>
      <c r="D49" s="48" t="s">
        <v>187</v>
      </c>
      <c r="E49" s="51"/>
      <c r="F49" s="51"/>
      <c r="G49" s="51"/>
      <c r="H49" s="17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18"/>
    </row>
    <row r="50" spans="1:35">
      <c r="A50" s="50"/>
      <c r="B50" s="19" t="s">
        <v>188</v>
      </c>
      <c r="C50" s="48" t="s">
        <v>189</v>
      </c>
      <c r="D50" s="48" t="s">
        <v>190</v>
      </c>
      <c r="E50" s="51"/>
      <c r="F50" s="51"/>
      <c r="G50" s="51"/>
      <c r="H50" s="17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18"/>
    </row>
    <row r="51" spans="1:35">
      <c r="A51" s="50"/>
      <c r="B51" s="19" t="s">
        <v>191</v>
      </c>
      <c r="C51" s="48" t="s">
        <v>192</v>
      </c>
      <c r="D51" s="48" t="s">
        <v>193</v>
      </c>
      <c r="E51" s="51"/>
      <c r="F51" s="51"/>
      <c r="G51" s="51"/>
      <c r="H51" s="17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18"/>
    </row>
    <row r="52" spans="1:35" customHeight="1" ht="48">
      <c r="A52" s="50"/>
      <c r="B52" s="19" t="s">
        <v>194</v>
      </c>
      <c r="C52" s="48" t="s">
        <v>195</v>
      </c>
      <c r="D52" s="48" t="s">
        <v>196</v>
      </c>
      <c r="E52" s="51"/>
      <c r="F52" s="51"/>
      <c r="G52" s="51"/>
      <c r="H52" s="17" t="s">
        <v>197</v>
      </c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18"/>
    </row>
    <row r="53" spans="1:35">
      <c r="A53" s="50"/>
      <c r="B53" s="19" t="s">
        <v>198</v>
      </c>
      <c r="C53" s="48" t="s">
        <v>199</v>
      </c>
      <c r="D53" s="48" t="s">
        <v>200</v>
      </c>
      <c r="E53" s="51"/>
      <c r="F53" s="51"/>
      <c r="G53" s="51"/>
      <c r="H53" s="17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18"/>
    </row>
    <row r="54" spans="1:35">
      <c r="A54" s="50"/>
      <c r="B54" s="19" t="s">
        <v>201</v>
      </c>
      <c r="C54" s="48" t="s">
        <v>202</v>
      </c>
      <c r="D54" s="51"/>
      <c r="E54" s="51"/>
      <c r="F54" s="51"/>
      <c r="G54" s="51"/>
      <c r="H54" s="17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18"/>
    </row>
    <row r="55" spans="1:35">
      <c r="A55" s="50"/>
      <c r="B55" s="19" t="s">
        <v>203</v>
      </c>
      <c r="C55" s="48" t="s">
        <v>204</v>
      </c>
      <c r="D55" s="51"/>
      <c r="E55" s="51"/>
      <c r="F55" s="51"/>
      <c r="G55" s="51"/>
      <c r="H55" s="17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18"/>
    </row>
    <row r="56" spans="1:35">
      <c r="A56" s="50"/>
      <c r="B56" s="19" t="s">
        <v>205</v>
      </c>
      <c r="C56" s="48" t="s">
        <v>206</v>
      </c>
      <c r="D56" s="51"/>
      <c r="E56" s="51"/>
      <c r="F56" s="51"/>
      <c r="G56" s="51"/>
      <c r="H56" s="17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18"/>
    </row>
  </sheetData>
  <sheetProtection password="C644" sheet="1" formatColumns="0" autoFilter="0"/>
  <autoFilter ref="A7:U7"/>
  <mergeCells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  <mergeCell ref="L6:L7"/>
    <mergeCell ref="M6:N6"/>
    <mergeCell ref="O6:O7"/>
    <mergeCell ref="P6:Q6"/>
    <mergeCell ref="R6:R7"/>
    <mergeCell ref="S6:T6"/>
    <mergeCell ref="U6:U7"/>
    <mergeCell ref="A8:I8"/>
    <mergeCell ref="C9:I9"/>
    <mergeCell ref="C10:I10"/>
    <mergeCell ref="C11:I11"/>
    <mergeCell ref="C12:I12"/>
    <mergeCell ref="C13:I13"/>
    <mergeCell ref="C22:I22"/>
    <mergeCell ref="C24:I24"/>
    <mergeCell ref="C25:I25"/>
    <mergeCell ref="C31:I31"/>
    <mergeCell ref="C32:I32"/>
    <mergeCell ref="C34:I34"/>
    <mergeCell ref="A38:U38"/>
    <mergeCell ref="H39:U39"/>
    <mergeCell ref="H40:U40"/>
    <mergeCell ref="H41:U41"/>
    <mergeCell ref="H42:U42"/>
    <mergeCell ref="H43:U43"/>
    <mergeCell ref="H44:U44"/>
    <mergeCell ref="H45:U45"/>
    <mergeCell ref="H46:U46"/>
    <mergeCell ref="H47:U47"/>
    <mergeCell ref="H48:U48"/>
    <mergeCell ref="H49:U49"/>
    <mergeCell ref="H50:U50"/>
    <mergeCell ref="H51:U51"/>
    <mergeCell ref="H52:U52"/>
    <mergeCell ref="H53:U53"/>
    <mergeCell ref="H54:U54"/>
    <mergeCell ref="H55:U55"/>
    <mergeCell ref="H56:U5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ТКП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2025-11-18T13:38:54+03:00</dcterms:created>
  <dcterms:modified xsi:type="dcterms:W3CDTF">2025-11-18T13:38:54+03:00</dcterms:modified>
  <dc:title>Untitled Spreadsheet</dc:title>
  <dc:description/>
  <dc:subject/>
  <cp:keywords/>
  <cp:category/>
</cp:coreProperties>
</file>