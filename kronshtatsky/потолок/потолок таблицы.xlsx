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потолок\"/>
    </mc:Choice>
  </mc:AlternateContent>
  <bookViews>
    <workbookView xWindow="0" yWindow="0" windowWidth="16260" windowHeight="8700"/>
  </bookViews>
  <sheets>
    <sheet name="7.22Ст" sheetId="55" r:id="rId1"/>
    <sheet name="7.23Вст" sheetId="56" r:id="rId2"/>
    <sheet name="Лист1" sheetId="54" r:id="rId3"/>
    <sheet name="7.21КрсИнж" sheetId="53" r:id="rId4"/>
    <sheet name="7.20ДмМнт" sheetId="52" r:id="rId5"/>
    <sheet name="7.19КрсЗел" sheetId="49" r:id="rId6"/>
    <sheet name="7.18ШпЗел" sheetId="50" r:id="rId7"/>
    <sheet name="7.17ШтЗел" sheetId="51" r:id="rId8"/>
    <sheet name="7.14ШтГр (2)" sheetId="48" r:id="rId9"/>
    <sheet name="7.16КрсГр" sheetId="45" r:id="rId10"/>
    <sheet name="7.15ШпГр" sheetId="46" r:id="rId11"/>
    <sheet name="7.14ШтГр" sheetId="47" r:id="rId12"/>
    <sheet name="7.13Плтк" sheetId="43" r:id="rId13"/>
    <sheet name="7.14" sheetId="44" r:id="rId14"/>
    <sheet name="7.12Крск" sheetId="40" r:id="rId15"/>
    <sheet name="7.11Шп" sheetId="42" r:id="rId16"/>
    <sheet name="7.10Шт" sheetId="41" r:id="rId17"/>
    <sheet name="7.8Кр" sheetId="39" r:id="rId18"/>
    <sheet name="7.7СF4НЗ" sheetId="38" r:id="rId19"/>
    <sheet name="7.6СF6НЗ" sheetId="37" r:id="rId20"/>
    <sheet name="7.5Крск" sheetId="36" r:id="rId21"/>
    <sheet name="7.4ГКЛ" sheetId="34" r:id="rId22"/>
    <sheet name="7.3Альб" sheetId="33" r:id="rId23"/>
    <sheet name="7.2Грл" sheetId="32" r:id="rId24"/>
    <sheet name="7.1Арм" sheetId="31" r:id="rId25"/>
    <sheet name="6.4Крс" sheetId="30" r:id="rId26"/>
    <sheet name="6.3CF16Сбрк" sheetId="29" r:id="rId27"/>
    <sheet name="6.2ГКЛ" sheetId="28" r:id="rId28"/>
    <sheet name="6.1ГКЛ" sheetId="27" r:id="rId29"/>
    <sheet name="3.6ГКЛ" sheetId="23" r:id="rId30"/>
    <sheet name="3.5Подв" sheetId="24" r:id="rId31"/>
    <sheet name="3.4Крс" sheetId="25" r:id="rId32"/>
    <sheet name="3.3Шп" sheetId="26" r:id="rId33"/>
    <sheet name="1144" sheetId="22" r:id="rId34"/>
    <sheet name="1140" sheetId="21" r:id="rId35"/>
    <sheet name="1048" sheetId="18" r:id="rId36"/>
    <sheet name="1005" sheetId="17" r:id="rId37"/>
    <sheet name="971" sheetId="20" r:id="rId38"/>
    <sheet name="968" sheetId="19" r:id="rId39"/>
    <sheet name="965" sheetId="16" r:id="rId40"/>
    <sheet name="947" sheetId="15" r:id="rId41"/>
    <sheet name="CF6" sheetId="14" r:id="rId42"/>
    <sheet name="CF3" sheetId="13" r:id="rId43"/>
    <sheet name="CF4" sheetId="12" r:id="rId44"/>
    <sheet name="CF7,17" sheetId="11" r:id="rId45"/>
    <sheet name="CF1" sheetId="4" r:id="rId46"/>
    <sheet name="1.1-CF2_СКБ" sheetId="1" r:id="rId47"/>
    <sheet name="2.1-CF2_Краска" sheetId="2" r:id="rId48"/>
    <sheet name="3.1-CF2_Монтаж" sheetId="3" r:id="rId49"/>
    <sheet name="2.2-CF1_КрскДопСл" sheetId="10" r:id="rId50"/>
    <sheet name="2.2-CF1_Краск" sheetId="6" r:id="rId51"/>
    <sheet name="1.2-CF1_СКБ" sheetId="7" r:id="rId52"/>
    <sheet name="3.2-CF3_Монтаж" sheetId="8" r:id="rId53"/>
    <sheet name="3.3-CF4_Монтаж" sheetId="9" r:id="rId5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56" l="1"/>
  <c r="F2" i="56" s="1"/>
  <c r="B24" i="55"/>
  <c r="F2" i="55" s="1"/>
  <c r="C24" i="54"/>
  <c r="C15" i="54"/>
  <c r="D6" i="54"/>
  <c r="D7" i="54"/>
  <c r="D8" i="54"/>
  <c r="D9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5" i="54"/>
  <c r="E24" i="53" l="1"/>
  <c r="B21" i="53"/>
  <c r="H14" i="53"/>
  <c r="H2" i="53"/>
  <c r="E24" i="52"/>
  <c r="B21" i="52"/>
  <c r="H14" i="52"/>
  <c r="H2" i="52" l="1"/>
  <c r="E24" i="45"/>
  <c r="B21" i="45"/>
  <c r="H14" i="45"/>
  <c r="E25" i="46"/>
  <c r="B22" i="46"/>
  <c r="H15" i="46"/>
  <c r="B14" i="40"/>
  <c r="E12" i="40"/>
  <c r="H11" i="40"/>
  <c r="B15" i="42"/>
  <c r="E13" i="42"/>
  <c r="H12" i="42"/>
  <c r="J2" i="43" l="1"/>
  <c r="B7" i="36"/>
  <c r="B6" i="36" l="1"/>
  <c r="H2" i="45" l="1"/>
  <c r="H2" i="46"/>
  <c r="J3" i="43"/>
  <c r="J4" i="43"/>
  <c r="E14" i="33" l="1"/>
  <c r="H2" i="49" l="1"/>
  <c r="H2" i="50"/>
  <c r="H2" i="51"/>
  <c r="H3" i="50"/>
  <c r="E55" i="48" l="1"/>
  <c r="B51" i="48"/>
  <c r="H36" i="48"/>
  <c r="H45" i="48" s="1"/>
  <c r="H2" i="48"/>
  <c r="B21" i="47"/>
  <c r="E24" i="47"/>
  <c r="H14" i="47" l="1"/>
  <c r="H2" i="47" s="1"/>
  <c r="H3" i="46"/>
  <c r="B10" i="44"/>
  <c r="H7" i="44"/>
  <c r="H11" i="44" s="1"/>
  <c r="E6" i="44"/>
  <c r="E12" i="44" s="1"/>
  <c r="B6" i="44"/>
  <c r="B15" i="44" s="1"/>
  <c r="H11" i="41"/>
  <c r="H2" i="40" l="1"/>
  <c r="H2" i="42"/>
  <c r="H2" i="44"/>
  <c r="B9" i="43" l="1"/>
  <c r="F8" i="43"/>
  <c r="B5" i="36" l="1"/>
  <c r="B14" i="41" l="1"/>
  <c r="E12" i="41" l="1"/>
  <c r="H3" i="42" l="1"/>
  <c r="B14" i="39" l="1"/>
  <c r="E10" i="39"/>
  <c r="F2" i="39"/>
  <c r="E13" i="38"/>
  <c r="B16" i="38"/>
  <c r="G2" i="38" l="1"/>
  <c r="B8" i="36" l="1"/>
  <c r="F2" i="36" s="1"/>
  <c r="B11" i="33" l="1"/>
  <c r="G2" i="33"/>
  <c r="B14" i="32"/>
  <c r="E10" i="32"/>
  <c r="E11" i="31"/>
  <c r="B17" i="31"/>
  <c r="G2" i="32" l="1"/>
  <c r="G2" i="31"/>
  <c r="G3" i="26"/>
  <c r="D19" i="26"/>
  <c r="G4" i="25"/>
  <c r="D20" i="25"/>
  <c r="G4" i="24"/>
  <c r="D20" i="24"/>
  <c r="G4" i="23"/>
  <c r="D20" i="23"/>
  <c r="G42" i="10" l="1"/>
  <c r="K28" i="10"/>
  <c r="C6" i="10"/>
  <c r="C43" i="10" s="1"/>
  <c r="K3" i="10" l="1"/>
  <c r="K16" i="9"/>
  <c r="G12" i="9"/>
  <c r="C10" i="9"/>
  <c r="K13" i="8"/>
  <c r="G22" i="8"/>
  <c r="C19" i="8"/>
  <c r="K3" i="8" s="1"/>
  <c r="K3" i="9" l="1"/>
  <c r="K3" i="7"/>
  <c r="G43" i="7"/>
  <c r="K32" i="7"/>
  <c r="K33" i="7" s="1"/>
  <c r="K28" i="7"/>
  <c r="C6" i="7"/>
  <c r="C44" i="7" s="1"/>
  <c r="K4" i="6"/>
  <c r="K3" i="6"/>
  <c r="K33" i="6"/>
  <c r="K34" i="6" s="1"/>
  <c r="G44" i="6"/>
  <c r="K29" i="6"/>
  <c r="C7" i="6"/>
  <c r="C45" i="6" s="1"/>
  <c r="C18" i="3" l="1"/>
  <c r="C22" i="3" s="1"/>
  <c r="K17" i="3"/>
  <c r="K20" i="3" s="1"/>
  <c r="G16" i="3"/>
  <c r="G19" i="3" s="1"/>
  <c r="C22" i="2"/>
  <c r="K20" i="2"/>
  <c r="K3" i="2" s="1"/>
  <c r="G19" i="2"/>
  <c r="C18" i="2"/>
  <c r="K17" i="2"/>
  <c r="G16" i="2"/>
  <c r="K17" i="1"/>
  <c r="K20" i="1"/>
  <c r="G16" i="1"/>
  <c r="G19" i="1" s="1"/>
  <c r="C18" i="1"/>
  <c r="C22" i="1" s="1"/>
  <c r="K3" i="3" l="1"/>
  <c r="K3" i="1"/>
  <c r="H2" i="41"/>
</calcChain>
</file>

<file path=xl/sharedStrings.xml><?xml version="1.0" encoding="utf-8"?>
<sst xmlns="http://schemas.openxmlformats.org/spreadsheetml/2006/main" count="1740" uniqueCount="292">
  <si>
    <t>Спецификация выполненных работ</t>
  </si>
  <si>
    <t>№ п.п.</t>
  </si>
  <si>
    <t>Наименование</t>
  </si>
  <si>
    <t>Описание</t>
  </si>
  <si>
    <t>Ед. изм.</t>
  </si>
  <si>
    <t>Объем</t>
  </si>
  <si>
    <t>м2</t>
  </si>
  <si>
    <t>Пом.:</t>
  </si>
  <si>
    <t>Объем, м²</t>
  </si>
  <si>
    <t>сумма:</t>
  </si>
  <si>
    <t>1, 2, 3 этажи. Шпаклевка базовая до 5 мм. Тип: CF2</t>
  </si>
  <si>
    <t>Подготовка поверхности СКБ / стен / ГКЛ, ПГП / 2мм</t>
  </si>
  <si>
    <t>1.01.</t>
  </si>
  <si>
    <t>1.04</t>
  </si>
  <si>
    <t>1.38</t>
  </si>
  <si>
    <t>1.59</t>
  </si>
  <si>
    <t>1.60</t>
  </si>
  <si>
    <t>1.64</t>
  </si>
  <si>
    <t>1.67</t>
  </si>
  <si>
    <t>1.68</t>
  </si>
  <si>
    <t>1.69</t>
  </si>
  <si>
    <t>1.70</t>
  </si>
  <si>
    <t>1.73</t>
  </si>
  <si>
    <t>1.74</t>
  </si>
  <si>
    <t>1.08</t>
  </si>
  <si>
    <t>1.09</t>
  </si>
  <si>
    <t>1.10</t>
  </si>
  <si>
    <t>1.11</t>
  </si>
  <si>
    <t>2.45</t>
  </si>
  <si>
    <t>2.37</t>
  </si>
  <si>
    <t>2.40</t>
  </si>
  <si>
    <t>2.41</t>
  </si>
  <si>
    <t>2.42</t>
  </si>
  <si>
    <t>2.44</t>
  </si>
  <si>
    <t>2.07</t>
  </si>
  <si>
    <t>2.01</t>
  </si>
  <si>
    <t>2.02</t>
  </si>
  <si>
    <t>2.03</t>
  </si>
  <si>
    <t>2.04</t>
  </si>
  <si>
    <t>2.05</t>
  </si>
  <si>
    <t>2.06</t>
  </si>
  <si>
    <t>3.25</t>
  </si>
  <si>
    <t>3.23</t>
  </si>
  <si>
    <t>3.26</t>
  </si>
  <si>
    <t>3.28</t>
  </si>
  <si>
    <t>3.29</t>
  </si>
  <si>
    <t>3.30</t>
  </si>
  <si>
    <t>3.01</t>
  </si>
  <si>
    <t>3.02</t>
  </si>
  <si>
    <t>3.03</t>
  </si>
  <si>
    <t>3.04</t>
  </si>
  <si>
    <t>3.05</t>
  </si>
  <si>
    <t>3.06</t>
  </si>
  <si>
    <t>3.07</t>
  </si>
  <si>
    <t>3.08</t>
  </si>
  <si>
    <t>Лакокрасочные работы СКБ / окраска потолков / в 2 слоя</t>
  </si>
  <si>
    <t>1, 2, 3 этажи. Тип: CF2 Покраска</t>
  </si>
  <si>
    <t>Монтаж подвесного потолка СКБ / из ГКЛ в 1 слой с применением профиля ПП</t>
  </si>
  <si>
    <t>1, 2, 3 этажи. Тип: CF2. Подвесной потолок из КНАУФ-листов тип П112 Knauff.</t>
  </si>
  <si>
    <t>Подготовка поверхности СКБ / потолка / ЖБ / 5 мм</t>
  </si>
  <si>
    <t>3.45</t>
  </si>
  <si>
    <t>3.44</t>
  </si>
  <si>
    <t>3.14</t>
  </si>
  <si>
    <t>3.15</t>
  </si>
  <si>
    <t>3.18</t>
  </si>
  <si>
    <t>3.16</t>
  </si>
  <si>
    <t>3.19</t>
  </si>
  <si>
    <t>3.09</t>
  </si>
  <si>
    <t>3.10</t>
  </si>
  <si>
    <t>3.11</t>
  </si>
  <si>
    <t>3.12</t>
  </si>
  <si>
    <t>3.13</t>
  </si>
  <si>
    <t>3.22</t>
  </si>
  <si>
    <t>3.36</t>
  </si>
  <si>
    <t>3.37</t>
  </si>
  <si>
    <t>3.39</t>
  </si>
  <si>
    <t>3.40</t>
  </si>
  <si>
    <t>3.41</t>
  </si>
  <si>
    <t>3.42</t>
  </si>
  <si>
    <t>3.27</t>
  </si>
  <si>
    <t>3.32</t>
  </si>
  <si>
    <t>3.34</t>
  </si>
  <si>
    <t>2.58</t>
  </si>
  <si>
    <t>2.27</t>
  </si>
  <si>
    <t>2.22</t>
  </si>
  <si>
    <t>2.23</t>
  </si>
  <si>
    <t>2.28</t>
  </si>
  <si>
    <t>2.29</t>
  </si>
  <si>
    <t>2.33</t>
  </si>
  <si>
    <t>2.30</t>
  </si>
  <si>
    <t>2.19</t>
  </si>
  <si>
    <t>2.24</t>
  </si>
  <si>
    <t>2.25</t>
  </si>
  <si>
    <t>2.26</t>
  </si>
  <si>
    <t>2.16</t>
  </si>
  <si>
    <t>2.17</t>
  </si>
  <si>
    <t>2.18</t>
  </si>
  <si>
    <t>2.12</t>
  </si>
  <si>
    <t>2.13</t>
  </si>
  <si>
    <t>2.14</t>
  </si>
  <si>
    <t>2.15</t>
  </si>
  <si>
    <t>2.08</t>
  </si>
  <si>
    <t>2.09</t>
  </si>
  <si>
    <t>2.10</t>
  </si>
  <si>
    <t>2.11</t>
  </si>
  <si>
    <t>2.36</t>
  </si>
  <si>
    <t>2.52</t>
  </si>
  <si>
    <t>2.53</t>
  </si>
  <si>
    <t>2.51</t>
  </si>
  <si>
    <t>2.55</t>
  </si>
  <si>
    <t>2.50</t>
  </si>
  <si>
    <t>2.38</t>
  </si>
  <si>
    <t>2.39</t>
  </si>
  <si>
    <t>2.56</t>
  </si>
  <si>
    <t>2.49</t>
  </si>
  <si>
    <t>2.43</t>
  </si>
  <si>
    <t>2.46</t>
  </si>
  <si>
    <t>2.47</t>
  </si>
  <si>
    <t>2.48</t>
  </si>
  <si>
    <t>1.02</t>
  </si>
  <si>
    <t>1.03</t>
  </si>
  <si>
    <t>1.06</t>
  </si>
  <si>
    <t>1.07</t>
  </si>
  <si>
    <t>1.24</t>
  </si>
  <si>
    <t>1.26</t>
  </si>
  <si>
    <t>1.25</t>
  </si>
  <si>
    <t>1.27</t>
  </si>
  <si>
    <t>1.28</t>
  </si>
  <si>
    <t>1.29</t>
  </si>
  <si>
    <t>1.30</t>
  </si>
  <si>
    <t>1.31</t>
  </si>
  <si>
    <t>1.36</t>
  </si>
  <si>
    <t>1.37</t>
  </si>
  <si>
    <t>1.13</t>
  </si>
  <si>
    <t>1.14</t>
  </si>
  <si>
    <t>1.15</t>
  </si>
  <si>
    <t>1.22</t>
  </si>
  <si>
    <t>1.23</t>
  </si>
  <si>
    <t>1.21</t>
  </si>
  <si>
    <t>1.20</t>
  </si>
  <si>
    <t>1.77</t>
  </si>
  <si>
    <t>1.63</t>
  </si>
  <si>
    <t>1.75</t>
  </si>
  <si>
    <t>1.76</t>
  </si>
  <si>
    <t>1.81</t>
  </si>
  <si>
    <t>1.62</t>
  </si>
  <si>
    <t>1.66</t>
  </si>
  <si>
    <t>1.78</t>
  </si>
  <si>
    <t>1.72</t>
  </si>
  <si>
    <t>1.61</t>
  </si>
  <si>
    <t>1.54</t>
  </si>
  <si>
    <t>1.52</t>
  </si>
  <si>
    <t>1.49</t>
  </si>
  <si>
    <t>98</t>
  </si>
  <si>
    <t>1.04 (CF13)</t>
  </si>
  <si>
    <t>1.04(CF1)</t>
  </si>
  <si>
    <t>ТИП: CF13</t>
  </si>
  <si>
    <t>1, 2, 3 этажи. Тип: CF1. Покраска жб плиты перекрытия</t>
  </si>
  <si>
    <t>1, 2, 3 этажи. Тип: CF13. Покраска жб плиты перекрытия</t>
  </si>
  <si>
    <t>1, 2, 3 этажи. Шпаклевка базовая до 5 мм. Тип: CF1; CF13</t>
  </si>
  <si>
    <t>Монтаж подвесного потолка СКБ / типа Армстронг, Грильято</t>
  </si>
  <si>
    <t>1, 2, 3 этажи. Тип: CF3. Потолки Грильято ячейки 100х100 АЛБЕС Белый</t>
  </si>
  <si>
    <t>1, 2, 3 этажи. Тип: CF4. Потолочная плита Рокфон Школа A15 1200х600х20</t>
  </si>
  <si>
    <t>1.12</t>
  </si>
  <si>
    <t>3.35</t>
  </si>
  <si>
    <t>3.33</t>
  </si>
  <si>
    <t>2</t>
  </si>
  <si>
    <t>4</t>
  </si>
  <si>
    <t>Лакокрасочные работы СКБ / окраска потолков</t>
  </si>
  <si>
    <t>1, 2, 3 этажи. Тип: CF1. Покраска Потолка</t>
  </si>
  <si>
    <t>АРОР "ЧИСТОВЫЕ отделочные работы" от 19.02.2026. CF7 и CF17. Подвесной кассетный потолок Albes с кромками Tegular. Кассета AP600A6/90-T-15, несущий профиль T 15-38 PRIM (L 3700мм), поперечный профиль T 15-29 PRIM (L 600мм), уголок PLL, подвес АП. Цвет: белый.</t>
  </si>
  <si>
    <t>CF7</t>
  </si>
  <si>
    <t>CF17</t>
  </si>
  <si>
    <t>1, 2, 3 этажи. Тип: CF4. Потолочная плита Baffle Acoustic (арт. BA 1200x600). Подвесная система -Alaid T24. Кромка не окрашена. Размер панели 1200х600х20, цвет белый</t>
  </si>
  <si>
    <t>CF4</t>
  </si>
  <si>
    <t>есть в РД</t>
  </si>
  <si>
    <t>1, 2, 3 этажи. Тип: CF3. Потолки грильято, кассетный GL-15 , металлическая решетка 600х600 с ячейками 100х100, AL 0,3-0,4 мм, h профиля (база) 37 мм; подвесная система Т-15/29 PRIM АЛБЕС Белый</t>
  </si>
  <si>
    <t>CF3</t>
  </si>
  <si>
    <t>новый</t>
  </si>
  <si>
    <t>старый</t>
  </si>
  <si>
    <t>CF6</t>
  </si>
  <si>
    <t>Простая штукатурка потолка сухими смесями с предварительной огрунтовкой поверхности / толщ. до 6,5 мм</t>
  </si>
  <si>
    <t>Подготовка поверхности СКБ / потолка / по штукатурке / 2мм</t>
  </si>
  <si>
    <t>Монтаж подвесного потолка / типа Армстронг, Грильято</t>
  </si>
  <si>
    <t>ЛК. Выравнивание цементными штукатурными смесями т.5 мм потолков по ж/б плите, низа площадок и лестничных маршей. Подвал</t>
  </si>
  <si>
    <t>1-й, 2-й, 3-й этажи. Выравнивание гипсовыми штукатурными смесями 5 мм в составе потолков  CF1, CF13 и стен запотолочного пространства CF1.3.</t>
  </si>
  <si>
    <t>ЛК. Выравнивание гипсовыми штукатурными смесями низа площадок и лестничных маршей, и потолка  CF15.1. 1-3 этажи</t>
  </si>
  <si>
    <t>Шпаклевка зашивных потолков под окраску гипсовая базовая CF2, CF14, CF19, CF25</t>
  </si>
  <si>
    <t>Подвал: шпаклевка цементными смесями потолков по ж/б плите, низа площадок и лестничных маршей. Базовый слой 2 мм.</t>
  </si>
  <si>
    <t>Потолки 1-й, 2-й и 3-й этаж: шпаклевка гипсовая базовая в составе потолков CF1, CF13 и стен запотолочного пространства CF1.3.</t>
  </si>
  <si>
    <t>Шпаклевка гипсовая базовая низа площадок и лестничных маршей, и потолка  CF15.1. 1-3 этаж</t>
  </si>
  <si>
    <t xml:space="preserve">1, 2, 3 этажи. Тип: CF15.1. Покраска жб плиты перекрытия и нижняя поверхность лестничных маршей и площадок. </t>
  </si>
  <si>
    <t xml:space="preserve">CF13. Покраска жб плиты перекрытия, включая инженерное оборудование, расположенное в зоне открытого потолка. </t>
  </si>
  <si>
    <t xml:space="preserve">CF1.1. Покраска балок. </t>
  </si>
  <si>
    <t xml:space="preserve">CF1.3. Покраска запотолочного пространства (стены). </t>
  </si>
  <si>
    <t xml:space="preserve">CF1.2. Покраска балок (стены). </t>
  </si>
  <si>
    <t xml:space="preserve">CF13.1. Покраска балок. </t>
  </si>
  <si>
    <t xml:space="preserve">CF13.2. Покраска балок (стены). </t>
  </si>
  <si>
    <t xml:space="preserve">CF15. Торцы лестничных маршей в ЛК: </t>
  </si>
  <si>
    <t xml:space="preserve">Подвал. Покраска потолка </t>
  </si>
  <si>
    <t>1, 2, 3 этажи. Тип: CF4. Потолочная плита. Подвесная система</t>
  </si>
  <si>
    <t>1, 2, 3 этажи. Тип: CF3. Потолки грильято. подвесная система.</t>
  </si>
  <si>
    <t xml:space="preserve">1, 2, 3 этажи. Тип: CF6. Кубообразный Потолки </t>
  </si>
  <si>
    <t>CF7 и CF17. Подвесной кассетный потолок с кромками Tegular.</t>
  </si>
  <si>
    <t>1, 2, 3 этажи. Тип: CF17 Подвесной металлический кассетный потолок.</t>
  </si>
  <si>
    <t>Итог:</t>
  </si>
  <si>
    <t>Общее кол-во</t>
  </si>
  <si>
    <t>Тип</t>
  </si>
  <si>
    <t>Секция</t>
  </si>
  <si>
    <t>Номер п/п</t>
  </si>
  <si>
    <t>Тип: CF25</t>
  </si>
  <si>
    <t>Монтаж подвесного потолка / из ГКЛ в 1 слой с применением профиля ПП двухуровневый</t>
  </si>
  <si>
    <t>Тип: CF14</t>
  </si>
  <si>
    <t>Общее кол-во,
м2.</t>
  </si>
  <si>
    <t>Наименование работ
(Потолок)</t>
  </si>
  <si>
    <t>Тип: CF16.</t>
  </si>
  <si>
    <t>Тип: CF6.</t>
  </si>
  <si>
    <t>Тип: CF13</t>
  </si>
  <si>
    <t>Покраска потолков подвесных с зашивкой гипсовыми листами. Тип: CF2, CF14, CF19, CF25</t>
  </si>
  <si>
    <t>отолки 1-й, 2-й и 3-й этаж: шпаклевка гипсовая базовая в составе потолков CF1, CF13 и стен запотолочного пространства CF1.3.</t>
  </si>
  <si>
    <t>Тип: CF16</t>
  </si>
  <si>
    <t>№ п/п</t>
  </si>
  <si>
    <t>Объем, м2</t>
  </si>
  <si>
    <t>2.20</t>
  </si>
  <si>
    <t>Номер пом.</t>
  </si>
  <si>
    <t>№ этажа</t>
  </si>
  <si>
    <t>объем, м2</t>
  </si>
  <si>
    <t>Монтаж подвесного потолка / из файерборд в 1 слой с применением профиля ПП одноуровневый</t>
  </si>
  <si>
    <t>№ пом.</t>
  </si>
  <si>
    <t>Подготовка поверхности СКБ / стен / по штукатурке / 2мм</t>
  </si>
  <si>
    <t>Штукатурка стен. Гипсовая + Грунт глубокого проникновения, м2.</t>
  </si>
  <si>
    <t>Облицовка поверхности стен СКБ / керамической, керамогранитной плиткой</t>
  </si>
  <si>
    <t>3</t>
  </si>
  <si>
    <t>тип</t>
  </si>
  <si>
    <t>FK4</t>
  </si>
  <si>
    <t>FK16</t>
  </si>
  <si>
    <t>FK12</t>
  </si>
  <si>
    <t>FK4 GT079M,  600*600 мм</t>
  </si>
  <si>
    <t>FK12 GT085М, 600*600 мм</t>
  </si>
  <si>
    <t>FK16 Kerama Marazzi, 5009,  200х200 мм</t>
  </si>
  <si>
    <t>Штукатурка стен, опуск с потолка h = 1,0 м. 
штукатурка стен от отм. +3.000 до +4.000 от пола</t>
  </si>
  <si>
    <t>Лакокрасочные работы
СКБ / окраска стен / RAL 7016, KM 0 / Канцлер</t>
  </si>
  <si>
    <t>Лакокрасочные работы
СКБ / окраска стен / RAL 9003 KM 0, канцлер.</t>
  </si>
  <si>
    <t>Штукатурка стен, опуск с потолка h = 1,0 м. 
штукатурка стен от отм. +7.200 до +8.200 от пола</t>
  </si>
  <si>
    <t>Базовый слой / Шпаклевка стен, опуск с потолка h = 1,0 м. / шпаклевка стен от отм. +7.200 до +8.200 от пола</t>
  </si>
  <si>
    <t>Финишный слой / Шпаклевка стен, опуск с потолка h = 1,0 м. / шпаклевка стен от отм. +7.200 до +8.200 от пола</t>
  </si>
  <si>
    <t>Окраска стен, опуск с потолка h = 1,0 м. / окраска стен от отм. +7.200 до +8.200 от пола</t>
  </si>
  <si>
    <t>Лакокрасочные работы
СКБ / окраска стен / RAL 6005 KM 0, канцлер.</t>
  </si>
  <si>
    <t>Монтаж подвесного потолка / типа АЛБЕС / RAL 9016</t>
  </si>
  <si>
    <t>Монтаж подвесного потолка</t>
  </si>
  <si>
    <t>Лакокрасочные работы
СКБ / окраска потолков / RAL 7016, KM 0 / Канцлер</t>
  </si>
  <si>
    <t>Монтаж подвесного потолка / Потолочная плита Baffle Acoustic (арт. BA 1200x600). Подвесная система -Alaid T24</t>
  </si>
  <si>
    <t>1</t>
  </si>
  <si>
    <t>Одноуровневый потолок на мет. Каркасе и зашивка потолка утеплителем 50 мм</t>
  </si>
  <si>
    <t>Окраска запотолочного пространства /
окраска инженерных коммуникации / CF1 с добавлением 30% к фактическому объему потолков, т.к. корректно посчитать квадратуру инженерных коммуникации не предоставляется возможным</t>
  </si>
  <si>
    <t>Армстронг Потолочная плита Baffle Acoustic (арт. BA 1200x600). Подвесная система -Alaid T24.</t>
  </si>
  <si>
    <t>Грильято / Потолки грильято, кассетный GL-15 , металлическая решетка 600х600 с ячейками 100х100, AL 0,3-0,4 мм, h профиля (база) 37 мм; подвесная система Т-15/29 PRIM АЛБЕС Белый</t>
  </si>
  <si>
    <t>Альбес /  Кубообразный Потолки АЛБЕС 30х85х3000мм, между рейками 70 оцинкованная сталь 0,45 RAL 9016 матовый</t>
  </si>
  <si>
    <t xml:space="preserve">Штукатурка стен, опуск с потолка h = 0,88 м. 
штукатурка стен от отм. +3.000 до +3.880 от пола / запотолочное пространство </t>
  </si>
  <si>
    <t xml:space="preserve">Базовый слой / Шпаклевка стен, опуск с потолка h = 0,88 м. / шпаклевка стен от отм. +3.000 до +3.880 от пола  / запотолочное пространство </t>
  </si>
  <si>
    <t xml:space="preserve">Финишный слой / Шпаклевка стен, опуск с потолка h = 0,88 м. / шпаклевка стен от отм. +3.000 до +3.880 от пола  / запотолочное пространство </t>
  </si>
  <si>
    <t xml:space="preserve">Окраска стен, опуск с потолка h = 0,88 м. / окраска стен от отм. +3.000 до +3.880 от пола  / запотолочное пространство </t>
  </si>
  <si>
    <t xml:space="preserve">Штукатурка стен, опуск с потолка h = 0,88 м. 
штукатурка стен от отм. +3.000 до +3.880 от пола  / запотолочное пространство </t>
  </si>
  <si>
    <t>Демонтаж / монтаж / потолочных конструкции / грильято</t>
  </si>
  <si>
    <t>демонтаж и монтаж потолка грильято для окраски поверхности потолка вместе с инженерными комуникациями / Выполненные работы по замечаниям ДИОМ</t>
  </si>
  <si>
    <t>Лакокрасочные работы СКБ / окраска потолка / в 2 слоя</t>
  </si>
  <si>
    <t>Окраска поверхности потолка вместе с инженерными комуникациями / 
Выполненные работы по замечаниям ДИОМ</t>
  </si>
  <si>
    <t>стены</t>
  </si>
  <si>
    <t>потолок</t>
  </si>
  <si>
    <t>Восстановление шпаклевки стен</t>
  </si>
  <si>
    <t>0.01</t>
  </si>
  <si>
    <t>0.02</t>
  </si>
  <si>
    <t>0.03</t>
  </si>
  <si>
    <t>0.04</t>
  </si>
  <si>
    <t>0.05</t>
  </si>
  <si>
    <t>0.07</t>
  </si>
  <si>
    <t>0.08</t>
  </si>
  <si>
    <t>0.12</t>
  </si>
  <si>
    <t>0.13</t>
  </si>
  <si>
    <t>0.14</t>
  </si>
  <si>
    <t>0.15</t>
  </si>
  <si>
    <t>0.16</t>
  </si>
  <si>
    <t>0.17</t>
  </si>
  <si>
    <t>0.18</t>
  </si>
  <si>
    <t>0.19</t>
  </si>
  <si>
    <t>0.23</t>
  </si>
  <si>
    <t>0.24</t>
  </si>
  <si>
    <t>0.26</t>
  </si>
  <si>
    <t>0.28</t>
  </si>
  <si>
    <t>Восстановление шпаклевки потолка</t>
  </si>
  <si>
    <t xml:space="preserve">Наименование работ
</t>
  </si>
  <si>
    <t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</si>
</sst>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00"/>
    <numFmt numFmtId="166" formatCode="#,##0.0"/>
  </numFmts>
  <fonts count="21" x14ac:knownFonts="1">
    <font>
      <sz val="11"/>
      <color theme="1"/>
      <name val="Calibri"/>
      <family val="2"/>
      <charset val="204"/>
      <scheme val="minor"/>
    </font>
    <font>
      <sz val="14"/>
      <color theme="1"/>
      <name val="ГОСТ тип А"/>
      <family val="2"/>
      <charset val="204"/>
    </font>
    <font>
      <sz val="12"/>
      <name val="XO Thames"/>
      <family val="1"/>
      <charset val="204"/>
    </font>
    <font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name val="ГОСТ тип А"/>
      <family val="2"/>
      <charset val="204"/>
    </font>
    <font>
      <sz val="14"/>
      <name val="ГОСТ тип А"/>
      <family val="2"/>
      <charset val="204"/>
    </font>
    <font>
      <b/>
      <sz val="16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color rgb="FF000000"/>
      <name val="ГОСТ тип А"/>
      <family val="2"/>
      <charset val="204"/>
    </font>
    <font>
      <b/>
      <sz val="14"/>
      <color theme="4" tint="-0.249977111117893"/>
      <name val="ГОСТ тип А"/>
      <family val="2"/>
      <charset val="204"/>
    </font>
    <font>
      <b/>
      <i/>
      <sz val="12"/>
      <color theme="1"/>
      <name val="ГОСТ тип А"/>
      <family val="2"/>
      <charset val="204"/>
    </font>
    <font>
      <b/>
      <i/>
      <sz val="12"/>
      <name val="ГОСТ тип А"/>
      <family val="2"/>
      <charset val="204"/>
    </font>
    <font>
      <sz val="14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153">
    <xf numFmtId="0" fontId="0" fillId="0" borderId="0" xfId="0"/>
    <xf numFmtId="0" fontId="2" fillId="0" borderId="0" xfId="0" applyNumberFormat="1" applyFont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" fontId="6" fillId="2" borderId="1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6" fillId="0" borderId="1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 wrapText="1"/>
    </xf>
    <xf numFmtId="165" fontId="8" fillId="3" borderId="16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 wrapText="1"/>
    </xf>
    <xf numFmtId="165" fontId="10" fillId="3" borderId="14" xfId="0" applyNumberFormat="1" applyFont="1" applyFill="1" applyBorder="1" applyAlignment="1">
      <alignment horizontal="center" vertical="center" wrapText="1"/>
    </xf>
    <xf numFmtId="165" fontId="10" fillId="3" borderId="15" xfId="0" applyNumberFormat="1" applyFont="1" applyFill="1" applyBorder="1" applyAlignment="1">
      <alignment horizontal="center" vertical="center" wrapText="1"/>
    </xf>
    <xf numFmtId="165" fontId="11" fillId="3" borderId="16" xfId="0" applyNumberFormat="1" applyFont="1" applyFill="1" applyBorder="1" applyAlignment="1">
      <alignment horizontal="center" vertical="center" wrapText="1"/>
    </xf>
    <xf numFmtId="4" fontId="9" fillId="3" borderId="16" xfId="0" applyNumberFormat="1" applyFont="1" applyFill="1" applyBorder="1" applyAlignment="1">
      <alignment horizontal="center" vertical="center" wrapText="1"/>
    </xf>
    <xf numFmtId="4" fontId="9" fillId="4" borderId="16" xfId="0" applyNumberFormat="1" applyFont="1" applyFill="1" applyBorder="1" applyAlignment="1">
      <alignment horizontal="center" vertical="center" wrapText="1"/>
    </xf>
    <xf numFmtId="4" fontId="9" fillId="5" borderId="16" xfId="0" applyNumberFormat="1" applyFont="1" applyFill="1" applyBorder="1" applyAlignment="1">
      <alignment horizontal="center" vertical="center" wrapText="1"/>
    </xf>
    <xf numFmtId="4" fontId="9" fillId="6" borderId="1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3" fillId="0" borderId="0" xfId="1" applyFont="1"/>
    <xf numFmtId="166" fontId="14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166" fontId="15" fillId="0" borderId="17" xfId="1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 wrapText="1"/>
    </xf>
    <xf numFmtId="0" fontId="15" fillId="7" borderId="19" xfId="1" applyFont="1" applyFill="1" applyBorder="1" applyAlignment="1">
      <alignment horizontal="center" vertical="center"/>
    </xf>
    <xf numFmtId="166" fontId="15" fillId="2" borderId="20" xfId="1" applyNumberFormat="1" applyFont="1" applyFill="1" applyBorder="1" applyAlignment="1">
      <alignment vertical="center"/>
    </xf>
    <xf numFmtId="0" fontId="15" fillId="2" borderId="21" xfId="1" applyFont="1" applyFill="1" applyBorder="1" applyAlignment="1">
      <alignment vertical="center" wrapText="1"/>
    </xf>
    <xf numFmtId="0" fontId="15" fillId="7" borderId="22" xfId="1" applyFont="1" applyFill="1" applyBorder="1" applyAlignment="1">
      <alignment vertical="center"/>
    </xf>
    <xf numFmtId="166" fontId="15" fillId="0" borderId="20" xfId="1" applyNumberFormat="1" applyFont="1" applyBorder="1" applyAlignment="1">
      <alignment vertical="center"/>
    </xf>
    <xf numFmtId="0" fontId="15" fillId="0" borderId="21" xfId="1" applyFont="1" applyBorder="1" applyAlignment="1">
      <alignment vertical="center" wrapText="1"/>
    </xf>
    <xf numFmtId="166" fontId="15" fillId="7" borderId="20" xfId="1" applyNumberFormat="1" applyFont="1" applyFill="1" applyBorder="1" applyAlignment="1">
      <alignment vertical="center"/>
    </xf>
    <xf numFmtId="0" fontId="15" fillId="7" borderId="21" xfId="1" applyFont="1" applyFill="1" applyBorder="1" applyAlignment="1">
      <alignment vertical="center" wrapText="1"/>
    </xf>
    <xf numFmtId="0" fontId="15" fillId="0" borderId="23" xfId="1" applyFont="1" applyBorder="1" applyAlignment="1">
      <alignment vertical="center" wrapText="1"/>
    </xf>
    <xf numFmtId="0" fontId="15" fillId="0" borderId="24" xfId="1" applyFont="1" applyBorder="1" applyAlignment="1">
      <alignment vertical="center" wrapText="1"/>
    </xf>
    <xf numFmtId="0" fontId="15" fillId="0" borderId="25" xfId="1" applyFont="1" applyBorder="1" applyAlignment="1">
      <alignment vertical="center" wrapText="1"/>
    </xf>
    <xf numFmtId="166" fontId="14" fillId="0" borderId="1" xfId="1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 wrapText="1"/>
    </xf>
    <xf numFmtId="166" fontId="15" fillId="0" borderId="17" xfId="1" applyNumberFormat="1" applyFont="1" applyBorder="1" applyAlignment="1">
      <alignment vertical="center"/>
    </xf>
    <xf numFmtId="0" fontId="15" fillId="0" borderId="18" xfId="1" applyFont="1" applyBorder="1" applyAlignment="1">
      <alignment vertical="center" wrapText="1"/>
    </xf>
    <xf numFmtId="0" fontId="15" fillId="7" borderId="19" xfId="1" applyFont="1" applyFill="1" applyBorder="1" applyAlignment="1">
      <alignment vertical="center"/>
    </xf>
    <xf numFmtId="0" fontId="15" fillId="0" borderId="23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5" fillId="0" borderId="12" xfId="1" applyFont="1" applyFill="1" applyBorder="1" applyAlignment="1">
      <alignment horizontal="left" vertical="center" wrapText="1"/>
    </xf>
    <xf numFmtId="49" fontId="15" fillId="0" borderId="22" xfId="1" applyNumberFormat="1" applyFont="1" applyFill="1" applyBorder="1" applyAlignment="1">
      <alignment horizontal="center" vertical="center"/>
    </xf>
    <xf numFmtId="166" fontId="15" fillId="0" borderId="20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4" fillId="0" borderId="1" xfId="1" applyNumberFormat="1" applyFont="1" applyBorder="1" applyAlignment="1">
      <alignment horizontal="center" vertical="center" wrapText="1"/>
    </xf>
    <xf numFmtId="49" fontId="14" fillId="0" borderId="1" xfId="1" applyNumberFormat="1" applyFont="1" applyBorder="1" applyAlignment="1">
      <alignment horizontal="center" vertical="center"/>
    </xf>
    <xf numFmtId="49" fontId="13" fillId="0" borderId="0" xfId="1" applyNumberFormat="1" applyFont="1"/>
    <xf numFmtId="49" fontId="16" fillId="0" borderId="1" xfId="0" applyNumberFormat="1" applyFont="1" applyBorder="1" applyAlignment="1">
      <alignment horizontal="center" vertical="center"/>
    </xf>
    <xf numFmtId="49" fontId="15" fillId="0" borderId="1" xfId="1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/>
    </xf>
    <xf numFmtId="0" fontId="13" fillId="0" borderId="0" xfId="1" applyFont="1" applyBorder="1" applyAlignment="1">
      <alignment horizont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6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166" fontId="14" fillId="0" borderId="1" xfId="1" applyNumberFormat="1" applyFont="1" applyBorder="1" applyAlignment="1">
      <alignment horizontal="center" vertical="center"/>
    </xf>
    <xf numFmtId="0" fontId="13" fillId="0" borderId="28" xfId="1" applyFont="1" applyBorder="1" applyAlignment="1"/>
    <xf numFmtId="0" fontId="13" fillId="0" borderId="26" xfId="1" applyFont="1" applyBorder="1" applyAlignment="1"/>
    <xf numFmtId="0" fontId="13" fillId="0" borderId="27" xfId="1" applyFont="1" applyBorder="1" applyAlignment="1"/>
    <xf numFmtId="49" fontId="13" fillId="0" borderId="0" xfId="1" applyNumberFormat="1" applyFont="1" applyBorder="1" applyAlignment="1"/>
    <xf numFmtId="49" fontId="13" fillId="0" borderId="0" xfId="1" applyNumberFormat="1" applyFont="1" applyBorder="1"/>
    <xf numFmtId="0" fontId="13" fillId="0" borderId="0" xfId="1" applyFont="1" applyBorder="1" applyAlignment="1"/>
    <xf numFmtId="0" fontId="13" fillId="0" borderId="0" xfId="1" applyFont="1" applyBorder="1"/>
    <xf numFmtId="0" fontId="15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66" fontId="14" fillId="0" borderId="1" xfId="1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left" vertical="center" wrapText="1"/>
    </xf>
    <xf numFmtId="0" fontId="14" fillId="0" borderId="1" xfId="1" applyFont="1" applyBorder="1" applyAlignment="1">
      <alignment vertical="center" wrapText="1"/>
    </xf>
    <xf numFmtId="0" fontId="15" fillId="0" borderId="1" xfId="1" applyFont="1" applyFill="1" applyBorder="1" applyAlignment="1">
      <alignment vertical="center" wrapText="1"/>
    </xf>
    <xf numFmtId="0" fontId="14" fillId="0" borderId="2" xfId="1" applyFont="1" applyBorder="1" applyAlignment="1">
      <alignment vertical="center" wrapText="1"/>
    </xf>
    <xf numFmtId="0" fontId="15" fillId="0" borderId="2" xfId="1" applyFont="1" applyFill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5" fillId="0" borderId="1" xfId="1" applyFont="1" applyFill="1" applyBorder="1" applyAlignment="1">
      <alignment vertical="center" wrapText="1"/>
    </xf>
    <xf numFmtId="0" fontId="15" fillId="0" borderId="1" xfId="1" applyFont="1" applyFill="1" applyBorder="1" applyAlignment="1">
      <alignment horizontal="left" vertical="center" wrapText="1"/>
    </xf>
    <xf numFmtId="49" fontId="13" fillId="0" borderId="6" xfId="1" applyNumberFormat="1" applyFont="1" applyBorder="1" applyAlignment="1">
      <alignment horizontal="center"/>
    </xf>
    <xf numFmtId="0" fontId="13" fillId="0" borderId="26" xfId="1" applyFont="1" applyBorder="1" applyAlignment="1">
      <alignment horizontal="center"/>
    </xf>
    <xf numFmtId="0" fontId="13" fillId="0" borderId="0" xfId="1" applyFont="1" applyBorder="1" applyAlignment="1">
      <alignment horizontal="center"/>
    </xf>
    <xf numFmtId="49" fontId="13" fillId="0" borderId="0" xfId="1" applyNumberFormat="1" applyFont="1" applyBorder="1" applyAlignment="1">
      <alignment horizont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49" fontId="18" fillId="0" borderId="0" xfId="1" applyNumberFormat="1" applyFont="1" applyBorder="1" applyAlignment="1">
      <alignment horizontal="center"/>
    </xf>
    <xf numFmtId="0" fontId="18" fillId="0" borderId="28" xfId="1" applyFont="1" applyBorder="1" applyAlignment="1">
      <alignment horizontal="center"/>
    </xf>
    <xf numFmtId="0" fontId="18" fillId="0" borderId="26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15" fillId="0" borderId="12" xfId="1" applyFont="1" applyFill="1" applyBorder="1" applyAlignment="1">
      <alignment horizontal="left" vertical="center" wrapText="1"/>
    </xf>
    <xf numFmtId="0" fontId="14" fillId="0" borderId="6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/>
    </xf>
    <xf numFmtId="0" fontId="15" fillId="0" borderId="13" xfId="1" applyFont="1" applyFill="1" applyBorder="1" applyAlignment="1">
      <alignment horizontal="center" vertical="center" wrapText="1"/>
    </xf>
    <xf numFmtId="0" fontId="15" fillId="0" borderId="12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3" fillId="0" borderId="13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/>
    </xf>
    <xf numFmtId="0" fontId="20" fillId="0" borderId="0" xfId="0" applyFont="1"/>
    <xf numFmtId="0" fontId="19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70" zoomScaleNormal="70" workbookViewId="0">
      <selection activeCell="C4" sqref="C4:F2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9.44140625" style="48" customWidth="1"/>
    <col min="4" max="4" width="8.88671875" style="80" hidden="1" customWidth="1"/>
    <col min="5" max="5" width="8.88671875" style="80"/>
    <col min="6" max="6" width="13" style="48" bestFit="1" customWidth="1"/>
    <col min="7" max="16384" width="8.88671875" style="48"/>
  </cols>
  <sheetData>
    <row r="1" spans="1:6" ht="36" customHeight="1" x14ac:dyDescent="0.35">
      <c r="A1" s="78" t="s">
        <v>221</v>
      </c>
      <c r="B1" s="110" t="s">
        <v>290</v>
      </c>
      <c r="C1" s="110"/>
      <c r="D1" s="110"/>
      <c r="E1" s="78" t="s">
        <v>4</v>
      </c>
      <c r="F1" s="109" t="s">
        <v>213</v>
      </c>
    </row>
    <row r="2" spans="1:6" ht="43.8" customHeight="1" x14ac:dyDescent="0.35">
      <c r="A2" s="79">
        <v>1</v>
      </c>
      <c r="B2" s="112" t="s">
        <v>269</v>
      </c>
      <c r="C2" s="112"/>
      <c r="D2" s="112"/>
      <c r="E2" s="82" t="s">
        <v>6</v>
      </c>
      <c r="F2" s="102">
        <f>B24</f>
        <v>2508.0300000000002</v>
      </c>
    </row>
    <row r="3" spans="1:6" x14ac:dyDescent="0.35">
      <c r="A3" s="114"/>
      <c r="B3" s="114"/>
      <c r="C3" s="114"/>
      <c r="D3" s="114"/>
      <c r="E3" s="114"/>
      <c r="F3" s="114"/>
    </row>
    <row r="4" spans="1:6" x14ac:dyDescent="0.35">
      <c r="A4" s="81" t="s">
        <v>228</v>
      </c>
      <c r="B4" s="77" t="s">
        <v>226</v>
      </c>
      <c r="C4" s="115"/>
      <c r="D4" s="120"/>
      <c r="E4" s="120"/>
      <c r="F4" s="120"/>
    </row>
    <row r="5" spans="1:6" x14ac:dyDescent="0.35">
      <c r="A5" s="81" t="s">
        <v>270</v>
      </c>
      <c r="B5" s="83">
        <v>91.35</v>
      </c>
      <c r="C5" s="115"/>
      <c r="D5" s="120"/>
      <c r="E5" s="120"/>
      <c r="F5" s="120"/>
    </row>
    <row r="6" spans="1:6" x14ac:dyDescent="0.35">
      <c r="A6" s="81" t="s">
        <v>271</v>
      </c>
      <c r="B6" s="83">
        <v>120.96</v>
      </c>
      <c r="C6" s="115"/>
      <c r="D6" s="120"/>
      <c r="E6" s="120"/>
      <c r="F6" s="120"/>
    </row>
    <row r="7" spans="1:6" x14ac:dyDescent="0.35">
      <c r="A7" s="81" t="s">
        <v>272</v>
      </c>
      <c r="B7" s="83">
        <v>271.53000000000003</v>
      </c>
      <c r="C7" s="115"/>
      <c r="D7" s="120"/>
      <c r="E7" s="120"/>
      <c r="F7" s="120"/>
    </row>
    <row r="8" spans="1:6" x14ac:dyDescent="0.35">
      <c r="A8" s="81" t="s">
        <v>273</v>
      </c>
      <c r="B8" s="83">
        <v>130.72499999999999</v>
      </c>
      <c r="C8" s="115"/>
      <c r="D8" s="120"/>
      <c r="E8" s="120"/>
      <c r="F8" s="120"/>
    </row>
    <row r="9" spans="1:6" x14ac:dyDescent="0.35">
      <c r="A9" s="81" t="s">
        <v>274</v>
      </c>
      <c r="B9" s="83">
        <v>97.02</v>
      </c>
      <c r="C9" s="115"/>
      <c r="D9" s="120"/>
      <c r="E9" s="120"/>
      <c r="F9" s="120"/>
    </row>
    <row r="10" spans="1:6" x14ac:dyDescent="0.35">
      <c r="A10" s="81" t="s">
        <v>275</v>
      </c>
      <c r="B10" s="83">
        <v>94.5</v>
      </c>
      <c r="C10" s="115"/>
      <c r="D10" s="120"/>
      <c r="E10" s="120"/>
      <c r="F10" s="120"/>
    </row>
    <row r="11" spans="1:6" x14ac:dyDescent="0.35">
      <c r="A11" s="81" t="s">
        <v>276</v>
      </c>
      <c r="B11" s="83">
        <v>59.85</v>
      </c>
      <c r="C11" s="115"/>
      <c r="D11" s="120"/>
      <c r="E11" s="120"/>
      <c r="F11" s="120"/>
    </row>
    <row r="12" spans="1:6" x14ac:dyDescent="0.35">
      <c r="A12" s="81" t="s">
        <v>277</v>
      </c>
      <c r="B12" s="83">
        <v>119.7</v>
      </c>
      <c r="C12" s="115"/>
      <c r="D12" s="120"/>
      <c r="E12" s="120"/>
      <c r="F12" s="120"/>
    </row>
    <row r="13" spans="1:6" x14ac:dyDescent="0.35">
      <c r="A13" s="81" t="s">
        <v>278</v>
      </c>
      <c r="B13" s="83">
        <v>69.3</v>
      </c>
      <c r="C13" s="115"/>
      <c r="D13" s="120"/>
      <c r="E13" s="120"/>
      <c r="F13" s="120"/>
    </row>
    <row r="14" spans="1:6" x14ac:dyDescent="0.35">
      <c r="A14" s="81" t="s">
        <v>279</v>
      </c>
      <c r="B14" s="83">
        <v>214.2</v>
      </c>
      <c r="C14" s="115"/>
      <c r="D14" s="120"/>
      <c r="E14" s="120"/>
      <c r="F14" s="120"/>
    </row>
    <row r="15" spans="1:6" x14ac:dyDescent="0.35">
      <c r="A15" s="81" t="s">
        <v>280</v>
      </c>
      <c r="B15" s="83">
        <v>48.51</v>
      </c>
      <c r="C15" s="115"/>
      <c r="D15" s="120"/>
      <c r="E15" s="120"/>
      <c r="F15" s="120"/>
    </row>
    <row r="16" spans="1:6" x14ac:dyDescent="0.35">
      <c r="A16" s="81" t="s">
        <v>281</v>
      </c>
      <c r="B16" s="83">
        <v>41.895000000000003</v>
      </c>
      <c r="C16" s="115"/>
      <c r="D16" s="120"/>
      <c r="E16" s="120"/>
      <c r="F16" s="120"/>
    </row>
    <row r="17" spans="1:6" x14ac:dyDescent="0.35">
      <c r="A17" s="81" t="s">
        <v>282</v>
      </c>
      <c r="B17" s="83">
        <v>88.2</v>
      </c>
      <c r="C17" s="115"/>
      <c r="D17" s="120"/>
      <c r="E17" s="120"/>
      <c r="F17" s="120"/>
    </row>
    <row r="18" spans="1:6" x14ac:dyDescent="0.35">
      <c r="A18" s="81" t="s">
        <v>283</v>
      </c>
      <c r="B18" s="83">
        <v>97.649999999999991</v>
      </c>
      <c r="C18" s="115"/>
      <c r="D18" s="120"/>
      <c r="E18" s="120"/>
      <c r="F18" s="120"/>
    </row>
    <row r="19" spans="1:6" x14ac:dyDescent="0.35">
      <c r="A19" s="81" t="s">
        <v>284</v>
      </c>
      <c r="B19" s="83">
        <v>90.72</v>
      </c>
      <c r="C19" s="115"/>
      <c r="D19" s="120"/>
      <c r="E19" s="120"/>
      <c r="F19" s="120"/>
    </row>
    <row r="20" spans="1:6" x14ac:dyDescent="0.35">
      <c r="A20" s="81" t="s">
        <v>285</v>
      </c>
      <c r="B20" s="83">
        <v>173.565</v>
      </c>
      <c r="C20" s="115"/>
      <c r="D20" s="120"/>
      <c r="E20" s="120"/>
      <c r="F20" s="120"/>
    </row>
    <row r="21" spans="1:6" x14ac:dyDescent="0.35">
      <c r="A21" s="81" t="s">
        <v>286</v>
      </c>
      <c r="B21" s="83">
        <v>123.16500000000001</v>
      </c>
      <c r="C21" s="115"/>
      <c r="D21" s="120"/>
      <c r="E21" s="120"/>
      <c r="F21" s="120"/>
    </row>
    <row r="22" spans="1:6" x14ac:dyDescent="0.35">
      <c r="A22" s="81" t="s">
        <v>287</v>
      </c>
      <c r="B22" s="83">
        <v>347.13</v>
      </c>
      <c r="C22" s="115"/>
      <c r="D22" s="120"/>
      <c r="E22" s="120"/>
      <c r="F22" s="120"/>
    </row>
    <row r="23" spans="1:6" x14ac:dyDescent="0.35">
      <c r="A23" s="81" t="s">
        <v>288</v>
      </c>
      <c r="B23" s="83">
        <v>228.06</v>
      </c>
      <c r="C23" s="115"/>
      <c r="D23" s="120"/>
      <c r="E23" s="120"/>
      <c r="F23" s="120"/>
    </row>
    <row r="24" spans="1:6" x14ac:dyDescent="0.35">
      <c r="A24" s="81" t="s">
        <v>205</v>
      </c>
      <c r="B24" s="83">
        <f>SUM(B5:B23)</f>
        <v>2508.0300000000002</v>
      </c>
      <c r="C24" s="115"/>
      <c r="D24" s="120"/>
      <c r="E24" s="120"/>
      <c r="F24" s="120"/>
    </row>
  </sheetData>
  <mergeCells count="4">
    <mergeCell ref="C4:F24"/>
    <mergeCell ref="B1:D1"/>
    <mergeCell ref="B2:D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="70" zoomScaleNormal="70" workbookViewId="0">
      <selection activeCell="B4" sqref="B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0.88671875" style="48" customWidth="1"/>
    <col min="4" max="4" width="3.88671875" style="80" customWidth="1"/>
    <col min="5" max="5" width="8.88671875" style="80"/>
    <col min="6" max="6" width="13" style="48" bestFit="1" customWidth="1"/>
    <col min="7" max="16384" width="8.88671875" style="48"/>
  </cols>
  <sheetData>
    <row r="1" spans="1:6" ht="36" customHeight="1" x14ac:dyDescent="0.35">
      <c r="A1" s="78" t="s">
        <v>221</v>
      </c>
      <c r="B1" s="110" t="s">
        <v>214</v>
      </c>
      <c r="C1" s="110"/>
      <c r="D1" s="110"/>
      <c r="E1" s="78" t="s">
        <v>4</v>
      </c>
      <c r="F1" s="109" t="s">
        <v>213</v>
      </c>
    </row>
    <row r="2" spans="1:6" ht="37.799999999999997" customHeight="1" x14ac:dyDescent="0.35">
      <c r="A2" s="79">
        <v>1</v>
      </c>
      <c r="B2" s="112" t="s">
        <v>289</v>
      </c>
      <c r="C2" s="112"/>
      <c r="D2" s="112"/>
      <c r="E2" s="82" t="s">
        <v>6</v>
      </c>
      <c r="F2" s="102">
        <f>B18</f>
        <v>652.20000000000005</v>
      </c>
    </row>
    <row r="3" spans="1:6" x14ac:dyDescent="0.35">
      <c r="A3" s="114"/>
      <c r="B3" s="114"/>
      <c r="C3" s="114"/>
      <c r="D3" s="114"/>
      <c r="E3" s="114"/>
      <c r="F3" s="114"/>
    </row>
    <row r="4" spans="1:6" x14ac:dyDescent="0.35">
      <c r="A4" s="81" t="s">
        <v>228</v>
      </c>
      <c r="B4" s="77" t="s">
        <v>226</v>
      </c>
      <c r="C4" s="115"/>
      <c r="D4" s="120"/>
      <c r="E4" s="120"/>
      <c r="F4" s="120"/>
    </row>
    <row r="5" spans="1:6" x14ac:dyDescent="0.35">
      <c r="A5" s="81" t="s">
        <v>270</v>
      </c>
      <c r="B5" s="83">
        <v>24.5</v>
      </c>
      <c r="C5" s="115"/>
      <c r="D5" s="120"/>
      <c r="E5" s="120"/>
      <c r="F5" s="120"/>
    </row>
    <row r="6" spans="1:6" x14ac:dyDescent="0.35">
      <c r="A6" s="81" t="s">
        <v>271</v>
      </c>
      <c r="B6" s="83">
        <v>57.3</v>
      </c>
      <c r="C6" s="115"/>
      <c r="D6" s="120"/>
      <c r="E6" s="120"/>
      <c r="F6" s="120"/>
    </row>
    <row r="7" spans="1:6" x14ac:dyDescent="0.35">
      <c r="A7" s="81" t="s">
        <v>273</v>
      </c>
      <c r="B7" s="83">
        <v>58</v>
      </c>
      <c r="C7" s="115"/>
      <c r="D7" s="120"/>
      <c r="E7" s="120"/>
      <c r="F7" s="120"/>
    </row>
    <row r="8" spans="1:6" x14ac:dyDescent="0.35">
      <c r="A8" s="81" t="s">
        <v>274</v>
      </c>
      <c r="B8" s="83">
        <v>54.4</v>
      </c>
      <c r="C8" s="115"/>
      <c r="D8" s="120"/>
      <c r="E8" s="120"/>
      <c r="F8" s="120"/>
    </row>
    <row r="9" spans="1:6" x14ac:dyDescent="0.35">
      <c r="A9" s="81" t="s">
        <v>291</v>
      </c>
      <c r="B9" s="83">
        <v>98.4</v>
      </c>
      <c r="C9" s="115"/>
      <c r="D9" s="120"/>
      <c r="E9" s="120"/>
      <c r="F9" s="120"/>
    </row>
    <row r="10" spans="1:6" x14ac:dyDescent="0.35">
      <c r="A10" s="81" t="s">
        <v>275</v>
      </c>
      <c r="B10" s="83">
        <v>40.6</v>
      </c>
      <c r="C10" s="115"/>
      <c r="D10" s="120"/>
      <c r="E10" s="120"/>
      <c r="F10" s="120"/>
    </row>
    <row r="11" spans="1:6" x14ac:dyDescent="0.35">
      <c r="A11" s="81" t="s">
        <v>276</v>
      </c>
      <c r="B11" s="83">
        <v>21.1</v>
      </c>
      <c r="C11" s="115"/>
      <c r="D11" s="120"/>
      <c r="E11" s="120"/>
      <c r="F11" s="120"/>
    </row>
    <row r="12" spans="1:6" x14ac:dyDescent="0.35">
      <c r="A12" s="81" t="s">
        <v>277</v>
      </c>
      <c r="B12" s="83">
        <v>31.1</v>
      </c>
      <c r="C12" s="115"/>
      <c r="D12" s="120"/>
      <c r="E12" s="120"/>
      <c r="F12" s="120"/>
    </row>
    <row r="13" spans="1:6" x14ac:dyDescent="0.35">
      <c r="A13" s="81" t="s">
        <v>280</v>
      </c>
      <c r="B13" s="83">
        <v>11.7</v>
      </c>
      <c r="C13" s="115"/>
      <c r="D13" s="120"/>
      <c r="E13" s="120"/>
      <c r="F13" s="120"/>
    </row>
    <row r="14" spans="1:6" x14ac:dyDescent="0.35">
      <c r="A14" s="81" t="s">
        <v>283</v>
      </c>
      <c r="B14" s="83">
        <v>27.1</v>
      </c>
      <c r="C14" s="115"/>
      <c r="D14" s="120"/>
      <c r="E14" s="120"/>
      <c r="F14" s="120"/>
    </row>
    <row r="15" spans="1:6" x14ac:dyDescent="0.35">
      <c r="A15" s="81" t="s">
        <v>284</v>
      </c>
      <c r="B15" s="83">
        <v>31.4</v>
      </c>
      <c r="C15" s="115"/>
      <c r="D15" s="120"/>
      <c r="E15" s="120"/>
      <c r="F15" s="120"/>
    </row>
    <row r="16" spans="1:6" x14ac:dyDescent="0.35">
      <c r="A16" s="81" t="s">
        <v>285</v>
      </c>
      <c r="B16" s="83">
        <v>125.7</v>
      </c>
      <c r="C16" s="115"/>
      <c r="D16" s="120"/>
      <c r="E16" s="120"/>
      <c r="F16" s="120"/>
    </row>
    <row r="17" spans="1:6" x14ac:dyDescent="0.35">
      <c r="A17" s="81" t="s">
        <v>286</v>
      </c>
      <c r="B17" s="83">
        <v>70.900000000000006</v>
      </c>
      <c r="C17" s="115"/>
      <c r="D17" s="120"/>
      <c r="E17" s="120"/>
      <c r="F17" s="120"/>
    </row>
    <row r="18" spans="1:6" x14ac:dyDescent="0.35">
      <c r="A18" s="81" t="s">
        <v>205</v>
      </c>
      <c r="B18" s="83">
        <f>SUM(B5:B17)</f>
        <v>652.20000000000005</v>
      </c>
      <c r="C18" s="115"/>
      <c r="D18" s="120"/>
      <c r="E18" s="120"/>
      <c r="F18" s="120"/>
    </row>
  </sheetData>
  <mergeCells count="4">
    <mergeCell ref="B1:D1"/>
    <mergeCell ref="B2:D2"/>
    <mergeCell ref="A3:F3"/>
    <mergeCell ref="C4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4:F26"/>
  <sheetViews>
    <sheetView workbookViewId="0">
      <selection activeCell="E22" sqref="E5:F22"/>
    </sheetView>
  </sheetViews>
  <sheetFormatPr defaultRowHeight="14.4" x14ac:dyDescent="0.3"/>
  <sheetData>
    <row r="4" spans="2:6" x14ac:dyDescent="0.3">
      <c r="B4" s="151" t="s">
        <v>267</v>
      </c>
      <c r="E4" t="s">
        <v>268</v>
      </c>
    </row>
    <row r="5" spans="2:6" x14ac:dyDescent="0.3">
      <c r="B5">
        <v>1</v>
      </c>
      <c r="C5">
        <v>29</v>
      </c>
      <c r="D5">
        <f>C5*3.15</f>
        <v>91.35</v>
      </c>
      <c r="E5">
        <v>1</v>
      </c>
      <c r="F5" s="152">
        <v>24.5</v>
      </c>
    </row>
    <row r="6" spans="2:6" x14ac:dyDescent="0.3">
      <c r="B6">
        <v>2</v>
      </c>
      <c r="C6">
        <v>38.4</v>
      </c>
      <c r="D6">
        <f t="shared" ref="D6:D24" si="0">C6*3.15</f>
        <v>120.96</v>
      </c>
      <c r="E6">
        <v>2</v>
      </c>
      <c r="F6" s="152">
        <v>57.3</v>
      </c>
    </row>
    <row r="7" spans="2:6" x14ac:dyDescent="0.3">
      <c r="B7">
        <v>3</v>
      </c>
      <c r="C7">
        <v>86.2</v>
      </c>
      <c r="D7">
        <f t="shared" si="0"/>
        <v>271.53000000000003</v>
      </c>
    </row>
    <row r="8" spans="2:6" x14ac:dyDescent="0.3">
      <c r="B8">
        <v>4</v>
      </c>
      <c r="C8">
        <v>41.5</v>
      </c>
      <c r="D8">
        <f t="shared" si="0"/>
        <v>130.72499999999999</v>
      </c>
      <c r="E8">
        <v>4</v>
      </c>
      <c r="F8" s="152">
        <v>58</v>
      </c>
    </row>
    <row r="9" spans="2:6" x14ac:dyDescent="0.3">
      <c r="B9">
        <v>5</v>
      </c>
      <c r="C9">
        <v>30.8</v>
      </c>
      <c r="D9">
        <f t="shared" si="0"/>
        <v>97.02</v>
      </c>
      <c r="E9">
        <v>5</v>
      </c>
      <c r="F9" s="152">
        <v>54.4</v>
      </c>
    </row>
    <row r="10" spans="2:6" x14ac:dyDescent="0.3">
      <c r="E10">
        <v>6</v>
      </c>
      <c r="F10" s="152">
        <v>98.4</v>
      </c>
    </row>
    <row r="11" spans="2:6" x14ac:dyDescent="0.3">
      <c r="B11">
        <v>7</v>
      </c>
      <c r="C11">
        <v>30</v>
      </c>
      <c r="D11">
        <f t="shared" si="0"/>
        <v>94.5</v>
      </c>
      <c r="E11">
        <v>7</v>
      </c>
      <c r="F11" s="152">
        <v>40.6</v>
      </c>
    </row>
    <row r="12" spans="2:6" x14ac:dyDescent="0.3">
      <c r="B12">
        <v>8</v>
      </c>
      <c r="C12">
        <v>19</v>
      </c>
      <c r="D12">
        <f t="shared" si="0"/>
        <v>59.85</v>
      </c>
      <c r="E12">
        <v>8</v>
      </c>
      <c r="F12" s="152">
        <v>21.1</v>
      </c>
    </row>
    <row r="13" spans="2:6" x14ac:dyDescent="0.3">
      <c r="B13">
        <v>12</v>
      </c>
      <c r="C13">
        <v>38</v>
      </c>
      <c r="D13">
        <f t="shared" si="0"/>
        <v>119.7</v>
      </c>
      <c r="E13">
        <v>12</v>
      </c>
      <c r="F13" s="152">
        <v>31.1</v>
      </c>
    </row>
    <row r="14" spans="2:6" x14ac:dyDescent="0.3">
      <c r="B14">
        <v>13</v>
      </c>
      <c r="C14">
        <v>22</v>
      </c>
      <c r="D14">
        <f t="shared" si="0"/>
        <v>69.3</v>
      </c>
    </row>
    <row r="15" spans="2:6" x14ac:dyDescent="0.3">
      <c r="B15">
        <v>14</v>
      </c>
      <c r="C15">
        <f>55+15-2</f>
        <v>68</v>
      </c>
      <c r="D15">
        <f t="shared" si="0"/>
        <v>214.2</v>
      </c>
    </row>
    <row r="16" spans="2:6" x14ac:dyDescent="0.3">
      <c r="B16">
        <v>15</v>
      </c>
      <c r="C16">
        <v>15.4</v>
      </c>
      <c r="D16">
        <f t="shared" si="0"/>
        <v>48.51</v>
      </c>
      <c r="E16">
        <v>15</v>
      </c>
      <c r="F16" s="152">
        <v>11.7</v>
      </c>
    </row>
    <row r="17" spans="2:6" x14ac:dyDescent="0.3">
      <c r="B17">
        <v>16</v>
      </c>
      <c r="C17">
        <v>13.3</v>
      </c>
      <c r="D17">
        <f t="shared" si="0"/>
        <v>41.895000000000003</v>
      </c>
    </row>
    <row r="18" spans="2:6" x14ac:dyDescent="0.3">
      <c r="B18">
        <v>17</v>
      </c>
      <c r="C18">
        <v>28</v>
      </c>
      <c r="D18">
        <f t="shared" si="0"/>
        <v>88.2</v>
      </c>
    </row>
    <row r="19" spans="2:6" x14ac:dyDescent="0.3">
      <c r="B19">
        <v>18</v>
      </c>
      <c r="C19">
        <v>31</v>
      </c>
      <c r="D19">
        <f t="shared" si="0"/>
        <v>97.649999999999991</v>
      </c>
      <c r="E19">
        <v>18</v>
      </c>
      <c r="F19" s="152">
        <v>27.1</v>
      </c>
    </row>
    <row r="20" spans="2:6" x14ac:dyDescent="0.3">
      <c r="B20">
        <v>19</v>
      </c>
      <c r="C20">
        <v>28.8</v>
      </c>
      <c r="D20">
        <f t="shared" si="0"/>
        <v>90.72</v>
      </c>
      <c r="E20">
        <v>19</v>
      </c>
      <c r="F20" s="152">
        <v>31.4</v>
      </c>
    </row>
    <row r="21" spans="2:6" x14ac:dyDescent="0.3">
      <c r="B21">
        <v>23</v>
      </c>
      <c r="C21">
        <v>55.1</v>
      </c>
      <c r="D21">
        <f t="shared" si="0"/>
        <v>173.565</v>
      </c>
      <c r="E21">
        <v>23</v>
      </c>
      <c r="F21" s="152">
        <v>125.7</v>
      </c>
    </row>
    <row r="22" spans="2:6" x14ac:dyDescent="0.3">
      <c r="B22">
        <v>24</v>
      </c>
      <c r="C22">
        <v>39.1</v>
      </c>
      <c r="D22">
        <f t="shared" si="0"/>
        <v>123.16500000000001</v>
      </c>
      <c r="E22">
        <v>24</v>
      </c>
      <c r="F22" s="152">
        <v>70.900000000000006</v>
      </c>
    </row>
    <row r="23" spans="2:6" x14ac:dyDescent="0.3">
      <c r="B23">
        <v>26</v>
      </c>
      <c r="C23">
        <v>110.2</v>
      </c>
      <c r="D23">
        <f t="shared" si="0"/>
        <v>347.13</v>
      </c>
    </row>
    <row r="24" spans="2:6" x14ac:dyDescent="0.3">
      <c r="B24">
        <v>28</v>
      </c>
      <c r="C24">
        <f>57.4+15</f>
        <v>72.400000000000006</v>
      </c>
      <c r="D24">
        <f t="shared" si="0"/>
        <v>228.06</v>
      </c>
    </row>
    <row r="26" spans="2:6" ht="6.6" customHeight="1" x14ac:dyDescent="0.3"/>
  </sheetData>
  <sortState ref="E5:E17">
    <sortCondition ref="E5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70" zoomScaleNormal="70" workbookViewId="0">
      <selection activeCell="C4" sqref="C4:C2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0.88671875" style="48" customWidth="1"/>
    <col min="4" max="4" width="8.88671875" style="80"/>
    <col min="5" max="5" width="13" style="48" bestFit="1" customWidth="1"/>
    <col min="6" max="6" width="41.21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108" t="s">
        <v>213</v>
      </c>
    </row>
    <row r="2" spans="1:8" ht="55.2" customHeight="1" x14ac:dyDescent="0.35">
      <c r="A2" s="79">
        <v>1</v>
      </c>
      <c r="B2" s="112" t="s">
        <v>265</v>
      </c>
      <c r="C2" s="112"/>
      <c r="D2" s="112"/>
      <c r="E2" s="113" t="s">
        <v>266</v>
      </c>
      <c r="F2" s="113"/>
      <c r="G2" s="82" t="s">
        <v>6</v>
      </c>
      <c r="H2" s="102">
        <f>B21+E24+H14</f>
        <v>784.23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5"/>
      <c r="G4" s="81" t="s">
        <v>228</v>
      </c>
      <c r="H4" s="77" t="s">
        <v>226</v>
      </c>
    </row>
    <row r="5" spans="1:8" x14ac:dyDescent="0.35">
      <c r="A5" s="81" t="s">
        <v>120</v>
      </c>
      <c r="B5" s="83">
        <v>4.99</v>
      </c>
      <c r="C5" s="115"/>
      <c r="D5" s="81" t="s">
        <v>86</v>
      </c>
      <c r="E5" s="83">
        <v>4.9000000000000004</v>
      </c>
      <c r="F5" s="115"/>
      <c r="G5" s="81" t="s">
        <v>62</v>
      </c>
      <c r="H5" s="83">
        <v>5.0999999999999996</v>
      </c>
    </row>
    <row r="6" spans="1:8" x14ac:dyDescent="0.35">
      <c r="A6" s="81" t="s">
        <v>121</v>
      </c>
      <c r="B6" s="83">
        <v>5.74</v>
      </c>
      <c r="C6" s="115"/>
      <c r="D6" s="81" t="s">
        <v>88</v>
      </c>
      <c r="E6" s="83">
        <v>6.6</v>
      </c>
      <c r="F6" s="115"/>
      <c r="G6" s="81" t="s">
        <v>64</v>
      </c>
      <c r="H6" s="83">
        <v>4.8</v>
      </c>
    </row>
    <row r="7" spans="1:8" x14ac:dyDescent="0.35">
      <c r="A7" s="81" t="s">
        <v>129</v>
      </c>
      <c r="B7" s="83">
        <v>4.9000000000000004</v>
      </c>
      <c r="C7" s="115"/>
      <c r="D7" s="81" t="s">
        <v>91</v>
      </c>
      <c r="E7" s="83">
        <v>21.5</v>
      </c>
      <c r="F7" s="115"/>
      <c r="G7" s="81" t="s">
        <v>65</v>
      </c>
      <c r="H7" s="83">
        <v>6.5</v>
      </c>
    </row>
    <row r="8" spans="1:8" x14ac:dyDescent="0.35">
      <c r="A8" s="81" t="s">
        <v>131</v>
      </c>
      <c r="B8" s="83">
        <v>6.5</v>
      </c>
      <c r="C8" s="115"/>
      <c r="D8" s="81" t="s">
        <v>92</v>
      </c>
      <c r="E8" s="83">
        <v>15</v>
      </c>
      <c r="F8" s="115"/>
      <c r="G8" s="81" t="s">
        <v>67</v>
      </c>
      <c r="H8" s="83">
        <v>5.0999999999999996</v>
      </c>
    </row>
    <row r="9" spans="1:8" x14ac:dyDescent="0.35">
      <c r="A9" s="81" t="s">
        <v>14</v>
      </c>
      <c r="B9" s="83">
        <v>136.1</v>
      </c>
      <c r="C9" s="115"/>
      <c r="D9" s="81" t="s">
        <v>93</v>
      </c>
      <c r="E9" s="83">
        <v>5.0999999999999996</v>
      </c>
      <c r="F9" s="115"/>
      <c r="G9" s="81" t="s">
        <v>68</v>
      </c>
      <c r="H9" s="83">
        <v>14.9</v>
      </c>
    </row>
    <row r="10" spans="1:8" x14ac:dyDescent="0.35">
      <c r="A10" s="81" t="s">
        <v>133</v>
      </c>
      <c r="B10" s="83">
        <v>14.9</v>
      </c>
      <c r="C10" s="115"/>
      <c r="D10" s="81" t="s">
        <v>102</v>
      </c>
      <c r="E10" s="83">
        <v>5.0999999999999996</v>
      </c>
      <c r="F10" s="115"/>
      <c r="G10" s="81" t="s">
        <v>69</v>
      </c>
      <c r="H10" s="83">
        <v>15</v>
      </c>
    </row>
    <row r="11" spans="1:8" x14ac:dyDescent="0.35">
      <c r="A11" s="81" t="s">
        <v>134</v>
      </c>
      <c r="B11" s="83">
        <v>5.0999999999999996</v>
      </c>
      <c r="C11" s="115"/>
      <c r="D11" s="81" t="s">
        <v>103</v>
      </c>
      <c r="E11" s="83">
        <v>11.5</v>
      </c>
      <c r="F11" s="115"/>
      <c r="G11" s="81" t="s">
        <v>75</v>
      </c>
      <c r="H11" s="83">
        <v>6.3</v>
      </c>
    </row>
    <row r="12" spans="1:8" x14ac:dyDescent="0.35">
      <c r="A12" s="81" t="s">
        <v>135</v>
      </c>
      <c r="B12" s="83">
        <v>15</v>
      </c>
      <c r="C12" s="115"/>
      <c r="D12" s="81" t="s">
        <v>104</v>
      </c>
      <c r="E12" s="83">
        <v>11.4</v>
      </c>
      <c r="F12" s="115"/>
      <c r="G12" s="81" t="s">
        <v>79</v>
      </c>
      <c r="H12" s="83">
        <v>29.7</v>
      </c>
    </row>
    <row r="13" spans="1:8" x14ac:dyDescent="0.35">
      <c r="A13" s="81" t="s">
        <v>136</v>
      </c>
      <c r="B13" s="83">
        <v>3.8</v>
      </c>
      <c r="C13" s="115"/>
      <c r="D13" s="81" t="s">
        <v>97</v>
      </c>
      <c r="E13" s="83">
        <v>26.5</v>
      </c>
      <c r="F13" s="115"/>
      <c r="G13" s="81" t="s">
        <v>80</v>
      </c>
      <c r="H13" s="83">
        <v>29.7</v>
      </c>
    </row>
    <row r="14" spans="1:8" x14ac:dyDescent="0.35">
      <c r="A14" s="81" t="s">
        <v>143</v>
      </c>
      <c r="B14" s="83">
        <v>10.4</v>
      </c>
      <c r="C14" s="115"/>
      <c r="D14" s="81" t="s">
        <v>98</v>
      </c>
      <c r="E14" s="83">
        <v>13.1</v>
      </c>
      <c r="F14" s="115"/>
      <c r="G14" s="81" t="s">
        <v>205</v>
      </c>
      <c r="H14" s="83">
        <f>SUM(H5:H13)</f>
        <v>117.1</v>
      </c>
    </row>
    <row r="15" spans="1:8" x14ac:dyDescent="0.35">
      <c r="A15" s="81" t="s">
        <v>144</v>
      </c>
      <c r="B15" s="83">
        <v>6.3</v>
      </c>
      <c r="C15" s="115"/>
      <c r="D15" s="81" t="s">
        <v>99</v>
      </c>
      <c r="E15" s="83">
        <v>8.1999999999999993</v>
      </c>
      <c r="F15" s="115"/>
      <c r="G15" s="114"/>
      <c r="H15" s="114"/>
    </row>
    <row r="16" spans="1:8" x14ac:dyDescent="0.35">
      <c r="A16" s="81" t="s">
        <v>16</v>
      </c>
      <c r="B16" s="83">
        <v>85.1</v>
      </c>
      <c r="C16" s="115"/>
      <c r="D16" s="81" t="s">
        <v>100</v>
      </c>
      <c r="E16" s="83">
        <v>27.5</v>
      </c>
      <c r="F16" s="115"/>
      <c r="G16" s="117"/>
      <c r="H16" s="117"/>
    </row>
    <row r="17" spans="1:8" x14ac:dyDescent="0.35">
      <c r="A17" s="81" t="s">
        <v>149</v>
      </c>
      <c r="B17" s="83">
        <v>15.6</v>
      </c>
      <c r="C17" s="115"/>
      <c r="D17" s="81" t="s">
        <v>94</v>
      </c>
      <c r="E17" s="83">
        <v>10.3</v>
      </c>
      <c r="F17" s="115"/>
      <c r="G17" s="117"/>
      <c r="H17" s="117"/>
    </row>
    <row r="18" spans="1:8" x14ac:dyDescent="0.35">
      <c r="A18" s="81" t="s">
        <v>145</v>
      </c>
      <c r="B18" s="83">
        <v>5.9</v>
      </c>
      <c r="C18" s="115"/>
      <c r="D18" s="81" t="s">
        <v>95</v>
      </c>
      <c r="E18" s="83">
        <v>11.7</v>
      </c>
      <c r="F18" s="115"/>
      <c r="G18" s="117"/>
      <c r="H18" s="117"/>
    </row>
    <row r="19" spans="1:8" x14ac:dyDescent="0.35">
      <c r="A19" s="81" t="s">
        <v>146</v>
      </c>
      <c r="B19" s="83">
        <v>29.7</v>
      </c>
      <c r="C19" s="115"/>
      <c r="D19" s="81" t="s">
        <v>96</v>
      </c>
      <c r="E19" s="83">
        <v>30.6</v>
      </c>
      <c r="F19" s="115"/>
      <c r="G19" s="117"/>
      <c r="H19" s="117"/>
    </row>
    <row r="20" spans="1:8" x14ac:dyDescent="0.35">
      <c r="A20" s="81" t="s">
        <v>148</v>
      </c>
      <c r="B20" s="83">
        <v>29.7</v>
      </c>
      <c r="C20" s="115"/>
      <c r="D20" s="81" t="s">
        <v>223</v>
      </c>
      <c r="E20" s="83">
        <v>18.7</v>
      </c>
      <c r="F20" s="115"/>
      <c r="G20" s="117"/>
      <c r="H20" s="117"/>
    </row>
    <row r="21" spans="1:8" x14ac:dyDescent="0.35">
      <c r="A21" s="81" t="s">
        <v>205</v>
      </c>
      <c r="B21" s="83">
        <f>SUM(B5:B20)</f>
        <v>379.73</v>
      </c>
      <c r="C21" s="115"/>
      <c r="D21" s="81" t="s">
        <v>109</v>
      </c>
      <c r="E21" s="83">
        <v>6.3</v>
      </c>
      <c r="F21" s="115"/>
      <c r="G21" s="117"/>
      <c r="H21" s="117"/>
    </row>
    <row r="22" spans="1:8" x14ac:dyDescent="0.35">
      <c r="A22" s="117"/>
      <c r="B22" s="117"/>
      <c r="C22" s="116"/>
      <c r="D22" s="81" t="s">
        <v>112</v>
      </c>
      <c r="E22" s="83">
        <v>26.7</v>
      </c>
      <c r="F22" s="115"/>
      <c r="G22" s="117"/>
      <c r="H22" s="117"/>
    </row>
    <row r="23" spans="1:8" x14ac:dyDescent="0.35">
      <c r="A23" s="117"/>
      <c r="B23" s="117"/>
      <c r="C23" s="116"/>
      <c r="D23" s="81" t="s">
        <v>116</v>
      </c>
      <c r="E23" s="83">
        <v>26.7</v>
      </c>
      <c r="F23" s="115"/>
      <c r="G23" s="117"/>
      <c r="H23" s="117"/>
    </row>
    <row r="24" spans="1:8" x14ac:dyDescent="0.35">
      <c r="A24" s="117"/>
      <c r="B24" s="117"/>
      <c r="C24" s="116"/>
      <c r="D24" s="81" t="s">
        <v>205</v>
      </c>
      <c r="E24" s="83">
        <f>SUM(E5:E23)</f>
        <v>287.39999999999998</v>
      </c>
      <c r="F24" s="115"/>
      <c r="G24" s="117"/>
      <c r="H24" s="117"/>
    </row>
  </sheetData>
  <mergeCells count="9">
    <mergeCell ref="C4:C24"/>
    <mergeCell ref="F4:F24"/>
    <mergeCell ref="G15:H24"/>
    <mergeCell ref="A22:B24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85" zoomScaleNormal="85" workbookViewId="0">
      <selection activeCell="F4" sqref="F4:F2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0.88671875" style="48" customWidth="1"/>
    <col min="4" max="4" width="8.88671875" style="80"/>
    <col min="5" max="5" width="13" style="48" bestFit="1" customWidth="1"/>
    <col min="6" max="6" width="48.66406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108" t="s">
        <v>213</v>
      </c>
    </row>
    <row r="2" spans="1:8" ht="100.2" customHeight="1" x14ac:dyDescent="0.35">
      <c r="A2" s="79">
        <v>1</v>
      </c>
      <c r="B2" s="112" t="s">
        <v>263</v>
      </c>
      <c r="C2" s="112"/>
      <c r="D2" s="112"/>
      <c r="E2" s="113" t="s">
        <v>264</v>
      </c>
      <c r="F2" s="113"/>
      <c r="G2" s="82" t="s">
        <v>6</v>
      </c>
      <c r="H2" s="102">
        <f>B21+E24+H14</f>
        <v>784.23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5"/>
      <c r="G4" s="81" t="s">
        <v>228</v>
      </c>
      <c r="H4" s="77" t="s">
        <v>226</v>
      </c>
    </row>
    <row r="5" spans="1:8" x14ac:dyDescent="0.35">
      <c r="A5" s="81" t="s">
        <v>120</v>
      </c>
      <c r="B5" s="83">
        <v>4.99</v>
      </c>
      <c r="C5" s="115"/>
      <c r="D5" s="81" t="s">
        <v>86</v>
      </c>
      <c r="E5" s="83">
        <v>4.9000000000000004</v>
      </c>
      <c r="F5" s="115"/>
      <c r="G5" s="81" t="s">
        <v>62</v>
      </c>
      <c r="H5" s="83">
        <v>5.0999999999999996</v>
      </c>
    </row>
    <row r="6" spans="1:8" x14ac:dyDescent="0.35">
      <c r="A6" s="81" t="s">
        <v>121</v>
      </c>
      <c r="B6" s="83">
        <v>5.74</v>
      </c>
      <c r="C6" s="115"/>
      <c r="D6" s="81" t="s">
        <v>88</v>
      </c>
      <c r="E6" s="83">
        <v>6.6</v>
      </c>
      <c r="F6" s="115"/>
      <c r="G6" s="81" t="s">
        <v>64</v>
      </c>
      <c r="H6" s="83">
        <v>4.8</v>
      </c>
    </row>
    <row r="7" spans="1:8" x14ac:dyDescent="0.35">
      <c r="A7" s="81" t="s">
        <v>129</v>
      </c>
      <c r="B7" s="83">
        <v>4.9000000000000004</v>
      </c>
      <c r="C7" s="115"/>
      <c r="D7" s="81" t="s">
        <v>91</v>
      </c>
      <c r="E7" s="83">
        <v>21.5</v>
      </c>
      <c r="F7" s="115"/>
      <c r="G7" s="81" t="s">
        <v>65</v>
      </c>
      <c r="H7" s="83">
        <v>6.5</v>
      </c>
    </row>
    <row r="8" spans="1:8" x14ac:dyDescent="0.35">
      <c r="A8" s="81" t="s">
        <v>131</v>
      </c>
      <c r="B8" s="83">
        <v>6.5</v>
      </c>
      <c r="C8" s="115"/>
      <c r="D8" s="81" t="s">
        <v>92</v>
      </c>
      <c r="E8" s="83">
        <v>15</v>
      </c>
      <c r="F8" s="115"/>
      <c r="G8" s="81" t="s">
        <v>67</v>
      </c>
      <c r="H8" s="83">
        <v>5.0999999999999996</v>
      </c>
    </row>
    <row r="9" spans="1:8" x14ac:dyDescent="0.35">
      <c r="A9" s="81" t="s">
        <v>14</v>
      </c>
      <c r="B9" s="83">
        <v>136.1</v>
      </c>
      <c r="C9" s="115"/>
      <c r="D9" s="81" t="s">
        <v>93</v>
      </c>
      <c r="E9" s="83">
        <v>5.0999999999999996</v>
      </c>
      <c r="F9" s="115"/>
      <c r="G9" s="81" t="s">
        <v>68</v>
      </c>
      <c r="H9" s="83">
        <v>14.9</v>
      </c>
    </row>
    <row r="10" spans="1:8" x14ac:dyDescent="0.35">
      <c r="A10" s="81" t="s">
        <v>133</v>
      </c>
      <c r="B10" s="83">
        <v>14.9</v>
      </c>
      <c r="C10" s="115"/>
      <c r="D10" s="81" t="s">
        <v>102</v>
      </c>
      <c r="E10" s="83">
        <v>5.0999999999999996</v>
      </c>
      <c r="F10" s="115"/>
      <c r="G10" s="81" t="s">
        <v>69</v>
      </c>
      <c r="H10" s="83">
        <v>15</v>
      </c>
    </row>
    <row r="11" spans="1:8" x14ac:dyDescent="0.35">
      <c r="A11" s="81" t="s">
        <v>134</v>
      </c>
      <c r="B11" s="83">
        <v>5.0999999999999996</v>
      </c>
      <c r="C11" s="115"/>
      <c r="D11" s="81" t="s">
        <v>103</v>
      </c>
      <c r="E11" s="83">
        <v>11.5</v>
      </c>
      <c r="F11" s="115"/>
      <c r="G11" s="81" t="s">
        <v>75</v>
      </c>
      <c r="H11" s="83">
        <v>6.3</v>
      </c>
    </row>
    <row r="12" spans="1:8" x14ac:dyDescent="0.35">
      <c r="A12" s="81" t="s">
        <v>135</v>
      </c>
      <c r="B12" s="83">
        <v>15</v>
      </c>
      <c r="C12" s="115"/>
      <c r="D12" s="81" t="s">
        <v>104</v>
      </c>
      <c r="E12" s="83">
        <v>11.4</v>
      </c>
      <c r="F12" s="115"/>
      <c r="G12" s="81" t="s">
        <v>79</v>
      </c>
      <c r="H12" s="83">
        <v>29.7</v>
      </c>
    </row>
    <row r="13" spans="1:8" x14ac:dyDescent="0.35">
      <c r="A13" s="81" t="s">
        <v>136</v>
      </c>
      <c r="B13" s="83">
        <v>3.8</v>
      </c>
      <c r="C13" s="115"/>
      <c r="D13" s="81" t="s">
        <v>97</v>
      </c>
      <c r="E13" s="83">
        <v>26.5</v>
      </c>
      <c r="F13" s="115"/>
      <c r="G13" s="81" t="s">
        <v>80</v>
      </c>
      <c r="H13" s="83">
        <v>29.7</v>
      </c>
    </row>
    <row r="14" spans="1:8" x14ac:dyDescent="0.35">
      <c r="A14" s="81" t="s">
        <v>143</v>
      </c>
      <c r="B14" s="83">
        <v>10.4</v>
      </c>
      <c r="C14" s="115"/>
      <c r="D14" s="81" t="s">
        <v>98</v>
      </c>
      <c r="E14" s="83">
        <v>13.1</v>
      </c>
      <c r="F14" s="115"/>
      <c r="G14" s="81" t="s">
        <v>205</v>
      </c>
      <c r="H14" s="83">
        <f>SUM(H5:H13)</f>
        <v>117.1</v>
      </c>
    </row>
    <row r="15" spans="1:8" x14ac:dyDescent="0.35">
      <c r="A15" s="81" t="s">
        <v>144</v>
      </c>
      <c r="B15" s="83">
        <v>6.3</v>
      </c>
      <c r="C15" s="115"/>
      <c r="D15" s="81" t="s">
        <v>99</v>
      </c>
      <c r="E15" s="83">
        <v>8.1999999999999993</v>
      </c>
      <c r="F15" s="115"/>
      <c r="G15" s="114"/>
      <c r="H15" s="114"/>
    </row>
    <row r="16" spans="1:8" x14ac:dyDescent="0.35">
      <c r="A16" s="81" t="s">
        <v>16</v>
      </c>
      <c r="B16" s="83">
        <v>85.1</v>
      </c>
      <c r="C16" s="115"/>
      <c r="D16" s="81" t="s">
        <v>100</v>
      </c>
      <c r="E16" s="83">
        <v>27.5</v>
      </c>
      <c r="F16" s="115"/>
      <c r="G16" s="117"/>
      <c r="H16" s="117"/>
    </row>
    <row r="17" spans="1:8" x14ac:dyDescent="0.35">
      <c r="A17" s="81" t="s">
        <v>149</v>
      </c>
      <c r="B17" s="83">
        <v>15.6</v>
      </c>
      <c r="C17" s="115"/>
      <c r="D17" s="81" t="s">
        <v>94</v>
      </c>
      <c r="E17" s="83">
        <v>10.3</v>
      </c>
      <c r="F17" s="115"/>
      <c r="G17" s="117"/>
      <c r="H17" s="117"/>
    </row>
    <row r="18" spans="1:8" x14ac:dyDescent="0.35">
      <c r="A18" s="81" t="s">
        <v>145</v>
      </c>
      <c r="B18" s="83">
        <v>5.9</v>
      </c>
      <c r="C18" s="115"/>
      <c r="D18" s="81" t="s">
        <v>95</v>
      </c>
      <c r="E18" s="83">
        <v>11.7</v>
      </c>
      <c r="F18" s="115"/>
      <c r="G18" s="117"/>
      <c r="H18" s="117"/>
    </row>
    <row r="19" spans="1:8" x14ac:dyDescent="0.35">
      <c r="A19" s="81" t="s">
        <v>146</v>
      </c>
      <c r="B19" s="83">
        <v>29.7</v>
      </c>
      <c r="C19" s="115"/>
      <c r="D19" s="81" t="s">
        <v>96</v>
      </c>
      <c r="E19" s="83">
        <v>30.6</v>
      </c>
      <c r="F19" s="115"/>
      <c r="G19" s="117"/>
      <c r="H19" s="117"/>
    </row>
    <row r="20" spans="1:8" x14ac:dyDescent="0.35">
      <c r="A20" s="81" t="s">
        <v>148</v>
      </c>
      <c r="B20" s="83">
        <v>29.7</v>
      </c>
      <c r="C20" s="115"/>
      <c r="D20" s="81" t="s">
        <v>223</v>
      </c>
      <c r="E20" s="83">
        <v>18.7</v>
      </c>
      <c r="F20" s="115"/>
      <c r="G20" s="117"/>
      <c r="H20" s="117"/>
    </row>
    <row r="21" spans="1:8" x14ac:dyDescent="0.35">
      <c r="A21" s="81" t="s">
        <v>205</v>
      </c>
      <c r="B21" s="83">
        <f>SUM(B5:B20)</f>
        <v>379.73</v>
      </c>
      <c r="C21" s="115"/>
      <c r="D21" s="81" t="s">
        <v>109</v>
      </c>
      <c r="E21" s="83">
        <v>6.3</v>
      </c>
      <c r="F21" s="115"/>
      <c r="G21" s="117"/>
      <c r="H21" s="117"/>
    </row>
    <row r="22" spans="1:8" x14ac:dyDescent="0.35">
      <c r="A22" s="117"/>
      <c r="B22" s="117"/>
      <c r="C22" s="116"/>
      <c r="D22" s="81" t="s">
        <v>112</v>
      </c>
      <c r="E22" s="83">
        <v>26.7</v>
      </c>
      <c r="F22" s="115"/>
      <c r="G22" s="117"/>
      <c r="H22" s="117"/>
    </row>
    <row r="23" spans="1:8" x14ac:dyDescent="0.35">
      <c r="A23" s="117"/>
      <c r="B23" s="117"/>
      <c r="C23" s="116"/>
      <c r="D23" s="81" t="s">
        <v>116</v>
      </c>
      <c r="E23" s="83">
        <v>26.7</v>
      </c>
      <c r="F23" s="115"/>
      <c r="G23" s="117"/>
      <c r="H23" s="117"/>
    </row>
    <row r="24" spans="1:8" x14ac:dyDescent="0.35">
      <c r="A24" s="117"/>
      <c r="B24" s="117"/>
      <c r="C24" s="116"/>
      <c r="D24" s="81" t="s">
        <v>205</v>
      </c>
      <c r="E24" s="83">
        <f>SUM(E5:E23)</f>
        <v>287.39999999999998</v>
      </c>
      <c r="F24" s="115"/>
      <c r="G24" s="117"/>
      <c r="H24" s="117"/>
    </row>
  </sheetData>
  <mergeCells count="9">
    <mergeCell ref="C4:C24"/>
    <mergeCell ref="F4:F24"/>
    <mergeCell ref="G15:H24"/>
    <mergeCell ref="A22:B24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70" zoomScaleNormal="70" workbookViewId="0">
      <selection activeCell="F35" sqref="F35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8.88671875" style="48"/>
    <col min="4" max="4" width="8.88671875" style="80"/>
    <col min="5" max="5" width="13" style="48" bestFit="1" customWidth="1"/>
    <col min="6" max="6" width="25.5546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91" t="s">
        <v>213</v>
      </c>
    </row>
    <row r="2" spans="1:8" ht="57" customHeight="1" x14ac:dyDescent="0.35">
      <c r="A2" s="79">
        <v>1</v>
      </c>
      <c r="B2" s="112" t="s">
        <v>247</v>
      </c>
      <c r="C2" s="112"/>
      <c r="D2" s="112"/>
      <c r="E2" s="113" t="s">
        <v>246</v>
      </c>
      <c r="F2" s="113"/>
      <c r="G2" s="82" t="s">
        <v>6</v>
      </c>
      <c r="H2" s="92">
        <f>B5</f>
        <v>67.400000000000006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8"/>
      <c r="D4" s="118"/>
      <c r="E4" s="118"/>
      <c r="F4" s="118"/>
      <c r="G4" s="118"/>
      <c r="H4" s="118"/>
    </row>
    <row r="5" spans="1:8" x14ac:dyDescent="0.35">
      <c r="A5" s="81" t="s">
        <v>13</v>
      </c>
      <c r="B5" s="83">
        <v>67.400000000000006</v>
      </c>
      <c r="C5" s="118"/>
      <c r="D5" s="118"/>
      <c r="E5" s="118"/>
      <c r="F5" s="118"/>
      <c r="G5" s="118"/>
      <c r="H5" s="118"/>
    </row>
  </sheetData>
  <mergeCells count="6">
    <mergeCell ref="C4:H5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55" zoomScaleNormal="55" workbookViewId="0">
      <selection activeCell="H3" sqref="H3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1.77734375" style="48" customWidth="1"/>
    <col min="4" max="4" width="8.88671875" style="80"/>
    <col min="5" max="5" width="13" style="48" bestFit="1" customWidth="1"/>
    <col min="6" max="6" width="41.88671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91" t="s">
        <v>213</v>
      </c>
    </row>
    <row r="2" spans="1:8" ht="72.599999999999994" customHeight="1" x14ac:dyDescent="0.35">
      <c r="A2" s="79">
        <v>1</v>
      </c>
      <c r="B2" s="112" t="s">
        <v>229</v>
      </c>
      <c r="C2" s="112"/>
      <c r="D2" s="112"/>
      <c r="E2" s="113" t="s">
        <v>244</v>
      </c>
      <c r="F2" s="113"/>
      <c r="G2" s="82" t="s">
        <v>6</v>
      </c>
      <c r="H2" s="92">
        <f>B6</f>
        <v>67.400000000000006</v>
      </c>
    </row>
    <row r="3" spans="1:8" ht="57" customHeight="1" x14ac:dyDescent="0.35">
      <c r="A3" s="79" t="s">
        <v>166</v>
      </c>
      <c r="B3" s="112" t="s">
        <v>229</v>
      </c>
      <c r="C3" s="112"/>
      <c r="D3" s="112"/>
      <c r="E3" s="113" t="s">
        <v>245</v>
      </c>
      <c r="F3" s="113"/>
      <c r="G3" s="82" t="s">
        <v>6</v>
      </c>
      <c r="H3" s="92">
        <f>H2</f>
        <v>67.400000000000006</v>
      </c>
    </row>
    <row r="4" spans="1:8" x14ac:dyDescent="0.35">
      <c r="A4" s="114"/>
      <c r="B4" s="114"/>
      <c r="C4" s="114"/>
      <c r="D4" s="114"/>
      <c r="E4" s="114"/>
      <c r="F4" s="114"/>
      <c r="G4" s="114"/>
      <c r="H4" s="114"/>
    </row>
    <row r="5" spans="1:8" x14ac:dyDescent="0.35">
      <c r="A5" s="81" t="s">
        <v>228</v>
      </c>
      <c r="B5" s="77" t="s">
        <v>226</v>
      </c>
      <c r="C5" s="119"/>
      <c r="D5" s="118"/>
      <c r="E5" s="118"/>
      <c r="F5" s="118"/>
      <c r="G5" s="118"/>
      <c r="H5" s="118"/>
    </row>
    <row r="6" spans="1:8" x14ac:dyDescent="0.35">
      <c r="A6" s="81" t="s">
        <v>13</v>
      </c>
      <c r="B6" s="83">
        <v>67.400000000000006</v>
      </c>
      <c r="C6" s="119"/>
      <c r="D6" s="118"/>
      <c r="E6" s="118"/>
      <c r="F6" s="118"/>
      <c r="G6" s="118"/>
      <c r="H6" s="118"/>
    </row>
  </sheetData>
  <mergeCells count="8">
    <mergeCell ref="A4:H4"/>
    <mergeCell ref="C5:H6"/>
    <mergeCell ref="B1:D1"/>
    <mergeCell ref="E1:F1"/>
    <mergeCell ref="B2:D2"/>
    <mergeCell ref="E2:F2"/>
    <mergeCell ref="B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55" zoomScaleNormal="55" workbookViewId="0">
      <selection activeCell="A3" sqref="A3:H3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6.88671875" style="48" customWidth="1"/>
    <col min="4" max="4" width="8.88671875" style="80"/>
    <col min="5" max="5" width="13" style="48" bestFit="1" customWidth="1"/>
    <col min="6" max="6" width="27.332031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91" t="s">
        <v>213</v>
      </c>
    </row>
    <row r="2" spans="1:8" ht="78.599999999999994" customHeight="1" x14ac:dyDescent="0.35">
      <c r="A2" s="79">
        <v>1</v>
      </c>
      <c r="B2" s="112" t="s">
        <v>230</v>
      </c>
      <c r="C2" s="112"/>
      <c r="D2" s="112"/>
      <c r="E2" s="113" t="s">
        <v>243</v>
      </c>
      <c r="F2" s="113"/>
      <c r="G2" s="82" t="s">
        <v>6</v>
      </c>
      <c r="H2" s="92">
        <f>B5</f>
        <v>67.400000000000006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8"/>
      <c r="D4" s="118"/>
      <c r="E4" s="118"/>
      <c r="F4" s="118"/>
      <c r="G4" s="118"/>
      <c r="H4" s="118"/>
    </row>
    <row r="5" spans="1:8" x14ac:dyDescent="0.35">
      <c r="A5" s="81" t="s">
        <v>13</v>
      </c>
      <c r="B5" s="83">
        <v>67.400000000000006</v>
      </c>
      <c r="C5" s="118"/>
      <c r="D5" s="118"/>
      <c r="E5" s="118"/>
      <c r="F5" s="118"/>
      <c r="G5" s="118"/>
      <c r="H5" s="118"/>
    </row>
  </sheetData>
  <mergeCells count="6">
    <mergeCell ref="C4:H5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55" zoomScaleNormal="55" workbookViewId="0">
      <selection activeCell="A51" sqref="A51:B5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6.88671875" style="48" customWidth="1"/>
    <col min="4" max="4" width="8.88671875" style="80"/>
    <col min="5" max="5" width="13" style="48" bestFit="1" customWidth="1"/>
    <col min="6" max="6" width="27.332031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84" t="s">
        <v>213</v>
      </c>
    </row>
    <row r="2" spans="1:8" ht="78.599999999999994" customHeight="1" x14ac:dyDescent="0.35">
      <c r="A2" s="79">
        <v>1</v>
      </c>
      <c r="B2" s="112" t="s">
        <v>230</v>
      </c>
      <c r="C2" s="112"/>
      <c r="D2" s="112"/>
      <c r="E2" s="113" t="s">
        <v>240</v>
      </c>
      <c r="F2" s="113"/>
      <c r="G2" s="82" t="s">
        <v>6</v>
      </c>
      <c r="H2" s="90" t="e">
        <f>#REF!+#REF!+#REF!</f>
        <v>#REF!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85"/>
      <c r="D4" s="81" t="s">
        <v>228</v>
      </c>
      <c r="E4" s="77" t="s">
        <v>226</v>
      </c>
      <c r="F4" s="86"/>
      <c r="G4" s="81" t="s">
        <v>228</v>
      </c>
      <c r="H4" s="77" t="s">
        <v>226</v>
      </c>
    </row>
    <row r="9" spans="1:8" x14ac:dyDescent="0.35">
      <c r="A9" s="81" t="s">
        <v>125</v>
      </c>
      <c r="B9" s="83">
        <v>13</v>
      </c>
      <c r="C9" s="93"/>
      <c r="F9" s="98"/>
    </row>
    <row r="10" spans="1:8" x14ac:dyDescent="0.35">
      <c r="A10" s="81" t="s">
        <v>124</v>
      </c>
      <c r="B10" s="83">
        <v>15.2</v>
      </c>
      <c r="C10" s="93"/>
      <c r="D10" s="81" t="s">
        <v>85</v>
      </c>
      <c r="E10" s="83">
        <v>13.4</v>
      </c>
      <c r="F10" s="93"/>
      <c r="G10" s="81" t="s">
        <v>63</v>
      </c>
      <c r="H10" s="83">
        <v>15.9</v>
      </c>
    </row>
    <row r="11" spans="1:8" x14ac:dyDescent="0.35">
      <c r="C11" s="93"/>
      <c r="F11" s="93"/>
    </row>
    <row r="12" spans="1:8" x14ac:dyDescent="0.35">
      <c r="C12" s="93"/>
      <c r="F12" s="93"/>
    </row>
    <row r="13" spans="1:8" x14ac:dyDescent="0.35">
      <c r="C13" s="93"/>
      <c r="F13" s="93"/>
      <c r="G13" s="81" t="s">
        <v>67</v>
      </c>
      <c r="H13" s="83">
        <v>9</v>
      </c>
    </row>
    <row r="14" spans="1:8" x14ac:dyDescent="0.35">
      <c r="C14" s="93"/>
      <c r="F14" s="94"/>
      <c r="G14" s="81" t="s">
        <v>68</v>
      </c>
      <c r="H14" s="83">
        <v>22.4</v>
      </c>
    </row>
    <row r="15" spans="1:8" x14ac:dyDescent="0.35">
      <c r="C15" s="93"/>
      <c r="F15" s="94"/>
      <c r="G15" s="81" t="s">
        <v>69</v>
      </c>
      <c r="H15" s="83">
        <v>22.3</v>
      </c>
    </row>
    <row r="16" spans="1:8" x14ac:dyDescent="0.35">
      <c r="C16" s="93"/>
      <c r="F16" s="94"/>
      <c r="G16" s="81" t="s">
        <v>70</v>
      </c>
      <c r="H16" s="83">
        <v>128.27000000000001</v>
      </c>
    </row>
    <row r="17" spans="1:8" x14ac:dyDescent="0.35">
      <c r="A17" s="81" t="s">
        <v>138</v>
      </c>
      <c r="B17" s="83">
        <v>11.4</v>
      </c>
      <c r="C17" s="93"/>
      <c r="F17" s="94"/>
      <c r="G17" s="81" t="s">
        <v>72</v>
      </c>
      <c r="H17" s="83">
        <v>13</v>
      </c>
    </row>
    <row r="18" spans="1:8" x14ac:dyDescent="0.35">
      <c r="C18" s="93"/>
      <c r="F18" s="94"/>
      <c r="G18" s="81" t="s">
        <v>73</v>
      </c>
      <c r="H18" s="83">
        <v>10.4</v>
      </c>
    </row>
    <row r="19" spans="1:8" x14ac:dyDescent="0.35">
      <c r="A19" s="81" t="s">
        <v>137</v>
      </c>
      <c r="B19" s="83">
        <v>11.4</v>
      </c>
      <c r="C19" s="93"/>
      <c r="F19" s="94"/>
      <c r="G19" s="81" t="s">
        <v>74</v>
      </c>
      <c r="H19" s="83">
        <v>10.4</v>
      </c>
    </row>
    <row r="20" spans="1:8" x14ac:dyDescent="0.35">
      <c r="C20" s="93"/>
      <c r="F20" s="94"/>
    </row>
    <row r="21" spans="1:8" x14ac:dyDescent="0.35">
      <c r="C21" s="95"/>
      <c r="F21" s="94"/>
    </row>
    <row r="22" spans="1:8" x14ac:dyDescent="0.35">
      <c r="F22" s="94"/>
    </row>
    <row r="27" spans="1:8" x14ac:dyDescent="0.35">
      <c r="D27" s="81" t="s">
        <v>105</v>
      </c>
      <c r="E27" s="83">
        <v>12.6</v>
      </c>
    </row>
    <row r="28" spans="1:8" x14ac:dyDescent="0.35">
      <c r="A28" s="81" t="s">
        <v>142</v>
      </c>
      <c r="B28" s="83">
        <v>11.6</v>
      </c>
      <c r="D28" s="81" t="s">
        <v>106</v>
      </c>
      <c r="E28" s="83">
        <v>10.3</v>
      </c>
    </row>
    <row r="29" spans="1:8" x14ac:dyDescent="0.35">
      <c r="D29" s="81" t="s">
        <v>107</v>
      </c>
      <c r="E29" s="83">
        <v>10.4</v>
      </c>
    </row>
    <row r="30" spans="1:8" x14ac:dyDescent="0.35">
      <c r="A30" s="81" t="s">
        <v>150</v>
      </c>
      <c r="B30" s="83">
        <v>6.3</v>
      </c>
    </row>
    <row r="34" spans="1:8" x14ac:dyDescent="0.35">
      <c r="A34" s="81" t="s">
        <v>228</v>
      </c>
      <c r="B34" s="77" t="s">
        <v>226</v>
      </c>
      <c r="D34" s="81" t="s">
        <v>228</v>
      </c>
      <c r="E34" s="77" t="s">
        <v>226</v>
      </c>
      <c r="G34" s="81" t="s">
        <v>228</v>
      </c>
      <c r="H34" s="77" t="s">
        <v>226</v>
      </c>
    </row>
    <row r="35" spans="1:8" x14ac:dyDescent="0.35">
      <c r="A35" s="81" t="s">
        <v>120</v>
      </c>
      <c r="B35" s="83">
        <v>8.9</v>
      </c>
      <c r="D35" s="81" t="s">
        <v>84</v>
      </c>
      <c r="E35" s="83">
        <v>9.8000000000000007</v>
      </c>
      <c r="G35" s="81" t="s">
        <v>62</v>
      </c>
      <c r="H35" s="83">
        <v>9.5</v>
      </c>
    </row>
    <row r="36" spans="1:8" x14ac:dyDescent="0.35">
      <c r="A36" s="81" t="s">
        <v>121</v>
      </c>
      <c r="B36" s="83">
        <v>9.9</v>
      </c>
      <c r="D36" s="81" t="s">
        <v>86</v>
      </c>
      <c r="E36" s="83">
        <v>9.6999999999999993</v>
      </c>
      <c r="G36" s="81" t="s">
        <v>64</v>
      </c>
      <c r="H36" s="83">
        <f>9.8</f>
        <v>9.8000000000000007</v>
      </c>
    </row>
    <row r="37" spans="1:8" x14ac:dyDescent="0.35">
      <c r="A37" s="81" t="s">
        <v>129</v>
      </c>
      <c r="B37" s="83">
        <v>9.8000000000000007</v>
      </c>
      <c r="D37" s="81" t="s">
        <v>88</v>
      </c>
      <c r="E37" s="83">
        <v>11.9</v>
      </c>
      <c r="G37" s="81" t="s">
        <v>65</v>
      </c>
      <c r="H37" s="83">
        <v>11.8</v>
      </c>
    </row>
    <row r="38" spans="1:8" x14ac:dyDescent="0.35">
      <c r="A38" s="81" t="s">
        <v>131</v>
      </c>
      <c r="B38" s="83">
        <v>11.8</v>
      </c>
      <c r="D38" s="81" t="s">
        <v>91</v>
      </c>
      <c r="E38" s="83">
        <v>20.399999999999999</v>
      </c>
      <c r="G38" s="81" t="s">
        <v>67</v>
      </c>
      <c r="H38" s="83">
        <v>9</v>
      </c>
    </row>
    <row r="39" spans="1:8" x14ac:dyDescent="0.35">
      <c r="A39" s="81" t="s">
        <v>14</v>
      </c>
      <c r="B39" s="83">
        <v>57.6</v>
      </c>
      <c r="D39" s="81" t="s">
        <v>92</v>
      </c>
      <c r="E39" s="83">
        <v>20.3</v>
      </c>
      <c r="G39" s="81" t="s">
        <v>68</v>
      </c>
      <c r="H39" s="83">
        <v>22.4</v>
      </c>
    </row>
    <row r="40" spans="1:8" x14ac:dyDescent="0.35">
      <c r="A40" s="81" t="s">
        <v>133</v>
      </c>
      <c r="B40" s="83">
        <v>20.399999999999999</v>
      </c>
      <c r="D40" s="81" t="s">
        <v>93</v>
      </c>
      <c r="E40" s="83">
        <v>9</v>
      </c>
      <c r="G40" s="81" t="s">
        <v>69</v>
      </c>
      <c r="H40" s="83">
        <v>22.3</v>
      </c>
    </row>
    <row r="41" spans="1:8" x14ac:dyDescent="0.35">
      <c r="A41" s="81" t="s">
        <v>134</v>
      </c>
      <c r="B41" s="83">
        <v>9</v>
      </c>
      <c r="D41" s="81" t="s">
        <v>102</v>
      </c>
      <c r="E41" s="83">
        <v>9.6</v>
      </c>
      <c r="G41" s="81" t="s">
        <v>75</v>
      </c>
      <c r="H41" s="83">
        <v>11.2</v>
      </c>
    </row>
    <row r="42" spans="1:8" x14ac:dyDescent="0.35">
      <c r="A42" s="81" t="s">
        <v>135</v>
      </c>
      <c r="B42" s="83">
        <v>20.3</v>
      </c>
      <c r="D42" s="81" t="s">
        <v>103</v>
      </c>
      <c r="E42" s="83">
        <v>14.1</v>
      </c>
      <c r="G42" s="81" t="s">
        <v>76</v>
      </c>
      <c r="H42" s="83">
        <v>10.6</v>
      </c>
    </row>
    <row r="43" spans="1:8" x14ac:dyDescent="0.35">
      <c r="A43" s="81" t="s">
        <v>136</v>
      </c>
      <c r="B43" s="83">
        <v>7.9</v>
      </c>
      <c r="D43" s="81" t="s">
        <v>104</v>
      </c>
      <c r="E43" s="83">
        <v>12.8</v>
      </c>
      <c r="G43" s="81" t="s">
        <v>79</v>
      </c>
      <c r="H43" s="83">
        <v>22.7</v>
      </c>
    </row>
    <row r="44" spans="1:8" x14ac:dyDescent="0.35">
      <c r="A44" s="81" t="s">
        <v>143</v>
      </c>
      <c r="B44" s="83">
        <v>22.1</v>
      </c>
      <c r="D44" s="81" t="s">
        <v>97</v>
      </c>
      <c r="E44" s="83">
        <v>24.3</v>
      </c>
      <c r="G44" s="81" t="s">
        <v>80</v>
      </c>
      <c r="H44" s="83">
        <v>22.6</v>
      </c>
    </row>
    <row r="45" spans="1:8" x14ac:dyDescent="0.35">
      <c r="A45" s="81" t="s">
        <v>144</v>
      </c>
      <c r="B45" s="83">
        <v>11.2</v>
      </c>
      <c r="D45" s="81" t="s">
        <v>98</v>
      </c>
      <c r="E45" s="83">
        <v>14.8</v>
      </c>
      <c r="G45" s="81" t="s">
        <v>205</v>
      </c>
      <c r="H45" s="83">
        <f>SUM(H35:H44)</f>
        <v>151.89999999999998</v>
      </c>
    </row>
    <row r="46" spans="1:8" x14ac:dyDescent="0.35">
      <c r="A46" s="81" t="s">
        <v>16</v>
      </c>
      <c r="B46" s="83">
        <v>50.5</v>
      </c>
      <c r="D46" s="81" t="s">
        <v>99</v>
      </c>
      <c r="E46" s="83">
        <v>12.4</v>
      </c>
    </row>
    <row r="47" spans="1:8" x14ac:dyDescent="0.35">
      <c r="A47" s="81" t="s">
        <v>149</v>
      </c>
      <c r="B47" s="83">
        <v>16.2</v>
      </c>
      <c r="D47" s="81" t="s">
        <v>100</v>
      </c>
      <c r="E47" s="83">
        <v>24.8</v>
      </c>
    </row>
    <row r="48" spans="1:8" x14ac:dyDescent="0.35">
      <c r="A48" s="81" t="s">
        <v>145</v>
      </c>
      <c r="B48" s="83">
        <v>9.8000000000000007</v>
      </c>
      <c r="D48" s="81" t="s">
        <v>94</v>
      </c>
      <c r="E48" s="83">
        <v>12.9</v>
      </c>
    </row>
    <row r="49" spans="1:5" x14ac:dyDescent="0.35">
      <c r="A49" s="81" t="s">
        <v>146</v>
      </c>
      <c r="B49" s="83">
        <v>22.7</v>
      </c>
      <c r="D49" s="81" t="s">
        <v>95</v>
      </c>
      <c r="E49" s="83">
        <v>13.8</v>
      </c>
    </row>
    <row r="50" spans="1:5" x14ac:dyDescent="0.35">
      <c r="A50" s="81" t="s">
        <v>148</v>
      </c>
      <c r="B50" s="83">
        <v>22.6</v>
      </c>
      <c r="D50" s="81" t="s">
        <v>96</v>
      </c>
      <c r="E50" s="83">
        <v>25.5</v>
      </c>
    </row>
    <row r="51" spans="1:5" x14ac:dyDescent="0.35">
      <c r="A51" s="81" t="s">
        <v>205</v>
      </c>
      <c r="B51" s="83">
        <f>SUM(B35:B50)</f>
        <v>310.7</v>
      </c>
      <c r="D51" s="81" t="s">
        <v>223</v>
      </c>
      <c r="E51" s="83">
        <v>34.299999999999997</v>
      </c>
    </row>
    <row r="52" spans="1:5" x14ac:dyDescent="0.35">
      <c r="D52" s="81" t="s">
        <v>109</v>
      </c>
      <c r="E52" s="83">
        <v>11.2</v>
      </c>
    </row>
    <row r="53" spans="1:5" x14ac:dyDescent="0.35">
      <c r="D53" s="81" t="s">
        <v>112</v>
      </c>
      <c r="E53" s="83">
        <v>22.7</v>
      </c>
    </row>
    <row r="54" spans="1:5" x14ac:dyDescent="0.35">
      <c r="D54" s="81" t="s">
        <v>116</v>
      </c>
      <c r="E54" s="83">
        <v>22.6</v>
      </c>
    </row>
    <row r="55" spans="1:5" x14ac:dyDescent="0.35">
      <c r="D55" s="81" t="s">
        <v>205</v>
      </c>
      <c r="E55" s="83">
        <f>SUM(E35:E54)</f>
        <v>336.90000000000003</v>
      </c>
    </row>
  </sheetData>
  <mergeCells count="5"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70" zoomScaleNormal="70" workbookViewId="0">
      <selection activeCell="A4" sqref="A4:H2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8.88671875" style="48"/>
    <col min="4" max="4" width="8.88671875" style="80"/>
    <col min="5" max="5" width="13" style="48" bestFit="1" customWidth="1"/>
    <col min="6" max="6" width="25.5546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84" t="s">
        <v>213</v>
      </c>
    </row>
    <row r="2" spans="1:8" ht="75.599999999999994" customHeight="1" x14ac:dyDescent="0.35">
      <c r="A2" s="79">
        <v>1</v>
      </c>
      <c r="B2" s="112" t="s">
        <v>242</v>
      </c>
      <c r="C2" s="112"/>
      <c r="D2" s="112"/>
      <c r="E2" s="113" t="s">
        <v>261</v>
      </c>
      <c r="F2" s="113"/>
      <c r="G2" s="82" t="s">
        <v>6</v>
      </c>
      <c r="H2" s="90">
        <f>B21+E24+H14</f>
        <v>633.34824630000003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5"/>
      <c r="G4" s="81" t="s">
        <v>228</v>
      </c>
      <c r="H4" s="77" t="s">
        <v>226</v>
      </c>
    </row>
    <row r="5" spans="1:8" x14ac:dyDescent="0.35">
      <c r="A5" s="81" t="s">
        <v>120</v>
      </c>
      <c r="B5" s="83">
        <v>7.7430000000000003</v>
      </c>
      <c r="C5" s="115"/>
      <c r="D5" s="81" t="s">
        <v>86</v>
      </c>
      <c r="E5" s="83">
        <v>8.4390000000000001</v>
      </c>
      <c r="F5" s="115"/>
      <c r="G5" s="81" t="s">
        <v>62</v>
      </c>
      <c r="H5" s="83">
        <v>6.3874790999999993</v>
      </c>
    </row>
    <row r="6" spans="1:8" x14ac:dyDescent="0.35">
      <c r="A6" s="81" t="s">
        <v>121</v>
      </c>
      <c r="B6" s="83">
        <v>8.6129999999999995</v>
      </c>
      <c r="C6" s="115"/>
      <c r="D6" s="81" t="s">
        <v>88</v>
      </c>
      <c r="E6" s="83">
        <v>10.353</v>
      </c>
      <c r="F6" s="115"/>
      <c r="G6" s="81" t="s">
        <v>64</v>
      </c>
      <c r="H6" s="83">
        <v>7.8361856999999988</v>
      </c>
    </row>
    <row r="7" spans="1:8" x14ac:dyDescent="0.35">
      <c r="A7" s="81" t="s">
        <v>129</v>
      </c>
      <c r="B7" s="83">
        <v>8.5259999999999998</v>
      </c>
      <c r="C7" s="115"/>
      <c r="D7" s="81" t="s">
        <v>91</v>
      </c>
      <c r="E7" s="83">
        <v>17.747999999999998</v>
      </c>
      <c r="F7" s="115"/>
      <c r="G7" s="81" t="s">
        <v>65</v>
      </c>
      <c r="H7" s="83">
        <v>13.433461199999998</v>
      </c>
    </row>
    <row r="8" spans="1:8" x14ac:dyDescent="0.35">
      <c r="A8" s="81" t="s">
        <v>131</v>
      </c>
      <c r="B8" s="83">
        <v>10.266</v>
      </c>
      <c r="C8" s="115"/>
      <c r="D8" s="81" t="s">
        <v>92</v>
      </c>
      <c r="E8" s="83">
        <v>17.661000000000001</v>
      </c>
      <c r="F8" s="115"/>
      <c r="G8" s="81" t="s">
        <v>67</v>
      </c>
      <c r="H8" s="83">
        <v>13.367610900000001</v>
      </c>
    </row>
    <row r="9" spans="1:8" x14ac:dyDescent="0.35">
      <c r="A9" s="81" t="s">
        <v>14</v>
      </c>
      <c r="B9" s="83">
        <v>50.112000000000002</v>
      </c>
      <c r="C9" s="115"/>
      <c r="D9" s="81" t="s">
        <v>93</v>
      </c>
      <c r="E9" s="83">
        <v>7.83</v>
      </c>
      <c r="F9" s="115"/>
      <c r="G9" s="81" t="s">
        <v>68</v>
      </c>
      <c r="H9" s="83">
        <v>5.9265270000000001</v>
      </c>
    </row>
    <row r="10" spans="1:8" x14ac:dyDescent="0.35">
      <c r="A10" s="81" t="s">
        <v>133</v>
      </c>
      <c r="B10" s="83">
        <v>17.747999999999998</v>
      </c>
      <c r="C10" s="115"/>
      <c r="D10" s="81" t="s">
        <v>102</v>
      </c>
      <c r="E10" s="83">
        <v>8.3520000000000003</v>
      </c>
      <c r="F10" s="115"/>
      <c r="G10" s="81" t="s">
        <v>69</v>
      </c>
      <c r="H10" s="83">
        <v>6.3216288</v>
      </c>
    </row>
    <row r="11" spans="1:8" x14ac:dyDescent="0.35">
      <c r="A11" s="81" t="s">
        <v>134</v>
      </c>
      <c r="B11" s="83">
        <v>7.83</v>
      </c>
      <c r="C11" s="115"/>
      <c r="D11" s="81" t="s">
        <v>103</v>
      </c>
      <c r="E11" s="83">
        <v>12.266999999999999</v>
      </c>
      <c r="F11" s="115"/>
      <c r="G11" s="81" t="s">
        <v>75</v>
      </c>
      <c r="H11" s="83">
        <v>9.284892300000001</v>
      </c>
    </row>
    <row r="12" spans="1:8" x14ac:dyDescent="0.35">
      <c r="A12" s="81" t="s">
        <v>135</v>
      </c>
      <c r="B12" s="83">
        <v>17.661000000000001</v>
      </c>
      <c r="C12" s="115"/>
      <c r="D12" s="81" t="s">
        <v>104</v>
      </c>
      <c r="E12" s="83">
        <v>11.136000000000001</v>
      </c>
      <c r="F12" s="115"/>
      <c r="G12" s="81" t="s">
        <v>79</v>
      </c>
      <c r="H12" s="83">
        <v>8.4288384000000001</v>
      </c>
    </row>
    <row r="13" spans="1:8" x14ac:dyDescent="0.35">
      <c r="A13" s="81" t="s">
        <v>136</v>
      </c>
      <c r="B13" s="83">
        <v>6.8730000000000002</v>
      </c>
      <c r="C13" s="115"/>
      <c r="D13" s="81" t="s">
        <v>97</v>
      </c>
      <c r="E13" s="83">
        <v>21.141000000000002</v>
      </c>
      <c r="F13" s="115"/>
      <c r="G13" s="81" t="s">
        <v>80</v>
      </c>
      <c r="H13" s="83">
        <v>16.001622900000001</v>
      </c>
    </row>
    <row r="14" spans="1:8" x14ac:dyDescent="0.35">
      <c r="A14" s="81" t="s">
        <v>143</v>
      </c>
      <c r="B14" s="83">
        <v>19.227</v>
      </c>
      <c r="C14" s="115"/>
      <c r="D14" s="81" t="s">
        <v>98</v>
      </c>
      <c r="E14" s="83">
        <v>12.876000000000001</v>
      </c>
      <c r="F14" s="115"/>
      <c r="G14" s="81" t="s">
        <v>205</v>
      </c>
      <c r="H14" s="83">
        <f>SUM(H5:H13)</f>
        <v>86.9882463</v>
      </c>
    </row>
    <row r="15" spans="1:8" x14ac:dyDescent="0.35">
      <c r="A15" s="81" t="s">
        <v>144</v>
      </c>
      <c r="B15" s="83">
        <v>9.7439999999999998</v>
      </c>
      <c r="C15" s="115"/>
      <c r="D15" s="81" t="s">
        <v>99</v>
      </c>
      <c r="E15" s="83">
        <v>10.788</v>
      </c>
      <c r="F15" s="115"/>
      <c r="G15" s="114"/>
      <c r="H15" s="114"/>
    </row>
    <row r="16" spans="1:8" x14ac:dyDescent="0.35">
      <c r="A16" s="81" t="s">
        <v>16</v>
      </c>
      <c r="B16" s="83">
        <v>43.935000000000002</v>
      </c>
      <c r="C16" s="115"/>
      <c r="D16" s="81" t="s">
        <v>100</v>
      </c>
      <c r="E16" s="83">
        <v>21.576000000000001</v>
      </c>
      <c r="F16" s="115"/>
      <c r="G16" s="117"/>
      <c r="H16" s="117"/>
    </row>
    <row r="17" spans="1:8" x14ac:dyDescent="0.35">
      <c r="A17" s="81" t="s">
        <v>149</v>
      </c>
      <c r="B17" s="83">
        <v>14.093999999999999</v>
      </c>
      <c r="C17" s="115"/>
      <c r="D17" s="81" t="s">
        <v>94</v>
      </c>
      <c r="E17" s="83">
        <v>11.223000000000001</v>
      </c>
      <c r="F17" s="115"/>
      <c r="G17" s="117"/>
      <c r="H17" s="117"/>
    </row>
    <row r="18" spans="1:8" x14ac:dyDescent="0.35">
      <c r="A18" s="81" t="s">
        <v>145</v>
      </c>
      <c r="B18" s="83">
        <v>8.5259999999999998</v>
      </c>
      <c r="C18" s="115"/>
      <c r="D18" s="81" t="s">
        <v>95</v>
      </c>
      <c r="E18" s="83">
        <v>12.006</v>
      </c>
      <c r="F18" s="115"/>
      <c r="G18" s="117"/>
      <c r="H18" s="117"/>
    </row>
    <row r="19" spans="1:8" x14ac:dyDescent="0.35">
      <c r="A19" s="81" t="s">
        <v>146</v>
      </c>
      <c r="B19" s="83">
        <v>19.748999999999999</v>
      </c>
      <c r="C19" s="115"/>
      <c r="D19" s="81" t="s">
        <v>96</v>
      </c>
      <c r="E19" s="83">
        <v>22.184999999999999</v>
      </c>
      <c r="F19" s="115"/>
      <c r="G19" s="117"/>
      <c r="H19" s="117"/>
    </row>
    <row r="20" spans="1:8" x14ac:dyDescent="0.35">
      <c r="A20" s="81" t="s">
        <v>148</v>
      </c>
      <c r="B20" s="83">
        <v>19.662000000000003</v>
      </c>
      <c r="C20" s="115"/>
      <c r="D20" s="81" t="s">
        <v>223</v>
      </c>
      <c r="E20" s="83">
        <v>21.314999999999998</v>
      </c>
      <c r="F20" s="115"/>
      <c r="G20" s="117"/>
      <c r="H20" s="117"/>
    </row>
    <row r="21" spans="1:8" x14ac:dyDescent="0.35">
      <c r="A21" s="81" t="s">
        <v>205</v>
      </c>
      <c r="B21" s="83">
        <f>SUM(B5:B20)</f>
        <v>270.30900000000003</v>
      </c>
      <c r="C21" s="115"/>
      <c r="D21" s="81" t="s">
        <v>109</v>
      </c>
      <c r="E21" s="83">
        <v>9.7439999999999998</v>
      </c>
      <c r="F21" s="115"/>
      <c r="G21" s="117"/>
      <c r="H21" s="117"/>
    </row>
    <row r="22" spans="1:8" x14ac:dyDescent="0.35">
      <c r="A22" s="117"/>
      <c r="B22" s="117"/>
      <c r="C22" s="116"/>
      <c r="D22" s="81" t="s">
        <v>112</v>
      </c>
      <c r="E22" s="83">
        <v>19.748999999999999</v>
      </c>
      <c r="F22" s="115"/>
      <c r="G22" s="117"/>
      <c r="H22" s="117"/>
    </row>
    <row r="23" spans="1:8" x14ac:dyDescent="0.35">
      <c r="A23" s="117"/>
      <c r="B23" s="117"/>
      <c r="C23" s="116"/>
      <c r="D23" s="81" t="s">
        <v>116</v>
      </c>
      <c r="E23" s="83">
        <v>19.662000000000003</v>
      </c>
      <c r="F23" s="115"/>
      <c r="G23" s="117"/>
      <c r="H23" s="117"/>
    </row>
    <row r="24" spans="1:8" x14ac:dyDescent="0.35">
      <c r="A24" s="117"/>
      <c r="B24" s="117"/>
      <c r="C24" s="116"/>
      <c r="D24" s="81" t="s">
        <v>205</v>
      </c>
      <c r="E24" s="83">
        <f>SUM(E5:E23)</f>
        <v>276.05099999999999</v>
      </c>
      <c r="F24" s="115"/>
      <c r="G24" s="117"/>
      <c r="H24" s="117"/>
    </row>
  </sheetData>
  <mergeCells count="9">
    <mergeCell ref="C4:C24"/>
    <mergeCell ref="F4:F24"/>
    <mergeCell ref="G15:H24"/>
    <mergeCell ref="A22:B24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55" zoomScaleNormal="55" workbookViewId="0">
      <selection activeCell="A5" sqref="A5:H25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1.77734375" style="48" customWidth="1"/>
    <col min="4" max="4" width="8.88671875" style="80"/>
    <col min="5" max="5" width="13" style="48" bestFit="1" customWidth="1"/>
    <col min="6" max="6" width="41.88671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84" t="s">
        <v>213</v>
      </c>
    </row>
    <row r="2" spans="1:8" ht="87" customHeight="1" x14ac:dyDescent="0.35">
      <c r="A2" s="79">
        <v>1</v>
      </c>
      <c r="B2" s="112" t="s">
        <v>229</v>
      </c>
      <c r="C2" s="112"/>
      <c r="D2" s="112"/>
      <c r="E2" s="113" t="s">
        <v>259</v>
      </c>
      <c r="F2" s="113"/>
      <c r="G2" s="82" t="s">
        <v>6</v>
      </c>
      <c r="H2" s="90">
        <f>B22+E25+H15</f>
        <v>633.34824630000003</v>
      </c>
    </row>
    <row r="3" spans="1:8" ht="87" customHeight="1" x14ac:dyDescent="0.35">
      <c r="A3" s="79" t="s">
        <v>166</v>
      </c>
      <c r="B3" s="112" t="s">
        <v>229</v>
      </c>
      <c r="C3" s="112"/>
      <c r="D3" s="112"/>
      <c r="E3" s="113" t="s">
        <v>260</v>
      </c>
      <c r="F3" s="113"/>
      <c r="G3" s="82" t="s">
        <v>6</v>
      </c>
      <c r="H3" s="90">
        <f>H2</f>
        <v>633.34824630000003</v>
      </c>
    </row>
    <row r="4" spans="1:8" x14ac:dyDescent="0.35">
      <c r="A4" s="114"/>
      <c r="B4" s="114"/>
      <c r="C4" s="114"/>
      <c r="D4" s="114"/>
      <c r="E4" s="114"/>
      <c r="F4" s="114"/>
      <c r="G4" s="114"/>
      <c r="H4" s="114"/>
    </row>
    <row r="5" spans="1:8" x14ac:dyDescent="0.35">
      <c r="A5" s="81" t="s">
        <v>228</v>
      </c>
      <c r="B5" s="77" t="s">
        <v>226</v>
      </c>
      <c r="C5" s="115"/>
      <c r="D5" s="81" t="s">
        <v>228</v>
      </c>
      <c r="E5" s="77" t="s">
        <v>226</v>
      </c>
      <c r="F5" s="115"/>
      <c r="G5" s="81" t="s">
        <v>228</v>
      </c>
      <c r="H5" s="77" t="s">
        <v>226</v>
      </c>
    </row>
    <row r="6" spans="1:8" x14ac:dyDescent="0.35">
      <c r="A6" s="81" t="s">
        <v>120</v>
      </c>
      <c r="B6" s="83">
        <v>7.7430000000000003</v>
      </c>
      <c r="C6" s="115"/>
      <c r="D6" s="81" t="s">
        <v>86</v>
      </c>
      <c r="E6" s="83">
        <v>8.4390000000000001</v>
      </c>
      <c r="F6" s="115"/>
      <c r="G6" s="81" t="s">
        <v>62</v>
      </c>
      <c r="H6" s="83">
        <v>6.3874790999999993</v>
      </c>
    </row>
    <row r="7" spans="1:8" x14ac:dyDescent="0.35">
      <c r="A7" s="81" t="s">
        <v>121</v>
      </c>
      <c r="B7" s="83">
        <v>8.6129999999999995</v>
      </c>
      <c r="C7" s="115"/>
      <c r="D7" s="81" t="s">
        <v>88</v>
      </c>
      <c r="E7" s="83">
        <v>10.353</v>
      </c>
      <c r="F7" s="115"/>
      <c r="G7" s="81" t="s">
        <v>64</v>
      </c>
      <c r="H7" s="83">
        <v>7.8361856999999988</v>
      </c>
    </row>
    <row r="8" spans="1:8" x14ac:dyDescent="0.35">
      <c r="A8" s="81" t="s">
        <v>129</v>
      </c>
      <c r="B8" s="83">
        <v>8.5259999999999998</v>
      </c>
      <c r="C8" s="115"/>
      <c r="D8" s="81" t="s">
        <v>91</v>
      </c>
      <c r="E8" s="83">
        <v>17.747999999999998</v>
      </c>
      <c r="F8" s="115"/>
      <c r="G8" s="81" t="s">
        <v>65</v>
      </c>
      <c r="H8" s="83">
        <v>13.433461199999998</v>
      </c>
    </row>
    <row r="9" spans="1:8" x14ac:dyDescent="0.35">
      <c r="A9" s="81" t="s">
        <v>131</v>
      </c>
      <c r="B9" s="83">
        <v>10.266</v>
      </c>
      <c r="C9" s="115"/>
      <c r="D9" s="81" t="s">
        <v>92</v>
      </c>
      <c r="E9" s="83">
        <v>17.661000000000001</v>
      </c>
      <c r="F9" s="115"/>
      <c r="G9" s="81" t="s">
        <v>67</v>
      </c>
      <c r="H9" s="83">
        <v>13.367610900000001</v>
      </c>
    </row>
    <row r="10" spans="1:8" x14ac:dyDescent="0.35">
      <c r="A10" s="81" t="s">
        <v>14</v>
      </c>
      <c r="B10" s="83">
        <v>50.112000000000002</v>
      </c>
      <c r="C10" s="115"/>
      <c r="D10" s="81" t="s">
        <v>93</v>
      </c>
      <c r="E10" s="83">
        <v>7.83</v>
      </c>
      <c r="F10" s="115"/>
      <c r="G10" s="81" t="s">
        <v>68</v>
      </c>
      <c r="H10" s="83">
        <v>5.9265270000000001</v>
      </c>
    </row>
    <row r="11" spans="1:8" x14ac:dyDescent="0.35">
      <c r="A11" s="81" t="s">
        <v>133</v>
      </c>
      <c r="B11" s="83">
        <v>17.747999999999998</v>
      </c>
      <c r="C11" s="115"/>
      <c r="D11" s="81" t="s">
        <v>102</v>
      </c>
      <c r="E11" s="83">
        <v>8.3520000000000003</v>
      </c>
      <c r="F11" s="115"/>
      <c r="G11" s="81" t="s">
        <v>69</v>
      </c>
      <c r="H11" s="83">
        <v>6.3216288</v>
      </c>
    </row>
    <row r="12" spans="1:8" x14ac:dyDescent="0.35">
      <c r="A12" s="81" t="s">
        <v>134</v>
      </c>
      <c r="B12" s="83">
        <v>7.83</v>
      </c>
      <c r="C12" s="115"/>
      <c r="D12" s="81" t="s">
        <v>103</v>
      </c>
      <c r="E12" s="83">
        <v>12.266999999999999</v>
      </c>
      <c r="F12" s="115"/>
      <c r="G12" s="81" t="s">
        <v>75</v>
      </c>
      <c r="H12" s="83">
        <v>9.284892300000001</v>
      </c>
    </row>
    <row r="13" spans="1:8" x14ac:dyDescent="0.35">
      <c r="A13" s="81" t="s">
        <v>135</v>
      </c>
      <c r="B13" s="83">
        <v>17.661000000000001</v>
      </c>
      <c r="C13" s="115"/>
      <c r="D13" s="81" t="s">
        <v>104</v>
      </c>
      <c r="E13" s="83">
        <v>11.136000000000001</v>
      </c>
      <c r="F13" s="115"/>
      <c r="G13" s="81" t="s">
        <v>79</v>
      </c>
      <c r="H13" s="83">
        <v>8.4288384000000001</v>
      </c>
    </row>
    <row r="14" spans="1:8" x14ac:dyDescent="0.35">
      <c r="A14" s="81" t="s">
        <v>136</v>
      </c>
      <c r="B14" s="83">
        <v>6.8730000000000002</v>
      </c>
      <c r="C14" s="115"/>
      <c r="D14" s="81" t="s">
        <v>97</v>
      </c>
      <c r="E14" s="83">
        <v>21.141000000000002</v>
      </c>
      <c r="F14" s="115"/>
      <c r="G14" s="81" t="s">
        <v>80</v>
      </c>
      <c r="H14" s="83">
        <v>16.001622900000001</v>
      </c>
    </row>
    <row r="15" spans="1:8" x14ac:dyDescent="0.35">
      <c r="A15" s="81" t="s">
        <v>143</v>
      </c>
      <c r="B15" s="83">
        <v>19.227</v>
      </c>
      <c r="C15" s="115"/>
      <c r="D15" s="81" t="s">
        <v>98</v>
      </c>
      <c r="E15" s="83">
        <v>12.876000000000001</v>
      </c>
      <c r="F15" s="115"/>
      <c r="G15" s="81" t="s">
        <v>205</v>
      </c>
      <c r="H15" s="83">
        <f>SUM(H6:H14)</f>
        <v>86.9882463</v>
      </c>
    </row>
    <row r="16" spans="1:8" x14ac:dyDescent="0.35">
      <c r="A16" s="81" t="s">
        <v>144</v>
      </c>
      <c r="B16" s="83">
        <v>9.7439999999999998</v>
      </c>
      <c r="C16" s="115"/>
      <c r="D16" s="81" t="s">
        <v>99</v>
      </c>
      <c r="E16" s="83">
        <v>10.788</v>
      </c>
      <c r="F16" s="115"/>
      <c r="G16" s="114"/>
      <c r="H16" s="114"/>
    </row>
    <row r="17" spans="1:8" x14ac:dyDescent="0.35">
      <c r="A17" s="81" t="s">
        <v>16</v>
      </c>
      <c r="B17" s="83">
        <v>43.935000000000002</v>
      </c>
      <c r="C17" s="115"/>
      <c r="D17" s="81" t="s">
        <v>100</v>
      </c>
      <c r="E17" s="83">
        <v>21.576000000000001</v>
      </c>
      <c r="F17" s="115"/>
      <c r="G17" s="117"/>
      <c r="H17" s="117"/>
    </row>
    <row r="18" spans="1:8" x14ac:dyDescent="0.35">
      <c r="A18" s="81" t="s">
        <v>149</v>
      </c>
      <c r="B18" s="83">
        <v>14.093999999999999</v>
      </c>
      <c r="C18" s="115"/>
      <c r="D18" s="81" t="s">
        <v>94</v>
      </c>
      <c r="E18" s="83">
        <v>11.223000000000001</v>
      </c>
      <c r="F18" s="115"/>
      <c r="G18" s="117"/>
      <c r="H18" s="117"/>
    </row>
    <row r="19" spans="1:8" x14ac:dyDescent="0.35">
      <c r="A19" s="81" t="s">
        <v>145</v>
      </c>
      <c r="B19" s="83">
        <v>8.5259999999999998</v>
      </c>
      <c r="C19" s="115"/>
      <c r="D19" s="81" t="s">
        <v>95</v>
      </c>
      <c r="E19" s="83">
        <v>12.006</v>
      </c>
      <c r="F19" s="115"/>
      <c r="G19" s="117"/>
      <c r="H19" s="117"/>
    </row>
    <row r="20" spans="1:8" x14ac:dyDescent="0.35">
      <c r="A20" s="81" t="s">
        <v>146</v>
      </c>
      <c r="B20" s="83">
        <v>19.748999999999999</v>
      </c>
      <c r="C20" s="115"/>
      <c r="D20" s="81" t="s">
        <v>96</v>
      </c>
      <c r="E20" s="83">
        <v>22.184999999999999</v>
      </c>
      <c r="F20" s="115"/>
      <c r="G20" s="117"/>
      <c r="H20" s="117"/>
    </row>
    <row r="21" spans="1:8" x14ac:dyDescent="0.35">
      <c r="A21" s="81" t="s">
        <v>148</v>
      </c>
      <c r="B21" s="83">
        <v>19.662000000000003</v>
      </c>
      <c r="C21" s="115"/>
      <c r="D21" s="81" t="s">
        <v>223</v>
      </c>
      <c r="E21" s="83">
        <v>21.314999999999998</v>
      </c>
      <c r="F21" s="115"/>
      <c r="G21" s="117"/>
      <c r="H21" s="117"/>
    </row>
    <row r="22" spans="1:8" x14ac:dyDescent="0.35">
      <c r="A22" s="81" t="s">
        <v>205</v>
      </c>
      <c r="B22" s="83">
        <f>SUM(B6:B21)</f>
        <v>270.30900000000003</v>
      </c>
      <c r="C22" s="115"/>
      <c r="D22" s="81" t="s">
        <v>109</v>
      </c>
      <c r="E22" s="83">
        <v>9.7439999999999998</v>
      </c>
      <c r="F22" s="115"/>
      <c r="G22" s="117"/>
      <c r="H22" s="117"/>
    </row>
    <row r="23" spans="1:8" x14ac:dyDescent="0.35">
      <c r="A23" s="117"/>
      <c r="B23" s="117"/>
      <c r="C23" s="116"/>
      <c r="D23" s="81" t="s">
        <v>112</v>
      </c>
      <c r="E23" s="83">
        <v>19.748999999999999</v>
      </c>
      <c r="F23" s="115"/>
      <c r="G23" s="117"/>
      <c r="H23" s="117"/>
    </row>
    <row r="24" spans="1:8" x14ac:dyDescent="0.35">
      <c r="A24" s="117"/>
      <c r="B24" s="117"/>
      <c r="C24" s="116"/>
      <c r="D24" s="81" t="s">
        <v>116</v>
      </c>
      <c r="E24" s="83">
        <v>19.662000000000003</v>
      </c>
      <c r="F24" s="115"/>
      <c r="G24" s="117"/>
      <c r="H24" s="117"/>
    </row>
    <row r="25" spans="1:8" x14ac:dyDescent="0.35">
      <c r="A25" s="117"/>
      <c r="B25" s="117"/>
      <c r="C25" s="116"/>
      <c r="D25" s="81" t="s">
        <v>205</v>
      </c>
      <c r="E25" s="83">
        <f>SUM(E6:E24)</f>
        <v>276.05099999999999</v>
      </c>
      <c r="F25" s="115"/>
      <c r="G25" s="117"/>
      <c r="H25" s="117"/>
    </row>
  </sheetData>
  <mergeCells count="11">
    <mergeCell ref="B1:D1"/>
    <mergeCell ref="E1:F1"/>
    <mergeCell ref="B2:D2"/>
    <mergeCell ref="E2:F2"/>
    <mergeCell ref="B3:D3"/>
    <mergeCell ref="E3:F3"/>
    <mergeCell ref="C5:C25"/>
    <mergeCell ref="F5:F25"/>
    <mergeCell ref="G16:H25"/>
    <mergeCell ref="A23:B25"/>
    <mergeCell ref="A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85" zoomScaleNormal="85" workbookViewId="0">
      <selection activeCell="F4" sqref="F4:F2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6.88671875" style="48" customWidth="1"/>
    <col min="4" max="4" width="8.88671875" style="80"/>
    <col min="5" max="5" width="13" style="48" bestFit="1" customWidth="1"/>
    <col min="6" max="6" width="27.332031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84" t="s">
        <v>213</v>
      </c>
    </row>
    <row r="2" spans="1:8" ht="100.2" customHeight="1" x14ac:dyDescent="0.35">
      <c r="A2" s="79">
        <v>1</v>
      </c>
      <c r="B2" s="112" t="s">
        <v>230</v>
      </c>
      <c r="C2" s="112"/>
      <c r="D2" s="112"/>
      <c r="E2" s="113" t="s">
        <v>262</v>
      </c>
      <c r="F2" s="113"/>
      <c r="G2" s="82" t="s">
        <v>6</v>
      </c>
      <c r="H2" s="90">
        <f>B21+E24+H14</f>
        <v>633.34824630000003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5"/>
      <c r="G4" s="81" t="s">
        <v>228</v>
      </c>
      <c r="H4" s="77" t="s">
        <v>226</v>
      </c>
    </row>
    <row r="5" spans="1:8" x14ac:dyDescent="0.35">
      <c r="A5" s="81" t="s">
        <v>120</v>
      </c>
      <c r="B5" s="83">
        <v>7.7430000000000003</v>
      </c>
      <c r="C5" s="115"/>
      <c r="D5" s="81" t="s">
        <v>86</v>
      </c>
      <c r="E5" s="83">
        <v>8.4390000000000001</v>
      </c>
      <c r="F5" s="115"/>
      <c r="G5" s="81" t="s">
        <v>62</v>
      </c>
      <c r="H5" s="83">
        <v>6.3874790999999993</v>
      </c>
    </row>
    <row r="6" spans="1:8" x14ac:dyDescent="0.35">
      <c r="A6" s="81" t="s">
        <v>121</v>
      </c>
      <c r="B6" s="83">
        <v>8.6129999999999995</v>
      </c>
      <c r="C6" s="115"/>
      <c r="D6" s="81" t="s">
        <v>88</v>
      </c>
      <c r="E6" s="83">
        <v>10.353</v>
      </c>
      <c r="F6" s="115"/>
      <c r="G6" s="81" t="s">
        <v>64</v>
      </c>
      <c r="H6" s="83">
        <v>7.8361856999999988</v>
      </c>
    </row>
    <row r="7" spans="1:8" x14ac:dyDescent="0.35">
      <c r="A7" s="81" t="s">
        <v>129</v>
      </c>
      <c r="B7" s="83">
        <v>8.5259999999999998</v>
      </c>
      <c r="C7" s="115"/>
      <c r="D7" s="81" t="s">
        <v>91</v>
      </c>
      <c r="E7" s="83">
        <v>17.747999999999998</v>
      </c>
      <c r="F7" s="115"/>
      <c r="G7" s="81" t="s">
        <v>65</v>
      </c>
      <c r="H7" s="83">
        <v>13.433461199999998</v>
      </c>
    </row>
    <row r="8" spans="1:8" x14ac:dyDescent="0.35">
      <c r="A8" s="81" t="s">
        <v>131</v>
      </c>
      <c r="B8" s="83">
        <v>10.266</v>
      </c>
      <c r="C8" s="115"/>
      <c r="D8" s="81" t="s">
        <v>92</v>
      </c>
      <c r="E8" s="83">
        <v>17.661000000000001</v>
      </c>
      <c r="F8" s="115"/>
      <c r="G8" s="81" t="s">
        <v>67</v>
      </c>
      <c r="H8" s="83">
        <v>13.367610900000001</v>
      </c>
    </row>
    <row r="9" spans="1:8" x14ac:dyDescent="0.35">
      <c r="A9" s="81" t="s">
        <v>14</v>
      </c>
      <c r="B9" s="83">
        <v>50.112000000000002</v>
      </c>
      <c r="C9" s="115"/>
      <c r="D9" s="81" t="s">
        <v>93</v>
      </c>
      <c r="E9" s="83">
        <v>7.83</v>
      </c>
      <c r="F9" s="115"/>
      <c r="G9" s="81" t="s">
        <v>68</v>
      </c>
      <c r="H9" s="83">
        <v>5.9265270000000001</v>
      </c>
    </row>
    <row r="10" spans="1:8" x14ac:dyDescent="0.35">
      <c r="A10" s="81" t="s">
        <v>133</v>
      </c>
      <c r="B10" s="83">
        <v>17.747999999999998</v>
      </c>
      <c r="C10" s="115"/>
      <c r="D10" s="81" t="s">
        <v>102</v>
      </c>
      <c r="E10" s="83">
        <v>8.3520000000000003</v>
      </c>
      <c r="F10" s="115"/>
      <c r="G10" s="81" t="s">
        <v>69</v>
      </c>
      <c r="H10" s="83">
        <v>6.3216288</v>
      </c>
    </row>
    <row r="11" spans="1:8" x14ac:dyDescent="0.35">
      <c r="A11" s="81" t="s">
        <v>134</v>
      </c>
      <c r="B11" s="83">
        <v>7.83</v>
      </c>
      <c r="C11" s="115"/>
      <c r="D11" s="81" t="s">
        <v>103</v>
      </c>
      <c r="E11" s="83">
        <v>12.266999999999999</v>
      </c>
      <c r="F11" s="115"/>
      <c r="G11" s="81" t="s">
        <v>75</v>
      </c>
      <c r="H11" s="83">
        <v>9.284892300000001</v>
      </c>
    </row>
    <row r="12" spans="1:8" x14ac:dyDescent="0.35">
      <c r="A12" s="81" t="s">
        <v>135</v>
      </c>
      <c r="B12" s="83">
        <v>17.661000000000001</v>
      </c>
      <c r="C12" s="115"/>
      <c r="D12" s="81" t="s">
        <v>104</v>
      </c>
      <c r="E12" s="83">
        <v>11.136000000000001</v>
      </c>
      <c r="F12" s="115"/>
      <c r="G12" s="81" t="s">
        <v>79</v>
      </c>
      <c r="H12" s="83">
        <v>8.4288384000000001</v>
      </c>
    </row>
    <row r="13" spans="1:8" x14ac:dyDescent="0.35">
      <c r="A13" s="81" t="s">
        <v>136</v>
      </c>
      <c r="B13" s="83">
        <v>6.8730000000000002</v>
      </c>
      <c r="C13" s="115"/>
      <c r="D13" s="81" t="s">
        <v>97</v>
      </c>
      <c r="E13" s="83">
        <v>21.141000000000002</v>
      </c>
      <c r="F13" s="115"/>
      <c r="G13" s="81" t="s">
        <v>80</v>
      </c>
      <c r="H13" s="83">
        <v>16.001622900000001</v>
      </c>
    </row>
    <row r="14" spans="1:8" x14ac:dyDescent="0.35">
      <c r="A14" s="81" t="s">
        <v>143</v>
      </c>
      <c r="B14" s="83">
        <v>19.227</v>
      </c>
      <c r="C14" s="115"/>
      <c r="D14" s="81" t="s">
        <v>98</v>
      </c>
      <c r="E14" s="83">
        <v>12.876000000000001</v>
      </c>
      <c r="F14" s="115"/>
      <c r="G14" s="81" t="s">
        <v>205</v>
      </c>
      <c r="H14" s="83">
        <f>SUM(H5:H13)</f>
        <v>86.9882463</v>
      </c>
    </row>
    <row r="15" spans="1:8" x14ac:dyDescent="0.35">
      <c r="A15" s="81" t="s">
        <v>144</v>
      </c>
      <c r="B15" s="83">
        <v>9.7439999999999998</v>
      </c>
      <c r="C15" s="115"/>
      <c r="D15" s="81" t="s">
        <v>99</v>
      </c>
      <c r="E15" s="83">
        <v>10.788</v>
      </c>
      <c r="F15" s="115"/>
      <c r="G15" s="114"/>
      <c r="H15" s="114"/>
    </row>
    <row r="16" spans="1:8" x14ac:dyDescent="0.35">
      <c r="A16" s="81" t="s">
        <v>16</v>
      </c>
      <c r="B16" s="83">
        <v>43.935000000000002</v>
      </c>
      <c r="C16" s="115"/>
      <c r="D16" s="81" t="s">
        <v>100</v>
      </c>
      <c r="E16" s="83">
        <v>21.576000000000001</v>
      </c>
      <c r="F16" s="115"/>
      <c r="G16" s="117"/>
      <c r="H16" s="117"/>
    </row>
    <row r="17" spans="1:8" x14ac:dyDescent="0.35">
      <c r="A17" s="81" t="s">
        <v>149</v>
      </c>
      <c r="B17" s="83">
        <v>14.093999999999999</v>
      </c>
      <c r="C17" s="115"/>
      <c r="D17" s="81" t="s">
        <v>94</v>
      </c>
      <c r="E17" s="83">
        <v>11.223000000000001</v>
      </c>
      <c r="F17" s="115"/>
      <c r="G17" s="117"/>
      <c r="H17" s="117"/>
    </row>
    <row r="18" spans="1:8" x14ac:dyDescent="0.35">
      <c r="A18" s="81" t="s">
        <v>145</v>
      </c>
      <c r="B18" s="83">
        <v>8.5259999999999998</v>
      </c>
      <c r="C18" s="115"/>
      <c r="D18" s="81" t="s">
        <v>95</v>
      </c>
      <c r="E18" s="83">
        <v>12.006</v>
      </c>
      <c r="F18" s="115"/>
      <c r="G18" s="117"/>
      <c r="H18" s="117"/>
    </row>
    <row r="19" spans="1:8" x14ac:dyDescent="0.35">
      <c r="A19" s="81" t="s">
        <v>146</v>
      </c>
      <c r="B19" s="83">
        <v>19.748999999999999</v>
      </c>
      <c r="C19" s="115"/>
      <c r="D19" s="81" t="s">
        <v>96</v>
      </c>
      <c r="E19" s="83">
        <v>22.184999999999999</v>
      </c>
      <c r="F19" s="115"/>
      <c r="G19" s="117"/>
      <c r="H19" s="117"/>
    </row>
    <row r="20" spans="1:8" x14ac:dyDescent="0.35">
      <c r="A20" s="81" t="s">
        <v>148</v>
      </c>
      <c r="B20" s="83">
        <v>19.662000000000003</v>
      </c>
      <c r="C20" s="115"/>
      <c r="D20" s="81" t="s">
        <v>223</v>
      </c>
      <c r="E20" s="83">
        <v>21.314999999999998</v>
      </c>
      <c r="F20" s="115"/>
      <c r="G20" s="117"/>
      <c r="H20" s="117"/>
    </row>
    <row r="21" spans="1:8" x14ac:dyDescent="0.35">
      <c r="A21" s="81" t="s">
        <v>205</v>
      </c>
      <c r="B21" s="83">
        <f>SUM(B5:B20)</f>
        <v>270.30900000000003</v>
      </c>
      <c r="C21" s="115"/>
      <c r="D21" s="81" t="s">
        <v>109</v>
      </c>
      <c r="E21" s="83">
        <v>9.7439999999999998</v>
      </c>
      <c r="F21" s="115"/>
      <c r="G21" s="117"/>
      <c r="H21" s="117"/>
    </row>
    <row r="22" spans="1:8" x14ac:dyDescent="0.35">
      <c r="A22" s="117"/>
      <c r="B22" s="117"/>
      <c r="C22" s="116"/>
      <c r="D22" s="81" t="s">
        <v>112</v>
      </c>
      <c r="E22" s="83">
        <v>19.748999999999999</v>
      </c>
      <c r="F22" s="115"/>
      <c r="G22" s="117"/>
      <c r="H22" s="117"/>
    </row>
    <row r="23" spans="1:8" x14ac:dyDescent="0.35">
      <c r="A23" s="117"/>
      <c r="B23" s="117"/>
      <c r="C23" s="116"/>
      <c r="D23" s="81" t="s">
        <v>116</v>
      </c>
      <c r="E23" s="83">
        <v>19.662000000000003</v>
      </c>
      <c r="F23" s="115"/>
      <c r="G23" s="117"/>
      <c r="H23" s="117"/>
    </row>
    <row r="24" spans="1:8" x14ac:dyDescent="0.35">
      <c r="A24" s="117"/>
      <c r="B24" s="117"/>
      <c r="C24" s="116"/>
      <c r="D24" s="81" t="s">
        <v>205</v>
      </c>
      <c r="E24" s="83">
        <f>SUM(E5:E23)</f>
        <v>276.05099999999999</v>
      </c>
      <c r="F24" s="115"/>
      <c r="G24" s="117"/>
      <c r="H24" s="117"/>
    </row>
  </sheetData>
  <mergeCells count="9">
    <mergeCell ref="F4:F24"/>
    <mergeCell ref="C4:C24"/>
    <mergeCell ref="A22:B24"/>
    <mergeCell ref="B1:D1"/>
    <mergeCell ref="E1:F1"/>
    <mergeCell ref="B2:D2"/>
    <mergeCell ref="E2:F2"/>
    <mergeCell ref="A3:H3"/>
    <mergeCell ref="G15:H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85" zoomScaleNormal="85" workbookViewId="0">
      <selection activeCell="B9" sqref="B9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5.77734375" style="48" bestFit="1" customWidth="1"/>
    <col min="4" max="4" width="14.6640625" style="48" customWidth="1"/>
    <col min="5" max="5" width="8.88671875" style="80"/>
    <col min="6" max="6" width="13" style="48" bestFit="1" customWidth="1"/>
    <col min="7" max="7" width="6.5546875" style="48" bestFit="1" customWidth="1"/>
    <col min="8" max="8" width="7.33203125" style="48" customWidth="1"/>
    <col min="9" max="9" width="8.88671875" style="80"/>
    <col min="10" max="10" width="17.44140625" style="48" bestFit="1" customWidth="1"/>
    <col min="11" max="16384" width="8.88671875" style="48"/>
  </cols>
  <sheetData>
    <row r="1" spans="1:10" ht="36" customHeight="1" x14ac:dyDescent="0.35">
      <c r="A1" s="78" t="s">
        <v>221</v>
      </c>
      <c r="B1" s="110" t="s">
        <v>214</v>
      </c>
      <c r="C1" s="110"/>
      <c r="D1" s="110"/>
      <c r="E1" s="110"/>
      <c r="F1" s="111" t="s">
        <v>3</v>
      </c>
      <c r="G1" s="111"/>
      <c r="H1" s="111"/>
      <c r="I1" s="78" t="s">
        <v>4</v>
      </c>
      <c r="J1" s="101" t="s">
        <v>213</v>
      </c>
    </row>
    <row r="2" spans="1:10" ht="57" customHeight="1" x14ac:dyDescent="0.35">
      <c r="A2" s="79" t="s">
        <v>252</v>
      </c>
      <c r="B2" s="112" t="s">
        <v>231</v>
      </c>
      <c r="C2" s="112"/>
      <c r="D2" s="112"/>
      <c r="E2" s="112"/>
      <c r="F2" s="113" t="s">
        <v>237</v>
      </c>
      <c r="G2" s="113"/>
      <c r="H2" s="113"/>
      <c r="I2" s="82" t="s">
        <v>6</v>
      </c>
      <c r="J2" s="102">
        <f>B7</f>
        <v>8.5259999999999998</v>
      </c>
    </row>
    <row r="3" spans="1:10" ht="57" customHeight="1" x14ac:dyDescent="0.35">
      <c r="A3" s="79" t="s">
        <v>166</v>
      </c>
      <c r="B3" s="112" t="s">
        <v>231</v>
      </c>
      <c r="C3" s="112"/>
      <c r="D3" s="112"/>
      <c r="E3" s="112"/>
      <c r="F3" s="113" t="s">
        <v>238</v>
      </c>
      <c r="G3" s="113"/>
      <c r="H3" s="113"/>
      <c r="I3" s="82" t="s">
        <v>6</v>
      </c>
      <c r="J3" s="102">
        <f>B8</f>
        <v>6.6120000000000001</v>
      </c>
    </row>
    <row r="4" spans="1:10" ht="57" customHeight="1" x14ac:dyDescent="0.35">
      <c r="A4" s="79" t="s">
        <v>232</v>
      </c>
      <c r="B4" s="112" t="s">
        <v>231</v>
      </c>
      <c r="C4" s="112"/>
      <c r="D4" s="112"/>
      <c r="E4" s="112"/>
      <c r="F4" s="113" t="s">
        <v>239</v>
      </c>
      <c r="G4" s="113"/>
      <c r="H4" s="113"/>
      <c r="I4" s="82" t="s">
        <v>6</v>
      </c>
      <c r="J4" s="102">
        <f>F7</f>
        <v>9.2219999999999995</v>
      </c>
    </row>
    <row r="5" spans="1:10" x14ac:dyDescent="0.35">
      <c r="A5" s="114"/>
      <c r="B5" s="114"/>
      <c r="C5" s="114"/>
      <c r="D5" s="114"/>
      <c r="E5" s="114"/>
      <c r="F5" s="114"/>
      <c r="G5" s="114"/>
      <c r="H5" s="114"/>
      <c r="I5" s="114"/>
      <c r="J5" s="117"/>
    </row>
    <row r="6" spans="1:10" x14ac:dyDescent="0.35">
      <c r="A6" s="87" t="s">
        <v>228</v>
      </c>
      <c r="B6" s="88" t="s">
        <v>226</v>
      </c>
      <c r="C6" s="88" t="s">
        <v>233</v>
      </c>
      <c r="D6" s="122"/>
      <c r="E6" s="87" t="s">
        <v>228</v>
      </c>
      <c r="F6" s="88" t="s">
        <v>226</v>
      </c>
      <c r="G6" s="88" t="s">
        <v>233</v>
      </c>
      <c r="H6" s="120"/>
      <c r="I6" s="120"/>
      <c r="J6" s="120"/>
    </row>
    <row r="7" spans="1:10" x14ac:dyDescent="0.35">
      <c r="A7" s="87" t="s">
        <v>84</v>
      </c>
      <c r="B7" s="89">
        <v>8.5259999999999998</v>
      </c>
      <c r="C7" s="83" t="s">
        <v>234</v>
      </c>
      <c r="D7" s="122"/>
      <c r="E7" s="87" t="s">
        <v>76</v>
      </c>
      <c r="F7" s="89">
        <v>9.2219999999999995</v>
      </c>
      <c r="G7" s="89" t="s">
        <v>235</v>
      </c>
      <c r="H7" s="120"/>
      <c r="I7" s="120"/>
      <c r="J7" s="120"/>
    </row>
    <row r="8" spans="1:10" x14ac:dyDescent="0.35">
      <c r="A8" s="87" t="s">
        <v>223</v>
      </c>
      <c r="B8" s="89">
        <v>6.6120000000000001</v>
      </c>
      <c r="C8" s="89" t="s">
        <v>236</v>
      </c>
      <c r="D8" s="122"/>
      <c r="E8" s="87" t="s">
        <v>205</v>
      </c>
      <c r="F8" s="89">
        <f>SUM(F7:F7)</f>
        <v>9.2219999999999995</v>
      </c>
      <c r="G8" s="89"/>
      <c r="H8" s="120"/>
      <c r="I8" s="120"/>
      <c r="J8" s="120"/>
    </row>
    <row r="9" spans="1:10" x14ac:dyDescent="0.35">
      <c r="A9" s="87" t="s">
        <v>205</v>
      </c>
      <c r="B9" s="89">
        <f>SUM(B7:B8)</f>
        <v>15.138</v>
      </c>
      <c r="C9" s="88"/>
      <c r="D9" s="123"/>
      <c r="E9" s="121"/>
      <c r="F9" s="121"/>
      <c r="G9" s="121"/>
      <c r="H9" s="120"/>
      <c r="I9" s="120"/>
      <c r="J9" s="120"/>
    </row>
  </sheetData>
  <mergeCells count="12">
    <mergeCell ref="B2:E2"/>
    <mergeCell ref="F2:H2"/>
    <mergeCell ref="B3:E3"/>
    <mergeCell ref="F3:H3"/>
    <mergeCell ref="B1:E1"/>
    <mergeCell ref="F1:H1"/>
    <mergeCell ref="H6:J9"/>
    <mergeCell ref="B4:E4"/>
    <mergeCell ref="F4:H4"/>
    <mergeCell ref="E9:G9"/>
    <mergeCell ref="D6:D9"/>
    <mergeCell ref="A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1"/>
  <sheetViews>
    <sheetView zoomScale="55" zoomScaleNormal="55" workbookViewId="0">
      <selection activeCell="A22" sqref="A22:XFD46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6.88671875" style="48" customWidth="1"/>
    <col min="4" max="4" width="8.88671875" style="80"/>
    <col min="5" max="5" width="13" style="48" bestFit="1" customWidth="1"/>
    <col min="6" max="6" width="27.332031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84" t="s">
        <v>213</v>
      </c>
    </row>
    <row r="2" spans="1:8" ht="78.599999999999994" customHeight="1" x14ac:dyDescent="0.35">
      <c r="A2" s="79">
        <v>1</v>
      </c>
      <c r="B2" s="112" t="s">
        <v>230</v>
      </c>
      <c r="C2" s="112"/>
      <c r="D2" s="112"/>
      <c r="E2" s="113" t="s">
        <v>240</v>
      </c>
      <c r="F2" s="113"/>
      <c r="G2" s="82" t="s">
        <v>6</v>
      </c>
      <c r="H2" s="90">
        <f>B15+E12+H11</f>
        <v>1024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6"/>
      <c r="G4" s="81" t="s">
        <v>228</v>
      </c>
      <c r="H4" s="77" t="s">
        <v>226</v>
      </c>
    </row>
    <row r="5" spans="1:8" x14ac:dyDescent="0.35">
      <c r="A5" s="81" t="s">
        <v>119</v>
      </c>
      <c r="B5" s="83">
        <v>17.8</v>
      </c>
      <c r="C5" s="115"/>
      <c r="D5" s="81" t="s">
        <v>83</v>
      </c>
      <c r="E5" s="83">
        <v>13.2</v>
      </c>
      <c r="F5" s="116"/>
      <c r="G5" s="81" t="s">
        <v>61</v>
      </c>
      <c r="H5" s="83">
        <v>14.7</v>
      </c>
    </row>
    <row r="6" spans="1:8" x14ac:dyDescent="0.35">
      <c r="A6" s="81" t="s">
        <v>13</v>
      </c>
      <c r="B6" s="83">
        <f>51.8+10.5</f>
        <v>62.3</v>
      </c>
      <c r="C6" s="115"/>
      <c r="D6" s="81" t="s">
        <v>86</v>
      </c>
      <c r="E6" s="83">
        <f>96.9-9.8</f>
        <v>87.100000000000009</v>
      </c>
      <c r="F6" s="116"/>
      <c r="G6" s="81" t="s">
        <v>60</v>
      </c>
      <c r="H6" s="83">
        <v>55.1</v>
      </c>
    </row>
    <row r="7" spans="1:8" x14ac:dyDescent="0.35">
      <c r="A7" s="81" t="s">
        <v>121</v>
      </c>
      <c r="B7" s="83">
        <v>9.9</v>
      </c>
      <c r="C7" s="115"/>
      <c r="D7" s="81" t="s">
        <v>82</v>
      </c>
      <c r="E7" s="83">
        <v>34.200000000000003</v>
      </c>
      <c r="F7" s="116"/>
      <c r="G7" s="81" t="s">
        <v>64</v>
      </c>
      <c r="H7" s="83">
        <f>66.3-9.8</f>
        <v>56.5</v>
      </c>
    </row>
    <row r="8" spans="1:8" x14ac:dyDescent="0.35">
      <c r="A8" s="81" t="s">
        <v>24</v>
      </c>
      <c r="B8" s="83">
        <v>54.3</v>
      </c>
      <c r="C8" s="115"/>
      <c r="D8" s="81" t="s">
        <v>89</v>
      </c>
      <c r="E8" s="83">
        <v>79.2</v>
      </c>
      <c r="F8" s="116"/>
      <c r="G8" s="81" t="s">
        <v>66</v>
      </c>
      <c r="H8" s="83">
        <v>78.8</v>
      </c>
    </row>
    <row r="9" spans="1:8" x14ac:dyDescent="0.35">
      <c r="A9" s="81" t="s">
        <v>126</v>
      </c>
      <c r="B9" s="83">
        <v>17.600000000000001</v>
      </c>
      <c r="C9" s="115"/>
      <c r="D9" s="81" t="s">
        <v>101</v>
      </c>
      <c r="E9" s="83">
        <v>52.8</v>
      </c>
      <c r="F9" s="116"/>
      <c r="G9" s="81" t="s">
        <v>77</v>
      </c>
      <c r="H9" s="83">
        <v>32.5</v>
      </c>
    </row>
    <row r="10" spans="1:8" x14ac:dyDescent="0.35">
      <c r="A10" s="81" t="s">
        <v>129</v>
      </c>
      <c r="B10" s="83">
        <f>60.5-9.8</f>
        <v>50.7</v>
      </c>
      <c r="C10" s="115"/>
      <c r="D10" s="81" t="s">
        <v>108</v>
      </c>
      <c r="E10" s="83">
        <v>33.6</v>
      </c>
      <c r="F10" s="116"/>
      <c r="G10" s="81" t="s">
        <v>78</v>
      </c>
      <c r="H10" s="83">
        <v>50.4</v>
      </c>
    </row>
    <row r="11" spans="1:8" x14ac:dyDescent="0.35">
      <c r="A11" s="81" t="s">
        <v>130</v>
      </c>
      <c r="B11" s="83">
        <v>75.2</v>
      </c>
      <c r="C11" s="115"/>
      <c r="D11" s="81" t="s">
        <v>113</v>
      </c>
      <c r="E11" s="83">
        <v>45.9</v>
      </c>
      <c r="F11" s="116"/>
      <c r="G11" s="81" t="s">
        <v>205</v>
      </c>
      <c r="H11" s="83">
        <f>SUM(H5:H10)</f>
        <v>288</v>
      </c>
    </row>
    <row r="12" spans="1:8" x14ac:dyDescent="0.35">
      <c r="A12" s="81" t="s">
        <v>139</v>
      </c>
      <c r="B12" s="83">
        <v>22.4</v>
      </c>
      <c r="C12" s="115"/>
      <c r="D12" s="81" t="s">
        <v>205</v>
      </c>
      <c r="E12" s="77">
        <f>SUM(E5:E11)</f>
        <v>346</v>
      </c>
      <c r="F12" s="116"/>
      <c r="G12" s="114"/>
      <c r="H12" s="114"/>
    </row>
    <row r="13" spans="1:8" x14ac:dyDescent="0.35">
      <c r="A13" s="81" t="s">
        <v>140</v>
      </c>
      <c r="B13" s="83">
        <v>32.200000000000003</v>
      </c>
      <c r="C13" s="115"/>
      <c r="D13" s="114"/>
      <c r="E13" s="114"/>
      <c r="F13" s="116"/>
      <c r="G13" s="117"/>
      <c r="H13" s="117"/>
    </row>
    <row r="14" spans="1:8" x14ac:dyDescent="0.35">
      <c r="A14" s="81" t="s">
        <v>147</v>
      </c>
      <c r="B14" s="83">
        <v>47.6</v>
      </c>
      <c r="C14" s="115"/>
      <c r="D14" s="117"/>
      <c r="E14" s="117"/>
      <c r="F14" s="116"/>
      <c r="G14" s="117"/>
      <c r="H14" s="117"/>
    </row>
    <row r="15" spans="1:8" x14ac:dyDescent="0.35">
      <c r="A15" s="81" t="s">
        <v>205</v>
      </c>
      <c r="B15" s="83">
        <f>SUM(B5:B14)</f>
        <v>390</v>
      </c>
      <c r="C15" s="115"/>
      <c r="D15" s="117"/>
      <c r="E15" s="117"/>
      <c r="F15" s="116"/>
      <c r="G15" s="117"/>
      <c r="H15" s="117"/>
    </row>
    <row r="16" spans="1:8" x14ac:dyDescent="0.35">
      <c r="A16" s="96"/>
      <c r="B16" s="96"/>
      <c r="C16" s="98"/>
      <c r="D16" s="97"/>
      <c r="E16" s="99"/>
      <c r="F16" s="98"/>
      <c r="G16" s="96"/>
      <c r="H16" s="96"/>
    </row>
    <row r="17" spans="1:8" x14ac:dyDescent="0.35">
      <c r="A17" s="97"/>
      <c r="B17" s="99"/>
      <c r="C17" s="98"/>
      <c r="D17" s="97"/>
      <c r="E17" s="99"/>
      <c r="F17" s="98"/>
      <c r="G17" s="96"/>
      <c r="H17" s="96"/>
    </row>
    <row r="18" spans="1:8" x14ac:dyDescent="0.35">
      <c r="A18" s="97"/>
      <c r="B18" s="99"/>
      <c r="C18" s="98"/>
      <c r="D18" s="97"/>
      <c r="E18" s="99"/>
      <c r="F18" s="98"/>
      <c r="G18" s="96"/>
      <c r="H18" s="96"/>
    </row>
    <row r="19" spans="1:8" x14ac:dyDescent="0.35">
      <c r="A19" s="97"/>
      <c r="B19" s="99"/>
      <c r="C19" s="98"/>
      <c r="D19" s="97"/>
      <c r="E19" s="99"/>
      <c r="F19" s="98"/>
      <c r="G19" s="96"/>
      <c r="H19" s="96"/>
    </row>
    <row r="20" spans="1:8" x14ac:dyDescent="0.35">
      <c r="A20" s="97"/>
      <c r="B20" s="99"/>
      <c r="C20" s="98"/>
      <c r="D20" s="97"/>
      <c r="E20" s="99"/>
      <c r="F20" s="98"/>
      <c r="G20" s="96"/>
      <c r="H20" s="96"/>
    </row>
    <row r="21" spans="1:8" x14ac:dyDescent="0.35">
      <c r="A21" s="97"/>
      <c r="B21" s="99"/>
      <c r="C21" s="98"/>
      <c r="D21" s="97"/>
      <c r="E21" s="99"/>
      <c r="F21" s="98"/>
      <c r="G21" s="96"/>
      <c r="H21" s="96"/>
    </row>
  </sheetData>
  <mergeCells count="9">
    <mergeCell ref="C4:C15"/>
    <mergeCell ref="F4:F15"/>
    <mergeCell ref="G12:H15"/>
    <mergeCell ref="D13:E15"/>
    <mergeCell ref="B1:D1"/>
    <mergeCell ref="E1:F1"/>
    <mergeCell ref="B2:D2"/>
    <mergeCell ref="E2:F2"/>
    <mergeCell ref="A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70" zoomScaleNormal="70" workbookViewId="0">
      <selection activeCell="F17" sqref="F17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8.88671875" style="48"/>
    <col min="4" max="4" width="8.88671875" style="80"/>
    <col min="5" max="5" width="13" style="48" bestFit="1" customWidth="1"/>
    <col min="6" max="6" width="25.5546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50" t="s">
        <v>213</v>
      </c>
    </row>
    <row r="2" spans="1:8" ht="83.4" customHeight="1" x14ac:dyDescent="0.35">
      <c r="A2" s="79">
        <v>1</v>
      </c>
      <c r="B2" s="112" t="s">
        <v>241</v>
      </c>
      <c r="C2" s="112"/>
      <c r="D2" s="112"/>
      <c r="E2" s="113" t="s">
        <v>261</v>
      </c>
      <c r="F2" s="113"/>
      <c r="G2" s="82" t="s">
        <v>6</v>
      </c>
      <c r="H2" s="65">
        <f>B14+E12+H11</f>
        <v>814.70498369999996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6"/>
      <c r="G4" s="81" t="s">
        <v>228</v>
      </c>
      <c r="H4" s="77" t="s">
        <v>226</v>
      </c>
    </row>
    <row r="5" spans="1:8" x14ac:dyDescent="0.35">
      <c r="A5" s="81" t="s">
        <v>119</v>
      </c>
      <c r="B5" s="83">
        <v>15.486000000000001</v>
      </c>
      <c r="C5" s="115"/>
      <c r="D5" s="81" t="s">
        <v>83</v>
      </c>
      <c r="E5" s="83">
        <v>11.484</v>
      </c>
      <c r="F5" s="116"/>
      <c r="G5" s="81" t="s">
        <v>61</v>
      </c>
      <c r="H5" s="83">
        <v>11.7213534</v>
      </c>
    </row>
    <row r="6" spans="1:8" x14ac:dyDescent="0.35">
      <c r="A6" s="81" t="s">
        <v>13</v>
      </c>
      <c r="B6" s="83">
        <v>54.201000000000001</v>
      </c>
      <c r="C6" s="115"/>
      <c r="D6" s="81" t="s">
        <v>86</v>
      </c>
      <c r="E6" s="83">
        <v>75.777000000000001</v>
      </c>
      <c r="F6" s="116"/>
      <c r="G6" s="81" t="s">
        <v>60</v>
      </c>
      <c r="H6" s="83">
        <v>41.024736900000001</v>
      </c>
    </row>
    <row r="7" spans="1:8" x14ac:dyDescent="0.35">
      <c r="A7" s="81" t="s">
        <v>24</v>
      </c>
      <c r="B7" s="83">
        <v>47.241</v>
      </c>
      <c r="C7" s="115"/>
      <c r="D7" s="81" t="s">
        <v>82</v>
      </c>
      <c r="E7" s="83">
        <v>29.754000000000001</v>
      </c>
      <c r="F7" s="116"/>
      <c r="G7" s="81" t="s">
        <v>64</v>
      </c>
      <c r="H7" s="83">
        <v>35.756712899999997</v>
      </c>
    </row>
    <row r="8" spans="1:8" x14ac:dyDescent="0.35">
      <c r="A8" s="81" t="s">
        <v>126</v>
      </c>
      <c r="B8" s="83">
        <v>15.312000000000001</v>
      </c>
      <c r="C8" s="115"/>
      <c r="D8" s="81" t="s">
        <v>89</v>
      </c>
      <c r="E8" s="83">
        <v>68.903999999999996</v>
      </c>
      <c r="F8" s="116"/>
      <c r="G8" s="81" t="s">
        <v>66</v>
      </c>
      <c r="H8" s="83">
        <v>11.589652800000001</v>
      </c>
    </row>
    <row r="9" spans="1:8" x14ac:dyDescent="0.35">
      <c r="A9" s="81" t="s">
        <v>129</v>
      </c>
      <c r="B9" s="83">
        <v>44.109000000000002</v>
      </c>
      <c r="C9" s="115"/>
      <c r="D9" s="81" t="s">
        <v>101</v>
      </c>
      <c r="E9" s="83">
        <v>45.936</v>
      </c>
      <c r="F9" s="116"/>
      <c r="G9" s="81" t="s">
        <v>77</v>
      </c>
      <c r="H9" s="83">
        <v>33.386102100000002</v>
      </c>
    </row>
    <row r="10" spans="1:8" x14ac:dyDescent="0.35">
      <c r="A10" s="81" t="s">
        <v>130</v>
      </c>
      <c r="B10" s="83">
        <v>65.424000000000007</v>
      </c>
      <c r="C10" s="115"/>
      <c r="D10" s="81" t="s">
        <v>108</v>
      </c>
      <c r="E10" s="83">
        <v>29.231999999999999</v>
      </c>
      <c r="F10" s="116"/>
      <c r="G10" s="81" t="s">
        <v>78</v>
      </c>
      <c r="H10" s="83">
        <v>49.519425600000005</v>
      </c>
    </row>
    <row r="11" spans="1:8" x14ac:dyDescent="0.35">
      <c r="A11" s="81" t="s">
        <v>139</v>
      </c>
      <c r="B11" s="83">
        <v>19.488</v>
      </c>
      <c r="C11" s="115"/>
      <c r="D11" s="81" t="s">
        <v>113</v>
      </c>
      <c r="E11" s="83">
        <v>39.933</v>
      </c>
      <c r="F11" s="116"/>
      <c r="G11" s="81" t="s">
        <v>205</v>
      </c>
      <c r="H11" s="83">
        <f>SUM(H5:H10)</f>
        <v>182.99798369999999</v>
      </c>
    </row>
    <row r="12" spans="1:8" x14ac:dyDescent="0.35">
      <c r="A12" s="81" t="s">
        <v>140</v>
      </c>
      <c r="B12" s="83">
        <v>28.014000000000003</v>
      </c>
      <c r="C12" s="115"/>
      <c r="D12" s="81" t="s">
        <v>205</v>
      </c>
      <c r="E12" s="83">
        <f>SUM(E5:E11)</f>
        <v>301.02</v>
      </c>
      <c r="F12" s="116"/>
      <c r="G12" s="114"/>
      <c r="H12" s="114"/>
    </row>
    <row r="13" spans="1:8" x14ac:dyDescent="0.35">
      <c r="A13" s="81" t="s">
        <v>147</v>
      </c>
      <c r="B13" s="83">
        <v>41.411999999999999</v>
      </c>
      <c r="C13" s="115"/>
      <c r="D13" s="114"/>
      <c r="E13" s="114"/>
      <c r="F13" s="116"/>
      <c r="G13" s="117"/>
      <c r="H13" s="117"/>
    </row>
    <row r="14" spans="1:8" x14ac:dyDescent="0.35">
      <c r="A14" s="81" t="s">
        <v>205</v>
      </c>
      <c r="B14" s="83">
        <f>SUM(B5:B13)</f>
        <v>330.68700000000001</v>
      </c>
      <c r="C14" s="115"/>
      <c r="D14" s="117"/>
      <c r="E14" s="117"/>
      <c r="F14" s="116"/>
      <c r="G14" s="117"/>
      <c r="H14" s="117"/>
    </row>
  </sheetData>
  <mergeCells count="9">
    <mergeCell ref="C4:C14"/>
    <mergeCell ref="F4:F14"/>
    <mergeCell ref="G12:H14"/>
    <mergeCell ref="D13:E14"/>
    <mergeCell ref="B1:D1"/>
    <mergeCell ref="B2:D2"/>
    <mergeCell ref="E1:F1"/>
    <mergeCell ref="E2:F2"/>
    <mergeCell ref="A3:H3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85" zoomScaleNormal="85" workbookViewId="0">
      <selection activeCell="A5" sqref="A5:H15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1.77734375" style="48" customWidth="1"/>
    <col min="4" max="4" width="8.88671875" style="80"/>
    <col min="5" max="5" width="13" style="48" bestFit="1" customWidth="1"/>
    <col min="6" max="6" width="41.8867187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50" t="s">
        <v>213</v>
      </c>
    </row>
    <row r="2" spans="1:8" ht="96.6" customHeight="1" x14ac:dyDescent="0.35">
      <c r="A2" s="79">
        <v>1</v>
      </c>
      <c r="B2" s="112" t="s">
        <v>229</v>
      </c>
      <c r="C2" s="112"/>
      <c r="D2" s="112"/>
      <c r="E2" s="113" t="s">
        <v>259</v>
      </c>
      <c r="F2" s="113"/>
      <c r="G2" s="82" t="s">
        <v>6</v>
      </c>
      <c r="H2" s="65">
        <f>B15+E13+H12</f>
        <v>814.70498369999996</v>
      </c>
    </row>
    <row r="3" spans="1:8" ht="84.6" customHeight="1" x14ac:dyDescent="0.35">
      <c r="A3" s="79" t="s">
        <v>166</v>
      </c>
      <c r="B3" s="112" t="s">
        <v>229</v>
      </c>
      <c r="C3" s="112"/>
      <c r="D3" s="112"/>
      <c r="E3" s="113" t="s">
        <v>260</v>
      </c>
      <c r="F3" s="113"/>
      <c r="G3" s="82" t="s">
        <v>6</v>
      </c>
      <c r="H3" s="65">
        <f>H2</f>
        <v>814.70498369999996</v>
      </c>
    </row>
    <row r="4" spans="1:8" x14ac:dyDescent="0.35">
      <c r="A4" s="114"/>
      <c r="B4" s="114"/>
      <c r="C4" s="114"/>
      <c r="D4" s="114"/>
      <c r="E4" s="114"/>
      <c r="F4" s="114"/>
      <c r="G4" s="114"/>
      <c r="H4" s="114"/>
    </row>
    <row r="5" spans="1:8" x14ac:dyDescent="0.35">
      <c r="A5" s="81" t="s">
        <v>228</v>
      </c>
      <c r="B5" s="77" t="s">
        <v>226</v>
      </c>
      <c r="C5" s="115"/>
      <c r="D5" s="81" t="s">
        <v>228</v>
      </c>
      <c r="E5" s="77" t="s">
        <v>226</v>
      </c>
      <c r="F5" s="116"/>
      <c r="G5" s="81" t="s">
        <v>228</v>
      </c>
      <c r="H5" s="77" t="s">
        <v>226</v>
      </c>
    </row>
    <row r="6" spans="1:8" x14ac:dyDescent="0.35">
      <c r="A6" s="81" t="s">
        <v>119</v>
      </c>
      <c r="B6" s="83">
        <v>15.486000000000001</v>
      </c>
      <c r="C6" s="115"/>
      <c r="D6" s="81" t="s">
        <v>83</v>
      </c>
      <c r="E6" s="83">
        <v>11.484</v>
      </c>
      <c r="F6" s="116"/>
      <c r="G6" s="81" t="s">
        <v>61</v>
      </c>
      <c r="H6" s="83">
        <v>11.7213534</v>
      </c>
    </row>
    <row r="7" spans="1:8" x14ac:dyDescent="0.35">
      <c r="A7" s="81" t="s">
        <v>13</v>
      </c>
      <c r="B7" s="83">
        <v>54.201000000000001</v>
      </c>
      <c r="C7" s="115"/>
      <c r="D7" s="81" t="s">
        <v>86</v>
      </c>
      <c r="E7" s="83">
        <v>75.777000000000001</v>
      </c>
      <c r="F7" s="116"/>
      <c r="G7" s="81" t="s">
        <v>60</v>
      </c>
      <c r="H7" s="83">
        <v>41.024736900000001</v>
      </c>
    </row>
    <row r="8" spans="1:8" x14ac:dyDescent="0.35">
      <c r="A8" s="81" t="s">
        <v>24</v>
      </c>
      <c r="B8" s="83">
        <v>47.241</v>
      </c>
      <c r="C8" s="115"/>
      <c r="D8" s="81" t="s">
        <v>82</v>
      </c>
      <c r="E8" s="83">
        <v>29.754000000000001</v>
      </c>
      <c r="F8" s="116"/>
      <c r="G8" s="81" t="s">
        <v>64</v>
      </c>
      <c r="H8" s="83">
        <v>35.756712899999997</v>
      </c>
    </row>
    <row r="9" spans="1:8" x14ac:dyDescent="0.35">
      <c r="A9" s="81" t="s">
        <v>126</v>
      </c>
      <c r="B9" s="83">
        <v>15.312000000000001</v>
      </c>
      <c r="C9" s="115"/>
      <c r="D9" s="81" t="s">
        <v>89</v>
      </c>
      <c r="E9" s="83">
        <v>68.903999999999996</v>
      </c>
      <c r="F9" s="116"/>
      <c r="G9" s="81" t="s">
        <v>66</v>
      </c>
      <c r="H9" s="83">
        <v>11.589652800000001</v>
      </c>
    </row>
    <row r="10" spans="1:8" x14ac:dyDescent="0.35">
      <c r="A10" s="81" t="s">
        <v>129</v>
      </c>
      <c r="B10" s="83">
        <v>44.109000000000002</v>
      </c>
      <c r="C10" s="115"/>
      <c r="D10" s="81" t="s">
        <v>101</v>
      </c>
      <c r="E10" s="83">
        <v>45.936</v>
      </c>
      <c r="F10" s="116"/>
      <c r="G10" s="81" t="s">
        <v>77</v>
      </c>
      <c r="H10" s="83">
        <v>33.386102100000002</v>
      </c>
    </row>
    <row r="11" spans="1:8" x14ac:dyDescent="0.35">
      <c r="A11" s="81" t="s">
        <v>130</v>
      </c>
      <c r="B11" s="83">
        <v>65.424000000000007</v>
      </c>
      <c r="C11" s="115"/>
      <c r="D11" s="81" t="s">
        <v>108</v>
      </c>
      <c r="E11" s="83">
        <v>29.231999999999999</v>
      </c>
      <c r="F11" s="116"/>
      <c r="G11" s="81" t="s">
        <v>78</v>
      </c>
      <c r="H11" s="83">
        <v>49.519425600000005</v>
      </c>
    </row>
    <row r="12" spans="1:8" x14ac:dyDescent="0.35">
      <c r="A12" s="81" t="s">
        <v>139</v>
      </c>
      <c r="B12" s="83">
        <v>19.488</v>
      </c>
      <c r="C12" s="115"/>
      <c r="D12" s="81" t="s">
        <v>113</v>
      </c>
      <c r="E12" s="83">
        <v>39.933</v>
      </c>
      <c r="F12" s="116"/>
      <c r="G12" s="81" t="s">
        <v>205</v>
      </c>
      <c r="H12" s="83">
        <f>SUM(H6:H11)</f>
        <v>182.99798369999999</v>
      </c>
    </row>
    <row r="13" spans="1:8" x14ac:dyDescent="0.35">
      <c r="A13" s="81" t="s">
        <v>140</v>
      </c>
      <c r="B13" s="83">
        <v>28.014000000000003</v>
      </c>
      <c r="C13" s="115"/>
      <c r="D13" s="81" t="s">
        <v>205</v>
      </c>
      <c r="E13" s="83">
        <f>SUM(E6:E12)</f>
        <v>301.02</v>
      </c>
      <c r="F13" s="116"/>
      <c r="G13" s="114"/>
      <c r="H13" s="114"/>
    </row>
    <row r="14" spans="1:8" x14ac:dyDescent="0.35">
      <c r="A14" s="81" t="s">
        <v>147</v>
      </c>
      <c r="B14" s="83">
        <v>41.411999999999999</v>
      </c>
      <c r="C14" s="115"/>
      <c r="D14" s="114"/>
      <c r="E14" s="114"/>
      <c r="F14" s="116"/>
      <c r="G14" s="117"/>
      <c r="H14" s="117"/>
    </row>
    <row r="15" spans="1:8" x14ac:dyDescent="0.35">
      <c r="A15" s="81" t="s">
        <v>205</v>
      </c>
      <c r="B15" s="83">
        <f>SUM(B6:B14)</f>
        <v>330.68700000000001</v>
      </c>
      <c r="C15" s="115"/>
      <c r="D15" s="117"/>
      <c r="E15" s="117"/>
      <c r="F15" s="116"/>
      <c r="G15" s="117"/>
      <c r="H15" s="117"/>
    </row>
  </sheetData>
  <mergeCells count="11">
    <mergeCell ref="E3:F3"/>
    <mergeCell ref="B1:D1"/>
    <mergeCell ref="E1:F1"/>
    <mergeCell ref="B2:D2"/>
    <mergeCell ref="E2:F2"/>
    <mergeCell ref="B3:D3"/>
    <mergeCell ref="C5:C15"/>
    <mergeCell ref="F5:F15"/>
    <mergeCell ref="G13:H15"/>
    <mergeCell ref="D14:E15"/>
    <mergeCell ref="A4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85" zoomScaleNormal="85" workbookViewId="0">
      <selection activeCell="A4" sqref="A4:H14"/>
    </sheetView>
  </sheetViews>
  <sheetFormatPr defaultRowHeight="18" x14ac:dyDescent="0.35"/>
  <cols>
    <col min="1" max="1" width="8.88671875" style="80"/>
    <col min="2" max="2" width="12.44140625" style="48" bestFit="1" customWidth="1"/>
    <col min="3" max="3" width="16.88671875" style="48" customWidth="1"/>
    <col min="4" max="4" width="8.88671875" style="80"/>
    <col min="5" max="5" width="13" style="48" bestFit="1" customWidth="1"/>
    <col min="6" max="6" width="27.33203125" style="48" customWidth="1"/>
    <col min="7" max="7" width="8.88671875" style="80"/>
    <col min="8" max="8" width="13" style="48" bestFit="1" customWidth="1"/>
    <col min="9" max="16384" width="8.88671875" style="48"/>
  </cols>
  <sheetData>
    <row r="1" spans="1:8" ht="36" customHeight="1" x14ac:dyDescent="0.35">
      <c r="A1" s="78" t="s">
        <v>221</v>
      </c>
      <c r="B1" s="110" t="s">
        <v>214</v>
      </c>
      <c r="C1" s="110"/>
      <c r="D1" s="110"/>
      <c r="E1" s="111" t="s">
        <v>3</v>
      </c>
      <c r="F1" s="111"/>
      <c r="G1" s="78" t="s">
        <v>4</v>
      </c>
      <c r="H1" s="50" t="s">
        <v>213</v>
      </c>
    </row>
    <row r="2" spans="1:8" ht="98.4" customHeight="1" x14ac:dyDescent="0.35">
      <c r="A2" s="79">
        <v>1</v>
      </c>
      <c r="B2" s="112" t="s">
        <v>230</v>
      </c>
      <c r="C2" s="112"/>
      <c r="D2" s="112"/>
      <c r="E2" s="113" t="s">
        <v>258</v>
      </c>
      <c r="F2" s="113"/>
      <c r="G2" s="82" t="s">
        <v>6</v>
      </c>
      <c r="H2" s="65">
        <f>B14+E12+H11</f>
        <v>814.70498369999996</v>
      </c>
    </row>
    <row r="3" spans="1:8" x14ac:dyDescent="0.35">
      <c r="A3" s="114"/>
      <c r="B3" s="114"/>
      <c r="C3" s="114"/>
      <c r="D3" s="114"/>
      <c r="E3" s="114"/>
      <c r="F3" s="114"/>
      <c r="G3" s="114"/>
      <c r="H3" s="114"/>
    </row>
    <row r="4" spans="1:8" x14ac:dyDescent="0.35">
      <c r="A4" s="81" t="s">
        <v>228</v>
      </c>
      <c r="B4" s="77" t="s">
        <v>226</v>
      </c>
      <c r="C4" s="115"/>
      <c r="D4" s="81" t="s">
        <v>228</v>
      </c>
      <c r="E4" s="77" t="s">
        <v>226</v>
      </c>
      <c r="F4" s="116"/>
      <c r="G4" s="81" t="s">
        <v>228</v>
      </c>
      <c r="H4" s="77" t="s">
        <v>226</v>
      </c>
    </row>
    <row r="5" spans="1:8" x14ac:dyDescent="0.35">
      <c r="A5" s="81" t="s">
        <v>119</v>
      </c>
      <c r="B5" s="83">
        <v>15.486000000000001</v>
      </c>
      <c r="C5" s="115"/>
      <c r="D5" s="81" t="s">
        <v>83</v>
      </c>
      <c r="E5" s="83">
        <v>11.484</v>
      </c>
      <c r="F5" s="116"/>
      <c r="G5" s="81" t="s">
        <v>61</v>
      </c>
      <c r="H5" s="83">
        <v>11.7213534</v>
      </c>
    </row>
    <row r="6" spans="1:8" x14ac:dyDescent="0.35">
      <c r="A6" s="81" t="s">
        <v>13</v>
      </c>
      <c r="B6" s="83">
        <v>54.201000000000001</v>
      </c>
      <c r="C6" s="115"/>
      <c r="D6" s="81" t="s">
        <v>86</v>
      </c>
      <c r="E6" s="83">
        <v>75.777000000000001</v>
      </c>
      <c r="F6" s="116"/>
      <c r="G6" s="81" t="s">
        <v>60</v>
      </c>
      <c r="H6" s="83">
        <v>41.024736900000001</v>
      </c>
    </row>
    <row r="7" spans="1:8" x14ac:dyDescent="0.35">
      <c r="A7" s="81" t="s">
        <v>24</v>
      </c>
      <c r="B7" s="83">
        <v>47.241</v>
      </c>
      <c r="C7" s="115"/>
      <c r="D7" s="81" t="s">
        <v>82</v>
      </c>
      <c r="E7" s="83">
        <v>29.754000000000001</v>
      </c>
      <c r="F7" s="116"/>
      <c r="G7" s="81" t="s">
        <v>64</v>
      </c>
      <c r="H7" s="83">
        <v>35.756712899999997</v>
      </c>
    </row>
    <row r="8" spans="1:8" x14ac:dyDescent="0.35">
      <c r="A8" s="81" t="s">
        <v>126</v>
      </c>
      <c r="B8" s="83">
        <v>15.312000000000001</v>
      </c>
      <c r="C8" s="115"/>
      <c r="D8" s="81" t="s">
        <v>89</v>
      </c>
      <c r="E8" s="83">
        <v>68.903999999999996</v>
      </c>
      <c r="F8" s="116"/>
      <c r="G8" s="81" t="s">
        <v>66</v>
      </c>
      <c r="H8" s="83">
        <v>11.589652800000001</v>
      </c>
    </row>
    <row r="9" spans="1:8" x14ac:dyDescent="0.35">
      <c r="A9" s="81" t="s">
        <v>129</v>
      </c>
      <c r="B9" s="83">
        <v>44.109000000000002</v>
      </c>
      <c r="C9" s="115"/>
      <c r="D9" s="81" t="s">
        <v>101</v>
      </c>
      <c r="E9" s="83">
        <v>45.936</v>
      </c>
      <c r="F9" s="116"/>
      <c r="G9" s="81" t="s">
        <v>77</v>
      </c>
      <c r="H9" s="83">
        <v>33.386102100000002</v>
      </c>
    </row>
    <row r="10" spans="1:8" x14ac:dyDescent="0.35">
      <c r="A10" s="81" t="s">
        <v>130</v>
      </c>
      <c r="B10" s="83">
        <v>65.424000000000007</v>
      </c>
      <c r="C10" s="115"/>
      <c r="D10" s="81" t="s">
        <v>108</v>
      </c>
      <c r="E10" s="83">
        <v>29.231999999999999</v>
      </c>
      <c r="F10" s="116"/>
      <c r="G10" s="81" t="s">
        <v>78</v>
      </c>
      <c r="H10" s="83">
        <v>49.519425600000005</v>
      </c>
    </row>
    <row r="11" spans="1:8" x14ac:dyDescent="0.35">
      <c r="A11" s="81" t="s">
        <v>139</v>
      </c>
      <c r="B11" s="83">
        <v>19.488</v>
      </c>
      <c r="C11" s="115"/>
      <c r="D11" s="81" t="s">
        <v>113</v>
      </c>
      <c r="E11" s="83">
        <v>39.933</v>
      </c>
      <c r="F11" s="116"/>
      <c r="G11" s="81" t="s">
        <v>205</v>
      </c>
      <c r="H11" s="83">
        <f>SUM(H5:H10)</f>
        <v>182.99798369999999</v>
      </c>
    </row>
    <row r="12" spans="1:8" x14ac:dyDescent="0.35">
      <c r="A12" s="81" t="s">
        <v>140</v>
      </c>
      <c r="B12" s="83">
        <v>28.014000000000003</v>
      </c>
      <c r="C12" s="115"/>
      <c r="D12" s="81" t="s">
        <v>205</v>
      </c>
      <c r="E12" s="83">
        <f>SUM(E5:E11)</f>
        <v>301.02</v>
      </c>
      <c r="F12" s="116"/>
      <c r="G12" s="114"/>
      <c r="H12" s="114"/>
    </row>
    <row r="13" spans="1:8" x14ac:dyDescent="0.35">
      <c r="A13" s="81" t="s">
        <v>147</v>
      </c>
      <c r="B13" s="83">
        <v>41.411999999999999</v>
      </c>
      <c r="C13" s="115"/>
      <c r="D13" s="114"/>
      <c r="E13" s="114"/>
      <c r="F13" s="116"/>
      <c r="G13" s="117"/>
      <c r="H13" s="117"/>
    </row>
    <row r="14" spans="1:8" x14ac:dyDescent="0.35">
      <c r="A14" s="81" t="s">
        <v>205</v>
      </c>
      <c r="B14" s="83">
        <f>SUM(B5:B13)</f>
        <v>330.68700000000001</v>
      </c>
      <c r="C14" s="115"/>
      <c r="D14" s="117"/>
      <c r="E14" s="117"/>
      <c r="F14" s="116"/>
      <c r="G14" s="117"/>
      <c r="H14" s="117"/>
    </row>
  </sheetData>
  <mergeCells count="9">
    <mergeCell ref="C4:C14"/>
    <mergeCell ref="D13:E14"/>
    <mergeCell ref="F4:F14"/>
    <mergeCell ref="G12:H14"/>
    <mergeCell ref="B1:D1"/>
    <mergeCell ref="E1:F1"/>
    <mergeCell ref="B2:D2"/>
    <mergeCell ref="E2:F2"/>
    <mergeCell ref="A3:H3"/>
  </mergeCells>
  <pageMargins left="0.7" right="0.7" top="0.75" bottom="0.75" header="0.3" footer="0.3"/>
  <ignoredErrors>
    <ignoredError sqref="D7 G7:G8 G5:G6 D5:D6 D8 D9 D10:D11 G9:G10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85" zoomScaleNormal="85" workbookViewId="0">
      <selection activeCell="A4" sqref="A4"/>
    </sheetView>
  </sheetViews>
  <sheetFormatPr defaultRowHeight="18" x14ac:dyDescent="0.35"/>
  <cols>
    <col min="1" max="1" width="8.33203125" style="48" bestFit="1" customWidth="1"/>
    <col min="2" max="2" width="12.88671875" style="48" bestFit="1" customWidth="1"/>
    <col min="3" max="3" width="21.109375" style="48" customWidth="1"/>
    <col min="4" max="5" width="13.88671875" style="48" customWidth="1"/>
    <col min="6" max="6" width="11.33203125" style="48" customWidth="1"/>
    <col min="7" max="16384" width="8.88671875" style="48"/>
  </cols>
  <sheetData>
    <row r="1" spans="1:6" ht="36" customHeight="1" x14ac:dyDescent="0.35">
      <c r="A1" s="50" t="s">
        <v>221</v>
      </c>
      <c r="B1" s="124" t="s">
        <v>214</v>
      </c>
      <c r="C1" s="125"/>
      <c r="D1" s="126"/>
      <c r="E1" s="50" t="s">
        <v>4</v>
      </c>
      <c r="F1" s="50" t="s">
        <v>206</v>
      </c>
    </row>
    <row r="2" spans="1:6" ht="38.4" customHeight="1" x14ac:dyDescent="0.35">
      <c r="A2" s="51">
        <v>1</v>
      </c>
      <c r="B2" s="127" t="s">
        <v>55</v>
      </c>
      <c r="C2" s="128"/>
      <c r="D2" s="129"/>
      <c r="E2" s="66" t="s">
        <v>6</v>
      </c>
      <c r="F2" s="65">
        <f>E10+B14</f>
        <v>104</v>
      </c>
    </row>
    <row r="3" spans="1:6" ht="9.6" customHeight="1" x14ac:dyDescent="0.35">
      <c r="A3" s="130"/>
      <c r="B3" s="130"/>
      <c r="C3" s="130"/>
      <c r="D3" s="130"/>
      <c r="E3" s="130"/>
      <c r="F3" s="130"/>
    </row>
    <row r="4" spans="1:6" ht="36" x14ac:dyDescent="0.35">
      <c r="A4" s="72" t="s">
        <v>224</v>
      </c>
      <c r="B4" s="70" t="s">
        <v>222</v>
      </c>
      <c r="C4" s="120"/>
      <c r="D4" s="72" t="s">
        <v>224</v>
      </c>
      <c r="E4" s="70" t="s">
        <v>222</v>
      </c>
      <c r="F4" s="120"/>
    </row>
    <row r="5" spans="1:6" x14ac:dyDescent="0.35">
      <c r="A5" s="75" t="s">
        <v>129</v>
      </c>
      <c r="B5" s="76">
        <v>4.9000000000000004</v>
      </c>
      <c r="C5" s="120"/>
      <c r="D5" s="75" t="s">
        <v>62</v>
      </c>
      <c r="E5" s="76">
        <v>5.0999999999999996</v>
      </c>
      <c r="F5" s="120"/>
    </row>
    <row r="6" spans="1:6" x14ac:dyDescent="0.35">
      <c r="A6" s="75" t="s">
        <v>131</v>
      </c>
      <c r="B6" s="76">
        <v>6.7</v>
      </c>
      <c r="C6" s="120"/>
      <c r="D6" s="75" t="s">
        <v>65</v>
      </c>
      <c r="E6" s="76">
        <v>6.5</v>
      </c>
      <c r="F6" s="120"/>
    </row>
    <row r="7" spans="1:6" x14ac:dyDescent="0.35">
      <c r="A7" s="75" t="s">
        <v>143</v>
      </c>
      <c r="B7" s="76">
        <v>10.7</v>
      </c>
      <c r="C7" s="120"/>
      <c r="D7" s="75" t="s">
        <v>64</v>
      </c>
      <c r="E7" s="76">
        <v>4.8</v>
      </c>
      <c r="F7" s="120"/>
    </row>
    <row r="8" spans="1:6" x14ac:dyDescent="0.35">
      <c r="A8" s="75" t="s">
        <v>144</v>
      </c>
      <c r="B8" s="76">
        <v>6.3</v>
      </c>
      <c r="C8" s="120"/>
      <c r="D8" s="75" t="s">
        <v>75</v>
      </c>
      <c r="E8" s="76">
        <v>6.3</v>
      </c>
      <c r="F8" s="120"/>
    </row>
    <row r="9" spans="1:6" x14ac:dyDescent="0.35">
      <c r="A9" s="75" t="s">
        <v>84</v>
      </c>
      <c r="B9" s="76">
        <v>5.4</v>
      </c>
      <c r="C9" s="120"/>
      <c r="D9" s="75" t="s">
        <v>76</v>
      </c>
      <c r="E9" s="76">
        <v>6.1</v>
      </c>
      <c r="F9" s="120"/>
    </row>
    <row r="10" spans="1:6" x14ac:dyDescent="0.35">
      <c r="A10" s="75" t="s">
        <v>86</v>
      </c>
      <c r="B10" s="76">
        <v>4.9000000000000004</v>
      </c>
      <c r="C10" s="120"/>
      <c r="D10" s="51"/>
      <c r="E10" s="49">
        <f>SUM(E5:E9)</f>
        <v>28.799999999999997</v>
      </c>
      <c r="F10" s="120"/>
    </row>
    <row r="11" spans="1:6" x14ac:dyDescent="0.35">
      <c r="A11" s="75" t="s">
        <v>88</v>
      </c>
      <c r="B11" s="76">
        <v>6.6</v>
      </c>
      <c r="C11" s="120"/>
      <c r="D11" s="131"/>
      <c r="E11" s="131"/>
      <c r="F11" s="120"/>
    </row>
    <row r="12" spans="1:6" x14ac:dyDescent="0.35">
      <c r="A12" s="75" t="s">
        <v>223</v>
      </c>
      <c r="B12" s="76">
        <v>23.4</v>
      </c>
      <c r="C12" s="120"/>
      <c r="D12" s="116"/>
      <c r="E12" s="116"/>
      <c r="F12" s="120"/>
    </row>
    <row r="13" spans="1:6" x14ac:dyDescent="0.35">
      <c r="A13" s="75" t="s">
        <v>109</v>
      </c>
      <c r="B13" s="76">
        <v>6.3</v>
      </c>
      <c r="C13" s="120"/>
      <c r="D13" s="116"/>
      <c r="E13" s="116"/>
      <c r="F13" s="120"/>
    </row>
    <row r="14" spans="1:6" x14ac:dyDescent="0.35">
      <c r="A14" s="51"/>
      <c r="B14" s="49">
        <f>SUM(B5:B13)</f>
        <v>75.2</v>
      </c>
      <c r="C14" s="120"/>
      <c r="D14" s="116"/>
      <c r="E14" s="116"/>
      <c r="F14" s="120"/>
    </row>
  </sheetData>
  <mergeCells count="6">
    <mergeCell ref="B1:D1"/>
    <mergeCell ref="B2:D2"/>
    <mergeCell ref="A3:F3"/>
    <mergeCell ref="C4:C14"/>
    <mergeCell ref="F4:F14"/>
    <mergeCell ref="D11:E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85" zoomScaleNormal="85" workbookViewId="0">
      <selection activeCell="B2" sqref="B2:D2"/>
    </sheetView>
  </sheetViews>
  <sheetFormatPr defaultRowHeight="18" x14ac:dyDescent="0.35"/>
  <cols>
    <col min="1" max="1" width="8.33203125" style="48" bestFit="1" customWidth="1"/>
    <col min="2" max="2" width="12.88671875" style="48" bestFit="1" customWidth="1"/>
    <col min="3" max="3" width="21.109375" style="48" customWidth="1"/>
    <col min="4" max="5" width="13.886718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80.400000000000006" customHeight="1" x14ac:dyDescent="0.35">
      <c r="A2" s="51">
        <v>1</v>
      </c>
      <c r="B2" s="127" t="s">
        <v>251</v>
      </c>
      <c r="C2" s="128"/>
      <c r="D2" s="129"/>
      <c r="E2" s="66" t="s">
        <v>174</v>
      </c>
      <c r="F2" s="66" t="s">
        <v>6</v>
      </c>
      <c r="G2" s="65">
        <f>B16+E13</f>
        <v>50.6</v>
      </c>
    </row>
    <row r="3" spans="1:7" ht="10.8" customHeight="1" x14ac:dyDescent="0.35">
      <c r="A3" s="130"/>
      <c r="B3" s="130"/>
      <c r="C3" s="130"/>
      <c r="D3" s="130"/>
      <c r="E3" s="130"/>
      <c r="F3" s="130"/>
      <c r="G3" s="130"/>
    </row>
    <row r="4" spans="1:7" ht="36" x14ac:dyDescent="0.35">
      <c r="A4" s="72" t="s">
        <v>224</v>
      </c>
      <c r="B4" s="70" t="s">
        <v>222</v>
      </c>
      <c r="C4" s="120"/>
      <c r="D4" s="72" t="s">
        <v>224</v>
      </c>
      <c r="E4" s="70" t="s">
        <v>222</v>
      </c>
      <c r="F4" s="120"/>
      <c r="G4" s="120"/>
    </row>
    <row r="5" spans="1:7" x14ac:dyDescent="0.35">
      <c r="A5" s="75" t="s">
        <v>25</v>
      </c>
      <c r="B5" s="76">
        <v>2.9</v>
      </c>
      <c r="C5" s="120"/>
      <c r="D5" s="75" t="s">
        <v>47</v>
      </c>
      <c r="E5" s="76">
        <v>3.2</v>
      </c>
      <c r="F5" s="120"/>
      <c r="G5" s="120"/>
    </row>
    <row r="6" spans="1:7" x14ac:dyDescent="0.35">
      <c r="A6" s="75" t="s">
        <v>26</v>
      </c>
      <c r="B6" s="76">
        <v>2.8</v>
      </c>
      <c r="C6" s="120"/>
      <c r="D6" s="75" t="s">
        <v>48</v>
      </c>
      <c r="E6" s="76">
        <v>4.5999999999999996</v>
      </c>
      <c r="F6" s="120"/>
      <c r="G6" s="120"/>
    </row>
    <row r="7" spans="1:7" x14ac:dyDescent="0.35">
      <c r="A7" s="75" t="s">
        <v>27</v>
      </c>
      <c r="B7" s="76">
        <v>2.9</v>
      </c>
      <c r="C7" s="120"/>
      <c r="D7" s="75" t="s">
        <v>49</v>
      </c>
      <c r="E7" s="76">
        <v>1.5</v>
      </c>
      <c r="F7" s="120"/>
      <c r="G7" s="120"/>
    </row>
    <row r="8" spans="1:7" x14ac:dyDescent="0.35">
      <c r="A8" s="75"/>
      <c r="B8" s="76"/>
      <c r="C8" s="120"/>
      <c r="D8" s="75" t="s">
        <v>50</v>
      </c>
      <c r="E8" s="76">
        <v>3.2</v>
      </c>
      <c r="F8" s="120"/>
      <c r="G8" s="120"/>
    </row>
    <row r="9" spans="1:7" x14ac:dyDescent="0.35">
      <c r="A9" s="75" t="s">
        <v>35</v>
      </c>
      <c r="B9" s="76">
        <v>2.7</v>
      </c>
      <c r="C9" s="120"/>
      <c r="D9" s="75" t="s">
        <v>51</v>
      </c>
      <c r="E9" s="76">
        <v>2.4</v>
      </c>
      <c r="F9" s="120"/>
      <c r="G9" s="120"/>
    </row>
    <row r="10" spans="1:7" x14ac:dyDescent="0.35">
      <c r="A10" s="75" t="s">
        <v>36</v>
      </c>
      <c r="B10" s="76">
        <v>4.2</v>
      </c>
      <c r="C10" s="120"/>
      <c r="D10" s="75" t="s">
        <v>52</v>
      </c>
      <c r="E10" s="76">
        <v>2.4</v>
      </c>
      <c r="F10" s="120"/>
      <c r="G10" s="120"/>
    </row>
    <row r="11" spans="1:7" x14ac:dyDescent="0.35">
      <c r="A11" s="75" t="s">
        <v>37</v>
      </c>
      <c r="B11" s="76">
        <v>1.8</v>
      </c>
      <c r="C11" s="120"/>
      <c r="D11" s="75" t="s">
        <v>53</v>
      </c>
      <c r="E11" s="76">
        <v>2.6</v>
      </c>
      <c r="F11" s="120"/>
      <c r="G11" s="120"/>
    </row>
    <row r="12" spans="1:7" x14ac:dyDescent="0.35">
      <c r="A12" s="75" t="s">
        <v>38</v>
      </c>
      <c r="B12" s="76">
        <v>2.7</v>
      </c>
      <c r="C12" s="120"/>
      <c r="D12" s="75" t="s">
        <v>54</v>
      </c>
      <c r="E12" s="76">
        <v>2.5</v>
      </c>
      <c r="F12" s="120"/>
      <c r="G12" s="120"/>
    </row>
    <row r="13" spans="1:7" x14ac:dyDescent="0.35">
      <c r="A13" s="75" t="s">
        <v>39</v>
      </c>
      <c r="B13" s="76">
        <v>2.7</v>
      </c>
      <c r="C13" s="120"/>
      <c r="D13" s="51"/>
      <c r="E13" s="49">
        <f>SUM(E5:E12)</f>
        <v>22.400000000000002</v>
      </c>
      <c r="F13" s="120"/>
      <c r="G13" s="120"/>
    </row>
    <row r="14" spans="1:7" x14ac:dyDescent="0.35">
      <c r="A14" s="75" t="s">
        <v>40</v>
      </c>
      <c r="B14" s="76">
        <v>2.8</v>
      </c>
      <c r="C14" s="120"/>
      <c r="D14" s="131"/>
      <c r="E14" s="131"/>
      <c r="F14" s="120"/>
      <c r="G14" s="120"/>
    </row>
    <row r="15" spans="1:7" x14ac:dyDescent="0.35">
      <c r="A15" s="75" t="s">
        <v>34</v>
      </c>
      <c r="B15" s="76">
        <v>2.7</v>
      </c>
      <c r="C15" s="120"/>
      <c r="D15" s="120"/>
      <c r="E15" s="120"/>
      <c r="F15" s="120"/>
      <c r="G15" s="120"/>
    </row>
    <row r="16" spans="1:7" x14ac:dyDescent="0.35">
      <c r="A16" s="51"/>
      <c r="B16" s="49">
        <f>SUM(B5:B15)</f>
        <v>28.2</v>
      </c>
      <c r="C16" s="120"/>
      <c r="D16" s="120"/>
      <c r="E16" s="120"/>
      <c r="F16" s="120"/>
      <c r="G16" s="120"/>
    </row>
  </sheetData>
  <mergeCells count="6">
    <mergeCell ref="B1:D1"/>
    <mergeCell ref="B2:D2"/>
    <mergeCell ref="A3:G3"/>
    <mergeCell ref="C4:C16"/>
    <mergeCell ref="F4:G16"/>
    <mergeCell ref="D14:E1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B2" sqref="B2:D2"/>
    </sheetView>
  </sheetViews>
  <sheetFormatPr defaultRowHeight="18" x14ac:dyDescent="0.35"/>
  <cols>
    <col min="1" max="1" width="8.33203125" style="48" bestFit="1" customWidth="1"/>
    <col min="2" max="2" width="12.88671875" style="48" bestFit="1" customWidth="1"/>
    <col min="3" max="3" width="21.109375" style="48" customWidth="1"/>
    <col min="4" max="5" width="13.886718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38.4" customHeight="1" x14ac:dyDescent="0.35">
      <c r="A2" s="51">
        <v>1</v>
      </c>
      <c r="B2" s="127" t="s">
        <v>248</v>
      </c>
      <c r="C2" s="128"/>
      <c r="D2" s="129"/>
      <c r="E2" s="66" t="s">
        <v>180</v>
      </c>
      <c r="F2" s="66" t="s">
        <v>6</v>
      </c>
      <c r="G2" s="65">
        <v>5.3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85" zoomScaleNormal="85" workbookViewId="0">
      <selection activeCell="C9" sqref="C9"/>
    </sheetView>
  </sheetViews>
  <sheetFormatPr defaultRowHeight="18" x14ac:dyDescent="0.35"/>
  <cols>
    <col min="1" max="1" width="11.6640625" style="48" bestFit="1" customWidth="1"/>
    <col min="2" max="2" width="12.44140625" style="48" bestFit="1" customWidth="1"/>
    <col min="3" max="3" width="21.109375" style="48" customWidth="1"/>
    <col min="4" max="4" width="51.88671875" style="48" customWidth="1"/>
    <col min="5" max="5" width="10.21875" style="48" bestFit="1" customWidth="1"/>
    <col min="6" max="6" width="18.44140625" style="48" bestFit="1" customWidth="1"/>
    <col min="7" max="16384" width="8.88671875" style="48"/>
  </cols>
  <sheetData>
    <row r="1" spans="1:6" ht="36" customHeight="1" x14ac:dyDescent="0.35">
      <c r="A1" s="50" t="s">
        <v>221</v>
      </c>
      <c r="B1" s="124" t="s">
        <v>214</v>
      </c>
      <c r="C1" s="125"/>
      <c r="D1" s="73" t="s">
        <v>3</v>
      </c>
      <c r="E1" s="50" t="s">
        <v>4</v>
      </c>
      <c r="F1" s="50" t="s">
        <v>213</v>
      </c>
    </row>
    <row r="2" spans="1:6" ht="108" x14ac:dyDescent="0.35">
      <c r="A2" s="51">
        <v>1</v>
      </c>
      <c r="B2" s="113" t="s">
        <v>250</v>
      </c>
      <c r="C2" s="113"/>
      <c r="D2" s="103" t="s">
        <v>254</v>
      </c>
      <c r="E2" s="66" t="s">
        <v>6</v>
      </c>
      <c r="F2" s="65">
        <f>B8</f>
        <v>1990.8199999999997</v>
      </c>
    </row>
    <row r="3" spans="1:6" x14ac:dyDescent="0.35">
      <c r="A3" s="131"/>
      <c r="B3" s="131"/>
      <c r="C3" s="131"/>
      <c r="D3" s="131"/>
      <c r="E3" s="131"/>
      <c r="F3" s="131"/>
    </row>
    <row r="4" spans="1:6" x14ac:dyDescent="0.35">
      <c r="A4" s="77" t="s">
        <v>225</v>
      </c>
      <c r="B4" s="77" t="s">
        <v>226</v>
      </c>
      <c r="C4" s="115"/>
      <c r="D4" s="120"/>
      <c r="E4" s="120"/>
      <c r="F4" s="120"/>
    </row>
    <row r="5" spans="1:6" x14ac:dyDescent="0.35">
      <c r="A5" s="77">
        <v>1</v>
      </c>
      <c r="B5" s="77">
        <f>546.8*1.3</f>
        <v>710.83999999999992</v>
      </c>
      <c r="C5" s="115"/>
      <c r="D5" s="120"/>
      <c r="E5" s="120"/>
      <c r="F5" s="120"/>
    </row>
    <row r="6" spans="1:6" x14ac:dyDescent="0.35">
      <c r="A6" s="77">
        <v>2</v>
      </c>
      <c r="B6" s="77">
        <f>569.3*1.3</f>
        <v>740.08999999999992</v>
      </c>
      <c r="C6" s="115"/>
      <c r="D6" s="120"/>
      <c r="E6" s="120"/>
      <c r="F6" s="120"/>
    </row>
    <row r="7" spans="1:6" x14ac:dyDescent="0.35">
      <c r="A7" s="77">
        <v>3</v>
      </c>
      <c r="B7" s="77">
        <f>415.3*1.3</f>
        <v>539.89</v>
      </c>
      <c r="C7" s="115"/>
      <c r="D7" s="120"/>
      <c r="E7" s="120"/>
      <c r="F7" s="120"/>
    </row>
    <row r="8" spans="1:6" x14ac:dyDescent="0.35">
      <c r="A8" s="77" t="s">
        <v>205</v>
      </c>
      <c r="B8" s="77">
        <f>SUM(B5:B7)</f>
        <v>1990.8199999999997</v>
      </c>
      <c r="C8" s="115"/>
      <c r="D8" s="120"/>
      <c r="E8" s="120"/>
      <c r="F8" s="120"/>
    </row>
  </sheetData>
  <mergeCells count="4">
    <mergeCell ref="B1:C1"/>
    <mergeCell ref="B2:C2"/>
    <mergeCell ref="A3:F3"/>
    <mergeCell ref="C4:F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G7" sqref="G7"/>
    </sheetView>
  </sheetViews>
  <sheetFormatPr defaultRowHeight="18" x14ac:dyDescent="0.35"/>
  <cols>
    <col min="1" max="1" width="8.33203125" style="48" bestFit="1" customWidth="1"/>
    <col min="2" max="2" width="15.109375" style="48" customWidth="1"/>
    <col min="3" max="3" width="21.109375" style="48" customWidth="1"/>
    <col min="4" max="4" width="5.21875" style="48" customWidth="1"/>
    <col min="5" max="5" width="36.55468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24" t="s">
        <v>214</v>
      </c>
      <c r="C1" s="125"/>
      <c r="D1" s="126"/>
      <c r="E1" s="73" t="s">
        <v>3</v>
      </c>
      <c r="F1" s="50" t="s">
        <v>4</v>
      </c>
      <c r="G1" s="50" t="s">
        <v>213</v>
      </c>
    </row>
    <row r="2" spans="1:7" ht="54" x14ac:dyDescent="0.35">
      <c r="A2" s="51">
        <v>1</v>
      </c>
      <c r="B2" s="127" t="s">
        <v>227</v>
      </c>
      <c r="C2" s="128"/>
      <c r="D2" s="129"/>
      <c r="E2" s="74" t="s">
        <v>253</v>
      </c>
      <c r="F2" s="66" t="s">
        <v>6</v>
      </c>
      <c r="G2" s="65">
        <v>171.1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85" zoomScaleNormal="85" workbookViewId="0">
      <selection activeCell="D4" sqref="D4"/>
    </sheetView>
  </sheetViews>
  <sheetFormatPr defaultRowHeight="18" x14ac:dyDescent="0.35"/>
  <cols>
    <col min="1" max="1" width="8.33203125" style="48" bestFit="1" customWidth="1"/>
    <col min="2" max="2" width="28" style="48" customWidth="1"/>
    <col min="3" max="3" width="21.109375" style="48" customWidth="1"/>
    <col min="4" max="5" width="13.886718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06" t="s">
        <v>214</v>
      </c>
      <c r="C1" s="125" t="s">
        <v>3</v>
      </c>
      <c r="D1" s="125"/>
      <c r="E1" s="126"/>
      <c r="F1" s="50" t="s">
        <v>4</v>
      </c>
      <c r="G1" s="50" t="s">
        <v>213</v>
      </c>
    </row>
    <row r="2" spans="1:7" ht="72.599999999999994" customHeight="1" x14ac:dyDescent="0.35">
      <c r="A2" s="51">
        <v>1</v>
      </c>
      <c r="B2" s="107" t="s">
        <v>249</v>
      </c>
      <c r="C2" s="132" t="s">
        <v>257</v>
      </c>
      <c r="D2" s="132"/>
      <c r="E2" s="133"/>
      <c r="F2" s="66" t="s">
        <v>6</v>
      </c>
      <c r="G2" s="65">
        <f>E14+B11</f>
        <v>117.39999999999999</v>
      </c>
    </row>
    <row r="3" spans="1:7" ht="10.8" customHeight="1" x14ac:dyDescent="0.35">
      <c r="A3" s="130"/>
      <c r="B3" s="130"/>
      <c r="C3" s="130"/>
      <c r="D3" s="130"/>
      <c r="E3" s="130"/>
      <c r="F3" s="130"/>
      <c r="G3" s="130"/>
    </row>
    <row r="4" spans="1:7" ht="36" x14ac:dyDescent="0.35">
      <c r="A4" s="72" t="s">
        <v>224</v>
      </c>
      <c r="B4" s="70" t="s">
        <v>222</v>
      </c>
      <c r="C4" s="120"/>
      <c r="D4" s="100" t="s">
        <v>224</v>
      </c>
      <c r="E4" s="100" t="s">
        <v>222</v>
      </c>
      <c r="F4" s="120"/>
      <c r="G4" s="120"/>
    </row>
    <row r="5" spans="1:7" x14ac:dyDescent="0.35">
      <c r="A5" s="75" t="s">
        <v>125</v>
      </c>
      <c r="B5" s="76">
        <v>10</v>
      </c>
      <c r="C5" s="120"/>
      <c r="D5" s="75" t="s">
        <v>87</v>
      </c>
      <c r="E5" s="100">
        <v>15.1</v>
      </c>
      <c r="F5" s="120"/>
      <c r="G5" s="120"/>
    </row>
    <row r="6" spans="1:7" x14ac:dyDescent="0.35">
      <c r="A6" s="75" t="s">
        <v>124</v>
      </c>
      <c r="B6" s="76">
        <v>10.4</v>
      </c>
      <c r="C6" s="120"/>
      <c r="D6" s="75" t="s">
        <v>85</v>
      </c>
      <c r="E6" s="76">
        <v>9.5</v>
      </c>
      <c r="F6" s="120"/>
      <c r="G6" s="120"/>
    </row>
    <row r="7" spans="1:7" x14ac:dyDescent="0.35">
      <c r="A7" s="75" t="s">
        <v>137</v>
      </c>
      <c r="B7" s="76">
        <v>5</v>
      </c>
      <c r="C7" s="120"/>
      <c r="D7" s="75" t="s">
        <v>105</v>
      </c>
      <c r="E7" s="76">
        <v>8.4</v>
      </c>
      <c r="F7" s="120"/>
      <c r="G7" s="120"/>
    </row>
    <row r="8" spans="1:7" x14ac:dyDescent="0.35">
      <c r="A8" s="75" t="s">
        <v>138</v>
      </c>
      <c r="B8" s="76">
        <v>6</v>
      </c>
      <c r="C8" s="120"/>
      <c r="D8" s="75" t="s">
        <v>106</v>
      </c>
      <c r="E8" s="76">
        <v>5.6</v>
      </c>
      <c r="F8" s="120"/>
      <c r="G8" s="120"/>
    </row>
    <row r="9" spans="1:7" x14ac:dyDescent="0.35">
      <c r="A9" s="75" t="s">
        <v>142</v>
      </c>
      <c r="B9" s="76">
        <v>6.4</v>
      </c>
      <c r="C9" s="120"/>
      <c r="D9" s="75" t="s">
        <v>107</v>
      </c>
      <c r="E9" s="76">
        <v>6.2</v>
      </c>
      <c r="F9" s="120"/>
      <c r="G9" s="120"/>
    </row>
    <row r="10" spans="1:7" x14ac:dyDescent="0.35">
      <c r="A10" s="75" t="s">
        <v>150</v>
      </c>
      <c r="B10" s="76">
        <v>2.2000000000000002</v>
      </c>
      <c r="C10" s="120"/>
      <c r="D10" s="75" t="s">
        <v>63</v>
      </c>
      <c r="E10" s="76">
        <v>11.9</v>
      </c>
      <c r="F10" s="120"/>
      <c r="G10" s="120"/>
    </row>
    <row r="11" spans="1:7" x14ac:dyDescent="0.35">
      <c r="A11" s="51"/>
      <c r="B11" s="49">
        <f>SUM(B5:B10)</f>
        <v>40</v>
      </c>
      <c r="C11" s="120"/>
      <c r="D11" s="75" t="s">
        <v>72</v>
      </c>
      <c r="E11" s="76">
        <v>8.6</v>
      </c>
      <c r="F11" s="120"/>
      <c r="G11" s="120"/>
    </row>
    <row r="12" spans="1:7" x14ac:dyDescent="0.35">
      <c r="A12" s="131"/>
      <c r="B12" s="131"/>
      <c r="C12" s="120"/>
      <c r="D12" s="75" t="s">
        <v>73</v>
      </c>
      <c r="E12" s="76">
        <v>6</v>
      </c>
      <c r="F12" s="120"/>
      <c r="G12" s="120"/>
    </row>
    <row r="13" spans="1:7" x14ac:dyDescent="0.35">
      <c r="A13" s="116"/>
      <c r="B13" s="116"/>
      <c r="C13" s="120"/>
      <c r="D13" s="75" t="s">
        <v>74</v>
      </c>
      <c r="E13" s="76">
        <v>6.1</v>
      </c>
      <c r="F13" s="120"/>
      <c r="G13" s="120"/>
    </row>
    <row r="14" spans="1:7" x14ac:dyDescent="0.35">
      <c r="A14" s="116"/>
      <c r="B14" s="116"/>
      <c r="C14" s="120"/>
      <c r="D14" s="51"/>
      <c r="E14" s="49">
        <f>SUM(E5:E13)</f>
        <v>77.399999999999991</v>
      </c>
      <c r="F14" s="120"/>
      <c r="G14" s="120"/>
    </row>
  </sheetData>
  <mergeCells count="6">
    <mergeCell ref="A3:G3"/>
    <mergeCell ref="F4:G14"/>
    <mergeCell ref="C4:C14"/>
    <mergeCell ref="A12:B14"/>
    <mergeCell ref="C1:E1"/>
    <mergeCell ref="C2:E2"/>
  </mergeCells>
  <pageMargins left="0.7" right="0.7" top="0.75" bottom="0.75" header="0.3" footer="0.3"/>
  <ignoredErrors>
    <ignoredError sqref="A5:A10 D6:D13" twoDigitTextYear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85" zoomScaleNormal="85" workbookViewId="0">
      <selection activeCell="C2" sqref="C2:E2"/>
    </sheetView>
  </sheetViews>
  <sheetFormatPr defaultRowHeight="18" x14ac:dyDescent="0.35"/>
  <cols>
    <col min="1" max="1" width="8.33203125" style="48" bestFit="1" customWidth="1"/>
    <col min="2" max="2" width="27.33203125" style="48" customWidth="1"/>
    <col min="3" max="3" width="26.5546875" style="48" customWidth="1"/>
    <col min="4" max="5" width="13.886718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04" t="s">
        <v>214</v>
      </c>
      <c r="C1" s="111" t="s">
        <v>3</v>
      </c>
      <c r="D1" s="111"/>
      <c r="E1" s="111"/>
      <c r="F1" s="50" t="s">
        <v>4</v>
      </c>
      <c r="G1" s="50" t="s">
        <v>213</v>
      </c>
    </row>
    <row r="2" spans="1:7" ht="93" customHeight="1" x14ac:dyDescent="0.35">
      <c r="A2" s="51">
        <v>1</v>
      </c>
      <c r="B2" s="105" t="s">
        <v>249</v>
      </c>
      <c r="C2" s="134" t="s">
        <v>256</v>
      </c>
      <c r="D2" s="134"/>
      <c r="E2" s="134"/>
      <c r="F2" s="66" t="s">
        <v>6</v>
      </c>
      <c r="G2" s="65">
        <f>E10+B14</f>
        <v>104</v>
      </c>
    </row>
    <row r="3" spans="1:7" ht="9.6" customHeight="1" x14ac:dyDescent="0.35">
      <c r="A3" s="130"/>
      <c r="B3" s="130"/>
      <c r="C3" s="130"/>
      <c r="D3" s="130"/>
      <c r="E3" s="130"/>
      <c r="F3" s="130"/>
      <c r="G3" s="130"/>
    </row>
    <row r="4" spans="1:7" ht="36" x14ac:dyDescent="0.35">
      <c r="A4" s="72" t="s">
        <v>224</v>
      </c>
      <c r="B4" s="70" t="s">
        <v>222</v>
      </c>
      <c r="C4" s="120"/>
      <c r="D4" s="72" t="s">
        <v>224</v>
      </c>
      <c r="E4" s="70" t="s">
        <v>222</v>
      </c>
      <c r="F4" s="120"/>
      <c r="G4" s="120"/>
    </row>
    <row r="5" spans="1:7" x14ac:dyDescent="0.35">
      <c r="A5" s="75" t="s">
        <v>129</v>
      </c>
      <c r="B5" s="76">
        <v>4.9000000000000004</v>
      </c>
      <c r="C5" s="120"/>
      <c r="D5" s="75" t="s">
        <v>62</v>
      </c>
      <c r="E5" s="76">
        <v>5.0999999999999996</v>
      </c>
      <c r="F5" s="120"/>
      <c r="G5" s="120"/>
    </row>
    <row r="6" spans="1:7" x14ac:dyDescent="0.35">
      <c r="A6" s="75" t="s">
        <v>131</v>
      </c>
      <c r="B6" s="76">
        <v>6.7</v>
      </c>
      <c r="C6" s="120"/>
      <c r="D6" s="75" t="s">
        <v>65</v>
      </c>
      <c r="E6" s="76">
        <v>6.5</v>
      </c>
      <c r="F6" s="120"/>
      <c r="G6" s="120"/>
    </row>
    <row r="7" spans="1:7" x14ac:dyDescent="0.35">
      <c r="A7" s="75" t="s">
        <v>143</v>
      </c>
      <c r="B7" s="76">
        <v>10.7</v>
      </c>
      <c r="C7" s="120"/>
      <c r="D7" s="75" t="s">
        <v>64</v>
      </c>
      <c r="E7" s="76">
        <v>4.8</v>
      </c>
      <c r="F7" s="120"/>
      <c r="G7" s="120"/>
    </row>
    <row r="8" spans="1:7" x14ac:dyDescent="0.35">
      <c r="A8" s="75" t="s">
        <v>144</v>
      </c>
      <c r="B8" s="76">
        <v>6.3</v>
      </c>
      <c r="C8" s="120"/>
      <c r="D8" s="75" t="s">
        <v>75</v>
      </c>
      <c r="E8" s="76">
        <v>6.3</v>
      </c>
      <c r="F8" s="120"/>
      <c r="G8" s="120"/>
    </row>
    <row r="9" spans="1:7" x14ac:dyDescent="0.35">
      <c r="A9" s="75" t="s">
        <v>84</v>
      </c>
      <c r="B9" s="76">
        <v>5.4</v>
      </c>
      <c r="C9" s="120"/>
      <c r="D9" s="75" t="s">
        <v>76</v>
      </c>
      <c r="E9" s="76">
        <v>6.1</v>
      </c>
      <c r="F9" s="120"/>
      <c r="G9" s="120"/>
    </row>
    <row r="10" spans="1:7" x14ac:dyDescent="0.35">
      <c r="A10" s="75" t="s">
        <v>86</v>
      </c>
      <c r="B10" s="76">
        <v>4.9000000000000004</v>
      </c>
      <c r="C10" s="120"/>
      <c r="D10" s="51"/>
      <c r="E10" s="49">
        <f>SUM(E5:E9)</f>
        <v>28.799999999999997</v>
      </c>
      <c r="F10" s="120"/>
      <c r="G10" s="120"/>
    </row>
    <row r="11" spans="1:7" x14ac:dyDescent="0.35">
      <c r="A11" s="75" t="s">
        <v>88</v>
      </c>
      <c r="B11" s="76">
        <v>6.6</v>
      </c>
      <c r="C11" s="120"/>
      <c r="D11" s="131"/>
      <c r="E11" s="131"/>
      <c r="F11" s="120"/>
      <c r="G11" s="120"/>
    </row>
    <row r="12" spans="1:7" x14ac:dyDescent="0.35">
      <c r="A12" s="75" t="s">
        <v>223</v>
      </c>
      <c r="B12" s="76">
        <v>23.4</v>
      </c>
      <c r="C12" s="120"/>
      <c r="D12" s="116"/>
      <c r="E12" s="116"/>
      <c r="F12" s="120"/>
      <c r="G12" s="120"/>
    </row>
    <row r="13" spans="1:7" x14ac:dyDescent="0.35">
      <c r="A13" s="75" t="s">
        <v>109</v>
      </c>
      <c r="B13" s="76">
        <v>6.3</v>
      </c>
      <c r="C13" s="120"/>
      <c r="D13" s="116"/>
      <c r="E13" s="116"/>
      <c r="F13" s="120"/>
      <c r="G13" s="120"/>
    </row>
    <row r="14" spans="1:7" x14ac:dyDescent="0.35">
      <c r="A14" s="51"/>
      <c r="B14" s="49">
        <f>SUM(B5:B13)</f>
        <v>75.2</v>
      </c>
      <c r="C14" s="120"/>
      <c r="D14" s="116"/>
      <c r="E14" s="116"/>
      <c r="F14" s="120"/>
      <c r="G14" s="120"/>
    </row>
  </sheetData>
  <mergeCells count="6">
    <mergeCell ref="C1:E1"/>
    <mergeCell ref="C2:E2"/>
    <mergeCell ref="C4:C14"/>
    <mergeCell ref="D11:E14"/>
    <mergeCell ref="F4:G14"/>
    <mergeCell ref="A3:G3"/>
  </mergeCells>
  <pageMargins left="0.7" right="0.7" top="0.75" bottom="0.75" header="0.3" footer="0.3"/>
  <ignoredErrors>
    <ignoredError sqref="A5:A6 A7:A13 D5:D9" twoDigitTextYear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85" zoomScaleNormal="85" workbookViewId="0">
      <selection activeCell="F4" sqref="F4:G17"/>
    </sheetView>
  </sheetViews>
  <sheetFormatPr defaultRowHeight="18" x14ac:dyDescent="0.35"/>
  <cols>
    <col min="1" max="1" width="8.33203125" style="48" bestFit="1" customWidth="1"/>
    <col min="2" max="2" width="12.88671875" style="48" bestFit="1" customWidth="1"/>
    <col min="3" max="3" width="15" style="48" customWidth="1"/>
    <col min="4" max="4" width="18.33203125" style="48" customWidth="1"/>
    <col min="5" max="5" width="26.109375" style="48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11" t="s">
        <v>214</v>
      </c>
      <c r="C1" s="111"/>
      <c r="D1" s="111" t="s">
        <v>3</v>
      </c>
      <c r="E1" s="111"/>
      <c r="F1" s="50" t="s">
        <v>4</v>
      </c>
      <c r="G1" s="50" t="s">
        <v>213</v>
      </c>
    </row>
    <row r="2" spans="1:7" ht="58.2" customHeight="1" x14ac:dyDescent="0.35">
      <c r="A2" s="51">
        <v>1</v>
      </c>
      <c r="B2" s="134" t="s">
        <v>249</v>
      </c>
      <c r="C2" s="134"/>
      <c r="D2" s="134" t="s">
        <v>255</v>
      </c>
      <c r="E2" s="134"/>
      <c r="F2" s="66" t="s">
        <v>6</v>
      </c>
      <c r="G2" s="65">
        <f>E11+B17</f>
        <v>786.30000000000007</v>
      </c>
    </row>
    <row r="3" spans="1:7" ht="9.6" customHeight="1" x14ac:dyDescent="0.35">
      <c r="A3" s="130"/>
      <c r="B3" s="130"/>
      <c r="C3" s="130"/>
      <c r="D3" s="130"/>
      <c r="E3" s="130"/>
      <c r="F3" s="130"/>
      <c r="G3" s="130"/>
    </row>
    <row r="4" spans="1:7" ht="36" x14ac:dyDescent="0.35">
      <c r="A4" s="72" t="s">
        <v>224</v>
      </c>
      <c r="B4" s="70" t="s">
        <v>222</v>
      </c>
      <c r="C4" s="120"/>
      <c r="D4" s="72" t="s">
        <v>224</v>
      </c>
      <c r="E4" s="70" t="s">
        <v>222</v>
      </c>
      <c r="F4" s="120"/>
      <c r="G4" s="120"/>
    </row>
    <row r="5" spans="1:7" x14ac:dyDescent="0.35">
      <c r="A5" s="75" t="s">
        <v>17</v>
      </c>
      <c r="B5" s="76">
        <v>24</v>
      </c>
      <c r="C5" s="120"/>
      <c r="D5" s="75" t="s">
        <v>42</v>
      </c>
      <c r="E5" s="76">
        <v>24</v>
      </c>
      <c r="F5" s="120"/>
      <c r="G5" s="120"/>
    </row>
    <row r="6" spans="1:7" x14ac:dyDescent="0.35">
      <c r="A6" s="75" t="s">
        <v>18</v>
      </c>
      <c r="B6" s="76">
        <v>51.3</v>
      </c>
      <c r="C6" s="120"/>
      <c r="D6" s="75" t="s">
        <v>41</v>
      </c>
      <c r="E6" s="76">
        <v>52.1</v>
      </c>
      <c r="F6" s="120"/>
      <c r="G6" s="120"/>
    </row>
    <row r="7" spans="1:7" x14ac:dyDescent="0.35">
      <c r="A7" s="75" t="s">
        <v>19</v>
      </c>
      <c r="B7" s="76">
        <v>56.6</v>
      </c>
      <c r="C7" s="120"/>
      <c r="D7" s="75" t="s">
        <v>43</v>
      </c>
      <c r="E7" s="76">
        <v>57</v>
      </c>
      <c r="F7" s="120"/>
      <c r="G7" s="120"/>
    </row>
    <row r="8" spans="1:7" x14ac:dyDescent="0.35">
      <c r="A8" s="75" t="s">
        <v>20</v>
      </c>
      <c r="B8" s="76">
        <v>18.5</v>
      </c>
      <c r="C8" s="120"/>
      <c r="D8" s="75" t="s">
        <v>44</v>
      </c>
      <c r="E8" s="76">
        <v>24</v>
      </c>
      <c r="F8" s="120"/>
      <c r="G8" s="120"/>
    </row>
    <row r="9" spans="1:7" x14ac:dyDescent="0.35">
      <c r="A9" s="75" t="s">
        <v>22</v>
      </c>
      <c r="B9" s="76">
        <v>51.3</v>
      </c>
      <c r="C9" s="120"/>
      <c r="D9" s="75" t="s">
        <v>45</v>
      </c>
      <c r="E9" s="76">
        <v>51.6</v>
      </c>
      <c r="F9" s="120"/>
      <c r="G9" s="120"/>
    </row>
    <row r="10" spans="1:7" x14ac:dyDescent="0.35">
      <c r="A10" s="75" t="s">
        <v>23</v>
      </c>
      <c r="B10" s="76">
        <v>56.3</v>
      </c>
      <c r="C10" s="120"/>
      <c r="D10" s="75" t="s">
        <v>46</v>
      </c>
      <c r="E10" s="76">
        <v>56.3</v>
      </c>
      <c r="F10" s="120"/>
      <c r="G10" s="120"/>
    </row>
    <row r="11" spans="1:7" x14ac:dyDescent="0.35">
      <c r="A11" s="75" t="s">
        <v>29</v>
      </c>
      <c r="B11" s="76">
        <v>24</v>
      </c>
      <c r="C11" s="120"/>
      <c r="D11" s="51"/>
      <c r="E11" s="49">
        <f>SUM(E5:E10)</f>
        <v>265</v>
      </c>
      <c r="F11" s="120"/>
      <c r="G11" s="120"/>
    </row>
    <row r="12" spans="1:7" x14ac:dyDescent="0.35">
      <c r="A12" s="75" t="s">
        <v>30</v>
      </c>
      <c r="B12" s="76">
        <v>51.3</v>
      </c>
      <c r="C12" s="120"/>
      <c r="D12" s="131"/>
      <c r="E12" s="131"/>
      <c r="F12" s="120"/>
      <c r="G12" s="120"/>
    </row>
    <row r="13" spans="1:7" x14ac:dyDescent="0.35">
      <c r="A13" s="75" t="s">
        <v>31</v>
      </c>
      <c r="B13" s="76">
        <v>56.6</v>
      </c>
      <c r="C13" s="120"/>
      <c r="D13" s="120"/>
      <c r="E13" s="120"/>
      <c r="F13" s="120"/>
      <c r="G13" s="120"/>
    </row>
    <row r="14" spans="1:7" x14ac:dyDescent="0.35">
      <c r="A14" s="75" t="s">
        <v>32</v>
      </c>
      <c r="B14" s="76">
        <v>23.8</v>
      </c>
      <c r="C14" s="120"/>
      <c r="D14" s="120"/>
      <c r="E14" s="120"/>
      <c r="F14" s="120"/>
      <c r="G14" s="120"/>
    </row>
    <row r="15" spans="1:7" x14ac:dyDescent="0.35">
      <c r="A15" s="75" t="s">
        <v>33</v>
      </c>
      <c r="B15" s="76">
        <v>51.3</v>
      </c>
      <c r="C15" s="120"/>
      <c r="D15" s="120"/>
      <c r="E15" s="120"/>
      <c r="F15" s="120"/>
      <c r="G15" s="120"/>
    </row>
    <row r="16" spans="1:7" x14ac:dyDescent="0.35">
      <c r="A16" s="75" t="s">
        <v>28</v>
      </c>
      <c r="B16" s="76">
        <v>56.3</v>
      </c>
      <c r="C16" s="120"/>
      <c r="D16" s="120"/>
      <c r="E16" s="120"/>
      <c r="F16" s="120"/>
      <c r="G16" s="120"/>
    </row>
    <row r="17" spans="1:7" x14ac:dyDescent="0.35">
      <c r="A17" s="51"/>
      <c r="B17" s="49">
        <f>SUM(B5:B16)</f>
        <v>521.30000000000007</v>
      </c>
      <c r="C17" s="120"/>
      <c r="D17" s="120"/>
      <c r="E17" s="120"/>
      <c r="F17" s="120"/>
      <c r="G17" s="120"/>
    </row>
  </sheetData>
  <mergeCells count="8">
    <mergeCell ref="D1:E1"/>
    <mergeCell ref="D2:E2"/>
    <mergeCell ref="B1:C1"/>
    <mergeCell ref="A3:G3"/>
    <mergeCell ref="C4:C17"/>
    <mergeCell ref="F4:G17"/>
    <mergeCell ref="D12:E17"/>
    <mergeCell ref="B2:C2"/>
  </mergeCells>
  <pageMargins left="0.7" right="0.7" top="0.75" bottom="0.75" header="0.3" footer="0.3"/>
  <ignoredErrors>
    <ignoredError sqref="A5:A10 D5:D10 A11:A16" twoDigitTextYear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F13" sqref="F13"/>
    </sheetView>
  </sheetViews>
  <sheetFormatPr defaultRowHeight="18" x14ac:dyDescent="0.35"/>
  <cols>
    <col min="1" max="1" width="8.33203125" style="48" bestFit="1" customWidth="1"/>
    <col min="2" max="2" width="15.109375" style="48" customWidth="1"/>
    <col min="3" max="3" width="21.109375" style="48" customWidth="1"/>
    <col min="4" max="4" width="13.88671875" style="48" customWidth="1"/>
    <col min="5" max="5" width="11.88671875" style="48" bestFit="1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38.4" customHeight="1" x14ac:dyDescent="0.35">
      <c r="A2" s="51">
        <v>1</v>
      </c>
      <c r="B2" s="127" t="s">
        <v>55</v>
      </c>
      <c r="C2" s="128"/>
      <c r="D2" s="129"/>
      <c r="E2" s="66" t="s">
        <v>217</v>
      </c>
      <c r="F2" s="66" t="s">
        <v>6</v>
      </c>
      <c r="G2" s="65">
        <v>169.7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F6" sqref="F6"/>
    </sheetView>
  </sheetViews>
  <sheetFormatPr defaultRowHeight="18" x14ac:dyDescent="0.35"/>
  <cols>
    <col min="1" max="1" width="8.33203125" style="48" bestFit="1" customWidth="1"/>
    <col min="2" max="2" width="15.109375" style="48" customWidth="1"/>
    <col min="3" max="3" width="21.109375" style="48" customWidth="1"/>
    <col min="4" max="4" width="13.88671875" style="48" customWidth="1"/>
    <col min="5" max="5" width="11.88671875" style="48" bestFit="1" customWidth="1"/>
    <col min="6" max="6" width="10.21875" style="48" bestFit="1" customWidth="1"/>
    <col min="7" max="7" width="18.44140625" style="48" bestFit="1" customWidth="1"/>
    <col min="8" max="16384" width="8.88671875" style="48"/>
  </cols>
  <sheetData>
    <row r="1" spans="1:7" ht="36" customHeight="1" x14ac:dyDescent="0.35">
      <c r="A1" s="50" t="s">
        <v>221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38.4" customHeight="1" x14ac:dyDescent="0.35">
      <c r="A2" s="51">
        <v>1</v>
      </c>
      <c r="B2" s="127" t="s">
        <v>183</v>
      </c>
      <c r="C2" s="128"/>
      <c r="D2" s="129"/>
      <c r="E2" s="66" t="s">
        <v>220</v>
      </c>
      <c r="F2" s="66" t="s">
        <v>6</v>
      </c>
      <c r="G2" s="65">
        <v>242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B2" sqref="B2:D2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14" style="48" bestFit="1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7" customHeight="1" x14ac:dyDescent="0.35">
      <c r="A2" s="51">
        <v>1</v>
      </c>
      <c r="B2" s="127" t="s">
        <v>211</v>
      </c>
      <c r="C2" s="128"/>
      <c r="D2" s="129"/>
      <c r="E2" s="66" t="s">
        <v>210</v>
      </c>
      <c r="F2" s="66" t="s">
        <v>6</v>
      </c>
      <c r="G2" s="65">
        <v>14.2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activeCell="A3" sqref="A3:XFD4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14" style="48" bestFit="1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6.4" customHeight="1" x14ac:dyDescent="0.35">
      <c r="A2" s="51">
        <v>1</v>
      </c>
      <c r="B2" s="127" t="s">
        <v>211</v>
      </c>
      <c r="C2" s="128"/>
      <c r="D2" s="129"/>
      <c r="E2" s="66" t="s">
        <v>212</v>
      </c>
      <c r="F2" s="66" t="s">
        <v>6</v>
      </c>
      <c r="G2" s="65">
        <v>74.400000000000006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4" zoomScale="85" zoomScaleNormal="85" workbookViewId="0">
      <selection activeCell="A5" sqref="A5:D20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14" style="48" bestFit="1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6.4" customHeight="1" x14ac:dyDescent="0.35">
      <c r="A2" s="51">
        <v>1</v>
      </c>
      <c r="B2" s="127" t="s">
        <v>211</v>
      </c>
      <c r="C2" s="128"/>
      <c r="D2" s="129"/>
      <c r="E2" s="66" t="s">
        <v>212</v>
      </c>
      <c r="F2" s="66" t="s">
        <v>6</v>
      </c>
      <c r="G2" s="65">
        <v>74.400000000000006</v>
      </c>
    </row>
    <row r="3" spans="1:7" ht="57" customHeight="1" x14ac:dyDescent="0.35">
      <c r="A3" s="51">
        <v>2</v>
      </c>
      <c r="B3" s="127" t="s">
        <v>211</v>
      </c>
      <c r="C3" s="128"/>
      <c r="D3" s="129"/>
      <c r="E3" s="66" t="s">
        <v>210</v>
      </c>
      <c r="F3" s="66" t="s">
        <v>6</v>
      </c>
      <c r="G3" s="65">
        <v>14.2</v>
      </c>
    </row>
    <row r="4" spans="1:7" x14ac:dyDescent="0.35">
      <c r="A4" s="135"/>
      <c r="B4" s="135"/>
      <c r="C4" s="135"/>
      <c r="D4" s="135"/>
      <c r="E4" s="50" t="s">
        <v>205</v>
      </c>
      <c r="F4" s="50"/>
      <c r="G4" s="49">
        <f>SUM(G2:G3)</f>
        <v>88.600000000000009</v>
      </c>
    </row>
    <row r="5" spans="1:7" ht="36" x14ac:dyDescent="0.35">
      <c r="A5" s="64" t="s">
        <v>209</v>
      </c>
      <c r="B5" s="63" t="s">
        <v>208</v>
      </c>
      <c r="C5" s="63" t="s">
        <v>207</v>
      </c>
      <c r="D5" s="62" t="s">
        <v>206</v>
      </c>
      <c r="E5" s="136"/>
      <c r="F5" s="136"/>
      <c r="G5" s="136"/>
    </row>
    <row r="6" spans="1:7" x14ac:dyDescent="0.35">
      <c r="A6" s="57"/>
      <c r="B6" s="61"/>
      <c r="C6" s="61"/>
      <c r="D6" s="60"/>
      <c r="E6" s="137"/>
      <c r="F6" s="137"/>
      <c r="G6" s="137"/>
    </row>
    <row r="7" spans="1:7" x14ac:dyDescent="0.35">
      <c r="A7" s="57"/>
      <c r="B7" s="59"/>
      <c r="C7" s="59"/>
      <c r="D7" s="58"/>
      <c r="E7" s="137"/>
      <c r="F7" s="137"/>
      <c r="G7" s="137"/>
    </row>
    <row r="8" spans="1:7" x14ac:dyDescent="0.35">
      <c r="A8" s="57"/>
      <c r="B8" s="61"/>
      <c r="C8" s="61"/>
      <c r="D8" s="60"/>
      <c r="E8" s="137"/>
      <c r="F8" s="137"/>
      <c r="G8" s="137"/>
    </row>
    <row r="9" spans="1:7" x14ac:dyDescent="0.35">
      <c r="A9" s="57"/>
      <c r="B9" s="59"/>
      <c r="C9" s="59"/>
      <c r="D9" s="58"/>
      <c r="E9" s="137"/>
      <c r="F9" s="137"/>
      <c r="G9" s="137"/>
    </row>
    <row r="10" spans="1:7" x14ac:dyDescent="0.35">
      <c r="A10" s="57"/>
      <c r="B10" s="61"/>
      <c r="C10" s="61"/>
      <c r="D10" s="60"/>
      <c r="E10" s="137"/>
      <c r="F10" s="137"/>
      <c r="G10" s="137"/>
    </row>
    <row r="11" spans="1:7" x14ac:dyDescent="0.35">
      <c r="A11" s="57"/>
      <c r="B11" s="59"/>
      <c r="C11" s="59"/>
      <c r="D11" s="58"/>
      <c r="E11" s="137"/>
      <c r="F11" s="137"/>
      <c r="G11" s="137"/>
    </row>
    <row r="12" spans="1:7" x14ac:dyDescent="0.35">
      <c r="A12" s="57"/>
      <c r="B12" s="61"/>
      <c r="C12" s="56"/>
      <c r="D12" s="55"/>
      <c r="E12" s="137"/>
      <c r="F12" s="137"/>
      <c r="G12" s="137"/>
    </row>
    <row r="13" spans="1:7" x14ac:dyDescent="0.35">
      <c r="A13" s="57"/>
      <c r="B13" s="59"/>
      <c r="C13" s="59"/>
      <c r="D13" s="58"/>
      <c r="E13" s="137"/>
      <c r="F13" s="137"/>
      <c r="G13" s="137"/>
    </row>
    <row r="14" spans="1:7" x14ac:dyDescent="0.35">
      <c r="A14" s="57"/>
      <c r="B14" s="56"/>
      <c r="C14" s="56"/>
      <c r="D14" s="55"/>
      <c r="E14" s="137"/>
      <c r="F14" s="137"/>
      <c r="G14" s="137"/>
    </row>
    <row r="15" spans="1:7" x14ac:dyDescent="0.35">
      <c r="A15" s="57"/>
      <c r="B15" s="61"/>
      <c r="C15" s="61"/>
      <c r="D15" s="60"/>
      <c r="E15" s="137"/>
      <c r="F15" s="137"/>
      <c r="G15" s="137"/>
    </row>
    <row r="16" spans="1:7" x14ac:dyDescent="0.35">
      <c r="A16" s="57"/>
      <c r="B16" s="56"/>
      <c r="C16" s="56"/>
      <c r="D16" s="55"/>
      <c r="E16" s="137"/>
      <c r="F16" s="137"/>
      <c r="G16" s="137"/>
    </row>
    <row r="17" spans="1:7" x14ac:dyDescent="0.35">
      <c r="A17" s="57"/>
      <c r="B17" s="59"/>
      <c r="C17" s="59"/>
      <c r="D17" s="58"/>
      <c r="E17" s="137"/>
      <c r="F17" s="137"/>
      <c r="G17" s="137"/>
    </row>
    <row r="18" spans="1:7" x14ac:dyDescent="0.35">
      <c r="A18" s="57"/>
      <c r="B18" s="56"/>
      <c r="C18" s="56"/>
      <c r="D18" s="55"/>
      <c r="E18" s="137"/>
      <c r="F18" s="137"/>
      <c r="G18" s="137"/>
    </row>
    <row r="19" spans="1:7" x14ac:dyDescent="0.35">
      <c r="A19" s="54"/>
      <c r="B19" s="53"/>
      <c r="C19" s="53"/>
      <c r="D19" s="52"/>
      <c r="E19" s="137"/>
      <c r="F19" s="137"/>
      <c r="G19" s="137"/>
    </row>
    <row r="20" spans="1:7" x14ac:dyDescent="0.35">
      <c r="A20" s="51"/>
      <c r="B20" s="50"/>
      <c r="C20" s="50" t="s">
        <v>205</v>
      </c>
      <c r="D20" s="49">
        <f>SUM(D6:D19)</f>
        <v>0</v>
      </c>
      <c r="E20" s="137"/>
      <c r="F20" s="137"/>
      <c r="G20" s="137"/>
    </row>
  </sheetData>
  <mergeCells count="5">
    <mergeCell ref="B1:D1"/>
    <mergeCell ref="B2:D2"/>
    <mergeCell ref="B3:D3"/>
    <mergeCell ref="A4:D4"/>
    <mergeCell ref="E5:G2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55" zoomScaleNormal="55" workbookViewId="0">
      <selection activeCell="A4" sqref="A4:D4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14" style="48" bestFit="1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6.4" customHeight="1" x14ac:dyDescent="0.35">
      <c r="A2" s="51">
        <v>1</v>
      </c>
      <c r="B2" s="127" t="s">
        <v>183</v>
      </c>
      <c r="C2" s="128"/>
      <c r="D2" s="129"/>
      <c r="E2" s="66" t="s">
        <v>216</v>
      </c>
      <c r="F2" s="66" t="s">
        <v>6</v>
      </c>
      <c r="G2" s="65">
        <v>1444.2</v>
      </c>
    </row>
    <row r="3" spans="1:7" ht="45.6" customHeight="1" x14ac:dyDescent="0.35">
      <c r="A3" s="51">
        <v>2</v>
      </c>
      <c r="B3" s="127" t="s">
        <v>183</v>
      </c>
      <c r="C3" s="128"/>
      <c r="D3" s="129"/>
      <c r="E3" s="66" t="s">
        <v>215</v>
      </c>
      <c r="F3" s="66" t="s">
        <v>6</v>
      </c>
      <c r="G3" s="65">
        <v>242</v>
      </c>
    </row>
    <row r="4" spans="1:7" x14ac:dyDescent="0.35">
      <c r="A4" s="135"/>
      <c r="B4" s="135"/>
      <c r="C4" s="135"/>
      <c r="D4" s="135"/>
      <c r="E4" s="50" t="s">
        <v>205</v>
      </c>
      <c r="F4" s="50"/>
      <c r="G4" s="49">
        <f>SUM(G2:G3)</f>
        <v>1686.2</v>
      </c>
    </row>
    <row r="5" spans="1:7" ht="36" x14ac:dyDescent="0.35">
      <c r="A5" s="64" t="s">
        <v>209</v>
      </c>
      <c r="B5" s="63" t="s">
        <v>208</v>
      </c>
      <c r="C5" s="63" t="s">
        <v>207</v>
      </c>
      <c r="D5" s="62" t="s">
        <v>206</v>
      </c>
      <c r="E5" s="136"/>
      <c r="F5" s="136"/>
      <c r="G5" s="136"/>
    </row>
    <row r="6" spans="1:7" x14ac:dyDescent="0.35">
      <c r="A6" s="57"/>
      <c r="B6" s="61"/>
      <c r="C6" s="61"/>
      <c r="D6" s="60"/>
      <c r="E6" s="137"/>
      <c r="F6" s="137"/>
      <c r="G6" s="137"/>
    </row>
    <row r="7" spans="1:7" x14ac:dyDescent="0.35">
      <c r="A7" s="57"/>
      <c r="B7" s="59"/>
      <c r="C7" s="59"/>
      <c r="D7" s="58"/>
      <c r="E7" s="137"/>
      <c r="F7" s="137"/>
      <c r="G7" s="137"/>
    </row>
    <row r="8" spans="1:7" x14ac:dyDescent="0.35">
      <c r="A8" s="57"/>
      <c r="B8" s="61"/>
      <c r="C8" s="61"/>
      <c r="D8" s="60"/>
      <c r="E8" s="137"/>
      <c r="F8" s="137"/>
      <c r="G8" s="137"/>
    </row>
    <row r="9" spans="1:7" x14ac:dyDescent="0.35">
      <c r="A9" s="57"/>
      <c r="B9" s="59"/>
      <c r="C9" s="59"/>
      <c r="D9" s="58"/>
      <c r="E9" s="137"/>
      <c r="F9" s="137"/>
      <c r="G9" s="137"/>
    </row>
    <row r="10" spans="1:7" x14ac:dyDescent="0.35">
      <c r="A10" s="57"/>
      <c r="B10" s="61"/>
      <c r="C10" s="61"/>
      <c r="D10" s="60"/>
      <c r="E10" s="137"/>
      <c r="F10" s="137"/>
      <c r="G10" s="137"/>
    </row>
    <row r="11" spans="1:7" x14ac:dyDescent="0.35">
      <c r="A11" s="57"/>
      <c r="B11" s="59"/>
      <c r="C11" s="59"/>
      <c r="D11" s="58"/>
      <c r="E11" s="137"/>
      <c r="F11" s="137"/>
      <c r="G11" s="137"/>
    </row>
    <row r="12" spans="1:7" x14ac:dyDescent="0.35">
      <c r="A12" s="57"/>
      <c r="B12" s="61"/>
      <c r="C12" s="56"/>
      <c r="D12" s="55"/>
      <c r="E12" s="137"/>
      <c r="F12" s="137"/>
      <c r="G12" s="137"/>
    </row>
    <row r="13" spans="1:7" x14ac:dyDescent="0.35">
      <c r="A13" s="57"/>
      <c r="B13" s="59"/>
      <c r="C13" s="59"/>
      <c r="D13" s="58"/>
      <c r="E13" s="137"/>
      <c r="F13" s="137"/>
      <c r="G13" s="137"/>
    </row>
    <row r="14" spans="1:7" x14ac:dyDescent="0.35">
      <c r="A14" s="57"/>
      <c r="B14" s="56"/>
      <c r="C14" s="56"/>
      <c r="D14" s="55"/>
      <c r="E14" s="137"/>
      <c r="F14" s="137"/>
      <c r="G14" s="137"/>
    </row>
    <row r="15" spans="1:7" x14ac:dyDescent="0.35">
      <c r="A15" s="57"/>
      <c r="B15" s="61"/>
      <c r="C15" s="61"/>
      <c r="D15" s="60"/>
      <c r="E15" s="137"/>
      <c r="F15" s="137"/>
      <c r="G15" s="137"/>
    </row>
    <row r="16" spans="1:7" x14ac:dyDescent="0.35">
      <c r="A16" s="57"/>
      <c r="B16" s="56"/>
      <c r="C16" s="56"/>
      <c r="D16" s="55"/>
      <c r="E16" s="137"/>
      <c r="F16" s="137"/>
      <c r="G16" s="137"/>
    </row>
    <row r="17" spans="1:7" x14ac:dyDescent="0.35">
      <c r="A17" s="57"/>
      <c r="B17" s="59"/>
      <c r="C17" s="59"/>
      <c r="D17" s="58"/>
      <c r="E17" s="137"/>
      <c r="F17" s="137"/>
      <c r="G17" s="137"/>
    </row>
    <row r="18" spans="1:7" x14ac:dyDescent="0.35">
      <c r="A18" s="57"/>
      <c r="B18" s="56"/>
      <c r="C18" s="56"/>
      <c r="D18" s="55"/>
      <c r="E18" s="137"/>
      <c r="F18" s="137"/>
      <c r="G18" s="137"/>
    </row>
    <row r="19" spans="1:7" x14ac:dyDescent="0.35">
      <c r="A19" s="54"/>
      <c r="B19" s="53"/>
      <c r="C19" s="53"/>
      <c r="D19" s="52"/>
      <c r="E19" s="137"/>
      <c r="F19" s="137"/>
      <c r="G19" s="137"/>
    </row>
    <row r="20" spans="1:7" x14ac:dyDescent="0.35">
      <c r="A20" s="51"/>
      <c r="B20" s="50"/>
      <c r="C20" s="50" t="s">
        <v>205</v>
      </c>
      <c r="D20" s="49">
        <f>SUM(D6:D19)</f>
        <v>0</v>
      </c>
      <c r="E20" s="137"/>
      <c r="F20" s="137"/>
      <c r="G20" s="137"/>
    </row>
  </sheetData>
  <mergeCells count="5">
    <mergeCell ref="B1:D1"/>
    <mergeCell ref="B2:D2"/>
    <mergeCell ref="B3:D3"/>
    <mergeCell ref="A4:D4"/>
    <mergeCell ref="E5:G2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55" zoomScaleNormal="55" workbookViewId="0">
      <selection activeCell="A4" sqref="A4:D4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47.21875" style="48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6.4" customHeight="1" x14ac:dyDescent="0.35">
      <c r="A2" s="51">
        <v>1</v>
      </c>
      <c r="B2" s="127" t="s">
        <v>55</v>
      </c>
      <c r="C2" s="128"/>
      <c r="D2" s="129"/>
      <c r="E2" s="66" t="s">
        <v>218</v>
      </c>
      <c r="F2" s="66" t="s">
        <v>6</v>
      </c>
      <c r="G2" s="65">
        <v>76.3</v>
      </c>
    </row>
    <row r="3" spans="1:7" ht="45.6" customHeight="1" x14ac:dyDescent="0.35">
      <c r="A3" s="51">
        <v>2</v>
      </c>
      <c r="B3" s="127" t="s">
        <v>55</v>
      </c>
      <c r="C3" s="128"/>
      <c r="D3" s="129"/>
      <c r="E3" s="66" t="s">
        <v>217</v>
      </c>
      <c r="F3" s="66" t="s">
        <v>6</v>
      </c>
      <c r="G3" s="65">
        <v>169.7</v>
      </c>
    </row>
    <row r="4" spans="1:7" x14ac:dyDescent="0.35">
      <c r="A4" s="135"/>
      <c r="B4" s="135"/>
      <c r="C4" s="135"/>
      <c r="D4" s="135"/>
      <c r="E4" s="50" t="s">
        <v>205</v>
      </c>
      <c r="F4" s="50"/>
      <c r="G4" s="49">
        <f>SUM(G2:G3)</f>
        <v>246</v>
      </c>
    </row>
    <row r="5" spans="1:7" ht="36" x14ac:dyDescent="0.35">
      <c r="A5" s="64" t="s">
        <v>209</v>
      </c>
      <c r="B5" s="63" t="s">
        <v>208</v>
      </c>
      <c r="C5" s="63" t="s">
        <v>207</v>
      </c>
      <c r="D5" s="62" t="s">
        <v>206</v>
      </c>
      <c r="E5" s="136"/>
      <c r="F5" s="136"/>
      <c r="G5" s="136"/>
    </row>
    <row r="6" spans="1:7" x14ac:dyDescent="0.35">
      <c r="A6" s="57"/>
      <c r="B6" s="61"/>
      <c r="C6" s="61"/>
      <c r="D6" s="60"/>
      <c r="E6" s="137"/>
      <c r="F6" s="137"/>
      <c r="G6" s="137"/>
    </row>
    <row r="7" spans="1:7" x14ac:dyDescent="0.35">
      <c r="A7" s="57"/>
      <c r="B7" s="59"/>
      <c r="C7" s="59"/>
      <c r="D7" s="58"/>
      <c r="E7" s="137"/>
      <c r="F7" s="137"/>
      <c r="G7" s="137"/>
    </row>
    <row r="8" spans="1:7" x14ac:dyDescent="0.35">
      <c r="A8" s="57"/>
      <c r="B8" s="61"/>
      <c r="C8" s="61"/>
      <c r="D8" s="60"/>
      <c r="E8" s="137"/>
      <c r="F8" s="137"/>
      <c r="G8" s="137"/>
    </row>
    <row r="9" spans="1:7" x14ac:dyDescent="0.35">
      <c r="A9" s="57"/>
      <c r="B9" s="59"/>
      <c r="C9" s="59"/>
      <c r="D9" s="58"/>
      <c r="E9" s="137"/>
      <c r="F9" s="137"/>
      <c r="G9" s="137"/>
    </row>
    <row r="10" spans="1:7" x14ac:dyDescent="0.35">
      <c r="A10" s="57"/>
      <c r="B10" s="61"/>
      <c r="C10" s="61"/>
      <c r="D10" s="60"/>
      <c r="E10" s="137"/>
      <c r="F10" s="137"/>
      <c r="G10" s="137"/>
    </row>
    <row r="11" spans="1:7" x14ac:dyDescent="0.35">
      <c r="A11" s="57"/>
      <c r="B11" s="59"/>
      <c r="C11" s="59"/>
      <c r="D11" s="58"/>
      <c r="E11" s="137"/>
      <c r="F11" s="137"/>
      <c r="G11" s="137"/>
    </row>
    <row r="12" spans="1:7" x14ac:dyDescent="0.35">
      <c r="A12" s="57"/>
      <c r="B12" s="61"/>
      <c r="C12" s="56"/>
      <c r="D12" s="55"/>
      <c r="E12" s="137"/>
      <c r="F12" s="137"/>
      <c r="G12" s="137"/>
    </row>
    <row r="13" spans="1:7" x14ac:dyDescent="0.35">
      <c r="A13" s="57"/>
      <c r="B13" s="59"/>
      <c r="C13" s="59"/>
      <c r="D13" s="58"/>
      <c r="E13" s="137"/>
      <c r="F13" s="137"/>
      <c r="G13" s="137"/>
    </row>
    <row r="14" spans="1:7" x14ac:dyDescent="0.35">
      <c r="A14" s="57"/>
      <c r="B14" s="56"/>
      <c r="C14" s="56"/>
      <c r="D14" s="55"/>
      <c r="E14" s="137"/>
      <c r="F14" s="137"/>
      <c r="G14" s="137"/>
    </row>
    <row r="15" spans="1:7" x14ac:dyDescent="0.35">
      <c r="A15" s="57"/>
      <c r="B15" s="61"/>
      <c r="C15" s="61"/>
      <c r="D15" s="60"/>
      <c r="E15" s="137"/>
      <c r="F15" s="137"/>
      <c r="G15" s="137"/>
    </row>
    <row r="16" spans="1:7" x14ac:dyDescent="0.35">
      <c r="A16" s="57"/>
      <c r="B16" s="56"/>
      <c r="C16" s="56"/>
      <c r="D16" s="55"/>
      <c r="E16" s="137"/>
      <c r="F16" s="137"/>
      <c r="G16" s="137"/>
    </row>
    <row r="17" spans="1:7" x14ac:dyDescent="0.35">
      <c r="A17" s="57"/>
      <c r="B17" s="59"/>
      <c r="C17" s="59"/>
      <c r="D17" s="58"/>
      <c r="E17" s="137"/>
      <c r="F17" s="137"/>
      <c r="G17" s="137"/>
    </row>
    <row r="18" spans="1:7" x14ac:dyDescent="0.35">
      <c r="A18" s="57"/>
      <c r="B18" s="56"/>
      <c r="C18" s="56"/>
      <c r="D18" s="55"/>
      <c r="E18" s="137"/>
      <c r="F18" s="137"/>
      <c r="G18" s="137"/>
    </row>
    <row r="19" spans="1:7" x14ac:dyDescent="0.35">
      <c r="A19" s="54"/>
      <c r="B19" s="53"/>
      <c r="C19" s="53"/>
      <c r="D19" s="52"/>
      <c r="E19" s="137"/>
      <c r="F19" s="137"/>
      <c r="G19" s="137"/>
    </row>
    <row r="20" spans="1:7" x14ac:dyDescent="0.35">
      <c r="A20" s="51"/>
      <c r="B20" s="50"/>
      <c r="C20" s="50" t="s">
        <v>205</v>
      </c>
      <c r="D20" s="49">
        <f>SUM(D6:D19)</f>
        <v>0</v>
      </c>
      <c r="E20" s="137"/>
      <c r="F20" s="137"/>
      <c r="G20" s="137"/>
    </row>
  </sheetData>
  <mergeCells count="5">
    <mergeCell ref="B1:D1"/>
    <mergeCell ref="B2:D2"/>
    <mergeCell ref="A4:D4"/>
    <mergeCell ref="E5:G20"/>
    <mergeCell ref="B3:D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B1" zoomScale="85" zoomScaleNormal="85" workbookViewId="0">
      <selection activeCell="B2" sqref="B2:D2"/>
    </sheetView>
  </sheetViews>
  <sheetFormatPr defaultRowHeight="18" x14ac:dyDescent="0.35"/>
  <cols>
    <col min="1" max="1" width="16" style="48" customWidth="1"/>
    <col min="2" max="2" width="15.109375" style="48" customWidth="1"/>
    <col min="3" max="3" width="21.109375" style="48" customWidth="1"/>
    <col min="4" max="4" width="13.88671875" style="48" customWidth="1"/>
    <col min="5" max="5" width="65" style="48" customWidth="1"/>
    <col min="6" max="6" width="11.21875" style="48" bestFit="1" customWidth="1"/>
    <col min="7" max="7" width="19.88671875" style="48" bestFit="1" customWidth="1"/>
    <col min="8" max="16384" width="8.88671875" style="48"/>
  </cols>
  <sheetData>
    <row r="1" spans="1:7" ht="36" customHeight="1" x14ac:dyDescent="0.35">
      <c r="A1" s="50" t="s">
        <v>209</v>
      </c>
      <c r="B1" s="124" t="s">
        <v>214</v>
      </c>
      <c r="C1" s="125"/>
      <c r="D1" s="126"/>
      <c r="E1" s="50" t="s">
        <v>3</v>
      </c>
      <c r="F1" s="50" t="s">
        <v>4</v>
      </c>
      <c r="G1" s="50" t="s">
        <v>213</v>
      </c>
    </row>
    <row r="2" spans="1:7" ht="56.4" customHeight="1" x14ac:dyDescent="0.35">
      <c r="A2" s="51">
        <v>1</v>
      </c>
      <c r="B2" s="127" t="s">
        <v>182</v>
      </c>
      <c r="C2" s="128"/>
      <c r="D2" s="129"/>
      <c r="E2" s="66" t="s">
        <v>219</v>
      </c>
      <c r="F2" s="66" t="s">
        <v>6</v>
      </c>
      <c r="G2" s="65">
        <v>384.75</v>
      </c>
    </row>
    <row r="3" spans="1:7" x14ac:dyDescent="0.35">
      <c r="A3" s="135"/>
      <c r="B3" s="135"/>
      <c r="C3" s="135"/>
      <c r="D3" s="135"/>
      <c r="E3" s="50" t="s">
        <v>205</v>
      </c>
      <c r="F3" s="50"/>
      <c r="G3" s="49">
        <f>SUM(G2:G2)</f>
        <v>384.75</v>
      </c>
    </row>
    <row r="4" spans="1:7" ht="36" x14ac:dyDescent="0.35">
      <c r="A4" s="72" t="s">
        <v>209</v>
      </c>
      <c r="B4" s="71" t="s">
        <v>208</v>
      </c>
      <c r="C4" s="71" t="s">
        <v>207</v>
      </c>
      <c r="D4" s="70" t="s">
        <v>206</v>
      </c>
      <c r="E4" s="136"/>
      <c r="F4" s="136"/>
      <c r="G4" s="136"/>
    </row>
    <row r="5" spans="1:7" x14ac:dyDescent="0.35">
      <c r="A5" s="57"/>
      <c r="B5" s="61"/>
      <c r="C5" s="61"/>
      <c r="D5" s="60"/>
      <c r="E5" s="137"/>
      <c r="F5" s="137"/>
      <c r="G5" s="137"/>
    </row>
    <row r="6" spans="1:7" x14ac:dyDescent="0.35">
      <c r="A6" s="57"/>
      <c r="B6" s="59"/>
      <c r="C6" s="59"/>
      <c r="D6" s="58"/>
      <c r="E6" s="137"/>
      <c r="F6" s="137"/>
      <c r="G6" s="137"/>
    </row>
    <row r="7" spans="1:7" x14ac:dyDescent="0.35">
      <c r="A7" s="57"/>
      <c r="B7" s="61"/>
      <c r="C7" s="61"/>
      <c r="D7" s="60"/>
      <c r="E7" s="137"/>
      <c r="F7" s="137"/>
      <c r="G7" s="137"/>
    </row>
    <row r="8" spans="1:7" x14ac:dyDescent="0.35">
      <c r="A8" s="57"/>
      <c r="B8" s="59"/>
      <c r="C8" s="59"/>
      <c r="D8" s="58"/>
      <c r="E8" s="137"/>
      <c r="F8" s="137"/>
      <c r="G8" s="137"/>
    </row>
    <row r="9" spans="1:7" x14ac:dyDescent="0.35">
      <c r="A9" s="57"/>
      <c r="B9" s="61"/>
      <c r="C9" s="61"/>
      <c r="D9" s="60"/>
      <c r="E9" s="137"/>
      <c r="F9" s="137"/>
      <c r="G9" s="137"/>
    </row>
    <row r="10" spans="1:7" x14ac:dyDescent="0.35">
      <c r="A10" s="57"/>
      <c r="B10" s="59"/>
      <c r="C10" s="59"/>
      <c r="D10" s="58"/>
      <c r="E10" s="137"/>
      <c r="F10" s="137"/>
      <c r="G10" s="137"/>
    </row>
    <row r="11" spans="1:7" x14ac:dyDescent="0.35">
      <c r="A11" s="57"/>
      <c r="B11" s="61"/>
      <c r="C11" s="56"/>
      <c r="D11" s="55"/>
      <c r="E11" s="137"/>
      <c r="F11" s="137"/>
      <c r="G11" s="137"/>
    </row>
    <row r="12" spans="1:7" x14ac:dyDescent="0.35">
      <c r="A12" s="57"/>
      <c r="B12" s="59"/>
      <c r="C12" s="59"/>
      <c r="D12" s="58"/>
      <c r="E12" s="137"/>
      <c r="F12" s="137"/>
      <c r="G12" s="137"/>
    </row>
    <row r="13" spans="1:7" x14ac:dyDescent="0.35">
      <c r="A13" s="57"/>
      <c r="B13" s="56"/>
      <c r="C13" s="56"/>
      <c r="D13" s="55"/>
      <c r="E13" s="137"/>
      <c r="F13" s="137"/>
      <c r="G13" s="137"/>
    </row>
    <row r="14" spans="1:7" x14ac:dyDescent="0.35">
      <c r="A14" s="57"/>
      <c r="B14" s="61"/>
      <c r="C14" s="61"/>
      <c r="D14" s="60"/>
      <c r="E14" s="137"/>
      <c r="F14" s="137"/>
      <c r="G14" s="137"/>
    </row>
    <row r="15" spans="1:7" x14ac:dyDescent="0.35">
      <c r="A15" s="57"/>
      <c r="B15" s="56"/>
      <c r="C15" s="56"/>
      <c r="D15" s="55"/>
      <c r="E15" s="137"/>
      <c r="F15" s="137"/>
      <c r="G15" s="137"/>
    </row>
    <row r="16" spans="1:7" x14ac:dyDescent="0.35">
      <c r="A16" s="57"/>
      <c r="B16" s="59"/>
      <c r="C16" s="59"/>
      <c r="D16" s="58"/>
      <c r="E16" s="137"/>
      <c r="F16" s="137"/>
      <c r="G16" s="137"/>
    </row>
    <row r="17" spans="1:7" x14ac:dyDescent="0.35">
      <c r="A17" s="57"/>
      <c r="B17" s="56"/>
      <c r="C17" s="56"/>
      <c r="D17" s="55"/>
      <c r="E17" s="137"/>
      <c r="F17" s="137"/>
      <c r="G17" s="137"/>
    </row>
    <row r="18" spans="1:7" x14ac:dyDescent="0.35">
      <c r="A18" s="69"/>
      <c r="B18" s="68"/>
      <c r="C18" s="68"/>
      <c r="D18" s="67"/>
      <c r="E18" s="137"/>
      <c r="F18" s="137"/>
      <c r="G18" s="137"/>
    </row>
    <row r="19" spans="1:7" x14ac:dyDescent="0.35">
      <c r="A19" s="51"/>
      <c r="B19" s="50"/>
      <c r="C19" s="50" t="s">
        <v>205</v>
      </c>
      <c r="D19" s="49">
        <f>SUM(D5:D18)</f>
        <v>0</v>
      </c>
      <c r="E19" s="137"/>
      <c r="F19" s="137"/>
      <c r="G19" s="137"/>
    </row>
  </sheetData>
  <mergeCells count="4">
    <mergeCell ref="B1:D1"/>
    <mergeCell ref="B2:D2"/>
    <mergeCell ref="A3:D3"/>
    <mergeCell ref="E4:G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55" zoomScaleNormal="55" workbookViewId="0">
      <selection activeCell="F19" sqref="F19"/>
    </sheetView>
  </sheetViews>
  <sheetFormatPr defaultRowHeight="14.4" x14ac:dyDescent="0.3"/>
  <cols>
    <col min="1" max="1" width="7.5546875" bestFit="1" customWidth="1"/>
    <col min="2" max="2" width="46.5546875" customWidth="1"/>
    <col min="3" max="3" width="42.554687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47" t="s">
        <v>1</v>
      </c>
      <c r="B2" s="47" t="s">
        <v>2</v>
      </c>
      <c r="C2" s="47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160</v>
      </c>
      <c r="C3" s="46" t="s">
        <v>203</v>
      </c>
      <c r="D3" s="4" t="s">
        <v>6</v>
      </c>
      <c r="E3" s="5">
        <v>455.1</v>
      </c>
    </row>
  </sheetData>
  <mergeCells count="1">
    <mergeCell ref="A1:E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9"/>
  <sheetViews>
    <sheetView zoomScale="55" zoomScaleNormal="55" workbookViewId="0">
      <selection activeCell="E3" activeCellId="1" sqref="E7:E10 E3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47" t="s">
        <v>1</v>
      </c>
      <c r="B2" s="47" t="s">
        <v>2</v>
      </c>
      <c r="C2" s="47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160</v>
      </c>
      <c r="C3" s="46" t="s">
        <v>204</v>
      </c>
      <c r="D3" s="4" t="s">
        <v>6</v>
      </c>
      <c r="E3" s="5">
        <v>21.5</v>
      </c>
    </row>
    <row r="4" spans="1:5" ht="36" x14ac:dyDescent="0.3">
      <c r="A4" s="46">
        <v>2</v>
      </c>
      <c r="B4" s="46" t="s">
        <v>160</v>
      </c>
      <c r="C4" s="46" t="s">
        <v>203</v>
      </c>
      <c r="D4" s="4" t="s">
        <v>6</v>
      </c>
      <c r="E4" s="5">
        <v>455.1</v>
      </c>
    </row>
    <row r="7" spans="1:5" x14ac:dyDescent="0.3">
      <c r="E7">
        <v>411</v>
      </c>
    </row>
    <row r="8" spans="1:5" x14ac:dyDescent="0.3">
      <c r="E8">
        <v>11.4</v>
      </c>
    </row>
    <row r="9" spans="1:5" x14ac:dyDescent="0.3">
      <c r="E9">
        <v>11.4</v>
      </c>
    </row>
  </sheetData>
  <mergeCells count="1"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55" zoomScaleNormal="55" workbookViewId="0">
      <selection activeCell="C4" sqref="C4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183</v>
      </c>
      <c r="C3" s="46" t="s">
        <v>202</v>
      </c>
      <c r="D3" s="4" t="s">
        <v>6</v>
      </c>
      <c r="E3" s="5">
        <v>104.1</v>
      </c>
    </row>
    <row r="4" spans="1:5" ht="36" x14ac:dyDescent="0.3">
      <c r="A4" s="46">
        <v>2</v>
      </c>
      <c r="B4" s="46" t="s">
        <v>160</v>
      </c>
      <c r="C4" s="46" t="s">
        <v>201</v>
      </c>
      <c r="D4" s="4" t="s">
        <v>6</v>
      </c>
      <c r="E4" s="5">
        <v>10.7</v>
      </c>
    </row>
    <row r="5" spans="1:5" ht="36" x14ac:dyDescent="0.3">
      <c r="A5" s="46">
        <v>3</v>
      </c>
      <c r="B5" s="46" t="s">
        <v>160</v>
      </c>
      <c r="C5" s="46" t="s">
        <v>200</v>
      </c>
      <c r="D5" s="4" t="s">
        <v>6</v>
      </c>
      <c r="E5" s="5">
        <v>13.58</v>
      </c>
    </row>
  </sheetData>
  <mergeCells count="1"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9"/>
  <sheetViews>
    <sheetView zoomScale="70" zoomScaleNormal="70" workbookViewId="0">
      <selection activeCell="C17" sqref="C17:C20"/>
    </sheetView>
  </sheetViews>
  <sheetFormatPr defaultRowHeight="14.4" x14ac:dyDescent="0.3"/>
  <cols>
    <col min="1" max="1" width="7.5546875" bestFit="1" customWidth="1"/>
    <col min="2" max="2" width="40.88671875" customWidth="1"/>
    <col min="3" max="3" width="55" customWidth="1"/>
    <col min="4" max="4" width="9.109375" bestFit="1" customWidth="1"/>
    <col min="5" max="5" width="10.21875" bestFit="1" customWidth="1"/>
  </cols>
  <sheetData>
    <row r="1" spans="1:7" ht="18" x14ac:dyDescent="0.3">
      <c r="A1" s="138" t="s">
        <v>0</v>
      </c>
      <c r="B1" s="138"/>
      <c r="C1" s="138"/>
      <c r="D1" s="138"/>
      <c r="E1" s="138"/>
    </row>
    <row r="2" spans="1:7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7" ht="54" x14ac:dyDescent="0.3">
      <c r="A3" s="45">
        <v>1</v>
      </c>
      <c r="B3" s="46" t="s">
        <v>55</v>
      </c>
      <c r="C3" s="46" t="s">
        <v>191</v>
      </c>
      <c r="D3" s="4" t="s">
        <v>6</v>
      </c>
      <c r="E3" s="5">
        <v>325.39999999999998</v>
      </c>
      <c r="G3">
        <v>1005</v>
      </c>
    </row>
    <row r="4" spans="1:7" ht="54" x14ac:dyDescent="0.3">
      <c r="A4" s="45">
        <v>2</v>
      </c>
      <c r="B4" s="46" t="s">
        <v>55</v>
      </c>
      <c r="C4" s="46" t="s">
        <v>192</v>
      </c>
      <c r="D4" s="4" t="s">
        <v>6</v>
      </c>
      <c r="E4" s="5">
        <v>291.22000000000003</v>
      </c>
      <c r="G4">
        <v>1008</v>
      </c>
    </row>
    <row r="5" spans="1:7" ht="36" x14ac:dyDescent="0.3">
      <c r="A5" s="45">
        <v>3</v>
      </c>
      <c r="B5" s="46" t="s">
        <v>55</v>
      </c>
      <c r="C5" s="46" t="s">
        <v>193</v>
      </c>
      <c r="D5" s="4" t="s">
        <v>6</v>
      </c>
      <c r="E5" s="5">
        <v>34.049999999999997</v>
      </c>
      <c r="G5">
        <v>1011</v>
      </c>
    </row>
    <row r="6" spans="1:7" ht="36" x14ac:dyDescent="0.3">
      <c r="A6" s="45">
        <v>4</v>
      </c>
      <c r="B6" s="46" t="s">
        <v>55</v>
      </c>
      <c r="C6" s="46" t="s">
        <v>194</v>
      </c>
      <c r="D6" s="4" t="s">
        <v>6</v>
      </c>
      <c r="E6" s="5">
        <v>197.66300000000001</v>
      </c>
      <c r="G6">
        <v>1014</v>
      </c>
    </row>
    <row r="7" spans="1:7" ht="36" x14ac:dyDescent="0.3">
      <c r="A7" s="45">
        <v>5</v>
      </c>
      <c r="B7" s="46" t="s">
        <v>55</v>
      </c>
      <c r="C7" s="46" t="s">
        <v>195</v>
      </c>
      <c r="D7" s="4" t="s">
        <v>6</v>
      </c>
      <c r="E7" s="5">
        <v>39.417000000000002</v>
      </c>
      <c r="G7">
        <v>1017</v>
      </c>
    </row>
    <row r="8" spans="1:7" ht="36" x14ac:dyDescent="0.3">
      <c r="A8" s="45">
        <v>6</v>
      </c>
      <c r="B8" s="46" t="s">
        <v>55</v>
      </c>
      <c r="C8" s="46" t="s">
        <v>196</v>
      </c>
      <c r="D8" s="4" t="s">
        <v>6</v>
      </c>
      <c r="E8" s="5">
        <v>37.700000000000003</v>
      </c>
      <c r="G8">
        <v>1020</v>
      </c>
    </row>
    <row r="9" spans="1:7" ht="36" x14ac:dyDescent="0.3">
      <c r="A9" s="45">
        <v>7</v>
      </c>
      <c r="B9" s="46" t="s">
        <v>55</v>
      </c>
      <c r="C9" s="46" t="s">
        <v>197</v>
      </c>
      <c r="D9" s="4" t="s">
        <v>6</v>
      </c>
      <c r="E9" s="5">
        <v>80.900000000000006</v>
      </c>
      <c r="G9">
        <v>1023</v>
      </c>
    </row>
    <row r="10" spans="1:7" ht="36" x14ac:dyDescent="0.3">
      <c r="A10" s="45">
        <v>8</v>
      </c>
      <c r="B10" s="46" t="s">
        <v>55</v>
      </c>
      <c r="C10" s="46" t="s">
        <v>198</v>
      </c>
      <c r="D10" s="4" t="s">
        <v>6</v>
      </c>
      <c r="E10" s="5">
        <v>13.5</v>
      </c>
      <c r="G10">
        <v>1026</v>
      </c>
    </row>
    <row r="11" spans="1:7" ht="36" x14ac:dyDescent="0.3">
      <c r="A11" s="45">
        <v>9</v>
      </c>
      <c r="B11" s="46" t="s">
        <v>55</v>
      </c>
      <c r="C11" s="46" t="s">
        <v>199</v>
      </c>
      <c r="D11" s="4" t="s">
        <v>6</v>
      </c>
      <c r="E11" s="5">
        <v>40.700000000000003</v>
      </c>
      <c r="G11">
        <v>1029</v>
      </c>
    </row>
    <row r="15" spans="1:7" x14ac:dyDescent="0.3">
      <c r="E15">
        <v>119</v>
      </c>
    </row>
    <row r="17" spans="3:3" x14ac:dyDescent="0.3">
      <c r="C17">
        <v>169.7</v>
      </c>
    </row>
    <row r="18" spans="3:3" x14ac:dyDescent="0.3">
      <c r="C18">
        <v>37.700000000000003</v>
      </c>
    </row>
    <row r="19" spans="3:3" x14ac:dyDescent="0.3">
      <c r="C19">
        <v>80.900000000000006</v>
      </c>
    </row>
  </sheetData>
  <mergeCells count="1">
    <mergeCell ref="A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55" zoomScaleNormal="55" workbookViewId="0">
      <selection activeCell="B3" sqref="B3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45" t="s">
        <v>1</v>
      </c>
      <c r="B2" s="45" t="s">
        <v>2</v>
      </c>
      <c r="C2" s="45" t="s">
        <v>3</v>
      </c>
      <c r="D2" s="4" t="s">
        <v>4</v>
      </c>
      <c r="E2" s="4" t="s">
        <v>5</v>
      </c>
    </row>
    <row r="3" spans="1:5" ht="54" x14ac:dyDescent="0.3">
      <c r="A3" s="46">
        <v>1</v>
      </c>
      <c r="B3" s="46" t="s">
        <v>182</v>
      </c>
      <c r="C3" s="46" t="s">
        <v>188</v>
      </c>
      <c r="D3" s="4" t="s">
        <v>6</v>
      </c>
      <c r="E3" s="5">
        <v>66.17</v>
      </c>
    </row>
  </sheetData>
  <mergeCells count="1"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60" zoomScaleNormal="60" workbookViewId="0">
      <selection activeCell="C29" sqref="C29"/>
    </sheetView>
  </sheetViews>
  <sheetFormatPr defaultRowHeight="14.4" x14ac:dyDescent="0.3"/>
  <cols>
    <col min="1" max="1" width="7.5546875" bestFit="1" customWidth="1"/>
    <col min="2" max="2" width="46.5546875" customWidth="1"/>
    <col min="3" max="3" width="40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45" t="s">
        <v>1</v>
      </c>
      <c r="B2" s="45" t="s">
        <v>2</v>
      </c>
      <c r="C2" s="45" t="s">
        <v>3</v>
      </c>
      <c r="D2" s="4" t="s">
        <v>4</v>
      </c>
      <c r="E2" s="4" t="s">
        <v>5</v>
      </c>
    </row>
    <row r="3" spans="1:5" ht="54" x14ac:dyDescent="0.3">
      <c r="A3" s="4">
        <v>1</v>
      </c>
      <c r="B3" s="46" t="s">
        <v>182</v>
      </c>
      <c r="C3" s="46" t="s">
        <v>187</v>
      </c>
      <c r="D3" s="4" t="s">
        <v>6</v>
      </c>
      <c r="E3" s="5">
        <v>997.6</v>
      </c>
    </row>
    <row r="4" spans="1:5" ht="72" x14ac:dyDescent="0.3">
      <c r="A4" s="4">
        <v>2</v>
      </c>
      <c r="B4" s="46" t="s">
        <v>182</v>
      </c>
      <c r="C4" s="46" t="s">
        <v>189</v>
      </c>
      <c r="D4" s="4" t="s">
        <v>6</v>
      </c>
      <c r="E4" s="5">
        <v>3648.56</v>
      </c>
    </row>
    <row r="5" spans="1:5" ht="54" x14ac:dyDescent="0.3">
      <c r="A5" s="4">
        <v>3</v>
      </c>
      <c r="B5" s="46" t="s">
        <v>182</v>
      </c>
      <c r="C5" s="46" t="s">
        <v>190</v>
      </c>
      <c r="D5" s="4" t="s">
        <v>6</v>
      </c>
      <c r="E5" s="5">
        <v>345.68</v>
      </c>
    </row>
  </sheetData>
  <mergeCells count="1">
    <mergeCell ref="A1:E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55" zoomScaleNormal="55" workbookViewId="0">
      <selection activeCell="C3" sqref="C3"/>
    </sheetView>
  </sheetViews>
  <sheetFormatPr defaultRowHeight="14.4" x14ac:dyDescent="0.3"/>
  <cols>
    <col min="1" max="1" width="8" bestFit="1" customWidth="1"/>
    <col min="2" max="2" width="36.21875" customWidth="1"/>
    <col min="3" max="3" width="32.3320312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36" x14ac:dyDescent="0.3">
      <c r="A3" s="4">
        <v>1</v>
      </c>
      <c r="B3" s="46" t="s">
        <v>11</v>
      </c>
      <c r="C3" s="46" t="s">
        <v>10</v>
      </c>
      <c r="D3" s="4" t="s">
        <v>6</v>
      </c>
      <c r="E3" s="5">
        <v>894.84</v>
      </c>
    </row>
  </sheetData>
  <mergeCells count="1">
    <mergeCell ref="A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55" zoomScaleNormal="55" workbookViewId="0">
      <selection activeCell="C5" sqref="C5"/>
    </sheetView>
  </sheetViews>
  <sheetFormatPr defaultRowHeight="14.4" x14ac:dyDescent="0.3"/>
  <cols>
    <col min="1" max="1" width="7.5546875" bestFit="1" customWidth="1"/>
    <col min="2" max="2" width="46.5546875" customWidth="1"/>
    <col min="3" max="3" width="50.109375" customWidth="1"/>
    <col min="4" max="4" width="9.109375" bestFit="1" customWidth="1"/>
    <col min="5" max="5" width="10.21875" bestFit="1" customWidth="1"/>
  </cols>
  <sheetData>
    <row r="1" spans="1:5" ht="18" x14ac:dyDescent="0.3">
      <c r="A1" s="138" t="s">
        <v>0</v>
      </c>
      <c r="B1" s="138"/>
      <c r="C1" s="138"/>
      <c r="D1" s="138"/>
      <c r="E1" s="13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54" x14ac:dyDescent="0.3">
      <c r="A3" s="45">
        <v>1</v>
      </c>
      <c r="B3" s="46" t="s">
        <v>181</v>
      </c>
      <c r="C3" s="46" t="s">
        <v>186</v>
      </c>
      <c r="D3" s="4" t="s">
        <v>6</v>
      </c>
      <c r="E3" s="5">
        <v>303.92</v>
      </c>
    </row>
    <row r="4" spans="1:5" ht="72" x14ac:dyDescent="0.3">
      <c r="A4" s="45">
        <v>2</v>
      </c>
      <c r="B4" s="46" t="s">
        <v>181</v>
      </c>
      <c r="C4" s="46" t="s">
        <v>185</v>
      </c>
      <c r="D4" s="4" t="s">
        <v>6</v>
      </c>
      <c r="E4" s="5">
        <v>3849.47</v>
      </c>
    </row>
    <row r="5" spans="1:5" ht="54" x14ac:dyDescent="0.3">
      <c r="A5" s="45">
        <v>3</v>
      </c>
      <c r="B5" s="46" t="s">
        <v>181</v>
      </c>
      <c r="C5" s="46" t="s">
        <v>184</v>
      </c>
      <c r="D5" s="4" t="s">
        <v>6</v>
      </c>
      <c r="E5" s="5">
        <v>66.17</v>
      </c>
    </row>
  </sheetData>
  <mergeCells count="1">
    <mergeCell ref="A1: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zoomScale="85" zoomScaleNormal="85" workbookViewId="0">
      <selection activeCell="C13" sqref="C13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176</v>
      </c>
      <c r="D1" s="37" t="s">
        <v>6</v>
      </c>
      <c r="E1" s="38">
        <v>1</v>
      </c>
      <c r="F1" s="39"/>
      <c r="G1" s="40">
        <v>1548.3</v>
      </c>
      <c r="H1" s="41"/>
      <c r="I1" s="42">
        <v>104.1</v>
      </c>
      <c r="J1" s="41"/>
      <c r="K1" s="41"/>
      <c r="L1" s="43"/>
      <c r="M1" s="44">
        <v>104.1</v>
      </c>
    </row>
    <row r="6" spans="1:13" x14ac:dyDescent="0.3">
      <c r="A6" t="s">
        <v>180</v>
      </c>
      <c r="B6" t="s">
        <v>179</v>
      </c>
    </row>
    <row r="8" spans="1:13" x14ac:dyDescent="0.3">
      <c r="A8">
        <v>1</v>
      </c>
    </row>
    <row r="9" spans="1:13" x14ac:dyDescent="0.3">
      <c r="A9">
        <v>2</v>
      </c>
    </row>
    <row r="10" spans="1:13" x14ac:dyDescent="0.3">
      <c r="A10">
        <v>3</v>
      </c>
    </row>
    <row r="13" spans="1:13" x14ac:dyDescent="0.3">
      <c r="A13" t="s">
        <v>180</v>
      </c>
      <c r="B13" t="s">
        <v>178</v>
      </c>
    </row>
    <row r="15" spans="1:13" x14ac:dyDescent="0.3">
      <c r="A15">
        <v>1</v>
      </c>
      <c r="B15">
        <v>547.70000000000005</v>
      </c>
    </row>
    <row r="16" spans="1:13" x14ac:dyDescent="0.3">
      <c r="A16">
        <v>2</v>
      </c>
      <c r="B16">
        <v>583</v>
      </c>
    </row>
    <row r="17" spans="1:2" x14ac:dyDescent="0.3">
      <c r="A17">
        <v>3</v>
      </c>
      <c r="B17">
        <v>417.6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zoomScale="70" zoomScaleNormal="70" workbookViewId="0">
      <selection activeCell="B15" sqref="B15:B18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176</v>
      </c>
      <c r="D1" s="37" t="s">
        <v>6</v>
      </c>
      <c r="E1" s="38">
        <v>1</v>
      </c>
      <c r="F1" s="39"/>
      <c r="G1" s="40">
        <v>731.9</v>
      </c>
      <c r="H1" s="41">
        <v>17.439999999999941</v>
      </c>
      <c r="I1" s="42">
        <v>714.46</v>
      </c>
      <c r="J1" s="41"/>
      <c r="K1" s="41">
        <v>574</v>
      </c>
      <c r="L1" s="43"/>
      <c r="M1" s="44">
        <v>140.46</v>
      </c>
    </row>
    <row r="6" spans="1:13" x14ac:dyDescent="0.3">
      <c r="A6" t="s">
        <v>177</v>
      </c>
      <c r="B6" t="s">
        <v>179</v>
      </c>
    </row>
    <row r="8" spans="1:13" x14ac:dyDescent="0.3">
      <c r="A8">
        <v>1</v>
      </c>
      <c r="B8">
        <v>352</v>
      </c>
    </row>
    <row r="9" spans="1:13" x14ac:dyDescent="0.3">
      <c r="A9">
        <v>2</v>
      </c>
      <c r="B9">
        <v>257.2</v>
      </c>
    </row>
    <row r="10" spans="1:13" x14ac:dyDescent="0.3">
      <c r="A10">
        <v>3</v>
      </c>
      <c r="B10">
        <v>106.9</v>
      </c>
    </row>
    <row r="13" spans="1:13" x14ac:dyDescent="0.3">
      <c r="A13" t="s">
        <v>177</v>
      </c>
      <c r="B13" t="s">
        <v>178</v>
      </c>
    </row>
    <row r="15" spans="1:13" x14ac:dyDescent="0.3">
      <c r="A15">
        <v>1</v>
      </c>
      <c r="B15">
        <v>356.4</v>
      </c>
    </row>
    <row r="16" spans="1:13" x14ac:dyDescent="0.3">
      <c r="A16">
        <v>2</v>
      </c>
      <c r="B16">
        <v>257.2</v>
      </c>
    </row>
    <row r="17" spans="1:2" x14ac:dyDescent="0.3">
      <c r="A17">
        <v>3</v>
      </c>
      <c r="B17">
        <v>118.3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0"/>
  <sheetViews>
    <sheetView zoomScale="70" zoomScaleNormal="70" workbookViewId="0">
      <selection activeCell="B1" sqref="B1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173</v>
      </c>
      <c r="D1" s="37" t="s">
        <v>6</v>
      </c>
      <c r="E1" s="38">
        <v>1</v>
      </c>
      <c r="F1" s="39"/>
      <c r="G1" s="40">
        <v>1222.2</v>
      </c>
      <c r="H1" s="41">
        <v>50.6099999999999</v>
      </c>
      <c r="I1" s="42">
        <v>1171.5900000000001</v>
      </c>
      <c r="J1" s="41"/>
      <c r="K1" s="41">
        <v>705.6</v>
      </c>
      <c r="L1" s="43" t="s">
        <v>175</v>
      </c>
      <c r="M1" s="44">
        <v>465.99</v>
      </c>
    </row>
    <row r="6" spans="1:13" x14ac:dyDescent="0.3">
      <c r="A6" t="s">
        <v>174</v>
      </c>
    </row>
    <row r="8" spans="1:13" x14ac:dyDescent="0.3">
      <c r="A8">
        <v>1</v>
      </c>
      <c r="B8">
        <v>277.5</v>
      </c>
    </row>
    <row r="9" spans="1:13" x14ac:dyDescent="0.3">
      <c r="A9">
        <v>2</v>
      </c>
      <c r="B9">
        <v>348.3</v>
      </c>
    </row>
    <row r="10" spans="1:13" x14ac:dyDescent="0.3">
      <c r="A10">
        <v>3</v>
      </c>
      <c r="B10">
        <v>550.79999999999995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6"/>
  <sheetViews>
    <sheetView zoomScale="70" zoomScaleNormal="70" workbookViewId="0">
      <selection activeCell="B14" sqref="B14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4" ht="135.6" customHeight="1" x14ac:dyDescent="0.3">
      <c r="A1" s="33" t="s">
        <v>160</v>
      </c>
      <c r="B1" s="34" t="s">
        <v>170</v>
      </c>
      <c r="C1" s="34" t="s">
        <v>6</v>
      </c>
      <c r="D1" s="35">
        <v>455.1</v>
      </c>
    </row>
    <row r="6" spans="1:4" x14ac:dyDescent="0.3">
      <c r="A6" t="s">
        <v>171</v>
      </c>
    </row>
    <row r="7" spans="1:4" x14ac:dyDescent="0.3">
      <c r="B7">
        <v>1</v>
      </c>
      <c r="C7">
        <v>2</v>
      </c>
      <c r="D7">
        <v>3</v>
      </c>
    </row>
    <row r="8" spans="1:4" x14ac:dyDescent="0.3">
      <c r="A8">
        <v>1</v>
      </c>
      <c r="B8">
        <v>399.5</v>
      </c>
    </row>
    <row r="9" spans="1:4" x14ac:dyDescent="0.3">
      <c r="A9">
        <v>2</v>
      </c>
      <c r="B9">
        <v>45.5</v>
      </c>
    </row>
    <row r="10" spans="1:4" x14ac:dyDescent="0.3">
      <c r="A10">
        <v>3</v>
      </c>
    </row>
    <row r="12" spans="1:4" x14ac:dyDescent="0.3">
      <c r="A12" t="s">
        <v>172</v>
      </c>
    </row>
    <row r="13" spans="1:4" x14ac:dyDescent="0.3">
      <c r="B13">
        <v>1</v>
      </c>
    </row>
    <row r="14" spans="1:4" x14ac:dyDescent="0.3">
      <c r="A14">
        <v>1</v>
      </c>
      <c r="B14">
        <v>21.5</v>
      </c>
    </row>
    <row r="15" spans="1:4" x14ac:dyDescent="0.3">
      <c r="A15">
        <v>2</v>
      </c>
    </row>
    <row r="16" spans="1:4" x14ac:dyDescent="0.3">
      <c r="A16">
        <v>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8" sqref="F8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1310</v>
      </c>
      <c r="B2">
        <v>1186.5999999999999</v>
      </c>
      <c r="C2">
        <v>1161.2</v>
      </c>
    </row>
    <row r="3" spans="1:3" x14ac:dyDescent="0.3">
      <c r="A3">
        <v>33.799999999999997</v>
      </c>
      <c r="B3">
        <v>56.9</v>
      </c>
      <c r="C3">
        <v>22.5</v>
      </c>
    </row>
    <row r="4" spans="1:3" x14ac:dyDescent="0.3">
      <c r="A4">
        <v>37.200000000000003</v>
      </c>
      <c r="B4">
        <v>87.7</v>
      </c>
      <c r="C4">
        <v>31.6</v>
      </c>
    </row>
    <row r="5" spans="1:3" x14ac:dyDescent="0.3">
      <c r="A5">
        <v>256.39999999999998</v>
      </c>
      <c r="B5">
        <v>285.5</v>
      </c>
      <c r="C5">
        <v>242.9</v>
      </c>
    </row>
    <row r="8" spans="1:3" x14ac:dyDescent="0.3">
      <c r="A8">
        <v>1310</v>
      </c>
      <c r="B8">
        <v>1186.5999999999999</v>
      </c>
      <c r="C8">
        <v>1161.2</v>
      </c>
    </row>
    <row r="9" spans="1:3" x14ac:dyDescent="0.3">
      <c r="A9">
        <v>33.799999999999997</v>
      </c>
      <c r="B9">
        <v>56.9</v>
      </c>
      <c r="C9">
        <v>22.5</v>
      </c>
    </row>
    <row r="10" spans="1:3" x14ac:dyDescent="0.3">
      <c r="A10">
        <v>37.200000000000003</v>
      </c>
      <c r="B10">
        <v>87.7</v>
      </c>
      <c r="C10">
        <v>31.6</v>
      </c>
    </row>
    <row r="12" spans="1:3" x14ac:dyDescent="0.3">
      <c r="A12">
        <v>1360.4</v>
      </c>
      <c r="B12">
        <v>1350.9</v>
      </c>
      <c r="C12">
        <v>1187.0999999999999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" t="s">
        <v>1</v>
      </c>
      <c r="B2" s="138" t="s">
        <v>2</v>
      </c>
      <c r="C2" s="138"/>
      <c r="D2" s="138"/>
      <c r="E2" s="138"/>
      <c r="F2" s="138"/>
      <c r="G2" s="138" t="s">
        <v>3</v>
      </c>
      <c r="H2" s="138"/>
      <c r="I2" s="138"/>
      <c r="J2" s="3" t="s">
        <v>4</v>
      </c>
      <c r="K2" s="3" t="s">
        <v>5</v>
      </c>
    </row>
    <row r="3" spans="1:11" ht="51.6" customHeight="1" x14ac:dyDescent="0.25">
      <c r="A3" s="2">
        <v>1</v>
      </c>
      <c r="B3" s="144" t="s">
        <v>11</v>
      </c>
      <c r="C3" s="144"/>
      <c r="D3" s="144"/>
      <c r="E3" s="144"/>
      <c r="F3" s="144"/>
      <c r="G3" s="145" t="s">
        <v>10</v>
      </c>
      <c r="H3" s="145"/>
      <c r="I3" s="145"/>
      <c r="J3" s="4" t="s">
        <v>6</v>
      </c>
      <c r="K3" s="5">
        <f>K20+G19+C22</f>
        <v>894.84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141"/>
      <c r="E6" s="12">
        <v>17</v>
      </c>
      <c r="F6" s="13" t="s">
        <v>35</v>
      </c>
      <c r="G6" s="14">
        <v>2.4500000000000002</v>
      </c>
      <c r="H6" s="14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141"/>
      <c r="E7" s="15">
        <v>18</v>
      </c>
      <c r="F7" s="15" t="s">
        <v>36</v>
      </c>
      <c r="G7" s="16">
        <v>3.79</v>
      </c>
      <c r="H7" s="14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141"/>
      <c r="E8" s="12">
        <v>19</v>
      </c>
      <c r="F8" s="13" t="s">
        <v>37</v>
      </c>
      <c r="G8" s="14">
        <v>1.56</v>
      </c>
      <c r="H8" s="14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141"/>
      <c r="E9" s="15">
        <v>20</v>
      </c>
      <c r="F9" s="15" t="s">
        <v>38</v>
      </c>
      <c r="G9" s="16">
        <v>2.54</v>
      </c>
      <c r="H9" s="14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141"/>
      <c r="E10" s="12">
        <v>21</v>
      </c>
      <c r="F10" s="13" t="s">
        <v>39</v>
      </c>
      <c r="G10" s="14">
        <v>2.5499999999999998</v>
      </c>
      <c r="H10" s="14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141"/>
      <c r="E11" s="15">
        <v>22</v>
      </c>
      <c r="F11" s="15" t="s">
        <v>40</v>
      </c>
      <c r="G11" s="16">
        <v>2.6</v>
      </c>
      <c r="H11" s="14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141"/>
      <c r="E12" s="12">
        <v>23</v>
      </c>
      <c r="F12" s="13" t="s">
        <v>34</v>
      </c>
      <c r="G12" s="14">
        <v>2.6</v>
      </c>
      <c r="H12" s="14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141"/>
      <c r="E13" s="15">
        <v>24</v>
      </c>
      <c r="F13" s="15" t="s">
        <v>29</v>
      </c>
      <c r="G13" s="16">
        <v>23.22</v>
      </c>
      <c r="H13" s="14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141"/>
      <c r="E14" s="12">
        <v>25</v>
      </c>
      <c r="F14" s="13" t="s">
        <v>30</v>
      </c>
      <c r="G14" s="20">
        <v>49.93</v>
      </c>
      <c r="H14" s="14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141"/>
      <c r="E15" s="15">
        <v>26</v>
      </c>
      <c r="F15" s="15" t="s">
        <v>31</v>
      </c>
      <c r="G15" s="16">
        <v>55.58</v>
      </c>
      <c r="H15" s="14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141"/>
      <c r="E16" s="12">
        <v>27</v>
      </c>
      <c r="F16" s="13" t="s">
        <v>32</v>
      </c>
      <c r="G16" s="20">
        <f>22.67</f>
        <v>22.67</v>
      </c>
      <c r="H16" s="14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141"/>
      <c r="E17" s="15">
        <v>28</v>
      </c>
      <c r="F17" s="15" t="s">
        <v>33</v>
      </c>
      <c r="G17" s="16">
        <v>49.72</v>
      </c>
      <c r="H17" s="14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141"/>
      <c r="E18" s="12">
        <v>29</v>
      </c>
      <c r="F18" s="20" t="s">
        <v>28</v>
      </c>
      <c r="G18" s="20">
        <v>55.25</v>
      </c>
      <c r="H18" s="14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141"/>
      <c r="E19" s="17"/>
      <c r="F19" s="18" t="s">
        <v>9</v>
      </c>
      <c r="G19" s="19">
        <f>SUM(G6:G18)</f>
        <v>274.46000000000004</v>
      </c>
      <c r="H19" s="14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141"/>
      <c r="E20" s="139"/>
      <c r="F20" s="139"/>
      <c r="G20" s="139"/>
      <c r="H20" s="14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141"/>
      <c r="E21" s="140"/>
      <c r="F21" s="140"/>
      <c r="G21" s="140"/>
      <c r="H21" s="141"/>
      <c r="I21" s="139"/>
      <c r="J21" s="139"/>
      <c r="K21" s="139"/>
    </row>
    <row r="22" spans="1:11" ht="18" x14ac:dyDescent="0.25">
      <c r="A22" s="17"/>
      <c r="B22" s="18" t="s">
        <v>9</v>
      </c>
      <c r="C22" s="19">
        <f>SUM(C6:C21)</f>
        <v>341.65</v>
      </c>
      <c r="D22" s="141"/>
      <c r="E22" s="140"/>
      <c r="F22" s="140"/>
      <c r="G22" s="140"/>
      <c r="H22" s="141"/>
      <c r="I22" s="140"/>
      <c r="J22" s="140"/>
      <c r="K22" s="140"/>
    </row>
  </sheetData>
  <mergeCells count="10">
    <mergeCell ref="A1:K1"/>
    <mergeCell ref="B2:F2"/>
    <mergeCell ref="B3:F3"/>
    <mergeCell ref="G3:I3"/>
    <mergeCell ref="G2:I2"/>
    <mergeCell ref="I21:K22"/>
    <mergeCell ref="E20:G22"/>
    <mergeCell ref="H5:H22"/>
    <mergeCell ref="A4:K4"/>
    <mergeCell ref="D5:D2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" t="s">
        <v>1</v>
      </c>
      <c r="B2" s="138" t="s">
        <v>2</v>
      </c>
      <c r="C2" s="138"/>
      <c r="D2" s="138"/>
      <c r="E2" s="138"/>
      <c r="F2" s="138"/>
      <c r="G2" s="138" t="s">
        <v>3</v>
      </c>
      <c r="H2" s="138"/>
      <c r="I2" s="138"/>
      <c r="J2" s="3" t="s">
        <v>4</v>
      </c>
      <c r="K2" s="3" t="s">
        <v>5</v>
      </c>
    </row>
    <row r="3" spans="1:11" ht="51.6" customHeight="1" x14ac:dyDescent="0.25">
      <c r="A3" s="2">
        <v>1</v>
      </c>
      <c r="B3" s="144" t="s">
        <v>55</v>
      </c>
      <c r="C3" s="144"/>
      <c r="D3" s="144"/>
      <c r="E3" s="144"/>
      <c r="F3" s="144"/>
      <c r="G3" s="145" t="s">
        <v>56</v>
      </c>
      <c r="H3" s="145"/>
      <c r="I3" s="145"/>
      <c r="J3" s="4" t="s">
        <v>6</v>
      </c>
      <c r="K3" s="5">
        <f>K20+G19+C22</f>
        <v>894.84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141"/>
      <c r="E6" s="12">
        <v>17</v>
      </c>
      <c r="F6" s="13" t="s">
        <v>35</v>
      </c>
      <c r="G6" s="14">
        <v>2.4500000000000002</v>
      </c>
      <c r="H6" s="14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141"/>
      <c r="E7" s="15">
        <v>18</v>
      </c>
      <c r="F7" s="15" t="s">
        <v>36</v>
      </c>
      <c r="G7" s="16">
        <v>3.79</v>
      </c>
      <c r="H7" s="14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141"/>
      <c r="E8" s="12">
        <v>19</v>
      </c>
      <c r="F8" s="13" t="s">
        <v>37</v>
      </c>
      <c r="G8" s="14">
        <v>1.56</v>
      </c>
      <c r="H8" s="14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141"/>
      <c r="E9" s="15">
        <v>20</v>
      </c>
      <c r="F9" s="15" t="s">
        <v>38</v>
      </c>
      <c r="G9" s="16">
        <v>2.54</v>
      </c>
      <c r="H9" s="14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141"/>
      <c r="E10" s="12">
        <v>21</v>
      </c>
      <c r="F10" s="13" t="s">
        <v>39</v>
      </c>
      <c r="G10" s="14">
        <v>2.5499999999999998</v>
      </c>
      <c r="H10" s="14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141"/>
      <c r="E11" s="15">
        <v>22</v>
      </c>
      <c r="F11" s="15" t="s">
        <v>40</v>
      </c>
      <c r="G11" s="16">
        <v>2.6</v>
      </c>
      <c r="H11" s="14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141"/>
      <c r="E12" s="12">
        <v>23</v>
      </c>
      <c r="F12" s="13" t="s">
        <v>34</v>
      </c>
      <c r="G12" s="14">
        <v>2.6</v>
      </c>
      <c r="H12" s="14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141"/>
      <c r="E13" s="15">
        <v>24</v>
      </c>
      <c r="F13" s="15" t="s">
        <v>29</v>
      </c>
      <c r="G13" s="16">
        <v>23.22</v>
      </c>
      <c r="H13" s="14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141"/>
      <c r="E14" s="12">
        <v>25</v>
      </c>
      <c r="F14" s="13" t="s">
        <v>30</v>
      </c>
      <c r="G14" s="20">
        <v>49.93</v>
      </c>
      <c r="H14" s="14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141"/>
      <c r="E15" s="15">
        <v>26</v>
      </c>
      <c r="F15" s="15" t="s">
        <v>31</v>
      </c>
      <c r="G15" s="16">
        <v>55.58</v>
      </c>
      <c r="H15" s="14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141"/>
      <c r="E16" s="12">
        <v>27</v>
      </c>
      <c r="F16" s="13" t="s">
        <v>32</v>
      </c>
      <c r="G16" s="20">
        <f>22.67</f>
        <v>22.67</v>
      </c>
      <c r="H16" s="14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141"/>
      <c r="E17" s="15">
        <v>28</v>
      </c>
      <c r="F17" s="15" t="s">
        <v>33</v>
      </c>
      <c r="G17" s="16">
        <v>49.72</v>
      </c>
      <c r="H17" s="14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141"/>
      <c r="E18" s="12">
        <v>29</v>
      </c>
      <c r="F18" s="20" t="s">
        <v>28</v>
      </c>
      <c r="G18" s="20">
        <v>55.25</v>
      </c>
      <c r="H18" s="14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141"/>
      <c r="E19" s="17"/>
      <c r="F19" s="18" t="s">
        <v>9</v>
      </c>
      <c r="G19" s="19">
        <f>SUM(G6:G18)</f>
        <v>274.46000000000004</v>
      </c>
      <c r="H19" s="14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141"/>
      <c r="E20" s="139"/>
      <c r="F20" s="139"/>
      <c r="G20" s="139"/>
      <c r="H20" s="14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141"/>
      <c r="E21" s="140"/>
      <c r="F21" s="140"/>
      <c r="G21" s="140"/>
      <c r="H21" s="141"/>
      <c r="I21" s="139"/>
      <c r="J21" s="139"/>
      <c r="K21" s="139"/>
    </row>
    <row r="22" spans="1:11" ht="18" x14ac:dyDescent="0.25">
      <c r="A22" s="17"/>
      <c r="B22" s="18" t="s">
        <v>9</v>
      </c>
      <c r="C22" s="19">
        <f>SUM(C6:C21)</f>
        <v>341.65</v>
      </c>
      <c r="D22" s="141"/>
      <c r="E22" s="140"/>
      <c r="F22" s="140"/>
      <c r="G22" s="140"/>
      <c r="H22" s="141"/>
      <c r="I22" s="140"/>
      <c r="J22" s="140"/>
      <c r="K22" s="140"/>
    </row>
  </sheetData>
  <mergeCells count="10">
    <mergeCell ref="D5:D22"/>
    <mergeCell ref="H5:H22"/>
    <mergeCell ref="E20:G22"/>
    <mergeCell ref="I21:K22"/>
    <mergeCell ref="A1:K1"/>
    <mergeCell ref="B2:F2"/>
    <mergeCell ref="G2:I2"/>
    <mergeCell ref="B3:F3"/>
    <mergeCell ref="G3:I3"/>
    <mergeCell ref="A4:K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85" zoomScaleNormal="85"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" t="s">
        <v>1</v>
      </c>
      <c r="B2" s="138" t="s">
        <v>2</v>
      </c>
      <c r="C2" s="138"/>
      <c r="D2" s="138"/>
      <c r="E2" s="138"/>
      <c r="F2" s="138" t="s">
        <v>3</v>
      </c>
      <c r="G2" s="138"/>
      <c r="H2" s="138"/>
      <c r="I2" s="138"/>
      <c r="J2" s="3" t="s">
        <v>4</v>
      </c>
      <c r="K2" s="3" t="s">
        <v>5</v>
      </c>
    </row>
    <row r="3" spans="1:11" ht="51.6" customHeight="1" x14ac:dyDescent="0.25">
      <c r="A3" s="2">
        <v>1</v>
      </c>
      <c r="B3" s="144" t="s">
        <v>57</v>
      </c>
      <c r="C3" s="144"/>
      <c r="D3" s="144"/>
      <c r="E3" s="144"/>
      <c r="F3" s="145" t="s">
        <v>58</v>
      </c>
      <c r="G3" s="145"/>
      <c r="H3" s="145"/>
      <c r="I3" s="145"/>
      <c r="J3" s="4" t="s">
        <v>6</v>
      </c>
      <c r="K3" s="5">
        <f>K20+G19+C22</f>
        <v>894.84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141"/>
      <c r="E6" s="12">
        <v>17</v>
      </c>
      <c r="F6" s="13" t="s">
        <v>35</v>
      </c>
      <c r="G6" s="14">
        <v>2.4500000000000002</v>
      </c>
      <c r="H6" s="14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141"/>
      <c r="E7" s="15">
        <v>18</v>
      </c>
      <c r="F7" s="15" t="s">
        <v>36</v>
      </c>
      <c r="G7" s="16">
        <v>3.79</v>
      </c>
      <c r="H7" s="14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141"/>
      <c r="E8" s="12">
        <v>19</v>
      </c>
      <c r="F8" s="13" t="s">
        <v>37</v>
      </c>
      <c r="G8" s="14">
        <v>1.56</v>
      </c>
      <c r="H8" s="14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141"/>
      <c r="E9" s="15">
        <v>20</v>
      </c>
      <c r="F9" s="15" t="s">
        <v>38</v>
      </c>
      <c r="G9" s="16">
        <v>2.54</v>
      </c>
      <c r="H9" s="14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141"/>
      <c r="E10" s="12">
        <v>21</v>
      </c>
      <c r="F10" s="13" t="s">
        <v>39</v>
      </c>
      <c r="G10" s="14">
        <v>2.5499999999999998</v>
      </c>
      <c r="H10" s="14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141"/>
      <c r="E11" s="15">
        <v>22</v>
      </c>
      <c r="F11" s="15" t="s">
        <v>40</v>
      </c>
      <c r="G11" s="16">
        <v>2.6</v>
      </c>
      <c r="H11" s="14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141"/>
      <c r="E12" s="12">
        <v>23</v>
      </c>
      <c r="F12" s="13" t="s">
        <v>34</v>
      </c>
      <c r="G12" s="14">
        <v>2.6</v>
      </c>
      <c r="H12" s="14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141"/>
      <c r="E13" s="15">
        <v>24</v>
      </c>
      <c r="F13" s="15" t="s">
        <v>29</v>
      </c>
      <c r="G13" s="16">
        <v>23.22</v>
      </c>
      <c r="H13" s="14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141"/>
      <c r="E14" s="12">
        <v>25</v>
      </c>
      <c r="F14" s="13" t="s">
        <v>30</v>
      </c>
      <c r="G14" s="20">
        <v>49.93</v>
      </c>
      <c r="H14" s="14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141"/>
      <c r="E15" s="15">
        <v>26</v>
      </c>
      <c r="F15" s="15" t="s">
        <v>31</v>
      </c>
      <c r="G15" s="16">
        <v>55.58</v>
      </c>
      <c r="H15" s="14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141"/>
      <c r="E16" s="12">
        <v>27</v>
      </c>
      <c r="F16" s="13" t="s">
        <v>32</v>
      </c>
      <c r="G16" s="20">
        <f>22.67</f>
        <v>22.67</v>
      </c>
      <c r="H16" s="14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141"/>
      <c r="E17" s="15">
        <v>28</v>
      </c>
      <c r="F17" s="15" t="s">
        <v>33</v>
      </c>
      <c r="G17" s="16">
        <v>49.72</v>
      </c>
      <c r="H17" s="14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141"/>
      <c r="E18" s="12">
        <v>29</v>
      </c>
      <c r="F18" s="20" t="s">
        <v>28</v>
      </c>
      <c r="G18" s="20">
        <v>55.25</v>
      </c>
      <c r="H18" s="14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141"/>
      <c r="E19" s="17"/>
      <c r="F19" s="18" t="s">
        <v>9</v>
      </c>
      <c r="G19" s="19">
        <f>SUM(G6:G18)</f>
        <v>274.46000000000004</v>
      </c>
      <c r="H19" s="14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141"/>
      <c r="E20" s="139"/>
      <c r="F20" s="139"/>
      <c r="G20" s="139"/>
      <c r="H20" s="14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141"/>
      <c r="E21" s="140"/>
      <c r="F21" s="140"/>
      <c r="G21" s="140"/>
      <c r="H21" s="141"/>
      <c r="I21" s="139"/>
      <c r="J21" s="139"/>
      <c r="K21" s="139"/>
    </row>
    <row r="22" spans="1:11" ht="18" x14ac:dyDescent="0.25">
      <c r="A22" s="17"/>
      <c r="B22" s="18" t="s">
        <v>9</v>
      </c>
      <c r="C22" s="19">
        <f>SUM(C6:C21)</f>
        <v>341.65</v>
      </c>
      <c r="D22" s="141"/>
      <c r="E22" s="140"/>
      <c r="F22" s="140"/>
      <c r="G22" s="140"/>
      <c r="H22" s="141"/>
      <c r="I22" s="140"/>
      <c r="J22" s="140"/>
      <c r="K22" s="140"/>
    </row>
  </sheetData>
  <mergeCells count="10">
    <mergeCell ref="A1:K1"/>
    <mergeCell ref="A4:K4"/>
    <mergeCell ref="D5:D22"/>
    <mergeCell ref="H5:H22"/>
    <mergeCell ref="E20:G22"/>
    <mergeCell ref="I21:K22"/>
    <mergeCell ref="F2:I2"/>
    <mergeCell ref="F3:I3"/>
    <mergeCell ref="B3:E3"/>
    <mergeCell ref="B2:E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="55" zoomScaleNormal="55" workbookViewId="0">
      <selection activeCell="L1" sqref="L1:R1048576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31" t="s">
        <v>1</v>
      </c>
      <c r="B2" s="138" t="s">
        <v>2</v>
      </c>
      <c r="C2" s="138"/>
      <c r="D2" s="138"/>
      <c r="E2" s="138"/>
      <c r="F2" s="138"/>
      <c r="G2" s="138" t="s">
        <v>3</v>
      </c>
      <c r="H2" s="138"/>
      <c r="I2" s="138"/>
      <c r="J2" s="3" t="s">
        <v>4</v>
      </c>
      <c r="K2" s="3" t="s">
        <v>5</v>
      </c>
    </row>
    <row r="3" spans="1:11" ht="63.6" customHeight="1" x14ac:dyDescent="0.25">
      <c r="A3" s="31">
        <v>1</v>
      </c>
      <c r="B3" s="144" t="s">
        <v>168</v>
      </c>
      <c r="C3" s="144"/>
      <c r="D3" s="144"/>
      <c r="E3" s="144"/>
      <c r="F3" s="144"/>
      <c r="G3" s="145" t="s">
        <v>169</v>
      </c>
      <c r="H3" s="145"/>
      <c r="I3" s="145"/>
      <c r="J3" s="4" t="s">
        <v>6</v>
      </c>
      <c r="K3" s="5">
        <f>K28+G42+C43</f>
        <v>2919.5279739999996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.600000000000001" customHeight="1" x14ac:dyDescent="0.25">
      <c r="A6" s="12">
        <v>1</v>
      </c>
      <c r="B6" s="13" t="s">
        <v>155</v>
      </c>
      <c r="C6" s="14">
        <f>114.61+85.5+5.75</f>
        <v>205.86</v>
      </c>
      <c r="D6" s="141"/>
      <c r="E6" s="12">
        <v>38</v>
      </c>
      <c r="F6" s="13" t="s">
        <v>82</v>
      </c>
      <c r="G6" s="14">
        <v>76.349999999999994</v>
      </c>
      <c r="H6" s="141"/>
      <c r="I6" s="12">
        <v>74</v>
      </c>
      <c r="J6" s="13" t="s">
        <v>60</v>
      </c>
      <c r="K6" s="14">
        <v>85.255876000000001</v>
      </c>
    </row>
    <row r="7" spans="1:11" ht="18" x14ac:dyDescent="0.25">
      <c r="A7" s="15">
        <v>2</v>
      </c>
      <c r="B7" s="15" t="s">
        <v>119</v>
      </c>
      <c r="C7" s="16">
        <v>15.68</v>
      </c>
      <c r="D7" s="141"/>
      <c r="E7" s="15">
        <v>39</v>
      </c>
      <c r="F7" s="15" t="s">
        <v>83</v>
      </c>
      <c r="G7" s="16">
        <v>17.690000000000001</v>
      </c>
      <c r="H7" s="141"/>
      <c r="I7" s="15">
        <v>75</v>
      </c>
      <c r="J7" s="15" t="s">
        <v>61</v>
      </c>
      <c r="K7" s="16">
        <v>21.566807000000001</v>
      </c>
    </row>
    <row r="8" spans="1:11" ht="18" x14ac:dyDescent="0.25">
      <c r="A8" s="12">
        <v>3</v>
      </c>
      <c r="B8" s="13" t="s">
        <v>120</v>
      </c>
      <c r="C8" s="14">
        <v>5.01</v>
      </c>
      <c r="D8" s="141"/>
      <c r="E8" s="12">
        <v>40</v>
      </c>
      <c r="F8" s="13" t="s">
        <v>84</v>
      </c>
      <c r="G8" s="14">
        <v>5.15</v>
      </c>
      <c r="H8" s="141"/>
      <c r="I8" s="12">
        <v>76</v>
      </c>
      <c r="J8" s="13" t="s">
        <v>62</v>
      </c>
      <c r="K8" s="14">
        <v>5.12</v>
      </c>
    </row>
    <row r="9" spans="1:11" ht="18" x14ac:dyDescent="0.25">
      <c r="A9" s="15">
        <v>4</v>
      </c>
      <c r="B9" s="15" t="s">
        <v>121</v>
      </c>
      <c r="C9" s="16">
        <v>6.01</v>
      </c>
      <c r="D9" s="141"/>
      <c r="E9" s="15">
        <v>41</v>
      </c>
      <c r="F9" s="15" t="s">
        <v>85</v>
      </c>
      <c r="G9" s="16">
        <v>9.48</v>
      </c>
      <c r="H9" s="141"/>
      <c r="I9" s="15">
        <v>77</v>
      </c>
      <c r="J9" s="15" t="s">
        <v>63</v>
      </c>
      <c r="K9" s="16">
        <v>11.51</v>
      </c>
    </row>
    <row r="10" spans="1:11" ht="18" x14ac:dyDescent="0.25">
      <c r="A10" s="12">
        <v>5</v>
      </c>
      <c r="B10" s="13" t="s">
        <v>122</v>
      </c>
      <c r="C10" s="14">
        <v>9.4600000000000009</v>
      </c>
      <c r="D10" s="141"/>
      <c r="E10" s="12">
        <v>42</v>
      </c>
      <c r="F10" s="13" t="s">
        <v>86</v>
      </c>
      <c r="G10" s="14">
        <v>198.78</v>
      </c>
      <c r="H10" s="141"/>
      <c r="I10" s="12">
        <v>78</v>
      </c>
      <c r="J10" s="13" t="s">
        <v>64</v>
      </c>
      <c r="K10" s="14">
        <v>114.03</v>
      </c>
    </row>
    <row r="11" spans="1:11" ht="18" x14ac:dyDescent="0.25">
      <c r="A11" s="15">
        <v>6</v>
      </c>
      <c r="B11" s="15" t="s">
        <v>24</v>
      </c>
      <c r="C11" s="16">
        <v>97.45</v>
      </c>
      <c r="D11" s="141"/>
      <c r="E11" s="15">
        <v>43</v>
      </c>
      <c r="F11" s="15" t="s">
        <v>87</v>
      </c>
      <c r="G11" s="16">
        <v>14.98</v>
      </c>
      <c r="H11" s="141"/>
      <c r="I11" s="15">
        <v>79</v>
      </c>
      <c r="J11" s="15" t="s">
        <v>65</v>
      </c>
      <c r="K11" s="16">
        <v>6.46</v>
      </c>
    </row>
    <row r="12" spans="1:11" ht="18" x14ac:dyDescent="0.25">
      <c r="A12" s="12">
        <v>7</v>
      </c>
      <c r="B12" s="13" t="s">
        <v>123</v>
      </c>
      <c r="C12" s="14">
        <v>9.7899999999999991</v>
      </c>
      <c r="D12" s="141"/>
      <c r="E12" s="12">
        <v>44</v>
      </c>
      <c r="F12" s="13" t="s">
        <v>88</v>
      </c>
      <c r="G12" s="14">
        <v>6.46</v>
      </c>
      <c r="H12" s="141"/>
      <c r="I12" s="12">
        <v>80</v>
      </c>
      <c r="J12" s="13" t="s">
        <v>66</v>
      </c>
      <c r="K12" s="14">
        <v>106.01</v>
      </c>
    </row>
    <row r="13" spans="1:11" ht="18" x14ac:dyDescent="0.25">
      <c r="A13" s="15">
        <v>8</v>
      </c>
      <c r="B13" s="15" t="s">
        <v>125</v>
      </c>
      <c r="C13" s="16">
        <v>10</v>
      </c>
      <c r="D13" s="141"/>
      <c r="E13" s="15">
        <v>45</v>
      </c>
      <c r="F13" s="15" t="s">
        <v>89</v>
      </c>
      <c r="G13" s="16">
        <v>106.83</v>
      </c>
      <c r="H13" s="141"/>
      <c r="I13" s="15">
        <v>81</v>
      </c>
      <c r="J13" s="15" t="s">
        <v>67</v>
      </c>
      <c r="K13" s="16">
        <v>5.24</v>
      </c>
    </row>
    <row r="14" spans="1:11" ht="18" x14ac:dyDescent="0.25">
      <c r="A14" s="12">
        <v>9</v>
      </c>
      <c r="B14" s="13" t="s">
        <v>124</v>
      </c>
      <c r="C14" s="14">
        <v>10.38</v>
      </c>
      <c r="D14" s="141"/>
      <c r="E14" s="15">
        <v>46</v>
      </c>
      <c r="F14" s="15" t="s">
        <v>91</v>
      </c>
      <c r="G14" s="16">
        <v>14.81</v>
      </c>
      <c r="H14" s="141"/>
      <c r="I14" s="12">
        <v>82</v>
      </c>
      <c r="J14" s="26" t="s">
        <v>68</v>
      </c>
      <c r="K14" s="14">
        <v>14.95</v>
      </c>
    </row>
    <row r="15" spans="1:11" ht="18" x14ac:dyDescent="0.25">
      <c r="A15" s="15">
        <v>10</v>
      </c>
      <c r="B15" s="15" t="s">
        <v>126</v>
      </c>
      <c r="C15" s="16">
        <v>25.29</v>
      </c>
      <c r="D15" s="141"/>
      <c r="E15" s="12">
        <v>47</v>
      </c>
      <c r="F15" s="13" t="s">
        <v>92</v>
      </c>
      <c r="G15" s="14">
        <v>14.79</v>
      </c>
      <c r="H15" s="141"/>
      <c r="I15" s="15">
        <v>83</v>
      </c>
      <c r="J15" s="15" t="s">
        <v>69</v>
      </c>
      <c r="K15" s="16">
        <v>14.92</v>
      </c>
    </row>
    <row r="16" spans="1:11" ht="18" x14ac:dyDescent="0.25">
      <c r="A16" s="12">
        <v>11</v>
      </c>
      <c r="B16" s="13" t="s">
        <v>127</v>
      </c>
      <c r="C16" s="14">
        <v>21.62</v>
      </c>
      <c r="D16" s="141"/>
      <c r="E16" s="15">
        <v>48</v>
      </c>
      <c r="F16" s="15" t="s">
        <v>93</v>
      </c>
      <c r="G16" s="16">
        <v>5.14</v>
      </c>
      <c r="H16" s="141"/>
      <c r="I16" s="12">
        <v>84</v>
      </c>
      <c r="J16" s="13" t="s">
        <v>70</v>
      </c>
      <c r="K16" s="14">
        <v>244.875291</v>
      </c>
    </row>
    <row r="17" spans="1:11" ht="18" x14ac:dyDescent="0.25">
      <c r="A17" s="15">
        <v>12</v>
      </c>
      <c r="B17" s="15" t="s">
        <v>128</v>
      </c>
      <c r="C17" s="16">
        <v>28.06</v>
      </c>
      <c r="D17" s="141"/>
      <c r="E17" s="12">
        <v>49</v>
      </c>
      <c r="F17" s="13" t="s">
        <v>94</v>
      </c>
      <c r="G17" s="14">
        <v>10.32</v>
      </c>
      <c r="H17" s="141"/>
      <c r="I17" s="15">
        <v>85</v>
      </c>
      <c r="J17" s="15" t="s">
        <v>71</v>
      </c>
      <c r="K17" s="16">
        <v>12.97</v>
      </c>
    </row>
    <row r="18" spans="1:11" ht="18" x14ac:dyDescent="0.25">
      <c r="A18" s="12">
        <v>13</v>
      </c>
      <c r="B18" s="13" t="s">
        <v>129</v>
      </c>
      <c r="C18" s="14">
        <v>96.32</v>
      </c>
      <c r="D18" s="141"/>
      <c r="E18" s="15">
        <v>50</v>
      </c>
      <c r="F18" s="15" t="s">
        <v>95</v>
      </c>
      <c r="G18" s="16">
        <v>11.76</v>
      </c>
      <c r="H18" s="141"/>
      <c r="I18" s="12">
        <v>86</v>
      </c>
      <c r="J18" s="13" t="s">
        <v>72</v>
      </c>
      <c r="K18" s="14">
        <v>8.33</v>
      </c>
    </row>
    <row r="19" spans="1:11" ht="18" x14ac:dyDescent="0.25">
      <c r="A19" s="15">
        <v>14</v>
      </c>
      <c r="B19" s="15" t="s">
        <v>130</v>
      </c>
      <c r="C19" s="16">
        <v>111.79</v>
      </c>
      <c r="D19" s="141"/>
      <c r="E19" s="12">
        <v>51</v>
      </c>
      <c r="F19" s="13" t="s">
        <v>96</v>
      </c>
      <c r="G19" s="14">
        <v>30.61</v>
      </c>
      <c r="H19" s="141"/>
      <c r="I19" s="15">
        <v>87</v>
      </c>
      <c r="J19" s="15" t="s">
        <v>73</v>
      </c>
      <c r="K19" s="16">
        <v>5.81</v>
      </c>
    </row>
    <row r="20" spans="1:11" ht="18" x14ac:dyDescent="0.25">
      <c r="A20" s="12">
        <v>15</v>
      </c>
      <c r="B20" s="13" t="s">
        <v>131</v>
      </c>
      <c r="C20" s="14">
        <v>6.45</v>
      </c>
      <c r="D20" s="141"/>
      <c r="E20" s="15">
        <v>52</v>
      </c>
      <c r="F20" s="15" t="s">
        <v>97</v>
      </c>
      <c r="G20" s="16">
        <v>26.54</v>
      </c>
      <c r="H20" s="141"/>
      <c r="I20" s="12">
        <v>88</v>
      </c>
      <c r="J20" s="13" t="s">
        <v>74</v>
      </c>
      <c r="K20" s="14">
        <v>5.92</v>
      </c>
    </row>
    <row r="21" spans="1:11" ht="18" x14ac:dyDescent="0.25">
      <c r="A21" s="15">
        <v>16</v>
      </c>
      <c r="B21" s="15" t="s">
        <v>132</v>
      </c>
      <c r="C21" s="16">
        <v>9.91</v>
      </c>
      <c r="D21" s="141"/>
      <c r="E21" s="12">
        <v>53</v>
      </c>
      <c r="F21" s="13" t="s">
        <v>98</v>
      </c>
      <c r="G21" s="14">
        <v>13.17</v>
      </c>
      <c r="H21" s="141"/>
      <c r="I21" s="15">
        <v>89</v>
      </c>
      <c r="J21" s="15" t="s">
        <v>75</v>
      </c>
      <c r="K21" s="16">
        <v>6.28</v>
      </c>
    </row>
    <row r="22" spans="1:11" ht="18" x14ac:dyDescent="0.25">
      <c r="A22" s="15">
        <v>17</v>
      </c>
      <c r="B22" s="15" t="s">
        <v>133</v>
      </c>
      <c r="C22" s="16">
        <v>14.81</v>
      </c>
      <c r="D22" s="141"/>
      <c r="E22" s="15">
        <v>54</v>
      </c>
      <c r="F22" s="15" t="s">
        <v>99</v>
      </c>
      <c r="G22" s="16">
        <v>8.1300000000000008</v>
      </c>
      <c r="H22" s="141"/>
      <c r="I22" s="12">
        <v>90</v>
      </c>
      <c r="J22" s="13" t="s">
        <v>76</v>
      </c>
      <c r="K22" s="14">
        <v>6.11</v>
      </c>
    </row>
    <row r="23" spans="1:11" ht="18" x14ac:dyDescent="0.25">
      <c r="A23" s="12">
        <v>18</v>
      </c>
      <c r="B23" s="13" t="s">
        <v>134</v>
      </c>
      <c r="C23" s="14">
        <v>5.19</v>
      </c>
      <c r="D23" s="141"/>
      <c r="E23" s="12">
        <v>55</v>
      </c>
      <c r="F23" s="13" t="s">
        <v>100</v>
      </c>
      <c r="G23" s="14">
        <v>27.37</v>
      </c>
      <c r="H23" s="141"/>
      <c r="I23" s="15">
        <v>91</v>
      </c>
      <c r="J23" s="15" t="s">
        <v>77</v>
      </c>
      <c r="K23" s="16">
        <v>36.46</v>
      </c>
    </row>
    <row r="24" spans="1:11" ht="18" x14ac:dyDescent="0.25">
      <c r="A24" s="15">
        <v>19</v>
      </c>
      <c r="B24" s="15" t="s">
        <v>135</v>
      </c>
      <c r="C24" s="16">
        <v>14.79</v>
      </c>
      <c r="D24" s="141"/>
      <c r="E24" s="15">
        <v>56</v>
      </c>
      <c r="F24" s="15" t="s">
        <v>101</v>
      </c>
      <c r="G24" s="16">
        <v>78.58</v>
      </c>
      <c r="H24" s="141"/>
      <c r="I24" s="12">
        <v>92</v>
      </c>
      <c r="J24" s="13" t="s">
        <v>78</v>
      </c>
      <c r="K24" s="14">
        <v>59.68</v>
      </c>
    </row>
    <row r="25" spans="1:11" ht="18" x14ac:dyDescent="0.25">
      <c r="A25" s="12">
        <v>20</v>
      </c>
      <c r="B25" s="13" t="s">
        <v>136</v>
      </c>
      <c r="C25" s="14">
        <v>3.8</v>
      </c>
      <c r="D25" s="141"/>
      <c r="E25" s="12">
        <v>57</v>
      </c>
      <c r="F25" s="13" t="s">
        <v>102</v>
      </c>
      <c r="G25" s="14">
        <v>5.09</v>
      </c>
      <c r="H25" s="141"/>
      <c r="I25" s="15">
        <v>93</v>
      </c>
      <c r="J25" s="15" t="s">
        <v>79</v>
      </c>
      <c r="K25" s="23">
        <v>29.97</v>
      </c>
    </row>
    <row r="26" spans="1:11" ht="18" x14ac:dyDescent="0.25">
      <c r="A26" s="15">
        <v>21</v>
      </c>
      <c r="B26" s="15" t="s">
        <v>137</v>
      </c>
      <c r="C26" s="16">
        <v>4.5</v>
      </c>
      <c r="D26" s="141"/>
      <c r="E26" s="15">
        <v>58</v>
      </c>
      <c r="F26" s="15" t="s">
        <v>103</v>
      </c>
      <c r="G26" s="23">
        <v>11.06</v>
      </c>
      <c r="H26" s="141"/>
      <c r="I26" s="24">
        <v>94</v>
      </c>
      <c r="J26" s="13" t="s">
        <v>80</v>
      </c>
      <c r="K26" s="25">
        <v>28.97</v>
      </c>
    </row>
    <row r="27" spans="1:11" ht="18" x14ac:dyDescent="0.25">
      <c r="A27" s="12">
        <v>22</v>
      </c>
      <c r="B27" s="13" t="s">
        <v>138</v>
      </c>
      <c r="C27" s="14">
        <v>5.67</v>
      </c>
      <c r="D27" s="141"/>
      <c r="E27" s="24">
        <v>59</v>
      </c>
      <c r="F27" s="13" t="s">
        <v>104</v>
      </c>
      <c r="G27" s="25">
        <v>11.17</v>
      </c>
      <c r="H27" s="141"/>
      <c r="I27" s="15">
        <v>95</v>
      </c>
      <c r="J27" s="15" t="s">
        <v>81</v>
      </c>
      <c r="K27" s="23">
        <v>6.65</v>
      </c>
    </row>
    <row r="28" spans="1:11" ht="18" x14ac:dyDescent="0.25">
      <c r="A28" s="15">
        <v>23</v>
      </c>
      <c r="B28" s="15" t="s">
        <v>139</v>
      </c>
      <c r="C28" s="16">
        <v>19.899999999999999</v>
      </c>
      <c r="D28" s="141"/>
      <c r="E28" s="15">
        <v>60</v>
      </c>
      <c r="F28" s="15" t="s">
        <v>105</v>
      </c>
      <c r="G28" s="23">
        <v>8.33</v>
      </c>
      <c r="H28" s="141"/>
      <c r="I28" s="17"/>
      <c r="J28" s="18" t="s">
        <v>9</v>
      </c>
      <c r="K28" s="19">
        <f>SUM(K6:K27)</f>
        <v>837.08797400000003</v>
      </c>
    </row>
    <row r="29" spans="1:11" ht="18" x14ac:dyDescent="0.25">
      <c r="A29" s="12">
        <v>24</v>
      </c>
      <c r="B29" s="13" t="s">
        <v>140</v>
      </c>
      <c r="C29" s="14">
        <v>39.9</v>
      </c>
      <c r="D29" s="141"/>
      <c r="E29" s="24">
        <v>61</v>
      </c>
      <c r="F29" s="13" t="s">
        <v>106</v>
      </c>
      <c r="G29" s="25">
        <v>5.6</v>
      </c>
      <c r="H29" s="141"/>
      <c r="I29" s="139"/>
      <c r="J29" s="139"/>
      <c r="K29" s="139"/>
    </row>
    <row r="30" spans="1:11" ht="18" x14ac:dyDescent="0.25">
      <c r="A30" s="15">
        <v>25</v>
      </c>
      <c r="B30" s="15" t="s">
        <v>141</v>
      </c>
      <c r="C30" s="16">
        <v>10.85</v>
      </c>
      <c r="D30" s="141"/>
      <c r="E30" s="15">
        <v>62</v>
      </c>
      <c r="F30" s="15" t="s">
        <v>107</v>
      </c>
      <c r="G30" s="23">
        <v>6.02</v>
      </c>
      <c r="H30" s="141"/>
      <c r="I30" s="146"/>
      <c r="J30" s="146"/>
      <c r="K30" s="146"/>
    </row>
    <row r="31" spans="1:11" ht="18" x14ac:dyDescent="0.25">
      <c r="A31" s="12">
        <v>26</v>
      </c>
      <c r="B31" s="13" t="s">
        <v>142</v>
      </c>
      <c r="C31" s="14">
        <v>5.49</v>
      </c>
      <c r="D31" s="141"/>
      <c r="E31" s="24">
        <v>63</v>
      </c>
      <c r="F31" s="13" t="s">
        <v>108</v>
      </c>
      <c r="G31" s="25">
        <v>37.04</v>
      </c>
      <c r="H31" s="141"/>
      <c r="I31" s="146"/>
      <c r="J31" s="146"/>
      <c r="K31" s="146"/>
    </row>
    <row r="32" spans="1:11" ht="18" x14ac:dyDescent="0.25">
      <c r="A32" s="15">
        <v>27</v>
      </c>
      <c r="B32" s="15" t="s">
        <v>143</v>
      </c>
      <c r="C32" s="16">
        <v>9.66</v>
      </c>
      <c r="D32" s="141"/>
      <c r="E32" s="15">
        <v>64</v>
      </c>
      <c r="F32" s="15" t="s">
        <v>109</v>
      </c>
      <c r="G32" s="23">
        <v>6.28</v>
      </c>
      <c r="H32" s="141"/>
      <c r="I32" s="146"/>
      <c r="J32" s="146"/>
      <c r="K32" s="146"/>
    </row>
    <row r="33" spans="1:11" ht="18" x14ac:dyDescent="0.25">
      <c r="A33" s="12">
        <v>28</v>
      </c>
      <c r="B33" s="13" t="s">
        <v>144</v>
      </c>
      <c r="C33" s="14">
        <v>6.28</v>
      </c>
      <c r="D33" s="141"/>
      <c r="E33" s="24">
        <v>65</v>
      </c>
      <c r="F33" s="13" t="s">
        <v>110</v>
      </c>
      <c r="G33" s="25">
        <v>5.98</v>
      </c>
      <c r="H33" s="141"/>
      <c r="I33" s="146"/>
      <c r="J33" s="146"/>
      <c r="K33" s="146"/>
    </row>
    <row r="34" spans="1:11" ht="18" x14ac:dyDescent="0.25">
      <c r="A34" s="15">
        <v>29</v>
      </c>
      <c r="B34" s="15" t="s">
        <v>145</v>
      </c>
      <c r="C34" s="16">
        <v>5.85</v>
      </c>
      <c r="D34" s="141"/>
      <c r="E34" s="15">
        <v>66</v>
      </c>
      <c r="F34" s="15" t="s">
        <v>111</v>
      </c>
      <c r="G34" s="23">
        <v>6.34</v>
      </c>
      <c r="H34" s="141"/>
      <c r="I34" s="146"/>
      <c r="J34" s="146"/>
      <c r="K34" s="146"/>
    </row>
    <row r="35" spans="1:11" ht="18" x14ac:dyDescent="0.25">
      <c r="A35" s="12">
        <v>30</v>
      </c>
      <c r="B35" s="13" t="s">
        <v>146</v>
      </c>
      <c r="C35" s="14">
        <v>29</v>
      </c>
      <c r="D35" s="141"/>
      <c r="E35" s="12">
        <v>67</v>
      </c>
      <c r="F35" s="13" t="s">
        <v>112</v>
      </c>
      <c r="G35" s="14">
        <v>28.97</v>
      </c>
      <c r="H35" s="141"/>
      <c r="I35" s="146"/>
      <c r="J35" s="146"/>
      <c r="K35" s="146"/>
    </row>
    <row r="36" spans="1:11" ht="18" x14ac:dyDescent="0.25">
      <c r="A36" s="15">
        <v>31</v>
      </c>
      <c r="B36" s="15" t="s">
        <v>16</v>
      </c>
      <c r="C36" s="16">
        <v>67.27</v>
      </c>
      <c r="D36" s="141"/>
      <c r="E36" s="15">
        <v>68</v>
      </c>
      <c r="F36" s="15" t="s">
        <v>113</v>
      </c>
      <c r="G36" s="16">
        <v>61.92</v>
      </c>
      <c r="H36" s="141"/>
      <c r="I36" s="146"/>
      <c r="J36" s="146"/>
      <c r="K36" s="146"/>
    </row>
    <row r="37" spans="1:11" ht="18" x14ac:dyDescent="0.25">
      <c r="A37" s="12">
        <v>32</v>
      </c>
      <c r="B37" s="13" t="s">
        <v>147</v>
      </c>
      <c r="C37" s="14">
        <v>60.17</v>
      </c>
      <c r="D37" s="141"/>
      <c r="E37" s="12">
        <v>69</v>
      </c>
      <c r="F37" s="13" t="s">
        <v>114</v>
      </c>
      <c r="G37" s="14">
        <v>72.55</v>
      </c>
      <c r="H37" s="141"/>
      <c r="I37" s="146"/>
      <c r="J37" s="146"/>
      <c r="K37" s="146"/>
    </row>
    <row r="38" spans="1:11" ht="18" x14ac:dyDescent="0.25">
      <c r="A38" s="15">
        <v>33</v>
      </c>
      <c r="B38" s="15" t="s">
        <v>148</v>
      </c>
      <c r="C38" s="16">
        <v>29.3</v>
      </c>
      <c r="D38" s="141"/>
      <c r="E38" s="15">
        <v>70</v>
      </c>
      <c r="F38" s="15" t="s">
        <v>115</v>
      </c>
      <c r="G38" s="16">
        <v>6.34</v>
      </c>
      <c r="H38" s="141"/>
      <c r="I38" s="146"/>
      <c r="J38" s="146"/>
      <c r="K38" s="146"/>
    </row>
    <row r="39" spans="1:11" ht="18" x14ac:dyDescent="0.25">
      <c r="A39" s="12">
        <v>34</v>
      </c>
      <c r="B39" s="13" t="s">
        <v>149</v>
      </c>
      <c r="C39" s="14">
        <v>15.63</v>
      </c>
      <c r="D39" s="141"/>
      <c r="E39" s="12">
        <v>71</v>
      </c>
      <c r="F39" s="13" t="s">
        <v>116</v>
      </c>
      <c r="G39" s="14">
        <v>28.97</v>
      </c>
      <c r="H39" s="141"/>
      <c r="I39" s="146"/>
      <c r="J39" s="146"/>
      <c r="K39" s="146"/>
    </row>
    <row r="40" spans="1:11" ht="18" x14ac:dyDescent="0.25">
      <c r="A40" s="15">
        <v>35</v>
      </c>
      <c r="B40" s="15" t="s">
        <v>150</v>
      </c>
      <c r="C40" s="16">
        <v>2.1800000000000002</v>
      </c>
      <c r="D40" s="141"/>
      <c r="E40" s="15">
        <v>72</v>
      </c>
      <c r="F40" s="15" t="s">
        <v>117</v>
      </c>
      <c r="G40" s="16">
        <v>72.760000000000005</v>
      </c>
      <c r="H40" s="141"/>
      <c r="I40" s="146"/>
      <c r="J40" s="146"/>
      <c r="K40" s="146"/>
    </row>
    <row r="41" spans="1:11" ht="18" x14ac:dyDescent="0.25">
      <c r="A41" s="12">
        <v>36</v>
      </c>
      <c r="B41" s="13" t="s">
        <v>151</v>
      </c>
      <c r="C41" s="14">
        <v>2.57</v>
      </c>
      <c r="D41" s="141"/>
      <c r="E41" s="12">
        <v>73</v>
      </c>
      <c r="F41" s="13" t="s">
        <v>118</v>
      </c>
      <c r="G41" s="14">
        <v>6.35</v>
      </c>
      <c r="H41" s="141"/>
      <c r="I41" s="146"/>
      <c r="J41" s="146"/>
      <c r="K41" s="146"/>
    </row>
    <row r="42" spans="1:11" ht="18" x14ac:dyDescent="0.25">
      <c r="A42" s="15">
        <v>37</v>
      </c>
      <c r="B42" s="15" t="s">
        <v>152</v>
      </c>
      <c r="C42" s="16">
        <v>2.84</v>
      </c>
      <c r="D42" s="141"/>
      <c r="E42" s="17"/>
      <c r="F42" s="18" t="s">
        <v>9</v>
      </c>
      <c r="G42" s="19">
        <f>SUM(G6:G41)</f>
        <v>1057.7099999999998</v>
      </c>
      <c r="H42" s="141"/>
      <c r="I42" s="146"/>
      <c r="J42" s="146"/>
      <c r="K42" s="146"/>
    </row>
    <row r="43" spans="1:11" ht="18" x14ac:dyDescent="0.25">
      <c r="A43" s="17"/>
      <c r="B43" s="18" t="s">
        <v>9</v>
      </c>
      <c r="C43" s="19">
        <f>SUM(C6:C42)</f>
        <v>1024.7299999999998</v>
      </c>
      <c r="D43" s="141"/>
      <c r="E43" s="139"/>
      <c r="F43" s="139"/>
      <c r="G43" s="139"/>
      <c r="H43" s="141"/>
      <c r="I43" s="146"/>
      <c r="J43" s="146"/>
      <c r="K43" s="146"/>
    </row>
  </sheetData>
  <mergeCells count="10">
    <mergeCell ref="A4:K4"/>
    <mergeCell ref="D5:D43"/>
    <mergeCell ref="H5:H43"/>
    <mergeCell ref="E43:G43"/>
    <mergeCell ref="I29:K43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zoomScale="55" zoomScaleNormal="55" workbookViewId="0">
      <selection activeCell="B3" sqref="B3:F3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1" t="s">
        <v>1</v>
      </c>
      <c r="B2" s="138" t="s">
        <v>2</v>
      </c>
      <c r="C2" s="138"/>
      <c r="D2" s="138"/>
      <c r="E2" s="138"/>
      <c r="F2" s="138"/>
      <c r="G2" s="138" t="s">
        <v>3</v>
      </c>
      <c r="H2" s="138"/>
      <c r="I2" s="138"/>
      <c r="J2" s="3" t="s">
        <v>4</v>
      </c>
      <c r="K2" s="3" t="s">
        <v>5</v>
      </c>
    </row>
    <row r="3" spans="1:11" ht="63.6" customHeight="1" x14ac:dyDescent="0.25">
      <c r="A3" s="21">
        <v>1</v>
      </c>
      <c r="B3" s="144" t="s">
        <v>55</v>
      </c>
      <c r="C3" s="144"/>
      <c r="D3" s="144"/>
      <c r="E3" s="144"/>
      <c r="F3" s="144"/>
      <c r="G3" s="145" t="s">
        <v>157</v>
      </c>
      <c r="H3" s="145"/>
      <c r="I3" s="145"/>
      <c r="J3" s="4" t="s">
        <v>6</v>
      </c>
      <c r="K3" s="5">
        <f>K29+G44+C45</f>
        <v>3429.1579739999993</v>
      </c>
    </row>
    <row r="4" spans="1:11" ht="63.6" customHeight="1" x14ac:dyDescent="0.25">
      <c r="A4" s="21">
        <v>2</v>
      </c>
      <c r="B4" s="144" t="s">
        <v>55</v>
      </c>
      <c r="C4" s="144"/>
      <c r="D4" s="144"/>
      <c r="E4" s="144"/>
      <c r="F4" s="144"/>
      <c r="G4" s="145" t="s">
        <v>158</v>
      </c>
      <c r="H4" s="145"/>
      <c r="I4" s="145"/>
      <c r="J4" s="4" t="s">
        <v>6</v>
      </c>
      <c r="K4" s="5">
        <f>K33</f>
        <v>219.4</v>
      </c>
    </row>
    <row r="5" spans="1:11" ht="18" x14ac:dyDescent="0.25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</row>
    <row r="6" spans="1:11" ht="18" x14ac:dyDescent="0.25">
      <c r="A6" s="6" t="s">
        <v>1</v>
      </c>
      <c r="B6" s="7" t="s">
        <v>7</v>
      </c>
      <c r="C6" s="8" t="s">
        <v>8</v>
      </c>
      <c r="D6" s="143"/>
      <c r="E6" s="6" t="s">
        <v>1</v>
      </c>
      <c r="F6" s="7" t="s">
        <v>7</v>
      </c>
      <c r="G6" s="8" t="s">
        <v>8</v>
      </c>
      <c r="H6" s="141"/>
      <c r="I6" s="9" t="s">
        <v>1</v>
      </c>
      <c r="J6" s="10" t="s">
        <v>7</v>
      </c>
      <c r="K6" s="11" t="s">
        <v>8</v>
      </c>
    </row>
    <row r="7" spans="1:11" ht="18.600000000000001" customHeight="1" x14ac:dyDescent="0.25">
      <c r="A7" s="12">
        <v>1</v>
      </c>
      <c r="B7" s="13" t="s">
        <v>155</v>
      </c>
      <c r="C7" s="14">
        <f>114.61+85.5+5.75</f>
        <v>205.86</v>
      </c>
      <c r="D7" s="141"/>
      <c r="E7" s="12">
        <v>39</v>
      </c>
      <c r="F7" s="13" t="s">
        <v>82</v>
      </c>
      <c r="G7" s="14">
        <v>76.349999999999994</v>
      </c>
      <c r="H7" s="141"/>
      <c r="I7" s="12">
        <v>76</v>
      </c>
      <c r="J7" s="13" t="s">
        <v>60</v>
      </c>
      <c r="K7" s="14">
        <v>85.255876000000001</v>
      </c>
    </row>
    <row r="8" spans="1:11" ht="18" x14ac:dyDescent="0.25">
      <c r="A8" s="15">
        <v>2</v>
      </c>
      <c r="B8" s="15" t="s">
        <v>119</v>
      </c>
      <c r="C8" s="16">
        <v>15.68</v>
      </c>
      <c r="D8" s="141"/>
      <c r="E8" s="15">
        <v>40</v>
      </c>
      <c r="F8" s="15" t="s">
        <v>83</v>
      </c>
      <c r="G8" s="16">
        <v>17.690000000000001</v>
      </c>
      <c r="H8" s="141"/>
      <c r="I8" s="15">
        <v>77</v>
      </c>
      <c r="J8" s="15" t="s">
        <v>61</v>
      </c>
      <c r="K8" s="16">
        <v>21.566807000000001</v>
      </c>
    </row>
    <row r="9" spans="1:11" ht="18" x14ac:dyDescent="0.25">
      <c r="A9" s="12">
        <v>3</v>
      </c>
      <c r="B9" s="13" t="s">
        <v>120</v>
      </c>
      <c r="C9" s="14">
        <v>5.01</v>
      </c>
      <c r="D9" s="141"/>
      <c r="E9" s="12">
        <v>41</v>
      </c>
      <c r="F9" s="13" t="s">
        <v>84</v>
      </c>
      <c r="G9" s="14">
        <v>5.15</v>
      </c>
      <c r="H9" s="141"/>
      <c r="I9" s="12">
        <v>78</v>
      </c>
      <c r="J9" s="13" t="s">
        <v>62</v>
      </c>
      <c r="K9" s="14">
        <v>5.12</v>
      </c>
    </row>
    <row r="10" spans="1:11" ht="18" x14ac:dyDescent="0.25">
      <c r="A10" s="15">
        <v>4</v>
      </c>
      <c r="B10" s="15" t="s">
        <v>121</v>
      </c>
      <c r="C10" s="16">
        <v>6.01</v>
      </c>
      <c r="D10" s="141"/>
      <c r="E10" s="15">
        <v>42</v>
      </c>
      <c r="F10" s="15" t="s">
        <v>85</v>
      </c>
      <c r="G10" s="16">
        <v>9.48</v>
      </c>
      <c r="H10" s="141"/>
      <c r="I10" s="15">
        <v>79</v>
      </c>
      <c r="J10" s="15" t="s">
        <v>63</v>
      </c>
      <c r="K10" s="16">
        <v>11.51</v>
      </c>
    </row>
    <row r="11" spans="1:11" ht="18" x14ac:dyDescent="0.25">
      <c r="A11" s="12">
        <v>5</v>
      </c>
      <c r="B11" s="13" t="s">
        <v>122</v>
      </c>
      <c r="C11" s="14">
        <v>9.4600000000000009</v>
      </c>
      <c r="D11" s="141"/>
      <c r="E11" s="12">
        <v>43</v>
      </c>
      <c r="F11" s="13" t="s">
        <v>86</v>
      </c>
      <c r="G11" s="14">
        <v>198.78</v>
      </c>
      <c r="H11" s="141"/>
      <c r="I11" s="12">
        <v>80</v>
      </c>
      <c r="J11" s="13" t="s">
        <v>64</v>
      </c>
      <c r="K11" s="14">
        <v>114.03</v>
      </c>
    </row>
    <row r="12" spans="1:11" ht="18" x14ac:dyDescent="0.25">
      <c r="A12" s="15">
        <v>6</v>
      </c>
      <c r="B12" s="15" t="s">
        <v>24</v>
      </c>
      <c r="C12" s="16">
        <v>97.45</v>
      </c>
      <c r="D12" s="141"/>
      <c r="E12" s="15">
        <v>44</v>
      </c>
      <c r="F12" s="15" t="s">
        <v>87</v>
      </c>
      <c r="G12" s="16">
        <v>14.98</v>
      </c>
      <c r="H12" s="141"/>
      <c r="I12" s="15">
        <v>81</v>
      </c>
      <c r="J12" s="15" t="s">
        <v>65</v>
      </c>
      <c r="K12" s="16">
        <v>6.46</v>
      </c>
    </row>
    <row r="13" spans="1:11" ht="18" x14ac:dyDescent="0.25">
      <c r="A13" s="12">
        <v>7</v>
      </c>
      <c r="B13" s="13" t="s">
        <v>123</v>
      </c>
      <c r="C13" s="14">
        <v>9.7899999999999991</v>
      </c>
      <c r="D13" s="141"/>
      <c r="E13" s="12">
        <v>45</v>
      </c>
      <c r="F13" s="13" t="s">
        <v>88</v>
      </c>
      <c r="G13" s="14">
        <v>6.46</v>
      </c>
      <c r="H13" s="141"/>
      <c r="I13" s="12">
        <v>82</v>
      </c>
      <c r="J13" s="13" t="s">
        <v>66</v>
      </c>
      <c r="K13" s="14">
        <v>106.01</v>
      </c>
    </row>
    <row r="14" spans="1:11" ht="18" x14ac:dyDescent="0.25">
      <c r="A14" s="15">
        <v>8</v>
      </c>
      <c r="B14" s="15" t="s">
        <v>125</v>
      </c>
      <c r="C14" s="16">
        <v>10</v>
      </c>
      <c r="D14" s="141"/>
      <c r="E14" s="15">
        <v>46</v>
      </c>
      <c r="F14" s="15" t="s">
        <v>89</v>
      </c>
      <c r="G14" s="16">
        <v>106.83</v>
      </c>
      <c r="H14" s="141"/>
      <c r="I14" s="15">
        <v>83</v>
      </c>
      <c r="J14" s="15" t="s">
        <v>67</v>
      </c>
      <c r="K14" s="16">
        <v>5.24</v>
      </c>
    </row>
    <row r="15" spans="1:11" ht="18" x14ac:dyDescent="0.25">
      <c r="A15" s="12">
        <v>9</v>
      </c>
      <c r="B15" s="13" t="s">
        <v>124</v>
      </c>
      <c r="C15" s="14">
        <v>10.38</v>
      </c>
      <c r="D15" s="141"/>
      <c r="E15" s="12">
        <v>47</v>
      </c>
      <c r="F15" s="13" t="s">
        <v>90</v>
      </c>
      <c r="G15" s="14">
        <v>359.68</v>
      </c>
      <c r="H15" s="141"/>
      <c r="I15" s="12">
        <v>84</v>
      </c>
      <c r="J15" s="26" t="s">
        <v>68</v>
      </c>
      <c r="K15" s="14">
        <v>14.95</v>
      </c>
    </row>
    <row r="16" spans="1:11" ht="18" x14ac:dyDescent="0.25">
      <c r="A16" s="15">
        <v>10</v>
      </c>
      <c r="B16" s="15" t="s">
        <v>126</v>
      </c>
      <c r="C16" s="16">
        <v>25.29</v>
      </c>
      <c r="D16" s="141"/>
      <c r="E16" s="15">
        <v>48</v>
      </c>
      <c r="F16" s="15" t="s">
        <v>91</v>
      </c>
      <c r="G16" s="16">
        <v>14.81</v>
      </c>
      <c r="H16" s="141"/>
      <c r="I16" s="15">
        <v>85</v>
      </c>
      <c r="J16" s="15" t="s">
        <v>69</v>
      </c>
      <c r="K16" s="16">
        <v>14.92</v>
      </c>
    </row>
    <row r="17" spans="1:11" ht="18" x14ac:dyDescent="0.25">
      <c r="A17" s="12">
        <v>11</v>
      </c>
      <c r="B17" s="13" t="s">
        <v>127</v>
      </c>
      <c r="C17" s="14">
        <v>21.62</v>
      </c>
      <c r="D17" s="141"/>
      <c r="E17" s="12">
        <v>49</v>
      </c>
      <c r="F17" s="13" t="s">
        <v>92</v>
      </c>
      <c r="G17" s="14">
        <v>14.79</v>
      </c>
      <c r="H17" s="141"/>
      <c r="I17" s="12">
        <v>86</v>
      </c>
      <c r="J17" s="13" t="s">
        <v>70</v>
      </c>
      <c r="K17" s="14">
        <v>244.875291</v>
      </c>
    </row>
    <row r="18" spans="1:11" ht="18" x14ac:dyDescent="0.25">
      <c r="A18" s="15">
        <v>12</v>
      </c>
      <c r="B18" s="15" t="s">
        <v>128</v>
      </c>
      <c r="C18" s="16">
        <v>28.06</v>
      </c>
      <c r="D18" s="141"/>
      <c r="E18" s="15">
        <v>50</v>
      </c>
      <c r="F18" s="15" t="s">
        <v>93</v>
      </c>
      <c r="G18" s="16">
        <v>5.14</v>
      </c>
      <c r="H18" s="141"/>
      <c r="I18" s="15">
        <v>87</v>
      </c>
      <c r="J18" s="15" t="s">
        <v>71</v>
      </c>
      <c r="K18" s="16">
        <v>12.97</v>
      </c>
    </row>
    <row r="19" spans="1:11" ht="18" x14ac:dyDescent="0.25">
      <c r="A19" s="12">
        <v>13</v>
      </c>
      <c r="B19" s="13" t="s">
        <v>129</v>
      </c>
      <c r="C19" s="14">
        <v>96.32</v>
      </c>
      <c r="D19" s="141"/>
      <c r="E19" s="12">
        <v>51</v>
      </c>
      <c r="F19" s="13" t="s">
        <v>94</v>
      </c>
      <c r="G19" s="14">
        <v>10.32</v>
      </c>
      <c r="H19" s="141"/>
      <c r="I19" s="12">
        <v>88</v>
      </c>
      <c r="J19" s="13" t="s">
        <v>72</v>
      </c>
      <c r="K19" s="14">
        <v>8.33</v>
      </c>
    </row>
    <row r="20" spans="1:11" ht="18" x14ac:dyDescent="0.25">
      <c r="A20" s="15">
        <v>14</v>
      </c>
      <c r="B20" s="15" t="s">
        <v>130</v>
      </c>
      <c r="C20" s="16">
        <v>111.79</v>
      </c>
      <c r="D20" s="141"/>
      <c r="E20" s="15">
        <v>52</v>
      </c>
      <c r="F20" s="15" t="s">
        <v>95</v>
      </c>
      <c r="G20" s="16">
        <v>11.76</v>
      </c>
      <c r="H20" s="141"/>
      <c r="I20" s="15">
        <v>89</v>
      </c>
      <c r="J20" s="15" t="s">
        <v>73</v>
      </c>
      <c r="K20" s="16">
        <v>5.81</v>
      </c>
    </row>
    <row r="21" spans="1:11" ht="18" x14ac:dyDescent="0.25">
      <c r="A21" s="12">
        <v>15</v>
      </c>
      <c r="B21" s="13" t="s">
        <v>131</v>
      </c>
      <c r="C21" s="14">
        <v>6.45</v>
      </c>
      <c r="D21" s="141"/>
      <c r="E21" s="12">
        <v>53</v>
      </c>
      <c r="F21" s="13" t="s">
        <v>96</v>
      </c>
      <c r="G21" s="14">
        <v>30.61</v>
      </c>
      <c r="H21" s="141"/>
      <c r="I21" s="12">
        <v>90</v>
      </c>
      <c r="J21" s="13" t="s">
        <v>74</v>
      </c>
      <c r="K21" s="14">
        <v>5.92</v>
      </c>
    </row>
    <row r="22" spans="1:11" ht="18" x14ac:dyDescent="0.25">
      <c r="A22" s="15">
        <v>16</v>
      </c>
      <c r="B22" s="15" t="s">
        <v>132</v>
      </c>
      <c r="C22" s="16">
        <v>9.91</v>
      </c>
      <c r="D22" s="141"/>
      <c r="E22" s="15">
        <v>54</v>
      </c>
      <c r="F22" s="15" t="s">
        <v>97</v>
      </c>
      <c r="G22" s="16">
        <v>26.54</v>
      </c>
      <c r="H22" s="141"/>
      <c r="I22" s="15">
        <v>91</v>
      </c>
      <c r="J22" s="15" t="s">
        <v>75</v>
      </c>
      <c r="K22" s="16">
        <v>6.28</v>
      </c>
    </row>
    <row r="23" spans="1:11" ht="18" x14ac:dyDescent="0.25">
      <c r="A23" s="12">
        <v>17</v>
      </c>
      <c r="B23" s="13" t="s">
        <v>14</v>
      </c>
      <c r="C23" s="14">
        <v>149.94999999999999</v>
      </c>
      <c r="D23" s="141"/>
      <c r="E23" s="12">
        <v>55</v>
      </c>
      <c r="F23" s="13" t="s">
        <v>98</v>
      </c>
      <c r="G23" s="14">
        <v>13.17</v>
      </c>
      <c r="H23" s="141"/>
      <c r="I23" s="12">
        <v>92</v>
      </c>
      <c r="J23" s="13" t="s">
        <v>76</v>
      </c>
      <c r="K23" s="14">
        <v>6.11</v>
      </c>
    </row>
    <row r="24" spans="1:11" ht="18" x14ac:dyDescent="0.25">
      <c r="A24" s="15">
        <v>18</v>
      </c>
      <c r="B24" s="15" t="s">
        <v>133</v>
      </c>
      <c r="C24" s="16">
        <v>14.81</v>
      </c>
      <c r="D24" s="141"/>
      <c r="E24" s="15">
        <v>56</v>
      </c>
      <c r="F24" s="15" t="s">
        <v>99</v>
      </c>
      <c r="G24" s="16">
        <v>8.1300000000000008</v>
      </c>
      <c r="H24" s="141"/>
      <c r="I24" s="15">
        <v>93</v>
      </c>
      <c r="J24" s="15" t="s">
        <v>77</v>
      </c>
      <c r="K24" s="16">
        <v>36.46</v>
      </c>
    </row>
    <row r="25" spans="1:11" ht="18" x14ac:dyDescent="0.25">
      <c r="A25" s="12">
        <v>19</v>
      </c>
      <c r="B25" s="13" t="s">
        <v>134</v>
      </c>
      <c r="C25" s="14">
        <v>5.19</v>
      </c>
      <c r="D25" s="141"/>
      <c r="E25" s="12">
        <v>57</v>
      </c>
      <c r="F25" s="13" t="s">
        <v>100</v>
      </c>
      <c r="G25" s="14">
        <v>27.37</v>
      </c>
      <c r="H25" s="141"/>
      <c r="I25" s="12">
        <v>94</v>
      </c>
      <c r="J25" s="13" t="s">
        <v>78</v>
      </c>
      <c r="K25" s="14">
        <v>59.68</v>
      </c>
    </row>
    <row r="26" spans="1:11" ht="18" x14ac:dyDescent="0.25">
      <c r="A26" s="15">
        <v>20</v>
      </c>
      <c r="B26" s="15" t="s">
        <v>135</v>
      </c>
      <c r="C26" s="16">
        <v>14.79</v>
      </c>
      <c r="D26" s="141"/>
      <c r="E26" s="15">
        <v>58</v>
      </c>
      <c r="F26" s="15" t="s">
        <v>101</v>
      </c>
      <c r="G26" s="16">
        <v>78.58</v>
      </c>
      <c r="H26" s="141"/>
      <c r="I26" s="15">
        <v>95</v>
      </c>
      <c r="J26" s="15" t="s">
        <v>79</v>
      </c>
      <c r="K26" s="23">
        <v>29.97</v>
      </c>
    </row>
    <row r="27" spans="1:11" ht="18" x14ac:dyDescent="0.25">
      <c r="A27" s="12">
        <v>21</v>
      </c>
      <c r="B27" s="13" t="s">
        <v>136</v>
      </c>
      <c r="C27" s="14">
        <v>3.8</v>
      </c>
      <c r="D27" s="141"/>
      <c r="E27" s="12">
        <v>59</v>
      </c>
      <c r="F27" s="13" t="s">
        <v>102</v>
      </c>
      <c r="G27" s="14">
        <v>5.09</v>
      </c>
      <c r="H27" s="141"/>
      <c r="I27" s="24">
        <v>96</v>
      </c>
      <c r="J27" s="13" t="s">
        <v>80</v>
      </c>
      <c r="K27" s="25">
        <v>28.97</v>
      </c>
    </row>
    <row r="28" spans="1:11" ht="18" x14ac:dyDescent="0.25">
      <c r="A28" s="15">
        <v>22</v>
      </c>
      <c r="B28" s="15" t="s">
        <v>137</v>
      </c>
      <c r="C28" s="16">
        <v>4.5</v>
      </c>
      <c r="D28" s="141"/>
      <c r="E28" s="15">
        <v>60</v>
      </c>
      <c r="F28" s="15" t="s">
        <v>103</v>
      </c>
      <c r="G28" s="23">
        <v>11.06</v>
      </c>
      <c r="H28" s="141"/>
      <c r="I28" s="15">
        <v>97</v>
      </c>
      <c r="J28" s="15" t="s">
        <v>81</v>
      </c>
      <c r="K28" s="23">
        <v>6.65</v>
      </c>
    </row>
    <row r="29" spans="1:11" ht="18" x14ac:dyDescent="0.25">
      <c r="A29" s="12">
        <v>23</v>
      </c>
      <c r="B29" s="13" t="s">
        <v>138</v>
      </c>
      <c r="C29" s="14">
        <v>5.67</v>
      </c>
      <c r="D29" s="141"/>
      <c r="E29" s="24">
        <v>61</v>
      </c>
      <c r="F29" s="13" t="s">
        <v>104</v>
      </c>
      <c r="G29" s="25">
        <v>11.17</v>
      </c>
      <c r="H29" s="141"/>
      <c r="I29" s="17"/>
      <c r="J29" s="18" t="s">
        <v>9</v>
      </c>
      <c r="K29" s="19">
        <f>SUM(K7:K28)</f>
        <v>837.08797400000003</v>
      </c>
    </row>
    <row r="30" spans="1:11" ht="18" x14ac:dyDescent="0.25">
      <c r="A30" s="15">
        <v>24</v>
      </c>
      <c r="B30" s="15" t="s">
        <v>139</v>
      </c>
      <c r="C30" s="16">
        <v>19.899999999999999</v>
      </c>
      <c r="D30" s="141"/>
      <c r="E30" s="15">
        <v>62</v>
      </c>
      <c r="F30" s="15" t="s">
        <v>105</v>
      </c>
      <c r="G30" s="23">
        <v>8.33</v>
      </c>
      <c r="H30" s="141"/>
      <c r="I30" s="150"/>
      <c r="J30" s="150"/>
      <c r="K30" s="150"/>
    </row>
    <row r="31" spans="1:11" ht="18" x14ac:dyDescent="0.25">
      <c r="A31" s="12">
        <v>25</v>
      </c>
      <c r="B31" s="13" t="s">
        <v>140</v>
      </c>
      <c r="C31" s="14">
        <v>39.9</v>
      </c>
      <c r="D31" s="141"/>
      <c r="E31" s="24">
        <v>63</v>
      </c>
      <c r="F31" s="13" t="s">
        <v>106</v>
      </c>
      <c r="G31" s="25">
        <v>5.6</v>
      </c>
      <c r="H31" s="141"/>
      <c r="I31" s="147" t="s">
        <v>156</v>
      </c>
      <c r="J31" s="148"/>
      <c r="K31" s="149"/>
    </row>
    <row r="32" spans="1:11" ht="18" x14ac:dyDescent="0.25">
      <c r="A32" s="15">
        <v>26</v>
      </c>
      <c r="B32" s="15" t="s">
        <v>141</v>
      </c>
      <c r="C32" s="16">
        <v>10.85</v>
      </c>
      <c r="D32" s="141"/>
      <c r="E32" s="15">
        <v>64</v>
      </c>
      <c r="F32" s="15" t="s">
        <v>107</v>
      </c>
      <c r="G32" s="23">
        <v>6.02</v>
      </c>
      <c r="H32" s="141"/>
      <c r="I32" s="27" t="s">
        <v>1</v>
      </c>
      <c r="J32" s="28" t="s">
        <v>7</v>
      </c>
      <c r="K32" s="29" t="s">
        <v>8</v>
      </c>
    </row>
    <row r="33" spans="1:11" ht="18" x14ac:dyDescent="0.25">
      <c r="A33" s="12">
        <v>27</v>
      </c>
      <c r="B33" s="13" t="s">
        <v>142</v>
      </c>
      <c r="C33" s="14">
        <v>5.49</v>
      </c>
      <c r="D33" s="141"/>
      <c r="E33" s="24">
        <v>65</v>
      </c>
      <c r="F33" s="13" t="s">
        <v>108</v>
      </c>
      <c r="G33" s="25">
        <v>37.04</v>
      </c>
      <c r="H33" s="141"/>
      <c r="I33" s="15" t="s">
        <v>153</v>
      </c>
      <c r="J33" s="15" t="s">
        <v>154</v>
      </c>
      <c r="K33" s="23">
        <f>193.4+26</f>
        <v>219.4</v>
      </c>
    </row>
    <row r="34" spans="1:11" ht="18" x14ac:dyDescent="0.25">
      <c r="A34" s="15">
        <v>28</v>
      </c>
      <c r="B34" s="15" t="s">
        <v>143</v>
      </c>
      <c r="C34" s="16">
        <v>9.66</v>
      </c>
      <c r="D34" s="141"/>
      <c r="E34" s="15">
        <v>66</v>
      </c>
      <c r="F34" s="15" t="s">
        <v>109</v>
      </c>
      <c r="G34" s="23">
        <v>6.28</v>
      </c>
      <c r="H34" s="141"/>
      <c r="I34" s="17"/>
      <c r="J34" s="18" t="s">
        <v>9</v>
      </c>
      <c r="K34" s="19">
        <f>K33</f>
        <v>219.4</v>
      </c>
    </row>
    <row r="35" spans="1:11" ht="18" x14ac:dyDescent="0.25">
      <c r="A35" s="12">
        <v>29</v>
      </c>
      <c r="B35" s="13" t="s">
        <v>144</v>
      </c>
      <c r="C35" s="14">
        <v>6.28</v>
      </c>
      <c r="D35" s="141"/>
      <c r="E35" s="24">
        <v>67</v>
      </c>
      <c r="F35" s="13" t="s">
        <v>110</v>
      </c>
      <c r="G35" s="25">
        <v>5.98</v>
      </c>
      <c r="H35" s="141"/>
      <c r="I35" s="139"/>
      <c r="J35" s="139"/>
      <c r="K35" s="139"/>
    </row>
    <row r="36" spans="1:11" ht="18" x14ac:dyDescent="0.25">
      <c r="A36" s="15">
        <v>30</v>
      </c>
      <c r="B36" s="15" t="s">
        <v>145</v>
      </c>
      <c r="C36" s="16">
        <v>5.85</v>
      </c>
      <c r="D36" s="141"/>
      <c r="E36" s="15">
        <v>68</v>
      </c>
      <c r="F36" s="15" t="s">
        <v>111</v>
      </c>
      <c r="G36" s="23">
        <v>6.34</v>
      </c>
      <c r="H36" s="141"/>
      <c r="I36" s="140"/>
      <c r="J36" s="140"/>
      <c r="K36" s="140"/>
    </row>
    <row r="37" spans="1:11" ht="18" x14ac:dyDescent="0.25">
      <c r="A37" s="12">
        <v>31</v>
      </c>
      <c r="B37" s="13" t="s">
        <v>146</v>
      </c>
      <c r="C37" s="14">
        <v>29</v>
      </c>
      <c r="D37" s="141"/>
      <c r="E37" s="12">
        <v>69</v>
      </c>
      <c r="F37" s="13" t="s">
        <v>112</v>
      </c>
      <c r="G37" s="14">
        <v>28.97</v>
      </c>
      <c r="H37" s="141"/>
      <c r="I37" s="140"/>
      <c r="J37" s="140"/>
      <c r="K37" s="140"/>
    </row>
    <row r="38" spans="1:11" ht="18" x14ac:dyDescent="0.25">
      <c r="A38" s="15">
        <v>32</v>
      </c>
      <c r="B38" s="15" t="s">
        <v>16</v>
      </c>
      <c r="C38" s="16">
        <v>67.27</v>
      </c>
      <c r="D38" s="141"/>
      <c r="E38" s="15">
        <v>70</v>
      </c>
      <c r="F38" s="15" t="s">
        <v>113</v>
      </c>
      <c r="G38" s="16">
        <v>61.92</v>
      </c>
      <c r="H38" s="141"/>
      <c r="I38" s="140"/>
      <c r="J38" s="140"/>
      <c r="K38" s="140"/>
    </row>
    <row r="39" spans="1:11" ht="18" x14ac:dyDescent="0.25">
      <c r="A39" s="12">
        <v>33</v>
      </c>
      <c r="B39" s="13" t="s">
        <v>147</v>
      </c>
      <c r="C39" s="14">
        <v>60.17</v>
      </c>
      <c r="D39" s="141"/>
      <c r="E39" s="12">
        <v>71</v>
      </c>
      <c r="F39" s="13" t="s">
        <v>114</v>
      </c>
      <c r="G39" s="14">
        <v>72.55</v>
      </c>
      <c r="H39" s="141"/>
      <c r="I39" s="140"/>
      <c r="J39" s="140"/>
      <c r="K39" s="140"/>
    </row>
    <row r="40" spans="1:11" ht="18" x14ac:dyDescent="0.25">
      <c r="A40" s="15">
        <v>34</v>
      </c>
      <c r="B40" s="15" t="s">
        <v>148</v>
      </c>
      <c r="C40" s="16">
        <v>29.3</v>
      </c>
      <c r="D40" s="141"/>
      <c r="E40" s="15">
        <v>72</v>
      </c>
      <c r="F40" s="15" t="s">
        <v>115</v>
      </c>
      <c r="G40" s="16">
        <v>6.34</v>
      </c>
      <c r="H40" s="141"/>
      <c r="I40" s="140"/>
      <c r="J40" s="140"/>
      <c r="K40" s="140"/>
    </row>
    <row r="41" spans="1:11" ht="18" x14ac:dyDescent="0.25">
      <c r="A41" s="12">
        <v>35</v>
      </c>
      <c r="B41" s="13" t="s">
        <v>149</v>
      </c>
      <c r="C41" s="14">
        <v>15.63</v>
      </c>
      <c r="D41" s="141"/>
      <c r="E41" s="12">
        <v>73</v>
      </c>
      <c r="F41" s="13" t="s">
        <v>116</v>
      </c>
      <c r="G41" s="14">
        <v>28.97</v>
      </c>
      <c r="H41" s="141"/>
      <c r="I41" s="140"/>
      <c r="J41" s="140"/>
      <c r="K41" s="140"/>
    </row>
    <row r="42" spans="1:11" ht="18" x14ac:dyDescent="0.25">
      <c r="A42" s="15">
        <v>36</v>
      </c>
      <c r="B42" s="15" t="s">
        <v>150</v>
      </c>
      <c r="C42" s="16">
        <v>2.1800000000000002</v>
      </c>
      <c r="D42" s="141"/>
      <c r="E42" s="15">
        <v>74</v>
      </c>
      <c r="F42" s="15" t="s">
        <v>117</v>
      </c>
      <c r="G42" s="16">
        <v>72.760000000000005</v>
      </c>
      <c r="H42" s="141"/>
      <c r="I42" s="140"/>
      <c r="J42" s="140"/>
      <c r="K42" s="140"/>
    </row>
    <row r="43" spans="1:11" ht="18" x14ac:dyDescent="0.25">
      <c r="A43" s="12">
        <v>37</v>
      </c>
      <c r="B43" s="13" t="s">
        <v>151</v>
      </c>
      <c r="C43" s="14">
        <v>2.57</v>
      </c>
      <c r="D43" s="141"/>
      <c r="E43" s="12">
        <v>75</v>
      </c>
      <c r="F43" s="13" t="s">
        <v>118</v>
      </c>
      <c r="G43" s="14">
        <v>6.35</v>
      </c>
      <c r="H43" s="141"/>
      <c r="I43" s="140"/>
      <c r="J43" s="140"/>
      <c r="K43" s="140"/>
    </row>
    <row r="44" spans="1:11" ht="18" x14ac:dyDescent="0.25">
      <c r="A44" s="15">
        <v>38</v>
      </c>
      <c r="B44" s="15" t="s">
        <v>152</v>
      </c>
      <c r="C44" s="16">
        <v>2.84</v>
      </c>
      <c r="D44" s="141"/>
      <c r="E44" s="17"/>
      <c r="F44" s="18" t="s">
        <v>9</v>
      </c>
      <c r="G44" s="19">
        <f>SUM(G7:G43)</f>
        <v>1417.3899999999994</v>
      </c>
      <c r="H44" s="141"/>
      <c r="I44" s="140"/>
      <c r="J44" s="140"/>
      <c r="K44" s="140"/>
    </row>
    <row r="45" spans="1:11" ht="18" x14ac:dyDescent="0.25">
      <c r="A45" s="17"/>
      <c r="B45" s="18" t="s">
        <v>9</v>
      </c>
      <c r="C45" s="19">
        <f>SUM(C7:C44)</f>
        <v>1174.6799999999998</v>
      </c>
      <c r="D45" s="141"/>
      <c r="E45" s="139"/>
      <c r="F45" s="139"/>
      <c r="G45" s="139"/>
      <c r="H45" s="141"/>
      <c r="I45" s="140"/>
      <c r="J45" s="140"/>
      <c r="K45" s="140"/>
    </row>
  </sheetData>
  <mergeCells count="14">
    <mergeCell ref="I31:K31"/>
    <mergeCell ref="D6:D45"/>
    <mergeCell ref="H6:H45"/>
    <mergeCell ref="E45:G45"/>
    <mergeCell ref="I35:K45"/>
    <mergeCell ref="I30:K30"/>
    <mergeCell ref="A5:K5"/>
    <mergeCell ref="B4:F4"/>
    <mergeCell ref="G4:I4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  <ignoredErrors>
    <ignoredError sqref="B13:B44 F7:F43 J7:J28" twoDigitTextYear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="55" zoomScaleNormal="55" workbookViewId="0">
      <selection activeCell="O40" sqref="O40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1" t="s">
        <v>1</v>
      </c>
      <c r="B2" s="138" t="s">
        <v>2</v>
      </c>
      <c r="C2" s="138"/>
      <c r="D2" s="138"/>
      <c r="E2" s="138"/>
      <c r="F2" s="138"/>
      <c r="G2" s="138" t="s">
        <v>3</v>
      </c>
      <c r="H2" s="138"/>
      <c r="I2" s="138"/>
      <c r="J2" s="3" t="s">
        <v>4</v>
      </c>
      <c r="K2" s="3" t="s">
        <v>5</v>
      </c>
    </row>
    <row r="3" spans="1:11" ht="63.6" customHeight="1" x14ac:dyDescent="0.25">
      <c r="A3" s="21">
        <v>1</v>
      </c>
      <c r="B3" s="144" t="s">
        <v>59</v>
      </c>
      <c r="C3" s="144"/>
      <c r="D3" s="144"/>
      <c r="E3" s="144"/>
      <c r="F3" s="144"/>
      <c r="G3" s="145" t="s">
        <v>159</v>
      </c>
      <c r="H3" s="145"/>
      <c r="I3" s="145"/>
      <c r="J3" s="4" t="s">
        <v>6</v>
      </c>
      <c r="K3" s="5">
        <f>K28+G43+C44+K33</f>
        <v>3648.5579739999994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.600000000000001" customHeight="1" x14ac:dyDescent="0.25">
      <c r="A6" s="12">
        <v>1</v>
      </c>
      <c r="B6" s="13" t="s">
        <v>155</v>
      </c>
      <c r="C6" s="14">
        <f>114.61+85.5+5.75</f>
        <v>205.86</v>
      </c>
      <c r="D6" s="141"/>
      <c r="E6" s="12">
        <v>39</v>
      </c>
      <c r="F6" s="13" t="s">
        <v>82</v>
      </c>
      <c r="G6" s="14">
        <v>76.349999999999994</v>
      </c>
      <c r="H6" s="141"/>
      <c r="I6" s="12">
        <v>76</v>
      </c>
      <c r="J6" s="13" t="s">
        <v>60</v>
      </c>
      <c r="K6" s="14">
        <v>85.255876000000001</v>
      </c>
    </row>
    <row r="7" spans="1:11" ht="18" x14ac:dyDescent="0.25">
      <c r="A7" s="15">
        <v>2</v>
      </c>
      <c r="B7" s="15" t="s">
        <v>119</v>
      </c>
      <c r="C7" s="16">
        <v>15.68</v>
      </c>
      <c r="D7" s="141"/>
      <c r="E7" s="15">
        <v>40</v>
      </c>
      <c r="F7" s="15" t="s">
        <v>83</v>
      </c>
      <c r="G7" s="16">
        <v>17.690000000000001</v>
      </c>
      <c r="H7" s="141"/>
      <c r="I7" s="15">
        <v>77</v>
      </c>
      <c r="J7" s="15" t="s">
        <v>61</v>
      </c>
      <c r="K7" s="16">
        <v>21.566807000000001</v>
      </c>
    </row>
    <row r="8" spans="1:11" ht="18" x14ac:dyDescent="0.25">
      <c r="A8" s="12">
        <v>3</v>
      </c>
      <c r="B8" s="13" t="s">
        <v>120</v>
      </c>
      <c r="C8" s="14">
        <v>5.01</v>
      </c>
      <c r="D8" s="141"/>
      <c r="E8" s="12">
        <v>41</v>
      </c>
      <c r="F8" s="13" t="s">
        <v>84</v>
      </c>
      <c r="G8" s="14">
        <v>5.15</v>
      </c>
      <c r="H8" s="141"/>
      <c r="I8" s="12">
        <v>78</v>
      </c>
      <c r="J8" s="13" t="s">
        <v>62</v>
      </c>
      <c r="K8" s="14">
        <v>5.12</v>
      </c>
    </row>
    <row r="9" spans="1:11" ht="18" x14ac:dyDescent="0.25">
      <c r="A9" s="15">
        <v>4</v>
      </c>
      <c r="B9" s="15" t="s">
        <v>121</v>
      </c>
      <c r="C9" s="16">
        <v>6.01</v>
      </c>
      <c r="D9" s="141"/>
      <c r="E9" s="15">
        <v>42</v>
      </c>
      <c r="F9" s="15" t="s">
        <v>85</v>
      </c>
      <c r="G9" s="16">
        <v>9.48</v>
      </c>
      <c r="H9" s="141"/>
      <c r="I9" s="15">
        <v>79</v>
      </c>
      <c r="J9" s="15" t="s">
        <v>63</v>
      </c>
      <c r="K9" s="16">
        <v>11.51</v>
      </c>
    </row>
    <row r="10" spans="1:11" ht="18" x14ac:dyDescent="0.25">
      <c r="A10" s="12">
        <v>5</v>
      </c>
      <c r="B10" s="13" t="s">
        <v>122</v>
      </c>
      <c r="C10" s="14">
        <v>9.4600000000000009</v>
      </c>
      <c r="D10" s="141"/>
      <c r="E10" s="12">
        <v>43</v>
      </c>
      <c r="F10" s="13" t="s">
        <v>86</v>
      </c>
      <c r="G10" s="14">
        <v>198.78</v>
      </c>
      <c r="H10" s="141"/>
      <c r="I10" s="12">
        <v>80</v>
      </c>
      <c r="J10" s="13" t="s">
        <v>64</v>
      </c>
      <c r="K10" s="14">
        <v>114.03</v>
      </c>
    </row>
    <row r="11" spans="1:11" ht="18" x14ac:dyDescent="0.25">
      <c r="A11" s="15">
        <v>6</v>
      </c>
      <c r="B11" s="15" t="s">
        <v>24</v>
      </c>
      <c r="C11" s="16">
        <v>97.45</v>
      </c>
      <c r="D11" s="141"/>
      <c r="E11" s="15">
        <v>44</v>
      </c>
      <c r="F11" s="15" t="s">
        <v>87</v>
      </c>
      <c r="G11" s="16">
        <v>14.98</v>
      </c>
      <c r="H11" s="141"/>
      <c r="I11" s="15">
        <v>81</v>
      </c>
      <c r="J11" s="15" t="s">
        <v>65</v>
      </c>
      <c r="K11" s="16">
        <v>6.46</v>
      </c>
    </row>
    <row r="12" spans="1:11" ht="18" x14ac:dyDescent="0.25">
      <c r="A12" s="12">
        <v>7</v>
      </c>
      <c r="B12" s="13" t="s">
        <v>123</v>
      </c>
      <c r="C12" s="14">
        <v>9.7899999999999991</v>
      </c>
      <c r="D12" s="141"/>
      <c r="E12" s="12">
        <v>45</v>
      </c>
      <c r="F12" s="13" t="s">
        <v>88</v>
      </c>
      <c r="G12" s="14">
        <v>6.46</v>
      </c>
      <c r="H12" s="141"/>
      <c r="I12" s="12">
        <v>82</v>
      </c>
      <c r="J12" s="13" t="s">
        <v>66</v>
      </c>
      <c r="K12" s="14">
        <v>106.01</v>
      </c>
    </row>
    <row r="13" spans="1:11" ht="18" x14ac:dyDescent="0.25">
      <c r="A13" s="15">
        <v>8</v>
      </c>
      <c r="B13" s="15" t="s">
        <v>125</v>
      </c>
      <c r="C13" s="16">
        <v>10</v>
      </c>
      <c r="D13" s="141"/>
      <c r="E13" s="15">
        <v>46</v>
      </c>
      <c r="F13" s="15" t="s">
        <v>89</v>
      </c>
      <c r="G13" s="16">
        <v>106.83</v>
      </c>
      <c r="H13" s="141"/>
      <c r="I13" s="15">
        <v>83</v>
      </c>
      <c r="J13" s="15" t="s">
        <v>67</v>
      </c>
      <c r="K13" s="16">
        <v>5.24</v>
      </c>
    </row>
    <row r="14" spans="1:11" ht="18" x14ac:dyDescent="0.25">
      <c r="A14" s="12">
        <v>9</v>
      </c>
      <c r="B14" s="13" t="s">
        <v>124</v>
      </c>
      <c r="C14" s="14">
        <v>10.38</v>
      </c>
      <c r="D14" s="141"/>
      <c r="E14" s="12">
        <v>47</v>
      </c>
      <c r="F14" s="13" t="s">
        <v>90</v>
      </c>
      <c r="G14" s="14">
        <v>359.68</v>
      </c>
      <c r="H14" s="141"/>
      <c r="I14" s="12">
        <v>84</v>
      </c>
      <c r="J14" s="26" t="s">
        <v>68</v>
      </c>
      <c r="K14" s="14">
        <v>14.95</v>
      </c>
    </row>
    <row r="15" spans="1:11" ht="18" x14ac:dyDescent="0.25">
      <c r="A15" s="15">
        <v>10</v>
      </c>
      <c r="B15" s="15" t="s">
        <v>126</v>
      </c>
      <c r="C15" s="16">
        <v>25.29</v>
      </c>
      <c r="D15" s="141"/>
      <c r="E15" s="15">
        <v>48</v>
      </c>
      <c r="F15" s="15" t="s">
        <v>91</v>
      </c>
      <c r="G15" s="16">
        <v>14.81</v>
      </c>
      <c r="H15" s="141"/>
      <c r="I15" s="15">
        <v>85</v>
      </c>
      <c r="J15" s="15" t="s">
        <v>69</v>
      </c>
      <c r="K15" s="16">
        <v>14.92</v>
      </c>
    </row>
    <row r="16" spans="1:11" ht="18" x14ac:dyDescent="0.25">
      <c r="A16" s="12">
        <v>11</v>
      </c>
      <c r="B16" s="13" t="s">
        <v>127</v>
      </c>
      <c r="C16" s="14">
        <v>21.62</v>
      </c>
      <c r="D16" s="141"/>
      <c r="E16" s="12">
        <v>49</v>
      </c>
      <c r="F16" s="13" t="s">
        <v>92</v>
      </c>
      <c r="G16" s="14">
        <v>14.79</v>
      </c>
      <c r="H16" s="141"/>
      <c r="I16" s="12">
        <v>86</v>
      </c>
      <c r="J16" s="13" t="s">
        <v>70</v>
      </c>
      <c r="K16" s="14">
        <v>244.875291</v>
      </c>
    </row>
    <row r="17" spans="1:11" ht="18" x14ac:dyDescent="0.25">
      <c r="A17" s="15">
        <v>12</v>
      </c>
      <c r="B17" s="15" t="s">
        <v>128</v>
      </c>
      <c r="C17" s="16">
        <v>28.06</v>
      </c>
      <c r="D17" s="141"/>
      <c r="E17" s="15">
        <v>50</v>
      </c>
      <c r="F17" s="15" t="s">
        <v>93</v>
      </c>
      <c r="G17" s="16">
        <v>5.14</v>
      </c>
      <c r="H17" s="141"/>
      <c r="I17" s="15">
        <v>87</v>
      </c>
      <c r="J17" s="15" t="s">
        <v>71</v>
      </c>
      <c r="K17" s="16">
        <v>12.97</v>
      </c>
    </row>
    <row r="18" spans="1:11" ht="18" x14ac:dyDescent="0.25">
      <c r="A18" s="12">
        <v>13</v>
      </c>
      <c r="B18" s="13" t="s">
        <v>129</v>
      </c>
      <c r="C18" s="14">
        <v>96.32</v>
      </c>
      <c r="D18" s="141"/>
      <c r="E18" s="12">
        <v>51</v>
      </c>
      <c r="F18" s="13" t="s">
        <v>94</v>
      </c>
      <c r="G18" s="14">
        <v>10.32</v>
      </c>
      <c r="H18" s="141"/>
      <c r="I18" s="12">
        <v>88</v>
      </c>
      <c r="J18" s="13" t="s">
        <v>72</v>
      </c>
      <c r="K18" s="14">
        <v>8.33</v>
      </c>
    </row>
    <row r="19" spans="1:11" ht="18" x14ac:dyDescent="0.25">
      <c r="A19" s="15">
        <v>14</v>
      </c>
      <c r="B19" s="15" t="s">
        <v>130</v>
      </c>
      <c r="C19" s="16">
        <v>111.79</v>
      </c>
      <c r="D19" s="141"/>
      <c r="E19" s="15">
        <v>52</v>
      </c>
      <c r="F19" s="15" t="s">
        <v>95</v>
      </c>
      <c r="G19" s="16">
        <v>11.76</v>
      </c>
      <c r="H19" s="141"/>
      <c r="I19" s="15">
        <v>89</v>
      </c>
      <c r="J19" s="15" t="s">
        <v>73</v>
      </c>
      <c r="K19" s="16">
        <v>5.81</v>
      </c>
    </row>
    <row r="20" spans="1:11" ht="18" x14ac:dyDescent="0.25">
      <c r="A20" s="12">
        <v>15</v>
      </c>
      <c r="B20" s="13" t="s">
        <v>131</v>
      </c>
      <c r="C20" s="14">
        <v>6.45</v>
      </c>
      <c r="D20" s="141"/>
      <c r="E20" s="12">
        <v>53</v>
      </c>
      <c r="F20" s="13" t="s">
        <v>96</v>
      </c>
      <c r="G20" s="14">
        <v>30.61</v>
      </c>
      <c r="H20" s="141"/>
      <c r="I20" s="12">
        <v>90</v>
      </c>
      <c r="J20" s="13" t="s">
        <v>74</v>
      </c>
      <c r="K20" s="14">
        <v>5.92</v>
      </c>
    </row>
    <row r="21" spans="1:11" ht="18" x14ac:dyDescent="0.25">
      <c r="A21" s="15">
        <v>16</v>
      </c>
      <c r="B21" s="15" t="s">
        <v>132</v>
      </c>
      <c r="C21" s="16">
        <v>9.91</v>
      </c>
      <c r="D21" s="141"/>
      <c r="E21" s="15">
        <v>54</v>
      </c>
      <c r="F21" s="15" t="s">
        <v>97</v>
      </c>
      <c r="G21" s="16">
        <v>26.54</v>
      </c>
      <c r="H21" s="141"/>
      <c r="I21" s="15">
        <v>91</v>
      </c>
      <c r="J21" s="15" t="s">
        <v>75</v>
      </c>
      <c r="K21" s="16">
        <v>6.28</v>
      </c>
    </row>
    <row r="22" spans="1:11" ht="18" x14ac:dyDescent="0.25">
      <c r="A22" s="12">
        <v>17</v>
      </c>
      <c r="B22" s="13" t="s">
        <v>14</v>
      </c>
      <c r="C22" s="14">
        <v>149.94999999999999</v>
      </c>
      <c r="D22" s="141"/>
      <c r="E22" s="12">
        <v>55</v>
      </c>
      <c r="F22" s="13" t="s">
        <v>98</v>
      </c>
      <c r="G22" s="14">
        <v>13.17</v>
      </c>
      <c r="H22" s="141"/>
      <c r="I22" s="12">
        <v>92</v>
      </c>
      <c r="J22" s="13" t="s">
        <v>76</v>
      </c>
      <c r="K22" s="14">
        <v>6.11</v>
      </c>
    </row>
    <row r="23" spans="1:11" ht="18" x14ac:dyDescent="0.25">
      <c r="A23" s="15">
        <v>18</v>
      </c>
      <c r="B23" s="15" t="s">
        <v>133</v>
      </c>
      <c r="C23" s="16">
        <v>14.81</v>
      </c>
      <c r="D23" s="141"/>
      <c r="E23" s="15">
        <v>56</v>
      </c>
      <c r="F23" s="15" t="s">
        <v>99</v>
      </c>
      <c r="G23" s="16">
        <v>8.1300000000000008</v>
      </c>
      <c r="H23" s="141"/>
      <c r="I23" s="15">
        <v>93</v>
      </c>
      <c r="J23" s="15" t="s">
        <v>77</v>
      </c>
      <c r="K23" s="16">
        <v>36.46</v>
      </c>
    </row>
    <row r="24" spans="1:11" ht="18" x14ac:dyDescent="0.25">
      <c r="A24" s="12">
        <v>19</v>
      </c>
      <c r="B24" s="13" t="s">
        <v>134</v>
      </c>
      <c r="C24" s="14">
        <v>5.19</v>
      </c>
      <c r="D24" s="141"/>
      <c r="E24" s="12">
        <v>57</v>
      </c>
      <c r="F24" s="13" t="s">
        <v>100</v>
      </c>
      <c r="G24" s="14">
        <v>27.37</v>
      </c>
      <c r="H24" s="141"/>
      <c r="I24" s="12">
        <v>94</v>
      </c>
      <c r="J24" s="13" t="s">
        <v>78</v>
      </c>
      <c r="K24" s="14">
        <v>59.68</v>
      </c>
    </row>
    <row r="25" spans="1:11" ht="18" x14ac:dyDescent="0.25">
      <c r="A25" s="15">
        <v>20</v>
      </c>
      <c r="B25" s="15" t="s">
        <v>135</v>
      </c>
      <c r="C25" s="16">
        <v>14.79</v>
      </c>
      <c r="D25" s="141"/>
      <c r="E25" s="15">
        <v>58</v>
      </c>
      <c r="F25" s="15" t="s">
        <v>101</v>
      </c>
      <c r="G25" s="16">
        <v>78.58</v>
      </c>
      <c r="H25" s="141"/>
      <c r="I25" s="15">
        <v>95</v>
      </c>
      <c r="J25" s="15" t="s">
        <v>79</v>
      </c>
      <c r="K25" s="23">
        <v>29.97</v>
      </c>
    </row>
    <row r="26" spans="1:11" ht="18" x14ac:dyDescent="0.25">
      <c r="A26" s="12">
        <v>21</v>
      </c>
      <c r="B26" s="13" t="s">
        <v>136</v>
      </c>
      <c r="C26" s="14">
        <v>3.8</v>
      </c>
      <c r="D26" s="141"/>
      <c r="E26" s="12">
        <v>59</v>
      </c>
      <c r="F26" s="13" t="s">
        <v>102</v>
      </c>
      <c r="G26" s="14">
        <v>5.09</v>
      </c>
      <c r="H26" s="141"/>
      <c r="I26" s="24">
        <v>96</v>
      </c>
      <c r="J26" s="13" t="s">
        <v>80</v>
      </c>
      <c r="K26" s="25">
        <v>28.97</v>
      </c>
    </row>
    <row r="27" spans="1:11" ht="18" x14ac:dyDescent="0.25">
      <c r="A27" s="15">
        <v>22</v>
      </c>
      <c r="B27" s="15" t="s">
        <v>137</v>
      </c>
      <c r="C27" s="16">
        <v>4.5</v>
      </c>
      <c r="D27" s="141"/>
      <c r="E27" s="15">
        <v>60</v>
      </c>
      <c r="F27" s="15" t="s">
        <v>103</v>
      </c>
      <c r="G27" s="23">
        <v>11.06</v>
      </c>
      <c r="H27" s="141"/>
      <c r="I27" s="15">
        <v>97</v>
      </c>
      <c r="J27" s="15" t="s">
        <v>81</v>
      </c>
      <c r="K27" s="23">
        <v>6.65</v>
      </c>
    </row>
    <row r="28" spans="1:11" ht="18" x14ac:dyDescent="0.25">
      <c r="A28" s="12">
        <v>23</v>
      </c>
      <c r="B28" s="13" t="s">
        <v>138</v>
      </c>
      <c r="C28" s="14">
        <v>5.67</v>
      </c>
      <c r="D28" s="141"/>
      <c r="E28" s="24">
        <v>61</v>
      </c>
      <c r="F28" s="13" t="s">
        <v>104</v>
      </c>
      <c r="G28" s="25">
        <v>11.17</v>
      </c>
      <c r="H28" s="141"/>
      <c r="I28" s="17"/>
      <c r="J28" s="18" t="s">
        <v>9</v>
      </c>
      <c r="K28" s="19">
        <f>SUM(K6:K27)</f>
        <v>837.08797400000003</v>
      </c>
    </row>
    <row r="29" spans="1:11" ht="18" x14ac:dyDescent="0.25">
      <c r="A29" s="15">
        <v>24</v>
      </c>
      <c r="B29" s="15" t="s">
        <v>139</v>
      </c>
      <c r="C29" s="16">
        <v>19.899999999999999</v>
      </c>
      <c r="D29" s="141"/>
      <c r="E29" s="15">
        <v>62</v>
      </c>
      <c r="F29" s="15" t="s">
        <v>105</v>
      </c>
      <c r="G29" s="23">
        <v>8.33</v>
      </c>
      <c r="H29" s="141"/>
      <c r="I29" s="150"/>
      <c r="J29" s="150"/>
      <c r="K29" s="150"/>
    </row>
    <row r="30" spans="1:11" ht="18" x14ac:dyDescent="0.25">
      <c r="A30" s="12">
        <v>25</v>
      </c>
      <c r="B30" s="13" t="s">
        <v>140</v>
      </c>
      <c r="C30" s="14">
        <v>39.9</v>
      </c>
      <c r="D30" s="141"/>
      <c r="E30" s="24">
        <v>63</v>
      </c>
      <c r="F30" s="13" t="s">
        <v>106</v>
      </c>
      <c r="G30" s="25">
        <v>5.6</v>
      </c>
      <c r="H30" s="141"/>
      <c r="I30" s="147" t="s">
        <v>156</v>
      </c>
      <c r="J30" s="148"/>
      <c r="K30" s="149"/>
    </row>
    <row r="31" spans="1:11" ht="18" x14ac:dyDescent="0.25">
      <c r="A31" s="15">
        <v>26</v>
      </c>
      <c r="B31" s="15" t="s">
        <v>141</v>
      </c>
      <c r="C31" s="16">
        <v>10.85</v>
      </c>
      <c r="D31" s="141"/>
      <c r="E31" s="15">
        <v>64</v>
      </c>
      <c r="F31" s="15" t="s">
        <v>107</v>
      </c>
      <c r="G31" s="23">
        <v>6.02</v>
      </c>
      <c r="H31" s="141"/>
      <c r="I31" s="27" t="s">
        <v>1</v>
      </c>
      <c r="J31" s="28" t="s">
        <v>7</v>
      </c>
      <c r="K31" s="29" t="s">
        <v>8</v>
      </c>
    </row>
    <row r="32" spans="1:11" ht="18" x14ac:dyDescent="0.25">
      <c r="A32" s="12">
        <v>27</v>
      </c>
      <c r="B32" s="13" t="s">
        <v>142</v>
      </c>
      <c r="C32" s="14">
        <v>5.49</v>
      </c>
      <c r="D32" s="141"/>
      <c r="E32" s="24">
        <v>65</v>
      </c>
      <c r="F32" s="13" t="s">
        <v>108</v>
      </c>
      <c r="G32" s="25">
        <v>37.04</v>
      </c>
      <c r="H32" s="141"/>
      <c r="I32" s="15" t="s">
        <v>153</v>
      </c>
      <c r="J32" s="15" t="s">
        <v>154</v>
      </c>
      <c r="K32" s="23">
        <f>193.4+26</f>
        <v>219.4</v>
      </c>
    </row>
    <row r="33" spans="1:11" ht="18" x14ac:dyDescent="0.25">
      <c r="A33" s="15">
        <v>28</v>
      </c>
      <c r="B33" s="15" t="s">
        <v>143</v>
      </c>
      <c r="C33" s="16">
        <v>9.66</v>
      </c>
      <c r="D33" s="141"/>
      <c r="E33" s="15">
        <v>66</v>
      </c>
      <c r="F33" s="15" t="s">
        <v>109</v>
      </c>
      <c r="G33" s="23">
        <v>6.28</v>
      </c>
      <c r="H33" s="141"/>
      <c r="I33" s="17"/>
      <c r="J33" s="18" t="s">
        <v>9</v>
      </c>
      <c r="K33" s="19">
        <f>K32</f>
        <v>219.4</v>
      </c>
    </row>
    <row r="34" spans="1:11" ht="18" x14ac:dyDescent="0.25">
      <c r="A34" s="12">
        <v>29</v>
      </c>
      <c r="B34" s="13" t="s">
        <v>144</v>
      </c>
      <c r="C34" s="14">
        <v>6.28</v>
      </c>
      <c r="D34" s="141"/>
      <c r="E34" s="24">
        <v>67</v>
      </c>
      <c r="F34" s="13" t="s">
        <v>110</v>
      </c>
      <c r="G34" s="25">
        <v>5.98</v>
      </c>
      <c r="H34" s="141"/>
      <c r="I34" s="139"/>
      <c r="J34" s="139"/>
      <c r="K34" s="139"/>
    </row>
    <row r="35" spans="1:11" ht="18" x14ac:dyDescent="0.25">
      <c r="A35" s="15">
        <v>30</v>
      </c>
      <c r="B35" s="15" t="s">
        <v>145</v>
      </c>
      <c r="C35" s="16">
        <v>5.85</v>
      </c>
      <c r="D35" s="141"/>
      <c r="E35" s="15">
        <v>68</v>
      </c>
      <c r="F35" s="15" t="s">
        <v>111</v>
      </c>
      <c r="G35" s="23">
        <v>6.34</v>
      </c>
      <c r="H35" s="141"/>
      <c r="I35" s="140"/>
      <c r="J35" s="140"/>
      <c r="K35" s="140"/>
    </row>
    <row r="36" spans="1:11" ht="18" x14ac:dyDescent="0.25">
      <c r="A36" s="12">
        <v>31</v>
      </c>
      <c r="B36" s="13" t="s">
        <v>146</v>
      </c>
      <c r="C36" s="14">
        <v>29</v>
      </c>
      <c r="D36" s="141"/>
      <c r="E36" s="12">
        <v>69</v>
      </c>
      <c r="F36" s="13" t="s">
        <v>112</v>
      </c>
      <c r="G36" s="14">
        <v>28.97</v>
      </c>
      <c r="H36" s="141"/>
      <c r="I36" s="140"/>
      <c r="J36" s="140"/>
      <c r="K36" s="140"/>
    </row>
    <row r="37" spans="1:11" ht="18" x14ac:dyDescent="0.25">
      <c r="A37" s="15">
        <v>32</v>
      </c>
      <c r="B37" s="15" t="s">
        <v>16</v>
      </c>
      <c r="C37" s="16">
        <v>67.27</v>
      </c>
      <c r="D37" s="141"/>
      <c r="E37" s="15">
        <v>70</v>
      </c>
      <c r="F37" s="15" t="s">
        <v>113</v>
      </c>
      <c r="G37" s="16">
        <v>61.92</v>
      </c>
      <c r="H37" s="141"/>
      <c r="I37" s="140"/>
      <c r="J37" s="140"/>
      <c r="K37" s="140"/>
    </row>
    <row r="38" spans="1:11" ht="18" x14ac:dyDescent="0.25">
      <c r="A38" s="12">
        <v>33</v>
      </c>
      <c r="B38" s="13" t="s">
        <v>147</v>
      </c>
      <c r="C38" s="14">
        <v>60.17</v>
      </c>
      <c r="D38" s="141"/>
      <c r="E38" s="12">
        <v>71</v>
      </c>
      <c r="F38" s="13" t="s">
        <v>114</v>
      </c>
      <c r="G38" s="14">
        <v>72.55</v>
      </c>
      <c r="H38" s="141"/>
      <c r="I38" s="140"/>
      <c r="J38" s="140"/>
      <c r="K38" s="140"/>
    </row>
    <row r="39" spans="1:11" ht="18" x14ac:dyDescent="0.25">
      <c r="A39" s="15">
        <v>34</v>
      </c>
      <c r="B39" s="15" t="s">
        <v>148</v>
      </c>
      <c r="C39" s="16">
        <v>29.3</v>
      </c>
      <c r="D39" s="141"/>
      <c r="E39" s="15">
        <v>72</v>
      </c>
      <c r="F39" s="15" t="s">
        <v>115</v>
      </c>
      <c r="G39" s="16">
        <v>6.34</v>
      </c>
      <c r="H39" s="141"/>
      <c r="I39" s="140"/>
      <c r="J39" s="140"/>
      <c r="K39" s="140"/>
    </row>
    <row r="40" spans="1:11" ht="18" x14ac:dyDescent="0.25">
      <c r="A40" s="12">
        <v>35</v>
      </c>
      <c r="B40" s="13" t="s">
        <v>149</v>
      </c>
      <c r="C40" s="14">
        <v>15.63</v>
      </c>
      <c r="D40" s="141"/>
      <c r="E40" s="12">
        <v>73</v>
      </c>
      <c r="F40" s="13" t="s">
        <v>116</v>
      </c>
      <c r="G40" s="14">
        <v>28.97</v>
      </c>
      <c r="H40" s="141"/>
      <c r="I40" s="140"/>
      <c r="J40" s="140"/>
      <c r="K40" s="140"/>
    </row>
    <row r="41" spans="1:11" ht="18" x14ac:dyDescent="0.25">
      <c r="A41" s="15">
        <v>36</v>
      </c>
      <c r="B41" s="15" t="s">
        <v>150</v>
      </c>
      <c r="C41" s="16">
        <v>2.1800000000000002</v>
      </c>
      <c r="D41" s="141"/>
      <c r="E41" s="15">
        <v>74</v>
      </c>
      <c r="F41" s="15" t="s">
        <v>117</v>
      </c>
      <c r="G41" s="16">
        <v>72.760000000000005</v>
      </c>
      <c r="H41" s="141"/>
      <c r="I41" s="140"/>
      <c r="J41" s="140"/>
      <c r="K41" s="140"/>
    </row>
    <row r="42" spans="1:11" ht="18" x14ac:dyDescent="0.25">
      <c r="A42" s="12">
        <v>37</v>
      </c>
      <c r="B42" s="13" t="s">
        <v>151</v>
      </c>
      <c r="C42" s="14">
        <v>2.57</v>
      </c>
      <c r="D42" s="141"/>
      <c r="E42" s="12">
        <v>75</v>
      </c>
      <c r="F42" s="13" t="s">
        <v>118</v>
      </c>
      <c r="G42" s="14">
        <v>6.35</v>
      </c>
      <c r="H42" s="141"/>
      <c r="I42" s="140"/>
      <c r="J42" s="140"/>
      <c r="K42" s="140"/>
    </row>
    <row r="43" spans="1:11" ht="18" x14ac:dyDescent="0.25">
      <c r="A43" s="15">
        <v>38</v>
      </c>
      <c r="B43" s="15" t="s">
        <v>152</v>
      </c>
      <c r="C43" s="16">
        <v>2.84</v>
      </c>
      <c r="D43" s="141"/>
      <c r="E43" s="17"/>
      <c r="F43" s="18" t="s">
        <v>9</v>
      </c>
      <c r="G43" s="19">
        <f>SUM(G6:G42)</f>
        <v>1417.3899999999994</v>
      </c>
      <c r="H43" s="141"/>
      <c r="I43" s="140"/>
      <c r="J43" s="140"/>
      <c r="K43" s="140"/>
    </row>
    <row r="44" spans="1:11" ht="18" x14ac:dyDescent="0.25">
      <c r="A44" s="17"/>
      <c r="B44" s="18" t="s">
        <v>9</v>
      </c>
      <c r="C44" s="19">
        <f>SUM(C6:C43)</f>
        <v>1174.6799999999998</v>
      </c>
      <c r="D44" s="141"/>
      <c r="E44" s="139"/>
      <c r="F44" s="139"/>
      <c r="G44" s="139"/>
      <c r="H44" s="141"/>
      <c r="I44" s="140"/>
      <c r="J44" s="140"/>
      <c r="K44" s="140"/>
    </row>
  </sheetData>
  <mergeCells count="12">
    <mergeCell ref="A4:K4"/>
    <mergeCell ref="D5:D44"/>
    <mergeCell ref="H5:H44"/>
    <mergeCell ref="I29:K29"/>
    <mergeCell ref="I30:K30"/>
    <mergeCell ref="I34:K44"/>
    <mergeCell ref="E44:G44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22"/>
  <sheetViews>
    <sheetView zoomScale="40" zoomScaleNormal="40" workbookViewId="0">
      <selection activeCell="I14" sqref="A5:K22"/>
    </sheetView>
  </sheetViews>
  <sheetFormatPr defaultRowHeight="15" x14ac:dyDescent="0.25"/>
  <cols>
    <col min="1" max="1" width="8.88671875" style="1"/>
    <col min="2" max="2" width="11.109375" style="1" bestFit="1" customWidth="1"/>
    <col min="3" max="3" width="13.21875" style="1" customWidth="1"/>
    <col min="4" max="4" width="4.5546875" style="1" customWidth="1"/>
    <col min="5" max="5" width="8.88671875" style="1"/>
    <col min="6" max="6" width="11.21875" style="1" bestFit="1" customWidth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2" t="s">
        <v>1</v>
      </c>
      <c r="B2" s="138" t="s">
        <v>2</v>
      </c>
      <c r="C2" s="138"/>
      <c r="D2" s="138"/>
      <c r="E2" s="138"/>
      <c r="F2" s="138" t="s">
        <v>3</v>
      </c>
      <c r="G2" s="138"/>
      <c r="H2" s="138"/>
      <c r="I2" s="138"/>
      <c r="J2" s="3" t="s">
        <v>4</v>
      </c>
      <c r="K2" s="3" t="s">
        <v>5</v>
      </c>
    </row>
    <row r="3" spans="1:11" ht="51.6" customHeight="1" x14ac:dyDescent="0.25">
      <c r="A3" s="22">
        <v>1</v>
      </c>
      <c r="B3" s="144" t="s">
        <v>160</v>
      </c>
      <c r="C3" s="144"/>
      <c r="D3" s="144"/>
      <c r="E3" s="144"/>
      <c r="F3" s="145" t="s">
        <v>161</v>
      </c>
      <c r="G3" s="145"/>
      <c r="H3" s="145"/>
      <c r="I3" s="145"/>
      <c r="J3" s="4" t="s">
        <v>6</v>
      </c>
      <c r="K3" s="5">
        <f>C19+G22+K13</f>
        <v>714.46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120</v>
      </c>
      <c r="C6" s="14">
        <v>5.1100000000000003</v>
      </c>
      <c r="D6" s="141"/>
      <c r="E6" s="12">
        <v>14</v>
      </c>
      <c r="F6" s="13" t="s">
        <v>102</v>
      </c>
      <c r="G6" s="14">
        <v>5.19</v>
      </c>
      <c r="H6" s="141"/>
      <c r="I6" s="12">
        <v>30</v>
      </c>
      <c r="J6" s="14" t="s">
        <v>65</v>
      </c>
      <c r="K6" s="14">
        <v>6.45</v>
      </c>
    </row>
    <row r="7" spans="1:11" ht="18" x14ac:dyDescent="0.25">
      <c r="A7" s="30">
        <v>2</v>
      </c>
      <c r="B7" s="15" t="s">
        <v>121</v>
      </c>
      <c r="C7" s="16">
        <v>5.51</v>
      </c>
      <c r="D7" s="141"/>
      <c r="E7" s="30">
        <v>15</v>
      </c>
      <c r="F7" s="15" t="s">
        <v>103</v>
      </c>
      <c r="G7" s="16">
        <v>11.2</v>
      </c>
      <c r="H7" s="141"/>
      <c r="I7" s="30">
        <v>31</v>
      </c>
      <c r="J7" s="16" t="s">
        <v>67</v>
      </c>
      <c r="K7" s="16">
        <v>5.53</v>
      </c>
    </row>
    <row r="8" spans="1:11" ht="18" x14ac:dyDescent="0.25">
      <c r="A8" s="12">
        <v>3</v>
      </c>
      <c r="B8" s="13" t="s">
        <v>132</v>
      </c>
      <c r="C8" s="14">
        <v>10.08</v>
      </c>
      <c r="D8" s="141"/>
      <c r="E8" s="12">
        <v>16</v>
      </c>
      <c r="F8" s="13" t="s">
        <v>104</v>
      </c>
      <c r="G8" s="14">
        <v>11.31</v>
      </c>
      <c r="H8" s="141"/>
      <c r="I8" s="12">
        <v>32</v>
      </c>
      <c r="J8" s="14" t="s">
        <v>68</v>
      </c>
      <c r="K8" s="14">
        <v>15.11</v>
      </c>
    </row>
    <row r="9" spans="1:11" ht="18" x14ac:dyDescent="0.25">
      <c r="A9" s="30">
        <v>4</v>
      </c>
      <c r="B9" s="15" t="s">
        <v>14</v>
      </c>
      <c r="C9" s="16">
        <v>149.28</v>
      </c>
      <c r="D9" s="141"/>
      <c r="E9" s="30">
        <v>17</v>
      </c>
      <c r="F9" s="15" t="s">
        <v>97</v>
      </c>
      <c r="G9" s="16">
        <v>26.54</v>
      </c>
      <c r="H9" s="141"/>
      <c r="I9" s="30">
        <v>33</v>
      </c>
      <c r="J9" s="16" t="s">
        <v>69</v>
      </c>
      <c r="K9" s="16">
        <v>15.08</v>
      </c>
    </row>
    <row r="10" spans="1:11" ht="18" x14ac:dyDescent="0.25">
      <c r="A10" s="12">
        <v>5</v>
      </c>
      <c r="B10" s="13" t="s">
        <v>133</v>
      </c>
      <c r="C10" s="14">
        <v>15.01</v>
      </c>
      <c r="D10" s="141"/>
      <c r="E10" s="12">
        <v>18</v>
      </c>
      <c r="F10" s="13" t="s">
        <v>98</v>
      </c>
      <c r="G10" s="14">
        <v>13.17</v>
      </c>
      <c r="H10" s="141"/>
      <c r="I10" s="12">
        <v>34</v>
      </c>
      <c r="J10" s="14" t="s">
        <v>75</v>
      </c>
      <c r="K10" s="14">
        <v>6.27</v>
      </c>
    </row>
    <row r="11" spans="1:11" ht="18" x14ac:dyDescent="0.25">
      <c r="A11" s="17">
        <v>6</v>
      </c>
      <c r="B11" s="15" t="s">
        <v>134</v>
      </c>
      <c r="C11" s="23">
        <v>5.22</v>
      </c>
      <c r="D11" s="141"/>
      <c r="E11" s="30">
        <v>19</v>
      </c>
      <c r="F11" s="15" t="s">
        <v>99</v>
      </c>
      <c r="G11" s="16">
        <v>8.19</v>
      </c>
      <c r="H11" s="141"/>
      <c r="I11" s="30">
        <v>35</v>
      </c>
      <c r="J11" s="16" t="s">
        <v>79</v>
      </c>
      <c r="K11" s="16">
        <v>29.19</v>
      </c>
    </row>
    <row r="12" spans="1:11" ht="18" x14ac:dyDescent="0.25">
      <c r="A12" s="24">
        <v>7</v>
      </c>
      <c r="B12" s="13" t="s">
        <v>135</v>
      </c>
      <c r="C12" s="25">
        <v>15</v>
      </c>
      <c r="D12" s="141"/>
      <c r="E12" s="12">
        <v>20</v>
      </c>
      <c r="F12" s="13" t="s">
        <v>100</v>
      </c>
      <c r="G12" s="14">
        <v>27.38</v>
      </c>
      <c r="H12" s="141"/>
      <c r="I12" s="12">
        <v>36</v>
      </c>
      <c r="J12" s="14" t="s">
        <v>80</v>
      </c>
      <c r="K12" s="14">
        <v>29.2</v>
      </c>
    </row>
    <row r="13" spans="1:11" ht="18" x14ac:dyDescent="0.25">
      <c r="A13" s="17">
        <v>8</v>
      </c>
      <c r="B13" s="15" t="s">
        <v>144</v>
      </c>
      <c r="C13" s="23">
        <v>6.27</v>
      </c>
      <c r="D13" s="141"/>
      <c r="E13" s="30">
        <v>21</v>
      </c>
      <c r="F13" s="15" t="s">
        <v>94</v>
      </c>
      <c r="G13" s="23">
        <v>10.44</v>
      </c>
      <c r="H13" s="141"/>
      <c r="I13" s="17"/>
      <c r="J13" s="18" t="s">
        <v>9</v>
      </c>
      <c r="K13" s="19">
        <f>SUM(K6:K12)</f>
        <v>106.83</v>
      </c>
    </row>
    <row r="14" spans="1:11" ht="18" x14ac:dyDescent="0.25">
      <c r="A14" s="24">
        <v>9</v>
      </c>
      <c r="B14" s="13" t="s">
        <v>145</v>
      </c>
      <c r="C14" s="25">
        <v>5.98</v>
      </c>
      <c r="D14" s="141"/>
      <c r="E14" s="12">
        <v>22</v>
      </c>
      <c r="F14" s="13" t="s">
        <v>95</v>
      </c>
      <c r="G14" s="25">
        <v>11.73</v>
      </c>
      <c r="H14" s="141"/>
      <c r="I14" s="139"/>
      <c r="J14" s="139"/>
      <c r="K14" s="139"/>
    </row>
    <row r="15" spans="1:11" ht="18" x14ac:dyDescent="0.25">
      <c r="A15" s="17">
        <v>10</v>
      </c>
      <c r="B15" s="15" t="s">
        <v>16</v>
      </c>
      <c r="C15" s="23">
        <v>59.38</v>
      </c>
      <c r="D15" s="141"/>
      <c r="E15" s="30">
        <v>23</v>
      </c>
      <c r="F15" s="15" t="s">
        <v>96</v>
      </c>
      <c r="G15" s="23">
        <v>30.61</v>
      </c>
      <c r="H15" s="141"/>
      <c r="I15" s="140"/>
      <c r="J15" s="140"/>
      <c r="K15" s="140"/>
    </row>
    <row r="16" spans="1:11" ht="18" x14ac:dyDescent="0.25">
      <c r="A16" s="24">
        <v>11</v>
      </c>
      <c r="B16" s="13" t="s">
        <v>149</v>
      </c>
      <c r="C16" s="25">
        <v>16.399999999999999</v>
      </c>
      <c r="D16" s="141"/>
      <c r="E16" s="12">
        <v>24</v>
      </c>
      <c r="F16" s="13" t="s">
        <v>91</v>
      </c>
      <c r="G16" s="25">
        <v>15</v>
      </c>
      <c r="H16" s="141"/>
      <c r="I16" s="140"/>
      <c r="J16" s="140"/>
      <c r="K16" s="140"/>
    </row>
    <row r="17" spans="1:11" ht="18" x14ac:dyDescent="0.25">
      <c r="A17" s="17">
        <v>12</v>
      </c>
      <c r="B17" s="15" t="s">
        <v>146</v>
      </c>
      <c r="C17" s="23">
        <v>29.22</v>
      </c>
      <c r="D17" s="141"/>
      <c r="E17" s="30">
        <v>25</v>
      </c>
      <c r="F17" s="15" t="s">
        <v>92</v>
      </c>
      <c r="G17" s="23">
        <v>14.98</v>
      </c>
      <c r="H17" s="141"/>
      <c r="I17" s="140"/>
      <c r="J17" s="140"/>
      <c r="K17" s="140"/>
    </row>
    <row r="18" spans="1:11" ht="18" x14ac:dyDescent="0.25">
      <c r="A18" s="24">
        <v>13</v>
      </c>
      <c r="B18" s="13" t="s">
        <v>148</v>
      </c>
      <c r="C18" s="25">
        <v>29.54</v>
      </c>
      <c r="D18" s="141"/>
      <c r="E18" s="12">
        <v>26</v>
      </c>
      <c r="F18" s="25" t="s">
        <v>93</v>
      </c>
      <c r="G18" s="25">
        <v>5.23</v>
      </c>
      <c r="H18" s="141"/>
      <c r="I18" s="140"/>
      <c r="J18" s="140"/>
      <c r="K18" s="140"/>
    </row>
    <row r="19" spans="1:11" ht="18" x14ac:dyDescent="0.25">
      <c r="A19" s="17"/>
      <c r="B19" s="18" t="s">
        <v>9</v>
      </c>
      <c r="C19" s="19">
        <f>SUM(C6:C18)</f>
        <v>352.00000000000006</v>
      </c>
      <c r="D19" s="141"/>
      <c r="E19" s="30">
        <v>27</v>
      </c>
      <c r="F19" s="15" t="s">
        <v>109</v>
      </c>
      <c r="G19" s="23">
        <v>6.27</v>
      </c>
      <c r="H19" s="141"/>
      <c r="I19" s="140"/>
      <c r="J19" s="140"/>
      <c r="K19" s="140"/>
    </row>
    <row r="20" spans="1:11" ht="18" x14ac:dyDescent="0.25">
      <c r="A20" s="139"/>
      <c r="B20" s="139"/>
      <c r="C20" s="139"/>
      <c r="D20" s="141"/>
      <c r="E20" s="12">
        <v>28</v>
      </c>
      <c r="F20" s="25" t="s">
        <v>112</v>
      </c>
      <c r="G20" s="25">
        <v>29.19</v>
      </c>
      <c r="H20" s="141"/>
      <c r="I20" s="140"/>
      <c r="J20" s="140"/>
      <c r="K20" s="140"/>
    </row>
    <row r="21" spans="1:11" ht="18" x14ac:dyDescent="0.25">
      <c r="A21" s="140"/>
      <c r="B21" s="140"/>
      <c r="C21" s="140"/>
      <c r="D21" s="141"/>
      <c r="E21" s="30">
        <v>29</v>
      </c>
      <c r="F21" s="15" t="s">
        <v>116</v>
      </c>
      <c r="G21" s="23">
        <v>29.2</v>
      </c>
      <c r="H21" s="141"/>
      <c r="I21" s="140"/>
      <c r="J21" s="140"/>
      <c r="K21" s="140"/>
    </row>
    <row r="22" spans="1:11" ht="18" x14ac:dyDescent="0.25">
      <c r="A22" s="140"/>
      <c r="B22" s="140"/>
      <c r="C22" s="140"/>
      <c r="D22" s="141"/>
      <c r="E22" s="17"/>
      <c r="F22" s="18" t="s">
        <v>9</v>
      </c>
      <c r="G22" s="19">
        <f>SUM(G6:G21)</f>
        <v>255.62999999999997</v>
      </c>
      <c r="H22" s="141"/>
      <c r="I22" s="140"/>
      <c r="J22" s="140"/>
      <c r="K22" s="140"/>
    </row>
  </sheetData>
  <mergeCells count="10">
    <mergeCell ref="D5:D22"/>
    <mergeCell ref="H5:H22"/>
    <mergeCell ref="I14:K22"/>
    <mergeCell ref="A20:C22"/>
    <mergeCell ref="A1:K1"/>
    <mergeCell ref="B2:E2"/>
    <mergeCell ref="F2:I2"/>
    <mergeCell ref="B3:E3"/>
    <mergeCell ref="F3:I3"/>
    <mergeCell ref="A4:K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16"/>
  <sheetViews>
    <sheetView zoomScale="70" zoomScaleNormal="70" workbookViewId="0">
      <selection activeCell="K16" sqref="A5:K16"/>
    </sheetView>
  </sheetViews>
  <sheetFormatPr defaultRowHeight="15" x14ac:dyDescent="0.25"/>
  <cols>
    <col min="1" max="1" width="8.88671875" style="1"/>
    <col min="2" max="2" width="11.109375" style="1" bestFit="1" customWidth="1"/>
    <col min="3" max="3" width="13.21875" style="1" customWidth="1"/>
    <col min="4" max="4" width="4.5546875" style="1" customWidth="1"/>
    <col min="5" max="5" width="8.88671875" style="1"/>
    <col min="6" max="6" width="11.21875" style="1" bestFit="1" customWidth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18" customHeight="1" x14ac:dyDescent="0.25">
      <c r="A2" s="22" t="s">
        <v>1</v>
      </c>
      <c r="B2" s="138" t="s">
        <v>2</v>
      </c>
      <c r="C2" s="138"/>
      <c r="D2" s="138"/>
      <c r="E2" s="138"/>
      <c r="F2" s="138" t="s">
        <v>3</v>
      </c>
      <c r="G2" s="138"/>
      <c r="H2" s="138"/>
      <c r="I2" s="138"/>
      <c r="J2" s="3" t="s">
        <v>4</v>
      </c>
      <c r="K2" s="3" t="s">
        <v>5</v>
      </c>
    </row>
    <row r="3" spans="1:11" ht="51.6" customHeight="1" x14ac:dyDescent="0.25">
      <c r="A3" s="22">
        <v>1</v>
      </c>
      <c r="B3" s="144" t="s">
        <v>160</v>
      </c>
      <c r="C3" s="144"/>
      <c r="D3" s="144"/>
      <c r="E3" s="144"/>
      <c r="F3" s="145" t="s">
        <v>162</v>
      </c>
      <c r="G3" s="145"/>
      <c r="H3" s="145"/>
      <c r="I3" s="145"/>
      <c r="J3" s="4" t="s">
        <v>6</v>
      </c>
      <c r="K3" s="5">
        <f>C10+G12+K16</f>
        <v>1171.5900000000001</v>
      </c>
    </row>
    <row r="4" spans="1:11" ht="18" x14ac:dyDescent="0.2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 ht="18" x14ac:dyDescent="0.25">
      <c r="A5" s="6" t="s">
        <v>1</v>
      </c>
      <c r="B5" s="7" t="s">
        <v>7</v>
      </c>
      <c r="C5" s="8" t="s">
        <v>8</v>
      </c>
      <c r="D5" s="143"/>
      <c r="E5" s="6" t="s">
        <v>1</v>
      </c>
      <c r="F5" s="7" t="s">
        <v>7</v>
      </c>
      <c r="G5" s="8" t="s">
        <v>8</v>
      </c>
      <c r="H5" s="14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25</v>
      </c>
      <c r="C6" s="14">
        <v>44.29</v>
      </c>
      <c r="D6" s="141"/>
      <c r="E6" s="12">
        <v>5</v>
      </c>
      <c r="F6" s="13" t="s">
        <v>35</v>
      </c>
      <c r="G6" s="14">
        <v>53.5</v>
      </c>
      <c r="H6" s="141"/>
      <c r="I6" s="12">
        <v>11</v>
      </c>
      <c r="J6" s="13" t="s">
        <v>47</v>
      </c>
      <c r="K6" s="14">
        <v>52.44</v>
      </c>
    </row>
    <row r="7" spans="1:11" ht="18" x14ac:dyDescent="0.25">
      <c r="A7" s="15" t="s">
        <v>166</v>
      </c>
      <c r="B7" s="15" t="s">
        <v>26</v>
      </c>
      <c r="C7" s="16">
        <v>47.34</v>
      </c>
      <c r="D7" s="141"/>
      <c r="E7" s="15">
        <v>6</v>
      </c>
      <c r="F7" s="15" t="s">
        <v>36</v>
      </c>
      <c r="G7" s="16">
        <v>74.430000000000007</v>
      </c>
      <c r="H7" s="141"/>
      <c r="I7" s="15">
        <v>12</v>
      </c>
      <c r="J7" s="15" t="s">
        <v>48</v>
      </c>
      <c r="K7" s="16">
        <v>75.180000000000007</v>
      </c>
    </row>
    <row r="8" spans="1:11" ht="18" x14ac:dyDescent="0.25">
      <c r="A8" s="12">
        <v>3</v>
      </c>
      <c r="B8" s="13" t="s">
        <v>27</v>
      </c>
      <c r="C8" s="14">
        <v>54.22</v>
      </c>
      <c r="D8" s="141"/>
      <c r="E8" s="12">
        <v>7</v>
      </c>
      <c r="F8" s="13" t="s">
        <v>38</v>
      </c>
      <c r="G8" s="14">
        <v>53.83</v>
      </c>
      <c r="H8" s="141"/>
      <c r="I8" s="12">
        <v>13</v>
      </c>
      <c r="J8" s="13" t="s">
        <v>49</v>
      </c>
      <c r="K8" s="14">
        <v>23.51</v>
      </c>
    </row>
    <row r="9" spans="1:11" ht="18" x14ac:dyDescent="0.25">
      <c r="A9" s="15" t="s">
        <v>167</v>
      </c>
      <c r="B9" s="15" t="s">
        <v>163</v>
      </c>
      <c r="C9" s="16">
        <v>129.11000000000001</v>
      </c>
      <c r="D9" s="141"/>
      <c r="E9" s="15">
        <v>8</v>
      </c>
      <c r="F9" s="15" t="s">
        <v>39</v>
      </c>
      <c r="G9" s="16">
        <v>55.33</v>
      </c>
      <c r="H9" s="141"/>
      <c r="I9" s="15">
        <v>14</v>
      </c>
      <c r="J9" s="15" t="s">
        <v>50</v>
      </c>
      <c r="K9" s="16">
        <v>54.52</v>
      </c>
    </row>
    <row r="10" spans="1:11" ht="18" x14ac:dyDescent="0.25">
      <c r="A10" s="17"/>
      <c r="B10" s="18" t="s">
        <v>9</v>
      </c>
      <c r="C10" s="19">
        <f>SUM(C6:C9)</f>
        <v>274.96000000000004</v>
      </c>
      <c r="D10" s="141"/>
      <c r="E10" s="12">
        <v>9</v>
      </c>
      <c r="F10" s="13" t="s">
        <v>40</v>
      </c>
      <c r="G10" s="14">
        <v>54.25</v>
      </c>
      <c r="H10" s="141"/>
      <c r="I10" s="12">
        <v>15</v>
      </c>
      <c r="J10" s="13" t="s">
        <v>51</v>
      </c>
      <c r="K10" s="14">
        <v>54.3</v>
      </c>
    </row>
    <row r="11" spans="1:11" ht="18" x14ac:dyDescent="0.25">
      <c r="A11" s="139"/>
      <c r="B11" s="139"/>
      <c r="C11" s="139"/>
      <c r="D11" s="141"/>
      <c r="E11" s="15">
        <v>10</v>
      </c>
      <c r="F11" s="15" t="s">
        <v>34</v>
      </c>
      <c r="G11" s="16">
        <v>54.3</v>
      </c>
      <c r="H11" s="141"/>
      <c r="I11" s="15">
        <v>16</v>
      </c>
      <c r="J11" s="15" t="s">
        <v>52</v>
      </c>
      <c r="K11" s="16">
        <v>54.94</v>
      </c>
    </row>
    <row r="12" spans="1:11" ht="18" x14ac:dyDescent="0.25">
      <c r="A12" s="140"/>
      <c r="B12" s="140"/>
      <c r="C12" s="140"/>
      <c r="D12" s="141"/>
      <c r="E12" s="17"/>
      <c r="F12" s="18" t="s">
        <v>9</v>
      </c>
      <c r="G12" s="19">
        <f>SUM(G6:G11)</f>
        <v>345.64</v>
      </c>
      <c r="H12" s="141"/>
      <c r="I12" s="12">
        <v>17</v>
      </c>
      <c r="J12" s="13" t="s">
        <v>53</v>
      </c>
      <c r="K12" s="14">
        <v>54.35</v>
      </c>
    </row>
    <row r="13" spans="1:11" ht="18" x14ac:dyDescent="0.25">
      <c r="A13" s="140"/>
      <c r="B13" s="140"/>
      <c r="C13" s="140"/>
      <c r="D13" s="141"/>
      <c r="E13" s="139"/>
      <c r="F13" s="139"/>
      <c r="G13" s="139"/>
      <c r="H13" s="141"/>
      <c r="I13" s="15">
        <v>18</v>
      </c>
      <c r="J13" s="15" t="s">
        <v>54</v>
      </c>
      <c r="K13" s="16">
        <v>54.94</v>
      </c>
    </row>
    <row r="14" spans="1:11" ht="18" x14ac:dyDescent="0.25">
      <c r="A14" s="140"/>
      <c r="B14" s="140"/>
      <c r="C14" s="140"/>
      <c r="D14" s="141"/>
      <c r="E14" s="140"/>
      <c r="F14" s="140"/>
      <c r="G14" s="140"/>
      <c r="H14" s="141"/>
      <c r="I14" s="12">
        <v>19</v>
      </c>
      <c r="J14" s="13" t="s">
        <v>164</v>
      </c>
      <c r="K14" s="20">
        <v>63.13</v>
      </c>
    </row>
    <row r="15" spans="1:11" ht="18" x14ac:dyDescent="0.25">
      <c r="A15" s="140"/>
      <c r="B15" s="140"/>
      <c r="C15" s="140"/>
      <c r="D15" s="141"/>
      <c r="E15" s="140"/>
      <c r="F15" s="140"/>
      <c r="G15" s="140"/>
      <c r="H15" s="141"/>
      <c r="I15" s="15">
        <v>20</v>
      </c>
      <c r="J15" s="15" t="s">
        <v>165</v>
      </c>
      <c r="K15" s="16">
        <v>63.68</v>
      </c>
    </row>
    <row r="16" spans="1:11" ht="18" x14ac:dyDescent="0.25">
      <c r="A16" s="140"/>
      <c r="B16" s="140"/>
      <c r="C16" s="140"/>
      <c r="D16" s="141"/>
      <c r="E16" s="140"/>
      <c r="F16" s="140"/>
      <c r="G16" s="140"/>
      <c r="H16" s="141"/>
      <c r="I16" s="17"/>
      <c r="J16" s="18" t="s">
        <v>9</v>
      </c>
      <c r="K16" s="19">
        <f>SUM(K6:K15)</f>
        <v>550.99</v>
      </c>
    </row>
  </sheetData>
  <mergeCells count="10">
    <mergeCell ref="D5:D16"/>
    <mergeCell ref="H5:H16"/>
    <mergeCell ref="A11:C16"/>
    <mergeCell ref="E13:G16"/>
    <mergeCell ref="A1:K1"/>
    <mergeCell ref="B2:E2"/>
    <mergeCell ref="F2:I2"/>
    <mergeCell ref="B3:E3"/>
    <mergeCell ref="F3:I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54</vt:i4>
      </vt:variant>
    </vt:vector>
  </HeadingPairs>
  <TitlesOfParts>
    <vt:vector size="54" baseType="lpstr">
      <vt:lpstr>7.22Ст</vt:lpstr>
      <vt:lpstr>7.23Вст</vt:lpstr>
      <vt:lpstr>Лист1</vt:lpstr>
      <vt:lpstr>7.21КрсИнж</vt:lpstr>
      <vt:lpstr>7.20ДмМнт</vt:lpstr>
      <vt:lpstr>7.19КрсЗел</vt:lpstr>
      <vt:lpstr>7.18ШпЗел</vt:lpstr>
      <vt:lpstr>7.17ШтЗел</vt:lpstr>
      <vt:lpstr>7.14ШтГр (2)</vt:lpstr>
      <vt:lpstr>7.16КрсГр</vt:lpstr>
      <vt:lpstr>7.15ШпГр</vt:lpstr>
      <vt:lpstr>7.14ШтГр</vt:lpstr>
      <vt:lpstr>7.13Плтк</vt:lpstr>
      <vt:lpstr>7.14</vt:lpstr>
      <vt:lpstr>7.12Крск</vt:lpstr>
      <vt:lpstr>7.11Шп</vt:lpstr>
      <vt:lpstr>7.10Шт</vt:lpstr>
      <vt:lpstr>7.8Кр</vt:lpstr>
      <vt:lpstr>7.7СF4НЗ</vt:lpstr>
      <vt:lpstr>7.6СF6НЗ</vt:lpstr>
      <vt:lpstr>7.5Крск</vt:lpstr>
      <vt:lpstr>7.4ГКЛ</vt:lpstr>
      <vt:lpstr>7.3Альб</vt:lpstr>
      <vt:lpstr>7.2Грл</vt:lpstr>
      <vt:lpstr>7.1Арм</vt:lpstr>
      <vt:lpstr>6.4Крс</vt:lpstr>
      <vt:lpstr>6.3CF16Сбрк</vt:lpstr>
      <vt:lpstr>6.2ГКЛ</vt:lpstr>
      <vt:lpstr>6.1ГКЛ</vt:lpstr>
      <vt:lpstr>3.6ГКЛ</vt:lpstr>
      <vt:lpstr>3.5Подв</vt:lpstr>
      <vt:lpstr>3.4Крс</vt:lpstr>
      <vt:lpstr>3.3Шп</vt:lpstr>
      <vt:lpstr>1144</vt:lpstr>
      <vt:lpstr>1140</vt:lpstr>
      <vt:lpstr>1048</vt:lpstr>
      <vt:lpstr>1005</vt:lpstr>
      <vt:lpstr>971</vt:lpstr>
      <vt:lpstr>968</vt:lpstr>
      <vt:lpstr>965</vt:lpstr>
      <vt:lpstr>947</vt:lpstr>
      <vt:lpstr>CF6</vt:lpstr>
      <vt:lpstr>CF3</vt:lpstr>
      <vt:lpstr>CF4</vt:lpstr>
      <vt:lpstr>CF7,17</vt:lpstr>
      <vt:lpstr>CF1</vt:lpstr>
      <vt:lpstr>1.1-CF2_СКБ</vt:lpstr>
      <vt:lpstr>2.1-CF2_Краска</vt:lpstr>
      <vt:lpstr>3.1-CF2_Монтаж</vt:lpstr>
      <vt:lpstr>2.2-CF1_КрскДопСл</vt:lpstr>
      <vt:lpstr>2.2-CF1_Краск</vt:lpstr>
      <vt:lpstr>1.2-CF1_СКБ</vt:lpstr>
      <vt:lpstr>3.2-CF3_Монтаж</vt:lpstr>
      <vt:lpstr>3.3-CF4_Монтаж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2026-04-03T11:20:43Z</dcterms:created>
  <dcterms:modified xsi:type="dcterms:W3CDTF">2026-09-28T07:50:11Z</dcterms:modified>
</cp:coreProperties>
</file>