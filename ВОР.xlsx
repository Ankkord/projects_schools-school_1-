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20" windowWidth="16665" windowHeight="8130" activeTab="1"/>
  </bookViews>
  <sheets>
    <sheet name="Пример" sheetId="1" r:id="rId1"/>
    <sheet name="Лист2" sheetId="2" r:id="rId2"/>
    <sheet name="Лист3" sheetId="3" r:id="rId3"/>
  </sheets>
  <calcPr calcId="145621" refMode="R1C1"/>
</workbook>
</file>

<file path=xl/calcChain.xml><?xml version="1.0" encoding="utf-8"?>
<calcChain xmlns="http://schemas.openxmlformats.org/spreadsheetml/2006/main">
  <c r="D63" i="2" l="1"/>
  <c r="D73" i="2"/>
  <c r="E74" i="2" s="1"/>
  <c r="C32" i="2"/>
  <c r="C42" i="2" s="1"/>
  <c r="C53" i="2" s="1"/>
  <c r="C63" i="2" s="1"/>
  <c r="D53" i="2"/>
  <c r="D42" i="2"/>
  <c r="D32" i="2"/>
  <c r="D22" i="2"/>
  <c r="E75" i="2" l="1"/>
</calcChain>
</file>

<file path=xl/sharedStrings.xml><?xml version="1.0" encoding="utf-8"?>
<sst xmlns="http://schemas.openxmlformats.org/spreadsheetml/2006/main" count="103" uniqueCount="38">
  <si>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</si>
  <si>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</si>
  <si>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</si>
  <si>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</si>
  <si>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</si>
  <si>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</si>
  <si>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</si>
  <si>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</si>
  <si>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</si>
  <si>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</si>
  <si>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</si>
  <si>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</si>
  <si>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Пом 2.037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</si>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</sst>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1" fillId="0" borderId="0" xfId="0" applyFont="1" applyAlignment="1">
      <alignment horizontal="right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topLeftCell="A7" workbookViewId="0">
      <selection activeCell="B14" sqref="B14:D18"/>
    </sheetView>
  </sheetViews>
  <sheetFormatPr defaultRowHeight="15" x14ac:dyDescent="0.25"/>
  <cols>
    <col min="1" max="1" width="12.28515625" customWidth="1"/>
    <col min="2" max="2" width="9.140625" style="1"/>
    <col min="3" max="3" width="56.5703125" customWidth="1"/>
    <col min="4" max="4" width="12.7109375" style="1" customWidth="1"/>
  </cols>
  <sheetData>
    <row r="2" spans="1:4" x14ac:dyDescent="0.25">
      <c r="B2" s="5"/>
      <c r="C2" s="7" t="s">
        <v>9</v>
      </c>
      <c r="D2" s="6"/>
    </row>
    <row r="3" spans="1:4" x14ac:dyDescent="0.25">
      <c r="B3" s="2" t="s">
        <v>6</v>
      </c>
      <c r="C3" s="3" t="s">
        <v>7</v>
      </c>
      <c r="D3" s="2" t="s">
        <v>8</v>
      </c>
    </row>
    <row r="4" spans="1:4" x14ac:dyDescent="0.25">
      <c r="B4" s="2">
        <v>1</v>
      </c>
      <c r="C4" s="3" t="s">
        <v>0</v>
      </c>
      <c r="D4" s="2"/>
    </row>
    <row r="5" spans="1:4" x14ac:dyDescent="0.25">
      <c r="B5" s="2">
        <v>2</v>
      </c>
      <c r="C5" s="3" t="s">
        <v>1</v>
      </c>
      <c r="D5" s="2"/>
    </row>
    <row r="6" spans="1:4" x14ac:dyDescent="0.25">
      <c r="B6" s="2">
        <v>3</v>
      </c>
      <c r="C6" s="3" t="s">
        <v>2</v>
      </c>
      <c r="D6" s="2"/>
    </row>
    <row r="7" spans="1:4" x14ac:dyDescent="0.25">
      <c r="B7" s="2">
        <v>4</v>
      </c>
      <c r="C7" s="3" t="s">
        <v>3</v>
      </c>
      <c r="D7" s="2"/>
    </row>
    <row r="8" spans="1:4" x14ac:dyDescent="0.25">
      <c r="B8" s="2">
        <v>5</v>
      </c>
      <c r="C8" s="3" t="s">
        <v>4</v>
      </c>
      <c r="D8" s="2"/>
    </row>
    <row r="9" spans="1:4" x14ac:dyDescent="0.25">
      <c r="B9" s="2">
        <v>6</v>
      </c>
      <c r="C9" s="3" t="s">
        <v>5</v>
      </c>
      <c r="D9" s="2"/>
    </row>
    <row r="10" spans="1:4" ht="15" customHeight="1" x14ac:dyDescent="0.25">
      <c r="B10" s="2">
        <v>7</v>
      </c>
      <c r="C10" s="8" t="s">
        <v>11</v>
      </c>
      <c r="D10" s="2"/>
    </row>
    <row r="12" spans="1:4" ht="60" x14ac:dyDescent="0.25">
      <c r="C12" s="4" t="s">
        <v>10</v>
      </c>
    </row>
    <row r="13" spans="1:4" x14ac:dyDescent="0.25">
      <c r="A13" t="s">
        <v>16</v>
      </c>
    </row>
    <row r="14" spans="1:4" x14ac:dyDescent="0.25">
      <c r="B14" s="5"/>
      <c r="C14" s="7" t="s">
        <v>9</v>
      </c>
      <c r="D14" s="6"/>
    </row>
    <row r="15" spans="1:4" x14ac:dyDescent="0.25">
      <c r="B15" s="2" t="s">
        <v>6</v>
      </c>
      <c r="C15" s="3" t="s">
        <v>7</v>
      </c>
      <c r="D15" s="2" t="s">
        <v>8</v>
      </c>
    </row>
    <row r="16" spans="1:4" x14ac:dyDescent="0.25">
      <c r="B16" s="2">
        <v>1</v>
      </c>
      <c r="C16" s="3" t="s">
        <v>13</v>
      </c>
      <c r="D16" s="2"/>
    </row>
    <row r="17" spans="2:4" x14ac:dyDescent="0.25">
      <c r="B17" s="2">
        <v>2</v>
      </c>
      <c r="C17" s="3" t="s">
        <v>14</v>
      </c>
      <c r="D17" s="2"/>
    </row>
    <row r="18" spans="2:4" x14ac:dyDescent="0.25">
      <c r="B18" s="2">
        <v>3</v>
      </c>
      <c r="C18" s="3" t="s">
        <v>15</v>
      </c>
      <c r="D1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E75"/>
  <sheetViews>
    <sheetView tabSelected="1" zoomScaleNormal="100" workbookViewId="0">
      <selection activeCell="D22" sqref="D22"/>
    </sheetView>
  </sheetViews>
  <sheetFormatPr defaultRowHeight="12.75" x14ac:dyDescent="0.2"/>
  <cols>
    <col min="1" max="1" width="13.7109375" style="9" customWidth="1"/>
    <col min="2" max="2" width="9.140625" style="22"/>
    <col min="3" max="3" width="59.5703125" style="22" customWidth="1"/>
    <col min="4" max="4" width="12.7109375" style="13" customWidth="1"/>
    <col min="5" max="5" width="10.7109375" style="13" customWidth="1"/>
    <col min="6" max="16384" width="9.140625" style="14"/>
  </cols>
  <sheetData>
    <row r="4" spans="1:4" x14ac:dyDescent="0.2">
      <c r="A4" s="9" t="s">
        <v>12</v>
      </c>
      <c r="B4" s="10"/>
      <c r="C4" s="11" t="s">
        <v>9</v>
      </c>
      <c r="D4" s="12"/>
    </row>
    <row r="5" spans="1:4" x14ac:dyDescent="0.2">
      <c r="B5" s="15" t="s">
        <v>6</v>
      </c>
      <c r="C5" s="16" t="s">
        <v>7</v>
      </c>
      <c r="D5" s="17" t="s">
        <v>29</v>
      </c>
    </row>
    <row r="6" spans="1:4" x14ac:dyDescent="0.2">
      <c r="B6" s="15">
        <v>1</v>
      </c>
      <c r="C6" s="16" t="s">
        <v>0</v>
      </c>
      <c r="D6" s="17"/>
    </row>
    <row r="7" spans="1:4" x14ac:dyDescent="0.2">
      <c r="B7" s="15">
        <v>2</v>
      </c>
      <c r="C7" s="16" t="s">
        <v>1</v>
      </c>
      <c r="D7" s="17"/>
    </row>
    <row r="8" spans="1:4" x14ac:dyDescent="0.2">
      <c r="B8" s="15">
        <v>3</v>
      </c>
      <c r="C8" s="16" t="s">
        <v>2</v>
      </c>
      <c r="D8" s="17"/>
    </row>
    <row r="9" spans="1:4" x14ac:dyDescent="0.2">
      <c r="B9" s="15">
        <v>4</v>
      </c>
      <c r="C9" s="16" t="s">
        <v>3</v>
      </c>
      <c r="D9" s="17"/>
    </row>
    <row r="10" spans="1:4" x14ac:dyDescent="0.2">
      <c r="B10" s="15">
        <v>5</v>
      </c>
      <c r="C10" s="16" t="s">
        <v>4</v>
      </c>
      <c r="D10" s="17"/>
    </row>
    <row r="11" spans="1:4" x14ac:dyDescent="0.2">
      <c r="B11" s="15">
        <v>6</v>
      </c>
      <c r="C11" s="16" t="s">
        <v>5</v>
      </c>
      <c r="D11" s="17"/>
    </row>
    <row r="12" spans="1:4" x14ac:dyDescent="0.2">
      <c r="B12" s="15">
        <v>7</v>
      </c>
      <c r="C12" s="18" t="s">
        <v>11</v>
      </c>
      <c r="D12" s="17"/>
    </row>
    <row r="13" spans="1:4" x14ac:dyDescent="0.2">
      <c r="B13" s="19"/>
      <c r="C13" s="20"/>
      <c r="D13" s="21"/>
    </row>
    <row r="14" spans="1:4" x14ac:dyDescent="0.2">
      <c r="A14" s="9" t="s">
        <v>17</v>
      </c>
    </row>
    <row r="15" spans="1:4" x14ac:dyDescent="0.2">
      <c r="B15" s="10"/>
      <c r="C15" s="11" t="s">
        <v>9</v>
      </c>
      <c r="D15" s="12"/>
    </row>
    <row r="16" spans="1:4" x14ac:dyDescent="0.2">
      <c r="B16" s="15" t="s">
        <v>6</v>
      </c>
      <c r="C16" s="16" t="s">
        <v>7</v>
      </c>
      <c r="D16" s="17" t="s">
        <v>29</v>
      </c>
    </row>
    <row r="17" spans="1:5" x14ac:dyDescent="0.2">
      <c r="B17" s="15">
        <v>1</v>
      </c>
      <c r="C17" s="16" t="s">
        <v>13</v>
      </c>
      <c r="D17" s="17">
        <v>178.11</v>
      </c>
    </row>
    <row r="18" spans="1:5" x14ac:dyDescent="0.2">
      <c r="B18" s="15">
        <v>2</v>
      </c>
      <c r="C18" s="16" t="s">
        <v>14</v>
      </c>
      <c r="D18" s="17">
        <v>0</v>
      </c>
    </row>
    <row r="19" spans="1:5" x14ac:dyDescent="0.2">
      <c r="B19" s="15">
        <v>3</v>
      </c>
      <c r="C19" s="16" t="s">
        <v>37</v>
      </c>
      <c r="D19" s="17">
        <v>178.11</v>
      </c>
      <c r="E19" s="34"/>
    </row>
    <row r="20" spans="1:5" x14ac:dyDescent="0.2">
      <c r="B20" s="15">
        <v>4</v>
      </c>
      <c r="C20" s="16" t="s">
        <v>36</v>
      </c>
      <c r="D20" s="17">
        <v>0</v>
      </c>
      <c r="E20" s="34"/>
    </row>
    <row r="21" spans="1:5" x14ac:dyDescent="0.2">
      <c r="B21" s="15">
        <v>5</v>
      </c>
      <c r="C21" s="16" t="s">
        <v>35</v>
      </c>
      <c r="D21" s="17" t="s">
        <v>28</v>
      </c>
    </row>
    <row r="22" spans="1:5" x14ac:dyDescent="0.2">
      <c r="B22" s="15">
        <v>6</v>
      </c>
      <c r="C22" s="23" t="s">
        <v>30</v>
      </c>
      <c r="D22" s="17">
        <f>D17</f>
        <v>178.11</v>
      </c>
    </row>
    <row r="24" spans="1:5" x14ac:dyDescent="0.2">
      <c r="A24" s="9" t="s">
        <v>18</v>
      </c>
    </row>
    <row r="25" spans="1:5" x14ac:dyDescent="0.2">
      <c r="B25" s="10"/>
      <c r="C25" s="11" t="s">
        <v>9</v>
      </c>
      <c r="D25" s="12"/>
    </row>
    <row r="26" spans="1:5" x14ac:dyDescent="0.2">
      <c r="B26" s="15" t="s">
        <v>6</v>
      </c>
      <c r="C26" s="16" t="s">
        <v>7</v>
      </c>
      <c r="D26" s="17" t="s">
        <v>29</v>
      </c>
    </row>
    <row r="27" spans="1:5" x14ac:dyDescent="0.2">
      <c r="B27" s="15">
        <v>1</v>
      </c>
      <c r="C27" s="16" t="s">
        <v>13</v>
      </c>
      <c r="D27" s="17">
        <v>340.88</v>
      </c>
    </row>
    <row r="28" spans="1:5" x14ac:dyDescent="0.2">
      <c r="B28" s="15">
        <v>2</v>
      </c>
      <c r="C28" s="16" t="s">
        <v>14</v>
      </c>
      <c r="D28" s="17">
        <v>0</v>
      </c>
    </row>
    <row r="29" spans="1:5" x14ac:dyDescent="0.2">
      <c r="B29" s="15">
        <v>3</v>
      </c>
      <c r="C29" s="16" t="s">
        <v>37</v>
      </c>
      <c r="D29" s="17">
        <v>340.88</v>
      </c>
      <c r="E29" s="34"/>
    </row>
    <row r="30" spans="1:5" x14ac:dyDescent="0.2">
      <c r="B30" s="15">
        <v>4</v>
      </c>
      <c r="C30" s="16" t="s">
        <v>36</v>
      </c>
      <c r="D30" s="17">
        <v>0</v>
      </c>
      <c r="E30" s="34"/>
    </row>
    <row r="31" spans="1:5" x14ac:dyDescent="0.2">
      <c r="B31" s="15">
        <v>5</v>
      </c>
      <c r="C31" s="16" t="s">
        <v>35</v>
      </c>
      <c r="D31" s="17" t="s">
        <v>27</v>
      </c>
    </row>
    <row r="32" spans="1:5" x14ac:dyDescent="0.2">
      <c r="B32" s="15">
        <v>6</v>
      </c>
      <c r="C32" s="23" t="str">
        <f>C22</f>
        <v xml:space="preserve">Окраска поверхности стен с предварительной огрунтовкой в 2 слоя </v>
      </c>
      <c r="D32" s="17">
        <f>D27</f>
        <v>340.88</v>
      </c>
    </row>
    <row r="34" spans="1:5" x14ac:dyDescent="0.2">
      <c r="A34" s="9" t="s">
        <v>19</v>
      </c>
    </row>
    <row r="35" spans="1:5" x14ac:dyDescent="0.2">
      <c r="B35" s="10"/>
      <c r="C35" s="11" t="s">
        <v>9</v>
      </c>
      <c r="D35" s="12"/>
    </row>
    <row r="36" spans="1:5" x14ac:dyDescent="0.2">
      <c r="B36" s="15" t="s">
        <v>6</v>
      </c>
      <c r="C36" s="16" t="s">
        <v>7</v>
      </c>
      <c r="D36" s="17" t="s">
        <v>29</v>
      </c>
    </row>
    <row r="37" spans="1:5" x14ac:dyDescent="0.2">
      <c r="B37" s="15">
        <v>1</v>
      </c>
      <c r="C37" s="16" t="s">
        <v>13</v>
      </c>
      <c r="D37" s="17">
        <v>192.99</v>
      </c>
    </row>
    <row r="38" spans="1:5" x14ac:dyDescent="0.2">
      <c r="B38" s="15">
        <v>2</v>
      </c>
      <c r="C38" s="16" t="s">
        <v>14</v>
      </c>
      <c r="D38" s="17">
        <v>0</v>
      </c>
    </row>
    <row r="39" spans="1:5" x14ac:dyDescent="0.2">
      <c r="B39" s="15">
        <v>3</v>
      </c>
      <c r="C39" s="16" t="s">
        <v>37</v>
      </c>
      <c r="D39" s="17">
        <v>192.99</v>
      </c>
      <c r="E39" s="34"/>
    </row>
    <row r="40" spans="1:5" x14ac:dyDescent="0.2">
      <c r="B40" s="15">
        <v>4</v>
      </c>
      <c r="C40" s="16" t="s">
        <v>36</v>
      </c>
      <c r="D40" s="17">
        <v>0</v>
      </c>
      <c r="E40" s="34"/>
    </row>
    <row r="41" spans="1:5" x14ac:dyDescent="0.2">
      <c r="B41" s="15">
        <v>5</v>
      </c>
      <c r="C41" s="16" t="s">
        <v>35</v>
      </c>
      <c r="D41" s="17" t="s">
        <v>26</v>
      </c>
    </row>
    <row r="42" spans="1:5" x14ac:dyDescent="0.2">
      <c r="B42" s="15">
        <v>6</v>
      </c>
      <c r="C42" s="23" t="str">
        <f>C32</f>
        <v xml:space="preserve">Окраска поверхности стен с предварительной огрунтовкой в 2 слоя </v>
      </c>
      <c r="D42" s="17">
        <f>D37</f>
        <v>192.99</v>
      </c>
    </row>
    <row r="43" spans="1:5" x14ac:dyDescent="0.2">
      <c r="B43" s="19"/>
      <c r="C43" s="24"/>
      <c r="D43" s="21"/>
    </row>
    <row r="45" spans="1:5" x14ac:dyDescent="0.2">
      <c r="A45" s="9" t="s">
        <v>20</v>
      </c>
    </row>
    <row r="46" spans="1:5" x14ac:dyDescent="0.2">
      <c r="B46" s="10"/>
      <c r="C46" s="11" t="s">
        <v>9</v>
      </c>
      <c r="D46" s="12"/>
    </row>
    <row r="47" spans="1:5" x14ac:dyDescent="0.2">
      <c r="B47" s="15" t="s">
        <v>6</v>
      </c>
      <c r="C47" s="16" t="s">
        <v>7</v>
      </c>
      <c r="D47" s="17" t="s">
        <v>8</v>
      </c>
    </row>
    <row r="48" spans="1:5" x14ac:dyDescent="0.2">
      <c r="B48" s="15">
        <v>1</v>
      </c>
      <c r="C48" s="16" t="s">
        <v>13</v>
      </c>
      <c r="D48" s="17">
        <v>246.3</v>
      </c>
    </row>
    <row r="49" spans="1:5" x14ac:dyDescent="0.2">
      <c r="B49" s="15">
        <v>2</v>
      </c>
      <c r="C49" s="16" t="s">
        <v>14</v>
      </c>
      <c r="D49" s="17">
        <v>0</v>
      </c>
    </row>
    <row r="50" spans="1:5" x14ac:dyDescent="0.2">
      <c r="B50" s="15">
        <v>3</v>
      </c>
      <c r="C50" s="16" t="s">
        <v>37</v>
      </c>
      <c r="D50" s="17">
        <v>246.3</v>
      </c>
      <c r="E50" s="34"/>
    </row>
    <row r="51" spans="1:5" x14ac:dyDescent="0.2">
      <c r="B51" s="15">
        <v>4</v>
      </c>
      <c r="C51" s="16" t="s">
        <v>36</v>
      </c>
      <c r="D51" s="17">
        <v>0</v>
      </c>
      <c r="E51" s="34"/>
    </row>
    <row r="52" spans="1:5" x14ac:dyDescent="0.2">
      <c r="B52" s="15">
        <v>5</v>
      </c>
      <c r="C52" s="16" t="s">
        <v>35</v>
      </c>
      <c r="D52" s="17" t="s">
        <v>25</v>
      </c>
    </row>
    <row r="53" spans="1:5" x14ac:dyDescent="0.2">
      <c r="B53" s="15">
        <v>6</v>
      </c>
      <c r="C53" s="23" t="str">
        <f>C42</f>
        <v xml:space="preserve">Окраска поверхности стен с предварительной огрунтовкой в 2 слоя </v>
      </c>
      <c r="D53" s="17">
        <f>D48</f>
        <v>246.3</v>
      </c>
    </row>
    <row r="55" spans="1:5" x14ac:dyDescent="0.2">
      <c r="A55" s="9" t="s">
        <v>21</v>
      </c>
    </row>
    <row r="56" spans="1:5" x14ac:dyDescent="0.2">
      <c r="B56" s="10"/>
      <c r="C56" s="11" t="s">
        <v>9</v>
      </c>
      <c r="D56" s="12"/>
    </row>
    <row r="57" spans="1:5" x14ac:dyDescent="0.2">
      <c r="B57" s="15" t="s">
        <v>6</v>
      </c>
      <c r="C57" s="16" t="s">
        <v>7</v>
      </c>
      <c r="D57" s="17" t="s">
        <v>29</v>
      </c>
    </row>
    <row r="58" spans="1:5" x14ac:dyDescent="0.2">
      <c r="B58" s="15">
        <v>1</v>
      </c>
      <c r="C58" s="16" t="s">
        <v>13</v>
      </c>
      <c r="D58" s="17">
        <v>105.63</v>
      </c>
    </row>
    <row r="59" spans="1:5" x14ac:dyDescent="0.2">
      <c r="B59" s="15">
        <v>2</v>
      </c>
      <c r="C59" s="16" t="s">
        <v>14</v>
      </c>
      <c r="D59" s="17">
        <v>4.1500000000000004</v>
      </c>
    </row>
    <row r="60" spans="1:5" x14ac:dyDescent="0.2">
      <c r="B60" s="15">
        <v>3</v>
      </c>
      <c r="C60" s="16" t="s">
        <v>37</v>
      </c>
      <c r="D60" s="17">
        <v>105.63</v>
      </c>
      <c r="E60" s="34"/>
    </row>
    <row r="61" spans="1:5" x14ac:dyDescent="0.2">
      <c r="B61" s="15">
        <v>4</v>
      </c>
      <c r="C61" s="16" t="s">
        <v>36</v>
      </c>
      <c r="D61" s="17">
        <v>4.1500000000000004</v>
      </c>
      <c r="E61" s="34"/>
    </row>
    <row r="62" spans="1:5" x14ac:dyDescent="0.2">
      <c r="B62" s="15">
        <v>5</v>
      </c>
      <c r="C62" s="16" t="s">
        <v>35</v>
      </c>
      <c r="D62" s="17" t="s">
        <v>24</v>
      </c>
    </row>
    <row r="63" spans="1:5" s="28" customFormat="1" x14ac:dyDescent="0.2">
      <c r="A63" s="25"/>
      <c r="B63" s="15">
        <v>6</v>
      </c>
      <c r="C63" s="23" t="str">
        <f>C53</f>
        <v xml:space="preserve">Окраска поверхности стен с предварительной огрунтовкой в 2 слоя </v>
      </c>
      <c r="D63" s="26">
        <f>D58+D59</f>
        <v>109.78</v>
      </c>
      <c r="E63" s="27"/>
    </row>
    <row r="65" spans="1:5" x14ac:dyDescent="0.2">
      <c r="A65" s="9" t="s">
        <v>22</v>
      </c>
    </row>
    <row r="66" spans="1:5" x14ac:dyDescent="0.2">
      <c r="B66" s="10"/>
      <c r="C66" s="29" t="s">
        <v>9</v>
      </c>
      <c r="D66" s="30"/>
      <c r="E66" s="31"/>
    </row>
    <row r="67" spans="1:5" x14ac:dyDescent="0.2">
      <c r="B67" s="15" t="s">
        <v>6</v>
      </c>
      <c r="C67" s="16" t="s">
        <v>7</v>
      </c>
      <c r="D67" s="17" t="s">
        <v>29</v>
      </c>
      <c r="E67" s="32" t="s">
        <v>31</v>
      </c>
    </row>
    <row r="68" spans="1:5" x14ac:dyDescent="0.2">
      <c r="B68" s="15">
        <v>1</v>
      </c>
      <c r="C68" s="16" t="s">
        <v>13</v>
      </c>
      <c r="D68" s="17">
        <v>1063.9100000000001</v>
      </c>
      <c r="E68" s="32"/>
    </row>
    <row r="69" spans="1:5" x14ac:dyDescent="0.2">
      <c r="B69" s="15">
        <v>2</v>
      </c>
      <c r="C69" s="16" t="s">
        <v>14</v>
      </c>
      <c r="D69" s="17">
        <v>4.1500000000000004</v>
      </c>
      <c r="E69" s="32"/>
    </row>
    <row r="70" spans="1:5" x14ac:dyDescent="0.2">
      <c r="B70" s="15">
        <v>3</v>
      </c>
      <c r="C70" s="16" t="s">
        <v>37</v>
      </c>
      <c r="D70" s="17">
        <v>1063.9100000000001</v>
      </c>
      <c r="E70" s="32"/>
    </row>
    <row r="71" spans="1:5" x14ac:dyDescent="0.2">
      <c r="B71" s="15">
        <v>4</v>
      </c>
      <c r="C71" s="16" t="s">
        <v>36</v>
      </c>
      <c r="D71" s="17">
        <v>4.1500000000000004</v>
      </c>
      <c r="E71" s="32"/>
    </row>
    <row r="72" spans="1:5" x14ac:dyDescent="0.2">
      <c r="B72" s="15">
        <v>5</v>
      </c>
      <c r="C72" s="16" t="s">
        <v>35</v>
      </c>
      <c r="D72" s="17" t="s">
        <v>23</v>
      </c>
      <c r="E72" s="32"/>
    </row>
    <row r="73" spans="1:5" x14ac:dyDescent="0.2">
      <c r="B73" s="15">
        <v>6</v>
      </c>
      <c r="C73" s="23" t="s">
        <v>32</v>
      </c>
      <c r="D73" s="17">
        <f>D68+D69</f>
        <v>1068.0600000000002</v>
      </c>
      <c r="E73" s="32"/>
    </row>
    <row r="74" spans="1:5" x14ac:dyDescent="0.2">
      <c r="B74" s="33">
        <v>6.1</v>
      </c>
      <c r="C74" s="16" t="s">
        <v>33</v>
      </c>
      <c r="D74" s="32"/>
      <c r="E74" s="32">
        <f>D73*0.15</f>
        <v>160.20900000000003</v>
      </c>
    </row>
    <row r="75" spans="1:5" x14ac:dyDescent="0.2">
      <c r="B75" s="33">
        <v>6.2</v>
      </c>
      <c r="C75" s="16" t="s">
        <v>34</v>
      </c>
      <c r="D75" s="32"/>
      <c r="E75" s="32">
        <f>D73*0.3</f>
        <v>320.41800000000006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Пример</vt:lpstr>
      <vt:lpstr>Лист2</vt:lpstr>
      <vt:lpstr>Лист3</vt:lpstr>
    </vt:vector>
  </TitlesOfParts>
  <Company>HP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2025-09-04T08:25:20Z</dcterms:modified>
</cp:coreProperties>
</file>