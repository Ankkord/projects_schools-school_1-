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20" windowWidth="16665" windowHeight="8130" activeTab="1"/>
  </bookViews>
  <sheets>
    <sheet name="Пример" sheetId="1" r:id="rId1"/>
    <sheet name="Лист2" sheetId="2" r:id="rId2"/>
    <sheet name="Лист3" sheetId="3" r:id="rId3"/>
  </sheets>
  <calcPr calcId="145621" refMode="R1C1"/>
</workbook>
</file>

<file path=xl/calcChain.xml><?xml version="1.0" encoding="utf-8"?>
<calcChain xmlns="http://schemas.openxmlformats.org/spreadsheetml/2006/main">
  <c r="D58" i="2" l="1"/>
  <c r="D67" i="2"/>
  <c r="E68" i="2" s="1"/>
  <c r="C30" i="2"/>
  <c r="C39" i="2" s="1"/>
  <c r="C49" i="2" s="1"/>
  <c r="C58" i="2" s="1"/>
  <c r="D49" i="2"/>
  <c r="D39" i="2"/>
  <c r="D30" i="2"/>
  <c r="D21" i="2"/>
  <c r="D65" i="2"/>
  <c r="D56" i="2"/>
  <c r="D47" i="2"/>
  <c r="D37" i="2"/>
  <c r="D28" i="2"/>
  <c r="E69" i="2" l="1"/>
</calcChain>
</file>

<file path=xl/sharedStrings.xml><?xml version="1.0" encoding="utf-8"?>
<sst xmlns="http://schemas.openxmlformats.org/spreadsheetml/2006/main" count="97" uniqueCount="37">
  <si>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</si>
  <si>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</si>
  <si>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</si>
  <si>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</si>
  <si>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</si>
  <si>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</si>
  <si>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</si>
  <si>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</si>
  <si>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</si>
  <si>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</si>
  <si>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</si>
  <si>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</si>
  <si>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</si>
  <si>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</si>
  <si>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</si>
  <si>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</si>
  <si>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</si>
  <si>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</si>
  <si>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</si>
  <si>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</si>
  <si>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</si>
  <si>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</si>
  <si>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</si>
  <si>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</si>
  <si>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</si>
  <si>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</si>
  <si>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</si>
  <si>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</si>
  <si>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</si>
  <si>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</si>
  <si>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>Шпаклевка финишная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</si>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</sst>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topLeftCell="A7"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E69"/>
  <sheetViews>
    <sheetView tabSelected="1" topLeftCell="A55" zoomScaleNormal="100" workbookViewId="0">
      <selection activeCell="B60" sqref="B60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16384" width="9.140625" style="14"/>
  </cols>
  <sheetData>
    <row r="4" spans="1:4" x14ac:dyDescent="0.2">
      <c r="A4" s="9" t="s">
        <v>12</v>
      </c>
      <c r="B4" s="10"/>
      <c r="C4" s="11" t="s">
        <v>9</v>
      </c>
      <c r="D4" s="12"/>
    </row>
    <row r="5" spans="1:4" x14ac:dyDescent="0.2">
      <c r="B5" s="15" t="s">
        <v>6</v>
      </c>
      <c r="C5" s="16" t="s">
        <v>7</v>
      </c>
      <c r="D5" s="17" t="s">
        <v>29</v>
      </c>
    </row>
    <row r="6" spans="1:4" x14ac:dyDescent="0.2">
      <c r="B6" s="15">
        <v>1</v>
      </c>
      <c r="C6" s="16" t="s">
        <v>0</v>
      </c>
      <c r="D6" s="17"/>
    </row>
    <row r="7" spans="1:4" x14ac:dyDescent="0.2">
      <c r="B7" s="15">
        <v>2</v>
      </c>
      <c r="C7" s="16" t="s">
        <v>1</v>
      </c>
      <c r="D7" s="17"/>
    </row>
    <row r="8" spans="1:4" x14ac:dyDescent="0.2">
      <c r="B8" s="15">
        <v>3</v>
      </c>
      <c r="C8" s="16" t="s">
        <v>2</v>
      </c>
      <c r="D8" s="17"/>
    </row>
    <row r="9" spans="1:4" x14ac:dyDescent="0.2">
      <c r="B9" s="15">
        <v>4</v>
      </c>
      <c r="C9" s="16" t="s">
        <v>3</v>
      </c>
      <c r="D9" s="17"/>
    </row>
    <row r="10" spans="1:4" x14ac:dyDescent="0.2">
      <c r="B10" s="15">
        <v>5</v>
      </c>
      <c r="C10" s="16" t="s">
        <v>4</v>
      </c>
      <c r="D10" s="17"/>
    </row>
    <row r="11" spans="1:4" x14ac:dyDescent="0.2">
      <c r="B11" s="15">
        <v>6</v>
      </c>
      <c r="C11" s="16" t="s">
        <v>5</v>
      </c>
      <c r="D11" s="17"/>
    </row>
    <row r="12" spans="1:4" x14ac:dyDescent="0.2">
      <c r="B12" s="15">
        <v>7</v>
      </c>
      <c r="C12" s="18" t="s">
        <v>11</v>
      </c>
      <c r="D12" s="17"/>
    </row>
    <row r="13" spans="1:4" x14ac:dyDescent="0.2">
      <c r="B13" s="19"/>
      <c r="C13" s="20"/>
      <c r="D13" s="21"/>
    </row>
    <row r="14" spans="1:4" x14ac:dyDescent="0.2">
      <c r="A14" s="9" t="s">
        <v>17</v>
      </c>
    </row>
    <row r="15" spans="1:4" x14ac:dyDescent="0.2">
      <c r="B15" s="10"/>
      <c r="C15" s="11" t="s">
        <v>9</v>
      </c>
      <c r="D15" s="12"/>
    </row>
    <row r="16" spans="1:4" x14ac:dyDescent="0.2">
      <c r="B16" s="15" t="s">
        <v>6</v>
      </c>
      <c r="C16" s="16" t="s">
        <v>7</v>
      </c>
      <c r="D16" s="17" t="s">
        <v>29</v>
      </c>
    </row>
    <row r="17" spans="1:5" x14ac:dyDescent="0.2">
      <c r="B17" s="15">
        <v>1</v>
      </c>
      <c r="C17" s="16" t="s">
        <v>13</v>
      </c>
      <c r="D17" s="17">
        <v>178.11</v>
      </c>
    </row>
    <row r="18" spans="1:5" x14ac:dyDescent="0.2">
      <c r="B18" s="15">
        <v>2</v>
      </c>
      <c r="C18" s="16" t="s">
        <v>14</v>
      </c>
      <c r="D18" s="17">
        <v>0</v>
      </c>
    </row>
    <row r="19" spans="1:5" x14ac:dyDescent="0.2">
      <c r="B19" s="15">
        <v>3</v>
      </c>
      <c r="C19" s="16" t="s">
        <v>30</v>
      </c>
      <c r="D19" s="17">
        <v>178.11</v>
      </c>
    </row>
    <row r="20" spans="1:5" x14ac:dyDescent="0.2">
      <c r="B20" s="15">
        <v>4</v>
      </c>
      <c r="C20" s="16" t="s">
        <v>36</v>
      </c>
      <c r="D20" s="17" t="s">
        <v>28</v>
      </c>
    </row>
    <row r="21" spans="1:5" x14ac:dyDescent="0.2">
      <c r="B21" s="15">
        <v>5</v>
      </c>
      <c r="C21" s="23" t="s">
        <v>31</v>
      </c>
      <c r="D21" s="17">
        <f>D17</f>
        <v>178.11</v>
      </c>
      <c r="E21" s="13">
        <v>9003</v>
      </c>
    </row>
    <row r="23" spans="1:5" x14ac:dyDescent="0.2">
      <c r="A23" s="9" t="s">
        <v>18</v>
      </c>
    </row>
    <row r="24" spans="1:5" x14ac:dyDescent="0.2">
      <c r="B24" s="10"/>
      <c r="C24" s="11" t="s">
        <v>9</v>
      </c>
      <c r="D24" s="12"/>
    </row>
    <row r="25" spans="1:5" x14ac:dyDescent="0.2">
      <c r="B25" s="15" t="s">
        <v>6</v>
      </c>
      <c r="C25" s="16" t="s">
        <v>7</v>
      </c>
      <c r="D25" s="17" t="s">
        <v>29</v>
      </c>
    </row>
    <row r="26" spans="1:5" x14ac:dyDescent="0.2">
      <c r="B26" s="15">
        <v>1</v>
      </c>
      <c r="C26" s="16" t="s">
        <v>13</v>
      </c>
      <c r="D26" s="17">
        <v>340.88</v>
      </c>
    </row>
    <row r="27" spans="1:5" x14ac:dyDescent="0.2">
      <c r="B27" s="15">
        <v>2</v>
      </c>
      <c r="C27" s="16" t="s">
        <v>14</v>
      </c>
      <c r="D27" s="17">
        <v>0</v>
      </c>
    </row>
    <row r="28" spans="1:5" x14ac:dyDescent="0.2">
      <c r="B28" s="15">
        <v>3</v>
      </c>
      <c r="C28" s="16" t="s">
        <v>30</v>
      </c>
      <c r="D28" s="17">
        <f>D26</f>
        <v>340.88</v>
      </c>
    </row>
    <row r="29" spans="1:5" x14ac:dyDescent="0.2">
      <c r="B29" s="15">
        <v>4</v>
      </c>
      <c r="C29" s="16" t="s">
        <v>36</v>
      </c>
      <c r="D29" s="17" t="s">
        <v>27</v>
      </c>
    </row>
    <row r="30" spans="1:5" x14ac:dyDescent="0.2">
      <c r="B30" s="15">
        <v>5</v>
      </c>
      <c r="C30" s="23" t="str">
        <f>C21</f>
        <v xml:space="preserve">Окраска поверхности стен с предварительной огрунтовкой в 2 слоя </v>
      </c>
      <c r="D30" s="17">
        <f>D26</f>
        <v>340.88</v>
      </c>
    </row>
    <row r="32" spans="1:5" x14ac:dyDescent="0.2">
      <c r="A32" s="9" t="s">
        <v>19</v>
      </c>
    </row>
    <row r="33" spans="1:4" x14ac:dyDescent="0.2">
      <c r="B33" s="10"/>
      <c r="C33" s="11" t="s">
        <v>9</v>
      </c>
      <c r="D33" s="12"/>
    </row>
    <row r="34" spans="1:4" x14ac:dyDescent="0.2">
      <c r="B34" s="15" t="s">
        <v>6</v>
      </c>
      <c r="C34" s="16" t="s">
        <v>7</v>
      </c>
      <c r="D34" s="17" t="s">
        <v>29</v>
      </c>
    </row>
    <row r="35" spans="1:4" x14ac:dyDescent="0.2">
      <c r="B35" s="15">
        <v>1</v>
      </c>
      <c r="C35" s="16" t="s">
        <v>13</v>
      </c>
      <c r="D35" s="17">
        <v>192.99</v>
      </c>
    </row>
    <row r="36" spans="1:4" x14ac:dyDescent="0.2">
      <c r="B36" s="15">
        <v>2</v>
      </c>
      <c r="C36" s="16" t="s">
        <v>14</v>
      </c>
      <c r="D36" s="17">
        <v>0</v>
      </c>
    </row>
    <row r="37" spans="1:4" x14ac:dyDescent="0.2">
      <c r="B37" s="15">
        <v>3</v>
      </c>
      <c r="C37" s="16" t="s">
        <v>30</v>
      </c>
      <c r="D37" s="17">
        <f>D35</f>
        <v>192.99</v>
      </c>
    </row>
    <row r="38" spans="1:4" x14ac:dyDescent="0.2">
      <c r="B38" s="15">
        <v>4</v>
      </c>
      <c r="C38" s="16" t="s">
        <v>36</v>
      </c>
      <c r="D38" s="17" t="s">
        <v>26</v>
      </c>
    </row>
    <row r="39" spans="1:4" x14ac:dyDescent="0.2">
      <c r="B39" s="15">
        <v>5</v>
      </c>
      <c r="C39" s="23" t="str">
        <f>C30</f>
        <v xml:space="preserve">Окраска поверхности стен с предварительной огрунтовкой в 2 слоя </v>
      </c>
      <c r="D39" s="17">
        <f>D35</f>
        <v>192.99</v>
      </c>
    </row>
    <row r="40" spans="1:4" x14ac:dyDescent="0.2">
      <c r="B40" s="19"/>
      <c r="C40" s="24"/>
      <c r="D40" s="21"/>
    </row>
    <row r="42" spans="1:4" x14ac:dyDescent="0.2">
      <c r="A42" s="9" t="s">
        <v>20</v>
      </c>
    </row>
    <row r="43" spans="1:4" x14ac:dyDescent="0.2">
      <c r="B43" s="10"/>
      <c r="C43" s="11" t="s">
        <v>9</v>
      </c>
      <c r="D43" s="12"/>
    </row>
    <row r="44" spans="1:4" x14ac:dyDescent="0.2">
      <c r="B44" s="15" t="s">
        <v>6</v>
      </c>
      <c r="C44" s="16" t="s">
        <v>7</v>
      </c>
      <c r="D44" s="17" t="s">
        <v>8</v>
      </c>
    </row>
    <row r="45" spans="1:4" x14ac:dyDescent="0.2">
      <c r="B45" s="15">
        <v>1</v>
      </c>
      <c r="C45" s="16" t="s">
        <v>13</v>
      </c>
      <c r="D45" s="17">
        <v>246.3</v>
      </c>
    </row>
    <row r="46" spans="1:4" x14ac:dyDescent="0.2">
      <c r="B46" s="15">
        <v>2</v>
      </c>
      <c r="C46" s="16" t="s">
        <v>14</v>
      </c>
      <c r="D46" s="17">
        <v>0</v>
      </c>
    </row>
    <row r="47" spans="1:4" x14ac:dyDescent="0.2">
      <c r="B47" s="15">
        <v>3</v>
      </c>
      <c r="C47" s="16" t="s">
        <v>30</v>
      </c>
      <c r="D47" s="17">
        <f>D45</f>
        <v>246.3</v>
      </c>
    </row>
    <row r="48" spans="1:4" x14ac:dyDescent="0.2">
      <c r="B48" s="15">
        <v>4</v>
      </c>
      <c r="C48" s="16" t="s">
        <v>36</v>
      </c>
      <c r="D48" s="17" t="s">
        <v>25</v>
      </c>
    </row>
    <row r="49" spans="1:5" x14ac:dyDescent="0.2">
      <c r="B49" s="15">
        <v>5</v>
      </c>
      <c r="C49" s="23" t="str">
        <f>C39</f>
        <v xml:space="preserve">Окраска поверхности стен с предварительной огрунтовкой в 2 слоя </v>
      </c>
      <c r="D49" s="17">
        <f>D45</f>
        <v>246.3</v>
      </c>
    </row>
    <row r="51" spans="1:5" x14ac:dyDescent="0.2">
      <c r="A51" s="9" t="s">
        <v>21</v>
      </c>
    </row>
    <row r="52" spans="1:5" x14ac:dyDescent="0.2">
      <c r="B52" s="10"/>
      <c r="C52" s="11" t="s">
        <v>9</v>
      </c>
      <c r="D52" s="12"/>
    </row>
    <row r="53" spans="1:5" x14ac:dyDescent="0.2">
      <c r="B53" s="15" t="s">
        <v>6</v>
      </c>
      <c r="C53" s="16" t="s">
        <v>7</v>
      </c>
      <c r="D53" s="17" t="s">
        <v>29</v>
      </c>
    </row>
    <row r="54" spans="1:5" x14ac:dyDescent="0.2">
      <c r="B54" s="15">
        <v>1</v>
      </c>
      <c r="C54" s="16" t="s">
        <v>13</v>
      </c>
      <c r="D54" s="17">
        <v>105.63</v>
      </c>
    </row>
    <row r="55" spans="1:5" x14ac:dyDescent="0.2">
      <c r="B55" s="15">
        <v>2</v>
      </c>
      <c r="C55" s="16" t="s">
        <v>14</v>
      </c>
      <c r="D55" s="17">
        <v>4.1500000000000004</v>
      </c>
    </row>
    <row r="56" spans="1:5" x14ac:dyDescent="0.2">
      <c r="B56" s="15">
        <v>3</v>
      </c>
      <c r="C56" s="16" t="s">
        <v>30</v>
      </c>
      <c r="D56" s="17">
        <f>D54+D55</f>
        <v>109.78</v>
      </c>
    </row>
    <row r="57" spans="1:5" x14ac:dyDescent="0.2">
      <c r="B57" s="15">
        <v>4</v>
      </c>
      <c r="C57" s="16" t="s">
        <v>36</v>
      </c>
      <c r="D57" s="17" t="s">
        <v>24</v>
      </c>
    </row>
    <row r="58" spans="1:5" s="29" customFormat="1" x14ac:dyDescent="0.2">
      <c r="A58" s="25"/>
      <c r="B58" s="26">
        <v>5</v>
      </c>
      <c r="C58" s="23" t="str">
        <f>C49</f>
        <v xml:space="preserve">Окраска поверхности стен с предварительной огрунтовкой в 2 слоя </v>
      </c>
      <c r="D58" s="27">
        <f>D54+D55</f>
        <v>109.78</v>
      </c>
      <c r="E58" s="28"/>
    </row>
    <row r="60" spans="1:5" x14ac:dyDescent="0.2">
      <c r="A60" s="9" t="s">
        <v>22</v>
      </c>
    </row>
    <row r="61" spans="1:5" x14ac:dyDescent="0.2">
      <c r="B61" s="10"/>
      <c r="C61" s="30" t="s">
        <v>9</v>
      </c>
      <c r="D61" s="31"/>
      <c r="E61" s="32"/>
    </row>
    <row r="62" spans="1:5" x14ac:dyDescent="0.2">
      <c r="B62" s="15" t="s">
        <v>6</v>
      </c>
      <c r="C62" s="16" t="s">
        <v>7</v>
      </c>
      <c r="D62" s="17" t="s">
        <v>29</v>
      </c>
      <c r="E62" s="33" t="s">
        <v>32</v>
      </c>
    </row>
    <row r="63" spans="1:5" x14ac:dyDescent="0.2">
      <c r="B63" s="15">
        <v>1</v>
      </c>
      <c r="C63" s="16" t="s">
        <v>13</v>
      </c>
      <c r="D63" s="17">
        <v>1063.9100000000001</v>
      </c>
      <c r="E63" s="33"/>
    </row>
    <row r="64" spans="1:5" x14ac:dyDescent="0.2">
      <c r="B64" s="15">
        <v>2</v>
      </c>
      <c r="C64" s="16" t="s">
        <v>14</v>
      </c>
      <c r="D64" s="17">
        <v>4.1500000000000004</v>
      </c>
      <c r="E64" s="33"/>
    </row>
    <row r="65" spans="2:5" x14ac:dyDescent="0.2">
      <c r="B65" s="15">
        <v>3</v>
      </c>
      <c r="C65" s="16" t="s">
        <v>30</v>
      </c>
      <c r="D65" s="17">
        <f>D63+D64</f>
        <v>1068.0600000000002</v>
      </c>
      <c r="E65" s="33"/>
    </row>
    <row r="66" spans="2:5" x14ac:dyDescent="0.2">
      <c r="B66" s="15">
        <v>4</v>
      </c>
      <c r="C66" s="16" t="s">
        <v>36</v>
      </c>
      <c r="D66" s="17" t="s">
        <v>23</v>
      </c>
      <c r="E66" s="33"/>
    </row>
    <row r="67" spans="2:5" x14ac:dyDescent="0.2">
      <c r="B67" s="34">
        <v>5</v>
      </c>
      <c r="C67" s="23" t="s">
        <v>33</v>
      </c>
      <c r="D67" s="17">
        <f>D63+D64</f>
        <v>1068.0600000000002</v>
      </c>
      <c r="E67" s="33"/>
    </row>
    <row r="68" spans="2:5" x14ac:dyDescent="0.2">
      <c r="B68" s="34">
        <v>5.0999999999999996</v>
      </c>
      <c r="C68" s="16" t="s">
        <v>34</v>
      </c>
      <c r="D68" s="33"/>
      <c r="E68" s="33">
        <f>D67*0.15</f>
        <v>160.20900000000003</v>
      </c>
    </row>
    <row r="69" spans="2:5" x14ac:dyDescent="0.2">
      <c r="B69" s="34">
        <v>5.2</v>
      </c>
      <c r="C69" s="16" t="s">
        <v>35</v>
      </c>
      <c r="D69" s="33"/>
      <c r="E69" s="33">
        <f>D67*0.3</f>
        <v>320.41800000000006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Пример</vt:lpstr>
      <vt:lpstr>Лист2</vt:lpstr>
      <vt:lpstr>Лист3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2025-09-03T15:11:28Z</dcterms:modified>
</cp:coreProperties>
</file>