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МирзаяновИИ\Documents\projects\school_1\"/>
    </mc:Choice>
  </mc:AlternateContent>
  <bookViews>
    <workbookView xWindow="23265" yWindow="5565" windowWidth="5535" windowHeight="6105"/>
  </bookViews>
  <sheets>
    <sheet name="Общий" sheetId="8" r:id="rId1"/>
    <sheet name="Пример" sheetId="1" r:id="rId2"/>
    <sheet name="Спортзал" sheetId="2" r:id="rId3"/>
    <sheet name="библиотека" sheetId="3" r:id="rId4"/>
    <sheet name="Библ откосы" sheetId="4" r:id="rId5"/>
    <sheet name="ВОР2FB" sheetId="5" r:id="rId6"/>
    <sheet name="1.030 ВОР" sheetId="7" r:id="rId7"/>
    <sheet name="1.032 ВОР" sheetId="6" r:id="rId8"/>
  </sheets>
  <calcPr calcId="152511"/>
</workbook>
</file>

<file path=xl/calcChain.xml><?xml version="1.0" encoding="utf-8"?>
<calcChain xmlns="http://schemas.openxmlformats.org/spreadsheetml/2006/main">
  <c r="E5" i="7" l="1"/>
  <c r="E7" i="7"/>
  <c r="E6" i="7"/>
  <c r="E4" i="7"/>
  <c r="E17" i="6" l="1"/>
  <c r="E18" i="6" s="1"/>
  <c r="E24" i="7"/>
  <c r="E25" i="7" s="1"/>
  <c r="E17" i="7"/>
  <c r="E20" i="7" s="1"/>
  <c r="E32" i="7"/>
  <c r="E3" i="6"/>
  <c r="E8" i="6"/>
  <c r="E7" i="6"/>
  <c r="E6" i="6"/>
  <c r="E12" i="6"/>
  <c r="E11" i="6"/>
  <c r="E10" i="6"/>
  <c r="E36" i="7" l="1"/>
  <c r="E24" i="6"/>
  <c r="E19" i="6"/>
  <c r="E20" i="6"/>
  <c r="E18" i="7"/>
  <c r="E19" i="7"/>
  <c r="E31" i="7"/>
  <c r="E26" i="7"/>
  <c r="E26" i="6" l="1"/>
  <c r="E31" i="6"/>
  <c r="E27" i="6"/>
  <c r="E25" i="6"/>
  <c r="E38" i="7"/>
  <c r="E37" i="7"/>
  <c r="E13" i="7"/>
  <c r="E12" i="7"/>
  <c r="E33" i="6" l="1"/>
  <c r="E32" i="6"/>
  <c r="E4" i="6"/>
  <c r="E11" i="5" l="1"/>
  <c r="E12" i="5"/>
  <c r="E16" i="5"/>
  <c r="E17" i="5"/>
  <c r="E18" i="5"/>
  <c r="E23" i="5"/>
  <c r="E24" i="5"/>
  <c r="E8" i="4" l="1"/>
  <c r="E13" i="4"/>
  <c r="E15" i="4" s="1"/>
  <c r="E9" i="4"/>
  <c r="E19" i="4" l="1"/>
  <c r="E14" i="4"/>
  <c r="E20" i="4" l="1"/>
  <c r="E21" i="4"/>
  <c r="D66" i="2" l="1"/>
  <c r="D67" i="2"/>
  <c r="D22" i="3" l="1"/>
  <c r="E24" i="3"/>
  <c r="D20" i="3"/>
  <c r="D19" i="3"/>
  <c r="E23" i="3" l="1"/>
  <c r="D7" i="2"/>
  <c r="E92" i="2" l="1"/>
  <c r="E91" i="2"/>
  <c r="D90" i="2"/>
  <c r="D89" i="2"/>
  <c r="D59" i="2" l="1"/>
  <c r="E70" i="2"/>
  <c r="C28" i="2"/>
  <c r="C38" i="2" s="1"/>
  <c r="C49" i="2" s="1"/>
  <c r="C59" i="2" s="1"/>
  <c r="D49" i="2"/>
  <c r="D38" i="2"/>
  <c r="D28" i="2"/>
  <c r="D18" i="2"/>
  <c r="E71" i="2" l="1"/>
</calcChain>
</file>

<file path=xl/sharedStrings.xml><?xml version="1.0" encoding="utf-8"?>
<sst xmlns="http://schemas.openxmlformats.org/spreadsheetml/2006/main" count="729" uniqueCount="252">
  <si>
    <t>Штукатурка цементным составом толщиной 16‐20 мм</t>
  </si>
  <si>
    <t>Штукатурка цементным составом толщиной 21-40 мм</t>
  </si>
  <si>
    <t>Штукатурка цементным составом толщиной 41-60 мм</t>
  </si>
  <si>
    <t>Штукатурка цементным составом толщиной боле 60 мм</t>
  </si>
  <si>
    <t>Сетка штукатурная сварная оцинкованная 10х10 мм d0,6 мм</t>
  </si>
  <si>
    <t>Анкер‐клин 6х60 мм</t>
  </si>
  <si>
    <t>№ п.п.</t>
  </si>
  <si>
    <t>Наименование</t>
  </si>
  <si>
    <t>Объем, м</t>
  </si>
  <si>
    <t>Спецификация выполненных работ</t>
  </si>
  <si>
    <t>Примечание: 100% штукатурки выполнено по сетке штукатурной сварной 10х10 мм d0,6 мм, закрепленной к ограждающим конструкциям при помощи анкер‐клина 6х60 мм (не менее 5 шт/м2).</t>
  </si>
  <si>
    <t>Профиль углозащитный оцинкованный 31х31 мм 0,5 мм</t>
  </si>
  <si>
    <t>Пом 2.037</t>
  </si>
  <si>
    <t>Шпаклевка базовая по оштукатуренной поверхности</t>
  </si>
  <si>
    <t>Шпаклевка базовая по поверхности ГВЛ</t>
  </si>
  <si>
    <t>Монтаж углавого профиля</t>
  </si>
  <si>
    <t>D</t>
  </si>
  <si>
    <t>Вид 1</t>
  </si>
  <si>
    <t>Вид 2</t>
  </si>
  <si>
    <t>Вид 3</t>
  </si>
  <si>
    <t>Вид 4</t>
  </si>
  <si>
    <t>Вид 5, 6 , 7 , 8</t>
  </si>
  <si>
    <t>Итог</t>
  </si>
  <si>
    <t>522.34 п.м.</t>
  </si>
  <si>
    <t>15.16 п.м.</t>
  </si>
  <si>
    <t>252.11 п.м.</t>
  </si>
  <si>
    <t>71.89 п.м.</t>
  </si>
  <si>
    <t>114.34 п.м.</t>
  </si>
  <si>
    <t>68.84 п.м.</t>
  </si>
  <si>
    <t>Объем, м²</t>
  </si>
  <si>
    <t xml:space="preserve">Окраска поверхности стен с предварительной огрунтовкой в 2 слоя </t>
  </si>
  <si>
    <t>Объем, кг*</t>
  </si>
  <si>
    <t>Окраска поверхности стен с предварительной огрунтовкой в 2 слоя:</t>
  </si>
  <si>
    <t>Грунтовка универсальная</t>
  </si>
  <si>
    <t>Матовая водно-дисперсионная краска RAL 9003 НГ</t>
  </si>
  <si>
    <t>Монтаж углового профиля</t>
  </si>
  <si>
    <t>Шпаклевка финишная по ГВЛ</t>
  </si>
  <si>
    <t>Шпаклевка финишная по оштукатуренной поверхности</t>
  </si>
  <si>
    <t>Зашивка коммуникации ГВЛ в 1 слой</t>
  </si>
  <si>
    <t>итог</t>
  </si>
  <si>
    <t>16.00 п.м.</t>
  </si>
  <si>
    <t>Откосы</t>
  </si>
  <si>
    <t>Шпаклевка оконных откосов базовая</t>
  </si>
  <si>
    <t>Шпаклевка оконных откосов финишная</t>
  </si>
  <si>
    <t xml:space="preserve">Окраска поверхности откосов с предварительной огрунтовкой в 2 слоя </t>
  </si>
  <si>
    <t>332 п.м</t>
  </si>
  <si>
    <t>14.80 п.м.</t>
  </si>
  <si>
    <t>698.56 п.м.</t>
  </si>
  <si>
    <t xml:space="preserve">Ведомость работ и используемых материалов </t>
  </si>
  <si>
    <t>Ед. изм.</t>
  </si>
  <si>
    <t>Коэф. расхода</t>
  </si>
  <si>
    <t>Объем</t>
  </si>
  <si>
    <t>м²</t>
  </si>
  <si>
    <t>Ведомость работ и используемых материалов (Шпаклевка базовая)</t>
  </si>
  <si>
    <t xml:space="preserve">Шпатлевка цементная </t>
  </si>
  <si>
    <t>кг</t>
  </si>
  <si>
    <t>1.2</t>
  </si>
  <si>
    <t>Грунтовка универсальный ЛАСТИМИН_ / LP-51 А</t>
  </si>
  <si>
    <t>Ведомость работ и используемых материалов (Шпаклевка финишная)</t>
  </si>
  <si>
    <t>Шпатлевка гипсовая</t>
  </si>
  <si>
    <t>Ведомость работ и используемых материалов (Окраска)</t>
  </si>
  <si>
    <t>Устройство откосов из ГКЛ / в 1 слой</t>
  </si>
  <si>
    <t>Выравнивание поверхностей откосов толщ. до 5 мм с предварительной огрунтовкой поверхности</t>
  </si>
  <si>
    <t>Краска водно-дисперсионная RAL 9003 НГ</t>
  </si>
  <si>
    <t>Окраска поверхностей откосов с предварительной огрунтовкой поверхностей / в 2 слоя</t>
  </si>
  <si>
    <t>Краска водно-дисперсионная RAL 7044</t>
  </si>
  <si>
    <t>Окраска стен с предварительной огрунтовкой поверхностей / в 2 слоя</t>
  </si>
  <si>
    <t>Ведомость работ и используемых материалов (Окраска  файерборда)</t>
  </si>
  <si>
    <t>Ведомость работ и используемых материалов (Шпаклевка финишная Файерборд)</t>
  </si>
  <si>
    <t>Ведомость работ и используемых материалов (Шпаклевка базовая Файерборд)</t>
  </si>
  <si>
    <t>м2</t>
  </si>
  <si>
    <t>Плита Кнауф Файерборд_ / 2500х1200х12.5 м</t>
  </si>
  <si>
    <t>1.3</t>
  </si>
  <si>
    <t>пог. м</t>
  </si>
  <si>
    <t>Профиль_/направляющий/50*50*0,40/3м</t>
  </si>
  <si>
    <t>шт</t>
  </si>
  <si>
    <t>Угол пластиковый_/10*15*2,5м</t>
  </si>
  <si>
    <t>1.1</t>
  </si>
  <si>
    <t>Зашивка приборов отопления / ГВЛВ / в 1 слой на каркасе (дымозащитное ограждение из Файерборда)</t>
  </si>
  <si>
    <t>Ведомость работ и используемых материалов (Файерборд)</t>
  </si>
  <si>
    <t>Подготовка поверхности СКБ / стен / ГКЛ, ПГП / 2мм.</t>
  </si>
  <si>
    <t>Ведомость работ и используемых материалов (Штукатурка)</t>
  </si>
  <si>
    <t>1</t>
  </si>
  <si>
    <t>Оклейка швов сопряжения бетонных и других поверхностей стен, перегородок (газобетон, ПГП, панели АКОТЕК и др.) стеклохолстом</t>
  </si>
  <si>
    <t>Штукатурка гипсовая</t>
  </si>
  <si>
    <t>Лента армирующая ( серпянка)_/150мм</t>
  </si>
  <si>
    <t>2</t>
  </si>
  <si>
    <t>2.2</t>
  </si>
  <si>
    <t>2.3</t>
  </si>
  <si>
    <t>3</t>
  </si>
  <si>
    <t>3.1</t>
  </si>
  <si>
    <t>3.2</t>
  </si>
  <si>
    <t>3.3</t>
  </si>
  <si>
    <t>3.4</t>
  </si>
  <si>
    <t>Уголок малярный</t>
  </si>
  <si>
    <t>Окраска поверхности стен с предварительной огрунтовкой / в 2 слоя</t>
  </si>
  <si>
    <t>Грунтовка _ /  универсальная глубокого проникновения</t>
  </si>
  <si>
    <t>Краска водно-дисперсионная интерьерная Акриловая, моющаяся Глянцевая, матовая, Г1(КМ1), RAL 9003</t>
  </si>
  <si>
    <t>Смесь цементно-песчаная М100</t>
  </si>
  <si>
    <t>Профиль маячковый_/ПМ10</t>
  </si>
  <si>
    <t>Грунтовка водно-дисперсионная глубокого проникновения "Эконом" 10 кг_/</t>
  </si>
  <si>
    <t>Грунтовка БЕТОН-КОНТАКТ</t>
  </si>
  <si>
    <t>Ведомость работ и используемых материалов (ГВЛ)</t>
  </si>
  <si>
    <t>Штукатурка цементная, сухая, ТАНИЛИТ_/РС15</t>
  </si>
  <si>
    <t>Выравнивание стен с предварительной огрунтовкой / по оштукатуренной поверхности / толщ. 2 мм</t>
  </si>
  <si>
    <t>Шпатлевка цементная</t>
  </si>
  <si>
    <t>Уголок малярный_ / L=3м /25х25 мм</t>
  </si>
  <si>
    <t>Шпатлевка финишная</t>
  </si>
  <si>
    <t>Подготовка поверхности СКБ / стен / ГКЛ, ПГП / 2мм</t>
  </si>
  <si>
    <t>Штукатурка потолка сухими смесями с установкой маяков с предварительной огрунтовкой / толщ. от 16,5 мм до 21 мм
(Штукатурка по ЖБ)</t>
  </si>
  <si>
    <t>Ведомость работ и используемых материалов</t>
  </si>
  <si>
    <t>Ведомость работ и используемых материалов (Шпаклевка базовая по ГКЛ)</t>
  </si>
  <si>
    <t>Ведомость работ и используемых материалов (Шпаклевка финишная по ГКЛ)</t>
  </si>
  <si>
    <t>Штукатурка стен сухими смесями с установкой маяков с предварительной огрунтовкой / толщ. от 16,5 мм до 21 мм
(Штукатурка по газобетонному блоку и ПГП)</t>
  </si>
  <si>
    <t>Устройство перегородок на металлическом каркасе по системе Knauf / С-115.1 / А2-16</t>
  </si>
  <si>
    <t>Прочие материалы для перегородок из ГКЛ (лента, шпатлевка, грунтовка, шуруп, дюбель и пр.) / двойной каркас / 2 слоя облицовки</t>
  </si>
  <si>
    <t>Профиль направляющий ПН 75х40х0,4мм Сталь оцинкованная</t>
  </si>
  <si>
    <t>Гипсовые строительные плиты_ / влагостойкий / 12,5*1200*2500</t>
  </si>
  <si>
    <t>Профиль_/стоечный/50*50*0,60/3м</t>
  </si>
  <si>
    <t>комплект</t>
  </si>
  <si>
    <t>1.4</t>
  </si>
  <si>
    <t>Подготовка поверхности СКБ / стен / по штукатурке / 2мм</t>
  </si>
  <si>
    <t>Номер п/п</t>
  </si>
  <si>
    <t>Код узла ИСР</t>
  </si>
  <si>
    <t>Наименование затрат</t>
  </si>
  <si>
    <t>Комментарий подрядчика</t>
  </si>
  <si>
    <t>Коэф.расхода</t>
  </si>
  <si>
    <t>Общее кол-во</t>
  </si>
  <si>
    <t>1.1.2.1.1.2.1</t>
  </si>
  <si>
    <t>6.3.1.5.2.1</t>
  </si>
  <si>
    <t>Черновые работы по поверхности стен</t>
  </si>
  <si>
    <t>1.1.2.1.1.2.1.1</t>
  </si>
  <si>
    <t>6.3.1.5.2.1.2.3</t>
  </si>
  <si>
    <t>Штукатурка стен сухими смесями с установкой маяков с предварительной огрунтовкой / толщ. от 16,5 мм до 21 мм</t>
  </si>
  <si>
    <t>по жб, №1.030 и 2.037</t>
  </si>
  <si>
    <t>1.1.2.1.1.2.1.1.1</t>
  </si>
  <si>
    <t>Сетка стеклотканевая 200г/м2, ячейка 5х5мм</t>
  </si>
  <si>
    <t>1.1.2.1.1.2.1.1.2</t>
  </si>
  <si>
    <t>Грунтовка БЕТОН-КОНТАКТ_/</t>
  </si>
  <si>
    <t>1.1.2.1.1.2.1.1.3</t>
  </si>
  <si>
    <t>20мм</t>
  </si>
  <si>
    <t>1.1.2.1.1.2.1.1.4</t>
  </si>
  <si>
    <t>1.1.2.1.1.2.1.2</t>
  </si>
  <si>
    <t>по блоку, №1.030 и 2.037</t>
  </si>
  <si>
    <t>1.1.2.1.1.2.1.2.1</t>
  </si>
  <si>
    <t>1.1.2.1.1.2.1.2.2</t>
  </si>
  <si>
    <t>1.1.2.1.1.2.1.2.3</t>
  </si>
  <si>
    <t>1.1.2.1.1.2.1.2.4</t>
  </si>
  <si>
    <t>1.1.2.1.1.2.1.3</t>
  </si>
  <si>
    <t>жб стены. пом. № 2.058</t>
  </si>
  <si>
    <t>1.1.2.1.1.2.1.3.1</t>
  </si>
  <si>
    <t>Штукатурка гипсовая_ / Унифицированная по ПИК-СТАНДАРТ, 30кг</t>
  </si>
  <si>
    <t>1.1.2.1.1.2.1.3.2</t>
  </si>
  <si>
    <t>1.1.2.1.1.2.1.3.3</t>
  </si>
  <si>
    <t>1.1.2.1.1.2.1.4</t>
  </si>
  <si>
    <t>блок пом.№2.058</t>
  </si>
  <si>
    <t>1.1.2.1.1.2.1.4.1</t>
  </si>
  <si>
    <t>1.1.2.1.1.2.1.4.2</t>
  </si>
  <si>
    <t>1.1.2.1.1.2.1.4.3</t>
  </si>
  <si>
    <t>1.1.2.1.1.2.1.5</t>
  </si>
  <si>
    <t>помещение №1.007,  жб пов-ть</t>
  </si>
  <si>
    <t>1.1.2.1.1.2.1.5.1</t>
  </si>
  <si>
    <t>1.1.2.1.1.2.1.5.2</t>
  </si>
  <si>
    <t>1.1.2.1.1.2.1.5.3</t>
  </si>
  <si>
    <t>1.1.2.1.1.2.1.5.4</t>
  </si>
  <si>
    <t>1.1.2.1.1.2.1.6</t>
  </si>
  <si>
    <t>пом. №1.007 - по блоку</t>
  </si>
  <si>
    <t>1.1.2.1.1.2.1.6.1</t>
  </si>
  <si>
    <t>1.1.2.1.1.2.1.6.2</t>
  </si>
  <si>
    <t>1.1.2.1.1.2.1.6.3</t>
  </si>
  <si>
    <t>1.1.2.1.1.2.1.6.4</t>
  </si>
  <si>
    <t>1.1.2.1.1.2.1.7</t>
  </si>
  <si>
    <t>№1.007</t>
  </si>
  <si>
    <t>1.1.2.1.1.2.1.7.1</t>
  </si>
  <si>
    <t>1.1.2.1.1.2.1.7.2</t>
  </si>
  <si>
    <t>1.1.2.1.1.2.1.7.3</t>
  </si>
  <si>
    <t>20 мм</t>
  </si>
  <si>
    <t>1.1.2.1.1.2.1.8</t>
  </si>
  <si>
    <t>6.3.1.5.2.1.4.2</t>
  </si>
  <si>
    <t>№1.030 и 2.0037</t>
  </si>
  <si>
    <t>1.1.2.1.1.2.1.8.1</t>
  </si>
  <si>
    <t>1.1.2.1.1.2.1.8.2</t>
  </si>
  <si>
    <t>1.1.2.1.1.2.1.8.3</t>
  </si>
  <si>
    <t>1.1.2.1.1.2.1.9</t>
  </si>
  <si>
    <t>1.1.2.1.1.2.1.9.1</t>
  </si>
  <si>
    <t>1.1.2.1.1.2.1.9.2</t>
  </si>
  <si>
    <t>1.1.2.1.1.2.1.9.3</t>
  </si>
  <si>
    <t xml:space="preserve">Шпатлевка финишная TERRACO HANDYCOAT ALL PURPOSE </t>
  </si>
  <si>
    <t>1.1.2.1.1.2.1.10</t>
  </si>
  <si>
    <t>1.1.2.1.1.2.1.10.1</t>
  </si>
  <si>
    <t xml:space="preserve">Шпатлевка полимерная суперфинишная ЭЛИСИЛК_/белая/ PP37W </t>
  </si>
  <si>
    <t>1.1.2.1.1.2.1.10.2</t>
  </si>
  <si>
    <t>1.1.2.1.1.2.1.10.3</t>
  </si>
  <si>
    <t>1.1.2.1.1.2.1.11</t>
  </si>
  <si>
    <t>пом.-я №2.058</t>
  </si>
  <si>
    <t>1.1.2.1.1.2.1.11.1</t>
  </si>
  <si>
    <t>Грунтовка водно-дисперсионная глубокого проникновения EXPORT base Маршалл</t>
  </si>
  <si>
    <t>1.1.2.1.1.2.1.11.2</t>
  </si>
  <si>
    <t>Лента армированная Серпянка 150мм</t>
  </si>
  <si>
    <t>1.1.2.1.1.2.1.11.3</t>
  </si>
  <si>
    <t>1.1.2.1.1.2.1.11.4</t>
  </si>
  <si>
    <t>Шпатлевка гипсовая_ / белая / Унифицированная по ПИК-СТАНДАРТ, 30кг</t>
  </si>
  <si>
    <t>1.1.2.1.1.2.1.12</t>
  </si>
  <si>
    <t>пом.№2.058</t>
  </si>
  <si>
    <t>1.1.2.1.1.2.1.12.1</t>
  </si>
  <si>
    <t>1.1.2.1.1.2.1.12.2</t>
  </si>
  <si>
    <t>1.1.2.1.1.2.1.12.3</t>
  </si>
  <si>
    <t>1.1.2.1.1.2.1.12.4</t>
  </si>
  <si>
    <t>1.1.2.1.1.2.1.13</t>
  </si>
  <si>
    <t>1.1.2.1.1.2.1.13.1</t>
  </si>
  <si>
    <t>1.1.2.1.1.2.1.13.2</t>
  </si>
  <si>
    <t>1.1.2.1.1.2.1.13.3</t>
  </si>
  <si>
    <t>1.1.2.1.1.2.1.14</t>
  </si>
  <si>
    <t>помещ. №1.007</t>
  </si>
  <si>
    <t>1.1.2.1.1.2.1.14.1</t>
  </si>
  <si>
    <t>1.1.2.1.1.2.1.14.2</t>
  </si>
  <si>
    <t>1.1.2.1.1.2.1.14.3</t>
  </si>
  <si>
    <t>1.1.2.1.1.2.1.14.4</t>
  </si>
  <si>
    <t>1.1.2.1.1.2.1.15</t>
  </si>
  <si>
    <t>1.1.2.1.1.2.1.15.1</t>
  </si>
  <si>
    <t>1.1.2.1.1.2.1.15.2</t>
  </si>
  <si>
    <t>1.1.2.1.1.2.1.15.3</t>
  </si>
  <si>
    <t>1.1.2.1.1.2.1.15.4</t>
  </si>
  <si>
    <t>1.1.2.1.1.2.1.16</t>
  </si>
  <si>
    <t>1.1.2.1.1.2.1.16.1</t>
  </si>
  <si>
    <t>1.1.2.1.1.2.1.16.2</t>
  </si>
  <si>
    <t>1.1.2.1.1.2.1.16.3</t>
  </si>
  <si>
    <t>1.1.2.1.1.2.1.16.4</t>
  </si>
  <si>
    <t>1.1.2.1.1.2.2</t>
  </si>
  <si>
    <t>6.3.1.5.2.2</t>
  </si>
  <si>
    <t>Чистовые работы по поверхности стен</t>
  </si>
  <si>
    <t>1.1.2.1.1.2.2.1</t>
  </si>
  <si>
    <t>6.3.1.5.2.2.3.1</t>
  </si>
  <si>
    <t>пом. №1.030 и 2.037 спорт.залы</t>
  </si>
  <si>
    <t>1.1.2.1.1.2.2.1.1</t>
  </si>
  <si>
    <t>1.1.2.1.1.2.2.1.2</t>
  </si>
  <si>
    <t>прим. по проекту Матовая водно-дисперсионная краска для высококачественной отделки Antega Строитель моющаяся, цвет - белый RAL 9003, КМ1</t>
  </si>
  <si>
    <t>Лист гипсоволокнистый ГВЛ 12,5мм Г1</t>
  </si>
  <si>
    <t>1.1.1.1.1.1.1.1.4</t>
  </si>
  <si>
    <t>1.1.1.1.1.1.1.1.3</t>
  </si>
  <si>
    <t>Профиль_/стоечный/75*50*0,40/3м</t>
  </si>
  <si>
    <t>1.1.1.1.1.1.1.1.2</t>
  </si>
  <si>
    <t>Прочие материалы для облицовки стен из ГКЛ (лента, шпатлевка, грунтовка, шуруп, дюбель и пр.)_ / 1 слой ГКЛ / профиль ПН/ПС 75 мм</t>
  </si>
  <si>
    <t>1.1.1.1.1.1.1.1.1</t>
  </si>
  <si>
    <t>Галерея пом. № 2.058 и пом. №1.007
применительно как Панели перфорированные звукопоглощающие
САУНДЛАЙН-Акустика НГ , цвет - белый, 600х600 мм</t>
  </si>
  <si>
    <t>Облицовка стен по системе Knauf / С-665 / в 1 слой / А-12</t>
  </si>
  <si>
    <t>6.2.2.4.2.4.2.9</t>
  </si>
  <si>
    <t>1.1.1.1.1.1.1.1</t>
  </si>
  <si>
    <t>Устройство перегородок и зашивка коммуникаций ГКЛ</t>
  </si>
  <si>
    <t>6.2.2.4.2.4</t>
  </si>
  <si>
    <t>1.1.1.1.1.1.1</t>
  </si>
  <si>
    <t>1. Встроенное и Встроенно-пристроенное СКБ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</si>
</sst>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#,##0.000"/>
  </numFmts>
  <fonts count="12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ГОСТ тип А"/>
      <family val="2"/>
      <charset val="204"/>
    </font>
    <font>
      <sz val="10"/>
      <color theme="1"/>
      <name val="ГОСТ тип А"/>
      <family val="2"/>
      <charset val="204"/>
    </font>
    <font>
      <sz val="11"/>
      <color theme="1"/>
      <name val="ГОСТ тип А"/>
      <family val="2"/>
      <charset val="204"/>
    </font>
    <font>
      <b/>
      <sz val="11"/>
      <color theme="1"/>
      <name val="ГОСТ тип А"/>
      <family val="2"/>
      <charset val="204"/>
    </font>
    <font>
      <sz val="10"/>
      <name val="ГОСТ тип А"/>
      <family val="2"/>
      <charset val="204"/>
    </font>
    <font>
      <sz val="11"/>
      <color rgb="FFC00000"/>
      <name val="Calibri"/>
      <family val="2"/>
      <charset val="204"/>
      <scheme val="minor"/>
    </font>
    <font>
      <b/>
      <sz val="10"/>
      <color rgb="FF000000"/>
      <name val="ГОСТ тип А"/>
      <family val="2"/>
      <charset val="204"/>
    </font>
    <font>
      <sz val="10"/>
      <color rgb="FF000000"/>
      <name val="ГОСТ тип А"/>
      <family val="2"/>
      <charset val="204"/>
    </font>
    <font>
      <i/>
      <sz val="10"/>
      <color rgb="FF000000"/>
      <name val="ГОСТ тип А"/>
      <family val="2"/>
      <charset val="204"/>
    </font>
    <font>
      <sz val="10"/>
      <color rgb="FF800000"/>
      <name val="ГОСТ тип А"/>
      <family val="2"/>
      <charset val="204"/>
    </font>
    <font>
      <sz val="10"/>
      <color rgb="FF00B050"/>
      <name val="ГОСТ тип А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8E4BC"/>
        <bgColor rgb="FF000000"/>
      </patternFill>
    </fill>
    <fill>
      <patternFill patternType="solid">
        <fgColor rgb="FFD9D9D8"/>
        <bgColor rgb="FF00000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horizontal="right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1" fillId="0" borderId="0" xfId="0" applyFont="1" applyAlignment="1">
      <alignment horizontal="right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0" xfId="0" applyNumberFormat="1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>
      <alignment horizontal="right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vertical="center"/>
    </xf>
    <xf numFmtId="2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top"/>
    </xf>
    <xf numFmtId="2" fontId="2" fillId="0" borderId="0" xfId="0" applyNumberFormat="1" applyFont="1" applyBorder="1" applyAlignment="1">
      <alignment vertical="center"/>
    </xf>
    <xf numFmtId="2" fontId="2" fillId="0" borderId="6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right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2"/>
    </xf>
    <xf numFmtId="0" fontId="5" fillId="0" borderId="1" xfId="0" applyFont="1" applyBorder="1" applyAlignment="1">
      <alignment horizontal="left" vertical="center" wrapText="1" indent="2"/>
    </xf>
    <xf numFmtId="0" fontId="6" fillId="2" borderId="0" xfId="0" applyFont="1" applyFill="1"/>
    <xf numFmtId="0" fontId="0" fillId="2" borderId="0" xfId="0" applyFill="1"/>
    <xf numFmtId="2" fontId="0" fillId="0" borderId="0" xfId="0" applyNumberFormat="1"/>
    <xf numFmtId="49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2" fontId="1" fillId="0" borderId="9" xfId="0" applyNumberFormat="1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2" fontId="2" fillId="0" borderId="15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vertical="center" wrapText="1"/>
    </xf>
    <xf numFmtId="2" fontId="2" fillId="0" borderId="17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2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vertical="center" wrapText="1"/>
    </xf>
    <xf numFmtId="2" fontId="2" fillId="0" borderId="20" xfId="0" applyNumberFormat="1" applyFont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2" fontId="2" fillId="0" borderId="2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2"/>
    </xf>
    <xf numFmtId="0" fontId="2" fillId="0" borderId="22" xfId="0" applyFont="1" applyBorder="1" applyAlignment="1">
      <alignment horizontal="left" vertical="center" indent="2"/>
    </xf>
    <xf numFmtId="2" fontId="2" fillId="0" borderId="22" xfId="0" applyNumberFormat="1" applyFont="1" applyBorder="1" applyAlignment="1">
      <alignment horizontal="center" vertical="center"/>
    </xf>
    <xf numFmtId="164" fontId="2" fillId="0" borderId="22" xfId="0" applyNumberFormat="1" applyFont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 wrapText="1"/>
    </xf>
    <xf numFmtId="2" fontId="2" fillId="0" borderId="12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 wrapText="1" indent="2"/>
    </xf>
    <xf numFmtId="49" fontId="1" fillId="0" borderId="24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left" vertical="center"/>
    </xf>
    <xf numFmtId="2" fontId="1" fillId="0" borderId="25" xfId="0" applyNumberFormat="1" applyFont="1" applyBorder="1" applyAlignment="1">
      <alignment horizontal="center" vertical="center"/>
    </xf>
    <xf numFmtId="2" fontId="1" fillId="0" borderId="26" xfId="0" applyNumberFormat="1" applyFont="1" applyBorder="1" applyAlignment="1">
      <alignment horizontal="center" vertical="center"/>
    </xf>
    <xf numFmtId="49" fontId="1" fillId="0" borderId="16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2" fontId="1" fillId="0" borderId="17" xfId="0" applyNumberFormat="1" applyFont="1" applyBorder="1" applyAlignment="1">
      <alignment horizontal="center" vertical="center"/>
    </xf>
    <xf numFmtId="2" fontId="1" fillId="0" borderId="18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2"/>
    </xf>
    <xf numFmtId="0" fontId="5" fillId="0" borderId="17" xfId="0" applyFont="1" applyBorder="1" applyAlignment="1">
      <alignment horizontal="left" vertical="center" wrapText="1" indent="2"/>
    </xf>
    <xf numFmtId="0" fontId="5" fillId="0" borderId="17" xfId="0" applyFont="1" applyBorder="1" applyAlignment="1">
      <alignment horizontal="left" vertical="center" indent="2"/>
    </xf>
    <xf numFmtId="0" fontId="0" fillId="3" borderId="0" xfId="0" applyFill="1"/>
    <xf numFmtId="49" fontId="1" fillId="0" borderId="11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2" fontId="1" fillId="0" borderId="12" xfId="0" applyNumberFormat="1" applyFont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49" fontId="1" fillId="0" borderId="14" xfId="0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0" fontId="0" fillId="4" borderId="0" xfId="0" applyFill="1"/>
    <xf numFmtId="2" fontId="2" fillId="0" borderId="1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8" fillId="0" borderId="28" xfId="0" applyFont="1" applyBorder="1" applyAlignment="1">
      <alignment horizontal="left" vertical="center"/>
    </xf>
    <xf numFmtId="165" fontId="8" fillId="0" borderId="28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 wrapText="1"/>
    </xf>
    <xf numFmtId="0" fontId="9" fillId="5" borderId="28" xfId="0" applyFont="1" applyFill="1" applyBorder="1" applyAlignment="1">
      <alignment horizontal="right" vertical="center" wrapText="1"/>
    </xf>
    <xf numFmtId="0" fontId="9" fillId="0" borderId="28" xfId="0" applyFont="1" applyBorder="1" applyAlignment="1">
      <alignment horizontal="right" vertical="center" wrapText="1"/>
    </xf>
    <xf numFmtId="165" fontId="8" fillId="0" borderId="28" xfId="0" applyNumberFormat="1" applyFont="1" applyBorder="1" applyAlignment="1">
      <alignment horizontal="center" vertical="center" wrapText="1"/>
    </xf>
    <xf numFmtId="0" fontId="8" fillId="0" borderId="28" xfId="0" applyFont="1" applyBorder="1" applyAlignment="1">
      <alignment horizontal="left" vertical="center" wrapText="1"/>
    </xf>
    <xf numFmtId="165" fontId="10" fillId="0" borderId="28" xfId="0" applyNumberFormat="1" applyFont="1" applyBorder="1" applyAlignment="1">
      <alignment horizontal="center" vertical="center"/>
    </xf>
    <xf numFmtId="0" fontId="8" fillId="0" borderId="27" xfId="0" applyFont="1" applyBorder="1" applyAlignment="1">
      <alignment vertical="center" wrapText="1"/>
    </xf>
    <xf numFmtId="0" fontId="7" fillId="0" borderId="29" xfId="0" applyFont="1" applyBorder="1" applyAlignment="1">
      <alignment horizontal="left" vertical="center"/>
    </xf>
    <xf numFmtId="0" fontId="7" fillId="0" borderId="30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7" fillId="6" borderId="29" xfId="0" applyFont="1" applyFill="1" applyBorder="1" applyAlignment="1">
      <alignment horizontal="left" vertical="center"/>
    </xf>
    <xf numFmtId="0" fontId="7" fillId="6" borderId="30" xfId="0" applyFont="1" applyFill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11" fillId="0" borderId="28" xfId="0" applyFont="1" applyBorder="1" applyAlignment="1">
      <alignment horizontal="center" vertical="center" wrapText="1"/>
    </xf>
    <xf numFmtId="165" fontId="11" fillId="0" borderId="28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6"/>
  <sheetViews>
    <sheetView tabSelected="1" topLeftCell="B54" zoomScale="90" zoomScaleNormal="90" workbookViewId="0">
      <selection activeCell="D15" sqref="D15"/>
    </sheetView>
  </sheetViews>
  <sheetFormatPr defaultRowHeight="12.75" x14ac:dyDescent="0.2"/>
  <cols>
    <col min="1" max="1" width="16.28515625" style="14" customWidth="1"/>
    <col min="2" max="2" width="16.140625" style="14" customWidth="1"/>
    <col min="3" max="3" width="56.5703125" style="14" customWidth="1"/>
    <col min="4" max="4" width="27.85546875" style="14" customWidth="1"/>
    <col min="5" max="5" width="9.140625" style="14"/>
    <col min="6" max="6" width="9.28515625" style="14" customWidth="1"/>
    <col min="7" max="7" width="15" style="14" customWidth="1"/>
    <col min="8" max="16384" width="9.140625" style="14"/>
  </cols>
  <sheetData>
    <row r="1" spans="1:7" ht="12.75" customHeight="1" x14ac:dyDescent="0.2">
      <c r="A1" s="126" t="s">
        <v>122</v>
      </c>
      <c r="B1" s="126" t="s">
        <v>123</v>
      </c>
      <c r="C1" s="126" t="s">
        <v>124</v>
      </c>
      <c r="D1" s="126" t="s">
        <v>125</v>
      </c>
      <c r="E1" s="126" t="s">
        <v>49</v>
      </c>
      <c r="F1" s="126" t="s">
        <v>126</v>
      </c>
      <c r="G1" s="126" t="s">
        <v>127</v>
      </c>
    </row>
    <row r="2" spans="1:7" x14ac:dyDescent="0.2">
      <c r="A2" s="130" t="s">
        <v>251</v>
      </c>
      <c r="B2" s="131"/>
      <c r="C2" s="131"/>
      <c r="D2" s="131"/>
      <c r="E2" s="131"/>
      <c r="F2" s="131"/>
      <c r="G2" s="131"/>
    </row>
    <row r="3" spans="1:7" x14ac:dyDescent="0.2">
      <c r="A3" s="117" t="s">
        <v>250</v>
      </c>
      <c r="B3" s="117" t="s">
        <v>249</v>
      </c>
      <c r="C3" s="127" t="s">
        <v>248</v>
      </c>
      <c r="D3" s="128"/>
      <c r="E3" s="128"/>
      <c r="F3" s="128"/>
      <c r="G3" s="128"/>
    </row>
    <row r="4" spans="1:7" ht="79.5" customHeight="1" x14ac:dyDescent="0.2">
      <c r="A4" s="117" t="s">
        <v>247</v>
      </c>
      <c r="B4" s="117" t="s">
        <v>246</v>
      </c>
      <c r="C4" s="124" t="s">
        <v>245</v>
      </c>
      <c r="D4" s="120" t="s">
        <v>244</v>
      </c>
      <c r="E4" s="120" t="s">
        <v>70</v>
      </c>
      <c r="F4" s="123">
        <v>1</v>
      </c>
      <c r="G4" s="123">
        <v>534.4</v>
      </c>
    </row>
    <row r="5" spans="1:7" ht="38.25" x14ac:dyDescent="0.2">
      <c r="A5" s="117" t="s">
        <v>243</v>
      </c>
      <c r="B5" s="117"/>
      <c r="C5" s="122" t="s">
        <v>242</v>
      </c>
      <c r="D5" s="120"/>
      <c r="E5" s="119" t="s">
        <v>119</v>
      </c>
      <c r="F5" s="118">
        <v>1</v>
      </c>
      <c r="G5" s="118">
        <v>534.4</v>
      </c>
    </row>
    <row r="6" spans="1:7" x14ac:dyDescent="0.2">
      <c r="A6" s="117" t="s">
        <v>241</v>
      </c>
      <c r="B6" s="117"/>
      <c r="C6" s="122" t="s">
        <v>240</v>
      </c>
      <c r="D6" s="120"/>
      <c r="E6" s="119" t="s">
        <v>73</v>
      </c>
      <c r="F6" s="118">
        <v>2.1</v>
      </c>
      <c r="G6" s="118">
        <v>1122.24</v>
      </c>
    </row>
    <row r="7" spans="1:7" x14ac:dyDescent="0.2">
      <c r="A7" s="117" t="s">
        <v>239</v>
      </c>
      <c r="B7" s="117"/>
      <c r="C7" s="122" t="s">
        <v>74</v>
      </c>
      <c r="D7" s="120"/>
      <c r="E7" s="119" t="s">
        <v>73</v>
      </c>
      <c r="F7" s="118">
        <v>0.8</v>
      </c>
      <c r="G7" s="118">
        <v>427.52</v>
      </c>
    </row>
    <row r="8" spans="1:7" x14ac:dyDescent="0.2">
      <c r="A8" s="117" t="s">
        <v>238</v>
      </c>
      <c r="B8" s="117"/>
      <c r="C8" s="121" t="s">
        <v>237</v>
      </c>
      <c r="D8" s="120"/>
      <c r="E8" s="119" t="s">
        <v>70</v>
      </c>
      <c r="F8" s="118">
        <v>1.1000000000000001</v>
      </c>
      <c r="G8" s="118">
        <v>587.84</v>
      </c>
    </row>
    <row r="9" spans="1:7" x14ac:dyDescent="0.2">
      <c r="A9" s="117" t="s">
        <v>128</v>
      </c>
      <c r="B9" s="117" t="s">
        <v>129</v>
      </c>
      <c r="C9" s="127" t="s">
        <v>130</v>
      </c>
      <c r="D9" s="128"/>
      <c r="E9" s="128"/>
      <c r="F9" s="128"/>
      <c r="G9" s="129"/>
    </row>
    <row r="10" spans="1:7" ht="25.5" x14ac:dyDescent="0.2">
      <c r="A10" s="117" t="s">
        <v>131</v>
      </c>
      <c r="B10" s="117" t="s">
        <v>132</v>
      </c>
      <c r="C10" s="124" t="s">
        <v>133</v>
      </c>
      <c r="D10" s="134" t="s">
        <v>134</v>
      </c>
      <c r="E10" s="120" t="s">
        <v>70</v>
      </c>
      <c r="F10" s="123">
        <v>1</v>
      </c>
      <c r="G10" s="123">
        <v>220.1</v>
      </c>
    </row>
    <row r="11" spans="1:7" x14ac:dyDescent="0.2">
      <c r="A11" s="117" t="s">
        <v>135</v>
      </c>
      <c r="B11" s="117"/>
      <c r="C11" s="122" t="s">
        <v>136</v>
      </c>
      <c r="D11" s="120"/>
      <c r="E11" s="119" t="s">
        <v>70</v>
      </c>
      <c r="F11" s="118">
        <v>1.1000000000000001</v>
      </c>
      <c r="G11" s="118">
        <v>242.11</v>
      </c>
    </row>
    <row r="12" spans="1:7" x14ac:dyDescent="0.2">
      <c r="A12" s="117" t="s">
        <v>137</v>
      </c>
      <c r="B12" s="117"/>
      <c r="C12" s="122" t="s">
        <v>138</v>
      </c>
      <c r="D12" s="120"/>
      <c r="E12" s="119" t="s">
        <v>55</v>
      </c>
      <c r="F12" s="118">
        <v>0.25</v>
      </c>
      <c r="G12" s="118">
        <v>55.024999999999999</v>
      </c>
    </row>
    <row r="13" spans="1:7" x14ac:dyDescent="0.2">
      <c r="A13" s="117" t="s">
        <v>139</v>
      </c>
      <c r="B13" s="117"/>
      <c r="C13" s="122" t="s">
        <v>98</v>
      </c>
      <c r="D13" s="120" t="s">
        <v>140</v>
      </c>
      <c r="E13" s="119" t="s">
        <v>55</v>
      </c>
      <c r="F13" s="118">
        <v>1.8</v>
      </c>
      <c r="G13" s="125">
        <v>7923.6</v>
      </c>
    </row>
    <row r="14" spans="1:7" x14ac:dyDescent="0.2">
      <c r="A14" s="117" t="s">
        <v>141</v>
      </c>
      <c r="B14" s="117"/>
      <c r="C14" s="122" t="s">
        <v>99</v>
      </c>
      <c r="D14" s="120"/>
      <c r="E14" s="119" t="s">
        <v>73</v>
      </c>
      <c r="F14" s="118">
        <v>1.1000000000000001</v>
      </c>
      <c r="G14" s="125">
        <v>242.11</v>
      </c>
    </row>
    <row r="15" spans="1:7" ht="25.5" x14ac:dyDescent="0.2">
      <c r="A15" s="117" t="s">
        <v>142</v>
      </c>
      <c r="B15" s="117" t="s">
        <v>132</v>
      </c>
      <c r="C15" s="124" t="s">
        <v>133</v>
      </c>
      <c r="D15" s="134" t="s">
        <v>143</v>
      </c>
      <c r="E15" s="120" t="s">
        <v>70</v>
      </c>
      <c r="F15" s="123">
        <v>1</v>
      </c>
      <c r="G15" s="123">
        <v>534</v>
      </c>
    </row>
    <row r="16" spans="1:7" x14ac:dyDescent="0.2">
      <c r="A16" s="117" t="s">
        <v>144</v>
      </c>
      <c r="B16" s="117"/>
      <c r="C16" s="122" t="s">
        <v>96</v>
      </c>
      <c r="D16" s="120"/>
      <c r="E16" s="119" t="s">
        <v>55</v>
      </c>
      <c r="F16" s="118">
        <v>0.15</v>
      </c>
      <c r="G16" s="118">
        <v>80.099999999999994</v>
      </c>
    </row>
    <row r="17" spans="1:7" x14ac:dyDescent="0.2">
      <c r="A17" s="117" t="s">
        <v>145</v>
      </c>
      <c r="B17" s="117"/>
      <c r="C17" s="122" t="s">
        <v>99</v>
      </c>
      <c r="D17" s="120"/>
      <c r="E17" s="119" t="s">
        <v>73</v>
      </c>
      <c r="F17" s="118">
        <v>1.1000000000000001</v>
      </c>
      <c r="G17" s="125">
        <v>587.4</v>
      </c>
    </row>
    <row r="18" spans="1:7" x14ac:dyDescent="0.2">
      <c r="A18" s="117" t="s">
        <v>146</v>
      </c>
      <c r="B18" s="117"/>
      <c r="C18" s="122" t="s">
        <v>98</v>
      </c>
      <c r="D18" s="120" t="s">
        <v>140</v>
      </c>
      <c r="E18" s="119" t="s">
        <v>55</v>
      </c>
      <c r="F18" s="118">
        <v>1.8</v>
      </c>
      <c r="G18" s="125">
        <v>19224</v>
      </c>
    </row>
    <row r="19" spans="1:7" x14ac:dyDescent="0.2">
      <c r="A19" s="117" t="s">
        <v>147</v>
      </c>
      <c r="B19" s="117"/>
      <c r="C19" s="122" t="s">
        <v>136</v>
      </c>
      <c r="D19" s="120"/>
      <c r="E19" s="119" t="s">
        <v>70</v>
      </c>
      <c r="F19" s="118">
        <v>1.1000000000000001</v>
      </c>
      <c r="G19" s="118">
        <v>587.4</v>
      </c>
    </row>
    <row r="20" spans="1:7" ht="25.5" x14ac:dyDescent="0.2">
      <c r="A20" s="117" t="s">
        <v>148</v>
      </c>
      <c r="B20" s="117" t="s">
        <v>132</v>
      </c>
      <c r="C20" s="124" t="s">
        <v>133</v>
      </c>
      <c r="D20" s="120" t="s">
        <v>149</v>
      </c>
      <c r="E20" s="120" t="s">
        <v>70</v>
      </c>
      <c r="F20" s="123">
        <v>1</v>
      </c>
      <c r="G20" s="123">
        <v>53.9</v>
      </c>
    </row>
    <row r="21" spans="1:7" ht="25.5" x14ac:dyDescent="0.2">
      <c r="A21" s="117" t="s">
        <v>150</v>
      </c>
      <c r="B21" s="117"/>
      <c r="C21" s="121" t="s">
        <v>151</v>
      </c>
      <c r="D21" s="120" t="s">
        <v>140</v>
      </c>
      <c r="E21" s="119" t="s">
        <v>55</v>
      </c>
      <c r="F21" s="118">
        <v>1</v>
      </c>
      <c r="G21" s="125">
        <v>1078</v>
      </c>
    </row>
    <row r="22" spans="1:7" x14ac:dyDescent="0.2">
      <c r="A22" s="117" t="s">
        <v>152</v>
      </c>
      <c r="B22" s="117"/>
      <c r="C22" s="122" t="s">
        <v>138</v>
      </c>
      <c r="D22" s="120"/>
      <c r="E22" s="119" t="s">
        <v>55</v>
      </c>
      <c r="F22" s="118">
        <v>0.25</v>
      </c>
      <c r="G22" s="118">
        <v>13.475</v>
      </c>
    </row>
    <row r="23" spans="1:7" x14ac:dyDescent="0.2">
      <c r="A23" s="117" t="s">
        <v>153</v>
      </c>
      <c r="B23" s="117"/>
      <c r="C23" s="122" t="s">
        <v>99</v>
      </c>
      <c r="D23" s="120"/>
      <c r="E23" s="119" t="s">
        <v>73</v>
      </c>
      <c r="F23" s="118">
        <v>1.1000000000000001</v>
      </c>
      <c r="G23" s="125">
        <v>59.29</v>
      </c>
    </row>
    <row r="24" spans="1:7" ht="25.5" x14ac:dyDescent="0.2">
      <c r="A24" s="117" t="s">
        <v>154</v>
      </c>
      <c r="B24" s="117" t="s">
        <v>132</v>
      </c>
      <c r="C24" s="124" t="s">
        <v>133</v>
      </c>
      <c r="D24" s="120" t="s">
        <v>155</v>
      </c>
      <c r="E24" s="120" t="s">
        <v>70</v>
      </c>
      <c r="F24" s="123">
        <v>1</v>
      </c>
      <c r="G24" s="123">
        <v>260.60000000000002</v>
      </c>
    </row>
    <row r="25" spans="1:7" x14ac:dyDescent="0.2">
      <c r="A25" s="117" t="s">
        <v>156</v>
      </c>
      <c r="B25" s="117"/>
      <c r="C25" s="122" t="s">
        <v>99</v>
      </c>
      <c r="D25" s="120"/>
      <c r="E25" s="119" t="s">
        <v>73</v>
      </c>
      <c r="F25" s="118">
        <v>1.1000000000000001</v>
      </c>
      <c r="G25" s="125">
        <v>286.66000000000003</v>
      </c>
    </row>
    <row r="26" spans="1:7" ht="25.5" x14ac:dyDescent="0.2">
      <c r="A26" s="117" t="s">
        <v>157</v>
      </c>
      <c r="B26" s="117"/>
      <c r="C26" s="122" t="s">
        <v>100</v>
      </c>
      <c r="D26" s="120"/>
      <c r="E26" s="119" t="s">
        <v>55</v>
      </c>
      <c r="F26" s="118">
        <v>0.15</v>
      </c>
      <c r="G26" s="125">
        <v>39.090000000000003</v>
      </c>
    </row>
    <row r="27" spans="1:7" ht="25.5" x14ac:dyDescent="0.2">
      <c r="A27" s="117" t="s">
        <v>158</v>
      </c>
      <c r="B27" s="117"/>
      <c r="C27" s="121" t="s">
        <v>151</v>
      </c>
      <c r="D27" s="120" t="s">
        <v>140</v>
      </c>
      <c r="E27" s="119" t="s">
        <v>55</v>
      </c>
      <c r="F27" s="118">
        <v>1</v>
      </c>
      <c r="G27" s="125">
        <v>5212</v>
      </c>
    </row>
    <row r="28" spans="1:7" ht="25.5" x14ac:dyDescent="0.2">
      <c r="A28" s="117" t="s">
        <v>159</v>
      </c>
      <c r="B28" s="117" t="s">
        <v>132</v>
      </c>
      <c r="C28" s="124" t="s">
        <v>133</v>
      </c>
      <c r="D28" s="120" t="s">
        <v>160</v>
      </c>
      <c r="E28" s="120" t="s">
        <v>70</v>
      </c>
      <c r="F28" s="123">
        <v>1</v>
      </c>
      <c r="G28" s="123">
        <v>36.700000000000003</v>
      </c>
    </row>
    <row r="29" spans="1:7" x14ac:dyDescent="0.2">
      <c r="A29" s="117" t="s">
        <v>161</v>
      </c>
      <c r="B29" s="117"/>
      <c r="C29" s="122" t="s">
        <v>136</v>
      </c>
      <c r="D29" s="120"/>
      <c r="E29" s="119" t="s">
        <v>70</v>
      </c>
      <c r="F29" s="118">
        <v>1.1000000000000001</v>
      </c>
      <c r="G29" s="118">
        <v>40.369999999999997</v>
      </c>
    </row>
    <row r="30" spans="1:7" x14ac:dyDescent="0.2">
      <c r="A30" s="117" t="s">
        <v>162</v>
      </c>
      <c r="B30" s="117"/>
      <c r="C30" s="122" t="s">
        <v>138</v>
      </c>
      <c r="D30" s="120"/>
      <c r="E30" s="119" t="s">
        <v>55</v>
      </c>
      <c r="F30" s="118">
        <v>0.25</v>
      </c>
      <c r="G30" s="118">
        <v>9.1750000000000007</v>
      </c>
    </row>
    <row r="31" spans="1:7" x14ac:dyDescent="0.2">
      <c r="A31" s="117" t="s">
        <v>163</v>
      </c>
      <c r="B31" s="117"/>
      <c r="C31" s="122" t="s">
        <v>98</v>
      </c>
      <c r="D31" s="120" t="s">
        <v>140</v>
      </c>
      <c r="E31" s="119" t="s">
        <v>55</v>
      </c>
      <c r="F31" s="118">
        <v>1.8</v>
      </c>
      <c r="G31" s="125">
        <v>1321.2</v>
      </c>
    </row>
    <row r="32" spans="1:7" x14ac:dyDescent="0.2">
      <c r="A32" s="117" t="s">
        <v>164</v>
      </c>
      <c r="B32" s="117"/>
      <c r="C32" s="122" t="s">
        <v>99</v>
      </c>
      <c r="D32" s="120"/>
      <c r="E32" s="119" t="s">
        <v>73</v>
      </c>
      <c r="F32" s="118">
        <v>1.1000000000000001</v>
      </c>
      <c r="G32" s="125">
        <v>40.369999999999997</v>
      </c>
    </row>
    <row r="33" spans="1:8" ht="25.5" x14ac:dyDescent="0.2">
      <c r="A33" s="117" t="s">
        <v>165</v>
      </c>
      <c r="B33" s="117" t="s">
        <v>132</v>
      </c>
      <c r="C33" s="124" t="s">
        <v>133</v>
      </c>
      <c r="D33" s="120" t="s">
        <v>166</v>
      </c>
      <c r="E33" s="120" t="s">
        <v>70</v>
      </c>
      <c r="F33" s="123">
        <v>1</v>
      </c>
      <c r="G33" s="123">
        <v>144.4</v>
      </c>
    </row>
    <row r="34" spans="1:8" x14ac:dyDescent="0.2">
      <c r="A34" s="117" t="s">
        <v>167</v>
      </c>
      <c r="B34" s="117"/>
      <c r="C34" s="122" t="s">
        <v>99</v>
      </c>
      <c r="D34" s="120"/>
      <c r="E34" s="119" t="s">
        <v>73</v>
      </c>
      <c r="F34" s="118">
        <v>1.1000000000000001</v>
      </c>
      <c r="G34" s="125">
        <v>158.84</v>
      </c>
    </row>
    <row r="35" spans="1:8" x14ac:dyDescent="0.2">
      <c r="A35" s="117" t="s">
        <v>168</v>
      </c>
      <c r="B35" s="117"/>
      <c r="C35" s="122" t="s">
        <v>98</v>
      </c>
      <c r="D35" s="120" t="s">
        <v>140</v>
      </c>
      <c r="E35" s="119" t="s">
        <v>55</v>
      </c>
      <c r="F35" s="118">
        <v>1.8</v>
      </c>
      <c r="G35" s="125">
        <v>5198.3999999999996</v>
      </c>
    </row>
    <row r="36" spans="1:8" ht="25.5" x14ac:dyDescent="0.2">
      <c r="A36" s="117" t="s">
        <v>169</v>
      </c>
      <c r="B36" s="117"/>
      <c r="C36" s="122" t="s">
        <v>100</v>
      </c>
      <c r="D36" s="120"/>
      <c r="E36" s="119" t="s">
        <v>55</v>
      </c>
      <c r="F36" s="118">
        <v>0.15</v>
      </c>
      <c r="G36" s="125">
        <v>21.66</v>
      </c>
    </row>
    <row r="37" spans="1:8" x14ac:dyDescent="0.2">
      <c r="A37" s="117" t="s">
        <v>170</v>
      </c>
      <c r="B37" s="117"/>
      <c r="C37" s="122" t="s">
        <v>136</v>
      </c>
      <c r="D37" s="120"/>
      <c r="E37" s="119" t="s">
        <v>70</v>
      </c>
      <c r="F37" s="118">
        <v>1.1000000000000001</v>
      </c>
      <c r="G37" s="118">
        <v>158.84</v>
      </c>
    </row>
    <row r="38" spans="1:8" ht="25.5" x14ac:dyDescent="0.2">
      <c r="A38" s="117" t="s">
        <v>171</v>
      </c>
      <c r="B38" s="117" t="s">
        <v>132</v>
      </c>
      <c r="C38" s="124" t="s">
        <v>133</v>
      </c>
      <c r="D38" s="120" t="s">
        <v>172</v>
      </c>
      <c r="E38" s="120" t="s">
        <v>70</v>
      </c>
      <c r="F38" s="123">
        <v>1</v>
      </c>
      <c r="G38" s="123">
        <v>38.799999999999997</v>
      </c>
    </row>
    <row r="39" spans="1:8" x14ac:dyDescent="0.2">
      <c r="A39" s="117" t="s">
        <v>173</v>
      </c>
      <c r="B39" s="117"/>
      <c r="C39" s="122" t="s">
        <v>136</v>
      </c>
      <c r="D39" s="120"/>
      <c r="E39" s="119" t="s">
        <v>70</v>
      </c>
      <c r="F39" s="118">
        <v>1.1000000000000001</v>
      </c>
      <c r="G39" s="118">
        <v>42.68</v>
      </c>
    </row>
    <row r="40" spans="1:8" ht="25.5" x14ac:dyDescent="0.2">
      <c r="A40" s="117" t="s">
        <v>174</v>
      </c>
      <c r="B40" s="117"/>
      <c r="C40" s="122" t="s">
        <v>100</v>
      </c>
      <c r="D40" s="120"/>
      <c r="E40" s="119" t="s">
        <v>55</v>
      </c>
      <c r="F40" s="118">
        <v>0.15</v>
      </c>
      <c r="G40" s="125">
        <v>5.82</v>
      </c>
    </row>
    <row r="41" spans="1:8" x14ac:dyDescent="0.2">
      <c r="A41" s="117" t="s">
        <v>175</v>
      </c>
      <c r="B41" s="117"/>
      <c r="C41" s="122" t="s">
        <v>98</v>
      </c>
      <c r="D41" s="120" t="s">
        <v>176</v>
      </c>
      <c r="E41" s="119" t="s">
        <v>55</v>
      </c>
      <c r="F41" s="118">
        <v>1.8</v>
      </c>
      <c r="G41" s="125">
        <v>1396.8</v>
      </c>
    </row>
    <row r="42" spans="1:8" ht="25.5" x14ac:dyDescent="0.2">
      <c r="A42" s="117" t="s">
        <v>177</v>
      </c>
      <c r="B42" s="117" t="s">
        <v>178</v>
      </c>
      <c r="C42" s="124" t="s">
        <v>104</v>
      </c>
      <c r="D42" s="134" t="s">
        <v>179</v>
      </c>
      <c r="E42" s="120" t="s">
        <v>70</v>
      </c>
      <c r="F42" s="123">
        <v>1</v>
      </c>
      <c r="G42" s="123">
        <v>754.1</v>
      </c>
      <c r="H42" s="14">
        <v>16.54</v>
      </c>
    </row>
    <row r="43" spans="1:8" x14ac:dyDescent="0.2">
      <c r="A43" s="117" t="s">
        <v>180</v>
      </c>
      <c r="B43" s="117"/>
      <c r="C43" s="122" t="s">
        <v>105</v>
      </c>
      <c r="D43" s="120"/>
      <c r="E43" s="119" t="s">
        <v>55</v>
      </c>
      <c r="F43" s="118">
        <v>2</v>
      </c>
      <c r="G43" s="118">
        <v>1508.2</v>
      </c>
    </row>
    <row r="44" spans="1:8" x14ac:dyDescent="0.2">
      <c r="A44" s="117" t="s">
        <v>181</v>
      </c>
      <c r="B44" s="117"/>
      <c r="C44" s="122" t="s">
        <v>106</v>
      </c>
      <c r="D44" s="120"/>
      <c r="E44" s="119" t="s">
        <v>75</v>
      </c>
      <c r="F44" s="118">
        <v>0.3</v>
      </c>
      <c r="G44" s="125">
        <v>226.23</v>
      </c>
    </row>
    <row r="45" spans="1:8" x14ac:dyDescent="0.2">
      <c r="A45" s="117" t="s">
        <v>182</v>
      </c>
      <c r="B45" s="117"/>
      <c r="C45" s="122" t="s">
        <v>57</v>
      </c>
      <c r="D45" s="120"/>
      <c r="E45" s="119" t="s">
        <v>55</v>
      </c>
      <c r="F45" s="118">
        <v>0.15</v>
      </c>
      <c r="G45" s="118">
        <v>113.11499999999999</v>
      </c>
    </row>
    <row r="46" spans="1:8" ht="25.5" x14ac:dyDescent="0.2">
      <c r="A46" s="117" t="s">
        <v>183</v>
      </c>
      <c r="B46" s="117" t="s">
        <v>178</v>
      </c>
      <c r="C46" s="124" t="s">
        <v>104</v>
      </c>
      <c r="D46" s="134" t="s">
        <v>179</v>
      </c>
      <c r="E46" s="120" t="s">
        <v>70</v>
      </c>
      <c r="F46" s="123">
        <v>1</v>
      </c>
      <c r="G46" s="123">
        <v>754.1</v>
      </c>
    </row>
    <row r="47" spans="1:8" x14ac:dyDescent="0.2">
      <c r="A47" s="117" t="s">
        <v>184</v>
      </c>
      <c r="B47" s="117"/>
      <c r="C47" s="122" t="s">
        <v>57</v>
      </c>
      <c r="D47" s="120"/>
      <c r="E47" s="119" t="s">
        <v>55</v>
      </c>
      <c r="F47" s="118">
        <v>0.15</v>
      </c>
      <c r="G47" s="118">
        <v>113.11499999999999</v>
      </c>
    </row>
    <row r="48" spans="1:8" x14ac:dyDescent="0.2">
      <c r="A48" s="117" t="s">
        <v>185</v>
      </c>
      <c r="B48" s="117"/>
      <c r="C48" s="122" t="s">
        <v>106</v>
      </c>
      <c r="D48" s="120"/>
      <c r="E48" s="119" t="s">
        <v>75</v>
      </c>
      <c r="F48" s="118">
        <v>0.3</v>
      </c>
      <c r="G48" s="125">
        <v>226.23</v>
      </c>
    </row>
    <row r="49" spans="1:7" x14ac:dyDescent="0.2">
      <c r="A49" s="117" t="s">
        <v>186</v>
      </c>
      <c r="B49" s="117"/>
      <c r="C49" s="122" t="s">
        <v>187</v>
      </c>
      <c r="D49" s="120"/>
      <c r="E49" s="119" t="s">
        <v>55</v>
      </c>
      <c r="F49" s="118">
        <v>1</v>
      </c>
      <c r="G49" s="118">
        <v>754.1</v>
      </c>
    </row>
    <row r="50" spans="1:7" ht="25.5" x14ac:dyDescent="0.2">
      <c r="A50" s="117" t="s">
        <v>188</v>
      </c>
      <c r="B50" s="117" t="s">
        <v>178</v>
      </c>
      <c r="C50" s="124" t="s">
        <v>104</v>
      </c>
      <c r="D50" s="134" t="s">
        <v>179</v>
      </c>
      <c r="E50" s="120" t="s">
        <v>70</v>
      </c>
      <c r="F50" s="123">
        <v>1</v>
      </c>
      <c r="G50" s="123">
        <v>754.1</v>
      </c>
    </row>
    <row r="51" spans="1:7" x14ac:dyDescent="0.2">
      <c r="A51" s="117" t="s">
        <v>189</v>
      </c>
      <c r="B51" s="117"/>
      <c r="C51" s="122" t="s">
        <v>190</v>
      </c>
      <c r="D51" s="120"/>
      <c r="E51" s="119" t="s">
        <v>55</v>
      </c>
      <c r="F51" s="118">
        <v>1.8</v>
      </c>
      <c r="G51" s="118">
        <v>1357.38</v>
      </c>
    </row>
    <row r="52" spans="1:7" x14ac:dyDescent="0.2">
      <c r="A52" s="117" t="s">
        <v>191</v>
      </c>
      <c r="B52" s="117"/>
      <c r="C52" s="122" t="s">
        <v>106</v>
      </c>
      <c r="D52" s="120"/>
      <c r="E52" s="119" t="s">
        <v>75</v>
      </c>
      <c r="F52" s="118">
        <v>0.3</v>
      </c>
      <c r="G52" s="125">
        <v>226.23</v>
      </c>
    </row>
    <row r="53" spans="1:7" x14ac:dyDescent="0.2">
      <c r="A53" s="117" t="s">
        <v>192</v>
      </c>
      <c r="B53" s="117"/>
      <c r="C53" s="122" t="s">
        <v>57</v>
      </c>
      <c r="D53" s="120"/>
      <c r="E53" s="119" t="s">
        <v>55</v>
      </c>
      <c r="F53" s="118">
        <v>0.15</v>
      </c>
      <c r="G53" s="118">
        <v>113.11499999999999</v>
      </c>
    </row>
    <row r="54" spans="1:7" ht="25.5" x14ac:dyDescent="0.2">
      <c r="A54" s="117" t="s">
        <v>193</v>
      </c>
      <c r="B54" s="117" t="s">
        <v>178</v>
      </c>
      <c r="C54" s="124" t="s">
        <v>104</v>
      </c>
      <c r="D54" s="120" t="s">
        <v>194</v>
      </c>
      <c r="E54" s="120" t="s">
        <v>70</v>
      </c>
      <c r="F54" s="123">
        <v>1</v>
      </c>
      <c r="G54" s="123">
        <v>314.5</v>
      </c>
    </row>
    <row r="55" spans="1:7" ht="25.5" x14ac:dyDescent="0.2">
      <c r="A55" s="117" t="s">
        <v>195</v>
      </c>
      <c r="B55" s="117"/>
      <c r="C55" s="122" t="s">
        <v>196</v>
      </c>
      <c r="D55" s="120"/>
      <c r="E55" s="119" t="s">
        <v>55</v>
      </c>
      <c r="F55" s="118">
        <v>0.1</v>
      </c>
      <c r="G55" s="118">
        <v>31.45</v>
      </c>
    </row>
    <row r="56" spans="1:7" x14ac:dyDescent="0.2">
      <c r="A56" s="117" t="s">
        <v>197</v>
      </c>
      <c r="B56" s="117"/>
      <c r="C56" s="122" t="s">
        <v>198</v>
      </c>
      <c r="D56" s="120"/>
      <c r="E56" s="119" t="s">
        <v>73</v>
      </c>
      <c r="F56" s="118">
        <v>1</v>
      </c>
      <c r="G56" s="125">
        <v>314.5</v>
      </c>
    </row>
    <row r="57" spans="1:7" x14ac:dyDescent="0.2">
      <c r="A57" s="117" t="s">
        <v>199</v>
      </c>
      <c r="B57" s="117"/>
      <c r="C57" s="122" t="s">
        <v>106</v>
      </c>
      <c r="D57" s="120"/>
      <c r="E57" s="119" t="s">
        <v>75</v>
      </c>
      <c r="F57" s="118">
        <v>0.3</v>
      </c>
      <c r="G57" s="125">
        <v>94.35</v>
      </c>
    </row>
    <row r="58" spans="1:7" ht="25.5" x14ac:dyDescent="0.2">
      <c r="A58" s="117" t="s">
        <v>200</v>
      </c>
      <c r="B58" s="117"/>
      <c r="C58" s="121" t="s">
        <v>201</v>
      </c>
      <c r="D58" s="120"/>
      <c r="E58" s="119" t="s">
        <v>55</v>
      </c>
      <c r="F58" s="118">
        <v>1.8</v>
      </c>
      <c r="G58" s="118">
        <v>566.1</v>
      </c>
    </row>
    <row r="59" spans="1:7" ht="25.5" x14ac:dyDescent="0.2">
      <c r="A59" s="117" t="s">
        <v>202</v>
      </c>
      <c r="B59" s="117" t="s">
        <v>178</v>
      </c>
      <c r="C59" s="124" t="s">
        <v>104</v>
      </c>
      <c r="D59" s="120" t="s">
        <v>203</v>
      </c>
      <c r="E59" s="120" t="s">
        <v>70</v>
      </c>
      <c r="F59" s="123">
        <v>1</v>
      </c>
      <c r="G59" s="123">
        <v>314.5</v>
      </c>
    </row>
    <row r="60" spans="1:7" x14ac:dyDescent="0.2">
      <c r="A60" s="117" t="s">
        <v>204</v>
      </c>
      <c r="B60" s="117"/>
      <c r="C60" s="122" t="s">
        <v>187</v>
      </c>
      <c r="D60" s="120"/>
      <c r="E60" s="119" t="s">
        <v>55</v>
      </c>
      <c r="F60" s="118">
        <v>1</v>
      </c>
      <c r="G60" s="118">
        <v>314.5</v>
      </c>
    </row>
    <row r="61" spans="1:7" x14ac:dyDescent="0.2">
      <c r="A61" s="117" t="s">
        <v>205</v>
      </c>
      <c r="B61" s="117"/>
      <c r="C61" s="122" t="s">
        <v>106</v>
      </c>
      <c r="D61" s="120"/>
      <c r="E61" s="119" t="s">
        <v>75</v>
      </c>
      <c r="F61" s="118">
        <v>0.3</v>
      </c>
      <c r="G61" s="125">
        <v>94.35</v>
      </c>
    </row>
    <row r="62" spans="1:7" x14ac:dyDescent="0.2">
      <c r="A62" s="117" t="s">
        <v>206</v>
      </c>
      <c r="B62" s="117"/>
      <c r="C62" s="122" t="s">
        <v>198</v>
      </c>
      <c r="D62" s="120"/>
      <c r="E62" s="119" t="s">
        <v>73</v>
      </c>
      <c r="F62" s="118">
        <v>1</v>
      </c>
      <c r="G62" s="125">
        <v>314.5</v>
      </c>
    </row>
    <row r="63" spans="1:7" x14ac:dyDescent="0.2">
      <c r="A63" s="117" t="s">
        <v>207</v>
      </c>
      <c r="B63" s="117"/>
      <c r="C63" s="122" t="s">
        <v>57</v>
      </c>
      <c r="D63" s="120"/>
      <c r="E63" s="119" t="s">
        <v>55</v>
      </c>
      <c r="F63" s="118">
        <v>0.15</v>
      </c>
      <c r="G63" s="118">
        <v>47.174999999999997</v>
      </c>
    </row>
    <row r="64" spans="1:7" ht="25.5" x14ac:dyDescent="0.2">
      <c r="A64" s="117" t="s">
        <v>208</v>
      </c>
      <c r="B64" s="117" t="s">
        <v>178</v>
      </c>
      <c r="C64" s="124" t="s">
        <v>104</v>
      </c>
      <c r="D64" s="120" t="s">
        <v>203</v>
      </c>
      <c r="E64" s="120" t="s">
        <v>70</v>
      </c>
      <c r="F64" s="123">
        <v>1</v>
      </c>
      <c r="G64" s="123">
        <v>314.5</v>
      </c>
    </row>
    <row r="65" spans="1:7" x14ac:dyDescent="0.2">
      <c r="A65" s="117" t="s">
        <v>209</v>
      </c>
      <c r="B65" s="117"/>
      <c r="C65" s="122" t="s">
        <v>57</v>
      </c>
      <c r="D65" s="120"/>
      <c r="E65" s="119" t="s">
        <v>55</v>
      </c>
      <c r="F65" s="118">
        <v>0.15</v>
      </c>
      <c r="G65" s="118">
        <v>47.174999999999997</v>
      </c>
    </row>
    <row r="66" spans="1:7" x14ac:dyDescent="0.2">
      <c r="A66" s="117" t="s">
        <v>210</v>
      </c>
      <c r="B66" s="117"/>
      <c r="C66" s="122" t="s">
        <v>106</v>
      </c>
      <c r="D66" s="120"/>
      <c r="E66" s="119" t="s">
        <v>75</v>
      </c>
      <c r="F66" s="118">
        <v>0.3</v>
      </c>
      <c r="G66" s="125">
        <v>94.35</v>
      </c>
    </row>
    <row r="67" spans="1:7" x14ac:dyDescent="0.2">
      <c r="A67" s="117" t="s">
        <v>211</v>
      </c>
      <c r="B67" s="117"/>
      <c r="C67" s="122" t="s">
        <v>190</v>
      </c>
      <c r="D67" s="120"/>
      <c r="E67" s="119" t="s">
        <v>55</v>
      </c>
      <c r="F67" s="118">
        <v>1.8</v>
      </c>
      <c r="G67" s="118">
        <v>566.1</v>
      </c>
    </row>
    <row r="68" spans="1:7" ht="25.5" x14ac:dyDescent="0.2">
      <c r="A68" s="117" t="s">
        <v>212</v>
      </c>
      <c r="B68" s="117" t="s">
        <v>178</v>
      </c>
      <c r="C68" s="124" t="s">
        <v>104</v>
      </c>
      <c r="D68" s="120" t="s">
        <v>213</v>
      </c>
      <c r="E68" s="120" t="s">
        <v>70</v>
      </c>
      <c r="F68" s="123">
        <v>1</v>
      </c>
      <c r="G68" s="123">
        <v>219.9</v>
      </c>
    </row>
    <row r="69" spans="1:7" x14ac:dyDescent="0.2">
      <c r="A69" s="117" t="s">
        <v>214</v>
      </c>
      <c r="B69" s="117"/>
      <c r="C69" s="122" t="s">
        <v>105</v>
      </c>
      <c r="D69" s="120"/>
      <c r="E69" s="119" t="s">
        <v>55</v>
      </c>
      <c r="F69" s="118">
        <v>2</v>
      </c>
      <c r="G69" s="118">
        <v>439.8</v>
      </c>
    </row>
    <row r="70" spans="1:7" x14ac:dyDescent="0.2">
      <c r="A70" s="117" t="s">
        <v>215</v>
      </c>
      <c r="B70" s="117"/>
      <c r="C70" s="122" t="s">
        <v>106</v>
      </c>
      <c r="D70" s="120"/>
      <c r="E70" s="119" t="s">
        <v>75</v>
      </c>
      <c r="F70" s="118">
        <v>0.3</v>
      </c>
      <c r="G70" s="125">
        <v>65.97</v>
      </c>
    </row>
    <row r="71" spans="1:7" x14ac:dyDescent="0.2">
      <c r="A71" s="117" t="s">
        <v>216</v>
      </c>
      <c r="B71" s="117"/>
      <c r="C71" s="122" t="s">
        <v>198</v>
      </c>
      <c r="D71" s="120"/>
      <c r="E71" s="119" t="s">
        <v>73</v>
      </c>
      <c r="F71" s="118">
        <v>1</v>
      </c>
      <c r="G71" s="125">
        <v>219.9</v>
      </c>
    </row>
    <row r="72" spans="1:7" x14ac:dyDescent="0.2">
      <c r="A72" s="117" t="s">
        <v>217</v>
      </c>
      <c r="B72" s="117"/>
      <c r="C72" s="122" t="s">
        <v>57</v>
      </c>
      <c r="D72" s="120"/>
      <c r="E72" s="119" t="s">
        <v>55</v>
      </c>
      <c r="F72" s="118">
        <v>0.15</v>
      </c>
      <c r="G72" s="118">
        <v>32.984999999999999</v>
      </c>
    </row>
    <row r="73" spans="1:7" ht="25.5" x14ac:dyDescent="0.2">
      <c r="A73" s="117" t="s">
        <v>218</v>
      </c>
      <c r="B73" s="117" t="s">
        <v>178</v>
      </c>
      <c r="C73" s="124" t="s">
        <v>104</v>
      </c>
      <c r="D73" s="120" t="s">
        <v>213</v>
      </c>
      <c r="E73" s="120" t="s">
        <v>70</v>
      </c>
      <c r="F73" s="123">
        <v>1</v>
      </c>
      <c r="G73" s="123">
        <v>219.9</v>
      </c>
    </row>
    <row r="74" spans="1:7" x14ac:dyDescent="0.2">
      <c r="A74" s="117" t="s">
        <v>219</v>
      </c>
      <c r="B74" s="117"/>
      <c r="C74" s="122" t="s">
        <v>57</v>
      </c>
      <c r="D74" s="120"/>
      <c r="E74" s="119" t="s">
        <v>55</v>
      </c>
      <c r="F74" s="118">
        <v>0.15</v>
      </c>
      <c r="G74" s="118">
        <v>32.984999999999999</v>
      </c>
    </row>
    <row r="75" spans="1:7" x14ac:dyDescent="0.2">
      <c r="A75" s="117" t="s">
        <v>220</v>
      </c>
      <c r="B75" s="117"/>
      <c r="C75" s="122" t="s">
        <v>198</v>
      </c>
      <c r="D75" s="120"/>
      <c r="E75" s="119" t="s">
        <v>73</v>
      </c>
      <c r="F75" s="118">
        <v>1</v>
      </c>
      <c r="G75" s="125">
        <v>219.9</v>
      </c>
    </row>
    <row r="76" spans="1:7" x14ac:dyDescent="0.2">
      <c r="A76" s="117" t="s">
        <v>221</v>
      </c>
      <c r="B76" s="117"/>
      <c r="C76" s="122" t="s">
        <v>106</v>
      </c>
      <c r="D76" s="120"/>
      <c r="E76" s="119" t="s">
        <v>75</v>
      </c>
      <c r="F76" s="118">
        <v>0.3</v>
      </c>
      <c r="G76" s="125">
        <v>65.97</v>
      </c>
    </row>
    <row r="77" spans="1:7" x14ac:dyDescent="0.2">
      <c r="A77" s="117" t="s">
        <v>222</v>
      </c>
      <c r="B77" s="117"/>
      <c r="C77" s="122" t="s">
        <v>187</v>
      </c>
      <c r="D77" s="120"/>
      <c r="E77" s="119" t="s">
        <v>55</v>
      </c>
      <c r="F77" s="118">
        <v>1</v>
      </c>
      <c r="G77" s="118">
        <v>219.9</v>
      </c>
    </row>
    <row r="78" spans="1:7" ht="25.5" x14ac:dyDescent="0.2">
      <c r="A78" s="117" t="s">
        <v>223</v>
      </c>
      <c r="B78" s="117" t="s">
        <v>178</v>
      </c>
      <c r="C78" s="124" t="s">
        <v>104</v>
      </c>
      <c r="D78" s="120" t="s">
        <v>213</v>
      </c>
      <c r="E78" s="120" t="s">
        <v>70</v>
      </c>
      <c r="F78" s="123">
        <v>1</v>
      </c>
      <c r="G78" s="123">
        <v>219.9</v>
      </c>
    </row>
    <row r="79" spans="1:7" x14ac:dyDescent="0.2">
      <c r="A79" s="117" t="s">
        <v>224</v>
      </c>
      <c r="B79" s="117"/>
      <c r="C79" s="122" t="s">
        <v>190</v>
      </c>
      <c r="D79" s="120"/>
      <c r="E79" s="119" t="s">
        <v>55</v>
      </c>
      <c r="F79" s="118">
        <v>1.8</v>
      </c>
      <c r="G79" s="118">
        <v>395.82</v>
      </c>
    </row>
    <row r="80" spans="1:7" x14ac:dyDescent="0.2">
      <c r="A80" s="117" t="s">
        <v>225</v>
      </c>
      <c r="B80" s="117"/>
      <c r="C80" s="122" t="s">
        <v>106</v>
      </c>
      <c r="D80" s="120"/>
      <c r="E80" s="119" t="s">
        <v>75</v>
      </c>
      <c r="F80" s="118">
        <v>0.3</v>
      </c>
      <c r="G80" s="125">
        <v>65.97</v>
      </c>
    </row>
    <row r="81" spans="1:9" x14ac:dyDescent="0.2">
      <c r="A81" s="117" t="s">
        <v>226</v>
      </c>
      <c r="B81" s="117"/>
      <c r="C81" s="122" t="s">
        <v>198</v>
      </c>
      <c r="D81" s="120"/>
      <c r="E81" s="119" t="s">
        <v>73</v>
      </c>
      <c r="F81" s="118">
        <v>1</v>
      </c>
      <c r="G81" s="125">
        <v>219.9</v>
      </c>
    </row>
    <row r="82" spans="1:9" x14ac:dyDescent="0.2">
      <c r="A82" s="117" t="s">
        <v>227</v>
      </c>
      <c r="B82" s="117"/>
      <c r="C82" s="122" t="s">
        <v>57</v>
      </c>
      <c r="D82" s="120"/>
      <c r="E82" s="119" t="s">
        <v>55</v>
      </c>
      <c r="F82" s="118">
        <v>0.15</v>
      </c>
      <c r="G82" s="118">
        <v>32.984999999999999</v>
      </c>
    </row>
    <row r="83" spans="1:9" x14ac:dyDescent="0.2">
      <c r="A83" s="117" t="s">
        <v>228</v>
      </c>
      <c r="B83" s="117" t="s">
        <v>229</v>
      </c>
      <c r="C83" s="127" t="s">
        <v>230</v>
      </c>
      <c r="D83" s="128"/>
      <c r="E83" s="128"/>
      <c r="F83" s="128"/>
      <c r="G83" s="129"/>
    </row>
    <row r="84" spans="1:9" ht="25.5" x14ac:dyDescent="0.2">
      <c r="A84" s="117" t="s">
        <v>231</v>
      </c>
      <c r="B84" s="117" t="s">
        <v>232</v>
      </c>
      <c r="C84" s="124" t="s">
        <v>95</v>
      </c>
      <c r="D84" s="134" t="s">
        <v>233</v>
      </c>
      <c r="E84" s="120" t="s">
        <v>70</v>
      </c>
      <c r="F84" s="123">
        <v>1</v>
      </c>
      <c r="G84" s="135">
        <v>754.1</v>
      </c>
      <c r="H84" s="14">
        <v>1066.22</v>
      </c>
      <c r="I84" s="14">
        <v>134.58000000000001</v>
      </c>
    </row>
    <row r="85" spans="1:9" x14ac:dyDescent="0.2">
      <c r="A85" s="117" t="s">
        <v>234</v>
      </c>
      <c r="B85" s="117"/>
      <c r="C85" s="122" t="s">
        <v>96</v>
      </c>
      <c r="D85" s="120"/>
      <c r="E85" s="119" t="s">
        <v>55</v>
      </c>
      <c r="F85" s="118">
        <v>0.15</v>
      </c>
      <c r="G85" s="118">
        <v>113.11499999999999</v>
      </c>
    </row>
    <row r="86" spans="1:9" ht="63.75" x14ac:dyDescent="0.2">
      <c r="A86" s="117" t="s">
        <v>235</v>
      </c>
      <c r="B86" s="117"/>
      <c r="C86" s="122" t="s">
        <v>97</v>
      </c>
      <c r="D86" s="120" t="s">
        <v>236</v>
      </c>
      <c r="E86" s="119" t="s">
        <v>55</v>
      </c>
      <c r="F86" s="118">
        <v>0.3</v>
      </c>
      <c r="G86" s="118">
        <v>226.23</v>
      </c>
    </row>
  </sheetData>
  <mergeCells count="4">
    <mergeCell ref="C9:G9"/>
    <mergeCell ref="C83:G83"/>
    <mergeCell ref="C3:G3"/>
    <mergeCell ref="A2:G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8"/>
  <sheetViews>
    <sheetView workbookViewId="0">
      <selection activeCell="B14" sqref="B14:D18"/>
    </sheetView>
  </sheetViews>
  <sheetFormatPr defaultRowHeight="15" x14ac:dyDescent="0.25"/>
  <cols>
    <col min="1" max="1" width="12.28515625" customWidth="1"/>
    <col min="2" max="2" width="9.140625" style="1"/>
    <col min="3" max="3" width="56.5703125" customWidth="1"/>
    <col min="4" max="4" width="12.7109375" style="1" customWidth="1"/>
  </cols>
  <sheetData>
    <row r="2" spans="1:4" x14ac:dyDescent="0.25">
      <c r="B2" s="5"/>
      <c r="C2" s="7" t="s">
        <v>9</v>
      </c>
      <c r="D2" s="6"/>
    </row>
    <row r="3" spans="1:4" x14ac:dyDescent="0.25">
      <c r="B3" s="2" t="s">
        <v>6</v>
      </c>
      <c r="C3" s="3" t="s">
        <v>7</v>
      </c>
      <c r="D3" s="2" t="s">
        <v>8</v>
      </c>
    </row>
    <row r="4" spans="1:4" x14ac:dyDescent="0.25">
      <c r="B4" s="2">
        <v>1</v>
      </c>
      <c r="C4" s="3" t="s">
        <v>0</v>
      </c>
      <c r="D4" s="2"/>
    </row>
    <row r="5" spans="1:4" x14ac:dyDescent="0.25">
      <c r="B5" s="2">
        <v>2</v>
      </c>
      <c r="C5" s="3" t="s">
        <v>1</v>
      </c>
      <c r="D5" s="2"/>
    </row>
    <row r="6" spans="1:4" x14ac:dyDescent="0.25">
      <c r="B6" s="2">
        <v>3</v>
      </c>
      <c r="C6" s="3" t="s">
        <v>2</v>
      </c>
      <c r="D6" s="2"/>
    </row>
    <row r="7" spans="1:4" x14ac:dyDescent="0.25">
      <c r="B7" s="2">
        <v>4</v>
      </c>
      <c r="C7" s="3" t="s">
        <v>3</v>
      </c>
      <c r="D7" s="2"/>
    </row>
    <row r="8" spans="1:4" x14ac:dyDescent="0.25">
      <c r="B8" s="2">
        <v>5</v>
      </c>
      <c r="C8" s="3" t="s">
        <v>4</v>
      </c>
      <c r="D8" s="2"/>
    </row>
    <row r="9" spans="1:4" x14ac:dyDescent="0.25">
      <c r="B9" s="2">
        <v>6</v>
      </c>
      <c r="C9" s="3" t="s">
        <v>5</v>
      </c>
      <c r="D9" s="2"/>
    </row>
    <row r="10" spans="1:4" ht="15" customHeight="1" x14ac:dyDescent="0.25">
      <c r="B10" s="2">
        <v>7</v>
      </c>
      <c r="C10" s="8" t="s">
        <v>11</v>
      </c>
      <c r="D10" s="2"/>
    </row>
    <row r="12" spans="1:4" ht="60" x14ac:dyDescent="0.25">
      <c r="C12" s="4" t="s">
        <v>10</v>
      </c>
    </row>
    <row r="13" spans="1:4" x14ac:dyDescent="0.25">
      <c r="A13" t="s">
        <v>16</v>
      </c>
    </row>
    <row r="14" spans="1:4" x14ac:dyDescent="0.25">
      <c r="B14" s="5"/>
      <c r="C14" s="7" t="s">
        <v>9</v>
      </c>
      <c r="D14" s="6"/>
    </row>
    <row r="15" spans="1:4" x14ac:dyDescent="0.25">
      <c r="B15" s="2" t="s">
        <v>6</v>
      </c>
      <c r="C15" s="3" t="s">
        <v>7</v>
      </c>
      <c r="D15" s="2" t="s">
        <v>8</v>
      </c>
    </row>
    <row r="16" spans="1:4" x14ac:dyDescent="0.25">
      <c r="B16" s="2">
        <v>1</v>
      </c>
      <c r="C16" s="3" t="s">
        <v>13</v>
      </c>
      <c r="D16" s="2"/>
    </row>
    <row r="17" spans="2:4" x14ac:dyDescent="0.25">
      <c r="B17" s="2">
        <v>2</v>
      </c>
      <c r="C17" s="3" t="s">
        <v>14</v>
      </c>
      <c r="D17" s="2"/>
    </row>
    <row r="18" spans="2:4" x14ac:dyDescent="0.25">
      <c r="B18" s="2">
        <v>3</v>
      </c>
      <c r="C18" s="3" t="s">
        <v>15</v>
      </c>
      <c r="D18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92"/>
  <sheetViews>
    <sheetView topLeftCell="A18" zoomScale="115" zoomScaleNormal="115" workbookViewId="0">
      <selection activeCell="E67" sqref="E67"/>
    </sheetView>
  </sheetViews>
  <sheetFormatPr defaultRowHeight="12.75" x14ac:dyDescent="0.2"/>
  <cols>
    <col min="1" max="1" width="13.7109375" style="9" customWidth="1"/>
    <col min="2" max="2" width="9.140625" style="22"/>
    <col min="3" max="3" width="59.5703125" style="22" customWidth="1"/>
    <col min="4" max="4" width="12.7109375" style="13" customWidth="1"/>
    <col min="5" max="5" width="10.7109375" style="13" customWidth="1"/>
    <col min="6" max="6" width="9.140625" style="56"/>
    <col min="7" max="16384" width="9.140625" style="14"/>
  </cols>
  <sheetData>
    <row r="4" spans="1:5" x14ac:dyDescent="0.2">
      <c r="A4" s="9" t="s">
        <v>12</v>
      </c>
      <c r="B4" s="10"/>
      <c r="C4" s="11" t="s">
        <v>9</v>
      </c>
      <c r="D4" s="12"/>
    </row>
    <row r="5" spans="1:5" x14ac:dyDescent="0.2">
      <c r="B5" s="15" t="s">
        <v>6</v>
      </c>
      <c r="C5" s="16" t="s">
        <v>7</v>
      </c>
      <c r="D5" s="17" t="s">
        <v>29</v>
      </c>
    </row>
    <row r="6" spans="1:5" x14ac:dyDescent="0.2">
      <c r="B6" s="15">
        <v>1</v>
      </c>
      <c r="C6" s="16" t="s">
        <v>1</v>
      </c>
      <c r="D6" s="17">
        <v>2943.23</v>
      </c>
    </row>
    <row r="7" spans="1:5" x14ac:dyDescent="0.2">
      <c r="B7" s="15">
        <v>2</v>
      </c>
      <c r="C7" s="16" t="s">
        <v>4</v>
      </c>
      <c r="D7" s="17">
        <f>D6</f>
        <v>2943.23</v>
      </c>
    </row>
    <row r="8" spans="1:5" x14ac:dyDescent="0.2">
      <c r="B8" s="15">
        <v>3</v>
      </c>
      <c r="C8" s="18" t="s">
        <v>11</v>
      </c>
      <c r="D8" s="17" t="s">
        <v>45</v>
      </c>
    </row>
    <row r="9" spans="1:5" x14ac:dyDescent="0.2">
      <c r="B9" s="19"/>
      <c r="C9" s="20"/>
      <c r="D9" s="21"/>
    </row>
    <row r="10" spans="1:5" x14ac:dyDescent="0.2">
      <c r="A10" s="9" t="s">
        <v>17</v>
      </c>
    </row>
    <row r="11" spans="1:5" x14ac:dyDescent="0.2">
      <c r="B11" s="10"/>
      <c r="C11" s="11" t="s">
        <v>9</v>
      </c>
      <c r="D11" s="12"/>
    </row>
    <row r="12" spans="1:5" x14ac:dyDescent="0.2">
      <c r="B12" s="15" t="s">
        <v>6</v>
      </c>
      <c r="C12" s="16" t="s">
        <v>7</v>
      </c>
      <c r="D12" s="17" t="s">
        <v>29</v>
      </c>
    </row>
    <row r="13" spans="1:5" x14ac:dyDescent="0.2">
      <c r="B13" s="15">
        <v>1</v>
      </c>
      <c r="C13" s="16" t="s">
        <v>13</v>
      </c>
      <c r="D13" s="17">
        <v>178.11</v>
      </c>
    </row>
    <row r="14" spans="1:5" x14ac:dyDescent="0.2">
      <c r="B14" s="15">
        <v>2</v>
      </c>
      <c r="C14" s="16" t="s">
        <v>14</v>
      </c>
      <c r="D14" s="17">
        <v>0</v>
      </c>
    </row>
    <row r="15" spans="1:5" x14ac:dyDescent="0.2">
      <c r="B15" s="15">
        <v>3</v>
      </c>
      <c r="C15" s="16" t="s">
        <v>37</v>
      </c>
      <c r="D15" s="17">
        <v>178.11</v>
      </c>
      <c r="E15" s="34"/>
    </row>
    <row r="16" spans="1:5" x14ac:dyDescent="0.2">
      <c r="B16" s="15">
        <v>4</v>
      </c>
      <c r="C16" s="16" t="s">
        <v>36</v>
      </c>
      <c r="D16" s="17">
        <v>0</v>
      </c>
      <c r="E16" s="34"/>
    </row>
    <row r="17" spans="1:5" x14ac:dyDescent="0.2">
      <c r="B17" s="15">
        <v>5</v>
      </c>
      <c r="C17" s="16" t="s">
        <v>35</v>
      </c>
      <c r="D17" s="17" t="s">
        <v>28</v>
      </c>
    </row>
    <row r="18" spans="1:5" x14ac:dyDescent="0.2">
      <c r="B18" s="15">
        <v>6</v>
      </c>
      <c r="C18" s="23" t="s">
        <v>30</v>
      </c>
      <c r="D18" s="17">
        <f>D13</f>
        <v>178.11</v>
      </c>
    </row>
    <row r="20" spans="1:5" x14ac:dyDescent="0.2">
      <c r="A20" s="9" t="s">
        <v>18</v>
      </c>
    </row>
    <row r="21" spans="1:5" x14ac:dyDescent="0.2">
      <c r="B21" s="10"/>
      <c r="C21" s="11" t="s">
        <v>9</v>
      </c>
      <c r="D21" s="12"/>
    </row>
    <row r="22" spans="1:5" x14ac:dyDescent="0.2">
      <c r="B22" s="15" t="s">
        <v>6</v>
      </c>
      <c r="C22" s="16" t="s">
        <v>7</v>
      </c>
      <c r="D22" s="17" t="s">
        <v>29</v>
      </c>
    </row>
    <row r="23" spans="1:5" x14ac:dyDescent="0.2">
      <c r="B23" s="15">
        <v>1</v>
      </c>
      <c r="C23" s="16" t="s">
        <v>13</v>
      </c>
      <c r="D23" s="17">
        <v>340.88</v>
      </c>
    </row>
    <row r="24" spans="1:5" x14ac:dyDescent="0.2">
      <c r="B24" s="15">
        <v>2</v>
      </c>
      <c r="C24" s="16" t="s">
        <v>14</v>
      </c>
      <c r="D24" s="17">
        <v>0</v>
      </c>
    </row>
    <row r="25" spans="1:5" x14ac:dyDescent="0.2">
      <c r="B25" s="15">
        <v>3</v>
      </c>
      <c r="C25" s="16" t="s">
        <v>37</v>
      </c>
      <c r="D25" s="17">
        <v>340.88</v>
      </c>
      <c r="E25" s="34"/>
    </row>
    <row r="26" spans="1:5" x14ac:dyDescent="0.2">
      <c r="B26" s="15">
        <v>4</v>
      </c>
      <c r="C26" s="16" t="s">
        <v>36</v>
      </c>
      <c r="D26" s="17">
        <v>0</v>
      </c>
      <c r="E26" s="34"/>
    </row>
    <row r="27" spans="1:5" x14ac:dyDescent="0.2">
      <c r="B27" s="15">
        <v>5</v>
      </c>
      <c r="C27" s="16" t="s">
        <v>35</v>
      </c>
      <c r="D27" s="17" t="s">
        <v>27</v>
      </c>
    </row>
    <row r="28" spans="1:5" x14ac:dyDescent="0.2">
      <c r="B28" s="15">
        <v>6</v>
      </c>
      <c r="C28" s="23" t="str">
        <f>C18</f>
        <v xml:space="preserve">Окраска поверхности стен с предварительной огрунтовкой в 2 слоя </v>
      </c>
      <c r="D28" s="17">
        <f>D23</f>
        <v>340.88</v>
      </c>
    </row>
    <row r="30" spans="1:5" x14ac:dyDescent="0.2">
      <c r="A30" s="9" t="s">
        <v>19</v>
      </c>
    </row>
    <row r="31" spans="1:5" x14ac:dyDescent="0.2">
      <c r="B31" s="10"/>
      <c r="C31" s="11" t="s">
        <v>9</v>
      </c>
      <c r="D31" s="12"/>
    </row>
    <row r="32" spans="1:5" x14ac:dyDescent="0.2">
      <c r="B32" s="15" t="s">
        <v>6</v>
      </c>
      <c r="C32" s="16" t="s">
        <v>7</v>
      </c>
      <c r="D32" s="17" t="s">
        <v>29</v>
      </c>
    </row>
    <row r="33" spans="1:5" x14ac:dyDescent="0.2">
      <c r="B33" s="15">
        <v>1</v>
      </c>
      <c r="C33" s="16" t="s">
        <v>13</v>
      </c>
      <c r="D33" s="17">
        <v>192.99</v>
      </c>
    </row>
    <row r="34" spans="1:5" x14ac:dyDescent="0.2">
      <c r="B34" s="15">
        <v>2</v>
      </c>
      <c r="C34" s="16" t="s">
        <v>14</v>
      </c>
      <c r="D34" s="17">
        <v>0</v>
      </c>
    </row>
    <row r="35" spans="1:5" x14ac:dyDescent="0.2">
      <c r="B35" s="15">
        <v>3</v>
      </c>
      <c r="C35" s="16" t="s">
        <v>37</v>
      </c>
      <c r="D35" s="17">
        <v>192.99</v>
      </c>
      <c r="E35" s="34"/>
    </row>
    <row r="36" spans="1:5" x14ac:dyDescent="0.2">
      <c r="B36" s="15">
        <v>4</v>
      </c>
      <c r="C36" s="16" t="s">
        <v>36</v>
      </c>
      <c r="D36" s="17">
        <v>0</v>
      </c>
      <c r="E36" s="34"/>
    </row>
    <row r="37" spans="1:5" x14ac:dyDescent="0.2">
      <c r="B37" s="15">
        <v>5</v>
      </c>
      <c r="C37" s="16" t="s">
        <v>35</v>
      </c>
      <c r="D37" s="17" t="s">
        <v>26</v>
      </c>
    </row>
    <row r="38" spans="1:5" x14ac:dyDescent="0.2">
      <c r="B38" s="15">
        <v>6</v>
      </c>
      <c r="C38" s="23" t="str">
        <f>C28</f>
        <v xml:space="preserve">Окраска поверхности стен с предварительной огрунтовкой в 2 слоя </v>
      </c>
      <c r="D38" s="17">
        <f>D33</f>
        <v>192.99</v>
      </c>
    </row>
    <row r="39" spans="1:5" x14ac:dyDescent="0.2">
      <c r="B39" s="19"/>
      <c r="C39" s="24"/>
      <c r="D39" s="21"/>
    </row>
    <row r="41" spans="1:5" x14ac:dyDescent="0.2">
      <c r="A41" s="9" t="s">
        <v>20</v>
      </c>
    </row>
    <row r="42" spans="1:5" x14ac:dyDescent="0.2">
      <c r="B42" s="10"/>
      <c r="C42" s="11" t="s">
        <v>9</v>
      </c>
      <c r="D42" s="12"/>
    </row>
    <row r="43" spans="1:5" x14ac:dyDescent="0.2">
      <c r="B43" s="15" t="s">
        <v>6</v>
      </c>
      <c r="C43" s="16" t="s">
        <v>7</v>
      </c>
      <c r="D43" s="17" t="s">
        <v>8</v>
      </c>
    </row>
    <row r="44" spans="1:5" x14ac:dyDescent="0.2">
      <c r="B44" s="15">
        <v>1</v>
      </c>
      <c r="C44" s="16" t="s">
        <v>13</v>
      </c>
      <c r="D44" s="17">
        <v>246.3</v>
      </c>
    </row>
    <row r="45" spans="1:5" x14ac:dyDescent="0.2">
      <c r="B45" s="15">
        <v>2</v>
      </c>
      <c r="C45" s="16" t="s">
        <v>14</v>
      </c>
      <c r="D45" s="17">
        <v>0</v>
      </c>
    </row>
    <row r="46" spans="1:5" x14ac:dyDescent="0.2">
      <c r="B46" s="15">
        <v>3</v>
      </c>
      <c r="C46" s="16" t="s">
        <v>37</v>
      </c>
      <c r="D46" s="17">
        <v>246.3</v>
      </c>
      <c r="E46" s="34"/>
    </row>
    <row r="47" spans="1:5" x14ac:dyDescent="0.2">
      <c r="B47" s="15">
        <v>4</v>
      </c>
      <c r="C47" s="16" t="s">
        <v>36</v>
      </c>
      <c r="D47" s="17">
        <v>0</v>
      </c>
      <c r="E47" s="34"/>
    </row>
    <row r="48" spans="1:5" x14ac:dyDescent="0.2">
      <c r="B48" s="15">
        <v>5</v>
      </c>
      <c r="C48" s="16" t="s">
        <v>35</v>
      </c>
      <c r="D48" s="17" t="s">
        <v>25</v>
      </c>
    </row>
    <row r="49" spans="1:6" x14ac:dyDescent="0.2">
      <c r="B49" s="15">
        <v>6</v>
      </c>
      <c r="C49" s="23" t="str">
        <f>C38</f>
        <v xml:space="preserve">Окраска поверхности стен с предварительной огрунтовкой в 2 слоя </v>
      </c>
      <c r="D49" s="17">
        <f>D44</f>
        <v>246.3</v>
      </c>
    </row>
    <row r="51" spans="1:6" x14ac:dyDescent="0.2">
      <c r="A51" s="9" t="s">
        <v>21</v>
      </c>
    </row>
    <row r="52" spans="1:6" x14ac:dyDescent="0.2">
      <c r="B52" s="10"/>
      <c r="C52" s="11" t="s">
        <v>9</v>
      </c>
      <c r="D52" s="12"/>
    </row>
    <row r="53" spans="1:6" x14ac:dyDescent="0.2">
      <c r="B53" s="15" t="s">
        <v>6</v>
      </c>
      <c r="C53" s="16" t="s">
        <v>7</v>
      </c>
      <c r="D53" s="17" t="s">
        <v>29</v>
      </c>
    </row>
    <row r="54" spans="1:6" x14ac:dyDescent="0.2">
      <c r="B54" s="15">
        <v>1</v>
      </c>
      <c r="C54" s="16" t="s">
        <v>13</v>
      </c>
      <c r="D54" s="17">
        <v>105.63</v>
      </c>
    </row>
    <row r="55" spans="1:6" x14ac:dyDescent="0.2">
      <c r="B55" s="15">
        <v>2</v>
      </c>
      <c r="C55" s="16" t="s">
        <v>14</v>
      </c>
      <c r="D55" s="17">
        <v>4.1500000000000004</v>
      </c>
    </row>
    <row r="56" spans="1:6" x14ac:dyDescent="0.2">
      <c r="B56" s="15">
        <v>3</v>
      </c>
      <c r="C56" s="16" t="s">
        <v>37</v>
      </c>
      <c r="D56" s="17">
        <v>105.63</v>
      </c>
      <c r="E56" s="34"/>
    </row>
    <row r="57" spans="1:6" x14ac:dyDescent="0.2">
      <c r="B57" s="15">
        <v>4</v>
      </c>
      <c r="C57" s="16" t="s">
        <v>36</v>
      </c>
      <c r="D57" s="17">
        <v>4.1500000000000004</v>
      </c>
      <c r="E57" s="34"/>
    </row>
    <row r="58" spans="1:6" x14ac:dyDescent="0.2">
      <c r="B58" s="15">
        <v>5</v>
      </c>
      <c r="C58" s="16" t="s">
        <v>35</v>
      </c>
      <c r="D58" s="17" t="s">
        <v>24</v>
      </c>
    </row>
    <row r="59" spans="1:6" s="28" customFormat="1" x14ac:dyDescent="0.2">
      <c r="A59" s="25"/>
      <c r="B59" s="15">
        <v>6</v>
      </c>
      <c r="C59" s="23" t="str">
        <f>C49</f>
        <v xml:space="preserve">Окраска поверхности стен с предварительной огрунтовкой в 2 слоя </v>
      </c>
      <c r="D59" s="26">
        <f>D54+D55</f>
        <v>109.78</v>
      </c>
      <c r="E59" s="27"/>
      <c r="F59" s="57"/>
    </row>
    <row r="61" spans="1:6" x14ac:dyDescent="0.2">
      <c r="A61" s="9" t="s">
        <v>22</v>
      </c>
    </row>
    <row r="62" spans="1:6" x14ac:dyDescent="0.2">
      <c r="B62" s="10"/>
      <c r="C62" s="29" t="s">
        <v>9</v>
      </c>
      <c r="D62" s="30"/>
      <c r="E62" s="31"/>
    </row>
    <row r="63" spans="1:6" x14ac:dyDescent="0.2">
      <c r="B63" s="15" t="s">
        <v>6</v>
      </c>
      <c r="C63" s="16" t="s">
        <v>7</v>
      </c>
      <c r="D63" s="17" t="s">
        <v>29</v>
      </c>
      <c r="E63" s="32" t="s">
        <v>31</v>
      </c>
    </row>
    <row r="64" spans="1:6" x14ac:dyDescent="0.2">
      <c r="B64" s="15">
        <v>1</v>
      </c>
      <c r="C64" s="16" t="s">
        <v>13</v>
      </c>
      <c r="D64" s="17">
        <v>555.89</v>
      </c>
      <c r="E64" s="32"/>
      <c r="F64" s="56">
        <v>1063.9100000000001</v>
      </c>
    </row>
    <row r="65" spans="1:6" x14ac:dyDescent="0.2">
      <c r="B65" s="15">
        <v>2</v>
      </c>
      <c r="C65" s="16" t="s">
        <v>14</v>
      </c>
      <c r="D65" s="17">
        <v>520.01</v>
      </c>
      <c r="E65" s="32"/>
      <c r="F65" s="56">
        <v>4.1500000000000004</v>
      </c>
    </row>
    <row r="66" spans="1:6" x14ac:dyDescent="0.2">
      <c r="B66" s="15">
        <v>3</v>
      </c>
      <c r="C66" s="16" t="s">
        <v>37</v>
      </c>
      <c r="D66" s="17">
        <f>D64</f>
        <v>555.89</v>
      </c>
      <c r="E66" s="32"/>
      <c r="F66" s="56">
        <v>1063.9100000000001</v>
      </c>
    </row>
    <row r="67" spans="1:6" x14ac:dyDescent="0.2">
      <c r="B67" s="15">
        <v>4</v>
      </c>
      <c r="C67" s="16" t="s">
        <v>36</v>
      </c>
      <c r="D67" s="17">
        <f>D65</f>
        <v>520.01</v>
      </c>
      <c r="E67" s="32"/>
      <c r="F67" s="56">
        <v>4.1500000000000004</v>
      </c>
    </row>
    <row r="68" spans="1:6" x14ac:dyDescent="0.2">
      <c r="B68" s="15">
        <v>5</v>
      </c>
      <c r="C68" s="16" t="s">
        <v>35</v>
      </c>
      <c r="D68" s="17" t="s">
        <v>23</v>
      </c>
      <c r="E68" s="32"/>
      <c r="F68" s="56" t="s">
        <v>23</v>
      </c>
    </row>
    <row r="69" spans="1:6" x14ac:dyDescent="0.2">
      <c r="B69" s="15">
        <v>6</v>
      </c>
      <c r="C69" s="23" t="s">
        <v>32</v>
      </c>
      <c r="D69" s="17">
        <v>1075.9000000000001</v>
      </c>
      <c r="E69" s="32"/>
      <c r="F69" s="56">
        <v>1068.0600000000002</v>
      </c>
    </row>
    <row r="70" spans="1:6" x14ac:dyDescent="0.2">
      <c r="B70" s="33">
        <v>6.1</v>
      </c>
      <c r="C70" s="16" t="s">
        <v>33</v>
      </c>
      <c r="D70" s="32"/>
      <c r="E70" s="32">
        <f>D69*0.15</f>
        <v>161.38500000000002</v>
      </c>
    </row>
    <row r="71" spans="1:6" x14ac:dyDescent="0.2">
      <c r="B71" s="33">
        <v>6.2</v>
      </c>
      <c r="C71" s="16" t="s">
        <v>34</v>
      </c>
      <c r="D71" s="32"/>
      <c r="E71" s="32">
        <f>D69*0.3</f>
        <v>322.77000000000004</v>
      </c>
    </row>
    <row r="74" spans="1:6" x14ac:dyDescent="0.2">
      <c r="B74" s="10"/>
      <c r="C74" s="11" t="s">
        <v>9</v>
      </c>
      <c r="D74" s="35"/>
      <c r="E74" s="36"/>
    </row>
    <row r="75" spans="1:6" x14ac:dyDescent="0.2">
      <c r="B75" s="15" t="s">
        <v>6</v>
      </c>
      <c r="C75" s="16" t="s">
        <v>7</v>
      </c>
      <c r="D75" s="17" t="s">
        <v>29</v>
      </c>
    </row>
    <row r="76" spans="1:6" x14ac:dyDescent="0.2">
      <c r="B76" s="15">
        <v>1</v>
      </c>
      <c r="C76" s="16" t="s">
        <v>38</v>
      </c>
      <c r="D76" s="17">
        <v>4.1500000000000004</v>
      </c>
    </row>
    <row r="80" spans="1:6" x14ac:dyDescent="0.2">
      <c r="A80" s="9" t="s">
        <v>39</v>
      </c>
      <c r="B80" s="10"/>
      <c r="C80" s="11" t="s">
        <v>9</v>
      </c>
      <c r="D80" s="12"/>
    </row>
    <row r="81" spans="1:6" x14ac:dyDescent="0.2">
      <c r="B81" s="15" t="s">
        <v>6</v>
      </c>
      <c r="C81" s="16" t="s">
        <v>7</v>
      </c>
      <c r="D81" s="17" t="s">
        <v>29</v>
      </c>
    </row>
    <row r="82" spans="1:6" x14ac:dyDescent="0.2">
      <c r="B82" s="15">
        <v>1</v>
      </c>
      <c r="C82" s="16" t="s">
        <v>0</v>
      </c>
      <c r="D82" s="17">
        <v>28.72</v>
      </c>
    </row>
    <row r="83" spans="1:6" x14ac:dyDescent="0.2">
      <c r="B83" s="15">
        <v>2</v>
      </c>
      <c r="C83" s="18" t="s">
        <v>11</v>
      </c>
      <c r="D83" s="17" t="s">
        <v>40</v>
      </c>
    </row>
    <row r="86" spans="1:6" x14ac:dyDescent="0.2">
      <c r="A86" s="9" t="s">
        <v>41</v>
      </c>
      <c r="B86" s="10"/>
      <c r="C86" s="11" t="s">
        <v>9</v>
      </c>
      <c r="D86" s="12"/>
      <c r="E86" s="32" t="s">
        <v>31</v>
      </c>
    </row>
    <row r="87" spans="1:6" x14ac:dyDescent="0.2">
      <c r="B87" s="15" t="s">
        <v>6</v>
      </c>
      <c r="C87" s="16" t="s">
        <v>7</v>
      </c>
      <c r="D87" s="17" t="s">
        <v>29</v>
      </c>
      <c r="E87" s="32"/>
    </row>
    <row r="88" spans="1:6" x14ac:dyDescent="0.2">
      <c r="B88" s="15">
        <v>1</v>
      </c>
      <c r="C88" s="16" t="s">
        <v>42</v>
      </c>
      <c r="D88" s="17">
        <v>37.68</v>
      </c>
      <c r="E88" s="32"/>
    </row>
    <row r="89" spans="1:6" x14ac:dyDescent="0.2">
      <c r="B89" s="15">
        <v>2</v>
      </c>
      <c r="C89" s="16" t="s">
        <v>43</v>
      </c>
      <c r="D89" s="17">
        <f>D88</f>
        <v>37.68</v>
      </c>
      <c r="E89" s="32"/>
    </row>
    <row r="90" spans="1:6" s="28" customFormat="1" x14ac:dyDescent="0.2">
      <c r="A90" s="25"/>
      <c r="B90" s="15">
        <v>3</v>
      </c>
      <c r="C90" s="23" t="s">
        <v>44</v>
      </c>
      <c r="D90" s="26">
        <f>D88</f>
        <v>37.68</v>
      </c>
      <c r="E90" s="32"/>
      <c r="F90" s="57"/>
    </row>
    <row r="91" spans="1:6" x14ac:dyDescent="0.2">
      <c r="B91" s="33">
        <v>3.1</v>
      </c>
      <c r="C91" s="16" t="s">
        <v>33</v>
      </c>
      <c r="D91" s="32"/>
      <c r="E91" s="32">
        <f>D88*0.15</f>
        <v>5.6520000000000001</v>
      </c>
    </row>
    <row r="92" spans="1:6" x14ac:dyDescent="0.2">
      <c r="B92" s="33">
        <v>3.2</v>
      </c>
      <c r="C92" s="16" t="s">
        <v>34</v>
      </c>
      <c r="D92" s="32"/>
      <c r="E92" s="32">
        <f>D88*0.3</f>
        <v>11.304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5:E33"/>
  <sheetViews>
    <sheetView workbookViewId="0">
      <selection activeCell="C16" sqref="C16"/>
    </sheetView>
  </sheetViews>
  <sheetFormatPr defaultRowHeight="15" x14ac:dyDescent="0.25"/>
  <cols>
    <col min="1" max="1" width="13.7109375" style="37" customWidth="1"/>
    <col min="2" max="2" width="9.140625" style="55"/>
    <col min="3" max="3" width="59.5703125" style="37" customWidth="1"/>
    <col min="4" max="4" width="12.7109375" style="55" customWidth="1"/>
    <col min="5" max="5" width="10.7109375" style="37" customWidth="1"/>
    <col min="6" max="16384" width="9.140625" style="37"/>
  </cols>
  <sheetData>
    <row r="15" spans="1:5" x14ac:dyDescent="0.25">
      <c r="A15" s="38"/>
      <c r="B15" s="39"/>
      <c r="C15" s="40" t="s">
        <v>9</v>
      </c>
      <c r="D15" s="41"/>
      <c r="E15" s="42"/>
    </row>
    <row r="16" spans="1:5" x14ac:dyDescent="0.25">
      <c r="A16" s="38"/>
      <c r="B16" s="43" t="s">
        <v>6</v>
      </c>
      <c r="C16" s="44" t="s">
        <v>7</v>
      </c>
      <c r="D16" s="45" t="s">
        <v>29</v>
      </c>
      <c r="E16" s="46" t="s">
        <v>31</v>
      </c>
    </row>
    <row r="17" spans="1:5" x14ac:dyDescent="0.25">
      <c r="A17" s="38"/>
      <c r="B17" s="43">
        <v>1</v>
      </c>
      <c r="C17" s="44" t="s">
        <v>13</v>
      </c>
      <c r="D17" s="45">
        <v>1035.18</v>
      </c>
      <c r="E17" s="46"/>
    </row>
    <row r="18" spans="1:5" x14ac:dyDescent="0.25">
      <c r="A18" s="38"/>
      <c r="B18" s="43">
        <v>2</v>
      </c>
      <c r="C18" s="44" t="s">
        <v>14</v>
      </c>
      <c r="D18" s="45">
        <v>66.28</v>
      </c>
      <c r="E18" s="46"/>
    </row>
    <row r="19" spans="1:5" x14ac:dyDescent="0.25">
      <c r="A19" s="38"/>
      <c r="B19" s="43">
        <v>3</v>
      </c>
      <c r="C19" s="44" t="s">
        <v>37</v>
      </c>
      <c r="D19" s="45">
        <f>D17</f>
        <v>1035.18</v>
      </c>
      <c r="E19" s="46"/>
    </row>
    <row r="20" spans="1:5" x14ac:dyDescent="0.25">
      <c r="A20" s="38"/>
      <c r="B20" s="43">
        <v>4</v>
      </c>
      <c r="C20" s="44" t="s">
        <v>36</v>
      </c>
      <c r="D20" s="45">
        <f>D18</f>
        <v>66.28</v>
      </c>
      <c r="E20" s="46"/>
    </row>
    <row r="21" spans="1:5" x14ac:dyDescent="0.25">
      <c r="A21" s="38"/>
      <c r="B21" s="43">
        <v>5</v>
      </c>
      <c r="C21" s="44" t="s">
        <v>35</v>
      </c>
      <c r="D21" s="45" t="s">
        <v>47</v>
      </c>
      <c r="E21" s="46"/>
    </row>
    <row r="22" spans="1:5" ht="30" x14ac:dyDescent="0.25">
      <c r="A22" s="38"/>
      <c r="B22" s="43">
        <v>6</v>
      </c>
      <c r="C22" s="47" t="s">
        <v>32</v>
      </c>
      <c r="D22" s="45">
        <f>1282+128</f>
        <v>1410</v>
      </c>
      <c r="E22" s="46"/>
    </row>
    <row r="23" spans="1:5" x14ac:dyDescent="0.25">
      <c r="A23" s="38"/>
      <c r="B23" s="48">
        <v>6.1</v>
      </c>
      <c r="C23" s="44" t="s">
        <v>33</v>
      </c>
      <c r="D23" s="45"/>
      <c r="E23" s="46">
        <f>D22*0.15</f>
        <v>211.5</v>
      </c>
    </row>
    <row r="24" spans="1:5" x14ac:dyDescent="0.25">
      <c r="A24" s="38"/>
      <c r="B24" s="48">
        <v>6.2</v>
      </c>
      <c r="C24" s="44" t="s">
        <v>34</v>
      </c>
      <c r="D24" s="45"/>
      <c r="E24" s="46">
        <f>D22*0.3</f>
        <v>423</v>
      </c>
    </row>
    <row r="26" spans="1:5" x14ac:dyDescent="0.25">
      <c r="A26" s="38" t="s">
        <v>39</v>
      </c>
      <c r="B26" s="39"/>
      <c r="C26" s="49" t="s">
        <v>9</v>
      </c>
      <c r="D26" s="50"/>
      <c r="E26" s="51"/>
    </row>
    <row r="27" spans="1:5" x14ac:dyDescent="0.25">
      <c r="A27" s="38"/>
      <c r="B27" s="43" t="s">
        <v>6</v>
      </c>
      <c r="C27" s="44" t="s">
        <v>7</v>
      </c>
      <c r="D27" s="45" t="s">
        <v>29</v>
      </c>
      <c r="E27" s="51"/>
    </row>
    <row r="28" spans="1:5" x14ac:dyDescent="0.25">
      <c r="A28" s="38"/>
      <c r="B28" s="43">
        <v>1</v>
      </c>
      <c r="C28" s="44" t="s">
        <v>0</v>
      </c>
      <c r="D28" s="45">
        <v>19.059999999999999</v>
      </c>
      <c r="E28" s="51"/>
    </row>
    <row r="29" spans="1:5" x14ac:dyDescent="0.25">
      <c r="A29" s="38"/>
      <c r="B29" s="43">
        <v>2</v>
      </c>
      <c r="C29" s="52" t="s">
        <v>11</v>
      </c>
      <c r="D29" s="45" t="s">
        <v>46</v>
      </c>
      <c r="E29" s="51"/>
    </row>
    <row r="31" spans="1:5" x14ac:dyDescent="0.25">
      <c r="B31" s="54"/>
      <c r="C31" s="53" t="s">
        <v>9</v>
      </c>
      <c r="D31" s="54"/>
    </row>
    <row r="32" spans="1:5" x14ac:dyDescent="0.25">
      <c r="B32" s="54" t="s">
        <v>6</v>
      </c>
      <c r="C32" s="53" t="s">
        <v>7</v>
      </c>
      <c r="D32" s="54" t="s">
        <v>29</v>
      </c>
    </row>
    <row r="33" spans="2:4" x14ac:dyDescent="0.25">
      <c r="B33" s="54">
        <v>1</v>
      </c>
      <c r="C33" s="53" t="s">
        <v>38</v>
      </c>
      <c r="D33" s="54">
        <v>25.85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E2" sqref="A2:E2"/>
    </sheetView>
  </sheetViews>
  <sheetFormatPr defaultRowHeight="15" x14ac:dyDescent="0.25"/>
  <cols>
    <col min="2" max="2" width="51" customWidth="1"/>
    <col min="4" max="4" width="15.5703125" customWidth="1"/>
  </cols>
  <sheetData>
    <row r="1" spans="1:5" x14ac:dyDescent="0.25">
      <c r="A1" s="58"/>
      <c r="B1" s="59" t="s">
        <v>48</v>
      </c>
      <c r="C1" s="60"/>
      <c r="D1" s="60"/>
      <c r="E1" s="60"/>
    </row>
    <row r="2" spans="1:5" x14ac:dyDescent="0.25">
      <c r="A2" s="58" t="s">
        <v>6</v>
      </c>
      <c r="B2" s="61" t="s">
        <v>7</v>
      </c>
      <c r="C2" s="60" t="s">
        <v>49</v>
      </c>
      <c r="D2" s="60" t="s">
        <v>50</v>
      </c>
      <c r="E2" s="60" t="s">
        <v>51</v>
      </c>
    </row>
    <row r="3" spans="1:5" x14ac:dyDescent="0.25">
      <c r="A3" s="62">
        <v>1</v>
      </c>
      <c r="B3" s="23" t="s">
        <v>61</v>
      </c>
      <c r="C3" s="17" t="s">
        <v>52</v>
      </c>
      <c r="D3" s="63">
        <v>1</v>
      </c>
      <c r="E3" s="17">
        <v>2.5499999999999998</v>
      </c>
    </row>
    <row r="4" spans="1:5" x14ac:dyDescent="0.25">
      <c r="A4" s="132"/>
      <c r="B4" s="132"/>
      <c r="C4" s="132"/>
      <c r="D4" s="132"/>
      <c r="E4" s="132"/>
    </row>
    <row r="5" spans="1:5" x14ac:dyDescent="0.25">
      <c r="A5" s="58"/>
      <c r="B5" s="59" t="s">
        <v>53</v>
      </c>
      <c r="C5" s="60"/>
      <c r="D5" s="60"/>
      <c r="E5" s="60"/>
    </row>
    <row r="6" spans="1:5" x14ac:dyDescent="0.25">
      <c r="A6" s="58" t="s">
        <v>6</v>
      </c>
      <c r="B6" s="61" t="s">
        <v>7</v>
      </c>
      <c r="C6" s="60" t="s">
        <v>49</v>
      </c>
      <c r="D6" s="60" t="s">
        <v>50</v>
      </c>
      <c r="E6" s="60" t="s">
        <v>51</v>
      </c>
    </row>
    <row r="7" spans="1:5" ht="25.5" x14ac:dyDescent="0.25">
      <c r="A7" s="62">
        <v>1</v>
      </c>
      <c r="B7" s="23" t="s">
        <v>62</v>
      </c>
      <c r="C7" s="17" t="s">
        <v>52</v>
      </c>
      <c r="D7" s="63">
        <v>1</v>
      </c>
      <c r="E7" s="17">
        <v>23.61</v>
      </c>
    </row>
    <row r="8" spans="1:5" x14ac:dyDescent="0.25">
      <c r="A8" s="62">
        <v>1.1000000000000001</v>
      </c>
      <c r="B8" s="64" t="s">
        <v>54</v>
      </c>
      <c r="C8" s="17" t="s">
        <v>55</v>
      </c>
      <c r="D8" s="63">
        <v>1.8</v>
      </c>
      <c r="E8" s="17">
        <f>E7*D8</f>
        <v>42.497999999999998</v>
      </c>
    </row>
    <row r="9" spans="1:5" x14ac:dyDescent="0.25">
      <c r="A9" s="62" t="s">
        <v>56</v>
      </c>
      <c r="B9" s="64" t="s">
        <v>57</v>
      </c>
      <c r="C9" s="17" t="s">
        <v>55</v>
      </c>
      <c r="D9" s="63">
        <v>0.15</v>
      </c>
      <c r="E9" s="17">
        <f>E7*D9</f>
        <v>3.5414999999999996</v>
      </c>
    </row>
    <row r="10" spans="1:5" x14ac:dyDescent="0.25">
      <c r="A10" s="133"/>
      <c r="B10" s="133"/>
      <c r="C10" s="133"/>
      <c r="D10" s="133"/>
      <c r="E10" s="133"/>
    </row>
    <row r="11" spans="1:5" x14ac:dyDescent="0.25">
      <c r="A11" s="58"/>
      <c r="B11" s="59" t="s">
        <v>58</v>
      </c>
      <c r="C11" s="60"/>
      <c r="D11" s="60"/>
      <c r="E11" s="60"/>
    </row>
    <row r="12" spans="1:5" x14ac:dyDescent="0.25">
      <c r="A12" s="58" t="s">
        <v>6</v>
      </c>
      <c r="B12" s="61" t="s">
        <v>7</v>
      </c>
      <c r="C12" s="60" t="s">
        <v>49</v>
      </c>
      <c r="D12" s="60" t="s">
        <v>50</v>
      </c>
      <c r="E12" s="60" t="s">
        <v>51</v>
      </c>
    </row>
    <row r="13" spans="1:5" ht="25.5" x14ac:dyDescent="0.25">
      <c r="A13" s="62">
        <v>1</v>
      </c>
      <c r="B13" s="23" t="s">
        <v>62</v>
      </c>
      <c r="C13" s="17" t="s">
        <v>52</v>
      </c>
      <c r="D13" s="63">
        <v>1</v>
      </c>
      <c r="E13" s="17">
        <f>E7</f>
        <v>23.61</v>
      </c>
    </row>
    <row r="14" spans="1:5" x14ac:dyDescent="0.25">
      <c r="A14" s="62">
        <v>1.1000000000000001</v>
      </c>
      <c r="B14" s="64" t="s">
        <v>57</v>
      </c>
      <c r="C14" s="17" t="s">
        <v>55</v>
      </c>
      <c r="D14" s="63">
        <v>0.15</v>
      </c>
      <c r="E14" s="17">
        <f>E13*D14</f>
        <v>3.5414999999999996</v>
      </c>
    </row>
    <row r="15" spans="1:5" x14ac:dyDescent="0.25">
      <c r="A15" s="62" t="s">
        <v>56</v>
      </c>
      <c r="B15" s="65" t="s">
        <v>59</v>
      </c>
      <c r="C15" s="17" t="s">
        <v>55</v>
      </c>
      <c r="D15" s="63">
        <v>1.8</v>
      </c>
      <c r="E15" s="17">
        <f>E13*D15</f>
        <v>42.497999999999998</v>
      </c>
    </row>
    <row r="16" spans="1:5" x14ac:dyDescent="0.25">
      <c r="A16" s="132"/>
      <c r="B16" s="132"/>
      <c r="C16" s="132"/>
      <c r="D16" s="132"/>
      <c r="E16" s="132"/>
    </row>
    <row r="17" spans="1:5" x14ac:dyDescent="0.25">
      <c r="A17" s="58"/>
      <c r="B17" s="59" t="s">
        <v>60</v>
      </c>
      <c r="C17" s="60"/>
      <c r="D17" s="60"/>
      <c r="E17" s="60"/>
    </row>
    <row r="18" spans="1:5" x14ac:dyDescent="0.25">
      <c r="A18" s="58" t="s">
        <v>6</v>
      </c>
      <c r="B18" s="61" t="s">
        <v>7</v>
      </c>
      <c r="C18" s="60" t="s">
        <v>49</v>
      </c>
      <c r="D18" s="60" t="s">
        <v>50</v>
      </c>
      <c r="E18" s="60" t="s">
        <v>51</v>
      </c>
    </row>
    <row r="19" spans="1:5" ht="25.5" x14ac:dyDescent="0.25">
      <c r="A19" s="62">
        <v>1</v>
      </c>
      <c r="B19" s="23" t="s">
        <v>64</v>
      </c>
      <c r="C19" s="17" t="s">
        <v>52</v>
      </c>
      <c r="D19" s="63">
        <v>1</v>
      </c>
      <c r="E19" s="17">
        <f>E13</f>
        <v>23.61</v>
      </c>
    </row>
    <row r="20" spans="1:5" x14ac:dyDescent="0.25">
      <c r="A20" s="62">
        <v>1.1000000000000001</v>
      </c>
      <c r="B20" s="64" t="s">
        <v>57</v>
      </c>
      <c r="C20" s="17" t="s">
        <v>55</v>
      </c>
      <c r="D20" s="63">
        <v>0.15</v>
      </c>
      <c r="E20" s="17">
        <f>E19*D20</f>
        <v>3.5414999999999996</v>
      </c>
    </row>
    <row r="21" spans="1:5" x14ac:dyDescent="0.25">
      <c r="A21" s="62" t="s">
        <v>56</v>
      </c>
      <c r="B21" s="65" t="s">
        <v>63</v>
      </c>
      <c r="C21" s="17" t="s">
        <v>55</v>
      </c>
      <c r="D21" s="63">
        <v>0.3</v>
      </c>
      <c r="E21" s="17">
        <f>E19*D21</f>
        <v>7.0829999999999993</v>
      </c>
    </row>
  </sheetData>
  <mergeCells count="3">
    <mergeCell ref="A4:E4"/>
    <mergeCell ref="A10:E10"/>
    <mergeCell ref="A16:E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B10" sqref="B10"/>
    </sheetView>
  </sheetViews>
  <sheetFormatPr defaultRowHeight="15" x14ac:dyDescent="0.25"/>
  <cols>
    <col min="2" max="2" width="51" customWidth="1"/>
    <col min="4" max="4" width="15.28515625" customWidth="1"/>
  </cols>
  <sheetData>
    <row r="1" spans="1:7" x14ac:dyDescent="0.25">
      <c r="A1" s="58"/>
      <c r="B1" s="59" t="s">
        <v>79</v>
      </c>
      <c r="C1" s="60"/>
      <c r="D1" s="60"/>
      <c r="E1" s="60"/>
      <c r="G1" s="67"/>
    </row>
    <row r="2" spans="1:7" x14ac:dyDescent="0.25">
      <c r="A2" s="58" t="s">
        <v>6</v>
      </c>
      <c r="B2" s="61" t="s">
        <v>7</v>
      </c>
      <c r="C2" s="60" t="s">
        <v>49</v>
      </c>
      <c r="D2" s="60" t="s">
        <v>50</v>
      </c>
      <c r="E2" s="60" t="s">
        <v>51</v>
      </c>
      <c r="G2" s="67"/>
    </row>
    <row r="3" spans="1:7" ht="25.5" x14ac:dyDescent="0.25">
      <c r="A3" s="62">
        <v>1</v>
      </c>
      <c r="B3" s="23" t="s">
        <v>78</v>
      </c>
      <c r="C3" s="17" t="s">
        <v>52</v>
      </c>
      <c r="D3" s="63">
        <v>1</v>
      </c>
      <c r="E3" s="17">
        <v>37.44</v>
      </c>
      <c r="F3" s="68"/>
      <c r="G3" s="67"/>
    </row>
    <row r="4" spans="1:7" x14ac:dyDescent="0.25">
      <c r="A4" s="62" t="s">
        <v>77</v>
      </c>
      <c r="B4" s="23" t="s">
        <v>76</v>
      </c>
      <c r="C4" s="17" t="s">
        <v>75</v>
      </c>
      <c r="D4" s="63">
        <v>1</v>
      </c>
      <c r="E4" s="17">
        <v>22</v>
      </c>
      <c r="F4" s="68"/>
      <c r="G4" s="67"/>
    </row>
    <row r="5" spans="1:7" x14ac:dyDescent="0.25">
      <c r="A5" s="62" t="s">
        <v>56</v>
      </c>
      <c r="B5" s="23" t="s">
        <v>74</v>
      </c>
      <c r="C5" s="17" t="s">
        <v>73</v>
      </c>
      <c r="D5" s="63">
        <v>1</v>
      </c>
      <c r="E5" s="17">
        <v>201</v>
      </c>
      <c r="F5" s="68"/>
      <c r="G5" s="67"/>
    </row>
    <row r="6" spans="1:7" x14ac:dyDescent="0.25">
      <c r="A6" s="62" t="s">
        <v>72</v>
      </c>
      <c r="B6" s="23" t="s">
        <v>71</v>
      </c>
      <c r="C6" s="17" t="s">
        <v>70</v>
      </c>
      <c r="D6" s="63">
        <v>1.1000000000000001</v>
      </c>
      <c r="E6" s="17">
        <v>41.183999999999997</v>
      </c>
      <c r="F6" s="68"/>
      <c r="G6" s="67"/>
    </row>
    <row r="7" spans="1:7" x14ac:dyDescent="0.25">
      <c r="A7" s="132"/>
      <c r="B7" s="132"/>
      <c r="C7" s="132"/>
      <c r="D7" s="132"/>
      <c r="E7" s="132"/>
      <c r="G7" s="67"/>
    </row>
    <row r="8" spans="1:7" x14ac:dyDescent="0.25">
      <c r="A8" s="58"/>
      <c r="B8" s="59" t="s">
        <v>69</v>
      </c>
      <c r="C8" s="60"/>
      <c r="D8" s="60"/>
      <c r="E8" s="60"/>
      <c r="G8" s="66"/>
    </row>
    <row r="9" spans="1:7" x14ac:dyDescent="0.25">
      <c r="A9" s="58" t="s">
        <v>6</v>
      </c>
      <c r="B9" s="61" t="s">
        <v>7</v>
      </c>
      <c r="C9" s="60" t="s">
        <v>49</v>
      </c>
      <c r="D9" s="60" t="s">
        <v>50</v>
      </c>
      <c r="E9" s="60" t="s">
        <v>51</v>
      </c>
      <c r="G9" s="66"/>
    </row>
    <row r="10" spans="1:7" x14ac:dyDescent="0.25">
      <c r="A10" s="62">
        <v>1</v>
      </c>
      <c r="B10" s="23" t="s">
        <v>80</v>
      </c>
      <c r="C10" s="17" t="s">
        <v>52</v>
      </c>
      <c r="D10" s="63">
        <v>1</v>
      </c>
      <c r="E10" s="17">
        <v>37.44</v>
      </c>
      <c r="G10" s="66"/>
    </row>
    <row r="11" spans="1:7" x14ac:dyDescent="0.25">
      <c r="A11" s="62">
        <v>1.1000000000000001</v>
      </c>
      <c r="B11" s="64" t="s">
        <v>54</v>
      </c>
      <c r="C11" s="17" t="s">
        <v>55</v>
      </c>
      <c r="D11" s="63">
        <v>1.8</v>
      </c>
      <c r="E11" s="17">
        <f>E10*D11</f>
        <v>67.391999999999996</v>
      </c>
      <c r="G11" s="66"/>
    </row>
    <row r="12" spans="1:7" x14ac:dyDescent="0.25">
      <c r="A12" s="62" t="s">
        <v>56</v>
      </c>
      <c r="B12" s="64" t="s">
        <v>57</v>
      </c>
      <c r="C12" s="17" t="s">
        <v>55</v>
      </c>
      <c r="D12" s="63">
        <v>0.15</v>
      </c>
      <c r="E12" s="17">
        <f>E10*D12</f>
        <v>5.6159999999999997</v>
      </c>
      <c r="G12" s="66"/>
    </row>
    <row r="13" spans="1:7" x14ac:dyDescent="0.25">
      <c r="A13" s="133"/>
      <c r="B13" s="133"/>
      <c r="C13" s="133"/>
      <c r="D13" s="133"/>
      <c r="E13" s="133"/>
      <c r="G13" s="66"/>
    </row>
    <row r="14" spans="1:7" x14ac:dyDescent="0.25">
      <c r="A14" s="58"/>
      <c r="B14" s="59" t="s">
        <v>68</v>
      </c>
      <c r="C14" s="60"/>
      <c r="D14" s="60"/>
      <c r="E14" s="60"/>
      <c r="G14" s="66"/>
    </row>
    <row r="15" spans="1:7" x14ac:dyDescent="0.25">
      <c r="A15" s="58" t="s">
        <v>6</v>
      </c>
      <c r="B15" s="61" t="s">
        <v>7</v>
      </c>
      <c r="C15" s="60" t="s">
        <v>49</v>
      </c>
      <c r="D15" s="60" t="s">
        <v>50</v>
      </c>
      <c r="E15" s="60" t="s">
        <v>51</v>
      </c>
      <c r="G15" s="66"/>
    </row>
    <row r="16" spans="1:7" x14ac:dyDescent="0.25">
      <c r="A16" s="62">
        <v>1</v>
      </c>
      <c r="B16" s="23" t="s">
        <v>80</v>
      </c>
      <c r="C16" s="17" t="s">
        <v>52</v>
      </c>
      <c r="D16" s="63">
        <v>1</v>
      </c>
      <c r="E16" s="17">
        <f>E10</f>
        <v>37.44</v>
      </c>
      <c r="G16" s="66"/>
    </row>
    <row r="17" spans="1:7" x14ac:dyDescent="0.25">
      <c r="A17" s="62">
        <v>1.1000000000000001</v>
      </c>
      <c r="B17" s="64" t="s">
        <v>57</v>
      </c>
      <c r="C17" s="17" t="s">
        <v>55</v>
      </c>
      <c r="D17" s="63">
        <v>0.15</v>
      </c>
      <c r="E17" s="17">
        <f>E16*D17</f>
        <v>5.6159999999999997</v>
      </c>
      <c r="G17" s="66"/>
    </row>
    <row r="18" spans="1:7" x14ac:dyDescent="0.25">
      <c r="A18" s="62" t="s">
        <v>56</v>
      </c>
      <c r="B18" s="65" t="s">
        <v>59</v>
      </c>
      <c r="C18" s="17" t="s">
        <v>55</v>
      </c>
      <c r="D18" s="63">
        <v>1.8</v>
      </c>
      <c r="E18" s="17">
        <f>E16*D18</f>
        <v>67.391999999999996</v>
      </c>
      <c r="G18" s="66"/>
    </row>
    <row r="19" spans="1:7" x14ac:dyDescent="0.25">
      <c r="A19" s="132"/>
      <c r="B19" s="132"/>
      <c r="C19" s="132"/>
      <c r="D19" s="132"/>
      <c r="E19" s="132"/>
      <c r="G19" s="66"/>
    </row>
    <row r="20" spans="1:7" x14ac:dyDescent="0.25">
      <c r="A20" s="58"/>
      <c r="B20" s="59" t="s">
        <v>67</v>
      </c>
      <c r="C20" s="60"/>
      <c r="D20" s="60"/>
      <c r="E20" s="60"/>
      <c r="G20" s="66"/>
    </row>
    <row r="21" spans="1:7" x14ac:dyDescent="0.25">
      <c r="A21" s="58" t="s">
        <v>6</v>
      </c>
      <c r="B21" s="61" t="s">
        <v>7</v>
      </c>
      <c r="C21" s="60" t="s">
        <v>49</v>
      </c>
      <c r="D21" s="60" t="s">
        <v>50</v>
      </c>
      <c r="E21" s="60" t="s">
        <v>51</v>
      </c>
      <c r="G21" s="66"/>
    </row>
    <row r="22" spans="1:7" ht="25.5" x14ac:dyDescent="0.25">
      <c r="A22" s="62">
        <v>1</v>
      </c>
      <c r="B22" s="23" t="s">
        <v>66</v>
      </c>
      <c r="C22" s="17" t="s">
        <v>52</v>
      </c>
      <c r="D22" s="63">
        <v>1</v>
      </c>
      <c r="E22" s="17">
        <v>37.44</v>
      </c>
      <c r="G22" s="66"/>
    </row>
    <row r="23" spans="1:7" x14ac:dyDescent="0.25">
      <c r="A23" s="62">
        <v>1.1000000000000001</v>
      </c>
      <c r="B23" s="64" t="s">
        <v>57</v>
      </c>
      <c r="C23" s="17" t="s">
        <v>55</v>
      </c>
      <c r="D23" s="63">
        <v>0.15</v>
      </c>
      <c r="E23" s="17">
        <f>E22*D23</f>
        <v>5.6159999999999997</v>
      </c>
      <c r="G23" s="66"/>
    </row>
    <row r="24" spans="1:7" x14ac:dyDescent="0.25">
      <c r="A24" s="62" t="s">
        <v>56</v>
      </c>
      <c r="B24" s="65" t="s">
        <v>65</v>
      </c>
      <c r="C24" s="17" t="s">
        <v>55</v>
      </c>
      <c r="D24" s="63">
        <v>0.3</v>
      </c>
      <c r="E24" s="17">
        <f>E22*D24</f>
        <v>11.231999999999999</v>
      </c>
      <c r="G24" s="66"/>
    </row>
  </sheetData>
  <mergeCells count="3">
    <mergeCell ref="A19:E19"/>
    <mergeCell ref="A7:E7"/>
    <mergeCell ref="A13:E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opLeftCell="A13" zoomScaleNormal="100" workbookViewId="0">
      <selection activeCell="B30" sqref="B30"/>
    </sheetView>
  </sheetViews>
  <sheetFormatPr defaultRowHeight="15" x14ac:dyDescent="0.25"/>
  <cols>
    <col min="1" max="1" width="7.5703125" customWidth="1"/>
    <col min="2" max="2" width="54.85546875" customWidth="1"/>
    <col min="3" max="3" width="9.140625" customWidth="1"/>
    <col min="4" max="4" width="14.5703125" customWidth="1"/>
    <col min="5" max="5" width="8.85546875" customWidth="1"/>
  </cols>
  <sheetData>
    <row r="1" spans="1:5" x14ac:dyDescent="0.25">
      <c r="A1" s="58"/>
      <c r="B1" s="116" t="s">
        <v>102</v>
      </c>
      <c r="C1" s="60"/>
      <c r="D1" s="60"/>
      <c r="E1" s="60"/>
    </row>
    <row r="2" spans="1:5" ht="27.75" customHeight="1" x14ac:dyDescent="0.25">
      <c r="A2" s="58" t="s">
        <v>6</v>
      </c>
      <c r="B2" s="61" t="s">
        <v>7</v>
      </c>
      <c r="C2" s="60" t="s">
        <v>49</v>
      </c>
      <c r="D2" s="60" t="s">
        <v>50</v>
      </c>
      <c r="E2" s="60" t="s">
        <v>51</v>
      </c>
    </row>
    <row r="3" spans="1:5" ht="25.5" x14ac:dyDescent="0.25">
      <c r="A3" s="62">
        <v>1</v>
      </c>
      <c r="B3" s="23" t="s">
        <v>114</v>
      </c>
      <c r="C3" s="17" t="s">
        <v>70</v>
      </c>
      <c r="D3" s="63">
        <v>1</v>
      </c>
      <c r="E3" s="17">
        <v>16.54</v>
      </c>
    </row>
    <row r="4" spans="1:5" ht="38.25" x14ac:dyDescent="0.25">
      <c r="A4" s="62" t="s">
        <v>77</v>
      </c>
      <c r="B4" s="23" t="s">
        <v>115</v>
      </c>
      <c r="C4" s="17" t="s">
        <v>119</v>
      </c>
      <c r="D4" s="63">
        <v>1</v>
      </c>
      <c r="E4" s="17">
        <f>E3</f>
        <v>16.54</v>
      </c>
    </row>
    <row r="5" spans="1:5" x14ac:dyDescent="0.25">
      <c r="A5" s="62" t="s">
        <v>56</v>
      </c>
      <c r="B5" s="23" t="s">
        <v>116</v>
      </c>
      <c r="C5" s="17" t="s">
        <v>73</v>
      </c>
      <c r="D5" s="63">
        <v>1.42</v>
      </c>
      <c r="E5" s="17">
        <f>D5*E3*2</f>
        <v>46.973599999999998</v>
      </c>
    </row>
    <row r="6" spans="1:5" x14ac:dyDescent="0.25">
      <c r="A6" s="62" t="s">
        <v>72</v>
      </c>
      <c r="B6" s="23" t="s">
        <v>117</v>
      </c>
      <c r="C6" s="17" t="s">
        <v>70</v>
      </c>
      <c r="D6" s="63">
        <v>2.1</v>
      </c>
      <c r="E6" s="17">
        <f>D6*E3</f>
        <v>34.734000000000002</v>
      </c>
    </row>
    <row r="7" spans="1:5" x14ac:dyDescent="0.25">
      <c r="A7" s="62" t="s">
        <v>120</v>
      </c>
      <c r="B7" s="23" t="s">
        <v>118</v>
      </c>
      <c r="C7" s="17" t="s">
        <v>73</v>
      </c>
      <c r="D7" s="63">
        <v>4.07</v>
      </c>
      <c r="E7" s="17">
        <f>D7*E3</f>
        <v>67.317800000000005</v>
      </c>
    </row>
    <row r="8" spans="1:5" ht="15.75" thickBot="1" x14ac:dyDescent="0.3">
      <c r="A8" s="107"/>
      <c r="B8" s="107"/>
      <c r="C8" s="107"/>
      <c r="D8" s="107"/>
      <c r="E8" s="107"/>
    </row>
    <row r="9" spans="1:5" x14ac:dyDescent="0.25">
      <c r="A9" s="96"/>
      <c r="B9" s="97" t="s">
        <v>110</v>
      </c>
      <c r="C9" s="98"/>
      <c r="D9" s="98"/>
      <c r="E9" s="99"/>
    </row>
    <row r="10" spans="1:5" ht="15.75" thickBot="1" x14ac:dyDescent="0.3">
      <c r="A10" s="100" t="s">
        <v>6</v>
      </c>
      <c r="B10" s="101" t="s">
        <v>7</v>
      </c>
      <c r="C10" s="102" t="s">
        <v>49</v>
      </c>
      <c r="D10" s="102" t="s">
        <v>50</v>
      </c>
      <c r="E10" s="103" t="s">
        <v>51</v>
      </c>
    </row>
    <row r="11" spans="1:5" ht="30" customHeight="1" x14ac:dyDescent="0.25">
      <c r="A11" s="90">
        <v>1</v>
      </c>
      <c r="B11" s="91" t="s">
        <v>83</v>
      </c>
      <c r="C11" s="92" t="s">
        <v>73</v>
      </c>
      <c r="D11" s="93">
        <v>1</v>
      </c>
      <c r="E11" s="94">
        <v>33.25</v>
      </c>
    </row>
    <row r="12" spans="1:5" x14ac:dyDescent="0.25">
      <c r="A12" s="73">
        <v>1.1000000000000001</v>
      </c>
      <c r="B12" s="85" t="s">
        <v>103</v>
      </c>
      <c r="C12" s="17" t="s">
        <v>55</v>
      </c>
      <c r="D12" s="63">
        <v>0.3</v>
      </c>
      <c r="E12" s="74">
        <f>E11*D12</f>
        <v>9.9749999999999996</v>
      </c>
    </row>
    <row r="13" spans="1:5" x14ac:dyDescent="0.25">
      <c r="A13" s="73" t="s">
        <v>56</v>
      </c>
      <c r="B13" s="85" t="s">
        <v>85</v>
      </c>
      <c r="C13" s="17" t="s">
        <v>73</v>
      </c>
      <c r="D13" s="63">
        <v>1.1000000000000001</v>
      </c>
      <c r="E13" s="74">
        <f>D13*E11</f>
        <v>36.575000000000003</v>
      </c>
    </row>
    <row r="14" spans="1:5" ht="15.75" thickBot="1" x14ac:dyDescent="0.3">
      <c r="A14" s="107"/>
      <c r="B14" s="107"/>
      <c r="C14" s="107"/>
      <c r="D14" s="107"/>
      <c r="E14" s="107"/>
    </row>
    <row r="15" spans="1:5" x14ac:dyDescent="0.25">
      <c r="A15" s="108"/>
      <c r="B15" s="109" t="s">
        <v>111</v>
      </c>
      <c r="C15" s="110"/>
      <c r="D15" s="110"/>
      <c r="E15" s="111"/>
    </row>
    <row r="16" spans="1:5" x14ac:dyDescent="0.25">
      <c r="A16" s="112" t="s">
        <v>6</v>
      </c>
      <c r="B16" s="61" t="s">
        <v>7</v>
      </c>
      <c r="C16" s="60" t="s">
        <v>49</v>
      </c>
      <c r="D16" s="60" t="s">
        <v>50</v>
      </c>
      <c r="E16" s="113" t="s">
        <v>51</v>
      </c>
    </row>
    <row r="17" spans="1:5" x14ac:dyDescent="0.25">
      <c r="A17" s="73">
        <v>1</v>
      </c>
      <c r="B17" s="23" t="s">
        <v>108</v>
      </c>
      <c r="C17" s="17" t="s">
        <v>70</v>
      </c>
      <c r="D17" s="63">
        <v>1</v>
      </c>
      <c r="E17" s="74">
        <f>E3</f>
        <v>16.54</v>
      </c>
    </row>
    <row r="18" spans="1:5" x14ac:dyDescent="0.25">
      <c r="A18" s="73">
        <v>1.1000000000000001</v>
      </c>
      <c r="B18" s="64" t="s">
        <v>105</v>
      </c>
      <c r="C18" s="17" t="s">
        <v>55</v>
      </c>
      <c r="D18" s="63">
        <v>2</v>
      </c>
      <c r="E18" s="74">
        <f>E17*D18</f>
        <v>33.08</v>
      </c>
    </row>
    <row r="19" spans="1:5" x14ac:dyDescent="0.25">
      <c r="A19" s="73" t="s">
        <v>56</v>
      </c>
      <c r="B19" s="64" t="s">
        <v>94</v>
      </c>
      <c r="C19" s="17" t="s">
        <v>75</v>
      </c>
      <c r="D19" s="63">
        <v>0.3</v>
      </c>
      <c r="E19" s="74">
        <f>ROUNDDOWN(E17*D19,0)</f>
        <v>4</v>
      </c>
    </row>
    <row r="20" spans="1:5" ht="15.75" thickBot="1" x14ac:dyDescent="0.3">
      <c r="A20" s="75" t="s">
        <v>72</v>
      </c>
      <c r="B20" s="106" t="s">
        <v>57</v>
      </c>
      <c r="C20" s="77" t="s">
        <v>55</v>
      </c>
      <c r="D20" s="78">
        <v>0.15</v>
      </c>
      <c r="E20" s="79">
        <f>D20*E17</f>
        <v>2.4809999999999999</v>
      </c>
    </row>
    <row r="21" spans="1:5" ht="15.75" thickBot="1" x14ac:dyDescent="0.3">
      <c r="A21" s="107"/>
      <c r="B21" s="107"/>
      <c r="C21" s="107"/>
      <c r="D21" s="107"/>
      <c r="E21" s="107"/>
    </row>
    <row r="22" spans="1:5" x14ac:dyDescent="0.25">
      <c r="A22" s="108"/>
      <c r="B22" s="109" t="s">
        <v>112</v>
      </c>
      <c r="C22" s="110"/>
      <c r="D22" s="110"/>
      <c r="E22" s="111"/>
    </row>
    <row r="23" spans="1:5" x14ac:dyDescent="0.25">
      <c r="A23" s="112" t="s">
        <v>6</v>
      </c>
      <c r="B23" s="61" t="s">
        <v>7</v>
      </c>
      <c r="C23" s="60" t="s">
        <v>49</v>
      </c>
      <c r="D23" s="60" t="s">
        <v>50</v>
      </c>
      <c r="E23" s="113" t="s">
        <v>51</v>
      </c>
    </row>
    <row r="24" spans="1:5" x14ac:dyDescent="0.25">
      <c r="A24" s="73">
        <v>1</v>
      </c>
      <c r="B24" s="23" t="s">
        <v>108</v>
      </c>
      <c r="C24" s="17" t="s">
        <v>70</v>
      </c>
      <c r="D24" s="63">
        <v>1</v>
      </c>
      <c r="E24" s="74">
        <f>79.16+E3</f>
        <v>95.699999999999989</v>
      </c>
    </row>
    <row r="25" spans="1:5" x14ac:dyDescent="0.25">
      <c r="A25" s="73">
        <v>1.1000000000000001</v>
      </c>
      <c r="B25" s="64" t="s">
        <v>57</v>
      </c>
      <c r="C25" s="17" t="s">
        <v>55</v>
      </c>
      <c r="D25" s="63">
        <v>0.15</v>
      </c>
      <c r="E25" s="115">
        <f>E24*D25</f>
        <v>14.354999999999999</v>
      </c>
    </row>
    <row r="26" spans="1:5" x14ac:dyDescent="0.25">
      <c r="A26" s="73" t="s">
        <v>56</v>
      </c>
      <c r="B26" s="65" t="s">
        <v>105</v>
      </c>
      <c r="C26" s="17" t="s">
        <v>55</v>
      </c>
      <c r="D26" s="63">
        <v>2</v>
      </c>
      <c r="E26" s="74">
        <f>E24*D26</f>
        <v>191.39999999999998</v>
      </c>
    </row>
    <row r="27" spans="1:5" ht="15.75" thickBot="1" x14ac:dyDescent="0.3">
      <c r="A27" s="107"/>
      <c r="B27" s="107"/>
      <c r="C27" s="107"/>
      <c r="D27" s="107"/>
      <c r="E27" s="107"/>
    </row>
    <row r="28" spans="1:5" x14ac:dyDescent="0.25">
      <c r="A28" s="108"/>
      <c r="B28" s="109" t="s">
        <v>58</v>
      </c>
      <c r="C28" s="110"/>
      <c r="D28" s="110"/>
      <c r="E28" s="111"/>
    </row>
    <row r="29" spans="1:5" x14ac:dyDescent="0.25">
      <c r="A29" s="112" t="s">
        <v>6</v>
      </c>
      <c r="B29" s="61" t="s">
        <v>7</v>
      </c>
      <c r="C29" s="60" t="s">
        <v>49</v>
      </c>
      <c r="D29" s="60" t="s">
        <v>50</v>
      </c>
      <c r="E29" s="113" t="s">
        <v>51</v>
      </c>
    </row>
    <row r="30" spans="1:5" x14ac:dyDescent="0.25">
      <c r="A30" s="73">
        <v>1</v>
      </c>
      <c r="B30" s="23" t="s">
        <v>121</v>
      </c>
      <c r="C30" s="17" t="s">
        <v>70</v>
      </c>
      <c r="D30" s="63">
        <v>1</v>
      </c>
      <c r="E30" s="74">
        <v>970.52</v>
      </c>
    </row>
    <row r="31" spans="1:5" x14ac:dyDescent="0.25">
      <c r="A31" s="73">
        <v>1.1000000000000001</v>
      </c>
      <c r="B31" s="64" t="s">
        <v>57</v>
      </c>
      <c r="C31" s="17" t="s">
        <v>55</v>
      </c>
      <c r="D31" s="63">
        <v>0.15</v>
      </c>
      <c r="E31" s="74">
        <f>E30*D31</f>
        <v>145.578</v>
      </c>
    </row>
    <row r="32" spans="1:5" ht="15.75" thickBot="1" x14ac:dyDescent="0.3">
      <c r="A32" s="75" t="s">
        <v>56</v>
      </c>
      <c r="B32" s="105" t="s">
        <v>105</v>
      </c>
      <c r="C32" s="77" t="s">
        <v>55</v>
      </c>
      <c r="D32" s="78">
        <v>2</v>
      </c>
      <c r="E32" s="79">
        <f>D32*E30</f>
        <v>1941.04</v>
      </c>
    </row>
    <row r="33" spans="1:5" ht="15.75" thickBot="1" x14ac:dyDescent="0.3">
      <c r="A33" s="107"/>
      <c r="B33" s="107"/>
      <c r="C33" s="107"/>
      <c r="D33" s="107"/>
      <c r="E33" s="107"/>
    </row>
    <row r="34" spans="1:5" x14ac:dyDescent="0.25">
      <c r="A34" s="96"/>
      <c r="B34" s="97" t="s">
        <v>60</v>
      </c>
      <c r="C34" s="98"/>
      <c r="D34" s="98"/>
      <c r="E34" s="99"/>
    </row>
    <row r="35" spans="1:5" ht="15.75" thickBot="1" x14ac:dyDescent="0.3">
      <c r="A35" s="100" t="s">
        <v>6</v>
      </c>
      <c r="B35" s="101" t="s">
        <v>7</v>
      </c>
      <c r="C35" s="102" t="s">
        <v>49</v>
      </c>
      <c r="D35" s="102" t="s">
        <v>50</v>
      </c>
      <c r="E35" s="103" t="s">
        <v>51</v>
      </c>
    </row>
    <row r="36" spans="1:5" ht="25.5" x14ac:dyDescent="0.25">
      <c r="A36" s="90">
        <v>1</v>
      </c>
      <c r="B36" s="91" t="s">
        <v>95</v>
      </c>
      <c r="C36" s="92" t="s">
        <v>52</v>
      </c>
      <c r="D36" s="93">
        <v>1</v>
      </c>
      <c r="E36" s="94">
        <f>E24+E30</f>
        <v>1066.22</v>
      </c>
    </row>
    <row r="37" spans="1:5" x14ac:dyDescent="0.25">
      <c r="A37" s="73">
        <v>1.1000000000000001</v>
      </c>
      <c r="B37" s="86" t="s">
        <v>96</v>
      </c>
      <c r="C37" s="17" t="s">
        <v>55</v>
      </c>
      <c r="D37" s="88">
        <v>0.15</v>
      </c>
      <c r="E37" s="89">
        <f>D37*E36</f>
        <v>159.93299999999999</v>
      </c>
    </row>
    <row r="38" spans="1:5" ht="26.25" thickBot="1" x14ac:dyDescent="0.3">
      <c r="A38" s="75" t="s">
        <v>56</v>
      </c>
      <c r="B38" s="95" t="s">
        <v>97</v>
      </c>
      <c r="C38" s="77" t="s">
        <v>55</v>
      </c>
      <c r="D38" s="78">
        <v>0.3</v>
      </c>
      <c r="E38" s="79">
        <f>D38*E36</f>
        <v>319.86599999999999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selection activeCell="B5" sqref="B5"/>
    </sheetView>
  </sheetViews>
  <sheetFormatPr defaultRowHeight="15" x14ac:dyDescent="0.25"/>
  <cols>
    <col min="1" max="1" width="7.5703125" customWidth="1"/>
    <col min="2" max="2" width="54.85546875" customWidth="1"/>
    <col min="3" max="3" width="9.140625" customWidth="1"/>
    <col min="4" max="4" width="14.5703125" customWidth="1"/>
    <col min="5" max="5" width="8.85546875" customWidth="1"/>
  </cols>
  <sheetData>
    <row r="1" spans="1:6" x14ac:dyDescent="0.25">
      <c r="A1" s="69"/>
      <c r="B1" s="70" t="s">
        <v>81</v>
      </c>
      <c r="C1" s="71"/>
      <c r="D1" s="71"/>
      <c r="E1" s="72"/>
    </row>
    <row r="2" spans="1:6" ht="27.75" customHeight="1" x14ac:dyDescent="0.25">
      <c r="A2" s="73" t="s">
        <v>82</v>
      </c>
      <c r="B2" s="23" t="s">
        <v>83</v>
      </c>
      <c r="C2" s="17" t="s">
        <v>73</v>
      </c>
      <c r="D2" s="63">
        <v>1</v>
      </c>
      <c r="E2" s="74">
        <v>21.7</v>
      </c>
    </row>
    <row r="3" spans="1:6" x14ac:dyDescent="0.25">
      <c r="A3" s="73" t="s">
        <v>56</v>
      </c>
      <c r="B3" s="23" t="s">
        <v>84</v>
      </c>
      <c r="C3" s="17" t="s">
        <v>55</v>
      </c>
      <c r="D3" s="63">
        <v>0.1</v>
      </c>
      <c r="E3" s="74">
        <f>D3*E2</f>
        <v>2.17</v>
      </c>
    </row>
    <row r="4" spans="1:6" ht="15.75" thickBot="1" x14ac:dyDescent="0.3">
      <c r="A4" s="75" t="s">
        <v>72</v>
      </c>
      <c r="B4" s="76" t="s">
        <v>85</v>
      </c>
      <c r="C4" s="77" t="s">
        <v>73</v>
      </c>
      <c r="D4" s="78">
        <v>1.1000000000000001</v>
      </c>
      <c r="E4" s="79">
        <f>D4*E2</f>
        <v>23.87</v>
      </c>
    </row>
    <row r="5" spans="1:6" ht="38.25" x14ac:dyDescent="0.25">
      <c r="A5" s="80" t="s">
        <v>86</v>
      </c>
      <c r="B5" s="81" t="s">
        <v>109</v>
      </c>
      <c r="C5" s="82" t="s">
        <v>52</v>
      </c>
      <c r="D5" s="83">
        <v>1</v>
      </c>
      <c r="E5" s="84">
        <v>30.17</v>
      </c>
    </row>
    <row r="6" spans="1:6" x14ac:dyDescent="0.25">
      <c r="A6" s="73" t="s">
        <v>87</v>
      </c>
      <c r="B6" s="85" t="s">
        <v>101</v>
      </c>
      <c r="C6" s="17" t="s">
        <v>55</v>
      </c>
      <c r="D6" s="63">
        <v>0.25</v>
      </c>
      <c r="E6" s="74">
        <f>E5*D6</f>
        <v>7.5425000000000004</v>
      </c>
    </row>
    <row r="7" spans="1:6" x14ac:dyDescent="0.25">
      <c r="A7" s="73" t="s">
        <v>88</v>
      </c>
      <c r="B7" s="86" t="s">
        <v>98</v>
      </c>
      <c r="C7" s="87" t="s">
        <v>55</v>
      </c>
      <c r="D7" s="88">
        <v>1.8</v>
      </c>
      <c r="E7" s="89">
        <f>E5*D7*20</f>
        <v>1086.1200000000001</v>
      </c>
    </row>
    <row r="8" spans="1:6" ht="15.75" thickBot="1" x14ac:dyDescent="0.3">
      <c r="A8" s="73" t="s">
        <v>88</v>
      </c>
      <c r="B8" s="86" t="s">
        <v>99</v>
      </c>
      <c r="C8" s="87" t="s">
        <v>73</v>
      </c>
      <c r="D8" s="88">
        <v>1.1000000000000001</v>
      </c>
      <c r="E8" s="89">
        <f>E5*D8</f>
        <v>33.187000000000005</v>
      </c>
    </row>
    <row r="9" spans="1:6" ht="38.25" x14ac:dyDescent="0.25">
      <c r="A9" s="90" t="s">
        <v>89</v>
      </c>
      <c r="B9" s="91" t="s">
        <v>113</v>
      </c>
      <c r="C9" s="92" t="s">
        <v>70</v>
      </c>
      <c r="D9" s="93">
        <v>1</v>
      </c>
      <c r="E9" s="94">
        <v>104.41</v>
      </c>
    </row>
    <row r="10" spans="1:6" x14ac:dyDescent="0.25">
      <c r="A10" s="73" t="s">
        <v>90</v>
      </c>
      <c r="B10" s="85" t="s">
        <v>99</v>
      </c>
      <c r="C10" s="17" t="s">
        <v>73</v>
      </c>
      <c r="D10" s="63">
        <v>1.1000000000000001</v>
      </c>
      <c r="E10" s="74">
        <f>E9*D10</f>
        <v>114.851</v>
      </c>
    </row>
    <row r="11" spans="1:6" x14ac:dyDescent="0.25">
      <c r="A11" s="73" t="s">
        <v>91</v>
      </c>
      <c r="B11" s="85" t="s">
        <v>98</v>
      </c>
      <c r="C11" s="17" t="s">
        <v>55</v>
      </c>
      <c r="D11" s="63">
        <v>1.8</v>
      </c>
      <c r="E11" s="74">
        <f>E9*D11*20</f>
        <v>3758.7599999999998</v>
      </c>
    </row>
    <row r="12" spans="1:6" ht="25.5" x14ac:dyDescent="0.25">
      <c r="A12" s="73" t="s">
        <v>92</v>
      </c>
      <c r="B12" s="104" t="s">
        <v>100</v>
      </c>
      <c r="C12" s="17" t="s">
        <v>55</v>
      </c>
      <c r="D12" s="63">
        <v>0.15</v>
      </c>
      <c r="E12" s="74">
        <f>E9*D12</f>
        <v>15.661499999999998</v>
      </c>
    </row>
    <row r="13" spans="1:6" ht="15.75" thickBot="1" x14ac:dyDescent="0.3">
      <c r="A13" s="75" t="s">
        <v>93</v>
      </c>
      <c r="B13" s="95" t="s">
        <v>11</v>
      </c>
      <c r="C13" s="77" t="s">
        <v>73</v>
      </c>
      <c r="D13" s="78">
        <v>1</v>
      </c>
      <c r="E13" s="79">
        <v>32</v>
      </c>
    </row>
    <row r="14" spans="1:6" ht="15.75" thickBot="1" x14ac:dyDescent="0.3">
      <c r="A14" s="107"/>
      <c r="B14" s="107"/>
      <c r="C14" s="107"/>
      <c r="D14" s="107"/>
      <c r="E14" s="107"/>
      <c r="F14" s="107"/>
    </row>
    <row r="15" spans="1:6" x14ac:dyDescent="0.25">
      <c r="A15" s="108"/>
      <c r="B15" s="109" t="s">
        <v>53</v>
      </c>
      <c r="C15" s="110"/>
      <c r="D15" s="110"/>
      <c r="E15" s="111"/>
      <c r="F15" s="107"/>
    </row>
    <row r="16" spans="1:6" x14ac:dyDescent="0.25">
      <c r="A16" s="112" t="s">
        <v>6</v>
      </c>
      <c r="B16" s="61" t="s">
        <v>7</v>
      </c>
      <c r="C16" s="60" t="s">
        <v>49</v>
      </c>
      <c r="D16" s="60" t="s">
        <v>50</v>
      </c>
      <c r="E16" s="113" t="s">
        <v>51</v>
      </c>
      <c r="F16" s="107"/>
    </row>
    <row r="17" spans="1:6" ht="25.5" x14ac:dyDescent="0.25">
      <c r="A17" s="73">
        <v>1</v>
      </c>
      <c r="B17" s="23" t="s">
        <v>104</v>
      </c>
      <c r="C17" s="17" t="s">
        <v>70</v>
      </c>
      <c r="D17" s="63">
        <v>1</v>
      </c>
      <c r="E17" s="74">
        <f>E9+E5</f>
        <v>134.57999999999998</v>
      </c>
      <c r="F17" s="107"/>
    </row>
    <row r="18" spans="1:6" x14ac:dyDescent="0.25">
      <c r="A18" s="73">
        <v>1.1000000000000001</v>
      </c>
      <c r="B18" s="64" t="s">
        <v>105</v>
      </c>
      <c r="C18" s="17" t="s">
        <v>55</v>
      </c>
      <c r="D18" s="63">
        <v>2</v>
      </c>
      <c r="E18" s="74">
        <f>E17*D18</f>
        <v>269.15999999999997</v>
      </c>
      <c r="F18" s="107"/>
    </row>
    <row r="19" spans="1:6" x14ac:dyDescent="0.25">
      <c r="A19" s="73" t="s">
        <v>56</v>
      </c>
      <c r="B19" s="64" t="s">
        <v>106</v>
      </c>
      <c r="C19" s="17" t="s">
        <v>75</v>
      </c>
      <c r="D19" s="63">
        <v>0.3</v>
      </c>
      <c r="E19" s="74">
        <f>ROUNDDOWN(E17*D19,0)</f>
        <v>40</v>
      </c>
      <c r="F19" s="107"/>
    </row>
    <row r="20" spans="1:6" ht="15.75" thickBot="1" x14ac:dyDescent="0.3">
      <c r="A20" s="75" t="s">
        <v>72</v>
      </c>
      <c r="B20" s="106" t="s">
        <v>57</v>
      </c>
      <c r="C20" s="77" t="s">
        <v>55</v>
      </c>
      <c r="D20" s="78">
        <v>0.15</v>
      </c>
      <c r="E20" s="79">
        <f>D20*E17</f>
        <v>20.186999999999998</v>
      </c>
      <c r="F20" s="107"/>
    </row>
    <row r="21" spans="1:6" ht="15.75" thickBot="1" x14ac:dyDescent="0.3">
      <c r="A21" s="114"/>
      <c r="B21" s="114"/>
      <c r="C21" s="114"/>
      <c r="D21" s="114"/>
      <c r="E21" s="114"/>
      <c r="F21" s="107"/>
    </row>
    <row r="22" spans="1:6" x14ac:dyDescent="0.25">
      <c r="A22" s="108"/>
      <c r="B22" s="109" t="s">
        <v>58</v>
      </c>
      <c r="C22" s="110"/>
      <c r="D22" s="110"/>
      <c r="E22" s="111"/>
      <c r="F22" s="107"/>
    </row>
    <row r="23" spans="1:6" x14ac:dyDescent="0.25">
      <c r="A23" s="112" t="s">
        <v>6</v>
      </c>
      <c r="B23" s="61" t="s">
        <v>7</v>
      </c>
      <c r="C23" s="60" t="s">
        <v>49</v>
      </c>
      <c r="D23" s="60" t="s">
        <v>50</v>
      </c>
      <c r="E23" s="113" t="s">
        <v>51</v>
      </c>
      <c r="F23" s="107"/>
    </row>
    <row r="24" spans="1:6" ht="25.5" x14ac:dyDescent="0.25">
      <c r="A24" s="73">
        <v>1</v>
      </c>
      <c r="B24" s="23" t="s">
        <v>104</v>
      </c>
      <c r="C24" s="17" t="s">
        <v>70</v>
      </c>
      <c r="D24" s="63">
        <v>1</v>
      </c>
      <c r="E24" s="74">
        <f>E17</f>
        <v>134.57999999999998</v>
      </c>
      <c r="F24" s="107"/>
    </row>
    <row r="25" spans="1:6" x14ac:dyDescent="0.25">
      <c r="A25" s="73">
        <v>1.1000000000000001</v>
      </c>
      <c r="B25" s="64" t="s">
        <v>57</v>
      </c>
      <c r="C25" s="17" t="s">
        <v>55</v>
      </c>
      <c r="D25" s="63">
        <v>0.15</v>
      </c>
      <c r="E25" s="74">
        <f>E24*D25</f>
        <v>20.186999999999998</v>
      </c>
      <c r="F25" s="107"/>
    </row>
    <row r="26" spans="1:6" x14ac:dyDescent="0.25">
      <c r="A26" s="73" t="s">
        <v>56</v>
      </c>
      <c r="B26" s="65" t="s">
        <v>106</v>
      </c>
      <c r="C26" s="17" t="s">
        <v>75</v>
      </c>
      <c r="D26" s="63">
        <v>0.3</v>
      </c>
      <c r="E26" s="74">
        <f>ROUNDDOWN(E24*D26,0)</f>
        <v>40</v>
      </c>
      <c r="F26" s="107"/>
    </row>
    <row r="27" spans="1:6" ht="15.75" thickBot="1" x14ac:dyDescent="0.3">
      <c r="A27" s="75" t="s">
        <v>72</v>
      </c>
      <c r="B27" s="105" t="s">
        <v>107</v>
      </c>
      <c r="C27" s="77" t="s">
        <v>55</v>
      </c>
      <c r="D27" s="78">
        <v>1</v>
      </c>
      <c r="E27" s="79">
        <f>D27*E24</f>
        <v>134.57999999999998</v>
      </c>
      <c r="F27" s="107"/>
    </row>
    <row r="28" spans="1:6" ht="15.75" thickBot="1" x14ac:dyDescent="0.3">
      <c r="A28" s="107"/>
      <c r="B28" s="107"/>
      <c r="C28" s="107"/>
      <c r="D28" s="107"/>
      <c r="E28" s="107"/>
      <c r="F28" s="107"/>
    </row>
    <row r="29" spans="1:6" x14ac:dyDescent="0.25">
      <c r="A29" s="108"/>
      <c r="B29" s="109" t="s">
        <v>60</v>
      </c>
      <c r="C29" s="110"/>
      <c r="D29" s="110"/>
      <c r="E29" s="111"/>
    </row>
    <row r="30" spans="1:6" x14ac:dyDescent="0.25">
      <c r="A30" s="112" t="s">
        <v>6</v>
      </c>
      <c r="B30" s="61" t="s">
        <v>7</v>
      </c>
      <c r="C30" s="60" t="s">
        <v>49</v>
      </c>
      <c r="D30" s="60" t="s">
        <v>50</v>
      </c>
      <c r="E30" s="113" t="s">
        <v>51</v>
      </c>
    </row>
    <row r="31" spans="1:6" ht="25.5" x14ac:dyDescent="0.25">
      <c r="A31" s="73">
        <v>1</v>
      </c>
      <c r="B31" s="23" t="s">
        <v>95</v>
      </c>
      <c r="C31" s="17" t="s">
        <v>52</v>
      </c>
      <c r="D31" s="63">
        <v>1</v>
      </c>
      <c r="E31" s="74">
        <f>E24</f>
        <v>134.57999999999998</v>
      </c>
    </row>
    <row r="32" spans="1:6" x14ac:dyDescent="0.25">
      <c r="A32" s="73">
        <v>1.1000000000000001</v>
      </c>
      <c r="B32" s="85" t="s">
        <v>96</v>
      </c>
      <c r="C32" s="17" t="s">
        <v>55</v>
      </c>
      <c r="D32" s="63">
        <v>0.15</v>
      </c>
      <c r="E32" s="74">
        <f>D32*E31</f>
        <v>20.186999999999998</v>
      </c>
    </row>
    <row r="33" spans="1:5" ht="26.25" thickBot="1" x14ac:dyDescent="0.3">
      <c r="A33" s="75" t="s">
        <v>56</v>
      </c>
      <c r="B33" s="95" t="s">
        <v>97</v>
      </c>
      <c r="C33" s="77" t="s">
        <v>55</v>
      </c>
      <c r="D33" s="78">
        <v>0.3</v>
      </c>
      <c r="E33" s="79">
        <f>D33*E31</f>
        <v>40.373999999999995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Общий</vt:lpstr>
      <vt:lpstr>Пример</vt:lpstr>
      <vt:lpstr>Спортзал</vt:lpstr>
      <vt:lpstr>библиотека</vt:lpstr>
      <vt:lpstr>Библ откосы</vt:lpstr>
      <vt:lpstr>ВОР2FB</vt:lpstr>
      <vt:lpstr>1.030 ВОР</vt:lpstr>
      <vt:lpstr>1.032 ВОР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МирзаяновИИ</dc:creator>
  <cp:lastModifiedBy>МирзаяновИИ</cp:lastModifiedBy>
  <dcterms:created xsi:type="dcterms:W3CDTF">2025-09-01T11:02:25Z</dcterms:created>
  <dcterms:modified xsi:type="dcterms:W3CDTF">2025-12-11T11:21:30Z</dcterms:modified>
</cp:coreProperties>
</file>