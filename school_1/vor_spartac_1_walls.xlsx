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23265" yWindow="5565" windowWidth="5535" windowHeight="6105" firstSheet="5" activeTab="5"/>
  </bookViews>
  <sheets>
    <sheet name="Пример" sheetId="1" r:id="rId1"/>
    <sheet name="Спортзал" sheetId="2" r:id="rId2"/>
    <sheet name="библиотека" sheetId="3" r:id="rId3"/>
    <sheet name="Библ откосы" sheetId="4" r:id="rId4"/>
    <sheet name="ВОР2FB" sheetId="5" r:id="rId5"/>
    <sheet name="1.030 ВОР" sheetId="7" r:id="rId6"/>
    <sheet name="1.032 ВОР" sheetId="6" r:id="rId7"/>
  </sheets>
  <calcPr calcId="152511"/>
</workbook>
</file>

<file path=xl/calcChain.xml><?xml version="1.0" encoding="utf-8"?>
<calcChain xmlns="http://schemas.openxmlformats.org/spreadsheetml/2006/main">
  <c r="E5" i="7" l="1"/>
  <c r="E7" i="7"/>
  <c r="E6" i="7"/>
  <c r="E4" i="7"/>
  <c r="E17" i="6" l="1"/>
  <c r="E18" i="6" s="1"/>
  <c r="E24" i="7"/>
  <c r="E25" i="7" s="1"/>
  <c r="E17" i="7"/>
  <c r="E20" i="7" s="1"/>
  <c r="E32" i="7"/>
  <c r="E3" i="6"/>
  <c r="E8" i="6"/>
  <c r="E7" i="6"/>
  <c r="E6" i="6"/>
  <c r="E12" i="6"/>
  <c r="E11" i="6"/>
  <c r="E10" i="6"/>
  <c r="E36" i="7" l="1"/>
  <c r="E24" i="6"/>
  <c r="E19" i="6"/>
  <c r="E20" i="6"/>
  <c r="E18" i="7"/>
  <c r="E19" i="7"/>
  <c r="E31" i="7"/>
  <c r="E26" i="7"/>
  <c r="E26" i="6" l="1"/>
  <c r="E31" i="6"/>
  <c r="E27" i="6"/>
  <c r="E25" i="6"/>
  <c r="E38" i="7"/>
  <c r="E37" i="7"/>
  <c r="E13" i="7"/>
  <c r="E12" i="7"/>
  <c r="E33" i="6" l="1"/>
  <c r="E32" i="6"/>
  <c r="E4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<sst xmlns="http://schemas.openxmlformats.org/spreadsheetml/2006/main" count="425" uniqueCount="122">
  <si>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</si>
  <si>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</si>
  <si>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</si>
  <si>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</si>
  <si>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</si>
  <si>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</si>
  <si>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</si>
  <si>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</si>
  <si>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</si>
  <si>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</si>
  <si>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</si>
  <si>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</si>
  <si>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</si>
  <si>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</si>
  <si>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</si>
  <si>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</si>
  <si>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</si>
  <si>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</si>
  <si>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</si>
  <si>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</si>
  <si>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</si>
  <si>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</si>
  <si>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</si>
  <si>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</si>
  <si>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</si>
  <si>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</si>
  <si>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</si>
  <si>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</si>
  <si>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</si>
  <si>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</si>
  <si>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</si>
  <si>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</si>
  <si>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</si>
  <si>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</si>
  <si>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</si>
  <si>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</si>
  <si>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</si>
  <si>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</si>
  <si>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</si>
  <si>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</si>
  <si>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</si>
  <si>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</si>
  <si>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</si>
  <si>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</si>
  <si>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</si>
  <si>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</si>
  <si>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</si>
  <si>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</si>
  <si>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</si>
  <si>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</si>
  <si>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</si>
  <si>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</si>
  <si>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</si>
  <si>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</si>
  <si>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</si>
  <si>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</si>
  <si>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</si>
  <si>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</si>
  <si>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</si>
  <si>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</si>
  <si>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</si>
  <si>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</si>
  <si>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</si>
  <si>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</si>
  <si>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</si>
  <si>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</si>
  <si>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</si>
  <si>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</si>
  <si>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</si>
  <si>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</si>
  <si>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</si>
  <si>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</si>
  <si>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</si>
  <si>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</si>
  <si>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</si>
  <si>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</si>
  <si>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</si>
  <si>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</si>
  <si>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</si>
  <si>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</si>
  <si>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</si>
  <si>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</si>
  <si>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</si>
  <si>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</si>
  <si>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</si>
  <si>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</si>
  <si>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</si>
  <si>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</si>
  <si>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</si>
  <si>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</si>
  <si>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</si>
  <si>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</si>
  <si>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</si>
  <si>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</si>
  <si>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</si>
  <si>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</si>
  <si>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</si>
  <si>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</si>
  <si>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</si>
  <si>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</si>
  <si>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</si>
  <si>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</si>
  <si>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</si>
  <si>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</si>
  <si>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</si>
  <si>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</si>
  <si>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</si>
  <si>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</si>
  <si>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</si>
  <si>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</si>
  <si>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</si>
  <si>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</si>
  <si>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</si>
  <si>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</si>
  <si>
    <t>Устройство перегородок на металлическом каркасе по системе Knauf / С-115.1 / А2-16</t>
  </si>
  <si>
    <t>Прочие материалы для перегородок из ГКЛ (лента, шпатлевка, грунтовка, шуруп, дюбель и пр.) / двойной каркас / 2 слоя облицовки</t>
  </si>
  <si>
    <t>Профиль направляющий ПН 75х40х0,4мм Сталь оцинкованная</t>
  </si>
  <si>
    <t>Гипсовые строительные плиты_ / влагостойкий / 12,5*1200*2500</t>
  </si>
  <si>
    <t>Профиль_/стоечный/50*50*0,60/3м</t>
  </si>
  <si>
    <t>комплект</t>
  </si>
  <si>
    <t>1.4</t>
  </si>
  <si>
    <t>Подготовка поверхности СКБ / стен / по штукатурке / 2мм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</si>
</sst>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2" fontId="2" fillId="0" borderId="15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1" xfId="0" applyFont="1" applyBorder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49" zoomScale="130" zoomScaleNormal="130" workbookViewId="0">
      <selection activeCell="E67" sqref="E67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6" width="9.140625" style="56"/>
    <col min="7" max="16384" width="9.140625" style="14"/>
  </cols>
  <sheetData>
    <row r="4" spans="1:5" x14ac:dyDescent="0.2">
      <c r="A4" s="9" t="s">
        <v>12</v>
      </c>
      <c r="B4" s="10"/>
      <c r="C4" s="11" t="s">
        <v>9</v>
      </c>
      <c r="D4" s="12"/>
    </row>
    <row r="5" spans="1:5" x14ac:dyDescent="0.2">
      <c r="B5" s="15" t="s">
        <v>6</v>
      </c>
      <c r="C5" s="16" t="s">
        <v>7</v>
      </c>
      <c r="D5" s="17" t="s">
        <v>29</v>
      </c>
    </row>
    <row r="6" spans="1:5" x14ac:dyDescent="0.2">
      <c r="B6" s="15">
        <v>1</v>
      </c>
      <c r="C6" s="16" t="s">
        <v>1</v>
      </c>
      <c r="D6" s="17">
        <v>2943.23</v>
      </c>
    </row>
    <row r="7" spans="1:5" x14ac:dyDescent="0.2">
      <c r="B7" s="15">
        <v>2</v>
      </c>
      <c r="C7" s="16" t="s">
        <v>4</v>
      </c>
      <c r="D7" s="17">
        <f>D6</f>
        <v>2943.23</v>
      </c>
    </row>
    <row r="8" spans="1:5" x14ac:dyDescent="0.2">
      <c r="B8" s="15">
        <v>3</v>
      </c>
      <c r="C8" s="18" t="s">
        <v>11</v>
      </c>
      <c r="D8" s="17" t="s">
        <v>45</v>
      </c>
    </row>
    <row r="9" spans="1:5" x14ac:dyDescent="0.2">
      <c r="B9" s="19"/>
      <c r="C9" s="20"/>
      <c r="D9" s="21"/>
    </row>
    <row r="10" spans="1:5" x14ac:dyDescent="0.2">
      <c r="A10" s="9" t="s">
        <v>17</v>
      </c>
    </row>
    <row r="11" spans="1:5" x14ac:dyDescent="0.2">
      <c r="B11" s="10"/>
      <c r="C11" s="11" t="s">
        <v>9</v>
      </c>
      <c r="D11" s="12"/>
    </row>
    <row r="12" spans="1:5" x14ac:dyDescent="0.2">
      <c r="B12" s="15" t="s">
        <v>6</v>
      </c>
      <c r="C12" s="16" t="s">
        <v>7</v>
      </c>
      <c r="D12" s="17" t="s">
        <v>29</v>
      </c>
    </row>
    <row r="13" spans="1:5" x14ac:dyDescent="0.2">
      <c r="B13" s="15">
        <v>1</v>
      </c>
      <c r="C13" s="16" t="s">
        <v>13</v>
      </c>
      <c r="D13" s="17">
        <v>178.11</v>
      </c>
    </row>
    <row r="14" spans="1:5" x14ac:dyDescent="0.2">
      <c r="B14" s="15">
        <v>2</v>
      </c>
      <c r="C14" s="16" t="s">
        <v>14</v>
      </c>
      <c r="D14" s="17">
        <v>0</v>
      </c>
    </row>
    <row r="15" spans="1:5" x14ac:dyDescent="0.2">
      <c r="B15" s="15">
        <v>3</v>
      </c>
      <c r="C15" s="16" t="s">
        <v>37</v>
      </c>
      <c r="D15" s="17">
        <v>178.11</v>
      </c>
      <c r="E15" s="34"/>
    </row>
    <row r="16" spans="1:5" x14ac:dyDescent="0.2">
      <c r="B16" s="15">
        <v>4</v>
      </c>
      <c r="C16" s="16" t="s">
        <v>36</v>
      </c>
      <c r="D16" s="17">
        <v>0</v>
      </c>
      <c r="E16" s="34"/>
    </row>
    <row r="17" spans="1:5" x14ac:dyDescent="0.2">
      <c r="B17" s="15">
        <v>5</v>
      </c>
      <c r="C17" s="16" t="s">
        <v>35</v>
      </c>
      <c r="D17" s="17" t="s">
        <v>28</v>
      </c>
    </row>
    <row r="18" spans="1:5" x14ac:dyDescent="0.2">
      <c r="B18" s="15">
        <v>6</v>
      </c>
      <c r="C18" s="23" t="s">
        <v>30</v>
      </c>
      <c r="D18" s="17">
        <f>D13</f>
        <v>178.11</v>
      </c>
    </row>
    <row r="20" spans="1:5" x14ac:dyDescent="0.2">
      <c r="A20" s="9" t="s">
        <v>18</v>
      </c>
    </row>
    <row r="21" spans="1:5" x14ac:dyDescent="0.2">
      <c r="B21" s="10"/>
      <c r="C21" s="11" t="s">
        <v>9</v>
      </c>
      <c r="D21" s="12"/>
    </row>
    <row r="22" spans="1:5" x14ac:dyDescent="0.2">
      <c r="B22" s="15" t="s">
        <v>6</v>
      </c>
      <c r="C22" s="16" t="s">
        <v>7</v>
      </c>
      <c r="D22" s="17" t="s">
        <v>29</v>
      </c>
    </row>
    <row r="23" spans="1:5" x14ac:dyDescent="0.2">
      <c r="B23" s="15">
        <v>1</v>
      </c>
      <c r="C23" s="16" t="s">
        <v>13</v>
      </c>
      <c r="D23" s="17">
        <v>340.88</v>
      </c>
    </row>
    <row r="24" spans="1:5" x14ac:dyDescent="0.2">
      <c r="B24" s="15">
        <v>2</v>
      </c>
      <c r="C24" s="16" t="s">
        <v>14</v>
      </c>
      <c r="D24" s="17">
        <v>0</v>
      </c>
    </row>
    <row r="25" spans="1:5" x14ac:dyDescent="0.2">
      <c r="B25" s="15">
        <v>3</v>
      </c>
      <c r="C25" s="16" t="s">
        <v>37</v>
      </c>
      <c r="D25" s="17">
        <v>340.88</v>
      </c>
      <c r="E25" s="34"/>
    </row>
    <row r="26" spans="1:5" x14ac:dyDescent="0.2">
      <c r="B26" s="15">
        <v>4</v>
      </c>
      <c r="C26" s="16" t="s">
        <v>36</v>
      </c>
      <c r="D26" s="17">
        <v>0</v>
      </c>
      <c r="E26" s="34"/>
    </row>
    <row r="27" spans="1:5" x14ac:dyDescent="0.2">
      <c r="B27" s="15">
        <v>5</v>
      </c>
      <c r="C27" s="16" t="s">
        <v>35</v>
      </c>
      <c r="D27" s="17" t="s">
        <v>27</v>
      </c>
    </row>
    <row r="28" spans="1:5" x14ac:dyDescent="0.2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">
      <c r="A30" s="9" t="s">
        <v>19</v>
      </c>
    </row>
    <row r="31" spans="1:5" x14ac:dyDescent="0.2">
      <c r="B31" s="10"/>
      <c r="C31" s="11" t="s">
        <v>9</v>
      </c>
      <c r="D31" s="12"/>
    </row>
    <row r="32" spans="1:5" x14ac:dyDescent="0.2">
      <c r="B32" s="15" t="s">
        <v>6</v>
      </c>
      <c r="C32" s="16" t="s">
        <v>7</v>
      </c>
      <c r="D32" s="17" t="s">
        <v>29</v>
      </c>
    </row>
    <row r="33" spans="1:5" x14ac:dyDescent="0.2">
      <c r="B33" s="15">
        <v>1</v>
      </c>
      <c r="C33" s="16" t="s">
        <v>13</v>
      </c>
      <c r="D33" s="17">
        <v>192.99</v>
      </c>
    </row>
    <row r="34" spans="1:5" x14ac:dyDescent="0.2">
      <c r="B34" s="15">
        <v>2</v>
      </c>
      <c r="C34" s="16" t="s">
        <v>14</v>
      </c>
      <c r="D34" s="17">
        <v>0</v>
      </c>
    </row>
    <row r="35" spans="1:5" x14ac:dyDescent="0.2">
      <c r="B35" s="15">
        <v>3</v>
      </c>
      <c r="C35" s="16" t="s">
        <v>37</v>
      </c>
      <c r="D35" s="17">
        <v>192.99</v>
      </c>
      <c r="E35" s="34"/>
    </row>
    <row r="36" spans="1:5" x14ac:dyDescent="0.2">
      <c r="B36" s="15">
        <v>4</v>
      </c>
      <c r="C36" s="16" t="s">
        <v>36</v>
      </c>
      <c r="D36" s="17">
        <v>0</v>
      </c>
      <c r="E36" s="34"/>
    </row>
    <row r="37" spans="1:5" x14ac:dyDescent="0.2">
      <c r="B37" s="15">
        <v>5</v>
      </c>
      <c r="C37" s="16" t="s">
        <v>35</v>
      </c>
      <c r="D37" s="17" t="s">
        <v>26</v>
      </c>
    </row>
    <row r="38" spans="1:5" x14ac:dyDescent="0.2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">
      <c r="B39" s="19"/>
      <c r="C39" s="24"/>
      <c r="D39" s="21"/>
    </row>
    <row r="41" spans="1:5" x14ac:dyDescent="0.2">
      <c r="A41" s="9" t="s">
        <v>20</v>
      </c>
    </row>
    <row r="42" spans="1:5" x14ac:dyDescent="0.2">
      <c r="B42" s="10"/>
      <c r="C42" s="11" t="s">
        <v>9</v>
      </c>
      <c r="D42" s="12"/>
    </row>
    <row r="43" spans="1:5" x14ac:dyDescent="0.2">
      <c r="B43" s="15" t="s">
        <v>6</v>
      </c>
      <c r="C43" s="16" t="s">
        <v>7</v>
      </c>
      <c r="D43" s="17" t="s">
        <v>8</v>
      </c>
    </row>
    <row r="44" spans="1:5" x14ac:dyDescent="0.2">
      <c r="B44" s="15">
        <v>1</v>
      </c>
      <c r="C44" s="16" t="s">
        <v>13</v>
      </c>
      <c r="D44" s="17">
        <v>246.3</v>
      </c>
    </row>
    <row r="45" spans="1:5" x14ac:dyDescent="0.2">
      <c r="B45" s="15">
        <v>2</v>
      </c>
      <c r="C45" s="16" t="s">
        <v>14</v>
      </c>
      <c r="D45" s="17">
        <v>0</v>
      </c>
    </row>
    <row r="46" spans="1:5" x14ac:dyDescent="0.2">
      <c r="B46" s="15">
        <v>3</v>
      </c>
      <c r="C46" s="16" t="s">
        <v>37</v>
      </c>
      <c r="D46" s="17">
        <v>246.3</v>
      </c>
      <c r="E46" s="34"/>
    </row>
    <row r="47" spans="1:5" x14ac:dyDescent="0.2">
      <c r="B47" s="15">
        <v>4</v>
      </c>
      <c r="C47" s="16" t="s">
        <v>36</v>
      </c>
      <c r="D47" s="17">
        <v>0</v>
      </c>
      <c r="E47" s="34"/>
    </row>
    <row r="48" spans="1:5" x14ac:dyDescent="0.2">
      <c r="B48" s="15">
        <v>5</v>
      </c>
      <c r="C48" s="16" t="s">
        <v>35</v>
      </c>
      <c r="D48" s="17" t="s">
        <v>25</v>
      </c>
    </row>
    <row r="49" spans="1:6" x14ac:dyDescent="0.2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">
      <c r="A51" s="9" t="s">
        <v>21</v>
      </c>
    </row>
    <row r="52" spans="1:6" x14ac:dyDescent="0.2">
      <c r="B52" s="10"/>
      <c r="C52" s="11" t="s">
        <v>9</v>
      </c>
      <c r="D52" s="12"/>
    </row>
    <row r="53" spans="1:6" x14ac:dyDescent="0.2">
      <c r="B53" s="15" t="s">
        <v>6</v>
      </c>
      <c r="C53" s="16" t="s">
        <v>7</v>
      </c>
      <c r="D53" s="17" t="s">
        <v>29</v>
      </c>
    </row>
    <row r="54" spans="1:6" x14ac:dyDescent="0.2">
      <c r="B54" s="15">
        <v>1</v>
      </c>
      <c r="C54" s="16" t="s">
        <v>13</v>
      </c>
      <c r="D54" s="17">
        <v>105.63</v>
      </c>
    </row>
    <row r="55" spans="1:6" x14ac:dyDescent="0.2">
      <c r="B55" s="15">
        <v>2</v>
      </c>
      <c r="C55" s="16" t="s">
        <v>14</v>
      </c>
      <c r="D55" s="17">
        <v>4.1500000000000004</v>
      </c>
    </row>
    <row r="56" spans="1:6" x14ac:dyDescent="0.2">
      <c r="B56" s="15">
        <v>3</v>
      </c>
      <c r="C56" s="16" t="s">
        <v>37</v>
      </c>
      <c r="D56" s="17">
        <v>105.63</v>
      </c>
      <c r="E56" s="34"/>
    </row>
    <row r="57" spans="1:6" x14ac:dyDescent="0.2">
      <c r="B57" s="15">
        <v>4</v>
      </c>
      <c r="C57" s="16" t="s">
        <v>36</v>
      </c>
      <c r="D57" s="17">
        <v>4.1500000000000004</v>
      </c>
      <c r="E57" s="34"/>
    </row>
    <row r="58" spans="1:6" x14ac:dyDescent="0.2">
      <c r="B58" s="15">
        <v>5</v>
      </c>
      <c r="C58" s="16" t="s">
        <v>35</v>
      </c>
      <c r="D58" s="17" t="s">
        <v>24</v>
      </c>
    </row>
    <row r="59" spans="1:6" s="28" customFormat="1" x14ac:dyDescent="0.2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">
      <c r="A61" s="9" t="s">
        <v>22</v>
      </c>
    </row>
    <row r="62" spans="1:6" x14ac:dyDescent="0.2">
      <c r="B62" s="10"/>
      <c r="C62" s="29" t="s">
        <v>9</v>
      </c>
      <c r="D62" s="30"/>
      <c r="E62" s="31"/>
    </row>
    <row r="63" spans="1:6" x14ac:dyDescent="0.2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">
      <c r="B74" s="10"/>
      <c r="C74" s="11" t="s">
        <v>9</v>
      </c>
      <c r="D74" s="35"/>
      <c r="E74" s="36"/>
    </row>
    <row r="75" spans="1:6" x14ac:dyDescent="0.2">
      <c r="B75" s="15" t="s">
        <v>6</v>
      </c>
      <c r="C75" s="16" t="s">
        <v>7</v>
      </c>
      <c r="D75" s="17" t="s">
        <v>29</v>
      </c>
    </row>
    <row r="76" spans="1:6" x14ac:dyDescent="0.2">
      <c r="B76" s="15">
        <v>1</v>
      </c>
      <c r="C76" s="16" t="s">
        <v>38</v>
      </c>
      <c r="D76" s="17">
        <v>4.1500000000000004</v>
      </c>
    </row>
    <row r="80" spans="1:6" x14ac:dyDescent="0.2">
      <c r="A80" s="9" t="s">
        <v>39</v>
      </c>
      <c r="B80" s="10"/>
      <c r="C80" s="11" t="s">
        <v>9</v>
      </c>
      <c r="D80" s="12"/>
    </row>
    <row r="81" spans="1:6" x14ac:dyDescent="0.2">
      <c r="B81" s="15" t="s">
        <v>6</v>
      </c>
      <c r="C81" s="16" t="s">
        <v>7</v>
      </c>
      <c r="D81" s="17" t="s">
        <v>29</v>
      </c>
    </row>
    <row r="82" spans="1:6" x14ac:dyDescent="0.2">
      <c r="B82" s="15">
        <v>1</v>
      </c>
      <c r="C82" s="16" t="s">
        <v>0</v>
      </c>
      <c r="D82" s="17">
        <v>28.72</v>
      </c>
    </row>
    <row r="83" spans="1:6" x14ac:dyDescent="0.2">
      <c r="B83" s="15">
        <v>2</v>
      </c>
      <c r="C83" s="18" t="s">
        <v>11</v>
      </c>
      <c r="D83" s="17" t="s">
        <v>40</v>
      </c>
    </row>
    <row r="86" spans="1:6" x14ac:dyDescent="0.2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">
      <c r="B87" s="15" t="s">
        <v>6</v>
      </c>
      <c r="C87" s="16" t="s">
        <v>7</v>
      </c>
      <c r="D87" s="17" t="s">
        <v>29</v>
      </c>
      <c r="E87" s="32"/>
    </row>
    <row r="88" spans="1:6" x14ac:dyDescent="0.2">
      <c r="B88" s="15">
        <v>1</v>
      </c>
      <c r="C88" s="16" t="s">
        <v>42</v>
      </c>
      <c r="D88" s="17">
        <v>37.68</v>
      </c>
      <c r="E88" s="32"/>
    </row>
    <row r="89" spans="1:6" x14ac:dyDescent="0.2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x14ac:dyDescent="0.2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RowHeight="15" x14ac:dyDescent="0.25"/>
  <cols>
    <col min="1" max="1" width="13.7109375" style="37" customWidth="1"/>
    <col min="2" max="2" width="9.140625" style="55"/>
    <col min="3" max="3" width="59.5703125" style="37" customWidth="1"/>
    <col min="4" max="4" width="12.7109375" style="55" customWidth="1"/>
    <col min="5" max="5" width="10.7109375" style="37" customWidth="1"/>
    <col min="6" max="16384" width="9.140625" style="37"/>
  </cols>
  <sheetData>
    <row r="15" spans="1:5" x14ac:dyDescent="0.25">
      <c r="A15" s="38"/>
      <c r="B15" s="39"/>
      <c r="C15" s="40" t="s">
        <v>9</v>
      </c>
      <c r="D15" s="41"/>
      <c r="E15" s="42"/>
    </row>
    <row r="16" spans="1:5" x14ac:dyDescent="0.25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25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25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25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25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25">
      <c r="A21" s="38"/>
      <c r="B21" s="43">
        <v>5</v>
      </c>
      <c r="C21" s="44" t="s">
        <v>35</v>
      </c>
      <c r="D21" s="45" t="s">
        <v>47</v>
      </c>
      <c r="E21" s="46"/>
    </row>
    <row r="22" spans="1:5" ht="30" x14ac:dyDescent="0.25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25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25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25">
      <c r="A26" s="38" t="s">
        <v>39</v>
      </c>
      <c r="B26" s="39"/>
      <c r="C26" s="49" t="s">
        <v>9</v>
      </c>
      <c r="D26" s="50"/>
      <c r="E26" s="51"/>
    </row>
    <row r="27" spans="1:5" x14ac:dyDescent="0.25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25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25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25">
      <c r="B31" s="54"/>
      <c r="C31" s="53" t="s">
        <v>9</v>
      </c>
      <c r="D31" s="54"/>
    </row>
    <row r="32" spans="1:5" x14ac:dyDescent="0.25">
      <c r="B32" s="54" t="s">
        <v>6</v>
      </c>
      <c r="C32" s="53" t="s">
        <v>7</v>
      </c>
      <c r="D32" s="54" t="s">
        <v>29</v>
      </c>
    </row>
    <row r="33" spans="2:4" x14ac:dyDescent="0.25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58"/>
      <c r="B1" s="59" t="s">
        <v>48</v>
      </c>
      <c r="C1" s="60"/>
      <c r="D1" s="60"/>
      <c r="E1" s="60"/>
    </row>
    <row r="2" spans="1:5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25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25">
      <c r="A4" s="116"/>
      <c r="B4" s="116"/>
      <c r="C4" s="116"/>
      <c r="D4" s="116"/>
      <c r="E4" s="116"/>
    </row>
    <row r="5" spans="1:5" x14ac:dyDescent="0.25">
      <c r="A5" s="58"/>
      <c r="B5" s="59" t="s">
        <v>53</v>
      </c>
      <c r="C5" s="60"/>
      <c r="D5" s="60"/>
      <c r="E5" s="60"/>
    </row>
    <row r="6" spans="1:5" x14ac:dyDescent="0.25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5.5" x14ac:dyDescent="0.25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25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25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25">
      <c r="A10" s="117"/>
      <c r="B10" s="117"/>
      <c r="C10" s="117"/>
      <c r="D10" s="117"/>
      <c r="E10" s="117"/>
    </row>
    <row r="11" spans="1:5" x14ac:dyDescent="0.25">
      <c r="A11" s="58"/>
      <c r="B11" s="59" t="s">
        <v>58</v>
      </c>
      <c r="C11" s="60"/>
      <c r="D11" s="60"/>
      <c r="E11" s="60"/>
    </row>
    <row r="12" spans="1:5" x14ac:dyDescent="0.25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5.5" x14ac:dyDescent="0.25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25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25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25">
      <c r="A16" s="116"/>
      <c r="B16" s="116"/>
      <c r="C16" s="116"/>
      <c r="D16" s="116"/>
      <c r="E16" s="116"/>
    </row>
    <row r="17" spans="1:5" x14ac:dyDescent="0.25">
      <c r="A17" s="58"/>
      <c r="B17" s="59" t="s">
        <v>60</v>
      </c>
      <c r="C17" s="60"/>
      <c r="D17" s="60"/>
      <c r="E17" s="60"/>
    </row>
    <row r="18" spans="1:5" x14ac:dyDescent="0.25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5.5" x14ac:dyDescent="0.25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25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25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5" x14ac:dyDescent="0.25"/>
  <cols>
    <col min="2" max="2" width="51" customWidth="1"/>
    <col min="4" max="4" width="15.28515625" customWidth="1"/>
  </cols>
  <sheetData>
    <row r="1" spans="1:7" x14ac:dyDescent="0.25">
      <c r="A1" s="58"/>
      <c r="B1" s="59" t="s">
        <v>79</v>
      </c>
      <c r="C1" s="60"/>
      <c r="D1" s="60"/>
      <c r="E1" s="60"/>
      <c r="G1" s="67"/>
    </row>
    <row r="2" spans="1:7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5.5" x14ac:dyDescent="0.25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25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25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25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25">
      <c r="A7" s="116"/>
      <c r="B7" s="116"/>
      <c r="C7" s="116"/>
      <c r="D7" s="116"/>
      <c r="E7" s="116"/>
      <c r="G7" s="67"/>
    </row>
    <row r="8" spans="1:7" x14ac:dyDescent="0.25">
      <c r="A8" s="58"/>
      <c r="B8" s="59" t="s">
        <v>69</v>
      </c>
      <c r="C8" s="60"/>
      <c r="D8" s="60"/>
      <c r="E8" s="60"/>
      <c r="G8" s="66"/>
    </row>
    <row r="9" spans="1:7" x14ac:dyDescent="0.25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25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25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25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25">
      <c r="A13" s="117"/>
      <c r="B13" s="117"/>
      <c r="C13" s="117"/>
      <c r="D13" s="117"/>
      <c r="E13" s="117"/>
      <c r="G13" s="66"/>
    </row>
    <row r="14" spans="1:7" x14ac:dyDescent="0.25">
      <c r="A14" s="58"/>
      <c r="B14" s="59" t="s">
        <v>68</v>
      </c>
      <c r="C14" s="60"/>
      <c r="D14" s="60"/>
      <c r="E14" s="60"/>
      <c r="G14" s="66"/>
    </row>
    <row r="15" spans="1:7" x14ac:dyDescent="0.25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25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25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25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25">
      <c r="A19" s="116"/>
      <c r="B19" s="116"/>
      <c r="C19" s="116"/>
      <c r="D19" s="116"/>
      <c r="E19" s="116"/>
      <c r="G19" s="66"/>
    </row>
    <row r="20" spans="1:7" x14ac:dyDescent="0.25">
      <c r="A20" s="58"/>
      <c r="B20" s="59" t="s">
        <v>67</v>
      </c>
      <c r="C20" s="60"/>
      <c r="D20" s="60"/>
      <c r="E20" s="60"/>
      <c r="G20" s="66"/>
    </row>
    <row r="21" spans="1:7" x14ac:dyDescent="0.25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5.5" x14ac:dyDescent="0.25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25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25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abSelected="1" topLeftCell="A13" zoomScaleNormal="100" workbookViewId="0">
      <selection activeCell="B30" sqref="B3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58"/>
      <c r="B1" s="118" t="s">
        <v>102</v>
      </c>
      <c r="C1" s="60"/>
      <c r="D1" s="60"/>
      <c r="E1" s="60"/>
    </row>
    <row r="2" spans="1:5" ht="27.75" customHeight="1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25.5" x14ac:dyDescent="0.25">
      <c r="A3" s="62">
        <v>1</v>
      </c>
      <c r="B3" s="23" t="s">
        <v>114</v>
      </c>
      <c r="C3" s="17" t="s">
        <v>70</v>
      </c>
      <c r="D3" s="63">
        <v>1</v>
      </c>
      <c r="E3" s="17">
        <v>16.54</v>
      </c>
    </row>
    <row r="4" spans="1:5" ht="38.25" x14ac:dyDescent="0.25">
      <c r="A4" s="62" t="s">
        <v>77</v>
      </c>
      <c r="B4" s="23" t="s">
        <v>115</v>
      </c>
      <c r="C4" s="17" t="s">
        <v>119</v>
      </c>
      <c r="D4" s="63">
        <v>1</v>
      </c>
      <c r="E4" s="17">
        <f>E3</f>
        <v>16.54</v>
      </c>
    </row>
    <row r="5" spans="1:5" x14ac:dyDescent="0.25">
      <c r="A5" s="62" t="s">
        <v>56</v>
      </c>
      <c r="B5" s="23" t="s">
        <v>116</v>
      </c>
      <c r="C5" s="17" t="s">
        <v>73</v>
      </c>
      <c r="D5" s="63">
        <v>1.42</v>
      </c>
      <c r="E5" s="17">
        <f>D5*E3*2</f>
        <v>46.973599999999998</v>
      </c>
    </row>
    <row r="6" spans="1:5" x14ac:dyDescent="0.25">
      <c r="A6" s="62" t="s">
        <v>72</v>
      </c>
      <c r="B6" s="23" t="s">
        <v>117</v>
      </c>
      <c r="C6" s="17" t="s">
        <v>70</v>
      </c>
      <c r="D6" s="63">
        <v>2.1</v>
      </c>
      <c r="E6" s="17">
        <f>D6*E3</f>
        <v>34.734000000000002</v>
      </c>
    </row>
    <row r="7" spans="1:5" x14ac:dyDescent="0.25">
      <c r="A7" s="62" t="s">
        <v>120</v>
      </c>
      <c r="B7" s="23" t="s">
        <v>118</v>
      </c>
      <c r="C7" s="17" t="s">
        <v>73</v>
      </c>
      <c r="D7" s="63">
        <v>4.07</v>
      </c>
      <c r="E7" s="17">
        <f>D7*E3</f>
        <v>67.317800000000005</v>
      </c>
    </row>
    <row r="8" spans="1:5" ht="15.75" thickBot="1" x14ac:dyDescent="0.3">
      <c r="A8" s="107"/>
      <c r="B8" s="107"/>
      <c r="C8" s="107"/>
      <c r="D8" s="107"/>
      <c r="E8" s="107"/>
    </row>
    <row r="9" spans="1:5" x14ac:dyDescent="0.25">
      <c r="A9" s="96"/>
      <c r="B9" s="97" t="s">
        <v>110</v>
      </c>
      <c r="C9" s="98"/>
      <c r="D9" s="98"/>
      <c r="E9" s="99"/>
    </row>
    <row r="10" spans="1:5" ht="15.75" thickBot="1" x14ac:dyDescent="0.3">
      <c r="A10" s="100" t="s">
        <v>6</v>
      </c>
      <c r="B10" s="101" t="s">
        <v>7</v>
      </c>
      <c r="C10" s="102" t="s">
        <v>49</v>
      </c>
      <c r="D10" s="102" t="s">
        <v>50</v>
      </c>
      <c r="E10" s="103" t="s">
        <v>51</v>
      </c>
    </row>
    <row r="11" spans="1:5" ht="30" customHeight="1" x14ac:dyDescent="0.25">
      <c r="A11" s="90">
        <v>1</v>
      </c>
      <c r="B11" s="91" t="s">
        <v>83</v>
      </c>
      <c r="C11" s="92" t="s">
        <v>73</v>
      </c>
      <c r="D11" s="93">
        <v>1</v>
      </c>
      <c r="E11" s="94">
        <v>33.25</v>
      </c>
    </row>
    <row r="12" spans="1:5" x14ac:dyDescent="0.25">
      <c r="A12" s="73">
        <v>1.1000000000000001</v>
      </c>
      <c r="B12" s="85" t="s">
        <v>103</v>
      </c>
      <c r="C12" s="17" t="s">
        <v>55</v>
      </c>
      <c r="D12" s="63">
        <v>0.3</v>
      </c>
      <c r="E12" s="74">
        <f>E11*D12</f>
        <v>9.9749999999999996</v>
      </c>
    </row>
    <row r="13" spans="1:5" x14ac:dyDescent="0.25">
      <c r="A13" s="73" t="s">
        <v>56</v>
      </c>
      <c r="B13" s="85" t="s">
        <v>85</v>
      </c>
      <c r="C13" s="17" t="s">
        <v>73</v>
      </c>
      <c r="D13" s="63">
        <v>1.1000000000000001</v>
      </c>
      <c r="E13" s="74">
        <f>D13*E11</f>
        <v>36.575000000000003</v>
      </c>
    </row>
    <row r="14" spans="1:5" ht="15.75" thickBot="1" x14ac:dyDescent="0.3">
      <c r="A14" s="107"/>
      <c r="B14" s="107"/>
      <c r="C14" s="107"/>
      <c r="D14" s="107"/>
      <c r="E14" s="107"/>
    </row>
    <row r="15" spans="1:5" x14ac:dyDescent="0.25">
      <c r="A15" s="108"/>
      <c r="B15" s="109" t="s">
        <v>111</v>
      </c>
      <c r="C15" s="110"/>
      <c r="D15" s="110"/>
      <c r="E15" s="111"/>
    </row>
    <row r="16" spans="1:5" x14ac:dyDescent="0.25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</row>
    <row r="17" spans="1:5" x14ac:dyDescent="0.25">
      <c r="A17" s="73">
        <v>1</v>
      </c>
      <c r="B17" s="23" t="s">
        <v>108</v>
      </c>
      <c r="C17" s="17" t="s">
        <v>70</v>
      </c>
      <c r="D17" s="63">
        <v>1</v>
      </c>
      <c r="E17" s="74">
        <f>E3</f>
        <v>16.54</v>
      </c>
    </row>
    <row r="18" spans="1:5" x14ac:dyDescent="0.25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33.08</v>
      </c>
    </row>
    <row r="19" spans="1:5" x14ac:dyDescent="0.25">
      <c r="A19" s="73" t="s">
        <v>56</v>
      </c>
      <c r="B19" s="64" t="s">
        <v>94</v>
      </c>
      <c r="C19" s="17" t="s">
        <v>75</v>
      </c>
      <c r="D19" s="63">
        <v>0.3</v>
      </c>
      <c r="E19" s="74">
        <f>ROUNDDOWN(E17*D19,0)</f>
        <v>4</v>
      </c>
    </row>
    <row r="20" spans="1:5" ht="15.75" thickBot="1" x14ac:dyDescent="0.3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2.4809999999999999</v>
      </c>
    </row>
    <row r="21" spans="1:5" ht="15.75" thickBot="1" x14ac:dyDescent="0.3">
      <c r="A21" s="107"/>
      <c r="B21" s="107"/>
      <c r="C21" s="107"/>
      <c r="D21" s="107"/>
      <c r="E21" s="107"/>
    </row>
    <row r="22" spans="1:5" x14ac:dyDescent="0.25">
      <c r="A22" s="108"/>
      <c r="B22" s="109" t="s">
        <v>112</v>
      </c>
      <c r="C22" s="110"/>
      <c r="D22" s="110"/>
      <c r="E22" s="111"/>
    </row>
    <row r="23" spans="1:5" x14ac:dyDescent="0.25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</row>
    <row r="24" spans="1:5" x14ac:dyDescent="0.25">
      <c r="A24" s="73">
        <v>1</v>
      </c>
      <c r="B24" s="23" t="s">
        <v>108</v>
      </c>
      <c r="C24" s="17" t="s">
        <v>70</v>
      </c>
      <c r="D24" s="63">
        <v>1</v>
      </c>
      <c r="E24" s="74">
        <f>79.16+E3</f>
        <v>95.699999999999989</v>
      </c>
    </row>
    <row r="25" spans="1:5" x14ac:dyDescent="0.25">
      <c r="A25" s="73">
        <v>1.1000000000000001</v>
      </c>
      <c r="B25" s="64" t="s">
        <v>57</v>
      </c>
      <c r="C25" s="17" t="s">
        <v>55</v>
      </c>
      <c r="D25" s="63">
        <v>0.15</v>
      </c>
      <c r="E25" s="115">
        <f>E24*D25</f>
        <v>14.354999999999999</v>
      </c>
    </row>
    <row r="26" spans="1:5" x14ac:dyDescent="0.25">
      <c r="A26" s="73" t="s">
        <v>56</v>
      </c>
      <c r="B26" s="65" t="s">
        <v>105</v>
      </c>
      <c r="C26" s="17" t="s">
        <v>55</v>
      </c>
      <c r="D26" s="63">
        <v>2</v>
      </c>
      <c r="E26" s="74">
        <f>E24*D26</f>
        <v>191.39999999999998</v>
      </c>
    </row>
    <row r="27" spans="1:5" ht="15.75" thickBot="1" x14ac:dyDescent="0.3">
      <c r="A27" s="107"/>
      <c r="B27" s="107"/>
      <c r="C27" s="107"/>
      <c r="D27" s="107"/>
      <c r="E27" s="107"/>
    </row>
    <row r="28" spans="1:5" x14ac:dyDescent="0.25">
      <c r="A28" s="108"/>
      <c r="B28" s="109" t="s">
        <v>58</v>
      </c>
      <c r="C28" s="110"/>
      <c r="D28" s="110"/>
      <c r="E28" s="111"/>
    </row>
    <row r="29" spans="1:5" x14ac:dyDescent="0.25">
      <c r="A29" s="112" t="s">
        <v>6</v>
      </c>
      <c r="B29" s="61" t="s">
        <v>7</v>
      </c>
      <c r="C29" s="60" t="s">
        <v>49</v>
      </c>
      <c r="D29" s="60" t="s">
        <v>50</v>
      </c>
      <c r="E29" s="113" t="s">
        <v>51</v>
      </c>
    </row>
    <row r="30" spans="1:5" x14ac:dyDescent="0.25">
      <c r="A30" s="73">
        <v>1</v>
      </c>
      <c r="B30" s="23" t="s">
        <v>121</v>
      </c>
      <c r="C30" s="17" t="s">
        <v>70</v>
      </c>
      <c r="D30" s="63">
        <v>1</v>
      </c>
      <c r="E30" s="74">
        <v>970.52</v>
      </c>
    </row>
    <row r="31" spans="1:5" x14ac:dyDescent="0.25">
      <c r="A31" s="73">
        <v>1.1000000000000001</v>
      </c>
      <c r="B31" s="64" t="s">
        <v>57</v>
      </c>
      <c r="C31" s="17" t="s">
        <v>55</v>
      </c>
      <c r="D31" s="63">
        <v>0.15</v>
      </c>
      <c r="E31" s="74">
        <f>E30*D31</f>
        <v>145.578</v>
      </c>
    </row>
    <row r="32" spans="1:5" ht="15.75" thickBot="1" x14ac:dyDescent="0.3">
      <c r="A32" s="75" t="s">
        <v>56</v>
      </c>
      <c r="B32" s="105" t="s">
        <v>105</v>
      </c>
      <c r="C32" s="77" t="s">
        <v>55</v>
      </c>
      <c r="D32" s="78">
        <v>2</v>
      </c>
      <c r="E32" s="79">
        <f>D32*E30</f>
        <v>1941.04</v>
      </c>
    </row>
    <row r="33" spans="1:5" ht="15.75" thickBot="1" x14ac:dyDescent="0.3">
      <c r="A33" s="107"/>
      <c r="B33" s="107"/>
      <c r="C33" s="107"/>
      <c r="D33" s="107"/>
      <c r="E33" s="107"/>
    </row>
    <row r="34" spans="1:5" x14ac:dyDescent="0.25">
      <c r="A34" s="96"/>
      <c r="B34" s="97" t="s">
        <v>60</v>
      </c>
      <c r="C34" s="98"/>
      <c r="D34" s="98"/>
      <c r="E34" s="99"/>
    </row>
    <row r="35" spans="1:5" ht="15.75" thickBot="1" x14ac:dyDescent="0.3">
      <c r="A35" s="100" t="s">
        <v>6</v>
      </c>
      <c r="B35" s="101" t="s">
        <v>7</v>
      </c>
      <c r="C35" s="102" t="s">
        <v>49</v>
      </c>
      <c r="D35" s="102" t="s">
        <v>50</v>
      </c>
      <c r="E35" s="103" t="s">
        <v>51</v>
      </c>
    </row>
    <row r="36" spans="1:5" ht="25.5" x14ac:dyDescent="0.25">
      <c r="A36" s="90">
        <v>1</v>
      </c>
      <c r="B36" s="91" t="s">
        <v>95</v>
      </c>
      <c r="C36" s="92" t="s">
        <v>52</v>
      </c>
      <c r="D36" s="93">
        <v>1</v>
      </c>
      <c r="E36" s="94">
        <f>E24+E30</f>
        <v>1066.22</v>
      </c>
    </row>
    <row r="37" spans="1:5" x14ac:dyDescent="0.25">
      <c r="A37" s="73">
        <v>1.1000000000000001</v>
      </c>
      <c r="B37" s="86" t="s">
        <v>96</v>
      </c>
      <c r="C37" s="17" t="s">
        <v>55</v>
      </c>
      <c r="D37" s="88">
        <v>0.15</v>
      </c>
      <c r="E37" s="89">
        <f>D37*E36</f>
        <v>159.93299999999999</v>
      </c>
    </row>
    <row r="38" spans="1:5" ht="26.25" thickBot="1" x14ac:dyDescent="0.3">
      <c r="A38" s="75" t="s">
        <v>56</v>
      </c>
      <c r="B38" s="95" t="s">
        <v>97</v>
      </c>
      <c r="C38" s="77" t="s">
        <v>55</v>
      </c>
      <c r="D38" s="78">
        <v>0.3</v>
      </c>
      <c r="E38" s="79">
        <f>D38*E36</f>
        <v>319.86599999999999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B5" sqref="B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6" x14ac:dyDescent="0.25">
      <c r="A1" s="69"/>
      <c r="B1" s="70" t="s">
        <v>81</v>
      </c>
      <c r="C1" s="71"/>
      <c r="D1" s="71"/>
      <c r="E1" s="72"/>
    </row>
    <row r="2" spans="1:6" ht="27.75" customHeight="1" x14ac:dyDescent="0.25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25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.75" thickBot="1" x14ac:dyDescent="0.3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8.25" x14ac:dyDescent="0.25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25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25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.75" thickBot="1" x14ac:dyDescent="0.3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8.25" x14ac:dyDescent="0.25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25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25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5.5" x14ac:dyDescent="0.25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.75" thickBot="1" x14ac:dyDescent="0.3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.75" thickBot="1" x14ac:dyDescent="0.3">
      <c r="A14" s="107"/>
      <c r="B14" s="107"/>
      <c r="C14" s="107"/>
      <c r="D14" s="107"/>
      <c r="E14" s="107"/>
      <c r="F14" s="107"/>
    </row>
    <row r="15" spans="1:6" x14ac:dyDescent="0.25">
      <c r="A15" s="108"/>
      <c r="B15" s="109" t="s">
        <v>53</v>
      </c>
      <c r="C15" s="110"/>
      <c r="D15" s="110"/>
      <c r="E15" s="111"/>
      <c r="F15" s="107"/>
    </row>
    <row r="16" spans="1:6" x14ac:dyDescent="0.25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  <c r="F16" s="107"/>
    </row>
    <row r="17" spans="1:6" ht="25.5" x14ac:dyDescent="0.25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7"/>
    </row>
    <row r="18" spans="1:6" x14ac:dyDescent="0.25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7"/>
    </row>
    <row r="19" spans="1:6" x14ac:dyDescent="0.25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7"/>
    </row>
    <row r="20" spans="1:6" ht="15.75" thickBot="1" x14ac:dyDescent="0.3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20.186999999999998</v>
      </c>
      <c r="F20" s="107"/>
    </row>
    <row r="21" spans="1:6" ht="15.75" thickBot="1" x14ac:dyDescent="0.3">
      <c r="A21" s="114"/>
      <c r="B21" s="114"/>
      <c r="C21" s="114"/>
      <c r="D21" s="114"/>
      <c r="E21" s="114"/>
      <c r="F21" s="107"/>
    </row>
    <row r="22" spans="1:6" x14ac:dyDescent="0.25">
      <c r="A22" s="108"/>
      <c r="B22" s="109" t="s">
        <v>58</v>
      </c>
      <c r="C22" s="110"/>
      <c r="D22" s="110"/>
      <c r="E22" s="111"/>
      <c r="F22" s="107"/>
    </row>
    <row r="23" spans="1:6" x14ac:dyDescent="0.25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  <c r="F23" s="107"/>
    </row>
    <row r="24" spans="1:6" ht="25.5" x14ac:dyDescent="0.25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7"/>
    </row>
    <row r="25" spans="1:6" x14ac:dyDescent="0.25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7"/>
    </row>
    <row r="26" spans="1:6" x14ac:dyDescent="0.25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7"/>
    </row>
    <row r="27" spans="1:6" ht="15.75" thickBot="1" x14ac:dyDescent="0.3">
      <c r="A27" s="75" t="s">
        <v>72</v>
      </c>
      <c r="B27" s="105" t="s">
        <v>107</v>
      </c>
      <c r="C27" s="77" t="s">
        <v>55</v>
      </c>
      <c r="D27" s="78">
        <v>1</v>
      </c>
      <c r="E27" s="79">
        <f>D27*E24</f>
        <v>134.57999999999998</v>
      </c>
      <c r="F27" s="107"/>
    </row>
    <row r="28" spans="1:6" ht="15.75" thickBot="1" x14ac:dyDescent="0.3">
      <c r="A28" s="107"/>
      <c r="B28" s="107"/>
      <c r="C28" s="107"/>
      <c r="D28" s="107"/>
      <c r="E28" s="107"/>
      <c r="F28" s="107"/>
    </row>
    <row r="29" spans="1:6" x14ac:dyDescent="0.25">
      <c r="A29" s="108"/>
      <c r="B29" s="109" t="s">
        <v>60</v>
      </c>
      <c r="C29" s="110"/>
      <c r="D29" s="110"/>
      <c r="E29" s="111"/>
    </row>
    <row r="30" spans="1:6" x14ac:dyDescent="0.25">
      <c r="A30" s="112" t="s">
        <v>6</v>
      </c>
      <c r="B30" s="61" t="s">
        <v>7</v>
      </c>
      <c r="C30" s="60" t="s">
        <v>49</v>
      </c>
      <c r="D30" s="60" t="s">
        <v>50</v>
      </c>
      <c r="E30" s="113" t="s">
        <v>51</v>
      </c>
    </row>
    <row r="31" spans="1:6" ht="25.5" x14ac:dyDescent="0.25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25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6.25" thickBot="1" x14ac:dyDescent="0.3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2025-10-15T14:37:18Z</dcterms:modified>
</cp:coreProperties>
</file>