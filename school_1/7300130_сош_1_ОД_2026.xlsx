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1\"/>
    </mc:Choice>
  </mc:AlternateContent>
  <bookViews>
    <workbookView xWindow="0" yWindow="0" windowWidth="28800" windowHeight="11628" activeTab="2"/>
  </bookViews>
  <sheets>
    <sheet name="Изменения" sheetId="1" r:id="rId1"/>
    <sheet name="ТКП" sheetId="2" r:id="rId2"/>
    <sheet name="ИД_ЗАКАЗЧИК" sheetId="4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27" i="4" l="1"/>
  <c r="M427" i="4"/>
  <c r="J426" i="4" s="1"/>
  <c r="T426" i="4"/>
  <c r="N426" i="4"/>
  <c r="S425" i="4"/>
  <c r="P424" i="4" s="1"/>
  <c r="S424" i="4" s="1"/>
  <c r="M425" i="4"/>
  <c r="J424" i="4" s="1"/>
  <c r="M424" i="4" s="1"/>
  <c r="T424" i="4"/>
  <c r="N424" i="4"/>
  <c r="T423" i="4"/>
  <c r="U423" i="4" s="1"/>
  <c r="R423" i="4"/>
  <c r="N423" i="4"/>
  <c r="O423" i="4" s="1"/>
  <c r="L423" i="4"/>
  <c r="S422" i="4"/>
  <c r="M422" i="4"/>
  <c r="U421" i="4"/>
  <c r="R421" i="4"/>
  <c r="O421" i="4"/>
  <c r="L421" i="4"/>
  <c r="S419" i="4"/>
  <c r="M419" i="4"/>
  <c r="S418" i="4"/>
  <c r="M418" i="4"/>
  <c r="J417" i="4" s="1"/>
  <c r="T417" i="4"/>
  <c r="N417" i="4"/>
  <c r="S416" i="4"/>
  <c r="M416" i="4"/>
  <c r="S415" i="4"/>
  <c r="M415" i="4"/>
  <c r="J414" i="4" s="1"/>
  <c r="L414" i="4" s="1"/>
  <c r="T414" i="4"/>
  <c r="P414" i="4"/>
  <c r="N414" i="4"/>
  <c r="S413" i="4"/>
  <c r="M413" i="4"/>
  <c r="S412" i="4"/>
  <c r="M412" i="4"/>
  <c r="U411" i="4"/>
  <c r="R411" i="4"/>
  <c r="O411" i="4"/>
  <c r="L411" i="4"/>
  <c r="S410" i="4"/>
  <c r="M410" i="4"/>
  <c r="S409" i="4"/>
  <c r="M409" i="4"/>
  <c r="U408" i="4"/>
  <c r="R408" i="4"/>
  <c r="O408" i="4"/>
  <c r="L408" i="4"/>
  <c r="S406" i="4"/>
  <c r="M406" i="4"/>
  <c r="S405" i="4"/>
  <c r="M405" i="4"/>
  <c r="J404" i="4" s="1"/>
  <c r="T404" i="4"/>
  <c r="P404" i="4"/>
  <c r="R404" i="4" s="1"/>
  <c r="N404" i="4"/>
  <c r="S403" i="4"/>
  <c r="M403" i="4"/>
  <c r="S402" i="4"/>
  <c r="P401" i="4" s="1"/>
  <c r="M402" i="4"/>
  <c r="T401" i="4"/>
  <c r="N401" i="4"/>
  <c r="J401" i="4"/>
  <c r="L401" i="4" s="1"/>
  <c r="S400" i="4"/>
  <c r="M400" i="4"/>
  <c r="S399" i="4"/>
  <c r="M399" i="4"/>
  <c r="T398" i="4"/>
  <c r="N398" i="4"/>
  <c r="S397" i="4"/>
  <c r="M397" i="4"/>
  <c r="S396" i="4"/>
  <c r="M396" i="4"/>
  <c r="U395" i="4"/>
  <c r="R395" i="4"/>
  <c r="O395" i="4"/>
  <c r="L395" i="4"/>
  <c r="S394" i="4"/>
  <c r="M394" i="4"/>
  <c r="S393" i="4"/>
  <c r="M393" i="4"/>
  <c r="U392" i="4"/>
  <c r="R392" i="4"/>
  <c r="O392" i="4"/>
  <c r="L392" i="4"/>
  <c r="S391" i="4"/>
  <c r="M391" i="4"/>
  <c r="S390" i="4"/>
  <c r="M390" i="4"/>
  <c r="U389" i="4"/>
  <c r="R389" i="4"/>
  <c r="O389" i="4"/>
  <c r="L389" i="4"/>
  <c r="S388" i="4"/>
  <c r="M388" i="4"/>
  <c r="S387" i="4"/>
  <c r="M387" i="4"/>
  <c r="U386" i="4"/>
  <c r="R386" i="4"/>
  <c r="O386" i="4"/>
  <c r="L386" i="4"/>
  <c r="S385" i="4"/>
  <c r="M385" i="4"/>
  <c r="S384" i="4"/>
  <c r="M384" i="4"/>
  <c r="U383" i="4"/>
  <c r="R383" i="4"/>
  <c r="O383" i="4"/>
  <c r="L383" i="4"/>
  <c r="S382" i="4"/>
  <c r="M382" i="4"/>
  <c r="S381" i="4"/>
  <c r="M381" i="4"/>
  <c r="U380" i="4"/>
  <c r="R380" i="4"/>
  <c r="O380" i="4"/>
  <c r="L380" i="4"/>
  <c r="S379" i="4"/>
  <c r="M379" i="4"/>
  <c r="S378" i="4"/>
  <c r="M378" i="4"/>
  <c r="U377" i="4"/>
  <c r="R377" i="4"/>
  <c r="O377" i="4"/>
  <c r="L377" i="4"/>
  <c r="S374" i="4"/>
  <c r="M374" i="4"/>
  <c r="S373" i="4"/>
  <c r="M373" i="4"/>
  <c r="S372" i="4"/>
  <c r="M372" i="4"/>
  <c r="S371" i="4"/>
  <c r="M371" i="4"/>
  <c r="S370" i="4"/>
  <c r="M370" i="4"/>
  <c r="S369" i="4"/>
  <c r="M369" i="4"/>
  <c r="T368" i="4"/>
  <c r="N368" i="4"/>
  <c r="S367" i="4"/>
  <c r="M367" i="4"/>
  <c r="S366" i="4"/>
  <c r="M366" i="4"/>
  <c r="S365" i="4"/>
  <c r="M365" i="4"/>
  <c r="S364" i="4"/>
  <c r="M364" i="4"/>
  <c r="S363" i="4"/>
  <c r="M363" i="4"/>
  <c r="S362" i="4"/>
  <c r="M362" i="4"/>
  <c r="T361" i="4"/>
  <c r="N361" i="4"/>
  <c r="S360" i="4"/>
  <c r="M360" i="4"/>
  <c r="S359" i="4"/>
  <c r="M359" i="4"/>
  <c r="S358" i="4"/>
  <c r="P357" i="4" s="1"/>
  <c r="M358" i="4"/>
  <c r="T357" i="4"/>
  <c r="N357" i="4"/>
  <c r="S356" i="4"/>
  <c r="M356" i="4"/>
  <c r="S355" i="4"/>
  <c r="P354" i="4" s="1"/>
  <c r="M355" i="4"/>
  <c r="T354" i="4"/>
  <c r="N354" i="4"/>
  <c r="S353" i="4"/>
  <c r="M353" i="4"/>
  <c r="S352" i="4"/>
  <c r="M352" i="4"/>
  <c r="T351" i="4"/>
  <c r="N351" i="4"/>
  <c r="S350" i="4"/>
  <c r="M350" i="4"/>
  <c r="S349" i="4"/>
  <c r="M349" i="4"/>
  <c r="T348" i="4"/>
  <c r="N348" i="4"/>
  <c r="S347" i="4"/>
  <c r="M347" i="4"/>
  <c r="S346" i="4"/>
  <c r="M346" i="4"/>
  <c r="T345" i="4"/>
  <c r="N345" i="4"/>
  <c r="S344" i="4"/>
  <c r="M344" i="4"/>
  <c r="S343" i="4"/>
  <c r="P342" i="4" s="1"/>
  <c r="M343" i="4"/>
  <c r="T342" i="4"/>
  <c r="N342" i="4"/>
  <c r="S341" i="4"/>
  <c r="M341" i="4"/>
  <c r="S340" i="4"/>
  <c r="M340" i="4"/>
  <c r="S339" i="4"/>
  <c r="M339" i="4"/>
  <c r="J338" i="4" s="1"/>
  <c r="L338" i="4" s="1"/>
  <c r="T338" i="4"/>
  <c r="N338" i="4"/>
  <c r="S337" i="4"/>
  <c r="M337" i="4"/>
  <c r="S336" i="4"/>
  <c r="M336" i="4"/>
  <c r="J335" i="4" s="1"/>
  <c r="L335" i="4" s="1"/>
  <c r="T335" i="4"/>
  <c r="N335" i="4"/>
  <c r="S334" i="4"/>
  <c r="M334" i="4"/>
  <c r="S333" i="4"/>
  <c r="M333" i="4"/>
  <c r="T332" i="4"/>
  <c r="N332" i="4"/>
  <c r="S331" i="4"/>
  <c r="M331" i="4"/>
  <c r="S330" i="4"/>
  <c r="M330" i="4"/>
  <c r="S329" i="4"/>
  <c r="M329" i="4"/>
  <c r="T328" i="4"/>
  <c r="N328" i="4"/>
  <c r="S327" i="4"/>
  <c r="M327" i="4"/>
  <c r="S326" i="4"/>
  <c r="P325" i="4" s="1"/>
  <c r="R325" i="4" s="1"/>
  <c r="M326" i="4"/>
  <c r="T325" i="4"/>
  <c r="N325" i="4"/>
  <c r="S324" i="4"/>
  <c r="M324" i="4"/>
  <c r="S323" i="4"/>
  <c r="P322" i="4" s="1"/>
  <c r="M323" i="4"/>
  <c r="T322" i="4"/>
  <c r="N322" i="4"/>
  <c r="S321" i="4"/>
  <c r="M321" i="4"/>
  <c r="S320" i="4"/>
  <c r="M320" i="4"/>
  <c r="S319" i="4"/>
  <c r="M319" i="4"/>
  <c r="J318" i="4" s="1"/>
  <c r="T318" i="4"/>
  <c r="N318" i="4"/>
  <c r="S316" i="4"/>
  <c r="M316" i="4"/>
  <c r="S315" i="4"/>
  <c r="M315" i="4"/>
  <c r="T314" i="4"/>
  <c r="N314" i="4"/>
  <c r="S313" i="4"/>
  <c r="M313" i="4"/>
  <c r="J311" i="4" s="1"/>
  <c r="S312" i="4"/>
  <c r="M312" i="4"/>
  <c r="T311" i="4"/>
  <c r="N311" i="4"/>
  <c r="S310" i="4"/>
  <c r="M310" i="4"/>
  <c r="S309" i="4"/>
  <c r="P308" i="4" s="1"/>
  <c r="R308" i="4" s="1"/>
  <c r="M309" i="4"/>
  <c r="T308" i="4"/>
  <c r="N308" i="4"/>
  <c r="S307" i="4"/>
  <c r="M307" i="4"/>
  <c r="S306" i="4"/>
  <c r="P305" i="4" s="1"/>
  <c r="R305" i="4" s="1"/>
  <c r="M306" i="4"/>
  <c r="T305" i="4"/>
  <c r="N305" i="4"/>
  <c r="S304" i="4"/>
  <c r="M304" i="4"/>
  <c r="S303" i="4"/>
  <c r="M303" i="4"/>
  <c r="U302" i="4"/>
  <c r="R302" i="4"/>
  <c r="O302" i="4"/>
  <c r="L302" i="4"/>
  <c r="S300" i="4"/>
  <c r="M300" i="4"/>
  <c r="S299" i="4"/>
  <c r="M299" i="4"/>
  <c r="S298" i="4"/>
  <c r="M298" i="4"/>
  <c r="S297" i="4"/>
  <c r="M297" i="4"/>
  <c r="J296" i="4" s="1"/>
  <c r="T296" i="4"/>
  <c r="N296" i="4"/>
  <c r="S295" i="4"/>
  <c r="M295" i="4"/>
  <c r="S294" i="4"/>
  <c r="M294" i="4"/>
  <c r="S293" i="4"/>
  <c r="M293" i="4"/>
  <c r="S292" i="4"/>
  <c r="M292" i="4"/>
  <c r="T291" i="4"/>
  <c r="N291" i="4"/>
  <c r="S290" i="4"/>
  <c r="M290" i="4"/>
  <c r="S289" i="4"/>
  <c r="M289" i="4"/>
  <c r="S288" i="4"/>
  <c r="M288" i="4"/>
  <c r="T287" i="4"/>
  <c r="N287" i="4"/>
  <c r="S286" i="4"/>
  <c r="M286" i="4"/>
  <c r="S285" i="4"/>
  <c r="M285" i="4"/>
  <c r="J284" i="4" s="1"/>
  <c r="T284" i="4"/>
  <c r="N284" i="4"/>
  <c r="S283" i="4"/>
  <c r="M283" i="4"/>
  <c r="S282" i="4"/>
  <c r="M282" i="4"/>
  <c r="T281" i="4"/>
  <c r="P281" i="4"/>
  <c r="S281" i="4" s="1"/>
  <c r="U281" i="4" s="1"/>
  <c r="N281" i="4"/>
  <c r="S280" i="4"/>
  <c r="M280" i="4"/>
  <c r="S279" i="4"/>
  <c r="M279" i="4"/>
  <c r="S278" i="4"/>
  <c r="M278" i="4"/>
  <c r="J277" i="4" s="1"/>
  <c r="T277" i="4"/>
  <c r="N277" i="4"/>
  <c r="S276" i="4"/>
  <c r="M276" i="4"/>
  <c r="S275" i="4"/>
  <c r="M275" i="4"/>
  <c r="J274" i="4" s="1"/>
  <c r="M274" i="4" s="1"/>
  <c r="T274" i="4"/>
  <c r="N274" i="4"/>
  <c r="S273" i="4"/>
  <c r="P271" i="4" s="1"/>
  <c r="S271" i="4" s="1"/>
  <c r="M273" i="4"/>
  <c r="S272" i="4"/>
  <c r="M272" i="4"/>
  <c r="T271" i="4"/>
  <c r="N271" i="4"/>
  <c r="S270" i="4"/>
  <c r="M270" i="4"/>
  <c r="S269" i="4"/>
  <c r="M269" i="4"/>
  <c r="S268" i="4"/>
  <c r="M268" i="4"/>
  <c r="T267" i="4"/>
  <c r="N267" i="4"/>
  <c r="S266" i="4"/>
  <c r="M266" i="4"/>
  <c r="S265" i="4"/>
  <c r="M265" i="4"/>
  <c r="T264" i="4"/>
  <c r="N264" i="4"/>
  <c r="S263" i="4"/>
  <c r="M263" i="4"/>
  <c r="S262" i="4"/>
  <c r="M262" i="4"/>
  <c r="T261" i="4"/>
  <c r="N261" i="4"/>
  <c r="S260" i="4"/>
  <c r="M260" i="4"/>
  <c r="S259" i="4"/>
  <c r="M259" i="4"/>
  <c r="S258" i="4"/>
  <c r="M258" i="4"/>
  <c r="T257" i="4"/>
  <c r="N257" i="4"/>
  <c r="S256" i="4"/>
  <c r="M256" i="4"/>
  <c r="S255" i="4"/>
  <c r="M255" i="4"/>
  <c r="T254" i="4"/>
  <c r="N254" i="4"/>
  <c r="S253" i="4"/>
  <c r="M253" i="4"/>
  <c r="S252" i="4"/>
  <c r="M252" i="4"/>
  <c r="J251" i="4" s="1"/>
  <c r="T251" i="4"/>
  <c r="N251" i="4"/>
  <c r="S250" i="4"/>
  <c r="M250" i="4"/>
  <c r="S249" i="4"/>
  <c r="M249" i="4"/>
  <c r="S248" i="4"/>
  <c r="M248" i="4"/>
  <c r="T247" i="4"/>
  <c r="N247" i="4"/>
  <c r="S246" i="4"/>
  <c r="M246" i="4"/>
  <c r="S245" i="4"/>
  <c r="M245" i="4"/>
  <c r="T244" i="4"/>
  <c r="N244" i="4"/>
  <c r="S243" i="4"/>
  <c r="M243" i="4"/>
  <c r="S242" i="4"/>
  <c r="M242" i="4"/>
  <c r="T241" i="4"/>
  <c r="N241" i="4"/>
  <c r="S240" i="4"/>
  <c r="M240" i="4"/>
  <c r="S239" i="4"/>
  <c r="M239" i="4"/>
  <c r="S238" i="4"/>
  <c r="M238" i="4"/>
  <c r="T237" i="4"/>
  <c r="N237" i="4"/>
  <c r="S236" i="4"/>
  <c r="M236" i="4"/>
  <c r="S235" i="4"/>
  <c r="M235" i="4"/>
  <c r="T234" i="4"/>
  <c r="N234" i="4"/>
  <c r="S233" i="4"/>
  <c r="M233" i="4"/>
  <c r="S232" i="4"/>
  <c r="M232" i="4"/>
  <c r="J231" i="4" s="1"/>
  <c r="T231" i="4"/>
  <c r="N231" i="4"/>
  <c r="S230" i="4"/>
  <c r="M230" i="4"/>
  <c r="S229" i="4"/>
  <c r="M229" i="4"/>
  <c r="S228" i="4"/>
  <c r="M228" i="4"/>
  <c r="T227" i="4"/>
  <c r="N227" i="4"/>
  <c r="S226" i="4"/>
  <c r="M226" i="4"/>
  <c r="S225" i="4"/>
  <c r="M225" i="4"/>
  <c r="T224" i="4"/>
  <c r="N224" i="4"/>
  <c r="S223" i="4"/>
  <c r="M223" i="4"/>
  <c r="S222" i="4"/>
  <c r="M222" i="4"/>
  <c r="T221" i="4"/>
  <c r="N221" i="4"/>
  <c r="S220" i="4"/>
  <c r="M220" i="4"/>
  <c r="S219" i="4"/>
  <c r="M219" i="4"/>
  <c r="S218" i="4"/>
  <c r="M218" i="4"/>
  <c r="T217" i="4"/>
  <c r="N217" i="4"/>
  <c r="S216" i="4"/>
  <c r="M216" i="4"/>
  <c r="S215" i="4"/>
  <c r="M215" i="4"/>
  <c r="S214" i="4"/>
  <c r="M214" i="4"/>
  <c r="S213" i="4"/>
  <c r="M213" i="4"/>
  <c r="U212" i="4"/>
  <c r="R212" i="4"/>
  <c r="O212" i="4"/>
  <c r="L212" i="4"/>
  <c r="S211" i="4"/>
  <c r="M211" i="4"/>
  <c r="S210" i="4"/>
  <c r="M210" i="4"/>
  <c r="S209" i="4"/>
  <c r="M209" i="4"/>
  <c r="S208" i="4"/>
  <c r="M208" i="4"/>
  <c r="U207" i="4"/>
  <c r="R207" i="4"/>
  <c r="O207" i="4"/>
  <c r="L207" i="4"/>
  <c r="S206" i="4"/>
  <c r="M206" i="4"/>
  <c r="S205" i="4"/>
  <c r="M205" i="4"/>
  <c r="S204" i="4"/>
  <c r="M204" i="4"/>
  <c r="S203" i="4"/>
  <c r="M203" i="4"/>
  <c r="U202" i="4"/>
  <c r="R202" i="4"/>
  <c r="O202" i="4"/>
  <c r="L202" i="4"/>
  <c r="S201" i="4"/>
  <c r="M201" i="4"/>
  <c r="S200" i="4"/>
  <c r="M200" i="4"/>
  <c r="S199" i="4"/>
  <c r="M199" i="4"/>
  <c r="U198" i="4"/>
  <c r="R198" i="4"/>
  <c r="O198" i="4"/>
  <c r="L198" i="4"/>
  <c r="S197" i="4"/>
  <c r="M197" i="4"/>
  <c r="S196" i="4"/>
  <c r="M196" i="4"/>
  <c r="S195" i="4"/>
  <c r="M195" i="4"/>
  <c r="S194" i="4"/>
  <c r="M194" i="4"/>
  <c r="U193" i="4"/>
  <c r="R193" i="4"/>
  <c r="O193" i="4"/>
  <c r="L193" i="4"/>
  <c r="S192" i="4"/>
  <c r="M192" i="4"/>
  <c r="S191" i="4"/>
  <c r="M191" i="4"/>
  <c r="S190" i="4"/>
  <c r="M190" i="4"/>
  <c r="S189" i="4"/>
  <c r="M189" i="4"/>
  <c r="U188" i="4"/>
  <c r="R188" i="4"/>
  <c r="O188" i="4"/>
  <c r="L188" i="4"/>
  <c r="S187" i="4"/>
  <c r="M187" i="4"/>
  <c r="S186" i="4"/>
  <c r="M186" i="4"/>
  <c r="S185" i="4"/>
  <c r="M185" i="4"/>
  <c r="U184" i="4"/>
  <c r="R184" i="4"/>
  <c r="O184" i="4"/>
  <c r="L184" i="4"/>
  <c r="S183" i="4"/>
  <c r="M183" i="4"/>
  <c r="S182" i="4"/>
  <c r="M182" i="4"/>
  <c r="S181" i="4"/>
  <c r="M181" i="4"/>
  <c r="U180" i="4"/>
  <c r="R180" i="4"/>
  <c r="O180" i="4"/>
  <c r="L180" i="4"/>
  <c r="S179" i="4"/>
  <c r="M179" i="4"/>
  <c r="S178" i="4"/>
  <c r="M178" i="4"/>
  <c r="S177" i="4"/>
  <c r="M177" i="4"/>
  <c r="U176" i="4"/>
  <c r="R176" i="4"/>
  <c r="O176" i="4"/>
  <c r="L176" i="4"/>
  <c r="S175" i="4"/>
  <c r="M175" i="4"/>
  <c r="S174" i="4"/>
  <c r="M174" i="4"/>
  <c r="S173" i="4"/>
  <c r="M173" i="4"/>
  <c r="U172" i="4"/>
  <c r="R172" i="4"/>
  <c r="O172" i="4"/>
  <c r="L172" i="4"/>
  <c r="S171" i="4"/>
  <c r="M171" i="4"/>
  <c r="S170" i="4"/>
  <c r="M170" i="4"/>
  <c r="S169" i="4"/>
  <c r="M169" i="4"/>
  <c r="S168" i="4"/>
  <c r="M168" i="4"/>
  <c r="U167" i="4"/>
  <c r="R167" i="4"/>
  <c r="O167" i="4"/>
  <c r="L167" i="4"/>
  <c r="S166" i="4"/>
  <c r="M166" i="4"/>
  <c r="S165" i="4"/>
  <c r="M165" i="4"/>
  <c r="S164" i="4"/>
  <c r="M164" i="4"/>
  <c r="S163" i="4"/>
  <c r="M163" i="4"/>
  <c r="U162" i="4"/>
  <c r="R162" i="4"/>
  <c r="O162" i="4"/>
  <c r="L162" i="4"/>
  <c r="S161" i="4"/>
  <c r="M161" i="4"/>
  <c r="S160" i="4"/>
  <c r="M160" i="4"/>
  <c r="S159" i="4"/>
  <c r="M159" i="4"/>
  <c r="U158" i="4"/>
  <c r="R158" i="4"/>
  <c r="O158" i="4"/>
  <c r="L158" i="4"/>
  <c r="S157" i="4"/>
  <c r="M157" i="4"/>
  <c r="S156" i="4"/>
  <c r="M156" i="4"/>
  <c r="S155" i="4"/>
  <c r="M155" i="4"/>
  <c r="U154" i="4"/>
  <c r="R154" i="4"/>
  <c r="O154" i="4"/>
  <c r="L154" i="4"/>
  <c r="S153" i="4"/>
  <c r="M153" i="4"/>
  <c r="S152" i="4"/>
  <c r="M152" i="4"/>
  <c r="S151" i="4"/>
  <c r="M151" i="4"/>
  <c r="S150" i="4"/>
  <c r="M150" i="4"/>
  <c r="U149" i="4"/>
  <c r="R149" i="4"/>
  <c r="O149" i="4"/>
  <c r="L149" i="4"/>
  <c r="S148" i="4"/>
  <c r="M148" i="4"/>
  <c r="S147" i="4"/>
  <c r="M147" i="4"/>
  <c r="S146" i="4"/>
  <c r="M146" i="4"/>
  <c r="S145" i="4"/>
  <c r="M145" i="4"/>
  <c r="U144" i="4"/>
  <c r="R144" i="4"/>
  <c r="O144" i="4"/>
  <c r="L144" i="4"/>
  <c r="S143" i="4"/>
  <c r="M143" i="4"/>
  <c r="S142" i="4"/>
  <c r="M142" i="4"/>
  <c r="T141" i="4"/>
  <c r="N141" i="4"/>
  <c r="S138" i="4"/>
  <c r="M138" i="4"/>
  <c r="T137" i="4"/>
  <c r="N137" i="4"/>
  <c r="J137" i="4"/>
  <c r="S136" i="4"/>
  <c r="M136" i="4"/>
  <c r="S135" i="4"/>
  <c r="M135" i="4"/>
  <c r="S134" i="4"/>
  <c r="M134" i="4"/>
  <c r="T133" i="4"/>
  <c r="N133" i="4"/>
  <c r="N100" i="4" s="1"/>
  <c r="S132" i="4"/>
  <c r="M132" i="4"/>
  <c r="S131" i="4"/>
  <c r="M131" i="4"/>
  <c r="S130" i="4"/>
  <c r="M130" i="4"/>
  <c r="S129" i="4"/>
  <c r="M129" i="4"/>
  <c r="U128" i="4"/>
  <c r="R128" i="4"/>
  <c r="O128" i="4"/>
  <c r="L128" i="4"/>
  <c r="S127" i="4"/>
  <c r="M127" i="4"/>
  <c r="S126" i="4"/>
  <c r="M126" i="4"/>
  <c r="S125" i="4"/>
  <c r="M125" i="4"/>
  <c r="S124" i="4"/>
  <c r="M124" i="4"/>
  <c r="U123" i="4"/>
  <c r="R123" i="4"/>
  <c r="O123" i="4"/>
  <c r="L123" i="4"/>
  <c r="S122" i="4"/>
  <c r="M122" i="4"/>
  <c r="S121" i="4"/>
  <c r="M121" i="4"/>
  <c r="U120" i="4"/>
  <c r="R120" i="4"/>
  <c r="O120" i="4"/>
  <c r="L120" i="4"/>
  <c r="S119" i="4"/>
  <c r="M119" i="4"/>
  <c r="S118" i="4"/>
  <c r="M118" i="4"/>
  <c r="S117" i="4"/>
  <c r="M117" i="4"/>
  <c r="U116" i="4"/>
  <c r="R116" i="4"/>
  <c r="O116" i="4"/>
  <c r="L116" i="4"/>
  <c r="S115" i="4"/>
  <c r="M115" i="4"/>
  <c r="S114" i="4"/>
  <c r="M114" i="4"/>
  <c r="S113" i="4"/>
  <c r="M113" i="4"/>
  <c r="S112" i="4"/>
  <c r="M112" i="4"/>
  <c r="U111" i="4"/>
  <c r="R111" i="4"/>
  <c r="O111" i="4"/>
  <c r="L111" i="4"/>
  <c r="S110" i="4"/>
  <c r="M110" i="4"/>
  <c r="S109" i="4"/>
  <c r="M109" i="4"/>
  <c r="S108" i="4"/>
  <c r="M108" i="4"/>
  <c r="S107" i="4"/>
  <c r="M107" i="4"/>
  <c r="U106" i="4"/>
  <c r="R106" i="4"/>
  <c r="O106" i="4"/>
  <c r="L106" i="4"/>
  <c r="S105" i="4"/>
  <c r="M105" i="4"/>
  <c r="S104" i="4"/>
  <c r="M104" i="4"/>
  <c r="S103" i="4"/>
  <c r="M103" i="4"/>
  <c r="S102" i="4"/>
  <c r="M102" i="4"/>
  <c r="U101" i="4"/>
  <c r="R101" i="4"/>
  <c r="O101" i="4"/>
  <c r="L101" i="4"/>
  <c r="S99" i="4"/>
  <c r="M99" i="4"/>
  <c r="U98" i="4"/>
  <c r="R98" i="4"/>
  <c r="O98" i="4"/>
  <c r="L98" i="4"/>
  <c r="S97" i="4"/>
  <c r="M97" i="4"/>
  <c r="S96" i="4"/>
  <c r="M96" i="4"/>
  <c r="U95" i="4"/>
  <c r="R95" i="4"/>
  <c r="O95" i="4"/>
  <c r="L95" i="4"/>
  <c r="S94" i="4"/>
  <c r="M94" i="4"/>
  <c r="S93" i="4"/>
  <c r="M93" i="4"/>
  <c r="U92" i="4"/>
  <c r="R92" i="4"/>
  <c r="O92" i="4"/>
  <c r="L92" i="4"/>
  <c r="T91" i="4"/>
  <c r="S91" i="4"/>
  <c r="N91" i="4"/>
  <c r="M91" i="4"/>
  <c r="S90" i="4"/>
  <c r="M90" i="4"/>
  <c r="S89" i="4"/>
  <c r="M89" i="4"/>
  <c r="S88" i="4"/>
  <c r="M88" i="4"/>
  <c r="T87" i="4"/>
  <c r="N87" i="4"/>
  <c r="S86" i="4"/>
  <c r="M86" i="4"/>
  <c r="S85" i="4"/>
  <c r="M85" i="4"/>
  <c r="S84" i="4"/>
  <c r="M84" i="4"/>
  <c r="T83" i="4"/>
  <c r="N83" i="4"/>
  <c r="S82" i="4"/>
  <c r="M82" i="4"/>
  <c r="S81" i="4"/>
  <c r="M81" i="4"/>
  <c r="S80" i="4"/>
  <c r="M80" i="4"/>
  <c r="T79" i="4"/>
  <c r="N79" i="4"/>
  <c r="S78" i="4"/>
  <c r="M78" i="4"/>
  <c r="S77" i="4"/>
  <c r="M77" i="4"/>
  <c r="S76" i="4"/>
  <c r="M76" i="4"/>
  <c r="U75" i="4"/>
  <c r="R75" i="4"/>
  <c r="O75" i="4"/>
  <c r="L75" i="4"/>
  <c r="S74" i="4"/>
  <c r="M74" i="4"/>
  <c r="S73" i="4"/>
  <c r="M73" i="4"/>
  <c r="S72" i="4"/>
  <c r="M72" i="4"/>
  <c r="S71" i="4"/>
  <c r="M71" i="4"/>
  <c r="U70" i="4"/>
  <c r="R70" i="4"/>
  <c r="O70" i="4"/>
  <c r="L70" i="4"/>
  <c r="S69" i="4"/>
  <c r="M69" i="4"/>
  <c r="S68" i="4"/>
  <c r="M68" i="4"/>
  <c r="S67" i="4"/>
  <c r="M67" i="4"/>
  <c r="U66" i="4"/>
  <c r="R66" i="4"/>
  <c r="O66" i="4"/>
  <c r="L66" i="4"/>
  <c r="S65" i="4"/>
  <c r="M65" i="4"/>
  <c r="S64" i="4"/>
  <c r="M64" i="4"/>
  <c r="S63" i="4"/>
  <c r="M63" i="4"/>
  <c r="S62" i="4"/>
  <c r="M62" i="4"/>
  <c r="U61" i="4"/>
  <c r="R61" i="4"/>
  <c r="O61" i="4"/>
  <c r="L61" i="4"/>
  <c r="S60" i="4"/>
  <c r="M60" i="4"/>
  <c r="U59" i="4"/>
  <c r="R59" i="4"/>
  <c r="O59" i="4"/>
  <c r="L59" i="4"/>
  <c r="S58" i="4"/>
  <c r="M58" i="4"/>
  <c r="U57" i="4"/>
  <c r="R57" i="4"/>
  <c r="O57" i="4"/>
  <c r="L57" i="4"/>
  <c r="S56" i="4"/>
  <c r="M56" i="4"/>
  <c r="S55" i="4"/>
  <c r="M55" i="4"/>
  <c r="U54" i="4"/>
  <c r="R54" i="4"/>
  <c r="O54" i="4"/>
  <c r="L54" i="4"/>
  <c r="S48" i="4"/>
  <c r="M48" i="4"/>
  <c r="S47" i="4"/>
  <c r="M47" i="4"/>
  <c r="S46" i="4"/>
  <c r="M46" i="4"/>
  <c r="T45" i="4"/>
  <c r="T44" i="4" s="1"/>
  <c r="N45" i="4"/>
  <c r="N44" i="4" s="1"/>
  <c r="S43" i="4"/>
  <c r="M43" i="4"/>
  <c r="S42" i="4"/>
  <c r="M42" i="4"/>
  <c r="S41" i="4"/>
  <c r="M41" i="4"/>
  <c r="S40" i="4"/>
  <c r="M40" i="4"/>
  <c r="U39" i="4"/>
  <c r="R39" i="4"/>
  <c r="O39" i="4"/>
  <c r="L39" i="4"/>
  <c r="S38" i="4"/>
  <c r="M38" i="4"/>
  <c r="S37" i="4"/>
  <c r="M37" i="4"/>
  <c r="S36" i="4"/>
  <c r="M36" i="4"/>
  <c r="S35" i="4"/>
  <c r="M35" i="4"/>
  <c r="T34" i="4"/>
  <c r="N34" i="4"/>
  <c r="S33" i="4"/>
  <c r="M33" i="4"/>
  <c r="S32" i="4"/>
  <c r="M32" i="4"/>
  <c r="S31" i="4"/>
  <c r="M31" i="4"/>
  <c r="S30" i="4"/>
  <c r="M30" i="4"/>
  <c r="T29" i="4"/>
  <c r="N29" i="4"/>
  <c r="S28" i="4"/>
  <c r="M28" i="4"/>
  <c r="S27" i="4"/>
  <c r="M27" i="4"/>
  <c r="S26" i="4"/>
  <c r="M26" i="4"/>
  <c r="S25" i="4"/>
  <c r="M25" i="4"/>
  <c r="T24" i="4"/>
  <c r="N24" i="4"/>
  <c r="S22" i="4"/>
  <c r="M22" i="4"/>
  <c r="S21" i="4"/>
  <c r="M21" i="4"/>
  <c r="S20" i="4"/>
  <c r="M20" i="4"/>
  <c r="S19" i="4"/>
  <c r="M19" i="4"/>
  <c r="S18" i="4"/>
  <c r="M18" i="4"/>
  <c r="T17" i="4"/>
  <c r="N17" i="4"/>
  <c r="N16" i="4" s="1"/>
  <c r="T14" i="4"/>
  <c r="T13" i="4" s="1"/>
  <c r="R14" i="4"/>
  <c r="N14" i="4"/>
  <c r="N13" i="4" s="1"/>
  <c r="L14" i="4"/>
  <c r="S13" i="4"/>
  <c r="M13" i="4"/>
  <c r="V581" i="1"/>
  <c r="S581" i="1"/>
  <c r="Y581" i="1" s="1"/>
  <c r="M581" i="1"/>
  <c r="W580" i="1"/>
  <c r="T580" i="1"/>
  <c r="Z580" i="1" s="1"/>
  <c r="N580" i="1"/>
  <c r="J580" i="1"/>
  <c r="M580" i="1" s="1"/>
  <c r="O580" i="1" s="1"/>
  <c r="Y579" i="1"/>
  <c r="V579" i="1"/>
  <c r="S579" i="1"/>
  <c r="M579" i="1"/>
  <c r="W578" i="1"/>
  <c r="T578" i="1"/>
  <c r="Z578" i="1" s="1"/>
  <c r="P578" i="1"/>
  <c r="S578" i="1" s="1"/>
  <c r="N578" i="1"/>
  <c r="J578" i="1"/>
  <c r="M578" i="1" s="1"/>
  <c r="O578" i="1" s="1"/>
  <c r="X577" i="1"/>
  <c r="W577" i="1"/>
  <c r="U577" i="1"/>
  <c r="T577" i="1"/>
  <c r="Z577" i="1" s="1"/>
  <c r="R577" i="1"/>
  <c r="N577" i="1"/>
  <c r="O577" i="1" s="1"/>
  <c r="O572" i="1" s="1"/>
  <c r="L577" i="1"/>
  <c r="V576" i="1"/>
  <c r="S576" i="1"/>
  <c r="Y576" i="1" s="1"/>
  <c r="M576" i="1"/>
  <c r="V575" i="1"/>
  <c r="S575" i="1"/>
  <c r="Y575" i="1" s="1"/>
  <c r="M575" i="1"/>
  <c r="Z574" i="1"/>
  <c r="X574" i="1"/>
  <c r="W574" i="1"/>
  <c r="Z573" i="1"/>
  <c r="Y573" i="1"/>
  <c r="AA573" i="1" s="1"/>
  <c r="W573" i="1"/>
  <c r="V573" i="1"/>
  <c r="U573" i="1"/>
  <c r="R573" i="1"/>
  <c r="X573" i="1" s="1"/>
  <c r="O573" i="1"/>
  <c r="L573" i="1"/>
  <c r="T572" i="1"/>
  <c r="N572" i="1"/>
  <c r="V571" i="1"/>
  <c r="S571" i="1"/>
  <c r="Y571" i="1" s="1"/>
  <c r="M571" i="1"/>
  <c r="V570" i="1"/>
  <c r="S570" i="1"/>
  <c r="Y570" i="1" s="1"/>
  <c r="M570" i="1"/>
  <c r="W569" i="1"/>
  <c r="T569" i="1"/>
  <c r="Z569" i="1" s="1"/>
  <c r="P569" i="1"/>
  <c r="S569" i="1" s="1"/>
  <c r="N569" i="1"/>
  <c r="V568" i="1"/>
  <c r="S568" i="1"/>
  <c r="Y568" i="1" s="1"/>
  <c r="M568" i="1"/>
  <c r="V567" i="1"/>
  <c r="S567" i="1"/>
  <c r="Y567" i="1" s="1"/>
  <c r="M567" i="1"/>
  <c r="W566" i="1"/>
  <c r="T566" i="1"/>
  <c r="P566" i="1"/>
  <c r="S566" i="1" s="1"/>
  <c r="S553" i="1" s="1"/>
  <c r="N566" i="1"/>
  <c r="J566" i="1"/>
  <c r="V565" i="1"/>
  <c r="S565" i="1"/>
  <c r="Y565" i="1" s="1"/>
  <c r="M565" i="1"/>
  <c r="Y564" i="1"/>
  <c r="V564" i="1"/>
  <c r="S564" i="1"/>
  <c r="M564" i="1"/>
  <c r="V563" i="1"/>
  <c r="S563" i="1"/>
  <c r="Y563" i="1" s="1"/>
  <c r="M563" i="1"/>
  <c r="V562" i="1"/>
  <c r="S562" i="1"/>
  <c r="Y562" i="1" s="1"/>
  <c r="M562" i="1"/>
  <c r="Z561" i="1"/>
  <c r="X561" i="1"/>
  <c r="W561" i="1"/>
  <c r="AA560" i="1"/>
  <c r="Z560" i="1"/>
  <c r="Y560" i="1"/>
  <c r="W560" i="1"/>
  <c r="V560" i="1"/>
  <c r="U560" i="1"/>
  <c r="R560" i="1"/>
  <c r="X560" i="1" s="1"/>
  <c r="O560" i="1"/>
  <c r="L560" i="1"/>
  <c r="V559" i="1"/>
  <c r="S559" i="1"/>
  <c r="Y559" i="1" s="1"/>
  <c r="M559" i="1"/>
  <c r="V558" i="1"/>
  <c r="S558" i="1"/>
  <c r="Y558" i="1" s="1"/>
  <c r="M558" i="1"/>
  <c r="V557" i="1"/>
  <c r="S557" i="1"/>
  <c r="Y557" i="1" s="1"/>
  <c r="M557" i="1"/>
  <c r="V556" i="1"/>
  <c r="S556" i="1"/>
  <c r="Y556" i="1" s="1"/>
  <c r="M556" i="1"/>
  <c r="Z555" i="1"/>
  <c r="X555" i="1"/>
  <c r="W555" i="1"/>
  <c r="Z554" i="1"/>
  <c r="Y554" i="1"/>
  <c r="AA554" i="1" s="1"/>
  <c r="X554" i="1"/>
  <c r="W554" i="1"/>
  <c r="V554" i="1"/>
  <c r="U554" i="1"/>
  <c r="R554" i="1"/>
  <c r="O554" i="1"/>
  <c r="L554" i="1"/>
  <c r="N553" i="1"/>
  <c r="Y552" i="1"/>
  <c r="V552" i="1"/>
  <c r="S552" i="1"/>
  <c r="M552" i="1"/>
  <c r="Y551" i="1"/>
  <c r="V551" i="1"/>
  <c r="S551" i="1"/>
  <c r="P550" i="1" s="1"/>
  <c r="M551" i="1"/>
  <c r="W550" i="1"/>
  <c r="T550" i="1"/>
  <c r="Z550" i="1" s="1"/>
  <c r="S550" i="1"/>
  <c r="N550" i="1"/>
  <c r="J550" i="1"/>
  <c r="M550" i="1" s="1"/>
  <c r="Y549" i="1"/>
  <c r="V549" i="1"/>
  <c r="S549" i="1"/>
  <c r="M549" i="1"/>
  <c r="Y548" i="1"/>
  <c r="V548" i="1"/>
  <c r="S548" i="1"/>
  <c r="P547" i="1" s="1"/>
  <c r="M548" i="1"/>
  <c r="W547" i="1"/>
  <c r="T547" i="1"/>
  <c r="Z547" i="1" s="1"/>
  <c r="N547" i="1"/>
  <c r="J547" i="1"/>
  <c r="M547" i="1" s="1"/>
  <c r="O547" i="1" s="1"/>
  <c r="Y546" i="1"/>
  <c r="V546" i="1"/>
  <c r="S546" i="1"/>
  <c r="M546" i="1"/>
  <c r="Y545" i="1"/>
  <c r="V545" i="1"/>
  <c r="S545" i="1"/>
  <c r="P544" i="1" s="1"/>
  <c r="M545" i="1"/>
  <c r="W544" i="1"/>
  <c r="T544" i="1"/>
  <c r="T510" i="1" s="1"/>
  <c r="S544" i="1"/>
  <c r="N544" i="1"/>
  <c r="J544" i="1"/>
  <c r="M544" i="1" s="1"/>
  <c r="Y543" i="1"/>
  <c r="V543" i="1"/>
  <c r="S543" i="1"/>
  <c r="M543" i="1"/>
  <c r="Y542" i="1"/>
  <c r="V542" i="1"/>
  <c r="S542" i="1"/>
  <c r="M542" i="1"/>
  <c r="Y541" i="1"/>
  <c r="V541" i="1"/>
  <c r="S541" i="1"/>
  <c r="M541" i="1"/>
  <c r="Y540" i="1"/>
  <c r="V540" i="1"/>
  <c r="S540" i="1"/>
  <c r="M540" i="1"/>
  <c r="Z539" i="1"/>
  <c r="X539" i="1"/>
  <c r="W539" i="1"/>
  <c r="Z538" i="1"/>
  <c r="Y538" i="1"/>
  <c r="AA538" i="1" s="1"/>
  <c r="X538" i="1"/>
  <c r="W538" i="1"/>
  <c r="V538" i="1"/>
  <c r="U538" i="1"/>
  <c r="R538" i="1"/>
  <c r="O538" i="1"/>
  <c r="L538" i="1"/>
  <c r="V537" i="1"/>
  <c r="S537" i="1"/>
  <c r="Y537" i="1" s="1"/>
  <c r="M537" i="1"/>
  <c r="Y536" i="1"/>
  <c r="V536" i="1"/>
  <c r="S536" i="1"/>
  <c r="M536" i="1"/>
  <c r="V535" i="1"/>
  <c r="S535" i="1"/>
  <c r="Y535" i="1" s="1"/>
  <c r="M535" i="1"/>
  <c r="Y534" i="1"/>
  <c r="V534" i="1"/>
  <c r="S534" i="1"/>
  <c r="M534" i="1"/>
  <c r="Z533" i="1"/>
  <c r="X533" i="1"/>
  <c r="W533" i="1"/>
  <c r="AA532" i="1"/>
  <c r="Z532" i="1"/>
  <c r="Y532" i="1"/>
  <c r="W532" i="1"/>
  <c r="V532" i="1"/>
  <c r="U532" i="1"/>
  <c r="R532" i="1"/>
  <c r="X532" i="1" s="1"/>
  <c r="O532" i="1"/>
  <c r="L532" i="1"/>
  <c r="V531" i="1"/>
  <c r="S531" i="1"/>
  <c r="Y531" i="1" s="1"/>
  <c r="M531" i="1"/>
  <c r="V530" i="1"/>
  <c r="S530" i="1"/>
  <c r="Y530" i="1" s="1"/>
  <c r="M530" i="1"/>
  <c r="V529" i="1"/>
  <c r="S529" i="1"/>
  <c r="Y529" i="1" s="1"/>
  <c r="M529" i="1"/>
  <c r="V528" i="1"/>
  <c r="S528" i="1"/>
  <c r="Y528" i="1" s="1"/>
  <c r="M528" i="1"/>
  <c r="Z527" i="1"/>
  <c r="X527" i="1"/>
  <c r="W527" i="1"/>
  <c r="Z526" i="1"/>
  <c r="Y526" i="1"/>
  <c r="AA526" i="1" s="1"/>
  <c r="X526" i="1"/>
  <c r="W526" i="1"/>
  <c r="V526" i="1"/>
  <c r="U526" i="1"/>
  <c r="R526" i="1"/>
  <c r="O526" i="1"/>
  <c r="L526" i="1"/>
  <c r="Y525" i="1"/>
  <c r="V525" i="1"/>
  <c r="S525" i="1"/>
  <c r="M525" i="1"/>
  <c r="V524" i="1"/>
  <c r="S524" i="1"/>
  <c r="Y524" i="1" s="1"/>
  <c r="M524" i="1"/>
  <c r="Y523" i="1"/>
  <c r="V523" i="1"/>
  <c r="S523" i="1"/>
  <c r="M523" i="1"/>
  <c r="V522" i="1"/>
  <c r="S522" i="1"/>
  <c r="Y522" i="1" s="1"/>
  <c r="M522" i="1"/>
  <c r="Z521" i="1"/>
  <c r="X521" i="1"/>
  <c r="W521" i="1"/>
  <c r="Z520" i="1"/>
  <c r="Y520" i="1"/>
  <c r="AA520" i="1" s="1"/>
  <c r="X520" i="1"/>
  <c r="W520" i="1"/>
  <c r="V520" i="1"/>
  <c r="U520" i="1"/>
  <c r="R520" i="1"/>
  <c r="O520" i="1"/>
  <c r="L520" i="1"/>
  <c r="Y519" i="1"/>
  <c r="V519" i="1"/>
  <c r="S519" i="1"/>
  <c r="M519" i="1"/>
  <c r="Y518" i="1"/>
  <c r="V518" i="1"/>
  <c r="S518" i="1"/>
  <c r="M518" i="1"/>
  <c r="AA517" i="1"/>
  <c r="Z517" i="1"/>
  <c r="Y517" i="1"/>
  <c r="X517" i="1"/>
  <c r="W517" i="1"/>
  <c r="V517" i="1"/>
  <c r="U517" i="1"/>
  <c r="R517" i="1"/>
  <c r="O517" i="1"/>
  <c r="L517" i="1"/>
  <c r="V516" i="1"/>
  <c r="S516" i="1"/>
  <c r="Y516" i="1" s="1"/>
  <c r="M516" i="1"/>
  <c r="V515" i="1"/>
  <c r="S515" i="1"/>
  <c r="Y515" i="1" s="1"/>
  <c r="M515" i="1"/>
  <c r="Z514" i="1"/>
  <c r="Y514" i="1"/>
  <c r="AA514" i="1" s="1"/>
  <c r="W514" i="1"/>
  <c r="V514" i="1"/>
  <c r="U514" i="1"/>
  <c r="R514" i="1"/>
  <c r="X514" i="1" s="1"/>
  <c r="O514" i="1"/>
  <c r="L514" i="1"/>
  <c r="Y513" i="1"/>
  <c r="V513" i="1"/>
  <c r="S513" i="1"/>
  <c r="M513" i="1"/>
  <c r="Y512" i="1"/>
  <c r="V512" i="1"/>
  <c r="S512" i="1"/>
  <c r="M512" i="1"/>
  <c r="AA511" i="1"/>
  <c r="Z511" i="1"/>
  <c r="Y511" i="1"/>
  <c r="W511" i="1"/>
  <c r="V511" i="1"/>
  <c r="U511" i="1"/>
  <c r="R511" i="1"/>
  <c r="X511" i="1" s="1"/>
  <c r="O511" i="1"/>
  <c r="L511" i="1"/>
  <c r="Y508" i="1"/>
  <c r="V508" i="1"/>
  <c r="S508" i="1"/>
  <c r="M508" i="1"/>
  <c r="Y507" i="1"/>
  <c r="V507" i="1"/>
  <c r="S507" i="1"/>
  <c r="M507" i="1"/>
  <c r="Y506" i="1"/>
  <c r="V506" i="1"/>
  <c r="S506" i="1"/>
  <c r="M506" i="1"/>
  <c r="Y505" i="1"/>
  <c r="V505" i="1"/>
  <c r="S505" i="1"/>
  <c r="M505" i="1"/>
  <c r="Y504" i="1"/>
  <c r="V504" i="1"/>
  <c r="S504" i="1"/>
  <c r="M504" i="1"/>
  <c r="J502" i="1" s="1"/>
  <c r="Y503" i="1"/>
  <c r="V503" i="1"/>
  <c r="S503" i="1"/>
  <c r="M503" i="1"/>
  <c r="Z502" i="1"/>
  <c r="X502" i="1"/>
  <c r="W502" i="1"/>
  <c r="T502" i="1"/>
  <c r="S502" i="1"/>
  <c r="P502" i="1"/>
  <c r="R502" i="1" s="1"/>
  <c r="N502" i="1"/>
  <c r="Y501" i="1"/>
  <c r="V501" i="1"/>
  <c r="S501" i="1"/>
  <c r="M501" i="1"/>
  <c r="Y500" i="1"/>
  <c r="V500" i="1"/>
  <c r="S500" i="1"/>
  <c r="M500" i="1"/>
  <c r="Y499" i="1"/>
  <c r="V499" i="1"/>
  <c r="S499" i="1"/>
  <c r="M499" i="1"/>
  <c r="Y498" i="1"/>
  <c r="V498" i="1"/>
  <c r="S498" i="1"/>
  <c r="M498" i="1"/>
  <c r="Y497" i="1"/>
  <c r="V497" i="1"/>
  <c r="S497" i="1"/>
  <c r="M497" i="1"/>
  <c r="J495" i="1" s="1"/>
  <c r="Y496" i="1"/>
  <c r="V496" i="1"/>
  <c r="S496" i="1"/>
  <c r="M496" i="1"/>
  <c r="Z495" i="1"/>
  <c r="X495" i="1"/>
  <c r="W495" i="1"/>
  <c r="T495" i="1"/>
  <c r="S495" i="1"/>
  <c r="P495" i="1"/>
  <c r="R495" i="1" s="1"/>
  <c r="N495" i="1"/>
  <c r="Y494" i="1"/>
  <c r="V494" i="1"/>
  <c r="S494" i="1"/>
  <c r="M494" i="1"/>
  <c r="Y493" i="1"/>
  <c r="V493" i="1"/>
  <c r="S493" i="1"/>
  <c r="M493" i="1"/>
  <c r="Y492" i="1"/>
  <c r="V492" i="1"/>
  <c r="S492" i="1"/>
  <c r="P491" i="1" s="1"/>
  <c r="M492" i="1"/>
  <c r="W491" i="1"/>
  <c r="T491" i="1"/>
  <c r="Z491" i="1" s="1"/>
  <c r="N491" i="1"/>
  <c r="J491" i="1"/>
  <c r="Y490" i="1"/>
  <c r="V490" i="1"/>
  <c r="S490" i="1"/>
  <c r="M490" i="1"/>
  <c r="Y489" i="1"/>
  <c r="V489" i="1"/>
  <c r="S489" i="1"/>
  <c r="P488" i="1" s="1"/>
  <c r="M489" i="1"/>
  <c r="J488" i="1" s="1"/>
  <c r="W488" i="1"/>
  <c r="T488" i="1"/>
  <c r="Z488" i="1" s="1"/>
  <c r="N488" i="1"/>
  <c r="Y487" i="1"/>
  <c r="V487" i="1"/>
  <c r="S487" i="1"/>
  <c r="M487" i="1"/>
  <c r="Y486" i="1"/>
  <c r="V486" i="1"/>
  <c r="S486" i="1"/>
  <c r="P485" i="1" s="1"/>
  <c r="M486" i="1"/>
  <c r="W485" i="1"/>
  <c r="T485" i="1"/>
  <c r="Z485" i="1" s="1"/>
  <c r="S485" i="1"/>
  <c r="N485" i="1"/>
  <c r="J485" i="1"/>
  <c r="Y484" i="1"/>
  <c r="V484" i="1"/>
  <c r="S484" i="1"/>
  <c r="M484" i="1"/>
  <c r="Y483" i="1"/>
  <c r="V483" i="1"/>
  <c r="S483" i="1"/>
  <c r="P482" i="1" s="1"/>
  <c r="M483" i="1"/>
  <c r="J482" i="1" s="1"/>
  <c r="W482" i="1"/>
  <c r="T482" i="1"/>
  <c r="Z482" i="1" s="1"/>
  <c r="S482" i="1"/>
  <c r="N482" i="1"/>
  <c r="Y481" i="1"/>
  <c r="V481" i="1"/>
  <c r="S481" i="1"/>
  <c r="M481" i="1"/>
  <c r="Y480" i="1"/>
  <c r="V480" i="1"/>
  <c r="S480" i="1"/>
  <c r="P479" i="1" s="1"/>
  <c r="M480" i="1"/>
  <c r="W479" i="1"/>
  <c r="T479" i="1"/>
  <c r="Z479" i="1" s="1"/>
  <c r="N479" i="1"/>
  <c r="J479" i="1"/>
  <c r="Y478" i="1"/>
  <c r="V478" i="1"/>
  <c r="S478" i="1"/>
  <c r="M478" i="1"/>
  <c r="Y477" i="1"/>
  <c r="V477" i="1"/>
  <c r="S477" i="1"/>
  <c r="P476" i="1" s="1"/>
  <c r="M477" i="1"/>
  <c r="J476" i="1" s="1"/>
  <c r="W476" i="1"/>
  <c r="T476" i="1"/>
  <c r="Z476" i="1" s="1"/>
  <c r="N476" i="1"/>
  <c r="Y475" i="1"/>
  <c r="V475" i="1"/>
  <c r="S475" i="1"/>
  <c r="M475" i="1"/>
  <c r="Y474" i="1"/>
  <c r="V474" i="1"/>
  <c r="S474" i="1"/>
  <c r="M474" i="1"/>
  <c r="J472" i="1" s="1"/>
  <c r="Y473" i="1"/>
  <c r="V473" i="1"/>
  <c r="S473" i="1"/>
  <c r="M473" i="1"/>
  <c r="W472" i="1"/>
  <c r="T472" i="1"/>
  <c r="Z472" i="1" s="1"/>
  <c r="S472" i="1"/>
  <c r="P472" i="1"/>
  <c r="R472" i="1" s="1"/>
  <c r="X472" i="1" s="1"/>
  <c r="N472" i="1"/>
  <c r="Y471" i="1"/>
  <c r="V471" i="1"/>
  <c r="S471" i="1"/>
  <c r="M471" i="1"/>
  <c r="J469" i="1" s="1"/>
  <c r="Y470" i="1"/>
  <c r="V470" i="1"/>
  <c r="S470" i="1"/>
  <c r="M470" i="1"/>
  <c r="W469" i="1"/>
  <c r="T469" i="1"/>
  <c r="Z469" i="1" s="1"/>
  <c r="S469" i="1"/>
  <c r="P469" i="1"/>
  <c r="N469" i="1"/>
  <c r="Y468" i="1"/>
  <c r="V468" i="1"/>
  <c r="S468" i="1"/>
  <c r="P466" i="1" s="1"/>
  <c r="M468" i="1"/>
  <c r="J466" i="1" s="1"/>
  <c r="Y467" i="1"/>
  <c r="V467" i="1"/>
  <c r="S467" i="1"/>
  <c r="M467" i="1"/>
  <c r="W466" i="1"/>
  <c r="T466" i="1"/>
  <c r="Z466" i="1" s="1"/>
  <c r="N466" i="1"/>
  <c r="V465" i="1"/>
  <c r="S465" i="1"/>
  <c r="Y465" i="1" s="1"/>
  <c r="M465" i="1"/>
  <c r="Y464" i="1"/>
  <c r="V464" i="1"/>
  <c r="S464" i="1"/>
  <c r="M464" i="1"/>
  <c r="V463" i="1"/>
  <c r="S463" i="1"/>
  <c r="M463" i="1"/>
  <c r="W462" i="1"/>
  <c r="T462" i="1"/>
  <c r="Z462" i="1" s="1"/>
  <c r="N462" i="1"/>
  <c r="J462" i="1"/>
  <c r="Y461" i="1"/>
  <c r="V461" i="1"/>
  <c r="S461" i="1"/>
  <c r="M461" i="1"/>
  <c r="V460" i="1"/>
  <c r="S460" i="1"/>
  <c r="M460" i="1"/>
  <c r="W459" i="1"/>
  <c r="T459" i="1"/>
  <c r="Z459" i="1" s="1"/>
  <c r="N459" i="1"/>
  <c r="L459" i="1"/>
  <c r="J459" i="1"/>
  <c r="M459" i="1" s="1"/>
  <c r="O459" i="1" s="1"/>
  <c r="Y458" i="1"/>
  <c r="V458" i="1"/>
  <c r="S458" i="1"/>
  <c r="M458" i="1"/>
  <c r="V457" i="1"/>
  <c r="S457" i="1"/>
  <c r="M457" i="1"/>
  <c r="W456" i="1"/>
  <c r="T456" i="1"/>
  <c r="Z456" i="1" s="1"/>
  <c r="N456" i="1"/>
  <c r="J456" i="1"/>
  <c r="Y455" i="1"/>
  <c r="V455" i="1"/>
  <c r="S455" i="1"/>
  <c r="M455" i="1"/>
  <c r="V454" i="1"/>
  <c r="S454" i="1"/>
  <c r="M454" i="1"/>
  <c r="J452" i="1" s="1"/>
  <c r="Y453" i="1"/>
  <c r="V453" i="1"/>
  <c r="S453" i="1"/>
  <c r="M453" i="1"/>
  <c r="W452" i="1"/>
  <c r="T452" i="1"/>
  <c r="Z452" i="1" s="1"/>
  <c r="N452" i="1"/>
  <c r="V450" i="1"/>
  <c r="S450" i="1"/>
  <c r="Y450" i="1" s="1"/>
  <c r="M450" i="1"/>
  <c r="V449" i="1"/>
  <c r="S449" i="1"/>
  <c r="Y449" i="1" s="1"/>
  <c r="M449" i="1"/>
  <c r="J448" i="1" s="1"/>
  <c r="Z448" i="1"/>
  <c r="W448" i="1"/>
  <c r="T448" i="1"/>
  <c r="P448" i="1"/>
  <c r="N448" i="1"/>
  <c r="V447" i="1"/>
  <c r="S447" i="1"/>
  <c r="Y447" i="1" s="1"/>
  <c r="M447" i="1"/>
  <c r="V446" i="1"/>
  <c r="S446" i="1"/>
  <c r="Y446" i="1" s="1"/>
  <c r="M446" i="1"/>
  <c r="J445" i="1" s="1"/>
  <c r="Z445" i="1"/>
  <c r="W445" i="1"/>
  <c r="T445" i="1"/>
  <c r="P445" i="1"/>
  <c r="N445" i="1"/>
  <c r="V444" i="1"/>
  <c r="S444" i="1"/>
  <c r="Y444" i="1" s="1"/>
  <c r="M444" i="1"/>
  <c r="V443" i="1"/>
  <c r="S443" i="1"/>
  <c r="Y443" i="1" s="1"/>
  <c r="M443" i="1"/>
  <c r="J442" i="1" s="1"/>
  <c r="W442" i="1"/>
  <c r="T442" i="1"/>
  <c r="Z442" i="1" s="1"/>
  <c r="P442" i="1"/>
  <c r="N442" i="1"/>
  <c r="V441" i="1"/>
  <c r="S441" i="1"/>
  <c r="Y441" i="1" s="1"/>
  <c r="M441" i="1"/>
  <c r="V440" i="1"/>
  <c r="S440" i="1"/>
  <c r="Y440" i="1" s="1"/>
  <c r="M440" i="1"/>
  <c r="J439" i="1" s="1"/>
  <c r="W439" i="1"/>
  <c r="T439" i="1"/>
  <c r="Z439" i="1" s="1"/>
  <c r="Z432" i="1" s="1"/>
  <c r="P439" i="1"/>
  <c r="N439" i="1"/>
  <c r="V438" i="1"/>
  <c r="S438" i="1"/>
  <c r="Y438" i="1" s="1"/>
  <c r="M438" i="1"/>
  <c r="V437" i="1"/>
  <c r="S437" i="1"/>
  <c r="Y437" i="1" s="1"/>
  <c r="M437" i="1"/>
  <c r="V436" i="1"/>
  <c r="S436" i="1"/>
  <c r="Y436" i="1" s="1"/>
  <c r="M436" i="1"/>
  <c r="V435" i="1"/>
  <c r="S435" i="1"/>
  <c r="Y435" i="1" s="1"/>
  <c r="M435" i="1"/>
  <c r="Z434" i="1"/>
  <c r="X434" i="1"/>
  <c r="W434" i="1"/>
  <c r="Z433" i="1"/>
  <c r="Y433" i="1"/>
  <c r="AA433" i="1" s="1"/>
  <c r="W433" i="1"/>
  <c r="V433" i="1"/>
  <c r="U433" i="1"/>
  <c r="R433" i="1"/>
  <c r="X433" i="1" s="1"/>
  <c r="O433" i="1"/>
  <c r="L433" i="1"/>
  <c r="T432" i="1"/>
  <c r="N432" i="1"/>
  <c r="Y431" i="1"/>
  <c r="V431" i="1"/>
  <c r="S431" i="1"/>
  <c r="M431" i="1"/>
  <c r="Y430" i="1"/>
  <c r="V430" i="1"/>
  <c r="S430" i="1"/>
  <c r="M430" i="1"/>
  <c r="Y429" i="1"/>
  <c r="V429" i="1"/>
  <c r="S429" i="1"/>
  <c r="M429" i="1"/>
  <c r="Y428" i="1"/>
  <c r="V428" i="1"/>
  <c r="S428" i="1"/>
  <c r="P427" i="1" s="1"/>
  <c r="M428" i="1"/>
  <c r="W427" i="1"/>
  <c r="T427" i="1"/>
  <c r="Z427" i="1" s="1"/>
  <c r="N427" i="1"/>
  <c r="J427" i="1"/>
  <c r="L427" i="1" s="1"/>
  <c r="Y426" i="1"/>
  <c r="V426" i="1"/>
  <c r="S426" i="1"/>
  <c r="M426" i="1"/>
  <c r="Y425" i="1"/>
  <c r="V425" i="1"/>
  <c r="S425" i="1"/>
  <c r="M425" i="1"/>
  <c r="Y424" i="1"/>
  <c r="V424" i="1"/>
  <c r="S424" i="1"/>
  <c r="M424" i="1"/>
  <c r="Y423" i="1"/>
  <c r="V423" i="1"/>
  <c r="S423" i="1"/>
  <c r="P422" i="1" s="1"/>
  <c r="S422" i="1" s="1"/>
  <c r="M423" i="1"/>
  <c r="X422" i="1"/>
  <c r="W422" i="1"/>
  <c r="V422" i="1"/>
  <c r="T422" i="1"/>
  <c r="Z422" i="1" s="1"/>
  <c r="R422" i="1"/>
  <c r="N422" i="1"/>
  <c r="Y421" i="1"/>
  <c r="V421" i="1"/>
  <c r="S421" i="1"/>
  <c r="M421" i="1"/>
  <c r="Y420" i="1"/>
  <c r="V420" i="1"/>
  <c r="S420" i="1"/>
  <c r="M420" i="1"/>
  <c r="Y419" i="1"/>
  <c r="V419" i="1"/>
  <c r="S419" i="1"/>
  <c r="M419" i="1"/>
  <c r="J418" i="1" s="1"/>
  <c r="X418" i="1"/>
  <c r="W418" i="1"/>
  <c r="V418" i="1"/>
  <c r="T418" i="1"/>
  <c r="Z418" i="1" s="1"/>
  <c r="S418" i="1"/>
  <c r="R418" i="1"/>
  <c r="P418" i="1"/>
  <c r="N418" i="1"/>
  <c r="Y417" i="1"/>
  <c r="V417" i="1"/>
  <c r="S417" i="1"/>
  <c r="M417" i="1"/>
  <c r="Y416" i="1"/>
  <c r="V416" i="1"/>
  <c r="S416" i="1"/>
  <c r="M416" i="1"/>
  <c r="Z415" i="1"/>
  <c r="X415" i="1"/>
  <c r="W415" i="1"/>
  <c r="V415" i="1"/>
  <c r="T415" i="1"/>
  <c r="S415" i="1"/>
  <c r="R415" i="1"/>
  <c r="P415" i="1"/>
  <c r="N415" i="1"/>
  <c r="J415" i="1"/>
  <c r="L415" i="1" s="1"/>
  <c r="Y414" i="1"/>
  <c r="V414" i="1"/>
  <c r="S414" i="1"/>
  <c r="M414" i="1"/>
  <c r="Y413" i="1"/>
  <c r="V413" i="1"/>
  <c r="S413" i="1"/>
  <c r="M413" i="1"/>
  <c r="Z412" i="1"/>
  <c r="W412" i="1"/>
  <c r="V412" i="1"/>
  <c r="T412" i="1"/>
  <c r="S412" i="1"/>
  <c r="R412" i="1"/>
  <c r="X412" i="1" s="1"/>
  <c r="P412" i="1"/>
  <c r="N412" i="1"/>
  <c r="J412" i="1"/>
  <c r="L412" i="1" s="1"/>
  <c r="Y411" i="1"/>
  <c r="V411" i="1"/>
  <c r="S411" i="1"/>
  <c r="M411" i="1"/>
  <c r="Y410" i="1"/>
  <c r="V410" i="1"/>
  <c r="S410" i="1"/>
  <c r="M410" i="1"/>
  <c r="Y409" i="1"/>
  <c r="V409" i="1"/>
  <c r="S409" i="1"/>
  <c r="P408" i="1" s="1"/>
  <c r="S408" i="1" s="1"/>
  <c r="M409" i="1"/>
  <c r="J408" i="1" s="1"/>
  <c r="L408" i="1" s="1"/>
  <c r="W408" i="1"/>
  <c r="T408" i="1"/>
  <c r="Z408" i="1" s="1"/>
  <c r="N408" i="1"/>
  <c r="M408" i="1"/>
  <c r="O408" i="1" s="1"/>
  <c r="Y407" i="1"/>
  <c r="V407" i="1"/>
  <c r="S407" i="1"/>
  <c r="M407" i="1"/>
  <c r="Y406" i="1"/>
  <c r="V406" i="1"/>
  <c r="S406" i="1"/>
  <c r="M406" i="1"/>
  <c r="Z405" i="1"/>
  <c r="W405" i="1"/>
  <c r="V405" i="1"/>
  <c r="T405" i="1"/>
  <c r="R405" i="1"/>
  <c r="X405" i="1" s="1"/>
  <c r="P405" i="1"/>
  <c r="S405" i="1" s="1"/>
  <c r="Y405" i="1" s="1"/>
  <c r="AA405" i="1" s="1"/>
  <c r="N405" i="1"/>
  <c r="M405" i="1"/>
  <c r="O405" i="1" s="1"/>
  <c r="L405" i="1"/>
  <c r="J405" i="1"/>
  <c r="V404" i="1"/>
  <c r="S404" i="1"/>
  <c r="Y404" i="1" s="1"/>
  <c r="M404" i="1"/>
  <c r="V403" i="1"/>
  <c r="S403" i="1"/>
  <c r="M403" i="1"/>
  <c r="Z402" i="1"/>
  <c r="W402" i="1"/>
  <c r="T402" i="1"/>
  <c r="N402" i="1"/>
  <c r="M402" i="1"/>
  <c r="O402" i="1" s="1"/>
  <c r="L402" i="1"/>
  <c r="J402" i="1"/>
  <c r="V401" i="1"/>
  <c r="S401" i="1"/>
  <c r="Y401" i="1" s="1"/>
  <c r="M401" i="1"/>
  <c r="V400" i="1"/>
  <c r="S400" i="1"/>
  <c r="Y400" i="1" s="1"/>
  <c r="M400" i="1"/>
  <c r="J398" i="1" s="1"/>
  <c r="V399" i="1"/>
  <c r="S399" i="1"/>
  <c r="Y399" i="1" s="1"/>
  <c r="M399" i="1"/>
  <c r="Z398" i="1"/>
  <c r="W398" i="1"/>
  <c r="T398" i="1"/>
  <c r="N398" i="1"/>
  <c r="V397" i="1"/>
  <c r="S397" i="1"/>
  <c r="Y397" i="1" s="1"/>
  <c r="M397" i="1"/>
  <c r="J395" i="1" s="1"/>
  <c r="V396" i="1"/>
  <c r="S396" i="1"/>
  <c r="Y396" i="1" s="1"/>
  <c r="M396" i="1"/>
  <c r="Z395" i="1"/>
  <c r="W395" i="1"/>
  <c r="T395" i="1"/>
  <c r="N395" i="1"/>
  <c r="V394" i="1"/>
  <c r="S394" i="1"/>
  <c r="Y394" i="1" s="1"/>
  <c r="M394" i="1"/>
  <c r="V393" i="1"/>
  <c r="S393" i="1"/>
  <c r="Y393" i="1" s="1"/>
  <c r="M393" i="1"/>
  <c r="Z392" i="1"/>
  <c r="W392" i="1"/>
  <c r="T392" i="1"/>
  <c r="P392" i="1"/>
  <c r="R392" i="1" s="1"/>
  <c r="X392" i="1" s="1"/>
  <c r="N392" i="1"/>
  <c r="M392" i="1"/>
  <c r="O392" i="1" s="1"/>
  <c r="L392" i="1"/>
  <c r="J392" i="1"/>
  <c r="V391" i="1"/>
  <c r="S391" i="1"/>
  <c r="Y391" i="1" s="1"/>
  <c r="M391" i="1"/>
  <c r="V390" i="1"/>
  <c r="S390" i="1"/>
  <c r="Y390" i="1" s="1"/>
  <c r="M390" i="1"/>
  <c r="V389" i="1"/>
  <c r="S389" i="1"/>
  <c r="M389" i="1"/>
  <c r="Z388" i="1"/>
  <c r="W388" i="1"/>
  <c r="T388" i="1"/>
  <c r="N388" i="1"/>
  <c r="M388" i="1"/>
  <c r="O388" i="1" s="1"/>
  <c r="L388" i="1"/>
  <c r="J388" i="1"/>
  <c r="V387" i="1"/>
  <c r="S387" i="1"/>
  <c r="Y387" i="1" s="1"/>
  <c r="M387" i="1"/>
  <c r="V386" i="1"/>
  <c r="S386" i="1"/>
  <c r="M386" i="1"/>
  <c r="Z385" i="1"/>
  <c r="W385" i="1"/>
  <c r="T385" i="1"/>
  <c r="N385" i="1"/>
  <c r="M385" i="1"/>
  <c r="O385" i="1" s="1"/>
  <c r="L385" i="1"/>
  <c r="J385" i="1"/>
  <c r="V384" i="1"/>
  <c r="S384" i="1"/>
  <c r="Y384" i="1" s="1"/>
  <c r="M384" i="1"/>
  <c r="V383" i="1"/>
  <c r="S383" i="1"/>
  <c r="M383" i="1"/>
  <c r="Z382" i="1"/>
  <c r="W382" i="1"/>
  <c r="T382" i="1"/>
  <c r="N382" i="1"/>
  <c r="M382" i="1"/>
  <c r="O382" i="1" s="1"/>
  <c r="L382" i="1"/>
  <c r="J382" i="1"/>
  <c r="V381" i="1"/>
  <c r="S381" i="1"/>
  <c r="Y381" i="1" s="1"/>
  <c r="M381" i="1"/>
  <c r="V380" i="1"/>
  <c r="S380" i="1"/>
  <c r="Y380" i="1" s="1"/>
  <c r="M380" i="1"/>
  <c r="J378" i="1" s="1"/>
  <c r="V379" i="1"/>
  <c r="S379" i="1"/>
  <c r="Y379" i="1" s="1"/>
  <c r="M379" i="1"/>
  <c r="Z378" i="1"/>
  <c r="W378" i="1"/>
  <c r="T378" i="1"/>
  <c r="N378" i="1"/>
  <c r="V377" i="1"/>
  <c r="S377" i="1"/>
  <c r="Y377" i="1" s="1"/>
  <c r="M377" i="1"/>
  <c r="V376" i="1"/>
  <c r="S376" i="1"/>
  <c r="Y376" i="1" s="1"/>
  <c r="M376" i="1"/>
  <c r="Z375" i="1"/>
  <c r="W375" i="1"/>
  <c r="T375" i="1"/>
  <c r="P375" i="1"/>
  <c r="R375" i="1" s="1"/>
  <c r="X375" i="1" s="1"/>
  <c r="N375" i="1"/>
  <c r="M375" i="1"/>
  <c r="O375" i="1" s="1"/>
  <c r="L375" i="1"/>
  <c r="J375" i="1"/>
  <c r="V374" i="1"/>
  <c r="S374" i="1"/>
  <c r="Y374" i="1" s="1"/>
  <c r="M374" i="1"/>
  <c r="V373" i="1"/>
  <c r="S373" i="1"/>
  <c r="Y373" i="1" s="1"/>
  <c r="M373" i="1"/>
  <c r="Z372" i="1"/>
  <c r="W372" i="1"/>
  <c r="T372" i="1"/>
  <c r="P372" i="1"/>
  <c r="R372" i="1" s="1"/>
  <c r="X372" i="1" s="1"/>
  <c r="N372" i="1"/>
  <c r="M372" i="1"/>
  <c r="O372" i="1" s="1"/>
  <c r="L372" i="1"/>
  <c r="J372" i="1"/>
  <c r="V371" i="1"/>
  <c r="S371" i="1"/>
  <c r="Y371" i="1" s="1"/>
  <c r="M371" i="1"/>
  <c r="V370" i="1"/>
  <c r="S370" i="1"/>
  <c r="Y370" i="1" s="1"/>
  <c r="M370" i="1"/>
  <c r="V369" i="1"/>
  <c r="S369" i="1"/>
  <c r="M369" i="1"/>
  <c r="Z368" i="1"/>
  <c r="W368" i="1"/>
  <c r="T368" i="1"/>
  <c r="N368" i="1"/>
  <c r="M368" i="1"/>
  <c r="O368" i="1" s="1"/>
  <c r="L368" i="1"/>
  <c r="J368" i="1"/>
  <c r="V367" i="1"/>
  <c r="S367" i="1"/>
  <c r="Y367" i="1" s="1"/>
  <c r="M367" i="1"/>
  <c r="V366" i="1"/>
  <c r="S366" i="1"/>
  <c r="M366" i="1"/>
  <c r="Z365" i="1"/>
  <c r="W365" i="1"/>
  <c r="T365" i="1"/>
  <c r="N365" i="1"/>
  <c r="M365" i="1"/>
  <c r="O365" i="1" s="1"/>
  <c r="L365" i="1"/>
  <c r="J365" i="1"/>
  <c r="V364" i="1"/>
  <c r="S364" i="1"/>
  <c r="Y364" i="1" s="1"/>
  <c r="M364" i="1"/>
  <c r="V363" i="1"/>
  <c r="S363" i="1"/>
  <c r="M363" i="1"/>
  <c r="Z362" i="1"/>
  <c r="W362" i="1"/>
  <c r="T362" i="1"/>
  <c r="N362" i="1"/>
  <c r="M362" i="1"/>
  <c r="O362" i="1" s="1"/>
  <c r="L362" i="1"/>
  <c r="J362" i="1"/>
  <c r="V361" i="1"/>
  <c r="S361" i="1"/>
  <c r="Y361" i="1" s="1"/>
  <c r="M361" i="1"/>
  <c r="V360" i="1"/>
  <c r="S360" i="1"/>
  <c r="Y360" i="1" s="1"/>
  <c r="M360" i="1"/>
  <c r="J358" i="1" s="1"/>
  <c r="V359" i="1"/>
  <c r="S359" i="1"/>
  <c r="Y359" i="1" s="1"/>
  <c r="M359" i="1"/>
  <c r="Z358" i="1"/>
  <c r="W358" i="1"/>
  <c r="T358" i="1"/>
  <c r="N358" i="1"/>
  <c r="V357" i="1"/>
  <c r="S357" i="1"/>
  <c r="Y357" i="1" s="1"/>
  <c r="M357" i="1"/>
  <c r="V356" i="1"/>
  <c r="S356" i="1"/>
  <c r="Y356" i="1" s="1"/>
  <c r="M356" i="1"/>
  <c r="Z355" i="1"/>
  <c r="W355" i="1"/>
  <c r="T355" i="1"/>
  <c r="P355" i="1"/>
  <c r="R355" i="1" s="1"/>
  <c r="X355" i="1" s="1"/>
  <c r="N355" i="1"/>
  <c r="M355" i="1"/>
  <c r="O355" i="1" s="1"/>
  <c r="L355" i="1"/>
  <c r="J355" i="1"/>
  <c r="V354" i="1"/>
  <c r="S354" i="1"/>
  <c r="Y354" i="1" s="1"/>
  <c r="M354" i="1"/>
  <c r="V353" i="1"/>
  <c r="S353" i="1"/>
  <c r="Y353" i="1" s="1"/>
  <c r="M353" i="1"/>
  <c r="Z352" i="1"/>
  <c r="W352" i="1"/>
  <c r="T352" i="1"/>
  <c r="P352" i="1"/>
  <c r="R352" i="1" s="1"/>
  <c r="X352" i="1" s="1"/>
  <c r="N352" i="1"/>
  <c r="M352" i="1"/>
  <c r="O352" i="1" s="1"/>
  <c r="L352" i="1"/>
  <c r="J352" i="1"/>
  <c r="V351" i="1"/>
  <c r="S351" i="1"/>
  <c r="Y351" i="1" s="1"/>
  <c r="M351" i="1"/>
  <c r="V350" i="1"/>
  <c r="S350" i="1"/>
  <c r="Y350" i="1" s="1"/>
  <c r="M350" i="1"/>
  <c r="V349" i="1"/>
  <c r="S349" i="1"/>
  <c r="M349" i="1"/>
  <c r="Z348" i="1"/>
  <c r="W348" i="1"/>
  <c r="T348" i="1"/>
  <c r="N348" i="1"/>
  <c r="M348" i="1"/>
  <c r="O348" i="1" s="1"/>
  <c r="L348" i="1"/>
  <c r="J348" i="1"/>
  <c r="V347" i="1"/>
  <c r="S347" i="1"/>
  <c r="Y347" i="1" s="1"/>
  <c r="M347" i="1"/>
  <c r="V346" i="1"/>
  <c r="S346" i="1"/>
  <c r="Y346" i="1" s="1"/>
  <c r="M346" i="1"/>
  <c r="V345" i="1"/>
  <c r="S345" i="1"/>
  <c r="Y345" i="1" s="1"/>
  <c r="M345" i="1"/>
  <c r="V344" i="1"/>
  <c r="S344" i="1"/>
  <c r="Y344" i="1" s="1"/>
  <c r="M344" i="1"/>
  <c r="V343" i="1"/>
  <c r="S343" i="1"/>
  <c r="Y343" i="1" s="1"/>
  <c r="M343" i="1"/>
  <c r="V342" i="1"/>
  <c r="S342" i="1"/>
  <c r="Y342" i="1" s="1"/>
  <c r="M342" i="1"/>
  <c r="V341" i="1"/>
  <c r="S341" i="1"/>
  <c r="Y341" i="1" s="1"/>
  <c r="M341" i="1"/>
  <c r="V340" i="1"/>
  <c r="S340" i="1"/>
  <c r="Y340" i="1" s="1"/>
  <c r="M340" i="1"/>
  <c r="Z339" i="1"/>
  <c r="X339" i="1"/>
  <c r="W339" i="1"/>
  <c r="Z338" i="1"/>
  <c r="Y338" i="1"/>
  <c r="AA338" i="1" s="1"/>
  <c r="X338" i="1"/>
  <c r="W338" i="1"/>
  <c r="V338" i="1"/>
  <c r="U338" i="1"/>
  <c r="R338" i="1"/>
  <c r="O338" i="1"/>
  <c r="L338" i="1"/>
  <c r="Y337" i="1"/>
  <c r="V337" i="1"/>
  <c r="S337" i="1"/>
  <c r="M337" i="1"/>
  <c r="Y336" i="1"/>
  <c r="V336" i="1"/>
  <c r="S336" i="1"/>
  <c r="M336" i="1"/>
  <c r="Y335" i="1"/>
  <c r="V335" i="1"/>
  <c r="S335" i="1"/>
  <c r="M335" i="1"/>
  <c r="Y334" i="1"/>
  <c r="V334" i="1"/>
  <c r="S334" i="1"/>
  <c r="M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Y330" i="1"/>
  <c r="V330" i="1"/>
  <c r="S330" i="1"/>
  <c r="M330" i="1"/>
  <c r="Z329" i="1"/>
  <c r="X329" i="1"/>
  <c r="W329" i="1"/>
  <c r="Z328" i="1"/>
  <c r="Y328" i="1"/>
  <c r="AA328" i="1" s="1"/>
  <c r="W328" i="1"/>
  <c r="V328" i="1"/>
  <c r="U328" i="1"/>
  <c r="R328" i="1"/>
  <c r="X328" i="1" s="1"/>
  <c r="O328" i="1"/>
  <c r="L328" i="1"/>
  <c r="Y327" i="1"/>
  <c r="V327" i="1"/>
  <c r="S327" i="1"/>
  <c r="M327" i="1"/>
  <c r="Y326" i="1"/>
  <c r="V326" i="1"/>
  <c r="S326" i="1"/>
  <c r="M326" i="1"/>
  <c r="Y325" i="1"/>
  <c r="V325" i="1"/>
  <c r="S325" i="1"/>
  <c r="M325" i="1"/>
  <c r="Y324" i="1"/>
  <c r="V324" i="1"/>
  <c r="S324" i="1"/>
  <c r="M324" i="1"/>
  <c r="Y323" i="1"/>
  <c r="V323" i="1"/>
  <c r="S323" i="1"/>
  <c r="M323" i="1"/>
  <c r="Y322" i="1"/>
  <c r="V322" i="1"/>
  <c r="S322" i="1"/>
  <c r="M322" i="1"/>
  <c r="Y321" i="1"/>
  <c r="V321" i="1"/>
  <c r="S321" i="1"/>
  <c r="M321" i="1"/>
  <c r="Y320" i="1"/>
  <c r="V320" i="1"/>
  <c r="S320" i="1"/>
  <c r="M320" i="1"/>
  <c r="Z319" i="1"/>
  <c r="X319" i="1"/>
  <c r="W319" i="1"/>
  <c r="AA318" i="1"/>
  <c r="Z318" i="1"/>
  <c r="Y318" i="1"/>
  <c r="X318" i="1"/>
  <c r="W318" i="1"/>
  <c r="V318" i="1"/>
  <c r="U318" i="1"/>
  <c r="R318" i="1"/>
  <c r="O318" i="1"/>
  <c r="L318" i="1"/>
  <c r="V317" i="1"/>
  <c r="S317" i="1"/>
  <c r="Y317" i="1" s="1"/>
  <c r="M317" i="1"/>
  <c r="V316" i="1"/>
  <c r="S316" i="1"/>
  <c r="Y316" i="1" s="1"/>
  <c r="M316" i="1"/>
  <c r="V315" i="1"/>
  <c r="S315" i="1"/>
  <c r="Y315" i="1" s="1"/>
  <c r="M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Z311" i="1"/>
  <c r="X311" i="1"/>
  <c r="W311" i="1"/>
  <c r="AA310" i="1"/>
  <c r="Z310" i="1"/>
  <c r="Y310" i="1"/>
  <c r="X310" i="1"/>
  <c r="W310" i="1"/>
  <c r="V310" i="1"/>
  <c r="U310" i="1"/>
  <c r="R310" i="1"/>
  <c r="O310" i="1"/>
  <c r="L310" i="1"/>
  <c r="V309" i="1"/>
  <c r="S309" i="1"/>
  <c r="Y309" i="1" s="1"/>
  <c r="M309" i="1"/>
  <c r="V308" i="1"/>
  <c r="S308" i="1"/>
  <c r="Y308" i="1" s="1"/>
  <c r="M308" i="1"/>
  <c r="V307" i="1"/>
  <c r="S307" i="1"/>
  <c r="Y307" i="1" s="1"/>
  <c r="M307" i="1"/>
  <c r="V306" i="1"/>
  <c r="S306" i="1"/>
  <c r="Y306" i="1" s="1"/>
  <c r="M306" i="1"/>
  <c r="V305" i="1"/>
  <c r="S305" i="1"/>
  <c r="Y305" i="1" s="1"/>
  <c r="M305" i="1"/>
  <c r="V304" i="1"/>
  <c r="S304" i="1"/>
  <c r="Y304" i="1" s="1"/>
  <c r="M304" i="1"/>
  <c r="V303" i="1"/>
  <c r="S303" i="1"/>
  <c r="Y303" i="1" s="1"/>
  <c r="M303" i="1"/>
  <c r="V302" i="1"/>
  <c r="S302" i="1"/>
  <c r="Y302" i="1" s="1"/>
  <c r="M302" i="1"/>
  <c r="Z301" i="1"/>
  <c r="X301" i="1"/>
  <c r="W301" i="1"/>
  <c r="Z300" i="1"/>
  <c r="Y300" i="1"/>
  <c r="AA300" i="1" s="1"/>
  <c r="W300" i="1"/>
  <c r="V300" i="1"/>
  <c r="U300" i="1"/>
  <c r="R300" i="1"/>
  <c r="X300" i="1" s="1"/>
  <c r="O300" i="1"/>
  <c r="L300" i="1"/>
  <c r="Y299" i="1"/>
  <c r="V299" i="1"/>
  <c r="S299" i="1"/>
  <c r="M299" i="1"/>
  <c r="Y298" i="1"/>
  <c r="V298" i="1"/>
  <c r="S298" i="1"/>
  <c r="M298" i="1"/>
  <c r="Y297" i="1"/>
  <c r="V297" i="1"/>
  <c r="S297" i="1"/>
  <c r="M297" i="1"/>
  <c r="Y296" i="1"/>
  <c r="V296" i="1"/>
  <c r="S296" i="1"/>
  <c r="M296" i="1"/>
  <c r="Y295" i="1"/>
  <c r="V295" i="1"/>
  <c r="S295" i="1"/>
  <c r="M295" i="1"/>
  <c r="Y294" i="1"/>
  <c r="V294" i="1"/>
  <c r="S294" i="1"/>
  <c r="M294" i="1"/>
  <c r="Y293" i="1"/>
  <c r="V293" i="1"/>
  <c r="S293" i="1"/>
  <c r="M293" i="1"/>
  <c r="Y292" i="1"/>
  <c r="V292" i="1"/>
  <c r="S292" i="1"/>
  <c r="M292" i="1"/>
  <c r="Z291" i="1"/>
  <c r="X291" i="1"/>
  <c r="W291" i="1"/>
  <c r="Z290" i="1"/>
  <c r="Y290" i="1"/>
  <c r="W290" i="1"/>
  <c r="V290" i="1"/>
  <c r="U290" i="1"/>
  <c r="R290" i="1"/>
  <c r="X290" i="1" s="1"/>
  <c r="O290" i="1"/>
  <c r="L290" i="1"/>
  <c r="Y289" i="1"/>
  <c r="V289" i="1"/>
  <c r="S289" i="1"/>
  <c r="M289" i="1"/>
  <c r="Y288" i="1"/>
  <c r="V288" i="1"/>
  <c r="S288" i="1"/>
  <c r="M288" i="1"/>
  <c r="Y287" i="1"/>
  <c r="V287" i="1"/>
  <c r="S287" i="1"/>
  <c r="M287" i="1"/>
  <c r="AA286" i="1"/>
  <c r="Z286" i="1"/>
  <c r="Y286" i="1"/>
  <c r="X286" i="1"/>
  <c r="W286" i="1"/>
  <c r="V286" i="1"/>
  <c r="U286" i="1"/>
  <c r="R286" i="1"/>
  <c r="O286" i="1"/>
  <c r="L286" i="1"/>
  <c r="V285" i="1"/>
  <c r="S285" i="1"/>
  <c r="Y285" i="1" s="1"/>
  <c r="M285" i="1"/>
  <c r="V284" i="1"/>
  <c r="S284" i="1"/>
  <c r="Y284" i="1" s="1"/>
  <c r="M284" i="1"/>
  <c r="V283" i="1"/>
  <c r="S283" i="1"/>
  <c r="Y283" i="1" s="1"/>
  <c r="M283" i="1"/>
  <c r="Z282" i="1"/>
  <c r="Y282" i="1"/>
  <c r="AA282" i="1" s="1"/>
  <c r="W282" i="1"/>
  <c r="V282" i="1"/>
  <c r="U282" i="1"/>
  <c r="R282" i="1"/>
  <c r="X282" i="1" s="1"/>
  <c r="O282" i="1"/>
  <c r="L282" i="1"/>
  <c r="Y281" i="1"/>
  <c r="V281" i="1"/>
  <c r="S281" i="1"/>
  <c r="M281" i="1"/>
  <c r="Y280" i="1"/>
  <c r="V280" i="1"/>
  <c r="S280" i="1"/>
  <c r="M280" i="1"/>
  <c r="Y279" i="1"/>
  <c r="V279" i="1"/>
  <c r="S279" i="1"/>
  <c r="M279" i="1"/>
  <c r="AA278" i="1"/>
  <c r="Z278" i="1"/>
  <c r="Y278" i="1"/>
  <c r="W278" i="1"/>
  <c r="V278" i="1"/>
  <c r="U278" i="1"/>
  <c r="R278" i="1"/>
  <c r="X278" i="1" s="1"/>
  <c r="O278" i="1"/>
  <c r="L278" i="1"/>
  <c r="V277" i="1"/>
  <c r="S277" i="1"/>
  <c r="Y277" i="1" s="1"/>
  <c r="M277" i="1"/>
  <c r="V276" i="1"/>
  <c r="S276" i="1"/>
  <c r="Y276" i="1" s="1"/>
  <c r="M276" i="1"/>
  <c r="V275" i="1"/>
  <c r="S275" i="1"/>
  <c r="Y275" i="1" s="1"/>
  <c r="M275" i="1"/>
  <c r="V274" i="1"/>
  <c r="S274" i="1"/>
  <c r="Y274" i="1" s="1"/>
  <c r="M274" i="1"/>
  <c r="V273" i="1"/>
  <c r="S273" i="1"/>
  <c r="Y273" i="1" s="1"/>
  <c r="M273" i="1"/>
  <c r="V272" i="1"/>
  <c r="S272" i="1"/>
  <c r="Y272" i="1" s="1"/>
  <c r="M272" i="1"/>
  <c r="Z271" i="1"/>
  <c r="X271" i="1"/>
  <c r="W271" i="1"/>
  <c r="Z270" i="1"/>
  <c r="Y270" i="1"/>
  <c r="AA270" i="1" s="1"/>
  <c r="X270" i="1"/>
  <c r="W270" i="1"/>
  <c r="V270" i="1"/>
  <c r="U270" i="1"/>
  <c r="R270" i="1"/>
  <c r="O270" i="1"/>
  <c r="L270" i="1"/>
  <c r="Y269" i="1"/>
  <c r="V269" i="1"/>
  <c r="S269" i="1"/>
  <c r="M269" i="1"/>
  <c r="Y268" i="1"/>
  <c r="V268" i="1"/>
  <c r="S268" i="1"/>
  <c r="M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Y263" i="1"/>
  <c r="V263" i="1"/>
  <c r="S263" i="1"/>
  <c r="M263" i="1"/>
  <c r="Y262" i="1"/>
  <c r="V262" i="1"/>
  <c r="S262" i="1"/>
  <c r="M262" i="1"/>
  <c r="Z261" i="1"/>
  <c r="X261" i="1"/>
  <c r="W261" i="1"/>
  <c r="Z260" i="1"/>
  <c r="Y260" i="1"/>
  <c r="AA260" i="1" s="1"/>
  <c r="W260" i="1"/>
  <c r="V260" i="1"/>
  <c r="U260" i="1"/>
  <c r="R260" i="1"/>
  <c r="X260" i="1" s="1"/>
  <c r="O260" i="1"/>
  <c r="L260" i="1"/>
  <c r="Y259" i="1"/>
  <c r="V259" i="1"/>
  <c r="S259" i="1"/>
  <c r="M259" i="1"/>
  <c r="Y258" i="1"/>
  <c r="V258" i="1"/>
  <c r="S258" i="1"/>
  <c r="M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Y253" i="1"/>
  <c r="V253" i="1"/>
  <c r="S253" i="1"/>
  <c r="M253" i="1"/>
  <c r="Y252" i="1"/>
  <c r="V252" i="1"/>
  <c r="S252" i="1"/>
  <c r="M252" i="1"/>
  <c r="Z251" i="1"/>
  <c r="X251" i="1"/>
  <c r="W251" i="1"/>
  <c r="Z250" i="1"/>
  <c r="Y250" i="1"/>
  <c r="AA250" i="1" s="1"/>
  <c r="W250" i="1"/>
  <c r="V250" i="1"/>
  <c r="U250" i="1"/>
  <c r="R250" i="1"/>
  <c r="X250" i="1" s="1"/>
  <c r="O250" i="1"/>
  <c r="L250" i="1"/>
  <c r="V249" i="1"/>
  <c r="S249" i="1"/>
  <c r="Y249" i="1" s="1"/>
  <c r="M249" i="1"/>
  <c r="V248" i="1"/>
  <c r="S248" i="1"/>
  <c r="Y248" i="1" s="1"/>
  <c r="M248" i="1"/>
  <c r="V247" i="1"/>
  <c r="S247" i="1"/>
  <c r="Y247" i="1" s="1"/>
  <c r="M247" i="1"/>
  <c r="Y246" i="1"/>
  <c r="V246" i="1"/>
  <c r="S246" i="1"/>
  <c r="M246" i="1"/>
  <c r="V245" i="1"/>
  <c r="S245" i="1"/>
  <c r="Y245" i="1" s="1"/>
  <c r="M245" i="1"/>
  <c r="Y244" i="1"/>
  <c r="V244" i="1"/>
  <c r="S244" i="1"/>
  <c r="M244" i="1"/>
  <c r="Z243" i="1"/>
  <c r="X243" i="1"/>
  <c r="W243" i="1"/>
  <c r="Z242" i="1"/>
  <c r="AA242" i="1" s="1"/>
  <c r="Y242" i="1"/>
  <c r="W242" i="1"/>
  <c r="V242" i="1"/>
  <c r="U242" i="1"/>
  <c r="R242" i="1"/>
  <c r="X242" i="1" s="1"/>
  <c r="O242" i="1"/>
  <c r="L242" i="1"/>
  <c r="V241" i="1"/>
  <c r="S241" i="1"/>
  <c r="Y241" i="1" s="1"/>
  <c r="M241" i="1"/>
  <c r="V240" i="1"/>
  <c r="S240" i="1"/>
  <c r="Y240" i="1" s="1"/>
  <c r="M240" i="1"/>
  <c r="V239" i="1"/>
  <c r="S239" i="1"/>
  <c r="Y239" i="1" s="1"/>
  <c r="M239" i="1"/>
  <c r="V238" i="1"/>
  <c r="S238" i="1"/>
  <c r="Y238" i="1" s="1"/>
  <c r="M238" i="1"/>
  <c r="V237" i="1"/>
  <c r="S237" i="1"/>
  <c r="Y237" i="1" s="1"/>
  <c r="M237" i="1"/>
  <c r="V236" i="1"/>
  <c r="S236" i="1"/>
  <c r="Y236" i="1" s="1"/>
  <c r="M236" i="1"/>
  <c r="Z235" i="1"/>
  <c r="X235" i="1"/>
  <c r="W235" i="1"/>
  <c r="AA234" i="1"/>
  <c r="Z234" i="1"/>
  <c r="Y234" i="1"/>
  <c r="X234" i="1"/>
  <c r="W234" i="1"/>
  <c r="V234" i="1"/>
  <c r="U234" i="1"/>
  <c r="R234" i="1"/>
  <c r="O234" i="1"/>
  <c r="L234" i="1"/>
  <c r="Y233" i="1"/>
  <c r="V233" i="1"/>
  <c r="S233" i="1"/>
  <c r="M233" i="1"/>
  <c r="V232" i="1"/>
  <c r="S232" i="1"/>
  <c r="Y232" i="1" s="1"/>
  <c r="M232" i="1"/>
  <c r="Y231" i="1"/>
  <c r="V231" i="1"/>
  <c r="S231" i="1"/>
  <c r="M231" i="1"/>
  <c r="V230" i="1"/>
  <c r="S230" i="1"/>
  <c r="Y230" i="1" s="1"/>
  <c r="M230" i="1"/>
  <c r="Y229" i="1"/>
  <c r="V229" i="1"/>
  <c r="S229" i="1"/>
  <c r="M229" i="1"/>
  <c r="V228" i="1"/>
  <c r="S228" i="1"/>
  <c r="Y228" i="1" s="1"/>
  <c r="M228" i="1"/>
  <c r="Y227" i="1"/>
  <c r="V227" i="1"/>
  <c r="S227" i="1"/>
  <c r="M227" i="1"/>
  <c r="V226" i="1"/>
  <c r="S226" i="1"/>
  <c r="Y226" i="1" s="1"/>
  <c r="M226" i="1"/>
  <c r="Z225" i="1"/>
  <c r="X225" i="1"/>
  <c r="W225" i="1"/>
  <c r="Z224" i="1"/>
  <c r="Y224" i="1"/>
  <c r="AA224" i="1" s="1"/>
  <c r="W224" i="1"/>
  <c r="V224" i="1"/>
  <c r="U224" i="1"/>
  <c r="R224" i="1"/>
  <c r="X224" i="1" s="1"/>
  <c r="O224" i="1"/>
  <c r="L224" i="1"/>
  <c r="Y223" i="1"/>
  <c r="V223" i="1"/>
  <c r="S223" i="1"/>
  <c r="M223" i="1"/>
  <c r="Y222" i="1"/>
  <c r="V222" i="1"/>
  <c r="S222" i="1"/>
  <c r="M222" i="1"/>
  <c r="Y221" i="1"/>
  <c r="V221" i="1"/>
  <c r="S221" i="1"/>
  <c r="M221" i="1"/>
  <c r="Y220" i="1"/>
  <c r="V220" i="1"/>
  <c r="S220" i="1"/>
  <c r="M220" i="1"/>
  <c r="Y219" i="1"/>
  <c r="V219" i="1"/>
  <c r="S219" i="1"/>
  <c r="M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X215" i="1"/>
  <c r="W215" i="1"/>
  <c r="Z214" i="1"/>
  <c r="Y214" i="1"/>
  <c r="AA214" i="1" s="1"/>
  <c r="W214" i="1"/>
  <c r="V214" i="1"/>
  <c r="U214" i="1"/>
  <c r="R214" i="1"/>
  <c r="X214" i="1" s="1"/>
  <c r="O214" i="1"/>
  <c r="L214" i="1"/>
  <c r="Y213" i="1"/>
  <c r="V213" i="1"/>
  <c r="S213" i="1"/>
  <c r="M213" i="1"/>
  <c r="Y212" i="1"/>
  <c r="V212" i="1"/>
  <c r="S212" i="1"/>
  <c r="P211" i="1" s="1"/>
  <c r="M212" i="1"/>
  <c r="J211" i="1" s="1"/>
  <c r="W211" i="1"/>
  <c r="T211" i="1"/>
  <c r="Z211" i="1" s="1"/>
  <c r="N211" i="1"/>
  <c r="N210" i="1" s="1"/>
  <c r="T210" i="1"/>
  <c r="V208" i="1"/>
  <c r="S208" i="1"/>
  <c r="Y208" i="1" s="1"/>
  <c r="M208" i="1"/>
  <c r="W207" i="1"/>
  <c r="T207" i="1"/>
  <c r="Z207" i="1" s="1"/>
  <c r="Z138" i="1" s="1"/>
  <c r="N207" i="1"/>
  <c r="J207" i="1"/>
  <c r="M207" i="1" s="1"/>
  <c r="O207" i="1" s="1"/>
  <c r="Y206" i="1"/>
  <c r="V206" i="1"/>
  <c r="S206" i="1"/>
  <c r="M206" i="1"/>
  <c r="V205" i="1"/>
  <c r="S205" i="1"/>
  <c r="Y205" i="1" s="1"/>
  <c r="M205" i="1"/>
  <c r="Y204" i="1"/>
  <c r="V204" i="1"/>
  <c r="S204" i="1"/>
  <c r="M204" i="1"/>
  <c r="X203" i="1"/>
  <c r="W203" i="1"/>
  <c r="T203" i="1"/>
  <c r="Z203" i="1" s="1"/>
  <c r="R203" i="1"/>
  <c r="P203" i="1"/>
  <c r="S203" i="1" s="1"/>
  <c r="N203" i="1"/>
  <c r="N138" i="1" s="1"/>
  <c r="J203" i="1"/>
  <c r="M203" i="1" s="1"/>
  <c r="V202" i="1"/>
  <c r="S202" i="1"/>
  <c r="Y202" i="1" s="1"/>
  <c r="M202" i="1"/>
  <c r="Y201" i="1"/>
  <c r="V201" i="1"/>
  <c r="S201" i="1"/>
  <c r="M201" i="1"/>
  <c r="V200" i="1"/>
  <c r="S200" i="1"/>
  <c r="Y200" i="1" s="1"/>
  <c r="M200" i="1"/>
  <c r="Y199" i="1"/>
  <c r="V199" i="1"/>
  <c r="S199" i="1"/>
  <c r="M199" i="1"/>
  <c r="V198" i="1"/>
  <c r="S198" i="1"/>
  <c r="Y198" i="1" s="1"/>
  <c r="M198" i="1"/>
  <c r="Y197" i="1"/>
  <c r="V197" i="1"/>
  <c r="S197" i="1"/>
  <c r="M197" i="1"/>
  <c r="V196" i="1"/>
  <c r="S196" i="1"/>
  <c r="Y196" i="1" s="1"/>
  <c r="M196" i="1"/>
  <c r="Y195" i="1"/>
  <c r="V195" i="1"/>
  <c r="S195" i="1"/>
  <c r="M195" i="1"/>
  <c r="Z194" i="1"/>
  <c r="X194" i="1"/>
  <c r="W194" i="1"/>
  <c r="Z193" i="1"/>
  <c r="AA193" i="1" s="1"/>
  <c r="Y193" i="1"/>
  <c r="W193" i="1"/>
  <c r="V193" i="1"/>
  <c r="U193" i="1"/>
  <c r="R193" i="1"/>
  <c r="X193" i="1" s="1"/>
  <c r="O193" i="1"/>
  <c r="L193" i="1"/>
  <c r="V192" i="1"/>
  <c r="S192" i="1"/>
  <c r="Y192" i="1" s="1"/>
  <c r="M192" i="1"/>
  <c r="V191" i="1"/>
  <c r="S191" i="1"/>
  <c r="Y191" i="1" s="1"/>
  <c r="M191" i="1"/>
  <c r="V190" i="1"/>
  <c r="S190" i="1"/>
  <c r="Y190" i="1" s="1"/>
  <c r="M190" i="1"/>
  <c r="V189" i="1"/>
  <c r="S189" i="1"/>
  <c r="Y189" i="1" s="1"/>
  <c r="M189" i="1"/>
  <c r="V188" i="1"/>
  <c r="S188" i="1"/>
  <c r="Y188" i="1" s="1"/>
  <c r="M188" i="1"/>
  <c r="V187" i="1"/>
  <c r="S187" i="1"/>
  <c r="Y187" i="1" s="1"/>
  <c r="M187" i="1"/>
  <c r="V186" i="1"/>
  <c r="S186" i="1"/>
  <c r="Y186" i="1" s="1"/>
  <c r="M186" i="1"/>
  <c r="V185" i="1"/>
  <c r="S185" i="1"/>
  <c r="Y185" i="1" s="1"/>
  <c r="M185" i="1"/>
  <c r="Z184" i="1"/>
  <c r="X184" i="1"/>
  <c r="W184" i="1"/>
  <c r="Z183" i="1"/>
  <c r="Y183" i="1"/>
  <c r="AA183" i="1" s="1"/>
  <c r="W183" i="1"/>
  <c r="V183" i="1"/>
  <c r="U183" i="1"/>
  <c r="R183" i="1"/>
  <c r="X183" i="1" s="1"/>
  <c r="O183" i="1"/>
  <c r="L183" i="1"/>
  <c r="V182" i="1"/>
  <c r="S182" i="1"/>
  <c r="Y182" i="1" s="1"/>
  <c r="M182" i="1"/>
  <c r="V181" i="1"/>
  <c r="S181" i="1"/>
  <c r="Y181" i="1" s="1"/>
  <c r="M181" i="1"/>
  <c r="V180" i="1"/>
  <c r="S180" i="1"/>
  <c r="Y180" i="1" s="1"/>
  <c r="M180" i="1"/>
  <c r="V179" i="1"/>
  <c r="S179" i="1"/>
  <c r="Y179" i="1" s="1"/>
  <c r="M179" i="1"/>
  <c r="Z178" i="1"/>
  <c r="X178" i="1"/>
  <c r="W178" i="1"/>
  <c r="Z177" i="1"/>
  <c r="Y177" i="1"/>
  <c r="AA177" i="1" s="1"/>
  <c r="W177" i="1"/>
  <c r="V177" i="1"/>
  <c r="U177" i="1"/>
  <c r="R177" i="1"/>
  <c r="X177" i="1" s="1"/>
  <c r="O177" i="1"/>
  <c r="L177" i="1"/>
  <c r="Y176" i="1"/>
  <c r="V176" i="1"/>
  <c r="S176" i="1"/>
  <c r="M176" i="1"/>
  <c r="Y175" i="1"/>
  <c r="V175" i="1"/>
  <c r="S175" i="1"/>
  <c r="M175" i="1"/>
  <c r="Y174" i="1"/>
  <c r="V174" i="1"/>
  <c r="S174" i="1"/>
  <c r="M174" i="1"/>
  <c r="Y173" i="1"/>
  <c r="V173" i="1"/>
  <c r="S173" i="1"/>
  <c r="M173" i="1"/>
  <c r="Y172" i="1"/>
  <c r="V172" i="1"/>
  <c r="S172" i="1"/>
  <c r="M172" i="1"/>
  <c r="Y171" i="1"/>
  <c r="V171" i="1"/>
  <c r="S171" i="1"/>
  <c r="M171" i="1"/>
  <c r="Z170" i="1"/>
  <c r="X170" i="1"/>
  <c r="W170" i="1"/>
  <c r="Z169" i="1"/>
  <c r="Y169" i="1"/>
  <c r="AA169" i="1" s="1"/>
  <c r="W169" i="1"/>
  <c r="V169" i="1"/>
  <c r="U169" i="1"/>
  <c r="R169" i="1"/>
  <c r="X169" i="1" s="1"/>
  <c r="O169" i="1"/>
  <c r="L169" i="1"/>
  <c r="Y168" i="1"/>
  <c r="V168" i="1"/>
  <c r="S168" i="1"/>
  <c r="M168" i="1"/>
  <c r="V167" i="1"/>
  <c r="S167" i="1"/>
  <c r="Y167" i="1" s="1"/>
  <c r="M167" i="1"/>
  <c r="Y166" i="1"/>
  <c r="V166" i="1"/>
  <c r="S166" i="1"/>
  <c r="M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Y162" i="1"/>
  <c r="V162" i="1"/>
  <c r="S162" i="1"/>
  <c r="M162" i="1"/>
  <c r="V161" i="1"/>
  <c r="S161" i="1"/>
  <c r="Y161" i="1" s="1"/>
  <c r="M161" i="1"/>
  <c r="Z160" i="1"/>
  <c r="X160" i="1"/>
  <c r="W160" i="1"/>
  <c r="AA159" i="1"/>
  <c r="Z159" i="1"/>
  <c r="Y159" i="1"/>
  <c r="X159" i="1"/>
  <c r="W159" i="1"/>
  <c r="V159" i="1"/>
  <c r="U159" i="1"/>
  <c r="R159" i="1"/>
  <c r="O159" i="1"/>
  <c r="L159" i="1"/>
  <c r="V158" i="1"/>
  <c r="S158" i="1"/>
  <c r="Y158" i="1" s="1"/>
  <c r="M158" i="1"/>
  <c r="V157" i="1"/>
  <c r="S157" i="1"/>
  <c r="Y157" i="1" s="1"/>
  <c r="M157" i="1"/>
  <c r="V156" i="1"/>
  <c r="S156" i="1"/>
  <c r="Y156" i="1" s="1"/>
  <c r="M156" i="1"/>
  <c r="V155" i="1"/>
  <c r="S155" i="1"/>
  <c r="Y155" i="1" s="1"/>
  <c r="M155" i="1"/>
  <c r="V154" i="1"/>
  <c r="S154" i="1"/>
  <c r="Y154" i="1" s="1"/>
  <c r="M154" i="1"/>
  <c r="V153" i="1"/>
  <c r="S153" i="1"/>
  <c r="Y153" i="1" s="1"/>
  <c r="M153" i="1"/>
  <c r="V152" i="1"/>
  <c r="S152" i="1"/>
  <c r="Y152" i="1" s="1"/>
  <c r="M152" i="1"/>
  <c r="V151" i="1"/>
  <c r="S151" i="1"/>
  <c r="Y151" i="1" s="1"/>
  <c r="M151" i="1"/>
  <c r="Z150" i="1"/>
  <c r="X150" i="1"/>
  <c r="W150" i="1"/>
  <c r="AA149" i="1"/>
  <c r="Z149" i="1"/>
  <c r="Y149" i="1"/>
  <c r="X149" i="1"/>
  <c r="W149" i="1"/>
  <c r="V149" i="1"/>
  <c r="U149" i="1"/>
  <c r="R149" i="1"/>
  <c r="O149" i="1"/>
  <c r="L149" i="1"/>
  <c r="V148" i="1"/>
  <c r="S148" i="1"/>
  <c r="Y148" i="1" s="1"/>
  <c r="M148" i="1"/>
  <c r="V147" i="1"/>
  <c r="S147" i="1"/>
  <c r="Y147" i="1" s="1"/>
  <c r="M147" i="1"/>
  <c r="V146" i="1"/>
  <c r="S146" i="1"/>
  <c r="Y146" i="1" s="1"/>
  <c r="M146" i="1"/>
  <c r="V145" i="1"/>
  <c r="S145" i="1"/>
  <c r="Y145" i="1" s="1"/>
  <c r="M145" i="1"/>
  <c r="V144" i="1"/>
  <c r="S144" i="1"/>
  <c r="Y144" i="1" s="1"/>
  <c r="M144" i="1"/>
  <c r="V143" i="1"/>
  <c r="S143" i="1"/>
  <c r="Y143" i="1" s="1"/>
  <c r="M143" i="1"/>
  <c r="V142" i="1"/>
  <c r="S142" i="1"/>
  <c r="Y142" i="1" s="1"/>
  <c r="M142" i="1"/>
  <c r="V141" i="1"/>
  <c r="S141" i="1"/>
  <c r="Y141" i="1" s="1"/>
  <c r="M141" i="1"/>
  <c r="Z140" i="1"/>
  <c r="X140" i="1"/>
  <c r="W140" i="1"/>
  <c r="Z139" i="1"/>
  <c r="Y139" i="1"/>
  <c r="AA139" i="1" s="1"/>
  <c r="X139" i="1"/>
  <c r="W139" i="1"/>
  <c r="V139" i="1"/>
  <c r="U139" i="1"/>
  <c r="R139" i="1"/>
  <c r="O139" i="1"/>
  <c r="L139" i="1"/>
  <c r="T138" i="1"/>
  <c r="Y137" i="1"/>
  <c r="V137" i="1"/>
  <c r="S137" i="1"/>
  <c r="M137" i="1"/>
  <c r="V136" i="1"/>
  <c r="S136" i="1"/>
  <c r="Y136" i="1" s="1"/>
  <c r="M136" i="1"/>
  <c r="Z135" i="1"/>
  <c r="X135" i="1"/>
  <c r="W135" i="1"/>
  <c r="AA134" i="1"/>
  <c r="Z134" i="1"/>
  <c r="Y134" i="1"/>
  <c r="X134" i="1"/>
  <c r="W134" i="1"/>
  <c r="V134" i="1"/>
  <c r="U134" i="1"/>
  <c r="R134" i="1"/>
  <c r="O134" i="1"/>
  <c r="L134" i="1"/>
  <c r="V133" i="1"/>
  <c r="S133" i="1"/>
  <c r="Y133" i="1" s="1"/>
  <c r="M133" i="1"/>
  <c r="V132" i="1"/>
  <c r="S132" i="1"/>
  <c r="Y132" i="1" s="1"/>
  <c r="M132" i="1"/>
  <c r="V131" i="1"/>
  <c r="S131" i="1"/>
  <c r="Y131" i="1" s="1"/>
  <c r="M131" i="1"/>
  <c r="V130" i="1"/>
  <c r="S130" i="1"/>
  <c r="Y130" i="1" s="1"/>
  <c r="M130" i="1"/>
  <c r="Z129" i="1"/>
  <c r="X129" i="1"/>
  <c r="W129" i="1"/>
  <c r="AA128" i="1"/>
  <c r="Z128" i="1"/>
  <c r="Y128" i="1"/>
  <c r="X128" i="1"/>
  <c r="W128" i="1"/>
  <c r="V128" i="1"/>
  <c r="U128" i="1"/>
  <c r="R128" i="1"/>
  <c r="O128" i="1"/>
  <c r="O121" i="1" s="1"/>
  <c r="L128" i="1"/>
  <c r="V127" i="1"/>
  <c r="S127" i="1"/>
  <c r="Y127" i="1" s="1"/>
  <c r="M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Z123" i="1"/>
  <c r="X123" i="1"/>
  <c r="W123" i="1"/>
  <c r="Z122" i="1"/>
  <c r="Y122" i="1"/>
  <c r="AA122" i="1" s="1"/>
  <c r="AA121" i="1" s="1"/>
  <c r="X122" i="1"/>
  <c r="W122" i="1"/>
  <c r="V122" i="1"/>
  <c r="U122" i="1"/>
  <c r="U121" i="1" s="1"/>
  <c r="R122" i="1"/>
  <c r="O122" i="1"/>
  <c r="L122" i="1"/>
  <c r="Z121" i="1"/>
  <c r="T121" i="1"/>
  <c r="S121" i="1"/>
  <c r="N121" i="1"/>
  <c r="M121" i="1"/>
  <c r="Y120" i="1"/>
  <c r="V120" i="1"/>
  <c r="S120" i="1"/>
  <c r="M120" i="1"/>
  <c r="V119" i="1"/>
  <c r="S119" i="1"/>
  <c r="Y119" i="1" s="1"/>
  <c r="M119" i="1"/>
  <c r="Y118" i="1"/>
  <c r="V118" i="1"/>
  <c r="S118" i="1"/>
  <c r="M118" i="1"/>
  <c r="W117" i="1"/>
  <c r="T117" i="1"/>
  <c r="Z117" i="1" s="1"/>
  <c r="P117" i="1"/>
  <c r="S117" i="1" s="1"/>
  <c r="N117" i="1"/>
  <c r="J117" i="1"/>
  <c r="M117" i="1" s="1"/>
  <c r="O117" i="1" s="1"/>
  <c r="V116" i="1"/>
  <c r="S116" i="1"/>
  <c r="Y116" i="1" s="1"/>
  <c r="M116" i="1"/>
  <c r="Y115" i="1"/>
  <c r="V115" i="1"/>
  <c r="S115" i="1"/>
  <c r="M115" i="1"/>
  <c r="J113" i="1" s="1"/>
  <c r="V114" i="1"/>
  <c r="S114" i="1"/>
  <c r="Y114" i="1" s="1"/>
  <c r="M114" i="1"/>
  <c r="W113" i="1"/>
  <c r="T113" i="1"/>
  <c r="Z113" i="1" s="1"/>
  <c r="N113" i="1"/>
  <c r="Y112" i="1"/>
  <c r="V112" i="1"/>
  <c r="S112" i="1"/>
  <c r="M112" i="1"/>
  <c r="V111" i="1"/>
  <c r="S111" i="1"/>
  <c r="Y111" i="1" s="1"/>
  <c r="M111" i="1"/>
  <c r="Y110" i="1"/>
  <c r="V110" i="1"/>
  <c r="S110" i="1"/>
  <c r="M110" i="1"/>
  <c r="W109" i="1"/>
  <c r="T109" i="1"/>
  <c r="Z109" i="1" s="1"/>
  <c r="P109" i="1"/>
  <c r="S109" i="1" s="1"/>
  <c r="N109" i="1"/>
  <c r="J109" i="1"/>
  <c r="M109" i="1" s="1"/>
  <c r="V108" i="1"/>
  <c r="S108" i="1"/>
  <c r="Y108" i="1" s="1"/>
  <c r="M108" i="1"/>
  <c r="Y107" i="1"/>
  <c r="V107" i="1"/>
  <c r="S107" i="1"/>
  <c r="M107" i="1"/>
  <c r="V106" i="1"/>
  <c r="S106" i="1"/>
  <c r="Y106" i="1" s="1"/>
  <c r="M106" i="1"/>
  <c r="Y105" i="1"/>
  <c r="V105" i="1"/>
  <c r="S105" i="1"/>
  <c r="M105" i="1"/>
  <c r="V104" i="1"/>
  <c r="S104" i="1"/>
  <c r="Y104" i="1" s="1"/>
  <c r="M104" i="1"/>
  <c r="Y103" i="1"/>
  <c r="V103" i="1"/>
  <c r="S103" i="1"/>
  <c r="M103" i="1"/>
  <c r="Z102" i="1"/>
  <c r="X102" i="1"/>
  <c r="W102" i="1"/>
  <c r="Z101" i="1"/>
  <c r="Y101" i="1"/>
  <c r="W101" i="1"/>
  <c r="V101" i="1"/>
  <c r="U101" i="1"/>
  <c r="R101" i="1"/>
  <c r="X101" i="1" s="1"/>
  <c r="O101" i="1"/>
  <c r="L101" i="1"/>
  <c r="V100" i="1"/>
  <c r="S100" i="1"/>
  <c r="Y100" i="1" s="1"/>
  <c r="M100" i="1"/>
  <c r="V99" i="1"/>
  <c r="S99" i="1"/>
  <c r="Y99" i="1" s="1"/>
  <c r="M99" i="1"/>
  <c r="V98" i="1"/>
  <c r="S98" i="1"/>
  <c r="Y98" i="1" s="1"/>
  <c r="M98" i="1"/>
  <c r="V97" i="1"/>
  <c r="S97" i="1"/>
  <c r="Y97" i="1" s="1"/>
  <c r="M97" i="1"/>
  <c r="V96" i="1"/>
  <c r="S96" i="1"/>
  <c r="Y96" i="1" s="1"/>
  <c r="M96" i="1"/>
  <c r="V95" i="1"/>
  <c r="S95" i="1"/>
  <c r="Y95" i="1" s="1"/>
  <c r="M95" i="1"/>
  <c r="V94" i="1"/>
  <c r="S94" i="1"/>
  <c r="Y94" i="1" s="1"/>
  <c r="M94" i="1"/>
  <c r="V93" i="1"/>
  <c r="S93" i="1"/>
  <c r="Y93" i="1" s="1"/>
  <c r="M93" i="1"/>
  <c r="Z92" i="1"/>
  <c r="X92" i="1"/>
  <c r="W92" i="1"/>
  <c r="Z91" i="1"/>
  <c r="Y91" i="1"/>
  <c r="AA91" i="1" s="1"/>
  <c r="W91" i="1"/>
  <c r="V91" i="1"/>
  <c r="U91" i="1"/>
  <c r="R91" i="1"/>
  <c r="X91" i="1" s="1"/>
  <c r="O91" i="1"/>
  <c r="L91" i="1"/>
  <c r="V90" i="1"/>
  <c r="S90" i="1"/>
  <c r="Y90" i="1" s="1"/>
  <c r="M90" i="1"/>
  <c r="V89" i="1"/>
  <c r="S89" i="1"/>
  <c r="Y89" i="1" s="1"/>
  <c r="M89" i="1"/>
  <c r="V88" i="1"/>
  <c r="S88" i="1"/>
  <c r="Y88" i="1" s="1"/>
  <c r="M88" i="1"/>
  <c r="V87" i="1"/>
  <c r="S87" i="1"/>
  <c r="Y87" i="1" s="1"/>
  <c r="M87" i="1"/>
  <c r="V86" i="1"/>
  <c r="S86" i="1"/>
  <c r="Y86" i="1" s="1"/>
  <c r="M86" i="1"/>
  <c r="V85" i="1"/>
  <c r="S85" i="1"/>
  <c r="Y85" i="1" s="1"/>
  <c r="M85" i="1"/>
  <c r="Z84" i="1"/>
  <c r="X84" i="1"/>
  <c r="W84" i="1"/>
  <c r="Z83" i="1"/>
  <c r="Y83" i="1"/>
  <c r="AA83" i="1" s="1"/>
  <c r="W83" i="1"/>
  <c r="V83" i="1"/>
  <c r="U83" i="1"/>
  <c r="R83" i="1"/>
  <c r="X83" i="1" s="1"/>
  <c r="O83" i="1"/>
  <c r="L83" i="1"/>
  <c r="Y82" i="1"/>
  <c r="V82" i="1"/>
  <c r="S82" i="1"/>
  <c r="M82" i="1"/>
  <c r="Y81" i="1"/>
  <c r="V81" i="1"/>
  <c r="S81" i="1"/>
  <c r="M81" i="1"/>
  <c r="Y80" i="1"/>
  <c r="V80" i="1"/>
  <c r="S80" i="1"/>
  <c r="M80" i="1"/>
  <c r="Y79" i="1"/>
  <c r="V79" i="1"/>
  <c r="S79" i="1"/>
  <c r="M79" i="1"/>
  <c r="Y78" i="1"/>
  <c r="V78" i="1"/>
  <c r="S78" i="1"/>
  <c r="M78" i="1"/>
  <c r="Y77" i="1"/>
  <c r="V77" i="1"/>
  <c r="S77" i="1"/>
  <c r="M77" i="1"/>
  <c r="Y76" i="1"/>
  <c r="V76" i="1"/>
  <c r="S76" i="1"/>
  <c r="M76" i="1"/>
  <c r="Y75" i="1"/>
  <c r="V75" i="1"/>
  <c r="S75" i="1"/>
  <c r="M75" i="1"/>
  <c r="Z74" i="1"/>
  <c r="X74" i="1"/>
  <c r="W74" i="1"/>
  <c r="Z73" i="1"/>
  <c r="Y73" i="1"/>
  <c r="AA73" i="1" s="1"/>
  <c r="W73" i="1"/>
  <c r="V73" i="1"/>
  <c r="U73" i="1"/>
  <c r="R73" i="1"/>
  <c r="X73" i="1" s="1"/>
  <c r="O73" i="1"/>
  <c r="L73" i="1"/>
  <c r="Y72" i="1"/>
  <c r="V72" i="1"/>
  <c r="S72" i="1"/>
  <c r="M72" i="1"/>
  <c r="V71" i="1"/>
  <c r="S71" i="1"/>
  <c r="Y71" i="1" s="1"/>
  <c r="M71" i="1"/>
  <c r="Z70" i="1"/>
  <c r="X70" i="1"/>
  <c r="W70" i="1"/>
  <c r="AA69" i="1"/>
  <c r="Z69" i="1"/>
  <c r="Y69" i="1"/>
  <c r="X69" i="1"/>
  <c r="W69" i="1"/>
  <c r="V69" i="1"/>
  <c r="U69" i="1"/>
  <c r="R69" i="1"/>
  <c r="O69" i="1"/>
  <c r="L69" i="1"/>
  <c r="V68" i="1"/>
  <c r="S68" i="1"/>
  <c r="Y68" i="1" s="1"/>
  <c r="M68" i="1"/>
  <c r="V67" i="1"/>
  <c r="S67" i="1"/>
  <c r="Y67" i="1" s="1"/>
  <c r="M67" i="1"/>
  <c r="Z66" i="1"/>
  <c r="X66" i="1"/>
  <c r="W66" i="1"/>
  <c r="AA65" i="1"/>
  <c r="Z65" i="1"/>
  <c r="Y65" i="1"/>
  <c r="X65" i="1"/>
  <c r="W65" i="1"/>
  <c r="V65" i="1"/>
  <c r="U65" i="1"/>
  <c r="R65" i="1"/>
  <c r="O65" i="1"/>
  <c r="L65" i="1"/>
  <c r="V64" i="1"/>
  <c r="S64" i="1"/>
  <c r="Y64" i="1" s="1"/>
  <c r="M64" i="1"/>
  <c r="V63" i="1"/>
  <c r="S63" i="1"/>
  <c r="Y63" i="1" s="1"/>
  <c r="M63" i="1"/>
  <c r="V62" i="1"/>
  <c r="S62" i="1"/>
  <c r="Y62" i="1" s="1"/>
  <c r="M62" i="1"/>
  <c r="V61" i="1"/>
  <c r="S61" i="1"/>
  <c r="Y61" i="1" s="1"/>
  <c r="M61" i="1"/>
  <c r="Z60" i="1"/>
  <c r="X60" i="1"/>
  <c r="W60" i="1"/>
  <c r="Z59" i="1"/>
  <c r="Y59" i="1"/>
  <c r="AA59" i="1" s="1"/>
  <c r="X59" i="1"/>
  <c r="W59" i="1"/>
  <c r="V59" i="1"/>
  <c r="U59" i="1"/>
  <c r="R59" i="1"/>
  <c r="O59" i="1"/>
  <c r="L59" i="1"/>
  <c r="T58" i="1"/>
  <c r="T57" i="1" s="1"/>
  <c r="V53" i="1"/>
  <c r="S53" i="1"/>
  <c r="Y53" i="1" s="1"/>
  <c r="M53" i="1"/>
  <c r="Y52" i="1"/>
  <c r="V52" i="1"/>
  <c r="S52" i="1"/>
  <c r="M52" i="1"/>
  <c r="J50" i="1" s="1"/>
  <c r="V51" i="1"/>
  <c r="S51" i="1"/>
  <c r="Y51" i="1" s="1"/>
  <c r="M51" i="1"/>
  <c r="W50" i="1"/>
  <c r="T50" i="1"/>
  <c r="T49" i="1" s="1"/>
  <c r="N50" i="1"/>
  <c r="N49" i="1"/>
  <c r="V48" i="1"/>
  <c r="S48" i="1"/>
  <c r="Y48" i="1" s="1"/>
  <c r="M48" i="1"/>
  <c r="V47" i="1"/>
  <c r="S47" i="1"/>
  <c r="Y47" i="1" s="1"/>
  <c r="M47" i="1"/>
  <c r="V46" i="1"/>
  <c r="S46" i="1"/>
  <c r="Y46" i="1" s="1"/>
  <c r="M46" i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V41" i="1"/>
  <c r="S41" i="1"/>
  <c r="Y41" i="1" s="1"/>
  <c r="M41" i="1"/>
  <c r="Z40" i="1"/>
  <c r="X40" i="1"/>
  <c r="W40" i="1"/>
  <c r="Z39" i="1"/>
  <c r="Y39" i="1"/>
  <c r="AA39" i="1" s="1"/>
  <c r="W39" i="1"/>
  <c r="V39" i="1"/>
  <c r="U39" i="1"/>
  <c r="R39" i="1"/>
  <c r="X39" i="1" s="1"/>
  <c r="O39" i="1"/>
  <c r="L39" i="1"/>
  <c r="V38" i="1"/>
  <c r="S38" i="1"/>
  <c r="Y38" i="1" s="1"/>
  <c r="M38" i="1"/>
  <c r="V37" i="1"/>
  <c r="S37" i="1"/>
  <c r="Y37" i="1" s="1"/>
  <c r="M37" i="1"/>
  <c r="V36" i="1"/>
  <c r="S36" i="1"/>
  <c r="Y36" i="1" s="1"/>
  <c r="M36" i="1"/>
  <c r="V35" i="1"/>
  <c r="S35" i="1"/>
  <c r="Y35" i="1" s="1"/>
  <c r="M35" i="1"/>
  <c r="Z34" i="1"/>
  <c r="W34" i="1"/>
  <c r="T34" i="1"/>
  <c r="N34" i="1"/>
  <c r="M34" i="1"/>
  <c r="O34" i="1" s="1"/>
  <c r="L34" i="1"/>
  <c r="J34" i="1"/>
  <c r="V33" i="1"/>
  <c r="S33" i="1"/>
  <c r="Y33" i="1" s="1"/>
  <c r="M33" i="1"/>
  <c r="V32" i="1"/>
  <c r="S32" i="1"/>
  <c r="Y32" i="1" s="1"/>
  <c r="M32" i="1"/>
  <c r="V31" i="1"/>
  <c r="S31" i="1"/>
  <c r="Y31" i="1" s="1"/>
  <c r="M31" i="1"/>
  <c r="V30" i="1"/>
  <c r="S30" i="1"/>
  <c r="Y30" i="1" s="1"/>
  <c r="M30" i="1"/>
  <c r="Z29" i="1"/>
  <c r="W29" i="1"/>
  <c r="T29" i="1"/>
  <c r="N29" i="1"/>
  <c r="M29" i="1"/>
  <c r="O29" i="1" s="1"/>
  <c r="L29" i="1"/>
  <c r="J29" i="1"/>
  <c r="V28" i="1"/>
  <c r="S28" i="1"/>
  <c r="Y28" i="1" s="1"/>
  <c r="M28" i="1"/>
  <c r="V27" i="1"/>
  <c r="S27" i="1"/>
  <c r="Y27" i="1" s="1"/>
  <c r="M27" i="1"/>
  <c r="V26" i="1"/>
  <c r="S26" i="1"/>
  <c r="Y26" i="1" s="1"/>
  <c r="M26" i="1"/>
  <c r="V25" i="1"/>
  <c r="S25" i="1"/>
  <c r="Y25" i="1" s="1"/>
  <c r="M25" i="1"/>
  <c r="Z24" i="1"/>
  <c r="W24" i="1"/>
  <c r="T24" i="1"/>
  <c r="T23" i="1" s="1"/>
  <c r="P24" i="1"/>
  <c r="N24" i="1"/>
  <c r="M24" i="1"/>
  <c r="M23" i="1" s="1"/>
  <c r="J24" i="1"/>
  <c r="L24" i="1" s="1"/>
  <c r="Z23" i="1"/>
  <c r="Z15" i="1" s="1"/>
  <c r="N23" i="1"/>
  <c r="Y22" i="1"/>
  <c r="V22" i="1"/>
  <c r="S22" i="1"/>
  <c r="M22" i="1"/>
  <c r="Y21" i="1"/>
  <c r="V21" i="1"/>
  <c r="S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Z17" i="1"/>
  <c r="W17" i="1"/>
  <c r="V17" i="1"/>
  <c r="T17" i="1"/>
  <c r="S17" i="1"/>
  <c r="P17" i="1"/>
  <c r="R17" i="1" s="1"/>
  <c r="X17" i="1" s="1"/>
  <c r="N17" i="1"/>
  <c r="N16" i="1" s="1"/>
  <c r="N15" i="1" s="1"/>
  <c r="M17" i="1"/>
  <c r="O17" i="1" s="1"/>
  <c r="O16" i="1" s="1"/>
  <c r="J17" i="1"/>
  <c r="L17" i="1" s="1"/>
  <c r="Z16" i="1"/>
  <c r="T16" i="1"/>
  <c r="S16" i="1"/>
  <c r="M16" i="1"/>
  <c r="M15" i="1" s="1"/>
  <c r="T15" i="1"/>
  <c r="W14" i="1"/>
  <c r="T14" i="1"/>
  <c r="Z14" i="1" s="1"/>
  <c r="AA14" i="1" s="1"/>
  <c r="AA13" i="1" s="1"/>
  <c r="R14" i="1"/>
  <c r="X14" i="1" s="1"/>
  <c r="N14" i="1"/>
  <c r="O14" i="1" s="1"/>
  <c r="O13" i="1" s="1"/>
  <c r="L14" i="1"/>
  <c r="Z13" i="1"/>
  <c r="Y13" i="1"/>
  <c r="T13" i="1"/>
  <c r="S13" i="1"/>
  <c r="M13" i="1"/>
  <c r="V427" i="2"/>
  <c r="S427" i="2"/>
  <c r="M427" i="2"/>
  <c r="Z426" i="2"/>
  <c r="W426" i="2"/>
  <c r="T426" i="2"/>
  <c r="N426" i="2"/>
  <c r="M426" i="2"/>
  <c r="O426" i="2" s="1"/>
  <c r="L426" i="2"/>
  <c r="J426" i="2"/>
  <c r="V425" i="2"/>
  <c r="S425" i="2"/>
  <c r="Y425" i="2" s="1"/>
  <c r="M425" i="2"/>
  <c r="Z424" i="2"/>
  <c r="W424" i="2"/>
  <c r="T424" i="2"/>
  <c r="P424" i="2"/>
  <c r="N424" i="2"/>
  <c r="M424" i="2"/>
  <c r="J424" i="2"/>
  <c r="L424" i="2" s="1"/>
  <c r="X423" i="2"/>
  <c r="W423" i="2"/>
  <c r="T423" i="2"/>
  <c r="R423" i="2"/>
  <c r="O423" i="2"/>
  <c r="N423" i="2"/>
  <c r="L423" i="2"/>
  <c r="Y422" i="2"/>
  <c r="V422" i="2"/>
  <c r="S422" i="2"/>
  <c r="M422" i="2"/>
  <c r="Z421" i="2"/>
  <c r="AA421" i="2" s="1"/>
  <c r="Y421" i="2"/>
  <c r="W421" i="2"/>
  <c r="V421" i="2"/>
  <c r="U421" i="2"/>
  <c r="R421" i="2"/>
  <c r="X421" i="2" s="1"/>
  <c r="O421" i="2"/>
  <c r="L421" i="2"/>
  <c r="N420" i="2"/>
  <c r="Y419" i="2"/>
  <c r="V419" i="2"/>
  <c r="S419" i="2"/>
  <c r="M419" i="2"/>
  <c r="Y418" i="2"/>
  <c r="V418" i="2"/>
  <c r="S418" i="2"/>
  <c r="P417" i="2" s="1"/>
  <c r="M418" i="2"/>
  <c r="Z417" i="2"/>
  <c r="W417" i="2"/>
  <c r="T417" i="2"/>
  <c r="N417" i="2"/>
  <c r="M417" i="2"/>
  <c r="O417" i="2" s="1"/>
  <c r="L417" i="2"/>
  <c r="J417" i="2"/>
  <c r="Y416" i="2"/>
  <c r="V416" i="2"/>
  <c r="S416" i="2"/>
  <c r="M416" i="2"/>
  <c r="Y415" i="2"/>
  <c r="V415" i="2"/>
  <c r="S415" i="2"/>
  <c r="P414" i="2" s="1"/>
  <c r="M415" i="2"/>
  <c r="Z414" i="2"/>
  <c r="W414" i="2"/>
  <c r="T414" i="2"/>
  <c r="N414" i="2"/>
  <c r="N407" i="2" s="1"/>
  <c r="N375" i="2" s="1"/>
  <c r="M414" i="2"/>
  <c r="L414" i="2"/>
  <c r="J414" i="2"/>
  <c r="Y413" i="2"/>
  <c r="V413" i="2"/>
  <c r="S413" i="2"/>
  <c r="M413" i="2"/>
  <c r="Y412" i="2"/>
  <c r="V412" i="2"/>
  <c r="S412" i="2"/>
  <c r="M412" i="2"/>
  <c r="Z411" i="2"/>
  <c r="Y411" i="2"/>
  <c r="W411" i="2"/>
  <c r="V411" i="2"/>
  <c r="U411" i="2"/>
  <c r="R411" i="2"/>
  <c r="X411" i="2" s="1"/>
  <c r="O411" i="2"/>
  <c r="L411" i="2"/>
  <c r="V410" i="2"/>
  <c r="S410" i="2"/>
  <c r="Y410" i="2" s="1"/>
  <c r="M410" i="2"/>
  <c r="Y409" i="2"/>
  <c r="V409" i="2"/>
  <c r="S409" i="2"/>
  <c r="M409" i="2"/>
  <c r="Z408" i="2"/>
  <c r="Y408" i="2"/>
  <c r="W408" i="2"/>
  <c r="V408" i="2"/>
  <c r="U408" i="2"/>
  <c r="R408" i="2"/>
  <c r="X408" i="2" s="1"/>
  <c r="O408" i="2"/>
  <c r="L408" i="2"/>
  <c r="T407" i="2"/>
  <c r="M407" i="2"/>
  <c r="Y406" i="2"/>
  <c r="V406" i="2"/>
  <c r="S406" i="2"/>
  <c r="M406" i="2"/>
  <c r="Y405" i="2"/>
  <c r="V405" i="2"/>
  <c r="S405" i="2"/>
  <c r="M405" i="2"/>
  <c r="Z404" i="2"/>
  <c r="W404" i="2"/>
  <c r="T404" i="2"/>
  <c r="P404" i="2"/>
  <c r="N404" i="2"/>
  <c r="L404" i="2"/>
  <c r="J404" i="2"/>
  <c r="M404" i="2" s="1"/>
  <c r="O404" i="2" s="1"/>
  <c r="V403" i="2"/>
  <c r="S403" i="2"/>
  <c r="Y403" i="2" s="1"/>
  <c r="M403" i="2"/>
  <c r="V402" i="2"/>
  <c r="S402" i="2"/>
  <c r="M402" i="2"/>
  <c r="W401" i="2"/>
  <c r="T401" i="2"/>
  <c r="Z401" i="2" s="1"/>
  <c r="N401" i="2"/>
  <c r="L401" i="2"/>
  <c r="J401" i="2"/>
  <c r="M401" i="2" s="1"/>
  <c r="O401" i="2" s="1"/>
  <c r="V400" i="2"/>
  <c r="S400" i="2"/>
  <c r="Y400" i="2" s="1"/>
  <c r="M400" i="2"/>
  <c r="J398" i="2" s="1"/>
  <c r="V399" i="2"/>
  <c r="S399" i="2"/>
  <c r="M399" i="2"/>
  <c r="W398" i="2"/>
  <c r="T398" i="2"/>
  <c r="N398" i="2"/>
  <c r="V397" i="2"/>
  <c r="S397" i="2"/>
  <c r="Y397" i="2" s="1"/>
  <c r="M397" i="2"/>
  <c r="V396" i="2"/>
  <c r="S396" i="2"/>
  <c r="Y396" i="2" s="1"/>
  <c r="M396" i="2"/>
  <c r="Z395" i="2"/>
  <c r="Y395" i="2"/>
  <c r="AA395" i="2" s="1"/>
  <c r="W395" i="2"/>
  <c r="V395" i="2"/>
  <c r="U395" i="2"/>
  <c r="R395" i="2"/>
  <c r="X395" i="2" s="1"/>
  <c r="O395" i="2"/>
  <c r="L395" i="2"/>
  <c r="Y394" i="2"/>
  <c r="V394" i="2"/>
  <c r="S394" i="2"/>
  <c r="M394" i="2"/>
  <c r="Y393" i="2"/>
  <c r="V393" i="2"/>
  <c r="S393" i="2"/>
  <c r="M393" i="2"/>
  <c r="Z392" i="2"/>
  <c r="AA392" i="2" s="1"/>
  <c r="Y392" i="2"/>
  <c r="X392" i="2"/>
  <c r="W392" i="2"/>
  <c r="V392" i="2"/>
  <c r="U392" i="2"/>
  <c r="R392" i="2"/>
  <c r="O392" i="2"/>
  <c r="L392" i="2"/>
  <c r="V391" i="2"/>
  <c r="S391" i="2"/>
  <c r="Y391" i="2" s="1"/>
  <c r="M391" i="2"/>
  <c r="V390" i="2"/>
  <c r="S390" i="2"/>
  <c r="Y390" i="2" s="1"/>
  <c r="M390" i="2"/>
  <c r="Z389" i="2"/>
  <c r="Y389" i="2"/>
  <c r="AA389" i="2" s="1"/>
  <c r="W389" i="2"/>
  <c r="V389" i="2"/>
  <c r="U389" i="2"/>
  <c r="R389" i="2"/>
  <c r="X389" i="2" s="1"/>
  <c r="O389" i="2"/>
  <c r="L389" i="2"/>
  <c r="Y388" i="2"/>
  <c r="V388" i="2"/>
  <c r="S388" i="2"/>
  <c r="M388" i="2"/>
  <c r="Y387" i="2"/>
  <c r="V387" i="2"/>
  <c r="S387" i="2"/>
  <c r="M387" i="2"/>
  <c r="Z386" i="2"/>
  <c r="AA386" i="2" s="1"/>
  <c r="Y386" i="2"/>
  <c r="W386" i="2"/>
  <c r="V386" i="2"/>
  <c r="U386" i="2"/>
  <c r="R386" i="2"/>
  <c r="X386" i="2" s="1"/>
  <c r="O386" i="2"/>
  <c r="L386" i="2"/>
  <c r="V385" i="2"/>
  <c r="S385" i="2"/>
  <c r="Y385" i="2" s="1"/>
  <c r="M385" i="2"/>
  <c r="V384" i="2"/>
  <c r="S384" i="2"/>
  <c r="Y384" i="2" s="1"/>
  <c r="M384" i="2"/>
  <c r="Z383" i="2"/>
  <c r="Y383" i="2"/>
  <c r="AA383" i="2" s="1"/>
  <c r="W383" i="2"/>
  <c r="V383" i="2"/>
  <c r="U383" i="2"/>
  <c r="R383" i="2"/>
  <c r="X383" i="2" s="1"/>
  <c r="O383" i="2"/>
  <c r="L383" i="2"/>
  <c r="Y382" i="2"/>
  <c r="V382" i="2"/>
  <c r="S382" i="2"/>
  <c r="M382" i="2"/>
  <c r="Y381" i="2"/>
  <c r="V381" i="2"/>
  <c r="S381" i="2"/>
  <c r="M381" i="2"/>
  <c r="Z380" i="2"/>
  <c r="AA380" i="2" s="1"/>
  <c r="Y380" i="2"/>
  <c r="X380" i="2"/>
  <c r="W380" i="2"/>
  <c r="V380" i="2"/>
  <c r="U380" i="2"/>
  <c r="R380" i="2"/>
  <c r="O380" i="2"/>
  <c r="L380" i="2"/>
  <c r="V379" i="2"/>
  <c r="S379" i="2"/>
  <c r="Y379" i="2" s="1"/>
  <c r="M379" i="2"/>
  <c r="V378" i="2"/>
  <c r="S378" i="2"/>
  <c r="Y378" i="2" s="1"/>
  <c r="M378" i="2"/>
  <c r="Z377" i="2"/>
  <c r="Y377" i="2"/>
  <c r="W377" i="2"/>
  <c r="V377" i="2"/>
  <c r="U377" i="2"/>
  <c r="R377" i="2"/>
  <c r="X377" i="2" s="1"/>
  <c r="O377" i="2"/>
  <c r="L377" i="2"/>
  <c r="N376" i="2"/>
  <c r="V374" i="2"/>
  <c r="S374" i="2"/>
  <c r="Y374" i="2" s="1"/>
  <c r="M374" i="2"/>
  <c r="V373" i="2"/>
  <c r="S373" i="2"/>
  <c r="Y373" i="2" s="1"/>
  <c r="M373" i="2"/>
  <c r="V372" i="2"/>
  <c r="S372" i="2"/>
  <c r="Y372" i="2" s="1"/>
  <c r="M372" i="2"/>
  <c r="J368" i="2" s="1"/>
  <c r="V371" i="2"/>
  <c r="S371" i="2"/>
  <c r="Y371" i="2" s="1"/>
  <c r="M371" i="2"/>
  <c r="V370" i="2"/>
  <c r="S370" i="2"/>
  <c r="Y370" i="2" s="1"/>
  <c r="M370" i="2"/>
  <c r="V369" i="2"/>
  <c r="S369" i="2"/>
  <c r="M369" i="2"/>
  <c r="W368" i="2"/>
  <c r="T368" i="2"/>
  <c r="Z368" i="2" s="1"/>
  <c r="N368" i="2"/>
  <c r="V367" i="2"/>
  <c r="S367" i="2"/>
  <c r="Y367" i="2" s="1"/>
  <c r="M367" i="2"/>
  <c r="V366" i="2"/>
  <c r="S366" i="2"/>
  <c r="Y366" i="2" s="1"/>
  <c r="M366" i="2"/>
  <c r="V365" i="2"/>
  <c r="S365" i="2"/>
  <c r="Y365" i="2" s="1"/>
  <c r="M365" i="2"/>
  <c r="V364" i="2"/>
  <c r="S364" i="2"/>
  <c r="Y364" i="2" s="1"/>
  <c r="M364" i="2"/>
  <c r="V363" i="2"/>
  <c r="S363" i="2"/>
  <c r="Y363" i="2" s="1"/>
  <c r="M363" i="2"/>
  <c r="V362" i="2"/>
  <c r="S362" i="2"/>
  <c r="M362" i="2"/>
  <c r="W361" i="2"/>
  <c r="T361" i="2"/>
  <c r="Z361" i="2" s="1"/>
  <c r="N361" i="2"/>
  <c r="V360" i="2"/>
  <c r="S360" i="2"/>
  <c r="Y360" i="2" s="1"/>
  <c r="M360" i="2"/>
  <c r="V359" i="2"/>
  <c r="S359" i="2"/>
  <c r="Y359" i="2" s="1"/>
  <c r="M359" i="2"/>
  <c r="V358" i="2"/>
  <c r="S358" i="2"/>
  <c r="Y358" i="2" s="1"/>
  <c r="M358" i="2"/>
  <c r="J357" i="2" s="1"/>
  <c r="W357" i="2"/>
  <c r="T357" i="2"/>
  <c r="Z357" i="2" s="1"/>
  <c r="N357" i="2"/>
  <c r="V356" i="2"/>
  <c r="S356" i="2"/>
  <c r="Y356" i="2" s="1"/>
  <c r="M356" i="2"/>
  <c r="V355" i="2"/>
  <c r="S355" i="2"/>
  <c r="Y355" i="2" s="1"/>
  <c r="M355" i="2"/>
  <c r="W354" i="2"/>
  <c r="T354" i="2"/>
  <c r="Z354" i="2" s="1"/>
  <c r="P354" i="2"/>
  <c r="N354" i="2"/>
  <c r="J354" i="2"/>
  <c r="V353" i="2"/>
  <c r="S353" i="2"/>
  <c r="M353" i="2"/>
  <c r="V352" i="2"/>
  <c r="S352" i="2"/>
  <c r="Y352" i="2" s="1"/>
  <c r="M352" i="2"/>
  <c r="W351" i="2"/>
  <c r="T351" i="2"/>
  <c r="Z351" i="2" s="1"/>
  <c r="N351" i="2"/>
  <c r="J351" i="2"/>
  <c r="V350" i="2"/>
  <c r="S350" i="2"/>
  <c r="M350" i="2"/>
  <c r="V349" i="2"/>
  <c r="S349" i="2"/>
  <c r="Y349" i="2" s="1"/>
  <c r="M349" i="2"/>
  <c r="W348" i="2"/>
  <c r="T348" i="2"/>
  <c r="Z348" i="2" s="1"/>
  <c r="N348" i="2"/>
  <c r="J348" i="2"/>
  <c r="V347" i="2"/>
  <c r="S347" i="2"/>
  <c r="Y347" i="2" s="1"/>
  <c r="M347" i="2"/>
  <c r="V346" i="2"/>
  <c r="S346" i="2"/>
  <c r="Y346" i="2" s="1"/>
  <c r="M346" i="2"/>
  <c r="W345" i="2"/>
  <c r="T345" i="2"/>
  <c r="Z345" i="2" s="1"/>
  <c r="N345" i="2"/>
  <c r="J345" i="2"/>
  <c r="V344" i="2"/>
  <c r="S344" i="2"/>
  <c r="Y344" i="2" s="1"/>
  <c r="M344" i="2"/>
  <c r="V343" i="2"/>
  <c r="S343" i="2"/>
  <c r="Y343" i="2" s="1"/>
  <c r="M343" i="2"/>
  <c r="W342" i="2"/>
  <c r="T342" i="2"/>
  <c r="Z342" i="2" s="1"/>
  <c r="P342" i="2"/>
  <c r="N342" i="2"/>
  <c r="J342" i="2"/>
  <c r="V341" i="2"/>
  <c r="S341" i="2"/>
  <c r="Y341" i="2" s="1"/>
  <c r="M341" i="2"/>
  <c r="V340" i="2"/>
  <c r="S340" i="2"/>
  <c r="Y340" i="2" s="1"/>
  <c r="M340" i="2"/>
  <c r="J338" i="2" s="1"/>
  <c r="M338" i="2" s="1"/>
  <c r="O338" i="2" s="1"/>
  <c r="V339" i="2"/>
  <c r="S339" i="2"/>
  <c r="M339" i="2"/>
  <c r="W338" i="2"/>
  <c r="T338" i="2"/>
  <c r="Z338" i="2" s="1"/>
  <c r="N338" i="2"/>
  <c r="L338" i="2"/>
  <c r="V337" i="2"/>
  <c r="S337" i="2"/>
  <c r="Y337" i="2" s="1"/>
  <c r="M337" i="2"/>
  <c r="V336" i="2"/>
  <c r="S336" i="2"/>
  <c r="Y336" i="2" s="1"/>
  <c r="M336" i="2"/>
  <c r="J335" i="2" s="1"/>
  <c r="M335" i="2" s="1"/>
  <c r="O335" i="2" s="1"/>
  <c r="W335" i="2"/>
  <c r="T335" i="2"/>
  <c r="Z335" i="2" s="1"/>
  <c r="N335" i="2"/>
  <c r="V334" i="2"/>
  <c r="S334" i="2"/>
  <c r="Y334" i="2" s="1"/>
  <c r="M334" i="2"/>
  <c r="V333" i="2"/>
  <c r="S333" i="2"/>
  <c r="Y333" i="2" s="1"/>
  <c r="M333" i="2"/>
  <c r="J332" i="2" s="1"/>
  <c r="M332" i="2" s="1"/>
  <c r="O332" i="2" s="1"/>
  <c r="W332" i="2"/>
  <c r="T332" i="2"/>
  <c r="Z332" i="2" s="1"/>
  <c r="N332" i="2"/>
  <c r="L332" i="2"/>
  <c r="V331" i="2"/>
  <c r="S331" i="2"/>
  <c r="Y331" i="2" s="1"/>
  <c r="M331" i="2"/>
  <c r="V330" i="2"/>
  <c r="S330" i="2"/>
  <c r="Y330" i="2" s="1"/>
  <c r="M330" i="2"/>
  <c r="V329" i="2"/>
  <c r="S329" i="2"/>
  <c r="Y329" i="2" s="1"/>
  <c r="M329" i="2"/>
  <c r="J328" i="2" s="1"/>
  <c r="W328" i="2"/>
  <c r="T328" i="2"/>
  <c r="Z328" i="2" s="1"/>
  <c r="P328" i="2"/>
  <c r="N328" i="2"/>
  <c r="V327" i="2"/>
  <c r="S327" i="2"/>
  <c r="Y327" i="2" s="1"/>
  <c r="M327" i="2"/>
  <c r="V326" i="2"/>
  <c r="S326" i="2"/>
  <c r="Y326" i="2" s="1"/>
  <c r="M326" i="2"/>
  <c r="J325" i="2" s="1"/>
  <c r="W325" i="2"/>
  <c r="T325" i="2"/>
  <c r="Z325" i="2" s="1"/>
  <c r="P325" i="2"/>
  <c r="N325" i="2"/>
  <c r="V324" i="2"/>
  <c r="S324" i="2"/>
  <c r="Y324" i="2" s="1"/>
  <c r="M324" i="2"/>
  <c r="V323" i="2"/>
  <c r="S323" i="2"/>
  <c r="Y323" i="2" s="1"/>
  <c r="M323" i="2"/>
  <c r="J322" i="2" s="1"/>
  <c r="W322" i="2"/>
  <c r="T322" i="2"/>
  <c r="Z322" i="2" s="1"/>
  <c r="P322" i="2"/>
  <c r="N322" i="2"/>
  <c r="V321" i="2"/>
  <c r="S321" i="2"/>
  <c r="Y321" i="2" s="1"/>
  <c r="M321" i="2"/>
  <c r="V320" i="2"/>
  <c r="S320" i="2"/>
  <c r="Y320" i="2" s="1"/>
  <c r="M320" i="2"/>
  <c r="J318" i="2" s="1"/>
  <c r="M318" i="2" s="1"/>
  <c r="V319" i="2"/>
  <c r="S319" i="2"/>
  <c r="Y319" i="2" s="1"/>
  <c r="M319" i="2"/>
  <c r="W318" i="2"/>
  <c r="T318" i="2"/>
  <c r="N318" i="2"/>
  <c r="N317" i="2"/>
  <c r="V316" i="2"/>
  <c r="S316" i="2"/>
  <c r="Y316" i="2" s="1"/>
  <c r="M316" i="2"/>
  <c r="Y315" i="2"/>
  <c r="V315" i="2"/>
  <c r="S315" i="2"/>
  <c r="P314" i="2" s="1"/>
  <c r="M315" i="2"/>
  <c r="Z314" i="2"/>
  <c r="W314" i="2"/>
  <c r="T314" i="2"/>
  <c r="N314" i="2"/>
  <c r="N301" i="2" s="1"/>
  <c r="M314" i="2"/>
  <c r="L314" i="2"/>
  <c r="J314" i="2"/>
  <c r="V313" i="2"/>
  <c r="S313" i="2"/>
  <c r="Y313" i="2" s="1"/>
  <c r="M313" i="2"/>
  <c r="V312" i="2"/>
  <c r="S312" i="2"/>
  <c r="Y312" i="2" s="1"/>
  <c r="M312" i="2"/>
  <c r="Z311" i="2"/>
  <c r="W311" i="2"/>
  <c r="T311" i="2"/>
  <c r="P311" i="2"/>
  <c r="N311" i="2"/>
  <c r="M311" i="2"/>
  <c r="O311" i="2" s="1"/>
  <c r="L311" i="2"/>
  <c r="J311" i="2"/>
  <c r="V310" i="2"/>
  <c r="S310" i="2"/>
  <c r="Y310" i="2" s="1"/>
  <c r="M310" i="2"/>
  <c r="V309" i="2"/>
  <c r="S309" i="2"/>
  <c r="P308" i="2" s="1"/>
  <c r="M309" i="2"/>
  <c r="Z308" i="2"/>
  <c r="W308" i="2"/>
  <c r="T308" i="2"/>
  <c r="N308" i="2"/>
  <c r="M308" i="2"/>
  <c r="L308" i="2"/>
  <c r="J308" i="2"/>
  <c r="V307" i="2"/>
  <c r="S307" i="2"/>
  <c r="Y307" i="2" s="1"/>
  <c r="M307" i="2"/>
  <c r="Y306" i="2"/>
  <c r="V306" i="2"/>
  <c r="S306" i="2"/>
  <c r="M306" i="2"/>
  <c r="Z305" i="2"/>
  <c r="Y305" i="2"/>
  <c r="W305" i="2"/>
  <c r="V305" i="2"/>
  <c r="T305" i="2"/>
  <c r="T301" i="2" s="1"/>
  <c r="P305" i="2"/>
  <c r="S305" i="2" s="1"/>
  <c r="U305" i="2" s="1"/>
  <c r="N305" i="2"/>
  <c r="J305" i="2"/>
  <c r="L305" i="2" s="1"/>
  <c r="V304" i="2"/>
  <c r="S304" i="2"/>
  <c r="Y304" i="2" s="1"/>
  <c r="M304" i="2"/>
  <c r="V303" i="2"/>
  <c r="S303" i="2"/>
  <c r="Y303" i="2" s="1"/>
  <c r="M303" i="2"/>
  <c r="Z302" i="2"/>
  <c r="Z301" i="2" s="1"/>
  <c r="Y302" i="2"/>
  <c r="W302" i="2"/>
  <c r="V302" i="2"/>
  <c r="U302" i="2"/>
  <c r="R302" i="2"/>
  <c r="X302" i="2" s="1"/>
  <c r="O302" i="2"/>
  <c r="L302" i="2"/>
  <c r="V300" i="2"/>
  <c r="S300" i="2"/>
  <c r="M300" i="2"/>
  <c r="V299" i="2"/>
  <c r="S299" i="2"/>
  <c r="Y299" i="2" s="1"/>
  <c r="M299" i="2"/>
  <c r="V298" i="2"/>
  <c r="S298" i="2"/>
  <c r="Y298" i="2" s="1"/>
  <c r="M298" i="2"/>
  <c r="J296" i="2" s="1"/>
  <c r="Y297" i="2"/>
  <c r="V297" i="2"/>
  <c r="S297" i="2"/>
  <c r="M297" i="2"/>
  <c r="Z296" i="2"/>
  <c r="W296" i="2"/>
  <c r="T296" i="2"/>
  <c r="N296" i="2"/>
  <c r="V295" i="2"/>
  <c r="S295" i="2"/>
  <c r="Y295" i="2" s="1"/>
  <c r="M295" i="2"/>
  <c r="V294" i="2"/>
  <c r="S294" i="2"/>
  <c r="Y294" i="2" s="1"/>
  <c r="M294" i="2"/>
  <c r="V293" i="2"/>
  <c r="S293" i="2"/>
  <c r="Y293" i="2" s="1"/>
  <c r="M293" i="2"/>
  <c r="V292" i="2"/>
  <c r="S292" i="2"/>
  <c r="Y292" i="2" s="1"/>
  <c r="M292" i="2"/>
  <c r="J291" i="2" s="1"/>
  <c r="W291" i="2"/>
  <c r="T291" i="2"/>
  <c r="Z291" i="2" s="1"/>
  <c r="N291" i="2"/>
  <c r="Y290" i="2"/>
  <c r="V290" i="2"/>
  <c r="S290" i="2"/>
  <c r="M290" i="2"/>
  <c r="Y289" i="2"/>
  <c r="V289" i="2"/>
  <c r="S289" i="2"/>
  <c r="M289" i="2"/>
  <c r="Y288" i="2"/>
  <c r="V288" i="2"/>
  <c r="S288" i="2"/>
  <c r="P287" i="2" s="1"/>
  <c r="V287" i="2" s="1"/>
  <c r="M288" i="2"/>
  <c r="J287" i="2" s="1"/>
  <c r="W287" i="2"/>
  <c r="T287" i="2"/>
  <c r="Z287" i="2" s="1"/>
  <c r="N287" i="2"/>
  <c r="Y286" i="2"/>
  <c r="V286" i="2"/>
  <c r="S286" i="2"/>
  <c r="M286" i="2"/>
  <c r="Y285" i="2"/>
  <c r="V285" i="2"/>
  <c r="S285" i="2"/>
  <c r="P284" i="2" s="1"/>
  <c r="M285" i="2"/>
  <c r="J284" i="2" s="1"/>
  <c r="W284" i="2"/>
  <c r="V284" i="2"/>
  <c r="T284" i="2"/>
  <c r="Z284" i="2" s="1"/>
  <c r="N284" i="2"/>
  <c r="Y283" i="2"/>
  <c r="V283" i="2"/>
  <c r="S283" i="2"/>
  <c r="M283" i="2"/>
  <c r="Y282" i="2"/>
  <c r="V282" i="2"/>
  <c r="S282" i="2"/>
  <c r="P281" i="2" s="1"/>
  <c r="M282" i="2"/>
  <c r="J281" i="2" s="1"/>
  <c r="W281" i="2"/>
  <c r="V281" i="2"/>
  <c r="T281" i="2"/>
  <c r="Z281" i="2" s="1"/>
  <c r="N281" i="2"/>
  <c r="Y280" i="2"/>
  <c r="V280" i="2"/>
  <c r="S280" i="2"/>
  <c r="M280" i="2"/>
  <c r="Y279" i="2"/>
  <c r="V279" i="2"/>
  <c r="S279" i="2"/>
  <c r="M279" i="2"/>
  <c r="J277" i="2" s="1"/>
  <c r="Y278" i="2"/>
  <c r="V278" i="2"/>
  <c r="S278" i="2"/>
  <c r="M278" i="2"/>
  <c r="Z277" i="2"/>
  <c r="X277" i="2"/>
  <c r="W277" i="2"/>
  <c r="T277" i="2"/>
  <c r="S277" i="2"/>
  <c r="U277" i="2" s="1"/>
  <c r="R277" i="2"/>
  <c r="P277" i="2"/>
  <c r="V277" i="2" s="1"/>
  <c r="N277" i="2"/>
  <c r="Y276" i="2"/>
  <c r="V276" i="2"/>
  <c r="S276" i="2"/>
  <c r="M276" i="2"/>
  <c r="J274" i="2" s="1"/>
  <c r="Y275" i="2"/>
  <c r="V275" i="2"/>
  <c r="S275" i="2"/>
  <c r="M275" i="2"/>
  <c r="Z274" i="2"/>
  <c r="X274" i="2"/>
  <c r="W274" i="2"/>
  <c r="T274" i="2"/>
  <c r="S274" i="2"/>
  <c r="U274" i="2" s="1"/>
  <c r="R274" i="2"/>
  <c r="P274" i="2"/>
  <c r="V274" i="2" s="1"/>
  <c r="N274" i="2"/>
  <c r="Y273" i="2"/>
  <c r="V273" i="2"/>
  <c r="S273" i="2"/>
  <c r="M273" i="2"/>
  <c r="J271" i="2" s="1"/>
  <c r="Y272" i="2"/>
  <c r="V272" i="2"/>
  <c r="S272" i="2"/>
  <c r="M272" i="2"/>
  <c r="Z271" i="2"/>
  <c r="W271" i="2"/>
  <c r="T271" i="2"/>
  <c r="S271" i="2"/>
  <c r="U271" i="2" s="1"/>
  <c r="R271" i="2"/>
  <c r="X271" i="2" s="1"/>
  <c r="P271" i="2"/>
  <c r="V271" i="2" s="1"/>
  <c r="N271" i="2"/>
  <c r="Y270" i="2"/>
  <c r="V270" i="2"/>
  <c r="S270" i="2"/>
  <c r="M270" i="2"/>
  <c r="Y269" i="2"/>
  <c r="V269" i="2"/>
  <c r="S269" i="2"/>
  <c r="M269" i="2"/>
  <c r="Y268" i="2"/>
  <c r="V268" i="2"/>
  <c r="S268" i="2"/>
  <c r="P267" i="2" s="1"/>
  <c r="M268" i="2"/>
  <c r="W267" i="2"/>
  <c r="V267" i="2"/>
  <c r="T267" i="2"/>
  <c r="Z267" i="2" s="1"/>
  <c r="N267" i="2"/>
  <c r="J267" i="2"/>
  <c r="L267" i="2" s="1"/>
  <c r="Y266" i="2"/>
  <c r="V266" i="2"/>
  <c r="S266" i="2"/>
  <c r="M266" i="2"/>
  <c r="Y265" i="2"/>
  <c r="V265" i="2"/>
  <c r="S265" i="2"/>
  <c r="P264" i="2" s="1"/>
  <c r="M265" i="2"/>
  <c r="W264" i="2"/>
  <c r="T264" i="2"/>
  <c r="Z264" i="2" s="1"/>
  <c r="N264" i="2"/>
  <c r="M264" i="2"/>
  <c r="O264" i="2" s="1"/>
  <c r="J264" i="2"/>
  <c r="L264" i="2" s="1"/>
  <c r="Y263" i="2"/>
  <c r="V263" i="2"/>
  <c r="S263" i="2"/>
  <c r="M263" i="2"/>
  <c r="Y262" i="2"/>
  <c r="V262" i="2"/>
  <c r="S262" i="2"/>
  <c r="P261" i="2" s="1"/>
  <c r="M262" i="2"/>
  <c r="W261" i="2"/>
  <c r="T261" i="2"/>
  <c r="Z261" i="2" s="1"/>
  <c r="N261" i="2"/>
  <c r="J261" i="2"/>
  <c r="L261" i="2" s="1"/>
  <c r="Y260" i="2"/>
  <c r="V260" i="2"/>
  <c r="S260" i="2"/>
  <c r="M260" i="2"/>
  <c r="Y259" i="2"/>
  <c r="V259" i="2"/>
  <c r="S259" i="2"/>
  <c r="M259" i="2"/>
  <c r="J257" i="2" s="1"/>
  <c r="Y258" i="2"/>
  <c r="V258" i="2"/>
  <c r="S258" i="2"/>
  <c r="M258" i="2"/>
  <c r="Z257" i="2"/>
  <c r="W257" i="2"/>
  <c r="T257" i="2"/>
  <c r="S257" i="2"/>
  <c r="U257" i="2" s="1"/>
  <c r="R257" i="2"/>
  <c r="X257" i="2" s="1"/>
  <c r="P257" i="2"/>
  <c r="V257" i="2" s="1"/>
  <c r="N257" i="2"/>
  <c r="Y256" i="2"/>
  <c r="V256" i="2"/>
  <c r="S256" i="2"/>
  <c r="M256" i="2"/>
  <c r="J254" i="2" s="1"/>
  <c r="Y255" i="2"/>
  <c r="V255" i="2"/>
  <c r="S255" i="2"/>
  <c r="M255" i="2"/>
  <c r="Z254" i="2"/>
  <c r="X254" i="2"/>
  <c r="W254" i="2"/>
  <c r="T254" i="2"/>
  <c r="S254" i="2"/>
  <c r="U254" i="2" s="1"/>
  <c r="R254" i="2"/>
  <c r="P254" i="2"/>
  <c r="V254" i="2" s="1"/>
  <c r="N254" i="2"/>
  <c r="Y253" i="2"/>
  <c r="V253" i="2"/>
  <c r="S253" i="2"/>
  <c r="M253" i="2"/>
  <c r="J251" i="2" s="1"/>
  <c r="Y252" i="2"/>
  <c r="V252" i="2"/>
  <c r="S252" i="2"/>
  <c r="M252" i="2"/>
  <c r="Z251" i="2"/>
  <c r="X251" i="2"/>
  <c r="W251" i="2"/>
  <c r="T251" i="2"/>
  <c r="S251" i="2"/>
  <c r="U251" i="2" s="1"/>
  <c r="R251" i="2"/>
  <c r="P251" i="2"/>
  <c r="V251" i="2" s="1"/>
  <c r="N251" i="2"/>
  <c r="Y250" i="2"/>
  <c r="V250" i="2"/>
  <c r="S250" i="2"/>
  <c r="M250" i="2"/>
  <c r="Y249" i="2"/>
  <c r="V249" i="2"/>
  <c r="S249" i="2"/>
  <c r="M249" i="2"/>
  <c r="Y248" i="2"/>
  <c r="V248" i="2"/>
  <c r="S248" i="2"/>
  <c r="P247" i="2" s="1"/>
  <c r="M248" i="2"/>
  <c r="W247" i="2"/>
  <c r="T247" i="2"/>
  <c r="Z247" i="2" s="1"/>
  <c r="N247" i="2"/>
  <c r="J247" i="2"/>
  <c r="L247" i="2" s="1"/>
  <c r="Y246" i="2"/>
  <c r="V246" i="2"/>
  <c r="S246" i="2"/>
  <c r="M246" i="2"/>
  <c r="Y245" i="2"/>
  <c r="V245" i="2"/>
  <c r="S245" i="2"/>
  <c r="P244" i="2" s="1"/>
  <c r="V244" i="2" s="1"/>
  <c r="M245" i="2"/>
  <c r="J244" i="2" s="1"/>
  <c r="W244" i="2"/>
  <c r="T244" i="2"/>
  <c r="Z244" i="2" s="1"/>
  <c r="N244" i="2"/>
  <c r="Y243" i="2"/>
  <c r="V243" i="2"/>
  <c r="S243" i="2"/>
  <c r="M243" i="2"/>
  <c r="Y242" i="2"/>
  <c r="V242" i="2"/>
  <c r="S242" i="2"/>
  <c r="P241" i="2" s="1"/>
  <c r="M242" i="2"/>
  <c r="W241" i="2"/>
  <c r="V241" i="2"/>
  <c r="T241" i="2"/>
  <c r="Z241" i="2" s="1"/>
  <c r="N241" i="2"/>
  <c r="J241" i="2"/>
  <c r="L241" i="2" s="1"/>
  <c r="Y240" i="2"/>
  <c r="V240" i="2"/>
  <c r="S240" i="2"/>
  <c r="M240" i="2"/>
  <c r="Y239" i="2"/>
  <c r="V239" i="2"/>
  <c r="S239" i="2"/>
  <c r="M239" i="2"/>
  <c r="J237" i="2" s="1"/>
  <c r="Y238" i="2"/>
  <c r="V238" i="2"/>
  <c r="S238" i="2"/>
  <c r="M238" i="2"/>
  <c r="Z237" i="2"/>
  <c r="W237" i="2"/>
  <c r="T237" i="2"/>
  <c r="S237" i="2"/>
  <c r="U237" i="2" s="1"/>
  <c r="R237" i="2"/>
  <c r="X237" i="2" s="1"/>
  <c r="P237" i="2"/>
  <c r="V237" i="2" s="1"/>
  <c r="N237" i="2"/>
  <c r="Y236" i="2"/>
  <c r="V236" i="2"/>
  <c r="S236" i="2"/>
  <c r="M236" i="2"/>
  <c r="J234" i="2" s="1"/>
  <c r="Y235" i="2"/>
  <c r="V235" i="2"/>
  <c r="S235" i="2"/>
  <c r="M235" i="2"/>
  <c r="Z234" i="2"/>
  <c r="W234" i="2"/>
  <c r="T234" i="2"/>
  <c r="S234" i="2"/>
  <c r="U234" i="2" s="1"/>
  <c r="R234" i="2"/>
  <c r="X234" i="2" s="1"/>
  <c r="P234" i="2"/>
  <c r="V234" i="2" s="1"/>
  <c r="N234" i="2"/>
  <c r="Y233" i="2"/>
  <c r="V233" i="2"/>
  <c r="S233" i="2"/>
  <c r="M233" i="2"/>
  <c r="J231" i="2" s="1"/>
  <c r="Y232" i="2"/>
  <c r="V232" i="2"/>
  <c r="S232" i="2"/>
  <c r="M232" i="2"/>
  <c r="Z231" i="2"/>
  <c r="W231" i="2"/>
  <c r="T231" i="2"/>
  <c r="S231" i="2"/>
  <c r="U231" i="2" s="1"/>
  <c r="R231" i="2"/>
  <c r="X231" i="2" s="1"/>
  <c r="P231" i="2"/>
  <c r="V231" i="2" s="1"/>
  <c r="N231" i="2"/>
  <c r="Y230" i="2"/>
  <c r="V230" i="2"/>
  <c r="S230" i="2"/>
  <c r="M230" i="2"/>
  <c r="Y229" i="2"/>
  <c r="V229" i="2"/>
  <c r="S229" i="2"/>
  <c r="M229" i="2"/>
  <c r="Y228" i="2"/>
  <c r="V228" i="2"/>
  <c r="S228" i="2"/>
  <c r="P227" i="2" s="1"/>
  <c r="M228" i="2"/>
  <c r="J227" i="2" s="1"/>
  <c r="W227" i="2"/>
  <c r="V227" i="2"/>
  <c r="T227" i="2"/>
  <c r="Z227" i="2" s="1"/>
  <c r="N227" i="2"/>
  <c r="Y226" i="2"/>
  <c r="V226" i="2"/>
  <c r="S226" i="2"/>
  <c r="M226" i="2"/>
  <c r="Y225" i="2"/>
  <c r="V225" i="2"/>
  <c r="S225" i="2"/>
  <c r="P224" i="2" s="1"/>
  <c r="M225" i="2"/>
  <c r="W224" i="2"/>
  <c r="V224" i="2"/>
  <c r="T224" i="2"/>
  <c r="Z224" i="2" s="1"/>
  <c r="N224" i="2"/>
  <c r="J224" i="2"/>
  <c r="L224" i="2" s="1"/>
  <c r="Y223" i="2"/>
  <c r="V223" i="2"/>
  <c r="S223" i="2"/>
  <c r="M223" i="2"/>
  <c r="Y222" i="2"/>
  <c r="V222" i="2"/>
  <c r="S222" i="2"/>
  <c r="P221" i="2" s="1"/>
  <c r="M222" i="2"/>
  <c r="W221" i="2"/>
  <c r="V221" i="2"/>
  <c r="T221" i="2"/>
  <c r="Z221" i="2" s="1"/>
  <c r="N221" i="2"/>
  <c r="M221" i="2"/>
  <c r="O221" i="2" s="1"/>
  <c r="J221" i="2"/>
  <c r="L221" i="2" s="1"/>
  <c r="Y220" i="2"/>
  <c r="V220" i="2"/>
  <c r="S220" i="2"/>
  <c r="M220" i="2"/>
  <c r="Y219" i="2"/>
  <c r="V219" i="2"/>
  <c r="S219" i="2"/>
  <c r="M219" i="2"/>
  <c r="J217" i="2" s="1"/>
  <c r="Y218" i="2"/>
  <c r="V218" i="2"/>
  <c r="S218" i="2"/>
  <c r="M218" i="2"/>
  <c r="Z217" i="2"/>
  <c r="X217" i="2"/>
  <c r="W217" i="2"/>
  <c r="T217" i="2"/>
  <c r="S217" i="2"/>
  <c r="U217" i="2" s="1"/>
  <c r="R217" i="2"/>
  <c r="P217" i="2"/>
  <c r="V217" i="2" s="1"/>
  <c r="N217" i="2"/>
  <c r="Y216" i="2"/>
  <c r="V216" i="2"/>
  <c r="S216" i="2"/>
  <c r="M216" i="2"/>
  <c r="Y215" i="2"/>
  <c r="V215" i="2"/>
  <c r="S215" i="2"/>
  <c r="M215" i="2"/>
  <c r="Y214" i="2"/>
  <c r="V214" i="2"/>
  <c r="S214" i="2"/>
  <c r="M214" i="2"/>
  <c r="Y213" i="2"/>
  <c r="V213" i="2"/>
  <c r="S213" i="2"/>
  <c r="M213" i="2"/>
  <c r="Z212" i="2"/>
  <c r="AA212" i="2" s="1"/>
  <c r="Y212" i="2"/>
  <c r="X212" i="2"/>
  <c r="W212" i="2"/>
  <c r="V212" i="2"/>
  <c r="U212" i="2"/>
  <c r="R212" i="2"/>
  <c r="O212" i="2"/>
  <c r="L212" i="2"/>
  <c r="V211" i="2"/>
  <c r="S211" i="2"/>
  <c r="Y211" i="2" s="1"/>
  <c r="M211" i="2"/>
  <c r="V210" i="2"/>
  <c r="S210" i="2"/>
  <c r="Y210" i="2" s="1"/>
  <c r="M210" i="2"/>
  <c r="V209" i="2"/>
  <c r="S209" i="2"/>
  <c r="Y209" i="2" s="1"/>
  <c r="M209" i="2"/>
  <c r="V208" i="2"/>
  <c r="S208" i="2"/>
  <c r="Y208" i="2" s="1"/>
  <c r="M208" i="2"/>
  <c r="Z207" i="2"/>
  <c r="Y207" i="2"/>
  <c r="W207" i="2"/>
  <c r="V207" i="2"/>
  <c r="U207" i="2"/>
  <c r="R207" i="2"/>
  <c r="X207" i="2" s="1"/>
  <c r="O207" i="2"/>
  <c r="L207" i="2"/>
  <c r="Y206" i="2"/>
  <c r="V206" i="2"/>
  <c r="S206" i="2"/>
  <c r="M206" i="2"/>
  <c r="Y205" i="2"/>
  <c r="V205" i="2"/>
  <c r="S205" i="2"/>
  <c r="M205" i="2"/>
  <c r="Y204" i="2"/>
  <c r="V204" i="2"/>
  <c r="S204" i="2"/>
  <c r="M204" i="2"/>
  <c r="Y203" i="2"/>
  <c r="V203" i="2"/>
  <c r="S203" i="2"/>
  <c r="M203" i="2"/>
  <c r="AA202" i="2"/>
  <c r="Z202" i="2"/>
  <c r="Y202" i="2"/>
  <c r="W202" i="2"/>
  <c r="V202" i="2"/>
  <c r="U202" i="2"/>
  <c r="R202" i="2"/>
  <c r="X202" i="2" s="1"/>
  <c r="O202" i="2"/>
  <c r="L202" i="2"/>
  <c r="V201" i="2"/>
  <c r="S201" i="2"/>
  <c r="Y201" i="2" s="1"/>
  <c r="M201" i="2"/>
  <c r="V200" i="2"/>
  <c r="S200" i="2"/>
  <c r="Y200" i="2" s="1"/>
  <c r="M200" i="2"/>
  <c r="V199" i="2"/>
  <c r="S199" i="2"/>
  <c r="Y199" i="2" s="1"/>
  <c r="M199" i="2"/>
  <c r="Z198" i="2"/>
  <c r="Y198" i="2"/>
  <c r="AA198" i="2" s="1"/>
  <c r="W198" i="2"/>
  <c r="V198" i="2"/>
  <c r="U198" i="2"/>
  <c r="R198" i="2"/>
  <c r="X198" i="2" s="1"/>
  <c r="O198" i="2"/>
  <c r="L198" i="2"/>
  <c r="Y197" i="2"/>
  <c r="V197" i="2"/>
  <c r="S197" i="2"/>
  <c r="M197" i="2"/>
  <c r="Y196" i="2"/>
  <c r="V196" i="2"/>
  <c r="S196" i="2"/>
  <c r="M196" i="2"/>
  <c r="Y195" i="2"/>
  <c r="V195" i="2"/>
  <c r="S195" i="2"/>
  <c r="M195" i="2"/>
  <c r="Y194" i="2"/>
  <c r="V194" i="2"/>
  <c r="S194" i="2"/>
  <c r="M194" i="2"/>
  <c r="AA193" i="2"/>
  <c r="Z193" i="2"/>
  <c r="Y193" i="2"/>
  <c r="W193" i="2"/>
  <c r="V193" i="2"/>
  <c r="U193" i="2"/>
  <c r="R193" i="2"/>
  <c r="X193" i="2" s="1"/>
  <c r="O193" i="2"/>
  <c r="L193" i="2"/>
  <c r="V192" i="2"/>
  <c r="S192" i="2"/>
  <c r="Y192" i="2" s="1"/>
  <c r="M192" i="2"/>
  <c r="V191" i="2"/>
  <c r="S191" i="2"/>
  <c r="Y191" i="2" s="1"/>
  <c r="M191" i="2"/>
  <c r="V190" i="2"/>
  <c r="S190" i="2"/>
  <c r="Y190" i="2" s="1"/>
  <c r="M190" i="2"/>
  <c r="V189" i="2"/>
  <c r="S189" i="2"/>
  <c r="Y189" i="2" s="1"/>
  <c r="M189" i="2"/>
  <c r="Z188" i="2"/>
  <c r="Y188" i="2"/>
  <c r="AA188" i="2" s="1"/>
  <c r="X188" i="2"/>
  <c r="W188" i="2"/>
  <c r="V188" i="2"/>
  <c r="U188" i="2"/>
  <c r="R188" i="2"/>
  <c r="O188" i="2"/>
  <c r="L188" i="2"/>
  <c r="Y187" i="2"/>
  <c r="V187" i="2"/>
  <c r="S187" i="2"/>
  <c r="M187" i="2"/>
  <c r="Y186" i="2"/>
  <c r="V186" i="2"/>
  <c r="S186" i="2"/>
  <c r="M186" i="2"/>
  <c r="Y185" i="2"/>
  <c r="V185" i="2"/>
  <c r="S185" i="2"/>
  <c r="M185" i="2"/>
  <c r="AA184" i="2"/>
  <c r="Z184" i="2"/>
  <c r="Y184" i="2"/>
  <c r="W184" i="2"/>
  <c r="V184" i="2"/>
  <c r="U184" i="2"/>
  <c r="R184" i="2"/>
  <c r="X184" i="2" s="1"/>
  <c r="O184" i="2"/>
  <c r="L184" i="2"/>
  <c r="V183" i="2"/>
  <c r="S183" i="2"/>
  <c r="Y183" i="2" s="1"/>
  <c r="M183" i="2"/>
  <c r="V182" i="2"/>
  <c r="S182" i="2"/>
  <c r="Y182" i="2" s="1"/>
  <c r="M182" i="2"/>
  <c r="V181" i="2"/>
  <c r="S181" i="2"/>
  <c r="Y181" i="2" s="1"/>
  <c r="M181" i="2"/>
  <c r="Z180" i="2"/>
  <c r="Y180" i="2"/>
  <c r="AA180" i="2" s="1"/>
  <c r="W180" i="2"/>
  <c r="V180" i="2"/>
  <c r="U180" i="2"/>
  <c r="R180" i="2"/>
  <c r="X180" i="2" s="1"/>
  <c r="O180" i="2"/>
  <c r="L180" i="2"/>
  <c r="Y179" i="2"/>
  <c r="V179" i="2"/>
  <c r="S179" i="2"/>
  <c r="M179" i="2"/>
  <c r="Y178" i="2"/>
  <c r="V178" i="2"/>
  <c r="S178" i="2"/>
  <c r="M178" i="2"/>
  <c r="Y177" i="2"/>
  <c r="V177" i="2"/>
  <c r="S177" i="2"/>
  <c r="M177" i="2"/>
  <c r="Z176" i="2"/>
  <c r="AA176" i="2" s="1"/>
  <c r="Y176" i="2"/>
  <c r="X176" i="2"/>
  <c r="W176" i="2"/>
  <c r="V176" i="2"/>
  <c r="U176" i="2"/>
  <c r="R176" i="2"/>
  <c r="O176" i="2"/>
  <c r="L176" i="2"/>
  <c r="V175" i="2"/>
  <c r="S175" i="2"/>
  <c r="Y175" i="2" s="1"/>
  <c r="M175" i="2"/>
  <c r="V174" i="2"/>
  <c r="S174" i="2"/>
  <c r="Y174" i="2" s="1"/>
  <c r="M174" i="2"/>
  <c r="V173" i="2"/>
  <c r="S173" i="2"/>
  <c r="Y173" i="2" s="1"/>
  <c r="M173" i="2"/>
  <c r="Z172" i="2"/>
  <c r="Y172" i="2"/>
  <c r="AA172" i="2" s="1"/>
  <c r="X172" i="2"/>
  <c r="W172" i="2"/>
  <c r="V172" i="2"/>
  <c r="U172" i="2"/>
  <c r="R172" i="2"/>
  <c r="O172" i="2"/>
  <c r="L172" i="2"/>
  <c r="Y171" i="2"/>
  <c r="V171" i="2"/>
  <c r="S171" i="2"/>
  <c r="M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Z167" i="2"/>
  <c r="AA167" i="2" s="1"/>
  <c r="Y167" i="2"/>
  <c r="X167" i="2"/>
  <c r="W167" i="2"/>
  <c r="V167" i="2"/>
  <c r="U167" i="2"/>
  <c r="R167" i="2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Y160" i="2"/>
  <c r="V160" i="2"/>
  <c r="S160" i="2"/>
  <c r="M160" i="2"/>
  <c r="Y159" i="2"/>
  <c r="V159" i="2"/>
  <c r="S159" i="2"/>
  <c r="M159" i="2"/>
  <c r="Z158" i="2"/>
  <c r="AA158" i="2" s="1"/>
  <c r="Y158" i="2"/>
  <c r="X158" i="2"/>
  <c r="W158" i="2"/>
  <c r="V158" i="2"/>
  <c r="U158" i="2"/>
  <c r="R158" i="2"/>
  <c r="O158" i="2"/>
  <c r="L158" i="2"/>
  <c r="V157" i="2"/>
  <c r="S157" i="2"/>
  <c r="Y157" i="2" s="1"/>
  <c r="M157" i="2"/>
  <c r="V156" i="2"/>
  <c r="S156" i="2"/>
  <c r="Y156" i="2" s="1"/>
  <c r="M156" i="2"/>
  <c r="V155" i="2"/>
  <c r="S155" i="2"/>
  <c r="Y155" i="2" s="1"/>
  <c r="M155" i="2"/>
  <c r="Z154" i="2"/>
  <c r="Y154" i="2"/>
  <c r="AA154" i="2" s="1"/>
  <c r="X154" i="2"/>
  <c r="W154" i="2"/>
  <c r="V154" i="2"/>
  <c r="U154" i="2"/>
  <c r="R154" i="2"/>
  <c r="O154" i="2"/>
  <c r="L154" i="2"/>
  <c r="Y153" i="2"/>
  <c r="V153" i="2"/>
  <c r="S153" i="2"/>
  <c r="M153" i="2"/>
  <c r="Y152" i="2"/>
  <c r="V152" i="2"/>
  <c r="S152" i="2"/>
  <c r="M152" i="2"/>
  <c r="Y151" i="2"/>
  <c r="V151" i="2"/>
  <c r="S151" i="2"/>
  <c r="M151" i="2"/>
  <c r="Y150" i="2"/>
  <c r="V150" i="2"/>
  <c r="S150" i="2"/>
  <c r="M150" i="2"/>
  <c r="Z149" i="2"/>
  <c r="AA149" i="2" s="1"/>
  <c r="Y149" i="2"/>
  <c r="X149" i="2"/>
  <c r="W149" i="2"/>
  <c r="V149" i="2"/>
  <c r="U149" i="2"/>
  <c r="R149" i="2"/>
  <c r="O149" i="2"/>
  <c r="L149" i="2"/>
  <c r="V148" i="2"/>
  <c r="S148" i="2"/>
  <c r="Y148" i="2" s="1"/>
  <c r="M148" i="2"/>
  <c r="V147" i="2"/>
  <c r="S147" i="2"/>
  <c r="Y147" i="2" s="1"/>
  <c r="M147" i="2"/>
  <c r="V146" i="2"/>
  <c r="S146" i="2"/>
  <c r="Y146" i="2" s="1"/>
  <c r="M146" i="2"/>
  <c r="V145" i="2"/>
  <c r="S145" i="2"/>
  <c r="Y145" i="2" s="1"/>
  <c r="M145" i="2"/>
  <c r="Z144" i="2"/>
  <c r="Y144" i="2"/>
  <c r="AA144" i="2" s="1"/>
  <c r="W144" i="2"/>
  <c r="V144" i="2"/>
  <c r="U144" i="2"/>
  <c r="R144" i="2"/>
  <c r="X144" i="2" s="1"/>
  <c r="O144" i="2"/>
  <c r="L144" i="2"/>
  <c r="Y143" i="2"/>
  <c r="V143" i="2"/>
  <c r="S143" i="2"/>
  <c r="M143" i="2"/>
  <c r="Y142" i="2"/>
  <c r="V142" i="2"/>
  <c r="S142" i="2"/>
  <c r="M142" i="2"/>
  <c r="J141" i="2" s="1"/>
  <c r="X141" i="2"/>
  <c r="W141" i="2"/>
  <c r="V141" i="2"/>
  <c r="T141" i="2"/>
  <c r="S141" i="2"/>
  <c r="Y141" i="2" s="1"/>
  <c r="R141" i="2"/>
  <c r="P141" i="2"/>
  <c r="N141" i="2"/>
  <c r="N140" i="2"/>
  <c r="N139" i="2" s="1"/>
  <c r="V138" i="2"/>
  <c r="S138" i="2"/>
  <c r="Y138" i="2" s="1"/>
  <c r="M138" i="2"/>
  <c r="Z137" i="2"/>
  <c r="W137" i="2"/>
  <c r="V137" i="2"/>
  <c r="T137" i="2"/>
  <c r="T100" i="2" s="1"/>
  <c r="R137" i="2"/>
  <c r="X137" i="2" s="1"/>
  <c r="P137" i="2"/>
  <c r="S137" i="2" s="1"/>
  <c r="N137" i="2"/>
  <c r="J137" i="2"/>
  <c r="V136" i="2"/>
  <c r="S136" i="2"/>
  <c r="Y136" i="2" s="1"/>
  <c r="M136" i="2"/>
  <c r="V135" i="2"/>
  <c r="S135" i="2"/>
  <c r="Y135" i="2" s="1"/>
  <c r="M135" i="2"/>
  <c r="J133" i="2" s="1"/>
  <c r="L133" i="2" s="1"/>
  <c r="V134" i="2"/>
  <c r="S134" i="2"/>
  <c r="P133" i="2" s="1"/>
  <c r="M134" i="2"/>
  <c r="Z133" i="2"/>
  <c r="W133" i="2"/>
  <c r="V133" i="2"/>
  <c r="T133" i="2"/>
  <c r="N133" i="2"/>
  <c r="V132" i="2"/>
  <c r="S132" i="2"/>
  <c r="Y132" i="2" s="1"/>
  <c r="M132" i="2"/>
  <c r="V131" i="2"/>
  <c r="S131" i="2"/>
  <c r="Y131" i="2" s="1"/>
  <c r="M131" i="2"/>
  <c r="V130" i="2"/>
  <c r="S130" i="2"/>
  <c r="Y130" i="2" s="1"/>
  <c r="M130" i="2"/>
  <c r="V129" i="2"/>
  <c r="S129" i="2"/>
  <c r="Y129" i="2" s="1"/>
  <c r="M129" i="2"/>
  <c r="Z128" i="2"/>
  <c r="Y128" i="2"/>
  <c r="AA128" i="2" s="1"/>
  <c r="X128" i="2"/>
  <c r="W128" i="2"/>
  <c r="V128" i="2"/>
  <c r="U128" i="2"/>
  <c r="R128" i="2"/>
  <c r="O128" i="2"/>
  <c r="L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Y124" i="2"/>
  <c r="V124" i="2"/>
  <c r="S124" i="2"/>
  <c r="M124" i="2"/>
  <c r="Z123" i="2"/>
  <c r="AA123" i="2" s="1"/>
  <c r="Y123" i="2"/>
  <c r="X123" i="2"/>
  <c r="W123" i="2"/>
  <c r="V123" i="2"/>
  <c r="U123" i="2"/>
  <c r="R123" i="2"/>
  <c r="O123" i="2"/>
  <c r="L123" i="2"/>
  <c r="V122" i="2"/>
  <c r="S122" i="2"/>
  <c r="Y122" i="2" s="1"/>
  <c r="M122" i="2"/>
  <c r="V121" i="2"/>
  <c r="S121" i="2"/>
  <c r="Y121" i="2" s="1"/>
  <c r="M121" i="2"/>
  <c r="Z120" i="2"/>
  <c r="Z100" i="2" s="1"/>
  <c r="Y120" i="2"/>
  <c r="W120" i="2"/>
  <c r="V120" i="2"/>
  <c r="U120" i="2"/>
  <c r="R120" i="2"/>
  <c r="X120" i="2" s="1"/>
  <c r="O120" i="2"/>
  <c r="L120" i="2"/>
  <c r="Y119" i="2"/>
  <c r="V119" i="2"/>
  <c r="S119" i="2"/>
  <c r="M119" i="2"/>
  <c r="Y118" i="2"/>
  <c r="V118" i="2"/>
  <c r="S118" i="2"/>
  <c r="M118" i="2"/>
  <c r="Y117" i="2"/>
  <c r="V117" i="2"/>
  <c r="S117" i="2"/>
  <c r="M117" i="2"/>
  <c r="Z116" i="2"/>
  <c r="AA116" i="2" s="1"/>
  <c r="Y116" i="2"/>
  <c r="X116" i="2"/>
  <c r="W116" i="2"/>
  <c r="V116" i="2"/>
  <c r="U116" i="2"/>
  <c r="R116" i="2"/>
  <c r="O116" i="2"/>
  <c r="L116" i="2"/>
  <c r="V115" i="2"/>
  <c r="S115" i="2"/>
  <c r="Y115" i="2" s="1"/>
  <c r="M115" i="2"/>
  <c r="V114" i="2"/>
  <c r="S114" i="2"/>
  <c r="Y114" i="2" s="1"/>
  <c r="M114" i="2"/>
  <c r="V113" i="2"/>
  <c r="S113" i="2"/>
  <c r="Y113" i="2" s="1"/>
  <c r="M113" i="2"/>
  <c r="V112" i="2"/>
  <c r="S112" i="2"/>
  <c r="Y112" i="2" s="1"/>
  <c r="M112" i="2"/>
  <c r="Z111" i="2"/>
  <c r="Y111" i="2"/>
  <c r="W111" i="2"/>
  <c r="V111" i="2"/>
  <c r="U111" i="2"/>
  <c r="R111" i="2"/>
  <c r="X111" i="2" s="1"/>
  <c r="O111" i="2"/>
  <c r="L111" i="2"/>
  <c r="Y110" i="2"/>
  <c r="V110" i="2"/>
  <c r="S110" i="2"/>
  <c r="M110" i="2"/>
  <c r="Y109" i="2"/>
  <c r="V109" i="2"/>
  <c r="S109" i="2"/>
  <c r="M109" i="2"/>
  <c r="Y108" i="2"/>
  <c r="V108" i="2"/>
  <c r="S108" i="2"/>
  <c r="M108" i="2"/>
  <c r="Y107" i="2"/>
  <c r="V107" i="2"/>
  <c r="S107" i="2"/>
  <c r="M107" i="2"/>
  <c r="AA106" i="2"/>
  <c r="Z106" i="2"/>
  <c r="Y106" i="2"/>
  <c r="W106" i="2"/>
  <c r="V106" i="2"/>
  <c r="U106" i="2"/>
  <c r="R106" i="2"/>
  <c r="X106" i="2" s="1"/>
  <c r="O106" i="2"/>
  <c r="L106" i="2"/>
  <c r="V105" i="2"/>
  <c r="S105" i="2"/>
  <c r="Y105" i="2" s="1"/>
  <c r="M105" i="2"/>
  <c r="V104" i="2"/>
  <c r="S104" i="2"/>
  <c r="Y104" i="2" s="1"/>
  <c r="M104" i="2"/>
  <c r="V103" i="2"/>
  <c r="S103" i="2"/>
  <c r="Y103" i="2" s="1"/>
  <c r="M103" i="2"/>
  <c r="V102" i="2"/>
  <c r="S102" i="2"/>
  <c r="Y102" i="2" s="1"/>
  <c r="M102" i="2"/>
  <c r="Z101" i="2"/>
  <c r="Y101" i="2"/>
  <c r="AA101" i="2" s="1"/>
  <c r="X101" i="2"/>
  <c r="W101" i="2"/>
  <c r="V101" i="2"/>
  <c r="U101" i="2"/>
  <c r="R101" i="2"/>
  <c r="O101" i="2"/>
  <c r="L101" i="2"/>
  <c r="N100" i="2"/>
  <c r="V99" i="2"/>
  <c r="S99" i="2"/>
  <c r="Y99" i="2" s="1"/>
  <c r="M99" i="2"/>
  <c r="Z98" i="2"/>
  <c r="Y98" i="2"/>
  <c r="AA98" i="2" s="1"/>
  <c r="W98" i="2"/>
  <c r="V98" i="2"/>
  <c r="U98" i="2"/>
  <c r="R98" i="2"/>
  <c r="X98" i="2" s="1"/>
  <c r="O98" i="2"/>
  <c r="L98" i="2"/>
  <c r="V97" i="2"/>
  <c r="S97" i="2"/>
  <c r="Y97" i="2" s="1"/>
  <c r="M97" i="2"/>
  <c r="Y96" i="2"/>
  <c r="V96" i="2"/>
  <c r="S96" i="2"/>
  <c r="M96" i="2"/>
  <c r="Z95" i="2"/>
  <c r="Y95" i="2"/>
  <c r="AA95" i="2" s="1"/>
  <c r="W95" i="2"/>
  <c r="V95" i="2"/>
  <c r="U95" i="2"/>
  <c r="R95" i="2"/>
  <c r="X95" i="2" s="1"/>
  <c r="O95" i="2"/>
  <c r="L95" i="2"/>
  <c r="V94" i="2"/>
  <c r="S94" i="2"/>
  <c r="Y94" i="2" s="1"/>
  <c r="M94" i="2"/>
  <c r="V93" i="2"/>
  <c r="S93" i="2"/>
  <c r="Y93" i="2" s="1"/>
  <c r="M93" i="2"/>
  <c r="AA92" i="2"/>
  <c r="AA91" i="2" s="1"/>
  <c r="Z92" i="2"/>
  <c r="Y92" i="2"/>
  <c r="Y91" i="2" s="1"/>
  <c r="X92" i="2"/>
  <c r="W92" i="2"/>
  <c r="V92" i="2"/>
  <c r="U92" i="2"/>
  <c r="U91" i="2" s="1"/>
  <c r="R92" i="2"/>
  <c r="O92" i="2"/>
  <c r="O91" i="2" s="1"/>
  <c r="L92" i="2"/>
  <c r="Z91" i="2"/>
  <c r="T91" i="2"/>
  <c r="S91" i="2"/>
  <c r="N91" i="2"/>
  <c r="M91" i="2"/>
  <c r="Y90" i="2"/>
  <c r="V90" i="2"/>
  <c r="S90" i="2"/>
  <c r="M90" i="2"/>
  <c r="Y89" i="2"/>
  <c r="V89" i="2"/>
  <c r="S89" i="2"/>
  <c r="M89" i="2"/>
  <c r="J87" i="2" s="1"/>
  <c r="Y88" i="2"/>
  <c r="V88" i="2"/>
  <c r="S88" i="2"/>
  <c r="P87" i="2" s="1"/>
  <c r="M88" i="2"/>
  <c r="Z87" i="2"/>
  <c r="W87" i="2"/>
  <c r="T87" i="2"/>
  <c r="N87" i="2"/>
  <c r="Y86" i="2"/>
  <c r="V86" i="2"/>
  <c r="S86" i="2"/>
  <c r="M86" i="2"/>
  <c r="Y85" i="2"/>
  <c r="V85" i="2"/>
  <c r="S85" i="2"/>
  <c r="M85" i="2"/>
  <c r="Y84" i="2"/>
  <c r="V84" i="2"/>
  <c r="S84" i="2"/>
  <c r="M84" i="2"/>
  <c r="J83" i="2" s="1"/>
  <c r="X83" i="2"/>
  <c r="W83" i="2"/>
  <c r="V83" i="2"/>
  <c r="T83" i="2"/>
  <c r="Z83" i="2" s="1"/>
  <c r="S83" i="2"/>
  <c r="Y83" i="2" s="1"/>
  <c r="AA83" i="2" s="1"/>
  <c r="R83" i="2"/>
  <c r="P83" i="2"/>
  <c r="N83" i="2"/>
  <c r="Y82" i="2"/>
  <c r="V82" i="2"/>
  <c r="S82" i="2"/>
  <c r="M82" i="2"/>
  <c r="Y81" i="2"/>
  <c r="V81" i="2"/>
  <c r="S81" i="2"/>
  <c r="M81" i="2"/>
  <c r="J79" i="2" s="1"/>
  <c r="Y80" i="2"/>
  <c r="V80" i="2"/>
  <c r="S80" i="2"/>
  <c r="P79" i="2" s="1"/>
  <c r="R79" i="2" s="1"/>
  <c r="X79" i="2" s="1"/>
  <c r="M80" i="2"/>
  <c r="Z79" i="2"/>
  <c r="W79" i="2"/>
  <c r="T79" i="2"/>
  <c r="N79" i="2"/>
  <c r="N53" i="2" s="1"/>
  <c r="N52" i="2" s="1"/>
  <c r="N51" i="2" s="1"/>
  <c r="N50" i="2" s="1"/>
  <c r="N49" i="2" s="1"/>
  <c r="Y78" i="2"/>
  <c r="V78" i="2"/>
  <c r="S78" i="2"/>
  <c r="M78" i="2"/>
  <c r="Y77" i="2"/>
  <c r="V77" i="2"/>
  <c r="S77" i="2"/>
  <c r="M77" i="2"/>
  <c r="Y76" i="2"/>
  <c r="V76" i="2"/>
  <c r="S76" i="2"/>
  <c r="M76" i="2"/>
  <c r="AA75" i="2"/>
  <c r="Z75" i="2"/>
  <c r="Y75" i="2"/>
  <c r="W75" i="2"/>
  <c r="V75" i="2"/>
  <c r="U75" i="2"/>
  <c r="R75" i="2"/>
  <c r="X75" i="2" s="1"/>
  <c r="O75" i="2"/>
  <c r="L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V71" i="2"/>
  <c r="S71" i="2"/>
  <c r="Y71" i="2" s="1"/>
  <c r="M71" i="2"/>
  <c r="Z70" i="2"/>
  <c r="Y70" i="2"/>
  <c r="AA70" i="2" s="1"/>
  <c r="X70" i="2"/>
  <c r="W70" i="2"/>
  <c r="V70" i="2"/>
  <c r="U70" i="2"/>
  <c r="R70" i="2"/>
  <c r="O70" i="2"/>
  <c r="L70" i="2"/>
  <c r="Y69" i="2"/>
  <c r="V69" i="2"/>
  <c r="S69" i="2"/>
  <c r="M69" i="2"/>
  <c r="Y68" i="2"/>
  <c r="V68" i="2"/>
  <c r="S68" i="2"/>
  <c r="M68" i="2"/>
  <c r="Y67" i="2"/>
  <c r="V67" i="2"/>
  <c r="S67" i="2"/>
  <c r="M67" i="2"/>
  <c r="AA66" i="2"/>
  <c r="Z66" i="2"/>
  <c r="Y66" i="2"/>
  <c r="W66" i="2"/>
  <c r="V66" i="2"/>
  <c r="U66" i="2"/>
  <c r="R66" i="2"/>
  <c r="X66" i="2" s="1"/>
  <c r="O66" i="2"/>
  <c r="L66" i="2"/>
  <c r="V65" i="2"/>
  <c r="S65" i="2"/>
  <c r="Y65" i="2" s="1"/>
  <c r="M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Z61" i="2"/>
  <c r="Y61" i="2"/>
  <c r="AA61" i="2" s="1"/>
  <c r="X61" i="2"/>
  <c r="W61" i="2"/>
  <c r="V61" i="2"/>
  <c r="U61" i="2"/>
  <c r="R61" i="2"/>
  <c r="O61" i="2"/>
  <c r="L61" i="2"/>
  <c r="Y60" i="2"/>
  <c r="V60" i="2"/>
  <c r="S60" i="2"/>
  <c r="M60" i="2"/>
  <c r="AA59" i="2"/>
  <c r="Z59" i="2"/>
  <c r="Y59" i="2"/>
  <c r="W59" i="2"/>
  <c r="V59" i="2"/>
  <c r="U59" i="2"/>
  <c r="R59" i="2"/>
  <c r="X59" i="2" s="1"/>
  <c r="O59" i="2"/>
  <c r="L59" i="2"/>
  <c r="V58" i="2"/>
  <c r="S58" i="2"/>
  <c r="Y58" i="2" s="1"/>
  <c r="M58" i="2"/>
  <c r="Z57" i="2"/>
  <c r="Y57" i="2"/>
  <c r="W57" i="2"/>
  <c r="V57" i="2"/>
  <c r="U57" i="2"/>
  <c r="R57" i="2"/>
  <c r="X57" i="2" s="1"/>
  <c r="O57" i="2"/>
  <c r="L57" i="2"/>
  <c r="Y56" i="2"/>
  <c r="V56" i="2"/>
  <c r="S56" i="2"/>
  <c r="M56" i="2"/>
  <c r="Y55" i="2"/>
  <c r="V55" i="2"/>
  <c r="S55" i="2"/>
  <c r="M55" i="2"/>
  <c r="AA54" i="2"/>
  <c r="Z54" i="2"/>
  <c r="Y54" i="2"/>
  <c r="W54" i="2"/>
  <c r="V54" i="2"/>
  <c r="U54" i="2"/>
  <c r="R54" i="2"/>
  <c r="X54" i="2" s="1"/>
  <c r="O54" i="2"/>
  <c r="L54" i="2"/>
  <c r="Y48" i="2"/>
  <c r="V48" i="2"/>
  <c r="S48" i="2"/>
  <c r="M48" i="2"/>
  <c r="V47" i="2"/>
  <c r="S47" i="2"/>
  <c r="Y47" i="2" s="1"/>
  <c r="M47" i="2"/>
  <c r="Y46" i="2"/>
  <c r="V46" i="2"/>
  <c r="S46" i="2"/>
  <c r="M46" i="2"/>
  <c r="Z45" i="2"/>
  <c r="W45" i="2"/>
  <c r="T45" i="2"/>
  <c r="P45" i="2"/>
  <c r="N45" i="2"/>
  <c r="N44" i="2" s="1"/>
  <c r="M45" i="2"/>
  <c r="L45" i="2"/>
  <c r="J45" i="2"/>
  <c r="Z44" i="2"/>
  <c r="T44" i="2"/>
  <c r="M44" i="2"/>
  <c r="Y43" i="2"/>
  <c r="V43" i="2"/>
  <c r="S43" i="2"/>
  <c r="M43" i="2"/>
  <c r="Y42" i="2"/>
  <c r="V42" i="2"/>
  <c r="S42" i="2"/>
  <c r="M42" i="2"/>
  <c r="Y41" i="2"/>
  <c r="V41" i="2"/>
  <c r="S41" i="2"/>
  <c r="M41" i="2"/>
  <c r="Y40" i="2"/>
  <c r="V40" i="2"/>
  <c r="S40" i="2"/>
  <c r="M40" i="2"/>
  <c r="Z39" i="2"/>
  <c r="AA39" i="2" s="1"/>
  <c r="Y39" i="2"/>
  <c r="X39" i="2"/>
  <c r="W39" i="2"/>
  <c r="V39" i="2"/>
  <c r="U39" i="2"/>
  <c r="R39" i="2"/>
  <c r="O39" i="2"/>
  <c r="L39" i="2"/>
  <c r="V38" i="2"/>
  <c r="S38" i="2"/>
  <c r="Y38" i="2" s="1"/>
  <c r="M38" i="2"/>
  <c r="V37" i="2"/>
  <c r="S37" i="2"/>
  <c r="Y37" i="2" s="1"/>
  <c r="M37" i="2"/>
  <c r="J34" i="2" s="1"/>
  <c r="V36" i="2"/>
  <c r="S36" i="2"/>
  <c r="Y36" i="2" s="1"/>
  <c r="M36" i="2"/>
  <c r="V35" i="2"/>
  <c r="S35" i="2"/>
  <c r="Y35" i="2" s="1"/>
  <c r="M35" i="2"/>
  <c r="W34" i="2"/>
  <c r="V34" i="2"/>
  <c r="T34" i="2"/>
  <c r="Z34" i="2" s="1"/>
  <c r="R34" i="2"/>
  <c r="X34" i="2" s="1"/>
  <c r="P34" i="2"/>
  <c r="S34" i="2" s="1"/>
  <c r="N34" i="2"/>
  <c r="V33" i="2"/>
  <c r="S33" i="2"/>
  <c r="Y33" i="2" s="1"/>
  <c r="M33" i="2"/>
  <c r="V32" i="2"/>
  <c r="S32" i="2"/>
  <c r="Y32" i="2" s="1"/>
  <c r="M32" i="2"/>
  <c r="V31" i="2"/>
  <c r="S31" i="2"/>
  <c r="Y31" i="2" s="1"/>
  <c r="M31" i="2"/>
  <c r="V30" i="2"/>
  <c r="S30" i="2"/>
  <c r="Y30" i="2" s="1"/>
  <c r="M30" i="2"/>
  <c r="Z29" i="2"/>
  <c r="W29" i="2"/>
  <c r="V29" i="2"/>
  <c r="T29" i="2"/>
  <c r="R29" i="2"/>
  <c r="X29" i="2" s="1"/>
  <c r="P29" i="2"/>
  <c r="S29" i="2" s="1"/>
  <c r="N29" i="2"/>
  <c r="J29" i="2"/>
  <c r="V28" i="2"/>
  <c r="S28" i="2"/>
  <c r="Y28" i="2" s="1"/>
  <c r="M28" i="2"/>
  <c r="V27" i="2"/>
  <c r="S27" i="2"/>
  <c r="Y27" i="2" s="1"/>
  <c r="M27" i="2"/>
  <c r="J24" i="2" s="1"/>
  <c r="V26" i="2"/>
  <c r="S26" i="2"/>
  <c r="Y26" i="2" s="1"/>
  <c r="M26" i="2"/>
  <c r="V25" i="2"/>
  <c r="S25" i="2"/>
  <c r="Y25" i="2" s="1"/>
  <c r="M25" i="2"/>
  <c r="W24" i="2"/>
  <c r="V24" i="2"/>
  <c r="T24" i="2"/>
  <c r="T23" i="2" s="1"/>
  <c r="R24" i="2"/>
  <c r="X24" i="2" s="1"/>
  <c r="P24" i="2"/>
  <c r="S24" i="2" s="1"/>
  <c r="N24" i="2"/>
  <c r="N23" i="2"/>
  <c r="Y22" i="2"/>
  <c r="V22" i="2"/>
  <c r="S22" i="2"/>
  <c r="M22" i="2"/>
  <c r="V21" i="2"/>
  <c r="S21" i="2"/>
  <c r="Y21" i="2" s="1"/>
  <c r="M21" i="2"/>
  <c r="Y20" i="2"/>
  <c r="V20" i="2"/>
  <c r="S20" i="2"/>
  <c r="M20" i="2"/>
  <c r="V19" i="2"/>
  <c r="S19" i="2"/>
  <c r="Y19" i="2" s="1"/>
  <c r="M19" i="2"/>
  <c r="Y18" i="2"/>
  <c r="V18" i="2"/>
  <c r="S18" i="2"/>
  <c r="M18" i="2"/>
  <c r="Z17" i="2"/>
  <c r="W17" i="2"/>
  <c r="T17" i="2"/>
  <c r="N17" i="2"/>
  <c r="N16" i="2" s="1"/>
  <c r="M17" i="2"/>
  <c r="O17" i="2" s="1"/>
  <c r="O16" i="2" s="1"/>
  <c r="L17" i="2"/>
  <c r="J17" i="2"/>
  <c r="Z16" i="2"/>
  <c r="T16" i="2"/>
  <c r="T15" i="2"/>
  <c r="N15" i="2"/>
  <c r="W14" i="2"/>
  <c r="T14" i="2"/>
  <c r="U14" i="2" s="1"/>
  <c r="U13" i="2" s="1"/>
  <c r="R14" i="2"/>
  <c r="X14" i="2" s="1"/>
  <c r="N14" i="2"/>
  <c r="L14" i="2"/>
  <c r="Y13" i="2"/>
  <c r="T13" i="2"/>
  <c r="S13" i="2"/>
  <c r="M13" i="2"/>
  <c r="P332" i="4" l="1"/>
  <c r="N407" i="4"/>
  <c r="J133" i="4"/>
  <c r="P87" i="4"/>
  <c r="J271" i="4"/>
  <c r="T53" i="4"/>
  <c r="P83" i="4"/>
  <c r="R83" i="4" s="1"/>
  <c r="J398" i="4"/>
  <c r="J261" i="4"/>
  <c r="M261" i="4" s="1"/>
  <c r="O261" i="4" s="1"/>
  <c r="P368" i="4"/>
  <c r="J314" i="4"/>
  <c r="M314" i="4" s="1"/>
  <c r="O314" i="4" s="1"/>
  <c r="P361" i="4"/>
  <c r="S361" i="4" s="1"/>
  <c r="U361" i="4" s="1"/>
  <c r="T407" i="4"/>
  <c r="J79" i="4"/>
  <c r="M79" i="4" s="1"/>
  <c r="O79" i="4" s="1"/>
  <c r="O274" i="4"/>
  <c r="J308" i="4"/>
  <c r="J325" i="4"/>
  <c r="J345" i="4"/>
  <c r="M345" i="4" s="1"/>
  <c r="O345" i="4" s="1"/>
  <c r="N376" i="4"/>
  <c r="N375" i="4" s="1"/>
  <c r="O14" i="4"/>
  <c r="O13" i="4" s="1"/>
  <c r="P318" i="4"/>
  <c r="R318" i="4" s="1"/>
  <c r="P338" i="4"/>
  <c r="R338" i="4" s="1"/>
  <c r="P34" i="4"/>
  <c r="S34" i="4" s="1"/>
  <c r="J45" i="4"/>
  <c r="M45" i="4" s="1"/>
  <c r="J354" i="4"/>
  <c r="M354" i="4" s="1"/>
  <c r="O354" i="4" s="1"/>
  <c r="J24" i="4"/>
  <c r="L24" i="4" s="1"/>
  <c r="N23" i="4"/>
  <c r="N15" i="4" s="1"/>
  <c r="N12" i="4" s="1"/>
  <c r="N11" i="4" s="1"/>
  <c r="N10" i="4" s="1"/>
  <c r="J287" i="4"/>
  <c r="M287" i="4" s="1"/>
  <c r="O287" i="4" s="1"/>
  <c r="P314" i="4"/>
  <c r="R314" i="4" s="1"/>
  <c r="P335" i="4"/>
  <c r="R335" i="4" s="1"/>
  <c r="P351" i="4"/>
  <c r="R351" i="4" s="1"/>
  <c r="P398" i="4"/>
  <c r="P291" i="4"/>
  <c r="S291" i="4" s="1"/>
  <c r="J351" i="4"/>
  <c r="M351" i="4" s="1"/>
  <c r="O351" i="4" s="1"/>
  <c r="J247" i="4"/>
  <c r="M247" i="4" s="1"/>
  <c r="O247" i="4" s="1"/>
  <c r="P264" i="4"/>
  <c r="R264" i="4" s="1"/>
  <c r="J221" i="4"/>
  <c r="M221" i="4" s="1"/>
  <c r="O221" i="4" s="1"/>
  <c r="P217" i="4"/>
  <c r="S217" i="4" s="1"/>
  <c r="J234" i="4"/>
  <c r="P247" i="4"/>
  <c r="S247" i="4" s="1"/>
  <c r="P231" i="4"/>
  <c r="R231" i="4" s="1"/>
  <c r="J241" i="4"/>
  <c r="M241" i="4" s="1"/>
  <c r="O241" i="4" s="1"/>
  <c r="R332" i="4"/>
  <c r="S332" i="4"/>
  <c r="U332" i="4" s="1"/>
  <c r="R368" i="4"/>
  <c r="S368" i="4"/>
  <c r="U368" i="4" s="1"/>
  <c r="M308" i="4"/>
  <c r="O308" i="4" s="1"/>
  <c r="L308" i="4"/>
  <c r="L404" i="4"/>
  <c r="M404" i="4"/>
  <c r="O404" i="4" s="1"/>
  <c r="L417" i="4"/>
  <c r="M417" i="4"/>
  <c r="O417" i="4" s="1"/>
  <c r="L398" i="4"/>
  <c r="M398" i="4"/>
  <c r="O398" i="4" s="1"/>
  <c r="R401" i="4"/>
  <c r="S401" i="4"/>
  <c r="U401" i="4" s="1"/>
  <c r="R398" i="4"/>
  <c r="S398" i="4"/>
  <c r="U398" i="4" s="1"/>
  <c r="M426" i="4"/>
  <c r="O426" i="4" s="1"/>
  <c r="L426" i="4"/>
  <c r="M311" i="4"/>
  <c r="O311" i="4" s="1"/>
  <c r="L311" i="4"/>
  <c r="J34" i="4"/>
  <c r="L34" i="4" s="1"/>
  <c r="P79" i="4"/>
  <c r="J83" i="4"/>
  <c r="L83" i="4" s="1"/>
  <c r="J217" i="4"/>
  <c r="M217" i="4" s="1"/>
  <c r="O217" i="4" s="1"/>
  <c r="J227" i="4"/>
  <c r="N140" i="4"/>
  <c r="J305" i="4"/>
  <c r="M305" i="4" s="1"/>
  <c r="J328" i="4"/>
  <c r="M328" i="4" s="1"/>
  <c r="O328" i="4" s="1"/>
  <c r="J332" i="4"/>
  <c r="M332" i="4" s="1"/>
  <c r="O332" i="4" s="1"/>
  <c r="P345" i="4"/>
  <c r="S345" i="4" s="1"/>
  <c r="J348" i="4"/>
  <c r="L348" i="4" s="1"/>
  <c r="S404" i="4"/>
  <c r="U404" i="4" s="1"/>
  <c r="M414" i="4"/>
  <c r="M407" i="4" s="1"/>
  <c r="R271" i="4"/>
  <c r="J87" i="4"/>
  <c r="J267" i="4"/>
  <c r="L267" i="4" s="1"/>
  <c r="J322" i="4"/>
  <c r="L322" i="4" s="1"/>
  <c r="J342" i="4"/>
  <c r="J357" i="4"/>
  <c r="M357" i="4" s="1"/>
  <c r="O357" i="4" s="1"/>
  <c r="M401" i="4"/>
  <c r="O401" i="4" s="1"/>
  <c r="J244" i="4"/>
  <c r="M244" i="4" s="1"/>
  <c r="O244" i="4" s="1"/>
  <c r="P251" i="4"/>
  <c r="R251" i="4" s="1"/>
  <c r="M335" i="4"/>
  <c r="O335" i="4" s="1"/>
  <c r="N53" i="4"/>
  <c r="N52" i="4" s="1"/>
  <c r="J264" i="4"/>
  <c r="M264" i="4" s="1"/>
  <c r="O264" i="4" s="1"/>
  <c r="J281" i="4"/>
  <c r="J29" i="4"/>
  <c r="M29" i="4" s="1"/>
  <c r="O29" i="4" s="1"/>
  <c r="U91" i="4"/>
  <c r="J237" i="4"/>
  <c r="P296" i="4"/>
  <c r="R296" i="4" s="1"/>
  <c r="J17" i="4"/>
  <c r="L17" i="4" s="1"/>
  <c r="P45" i="4"/>
  <c r="R45" i="4" s="1"/>
  <c r="J141" i="4"/>
  <c r="M141" i="4" s="1"/>
  <c r="J224" i="4"/>
  <c r="M224" i="4" s="1"/>
  <c r="O224" i="4" s="1"/>
  <c r="P227" i="4"/>
  <c r="P237" i="4"/>
  <c r="S237" i="4" s="1"/>
  <c r="U237" i="4" s="1"/>
  <c r="J254" i="4"/>
  <c r="L254" i="4" s="1"/>
  <c r="J257" i="4"/>
  <c r="M257" i="4" s="1"/>
  <c r="O257" i="4" s="1"/>
  <c r="N317" i="4"/>
  <c r="P328" i="4"/>
  <c r="R328" i="4" s="1"/>
  <c r="P348" i="4"/>
  <c r="R348" i="4" s="1"/>
  <c r="M17" i="4"/>
  <c r="M133" i="4"/>
  <c r="L133" i="4"/>
  <c r="M34" i="4"/>
  <c r="O34" i="4" s="1"/>
  <c r="R34" i="4"/>
  <c r="O45" i="4"/>
  <c r="O44" i="4" s="1"/>
  <c r="M44" i="4"/>
  <c r="P133" i="4"/>
  <c r="L45" i="4"/>
  <c r="S83" i="4"/>
  <c r="S414" i="4"/>
  <c r="R414" i="4"/>
  <c r="M254" i="4"/>
  <c r="O254" i="4" s="1"/>
  <c r="P141" i="4"/>
  <c r="P241" i="4"/>
  <c r="T16" i="4"/>
  <c r="P29" i="4"/>
  <c r="M137" i="4"/>
  <c r="O137" i="4" s="1"/>
  <c r="L137" i="4"/>
  <c r="P224" i="4"/>
  <c r="L261" i="4"/>
  <c r="M284" i="4"/>
  <c r="O284" i="4" s="1"/>
  <c r="L284" i="4"/>
  <c r="P221" i="4"/>
  <c r="P261" i="4"/>
  <c r="P137" i="4"/>
  <c r="M231" i="4"/>
  <c r="O231" i="4" s="1"/>
  <c r="L231" i="4"/>
  <c r="U424" i="4"/>
  <c r="P17" i="4"/>
  <c r="T23" i="4"/>
  <c r="S79" i="4"/>
  <c r="R79" i="4"/>
  <c r="S87" i="4"/>
  <c r="R87" i="4"/>
  <c r="M234" i="4"/>
  <c r="O234" i="4" s="1"/>
  <c r="L234" i="4"/>
  <c r="P244" i="4"/>
  <c r="P24" i="4"/>
  <c r="P234" i="4"/>
  <c r="P254" i="4"/>
  <c r="L274" i="4"/>
  <c r="M251" i="4"/>
  <c r="O251" i="4" s="1"/>
  <c r="L251" i="4"/>
  <c r="P287" i="4"/>
  <c r="P274" i="4"/>
  <c r="T100" i="4"/>
  <c r="T52" i="4" s="1"/>
  <c r="S227" i="4"/>
  <c r="R227" i="4"/>
  <c r="M237" i="4"/>
  <c r="O237" i="4" s="1"/>
  <c r="L237" i="4"/>
  <c r="P257" i="4"/>
  <c r="M267" i="4"/>
  <c r="O267" i="4" s="1"/>
  <c r="U14" i="4"/>
  <c r="U13" i="4" s="1"/>
  <c r="O91" i="4"/>
  <c r="M277" i="4"/>
  <c r="O277" i="4" s="1"/>
  <c r="L277" i="4"/>
  <c r="P277" i="4"/>
  <c r="P284" i="4"/>
  <c r="J361" i="4"/>
  <c r="N301" i="4"/>
  <c r="P311" i="4"/>
  <c r="S357" i="4"/>
  <c r="R357" i="4"/>
  <c r="U271" i="4"/>
  <c r="R281" i="4"/>
  <c r="M296" i="4"/>
  <c r="O296" i="4" s="1"/>
  <c r="L296" i="4"/>
  <c r="T301" i="4"/>
  <c r="T140" i="4"/>
  <c r="P267" i="4"/>
  <c r="J291" i="4"/>
  <c r="S308" i="4"/>
  <c r="M338" i="4"/>
  <c r="O338" i="4" s="1"/>
  <c r="J368" i="4"/>
  <c r="S264" i="4"/>
  <c r="L318" i="4"/>
  <c r="M318" i="4"/>
  <c r="S322" i="4"/>
  <c r="R322" i="4"/>
  <c r="M342" i="4"/>
  <c r="O342" i="4" s="1"/>
  <c r="L342" i="4"/>
  <c r="S305" i="4"/>
  <c r="S325" i="4"/>
  <c r="M325" i="4"/>
  <c r="O325" i="4" s="1"/>
  <c r="L325" i="4"/>
  <c r="S342" i="4"/>
  <c r="S354" i="4"/>
  <c r="T317" i="4"/>
  <c r="P417" i="4"/>
  <c r="O424" i="4"/>
  <c r="S296" i="4"/>
  <c r="M322" i="4"/>
  <c r="O322" i="4" s="1"/>
  <c r="R342" i="4"/>
  <c r="R354" i="4"/>
  <c r="T376" i="4"/>
  <c r="T375" i="4" s="1"/>
  <c r="L424" i="4"/>
  <c r="P426" i="4"/>
  <c r="T420" i="4"/>
  <c r="R424" i="4"/>
  <c r="N420" i="4"/>
  <c r="M24" i="2"/>
  <c r="L24" i="2"/>
  <c r="L83" i="2"/>
  <c r="M83" i="2"/>
  <c r="O83" i="2" s="1"/>
  <c r="L281" i="2"/>
  <c r="M281" i="2"/>
  <c r="O281" i="2" s="1"/>
  <c r="L141" i="2"/>
  <c r="M141" i="2"/>
  <c r="L244" i="2"/>
  <c r="M244" i="2"/>
  <c r="O244" i="2" s="1"/>
  <c r="L284" i="2"/>
  <c r="M284" i="2"/>
  <c r="O284" i="2" s="1"/>
  <c r="M296" i="2"/>
  <c r="O296" i="2" s="1"/>
  <c r="L296" i="2"/>
  <c r="M34" i="2"/>
  <c r="O34" i="2" s="1"/>
  <c r="L34" i="2"/>
  <c r="L357" i="2"/>
  <c r="M357" i="2"/>
  <c r="O357" i="2" s="1"/>
  <c r="L227" i="2"/>
  <c r="M227" i="2"/>
  <c r="O227" i="2" s="1"/>
  <c r="L287" i="2"/>
  <c r="M287" i="2"/>
  <c r="O287" i="2" s="1"/>
  <c r="Y137" i="2"/>
  <c r="AA137" i="2" s="1"/>
  <c r="U137" i="2"/>
  <c r="M254" i="2"/>
  <c r="O254" i="2" s="1"/>
  <c r="L254" i="2"/>
  <c r="M257" i="2"/>
  <c r="O257" i="2" s="1"/>
  <c r="L257" i="2"/>
  <c r="O318" i="2"/>
  <c r="L354" i="2"/>
  <c r="M354" i="2"/>
  <c r="O354" i="2" s="1"/>
  <c r="T12" i="2"/>
  <c r="T11" i="2" s="1"/>
  <c r="T10" i="2" s="1"/>
  <c r="P17" i="2"/>
  <c r="O45" i="2"/>
  <c r="O44" i="2" s="1"/>
  <c r="AA111" i="2"/>
  <c r="S133" i="2"/>
  <c r="R133" i="2"/>
  <c r="X133" i="2" s="1"/>
  <c r="M137" i="2"/>
  <c r="O137" i="2" s="1"/>
  <c r="L137" i="2"/>
  <c r="S221" i="2"/>
  <c r="R221" i="2"/>
  <c r="X221" i="2" s="1"/>
  <c r="M224" i="2"/>
  <c r="O224" i="2" s="1"/>
  <c r="S264" i="2"/>
  <c r="R264" i="2"/>
  <c r="X264" i="2" s="1"/>
  <c r="M267" i="2"/>
  <c r="O267" i="2" s="1"/>
  <c r="M277" i="2"/>
  <c r="O277" i="2" s="1"/>
  <c r="L277" i="2"/>
  <c r="V45" i="2"/>
  <c r="S45" i="2"/>
  <c r="R45" i="2"/>
  <c r="X45" i="2" s="1"/>
  <c r="AA305" i="2"/>
  <c r="S322" i="2"/>
  <c r="R322" i="2"/>
  <c r="X322" i="2" s="1"/>
  <c r="V322" i="2"/>
  <c r="L345" i="2"/>
  <c r="M345" i="2"/>
  <c r="O345" i="2" s="1"/>
  <c r="S287" i="2"/>
  <c r="R287" i="2"/>
  <c r="X287" i="2" s="1"/>
  <c r="M29" i="2"/>
  <c r="O29" i="2" s="1"/>
  <c r="L29" i="2"/>
  <c r="AA120" i="2"/>
  <c r="M217" i="2"/>
  <c r="O217" i="2" s="1"/>
  <c r="L217" i="2"/>
  <c r="S247" i="2"/>
  <c r="R247" i="2"/>
  <c r="X247" i="2" s="1"/>
  <c r="M251" i="2"/>
  <c r="O251" i="2" s="1"/>
  <c r="L251" i="2"/>
  <c r="Y300" i="2"/>
  <c r="P296" i="2"/>
  <c r="M328" i="2"/>
  <c r="O328" i="2" s="1"/>
  <c r="L328" i="2"/>
  <c r="Y353" i="2"/>
  <c r="P351" i="2"/>
  <c r="Y578" i="1"/>
  <c r="U578" i="1"/>
  <c r="O14" i="2"/>
  <c r="O13" i="2" s="1"/>
  <c r="N13" i="2"/>
  <c r="N12" i="2" s="1"/>
  <c r="N11" i="2" s="1"/>
  <c r="N10" i="2" s="1"/>
  <c r="N9" i="2" s="1"/>
  <c r="N8" i="2" s="1"/>
  <c r="N428" i="2" s="1"/>
  <c r="S227" i="2"/>
  <c r="R227" i="2"/>
  <c r="X227" i="2" s="1"/>
  <c r="M231" i="2"/>
  <c r="O231" i="2" s="1"/>
  <c r="L231" i="2"/>
  <c r="M261" i="2"/>
  <c r="O261" i="2" s="1"/>
  <c r="M291" i="2"/>
  <c r="O291" i="2" s="1"/>
  <c r="L291" i="2"/>
  <c r="M305" i="2"/>
  <c r="S325" i="2"/>
  <c r="R325" i="2"/>
  <c r="X325" i="2" s="1"/>
  <c r="V325" i="2"/>
  <c r="V79" i="2"/>
  <c r="S79" i="2"/>
  <c r="V87" i="2"/>
  <c r="S87" i="2"/>
  <c r="M247" i="2"/>
  <c r="O247" i="2" s="1"/>
  <c r="S314" i="2"/>
  <c r="R314" i="2"/>
  <c r="X314" i="2" s="1"/>
  <c r="V314" i="2"/>
  <c r="L318" i="2"/>
  <c r="Z24" i="2"/>
  <c r="Z23" i="2" s="1"/>
  <c r="Z15" i="2" s="1"/>
  <c r="Z53" i="2"/>
  <c r="Z52" i="2" s="1"/>
  <c r="T53" i="2"/>
  <c r="T52" i="2" s="1"/>
  <c r="M79" i="2"/>
  <c r="L79" i="2"/>
  <c r="R87" i="2"/>
  <c r="X87" i="2" s="1"/>
  <c r="Z141" i="2"/>
  <c r="Z140" i="2" s="1"/>
  <c r="T140" i="2"/>
  <c r="AA207" i="2"/>
  <c r="M234" i="2"/>
  <c r="O234" i="2" s="1"/>
  <c r="L234" i="2"/>
  <c r="S241" i="2"/>
  <c r="R241" i="2"/>
  <c r="X241" i="2" s="1"/>
  <c r="V264" i="2"/>
  <c r="S284" i="2"/>
  <c r="R284" i="2"/>
  <c r="X284" i="2" s="1"/>
  <c r="S308" i="2"/>
  <c r="V308" i="2"/>
  <c r="M322" i="2"/>
  <c r="O322" i="2" s="1"/>
  <c r="L322" i="2"/>
  <c r="L335" i="2"/>
  <c r="J361" i="2"/>
  <c r="M16" i="2"/>
  <c r="M87" i="2"/>
  <c r="O87" i="2" s="1"/>
  <c r="L87" i="2"/>
  <c r="S224" i="2"/>
  <c r="R224" i="2"/>
  <c r="X224" i="2" s="1"/>
  <c r="M237" i="2"/>
  <c r="O237" i="2" s="1"/>
  <c r="L237" i="2"/>
  <c r="V247" i="2"/>
  <c r="S267" i="2"/>
  <c r="R267" i="2"/>
  <c r="X267" i="2" s="1"/>
  <c r="M271" i="2"/>
  <c r="O271" i="2" s="1"/>
  <c r="L271" i="2"/>
  <c r="S328" i="2"/>
  <c r="R328" i="2"/>
  <c r="X328" i="2" s="1"/>
  <c r="V328" i="2"/>
  <c r="P338" i="2"/>
  <c r="Y339" i="2"/>
  <c r="L342" i="2"/>
  <c r="M342" i="2"/>
  <c r="O342" i="2" s="1"/>
  <c r="Y350" i="2"/>
  <c r="P348" i="2"/>
  <c r="S261" i="2"/>
  <c r="R261" i="2"/>
  <c r="X261" i="2" s="1"/>
  <c r="M368" i="2"/>
  <c r="O368" i="2" s="1"/>
  <c r="L368" i="2"/>
  <c r="Y29" i="2"/>
  <c r="AA29" i="2" s="1"/>
  <c r="U29" i="2"/>
  <c r="S244" i="2"/>
  <c r="R244" i="2"/>
  <c r="X244" i="2" s="1"/>
  <c r="P361" i="2"/>
  <c r="Y362" i="2"/>
  <c r="Y24" i="2"/>
  <c r="S23" i="2"/>
  <c r="U24" i="2"/>
  <c r="Y34" i="2"/>
  <c r="AA34" i="2" s="1"/>
  <c r="U34" i="2"/>
  <c r="M133" i="2"/>
  <c r="M241" i="2"/>
  <c r="O241" i="2" s="1"/>
  <c r="V261" i="2"/>
  <c r="M274" i="2"/>
  <c r="O274" i="2" s="1"/>
  <c r="L274" i="2"/>
  <c r="S281" i="2"/>
  <c r="R281" i="2"/>
  <c r="X281" i="2" s="1"/>
  <c r="R308" i="2"/>
  <c r="X308" i="2" s="1"/>
  <c r="Y309" i="2"/>
  <c r="S311" i="2"/>
  <c r="V311" i="2"/>
  <c r="R311" i="2"/>
  <c r="X311" i="2" s="1"/>
  <c r="M325" i="2"/>
  <c r="O325" i="2" s="1"/>
  <c r="L325" i="2"/>
  <c r="M398" i="2"/>
  <c r="L398" i="2"/>
  <c r="Z14" i="2"/>
  <c r="AA57" i="2"/>
  <c r="U83" i="2"/>
  <c r="Y134" i="2"/>
  <c r="U141" i="2"/>
  <c r="Y217" i="2"/>
  <c r="AA217" i="2" s="1"/>
  <c r="Y231" i="2"/>
  <c r="AA231" i="2" s="1"/>
  <c r="Y234" i="2"/>
  <c r="AA234" i="2" s="1"/>
  <c r="Y237" i="2"/>
  <c r="AA237" i="2" s="1"/>
  <c r="Y251" i="2"/>
  <c r="AA251" i="2" s="1"/>
  <c r="Y254" i="2"/>
  <c r="AA254" i="2" s="1"/>
  <c r="Y257" i="2"/>
  <c r="AA257" i="2" s="1"/>
  <c r="Y271" i="2"/>
  <c r="AA271" i="2" s="1"/>
  <c r="Y274" i="2"/>
  <c r="AA274" i="2" s="1"/>
  <c r="Y277" i="2"/>
  <c r="AA277" i="2" s="1"/>
  <c r="P291" i="2"/>
  <c r="T376" i="2"/>
  <c r="T375" i="2" s="1"/>
  <c r="Z398" i="2"/>
  <c r="Z376" i="2" s="1"/>
  <c r="O314" i="2"/>
  <c r="P345" i="2"/>
  <c r="P357" i="2"/>
  <c r="AA408" i="2"/>
  <c r="AA411" i="2"/>
  <c r="Z407" i="2"/>
  <c r="S424" i="2"/>
  <c r="R424" i="2"/>
  <c r="X424" i="2" s="1"/>
  <c r="V424" i="2"/>
  <c r="P426" i="2"/>
  <c r="Y427" i="2"/>
  <c r="V24" i="1"/>
  <c r="S24" i="1"/>
  <c r="R24" i="1"/>
  <c r="X24" i="1" s="1"/>
  <c r="V547" i="1"/>
  <c r="R547" i="1"/>
  <c r="X547" i="1" s="1"/>
  <c r="S547" i="1"/>
  <c r="L351" i="2"/>
  <c r="M351" i="2"/>
  <c r="O351" i="2" s="1"/>
  <c r="P368" i="2"/>
  <c r="Y369" i="2"/>
  <c r="P401" i="2"/>
  <c r="Y402" i="2"/>
  <c r="V404" i="2"/>
  <c r="R404" i="2"/>
  <c r="X404" i="2" s="1"/>
  <c r="S404" i="2"/>
  <c r="V414" i="2"/>
  <c r="S414" i="2"/>
  <c r="R414" i="2"/>
  <c r="X414" i="2" s="1"/>
  <c r="V417" i="2"/>
  <c r="S417" i="2"/>
  <c r="R305" i="2"/>
  <c r="X305" i="2" s="1"/>
  <c r="O308" i="2"/>
  <c r="P332" i="2"/>
  <c r="P335" i="2"/>
  <c r="S342" i="2"/>
  <c r="R342" i="2"/>
  <c r="X342" i="2" s="1"/>
  <c r="V342" i="2"/>
  <c r="S354" i="2"/>
  <c r="R354" i="2"/>
  <c r="X354" i="2" s="1"/>
  <c r="V354" i="2"/>
  <c r="AA377" i="2"/>
  <c r="Y17" i="1"/>
  <c r="U17" i="1"/>
  <c r="U16" i="1" s="1"/>
  <c r="P318" i="2"/>
  <c r="L348" i="2"/>
  <c r="M348" i="2"/>
  <c r="O348" i="2" s="1"/>
  <c r="P398" i="2"/>
  <c r="Y399" i="2"/>
  <c r="O414" i="2"/>
  <c r="O407" i="2" s="1"/>
  <c r="AA302" i="2"/>
  <c r="T317" i="2"/>
  <c r="Z318" i="2"/>
  <c r="Z317" i="2" s="1"/>
  <c r="R417" i="2"/>
  <c r="X417" i="2" s="1"/>
  <c r="O58" i="1"/>
  <c r="O57" i="1" s="1"/>
  <c r="AA101" i="1"/>
  <c r="Z58" i="1"/>
  <c r="Z57" i="1" s="1"/>
  <c r="T12" i="1"/>
  <c r="T11" i="1" s="1"/>
  <c r="T10" i="1" s="1"/>
  <c r="P29" i="1"/>
  <c r="R211" i="1"/>
  <c r="X211" i="1" s="1"/>
  <c r="V211" i="1"/>
  <c r="S211" i="1"/>
  <c r="M456" i="1"/>
  <c r="O456" i="1" s="1"/>
  <c r="L456" i="1"/>
  <c r="M420" i="2"/>
  <c r="O424" i="2"/>
  <c r="O420" i="2" s="1"/>
  <c r="M50" i="1"/>
  <c r="L50" i="1"/>
  <c r="O109" i="1"/>
  <c r="M58" i="1"/>
  <c r="M57" i="1" s="1"/>
  <c r="M113" i="1"/>
  <c r="O113" i="1" s="1"/>
  <c r="L113" i="1"/>
  <c r="O138" i="1"/>
  <c r="P402" i="1"/>
  <c r="Y403" i="1"/>
  <c r="Z423" i="2"/>
  <c r="U423" i="2"/>
  <c r="T420" i="2"/>
  <c r="P34" i="1"/>
  <c r="N58" i="1"/>
  <c r="N57" i="1" s="1"/>
  <c r="Y117" i="1"/>
  <c r="AA117" i="1" s="1"/>
  <c r="U117" i="1"/>
  <c r="O203" i="1"/>
  <c r="M138" i="1"/>
  <c r="S427" i="1"/>
  <c r="V427" i="1"/>
  <c r="R427" i="1"/>
  <c r="X427" i="1" s="1"/>
  <c r="Y109" i="1"/>
  <c r="AA109" i="1" s="1"/>
  <c r="U109" i="1"/>
  <c r="M398" i="1"/>
  <c r="O398" i="1" s="1"/>
  <c r="L398" i="1"/>
  <c r="U482" i="1"/>
  <c r="Y482" i="1"/>
  <c r="AA482" i="1" s="1"/>
  <c r="Y203" i="1"/>
  <c r="AA203" i="1" s="1"/>
  <c r="U203" i="1"/>
  <c r="M211" i="1"/>
  <c r="L211" i="1"/>
  <c r="M462" i="1"/>
  <c r="O462" i="1" s="1"/>
  <c r="L462" i="1"/>
  <c r="P50" i="1"/>
  <c r="L109" i="1"/>
  <c r="P113" i="1"/>
  <c r="L117" i="1"/>
  <c r="L203" i="1"/>
  <c r="P207" i="1"/>
  <c r="Y408" i="1"/>
  <c r="AA408" i="1" s="1"/>
  <c r="U408" i="1"/>
  <c r="M439" i="1"/>
  <c r="L439" i="1"/>
  <c r="S442" i="1"/>
  <c r="V442" i="1"/>
  <c r="R442" i="1"/>
  <c r="X442" i="1" s="1"/>
  <c r="P456" i="1"/>
  <c r="Y457" i="1"/>
  <c r="P462" i="1"/>
  <c r="Y463" i="1"/>
  <c r="M466" i="1"/>
  <c r="O466" i="1" s="1"/>
  <c r="L466" i="1"/>
  <c r="M502" i="1"/>
  <c r="O502" i="1" s="1"/>
  <c r="L502" i="1"/>
  <c r="M566" i="1"/>
  <c r="L566" i="1"/>
  <c r="J569" i="1"/>
  <c r="U14" i="1"/>
  <c r="U13" i="1" s="1"/>
  <c r="O24" i="1"/>
  <c r="O23" i="1" s="1"/>
  <c r="O15" i="1" s="1"/>
  <c r="Z50" i="1"/>
  <c r="Z49" i="1" s="1"/>
  <c r="Z12" i="1" s="1"/>
  <c r="Z11" i="1" s="1"/>
  <c r="Z10" i="1" s="1"/>
  <c r="V109" i="1"/>
  <c r="V117" i="1"/>
  <c r="Y121" i="1"/>
  <c r="V203" i="1"/>
  <c r="P398" i="1"/>
  <c r="L418" i="1"/>
  <c r="M418" i="1"/>
  <c r="O418" i="1" s="1"/>
  <c r="R466" i="1"/>
  <c r="X466" i="1" s="1"/>
  <c r="V466" i="1"/>
  <c r="S466" i="1"/>
  <c r="P348" i="1"/>
  <c r="Y349" i="1"/>
  <c r="P368" i="1"/>
  <c r="Y369" i="1"/>
  <c r="P388" i="1"/>
  <c r="Y389" i="1"/>
  <c r="J422" i="1"/>
  <c r="M442" i="1"/>
  <c r="O442" i="1" s="1"/>
  <c r="L442" i="1"/>
  <c r="S445" i="1"/>
  <c r="V445" i="1"/>
  <c r="R445" i="1"/>
  <c r="X445" i="1" s="1"/>
  <c r="M448" i="1"/>
  <c r="O448" i="1" s="1"/>
  <c r="L448" i="1"/>
  <c r="M452" i="1"/>
  <c r="L452" i="1"/>
  <c r="Y472" i="1"/>
  <c r="AA472" i="1" s="1"/>
  <c r="U472" i="1"/>
  <c r="U550" i="1"/>
  <c r="Y550" i="1"/>
  <c r="AA550" i="1" s="1"/>
  <c r="N13" i="1"/>
  <c r="N12" i="1" s="1"/>
  <c r="N11" i="1" s="1"/>
  <c r="N10" i="1" s="1"/>
  <c r="L207" i="1"/>
  <c r="P358" i="1"/>
  <c r="P365" i="1"/>
  <c r="Y366" i="1"/>
  <c r="P378" i="1"/>
  <c r="P385" i="1"/>
  <c r="Y386" i="1"/>
  <c r="P395" i="1"/>
  <c r="M412" i="1"/>
  <c r="O412" i="1" s="1"/>
  <c r="U418" i="1"/>
  <c r="Y418" i="1"/>
  <c r="AA418" i="1" s="1"/>
  <c r="P452" i="1"/>
  <c r="Y454" i="1"/>
  <c r="P459" i="1"/>
  <c r="Y460" i="1"/>
  <c r="R109" i="1"/>
  <c r="X109" i="1" s="1"/>
  <c r="R117" i="1"/>
  <c r="X117" i="1" s="1"/>
  <c r="M358" i="1"/>
  <c r="O358" i="1" s="1"/>
  <c r="L358" i="1"/>
  <c r="P362" i="1"/>
  <c r="Y363" i="1"/>
  <c r="M378" i="1"/>
  <c r="O378" i="1" s="1"/>
  <c r="L378" i="1"/>
  <c r="P382" i="1"/>
  <c r="Y383" i="1"/>
  <c r="M395" i="1"/>
  <c r="O395" i="1" s="1"/>
  <c r="L395" i="1"/>
  <c r="S439" i="1"/>
  <c r="V439" i="1"/>
  <c r="R439" i="1"/>
  <c r="X439" i="1" s="1"/>
  <c r="M476" i="1"/>
  <c r="O476" i="1" s="1"/>
  <c r="L476" i="1"/>
  <c r="M479" i="1"/>
  <c r="O479" i="1" s="1"/>
  <c r="L479" i="1"/>
  <c r="M482" i="1"/>
  <c r="O482" i="1" s="1"/>
  <c r="L482" i="1"/>
  <c r="Y569" i="1"/>
  <c r="AA569" i="1" s="1"/>
  <c r="U569" i="1"/>
  <c r="Z210" i="1"/>
  <c r="AA290" i="1"/>
  <c r="U405" i="1"/>
  <c r="U469" i="1"/>
  <c r="Y469" i="1"/>
  <c r="AA469" i="1" s="1"/>
  <c r="V476" i="1"/>
  <c r="R476" i="1"/>
  <c r="X476" i="1" s="1"/>
  <c r="S476" i="1"/>
  <c r="M488" i="1"/>
  <c r="O488" i="1" s="1"/>
  <c r="L488" i="1"/>
  <c r="M491" i="1"/>
  <c r="O491" i="1" s="1"/>
  <c r="L491" i="1"/>
  <c r="O510" i="1"/>
  <c r="V352" i="1"/>
  <c r="S352" i="1"/>
  <c r="V355" i="1"/>
  <c r="S355" i="1"/>
  <c r="V372" i="1"/>
  <c r="S372" i="1"/>
  <c r="V375" i="1"/>
  <c r="S375" i="1"/>
  <c r="V392" i="1"/>
  <c r="S392" i="1"/>
  <c r="M445" i="1"/>
  <c r="O445" i="1" s="1"/>
  <c r="L445" i="1"/>
  <c r="S448" i="1"/>
  <c r="V448" i="1"/>
  <c r="R448" i="1"/>
  <c r="X448" i="1" s="1"/>
  <c r="V488" i="1"/>
  <c r="R488" i="1"/>
  <c r="X488" i="1" s="1"/>
  <c r="S488" i="1"/>
  <c r="U412" i="1"/>
  <c r="Y412" i="1"/>
  <c r="AA412" i="1" s="1"/>
  <c r="M415" i="1"/>
  <c r="O415" i="1" s="1"/>
  <c r="Y422" i="1"/>
  <c r="AA422" i="1" s="1"/>
  <c r="U422" i="1"/>
  <c r="M427" i="1"/>
  <c r="O427" i="1" s="1"/>
  <c r="U485" i="1"/>
  <c r="Y485" i="1"/>
  <c r="AA485" i="1" s="1"/>
  <c r="Y502" i="1"/>
  <c r="AA502" i="1" s="1"/>
  <c r="U502" i="1"/>
  <c r="V550" i="1"/>
  <c r="R550" i="1"/>
  <c r="X550" i="1" s="1"/>
  <c r="V408" i="1"/>
  <c r="T451" i="1"/>
  <c r="T209" i="1" s="1"/>
  <c r="T56" i="1" s="1"/>
  <c r="T55" i="1" s="1"/>
  <c r="T54" i="1" s="1"/>
  <c r="Z451" i="1"/>
  <c r="R469" i="1"/>
  <c r="X469" i="1" s="1"/>
  <c r="V469" i="1"/>
  <c r="V479" i="1"/>
  <c r="R479" i="1"/>
  <c r="X479" i="1" s="1"/>
  <c r="V491" i="1"/>
  <c r="R491" i="1"/>
  <c r="X491" i="1" s="1"/>
  <c r="M495" i="1"/>
  <c r="O495" i="1" s="1"/>
  <c r="L495" i="1"/>
  <c r="O550" i="1"/>
  <c r="M469" i="1"/>
  <c r="O469" i="1" s="1"/>
  <c r="L469" i="1"/>
  <c r="M472" i="1"/>
  <c r="O472" i="1" s="1"/>
  <c r="L472" i="1"/>
  <c r="S479" i="1"/>
  <c r="S491" i="1"/>
  <c r="V544" i="1"/>
  <c r="R544" i="1"/>
  <c r="X544" i="1" s="1"/>
  <c r="AA577" i="1"/>
  <c r="Z572" i="1"/>
  <c r="R408" i="1"/>
  <c r="X408" i="1" s="1"/>
  <c r="U415" i="1"/>
  <c r="Y415" i="1"/>
  <c r="AA415" i="1" s="1"/>
  <c r="N451" i="1"/>
  <c r="N209" i="1" s="1"/>
  <c r="V485" i="1"/>
  <c r="R485" i="1"/>
  <c r="X485" i="1" s="1"/>
  <c r="M510" i="1"/>
  <c r="O544" i="1"/>
  <c r="U553" i="1"/>
  <c r="M572" i="1"/>
  <c r="M485" i="1"/>
  <c r="O485" i="1" s="1"/>
  <c r="L485" i="1"/>
  <c r="N510" i="1"/>
  <c r="N509" i="1" s="1"/>
  <c r="Y566" i="1"/>
  <c r="AA566" i="1" s="1"/>
  <c r="AA553" i="1" s="1"/>
  <c r="U566" i="1"/>
  <c r="V482" i="1"/>
  <c r="R482" i="1"/>
  <c r="X482" i="1" s="1"/>
  <c r="Y495" i="1"/>
  <c r="AA495" i="1" s="1"/>
  <c r="U495" i="1"/>
  <c r="U544" i="1"/>
  <c r="Y544" i="1"/>
  <c r="Z566" i="1"/>
  <c r="Z553" i="1" s="1"/>
  <c r="T553" i="1"/>
  <c r="T509" i="1" s="1"/>
  <c r="L578" i="1"/>
  <c r="P580" i="1"/>
  <c r="V566" i="1"/>
  <c r="V569" i="1"/>
  <c r="V578" i="1"/>
  <c r="V472" i="1"/>
  <c r="V495" i="1"/>
  <c r="V502" i="1"/>
  <c r="Z544" i="1"/>
  <c r="Z510" i="1" s="1"/>
  <c r="Z509" i="1" s="1"/>
  <c r="Y553" i="1"/>
  <c r="L580" i="1"/>
  <c r="L544" i="1"/>
  <c r="L547" i="1"/>
  <c r="L550" i="1"/>
  <c r="R566" i="1"/>
  <c r="X566" i="1" s="1"/>
  <c r="R569" i="1"/>
  <c r="X569" i="1" s="1"/>
  <c r="R578" i="1"/>
  <c r="X578" i="1" s="1"/>
  <c r="L29" i="4" l="1"/>
  <c r="L287" i="4"/>
  <c r="L79" i="4"/>
  <c r="S335" i="4"/>
  <c r="U335" i="4" s="1"/>
  <c r="S251" i="4"/>
  <c r="S318" i="4"/>
  <c r="U318" i="4" s="1"/>
  <c r="S351" i="4"/>
  <c r="U351" i="4" s="1"/>
  <c r="R345" i="4"/>
  <c r="S314" i="4"/>
  <c r="U314" i="4" s="1"/>
  <c r="L314" i="4"/>
  <c r="S328" i="4"/>
  <c r="U328" i="4" s="1"/>
  <c r="S338" i="4"/>
  <c r="U338" i="4" s="1"/>
  <c r="M271" i="4"/>
  <c r="O271" i="4" s="1"/>
  <c r="L271" i="4"/>
  <c r="L305" i="4"/>
  <c r="L328" i="4"/>
  <c r="L354" i="4"/>
  <c r="R361" i="4"/>
  <c r="L244" i="4"/>
  <c r="R237" i="4"/>
  <c r="L332" i="4"/>
  <c r="L257" i="4"/>
  <c r="L221" i="4"/>
  <c r="O376" i="4"/>
  <c r="O375" i="4" s="1"/>
  <c r="L241" i="4"/>
  <c r="O420" i="4"/>
  <c r="L351" i="4"/>
  <c r="L247" i="4"/>
  <c r="M348" i="4"/>
  <c r="O348" i="4" s="1"/>
  <c r="R217" i="4"/>
  <c r="M24" i="4"/>
  <c r="M23" i="4" s="1"/>
  <c r="M420" i="4"/>
  <c r="S348" i="4"/>
  <c r="M83" i="4"/>
  <c r="O83" i="4" s="1"/>
  <c r="O414" i="4"/>
  <c r="O407" i="4" s="1"/>
  <c r="S45" i="4"/>
  <c r="L345" i="4"/>
  <c r="R291" i="4"/>
  <c r="N139" i="4"/>
  <c r="N51" i="4" s="1"/>
  <c r="N50" i="4" s="1"/>
  <c r="N49" i="4" s="1"/>
  <c r="N9" i="4" s="1"/>
  <c r="N8" i="4" s="1"/>
  <c r="N428" i="4" s="1"/>
  <c r="L264" i="4"/>
  <c r="S231" i="4"/>
  <c r="R247" i="4"/>
  <c r="L224" i="4"/>
  <c r="L281" i="4"/>
  <c r="M281" i="4"/>
  <c r="O281" i="4" s="1"/>
  <c r="S376" i="4"/>
  <c r="L357" i="4"/>
  <c r="M87" i="4"/>
  <c r="L87" i="4"/>
  <c r="U376" i="4"/>
  <c r="M376" i="4"/>
  <c r="M375" i="4" s="1"/>
  <c r="L217" i="4"/>
  <c r="L141" i="4"/>
  <c r="T139" i="4"/>
  <c r="T51" i="4" s="1"/>
  <c r="T50" i="4" s="1"/>
  <c r="T49" i="4" s="1"/>
  <c r="M227" i="4"/>
  <c r="O227" i="4" s="1"/>
  <c r="L227" i="4"/>
  <c r="S267" i="4"/>
  <c r="R267" i="4"/>
  <c r="U354" i="4"/>
  <c r="S277" i="4"/>
  <c r="R277" i="4"/>
  <c r="S24" i="4"/>
  <c r="R24" i="4"/>
  <c r="U87" i="4"/>
  <c r="S221" i="4"/>
  <c r="R221" i="4"/>
  <c r="L368" i="4"/>
  <c r="M368" i="4"/>
  <c r="O368" i="4" s="1"/>
  <c r="R257" i="4"/>
  <c r="S257" i="4"/>
  <c r="S141" i="4"/>
  <c r="R141" i="4"/>
  <c r="O141" i="4"/>
  <c r="S44" i="4"/>
  <c r="U45" i="4"/>
  <c r="U44" i="4" s="1"/>
  <c r="U227" i="4"/>
  <c r="S417" i="4"/>
  <c r="S407" i="4" s="1"/>
  <c r="S375" i="4" s="1"/>
  <c r="R417" i="4"/>
  <c r="U325" i="4"/>
  <c r="S274" i="4"/>
  <c r="R274" i="4"/>
  <c r="S29" i="4"/>
  <c r="R29" i="4"/>
  <c r="U414" i="4"/>
  <c r="M16" i="4"/>
  <c r="O17" i="4"/>
  <c r="O16" i="4" s="1"/>
  <c r="S137" i="4"/>
  <c r="R137" i="4"/>
  <c r="U83" i="4"/>
  <c r="U342" i="4"/>
  <c r="U264" i="4"/>
  <c r="U348" i="4"/>
  <c r="S311" i="4"/>
  <c r="R311" i="4"/>
  <c r="U291" i="4"/>
  <c r="R254" i="4"/>
  <c r="S254" i="4"/>
  <c r="S244" i="4"/>
  <c r="R244" i="4"/>
  <c r="U79" i="4"/>
  <c r="S53" i="4"/>
  <c r="O305" i="4"/>
  <c r="O301" i="4" s="1"/>
  <c r="M301" i="4"/>
  <c r="U251" i="4"/>
  <c r="R133" i="4"/>
  <c r="S133" i="4"/>
  <c r="S426" i="4"/>
  <c r="R426" i="4"/>
  <c r="U322" i="4"/>
  <c r="U308" i="4"/>
  <c r="L361" i="4"/>
  <c r="M361" i="4"/>
  <c r="O361" i="4" s="1"/>
  <c r="U345" i="4"/>
  <c r="R234" i="4"/>
  <c r="S234" i="4"/>
  <c r="R17" i="4"/>
  <c r="S17" i="4"/>
  <c r="S261" i="4"/>
  <c r="R261" i="4"/>
  <c r="T15" i="4"/>
  <c r="T12" i="4" s="1"/>
  <c r="T11" i="4" s="1"/>
  <c r="T10" i="4" s="1"/>
  <c r="U231" i="4"/>
  <c r="S224" i="4"/>
  <c r="R224" i="4"/>
  <c r="U247" i="4"/>
  <c r="M291" i="4"/>
  <c r="O291" i="4" s="1"/>
  <c r="L291" i="4"/>
  <c r="U357" i="4"/>
  <c r="R287" i="4"/>
  <c r="S287" i="4"/>
  <c r="U217" i="4"/>
  <c r="U296" i="4"/>
  <c r="U305" i="4"/>
  <c r="O318" i="4"/>
  <c r="R284" i="4"/>
  <c r="S284" i="4"/>
  <c r="S241" i="4"/>
  <c r="R241" i="4"/>
  <c r="U34" i="4"/>
  <c r="M100" i="4"/>
  <c r="O133" i="4"/>
  <c r="O100" i="4" s="1"/>
  <c r="O12" i="1"/>
  <c r="O11" i="1" s="1"/>
  <c r="O10" i="1" s="1"/>
  <c r="V378" i="1"/>
  <c r="S378" i="1"/>
  <c r="R378" i="1"/>
  <c r="X378" i="1" s="1"/>
  <c r="R402" i="1"/>
  <c r="X402" i="1" s="1"/>
  <c r="S402" i="1"/>
  <c r="V402" i="1"/>
  <c r="U24" i="1"/>
  <c r="Y24" i="1"/>
  <c r="U439" i="1"/>
  <c r="S432" i="1"/>
  <c r="Y439" i="1"/>
  <c r="R348" i="1"/>
  <c r="X348" i="1" s="1"/>
  <c r="S348" i="1"/>
  <c r="V348" i="1"/>
  <c r="V50" i="1"/>
  <c r="R50" i="1"/>
  <c r="X50" i="1" s="1"/>
  <c r="S50" i="1"/>
  <c r="U355" i="1"/>
  <c r="Y355" i="1"/>
  <c r="AA355" i="1" s="1"/>
  <c r="U488" i="1"/>
  <c r="Y488" i="1"/>
  <c r="AA488" i="1" s="1"/>
  <c r="U476" i="1"/>
  <c r="Y476" i="1"/>
  <c r="AA476" i="1" s="1"/>
  <c r="AA423" i="2"/>
  <c r="Z420" i="2"/>
  <c r="S318" i="2"/>
  <c r="R318" i="2"/>
  <c r="X318" i="2" s="1"/>
  <c r="V318" i="2"/>
  <c r="V401" i="2"/>
  <c r="S401" i="2"/>
  <c r="R401" i="2"/>
  <c r="X401" i="2" s="1"/>
  <c r="U424" i="2"/>
  <c r="Y424" i="2"/>
  <c r="T139" i="2"/>
  <c r="T51" i="2" s="1"/>
  <c r="T50" i="2" s="1"/>
  <c r="T49" i="2" s="1"/>
  <c r="T9" i="2" s="1"/>
  <c r="T8" i="2" s="1"/>
  <c r="T428" i="2" s="1"/>
  <c r="U133" i="2"/>
  <c r="U100" i="2" s="1"/>
  <c r="S100" i="2"/>
  <c r="Y133" i="2"/>
  <c r="M140" i="2"/>
  <c r="O141" i="2"/>
  <c r="O140" i="2" s="1"/>
  <c r="U479" i="1"/>
  <c r="Y479" i="1"/>
  <c r="AA479" i="1" s="1"/>
  <c r="V338" i="2"/>
  <c r="S338" i="2"/>
  <c r="R338" i="2"/>
  <c r="X338" i="2" s="1"/>
  <c r="Y247" i="2"/>
  <c r="AA247" i="2" s="1"/>
  <c r="U247" i="2"/>
  <c r="S44" i="2"/>
  <c r="U45" i="2"/>
  <c r="U44" i="2" s="1"/>
  <c r="Y45" i="2"/>
  <c r="M432" i="1"/>
  <c r="O439" i="1"/>
  <c r="O432" i="1" s="1"/>
  <c r="V580" i="1"/>
  <c r="S580" i="1"/>
  <c r="R580" i="1"/>
  <c r="X580" i="1" s="1"/>
  <c r="U491" i="1"/>
  <c r="Y491" i="1"/>
  <c r="AA491" i="1" s="1"/>
  <c r="U392" i="1"/>
  <c r="Y392" i="1"/>
  <c r="AA392" i="1" s="1"/>
  <c r="U352" i="1"/>
  <c r="Y352" i="1"/>
  <c r="AA352" i="1" s="1"/>
  <c r="V459" i="1"/>
  <c r="R459" i="1"/>
  <c r="X459" i="1" s="1"/>
  <c r="S459" i="1"/>
  <c r="R385" i="1"/>
  <c r="X385" i="1" s="1"/>
  <c r="S385" i="1"/>
  <c r="V385" i="1"/>
  <c r="R368" i="1"/>
  <c r="X368" i="1" s="1"/>
  <c r="S368" i="1"/>
  <c r="V368" i="1"/>
  <c r="V398" i="1"/>
  <c r="S398" i="1"/>
  <c r="R398" i="1"/>
  <c r="X398" i="1" s="1"/>
  <c r="U442" i="1"/>
  <c r="Y442" i="1"/>
  <c r="AA442" i="1" s="1"/>
  <c r="V113" i="1"/>
  <c r="R113" i="1"/>
  <c r="X113" i="1" s="1"/>
  <c r="S113" i="1"/>
  <c r="O50" i="1"/>
  <c r="O49" i="1" s="1"/>
  <c r="M49" i="1"/>
  <c r="M12" i="1" s="1"/>
  <c r="M11" i="1" s="1"/>
  <c r="M10" i="1" s="1"/>
  <c r="U211" i="1"/>
  <c r="Y211" i="1"/>
  <c r="Z375" i="2"/>
  <c r="Y23" i="2"/>
  <c r="AA24" i="2"/>
  <c r="AA23" i="2" s="1"/>
  <c r="Y267" i="2"/>
  <c r="AA267" i="2" s="1"/>
  <c r="U267" i="2"/>
  <c r="M15" i="2"/>
  <c r="M12" i="2" s="1"/>
  <c r="M11" i="2" s="1"/>
  <c r="M10" i="2" s="1"/>
  <c r="Y284" i="2"/>
  <c r="AA284" i="2" s="1"/>
  <c r="U284" i="2"/>
  <c r="Z139" i="2"/>
  <c r="Z51" i="2" s="1"/>
  <c r="Z50" i="2" s="1"/>
  <c r="Z49" i="2" s="1"/>
  <c r="U79" i="2"/>
  <c r="Y79" i="2"/>
  <c r="S53" i="2"/>
  <c r="S52" i="2" s="1"/>
  <c r="S351" i="2"/>
  <c r="R351" i="2"/>
  <c r="X351" i="2" s="1"/>
  <c r="V351" i="2"/>
  <c r="Y287" i="2"/>
  <c r="AA287" i="2" s="1"/>
  <c r="U287" i="2"/>
  <c r="Y264" i="2"/>
  <c r="AA264" i="2" s="1"/>
  <c r="U264" i="2"/>
  <c r="U342" i="2"/>
  <c r="Y342" i="2"/>
  <c r="AA342" i="2" s="1"/>
  <c r="R452" i="1"/>
  <c r="X452" i="1" s="1"/>
  <c r="V452" i="1"/>
  <c r="S452" i="1"/>
  <c r="M569" i="1"/>
  <c r="O569" i="1" s="1"/>
  <c r="L569" i="1"/>
  <c r="U311" i="2"/>
  <c r="Y311" i="2"/>
  <c r="AA311" i="2" s="1"/>
  <c r="Y261" i="2"/>
  <c r="AA261" i="2" s="1"/>
  <c r="U261" i="2"/>
  <c r="R17" i="2"/>
  <c r="X17" i="2" s="1"/>
  <c r="V17" i="2"/>
  <c r="S17" i="2"/>
  <c r="R365" i="1"/>
  <c r="X365" i="1" s="1"/>
  <c r="S365" i="1"/>
  <c r="V365" i="1"/>
  <c r="U466" i="1"/>
  <c r="Y466" i="1"/>
  <c r="AA466" i="1" s="1"/>
  <c r="V462" i="1"/>
  <c r="R462" i="1"/>
  <c r="X462" i="1" s="1"/>
  <c r="S462" i="1"/>
  <c r="V398" i="2"/>
  <c r="S398" i="2"/>
  <c r="R398" i="2"/>
  <c r="X398" i="2" s="1"/>
  <c r="V332" i="2"/>
  <c r="S332" i="2"/>
  <c r="R332" i="2"/>
  <c r="X332" i="2" s="1"/>
  <c r="Y404" i="2"/>
  <c r="AA404" i="2" s="1"/>
  <c r="U404" i="2"/>
  <c r="S291" i="2"/>
  <c r="V291" i="2"/>
  <c r="R291" i="2"/>
  <c r="X291" i="2" s="1"/>
  <c r="AA14" i="2"/>
  <c r="AA13" i="2" s="1"/>
  <c r="Z13" i="2"/>
  <c r="Z12" i="2" s="1"/>
  <c r="Z11" i="2" s="1"/>
  <c r="Z10" i="2" s="1"/>
  <c r="M100" i="2"/>
  <c r="O133" i="2"/>
  <c r="O100" i="2" s="1"/>
  <c r="Y241" i="2"/>
  <c r="AA241" i="2" s="1"/>
  <c r="U241" i="2"/>
  <c r="M53" i="2"/>
  <c r="O79" i="2"/>
  <c r="O53" i="2" s="1"/>
  <c r="Y314" i="2"/>
  <c r="AA314" i="2" s="1"/>
  <c r="U314" i="2"/>
  <c r="Y221" i="2"/>
  <c r="AA221" i="2" s="1"/>
  <c r="U221" i="2"/>
  <c r="U414" i="2"/>
  <c r="Y414" i="2"/>
  <c r="S407" i="2"/>
  <c r="R362" i="1"/>
  <c r="X362" i="1" s="1"/>
  <c r="S362" i="1"/>
  <c r="V362" i="1"/>
  <c r="N56" i="1"/>
  <c r="N55" i="1" s="1"/>
  <c r="N54" i="1" s="1"/>
  <c r="V361" i="2"/>
  <c r="S361" i="2"/>
  <c r="R361" i="2"/>
  <c r="X361" i="2" s="1"/>
  <c r="Y510" i="1"/>
  <c r="Y509" i="1" s="1"/>
  <c r="AA544" i="1"/>
  <c r="AA510" i="1" s="1"/>
  <c r="AA509" i="1" s="1"/>
  <c r="M509" i="1"/>
  <c r="U448" i="1"/>
  <c r="Y448" i="1"/>
  <c r="AA448" i="1" s="1"/>
  <c r="U372" i="1"/>
  <c r="Y372" i="1"/>
  <c r="AA372" i="1" s="1"/>
  <c r="V358" i="1"/>
  <c r="S358" i="1"/>
  <c r="R358" i="1"/>
  <c r="X358" i="1" s="1"/>
  <c r="O452" i="1"/>
  <c r="O451" i="1" s="1"/>
  <c r="M451" i="1"/>
  <c r="L422" i="1"/>
  <c r="M422" i="1"/>
  <c r="O422" i="1" s="1"/>
  <c r="M553" i="1"/>
  <c r="O566" i="1"/>
  <c r="V34" i="1"/>
  <c r="S34" i="1"/>
  <c r="R34" i="1"/>
  <c r="X34" i="1" s="1"/>
  <c r="V29" i="1"/>
  <c r="S29" i="1"/>
  <c r="R29" i="1"/>
  <c r="X29" i="1" s="1"/>
  <c r="U547" i="1"/>
  <c r="U510" i="1" s="1"/>
  <c r="U509" i="1" s="1"/>
  <c r="Y547" i="1"/>
  <c r="AA547" i="1" s="1"/>
  <c r="S510" i="1"/>
  <c r="S509" i="1" s="1"/>
  <c r="V426" i="2"/>
  <c r="S426" i="2"/>
  <c r="R426" i="2"/>
  <c r="X426" i="2" s="1"/>
  <c r="Y244" i="2"/>
  <c r="AA244" i="2" s="1"/>
  <c r="U244" i="2"/>
  <c r="S348" i="2"/>
  <c r="R348" i="2"/>
  <c r="X348" i="2" s="1"/>
  <c r="V348" i="2"/>
  <c r="Y328" i="2"/>
  <c r="AA328" i="2" s="1"/>
  <c r="U328" i="2"/>
  <c r="Y325" i="2"/>
  <c r="AA325" i="2" s="1"/>
  <c r="U325" i="2"/>
  <c r="Y227" i="2"/>
  <c r="AA227" i="2" s="1"/>
  <c r="U227" i="2"/>
  <c r="AA578" i="1"/>
  <c r="S296" i="2"/>
  <c r="V296" i="2"/>
  <c r="R296" i="2"/>
  <c r="X296" i="2" s="1"/>
  <c r="U445" i="1"/>
  <c r="Y445" i="1"/>
  <c r="AA445" i="1" s="1"/>
  <c r="Y16" i="1"/>
  <c r="AA17" i="1"/>
  <c r="AA16" i="1" s="1"/>
  <c r="V335" i="2"/>
  <c r="S335" i="2"/>
  <c r="R335" i="2"/>
  <c r="X335" i="2" s="1"/>
  <c r="V456" i="1"/>
  <c r="R456" i="1"/>
  <c r="X456" i="1" s="1"/>
  <c r="S456" i="1"/>
  <c r="V207" i="1"/>
  <c r="R207" i="1"/>
  <c r="X207" i="1" s="1"/>
  <c r="S207" i="1"/>
  <c r="Y427" i="1"/>
  <c r="AA427" i="1" s="1"/>
  <c r="U427" i="1"/>
  <c r="S357" i="2"/>
  <c r="R357" i="2"/>
  <c r="X357" i="2" s="1"/>
  <c r="V357" i="2"/>
  <c r="M376" i="2"/>
  <c r="M375" i="2" s="1"/>
  <c r="O398" i="2"/>
  <c r="O376" i="2" s="1"/>
  <c r="O375" i="2" s="1"/>
  <c r="Y224" i="2"/>
  <c r="AA224" i="2" s="1"/>
  <c r="U224" i="2"/>
  <c r="O305" i="2"/>
  <c r="O301" i="2" s="1"/>
  <c r="M301" i="2"/>
  <c r="Y322" i="2"/>
  <c r="AA322" i="2" s="1"/>
  <c r="U322" i="2"/>
  <c r="V368" i="2"/>
  <c r="S368" i="2"/>
  <c r="R368" i="2"/>
  <c r="X368" i="2" s="1"/>
  <c r="M361" i="2"/>
  <c r="L361" i="2"/>
  <c r="U375" i="1"/>
  <c r="Y375" i="1"/>
  <c r="AA375" i="1" s="1"/>
  <c r="Z209" i="1"/>
  <c r="Z56" i="1" s="1"/>
  <c r="Z55" i="1" s="1"/>
  <c r="Z54" i="1" s="1"/>
  <c r="Z9" i="1" s="1"/>
  <c r="Z8" i="1" s="1"/>
  <c r="Z582" i="1" s="1"/>
  <c r="R382" i="1"/>
  <c r="X382" i="1" s="1"/>
  <c r="S382" i="1"/>
  <c r="V382" i="1"/>
  <c r="V395" i="1"/>
  <c r="S395" i="1"/>
  <c r="R395" i="1"/>
  <c r="X395" i="1" s="1"/>
  <c r="N9" i="1"/>
  <c r="N8" i="1" s="1"/>
  <c r="N582" i="1" s="1"/>
  <c r="R388" i="1"/>
  <c r="X388" i="1" s="1"/>
  <c r="S388" i="1"/>
  <c r="V388" i="1"/>
  <c r="O211" i="1"/>
  <c r="O210" i="1" s="1"/>
  <c r="M210" i="1"/>
  <c r="T9" i="1"/>
  <c r="T8" i="1" s="1"/>
  <c r="T582" i="1" s="1"/>
  <c r="U354" i="2"/>
  <c r="Y354" i="2"/>
  <c r="AA354" i="2" s="1"/>
  <c r="U417" i="2"/>
  <c r="Y417" i="2"/>
  <c r="AA417" i="2" s="1"/>
  <c r="S345" i="2"/>
  <c r="R345" i="2"/>
  <c r="X345" i="2" s="1"/>
  <c r="V345" i="2"/>
  <c r="Y281" i="2"/>
  <c r="AA281" i="2" s="1"/>
  <c r="U281" i="2"/>
  <c r="U23" i="2"/>
  <c r="Y308" i="2"/>
  <c r="S301" i="2"/>
  <c r="U308" i="2"/>
  <c r="U87" i="2"/>
  <c r="Y87" i="2"/>
  <c r="AA87" i="2" s="1"/>
  <c r="AA141" i="2"/>
  <c r="O24" i="2"/>
  <c r="O23" i="2" s="1"/>
  <c r="O15" i="2" s="1"/>
  <c r="O12" i="2" s="1"/>
  <c r="O11" i="2" s="1"/>
  <c r="O10" i="2" s="1"/>
  <c r="M23" i="2"/>
  <c r="S317" i="4" l="1"/>
  <c r="O24" i="4"/>
  <c r="O23" i="4" s="1"/>
  <c r="O87" i="4"/>
  <c r="O53" i="4" s="1"/>
  <c r="O52" i="4" s="1"/>
  <c r="M53" i="4"/>
  <c r="M52" i="4" s="1"/>
  <c r="M140" i="4"/>
  <c r="U317" i="4"/>
  <c r="U287" i="4"/>
  <c r="O317" i="4"/>
  <c r="U261" i="4"/>
  <c r="U311" i="4"/>
  <c r="U301" i="4" s="1"/>
  <c r="M15" i="4"/>
  <c r="M12" i="4" s="1"/>
  <c r="M11" i="4" s="1"/>
  <c r="M10" i="4" s="1"/>
  <c r="S301" i="4"/>
  <c r="U17" i="4"/>
  <c r="U16" i="4" s="1"/>
  <c r="S16" i="4"/>
  <c r="U254" i="4"/>
  <c r="U241" i="4"/>
  <c r="U274" i="4"/>
  <c r="U221" i="4"/>
  <c r="U244" i="4"/>
  <c r="U257" i="4"/>
  <c r="U224" i="4"/>
  <c r="U426" i="4"/>
  <c r="U420" i="4" s="1"/>
  <c r="S420" i="4"/>
  <c r="U137" i="4"/>
  <c r="O140" i="4"/>
  <c r="U24" i="4"/>
  <c r="S23" i="4"/>
  <c r="U267" i="4"/>
  <c r="U284" i="4"/>
  <c r="U234" i="4"/>
  <c r="U133" i="4"/>
  <c r="S100" i="4"/>
  <c r="S52" i="4" s="1"/>
  <c r="U53" i="4"/>
  <c r="U417" i="4"/>
  <c r="U407" i="4" s="1"/>
  <c r="U375" i="4" s="1"/>
  <c r="T9" i="4"/>
  <c r="T8" i="4" s="1"/>
  <c r="T428" i="4" s="1"/>
  <c r="U277" i="4"/>
  <c r="M317" i="4"/>
  <c r="O15" i="4"/>
  <c r="O12" i="4" s="1"/>
  <c r="O11" i="4" s="1"/>
  <c r="O10" i="4" s="1"/>
  <c r="U29" i="4"/>
  <c r="U141" i="4"/>
  <c r="S140" i="4"/>
  <c r="Y388" i="1"/>
  <c r="AA388" i="1" s="1"/>
  <c r="U388" i="1"/>
  <c r="U296" i="2"/>
  <c r="Y296" i="2"/>
  <c r="AA296" i="2" s="1"/>
  <c r="U291" i="2"/>
  <c r="U140" i="2" s="1"/>
  <c r="Y291" i="2"/>
  <c r="AA291" i="2" s="1"/>
  <c r="AA140" i="2" s="1"/>
  <c r="Y365" i="1"/>
  <c r="AA365" i="1" s="1"/>
  <c r="U365" i="1"/>
  <c r="AA211" i="1"/>
  <c r="U207" i="1"/>
  <c r="U138" i="1" s="1"/>
  <c r="Y207" i="1"/>
  <c r="S138" i="1"/>
  <c r="Y426" i="2"/>
  <c r="AA426" i="2" s="1"/>
  <c r="U426" i="2"/>
  <c r="U420" i="2" s="1"/>
  <c r="Y362" i="1"/>
  <c r="AA362" i="1" s="1"/>
  <c r="U362" i="1"/>
  <c r="S140" i="2"/>
  <c r="U351" i="2"/>
  <c r="Y351" i="2"/>
  <c r="AA351" i="2" s="1"/>
  <c r="S210" i="1"/>
  <c r="S209" i="1" s="1"/>
  <c r="Y385" i="1"/>
  <c r="AA385" i="1" s="1"/>
  <c r="U385" i="1"/>
  <c r="AA439" i="1"/>
  <c r="AA432" i="1" s="1"/>
  <c r="Y432" i="1"/>
  <c r="U34" i="1"/>
  <c r="Y34" i="1"/>
  <c r="AA34" i="1" s="1"/>
  <c r="Y462" i="1"/>
  <c r="AA462" i="1" s="1"/>
  <c r="U462" i="1"/>
  <c r="U17" i="2"/>
  <c r="U16" i="2" s="1"/>
  <c r="U15" i="2" s="1"/>
  <c r="U12" i="2" s="1"/>
  <c r="U11" i="2" s="1"/>
  <c r="U10" i="2" s="1"/>
  <c r="S16" i="2"/>
  <c r="S15" i="2" s="1"/>
  <c r="S12" i="2" s="1"/>
  <c r="S11" i="2" s="1"/>
  <c r="S10" i="2" s="1"/>
  <c r="Y17" i="2"/>
  <c r="AA45" i="2"/>
  <c r="AA44" i="2" s="1"/>
  <c r="Y44" i="2"/>
  <c r="S420" i="2"/>
  <c r="S317" i="2"/>
  <c r="Y318" i="2"/>
  <c r="U318" i="2"/>
  <c r="U358" i="1"/>
  <c r="Y358" i="1"/>
  <c r="AA358" i="1" s="1"/>
  <c r="AA79" i="2"/>
  <c r="AA53" i="2" s="1"/>
  <c r="Y53" i="2"/>
  <c r="U398" i="1"/>
  <c r="Y398" i="1"/>
  <c r="AA398" i="1" s="1"/>
  <c r="Y459" i="1"/>
  <c r="AA459" i="1" s="1"/>
  <c r="U459" i="1"/>
  <c r="AA424" i="2"/>
  <c r="Y420" i="2"/>
  <c r="S49" i="1"/>
  <c r="U50" i="1"/>
  <c r="U49" i="1" s="1"/>
  <c r="Y50" i="1"/>
  <c r="U432" i="1"/>
  <c r="U378" i="1"/>
  <c r="Y378" i="1"/>
  <c r="AA378" i="1" s="1"/>
  <c r="U301" i="2"/>
  <c r="U395" i="1"/>
  <c r="Y395" i="1"/>
  <c r="AA395" i="1" s="1"/>
  <c r="Y456" i="1"/>
  <c r="AA456" i="1" s="1"/>
  <c r="U456" i="1"/>
  <c r="U348" i="2"/>
  <c r="Y348" i="2"/>
  <c r="AA348" i="2" s="1"/>
  <c r="O553" i="1"/>
  <c r="O509" i="1" s="1"/>
  <c r="Z9" i="2"/>
  <c r="Z8" i="2" s="1"/>
  <c r="Z428" i="2" s="1"/>
  <c r="U332" i="2"/>
  <c r="Y332" i="2"/>
  <c r="AA332" i="2" s="1"/>
  <c r="S451" i="1"/>
  <c r="U452" i="1"/>
  <c r="Y452" i="1"/>
  <c r="U53" i="2"/>
  <c r="U52" i="2" s="1"/>
  <c r="O139" i="2"/>
  <c r="AA420" i="2"/>
  <c r="AA24" i="1"/>
  <c r="U335" i="2"/>
  <c r="Y335" i="2"/>
  <c r="AA335" i="2" s="1"/>
  <c r="Y398" i="2"/>
  <c r="S376" i="2"/>
  <c r="S375" i="2" s="1"/>
  <c r="U398" i="2"/>
  <c r="U376" i="2" s="1"/>
  <c r="U375" i="2" s="1"/>
  <c r="Y338" i="2"/>
  <c r="AA338" i="2" s="1"/>
  <c r="U338" i="2"/>
  <c r="Y402" i="1"/>
  <c r="AA402" i="1" s="1"/>
  <c r="U402" i="1"/>
  <c r="U345" i="2"/>
  <c r="Y345" i="2"/>
  <c r="AA345" i="2" s="1"/>
  <c r="M209" i="1"/>
  <c r="M56" i="1" s="1"/>
  <c r="M55" i="1" s="1"/>
  <c r="M54" i="1" s="1"/>
  <c r="M9" i="1" s="1"/>
  <c r="M8" i="1" s="1"/>
  <c r="M582" i="1" s="1"/>
  <c r="O582" i="1" s="1"/>
  <c r="O361" i="2"/>
  <c r="O317" i="2" s="1"/>
  <c r="M317" i="2"/>
  <c r="U357" i="2"/>
  <c r="Y357" i="2"/>
  <c r="AA357" i="2" s="1"/>
  <c r="Y361" i="2"/>
  <c r="AA361" i="2" s="1"/>
  <c r="U361" i="2"/>
  <c r="U113" i="1"/>
  <c r="U58" i="1" s="1"/>
  <c r="U57" i="1" s="1"/>
  <c r="Y113" i="1"/>
  <c r="S58" i="1"/>
  <c r="U580" i="1"/>
  <c r="U572" i="1" s="1"/>
  <c r="Y580" i="1"/>
  <c r="S572" i="1"/>
  <c r="M139" i="2"/>
  <c r="AA308" i="2"/>
  <c r="AA301" i="2" s="1"/>
  <c r="Y301" i="2"/>
  <c r="O209" i="1"/>
  <c r="AA414" i="2"/>
  <c r="AA407" i="2" s="1"/>
  <c r="Y407" i="2"/>
  <c r="O52" i="2"/>
  <c r="Y368" i="1"/>
  <c r="AA368" i="1" s="1"/>
  <c r="U368" i="1"/>
  <c r="AA133" i="2"/>
  <c r="AA100" i="2" s="1"/>
  <c r="Y100" i="2"/>
  <c r="Y401" i="2"/>
  <c r="AA401" i="2" s="1"/>
  <c r="U401" i="2"/>
  <c r="S23" i="1"/>
  <c r="S15" i="1" s="1"/>
  <c r="S12" i="1" s="1"/>
  <c r="S11" i="1" s="1"/>
  <c r="S10" i="1" s="1"/>
  <c r="Y382" i="1"/>
  <c r="AA382" i="1" s="1"/>
  <c r="U382" i="1"/>
  <c r="Y368" i="2"/>
  <c r="AA368" i="2" s="1"/>
  <c r="U368" i="2"/>
  <c r="U29" i="1"/>
  <c r="U23" i="1" s="1"/>
  <c r="U15" i="1" s="1"/>
  <c r="U12" i="1" s="1"/>
  <c r="U11" i="1" s="1"/>
  <c r="U10" i="1" s="1"/>
  <c r="Y29" i="1"/>
  <c r="AA29" i="1" s="1"/>
  <c r="U407" i="2"/>
  <c r="M52" i="2"/>
  <c r="Y348" i="1"/>
  <c r="AA348" i="1" s="1"/>
  <c r="U348" i="1"/>
  <c r="U210" i="1" s="1"/>
  <c r="M139" i="4" l="1"/>
  <c r="O139" i="4"/>
  <c r="O51" i="4" s="1"/>
  <c r="O50" i="4" s="1"/>
  <c r="O49" i="4" s="1"/>
  <c r="O9" i="4" s="1"/>
  <c r="O8" i="4" s="1"/>
  <c r="U100" i="4"/>
  <c r="S15" i="4"/>
  <c r="S12" i="4" s="1"/>
  <c r="S11" i="4" s="1"/>
  <c r="S10" i="4" s="1"/>
  <c r="M51" i="4"/>
  <c r="M50" i="4" s="1"/>
  <c r="M49" i="4" s="1"/>
  <c r="M9" i="4" s="1"/>
  <c r="M8" i="4" s="1"/>
  <c r="M428" i="4" s="1"/>
  <c r="O428" i="4" s="1"/>
  <c r="S139" i="4"/>
  <c r="S51" i="4" s="1"/>
  <c r="S50" i="4" s="1"/>
  <c r="S49" i="4" s="1"/>
  <c r="S9" i="4" s="1"/>
  <c r="S8" i="4" s="1"/>
  <c r="S428" i="4" s="1"/>
  <c r="U428" i="4" s="1"/>
  <c r="U140" i="4"/>
  <c r="U139" i="4" s="1"/>
  <c r="U23" i="4"/>
  <c r="U15" i="4" s="1"/>
  <c r="U12" i="4" s="1"/>
  <c r="U11" i="4" s="1"/>
  <c r="U10" i="4" s="1"/>
  <c r="U52" i="4"/>
  <c r="AA207" i="1"/>
  <c r="AA138" i="1" s="1"/>
  <c r="Y138" i="1"/>
  <c r="O51" i="2"/>
  <c r="O50" i="2" s="1"/>
  <c r="O49" i="2" s="1"/>
  <c r="O9" i="2" s="1"/>
  <c r="O8" i="2" s="1"/>
  <c r="AA452" i="1"/>
  <c r="AA451" i="1" s="1"/>
  <c r="Y451" i="1"/>
  <c r="Y140" i="2"/>
  <c r="M51" i="2"/>
  <c r="M50" i="2" s="1"/>
  <c r="M49" i="2" s="1"/>
  <c r="M9" i="2" s="1"/>
  <c r="M8" i="2" s="1"/>
  <c r="M428" i="2" s="1"/>
  <c r="O428" i="2" s="1"/>
  <c r="S9" i="1"/>
  <c r="S8" i="1" s="1"/>
  <c r="S582" i="1" s="1"/>
  <c r="U582" i="1" s="1"/>
  <c r="AA580" i="1"/>
  <c r="AA572" i="1" s="1"/>
  <c r="Y572" i="1"/>
  <c r="U451" i="1"/>
  <c r="U209" i="1" s="1"/>
  <c r="U56" i="1" s="1"/>
  <c r="U55" i="1" s="1"/>
  <c r="U54" i="1" s="1"/>
  <c r="U9" i="1" s="1"/>
  <c r="U8" i="1" s="1"/>
  <c r="Y49" i="1"/>
  <c r="AA50" i="1"/>
  <c r="AA49" i="1" s="1"/>
  <c r="U317" i="2"/>
  <c r="U139" i="2" s="1"/>
  <c r="U51" i="2" s="1"/>
  <c r="U50" i="2" s="1"/>
  <c r="U49" i="2" s="1"/>
  <c r="U9" i="2" s="1"/>
  <c r="U8" i="2" s="1"/>
  <c r="AA17" i="2"/>
  <c r="AA16" i="2" s="1"/>
  <c r="AA15" i="2" s="1"/>
  <c r="AA12" i="2" s="1"/>
  <c r="AA11" i="2" s="1"/>
  <c r="AA10" i="2" s="1"/>
  <c r="Y16" i="2"/>
  <c r="Y15" i="2" s="1"/>
  <c r="Y12" i="2" s="1"/>
  <c r="Y11" i="2" s="1"/>
  <c r="Y10" i="2" s="1"/>
  <c r="S139" i="2"/>
  <c r="S51" i="2" s="1"/>
  <c r="S50" i="2" s="1"/>
  <c r="S49" i="2" s="1"/>
  <c r="S9" i="2" s="1"/>
  <c r="S8" i="2" s="1"/>
  <c r="S428" i="2" s="1"/>
  <c r="U428" i="2" s="1"/>
  <c r="AA398" i="2"/>
  <c r="AA376" i="2" s="1"/>
  <c r="AA375" i="2" s="1"/>
  <c r="Y376" i="2"/>
  <c r="Y375" i="2" s="1"/>
  <c r="AA318" i="2"/>
  <c r="AA317" i="2" s="1"/>
  <c r="AA139" i="2" s="1"/>
  <c r="Y317" i="2"/>
  <c r="AA210" i="1"/>
  <c r="AA209" i="1" s="1"/>
  <c r="O56" i="1"/>
  <c r="O55" i="1" s="1"/>
  <c r="O54" i="1" s="1"/>
  <c r="O9" i="1" s="1"/>
  <c r="O8" i="1" s="1"/>
  <c r="S57" i="1"/>
  <c r="S56" i="1" s="1"/>
  <c r="S55" i="1" s="1"/>
  <c r="S54" i="1" s="1"/>
  <c r="Y23" i="1"/>
  <c r="Y15" i="1" s="1"/>
  <c r="Y12" i="1" s="1"/>
  <c r="Y11" i="1" s="1"/>
  <c r="Y10" i="1" s="1"/>
  <c r="Y52" i="2"/>
  <c r="Y210" i="1"/>
  <c r="Y209" i="1" s="1"/>
  <c r="AA113" i="1"/>
  <c r="AA58" i="1" s="1"/>
  <c r="Y58" i="1"/>
  <c r="Y57" i="1" s="1"/>
  <c r="AA23" i="1"/>
  <c r="AA15" i="1" s="1"/>
  <c r="AA12" i="1" s="1"/>
  <c r="AA11" i="1" s="1"/>
  <c r="AA10" i="1" s="1"/>
  <c r="AA52" i="2"/>
  <c r="U51" i="4" l="1"/>
  <c r="U50" i="4" s="1"/>
  <c r="U49" i="4" s="1"/>
  <c r="U9" i="4" s="1"/>
  <c r="U8" i="4" s="1"/>
  <c r="AA51" i="2"/>
  <c r="AA50" i="2" s="1"/>
  <c r="AA49" i="2" s="1"/>
  <c r="AA9" i="2" s="1"/>
  <c r="AA8" i="2" s="1"/>
  <c r="AA57" i="1"/>
  <c r="AA56" i="1" s="1"/>
  <c r="AA55" i="1" s="1"/>
  <c r="AA54" i="1" s="1"/>
  <c r="Y139" i="2"/>
  <c r="Y56" i="1"/>
  <c r="Y55" i="1" s="1"/>
  <c r="Y54" i="1" s="1"/>
  <c r="Y9" i="1" s="1"/>
  <c r="Y8" i="1" s="1"/>
  <c r="Y582" i="1" s="1"/>
  <c r="AA582" i="1" s="1"/>
  <c r="AA9" i="1"/>
  <c r="AA8" i="1" s="1"/>
  <c r="Y51" i="2"/>
  <c r="Y50" i="2" s="1"/>
  <c r="Y49" i="2" s="1"/>
  <c r="Y9" i="2" s="1"/>
  <c r="Y8" i="2" s="1"/>
  <c r="Y428" i="2" s="1"/>
  <c r="AA428" i="2" s="1"/>
</calcChain>
</file>

<file path=xl/sharedStrings.xml><?xml version="1.0" encoding="utf-8"?>
<sst xmlns="http://schemas.openxmlformats.org/spreadsheetml/2006/main" count="8207" uniqueCount="1832">
  <si>
    <t>Указать название организации (на бланке организации)</t>
  </si>
  <si>
    <t>{"estimateId":5185797,"estimateVersionId":7300130}</t>
  </si>
  <si>
    <t>5</t>
  </si>
  <si>
    <t>V8hBb/J20zsH8rXyXUTunjeFUMSIyjvrUyyi+aWcmMiEMn32hzaASrk2pz7dARhPvBSKXbQ6MCTz5LfQSqbzW02a3VyjGITG6pnz9YDuRR/5GBWDPyB8svnvXlFePchUhwpWPMYO0laWi54A5xT+WcnXcG0MVZF3DmyS7XQrAO0=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</si>
  <si>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</si>
  <si>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</si>
  <si>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</si>
  <si>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</si>
  <si>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</si>
  <si>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</si>
  <si>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uTHMeR5wt/lTKZPWYaoDNP3iIvNJsXRKvZWy10V6GzavXMDsZkVdXVe2grUjqS5tnZszZmBC+6LLVD6q5DiqJI7e3NHAMvkEACBL9C1lfQJ3kisi4NVIdHunulZ/fMSjNodjcawP8Xmen+jwj3jP/8le//p+/Mv/LcV16afOcre1/5/02+9ffzUf2dl//+W9/a+8r8H2bzby2/8ZXvrX9Af/6f735l9u2XXvr2y3e/8tzf6i/M36I/vfju3t2Lv+zu6m+7e/HX1T/7vYsfq7+u/lB9Xt2v/lTdX7y6+Emv+qL+4mP98YvqYfWgVz1ZvFJ9svrS/NQP9H8f9r5qfrBXfVQ9qn/rc/An/6r+92bf/vZ3z158efL95T/6fFh/d/6977/4kv7e6bf/Y//sKcEvf//F7/+nw79/cf29f9x7lvbl8xf/PY/2P9+9e/HP6n9Tf/WcCnOVFdne07/1b+ff/d6L33559RNZHARhHPyjDeVru6DoG4DHYVPywi5Kvvfiv2feQDYpB7tI2elu/rD6ZfXfq/eq31TvVL/zzIfqt/r/fln9vvqf+uMH9Xd+2ave19/4ZfWL6l395a/0Z+ZP/FLf1R/qH3jffs9Gz42jq8L6xO9piieLe/pJ08/mXq/6WfVEP3tP9NdP6mfwcf17T/RzuPiRv2cA9e/pB/JJ9fH6d/R3P64e+b0s1Hf1/xEm+usPNP7/6oV7vVwFvepx9WBxb/GqlT5+bhxfFf0Hi1e1/oda3xOjb/GTvd7itXXY0uFGh6LFWxquV32piR9Un9Yj80f9mQlFD2vuz6tHi39a/FD//IPFq+Zn9ag8qD6q/5z51ES+B/pPfbR4Q3/81PxrizfNt5eR8ZX645u9Zdj7WP/Wl/XAf7H6R/QPrr/xRAfBJ716yB/rbz7SP/G5/hfu98xfoiPmE/0X3evpO+4X1Qe9KPr/WIc7eW6cXNVwv78axAd6yH6yGlwz7s9eg+VgP6lj/cdmyOof+fgZTv1Ava/vMf2wWR+pI/XcQF0V5W+r/+ZpbR/qQPC76v/p6Q/6/2wqh+q506tSWWRBGIVRnmY2ZaV6bnxVyvT9+6QOGK/oG8HEE/3RdiOr557PrkriO+a2NKHiTyZE9nSI/6D6vU3lLfXcrStT+Z5+Wsxz9aCOHU85r6cij030vnpu/8pEv1Nf/Vq0furva5UPq8/qGOgY5q+p5752DRXr0PXK4i398Yf6Wzqr2KQfqOcOrkz6L6tPdf43gfaxbxP3gnruhSsTp8d18V8Xr/v1jXpvlT2tY3ionju8SpnVI89kql71U3ug/zfquX9zZfp+p53Hj/XN+WDpHJZSbSr76rn+lan8H3WU0v5TPzGvVR/5jUbmKH3u6+lVqf2tCZ0mReln5742M2+aPHX37svG5pnZqkb49OmQawW4srH+QOv/fe3k37OH069fmTTybXA7fe72lam1TR+Quo/T507+Rd++x1c36k2378mVSVvGWvu0Zk8PMPbuGKTPDa4MgvwMDtPn7vyLvpeHVzbWjffynSuTRr4NTtPnTq9M7Q6huEyfG/2Lvn3Lqxv1ptt3dGXS2grF4/S58S4Q3//29yffusRw9ysvT16aL/9aPsdTC2L42/1rKt9ltRni+c73vvPdkfm9Y/1XfvfFybcO/q+/f/E7L+m/zUJ5vkX51+X4+KvHuXUt71hYb/nSd4cvfxcr8sQu8kRY5PC7L85st8sljWa0bm7UbNsKGZXf3+myl/YRLQW10i75yC5wJCgQfbnNKN0cAZd7LKPw/3zx7Gz+8m7P+t/Yx/RvxBXTLv2/s8v8d+Iy0TeAGbGb/w64AZ5/niz07+q/5Ww+nHz//9Tf07LT6SyaTieBN0/OlZfkwbmX59m5N0niYBKrJDw7myx/8rvf/o/LT4rlfzbA82/NNzcHKwuGfq/6WZ3zzMbQg3pnzuxIVg8t3/fq/aOHth83u7Q/tY5U/lw/R48UdlD+Uf/BMEYPRgsptLCnUCG0hI5Ge/5O7DwnQjyKzoN+UA3OwI4zEMLBP4Y7ZnA7VimDFQU0LNodN7KzjIRYQhoL6W4b21HGAiiGJb37bBLYRvvefPb9Fy3TOZ0E/v6l6dx2hS6ngdBG9HxhJYqTUMVJlObbWMuMrEcfrdBkxG9+p06JjSJTm8RbTInbj7BjEHGZtPr15aqTTaZ8aJYiTG3GquLCuk20XzzXZ9JcyoUwTgu5MAz2jlViT4hcgO2MhwCgxZ8TrfoEUH3CVa3oqkmRZqBFDwDRA65o/K2/Y/bS4ktAfMkUfylHNYin3SMjrXgEKB5xFePDNSMTacFjQPCYI/ip6C2cb4CMEwZO1QU4zGiRpJTjW6d/t7gq8Y8eNuvUC8V1AYJONF8uXqvLFquPdLb5kynvfnVZFKh//6ENZD8MnutzYTpOOqE94bDVd5Bx7JJP2JIVXTIpnAwAxQO2YvwNv2uusSsvucqlE41d7ogtFx+kOVnGrnbMUttlioGSjL3ZYaU7C8BRRsskJhkozTB14p86YpoxrUafVn/SKeVxvfL3Wc/U59eTmofbSeir1ixkvZH2w1CnISZsx2koAtIQV30Hacgu+YQtWdElk+LNAFA8YCvGPxC7piG78pKrXDoN2eWO2HLxgZyThuxqxyy1Ru7q2esgDUGJyL6JtFYeguOMFkpORH5iU3qLqxT/5GFT0c+qL3SGebXuePpi1XhRZyDTJvBmvXP1ZV3388B0ddXLb5/C859IJx4mWseJJ947DtXecQLsRLEpOkhA8d6Jln4CSD9hS1d06aSIM9DKB1r5AFA+YCvHPxa7JqR4r9QEJUBQcgmkE1O8N9KyR4DsEVs2PsRzElS8N9aqx4DqMUt1fb/c7S5RQakqdmqPwBFHS2WkKrvWW1yt+KcSm6z+sNkC+my99bNJVjbp+2GsExJTfscJCdgBYqvvIBEB2z9syYoumRRRBoDiAVsx/hbfNfEAGz9c5dIJB9j1YcvFh2hOogG2fFhqjdzs7iav/K0r0fzHb3/3P1gQOFkGyjOJEyEBBxynlJVk/AxKNEyx24EaGlZklvmtzi91i3T1x71evdb2+Jnv3F9Nlj611iSYadPijZ557cXinmmJsKHuc1G3ozp4XV4y4eWbL34PcxvZFH6Nq1CRFCLUVe9Vv+79+fVfhWG9+NkLIz8o/CiI1LJ5/bHf09+JrS+IOOBSpDiKl+aT7/39d1F31WProvQLXIEZTuD8H74zf/l7NoEvbwkM/SAIbBIPuRK3kyMgsQ7YCIGZso5gnysv3E6BgD7jNep8gsne26ID3z6oR2zVyByyUQ1m7m2pcaYAsV9ni0WmkY1Yi8xLKVsP3c3Twfjka1/9unmFk30V8zZbMjKZkCw/9q44ZqtG5gWG1V8OtX7Kbjwz6NDAn7ARFBEBfcPoUb25lnXJ+XPVIhPEd9oOHEO2YmTG+E5LQeMOW2hOEIq5/sNNwLgDB4xTtlxKmmvzTii5ii/N/VyK+YHijjtQjNjykRmQOBHUN8nIHiTGLKX/+I9/13Fxhv4/q0N63oRWh34FjjRaKmceaNV6i6sVvxKDnQbaFhste2FPqs9tIPuheq7Phel46THdO45iYPmRS5DQCfChZrn8mO6dALJP2LIVXTY+xNRLkOneAFA9YKvG3/zoLAQsQ6Z7JaC+5KqXXopM90aA5BFbMj6IE7NQvRyZ7o0BxWOW4voeudtlGoJWI1On+hQcb7RYViKCliOZavFPY/upqH5LoqkdfGhqB/XHH5oC9ofLF5UvX5YMLEimOl0xgTtOVxmQqrjqO0hVdsknbMmKLpkUgwaA4gFbMf6h2DVF2ZWXXOXS6ckud8SWiw/snNRkVztmqX0qLZkA39FOWQTvldnfn7SGQPfntrhXFsGzultcucgFTmxueqd++76pCbxPyknLcnZT3b6V2p76ax4v3tQ//KD6/Nk32Jt31ptNuMf13/jUW8f0j31e/8HlW+dXr5H+fFMjYo4J2KvfK70uoV+8tnyN+/Jt95+v/qLPlj+0/LeX53voH1z8qH7P+8c98+6zXv2Sq0eLH/u9MKqPDnhsu0r73Ku0nZRa2eirfqYhP6nfwPXH5UEAemTeWl2fn1a/W72/2hwC8F8Mer3l+bh3q39sTpL4HzbAr3EBFQkQA7faJ0xX24TKD7J6m9Df7BOGfhBb19IOuBTIZeAW9gmZApGrvq3sEzIlUhZQMQJjP7FuBve5AkV2Ci8l2P4LB6eng9OvLldPl1Y33zsOi73jKNC/Qv0r+isTezRIvbIaWJPxERsTmXTpW4thUSTg3iJXLTLtEvcWs83eYgbvLXIlI1PvbpOkpX5NcqMPMxyzGZCJiTFVWm8gZDeeuQTwTiMXQRER0LePHtWba1mXZk5ctcgUg95pRASeUgeeUgeeUgeeUgeeEhV4hmxEZJKibU2GRVyAe5Ncpe3vTWabvUnwYT1ly6WkVta9s9Q+dAebkqtfeKcyu/HM0MM7lVz5yIRKnIjrW2ZkDzJjltJ6UnieJmEcn3vJWRbqD2exV8RT5SWzeDqLi8ksSlYPKThFf2l1/1gAudN0aKJufzUYSInFs03mHVSUCb2N45Ykx7bVcF0d5Ez/g9X5eD8x8+nXFm8s3/b8g7o+dnmo0PKtlvUP/bCeNpufsKHvS6IrPDp+dmmjOJCk2E77DgrC7PLz6hMbyQuSJNvZ3UGCn4YmiZ8rG8qhJMp2PnWgYKeraZD4q0aDS/NVQZJLc1oHCmlee4nPj3Mb3ZEoHSH8tTHbWs+5cuMhtBXK4XmXJDUhZqCnC9jrORQloz54GDLntRw2X8tSjLi2ZNNJdDZNJnMviLPIS+LozMuzZObFM/2jeTGbxmeru7xTSwaUmBXUocDhdW7JBDkIMQlryS4dy2L6lR6ZJf1LmxrGidX7Fq/VuyPmNUJfLN5a/NPix8tzIP9YfWJeBGG2UOrNk89WR/3a16P3JQdK4QdqVwMnSEEIxiQD9/Spyq/aqF6QpBIxc9Zp3qEkBjWfYCDgfQdBkO58nPLthzAfieIRgmabRq5YJf8CNnKS1ITYwTdy0AUdiqJRnzwMWoOTa7yYpRjx8sVY51Gsiij35udTbf2KYurlZ3PlTbOZKrLz8yI9n9zt3slZJ53PR863UNqGAofXtZOT5CAEJayTe99UstQHcD8wxSSQrft8U23zcGnnrMU19e+kqueFUQBWpkgOkMIP0I4OTpKCEIVbdnCSVB06OEkMah7BQIAOThKkMwcXhrlfFDa+I1E+QrRs0cJFwTLrL/9roz4WpSYED7aFg6/oUJSN+uxh2NwervlqlmLEy0LleZGqWR7r3wwTLwnOpl4xCQpPnc/Ds3B2XoST1RXv1MMltqF4PgqpQ4HD69zDCXIQohLWw31gKmrrQujFf60eGRO2uFd9/M2lHVPBDf3/1uu1L8mp8Jy7WjFBCkI0JVgxoNZWEkTEfQW+Cqx31qEkCjULIEBSP8ut+awvCdKZA4vSwk+sVvlIlI8Q69p0YOEqZ4ewA5OkJsQMtgODr+hQlI367GHYGhxY49UsxYiXL1VUWR6eB6k3U8HUS6Iw8vLk7MybTc7OwvRsplQ0vdu9A1O2oXg+iqhDgcPr3IEJchCiEtaBvXOxDLZs+nlkatJWr2Z80xyw8srirborzXRyfbayZtVjL1TWQuF9SX6F59/VmQlSEKIs3pktfgQtjAmSiFgzFdjnaIeSJNTsgOBIs9zPc2vlT18SpTtvlviJNQYcieIRgmCb1ixaJfMItmaS1ISgwbdm0AUdiqJRnz0MWoMza7yYpRjx5jVnyV239Wr5/TLWifvzUezE7P6401UTvzUD3OKq3b7DOn6/zLI1/kfVw7ol/35vtaH1ePFa3Tuvv7X4wbKk7Ofaj71rQ9+P4uf6XPxu3zYTJXvHUbF3HOv/xsBhQWyShE6C73Kq3zyj5Z9o+Sda/gkg/4QtX9Hl47uczFtotPqBVj/Q6geA+gFbPf4x4sfpuplSU5SaotQUJUBRcimE306jpY+09JGWPgKkj9jS8SmC2CBn3lSjlY+18rFWPgaUj1nK63tnqdwEos7eWgO9Uy1KXBA5+tC7Vt9ak0DlRbe4creD/o5vraFkvGUZdL23c796pP/PFNmYwx3qxNerM94r9cd7pnjny/pQIv1Dy5fO6D/Y+/rLk78/X601fOCFofLD1VdvR97q3UmXUiRzoLZzSisvjrEp/BpXoSIpRKhbv/klW735JaW8+YVLsT2FEXvzC1fg9nKG4JtfuBK3U/COb37JUqCitc8VeGVvfomUtp3mvbyZ/pUvX74QJa63vrARkUmL/taXKCpi6K0vbLXItEV760u0OVEigk+UYEtGpq7dJivrhZ3kRh9mOGYzILMKY5qyehlDtDlfInKfL8FGUEQE9O2jR/XmWtal2QlXLTK9oFfHEEGn1EGnjMwbnjP9CxN0hmw8ZHKivfHFEXDusJW2/saXTbC5Az+op2y5lJTKum/Wi47OQFNy9cu+8WUTZO64g8yILR+ZTIkTWn3LjOwBZsxSaqRO0mgeJmHmFUmaeUlyFnt5OIm8IpzMJ2Gs0rNiFYPA6e1Lk3a30+FXs0aKRonFs02EHVSUybCN45YkB2EnCTtLRjaluN76Wq8B9766fB+rmUHvmfeofln/XeZ79RryXm/1VtIv6reqrr63+NHitfq7X5pjGBf/VL8y9tHiJ8tD6Rev+H+1mkR/utzNN1v9Ztn5qfn48gciMx83Lc9v1e82rWfwP1j9O/aD7CWvk8JfJ/wU2EZxIElB2MEjTIFRvTGCVCIlAEBvjCAGdQ8SAeGYWwuCdLb7HwaJby+hPRLlIwTtNuaH61miWu0YK3imKElNCB7oCQ7+ig5F2ajPHobNeTWHzVezFCOureT8fHIWxZNz73w6PTO90JE3CaeZF8ziIp9FyTyOr8JKAjUCKXUocHidW0lBDkJUwlrJn2s7+OXyQOzFm9pO2g/OXu6fGH/26uLNdXXmx3XPszGX92p7+Jmxbdro1b8bRnvqRhgFwY1I2af++5IjpfAjtauZE6QgxGOCmYP2MwRBRPwbsPN6KAlCzSIIjDA1GziAhxNE6c7DxZmfWbuHjkT5CNGyTQ+XrrJ+Cns4SWpCzOB7OPCKDkXZqE8fhq3BwzVezVKMeLkcODk7n87TiTeZhoWXhNHUmyTT1EsTNU2n50URZsnd7j2ctYjk+SijDgUOr3MPJ8hBiEpYD7dcDnxdmy9t17657G+uHdmDxQ9r9/aZ+d6y0TnYSwPzVQy9fUYQXeHRdzVlghSEAEswZaYe5hO/Z78qL0jyiHgzPce3OppDSRJqesBwJDrT2UD6kiCdWbM09QPAmUniEWJgm84sW+Vy+PQdUWpC4GA7M31Bc/vLA0XRqE8eBq3BmDVezFKMuDZm57NZep5NZ16ezWZeUsxCb5pMZt55OomiyXSa59mqRKFTY5bYhuL5yPlGbNtQ4PA6N2aCHISgxDdm9VmX5h3Q983y2cV7nlcGLUEYNMEhUPgh2NWgCVIQ4mx7Bk2QR8Sg6UhhXQY8lCShpgkER6wy6JgOSZLOHJpK/CK14R2J4hGCYZsObXW2QwSf0yFKTYgcbIemoJdZDkXRqI8eBq3BoTVezFKM2Fg0l/NqtwEM2NAsHHBxGm3DXXUDGFPudqT4198AxhyoBDdQbTSAMRUqkkKEunUDWC9ctYAFyg/yugVsb9UC1ov8oH5Bgh/E1ufogEuzHczlGsGYApG19hRPBzaCMSVSqtYRAnX0UTZ9fa6+K+sDi4O94zjUvyL9K161ZBTOPjAuIjJ3tdwHxlWLzF7EPrBi0wcGnhVxmy0ZmcHa8Lma5EYfZjhmMyCTyw59YMWNZy4B3AfGRVBEBPTto0f15lrWltoBWy0yu6CnCYigU+qgU+qgU+qgU6KCzpCNh8xNLfaBcZW23wdWbPrAwAf1lC2XklFZ98169uUMNCVXv3AfWHHjmaGH+8C48pHJlNoHVtwc2QPMmKXUSMXtRRgYcJbrmONzZ7pAH1jsese/hRKL1/X+giQHYUkNO1lus/BDEl3h0fGTSxvFgSQFYXWQMKl07ytI8ojsK4CFH5Ik20nVQYKdqoZx7mf2rfS+JEpnGwtw6YcoHiEKtjHhWk274tUxNTF86JAoNSF0oGcM+NIPUTTqs4dBc28sNF/MUoz4+pZ+QNsQsevl/9ahwOF1bs0EOQhBiW/Ndi/9kBwChR+CXS2aIAUhzrZn0QR5RCwaWPohSUJNExgO5UdBbiPpS5J05tDg0g9RPEIwbNOhrY6xieFDiUSpCZGD7dDg0g9RNOqjh0FrcGiNF7MUI76+ne8R0DW12vcmDAUOr3OHJshBCEpYh3aFne+SI6XwI7WrkROkIIRjgpEDCjgkQUQcHNT5LglCzSIIjNzPgHoQSZDO/Juj712UjxAr2zRwq9NuYvjoIlFqQsRgGzhH37soG/XZw7A1OLjGq1mKEV/f12ACJwY9H8fUocDhde7gBDkIUQnr4P63fQ2m5HVS+Ou0q38UpCBkA4J/xLwGU5JKxEwCVlIQg5rOEBBgZbEkR3dOEn4LpigfIWa36STjlfeIYScpSU2IHXwnCb8FU5SN+uhh2BqcZOPVLMWIu20DA1b3EidcvA13xW1gXLnboeJffRsYd6AS3EC10AbGVahIChHqWmkD49JsR3OxNjCuQGSpPcHQgW1gXImUonWEwFhBLftcgVfXB6b2juNU/8r0r9XRPLHzPDA2IjJ5tdsHxlaLTF+0PrB4cx5YDJ8HxpaMTGFtOF1NcqMPMxyzGZDZhd8HFm/OA4vd54GxERQRAX376FG9uZa1pXbAVotML+iJAiLolDrolDrolDrolKigM2TjIZNTe31gbKWt94Ftgs0d+EE9ZculpFTWfbOefjkDTcnVL9sHtgkyd9xBZsSWj0ymxD4wfcuM7AFmzFJab4SgCpMNDDjNdUzyuVNdqA9M0SixeJ1vhAhyEBbVsLPlVvvABNEVHh0/u7RRHEhSENYHCbPKhiJjQR6RXQW4D0yQhLq6ieAIi8BPMusSUF8SpbO9BUcfmCQeIQq2MeFaT7tWRzLF8AFbotSE0IGeMRD6wCTRqM8eBq1hZ6HxYpZixNe3DyyG+sBS6lDg8Dq3ZoIchKDEt2Yt9IEJDoHCD8GuFk2QghBn27NogjwiFg3uAxMkoaYJDIdSfp4DjWCCKJ1ZNEcjmCQeIRq2adFWJy7F8PlZotSE0MG2aI5GMEk06rOHQWuwaI0XsxQjvr6NYDFUKuI6sMI6FDi8zi2aIAchKGEt2lU2ggmOlMKP1K5OTpCCEI4JTg4q4RAEEbFwYCOYIAg1iyAwstjPMqAiRJCkMwPn6gST5CMEyzYd3Opophg+Z0uUmhAy2A7O1QkmyUZ9+DBsDRau8WqWYsTXtxMshjrBcupQ4PA6t3CCHISohLVw//t2ggleJ4W/TrsaSEEKQjYgGEhUJ5gglYibBLykIAY1nSEgHMXFgiDdWUlHK5gkHyFot2klV2dIxfCBYKLUhODBt5KOVjBJNuqzh2FrsJKNV7MUI9b/+7unTJSB/1uXZWy3NSzxv2nDfT4B3lMaJklaxLHaxu2oOSzyrVObW1y528Fjx+aw321Zo/u9VS/XF4jurjRV68W7XrjyW+sVu+ptL7SuDO1zyRMcOa3bq/rZ4s2VD/2jdrgPFq9q2rdWPvan1e+Wo2Ac5OK/LP2J/qnHvVv9Y0+b3P9hA/waF1CRADFwP6+7+GqjvvTs2mn5dftY5AcqX5rqzTdNs1N29+7L9Y76Q3O9tbt+auHWDIS+Q4zNf1//5wvz/eXfoP+Fxev1ROBhPRn4uP7t1Urvn6qP9egal1dv+tam/MfaqC/36h+Yf/CD6u3qD9V71S+qd/Vn/0/1nqf/87meCZg772F9W+rf/XlPzw9+oP9yfZV6Xm81NXiz+myvlwbB4g39wcxYHtsuygH3omynLbGeN65AZFsBwbqCPW9ciZQCfYRAnb7sSwZ9rkCRnrdLsqPUL6zX/oitG5lq6Y1sYZAmUCMbWy0y1boa2Qg6b7N1InMsyZxf2m7IQ5WnOgrbpB+zpSOTZHPT2qW7N83TIPRT61CfsPUqol5sA4lN5YCtEpkE2PMWODQM2ZqReYHWbuZ43O6wle7YbkbQeMrWSElhnDvAGQ5Krux2WstIoWDE1orMZaQ+MpvCMUuhkTgNk1RPnBMvj870/Lg4S72pilNPfzWbTvIimsSrFAfOhR0rA+z5cAjNiCMaJxaw6w0USQ7CWhx2So3cQLm0KfHUzFt+F2VVdfPUrH317y0n718+XWptpnvv1eXW71cf9DIFTrL2Ja+Uwl8p/AzZRnEgSUFYBSVMKTFbKJJUHW6hSGJQl3EREI65qiBIZ1soSexnVhtwJIpHiNqkSZp7ByVZvcg3gV/LLEpNiB3smQh4QYeiaNQnD4Pm3kBpvpilGPGyFmc2m0+C2dzLi+nES+b5uTdJ8omnkkl6Nk+mYRyvwmqnZjKCzGRCHQwcYOdmUpCDEJZoZrLpdQSZWr6OIHH2ukmiKzz6ru5MkIIQYQnuzN3rJskj4sugQmlJEGp+QGCEYaQjXmJD6UuidObNCgW8N+JIFI8QBNv0ZskqncMvghOlJkQOtjcDL+hQFI367GHQGrxZ48UsxYhrbzaLzsOzcBZ44WwWecn0TDu6eaC8+Xk4Twvt8fJoerd7bxZD3iylDgYOsHNvJshBCEt8b9bwPgKMRxMcAoUfgl09miAFIdK259EEeUQ8WuBbe/gPJUGoeQKBkUSZryIbSV+SpDOLlhZ+bO9lE8UjxMI2LdqqgT2B30YgSk0IHGyLBl7QoSga9dHDoDVYtMaLWYoR1xYtiqZqfp5MvCBNlReG89zLg7PCCwIVqDTPw0KtrEunFg2sTgaKseHBwAF2btEEOQhhCWvR3l1WL/eqTy5eTKB/mR3Pz+viVvN+gjeXu58/q96t3zNgdjf119ZFjn1JfoXn39WfCVIQwizBn0FFs4IgIsYshBbPBEGo2QGBofLMzxMbSV+SpDNjFgWZH8c2viNRPkIIbNOZrZqJErg1TJSaEDLYzgy+okNRNurDh2FrsGaNV7MUI65bw/7xqWQOmq/vzWfff/HbL1uGgeG9rNf1+aSwU9YNcFGebFNCHWGwVIqdWjeFWbXe4mrdvr0cw4q0TM7jwh4v3jQHgtWd/r3F69X9xRt1P84rdQnSxza0/aR4rs/FuxQQYb7d4mF9ApGyH/lxzFaf0NXjD3gwkk8AySdsyYouGVuMWyseAIoHbMX4R4AfYOuzYgDlJVf5persBuW0W2MEyB2x5eJDOKlGu1Y7BtSOWWqfiuJGdEfdydBJHgqoN18hpOCA45SykpAP7OLf4ordDtQ79iVjs5D9rMqHizd6i3umxnq7OLqudH5ofudzs02zOtnyM9tQ7HOHYjvqt9Oo/P4z8KZefF1J/oV5903dwPyF/r03nqojNy26pnX5jcq8oMe09D7pPd3du3hLD/JPlvXm9a7Vn/SPma7e+73lnVL3d5tDJ5/6F1avdaz//Jvmt00Hr0AbNXf4FWn4MUO/OnMzXZ64GZpt+PrETX/TPR36QWwtmzzgUmzPiXbuOwbKwrn6kO1llJURqO2YK3HbGOzYdhz4QWrT1+fqE+k6vpRdLSdtqnDvWEX6V7w88E4FZqYInbLJxkNmWnpzcqpnnTnUncyWi0y3tGM2VbA+ZnM5yDbJt9mSkUl3t6nRapFIBTf6MMMxmwGZLRkTpKVwLfrGM5cAQjhhIygiAvr20aN6cy1re77EVovMLOiVNkTEKXXEKXXEKVERZ8hGQyYlWs+zyrMkhZqe2VJ3bHq+NOjDTaS5Az+lp2y5lFzKumlWi5fuKFNy9bfTCN0YYe64I8yILR+ZSonzbn3LjOzRZcxSWks9K9IwnRdelAQzLzkvZl6u0qkX59P5LInPi2i2upfAGflLkzb35WMf2HN7XoU0Riycbe7uYKLM320ctyQ5CBtS2Kn923pa+nk9ma37V1aTSf3lH+sp5U8uvWJ2M9230e9L0is8PX46aaM4kKQgbK8RppM/giaUgiQyW/I2jENJjO1k6sDATk6t5RF9SYjO9uIDwHsdidIRAl8b06v1JCtc7t0u/2ujPhalJoQK9Pzg0q2a+vY3Qw5F0agPHQbNvRHffDFLMeLloZqR0j99HnqT3NRTZnniTSbZ1JvNw3SWBNF5tp6GdOjFrJf++VWVN2EgcHCdezFBDkJIwnqx/2V27+vNE2211u+ESar3bWz7kmwKz7ar0xKkIIRPgtMCfJYgh4zP8gNr7cuhJAk16iM4zD4AYLcEQTqzW1pDqqO0shEeiRIS4lublmv1IhAFv9VFlJoQM9iWy3VNh6J01OcPQ9fguhqvZylGXLuuIiviIMhDL8mzcy+ZpedeHk+1QwuT83wWB/lstnIkHboue4WkiqkDgYPr3HUJchCiEtZ1Xbwh8LNLbwiEV796X60+r9/w9tnTL/27OA/p0foV74/qMzTfNNUX5v3s+uc+qb/7eXXfNnr7kqOn8KO3q68TpCDEaLyvQ721T5JKxuXZMA4lMagpBgEBl3oIcnTm8KIijv3ImhGORAEJobRNgxevDEEMGzxJakLwYBs8xyUdisJRHz4MXIO/a7ycpRjxqr2lywYX60zzeZU4CbNtQunWFuudd4urcvum2r2p5XfaYi0rW5fvR16+Q8+8oeWVdUmrKX/9yBR4Lt7cq+uKn3lp8pP694zn+nRzvo05vMaCva+S5/pc9I4bXhQQD7nqE7p6fLXFsuHFLvmELVnRJeMrLOqGF7viAVsx/vHgh9xl1ZZdeclVLt3wYpc7YsvFh3Ri4U3d8GJXO2apre+Lu90kJKiaRjl15+Aoo2USUxLU4MLUiX/qWElp2azxx/plYqaJY9lZUD1Y/Liqj2GDelSUzjVMoo5zTQrkGq76DnKNXfIJW7KiSyYFlQGgeMBWjL/rd801duUlV7l0rrHLHbHl4qM1J9fY1Y5Zap9a1usg10DZJnUqL8BxRgslZxtf2ZTe4irFP3nMfPNB9U71U5vkfZXqpMKU3XFSyfaOo6DYO1b1hwxa3+HCdJBjsr0TQ3Ci6g8AwQmbQNEJSLFloAEGBmCg6g8AwIANgH8Ods1A2V5pQEpVfwBASi6IdELK9kZG/UjVHwD1I7Z6fITn5Kdsb2zEj1X9ARA/ZonvdmoEJ6zMpb0IwIFHS2UkLGiKxNSKf1SxKev9epXuTZvKfZXpLMVU2nGWyveOwyjUH+IcSFBcjg4SVL53YsSfQOJP2OIVXTwprgy09oHRPoC0D9ja8ff6rmkp3ysNQwkxlFwG6YyU742M8BEkfMQWjo/fnGSU742N7jGke8zS3X0egjIR8PK3lfoQHHW0WFYmgnIRUy3++aTkok9NKc3FSZubepvq4+Wnn/bq8wDMm2V/pD8+MUeAfrl82cziTf3nzJmgNsx9letkxkTtOJnpiVaq9C/93yzeO871r8LktqD+oL8bhrH5kAGpjkvZQarTMzCNdqLRTjTaiUY7KUzmC+oP+rsG7QRCO2GjKToaKaYNNNlAkw002UCTDTTZoDB5Mag/6O8asgFENmCT4R/DXdOknrNpwlITlpqw1IRlYbJmUH/Q3zWEJURYcgmlk6iezGmskcYaaayRxhoVJqcG9Qf9XYM1grBGbCx8auKkWD3L01RjTTXWVGNNNS5Mxg3qD/q7hmoMUY1ZVAZrFSkNnPhL4TZZ2IcO6E6BJvvla1iTCLw4OLXMNAzunHHlbqcniVfDfVG/A+6h/uKLi+2zZWJ2vAjuy/qLB/q33jDZuv7rHq4PyTZpe1lvu/5xs3j6WP/W68vu9eU318dzmy/qUtxVacmPffMHnvTCoD4v2572uUO6nQvbecXcz8weZK/6U3180cPFveUb49ajYt59pr/3pflOXQ+j7c/HizdXI/3Fcpty8dZTlTTL1/O9sSqW+ZP+3Vc2xTNP1uXJ+u/QV6Y+zfK1xT/5tmH6GneYFGmYEEO04n/FsP1peaD7Xq9634uC+q7Rn4R75lVx9fvgzLci/Umm74uXbVwHXK4Ux0WoRQber88ViHwRD6GsGHw7HFfitjPZ8e1wRRD4mU1gnytQ5PVwl8Y1y/w4tek+YutGJlP6e9/iHHzrG1ssMpe63vqGl3mbLROZQ0nzu0v3giqyJPfNbOSy9GO2dGSuap60XRrnpEiy0E+tQ33C1quIerHW16ZywFaJTAHsinI4MAzZmpFZgfZ6Nvhpu8MWuuPL2fAST9kSKemLdf1dwaDkym7nPWykQDBia0XmMdL816ZwzFJoJJ6dJ2d5Fk68PFRzLwnS1Mtns9Cbx3FxHp/Hs+J8voQAZ7ovTdppNX16tgvOdyMaJxbQNid2cFHmxTaOW5Ic24nedX2QE+b3LubGF9PeR6u3fVR/qKdtr+tfP3hmgrZ8Odvyvd3vV7+p3vGqD6oPq7f1X/cL/fH31Ye2sdmXHBuFHxv8lG49P9dTu/tmumvmtKsTfL+oB+1+fYrv/cVb9SvN9Y+ZSe29xU9s+AeS+Nsp34FPmPl9Xn1iI3lBkkSm89S32pVDSZDtLOwAwU4ktawQaPvqS6J01n5a+Kl1onwkSkeIq6RJ1KUF7md6T9PVyyhS+OUiotSEkMGeKUDXcyhKRn3yMGTOazlsvpalGHHt9qbT2XxyHheeSpKZeQnJuTdJA+Ul4TQ/C6eTs1itnuFO3V4Eub2EOhg4wM7dniAHISph3d7PtzY67psXgCydjNnouFevWv9kbe/e1VbO2LrfVL/Vv967MIXvVe9Uv9MfPzQ/8//qLz7o3R6qsFe9bRukfclBUvhBwts+G8WBJAUhFLfh3gRJRNxb4EerbpRL/k0QhZpFECBRZBJiYUPpS6J05t/y3M+tKy1HoniEUNmmgUtWST+BDZwkNSFqsA0ceEGHomjUZw+D1uDgGi9mKUZcvzpkb5MGzN3cYQUK6NGAjooVLvqI3JYrUKAXinDlInfPsBbLVoHyzPF5D+vj8WqbZUpPzG/fq1/L9tbKX9Xn4i3f/PXF8iy/ZRXFw8V/ratEl79hDNymrKT6uBeu/hqgF5w7OgludGjFJDaFX+MqVCSFCHUXdRz+qpBjU7VhE37AFY7cpSMYPqhQgykQuSWH93GOQg2mRMpOF0JgnEZ+YhPY5wrspFBDhX5ilX3Elo1MOfQ6jQQ6suHrbK3IhEMp0wBV3marROYZkj+99IDlaRL6uXWt+5itHJkD6EUa+l8uoNPTTthyFVHuLtuzA7ZKZPRnG3cwJgzZkpH5gFaiAT5pd9g6W67QABWeshVS0hbn4rviQMlVLVOf4YoBI7ZUZPpqoTyDo7C+B+bFLDqLlDcJsomXBHHi5WkQeFEQpPNwlk+KZJUxwGmgY1LMngqC5RlAVwXEiQXsfMFekIOwCoWdTb6/mQbeh6eB9xdvfdNMA7Wi6rFpJ7SR70uSKzw5fh5moziQpCCsp7UwKRMEEVmEB5pwDyVBqMuACIy4yP3Uaoz6kiSdrcAnqZ9Z8/6RKB4h9pFmOA0r8Plq0TaHV+AlqQkRg23kwQs6FEWjPnoYNOfFHDZfzFKM2BRRuKxWuyvuMWCyMnetr9rGu+IVd65c5EoI1iNd0xV37ugkuNFpYcWdq1CRFCLULd9n66+W2QNrxdgBVy1yoWV3R8cViFxWoTg1aJmdK5GyXoERaJpHbAL7XIFXvMzOlo3MM20us7O1IrNMO8vsbJXI5EIyoduyszTM/ci+ys4Wjoz79FV2VUQJtMjOVquIandZZBuwVSJjP9ubw4vsbMnIbNDWIjtbZ2eL7GyFlKTFufiOKFByRcussTsiwIitFJm6dl9iZym8tkvsMbjEnkU0Tixg10vskhyEZSbs9LHFJXZJcoUnx0+8bBQHkhSEBbMWJmSCIJ0usUuCUNf5MBhp5BfA/E6Q5BossYviEWIfaXbjXmLPVp1tGdylKEpNiBhsGw8vsYuiUR89DJp7ib35YpZixOsi9/Wah7mdO6xyTyDXlTh50adltrzmHgLHst/i6kWui2Bdk3XR3XzrreqPyyX0+giZ1WL5ff2Tj599g4SxVGYB/YH+w6tXKJq3Aibh8o0L9esRU2O2HtuGYZ87DAluGNpYXWcqVCSFCHWX3kto1tmX7x6sX0poU3/AVY9ccWnB3DEFItdXKKYNXG1nSqQsXCAEqji3x5I+V2Anq+15GkIvg2DrRqYY+nJ7rhS43s4Vi8wwlPV2WOZttkxkYiFZ0ssGLc7j1C+AJXeudGQyoC+5J2kQaVOpgEV3rl5F1LvLstuArRKZAthuHQ4MQ7ZmZFagrbrDT9sdttCWl91hiadsiZT0xbn+zmBQcmXLrLw7A8GIrRWZx1pYe+coNBInYZikKim8NJwpL0nyzJuqWeadT7Oz4CzMVZqu7hNw/ueYDrPngODau7uM/xInFrDztXdBDsL6E3YW+cH6fXm9xQ/q9+cvX5f/RfXE03MW8zs/rGeLy7ni4jXzvvjVSnz129D+VO1LjoHCjwF+gqaKHjTPPZCEISytEeZr0FtnJEmEVuNzG8ihJAh1SRCBobIwzfzEmi37kiydrcenfgjMEyXpCOGQNPdpWI5PVyu4KbwcL0lNiBlsgw9dz6EoGfXRw5A1rMY3XstSjHj50sDzPJpPk8SbJrPIS8Ji5k0n8bkXRKHKoyxUU3UVJg16IU3mrv63DAYOsHOTJshBiEp4k7Zco7/fW/zX6pHxXot71ce1CQuD4Ib5pWyc+5KcCs+JN2I2igNJCkI0JTgwaMVcEETIgAHlEIIg1CyAwFCFDm7AArwgSWf2KzRrSNYrdSTKRwh1bRqwVZdaBrccilITQgbbgMFXdCjKRn34MGwNFqzxapZixLUFS8LzLMimhZeF80z/bBB6eXoeednkPCrOUnWuruCUjgTsUMzdtbiWwcABdm3BJDkIcQlrwd5dLYzd75naU9MsVz0xpyLWC2OXjp5cL5HlxpvVK0t15SpQSSE5FAo/FDu6NEkKQsgluDRTavyJ37NflRckeWTMmg3jUBKDmi0QEHCphCRId04t8BPrmvmRKB4hILZo1PJgmdqX/7VRH4tSE6IG36hBF3QoikZ98jBobp/WfDFLMeLap+VpHs2ys8ybxlngJen83CtmydSLizgozovJJJ6vtuY79WlQVWvuruK1DAYOsHOfJshBCEtYn3b5fI3qp9Uvqw/NaRne+tCM6m392Ye1Q7Mx70syKzzzroZMkIIQWgmGDNq4lCQRsWLwcRmSKNSkgAAJ48yP7KVefUmUDg0Z1PZ8JMpHCH1tOrJV90kOtxKJUhPCxg6ODLqiQ1E26tOHYWuwZI1XsxQjNr1Ee8tmjg5biBRkthInZr6N2V0LUWLTe4urdztqXNMWojS86CDK4Q4i7igkuFFooYOIq1CRFCLUWTuI6gMx6g4ia7g74KpHlo8TjB2wH8oViKwVx/s1uIOIK3E7G+zYQQQfi8EV2E0HURH6GeCuuLqRGYbeQVREEdRBxBaLTDCUDiJY5m22TGReITnRS7dwFIdKS7eWdB6zpSOTAb2DKI6TMI6As9dO2HoVUe8uzQMDtkpkCmCbdDgwDNmakVmB1kEEP2132EJb7iCCJZ6yJVLSF+f6O4NByZUt00HkDAQjtlZkHtu9g4il0EjEFbIaCHD655gEs6eAUAdR7q7UvcSJBex8xV2Qg7DshJ1EinQQSY6Bwo8BfoKWJnAHkSQMYUWNMF8DF+IFSUQW4qEOIkkQ6kIgAiMJsyT3EytLX5Kls3V4sINIlI4QDklzn4ZV+FXXSQ53EIlSE2IG2+CDHUSiZNRHD0PWsAbfeC1LMeLr20GkwA6i3F3LaxkMHGDnJk2QgxCV8CaN2UEkyanwnHgjZqM4kKQgRFOCA4NWzAVBhAwYUJYqCELNAggMx5llkiSd2S9HB5EoHyHUtWnAVj0nOdxBJEpNCBlsA+boIBJloz58GLYGC9Z4NUsx4uvbQaTADqLCXaZrGQwcYNcWTJKDEJewFkyyg0hyKBR+KHZ0aZIUhJBLcGnuDiJJHhmzZsM4lMSgZgsEBFwqIQnSnVMDO4hE8QgBsUWjVqyaTgq4g0iUmhA1+EYN7CASRaM+eRg0t09rvpilGHG3p8umkPNyV+MW23hXXabK1YssJ8I6pysuU+WOQoIbhRbKVLkKFUkhQt3yGNnV2+2VdbvqgCsWWZJEcG/AGhtXILL+iGDHwKpUrsTtoL9jVWqmIKfF1NdJUWoR5X4MWCiubmQ+abUolS0WmU5aKkply0RmEZLdvLRNWRRF7OfWQHDMVo6M/PSa1LRQYQ6VpLLlKqLcXarRBmyVyPjP9uFwWBiyNSNTQmslqWyh3ZWksiVSchfn+rtCQclVLVOR6goDI7ZUZA7bvSCVpdBIxPUmGghwoueY5rIne1BBapHQOLGAnS+0C3IQ1pWw08VWXgEhyazwzPipl43iQJKCsDZGmJNBlaeSJCJr6fArICRRqKt6CJCw8KPI/gYISZIOF9TBN0CI8hEiH2mK07CinqwWYRN4RV2SmhA12E7e8QYIUTbqw4dha1hSb7yapRjx9S19SMHq08JdimsZDBxg545MkIMQl7COTLT0QXAoFH4odjVqghSEkEswag2lD4I8InYNKH0QxKBmCwQEvB4vyNGhUQMrHyTxCPGwTZ+26isp4B4hUWpC0NjBp4GVD5Jo1AcPg9Zg0xovZilGfH2bhFK4QtVdrmsZDBxg5zZNkIMQlrA2jd0kJMmp8Jy7ejBBCkI4JXgwqIBBEETGfAFNQpIg1CyAwMgjvwD8lyBId/4L7hES5SNEujYN2KqrpIB7hESpCRGDb8DgHiFRNuqzh2FrcGCNV7MUI76+79JJwbfXh4G7EtcyGjjCri2YKAghMuE9mMDbdEQHQeEHAW/QUgW/TkeUhhB2CUYN2tUURRGyataq3kNREmq+QHDkeQSg9EVROnNr4At1ZPEIIbFFs6aZlvl99YkN/FgWnBA42H4NfKmOLBr18cOgue0a5nqWctDddgtloAdz1smpYJvvqtuF2IK3g8a/7H4h9jAkuGFooWGILVGRJCLkLTuG9Ej/2F+90j6whrgDtmRk3TjBzQHLbmyFyCpxikmDGofYGrdzwI6dQ2GS29f8+myFnfQOhUGS+bnVNx7xlSPzS6vdQ3y1yPTSUvsQXycyq5BsqGUFLSzMORw27cd87chUQO8gCmPtf3LffmLICV+wIgrepYFgwJeJTAZsh+6ID0O+amSCaK2NiK80JyjdSeMpXyMllbHuAVdMKNm6ZVqJnPFgxBeLTGm7NxPxJNZ2G1VAYSjAiaBjJsyeDELdRDq00ECxhN0vyQuCENafsNNJyepV0bFQ+LHAT9hsGAeiGISVNcIkzl2/KgokszBv4zgU5aCuC2IoHPNCQZLOVuXhGlZZPkJYJM2Hmpblk/UyLtxuJAtOCB47mH6ojlWWjfr8Ydia1uWbL2gpB319a1kzsOUoDJyVvbbRwBF2b9sEQQjxCWvb2NWsoqAKD7qzJxPEIIRVgicDF9YFSWTMGFDQKkpCTQcYjjTyC8iPCaJ058fgmlZZQELAa9WQpev8DfcVyYITIgffkMF1rbJw1EcQA9fkyJqvaCkHXTuy4CwtUqWm3jxPYy+ZJIE3mai5N5/lk/x8mhbzZHq3e0cGdReFgbPS1zYaOMLuHZkgCCFA4R3ZDrWtkX0fYF90EBR+EPBuLVWO0lZBGELkJXg2uLRVEEXItEGlrYIk1IyB4cjiKPPtb+wRZenMtWV+Ank2STxCSGzVs+XrDA+3IsmCEyIH27NB13Qoi0Z9/jBoTY6t+XqWctD6f39Xk6+cinFif+uyZu0Wu1pDrLZkhR03CVWcxMEl3K5KXSP7RP4WWzCyKAlrqWylrsZBVY+qh/qLLxZvLt7o1Xtdj0x56zOVr/ULEh+Zwsu6ojUMwJabfTZugsNtpaSVKVGRJCLkLcf7sd8zNSB6UB/2Iv1JtmcG/GH1Za9634vqb5tPrLfXARsGWd9E8HfgmhxTIbKWiWLb4GJXpkZKhRBCYV7o6Whik9hnSxSpdr2UuPovHJyeDk5XqascH3/1OAyDPf0hNB908tKBxECYRLYXWHPZEZ8RmYrodbFKZXBdLFctMhe56mIvXQAzeDeXo//11TDbVN/mq0YmpDYMrYG50XdgHPMxkImmuWAW0G5k33j2QkAUJ3wKRaRA30dmZG9uhG0JHvAFI/MNelaAiECliUCliUAlMgIN+XzIbEWrvIWjzx2+0h0rby8N/PAi8txxPLKnfMWULMu6dzYTLnfUKdkI7ZTkNkec9QWACEZ8AmSKJdXp/rUZ0ZsbUVtixzyx9WwCVSZieMDZrGN+z53R2qeIz4ch0J4KYWL5Ot9mkAQhrKlh58Si9bqSY6HwY4GfjdowDkQxCKuFhHloQ72uJJDMboON41CUYzvhOjiwU9vQHJkDFIhIonS21RAGvv0cwyNZPkJcbGNqtp6ghev3LoSO92iIghOiB3pWQSjYFWWjPoAYtobNBsQFLeWglwW709l8ch4XnkqSmZdk+bk3SQOl/9Q0Pwunk7NYrZ7mTl2bdV1Tu7aQOhY4vu5dmyAIITphXdvlU5vMl/UuhjZqi3tmT2PxE7OjYV7H8W71dvVB9WH1m+q3+td731y9y+MP1XvrA57Mz/y/+osPereHKuxVb9tGaV90lBR+lHb2c4IYhIhM8HNg3YgkioiTg096EmWhJhMESRRlfgy8wlaUpTM7V+iLBdk5ST5CwGzVzoXr7B867JwkOCF4sO1cDp2FOZRloz6BGLYmO9d8QUs56NrOhbMoyov5uZdmdZ1JlHh5fFZ4Z4lKsywMzoJ0ddE7tXOxbSy0nYuoY4Hj697OCYIQohPWzr13UYOyfIFaXYNy4dO0s1u8rn/94Nk3ry3d3ZemiuV9beze8WqX97b+636hP/6++tA2OPuig6Pwg7OzixPEIATiVlycIIqIiwv91EZyKEpCzSAYjiRKMz+HTJwgTHcmzo+sk/cjWTxClGzVw0XrlB85PJwkOCF0sD1c4afAq21F0agPIAatycI1X89SDrrbV9taN4C1KYtddGm2TXfl1b5cwcjiKqyp6qral4ub4HDbqPblSlQkiQh5Txf7WrPSAVsrsriKYNegYl6uQmR5FMWFgcW8XI2UMiOEwjj0E6C3iqvwCmt5E1PGq8yHdFVJF8bOWl42IzLRtFvLy1aLzDTEWt4w3tTyLofZpvo2XzUy3bThTg3Mjb4D45iPgUwjO9Tyau3PXgi4lpdNoYgU6PvIjOzNjbAtwQO+YGS6QVt8RAQqTQQqTQQqkRFoyOdDJqv2annZStuv5d1EnjuOR/aUr5iSZFn3zmb25I46JRtBuJZ3E3HWFwCu5WUTIFMstZZX3zsbUVtixzyx13YboQBreRMaJpav+20EQZBt++G6PsgZb8fbCIKDo/CDg5982jAORDEIa4GEeSm8jSCI0vE2giAJdRUTwaGC2FfW1YK+KMp12ESQxCPEyDamaZvJ2vq9raHjRbyi4ITAgZ5hEDYRJNGojx8GrWkTofl6lnLQ17estwDLehV1LHB83Rs4QRBCcMIauKsq6xUcJYUfpZ2dnCAGISC34uQEUUScnKusV5CFmkwQJLkfRFaSvihJd1bOUdQryUcIl616ObXO/crh5STBCaGD7eVcRb2SbNTnD8PWZOaaL2gpB319O+sLsKg3pY4Fjq97MycIQohOWDMn21kvOBYKPxY7WzZBDELcJVi2ps56QSAR4wZ11gtyUJMGgiKO7VPZvihIZ57N1VcvyUeIiq16tvVb+kPHuQui4ITYwfZsrr56STbq44dha/JszRe0lIPutoo3tF5TbcMyJ16+jXf1ZbxMwdtB419KGS8TN8HhtlLGy5SoSBIR8tZlvOZVvdZZxwFb63bkFSzjZSpEVkYRLJijjJepkVJhhFAYA80JfbbAK6zizU0Bb6E/RMG6hi5zV/FyGZGJpuUqXq5aZKKhVvFmF1W8maOKl6samW3asKcG5kbfgXHMx0BmkV2qeLMbz14IRxUvl0IRKdD3kRnZmxthW4IHfMHIbIP2+IgIVJoIVJoIVCIj0JDPh8xVLVbxcpUKVPFmF1W84CN7yldMybGse2cze3JHnZKNIF3Fm9149gI4qni5BMgUS67izW5uRG2JHfPE1rcMqmDE8IBzVcdknT1fBct4gVN1IE4sYPcbB4IghCUy7Iy34zJewcFR+MHBTz5tGAeiGITVQMK8FC7+EESR2UMAy3gFSajLmAgOZZZkbSR9UZLOthEcVbySeIQQ2cY0bTNZW58cFzpOAhQFJ8QN9AyDUMUriUZ9+jBoTZsIzdezlIO+vlW8OmhBZbwFdTBwgN0bOEEQQnTCGrirKuMVHCWFH6WdnZwgBiEit+LkBFFEnJyrjFeQhZpNECS5H8ZWkr4oSXdezlHGK8lHCJetmrlinfwd5+GJghNCB9vMucp4Jdmozx+GrcnNNV/QUg76+pbxajdn3VF/PowC6mDgADt3c5IghPCEdXOidbySY6HwY7GrZ5PEIARegmdrqOOVBBJxbkAdryQHNWsgKKIMKjSRBOnMtDnqeEX5CFGxTdMWrY9TihznY4mCE2IH27Q56nhF2aiPH4atwbQhLmgpB63/93f/+JRbAV3Z9+az77/47ZctA8EyZcDqWuQ+OCLc5oQKemG1FKt1UdNrlXuLLXf7NnMMLtJQ/bx6WH1aO6mH1Z/qAt236r3Mt/ZMwe4DnZofVU88/VsfL16rPrf+2GubH3xQL6w9sDFrdxU+12eDX4qaMPluQXNZlxhFpiTRFCfGCRQquSQJnQRf7mHknxj5J0b+CST/hC9f0eXjaz20+oFRPzDqB5D6AV89/gHih+llYZmmKA1FCVGUbIpLpUINFLTbZ2Skj4z0ESR9xJeOTw/EMiGtfGyUj43yMaR8zFNer1Dc3eS3v3UlvDY7WMx/v2nj0BkvtnOESZIWsYrBK4CTy0x3fgJ1sHD1bgd+gQ4WRKKrHj7d1rLcFHqsv/2FKfip1yOW3/u4F/YW9+of+8w2DvvscdhOG4KtLVyJiiQRIU+PpB70xSuLV3v6YtyvHvX+/PqvzOvqrRb/gC18e2Yi1+fCVYisHSYsUcB9LlyN27l11z6XNIIKgLgKRRpdLhUuJVHhF9axPeIrR2YZevtKEhdg+wpbLTLJuNpX8Dpv83UikwtpSnHpSSvSLCuUn1nr8o754pEZoXkWcUmxKoIi9lPraJ/wBSuiYKz5s8kc8GUiswF7jcoRIIZ81cgMQesugR+6O3ylO3aX4DWe8jVSchnnHnAHhZItvJ0uElJAGPHFIpMaaSZokzjmSTQa56o4n57PJ97ZJJh6yaSYeblKMy86n4dJUUzC82yypAAnhC9N2t2XXv4XmhYqGiiW0DZ1dIBRpo82kFuiINtp33WFkPPKn9dbzo/1x1f1tPDzXvUz/Z+PzERTT2Ie6plLPT+MivqtB49syPuiyAqPjJ+f2TAORDEIe0j42driR4tXbSgviKKI7DwD/WOHoiTUzS8ER5z6UWIj6YuSdLb5nAYBYFqOZAEJoY8062nafV6/KDJyvPlTFJwQOdjOHr6qQ1k46hOIgWvafm6+oqUc9HLreTJJojg+92ZpHHpJnJ57E3U+9eZxlKfn8XkQT1e3e6feLAK9GdCrDI8GjrB7byYIQghQWG/2W7NQ7/fqJf6Hy+LBD7VRe6Nu6b1ffb54rd4KMLbNxrsvyqvwvDsbM0EMQnjFG7PqcWwjeUGURMSXmU0LG8qhKAo1LSBA4iz2o8y6u9EXZenMmqkojH0FeTNJQkLoa9WbZetM7niZkig4IXiwvZnjsg5l6ahPIYauyZw1X9JSDrrLd3xGDrsFNKys+JJtviuvkGDq3Q4b/+IrJJjjkODGoZUKCaZERZKIkLd6+adXPViVRgTWFxAcsBUjN8Mong4qjWAqRG58kbwaWBrB1EjZTsIoTHJ7EOmzFV6D0giucmR6abk0gqsWmV1aK43g6kRmFZIR3RaeB0mY6lu5sGk/5mtHZgJ6ZUSqglABd/AJX68i6t1lL3TAl4nMBXyL7iyM4KpG5ocWCyO4SrssjOBqpGQyzj3gDAklW7dMXYQrHIz4WpEJrY2yCI7Ea7v07qiWj4GqfwgUS9j50rskCGH9CTuZ3HnpXZJX4XnxMzIbxoEoBmH1jDJNA5beJUk6XnqXRKEu+mFAVOSrxMrSF2W5HkvvooSE0Eea8TQsvcfhap12+YkN/FgWnBA8+L7etfQuSkd9CjF0DUvviEtaykFf35pVx0J9HFNHA0fYvTkTBCFEKKw5a6NmVRJZ4ZF39meCGIQQi/dncM2qJIqIQQNrViVJqJkBwREmfg6sykuSdObOXDWrooCE0NeqOYvXmTx2mDNJcELkYJszV82qKBz1CcTANXmz5itaykGbVybtLbNahy+QiEHXpZycapuzs/IIZdN7i613O3pcn/KI3+sfNF9vzot5XFdKGFP2sH7bAbZigjs0CW5o2qiY4EpUJIkIeX9+/VfmpFSgTIIrE7k1hvd3YJkEVyFyGwxv2xxlElyNlM0lhEIV5/b39/bZCrspk1B+ar36R3zdyCRDL5JQKVgjwRaLTDGUGglQ5m2+TGRmIXnSbd1RUSTmIACb9GO+dGTkp1dIxIH+t4EXp5/w9Sqi3l22RQd8mcg0wDbrYGQY8jUjEwOtPgJ83O7whbZcHgFKPOVLpCQwzvV3RYOSLVumOMIVCUZ8rchE1kJxBEtibWNmWTiZz2LvTJ0XXhjOcy8P5qkXBCpQaZ6HhVplOHAO6JgMs+eBcHGEuxHgEiiWsPv1d0EQwiIUdir5vp7RfVrP6/5YH0ylzBEF5sDQB3V5xHK6+HDxX+vl+frtussZ4eL1el75k+qT6r5tIPZFB0LhBwI/K6t+Db1geD1tvt+rD/JazZfr8x6+WrcXmEMfPl/cM1Nk8/bhPy7fQqx/W//0p/rnXqkH85Pqyd27Ly9+pL+pZ9m9P//4v0dpr/pF9dFf9bzlwNtG8kB0JAnLe21MHAVJRPYFHIUbgijUZUkEiFKJnyTWisa+KEtnWwMaENwZkOQjBGXSLKxpZ2DdXhc7OiZFwQmhgz/ZgC7qUJaN+gRi2Jo2BpovaCkHvTlLYXU7g66w5bMUrNFV20Hnsa0BemOg7bMUrHJvseVu32a7n6Vg2xqo3cvn2rq8aVzchZ15Un1sw9HWLX+uz2bq+JiEuNg7DhPzQZkPqfmQZfpDHusPhf4QBfWHDIqRXM6Ezkl7C/6JgTsxcCcG7sTAnRi4EwN3YuBODNwJBHfCh1N0OOxMd3XEgmYbGLaBYRsYtoFhGxi2gWEbGLYBxDbgs+GfOn5sXx7AoBlLw1gaxtIwloaxNIylYSwNYwkxlmxG6eMZNNjIgI0M2MiAjQzYyICNDNjIgI0gsBEfDJ+PSMsvq8MbNNfYcI0N19hwjQ3X2HCNDdfYcI0hrjGPq74r727SbWc78471mNUJVpDRuHRoUyc78+a/1uqmW2y9yP0TifR7v7e4pz/XP/2g+rR+Q8ErdX/Kg+Vh4Obv6JlVg63Dw+tvf1l/YQ4Pr9tYlg0sq736h9WfevrnzBb+fXM2pfkb9Gdf1H/5F+s/v+yF+Vz/KaPiT/Wu/0P9g8t/YPEjIx3yB9zB3s6Ygnv9XImKJBEhb/V2hD+//qte5Af20/4O2HKRmz0tLN1wFSK3dkhLMtCeP1cjZcsEoTAKoUMjuAI72fJPo9QPgNMo2cKR6Yu+5x9GKgR3/dlykemLsuvvEHqbLxSZt0gzrEvK47jI/dCacY/50pFZoHnSdOm5S7MsBM7ePOHrVUS9WMtpkzngy0SmAvZSXBglKbDtO+SrRqYH2s6/45G7w5fa8t6/Q+QpXyQllXHugihN08LPrLdByZYts/vvigcjvlZkSiNNP20SxzyJtcZiMi2CIPbUNIm9pJhkXj6dRF6epGmUByo5y+ZLCnCe+dKk3d3/eu4GzjYjGiiW0DYjdYBRZqU2kFuiIISNJux09Z16S/+p+eCTxQ+XheDLqeQf6lnj6/rXD+rJoZl03r+oFf/SzG7fr35TveNVH1QfVm9X71W/0B9/X31oG5590eFR+OHBz94cu/KSLIStNcLU7vPqExvKC6IoQtvy1lnqoSgJdU8QwxHl4FRRkKSzPXltGKEJpSQeIVKSJkgNW/JJtNrBXX5iAz+WBSfEDfY8ALqmQ1k06tOHQWvYkUdcz1IOelnGWahM5cHcm8+S1EumRe4V+Tz1ZnF+nkSTvDg7P7vbvZEDX6OQJNTRwBF2b+QEQQjhCW/k1sv9D7WDe7C4Z1b2jUV7au2/9/X5dycvTXovTb47+b//7xe/udwuKA9DfdsFwYn5yhQ1LncnzA7EhQ9833i/XvVbs0tQdwaaYsf6t+IiW7xRf8h7kFfaFx1NhR9NvO+rt2UemkrYd+wbKevBPF4O5maIHj8zRF/7WhpE+v9O9VjdPdx/4e7dl9Mg+Ic4DhZvFPV47ZmaUbOPYwy1/vTj+k0Yj+qhtwzlgehQEtIHwXaCOwqCJEKu0/5m60NRFGriQ4BEkZ8X1iTeF0XpzHeqAC4GFQUkhPZWnWeydiqJw3lKghNCB9t5hkEOHQA7lKWjPoMYuibz2XxJSzno2nzOoiKOonDqnRXxzEuSKPFy7RS8eTgtimkWptm8qVpUwnyCb5NIUupo4Ai7N5+CIIQIhTWfv36qeOR+r/of1YPqT8s3SGifVH1wEMffNF4xSFZeR//+R/XvmqqVJ96FAbKNxr7oaCj8aODNow3jQBSDEH0Jxg1eLxREEXFuUL/qoSgKNWsgQMLCD+wofVGUzpybaS22muwjWT5CWGzVuKXrLJ86jJskOCF0sI0beFGHsmzUBxDD1mTbmi9oKQdd27b0PA/S87PAO4+Ccy+ZpYWXnxWFN5vPkyCNzydBsgqyndq2BLRtQMk0PBo4wu5tmyAIIT5hbdvPtwqL75tuZdO+vCwsvmde/7VeBuxV71Zv13u8v6l+q3+9t1o9vD30VNir3rYNyL7ogCj8gOzs3AQxCOG3FecmiCLk3Ez93WWUQ1EUauJAgMR+BLyYVRKkM9+W58BrVo5k+QhxsVXflq/TfO7wbZLghMDB9m3gRR3KslEfPwxbk29rvqClHHSXp9XG8O6tctcbFtt8V930xdW7HTT+0vSFaPriDnaCG+w2mr64EhVJIkJe9U71e0/dvfvyqvurZ16TZGot6+v+sLd8ASzUDMbFQHYAEHwktHXLVYis9sfbQ0czGFcjpYIeoVAlNnl9trxOWsGiKE2AJdMjvnJkVmu5F4wtF5nVWusFYwtFpjOS/72sXN8TBXCC0jFfOzI70JvB0kyBLw864etVRL27NIAM+DKRqYA9M9BWWDs0qy0b8lUj00OLzWBsqV02g7FFUlIZ5y7IgygN/Mya4Uq2bJlmMFc8GPG1InNaC81gLInXdj/AcU6ucldUXwLFEna+HyAJQlj3wk5j5fcDJAdE4QcEP4+zYRyIYhCW9QjzOHA/QBKl4/0ASRTqgiQCJLcvavVFOa7DdoAoHyEskqZDDdsBat0ppBydX6LghLjBNv2O7QBRNurTh2Fr2A5AXNBSDvr6Vt86TtBdLXQRRgNH2L1tEwQhxCesbROuvpUcDYUfjZ09myAGIfa24tkEUYQ8G1R9K4lCzRoIEHOEvA2kLwrSmWlz1N6K8hGCYqumbd1hoxxNU6LghMDBNm2O2ltRNurjh2FrMm3NF7SUg76+L15yHMCr3JXIltHAEXZv2gRBCPEJa9q6fvGS5PAo/PDs7OIEMQjBuBUXJ4gi4uLAdy5JklCzCIIjjhIbR1+UozMPB79xSRSPECJbtXDrbhvlaJ8SBSdEDbaFg9+4JIpGffYwaE0Orvl6lnLQyzcuJUUySVXg5dk88xLt/LxJpP9AejaJ9f9pv5ev9v47dXBg95Ry1yRbRgNH2L2DEwQhhCesg3t/U0x731V4e3/x1mprNDQv/ckD/SEMHa9KkhwGhR8GvFNbvyppdeblU6XM6JcnlYcqiMIoOO3peVXv2VHa61X/rV60/MSsc/bqf+dT44eXTvgj/aU5bnP55Vf13/+gtz6D0/z7vw2tUeRAdJwJSYFgJcFiXEESIScJvUdJEoWazhAgKvMza2bui5J0ZiajQBV+oGyER7KEhIDdqp9cdwEpR1uXKDghdLD9ZBjHEXispigd9RnE0DVZyuZLWspBd9vYBS7zpc7awTTY5rvqxi6u3u2w8ZfGLkRjF3ewE9xgt9HYxZWoSBIR8pb9XPpq/Nj0cJmSbauTOWArRhbut2AbuQqRRfokOwj1cHE1UgrfMQoTsFqPq7CTNq6wKFI/T23Kj/jKkTms5TYutlxkDmutjYstFJm8SH73kqMvVBYnfmGNWsd87chcQG/jCnMVZdopWAf7hC9YEQXv0rsx4MtEpgP+VCAKQ79QNtVDvmpkimixj4sttcs+LrZISjpj3QVZkeQFUNxbsnXLNHI5I8KILxaZ1lro5GJJrM0hqnzYUIATTseMmz3pBDu5UmeB9GVQLGHnexOSIISlLuy8Vb6TS3JAFH5A8BM3G8aBKAZhJY8wmwPrSSRRRHYB4E4uSRTqCiQCJIr8yI7SF0XpbBvA0cwlykeIjKRJUcMmQLru/UkdzVyi4ITQwXb+jmYuUTbqA4hha9gCQFzQUg76+jZzOd4ElybU0cARdu/cBEEI8Qnr3ISbuSRHQ+FHY2fbJohBiL2t2DZBFCHbBjVzSaJQswYCJM7goxQkUTqzbY52LlE+Qlhs1batu39SRzuXKDghdLBtWwoWboiiUZ8/DFqTa2u+nqUcdO3a4smsyOdx6qnZmfKSySzzijBMvbzIZuFsFk7P0snd7l0bXObhrIy2jQaOsHvXJghCCE9Y18Y/fbX6ADj8c304axomeVCfH/p/VO/ZDmfV//iTukTlUV0Fa/7p+6Yq5dPVtz/RPrL+u9IguGF+hdad7H3RMVf4Mcd7wxYKjxtObTVj9g9pXZJcmJf5us9r3dP/rHHky/Kd6vNetKpf/tMzpn5//t359178fm9fm/lekJi/9wOylT8QvVyEREbwwGAhiiCJiAWG65clUagpGAOicj9JrSx9UZbOPHCYBwWwznwkS0hIM6264HUHVeroiBMFJwQPtgt2ngQrSkd9CjF0TUa4+ZKWctDX97UGMdwUlzrruW2jgSPs3ggLghAiFN4Id/taA8nhUfjhwXtWBTX+HYiyEGIywdDBi5qCKEKOzupND0VJqKkEwZHnuW8t9+2LknRm5+C3G4jiESJlq15u3bqUOrrRRMEJcYPt5eC3G4iiUZ8+DFqTkWu+nqUctP7f3z3lX4w/+1uXYWu3NQ20apm7GDLa5u2oNS2CWtO4erdjSKetacsuMm3J6o4xcw7Va2bNy0a4zyZMcIS0frDqZ9pmPFr8k/aR9bKmWUv7sbGWi9d62hv+rHrfBvE1NoQiQWAANh1jq3XKt1adY3HQ25wEFmdmLfFLs2Rbrx1+XDviBzWuWVy0MR6wGZFNBQQnCC3tcRUiGwgoBg/sMeNqpBTlIxTqCO4DK3Fchd30mKVB7ifAPjNbOTIZ0XvMkhBqff86Xy0yF1FazGCdt/k6kTmI5GEv90omeZbkfhHbxB/zxSPTC73FLM7CQM+bEuton/AFK6LgXZpKBnyZyGzA9veOADHkq0ZmCFqLGfzQ3eErbbnDDNZ4ytdIyWWse8AZFEq2cJkOM2dAGPHFIpNaCx1mLIn1nTCJ53GklJ5LTlI9l5xn3nQ6y70oK+bhNIzyYrIacnDe6JhIs+eOYIdZ5q7avgSKJex8oV8ShLB8hZ1+bhb6P9XTk7fwU0tBSoWnxM/ebBgHohiEJTfCBA1cqpdEEVmqD3xrDjkUJaEuFiI4oizwI+ClIpIona3Vx0kIvjtOFJAQ7kgznYbV+mzdZZQ52sZEwQmhg+3m4as6lIWjPoIYuIb1esQVLeWgaz8WJMEkD2czL50HsZfMiqlXJLHy0vMiPZ/O8/MkPr/bvR8D+8ZWZwETRgNH2L0fEwQhBCisH/tg9ca5Tb2FeefbF4vXFq/AFq331fVvPak+WvwX7ec+X74xwFQlv1P99K9WNcqjyXf/w/z7398ULDf9S9sr2XUR8hObgPrNvY/qf7T+iZWcT01NbV3JvPx+/cKCT9d1zHkWFdYNw33Ri6bwF21neymIQcgRBHtp9jg+8Xv20pYXRIFETKbVlx2KclDzG4LCtaUgSNKdw4yBXsQjWT5C/G7VYK4bojJHg5soOCF48A0mdFGHsmzU5w/D1uQvmy9oKQdd+8t8Eqgwy5UXK5V5SapdaWE+zGbxTEVJMEsnq4Hp1F+CHW6Zu8zZMho4wu79pSAIIT5h/eW7z3o3rHVM6iMcessvnmqcqr8evPTyi9/7zre/+/3v9Z7fH/UHJ73TJOgdnh78jcV3ehv7uV0l8dklZ7kxoj+qLSRQP7Eveg0U/hrsbBcFMQgRn2AXwXIRQRIZn2ivEjsUJaFmKgRHUWinCFlFQZTOrGIYxwWwbXokS0gIxq2axXXTUOboAxMFJ4QOtll0XNahLB31IcTQNdnF5ktaykGvy4dX5Qwdlw8r0BC6y6WTbd6OyoeB98XfYutFlm5h/VxdPly3Xm3eEGrqid+sDdPH68W9xRvLEy2emJat5Y6vjWqfTZXgqGglwzaJX2NLVCSJCHnLgmD/qWXSVZkvdELHAVv7dgjevdC3aaGPKRRZzUUxZnC9L1MjpUYKodC1OMdU2E29b5D4yurfj/jCkcmDXu4b6VEGy325apG5g1LuC+u8zdeJzBkk23npNk7CRKfo1Cb9mC8dmRjoxb5hHoQJNNYnfMGKKHiX+r4BXyYyI/ANORgdhnzRyOxAq/WFn7g7fKUt1/rCGk/5Gil5jHMLuCJCyZYtU+nrjAYjvlhkPmuj0pcjsbbecXh+lgSJF5wVsZn2pV5RhKGnpvPpbHYehFG0upvBKZ5jzsue5oGVvrm7pPkSKJaw85V/SRDCYhN2pvj+xfxv8ZPeyKtX/M0L1f60Xn1/v/pt9f96QfjNp5f5V28zW79bbTmrrB4sfyTKguBGbH3o9kXHR+HHBz+hs2EciGIQltbam9tJAgktztsLFQ9FUagLgwiQIlF+FltZ+qIsnS3PFwFwJN2RLB8hXpJmSQ2L83mwWsldfmIDP5YFJ0QQ9lwAvKhDWTbqE4hha1iaR1zQUg56+a7iOMtnWai8cDoLvSQ4V15+FhReqCZFGM2DZFac3e3ez4GVwrm7btoyGjjC7v2cIAghPmH93K+0k/u0fj/xg171Se3K/qS/8RA+IuxBfeSEDX5fFF7h4Xc2a4IYhFCLN2uLHy1etaG8IIoiYtP09LuwoRyKolCTBAIk14YzjW0ofVGUzlxaCC5HHckCEsJgqzZt3f+TOzq6RMEJsYNt0+CrOpSFoz6CGLgmn9Z8RUs56HUJxfqB7biGIgWtWOIETreBO6qhCAOoiIIrGLkhhrVSwDvY6mpU84Iy46JWr1773H4eQV1/8dTrcj83PuzesycGPFm2WBmj9vFe/btf1strn64asZ45+cD8ZfW/8Mz5r6t/48nK3L1hfnJ5SoFtfPfZ45vgxreNcg6uREWSiJB38X4337zMrRf5gcptmg/YmpGbdnj32LjUxxSK3KjDe0NHGQdXI2X7C6MwUlAZB1dhJ2UccZr59jbKI75wZP6il3HEWQKWcbDVItMXpYwD1nmbrxOZtUjOd1t4kkZKAROxY750ZEKgl3EkWRCGwAG2J3y9iqh3l73bAV8mMiGwpwRwcBjyRSOTA62KA37g7vCVtlzFAWs85WukpDHOLeAKCCVbtkwVhysYjPhakdmshSIOlkSj8SyJMpVloRdHs9wLw/ncm4RB5J2FaRpOZsF0WqyyBzjH</t>
  </si>
  <si>
    <t>dMy62fNMuIjD3Z1wCRRL2P2ivyAIYbULO1N9/+lJqWM2uizo+IX+xmemjKP6olceRmEYrU4gjG+NzJF4izeK+hyTp86/azywbl90yBR+yCgzu+X5gn5ve/ycU/r7qEMG7959uT5mcD206XJo/6FQ5rDB3uqowR8sxxcaaODEQXOkoPPMwR7rxEHJC0hY6MRPcx2bJIIoIpskOr0lNpRDURTqCi0CJIp1qsit3rIvytLdLkkBndF8JAtIyBukuWLTLsm6LTF3dJqKghOCB3tKBF/VoSwc9RnEwDXtkjRf0VIOuja28yLLgrwovFTpn02ieOpNJmngJcX5PM+TyTw/O7/bvbGFq1ncZdiW0cARdm9sBUEIAQprbN0HDrZ+3qDk6Cj86OA9rA3jQBSDEIzxTg5+f7EkioiTA7o+D0VJqEkEwZFnfmFdHeqLknRm41LwqEFRPEKMbNXErY+myx1HDYqCE+IG28RB13Qoi0Z9+jBoTRau+XqWctC1hZtFRRxF4dQ7K+KZlyRR4uVREHjzcFoU0yxMs/lVrE2Cr5Yr3OXZltHAEXZu4SRBCOEJa+F+/cxKVfU/tJ/7U7069dC8GeODgziu64+D5NnOMtyq1b7oaCj8aOxq2SQxCKG3DcsmiSJk2YLEhnIoikLNGggQ5Qf2BNgXJenMsyWBHwFtZKJ8hKjYpmkr1l1HhaONTBScEDnYpg28qENZNurzh2FrcG2IC1rKQdeuLT3Pg/T8LPDOo+DcS2Zp4eVn2vDN5vMkSOPzSZCsYmynrg08PrpwF2tbRgNH2L1rEwQhxCesa/v5Vonxfbh/7LNe9W71dr3A9pvqt/rXe6s3BdweeirsVW/bBmRfdEAUfkB2Nm6CGITw24pxE0SRMm6mpO8yy6EoCzVzIEhCP19tuFx2boIknTm3PAfqt45k+QiRsVXntu5DKhydZaLghNDBdm7gRR3KslGfPwxbk3NrvqClHLSxbi5H1m4fWQZ6scTJl23zXXkfGVfwdtT4Sx+ZbXz32eOb4Ma3jT4yrkRFkoiQt9VHZjqfrLPeA7bk7ZAv3kbGFYrsFMD7QEcbGVcjpf4eoVClUBcZV2AnXWRhmPtZbBN+xBeOzF7tdpGx1SKTV1tdZGydyJxFcrmX9lezOASqAo75ypHZgN5EFoVRoMAmMrZeRdS7S+/IgC8TmQ7Y7h+ODUO+aGRqaK+JjK20wyYytkZKEuPcAo54ULJVy/SQuWLBiK8Vmcta6CFjSby2K/4Z3ENWuAuPL4FiCbtf8RcEIaxrYWepHaz4Cw6Iwg8Ifs5mwzgQxSAs2xHmcfCKvyBK5yv+gizUFUcUSa6sy1Z9UZJrseIvyUeIjKS5UNOK/7qnpnB0SYmCE0IH2/O7Vvwl2ajPH4atacW/+YKWctDXt8I2g5ukCne9sWU0cITdOzdBEEJ8wjo36QpbwdFQ+NHY2bYJYhBibyu2TRBFyrYlNpRDURRq1kCARH6UQhW2giSduTZXha0kHyEqtura1m00haMtShScEDnYrs1VYSvJRn3+MGxNrq35gpZy0LVrK9TZLA3PIy9Rsf6QqMKbJpPMm86m8SSdpiopVmamU9cG9UVFgbve2DIaOMKuXZsoCCE+YV3bO5tSj4eLH5p3/NSHNnzWe7ruY/2qoZeWrxparbJVH6zfFlSvxV34t+Vv98yLh4I4CE73egf1YPRuvxCEvfHLL37/xW/N/60ehG/3/v135/+pNzzsLf9I/dKn+kMYmFcM2QZ4X3SAFX6A8UbwL294esYCi15AQiIjWODHkY3kBVESIQccWlf7DkVRqBkYAZL6UWwvZREl6cwBh0EY+al95VKWkJBjWvTAmmlpmVaf2MCPZcEJoYPtgR2XdShLR30GMXRuF4y5pKUcdO2Cp/MsnWbngXeWR6GXRGHsTYKp8s6Ss2Ia5HmYn69cb6cuGOozi4KIOho4wu5dsCAIIUJhXfD72+91MrasfufT2uy2/I4n0QFS+AHCu1gbxoEoBiEgE7wctJwpiiJk5qwO6FCUhJpHEBxx4af2dzyJknTm5cB3PMniEcJkq0YuWmd9uOlMFpwQN9hGDnzHkywa9enDoDW5uObrWcpBbw4zS+5u3FmHh5lZr7G2abEdNwlVnMSh2sbtqgUtAVrQ2IK3Y4hMC9qT6nOzXlSvM721/Majp3rR6saxegnrYV0JaH5vacq+MD9VG7XFP9nA99ngCQ68hd4wtkRFkoiQt+wN83vhXhBHevTNIWNxbBN9wBaNbAcg+DlwbY6pEFn7j7dpcFsYWyOloh6hMI39xCawzxYo0hZ2KVH1Xzg4PR2crlJVOT7+qnYWyZ7+oMyH9K9MlDAQJnHtBdbcdcRnRKYeegdZmoZQBxlfLTL3uDrILl0AM3g3l6P/9dUw21Tf5qtGJqA2DKyBudF3YBzzMZDppLm5DNBuZN949kJAFCd8CkWkQN9HZmRvboRtCR7wBSOzDXoWgIhApYlApYlAJTICDfl8yFxF61ODo88dvtId+9QuDfzwIvLccTyyp3zFlBzLunc2Eyx31CnZCO20sDVHnPUFgAhGfAJkiiU1tv21GdGbG1FbYsc8sbW3Tc6ybDaPvWmY516SqsibxPOplxSTs3CaTs5yNVvygLNXx3yeO4O1Twn1HDahYWL5ut9qEATZth+u64OcA19ucFttMdj73PTcV0+JzetUPjXvQfH0fx7q3/1y9VMP9W98sfwp2+jsi46Owo8OfhZqwzgQxSCsFxLmpfA+gyCK0D4D0OwmikJd6kSAFD7Q6yYK0t0+g+ZLbHxHsnyEINnGPG0zW0vWC9OJY8YmCU4IHOgpBvqiDmXZqI8fhq1pp6H5gpZy0LWFO0/m0yJNJ95U/9ccHjb18uB86gWBClSa52GhVt6mUwtnXeLUFk5RxwLH172FEwQhRCeshXvqOLAndeHIa3Xx7Kt1QYh2dcuSkE/1J68t3qhfaPe4/tEvzFm3Tx+A+8h4O23eln/R8rUGizd6dSnwp9oPPvWt96ufVf/de3azpPrsq7f/7WjvYovEu9gj0bOx6o9mB8X8q7VhfKI/Pqk+Wr9Nb/GTXuiFe2rxw72nSrmNw/xIy/yj/vXxsjQ42YtDyM3si146hb90eH+5uXovfPu702/3VFH0Dv7+u9/+3uR83iv//jv6+dRmPArMvtInez1Tj61H6w1zQXrBnqq/XR/6Zt93OBAdEELCwTtV8PxaURQRpwrVNgtyUPMkgiLzY2UD6YuCdGZTA+jcWlk8Qh5o1aWqtalRDpcqCU4IGmyXGsVJ7hfWu3YoS0d9/jB0TT61+ZKWctC1T1XzIpsnufJm8/PQS6bT1CsmydxTwfxMRVF6Pj1bXfZOfap1RVX71JQ6Fji+7n2qIAghPuF96mVfuCxcXpbZrN/ivCqnKYf7vX/b/7fP90r9D8+/t3m184+X737WbvCxaSAzf8UD/WmwFzua9ARHSuFHimAL339qOJZuu/f8t77199+d9F741vwfeioIeos3zMdVS515jfXntZE27v9+z+sZ41wv635hG5MD0TEhBHm8M4RrawRJZIyhb9/tORRFoeYmBEiq/DiwXpW+KMp1cIeSeITo26o7TNdWAn5flyw4IXCw3WGowyZwWYeydNQnEEPX5A6bL2kpB72pl15d1+Rup/XS1jYObQAzJ+6l8vCu6qVTe93jLbbg7TDSRr30elVx6UyeWS00bwywneKxrI5erU7Wxz28cvHDiKJpJn2Co2+laJopUZEkIuRtiqa1wwj26v+YPgn9n2zPWUDNBNiO17sXULuP12ALRdamkTwcWEfN1Eip8UIojMwiiE1hn63wCgup83XxYuYun+aSITMRvXw6CiG38XW+WmQqopZPZxfl05mjfJqrGpmP2rC0BuZG34FxzMdAJpZdyqezG89eCEf5NJdCESnQ95EZ2ZsbYVuCB3zByFyDnhcg4k6JjDtDPhUyMdGKpuGYc4evVKBoOrsomgYf1FO+YkpCZd0xm1mWO9aUbATpounsxrMXwFE0zSVAJlZy0XR2cyNqS+yYJ9aoPZuHUXp2fu7F0Vlgdj3m3iQMIu8sTNNwMgum02KVxMAprGNSz53GgkXTwDsbIUwsX/c7GYIghLU07ER46715ny4rZ+rv1ZPcB4vXzGvxel9d/9aT6qPFf6lX6Os6a1Ph8k7107/qhasF/N43bteff23y3f/QO/zu5D/1gjBJe1/79re+9R/mL196UR/4D65/51Oz9F+/PHE5y64LuD+tm5jNcZjm249sV2Jf9Eoo/JXAz3htGAeiGIQ1yhbnvYJAQnscUPmLIAl1gRXBEWWxn0HTaEGUzrY4YhX4iRXwSBaQEJjbmBFu5oX5ekUcfr21LDghgKAnM/irOpSFoz6CGLimPY7mK1rKQdd7HP/4lGUCneH35rPvv/jtly0jwTCG1l1XbQkLJ2a+jQntbcBaKW5vvb1hFXuLLXb7HnMMLNLRfVAXUHyxeNMmVLui4rk+W+2lQAfL3S3OLVdKw2DvOIkj/UGFUHTjkiR0Evyk1Mg/MfJPjPwTSP4JX76iy8fPSLX6gVE/MOoHkPoBXz3+rucH1uWil6YoDUUJUZRsiksLGg0UtNtnZKSPjPQRJH3El46P58TFDK18bJSPjfIxpHzMU17fO3e7zEzQckUIvFx3Jb8ABx6tlpWboLeUceXin1Nsdvqfmy1z0wTzoG4DqT6qnug5/purl71+We/Jmy7sN9YtNWauf2+Z12yA+xpQZzUuZddZLdzTH8zblCLzITYfEp3kIqXTXZSaD1n9IdcfcvMbeao/FPp7cWA+hPUH/btxZD7E5kNiPqjIfFDmg/kyNV+m5svUfJmZLzPzpfmbY/M3x7n5MjdfFubLwnxZ6C+TwGRd87anJDBfhubL0Hxp/t0kMl9GGZCT2dehi5wc7p2YwT8xg39iBv/EDP6JGfwTM/gnZvBPzOCfmME/MYN/Ygb/xAz+iRn8EzP4J2bwT8zgn5jBPzGDf2IG/8QM/okZ/BMz+Cdm8E/M4J+YwT8xg39iBv/EDP6JGfwTM/gnZvBPzOCfmME/MYN/Ygb/xAz+iRn8EzP4J2bwT6DBP+EPvqIPPiktDMzYD8zYD8zYD8zYD8zYD8zYD8zYD8zYD8zYD8zYD8zYD8zYD8zYD8zYD8zYD8zYD8zYD8zYD8zYD8zYD8zYD8zYD8zYD8zYD8zYD8zYD8zYD8zYD8zYD8zYD8zYD8zYD8zYD8zYD8zYD8zYD8zYD8zYD8zYD8zYD6CxH/DHHh9nd/ZD4V5prkFprkFprkFprkFprkFprkFprkFprkFprkFprkFprkFprkFprkFprkFprkFprkFprkFprkFprkFprkFprkFprkFprkFprkFprkFprkFprkFprkFprkFprkFprkFprkFprkFprkFprkFprkFprkFprkFprkEJXYOSfQ3E3Vy4NzIDPzIDPzIDPzIDPzIDPzIDPzIDPzIDPzIDPzIDPzIDPzIDPzIDPzIDPzIDPzIDPzIDPzIDPzIDPzIDPzIDPzIDPzIDPzIDPzIDPzIDPzIDPzIDPzIDPzIDPzIDPzIDPzIDPzIDPzIDPzIDPzIDPzIDPzIDP4IGfsQfeLyDY3nRcG9sxn1sxn1sxn1sxn1sxn1sxn1sxn1sxn1sxn1sxn1sxn1sxn1sxn1sxn1sxn1sxn1sxn1sxn1sxn1sxn1sxn1sxn1sxn1sxn1sxn1sxn1sxn1sxn1sxn1sxn1sxn1sxn1sxn1sxn1sxn1sxn1sxn1sxn1sxn0MjfuYN+5POekOX/xbf7RRaEMduiiiELx7cGKZbhrSe4utF1k3hLXTv1ufplDXsC5+VL/P6ONe3ZD+pXbQb9X95l8sX/+76aJZt74/7FWf1i9N+kT/wBt25/2gPoFs6b33esvXI+nPP9G/bV43/Klpm+99VX99v/pT3QW/+jf2zFbfz6v36z9zv+7Qf2T+wberd7TqD6tfVu+sBfh/tf4XDMyTuif80fLIK6gLijv82w5TsJCWK1GRJCLkVe9Vv+79+fVf9fKemWf1wtQPMj8KImUTfsAWjixqam8jkSsUWadE2SAEC2i5Grcd4Y4FtEmc2M+06LMVXl0BrZmMRmG8qmbTCd5VRcvGQ6ZBRhVtDhbRssUi0yCxiDYMN0W0y1G2qb7NV41Mhrstuqw3S8PwRt+BcczHQCYVxprFurhNa3/2QsBFtGwKRaRA30dmZG9uhF2eNHMFI/MNet8ZEXtKE3tKZOwZ8tGQGYpYSQvFnTt8oe0X0m5izh3Hw3rKV0xJrKy7Zr2V3xBvSjaCcCHtJtasLwBcSMsmQOZW4nzf3DsbUZfnyRyxRu00iINilsw8UynhJVEceXmRF158Po2DIDyfFOvYCU6hX5q0WUjrmJjqiXREw8Ty2SbbDizKhNsGcksUhFCvhZ2J/y9T0Wpm4av3VtTz8R+Y93ms301nXg6yZ2a65t119eer4wx/U72rf334zfrtZ7+vPrC/FHZfdEQUfkTwM08bxoEoBqEejTAPBd84LIkiUsoa2N8kdChKsp1yHSTY+WwYB35ijYB9UZTOSllTv7BWmh3J4hECYxuzss3cbH0UXug42lAUnBA40BMK7DUdyqJRHz8MWkMZK+J6lnLQtWubT+bx2bQIvbTQf0D/fYmXx9nUU7NpNAnTPAmy+d3uXZv1BtCuLaaOBY6ve9cmCEIITljX9u7KnN3vmfe5aa/20OyHLP5p8eP6VW5fNTspZsPjy8Vb2sBpT/dXtUsLVQC/oU1yCBR+CHa2aYIYhGhLsGlN2wWCQCJmDew7kiShZgsER5LlfgjtPgiidGbWMt++6HAki0eIh62atXid3B0H+omCE8IH26xB13Qoi0Z9/DBoTWat+XqWctDr96qtXIq5pzusRon8b9p4tSFTdt7ludsZvLSJk0sxWk/Xo0T2+fsttl7kFhzWT1lXwVbVI+ulL/PeNFPPXb8+7Z42Vssve6Yh/JmXsj0xZzk8Nkas/uLj+r25X9blJ58uX8Bbv1f2weaVbZ+Z9vRPto4BM99eHgP2al1X8mN/XQZhDh0wHeumiKUXhT2HpWOOboIb3VbKTZgSFUkiQt6yiP+P1Ud7puikfnvb+shrqwc4YEtHbgASHCT0Wl6uQuQ+HsUSwpUmTI2UDTGEwigK7La1z1YoUmlyeXc09VeNtZddHFc4MnnRa0jyKIWLSLhqkbnLVUSC13mbrxOZs0ie99JaXVSkqR9Z7+RjvnRkQmguFbkUGPIwDyI/tY71CV+wIgrG7tbaZA74MpGpgD0bgKPDkC8amR1oVR7wE3eHr3THMg+8xlO+Rkoe49wCrohQsmW3U8xBigYjvlhkPiPVbdgkjnkS6/tgeh7Po2LiTSZhbl51kXt5ME+u7qDBaPULmmgC73eDQLGE3a/8C4IQVrqwM9UP6kaFp+any96D+lt1t8LyMJcoCDbH0u31Fm8tfrjptlCLN5Rjyig4HAo/HPh5mw3jQBSDsIzXxhxOkKTj5X9BEur6I4IjSiJgLbUvitLZ8n+U+UrZ+I5k+QhRkTQXalr/z9brxY43UouCEwIH3/FDF3Uoy0Z9ADFsTRsAzRe0lIOuXVue5tEsO8u8aZwFXpLOz71ilky9uIiD4ryYTOL5ag7SqWuDtwcK6mjgCLt3bYIghPiEdW0/31rcv9+rflr9svqw+l31nld3lr5XF9W+syqntUHvi0IrPPTO3kwQgxBiCd4MLqQVRBExZ4Fvb589FEWhJgcEiFI+0AncF0XpzJ2F4BFpR7KAhPDXqj0r1tm8cNgzSXBC7GDbM/iqDmXhqI8gBq7JnzVf0VIOenmYQJQkKpxMvExl4cbLBVe9qhZD/iwCmr3g0cARdu7PJEEIAQrrzz5YFXX8ZLv36YlXvzrk3uKH9fJafU7yb0P7E7wvSq3w1HiDFoH1wAeiMIRQ24ZNk0QRsWmhb920OxQloaYIBEdWRLGf2lD6oiiduTTl58qGdySLRwiBbXq0KFxl9MjxPgpRcELgYHs06JoOZdGojx8GrcGhIa5nKQe9fGP/TE3jINE/cXY+9ZIiDLxioqZeMJ3pb+QqibPp3e4dWgI6tJg6GjjC7h2aIAghPGEd2vvmtW2L16uHpmp2VV6rTdnnqzcyf7bsQn/fmDMb774or8Lz4r2ZDeNAFIMQXAmurKG9SRJIyJsB+5uSJNTkgOBw7W9KonTmzcLcjxMb35EsHyH6tWrO1v0wkaO/SRScED/Y5gy8qENZNuoDiGFrcmfNF7SUgzb2zOW62m1oglfElJMv2ua76oYmrt7toPGXhqbLo7vPHt0EN7ptNDRxJSqSRIS8ZUPTR6Y8sPp88Rq6rYkLgKxlJzhHqCSOqxBZuE6xgmBbE1cjpRwcoVDZk2Wfra+bpqYsBpua2MKRCazdpia2WmT+aqupia0TmbdIRvfSY5aoPEr8zBoOjvnakVmB3tWUJGGQJ8Bgn/AFK6LgXXoZBnyZyEzAngPA4WHIF41MDu11NbGVdtjVxNZISWOcW8AZEkq2bpm2Jmc4GPHFIjNaC21NLIlG4zSZBlEYTLx8cp54SZqk3jScFN75bJLOwjgJsslkSQFONB0zbfZkE2xritzlwpdAsYTdL+8LghAWuLDz1csFst9cThZ75tt6qro83+WenpUuJ5l1JcYn+ovXzDGM9fTyk/oUxvp4F/MnPl/NX1fnyNiGaV90mBR+mPCzOhvGgSgGYVWPMLeDazUEUUT2AwLf/uLjQ1EU6nokAiQH34AhCdLZdkAO19OK8hGiJWmW1LQdsO6OiRztTqLghMDBngqAF3Uoy0Z9/DBsTdsBzRe0lIO+vsUaMdzuFLmLiy2jgSPs3s0JghDiE9bN7V6sIcir8Lw72zJBDEJ0JdiypmINQSARcwYXawiSUJMDgkPlmZ/YSPqiJJ2ZM1ethiQfIfi1as7WrTGRo9lJFJwQPtjmzFWrIclGff4wbE3mrPmClnLQ17fXKYYrO2J3XbFlNHCEnZszSRBCfMKas5Z6nSSpFZ4ab9FcvU6SMIRISzBq4PqZJIqQRQN6nSRJqCkCw1FEEWDRJEk6s2hwq5MoHiECtunQ4nVrTOxodRIFJ8QNtkODW51E0ahPHwatwaAhrmcpB319X/EYw61OcUwdDRxh9wZNEIQQnvAGTfYVj5LDofDDgXduNowDUQxC7CV4NqieVZJEyLIBq2qSJNSkgeBwrKpJknRm2RxveBTlIwTFVj3bumEmdnRAiYIT4gbbszne8CjKRn3+MGxNpq35gpZy0N12QME2TDn54m2+q+6A4urdDhp/6YC6PLr77NFNcKPbRgcUV6IiSUTIM6c5ba754k092mZ787FvOqFMB5SyLjwdsAGQde9tOEamQmSRO8UJgh1QXI2U0nGEQhX7hU1gny2wkxaosEj9wtqhd8QXjsxg7bZAsdUiE1hbLVBsncjERXK6l26HIA1TP7UGrGO+dGRW4HRAqUh7GqABiq1XEfXu0vUw4MtEJgL+FCCMgJOJh3zRyNzQXgMUW2mHDVBsjZQsxrkFwjCJlV9Y361XsmVL9T/BwWDE14rMZi20P7Ek1hpR9RuGApxlOqbZ7Jkm2P4Uu8uHL4FiCbtf8hcEIaxuYSerOxfMSvIqPC9+bmbDOBDFIKzNEWZoDQWzkkAdL+0LklCXFhEcqvAjaN4nSNLZ0r6jYFaUjxD8SBOepqX9dfNL7OhmEgUnhA+2r3cUzIqyUZ8/DFvT0n7zBS3loK/v4U0J3M0Uu8uHLaOBI+zenAmCEOIT1py1c3iTJLTCQ+/s0AQxCCGW4NDgSllBFBFvBh/eJIlCTQ4IkDD2k8yK0hdF6c6dOQ5vEgUkhL9W7dm6/SV29DOJghNiB9+eOQ5vEoWjPoIYuCZ/1nxFSzno5buDAqX9Wz730nQ295KJSr0iS5U3K6JknsyCaT5dhdlO/RnY0JS4q4cto4Ej7NyfSYIQAhTWn9kqPapPqofVl4t7tWW7v3hr9Tah6g/1y4Be179+oH+9svxt/b1Vu1P9ytT3q99U73jVB7Wpe6/6hf74++rDvV4cQF5iX3TIFH7I8O7O1Q0lCUOI0214PEkUEY8HrL5JclCzC4YiyKxb1X1RkM7sXeYr69rikSweIXa2ae6SdetM4miFEgUnBA22ucv91S7fJWsnikZ9+DBoDdYOcT1LOehuq2oVaNZiJ1+yzXfVVbVcvcjipF281r+Cqlru6Ca40W2jqpYrUZEkIuStjxRYV9P++fVfOWppubKRJVQEjwjV0nIVIuulCNYPrqXlaqRUISEURmkAnebJVdhNMW0eg8W0bOHIxNVuMS1bLTJvtVVMy9aJzFckf3upHi0rksi3R6xjvnRkMqAX00ahipTyU6Cali1YEQXvUkQ34MtEpgK28w+LAqymZYtGZof2qmnZSjuspmVrpOQxzi2gwiKI/cwqu2TLlqmmdUaDEV8sMp+1UE7LklhrRFV3GApweumYX7OnmGA5baJooFjC7ncEBEEIq1rYWerO5bSSvArPi5+U2TAORDEIa3KESVpDOa0kkMxyPlROK0lCXVNEcER56qfQ1E8QpbMlfUc9rSgfIfqR5jxNa/pqvQasHGv6kuCE+MF39nA9rSgb9QHEsDUt6jdf0FIOunZnmUqmc3WWe2oWxl6SFIE3SSehdz4tZlkw1787VXe7d2dgPW3iri62jAaOsHt3JghCiE9Yd2app/1Yf/rp8hW0n1YPF/fqF9Ga454e1oc5MY57MlsCX6n+uf5J8xuPzde9MOiZWgFHma7kWCr8WO7s/AQxCJGb4PzgEg5BFBHPBx8IJYlCzTkIkLjwA6CHSpKkM8/nOBFKlI8QU1v1fOuWm8TRQyUKTogcbM/nOBFKlI36/GHYmjxf8wUt5aCvb42uctTouiuWLaOBI+ze8wmCEOIT1vNdixpdwSFT+CHDWztnja4gDCFMt2LwBFFEDB60pCfIQc0uCAoVhdaKmL4oSGfmzlGjK4lHiJ2tert1u07iaMASBScEDb63g2t0JdGoDx8GrcnaNV/PUg662xrdFDJryl2DrLb5rrpGl6t3O2b8pUb38ujus0c3wY1uGzW6XImKJBEhb1maqy/tj5frodUD885bU2CqZ4q9+r249Y987Ol75Cc2mAM2DLJci+AcocpdrkJkbRbBEMKVu1yNlIonhMI49TObwD5bYCeFu2bbObDWaR7xhSOzWbuFu2y1yGTWVuEuWycyiZFM7+W2wsTUaiY26cd86cgMQS/cjQP9j/sRULfL1quIenep1hvwZSITAXs2AAeHIV80Mje0V7fLVtph3S5bIyWLcW4BV0Ao2bJl6nZdwWDE14rMZi2U7bIk1hpRRSSGApxxOqbc7FknWLarYhoolrDzTQJJEMJCF3biunPZriSvwvPi52k2jANRDMIyHWGG1lC2Kwkks8IPle1KklCXGREcSeDH0LxPkKSzRX5H1a4oHyH4kSY8Dav8an0emnIccCcKTggfbF/vqNoVZaM+fxi2hmV+xAUt5aBrc3aGOsG4c3MGVu2uzj4kjAaOsHtzJghCiE9Yc/bBaqvgJ73FD6oH5ot6fb+u2f2y/p0f1tsGdY2GdmiQRROkVnhqvEVzFWFIwhAiLcGogUUYkihCFs269HMoSkJNERiOONIxz4bSF0XpzKMpP1c2vCNZPEIIbNWirftwlKOxShScEDjYFg26pkNZNOrjh0FrcmjN17OUg76+5xSkcI2tclccW0YDR9i9QxMEIYQnrENr55wCSWiFh8YbNBvGgSgGIcK2Ys0EUUSsGXxOgSQKNTkgQMx7gawkfVGSzqyZ65gCUUBC9GvVnK0bZpSjA0oUnBA62ObMdUyBKBz1CcTANdmz5itaykHX9iycnsfzqJh4k0mYb6xcctULaAloz9xVw5bRwBF2b88EQQgBCmvPPqgeaGv2VDHu5+Y9qstvVV/or+smqF4UBNoImI3Ox9Fer94AfVB9Vv85tXhDOepjBYdD4YdjZ+MmiEGIvgTjBpanCpKI+DZ411OQhJo0EByuXU9Bks5sW5T5qxWHy65Nko8QFFt1beteGOXobRIFJ8QNtmsDL+pQlo36/GHYmkxb8wUt5aC7bW7KIBuWuqvp0m2+q25u4urdDhp/aW66PLr77NFNcKPbRnMTV6IiSUTIW507sOlo6nmrlwKsDiZYvGYDOGADIOvYW3CMXIXIonWKEwQbmrgaKaXgGIVJ4ic2hX22wm46mrIY7GhiC0emsHY7mthqkRmsrY4mtk5k5iJZ3UtNAUUSR759kfmYLx2ZFugdTWFYRJl+8oCWJrZgRRS8SyfDgC8TmQp2mARA0WHIF43MDu21NLGVdtjSxNZIyWOcW8AVEUq2bJmWJmc0GPHFIvNZCz1NLIm1RlSJraEAJ5qOmTZ7sgn2NKUxDRRL2PmqvyQIYYELO1/duadJklfhefHTMxvGgSgGYXmOMElr6GmSBOp2dV+ShLq6iOFQuZ8nNpS+KEpny/uOpiZRPkL0I815Gpb303UPTOpoahIFJ8QPtrN3NDWJslEfQAxbw/I+4oKWctDXt6kpg5uaUkUdDRxh9+5MEIQQn7DurKWmJklqhafGezRXU5MkDCHSEpwaWDkriSLk0YCmJkkSaopAcKiwyMHleUGUzjwa3NQkikcIga1atHUTTOpoahIFJwQOtkWDm5pE0aiPHwatyaE1X89SDvr6HhaVwU1NqbuG2DIaOMLuHZogCCE8YR3atT4sSnIsFX4s8b7PhnEgikEI3K04PkEUEccHHxYliULNOQiQKAQPCJUk6czxOQ6LEuUjxNRWLd+6sSZ1tEqJghMiB9vyOQ6LEmWjPn8YtibP13xBSzno69splcGdUqm7BNkyGjjC7j2fIAghPmE9n3SnlORwKPxw7GzbBDEIwZdg28C6V0ESEdcG76UKklCTBobDtZcqiNKZa3O0SonyEaJiq65t3VmTOlqlRMEJgYPt2hytUqJs1AcQw9bk2povaCkH3W2rVA75sMxdpJdt8111qxRX73bQ+Eur1OXR3WePboIb3TZapbgSFUkiQt66Rcom84AtE1kF34Ix5CpElrxTDB/YEMXVSCkkRyiMc/vecZ8tsJt+KBX5BbCuxhaOzFPt9kOx1SLTVFv9UGydyPRE8rPbwos8jHxljQbHfOXI0E9vh4qjINHPHdANxdariHp36YEY8GUi8wDf54OxYcgXjUwN7XVDsZV22A3F1khJYpxbwBEPSrZqmWYoVywY8bUic1kLvVAsiUbjGaruw1CAM0nHVJo9mwR7obKYBool7HxdXxKEsIKFnZC2VG0rSa3w1PhZWBSA09kDURrCYhxhsgYWX0iiCC3jA+W2kiTUVUQMR1yk4OxPEKWzZXy43FYUjxADSbOehlX8bN1Akzk6okTBCYGD7e7hcltRNOrjh0FrWMRHXM9SDvr6ltvmcEPU6v0HhNHAEXZv0QRBCOEJa9Gudbmt5Fgq/FjijZ8N40AUgxC4W3F8gigijg8ut5VEoeYcBIjOntZVkb4oSGeGz1FtK8pHCKmtOr51Q07maLASBScEDrbjc1TbirJRHz8MW5Pla76gpRz09a22zeEOq8xde2wZDRxh95ZPEIQQn7CWT7raVnI4FH44dnZtghiE4EtwbWBRhSCJiGkDq20lSahJA8GRRH4KrdIJknRm2hzFtqJ8hKDYqmlbd9RkjhYpUXBC3GCbNkexrSgb9fnDsDWZtuYLWspB6//9nSFPluDGsvyty5y1W3xb2Gi1KcvttEmo4iSOLp3C0FHpbWI/MfkWW+92CNmx9PZnizcXr2j79HG9/PVxbaQeVg+eLr/dpXp2+br7J4sfbVX4PqjX4+o//eVywU3/DW+Yb9X/8MPt2tvIVWbLHMkEN5KtlNkyJSqSRIS8ZZltHPT0EEd6jms/feiALRhZaNWGN2QqRFZVUTwfXHDL1EipVUIo1HNxuy/tsxV2UnGbBX4S23Qf8XUjcxO94DaOCrjglqsWmZxcBbeXnIQZvJtLI2GUQf7hNl81MkWRHO6lVeU4DLUfsL7H4ZgvHZkT6PW3UZIHRQ4UiZ7wBSuiYPRtYgbx5kbYluABXzAyQ7BnAWDQGPI1I3MGrRIXDhh3+Ep3rMS9dBcML4LFHUewOOUrpuQ6zv3gChQlW7ZMYa4zSIz4YpFJj1SZ+9dm8G5uRG2JHfPE1p43VOfZWRJ7cTEPvSROU29SnBVeNJ3HZ0kYzPRXSx5wwumYgXMnnXYDpaedQEcrhInl634vQBCEsOyFnbf+Lz1v1JPJ6lG97F/vCTxbqXt/8ZYNdF8UVOFB8XM2G8aBKAZhtY4wk4NrMwRRRJb5rVPSQ1EO6iIjgiJUQW5fneqLonS3yh/DpRmSfIRwR5oDNa3yr9/AkDleqSEKTogbbH8PXtShLBv1AcSwNa3yN1/QUg66NmPpZJJP42nhZWmceElwXngTNdMfgiiczWP9F61noJ2aMWvUej5atbQRxgLH17kZkwQhRCesGfuDKaNdHmlbv3qjerR4a/GKNmLm2KjlUv7tv46rx/WnkVq8ESnHer4kvMLD72rQJDEIgRZv0MwmjQ3lBVEUEYMW2F94cyhKQs0QCI4oSv3IitIXRenMosWZHygb35EsHyEItmnR8mCV0Zef2MCPZcEJkYNt0cCLOpRloz6AGLYGi4a4oKUc9NKinedBen4WeOdRcO4ls7Tw8rOi8GbzeRKk8fkkSFYxtlOLZo1a2qIBrfuOsUDxdW/RBEEI0Qlr0S63S5kv65KPZY/U/WVFh7Fsverd6u3qg+rD6jfVb/Wv99YebuipsFe9bRuQfdEBUfgB2dm2CWIQgi/etsHrapIoQrYN6nmSRKGmDQRIGMZ+aGfpi7J0Ztxy6AUyR7J8hNDYqnEL13k+dBg3SXBC7GAbN/CiDmXZqE8ghq3JuDVf0FIOutvX1doP7NZeLHLhZcU23lWXzHL1IuuRsFbqX0HJLHckE9xItlEyy5WoSBIR8rAls1zByIIogiGESma5CpHlT3if5yiZ5WqklBEhFDpKZrkKOymZzROwZJatG5mc2i2ZZatFJidiyWwebUpm8wgumWWrRqYokqXdHu40TtMcOPrsmC8dmRNaL5llC1ZEwejbxAzizY2wLcEDvmBkhmDbfrNeaw12Q75mZM5or2SWrbT9ktlNsLjjCBanfMWUXMe5H6KsCAo/SmyyS7bsKymZZYtFJj1qyay+NTaitsSOeWKv7RZAGEA1s3lM48QCdr8HIAhCWOjCTlw72AMQHBCFHxD85M6GcSCKQVjHI0z54D0AQZSu9wAEUagrkAgQ9x6AIMu12AOQ5COERtKEqWkPYP1y1NzxsltRcELsYE8GXHsAkmzUJxDD1rQH0HxBSzno61tfq52b1aFq55aQBwMF2L1zEwQhhCesc2u5wFYQXuHhd3ZpghiESIt3aY4CW0EUIZdmXWU+FCWhpggEh7PAVhClM4/mKrCV5CMEwVY9WrJO6YnDo0mCEyIH26O5Cmwl2agPIIatyaM1X9BSDrr2aPNwGsfJLPNmahZqP5dE3iRRoXc+SaJCzbLJebp6mrv1aNawpT2aog4GDrB7jyYIQghPWI9m6Uh/vXpYnyPwo9XZA6OD09Pn9we9f/P8ydf+Zn/w/Kj3/O3bveH4dDgoD3q2UdgXHQWFH4WdzZogBiHk4s2aY0lNEEXErAHvpJXkoGYKBIWrJEOQpDOnlsIHCYjyEUJhq05t/d753HGQgCg4IWywnZo5E9T6gpyhLBv1+cOwNTm15gtaykF3XFEL7WymLrw82Ma78opapt7tmPGXilruSCa4kWylopYpUZEkIuShK2qZgpH1UgQvCFbUMhUiq6MIFs9RUcvUSKkyQih02Temwk4qalPl59aZ9hFfNzI5tVxRy1WLTE7Uitr0oqI2dVTUclUjUxTJ0m4Pd1KkSeQn1gE/5ktH5oT2K2q5ghVRMPo2MYN4cyNsS/CALxiZIdi2P8n8ALL9XM3InNFiRS1XqUBFbXpRUQsGi1O+Ykqu49wPsVJBrC2PTXbJln01FbVcscikR66oTW9uRG2JHfPE1hYSVcNheMAZp2PKzZ51ghW1GY0TC9j9mr8gCGGhCztx7aCiVnBAFH5A8JM7G8aBKAZhHY8w5YOX/wVRRJb/HRW1gijUFUgEiLuiVpClsz0AV0WtJB8hNJImTE17AOtjzHLHuXSi4ITYwZ4MuCpqJdmoTyCGrWkPoPmClnLQ17iiNgQrap3HJFgHAwXYvXMTBCGEJ6xza7miVhBe4eF3dmmCGIRIi3dpjopaQRQhl2ZdHTgUJaGmCASHs6JWEKUzj+aqqJXkIwTBVj1avk7p4OlPx7LghMjB9miuilpJNuoDiGFr8mjNF7SUg6492vmZKor5LPPOJ9MzL5nOZ940CmMvL4rgbJ6m6uxc3b0Cj2YNW9qjFdTBwAF279EEQQjhCevRLlfU1nUaj6qH5pwn49bqqtrFvcVr+jfMgtt2wW31z9W71W+qD/Svd6t3vmm8XPWRqRupj4cyJm84jLNvQKW3gsOl8MO1s6sTxCDEZryrc6y9CaKIuLrQt24DHoqSUJMKhiNWmR9bWfqiLJ3ZOsdhUaJ8hLjZqq1bny2UOw6LEgUnhA62rXOV30qyUZ9ADFuTrWu+oKUcdMflt5H/TRvg81EBvLE3TJK0iPNoG/CqC3C5epHVTVin9a+gAJc7kgluJNsowOVKVCSJCHn1aD/2Pe2Q//z6ryI99bUGyQO2YmR9FcESQhW4XIXIaiqK0wMrcLkaKVVJCIX63/OVTWGfrbCTClylwAU3tm5kfmq3ApetFpmdXBW4eJ23+TqRWYnkYy89Z1kcxsAK8zFfOjIN0GtuwyBOssBXQM0tW7AiCsaW1NlkDvgykZmA7fDB4DDka0bmhvYqbdlKd6y0xWs85WukZDHOHeAKCCVbtkxtrTMYjPhikemMVFtrkzjmSawNVziZqyg699Q8nOiJZBp6xXQSelmazYJJGORpfLakACeRjlk0fyIZglPJmEaKRex81V8ShLB6hZ2LXq6p1f95ouedelro6f88XNxbrfbf03PUJ/UUsl7r/0RPEl+rPjIlHWYyaqacZsr6pJ7Lfl5PND+up5wP9U8f/H+Hg9NRbzr53rxX/dbMaBc/MlUg1SPbIO6LDqLCDyJ+jmfDOBDFICzoESZ+4F6AJIrIXgDwPuxDURLqSiSCIw79RNlI+qIkne0EhEkEdL8cyQISgilpCtWwFVCsX4NaON5rKwpOiBzsiQJ8VYeycNQnEAPXsBeAuKKlHPSyxKNQah7PYi9U+dQLw3nu5cFZ4QWBClSa52GhViaoW7sH7xwo6nDgELu3e4IghAiFtXvvGkumzZ62eWZb4bF2Z6/UTu3+hbP7oK72+HLxlv6GMYShChwbAYL8Cs+/s1MTxCDEW4JTM5sKn/g9+3V5QRRIxK9Bbk2Qg5orEBSuVX9Bks7cWgaWbYjiESJhq15t/ZKtwvHWNFFwQuxgezXomg5l0ahPHwatyak1X89SDvoaN0xFfgw6NaB/DB4OHGL3Tk0QhBCfsE6t3ZYpSXiFh9/ZpgliEEIt3qbBLVOSKCIGDWyZkiShJgkER5H4sbKR9EVJOrNojo4pUT5CDGzVo62boAtHV7soOCFwsD2ao2NKlI36/GHYmkxa8wUt5aBrkzYN80maFjNPKf0Hkkk89QpTi5sn8fx8XsTBeTy7ewUmLQFNGlBpDA8HDrF7kyYIQghQWJNm6Zn6pHpYfbm4t1xUW7y1smoXfVCrr/9Q74y+rn/9wLYGV5fwvl/9pnrHq19i9Hb1XvUL/fH31Yd7vTiA9un2RQdQ4QdwZ6MniEGI13ij59g5FUQRMXpgF5UkCTXRIDhUmkLvwJUk6czoge02R7J8hDjaqtFbt9wUjh4qUXBC4GAbPUcPlSgb9fnDsDUZveYLWspBd9xDBa2vxYG7xC/eBrziHiq23u2o8b99DxV7JBPcSLbQQ8WWqEgSEfJWPVTO/im2WmTVPMEMAv1TbIXIGnmKx4P6p9gaKZXnCIUxuJPKVthJ/1ShY2di033E143MTa32T/HVIjNTS/1TfJ3IjETysNvCozxTmZ9bA9YxXzoyBbTdP8UXrIiCd2mbGPBlIjMB290niR9YU8OQrxmZG1rrn+Ir7a5/iq+RksU4d0AY5/omiAqb7JIt+yr6p/hikels9/4pnsTaEqLegWsowAmkYwbNn0RC/VPx6rQLNCkWsesdAFEQwsoVdh4qfiaB6IAo/IDg52o2jANRDMLCHGESB63oi6KIrOiDZxKIolCXFBEgSeaHmRWlL4rS2Zo+fCSBLB8hMpLmQ+41fc20XAJefWIDP5YFJ4QOtuuHjySQZaM+gBg295o+5oKWctDXuBcqBnuh4lVhD2E4cIjdWzdBEEKAwlq3tnuhRPkVnn9npyaIQQi3BKfm7oUSBRLxa/ZeKFEOaq5AULhW8AVJOvNqYC+ULB4hErZq1dQ6s8O9ULLghNjBtmpgL5QsGvXpw6A1ObXm61nKQV/jXqgY7IWKA3fVsc24ohC7d2qCIIT4hHVqrfZCicIrPPzONk0QgxBq8TYN7IUSRRExaFAvlCgJNUkgOOBeKFGSziwa3Asly0eIga16tGyd0+FeKFlwQuBgezS4F0qWjfr8YdiaTFrzBS3loGuTNg+ncZzMMm+mZqGXzJLImyQq9M4nSVSoWTY5T1dPc7cmDeqFigN3xbBlOHCI3Zs0QRBCgMKatMu9UJcOiBodnJ4+vz/o/ZvnT772N/uD50e952/f7g3Hp8NBedCzjcK+6Cgo/Cjs7NYEMQhBF+/WHNufgigibg1aThPkoOYKBIVrOU2QpDOvlgbwepokHyEUturVinVqh9uZZMEJYYPt1eB2Jlk26vOHYWvyas0XtJSD7ridCXRfobviLtkGvOp2Jq7e7ajxl3Ym7kgmuJFso52JK1GRJCLkodqZuGqRRewEKwi1M3EVbrs8yXYmrkZKIThCocO9cRV20s6UKj9PbLqP+LqRuanddia2WmRmaqudia0TmZFIHvZSO1OQBamfAu1MbOnIFNB6OxNbsCIK3qWLYcCXicwEbHefZH4AuHu2ZmRuaK+dia20w3YmtkZKFuPcAWGSm4CQ2mSXbNlX0s7EFotMZy20M7Ek1pYQVT9rKMAJpGMGzZ9Egu1MYUwjxSJ2vogvCUJYucLOQ+XbmSQHROEHBD9Xs2EciGIQFuYIkzhwPV8SRWQ9H25nkkShLikiQFztTJIona3pO9qZRPkIkZE0H2pY0w/X3S+ho51JFJwQOtiu39HOJMpGfQAxbA1r+ogLWspBX+Mi2QRuZ1rFZspwoBC7t26CIIQAhbVu7RbJSsIrPPzONk0QgxBr8TYNLpKVRBGyabGN5FCUhJokEByOIllJks5MmqNIVpSPEANbNWnrxpfQ0cgkCk4IHGyT5iiSFWWjPn8YtiaT1nxBSznoZc/5mSqK+SzzzifTMy8xr5udRmHs5UURnM3TVJ2dq7tXYNLATqbQXTNsGQ4cYvcmTRCEEKCwJs1yYMCXtWt7qK2YaTVfFsou7i1eWx27vl1DW/1z9W71m+oD/evd6p1vGjN3cbhA7fKGwzj7BlBNKzlcCj9cO9s6QQxCdMbbOsfqmyCKiK2DjgcQJaGmFQQHfDyAKElnti6KwXpaUT5C1GzV1q1bZUJH75MoOCFwsG2do55WlI36/GHYmmxd8wUt5aA7rqdVoFFzFwyrbcArr6dl6t2OGn+pp+WOZIIbyVbqaZkSFUkiQt6ynlaPth7TP7/+K1MOmtkkH7AlI0upCI4QLKplKkQWTlGMHlxUy9RIKUdCKIzCwi9sCvtshZ0U1WYZeEYAWzcyQbVcVMtVi0xPrRXVcnUi0xLJyF56zrLASLfW0B3zpSPzAL2oNotiU7gA1dRy9Sqi3l1K6QZ8mchEwHb4YGwY8jUjU0OLNbVcpV3W1HI1UpIY5w5wxYOSLVumptYVC0Z8rchk1kZJLUdibQhRNRyGApxDOibR/HkkWFIbuYuHL5FiETtf8pcEISxeYaei8iW1kgOi8AOCn67ZMA5EMQhrc4QpHLioL4kisqgPl9RKolBXFREgceQXuRWlL4rS2bK+o6RWlI8QGUmzoYZl/ShcrQIvP7GBH8uCE0IH2/Q7SmpF2agPIIatYVkfcUFLOehrfEKAgktqo5g6HDjE7q2bIAghQGGtW+snBEjyKzz/zk5NEIMQbglOreGEAEkgEb9mLVw4FOWg5goEhWP9XpKkM68GnxAgikeIhK1atXWzTOTofhIFJ8QOtlWDTwgQRaM+fRi0JqfWfD1LOehr3Pyk4LraSFGHA4fYvVMTBCHEJ6xTa7f5SRJe4eF3tmmCGIRQi7dpcPOTJIqIQQObnyRJqEkCwZEqv7CW0vRFSTqzaI7mJ1E+Qgxs1aOte2UiR/OTKDghcLA9mqP5SZSN+vxh2JpMWvMFLeWga5OmQv3lWRJ7cTEPvSROU29SaEMXTefxWRIGM/3V3SswaeA7aiN30bBlOHCI3Zs0QRBCgMKaNMsJAT/Qnz5erbLVC2o20H1RUIUH3dmQCWIQ4irekDl2OAVRRAxZZOM4FOWgpgMERRIX9varvihJZ3bM0bQkykeIdq3asXWPS+RoWhIFJ4QNth0DL+pQlo36/GHYmuxY8wUt5aA7blpKQYPlLqpLtwGvummJq3c7avylaYk7kgluJNtoWuJKVCSJCHn4piWuZGStOsEPQk1LXIXbVk+yaYmrkVLvjVDo2vRkKuykaakIwaYltm5kgmq3aYmtFpme2mpaYutEpiWSkb10FwdhkAEv/j7mS0fmgbablth6FVHvLs0KA75MZCJgO/wk8QNrZhjyNSNTQ3tNS2ylHTYtsTVSkhjnDijSHDq/r2SrvoqeJbZWZC5roWeJJbH2g6giWUMBTiEdc2j+NBLsWYrddcCXSLGIna/US4IQ1q6wM1H5niXJAVH4AcHP1mwYB6IYhKU5wgwOXNGXRBFZ0Yd7liRRqIuKCBBXz5IkSmer+o6eJVE+QmQkTYYaVvXjdYtL7OhZEgUnhA6253f0LImyUR9ADFvDqj7igpZy0Ne4ZymFe5bimDocOMTurZsgCCFAYa1b6z1LkvwKz7+zUxPEIIRbglNr6FmSBBLxa0DPkiQHNVcgKBzL95IknXk1uGdJFI8QCVu1ausel9jRsyQKTogdbKsG9yyJolGfPgxak1Nrvp6lHPQ17llK4Z6l1eEmhOHAIXbv1ARBCPEJ69Ta7VmShFd4+J1tmiAGIdTibRrcsySJImLQwJ4lSRJqkkBwOHqWJEk6s2iOniVRPkIMbNWjrVtcYkfPkig4IXCwPZqjZ0mUjfr8YdiaTFrzBS3loGuTNg+ncZzMMm+mZqGXzJLImyQq9M4nSVSoWTY5T1dPc7cmDexZit01w5bhwCF2b9IEQQgBCmvSLD1L2ycyjQ5OT5/fH/T+zfMnX/ub/cHzo97zt2/3huPT4aA86NlGYV90FBR+FHZ2a4IYhKCLd2uO7U9BFBG3Bi2nCXJQcwWCwrWcJkjSmVdLoaqoI1k+Qihs1aut+19iR0OTKDghbLC9muMUJlE26vOHYWvyas0XtJSD7rihKQPdl7viLtsGvOqGJq7e7ajxl4Ym7kgmuJFso6GJK1GRJCLk4RuauJKRdewEPwg1NHEVbls9yYYmrkZKLThCocvCMRV20tCURX6e2HQf8XUjE1S7DU1stcj01FZDE1snMi2RjOyl5ywNdP5X1nBwzJeOzANtNzSx9Sqi3l06GQZ8mchEwHb4KvEDyOFzNSNTQ3sNTWylHTY0sTVSkhjnDgjDvNAe25rYSrbsq+hoYmtFJrMWOppYEmtDiCqhNRTgHNIxiebPI8GOpsRdJXyJFIvY+Tq+JAhh8Qo7FZXvaJIcEIUfEPx0zYZxIIpBWJsjTOHAJX1JFJElfbijSRKFuqqIAHF1NEmidLas7+hoEuUjREbSbKhhWT9ZN8Akjo4mUXBC6GCbfkdHkygb9QHEsDUs6yMuaCkHfY07mjK4oymJqcOBQ+zeugmCEAIU1rq13tEkya/w/Ds7NUEMQrglOLWGjiZJIBG/BpRgSHJQcwWCwrF+L0nSmVeDO5pE8QiRsFWrtu6ASRwdTaLghNjBtmpwR5MoGvXpw6A1ObXm61nKQV/jjqYM7mhKFHU4cIjdOzVBEEJ8wjq1djuaJOEVHn5nmyaIQQi1eJsGdzRJoogYNLCjSZKEmiQQHI6OJkmSziyao6NJlI8QA1v1aOsGmMTR0SQKTggcbI/m6GgSZaM+fxi2JpPWfEFLOejlctqZKor5LPPOJ9MzL5nOZ940CmMvL4rgbJ6m6uxc3b0CkwZ2NCXuomGbZ0Uhdm/SBEEIAQpr0i53NNXrMo+qh3Xt5iurJbXFvcVr+jfM5uh2w1P1z9W71W+qD/Svd6t3vmnMXPWRqdqtD3AyLm84jLNvAK1PksOl8MO1s60TxCBEZ7ytc+yTCqKI2LrQfgbSoSgJNa0gOOJC+XlkQ+mLonTm6xzHOYnyEcJmq75u3SyTOLqfRMEJkYPt6xzdT6Js1AcQw9bk65ovaCkHrf/3d4Z8VY6Z6P/8rcu/tdwNZb3G2rfldtwkVHFizr3awu2oFyr3E5veW2y92zFkx16o97XH+tSsjz1Vgga0J2ln9U7101WX0rpVatnx9HP9O+/u9fTf9vPq/eX3IscKGhM9waG30bzElahIEhHyqveqX5uupV5uWspe7YWpH2R+FETK7y09s75kT3nmj/Q3/rTchjaW+OPlxXzs90I/iK0574ANi6x2J3hBqO2Jq3Db5km2PXE1UirGEQqz1E9tAvtsgSJdT5cyXP+Fg9PTwekqx5Xj469qT1LsHccqMB/CvzJRxUCYjLcXWJPeEZ8RmbToHVJpDHdIsdUik5arQ+rSBTCDd3M5+l9fDbNN9W2+amTqasP6GpgbfQfGMR8DmYaae6cA7Ub2jWcvBERxwqdQRAr0fWRG9uZG2JbgAV8wMtug5w+ICFSaCFSaCFQiI9CQz4fMVbQ+LDj63OEr3bEP69LADy8izx3HI3vKV0zJsax7ZzMzc0edko3QTodWc8RZXwCIYMQnQKZYUt/WX5sRvbkRtSV2zBNbG3nU0caGB5z3OhYC2HNf31rbp2e/QKcaxIkF7H7XQhCEsPyGnT5b3sP2A/3p41VtcL0xYQPdFwVVeFDCTPR3i3v1+0s+Nm9D6VU/rd6ufr3ebekN9+Ogd/wNG+uBKCthaZEwEYU3JQRRRDYlrDPqQ1EO6ooogkKrsr9UqC9K0uWORGwtdj6S5SOExDamZZvJWbFewC4cEzRJcELYQM8oLl3UzLd3Gw5l2ajPH4ataUei+YKWctC1Y0vy4LyYJamX5Cr2kkz/gcksDrw4Cc6yaH4eJPHqae7WsVnD1vN6UkkdDBxg545NEoQQnrCOzVkMXNeMrKtLntTvfXuqp8v8yLJE+Ib+/zgIHM1ckqOi8KOCt3c2jANRDEIIxjs3uEpYEkXEuYFVwpIk1NyB4IhM172NpC9K0pl3yxI/tgb5I1k+QnBs07upYJXql5/YwI9lwQmBg+3dwIs6lGWjPn8YtgbvhrigpRz0NX5fUm4PwNq7AW8ggAcDB9i9dxMEIYQnrHeTf1uS5IAo/IDsbNsEMQjRF2/b4AU3SRQh2wa9LUkShZo3ECBh6CfWNam+KElnvq0I/MjqS49k+QiBsVXftn63jnK8LEkUnBA52L7N8bIkUTbq84dha/JtzRe0lIPu+AwEayDSTixy4V0ucr7qql+uXmTpFNZIXUXVLxc9waG3UfXLlahIEhHyLJW9l9vdULW9XCRktRXB4UG1vVyFyHopvHFz1PZyNVLqjhAK4dpersCrq+1VsSnrTVZFdSpylvWy8ZBZqd2yXrZaZFYilvWqaFPWuxxmm+rbfNXI3NSGlzUwN/oOjGM+BjLP7FDWq7U/eyHgsl42hSJSoO8jM7I3N8K2BA/4gpGJBj0hQASf0gSfEhl8hnw0ZIZqr6KXrbT9it5N0LnjeFpP+YopmZV122xmWe6AU7IRhCt6N8FmfQHgil42ATK7Uit69b2zEbUldswTe333GAqoolfFNE4sYPd7DIIghKU07NS4gz0GwQFR+AHBz0ZtGAeiGISVQsIMFN5jEETpeo9BEIW6xokAce0xCJJciz0GST5CYGxjXraZna3fCqscb/kVBSdEDvSUgrLHIMlGff4wbE17DM0XtJSDvsadWAVY15tQBwMH2L1vEwQhhCesb+N3YkmCKjwo3o9d7sT6pTaiT3ViRb1v2FAPRFEJkbcVzyaIIuLZrPHiUJSDmjAQFCHciCVJ0plhczRiifIRImKrhi1Z5/fEYdgkwQlhg23Y4siPrcssQ1k26vOHYWsybM0XtJSD7rYoJLKacG3BlBMv38a78qIQpl7kxhvWQV1JUQgTPcGht1IUwpSoSBIR8myve7O9IhlZGMLEQu7XESweWBjCVIjcdsM7N1dhCFMjZfsKodBRGMIUeIWFIakpDMnWe7PKXRjCxUNmppYLQ7hqkZmJWhiiLgpDwAMCbvNVI/NTG37WwNzoOzCO+RjIXLNLYYi68eyFcBSGcCkUkQJ9H5mRvbkRtiV4wBeMTDToSQEi+JQm+JTI4DPkoyEzVIuFIVylAoUh6qIwBHxaT/mKKZmVddtsZlrugFOyEaQLQ9SNZy+AozCES4DMruTCEHVzI2pL7Jgntna0qM0IwwPOax0Te/bcFiwMSWmcWMDuNxgEQQjLadjpcQeFIYIDovADgp+R2jAORDEIq4WEGSi8ySCIIrLJ4CgMEUShrnMiQFyFIYIkne0zuApDJPkIgbGNedlmdpaul6VTxwxNEpwQOdBTCkphiCQb9fnDsDXtMzRf0FIO+voWhmjfBhWGZNTBwAF279sEQQjhCevbdigMEQRVeFC8H9suDPlnjftEU97TLvWRed/d76vfxzlYHCKIS4i+rfg2QRQR3wYVhwhyUJMGgiJ0FIcIknRm2lzFIZJ8hKjYqmlbHzOnHOcGioITwgbbtCWRn0KmTZKN+vxh2JpMW/MFLeWgOy4OgZbPnCdC5MU23pUXhzD1IjffsC7qSopDmOgJDr2V4hCmREWSiJC3OSdweUxgb492OmDkB3HW0xfPfBLbWA/YrMiNPILvAytGmAqR+3F4O+eqGGFqpOxrIRQqPVENrCGyz5Z4hTUj5qDA1BwUmK6P6VLugwLZjMis1XLhCFctMmtRC0cuDgpUjoMC2aqRuasNr2tgbvQdGMd8DGQe2qVw5OKgQNVwUCCbQhEp0PeRGdmbG2Fbggd8wch8g54wICJQaSJQaSJQiYxAQz4fMlu1WD3CVSpQPXJxUCD8yJ7yFVOyLOve2UzF3FGnZCNIV49cHBTojjgjPgEyxZKrR8xBgfZoM+aJrd0tasfC8IATX8fMnz35BatHChonFrD7XQhBEMJ6G3b+3EH1iOCAKPyA4KesNowDUQzCciJhNgrvQgiiiOxCOKpHBFGoC6EIkCzXZgbaiRBE6WwnwlU+IslHiIxtzM42c7T18XLKcV6gKDghdKAnFpTyEUk26gOIYWvaiWi+oKUc9PU9L1AbN6B8ZLVHRRgMHGDnxk0ShBCesMato/MCJUdF4UdlV/cmiUEIwXj3Bp8XKIki5N6sGzeHoiTU3IHgCFWq3ZuVpS/K0pl7c5wYKMpHCI9turd0fcBc6jgxUBScEDrY7s1xYqAoG/UJxLA1uDfEBS3loK9x8W8InRiYOo/hsQ0GDrB79yYIQghPWPfGL/6VBFV4ULwhu/xWuLerXz/9VrigdwxU/kqyEkIv3rXBa26SKCKuDaj8leSgZgwERRgkgQ+tuEmydObZHLW/onyEoNiqZ1sfLpc6TgsUBScEDrZnizI/Vza2oSwb9QnEsDV5tuYLWspBd1z7C62hRS68ItjGu+raX65eZP0U1kRdRe0vFz3BobdR+8uVqEgSEfKIpwVian25bMjaK4LTg2p9uQqR1VN4A+eo9eVqpFQhIRS6an25Eq+u1jc1Bwem67O7UvfBgWw8ZIJqt8yXrRaZoIhlvunFwYGp4+BAtmpkmmrD1hqYG30HxjEfA5lydijzTS8ODkwbDg5kUygiBfo+MiN7cyNsS/CALxiZatBzA0TwKU3wKZHBZ8hHQ+ao9ip82Urbr/BNLw4OhJ/WU75iSm5l3TabCZc74JRsBOEK3/Ti4EB3sBnxCZDZlVrhm5qDA+2BZswTW3taVFGJ4QGnt475PXuKC1X4pjGNEwvY/VaDIAhhVQ07S5av8JUcEIUfEPzE1IZxIIpBWDQkzEHh3QZBFJHdBrjCVxKFutyJAHFV+EqidLbf4KjwFeUjRMY2Jmab6dn6oLnUcXKgKDghdKDnFIQKX1E26gOIYWvab2i+oKUc9DWuEYnACt+EOhg4wO6NmyAIITxhjdsONSKCoAoPijdk/JMDJVEJkbcV0yaIImLarPHiUJSDmjAQFO4SEUGWziybq0REko8QE1u1bOuj5lLH2YGi4ITAwbZsjrMDRdmoTyCGrcmyNV/QUg664xIR68a3NmHKiRdu4115iQhTL3LvDeuhrqREhIme4NBbKRFhSlQkiQh5jLMDUWUiTD7k3h3B7YFlIkyFyC04vIlzlYkwNVK2shAKnWUiTIlXWCZijhFM1yd5pe5jBNl4yCTVcpkIVy0ySVHLRC6OEUwdxwiyVSNTVRvW1sDc6DswjvkYyLSzS5nIxTGCacMxgmwKRaRA30dmZG9uhG0JHvAFI1MNen6ACD6lCT4lMvgM+WjIHNVimQhXqUCZyMUxgvDTespXTMmtrNtmM+lyB5ySjSBdJnJxjKA72Iz4BMjsSi4TMccI2gPNmCe29rSonQnDA05xHXN89jQXLBNJaZxYwO53GwRBCCtr2JlyB2UiggOi8AOCn5zaMA5EMQgLh4Q5KLzjIIgisuPgKBMRRKEueSJAnGUigiid7Tm4ykQk+QiRsY2J2WZ6tj52LnWcIygKTggd6DkFpUxEko36AGLYmvYcmi9oKQd9jctEgJO0tHHLqIOBA+zeuAmCEMIT1rjtUCYiCKrwoHhDtts5gpK4hOjbinETRBExblCpiCAHNWkgKNylIoIsndk2V6mIJB8hLrZq29YHz6WOkwRFwQmBg23bHCcJirJRn0AMW5Nta76gpRx0x6UiiQ1PGzHnkRFFtI135aUiTL3I/Tesj7qSUhEmeoJDb6VUhClRkSQi5K1PEgyD5VGCYeYHmR8FkfLJZwpG0V4v9oPQmuoO2MzIPT2CAwTLR5gKkVtzeGPnKh9haqRscSEUpimwEtVnK7zC6hFzoGBmDhTM1sd5pe4DBdmMyOTVcgkJVy0yeVFLSC4OFEwdBwqyVSNTWBuW18Dc6DswjvkYyHS0SwnJxYGCacOBgmwKRaRA30dmZG9uhG0JHvAFI9MNet6AiECliUCliUAlMgIN+XzIZNViHQlXqUAdycWBgvAje8pXTEmyrHtnMyNzR52SjSBdR3JxoKA74oz4BMgUS64jMQcK2qPNmCe2NreorQvDA85/HQsA7DkwWEdS0DixgN1vRwiCEJbdsNPoDupIBAdE4QcEP3O1YRyIYhBWFQmTUXg7QhBFZDvCUUciiEJdD0WAFH6RQPsRgiSd7Ue4ykgk+QiBsY3J2WaKtj5+LnWcJygKTogc6HkFpYxEko36/GHYmvYjmi9oKQd9jc8TTKAyksx5PI9tMHCAnfs2SRBCeML6to7OE5QcFYUflV3NmyQGIQTjzRt8nqAkipB5i20kh6Ik1NyB4AgLP88TG0pfFKUz8+Y4TlCUjxAd2zRv2fr0ucxxnKAoOCFysM2b4zhBUTbqA4hhazBviAtaykHX5m2m5mdFkBfedK6Ul0znuTZ609gLzqM8nURn0+lE3b0C82aNwNq8Oc/psQ0GDrB78yYIQghPWPN2uQZYu7mH1ZeLe+sCiNXKWvWR/olHdUXE8us/1KexvK5//eBZU7esmviyemJqWX5TvePV63RvV+9Vv9Aff199uNeLA2hJaF90ABV+AHf2eYIYhGiN93nwIp0kiojPC31lIzkUJaGmGQRHUfjQGp0kSWc2L4z8KLXxHcnyEeJoqzZvfWBd5jiBUBScEDjYNk9fVGVdeB3KslGfPwxbk81rvqClHHTHNcPKhqeNW+TEi7fxrrpmmKsXWXCF9V1XUTPMRU9w6G3UDHMlKpJEhDz6CYQNlcFcMmSpFsHnQZXBXIXIYiuKfQMrg7kaKUVLCIWOymCuwqurDM7M8YPZ+gSwzH38IBsPmZ3aLQpmq0VmJ2JRcHZx/GDmOH6QrRqZo9rwtAbmRt+BcczHQOabHYqCs4vjB7OG4wfZFIpIgb6PzMje3AjbEjzgC0ZmGvTEABF8ShN8SmTwGfLRkCmqvXpgttL264Gzi+MH4af1lK+YklpZt81mtuUOOCUbQbgeOLs4ftAdbEZ8AmR2pdYDZ+b4QXugGfPE1pYWVYNieMC5rWNyz57fQvXAWUzjxAJ2vzUhCEJYUsNOkeXrgSUHROEHBD8rtWEciGIQVgwJU1B4q0EQRWSrAa4HlkShrnUiQBz1wJIkne01OOqBRfkIgbGNedlmdrY+rC5znD4oCk6IHOgpBaEeWJSN+vxh2Jr2GpovaCkHfY1LShRYD5xQBwMH2L1vEwQhhCesb7uGJSWCA6jwA7izzxPEIETrVnyeIIqIz4NLSgRJqGkGweEqKREk6czmuUpKJPkIcbRVm7c+4C5znFgoCk4IHGyb5yopkWSjPn8Ytiab13xBSznojktKrA+qNm7KiZds4115SQlTL3K7Duu7rqSkhIme4NBbKSlhSlQkiQh5vBMLm8pKmHTIzT6C1wPLSpgKkXt2FAsHl5UwNVL2vhAKXWUlTIVXWFZijivM1ieGZe7jCtl4yAzVclkJVy0yQ1HLSi6OK8wcxxWyVSPzVBu+1sDc6DswjvkYyJyzS1nJxXGFWcNxhWwKRaRA30dmZG9uhG0JHvAFIzMNenKACD6lCT4lMvgM+WjIFNViWQlXqUBZycVxhfDTespXTEmtrNtmM+NyB5ySjSBdVnJxXKE72Iz4BMjsSi4rMccV2gPNmCe2trSorQzDA85vHRN89hwXLCtJaZxYwO63JwRBCMtq2GlyB2UlggOi8AOCn5naMA5EMQirhoQpKLzdIIgist3gKCsRRKGudyJAXGUlgiSd7Te4ykok+QiBsY152WZ2tj7cLnOcVigKTogc6CkFpaxEko36/GHYmvYbmi9oKQd9jctKUrCsJKMOBg6we98mCEIIT1jfdg3LSgQHUOEHcGefJ4hBiNat+DxBFBGfB5eVCJJQ0wyCw1VWIkjSmc1zlZVI8hHiaKs2b30YXuY43VAUnBA42DbPVVYiyUZ9/jBsTTav+YKWctD6f3+3t8xpf+uycS2Xl2Q2TG3gnOdYRPk2ZmflJcqm9xZbL3LbDuu/2ikvMWbLvFF28Zr5C8x/tSH7vHrQXGnCHIUENwqtVJowJSqSRIS89YGHvXx14GHKPPAw9IPYOhE+YMMitwMJbhAsPGEqRO7qUUweXHjC1EjZHUMojPQdAvo3psQrrDwxRx3m5qjDfH3QWOY+6pDNiMxg9PITFeRw+QlXLTKDUctPLo46zBxHHbJVI/NYG/7XwNzoOzCO+RjIRLRL+cnFUYdZw1GHbApFpEDfR2Zkb26EbQke8AUj8w16EoGIQKWJQKWJQCUyAg35fMhsRatBgaPPHb5SgRqUi6MO4Uf2lK+YkmVZ985meuaOOiUbQboG5eKoQ3fEGfEJkCmWXINijjq0R5sxT2xt5UN1np0lsRcX89BL4jT1JsVZ4UXTeXyWhMFMf7XkASfBjtUA9kQYrEEpaJxYwO73MgRBCGtw2Ln05b2MxQ/0p4/NRFl/u96YsIHui4IqPChhLvq7xT2zNKA5H+qpaPXT6u3q19UH1W+qd6t3esP9OOgdf8PGeiDKSlhfJExF4Y0JQRSRjQnrZPBQlIO6LIqg0JJ88KAcQZTO9iWi2I8LG9+RLB8hJrYxL9vMztaH4mWOUw5FwQlxAz2luHRRMz9XNrahLBv1AcSwNe1LNF/QUg56WTY8meTTeFp4WRonXhKcF95EzfSHIApn81j/RetJb7eWDSg/yZ2nBtkGAwfYuWWTBCGEJ6xlc55yuKoK/uu4etxbnme4eCNSPXg3QxJe4eHxNs6GcSCKQYi0eIcGH2YoiSLi0MDDDCVJqCkCwZEmfmGvreiLonTm0RyHGYryEYJgmx4tX599lzsOMxQFJ0QOtkdzHGYoykZ9ADFsDR4NcUFLOehr3NqVQYcZ5s4jf6yDgQLs3qMJghDCE9ajybd2SQ6Iwg/Izr5NEIMQffG+DV5Zk0QR8m1Qa5ckCjVvIEDiyE9SawTsi6J0ZtwcvV2ifITI2KpxW59mlzuOJxQFJ4QOtnFz9HaJslEfQAxbk3FrvqClHHTH75KzPqjaikUuvEJt4111sS9XL7JICuukrrjYlzsKCW4U2ij25UpUJIkIecSTCh0lvVwkZIkVwe1BJb1chcgiKbyJc5T0cjVSio0QCl0lvVyJV1fSm5szCvP1MWG5+4xCNh4yRbVbzctWi0xRxGre/OKMwtxxRiFbNTJRtWFsDcyNvgPjmI+BzDQ7VPPmF2cU5g1nFLIpFJECfR+Zkb25EbYleMAXjEw16NkBIviUJviUyOAz5KMhc1R7hbxspe0X8uYXZxTCT+spXzElt7Jum82Uyx1wSjaCcCFvfnFGoTvYjPgEyOxKLeTNzRmF9kAz5om9vjsOOVTIm8c0Tixg9zsOgiCEdTXsPLmDHQfBAVH4AcHPR20YB6IYhGVDwhwU3nEQROl6x0EQhbrgiQBx7jgIolyLHQdJPkJkbGNitpmerc+0yx2HFIqCE0IHek5B2XGQZKM+gBi2ph2H5gtaykFf4w6sHCznTaiDgQPs3rgJghDCE9a48TuwJEEVHhRvyC53YP1SO9GnOrCi3jdsqAeiqITI24ppE0QRMW3WeHEoykFNGAgKVwOWJEpnjs3RgCXKRwiJrTq29fF0ueO8QVFwQtxgOzZ908bWhZahLBv1AcSwNTm25gtaykF3XCNifVC1B1NOvHQb78prRJh6kVtvWAt11TUizFFIcKPQSo0IU6IiSUTIYxw96KoTYWIhN+8Idg+sE2EqRO7B4V2cq06EqZGyl4VQ6KwTYUq8wjoRc+hgvj73K3cfOsjGQ6aplutEuGqRaYpaJ3Jx6GDuOHSQrRqZrNowtwbmRt+BcczHQGabXepELg4dzBsOHWRTKCIF+j4yI3tzI2xL8IAvGJlq0DMERPApTfApkcFnyEdD5qgW60S4SgXqRC4OHYSf1lO+YkpuZd02m2mXO+CUbATpOpGLQwfdwWbEJ0BmV3KdiDl00B5oxjyxtadFbU0YHnCS65jlsye6YJ1ISuPEAna/3SAIQlhbw86VO6gTERwQhR8Q/JzUhnEgikFYOiTMQeEtB0EUkS0HR52IIAp10RMB4qwTEUTpbNfBVSciyUeIjG1MzDbTs/Uhdbnj1EFRcELoQM8pKHUikmzUBxDD1rTr0HxBSznoa1wnUoB1Ihl1MHCA3Rs3QRBCeMIatx3qRARBFR4Ub8i260T+WeM+0ZT3tE19ZN569/vq93EO1ooI4hKibyvGTRBFxLhBtSKCHNSkgaBw1ooIonTm2ly1IpJ8hLDYqmtbnzmXOw4RFAUnxA22a0siP4VcmyQb9QHEsDW5tuYLWspBd1srYt/71j7MeTJEkW3jXXmtCFMvcvsNa6OuulaEOQoJbhRaqRVhSlQkiQh568MDw2B1eGDGPDww8oMo2uvFfhBas94Bmxm5u0fwgmAhCVMhcpMOb/FchSRMjZTNLozCIFZ+aF2V6rM1XmEliTlEsDCHCBbrI7xy9yGCbEZkJmu5nISrFpnJqOUkF4cI5o5DBNmq</t>
  </si>
  <si>
    <t>kfmsDf9rYG70HRjHfAxkQtqlnOTiEMG84RBBNoUiUqDvIzOyNzfCtgQP+IKRCQc9iUBEoNJEoNJEoBIZgYZ8PmS6arGmhKtUoKbk4hBB+JE95SumpFnWvbOZnrmjTslGkK4puThE0B1xRnwCZIol15SYQwTt0WbME1vbW9Q2huEBJ8OO1QD2hBisKSlonFjA7rcmBEEIa3DYOXUHNSWCA6LwA4Kfu9owDkQxCEuMhOkovDUhiCKyNeGoKRFEoS6OIkBCpfwoy2wsfVGWzrYnXEUlknyE0NjG9GwzSVsfPZc7zhIUBSfEDvTMglJUIslGfQIxbE3bE80XtJSDvr5nCWrnBhSVFAF5MFCAnTs3SRBCeMI6t3bPEpSEV3j4XV2aJAYh0uJdGnyWoCSKkEuzVsseipJQUwSCIw4DX6nExtIXZenMpDkOExTlI0TBNk1asT57rnAcJigKTggdbJPmOExQlI36BGLYGkwa4oKWctC1SZuG+SRNi5mnlP4DySSeesV0PvPyJJ6fz4s4OI9nd6/ApFlDsDZpzgN6bIOBA+zepAmCEMIT1qRdrvzVru1h9eXi3rrYYWXVqo/0Tzyqqx+WX/+hPnvldf3rB/rXK8sf199bvWPDVLFU71e/qd7x6hW5t6v3ql/oj7+vPtzrxQG0+LMvOoAKP4A7Gz1BDEK0xhs9eDlOEkXE6IW+dYXnUJSEmmYwHHka65wJOT1BmM6cXhj59mOxj2T5CKG0Vae3PqyucJw+KApOiB1sp6cvqrI+gUNZNuojiGFrcnrNF7SUg+64WhjYGi0iJ96lwxWvulqYq3c7ZvzLrhbmjkKCG4U2qoW5EhVJIkIe8fTBZ2qC775sgztgwyGrtAjGDyoL5ipE1llR/BxYFszVSKlXwih0lQVzNV5dWXBhDiIs1meBFe6DCNl4yGzVbkUwWy0yWxErgouLgwgLx0GEbNXInNWGxzUwN/oOjGM+BjLp7FARXFwcRFg0HETIplBECvR9ZEb25kbYluABXzAy16AnCojgU5rgUyKDz5CPhkxS7RUDs5W2XwxcXBxECD+tp3zFlOTKum02sy93wCnZCMLFwMXFQYTuYDPiEyCzK7UYuDAHEdoDzZgntja1qPITwwPOdR2TffZ8FyoGLmIaJxaw+90KQRDCEht2yixfDCw5IAo/IPipqQ3jQBSDsIJImITCuw+CKCK7D3AxsCQKde0TAeIsBpZk6Wz3wVEMLMpHCI1tzMw287P1wXWF4yRCUXBC7EBPKgjFwKJs1CcQw9a0+9B8QUs56GtcZxKCxcAJdTBwgN07N0EQQnjCOrdrWGciOIAKP4A7Oz1BDEK0bsXpCaKIOD24zkSQhJpmMBzuOhNBmM6cnqvORJKPEEpbdXrrA+8KxwmGouCE2MF2eq46E0k26iOIYWtyes0XtJSD7rjOBPJuyolXbONdeZ0JU+92zPgXXmfCHIUENwqt1JkwJSqSRIQ8xgmGze+f49IhN/8Izg8sNGEqRO7hUQwdXGjC1EjZC8ModBaaMDVeYaGJOcmwWB8mVrhPMmTjIdNVy4UmXLXIdEUtNLk4ybBwnGTIVo1MWm2YXANzo+/AOOZjILPOLoUmFycZFg0nGbIpFJECfR+Zkb25EbYleMAXjMw16JkCIviUJviUyOAz5KMhk1SLhSZcpQKFJhcnGcJP6ylfMSW5sm6bzfTLHXBKNoJ0ocnFSYbuYDPiEyCzK7nQxJxkaA80Y57Y2tSitjYMDzjZdcz22RNesNAkpXFiAbvfrhAEIayxYefMHRSaCA6Iwg8Ifm5qwzgQxSAsIRImofD2gyCKyPaDo9BEEIW6+IkAcReaCLJ0tv3gKjSR5COExjZmZpv52frku8JxlKEoOCF2oCcVlEITSTbqE4hha9p+aL6gpRz0NS40icBCk4w6GDjA7p2bIAghPGGd2zUsNBEcQIUfwJ2dniAGIVq34vQEUUScHlxoIkhCTTMYDnehiSBMZ07PVWgiyUcIpa06vfVpeYXj+ENRcELsYDs9V6GJJBv1EcSwNTm95gtaykF3XGgS2/C0d3OdaZEEwTbelReaMPVux4x/4YUmzFFIcKPQSqEJU6IiSUTIWx9/2FueftjbIx96GGc9fR3NJ9aH6IDNitwKJPhAsOyEqRC5o0exd3DZCVMjZWcMoVAp5efW+qI+W+IVVp0Ue8dGmP6wPnOscJ96yGZEJrCWS0+4apEJjFp6cnHqYeE49ZCtGpnG2rC9BuZG34FxzMdA5qFdSk8uTj0sGk49ZFMoIgX6PjIje3MjbEvwgC8YmW/QcwdEBCpNBCqNqBIZgYZ8PmS2arH+hKtUoP7k4tRD+JE95SumZFnWvbOZlbmjTslGkK4/uTj10B1xRnwCZIol15+YUw/t0WbME1u7W9SOh+EB58CORQD2PBisPylonFjA7ncxBEEIS2/YqXQH9SeCA6LwA4KfstowDkQxCCuLhNkovCshiCKyK+GoPxFEoa6JIkDy2I/zxIbSF0XpbFPCVX4iyUeIjG3MzjZztPUZeYXj0ENRcELoQE8sKOUnkmzUBxDD1rQp0XxBSznoa3zoYQyUnySB63Ah+2CgALs2bqIghPCENW6tHnooCq/w8DuaNFEMQqTFmzTw0ENRFCGTZt2fORQloaYIBEeYpn6WZjaWvihLZyYNPvRQlo8QBVs0aUZ1ndNXn9jAj2XBCaGDbdLgQw9l2ahPIIbNbdIwF7SUg65Nmgr1l2dJ7MXFPPSSOE29SXFWeNF0Hp8lYTDTX929ApNmrzNJAte5QNbBwAF2b9IEQQjhCWvSLtcIL36gP31sqlD0t+uCXxvoviiowoPiDVn1u8U9U3ejOR8uXu1VP63ern5dfVD9pnq3eqc33I+D3vE3bKwHoqyE0It3beDSmiiKiGuzpoxDUQ5qxkBQhPp/fmZdeOqLsnTm2SId261lMUeyfISg2KpnC9cpHj6+UBacEDjYni3K/FzZ2IaybNQnEMPW5NmaL2gpB91xtW9iw9MuLHLihdt4V1zty9aLLJPCmqirrfZlj0KCG4UWqn3ZEhVJIkIe/fjCpupeNhuy2opg+oDqXrZCZL0U3svB1b1sjZS6I4RCR3UvW+KVVfcmQWwKe1fnh2n9rsJePh4yV7Va2MtXi8xVtMJeLWdd2LsaZpvq23zVyIzVhsM1MDf6DoxjPgYy5fALe432Zy8EWNjLp1BECvR9ZEb25kbYluABXzAy1aCnCYjgU5rgUyKDz5CPhsxRrdX08pW2XtN7EXTuOJ7WU75iSm5l3TabuZc74JRsBNma3otgs74AYE0vnwCZXYk1vebe2YjaEjvmia09LaqMxPCAM13HVJ892wVqenWIonFiAbvfdRAEISywYSfM4jW9ogOi8AOCn5jaMA5EMQjrh4Q5KLzxIIgisvEA1vSKolBXPhEgjppeUZTOth7gml5ZPkJkbGNitpmexeuVavjsQllwQuhAzynwNb2ybNQHEMPWtPXQfEFLOehrXC6SgDW9CXUwcIDdGzdBEEJ4whq3HcpFBEEVHhRvyC6Xi/xSO9GnykWiHlQtIohKiLytmDZBFBHTZo0Xh6Ic1ISBoHBXiwiydGbZXNUiknyEmNiqZUvWGR4+hFAWnBA42JYtjvzYutIylGWjPoEYtibL1nxBSznojqtFlA1PmzDlxIu28a68WoSpF7n3hvVQV10twhyFBDcKrVSLMCUqkkSEPN4hhM0VI0w+5DYewfiBFSNMhcjdOLyfc1WMMDVSdrUQCp0VI0yJV1gxkpqKkWy9aes8hZCPh8xXLVeMcNUi8xW1YkRdVIzApxDyVSOzVhsu18Dc6DswjvkYyLSzS8WIuvHshXBUjHApFJECfR+Zkb25EbYleMAXjEw16KkCIviUJviUyOAz5KMhc1SLFSNcpQIVI+qiYgQ+hZCvmJJbWbfNZv7lDjglG0G6YkTdePYCOCpGuATI7EquGFE3N6K2xI55YmtPi9qkMDzgbNcx3WfPeMGKkZTGiQXsfuNBEISwyIadNHdQMSI4IAo/IPjJqQ3jQBSDsIZImIPCmw+CKCKbD46KEUEU6uonAsRZMSKI0tn2g6tiRJKPEBnbmJhtpmfperUaPoRQFpwQOtBzCkrFiCQb9QHEsDVtPzRf0FIO+hpXjCiwYiSjDgYOsHvjJghCCE9Y47ZDxYggqMKD4g3ZdsXIP2vcJ5rynrapj8xL8H5f/T7OwaoRQVxC9G3FuAmiiBg3qGpEkIOaNBAU7qoRQZbObJurakSSjxAXW7Vt2TrLwycKyoITAgfbtiWRn0K2TZKN+gRi2JpsW/MFLeWgO64aSW142oi5z4uIt/GuvGqEqRe5/4b1UVddNcIchQQ3Cq1UjTAlKpJEhDzS+YGhH9jfinnABkLu3RGcHlgmwlSI3ILDGzhXmQhTI2UrC6Mwjv3MprDPVniFVSLm1MDQnBoYhuvdWuepgXxGZJJquVSEqxaZpKilIvlFqQh8aiBfNTJVtWFtDcyNvgPjmI+BzDW7lIrkN569EI5SES6FIlKg7yMzsjc3wrYED/iCkekGPT9ARKDSRKDSRKASGYGGfD5ksmqxXoSrVKBeJL+oF4FPDeQrpiRZ1r2zmXm5o07JRpCuF8lvPHsBHPUiXAJkiiXXi+Q3N6K2xI55Ymtzi9qiMDzgPNcx0WfPdcF6kYLGiQXsfttBEISwvIadLndQLyI4IAo/IPhpqQ3jQBSDsHpImIzC2w6CKCLbDo56EUEU6ronAiQK/EBZUfqiKJ1tPLjqRST5CJGxjdnZZo5WrNep4VMDZcEJoQM9saDUi0iyUR9ADFvTxkPzBS3loK/xqYEpVC8Suk/nsQ0GCrBz4yYJQghPWOPW7qmBkvAKD7+rSZPEIERavEmDTw2URBEyabGN5FCUhJoiEByJdpvWSWpflKQzi+Y4M1CUjxAD27Ro4fqIudBxZqAoOCFwsC2a48xAUTbq84dha7BoiAtaykFf45LeFDozMHQfxmMZDBxg9xZNEIQQnrAWjV/SKwmq8KB4O7bDmYGSrITQi/ds8MKaJIqIZwPqeSU5qBkDQ5FmfmIj6YuSdObYHNW8onyEkNiqY1sfMBc6TgwUBSeEDbZjc5wYKMpGff4wbE2OrfmClnLQHVfzWmvXtAeLnHjJNt5VV/Ny9SJLpLAW6oqrebmjkOBGoY1qXq5ERZKIkEc8MdBRz8tFQhZYEZweVM/LVYgskcIbOEc9L1cjpdQIoxCu5+UqvLp63tCcExiuj+oK3ecEsvGQGardUl62WmSGIpbyhhfnBIaOcwLZqpF5qg1fa2Bu9B0Yx3wMZKLZoZQ3vDgnMGw4J5BNoYgU6PvIjOzNjbAtwQO+YGSmQU8OEMGnNMGnRAafIR8NmaLaq+JlK22/ije8OCcQflpP+YopqZV122xmXO6AU7IRhKt4w4tzAt3BZsQnQGZXahVvaM4JtAeaMU9sbWlRhSOGB5zfOib47DkuVMUbxjROLGD3Ow2CIIRlNew0Wb6KV3JAFH5A8NNRG8aBKAZh1ZAwBYU3GwRRRDYb4CpeSRTqeicCxFXFK4nS2YaDo4pXlI8QGduYmG2mZ+tj5ULHOYGi4ITQgZ5TEKp4RdmoDyCGrWnDofmClnLQ17hEJAOreBPqYOAAuzdugiCE8IQ1bjuUiAiCKjwo3pDxzwmURCVE3lZMmyCKiGmzxotDUQ5qwsBQOCpEBEk6M2yuChFJPkJEbNWwrQ+VCx2nBIqCE8IG27A5TgkUZaM+fxi2JsPWfEFLOeiOK0SsMyttwZQTT23jXXmFCFMvcucN66CuukKEOQoJbhRaqRBhSlQkiQh5jFMCXVUiTCzk3h3B7YFVIkyFyC04vIlzVYkwNVK2sjAKHVUiTIVXWCVizgYM18dzhe6zAdl4yCzVcpUIVy0yS1GrRC7OBgwdZwOyVSNzVRve1sDc6DswjvkYyGSzS5XIxdmAYcPZgGwKRaRA30dmZG9uhG0JHvAFIzMNeoKACD6lCT4lMvgM+WjIFNVilQhXqUCVyMXZgPDTespXTEmtrNtmM+tyB5ySjSBdJXJxNqA72Iz4BMjsSq4SMWcD2gPNmCe2trSojQnDA85xHZN89jwXrBJJaZxYwO43GwRBCEtr2KlyB1UiggOi8AOCn5LaMA5EMQgrh4QpKLzhIIgisuHgqBIRRKGueSJAnFUigiidbTq4qkQk+QiRsY2J2WZ6tj5KLnScDSgKTggd6DkFpUpEko36AGLYmjYdmi9oKQd9jatEcrBKJKMOBg6we+MmCEIIT1jjtkOViCCowoPiDdluZwNK4hKibyvGTRBFxLhBlSKCHNSkgaFwVIoIknRm2lyVIpJ8hKjYqmlbHyQXOk4GFAUnhA22aXOcDCjKRn3+MGxNpq35gpZy0Pp/f/f042rM2N+63FnLpSPWJ1f7MtchEXEcbPN2VDoSBvYVwFtswcj9OLSvulTwcf+iMORZi7V4s3q8t227nnjamD3Qf+KH1f3lj/T033K//is+rp7oz5+Yb93rVV/qzx9Un9bH2r1inI3+ql5r0z/xWU9/+GRrbc58e1moYr7zaPFjv6f/+JNeFNRv8V2VrXy8eFM7o2Xpy2fLH0h6dS3Fq/U//rFt+PfZw5/ghr+VohWmREWSiJCHqURhakXuDxLcJFiJwlSI3ObDm0RXJQpTI2W7DKMwzHzrqlafrfAKK1HM+YOROX8wWp/+FbrPH2QzIjMfvRwlz2K4HIWrFpn5qOUoF+cPho7zB9mqkemvDQNtYG70HRjHfAxkGtmlHOXi/MGw4fxBNoUiUqDvIzOyNzfCtgQP+IKR6QY9C0FEoNJEoNJEoBIZgYZ8PmSyotWkwNHnDl+pQE3KxfmD8CN7yldMSbKse2czv3NHnZKNIF2TcnH+oDvijPgEyBRLrkkx5w/ao82YJ7Y2t7F5h3oRe3mQnHmJSifeJJjOvXgaBUUyPYuz89VNBU6eHcsJ7Ak0WJNS0DixgN1vbQiCEBbxdpqCYzc3BFEVHhU/l7RhHIhiEFYfCdNMeNNCEEVk0yIED60RJKEumyI44iCNwGmrIEpn+xa5nykb3pEsHiHitTHr2sy91sfQhY5zBUXBCYEDPWG4VEAEOOuhLBr18cOgNe1aNF/PUg669mPTeDoJ8zDw4jCde0kY5l4RzKfebB4VZ2qWx0G2uubd+jGg1CRyHeBjHQwcYOd+TBKEEJ2wfux9s29Qv7f70eIn9cGCi7cWP6w3JD6ujxY0c/jq/eq3qQ13XxRX4XF39WSSGITQSvBkZpviE79n71N+QRRIxpnZOA5FOaiJAUMB7yZIknRmy8LUD6wR/EiWjxD52vRl0frsuchxmKAoOCF4sH0ZeFGHsmzU5w/D1mDMEBe0lIO+xs1bBXSYYOQ6p8fuUlGA3RszQRBCeMIaM/nmLckBUfgB2dm6CWIQoi/BuoHLaZIoIqYNbt6SRKHmDQSItm1pZiPpi5J05tscvVuifITA2KpvW59AFzmOFBQFJ0QOtm9z9G6JslGfPwxbk29rvqClHLQpA95blkN2WP2bWK+tdmSREzPcxuyu+jexCb7FFowsf8I6qn9t1b/6k16yF4TLH80RdcDcC5HgLgStDlh71gfGxi6H6+FqoN9a/JNmuGfeCmdAP31m5FbDbS7LF8tR822gX2ODKhIoBvK96te9P7/+q164vF5R5gf6cQkitffMO++Cu3dftqEcsFGQ1V8E2woVG3MVIuu38G7UUWzM1bid6nYsNo4yHdatK519tsSrqzaOzOmIUWI+KPMhXRX8Re5zEtmgyHRLLzkuVAKWHLPVItMtseQ4ujgnMXKck8hWjcy5bZh1A3Oj78A45mMgM9YOJcfRxTmJUcM5iWwKRaRA30dmZG9uhG0JHvAFI5MOesaDCEOlCUOlCUOlCUMlMgwN+ZDIvEWrO4ZD0B2+0vbrjqOLExPh5/aUr5iSb1k30GZC6Q49JRtBuO44ujgx0R12RnwCZJ6l1h1H5sREe8gZ88TWPhdVE2N4wGm7Y/2CPXWH6o6jmMaJBex+O0UQhLBquNPkH1l3LImq8Kj4WacN40AUg7DcSZhxwhslgigiGyVg3bEkCXWdFsGRBSr1U2stWF+UpbOdErjwWBSPEPLamHttZmDrk/Mix1GIouCEyIGeNuALj0XRqM8fBq1pn6T5epZy0LUhO5+FZ2mUFF6a5LGXpHni5dG88M5mwVlxFkyDeXB29woMmdV4akOWUAcDB9i9IRMEIUQnrCH7wGxWLG3Y9jk8tRX75vrcntUuyuqomCfatD1crf5/bPZhVr9R/3AYLN4wv4I96173vugYKfwY7ezkBDEI8Zjg5MC9A0ESISMHFSoLklATCYIjKnJfKWgrQpClMyOXZn5kNapHsnyEWNmqk1sfqRc5zkgUBSdEDraTAy/qUJaN+gRi2JqsXPMFLeWgr28PmbZy1rm0tnKKOhg4wO6tnCAIITxhrdzOPWSCuAqPu7MrE8QgxFaCK2vqIRMEkjFnNo5DUQ5qYkBQOItEBFE6c2auJjJJPkLoa9WZqXUid5z1JwpOiB5sZ+ZqIpNkoz6AGLYmZ9Z8QUs56NqZ5WkezbKzzJvGWaBd3PzcK2bJ1IuLOCjOi8kknq82/7t1ZoltMLQzS6mDgQPs3pkJghDCE9aZXW4iq35a/bL6sPpd9Z5XvWP+o794W3/2YW3SbND7otAKD72zPxPEIERYgj+D9z8FUUScWeCv4uFlcyaIQs0NCJA083NlnX/2RVG6M2dBCGzwHskCEsJfq+5sfSpU5DjmSxScEDv47iwI4D1QSTjqI4iBa7JnzVe0lIM2/sxlu1ruEYPKzDIHXhKk23hX3yPGFLwdNf7SI7ZrjxjzQiS4C3GNesSYoIoEioFc94gly+sVJH6Q0XrEmCjbmUewR4ypEFlrjzeirh4xpkZKzTpCYRyYIxltEvtsiVfYI5abzjBzLEVsjqWI1y+FjzJ3jxgXFJluW+4R46pFpltqj1h20SMGnpp1m68amXPbcOkG5kbfgXHMx0BmrF16xLIbz14IR48Yl0IRKdD3kRnZmxthW4IHfMHIpIOe6iDCUGnCUGnCUGnCUIkMQ0M+JDJvtdgjxlUq0COWXfSIgc/tKV8xJd+ybqDNRNIdeko2gnSPWHbj2Qvg6BHjEiDzLLlHLLu5EbUldswTe313S4BSQj15d53BYeHEAna/WyIIQlguxE7+W9otEYRWeGj8/NOGcSCKQVjxJMw94d0SQZSud0sEUahLtQiQTPlxYkXpi6Jcj90SSUBC+GtjHraZjeXrtXXHQYGi4ITYgZ5CkHZLJOGojyAGrmm3pPmKlnLQ17jMOAQ7xgrqYOAAu7dngiCE+IS1ZzuXGQviKjzuzsZMEIMQXAnGrKnMWBBIxJ5BZcaCHNTEgKBw7jMIonTnzRxlxpJ8hNDXqjVbnzkVOc4QEwUnRA++NXOUGUuyUR9ADFuTM2u+oKUc9DXu5QdepvJ8ErsO7rAOBg6wc2cmCUIIT1hndiW9/JJjpPBjtKudk8QgBGSCnYNqPCRJZHwc1MsvSUJNJAiOOA59ZT/Quy/K0pmVc/Tyi/IRYmWbVi5en1IVO44dEwUnRA62lXP08ouyUZ9ADFuDlUNc0FIO+hq/JzOEOsZi11ke1sHAAXZv5QRBCOEJa+V2eU+mJKrCo+7syAQxCHGV4MjAnU9JFCFLZp3aHYqSUBMCgiPLY+XnkCUTZOnMksHvyRTFI4S8Vh3Z+vyp2HGgmCg4IXKwHRn8nkxRNOrzh0FrMmTN17OUgzbnif3jU04EdFzfm8++/+K3X7YMBMtwARuaceTgjONomxNqFoPVUmzURb+YVe4tttzt28wxuEiz9D+rh3Vn13ID8kHde1R9ZJp4Fm/WrTvL/p3lia1vmAal+scfblrKbIDaR0XP9dmUlyIkjLlbgFz2d8TmDKDY9HckkflgDgJKcihAcpkSOhO+bNaAnBiQEwNyYkBODMgJBHLCB1F0EHz1rOYYGI6B4RgYjoHhGEAcAz4H/lniR+xl5X5sTneJTeW+5ikNTwnxlGyeSwXZDTy0m2tkIEYGYmQgRgZiBEGM+BD47EEsy9YMY8MwNgxjwzA2DGOIYcxjeGpKa1A6O2rT/PebNg6dGhM7R5gkaREXAXgtcHKZedF8ZtN7i613O2ns2Eb9u+rzZR/usoranQR3bIeuPu5FZmvpkf6LoYUJ5qhsp51WepptEr/GlqhIEhHy1h3Hf379V3XTcU9fqUh/kpkx/tK0sC9e9as/1cfPv2ljOWCzbE9x5NqRuQqRbV2U9Q6wHZmrcTs179iOnKnEHmz6bIUi3ciXRjb3Y+ta0hFfNzIJ0ZuLIxWCzcVstcgc5Gouxuu8zdeJzD2k2cqluyHOo8hPlU36MV86MkE0T0ou371FlBV+aB3rE75gRRSM9Yg2mQO+TGQmYC90gcFhyNeMzA20ll/4gbvDV5oTlO6k8ZSvkZLFWHeAIyCUbNntNPaSgsGILxaZzkiTRZvEMU+i0ThNpkEUBhMvn5wnXpImqTcNJ4V3PpukszBOgmwyWVKAM8WXJu3uWi//C80XUxooltA2p3SAUeaVNpBboiCEPRzshPNy6+6q5rBnvl09XE0/79XTlp+sCxA/0V+8ZhZs6/nkJ/V6bf1uLPMnPq/nnh/X75F6CM4sBYdJ4YcJP72zYRyIYhA2rggzO3jLWxBFZMs78I0ru4xyKIpC3XNDgIRh7Id2lr4oS3d73lBb6JEsHyFgkmZJTZve6xdpxo5Xo4qCE2IHey4AXtShLBv1CcSwNe16N1/QUg66NnRJHKsknCgvPJ/MvTCcF14ezDMvCFSg0jwPC9W0KS5h6CLQ0AGdz/Bo4Ai7N3SCIIT4hDV07zy9f/CxNmKfLt+u+qnZcq/fsWrc3MPaq63c3MPa/5nf+In5uP722/VexEOzP1DvLry1Z3qHnyz+afHjuoO4fo/oz7UTfEv/eVPpePFD91d+cvn1z8OvVu9Uvw3/aq93+vztXhEE1iWEfdGhVvihxpvC9dtV/XXRQm2CH+iBe3XxWq/67dMDgb0az2wAfWqGd/Ny2tptmxLTH9avyn11ZbLXWz3rV7rqH3nYe/7l78///aRXfbB6a+1mZ+jSRazfxWts/qs9r6dNvfmpN/VfuL5W+gqaq2e7ZAeil4yQxFoxwIIoQgbY+hwdipJQsy+CI4pSP7Ki9EVROrO/UQisQR3J8hHSS6v2d/1mlNjxrhtRcELkYNtf8KIOZdmoDyCGrcn+Nl/QUg66LvrUf3q1+t5xhYt1I1zb28JOu6rTuVTi2lF9Sw7WtzD1IvcYse703er+0sSsTM4TbWW+sJSAfqAtx09XZSpPnrFEm+IXdA0LkzzBkbdSw8KUqEgSEfKefWu+ResBWytyZ5Jg5MAaFaZC5D4k3p+5alSYGim7exiFQVL4KdRtw9QoUqVyKUPZ3pmfmDflJ+tXVMeF4xXVR3w8ZL6hF7MkUQ4Xs3DVIhMO8U35cbF5U34MvmTlNl81Mu204VoNzI2+A+OYj4HMIc1lLoB2I/vGsxcCojjhUygiBfo+MiN7cyNsS/CALxiZa9DWHxF8ShN8SmTwGfLRkEmKViwDB547fKU7FstcGvPhRdC543haT/mKKcmVddts5lPugFOyEdopo2kONusLABGM+ATI7EqqrflrM6I3N6K2xI55Yo3a83gazQoVeHmUF14yOQu9IpvoD7GanWVFNp9Out+UiaDX4yeu92RYMLF8nW/JSIIQ1sywk95ntmQ+rLcH7vVWVTanz982a+yr2ez71e+r31X/rfqN+fSnq4X31Wu9evrPP6qPaLvXWzVPfmbm0qumkOrzXvV48aaePv9k8U+2YdsXHTaFHzb8dNSGcSCKQVg4JMxUwS0HSRShLYfQesbIoSjKdmJ2oKBnvlnuJ0lqY+mLsnS26RBnkZ9Zp/ZHsoCECNrG/G09i0vWr4pKHO/+EgUnBA/01OPSVQ2VHyU2uKEsHPUZxMA1bDsgrmgpB718+dd5HqTnZ4F3HgXnXjJLCy8/KwpvNp8nQRqfT4JkFWc7NXjApkTieu+GdSxwfN0bPEEQQnjCGrzLRdT24um6rKJ6t3q7+kD7wN9Uv9W/3lvVW98eekp7vLdtA7IvOiAKPyA7WzdBDEL0bcW6CaJIWTdlQzkURaGmDQRIqDI/UdYQ2Bdl6cy6FYEfQc5Nko8QGlt1but3SiWOd4SJghNiB9u55bmfA/UiomzUJxDD1mTcmi9oKQdtnJvLkLVbH2KtW9NWLHLQJUG2TXfV9SFcvciNOqyTuoL6EC55giNvoz6EK1GRJCLkretDlu81Wb3gJL5792Wb7gO2buT+HcHGQbUiXIXIbTi8O3PUinA1UrazMAqDTPnWDZQ+W+IVloqY1+8lyWq3NomcpSJsPGTqabdUhK0WmXuIpSJJtCkVWQ6zTfVtvmpkBmrDsBqYG30HxjEfA5lOdigV0dqfvRBwqQibQhEp0PeRGdmbG2Fbggd8wchUg3b9iOBTmuBTIoPPkI+GzFHtlYqwlbZfKrIJOnccT+spXzElt7Jum81Uyh1wSjaCcKnIJtisLwBcKsImQGZXaqmIvnc2orbEjnlir+1OAvA6TD19jWmYWL7udxIEQQjLZdj5bwc7CYIDovADgp9z2jAORDEIq4GEKSi8kyCI0vVOgiAKdR0TARKm5iRfK0tflOVa7CRI8hFCYxsTs830LF4vPMeOKZokOCF2oOcUlJ0ESTbqE4hha9pJaL6gpRz09a3xjcESkIQ6Fji+7o2bIAghOmGN27Wp8RUcNoUftp3tnSAGIUS3Yu8EUaTsXWZDORRFoSYXBEiYR35hf9dQX5SlM3vnrPGVBCRE0Fb9XbK2A4nD30mCE4IH2985a3wl4ajPIAauyeA1X9FSDrrbUhHrJdWWTTnp8m26Ky8VYepFbtRhHddVlIowyRMceSulIkyJiiQRIe+pUpEoMqUisR/oAAOWijB1I/fvCEYOLBVhKkRuw+H9matUhKmRsp2FUZjY34zVZwu8wkKR1BSKZOu9WuUuFOHiIRNPy4UiXLXIzEMtFFEXhSLKUSjCVY3MP234VQNzo+/AOOZjIJPJLoUi6sazF8JRKMKlUEQK9H1kRvbmRtiW4AFfMDLRoE0/IviUJviUyOAz5KMhM1SLhSJcpQKFIuqiUAR8Wk/5iimZlXXbbCZS7oBTshGkC0XUjWcvgKNQhEuAzK7kQhF1cyNqS+yYJ7Z2tKi9CcMDTlsd83bu1BUsFElpmFi+7vcbBEEIq2XY2W8HhSKCA6LwA4KfcdowDkQxCIuBhAkovJMgiCK1k6BsKIeiKNRVTARIFIa+laQvStLZPoKrTESSjxAY25iWbSZn6+NcEsf5PKLghMiBnlFQykQk2ajPH4ataReh+YKWctDXt0wkActEMupY4Pi6t22CIITohLVt16ZMRHDYFH7YdjZ3ghiEEN2KuRNEkTJ3UJmIIAo1uSBAorjwrSR9UZLOzJ2zSEQSkBA/W3V32doMZA53JwlOCB1sd+csEpGEoz6BGLgme9d8RUs56G6LRJSNThs24HSdFV2xTXflRSJMvchNOqzfuooiESZ5giNvpUiEKVGRJCLkPX3ejHWmcsDWityvI1g3sDCEqRC57YZ3ZK7CEKZGyvYVRmEcg1aLqfAKK0OKveNEBevN2dxdGcLFQ2ablitDuGqR6YZaGZJfVIaAJ9Dd5qtGJp02TKqBudF3YBzzMZAZZJfKkPzGsxfCURnCpVBECvR9ZEb25kbYluABXzAy06CdPiL4lCb4lMjgM+SjIVNUi5UhXKUClSH5RWUI+LSe8hVTUivrttnMntwBp2QjSFeG5DeevQCOyhAuATK7kitD8psbUVtixzyxtaVFbUcYHnCu6pisc+erYGVIQcPE8nW/xSAIQlgiw055O6gMERwQhR8Q/DTThnEgikFYASTMQOHNA0EUqc0DZUM5FEWhLl0iQKLAD5QVpS+K0tnugas0RJKPEBnbmJdtZmfFeqnZcR6oKDghdKCnFJTSEEk26gOIYWvaO2i+oKUc9PUtDVFQaYhyHahjHQscX+e+TRKEEJ2wvu26lIZIDpvCD9uu7k4SgxCi23B3kihS7g4oDZFEoSYXBEgU+VlU2FD6oiiduTtXbYgoICGAtmnv1PpIOeU4JFAUnBA72PbOVRsiCkd9BDFwDf4OcUVLOWj9v7/7x6cMAWjgvjefff/Fb79sGQiWf4ttnNq7uc/UgV+ljFZLsWUXhSJWubfYcrdvM8fgIs3XH4w/0gZMu6XaKX1cPenVxQmfmnIQ/euLegnNfPbxXu/ie9pKvdEzRSRLj2V+24aqXVX4XJ/NeylawsC7BcvlxraKzMa2ee+BMlvcqfkyNV+m5svMfJmZLzPzZW6+zJX5kOsPRWg+6C9VAIZX7igk9FHA7zoY9BODfmLQTwz6iUE/MegnBv3EoJ8Y9BODfmLQTwz6iUE/MegnBv0EQj/hoys6On67QpMPDPnAkA8M+cCQDwz5wJAPDPnAkA8M+cCQDwz5wJAPDPnAkA8g8gGfHP+s8zPKcktVj0BpRqA0I1CaESjNCJRmBEozAqUZgdKMQGlGoDQjUJoRKM0IlGYESmgESvYIXNplaxgB2i0/Mtgjgz0y2CODPTLYI4M9Mtgjgz0y2CODPTLYI4M9Mtgjgz2CsEd8bHwGJe7OaeqxoR4b6rGhHhvqsaEeG+qxoR4b6rGhHhvqsaEeG+qxoR4b6jFEPeZRP5WJDfzfuvxEm0Wn4CkAq0M2IQp4WxUnlukljG6b3ltsvcj6H6yZ+Jl2Baa69OPVttv9+r8PloZiuQv3hv7Wk1Vp6WdbBqJXr9o8WvzY7xn70VO96nH1uLe4p/8C/fc+0N/Uf6f+7GH9x+vNPGNcjC35ZGvzr/627Z99aBvBffYIbqdmweJVrkRFkoiQV71X/br359d/1SvqC9gLUz/I/CiIlL5w/0uP+v16Le7BahfWaRp71Uf6x/9UX6j7i7dMnfHTtbHWtfoD9lAgK5YIa1dQbSxXIbLwCL8k5aiN5WqkFPAgFOrbxv4ukT5b4dXVxipzvJ5KzAe1qlFT7jP22IzIzEgvkA2DIAQrZNlykbmRWCGrLg7ZU45D9tiqkRlyt9nnZpHOnHkFYxzzMZBpijF9XBetqYtD9lTDIXtsCkWkQN9HZmRvboRdnsNxBSPzDXq9ExGCShOCShOCSmQIGvL5kNmKVibrCD93+FLbr5NVF0ftwc/sKV8xJc2ybp7NSrI77JRsBOE6WXVx1J475Iz4BMgkS5yJm3tnI+ryHJojtnb6oTrPzpLYi4t56CVxmnqT4qzwouk8PkvCYKa/WvKA0+uXJu3WW5jJKzTJjmmYWD7bRNyBRZmM20BuiYIQtguxs/R6hqbnYBcztMUP9KePTbOn/vYXZh5mA90XBVV4UMJM9Xd6lvlFPbl8qCeq1U+rt6tfVx9Uv6nerd7pDffjoHf8DRvrgSgrYSuUMBWFyygEUUTKKJSN41CUg7qBi6AIo8yPrCh9UZTOaiii2I+tNSJHsnyEmNjGvGwzO1sfyaYcZ+yJghPiBnpKcemiZr79YMihLBv1AcSwNVVQNF/QUg562dk0meTTeFp4WRonXhKcF95EzfSHIApn81j/RetJb6eOzWpMtWNLqGOB4+vesQmCEKIT1rH9ofrEbIyYhXSzJWL6mN5avLLsZFo3Lv11XD2uP43U4o1ouXVig98XhVd4eLyLs2EciGIQAi3eoC1+tHjVhvKCKIqIQQvshU2HoiTUDIHgyPw0VjaSvihJZw4tS3z762WOZPkIMbBVh7Y+U005TskTBScEDrZDizM/sN60Q1k26vOHYWtyaM0XtJSDvq6958ahWeOvdmiKPBYovu4dmiAIITphHZp877nkgCj8gOzs2gQxCMEX79ocy2qCKEKuDeo9l0Shpg0ESOznobV3py9K0pltc7Sei/IRAmOrtk2ts7zj2DhRcELkYNs2R+u5KBv1+cOwNdm25gtaykF3+draGFwqSx10SRhs0115BTFT73bI+N+4gpg5ggluBFupIGZKVCSJCHnkKuHF6/o20LfC4kfL/WlsnTATGFm3RXCRYJ0wUyGy8gpvDl11wkyNlAImhEJXnTBT4RXWCWemRDhf1+el7hJhLh4y9bVdIsyVi0x+1BLh9KJEGDwl6TZfNTIFtuGYDcyNvgPjmI+BzEO7lAinN569EI4SYS6FIlKg7yMzsjc3wrYED/iCkakGPe1ARJ/SRJ8SGX2GfDRkjmqzOpgrVaA6OL2oDgYf11O+YkpyZd03m8mcO+KUbATp6uD0xrMXwFEdzCVA5ldydXB6cyNqS+yYJ/ba7mQAE1I9gc5omFi+7ncyBEEIC3bYGXgHOxmCA6LwA4KfrdowDkQxtk2BA4MwB4V3MgRRut7JEEShrqQiQFw7GYIk12InQ5KPEBjbmJdtZmfr89qU4wQ+UXBC5EBPKSg7GZJs1OcPw+a8oEPMBS3loK9vU1cE7ns4z3iwjQWOr3vbJghCiE5Y27ZDU5cgqMKD4u3Y5aauX2of+lRTV9T7hg31QBSVEHhbsWyCKCKWTdk4DkU5qPkCQeHs6RJE6cywuXq6JPkIIbFVw5av87vjXDpRcELcYBu2WKds6zLLUJaN+gBi2JoMW/MFLeWguy09iW102oIVTrpwm+7KS0+YepH7blgH9S+59IQ5ggluBFspPWFKVCSJCHnk0pP6QjzSt8Lj/39579okSXKdZ/6VMn7idnWUxcU9LjSbD41WY1Sj6a6aym5UZappsrySYwvM0AbD1a7MaEZAIEQudkmIpEQYKBAkuGbSF5oNLiMMgMHgD+hD9V/QL1n3yEt1R/nl9ZNxwjNFkJMzVV3d/T4nPNzf4+dEuL4YYe0nRGiwJhjgI63tJ0SFYGkPt4eu9hOixpAKGaDQ1X5CVBiv/aRM9Vuts20BuHG3n1DxwOWv7/YTqlxwAQxtP2nu2k+sJzG9S1cNLoN9uGYN8+DcgfGUjgGuRfu0nzQP3rwQjvYTKoUMpIDHkY7s6U5YR/AFXTC41MCpBzD7jPTsMwJnn0s6GrhG9dl+QpXK0H7S3LWfWG/XK7rikMWVNG52CZ17xhmREbjbT5oHb14AR/sJlQBcX4PbT5rTnaiO2Bc0sa2phWoemseaPjv2D6gptK39pHQenHMfE+UbvI7BCRKwaYdm4fztJ5wBkXhA8IzVhPGEFSNgTzIgB7XWMjhRWGoZ9vYTTpTukutAQXNaR/sJJ8lg1QxH+wkrX8DE2Edets3Oyu2RcKXjkD9W8ICZA04pAtpPWNlC7z+EzVPNAC7oiA/6cNtPrI/dlq7jh4yxwPiGt22MIAGzE2rb6O0nnKASB8XtWLf95J/WxQP1zc8U/i9Pbv/+9u+L2taCwokbMPn2YtsYUVhsmzRxvM3KEbpmABSuFhROlMFMm6MFhZUvYFrs1bRl2zU+c5g2TvCAeYNs2kR+VtpMGydb6A2IsPlMm/+Cjvigh21BESY6ZcNyJ13epYvdgkLVC9beUBd1xC0o1AgKLIJ9tKBQJcogiYC83fmJWbo5QLFiOUAxP0tzY570hBwLsFwYYC9tnSlUhWDVD3eNjs4UqsaQ4hmgUBmm0jixnZMVRuxM0QcolvoAxXJ7elnpPkCRzAgujT23p5DlgotjYHtKeXeAYuk4QJGsGlwi+3DUGubBuQPjKR0DXKf2aE8p7w5QLD0HKJIpZCAFPI50ZE93wjqCL+iCwfUGTkuAKWikp6CRnoJG4BR0SecDV6see1TIUvvvUSnvDlC037NXdMUhyyxp8OwyPve0MyIjMPeolHcHKLqnnOd0AnCRDe1RKfUBiubp5gVNbGtvocKI5rHm144NBmqObe1RKcIwUb7hix2MIAG7emiaPkCPCmNAJB4QPKU1YTxhxQjYtAzIRu3FDkYUlmKHo0eFESV0uxUAKc6kMM7z56wkg5U7XD0qnHwBE2MfydkuRdseulc6TlFkBQ+YOeC8IqRHhZMt9P5D2HzlDv8FHfFBH+4pisLaoyKCYwHxDW/bGEECZifUtvV7iiInvMTh97ZojBgBEy1u0eynKHKiMFm0wkTyNitJ6AoBcFRnaW0kOWclGcyhOU5RZOULmAN7dWjbQ/dKxymKrOABEwfZoTlOUWRlC73/EDafQ/Nf0BEfdOvQ5nK5aNK6SWZLKRMxW9bKzc2KJF3ldTnNF7PZVL4c3qEZZy3l0GRoLDC+4R0aI0jA7IQ6tPtdxMqyfXb7m3Wng25v2Pi02x/r/pW232H99T+2h8N8S/3zbfXPH69/XHdMrHsifnP7xcntD2+/d/v9pN2L++7tD27/Wn3+/e2PHp4UqW3b5zFrACUewL1dHiNGwGSNuzzHRhwjCovLE2fSRPI2K0noKgNwZGl5ltvegMLJMpjPy/KzvDTxvcPLFzCT9urztqf0lY5jF1nBA6YOss9TF1Uat1cvedlC70CEzefz/Bd0xAc9bOOxNNEp51Y66YouXfTGY6Le7pTxz7jxmBhBgUWwl8ZjokQZJBGQF9xb7Dp20dVdTAQGu70CbKS1u5ioEOzXwt2hq7uYqDGk7QlQ6OouJiqM2F2sj10stwefle5jF8l44NLXd2MxVS64+IU2Ft8du1g6jl0kqwaXwD4cs4Z5cO7AeErHANehfRqL745dLD3HLpIpZCAFPI50ZE93wjqCL+iCwaUGTjuA2WekZ58ROPtc0tHANarPnmKqVIae4rtjF+236xVdccjiSho3u2TOPeOMyAjcPcV3xy66Z5vndAJwfQ3uKdbHLppnmhc0sa2phRpZNI81dXbsHVDTZ2tPcRWGifINX/pgBAnYsEMz8AF6ihkDIvGA4NmqCeMJK0bXFDgwAnJQeymDEYWllOHoKWZECd1JBUBcPcWMJINVMlw9xZx8ARNjH3nZLjvbntJXOo5dZAUPmDnglCKkp5iTLfT+Q9icF/QSuaAjPujD7ViR1p5i94lGhlhgfMPbNkaQgNkJtW0H2LHCGECJB3Bvm8eIETBZ92LzGFFYbJ69Y4WRJHSVATjcHSuMLIP5PFfHCidfwEzaq8/bHu5XOk5rZAUPmDrIPs/VscLJFnoHImw+n+e/oCM+6GE7Voz3qXJujZNOdOmid6wQ9YLlOtR4HXPHCjGCAotgLx0rRIkySCIgL7hjxXdao6trhQgNlhIDrKS1a4WoEKwI4g7R1bVC1BhSWAMUurpWiArjda1U+rTGanteWuk+rZGMBy5/fXetUOWCC2Bo18rdaY2l47RGsmpwGezDNWuYB+cOjKd0DHAt2qdr5e60xtJzWiOZQgZSwONIR/Z0J6wj+IIuGFxq4NQDmH1GevYZgbPPJR0NXKP67FqhSmXoWrk7rdF+u17RFYcsrqRxs0vo3DPOiIzA3bVyd1qje7Z5TicA19fgrhV9WqN5pnlBE9uaWqhUonms6bNj/4CaQtu6Vir3EUj3MFG+wcsfnCABm3ZoFs7ftcIZEIkHBM9YTRhPWDEC9iQDclBrOYMThaWcYe9a4UTpLrkOFDSndXStcJIMVs1wdK2w8gVMjH3kZdvsrNoe7lc5TmtkBQ+YOeCUIqBrhZUt9P5D2DzVDOCCjvigD7drpbR1rVTuQ5AMscD4hrdtjCABsxNq2w6va4UzgBIP4N42jxEjYLLuxeYxorDYPGvXCidJ6CoDcDi7VjhZBvN5jq4VVr6AmbRXn7c9D7ByHPDICh4wdZB9nqNrhZUt9A5E2Hw+z39BR3zQw3atVCY65dxyJ53s0sXuWqHqBct1qPE64q4VagQFFsE+ulaoEmWQREDe3QGP9fqAR7Wkpw3LAY+F8QZ9Qo4FWGEMcJi2ZhaqQrBQiBtHRzMLVWNIvQ1QWFRnpXFtPScrjNjMog94rPQBj9X2dLXKfcAjmRFcGnvuaCHLBRfHwI6W6u6Ax8pxwCNZNbhE9uGoNcyDcwfGUzoGuE7t0dFS3R3wWHkOeCRTyEAKeBzpyJ7uhHUEX9AFg+sNnJYAU9BIT0EjPQWNwCnoks4HrlY9trWQpfbf1lLdHfBov2ev6IpDllnS4NllfO5pZ0RGYG5rqe4OeHRPOc/pBOAiG9rWUukDHs3TzQua2NbeQrUUzWPNrx0bDNQc29rWUoRhonzD10cYQQJ29dA0fYC2FsaASDwgeEprwnjCihGwaRmQjdrrHYwoLPUOR1sLI0rodisAIs9KaZznz1lJBit3uNpaOPkCJsY+krNdirY9D7ByHPDICh4wc8B5RUhbCydb6P2HsPnKHf4LOuKDPtwDHitrW4sIjgXEN7xtYwQJmJ1Q29bvAY+c8BKH39uiMWIETLS4RbMf8MiJwmTRChPJ26wkoSsEwJFlZ0UqTCjnrCiDWTTHCY+sfAGTYK8WbXsgYOU44ZEVPGDmIFs0xwmPrGyhNyDC5rNo/gs64oNuLZrM1JcLUSRFs8wSUZRlMm0WTZLPlsVCZOlcffVyeItmnICVRZOhscD4hrdojCABsxNq0e53Hr/6tvrPz9U/erutbSM2gT5mBZU4KG7Hbv/u1Tfa9puf6Hack9v/ePvd27+5/Yfb793+7e33Ty4fF+nJ02sT6xNW1oCZF/dsjm01RhQWzyZNHG+zcoQuGABFVtdnwkRyzkoymGHLi7PC+MjzO7x8AVNir4Zte7Jf5TiqkRU8YNogG7a8OquNt98lL1vo/Yew+Qyb/4KO+KCHbSE27n0rC1Y66couXfQWYqLe7pTxz7iFmBhBgUWwlxZiokQZJBGQF9wl7Dmq0donTAQG+7YCLKS1T5ioEOy8wp2hq0+YqDGkgQlQ6OoTJiqM2Cesj2qstoelVe6jGsl44NLXd4swVS64+IW2CN8d1Vg5jmokqwaXwD4cs4Z5cO7AeErHANehfVqE745qrDxHNZIpZCAFPI50ZE93wjqCL+iCwaUGTjuA2WekZ58ROPtc0tHANarP7mCqVIbu4LujGu236xVdccjiSho3u2TOPeOMyAjc3cF3RzW6Z5vndAJwfQ3uDtZHNZpnmhc0sa2phVpSNI81dXbsHVDTZ2t3cBWGifINX8NgBAnYsEMz8AG6gxkDIvGA4NmqCeMJK0bXFDgwAnJQexmDEYWljOHoDmZECd1JBUBc3cGMJINVMlzdwZx8ARNjH3nZLjvbnuxXOY5qZAUPmDnglCKkO5iTLfT+Q9icF/QSuaAjPujDbT2prd3B7uOMDLHA+Ia3bYwgAbMTatv2aD1hBJU4KG7H7ree/CflQ19rPclPbJ0njKgBE28vlo0RhcWySRPH26wcoesFQOHqPGEkGcyvuTpPOPkCZsRe/dr2hL7KceQiK3jAtEH2a4VasY27LJe8bKH3H8Lm82v+Czrigx6288R4nyoH1jjpqi5d9M4Tol6w7IYaqGPuPCFGUGAR7KXzhChRBkkE5AV3ngBHLlq7T4jQYEkwwEZau0+ICsHKHu4OXd0nRI0hBTJAoav7hKgwXvdJrY9crLeHnlXuIxfJeODy13f3CVUuuACGdp/cHblYOY5cJKsGl8E+XLOGeXDuwHhKxwDXon26T+6OXKw8Ry6SKWQgBTyOdGRPd8I6gi/ogsGlBk49gNlnpGefETj7XNLRwDWqz+4TqlSG7pO7Ixftt+sVXXHI4koaN7uEzj3jjMgI3N0nd0cuumeb53QCcH0N7j7RRy6aZ5oXNLGtqYVKHprHmj479g+oKbSt+6R2n2N0DxPlG7yMwQkSsGmHZuH83SecAZF4QPCM1YTxhBUjYE8yIAe1ljI4UVhKGfbuE06U7pLrQEFzWkf3CSfJYNUMR/cJK1/AxNhHXrbNzurtCX2148hFVvCAmQNOKQK6T1jZQu8/hM1TzQAu6IgP+nC7Txpb90ntPpbIEAuMb3jbxggSMDuhto3efcIJKnFQ3I51u0/+aV08UN/8TOH/8uT272//vqhtHSicuAGTby+2jRGFxbZJE8fbrByhawZA4ehA4SQZzLM5OlBY+QJmxV492/a0vdpxfCIreMC0QfZsIj8rbZ6Nky30/kPYfJ7Nf0FHfNDqf7/72hqvrdi/dnmzfjtSMuM1VrYsd+Cqzy7uQC0pha0lhaoXrMWhrurvbn+pW1KUtWjbFIwdIffaUPptONkcjP2Tk1z9yfrlw1YfRwyZwELWRw8KVaIMkgjI2x2g2KzPT8zKs7Rqz098uGsryc7Swng3PSFzgLW+AG9oayuhKgRLdrjlc7SVUDWGVL4Ahbk8s52GTVUYsa1EH35Yi01ht3afe0jGA9ew8LaSIi2sXSVkteAaFthVUt8de1g7jj0kqwZXsj6csIZ5cO7AeErHAFeXPbpK6rtjD2vPsYdkChlIAY8jHdnTnbCO4Au6YHClgdMJYPIZ6clnBE4+l3Q0cIkK6yqxTzzv0ZX231RS3x14aL9br+iKQ5ZW0rDZ5WjuCWdERmBuKqnvDjx0TzbP6QTg6hraVFLrAw/NE80LmlitdinKqlms5sm8XE4TkS6XSbOqZsmyltNaztK5EJuVzJoBO7YEyFmwtaukCONEAYcvTzCCBGzEoYn0919Po3+mD85RKa3KZj+5/e/bpv827VLZ75/pksXtZzoh/odX31S/T+XGbQL9y1ff+Dd6abn9sc6m108B/PT2V+23PtfFD1OkHrNGSuKRwpNTE8YTVoyADciA3NRet2BEYalbWM/Z4SQJ3TkFOKqzspAmknNWksEqF1V+1ggT3zu8fAETZh/52i5r2x6cVztOQmQFD5g44FTjnjXP5FluvKqXvHChNyAC5ytd+K/oiA/6cLuElaEzGldl6ERoMDDA4Q0dI0jA/IQaugHahBkDIvGA7O3bGDECpt9efBsjCpNvM6aBb7OShC4bAEd+Jq0lCkaSwXybq0uYky9gXuzVt21P06sdxyOyggdMHGTf5uoS5mQLvf8QNp9t81/QER/0sO88yWw7a9KBJ7K6ixe9w4Sotztn/HPqMCGGTGAh66XDhChRBkkE5O06TLJ002JS3W8xyc/S3JjXPCGDgIW/ADtobTEhKgTrd7jLc7WYEDWG1MEAhXlxVhqnoXOywogtJqVuMam2VV7pbjGh4oGLWM8tJlS14CIW2mIi71pMrMf4vUtXDS5lfVhfDfPg3IHxlI4BLi/7tJjIB29eCEeLCZVCBlLA40hH9nQnrCP4gi4YXGng/AGYfEZ68hmBk88lHQ1conpsMaEqZWgxkXctJta79YquOGRpJQ2bXVLmnnBGZATuFhP54M0L4GgxoRKAq2twi4k83YnqiH1BE3u4FYnM2mJShnGigMNXJBhBAnbe0Ex6gIoEY0AkHhA8CTVhPGHFCNhYDEhB7RUJRpSBKxKMJKE7ogCHmgKtGS0jyUFUJDj5AubFPtKyXXJWbjewHeeasoIHTBxwRhFSkeBkC73/EDZfRcJ/QUd80AfcGZxZG0mq0GBggMPbNkaQgOkJtW0xO4MZIyXxSO3t5xgxAqblXvwcIwqTnytMJG+zkoSuJwBHdZbWRpJzVpLB/JyrM5iTL2DC7NXPbQ/Nqx2nILKCB0wcZD/n7AzmhAu9ARE4n6HzX9ERH/TALSY2i+Y+Najp4kVvMSHq7U4a/5xaTIghE1jIemkxIUqUQRIBeXctJvW6xSQtz9LmfouJ7XAcKghY+Avwg9YWE6JCsH6H2zxXiwlRY0gdDFDoOByHqjBii0nz8Klo0m2Vt3a3mFDxwEWs5xYTqlpwEQttManvWkys5/W9S1cNLmV9eF8N8+DcgfGUjgEuL/u0mNQP3rwQjhYTKoUMpIDHkY7s6U5YR/AFXTC40sAJBDD5jPTkMwInn0s6GrhE9dhiQlXK0GJS37WYWO/WK7rikKWVNGx2SZl7whmREbhbTOoHb14AR4sJlQBcXYNbTOrTnaiO2Bc0sa2lheoamseaAjv2AMhpsLXFpAnjRAGHr1UwggRsvaGZ9AAtJowBkXhA8CTUhPGEFSNgZzEgBbWXJBhRmEoSthYTRpLQHVGAozirrBktI8lgJQlXiwknX8C82EdatkvOmu0GtuPwUlbwgIkDzihCWkw42ULvP4TNV5HwX9ARH/QBt5jkthaTxn1OkCEYGODgto0TJGB6Qm1bxBYTzkhJPFL7+jlOjIBpuQ8/x4nC5OcKE8nbrCSh6wnAkWVnRSpMKOesKIMZOkePCStfwIzZp6FrtkfjNY6zDlnBA2YOsqFz9ZiwwoXegQicx9EBV3TEB709OGcDPvTBOcZJVnk21zlB6v+6uAP1nFiOzf4SWW93Etmz5+RvlCX603ZjbN1zohtIlHX6onVUP1l3m3yhXNev1n5Lual1h8hf3f7l7d/e/uWuXyTb9ItoQ/Zr/Sf9sm1G+WXr5z41heAxOQQCC0EfPSRUiTJIIiBv20Ny/y0lZye3/6ibdzYeWLfx/OT2C+WfX31HGd4vbn+uLsGftV1Buh/op/qX2o6g1lX/bHdZ9cX2v+2EGg+wQBjgG22tKFSFYJ0Pt4OOVhSqxpB6GaCwqM6EccU8JyuM14rS5LoVRZ+q02wPtmgyZz8KmRFc4ML7UbK8yawNKWS54AoX2JDSZLuGlMZ6fN+7dNXgOteHUdYwD84dGE/pGOBatUdDitL+5oWwN6SQKWQgBTyOdGRPd8I6gi/ogsH1Bs42gClopKegkZ6CRuAUdEnnA1ersK4Ux/TzHl1q/20pu6nnPcc9e0VXHLLMkgbPLo9zTzsjMgJzW8puytleAHtbCpkAXGRD21LU2NmJ6oh9QRPb2n2ZzWdSLJKpWK0SsRTzZFbP60Qul81yOs3restjzZId2wbkTNnWltLkYZwo4PD1DUaQgN06NNn+R51+3f7qpM2nP1k/cdE+jvET3YjSli2y9EEmH+QP5e3nJuTHrMgSR8YzVxPGE1aMgO1GPOF89afm0tGXWVFYChXGWeFtVo7QTVKAwrxFcc6KMViJos7OCmHie4eXL2DS6yPz2uVf+XZD23G0KSt4wJwBJw3wRb3kZQu9+RA2X4XCf0FHfNCtJ5vnq2yRzdMkm8/zRMwWIqmXqUyWq2xZNqIs6nz2MoInM05bypMVocHAAIf3ZIwgAdMT6sl+qPfNX31LGbFfvfp/1p0jv779pC2EfKKbT179xas/1/vnt7/QvybTB+r/04ci1V8VVpPGGAOJx2Bvk8aIETDh4iatrWD89OzEfF2+zAo0qFVj5AhdLQCKPDVynLNyDObVivKsKE187/DyBUyGvXq17dF3jeMwQ1bwgKmD7NWsF/WSly307kPYfF7Nf0FHfNCtV8umzSKfl1lS54XydXkhk1nW1MmyqdJsMVtUUixfRvBqhSkYyquJ0GBggMN7NUaQgOkJ9mq3v2obGT45uf2+dmmv/v2rb53c/n/KqP1CP9e16Vv52eYBrlym6as/yfL155m0uILHrFGQeBT2dmuMGAFTboBbs/ZwMJLw2DTbo1ycJKFLBcAhFMjm+LP7Xo0RZTCvllrqm+/w4gXMhb1ate1xd43j/EJW8IB5g2zVMpnbLuslL13oHYjQ+cya/5KO+KC3rb/b+1WbsCF7f41Tk/Jj0skru7wD9f5mlid8v0QW3J1H9mz+NfaNvvl+udvPbn+uu32/f/u3m8Ze/fTVN/UD9K0Z+w/qq2+0NczPOz2/htZgUzAek4MhsGD00gZMlCiDJALydq+SazZtwOX9wwqzs7QwzoZPyBxgO1Uf1o+oEGyICrF09vZdosaQviJAYS7PbIdNUxVGbN/VhxU2lf6o9Ufz8KlK3/RHtm2lcx9gSEYGlyxCN6/Ic3s3L1UuuGaFdvPenWDYOE4wJKsGF64+zK+GeXDuwHhKxwCXnH26ee9OMGw8JxiSKWQgBTyOdGRPd8I6gi/ogsHlB84ggBlppGekkZ6RRnpGGukZaaRnpBE4I13SccG1LLC51z4bvUeXytDce3esof0WvqIrDlmESWNpl6m5Z6ERGYG7uffuWEP3DPScTgCuucHNvfpYQ/Ps84Imts0zinqVFrM6SXMhE1GJMpmuilnSiEUjiqpMZ0WERhJhbe4twzhRwOGLE4wgARtyaDL93179+/atc7/R6e4X+qN92Vyb+X7eNpYUD+WDzHjVHrPCShwWz0RNGE9YMQL2EvFE1NHWy4jCUoQwP8v5NitI6A4ogJFlWXNmeZ8cJ8qANYjG1i7CiRcw5fWRhu2Sse0Bd43jxEJW8IB5A84g0Gt6yYsWevshaL4ChP96jvigW0NWzZpSpsUykXXdJGJW18msWpXqy3Q+nU7LMp8uX0YwZMYtTWXIqtBgYIDDGzJGkIDZCTZkt7+5/eT2l+2rSzavN/lZ29/7c/Xtn7Vvh/vl7Wcnr/5U1z1uf/LwRP2Ov7v9y9t/uP3e7d/efn/dC/yjwtgD9Jg1GBIPxt6GjREjYOLFDZvjhXGMKCyGLT0rpAnlbVaU0DUDAKnPmtTm2BhJBnNsUp6ZHxl+h5cvYFLs1bJtj7BrHIcSsoIHzBxky2a9qJe8bKH3H8Lm82z+Czrigz7gJ+SFtcPXdUCFMRgY4PCejREkYHpCPVsvT8gzIksceW9nxogRML/izsyxlcaIwuLM8jPz0+Vvs6KErgwAiCzPRNOYUM5ZUQazZq4H5Tn5Aua+Xq1ZvV3JHafnsYIHTB1ka+Z6UJ6TLfQGRNh81sx/QUd80OsztdJ8WczThTJvTZ5k2bJJ6nQ5TdJUprKs66yRG8syrDUzjoBH2+ksIBgY4PDWjBEkYHpCrdkbD8qf2B6SP7n94e0PTvL61Z/k1as/SR+Wt5/rzuB/WLcM69/4xatvqx/89drVqW/+un2Sy3LMNGeMJB6jvb0cI0bAhIx7Oe+D9IxALI4uK86kCeVtVpTQBQUAUZrOZGVkOWdlGczSFfLM3CXxDi9fwJzZq6XbHs/UOM7bYgUPmEHIlq4QZ5kxpbrkZQu9AxE2n6XzX9ARH/R6t205y7NKVkm9EEUiFitlBJerRv3WaVXPlsoEZouXESydcdp6JFPXURVmfwsBDm3pWEECpifU0v31qz9fH5OlfdlP2zLoz29/tn0N0k/XZ0Ho/y4fCGPn8GNWYokT72nQWDECplfcoFk321hRWKxZUZyZ/czbrCyhKwNAUsv6rCnMlVBWlsG8WXrWGFfxd3jxAua+Hq2ZftyjXck3/2ECf8oLHjB3kK2Z7Zpe8qKF3n8ImtuZIddzxAe9Pgl1NV3kxXSVrGazRSKKPE+m2axK0nnR1PNcLItic82HdWbG7kXlzLLQYGCAwzszRpCA2Ql1Zn+lnNdv1o/gv/rO7acnuwf1P2sPOd0eXv/pulCqvvnqO/9m+8B9e2DqT/UT/O3ZXb/QXW63v1j/apbrZxDyNH2Qbwf6fUvHGCqJh2pvS8eIETAt45bO9kw8KwmLo8vOUmlCeZsVJXRBAUDy8qzKjS0i56wog/m5rKjOKmN9+B1ewIA5s1dHl20dgP2wJ17wgKmD7OjsV/WSFy70FkTgfJ7Of0VHfNDa1Lm8Ws/vPzLOqsql5Q48kaddvNjvPyIL7s4a/yu8/4gcDIEFo4f3H5ElyiCJgLzd+4/un4P6EDi/lAzSnbXZXoBEVgi+NCLIxFlegETW2F0e9n0B0pmUJoHnZIHR3n8k00K/60joD6k/Sv1R6Y96/bYRxeR428g7dGRwyer3/Ud0ueCaFfb+IyVn+/6jTZxNqt+lqwYXrj6sroZ5cO7AeErHAJcc+vuPtPY3L4SN4hmdQgZSwONIR/Z0J6wj+IIuGFx94HwBmJFGekYa6RlppGekkZ6RRnpGGoEz0iUdF1zK+nv/EV1q7+8/upuJ3nPcwld0xSFrMGks7RIz9yw0IiPwvv/obgbaXgAbwXM6AbjmBr7/SI+dnaiO2Bc0sYdbspCW9x+peSuMEwUcvmTBCBKw/YYm01FLFoyhknio8DzWhPGEFSNg37GPLJaRZOiSBSNK6H4pAJKflZWtA4WR5DAqFpyAAVNmH2ncLpkrtvvb9uO2eMEDZg44A8Gv6iUvXOgdiMD5Khb+Kzrigz7g/mBpeYOSykJDg4EBDm/pGEEC5ifU0vXRH8xILHHivZ0ZI0bA/Io7M0d/MCMKizVz9QczsoSuDABJXZ6lZWFCOWdFGcycOdqDOfECpr5erZnYLuT247V4wQOmDrI1c7QHc6KF3n4Ims+Y+a/niA/6gJ/Fl5bXJMlNzhwQDAxweGPGCBIwO6HGLMaz+KwxkniM9rZyjBgB8zFu5TzP4rMCsRg667P4rCihCwoAUogzkRtRzllRBvNz9kfxefkCpsxeDZ3cGgD74VG84AETCNnQ2R/F52ULvQERNp+j81/QER/0Ab/4UlreriTTMjQYGODwjo4RJGB6Qh1dDy++ZEWWOPLeBo0RI2B+xQ2aY6+NEYXFmllffMmKEroyACDyrCyNzuWclWQwZ2Z/7yUvX8DU16szK7cLuf0UGV7wgJmD7Mzs773kZQu9/xA2nzPzX9ARH/QBHyMjrS9Jcr2f3RgMDHB4Z8YIEjA9oc6M9RgZ1mBIPBh7ezZGjICZF/ds1mNkWFFYPJv1GBlWlNA1AwKpG1t1lJFkMM9mP0aGly9gUuzVs1XbJd5+jAwveMDMQfZs9mNkeNlC7z+EzefZ/Bd0xAd9wGcxS+vrk1wvbjcGAwMc3rMxggRMT7Bn2+csZlZYicPu7ckYMQJmVtyTOfbRGFFYPJnlLGZWkNAVAcDIstzck3vOSjKYI7MexcyLFzDj9WrI6u36bT88hhc8YNogGzLrUcy8aKF3H4Lm82P+6znig1b/+921KdsMZ6vj+vpy/vH7H35giATBcBkTROW0GgdmIcoupu0VSHatISZq+xYko9gvkcV2x5gjsKBR+mH7uqMv1ntYJrHKDTW/c05WfG+qs0veb6Zbv0UlSx8+lbKwTW1UCBEOgT93rpU/08qf2ZQ/oyuX4crx582V8Ast/MIm/IIuHB/q9Nl0/Z4LBTCyAYzIAPdeUuABCBsvz7Xq5zbVz+mq8ak78N0ESvQLLfqFTfQLmuh2sLwccv2xvXcgc783urLGHFZLWoFsr+CjysVvTHQN+q9tav7ruxcH6EbmH+uF6dV32ne6rV/s1mbwr/5E/+C6Pab99m71Uj9gAn2sQNX6RaUdev3K1PqV6beAZfrdX7leznL9KrAi1x+1+hD6V4X+VWl+8c5TOuwQ61ym1jlF+EwTPtOEzzThM034TBM+04TPNOEzG+EzOqEMJwya4y404IUGvNCAFxrwQgNeaMALDXihAS804IUN8IIOiN+ee6+bmVo3M/1+qEy/FSrXy2iuXxKlQEcadKRBRxp0ZAMdkUHZ19dMra+K7rmme67pnmu655ruuaZ7rumea7rnNrrndDp8CSOtw5lahxXcCw33QsO90HAvNNwLDfdCw73QcC9scC9ocK9tHmrGf+1at/t7ea5eC23LduakaKyXCBNLXLPPSuu6TdTbXcj2fHWuShxvf9a+sueb7drc9kVYlul/uP3+7X/cvOrn9SX7k833/vP2V6V+u+7nJu7HZO7umsb4llyqRBkkEZD36httnP/41TdP2i6VXykj9T+/9Z+zs7RIT9QVydV/VCaGJ2SG7s4e3wtyqQrBtwrie/yOF+RSNXZX7z1fkFs3lbmb7JyskOUNufciW6SWVzW+QxcOri7h77mtstr6mluyWnB5CXzNbZbtXnObWV+X/y5dNbjIBKVK92tSZVlJS8Sf0rWDC4U/8+kKLoUQqU3wM7pgGSgYHic6iKc7YfdzE6pgcI0gV37s08YlXTS4bIS9jNY+ZbxHV9r/u2h308V7juniiq44ZLkjDQjXVDEi6+7nBbRB08Rzulhw3QvMI/XY2Im6nxpSxLZWOJOrSr8mo2iWWSKKskymzaJJ8tmyWIgsnauv1jzWrPFr0z77u9rM0Zo75mGYKJ8pv3RgheSYJpAvsYIENDugyWfbkq/SyLuW/FffVv/5ufrn1+rbjndYcIJKHBRP5UwYT1gxAno0ArI5a7s9JwpLa5c0cbzNyhHaWwJQCFHbc0NGlMFau/LCnkJy8gVMd0FpkKe3K8s3vUCZ49wPVvCAeYPs8K0X9ZKXLfQGRNg8zV3ABR3xQbdmrC7rfF4tqmRWVGkiyuUqaeZipn5rkTarZjotlpucY1AzZtwXVGasCI0Fxje8GWMECZidUDP2V22n/a9frwP8x9v/dPuj27+7/UFy+339L/XFd9V//ajtvDdBP2aFljg0bszaF659po+b0y/C7Ubgp7e/Ut/6sfrF37RnIPy6fZvHr9f1Ef2V2aA+YY1DwAzdi7NjRGFxdqnlgM23WVFC1xYAJCvEWWl7MRkny2DuLksdFQJOwIAJtFd7t31nfOY4BYAVPGDyINs7+1W95IULvQcROJ+/81/RER/0cOcWFw7HJhx0Is+6dNFbL4h6waoYariGb70gcguMu5fWC6JEGSQRkLdP6wWRASyrBVg6a+sFUSFYQ8Odmqv1gqgxpBYFKHS1XhAVDtN6URZnhfHyv0MXDq4uPbdeUNWCy0to64W4a72wvl7+XbpqcJEJMqX3BocoZdWcVbbWC6p2cKHov/WCKlgGCobHiQ7i6U5YR/AFXTC4RpCduxBnlXFZu6RrBleNHjsvqEoZOi/EXeeFdba4oisOWe1I4yHNarVI1ybZI7LsOI0XVLHgqhfceCFOd6I6Yl/QxLYmclWn5WqRJqs8XSViXjZJvWiaZL5cirQsVtNUbO5Ha87oSJqpeaO18UKGYaJ8w+/1M4IEbFWhqef9vX795e1nm9TzG+tzRdpzfn9xcvu3t99VCeiPbr93+1/UPz/YnPb77mUis5Pb75oC8pg1IBIPCJ7wmTCesGIE7MQF5Hz2bXxGlKG38RlRQrcQARD3Nj4jy2Db+HV9Vtt28Tn5AqbGoITJt4u/PY4ic5wvwgoeMHeQcwHrRb3kZQu9AxE23ya+/4KO+KBb47bMZkUh5lUyl/NM/azIk6mQWbKairyR82q6Kjd386DGzbblX4bGAuMb3rgxggTMTqhxM3TMfqs9+e2zV3+67pc9ef7k6urR44uTf/no2b8YP7549Pzk0bvvnly+uLq8GD05MUXhMWsUJB6Fvd0aI0bAjNuLW2NEYXFrue0sOE6S0KUC4chFYTmn+JyVZTCzVjpaLjj5AqbDXs3a9oSKzHHkCCt4wNRBNmuZuv+Mu3SXvGyhdyDC5jNr/gs64oMetuOiMNEp+1U56fIuXfSOC6JesBiGuqfhOy6I3ALj7qXjgihRBkkE5O3TcUFkAKtpAX7O2nFBVAjWznCb5uq4IGoMqUEBCl0dF0SFg3RciOqstjVcUHWDi0vPDRdUteDqEtpwUd01XFjPq3iXrhpcY4Is6b2xkTcq4MI4rJ/SpYPLRP/9FlTBMlAwPEx0EE93wjqCL+iCwRWCbNsLZfUak+ZLumZwzeix34KqlKHforrrt7BOFld0xSFrHWU85HXdpGfSaPtHZNlx+i2oYsFFL7jfojrdieqIfUET21pIaItf81gzRkfKTM0arf0W7kME7mGifMNv2zOCBOxToYnnAP0WjAGReEDwdM+E8YQVI2AbLiDjs+/gM6J0l3gHCp4aOvotGFFCNxABEHe/BSPLYFv4rn4LTr6AqTEoX/Jt4W8PyMkcBx6xggfMHeRcwNVvwckWegcibL4tfP8FHfFBt8ZttZBNs5xXyWo6WyRitpwnszwrkrpp0sWyLOViJV8Ob9xs/RZNaCwwvuGNGyNIwOyEGrf7/RZtveBX+o0Rm+MudM/Fq2/oQypbL9dtx7j9J+XnvvfmKeI/bk8b1y8308bu8rKorm2NGYzhkni49rZ1jBgBU3Mvto4RhcXWZdbGDEaS0DUF4ShEeWZ1dYwsg7k616vOOPkC5s1eXV2zNQGNw9VxggdMHWRX52rM4GQLvQMRNp+r81/QER/0sI0Z4uzfmPgeydzyytxMiLIpGvj4sKFaM6h6wbIZarQGb82gcguMu4/WDKpEGSQRkNdeiM91N4buwjBPZ0/IcsEaW4B5</t>
  </si>
  <si>
    <t>s3VhUBWCFbUQT2btwqBqDKlMAQoreSZMAs/JAgdpwqjUTGec6N6h6wYXkn6bMMhqwXXE1YSB63yXrhNcP4IMZ1e4LJrmrDDW15/SlYMrQHjXhRRZUZ3llqYLsl4ZqBetqZpkXtBlgssA2Yhbp4ZLumZwYeiv1YKsdM9WC1zjFV1jyBJGGQGO6WBEVs3TW+GaCp7TtYJLWVBrhUniC5pErRF78aGmsGZ6jlSXnO1l1nyvCANFCQffmecECdhhQhPGfl5XzQktcWg8FTNhPGHFCNgkC0jRrPvrnCgs++v2tglOlNDtPQAkU3Od0SCds5IMtr3uetc0K2DA7BeU7nj21/Ptm4lzx7umWcEDpg6yrXe9a5oVLvQOROA8G+zAFR3xQbf2bC6Xiyatm2S2lFJvxtdJvZgVSbrK63KaL2azqXw5vD3LrfZMhkYDIxzenjGCBExQqD0zNE789Paz29+8+kbr1z559Rebtta7ZojN1//Ytk98S/3zbfXPH69/XH1v007xm9svTm5/ePu92+8nbZPsd5XP+2v1+fe3P3p4UqQ2Y/GYNYASD+DeVo8RI2C+7sXqMaKwWD1ha6XgJAldZwCOomjMT5afs5IM5/RsNfd3ePkC5tFejd727VW543VkrOABEwfd6NkbKVjZQu8/hM3n8/wXdMQHPWwjhbQ6N8sjWRu+ussXvZGCqBcshKHGa/hGCiK3wLh7aaQgSpRBEgF56/dZpMaHEJ+QZYKVswDLZm2gICoE62S4E3M1UBA1hlSfEIWiNs8U52SFg3RQZIVjl4wqHFxCem6hoKoFV5DeWiioOsGVI8hq3hsOTS5tbclP6dLByT+8hyJLy6KQlgepntEFy0DB+1RPL+gywaWAbsKts8MlXTS4OvTYRUFVOmQXBVVjyDpGGgKOGWFEls3TRuGcDZ7TxYLrWR99FBSJWiO2qa8prImeI9MlJ3v2PgrLcwE2UJRw+I16RpCADSY0X+ypj4IRWuLQeCZmwnjCihGwRxaQqdk31xlRWDbXHX0UjCihu3sASJ6f5WaUc1aU4bbXXY0UnIAB019Q0uPbX98+15Y7HlRkBQ+YO+jW3tVIwQkXegsicL4Ndv8VHfFBt/5MZnJVLUShfnGZJaIoy2TaLJokny2LhcjSufrq5fD+zNpIUbgbeg3RwAgH92ecIAETFOrPDCd+fFv95+fqH23a2q4IE+hjVlCJg+KebP2Y4e2nr/7s7MS9U86JFjDX9uHTOFFYfJo0cbzNyhG6QgAUlUhtb5nmJBnMozneJcHKFzAD9mnRimyzoK//wwT+lBc8YNogWzTrRb3kZQu9/xA2j0MDLuiID3rYFojS6rkKJ1/T5YvdAkHVCxayUMs0eAsElVtg3H20QFAlyiCJgDyPsSPKBOteAYbN1gJBVQgWuXAf5miBoGoMKR0hCu0tEFSFw7RAlMVZYbz879CFg0tIvy0QZLXgCtJXCwRZJ7hyBFnNe65LZHV1VhqfG39Klw5O/r23QJAFy0DB+xQ+L+gywaWAbMKFOKuMq9clXTO4OPTXAUFWOmAHBFljyDJGGQFlWaRnQphUj8iqozRAkMWCq1kPDRAkia0lhF4GrSmsaZ4jzyWnetYGiEKGgaKEw2+wM4IEbC+h2SL/2RycAZF4QPAczYTxhBUjYPcsIIezb7ozorBsutubIzhRQvf9ABBXcwQnymAb746jOVj5AmbGoGzIt/G+fVStcDx7yAoeMHWQPb/jaA5WttAbEGHzbbz7L+iID7p1bthJ3IM7N3trhLtH1xANjHB458YIEjA/oc7N0BrRPX3j+ZOrq0ePL07+5aNn/2L8+OLR85NH7757cvni6vJi9OTEFIXHrFGQeBT2tmuMGAFzbi92jRGFxa7lthdFcJKELhYAR1Gl1iM3OFEGc2ulvZOVlS9gNuzVrVXbxd16OO5TXvCAmYPs1hxvimBlC70BETafW/Nf0BEf9LBtEpXVf7kadUWadvmit0kQ9YLFLtQ+Dd8mQeQWGHcvbRJEiTJIIiDP0yZBlAnWxgI8m7VNgqgQrIThVszVJkHUGFJfQhQ62iSICgdpkxDVWW3rkqDqBleQnrskqGrBBaS3LgmqTnDhCHKa94SntVqqhUn5U7pycOrvv0mCKlgGCt6nOHpBlwkuBGQLXqixYGyYuaRrBpeGHpskqEqHbJKgagxZxCgjQFRldVYY54MRWXWcJgmqWHAx66NJgiKxNYTQtrymsCZ5jiyXnOhZmySEq+PfAIoSDr7VzgkSsLmE5or8TRKcAZF4QPAMzYTxhBUjYO8sIIOz7rpzorDsutubJDhRQnf9ABBXkwQnymDb7o4mCVa+gJkxKBnybLuL7cNswvF0Iit4wNRB9vyOJglWttAbEGHzbLsDF3TEB906N+xU7MGdm7VJQhSh0cAIh3dujCAB8xPq3AwHcfym3bz/rH3Vwh9vGiVefUMZut+0Zq7bQ3H7T8rQfU8Zuu+pf3+/fQnY3aEdrbO7vCyqa0s3BWe4JB6uvX0dI0bA5NyLr2NEYfF1ma2bgpMkdFUBOHLl66y2jhFlMFvneOkEK1/AtNmrrdsexyUcB6yxggfMHGRb5+imYGULvQERNp+t81/QER/0sN0UxkuqbJow04lMFkLk9qOFMbEh9gvqpaDqBUtiqMsavJeCyi0w7j56KagSZZBEQN7tD27/Rr9Q7CRLT3S8T7LqLNWna+fy7GRtkFX4XzPIP1bf+Pn2nLqT25+sL+XnZyf5WZrnD0/UMmeubj0hQ4MFuQD/Z+vMoCoEy28hts7amUHVGFLUAhTWMj+rjRPlOVkiS2vGvXXt/MtPrq4urjYr2+jF099WTkQ+VB/l/6bnFq1fL3EPU+Mq9w4dD1y1CB0cja1X91/R1YLLlquD417sdfBO14H/V5swm1S/S1cNLl59eF0N8+DcgfGUjgGuRf7mDot2LfvBmxfCRvGMTiEDKeBxpCN7uhPWEXxBFwwuNXDCAEw+Iz35jMDJ55KOBq5RgS0i1onnPbrSPVtE7sX88m7Sec9xt17RFYesraRhs8vC3BPOiIzQT/eIf7LZXgAbwXM6Abi6BrWUvKUjeroT1RH7gia29bRQOUPzWHNeR9JPzXvNmaTKfGUYJso3fIGCESRgpw1NnQdoLWEMiMQDgiesJownrBgBG4kBKai9BMGIwlKCcLSWMKKEboECIFlenTXmlxues7IMVoRQbi035uzv8PIFTI19JGa79Gz7vgbheAEHK3jA3AHnFCG9JZxsoXcgwuYrQvgv6IgPujVu2EHhgxs346yljFsZGguMb3jjxggSMDuhxs3QWfJTZdt+oyzbZut8487uukU2X/9j21/yLfXPt9U/f7z+cfW9Tb/Jb26/OLn9obJ3309ar/fd2x/c/rX6/PvbHz08KVKbrXjMGkCJB3Bvo8eIETBZ92L0GFFYjJ6w9powkoSuMgBHURfK6JUmlnNWlsF8Xpaf5Ua+d3j5AmbSXn1eubUFpcPncYIHTB1kn+dqNuFkC70DETafz/Nf0BEf9LDNJsZiuXJulZPOfv4yJjbEkWHNJkS9YL0ONV7DN5sQuQXG3UuzCVGiDJIIyDP0k9zvqA7qKCGSgWW+AJdn7SghKgSrdbh5c3WUEDWGVL0Ahc6OEqLEiB0lte4oabZF3crdUULFA5emnjtKqGrBtSm0o6S66yixvunrXbpqcIXqw9BqmAfnDoyndAxwwdmno6R68OaFcHSUUClkIAU8jnRkT3fCOoIv6ILBpQbOCoDJZ6QnnxE4+VzS0cA1qseOEqpSho6S6q6jxHq3XtEVh6ytpGGzS7XcE86IjMDdUVI9ePMCODpKqATg6hrcUVKd7kR1xL6giW09LVTE0DzWxNaR2VOTW2tHSR2GifINX5hgBAnYTkPz4wE6ShgDIvGA4FmpCeMJK0bAbmFACmovNDCidD2AAwXPVR0dJYwoofucAIi7o4SRZbBKg6ujhJMvYGrsIzHbpWf1dmO6dqRonOABcwecU4R0lHCyhd6BCJuv0uC/oCM+6MPtKGmsHSVNaCwwvuGNGyNIwOyEGrcD7ChhDKDEA7i30WPECJisezF6jCgsRs/eUcJIErrKABzujhJGlsF8nqujhJMvYCbt1ec1W1vQOHweJ3jA1EH2ea6OEk620DsQYfP5PP8FHfFBD9tRkhm9+yMpUyee/URrTG2IJYNaSqh6wYId6rwGbymhcguMu4+WEqpEGSQRkGd6RYnpHX5BbSVUOrDWF2D1bG0lVIVgyQ53cI62EqrGkNIXoNDVVkKVGK+tRGYP1Ue+qezK1NlWQsYD16d+20rIasH1KbCtRKa7tpJ1mE2q36WrBlepPlythnlw7sB4SscAF5092kqU9jcvhL2thEwhAyngcaQje7oT1hF8QRcMLjVwagBMPiM9+YzAyeeSjgauUf21lZCV9t9Wspt03nPcrVd0xSFrK2nYbPMtz4QzIiMwt5XsJpvtBbC3lZAJwNU1tK1EjZ2dqI7YFzSxraeFKhmax5rdOtJ7coZr6yuRlhfL2zhRwMHLE5wgAZtqaJLM31fCGRCJBwRPTU0YT1gxAvYMA3JQa7mBE4Wl3GDvK+FECd3tBECcfSWcLIPVGxx9Jax8AVNjH5nZLj/bHpoiHafgsIIHzB1wUhHQV8LKFnoHImyeegNwQUd80IfbV6Kcm6WxROahwcAAh3dujCAB0xPq3A6vsYQzgBIP4N5OjxEjYLbuxekxorA4PWtjCSdJ6DIDcDgbSzhZBjN6jsYSVr6AmbRXo5dvfUHuMHqc4AFTB9noORpLWNlC70CEzWf0/Bd0xAet/ve7f/Saw7E6ua8v5x+//+EHhkCQjJzNwxUOzkKmXU5bh4ldbYg9u2syMcr9Ellud5g5gguasP+qDNQ31ptnr75z++mJclOfKL/1xatvvvrOxklZOk5e7zJRP2ACVY6q+J1zMu29qdKOu99Mualwi4dPZZnqj1J/NLZJkoojwnHwOoJmeKYZnmmGZ5rhmY3hGZ1BhjPglQSFcKERLjTChUa4sCFc0BHwm4g+VW/KluLhSKOMNMrIhjIio9wrSXlQwkbTc63/udb/XOt/btP/nK4fXywCa1JK/gst/4WW/0LLf2GT/4Imvx1KL3dL3r92rYF9dlnqf1tO85XSzLE5BK+wXgZMLnEF1LpNer9E1ttdFvZss/y721/qVe/VN+wNlp/q2lFnwTt59Q31PfU7P739Wbtd8cdqKdU/2pab1E+o3/LF7U875akvNn+S8a9Y72785CRXf7b6a7549RemwD0mB667AHH2aRIlyiCJgLzbH97+KFGp3slvq5jqS/jHr755cvvztiz4HX0AXXaWFrrgrv5VnWhj81P9a20H56ev/qL9BVkbZ44nZEqwiSZgB8Xar0lUCPbC4Bsjrn5NosaQnhJAYVPl5ncinpMVsrRr3ituqGXBePXfoesGV7DwPsy8qu19mFS14ALm6sPEdb5L1wkuXEHJzP1+sywrz/LCJP0pXTq4dPgTl/uBTkWpBBtj/YwuWAYKRr2lSeYFXSa4EpA3xGRx1hjHwiVdM7g2hPVJ2m+49+hK9+yTxDVe0TWGrGKkEZCLsj4zt+eNyLL76YYMmgye08WCy1lQkmmS+IImUWusm3zRrOpFslpNdYFd77tWizzJi7yclvNG1MVmDrammV+b9ls0X//blmxWYaAooSkhdYCFJKUmkC+xggTUetBs9fuv56q/VmnjT9uc5s9f/Yd18ftz9eWfv/oz/YXKK//i5PKjDz9ezj8++RfL+YcfbQrqV4/ePWnS1LguPGYNiMQDEpDi6Sy8fequ7Qt4LQdvM3Adpc0e9y902FRQHn3w8fL3pie3//Dqm237wO43ndz+4PavHurf1t0TePnygzZvf/2BzF+1f+Mm1/+x+lv0t3ffMO6bPzx59e32u988STaNDW1nqrok6m/QF0X97d+//S/GGfAJ67UJqM8FJKb20j4jCktpPz0z3jBvs5KEFhYBjrzJzurKhHLOijJYZT/Py7PSCPgOL2DAdB+U4/lK+9W2Eux4fTMreMDUQc5kskKeFcaGjUteuNBbEIHz1fb9V3TEB32oj9/k7X/b/GgTGg2McHg/yggSMEGhfnSA528YAyLxgOB+1ITxhBUjYP7txboxojBZN+vzN4wooQsHAJIJedYURpZzVpbBzJv1UY13ePkCpsZevdv29VDS8b4vVvCAuYPs3VzP33Cyhd6BCJvPuvkv6IgPesj3feV2M1Zani/a8IkuX+xOFKpesKCHeqnj60ShBk5ggeujE4UqUQZJBOStXwOmgv1nm7aT1LhH8YSsGKwlBjhAW1cJVSFYOcSNnaOrhKoxpB6HKBS1edY5JyuM3VVC1g2uRv12lZDVgotRX10lZJ3gIhTkWu+N4jwVxZkwtkc9pUsHl4HwrhKRZVVm8ZzP6HploN59askXdJngQkC2846mErJmcGnor6mErHTAphKyxpBFjDICqqauzswF5BFZNU9PiWsqeE7XCq5lPbSUkCQe7Ba+4/mFsggDRQkH38LnBAnYp0LTTv4tfM6ASDwgeK5mwnjCihGwDReQwFm38DlRBt7C50QJ3UAEQHI1B5pRzllRDmEHn5UvYGYMyoU8O/hlsdnwXf+HCfwpL3jA1EG2/I4dfFa20BsQYfPs4AMXdMQHfbjNwK79fhkaDYxweOfGCBIwP6HOjb8ZmDMgEg8I7ty2zcD/y7X+cl6JgBWkF/PJiMJkPo23x9usJKFLH8AhxJkwkpyzkgxmPV2dv6yAAXN7r95Tbq2KdHhPTvCAmYPsPV2dv6xwoXcgAuczn/4rOuKDbt/q9XBnVbT1GvDFJsaZSZnL0ky7eT2LfYsWExtiGl9vJrG+3IuqtzuH7NlM8rft6WR3buYLZQp/bXjH1+snx933Pm/0mcBdIcQICCwCvXSFECXKIImAPOU6/0b3g5xk6YkO90lWnaXVWZ7magLAT46j8oClwgDXZ+0ZISoEC4O4mXP1jBA1hpTbAIVNk57VxgXvnCyRpWnk3mJmOjmurPTb9OrN4U1l6Ti86R06Hrg0hfeWiFLYe0uoasG1ydVbci/2Oni7k+PWYTapfpeuGlyh+nC4GubBuQPjKR0DXGb8XScW7Vr2gzcvhI3iGZ1CBlLA40hH9nQnrCP4gi4YXGrgNAGYfEZ68hmBk88lHQ1co8KaV+wTz3t0pXs2r9yL+eXdpPOe4269oisOWVtJw2aXerknnBEZoZ++Fv9ks70ANoLndAJwdQ3qdnlLR/R0J6oj9gVN7MFWTwrbwXGb/SoYE+UbvnbCCBKwv4bmxwPUThgDIvGA4LmoCeMJK0bXEzgwAlJQe+GBEWXgwgMjSei2J8CRN9VZbj6Z4ZyVZbjSQ5GeCWkCfIcXMGBq7CMx26Vn21dUlI6XjrCCB8wdcE7RvapFJs9yYYK75IULvQcROOcVvUSu6IgP+nA7lq2HjpR1aCwwvuGdGyNIwPSEOrcB+pUZAyLxgOzt3BgxAmbfXpwbIwqTc7P2KzOihC4bAIh+gLXMjWWnc1aWwayb48hfVr6AqbFX51Zv1/na4dw4wQPmDrJzczUsc7KF3oEIm8+4+S/oiA962FeOCBOdsmKWF6q0dKLIunTRe0SIesEKHOqkYvaIECMgsAj00iNClCiDJALy3mgDOfntPCseNie3n+ud/rYl5OS3syp/WBXt985Ouu+R+WX73pHPNyZZt0F/W/37F3rXU1/AV/9eXeS/ePUnJ6/+3/Yc5V+qH1z/yGcnv70+AvC/1TLVFzZL8jQvEuWov6fM8/duf377uXh4oi5ze4igGinNwyx9eHL3Qma9mdr+rZ8ap6Un5BiDxcQA62ntWyEqBGuCuKN09a0QNYbU1gCFRV2elcYNy3OyxHh9K5U+CrLKtqXjxt23QsUDl8ue+1aoasH1MrRvpbnrW7G+Ne1dumpw1ezDZGuYB+cOjKd0DHDp26dvpXnw5oVw9K1QKWQgBTyOdGRPd8I6gi/ogsGlBs5UgMlnpCefETj5XNLRwDWqx74VqlKGvpXmrm/Ferde0RWHrK2kYbNL/9wTzoiMwN230jx48wI4+laoBODqGty30pzuRHXEvqCJPdjqh7D1rVRpGCbKN3j1gxMkYIsPzdn5qx+cAZF4QPD82ITxhBUjYAczIAW1Vj84UQaufnCidJdcBwqa0srqrGmMKOesKIdQ/GDlC5gZ+8jLttlZlW72ytf/YQJ/ygseMHXAKUVA8YOVLfQGRNg8xQ/ggo74oFvfNl8WVVUsimQqpstEiLROptVsmdS5rMRsnuV1vfFpg/o2S9dKZXmdoD0WGN/wvo0RJGB2Qn1bH/3Gzx6PTkYnqRrPyThLr0xxecwaF4nHBbdvb4bG/NqWL109+srFyeXVxZfP2xe1tK3XVSqEKQZPWGMQMIH34v0YUZi8n7EE8DYrSejKA3BkmTxramOSf87KMpj3Sy37dO/w4gVMrr1av2zrFDKH9eMED5g5yNbP1bHMChd6ByJwPu/nv6IjPuj2ZSmtARQv3e7u62odf//DDwyRIJg747VVti53YBZSdjFtHTB2rSGObdsEYxT7JbLY7hhzBBZ0Zf9Fv7ZNOY1Pbv/7670sm0aYV3+y7p74ddveoPfdfrnunTBhKeeV/845me3etGiH229W3FS3C13d1q9mqGr1UZtrS0/pOCIcB68haIZnmuGZZnimGZ7ZGJ7RGWQ4A15FUAgXGuFCI1xohAsbwgUdAb9l6LPypmRZ6JKlft5eoYxsKCMyyr1ylAclbDQ91/qfa/3Ptf7nNv3P6frxZSGwHqXkv9DyX2j5L7T8Fzb5L2jy26G0lq9NzEAvBRP2swIqYabYvAKtsl4ETCxprVOfpUntl8hqwcYV6mLXHhenMu32taU/1Y1+r3dzfrLp5fzs9ucn67bA9XtM1dL4aZusf6aXx5+1585t/pj1ivmbtiHwm6ZQPCaHorucMPZ9UiXKIImAvP/5rf+cn6Xmx2afkGWC/SwBexe21kmqQrAtBd+ScLROUjWGtHcACpvyTJoEnpMFsjROBuwgUGWDy0l4Q2QmmsbaEUmWCy4oro7IAKHv0oWCa0lQboEOh6d02eC8788h7kdZlLI4k0bBz+iCZaBg1OaZZF7QZYKrAHkfyjYULumSwWUhrFvRcbO9R5e6Z7tigMgrusiQJazPITAiS+6nIzFoJnhOFwuuZEHJnkniC5pErXFVNFPZ5HVSZNkqybLlMmmaVCSLrCyz6TydzZrNumFN97427bN0LdpPW9JXhmGifKbE0IEVkhyaQL7EChJQXUHzxh+uEzpdnX0j3Ws7ENvtUpUN/nr9ENi6mP3Xt395+8OTr7+VS/3k2cnowz/8YPGlD6cfLU5Gf/gHy4++/P4HS1NkHrNGRuKRwXO02++aMuPbTzsJdvtQpfrWJ23pX4Vzk1d/3p4j8mn7uOX2uPaftkeObM5i/2Ub3tfDrK5C2zqg/4BdQr9t+VR/yY/UH7c5dmT9u9YF8yxP01d/oj/13/r5Q/1XmM4jWR9Ckj1sT5V//WHP9mSTn6u/q7NNvts70OeprDfKNWar/ye3n9j+nt3L05ynnnCOh4ByXB/JMCMJSx3f2Pf9NitHaA0RoHAk1owgh1DC58QLWGSCEkpfCb/cFnwd74VmBQ+YMzhSJ0600JsPQfMV8P3Xc8QHvT3tZGP9tLEdrLBhXCSUw63MrJviTNNlHaSskZsfAfoSWS24FYXa0x8ou/EzZSw+2TwPo01K208ZVOxYv7Tg5PYnr77Tvgnjm9pL/bj95U/VfxYPc/VnKq+i/45f3bVtKtPb/unagP28dWqbFx7o1yJ82lqwn5zoP3ct4fPNaXCfWnsIiDEVWEx7qY8QJcogiUR5T8jywB2xPqwgUSG4ARZg8Rx1EaLGkE0lQGFpef7wnCwwdl2EKhtcjQh1kTyzl0WoasEFKfBFEVW1e1FEZX1J6bt01eDCFGRp0aHxlC4bnPv9NRKLXdM324M3A29/MQSZQgZSwONGR/Z0J+x+CYUqGFwwOPIAqmRwBQksoVgnkPfoSvesoNwbBJd3k8d7jsnjiq44ZOXrcziMyJL7Kaf4J41twO0veCATgKtiUI3lLR3R052o+9UWithNrrmZqvW/Bss1CxOGyjWdb4Qs7S/VwKTSck1hbRknqgWXdDTXDG2he/3VibpEoEsAJ7ffVanm55utcn1s+E9VXvlX7Y6+SiNf/YX+/aYoPCZHAXQIvWSHRIkySCIg77W3JhbF2cntD29/lFhuhidk1aAH6CNpJCoEl/x+kkaixpClE1BY5NY9f6JAlqTx3rpjfAths3kHWFU7X0BIJgNXnvC8sinzs8b4+OS/oqsFF5/QvLK+yyut71B+l64aXISC8kqL7dIwD84dGE/pGOAqsk+eWT9480I48kwqhQykgMeRjuzpTtj9PJMqGFxj4DwTmHdG4LxzSacC16WwVNQ+57xHV8qQitZ3qaj1Rr2iKw5ZT0kjZlfAc881IzICd2paP3jzAjhSUyoBuLAGp6b16U7U/dSUIrZ13/WymtflKhFVNVMfsyZparlK0qnM61mRr6p6vuaxpqxfm/bbCGg9MbNqwiBROlNy64AKSXBNIF9iBQno0EBz3+/rRjCV6n6q8tPN6wU/b7/4pO0PvGt++8Ubj1Lf/tJE/5iVXuL0AQmlMwDuEJw8+ups+fWT50/efvHuo6uTUvfitR+ZXLfjnbQvutn+6Z+cPLpUv/yo1Gtwk578j/87UdlrJh+eIL10xvvmCWvAA/pi+siFGUkG7aVj5Aht5wEoHHk1I8gh9NJx4gXM1H0kiLs0sdn2XjneVc8KHjBnwLnN/dpU3tjfhchJF3r/IXS+djr/JR3xQQ93EJSlSPBIbi60mU0UeZctbkmDqhbcTUJtXeSSBjUKAotCHyUNqkQZJBGQty1pZGepWos9JQ2qanC7qQcbR1UIbh0F2DN7SYOqMWQLBlBYWN4tck4WGK+kUW+PNalTZ0mDTAauPP2WNMhqwcUnsKRRp7uSRm19M/K7dNXgItSHY9UwD84dGE/pGOAqskdJQ2l/80LYSxpkChlIAY8jHdnTnbB7JQ2yYHCNgW0/MO+MwHnnkk4Frkv9lTTISvsvaezmm/ccN+oVXXHIekoaMdskyjPXjMgIzCWN3TyzvQD2kgaZAFxYQ0saauzsRN0raZDEHmhJw3qYUu1+Se09SJRu8JIGJ0jARhma+/Zc0uCklzh9QEJ55CUNzoAHbE/2kQszkgxZ0uDkCN1SBSgceTUjyAGUNFjxAmbqPhLEXZq4fR987XjDPyt4wJwB5zZBJQ1WutD7D6HzlDSASzrig9684r/9n/pDfv/9xWL5wWNlki5bj6SDUc7m+Ww2TZOlWMlE1OkqqetqlUxFkU4LKbLFYvryTZeZy04cl19d7qLzZhjXfyP9/tCJ77gxhm1sbhXS9vl+vDDK1m12bwEIDk93NNHETDRhIuounxARnv4ooEePzESPHjEgveZt7EPS/m7yXoZklj4cS2Eel676ZF7WXe5dctodeBBC4MBTuicW3ROq7u7wgnQHDi+l+9Eji3A1+AjKX8ss442izDyCMteWQV7anyYcZAiZRU/IogcZP2bRemARVB/E2DGbiXHm8hJ5lcYdO2bRE7LoQcaOWbQeVATVWraIPXaKh+NMPhwLi7PKcieYvWV8kDFUPJwo8ROL+AlZ/CBjqVDrmFL/6JFFvh5uBP1tehN7VFn8UFY4gfK4o8lihsiiBxlFNiNEUv3aDpseQm881p+Dxf01C7zN0+Uy0XxF17YdMMJ6CcDS/mua8UGzKVFlYt0/lp3ltrT+mqxfBOvHlV8Bym/IymWIcvJ0Y55lqJq7s4xfc+hoeQ7EfELWDxbtKbONCurpVtj9uYYiuN2PengA7rl8OM4Ly3olnWD289EGWa/KhxOL8AlZ+CBrVqlMj0W5tkQE6QdheirLICqdQGXcQWQWPSGLHmQAmUXrkUVQ/drY0XNRDNOz7djJKu/q8JXM9cqmvLJvzg3hhfz6r8n6RbB+XPkVoPyGrFyGKKfPQpsGQQBlTEYZwiL59U/I+lktUnW6FXZ/ZqII1oqLVSmyolglYlFl6mNRJE0xk4mYF7N50Uznudgw2Setr02txc1+Jq7t9LV+e4K6eM4JzPVgvyEUaAyMt5oXff/brfYO1zEbcjtEZtN8MdPnu6dFlSeiyBdJXYl5UszVj9bNfFYsioMZIg00RJxlHFO8sBjEGiINMES4kNfbzKu8aI8RWK5makw1zSypF0uZzKq5bKrVqilX90r7sYZIniJDJHdWa0zxwmIQaYjkqX+IsCGvLfCyKeW8LtQvZiIR6WKWNNO0SeRqmS2y+arJpuXBDJEMGiLuoowhXlgMYg2RDBgiXMjrrWFZ1dkqLZO5TGeJyLM8qdXSlMyni0VWLuZS5rODGSI5NETcFRZDvLAYxBoiOTBEuJB3O3qiOwa6gYD2BEhxaDdicvFwnDcPx4X6d2Gpa+bu8kjcvgoFMFEAEwUwsQBMyABDbNAoAPXRqI9C/5eFQW8CEiBe26/Rtjbmfk3u383/it63sDPW9iL0APs1gP5rsn4RrB9XfgUovyErlyHK6ZPVdtL2o4zJKAPs1wD6J2T9nPs1uTjdCrs/M1EEa8XTMl9mIquSRpRVIoRK3OtsmifKRy2nWSHLRXM4NlpCHkmGhQKNQSyPJL3DdcyG3A6R5Wq6yIvpKlnNZguduOfJNJtVSTovmnqei2VRHM4QKaEhUobGC4tBrCFSAkOEC3k9i0wXq9mynCbTWdYkIstnyVTMyqQUclbOVk2TVeJghkgFDRHnBrjxloJiEGuI+IsUYzbk9Xn383m5qmbzpK7m80Q08yyZiek8WZXTPJ/OZnVd1QczRKDCQO7cJTfFC4tBrCECFAbYkLtvsBs6MfLveH8ld+14F2XeZR80MfLrvybrF8H6ceVXgPIbsvLuTeR343sMohGAMiajDJEY+fVPyPpZE6PmdCvsfmJEEXxslqaASlCFqx5jCAUag0jrVQGUoNiQj87SFFAJqnDVY4zxwmIQa4gAJSg25KPLnQuoBFW46jHGeGExiDVEgBIUG/LR7cAVBTREXGUS86wLxSDWECmAIcKFHDkxKvyb5V8phJO96LIPmRgB+q/J+kWwflz5FaD8hqy8exP53fgeg2gEoIzJKAMkRoD+CVk/Z2JUiNOtsHuJEUnw0SVGUMWokGGhQGMQa70CKkZsyMeXGEEVI23XwuKFxSDWEAEqRmzIx5cYQRWjwlU+McYLi0GsIQJUjNiQjy8xgipGhfuMSNOsC8Ug1hABKkZsyG37puZeYzcv47TWGa+zsGw7ZkKUTVHYH2ceICMS/m3Ta7J+EawfV34FKL8hK+/ePX4b3tdoGZM1D5D6ADGfkPXzpT4mnY8ekYRqpbNMlGquEkmdL9SU1CzKZCaLMlFfzWfTusmnxWa2ib8SCWgXV1i2NG2hQGMQaSUSwC4uG/LarMzny2k6XyZ1M5smYlnrl3/W00SKablYillWFNXBDBEBDRERGi8sBrGGiH8TZ8yG3A6Reb7SjyilSTaf54mYLdTAWqYyWa6yZanMTlEfzuNIAsqKhSVFtMcLi0GsIQJkxWzI65cL5TO5XIlpkpalTLJsWSd1umiSNJWpLOs6a+ThLDRQyiMs/t8eLywGsYYIkPKwIa+fWNPk956P70YCekqKFIj2kTVpPsBrLBoz+qY/EH+VGaQfd7PtY2oW0ROy6K5/hUSjFnbzaJpFtH4LJ0H1awlzrBcmbiuL0p9ZfEU6nyCv7W91GiCPBvRfk/WLYP248itA+Q1ZuQxRTp+FNtMxgDImowyQXgP6J2T9fOn1Wyqop1th92YmkuBW8aIps3LZJLlI54lYNfOkluUsKerZci6KVZPPm5cH4n4k1E8nne83uB8KNAaR3I8E+unYkNeVxVyqn15lybTWZrqqRTKdVrNkvszKuUjzVZUdTGVRQjsx0rItYY8XFoNYQwTYiWFDbodIUzVFmtZZIvQJLGJerpK6mKnhlIlVPS/SWqVhBzNEoH466XztgCleWAxiDRGgn44N+Y+250o9PIAsSlrghRO+6sIPm0WZRU/IogfJosyi9cE8BNVaduy398rSMnakEwh/UyakP3TsmEVPyKIHGTtm0XpQEVRr2TL22KkejvO0eahcvP6obHOwZatzwxf3nUOKYaIZJrL9sDBMyAyDjKxKv3Yo1e8dkutPC4YehASOg5in6ofjLM/UR1FbhpmriShv0rjDrH440fInNvkTsvxBRlitD+1R+vUBK2YAPeoIBAcxttTsVUr1j/p3VTwc1+qfRg+1tP1Q383a86Jsb7qXzqfZG/wtRRBn6MhT05qCmyi4iYKbKLhJowdi2n6o72bteVK2N+KT4QYZl3q2K/VhUqX+r0qfLVXrj6Ydqun6U/9Stj53yvoKfRLma+Y/1ja4ieYrpbNBReTWazbAfnfp36q8JusXwfpx5VeA8huychminDzfGacvsubu9OXXHDpangMxn5D1821sm+cYklCtdLESi7rKpkmdyWUi0rJM6vk8S5ZF0ayKVTFvVsuXnTU01lZUCe1WlpatO1so0BhE2ooqgd1KNuR1a+FsvpyuiiaRQsz1zuYqmZapTEQ2qxfZbLoodDnlQIYI1DdWitB4YTGINUSAvjE25G2T+2bGjvX+WPN1tqSkG+iohxyW/k6ua7J+XrPiV35DVt69e/wLZ1+jZUzWPIRZ8cd8QtY/uFmhCG2z+WUzzxe5TKZpNVWrlu57LtM0ydO0XGbzetqIgzmWpYR6D0tnI979UKAxiLUSAb2HbMiR3kNhvK6V249Hfbyq8ic+12T9rCsPoPyGrLx7t/hnwb5Gy5iseYCVB4j5hKx/6JWHJPTYVp4KSpMrd85oaAHHYhBp5amANJkNeZsDZZEP0TBfaOGktnc9DLEU+TPXa7J+3qXIr/yGrLx7+/inxb5Gy5iseYilyB/zCVn/4EsRRahWOs0yUUrRJGU2l4kQdZXM5LxKVrNqkS6yWpZl8/JQliLoGb3KnQ/eCwUag1hLkT9XH7Mhr3dsV3W+nAmRzITuRc2aeTKbFqskzTNZ51UmZ/JwhgiUJ1fupNEQLywGsYYIkCezIbdDRGSrKq1mTVJly0r9bJopZ7PKk2q6yptFKVfycOo+NfTu6Nrt7Q3xwmIQaYjU/rxrzIbcDpG6rPN5tVDzTFGliSiXq6SZi1lSNEXarJrptFgezIMMNZTz1O4EwBAvLAaxhgiQ87Ah65zn4fpkyoNJdWq3p7I36Q6Q6tR+83pN1i+C9ePKrwDlN2Tl3bvGb7v7Gi1jsuYBUh0g5hOy/qFTHZLQY0t1aijVqd2+33BUMBaDWCsQkOqwIR9dqlNDqU7t9v2GeGExiDVEgFSHDfnoUp0GSnUat+83xAuLQaQh0gCpDhvyIVWNG7dZtz8KNIB/bfzJxjVZvwjWjyu/ApTfkJV37xa/l+prtIzJmgfwr0DMJ2T9Q/tXktBj20FpoM7ZRoSFAo1BrJXHn2aN2ZCPz5xAKU7j9vuGeGExiDVEgBSHDfnoUpwGSnEat983xAuLQawhAqQ4bMhHt1GSpVCOo34sNGJYFCINEsXjHyV80IeU5mSp01BJ+wPpA+Q5Spz3Ol3TCUQwAa79CtF+Q9fevWn8vruvITOmix4g2UHCPqETDJ3u0JQem5nNUijhUT8WFgw0CtGWISDl4YM+OkObpVDSo34sNGJYFKINEyDt4YNuh0m6KJtSylmyrMsiEVORJtOpXCbLeT2tV7OyWYrZ4QwTKPFRPxYaMSwK0YYJkPrwQe/67jeXPdabUt7ajYLGGw41BhpzONbnjaWR3a+f4JpOIIIJcO1XiPYbuvbu3eW3YXsMpRECM6bDDOKK/QQTOgGfK35Lx/V0J83gjymaj84fZ9g2TeZ6lbohGGgUYq1oGbJNwwZ9dC9cyTLoLfNZ5nrnujFiWBSiDRPgPfN80OtnUud5XjfLVVJWrUnKRVIXiyZZCFlWVZYu0rI8nGGSY8PEsvVgjxgWhWjDxL8zNOaDjrTpu7PDmf816uqSu96jXpRRn09FCK7pBCKYANd+hWi/oWvv3kx+/7XHUBohMGM6zBB2GCCY0AlY7XBWnO6k3bfDJM3Ht4Bh28WZCAsGGoVoCxiyXcwGfYR2WGLDRIZGDItCtGEikWHCBX2EyTVWVcjK0IhhUYg2TJCqAht0dDtceenVJa+c9FGfYUQIrukEIpgA136FaL+ha+/eTH7/tcdQGiEwYzrMIHbYTzChE/Da4ep0J81ghymaj88OY/XOzHX2gSEYaBSiLWBIvZMN+gjtcIMNE2dFxRQxLArRhom/9DXmgz4+O5xjtabcWXYxRQyLQqxhkiO1JjbotnuiRe+Og24ooPN1SJFoD0nK8lyfwKWP4SqELQruUkrcg5A0wEQDTGwAEzpA18pAALCbWR92pAH0Z3sWlwWhPaWLwNBORmuGWP05ltnEsm+5aUsqrFdkiEwr9+8WX9MJRDABrv0K0X5D1y5DtJNnJsssRBU9REYFhH1CJ+DLqGyTDUWplrqUzWq2Wk6TxTSdKTO9Pqy9SvLVMhNNM1Wr4/TlwTgfbL9Yj/qQYKBRiOZ8kP1iNui165lORV4Uq2ReFlminJQy03I1S5ZFrtxSsUqL2cG80jvLK2yYWPYe7BHDohBtmPg3icZ80JH2iy2X1pItbiijnmWkxHmv0zWdgNmt+LXf0LV3bxr/stnXkBnTRQ/iVvxhn9AJhncrFKVHtwwVWLNnYckTbcFAoxBrGSqQZk826OMztUWBDRO3wzdEDItCtGHiT8DGfNCbF/Jq7sPZYymkkzbqOVhKnPd6XdMJeF0LoP2Grr178/iXz76GzJguegjXAoR9QicY3LWQlGqpzbzKpst5kSzkqkmybFkndboskzSVqSzrOmvkvapCvOUIS54Ldx5pOB4Ki0K05QhJntmgd9Wle+61GwqooEGKxLq6VDQPx2qhVB9Sf5T6o6rUR12oj0Z95Gn7Udli5Kznp/iMBJHik9K69qTwJhpvovEmGm+i8SYab6LxJhpvYsOb0PEGqUwpPPUp2k/Zfpbtp0JUn4pRfTb6U1PqTzOm/pMonBp0c6rbYVWvhPNNUTJun6DwF7av6QS8zgrQfkPXLkO0k2c+8zxGFj2EswLCPqETDO6sSEpbqc101qRpkciZKBLRTKuknk3zpBZlmdepFItq+fJQnJXIIWcl8rBgoFGI5awE8lQnG/TagDeyknWqX4kiykTMmjppauXC5kW9Evm0bharxeEME+zZKSFCI4ZFIdowQZ6dYoNuh8k8b4o8z2bJoinmiRC6sTRP02SZzZpmVmVltTyc3WWBPRQjytCIYVGINkyQh2LYoNthUq7qtFwt0mSVp6tEzMsmqRdNk8yXS5GWxWqaiupwhgnWei7cb50yRAyLQrRhgrSes0EfVC1cus1V1HMylDjvdbqmE4hgAlz7FaL9hq69e9P4TXhfQ2ZMFz1E7gOEfUInGDz3ISk9umVIYrmPdKcBhjd6Y1GItQxJJPdhgz4+Uyux3EeK0IhhUYg2TJDchw36+HZSJJb7SHcaYIgYFoVowwTJfdig1zspohHTUqZJXemnpdTwSqa5+g3lYlqo/1ODqj6YQ5oyieU+0p0GGCKGRSHaMEFyHzbog8p9Sqe5KtMu5aC5T+k3std0AhFMgGu/QrTf0LV3bxq/Ce9ryIzpoofIfYCwT+gEg+c+JKVHl/uUWO5TOtOA+8FAoxBrGSqR3IcN+vhynxLLfUoRGjEsCtGGCZL7sEGvm66m86ZeFmUi5wuZiOm8SposK5O6qebZfJ7NFuXhtIuXWO5TOtMAU8SwKEQbJkjuwwZ9fClyieU+pTMNMEUMi0K0YYLkPmzQf7Q5YmVz1Q+rB65ym628Sz1oLlT5je01nUAEE+DarxDtN3Tt3ZvIb8r7GjJjuughciEg7BM6weC5EEmplppNi2WRS6nmpmmp5qZllcxm8zrJq0aZnSyvm+nhvOKswnKhyp0W3AsGGoVYy1KF5EJs0O0wSUU6rZWlScqlWsfEvJkljShkUq6acjVb1itRrA5nmGC5UCVCI4ZFIdowQXIhNuh2mNTTVGZVLZNCyioRpRpc+nC5ZD4v5jIX6bycNoczTLBcqHKnBYaIYVGINkyQXIgNemtyN3WeAzO5bmsf98UflT85uaYTiGACXPsVov2Grr17E/ndVl9DZkwXPYjJ9Yd9QicY3uRSlGqposhWC5GKJF00hZ6byqRpskwZn+VsPl+lWZ4fTt25xl7QWrsdv+HlBlgUYi1LtT8hG/NBr3dyi6qeV5lMstk8S0S6kkm9SJskk9Mmy5ep8j6LwxkmWC5Uu9MCQ8SwKEQbJkguxAa9dS/ZJic+LPtSCyd22cUe1L7U/uzkmk7Aa18A7Td07d27yL+O9jVkxnTRQ9gXIOwTOsHg9oWkVEtdiLySVZUlRT6v9Wsglsk0S/NkkZVlNp2ns1lzOIXoGsuqa3eCeS8YaBSirUtIVs0GvX5vWVNVad00SSnVz4q8mCXTaZkmolkt61pMl/XicPboaqzCWLstvyFiWBSiDRN/Rjbmgz6+tpYGS4Yad15giBgWhVjDpEGSITbo42uSa7BkqHHnBYaIYVGINkyQZIgN+qB6tRu3uYp7tHXjN7LXdAIRTIBrv0K039C1d28avwnva8iM6aKHyH2AsE/oBIPnPiSlx7cMYblP404DDKeuYlGItgwhuQ8b9BGaWiz3adxpgCFiWBSiDRMk92GDXj+AKBfzMlvliZCF+hCySWZiWiWz+ayYlrNSiiY/lGGiGJBhon4sNGJYFCINE8XjHyZ80O0wmS2rclat0mRR55lKp7MimaYzmSzEopmldZ3Vq+xwhgmU+6gfC40YFoVowwTIffigd4UgsSaPVQh6azcK/C/EV2PA8kL89WtZs6iviEcIrukEIpgA136FaL+ha+/eXX63vsdQGiEwYzrMAMkTQjChE/AlT2/puJ7upN1Lo2ia2zRKLKpqviySWVbXug0iT6bFcqYfRllks3K6qOX85cGsaFD/rvqxsGCgUYi2ovlT/jEfdDtMVmI5a8pymszUv3W5aZbU6Wp2kGcN5Cl0nqP6sdCIYVGINkz852KM+aDbYSKXTbUUtVSp+EqZpNmsTJqpWCYyXS5knper2aI8nGECbcqoHwuNGBaFaMME2JThg97548040PYrrj/2n9ChxkDlDEfUIgJCcE0nEMEEuPYrRPsNXXv37vIbsj2G0giBGdNhBvHHfoIJnYDXH1enO2kGf0zRrEUvllleLlarpMgX6YG3WOUptH+sfiwsGGgUoq1owP4xH3S7oq3f5NAdCN1YQIfzkELRnrKUZ+nDsShy9SEzWxgaZxjw80cgFnwGas9R0gATDTCxAUzoAN3ZBwKAJ6D1SUka4NEjTaA+LQh6NqIwtK4p+gjLHqoPoT5y/VHoD6EGXC7V0MtL/VG1H7X6qPUv1KX6aNT3ilR/ZO2H+tUi1x+F/hD6Q+b6Q+oP/WWpvyz1l6X+stJfVvpL/ScX+k8uav1lrb9s9JeN/rJRX4pU3wEqCVQf+stMf5npL/XfK3L9ZW45ZyzPLPWDzaXB31ENXYng+yN7ONHhn+jwT3T4Jzr8Ex3+iQ7/RId/osM/0eGf6PBPdPgnOvwTHf6JDv9Eh3+iwz/R4Z/o8E90+Cc6/BMd/okO/0SHf6LDP9Hhn+jwT3T4Jzr8Ex3+iQ7/RId/osM/0eGf6PBPdPgnOvwTHf6JDv9Eh39iC/+EHv5h7u5Mn26m4q8+8/azaD+Fvt/1NVCfZftZrT9r/Vm3v6ouhPps9Pf1pVCf2fpT/4y+GuqzaD9F+ynz9lO2n+13yvY7Zfudsv1O1X6nar/T/l1F+3fpS6M/2+807Xea9juN/o6+PvpTtp/td7L2O1n7nVaPvkr603aOG+06vTaDRS+LZP7jpL+ifshFmWfW0ThE2gcQXNMJRDABrv0K0X5D1y5DtNNXxK39BGDGdJgh0j6AYEInYE37sux0J80wTVE0a9GztEibuZgn2ujrvvk8qZu6SYrVTM3e2WraZJtRdgBpX4YV+jNLzdsWDDQKsdK+DCn0s0Gvn6yZLovFrMmSslG/Qf15IqmLapbI+SyfZmUt0sN5d1+eFdgwcZYSTRHDohBtmPhrvmM+6M67+7QxiOF7LJdamqnXXTBVZH/jL2dd0wmY/Y1f+w1de/cm8i+ofQ2ZMV30ID7GH/YJnYDPx5iEavdCUdomWbNVscybaTKdZvXueHhxmNX6rMKWJcsOvi0YaBSiLUv+UsuYD3r9UrayzufVokpmRaWcTrlcJcr4zJKiUQ5o1UynxfJg3n6TZw02TCxbq/aIYVGINkwaZJhwQa9LYLkQMptOk0pW2W5IpYc5myirhgyT3JIY2iOGRSHWMMn9GfyYD3pd/ZpLlSAJ9ROLlW4iy9KkmcpZks7m6hu1FModH84wwXKh3JIW2COGRSHaMEFyITboQ3ouONfhd1DmXcpBc5/cb2Sv6QQimADXfoVov6Fr7940fhPe15AZ00UPkfsAYZ/QCQbPfUhK251bMUvzLJ0m9XQllLMRZTLLpk2ymk/LeVaItJoezKkreY7lPrk7DbgXDDQK0ZYhJPdhgz5Ct4LlPrk7DTBEDItCtGGC5D5s0MeX+xRY7lO40wBDxLAoxBomBZL7sEEf34ZbgeU+hTsNMEQMi0K0YYLkPmzQB5X7FNJJWXQpB819Cr+RvaYTiGACXPsVov2Grr170/hNeF9DZkwXPUTuA4R9QicYPPchKT06U1tguU/hTgPuBQONQrRlCMl92KCPr+5TYLlP4U4DDBHDohBtmCC5Dxv0pgdOqmFUL5OynC8TMdUnJFSlTOZNLpZins7qWXUww0RguY9wpwGGiGFRiDVMBJL7sEEflKkVbuse9YwmJc57na7pBCKYANd+hWi/oWvv3jR+d9XXkBnTRQ9haoGwT+gEg5taktKjM7UCe/WIkGHBQKMQbRnyJ2BjPuh2mFRSzJZyUSdynhWJEE2aTMtplqxmzbxKl+pXZ/JwhgmW+wh3GmCIGBaFaMMEyX3YoI/Q1GK5j3CnAYaIYVGINkyQ3IcN+qBMrXRb97gvZpT+5OOaTiCCCXDtV4j2G7r27k3jd1d9DZkxXfQQphYI+4ROMLipJSk9OlMrsYKhdDt8wzvDsCjEWoakPwEb80EfX/uBxHIfKUMjhkUh2jBBch826OPb0JdY7iPdaYAhYlgUog0TJPdhgz6+LhWJ5T7SnQYYIoZFIdowQXIfNuiDyn1Kt7mKemqxEue9Ttd0AhFMgGu/QrTf0LV3bxq/Ce9ryIzpoofIfYCwT+gEg+c+JKVHl/uUWO5TutMAw1mKWBRiLUMlkvuwQR9f7lNiuU8pQyOGRSHaMEFyHzbo46v7lFjuU7rTAEPEsChEGyZI7sMGfXy5T4nlPqU7DTBEDItCtGGC5D5s0AeV+1RucxX3wIHKb2Sv6QQimADXfoVov6Fr7940fhPe15AZ00UPkfsAYZ/QCQbPfUhKj87UVljuU7nTANOb9aEoxFqGKiT3YYM+PlNbYblPJUMjhkUh2jBBch826OMztRWW+1TuNMAQMSwK0YYJkvuwQW9fP7oxVfrix3j96Fu7QeA/qkUNAedRLXncpieA4JpOIIIJcO1XiPYbuvbuzeV3YXsMpRECM6bDDGKK/QQTOgGfKX5Lx/V0J81gjymatWiZyVW1EEVSNMssEUVZJtNm0ST5bFksRJbO1VcvD2ZBw3ZpKsuGhS0YaBSiLWjILg0bdDtMyum0nhWzJqnKQiQiXTXJVM7VR5pn82Wh/qADejt/nULDpHaeqGKKGBaFWMOkToFhwga9HiarOi1XizRZ5ekqEfOySepF0yTz5VKkZbGapuJwev1r7AHW2n2ihSliUBSiDRP/xtCYDzrSnu/ODtf+IyzUJc9d9JX9TKwh7DBAcE0nEMEEuPYrRPsNXXv3ZvL7rz2G0giBGdNhhrDDAMGETsBqh+v8dCftvh0maT6+BQzbLa6dJ63cDwYahWgLGLJbzAZ9hHZYYMNEBEcMikK0YSKQYcIF3Q6TZTYrCjGvkrmcqwxrLvJkKmSWrKYib+S8mq7K9HCGCVZUqGVoxLAoRBsmSFGBDTq6HS699OqSly56lW3bHMAgdthPcE0nEMEEuPYrRPsNXXv3ZvL7rz2G0giBGdNhBrHDfoIJnYDXDpenO2kGO0zRfHx2GCt31pbKny0YaBSiLWBIuZMN+gjtcI0NE2dFxRgxKArRhom/9DXmg26HyWohm2apPNFqOlskYracJ7M8K5K6adLFsizlYnVAwwSrNdXOsospYlgUog0TpNbEBh3JDpsvbeNsOazzLuWgtrfx7+Jf0wlEMAGu/QrRfkPX3r1p/D6rryEzposewt4CYZ/QCfjsrUmoMrUkpVpqlU2XMs9XiVxmUzUXlVnSzKaZWsGqeTrN0rosFi8PZRlqsD3extkcez8YaBRiLUMNssfLBr12K42Uy2JeJJmsZ9t+v0VzmK2eDbZ518jQiGFRiDZMkM07Nujjy30aLEVunM2xpohhUYg2TJAUmQ16/RbMrJ6WZTNPpFS/QUyLmZp5lAuuRbFcLZsiXRXzwxkmWO7TWNIAe8SwKEQbJkjuwwZ9SLlPkbrNVdTzipQ473W6phOIYAJc+xWi/YauvXvT+E14X0NmTBc9QO6DhH1CJxg696EpPbYN/SKFch/1Y2HBQKMQaRlSPN6xOuaDPrrcp0ih3Ef9WGjEsChEGyZA7sMHfXS5T5FCuY/6sdCIYVGINkyA3IcP+ujaoIoUyn3Uj4VGDItCtGEC5D580AeV+2RucxX1WCslznudrukEIpgA136FaL+ha+/eNH4T3teQGdNFD5H7AGGf0AkGz31ISo8u98mw3CdzpwGGM1mwKMRahjIk92GDPj5Tm2G5j1YcGDEoCtGGCZL7sEEfXTNTkWG5T+ZOAwwRw6IQbZgguQ8b9GGZWrd1j/qGFyXOe52u6QQimADXfoVov6Fr7940fnfV15AZ00UPYmr9YZ/QCYY3tRSlR2dqc+iNC+rHwoKBRiHWMpT7E7AxH/TxbejnWO6Tu9MAQ8SwKEQbJkjuwwZ9fLlPjuU++lKGRQyLQrRhguQ+bNBH99KwIsdyn9ydBtDfnxVrmCC5Dxv0QeU+udtcRT3WSonzXqdrOoEIJsC1XyHab+jauzeN34T3NWTGdNFD5D5A2Cd0gsFzH5LSo8t9Ciz3KdxpgOGwDSwKsZahAsl92KCPL/cpsNyncKcBhohhUYg2TJDchw36+HKfAst9ChkaMSwK0YYJkvuwQR9fM1OB5T6FOw0wRAyLQrRhguQ+bNAHlfsUbnMV9VgrJc57na7pBCKYANd+hWi/oWvv3jR+E97XkBnTRQ+R+wBhn9AJBs99SEqPLvcRWO4j3GmA4UwWLAqxliGB5D5s0MeX+wgs9xHuNMAQMSwK0YYJkvuwQR9f7iOw3EfI0IhhUYg2TJDchw36+HreBJb7CHcaYLqxoChEGyZI7sMG/Ueb08/qNbh4Gff0s0L433qnhoD78KS4ORJAcE0nEMEEuPYrRPsNXXv35vKb9T2G0giBGdNhhsidAIIJnYAvd3pLx/V0J+1+FkXSrEVj1exDWdCwJxOFJaW0BQONQrQFzZ/xj/mg22EiamWL5qJMRC2LRFTqN0znRZoUIl1U+XKViuJw9nwldPqZ+rHQiGFRiDVMJHD6GR/08e3JSGxPRroPAqNvT8QaJsieDBt0pNLAzg5L/4FP6pLnLvrIJQOA4JpOIIIJcO1XiPYbuvbuzeT3X3sMpRECM6bDDGGHAYIJnYDVDsv8dCftvh0maT6+BQzbLZbOg8D22F833XNe+B7uO2S3mA36+LImCZ1+pn4sNGJYFKINE+D0Mz7o6D7Hv1euLrl00tdd+mF9jp/gmk7A7HP82m/o2rs3k39h3WMojRCYMR1mEJ/jJ5jQCXh9jjzdSTP4HIrm4/M5JbaAlWHBQKMQbQHzH8Y25oM+Qp+DlTulpfJnjxgWhWjDBCl3skFH9zn+io665O5DvaKeZo8QXNMJmH2OX/sNXXv3ZvIvrHsMpRECM6bDDOJz/AQTOgGvz9HlTWkrb5I0H5/Pwcqb0lnpux8MNArRFjCkvMkGfXzlzRIrb5bOSp8pYlgUYg2TEilvskEfnx0usfJm6az0mSKGRSHaMEHKm2zQse1w6a/oqEvurI40aZd+UDsMEFzTCUQwAa79CtF+Q9fevZn8/muPoTRCYMZ0mCHsMEAwoROw2uFSlzdLW3mTpPno7HCJlTdLZ6XvfjDQKERbwJDyJhv0EfocrLxZitCIYVGINkyQ8iYbdHSf46/oqEsunfRZl35Yn+MnuKYTMPscv/YbuvbuzeRfWPcYSiMEZkyHGcTn+AkmdAJen6PLmxtpBp9D0Xx8Pgcrb5ZlWDDQKERbwJDyJhv0EfocrLxZOit9pohhUYg2TJDyJht0dJ/jr+ioS+6sjjR5l35Yn+MnuKYTMPscv/YbuvbuzeRfWPcYSiMEZkyHGcTn+AkmdAJen6PLm6WtvEnSfHw+Bytvls5K3/1goFGItoAh5U026OMrb1ZYebNyVvpMEcOiEGuYVEh5kw26HSZzuVw0ad0ks6WU+g0XtRpSsyJJV3ldTvPFbDaVhzNMsPJm5az0mSKGRSHaMEHKm2zQse1w5a/oqEvuro7cO6N3UDsMEFzTCUQwAa79CtF+Q9fevZn8/muPoTRCYMZ0mCHsMEAwoROw2uFKlzcrW3mTpPno7HCFlTcrd6XPdDA9FIVoCxhS3mSDPkKfg5U3KxEaMSwK0YYJUt5kg47uc/wVHXXJpZPefmD5ID7HT3BNJ2D2OX7tN3Tt3ZvJv7DuMZRGCMyYDjOIz/ETTOgEvD5Hlzc30gw+h6L5+HwOVt6syrBgoFGItoAh5U026CP0OVh5s3JX+gwRw6IQbZgg5U02aP2yWvWbNXfUl9RW/sqOuvTud1zGfVsFQHBNJ2D2O37tN3Tt3ZvKv8DuMZRGCMyYDjOI3/ETTOgEvH5HlzkrW5mTpFmLxpo1DmUhw8qclbPidz8YaBSiLWRImZMNem2LoRf5H8gwqbEyZ+1+X6vp/R5QFGINkxopc7JBH1/2VGNlztr9vlb6a2BiDROkzMkGHXv7r/ZXdtQld1dJ7p1cPqgdBgiu6QQimADXfoVov6Fr795Mfv+1x1AaITBjOswQdhggmNAJWO1wrcucta3MSdJ8fAsYVuas3RW/e8FAoxBtAUPKnGzQx5c11ViZsxahEcOiEG2YIGVONujoPsdf2VGXXDrp751SPKzP8RNc0wmYfY5f+w1de/dm8i+sewylEQIzpsMM4nP8BBM6Aa/P0WXOjTSDz6FoPj6fg5U56zIsGGgUoi1gSJmTDfoIfQ5W5qzdFT9DxLAoRBsmSJmTDTq6z/FXdNQldz8EFvfQIYDgmk7A7HP82m/o2rs3k39h3WMojRCYMR1mEJ/jJ5jQCXh9ji5v1rbyJknz8fkcrLxZOyt994OBRiHaAoaUN9mgj6+82WDlzcb9QKMpYlAUYg2TBilvskG3w2SW1dOybOaJlOo3iGkxSxp9WHktiuVq2RTpqpgfzjDBypuN+4FGQ8SwKEQbJkh5kw06th1u/BUddcnd1ZG43X4AwTWdQAQT4NqvEO03dO3dm8nvv/YYSiMEZkyHGcIOAwQTOgGrHW50ebOxlTdJmo/ODjdYebNxV/rorSqme84L38N9h5Q32aCP0Odg5c1GhEYMi0K0YYKUN9mgo/scf0VHXXLppI97NhVAcE0nYPY5fu03dO3dm8m/sO4xlEYIzJgOM4jP8RNM6AS8PkeXNzfSDD6Hovn4fA5W3mzKsGCgUYi2gCHlTTboI/Q5WHmzcVf6DBHDohBtmCDlTTbo6D7HX9FRl9xVHRFp2qUf1uf4Ca7pBMw+x6/9hq69ezP5F9Y9htIIgRnTYQbxOX6CCZ2A1+fo8mZjK2+SNB+fz8HKm42r0mcIBhqFaAsYUt5kgz668qaGBYaJ+rHgiEFRiDRMlGL/MOGDPrpuP5FC5U31Y6ERw6IQbZgA5U0+6Mh2WKT+io665K7qiB43NgcwgB1GCK7pBCKYANd+hWi/oWvv3kx+/7XHUBohMGM6zAB2GCGY0Ak47bBSdbqTds8O0zQfmx0WKVTeVD8WFgw0CtEWMKC8yQd9hD4HKm+qHwuNGBaFaMMEKG/yQUf3Of6Kjrrk0kmfd+mH9Tl+gms6AbPP8Wu/oWvv3kz+hXWPoTRCYMZ0mEF8jp9gQifg9TnydCfN4HMomo/P50DlTfVjYcFAoxBtAQPKm3zQR+hzoPKm+rHQiGFRiDZMgPImH3R0n+Ov6KhL7q6ORD10CCG4phMw+xy/9hu69u7N5F9Y9xhKIwRmTIcZxOf4CSZ0Al6fU5/upBl8DkXz8fkcqLypfiwsGGgUoi1gQHmTD/r4ypsZVt7M3JU+U8SgKMQaJhlS3mSDPj47nGHlzcxd6TNEDItCtGGClDfZoGPb4cxf0VGX3F0diXo2FUJwTScQwQS49itE+w1de/dm8vuvPYbSCIEZ02GGsMMAwYROwGqHM13ezGzlTZLmo7PDGVbezNyVPvoxTaZ7zgvfw32HlDfZoI/Q52DlzUyERgyLQrRhgpQ32aCj+xx/RUddcumkj/oSfoTgmk7A7HP82m/o2rs3k39h3WMojRCYMR1mEJ/jJ5jQCXh9ji5vbqQZfA5F8/H5HKy8mZVhwUCjEG0BQ8qbbNBH6HOw8mbmrvTR30cfa5gg5U02aPW/39Xkel9Rk2cv4x7GKTJ/iUeNAefLLot73fvDGh8/wTWdgNn4+LXf0LV37y7/SrvHUBohMGM6zCDGx08woRPwGh9d78xs9U6S5tb4FLqC0RRJnYpFImQ5TabpbJkUszxtxGxRVKvm5cGsaFi9M3OV/gzBQKMQbUVD6p1s0OvXVhSzaVZnaVJk5TIRWVYnTbqcKZOUNws5r4u0Kg9mmORYvTN3vrjVFDEsCrGGSY7UO9mgjy+NyrF6Z+58cavxxoKiEG2YIPVONug/Wp9Rr11XVFuc+0s96tK7yiZFEfexToDgmk4ggglw7VeI9hu69u5N5fdhewylEQIzpsMMYYsBggmdgNUW57rumdvqniTNR2eLc6zumTtf4Ho/GGgUoi1kSN2TDbodJqt5tihz0SSlqItElLVI6nzZJIt5umgW6SxdpovDGSZY3VNP/WERw6IQbZggdU826CPMniQ2TGRoxLAoRBsm/prYmA+6HSZ1WefzalEls6JK1ZBarpJmLmZJ0RRps2qm02JZH84wwYpQ2r+ERQyLQrRhghSh2KBjd1Hk/tqKuuTu2krUI34Rgms6gQgmwLVfIdpv6Nq7N5Pfpu8xlEYIzJgOM0jW5CeY0Al4s6bqdCfNkDVRNB/fAlZjC5j7STLDMaZYFKItYP4S2JgP+gjtMFZzyl3lF2PEsChEGyZIzYkN+viS6wKrORXux80MEcOiEGuYFEjNiQ36+LbqCqzmVLgfNzMdsQ5FIdowQWpObNBtT1aL3h0H3VB8fTn/+P0PP2CIxOjF099WiMVD9dGoD5HrD6k/als83JvXeTceVvMLUeH+V6NMNMpEo0w0ykSjTGwoEzpK1wVDKLAR1iTK7yoU/dnoTwWjP2X7acbRP0vh0UCbFDdWV6BlthFmmkyIstFn/9quzhAJe+Hfvr2mE4hgAlz7FaL9hq5dhmgnz1yWuYkqeojEHAj7hE7Al5jbJhuK0jbPErM0z9JpUk9XQrkoUSazbNokq/m0nGdq7aym05cH44yw/eTCsrVqCwYahWjOCNlPZoNuh4lasKTIpjLJVtNlkmXKZ9fpskrSVKayrOuskfeMU7xhgu3aFJYNDHvEsChEGybIrg0b9Pahhs3mXSz3sitDFP7NCTUEXJsTRRG3DAEQXNMJmF2NX/sNXXv35vIvr3sMpRECM6bDDOJ2/AQTOgGf23lLx/V0J83geyia241Dlf/PG5kmdV7rg/YWWdJUU/VRyPmiaqrlbHo4C5rANg6Fu2/btIcGRSHWgiaQjUM26ONrVhfYxqFw922b9tCgKEQbJsjGIRt07HYL4e/LVZfctRel33Ec0+cABNd0Al6fA2i/oWvv3kz+hXWPoTRCYMZ0mCF8DkAwoROw+hyhm9Q30u77HJLm41vAsCZ14X5P1b1goFGItoAhTeps0Edoh7EmdSFCI4ZFIdow8W9Zj/mgo/scf++1uuTSSV936Yf1OX6CazoBs8/xa7+ha+/eTP6FdY+hNEJgxnSYQXyOn2BCJ+D1OfrlXBtpBp9D0Xx8PgerY4kyLBhoFKItYEgdiw36CH0O9nIu4W7FNkQMi0K0YeLvmR/zQUf3Of4qnrrk7t7rpks/rM/xE1zTCZh9jl/7DV1792byL6x7DKURAjOmwwzic/wEEzoBr8/R7+IStndxkTQfn8/BnosQriKeIRhoFKItYP5q65gP+vh8jsTKm9L9iIAhYlgUYg0TiZQ32aB3De9Fdxx0QwH1U5MisW54l7rNXZb6Q3e9l/rLUn9Z6i8r/WWlv6z0l7X+stY98XWtPppMf6gvZWqNoLvyhxcsoDjga9y6RV7qxngFP9HwEw0/0fATDT/R8BMNP9HwEw0/0fATDT/R8BMNP7HBT+jw3bURgoeXx01TvWwb6RW9/mxb68v2O2X7nbL9TtV+p2q/U7Xfqdvv1G37vYqD+lSB0J/6O7ZQ6L+BEos2GOtYRG9pk/7qlpolXZWiooibGgAE13QCEUyAa79CtN/QtcsQ7fQZd7f2+GHGdJghUgOAYEInYE0NpC71bqQZpimKZi0ae/v4oXg+rNQr3a/mMtgfLArRPB9S6mWDXmeQ0NmUhzJMsFKvFKERw6IQbZggpV426OPbaJDY+8ikDI4YFIVow8RfBhzzQcfeKZf+cpK65M5yUmZ/hG8QO+wnuKYTiGACXPsVov2Grr17M/n91x5DaYTAjOkwg9hhP8GETsBrh8vTnTSDHaZoPr4FDCv1SmfV834w0ChEW8CQUi8b9BFmTdiTrdJZXTJFDItCtGHiLwOO+aCj+xx/OUldcmc5KYt7DAFAcE0nYPY5fu03dO3dm8m/sO4xlEYIzJgOM4jP8RNM6AS8Pkc/ybqRZvA5FM1H53NKrNRbOque94OBRiHWAlYipV426OPzOSX2JGvpfBucKWJYFKINE+RJVjbo2D6n9Fd01CV3VUdElnfpB/U5AME1nYDX5wDab+jauzeTf2HdYyiNEJgxHWYInwMQTOgErD6n1OXN0lbeJGk+Pp+DlTdL50Od94OBRiHaAoaUN9mgj6+8WWLlzVIERwyKQrRhgpQ32aDbYTKXy0WT1k0yW0qZiNmyVkNqViTpKq/Lab6YzaYHNEyw8mYpQyOGRSHaMEHKm2zQ0e2wv6KjLrm7OlJ06Ye1w36CazqBCCbAtV8h2m/o2rs3k99/7TGURgjMmA4ziB32E0zoBLx2WJc3N9IMdpii+fjsMFbeLN2VvnvBQKMQbQFDypts0Efoc7DyZumu9BkihkUh2jBBypts0NF9jr+ioy65uzoiuvTD+hw/wTWdgNnn+LXf0LV3byb/wrrHUBohMGM6zCA+x08woRPw+hxd3txIM/gciuaj8zkVVt6s3JW+e8FAoxBrAauQ8iYb9PH5nAorb1buSp8hYlgUog0TpLzJBh3b51T+io665O7qiOzSD+pzAIJrOgGvzwG039C1d28m/8K6x1AaITBjOswQPgcgmNAJWH1Opcubla28SdJ8fD4HK29W7krfvWCgUYi2gCHlTTbo4ytvVlh5sxLBEYOiEG2YIOVNNujj6/arsPJmJUMjhkUh2jBBypts0NHtsL+ioy65uzoS93wugOCaTiCCCXDtV4j2G7r27s3k9197DKURAjOmwwxih/0EEzoBrx3W5c2NNIMdpmg+PjuMlTcrd6WPfgaR6Z7zwvdw3yHlTTboI/Q5WHmzclf6DBHDohBtmCDlTTbo6D7HX9FRl9xdHYl7PhdAcE0nYPY5fu03dO3dm8m/sO4xlEYIzJgOM4jP8RNM6AS8PkeXNzfSDD6HovnofE6NlTdrd6WPflSV6Z7zwu9/39VIeZMN+vh8To2VN2t3pc8QMSwK0YYJUt5kg/6jzfnrG0cQ/WW1tb/Co4aAq1qiPrvRGNT3AATXdAJe3wNov6Fr795c/oV2j6E0QmDGdJghfA9AMKETsPqeWpc7a1u5k6RZi16KsmoWq3kyL5fTRKTLZdKsqlmyrOW0lrN03h54eSgLGlburJ3vbb0fDDQK0RY0pNzJBn2E9hgrd9YiNGJYFKINE6TcyQYde3+n9lfx1CWXDnqRxT2XFCC4phMw+xy/9hu69u7N5F9Y9xhKIwRmTIcZxOf4CSZ0Al6fo88l3Ugz+ByK5uNbwLBzSesyLBhoFKItYP7q65gP+gjtMFburN2VP0PEsChEGyZIuZMNOrrP8Vfx1CV3V/HiHj4EEFzTCZh9jl/7DV1792byL6x7DKURAjOmwwzic/wEEzoBr8/R55LWtnNJSZqPz+dg55LW7qIe/eQM0z3nhe/hvvNXX8d80Mfncxqs3Nm4K3+GiGFRiDVMGqTcyQa9rWM1a/DodazGX9VTQ8B5tKSI+xomgOCaTsDrewDtN3Tt3ZvLv9DuMZRGCMyYDjOE7wEIJnQCVt/TZKc7afd9D0mzFi1lNp9JsUimYqUWv6WYJ7N6XidyuWyW02le13n28mAWtBxb0NxFPcOrZrAoRFvQ/NXXMR/0+vUE+SpbZPM0yebzPBGzhUjqZSqT5Spblo0oizqfHc4wwcqdjbvyZ3ojERSFaMMEKXeyQbfDJJs2i3xeZkmdF2pI5YVMZllTJ8umSrPFbFFJsTycYYKVOxsRGjEsCtGGCVLuZIPe2uMsfXkg/thf8lFjQDrDEfe1FgDBNZ1ABBPg2q8Q7Td07d27y2/I9hhKIwRmTIcZxB/7CSZ0Al5/rOufG2kGf0zRrEWLol6lxaxO0lzIRFSiTKarYpY0YtGIoirTWXFAxgerfzZlWDDQKERb0ZD6Jxt0O0yqWVPKtFgmsq4bZZLqOplVq1J9mc6n02lZ5tPl4QwTrP7ZuEqBxohhUYg2TJD6Jxv0EWbb2OOejavkYowYFoVow8RfGxvzQa+LUWm+LObpQg2kJk+ybNkkdbqcJmkqU1nWddbI/HCGCVaMalx1GWPEsChEGyZIMYoNej2bLGd5VskqqfXjNWKxUoNruWrUb51W9WypBla2OJRhIlOoGKV+LDRiWBQiDRPF4x8mfNDrmuVqusiL6SpZzWaLRBR5nkyzWZWk86Kp57lYFkV5OMMEevZO/VhoxLAoRBsm/sLEmA86cm+WTP0b3OqSuza4RZ526Yfcg0EIrukEIpgA136FaL+ha+/eTP6kf4+hNEJgxnSYAfZgEIIJnYBzD0apOt1Ju7cHQ9N8fAsYVHxSPxYWDDQK0RYwoPjEB32EdhgqPqkfC40YFoVowwQoPvFBH11yrRRhw0SGRgyLQrRh4q9DjPmgj26rTqbQxr/6sdCIYVGINkyAjX8+6KPb+JcptPGvfiw0YlgUog0TYOOfD/royogyhTb+1Y+FRgyLQrRhAmz880G3jTHtWLn3AEE3Fl9fzj9+/8MPGEIxevH0t8cySx+OpSxsEXDvaeMvIoYw8PxZa59o7ROb9gldezdthrTDmbOWrhJkpV19WsTrBJqiXsu/Z1QGH1GZGlGZ0B+V+sj1AMtL9VHk+qNWH0L/qtC/KlPLyMvc2+T4qyEh3OCRl6mRpxgnmnGiGSeacaIZJ5pxohknmnFiY5zQGYcZoZkeoQpSf1b6M2/HrOJUnwpUf9b6U7Q/I9qfscC2I55A2yZxa9rY3YMqIN414yvqh5yUUZ8qRgiu6QQi</t>
  </si>
  <si>
    <t>mADXfoVov6FrlyHa6TPk1n4AMGM6THcK9MOEDqXnCMGETsC6c51lpztphmmKorndRIDefXkgtj/LIdufubbxDcFAoxDL9mf+esuYD7odJnVZ5/NqUSWzokoTUS5XSTMXM/Vbi7RZNdNpsawPZ5hgBY7M/aCJIWJYFKINE6TAwQYdu0Kf+fft1SUXDnqRR30bLkJwTSdg9jl+7Td07d2byb+w7jGURgjMmA4ziM/xE0zoBLw+R5zupBl8DkVzm45Br9A4lAUMq6npwwhDgoFGIdoChtTU2KDXjRzZrCjEvErmcq480VzkyVTILFlNRd7IeTVdlenhDBOsppaVoRHDohBtmCA1NTbo6D7HXypSl9xdKsq79MP6HD/BNZ2A2ef4td/QtXdvJv/CusdQGiEwYzrMID7HTzChE/D6nOp0J83gcyiaj8/nYGXczF3RvBcMNArRFjCkjMsG3Q6T1UI2zVItdqup7lqcLefJLM+KpG6adLEsS7lYycMZJtDzW+rHQiOGRSHaMAGe3+KDjuRzzJc2t2xvZ0KUTdFEPb1RifNep2s6Aa+fAbTf0LV3bxr/AtrXkBnTRQ/hW4CwT+gEfL7FJFQX1ylKj66skGNlhdyyw24LBhqFWMtQjpQV2KDX73aTy0WT1k0yW0qpl6xaOZtZkaSrvC6n+WI2m8rDGSbY5p2+lGERw6IQbZggm3ds0IflVizJ24Yy6llESpz3Ol3TCZjdil/7DV1796bxL5t9DZkxXfQgbsUf9gmdYHi3QlF6fG4FS5pzS/5oCwYahWjLEJI0s0EfX0tVgb3NonA7fEPEsCjEGiaFPwEb80EflFsp3NY9bu9v4U8+rukEvG4F0H5D1969afzLZl9DZkwXPYRbAcI+oRMM7lZISo+uElRgSXMhw4KBRiHaMoQkzWzQx9fxUmCPBxduh286OgeKQrRh4k/AxnzQh+VWXNZdpPeebh3WrfiTj2s6AbNb8Wu/oWvv3jT+ZbOvITOmix7ErfjDPqETDO9WKEqPzq0ILGkWrvzREAw0CrGWIYEkzWzQx9e3IrCCoXA5fGPEsChEGyb+BGzMBx3Jrby1u+j+Ry/UJRdm+k3XTtx+FoDgmk7A62IA7Td07d2byb+c7jGURgjMmA4zhLsBCCZ0Aj5385aO6+lO2n2fQ9J8fD4H25URMiwYaBSiLWDIrgwb9PF1vAjsOSRRhkYMi0K0YYI8h8QGHd3n+Pek1CW37Elt6ON2wgAE13QCZp/j135D1969mfwL6x5DaYTAjOkwg/gcP8GETsDrc/RzSBtpBp9D0Xx8Pgd7Dkm4H8kx9ANgUYi2gCHPIbFBH6HPwVqqhGUP1B4xLArRhol/i3rMBx3b50j/8UhfUT/kpI/bQwMQXNMJeH0OoP2Grr17M/kX1j2G0giBGdNhhvA5AMGETsDqc2R6upN23+eQNB+dz5FY3Uq6XiZoCAYahVgLmETqVmzQx+dzZI4Nkzw0YlgUog0T5DWLbNDrt6tr9O446IYCem8yKRLrV2FL/Z7rUr8Au9QvwC4bWyicrxKUeF8FBIQvVuuXXUv9JutSv+K61K+4tlBM6BTd1QqigBeszeusZfuS6rJ9hXXZvsLaAtK+lp1AolE2L1+P9apqy+wizTSbAnFhvS6DWGp/heCaTiCCCXDtV4j2G7p2GaKdPFNZJiSq6EGssz/sEzoBn3W2TTYUpVpq3eSLZlUvktVqql2TXg6rRZ7kRV5Oy3kj6mIz/g/BCWH9xtKyS2oLBhqFaE7Iv5095oM+wrwK2xiUlj0ye8SwKEQbJsjGIBt0pI1B86Ut3V2Poks5qFsp/fnvNZ2A160A2m/o2rs3jX/Z7GvIjOmih3ArQNgndILB3QpJ6dEtQyXWb1y6W2/vBQONQqxlqET6jdmgj8/UllhXXylDI4ZFIdow8SdgYz7odnvv4e7oRH3xY+y17Mqapb95TQ2B0hyNzY5SZFfjJ7imEzC7Gr/2G7r27s3lX173GEojBGZMhxnE7fgJJnQCPrfzlo7r6U6awfdQNB/fgobt0pSWDQtbMNAoRFvQkF0aNugjtMdYl1/pangzRgyLQrRhgnT5sUFH2qW58zn+PSp1yS17VOuibhH3WDCA4JpOwOxz/Npv6Nq7N5N/Yd1jKI0QmDEdZhCf4yeY0Al4fU5zupNm8DkUzUe3gFUptIBVzl62+8FAoxBrAav8TYdjPuh1+9ayqKpiUSRTMV0mQqR1Mq1my6TOZSVm8yyv63sn2McbJliXX+VseDNFDItCtGHi37Ie80Gv27c0u+gOhG4soEYhUijW/VtV8VB9VPqjVh+1+Wx79auuVrZCym4shu3fUhQTTTHRFBMbxYRO0V2uIAp4xdr0bykK/Vm1n7X+tIDoX6eQaJTN1KMvS4w9Rcv0Isw0m53UuK+4qPzvJbimE4hgAlz7FaL9hq5dhmgnz1SWCYkqegjvDIR9Qifg8862yYaiVEtdFc1UNnmdFFm2SrJsuUyaJhXJIivLbDpPZ7NmcwcfghXC3kxQWbZJbcFAoxDNCvn3s8d80NtS1+aqH1ZbceXeD437pF7l39G9phMwL0t+7Td07d2byD8/9jVkxnTRgyxL/rBP6AR8y9JbOq6nO2mGBYqieTPzbEa6/leMmWe3+Vz5t97VjOTcei/jbj4DBNd0AuYZya/9hq5dhmgnz0h3S7ofZkyHGWSm8hNM6AS8M1V9upNmmKkomrVoWS+reV2uElFVM/Uxa5Kmlqskncq8nhX5qqrnLw/GSmM97pVrJ94QDDQK0ay0v2Qy5oOOXT2t/VvvX1E/5KAXRW69Z4dYwACCazoB7wIGaL+ha+/eTP4Zc4+hNEJgxnSYIRYwgGBCJ2BdwGr98ova9vILkuajW8BqrCxWuytE94KBRiHWAlYjZTE26E1ZbP2/33r42t/8W7/zW1/O1Hfe+DvXY+vha3/Z9jtf//j/+ury6yp6v7X68IOP9b/nH371w4/0f0w/+r2Z/tO+nH9ZirpSkf6tD6Zf03/B8/e/tvz6ybPlvz25+vBr0w/U3/b19/+d+oUsf/hbf/jBYvnRV9//QP/cBx+qf6nfNv3q+7/3gQ6w/mN//8OP3v936u+aflX9xFeXq4/Vb/8/lh99/P68/c5c/djyI/W9f/vR9A+eL/9P9Xs+/ugPl+pPmSnE5Uet1tmHH3/84dfW/6W/OdIU27/woQEhbf+n4vbwtxbvT3/vww/030X53a1g0u/86P3f+33ib/34wz+g/Eb1O1fvf7UF1f/WY1r9wNc//Kq6/HosLB5bf68eGNOPPr7/A9uxoAfDH35ttvzoyx9+pIbZegDp/3r84UL/LW8vP1h+pIKsfu4PPvrw43UNUP/UVz+c/+9LNfy2315qLeubUn3z/Q9+X92SH2vx/z9/OrYJ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</si>
  <si>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</si>
  <si>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</si>
  <si>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</si>
  <si>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</si>
  <si>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</si>
  <si>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</si>
  <si>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</si>
  <si>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</si>
  <si>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</si>
  <si>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</si>
  <si>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</si>
  <si>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</si>
  <si>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</si>
  <si>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</si>
  <si>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</si>
  <si>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</si>
  <si>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</si>
  <si>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</si>
  <si>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</si>
  <si>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</si>
  <si>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</si>
  <si>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</si>
  <si>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</si>
  <si>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</si>
  <si>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</si>
  <si>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</si>
  <si>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</si>
  <si>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</si>
  <si>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</si>
  <si>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</si>
  <si>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</si>
  <si>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</si>
  <si>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</si>
  <si>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</si>
  <si>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</si>
  <si>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</si>
  <si>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6.2.2.4.1</t>
  </si>
  <si>
    <t>Устройство стен</t>
  </si>
  <si>
    <t>1.1.1.1.1.1.1</t>
  </si>
  <si>
    <t>6.2.2.4.1.7.1</t>
  </si>
  <si>
    <t>Монтаж, демонтаж, аренда строительных лесов</t>
  </si>
  <si>
    <t>НЗ №11 от 12.09.2025 пом. 2.037</t>
  </si>
  <si>
    <t>м2</t>
  </si>
  <si>
    <t>b834d9d5-d82e-4a35-aecd-d355084311b3</t>
  </si>
  <si>
    <t>726efd05-6e17-4385-bac1-0ec0b1a3a118</t>
  </si>
  <si>
    <t>0ed13e26-7903-4b3b-80e2-92ed86dbdc43</t>
  </si>
  <si>
    <t>1.1.1.1.1.2</t>
  </si>
  <si>
    <t>6.2.2.4.2</t>
  </si>
  <si>
    <t>Устройство перегородок</t>
  </si>
  <si>
    <t>1.1.1.1.1.2.1</t>
  </si>
  <si>
    <t>6.2.2.4.2.1</t>
  </si>
  <si>
    <t>Устройство перегородок из кирпича и блоков</t>
  </si>
  <si>
    <t>1.1.1.1.1.2.1.1</t>
  </si>
  <si>
    <t>6.2.2.4.2.1.1.2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</si>
  <si>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</si>
  <si>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Выгружается из БО по объектам BIM-КЦ</t>
  </si>
  <si>
    <t>НЗ №6 от 15.07.2025. пом. 1.030</t>
  </si>
  <si>
    <t>8f7d365e-38c4-48f1-99bd-115dc592647b</t>
  </si>
  <si>
    <t>6687ec1f-6ef6-434f-b995-cdd898f7c555</t>
  </si>
  <si>
    <t>1.1.1.1.1.2.1.1.1</t>
  </si>
  <si>
    <t xml:space="preserve">Смесь сухая цементно-песчаная </t>
  </si>
  <si>
    <t>кг</t>
  </si>
  <si>
    <t>341534278.1129228</t>
  </si>
  <si>
    <t>28199802.1129228</t>
  </si>
  <si>
    <t>3f64133f-4d71-4dd3-93b5-4c3bc39ac247</t>
  </si>
  <si>
    <t>1.1.1.1.1.2.1.1.2</t>
  </si>
  <si>
    <t>Материалы для примыкания / уплотняющий жгут, клей на м2</t>
  </si>
  <si>
    <t>комплект</t>
  </si>
  <si>
    <t>341534278.1125465</t>
  </si>
  <si>
    <t>28199802.1125465</t>
  </si>
  <si>
    <t>ba2db4ae-0372-432d-874c-3cbc389cb3d3</t>
  </si>
  <si>
    <t>1.1.1.1.1.2.1.1.3</t>
  </si>
  <si>
    <t>Прочие материалы для кладки /  из кирпича / 65 -120мм</t>
  </si>
  <si>
    <t>341534278.1125487</t>
  </si>
  <si>
    <t>28199802.1125487</t>
  </si>
  <si>
    <t>4f235928-efbf-499b-8de5-b7c597ff96fa</t>
  </si>
  <si>
    <t>1.1.1.1.1.2.1.1.4</t>
  </si>
  <si>
    <t>Сетка эл/св_ / 50*50*4</t>
  </si>
  <si>
    <t>341534278.55158</t>
  </si>
  <si>
    <t>28199802.55158</t>
  </si>
  <si>
    <t>1e965c83-b714-40db-9a09-5fe1d1cf91a6</t>
  </si>
  <si>
    <t>1.1.1.1.1.2.1.1.5</t>
  </si>
  <si>
    <t>Кирпич полнотелый рядовой_ / м-150</t>
  </si>
  <si>
    <t>шт</t>
  </si>
  <si>
    <t>341534278.54588</t>
  </si>
  <si>
    <t>28199802.54588</t>
  </si>
  <si>
    <t>75781f06-c50b-4212-84dd-cadd16dc552b</t>
  </si>
  <si>
    <t>1.1.1.1.1.2.2</t>
  </si>
  <si>
    <t>6.2.2.4.2.4</t>
  </si>
  <si>
    <t>Устройство перегородок и зашивка коммуникаций ГКЛ</t>
  </si>
  <si>
    <t>1.1.1.1.1.2.2.1</t>
  </si>
  <si>
    <t>6.2.2.4.2.4.1.3</t>
  </si>
  <si>
    <t>Устройство перегородок на металлическом каркасе по системе Knauf / С-115.1 / А2-16</t>
  </si>
  <si>
    <t>НЗ №7 от 16.07.2025. пом. 1.030</t>
  </si>
  <si>
    <t>09081587-04d0-4a7e-b27a-26e6c1596cec</t>
  </si>
  <si>
    <t>5f0da678-df96-489e-bd05-e5f79b4d6b88</t>
  </si>
  <si>
    <t>1.1.1.1.1.2.2.1.1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</si>
  <si>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</si>
  <si>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341534281.1521788</t>
  </si>
  <si>
    <t>28199804.1521788</t>
  </si>
  <si>
    <t>a62e1417-9467-44d3-81a2-91aea1356d96</t>
  </si>
  <si>
    <t>1.1.1.1.1.2.2.1.2</t>
  </si>
  <si>
    <t>Гипсовые строительные плиты_ / влагостойкий / 12,5*1200*2500</t>
  </si>
  <si>
    <t>341534281.54553</t>
  </si>
  <si>
    <t>28199804.54553</t>
  </si>
  <si>
    <t>efad23af-fbbd-4322-a1b7-0c398c24e336</t>
  </si>
  <si>
    <t>1.1.1.1.1.2.2.1.3</t>
  </si>
  <si>
    <t>Профиль_/стоечный/50*50*0,60/3м</t>
  </si>
  <si>
    <t>пог. м</t>
  </si>
  <si>
    <t>341534281.54565</t>
  </si>
  <si>
    <t>28199804.54565</t>
  </si>
  <si>
    <t>aadfbe6a-ab19-412b-a4b6-645b6bf99174</t>
  </si>
  <si>
    <t>1.1.1.1.1.2.2.1.4</t>
  </si>
  <si>
    <t>Профиль_/направляющий/50*40*0,60/3м</t>
  </si>
  <si>
    <t>341534281.54570</t>
  </si>
  <si>
    <t>28199804.54570</t>
  </si>
  <si>
    <t>fcc6f7bc-87cc-49c1-b4ac-f6a22abb8878</t>
  </si>
  <si>
    <t>1.1.1.1.1.2.2.2</t>
  </si>
  <si>
    <t>НЗ № 17 от 05.08.2025, пом 2.022, 2.032</t>
  </si>
  <si>
    <t>1.1.1.1.1.2.2.2.1</t>
  </si>
  <si>
    <t>341534362.54565</t>
  </si>
  <si>
    <t>28199799.54565</t>
  </si>
  <si>
    <t>1.1.1.1.1.2.2.2.2</t>
  </si>
  <si>
    <t>341534362.54570</t>
  </si>
  <si>
    <t>28199799.54570</t>
  </si>
  <si>
    <t>1.1.1.1.1.2.2.2.3</t>
  </si>
  <si>
    <t>341534362.54553</t>
  </si>
  <si>
    <t>28199799.54553</t>
  </si>
  <si>
    <t>1.1.1.1.1.2.2.2.4</t>
  </si>
  <si>
    <t>341534362.1521788</t>
  </si>
  <si>
    <t>28199799.1521788</t>
  </si>
  <si>
    <t>1.1.1.1.1.2.2.3</t>
  </si>
  <si>
    <t>1.1.1.1.1.2.2.3.1</t>
  </si>
  <si>
    <t>341534363.54565</t>
  </si>
  <si>
    <t>28199800.54565</t>
  </si>
  <si>
    <t>1.1.1.1.1.2.2.3.2</t>
  </si>
  <si>
    <t>341534363.54570</t>
  </si>
  <si>
    <t>28199800.54570</t>
  </si>
  <si>
    <t>1.1.1.1.1.2.2.3.3</t>
  </si>
  <si>
    <t>341534363.54553</t>
  </si>
  <si>
    <t>28199800.54553</t>
  </si>
  <si>
    <t>1.1.1.1.1.2.2.3.4</t>
  </si>
  <si>
    <t>341534363.1521788</t>
  </si>
  <si>
    <t>28199800.1521788</t>
  </si>
  <si>
    <t>1.1.1.1.1.2.2.4</t>
  </si>
  <si>
    <t>6.2.2.4.2.4.2.9</t>
  </si>
  <si>
    <t>Облицовка стен по системе Knauf / С-665 / в 1 слой / А-12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</si>
  <si>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</si>
  <si>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f3c41b44-b14f-42a7-8846-00f749fb5e6c</t>
  </si>
  <si>
    <t>70a8166b-84d9-4b65-a53a-b2cce2704a50</t>
  </si>
  <si>
    <t>1.1.1.1.1.2.2.4._</t>
  </si>
  <si>
    <t>1.1.1.1.1.2.2.4.1</t>
  </si>
  <si>
    <t>Прочие материалы для облицовки стен из ГКЛ (лента, шпатлевка, грунтовка, шуруп, дюбель и пр.)_ / 1 слой ГКЛ / профиль ПН/ПС 75 мм</t>
  </si>
  <si>
    <t>341534283.1277440</t>
  </si>
  <si>
    <t>25837364.1277440</t>
  </si>
  <si>
    <t>b1463634-82d7-49d6-b536-2d7cba892a32</t>
  </si>
  <si>
    <t>1.1.1.1.1.2.2.4.1._</t>
  </si>
  <si>
    <t>314469335.1277440</t>
  </si>
  <si>
    <t>1.1.1.1.1.2.2.4.2</t>
  </si>
  <si>
    <t>Профиль_/стоечный/75*50*0,40/3м</t>
  </si>
  <si>
    <t>341534283.54567</t>
  </si>
  <si>
    <t>25837364.54567</t>
  </si>
  <si>
    <t>accea0ce-89ba-4e8f-a48a-54a6de4b1337</t>
  </si>
  <si>
    <t>1.1.1.1.1.2.2.4.2._</t>
  </si>
  <si>
    <t>314469335.54567</t>
  </si>
  <si>
    <t>1.1.1.1.1.2.2.4.3</t>
  </si>
  <si>
    <t>Профиль_/направляющий/50*50*0,40/3м</t>
  </si>
  <si>
    <t>341534283.54566</t>
  </si>
  <si>
    <t>25837364.54566</t>
  </si>
  <si>
    <t>c2f1d1c0-1cc2-4bd4-8e05-ef1e6946382b</t>
  </si>
  <si>
    <t>1.1.1.1.1.2.2.4.3._</t>
  </si>
  <si>
    <t>314469335.54566</t>
  </si>
  <si>
    <t>1.1.1.1.1.2.2.4.4</t>
  </si>
  <si>
    <t>Лист гипсоволокнистый ГВЛ 12,5мм Г1</t>
  </si>
  <si>
    <t>341534283.7351</t>
  </si>
  <si>
    <t>25837364.7351</t>
  </si>
  <si>
    <t>22b5ef4a-0665-11e8-80d9-005056881952</t>
  </si>
  <si>
    <t>1.1.1.1.1.2.2.4.4._</t>
  </si>
  <si>
    <t>314469335.7351</t>
  </si>
  <si>
    <t>1.1.1.1.1.3</t>
  </si>
  <si>
    <t>6.2.2.4.3</t>
  </si>
  <si>
    <t>Устройство перемычек и фахверков</t>
  </si>
  <si>
    <t>1.1.1.1.1.3.1</t>
  </si>
  <si>
    <t>6.2.2.4.3.2.1</t>
  </si>
  <si>
    <t>Устройство перемычек металлических с огрунтовкой и окраской</t>
  </si>
  <si>
    <t>Перемычки для наружных стен необходимо применять из раздела 6.2.2.5 "Наружные стены"
Выгружается из БО по объектам BIM-КЦ</t>
  </si>
  <si>
    <t>т</t>
  </si>
  <si>
    <t>96f3ac31-40e6-4822-821a-d3fdf3ec03db</t>
  </si>
  <si>
    <t>fa0903b4-76cb-4cff-8585-505068457eb5</t>
  </si>
  <si>
    <t>1.1.1.1.1.3.1.1</t>
  </si>
  <si>
    <t>Анкерный стержень для перемычек</t>
  </si>
  <si>
    <t>341534286.1541478</t>
  </si>
  <si>
    <t>28199803.1541478</t>
  </si>
  <si>
    <t>2d9616e9-240c-4f9c-856b-38bec43f92c9</t>
  </si>
  <si>
    <t>1.1.1.1.1.3.1.2</t>
  </si>
  <si>
    <t>Швеллер_ / 14П</t>
  </si>
  <si>
    <t>341534286.1511813</t>
  </si>
  <si>
    <t>28199803.1511813</t>
  </si>
  <si>
    <t>f25d96f1-a8c2-4784-aa7b-ce16c402f718</t>
  </si>
  <si>
    <t>1.1.1.1.1.3.1.3</t>
  </si>
  <si>
    <t>Прочий материал для перемычек (клей, грунт) / для полосы или уголка</t>
  </si>
  <si>
    <t>341534286.1125500</t>
  </si>
  <si>
    <t>28199803.1125500</t>
  </si>
  <si>
    <t>97930081-487f-4c6f-83bb-314f8c308cc2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</si>
  <si>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</si>
  <si>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</si>
  <si>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</si>
  <si>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</si>
  <si>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</si>
  <si>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</si>
  <si>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</si>
  <si>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</si>
  <si>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</si>
  <si>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</si>
  <si>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</si>
  <si>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</si>
  <si>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</si>
  <si>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</si>
  <si>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</si>
  <si>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</si>
  <si>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</si>
  <si>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</si>
  <si>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</si>
  <si>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 xml:space="preserve">спорт залы, П-20 и П-21, №1.030 и 2.037 
</t>
  </si>
  <si>
    <t>b30e711e-fd2e-4402-9c1c-fd9dc1b88c63</t>
  </si>
  <si>
    <t>406d96a2-5db4-4f45-9273-4d1b12717a82</t>
  </si>
  <si>
    <t>8a7cac49-151b-40fd-a08b-5e72f8ff4034</t>
  </si>
  <si>
    <t>1.1.2.1.1.1.1.1._</t>
  </si>
  <si>
    <t>1.1.2.1.1.1.1.1.1</t>
  </si>
  <si>
    <t>Наливной пол_ / Унифицированный по ПИК-СТАНДАРТ</t>
  </si>
  <si>
    <t>10 мм самовыравнивающаяся смесь</t>
  </si>
  <si>
    <t>341534293.843695</t>
  </si>
  <si>
    <t>25837398.843695</t>
  </si>
  <si>
    <t>df4d871a-815e-4066-8cc1-e339f3f3c9fe</t>
  </si>
  <si>
    <t>1.1.2.1.1.1.1.1.1._</t>
  </si>
  <si>
    <t>314469342.843695</t>
  </si>
  <si>
    <t>1.1.2.1.1.1.1.1.2</t>
  </si>
  <si>
    <t>Грунтовка универсальный ЛАСТИМИН_ / УНКОНТ ЛЮКС LP51 А</t>
  </si>
  <si>
    <t>341534293.1139608</t>
  </si>
  <si>
    <t>25837398.1139608</t>
  </si>
  <si>
    <t>bbceaf39-544c-478f-a605-41b8d1bad350</t>
  </si>
  <si>
    <t>1.1.2.1.1.1.1.1.2._</t>
  </si>
  <si>
    <t>314469342.1139608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</si>
  <si>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</si>
  <si>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</si>
  <si>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</si>
  <si>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</si>
  <si>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672f52f6-b26d-4fee-8a2b-3f641d01bb01</t>
  </si>
  <si>
    <t>91058521-be9a-4628-9277-514b8aa56189</t>
  </si>
  <si>
    <t>1.1.2.1.1.1.1.2._</t>
  </si>
  <si>
    <t>1.1.2.1.1.1.1.2.1</t>
  </si>
  <si>
    <t>Пленка полиэтиленовая_/200мкр</t>
  </si>
  <si>
    <t>341534295.55069</t>
  </si>
  <si>
    <t>25837399.55069</t>
  </si>
  <si>
    <t>1e9c2d25-a07a-4034-8600-2006e1c8a943</t>
  </si>
  <si>
    <t>1.1.2.1.1.1.1.2.1._</t>
  </si>
  <si>
    <t>314469344.55069</t>
  </si>
  <si>
    <t>1.1.2.1.1.1.1.3</t>
  </si>
  <si>
    <t>пом. №1.007</t>
  </si>
  <si>
    <t>1.1.2.1.1.1.1.3._</t>
  </si>
  <si>
    <t>1.1.2.1.1.1.1.3.1</t>
  </si>
  <si>
    <t>341534364.55069</t>
  </si>
  <si>
    <t>25837374.55069</t>
  </si>
  <si>
    <t>1.1.2.1.1.1.1.3.1._</t>
  </si>
  <si>
    <t>314469345.55069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</si>
  <si>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</si>
  <si>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</si>
  <si>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</si>
  <si>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</si>
  <si>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ab62b66c-87c5-4996-bbcc-d9044c8dc3c3</t>
  </si>
  <si>
    <t>52f6b76b-892a-4180-890e-fe6cef6a41a6</t>
  </si>
  <si>
    <t>1.1.2.1.1.1.1.4._</t>
  </si>
  <si>
    <t>1.1.2.1.1.1.1.4.1</t>
  </si>
  <si>
    <t>Смесь цементно-песчаная сухая_/М150</t>
  </si>
  <si>
    <t>59 мм</t>
  </si>
  <si>
    <t>341534297.54611</t>
  </si>
  <si>
    <t>25837394.54611</t>
  </si>
  <si>
    <t>a1146549-61c5-4487-b5c7-fb7d0d185669</t>
  </si>
  <si>
    <t>1.1.2.1.1.1.1.4.1._</t>
  </si>
  <si>
    <t>314469347.54611</t>
  </si>
  <si>
    <t>1.1.2.1.1.1.1.4.2</t>
  </si>
  <si>
    <t>Сетка эл/св_/100*100*5</t>
  </si>
  <si>
    <t>341534297.55156</t>
  </si>
  <si>
    <t>25837394.55156</t>
  </si>
  <si>
    <t>bf82eb44-b4c2-419c-ba3f-021582715b59</t>
  </si>
  <si>
    <t>1.1.2.1.1.1.1.4.2._</t>
  </si>
  <si>
    <t>314469347.55156</t>
  </si>
  <si>
    <t>1.1.2.1.1.1.1.4.3</t>
  </si>
  <si>
    <t>Лента кромочная демпферная_/8*100мм/20м</t>
  </si>
  <si>
    <t>341534297.55045</t>
  </si>
  <si>
    <t>25837394.55045</t>
  </si>
  <si>
    <t>41f707b9-71e7-4101-86f2-7af29d65f5fe</t>
  </si>
  <si>
    <t>1.1.2.1.1.1.1.4.3._</t>
  </si>
  <si>
    <t>314469347.55045</t>
  </si>
  <si>
    <t>1.1.2.1.1.1.1.4.4</t>
  </si>
  <si>
    <t>Грунтовка БЕТОН-КОНТАКТ_/</t>
  </si>
  <si>
    <t>341534297.54633</t>
  </si>
  <si>
    <t>25837394.54633</t>
  </si>
  <si>
    <t>8682c7d7-b370-46ef-9c4b-39309f9aa3e8</t>
  </si>
  <si>
    <t>1.1.2.1.1.1.1.4.4._</t>
  </si>
  <si>
    <t>314469347.54633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</si>
  <si>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</si>
  <si>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</si>
  <si>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</si>
  <si>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</si>
  <si>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69309f48-e9fb-4ccc-8a31-9b4745ed871a</t>
  </si>
  <si>
    <t>23adf7dc-e836-4d8a-ab74-26a79242b402</t>
  </si>
  <si>
    <t>1.1.2.1.1.1.1.5._</t>
  </si>
  <si>
    <t>1.1.2.1.1.1.1.5.1</t>
  </si>
  <si>
    <t>64 мм</t>
  </si>
  <si>
    <t>341534298.54611</t>
  </si>
  <si>
    <t>25837393.54611</t>
  </si>
  <si>
    <t>1.1.2.1.1.1.1.5.1._</t>
  </si>
  <si>
    <t>314469348.54611</t>
  </si>
  <si>
    <t>1.1.2.1.1.1.1.5.2</t>
  </si>
  <si>
    <t>341534298.55156</t>
  </si>
  <si>
    <t>25837393.55156</t>
  </si>
  <si>
    <t>1.1.2.1.1.1.1.5.2._</t>
  </si>
  <si>
    <t>314469348.55156</t>
  </si>
  <si>
    <t>1.1.2.1.1.1.1.5.3</t>
  </si>
  <si>
    <t>341534298.55045</t>
  </si>
  <si>
    <t>25837393.55045</t>
  </si>
  <si>
    <t>1.1.2.1.1.1.1.5.3._</t>
  </si>
  <si>
    <t>314469348.55045</t>
  </si>
  <si>
    <t>1.1.2.1.1.1.1.6</t>
  </si>
  <si>
    <t>пом №2.058</t>
  </si>
  <si>
    <t>1.1.2.1.1.1.1.6._</t>
  </si>
  <si>
    <t>1.1.2.1.1.1.1.6.1</t>
  </si>
  <si>
    <t>341534365.54633</t>
  </si>
  <si>
    <t>25837372.54633</t>
  </si>
  <si>
    <t>1.1.2.1.1.1.1.6.1._</t>
  </si>
  <si>
    <t>314469349.54633</t>
  </si>
  <si>
    <t>1.1.2.1.1.1.1.6.2</t>
  </si>
  <si>
    <t>341534365.55045</t>
  </si>
  <si>
    <t>25837372.55045</t>
  </si>
  <si>
    <t>1.1.2.1.1.1.1.6.2._</t>
  </si>
  <si>
    <t>314469349.55045</t>
  </si>
  <si>
    <t>1.1.2.1.1.1.1.6.3</t>
  </si>
  <si>
    <t>341534365.55156</t>
  </si>
  <si>
    <t>25837372.55156</t>
  </si>
  <si>
    <t>1.1.2.1.1.1.1.6.3._</t>
  </si>
  <si>
    <t>314469349.55156</t>
  </si>
  <si>
    <t>1.1.2.1.1.1.1.6.4</t>
  </si>
  <si>
    <t>65 мм</t>
  </si>
  <si>
    <t>341534365.54611</t>
  </si>
  <si>
    <t>25837372.54611</t>
  </si>
  <si>
    <t>1.1.2.1.1.1.1.6.4._</t>
  </si>
  <si>
    <t>314469349.54611</t>
  </si>
  <si>
    <t>1.1.2.1.1.1.1.7</t>
  </si>
  <si>
    <t>помещ. №1.007</t>
  </si>
  <si>
    <t>1.1.2.1.1.1.1.7._</t>
  </si>
  <si>
    <t>1.1.2.1.1.1.1.7.1</t>
  </si>
  <si>
    <t>341534366.55045</t>
  </si>
  <si>
    <t>25837385.55045</t>
  </si>
  <si>
    <t>1.1.2.1.1.1.1.7.1._</t>
  </si>
  <si>
    <t>314469350.55045</t>
  </si>
  <si>
    <t>1.1.2.1.1.1.1.7.2</t>
  </si>
  <si>
    <t>341534366.55156</t>
  </si>
  <si>
    <t>25837385.55156</t>
  </si>
  <si>
    <t>1.1.2.1.1.1.1.7.2._</t>
  </si>
  <si>
    <t>314469350.55156</t>
  </si>
  <si>
    <t>1.1.2.1.1.1.1.7.3</t>
  </si>
  <si>
    <t>Смесь цементно-песчаная сухая_/М200</t>
  </si>
  <si>
    <t>65мм</t>
  </si>
  <si>
    <t>341534366.54612</t>
  </si>
  <si>
    <t>25837385.54612</t>
  </si>
  <si>
    <t>0d69655b-e863-4a40-aa5e-ec8a8fb69e4b</t>
  </si>
  <si>
    <t>1.1.2.1.1.1.1.7.3._</t>
  </si>
  <si>
    <t>314469350.54612</t>
  </si>
  <si>
    <t>1.1.2.1.1.1.1.8</t>
  </si>
  <si>
    <t>6.3.1.5.1.1.12.1</t>
  </si>
  <si>
    <t>Устройство наливных полов СКБ / толщ. до 10 мм</t>
  </si>
  <si>
    <t xml:space="preserve"> пом. 1.030 и 2.037, тип П-20 и П-21</t>
  </si>
  <si>
    <t>b65fecf4-86b0-47e5-a873-50746e1e06fc</t>
  </si>
  <si>
    <t>1c1d8a34-6071-4900-a8e0-abeca2f16e8f</t>
  </si>
  <si>
    <t>1.1.2.1.1.1.1.8.1</t>
  </si>
  <si>
    <t>341534300.55045</t>
  </si>
  <si>
    <t>28199797.55045</t>
  </si>
  <si>
    <t>1.1.2.1.1.1.1.8.2</t>
  </si>
  <si>
    <t>341534300.1139608</t>
  </si>
  <si>
    <t>28199797.1139608</t>
  </si>
  <si>
    <t>1.1.2.1.1.1.1.8.3</t>
  </si>
  <si>
    <t>341534300.1352734</t>
  </si>
  <si>
    <t>28199797.1352734</t>
  </si>
  <si>
    <t>1c2289ef-6763-4a24-83d9-d4567710d066</t>
  </si>
  <si>
    <t>1.1.2.1.1.1.1.9</t>
  </si>
  <si>
    <t>пом. 1.032</t>
  </si>
  <si>
    <t>1.1.2.1.1.1.1.9.1</t>
  </si>
  <si>
    <t>341534367.1352734</t>
  </si>
  <si>
    <t>28291319.1352734</t>
  </si>
  <si>
    <t>1.1.2.1.1.1.1.9.2</t>
  </si>
  <si>
    <t>341534367.1139608</t>
  </si>
  <si>
    <t>28291319.1139608</t>
  </si>
  <si>
    <t>1.1.2.1.1.1.1.9.3</t>
  </si>
  <si>
    <t>341534367.55045</t>
  </si>
  <si>
    <t>28291319.55045</t>
  </si>
  <si>
    <t>1.1.2.1.1.1.1.10</t>
  </si>
  <si>
    <t>пом. 2.033</t>
  </si>
  <si>
    <t>1.1.2.1.1.1.1.10.1</t>
  </si>
  <si>
    <t>341534368.1352734</t>
  </si>
  <si>
    <t>28297398.1352734</t>
  </si>
  <si>
    <t>1.1.2.1.1.1.1.10.2</t>
  </si>
  <si>
    <t>341534368.1139608</t>
  </si>
  <si>
    <t>28297398.1139608</t>
  </si>
  <si>
    <t>1.1.2.1.1.1.1.10.3</t>
  </si>
  <si>
    <t>341534368.55045</t>
  </si>
  <si>
    <t>28297398.55045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</si>
  <si>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</si>
  <si>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</si>
  <si>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</si>
  <si>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</si>
  <si>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</si>
  <si>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</si>
  <si>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</si>
  <si>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af86ab82-d73d-4a1e-bbf7-c759e5f4c78d</t>
  </si>
  <si>
    <t>712c77f6-f7c6-46fe-bc4a-fb39db44eb02</t>
  </si>
  <si>
    <t>1.1.2.1.1.1.2.1._</t>
  </si>
  <si>
    <t>1.1.2.1.1.1.2.1.1</t>
  </si>
  <si>
    <t>Герметик Вибросил / 290 мл</t>
  </si>
  <si>
    <t>341534303.644461</t>
  </si>
  <si>
    <t>25837392.644461</t>
  </si>
  <si>
    <t>e59fbfea-da0b-4a9c-8567-2fe1499a1f7a</t>
  </si>
  <si>
    <t>1.1.2.1.1.1.2.1.1._</t>
  </si>
  <si>
    <t>314469353.644461</t>
  </si>
  <si>
    <t>1.1.2.1.1.1.2.1.2</t>
  </si>
  <si>
    <t xml:space="preserve">Мин. плита Техноакустик </t>
  </si>
  <si>
    <t>м3</t>
  </si>
  <si>
    <t>341534303.707289</t>
  </si>
  <si>
    <t>25837392.707289</t>
  </si>
  <si>
    <t>2aa4233f-c631-436f-a5fb-e3286f3f03b3</t>
  </si>
  <si>
    <t>1.1.2.1.1.1.2.1.2._</t>
  </si>
  <si>
    <t>314469353.707289</t>
  </si>
  <si>
    <t>1.1.2.1.1.1.2.2</t>
  </si>
  <si>
    <t>пом.-е №1.007</t>
  </si>
  <si>
    <t>1.1.2.1.1.1.2.2._</t>
  </si>
  <si>
    <t>1.1.2.1.1.1.2.2.1</t>
  </si>
  <si>
    <t>341534369.707289</t>
  </si>
  <si>
    <t>25837377.707289</t>
  </si>
  <si>
    <t>1.1.2.1.1.1.2.2.1._</t>
  </si>
  <si>
    <t>314469354.707289</t>
  </si>
  <si>
    <t>1.1.2.1.1.1.2.2.2</t>
  </si>
  <si>
    <t>341534369.644461</t>
  </si>
  <si>
    <t>25837377.644461</t>
  </si>
  <si>
    <t>1.1.2.1.1.1.2.2.2._</t>
  </si>
  <si>
    <t>314469354.644461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</si>
  <si>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</si>
  <si>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</si>
  <si>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</si>
  <si>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</si>
  <si>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9e39c19a-3e5a-48a9-81d4-c19cd118ebe6</t>
  </si>
  <si>
    <t>df4f9fc0-265b-42df-a3b8-2eeb21d35d10</t>
  </si>
  <si>
    <t>1.1.2.1.1.1.2.3._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</si>
  <si>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</si>
  <si>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</si>
  <si>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</si>
  <si>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341534304.27127</t>
  </si>
  <si>
    <t>25837407.27127</t>
  </si>
  <si>
    <t>9c71aec3-d5f9-11e8-80e6-005056881952</t>
  </si>
  <si>
    <t>1.1.2.1.1.1.2.3.1._</t>
  </si>
  <si>
    <t>314469355.27127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</si>
  <si>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</si>
  <si>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</si>
  <si>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</si>
  <si>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</si>
  <si>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</si>
  <si>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</si>
  <si>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</si>
  <si>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ba238fec-d7fc-420d-944a-4b6d4b8cbc4b</t>
  </si>
  <si>
    <t>f56b84ba-3593-441c-a94c-fbcf59225a06</t>
  </si>
  <si>
    <t>1.1.2.1.1.1.3.1._</t>
  </si>
  <si>
    <t>1.1.2.1.1.1.3.1.1</t>
  </si>
  <si>
    <t>Клей плиточный/ Унифицированный по ПИК-СТАНДАРТ</t>
  </si>
  <si>
    <t>5мм</t>
  </si>
  <si>
    <t>341534307.54632</t>
  </si>
  <si>
    <t>25837379.54632</t>
  </si>
  <si>
    <t>29ab9003-5b43-49a7-8ba2-846628054d7e</t>
  </si>
  <si>
    <t>1.1.2.1.1.1.3.1.1._</t>
  </si>
  <si>
    <t>314469358.54632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</si>
  <si>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</si>
  <si>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</si>
  <si>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</si>
  <si>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341534307.720766</t>
  </si>
  <si>
    <t>25837379.720766</t>
  </si>
  <si>
    <t>9957580e-ec46-4b98-98e6-c38f42a89dfd</t>
  </si>
  <si>
    <t>1.1.2.1.1.1.3.1.2._</t>
  </si>
  <si>
    <t>314469358.720766</t>
  </si>
  <si>
    <t>1.1.2.1.1.1.3.1.3</t>
  </si>
  <si>
    <t>Затирка Цезерит СE33_/04 серебристо-серый</t>
  </si>
  <si>
    <t>341534307.54637</t>
  </si>
  <si>
    <t>25837379.54637</t>
  </si>
  <si>
    <t>c293221b-d93c-4424-8200-e1b99b7167e3</t>
  </si>
  <si>
    <t>1.1.2.1.1.1.3.1.3._</t>
  </si>
  <si>
    <t>314469358.54637</t>
  </si>
  <si>
    <t>1.1.2.1.1.1.3.1.4</t>
  </si>
  <si>
    <t>Грунтовка универсальный ЛАСТИМИН_ / LP-51 А</t>
  </si>
  <si>
    <t>341534307.54634</t>
  </si>
  <si>
    <t>25837379.54634</t>
  </si>
  <si>
    <t>6f806fd0-f20f-4c69-8d99-cee4063fa047</t>
  </si>
  <si>
    <t>1.1.2.1.1.1.3.1.4._</t>
  </si>
  <si>
    <t>314469358.54634</t>
  </si>
  <si>
    <t>1.1.2.1.1.1.3.2</t>
  </si>
  <si>
    <t>КР-5
пом. галереи №2.058</t>
  </si>
  <si>
    <t>1.1.2.1.1.1.3.2._</t>
  </si>
  <si>
    <t>1.1.2.1.1.1.3.2.1</t>
  </si>
  <si>
    <t>341534370.54634</t>
  </si>
  <si>
    <t>25837365.54634</t>
  </si>
  <si>
    <t>1.1.2.1.1.1.3.2.1._</t>
  </si>
  <si>
    <t>314469359.54634</t>
  </si>
  <si>
    <t>1.1.2.1.1.1.3.2.2</t>
  </si>
  <si>
    <t>341534370.54637</t>
  </si>
  <si>
    <t>25837365.54637</t>
  </si>
  <si>
    <t>1.1.2.1.1.1.3.2.2._</t>
  </si>
  <si>
    <t>314469359.54637</t>
  </si>
  <si>
    <t>1.1.2.1.1.1.3.2.3</t>
  </si>
  <si>
    <t>341534370.54632</t>
  </si>
  <si>
    <t>25837365.54632</t>
  </si>
  <si>
    <t>1.1.2.1.1.1.3.2.3._</t>
  </si>
  <si>
    <t>314469359.54632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</si>
  <si>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</si>
  <si>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</si>
  <si>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</si>
  <si>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341534370.1137906</t>
  </si>
  <si>
    <t>25837365.1137906</t>
  </si>
  <si>
    <t>9494a650-87e7-4322-a2a7-6da3a3ab7188</t>
  </si>
  <si>
    <t>1.1.2.1.1.1.3.2.4._</t>
  </si>
  <si>
    <t>314469359.1137906</t>
  </si>
  <si>
    <t>1.1.2.1.1.1.3.3</t>
  </si>
  <si>
    <t>помещ №1.007</t>
  </si>
  <si>
    <t>1.1.2.1.1.1.3.3._</t>
  </si>
  <si>
    <t>1.1.2.1.1.1.3.3.1</t>
  </si>
  <si>
    <t>341534371.54634</t>
  </si>
  <si>
    <t>25837383.54634</t>
  </si>
  <si>
    <t>1.1.2.1.1.1.3.3.1._</t>
  </si>
  <si>
    <t>314469360.54634</t>
  </si>
  <si>
    <t>1.1.2.1.1.1.3.3.2</t>
  </si>
  <si>
    <t>341534371.54637</t>
  </si>
  <si>
    <t>25837383.54637</t>
  </si>
  <si>
    <t>1.1.2.1.1.1.3.3.2._</t>
  </si>
  <si>
    <t>314469360.54637</t>
  </si>
  <si>
    <t>1.1.2.1.1.1.3.3.3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</si>
  <si>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</si>
  <si>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</si>
  <si>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341534371.720769</t>
  </si>
  <si>
    <t>25837383.720769</t>
  </si>
  <si>
    <t>3ac98e36-5cd5-4ac7-9116-897c1cc1bd6a</t>
  </si>
  <si>
    <t>1.1.2.1.1.1.3.3.3._</t>
  </si>
  <si>
    <t>314469360.720769</t>
  </si>
  <si>
    <t>1.1.2.1.1.1.3.3.4</t>
  </si>
  <si>
    <t>341534371.54632</t>
  </si>
  <si>
    <t>25837383.54632</t>
  </si>
  <si>
    <t>1.1.2.1.1.1.3.3.4._</t>
  </si>
  <si>
    <t>314469360.54632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</si>
  <si>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</si>
  <si>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</si>
  <si>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</si>
  <si>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</si>
  <si>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</si>
  <si>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51b31787-2db2-4031-aade-329f900ef9b7</t>
  </si>
  <si>
    <t>b58ad002-5dea-4a06-b953-f640911ed5b2</t>
  </si>
  <si>
    <t>1.1.2.1.1.1.3.4._</t>
  </si>
  <si>
    <t>1.1.2.1.1.1.3.4.1</t>
  </si>
  <si>
    <t>Клей для линолеума</t>
  </si>
  <si>
    <t>Клей Forbo 599 Eurosafe Super/20 кг, расход 0,5 кг/м2</t>
  </si>
  <si>
    <t>341534309.702694</t>
  </si>
  <si>
    <t>25837391.702694</t>
  </si>
  <si>
    <t>1a3e3255-5ba6-49e7-bbc8-279e1b1289a0</t>
  </si>
  <si>
    <t>1.1.2.1.1.1.3.4.1._</t>
  </si>
  <si>
    <t>314469362.702694</t>
  </si>
  <si>
    <t>1.1.2.1.1.1.3.4.2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</si>
  <si>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</si>
  <si>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341534309.765919</t>
  </si>
  <si>
    <t>25837391.765919</t>
  </si>
  <si>
    <t>040a81cc-6e03-4c9b-9435-6f96fbe8f43f</t>
  </si>
  <si>
    <t>1.1.2.1.1.1.3.4.2._</t>
  </si>
  <si>
    <t>314469362.765919</t>
  </si>
  <si>
    <t>1.1.2.1.1.1.3.4.3</t>
  </si>
  <si>
    <t>Линолеум (для объектов СКБ)_ / 4 мм  / серый / Omnisports ACTION R40 GREY / Tarkett / - / Спортивный линолеум для школы</t>
  </si>
  <si>
    <t>341534309.1757616</t>
  </si>
  <si>
    <t>25837391.1757616</t>
  </si>
  <si>
    <t>8a051785-3557-4655-9655-cc3c5240c6a9</t>
  </si>
  <si>
    <t>1.1.2.1.1.1.3.4.3._</t>
  </si>
  <si>
    <t>314469362.1757616</t>
  </si>
  <si>
    <t>1.1.2.1.1.1.3.5</t>
  </si>
  <si>
    <t>6.3.1.5.1.3.8.1</t>
  </si>
  <si>
    <t>Установка стыковочных профилей</t>
  </si>
  <si>
    <t>пом. спорт залов</t>
  </si>
  <si>
    <t>76703cd4-c8ff-4e22-abbd-2d5e394281cf</t>
  </si>
  <si>
    <t>d8cca10c-4815-473b-a7ff-575551ece3f3</t>
  </si>
  <si>
    <t>1.1.2.1.1.1.3.5._</t>
  </si>
  <si>
    <t>1.1.2.1.1.1.3.5.1</t>
  </si>
  <si>
    <t>Профиль T-образный ПМЮ-01_ / серебро матовое / 2700*30</t>
  </si>
  <si>
    <t>341534311.54698</t>
  </si>
  <si>
    <t>25837373.54698</t>
  </si>
  <si>
    <t>431fd404-0d93-4656-9911-5bebccf01228</t>
  </si>
  <si>
    <t>1.1.2.1.1.1.3.5.1._</t>
  </si>
  <si>
    <t>314469364.54698</t>
  </si>
  <si>
    <t>1.1.2.1.1.1.3.5.2</t>
  </si>
  <si>
    <t>Жидкие гвозди универсальные_/</t>
  </si>
  <si>
    <t>341534311.54854</t>
  </si>
  <si>
    <t>25837373.54854</t>
  </si>
  <si>
    <t>3378c715-1bc1-40f5-8d09-15a912e04c9d</t>
  </si>
  <si>
    <t>1.1.2.1.1.1.3.5.2._</t>
  </si>
  <si>
    <t>314469364.54854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</si>
  <si>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</si>
  <si>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</si>
  <si>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</si>
  <si>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</si>
  <si>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7c078883-0b0a-4435-9703-ce38f86f609d</t>
  </si>
  <si>
    <t>b85c85d4-a58d-4d1f-9fee-8d36cd9ba4e9</t>
  </si>
  <si>
    <t>1.1.2.1.1.1.3.6._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</si>
  <si>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</si>
  <si>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</si>
  <si>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</si>
  <si>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341534313.1747282</t>
  </si>
  <si>
    <t>25837384.1747282</t>
  </si>
  <si>
    <t>d4275771-32c8-11ee-a102-d1661ac0bb93</t>
  </si>
  <si>
    <t>1.1.2.1.1.1.3.6.1._</t>
  </si>
  <si>
    <t>314469366.1747282</t>
  </si>
  <si>
    <t>1.1.2.1.1.1.3.6.2</t>
  </si>
  <si>
    <t>Клей плиточный/Унифицированный по ПИК-СТАНДАРТ</t>
  </si>
  <si>
    <t>341534313.54629</t>
  </si>
  <si>
    <t>25837384.54629</t>
  </si>
  <si>
    <t>e9770899-65c8-423b-aa60-49fe884ae8df</t>
  </si>
  <si>
    <t>1.1.2.1.1.1.3.6.2._</t>
  </si>
  <si>
    <t>314469366.54629</t>
  </si>
  <si>
    <t>1.1.2.1.1.1.3.6.3</t>
  </si>
  <si>
    <t>341534313.54637</t>
  </si>
  <si>
    <t>25837384.54637</t>
  </si>
  <si>
    <t>1.1.2.1.1.1.3.6.3._</t>
  </si>
  <si>
    <t>314469366.54637</t>
  </si>
  <si>
    <t>1.1.2.1.1.1.3.6.4</t>
  </si>
  <si>
    <t>341534313.54634</t>
  </si>
  <si>
    <t>25837384.54634</t>
  </si>
  <si>
    <t>1.1.2.1.1.1.3.6.4._</t>
  </si>
  <si>
    <t>314469366.54634</t>
  </si>
  <si>
    <t>1.1.2.1.1.1.3.7</t>
  </si>
  <si>
    <t>1.1.2.1.1.1.3.7._</t>
  </si>
  <si>
    <t>1.1.2.1.1.1.3.7.1</t>
  </si>
  <si>
    <t>341534372.54634</t>
  </si>
  <si>
    <t>25837386.54634</t>
  </si>
  <si>
    <t>1.1.2.1.1.1.3.7.1._</t>
  </si>
  <si>
    <t>314469367.54634</t>
  </si>
  <si>
    <t>1.1.2.1.1.1.3.7.2</t>
  </si>
  <si>
    <t>341534372.54637</t>
  </si>
  <si>
    <t>25837386.54637</t>
  </si>
  <si>
    <t>1.1.2.1.1.1.3.7.2._</t>
  </si>
  <si>
    <t>314469367.54637</t>
  </si>
  <si>
    <t>1.1.2.1.1.1.3.7.3</t>
  </si>
  <si>
    <t>Керамический гранит Kerama marazzi_ / Светлый серый /  DD600300R, Estima LF01 UnitileVento grey PG  / 600х600х10мм</t>
  </si>
  <si>
    <t>341534372.1275875</t>
  </si>
  <si>
    <t>25837386.1275875</t>
  </si>
  <si>
    <t>95dc61f2-4532-4459-b4a7-bcb3a6b65492</t>
  </si>
  <si>
    <t>1.1.2.1.1.1.3.7.3._</t>
  </si>
  <si>
    <t>314469367.1275875</t>
  </si>
  <si>
    <t>1.1.2.1.1.1.3.7.4</t>
  </si>
  <si>
    <t>Плиточный клей_ / Унифицированный по ПИК-СТАНДАРТ</t>
  </si>
  <si>
    <t>341534372.1570753</t>
  </si>
  <si>
    <t>25837386.1570753</t>
  </si>
  <si>
    <t>be76b7f0-d821-4213-a0b5-d4d9b08818f1</t>
  </si>
  <si>
    <t>1.1.2.1.1.1.3.7.4._</t>
  </si>
  <si>
    <t>314469367.1570753</t>
  </si>
  <si>
    <t>1.1.2.1.1.1.3.8</t>
  </si>
  <si>
    <t>6.3.1.5.1.3.14.1</t>
  </si>
  <si>
    <t>Устройство покрытия пола из кварцвинила / на клею</t>
  </si>
  <si>
    <t>пом. 1,032 и 2.033</t>
  </si>
  <si>
    <t>d2a8c4cc-9752-499d-bcd0-96d63d6d3e47</t>
  </si>
  <si>
    <t>0f62f3eb-5d66-4427-b2d6-a309be9c6e5c</t>
  </si>
  <si>
    <t>1.1.2.1.1.1.3.8.1</t>
  </si>
  <si>
    <t>Грунтовка _ / универсальная водно-дисперсионная</t>
  </si>
  <si>
    <t>341534315.737422</t>
  </si>
  <si>
    <t>28214775.737422</t>
  </si>
  <si>
    <t>64d77ce3-b188-4652-a3eb-49ad1b6ad85c</t>
  </si>
  <si>
    <t>1.1.2.1.1.1.3.8.2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</si>
  <si>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</si>
  <si>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341534315.1579985</t>
  </si>
  <si>
    <t>28214775.1579985</t>
  </si>
  <si>
    <t>f4eb966a-beb9-11eb-80fb-005056881952</t>
  </si>
  <si>
    <t>1.1.2.1.1.1.3.8.3</t>
  </si>
  <si>
    <t>Кварц-виниловая плитка / SPC VIVA Series с защитным слоем 0,3мм</t>
  </si>
  <si>
    <t>Плитка ПВХ Allura Flex 500 х500 мм, текстура - бетон</t>
  </si>
  <si>
    <t>341534315.1745760</t>
  </si>
  <si>
    <t>28214775.1745760</t>
  </si>
  <si>
    <t>5e97e485-cef1-4bb6-9a4e-50ed5226fbd6</t>
  </si>
  <si>
    <t>1.1.2.1.1.1.3.9</t>
  </si>
  <si>
    <t>6.3.1.5.1.3.16.4</t>
  </si>
  <si>
    <t>Установка напольного плинтуса / полимерного на клею</t>
  </si>
  <si>
    <t>пом. 1.030, 1.032, 2.037, 2.033</t>
  </si>
  <si>
    <t>c9eb628d-6a9a-4823-a035-3a8c813e3e45</t>
  </si>
  <si>
    <t>1e8e5096-f9d4-45e8-8fba-752768fac6e1</t>
  </si>
  <si>
    <t>1.1.2.1.1.1.3.9.1</t>
  </si>
  <si>
    <t>Плинтус для линолеума (для объектов СКБ) 100 мм WL 100 Dark Gray 0146 Dollken Плинтус для линолеума для детского сада и школ</t>
  </si>
  <si>
    <t>341534317.1747273</t>
  </si>
  <si>
    <t>28214747.1747273</t>
  </si>
  <si>
    <t>de126dff-32d0-11ee-a102-d1661ac0bb93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</si>
  <si>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</si>
  <si>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</si>
  <si>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</si>
  <si>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</si>
  <si>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</si>
  <si>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</si>
  <si>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</si>
  <si>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</si>
  <si>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</si>
  <si>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НЗ № 8 от 16.07.2025</t>
  </si>
  <si>
    <t>376b0b05-e1f7-4eb4-858c-54cfc94012c5</t>
  </si>
  <si>
    <t>7942ddbf-4120-45ca-9456-f48a3ec42d9b</t>
  </si>
  <si>
    <t>1.1.2.1.1.2.1.1.1</t>
  </si>
  <si>
    <t>Штукатурка цементная, сухая, ТАНИЛИТ_/РС15</t>
  </si>
  <si>
    <t>341534321.54614</t>
  </si>
  <si>
    <t>28217160.54614</t>
  </si>
  <si>
    <t>b0309c4c-1ac0-4232-8989-3fb3001fa915</t>
  </si>
  <si>
    <t>1.1.2.1.1.2.1.1.2</t>
  </si>
  <si>
    <t>Лента армирующая ( серпянка)_/150мм</t>
  </si>
  <si>
    <t>341534321.55040</t>
  </si>
  <si>
    <t>28217160.55040</t>
  </si>
  <si>
    <t>eae3db91-694c-4324-837b-5cb2a168407e</t>
  </si>
  <si>
    <t>1.1.2.1.1.2.1.2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</si>
  <si>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</si>
  <si>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</si>
  <si>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</si>
  <si>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c5aa8ee2-e574-43a3-844b-653c022bb54c</t>
  </si>
  <si>
    <t>a4be7dcf-ce5e-4104-94f3-5ba02bfd9c0c</t>
  </si>
  <si>
    <t>1.1.2.1.1.2.1.2._</t>
  </si>
  <si>
    <t>1.1.2.1.1.2.1.2.1</t>
  </si>
  <si>
    <t>Сетка стеклотканевая 200г/м2, ячейка 5х5мм</t>
  </si>
  <si>
    <t>341534323.17342</t>
  </si>
  <si>
    <t>25837370.17342</t>
  </si>
  <si>
    <t>1bf3e29a-aa18-11e8-80e4-005056881952</t>
  </si>
  <si>
    <t>1.1.2.1.1.2.1.2.1._</t>
  </si>
  <si>
    <t>314469371.17342</t>
  </si>
  <si>
    <t>1.1.2.1.1.2.1.2.2</t>
  </si>
  <si>
    <t>341534323.54633</t>
  </si>
  <si>
    <t>25837370.54633</t>
  </si>
  <si>
    <t>1.1.2.1.1.2.1.2.2._</t>
  </si>
  <si>
    <t>314469371.54633</t>
  </si>
  <si>
    <t>1.1.2.1.1.2.1.2.3</t>
  </si>
  <si>
    <t>Смесь цементно-песчаная М100</t>
  </si>
  <si>
    <t>20мм</t>
  </si>
  <si>
    <t>341534323.12403</t>
  </si>
  <si>
    <t>25837370.12403</t>
  </si>
  <si>
    <t>d24451aa-7571-11e8-80e0-005056881952</t>
  </si>
  <si>
    <t>1.1.2.1.1.2.1.2.3._</t>
  </si>
  <si>
    <t>314469371.12403</t>
  </si>
  <si>
    <t>1.1.2.1.1.2.1.2.4</t>
  </si>
  <si>
    <t>Профиль маячковый_/ПМ10</t>
  </si>
  <si>
    <t>341534323.55030</t>
  </si>
  <si>
    <t>25837370.55030</t>
  </si>
  <si>
    <t>2c5b3048-8dfb-4910-9a5b-0bcdfb85437b</t>
  </si>
  <si>
    <t>1.1.2.1.1.2.1.2.4._</t>
  </si>
  <si>
    <t>314469371.55030</t>
  </si>
  <si>
    <t>1.1.2.1.1.2.1.3</t>
  </si>
  <si>
    <t>по блоку, №1.030 и 2.037</t>
  </si>
  <si>
    <t>1.1.2.1.1.2.1.3._</t>
  </si>
  <si>
    <t>1.1.2.1.1.2.1.3.1</t>
  </si>
  <si>
    <t>Грунтовка _ /  универсальная глубокого проникновения</t>
  </si>
  <si>
    <t>341534373.1751832</t>
  </si>
  <si>
    <t>25837369.1751832</t>
  </si>
  <si>
    <t>b4b0210a-8af4-4646-b1a9-fca6c13407aa</t>
  </si>
  <si>
    <t>1.1.2.1.1.2.1.3.1._</t>
  </si>
  <si>
    <t>314469372.1751832</t>
  </si>
  <si>
    <t>1.1.2.1.1.2.1.3.2</t>
  </si>
  <si>
    <t>341534373.55030</t>
  </si>
  <si>
    <t>25837369.55030</t>
  </si>
  <si>
    <t>1.1.2.1.1.2.1.3.2._</t>
  </si>
  <si>
    <t>314469372.55030</t>
  </si>
  <si>
    <t>1.1.2.1.1.2.1.3.3</t>
  </si>
  <si>
    <t>341534373.12403</t>
  </si>
  <si>
    <t>25837369.12403</t>
  </si>
  <si>
    <t>1.1.2.1.1.2.1.3.3._</t>
  </si>
  <si>
    <t>314469372.12403</t>
  </si>
  <si>
    <t>1.1.2.1.1.2.1.3.4</t>
  </si>
  <si>
    <t>341534373.17342</t>
  </si>
  <si>
    <t>25837369.17342</t>
  </si>
  <si>
    <t>1.1.2.1.1.2.1.3.4._</t>
  </si>
  <si>
    <t>314469372.17342</t>
  </si>
  <si>
    <t>1.1.2.1.1.2.1.4</t>
  </si>
  <si>
    <t>жб стены. пом. № 2.058</t>
  </si>
  <si>
    <t>1.1.2.1.1.2.1.4._</t>
  </si>
  <si>
    <t>1.1.2.1.1.2.1.4.1</t>
  </si>
  <si>
    <t>341534374.55030</t>
  </si>
  <si>
    <t>25837368.55030</t>
  </si>
  <si>
    <t>1.1.2.1.1.2.1.4.1._</t>
  </si>
  <si>
    <t>314469373.55030</t>
  </si>
  <si>
    <t>1.1.2.1.1.2.1.4.2</t>
  </si>
  <si>
    <t>341534374.54633</t>
  </si>
  <si>
    <t>25837368.54633</t>
  </si>
  <si>
    <t>1.1.2.1.1.2.1.4.2._</t>
  </si>
  <si>
    <t>314469373.54633</t>
  </si>
  <si>
    <t>1.1.2.1.1.2.1.4.3</t>
  </si>
  <si>
    <t>Штукатурка гипсовая_ / Унифицированная по ПИК-СТАНДАРТ, 30кг</t>
  </si>
  <si>
    <t>341534374.54616</t>
  </si>
  <si>
    <t>25837368.54616</t>
  </si>
  <si>
    <t>b059108e-66ce-4a56-9765-c924e4c0b8b7</t>
  </si>
  <si>
    <t>1.1.2.1.1.2.1.4.3._</t>
  </si>
  <si>
    <t>314469373.54616</t>
  </si>
  <si>
    <t>1.1.2.1.1.2.1.5</t>
  </si>
  <si>
    <t>блок пом.№2.058</t>
  </si>
  <si>
    <t>1.1.2.1.1.2.1.5._</t>
  </si>
  <si>
    <t>1.1.2.1.1.2.1.5.1</t>
  </si>
  <si>
    <t>341534375.55030</t>
  </si>
  <si>
    <t>25837367.55030</t>
  </si>
  <si>
    <t>1.1.2.1.1.2.1.5.1._</t>
  </si>
  <si>
    <t>314469374.55030</t>
  </si>
  <si>
    <t>1.1.2.1.1.2.1.5.2</t>
  </si>
  <si>
    <t>Грунтовка водно-дисперсионная глубокого проникновения "Эконом" 10 кг_/</t>
  </si>
  <si>
    <t>341534375.54744</t>
  </si>
  <si>
    <t>25837367.54744</t>
  </si>
  <si>
    <t>754be5d8-5c13-4490-a6a1-fb9c70e54bb5</t>
  </si>
  <si>
    <t>1.1.2.1.1.2.1.5.2._</t>
  </si>
  <si>
    <t>314469374.54744</t>
  </si>
  <si>
    <t>1.1.2.1.1.2.1.5.3</t>
  </si>
  <si>
    <t>341534375.54616</t>
  </si>
  <si>
    <t>25837367.54616</t>
  </si>
  <si>
    <t>1.1.2.1.1.2.1.5.3._</t>
  </si>
  <si>
    <t>314469374.54616</t>
  </si>
  <si>
    <t>1.1.2.1.1.2.1.6</t>
  </si>
  <si>
    <t>помещение №1.007,  жб пов-ть</t>
  </si>
  <si>
    <t>1.1.2.1.1.2.1.6._</t>
  </si>
  <si>
    <t>1.1.2.1.1.2.1.6.1</t>
  </si>
  <si>
    <t>341534376.55030</t>
  </si>
  <si>
    <t>25837390.55030</t>
  </si>
  <si>
    <t>1.1.2.1.1.2.1.6.1._</t>
  </si>
  <si>
    <t>314469375.55030</t>
  </si>
  <si>
    <t>1.1.2.1.1.2.1.6.2</t>
  </si>
  <si>
    <t>341534376.12403</t>
  </si>
  <si>
    <t>25837390.12403</t>
  </si>
  <si>
    <t>1.1.2.1.1.2.1.6.2._</t>
  </si>
  <si>
    <t>314469375.12403</t>
  </si>
  <si>
    <t>1.1.2.1.1.2.1.6.3</t>
  </si>
  <si>
    <t>341534376.54633</t>
  </si>
  <si>
    <t>25837390.54633</t>
  </si>
  <si>
    <t>1.1.2.1.1.2.1.6.3._</t>
  </si>
  <si>
    <t>314469375.54633</t>
  </si>
  <si>
    <t>1.1.2.1.1.2.1.6.4</t>
  </si>
  <si>
    <t>341534376.17342</t>
  </si>
  <si>
    <t>25837390.17342</t>
  </si>
  <si>
    <t>1.1.2.1.1.2.1.6.4._</t>
  </si>
  <si>
    <t>314469375.17342</t>
  </si>
  <si>
    <t>1.1.2.1.1.2.1.7</t>
  </si>
  <si>
    <t>пом. №1.007 - по блоку</t>
  </si>
  <si>
    <t>1.1.2.1.1.2.1.7._</t>
  </si>
  <si>
    <t>1.1.2.1.1.2.1.7.1</t>
  </si>
  <si>
    <t>341534377.55030</t>
  </si>
  <si>
    <t>25837375.55030</t>
  </si>
  <si>
    <t>1.1.2.1.1.2.1.7.1._</t>
  </si>
  <si>
    <t>314469376.55030</t>
  </si>
  <si>
    <t>1.1.2.1.1.2.1.7.2</t>
  </si>
  <si>
    <t>341534377.12403</t>
  </si>
  <si>
    <t>25837375.12403</t>
  </si>
  <si>
    <t>1.1.2.1.1.2.1.7.2._</t>
  </si>
  <si>
    <t>314469376.12403</t>
  </si>
  <si>
    <t>1.1.2.1.1.2.1.7.3</t>
  </si>
  <si>
    <t>341534377.54744</t>
  </si>
  <si>
    <t>25837375.54744</t>
  </si>
  <si>
    <t>1.1.2.1.1.2.1.7.3._</t>
  </si>
  <si>
    <t>314469376.54744</t>
  </si>
  <si>
    <t>1.1.2.1.1.2.1.7.4</t>
  </si>
  <si>
    <t>341534377.17342</t>
  </si>
  <si>
    <t>25837375.17342</t>
  </si>
  <si>
    <t>1.1.2.1.1.2.1.7.4._</t>
  </si>
  <si>
    <t>314469376.17342</t>
  </si>
  <si>
    <t>1.1.2.1.1.2.1.8</t>
  </si>
  <si>
    <t>№1.007</t>
  </si>
  <si>
    <t>1.1.2.1.1.2.1.8._</t>
  </si>
  <si>
    <t>1.1.2.1.1.2.1.8.1</t>
  </si>
  <si>
    <t>20 мм</t>
  </si>
  <si>
    <t>341534378.12403</t>
  </si>
  <si>
    <t>25837400.12403</t>
  </si>
  <si>
    <t>1.1.2.1.1.2.1.8.1._</t>
  </si>
  <si>
    <t>314469377.12403</t>
  </si>
  <si>
    <t>1.1.2.1.1.2.1.8.2</t>
  </si>
  <si>
    <t>341534378.54744</t>
  </si>
  <si>
    <t>25837400.54744</t>
  </si>
  <si>
    <t>1.1.2.1.1.2.1.8.2._</t>
  </si>
  <si>
    <t>314469377.54744</t>
  </si>
  <si>
    <t>1.1.2.1.1.2.1.8.3</t>
  </si>
  <si>
    <t>341534378.17342</t>
  </si>
  <si>
    <t>25837400.17342</t>
  </si>
  <si>
    <t>1.1.2.1.1.2.1.8.3._</t>
  </si>
  <si>
    <t>314469377.17342</t>
  </si>
  <si>
    <t>1.1.2.1.1.2.1.9</t>
  </si>
  <si>
    <t>6.3.1.5.2.1.4.2</t>
  </si>
  <si>
    <t>Выравнивание стен с предварительной огрунтовкой / по оштукатуренной поверхности / толщ. 2 мм</t>
  </si>
  <si>
    <t>№1.030 и 2.0037</t>
  </si>
  <si>
    <t>110a99a0-6a0d-45b9-b62a-cc3e037ec5cf</t>
  </si>
  <si>
    <t>d4ebd7f1-3692-4517-9566-1d8cb406007d</t>
  </si>
  <si>
    <t>1.1.2.1.1.2.1.9.1</t>
  </si>
  <si>
    <t>Шпатлевка цементная</t>
  </si>
  <si>
    <t>341534325.1272014</t>
  </si>
  <si>
    <t>25837404.1272014</t>
  </si>
  <si>
    <t>515f7d43-39e1-4366-a9d9-2be3d410ca9d</t>
  </si>
  <si>
    <t>1.1.2.1.1.2.1.9.2</t>
  </si>
  <si>
    <t>Уголок малярный_ / L=3м /25х25 мм</t>
  </si>
  <si>
    <t>341534325.18405</t>
  </si>
  <si>
    <t>25837404.18405</t>
  </si>
  <si>
    <t>6aa8b3b9-7634-40f9-a5c9-a021ce35f715</t>
  </si>
  <si>
    <t>1.1.2.1.1.2.1.9.3</t>
  </si>
  <si>
    <t>341534325.54634</t>
  </si>
  <si>
    <t>25837404.54634</t>
  </si>
  <si>
    <t>1.1.2.1.1.2.1.10</t>
  </si>
  <si>
    <t>1.1.2.1.1.2.1.10.1</t>
  </si>
  <si>
    <t>341534379.54634</t>
  </si>
  <si>
    <t>25837405.54634</t>
  </si>
  <si>
    <t>1.1.2.1.1.2.1.10.2</t>
  </si>
  <si>
    <t>341534379.18405</t>
  </si>
  <si>
    <t>25837405.18405</t>
  </si>
  <si>
    <t>1.1.2.1.1.2.1.10.3</t>
  </si>
  <si>
    <t xml:space="preserve">Шпатлевка финишная TERRACO HANDYCOAT ALL PURPOSE </t>
  </si>
  <si>
    <t>341534379.1276350</t>
  </si>
  <si>
    <t>25837405.1276350</t>
  </si>
  <si>
    <t>e1b334c7-c5c1-4c42-a451-fa4295c7af60</t>
  </si>
  <si>
    <t>1.1.2.1.1.2.1.11</t>
  </si>
  <si>
    <t>1.1.2.1.1.2.1.11.1</t>
  </si>
  <si>
    <t>341534380.54634</t>
  </si>
  <si>
    <t>25837406.54634</t>
  </si>
  <si>
    <t>1.1.2.1.1.2.1.11.2</t>
  </si>
  <si>
    <t>341534380.18405</t>
  </si>
  <si>
    <t>25837406.18405</t>
  </si>
  <si>
    <t>1.1.2.1.1.2.1.11.3</t>
  </si>
  <si>
    <t xml:space="preserve">Шпатлевка полимерная суперфинишная ЭЛИСИЛК_/белая/ PP37W </t>
  </si>
  <si>
    <t>341534380.54623</t>
  </si>
  <si>
    <t>25837406.54623</t>
  </si>
  <si>
    <t>fd599ec7-fabd-4bec-b213-8990de665df5</t>
  </si>
  <si>
    <t>1.1.2.1.1.2.1.12</t>
  </si>
  <si>
    <t>пом.-я №2.058</t>
  </si>
  <si>
    <t>1.1.2.1.1.2.1.12._</t>
  </si>
  <si>
    <t>1.1.2.1.1.2.1.12.1</t>
  </si>
  <si>
    <t>Грунтовка водно-дисперсионная глубокого проникновения EXPORT base Маршалл</t>
  </si>
  <si>
    <t>341534381.1276361</t>
  </si>
  <si>
    <t>25837378.1276361</t>
  </si>
  <si>
    <t>71ae522f-5e1a-4b61-9ba1-767c0a10863d</t>
  </si>
  <si>
    <t>1.1.2.1.1.2.1.12.1._</t>
  </si>
  <si>
    <t>314469382.1276361</t>
  </si>
  <si>
    <t>1.1.2.1.1.2.1.12.2</t>
  </si>
  <si>
    <t>Лента армированная Серпянка 150мм</t>
  </si>
  <si>
    <t>341534381.7431</t>
  </si>
  <si>
    <t>25837378.7431</t>
  </si>
  <si>
    <t>f955e3c3-158b-11e8-80d9-005056881952</t>
  </si>
  <si>
    <t>1.1.2.1.1.2.1.12.2._</t>
  </si>
  <si>
    <t>314469382.7431</t>
  </si>
  <si>
    <t>1.1.2.1.1.2.1.12.3</t>
  </si>
  <si>
    <t>341534381.18405</t>
  </si>
  <si>
    <t>25837378.18405</t>
  </si>
  <si>
    <t>1.1.2.1.1.2.1.12.3._</t>
  </si>
  <si>
    <t>314469382.18405</t>
  </si>
  <si>
    <t>1.1.2.1.1.2.1.12.4</t>
  </si>
  <si>
    <t>Шпатлевка гипсовая_ / белая / Унифицированная по ПИК-СТАНДАРТ, 30кг</t>
  </si>
  <si>
    <t>341534381.54621</t>
  </si>
  <si>
    <t>25837378.54621</t>
  </si>
  <si>
    <t>b18a669c-55b9-4a3b-9bec-843efe930f3c</t>
  </si>
  <si>
    <t>1.1.2.1.1.2.1.12.4._</t>
  </si>
  <si>
    <t>314469382.54621</t>
  </si>
  <si>
    <t>1.1.2.1.1.2.1.13</t>
  </si>
  <si>
    <t>пом.№2.058</t>
  </si>
  <si>
    <t>1.1.2.1.1.2.1.13._</t>
  </si>
  <si>
    <t>1.1.2.1.1.2.1.13.1</t>
  </si>
  <si>
    <t>341534382.54634</t>
  </si>
  <si>
    <t>25837380.54634</t>
  </si>
  <si>
    <t>1.1.2.1.1.2.1.13.1._</t>
  </si>
  <si>
    <t>314469383.54634</t>
  </si>
  <si>
    <t>1.1.2.1.1.2.1.13.2</t>
  </si>
  <si>
    <t>341534382.7431</t>
  </si>
  <si>
    <t>25837380.7431</t>
  </si>
  <si>
    <t>1.1.2.1.1.2.1.13.2._</t>
  </si>
  <si>
    <t>314469383.7431</t>
  </si>
  <si>
    <t>1.1.2.1.1.2.1.13.3</t>
  </si>
  <si>
    <t>341534382.18405</t>
  </si>
  <si>
    <t>25837380.18405</t>
  </si>
  <si>
    <t>1.1.2.1.1.2.1.13.3._</t>
  </si>
  <si>
    <t>314469383.18405</t>
  </si>
  <si>
    <t>1.1.2.1.1.2.1.13.4</t>
  </si>
  <si>
    <t>341534382.1276350</t>
  </si>
  <si>
    <t>25837380.1276350</t>
  </si>
  <si>
    <t>1.1.2.1.1.2.1.13.4._</t>
  </si>
  <si>
    <t>314469383.1276350</t>
  </si>
  <si>
    <t>1.1.2.1.1.2.1.14</t>
  </si>
  <si>
    <t>1.1.2.1.1.2.1.14._</t>
  </si>
  <si>
    <t>1.1.2.1.1.2.1.14.1</t>
  </si>
  <si>
    <t>341534383.54634</t>
  </si>
  <si>
    <t>25837381.54634</t>
  </si>
  <si>
    <t>1.1.2.1.1.2.1.14.1._</t>
  </si>
  <si>
    <t>314469384.54634</t>
  </si>
  <si>
    <t>1.1.2.1.1.2.1.14.2</t>
  </si>
  <si>
    <t>341534383.18405</t>
  </si>
  <si>
    <t>25837381.18405</t>
  </si>
  <si>
    <t>1.1.2.1.1.2.1.14.2._</t>
  </si>
  <si>
    <t>314469384.18405</t>
  </si>
  <si>
    <t>1.1.2.1.1.2.1.14.3</t>
  </si>
  <si>
    <t>341534383.54623</t>
  </si>
  <si>
    <t>25837381.54623</t>
  </si>
  <si>
    <t>1.1.2.1.1.2.1.14.3._</t>
  </si>
  <si>
    <t>314469384.54623</t>
  </si>
  <si>
    <t>1.1.2.1.1.2.1.15</t>
  </si>
  <si>
    <t>1.1.2.1.1.2.1.15._</t>
  </si>
  <si>
    <t>1.1.2.1.1.2.1.15.1</t>
  </si>
  <si>
    <t>341534384.54634</t>
  </si>
  <si>
    <t>25837387.54634</t>
  </si>
  <si>
    <t>1.1.2.1.1.2.1.15.1._</t>
  </si>
  <si>
    <t>314469385.54634</t>
  </si>
  <si>
    <t>1.1.2.1.1.2.1.15.2</t>
  </si>
  <si>
    <t>341534384.7431</t>
  </si>
  <si>
    <t>25837387.7431</t>
  </si>
  <si>
    <t>1.1.2.1.1.2.1.15.2._</t>
  </si>
  <si>
    <t>314469385.7431</t>
  </si>
  <si>
    <t>1.1.2.1.1.2.1.15.3</t>
  </si>
  <si>
    <t>341534384.18405</t>
  </si>
  <si>
    <t>25837387.18405</t>
  </si>
  <si>
    <t>1.1.2.1.1.2.1.15.3._</t>
  </si>
  <si>
    <t>314469385.18405</t>
  </si>
  <si>
    <t>1.1.2.1.1.2.1.15.4</t>
  </si>
  <si>
    <t>341534384.1272014</t>
  </si>
  <si>
    <t>25837387.1272014</t>
  </si>
  <si>
    <t>1.1.2.1.1.2.1.15.4._</t>
  </si>
  <si>
    <t>314469385.1272014</t>
  </si>
  <si>
    <t>1.1.2.1.1.2.1.16</t>
  </si>
  <si>
    <t>1.1.2.1.1.2.1.16._</t>
  </si>
  <si>
    <t>1.1.2.1.1.2.1.16.1</t>
  </si>
  <si>
    <t>341534385.54634</t>
  </si>
  <si>
    <t>25837388.54634</t>
  </si>
  <si>
    <t>1.1.2.1.1.2.1.16.1._</t>
  </si>
  <si>
    <t>314469386.54634</t>
  </si>
  <si>
    <t>1.1.2.1.1.2.1.16.2</t>
  </si>
  <si>
    <t>341534385.7431</t>
  </si>
  <si>
    <t>25837388.7431</t>
  </si>
  <si>
    <t>1.1.2.1.1.2.1.16.2._</t>
  </si>
  <si>
    <t>314469386.7431</t>
  </si>
  <si>
    <t>1.1.2.1.1.2.1.16.3</t>
  </si>
  <si>
    <t>341534385.18405</t>
  </si>
  <si>
    <t>25837388.18405</t>
  </si>
  <si>
    <t>1.1.2.1.1.2.1.16.3._</t>
  </si>
  <si>
    <t>314469386.18405</t>
  </si>
  <si>
    <t>1.1.2.1.1.2.1.16.4</t>
  </si>
  <si>
    <t>341534385.1276350</t>
  </si>
  <si>
    <t>25837388.1276350</t>
  </si>
  <si>
    <t>1.1.2.1.1.2.1.16.4._</t>
  </si>
  <si>
    <t>314469386.1276350</t>
  </si>
  <si>
    <t>1.1.2.1.1.2.1.17</t>
  </si>
  <si>
    <t>1.1.2.1.1.2.1.17._</t>
  </si>
  <si>
    <t>1.1.2.1.1.2.1.17.1</t>
  </si>
  <si>
    <t>341534386.54634</t>
  </si>
  <si>
    <t>25837389.54634</t>
  </si>
  <si>
    <t>1.1.2.1.1.2.1.17.1._</t>
  </si>
  <si>
    <t>314469387.54634</t>
  </si>
  <si>
    <t>1.1.2.1.1.2.1.17.2</t>
  </si>
  <si>
    <t>341534386.7431</t>
  </si>
  <si>
    <t>25837389.7431</t>
  </si>
  <si>
    <t>1.1.2.1.1.2.1.17.2._</t>
  </si>
  <si>
    <t>314469387.7431</t>
  </si>
  <si>
    <t>1.1.2.1.1.2.1.17.3</t>
  </si>
  <si>
    <t>341534386.18405</t>
  </si>
  <si>
    <t>25837389.18405</t>
  </si>
  <si>
    <t>1.1.2.1.1.2.1.17.3._</t>
  </si>
  <si>
    <t>314469387.18405</t>
  </si>
  <si>
    <t>1.1.2.1.1.2.1.17.4</t>
  </si>
  <si>
    <t>341534386.54623</t>
  </si>
  <si>
    <t>25837389.54623</t>
  </si>
  <si>
    <t>1.1.2.1.1.2.1.17.4._</t>
  </si>
  <si>
    <t>314469387.54623</t>
  </si>
  <si>
    <t>1.1.2.1.1.2.1.18</t>
  </si>
  <si>
    <t>6.3.1.5.2.1.8.4</t>
  </si>
  <si>
    <t>Подготовка поверхности СКБ / стен / ГКЛ, ПГП / 2мм</t>
  </si>
  <si>
    <t>НЗ № 8 от 16.07.2025. Шпаклевка базовая в пом. 1.030</t>
  </si>
  <si>
    <t>fa1c67dc-3027-4791-83d8-da340ce63151</t>
  </si>
  <si>
    <t>207d32dd-c8b8-468d-95bb-104bba9e15df</t>
  </si>
  <si>
    <t>1.1.2.1.1.2.1.18.1</t>
  </si>
  <si>
    <t>Основит БАЗСИЛК PC30 MW</t>
  </si>
  <si>
    <t>341534327.1272014</t>
  </si>
  <si>
    <t>28214765.1272014</t>
  </si>
  <si>
    <t>1.1.2.1.1.2.1.18.2</t>
  </si>
  <si>
    <t>Уголок малярный_/перфорированный/25*25*3000мм</t>
  </si>
  <si>
    <t>341534327.55026</t>
  </si>
  <si>
    <t>28214765.55026</t>
  </si>
  <si>
    <t>480f9c46-4853-47e1-ac30-340d72ef0430</t>
  </si>
  <si>
    <t>1.1.2.1.1.2.1.18.3</t>
  </si>
  <si>
    <t>341534327.54634</t>
  </si>
  <si>
    <t>28214765.54634</t>
  </si>
  <si>
    <t>1.1.2.1.1.2.1.19</t>
  </si>
  <si>
    <t>Шпаклевка финишная в пом. 1.030</t>
  </si>
  <si>
    <t>1.1.2.1.1.2.1.19.1</t>
  </si>
  <si>
    <t>341534387.54634</t>
  </si>
  <si>
    <t>28214769.54634</t>
  </si>
  <si>
    <t>1.1.2.1.1.2.1.19.2</t>
  </si>
  <si>
    <t>Основит БЕЛСИЛК PC32 W</t>
  </si>
  <si>
    <t>341534387.1272014</t>
  </si>
  <si>
    <t>28214769.1272014</t>
  </si>
  <si>
    <t>1.1.2.1.1.2.1.20</t>
  </si>
  <si>
    <t>Шпаклевка полимерная в пом. 1.030</t>
  </si>
  <si>
    <t>1.1.2.1.1.2.1.20.1</t>
  </si>
  <si>
    <t>341534388.54634</t>
  </si>
  <si>
    <t>28214767.54634</t>
  </si>
  <si>
    <t>1.1.2.1.1.2.1.20.2</t>
  </si>
  <si>
    <t>Основит Эконсилк РР38 W</t>
  </si>
  <si>
    <t>341534388.1272014</t>
  </si>
  <si>
    <t>28214767.1272014</t>
  </si>
  <si>
    <t>1.1.2.1.1.2.1.21</t>
  </si>
  <si>
    <t>НЗ №  от  , Шпаклевка базовая в пом. 2.037 и 2.033</t>
  </si>
  <si>
    <t>1.1.2.1.1.2.1.21.1</t>
  </si>
  <si>
    <t>341534389.54634</t>
  </si>
  <si>
    <t>28222003.54634</t>
  </si>
  <si>
    <t>1.1.2.1.1.2.1.21.2</t>
  </si>
  <si>
    <t>341534389.55026</t>
  </si>
  <si>
    <t>28222003.55026</t>
  </si>
  <si>
    <t>1.1.2.1.1.2.1.21.3</t>
  </si>
  <si>
    <t>341534389.1272014</t>
  </si>
  <si>
    <t>28222003.1272014</t>
  </si>
  <si>
    <t>1.1.2.1.1.2.1.22</t>
  </si>
  <si>
    <t>Шпаклевка финишная в пом. 2.037 и 2.033</t>
  </si>
  <si>
    <t>1.1.2.1.1.2.1.22.1</t>
  </si>
  <si>
    <t>341534390.54634</t>
  </si>
  <si>
    <t>28222011.54634</t>
  </si>
  <si>
    <t>1.1.2.1.1.2.1.22.2</t>
  </si>
  <si>
    <t>341534390.1272014</t>
  </si>
  <si>
    <t>28222011.1272014</t>
  </si>
  <si>
    <t>1.1.2.1.1.2.1.23</t>
  </si>
  <si>
    <t>Шпаклевка полимерная в пом. 2.037 и 2.033</t>
  </si>
  <si>
    <t>1.1.2.1.1.2.1.23.1</t>
  </si>
  <si>
    <t>341534391.54634</t>
  </si>
  <si>
    <t>28222008.54634</t>
  </si>
  <si>
    <t>1.1.2.1.1.2.1.23.2</t>
  </si>
  <si>
    <t>341534391.1272014</t>
  </si>
  <si>
    <t>28222008.1272014</t>
  </si>
  <si>
    <t>1.1.2.1.1.2.1.24</t>
  </si>
  <si>
    <t>НЗ №10 от 17.07.2025. Шпаклевка базовая в пом. 2.022, 3.019</t>
  </si>
  <si>
    <t>1.1.2.1.1.2.1.24.1</t>
  </si>
  <si>
    <t>341534392.54634</t>
  </si>
  <si>
    <t>28222004.54634</t>
  </si>
  <si>
    <t>1.1.2.1.1.2.1.24.2</t>
  </si>
  <si>
    <t>341534392.55026</t>
  </si>
  <si>
    <t>28222004.55026</t>
  </si>
  <si>
    <t>1.1.2.1.1.2.1.24.3</t>
  </si>
  <si>
    <t>341534392.54622</t>
  </si>
  <si>
    <t>28222004.54622</t>
  </si>
  <si>
    <t>c5ed9089-be55-4be8-8db3-0f286a2dbba5</t>
  </si>
  <si>
    <t>1.1.2.1.1.2.1.25</t>
  </si>
  <si>
    <t>Шпаклевка финишная в пом. 2.022, 3.019</t>
  </si>
  <si>
    <t>1.1.2.1.1.2.1.25.1</t>
  </si>
  <si>
    <t>341534393.54634</t>
  </si>
  <si>
    <t>28222009.54634</t>
  </si>
  <si>
    <t>1.1.2.1.1.2.1.25.2</t>
  </si>
  <si>
    <t>341534393.54622</t>
  </si>
  <si>
    <t>28222009.54622</t>
  </si>
  <si>
    <t>1.1.2.1.1.2.1.26</t>
  </si>
  <si>
    <t>Шпаклевка полимерная в пом. 2.022, 3.019</t>
  </si>
  <si>
    <t>1.1.2.1.1.2.1.26.1</t>
  </si>
  <si>
    <t>341534394.54634</t>
  </si>
  <si>
    <t>28222006.54634</t>
  </si>
  <si>
    <t>1.1.2.1.1.2.1.26.2</t>
  </si>
  <si>
    <t>341534394.54622</t>
  </si>
  <si>
    <t>28222006.54622</t>
  </si>
  <si>
    <t>1.1.2.1.1.2.1.27</t>
  </si>
  <si>
    <t>6.3.1.5.2.1.8.5</t>
  </si>
  <si>
    <t>Подготовка поверхности СКБ / стен / по штукатурке / 2мм</t>
  </si>
  <si>
    <t>2d82ee91-3b80-41a0-9d47-bde670b317cb</t>
  </si>
  <si>
    <t>235f7698-b192-4ccd-97e9-3a61b0165ad1</t>
  </si>
  <si>
    <t>1.1.2.1.1.2.1.27.1</t>
  </si>
  <si>
    <t>341534328.1272014</t>
  </si>
  <si>
    <t>28214766.1272014</t>
  </si>
  <si>
    <t>1.1.2.1.1.2.1.27.2</t>
  </si>
  <si>
    <t>341534328.18405</t>
  </si>
  <si>
    <t>28214766.18405</t>
  </si>
  <si>
    <t>1.1.2.1.1.2.1.27.3</t>
  </si>
  <si>
    <t>341534328.54634</t>
  </si>
  <si>
    <t>28214766.54634</t>
  </si>
  <si>
    <t>1.1.2.1.1.2.1.28</t>
  </si>
  <si>
    <t>1.1.2.1.1.2.1.28.1</t>
  </si>
  <si>
    <t>341534395.54634</t>
  </si>
  <si>
    <t>28214770.54634</t>
  </si>
  <si>
    <t>1.1.2.1.1.2.1.28.2</t>
  </si>
  <si>
    <t>341534395.1272014</t>
  </si>
  <si>
    <t>28214770.1272014</t>
  </si>
  <si>
    <t>1.1.2.1.1.2.1.29</t>
  </si>
  <si>
    <t>1.1.2.1.1.2.1.29.1</t>
  </si>
  <si>
    <t>341534396.54634</t>
  </si>
  <si>
    <t>28214768.54634</t>
  </si>
  <si>
    <t>1.1.2.1.1.2.1.29.2</t>
  </si>
  <si>
    <t>341534396.1272014</t>
  </si>
  <si>
    <t>28214768.1272014</t>
  </si>
  <si>
    <t>1.1.2.1.1.2.1.30</t>
  </si>
  <si>
    <t>1.1.2.1.1.2.1.30.1</t>
  </si>
  <si>
    <t>341534397.54634</t>
  </si>
  <si>
    <t>28222005.54634</t>
  </si>
  <si>
    <t>1.1.2.1.1.2.1.30.2</t>
  </si>
  <si>
    <t>341534397.18405</t>
  </si>
  <si>
    <t>28222005.18405</t>
  </si>
  <si>
    <t>1.1.2.1.1.2.1.30.3</t>
  </si>
  <si>
    <t>341534397.54621</t>
  </si>
  <si>
    <t>28222005.54621</t>
  </si>
  <si>
    <t>1.1.2.1.1.2.1.31</t>
  </si>
  <si>
    <t xml:space="preserve">Шпаклевка финишная в пом. 2.022, 3.019
</t>
  </si>
  <si>
    <t>1.1.2.1.1.2.1.31.1</t>
  </si>
  <si>
    <t>341534398.54634</t>
  </si>
  <si>
    <t>28222010.54634</t>
  </si>
  <si>
    <t>1.1.2.1.1.2.1.31.2</t>
  </si>
  <si>
    <t>341534398.54621</t>
  </si>
  <si>
    <t>28222010.54621</t>
  </si>
  <si>
    <t>1.1.2.1.1.2.1.32</t>
  </si>
  <si>
    <t>1.1.2.1.1.2.1.32.1</t>
  </si>
  <si>
    <t>341534399.54634</t>
  </si>
  <si>
    <t>28222007.54634</t>
  </si>
  <si>
    <t>1.1.2.1.1.2.1.32.2</t>
  </si>
  <si>
    <t>341534399.54621</t>
  </si>
  <si>
    <t>28222007.54621</t>
  </si>
  <si>
    <t>1.1.2.1.1.2.1.33</t>
  </si>
  <si>
    <t>1.1.2.1.1.2.1.33.1</t>
  </si>
  <si>
    <t>341534400.54634</t>
  </si>
  <si>
    <t>28253224.54634</t>
  </si>
  <si>
    <t>1.1.2.1.1.2.1.33.2</t>
  </si>
  <si>
    <t>341534400.18405</t>
  </si>
  <si>
    <t>28253224.18405</t>
  </si>
  <si>
    <t>1.1.2.1.1.2.1.33.3</t>
  </si>
  <si>
    <t>341534400.1272014</t>
  </si>
  <si>
    <t>28253224.1272014</t>
  </si>
  <si>
    <t>1.1.2.1.1.2.1.34</t>
  </si>
  <si>
    <t>1.1.2.1.1.2.1.34.1</t>
  </si>
  <si>
    <t>341534401.54634</t>
  </si>
  <si>
    <t>28253230.54634</t>
  </si>
  <si>
    <t>1.1.2.1.1.2.1.34.2</t>
  </si>
  <si>
    <t>341534401.1272014</t>
  </si>
  <si>
    <t>28253230.1272014</t>
  </si>
  <si>
    <t>1.1.2.1.1.2.1.35</t>
  </si>
  <si>
    <t>1.1.2.1.1.2.1.35.1</t>
  </si>
  <si>
    <t>341534402.54634</t>
  </si>
  <si>
    <t>28253227.54634</t>
  </si>
  <si>
    <t>1.1.2.1.1.2.1.35.2</t>
  </si>
  <si>
    <t>341534402.1272014</t>
  </si>
  <si>
    <t>28253227.1272014</t>
  </si>
  <si>
    <t>1.1.2.1.1.2.1.36</t>
  </si>
  <si>
    <t>Шпаклевка базовая в пом. 1.032</t>
  </si>
  <si>
    <t>1.1.2.1.1.2.1.36.1</t>
  </si>
  <si>
    <t>341534403.54634</t>
  </si>
  <si>
    <t>28291315.54634</t>
  </si>
  <si>
    <t>1.1.2.1.1.2.1.36.2</t>
  </si>
  <si>
    <t>341534403.18405</t>
  </si>
  <si>
    <t>28291315.18405</t>
  </si>
  <si>
    <t>1.1.2.1.1.2.1.36.3</t>
  </si>
  <si>
    <t>341534403.1272014</t>
  </si>
  <si>
    <t>28291315.1272014</t>
  </si>
  <si>
    <t>1.1.2.1.1.2.1.37</t>
  </si>
  <si>
    <t>Шпаклевка финишная в пом. 1.032</t>
  </si>
  <si>
    <t>1.1.2.1.1.2.1.37.1</t>
  </si>
  <si>
    <t>341534404.54634</t>
  </si>
  <si>
    <t>28291317.54634</t>
  </si>
  <si>
    <t>1.1.2.1.1.2.1.37.2</t>
  </si>
  <si>
    <t>341534404.1272014</t>
  </si>
  <si>
    <t>28291317.1272014</t>
  </si>
  <si>
    <t>1.1.2.1.1.2.1.38</t>
  </si>
  <si>
    <t>Шпаклевка полимерная в пом. 1.032</t>
  </si>
  <si>
    <t>1.1.2.1.1.2.1.38.1</t>
  </si>
  <si>
    <t>341534405.54634</t>
  </si>
  <si>
    <t>28291316.54634</t>
  </si>
  <si>
    <t>1.1.2.1.1.2.1.38.2</t>
  </si>
  <si>
    <t>341534405.1272014</t>
  </si>
  <si>
    <t>28291316.1272014</t>
  </si>
  <si>
    <t>1.1.2.1.1.2.1.39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</si>
  <si>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</si>
  <si>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</si>
  <si>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</si>
  <si>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</si>
  <si>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1.1.2.1.1.2.1.39.1</t>
  </si>
  <si>
    <t>Штукатурка цементная</t>
  </si>
  <si>
    <t>341534330.726518</t>
  </si>
  <si>
    <t>28291320.726518</t>
  </si>
  <si>
    <t>6340f993-804d-456a-a0be-3b2094bd37f9</t>
  </si>
  <si>
    <t>1.1.2.1.1.2.1.39.2</t>
  </si>
  <si>
    <t>Профиль маячковый_/ПМ6</t>
  </si>
  <si>
    <t>341534330.55029</t>
  </si>
  <si>
    <t>28291320.55029</t>
  </si>
  <si>
    <t>b3ba1810-316e-4118-90eb-ce29d5c83076</t>
  </si>
  <si>
    <t>1.1.2.1.1.2.1.39.3</t>
  </si>
  <si>
    <t>341534330.54634</t>
  </si>
  <si>
    <t>28291320.54634</t>
  </si>
  <si>
    <t>1.1.2.1.1.2.1.40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</si>
  <si>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</si>
  <si>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</si>
  <si>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</si>
  <si>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 xml:space="preserve">НЗ № 1 от 27.05.2025, пом. 1.030
</t>
  </si>
  <si>
    <t>56324057-bf2c-4551-8cad-64eee6a69934</t>
  </si>
  <si>
    <t>a8ad6d3b-7d53-43f4-a18f-4f0812fe8c74</t>
  </si>
  <si>
    <t>1.1.2.1.1.2.1.40.1</t>
  </si>
  <si>
    <t>341534331.726518</t>
  </si>
  <si>
    <t>28254139.726518</t>
  </si>
  <si>
    <t>1.1.2.1.1.2.1.40.2</t>
  </si>
  <si>
    <t>Сетка штукатурная_ / сварная оцинкованная / 10х10х0,8</t>
  </si>
  <si>
    <t>341534331.719026</t>
  </si>
  <si>
    <t>28254139.719026</t>
  </si>
  <si>
    <t>fc1d6249-6483-4684-82e9-dc0d9d0b0e0d</t>
  </si>
  <si>
    <t>1.1.2.1.1.2.1.40.3</t>
  </si>
  <si>
    <t>341534331.55029</t>
  </si>
  <si>
    <t>28254139.55029</t>
  </si>
  <si>
    <t>1.1.2.1.1.2.1.40.4</t>
  </si>
  <si>
    <t>341534331.54633</t>
  </si>
  <si>
    <t>28254139.54633</t>
  </si>
  <si>
    <t>1.1.2.1.1.2.1.41</t>
  </si>
  <si>
    <t xml:space="preserve">НЗ № 4 от 04.07.2025, пом. 1.030
</t>
  </si>
  <si>
    <t>1.1.2.1.1.2.1.41.1</t>
  </si>
  <si>
    <t>341534406.54633</t>
  </si>
  <si>
    <t>28254140.54633</t>
  </si>
  <si>
    <t>1.1.2.1.1.2.1.41.2</t>
  </si>
  <si>
    <t>341534406.55029</t>
  </si>
  <si>
    <t>28254140.55029</t>
  </si>
  <si>
    <t>1.1.2.1.1.2.1.41.3</t>
  </si>
  <si>
    <t>341534406.719026</t>
  </si>
  <si>
    <t>28254140.719026</t>
  </si>
  <si>
    <t>1.1.2.1.1.2.1.41.4</t>
  </si>
  <si>
    <t>341534406.726518</t>
  </si>
  <si>
    <t>28254140.726518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</si>
  <si>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</si>
  <si>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</si>
  <si>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</si>
  <si>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</si>
  <si>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</si>
  <si>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Окраска поверхности стен с предварительной огрунтовкой / в 2 слоя</t>
  </si>
  <si>
    <t>пом. №1.030 и 2.037 спорт.залы</t>
  </si>
  <si>
    <t>4e3bc906-0db6-44b9-a51f-3faacce2570c</t>
  </si>
  <si>
    <t>06e17c10-70e2-43fc-bd7c-7ca0ad9465c8</t>
  </si>
  <si>
    <t>1.1.2.1.1.2.2.1._</t>
  </si>
  <si>
    <t>1.1.2.1.1.2.2.1.1</t>
  </si>
  <si>
    <t>341534334.1751832</t>
  </si>
  <si>
    <t>25837376.1751832</t>
  </si>
  <si>
    <t>1.1.2.1.1.2.2.1.1._</t>
  </si>
  <si>
    <t>314469390.1751832</t>
  </si>
  <si>
    <t>1.1.2.1.1.2.2.1.2</t>
  </si>
  <si>
    <t>Краска водно-дисперсионная интерьерная Акриловая, моющаяся Глянцевая, матовая, Г1(КМ1), RAL 9003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</si>
  <si>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</si>
  <si>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341534334.44169</t>
  </si>
  <si>
    <t>25837376.44169</t>
  </si>
  <si>
    <t>433541a5-1fae-11e9-80e7-005056881952</t>
  </si>
  <si>
    <t>1.1.2.1.1.2.2.1.2._</t>
  </si>
  <si>
    <t>314469390.44169</t>
  </si>
  <si>
    <t>1.1.2.1.1.2.2.2</t>
  </si>
  <si>
    <t>6.3.1.5.2.2.8.1</t>
  </si>
  <si>
    <t>Лакокрасочные работы СКБ / окраска стен / в 2 слоя</t>
  </si>
  <si>
    <t>пом. 1.030</t>
  </si>
  <si>
    <t>4c24ca93-b856-4913-a3fe-bc768660074c</t>
  </si>
  <si>
    <t>923030ab-0b8a-4717-9906-e76b6d6d03d6</t>
  </si>
  <si>
    <t>1.1.2.1.1.2.2.2.1</t>
  </si>
  <si>
    <t>Краска Текс  /  RAL9003 / ПРОФИ ПБ, КМ1 / 1 класс стойкости к мытью</t>
  </si>
  <si>
    <t>341534336.1275333</t>
  </si>
  <si>
    <t>28271834.1275333</t>
  </si>
  <si>
    <t>f3b2c950-8289-4ad1-97a1-935cd797eba2</t>
  </si>
  <si>
    <t>1.1.2.1.1.2.2.2.2</t>
  </si>
  <si>
    <t>341534336.54634</t>
  </si>
  <si>
    <t>28271834.54634</t>
  </si>
  <si>
    <t>1.1.2.1.1.2.2.3</t>
  </si>
  <si>
    <t xml:space="preserve">пом. 2.037 и 2.033
</t>
  </si>
  <si>
    <t>1.1.2.1.1.2.2.3.1</t>
  </si>
  <si>
    <t>341534407.54634</t>
  </si>
  <si>
    <t>28271837.54634</t>
  </si>
  <si>
    <t>1.1.2.1.1.2.2.3.2</t>
  </si>
  <si>
    <t>341534407.1275333</t>
  </si>
  <si>
    <t>28271837.1275333</t>
  </si>
  <si>
    <t>1.1.2.1.1.2.2.4</t>
  </si>
  <si>
    <t xml:space="preserve">пом. 2.022 и 3.019
</t>
  </si>
  <si>
    <t>1.1.2.1.1.2.2.4.1</t>
  </si>
  <si>
    <t>341534408.54634</t>
  </si>
  <si>
    <t>28271835.54634</t>
  </si>
  <si>
    <t>1.1.2.1.1.2.2.4.2</t>
  </si>
  <si>
    <t>341534408.1275333</t>
  </si>
  <si>
    <t>28271835.1275333</t>
  </si>
  <si>
    <t>1.1.2.1.1.2.2.5</t>
  </si>
  <si>
    <t>1.1.2.1.1.2.2.5.1</t>
  </si>
  <si>
    <t>341534409.54634</t>
  </si>
  <si>
    <t>28291321.54634</t>
  </si>
  <si>
    <t>1.1.2.1.1.2.2.5.2</t>
  </si>
  <si>
    <t>341534409.1275333</t>
  </si>
  <si>
    <t>28291321.1275333</t>
  </si>
  <si>
    <t>1.1.2.1.1.2.3</t>
  </si>
  <si>
    <t>6.3.1.5.2.3</t>
  </si>
  <si>
    <t>Устройство подоконников, оконных откосов</t>
  </si>
  <si>
    <t>1.1.2.1.1.2.3.1</t>
  </si>
  <si>
    <t>6.3.1.5.2.3.2.1</t>
  </si>
  <si>
    <t>Выравнивание поверхностей откосов толщ. до 5 мм с предварительной огрунтовкой поверхности</t>
  </si>
  <si>
    <t>НЗ № 9 от 16.07.2025. Шпаклевка оконных откосов базовая в пом. 1.030</t>
  </si>
  <si>
    <t>1bd78791-ea55-4aed-83db-0bd34db05925</t>
  </si>
  <si>
    <t>f9b8ac25-8b08-4829-b5d2-9adcab5c69cb</t>
  </si>
  <si>
    <t>1.1.2.1.1.2.3.1.1</t>
  </si>
  <si>
    <t>341534339.1272014</t>
  </si>
  <si>
    <t>28271827.1272014</t>
  </si>
  <si>
    <t>1.1.2.1.1.2.3.1.2</t>
  </si>
  <si>
    <t>341534339.18405</t>
  </si>
  <si>
    <t>28271827.18405</t>
  </si>
  <si>
    <t>1.1.2.1.1.2.3.1.3</t>
  </si>
  <si>
    <t>341534339.54634</t>
  </si>
  <si>
    <t>28271827.54634</t>
  </si>
  <si>
    <t>1.1.2.1.1.2.3.2</t>
  </si>
  <si>
    <t>Шпаклевка оконных откосов финишная в пом. 1.030</t>
  </si>
  <si>
    <t>1.1.2.1.1.2.3.2.1</t>
  </si>
  <si>
    <t>341534410.54634</t>
  </si>
  <si>
    <t>28271831.54634</t>
  </si>
  <si>
    <t>1.1.2.1.1.2.3.2.2</t>
  </si>
  <si>
    <t>341534410.1272014</t>
  </si>
  <si>
    <t>28271831.1272014</t>
  </si>
  <si>
    <t>1.1.2.1.1.2.3.3</t>
  </si>
  <si>
    <t>Шпаклевка оконных откосов полимерная в пом. 1.030</t>
  </si>
  <si>
    <t>1.1.2.1.1.2.3.3.1</t>
  </si>
  <si>
    <t>341534411.54634</t>
  </si>
  <si>
    <t>28271828.54634</t>
  </si>
  <si>
    <t>1.1.2.1.1.2.3.3.2</t>
  </si>
  <si>
    <t>341534411.1272014</t>
  </si>
  <si>
    <t>28271828.1272014</t>
  </si>
  <si>
    <t>1.1.2.1.1.2.3.4</t>
  </si>
  <si>
    <t>НЗ № 10 от 17.07.2025. Шпаклевка оконных откосов базовая в пом. 2.022</t>
  </si>
  <si>
    <t>1.1.2.1.1.2.3.4.1</t>
  </si>
  <si>
    <t>341534412.54634</t>
  </si>
  <si>
    <t>28271825.54634</t>
  </si>
  <si>
    <t>1.1.2.1.1.2.3.4.2</t>
  </si>
  <si>
    <t>341534412.18405</t>
  </si>
  <si>
    <t>28271825.18405</t>
  </si>
  <si>
    <t>1.1.2.1.1.2.3.4.3</t>
  </si>
  <si>
    <t>341534412.54622</t>
  </si>
  <si>
    <t>28271825.54622</t>
  </si>
  <si>
    <t>1.1.2.1.1.2.3.5</t>
  </si>
  <si>
    <t>Шпаклевка оконных откосов финишная в пом. 2.022</t>
  </si>
  <si>
    <t>1.1.2.1.1.2.3.5.1</t>
  </si>
  <si>
    <t>341534413.54634</t>
  </si>
  <si>
    <t>28271832.54634</t>
  </si>
  <si>
    <t>1.1.2.1.1.2.3.5.2</t>
  </si>
  <si>
    <t>341534413.54622</t>
  </si>
  <si>
    <t>28271832.54622</t>
  </si>
  <si>
    <t>1.1.2.1.1.2.3.6</t>
  </si>
  <si>
    <t>Шпаклевка оконных откосов полимерная в пом. 2.022</t>
  </si>
  <si>
    <t>1.1.2.1.1.2.3.6.1</t>
  </si>
  <si>
    <t>341534414.54634</t>
  </si>
  <si>
    <t>28271829.54634</t>
  </si>
  <si>
    <t>1.1.2.1.1.2.3.6.2</t>
  </si>
  <si>
    <t>341534414.54622</t>
  </si>
  <si>
    <t>28271829.54622</t>
  </si>
  <si>
    <t>1.1.2.1.1.2.3.7</t>
  </si>
  <si>
    <t>НЗ № 18 от 06.09.2025. Шпаклевка оконных откосов базовая в пом. 2.037</t>
  </si>
  <si>
    <t>1.1.2.1.1.2.3.7.1</t>
  </si>
  <si>
    <t>341534415.54634</t>
  </si>
  <si>
    <t>28271826.54634</t>
  </si>
  <si>
    <t>1.1.2.1.1.2.3.7.2</t>
  </si>
  <si>
    <t>341534415.18405</t>
  </si>
  <si>
    <t>28271826.18405</t>
  </si>
  <si>
    <t>1.1.2.1.1.2.3.7.3</t>
  </si>
  <si>
    <t>341534415.1272014</t>
  </si>
  <si>
    <t>28271826.1272014</t>
  </si>
  <si>
    <t>1.1.2.1.1.2.3.8</t>
  </si>
  <si>
    <t>Шпаклевка оконных откосов финишная в пом. 2.037</t>
  </si>
  <si>
    <t>1.1.2.1.1.2.3.8.1</t>
  </si>
  <si>
    <t>341534416.54634</t>
  </si>
  <si>
    <t>28271833.54634</t>
  </si>
  <si>
    <t>1.1.2.1.1.2.3.8.2</t>
  </si>
  <si>
    <t>341534416.1272014</t>
  </si>
  <si>
    <t>28271833.1272014</t>
  </si>
  <si>
    <t>1.1.2.1.1.2.3.9</t>
  </si>
  <si>
    <t>Шпаклевка оконных откосов полимерная в пом. 2.037</t>
  </si>
  <si>
    <t>1.1.2.1.1.2.3.9.1</t>
  </si>
  <si>
    <t>341534417.54634</t>
  </si>
  <si>
    <t>28271830.54634</t>
  </si>
  <si>
    <t>1.1.2.1.1.2.3.9.2</t>
  </si>
  <si>
    <t>341534417.1272014</t>
  </si>
  <si>
    <t>28271830.1272014</t>
  </si>
  <si>
    <t>1.1.2.1.1.2.3.10</t>
  </si>
  <si>
    <t>6.3.1.5.2.3.3.1</t>
  </si>
  <si>
    <t>Окраска поверхности откосов с предварительной огрунтовкой поверхности / в 2 слоя</t>
  </si>
  <si>
    <t>НЗ № 9 от 16.07.2025, пом. 1.030</t>
  </si>
  <si>
    <t>a655afc0-8bbc-486f-8672-9267401735db</t>
  </si>
  <si>
    <t>da736aa2-72e0-488c-9852-5241239c0b93</t>
  </si>
  <si>
    <t>1.1.2.1.1.2.3.10.1</t>
  </si>
  <si>
    <t>Краска для влажных помещений Стройтекс_/белая гл/мат</t>
  </si>
  <si>
    <t>341534341.54741</t>
  </si>
  <si>
    <t>28273182.54741</t>
  </si>
  <si>
    <t>e4679dfc-c6ea-40ee-9f7b-e85a85b0c443</t>
  </si>
  <si>
    <t>1.1.2.1.1.2.3.10.2</t>
  </si>
  <si>
    <t>341534341.54634</t>
  </si>
  <si>
    <t>28273182.54634</t>
  </si>
  <si>
    <t>1.1.2.1.1.2.3.11</t>
  </si>
  <si>
    <t>НЗ № 10 от 17.07.2025, пом. 2.022</t>
  </si>
  <si>
    <t>1.1.2.1.1.2.3.11.1</t>
  </si>
  <si>
    <t>341534418.54634</t>
  </si>
  <si>
    <t>28273180.54634</t>
  </si>
  <si>
    <t>1.1.2.1.1.2.3.11.2</t>
  </si>
  <si>
    <t>341534418.54741</t>
  </si>
  <si>
    <t>28273180.54741</t>
  </si>
  <si>
    <t>1.1.2.1.1.2.3.12</t>
  </si>
  <si>
    <t>НЗ № 18 от 06.09.2025, пом. 2.037</t>
  </si>
  <si>
    <t>1.1.2.1.1.2.3.12.1</t>
  </si>
  <si>
    <t>341534419.54634</t>
  </si>
  <si>
    <t>28273181.54634</t>
  </si>
  <si>
    <t>1.1.2.1.1.2.3.12.2</t>
  </si>
  <si>
    <t>341534419.54741</t>
  </si>
  <si>
    <t>28273181.54741</t>
  </si>
  <si>
    <t>1.1.2.1.1.2.3.13</t>
  </si>
  <si>
    <t>6.3.1.5.2.3.9.1</t>
  </si>
  <si>
    <t>Зашивка приборов отопления / ГВЛВ / в 1 слой на каркасе</t>
  </si>
  <si>
    <t>НЗ №10 от 17.07.2025. Устройство дымозащитного ограждения в пом. 2.022</t>
  </si>
  <si>
    <t>b7675009-5c31-40f5-bb35-e4c17c31972a</t>
  </si>
  <si>
    <t>d39ac62b-c48c-41cf-b101-941ac02c6231</t>
  </si>
  <si>
    <t>1.1.2.1.1.2.3.13.1</t>
  </si>
  <si>
    <t>Угол пластиковый_/10*15*2,5м</t>
  </si>
  <si>
    <t>341534343.55028</t>
  </si>
  <si>
    <t>28274327.55028</t>
  </si>
  <si>
    <t>551cb54d-a4ff-4e4c-b8c8-5ee9eaa28821</t>
  </si>
  <si>
    <t>1.1.2.1.1.2.3.13.2</t>
  </si>
  <si>
    <t>341534343.54566</t>
  </si>
  <si>
    <t>28274327.54566</t>
  </si>
  <si>
    <t>1.1.2.1.1.2.3.13.3</t>
  </si>
  <si>
    <t>Плита Кнауф Файерборд_ / 2500х1200х12.5 м</t>
  </si>
  <si>
    <t>341534343.1523192</t>
  </si>
  <si>
    <t>28274327.1523192</t>
  </si>
  <si>
    <t>1a9d2c61-823f-4235-b198-e9701dbd754e</t>
  </si>
  <si>
    <t>1.1.2.1.1.2.3.14</t>
  </si>
  <si>
    <t>6.3.1.5.2.3.10.1</t>
  </si>
  <si>
    <t>Устройство откосов из ГКЛ на металлическом каркасе / в 1 слой</t>
  </si>
  <si>
    <t>292ec704-7bdf-4be0-afee-4981e5b1d4ca</t>
  </si>
  <si>
    <t>0f82918e-d4bf-436d-ad7a-f252d4f64a19</t>
  </si>
  <si>
    <t>1.1.2.1.1.2.3.14.1</t>
  </si>
  <si>
    <t>Шуруп со сверлом_/3,5*11</t>
  </si>
  <si>
    <t>341534345.54821</t>
  </si>
  <si>
    <t>28274326.54821</t>
  </si>
  <si>
    <t>438f03b8-0245-4746-af3b-94d943760b3b</t>
  </si>
  <si>
    <t>1.1.2.1.1.2.3.14.2</t>
  </si>
  <si>
    <t>Шпаклевка д/заделки швов, ШОВСИЛК_/Т33</t>
  </si>
  <si>
    <t>341534345.54624</t>
  </si>
  <si>
    <t>28274326.54624</t>
  </si>
  <si>
    <t>7b96503e-5889-4b88-b7f6-580caaa662ae</t>
  </si>
  <si>
    <t>1.1.2.1.1.2.3.14.3</t>
  </si>
  <si>
    <t>341534345.55028</t>
  </si>
  <si>
    <t>28274326.55028</t>
  </si>
  <si>
    <t>1.1.2.1.1.2.3.14.4</t>
  </si>
  <si>
    <t>Профиль направляющий ПН 28х27х0,6мм Сталь оцинкованная</t>
  </si>
  <si>
    <t>341534345.707712</t>
  </si>
  <si>
    <t>28274326.707712</t>
  </si>
  <si>
    <t>602e3c0d-b792-11e9-80ea-005056881952</t>
  </si>
  <si>
    <t>1.1.2.1.1.2.3.14.5</t>
  </si>
  <si>
    <t>Дюбель гвоздь_/гриб/6*40</t>
  </si>
  <si>
    <t>341534345.54833</t>
  </si>
  <si>
    <t>28274326.54833</t>
  </si>
  <si>
    <t>5eb21757-8d43-4dfd-aef9-b7a78beee91d</t>
  </si>
  <si>
    <t>1.1.2.1.1.2.3.14.6</t>
  </si>
  <si>
    <t>341534345.54553</t>
  </si>
  <si>
    <t>28274326.54553</t>
  </si>
  <si>
    <t>1.1.2.1.1.2.3.15</t>
  </si>
  <si>
    <t>1.1.2.1.1.2.3.15.1</t>
  </si>
  <si>
    <t>341534420.54553</t>
  </si>
  <si>
    <t>28274325.54553</t>
  </si>
  <si>
    <t>1.1.2.1.1.2.3.15.2</t>
  </si>
  <si>
    <t>341534420.54833</t>
  </si>
  <si>
    <t>28274325.54833</t>
  </si>
  <si>
    <t>1.1.2.1.1.2.3.15.3</t>
  </si>
  <si>
    <t>341534420.707712</t>
  </si>
  <si>
    <t>28274325.707712</t>
  </si>
  <si>
    <t>1.1.2.1.1.2.3.15.4</t>
  </si>
  <si>
    <t>341534420.55028</t>
  </si>
  <si>
    <t>28274325.55028</t>
  </si>
  <si>
    <t>1.1.2.1.1.2.3.15.5</t>
  </si>
  <si>
    <t>341534420.54624</t>
  </si>
  <si>
    <t>28274325.54624</t>
  </si>
  <si>
    <t>1.1.2.1.1.2.3.15.6</t>
  </si>
  <si>
    <t>341534420.54821</t>
  </si>
  <si>
    <t>28274325.54821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</si>
  <si>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</si>
  <si>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</si>
  <si>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</si>
  <si>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</si>
  <si>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</si>
  <si>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</si>
  <si>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</si>
  <si>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</si>
  <si>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</si>
  <si>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спорт залы №1.030 и 2.037</t>
  </si>
  <si>
    <t>d8ade7bb-05e7-4786-90a0-891f405ecdf1</t>
  </si>
  <si>
    <t>d89f0cdd-97a2-4d68-95d2-a137bc57c6ad</t>
  </si>
  <si>
    <t>1.1.2.1.1.3.1.1.1</t>
  </si>
  <si>
    <t>341534349.1272014</t>
  </si>
  <si>
    <t>25837395.1272014</t>
  </si>
  <si>
    <t>1.1.2.1.1.3.1.1.2</t>
  </si>
  <si>
    <t>прим. грунтовка глуб. проникновения</t>
  </si>
  <si>
    <t>341534349.54633</t>
  </si>
  <si>
    <t>25837395.54633</t>
  </si>
  <si>
    <t>1.1.2.1.1.3.1.2</t>
  </si>
  <si>
    <t>1.1.2.1.1.3.1.2.1</t>
  </si>
  <si>
    <t>341534421.54634</t>
  </si>
  <si>
    <t>25837396.54634</t>
  </si>
  <si>
    <t>1.1.2.1.1.3.1.2.2</t>
  </si>
  <si>
    <t>341534421.1276350</t>
  </si>
  <si>
    <t>25837396.1276350</t>
  </si>
  <si>
    <t>1.1.2.1.1.3.1.3</t>
  </si>
  <si>
    <t>1.1.2.1.1.3.1.3.1</t>
  </si>
  <si>
    <t>341534422.54634</t>
  </si>
  <si>
    <t>25837397.54634</t>
  </si>
  <si>
    <t>1.1.2.1.1.3.1.3.2</t>
  </si>
  <si>
    <t>341534422.54623</t>
  </si>
  <si>
    <t>25837397.54623</t>
  </si>
  <si>
    <t>1.1.2.1.1.3.1.4</t>
  </si>
  <si>
    <t>пом № 2.058</t>
  </si>
  <si>
    <t>1.1.2.1.1.3.1.4._</t>
  </si>
  <si>
    <t>1.1.2.1.1.3.1.4.1</t>
  </si>
  <si>
    <t>341534423.54633</t>
  </si>
  <si>
    <t>25837371.54633</t>
  </si>
  <si>
    <t>1.1.2.1.1.3.1.4.1._</t>
  </si>
  <si>
    <t>314469397.54633</t>
  </si>
  <si>
    <t>1.1.2.1.1.3.1.4.2</t>
  </si>
  <si>
    <t>341534423.54622</t>
  </si>
  <si>
    <t>25837371.54622</t>
  </si>
  <si>
    <t>1.1.2.1.1.3.1.4.2._</t>
  </si>
  <si>
    <t>314469397.54622</t>
  </si>
  <si>
    <t>1.1.2.1.1.3.1.5</t>
  </si>
  <si>
    <t>1.1.2.1.1.3.1.5._</t>
  </si>
  <si>
    <t>1.1.2.1.1.3.1.5.1</t>
  </si>
  <si>
    <t>341534424.54633</t>
  </si>
  <si>
    <t>25837401.54633</t>
  </si>
  <si>
    <t>1.1.2.1.1.3.1.5.1._</t>
  </si>
  <si>
    <t>314469398.54633</t>
  </si>
  <si>
    <t>1.1.2.1.1.3.1.5.2</t>
  </si>
  <si>
    <t>341534424.1272014</t>
  </si>
  <si>
    <t>25837401.1272014</t>
  </si>
  <si>
    <t>1.1.2.1.1.3.1.5.2._</t>
  </si>
  <si>
    <t>314469398.1272014</t>
  </si>
  <si>
    <t>1.1.2.1.1.3.1.6</t>
  </si>
  <si>
    <t>1.1.2.1.1.3.1.6._</t>
  </si>
  <si>
    <t>1.1.2.1.1.3.1.6.1</t>
  </si>
  <si>
    <t>341534425.54634</t>
  </si>
  <si>
    <t>25837402.54634</t>
  </si>
  <si>
    <t>1.1.2.1.1.3.1.6.1._</t>
  </si>
  <si>
    <t>314469399.54634</t>
  </si>
  <si>
    <t>1.1.2.1.1.3.1.6.2</t>
  </si>
  <si>
    <t>341534425.1276350</t>
  </si>
  <si>
    <t>25837402.1276350</t>
  </si>
  <si>
    <t>1.1.2.1.1.3.1.6.2._</t>
  </si>
  <si>
    <t>314469399.1276350</t>
  </si>
  <si>
    <t>1.1.2.1.1.3.1.7</t>
  </si>
  <si>
    <t>1.1.2.1.1.3.1.7._</t>
  </si>
  <si>
    <t>1.1.2.1.1.3.1.7.1</t>
  </si>
  <si>
    <t>341534426.54634</t>
  </si>
  <si>
    <t>25837403.54634</t>
  </si>
  <si>
    <t>1.1.2.1.1.3.1.7.1._</t>
  </si>
  <si>
    <t>314469400.54634</t>
  </si>
  <si>
    <t>1.1.2.1.1.3.1.7.2</t>
  </si>
  <si>
    <t>341534426.54623</t>
  </si>
  <si>
    <t>25837403.54623</t>
  </si>
  <si>
    <t>1.1.2.1.1.3.1.7.2._</t>
  </si>
  <si>
    <t>314469400.54623</t>
  </si>
  <si>
    <t>1.1.2.1.1.3.1.8</t>
  </si>
  <si>
    <t>НЗ № 10 от 17.07.2025. Шпаклевка базовая в пом. 2.022, 3.019</t>
  </si>
  <si>
    <t>1.1.2.1.1.3.1.8.1</t>
  </si>
  <si>
    <t>341534427.54634</t>
  </si>
  <si>
    <t>28278814.54634</t>
  </si>
  <si>
    <t>1.1.2.1.1.3.1.8.2</t>
  </si>
  <si>
    <t>341534427.54622</t>
  </si>
  <si>
    <t>28278814.54622</t>
  </si>
  <si>
    <t>1.1.2.1.1.3.1.9</t>
  </si>
  <si>
    <t>1.1.2.1.1.3.1.9.1</t>
  </si>
  <si>
    <t>341534428.54634</t>
  </si>
  <si>
    <t>28278817.54634</t>
  </si>
  <si>
    <t>1.1.2.1.1.3.1.9.2</t>
  </si>
  <si>
    <t>341534428.54622</t>
  </si>
  <si>
    <t>28278817.54622</t>
  </si>
  <si>
    <t>1.1.2.1.1.3.1.10</t>
  </si>
  <si>
    <t>1.1.2.1.1.3.1.10.1</t>
  </si>
  <si>
    <t>341534429.54634</t>
  </si>
  <si>
    <t>28278816.54634</t>
  </si>
  <si>
    <t>1.1.2.1.1.3.1.10.2</t>
  </si>
  <si>
    <t>341534429.54622</t>
  </si>
  <si>
    <t>28278816.54622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</si>
  <si>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</si>
  <si>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</si>
  <si>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</si>
  <si>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</si>
  <si>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</si>
  <si>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</si>
  <si>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ПТ-2.2 (спорт залы №1.030, 2.037)</t>
  </si>
  <si>
    <t>478a6ca3-0d25-4222-a9b0-4491b9343f07</t>
  </si>
  <si>
    <t>e8137cae-2b7d-4e33-9b8f-0ac63510ca78</t>
  </si>
  <si>
    <t>1.1.2.1.1.3.2.1._</t>
  </si>
  <si>
    <t>ПТ-2.2 (спорт залы №1.030, 2.037 и галерея, 2.058)</t>
  </si>
  <si>
    <t>1.1.2.1.1.3.2.1.1</t>
  </si>
  <si>
    <t>Краска негорючая моющаяся Protect Decor_ / RAL 9003</t>
  </si>
  <si>
    <t>применительно огнестойкая Antega Строитель НГ, окраска по
подготовленной бетонной поверхности, цвет - белый RAL
9003, КМ0</t>
  </si>
  <si>
    <t>341534352.758336</t>
  </si>
  <si>
    <t>25837366.758336</t>
  </si>
  <si>
    <t>892d9f8d-ffaf-4ce8-87d2-2326a6c94834</t>
  </si>
  <si>
    <t>1.1.2.1.1.3.2.1.1._</t>
  </si>
  <si>
    <t>314469403.758336</t>
  </si>
  <si>
    <t>1.1.2.1.1.3.2.1.2</t>
  </si>
  <si>
    <t>341534352.54634</t>
  </si>
  <si>
    <t>25837366.54634</t>
  </si>
  <si>
    <t>1.1.2.1.1.3.2.1.2._</t>
  </si>
  <si>
    <t>314469403.54634</t>
  </si>
  <si>
    <t>1.1.2.1.1.3.2.2</t>
  </si>
  <si>
    <t>1.1.2.1.1.3.2.2._</t>
  </si>
  <si>
    <t>1.1.2.1.1.3.2.2.1</t>
  </si>
  <si>
    <t>341534430.54634</t>
  </si>
  <si>
    <t>25837382.54634</t>
  </si>
  <si>
    <t>1.1.2.1.1.3.2.2.1._</t>
  </si>
  <si>
    <t>314469404.54634</t>
  </si>
  <si>
    <t>1.1.2.1.1.3.2.2.2</t>
  </si>
  <si>
    <t>прим огнестойкая Antega Строитель НГ, окраска по
подготовленной бетонной поверхности, цвет - белый RAL
9003, КМ0</t>
  </si>
  <si>
    <t>341534430.758336</t>
  </si>
  <si>
    <t>25837382.758336</t>
  </si>
  <si>
    <t>1.1.2.1.1.3.2.2.2._</t>
  </si>
  <si>
    <t>314469404.758336</t>
  </si>
  <si>
    <t>1.1.2.1.1.3.2.3</t>
  </si>
  <si>
    <t>6.3.1.5.3.2.3.2</t>
  </si>
  <si>
    <t>Лакокрасочные работы СКБ / окраска потолков / в 2 слоя</t>
  </si>
  <si>
    <t>НЗ № 10 от 17.07.2025, пом. 2.022, 3.019</t>
  </si>
  <si>
    <t>55dcd11a-c570-4894-be4e-3c3874402761</t>
  </si>
  <si>
    <t>3997b616-bcf5-4c13-ae76-75afa96c846f</t>
  </si>
  <si>
    <t>1.1.2.1.1.3.2.3.1</t>
  </si>
  <si>
    <t>341534354.758336</t>
  </si>
  <si>
    <t>28271836.758336</t>
  </si>
  <si>
    <t>1.1.2.1.1.3.2.3.2</t>
  </si>
  <si>
    <t>341534354.54634</t>
  </si>
  <si>
    <t>28271836.54634</t>
  </si>
  <si>
    <t>1.1.2.1.1.3.2.4</t>
  </si>
  <si>
    <t>пом. 2.022 (213,9 м2), 3.019 (172,73 м2). Окраска коммуникаций на путях эвакуации (по Ш850/1-2023-АИ1 Изм4, листы 9,10, примечание)</t>
  </si>
  <si>
    <t>1.1.2.1.1.3.2.4.1</t>
  </si>
  <si>
    <t>341534431.54634</t>
  </si>
  <si>
    <t>28278820.54634</t>
  </si>
  <si>
    <t>1.1.2.1.1.3.2.4.2</t>
  </si>
  <si>
    <t>Краска негорючая моющаяся Protect Decor_ / NCS S 0570-Y10R</t>
  </si>
  <si>
    <t>Краска огнестойкая BRAVO PROFI НГ RAL 7044</t>
  </si>
  <si>
    <t>341534431.763411</t>
  </si>
  <si>
    <t>28278820.763411</t>
  </si>
  <si>
    <t>ce3773d3-a4ae-4408-a7be-82574bc12881</t>
  </si>
  <si>
    <t>1.1.2.1.1.4</t>
  </si>
  <si>
    <t>6.3.1.5.4</t>
  </si>
  <si>
    <t>Монтаж потолочных конструкций</t>
  </si>
  <si>
    <t>1.1.2.1.1.4.1</t>
  </si>
  <si>
    <t>6.3.1.5.4.1.6</t>
  </si>
  <si>
    <t>Монтаж подвесного потолка / из акустических древесных плит</t>
  </si>
  <si>
    <t>№2.058</t>
  </si>
  <si>
    <t>02ccbed5-7053-493a-986b-1937e518bff9</t>
  </si>
  <si>
    <t>302f0025-952c-42f6-81ea-971ddd08be3f</t>
  </si>
  <si>
    <t>1.1.2.1.1.4.1._</t>
  </si>
  <si>
    <t>1.1.2.1.1.4.1.1</t>
  </si>
  <si>
    <t>Плита древесноволокнистая ДВП s=25мм SoundBoard SuperFine</t>
  </si>
  <si>
    <t>Акустические подвесные панели из менерального
стекловолокна горизонтальные Техносоло НГ 1200х1200 мм,
цвет - белый, КМ1, с окраской запотолочного пространства
цвет - белый RAL 9003, КМ0</t>
  </si>
  <si>
    <t>341534357.1747145</t>
  </si>
  <si>
    <t>25837408.1747145</t>
  </si>
  <si>
    <t>f39a5928-311f-11ee-9904-d1661ac0bb93</t>
  </si>
  <si>
    <t>1.1.2.1.1.4.1.1._</t>
  </si>
  <si>
    <t>314469407.1747145</t>
  </si>
  <si>
    <t>1.1.2.1.1.4.2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</si>
  <si>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</si>
  <si>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</si>
  <si>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</si>
  <si>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</si>
  <si>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1.1.2.1.1.4.3</t>
  </si>
  <si>
    <t>6.3.1.5.4.4.4</t>
  </si>
  <si>
    <t>Монтаж подвесного потолка СКБ / типа Армстронг, Грильято</t>
  </si>
  <si>
    <t>пом. 2.033. ПТ-4.3</t>
  </si>
  <si>
    <t>86b87f1a-32b5-4855-8388-b5bf81a42325</t>
  </si>
  <si>
    <t>42e8bac0-98f1-4b1f-8603-9612c710de3f</t>
  </si>
  <si>
    <t>1.1.2.1.1.4.3.1</t>
  </si>
  <si>
    <t>Кассетный металический потолок</t>
  </si>
  <si>
    <t>Кассетный металлический потолок Albes TEGULAR 600х600х15 мм, кассета AP600A6/90 ̊-Т-15, цвет - белый RAL 9003, КМ1</t>
  </si>
  <si>
    <t>341534361.847703</t>
  </si>
  <si>
    <t>28278821.847703</t>
  </si>
  <si>
    <t>58e7c86f-477b-47b9-985f-0a528b32f78c</t>
  </si>
  <si>
    <t>1.1.2.1.1.4.4</t>
  </si>
  <si>
    <t>пом. 1.032. ПТ-4.3</t>
  </si>
  <si>
    <t>1.1.2.1.1.4.4.1</t>
  </si>
  <si>
    <t>341534432.847703</t>
  </si>
  <si>
    <t>28278819.847703</t>
  </si>
  <si>
    <t>Общая стоимость работ, руб.с НДС 22%</t>
  </si>
  <si>
    <t>eF7s/WuTHMeR5wt/lbIxWzMJ3Vmbt8gLzfYF0Gz2NAbdVejs2nlmB2Oy6u7qPbIVSR1KOjt71saM4EWXpVak7jykKAqcvb2ZY+AFIkiA4FfI+gr6JE9E1qWB6vBId6/0qNYeaQZN9AWA/zwy3f8R4RH+n//q+//pu5O/eu6vXhx/96+2/+r/Gn/nB5Pj5isv/eA739n+q8k/nk6+M/vCX31v8QP69//5zl+dvvziiy+/dOevnvt7/Yn5W/RvL766fefiL7sz/9vuXPx1zc9+7+LHms/rf66/rO/Xn9f3p69Nf9qrv2o++UR//Kp+WD/o1U+mr9afzj81P/VD/d+HvW+YH+zVH9ePmm99Cf7kN5t/7/Tll185+/ZL4+/P/tHrUfPVyfe+/+0X9deOXv6P+2dPGfzS97/9/f+094NvL772T9vP0r50/u1/z6P9z3fuXPyz+t/Unz2nokLlZb799Lf+7eSV73375ZfmP5EnYRgl4T/ZUJ5fB0U/ADwOmyUvrGPJ977975kPkM2U3XVMWetp/qj+df3f6w/qd+v36t8H5kP9O/1/v67/UP9P/fFe85Vf9+oP9Rd+Xf+qfl9/+hv9O/Mnfq2f6o/0D3xof2bj50bxprA+7fc0xZPpXf2m6Xdzu1f/on6i370n+vMnzTv4uPneE/0eTn/c3zaA+nv6hXxSf7L4jv7qJ/Wjfi+P9FP9r6NUf35P4/+vXrTdK1TYqx/XD6Z3p69Z6ZPnRsmm6O9NX9P2P9T2PTH2TX+63Zu+vghbOtzoUDR9W8P16q818YP6s8Yzf9S/M6HoYcP9Zf1o+rPpj/TPP5i+Zn5We+VB/XHz58xvTeR7oP/Ux9M39cfPzL82fct8eRYZX20+vtWbhb1P9Le+bhz/1fwf0T+4+MITHQSf9BqXP9ZffKR/4kv9L9zvmb9ER8wn+i+629NP3K/qe704/ldWd6fPjdJNufvDuRMfaJf9dO5c4/dnx2Dm7CdNrP/EuKz5kU+e4dQv1If6GdMvm/WVuqmeG6hNUf6u/m+Btu0jHQh+X/8/Pf1B/5/NyqF67mhTVpZ5GMVRXGS5zbJKPTfalGX6+X3SBIxX9YNg4on+aHuQ1XPX802Z+J55LE2o+NyEyJ4O8ffqP9isvKGeu7ExKz/Qb4t5rx40seMp5fVU5LEZvaOe29mY0e81o98Yrd/6+9rKh/UXTQx0uPl59dzzV9BiHbpenb6tP/5If0lnFZvpu+q53Y2Z/uv6M53/TaB93LcZ94J67oWNGaf9Ov2v0zf6zYN6d549rT7cU8/tbdLM+lFgMlWv/rk90P+1eu6vN2bf77Xy+Il+OB/MlMPMVJuV++q5/Y1Z+T+aKKX1p35jXq8/7rcKmZvZc3+Tbcra35nQaVKUfnfuazHzlslTd+68ZGSema1qhM+eDrlWgI35+p62/w+Nkv/AHk7/ZmOmkR+DW9lztzZmrW36gLT7IHvu8M/68T3YnNfbHt/DjZk2i7X2ac22djD26Rhkzw02BkF+B4fZc7f/rJ/l4cZ83fos396YaeTH4Ch77mhj1q4RiqvsueM/68e32pzX2x7f442Z1lUoHmXPjdaB+P7L3x9/5xLDnb96afziZPbX8jmeWhDDP+7Pp3EhwPPd7333lWPzvQP9V77y7fF3dv/PH3z7uy/qv81Ceb5C+W+q0cE3DgrrWt6BsL3Vi68MX3oFa+Sh3chDYSOHr3z71Pa4XLLReGtrac2qrJCx8vtrDXtl92glaCttyI/tBh4LGogebuOlrWNguEcyFv4f3z47m7y03rv+d3af/p24xbSh/3d2M/+duJnoB8B4bOvfAQ/A9evrGbpWAn6vES2P6ofTN2arn822/ZOLXbWHswWpZtG0/lJ/XHxdf+mNZs//8ewPTd+2wqVx+Zx+xMtNAb5js+pGmoSbMuiDub9/NFvlvz9TjdO7+kuvXmhIuzd3Nmj3Z/X93jf+1Td7zWbPV2Yb1Wbh85uz0GbOX2tz9OO3MZvqnwOP38YqJH5pdGjznH317Fbuw+aT1+uv9e+aL375lHCdb3CbzbRPms1hs5nyaLb5Pf0Z8KhujNE8qq2P6aasAx7TyDymm7Kp/gXwmG6s4gV8TJuHr5lkmcg5f1Q/nlehzatdpq9Pf9YztWjNA2xSl35Ie9+YPeazGrdFBH74dAS+b9UROxt0g36Sv7GgQ4TeTdkJPNOxeaY3ZVP9S+CZTjZl0L0mwX/ZM6H22fohI6gWD7cpqnjNlNG81nzvs2bZybqhurNBlqZWrA88hpuyCngME/MYbsqm+lfAY5huyqBfPh0X6y/0f9+qvzDrVrOnU/VMYgdqTjZoNiqpb8o64MkzZXwbs2kXePDUhuyp3708ZeyZeoyvm8rWB039w1eznGwKMf9LUzlpQqFOgfoZ1Sl7Mf69xRe+2RR3PpnVIupH+K25TDWh9HMtVh9Nf9pU+xi18PjSvwROsjbmIojT7DWYspq2539ThgPPvzLP/6Zsqn8DvAAb20b6hX64P9PP6NMbAk2J8GzKb7YGHizqjr+0lBlrEauf8df1H32qbK2J34+bl2Z66QCG/gH9LeAp35gfPjF+eMoLQSPJLUWQwFO+KcOBpzwzT/mmbKp/Czzl62yHrWWQferW1AV+3Ujf+VEjs4jwafNzT0wV8Se9uQA2y4yzU0b1b80n+tfnrtrMnQ2yYmLypowDntbcPK2bsql+F3haN7YAvrIce8+cBwCeso3Z2Cy9NpHfVDDfRywEbMpU4JkrzDO3KZvq94BnbmN7Er/XevWt6WtPnwjSouBuT4fO90yZxrv6P8BqVbMqYBa4fqK/9ObiEM5MKOtQGjx1MqqJsv9qFlWbv6LlVObOBj3ylN43z3bvkkQwX/1XNklklfDPbw4FeAPMJtjGbKrft78B6ca2RZ56Ay49nAuxYGqrtLY1T3nzNJjn++nDZeZPLKZ0jxrlMDs4EwdJrxEWs7D57Pswn1U1j5Cptle95dHAB+bpMv/a05NP828ak5qX7fMVOaK/CbxJm/Psypu0anPztcY59vdmY4bb35vU7N5tzKb6d8B7s7F9mv/ZCOjZxtuFun5qn+6+fpTnqaE519ocRm1Cqhn/y3/WNgGdbfB/pl+Lt60Rl7dWvTmnPXWgxjz97vM1z2/OUOAVMDuDG7Op/gB4BTa2rfOr2XLeLHV8Ot+2fvUieSwOXs+WEIC1j82Z/5mOvOYp1Ep+Hos/BR7DTZkIPIZmM29jNtnnZPoxTDZm0Kzy26lEXDrkyVN//huN8tDRV8dore2/OT9I+1nzDDfLe2Yh+PXpm83y3qNZKfr8Wocves384UdNJJ6HdfMaGJPiMErNQ6b/q+b/zeYmQbplY/5srAouJrkXQqXti9q3s6Jq7dEH9efzwmor4PObAzRjENy585IZg/l/8wB41cyG5cYMrT8EXrV0Uwbd0w/9F+Y1w4X2Tdmpn8i7zW4NsE75/OZMA54zsz25MZuAqxjSVG3KoF82IraRsLOrT5qNcR2GHzZao5kOTl/tPder/1u/frdf/77/1K0vMzk9/dn2TAw/6m/3JsGL429/B3hKN0UJPApmp25jNtX3gEdhY5sq5rqAp0uezcVKzSrcD+sn3Yz/ptCA8Td7WBuzqf4IGP+NbVOYO5Ca/cjmyqj5hSxf9mb3g83nvxeT3tmjAgz0phiAgTbbP1Sb/qH5m84mw/H3/w/9NW1hdnIan5yMw2CSnqsgLcLzoCjy82CcJuE4UWl0djae/eQrL//H2W/K2X+WbJPvTJZnUZ6GQx+6i/Tr94v57O/JYlXDjNNDy9eDp2qcV37cXApnLdO+Xjy3j9+0wDrln/QfjBK0Mzo4sVfaT+wJoaV0NNpxn0M7z6EQj6LzoM8FGZyBHWcghIN/Ddc8MGjHqmSw4pCGRXviju0sx0IsEY2F9LSN7CgjARTDkt15Ngmson1vcvr9b1synE4CP3jxZGIboctpILIRXbdvtiVppJI0zopVrFny1d5HW2gy4re+26TEViMzm4k3mCauvsIOJ+IyqamzWb3kcpkpH870rNa2swseravmO+Vz+0yaS7kQxukgF0bh9kEKJEQuwGrGQwDQ4s+htvoQsPqQa7WiW02KNANt9AAwesA1Gv/or5m9tPEVYHzFNP5SjmoxnvaMHGuLjwGLj7kW48M1IxNpg0eAwSOOwU9Fb+F8A2ScyL5PvbC6BN2MNpKUcvqxzcobXCvxrx426zT30jSrujrRfD19vbklebGIbzazmzuI9fftK71R+Nw+F8Zz0onsCYdtvYeMYzf5kG2yoptMCicDwOIB22L8A79urrFbXnEtl040dnOP2ebigzQny9itHbGs9ZlioCRjrwSZ252HoJfRZhKTDJRmmHbi3zpimjF1tJ/VnzcFTl81G+dmbXexXf5sEvqGNQtZH6SdKNJpiAnrOQ3FQBriWu8hDdlNPmSbrOgmk+LNALB4wLYY/0Ksm4bslldcy6XTkN3cY7a5+EDOSUN2a0csa42583fPQxqCEpG9FmxheQT6GW0oORH1U5ulN7iW4t88bCr6Rf2VzjCvNeUEX823FZsMZLYQ3+rNat8fzCsbm+ownX3A+U+sEw8TzXPiSbYPIrV9kKZAAuJSeEhAyfahNv0QMP2Qbbqim06KOANt+UBbPgAsH7Atx78W6yakZLvSBBVAUHEJpBNTsn2szT4GzD5mm40P8ZwElWyPtNUjwOoRy+rmebnjL1FBqSpx2h6DHkebykhVdltvcG3Fv5XYZPXPyy2gLxZbP8tkZTN9J0p0QmKa7zkhQYmIa72HRAQlIK7Jim4yKaIMAIsHbIvxj/i6iQdKOEzLpRMOlGi45uJDNCfRQAmGY60xN7+zzCt/70o0//HlV/6DBYGTZaA8kzoRUtDhOEtZSaafQ4mGaexqoIbciswyv1tW2v5xu9estT1+5iv355Olz6w1CYsDwubGsrvmPK4NdYeLuhrVwXF50YSXb337e5jHyGbh81wLFclChHX1B/Vve3964zdR1Cx+9qK4H5b9OIzVrNb5cb+nvzK/P2SFYpdLkeEoXpyMv/eDV1BP1WProvQLXANznIGTf/zu5KXv2Qx8acXAqB+Goc3EPa6JBc7E/+vl7/wA9WLajPtrrnGrmRswrskmCO/lyjq8+1zzotX8DNhnhFCT7DDSYtXosG8f8Ztsq5EJbmk1KCtWTU1yBRj7N2xjkTluaazFzEt6Qrtu62gwOnz+G39j2lnbl1hvsU1GZjrSfAT7VBywrU6JVuPF5szV+i279ozTIccfshEUEQH9wGivbi3MujQt4VqLzF7f7TpwDNkWI9PZdzsKGrfZhiKT2nex4z9cBozbcMA4YptLSXNdPgkV1+JLE1OXxfxAcdsdKI7Z5iMzIHGWqh+SY3uQGLEs/ad/+gfPlSP6/6wK6boJrQ77FehptKmcSarV1htcW/HLRNg5qm0l1LJR96T+0gayE6nn9rkwntdFs+2DOAHWRrkEKZ0AH2pma6PZ9iFg9iHbbEU3Gx9imvXRbHsAWD1gW41/+NFZCFgjzbYrwPqKa730Omm2fQyYfMw2GR/EiVmoWSvNtkeAxSOWxc0zcsdnGoKWSjOn9Rnob7SxrEQErZUyrcW/jd2nItOi7XNT2Ghur/i6uUD0flNh8nH9yHwfXi3NdLpiAntOVzmQqrjWe0hVdpMP2SYrusmkGDQALB6wLca/FOumKLvlFddy6fRkN/eYbS4+sHNSk93aEcvap9KSCfCetvFieCPPfkHGAgJ9eLjDjbwYntXd4JqLXODE5qb3motETcHifVJOmtXam9L7ldT21F/zePpWc0Xvl03Dl8WVvc1FpWaH8HH9TPfM+oH+sS+bP/j1ok3h7AaXRQGL/rnH27Mbfef1/dPX530Qmw4cX87/oi9mPzT7t5uvmR+c/rjpOvPJ/GZVc03wo+lP+r0oDnvNzY6WUdrhjtJqUupkF7L+hYb8tLk4748a64H2/N1ZW1c9Pj+vfz+/gvCZPjz1496N/YNAj/P/sAE+zwVUJEAM3HwTM5vvYap+mDd7mP3lJmbUDxPrWtoulwK5DNzBJibTQOSqbyebmEwTkeu9a25iMo2jrO5ivJf0U+s2+j7XQJFtzEvZf/+F3aOjwdE3Zku7Mx1ebB9E5fZBHOpfkf4Vf9MERg3SLPuGVqVwk42JVAT0fc+oLFNw45NrLVITEDc+8+XGZw5vfHJNRuqC9WZwM/s1ybV9mOGAzYDMmox53GJ3I7/2zBDA26BcBEVEQD8+2qtbC7MuTeu41iLzH3obFBF4Kh14Kh14Kh14Kh14KlTgGbIRkRmUtm8alUkJbpxyLUUmUsLGab7cOAVf1iO2uZTUynp2ZrYP3cGm4tovvI2aX3vG9fA2Ktd8ZEIlrhLoR+bYHmRGLEubGet5lkZJch6kZ3mkP5wlQZmcqCA9TU5Ok3J8GqfzlxRcP3hx/vxYALlrCNAqgv1SNZASi2dbaXBQUVYbbBw3JDlWpYZrdJDLEPdmzalNX5S7zaX5ZpVg+sOmsnh2VevsPtDmh2bXu5qfsKHvSKIrPDp+6muj2JWkWE37DgrC1PdLe1eMFyRJVrO7gwQ/R07TfqFsKHuSKKvp34Gy5lxaEGJVFDggsHPuLEz783MmlybdgiSXJuYOFNLk/BJff95l8dJcW5KOEMO7mDIuJo6FEUJazxXw5FGSmhD40HMe7HgORcmoLx6GzDmWw/axrMSIG115Mo7PTtLxJAiTPA7SJD4Lijw9DZJT/aNFeXqSnM2fcq+6EijiK6muwOF515WCHISYhNWVv2sajz1otohMg5C3lj3yLm0bGTnZ7Ay93uw/mVukvpq+PWvNZ1qK/LH+1NwDst00n9Si9IvZnbvAiv+OpKMU3lHrqlBBCkIwJqnQWb+hR7MdMBvVC5JUIorUOlfdk8Twp0YFIahJETMS8A6QIIg/Mar6mRXvpigeIfJ3qUbLuYIpYTUqSU0IgHw1Cg3oUBSN+uZh0FrkaOtgVmLEs8vdzuNElXERTM5PtH4ty5OgOJuo4CQ/VWV+fl5m5+M7/uWodeZ8PXbepGpzBQ7PtxyV5CAEJawcNS2qnjRNvR/0mp7Ndm365bIo6+FMk1prsJrvZKoXRHEIFjBJOkjhHbSmDJWkIEThjmWoJJVHGSqJ4U2GSkJQkyFmJEAZKgniTYZGUdEvSxvfTVE+QsjvUIfG4Uy6zP5roz4QpSZEQLYOhUd0KMpGffcwbG4h2j6alRjxrCh/UmbqtEj0N6M0SMOzk6Ach2WgzifRWXR6Xkbj+Yh7FaKpzRXX44jqChyedyEqyEGISlgheq9phWqK/qf/tX5klOT0bv3Jt2aaUoXX9P9bx2tHklPhOdfVk4IUhGhK0JNAXbkkiIiEDPsqtD5Ze5Io/mSkIAQ1lSFGI+vnhTUp70uCeJORcVb2U+uk5aYoHyFgdykjo7nwiGAZKUlNCHxsGQmP6FCUjfruYdhaZGTraFZixLMrWlVeROdhFpyq8CRI4ygOivTsLDgdn51F2dmpUvHJHf8yUtlccT2Oqa7A4XmXkYIchKiElZHvXSxIzk7pPTJ1mvOLXt8y7Zpenb7dHCM1Ry+/mOvL+nEQKWvx/I4kv8LzrysvBSkIURYvL6c/hpYoBUlE9KUK7RPNPUkSf/JSEIKa4hCDkeVFvyis1XD7kij+BGbaT62B7KYoHiGSd6kv47kiiWF9KUlNiHx8fQkN6FAUjfruYdBa5GXrYFZixMvLFdM7bv3Y8a1WsQ3zepw4Mf13gJ5fHWJNYze41q4+YZ5vtZpdyPHj+mFzEcj93nx/9PH09ebGDv2l6Q9nZZa/1KLyfRv6Tpw8t8/F93vHVZxuH8Tl9kGi/5vYu6UfsElSOgn++GJz35U2/1Cbf6jNPwTMP2Sbr+jm448vmruvtPUDbf1AWz8ArB+wrce/Rvw43ZyS1hSVpqg0RQVQVFwK4TuxtOnH2vRjbfoxYPox23R8iiCefDX3Y2nLR9rykbZ8BFg+YlnePDszy00g8nZXFnSTY5y6IAp0H9BO78pKoWq1G1xzV4P+mndlUTLe7GhAs8t2v36k/8/UbJl+N03i6zUZ79Xm411TC/Z106dN/9Dsqiv9B3t/89L4B+fzBZN7QRSpfjT/7J04mN/YdilFMh21mlM6ua7KZuHzXAsVyUKEdYv7pvL5fVMZ5b4pLsXqFEbsvimugatrMoL3TXFNRF6TseZCC9O4VX2w5n1TeQZUb+9zDdzYfVOx0prYXFWe61/F7MqXOHXdNcVGRGZU+l1TcVwm0F1TbGuROZV211S8bLITw0122CYj8+p6M6nFqlN6bR9mOGAzpEQGvAieXwETL1vuxO6WO2wERURAPz7aq1sLsy5NnbjWInMfeukOEXQqHXSq2Fx6n+tfmKAzZOMhMyftnilHwLnNthSZQPH3TC2DzW34RT1im0tJqaznZrEi6gw0Fdd+2XumlkHmtjvIHLPNRyZT4mxbPzLH9gAzYllqTB1n8SRKozwo0ywP0vQsCYpoHAdlNJ6Mo0RlZ+U8BoFz7xfH3RYswLdVx4pGicWzzdIdVJSZuo3jhiQHYZsLO4VHHsByXYTdLFD3vjG7otpM77fN1dJfN3+X+VqzwL3dm1/U/FVz0fT8a9MfT19vvvq1aZs7/Vlzi/aj6U+bBfKvp6/2vzmf4X82q5cwxRRmTfypxYLZD8RmscDcUfB2c91zs7zww/m/89A2TjuS46Tw44Sfn9sodiUpCNuLhPk56hyYIJVIkYU1pO1JYvirsBCEoO7yIkbCsUAgCOKtviIK0769XPymKB8h83QxyV1MddV8T17B011JakIERM/S8CM6FGWjvnsYNudoDttHsxIjbvTw5Hx8Fifj8+D85OTMXF4QB+PoJA/C06QsTuN0kiSb0MNAFUZGdQUOz7seFuQgRCWsHv6l1rRfay2ppeP0La2JlztcD+dFvD/VCvat2Q6VEZmvTd9aFPF+0lxSYBTy3UbjfmG0p1arzXejeFtdi+IwvBYr+/rFjqSnFN5T6ypSQQpCPCYoUmjHSBBERIQCe9t7kiD+ZKggBDUVIsYiysw+HyBEBVH8CdEk7+fWk3I3RfkIIb9LIZrNpUsGC1FJakLg4wtRcESHomzUtw/D1iJEW0ezEiOeLcyOz85PJtk4GJ9EZZBG8UkwTk+yIEvVSXZyXpZRnt7xL0SttUbX45zqChyedyEqyEGISlghOluYfUMrSK05vzW7kKCRlQ+mP2ok6Bfma7ObCcLtLDSfJdCdV4LoCo++rrIUpCAEWIKyNGVTn/Z79lF5QZJHRGCmfbui2ZMk8acwBSGoOQ4zGKlO1zaQfUkQb/oyy/ohIC8l8QiBvEt5mc8FCdxCTpSaEP3Y8lIPaGF9XoeiaNQ3D4PWoi5bB7MSI27U5fnpaXaen5wGRX56GqTlaRScpOPT4Dwbx/H45KQo8nlQ9aouU5srrsfOjgg2V+DwvKtLQQ5CUOKry6abtOkBcN8sZF7c8z9XmSlCZQq6QOFdsK7KFKQgxNnuVKYgj4jK1JHCuiC7J0niT2UKQlBzHWIwEpVDvaYkSbzJTJX2y8yGd1MUjxDRu5SZ8wZFMdxsSpSaEP7YMlNB9wAPRdGorx4GrUVmtg5mJUZsdKZLPnZ7YhPYHy8dcEkWr8Jt+sQm09zVSPG//4lNpqNSnKO6OLHJtFCRLERYtzix2YvmZzZD1Q+L5szm9vzMZi/uh82NJv0wsb5Hu1ya1WAud3KTaSDy/AlFmIInN5kmrqpOmZObTOMox0wQ3tOhUdns2+fat7GDm0m4fZBE+lesfyXzM1Sl8+AmFxGZWDs+uMm1FplaiQc3y+XBTbCR0S22ycj02oUI1yTX9mGGAzYDMvOtcXCzvPbMEMAHN7kIioiAfny0V7cWZq1YO2Bbi0x96DkMIuhUOuhUOuhUOuhUqKAzZOMhE2eHBze5liLzJ+HgZrk8uAm+qEdscykZlfXcLKaGzkBTce0XPrhZXnvG9fDBTa75yGRKPbhZbh3bA8yIZakxFbfbY2DAKbhjAYI7DQcObiau3i0WSiye7x0cSQ7Ceh92Jt9lfZAkusKj42e+NopdSQrC0iVhxuveuZHkEdm5AeuDJEm87dxIQqwqAwcEdr4dJUU/t1dc7EuieNu6gSuERPEIobyLWeN87pjMe6glcEc8UWpC/ENPe/AVQqJo1HcPg+beumkfzEqM+OpWCEEbPYmrqYvVFTg87/pSkIMQlPj6cv0KIUkXKLwL1tWZghSEONudzhTkEdGZYIWQJIk/nSkIQc11mMFQ/TgsbCT7kiTeZCZcISSKR4joXcrMeY+1BO6YJ0pNCH9smQlXCImiUV89DFqLzGwdzEqM+OretxEDxxzn5REEV+DwvMtMQQ5CUMLKzA3etyHpKYX31LpqVJCCEI4JahSo85EEEZGh0H0bkiD+VKggBDUVIsai6OdAeZEkiDcR6rhtQ5SPEPC7VKHzVmwJ3FdPlJoQ9tgq1HHbhigb9d3DsLXI0NbRrMSIr+41yEA7u+tJQnUFDs+7DBXkIEQlrAz9/+w1yJLjpPDjtK4IFqQgZAOCCMZcgyxJJaKIAT0siOFPDwtCUHMyYiTAantJDn9yGL4FWZSPkHi6lMPJXEAlsByWpCYEQL4chm9BFmWjvnoYthY53DqalRix33ObwDpr6oRLVuE2fG6Ta+5qqPjf/twm11EpzlEdnNvkWqhIFiKs6+TcJpdmNZqLndvkGog8fkJQpeC5Ta6JyHMnaypOpnGUUyYI7yUKugCEa+DmDm6q7YMk079y/Wve/C5xdtxkIyIza7cHN9nWInMr7eBmsuy4mcAdN9kmI/NrFzJck1zbhxkO2AwpkYF8pipZdtxM3B032QiKiIB+fLRXtxZmrVg7YFuLzH3oWQwi6FQ66FQ66FQ66FSooDNk4yEzZ3cHN9mWIhMo/uDmMtjchl/UI7a5lJTKem4Wc0NnoKm49sse3FwGmdvuIHPMNh+ZTIkHN/Ujc2wPMCOWpc1WE6oI38CAc3DHCgR3Hg4d3FQ0Siye960mQQ7Cih92Kt/pwU1BdIVHx099bRS7khSExUvClLeloF6QR2TfBj64KUjib+tGEIK6fowYjKgM+2luXWTbl0TxtnvjOLgpiUcI5V3MGhdzx3nTwwRuYSlKTYh/6GkP4eCmJBr13cOgtezdtA5mJUZ8dQ9uJtDBzYzqChyed30pyEEISnx92cHBTUEXKLwL1tWZghSEONudzhTkEdGZ8MFNQRJ/OlMQgprrMIOhVL8ogJObgijedKbj5KYkHiGkd6kz5z0NE7hDpSg1If6xdabj5KYkGvXdw6C16MzWwazEiK/uyc0EqihydVOyugKH511nCnIQghJWZ27y5KagpxTeU+vKUUEKQjgmyFGo0kcQRESHgic3BUH8yVBBCGoqRIxFnvTzHCgwEiTxpkJdRzcl+QgRv0sZOm9+mMCdLEWpCXGPLUNdRzcl2agvH4atRYe2jmYlRnx1j24m0NHNguoKHJ53HSrIQYhKWB36/92jm4LjpPDjtK4KFqQgZAOCCkYd3RSkEpHEgCAWxPAniAUhqDkZMRKOgntBEH962HF2U5KPkHm61MPzLo0J3HJTlJoQAfl62HF2U5KN+u5h2Fr0cOtoVmLE+n//8JQSNPB/79K93Z7lBBRv6YCNi0uwns5yxn3r7OwG19zV0LHmWc7fr6i7+7350cuvEIcxs0wtFlF70VwyLlZO63eCyLpCt8MlT3HktMOZ9S+mb82l9B+1SH8wfU3Tvj2X4j+vfz/zghHB0/8yk1j6px73buwfBFqn/w8b4PNcQEUCxMD9sjl028w1ZtMOLRb7zWnPuB+qYjYvWH7RnE3M79x5qSnPeGjGW08QnlpAN47QT4iZqXyo//OV+frsb9D/wvSNZi7zsJnPfNJ8e77i/nn9ifauEapNBUEzr/iJnmvMCj8emH/wXv1O/c/1B/Wv6vf17/6f+oNA/+dLPZkxT97D5rHU3/1lT09xfqj/cj1KvaA3n928VX+x3cvCcPqm/mAmXY9tg7LLHZTVpCV3RJVpIPKgDUF9w0dUmSauqmuZI6pM4yjnaRDes3pun2ucyPHUS1vZcdYvrQ/lTbbdSAVAP3MahVkKnjnlWovUAMQzp8tmoQncLJRtMlIHkKYPl55lwNEHbKuRObz9lCnW1EO2qYpoKvrB0N7bWpi1Yu2AbS0yTbHnVXCMGLJtRmYu2hFRR3y4zbYUmcAIR0SXvT3h2HDENpeS0jgPA/SyVVyLuzkUijXzmG0mMqtRD3+WW8f2eDBiWWpMPYnSTM/w06CIz/REvjzLghOVZIH+7PRkXJTxOJknPXDS7ljC4E7cgcOfqavBlIUSi2eb3juoKFN8G8cNSQ7CkiF27o/crLq0AfTUEoH8jtW8TOup5YX5vzdbZfj66QMGZl76QXPI4MP6Xi9X4GxwR3KkFH6k8FN5G8WuJAVhsZYw98VsV0lSedyuksTwtl0lCUFdMkeMhH3yLQnhbasqTfq5Fe+mKB4h7ZCmmu6dqnTelDKFO4yKUhOCH3tGBQ7oUBSN+tZh0NwbVe2DWYkRzwq3Tk8n4/B0EhTlyThIJ8V5ME6LcaDScXY2SU+iJJnnBa9a2Dqbvp66umBZXYHD866FBTkIQYmmhdsuQsnV7CKU1HlAVRJd4dHXFZeCFIT4ShCX7gOqkjwishI6GCAJ4k9YCkJQUxxiLABhKQjhTViWCrhw56YoHiGGdyks520oU7inqCg1IfCxhSU4oENRNOpbh0FrEZatg1mJETfC8jQ+j86i0zCITk/jID0503J0Eqpgch5NslIL1CI+ueNfWFoLNq/PbzsguAKH511YCnIQghJfWLbcgIIRmIIuUHgXrCswBSkIcbY7gSnIIyIww771wo09SRB/AlMQgprqMGNhg9iXhPAmMLOyb9/dvCmKR4jlXQrMeYPJFG4XKkpNCHxsgQkO6FAUjfrWYdBaBGbrYFZixI3AjOMTNTlPx0GYZSqIokkRFOFZGYShClVWFFGp5tLLq8BMba64niZUV+DwvAtMQQ5CUMIKzPdnBfq9+tOLO1D0L7NX/mVTv22uQnlrtm/+i/r95koTsy+uP7euL+1I8is8/7rqUpCCEGQJ6hKoC5cEEZGVEbRuKQjiT1YKQlATHGIsAFkpCOFNVsZh3k+sSx03RfkIIbxLXTnv1JjCfTdFqQkhj60r4REdirJR3zsMW4uwbB3NSoy4Obv5T0+JEVA6fm9y+v1vv/ySxQ0M5QgsSqZOynSVEjq0CZtKkYOZawH1BtfW1cfL4Vak5HM24Hw8fcu02GzuE+lN36jvT99sjsy92hTffWJD20nT5/a5eJcCIsy3Xjxs2ualCgh+XOtTuvX4rkTG5EPA5EO2yYpuMr4YXVs8ACwesC3GvwL8ANs0OAMsr7iWXzqY0GI57dE4Bsw9ZpuLD+HEMwra2hFg7Yhl7VNR3Bjt6foAqP1UqpwIGehwnKWsJNQHCkBucI1dDdRrXh2AzUL27s8Pp2/2pnfN6YLVYwFNjf9D850vzSbZvFf0FzZX7HBdsRr1u7lL4MNn4M1JicUZiq/MDVvNHQNf6e+9+dQJCnOK3twu8GZtrgEzp+6f9J4+gD99Wzv5p7OTFs2e4ef6x8zB+/u92ZPSXMFg2jg/9S/Mb8Bt/vxb5tvmkL3ATQdc9yuS+zGun3exzmY9rCNTAtH0sO4vLziI+mFinQ7vcimQZy7xS0DQgQimfcjzlZSVHehmAK6JyIOVa67ZMI2jHKNEeC/sh5nNvn2ufSKXA1xK/Zbe1Wm2fZDm+te8hWzatCCC+laz8ZAygH6HQKanxAV0iQDbXKQWoF0ikKrFJQIp2OfpFttkpCJYb962WMFS1/ZhhgM2AzKVM2ZvM8O10deeGQII4ZCNoIgI6MdHe3VrYdalyRzXWmTaQy8DIiJOpSNOpSNOhYo4QzYaMmPSbiRQRZ5m0JUEbFORmRN/JcEy0tyG39IjtrmUXMp6aBYrq84oU3Ht7+aCgtYIc9sdYY7Z5iNTKXFRQD8yx/boMmJZ2ph6VmZRNimDOA1Pg/S8PA0KlZ0ESXEyOU2T8zI+nT9L4HLBi+MuSx6SPrCheT3NaIxYONvCgoOJsrhg47ghyUHYLcOuO7yj58xfNjPt5lzWfKarP/1jM9/96aVbtpdrETb6HUl6hafHz3VtFLuSFIS9P8Jc98fQbFeQRKbewYaxJ4nhr9pBEIK664oYCWsBzb4khLdqB+guo5uidITo3cUccTFTnHecS+H2gaLUhHiHnuRcelSzvv163KEoGvWlw6A5B3PYPpiVGPGsTXWs9E+fR8G4MPW2eZEG43F+EpxOouw0DePzfDGX8igorUN/fd5QkuAIHJx3QSnIQQhJWEH5v0x9RLM9pfXi4r6ptP7QxrYjyabwbOvKRUEKQvgkyEVALApyyIjFfmitLtqTJPGnFwUhqKkLMRhmRwbQjIIg3jSjtiHTqUbZCG+KEhKCdJe6cd4hLoX7/YlSEwIfWze6xnQoSkd9/zB0LdKxdTwrMeJGOpZ5mYRhEQVpkZ8H6Wl2HhTJiZaZUXpenCZhcXo6l1UepSNQSFtQHYGD8y4dBTkIUQkrHS+uUP3i0hWq8Dpk7xv1l80VmF88fSvqRXO+R4tmHY+artRvmSId02lD/9ynzVe/rO/bvLcj6T2F99664lSQghCj8eIUd62pIJWMVLVh7Eli+NOpghDUPIkYCbhySJDDm0yNyyTpx9a0dlMUkJAPulSp875tKdyFT5SaEAHZKtUxpENROOrLh4FrEamtw1mJEc+Pcvk8zAUsXJZOwnyVUPoYl/XJu8G1cvWhWv8A1++1TpxVcc9uwZ9dNWrugnp1Ub5tSr0/NsXM07e2mxr6Z67Gf9J8zwjHz5bt1kwvNQv2Tlo+t89F93u4S9nruQ7Y1qd06/HFO83hLsDkQ7bJim4yvmDHHO4CLB6wLca/HvyQ2xQBApZXXMuFD3cB5h6zzcWHdGIdlzncBVg7YlnbPBd3/CQkoDhLua8UL0Avo80kpiTgMBfXTvxbx0pKs4NJf2yuLTQHlmanaOoH05/UTVdQ4DyWCp/b5xJ5zjWRPdewrfeQa+wmH7JNVnSTSUFlAFg8YFuMf+rXzTV2yyuu5dK5xm7uMdtcfLTm5Bq7tSOWtU+tTXrINVC2cd8zXIJ+RhtKzjZ9ZbP0BtdS/JvHzDf36vfqn9tM3lGRTipMsz0nlXj7IErK7YMkV9sHaQzMZ9gwHnJMvH1oCA4NwSFEcMgmUHQCUmwZaICBARgYgAEEMGAD4N+DdTNQvF0ZkMqAVBBIxQWRTkjx9rGx/thYfwxZf8y2Hh/hOfkp3h4Z40fG+BFk/IhlvN+pEZywYpftZQg6Hm0qI2FBUySmrfhXFZuyPmxW6d6yWbmjYp2lmJZ6zlLJ9kEZ6UwVQvmJi+EhPyXbh9r2Q8j2Q7btim47KaoMtOkDbfoAMn3ANh3/oK+bk5LtSiNUEELFRZDORsn2sbb7GLL7mG03PnRz8lCyPdJmjyCzRyyz/WcgKAclTusj0OloY1k5CMpCTGvxLyclC31mKoEuOikvy4XqT2a//azX9Bwx9z//WH98Ylo8fz27Umn6lv5zpuezDXNHJTqNMVE9p7F0+0Dl+peeb2U6nWXZ9kEe6l966pXrrxU6zRU5kOG4hB4yXLp9qLEONdahxjrUWIca69DMxzTWocY6BLAO2ViKjkUKZQNNNdBUA0010FQDTTXQVAMzSdNUA001AKgGbCr8q7duXky3K01XabpK01WartJ0lZm5abpK01UAXcWlk06Z6faxRjrWSMca6VgjHWukYzOd00jHGukYQDpmI+HTECebptsjTTTSRCNNNNJEI000MnM8TTTSRCOAaMQiMkjziGjAxK84XGZbKN+mTohLVwpD+baTSw6XyRbeGWOau5qEJK45/Kq5z/Ch/uSri+2xWfp1XGr4dfPJA/2tN01Obv66h009x9fNPzAvCl78uFkcfay/9cbssoPZFx81lxy81nzS1AvPS0d+0jd/4EkvCntNdwebS3e4Ll3Net1cl/gLs8fYqz9vGqE9nN6d3X648Iq5x09/7WvzlabeRYucT6ZvzT391Wwbcvr2U5Uys6sm35wXw3yuv/vqsjjmyaKGWv8demSapr6vT3/Wt7npea6bFMlNCBfN+V81bMZNj5pioA+DOGyeGv2baNtce9jcbWi+FOvf5Pq5eMnGtcvlWi0ZXPuiQ6jXBddA5L1NhNpn8KZDromrtc0iNx1yjVsVSuvedGgzbp9rnMg1h5cGPM/7SWaz+ybbbmSOp99fmBTg7YVsY5FJnnZ7oUoXtxdq8QXdXsg2GZnoSVPNS48y4OgDttUp0Wr0UwGZesg2VRFNRT8Y2ntbC7Muzfa41iKzFLuoHQ4RQ7bNyMRFu3AQDg+32YYi0xf+usFlaLgNh4YjtrmUhMZ5FqB3reJa3M0Fg1gzj9lmInMacXquH4ZjezgYsSw1pp6dp2dFHo2DIlKTIA2zLChOT6NgkiTleXKenJbnkxkMOCl/cdzN4d2nJubQ1FzRKLF4tum7g4oyhbdx3JDkWE33rtFBzu0/uJjGX8zQH82vgKn/uZlhvqF//fCZueTs2sHZdfkf1u/W7wX1vfqj+h391/1Kf/xD/ZHNNzuSvlF43+Bnn4ulBD0LvW9m5mb6PW9b/lXjtPtN6/L707ebTgL6x8z8++70pzb8XUn81dTvwCdMUr+sP7WRvCBJInOSt2+VLXuSIN7O8kpCrMoIB8Sac2NBCG8Hect+ltvoborSEdICaSZ4SaU8c4pXqdmxTwXfaC9KTYh47AkPNJ5DUTLqO4chc47lsH0sKzHiRqqenJxOxudJGag0PTV30pwH4yxUQRqdFGfRyfgsUfN32KtUta7RXlcZ1RU4PO9SVZCDEJOwUvWXKxtK981tMDMZZjaU7ja7Az9daNP3tQ41mvTd+nf61wcXivaD+r369/rjR+Zn/l/9yb3eraGKevU7NiftSDpJ4Z2E16w2il1JCkIg7kJ6CpKISM+wH89j5yXxKYjiT3wKQlATIWY0bBD7khDexGdR9Asr3k1RPEKk71J9zi9VVvAN2aLUhKDHVp/ggA5F0ahvHQatRX62DmYlRtzcILO9zGLmafZYpgQITOedjqVahfVUpgTdKsM1F7l7idWHtjKlZ/qFPmz6gTYa0dQnmW/fbS4YfHsuDptGoLM77L6aNS+dldo8nP7XpmB49g2jPpe1R/UnvWj+10AXAjC9k+K8Q6s4sln4PNdCRbIQYd1FsU9/Xu2zLO2xGb7LNRy5T0pQq1A1D9NA5KYoXoQ6qnmYJiK3Q9cUl0zjKJufCO8BopFpnJdqHhX1503JL4lBrtnITEgv5kmhTdq/YduKzITEWp58WcsD3sd8i20yMhuSNDR2N/yAbTUyS3VZy8M1VRFNRT8Y2ntbC7NWrB2wrUXmKPbkAgwQQ7bJyKxFK+UBg8Nttp3I1EWo5MmXlTxgYDhim0tJZpwnAa7kYVrsu5KHayYyoVErefKtY3swGLEsbZ6BSXkan8UqGIf5OEjDJA2KLAyDOAyzSXRajMt0nj7AeatjFs+du0KVPM7LXi9TYvFsM1wHFWWWa+O4IclBWDTDTn8/XM5b78Pz1vvTt79l5q3aovqxOQprI9+RJFd4cvzE0UaxK0lBWP7rYBYpCCKy5QHU+O1Jgvjb8BCEoC69IsYCmLsKQnjb8Eizfm4t67opikeI3aTJWsuGx/yWdQVfmi9KTYh47DkJOKBDUTTqW4dBa9nwaB3MSozYFNy4hGK3GxzWHYPrqnTAJVm6CrfpDQ6mucglHazCu6obHEzvpDjvdLHBwbRQkSxEWDe7Q7o/39UIrbPEXa61yBWjDvQo00Dk+hBFZ4K7GkwTkUtDaypIpnGUhSCE9wBlyDRu07saXLOR6a/TXQ2urcj0R9zVKJe7GiW8q8E1GZkCSUIZuzJ4wLYamZq63NXgmqqIpqIfDO29rYVZK9YO2NYicxR7BuHY1eCajMxane1qcO1Epi7Crka53NUAA8MR21xKMuM8CfCuBtNi37saXDORCY26q1FuHduDwYhl6ZXd1QDu4rqehTRKLJ7vXQ1JDsLKGHbO2+GuhiS5wpPjZ4s2il1JCsIa3/qzSEkQr7sakiDedjUkIajrq4ixsM9dJSGuwK6GKB4hdpMma+5djSycLYTP/mujPhClJkQ89pwE3tUQRaO+dRg0965G+2BWYsSLYxyL9RzzOHs8x5HaaK9nkYM2LtFNgTve5oiAbZkbXHuRizxYzWfd5zBferv+42zXoumUNd+fuK9/8vGzt9MYQWj2LB7oPzy/SdZcjppGs9tcmltiMyMVH9vcsMN1Q4pzQwcbGlwLFclChHWXrmc1WxuzK1ibu1lt1u9yrUcuHnUgTZkGIpeKKJIT2uDgmohcJVpTTDKNo6wJIbwHiESmcV42OIosgq6QYduNzHz0HY5CKWiLg20sMvXRtjiyaLHFkUXgFgfbZGT2I6lm7DLhAdtqZLLqcIuDbaoimop+MLT3thZmrVg7YFuLzFLs6QQcIoZsm5GJi7bHAYeH22xDkekLv8mxDA234dBwxDaXktA4zwK4ycG12PMmB9tMZE4jbnLoh+HYHg5GLEuNqeMoSjOVlkEWnaogTYs8OFGneXB+kp+FZ1Ghsmz+lIBTVcfMnTtdhTY5YholFs82qXVQUSa2No4bkhyEhTLshPfe4trQ3vSHTceTWYOTr+ongZ5eme/8qJnYzqa109dNh4/5lkf9u0hZ360dSR8ovA/wc0lV9qAp+a4kDGENkDC1hO6vkiQR2vYobCB7kiD+tj0EIagLsIixAGa0ghDetj2yfgTMeyXpCMGcNH9r2fWI5wvlMbzrIUlNiHjsaQo0nkNRMuo7hyFr2fRoHctKjHh2dep5EU9O0jQ4SU/jII3K0+BknJwHYRypIs4jdaI2ITCtK6vXs4TqChyed4EpyEGISXiBOdsKud+b/tf6kdGN07v1J42AjMLwmvmlbJw7kpwKz4kXkTaKXUkKQiwlqEdoY0IQREg8AjUzgiD+xKMgBDWRIcYCEI+CEN7EY2SWGq1P2k1RPkKo7lI+JnPJkcDyUZKaEPLY8hEe0aEoG/W9w7C1CMjW0azEiBsBmUbneZiflEEeTXL9s2EUFNl5HOTj87g8y9S52kCbqBQ4OZylVFfg8LwLSEEOQlTCCsj350uS93umvNocYq2fmA7CzZLkpTbNi8XJwijLZk2vKc6Gym0EXaHwrlhXYwpSEAIuQWOaavpP+z37qLwgySMjNW0Ye5IY/oSmIAQ14SFGAhCaghD+hGbYT614N0XxCBG9S52ZzpUJ2J70QJSaEPb4OhMa0KEoGvWtw6C1yMzWwazEiBuZWWRFfJqf5cFJkodBmk3Og/I0PQmSMgnL83I8TibzgOpVZqY2V1zPFNUVODzvMlOQgxCUsDLzcoun+uf1r+uPTMOmYNG3qX5H/+6jRmDamHckmRWeeV09KUhBCKwEPQnueAuSiChJuGOTJIo/NSkIQc1rmNGwQexLQnhUk1Bl3E1RPkLk7lJOzptMZnDDUFFqQtRbQ05CIzoUZaO+dxi2Fj3ZOpqVGLE57Lc9O2/l8YyfskFezzInZLEK6e+MX2qz9wbX3tWYcUXP+GXRxRG/wnHEj+mFFOeFLo74MS1UJAsR1lmP+DU9mZojftZgt8u1Hnl4gqBKoZ10poHIkxJ4sek44sc0EXlGYk0RyTRuNVHJHPFjGufniF8Z9XNA9HHtRiY++hG/Mo7BI35cY5GZj3jEL1se8QObSN5im4xMfiSxjD0kc8C2GpmsujzixzVVEU1FPxjae1sLs1asHbCtRWYp9iwCDhFDts3IxEU74geHh9tsQ5Hpi3DEL1se8QNDwxHbXEpC4zwL8BE/psW+j/hxzUTmNOoRv2zr2B4ORixLjam4am0DA85UHfN17mwVOuLn7kF1iRKLZ5vTOqgo81obxw1JDsL6GHa+K3PET9AHCu8D/FwySx1H/ARhCEt/hKkluOEhSCKy4QEe8RME8bfdIQhBXXZFjAUwoxWE8LbdAR/xk6QjBHPS/M25PK6R5svjYEPQA1FqQsRjT1PgI36SZNR3DkPmHMth+1hWYsRX94ifgo74FVRX4PC8C0xBDkJMwgtM7hE/QU6F58SLSBvFriQFIZYS1CO0MSEIIiQegcprQRB/4lEQgprIEGMBiEdBCG/i0XXET5KPEKq7lI/zBpEZ3O1TlJoQ8tjy0XXET5KN+t5h2FoEZOtoVmLEV/eIn4KO+JVUV+DwvAtIQQ5CVMIKSNEjfoKuUHhXrKsxBSkIAZegMVuO+AnyyEhNG8aeJIY/oSkIQU14iJEAhKYghD+hCR/xk8QjRPQudWY5VyZgh78DUWpC2OPrTPiInyQa9a3DoLXIzNbBrMSI/XaVt27gX5+XzNjhkkytwm26FJtrL7IaDSv8NlyKzfVCivNCB6XYXAsVyUKEdbP28fMWK8q6Z7vLNRZZ00YQn8ACJ9dAZAEbQU2ClddcE5Gla+spRa5xq/lIpPKaa5yXyusyLvqJXdqx7UbmuU4rr9nGIhMdrfI6DxeV1znY9+0W22RkriNJYmzt4gHbamRu6rDymm2qIpqKfjC097YWZq1YO2Bbi8xS7LkCHCKGbJuRiauzymu2ocj0ha+8XoaG23BoOGKbS0lonGcBrLzmWuy58pptJjKnESuv9cNwbA8HI5aljeBCnRc2MODE1DEt505Ogcrr3NVCxkKJxfO9ryHJQVgFw05vO7lTRpJZ4ZnxU0Ubxa4kBWEljzCHhEqsJUlEti7gO2UkUbxtX0hCUBdSMaNhg9iXhPC4fQHeKSPKR4jcpMmae/8ij2ZL3jnYvO9AlJoQ9dhzEsedMqJs1PcOw+bewGgfzUqM+OrWyWRAoXUeU12Bw/OuJwU5CFEJqycl62QkXaHwrlhXZgpSEAIuQWa662QkeUTEpr1ORhLDn9AUhKAmPMRIAEJTEMKj0ITqZETxCBG9S5057/KWwx37RKkJYW8NnQnVyYiiUd86DFqLzGwdzEqM+Oqe58uAcuw8oboCh+ddZgpyEIISVmayz/NJcio857oaUpCCEEwJGhIqdxEEkRGPwHk+SRB/8lEQgprIEGMByEdBCH/yET7PJ8pHCNVd6sd5k7ccbtknSk0IeXz9CJ/nE2WjvncYthYB2TqalRjx1b1xLAN6qeQp1RU4PO8CUpCDEJXwAlLgxjFJHyi8D/DiMlPwjWOSMISAS9CY4Ha4IImQyLRWr+9JgvgTmYIQ1GSHGAtAZApCeBOZ4I1jonSEYN6lxJw3eMvhbn2i1ISIx5aY4I1jomTUdw5D1iIwW8eyEiP2e5LPOpzXc+WEy1bhNn6Sj2nvaqT4Mz/Jx/RCivNCFyf5mBYqkoUI62Yn+bSff9Kft1MJrW/CLtdi5EEJgvaE1jeZBiJPRVAkJXicj2ki8jzEmmKRadxqUpI5zsc0zstxvihM835hnUfcZBuOzHbdnufjGotMd8TzfGp5ng9s7XaLbTIy45F0MfZEzAHbamSG6vI8H9dURTQV/WBo720tzFqxdsC2Fpmm2BMGR4wYso1Gpq7uDvRxDUUmMMKBPrU80AfGhiO2uZSUxnkY4AN9TIt9H+jjmolMatQDfWrr2B4PRixLm6kAqorGwIDzU8fsnDtHhQ70ZTRKLJ73jQ1BDsJaGHaWK1qALegKhXcFfiJpo9iVpCAs8xEmly0F2II8MtsbNow9SQx/mxuCENSFVsRIAPNaQQhvmxuOAmxJPEJEJ83iWnY3svmKONjC70CUmhD21pisgAXYkmjUtw6D1rK90TqYlRjx1S3AzqFzfq7eMlZX4PC8y0xBDkJQwspMfgG2IKfCc66rIQUpCMGUoCGhDQpBEBnxCBVgC4L4k4+CENREhhgLQD4KQviTj44CbEk+QqjuUj/Oe7jlcD8+UWpCyOPrR0cBtiQb9b3DsLUIyNbRrMSIGwEZnmVlptRJMCmyJEjHaRiMx2oSTE6LcXF+kpWT9OSOfwGZ2FxxPS+orsDheReQghyEqIQXkGsUYMf2PYAdSR8ovA/w4jJTcP21IAsh3hIkJlh/LUgipDGB+mtBEH8aUxCCmusQYwFoTEEIbxoz76eAwpSkI8TyLhXmvMlbDrfsE6UmRDy2woTGcyhKRn3nMGQt+rJ1LCsxYv2/f2iw59LK6Ma/dwnJbguyrXnhel66aMNwldZXQXZsXyu5wbUXWZ6GlYC2gmyj+OpH9UP9yVfTt6Zv9prNz0emCPuZ+uzmwtpHpkC4qbuOQvAg2w6XNsXRdlF4zbRQkSxEWDfz9uN+L+qHiXbpw16sf6OnkdrdD+uve/WHQdx82fzG+mztclmQtW4EOQqteDINRNa1UVQmWJLNNBFZ0bamfmQat5qn1izJLko9pU9tFu5zLRSpy76USvdf2D06GhzNk2k1OvjGQRFuHxSR/qWzqQ5uGsAk1u3QmltvsvGQqZFeva1UDlZvc41F5kZi9Xa5rN4Gu8DdYpuMTI9dqGpNcm0fZjhgMyCTXnstN2C4NvraM0MAIRyyERQRAf34aK9uLcxasXbAthaZ99CTEkS8qXS8qXS8qVDxZshGQ2ZMWiU4HGtusw1F5k1CJXi5rAQH39EjtrmUTMp6ZBbzPGeMqbj2d1MX3hpfbrvjyzHbfGQapdaLl1vH9tgyYlnazGBQRT8GBpw+O1YTuFNooF68CGmUWDzbRNtBRZls2zhuSHIQ1u6wk3DJenFJVyi8K/DzXxvFriQFYVmSMPN114tL8shsx9gw9iQxvG3GSEKsygQHBHbSHZVJv7AOx74kibcdmSjs2xsH3xTFI4T1LiaP8ylkEc6W8Quw++CBKDUh9qFnP/iicVE06quHQXPvybQPZiVGPCsaPzmdjM+TMlBpehqkeXEejLNQ6T91UpxFJ+OzRM3fYq9a07oGfL1w9smxuQKH511rCnIQghJWa15uNmg+bTZ7tLyc3jVbP9Ofmo0fc7fO+/U79b36o/rd+nf61wffml/M88/1B4u+hOZn/l/9yb3eraGKevU7NiftSDpJ4Z20rgoVpCBEYoIKhcqBJElE9CfcnVASxZ8GFYSgJkLEaMRx3k/K1IayL4niTYSW+nkDRKgkHiHedylC503tCrhFoSg1IfSxRWhR9AtAhEqiUd89DFqLCG0dzEqMuBGh0WkcF+XkPMjypogoToMiOSuDs1RleR6FZ2E2H3CvIjSxueJ6EVNdgcPzLkIFOQhBCStCP7goMJrd4dgUGF2oS61Hp2/oXz989vLHmSb92pQofajl6HtBo03f0X/dr/THP9Qf2XyzI+kbhffNutpTkIIQgLvQnoIkItoz6mc2kD1JEH/KUxCCmv0wY5HGWd4vAOkpyOJPevZj64LJTVE6QpDvUnnO+9wVcNNCUWpC4GMrz7KfWS/OHYqSUV89DFmL8Gwdy0qM2O+N4NYKgetF4oLL8lW4TRegc+1FVthhpaCnAnQubYqj7aAAnWuhIlmIsO7p+nNrJtrlmoqssyNoTKC+nGsgslqOIh2h+nKuicg6uTVFIdM4SlUcwntJ1E+tuXOfa+DmysvT7YNC6V/ZrNyzSFzl5Ww8ZOLrtLycbSwy89HKy4tkUV5egL3vbrFNRia/LiSyJrm2DzMcsBmQKY1fXq4Nf2YIwPJyNoIiIqAfH+3VrYVZK9YO2NYi0x56hoGIN5WON5WONxUq3gzZaMiE2Vl5OdtQZNrEl5cv48xt+B09YptLSaSsR2YxaXPGmIprv2x5+TK+3HbHl2O2+cg0Siwv14/MsT22jFiWXtndlhIqL09plFg877stghyrCsM1Osgptt/dFkHfKLxv8NNdG8WuJAVh0ZEwEwZ3WwRJ/O62CIL4220RhKAu+SLGQoVJX1mXWPYlSa7AXoskHSHEdzGRXEwn5x07C7j7qig1IeyhZ0L4vRZJMuqLhyFr2WtpHctKjPjqVpqXUKW5oroCh+dddgpyEGISVnZuqNJc0EkK76R19acgBSEQd6E/BUlE9Kej0lwQxZ8CFYSgJkLEaBT9MLaOxr4kiD8BCteZS+IRon2XClTNVQvYmfFAlJoQ+NgK1FFnLolGffMwaC0StHUwKzHiq3uxRgnVmWdUV+DwvEtQQQ5CUMJKUNGLNQRdofCuWFdoClIQ4i1BaLZcrCHIIyI3gYs1BDH8SU1BCGrCQ4xEktjXD/YlObwpTce1GpJ4hKDepdKct+8r4F6MotSEyMdWmo5rNSTRqC8eBq1FabYOZiVG7LewPLKO5/XC3SioWKXbeGU5097VWPFnUlnOpE1xtF1UljMtVCQLEdYtKsvNhebWedIu19TVgCtXWc40EFkoR9CNcGU500RkidyampBpHKUgDuG9BDjFs8+1b3OF5cX2QVFuH5ThvNAzdxaWc/GQia/bwnKuscjERywsz5eF5WBPv1tsk5G5rwuNrEmu7cMMB2wGZEZbo7A8v/bMEMCF5VwERURAPz7aq1sLs1asHbCtRWY99BQDEW8qHW8qHW8qVLwZstGQ+bK7wnKuocisSSgsz5eF5eA7esQ2l5JHWY/MYtLmjDEV137hwvL82jOuhwvLueYj0yi1sDzfOrbHlhHL0uZJQVUDGRhwcuxYGmBPkKHKcnevs0uYWD7v+yuCHISlOOwU229luaBvFN43+OmujWJXkoKw7EiYCYOVPYIkMlstUGW5IIi/zRZBCOqaL2IslFm+toHsS4J4222BC8sl6QgRvouJ5GI6OW9FWsBtZUWpCVEPPRPCF5ZLklHfOwxZy15L61hWYsRXt7Bcxyqgsryk+gLH5112CnIQghJWdm6oslzQSQrvpHX1pyAFIRJ3oT8FSUT0p6OyXBDFnwIVhKBmQsRoFP0osY7GviSIPwUKV5ZL4hGifZcStJzLFrgbqyg1IfCxJaijslwSjfrmYdBaNGjrYFZixFe3slxrUGvJxPUypPoCx+dbg0pyEKISVoNKlpZLukLhXbGm0pSkIARcgtJ0l5ZL8ojoTXtpuSSGN60pCUHNeIiRiHOg3EiSw5vUhEvLRfEIQb1DqVnOm/yVcMdGUWpC5GNLTbi0XBSN+uJh0NxSs30wKzFi/b9/+KenRBaoJb83Of3+t19+yeIFlpS0r2SW7p5A0SomVGMOG0sRiBdl5lZrb3CtXX3CHK5FysBf1g/rzxr997D+vKkZf7vZ7X5729SQP9CS4lH9JNDf+mT6ev2l9cdeX/7gg2YR84ENeaeMntvnYl8KlTD3epGyqUgt4+2DUulfBRAeuRQpnQJfAmRMP9SmH2rTDwHTD9mmK7rp+PIfbflAWz7Qlg8Aywdsy/GvDD8mN4WFmqDSBBVAUHEJLpWMtRDQHpljbfaxNvsYMPuYbTY+DRCrxbTVI231SFs9Aqwesaxu1k7uLHPY37uSWpcHp4BzSNfL2AmRgK7H2cpMaP0UODbFNXc1uAscm0Kksvrh02epZltsj/WXvzJFX806yexrn/Si3vRu82Nf2Nyww3XDanaQO0/FtVCRLERYp/2oXT59dfpaTw/F/fpR709v/Ma07bCK912u3atTDrHDVVwDkcXihJUT8HAV10RkmfiaqyJM41Zz/JqHq6ye2+caJ3Ky6lI5WhqX/dJq+E224cicRz8zlSYldGaKbSwy6dHOTJXx4sxUCXYFu8U2GZn4SFOay3v2dkcfsK1G5qn2KQzW1EO2qYpoKvrB0N7bWph1aabCtRaZptirYo4YMWQbjUxdtHNOcHy4zTYUmcDw55yWseE2HBuO2OZSUhrnYYBetoprcTcnm7BmHrPNRCY14pxUPwzH9ngwYllqTJ2o8vzkfDIOzsbhSZCOy9OgUFkexOeTKC3LcXSej2cw4Cz1xXG32/jNf22U18uERonFs81nHVSUOa2N44YkB2HDBzvZ/WWzP/9Yf3xNz1W/7NW/0P/52Mx+9dzqoZ5QNZPWuGzu/3hkI96RJFZ4Yvys0UaxK0lB2LLCzyGnP56+ZiN5QZJEZJseONO4Jwnib6NeEIK6X4gZCxvEviSEt136LITEwE1RPkLUJs3UWrbpk/nOLtxAUZSaEPPYExJ4RIeibNT3DsPWsk/fOpqVGPFsj348TuMkOQ9OsyQK0iQ7D8bq/CSYJHGRnSfnYXIyf869akmrYr5eplRX4PC8a0lBDkJUwmrJ35ndjn6v2Sd5OKsM/UgLyzebs/H36y+nrzf7KUZm2nB3JHEVHnddISlIQQiqeCFZP05sIC9IgojoSLPxYyPZkyTxJyQFIagJDTEYgJAUhPAmJFUcJX0FKElJQELM7lJJznttlXDfNFFqQtBjK0nHkA5F4ahvHgauRUq2DmclRuzzNuEYEofKBZeVq3CbLophmrsaK/7ci2KYbkhxbuiiKIZpoSJZiLBufslwUD+YV8OE1ps7drkGI7cZKQLU+qa+wDUQuaVIEpZQNQzTRORm4pqKkWkcZesQ4T1ACTKN23w1DNdwZLLrthqGaywy2xGrYdSyGgZsmnWLbTIy45GUMXY7+YBtNTJBdVkNwzVVEU1FPxjae1sLs1asHbCtRaYp/pTBVQ3DNRqZurqrhuEaikxghGoYtayGAWPDEdtcSkrjPAxwNQzTYt/VMFwzkUmNWg2jto7t8WDEsvTK7mCAJzcyGiUWz/sOhiAHYTUMO8tdewdDEFfhcfFzRRvFriQFYTGPMoEEdjAEQTzvYAiS+NvBEISgrqMiBgOYtwpCXI0dDElAQswmzdNadjDmDfRKuBuiKDUh6PGnI64dDEk46puHgWvZwWgdzkqM+OoWVoP7He4GGBZX4PC8S0lBDkJYwkrJLgqrBYkVnnhdNSlIQQiseDUJF1YLkojISbCwWhDEn5oUhKDmNMxY2CD2JSG8qUlXYbUkHyFqdykm87n6gBsIilITYh5bTLoKqyXZqO8dhq1FS7aOZiVGbC5A256lYo9XxVgXGK6XzqYWYboK6a0qRtnMvcE1dzVkXJ2qmD/oHzSfL7uDPW4KZIyIfNjcbIItlGF6JsV5potCGaaFimQhwro/vfEb04gbqI5hWoncdsTLUbA6hmkgcosRrzId1TFME5Gbi2vqR6ZxlK1EhPcAXcg0zk91jOpn1mfyJttsZMqj18aoDCyN4dqKTHnE0phiWRoDdp66xTYZmfZIKhm7t3zAthqZkrosjeGaqoimoh8M7b2thVkr1g7Y1iJzFHv6AAaIIdtkZNaiFcaAweE2205k6iLUxRTLuhgwMByxzaUkM86TANfFMC32XRfDNROZ0Kh1McXWsT0YjFiWNnrmNI/Gk9MkOFPnZRBFkyIowkkWhKEKVVYUUanmGQ+coDqm6dxJKlQXU9IosXi2qayDijKdtXHckOQgLIth57kf6unmZ82k849Nt0FlOriY3tUPmsqY2Vz24fS/NnsdzTXes+nq9I1m0vvT+tP6vs0PO5J+UHg/4OeM9W+hi8wXU/r7vaY543wu33TD+UZz4sW0xPlyetdM380t53+c3Xauv61/+jP9c682vvy0fnLnzkvTH+svPtZ/159+8t/jrFf/qv74m71g5nebI3clHUlYcexgWisIIrLJAtfsCJL422URhKCu9iIGA5hNC0J422VRKbjJIolHyCak6WPLJsu8BV4J9zMUpSaEPP4sCRrQoSga9a3DoLXssbQOZiVGvGwyM3+OQQ3bcZMZ+y5LNB9wiFOtckLbLF13mbGae4Nt7uoztn6bGdtOSyO4vtRq6y2jOy8U2JP6ExvOjsZ5bp/N5LeHTBRG2/pDpj9E5neR+V0cmg+J+VDoD4n5XZLbwyOfM6Vz0lqGHBq4QwN3aOAODdyhgTs0cIcG7tDAHUJwh3w4RYfDT89NHxrDNjBsA8M2MGwDwzYwbAPDNjBsA4htwGfDv3X8wN50qjGMlWGsDGNlGCvDWBnGyjBWhrGCGCs2o3AvGwN2bMCODdixATs2YMcG7NiAHRuwYwjsmA+Gz0fENSPT7cZwjQzXyHCNDNfIcI0M18hwjQzXCOIa8biap/LOMt16K3KAVo+0G5wUOTg6OGOZubcP3Il8g20vcr9HIvne703v6t/rn35Qf9bc8vFqc5TqQbMOZFY4vuiZZY5mkcT0D9bZullO+WL2N3xiSh5mJ65mZ63mhQ8P6897+udMPcR902rY/A36d181f/lXiz8/O7b1pf5TxorPmxKKh/oHZ//A9MfGdFAdMJ29mi/lKifYJiqSiQjz5neM/OmN3/TifmhvfrrLNhe5P7X+YhPbQuR2FGkVCSiiYNuI3Ipab32IbR1l5wnhP/vCD9s6L3UUWZz1Q+urc5NvODKv0ispolhFUC0F31xkZqUVU2hzFtUURvlA5RR8q5H5lTQPxO5JHvDNRmaq9mkd1tZDvq2KaCv66TD+21oadnn2xTUYmbTYy4VRnGb9WNmsHvKtRiYyWl2FI1Tc5puKzGf40oqLMHHbESaO+BZTchznkQCrK9gmey6v4NuJTHPEubJ5IpZGXZ4Dc4xtrC3HJ2UYJoE6SZMgLcd5UJyM46BIsywuQpWe5ZMZDzg9fnHcbYkFOOnUk+SYhonls02kHViUybQN5IYoCGFbDDvLfq+pnHhqGvtk+qPZYYDZDPifm8nuG/rXD5s5rZkr3784L/C1mZR/WL9bvxfU9+qP6nfqD+pf6Y9/qD+yuWdH1D0K7x78pBOufhBlIewFEmakX9af2lBeEEURKoCwTq73REm8FUCIUlD3YhGjAU2EBSm8lUBo/QtNlyXxCLGeNONzl0Boptm2+fw3NvADWXBC5GNPa6AxHcqiUd88DJq7CgIznpUc9KzWt1S5KsJJMDlNsyA9KYugLCZZcJoU52k8Lsqz87M7/oWoNX9oIZpQfYHj8y9EBUEIwQkvRBe7LA+1An0wvWs2VIzEfGrLpfc3k1fGL457L45fGf/f//e3vzXbpan2Iv3QheGh+cwUv842hczGz4WO/dBo1179O7M505xuNUWxzbeSMp++2XwoepDW2xH1psJ7E69bm92wh6Zg+j37/tXCmQczZy5d9PgZFz3/fBbG+v+OtK/u7O28cOfOS1kY/mOShNM3y8Zf26a22GyfmQmB/u0nze0zjxrXW1y5K+pKQvIgyGZwI0eQREg126/l3xNF8SibBSmoyRsxHJBsFqTwJptVCJYOywISclOnwjlZCC2496UsOCH2sYVzFBZJP7MXEMvSUV8/DF2bdm4f0koOutHOp3GZxHF0EpyVyWmQpnEaFFrqBJPopCxP8ijLJ/Pn3at2Tmy+0No5pfoCx+dfOwuCEOITVjv/9qmSo/u9+n/UD+rPZ5e4aJlX39tNkm8ZqRumc6mmv/9x811T6/QkuNBvNm/siHpD4b2B1742jF1RDELsJehOeLlWEEVEeIbAJvKeKIpH4SlIQc18mOGwUeyLUngTnql+1qyTnJuyfIS43qnuTBciBe6UKQtOiH1s3QkO6lCWjfruYdjaVGf7gFZy0I3qzM6LMDs/C4PzODwP0tOsDIqzsgxOJ5M0zJLzcZjOs4RX1ZnafKFVp6L6AsfnX3UKghCiE1Z1/nKlmv6+uVPAXDIwq6a/ay4QXCzC9ur363eaCoF369/pXx/M125vDQMV9ep3bA7ZEXWIwjtkbeEpiEEIvp0IT0EUIeEZKRvKniiKR+EpSEFNfpjhsFHsi1J4E55F0S+gBU9JPkJo71R4qoVOAVvnHciCE2IfW3iCgzqUZaO+exi2NuHZPqCVHLTPLu0JuPmfuejycJVu40c1mfauhoy/HNXEHNVkOjvFObuTo5pMExXJRIR59Xv1HwJ1585L8zObPXMZmyk1bsb9YW92CzZ4hJOJgTwNQxDC4M4/00LkyRe8vnUd4WTaiDzysq5wZVpHOd6C8B8kSJnWeTnCGcdZCqyn3+Rbjky4XZ/h5JqLTLnUM5zZxRlOsNHbLb7VyMRL0unYg08HfLORKazTM5xcWxXRVvTTYfy3tTRsxeAB32Bk1mJPYaK00GLSqiCHfKuRmazLM5xcU5EJjXKGM7s4wwmGiSO+xZQkx3kkHGc4mSZ7P8PJtROZ5shnOLOtpVErxo54xl7ZjRiofXw0ry1FY2L5/G/ECIIQVuuw028PGzGCDlF4h+DnnzaMXVEMwmIkYf4Jb8QIovjeiBFE8bgRI0hBXQzGDIeNYl+U4kpsxEjyEUI7aYLnXLc3TIt1e7g5qCw4IfaxZzGujRhJNuq7h2FzDugQM6CVHPTVrTuHms1HobMNjc0XOD7/wlMQhBCdsMJTuu5c0BsK7421VacgBiHydqI6BVGEVCdYdy6I4lF1ClJQMx9mOGwU+6IU3lSnq+5cko8Q1ztVncVCpIAdAg9kwQmxj606XXXnkmzUdw/D1qY62we0koO+ulfWQc3ro7Ck+gLH5191CoIQohNWdXq/sk7QPQrvnrVlqCAGIRR3IkMFUURkKHxbnSCJRxUqSEHNhIjRgFSoIIU3Feq4rU4SjxDmOxWh5UKzwC37ZMEJkY8tQh231UmiUd88DFqbBm0fz0oOenZbXVqm40yFQZFP8iDV2jUYx/oPZGfjRP+fVqzFPLB61aCpzRfXoyik+gLH512DSoIQghNWg364rCS/76o6vz99e76/HpkL04pQf4gixzVzkm5QeDfgtebimrl5X+mn6vjRF89VeyqMozg86ul5Ye9ZL2336v/WrBt/apaae82/85lR9DMt/7H+1LS0nn36Df33P+gt+lybf/93kTWG7Ir6mZASCGIYqkSXJBHSwtAddJIo/sSwJAU1JSOGAxDDkhTexHAcqrI/P7F2SQ+LEhJSTpd6OArn+mn2Gxv4gSw4Ifix9XCUJDHUxVqWjvr+YehaJDFiSCs5aL+nMoGF1sjZAiWPVuk2fSqTa+9q0PjLqUzEqUyus1Ocs7s4lck1UZFMRJg3O4ypR+Mn5gCmOWlhVWK7bIuRR1m6kL1MC1clreQBTK6Nq1pV5gAm1zrK2RSE/yD9ybTOywHMqCyzfmE97HGTbzkyt3Z8AJNtLjK7Eg9gRhdNNCNHE0221cgcSxLl2FNLB3yzkdmqywOYbFsV0Vb002H8t7U0bMXgAd9gZNbiz1fiKOqXymb1kG81MpN1eACTbSoyoREOYEYXTTThMHHEt5iS5DiPBHwAk2uy7wOYbDuRaY56ADMyTTTtoWHEM7YRtKiaecMDTpEdawTcaTJ0ADOKaZhYPv+7QYIghKU57Exb/gCmpEMU3iH4qaYNY1cUg7DySJh/gjVIkigi+y7wAUxJFI/7LoIU1HVfzHDYKPZFKbztuzgOYIryEUI7aYLXtuuy6LEYOXpmioITYh97FuM4gCnKRn33MGxtey7tA1rJQV/dA5jgvZlRQvUFjs+/8BQEIUQnrPAUPoAp6Q2F98baqlMQgxB5O1GdgihCqhM6gCmJ4lF1ClJQMx9mOGwU+6IU3lSn4wCmKB8hrneqOhfdCSNHw0lRcELsY6vODC70kUSjvnoYtDbR2T6elRx0IzqT8WlZTJIsUKdnKkjHp3lQRlEWFGV+Gp2eRidn2fiOf9GZ2HyhRWdK9QWOz7/oFAQhBCes6OR3aq/vAY3CF43csygtwqbX+L+uP7A1ctf/+JOmpOlRU/Vt/un7porps/mXP9UyuPm7sjC8Zn7ZdwR2RH2u8D7HS9sOCu1bOrwbn/1j1pTgl+bmdndv9239z5oJxazcq/6yF8/r9T9/Zk6yM3ll8r1vf7+3o+civTA1f+898kxkV3S4CGmMIOHBwiVBEhEF76jXF0TxqOAFKagyAjEckIIXpPCm4KMiLIFdipuyhIQ02amGX/R6jBzNO0XBCcGPreGdTeNF6ajvH4auTca3D2klB311r1FJwCOsiuoLHJ9/GS8IQohPeBnv9xoVSfcovHvwiltBx3R3RVkIEZkgR+EVZUEUIT1qVdZ7oiQe5aggBTUdIkYDkqOCFN7kKHyXiige</t>
  </si>
  <si>
    <t>IdZ3qkUX7R8jRz9PUXBC5GNrUfguFVE06puHQWsTou3jWclB6//9w1MKzOjLv3cJzm4PkkJSM3PRhuUqraeDpEBDlRtse1cjiNeDpLMzn1pSNuc7TcvH182Ko41wh02Y4ghppzfrX2iZ9Gj6M62Dm0Vls5L5EyONp6/3tLb9Rf2hDeJ5NoQiQWAAluc756vEb8/PeSZhb9l0M8nNSu7XZsG8Wbn9pFH0Dxpcs7RrY9xlMyLP1hCULLiwyrQQeY6GIlDhE6FMG5EHaNaVnkzrKIdlEP4ryqifWyP4PttEP8dCs7Dop1AJAtdyZKakHwtNI+gWjb/hW4tMldRToRdtOSNHW0621ciESZLbl56OVNuQ5P3Q+mgf8I1H5kL62dAkyxNz0NkqmA/5BiuiwegHxThxa2nYisEDvsHIJMaelDgCx5BvNTKx0Q6IwkHjNt9SZHqjnA+9aNAJB4wjvsWUlMd6IpzBomIbLnNK1BkojvnGIlMf+aio6dVpDxIjnrHNMzFOJkmslJ4YjzM9MZ7kwcnJaRHEeTmJTqK4KMdz54OTYMeqAHciDB4VzWmYWD7bdNmBRZky20BuiIIQVuKwc+nlrstneq71Nn6eLEip8JSEqegC9IWXXzl5uafKsrf7g1de/t74fNKrfvBd/SjfufOv49BcDvXpds/ULE3vTt/UjvisF26r5stNvZd9trcr6hDCOiRh3grvwAiiiOzAhPaKzD1REo87MIIU1HVgxGjEWd5XsfU12Rdl8bYPo62Fb/GUBCTEf9LU0Llyb5gWK/eOhp6i4IQIyJ70wKM6lIWjvoMYOOeIDjEjWslBN/I0TMNxEZ2eBtkkTIL0tDwJyjRRQXZeZucnk+I8Tc7v+Jen1ril5WlB9QWOz788FQQhhCesPL03v/tzWQtkbt/8avr69FVYsfa+sfjWk/rj6X/Rqu/L2U0opt7/vfrn35xX/x+PX/kPk+9/f3kUoO1fWt2laMr7n9gMaO6Af9T8o81PzM35zFSrN2cEZl9vLmL5bHFCoMjj0jph3REdNIUfNLzatmHsimIQMgRBI5v9q0/7PXvZ1QuiQCJK2Tr53hPl8KiTBSmoORoxFs5tJUEUfzI5Ac5a35TlI6ShTlXyol9l5GhAKgpOiIF8lQwN6lCWjfoCYtjaRHL7gFZy0I1ILsahivJCBYlSeZBmWlqX5sPpaXKq4jQ8zcZzx3gVydblFi2SS6ovcHz+RbIgCCE6YUXy+88KUKz+TZuORr3ZJ0+dq2w+H7z40re/992XX/n+93rXd473B4e9ozTs7R3t/p1FPAdLDb1axvPFJXm8VNM/bnQwUOCzIzoGCj8Ga2teQQxCvCdoXrCeSZBERuza95r2REk8yl1BCmq2RYxGWYT9MoL0riCLN70bJUkJ1CLclCUk5JROFe+iO2bk6HYqCk6IgGzF6xjWoSwd9S3E0LVp3vYhreSgF0X68yDquUhf2WivR3Hooo0uHUnwVKRfQEX6XHuRNYdYUdoU6TcHNJd3UJuq/bca1ffJYpl1+uasy9MTc7BztkNvo9phU6U4Klphvs3E59kmKpKJCPNmZff9pxas58X0UNeqXbbtqwF4/XL6liVXrqHI4kOKugSr6rk2IssO19SNXOtWs9GaVfVW3+2zrfNTUB+mfWWdHt3kG45MavR6+jiEumX8Dd9aZFYj1tPH4bKePgbbSt7iW43MbSRxfLkKCeqyxDYbmbzolfRwlyW2rYpoK/rpMP7bWhq2YvCAbzAydfHnDWCwGPKNRqYxWg09HChu8y1FJjNCDf0ySNx2BIkjvsWUBMd5IOAeS1yTZarn4R5LbDuROY5aOK+fiKVRK8aOeMY2U4YkOj9LwzQIz8rETFazoCyjKFAnk5PT0/MwiuP5ww1OTB0zde7kFCqcjyMaJpbPNoV1YFGmsTaQG6IghAUy7Pz2w4tZ6/SnveOg2WwxV11+vtj4+LD+Xf3/BmH0rad3WOb3TC5uvZzNhesHsx+J8zC8llif5x1R/yi8f/DTUBvGrigGYTmwwxmpIJDQvoi9zHVPFMXfxogkBXVJFjEc0ERYkMLblkgZ9kvg/LkoHyHek+Z8LRsicTRfPY/BHqAHsuCECMie2ICDOpRlo757GLaW7RDEgFZy0LM78JO8OM0jFUQnp1GQhucqKM7CMojUuIziSZielmd3/KtRoE5+fu6H4Ascn381KghCiE5YNfobrUM/a+69f9CrP2005ef6Cw/hxp8Pmk5MNvgdUXiFh19bagpiEAItXmpOfzx9zYbygiiKiMgM+2FpQ9kTRfEoMgUpqIkOMxw2in1RCm8iMwKXL2/KAhLieKcqc9ENMna09xQFJwQ/tsqER3UoC0d9+zBwbTKzfUQrOehF1c3ihfVcdpPZcLWSTJy4ySqup7KbKATrbpgGI/cmsUoQuByzqcI2N0caETi/E/NLe5uepmTnqXvYvzQy8u6zjXSezM5HGp35yXbz3a+btc3P5qcon2kIZP6y5l94pin9/N94Mtemb5qfnDXvsfl3h+3fFOffTiqAmCYqkokI8y4u3uybWzZ7cT9Uhc3mXbbNyO1TvPhtXWdlGorcMsVLW1flD9NG5GbpupqVaR1lYxThP0iLMq3zUvmTZHnffjr7Jt9wZF6lV/4keQpX/nCtRSZWauVPclH5A/aZvMW3GpldSfocu2F+wDcbmbQ6rfzh2qqItqKfDuO/raVhKwYP+AYjUxd76gIHiyHfaGQao1X+wIHiNt9SZDKjVP4kF5U/YJA44ltMSXCcB8JR+cM02XvlD9dOZI4jV/4kW0ujVowd8Yw11p6lca7yPAqS+LQIomgyCcZRGAdnUZZF49Pw5KSc5xNwbuxYLeDOj8HKn5SGieWzzaIdWJSZtA3khijIav53jQ9yhv3h05Npxyx6VgX0K/2FL0ztT/1Vr9qLoyieNxRObhybDrfTN8umsddT7Wxb+8/uiLpM4V1GmZHO2gX3e6v+cy5F3Ef1DL5z56Wma/DCtdnMtf9YKtM7uDfvHPzDmX8hRwMNhE2HYGcL4R6rgbDkABKWZ/HTc8felCCKyN5U1C9SG8qeKIrHvSlBCurqOGI4oPUAQQp/e1NlBu9NSQIS8h5p7tu2N7XoNhs7GgiLghOCH3uCB4/qUBaO+vZh4Nr2ptpHtJKDbmT5pMzzsCjLIFP6Z9M4OQnG4ywM0vJ8UhTpeFKcnd/xL8tjmy+0LFdUX+D4/MtyQRBCeMLKcnf/4M7bB0t6R+G9g1fgNoxdUQxCKMbrUPjeekkUER0a9q1ltHuiJB5lqCAFNRFiRsNGsS9K4U2GZmDnYFE8QpTvVIQuOs3Gjs7BouCEyMcWodCYDmXRqG8eBq1NgraPZyUH3UjQ07hM4jg6Cc7K5DRI0zgNijgMg0l0UpYneZTlk02sDCc2X2gJmlF9gePzL0EFQQjBCStBf/vMOmH9P7Qe/bxZG3xoruC5t5skTdF9mD57GBS3Zrgj6g2F98baklMQgxB4O5GcgihCktPewW9PFMWj5hSkoGY+zHDYKPZFKbxpzjTsx9DZT0k+QlzvVHRmC5EC9vc8kAUnxD626AQHdSjLRn33MGxtqrN9QCs56EZ1ZudFmJ2fhcF5HJ4H6WlWBsWZFqynk0kaZsn5OEznWcKr6rRmEK06nf2ibL7A8flXnYIghOiEVZ2/XCmsvw8f+vyiV79fv9MscL5b/07/+mB+OcmtYaCiXv2OzSE7og5ReIesLTwFMQjBtxPhKYgiJTxNoehllj1RFo/KU5CCmv0w42Gj2Bel8KY8i6JfQHvuknyE2N6p8lw0c4wd7TlFwQnBj608wUEdyrJR3z0MW5vybB/QSg7aSE+Xouz29Kd1MqG1ZOGiy+NVus2f/mQavBoz/nL60+bfHbZ/U5x/Ozn9yTRRkUxEmLdy+tOcV7S+Zrtsk1cDvvzhT6ahq1pW9PAn00bkeZl19SnTOsrZGIT/IN3JtM7L4c8oKvp5YjP8Jt9wZFrt+PAn11pkXqUe/iwuDn+CPRZv8a1GJleSGMeemTrgm43MWZ0e/uTaqoi2op8O47+tpWErBg/4BiNTF3ueAgeLId9oZBrr8PAn11JkMqMc/iwuDn+CQeKIbzElwXEeCMfhT6bJ3g9/cu1E5jjy4c9ia2nUirEjnrFXdrMlBw9/ljRMLJ//zRZBEMKCHHaC7WGzRdAhCu8Q/HTThrErikFYbyRMQeHNFkEU75stgiweN1sEKagLvpjxsFHsi1Jcic0WST5CbCfN79o2WxYNUmNHz1tRcELwY09iXJstkmzUdw/D1rbZ0j6glRz01S0uz6HzjfP+NARf4Pi8K09JEEJ0wipP4eJySW8ovDfWlZ2SGITI24XslESRkp2pDWVPFMWf6pSkoGY+zHDYKPZFKbypTkdxuSgfIa53qTqTcC5SErDx5YEsOCH2sVWno7hclI367mHYWlQnYkArOehGdZbq7DSLzuMgVYn+kKoyOEnHeXByepKMs5NMpeVcjnlVnYnNF1p1Opss2XyB4/OvOgVBCNEJqzrfW1YJPZz+yFyO1jQZ+qL3dMnQ4o62F2d3tM1XOet7i2vWmrXQC/05+3bP3NgWJmF4tN3bbZzRu/VCGPVGL337+9/+zuTfaie83Pv3r0z+U2+415v9kea2vOZDFJq72WwO3hF1sMI7GC9k/3I13oqEFxxAQhojSPjH1qnyC6IkQgo+su437YmieFTwghRUFYEZDhvFviiFNwUfhVHcz4CVY1FCQpbsVMMvekkmjuagouCE4MfW8I5hHcrSUd8/DF2bim8f0koOulHxJ5M8O8nPw+CsiKMgjaMkGIcnKjhLz8qTsCii4nyu2r2q+NTmC63iY6ovcHz+VbwgCCE+YVX8h6tX4hlZ2VyXtxDrXV+PJ+kghXcQXoXbMHZFMQjhmKBF4eVkQRQhMWpdDNoTJfGoRQUpqLkQMxo2in1RCm9aFL4eTxSPEOg7FaKLbpOJo3+oKDgh8rGFKHw9niga9c3DoLWp0PbxrOSgl91D0ztLdemxe6h1jLXQTFy4kVrF9XV+NIXOj3INXo0hMudHn9RfmhW7ZqXv7dkXHj11kLQ59dksIj5samHN92ay8ivzU43UnP7MBr7DBk9x4F0c7OSaqEgmIsybHezs96LtMIm1901fz8S6YbLLNhp5PoagSMHVUaaFyMMweKHpONPJtRF5DGZdCcm0jnLkBeG/LLHP9/fZBooc67yURvdf2D06GhzNE2k1OviG1j3ptv6gzIfsmyaGGQiTVrdDa2a9yWdEJkb6CdAsi8AToGxrkZmReAI0uWj/mTjaf7KtRqbHLuS1gbm278A44GMgk137iVDAdmP2tWcHAqI45FMoIgX6OTKe3VoatmLwgG8wMhei5yiICFSZCFSZCFQhI9CQz4fMpLRjpXD0uc23FJlPCcdKk4ueovAre8S3mJJjWc/OcvrnjjoVG6GbY6btEWcxABDBMZ8AmWKpB1AT033UHm1GPGMb5Z2e5fnpJAlOoqII0kzFwTiZnARpOT6LTrLxWaFOZzzg3Nqx2sCdX0MHUJOUhonls83CHViUmbgN5IYoyKr8cI0PcoZ++QDqfAvHfg5Vz8z1hN3c1PSZuWIp0P95qL/79fynHupvfDX7KZt3dkS9o/Dewc+RbRi7ohiE1UzCrBnexxFEEdrHgQ6jSqJ43MgRpKAuJyOGo+wra0jfFwXxt5ej+VIb301ZPkKo72K2uZxzLtozJo6Gm6LghPCHniihB3Uoy0Z9/TBsbbs57QNayUE3QvQ8nZyUWTYOTvR/TW/Ok6AIz0+CMFShyooiKtVcoXkVotZlZC1EFdUXOD7/QlQQhBCdsEL0qX6bT5ryotebEvHXmrIhrU1nhUOf6d+8Pn2zufHzcfOjX+k/ZeTrvLLoV1qnvt1sFM3+otnlKdM3e03B+2da1T71pQ/rX9T/PXh2Q6r+4hu3/u3x9sU2VHCxD6XnlPUfzS6V+Vcb2ftEf3xSf7y4bnT6014URNtq+qPtpw4sGJ38sTbzj/rXJ7MC+HQ7iSBNtiM6dAo/dHiVvBy9F15+5eTlnirL3u4PXnn5e+PzSa/6wXf1+6mnFHFo9u4+3e6ZUwfaW2+aAemF26r5ctNV1b63syvqEELCwettuL29JIqI3oYq+AU5PIptQQpqtkeMRd6fG3xZbAuCeBPb0J1xN2XxCNmsU6296EOZOPqKioITQh9ba8dJWvRL61M7lKWjvn8Yuja13T6klRx0o7bVpMwnaaGC08l5FKQnJ1lQjtNJoMLJmYrj7PzkbD7sXtV2YvOFVtsZ1Rc4Pv9qWxCEEJ/wavuyup0V6c8KshaX9c8Lr6rhTu/f7v/b671K/8OT7y1v8P/J7Ip/rWkfm8Oe5q94oH8bbieOA7WCnlJ4TxHE7YdPuWM2Z+hd/853fvDKuPfCdyb/2FNh2Ju+aT7Oj7+abgVfNtMBM4e53wt6Rv43S+xf2XyyK+oTQpDH61u4CkuQREbe9kNrbNoTRfGocAUpqBkWMRyZ6ieh9dnaF0W5ChpXEo+QQzrVuIuul4mjjakoOCH8sTVupIM/MKxDWTrqG4iha9O47UNayUEvzwfMxzW94/V8QGnD1TI2d+Lmq7i+zgcAzVVvsA1eDSNdnA9YrPDO9NUzK7fmjhJby6nZaYD5SnHTm+jVix9GHBJg0qc4+k4OCTBNVCQTEeYtDwlonRRuN/8x54L0f/Jt54EBJsBqvF7/wEBLLyiuochqR5ISBc8NMG1E1jmuKzGZ1lFqGhH+i81Ck83CfbaFGzw4UCyKdXP3cQEuGTJP0o8LxBGkhf6Gby0yUVKPC+QXxwXA3pi3+FYjs2UXgtvAXNt3YBzwMZBpb53jAvm1ZwfCcVyAS6GIFOjnyHh2a2nYisEDvsHITIietSDiToWMO0M+FTJt0g4JwDHnNt9SZPKkHBLILw4JgC/qEd9iSkJlPTHLOaA71lRsBOlDAvm1ZwfAcUiAS4BMrORDAvnW0qgVY0c8Y421Z5Mozs7Oz4MkPgvNztIkGEdhHJxFWRaNT8OTk3KexMAJtmPJgTvJBg8JOJtxXcbE8tmm4g4synTcBnJDFISw0oedpq/cI/rZrMaq+VozBX8wfd1cE9r7xuJbT+qPp/+l2QVpzhWYWqj36p9/sxfNN0l6f3ur+f3z41f+Q2/vlfF/6oVRmvWef/k73/kPk5cuXVwK/oOL73xmtleay2RnawDNgYXPmisFTGdp8+VHtpHYER0JhR8J/HzchrErikFYQe1wVi4IJLSPBBVKCZJ43EYSpKAuYiNGI86Tfg4tBgiieNtGSlTYT62AN2UBCemli3ntcnZbLHYdwKatB7LghDCInpLhR3UoC0d9BTFwbftI7SNayUE3+0j/9JTwA/Xt9yan3//2yy9ZPMGQt9adbS1sSydmsYoJ7R/BtlI062ILyWrsDbaxq8+Yw7FIXXqvKbX5avqWzVCt7crn9tnWXgp0sLnrxbnZem8abh8kYaQ/RDkU3bgkKZ0EP7U25h8a8w+N+YeQ+Yd88xXdfPy8Wls/MNYPjPUDyPoB33r8U88PrLOlO01RGYoKoqjYFJeWZVooaI/PsTH92Jh+DJl+zDcdH8+JSzLa8pGxfGQsH0GWj3iWN8/OHZ+ZCVp0SZ1tg6ISdDzaWlZugm4+5JqLf0+x2el/LssSzKGvB82xp/rj+sn0telb8yuwv27qHszdCW8ujpCZFYu7s7xmA9zRgDqrcSl9ZzWd0KLU3IGWlvqDMr9Thf6QxeZDrj/k5nd5pj8UoflgfqQwP1Im5oP+XRzG5oP+4Tgyv4vM7+LIfEjNB/NpYj41l63FifnU/Lux+Xfj1HyqzKfmH4+V+TQzn2bmU2NBnJtPc/Npbj4tzKfGjLgwn5bm0zIDcjJ7HHzkZJ2OjfMPjfMPjfMPjfMPjfMPjfMPjfMPjfMPjfMPjfMPjfMPjfMPjfMPjfMPjfMPjfMPjfMPjfMPjfMPjfMPjfMPjfMPjfMPjfMPjfMPjfMPjfMPjfMPjfMPjfMPjfMPjfMPjfMPjfMPjfMPjfMPjfMPjfMPjfMPIecf8p2v6M4npYWB8f3A+H5gfD8wvh8Y3w+M7wfG9wPj+4Hx/cD4fmB8PzC+HxjfD4zvB8b3A+P7gfH9wPh+YHw/ML4fGN8PjO8HxvcD4/uB8f3A+H5gfD8wvh8Y3w+M7wfG9wPj+4Hx/cD4fmB8PzC+HxjfD4zvB8b3A+P7AeT7Ad/3+Di7th7SUsiMQWXGoDJjUJkxqMwYVGYMKjMGlRmDyoxBZcagMmNQmTGozBhUZgwqMwaVGYPKjEFlxqAyY1CZMajMGFRmDCozBpUZg8qMQWXGoDJjUJkxqMwYVGYMKjMGlRmDyoxBZcagMmNQmTGozBhUZgwqMwYVNAYVewzE1ZwWcsbxx8bxx8bxx8bxx8bxx8bxx8bxx8bxx8bxx8bxx8bxx8bxx8bxx8bxx8bxx8bxx8bxx8bxx8bxx8bxx8bxx8bxx8bxx8bxx8bxx8bxx8bxx8bxx8bxx8bxx8bxx8bxx8bxx8bxx8bxx8bxx8bxx8bxx8bxx5Djj/mOxys4lhbVMtT4fWT8PjJ+Hxm/j4zfR8bvI+P3kfH7yPh9ZPw+Mn4fGb+PjN9Hxu8j4/eR8fvI+H1k/D4yfh8Zv4+M30fG7yPj95Hx+8j4fWT8PjJ+Hxm/j4zfR8bvI+P3kfH7yPh9ZPw+Mn4fGb+PjN9Hxu8j4/cR5PcRz+9PKWmPl4k3H20UWlBHLgrtaqSg7rBYeL73arP3BtteZPUTVk7/ftFjpqkTnv64uYXsk15zAcPXWkG/3dyv8NXsSvHleavFVQ8Pe/VnzVVnn+ofeNOuvB80fSVn2nu7N7vUTP/+U/1tc4X5Z+aaiN439Of368+bWx/m/8a22bD8Zf1h82fuNzdSPDL/4Dv1e9rqj+pf1+8tDOh/c/EvGJgnzR0Ij2aNDKHzclz3rypMwWJlromKZCLCvPqD+re9P73xm17RM/OsXpT1w7yvQ5qyGb7LNhxZmtXddijXUGS1FWWbEyxS5tqIrLNacwOTa92qXl2zSDlNUnsfon22hZsrUk7N3D1N5hWDaeSsVGbjIZM0o1K5AAuV2cYikzSxUDmNloXKKdgb8BbfamSqXm9JaLGVm0bX9h0YB3wMZMpjrKgsCgi17c8OBFyozKZQRAr0c2Q8u7U07PKUnmswMhuid8URsacysadCxp4hHw2ZP4nVylDcuc03FJlECcXKy5hz2/GyHvEtpiRW1lOzKDRoiTcVG0G4WHkZaxYDABcrswmQuZW4GmGenaVRl2fxHGONtSdhEpan6Wlg6jiCNE7ioCiLMkjOT5IwjM7H5SJ2ghP8F8ddFis7ps16mh/TMLF8tqUABxZlOcAGckMUhFBNhl0n+F+matisEczvX2lWC35o7qVZ3BRpLrnZNvNwc5Nk8/t5C9p36/f1r4++1dxF+If6nv2i6R1Rjyi8R/DzYhvGrigGoVqOMEsGbzGXRBEpFw7tN2LtiZL4KxeWpFgVDg4K7Kw8SsK+PV3ti6J4KxfO+qW1mu+mLB4hvHcxt1zOMBctTFNHS1pRcEL4Q0+LsGM6lEWjvn4YtJZSYcR4VnLQjfacjCfJ2UkZBVmp/4D++9KgSPKTQJ2exOMoK9Iwn9zxrz2tD4DWngnVFzg+/9pTEIQQnLDa8/25xLzfM7crasX50Ow5TX82/UlzseI3zG6V2VT6evq2lqFamX6z0ZqRCuH7EiVdoPAuWFtsCmIQoi1BbLZtyQgCiUhO8ISaJIlHySlIQc15iNFI86IfQTtBgijeJGfej6zP201ZPEJU71RyJguJ4mjYKgpOCIJsyQmN6VAWjfr6YdDaJGf7eFZy0ItbDudayzzTHuuWIFGZOmmTVVpPdUuxfSXlBtve1QiyZt2SdT1yXmW0WIQ0dxiauv/mKsO7WhzOPu2Z6w+euSDxielx89iIyeaTT5qbuL9uypQ+m13p3dxU/WB5feIX5jKGT1eaPJovz5o8vtbUH/2kvyiXMc1YzP0MptipF0c9hyxlejfFebeTsiSmiYpkIsK82WGPP9Yfb5vipOYmRVMQ1lyiaDN9l206ciuWoIKhi765FiJ3VCmyFq5IYtqI3ExdV7AyraNsnCL8Z/XdPts6kWqkyzvoWT8sbIbf5BuOTKr0OqMizuBCI661yKxKLTRKLwqNwIaBt/hWI3MrSZlf3lqxO/uAb3ZKNBv9aEC2HvJtVURb0U+H8d/W0rAVgwd8g5E5iz1pgYPFkG80Mo3RCoPgQHGbbykymVEqg9KLyiAwSBzxLaYkOM4DAb10FdvkbiqBsHYe8+1E5jhyvU+6tTRqxdgRz9jmQTg5TyZxOQ7G46gwV7kUQRFO0s01jo2d5+QVDRPLZ5tCO7Ao02gbyA1REMLqHHZ+fa85hvPUrHp2sqb5UnMWZ9bUKg7DZZPR7d707emPlmeJ1PRN5ZjoCrpD4d2Bn23aMHZFMQhLj13MPAVJPG+8CJJ43HgRpKCu/CJGA5rvClJ423OJ875SNr6bsnyEsE6a2rVtuizabaaODqqi4ITIx5+/QIM6lGWjvnsYtrZdl/YBreSgG9FZZEV8mp/lwUmSh0GaTc6D8jQ9CZIyCcvzcjxOJvPQ6lV0QnsyGdUXOD7/olMQhBCdsKLzlys7Kvd79c/rX9cf1b+vPwiaY98fNDXl782ryW3QO6LQCg+9trQUxCAEWIK0hOvIBVFEtGXYt59t3xNF8SguBSmoCQ4zHDaKfVEKb+IyAptc3pQFJMTvTtXlotFl6uhdKgpOCH5sdQmP6lAWjvr2YeDa5GX7iFZy0LOGK3Gaqmg8DnKVR0spGm56TdNaQqPlpbOvjM0XOD7/8lIQhBCesPLy3rwQ6KerJxefBM21RHenP2oWN83CZv27yP7+7ohSKzw1Xl/GYB38rigMIdB2ojIFUURUZtS37p/uiZJ4FJmCFNQ0hxgNSGQKUngTmapfKBveTVk8QgzvVGLmC0Hi6NspCk6IfGyJCY3pUBaN+uZh0NoEZvt4VnLQs3Ymp+okCVP9E2fnJ0FaRmFQjtVJEJ6c6i8UKk3ykzv+BWZq84UWmAXVFzg+/wJTEIQQnLAC80Nzo+X0jfqhKRSfV5RrTfnl/LL6L2ZXYHxotKWNd0eUV+F58dLShrErikEIrQRR2XYqURBISFpCm+OCJB6lpSAFNcEhRgOSloIU3qRlVPQTaxq6KctHCN+dastFf7XU0TFPFJwQANnaEhzUoSwb9d3DsLWJy/YBreSgjbp0icZujyBC65Gliy6/RLfxI4hMe1dDxl+OIF727g7buynOu50cQWSaqEgmIsybHUH82JTG1l9OX8cfRGQCIA91EIQvWA7KtBB5goOiZOGDiEwbV3Wq0EFEpnWUcxoI/0Hak2mdn4OIeQIfROQajkytHR9E5FqLzK3Ug4jlxUHE0nEQkWs1MsOSBDn2/M4B32xk6ur0ICLXVkW0Ff10GP9tLQ1bMXjANxiZs9hzFThYDPlGI9NYhwcRuZYikxnlIGJ5cRARDBJHfIspCY7zQDgOIjJN9n4QkWsnMseRDyKWW0ujVowd8Yw11p6kJ2EcheOgGJ+nQZqlWXASjcvg/HScnUZJGubj8YwHnB471ge4U2ToIKIKaZhYPu97KpIghEU57Cz7ck34t2ZT3J75sp5gz/qN3dVz6dnUuKne+VR/8rppC9xMij9tugI37cbMn/hyPuue9zWzuWlH1E0K7yb8XNSGsSuKQViJJMxIwfoeSRSRTZiwb7/qfk8Uxd8ujCQFdSUYMxw2in1RCm+7MAVcRC7KRwj4pElfyy6MCueL9rPf2MAPZMEJsY89swEHdSjLRn33MGwtuzCIAa3koK9uiU8CHVFUEdUXOD7/clQQhBCdsHJ07RIfSV6F511bVwpiEGIrQVe2lPhIAomoS7DER5LEo7gUpKAmOMRoQOJSkMKbuHSU+IjyEcJ3p+IyWmgRRzdVUXBCAGSLS0eJjygb9d3DsLWJy/YBreSgr+4BxQQqCFIx1Rc4Pv/iUhCEEJ2w4rKjA4qS1ApPjZeYrgOKkjCEOEsQmvACpiCKkMQEDihKkniUmIIU1DSHGA1IYgpSeJOY8AFFUTxCDO9UYS467ylHJ0VRcELkYytM+ICiKBr1zcOgtQnM9vGs5KCv7q2+CXRAUSVUX+D4/AtMQRBCcMILTNlbfSXdofDuwCtPG8auKAYh8hI0J1TGLUkiJDmhVU1BEo+SU5CCmvgQowFJTkEKb5LTcauvKB8hrHeqORet95SjlaIoOCHysTWn41ZfUTbqu4dhaxOd7QNayUH7PbgIycjUSZeu0m364CLX3tWQ8ZeDi5e9u8P2borzbhcHF7kmKpKJCPNM28TlmE/f0t422+OP++YAozm4qKwLf7tsAOQhkC4UL9NC5IkPipIFDy5ybUSe9VhXozKto5zrQPgP0p5M67wcXIzKrF9az/ze5BuOTK3dHlxkW4vMrcSDi+qig6JydFBkW43MsCRBjj3vc8A3OyWajX404IOLbFsV0Vb002H8t7U0bMXgAd9gZM7iz1UiLRatwWLINxqZxro7uMi2FJnMCAcX1UUHRThIHPEtpiQ4zgMBH1zkmuz74CLbTmSOox5cVKaDoj0wjHjGNtaiCn8MDzg9dqwPcKfI4MFFRcPE8vnfaxEEISzKYWfZ61eKC/IqPC9+UmnD2BXFICwpEqaWbZXigkCe91QESTzuqQhSUNd1EaMBzWsFKbztqbgqxSX5COGbNIVr21NZNNZTjk6JouCEAMiep7gqxSXZqO8ehq1tT6V9QCs56KvbKTEFjyFmVF/g+PyLS0EQQnTCistuOiVKQis89NoKUxCDEGAJChMuERdEEdGWcKdESRSP4lKQgprgMMNho9gXpfAnLh2dEkUBCfG7U3W56KunHJ0SRcEJwY+vLh2dEkXhqG8fBq5NXraPaCUHPbt0LVRafhaTIMtOJ0E6VllQ5pkKTss4naSn4UlxMs8TXuWltWBGy0tnUx+bL3B8/uWlIAghPGHlpa1CqP60flh/Pb3bKM7707fn17DV/9zcovaG/vVD/evV2bf11+bHFJsbsj+s363fC+p7jSb9oP6V/viH+qPtXhJCUmhH1GUK7zK8OHWeYhSEIUTpTiSqIIqIRIUWPwU5POpTQQpqhkSMBaRPBSm86dO8r6xXpN6UxSOE/07V6aIpn3I0WRQFJ8Q9tjot+omyoQ1l0ahvHgatTZu2j2clB+23nNw6pFptFk46tUq38XJypr3IYrd1xOL/DuXkTO+mOO92Uk7ONFGRTESYt2iBsygj/9Mbv3EVkTPNRhbkEUQuWETOtHBVv4oWkTNtRNbdratLmdZRauwQ/oP0JtM6P0XkRQIXkXMNRybUjovIudYiMyq1iLy4KCIHm/3d4luNzKskFY6tvTzgm41MWJ0WkXNtVURb0U+H8d/W0rAVgwd8g5E5iz1BicoSLiLnGo1MYx0WkXMtRSYzShF5cVFEDgaJI77FlATHeSAcReRMk70XkXPtROY4chF5sbU0asXYEc/YxlpUTZDhASfFjlUB7sQYLCIvaZhYPv8bMYIghJU47Nx6/SJyQV6F58VPJW0Yu6IYhHVEwtSyrYhcEEhmFwUsIhck8biPIkhBXc1FjAY0rxWk8LaP4ioil+QjhG/SFK5tI6VcLLyDzRYPZMEJAZA/T3EUkUuyUd89DFvbTkr7gFZy0I24zFV6MlFnRaBOoyRI0zIMxtk4Cs5PytM8nOjvnqg7/sWldbX1epSFVF/g+LyLS0kQQnTCiktLEfkn+refzS4c/6x+OL3bXDtuuis+bHonMrormn2Yv6r/pflJ843H5vNeFPZMhYmjNl3Slwrvy3WFqyQGIW4ThCtY+COJIiJZ4f6Lkij+NKskBTVvYobDRrEvSuFNszr6L4ryEbJCl5o1W7Tryxz9F0XBCbGPrVkd/RdF2ajvHoatRbMiBrSSg766lekKqkzP3O2CLL7A8fnXrIIghOiE1axXoTJd0mUK7zK8NHVVpkvCEIJ0JwJVEEVEoAIrqpIcHtWpIAU1QyLGAlKnghTe1ClcmS6KRwj/nYrTRbu/zNG/URScEPf44hSsTBdFo755GLQ2bdo+npUctN/K9MxGp9Vm7KTLVuk2XZnOtRdZQbeOWPzfoDKd690U590uKtO5JiqSiQjzZgXpemh/MluQrh+YK85NWXW+3es116A3P/JJoJ+Rn9pgdtkwyNo/gvSF6tW5FiIL/QiKFq5X59qILPFbV60yraOU8yH8B6lQpnVe6tXjIuuH1vK4m3zDkWm223p1trXIPEusV8/iZb16BjYWvMW3GpltSdocW+Z5wDcbmca6rFdn26qItqKfDuO/raVhKwYP+AYjcxZ72gIHiyHfaGQa665enW0pMpkR6tWXQeK2I0gc8S2mJDjOAwHXq3NN9l2vzrYTmeOo9er6iVgatWLsiGdsYy2q/MjwgFNlx1oBd7oM1atnCQ0Ty+d/e0YQhLA+h51xr12vLsmr8Lz4CaYNY1cUg7C6SJhattSrSwLJ7K1A9eqSJB53VwQpqGu8iNGA5rWCFN52Vxz16qJ8hPBNmsK1ba8s+o5mjkayouCEAMiepzjq1UXZqO8ehq1tf6V9QCs56EZcnsVpqqLxOMhVHi2bzoYrTWe9i0urhtbiMqX6AsfnX1wKghCiE1Zc3pvv0fy0N/1h/cB80mysNNXqXzff+VGzX9NU92iFCUlMQWqFp8ZLTGf5jiAMIc4ShCZcviOIIiQxrQtZe6IkHiWmIAU1zSFGA5KYghTeJKbqF8qGd1MWjxDDO1WY6UKQgF0cD2TBCZGPrTChMR3KolHfPAxam8BsH89KDvrqdtXJwOJyRfUFjs+/wBQEIQQnrMDspquOJLTCQ+P1pQ1jVxSDEF87UZaCKCLKEu6qI4niUVoKUlATHGY4bBT7ohTepKWrq44oICF+dyouFy3+MkfPRlFwQvBji0tXVx1ROOrbh4Frk5ftI1rJQTfyMjo5TyZxOQ7G46hYStF00+uXqc0XWl5mVF/g+PzLS0EQQnjCyst79QMtLZ8qQv/S3Jo9+1L9lf68Ob3Yi8NQCxmzT/443u41++cP6i+aP6embypHXbigOxTeHWsLT0EMQuwlCE+wLFuQRER3wpvmgiQeZacgBTXxIUYDkp2CFN5kZ5z3532UL6tOST5CWO9UdS46/2WOXo6i4ITIx1ad4KAOZdmo7x6GrU10tg9oJQft91BibqPTMjJ30uWrdBs/lMi0dzVk/OVQ4mXv7rC9m+K828mhRKaJimQiwrx5l5zlScReML+NZN5GZ/q6DWCXDYA81NGF4mVaiDzBQVGy8EFEpo3IsxvralSmdZRzGgj/QdqTaZ2fg4h5Ah9E5BqOTK0dH0TkWovMrdSDiPnFQUSwO+AtvtXIDEsS5NjzOwd8s5Gpq9ODiFxbFdFW9NNh/Le1NGzF4AHfYGTOWmOuAgWLId9oZBrr8CAi11JkMqMcRMwvDiKCQeKIbzElwXEeCMdBRKbJ3g8icu1E5jjyQcR8a2nUirEjnrGNtai6csMDTo8d6wPcKTJ4ELGgYWL5/O+1CIIQFuWws+z1DyIK8io8L35SacPYFcUgLCkSppZtBxEFgTzvqQiSeNxTEaSgrusiRgOa1wpSeNtTcR1ElOQjhG/SFK5tT6VYLMGDfRoPZMEJAZA9T3EdRJRko757GLa2PZX2Aa3koK/uQcQcPIhYUn2B4/MvLgVBCNEJKy67OogoSK3w1HiJ6TyIKAhDiLMEoQmXiwuiCElM60LWniiJR4kpSEFNc4jRgCSmIIU3iek4iCiJR4jhnSrMRSe/zNGaURScEPnYCtNxEFESjfrmYdDaBGb7eFZy0Fe3M2MOHUTMQ6ovcHzeBaYkCCE4YQXmle7MKOlLhfclXrbaMHZFMQhhuwvBKokiIljhzoySKP4UqyQFNW9ihsNGsS9K4U2xOjozivIRskKXkjVfNPLLHZ0ZRcEJsY8tWR2dGUXZqO8ehq1FsyIGtJKDvrqnG3PodGPu7gRk8QWOz79mFQQhRCesZpU+3SjpDoV3x9qyUxCDEHoJshOq9ZYkEVGd4E68JIlH0SlIQU18iNGARKcghTfR6TjdKMpHCOudis5Fh77c0XFRFJwQ+dii03G6UZSN+u5h2NpEZ/uAVnLQfk83WrfOtIyMnXTFKt2mTzdy7V0NGX853XjZuzts76Y473ZxupFroiKZiDBvcarRZuYu20zkeZAudC3TQuThD4peBc8wcm1EHvtYV4kyraMc8UD4D1KYTOv8nGFUcb+E1iu5hiMTaLdnGNnWIjMo8QxjftFMMXc0U2RbjcyjJNmNPfpzwDcbmaC6PMPItlURbUU/HcZ/W0vDVgwe8A1G5iz+jAQMFkO+0cg01t0ZRralyGRGOMOYXzRThIPEEd9iSoLjPBDwGUauyb7PMLLtROY46hnG3DRTtAeGEc9YY+0ZqmLI8ICTYMcqAHciDJ1hzBMaJpbP/46KIAhh6Q07l+6ozFySWuGp8RPIOARn4ruiNIRVRMI8Ey7bEUQR2kAB6swlSTxuoAhSUBdxEaMBTW8FKbxtoMB15qJ4hCBOmsi17Z8sOvDljpaKouCEyMeercB15qJo1DcPg9a2fdI+npUc9NWtMy+gg4x5SvUFjs+/whQEIQQnrMK82nXmgr5UeF/idasNY1cUgxC2OxGsgigigtVRZy6I4lGxClJQ8yZmOGwU+6IU3hSrq85cko+QFTqVrIuefrmjR6MoOCH2sSWrq85cko367mHY2jRr+4BWctBXt868AM9GKqovcHz+NasgCCE6YTWreJ25oDsU3h1ry05BDELoJchOsB5HkEREdcJ15oIkHkWnIAU18SFGAxKdghTeRKerzlySjxDWOxWdi05/uaN3oyg4IfKxRaerzlySjfruYdjaRGf7gFZy0Pp//2DI0xm4EV1/7xKX3dadlzZaLSszF22sVmk91Z2n9qXbG2x7V0PImnXnv5i+NX1VC8BPmhXITxop+LB+8HTt+Tql47P2LE+mP14pb3/QLIk2f/rr2Zqn/hveNF9q/uGHq4XnsavGnOnJFOfJTmrMmSYqkokI82Y15knY0y6O9Rw9garNmQYjK/e6ULdMC5FlehTVClebM21EFuitq0eZ1lGK8RD+y1Vq1/37bAu9VJznYT+1LnHc5NuNzJz0gvMkLuGCc661yNRJLTjPLgrOwR6Bt/hWIxMoSX9f2rJPokirlcxm+gHfdGTGohedx2kRlgVQE33IN1gRDUY/JsaJW0vDVgwe8A1G5i/2HAUMGkO+zciMRis8hwPGbb6lyLxGKTzPLgrPwWBxxLeYkus4z4MrUFRss2WKz51B4phvLDLpkSvQs62lUSvGjnjGNoo8Uuf5WZoESTmJgjTJsmBcnpVBfDJJztIoPNWfzXjA6bBjfYA7JQYr0J3Ngi5jYvlsE2cHFmXybAO5IQpCWJTDzqr/l57V6qlu/ajZVmn2XJ6tRL8/fdsGuiMKqvCg+BmlDWNXFGM1RzswCPNMuHhHEEVkG8U6Yd4T5fC4iSJIQV3IRYxFpEKgeHNfFMXfTkoCl+9I8hGCNmkmd0lIrOyk5IuFd7BV44EsOCH6sWcp4KAOZdmoLyCGzTmgQ8yAVnLQjaTMxuPiJDkpgzxL0iANz8tgrE71hzCOTieJ/osW82ivktIatbSkdPYRsvkCx+dfUgqCEKITVlL+s6kWn7W5b+72qR9N356+quWkaco42y659W+S+nHz21hN34yVa89EEF7h4deWmYIYhECLl5lmI8yG8oIoiojMDO0FfnuiJB6FpiAFNc8hRiOOs35sHZB9URRvQjPJ+6Gy8d2U5SOE8k6F5qKnX+5o0igKToh/bKEJDupQlo36AmLY2oRm+4BWctAzoXlehNn5WRicx+F5kJ5mZVCclWVwOpmkYZacj8N0nim8Ck1r1NJCsyT7AsXnX2gKghCiE1ZoXj7baD5tioNmBxrvz2p/jPDs1e/X79T36o/qd+vf6V8fLJToMFBRr37H5pAdUYcovEPWFp+CGITgixefjjVOQRQh8QkeUBRE8ag+BSmoyQ8xHFGU9CP7iOyLsniTn0XRL6B1Tkk+QoDvVH4uOv7ljg6OouCECMiWn+CgDmXZqG8ghq1NfrYPaCUH7fdm8sg6ptej+VgDeNoxK3ibLhHn2rsaM/5SIs71ZIrzZBcl4lwTFclEhHnYEnGuwcgSO4KshUrEuRauKlbJEnGujchSujVlKNc6Stkcwn+OEnGuhV5KxIsULBFn241Mnd2WiLOtRaZOYol4ES5LxAuwu98tvtXIBEoS3KvuzpIsK/oZUCLONh2ZsTovEWcbrIgGox8T48StpWErBg/4BiPzF3tSYtbErcFuyLcZmdG6KxFnW4rMa4QS8WWwuO0IFkd8iym5jvM8xHkZlv04tZldsc3eSIk421hk0qOWiOtHY2nUirEjnrFXdpslCqEa8cLdjuwSJxbQ+z6LJAhhGQ47rZbfZ5F0iMI7BD/1tGHsimIQVhkJE1Jwn0USxfM+iySKv30WSQrqKi9iOJz7LJIsV2GfRZSPEOBJ076WfZZi0TC0cHSAFQUnRED2lMaxzyLKRn0DMWwt+yyIAa3koK9uPbnWn0BBeRGTnYEC9K8/BUEI4QmrP7stKJeEV3j4tbWmIAYh0uK1JlxQLokipDWta+V7oiQepaYgBTXRIUbDVVAuieJNaToKykX5CKG8U6UZL4QJ2KDxQBacEP/YStNRUC7KRn0BMWxtSrN9QCs56EZpTqKTJElP8+BUnUZalaZxME5VFJyP07hUp/n4PJu/zX6VpjVsaaWZUJ2BA/SvNAVBCOEJqzQtt2G8UT9smtz8eN4Y53j36Oj6zqD319cPn/+7ncH14971W7d6w9HRcFDt9mxe2BH1gsJ7YW3JKYhBCLl4yelY3hREEZGcwH3jkhweBacgBTXfIcbCVeQjSOJNb2ZwoxtRPkJA71RvLnr5FY7ejKLghODH1ptR3FeFjW0oy0Z9/zBsbXqzfUArOWjPFeTQXnnqwivCVbyNV5Az7V2NGX+pIOd6MsV5spMKcqaJimQiwjx0BTnTYGQFHkHRghXkTAuR9XYEoeqoIGfaiKy0W1eEMq2jVNUh/OcSl0wLvVSQZ6pfWFczbvLtRqbOjivIudYiUye1gjy9qCAH+/bd4luNTKAkwb3q7rTM0rifWh1+wDc9JZqOfjzaKsi5BiuiwejHxDhxa2nYisEDvsHI/MWelKR5P4QmJVybkRmtwwpyrqXIvEapIE8vKsjBYHHEt5iS6zjPQ6JUmGhBZjO7Ypu9mQpyrrHIpEeuIE+3lkatGDviGdsIXFS1j+EB58OOBQH2nBisIFc0Tiyg/30VQRDCMhx2Wu2hglzQIQrvEPzU04axK4pBWGUkTEjhLRZBFJEtFkcFuSCKx10WQQrqKi9iONwV5IIs3vZZXBXkknyEAE+a9rXtsyxagRaO3q6i4IQIyJ7SuCrIJdmobyCGrW2fpX1AKznoK1xBHoEV5BnZGShA//pTEIQQnrD6s+MKckF4hYdfW2sKYhAiLV5rOirIBVGEtKZ1jWNPlMSj1BSkoCY6xGg4K8gFUbwpTVcFuSQfIZR3qjSzhTABOy0eyIIT4h9baboqyCXZqC8ghq1NabYPaCUH3SjN8zNVlpPTPDgfn5wF6cnkNDiJoyQoyjI8m2SZOjtXdzagNK1hSyvNnOoMHKB/pSkIQghPWKV5uYK8qeh5VD80PRWN5myqyKd3p6/rb5jFz9UC8/pf6vfrd+t7+tf79XvfMoq0/thUGDWtGI1UHQ6T/G+hUnNBdym8u9bWpoIYhNiM16aOdVBBFBFtGvWtW7J7oiQetakgBTU1YkYjUXk/sY7IviiLN3HqaMwoykeI/p2K00Ufv8LRmFEUnBAA2eLUVW4uyUZ9AzFsbeK0fUArOWjP5ebQwqazHVARreJtvNycae9qzPhLuTnXkynOk52UmzNNVCQTEeY13n7cD7TK/9Mbv4n19N0aInfZFiPr9QiyFqw3Z1q4qlhF682ZNiLr8tbVoUzrKDV4CP9ZfbfPts5LrblS8HIm125k3uy41pxrLTJvUmvNi4tac7D33y2+1cjsSVLbl3dW7M4+4JuNTFX0OnPI1kO+rYpoK/rpMP7bWhq2YvCAbzAyZbEnImCsGPJtRiaxDkvMuZYiUxmlxLy4KDEHY8QR32JKeuM8D9A7V7FNlikvh+w85tuJTHHkyvJia2nUirEjnrGNUIzGExXH54GaRGM9/c2ioDwZR0Ge5afhOAqLLDmb8YBTX8fcnz39BSvLSxonFtD/fosgCGHFDTuDvlxZrv/zRM+W9WQ20P95OL0732e5q2fWT5qJb7PL8qme2r5ef2xKgswU2kyUzUT7STMD/7KZHn/STJQf6p/e/f8NB0fHvZPx9ya9+ndmHj79sakiqh/ZnLgj6kSFdyJ+ZmrD2BXFICxCEqar8C6MIIrILgzQBWFPlMTjLowgBXUNGDMaNop9UQpv+y9RGgOn2G7KAhLSAWlK2LYBs2gwWjg6xoqCE2Ife94Dj+pQFo769mHg2nZg2ke0koOelQeVSk2S0ySIVHESRNGkCIrwrAzCUIUqK4qoVHMZ51euAvs18yeD4AwcoHe5KglCiE9Yufq+kZRarGqZajZzHmt1+WqjNO9fKNN7TZ3Q19O39ReMoI1UCG+/SPIrPP+6SlMSgxBtCUrTbOV82u/Zx+UFUSARvQmoTUkOf2pTkoKa7xBjAahNSQpvajMHi31E8QixvEutWYZzZVKCDR0PZMEJ0Y+tNaExHcqiUd88DFqL0kSMZyUHfYWPPMZQIXrp7CBkcwYO0L/SFAQhRCes0uz2yKMkvMLDry0zBTEIgRYvM+Ejj5IoIgITPPIoSeJRYgpSUBMdZjRsFPuiFN4kpuO0oygfIYp3qjEXjfxKR2dGUXBC6GNrTMdpR1E26ruHYWsTme0DWslBNyLzJCrGWVaeBkrpP5COk5OgNBXoRZpMzidlEp4np3c2IDJTmzO0yIypzsAB+heZgiCE8IQVmZbTjp/WD+uvp3dni5rTt+dS8+IE4/zzf2521t/Qv35oWwNtCtc/rN+t3wuaq+DeqT+of6U//qH+aLuXhNA+746oAxXegWsLVUEMQrTGC1V4510SRUSogucfJUk8ClVBCmqyRIwGJFQFKbwJVfCQ3E1ZPkIm6FSoLvoAlo7GjqLghNDHFqqOk4+ibNR3D8PWJlTbB7SSg/Z88tG6eqGlZ+LEi1fxNn3ykWvvasz4y8lHridTnCe7OPnINVGRTESYNz/56D71yLUWeYSEIGahU49cC5EHRigaFTz1yLUReVRkXfXJtI5yLAThP0hVMq3zcuqx1FE9tdl9k283Mmd2e+qRbS0yZxJPPZbJ8tRjCTYMvMW3Gpk5SUobe1rogG82Mk11eeqRbasi2op+Ooz/tpaGrRg84BuMTFnsSUia9kNrDhvybUYmse5OPbItRaYywqnHZYy47YgRR3yLKemN8zzApx65Jvs+9ci2E5niqKce9ROxNGrF2BHP2EbKou4+NzzgtNcx72dPfaFTj2VK48QC+t93EQRZzf+uAULOnuX76Ug6ROEdgp9h2jB2RTEIi4mEqSe8jyKIIrKPAvfTkUTxuJEiSEFdzMUMh41iX5TC20aKo5OOKB8htJOmd20bKeli3R1s8nggC06Ifew5jKOTjigb9d3DsLVtpLQPaCUHfYUPMCbgAUZFdQYO0L/yFAQhhCes8uz+AKMgv8Lzry00BTEIwZYgNNsOMAoCichN6ACjIIdHrSlIQc13iLGAtKYghTet6TjAKIlHiOWdSs1Fj7/S0bRRFJwQ/dhS03GAURKN+uZh0NqUZvt4VnLQV/gAYwIeYMyozsAB+leagiCE6IRVmh0fYBSEV3j4tWWmIAYh0OJlpuMAoyCKiMCEDzAKkniUmIIU1ESHGQ0bxb4ohTeJ6TrAKMlHiOKdasxFd7/S0a5RFJwQ+tga03WAUZKN+u5h2NpEZvuAVnLQjcicRCdJkp7mwak6jYL0NI2Dcaqi4HycxqU6zcfn2fxt9isyU5sztMjMqc7AAfoXmYIghPCEFZmXDzBe6sd4vHt0dH1n0Pvr64fP/93O4Ppx7/qtW73h6Gg4qHZ7Ni/siHpB4b2wttoUxCCEXLzadOyeC6KIqE1oOVOQw6PWFKSg5jvEWEBaU5DCm9bMoJK7m7J8hGDeqdZcNOsrHd0XRcEJgY+tNV1nECXZqO8ehq1Na7YPaCUH7fkMIqQe3U02klW8jZ9BZNq7GjP+cgaR68kU58lOziAyTVQkExHm4c4gMq1FHuggSFnwDCLTwlWVKnoGkWkj8uDGuuqTaR3lkAbCf5CqZFrn5QxipvqFNQnd5NuNzJkdn0HkWovMmdQziBedF0tH50W21cjMSVLa2LM7B3yzkWmq0zOIXFsV0Vb002H8t7U0bMXgAd9gZMpiT0LSvB9CkxCuzcgk1uEZRK6lyFRGOYN40XkRjhFHfIsp6Y3zPDjOIDJN9n4GkWsnMsWRzyCazov2uDDiGdtIWVTVuOEBp72OeT976gueQSxpnFhA/1sngiCE1Tbs7NnDGURBhyi8Q/AzTBvGrigGYTGRMPWEd1EEUUR2URxnEAVRPG6kCFJQF3Mxw2Gj2Bel8LaR4jqDKMlHCO2k6V3bRsqi517p6KIoCk6Ifew5jOsMoiQb9d3DsLVtpLQPaCUHfYUrw4FtjOvxfJpAcQYK0LfyFAUhhCes8uy0MlwUXuHh11SZohiESItXmWBluCiKkMpMbCR7oiTeRKYoBTXRYUbDRrEvSuFNZMKV4bJ8hCjeocjUTDNNMv+NDfxAFpwQ+tgiE64Ml2WjvnsYNrfIxAxoJQc9u+jiTJXl5DQPzscnZ0FqLhY/iaMkKMoyPJtkmTo7V3c2IDKtKUSLTHefH4szcID+RaYgCCE8YUWmpbXN143qfKilpLnfYlYdPr07fV1/w6x4rhaO1/9Sv1+/W9/Tv96v3/uWEaMXbXAalTocJvnf9mzu2hF1l8K7a21ZKohBiM14WQoufoqiiMhSqJGNKIlHWSpIQU2NiNGAZKkghTdZGidQEbksHyHudypLo4WKgTsuyoITQh9blsJF5LJs1HcPw9YmS9sHtJKD9lxErmx4WmjGTrx0FW/DReRse5GlcFid+OdfRM72ZIrzZAdF5GwTFclEhHmzInLtbe3TP73xG1MDndtM3mWbjCzLIyhaoJKcbSGyCI8iVKFKcraNyPK7dSUo0zpKqR3Cf5C0ZFrnpZI8z6FuNny7kYmz00pyvrXIxEmrJNfmLCrJ9W/BSnK+1cj0SZLb2ArMA77ZyFzVYSU531ZFtBX9dBj/bS0NWzF4wDcYmbLYMxEwVgz5NiOTWGeV5HxLkakMX0l+ESNuO2LEEd9iSnrjPA9gJTnbZM+V5Hw7kSmOWElunoilUSvGjnjGNlIWVftjeMC5r2Pyz57/ApXkcZjQOLGA/rdaBEEIS27YKbR4JbmoQxTeIfhppg1jVxSDsKJImHrCmymCKCKbKWAluSiKx90UQQrqii5mOGwU+6IU3nZT4EpyWT5CaCdN79p2U5LF4jvYWfFAFpwQ+9hzGLiSXJaN+u5h2Np2U9oHtJKDvsLdbBRYSZ5SnYED9K88BUEI4QmrPLvuZiPKr/D8awtNQQxCsCUITXc3G1EgEblpv/5RlMOj1hSkoOY7xFhAWlOQwpvWBLvZyOIRYnmnUjNdKBO4caIsOCH6saUm2M1GFo365mHQ2pRm+3hWctBX+MyiAsvJFdUZOED/SlMQhBCdsEqz4zOLgvAKD7+2zBTEIARavMx0nFkURBERmPCZRUESjxJTkIKa6DCjYaPYF6XwJjFdZxYl+QhRvFONqRaaBO6YKAtOCH1sjek6syjJRn33MGxtIrN9QCs56EZkqkh/epYmQVJOoiBNsiwYl1qQxieT5CyNwlP92Z0NiMzU5gwtMjOqM3CA/kWmIAghPGFFpqWbzQ/1bx/PVzmbBU0b6I4oqMKDri0oBTEIURUvKB0b5IIoIoLSurWxJ8rhUU4KUlBTGmIsIDkpSOFNTrrOGkryEeJ1p3IyW6gPuDmiLDgh8LHlJDioQ1k26ruHYWuTk+0DWslBez5rmNnwtEDMnXhqFW/jZw2Z9q7GjL+cNeR6MsV5spOzhkwTFclEhHmEs4ZMk5EHNwh6FjxryLQQeUwDL1NdZw2ZNiIPaKwrQZnWUQ5jIPwHSUumdV7OGpYRfNaQazcycXZ81pBrLTJxUs8a5hdnDcHue7f4ViPTJ0luY8/oHPDNRuaqTs8acm1VRFvRT4fx39bSsBWDB3yDkSmLPRNJ0779HNSQbzMyiXV41pBrKTKVUc4a5hdnDcEYccS3mJLeOM+D46wh02TvZw25diJTHPmsYb61NGrF2BHP2EbKoqrDDQ8493VM/tnzX/Csobs7zyVOLKD/LRJBEMKSG3YK7eGsoaBDFN4h+GmmDWNXFIOwokiYesJbKYIoq6ndgYKfozrOGgqieNxNEaSgruhihsNGsS9K4W03xXXWUJKPENpJ07u23ZRisfgOdlA8kAUnxD72HMZ11lCSjfruYdjadlPaB7SSg77CZw0z8KxhSXUGDtC/8hQEIYQnrPLs/qyhIL/C868tNAUxCMGWIDTbzhoKAonITeisoSCHR60pSEHNd4ixgLSmIIU3rek4ayiJR4jlnUrNcqFM4AaJsuCE6MeWmo6zhpJo1DcPg9amNNvHs5KDvsJnDTPorGEUUp2BA/SuNCVBCNEJqzS7PWsoCa/w8OvKTEkMQqDFy0z4rKEkiojABM8aSpL4k5iSFNREhxkNG8W+KIU3iek4ayjKR4jiXWrMaNFOL3L0RxQFJ4Q+tsZ0nDUUZaO+exi2FpGJGNBKDroRmZPoJEnS0zw4VadRkJ6mcTBOVRScj9O4VKf5+Dybv81+RWZqc4YWme6uPBZn4AD9i0xBEEJ4wopMy1nD1QaIx7tHR9d3Br2/vn74/N/tDK4f967futUbjo6Gg2q3Z/PCjqgXFN4La6tNQQxCyMWrTXj3XBJFRG0Cy5mSHB61piAFNd8hxgLSmoIU3rRmBpXc3ZTlIwTzTrXmokde5Gh6KApOCHxsreloeijKRn33MGxtWrN9QCs5aM8HEa3lplo9xk68bBVv0wcRufauxoy/HETkejLFebKLg4hcExXJRIR5+IOIXJORpzoIehY6iMi1EHmGgyBT4YOIXBuRpzfWlaBM6ygnNRD+g6Ql0zovBxHzuF+kNrtv8u1GJs5uDyKyrUUmTuJBxOii6WHkaHrIthqZPklyG3uA54BvNjJXdXkQkW2rItqKfjqM/7aWhq0YPOAbjExZ7JmISvshNBPh2oxMYt0dRGRbikxlhIOI0UXTQzhGHPEtpqQ3zvMAH0Tkmuz7ICLbTmSKox5EjEzTQ3tcGPGMbaQsqnTc8IBzX8fknz3/hQ4iRgmNEwvof/9EEISw5IadQssfRJR0iMI7BD/NtGHsimIQVhQJU094K0UQRWQrBT6IKInicTdFkIK6oosZDhvFviiFt90Ux0FEUT5CaCdN79p2UxY98iJH00NRcELsY89hHAcRRdmo7x6GrW03pX1AKznoK3wQMYcOIprlCZozcID+lacgCCE8YZVn5wcRJfkVnn9toSmIQQi2BKHZchBREkhEbkKVO4IcHrWmIAU13yHGAtKaghTetCZ8EFEUjxDLO5WaiyZ5kaPpoSg4IfqxpSZ8EFEUjfrmYdDalGb7eFZy0Ff4IGIOHkRUVGfgAP0rTUEQQnTCKs2ODyIKwis8/NoyUxCDEGjxMtNxEFEQRURgwgcRBUk8SkxBCmqiw4yGjWJflMKbxHQdRJTkI0TxTjXmokde5Gh6KApOCH1sjek6iCjJRn33MGxtIrN9QCs56Nly5pkqy8lpHpyPT86C9GRyGpzEURIUZRmeTbJMnZ2rOxsQmanNGVpkZlRn4AD9i0xBEEJ4worMywcRm3WxR/XDpmT51fmS5vTu9HX9DbO3vnpOsf6X+v363fqe/vV+/d63jBitPzbF6k2/RKNSh8Mk/9uezV07ou5SeHetLUsFMQixGS9LHdvsgigisjTqWwv99kRJPMpSQQpqakSMBiRLBSm8yVJH80RRPkLc71SWLnrtRY7miaLghNDHlqWuM4uSbNR3D8PWJkvbB7SSg9b/+4enQqcWgs/9vUt+dnyG0TrGWnjmLtw4X8X1dIaxsAvlG2x7V2PImmcYP9Qi8TOzQPlUCSZwrFBLw/fqn89PFy6OOM5OKv5Sf+f97Z7+235Zfzj7WuxYwmSipzj0Tg4dMk1UJBMR5tUf1L81pw17hTkK+lovyvph3o/DWPV7M9Gvh+wp0f+x/sLnszoGo+k/mQ3m434v6oeJNeftsmGRZz8IYhY8rsi0EHnSg6JR4eOKTBuRZzzWVZ9M6yjnORD+y7N+ZjNwn22gyInFS/l3/4Xdo6PB0TwDV6ODb2jFVGzrD6X+EIffNDHPQJh8vB1aU/JNPiMypdJPN2aJ43Qj11pkSqWebrxosxg52iyyrUYm1i6EuYG5tu/AOOBjIJNk+2lHwHZj9rVnBwKiOORTKCIF+jkynt1aGrZi8IBvMDIXomc3iAhUmQhUmQhUISPQkM+HzKS0M5Nw9LnNtxSZTylnJi+aN8Kv7BHfYkqOZT07y3mjO+pUbIRuzlC2R5zFAEAEx3wCZIoln640bR7t0WbEM7aZZkTqPD9LkyApJ1GQJlkWjMuzMohPJslZGoWn+rMZDzgrdyxTsGfm4OlKZ+ehy5xYQNv83cFFmcPbQG6IghAWB7GTe8vtlD/Uv308L31v9n1soDuioAoPSpgn/356t7kV6RNzx1Kv/nn9Tv3bxWZWb7iThL2Dv7Wx7oqyEhY+CdNkeM9HEEVkz8c6398T5fC44yNIQV11RoyFtsp+SGlflMTnrk9S2vhuyvIRAnsXk8vlFHPREzByNHkUBScEP/S86NKg5v1C2diGsmzU9w/D1rbr0z6glRx0ozvTIjwvT9MsSAuVBGmu/8D4NAmDJA3P8nhyHqbJ/G32qzutYUvrzpLqDBygf90pCEIIT1jd6ax4bwqLFiVIT5o7MZ86eGl+ZFYHf03/fxKGrhOXgl5ReK/gRaoNY1cUgxCC8frTUQoviCKiP+FSeEESjwpUkIKaARGjEcf90rq9vy9K4k2B5mk/saaqm7J8hBDfqQJd9AqMHL0fRcEJ4Y+tQMFBHcqyUd8/DFubAm0f0EoO+grfK1dAZy7jkOoMHKB3BSoJQghPWAUqf6+cpEMU3iHrik9JDEL0xYtPePFTEkVIfEL3ykmi+FOfkhTU7IcYjijqp9b1wX1REm/qswz7sVVd35TlI4T3LtVnvGgiGDu6QoqCE+IfW3067pYTZaO+fxi2FvWJGNBKDtpzpx5rINJ60t2I6BLepqvcufYii/GwcnATVe5c9BSH3kWVO9dERTIRYZ6lkv3y+VRULTsXCVm/R9CpUC0710JkBR5efjpq2bk2Imvv1tWVTOsodXYI/8G17FwDN1fLHsemjD2ZF5HGkbOMnY2HzJndlrGzrUXmTGIZexwty9hjsOPgLb7VyMzZhdI2MNf2HRgHfAxkFlyjjF3b/uxAwGXsbApFpEA/R8azW0vDVgwe8A1GpkH0dAURfCoTfCpk8Bny0ZD5s7sKdralyCxKqGBfBp3bjrf1iG8xJbOyHpvlHNAdcCo2gnAF+zLYLAYArmBnEyCzK7WCXT87S6NWjB3xjL26+zglVMEexzROLKD/fRxBEMJCH3bi7mEfR9AhCu8Q/FzZhrErikFYxyTMj+F9HEEU3/s4gige93EEKajryIjhcO3jCJJciX0cST5CeO9idrmcY8aLZX+wX+WBLDgh/qEnRpR9HEk26vuHYWvbx2kf0EoO+gqfnyyhOvY4oToDB+hffQqCEMITVn3yz09Kgio8KF5VXj4/+Wstp586Pxn3/taGuiuKSoi8nShPQRQR5WmNF3uiHB5lpyAFNe0hxiKCj09KkniTnY7jk6J8hLjeqexcdDKMHa0pRcEJwY8tO5O4n1iXvIaybNT3D8PWJjvbB7SSg/ZbPhRbpxJaSKZOvGIVb+PlQ0x7V2PGn2P5EBM9xaF3Uj7ENFGRTESYZ7sI03b7PbKEiImF3DslCFWwhIhpIXILFK8/XSVETBuRm5/rakumdZSNToT/HCVETAM3WEKkTAlRttjFT90lRFw8ZN7suISIay0yb1JLiNKLEiKw+eEtvtXI7NmF2jYw1/YdGAd8jJSIwdjVT689OxCOEiIuhSJSoJ8j49mtpWErBg/4BiPTIHrKggg+lQk+FTL4DPloyPzZYQkR11JkFqWUEKUXJUTg23rEt5iSWVmPzXIe6A44FRtBuoQovfbsADhKiLgEyOxKLiFKt5ZGrRg74hnb6G3Uho/hAWfdjmUH9swbLCFSNE4soP9NHEEQwmIfdvLuoYRI0CEK7xD8fNmGsSuKQVjLJMyP4Y0cQRSRjRxHCZEgise9HEEK6loyYjhcJUSCJN72clwlRJJ8hPDexexyOcdctHGNHX15RcEJ8Q89MaKUEEmyUd8/DFvbXk77gFZy0Fe3hEirT6iEKKM6AwfoX30KghDCE1Z9rlFCJAiq8KB4VblaQvQvGveJpryrtfYjcxPoH+o/JAVYRiSIS4i+nahPQRQR9QmVEQlyeJSeghTU1IcYi8hRRiRI4k16usqIJPkIsb1T6blo1Ro7eu+KghOCH1t6pnE/g6SnJBv1/cOwtUnP9gGt5KA9lxFBS5m5E69cxdt4GRHTXuRGKFYLbqSMiIme4tA7KSNimqhIJiLMW/banbXa7W3TOuzG/TDJe3rwzG8SG+sumxW5qUpQr2BtEdNC5N4oXpS6aouYNiJ3RdcVnEzrKDugCP+pOOyH1gC+zzZxg9VFptlubJrtJotWl7G72S6bEZlTOy4x4lqLzKnUEqOLZruxo9ku22pkZu1CiRuYa/sOjAM+BjJLrlNidNFsN25ptsumUEQK9HNkPLu1NGzF4AHfYGQ2RE9nEBGoMhGoMhGoQkagIZ8PmUs7rDPiWorMqJQ6o4tmu/Are8S3mJJlWc/OcqLojjoVG0G6zuii2a474hzzCZApllxnZJrt2qPNiGdso71Ru0KGB5yWO9Yl2FNzsM7I2QHuMicW0P9OjyAIYTUQO7v3UGck6BCFdwh+Qm3D2BXFICx2EubK8E6PIMqqCHCg4CfVjjojQRSPmz2CFNTFZsRw5IWWZNBujyCKt90eV6GRJB8hvncxx1zONBctWmNHz11RcEIARE+PKIVGkmzUFxDD1rbb0z6glRz01e25q+UnVGhUUp2BA/QvPwVBCOEJKz899dyV9IrCe2VtDSqIQQjBeA0K99yVRBHSoNbNsT1REo8SVJCCmgERoxGpTGtQ64jsi7J406COrruifIQg36kGXTRpjR1dd0XBCQGQrUEdXXdF2ahvIIatTYO2D2glB32Fi90jqOvu/GYXgjNwgN41qCQIITxhNSi/2F0SVOFB8bLy8n2Z79S/ffq+zLB38Lc21l1RVkLoxWtPeP1TEkVEewKV7pIc/pSnJAU17yHGIgrTsA+tfkqyeFOejlp3UT5CaO9SeSaLBq2Jo+OuKDgh/LGVZ5z3C2VjG8qyUd9ADFuL8kQMaCUH7bnWHVjPTJwdjspwFW/Tte5ce5EVeVgpuIlady56ikPvotada6IimYgwj9hxF1PbzmVDVvMR9CpU2861EFmPh5ehjtp2ro3ISrx1JSbTOkrVHcJ/rtp2rombq21PTPPdZNH/MnE332XjIdNnt2XtbGuR6ZNY1p5cNN9NHM132VYjk2gXotvAXNt3YBzwMZAJcY2y9uSi+W7S0nyXTaGIFOjnyHh2a2nYisEDvsHIRIieuSCCT2WCT4UMPkM+GjKDdlfRzrYUmUcJFe3JRfNd+G094ltMya2sx2Y5HXQHnIqNIFzRnlw033UHm2M+ATK7UivaE9N81x5oRjxjG8WNKj8yPODk27H6wJ6AQxXt840+NCcW0P92jiAIYc0PO4eXr2iXdIjCOwQ/bbZh7IpiEJY0CTNkeEdHEEVkRweuaJdE8bipI0hBXVJGDIerol0SxduejqOiXZSPEN+7mF4uJ5mLZq2Jo/uuKDghAKJnRoSKdlE26guIYWvb02kf0EoO+gpXE8VQRft8vZvgDBygf/kpCEIIT1j5uUY1kSCowoPiZSW/+64kKiHydiI9BVFEpKc1XuyJcnjUnYIU1LSHGAt3MZEgizfh6SomkuQjRPZOheeiXWvi6L8rCk4If2zh6ei/K8pGfQMxbG3Cs31AKzloz8VEiQ1PS8nUiRet4m28mIhp72rM+HMsJmKipzj0ToqJmCYqkokI8xj9d1EFRUw+5D4qQbOCBUVMC5HboXgp6iooYtqI3AhdV2YyraNseiL85ywoYpq4wYIi04o3WXTDTNyteNl4yBTacUER11pkCqUWFF204k0crXjZViMTaRfC28Bc23dgHPAxUiIGY4//ohVv0tKKl02hiBTo58h4dmtp2IrBA77ByESInr0ggk9lgk+FDD5DPhoyg3ZYUMS1FJlHKQVFF6144bf1iG8xJbeyHpvllNAdcCo2gnRB0UUrXnewOeYTILMruaDItOK1B5oRz9hGcaN2fwwPOAF3rECwJ+FgQZGicWIB/e/oCIIQ1v2w83gPBUWCDlF4h+CnzjaMXVEMwrImYYYM7+oIoojs6jgKigRRPG7sCFJQl5URw+EsKBJE8bav4yookuQjxPcuppfLSeaidWvi6MUrCk4IgOiZEaWgSJKN+gJi2Nr2ddoHtJKDvsIFRUAfRy0/M6ozcID+5acgCCE8YeXnGgVFgqAKD4qXlev14pXEJUTfTuSnIIqI/ISKigQ5PGpPQQpq6kOMhbuoSJDFm/h0FRVJ8hGie6fic9G8NXF04xUFJ4Q/tvh0dOMVZaO+gRi2NvHZPqCVHLTnoqLUhqflZO7Ei1fxNl5UxLQXuReKVYMbKSpioqc49E6KipgmKpKJCPMW3XijcNaON8r7Yd6Pw1j1yX1543i7l/TDyJrqdtnMyP1Vgo4FC42YFiK3SfHy1FVoxLQRuUG6rvRkWkfZDEX4L8uA1b59toUbrDMyTXkT05Q3XbTETNxNedmMyNTacbER11pkaqUWG1005U0cTXnZViMTbBeC3MBc23dgHPAxkMlynWKji6a8SUtTXjaFIlKgnyPj2a2lYSsGD/gGI5MhelaDiECViUCViUAVMgIN+XzIVNphxRHXUmRCpVQcXTTlhV/ZI77FlCTLenaW80V31KnYCNIVRxdNed0R55hPgEyx5Ioj05TXHm1GPGMb6Y3aHjI84OzcsTzBnqGDFUfOFnGXObGA/rd8BEEIi4LYSb6HiiNBhyi8Q/DzahvGrigGYc2TMFWGt3wEUVZFgAMFP6d2VBwJonjc9RGkoK45I4aj7JcptOcjSOJtz8dVcCTJRwjvXUwxlxPNRQvXxNGTVxScEP/QsyNKwZEkG/X9w7C17fm0D2glB32Fe/KmYMFRSXUGDtC/+hQEIYQnrPr01JNX0isK75W1JaggBiEE4yUo3JNXEkVIgiY2kj1REo8KVJCCmgERoxGV/aJIbSj7oijeJKijJa8oHyHGdypBFx1cE0dLXlFwQvxjS1BHS15RNuoLiGFrk6DtA1rJQTcS9FRNzsqwKIOTiVJBejIptFw9SYLwPC6ycXx2cjJWdzYgQa155HqchlRn4AC9S1BJEEJ4wkrQyzXvWpM+rL+e3l2UysxXOeuP9U88ampnZp//c9ML7A3964fPStNZfc3X9RNT9fRu/V7QrJm+U39Q/0p//EP90XYvCaHluR1RByq8A9dVq5IYhGiNV6vwgqkkiohajfrKRrInSuJPrUpSUJMlYjTK</t>
  </si>
  <si>
    <t>sg+tl0qSeBOrUdyPMxvfTVk+QjboUqymi6avqaOLryg4IfyxxaoeVGVdBB/KslHfPwxbi1hFDGglB+25Rl7Z8LT8dLdKSlbxNl0jz7UXWcKHVY+bqJHnoqc49C5q5LkmKpKJCPPoXXxbKuG5ZMjiP4JahSrhuRYiy/coIhSshOfaiCzcW1deMq2jFOkh/OeohOdauLlK+NS08E0XXTRTdwtfNh4yd3ZbBM+2Fpk7iUXw6UUL39TRwpdtNTKDdqG4Dcy1fQfGAR8DmQ3XKIJPL1r4pi0tfNkUikiBfo6MZ7eWhq0YPOAbjMyD6GkLIvhUJvhUyOAz5KMhE2h39e9sS5FplFD/nl608IXf1iO+xZTUynpslnNBd8Cp2AjC9e/pRQtfd7A55hMgsyu1/j01LXztgWbEM7YR3KhqJcMDzrwdSw/s2TdU/z5fIERzYgH9b/8IghAW/LATePn6d0mHKLxD8HNmG8auKAZhPZMwQYa3cwRRRLZz4Pp3SRSP+zmCFNT1ZMRwOOrfJUm87ec46t9F+QjhvYvZ5XKOuWj4mjo6+IqCE+IfemJEqH8XZaO+fxi2tv2c9gGt5KCvcPGRgurf04TqDBygf/UpCEIIT1j1eQWLjwQdqPAOXFutCmIQonUnalUQRUStwsVHgiQexaogBTVZIkbDVXwkSOJNrLqKjyT5CNmgU7G6aBKbOrr+ioITwh9brLqKjyTZqO8fhq1NrLYPaCUH7bn4yPqiavmZOvHSVbyNFx8x7V2NGX+OxUdM9BSH3knxEdNERTIRYR6v629bARKTDrnxSlCsYAES00Lk/ilFiMIFSEwbkTun60pMpnWUXVKE/1wFSEwLN1iAZFr+pouum6m75S8bD5k/Oy5A4lqLzJ/UAqSLlr+po+Uv22pkFu1CdRuYa/sOjAM+RkrEYNQEXLT8TVta/rIpFJEC/RwZz24tDVsxeMA3GJkH0VMXRPCpTPCpkMFnyEdDJtAOC5C4liLTKKUA6aLlL/y2HvEtpqRW1mOznA+6A07FRpAuQLpo+esONsd8AmR2JRcgmZa/9kAz4hnbCG7UdpHhAWffjuUH9gwcLEBSNE4soP8tIEEQwqIfdhLvoQBJ0CEK7xD8vNmGsSuKQVjTJEyQ4S0dQRSRLR1HAZIgisc9HUEK6poyYjhcBUiCJN72dFwFSJJ8hPDexexyOcdcNIhNHR1/RcEJ8Q89MaIUIEmyUd8/DFvbnk77gFZy0Fe4ACkDC5AyqjNwgP7VpyAIITxh1ecVLEASdKDCO3BttSqIQYjWnahVQRQRtQoXIAmSeBSrghTUZIkYDVcBkiCJN7HqKkCS5CNkg07F6qKhbOroECwKTgh/bLHqKkCSZKO+fxi2NrHaPqCVHLT+3z9szzLz37vEaMeFSLkNU8vQ3IUZF6uY3gqRlM3eG2x7kVuoWBXZTSGSkYzmxvDp6+YvMP/VsvLL+kF7TRLTCynOC53UJDFNVCQTEeYtmgb3innT4IzZNDjqh4l1Or/LhkVuzRI0LViixLQQucNKkapwiRLTRuTe6roilGkdZR8V4b9YP7+gumSauMEaJdMuODXtgtWiWWfqbhfMZkTmV3qhkgoLuFCJay0yv1ILlS7aBaeOdsFsq5FZtgt1bmCu7TswDvgYyDS5TqHSRbvgtKVdMJtCESnQz5Hx7NbSsBWDB3yDkdkQPcVBRKDKRKDKRKAKGYGGfD5kLqVVK8HR5zbfUmRGpVQrXbQLhl/ZI77FlCzLenaWk0d31KnYCNLVShftgt0R55hPgEyx5Gol0y7YHm1GPGObiUakzvOzNAmSchIFaZJlwbg8K4P4ZJKcpVF4qj+b8YBTdMdaBXuaDlYrObvXXebEAtom8w4uyoTeBnJDFISwQoid6V/eL5r+UP/2sZnG6y83mz820B1RUIUHJcyUfz+9axYuNOdDPVGuf16/U/+2vle/W79fv9cb7iRh7+Bvbay7oqyE1U/CRBne/BFEEdn8sU4G90Q5PG79CFJQl54RY6FN6kNt2iRRvO39xEk/sZ7TuynLR4jsXcwul3PMRWPZ1NEpWBScEP3QE6NLg5r3C2VjG8qyUV9ADFvb3k/7gFZy0LMy+fG4OElOyiDPkjRIw/MyGKtT/SGMo9NJov+ixdTdr/CECpVKqjNwgP6FpyAIITxhhaezU/C8Cv7fJPXj3qwn8PTNWPUcO0aC8AoPjxejNoxdUQxCpMXrTLghsCSKiM4EGwJLknhUmoIU1ESHGI0s7Zf2Kpx9URRvStPREFiUjxDKO1Wai/6xqaMhsCg4If6xlaajIbAoG/UFxLC1Kc32Aa3koK/wgcwcagisnA3nrM5AAXpXmpIghPCEVZryBzIlHaLwDllXfUpiEKIvXn3Cq5ySKELqEzqQKYniT35KUlCzH2I4krifZtY4vi+K4k1+Ok5kivIR4nuX8lMtOsIqR4tfUXBCAGTLT8eJTFE26guIYWuRn4gBreSgPd+yaX1RtaB0t1JSq3ibLm7n2ossu8PqwQ0Xt3O9kOK80EVxO9dERTIRYR6x26+jhJ2LhCzaI2hWqISdayGy7A4vRR0l7FwbkQV362pMpnWU4jqE/1wl7FwTN1fCrkyfX7VotancfX7ZeMgE2m31OttaZAIlVq+riz6/ytHnl201Mo12IbsNzLV9B8YBHwOZB9eoXlcXfX5VS59fNoUiUqCfI+PZraVhKwYP+AYjEyF67oIIPpUJPhUy+Az5aMgM2l3hOttSZB4lFK6riz6/8Nt6xLeYkltZj81yQugOOBUbQbhwXV30+XUHm2M+ATK7UgvXlenzaw80I56xV3dXp4AK11VM48QC+t/VEQQhrPphZ/EednUEHaLwDsHPlm0Yu6IYhEVNwgwZ3tURRPG9qyOI4nFXR5CCuqiMGA7nro4gypXY1ZHkI8T3LqaXy0nmoi+scjT6FQUnBED0zIiyqyPJRn0BMWxtuzrtA1rJQV/hc5MFVL6uEqozcID+5acgCCE8YeUn/9ykJKjCg+Jl5eVzk7/Wevqpc5Nx729tqLuiqITI24n0FEQRkZ7WeLEnyuFRdwpSUNMeYixcxyYlUbzpTsexSVE+QmDvVHcuWrwqR89eUXBC9GPrTv3QJtZFr6EsG/UFxLC16c72Aa3koD1XE1lfVK0kUydetoq38Woipr2rMePPvJqI6YUU54VOqomYJiqSiQjzGO17XRVFTCzkRipBtIIVRUwLkfuheC3qqihi2ojcCV1XZzKto+x6IvznrChimrjBiiLTuFctemcqd+NeNh4yiXZcUcS1FplEqRVFF417laNxL9tqZCrtQnobmGv7DowDPkZKxGBs8l807lUtjXvZFIpIgX6OjGe3loatGDzgG4xMhOj5CyL4VCb4VMjgM+SjITNohxVFXEuReZRSUXTRuBd+W4/4FlNyK+uxWU4K3QGnYiNIVxRdNO51B5tjPgEyu5IrikzjXnugGfGMbRQ3avvH8IBTcMcaBHsaDlYUKRonFtD/lo4gCGHlDzuT91BRJOgQhXcIfsZsw9gVxSAsbBJmyPC2jiCKyLaOo6JIEMXjzo4gBXVhGTEczooiQRRvOzuuiiJJPkJ872J6uZxkLhq9KkfnXlFwQgBEz4woFUWSbNQXEMPWtrPTPqCVHPQVrigqwYqijOoMHKB/+SkIQghPWPm5RkWRIKjCg+Jl5WpF0b9o3Cea8q4W24/MfaB/qP+QFGBVkSAuIfp2Ij8FUUTkJ1RVJMjhUXsKUlBTH2IsnFVFgijetKerqkiSjxDcO9Wei76tytGIVxScEP3Y2jON+xmkPSXZqC8ghq1Ne7YPaCUH7beqyF4lodVk7sTLV/E2XlXEtBe5FYoVg5uuKmJ6IcV5oZOqIqaJimQiwrxFA94onDfgzZkNeON+GMfbvaQfRtast8tmRu60EhQtWHLEtBC5YYoXqq6SI6aNyK3SdUUo0zrKtijGf2Gi+pF15W+fbeMGa45MI15lGvFmizaYyt2Il82IzLMdFx5xrUXmWWrh0UUjXuVoxMu2Gpltu1DnBubavgPjgI+BTJfrFB5dNOJVLY142RSKSIF+joxnt5aGrRg84BuMTIfoKQ4iAlUmAlUmAlXICDTk8yGTaYfVR1xLkSmVUn100YgXfmWP+BZT0izr2VlOHt1Rp2IjSFcfXTTidUecYz4BMsWSq49MI157tBnxjG3EN2qryPCAU3XHWgV7ug5WHzmbw13mxAL63/4RBCGsEGJn/B6qjwQdovAOwc+sbRi7ohiEBVDCZBne/hFEWRUBDhT8rNpRfSSI4nEHSJCCugCNGI5IqX6cWxPWviiLty0gV/mRJB8hwHcxyVxONRftW5WjH68oOCECoudHlPIjSTbqG4hha9sCah/QSg766vbj1foTKj8qyc5AAfrXn4IghPCE1Z/d9uOVhFd4+LW1piAGIdLitSbcj1cSRUhrJjaSPVESj1JTkIKa6BCjkURhX9lPZu2LsniTmo6GvKJ8hFjeqdRc9G9Vjoa8ouCEAMiWmo6GvKJs1DcQw9YmNdsHtJKDbqTmSVSMs6w8DZTSfyAdJydBeTI5DYo0mZxPyiQ8T07vbEBqWhPJ9ThztoezOQMH6F1qSoIQwhNWal6udNfa82H99fTuoixmLjjrj/VPPGrqZGaf/3PT+esN/euH+tersx/XX5vf22PqneoP63fr94JmdfSd+oP6V/rjH+qPtntJCC3E7Yg6UOEduK5clcQgRGu8XIWXRiVRRORq1LeuU+2JkviTq5IU1GSJGY0iS3TmB/SqJIw3vRrF/Tiz8d2U5SMkhC71arZo+Jo5OviKghMiIFuv6kFV1jgylGWjvoIYtha9ihjQSg7ac3U8sNmeuZskXWpQvOnqeK69qzHjz7s6nuuFFOeFLqrjuSYqkokI84gdfJ+pgb/zkg1ulw2HrPsjyFeoDJ5rIbJyj6JKwTJ4ro3Imr119SbTOkp9HsZ/rjJ4ro2bK4PPTDPfbNFPM3M382XjIXNptxXwbGuRuZRYAZ9dNPPNHM182VYjM2oXCtzAXNt3YBzwMZApcY0K+OyimW/W0syXTaGIFOjnyHh2a2nYisEDvsHITIiexiCCT2WCT4UMPkM+GjKFdlf8zrYUmUgJxe/ZRTNf+G094ltMSa6sx2Y5N3QHnIqNIFz8nl0083UHm2M+ATK7UovfM9PM1x5oRjxjG8mNKlQyPOBM3LEUwZ6NQ8XvWUzjxAL63xESBCEsAGIn9PLF75IOUXiH4CfONoxdUQzC+iZhigzv8AiiiOzwwMXvkiget3gEKajry4jhcBa/S7J42+FxFL+L8hECfBfzy+Usc9H8NXN08xUFJ0RA9NSIUPwuykZ9AzFsbTs87QNayUFf4YqkCCp+n18lTHAGDtC//hQEIYQnrP68ghVJgg5UeAeurVcFMQjRuhO9KogiolfhiiRBEo9yVZCCmiwxo+GuSBKE8aZXXRVJknyEhNCpXl00jc0cXYBFwQkRkK1XXRVJkmzUVxDD1qZX2we0koP2XJEEKdDUiVeu4m28Iolp72rM+DOvSGJ6IcV5oZOKJKaJimQiwjxGF+D2mzm5dMiNWIJ+BUuSmBYi91MpshQuSWLaiNxJXVdwMq2j7Jpi/OcsSWLauMGSJNMNOFs05Mzc3YDZeMhk2nFJEtdaZDKlliRddAPOHN2A2VYjU2oXEtzAXNt3YBzwMVIiBqNK4KIbcNbSDZhNoYgU6OfIeHZradiKwQO+wchMiJ7HIIJPZYJPhQw+Qz4aMoV2WJLEtRSZSCklSRfdgOG39YhvMSW5sh6b5eTQHXAqNoJ0SdJFN2B3sDnmEyCzK7kkyXQDtgeaEc/YRnKjto8MDzgVd6xFsKfjYEmSonFiAf1vCQmCEFYAsTN6DyVJgg5ReIfgZ842jF1RDMICJ2GKDG/xCKKIbPE4SpIEUTzu8QhSUBeYEcPhLkkSZPG2xeMqSZLkIwT4LuaXy1nmonts5mgHLApOiIDoqRGlJEmSjfoGYtjatnjaB7SSg77CJUkxWJKUUZ2BA/SvPwVBCOEJqz+vYEmSoAMV3oFr61VBDEK07kSvCqKI6FW4JEmQxKNcFaSgJkvMaLhLkgRhvOlVV0mSJB8hIXSqVxcdZzNHC2FRcEIEZOtVV0mSJBv1FcSwtenV9gGt5KA9lyQlNjytQHMHXhqGq3gbL0li2rsaM/7MS5KYXkhxXuikJIlpoiKZiDBv0UK4N+sg3NsmNw5O8p4eR/Mb60u0y2ZFbssS1CxYoMS0ELm7ShGpcIES00bkvuq68pNpHWUPFeE/pVS/sNbJ7bNN3GB9kukcnJnOwfmib2fm7hzMZkSm146LlLjWItMrtUjponNw5ugczLYamWS7EOUG5tq+A+OAj4HMkusUKV10Ds5aOgezKRSRAv0cGc9uLQ1bMXjANxiZDdEzG0QEqkwEqkwEqpARaMjnQ+bSDiuVuJYiMyqlUumiczD8yh7xLaZkWdazs5wzuqNOxUaQrlS66BzsjjjHfAJkiiVXKpnOwfZoM+IZ22hv1K6S4QFn6I4lCvYsHaxUcrWxs3BiAf3vFAmCEBYGsRN9D5VKgg5ReIfgJ9Q2jF1RDMK6J2GuDO/8CKKsigAHCn5S7ahUEkTxuPUjSEFdd0YMR5H0kyK1oeyLonjb+HEVKknyEeJ7F3PM5Uxz0Wc2czQOFgUnBED09IhSqCTJRn0BMWxtGz/tA1rJQV/hxsEJWKhUkp2BAvQvPwVBCOEJKz+7bRwsCa/w8GtLTUEMQqTFS024cbAkipDUtO6B7YmSeFSaghTURIcYjSjL+rl9aWRflMWb1HQ0DhblI8TyTqXmos9s5mgcLApOCIBsqeloHCzKRn0DMWxtUrN9QCs56EZqqkh/epYmQVJOoiBNsiwYl2dlEJ9MkrM0Ck/1Z3c2IDWBiqTc1ZXO6gwcoHepKQlCCE9YqXm5Jn76Q/3bx6ZeSX+5KXC3ge6Igio8KF5W1r+f3jUVWprz4fS1Xv3z+p36t/W9+t36/fq93nAnCXsHf2tj3RVlJYRevPaElzklUUS0pzVl7Ily+FOekhTUvIcYi0j/r58DFyVJsnhTnrHOUNZCq5uyfITQ3qXyzBcdY3NHC2BRcEL4YyvPOO8XysY2lGWjvoEYthbliRjQSg7ac3V7asPTWtLVWikNo1W8TVe3c+1FFt5hpeCGq9u5XkhxXuiiup1roiKZiDCP3gK4tZqdy4as3yNIV6ianWshsgIPr0gd1excG5G1d+uqTaZ1lDo7hP9c1excEzdXzZ6bBsD5ogdn7m4AzMZDZtJuC9nZ1iIzKbGQPb9oAJw7GgCzrUbm0y70t4G5tu/AOOBjIBPiGoXs+UUD4LylATCbQhEp0M+R8ezW0rAVgwd8g5GJED2JQQSfygSfChl8hnw0ZAbtroadbSkyjxJq2POLBsDw23rEt5iSW1mPzXJm6A44FRtBuIY9v2gA7A42x3wCZHal1rDnpgGwPdCMeMY2ihtVcGR4wHm4YyGCPReHatjzmMaJBfS/syMIQlj+w07n5WvYJR2i8A7BT5ttGLuiGITVTcIMGd7cEUQR2dyBa9glUTzu7whSUFeXEcPhqmGXRPG2veOoYRflI8T3LqaXy0nmol1s7uj/KwpOCIDomRGhhl2UjfoCYtjatnfaB7SSg77ChUUpVMOeJ1Rn4AD9y09BEEJ4wsrPNQqLBEEVHhQvKy8XFv1a6+mnCoviHlRXJIhKiLydSE9BFBHpaY0Xe6IcHnWnIAU17SHGwl1XJMjiTXi66ook+QiRvVPhuej7mjsa+YqCE8IfW3gmcT+xrnoNZdmobyCGrU14tg9oJQftua5I2fC0lEydePEq3sbripj2rsaMP/O6IqYXUpwXOqkrYpqoSCYizOM18m2vLWLyIbdUCfIVrC1iWojcGcWrUldtEdNG5J7ouoqTaR1l/xPhP2dtEdPEDdYWmU6++aKZZu7u5MvGQ2bTjmuLuNYisym1tuiik2/u6OTLthqZU7vQ4Abm2r4D44CPkRIxGNv9F51885ZOvmwKRaRAP0fGs1tLw1YMHvANRiZC9EQGEXwqE3wqZPAZ8tGQGbTD2iKupcg8SqktuujkC7+tR3yLKbmV9dgsZ4fugFOxEaRriy46+bqDzTGfAJldybVFppOvPdCMeMY2ihu1EWR4wLm4YzGCPR8Ha4sUjRML6H9zRxCEsASIndJ7qC0SdIjCOwQ/dbZh7IpiEFY4CTNkeINHEEVkg8dRWySI4nGPR5CCusKMGA5nbZEgirctHldtkSQfIb53Mb1cTjIXfV9zRyNfUXBCAETPjCi1RZJs1BcQw9a2xdM+oJUc9BWuLVJgbVFGdQYO0L/8FAQhhCes/FyjtkgQVOFB8bJytbboXzTuE015V4vtR+Z60D/Uf0gKsL5IEJcQfTuRn4IoIvITqi8S5PCoPQUpqKkPMRbu+iJBFm/i01VfJMlHiO6dis9FE9fc0ZVXFJwQ/tjiM437GSQ+JdmobyCGrU18tg9oJQftub4os+FpOZk78ZJVvI3XFzHtRe6FYtXgpuuLmF5IcV7opL6IaaIimYgwj9SDN+qH9vuCd9lAyH1Ugl4FC4qYFiK3Q/Ey1FVQxLQRuRG6rsRkWkfZ9MT4L0n6uc3CfbaFG6wnMp13c9N5t1j0vczdnXfZjMgU2nFREddaZAqlFhVddN7NHZ132VYjE2kXwtvAXNt3YBzwMZCZcJ2ioovOu3lL5102hSJSoJ8j49mtpWErBg/4BiOTIXr2gohAlYlAlYlAFTICDfl8yFTaYWUR11JkQqVUFl103oVf2SO+xZQky3p2lvNCd9Sp2AjSlUUXnXfdEeeYT4BMseTKItN51x5tRjxjG+mN2gYyPOAs3LEMwZ6Jg5VF7j5wlzixgP63dgRBCIt/2Mm8h8oiQYcovEPwk2Ybxq4oBmFtkzBVhrd2BFFWRYADBT+ndlQWCaJ43N0RpKCuLSOGIw77obIOyL4oirfNHVdlkSQfIb53McdczjQXjVpzR+ddUXBCAERPjyiVRZJs1BcQw9a2udM+oJUc9BXuvJuBlUUl2RkoQP/yUxCEEJ6w8rPbzruS8AoPv7bUFMQgRFq81IQ770qiCEnNxEayJ0riUWkKUlATHWI0Uq38rQsG+6Ik3oSmo++uKB8hkncqNBdtWnNH311RcEL4YwtNR99dUTbq+4dhaxOa7QNayUFf4RL2DOq7W7hbwVmcgQP0LjQlQQjhCSs0+SXskqAKD4oXlWv03ZVkJYRevPKEFzklUUSUJ1C/LsnhT3dKUlDzHmYssryf2kj2RUm86U5H9booHyGwd6k7i0WT1sLRdVcUnBD82LrT0XVXlI36/mHYWnQnYkArOWjP1evWygCtJN39jNJVvE1Xr3PtRRbdYYXghqvXuV5IcV7oonqda6IimYgwj9h111G/zkVCluwR9CpUv861EFl0h5ehjvp1ro3Icrt1JSbTOkppHcZ/cP0618LN1a8XptdusWh3Wbh77bLxkPmz29J1trXI/EksXS8ueu0Wjl67bKuRWbQL1W1gru07MA74GMg0uEbpenHRa7do6bXLplBECvRzZDy7tTRsxeAB32BkHkRPXRDBpzLBp0IGnyEfDZlAu6taZ1uKTKOEqvXiotcu/LYe8S2mpFbWY7OcD7oDTsVGEK5aLy567bqDzTGfAJldqVXrhem1aw80I56xjeBGlRgZHnD27Vh+YM/Aoar1IqZxYgH97+YIghAW/bCTePmqdUmHKLxD8JNlG8auKAZhTZMwQYY3dARRRDZ04Kp1SRSPezqCFNQ1ZcRwuKrWJVG8beo4qtZF+QjxvYvp5XKSuWjNWjh67YqCEwIgemZEqFoXZaO+gBi2tk2d9gGt5KCvcDFRDlWtFwnVGThA//JTEIQQnrDyc41iIkFQhQfFy0p+r11JVELk7UR6CqKISE9rvNgT5fCoOwUpqGkPMxaOWiJBEm+y01VLJMlHiOudys5FY9bC0WlXFJwQ/Niy09FpV5SN+v5h2NpkZ/uAVnLQnmuJrPNDLSRTJ55axdt4LRHT3tWY8WdeS8T0QorzQie1REwTFclEhHmMTruueiImFnIflaBZwXoipoXI7VC8FHXVEzFtRG6EriszmdZRNj0x/nPUEzEt3GA9kemvWyxaXBbu/rpsPGQO7bieiGstModS64ku+usWjv66bKuRmbQL5W1gru07MA74GCkRg7HFf9Fft2jpr8umUEQK9HNkPLu1NGzF4AHfYGQeRE9fEMGnMsGnQgafIR8NmUA7rCfiWopMo5R6oov+uvDbesS3mJJaWY/Nck7oDjgVG0G6nuiiv6472BzzCZDZlVxPZPrr2gPNiGdsI7hRmz+GB5yBO5Yg2LNwsJ5I0TixgP43dARBCAt/2Im8h3oiQYcovEPwE2Ybxq4oBmFdkzBBhjd1BFFENnUc9USCKB73dQQpqOvKiOFw1hMJonjb2HHVE0nyEeJ7F9PL5SRz0Y61cPTXFQUnBED0zIhSTyTJRn0BMWxtGzvtA1rJQV/heqICrCfKqM7AAfqXn4IghPCElZ9r1BMJgio8KF5WrtdfVxKXEH07kZ+CKCLyE6opEuTwqD0FKaipDzMWjpoiQRJv0tNVUyTJR4jtnUrPRTPWwtFdVxScEPzY0tPRXVeUjfr+YdjapGf7gFZy0Pp///D062ok5d+7NGbHRUbWN1ery9zBmyThKq+nIqMotK/G3mAbjNwbRavDS6VB9y9KiJ4VitO36sfbq+LxSaDl5QP9J35U35/9SE//Lfebv+KT+on+/RPzpbu9+mv9+wf1Z01r2FeNPtOfNeue+ie+6OkPn66sk5ovz0qazFceTX/S7+k//qQXh80t7fMCp0+mb2l9NyuS+mL2A2mvqbp5rfnHP7G5f4ft/hTn/k7Km5gmKpKJCPMwNUtMW5F7tQRNDNYsMS1Ebrnipa6rZolpI3KzdV0Zy7SOsrGK8V+U960rh/tsCzdYs2R6+Bamh2+56KBZuHv4shmReZleuFTkCVy4xLUWmZephUsXPXwLRw9fttXI5NyFvDcw1/YdGAd8DGSSW6dw6aKHb9HSw5dNoYgU6OfIeHZradiKwQO+wchkiJ4jISJQZSJQZSJQhYxAQz4fMpXSqpfg6HObbykyoVKqly56+MKv7BHfYkqSZT07y9mnO+pUbATp6qWLHr7uiHPMJ0CmWHL1kunha482I56xjfROTO+LMgmKMD0LUpWNg3F4MgmSkzgs05OzJD+fP1Tg1N6x2MGe3oPVS66OchZOLKBtEcDBRVkIsIHcEAUhLDGutUCA3UASRFV4VPxM14axK4pBWBslTILhjSFBFJGNoQhqmSZJ4nFrSJCCujSNGI0kzGJw8i2I4m1vqOjnyoZ3UxaPELe7mDsuZ5CLVq6FozevKDgh/KGnPZdKzYD5wVAWjfr6YdDadobax7OSg25U5UlyMo6KKAySKJsEaRQVQRlOToLTSVyeqdMiCfP5mPtVlVBRUkl1Bg7Qv6oUBCFEJ6yq/NDszTT9Fh5Nf9o0552+Pf1Rs+nzSdOe16xE1B/Wv8tsuDuiuAqPu7ayFMQghFaCsjRbQZ/2e/ZbA14QBZLRlzaOPVEOj+pSkIKa3jBj4djZESTxJi6jrB9a89BNWT5C/O5UXS76txaOhryi4IQQyFaX4KAOZdmo7x+GrU1etg9oJQd9hY9cllBD3tLVJc6utVGA3uWlJAghPGHlpfyRS0mHKLxD1hWgkhiE6EsQoODSpiSKiPSEj1xKovhTn5IU1OyHGA4tPjPrHtu+KIk39ek4cSnKRwjvXarPctHFtXS05RUFJ8Q/tvp0nLgUZaO+fxi2FvWJGNBKDtqUvW/Pyn89Vrun1rHVutLVAilJolVMf9Xuqc3gG2yDkQV1WF34v1u1u/5NL90Oo9mPFoi6d+5ApLiBoNW9a+X9wIjxmbsezh399vRnmuGuuS/TgH72jOfm7jbD8tXMa30b6PNsUEUCxUB+UP+296c3ftOLZuMV5/1Qvy5hrLafuQ00vHPnJRvKLhsFWU9IEN9QcT3XQmRFIF5TO4rruTYiawHXFctM61YT8ZrF9XGuk451TXyfbeLmqutL02G4TMyH1HxQ8wLX0t1rmA2KFAP0EvtSpWCJPdtapBggltiXF72GS0evYbbVSEXQxVTCwFzbd2Ac8DGQ+XSNEvvyotdw2dJrmE2hiBTo58h4dmtp2IrBA77ByJSIno8hwlBlwlBlwlBlwlCFDENDPiQyq9Lq7OEQdJtvKTK3Eursy4uuw/B7e8S3mJJvWQ/QcrrrDj0VG0G4zr686DrsDjvHfAJknqXW2Zem67A95Ix4xjYqHFU9ZXjARQXH6gp7YQGqsy9jGicW0Lb84OCiLEHYQG6IghDWNNdamkDW2UuiKjwqfk5sw9gVxSAsxhLmw/BmlCCKyGYUWGcvSeJxL0qQgroWjhiNPFRZP7PWPu6LsnjbjYIL7UXxCIG7ixnkch656D5bOtoJi4IT4h968oMvtBdFo75/GLS2vaj28azkoBtZeX4anWVxWgZZWiRBmhVpUMSTMjg7Dc/Ks/AknIRndzYgK60rxFpWJlRn4AD9y0pBEEJ0wsrKe2ZDaCYmV7vANYLyW4uucfOdqnmjsidaej6c77B8Yva65t9ofjgKp2+aX+G2tZ5gR9RHCu+jtfWoIAYhHhP0KLg/I0giJEeBwnxJEo9yVJCCmg4RoxGXRV8paFtIkMWbHM3yfmyV2zdl+QgRv1M9umhLWzr6DIuCE+IfW4+CgzqUZaO+gRi2NkHaPqCVHPTVPfmpBal1XUML0pTqDBygf0EqCEIIT1hBuu7JT0lchcddW1sKYhBiK0Fbtpz8lASSkZg2jj1RDo8CU5CCmt4QY+EsOxJE8aYvHUc/RfkIAbxTfZku5Iijr64oOCEGsvWl4+inKBv1BcSwtenL9gGt5KAbfVlkRXyan+XBSZKHWotOzoPyND0JkjIJy/NyPE4m8/jqV1+mNmdofamozsAB+teXgiCE8ITVl5ePftY/r39df1T/vv4gqN8z/9GfvKN/91EjNW3QO6LQCg+9tsoUxCBEWILKhHfUBVFE9GXYj5UNZU8UxaPEFKSgZjjEcGR5v1DWtYB9URR/EjOMgJKBm7KAhCDeqcZcdGAsHS01RcEJEZCvMcMQ3lWXhKO+ghi4NpHZPqKVHLRRmS7x2PHJTqj8MnPgpWG2irf5k51Mg1ejxl9Odq57spM5ECluIK7QyU4mqCKBYiAXJzvT2XiFaT/MaSc7mSirmUfwZCfTQuQZFLycdp3sZNqIPH2yrk5mWkc5aYLwXxKa5sw2E/fZJm7wZGduznOa5klluX2QhIvWJWXmPtnJBUWKgY5PdnKtRYoB6snO7OJkJ9h58hbfaqQi6GIOYWCu7TswDvgYyHy6zsnO7NqzA+E42cmlUEQK9HNkPLu1NGzF4AHfYGRKRE/EEGGoMmGoMmGoMmGoQoahIR8SmVU7PNnJtRSZWyknO7OLk53ge3vEt5iSb1kP0HKa6w49FRtB+mRndu3ZAXCc7OQSIPMs+WRntrU0asXYEc/Yq7sjBZTOXtfBisaJBfS/IyUIQljMxC5NdLQjJQit8ND42bENY1cUY1UCODAIM2N4R0oQxfeOlCCKxx0pQQrqcjhiOHLVT1LrgOyLolyNHSlJQEIQ72I2uZxT5ov9C0dTXlFwQgRET4RIO1KScNRXEAPnHNEhZkQrOegrXFYfgec8C6ozcID+RaYgCCE+YUXm2mX1grgKj7u2vBTEIARXgrxsK6sXBBIRmVBZvSCHR4UpSEFNb4ixcO75CKL4U5iOsnpJPkIA71RgLvo7lo5+naLghBjIF5iOsnpJNuoLiGFr05ftA1rJQV/he0SA66i0viypzsAB+teXgiCE8ITVl5u5R0TQRwrvo7VFqSAGISATRClYDSRIIqNGwXtEBEk86lFBCmo6RIxGkkR9FUGCVJDFmyB13SMiyUeI+J0K0kVHyNLR4lMUnBD/2ILUdY+IJBv1DcSwtQnS9gGt5KCv8H3JEXDOMwldHaeszsAB+hakoiCE8IQVpGvclyyKqvCoa+pKUQxCXCXoSmgvXRRFSFhaJ6h7oiTehKUoBTWtIUYjLxLVL+zCUpTFm7AE70uWxSME7g51pWaayZD5b2zgB7LghPjH1pXgfcmyaNT3D4PmlpWY8azkoE3vzn96Sk+BuvF7k9Pvf/vllyyOYMlG+xZ5Ero7icSrnNART9haihi8OOVpNfcG29zVx8zhXKTk+5/1w+Y85mxL+0FzYrD+2By9m77VHLibnbqb9Xh/0xwrbH784fIgqA1Qq8HouX025aUICWOuFyCbc09JGJvTTsp8KPSHKDIfUihAcplSOhO+nNyAHBqQQwNyaEAODcghBHLIB1F0EHxVueYYGI6B4RgYjoHhGEAcAz4H/l3iR+zmRIvhqQxPZXgqw1NBPBWb59JBhRYe2sN1bCCODcSxgTg2EMcQxDEfAp89iMcVNMPIMIwMw8gwjAzDCGIY8RiempgbFG9trWPggEIy3/WFKFJwJHDGMrOi+Z3N3htse1dTxppXH/y+/nJ2dn52tsCdAte8wqD+pBebTb5H+i+GFleYXllNOp3cQ2Az8Xm2iYpkIsK8xS0Bf3rjN81FAT09UrH+TW58/LW5dmL6Wr/+XMucR9O3bCy7bJbVCY7YFQJsC5GHHSlrNtAVAmwbV1dkRK4QYFu3KhvWvELA6rt9tnUitwdcGvOin1hX6m7y7UYmR/plALGKoMsA+NYisyPtMgBtzuIyAKNUoMsA+FYjcyRpTnX5PJTd2Qd8s5FJrH3ahLX1kG+rItqKfjqM/7aWhl2eBXENRqYs9nocGCuGfJuRSYx2Yh+OE7f5liJTGf7E/kWMuO2IEUd8iynpjfM8QO9cxTa5mxP6WDuP+XYiUxxxYmueiKVRlyexHGONtSfpSRhH4TgoxudpkGZpFpxE4zI4Px1np1GShvl4POMB57cvjrutGGj+a8PUs9yEhonls82EHViU2bAN5IYoCGHfCTtNvnwMf16z2jNfrh/OJ813m8nWTxcFrJ/qT143i8zNLPjTZo25uYXP/IkvmxnzJ82NdQ/B+bCgmxTeTfhJqQ1jVxSDsNlGmI/CxQaCKCLFBmHfiLXLKHuiKB6rDQQpqLudmOGwUeyLUvirM4DExE1ZPkLAJ8352goNksXGNNwITxacEPvYExtwUIeybNR3D8PWVmnQPqCVHHQjR/XfoNJorILofDwJomhSBkU4yYMwVKHKiiIq1VyneZWjVtWt5WhK9QWOz78cFQQhRCesHH3v6T2bT7SM/Gx2C/VnpsihuYvaaNGHjdKca9GHjXo13/ip+bj48jvN/s9DsyfT7Oi8vW3O/z+Z/mz6k+YWgOa+5V9qHfu2/vOmQvbih+7P1fDs819G36jfq38XfXO7d3T9Vq8MQ+tqyI6oqxXe1XhJu7iFur8oE2kk/APtuNemr/fq3z3tCOxoPLPp9plx7/IS72auYEqTf9RcKf7afIqw2F5bXH2tf+Rh7/pL35/8+3Gvvje/3Xu5G3dpEJs7y80k5bVe0NNTEvNTb+m/cDFWegTN6NmGbFd0yAgprBP5LogiJN+t79GeKIlH9S5IQVUQmNGwUeyLUnhT77Hp1GDjuynLR8iPnar3dCH24DaDsuCE0MdW7+CgDmXZqO8ehq1NvbcPaCUH3dQJby9Dp+eiKEifKyftpapoT0VRBVgUxbR3NYSsWRT1fn1/psLmKu2J1mJfWaqG72nN9PN5bdOTZzTdsmIKXfjEJE9x5J0UPjFNVCQTEeY92x7FYusu21bkLjFBiYKFTUwLkXvCeIHpKmxi2ojcDV5XOjKto+z8YvwXpmU/g46PMW0UKW+6lD8tzVGSMDPnA/JZLwJTQwz3IrjJx0NmQ3oVVBoXcBUU11pkOqRWQamLKiiwZ90tvtXIpNiFpjYw1/YdGAd8DGSGa6+KAmw3Zl97diAgikM+hSJSoJ8j49mtpWErBg/4BiMzIXpiggg+lQk+FTL4DPloyBRKK6uCA89tvqXIREopq1IXZVXg23rEt5iSXFmPzXK25w44FRuhmzKr9mCzGACI4JhPgMyu5AIstbU0asXYEc9YY+15chKflioMirgog3R8FgVlPtYfEnV6lpf55GTsf8cLPmaU0TCxfLZZtwOLMvO2gdwQBSGs6GGn5M/seH3U7L7c7c1LsI6u3zJbGPO59of1H+rf1/+tftf89ufzfY35nYE9/ecfNZ1C7/bmp4G/MDP9+Tmn+ste/Xj6lp7c/3T6M5vbdkTdpvBuw0+WbRi7ohiEZU3CPBre0RFEEdrRiXIbyp4oisctHUEK6rIyYjiivOinaWZj2Rdl8baxk+RxP7cuUNyUBSTkgS5mocu5aLbYCIBbdMqCE0IgegJ1aVQj1Y9TG9xQFo76DmLg2rZ22ke0koOe3Sx4XoTZ+VkYnMfheZCeZmVQnJVlcDqZpGGWnI/DdJ4tvMpUaOPH1VbG6gscn3+ZKghCCE9YmXr5nID9fEBTe1O/X79T39Nq9t36d/rXB/MjBbeGgdJK9R2bQ3ZEHaLwDllbgApiEKJvJwJUEEVKgCobyp4oikcBKkhBTX6I4YhU3k+VNZDvi7J4E6Bl2I8h/SnJRwjwnerPfKFW4FZ+suCECMjWn0XRL6DKIkk26huIYWuTn+0DWslBG/3pkpXdVhJZq021oHT3kclX6TZeScS0F7lpitWDm6gkYpKnOPJOKomYJiqSiQjzFpVEs2uT5vcnJXfuvGSze5dtN3IvlSBGwaoipoXILVG8xnRVFTFtRG6GrisemdZRNj4x/gtz1S9tJu6zTdxgUVFprhoNF/v6hbuoiIuHTIwdFxVxrUVmRmpRUXFRVAS2hbvFtxqZH7uQ0wbm2r4D44CPgUx26xQVFdeeHQhHURGXQhEp0M+R8ezW0rAVgwd8g5GJED0nQQSfygSfChl8hnw0ZAbtsKiIaykyj1KKioqLoiLwbT3iW0zJrazHZjnRcwecio0gXVRUXHt2ABxFRVwCZHYlFxUVW0ujVowd8Yy9srs1wF3AenJd0jCxfP53awRBCIt52Nm5h90aQYcovEPwM2Ibxq4oBmGtkjBBhndrBFF879YIonjcrRGkoK4VI4YjyqJ+UlhHZF+U5Urs1kjyEQJ8F9PL5SSzXCzuw21IZcEJERA9M6Ls1kiyUd9ADFvbbk37gFZy0Fe3pj2BioXmFwQQfIHj8y4/JUEI0QkrP69KTbuk2xTebeuKVEkMQojuQqRKokiJ1NyGsieK4k+kSlJQUyRiOKIi7pf2C9j2RVm8iVRXTbsoICEPdKlSo0UTzMjR1FQUnBAC2SrVVdMuCkd9BzFwLTIVMaKVHLTfoiLrkGrhGTnpilW6TRcVce1FbppideMGioq45CmOvIuiIq6JimQiwryniori2BQVJf1QBxioqIhrN3IvlSBHoaIiroXILVG8ynQUFXFtRG6GrisfmdZRNj4x/kvtdwHusw3cXElRZJoZR8l8Vz+KnCVFbDxkWuy2pIhtLTIvEkuKomhZUjRzs83qW3yrkdmxCzVtYK7tOzAO+BjIVLdGSZG2/dmBgEuK2BSKSIF+joxnt5aGrRg84BuMTIPoKQki+FQm+FTI4DPkoyHzZ3clRWxLkVmUUFK0DDq3HW/rEd9iSmZlPTbLaZ474FRsBOGSomWwWQwAXFLEJkBmV2pJkX52lkatGDviGdvobdT+j+EBJ9WOVQXuxBoqKYpiGiaWz/+ejiAIYS0POzeXLymSdIjCOwQ/H7Zh7IpiEJYqCdNjeLdGEEVqt0bZUPZEUTzu1ghSUFeKEcMRR1HfOh77oiTe9mocBUWifITw3sXkcjnFjBcL+2Df4gNZcEL8Q8+LCAVFomzU9w/D1rZT0z6glRz01S0oSsGCooTqCxyff/EpCEKITljxeWUKigTdpvBuW1uiCmIQQnQnElUQRUqiQgVFgigeJaogBTVFIoYjTsq+dTz2RUm8SVRnOZEkICELdKpRF51uI0frYlFwQgBka1RnOZEkHPUNxMC1idT2Ea3koP2WEykbnZadqZOuXKXbeDkR097VmPFnWE7EJE9x5J2UEzFNVCQTEeY93e3MOt/aZduK3DslCFCwhIhpIXILFK8rXSVETBuRm5/rCkamdZSNToz/kgQUgkwLN1hDpEwNUbbYxk/dNURcPGQu7LiGiGstMhlSa4jSixoisDvrLb7VyJTYhYQ2MNf2HRgHfIyUiMHY1k+vPTsQjhoiLoUiUqCfI+PZraVhKwYP+AYj8yB6HoIIPpUJPhUy+Az5aMgE2mENEddSZBql1BClFzVE4Nt6xLeYklpZj81ybucOOBUbQbqGKL327AA4aoi4BMjsSq4hSreWRq0YO+IZ2whu1JaP4QFn0o6lBO5sGqwhUjRMLJ//bRxBEMICHnZC7qGGSNAhCu8Q/CTYhrErikFYnyTMj+ENGkEUqQ0aZUPZE0XxuEHz/y/vXZskOa4zzb9Spk/aro6yuLjHRWbzAehpYgqL7ipUVKEqcyAby6sGtiQwBkJ7GTOZkRTJkZa7Q46kGdGooShRazbzZczAC5YQCYJ/YD9k/4X5JeseWZkFRIW7v+dknojMESUkugrV3e9zwsPP63FOuAtSUB8PA5cjjc9i3XlBzkVReqvQ+JqIJPkI8/s+VpfbNabePM73nKktCk6YAOGFEaWJSJKNegMibKH6TPiC1nLQh9tEpJ1NRDk1Fhhf/+5TEIQwO6Hu82CaiATDpvGw7exRBTEIU/RePKogipRHdTURCaL06FEFKagpErgcaXpWpFUXyrkoSm8e1dtFJAlISAN7NambY1kTz0G7ouCEGZBtUr1dRJJw1FsQgQu51PAVreWgzf/+8E++YGucNvTri9lH733wfkcgWC406+I0DrTwcGaZe6t8WC3FXD60FHXKfZ0ttz3MPMEFLeQ/WJdnbKTxfI3f+/nq85OmjeWXtnHI/PPb5nGm/dXPn548fM8Ywu+c2HajtVO0/7kL1XjD4g/O2byPZks38G6T5X2TQfn0RZba3UpS226Q2i8z+2Vmv8zsl8p+qeyXyn6pE/uh7EdhPnL7ZV66plduFBQ9CngFyKK/tOgvLfpLi/7Sor+06C8t+kuL/tKiv7ToLy36S4v+0qK/tOgvLfpLF/pLPrqmo+OlI0N+YckvLPmFJb+w5BeW/MKSX1jyC0t+YckvLPmFJb+w5BeW/MKSX7jIL/jk+L3Ozyj35e3yaW0jUNsI1DYCtY1AbSNQ2wjUNgK1jUBtI1DbCNQ2ArWNQG0jULsiULMj8KjiGYgAbchfW+xri31tsa8t9rXFvrbY1xb72mJfW+xri31tsa8t9rXFvrbY1y7saz42nkGJlVJDfWOpbyz1jaW+sdQ3lvrGUt9Y6htLfWOpbyz1jaW+sdQ3lvrGUt+4qG941F/IxBb+X/r8xD7bk52nvCS+w2yyzF3ixsQyvYTV3aX3dbZesBcLNRN/YVyB7UP++X0J9OPm35+sDcW6Ivod863P75uQ/7FlIE6aZ0+/efXnZyfWfpzok9Vnq89OXn3T/AHmz/3EfNP8meZXnza/vSmsWuNibckvWoXY5ttdf+2nXRF8xo5gOzVLtjkzJWqSREDe6servz7579/+TydVcwFPkvwsLs7SONXmwv1XE/WPmyeKn9xXxL2m8WT1M/Pjv2ou1Mevvm870r/YRd1ZcXjODgXYPUZ4AufsomYqBJvA8Adrvi5qpkaw/WvXJ2ZMdZRWLyB+ZlAr3aXwnK1wwC5qe7hrGtuPZNPN6D/hlc0I5m16K3USx4m7l5orF8zc1F7qhyNeE88Rr2zVYP7ebW28fYRoT1x0Y7zgY4BJlLG43bY3PhzxmgSOeGVTaCIFPI5sZE+3wh6vMLmCwWwIP40FpqDaTkG1nYJqcAq65POBuZTWUO2Zft7mSwVTKqWj+uGgV/c9e8VXTEmzrMGzfc7tn3ZqNoJ0R/XDQa/+KeeaTwAmWeJzAjt2tqIer/A5Ypt1SKKXxVxlUVYtkkhleR5NqnkVpdNFNldJPDNfrXmci/+vTfbb02KX1q5HABUNE+XrekzgwaI8KugCeV0UhFDMRJ8hNOtHs0J8WD+++q755Wf2pWXz7d/aVWIX6DNRUI2DEtbRf2vWwL9tlr6fmmX06j+sfrD669Xfr364+pvVj04un2XxyYvbLtbnoqyEQi1hoexuVRFEEWlV0V0cb4hy9NinIkhBLZID1yJJi7O084Kci6L01qeSZmdZZx/Om7J8hJl9H6vL7RpzcyBo4jnhVRScMPvBC6NHF7U46z6W+FKWjXoDImyhLpXwBa3loNdv8k0m5TSbVlGRZypS8bKKJnpmPuI0mS0y8wdtlu69+s7OB8evZanvGLHOWGB8vftOSRDC7IT6zn9Y/cIWn2yxwpad7Ht733/1jfWbe5sX9f5Ztvqs+WWqX30nXZenuuCficJrHB73ol0Yz0UxCBMtbjNf/dmrb3WhfEUURcRmxt3NY2+IkvRnNCUpqHkOuBrFWZ7pLpJzUZLefGahzrq3rHpTlo8wk+/TZ6abEz1TzxmtouCE6Y/tM7PiLO4ctJeybNT7D2EL+EzggtZy0Ie6Y4T1mZ1ZxPhM3+E63bGA+Pr3mYIghNkJ9ZnyO0ZIBkTjAdnZewpiECZf3Hu6H3FKogh5T9eOEZIoPZpPQQpq8gMuR3ZWdlfjzkVJejOfng0jRPkI0/tezWey8Sqew01FwQnzH9t8ejaMEGWj3n8IW8h8hi9oLQfd54bemfOxZeqhU0ncphu6Y56rF+y4Q93gEXfMcyOosAjuo2OeK1GTJALyyF3xr75thoEZCq/+bN3xAPbFc4HBTkCCF3b1xXMVgr18uMX19MVzNYJNfLt6V6Y6SsMeED9PXzxX4XB98WlmW+LVfT9qmnpb4tl4YGLec0s8Wy6Ymokt8Wm6bYlPnWf0vcVXDSboffh5C/Pk3IPxgo8BZskdWuKN9i9fCHdLPJtCEyngcWQje7oV1hJ8wRcMJkJ4UQTMPrWdfWpw9rnko4EZdI/d8GypYCIldMNvZ523PbfrFV8xJbmyxs12qemfcWo2gnA3/Ha22VwAdzc8mwDMr9RueDN2tqJaYm94Yg+2WuRYLpvlfUbDRPn6rxYJghAeJ6LPB3qoFgkGROMBwdfSXRjPRTEIT0sJK2R3tUgQpe9qkSBKj9UiQQrq02rgcviqRYIkB1EtkuQjTO/7WF1u15ib00JTz/mvouCE+Q9eGFGqRZJs1PsPYQtVi8IXtJaDPtxXMVNnbUlRY4Hx9W8+BUEIsxNqPvmvYkqCahwUN5WPX8X8j8ZNf+FVzPTktgv1uSgqYeLdi/EURBExnrqL4w1Rjh5dpyAFNesB18L3JqYkSm+20/MmpigfYWLfq+1UG5fiOT1VFJww+7FtZ2aMR+cjr0tZNuoNiLCFbGf4gtZy0P02KWVddMZIai9d0qYbvEmJqbc9ZfwTblJiRlBhEdxLkxJToiZJBOSRm5SaC/EbMxQ+sxeD1qjEhAbrswQ37GxUYioEy6y4yfU1KjE1gvXVXQ0sUx2llgrEz9eoxFQ4YKNSbhuVik2rgPY3KnHxwOS870YlrlwwPVMblfRDo5LzHMC3+KrBJL0PT29hnpx7MF7wMcBMuUujkn7y5QvhaVTiUmgiBTyObGRPt8Jagi/4gsFECC+MgNmntrNPDc4+l3w0MIPus1GJKxVMpJRGJf3QqOS8Xa/4iinJlTVutstN/4xTsxGkG5X0ky9fAE+jEpcAzK/kRiV9uhXVEnvDE9tYbqiuZHmci3vP0w3uAt/ZqJTTMFG+/mtFgiCER4roM4IeGpUEA6LxgODr6S6M56IYhCemhBWyu14kiCJSL/I0Kgmi9FgyEqSgPrEGLoevUUmQpLeKka9RSZKPML3vY3W5XWNuDiRNPUfMioIT5j94YURpVJJko95/CFuoYhS+oLUc9OE2Krlfgi+oscD4+jefgiCE2Qk1nzs0KgmCahwUN5XtRqX/ti7QmG9+avB/fbL6u9XfZaWzWUkQlzD57sV8CqKImE/dxfGGKEePzlOQgpr5gGvhbVYSROnNevqalST5CJP7Xq1nsXEqhcd6SoITZj+29VTpWe6ynpJs1BsQYQtZz/AFreWg+21WUl10xkz6zllSSdqmG7xZiakXrIOiXvCYm5WYEVRYBPfSrMSUqEkSAXnbM4iT+P4Q4kLkEOL0LO5+9fs5OxZg6ZZgkp09TEyFYAUW976+HiamRrD0uquvZaqjlFmB+Bk7l3dOu+dshQP2MNlDiDN7CHG2OQE09R9CzGYEE/e+G5m4csHUTW1kejiEOPUcQsxWDSbwffh9C/Pk3IPxgo8BZtFdGpkeDiFOA4cQsyk0kQIeRzayp1thLcEXfMFgNoQXTcAUVNspqLZTUA1OQZd8PjCX7rObiSsVTKmUbqaHQ4jd9+wVXzElzbIGz3Y96p92ajaCdDfTwyHE/innmk8AJllyN5M9hLh7urnhiW3MN1R8sjzO1b/n8Qf3CYCzm6miYaJ8/ReUBEEIzxzRhwg9dDMJBkTjAcEX3F0Yz0UxCI9UCWtld0FJEEWkoOTpZhJE6bGmJEhBfaQNXI7sTKvO5zDnoiS9lZR83UySfITpfR9LzO1Cc3Nwbeo5iVgUnDD/wasjSjeTJBv1/kPYQiWl8AWt5aAP9yRi5epmun93lxILiK938ykJQpidUPO535OIJeE1Dr+r0ZTEIEy0uNF0n0QsiSJkNLMukjdESfrzmZIU1DwHXI3iLC47r8e5KElvPtNzErEoH2Em36fPzDYH12aek4hFwQnTH9tnek4iFmWj3n8IW8BnAhe0loNufOZML+ZVXFbRdKF1pKaL0njSaRbFy7TMJ+l8Op3od/v3mZ2zlvGZvoPxOmOB8fXvMwVBCLMT6jMfd80b4/np6nfrnhjbCHPvNlc/s51OTWfM+ut/aI4m+7b557vmn2+sf9z21qy7Z363+vxk9ZPVD1c/iprnoj9Y/Xj1V+bz71Y/fXqSxa5HcM9EA6jxAO7sVQUxCJM17lXdD0UlUUS8qjrTXSRviJL06FUFKai5ErgaSZyfpa7dlyRZenOrSXp2/wbcY7cqyUfIB3t1q5uTbjPP0cWi4IQJkO1WzUXVnY+6L2XZqHcgwhZyq+ELWstB99to3zkPGf+ZeumyNt3QjfZcve0p459uoz03ggqL4D4a7bkSNUkiII/cS+87utjTTc8FBvsHCWbY1U3PVQh2AOIe19NNz9UItv7t6l6Z6ihtfkD8PN30XIXDddNn9ujibHN4aOY/upiNBybmPTfSs+WCqZnYSJ89HF2ceY4uZqsGE/Q+/LyFeXLuwXjBxwCz5A6N9NnD0cVZ4OhiNoUmUsDjyEb2dCusJfiCLxhMhPCiCJh9ajv71ODsc8lHAzPoHnvo2VLBRErooc8eji52365XfMWU5MoaN9ulpn/GqdkIwj302cPRxf7Z5ppPAOZXag99Zo8u7p5pbnhiG8sNtTxZHufC3vNkg7u4d/XQZxkNE+Xrv7wkCEJ4nIg+H5DvoZcMiMYDgq+luzCei2IQnpYSVsjucpEgiki5yN1DL4nSY71IkIL6tBq4HJ4eekmS3qpFnh56UT7C9L6P1eV2jbk56TbzHF0sCk6Y/+CFEaGHXpSNev8hbKFqUfiC1nLQh9vbpJ099IoaC4yvf/MpCEKYnVDzeYC9TYIB1HgAdzarghiEyXovZlUQRcSsunubBEl69KqCFNRcCVwNf2+TIEtvbtXX2yTJR8gHe3WrmwNyM8+Jx6LghAmQ7VZ9vU2SbNQ7EGELudXwBa3loPvtbeq8T43/1F461aYbvLeJqbc9ZfwT7m1iRlBhEdxLbxNToiZJBOSRe5tCJx77+puY0GBZl2CInf1NTIVgdRb3ub7+JqZGsCy7q4NlqqOUYIH4+fqbmAoH7G+yJx5nmzNHM/+Jx2w8MDnvu7+JKxdMz9T+pocTjzPPicds1WCS3oentzBPzj0YL/gYYKbcpb/p4cTjLHDiMZtCEyngcWQje7oV1hJ8wRcMJkJ4YQTMPrWdfWpw9rnko4EZdJ/9TVypYCKl9Dc9nHjsvl2v+IopyZU1brbLTf+MU7MRpPubHk489s8213wCML+S+5vsicfdM80NT2xjuaFylOVxLu49Tze4C3xnf1NOw0T5+i8xCYIQHimizwh66G8SDIjGA4Kvp7swnotiEJ6YElbI7pKRIIpIycjT3ySI0mPNSJCC+sQauBy+/iZBkt4qRr7+Jkk+wvS+j9Xldo25OSA385x4LApOmP/ghRGlv0mSjXr/IWyhilH4gtZy0Ifb35Q7+5sKaiwwvv7NpyAIYXZCzecB9jcJBlDjAdzZrApiECbrvZhVQRQRs+rubxIk6dGrClJQcyVwNfz9TYIsvblVX3+TJB8hH+zVrW7O1M08hySLghMmQLZb9fU3SbJR70CELeRWwxe0loPut7+p6KIz/tN/DpRu0w3e38TUC5ZOUft4zP1NzAgqLIJ76W9iStQkiYC8h0OSy/UhySalx5XIIclZ5w36nB0LsNpL8MnOtiemwrYFFm17YmoEq7W7GlumOkplFohfVpzlnZn/nK1wwLYne0iysockq80JpZn/kGQ2I5i49937xJULpm5q79PDIcmZ55Bktmowge/D71uYJ+cejBd8DDCL7tL79HBIchY4JJlNoYkU8DiykT3dCmsJvuALBrMhvGgCpqDaTkG1nYJqcAq65POBuXSfDVBcqWBKpTRAPRyS7L5nr/iKKWmWNXi261H/tFOzEaQboB4OSfZPOdd8AjDJkhug7CHJ3dPNDU9sY76hepXlca7+PY8/uE8AnA1QFQ0T5eu/BiUIQnjmiD5E6KEBSjAgGg8IvuDuwnguikF4pEpYK7trSoIoIjUlTwOUIEqPRSVBCuojbeBy6LNcuxqgBEl6Kyn5GqAk+QjT+z6WmNuF5uZM3cxzSLIoOGH+g1dHlAYoSTbq/YewhUpK4Qtay0Ef7iHJhasBSvkP8uuKBcTXu/mUBCHMTqj53O8hyZLwGoff1WhKYhAmWtxoug9JlkQRMppZF8kboiT9+UxJCmqeA65GkpxlsepCORdF6c1oek5JFuUjTOX7NJpqc6iu8pySLApOmP/YRtNzSrIoG/UGRNgCRhO4oLUcdGM0dWK+nKssyqpFEqksz6NJNa+idLrI5iqJZ+ard/s3mp1pxBhN/xl8HbHA+Po3moIghNkJNZqPO+1ffdf88jPzj3302bTNd4E+EwXVOChuKld/++qbTaPWz23j1snqP6x+sPrr1d+vfrj6m9WPTi6fZfHJi9su1ueirISZF3ee7keckigizlN3cbwhytGj7xSkoKY94FokZXmmukjORUl6s51pdnb/9Oex7ZTkI0zse7Wdm9Nxlee4Y1FwwuTHtp1pcVZ2TiKXsmzU+w9hC9nO8AWt5aD7bZnvrEMYI5l66fI23dAt81y9YMcd6gOPuGWeG0GFRXAfLfNciZokEZBH7ooPHHfs6ovnAoOdgAQj7OqL5yoEe/lwf+vpi+dqBJv4dvWuTHWUhj0gfp6+eK7C4frilT3uWG0OHFX+447ZeGBi3nNLPFsumJqJLfHq4bhj5TnumK0aTND78PMW5sm5B+MFHwPMkju0xKuH445V4LhjNoUmUsDjyEb2dCusJfiCLxhMhPCiCJh9ajv71ODsc8lHAzPoHrvh2VLBRErohlcPxx27b9crvmJKcmWNm+1S0z/j1GwE4W549XDcsX+2ueYTgPmV2g2v7HHH3TPNDU9sY7mh5iXL41zYe55scBf3rm54ldEwUb7+60SCIITHiejzAflueMmAaDwg+Fq6C+O5KAbhaSlhhewuFQmiiJSK3N3wkig9VosEKahPq4HL4emGlyTprVrk6YYX5SNM7/tYXW7XmJvTcZXnuGNRcML8By+MCN3womzU+w9hC1WLwhe0loM+3Cal0tkNr6ixwPj6N5+CIITZCTWfOzQpCYJqHBQ3lY+blP6jcdNfaFJKT1w9SoKohIl3L8ZTEEXEeOoujjdEOXp0nYIU1KwHXAtfj5IgSW+u09ejJMlHmNf36jo3p9wqz7HFouCEyY/tOjPjOzqfeF3KslHvP4Qt5DrDF7SWg+63R6nzPjU+Unvpijbd4D1KTL3tKeOfcI8SM4IKi+BeepSYEjVJIiCP3KMEHFvs7FNiQoPlWYIZdvYpMRWCVVbc4/r6lJgawfLqrv6VqY5SSgXi5+tTYiocsE/JHlusNgeHKv+xxWw8MDnvu0+JKxdMz9Q+pYdji5Xn2GK2ajBJ78PTW5gn5x6MF3wMMFPu0qf0cGyxChxbzKbQRAp4HNnInm6FtQRf8AWDiRBeGAGzT21nnxqcfS75aGAG3WefElcqmEgpfUoPxxa7b9crvmJKcmWNm+1y0z/j1GwE6T6lh2OL/bPNNZ8AzK/kPiV7bHH3THPDE9tYbqisZHmci3vP0w3uAt/Zp5TTMFG+/ktFgiCER4roM4Ie+pQEA6LxgODr6S6M56IYhCemhBWyu1wkiCJSLvL0KQmi9FgxEqSgPrEGLoevT0mQpLeKka9PSZKPML3vY3W5XWNuTrlVnmOLRcEJ8x+8MKL0KUmyUe8/hC1UMQpf0FoO+nD7lCpnn1JBjQXG17/5FAQhzE6o+dyhT0kQVOOguKls9yn9t3WBxnzzU4P/65PV363+LiudvUqCuITJdy/mUxBFxHzqLo43RDl6dJ6CFNTMB1wLX6+SIElvztPXqyTJR5jb9+o8NyfWKs8RxKLghMmP7TxVepa7nKckG/X+Q9hCzjN8QWs5aPO/P/yCU7GG8l/6HOZ+e5eSzmtszKXv2CXz2cbtqXkpczYvMfWCdVHUG/7t6te2eckYpKahpbN36FHD0n5bk9ZPN82fm5o/2W4u73SjzJApLGR76VZiStQkiYC87SHE1foM4iQ/i4vmDOKn2wak5CzOOu+m52wOsO5KcLjOBiSmQrB8ihtXXwMSUyNYN93VlDLVUWqkQPxSfdZdlDtnKxywAckeIKzjTQuA/+xgNh6YYekNSFmcufuPuGrBDEvtP3o4Olh5jg5mqwbz7D58uoV5cu7BeMHHAHPfLv1HD0cHq8DRwWwKTaSAx5GN7OlWWEvwBV8wmAfhxQ4w+dR28qnByeeSjwYmUFr/kXvieZuvFEyjlPajh0OD3XfrFV8xJbWyhs12BemfcGo2gnT70cOhwf7J5ppPAGZXcvuRPTS4e6K54Ym1ahcqL6r5chbN8sUkUvFiEVXLYhotSj0p9TSeKXWfyZzrc88DC/Ya3dl/VNE4UcCulbyHi7Ka7wJ5XRSE8JgQXeb/6IuL/F/aY9vMgtustT9e/b+bl1eaRaFZm/+5LQutPrXL9b9/9S3z+8zKvVne//rVN/+VTS2rn9m1/vptll+sftN86zNbYOqK1DPRSGk8UvjSuQvjuSgG4fEoYeXsrg0JoojUhtynvAmS9FgdEqSgPp0GrkZxlme6i+RclKS36lCRnlWqi+9NWT7CtL+PVed27bk5fFZ5ThMWBSdMf/CC6dECI9FnaedVvZSFo96ACFyoPBS+orUc9OF2xRtb6uhM0r4j7zqDgQH2bkslQQjzE2pL5dviJQOi8YDs6j4lMQjT7z7cpySKkPvsXMy+IUrSn/uUpKAmP+BqpGfaVS6SJOnNfXq64kX5CLP7Pt2n3pxIqz1HDIuCE6Y/tvv0dMWLslHvP4QtYD6BC1rLQfe7j1LieMqp/UfZlW28oXuRuHrbc8Y/oV4kbsgUFrJ99CJxJWqSREDethcpie+bkYrHzUjpWZx2rs6es0HAIizB1LqakbgKwVoq7lU9zUhcjWAVdVcXylRHqZgC8Uuzs7xzkjxnKxyuGUmnthkpu+8H0Im3GYmNB6bY/TYjsdWCKZbYjKSTbTOSdh5x+xZfNZho92HMLcyTcw/GCz4GmPx2aEYy2r98IdzNSGwKTaSAx5GN7OlWWEvwBV8wmAfh1Q0w+dR28qnByeeSjwYm0P01I7GVgmmU0Iy0nXTe9tytV3zFlNTKGjbbJaN/wqnZCMLNSNvJZnMB3M1IbAIwu1KbkczY2Ypqib3hiT3cqk/iaka6310D5kQB+6/6CIIQngui6/weqj6CAdF4QPAlchfGc1EMwmNPwgLZXfURROm56iNI0mPVR5CC+tQZuBpmIneuywVJDqLqI8lHmN33sbjcLjHTTZHAcza4KDhh+oPXRZSqjyQb9f5D2EJVn/AFreWgD7gTPnG2HGXUYGCA/ZtPQRDC9ISazwE74SUjpfFI7exKBTEI0/JeXKkgipArzbpI3hAl6dGVClJQsyJwNYqzuOy8HueiJL25Uk8nvCgfYdrfqyvdHDyrPScJi4ITpj+2K/V1wovCUW9ABC5kS8NXtJaD7rkZyWU0lRevauMN3ozE1NueNP4pNSMxQ6awkO2lGYkpUZMkAvIempHKdTNSnJ/F1eNmJNfRbFwQsAhLcLXOZiSmQrCWiptVXzMSUyNYRd3VhjLVUSqmQPw8R7NxFQ7YjKRtM1K+6QdQ/mYkLh6YYvfcjMRVC6ZYajOSemhGcp5l+xZfNZho9+HMLcyTcw/GCz6GImIw+gPUky9fCE8zEpdCEyngcWQje7oV1hJ8wRcM5kF4eQNMPrWdfGpw8rnko4EJdI/NSFylYBqlNCOph2Yk5916xVdMSa2sYbNdMvonnJqNIN2MpJ58+QJ4mpG4BGB2JTcjqdOtqJbYG57YxnBDtSPL41yge55QsBfpzmYkTeNEAfuvBwmCEB4Mouv8HpqRBAOi8YDgS+QujOeiGITnnoQFsrvsI4giVPZxNSMJkvRY9hGkoD51Bq5GdlY41+WCJL2VfXzNSJJ8hNl9H4vL7RJTb4oEngPARcEJ0x+8LqI0I0myUe8/hC1U9Qlf0FoO+oCbkVJnM1JODQYG2L/5FAQhTE+o+RyyGUkwUhqP1M6uVBCDMC3vxZUKogi50qyL5A1Rkh5dqSAFNSsCVyNJzrJYdaGci6L0Zkt93UiSfIR5f6+2dHO8rPacFywKTpj/2LbU240kCUe9AxG4kC8NX9FaDnpzbNs9uLWbfR7b1pkqjPMsPLjm/9q4PXUnVc7uJKbe9iSyY3fSXxtj92fNQ8p1d5JtNTIG8PPGF/583Zf0ufGOv1m7RuMJ171Ef7n6i9XfrP5i21mU3HcWWVv5W/sn/bppW/p140o/6QrBM3YIFBaCvXQbMSVqkkRA3qbb6PHOR2cnq3+wbV73Tt42fP189blZBbz6nrHtn69+ZS7Bnzf9Y7Zz7Bf2PzW9Y83a4Jfby2ovNrCDEjMeYLGW4H6dTUtMhWDNFTe1vqYlpkaw2rqrXWWqo1RWgfhlxZnqzOfnbIUDNi2VtmnJnumWb45V0oW/c4nLCKZfeudSklaJu3WJKxfMv9TWpeKhdcl5tO1bfNVgFt6HjbcwT849GC/4GGAm3aV1qXjy5QvhaV3iUmgiBTyObGRPt8Jagi/4gsFsCK+FgCmotlNQbaegGpyCLvl8YC6l9S95pp+3+VLBlEppYCoeGpic9+wVXzElzbIGz3aV6Z92ajaCdANT8eTLF8DTwMQlAJMsuYGpON2Kaom94YltFiM6mU21mkcTtVxGaqFm0bSclZFeLKrFZJKW5YbHuYb3PNRgr+OdDUz+I+wecaKAXat9Dxdlxd8F8rooCOFZIvoo4B/s4nD1m5Nmtf/x+s2h5rWin9uWpaY0lMRPEv0kfapXn3UhPxNF1jgyvq7uwnguikF4GIovh1/9WXd57iuiKCLFIFeDkiBHj6UgQQrqg2jgWnQ/BjoXxeitDFQmZ5nq4ntTlo8wde9j/bhdRZabooHneHBRcMLMBy994It6KctGvfkQtlAVKHxBaznoxlnO0mUyT2ZxlMxmaaSmcxWVi1hHi2WyyCuVZ2U6fXcAZ+nqTqqowcAA+3eWgiCE6Ql1lj+xtYlX3zZ28jev/q91j9FvVx83xaaPbZvSq++/+ve2RrH6R/vfdPzE/H/8VMX2q8xpNQVjoPEY7Gw1BTEIEy5uNZsq0S/OTrqvy1dEgXo1nIIcPRpOQQpqzgOuRRp3Xo1zUY7eHGeWn2V5F9+bsnyEKX2vjnNzfKz2HAgsCk6YANmO03lRL2XZqHcfwhZynOELWstBN44zmVTzdJYnUZlmxp2mmY6mSVVGi6qIk/l0Xmi1eHcAx+noSsr959N1BAMD7N1xSoIQpifYca5+07S8fHyy+pH1mq/+9NW3T1b/j7Gb/2jfxrzvcPrl/WuXqY7jV99J0vXnmXZ4m2eiUdB4FHb1nJIYhCmX4Dld3T6SJDJm0/UCpiRJf3ZTkoKa8ICroczlKFUXyrkoSm+OM3ZUzN+UxSPM6Ps0nPnmyNjccwawKDhh9mMbzkSnrst6KUtHvQMRuoDlBC5pLQe9aXXf3K9997p3Tk2vbU6wcPHqNm9Pve6JY3eB19mCwTY71BV29kl/eefN1aerX9nu9h+t/ua+kd2+M/ktu3lHYyn/nfnqm01V/LNWj3tHK3xXMJ6xg6GwYOyj7Z0rUZMkAvK2m2xW923v+eMDf5OzOOucDZ+zOcAGvX0YWKZCsMWOYkyd7epcjWBv3a6Wk6mO0kcHxC/VZ0p3KTxnKxyuXT23B/7mmf1Q9sNuuZnn9qO4bx3N/YcAs5HBhMroXldp6uxeZ8sFMyqxez1/OAU495wCzFYNptV9WHML8+Tcg/GCjwEmxB261/OHU4DzwCnAbApNpIDHkY3s6VZYS/AFXzCYHOH1DTAj1XZGqu2MVNsZqbYzUm1npBqckS75uGCmJTazu2ejt/lSwYRLaGbPH44Gdt/CV3zFlCTMGkvbdaR/FqrZCMLN7PnD0cD+GeiaTwDmXGoze26PBu6efW54YptVUFYu42xaRnGqdKQKlUeTZTaNKjWvVFbk8TSbrnmci3TPYwv2Qt3VzJ6nNE4UsGs57+GiLOm7QF4XBSE8LkSX+v/11Z82+3H+zi7GP7cfzTaczbr8s6YFKXuqnySdV+2ZKKzGYfF1chfGc1EMwpNOfJnsbmOXRBEp9HS/u/yGKEiPdR5BCupTZuBiJElSnTl22pRE6bHOUzkai0TxCBP3PhaT2yXl5pDY3HPqryg4YfaD10HoNb2URaPefghaqMgTvp61HHRjK4tples4W0S6LKtITcsymhbL3HwZzyaTSZ6nk8W7A9jKtCsYxlZm1GBggP3bSkEQwuwE28rV71Yfr37dbId0v2XSL5t+9l+Zb/+y2Tfz16tPT179ma0trX7+9MT8jr9d/cXq71c/XP3N6kfr3vefZp3dYs9Eg6HxYOxsOwUxCBMvbjvdW2lKoojYzvgs010ob4ii9Gg8BSmomQ+4HOVZFbt8pyBJb75T67Oqcw39piwfYWrfq/HcHAObew72FQUnzH9s4+m8qJeybNT7D2ELOc/wBa3loA94dw7l7GhX1GBggP07T0EQwvSEOs997M4hiaxx5J39pSAGYX7F/aXnsaYgioi/TM+694R4QxSlR38pSEHNb8Dl0PmZqqoulHNRlN4MpmeTDlE+wgy+V4OpNn7Ec1KtKDhhAmQbTM8mHaJs1BsQYQsZzPAFreWg1+dXxukim8VzY0GrNEqSRRWV8WISxbGOdV6WSaXvjVe/BrNzBBiDqanBwAD7N5iCIITpCTWYX9qk48S1QcfJ6ierH5+k5avvpMWr78RP89VnthP+79ct8vY3fv7qu+YHf7v2puabv23ev/x+V4yeicZI4zHa2ZEKYhAmZNyRhjbxkAQS8aVJdqa7UN4QRenRlwpSUNMicDmMpjNddF6Rc1GW3oxpps+6u4felOUjzPx7NaaboxBzz9mWouCEeZBtTDN1lnQuby9l2ah3IMIWMqbhC1rLQa+ffC6maVLoIirnKovUfGns7GJZmd86KcrpwljZZP7uAMa0c9oyxjSnBgMD7N+YCoIQpifUmP7V</t>
  </si>
  <si>
    <t>q3+/PpLSustfNIX1X61+udlI7hfrE4vsr/MnqrOj/pkoscaJd7aZghiE6RW3mZ4Hn4IoIgYzy866/cwboiw9OkxBCmp+A65HqcuzKnPV1gVZenOY8VnV6UXelMUjzOB7NZibMw1zzymVouCEGZBtMF3X9FIWjXr/IWghfxm+nrUc9Prs9OVknmaTZbScTueRytI0miTTIopnWVXOUrXIsvtr3q+/7OzqNf7Sf75HRzAwwP79pSAIYXZC/eVfGv/4u/X2H6++t/rkZLtJyKfNsejGdtoj1M1/aErv5puvvvevNpt9NEes/8LuHtKck/mPtvtz9Y/r/5qk9g2jNI6f2P3lukL1TDRUGg/VzsZUEIMwLePG1L0fhyCJiC9NzmLdhfKGKEqPtlSQgpoWgcuR5mdF2tk6dS6K0psrTbLirOjsOHhTFpAw8+/VlxYbH+M5gFEUnDABsn2p+6peysJRb0EELuRMw1e0loO21tTnOPe8g5zuwjNe03csiErjNt7wO8gxBbdnjf8xdpBjBkNhwdjLDnJMiZokEZC33UHu8cnpT5ETz7kg7VlbcAs5pkJwYxuSFXVuIcfUCO5os6vHZKqj7F4DxC8907pL4Dlb4IA7yNmzzovYfiT2w24oV9gN5Qq12a+p9OzX9CYfGUyo+95BjisXzKjUHeTKhx3knKeDvcVXDabVfRhxC/Pk3IPxgo8BJsRddpArn3z5QrgoXvIpNJECHkc2sqdbYS3BF3zBYG6EVzPAjFTbGam2M1JtZ6Tazki1nZFqcEa65OOCiXafO8hxpYL5lrKDXPmwg5zzFr7iK6bkYNZY2i4b/bNQzUaQ3kGufPLlC+AiuOYTgDmXvINceboV1RJ7wxN7uGUh7dxBrqJxooD9l4UEQQgPB9Gl/qBlIcFQaTxU+Cq7C+O5KAbhqeg+1tiCJH2XhQRReiwLCVJQn0kDlyM9ywtXr5IgyWFUhSQBCRP/Phaj2yXp5iTE3HO0pSg4Yf6D11H4Vb2UhaPegQhcqCoUvqK1HPQB98Nr1x50he/Upc5gYIC9G1NJEML8hBrTPfTDSxJrnHhXfymJQZhfcX/p7oeXRBExmJ5+eEmW/hymJAU1vwHXo8zP4tzReCSJ0pvFdLfDi+IRJvB9Gsxic+5h4TnKUhScMAGyDaa7HV4UjXr7IWgBewlcz1oO+oD3AdGujeaKhBoMDLB/eykIQpidUHs5yD4gkjHSeIx2NqSCGIT5GDekoX1AJIFEbKl7HxBJlB5dqSAFNS0ClyNTZyrtvCDnoii9uVLPNiCifISJf6+2NNnYGM+BjqLghGmQbUs924CIslFvQIQt5EvDF7SWgz7gDZC1a3+6IqUGAwPs35cKghCmJ9SX7mMDZElkjSPvbDMFMQjzK24zPc89BVFEDKZ7A2RJlB4NpiAFNb8Bl0Of5d1HjJ6LkvTmLz37H4vyESbwvfrLzUlghedkN1FwwvzH9pee/Y9F2aj3H8IW8pfhC1rLQR/w0W7atc1ckVGDgQH27y8FQQjTE+ovZY92kwyGxoOxs/MUxCDMvLjzdB/tJoki4jzdR7tJovToPAUpqJkPuhxl1Xmzn4uS9OY8PUe7ifIRpva9Os/NSWCF52g3UXDC/Md2np6j3UTZqPcfwhZynuELWstBN84TO4C4f+eZdwXDOE9FDQYG2L/zFAQhTE+w83z1p6++8epPV7+z2358bj9+vvrk1TeaHUA+a3xlZl8Z6rxvn4nCahx2Z2cpiEGYWXFn6XmmKYgi4iyV6gJ5QxSkR18pSEHNa8DFSJK0u+P+XJSkN18Zn1Wd+edNWTzCvL1XW7k5/6vwHOgmCk6Y/Ni20nVNL2XRqHcfghZyleHrWctBm//94dpa3g9np2/8+mL20XsfvN8RCYZt7FzmGr+oPZiZytuYrk3k3FopVnCzj1yn2NfZYttjzBNY0O79pNkw7vP188QuscbT6T84Zyt+NNW5Je820613eirypy9UXLimNi6EokPge2NY5S+t8pcu5S/5yjVdOb4nhhF+YYVfuIRf8IXjQ50/m6734jEAtQugZgM82kglAEAbL9dW9bVL9TVfNT51E/dPMaJvrOgbl+gbnuhmsLzbZ/5x7Y1S5F75hTPmsFpWBnJtYsqVi9+YaA76L80Dht8+bG5iG/x/ZhPTq+81u2Kut8ZsnkO8+o79wXXDVfPtbfYyP9AFavJXbvMXk7bv/FU8fZGVdqfC0u5PWOb2w+5eWNk9CyttP0qb4hL7oVx5jgvbR54rnr60hC8t4UtL+NISvrSELy3hS0v40hK+dBG+5BNqOiFpjruwgBcW8MICXljACwt4YQEvLOCFBbywgBcuwAs+IH577pw3i6e1Ba0taG1BawtaW9DagtYWtLagtQu0ZoOK59fi6bWlu7Z015bu2tJdW7prS3dt6a4t3bWL7ppPh6cwVh4unt5YuBsLd2PhbizcjYW7sXA3Fu7Gwt244G54cF94BGoZ/6Uvb+9v+3GbC11p27+5euW8RJhYZs4+y515m6m3nch23HzcLBxXv2y2FftWk5ubHhVHmv771Y9W/+F+O7IvpuyP77/3nzb/Vdv9yT/r4n7G5m7nNMF9xrkSNUkiIO/VN5s4f+PVt06ajqHfGCP137/9n5KzOItPzBVJzS+KLobnbIb2kz25Lca5CsGdT/FKhWeLca5GcMvTXYsQTHVtb7HjFuNlVXT3HZ6zFYrsMf7oumexY7PbN/nCwdxH3ym8SErnRuFstWDyI24UXhTbjcIL53Eob/FVgymQtJB7XDHL80I7Iv6Crx1MY+F1WVtwrpSKXYJf8gVromB4nNggnm6FPV45cQWDGYxdl3JPG5d80WBSo23n7Z4y3uYrBVMbYTfv7XTxtme6uOIrpqQ71oDwTRU1W/d+tvAmTRPXfLFg3iOucu3Y2Ip6vHDliG2MeqKXhd3cJqsWSaSyPI8m1byK0ukim6sknpmv1jzONe3XJvvsoWvWtc6VrW9T8g5MlK9r9evBoqyAu0BeFwUhtGKgS+Pm5Q2zyH14eePVd80vPzP//NZ827fzjCCoxkHxhWYXxnNRDEIHCWGt6X4xQxBFpH1Od3G8IcrRY/ecIAW1fwe4FkqV7hWuIEpv7XNp5l4IS/IRJm3SYs7bb2WZNv1WnvOfRMEJsx97neK8qJeybNQbEGELNdCFL2gtB91YyjIv01kxL6JpVsSRyhfLqJqpqfmtWVwtq8kkW9zPr71ays5nr8ZSVtRYYHz9W0pBEMLshFrKv2zeyfjtF2st/2H1H1c/Xf3t6sfR6kf2X+aLH5hf/bR5R6ML+pkotMahcXvZbPb4qT0U1W4l3o7AL1a/Md/6mfmPv2vOwvltswfPb9c1KPtVt81+LhoHwgy9F38qiCLiT2PHMdBviKL0aFEFKagZErgcSabOcuemiIIsvXnUJPZUayQBCWlgryZ1c3ZI4TkNRhScMAWyTar7ql7KwlHvQQQu5FLDV7SWg7Y21ec+99uk4/CdpX8z8qRNN3STDlcvWKFEbWPvTTpcboVx76NJhytRkyQC8nZo0uEygCVOgjF1NelwFYL1TNxvepp0uBrBSuaORpKrjlK1BOLnadLhKuynSSfPzrLOwfkmXziY+/bbpMNWCyY/YpNOGW+bdErn8SFv8VWDKZBkmR8NDpXrojorHE06bO1gGtt7kw5bsCYKhseJDeLpVlhL8AVfMJjB2OsKpc66uwYu+ZrBnLa/Hh22UjCzEXp0trPF257Z4oqvmJLtWOMhTkpjIcou2TVb9iAtOmyxYNajtuiYobEV1RJ7wxPbWNxlGefLeRwt03gZqVleReW8qqLZYqHiPFtOYnV/PzpXtJ4lPXdV62rRKRMaJsrXez1FEoTwIA1dGD+up9gvV5/eL4y/uT43yvzA9+zpUn+z+oFZHv909cPVfzb//PhfrdfBb11GOjlZ/aArIM9EA6LxgODL0S6M56IYhOeEhBWps1QiidJzqUQSpb9SiSQF9TEtcDm8pRJJlt5KJWV51p2P35TlI0zwpGVfoFJSbo4bKj3nR4mCE2ZA9orGeVEvZdmodyDCFiiUABe0loNu7OcimWaZmhXRTM8S87MqjSZKJ9FyotJKz4rJMr+/m3u1n66ySkqNBcbXv/0UBCHMTqj97OgQ/3ZzPumnr/5s3R9+cv386uq1Zxcn/+K1l/989OziteuT19566+Ty5uryon5+0hWFZ6JR0HgUdvacghiEGXcvnlMQRcRzpq4TSyVJerScghTUhIdcjVRlZ0XnFTkXZenNcubu5hxRPsKkvlfLuTmBqPQcKSUKTpgA2ZYzMbNI5xPTS1k26h2IsIUsZ/iC1nLQ/fbmZF10xkRmXrq0TTd4bw5TL1iYRD1g/705TG6Fce+lN4cpUZMkAvJ26c1hMoCVTYIrdfbmMBWCdUzcbPp6c5gawQrmrjaSqY5SrQTi5+vNYSrspTdHFWdl59h8k68bTH17bs3hqgVzH7U1J3tozXGeM/QWXzWYAUmG+dHYSCsTcNU5rF/wpYNJbP+dOVzBmigYHiY2iKdbYS3BF3zBYP5iLyoyY0SrLs2XfM1gRttjZw5XKZjXKJ052UNnjnOyuOIrpuQ6znhIy7KKz3TnMK7ZsofpzOGKBZMeuTMnO92Kaom94YltDC5URrE8zvWsZ0HPXdM6O3MUDRPl6780IgjSNgS+6wMui3vozBEMiMYDgi9GuzCei2IQHhIS1qPuKokgikiVxNOZI4jSY5lEkIL6kBa4HP7OHEGW3sokvs4cST7CBE9a9YXKJJuDzUrPQXWi4IQZkL2i8XXmSLJR70CELVQmCV/QWg66sZ/Lua6qxayIlpPpPFLTxSyapkkWlVUVzxd5rudL/W7/9rPzOZixn5oaC4yvf/spCEKYnVD7+bgzp6nJ/MbuQnN/TJHtznn1TXtEcuNI2407q/9mXOkPjSv9ofn3j5rdeFY/M3/ab5ptH609vbzMiltXC49guDQerp3NqSAGYWreizkVRBExp4mzhUeQpEdvKkhBzYzI1chUfub0poIsvXlTzyaQonyE2X+v3lRvrIz2eFNJcMIEyPamvhYeSTbqHYiwhbxp+ILWctD9tvCoLjrjNnMvXdamG7yFh6m3PWUcXQsPk1th3Htp4WFK1CSJgLzmQnxmu3Zst073ZPacLResdhIMqLNbh6kQrG1SfKW7W4epEaxq7uoYmeooFUwgfp2xO2er66VTpzCTcOcc/CZfN5jh9typw1ULpjhqp07+0KmTezp1uKrBREfyxY+LIK5DrtiywTxF79JxaX3J16qJWuHRYeN3uhXWEnzBFwymLPaSwTlXXPI1g0lsjw06XKVgKqM06OQPDTrOOeKKr5iS3jjjwXXP1WzJMs05Lp3XfJ1giiP35eSnW1EtsTc8sY0Jg/aBtTzORapnlc5dqDr7cgoaJsrXf2FEEITwaAxd6+7nBAJJaI1D46vILoznohiEp3uE1aW7vCGIIlLe8PTeCKL0WN8QpKA+XUUuRxfFuShFb5UN39EBooCE+Zu0hPM+CbdMmyfhzuNUX8iCEyY/9jrFd3SAKBz17kPgvFf0ErmitRx0Yy9nejGv4rKKpgutbR2kjMr5NIviZVrmk3Q+nU70u/3bS1ffTUmNBcbXv70UBCFMT6i97Oi7+cXq09XvXn2z8Zsfv/r+fW/3Qy/N/df/0HTffNv8813zzzfWP26+d9+N87vV5yern6x+uPpR1HSK/8D41L8yn3+3+unTkyx2GaNnogHUeAB3tqqCGITZei9WVRBFxKoqZyeOIEmPTlWQgporgavhcqqCFP05VVe7xpuyfIRMsFejujm3s/QcxCoKTpj6+EbV04MjyUa99xC2kE8NX9BaDrrfHhzdRWecZ+WlU226wXtwmHrB0iRqHPvvwWFyK4x7Lz04TImaJBGQt94yJy66ZD5nywQLmQTL6ey9YSoEy5a4k/T13jA1tn2iUO8NUx2lOAnEz+X9mOp66b1JMs/TR65wMLXtufmGqxbMbdTmm+qh+cZ5ouZbfNVghiMZYrRo/YIvG0xQe22+4WrVRK3w6LDxO90Kawm+4AsGcxZ/reCcLC75osE0tsfuG65SMJlRum+qh+4b5yRxxVdMSXCcAeHpvmFK7r37hqsTzHHk7pvqdCuqJfaGJ7axYVApxfI4l6ee9Tl3ierqvqliGibK13t5RBKE8FAMXeXup/tGElrj0Pj6sQvjuSgG4bkeYX3pLGlIooiUNNzdN5Io/dU0JCmoz1WRy9FFcS5K0V9Nw9N9IwpImL9Ja7hAUaOK75+BV86DUl/IghMmP/5CxdN9IwpHvfsQuEBVA7iitRx0Yy91opfFXGXmPy6SSGV5Hk2qeRWl00U2V0k8M1+927+9dHTfVP6zuTpigfH1by8FQQjTE2ovO86j+q755WfmH+s5m1aaLtBnoqAaB8Ut5fq14NUnr/787MRfnpBEI8y0e7GZgigiNlN3cbwhytGjxxSkoGY54Fq4PKYgRW8e07N3jSgfYQ7fq8XcHJBZeU48FQUnTHxsi+m8qJeybNR7D2ELOczwBa3loPvtm+l879F4xtRLp9t0Q/fNcPWCVUXU8vXeN8PlVhj3PvpmuBI1SSIgL2BMmTLBGiTBcLr6ZrgKwYIj7iM9fTNcjWCpcVePyFRHKSsC8XN5P6a6fvpm8uws6xyYb/KFg6ltv30zbLVgbiP2zVTptm+mcp52+RZfNZjhSIYYLTe/4MsGE9Q++2bYWjVRKzw6bPxOt8Jagi/4gsGcxV4rKHVWdKbZS75mMIvtr22GrRTMZYS2me0c8bZnjrjiK6bkN854cLfNcCX33TbD1gmmOGrbjBkRW1EtsTc8sY2XhXb+tzzO1alnec5doTrbZjIaJsrXf11DEITwTAxd5MofJiUZEI0HBF9admE8F8UgPPIjLD3dtQ5BFJFah6elRhClx3KHIAX1kStyOboozkUpeit3eI6REuUjTO2k1V2o3JFtno47Dzh9IQtOmPvYSxjPMVKibNR7D2ELlTvCF7SWg26M5yKZZpmaFdFMzxLzsyqNJkon0XKi0krPiskyv7+bezWenf7aGE9FjQXG17/xFAQhzE6o8exoqGmfE3X9/OrqtWcXJ//itZf/fPTs4rXrk9feeuvk8ubq8qJ+ftIVhWeiUdB4FHZ2m4IYhBl3L25TEEXEbaauPWkkSXo0m4IU1IQHXA2X2RSk6M1s5p72bUk+wnS+V7O5OeKy8pxZKgpOmPrYZtOzJ40oG/XeQ9hCZjN8QWs56H57azpLIMY+ai9d3qYbvLeGqbc9ZRxdbw2TW2Hce+mtYUrUJImAvEBvDVMmWKckWE5nbw1TIViVxJ2kr7eGqRGsR+7qEZnqKLVHIH4u78dU10tvjSrOys5x+SZfN5jZ9txaw1ULpjZqa41+aK1xnkL5Fl81mOBIfhgtSb/gywbz015ba7haNVErPDps/E63wlqCL/iCwZTFXipkxl527pZxydcMJrE9ttZwlYKpjNJaox9aa5xzxBVfMSW9ccaDp7WGKbn31hquTjDFkVtr9OlWVEvsDU9sY2WhaojlcS5OPatz7gLV2VqT0zBRvv4rHIIghEdi6Bq3h9YawYBoPCD4yrIL47koBuGJH2Hl6S52CKKIFDs8rTWCKD1WOwQpqE9ckcvRRXEuStFbtcPXWiPJR5jaSau7ULUj3zwcdx5N+kIWnDD3sZcwvtYaSTbqvYewhaod4Qtay0E3xnM511W1mBXRcjKd2936Z9E0TbKorKp4vshzPV/qd/s3nq7WmoIaC4yvf+MpCEKYnVDj2XFS1O+amsmnzbYu37hvr3n1TeNHf9d40Xbnzeq/GT/6Q+NHf2j+/aNmv8SHU6UaY3p5mRW3rh4cwXBpPFw721JBDMLUvBdbKogiYksdZ4C8IUrSoysVpKBmRuBquFypIEVvrtS3v40kH2He36sr3Rx3WXkOMBUFJ0x9bFfq68GRZKPeewhbyJWGL2gtB91vD07nJTU+s/TSFW26wXtwmHrBEiVqE/vvwWFyK4x7Lz04TImaJBGQt/rx6q/t7osnSXxi432SFGexWWnFqT47WTt8E/4vOPyfmW/8anMS7Mnq5+tL+dnZSXoWp+nTE5PmumuNz9nQYHmUYGCdHT1MhWAxlOJL3R09TI1gGXRXx8lURyl5AvErdXpWdk7j52yJIm09j7Lu+VeeX11dXN3n3frmxe8bn1Q9faHi+H+yM5/VbxPw07gzB7/JxwNzKqP7p3IVcv9nvlowqVK7f8qH7h/n+Zdv8VWDqXUfTtzCPDn3YLzgY4CZMtwN5NBuZT/58oVwUbzkU2giBTyObGRPt8Jagi/4gsFECC9ngMmntpNPDU4+l3w0MIMS24mcE8/bfKVgHqW0E5UP7UTOu/WKr5iSW1nDZrtG9E84NRthP+1F4clmcwFcBNd8AjC7khuPytOtqJbYG57YxnFDtSLL41yRex5JcFflzsajioaJ8vVf/xEEITwHRBf2PTQeCQZE4wHBl9NdGM9FMQiPOQkLZHeFRxBFpMLjaTwSROmxxCNIQX3MDFyOJC3Oqu49Yc9FWXor9BjPmXbm4zdl+QgT/D6Wl9tFZrWpCzjPZn0hC06YAeGVEaX9SJKNegcibKFCT/iC1nLQjf2c6cW8issqmi60tkWh0vzsNIviZVrmk3Q+nU70u/3bz+72I3W/wiTEAuPr236KghBmJ9R+drQf/cKYz98Z43lfnrj3mA8tRfdf/0PThPRt8893zT/fWP+4+d59U9LvVp+frH5iTOqPosax/mD149Vfmc+/W/306UkWu8zRM9EAajyAO9pVUQzCZL0HuyqKImJXlaMhSZSkN7cqSkHNlcDVyMrM2NW8i+VclKU3t5qkZ2kn35uyfIR8sEe3apjW5ub+F13gL2TBCRMg262625Jk2ah3IMLmd6vIBa3loPttS+psqzD+03+oWNmmG7gtia0XrJ2i9rHvtiQ2t8K499CWxJaoSRIBeR2dR49fHiD0HrHJwJIrwas6eo/YCsHKKW5B3b1HbI1gzXRXc8lUR6mPAvHz9B6xJQ7We6Ti1PYeZevyv9Hv6z3i44GJc6+9R3y1YOak9R4ZOZveo/swd6l+i68azJ/7sNsW5sm5B+MFHwNMh/zeI6v9yxfC2XvEp9BECngc2cieboW1BF/wBYOJEF6zAJNPbSefGpx8LvloYAbdW+8RXymYR/Heo4dJ523P3XrFV0zJraxhs10I+iecmo0g23v0MNlsLoCz94hPAGZXYu+RHTtbUS2xNzyxjeOGCkWWx7ns9jx34C69Hb1HZoaiYaJ8/Rd/BEEID/vQ1bt475FoQDQeEHzN3IXxXBSD8CyTsEB2F3MEUUSKOc7eI1GUHqs5ghTUZ8nA5fD1Homy9FbNcfceyfIRJvh9LC+3i8x08/DfecDtC1lwwgwIr4zw3iNZNuodiLCFqjnhC1rLQR9u71Hl7D3KqLHA+Pq3n4IghNkJtZ8H2HskGECNB3BnuyqIQZis92JXBVFE7Kq790iQpEe3KkhBzZXA1fD3Hgmy9OZWfb1HknyEfLBXt5ptzI37DFxZcMIEyHarvt4jSTbqHYiwhdxq+ILWctD99h4lnSsQY0CVF69q4w3efMTU254zjq75iMmtMO69NB8xJWqSREBe17ZHXRub0hqQmHRg3ZVgWJ0NSEyFYPkU96G+BiSmRrBwuqvDZKqjFEmB+HkbkJgSB2xA0rYBKd/0ACh/AxIXD8yee25A4qoFsye1AUk9NCA5D1p9i68azKH78NwW5sm5B+MFH0MRMRg9AerJly+EpwGJS6GJFPA4spE93QprCb7gCwYTIbxwASaf2k4+NTj5XPLRwAy6xwYkrlIwj1IakNRDA5Lzbr3iK6bkVtaw2a4G/RNOzUaQbkBST758ATwNSFwCMLuSG5DU6VZUS+wNT2zjuKFqkeVxrr09Dx/Y629nB5KmcaKA/ZeABEEIj/zQJXwPHUiCAdF4QPCFcxfGc1EMwhNNwgrZXdIRRBEp6Xg6kARReqzpCFJQnygDl8PfgSTI0ltNx9eBJMlHmOD3sb7crjL1pgTgPAf4hSw4YQaEl0aUDiRJNuodiLCFajrhC1rLQR9uB5Lxn64WpJwaDAywf/8pCEKYnlD/eYAtSIIB1HgAd/arghiE2XovflUQRcSvuluQBEl6tKuCFNRkCVwNfwuSIEtvdtXXgiTJR8gHe7Wr+cbduM8KlgUnTIBsu+prQZJko96BCFvIroYvaC0Hbf73h3/yBZ/m9KNfX8w+eu+D9zsCwbKjLidaeDgzHbc5Xb1IbrUUk/nQjtQp93W23PYw8wQXtJL/xdjAb64fZL763uqTE+MJPzau8fNX33r1vXs/6OhN+mI/kvmBLlDjC4s/OGfTPpoq3bi7zZT33Qbl0xcqSeyHsh+Fa5Lk4ig6Dl7TsQwvLcNLy/DSMrx0MbzkM2g6A17VMQgXFuHCIlxYhAsXwgUfAb+J+FP1fQm5fFpblNqi1C6Umo3yqDwYQKGNpmur/9rqv7b6r136r/n68WRBrA8a+TdW/o2Vf2Pl37jk3/DkN0Pp3W3K+5e+HLjPftzUWQz0nfiS6dR5ETCxzPxnVXfpfZ2tF2wlQhPg365+bXPeq2+6G3E/sVW8Vro7efVN8z3zOz9Z/bJ55PINk0jtjzaFP/MT5rd8vvpFq1D4+f2f1PlXrJ/Q/PwkNX+2+Ws+f/X9rsA9YweunX4k+3mZEjVJIiBv9ZPVTyOz0Dv5fRNTewm/8epbJ6tfNQXa79nDT5OzOLPbh5p/dU8Pz9kw7fWOYPsuUyHYfIQ/w/G17zI1gm1Huz6dYaqjtBgB8Surovsp2DlboUj37iPdJjN1js03+brBJEpvy02L0t2Wy1ULZlFqW2750JbrPpOUrxrMpaTV1aNmxLQq1VnRGfAXfOlgNguvpB4ND1XpWDtGyEu+YE0UDA8TG8TTrbDH6ySuYDB/sZ/V6eysyro0X/I1gxmN1k7rnjDe5isF8xqlnbZ8aKd1nyXKV0zJdZzxoEoVm/VC5zCu2bL300JLmiSu+WLBpEdcDduhsRX1ePnLEdtYsyqdV8tyHi2XE9vZYB8VF/M0SrM0n+SzSpXZ/SztXBl/bbLfbgXnetOsjysaJsrXtYb2YFHW0V0gr4uCEIpT6AL7R19cXv/WrHR/0SzD/v2rf7fuOfjMfPnvX/25/cIshb9/cvnhBx8tZh+d/PPF7IMP7/sYrl5766SK485s8Uw0IBoPCGFVah8cNC+UNu0YX3hs0Dw0sFG6fyj/jzZsJiivvf/R4o8mJ6u/f/Wtpmtj+5tOVj9e/eVT+9vajzHefff95lHDF981/k3zN94/nviZ+Vvst7ff6HzQ//Tk1Xeb737rJLrvJ2nams0lMX+DvSjmb//R6j93zoTPRa8NoaBIWGS7OyoEUUQ6KuKzzhvmDVGSHjsqBCmo9VzgaqR5dZbqLpRzUZTeGirSND/Liy7AN2UBCUmLtJINdVRUmwK8+/hTWXDCBMhepSWZPss6+2QuZeGotyACF2qpCF/RWg76UN9As/92tF0kvtO1OmOB8fXuqSVBCNMT6qnlX0CTDIjGA4J76i6M56IYhNl3H/ZTEkXIfrpeQJNE6c9/SlJQkx9wOZJMneUuAyrJ0psBdb6r9KYsH2GC36f/TDbnXyaeA01FwQkzINt/el5AE2Wj3oEIW8B+Ahe0loPuc1PB1GkovUfHZO5OMkwsxShCTUxcvWDhFfWDx9fExA2cwgK3jyYmrkRNkgjIW+80aIL95/cdS3HnU5bnbMVgpZfgYl2dSlyFYF0XN6eeTiWuRrCiu6vrZKqjVG+B+HXG7pytbuguJbZuMEvut0uJrRZMk8QupeTh9NLEc3opWzWYLEne+vFitTvYL/iywVRF71ByaX3J16qJWuHRYeN3uhXWEnzBFwymLPayw9OcxNYMJrH9NSexlYKpjNCclDwcNuqeI674iinpjTMeXPdczZYs05jk0nnN1wmmOGpPUmKPEO2eF254Yg+2fuJ8ZydJaZgoX//1E0EQwuM1dL3cQ/1EMCAaDwi+yOzCeC6KQXh6SFh5uusngih9108EUXqsnwhSUJ/eIpeji+JclOIgKieSfISpnbS6C1VONmdNJp7DQ0XBCXMfewnjq5xIslHvPYQtVDkJX9BaDvpwm+HddZaMGguMr3/jKQhCmJ1Q4ynfDC8ZEI0HBDeem2b4/+Fa3yWvBCF/7MU7C6IIeefO2+MNUZIerbMgBTV9I1eji+JclKI36+zrehcFJGSnvXrnzcmXiecoU1FwwtzH9s6+rndROOrdh8CFzHP4itZy0M1Ggk+3Zsuaxx73UurMEsYeKw9tplWbtqc2JOd+gly97Tlkxzakv2mOznzwY58bW/vbjm0Fv3is6WP39qUOJbifiBkBhUVgL/1ETImaJBGQZ3zzX9tOopMkPrHhPkmKs7g4S+NUPyUca8rlAUu3BN/q7DZiKgQLtbgd9XUbMTWCJdpdjSZTHaUcC8SvquKzsjMdn7MlirQcPUq1XceaJvZY02RzsmDiP9aUjQcmTnpnksqVuzOJqxbMnNTOpIdjTRPPsaZs1WD+3If/tjBPzj0YL/gYioiB7yO61m5lP/nyhXBRvORTaCIFPI5sZE+3wlqCL/iCwUQIL2KAyae2k08NTj6XfDQwg9JandwTz9t8pWAepbQ6PRxr6r5br/iKKbmVNWy2C0P/hFOzEfbT+hSebDYXwEVwzScAsyu5Kcoea9o90dzwxDZeEVqKWx7nstvzHIK79HY2RWkaJsrXtUD3YFEW6V0gr4uCEJ7+oav3HmpTggHReEDwlXIXxnNRDMLDTcIC2V3YEUTpubAjSNJjYUeQgvpoGbgaaVWcpd0H7pyLsvRX3sniM6W7AN+UBSRM8PtYXm4XmZtDMBPPqaai4IQZEF4Zta9qluizVHXBXcrCUe9BBC5U3glf0VoO+nCb8p1nSSU5NRYYX//+UxCEMD2h/rOHpnzBgGg8IDv7T0EMwuy7F/8piCLkP51N+YIoPRpQQQpq8gMuR6LKszztLFCei7L0ZkCr+CztNNhvyvIRJvi9+s/NqZaJ55hSUXDCDMj2n77WfEk26h2IsIXsZ/iC1nLQ/W5qpLrojKEsPHQqS9p0g3cTMfWC1VDUDw7ZTcSMgMIisJduIqZETZIIyPtSw9DJ76dJ9rQ6WX1mqy5N89DJ7ydF+rTImu+dnbT3qvp1s7fRZ/dW37b8f9f8+x/tE2h7AV/9qbnI33/1nZNX/7fdocr83j+9/5FPT35/fT7tfy11bC9sEqVxmkVmXfBDswT44epXq8/U0xNzmZsTbs1IqZ7ajdUeNt+3D7abv/WTzmnpOTvGYGGXYKCdHU5MhWB9FvfFvg4npkawMrur4WWqo1RhgfhlZX6Wdz7aPmdLHLDDqTlKudo0GRT+DicuHpjM99zhxFULZnNqh1Px0OFUeDqcuKrBnL6PJYCFeXLuwXjBxwAT8y4dTsWTL18IT4cTl0ITKeBxZCN7uhXWEnzBFwwmQngdBUw+tZ18anDyueSjgRl0jx1OXKVgHqV0OBUPHU7Ou/WKr5iSW1nDZrs49U84NRtBusOpePLlC+DpcOISgNmV3OFUnG5FtcTe8MQebIVJOTucfCfudWCifP1XmARBCA8g0ScKPVSYBAOi8YDgq/cujOeiGITnq4QFsrvCJIjS9gAeFHwl7akwCaL0WGESpKA+3wYuhy7OqqrzgpyLohxEgUmSjzC/72N1uV1jlpt6hPOM5Bey4IQJEF4YUQpMkmzUGxBhCxWYwhe0loNu3OdskRVFNs+iiZosIqXiMpoU00VUprpQ01mSluW92+zVfbr6mypqLDC+/t2nIAhhdkLd5z76618+q0/qk1gXcTRK4quuuDwTjYvG44Kb0C+HpnsbqNevXnvn4uTy6uIr583GT82rBkWsVFcMnovGgDCB78XBCqIIOdjOQsYboiQ9GlhBCmr+BK5GkuizqnS1SAmy9OZgXXuevymLR0gRezWwm0NqE8+xw6LghPmPbWC9HfqScNQ7EIELOdjwFa3loJsNmBobq971e9SvGzfy3gfvd0SCYVE7r+1rKo09mJnWbUxXr5RbK8V3btqlOsW+zhbbHmOewILe8j/bzSyNX/p49f9+sevpvmXq1XfWfTa/bRph7DPQX6+7bLqwnhmsPzhnsz2aFt1wu82K606DNHlqPjL7oexH7pgQ2TiKjoPXcyzDS8vw0jK8tAwvXQwv+QyazoBXdAzChUW4sAgXFuHChXDBR8BvGf6svC4fG5TaotQWpXah1GyUR6XBAAptNF1b/ddW/7XVf+3Sf83Xj6cFYm3QyL+x8m+s/Bsr/8Yl/4YnvxlKa/nWxPS00aCzDpgmXobCeQkwqaxMZz7zLrWvs9WCLUTcVNccXfrJq282Wzn/wjaEfrHr9+P7nt9PV786WbePrvd2Nonxk+aBw6c2Of6yOQP1/o9Z58vfNY2j3+oKxTN2KNrJRLA/mCtRkyQC8v77t/9TehZ3vyT+nC0T7CwiPH9xtdhyFYINQvhjFU+LLVcj2Bq04wMTrrp2zt+xxdaxCzVXnUh3Lf5ogy0bzHP0rtlEVZWzbZYtF8x1xLbZ9OHI0tRzZClbNZjzSCsgdGy84MsG81N4pYNqfcnXqola4dFh43e6FfZ4CcMVDKYs9iMzV4wv+ZLBHEZrcvXME2/zpYKpjNDlmj4cWeqeI674iinpbZ/joWZL3k9XK6rzmq8TzHHE9akdEVtRjxekHLFW7TKrJrpKyyhLkmWUJItFVFWxiuZJnieTWTydVvfpxLlW/dpkn90Ddg3oWrGmNEiUrmtV64GirGy7QF4XBSEUhtBF70/Wq1FbHv/SWrVpZG2e9Jql7G/Xbzquuwn+avUXq5+cfP2fpdq+XnlSf/DH789f/2Dy4fyk/uN/s/jwK++9v+iKzDPRyGg8MvgCc/WDrmX96pPW04HmzWHzrY+b3gsTzvuHAp81B0N90rxT3HT/rh8jvPvu+80f+Yn5w37TCrO5Ck3vhv0Dtk8jNp3D5i/5qfnj7s+RWv+udcdCksbxq+/YT/u3fvbU/hVdB0ytT5UyKefVN7/8RnNzVNWvzN/VesK/ffBhD8haP+O3mI3+n68+dv09290avcdYSY4HQiVxHyt5QRKRRorOSfgNUY7+2igkKahFXOBauJ4eCFIcQAOFKB4hT5IWyoEGinRzWGjqOf1VFJww7UmsBiXRqHceghZonwCuZy0HvTm/6t69WmfeW1mpM88Zk555Was2ay9lpbR7SfE6Wy34iA112D82jumXxht9fP9mmPVZTU8uqdi03lzkZPXzV99rdqz5lrWDP2v+8yfml9nT1PyZxm7Zv+M3D62/xrc3f7r1kL9qzOb9xiR2+5JPGhf58xP7564lfHZ/Quknzg4OZkwVFtO91KeYEjVJIlPec7Y88CHfPtwsUyH4TI/gUj11KaZG8GHerg6UqY7y4A6IX+7oDzhnCxy6NMWVDeZKRmkqTdyVKa5aMF1SK1PZQ2XKeR7nW3zVYNokGW50aLzgywYzU7gy5dxTIc2efDnw7g1c2BSaSAGPGxvZ062wluALvmAwnUmsUriSwfxGrFk5J5C3+UrBLEcpWWUPJSvn5HHFV0zJfPscDjVb8n5KVuFJYxNw90YsbAIwK5KLWdnpVlRL7A1P7P1K+H6qtv/qbSXciWFWwsqHkbs3v8Gk8lbCyvk6AVMtmNLRlTC1wfKLG7DaGoytsZysfmAWwp/d1yLMn7f6hVn1/mVTMjGL3Ffft7+/KwrP2FEAHcJe1q5MiZokEZD3hb1Xs+zsZPWT1U8jx83wnK0a9AD7WNIyFYIpfz9LWqZGMNnvuqRlqqMkdiB+WXqmuwSeswWKLGkfZcWuvUxTfb+TYOo/qJlNBuZF+qq3ytOzqupS+z/z1YKpkbrqfTioOfUc1MxWDaZI0qrXYQotzJNzD8YLPoYiYjAM7cNBzWngoGY2hSZSwOPIRvZ0K+zxKpgrGMyA8CoYmHdqcN655FOBWZO2UHbPOW/zlYK5k7JQfjij2X2jXvEVU/Ipa8Rsi5/+uaZmI0gvnB/OaPbPM9d8AjCxkhfO9ozm7jnmhie2WRuUi2JW5stIFcXUfEyrqCr1MoonOi2nWbosytmax7mg/tpkv12gzhOaU02DROm6lt4eKMryuwvkdVGQtuXwXR1wZf4j2wdoFuKfmNXz/SalnzVffNy0hz70Pv7jlzYBWP26i/6ZKL3G6QnLXW8A/CE4ee2r08XXT66fv3Hz1mtXJ7ltxWw+Er3uxjxpNpra/Okfn7x2af7za7nNwVV88v/9n5FZW9sjNJFWys775rlowAk9RftYqQuS9NpKKcjRYyulIAW1oQu4Fp6nA4Igh9BNKYlHyDf7WOZuF7ub44VTz4HRouCEmQ9eoT2u/6WVc0dVUTrq/YfQhRoqw5e0loPu78g+RyHG+Nvcw6aytM02cNmIqRZ8Joaa06HLRswoKCwKeykbMSVqkkRA3qZslJzFJheHykZM1eBDs32YUaZC8AEYwWR6ykZMjeCjr10NJFMd5TEXEL/MsffQOVvggGWjYvP4NveXjbhkYF7cc9mIqxZMjdSyUf5QNnIeL/wWXzWYIvfhpy3Mk3MPxgs+Bpjjdikb5U++fCE8ZSMuhSZSwOPIRvZ0K6wl+IIvGMyA8KIEmHdqcN655FOBWXOPZSOuUjB3UspG+UPZyHmjXvEVU/Ipa8Rsl3j+uaZmI0iXjfInX74AnrIRlwBMrOSyUX66FdUSe8MTe6BlI/d2lwUNEqXrv2wkCEJ4jIeuzPddNhKk1zg9Ybl77GUjwYC3PYon4PtYqQuS9Fo2EuTosWwkSEF9bA1cC8/TAUGQQygbSeIR8s0+lrnbxW6xqTF4jnsXBSfMfPAKjVY2kqSj3n8InfeSXiKXtJaDvj/GpPmf+UP+9Xvz+eL9Z8bqXTZOzwYjn87S6XQSRwu11JEq42VUlsUymqgsnmRaJfP55N0ve2Vb5fpSHBdfXWyj8+Uwrv9G/v1hl++jqjNso+7TC+0i4HG8MMrGM7dvAQgOX7RZonE30ViIqG0CICJ8EWeAXnutm+i11wSQvuDQ3EPSff7CXoZkEj8dKce4rDw3c5qXbe7tErs98CAE4sAzuscO3WOu7vbwgnQTh5fR/dprDuFm8DGUf2F9PNwoSrpHUBJ7gdxvxfYyhLpFj9miexk/3aLtwGKoPoix020mRolvx920iIcdO92ix2zRvYydbtF2UDFUW9lq6LGTPR0l2mQw5RhDqRfM/XJBL2Moezo24scO8WO2+F7GUmbymFFvklm3fDvcGPqb5c3Qo8o1mjIvUDrsaHKNIq7oXkaRc+xwVH/hOeGjjRpTsEVhzQI/5mlzddG8Yyv0HhjlvARgg8IXNOOD5r7Qlqh1j15y5txe85atX5H148qvAOV3bOWaopw93XTPMlzN7VkmrJk6Wq6BmI/Z+sHWA85sY4J6uhH2eK7hCG6eRz09APecPx2lmSNfaS+Y+wzIXvJV/nTsED5mC+8lZ+XG9DiUW0vEkH4QpqdwDKLcC5QPO4i6RY/ZonsZQN2i7chiqP7C2LFz0RCmZ9N3lBTB7PBO4qsQpIX74VwfXiis/5atX5H148qvAOV3bOWaopw/C923OQIoIzZKHxYprH/M1i9qkYrTjbDHMxNHsFWcLXOVZNkyUvMiMR/zLKqyqY7ULJvOsmoyS9U9k3vS+trEWdzcz8S1mb7K5oKZi+edwLoLQc5QoDHovNWC6LvfbmVwuI7EkJshMp2k86maLKI4K9JIZek8Kgs1i7KZ+dGymk2zeXYwQ6SChoi3jNMVLywGQw2RChgiUsjrx8zLNGsO61gsp2ZMVdU0KucLHU2Lma6K5bLKl49K+0MNkTRGhoj3fPvOeGExGGiIpHF4iIghry3wosr1rMzMf0xUpOL5NKomcRXp5SKZJ7NllUzygxkiCTRE/EWZjnhhMRhqiCTAEJFCXj8a1kWZLOM8mul4Gqk0SaPSpKZoNpnPk3w+0zqdHswQSaEh4q+wdMQLi8FQQyQFhogU8vaJnmqPgXYgoGcCrDg0D2JS9XSUVk9Hmfl35ujM8W7gnRbD9lUYgLEBGBuAsQNgzAbo4wGNATAflfnI7K8cDPYhIAPiC89rrK0d8nlNGn6a/453x7u0dBehe3heA+i/ZetXZP248itA+R1buaYo509Wm0k7jDJio/TwvAbQP2brl3xek6rTjbDHMxNHsFU8ydNFopIiqlReREqZhXuZTNLI+KjFJMl0Pq8Ox0ZryCNpWijQGAzlkXRwuI7EkJshslhO5mk2WUbL6XRuF+5pNEmmRRTPsqqcpWqRZYczRHJoiOTUeGExGGqI5MAQkUJezyKT+XK6yCfRZJpUkUrSaTRR0zzKlZ7m02VVJYU6mCFSQEPE+wC885aCYjDUEAkXKUZiyM0QWc5m+bKYzqKymM0iVc2SaKoms2iZT9J0Mp2WZVEezBCBCgOp9yl5V7ywGAw1RIDCgBhye5fAvhdG4Sfe76S+J95ZnrbZe10YhfXfsvUrsn5c+RWg/I6tvH0Thd34DoOoBlBGbJQ+FkZh/WO2ftGFUXW6EfZ4YcQRfGyWJoNKUJmvHtMRCjQGA+WrDChBiSEfnaXJoBJU5qvHdMYLi8FQQwQoQYkhH93aOYNKUJmvHtMZLywGQw0RoAQlhnx0T+CyDBoivjJJ96wLxWCoIZIBQ0QKeeCFURZ+WP5OprzsWZu9z4URoP+WrV+R9ePKrwDld2zl7Zso7MZ3GEQ1gDJio/SwMAL0j9n6JRdGmTrdCHu0MGIJPrqFEVQxyjQtFGgMhspXQMVIDPn4FkZQxcjaNVq8sBgMNUSAipEY8vEtjKCKUeYrn3TGC4vBUEMEqBiJIR/fwgiqGGW+8kn3rAvFYKghAlSMxJCb9k3Lvcau3h22tS4LPzx/J/M9i07LYRdKYf23bP2KrB9XfgUov2Mrb99UYXe+wyCqAZQRG6WPhVJY/5itX3ShVJ1uhD1eKHEEW8XTROVmhlNRmc7NRFbN82iqszwyX82mk7JKJ9n9HDV8/lJQBUl53+h5HAo0BgPlLwVUkMSQ1xZnNltM4tkiKqvpJFKL0m4ZWk4irSb5fKGmSZYVBzNEoAqS8r7R0xUvLAZDDRGggiSG3AyRWbq0LzbFUTKbpZGazs3AWsQ6WiyTRW4sUlYezktMCqogKV85pTNeWAyGGiJABUkMeb0lUTrVi6WaRHGe6yhJFmVUxvMqimMd67wsk0ofTqKBKkjK+6JNV7ywGAw1RIAKkhjy+j03S/7orfp2JKB3q1iBaF50U9qBrrzo+AZokH7c1TYvtzlEj9mi2z4WEg1b2fULbQ7Rdu9OhuovLLOH2mZxs8xW4Wfb7yjtZXTvBdXDMhvQf8vWr8j6ceVXgPI7tnJNUc6fhTbTcRhlxEbpYZkN6B+z9Usus5U+3Qh7PDNxBDeK51We5IsqSlU8i9SymkWlzqdRVk4XM5Utq3RWvXso7gcqNqmcFgo0BkO5H6DYJIa8rkem2vz0MokmpTXTRamiyaSYRrNFks9UnC6L5GDqkQoqNin/uzod8cJiMNQQAYpNYsjNEKmKKovjMomUPbdFzfJlVGZTM5wStSxnWVyaZdjBDBGo2KT87+p0xAuLwVBDBCg2iSH/yeY0qqfDr6J09xHQI+V/Tl204XtdRTlEj9mi+1hFOUTb43wYqq3soff81Y5je7T/KTe+vyaknzp2HMf2sEX3MnZcx/awVFvZeuixkz4dJZndp6iwB7CkjmlI+5+GD7tTkWEYW4axZRi7GMZshl5GVmoPYsma3YqK5jwWB4YdhAyOg5insqejKjHjLXaNMu8D9SoedpRlT8dG/dilfsxW38v4sgf9GPn2hDHnwOIAHMTAUk9HujD/mHksNwMsz5+Oitj8Y6a0wnyvNAOvdGyMr71P6Ct8UyOIkTrm1NOxARsbsLEBGxuwsQEb23nOgI0N2NgBNmaD9TIc7Y5shsx82CkvtwMztycyFPZgxWYCLOx/KO2wdRDaQc1A/ILbH/q5tw6/gvCOVl7GQdvLAP23bP2KrB9XfgUov2Mr1xTl/KnvfgkNoIzYKO1JLoxCHUTXgP4xW7/kc2+tTjfCHs9MHMFW8Xyp5mWRTKIy0YtIxXkelbNZEi2yrFpmy2xWLRfvtrLtUE+sNPQejta0UKAxGOiJlQ6XaUZiyOsOxOlsMVlmVaSVmtkHoMtoksc6Usm0nCfTyTyzq9EDGSJQaUTn1HhhMRhqiAClETHkTQf9/cw99Oa0OlwDeEd7awCV+5ywPixOWP8tW7+sxQkrv2Mrb99U4by6wyCqAZQRG6UPixPWP2brF7U4xelG2GOLwxHcPC1YVLN0nupoEhcTk+tsU3Uex1Eax/kimZWTSh3MSTEaKsppb4XqcSjQGAyVv4CinBjywFtj6PDLLu9oX6Eoywc9CBjQf8vWL5uvwsrv2MrbN1F4ktxhENUAyoiN0ke+Cusfs/WL5qvqdCPscb7iCD62fJVDb3zl/g30HoUCjcFA+SoH3vgSQ96st5IDOQ0kD7/b9E7urSBW7v6MHhIYoP+WrV80gQHK79jK23dVeNbcYRDVAMqIjdJDAgP0j9n6JRNYnpxuhD1KYCzBVvEkSVSuVRXlyUxHSpVFNNWzIlpOi3k8T0qd59W7h5LAUiiB+SvVj0KBxmCoBAa8bCiGvH6mvCzTxVSpaKpsU21SzaLpJFtGcZroMi0SPdWHM0Sglw1zf224I15YDIYaIsDLhmLIzRBRybKIi2kVFcmiMD8bJ8YPLdOomCzTap7rpT6cypTxc8gQUdR4YTEYaoiEC6kjMeRmiJR5mc6KuZlnsiKOVL5YRtVMTaOsyuJqWU0m2eJg3sjIoeJlrqnxwmIw1BABipdiyHal9HR9MOegC6Rwde6dPPfGwN2E3McCKaz/lq1fkfXjyq8A5Xds5e2bKezKdxhENYAyYqP0sUAK6x+z9YsukPLTjbDHCySO4KNbIEFvEub+4lzH+cpYDIbKW+EC6kgM+fgWSFDRMvdX8DrihcVgqCECFC3FkI9vgVRBQ6SixguLwVBDJFzWGokhD1zXLsI1kncKf41k0D4sQP8tW78i68eVXwHK79jK2zdR2GrtMIhqAGXERunB9QL6x2z9kq63iE83wh65XpbgY3taU0DbVBb+U786mpKwGAyUr4pwFWskhnx0lqaAKkeFr4zSGS8sBkMNEaByJIZ8dAujAqocFf5TvzrihcVgqCECVI7EkI/u8UoBVY7soTi0eGExGGqIAJUjMeShF0bhksg7hfayD7r3JKD/lq1fkfXjyq8A5Xds5e2bKOzGdxhENYAyYqP0sTAK6x+z9YsujPTpRtjjhRFH8NG5XugFy8JXGekIBRqDofJVuHo1EkM+PtcLVYwKX/mkM15YDIYaIkDFSAy5GSLxPK9yrafRosyzSE1UHE0mehEtZuWkXE7zaqGmBzNEoIpR4T/1qyNeWAyGGiJAxUgMefvawP0lH3ormiJcG3mnqHzBiON2MHq1wWH9t2z9iqwfV34FKL9jK2/fVWHvtcMgqgGUERulDxsc1j9m6xe1wdXpRthjG8wRfGw2uITeeyu9pZLHoUBjMFACK8PlrJEY8tFtRVNCJaTSW0/pihcWg6GGCFBCEkNevz07S9OyWiyjvGj8UKqiMptX0VzpvCiSeB7n+cEMEaiEVHrrKV3xwmIw1BABSkhiyAM//C3DtZF3Sn9tZNCXZQH9t2z9iqwfV34FKL9jK2/fRGGrtcMgqgGUERulB9cL6B+z9Uu63jI73Qh75HpZgo8uX0HFylLRQoHGYKh8BRQrxZCPz/VCr7mVmhovLAZDDZFwOWskhnx8a2eohFTm1HhhMRhqiAAlJDHkoV1vuDbyTumvjQz6BiSg/5atX5H148qvAOV3bOXtmyhstXYYRDWAMmKj9OF6w/rHbP2irrc43Qh77Ho5go/O9ULFytJfuet4kQeLwVD5CihWiiEfn+uFXm8rvZWRrnhhMRhqiISrVyMx5KNzvRVUMar8L9fwXwccZohUQMVIDLlpeWjA22OgHQjoxCFWHJrjoqr06ajS5p/SEQF/QWTYI6GM+LERP3aIH7PFtz0LJB62Letjnyp7yl1lT3dyyLdnlDH0N5PPWv/QjTRVuJzyTuUvpwx6phOg/5atX5H148qvAOV3bOWaopw/P23m6TDKiI3Sw+IK0D9m65dcXFXp6UbY45mJI9gqXuhqOV0uJtF8Ek+Ny14fal9E6XKRqKqamPQ5efdQbBH0ilzlra48DgUag6FsUbgCNhJDXluiyUSlWbaMZnmWRMZmGZetl9NokaXGSmXLOJsezB7jFVR1qhQ1XlgMhhoiQNVJDHng58VVuJzyTqV97Ln7cOU+LE1Y/y1bv6ylCSu/Yytv30ThPLrDIKoBlBEbpQ9LE9Y/ZusXtTT6dCPssaXhCD66fAXVN6ucFgo0BkPlK6C+KYZ8fK4XekWu8ldXOuKFxWCoIRKugI3EkO83A7bUgz6tCZdV3qm8ZZV40OO+AP23bP2y1ias/I6tvH0zhfPpDoOoBlBGbJQ+rE1Y/5itX9TalKcbYY+tDUewVVzNimSymGXRXC+rKEkWZVTGizyKYx3rvCyTSj8qYAyWt6A6Z+Ut+j0OBRqDofIWUOcUQ94WsR7Z23YgoPoJKw5NESuJk6fmIzcfif1VYn+VxvYjsx+l+cjsr7KiO0RJ7H81DN+pESLFZ6WmzGXxxhZvbPHGFm9s8cYWb2zxxhZv7MIb8/H6KIRZPPuZ28+k+XXS/Nog2s+s+SztZ9b82oFp/wwOpwW9P7Bu6IKZCUXwfn7H/JCXctC3cBCCWz6BqA1DtN/xtWuKdv6MeJ8ZEJgRH6YHK4YQjPkEkmbMqDrdSuuYpjiaG9HVZFrFcRbpqcoiVU2KqJxO0qhUeZ6WsVbzYvHugfixJE4RQ2Z+jBYMNAoDOTLDExy1IznotW2vdKHL2G60ovJITasyqkrj32ZZuVTppKzmy/nhDBOoymp+jBoxLAqDDROgzioH3QyTWVplaZpMo3mVzSKlbMdrGsfRIplW1bRI8mJxMA+ukxiqtJofo0YMi8JgwwSotcpBN8MkX5ZxvpzH0TKNl5Ga5VVUzqsqmi0WKs6z5SRWxeEME+gdP/Nj1IhhURhsmIQrciM56IFr8mbpGKQ3l9xb4Ske7dvQ76opTHDLJ1BkAlz7FaL9jq+9fTOFbfoOQ6lGYEZ8mF5WTWGCMZ9AdtWUn26ldayaOJqPL4FB5VfzY7RgoFEYLIEBBVg56CO0w9CLf+bHqBHDojDYMAmX50Zy0Ef4DAYqipkfo0YMi8JgwwQoi8lBr5/BqEpNch1HZWFfBDPDK5qk5jfk80lm/s8MqvJgTpRKEugFQPNj1IhhURhqmCTAK4By0EOvmpLw43Vzyb2Pqgv3K3R9rJoAgls+gSIT4NqvEO13fO3tmyls03cYSjUCM+LD9LFqAgjGfALRVVNia02Jq9bE0nx0q6YEqzUl3rLL42CgURgsgSG1JjHo41s1JVitKfGWXboihkVhsGGC1JrEoNctYpNZVS6yPNKzuY7UZFZEVZLkUVkVs2Q2S6bz/GA64JMEqzUlihoxLAqDDROk1iQGfXyL6wSrNSWaGjEsCoMNE6TWJAb9J/eHxdxf9cE79pLw43YzBLyPruNB3whFCG75BIpMgGu/QrTf8bW3b66wbd9hKNUIzIgP08sqKkww5hPIrqJs7eleWscqiqPZik4m2SJLtTaz2iQ3s9qiiKbTWRmlRWVsUpKW1eRgdopLEqz2lHjLMI+DgUZhsISG1J7EoJthEqt4UhozFOULkwHVrJpGlcp0lC+rfDldlEuVLQ9nmGC1p8T/1lFHxLAoDDZMkNqTGHQzTMpJrJOi1FGmdRGp3Awue8BeNJtlM52qeJZPqsMZJljtKfGWYboihkVhsGGC1J7EoDf2+L62NLg9TsMllnfMD/mikQxbZAAIbvkEikyAa79CtN/xtbdvrrAf22Eo1QjMiA/Thz0GCMZ8AlF7nManW2mP7TFLsxVt/uNyrmIVxfMqs7NaHlVVkhjLtJjOZss4SdPDqZKn0Kl55sdowUCjMFRCS8OlsZEc9PrpcVaUsyLRUTKdJZGKlzoq53EVJXpSJekiNq5pfjjDBKtFpd6yTFfEsCgMNkyQWpQY9Mb3JPer6eGNT7jmYsaAt+aSDLr5LUJwyycQNj5h7Xd87e27K5xpdxhKNQIz4sP0YnzCBGM+gazxyU630jqMD0ezFT1XaaGLIomydFbaLTYW0SSJ02ie5HkymcXTaXU4ZfMUq4fae5oSDDQKg2U0pB4qBr3eOK4qirisqijX5mdVmk2jySSPI1UtF2WpJotyfjjPBVOsHmovJS1iWBQGGyZIPVQM+viacFJoD8rEJiZaxLAoDDZMwrWxkRz08bX0pVgxKvXWZboihkVhsGGCFKPEoIfuSU/DNRZzyf3v96Rt+n5XTWGCWz6BIhPg2q8Q7Xd87e2bKWzTdxhKNQIz4sP0smoKE4z5BLKrpvJ0K61j1cTRfHwJDKt/pt5S4ONgoFEYLIEh9U8x6OOzwxn27l3mfw2tI2JYFIYaJlm4FjaSg16/oqnnszxZppHSmflQuoqmalJE09k0m+TTXKsqPZxhghWfMv/rPh0Rw6Iw2DBBik9i0M0wmS6KfFos42hepolZiCdZNImnOpqreTWNyzIpl8nhDBOs+JR56zBdEcOiMNgwQYpPYtDb4pNakw9efMrCz9vNGPA/u3ZvCtzHMgoguOUTKDIBrv0K0X7H196+u8K+fYehVCMwIz5MH8sogGDMJxBdRmW2+JS5ik8szc0ySs2LYrbIomlSlrb1Io0m2WJqX7qZJ9N8Mi/17N2DyWhY8SlTtGCgURgsoyHFJzHoZpgs1WJa5fkkmpp/20LVNCrj5fQgT39IMqz4lGlqxLAoDDZMkOKTGHQzTPSiKhaq1GYpvjQmaTrNo2qiFpGOF3OdpvlyOs8PZ5hgxafMX4fpiBgWhcGGCVJ8EoPe+uP7cWDt17D+OFxkMWPAX2QZ9pgFgOCWT6DIBLj2K0T7HV97++4KG7IdhlKNwIz4ML344zDBmE8g64+L0620Dn/M0WxFzxdJms+XyyhL5/GhN2dl2Nt4mbfm8jgYaBQGy2jh4thIDrrJaOsdK9oDoR0L6MgkVijWZ1+p+OkoswdgGR5XGLzVlqR03rzt6QdiwWeg9elWBmBsAcYugDEfoD37QADwBHR/fpWy51RlzSlWLgQ7G3EYGtc0+AizZ6opZT8q86Htr7Q9Uy1P7UdhPgr7q8Ieu1baY9dK+yOl/ZHKHrtWmV+lcWo/zA+nif1VYn+VJvZD2Q/7ZWa/zOyXmf3S/r2p/XtTZb/U9kv7l6fafpnbL3P7pVWQFvbLwn5Z2C9L+6WVkZb2y8p+WeWO+0P5X1/C91SArgT5/rBnvpkwjG34xzb8Yxv+sQ3/2IZ/bMM/tuEf2/CPbfjHNvxjG/6xDf/Yhn9swz+24R/b8I9t+Mc2/GMb/rEN/9iGf2zDP7bhH9vwj234xzb8Yxv+sQ3/2IZ/bMM/tuEf2/CPbfjHNvxjG/6xDf/Yhn9swz92hX/MD38/d3dzIp2Jg/2s7Kdufq2bE+nMNbCfhf0sml8Xzdl1ZXN2Xdn8ZNn8ZNWcXVfZX9uLYT/t77KXw342v06T5lM1n813suY7WfOdrPlOoydt9NgLYz51851Glb025jNvvpM332m02etjP5vvFM13yuY7jUJ7kcxn1XzHcZmaeY5xnb4wgw1eFlHhYuI75od8lOmwLyMDBLd8AkUmwLVfIdrv+No1RTs/I27sJwAz4sP0sewDCMZ8AtFln7I7nirXjqcszVb0NM7iaqZmkTX6tuM+jcqqrKJsOc3iOFlOquR+lB3Ask9hhX7lrXk/DgYahaGWfQop9ItBr9/JmSyy+bRKorwyv8H8eSoqs2Ia6dk0nSR5qeID2qNQYTueKm8psStiWBQGGybhmu9IDrq1R6E1BsP6nnAt0QwB5Y3GsO8iAwS3fAJh3xPWfsfX3r65wol2h6FUIzAjPkwvvidMMOYTyPoedbqV1uF7OJqb5dl0mS3SahJNJknzQmoZlfFCHWadX2F1fqVpwUCjMFhCQ+r8YtDrzefyMp0V8yKaZoXxSPliGRnLNI2yyninZTWZZIvD2atHYXV+lVMjhkVhsGGC1PnFoNfFs1QpnUwmUaGLZDuk4gOdTbCXTJW3ktgVMSwKgw2TcMl3JAe9rpvNtFlaKfMT86VtP0viqJroaRRPZ+YbpVbGVx/OMMFqrMpbbuyKGBaFwYYJUmMVgx76XWQVfpHNXHJvVa8YeNUUJrjlEygyAa79CtF+x9fevpnCNn2HoVQjMCM+TC+rpjDBmE8gu2qqTrfSOlZNHM3N02I1jdMknkTlZKmMJ1J5NE0mVbScTfJZkqm4mBzOiTYae8lU+9+37JjLsSgMlcA08pKpGPTx+RyNvWSq/e9b8lP+UMMkXAobyUEf36pJY7Un7S3DdEUMi8JgwwSpPYlBH9+jOo3VnrS3DNMVMSwKgw0TpPYkBj30qkmHH6+bS6689KpN3+uqCSC45RMoMgGu/QrRfsfX3r6ZwjZ9h6FUIzAjPkwfqyaAYMwnEF01aVtrupf2eNXE0nx8dhirNWlNCwYahcESGFJrEoM+vlqTxmpN2lt26YoYFoXBhglSaxKDvu/Y02YYlYsoz2eLSE3sGRJFrqNZlaqFmsXTcloczjDBak3aW3bpihgWhcGGCVJrEoMe3A6HSyjmkvv3Qxx2Jx6A4JZPoMgEuPYrRPsdX3v7Zgr7rx2GUo3AjPgwvdjhMMGYTyBrh+2Gptq1oSlL8/HZYWxDU+2vqHRsI4FFYbAEFi59jeSgm2FSaDVd6HkZ6VmSRUpVcTTJJ0m0nFazIl6Y/zrVBzNMcqzWlPvLLh0Rw6Iw1DDJkVqTGPTx2eEcqzXl/rJLR8SwKAw2TJBakxj00HY4D5dQzCX3l1DyNn2vdhgguOUTKDIBrv0K0X7H196+mcL+a4ehVCMwIz5MH3YYIBjzCUTtcJ6ebqU9tsMszUdnh3OsvJn7K32PgoFGYbAEhpQ3xaCPr1kix/YvzRU1YlgUBhsm4dLXSA76+IoIOVZryjU1YlgUBhsmSK1JDPr4empyrNaU+8suHRHDojDYMEFqTWLQg6+awiUUc8n9JZRhtysFCG75BIpMgGu/QrTf8bW3b6awTd9hKNUIzIgP08uqKUww5hPIrprsdqX30jpWTRzNx7dqwl6ly/0VlY6dO7EoDJbAwqWvkRz0Ea6asFpT7i+7dG3wCkVhsGGC1JrEoI+v1lRgtabCX3bpiBgWhaGGSYHUmsSgj2/VVGC1psJfdumIGBaFwYYJUmsSgx561VSEH6+bS+5/VO3eWbqPVRNAcMsnUGQCXPsVov2Or719M4Vt+g5DqUZgRnyYPlZNAMGYTyC6aipsrele2uNVE0vz0dnhAqs1Ff6yy6NgoFEYLIEhtSYx6CO0w1itqVDUiGFRGGyYILUmMegjtMNYranQ1IhhURhsmCC1JjHozaaw97bLXvxBN4UtwiUVMwS8JZV02DcTAIJbPoEiE+DarxDtd3zt7Zsr7Md2GEo1AjPiw/Rij8MEYz6BrD3OT7fSOuwxR7MVrRO9LOYqi7JqkUQqy/NoUs2rKJ0usrlK4pn56t2DSWjYq3WFt8LyOBhoFAZLaOFS2EgOuhkm+WRSTrNpFRV5piIVL6toomfmI06T2SIzf9ABnZlQYLWnwr+jYdepylAUBhsmSO1JDHo9TJZlnC/ncbRM42WkZnkVlfOqimaLhYrzbDmJVXE4wwSrPRXeMkxnxKAoDDZMkNqTGPTQT4vLcEnlHfNDPvrCfVJZH3YYILjlEygyAa79CtF+x9fevpnC/muHoVQjMCM+TB92GCAY8wlE7XAZn26lPbbDLM1Hl8BKrNxZ+it/j4KBRmGoBFYi5U4x6OOzw2WKDRN/haUrYlAUBhsm4VLYSA66GSaLZJplalZEMz0zK6yZSqOJ0km0nKi00rNisrQvCh/KMMFqT6W/DNMRMSwKgw0TpPYkBj24HQ6XVMwlVz76Mm7T92uHwwS3fAJFJsC1XyHa7/ja2zdT2H/tMJRqBGbEh+nFDocJxnwCWTtst3G8l9Zhhzmaj88OY+XOUtOCgUZhsASGlDvFoI/QDmOv1pXeikpnxKAoDDZMwqWvkRx0M0yWc11VC+OJlpPpPFLTxSyapkkWlVUVzxd5rufLAxomWK2p9JZduiKGRWGwYYLUmsSgB7fD4RKKueTeEkrpPiy9FzscJrjlEygyAa79CtF+x9fevpnC/muHoVQjMCM+TC92OEww5hPI2mG7jWPp2saRpdmKLpLJQqfpMtKLZGJmsTyJqukkMbmvmMWTJC7zbP7uwSQwrLxZeit9j4OBRmGwBIaUN8Wg1z6n0nqRzbIo0eV00yk4rw6zSbTCXq2rvBWVrohhURhqmFTh0tdIDvr4Vk0VVmuqvGWXrohhURhsmCC1JjHo9W6fSTnJ82oWaW1+g5pkUzPzGP9cqmyxXFRZvMxmhzNMsFpT5S27dEUMi8JgwwSpNYlBD71qqsIlFHPJvSWUMm3T97pqAghu+QSKTIBrv0K03/G1t2+msE3fYSjVCMyID9PHqgkgGPMJRFdNVXa6lfZ41cTSfHRFhAp7ta5StGCgURgsgYVLXyM56CNcNWG1pkpTI4ZFYbBhgtSaxKCPcNWE1Zoqf9ml68aCojDYMEFqTWLQx9d6VWG1pspfdumIGBaFwYYJUmsSgx581RR+vG4uuf9R9aPzg/tdNYUJbvkEikyAa79CtN/xtbdvprBN32Eo1QjMiA/Ty6opTDDmE8iummytqXLVmliaj2/VhNWaKn/ZpeM0dCwKgyUwpNYkBn10djiNoVqT+TFyxKAoDDRMDE94mMhBH13rVRpDtSbzY9SIYVEYbJgAtSY56IHtcBqHSyjmkvtLKN3n0T/txw4jBLd8AkUmwLVfIdrv+NrbN1PYf+0wlGoEZsSH6cEOIwRjPoGkHTaqTrfSHtlhnuZjs8NpDL1KZ36MFgw0CoMlsHDpayQHfXRFhDSGak3mx6gRw6Iw2DABak1y0Ee4aoJqTebHqBHDojDYMAFqTXLQR7c5WhpDtSbzY9SIYVEYbJgAtSY56MFXTeESirnk/hLKoLt7IgS3fAJFJsC1XyHa7/ja2zdT2KbvMJRqBGbEh+ll1RQmGPMJZFdNxelWWseqiaP5+FZN0LaN5sdowUCjMFgCC5e+RnLQR7hqgmpN5seoEcOiMNgwAWpNctDHt2pKsFpT4i+78PdDHWiYJEitSQz66Fqv0gSrNSX+sktHxLAoDDZMkFqTGPTQq6Yk/HjdXHL/o+pHx0z3umoCCG75BIpMgGu/QrTf8bW3b6awTd9hKNUIzIgP08eqCSAY8wlEV02JrTUlrloTS/PRrZoSrNaU+Msuj4KBRmGwBIbUmsSgj2/VlGC1pkRRI4ZFYbBhgtSaxKCPcNWE1ZqsYlrEsCgMNkyQWpMY9PF16CVYrSnxl126biwoCoMNE6TWJAb9J/cny5VrcDNpDXqyXJqEH7ebIeB9dJ0+Ona631VUmOCWT6DIBLj2K0T7HV97++YK2/YdhlKNwIz4ML2sosIEYz6B7CrK1p4SV+2JpdmKxiroh5LQsNpT4j8961Ew0CgMltCQ2pMYdDNMVGls0UzlkSp1FqnC/IbJLIujTMXzIl0sY5Ud0NNirPaUeMswXRHDojDYMEFqT2LQx/dMJsVqT6m3DNMVMSwKQw2TFKk9iUEPXVRIwyUVc8n9JZVh7TBAcMsnUGQCXPsVov2Or719M4X91w5DqUZgRnyYPuwwQDDmE4ja4TQ53Up7bIdZmo8vgaVYAvNXWPhzedc9F4Tfw30XLoWN5KCPb9WUYrWn1F+G4S8ghhomSO1JDHpwnxMuqZhLrrz0ZZu+X58TJrjlEwj7nLD2O7729s0UTqw7DKUagRnxYXrxOWGCMZ9A1ueo0620Dp/D0Xx8Pgcrd9r7ghIMNAqDJTCk3CkGfYQ+Byt32hmHFjEsCoMNE6TcKQY9uM8JV3TMJfdWR0r34ei9+JwwwS2fQJEJcO1XiPY7vvb2zRROrDsMpRqBGfFhevE5YYIxn0DW59jyZuoqb7I0H5/Pwcqbqf8ts67T0KEoDJbAkPKmGPTxlTdTrLyZeit9XRHDojDYMEHKm2LQx2eHM6y8mfnfMuuIGBaFoYZJhpQ3xaCHtsNZuKJjLrm3OlLFbfpe7TBAcMsnUGQCXPsVov2Or719M4X91w5DqUZgRnyYPuwwQDDmE4ja4cyWNzNXeZOl+ejscIaVNzNvpe9xMNAoDJbAkPKmGPQR+hysvJl5K31dEcOiMNgwQcqbYtCD+5xwRcdccuWlH/QIeITglk8g7HPC2u/42ts3Uzix7jCUagRmxIfpxeeECcZ8AlmfY8ub99I6fA5H8/H5HKy8mWlaMNAoDJbAkPKmGPQR+hysvJnl1IhhURhsmCDlTTHowX1OuKJjLrm3OlKlbfp+fU6Y4JZPoMgEuPYrRPsdX3v7Zgon1h2GUo3AjPgwvficMMGYTyDrc2x5M3OVN1maj8/nYOXNzFvpexwMNAqDJTCkvCkGfXzlzQwrb2beSl9XxLAoDDZMkPKmGHQzTGZ6Ma/isoqmC63tDhelGVLTLIqXaZlP0vl0OtEHM0wUVt5U3kpfV8SwKAw1TBRS3hSDHtoOq3BFx1xyf3Vk0NN4EYJbPoEiE+DarxDtd3zt7Zsp7L92GEo1AjPiw/RhhwGCMZ9A1A4rW95UrvImS/PR2WGFlTeVv9LHP5i2654Lwu/hvkPKm2LQR+hzsPKm8lf6OiKGRWGwYYKUN8WgB/c54YqOueTKSz/sMasAwS2fQNjnhLXf8bW3b6ZwYt1hKNUIzIgP04vPCROM+QSyPseWN++ldfgcjubj8zlYeVNpWjDQKAyWwJDyphj0EfocrLypcmrEsCgMNkyQ8qYYtN2s1vxmyz3oJrUqXNkxl95bJUmH3a0CILjlEwj7nbD2O7729k0VTrA7DKUagRnxYXrxO2GCMZ9A1u/YMqdylTlZmq1orFnjUBIZVuZU/v1a+W/kd91zQfg93HdImVMMem2LoY38D2WYYGVO5a34dUUMi8JgwwQpc4pBH9/qSWNlTu3fr5W/DcxAw0QjZU4x6KEf/+lwZcdccn+VZNjzwgGCWz6BIhPg2q8Q7Xd87e2bKey/dhhKNQIz4sP0YYcBgjGfQNQOa1vm1K4yJ0vz8SUwrMyp/RU//tHZXfdcEH4P9x1S5hSDPr5Vk8bKnNpf8euIGBaFwYYJUuYUgx7c54QrO+aSKy/9sCf8AgS3fAJhnxPWfsfX3r6Zwol1h6FUIzAjPkwvPidMMOYTyPocW+a8l9bhcziaj8/nYGVOrWnBQKMwWAJDypxi0Efoc7Ayp86pEcOiMNgwQcqcYtCD+5xwRcdccm91pBr20CGA4JZPoMgEuPYrRPsdX3v7Zgon1h2GUo3AjPgwvficMMGYTyDrc2x5U7vKmyzNx+dzsPKm9r/QyD9/p+ueC8Lv4b5Dypti0MdX3tRYeVN7K32dEYOiMNgwQcqbYtDNMJkm5STPq1mktfkNapJNo8oeVl6qbLFcVFm8zGYHM0xyrLyZ+19o7IgYFoWhhkmOlDfFoIe2w3m4omMuub86Mmy3H0BwyydQZAJc+xWi/Y6vvX0zhf3XDkOpRmBGfJg+7DBAMOYTiNrh3JY3c1d5k6X56OxwjpU3c3+lj9+q0nXPBeH3cN8h5U0x6CP0OVh5M/dX+joihkVhsGGClDfFoAf3OeGKjrnkyks/7NlUAMEtn0DY54S13/G1t2+mcGLdYSjVCMyID9OLzwkTjPkEsj7HljfvpXX4HI7m</t>
  </si>
  <si>
    <t>4/M5WHkz17RgoFEYLIEh5U0x6CP0OVh5M8+pEcOiMNgwQcqbYtCD+5xwRcdccl91RMVxm75fnxMmuOUTCPucsPY7vvb2zRROrDsMpRqBGfFhevE5YYIxn0DW59jyZu4qb7I0H5/Pwcqbua/S1xEMNAqDJTCkvCkGfXzlzRwrb+a+Sl93xKAoDDZMkPKmGPTxdfsVWHmz8FX6OiOGRWGoYVIg5U0x6KHtcBGu6JhL7quOqHjYs6kAgls+gSIT4NqvEO13fO3tmynsv3YYSjUCM+LD9GGHAYIxn0DUDhe2vFm4ypsszUdnhwusvFn4Kn0dwUCjMFgCQ8qbYtBH6HOw8mbhq/R1RgyLwmDDBClvikEP7nPCFR1zyZWXPm3T9+tzwgS3fAJhnxPWfsfX3r6Zwol1h6FUIzAjPkwvPidMMOYTyPocW968l9bhcziaj8/nYOXNQtOCgUZhsASGlDfFoI/Q52DlzSKnRgyLwmDDBClvikEP7nPCFR1zyf3VkWEPHQIIbvkEikyAa79CtN/xtbdvpnBi3WEo1QjMiA/Ti88JE4z5BLI+x5Y3C1d5k6X5+HwOVt4s/JU+/vk7XfdcEH4P9x1S3hSDPr7yZoGVNwt/pa8rYlAUBhsmSHlTDPr47HCJlTdLf6WvI2JYFIYaJiVS3hSDHtoOl+GKjrnk/urIsGdTAQS3fAJFJsC1XyHa7/ja2zdT2H/tMJRqBGbEh+nDDgMEYz6BqB0ubXmzdJU3WZqPzg6XWHmz9Ff6+Mc0dd1zQfg93HdIeVMM+gh9DlbeLP2Vvo6IYVEYbJgg5U0x6MF9TriiYy658tIPuwk/QHDLJxD2OWHtd3zt7ZspnFh3GEo1AjPiw/Tic8IEYz6BrM+x5c17aR0+h6P5+HwOVt4sNS0YaBQGS2BIeVMM+gh9DlbeLHNqxLAoDDZMkPKmGLT53x9a8iRek5uF17CHcZbhEo8ZA75ySZY96t7v1/iECW75BIpMgGu/QrTf8bW3765wpt1hKNUIzIgP04vxCROM+QSyxsfWO0tXvZOluTE+ma1gVFlUxmoeKZ1Pokk8XUTZNI0rNZ1nxbJ692AyGlbvLL0btz4OBhqFwTIaUu8Ug15vW5FNJ0mZxFGW5ItIJUkZVfFiakxSWs31rMziIj+cYYLVO0tf6a8zYlgUBhsmSL1TDPr4llEVVu+svBu3dt5YUBSGGiYVUu8Ug/6T9Rn11nUNaourcKnHXHrvppfZsK91AgS3fAJFJsC1XyHa7/ja2zdV2IftMJRqBGbEh+nDFgMEYz6BqC2ubN2zctU9WZqPzhZXWN2z8pUAO4KBRmGwRIbUPcWgm2GynCXzPFVVlKsyi1ReqqhMF1U0n8Xzah5P40U8P5xhgtU9K+8Grl0Rw6Iw2DBB6p5i0Me3eqoUNkwUNWJYFAYbJuGa2EgOuhkmZV6ms2JeRNOsiM2QWiyjaqamUVZlcbWsJpNsUR7OMMGKUJWmRgyLwmDDBClCiUEP3UVRhWsr5pLnHnqzFmzT97tqChPc8gkUmQDXfoVov+Nrb99MYZu+w1CqEZgRH6aXVVOYYMwnkF015adbaR2rJo7m40tgBZbAfJWVjmCgURgsgYVLYCM56CO0w1jNqfK/btYRMSwKgw0TpOYkBn2Ei2us5lT5yi+dEcOiMNgwQWpOYtBH96gui6Gak/kxasSwKAw0TAxPeJjIQTc9WQ16exy0Q/H1xeyj9z54XyAS9c2L3zeI6VPzoe1HaT6SxH4oVzz8D6/Tdjyc5heiwv2vRRlblLFFGVuUsUUZu1DGfJS2C4ZQYCNsSV57zaLYT918lvbT0NjPbhz7UxweC3S/xB26K9AgB29IMwv5n50P+tonQnDLJ1BkAlz7FaL9jq9dU7TzZ7Tt3B6GGfFheljIIwRjPoHkQt6oOt1K65imOJqbFZqaxmkST6JyslTGf6k8miaTKlrOJvksMVm3mEzePRhPBdW1zI/RgoFGYTBPBdS15KCbYWL+BK2SiY6S5WQRJYlx6GW8KKI41rHOyzKp9CPLNdwwgepa5seoEcOiMNgwAepactCb1yHuH/sN73vC5RszBLQ3GoMWMBCCWz6BsO8Ja7/ja2/fXOFEu8NQqhGYER+mF98TJhjzCWR9jz7dSuvwPRzNzSPHbJrOKh1HZVraI/rmSVQVE/OR6dm8qIrFdHJACQ16v8/8GC0YaBQGS2jhsttIDvro2tyzGKpzmR+jRgyLwmDDBKhzyUEP3KiRxeHyjbnk/vJN0abv1+eECW75BMI+J6z9jq+9fTOFE+sOQ6lGYEZ8mF58TphgzCeQ9Tnl6VZah8/haD6+BAaVVs2P0YKBRmGwBAaUVuWgj88OJ1hpNfFXGTsihkVhqGGSIKVVMeihfU4SfnPJXHL/7odlm75XnwMQ3PIJZH0OoP2Or719M4UT6w5DqUZgRnyYPnwOQDDmE4j6nCQ53Up77HNYmo/O5yQplsB8Rb2OYKBRGCyBhauvIznoI/Q5WLkz8e/k2RExLAqDDROk3CkGPbjPCVfxzCVXXvqqTd+vzwkT3PIJhH1OWPsdX3v7Zgon1h2GUo3AjPgwvficMMGYTyDrc9TpVlqHz+FoPj6fA705mtlTVCjBQKMwWAILV1tHctBH6HOw8maSUyOGRWGwYYKUN8Wgt63yWXsctEMBdWKzIrFulU9sg3xq++VT2y+f2i8z+2Vmv8zsl8p+qeyXyn6pbTe9VvajMB+5/TIvXRH0V/7wggUUBzzHrZvrE9tSn9oO+9R22Kf2y8x+mdkvM/ulsl8q+6WyX2rbf2/gxxZ+bOHHLvgxH76dGyF4OD3et+MnTQt+2jTlp01Tftp8J2u+kzXfyZrvqOY7qvmOar6jm8Z9Ewf7WdjPvPmOIxT2b+PEognGOhaDt7Ql4eqWmSX9u0MOvDQIE9zyCRSZANd+hWi/42vXFO38GXebe8IwIz5ML0uDMMGYTyC7NLCl3sRV6mVptqKxfcsPxfNhpd7EV/XsCAYahcE8H1LqFYNeryChUy0PZJikWKk39W9i2rWYgqIw1DBJkVKvGPTxPWhIE2yY+F/m5K+5hxom4TLgSA566CflabicZC65t5yUxG36Xu0wQHDLJ1BkAlz7FaL9jq+9fTOF/dcOQ6lGYEZ8mD7sMEAw5hOI2uHUvtl6L+2xHWZpPr4EhpV6U2/V83Ew0CgMlsCQUq8Y9PGtmlLszVY79dMihkVhsGESLgOO5KAH9znhcpK55NpLP+gBBgjBLZ9A2OeEtd/xtbdvpnBi3WEo1QjMiA/Ti88JE4z5BLI+x77Jei+tw+dwNB+fz8FKvXYoUYKBRmGwBIaUesWgj9DnYG+ypr6KXmfEsCgMNkyQN1nFoAf3OeGKjrnk3hfhkrRN36/PCRPc8gmEfU5Y+x1fe/tmCifWHYZSjcCM+DC9+JwwwZhPIOtzbHkzdZU3WZqPz+dg5c3UV+nrCAYahcESGFLeFIM+vvJmhpU3M+9LnZ0Rg6Iw1DDJkPKmGHQzTGZ6Ma/isoqmC60jNV2UZkhNsyhepmU+SefT6eSAhglW3sy8L891RQyLwmDDBClvikEPbYezcEXHXHJ/dSRr0/dqhwGCWz6BIhPg2q8Q7Xd87e2bKey/dhhKNQIz4sP0YYcBgjGfQNQOZ7a8mbnKmyzNR2eHM6y8mfkrfY+CgUZhsASGlDfFoI/Q52DlzUxRI4ZFYbBhgpQ3xaAH9znhio655NpLP+wBBQDBLZ9A2OeEtd/xtbdvpnBi3WEo1QjMiA/Ti88JE4z5BLI+x5Y376V1+ByO5uPzOVh5M8tpwUCjMFgCQ8qbYtBH6HOw8mbmr/R1RAyLwmDDBClvikEP7nPCFR1zyf3VEd2m79fnhAlu+QTCPies/Y6vvX0zhRPrDkOpRmBGfJhefE6YYMwnkPU5tryZucqbLM3H53Ow8mbmr/Q9CgYahcESGFLeFIM+vvKmwsqbyl/p64oYFIWhholCypti0MfX7aew8qbyV/o6IoZFYbBhgpQ3xaCHtsMqXNExl9xfHRn2fC6A4JZPoMgEuPYrRPsdX3v7Zgr7rx2GUo3AjPgwfdhhgGDMJxC1w8qWN5WrvMnSfHR2WGHlTeWv9PHPIOq654Lwe7jvkPKmGPQR+hysvKkUNWJYFAYbJkh5Uwx6cJ8TruiYS6699MOezwUQ3PIJhH1OWPsdX3v7Zgon1h2GUo3AjPgwvficMMGYTyDrc2x5815ah8/haD4+n4OVN1VOCwYahcESGFLeFIM+Qp+DlTeVv9LXETEsCoMNE6S8KQb9J/fnr987gsE3q1XhCo8ZAt69LtWwu1YABLd8AmHfE9Z+x9fevrnCiXaHoVQjMCM+TC++J0ww5hPI+h5b7lSucidLsxW9UHlRzZezaJYvJpGKF4uoWhbTaFHqSamn8UypRxvTD5fQsHKn8lX+OoKBRmGwhIaUO8Wgj88ea6zcqb37tnZFDIvCUMNEI+VOMeihn+/ocBXPXHJ/FW/Yc0kBgls+gazPAbTf8bW3b6ZwYt1hKNUIzIgP04fPAQjGfAJRn6PtuaTadS4pS/PxJbAUS2D+oh7/iM6uey4Iv4f7Llx9HclBH58d1li5U/srfx0Rw6Iw2DBByp1i0IP7nHAVz1xy5aUf9vAhgOCWTyDsc8La7/ja2zdTOLHuMJRqBGbEh+nF54QJxnwCWZ9jzyW9l9bhcziaj8/nYOeSak0LBhqFwRJYuPo6koM+Qp+DlTt1To0YFoXBhglS7hSD3tSxqjX44HUsHa7qmSHgq+rZ9kDXVN+L7wkT3PIJhH1PWPsdX3v75gon2h2GUo3AjPgwvfieMMGYTyDre4rTrbQO38PRbEVrncymWs2jiVqa5LdQs2hazspILxbVYjJJy9Kev3UoCa3EEpq/qNex1QwWhcESWrj6OpKDXm9PkC6TeTKLo2Q2SyM1nauoXMQ6WiyTRV6pPCvT6eEME6zcqf2Vv64diaAoDDZMkHKnGHQzTJJJNU9neRKVaWaGVJrpaJpUZbSoijiZT+eFVouDGSY5Vu7M/ZW/johhURhqmORIuVMMemOPk/jdw/DHebjkY8aA9wxKNey2FgDBLZ9AkQlw7VeI9ju+9vbdFTZkOwylGoEZ8WH68McAwZhPIOqPc1v/zF31T5ZmK1pl5TLOpmUUp0pHqlB5NFlm06hS80plRR5Ps8MxPjlW/8x9pcCOYKBRGCyjIfVPMehmmBTTKtdxtoh0WVbGJJVlNC2Wufkynk0mkzxPJ4vDGSZY/TP3lQI7I4ZFYbBhgtQ/xaCPb7WdY6975ooaMSwKgw2TcG1sJAe9LkbF6SKbxXMzkKo0SpJFFZXxYhLFsY51XpZJpdPDGSZYMSrX1IhhURhsmCDFKDHo9WyymKZJoYuotK/XqPnSDK7FsjK/dVKU04UZWMn8cIYJVozKfXWZ7hsLisJgwwQpRolBr2uWy8k8zSbLaDmdziOVpWk0SaZFFM+yqpylatFsbXoowwR79y73P+/uiBgWhcGGSbgwMZKDHro3Kw8/4DaX3LszYRq36ft9BhMmuOUTKDIBrv0K0X7H196+mcKL/h2GUo3AjPgwvTyDCROM+QSyz2Dsu3a56107lubjS2BY8Sn31WE6goFGYbAEhhSfxKCPzw4XWPGp8O6y2RUxLApDDZMCKT6JQR/f4rrAthYtvK/3dEUMi8JgwyRchxjJQR/fo7oCe/Bf+J6Bd99YUBQGGybIg38x6ON78F9gD/4L7ztAXRHDojDYMEEe/ItBH18ZscAe/BeKGjEsCoMNE+TBvxh00xjTjJVHLxC0Y/H1xeyj9z54XyAU9c2L3zeM+dORigtXBLQnAnaLtVYEnItnCANfP1vtY6t97NI+5mtvL5sh7fDK2Uo3C2Sj/bXXXOLtf+eot/IfGZXeR1TxdJSVsf3I7EduPyrzUaX2Q9uP0g66xH4o18jLvfz41pAQLnnkFU/HlnFsGceWcWwZx5ZxbBnHlnFsGccuxjGfsZ8RWpgRaiHtZ9Z85s1nZT8NqP3UzWfZjOWk+eyGbUY8g7ZZxK1pB+8eLMLP7U2i9D+3H/atYoDglk+gyAS49itE+x1fu6Zo58+QW/sRhhnxYdpTYBiGOpSuEYIxn0D0yXVh3665l9YxTXE0Nw8RoL0vD8X2Y2/XFP4XTTrenMSiMJjtD9dbRnLQzTAp8zKdFfMimmZFHKl8sYyqmZqa35rF1bKaTLJFeTjDBCtwFL5n/Z0Rw6Iw2DBBChxi0ENX6Mvwc/t3zA956FU67G64AMEtn0DW5wDa7/ja2zdTOLHuMJRqBGbEh+nD5wAEYz6BqM8p49OttMc+h6W5WY5BW2gcSAIrsZpa6S8v8Xf87LrngvB7uO+QmpoY9LqRI5lmmZoV0UzPjCeaqTSaKJ1Ey4lKKz0rJss8PpxhgtXUSn95qWv/YCgKgw0TpKYmBj24zwmXiswl95eK0jZ9vz4nTHDLJxD2OWHtd3zt7ZspnFh3GEo1AjPiw/Tic8IEYz6BrM/JTrfSOnwOR/Px+RysjFsqWjDQKAyWwJAyrhh0M0yWc11VC5PslhPbtThdzKJpmmRRWVXxfJHner7UhzNMsPe3Sk2NGBaFwYYJ8v6WGPTgPif8WpK55LmXfthd4QCCWz6BsM8Ja7/ja2/fTOHEusNQqhGYER+mF58TJhjzCWR9Tn66ldbhcziaj64gUWKvDJa+Il5HMNAoDJbAwtXWkRz0elc4vZhXcVlF04XWNtmVxhNNsyhepmU+SefT6UQfzjDBypul/y2lrg3SoCgMNkyQ8qYY9OA+J1y1M5fcV7VTqWrT9+tzwgS3fAJhnxPWfsfX3r6Zwol1h6FUIzAjPkwvPidMMOYTyPqc6nQrrcPncDQfnc+psFcGK38R71Ew0CgMlcCqcLV1JAd9fG1cFVberPyVvo6IYVEYbJgg5U0x6KF9ThWu2plL7q/aDbuLKUBwyyeQ9TmA9ju+9vbNFE6sOwylGoEZ8WH68DkAwZhPIOpzqvR0K+2xz2FpPrq6VYW9pVr5i3hde6tBURgsgYWrrSM56OPrz6mw8malqBHDojDYMEHKm2LQg/uccNXOXHLtpXe/5dmLzwkT3PIJhH1OWPsdX3v7Zgon1h2GUo3AjPgwvficMMGYTyDrc/TpVlqHz+FoPj6fg+2IWuW0YKBRGCyBhautIzno4+vPqbDyZuWv9HVEDIvCYMMEKW+KQQ/uc8JVO3PJ/VU7914BvficMMEtn0DY54S13/G1t2+mcGLdYSjVCMyID9OLzwkTjPkEsj7H7ohauXZEZWk+Pp+DvTBc+Yt4j4KBRmGwBBauto7koI+uP0fFUHnT/Bg1YlgUBhomhic8TOSgB/Y5Kg5X7cwl91ftyjZ9nz4HIbjlE4j6HET7HV97+2YKJ9YdhlKNwIz4MD34HIRgzCeQ9DlG1elW2iOfw9N8bD5HxSmWwPxFvEfBQKMwWAILV1tHctBH6HOg8qb5MWrEsCgMNkyA8qYc9OA+J1y1M5dceekH3ScQIbjlEwj7nLD2O7729s0UTqw7DKUagRnxYXrxOWGCMZ9A1ueo0620Dp/D0Xx8Pgd6Ydj8GC0YaBQGS2DhautIDvoIfQ5U3jQ/Ro0YFoXBhglQ3pSDXu8ib9Hb46AdCmh/aFYkmi2/VWz3807sft6Jsh+O7eRV7CvhZTpuh8KZqSAgPFk1m3pbirGlGFuKsYtizKdoZyuIAk5Y6227LYX5TJrNuA2H/XRtMs8jsSj3m8wPvSW3gQ3egGbW8e7nqlPn9erFaocJbvkEikyAa79CtN/xtWuKdv4Mtp3LwzAjPkwvVjtMMOYTyFrt8nQrrWOa4mi2ossqnVfLch4tlxPrt2wiLeZplGZpPslnlSqz+zvkEDwUVDo1P0YLBhqFwTwUUDqVgz6+FVmClU4TXxWxM2JYFIYaJglSOhWDHvqRYhKuFplL7q28ZG5f2ofPAQhu+QSyPgfQfsfX3r6Zwol1h6FUIzAjPkwfPgcgGPMJRH1OYkuniat0ytJ8fAkMK50m3iri42CgURgsgSGlUzHo47PDCVY6TbxVxK6IYVEYbJggpVMx6OaR4tPtsZT24g/6fCcJV4/MEFCeaGR60C2dEIJbPoGw7wlrv+Nrb99c4US7w1CqEZgRH6YX3xMmGPMJZH2PLaXeS+vwPRzNx5fQsFJqomnBQKMwWEJDSqli0Edoj7FSapJTI4ZFYbBhgpRSxaAHf74TfgHSXHJftU5lgx65hhDc8gkUmQDXfoVov+Nrb99M4cS6w1CqEZgRH6YXnxMmGPMJZH1OcbqV1uFzOJqPL4FBey+bH6MFA43CYAksXH0dyUGvW8YWWVFk8yyaqMkiUiouo0kxXURlqgs1nSVpWSaHM0ywcmfiq/x1RgyLwmDDBCl3ikGvW8Ysu2oPhHYsoOYkVijWPWOpbRdLM/the8bS3BGL1F/Tw3cfhIDwbLXuGUttu5ihGFuKsYtizKdopyuIAs5Y9z1jadMtZjDsZ9Mz5gCx/4VDYlHupx57WQZ9ppiGy0fvmB/yUg663QZCcMsnUGQCXPsVov2Or11TtPNnsM1kDsCM+DB9eG2AYMwnEPXaqa2lpq5aKkuzFb3Mqomu0jLKkmQZJcliEVVVrKJ5kufJZBZPp9X9PX4AJirFaqmpr6zYEQw0CkOZqBSppYpBb4pk91d9qCZox6X2lQYzPex7hWm4uHnLJxBOXGHtd3zt7ZsoPFPua8iM+KJ7SVDhsI/5BLIJKjvdSutIUBzN9zPP/Ui3/xpi5nmw0uGKpJmRlA80H/axNUBwyycQnpHC2u/42jVFO3tGekjpYZgRH6aXmSpMMOYTyM5Utjx/L61jpuJotqJ1uShmZb6MVFFMzce0iqpSL6N4otNymqXLopy9ezBWGivP2/uCEgw0CoNZaaQ8LwY9dN01DVedzSXPPfQqS533bC8JLExwyycQTmBh7Xd87e2bKTxj7jCUagRmxIfpJYGFCcZ8AtkElp9upXUkMI7m40tg0N7hKvUXoR8FA43CYAks3C0wkoO+L6it//d7T7/wN//eH/zeVxLznS/9neux9fQLf9nmO1//6P/46uLrJnq/t/zg/Y/sv2cffPWDD+0vJh/+0dT+aV9Jv6JVWZhI/977k6/Zv+D6va8tvn7ycvG/nVx98LXJ++Zv+/p7/9b8hyR9+nt//P588eFX33vf/tz7H5h/md82+ep7f/S+DbD9Y//1Bx++92/N3zX5qvmJry6WH5nf/r8uPvzovVnznZn5scWH5nv/24eTf3O9+N/N7/nowz9emD9lahAXHzZapx989NEHX1v/yn6zthSbv/BpB0Lc/M/E7envzd+b/NEH79u/i/O7G8Gs3/nhe3/0r5m/9aMP/g3nN5rfuXzvqw2o/bcd0+YHvv7BV83lt2Nh/sz5e+3AmHz40eMf2IwFOxj++GvTxYdf+eBDM8zWA8j+6tkHc/u3vLF4f/GhCbL5uX/z4QcfrauH9qe++sHsf1mY4bf59sJqWd+U5pvvvf+vzS35kRX//wMBiJde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</si>
  <si>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</si>
  <si>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</si>
  <si>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</si>
  <si>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</si>
  <si>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</si>
  <si>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</si>
  <si>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</si>
  <si>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</si>
  <si>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</si>
  <si>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</si>
  <si>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</si>
  <si>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</si>
  <si>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</si>
  <si>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</si>
  <si>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</si>
  <si>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</si>
  <si>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</si>
  <si>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</si>
  <si>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</si>
  <si>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</si>
  <si>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</si>
  <si>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</si>
  <si>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</si>
  <si>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</si>
  <si>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</si>
  <si>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</si>
  <si>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</si>
  <si>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</si>
  <si>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</si>
  <si>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</si>
  <si>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</si>
  <si>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</si>
  <si>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</si>
  <si>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</si>
  <si>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</si>
  <si>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</si>
  <si>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</si>
  <si>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</si>
  <si>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</si>
  <si>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</si>
  <si>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</si>
  <si>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</si>
  <si>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</si>
  <si>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</si>
  <si>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</si>
  <si>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</si>
  <si>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</si>
  <si>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</si>
  <si>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</si>
  <si>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</si>
  <si>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</si>
  <si>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</si>
  <si>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нет схем</t>
  </si>
  <si>
    <t>№1.030 и 2.037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</si>
</sst>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6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2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2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2" fillId="3" borderId="7" xfId="0" applyFont="1" applyFill="1" applyBorder="1" applyAlignment="1">
      <alignment horizontal="right" vertical="center"/>
    </xf>
    <xf numFmtId="4" fontId="12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4" fontId="9" fillId="9" borderId="7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4" fontId="9" fillId="10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left" vertical="center" wrapText="1"/>
    </xf>
    <xf numFmtId="0" fontId="15" fillId="10" borderId="7" xfId="0" applyFont="1" applyFill="1" applyBorder="1" applyAlignment="1">
      <alignment horizontal="center" vertical="center" wrapText="1"/>
    </xf>
    <xf numFmtId="164" fontId="15" fillId="10" borderId="7" xfId="0" applyNumberFormat="1" applyFont="1" applyFill="1" applyBorder="1" applyAlignment="1">
      <alignment horizontal="center" vertical="center" wrapText="1"/>
    </xf>
    <xf numFmtId="4" fontId="15" fillId="10" borderId="7" xfId="0" applyNumberFormat="1" applyFont="1" applyFill="1" applyBorder="1" applyAlignment="1">
      <alignment horizontal="center" vertical="center" wrapText="1"/>
    </xf>
    <xf numFmtId="4" fontId="15" fillId="9" borderId="7" xfId="0" applyNumberFormat="1" applyFont="1" applyFill="1" applyBorder="1" applyAlignment="1">
      <alignment horizontal="center" vertical="center" wrapText="1"/>
    </xf>
    <xf numFmtId="4" fontId="15" fillId="9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9" fillId="11" borderId="1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164" formatCode="#,##0.0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colors>
    <mruColors>
      <color rgb="FF66FFFF"/>
      <color rgb="FF99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5:I427" totalsRowShown="0" headerRowDxfId="10" tableBorderDxfId="9">
  <autoFilter ref="A5:I427">
    <filterColumn colId="8">
      <filters blank="1">
        <filter val="0,060"/>
        <filter val="0,062"/>
        <filter val="0,893"/>
        <filter val="1 035,180"/>
        <filter val="1 040,020"/>
        <filter val="1 049,680"/>
        <filter val="1 075,900"/>
        <filter val="1 111,780"/>
        <filter val="1 119,800"/>
        <filter val="1 346,250"/>
        <filter val="1 357,380"/>
        <filter val="1 410,000"/>
        <filter val="1 508,200"/>
        <filter val="1 863,324"/>
        <filter val="106,245"/>
        <filter val="11,304"/>
        <filter val="11,490"/>
        <filter val="112,200"/>
        <filter val="113,115"/>
        <filter val="115,989"/>
        <filter val="117,800"/>
        <filter val="127,250"/>
        <filter val="127,932"/>
        <filter val="13,470"/>
        <filter val="130,410"/>
        <filter val="133,700"/>
        <filter val="134,625"/>
        <filter val="138,787"/>
        <filter val="14 267,840"/>
        <filter val="148,629"/>
        <filter val="15,208"/>
        <filter val="153,200"/>
        <filter val="155,277"/>
        <filter val="155,888"/>
        <filter val="156,003"/>
        <filter val="157,452"/>
        <filter val="161,007"/>
        <filter val="161,385"/>
        <filter val="166,767"/>
        <filter val="17,670"/>
        <filter val="178,446"/>
        <filter val="182,903"/>
        <filter val="188,400"/>
        <filter val="19,884"/>
        <filter val="190,476"/>
        <filter val="193,810"/>
        <filter val="2 243,750"/>
        <filter val="2,000"/>
        <filter val="2,361"/>
        <filter val="2,545"/>
        <filter val="2,550"/>
        <filter val="2,678"/>
        <filter val="20,055"/>
        <filter val="201,000"/>
        <filter val="211,500"/>
        <filter val="216,420"/>
        <filter val="22,000"/>
        <filter val="22,729"/>
        <filter val="22,980"/>
        <filter val="226,230"/>
        <filter val="227,394"/>
        <filter val="23,610"/>
        <filter val="239,700"/>
        <filter val="248,900"/>
        <filter val="25,450"/>
        <filter val="26,723"/>
        <filter val="267,400"/>
        <filter val="267,522"/>
        <filter val="269,250"/>
        <filter val="27,900"/>
        <filter val="271,410"/>
        <filter val="273,790"/>
        <filter val="297,258"/>
        <filter val="298,551"/>
        <filter val="3 062,800"/>
        <filter val="3 837,960"/>
        <filter val="3,542"/>
        <filter val="3,768"/>
        <filter val="3,818"/>
        <filter val="301,380"/>
        <filter val="31,470"/>
        <filter val="31,600"/>
        <filter val="31,900"/>
        <filter val="310,554"/>
        <filter val="32,463"/>
        <filter val="32,500"/>
        <filter val="33,200"/>
        <filter val="331,518"/>
        <filter val="34,425"/>
        <filter val="343,575"/>
        <filter val="35,130"/>
        <filter val="357,130"/>
        <filter val="37,440"/>
        <filter val="37,680"/>
        <filter val="386,630"/>
        <filter val="4 487,500"/>
        <filter val="4,150"/>
        <filter val="40,110"/>
        <filter val="41,184"/>
        <filter val="432,840"/>
        <filter val="434,700"/>
        <filter val="447,700"/>
        <filter val="478,170"/>
        <filter val="5,652"/>
        <filter val="5,661"/>
        <filter val="503,520"/>
        <filter val="510,400"/>
        <filter val="520,010"/>
        <filter val="555,890"/>
        <filter val="56,499"/>
        <filter val="57,995"/>
        <filter val="6,789"/>
        <filter val="604,130"/>
        <filter val="63,400"/>
        <filter val="64,100"/>
        <filter val="64,926"/>
        <filter val="65,302"/>
        <filter val="66,280"/>
        <filter val="67,853"/>
        <filter val="678,888"/>
        <filter val="7 056,660"/>
        <filter val="7 835,880"/>
        <filter val="7,083"/>
        <filter val="7,350"/>
        <filter val="7,635"/>
        <filter val="73,773"/>
        <filter val="75,345"/>
        <filter val="752,000"/>
        <filter val="754,100"/>
        <filter val="76,600"/>
        <filter val="76,670"/>
        <filter val="78,002"/>
        <filter val="8,025"/>
        <filter val="8,135"/>
        <filter val="8,715"/>
        <filter val="8,908"/>
        <filter val="83,384"/>
        <filter val="852,880"/>
        <filter val="858,938"/>
        <filter val="86,063"/>
        <filter val="891,740"/>
        <filter val="897,500"/>
        <filter val="9,510"/>
        <filter val="9,942"/>
        <filter val="980,914"/>
        <filter val="99,420"/>
        <filter val="990,860"/>
      </filters>
    </filterColumn>
  </autoFilter>
  <tableColumns count="9">
    <tableColumn id="1" name="Номер п/п" dataDxfId="8"/>
    <tableColumn id="2" name="Код узла ИСР" dataDxfId="7"/>
    <tableColumn id="3" name="Наименование затрат" dataDxfId="6"/>
    <tableColumn id="4" name="Комментарий по ИСР" dataDxfId="5"/>
    <tableColumn id="5" name="Комментарий подрядчика" dataDxfId="4"/>
    <tableColumn id="6" name="Ед. изм." dataDxfId="3"/>
    <tableColumn id="7" name="Коэф.расхода" dataDxfId="2"/>
    <tableColumn id="8" name="Кол-во БО" dataDxfId="1"/>
    <tableColumn id="9" name="Общее кол-во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2"/>
  <sheetViews>
    <sheetView zoomScale="39" zoomScaleNormal="39" workbookViewId="0">
      <pane xSplit="9" ySplit="7" topLeftCell="J86" activePane="bottomRight" state="frozen"/>
      <selection pane="topRight"/>
      <selection pane="bottomLeft"/>
      <selection pane="bottomRight" activeCell="I92" sqref="I9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34" t="s">
        <v>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35" ht="15" customHeight="1" x14ac:dyDescent="0.3">
      <c r="A3" s="135" t="s">
        <v>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35" ht="15" customHeight="1" x14ac:dyDescent="0.3">
      <c r="A4" s="136" t="s">
        <v>6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</row>
    <row r="5" spans="1:35" ht="40.799999999999997" customHeight="1" x14ac:dyDescent="0.3">
      <c r="A5" s="129" t="s">
        <v>22</v>
      </c>
      <c r="B5" s="129" t="s">
        <v>23</v>
      </c>
      <c r="C5" s="129" t="s">
        <v>24</v>
      </c>
      <c r="D5" s="129" t="s">
        <v>25</v>
      </c>
      <c r="E5" s="129" t="s">
        <v>26</v>
      </c>
      <c r="F5" s="129" t="s">
        <v>27</v>
      </c>
      <c r="G5" s="129" t="s">
        <v>28</v>
      </c>
      <c r="H5" s="129" t="s">
        <v>29</v>
      </c>
      <c r="I5" s="129" t="s">
        <v>30</v>
      </c>
      <c r="J5" s="137" t="s">
        <v>7</v>
      </c>
      <c r="K5" s="138"/>
      <c r="L5" s="138"/>
      <c r="M5" s="138"/>
      <c r="N5" s="138"/>
      <c r="O5" s="139"/>
      <c r="P5" s="140" t="s">
        <v>8</v>
      </c>
      <c r="Q5" s="141"/>
      <c r="R5" s="142"/>
      <c r="S5" s="140" t="s">
        <v>9</v>
      </c>
      <c r="T5" s="141"/>
      <c r="U5" s="142"/>
    </row>
    <row r="6" spans="1:35" ht="15.75" customHeight="1" x14ac:dyDescent="0.3">
      <c r="A6" s="143"/>
      <c r="B6" s="143"/>
      <c r="C6" s="143"/>
      <c r="D6" s="143"/>
      <c r="E6" s="143"/>
      <c r="F6" s="143"/>
      <c r="G6" s="143"/>
      <c r="H6" s="143"/>
      <c r="I6" s="143"/>
      <c r="J6" s="127" t="s">
        <v>31</v>
      </c>
      <c r="K6" s="128"/>
      <c r="L6" s="129" t="s">
        <v>31</v>
      </c>
      <c r="M6" s="127" t="s">
        <v>34</v>
      </c>
      <c r="N6" s="128"/>
      <c r="O6" s="129" t="s">
        <v>35</v>
      </c>
      <c r="P6" s="127" t="s">
        <v>31</v>
      </c>
      <c r="Q6" s="128"/>
      <c r="R6" s="129" t="s">
        <v>31</v>
      </c>
      <c r="S6" s="127" t="s">
        <v>34</v>
      </c>
      <c r="T6" s="128"/>
      <c r="U6" s="129" t="s">
        <v>35</v>
      </c>
    </row>
    <row r="7" spans="1:35" ht="31.2" customHeight="1" x14ac:dyDescent="0.3">
      <c r="A7" s="130"/>
      <c r="B7" s="130"/>
      <c r="C7" s="130"/>
      <c r="D7" s="130"/>
      <c r="E7" s="130"/>
      <c r="F7" s="130"/>
      <c r="G7" s="130"/>
      <c r="H7" s="130"/>
      <c r="I7" s="130"/>
      <c r="J7" s="5" t="s">
        <v>32</v>
      </c>
      <c r="K7" s="5" t="s">
        <v>33</v>
      </c>
      <c r="L7" s="130"/>
      <c r="M7" s="5" t="s">
        <v>32</v>
      </c>
      <c r="N7" s="5" t="s">
        <v>33</v>
      </c>
      <c r="O7" s="130"/>
      <c r="P7" s="5" t="s">
        <v>32</v>
      </c>
      <c r="Q7" s="5" t="s">
        <v>33</v>
      </c>
      <c r="R7" s="130"/>
      <c r="S7" s="5" t="s">
        <v>32</v>
      </c>
      <c r="T7" s="5" t="s">
        <v>33</v>
      </c>
      <c r="U7" s="130"/>
    </row>
    <row r="8" spans="1:35" ht="30" customHeight="1" x14ac:dyDescent="0.3">
      <c r="A8" s="131" t="s">
        <v>36</v>
      </c>
      <c r="B8" s="132"/>
      <c r="C8" s="132"/>
      <c r="D8" s="132"/>
      <c r="E8" s="132"/>
      <c r="F8" s="132"/>
      <c r="G8" s="132"/>
      <c r="H8" s="132"/>
      <c r="I8" s="133"/>
      <c r="J8" s="7"/>
      <c r="K8" s="7"/>
      <c r="L8" s="7"/>
      <c r="M8" s="8">
        <f>SUM(M9)</f>
        <v>3689261.5200000005</v>
      </c>
      <c r="N8" s="8">
        <f>SUM(N9)</f>
        <v>14064838.649999999</v>
      </c>
      <c r="O8" s="8">
        <f>SUM(O9)</f>
        <v>17754100.170000002</v>
      </c>
      <c r="P8" s="7"/>
      <c r="Q8" s="7"/>
      <c r="R8" s="7"/>
      <c r="S8" s="8">
        <f>SUM(S9)</f>
        <v>3902823.1</v>
      </c>
      <c r="T8" s="8">
        <f>SUM(T9)</f>
        <v>14064019.079999998</v>
      </c>
      <c r="U8" s="8">
        <f>SUM(U9)</f>
        <v>17966842.180000003</v>
      </c>
      <c r="Y8" s="9">
        <f>SUM(Y9)</f>
        <v>3252352.6700000004</v>
      </c>
      <c r="Z8" s="9">
        <f>SUM(Z9)</f>
        <v>11720015.950000003</v>
      </c>
      <c r="AA8" s="9">
        <f>SUM(AA9)</f>
        <v>14972368.620000001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21" t="s">
        <v>40</v>
      </c>
      <c r="D9" s="122"/>
      <c r="E9" s="122"/>
      <c r="F9" s="122"/>
      <c r="G9" s="122"/>
      <c r="H9" s="122"/>
      <c r="I9" s="123"/>
      <c r="M9" s="6">
        <f>SUM(M10,M54)</f>
        <v>3689261.5200000005</v>
      </c>
      <c r="N9" s="6">
        <f>SUM(N10,N54)</f>
        <v>14064838.649999999</v>
      </c>
      <c r="O9" s="6">
        <f>SUM(O10,O54)</f>
        <v>17754100.170000002</v>
      </c>
      <c r="S9" s="6">
        <f>SUM(S10,S54)</f>
        <v>3902823.1</v>
      </c>
      <c r="T9" s="6">
        <f>SUM(T10,T54)</f>
        <v>14064019.079999998</v>
      </c>
      <c r="U9" s="6">
        <f>SUM(U10,U54)</f>
        <v>17966842.180000003</v>
      </c>
      <c r="Y9" s="9">
        <f>SUM(Y10,Y54)</f>
        <v>3252352.6700000004</v>
      </c>
      <c r="Z9" s="9">
        <f>SUM(Z10,Z54)</f>
        <v>11720015.950000003</v>
      </c>
      <c r="AA9" s="9">
        <f>SUM(AA10,AA54)</f>
        <v>14972368.620000001</v>
      </c>
      <c r="AD9" s="4">
        <v>341534268</v>
      </c>
      <c r="AE9" s="4">
        <v>25837335</v>
      </c>
    </row>
    <row r="10" spans="1:35" ht="16.95" customHeight="1" x14ac:dyDescent="0.3">
      <c r="A10" s="10" t="s">
        <v>41</v>
      </c>
      <c r="B10" s="10" t="s">
        <v>42</v>
      </c>
      <c r="C10" s="121" t="s">
        <v>43</v>
      </c>
      <c r="D10" s="122"/>
      <c r="E10" s="122"/>
      <c r="F10" s="122"/>
      <c r="G10" s="122"/>
      <c r="H10" s="122"/>
      <c r="I10" s="123"/>
      <c r="M10" s="6">
        <f t="shared" ref="M10:O11" si="0">SUM(M11)</f>
        <v>155771.19999999998</v>
      </c>
      <c r="N10" s="6">
        <f t="shared" si="0"/>
        <v>578336.01</v>
      </c>
      <c r="O10" s="6">
        <f t="shared" si="0"/>
        <v>734107.20999999985</v>
      </c>
      <c r="S10" s="6">
        <f t="shared" ref="S10:U11" si="1">SUM(S11)</f>
        <v>155642.97999999998</v>
      </c>
      <c r="T10" s="6">
        <f t="shared" si="1"/>
        <v>577516.43999999994</v>
      </c>
      <c r="U10" s="6">
        <f t="shared" si="1"/>
        <v>733159.42</v>
      </c>
      <c r="Y10" s="9">
        <f t="shared" ref="Y10:AA11" si="2">SUM(Y11)</f>
        <v>129702.5</v>
      </c>
      <c r="Z10" s="9">
        <f t="shared" si="2"/>
        <v>481263.71</v>
      </c>
      <c r="AA10" s="9">
        <f t="shared" si="2"/>
        <v>610966.20999999985</v>
      </c>
      <c r="AD10" s="4">
        <v>341534269</v>
      </c>
      <c r="AE10" s="4">
        <v>25837362</v>
      </c>
    </row>
    <row r="11" spans="1:35" ht="16.95" customHeight="1" x14ac:dyDescent="0.3">
      <c r="A11" s="10" t="s">
        <v>44</v>
      </c>
      <c r="B11" s="10" t="s">
        <v>45</v>
      </c>
      <c r="C11" s="121" t="s">
        <v>46</v>
      </c>
      <c r="D11" s="122"/>
      <c r="E11" s="122"/>
      <c r="F11" s="122"/>
      <c r="G11" s="122"/>
      <c r="H11" s="122"/>
      <c r="I11" s="123"/>
      <c r="M11" s="6">
        <f t="shared" si="0"/>
        <v>155771.19999999998</v>
      </c>
      <c r="N11" s="6">
        <f t="shared" si="0"/>
        <v>578336.01</v>
      </c>
      <c r="O11" s="6">
        <f t="shared" si="0"/>
        <v>734107.20999999985</v>
      </c>
      <c r="S11" s="6">
        <f t="shared" si="1"/>
        <v>155642.97999999998</v>
      </c>
      <c r="T11" s="6">
        <f t="shared" si="1"/>
        <v>577516.43999999994</v>
      </c>
      <c r="U11" s="6">
        <f t="shared" si="1"/>
        <v>733159.42</v>
      </c>
      <c r="Y11" s="9">
        <f t="shared" si="2"/>
        <v>129702.5</v>
      </c>
      <c r="Z11" s="9">
        <f t="shared" si="2"/>
        <v>481263.71</v>
      </c>
      <c r="AA11" s="9">
        <f t="shared" si="2"/>
        <v>610966.20999999985</v>
      </c>
      <c r="AD11" s="4">
        <v>341534270</v>
      </c>
      <c r="AE11" s="4">
        <v>25837343</v>
      </c>
    </row>
    <row r="12" spans="1:35" ht="16.95" customHeight="1" x14ac:dyDescent="0.3">
      <c r="A12" s="10" t="s">
        <v>47</v>
      </c>
      <c r="B12" s="10" t="s">
        <v>48</v>
      </c>
      <c r="C12" s="121" t="s">
        <v>49</v>
      </c>
      <c r="D12" s="122"/>
      <c r="E12" s="122"/>
      <c r="F12" s="122"/>
      <c r="G12" s="122"/>
      <c r="H12" s="122"/>
      <c r="I12" s="123"/>
      <c r="M12" s="6">
        <f>SUM(M13,M15,M49)</f>
        <v>155771.19999999998</v>
      </c>
      <c r="N12" s="6">
        <f>SUM(N13,N15,N49)</f>
        <v>578336.01</v>
      </c>
      <c r="O12" s="6">
        <f>SUM(O13,O15,O49)</f>
        <v>734107.20999999985</v>
      </c>
      <c r="S12" s="6">
        <f>SUM(S13,S15,S49)</f>
        <v>155642.97999999998</v>
      </c>
      <c r="T12" s="6">
        <f>SUM(T13,T15,T49)</f>
        <v>577516.43999999994</v>
      </c>
      <c r="U12" s="6">
        <f>SUM(U13,U15,U49)</f>
        <v>733159.42</v>
      </c>
      <c r="Y12" s="9">
        <f>SUM(Y13,Y15,Y49)</f>
        <v>129702.5</v>
      </c>
      <c r="Z12" s="9">
        <f>SUM(Z13,Z15,Z49)</f>
        <v>481263.71</v>
      </c>
      <c r="AA12" s="9">
        <f>SUM(AA13,AA15,AA49)</f>
        <v>610966.20999999985</v>
      </c>
      <c r="AD12" s="4">
        <v>341534271</v>
      </c>
      <c r="AE12" s="4">
        <v>25837336</v>
      </c>
    </row>
    <row r="13" spans="1:35" ht="16.95" customHeight="1" x14ac:dyDescent="0.3">
      <c r="A13" s="11" t="s">
        <v>50</v>
      </c>
      <c r="B13" s="11" t="s">
        <v>51</v>
      </c>
      <c r="C13" s="124" t="s">
        <v>52</v>
      </c>
      <c r="D13" s="125"/>
      <c r="E13" s="125"/>
      <c r="F13" s="125"/>
      <c r="G13" s="125"/>
      <c r="H13" s="125"/>
      <c r="I13" s="126"/>
      <c r="J13" s="12"/>
      <c r="K13" s="12"/>
      <c r="L13" s="12"/>
      <c r="M13" s="13">
        <f>SUM(M14)</f>
        <v>0</v>
      </c>
      <c r="N13" s="13">
        <f>SUM(N14)</f>
        <v>282000</v>
      </c>
      <c r="O13" s="13">
        <f>SUM(O14)</f>
        <v>282000</v>
      </c>
      <c r="P13" s="12"/>
      <c r="Q13" s="12"/>
      <c r="R13" s="12"/>
      <c r="S13" s="13">
        <f>SUM(S14)</f>
        <v>0</v>
      </c>
      <c r="T13" s="13">
        <f>SUM(T14)</f>
        <v>282000</v>
      </c>
      <c r="U13" s="13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341534272</v>
      </c>
      <c r="AE13" s="4">
        <v>28199788</v>
      </c>
    </row>
    <row r="14" spans="1:35" ht="36" x14ac:dyDescent="0.3">
      <c r="A14" s="11" t="s">
        <v>53</v>
      </c>
      <c r="B14" s="11" t="s">
        <v>54</v>
      </c>
      <c r="C14" s="20" t="s">
        <v>55</v>
      </c>
      <c r="D14" s="21"/>
      <c r="E14" s="21" t="s">
        <v>56</v>
      </c>
      <c r="F14" s="21" t="s">
        <v>57</v>
      </c>
      <c r="G14" s="22">
        <v>1</v>
      </c>
      <c r="H14" s="21"/>
      <c r="I14" s="22">
        <v>752</v>
      </c>
      <c r="J14" s="23">
        <v>0</v>
      </c>
      <c r="K14" s="23">
        <v>375</v>
      </c>
      <c r="L14" s="23">
        <f>J14+ROUND(K14, 2)</f>
        <v>375</v>
      </c>
      <c r="M14" s="23">
        <v>0</v>
      </c>
      <c r="N14" s="23">
        <f>ROUND(I14*ROUND(K14, 2), 2)</f>
        <v>282000</v>
      </c>
      <c r="O14" s="23">
        <f>M14+N14</f>
        <v>282000</v>
      </c>
      <c r="P14" s="23">
        <v>0</v>
      </c>
      <c r="Q14" s="23">
        <v>375</v>
      </c>
      <c r="R14" s="23">
        <f>P14+ROUND(Q14, 2)</f>
        <v>375</v>
      </c>
      <c r="S14" s="23">
        <v>0</v>
      </c>
      <c r="T14" s="23">
        <f>ROUND(I14*ROUND(Q14, 2), 2)</f>
        <v>282000</v>
      </c>
      <c r="U14" s="23">
        <f>S14+T14</f>
        <v>282000</v>
      </c>
      <c r="V14" s="9"/>
      <c r="W14" s="9">
        <f>ROUND(Q14 / 1.2, 2)</f>
        <v>312.5</v>
      </c>
      <c r="X14" s="9">
        <f>ROUND(R14 / 1.2, 2)</f>
        <v>312.5</v>
      </c>
      <c r="Y14" s="9"/>
      <c r="Z14" s="9">
        <f>ROUND(T14 / 1.2, 2)</f>
        <v>235000</v>
      </c>
      <c r="AA14" s="9">
        <f>Y14+Z14</f>
        <v>235000</v>
      </c>
      <c r="AD14" s="4">
        <v>341534274</v>
      </c>
      <c r="AE14" s="4">
        <v>28199801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21" t="s">
        <v>63</v>
      </c>
      <c r="D15" s="122"/>
      <c r="E15" s="122"/>
      <c r="F15" s="122"/>
      <c r="G15" s="122"/>
      <c r="H15" s="122"/>
      <c r="I15" s="123"/>
      <c r="M15" s="6">
        <f>SUM(M16,M23)</f>
        <v>150730.60999999999</v>
      </c>
      <c r="N15" s="6">
        <f>SUM(N16,N23)</f>
        <v>292732.52999999997</v>
      </c>
      <c r="O15" s="6">
        <f>SUM(O16,O23)</f>
        <v>443463.13999999996</v>
      </c>
      <c r="S15" s="6">
        <f>SUM(S16,S23)</f>
        <v>150550.15</v>
      </c>
      <c r="T15" s="6">
        <f>SUM(T16,T23)</f>
        <v>291991.67999999999</v>
      </c>
      <c r="U15" s="6">
        <f>SUM(U16,U23)</f>
        <v>442541.83</v>
      </c>
      <c r="Y15" s="9">
        <f>SUM(Y16,Y23)</f>
        <v>125458.47</v>
      </c>
      <c r="Z15" s="9">
        <f>SUM(Z16,Z23)</f>
        <v>243326.41</v>
      </c>
      <c r="AA15" s="9">
        <f>SUM(AA16,AA23)</f>
        <v>368784.87999999995</v>
      </c>
      <c r="AD15" s="4">
        <v>341534275</v>
      </c>
      <c r="AE15" s="4">
        <v>25837345</v>
      </c>
    </row>
    <row r="16" spans="1:35" ht="16.95" customHeight="1" x14ac:dyDescent="0.3">
      <c r="A16" s="11" t="s">
        <v>64</v>
      </c>
      <c r="B16" s="11" t="s">
        <v>65</v>
      </c>
      <c r="C16" s="124" t="s">
        <v>66</v>
      </c>
      <c r="D16" s="125"/>
      <c r="E16" s="125"/>
      <c r="F16" s="125"/>
      <c r="G16" s="125"/>
      <c r="H16" s="125"/>
      <c r="I16" s="126"/>
      <c r="J16" s="12"/>
      <c r="K16" s="12"/>
      <c r="L16" s="12"/>
      <c r="M16" s="13">
        <f>SUM(M17)</f>
        <v>24735.63</v>
      </c>
      <c r="N16" s="13">
        <f>SUM(N17)</f>
        <v>26859.18</v>
      </c>
      <c r="O16" s="13">
        <f>SUM(O17)</f>
        <v>51594.81</v>
      </c>
      <c r="P16" s="12"/>
      <c r="Q16" s="12"/>
      <c r="R16" s="12"/>
      <c r="S16" s="13">
        <f>SUM(S17)</f>
        <v>24735.63</v>
      </c>
      <c r="T16" s="13">
        <f>SUM(T17)</f>
        <v>26118.33</v>
      </c>
      <c r="U16" s="13">
        <f>SUM(U17)</f>
        <v>50853.960000000006</v>
      </c>
      <c r="Y16" s="9">
        <f>SUM(Y17)</f>
        <v>20613.03</v>
      </c>
      <c r="Z16" s="9">
        <f>SUM(Z17)</f>
        <v>21765.279999999999</v>
      </c>
      <c r="AA16" s="9">
        <f>SUM(AA17)</f>
        <v>42378.31</v>
      </c>
      <c r="AD16" s="4">
        <v>341534276</v>
      </c>
      <c r="AE16" s="4">
        <v>28199790</v>
      </c>
    </row>
    <row r="17" spans="1:35" ht="72" x14ac:dyDescent="0.3">
      <c r="A17" s="11" t="s">
        <v>67</v>
      </c>
      <c r="B17" s="11" t="s">
        <v>68</v>
      </c>
      <c r="C17" s="20" t="s">
        <v>69</v>
      </c>
      <c r="D17" s="21" t="s">
        <v>70</v>
      </c>
      <c r="E17" s="21" t="s">
        <v>71</v>
      </c>
      <c r="F17" s="21" t="s">
        <v>57</v>
      </c>
      <c r="G17" s="22">
        <v>1</v>
      </c>
      <c r="H17" s="21"/>
      <c r="I17" s="22">
        <v>13.47</v>
      </c>
      <c r="J17" s="23">
        <f>IFERROR(ROUND(SUM(M18,M19,M20,M21,M22)/I17, 2),0)</f>
        <v>1836.35</v>
      </c>
      <c r="K17" s="23">
        <v>1994</v>
      </c>
      <c r="L17" s="23">
        <f>J17+ROUND(K17, 2)</f>
        <v>3830.35</v>
      </c>
      <c r="M17" s="23">
        <f>ROUND(J17*I17, 2)</f>
        <v>24735.63</v>
      </c>
      <c r="N17" s="23">
        <f>ROUND(I17*ROUND(K17, 2), 2)</f>
        <v>26859.18</v>
      </c>
      <c r="O17" s="23">
        <f>M17+N17</f>
        <v>51594.81</v>
      </c>
      <c r="P17" s="23">
        <f>IFERROR(ROUND(SUM(S18,S19,S20,S21,S22)/I17, 2),0)</f>
        <v>1836.35</v>
      </c>
      <c r="Q17" s="23">
        <v>1939</v>
      </c>
      <c r="R17" s="23">
        <f>P17+ROUND(Q17, 2)</f>
        <v>3775.35</v>
      </c>
      <c r="S17" s="23">
        <f>ROUND(P17*I17, 2)</f>
        <v>24735.63</v>
      </c>
      <c r="T17" s="23">
        <f>ROUND(I17*ROUND(Q17, 2), 2)</f>
        <v>26118.33</v>
      </c>
      <c r="U17" s="23">
        <f>S17+T17</f>
        <v>50853.960000000006</v>
      </c>
      <c r="V17" s="9">
        <f>ROUND(P17 / 1.2, 2)</f>
        <v>1530.29</v>
      </c>
      <c r="W17" s="9">
        <f>ROUND(Q17 / 1.2, 2)</f>
        <v>1615.83</v>
      </c>
      <c r="X17" s="9">
        <f>ROUND(R17 / 1.2, 2)</f>
        <v>3146.13</v>
      </c>
      <c r="Y17" s="9">
        <f>ROUND(S17 / 1.2, 2)</f>
        <v>20613.03</v>
      </c>
      <c r="Z17" s="9">
        <f>ROUND(T17 / 1.2, 2)</f>
        <v>21765.279999999999</v>
      </c>
      <c r="AA17" s="9">
        <f>Y17+Z17</f>
        <v>42378.31</v>
      </c>
      <c r="AD17" s="4">
        <v>341534278</v>
      </c>
      <c r="AE17" s="4">
        <v>28199802</v>
      </c>
      <c r="AG17" s="4" t="s">
        <v>72</v>
      </c>
      <c r="AH17" s="4" t="s">
        <v>73</v>
      </c>
      <c r="AI17" s="4" t="s">
        <v>60</v>
      </c>
    </row>
    <row r="18" spans="1:35" ht="18" x14ac:dyDescent="0.3">
      <c r="A18" s="11" t="s">
        <v>74</v>
      </c>
      <c r="B18" s="11"/>
      <c r="C18" s="30" t="s">
        <v>75</v>
      </c>
      <c r="D18" s="21"/>
      <c r="E18" s="21"/>
      <c r="F18" s="31" t="s">
        <v>76</v>
      </c>
      <c r="G18" s="32">
        <v>44.85</v>
      </c>
      <c r="H18" s="21"/>
      <c r="I18" s="32">
        <v>604.13</v>
      </c>
      <c r="J18" s="33">
        <v>6.38</v>
      </c>
      <c r="K18" s="12"/>
      <c r="L18" s="12"/>
      <c r="M18" s="33">
        <f>ROUND(ROUND(J18, 2)*I18, 2)</f>
        <v>3854.35</v>
      </c>
      <c r="N18" s="12"/>
      <c r="O18" s="12"/>
      <c r="P18" s="33">
        <v>6.38</v>
      </c>
      <c r="Q18" s="12"/>
      <c r="R18" s="12"/>
      <c r="S18" s="33">
        <f>ROUND(ROUND(P18, 2)*I18, 2)</f>
        <v>3854.35</v>
      </c>
      <c r="T18" s="12"/>
      <c r="U18" s="34"/>
      <c r="V18" s="9">
        <f>ROUND(ROUND(P18, 2)/1.2, 2)</f>
        <v>5.32</v>
      </c>
      <c r="Y18" s="9">
        <f>ROUND(S18 / 1.2, 2)</f>
        <v>3211.96</v>
      </c>
      <c r="AD18" s="4" t="s">
        <v>77</v>
      </c>
      <c r="AE18" s="4" t="s">
        <v>78</v>
      </c>
      <c r="AF18" s="4" t="s">
        <v>79</v>
      </c>
    </row>
    <row r="19" spans="1:35" ht="36" x14ac:dyDescent="0.3">
      <c r="A19" s="11" t="s">
        <v>80</v>
      </c>
      <c r="B19" s="11"/>
      <c r="C19" s="30" t="s">
        <v>81</v>
      </c>
      <c r="D19" s="21"/>
      <c r="E19" s="21"/>
      <c r="F19" s="31" t="s">
        <v>82</v>
      </c>
      <c r="G19" s="32">
        <v>1</v>
      </c>
      <c r="H19" s="21"/>
      <c r="I19" s="32">
        <v>13.47</v>
      </c>
      <c r="J19" s="33">
        <v>65.67</v>
      </c>
      <c r="K19" s="12"/>
      <c r="L19" s="12"/>
      <c r="M19" s="33">
        <f>ROUND(ROUND(J19, 2)*I19, 2)</f>
        <v>884.57</v>
      </c>
      <c r="N19" s="12"/>
      <c r="O19" s="12"/>
      <c r="P19" s="33">
        <v>65.67</v>
      </c>
      <c r="Q19" s="12"/>
      <c r="R19" s="12"/>
      <c r="S19" s="33">
        <f>ROUND(ROUND(P19, 2)*I19, 2)</f>
        <v>884.57</v>
      </c>
      <c r="T19" s="12"/>
      <c r="U19" s="34"/>
      <c r="V19" s="9">
        <f>ROUND(ROUND(P19, 2)/1.2, 2)</f>
        <v>54.73</v>
      </c>
      <c r="Y19" s="9">
        <f>ROUND(S19 / 1.2, 2)</f>
        <v>737.14</v>
      </c>
      <c r="AD19" s="4" t="s">
        <v>83</v>
      </c>
      <c r="AE19" s="4" t="s">
        <v>84</v>
      </c>
      <c r="AF19" s="4" t="s">
        <v>85</v>
      </c>
    </row>
    <row r="20" spans="1:35" ht="36" x14ac:dyDescent="0.3">
      <c r="A20" s="11" t="s">
        <v>86</v>
      </c>
      <c r="B20" s="11"/>
      <c r="C20" s="30" t="s">
        <v>87</v>
      </c>
      <c r="D20" s="21"/>
      <c r="E20" s="21"/>
      <c r="F20" s="31" t="s">
        <v>82</v>
      </c>
      <c r="G20" s="32">
        <v>1</v>
      </c>
      <c r="H20" s="21"/>
      <c r="I20" s="32">
        <v>13.47</v>
      </c>
      <c r="J20" s="33">
        <v>118.99</v>
      </c>
      <c r="K20" s="12"/>
      <c r="L20" s="12"/>
      <c r="M20" s="33">
        <f>ROUND(ROUND(J20, 2)*I20, 2)</f>
        <v>1602.8</v>
      </c>
      <c r="N20" s="12"/>
      <c r="O20" s="12"/>
      <c r="P20" s="33">
        <v>118.99</v>
      </c>
      <c r="Q20" s="12"/>
      <c r="R20" s="12"/>
      <c r="S20" s="33">
        <f>ROUND(ROUND(P20, 2)*I20, 2)</f>
        <v>1602.8</v>
      </c>
      <c r="T20" s="12"/>
      <c r="U20" s="34"/>
      <c r="V20" s="9">
        <f>ROUND(ROUND(P20, 2)/1.2, 2)</f>
        <v>99.16</v>
      </c>
      <c r="Y20" s="9">
        <f>ROUND(S20 / 1.2, 2)</f>
        <v>1335.67</v>
      </c>
      <c r="AD20" s="4" t="s">
        <v>88</v>
      </c>
      <c r="AE20" s="4" t="s">
        <v>89</v>
      </c>
      <c r="AF20" s="4" t="s">
        <v>90</v>
      </c>
    </row>
    <row r="21" spans="1:35" ht="18" x14ac:dyDescent="0.3">
      <c r="A21" s="11" t="s">
        <v>91</v>
      </c>
      <c r="B21" s="11"/>
      <c r="C21" s="30" t="s">
        <v>92</v>
      </c>
      <c r="D21" s="21"/>
      <c r="E21" s="21"/>
      <c r="F21" s="31" t="s">
        <v>57</v>
      </c>
      <c r="G21" s="32">
        <v>0.504</v>
      </c>
      <c r="H21" s="21"/>
      <c r="I21" s="32">
        <v>6.7889999999999997</v>
      </c>
      <c r="J21" s="33">
        <v>269.41000000000003</v>
      </c>
      <c r="K21" s="12"/>
      <c r="L21" s="12"/>
      <c r="M21" s="33">
        <f>ROUND(ROUND(J21, 2)*I21, 2)</f>
        <v>1829.02</v>
      </c>
      <c r="N21" s="12"/>
      <c r="O21" s="12"/>
      <c r="P21" s="33">
        <v>269.41000000000003</v>
      </c>
      <c r="Q21" s="12"/>
      <c r="R21" s="12"/>
      <c r="S21" s="33">
        <f>ROUND(ROUND(P21, 2)*I21, 2)</f>
        <v>1829.02</v>
      </c>
      <c r="T21" s="12"/>
      <c r="U21" s="34"/>
      <c r="V21" s="9">
        <f>ROUND(ROUND(P21, 2)/1.2, 2)</f>
        <v>224.51</v>
      </c>
      <c r="Y21" s="9">
        <f>ROUND(S21 / 1.2, 2)</f>
        <v>1524.18</v>
      </c>
      <c r="AD21" s="4" t="s">
        <v>93</v>
      </c>
      <c r="AE21" s="4" t="s">
        <v>94</v>
      </c>
      <c r="AF21" s="4" t="s">
        <v>95</v>
      </c>
    </row>
    <row r="22" spans="1:35" ht="18" x14ac:dyDescent="0.3">
      <c r="A22" s="11" t="s">
        <v>96</v>
      </c>
      <c r="B22" s="11"/>
      <c r="C22" s="30" t="s">
        <v>97</v>
      </c>
      <c r="D22" s="21"/>
      <c r="E22" s="21"/>
      <c r="F22" s="31" t="s">
        <v>98</v>
      </c>
      <c r="G22" s="32">
        <v>50.4</v>
      </c>
      <c r="H22" s="21"/>
      <c r="I22" s="32">
        <v>678.88800000000003</v>
      </c>
      <c r="J22" s="33">
        <v>24.4</v>
      </c>
      <c r="K22" s="12"/>
      <c r="L22" s="12"/>
      <c r="M22" s="33">
        <f>ROUND(ROUND(J22, 2)*I22, 2)</f>
        <v>16564.87</v>
      </c>
      <c r="N22" s="12"/>
      <c r="O22" s="12"/>
      <c r="P22" s="33">
        <v>24.4</v>
      </c>
      <c r="Q22" s="12"/>
      <c r="R22" s="12"/>
      <c r="S22" s="33">
        <f>ROUND(ROUND(P22, 2)*I22, 2)</f>
        <v>16564.87</v>
      </c>
      <c r="T22" s="12"/>
      <c r="U22" s="34"/>
      <c r="V22" s="9">
        <f>ROUND(ROUND(P22, 2)/1.2, 2)</f>
        <v>20.329999999999998</v>
      </c>
      <c r="Y22" s="9">
        <f>ROUND(S22 / 1.2, 2)</f>
        <v>13804.06</v>
      </c>
      <c r="AD22" s="4" t="s">
        <v>99</v>
      </c>
      <c r="AE22" s="4" t="s">
        <v>100</v>
      </c>
      <c r="AF22" s="4" t="s">
        <v>101</v>
      </c>
    </row>
    <row r="23" spans="1:35" ht="16.95" customHeight="1" x14ac:dyDescent="0.3">
      <c r="A23" s="10" t="s">
        <v>102</v>
      </c>
      <c r="B23" s="10" t="s">
        <v>103</v>
      </c>
      <c r="C23" s="121" t="s">
        <v>104</v>
      </c>
      <c r="D23" s="122"/>
      <c r="E23" s="122"/>
      <c r="F23" s="122"/>
      <c r="G23" s="122"/>
      <c r="H23" s="122"/>
      <c r="I23" s="123"/>
      <c r="M23" s="6">
        <f>SUM(M24,M29,M34,M39)</f>
        <v>125994.97999999998</v>
      </c>
      <c r="N23" s="6">
        <f>SUM(N24,N29,N34,N39)</f>
        <v>265873.34999999998</v>
      </c>
      <c r="O23" s="6">
        <f>SUM(O24,O29,O34,O39)</f>
        <v>391868.32999999996</v>
      </c>
      <c r="S23" s="6">
        <f>SUM(S24,S29,S34,S39)</f>
        <v>125814.51999999999</v>
      </c>
      <c r="T23" s="6">
        <f>SUM(T24,T29,T34,T39)</f>
        <v>265873.34999999998</v>
      </c>
      <c r="U23" s="6">
        <f>SUM(U24,U29,U34,U39)</f>
        <v>391687.87</v>
      </c>
      <c r="Y23" s="9">
        <f>SUM(Y24,Y29,Y34,Y39)</f>
        <v>104845.44</v>
      </c>
      <c r="Z23" s="9">
        <f>SUM(Z24,Z29,Z34,Z39)</f>
        <v>221561.13</v>
      </c>
      <c r="AA23" s="9">
        <f>SUM(AA24,AA29,AA34,AA39)</f>
        <v>326406.56999999995</v>
      </c>
      <c r="AD23" s="4">
        <v>341534279</v>
      </c>
      <c r="AE23" s="4">
        <v>25837337</v>
      </c>
    </row>
    <row r="24" spans="1:35" ht="36" x14ac:dyDescent="0.3">
      <c r="A24" s="11" t="s">
        <v>105</v>
      </c>
      <c r="B24" s="11" t="s">
        <v>106</v>
      </c>
      <c r="C24" s="20" t="s">
        <v>107</v>
      </c>
      <c r="D24" s="21"/>
      <c r="E24" s="21" t="s">
        <v>108</v>
      </c>
      <c r="F24" s="21" t="s">
        <v>57</v>
      </c>
      <c r="G24" s="22">
        <v>1</v>
      </c>
      <c r="H24" s="21"/>
      <c r="I24" s="22">
        <v>76.67</v>
      </c>
      <c r="J24" s="23">
        <f>IFERROR(ROUND(SUM(M25,M26,M27,M28)/I24, 2),0)</f>
        <v>1035.32</v>
      </c>
      <c r="K24" s="23">
        <v>2293</v>
      </c>
      <c r="L24" s="23">
        <f>J24+ROUND(K24, 2)</f>
        <v>3328.3199999999997</v>
      </c>
      <c r="M24" s="23">
        <f>ROUND(J24*I24, 2)</f>
        <v>79377.98</v>
      </c>
      <c r="N24" s="23">
        <f>ROUND(I24*ROUND(K24, 2), 2)</f>
        <v>175804.31</v>
      </c>
      <c r="O24" s="23">
        <f>M24+N24</f>
        <v>255182.28999999998</v>
      </c>
      <c r="P24" s="23">
        <f>IFERROR(ROUND(SUM(S25,S26,S27,S28)/I24, 2),0)</f>
        <v>1032.94</v>
      </c>
      <c r="Q24" s="23">
        <v>2293</v>
      </c>
      <c r="R24" s="23">
        <f>P24+ROUND(Q24, 2)</f>
        <v>3325.94</v>
      </c>
      <c r="S24" s="23">
        <f>ROUND(P24*I24, 2)</f>
        <v>79195.509999999995</v>
      </c>
      <c r="T24" s="23">
        <f>ROUND(I24*ROUND(Q24, 2), 2)</f>
        <v>175804.31</v>
      </c>
      <c r="U24" s="23">
        <f>S24+T24</f>
        <v>254999.82</v>
      </c>
      <c r="V24" s="9">
        <f>ROUND(P24 / 1.2, 2)</f>
        <v>860.78</v>
      </c>
      <c r="W24" s="9">
        <f>ROUND(Q24 / 1.2, 2)</f>
        <v>1910.83</v>
      </c>
      <c r="X24" s="9">
        <f>ROUND(R24 / 1.2, 2)</f>
        <v>2771.62</v>
      </c>
      <c r="Y24" s="9">
        <f>ROUND(S24 / 1.2, 2)</f>
        <v>65996.259999999995</v>
      </c>
      <c r="Z24" s="9">
        <f>ROUND(T24 / 1.2, 2)</f>
        <v>146503.59</v>
      </c>
      <c r="AA24" s="9">
        <f>Y24+Z24</f>
        <v>212499.84999999998</v>
      </c>
      <c r="AD24" s="4">
        <v>341534281</v>
      </c>
      <c r="AE24" s="4">
        <v>28199804</v>
      </c>
      <c r="AG24" s="4" t="s">
        <v>109</v>
      </c>
      <c r="AH24" s="4" t="s">
        <v>110</v>
      </c>
      <c r="AI24" s="4" t="s">
        <v>60</v>
      </c>
    </row>
    <row r="25" spans="1:35" ht="72" x14ac:dyDescent="0.3">
      <c r="A25" s="11" t="s">
        <v>111</v>
      </c>
      <c r="B25" s="11"/>
      <c r="C25" s="30" t="s">
        <v>112</v>
      </c>
      <c r="D25" s="21"/>
      <c r="E25" s="21"/>
      <c r="F25" s="31" t="s">
        <v>82</v>
      </c>
      <c r="G25" s="32">
        <v>1</v>
      </c>
      <c r="H25" s="21"/>
      <c r="I25" s="32">
        <v>76.67</v>
      </c>
      <c r="J25" s="33">
        <v>104.04</v>
      </c>
      <c r="K25" s="12"/>
      <c r="L25" s="12"/>
      <c r="M25" s="33">
        <f>ROUND(ROUND(J25, 2)*I25, 2)</f>
        <v>7976.75</v>
      </c>
      <c r="N25" s="12"/>
      <c r="O25" s="12"/>
      <c r="P25" s="33">
        <v>104.04</v>
      </c>
      <c r="Q25" s="12"/>
      <c r="R25" s="12"/>
      <c r="S25" s="33">
        <f>ROUND(ROUND(P25, 2)*I25, 2)</f>
        <v>7976.75</v>
      </c>
      <c r="T25" s="12"/>
      <c r="U25" s="34"/>
      <c r="V25" s="9">
        <f>ROUND(ROUND(P25, 2)/1.2, 2)</f>
        <v>86.7</v>
      </c>
      <c r="Y25" s="9">
        <f t="shared" ref="Y25:Y39" si="3">ROUND(S25 / 1.2, 2)</f>
        <v>6647.29</v>
      </c>
      <c r="AD25" s="4" t="s">
        <v>113</v>
      </c>
      <c r="AE25" s="4" t="s">
        <v>114</v>
      </c>
      <c r="AF25" s="4" t="s">
        <v>115</v>
      </c>
    </row>
    <row r="26" spans="1:35" ht="36" x14ac:dyDescent="0.3">
      <c r="A26" s="11" t="s">
        <v>116</v>
      </c>
      <c r="B26" s="11"/>
      <c r="C26" s="30" t="s">
        <v>117</v>
      </c>
      <c r="D26" s="21"/>
      <c r="E26" s="21"/>
      <c r="F26" s="31" t="s">
        <v>57</v>
      </c>
      <c r="G26" s="32">
        <v>2.1</v>
      </c>
      <c r="H26" s="21"/>
      <c r="I26" s="32">
        <v>161.00700000000001</v>
      </c>
      <c r="J26" s="33">
        <v>137.79</v>
      </c>
      <c r="K26" s="12"/>
      <c r="L26" s="12"/>
      <c r="M26" s="33">
        <f>ROUND(ROUND(J26, 2)*I26, 2)</f>
        <v>22185.15</v>
      </c>
      <c r="N26" s="12"/>
      <c r="O26" s="12"/>
      <c r="P26" s="33">
        <v>137.79</v>
      </c>
      <c r="Q26" s="12"/>
      <c r="R26" s="12"/>
      <c r="S26" s="33">
        <f>ROUND(ROUND(P26, 2)*I26, 2)</f>
        <v>22185.15</v>
      </c>
      <c r="T26" s="12"/>
      <c r="U26" s="34"/>
      <c r="V26" s="9">
        <f>ROUND(ROUND(P26, 2)/1.2, 2)</f>
        <v>114.83</v>
      </c>
      <c r="Y26" s="9">
        <f t="shared" si="3"/>
        <v>18487.63</v>
      </c>
      <c r="AD26" s="4" t="s">
        <v>118</v>
      </c>
      <c r="AE26" s="4" t="s">
        <v>119</v>
      </c>
      <c r="AF26" s="4" t="s">
        <v>120</v>
      </c>
    </row>
    <row r="27" spans="1:35" ht="18" x14ac:dyDescent="0.3">
      <c r="A27" s="11" t="s">
        <v>121</v>
      </c>
      <c r="B27" s="11"/>
      <c r="C27" s="35" t="s">
        <v>122</v>
      </c>
      <c r="D27" s="21"/>
      <c r="E27" s="21"/>
      <c r="F27" s="31" t="s">
        <v>123</v>
      </c>
      <c r="G27" s="32">
        <v>4.07</v>
      </c>
      <c r="H27" s="21"/>
      <c r="I27" s="37">
        <v>447.7</v>
      </c>
      <c r="J27" s="33">
        <v>66.09</v>
      </c>
      <c r="K27" s="12"/>
      <c r="L27" s="12"/>
      <c r="M27" s="33">
        <f>ROUND(ROUND(J27, 2)*I27, 2)</f>
        <v>29588.49</v>
      </c>
      <c r="N27" s="12"/>
      <c r="O27" s="12"/>
      <c r="P27" s="33">
        <v>66.87</v>
      </c>
      <c r="Q27" s="12"/>
      <c r="R27" s="12"/>
      <c r="S27" s="33">
        <f>ROUND(ROUND(P27, 2)*I27, 2)</f>
        <v>29937.7</v>
      </c>
      <c r="T27" s="12"/>
      <c r="U27" s="34"/>
      <c r="V27" s="9">
        <f>ROUND(ROUND(P27, 2)/1.2, 2)</f>
        <v>55.73</v>
      </c>
      <c r="Y27" s="9">
        <f t="shared" si="3"/>
        <v>24948.080000000002</v>
      </c>
      <c r="AD27" s="4" t="s">
        <v>124</v>
      </c>
      <c r="AE27" s="4" t="s">
        <v>125</v>
      </c>
      <c r="AF27" s="4" t="s">
        <v>126</v>
      </c>
    </row>
    <row r="28" spans="1:35" ht="18" x14ac:dyDescent="0.3">
      <c r="A28" s="11" t="s">
        <v>127</v>
      </c>
      <c r="B28" s="11"/>
      <c r="C28" s="35" t="s">
        <v>128</v>
      </c>
      <c r="D28" s="21"/>
      <c r="E28" s="21"/>
      <c r="F28" s="31" t="s">
        <v>123</v>
      </c>
      <c r="G28" s="32">
        <v>1.42</v>
      </c>
      <c r="H28" s="21"/>
      <c r="I28" s="37">
        <v>357.13</v>
      </c>
      <c r="J28" s="33">
        <v>54.96</v>
      </c>
      <c r="K28" s="12"/>
      <c r="L28" s="12"/>
      <c r="M28" s="33">
        <f>ROUND(ROUND(J28, 2)*I28, 2)</f>
        <v>19627.86</v>
      </c>
      <c r="N28" s="12"/>
      <c r="O28" s="12"/>
      <c r="P28" s="33">
        <v>53.47</v>
      </c>
      <c r="Q28" s="12"/>
      <c r="R28" s="12"/>
      <c r="S28" s="33">
        <f>ROUND(ROUND(P28, 2)*I28, 2)</f>
        <v>19095.740000000002</v>
      </c>
      <c r="T28" s="12"/>
      <c r="U28" s="34"/>
      <c r="V28" s="9">
        <f>ROUND(ROUND(P28, 2)/1.2, 2)</f>
        <v>44.56</v>
      </c>
      <c r="Y28" s="9">
        <f t="shared" si="3"/>
        <v>15913.12</v>
      </c>
      <c r="AD28" s="4" t="s">
        <v>129</v>
      </c>
      <c r="AE28" s="4" t="s">
        <v>130</v>
      </c>
      <c r="AF28" s="4" t="s">
        <v>131</v>
      </c>
    </row>
    <row r="29" spans="1:35" ht="36" x14ac:dyDescent="0.3">
      <c r="A29" s="11" t="s">
        <v>132</v>
      </c>
      <c r="B29" s="11" t="s">
        <v>106</v>
      </c>
      <c r="C29" s="20" t="s">
        <v>107</v>
      </c>
      <c r="D29" s="21"/>
      <c r="E29" s="21" t="s">
        <v>133</v>
      </c>
      <c r="F29" s="21" t="s">
        <v>57</v>
      </c>
      <c r="G29" s="22">
        <v>1</v>
      </c>
      <c r="H29" s="21"/>
      <c r="I29" s="22">
        <v>4.1500000000000004</v>
      </c>
      <c r="J29" s="23">
        <f>IFERROR(ROUND(SUM(M30,M31,M32,M33)/I29, 2),0)</f>
        <v>2805.03</v>
      </c>
      <c r="K29" s="23">
        <v>2293</v>
      </c>
      <c r="L29" s="23">
        <f>J29+ROUND(K29, 2)</f>
        <v>5098.0300000000007</v>
      </c>
      <c r="M29" s="23">
        <f>ROUND(J29*I29, 2)</f>
        <v>11640.87</v>
      </c>
      <c r="N29" s="23">
        <f>ROUND(I29*ROUND(K29, 2), 2)</f>
        <v>9515.9500000000007</v>
      </c>
      <c r="O29" s="23">
        <f>M29+N29</f>
        <v>21156.82</v>
      </c>
      <c r="P29" s="23">
        <f>IFERROR(ROUND(SUM(S30,S31,S32,S33)/I29, 2),0)</f>
        <v>2825.66</v>
      </c>
      <c r="Q29" s="23">
        <v>2293</v>
      </c>
      <c r="R29" s="23">
        <f>P29+ROUND(Q29, 2)</f>
        <v>5118.66</v>
      </c>
      <c r="S29" s="23">
        <f>ROUND(P29*I29, 2)</f>
        <v>11726.49</v>
      </c>
      <c r="T29" s="23">
        <f>ROUND(I29*ROUND(Q29, 2), 2)</f>
        <v>9515.9500000000007</v>
      </c>
      <c r="U29" s="23">
        <f>S29+T29</f>
        <v>21242.440000000002</v>
      </c>
      <c r="V29" s="9">
        <f>ROUND(P29 / 1.2, 2)</f>
        <v>2354.7199999999998</v>
      </c>
      <c r="W29" s="9">
        <f>ROUND(Q29 / 1.2, 2)</f>
        <v>1910.83</v>
      </c>
      <c r="X29" s="9">
        <f>ROUND(R29 / 1.2, 2)</f>
        <v>4265.55</v>
      </c>
      <c r="Y29" s="9">
        <f t="shared" si="3"/>
        <v>9772.08</v>
      </c>
      <c r="Z29" s="9">
        <f>ROUND(T29 / 1.2, 2)</f>
        <v>7929.96</v>
      </c>
      <c r="AA29" s="9">
        <f>Y29+Z29</f>
        <v>17702.04</v>
      </c>
      <c r="AD29" s="4">
        <v>341534362</v>
      </c>
      <c r="AE29" s="4">
        <v>28199799</v>
      </c>
      <c r="AG29" s="4" t="s">
        <v>109</v>
      </c>
      <c r="AH29" s="4" t="s">
        <v>110</v>
      </c>
      <c r="AI29" s="4" t="s">
        <v>60</v>
      </c>
    </row>
    <row r="30" spans="1:35" ht="18" x14ac:dyDescent="0.3">
      <c r="A30" s="11" t="s">
        <v>134</v>
      </c>
      <c r="B30" s="11"/>
      <c r="C30" s="35" t="s">
        <v>122</v>
      </c>
      <c r="D30" s="21"/>
      <c r="E30" s="21"/>
      <c r="F30" s="31" t="s">
        <v>123</v>
      </c>
      <c r="G30" s="32">
        <v>4.07</v>
      </c>
      <c r="H30" s="21"/>
      <c r="I30" s="37">
        <v>138.78700000000001</v>
      </c>
      <c r="J30" s="33">
        <v>66.09</v>
      </c>
      <c r="K30" s="12"/>
      <c r="L30" s="12"/>
      <c r="M30" s="33">
        <f>ROUND(ROUND(J30, 2)*I30, 2)</f>
        <v>9172.43</v>
      </c>
      <c r="N30" s="12"/>
      <c r="O30" s="12"/>
      <c r="P30" s="33">
        <v>66.87</v>
      </c>
      <c r="Q30" s="12"/>
      <c r="R30" s="12"/>
      <c r="S30" s="33">
        <f>ROUND(ROUND(P30, 2)*I30, 2)</f>
        <v>9280.69</v>
      </c>
      <c r="T30" s="12"/>
      <c r="U30" s="34"/>
      <c r="V30" s="9">
        <f>ROUND(ROUND(P30, 2)/1.2, 2)</f>
        <v>55.73</v>
      </c>
      <c r="Y30" s="9">
        <f t="shared" si="3"/>
        <v>7733.91</v>
      </c>
      <c r="AD30" s="4" t="s">
        <v>135</v>
      </c>
      <c r="AE30" s="4" t="s">
        <v>136</v>
      </c>
      <c r="AF30" s="4" t="s">
        <v>126</v>
      </c>
    </row>
    <row r="31" spans="1:35" ht="18" x14ac:dyDescent="0.3">
      <c r="A31" s="11" t="s">
        <v>137</v>
      </c>
      <c r="B31" s="11"/>
      <c r="C31" s="35" t="s">
        <v>128</v>
      </c>
      <c r="D31" s="21"/>
      <c r="E31" s="21"/>
      <c r="F31" s="31" t="s">
        <v>123</v>
      </c>
      <c r="G31" s="32">
        <v>1.42</v>
      </c>
      <c r="H31" s="21"/>
      <c r="I31" s="37">
        <v>15.208</v>
      </c>
      <c r="J31" s="33">
        <v>54.96</v>
      </c>
      <c r="K31" s="12"/>
      <c r="L31" s="12"/>
      <c r="M31" s="33">
        <f>ROUND(ROUND(J31, 2)*I31, 2)</f>
        <v>835.83</v>
      </c>
      <c r="N31" s="12"/>
      <c r="O31" s="12"/>
      <c r="P31" s="33">
        <v>53.47</v>
      </c>
      <c r="Q31" s="12"/>
      <c r="R31" s="12"/>
      <c r="S31" s="33">
        <f>ROUND(ROUND(P31, 2)*I31, 2)</f>
        <v>813.17</v>
      </c>
      <c r="T31" s="12"/>
      <c r="U31" s="34"/>
      <c r="V31" s="9">
        <f>ROUND(ROUND(P31, 2)/1.2, 2)</f>
        <v>44.56</v>
      </c>
      <c r="Y31" s="9">
        <f t="shared" si="3"/>
        <v>677.64</v>
      </c>
      <c r="AD31" s="4" t="s">
        <v>138</v>
      </c>
      <c r="AE31" s="4" t="s">
        <v>139</v>
      </c>
      <c r="AF31" s="4" t="s">
        <v>131</v>
      </c>
    </row>
    <row r="32" spans="1:35" ht="36" x14ac:dyDescent="0.3">
      <c r="A32" s="11" t="s">
        <v>140</v>
      </c>
      <c r="B32" s="11"/>
      <c r="C32" s="30" t="s">
        <v>117</v>
      </c>
      <c r="D32" s="21"/>
      <c r="E32" s="21"/>
      <c r="F32" s="31" t="s">
        <v>57</v>
      </c>
      <c r="G32" s="32">
        <v>2.1</v>
      </c>
      <c r="H32" s="21"/>
      <c r="I32" s="32">
        <v>8.7149999999999999</v>
      </c>
      <c r="J32" s="33">
        <v>137.79</v>
      </c>
      <c r="K32" s="12"/>
      <c r="L32" s="12"/>
      <c r="M32" s="33">
        <f>ROUND(ROUND(J32, 2)*I32, 2)</f>
        <v>1200.8399999999999</v>
      </c>
      <c r="N32" s="12"/>
      <c r="O32" s="12"/>
      <c r="P32" s="33">
        <v>137.79</v>
      </c>
      <c r="Q32" s="12"/>
      <c r="R32" s="12"/>
      <c r="S32" s="33">
        <f>ROUND(ROUND(P32, 2)*I32, 2)</f>
        <v>1200.8399999999999</v>
      </c>
      <c r="T32" s="12"/>
      <c r="U32" s="34"/>
      <c r="V32" s="9">
        <f>ROUND(ROUND(P32, 2)/1.2, 2)</f>
        <v>114.83</v>
      </c>
      <c r="Y32" s="9">
        <f t="shared" si="3"/>
        <v>1000.7</v>
      </c>
      <c r="AD32" s="4" t="s">
        <v>141</v>
      </c>
      <c r="AE32" s="4" t="s">
        <v>142</v>
      </c>
      <c r="AF32" s="4" t="s">
        <v>120</v>
      </c>
    </row>
    <row r="33" spans="1:35" ht="72" x14ac:dyDescent="0.3">
      <c r="A33" s="11" t="s">
        <v>143</v>
      </c>
      <c r="B33" s="11"/>
      <c r="C33" s="30" t="s">
        <v>112</v>
      </c>
      <c r="D33" s="21"/>
      <c r="E33" s="21"/>
      <c r="F33" s="31" t="s">
        <v>82</v>
      </c>
      <c r="G33" s="32">
        <v>1</v>
      </c>
      <c r="H33" s="21"/>
      <c r="I33" s="32">
        <v>4.1500000000000004</v>
      </c>
      <c r="J33" s="33">
        <v>104.04</v>
      </c>
      <c r="K33" s="12"/>
      <c r="L33" s="12"/>
      <c r="M33" s="33">
        <f>ROUND(ROUND(J33, 2)*I33, 2)</f>
        <v>431.77</v>
      </c>
      <c r="N33" s="12"/>
      <c r="O33" s="12"/>
      <c r="P33" s="33">
        <v>104.04</v>
      </c>
      <c r="Q33" s="12"/>
      <c r="R33" s="12"/>
      <c r="S33" s="33">
        <f>ROUND(ROUND(P33, 2)*I33, 2)</f>
        <v>431.77</v>
      </c>
      <c r="T33" s="12"/>
      <c r="U33" s="34"/>
      <c r="V33" s="9">
        <f>ROUND(ROUND(P33, 2)/1.2, 2)</f>
        <v>86.7</v>
      </c>
      <c r="Y33" s="9">
        <f t="shared" si="3"/>
        <v>359.81</v>
      </c>
      <c r="AD33" s="4" t="s">
        <v>144</v>
      </c>
      <c r="AE33" s="4" t="s">
        <v>145</v>
      </c>
      <c r="AF33" s="4" t="s">
        <v>115</v>
      </c>
    </row>
    <row r="34" spans="1:35" ht="36" x14ac:dyDescent="0.3">
      <c r="A34" s="11" t="s">
        <v>146</v>
      </c>
      <c r="B34" s="11" t="s">
        <v>106</v>
      </c>
      <c r="C34" s="20" t="s">
        <v>107</v>
      </c>
      <c r="D34" s="21"/>
      <c r="E34" s="21" t="s">
        <v>133</v>
      </c>
      <c r="F34" s="21" t="s">
        <v>57</v>
      </c>
      <c r="G34" s="22">
        <v>1</v>
      </c>
      <c r="H34" s="21"/>
      <c r="I34" s="22">
        <v>35.130000000000003</v>
      </c>
      <c r="J34" s="23">
        <f>IFERROR(ROUND(SUM(M35,M36,M37,M38)/I34, 2),0)</f>
        <v>995.62</v>
      </c>
      <c r="K34" s="23">
        <v>2293</v>
      </c>
      <c r="L34" s="23">
        <f>J34+ROUND(K34, 2)</f>
        <v>3288.62</v>
      </c>
      <c r="M34" s="23">
        <f>ROUND(J34*I34, 2)</f>
        <v>34976.129999999997</v>
      </c>
      <c r="N34" s="23">
        <f>ROUND(I34*ROUND(K34, 2), 2)</f>
        <v>80553.09</v>
      </c>
      <c r="O34" s="23">
        <f>M34+N34</f>
        <v>115529.22</v>
      </c>
      <c r="P34" s="23">
        <f>IFERROR(ROUND(SUM(S35,S36,S37,S38)/I34, 2),0)</f>
        <v>993.24</v>
      </c>
      <c r="Q34" s="23">
        <v>2293</v>
      </c>
      <c r="R34" s="23">
        <f>P34+ROUND(Q34, 2)</f>
        <v>3286.24</v>
      </c>
      <c r="S34" s="23">
        <f>ROUND(P34*I34, 2)</f>
        <v>34892.519999999997</v>
      </c>
      <c r="T34" s="23">
        <f>ROUND(I34*ROUND(Q34, 2), 2)</f>
        <v>80553.09</v>
      </c>
      <c r="U34" s="23">
        <f>S34+T34</f>
        <v>115445.60999999999</v>
      </c>
      <c r="V34" s="9">
        <f>ROUND(P34 / 1.2, 2)</f>
        <v>827.7</v>
      </c>
      <c r="W34" s="9">
        <f>ROUND(Q34 / 1.2, 2)</f>
        <v>1910.83</v>
      </c>
      <c r="X34" s="9">
        <f>ROUND(R34 / 1.2, 2)</f>
        <v>2738.53</v>
      </c>
      <c r="Y34" s="9">
        <f t="shared" si="3"/>
        <v>29077.1</v>
      </c>
      <c r="Z34" s="9">
        <f>ROUND(T34 / 1.2, 2)</f>
        <v>67127.58</v>
      </c>
      <c r="AA34" s="9">
        <f>Y34+Z34</f>
        <v>96204.68</v>
      </c>
      <c r="AD34" s="4">
        <v>341534363</v>
      </c>
      <c r="AE34" s="4">
        <v>28199800</v>
      </c>
      <c r="AG34" s="4" t="s">
        <v>109</v>
      </c>
      <c r="AH34" s="4" t="s">
        <v>110</v>
      </c>
      <c r="AI34" s="4" t="s">
        <v>60</v>
      </c>
    </row>
    <row r="35" spans="1:35" ht="18" x14ac:dyDescent="0.3">
      <c r="A35" s="11" t="s">
        <v>147</v>
      </c>
      <c r="B35" s="11"/>
      <c r="C35" s="35" t="s">
        <v>122</v>
      </c>
      <c r="D35" s="21"/>
      <c r="E35" s="21"/>
      <c r="F35" s="31" t="s">
        <v>123</v>
      </c>
      <c r="G35" s="32">
        <v>4.07</v>
      </c>
      <c r="H35" s="21"/>
      <c r="I35" s="37">
        <v>190.476</v>
      </c>
      <c r="J35" s="33">
        <v>66.09</v>
      </c>
      <c r="K35" s="12"/>
      <c r="L35" s="12"/>
      <c r="M35" s="33">
        <f>ROUND(ROUND(J35, 2)*I35, 2)</f>
        <v>12588.56</v>
      </c>
      <c r="N35" s="12"/>
      <c r="O35" s="12"/>
      <c r="P35" s="33">
        <v>66.87</v>
      </c>
      <c r="Q35" s="12"/>
      <c r="R35" s="12"/>
      <c r="S35" s="33">
        <f>ROUND(ROUND(P35, 2)*I35, 2)</f>
        <v>12737.13</v>
      </c>
      <c r="T35" s="12"/>
      <c r="U35" s="34"/>
      <c r="V35" s="9">
        <f>ROUND(ROUND(P35, 2)/1.2, 2)</f>
        <v>55.73</v>
      </c>
      <c r="Y35" s="9">
        <f t="shared" si="3"/>
        <v>10614.28</v>
      </c>
      <c r="AD35" s="4" t="s">
        <v>148</v>
      </c>
      <c r="AE35" s="4" t="s">
        <v>149</v>
      </c>
      <c r="AF35" s="4" t="s">
        <v>126</v>
      </c>
    </row>
    <row r="36" spans="1:35" ht="18" x14ac:dyDescent="0.3">
      <c r="A36" s="11" t="s">
        <v>150</v>
      </c>
      <c r="B36" s="11"/>
      <c r="C36" s="35" t="s">
        <v>128</v>
      </c>
      <c r="D36" s="21"/>
      <c r="E36" s="21"/>
      <c r="F36" s="31" t="s">
        <v>123</v>
      </c>
      <c r="G36" s="32">
        <v>1.42</v>
      </c>
      <c r="H36" s="21"/>
      <c r="I36" s="37">
        <v>155.88800000000001</v>
      </c>
      <c r="J36" s="33">
        <v>54.96</v>
      </c>
      <c r="K36" s="12"/>
      <c r="L36" s="12"/>
      <c r="M36" s="33">
        <f>ROUND(ROUND(J36, 2)*I36, 2)</f>
        <v>8567.6</v>
      </c>
      <c r="N36" s="12"/>
      <c r="O36" s="12"/>
      <c r="P36" s="33">
        <v>53.47</v>
      </c>
      <c r="Q36" s="12"/>
      <c r="R36" s="12"/>
      <c r="S36" s="33">
        <f>ROUND(ROUND(P36, 2)*I36, 2)</f>
        <v>8335.33</v>
      </c>
      <c r="T36" s="12"/>
      <c r="U36" s="34"/>
      <c r="V36" s="9">
        <f>ROUND(ROUND(P36, 2)/1.2, 2)</f>
        <v>44.56</v>
      </c>
      <c r="Y36" s="9">
        <f t="shared" si="3"/>
        <v>6946.11</v>
      </c>
      <c r="AD36" s="4" t="s">
        <v>151</v>
      </c>
      <c r="AE36" s="4" t="s">
        <v>152</v>
      </c>
      <c r="AF36" s="4" t="s">
        <v>131</v>
      </c>
    </row>
    <row r="37" spans="1:35" ht="36" x14ac:dyDescent="0.3">
      <c r="A37" s="11" t="s">
        <v>153</v>
      </c>
      <c r="B37" s="11"/>
      <c r="C37" s="30" t="s">
        <v>117</v>
      </c>
      <c r="D37" s="21"/>
      <c r="E37" s="21"/>
      <c r="F37" s="31" t="s">
        <v>57</v>
      </c>
      <c r="G37" s="32">
        <v>2.1</v>
      </c>
      <c r="H37" s="21"/>
      <c r="I37" s="32">
        <v>73.772999999999996</v>
      </c>
      <c r="J37" s="33">
        <v>137.79</v>
      </c>
      <c r="K37" s="12"/>
      <c r="L37" s="12"/>
      <c r="M37" s="33">
        <f>ROUND(ROUND(J37, 2)*I37, 2)</f>
        <v>10165.18</v>
      </c>
      <c r="N37" s="12"/>
      <c r="O37" s="12"/>
      <c r="P37" s="33">
        <v>137.79</v>
      </c>
      <c r="Q37" s="12"/>
      <c r="R37" s="12"/>
      <c r="S37" s="33">
        <f>ROUND(ROUND(P37, 2)*I37, 2)</f>
        <v>10165.18</v>
      </c>
      <c r="T37" s="12"/>
      <c r="U37" s="34"/>
      <c r="V37" s="9">
        <f>ROUND(ROUND(P37, 2)/1.2, 2)</f>
        <v>114.83</v>
      </c>
      <c r="Y37" s="9">
        <f t="shared" si="3"/>
        <v>8470.98</v>
      </c>
      <c r="AD37" s="4" t="s">
        <v>154</v>
      </c>
      <c r="AE37" s="4" t="s">
        <v>155</v>
      </c>
      <c r="AF37" s="4" t="s">
        <v>120</v>
      </c>
    </row>
    <row r="38" spans="1:35" ht="72" x14ac:dyDescent="0.3">
      <c r="A38" s="11" t="s">
        <v>156</v>
      </c>
      <c r="B38" s="11"/>
      <c r="C38" s="30" t="s">
        <v>112</v>
      </c>
      <c r="D38" s="21"/>
      <c r="E38" s="21"/>
      <c r="F38" s="31" t="s">
        <v>82</v>
      </c>
      <c r="G38" s="32">
        <v>1</v>
      </c>
      <c r="H38" s="21"/>
      <c r="I38" s="32">
        <v>35.130000000000003</v>
      </c>
      <c r="J38" s="33">
        <v>104.04</v>
      </c>
      <c r="K38" s="12"/>
      <c r="L38" s="12"/>
      <c r="M38" s="33">
        <f>ROUND(ROUND(J38, 2)*I38, 2)</f>
        <v>3654.93</v>
      </c>
      <c r="N38" s="12"/>
      <c r="O38" s="12"/>
      <c r="P38" s="33">
        <v>104.04</v>
      </c>
      <c r="Q38" s="12"/>
      <c r="R38" s="12"/>
      <c r="S38" s="33">
        <f>ROUND(ROUND(P38, 2)*I38, 2)</f>
        <v>3654.93</v>
      </c>
      <c r="T38" s="12"/>
      <c r="U38" s="34"/>
      <c r="V38" s="9">
        <f>ROUND(ROUND(P38, 2)/1.2, 2)</f>
        <v>86.7</v>
      </c>
      <c r="Y38" s="9">
        <f t="shared" si="3"/>
        <v>3045.78</v>
      </c>
      <c r="AD38" s="4" t="s">
        <v>157</v>
      </c>
      <c r="AE38" s="4" t="s">
        <v>158</v>
      </c>
      <c r="AF38" s="4" t="s">
        <v>115</v>
      </c>
    </row>
    <row r="39" spans="1:35" ht="126" x14ac:dyDescent="0.3">
      <c r="A39" s="38" t="s">
        <v>159</v>
      </c>
      <c r="B39" s="38" t="s">
        <v>160</v>
      </c>
      <c r="C39" s="39" t="s">
        <v>161</v>
      </c>
      <c r="D39" s="40" t="s">
        <v>70</v>
      </c>
      <c r="E39" s="40" t="s">
        <v>162</v>
      </c>
      <c r="F39" s="40" t="s">
        <v>57</v>
      </c>
      <c r="G39" s="41">
        <v>1</v>
      </c>
      <c r="H39" s="40"/>
      <c r="I39" s="42">
        <v>0</v>
      </c>
      <c r="J39" s="43">
        <v>526.91999999999996</v>
      </c>
      <c r="K39" s="43">
        <v>1064</v>
      </c>
      <c r="L39" s="43">
        <f>J39+ROUND(K39, 2)</f>
        <v>1590.92</v>
      </c>
      <c r="M39" s="43">
        <v>0</v>
      </c>
      <c r="N39" s="43">
        <v>0</v>
      </c>
      <c r="O39" s="43">
        <f>M39+N39</f>
        <v>0</v>
      </c>
      <c r="P39" s="43">
        <v>526.91999999999996</v>
      </c>
      <c r="Q39" s="43">
        <v>1064</v>
      </c>
      <c r="R39" s="43">
        <f>P39+ROUND(Q39, 2)</f>
        <v>1590.92</v>
      </c>
      <c r="S39" s="43">
        <v>0</v>
      </c>
      <c r="T39" s="43">
        <v>0</v>
      </c>
      <c r="U39" s="43">
        <f>S39+T39</f>
        <v>0</v>
      </c>
      <c r="V39" s="9">
        <f>ROUND(P39 / 1.2, 2)</f>
        <v>439.1</v>
      </c>
      <c r="W39" s="9">
        <f>ROUND(Q39 / 1.2, 2)</f>
        <v>886.67</v>
      </c>
      <c r="X39" s="9">
        <f>ROUND(R39 / 1.2, 2)</f>
        <v>1325.77</v>
      </c>
      <c r="Y39" s="9">
        <f t="shared" si="3"/>
        <v>0</v>
      </c>
      <c r="Z39" s="9">
        <f>ROUND(T39 / 1.2, 2)</f>
        <v>0</v>
      </c>
      <c r="AA39" s="9">
        <f>Y39+Z39</f>
        <v>0</v>
      </c>
      <c r="AD39" s="4">
        <v>341534283</v>
      </c>
      <c r="AE39" s="4">
        <v>25837364</v>
      </c>
      <c r="AG39" s="4" t="s">
        <v>163</v>
      </c>
      <c r="AH39" s="4" t="s">
        <v>164</v>
      </c>
      <c r="AI39" s="4" t="s">
        <v>60</v>
      </c>
    </row>
    <row r="40" spans="1:35" ht="126" x14ac:dyDescent="0.3">
      <c r="A40" s="44" t="s">
        <v>165</v>
      </c>
      <c r="B40" s="44" t="s">
        <v>160</v>
      </c>
      <c r="C40" s="45" t="s">
        <v>161</v>
      </c>
      <c r="D40" s="46" t="s">
        <v>70</v>
      </c>
      <c r="E40" s="46" t="s">
        <v>162</v>
      </c>
      <c r="F40" s="46" t="s">
        <v>57</v>
      </c>
      <c r="G40" s="47">
        <v>1</v>
      </c>
      <c r="H40" s="46"/>
      <c r="I40" s="47">
        <v>534.4</v>
      </c>
      <c r="J40" s="48">
        <v>526.91999999999996</v>
      </c>
      <c r="K40" s="48">
        <v>1064</v>
      </c>
      <c r="L40" s="48">
        <v>1064</v>
      </c>
      <c r="M40" s="48">
        <v>281586.05</v>
      </c>
      <c r="N40" s="48">
        <v>568601.59999999998</v>
      </c>
      <c r="O40" s="48"/>
      <c r="P40" s="48">
        <v>526.91999999999996</v>
      </c>
      <c r="Q40" s="48">
        <v>1064</v>
      </c>
      <c r="R40" s="48">
        <v>1064</v>
      </c>
      <c r="S40" s="48">
        <v>281586.05</v>
      </c>
      <c r="T40" s="48">
        <v>568601.59999999998</v>
      </c>
      <c r="U40" s="48"/>
      <c r="V40" s="9"/>
      <c r="W40" s="9">
        <f>ROUND(Q40 / 1.2, 2)</f>
        <v>886.67</v>
      </c>
      <c r="X40" s="9">
        <f>ROUND(R40 / 1.2, 2)</f>
        <v>886.67</v>
      </c>
      <c r="Y40" s="9"/>
      <c r="Z40" s="9">
        <f>ROUND(T40 / 1.2, 2)</f>
        <v>473834.67</v>
      </c>
      <c r="AA40" s="9"/>
      <c r="AD40" s="4">
        <v>314469335</v>
      </c>
      <c r="AE40" s="4">
        <v>25837364</v>
      </c>
      <c r="AG40" s="4" t="s">
        <v>163</v>
      </c>
      <c r="AH40" s="4" t="s">
        <v>164</v>
      </c>
      <c r="AI40" s="4"/>
    </row>
    <row r="41" spans="1:35" ht="72" x14ac:dyDescent="0.3">
      <c r="A41" s="38" t="s">
        <v>166</v>
      </c>
      <c r="B41" s="38"/>
      <c r="C41" s="49" t="s">
        <v>167</v>
      </c>
      <c r="D41" s="40"/>
      <c r="E41" s="40"/>
      <c r="F41" s="50" t="s">
        <v>82</v>
      </c>
      <c r="G41" s="51">
        <v>1</v>
      </c>
      <c r="H41" s="40"/>
      <c r="I41" s="52">
        <v>0</v>
      </c>
      <c r="J41" s="53">
        <v>43.7</v>
      </c>
      <c r="K41" s="54"/>
      <c r="L41" s="54"/>
      <c r="M41" s="53">
        <f t="shared" ref="M41:M48" si="4">ROUND(ROUND(J41, 2)*I41, 2)</f>
        <v>0</v>
      </c>
      <c r="N41" s="54"/>
      <c r="O41" s="54"/>
      <c r="P41" s="53">
        <v>43.7</v>
      </c>
      <c r="Q41" s="54"/>
      <c r="R41" s="54"/>
      <c r="S41" s="53">
        <f t="shared" ref="S41:S48" si="5">ROUND(ROUND(P41, 2)*I41, 2)</f>
        <v>0</v>
      </c>
      <c r="T41" s="54"/>
      <c r="U41" s="55"/>
      <c r="V41" s="9">
        <f t="shared" ref="V41:V48" si="6">ROUND(ROUND(P41, 2)/1.2, 2)</f>
        <v>36.42</v>
      </c>
      <c r="Y41" s="9">
        <f t="shared" ref="Y41:Y48" si="7">ROUND(S41 / 1.2, 2)</f>
        <v>0</v>
      </c>
      <c r="AD41" s="4" t="s">
        <v>168</v>
      </c>
      <c r="AE41" s="4" t="s">
        <v>169</v>
      </c>
      <c r="AF41" s="4" t="s">
        <v>170</v>
      </c>
    </row>
    <row r="42" spans="1:35" ht="72" x14ac:dyDescent="0.3">
      <c r="A42" s="44" t="s">
        <v>171</v>
      </c>
      <c r="B42" s="44"/>
      <c r="C42" s="56" t="s">
        <v>167</v>
      </c>
      <c r="D42" s="46"/>
      <c r="E42" s="46"/>
      <c r="F42" s="57" t="s">
        <v>82</v>
      </c>
      <c r="G42" s="58">
        <v>1</v>
      </c>
      <c r="H42" s="46"/>
      <c r="I42" s="58">
        <v>534.4</v>
      </c>
      <c r="J42" s="59">
        <v>43.7</v>
      </c>
      <c r="K42" s="60"/>
      <c r="L42" s="60"/>
      <c r="M42" s="59">
        <f t="shared" si="4"/>
        <v>23353.279999999999</v>
      </c>
      <c r="N42" s="60"/>
      <c r="O42" s="60"/>
      <c r="P42" s="59">
        <v>43.7</v>
      </c>
      <c r="Q42" s="60"/>
      <c r="R42" s="60"/>
      <c r="S42" s="59">
        <f t="shared" si="5"/>
        <v>23353.279999999999</v>
      </c>
      <c r="T42" s="60"/>
      <c r="U42" s="61"/>
      <c r="V42" s="9">
        <f t="shared" si="6"/>
        <v>36.42</v>
      </c>
      <c r="Y42" s="9">
        <f t="shared" si="7"/>
        <v>19461.07</v>
      </c>
      <c r="AD42" s="4" t="s">
        <v>172</v>
      </c>
      <c r="AE42" s="4" t="s">
        <v>169</v>
      </c>
      <c r="AF42" s="4" t="s">
        <v>170</v>
      </c>
    </row>
    <row r="43" spans="1:35" ht="18" x14ac:dyDescent="0.3">
      <c r="A43" s="38" t="s">
        <v>173</v>
      </c>
      <c r="B43" s="38"/>
      <c r="C43" s="49" t="s">
        <v>174</v>
      </c>
      <c r="D43" s="40"/>
      <c r="E43" s="40"/>
      <c r="F43" s="50" t="s">
        <v>123</v>
      </c>
      <c r="G43" s="51">
        <v>2.1</v>
      </c>
      <c r="H43" s="40"/>
      <c r="I43" s="52">
        <v>0</v>
      </c>
      <c r="J43" s="53">
        <v>95.07</v>
      </c>
      <c r="K43" s="54"/>
      <c r="L43" s="54"/>
      <c r="M43" s="53">
        <f t="shared" si="4"/>
        <v>0</v>
      </c>
      <c r="N43" s="54"/>
      <c r="O43" s="54"/>
      <c r="P43" s="53">
        <v>95.07</v>
      </c>
      <c r="Q43" s="54"/>
      <c r="R43" s="54"/>
      <c r="S43" s="53">
        <f t="shared" si="5"/>
        <v>0</v>
      </c>
      <c r="T43" s="54"/>
      <c r="U43" s="55"/>
      <c r="V43" s="9">
        <f t="shared" si="6"/>
        <v>79.23</v>
      </c>
      <c r="Y43" s="9">
        <f t="shared" si="7"/>
        <v>0</v>
      </c>
      <c r="AD43" s="4" t="s">
        <v>175</v>
      </c>
      <c r="AE43" s="4" t="s">
        <v>176</v>
      </c>
      <c r="AF43" s="4" t="s">
        <v>177</v>
      </c>
    </row>
    <row r="44" spans="1:35" ht="18" x14ac:dyDescent="0.3">
      <c r="A44" s="44" t="s">
        <v>178</v>
      </c>
      <c r="B44" s="44"/>
      <c r="C44" s="56" t="s">
        <v>174</v>
      </c>
      <c r="D44" s="46"/>
      <c r="E44" s="46"/>
      <c r="F44" s="57" t="s">
        <v>123</v>
      </c>
      <c r="G44" s="58">
        <v>2.1</v>
      </c>
      <c r="H44" s="46"/>
      <c r="I44" s="58">
        <v>1122.24</v>
      </c>
      <c r="J44" s="59">
        <v>95.07</v>
      </c>
      <c r="K44" s="60"/>
      <c r="L44" s="60"/>
      <c r="M44" s="59">
        <f t="shared" si="4"/>
        <v>106691.36</v>
      </c>
      <c r="N44" s="60"/>
      <c r="O44" s="60"/>
      <c r="P44" s="59">
        <v>95.07</v>
      </c>
      <c r="Q44" s="60"/>
      <c r="R44" s="60"/>
      <c r="S44" s="59">
        <f t="shared" si="5"/>
        <v>106691.36</v>
      </c>
      <c r="T44" s="60"/>
      <c r="U44" s="61"/>
      <c r="V44" s="9">
        <f t="shared" si="6"/>
        <v>79.23</v>
      </c>
      <c r="Y44" s="9">
        <f t="shared" si="7"/>
        <v>88909.47</v>
      </c>
      <c r="AD44" s="4" t="s">
        <v>179</v>
      </c>
      <c r="AE44" s="4" t="s">
        <v>176</v>
      </c>
      <c r="AF44" s="4" t="s">
        <v>177</v>
      </c>
    </row>
    <row r="45" spans="1:35" ht="18" x14ac:dyDescent="0.3">
      <c r="A45" s="38" t="s">
        <v>180</v>
      </c>
      <c r="B45" s="38"/>
      <c r="C45" s="49" t="s">
        <v>181</v>
      </c>
      <c r="D45" s="40"/>
      <c r="E45" s="40"/>
      <c r="F45" s="50" t="s">
        <v>123</v>
      </c>
      <c r="G45" s="51">
        <v>0.8</v>
      </c>
      <c r="H45" s="40"/>
      <c r="I45" s="52">
        <v>0</v>
      </c>
      <c r="J45" s="53">
        <v>69.39</v>
      </c>
      <c r="K45" s="54"/>
      <c r="L45" s="54"/>
      <c r="M45" s="53">
        <f t="shared" si="4"/>
        <v>0</v>
      </c>
      <c r="N45" s="54"/>
      <c r="O45" s="54"/>
      <c r="P45" s="53">
        <v>69.39</v>
      </c>
      <c r="Q45" s="54"/>
      <c r="R45" s="54"/>
      <c r="S45" s="53">
        <f t="shared" si="5"/>
        <v>0</v>
      </c>
      <c r="T45" s="54"/>
      <c r="U45" s="55"/>
      <c r="V45" s="9">
        <f t="shared" si="6"/>
        <v>57.83</v>
      </c>
      <c r="Y45" s="9">
        <f t="shared" si="7"/>
        <v>0</v>
      </c>
      <c r="AD45" s="4" t="s">
        <v>182</v>
      </c>
      <c r="AE45" s="4" t="s">
        <v>183</v>
      </c>
      <c r="AF45" s="4" t="s">
        <v>184</v>
      </c>
    </row>
    <row r="46" spans="1:35" ht="18" x14ac:dyDescent="0.3">
      <c r="A46" s="44" t="s">
        <v>185</v>
      </c>
      <c r="B46" s="44"/>
      <c r="C46" s="56" t="s">
        <v>181</v>
      </c>
      <c r="D46" s="46"/>
      <c r="E46" s="46"/>
      <c r="F46" s="57" t="s">
        <v>123</v>
      </c>
      <c r="G46" s="58">
        <v>0.8</v>
      </c>
      <c r="H46" s="46"/>
      <c r="I46" s="58">
        <v>427.52</v>
      </c>
      <c r="J46" s="59">
        <v>69.39</v>
      </c>
      <c r="K46" s="60"/>
      <c r="L46" s="60"/>
      <c r="M46" s="59">
        <f t="shared" si="4"/>
        <v>29665.61</v>
      </c>
      <c r="N46" s="60"/>
      <c r="O46" s="60"/>
      <c r="P46" s="59">
        <v>69.39</v>
      </c>
      <c r="Q46" s="60"/>
      <c r="R46" s="60"/>
      <c r="S46" s="59">
        <f t="shared" si="5"/>
        <v>29665.61</v>
      </c>
      <c r="T46" s="60"/>
      <c r="U46" s="61"/>
      <c r="V46" s="9">
        <f t="shared" si="6"/>
        <v>57.83</v>
      </c>
      <c r="Y46" s="9">
        <f t="shared" si="7"/>
        <v>24721.34</v>
      </c>
      <c r="AD46" s="4" t="s">
        <v>186</v>
      </c>
      <c r="AE46" s="4" t="s">
        <v>183</v>
      </c>
      <c r="AF46" s="4" t="s">
        <v>184</v>
      </c>
    </row>
    <row r="47" spans="1:35" ht="18" x14ac:dyDescent="0.3">
      <c r="A47" s="38" t="s">
        <v>187</v>
      </c>
      <c r="B47" s="38"/>
      <c r="C47" s="49" t="s">
        <v>188</v>
      </c>
      <c r="D47" s="40"/>
      <c r="E47" s="40"/>
      <c r="F47" s="50" t="s">
        <v>57</v>
      </c>
      <c r="G47" s="51">
        <v>1.1000000000000001</v>
      </c>
      <c r="H47" s="40"/>
      <c r="I47" s="52">
        <v>0</v>
      </c>
      <c r="J47" s="53">
        <v>207.33</v>
      </c>
      <c r="K47" s="54"/>
      <c r="L47" s="54"/>
      <c r="M47" s="53">
        <f t="shared" si="4"/>
        <v>0</v>
      </c>
      <c r="N47" s="54"/>
      <c r="O47" s="54"/>
      <c r="P47" s="53">
        <v>207.33</v>
      </c>
      <c r="Q47" s="54"/>
      <c r="R47" s="54"/>
      <c r="S47" s="53">
        <f t="shared" si="5"/>
        <v>0</v>
      </c>
      <c r="T47" s="54"/>
      <c r="U47" s="55"/>
      <c r="V47" s="9">
        <f t="shared" si="6"/>
        <v>172.78</v>
      </c>
      <c r="Y47" s="9">
        <f t="shared" si="7"/>
        <v>0</v>
      </c>
      <c r="AD47" s="4" t="s">
        <v>189</v>
      </c>
      <c r="AE47" s="4" t="s">
        <v>190</v>
      </c>
      <c r="AF47" s="4" t="s">
        <v>191</v>
      </c>
    </row>
    <row r="48" spans="1:35" ht="18" x14ac:dyDescent="0.3">
      <c r="A48" s="44" t="s">
        <v>192</v>
      </c>
      <c r="B48" s="44"/>
      <c r="C48" s="56" t="s">
        <v>188</v>
      </c>
      <c r="D48" s="46"/>
      <c r="E48" s="46"/>
      <c r="F48" s="57" t="s">
        <v>57</v>
      </c>
      <c r="G48" s="58">
        <v>1.1000000000000001</v>
      </c>
      <c r="H48" s="46"/>
      <c r="I48" s="58">
        <v>587.84</v>
      </c>
      <c r="J48" s="59">
        <v>207.33</v>
      </c>
      <c r="K48" s="60"/>
      <c r="L48" s="60"/>
      <c r="M48" s="59">
        <f t="shared" si="4"/>
        <v>121876.87</v>
      </c>
      <c r="N48" s="60"/>
      <c r="O48" s="60"/>
      <c r="P48" s="59">
        <v>207.33</v>
      </c>
      <c r="Q48" s="60"/>
      <c r="R48" s="60"/>
      <c r="S48" s="59">
        <f t="shared" si="5"/>
        <v>121876.87</v>
      </c>
      <c r="T48" s="60"/>
      <c r="U48" s="61"/>
      <c r="V48" s="9">
        <f t="shared" si="6"/>
        <v>172.78</v>
      </c>
      <c r="Y48" s="9">
        <f t="shared" si="7"/>
        <v>101564.06</v>
      </c>
      <c r="AD48" s="4" t="s">
        <v>193</v>
      </c>
      <c r="AE48" s="4" t="s">
        <v>190</v>
      </c>
      <c r="AF48" s="4" t="s">
        <v>191</v>
      </c>
    </row>
    <row r="49" spans="1:35" ht="16.95" customHeight="1" x14ac:dyDescent="0.3">
      <c r="A49" s="11" t="s">
        <v>194</v>
      </c>
      <c r="B49" s="11" t="s">
        <v>195</v>
      </c>
      <c r="C49" s="124" t="s">
        <v>196</v>
      </c>
      <c r="D49" s="125"/>
      <c r="E49" s="125"/>
      <c r="F49" s="125"/>
      <c r="G49" s="125"/>
      <c r="H49" s="125"/>
      <c r="I49" s="126"/>
      <c r="J49" s="12"/>
      <c r="K49" s="12"/>
      <c r="L49" s="12"/>
      <c r="M49" s="13">
        <f>SUM(M50)</f>
        <v>5040.59</v>
      </c>
      <c r="N49" s="13">
        <f>SUM(N50)</f>
        <v>3603.48</v>
      </c>
      <c r="O49" s="13">
        <f>SUM(O50)</f>
        <v>8644.07</v>
      </c>
      <c r="P49" s="12"/>
      <c r="Q49" s="12"/>
      <c r="R49" s="12"/>
      <c r="S49" s="13">
        <f>SUM(S50)</f>
        <v>5092.83</v>
      </c>
      <c r="T49" s="13">
        <f>SUM(T50)</f>
        <v>3524.76</v>
      </c>
      <c r="U49" s="13">
        <f>SUM(U50)</f>
        <v>8617.59</v>
      </c>
      <c r="Y49" s="9">
        <f>SUM(Y50)</f>
        <v>4244.03</v>
      </c>
      <c r="Z49" s="9">
        <f>SUM(Z50)</f>
        <v>2937.3</v>
      </c>
      <c r="AA49" s="9">
        <f>SUM(AA50)</f>
        <v>7181.33</v>
      </c>
      <c r="AD49" s="4">
        <v>341534284</v>
      </c>
      <c r="AE49" s="4">
        <v>28199791</v>
      </c>
    </row>
    <row r="50" spans="1:35" ht="108" x14ac:dyDescent="0.3">
      <c r="A50" s="11" t="s">
        <v>197</v>
      </c>
      <c r="B50" s="11" t="s">
        <v>198</v>
      </c>
      <c r="C50" s="20" t="s">
        <v>199</v>
      </c>
      <c r="D50" s="21" t="s">
        <v>200</v>
      </c>
      <c r="E50" s="21" t="s">
        <v>71</v>
      </c>
      <c r="F50" s="21" t="s">
        <v>201</v>
      </c>
      <c r="G50" s="22">
        <v>1</v>
      </c>
      <c r="H50" s="21"/>
      <c r="I50" s="22">
        <v>0.06</v>
      </c>
      <c r="J50" s="23">
        <f>IFERROR(ROUND(SUM(M51,M52,M53)/I50, 2),0)</f>
        <v>84009.83</v>
      </c>
      <c r="K50" s="23">
        <v>60058</v>
      </c>
      <c r="L50" s="23">
        <f>J50+ROUND(K50, 2)</f>
        <v>144067.83000000002</v>
      </c>
      <c r="M50" s="23">
        <f>ROUND(J50*I50, 2)</f>
        <v>5040.59</v>
      </c>
      <c r="N50" s="23">
        <f>ROUND(I50*ROUND(K50, 2), 2)</f>
        <v>3603.48</v>
      </c>
      <c r="O50" s="23">
        <f>M50+N50</f>
        <v>8644.07</v>
      </c>
      <c r="P50" s="23">
        <f>IFERROR(ROUND(SUM(S51,S52,S53)/I50, 2),0)</f>
        <v>84880.5</v>
      </c>
      <c r="Q50" s="23">
        <v>58746</v>
      </c>
      <c r="R50" s="23">
        <f>P50+ROUND(Q50, 2)</f>
        <v>143626.5</v>
      </c>
      <c r="S50" s="23">
        <f>ROUND(P50*I50, 2)</f>
        <v>5092.83</v>
      </c>
      <c r="T50" s="23">
        <f>ROUND(I50*ROUND(Q50, 2), 2)</f>
        <v>3524.76</v>
      </c>
      <c r="U50" s="23">
        <f>S50+T50</f>
        <v>8617.59</v>
      </c>
      <c r="V50" s="9">
        <f>ROUND(P50 / 1.2, 2)</f>
        <v>70733.75</v>
      </c>
      <c r="W50" s="9">
        <f>ROUND(Q50 / 1.2, 2)</f>
        <v>48955</v>
      </c>
      <c r="X50" s="9">
        <f>ROUND(R50 / 1.2, 2)</f>
        <v>119688.75</v>
      </c>
      <c r="Y50" s="9">
        <f>ROUND(S50 / 1.2, 2)</f>
        <v>4244.03</v>
      </c>
      <c r="Z50" s="9">
        <f>ROUND(T50 / 1.2, 2)</f>
        <v>2937.3</v>
      </c>
      <c r="AA50" s="9">
        <f>Y50+Z50</f>
        <v>7181.33</v>
      </c>
      <c r="AD50" s="4">
        <v>341534286</v>
      </c>
      <c r="AE50" s="4">
        <v>28199803</v>
      </c>
      <c r="AG50" s="4" t="s">
        <v>202</v>
      </c>
      <c r="AH50" s="4" t="s">
        <v>203</v>
      </c>
      <c r="AI50" s="4" t="s">
        <v>60</v>
      </c>
    </row>
    <row r="51" spans="1:35" ht="18" x14ac:dyDescent="0.3">
      <c r="A51" s="11" t="s">
        <v>204</v>
      </c>
      <c r="B51" s="11"/>
      <c r="C51" s="30" t="s">
        <v>205</v>
      </c>
      <c r="D51" s="21"/>
      <c r="E51" s="21"/>
      <c r="F51" s="31" t="s">
        <v>98</v>
      </c>
      <c r="G51" s="32">
        <v>1</v>
      </c>
      <c r="H51" s="21"/>
      <c r="I51" s="37">
        <v>2</v>
      </c>
      <c r="J51" s="33">
        <v>0</v>
      </c>
      <c r="K51" s="12"/>
      <c r="L51" s="12"/>
      <c r="M51" s="33">
        <f>ROUND(ROUND(J51, 2)*I51, 2)</f>
        <v>0</v>
      </c>
      <c r="N51" s="12"/>
      <c r="O51" s="12"/>
      <c r="P51" s="33">
        <v>26.12</v>
      </c>
      <c r="Q51" s="12"/>
      <c r="R51" s="12"/>
      <c r="S51" s="33">
        <f>ROUND(ROUND(P51, 2)*I51, 2)</f>
        <v>52.24</v>
      </c>
      <c r="T51" s="12"/>
      <c r="U51" s="34"/>
      <c r="V51" s="9">
        <f>ROUND(ROUND(P51, 2)/1.2, 2)</f>
        <v>21.77</v>
      </c>
      <c r="Y51" s="9">
        <f>ROUND(S51 / 1.2, 2)</f>
        <v>43.53</v>
      </c>
      <c r="AD51" s="4" t="s">
        <v>206</v>
      </c>
      <c r="AE51" s="4" t="s">
        <v>207</v>
      </c>
      <c r="AF51" s="4" t="s">
        <v>208</v>
      </c>
    </row>
    <row r="52" spans="1:35" ht="18" x14ac:dyDescent="0.3">
      <c r="A52" s="11" t="s">
        <v>209</v>
      </c>
      <c r="B52" s="11"/>
      <c r="C52" s="30" t="s">
        <v>210</v>
      </c>
      <c r="D52" s="21"/>
      <c r="E52" s="21"/>
      <c r="F52" s="31" t="s">
        <v>201</v>
      </c>
      <c r="G52" s="32">
        <v>1.03</v>
      </c>
      <c r="H52" s="21"/>
      <c r="I52" s="37">
        <v>6.2E-2</v>
      </c>
      <c r="J52" s="33">
        <v>78461.25</v>
      </c>
      <c r="K52" s="12"/>
      <c r="L52" s="12"/>
      <c r="M52" s="33">
        <f>ROUND(ROUND(J52, 2)*I52, 2)</f>
        <v>4864.6000000000004</v>
      </c>
      <c r="N52" s="12"/>
      <c r="O52" s="12"/>
      <c r="P52" s="33">
        <v>78461.25</v>
      </c>
      <c r="Q52" s="12"/>
      <c r="R52" s="12"/>
      <c r="S52" s="33">
        <f>ROUND(ROUND(P52, 2)*I52, 2)</f>
        <v>4864.6000000000004</v>
      </c>
      <c r="T52" s="12"/>
      <c r="U52" s="34"/>
      <c r="V52" s="9">
        <f>ROUND(ROUND(P52, 2)/1.2, 2)</f>
        <v>65384.38</v>
      </c>
      <c r="Y52" s="9">
        <f>ROUND(S52 / 1.2, 2)</f>
        <v>4053.83</v>
      </c>
      <c r="AD52" s="4" t="s">
        <v>211</v>
      </c>
      <c r="AE52" s="4" t="s">
        <v>212</v>
      </c>
      <c r="AF52" s="4" t="s">
        <v>213</v>
      </c>
    </row>
    <row r="53" spans="1:35" ht="36" x14ac:dyDescent="0.3">
      <c r="A53" s="11" t="s">
        <v>214</v>
      </c>
      <c r="B53" s="11"/>
      <c r="C53" s="30" t="s">
        <v>215</v>
      </c>
      <c r="D53" s="21"/>
      <c r="E53" s="21"/>
      <c r="F53" s="31" t="s">
        <v>82</v>
      </c>
      <c r="G53" s="32">
        <v>1</v>
      </c>
      <c r="H53" s="21"/>
      <c r="I53" s="32">
        <v>0.06</v>
      </c>
      <c r="J53" s="33">
        <v>2933.23</v>
      </c>
      <c r="K53" s="12"/>
      <c r="L53" s="12"/>
      <c r="M53" s="33">
        <f>ROUND(ROUND(J53, 2)*I53, 2)</f>
        <v>175.99</v>
      </c>
      <c r="N53" s="12"/>
      <c r="O53" s="12"/>
      <c r="P53" s="33">
        <v>2933.23</v>
      </c>
      <c r="Q53" s="12"/>
      <c r="R53" s="12"/>
      <c r="S53" s="33">
        <f>ROUND(ROUND(P53, 2)*I53, 2)</f>
        <v>175.99</v>
      </c>
      <c r="T53" s="12"/>
      <c r="U53" s="34"/>
      <c r="V53" s="9">
        <f>ROUND(ROUND(P53, 2)/1.2, 2)</f>
        <v>2444.36</v>
      </c>
      <c r="Y53" s="9">
        <f>ROUND(S53 / 1.2, 2)</f>
        <v>146.66</v>
      </c>
      <c r="AD53" s="4" t="s">
        <v>216</v>
      </c>
      <c r="AE53" s="4" t="s">
        <v>217</v>
      </c>
      <c r="AF53" s="4" t="s">
        <v>218</v>
      </c>
    </row>
    <row r="54" spans="1:35" ht="16.95" customHeight="1" x14ac:dyDescent="0.3">
      <c r="A54" s="10" t="s">
        <v>219</v>
      </c>
      <c r="B54" s="10" t="s">
        <v>220</v>
      </c>
      <c r="C54" s="121" t="s">
        <v>221</v>
      </c>
      <c r="D54" s="122"/>
      <c r="E54" s="122"/>
      <c r="F54" s="122"/>
      <c r="G54" s="122"/>
      <c r="H54" s="122"/>
      <c r="I54" s="123"/>
      <c r="M54" s="6">
        <f t="shared" ref="M54:O55" si="8">SUM(M55)</f>
        <v>3533490.3200000003</v>
      </c>
      <c r="N54" s="6">
        <f t="shared" si="8"/>
        <v>13486502.639999999</v>
      </c>
      <c r="O54" s="6">
        <f t="shared" si="8"/>
        <v>17019992.960000001</v>
      </c>
      <c r="S54" s="6">
        <f t="shared" ref="S54:U55" si="9">SUM(S55)</f>
        <v>3747180.12</v>
      </c>
      <c r="T54" s="6">
        <f t="shared" si="9"/>
        <v>13486502.639999999</v>
      </c>
      <c r="U54" s="6">
        <f t="shared" si="9"/>
        <v>17233682.760000002</v>
      </c>
      <c r="Y54" s="9">
        <f t="shared" ref="Y54:AA55" si="10">SUM(Y55)</f>
        <v>3122650.1700000004</v>
      </c>
      <c r="Z54" s="9">
        <f t="shared" si="10"/>
        <v>11238752.240000002</v>
      </c>
      <c r="AA54" s="9">
        <f t="shared" si="10"/>
        <v>14361402.410000002</v>
      </c>
      <c r="AD54" s="4">
        <v>341534287</v>
      </c>
      <c r="AE54" s="4">
        <v>25837341</v>
      </c>
    </row>
    <row r="55" spans="1:35" ht="16.95" customHeight="1" x14ac:dyDescent="0.3">
      <c r="A55" s="10" t="s">
        <v>222</v>
      </c>
      <c r="B55" s="10" t="s">
        <v>223</v>
      </c>
      <c r="C55" s="121" t="s">
        <v>224</v>
      </c>
      <c r="D55" s="122"/>
      <c r="E55" s="122"/>
      <c r="F55" s="122"/>
      <c r="G55" s="122"/>
      <c r="H55" s="122"/>
      <c r="I55" s="123"/>
      <c r="M55" s="6">
        <f t="shared" si="8"/>
        <v>3533490.3200000003</v>
      </c>
      <c r="N55" s="6">
        <f t="shared" si="8"/>
        <v>13486502.639999999</v>
      </c>
      <c r="O55" s="6">
        <f t="shared" si="8"/>
        <v>17019992.960000001</v>
      </c>
      <c r="S55" s="6">
        <f t="shared" si="9"/>
        <v>3747180.12</v>
      </c>
      <c r="T55" s="6">
        <f t="shared" si="9"/>
        <v>13486502.639999999</v>
      </c>
      <c r="U55" s="6">
        <f t="shared" si="9"/>
        <v>17233682.760000002</v>
      </c>
      <c r="Y55" s="9">
        <f t="shared" si="10"/>
        <v>3122650.1700000004</v>
      </c>
      <c r="Z55" s="9">
        <f t="shared" si="10"/>
        <v>11238752.240000002</v>
      </c>
      <c r="AA55" s="9">
        <f t="shared" si="10"/>
        <v>14361402.410000002</v>
      </c>
      <c r="AD55" s="4">
        <v>341534288</v>
      </c>
      <c r="AE55" s="4">
        <v>25837346</v>
      </c>
    </row>
    <row r="56" spans="1:35" ht="16.95" customHeight="1" x14ac:dyDescent="0.3">
      <c r="A56" s="10" t="s">
        <v>225</v>
      </c>
      <c r="B56" s="10" t="s">
        <v>226</v>
      </c>
      <c r="C56" s="121" t="s">
        <v>227</v>
      </c>
      <c r="D56" s="122"/>
      <c r="E56" s="122"/>
      <c r="F56" s="122"/>
      <c r="G56" s="122"/>
      <c r="H56" s="122"/>
      <c r="I56" s="123"/>
      <c r="M56" s="6">
        <f>SUM(M57,M209,M509,M572)</f>
        <v>3533490.3200000003</v>
      </c>
      <c r="N56" s="6">
        <f>SUM(N57,N209,N509,N572)</f>
        <v>13486502.639999999</v>
      </c>
      <c r="O56" s="6">
        <f>SUM(O57,O209,O509,O572)</f>
        <v>17019992.960000001</v>
      </c>
      <c r="S56" s="6">
        <f>SUM(S57,S209,S509,S572)</f>
        <v>3747180.12</v>
      </c>
      <c r="T56" s="6">
        <f>SUM(T57,T209,T509,T572)</f>
        <v>13486502.639999999</v>
      </c>
      <c r="U56" s="6">
        <f>SUM(U57,U209,U509,U572)</f>
        <v>17233682.760000002</v>
      </c>
      <c r="Y56" s="9">
        <f>SUM(Y57,Y209,Y509,Y572)</f>
        <v>3122650.1700000004</v>
      </c>
      <c r="Z56" s="9">
        <f>SUM(Z57,Z209,Z509,Z572)</f>
        <v>11238752.240000002</v>
      </c>
      <c r="AA56" s="9">
        <f>SUM(AA57,AA209,AA509,AA572)</f>
        <v>14361402.410000002</v>
      </c>
      <c r="AD56" s="4">
        <v>341534289</v>
      </c>
      <c r="AE56" s="4">
        <v>25837356</v>
      </c>
    </row>
    <row r="57" spans="1:35" ht="16.95" customHeight="1" x14ac:dyDescent="0.3">
      <c r="A57" s="10" t="s">
        <v>228</v>
      </c>
      <c r="B57" s="10" t="s">
        <v>229</v>
      </c>
      <c r="C57" s="121" t="s">
        <v>230</v>
      </c>
      <c r="D57" s="122"/>
      <c r="E57" s="122"/>
      <c r="F57" s="122"/>
      <c r="G57" s="122"/>
      <c r="H57" s="122"/>
      <c r="I57" s="123"/>
      <c r="M57" s="6">
        <f>SUM(M58,M121,M138)</f>
        <v>1696541.27</v>
      </c>
      <c r="N57" s="6">
        <f>SUM(N58,N121,N138)</f>
        <v>993569.55</v>
      </c>
      <c r="O57" s="6">
        <f>SUM(O58,O121,O138)</f>
        <v>2690110.82</v>
      </c>
      <c r="S57" s="6">
        <f>SUM(S58,S121,S138)</f>
        <v>1818226.77</v>
      </c>
      <c r="T57" s="6">
        <f>SUM(T58,T121,T138)</f>
        <v>993569.55</v>
      </c>
      <c r="U57" s="6">
        <f>SUM(U58,U121,U138)</f>
        <v>2811796.3200000003</v>
      </c>
      <c r="Y57" s="9">
        <f>SUM(Y58,Y121,Y138)</f>
        <v>1515189</v>
      </c>
      <c r="Z57" s="9">
        <f>SUM(Z58,Z121,Z138)</f>
        <v>827974.63</v>
      </c>
      <c r="AA57" s="9">
        <f>SUM(AA58,AA121,AA138)</f>
        <v>2343163.63</v>
      </c>
      <c r="AD57" s="4">
        <v>341534290</v>
      </c>
      <c r="AE57" s="4">
        <v>25837361</v>
      </c>
    </row>
    <row r="58" spans="1:35" ht="16.95" customHeight="1" x14ac:dyDescent="0.3">
      <c r="A58" s="10" t="s">
        <v>231</v>
      </c>
      <c r="B58" s="10" t="s">
        <v>232</v>
      </c>
      <c r="C58" s="121" t="s">
        <v>233</v>
      </c>
      <c r="D58" s="122"/>
      <c r="E58" s="122"/>
      <c r="F58" s="122"/>
      <c r="G58" s="122"/>
      <c r="H58" s="122"/>
      <c r="I58" s="123"/>
      <c r="M58" s="6">
        <f>SUM(M59,M65,M69,M73,M83,M91,M101,M109,M113,M117)</f>
        <v>165582.06</v>
      </c>
      <c r="N58" s="6">
        <f>SUM(N59,N65,N69,N73,N83,N91,N101,N109,N113,N117)</f>
        <v>531996.27</v>
      </c>
      <c r="O58" s="6">
        <f>SUM(O59,O65,O69,O73,O83,O91,O101,O109,O113,O117)</f>
        <v>697578.33000000007</v>
      </c>
      <c r="S58" s="6">
        <f>SUM(S59,S65,S69,S73,S83,S91,S101,S109,S113,S117)</f>
        <v>172049.47</v>
      </c>
      <c r="T58" s="6">
        <f>SUM(T59,T65,T69,T73,T83,T91,T101,T109,T113,T117)</f>
        <v>531996.27</v>
      </c>
      <c r="U58" s="6">
        <f>SUM(U59,U65,U69,U73,U83,U91,U101,U109,U113,U117)</f>
        <v>704045.74</v>
      </c>
      <c r="Y58" s="9">
        <f>SUM(Y59,Y65,Y69,Y73,Y83,Y91,Y101,Y109,Y113,Y117)</f>
        <v>143374.57</v>
      </c>
      <c r="Z58" s="9">
        <f>SUM(Z59,Z65,Z69,Z73,Z83,Z91,Z101,Z109,Z113,Z117)</f>
        <v>443330.23</v>
      </c>
      <c r="AA58" s="9">
        <f>SUM(AA59,AA65,AA69,AA73,AA83,AA91,AA101,AA109,AA113,AA117)</f>
        <v>586704.80000000005</v>
      </c>
      <c r="AD58" s="4">
        <v>341534291</v>
      </c>
      <c r="AE58" s="4">
        <v>25837353</v>
      </c>
    </row>
    <row r="59" spans="1:35" ht="54" x14ac:dyDescent="0.3">
      <c r="A59" s="38" t="s">
        <v>234</v>
      </c>
      <c r="B59" s="38" t="s">
        <v>235</v>
      </c>
      <c r="C59" s="39" t="s">
        <v>236</v>
      </c>
      <c r="D59" s="40" t="s">
        <v>237</v>
      </c>
      <c r="E59" s="40" t="s">
        <v>238</v>
      </c>
      <c r="F59" s="40" t="s">
        <v>57</v>
      </c>
      <c r="G59" s="41">
        <v>1</v>
      </c>
      <c r="H59" s="40"/>
      <c r="I59" s="42">
        <v>0</v>
      </c>
      <c r="J59" s="43">
        <v>177.36</v>
      </c>
      <c r="K59" s="43">
        <v>388</v>
      </c>
      <c r="L59" s="43">
        <f>J59+ROUND(K59, 2)</f>
        <v>565.36</v>
      </c>
      <c r="M59" s="43">
        <v>0</v>
      </c>
      <c r="N59" s="43">
        <v>0</v>
      </c>
      <c r="O59" s="43">
        <f>M59+N59</f>
        <v>0</v>
      </c>
      <c r="P59" s="43">
        <v>177.36</v>
      </c>
      <c r="Q59" s="43">
        <v>388</v>
      </c>
      <c r="R59" s="43">
        <f>P59+ROUND(Q59, 2)</f>
        <v>565.36</v>
      </c>
      <c r="S59" s="43">
        <v>0</v>
      </c>
      <c r="T59" s="43">
        <v>0</v>
      </c>
      <c r="U59" s="43">
        <f>S59+T59</f>
        <v>0</v>
      </c>
      <c r="V59" s="9">
        <f>ROUND(P59 / 1.2, 2)</f>
        <v>147.80000000000001</v>
      </c>
      <c r="W59" s="9">
        <f>ROUND(Q59 / 1.2, 2)</f>
        <v>323.33</v>
      </c>
      <c r="X59" s="9">
        <f>ROUND(R59 / 1.2, 2)</f>
        <v>471.13</v>
      </c>
      <c r="Y59" s="9">
        <f>ROUND(S59 / 1.2, 2)</f>
        <v>0</v>
      </c>
      <c r="Z59" s="9">
        <f>ROUND(T59 / 1.2, 2)</f>
        <v>0</v>
      </c>
      <c r="AA59" s="9">
        <f>Y59+Z59</f>
        <v>0</v>
      </c>
      <c r="AD59" s="4">
        <v>341534293</v>
      </c>
      <c r="AE59" s="4">
        <v>25837398</v>
      </c>
      <c r="AG59" s="4" t="s">
        <v>239</v>
      </c>
      <c r="AH59" s="4" t="s">
        <v>240</v>
      </c>
      <c r="AI59" s="4" t="s">
        <v>241</v>
      </c>
    </row>
    <row r="60" spans="1:35" ht="54" x14ac:dyDescent="0.3">
      <c r="A60" s="44" t="s">
        <v>242</v>
      </c>
      <c r="B60" s="44" t="s">
        <v>235</v>
      </c>
      <c r="C60" s="45" t="s">
        <v>236</v>
      </c>
      <c r="D60" s="46" t="s">
        <v>237</v>
      </c>
      <c r="E60" s="46" t="s">
        <v>238</v>
      </c>
      <c r="F60" s="46" t="s">
        <v>57</v>
      </c>
      <c r="G60" s="47">
        <v>1</v>
      </c>
      <c r="H60" s="46"/>
      <c r="I60" s="47">
        <v>900.7</v>
      </c>
      <c r="J60" s="48">
        <v>177.36</v>
      </c>
      <c r="K60" s="48">
        <v>388</v>
      </c>
      <c r="L60" s="48">
        <v>388</v>
      </c>
      <c r="M60" s="48">
        <v>159748.15</v>
      </c>
      <c r="N60" s="48">
        <v>349471.6</v>
      </c>
      <c r="O60" s="48"/>
      <c r="P60" s="48">
        <v>177.36</v>
      </c>
      <c r="Q60" s="48">
        <v>388</v>
      </c>
      <c r="R60" s="48">
        <v>388</v>
      </c>
      <c r="S60" s="48">
        <v>159748.15</v>
      </c>
      <c r="T60" s="48">
        <v>349471.6</v>
      </c>
      <c r="U60" s="48"/>
      <c r="V60" s="9"/>
      <c r="W60" s="9">
        <f>ROUND(Q60 / 1.2, 2)</f>
        <v>323.33</v>
      </c>
      <c r="X60" s="9">
        <f>ROUND(R60 / 1.2, 2)</f>
        <v>323.33</v>
      </c>
      <c r="Y60" s="9"/>
      <c r="Z60" s="9">
        <f>ROUND(T60 / 1.2, 2)</f>
        <v>291226.33</v>
      </c>
      <c r="AA60" s="9"/>
      <c r="AD60" s="4">
        <v>314469342</v>
      </c>
      <c r="AE60" s="4">
        <v>25837398</v>
      </c>
      <c r="AG60" s="4" t="s">
        <v>239</v>
      </c>
      <c r="AH60" s="4" t="s">
        <v>240</v>
      </c>
      <c r="AI60" s="4"/>
    </row>
    <row r="61" spans="1:35" ht="36" x14ac:dyDescent="0.3">
      <c r="A61" s="38" t="s">
        <v>243</v>
      </c>
      <c r="B61" s="38"/>
      <c r="C61" s="49" t="s">
        <v>244</v>
      </c>
      <c r="D61" s="40"/>
      <c r="E61" s="40" t="s">
        <v>245</v>
      </c>
      <c r="F61" s="50" t="s">
        <v>76</v>
      </c>
      <c r="G61" s="51">
        <v>1.6</v>
      </c>
      <c r="H61" s="40"/>
      <c r="I61" s="62">
        <v>0</v>
      </c>
      <c r="J61" s="53">
        <v>9.67</v>
      </c>
      <c r="K61" s="54"/>
      <c r="L61" s="54"/>
      <c r="M61" s="53">
        <f>ROUND(ROUND(J61, 2)*I61, 2)</f>
        <v>0</v>
      </c>
      <c r="N61" s="54"/>
      <c r="O61" s="54"/>
      <c r="P61" s="53">
        <v>9.67</v>
      </c>
      <c r="Q61" s="54"/>
      <c r="R61" s="54"/>
      <c r="S61" s="53">
        <f>ROUND(ROUND(P61, 2)*I61, 2)</f>
        <v>0</v>
      </c>
      <c r="T61" s="54"/>
      <c r="U61" s="55"/>
      <c r="V61" s="9">
        <f>ROUND(ROUND(P61, 2)/1.2, 2)</f>
        <v>8.06</v>
      </c>
      <c r="Y61" s="9">
        <f>ROUND(S61 / 1.2, 2)</f>
        <v>0</v>
      </c>
      <c r="AD61" s="4" t="s">
        <v>246</v>
      </c>
      <c r="AE61" s="4" t="s">
        <v>247</v>
      </c>
      <c r="AF61" s="4" t="s">
        <v>248</v>
      </c>
    </row>
    <row r="62" spans="1:35" ht="36" x14ac:dyDescent="0.3">
      <c r="A62" s="44" t="s">
        <v>249</v>
      </c>
      <c r="B62" s="44"/>
      <c r="C62" s="56" t="s">
        <v>244</v>
      </c>
      <c r="D62" s="46"/>
      <c r="E62" s="46" t="s">
        <v>245</v>
      </c>
      <c r="F62" s="57" t="s">
        <v>76</v>
      </c>
      <c r="G62" s="58">
        <v>1.6</v>
      </c>
      <c r="H62" s="46"/>
      <c r="I62" s="63">
        <v>14411.2</v>
      </c>
      <c r="J62" s="59">
        <v>9.67</v>
      </c>
      <c r="K62" s="60"/>
      <c r="L62" s="60"/>
      <c r="M62" s="59">
        <f>ROUND(ROUND(J62, 2)*I62, 2)</f>
        <v>139356.29999999999</v>
      </c>
      <c r="N62" s="60"/>
      <c r="O62" s="60"/>
      <c r="P62" s="59">
        <v>9.67</v>
      </c>
      <c r="Q62" s="60"/>
      <c r="R62" s="60"/>
      <c r="S62" s="59">
        <f>ROUND(ROUND(P62, 2)*I62, 2)</f>
        <v>139356.29999999999</v>
      </c>
      <c r="T62" s="60"/>
      <c r="U62" s="61"/>
      <c r="V62" s="9">
        <f>ROUND(ROUND(P62, 2)/1.2, 2)</f>
        <v>8.06</v>
      </c>
      <c r="Y62" s="9">
        <f>ROUND(S62 / 1.2, 2)</f>
        <v>116130.25</v>
      </c>
      <c r="AD62" s="4" t="s">
        <v>250</v>
      </c>
      <c r="AE62" s="4" t="s">
        <v>247</v>
      </c>
      <c r="AF62" s="4" t="s">
        <v>248</v>
      </c>
    </row>
    <row r="63" spans="1:35" ht="36" x14ac:dyDescent="0.3">
      <c r="A63" s="38" t="s">
        <v>251</v>
      </c>
      <c r="B63" s="38"/>
      <c r="C63" s="49" t="s">
        <v>252</v>
      </c>
      <c r="D63" s="40"/>
      <c r="E63" s="40"/>
      <c r="F63" s="50" t="s">
        <v>76</v>
      </c>
      <c r="G63" s="51">
        <v>0.255</v>
      </c>
      <c r="H63" s="40"/>
      <c r="I63" s="62">
        <v>0</v>
      </c>
      <c r="J63" s="53">
        <v>88.8</v>
      </c>
      <c r="K63" s="54"/>
      <c r="L63" s="54"/>
      <c r="M63" s="53">
        <f>ROUND(ROUND(J63, 2)*I63, 2)</f>
        <v>0</v>
      </c>
      <c r="N63" s="54"/>
      <c r="O63" s="54"/>
      <c r="P63" s="53">
        <v>88.8</v>
      </c>
      <c r="Q63" s="54"/>
      <c r="R63" s="54"/>
      <c r="S63" s="53">
        <f>ROUND(ROUND(P63, 2)*I63, 2)</f>
        <v>0</v>
      </c>
      <c r="T63" s="54"/>
      <c r="U63" s="55"/>
      <c r="V63" s="9">
        <f>ROUND(ROUND(P63, 2)/1.2, 2)</f>
        <v>74</v>
      </c>
      <c r="Y63" s="9">
        <f>ROUND(S63 / 1.2, 2)</f>
        <v>0</v>
      </c>
      <c r="AD63" s="4" t="s">
        <v>253</v>
      </c>
      <c r="AE63" s="4" t="s">
        <v>254</v>
      </c>
      <c r="AF63" s="4" t="s">
        <v>255</v>
      </c>
    </row>
    <row r="64" spans="1:35" ht="36" x14ac:dyDescent="0.3">
      <c r="A64" s="44" t="s">
        <v>256</v>
      </c>
      <c r="B64" s="44"/>
      <c r="C64" s="56" t="s">
        <v>252</v>
      </c>
      <c r="D64" s="46"/>
      <c r="E64" s="46"/>
      <c r="F64" s="57" t="s">
        <v>76</v>
      </c>
      <c r="G64" s="58">
        <v>0.255</v>
      </c>
      <c r="H64" s="46"/>
      <c r="I64" s="63">
        <v>229.679</v>
      </c>
      <c r="J64" s="59">
        <v>88.8</v>
      </c>
      <c r="K64" s="60"/>
      <c r="L64" s="60"/>
      <c r="M64" s="59">
        <f>ROUND(ROUND(J64, 2)*I64, 2)</f>
        <v>20395.5</v>
      </c>
      <c r="N64" s="60"/>
      <c r="O64" s="60"/>
      <c r="P64" s="59">
        <v>88.8</v>
      </c>
      <c r="Q64" s="60"/>
      <c r="R64" s="60"/>
      <c r="S64" s="59">
        <f>ROUND(ROUND(P64, 2)*I64, 2)</f>
        <v>20395.5</v>
      </c>
      <c r="T64" s="60"/>
      <c r="U64" s="61"/>
      <c r="V64" s="9">
        <f>ROUND(ROUND(P64, 2)/1.2, 2)</f>
        <v>74</v>
      </c>
      <c r="Y64" s="9">
        <f>ROUND(S64 / 1.2, 2)</f>
        <v>16996.25</v>
      </c>
      <c r="AD64" s="4" t="s">
        <v>257</v>
      </c>
      <c r="AE64" s="4" t="s">
        <v>254</v>
      </c>
      <c r="AF64" s="4" t="s">
        <v>255</v>
      </c>
    </row>
    <row r="65" spans="1:35" ht="36" x14ac:dyDescent="0.3">
      <c r="A65" s="38" t="s">
        <v>258</v>
      </c>
      <c r="B65" s="38" t="s">
        <v>259</v>
      </c>
      <c r="C65" s="39" t="s">
        <v>260</v>
      </c>
      <c r="D65" s="40"/>
      <c r="E65" s="40" t="s">
        <v>261</v>
      </c>
      <c r="F65" s="40" t="s">
        <v>57</v>
      </c>
      <c r="G65" s="41">
        <v>1</v>
      </c>
      <c r="H65" s="40"/>
      <c r="I65" s="42">
        <v>0</v>
      </c>
      <c r="J65" s="43">
        <v>51.44</v>
      </c>
      <c r="K65" s="43">
        <v>40</v>
      </c>
      <c r="L65" s="43">
        <f>J65+ROUND(K65, 2)</f>
        <v>91.44</v>
      </c>
      <c r="M65" s="43">
        <v>0</v>
      </c>
      <c r="N65" s="43">
        <v>0</v>
      </c>
      <c r="O65" s="43">
        <f>M65+N65</f>
        <v>0</v>
      </c>
      <c r="P65" s="43">
        <v>51.44</v>
      </c>
      <c r="Q65" s="43">
        <v>40</v>
      </c>
      <c r="R65" s="43">
        <f>P65+ROUND(Q65, 2)</f>
        <v>91.44</v>
      </c>
      <c r="S65" s="43">
        <v>0</v>
      </c>
      <c r="T65" s="43">
        <v>0</v>
      </c>
      <c r="U65" s="43">
        <f>S65+T65</f>
        <v>0</v>
      </c>
      <c r="V65" s="9">
        <f>ROUND(P65 / 1.2, 2)</f>
        <v>42.87</v>
      </c>
      <c r="W65" s="9">
        <f>ROUND(Q65 / 1.2, 2)</f>
        <v>33.33</v>
      </c>
      <c r="X65" s="9">
        <f>ROUND(R65 / 1.2, 2)</f>
        <v>76.2</v>
      </c>
      <c r="Y65" s="9">
        <f>ROUND(S65 / 1.2, 2)</f>
        <v>0</v>
      </c>
      <c r="Z65" s="9">
        <f>ROUND(T65 / 1.2, 2)</f>
        <v>0</v>
      </c>
      <c r="AA65" s="9">
        <f>Y65+Z65</f>
        <v>0</v>
      </c>
      <c r="AD65" s="4">
        <v>341534295</v>
      </c>
      <c r="AE65" s="4">
        <v>25837399</v>
      </c>
      <c r="AG65" s="4" t="s">
        <v>262</v>
      </c>
      <c r="AH65" s="4" t="s">
        <v>263</v>
      </c>
      <c r="AI65" s="4" t="s">
        <v>241</v>
      </c>
    </row>
    <row r="66" spans="1:35" ht="36" x14ac:dyDescent="0.3">
      <c r="A66" s="44" t="s">
        <v>264</v>
      </c>
      <c r="B66" s="44" t="s">
        <v>259</v>
      </c>
      <c r="C66" s="45" t="s">
        <v>260</v>
      </c>
      <c r="D66" s="46"/>
      <c r="E66" s="46" t="s">
        <v>261</v>
      </c>
      <c r="F66" s="46" t="s">
        <v>57</v>
      </c>
      <c r="G66" s="47">
        <v>1</v>
      </c>
      <c r="H66" s="46"/>
      <c r="I66" s="47">
        <v>362.4</v>
      </c>
      <c r="J66" s="48">
        <v>51.44</v>
      </c>
      <c r="K66" s="48">
        <v>40</v>
      </c>
      <c r="L66" s="48">
        <v>40</v>
      </c>
      <c r="M66" s="48">
        <v>18641.86</v>
      </c>
      <c r="N66" s="48">
        <v>14496</v>
      </c>
      <c r="O66" s="48"/>
      <c r="P66" s="48">
        <v>51.44</v>
      </c>
      <c r="Q66" s="48">
        <v>40</v>
      </c>
      <c r="R66" s="48">
        <v>40</v>
      </c>
      <c r="S66" s="48">
        <v>18641.86</v>
      </c>
      <c r="T66" s="48">
        <v>14496</v>
      </c>
      <c r="U66" s="48"/>
      <c r="V66" s="9"/>
      <c r="W66" s="9">
        <f>ROUND(Q66 / 1.2, 2)</f>
        <v>33.33</v>
      </c>
      <c r="X66" s="9">
        <f>ROUND(R66 / 1.2, 2)</f>
        <v>33.33</v>
      </c>
      <c r="Y66" s="9"/>
      <c r="Z66" s="9">
        <f>ROUND(T66 / 1.2, 2)</f>
        <v>12080</v>
      </c>
      <c r="AA66" s="9"/>
      <c r="AD66" s="4">
        <v>314469344</v>
      </c>
      <c r="AE66" s="4">
        <v>25837399</v>
      </c>
      <c r="AG66" s="4" t="s">
        <v>262</v>
      </c>
      <c r="AH66" s="4" t="s">
        <v>263</v>
      </c>
      <c r="AI66" s="4"/>
    </row>
    <row r="67" spans="1:35" ht="18" x14ac:dyDescent="0.3">
      <c r="A67" s="38" t="s">
        <v>265</v>
      </c>
      <c r="B67" s="38"/>
      <c r="C67" s="49" t="s">
        <v>266</v>
      </c>
      <c r="D67" s="40"/>
      <c r="E67" s="40"/>
      <c r="F67" s="50" t="s">
        <v>57</v>
      </c>
      <c r="G67" s="51">
        <v>1.1000000000000001</v>
      </c>
      <c r="H67" s="40"/>
      <c r="I67" s="52">
        <v>0</v>
      </c>
      <c r="J67" s="53">
        <v>46.76</v>
      </c>
      <c r="K67" s="54"/>
      <c r="L67" s="54"/>
      <c r="M67" s="53">
        <f>ROUND(ROUND(J67, 2)*I67, 2)</f>
        <v>0</v>
      </c>
      <c r="N67" s="54"/>
      <c r="O67" s="54"/>
      <c r="P67" s="53">
        <v>46.76</v>
      </c>
      <c r="Q67" s="54"/>
      <c r="R67" s="54"/>
      <c r="S67" s="53">
        <f>ROUND(ROUND(P67, 2)*I67, 2)</f>
        <v>0</v>
      </c>
      <c r="T67" s="54"/>
      <c r="U67" s="55"/>
      <c r="V67" s="9">
        <f>ROUND(ROUND(P67, 2)/1.2, 2)</f>
        <v>38.97</v>
      </c>
      <c r="Y67" s="9">
        <f>ROUND(S67 / 1.2, 2)</f>
        <v>0</v>
      </c>
      <c r="AD67" s="4" t="s">
        <v>267</v>
      </c>
      <c r="AE67" s="4" t="s">
        <v>268</v>
      </c>
      <c r="AF67" s="4" t="s">
        <v>269</v>
      </c>
    </row>
    <row r="68" spans="1:35" ht="18" x14ac:dyDescent="0.3">
      <c r="A68" s="44" t="s">
        <v>270</v>
      </c>
      <c r="B68" s="44"/>
      <c r="C68" s="56" t="s">
        <v>266</v>
      </c>
      <c r="D68" s="46"/>
      <c r="E68" s="46"/>
      <c r="F68" s="57" t="s">
        <v>57</v>
      </c>
      <c r="G68" s="58">
        <v>1.1000000000000001</v>
      </c>
      <c r="H68" s="46"/>
      <c r="I68" s="58">
        <v>398.64</v>
      </c>
      <c r="J68" s="59">
        <v>46.76</v>
      </c>
      <c r="K68" s="60"/>
      <c r="L68" s="60"/>
      <c r="M68" s="59">
        <f>ROUND(ROUND(J68, 2)*I68, 2)</f>
        <v>18640.41</v>
      </c>
      <c r="N68" s="60"/>
      <c r="O68" s="60"/>
      <c r="P68" s="59">
        <v>46.76</v>
      </c>
      <c r="Q68" s="60"/>
      <c r="R68" s="60"/>
      <c r="S68" s="59">
        <f>ROUND(ROUND(P68, 2)*I68, 2)</f>
        <v>18640.41</v>
      </c>
      <c r="T68" s="60"/>
      <c r="U68" s="61"/>
      <c r="V68" s="9">
        <f>ROUND(ROUND(P68, 2)/1.2, 2)</f>
        <v>38.97</v>
      </c>
      <c r="Y68" s="9">
        <f>ROUND(S68 / 1.2, 2)</f>
        <v>15533.68</v>
      </c>
      <c r="AD68" s="4" t="s">
        <v>271</v>
      </c>
      <c r="AE68" s="4" t="s">
        <v>268</v>
      </c>
      <c r="AF68" s="4" t="s">
        <v>269</v>
      </c>
    </row>
    <row r="69" spans="1:35" ht="36" x14ac:dyDescent="0.3">
      <c r="A69" s="38" t="s">
        <v>272</v>
      </c>
      <c r="B69" s="38" t="s">
        <v>259</v>
      </c>
      <c r="C69" s="39" t="s">
        <v>260</v>
      </c>
      <c r="D69" s="40"/>
      <c r="E69" s="40" t="s">
        <v>273</v>
      </c>
      <c r="F69" s="40" t="s">
        <v>57</v>
      </c>
      <c r="G69" s="41">
        <v>1</v>
      </c>
      <c r="H69" s="40"/>
      <c r="I69" s="42">
        <v>0</v>
      </c>
      <c r="J69" s="43">
        <v>51.44</v>
      </c>
      <c r="K69" s="43">
        <v>40</v>
      </c>
      <c r="L69" s="43">
        <f>J69+ROUND(K69, 2)</f>
        <v>91.44</v>
      </c>
      <c r="M69" s="43">
        <v>0</v>
      </c>
      <c r="N69" s="43">
        <v>0</v>
      </c>
      <c r="O69" s="43">
        <f>M69+N69</f>
        <v>0</v>
      </c>
      <c r="P69" s="43">
        <v>51.44</v>
      </c>
      <c r="Q69" s="43">
        <v>40</v>
      </c>
      <c r="R69" s="43">
        <f>P69+ROUND(Q69, 2)</f>
        <v>91.44</v>
      </c>
      <c r="S69" s="43">
        <v>0</v>
      </c>
      <c r="T69" s="43">
        <v>0</v>
      </c>
      <c r="U69" s="43">
        <f>S69+T69</f>
        <v>0</v>
      </c>
      <c r="V69" s="9">
        <f>ROUND(P69 / 1.2, 2)</f>
        <v>42.87</v>
      </c>
      <c r="W69" s="9">
        <f>ROUND(Q69 / 1.2, 2)</f>
        <v>33.33</v>
      </c>
      <c r="X69" s="9">
        <f>ROUND(R69 / 1.2, 2)</f>
        <v>76.2</v>
      </c>
      <c r="Y69" s="9">
        <f>ROUND(S69 / 1.2, 2)</f>
        <v>0</v>
      </c>
      <c r="Z69" s="9">
        <f>ROUND(T69 / 1.2, 2)</f>
        <v>0</v>
      </c>
      <c r="AA69" s="9">
        <f>Y69+Z69</f>
        <v>0</v>
      </c>
      <c r="AD69" s="4">
        <v>341534364</v>
      </c>
      <c r="AE69" s="4">
        <v>25837374</v>
      </c>
      <c r="AG69" s="4" t="s">
        <v>262</v>
      </c>
      <c r="AH69" s="4" t="s">
        <v>263</v>
      </c>
      <c r="AI69" s="4" t="s">
        <v>241</v>
      </c>
    </row>
    <row r="70" spans="1:35" ht="36" x14ac:dyDescent="0.3">
      <c r="A70" s="44" t="s">
        <v>274</v>
      </c>
      <c r="B70" s="44" t="s">
        <v>259</v>
      </c>
      <c r="C70" s="45" t="s">
        <v>260</v>
      </c>
      <c r="D70" s="46"/>
      <c r="E70" s="46" t="s">
        <v>273</v>
      </c>
      <c r="F70" s="46" t="s">
        <v>57</v>
      </c>
      <c r="G70" s="47">
        <v>1</v>
      </c>
      <c r="H70" s="46"/>
      <c r="I70" s="47">
        <v>148.1</v>
      </c>
      <c r="J70" s="48">
        <v>51.44</v>
      </c>
      <c r="K70" s="48">
        <v>40</v>
      </c>
      <c r="L70" s="48">
        <v>40</v>
      </c>
      <c r="M70" s="48">
        <v>7618.26</v>
      </c>
      <c r="N70" s="48">
        <v>5924</v>
      </c>
      <c r="O70" s="48"/>
      <c r="P70" s="48">
        <v>51.44</v>
      </c>
      <c r="Q70" s="48">
        <v>40</v>
      </c>
      <c r="R70" s="48">
        <v>40</v>
      </c>
      <c r="S70" s="48">
        <v>7618.26</v>
      </c>
      <c r="T70" s="48">
        <v>5924</v>
      </c>
      <c r="U70" s="48"/>
      <c r="V70" s="9"/>
      <c r="W70" s="9">
        <f>ROUND(Q70 / 1.2, 2)</f>
        <v>33.33</v>
      </c>
      <c r="X70" s="9">
        <f>ROUND(R70 / 1.2, 2)</f>
        <v>33.33</v>
      </c>
      <c r="Y70" s="9"/>
      <c r="Z70" s="9">
        <f>ROUND(T70 / 1.2, 2)</f>
        <v>4936.67</v>
      </c>
      <c r="AA70" s="9"/>
      <c r="AD70" s="4">
        <v>314469345</v>
      </c>
      <c r="AE70" s="4">
        <v>25837374</v>
      </c>
      <c r="AG70" s="4" t="s">
        <v>262</v>
      </c>
      <c r="AH70" s="4" t="s">
        <v>263</v>
      </c>
      <c r="AI70" s="4"/>
    </row>
    <row r="71" spans="1:35" ht="18" x14ac:dyDescent="0.3">
      <c r="A71" s="38" t="s">
        <v>275</v>
      </c>
      <c r="B71" s="38"/>
      <c r="C71" s="49" t="s">
        <v>266</v>
      </c>
      <c r="D71" s="40"/>
      <c r="E71" s="40"/>
      <c r="F71" s="50" t="s">
        <v>57</v>
      </c>
      <c r="G71" s="51">
        <v>1.1000000000000001</v>
      </c>
      <c r="H71" s="40"/>
      <c r="I71" s="52">
        <v>0</v>
      </c>
      <c r="J71" s="53">
        <v>46.76</v>
      </c>
      <c r="K71" s="54"/>
      <c r="L71" s="54"/>
      <c r="M71" s="53">
        <f>ROUND(ROUND(J71, 2)*I71, 2)</f>
        <v>0</v>
      </c>
      <c r="N71" s="54"/>
      <c r="O71" s="54"/>
      <c r="P71" s="53">
        <v>46.76</v>
      </c>
      <c r="Q71" s="54"/>
      <c r="R71" s="54"/>
      <c r="S71" s="53">
        <f>ROUND(ROUND(P71, 2)*I71, 2)</f>
        <v>0</v>
      </c>
      <c r="T71" s="54"/>
      <c r="U71" s="55"/>
      <c r="V71" s="9">
        <f>ROUND(ROUND(P71, 2)/1.2, 2)</f>
        <v>38.97</v>
      </c>
      <c r="Y71" s="9">
        <f>ROUND(S71 / 1.2, 2)</f>
        <v>0</v>
      </c>
      <c r="AD71" s="4" t="s">
        <v>276</v>
      </c>
      <c r="AE71" s="4" t="s">
        <v>277</v>
      </c>
      <c r="AF71" s="4" t="s">
        <v>269</v>
      </c>
    </row>
    <row r="72" spans="1:35" ht="18" x14ac:dyDescent="0.3">
      <c r="A72" s="44" t="s">
        <v>278</v>
      </c>
      <c r="B72" s="44"/>
      <c r="C72" s="56" t="s">
        <v>266</v>
      </c>
      <c r="D72" s="46"/>
      <c r="E72" s="46"/>
      <c r="F72" s="57" t="s">
        <v>57</v>
      </c>
      <c r="G72" s="58">
        <v>1.1000000000000001</v>
      </c>
      <c r="H72" s="46"/>
      <c r="I72" s="58">
        <v>162.91</v>
      </c>
      <c r="J72" s="59">
        <v>46.76</v>
      </c>
      <c r="K72" s="60"/>
      <c r="L72" s="60"/>
      <c r="M72" s="59">
        <f>ROUND(ROUND(J72, 2)*I72, 2)</f>
        <v>7617.67</v>
      </c>
      <c r="N72" s="60"/>
      <c r="O72" s="60"/>
      <c r="P72" s="59">
        <v>46.76</v>
      </c>
      <c r="Q72" s="60"/>
      <c r="R72" s="60"/>
      <c r="S72" s="59">
        <f>ROUND(ROUND(P72, 2)*I72, 2)</f>
        <v>7617.67</v>
      </c>
      <c r="T72" s="60"/>
      <c r="U72" s="61"/>
      <c r="V72" s="9">
        <f>ROUND(ROUND(P72, 2)/1.2, 2)</f>
        <v>38.97</v>
      </c>
      <c r="Y72" s="9">
        <f>ROUND(S72 / 1.2, 2)</f>
        <v>6348.06</v>
      </c>
      <c r="AD72" s="4" t="s">
        <v>279</v>
      </c>
      <c r="AE72" s="4" t="s">
        <v>277</v>
      </c>
      <c r="AF72" s="4" t="s">
        <v>269</v>
      </c>
    </row>
    <row r="73" spans="1:35" ht="36" x14ac:dyDescent="0.3">
      <c r="A73" s="38" t="s">
        <v>280</v>
      </c>
      <c r="B73" s="38" t="s">
        <v>281</v>
      </c>
      <c r="C73" s="39" t="s">
        <v>282</v>
      </c>
      <c r="D73" s="40"/>
      <c r="E73" s="40" t="s">
        <v>283</v>
      </c>
      <c r="F73" s="40" t="s">
        <v>57</v>
      </c>
      <c r="G73" s="41">
        <v>1</v>
      </c>
      <c r="H73" s="40"/>
      <c r="I73" s="42">
        <v>0</v>
      </c>
      <c r="J73" s="43">
        <v>861.67</v>
      </c>
      <c r="K73" s="43">
        <v>855</v>
      </c>
      <c r="L73" s="43">
        <f>J73+ROUND(K73, 2)</f>
        <v>1716.67</v>
      </c>
      <c r="M73" s="43">
        <v>0</v>
      </c>
      <c r="N73" s="43">
        <v>0</v>
      </c>
      <c r="O73" s="43">
        <f>M73+N73</f>
        <v>0</v>
      </c>
      <c r="P73" s="43">
        <v>861.67</v>
      </c>
      <c r="Q73" s="43">
        <v>855</v>
      </c>
      <c r="R73" s="43">
        <f>P73+ROUND(Q73, 2)</f>
        <v>1716.67</v>
      </c>
      <c r="S73" s="43">
        <v>0</v>
      </c>
      <c r="T73" s="43">
        <v>0</v>
      </c>
      <c r="U73" s="43">
        <f>S73+T73</f>
        <v>0</v>
      </c>
      <c r="V73" s="9">
        <f>ROUND(P73 / 1.2, 2)</f>
        <v>718.06</v>
      </c>
      <c r="W73" s="9">
        <f>ROUND(Q73 / 1.2, 2)</f>
        <v>712.5</v>
      </c>
      <c r="X73" s="9">
        <f>ROUND(R73 / 1.2, 2)</f>
        <v>1430.56</v>
      </c>
      <c r="Y73" s="9">
        <f>ROUND(S73 / 1.2, 2)</f>
        <v>0</v>
      </c>
      <c r="Z73" s="9">
        <f>ROUND(T73 / 1.2, 2)</f>
        <v>0</v>
      </c>
      <c r="AA73" s="9">
        <f>Y73+Z73</f>
        <v>0</v>
      </c>
      <c r="AD73" s="4">
        <v>341534297</v>
      </c>
      <c r="AE73" s="4">
        <v>25837394</v>
      </c>
      <c r="AG73" s="4" t="s">
        <v>284</v>
      </c>
      <c r="AH73" s="4" t="s">
        <v>285</v>
      </c>
      <c r="AI73" s="4" t="s">
        <v>241</v>
      </c>
    </row>
    <row r="74" spans="1:35" ht="36" x14ac:dyDescent="0.3">
      <c r="A74" s="44" t="s">
        <v>286</v>
      </c>
      <c r="B74" s="44" t="s">
        <v>281</v>
      </c>
      <c r="C74" s="45" t="s">
        <v>282</v>
      </c>
      <c r="D74" s="46"/>
      <c r="E74" s="46" t="s">
        <v>283</v>
      </c>
      <c r="F74" s="46" t="s">
        <v>57</v>
      </c>
      <c r="G74" s="47">
        <v>1</v>
      </c>
      <c r="H74" s="46"/>
      <c r="I74" s="47">
        <v>538.29999999999995</v>
      </c>
      <c r="J74" s="48">
        <v>861.67</v>
      </c>
      <c r="K74" s="48">
        <v>855</v>
      </c>
      <c r="L74" s="48">
        <v>855</v>
      </c>
      <c r="M74" s="48">
        <v>463836.96</v>
      </c>
      <c r="N74" s="48">
        <v>460246.5</v>
      </c>
      <c r="O74" s="48"/>
      <c r="P74" s="48">
        <v>861.67</v>
      </c>
      <c r="Q74" s="48">
        <v>855</v>
      </c>
      <c r="R74" s="48">
        <v>855</v>
      </c>
      <c r="S74" s="48">
        <v>463836.96</v>
      </c>
      <c r="T74" s="48">
        <v>460246.5</v>
      </c>
      <c r="U74" s="48"/>
      <c r="V74" s="9"/>
      <c r="W74" s="9">
        <f>ROUND(Q74 / 1.2, 2)</f>
        <v>712.5</v>
      </c>
      <c r="X74" s="9">
        <f>ROUND(R74 / 1.2, 2)</f>
        <v>712.5</v>
      </c>
      <c r="Y74" s="9"/>
      <c r="Z74" s="9">
        <f>ROUND(T74 / 1.2, 2)</f>
        <v>383538.75</v>
      </c>
      <c r="AA74" s="9"/>
      <c r="AD74" s="4">
        <v>314469347</v>
      </c>
      <c r="AE74" s="4">
        <v>25837394</v>
      </c>
      <c r="AG74" s="4" t="s">
        <v>284</v>
      </c>
      <c r="AH74" s="4" t="s">
        <v>285</v>
      </c>
      <c r="AI74" s="4"/>
    </row>
    <row r="75" spans="1:35" ht="18" x14ac:dyDescent="0.3">
      <c r="A75" s="38" t="s">
        <v>287</v>
      </c>
      <c r="B75" s="38"/>
      <c r="C75" s="49" t="s">
        <v>288</v>
      </c>
      <c r="D75" s="40"/>
      <c r="E75" s="40" t="s">
        <v>289</v>
      </c>
      <c r="F75" s="50" t="s">
        <v>76</v>
      </c>
      <c r="G75" s="51">
        <v>1.8</v>
      </c>
      <c r="H75" s="40"/>
      <c r="I75" s="62">
        <v>0</v>
      </c>
      <c r="J75" s="53">
        <v>6.17</v>
      </c>
      <c r="K75" s="54"/>
      <c r="L75" s="54"/>
      <c r="M75" s="53">
        <f t="shared" ref="M75:M82" si="11">ROUND(ROUND(J75, 2)*I75, 2)</f>
        <v>0</v>
      </c>
      <c r="N75" s="54"/>
      <c r="O75" s="54"/>
      <c r="P75" s="53">
        <v>6.17</v>
      </c>
      <c r="Q75" s="54"/>
      <c r="R75" s="54"/>
      <c r="S75" s="53">
        <f t="shared" ref="S75:S82" si="12">ROUND(ROUND(P75, 2)*I75, 2)</f>
        <v>0</v>
      </c>
      <c r="T75" s="54"/>
      <c r="U75" s="55"/>
      <c r="V75" s="9">
        <f t="shared" ref="V75:V82" si="13">ROUND(ROUND(P75, 2)/1.2, 2)</f>
        <v>5.14</v>
      </c>
      <c r="Y75" s="9">
        <f t="shared" ref="Y75:Y83" si="14">ROUND(S75 / 1.2, 2)</f>
        <v>0</v>
      </c>
      <c r="AD75" s="4" t="s">
        <v>290</v>
      </c>
      <c r="AE75" s="4" t="s">
        <v>291</v>
      </c>
      <c r="AF75" s="4" t="s">
        <v>292</v>
      </c>
    </row>
    <row r="76" spans="1:35" ht="18" x14ac:dyDescent="0.3">
      <c r="A76" s="44" t="s">
        <v>293</v>
      </c>
      <c r="B76" s="44"/>
      <c r="C76" s="56" t="s">
        <v>288</v>
      </c>
      <c r="D76" s="46"/>
      <c r="E76" s="46" t="s">
        <v>289</v>
      </c>
      <c r="F76" s="57" t="s">
        <v>76</v>
      </c>
      <c r="G76" s="58">
        <v>1.8</v>
      </c>
      <c r="H76" s="46"/>
      <c r="I76" s="63">
        <v>57167.46</v>
      </c>
      <c r="J76" s="59">
        <v>6.17</v>
      </c>
      <c r="K76" s="60"/>
      <c r="L76" s="60"/>
      <c r="M76" s="59">
        <f t="shared" si="11"/>
        <v>352723.23</v>
      </c>
      <c r="N76" s="60"/>
      <c r="O76" s="60"/>
      <c r="P76" s="59">
        <v>6.17</v>
      </c>
      <c r="Q76" s="60"/>
      <c r="R76" s="60"/>
      <c r="S76" s="59">
        <f t="shared" si="12"/>
        <v>352723.23</v>
      </c>
      <c r="T76" s="60"/>
      <c r="U76" s="61"/>
      <c r="V76" s="9">
        <f t="shared" si="13"/>
        <v>5.14</v>
      </c>
      <c r="Y76" s="9">
        <f t="shared" si="14"/>
        <v>293936.03000000003</v>
      </c>
      <c r="AD76" s="4" t="s">
        <v>294</v>
      </c>
      <c r="AE76" s="4" t="s">
        <v>291</v>
      </c>
      <c r="AF76" s="4" t="s">
        <v>292</v>
      </c>
    </row>
    <row r="77" spans="1:35" ht="18" x14ac:dyDescent="0.3">
      <c r="A77" s="38" t="s">
        <v>295</v>
      </c>
      <c r="B77" s="38"/>
      <c r="C77" s="49" t="s">
        <v>296</v>
      </c>
      <c r="D77" s="40"/>
      <c r="E77" s="40"/>
      <c r="F77" s="50" t="s">
        <v>57</v>
      </c>
      <c r="G77" s="51">
        <v>1.1000000000000001</v>
      </c>
      <c r="H77" s="40"/>
      <c r="I77" s="62">
        <v>0</v>
      </c>
      <c r="J77" s="53">
        <v>155.01</v>
      </c>
      <c r="K77" s="54"/>
      <c r="L77" s="54"/>
      <c r="M77" s="53">
        <f t="shared" si="11"/>
        <v>0</v>
      </c>
      <c r="N77" s="54"/>
      <c r="O77" s="54"/>
      <c r="P77" s="53">
        <v>155.01</v>
      </c>
      <c r="Q77" s="54"/>
      <c r="R77" s="54"/>
      <c r="S77" s="53">
        <f t="shared" si="12"/>
        <v>0</v>
      </c>
      <c r="T77" s="54"/>
      <c r="U77" s="55"/>
      <c r="V77" s="9">
        <f t="shared" si="13"/>
        <v>129.18</v>
      </c>
      <c r="Y77" s="9">
        <f t="shared" si="14"/>
        <v>0</v>
      </c>
      <c r="AD77" s="4" t="s">
        <v>297</v>
      </c>
      <c r="AE77" s="4" t="s">
        <v>298</v>
      </c>
      <c r="AF77" s="4" t="s">
        <v>299</v>
      </c>
    </row>
    <row r="78" spans="1:35" ht="18" x14ac:dyDescent="0.3">
      <c r="A78" s="44" t="s">
        <v>300</v>
      </c>
      <c r="B78" s="44"/>
      <c r="C78" s="56" t="s">
        <v>296</v>
      </c>
      <c r="D78" s="46"/>
      <c r="E78" s="46"/>
      <c r="F78" s="57" t="s">
        <v>57</v>
      </c>
      <c r="G78" s="58">
        <v>1.1000000000000001</v>
      </c>
      <c r="H78" s="46"/>
      <c r="I78" s="63">
        <v>592.13</v>
      </c>
      <c r="J78" s="59">
        <v>155.01</v>
      </c>
      <c r="K78" s="60"/>
      <c r="L78" s="60"/>
      <c r="M78" s="59">
        <f t="shared" si="11"/>
        <v>91786.07</v>
      </c>
      <c r="N78" s="60"/>
      <c r="O78" s="60"/>
      <c r="P78" s="59">
        <v>155.01</v>
      </c>
      <c r="Q78" s="60"/>
      <c r="R78" s="60"/>
      <c r="S78" s="59">
        <f t="shared" si="12"/>
        <v>91786.07</v>
      </c>
      <c r="T78" s="60"/>
      <c r="U78" s="61"/>
      <c r="V78" s="9">
        <f t="shared" si="13"/>
        <v>129.18</v>
      </c>
      <c r="Y78" s="9">
        <f t="shared" si="14"/>
        <v>76488.39</v>
      </c>
      <c r="AD78" s="4" t="s">
        <v>301</v>
      </c>
      <c r="AE78" s="4" t="s">
        <v>298</v>
      </c>
      <c r="AF78" s="4" t="s">
        <v>299</v>
      </c>
    </row>
    <row r="79" spans="1:35" ht="18" x14ac:dyDescent="0.3">
      <c r="A79" s="38" t="s">
        <v>302</v>
      </c>
      <c r="B79" s="38"/>
      <c r="C79" s="49" t="s">
        <v>303</v>
      </c>
      <c r="D79" s="40"/>
      <c r="E79" s="40"/>
      <c r="F79" s="50" t="s">
        <v>123</v>
      </c>
      <c r="G79" s="51">
        <v>1</v>
      </c>
      <c r="H79" s="40"/>
      <c r="I79" s="62">
        <v>0</v>
      </c>
      <c r="J79" s="53">
        <v>10.4</v>
      </c>
      <c r="K79" s="54"/>
      <c r="L79" s="54"/>
      <c r="M79" s="53">
        <f t="shared" si="11"/>
        <v>0</v>
      </c>
      <c r="N79" s="54"/>
      <c r="O79" s="54"/>
      <c r="P79" s="53">
        <v>10.4</v>
      </c>
      <c r="Q79" s="54"/>
      <c r="R79" s="54"/>
      <c r="S79" s="53">
        <f t="shared" si="12"/>
        <v>0</v>
      </c>
      <c r="T79" s="54"/>
      <c r="U79" s="55"/>
      <c r="V79" s="9">
        <f t="shared" si="13"/>
        <v>8.67</v>
      </c>
      <c r="Y79" s="9">
        <f t="shared" si="14"/>
        <v>0</v>
      </c>
      <c r="AD79" s="4" t="s">
        <v>304</v>
      </c>
      <c r="AE79" s="4" t="s">
        <v>305</v>
      </c>
      <c r="AF79" s="4" t="s">
        <v>306</v>
      </c>
    </row>
    <row r="80" spans="1:35" ht="18" x14ac:dyDescent="0.3">
      <c r="A80" s="44" t="s">
        <v>307</v>
      </c>
      <c r="B80" s="44"/>
      <c r="C80" s="56" t="s">
        <v>303</v>
      </c>
      <c r="D80" s="46"/>
      <c r="E80" s="46"/>
      <c r="F80" s="57" t="s">
        <v>123</v>
      </c>
      <c r="G80" s="58">
        <v>1</v>
      </c>
      <c r="H80" s="46"/>
      <c r="I80" s="63">
        <v>538.29999999999995</v>
      </c>
      <c r="J80" s="59">
        <v>10.4</v>
      </c>
      <c r="K80" s="60"/>
      <c r="L80" s="60"/>
      <c r="M80" s="59">
        <f t="shared" si="11"/>
        <v>5598.32</v>
      </c>
      <c r="N80" s="60"/>
      <c r="O80" s="60"/>
      <c r="P80" s="59">
        <v>10.4</v>
      </c>
      <c r="Q80" s="60"/>
      <c r="R80" s="60"/>
      <c r="S80" s="59">
        <f t="shared" si="12"/>
        <v>5598.32</v>
      </c>
      <c r="T80" s="60"/>
      <c r="U80" s="61"/>
      <c r="V80" s="9">
        <f t="shared" si="13"/>
        <v>8.67</v>
      </c>
      <c r="Y80" s="9">
        <f t="shared" si="14"/>
        <v>4665.2700000000004</v>
      </c>
      <c r="AD80" s="4" t="s">
        <v>308</v>
      </c>
      <c r="AE80" s="4" t="s">
        <v>305</v>
      </c>
      <c r="AF80" s="4" t="s">
        <v>306</v>
      </c>
    </row>
    <row r="81" spans="1:35" ht="18" x14ac:dyDescent="0.3">
      <c r="A81" s="38" t="s">
        <v>309</v>
      </c>
      <c r="B81" s="38"/>
      <c r="C81" s="49" t="s">
        <v>310</v>
      </c>
      <c r="D81" s="40"/>
      <c r="E81" s="40"/>
      <c r="F81" s="50" t="s">
        <v>76</v>
      </c>
      <c r="G81" s="51">
        <v>0.255</v>
      </c>
      <c r="H81" s="40"/>
      <c r="I81" s="52">
        <v>0</v>
      </c>
      <c r="J81" s="53">
        <v>100</v>
      </c>
      <c r="K81" s="54"/>
      <c r="L81" s="54"/>
      <c r="M81" s="53">
        <f t="shared" si="11"/>
        <v>0</v>
      </c>
      <c r="N81" s="54"/>
      <c r="O81" s="54"/>
      <c r="P81" s="53">
        <v>100</v>
      </c>
      <c r="Q81" s="54"/>
      <c r="R81" s="54"/>
      <c r="S81" s="53">
        <f t="shared" si="12"/>
        <v>0</v>
      </c>
      <c r="T81" s="54"/>
      <c r="U81" s="55"/>
      <c r="V81" s="9">
        <f t="shared" si="13"/>
        <v>83.33</v>
      </c>
      <c r="Y81" s="9">
        <f t="shared" si="14"/>
        <v>0</v>
      </c>
      <c r="AD81" s="4" t="s">
        <v>311</v>
      </c>
      <c r="AE81" s="4" t="s">
        <v>312</v>
      </c>
      <c r="AF81" s="4" t="s">
        <v>313</v>
      </c>
    </row>
    <row r="82" spans="1:35" ht="18" x14ac:dyDescent="0.3">
      <c r="A82" s="44" t="s">
        <v>314</v>
      </c>
      <c r="B82" s="44"/>
      <c r="C82" s="56" t="s">
        <v>310</v>
      </c>
      <c r="D82" s="46"/>
      <c r="E82" s="46"/>
      <c r="F82" s="57" t="s">
        <v>76</v>
      </c>
      <c r="G82" s="58">
        <v>0.255</v>
      </c>
      <c r="H82" s="46"/>
      <c r="I82" s="58">
        <v>137.267</v>
      </c>
      <c r="J82" s="59">
        <v>100</v>
      </c>
      <c r="K82" s="60"/>
      <c r="L82" s="60"/>
      <c r="M82" s="59">
        <f t="shared" si="11"/>
        <v>13726.7</v>
      </c>
      <c r="N82" s="60"/>
      <c r="O82" s="60"/>
      <c r="P82" s="59">
        <v>100</v>
      </c>
      <c r="Q82" s="60"/>
      <c r="R82" s="60"/>
      <c r="S82" s="59">
        <f t="shared" si="12"/>
        <v>13726.7</v>
      </c>
      <c r="T82" s="60"/>
      <c r="U82" s="61"/>
      <c r="V82" s="9">
        <f t="shared" si="13"/>
        <v>83.33</v>
      </c>
      <c r="Y82" s="9">
        <f t="shared" si="14"/>
        <v>11438.92</v>
      </c>
      <c r="AD82" s="4" t="s">
        <v>315</v>
      </c>
      <c r="AE82" s="4" t="s">
        <v>312</v>
      </c>
      <c r="AF82" s="4" t="s">
        <v>313</v>
      </c>
    </row>
    <row r="83" spans="1:35" ht="36" x14ac:dyDescent="0.3">
      <c r="A83" s="38" t="s">
        <v>316</v>
      </c>
      <c r="B83" s="38" t="s">
        <v>317</v>
      </c>
      <c r="C83" s="39" t="s">
        <v>318</v>
      </c>
      <c r="D83" s="40"/>
      <c r="E83" s="40" t="s">
        <v>319</v>
      </c>
      <c r="F83" s="40" t="s">
        <v>57</v>
      </c>
      <c r="G83" s="41">
        <v>1</v>
      </c>
      <c r="H83" s="40"/>
      <c r="I83" s="42">
        <v>0</v>
      </c>
      <c r="J83" s="43">
        <v>891.7</v>
      </c>
      <c r="K83" s="43">
        <v>922</v>
      </c>
      <c r="L83" s="43">
        <f>J83+ROUND(K83, 2)</f>
        <v>1813.7</v>
      </c>
      <c r="M83" s="43">
        <v>0</v>
      </c>
      <c r="N83" s="43">
        <v>0</v>
      </c>
      <c r="O83" s="43">
        <f>M83+N83</f>
        <v>0</v>
      </c>
      <c r="P83" s="43">
        <v>891.7</v>
      </c>
      <c r="Q83" s="43">
        <v>922</v>
      </c>
      <c r="R83" s="43">
        <f>P83+ROUND(Q83, 2)</f>
        <v>1813.7</v>
      </c>
      <c r="S83" s="43">
        <v>0</v>
      </c>
      <c r="T83" s="43">
        <v>0</v>
      </c>
      <c r="U83" s="43">
        <f>S83+T83</f>
        <v>0</v>
      </c>
      <c r="V83" s="9">
        <f>ROUND(P83 / 1.2, 2)</f>
        <v>743.08</v>
      </c>
      <c r="W83" s="9">
        <f>ROUND(Q83 / 1.2, 2)</f>
        <v>768.33</v>
      </c>
      <c r="X83" s="9">
        <f>ROUND(R83 / 1.2, 2)</f>
        <v>1511.42</v>
      </c>
      <c r="Y83" s="9">
        <f t="shared" si="14"/>
        <v>0</v>
      </c>
      <c r="Z83" s="9">
        <f>ROUND(T83 / 1.2, 2)</f>
        <v>0</v>
      </c>
      <c r="AA83" s="9">
        <f>Y83+Z83</f>
        <v>0</v>
      </c>
      <c r="AD83" s="4">
        <v>341534298</v>
      </c>
      <c r="AE83" s="4">
        <v>25837393</v>
      </c>
      <c r="AG83" s="4" t="s">
        <v>320</v>
      </c>
      <c r="AH83" s="4" t="s">
        <v>321</v>
      </c>
      <c r="AI83" s="4" t="s">
        <v>241</v>
      </c>
    </row>
    <row r="84" spans="1:35" ht="36" x14ac:dyDescent="0.3">
      <c r="A84" s="44" t="s">
        <v>322</v>
      </c>
      <c r="B84" s="44" t="s">
        <v>317</v>
      </c>
      <c r="C84" s="45" t="s">
        <v>318</v>
      </c>
      <c r="D84" s="46"/>
      <c r="E84" s="46" t="s">
        <v>319</v>
      </c>
      <c r="F84" s="46" t="s">
        <v>57</v>
      </c>
      <c r="G84" s="47">
        <v>1</v>
      </c>
      <c r="H84" s="46"/>
      <c r="I84" s="47">
        <v>362.4</v>
      </c>
      <c r="J84" s="48">
        <v>891.7</v>
      </c>
      <c r="K84" s="48">
        <v>922</v>
      </c>
      <c r="L84" s="48">
        <v>922</v>
      </c>
      <c r="M84" s="48">
        <v>323152.08</v>
      </c>
      <c r="N84" s="48">
        <v>334132.8</v>
      </c>
      <c r="O84" s="48"/>
      <c r="P84" s="48">
        <v>891.7</v>
      </c>
      <c r="Q84" s="48">
        <v>922</v>
      </c>
      <c r="R84" s="48">
        <v>922</v>
      </c>
      <c r="S84" s="48">
        <v>323152.08</v>
      </c>
      <c r="T84" s="48">
        <v>334132.8</v>
      </c>
      <c r="U84" s="48"/>
      <c r="V84" s="9"/>
      <c r="W84" s="9">
        <f>ROUND(Q84 / 1.2, 2)</f>
        <v>768.33</v>
      </c>
      <c r="X84" s="9">
        <f>ROUND(R84 / 1.2, 2)</f>
        <v>768.33</v>
      </c>
      <c r="Y84" s="9"/>
      <c r="Z84" s="9">
        <f>ROUND(T84 / 1.2, 2)</f>
        <v>278444</v>
      </c>
      <c r="AA84" s="9"/>
      <c r="AD84" s="4">
        <v>314469348</v>
      </c>
      <c r="AE84" s="4">
        <v>25837393</v>
      </c>
      <c r="AG84" s="4" t="s">
        <v>320</v>
      </c>
      <c r="AH84" s="4" t="s">
        <v>321</v>
      </c>
      <c r="AI84" s="4"/>
    </row>
    <row r="85" spans="1:35" ht="18" x14ac:dyDescent="0.3">
      <c r="A85" s="38" t="s">
        <v>323</v>
      </c>
      <c r="B85" s="38"/>
      <c r="C85" s="49" t="s">
        <v>288</v>
      </c>
      <c r="D85" s="40"/>
      <c r="E85" s="40" t="s">
        <v>324</v>
      </c>
      <c r="F85" s="50" t="s">
        <v>76</v>
      </c>
      <c r="G85" s="51">
        <v>1.8</v>
      </c>
      <c r="H85" s="40"/>
      <c r="I85" s="62">
        <v>0</v>
      </c>
      <c r="J85" s="53">
        <v>6.17</v>
      </c>
      <c r="K85" s="54"/>
      <c r="L85" s="54"/>
      <c r="M85" s="53">
        <f t="shared" ref="M85:M90" si="15">ROUND(ROUND(J85, 2)*I85, 2)</f>
        <v>0</v>
      </c>
      <c r="N85" s="54"/>
      <c r="O85" s="54"/>
      <c r="P85" s="53">
        <v>6.17</v>
      </c>
      <c r="Q85" s="54"/>
      <c r="R85" s="54"/>
      <c r="S85" s="53">
        <f t="shared" ref="S85:S90" si="16">ROUND(ROUND(P85, 2)*I85, 2)</f>
        <v>0</v>
      </c>
      <c r="T85" s="54"/>
      <c r="U85" s="55"/>
      <c r="V85" s="9">
        <f t="shared" ref="V85:V90" si="17">ROUND(ROUND(P85, 2)/1.2, 2)</f>
        <v>5.14</v>
      </c>
      <c r="Y85" s="9">
        <f t="shared" ref="Y85:Y91" si="18">ROUND(S85 / 1.2, 2)</f>
        <v>0</v>
      </c>
      <c r="AD85" s="4" t="s">
        <v>325</v>
      </c>
      <c r="AE85" s="4" t="s">
        <v>326</v>
      </c>
      <c r="AF85" s="4" t="s">
        <v>292</v>
      </c>
    </row>
    <row r="86" spans="1:35" ht="18" x14ac:dyDescent="0.3">
      <c r="A86" s="44" t="s">
        <v>327</v>
      </c>
      <c r="B86" s="44"/>
      <c r="C86" s="56" t="s">
        <v>288</v>
      </c>
      <c r="D86" s="46"/>
      <c r="E86" s="46" t="s">
        <v>324</v>
      </c>
      <c r="F86" s="57" t="s">
        <v>76</v>
      </c>
      <c r="G86" s="58">
        <v>1.8</v>
      </c>
      <c r="H86" s="46"/>
      <c r="I86" s="63">
        <v>41748.480000000003</v>
      </c>
      <c r="J86" s="59">
        <v>6.17</v>
      </c>
      <c r="K86" s="60"/>
      <c r="L86" s="60"/>
      <c r="M86" s="59">
        <f t="shared" si="15"/>
        <v>257588.12</v>
      </c>
      <c r="N86" s="60"/>
      <c r="O86" s="60"/>
      <c r="P86" s="59">
        <v>6.17</v>
      </c>
      <c r="Q86" s="60"/>
      <c r="R86" s="60"/>
      <c r="S86" s="59">
        <f t="shared" si="16"/>
        <v>257588.12</v>
      </c>
      <c r="T86" s="60"/>
      <c r="U86" s="61"/>
      <c r="V86" s="9">
        <f t="shared" si="17"/>
        <v>5.14</v>
      </c>
      <c r="Y86" s="9">
        <f t="shared" si="18"/>
        <v>214656.77</v>
      </c>
      <c r="AD86" s="4" t="s">
        <v>328</v>
      </c>
      <c r="AE86" s="4" t="s">
        <v>326</v>
      </c>
      <c r="AF86" s="4" t="s">
        <v>292</v>
      </c>
    </row>
    <row r="87" spans="1:35" ht="18" x14ac:dyDescent="0.3">
      <c r="A87" s="38" t="s">
        <v>329</v>
      </c>
      <c r="B87" s="38"/>
      <c r="C87" s="49" t="s">
        <v>296</v>
      </c>
      <c r="D87" s="40"/>
      <c r="E87" s="40"/>
      <c r="F87" s="50" t="s">
        <v>57</v>
      </c>
      <c r="G87" s="51">
        <v>1.1000000000000001</v>
      </c>
      <c r="H87" s="40"/>
      <c r="I87" s="62">
        <v>0</v>
      </c>
      <c r="J87" s="53">
        <v>155.01</v>
      </c>
      <c r="K87" s="54"/>
      <c r="L87" s="54"/>
      <c r="M87" s="53">
        <f t="shared" si="15"/>
        <v>0</v>
      </c>
      <c r="N87" s="54"/>
      <c r="O87" s="54"/>
      <c r="P87" s="53">
        <v>155.01</v>
      </c>
      <c r="Q87" s="54"/>
      <c r="R87" s="54"/>
      <c r="S87" s="53">
        <f t="shared" si="16"/>
        <v>0</v>
      </c>
      <c r="T87" s="54"/>
      <c r="U87" s="55"/>
      <c r="V87" s="9">
        <f t="shared" si="17"/>
        <v>129.18</v>
      </c>
      <c r="Y87" s="9">
        <f t="shared" si="18"/>
        <v>0</v>
      </c>
      <c r="AD87" s="4" t="s">
        <v>330</v>
      </c>
      <c r="AE87" s="4" t="s">
        <v>331</v>
      </c>
      <c r="AF87" s="4" t="s">
        <v>299</v>
      </c>
    </row>
    <row r="88" spans="1:35" ht="18" x14ac:dyDescent="0.3">
      <c r="A88" s="44" t="s">
        <v>332</v>
      </c>
      <c r="B88" s="44"/>
      <c r="C88" s="56" t="s">
        <v>296</v>
      </c>
      <c r="D88" s="46"/>
      <c r="E88" s="46"/>
      <c r="F88" s="57" t="s">
        <v>57</v>
      </c>
      <c r="G88" s="58">
        <v>1.1000000000000001</v>
      </c>
      <c r="H88" s="46"/>
      <c r="I88" s="63">
        <v>398.64</v>
      </c>
      <c r="J88" s="59">
        <v>155.01</v>
      </c>
      <c r="K88" s="60"/>
      <c r="L88" s="60"/>
      <c r="M88" s="59">
        <f t="shared" si="15"/>
        <v>61793.19</v>
      </c>
      <c r="N88" s="60"/>
      <c r="O88" s="60"/>
      <c r="P88" s="59">
        <v>155.01</v>
      </c>
      <c r="Q88" s="60"/>
      <c r="R88" s="60"/>
      <c r="S88" s="59">
        <f t="shared" si="16"/>
        <v>61793.19</v>
      </c>
      <c r="T88" s="60"/>
      <c r="U88" s="61"/>
      <c r="V88" s="9">
        <f t="shared" si="17"/>
        <v>129.18</v>
      </c>
      <c r="Y88" s="9">
        <f t="shared" si="18"/>
        <v>51494.33</v>
      </c>
      <c r="AD88" s="4" t="s">
        <v>333</v>
      </c>
      <c r="AE88" s="4" t="s">
        <v>331</v>
      </c>
      <c r="AF88" s="4" t="s">
        <v>299</v>
      </c>
    </row>
    <row r="89" spans="1:35" ht="18" x14ac:dyDescent="0.3">
      <c r="A89" s="38" t="s">
        <v>334</v>
      </c>
      <c r="B89" s="38"/>
      <c r="C89" s="49" t="s">
        <v>303</v>
      </c>
      <c r="D89" s="40"/>
      <c r="E89" s="40"/>
      <c r="F89" s="50" t="s">
        <v>123</v>
      </c>
      <c r="G89" s="51">
        <v>1</v>
      </c>
      <c r="H89" s="40"/>
      <c r="I89" s="62">
        <v>0</v>
      </c>
      <c r="J89" s="53">
        <v>10.4</v>
      </c>
      <c r="K89" s="54"/>
      <c r="L89" s="54"/>
      <c r="M89" s="53">
        <f t="shared" si="15"/>
        <v>0</v>
      </c>
      <c r="N89" s="54"/>
      <c r="O89" s="54"/>
      <c r="P89" s="53">
        <v>10.4</v>
      </c>
      <c r="Q89" s="54"/>
      <c r="R89" s="54"/>
      <c r="S89" s="53">
        <f t="shared" si="16"/>
        <v>0</v>
      </c>
      <c r="T89" s="54"/>
      <c r="U89" s="55"/>
      <c r="V89" s="9">
        <f t="shared" si="17"/>
        <v>8.67</v>
      </c>
      <c r="Y89" s="9">
        <f t="shared" si="18"/>
        <v>0</v>
      </c>
      <c r="AD89" s="4" t="s">
        <v>335</v>
      </c>
      <c r="AE89" s="4" t="s">
        <v>336</v>
      </c>
      <c r="AF89" s="4" t="s">
        <v>306</v>
      </c>
    </row>
    <row r="90" spans="1:35" ht="18" x14ac:dyDescent="0.3">
      <c r="A90" s="44" t="s">
        <v>337</v>
      </c>
      <c r="B90" s="44"/>
      <c r="C90" s="56" t="s">
        <v>303</v>
      </c>
      <c r="D90" s="46"/>
      <c r="E90" s="46"/>
      <c r="F90" s="57" t="s">
        <v>123</v>
      </c>
      <c r="G90" s="58">
        <v>1</v>
      </c>
      <c r="H90" s="46"/>
      <c r="I90" s="63">
        <v>362.4</v>
      </c>
      <c r="J90" s="59">
        <v>10.4</v>
      </c>
      <c r="K90" s="60"/>
      <c r="L90" s="60"/>
      <c r="M90" s="59">
        <f t="shared" si="15"/>
        <v>3768.96</v>
      </c>
      <c r="N90" s="60"/>
      <c r="O90" s="60"/>
      <c r="P90" s="59">
        <v>10.4</v>
      </c>
      <c r="Q90" s="60"/>
      <c r="R90" s="60"/>
      <c r="S90" s="59">
        <f t="shared" si="16"/>
        <v>3768.96</v>
      </c>
      <c r="T90" s="60"/>
      <c r="U90" s="61"/>
      <c r="V90" s="9">
        <f t="shared" si="17"/>
        <v>8.67</v>
      </c>
      <c r="Y90" s="9">
        <f t="shared" si="18"/>
        <v>3140.8</v>
      </c>
      <c r="AD90" s="4" t="s">
        <v>338</v>
      </c>
      <c r="AE90" s="4" t="s">
        <v>336</v>
      </c>
      <c r="AF90" s="4" t="s">
        <v>306</v>
      </c>
    </row>
    <row r="91" spans="1:35" ht="36" x14ac:dyDescent="0.3">
      <c r="A91" s="38" t="s">
        <v>339</v>
      </c>
      <c r="B91" s="38" t="s">
        <v>317</v>
      </c>
      <c r="C91" s="39" t="s">
        <v>318</v>
      </c>
      <c r="D91" s="40"/>
      <c r="E91" s="40" t="s">
        <v>340</v>
      </c>
      <c r="F91" s="40" t="s">
        <v>57</v>
      </c>
      <c r="G91" s="41">
        <v>1</v>
      </c>
      <c r="H91" s="40"/>
      <c r="I91" s="42">
        <v>0</v>
      </c>
      <c r="J91" s="43">
        <v>928.3</v>
      </c>
      <c r="K91" s="43">
        <v>922</v>
      </c>
      <c r="L91" s="43">
        <f>J91+ROUND(K91, 2)</f>
        <v>1850.3</v>
      </c>
      <c r="M91" s="43">
        <v>0</v>
      </c>
      <c r="N91" s="43">
        <v>0</v>
      </c>
      <c r="O91" s="43">
        <f>M91+N91</f>
        <v>0</v>
      </c>
      <c r="P91" s="43">
        <v>928.3</v>
      </c>
      <c r="Q91" s="43">
        <v>922</v>
      </c>
      <c r="R91" s="43">
        <f>P91+ROUND(Q91, 2)</f>
        <v>1850.3</v>
      </c>
      <c r="S91" s="43">
        <v>0</v>
      </c>
      <c r="T91" s="43">
        <v>0</v>
      </c>
      <c r="U91" s="43">
        <f>S91+T91</f>
        <v>0</v>
      </c>
      <c r="V91" s="9">
        <f>ROUND(P91 / 1.2, 2)</f>
        <v>773.58</v>
      </c>
      <c r="W91" s="9">
        <f>ROUND(Q91 / 1.2, 2)</f>
        <v>768.33</v>
      </c>
      <c r="X91" s="9">
        <f>ROUND(R91 / 1.2, 2)</f>
        <v>1541.92</v>
      </c>
      <c r="Y91" s="9">
        <f t="shared" si="18"/>
        <v>0</v>
      </c>
      <c r="Z91" s="9">
        <f>ROUND(T91 / 1.2, 2)</f>
        <v>0</v>
      </c>
      <c r="AA91" s="9">
        <f>Y91+Z91</f>
        <v>0</v>
      </c>
      <c r="AD91" s="4">
        <v>341534365</v>
      </c>
      <c r="AE91" s="4">
        <v>25837372</v>
      </c>
      <c r="AG91" s="4" t="s">
        <v>320</v>
      </c>
      <c r="AH91" s="4" t="s">
        <v>321</v>
      </c>
      <c r="AI91" s="4" t="s">
        <v>241</v>
      </c>
    </row>
    <row r="92" spans="1:35" ht="36" x14ac:dyDescent="0.3">
      <c r="A92" s="44" t="s">
        <v>341</v>
      </c>
      <c r="B92" s="44" t="s">
        <v>317</v>
      </c>
      <c r="C92" s="45" t="s">
        <v>318</v>
      </c>
      <c r="D92" s="46"/>
      <c r="E92" s="46" t="s">
        <v>340</v>
      </c>
      <c r="F92" s="46" t="s">
        <v>57</v>
      </c>
      <c r="G92" s="47">
        <v>1</v>
      </c>
      <c r="H92" s="46"/>
      <c r="I92" s="47">
        <v>75.400000000000006</v>
      </c>
      <c r="J92" s="48">
        <v>928.3</v>
      </c>
      <c r="K92" s="48">
        <v>922</v>
      </c>
      <c r="L92" s="48">
        <v>922</v>
      </c>
      <c r="M92" s="48">
        <v>69993.820000000007</v>
      </c>
      <c r="N92" s="48">
        <v>69518.8</v>
      </c>
      <c r="O92" s="48"/>
      <c r="P92" s="48">
        <v>928.3</v>
      </c>
      <c r="Q92" s="48">
        <v>922</v>
      </c>
      <c r="R92" s="48">
        <v>922</v>
      </c>
      <c r="S92" s="48">
        <v>69993.820000000007</v>
      </c>
      <c r="T92" s="48">
        <v>69518.8</v>
      </c>
      <c r="U92" s="48"/>
      <c r="V92" s="9"/>
      <c r="W92" s="9">
        <f>ROUND(Q92 / 1.2, 2)</f>
        <v>768.33</v>
      </c>
      <c r="X92" s="9">
        <f>ROUND(R92 / 1.2, 2)</f>
        <v>768.33</v>
      </c>
      <c r="Y92" s="9"/>
      <c r="Z92" s="9">
        <f>ROUND(T92 / 1.2, 2)</f>
        <v>57932.33</v>
      </c>
      <c r="AA92" s="9"/>
      <c r="AD92" s="4">
        <v>314469349</v>
      </c>
      <c r="AE92" s="4">
        <v>25837372</v>
      </c>
      <c r="AG92" s="4" t="s">
        <v>320</v>
      </c>
      <c r="AH92" s="4" t="s">
        <v>321</v>
      </c>
      <c r="AI92" s="4"/>
    </row>
    <row r="93" spans="1:35" ht="18" x14ac:dyDescent="0.3">
      <c r="A93" s="38" t="s">
        <v>342</v>
      </c>
      <c r="B93" s="38"/>
      <c r="C93" s="49" t="s">
        <v>310</v>
      </c>
      <c r="D93" s="40"/>
      <c r="E93" s="40"/>
      <c r="F93" s="50" t="s">
        <v>76</v>
      </c>
      <c r="G93" s="51">
        <v>0.255</v>
      </c>
      <c r="H93" s="40"/>
      <c r="I93" s="52">
        <v>0</v>
      </c>
      <c r="J93" s="53">
        <v>100</v>
      </c>
      <c r="K93" s="54"/>
      <c r="L93" s="54"/>
      <c r="M93" s="53">
        <f t="shared" ref="M93:M100" si="19">ROUND(ROUND(J93, 2)*I93, 2)</f>
        <v>0</v>
      </c>
      <c r="N93" s="54"/>
      <c r="O93" s="54"/>
      <c r="P93" s="53">
        <v>100</v>
      </c>
      <c r="Q93" s="54"/>
      <c r="R93" s="54"/>
      <c r="S93" s="53">
        <f t="shared" ref="S93:S100" si="20">ROUND(ROUND(P93, 2)*I93, 2)</f>
        <v>0</v>
      </c>
      <c r="T93" s="54"/>
      <c r="U93" s="55"/>
      <c r="V93" s="9">
        <f t="shared" ref="V93:V100" si="21">ROUND(ROUND(P93, 2)/1.2, 2)</f>
        <v>83.33</v>
      </c>
      <c r="Y93" s="9">
        <f t="shared" ref="Y93:Y101" si="22">ROUND(S93 / 1.2, 2)</f>
        <v>0</v>
      </c>
      <c r="AD93" s="4" t="s">
        <v>343</v>
      </c>
      <c r="AE93" s="4" t="s">
        <v>344</v>
      </c>
      <c r="AF93" s="4" t="s">
        <v>313</v>
      </c>
    </row>
    <row r="94" spans="1:35" ht="18" x14ac:dyDescent="0.3">
      <c r="A94" s="44" t="s">
        <v>345</v>
      </c>
      <c r="B94" s="44"/>
      <c r="C94" s="56" t="s">
        <v>310</v>
      </c>
      <c r="D94" s="46"/>
      <c r="E94" s="46"/>
      <c r="F94" s="57" t="s">
        <v>76</v>
      </c>
      <c r="G94" s="58">
        <v>0.255</v>
      </c>
      <c r="H94" s="46"/>
      <c r="I94" s="58">
        <v>19.227</v>
      </c>
      <c r="J94" s="59">
        <v>100</v>
      </c>
      <c r="K94" s="60"/>
      <c r="L94" s="60"/>
      <c r="M94" s="59">
        <f t="shared" si="19"/>
        <v>1922.7</v>
      </c>
      <c r="N94" s="60"/>
      <c r="O94" s="60"/>
      <c r="P94" s="59">
        <v>100</v>
      </c>
      <c r="Q94" s="60"/>
      <c r="R94" s="60"/>
      <c r="S94" s="59">
        <f t="shared" si="20"/>
        <v>1922.7</v>
      </c>
      <c r="T94" s="60"/>
      <c r="U94" s="61"/>
      <c r="V94" s="9">
        <f t="shared" si="21"/>
        <v>83.33</v>
      </c>
      <c r="Y94" s="9">
        <f t="shared" si="22"/>
        <v>1602.25</v>
      </c>
      <c r="AD94" s="4" t="s">
        <v>346</v>
      </c>
      <c r="AE94" s="4" t="s">
        <v>344</v>
      </c>
      <c r="AF94" s="4" t="s">
        <v>313</v>
      </c>
    </row>
    <row r="95" spans="1:35" ht="18" x14ac:dyDescent="0.3">
      <c r="A95" s="38" t="s">
        <v>347</v>
      </c>
      <c r="B95" s="38"/>
      <c r="C95" s="49" t="s">
        <v>303</v>
      </c>
      <c r="D95" s="40"/>
      <c r="E95" s="40"/>
      <c r="F95" s="50" t="s">
        <v>123</v>
      </c>
      <c r="G95" s="51">
        <v>1</v>
      </c>
      <c r="H95" s="40"/>
      <c r="I95" s="62">
        <v>0</v>
      </c>
      <c r="J95" s="53">
        <v>10.4</v>
      </c>
      <c r="K95" s="54"/>
      <c r="L95" s="54"/>
      <c r="M95" s="53">
        <f t="shared" si="19"/>
        <v>0</v>
      </c>
      <c r="N95" s="54"/>
      <c r="O95" s="54"/>
      <c r="P95" s="53">
        <v>10.4</v>
      </c>
      <c r="Q95" s="54"/>
      <c r="R95" s="54"/>
      <c r="S95" s="53">
        <f t="shared" si="20"/>
        <v>0</v>
      </c>
      <c r="T95" s="54"/>
      <c r="U95" s="55"/>
      <c r="V95" s="9">
        <f t="shared" si="21"/>
        <v>8.67</v>
      </c>
      <c r="Y95" s="9">
        <f t="shared" si="22"/>
        <v>0</v>
      </c>
      <c r="AD95" s="4" t="s">
        <v>348</v>
      </c>
      <c r="AE95" s="4" t="s">
        <v>349</v>
      </c>
      <c r="AF95" s="4" t="s">
        <v>306</v>
      </c>
    </row>
    <row r="96" spans="1:35" ht="18" x14ac:dyDescent="0.3">
      <c r="A96" s="44" t="s">
        <v>350</v>
      </c>
      <c r="B96" s="44"/>
      <c r="C96" s="56" t="s">
        <v>303</v>
      </c>
      <c r="D96" s="46"/>
      <c r="E96" s="46"/>
      <c r="F96" s="57" t="s">
        <v>123</v>
      </c>
      <c r="G96" s="58">
        <v>1</v>
      </c>
      <c r="H96" s="46"/>
      <c r="I96" s="63">
        <v>75.400000000000006</v>
      </c>
      <c r="J96" s="59">
        <v>10.4</v>
      </c>
      <c r="K96" s="60"/>
      <c r="L96" s="60"/>
      <c r="M96" s="59">
        <f t="shared" si="19"/>
        <v>784.16</v>
      </c>
      <c r="N96" s="60"/>
      <c r="O96" s="60"/>
      <c r="P96" s="59">
        <v>10.4</v>
      </c>
      <c r="Q96" s="60"/>
      <c r="R96" s="60"/>
      <c r="S96" s="59">
        <f t="shared" si="20"/>
        <v>784.16</v>
      </c>
      <c r="T96" s="60"/>
      <c r="U96" s="61"/>
      <c r="V96" s="9">
        <f t="shared" si="21"/>
        <v>8.67</v>
      </c>
      <c r="Y96" s="9">
        <f t="shared" si="22"/>
        <v>653.47</v>
      </c>
      <c r="AD96" s="4" t="s">
        <v>351</v>
      </c>
      <c r="AE96" s="4" t="s">
        <v>349</v>
      </c>
      <c r="AF96" s="4" t="s">
        <v>306</v>
      </c>
    </row>
    <row r="97" spans="1:35" ht="18" x14ac:dyDescent="0.3">
      <c r="A97" s="38" t="s">
        <v>352</v>
      </c>
      <c r="B97" s="38"/>
      <c r="C97" s="49" t="s">
        <v>296</v>
      </c>
      <c r="D97" s="40"/>
      <c r="E97" s="40"/>
      <c r="F97" s="50" t="s">
        <v>57</v>
      </c>
      <c r="G97" s="51">
        <v>1.1000000000000001</v>
      </c>
      <c r="H97" s="40"/>
      <c r="I97" s="62">
        <v>0</v>
      </c>
      <c r="J97" s="53">
        <v>155.01</v>
      </c>
      <c r="K97" s="54"/>
      <c r="L97" s="54"/>
      <c r="M97" s="53">
        <f t="shared" si="19"/>
        <v>0</v>
      </c>
      <c r="N97" s="54"/>
      <c r="O97" s="54"/>
      <c r="P97" s="53">
        <v>155.01</v>
      </c>
      <c r="Q97" s="54"/>
      <c r="R97" s="54"/>
      <c r="S97" s="53">
        <f t="shared" si="20"/>
        <v>0</v>
      </c>
      <c r="T97" s="54"/>
      <c r="U97" s="55"/>
      <c r="V97" s="9">
        <f t="shared" si="21"/>
        <v>129.18</v>
      </c>
      <c r="Y97" s="9">
        <f t="shared" si="22"/>
        <v>0</v>
      </c>
      <c r="AD97" s="4" t="s">
        <v>353</v>
      </c>
      <c r="AE97" s="4" t="s">
        <v>354</v>
      </c>
      <c r="AF97" s="4" t="s">
        <v>299</v>
      </c>
    </row>
    <row r="98" spans="1:35" ht="18" x14ac:dyDescent="0.3">
      <c r="A98" s="44" t="s">
        <v>355</v>
      </c>
      <c r="B98" s="44"/>
      <c r="C98" s="56" t="s">
        <v>296</v>
      </c>
      <c r="D98" s="46"/>
      <c r="E98" s="46"/>
      <c r="F98" s="57" t="s">
        <v>57</v>
      </c>
      <c r="G98" s="58">
        <v>1.1000000000000001</v>
      </c>
      <c r="H98" s="46"/>
      <c r="I98" s="63">
        <v>82.94</v>
      </c>
      <c r="J98" s="59">
        <v>155.01</v>
      </c>
      <c r="K98" s="60"/>
      <c r="L98" s="60"/>
      <c r="M98" s="59">
        <f t="shared" si="19"/>
        <v>12856.53</v>
      </c>
      <c r="N98" s="60"/>
      <c r="O98" s="60"/>
      <c r="P98" s="59">
        <v>155.01</v>
      </c>
      <c r="Q98" s="60"/>
      <c r="R98" s="60"/>
      <c r="S98" s="59">
        <f t="shared" si="20"/>
        <v>12856.53</v>
      </c>
      <c r="T98" s="60"/>
      <c r="U98" s="61"/>
      <c r="V98" s="9">
        <f t="shared" si="21"/>
        <v>129.18</v>
      </c>
      <c r="Y98" s="9">
        <f t="shared" si="22"/>
        <v>10713.78</v>
      </c>
      <c r="AD98" s="4" t="s">
        <v>356</v>
      </c>
      <c r="AE98" s="4" t="s">
        <v>354</v>
      </c>
      <c r="AF98" s="4" t="s">
        <v>299</v>
      </c>
    </row>
    <row r="99" spans="1:35" ht="18" x14ac:dyDescent="0.3">
      <c r="A99" s="38" t="s">
        <v>357</v>
      </c>
      <c r="B99" s="38"/>
      <c r="C99" s="49" t="s">
        <v>288</v>
      </c>
      <c r="D99" s="40"/>
      <c r="E99" s="40" t="s">
        <v>358</v>
      </c>
      <c r="F99" s="50" t="s">
        <v>76</v>
      </c>
      <c r="G99" s="51">
        <v>1.8</v>
      </c>
      <c r="H99" s="40"/>
      <c r="I99" s="62">
        <v>0</v>
      </c>
      <c r="J99" s="53">
        <v>6.17</v>
      </c>
      <c r="K99" s="54"/>
      <c r="L99" s="54"/>
      <c r="M99" s="53">
        <f t="shared" si="19"/>
        <v>0</v>
      </c>
      <c r="N99" s="54"/>
      <c r="O99" s="54"/>
      <c r="P99" s="53">
        <v>6.17</v>
      </c>
      <c r="Q99" s="54"/>
      <c r="R99" s="54"/>
      <c r="S99" s="53">
        <f t="shared" si="20"/>
        <v>0</v>
      </c>
      <c r="T99" s="54"/>
      <c r="U99" s="55"/>
      <c r="V99" s="9">
        <f t="shared" si="21"/>
        <v>5.14</v>
      </c>
      <c r="Y99" s="9">
        <f t="shared" si="22"/>
        <v>0</v>
      </c>
      <c r="AD99" s="4" t="s">
        <v>359</v>
      </c>
      <c r="AE99" s="4" t="s">
        <v>360</v>
      </c>
      <c r="AF99" s="4" t="s">
        <v>292</v>
      </c>
    </row>
    <row r="100" spans="1:35" ht="18" x14ac:dyDescent="0.3">
      <c r="A100" s="44" t="s">
        <v>361</v>
      </c>
      <c r="B100" s="44"/>
      <c r="C100" s="56" t="s">
        <v>288</v>
      </c>
      <c r="D100" s="46"/>
      <c r="E100" s="46" t="s">
        <v>358</v>
      </c>
      <c r="F100" s="57" t="s">
        <v>76</v>
      </c>
      <c r="G100" s="58">
        <v>1.8</v>
      </c>
      <c r="H100" s="46"/>
      <c r="I100" s="63">
        <v>8821.7999999999993</v>
      </c>
      <c r="J100" s="59">
        <v>6.17</v>
      </c>
      <c r="K100" s="60"/>
      <c r="L100" s="60"/>
      <c r="M100" s="59">
        <f t="shared" si="19"/>
        <v>54430.51</v>
      </c>
      <c r="N100" s="60"/>
      <c r="O100" s="60"/>
      <c r="P100" s="59">
        <v>6.17</v>
      </c>
      <c r="Q100" s="60"/>
      <c r="R100" s="60"/>
      <c r="S100" s="59">
        <f t="shared" si="20"/>
        <v>54430.51</v>
      </c>
      <c r="T100" s="60"/>
      <c r="U100" s="61"/>
      <c r="V100" s="9">
        <f t="shared" si="21"/>
        <v>5.14</v>
      </c>
      <c r="Y100" s="9">
        <f t="shared" si="22"/>
        <v>45358.76</v>
      </c>
      <c r="AD100" s="4" t="s">
        <v>362</v>
      </c>
      <c r="AE100" s="4" t="s">
        <v>360</v>
      </c>
      <c r="AF100" s="4" t="s">
        <v>292</v>
      </c>
    </row>
    <row r="101" spans="1:35" ht="36" x14ac:dyDescent="0.3">
      <c r="A101" s="38" t="s">
        <v>363</v>
      </c>
      <c r="B101" s="38" t="s">
        <v>317</v>
      </c>
      <c r="C101" s="39" t="s">
        <v>318</v>
      </c>
      <c r="D101" s="40"/>
      <c r="E101" s="40" t="s">
        <v>364</v>
      </c>
      <c r="F101" s="40" t="s">
        <v>57</v>
      </c>
      <c r="G101" s="41">
        <v>1</v>
      </c>
      <c r="H101" s="40"/>
      <c r="I101" s="42">
        <v>0</v>
      </c>
      <c r="J101" s="43">
        <v>1047.8800000000001</v>
      </c>
      <c r="K101" s="43">
        <v>922</v>
      </c>
      <c r="L101" s="43">
        <f>J101+ROUND(K101, 2)</f>
        <v>1969.88</v>
      </c>
      <c r="M101" s="43">
        <v>0</v>
      </c>
      <c r="N101" s="43">
        <v>0</v>
      </c>
      <c r="O101" s="43">
        <f>M101+N101</f>
        <v>0</v>
      </c>
      <c r="P101" s="43">
        <v>1047.8800000000001</v>
      </c>
      <c r="Q101" s="43">
        <v>922</v>
      </c>
      <c r="R101" s="43">
        <f>P101+ROUND(Q101, 2)</f>
        <v>1969.88</v>
      </c>
      <c r="S101" s="43">
        <v>0</v>
      </c>
      <c r="T101" s="43">
        <v>0</v>
      </c>
      <c r="U101" s="43">
        <f>S101+T101</f>
        <v>0</v>
      </c>
      <c r="V101" s="9">
        <f>ROUND(P101 / 1.2, 2)</f>
        <v>873.23</v>
      </c>
      <c r="W101" s="9">
        <f>ROUND(Q101 / 1.2, 2)</f>
        <v>768.33</v>
      </c>
      <c r="X101" s="9">
        <f>ROUND(R101 / 1.2, 2)</f>
        <v>1641.57</v>
      </c>
      <c r="Y101" s="9">
        <f t="shared" si="22"/>
        <v>0</v>
      </c>
      <c r="Z101" s="9">
        <f>ROUND(T101 / 1.2, 2)</f>
        <v>0</v>
      </c>
      <c r="AA101" s="9">
        <f>Y101+Z101</f>
        <v>0</v>
      </c>
      <c r="AD101" s="4">
        <v>341534366</v>
      </c>
      <c r="AE101" s="4">
        <v>25837385</v>
      </c>
      <c r="AG101" s="4" t="s">
        <v>320</v>
      </c>
      <c r="AH101" s="4" t="s">
        <v>321</v>
      </c>
      <c r="AI101" s="4" t="s">
        <v>241</v>
      </c>
    </row>
    <row r="102" spans="1:35" ht="36" x14ac:dyDescent="0.3">
      <c r="A102" s="44" t="s">
        <v>365</v>
      </c>
      <c r="B102" s="44" t="s">
        <v>317</v>
      </c>
      <c r="C102" s="45" t="s">
        <v>318</v>
      </c>
      <c r="D102" s="46"/>
      <c r="E102" s="46" t="s">
        <v>364</v>
      </c>
      <c r="F102" s="46" t="s">
        <v>57</v>
      </c>
      <c r="G102" s="47">
        <v>1</v>
      </c>
      <c r="H102" s="46"/>
      <c r="I102" s="47">
        <v>148.1</v>
      </c>
      <c r="J102" s="48">
        <v>1047.8800000000001</v>
      </c>
      <c r="K102" s="48">
        <v>922</v>
      </c>
      <c r="L102" s="48">
        <v>922</v>
      </c>
      <c r="M102" s="48">
        <v>155191.03</v>
      </c>
      <c r="N102" s="48">
        <v>136548.20000000001</v>
      </c>
      <c r="O102" s="48"/>
      <c r="P102" s="48">
        <v>1047.8800000000001</v>
      </c>
      <c r="Q102" s="48">
        <v>922</v>
      </c>
      <c r="R102" s="48">
        <v>922</v>
      </c>
      <c r="S102" s="48">
        <v>155191.03</v>
      </c>
      <c r="T102" s="48">
        <v>136548.20000000001</v>
      </c>
      <c r="U102" s="48"/>
      <c r="V102" s="9"/>
      <c r="W102" s="9">
        <f>ROUND(Q102 / 1.2, 2)</f>
        <v>768.33</v>
      </c>
      <c r="X102" s="9">
        <f>ROUND(R102 / 1.2, 2)</f>
        <v>768.33</v>
      </c>
      <c r="Y102" s="9"/>
      <c r="Z102" s="9">
        <f>ROUND(T102 / 1.2, 2)</f>
        <v>113790.17</v>
      </c>
      <c r="AA102" s="9"/>
      <c r="AD102" s="4">
        <v>314469350</v>
      </c>
      <c r="AE102" s="4">
        <v>25837385</v>
      </c>
      <c r="AG102" s="4" t="s">
        <v>320</v>
      </c>
      <c r="AH102" s="4" t="s">
        <v>321</v>
      </c>
      <c r="AI102" s="4"/>
    </row>
    <row r="103" spans="1:35" ht="18" x14ac:dyDescent="0.3">
      <c r="A103" s="38" t="s">
        <v>366</v>
      </c>
      <c r="B103" s="38"/>
      <c r="C103" s="49" t="s">
        <v>303</v>
      </c>
      <c r="D103" s="40"/>
      <c r="E103" s="40"/>
      <c r="F103" s="50" t="s">
        <v>123</v>
      </c>
      <c r="G103" s="51">
        <v>1</v>
      </c>
      <c r="H103" s="40"/>
      <c r="I103" s="62">
        <v>0</v>
      </c>
      <c r="J103" s="53">
        <v>10.4</v>
      </c>
      <c r="K103" s="54"/>
      <c r="L103" s="54"/>
      <c r="M103" s="53">
        <f t="shared" ref="M103:M108" si="23">ROUND(ROUND(J103, 2)*I103, 2)</f>
        <v>0</v>
      </c>
      <c r="N103" s="54"/>
      <c r="O103" s="54"/>
      <c r="P103" s="53">
        <v>10.4</v>
      </c>
      <c r="Q103" s="54"/>
      <c r="R103" s="54"/>
      <c r="S103" s="53">
        <f t="shared" ref="S103:S108" si="24">ROUND(ROUND(P103, 2)*I103, 2)</f>
        <v>0</v>
      </c>
      <c r="T103" s="54"/>
      <c r="U103" s="55"/>
      <c r="V103" s="9">
        <f t="shared" ref="V103:V108" si="25">ROUND(ROUND(P103, 2)/1.2, 2)</f>
        <v>8.67</v>
      </c>
      <c r="Y103" s="9">
        <f t="shared" ref="Y103:Y120" si="26">ROUND(S103 / 1.2, 2)</f>
        <v>0</v>
      </c>
      <c r="AD103" s="4" t="s">
        <v>367</v>
      </c>
      <c r="AE103" s="4" t="s">
        <v>368</v>
      </c>
      <c r="AF103" s="4" t="s">
        <v>306</v>
      </c>
    </row>
    <row r="104" spans="1:35" ht="18" x14ac:dyDescent="0.3">
      <c r="A104" s="44" t="s">
        <v>369</v>
      </c>
      <c r="B104" s="44"/>
      <c r="C104" s="56" t="s">
        <v>303</v>
      </c>
      <c r="D104" s="46"/>
      <c r="E104" s="46"/>
      <c r="F104" s="57" t="s">
        <v>123</v>
      </c>
      <c r="G104" s="58">
        <v>1</v>
      </c>
      <c r="H104" s="46"/>
      <c r="I104" s="63">
        <v>148.1</v>
      </c>
      <c r="J104" s="59">
        <v>10.4</v>
      </c>
      <c r="K104" s="60"/>
      <c r="L104" s="60"/>
      <c r="M104" s="59">
        <f t="shared" si="23"/>
        <v>1540.24</v>
      </c>
      <c r="N104" s="60"/>
      <c r="O104" s="60"/>
      <c r="P104" s="59">
        <v>10.4</v>
      </c>
      <c r="Q104" s="60"/>
      <c r="R104" s="60"/>
      <c r="S104" s="59">
        <f t="shared" si="24"/>
        <v>1540.24</v>
      </c>
      <c r="T104" s="60"/>
      <c r="U104" s="61"/>
      <c r="V104" s="9">
        <f t="shared" si="25"/>
        <v>8.67</v>
      </c>
      <c r="Y104" s="9">
        <f t="shared" si="26"/>
        <v>1283.53</v>
      </c>
      <c r="AD104" s="4" t="s">
        <v>370</v>
      </c>
      <c r="AE104" s="4" t="s">
        <v>368</v>
      </c>
      <c r="AF104" s="4" t="s">
        <v>306</v>
      </c>
    </row>
    <row r="105" spans="1:35" ht="18" x14ac:dyDescent="0.3">
      <c r="A105" s="38" t="s">
        <v>371</v>
      </c>
      <c r="B105" s="38"/>
      <c r="C105" s="49" t="s">
        <v>296</v>
      </c>
      <c r="D105" s="40"/>
      <c r="E105" s="40"/>
      <c r="F105" s="50" t="s">
        <v>57</v>
      </c>
      <c r="G105" s="51">
        <v>1.1000000000000001</v>
      </c>
      <c r="H105" s="40"/>
      <c r="I105" s="62">
        <v>0</v>
      </c>
      <c r="J105" s="53">
        <v>155.01</v>
      </c>
      <c r="K105" s="54"/>
      <c r="L105" s="54"/>
      <c r="M105" s="53">
        <f t="shared" si="23"/>
        <v>0</v>
      </c>
      <c r="N105" s="54"/>
      <c r="O105" s="54"/>
      <c r="P105" s="53">
        <v>155.01</v>
      </c>
      <c r="Q105" s="54"/>
      <c r="R105" s="54"/>
      <c r="S105" s="53">
        <f t="shared" si="24"/>
        <v>0</v>
      </c>
      <c r="T105" s="54"/>
      <c r="U105" s="55"/>
      <c r="V105" s="9">
        <f t="shared" si="25"/>
        <v>129.18</v>
      </c>
      <c r="Y105" s="9">
        <f t="shared" si="26"/>
        <v>0</v>
      </c>
      <c r="AD105" s="4" t="s">
        <v>372</v>
      </c>
      <c r="AE105" s="4" t="s">
        <v>373</v>
      </c>
      <c r="AF105" s="4" t="s">
        <v>299</v>
      </c>
    </row>
    <row r="106" spans="1:35" ht="18" x14ac:dyDescent="0.3">
      <c r="A106" s="44" t="s">
        <v>374</v>
      </c>
      <c r="B106" s="44"/>
      <c r="C106" s="56" t="s">
        <v>296</v>
      </c>
      <c r="D106" s="46"/>
      <c r="E106" s="46"/>
      <c r="F106" s="57" t="s">
        <v>57</v>
      </c>
      <c r="G106" s="58">
        <v>1.1000000000000001</v>
      </c>
      <c r="H106" s="46"/>
      <c r="I106" s="63">
        <v>162.91</v>
      </c>
      <c r="J106" s="59">
        <v>155.01</v>
      </c>
      <c r="K106" s="60"/>
      <c r="L106" s="60"/>
      <c r="M106" s="59">
        <f t="shared" si="23"/>
        <v>25252.68</v>
      </c>
      <c r="N106" s="60"/>
      <c r="O106" s="60"/>
      <c r="P106" s="59">
        <v>155.01</v>
      </c>
      <c r="Q106" s="60"/>
      <c r="R106" s="60"/>
      <c r="S106" s="59">
        <f t="shared" si="24"/>
        <v>25252.68</v>
      </c>
      <c r="T106" s="60"/>
      <c r="U106" s="61"/>
      <c r="V106" s="9">
        <f t="shared" si="25"/>
        <v>129.18</v>
      </c>
      <c r="Y106" s="9">
        <f t="shared" si="26"/>
        <v>21043.9</v>
      </c>
      <c r="AD106" s="4" t="s">
        <v>375</v>
      </c>
      <c r="AE106" s="4" t="s">
        <v>373</v>
      </c>
      <c r="AF106" s="4" t="s">
        <v>299</v>
      </c>
    </row>
    <row r="107" spans="1:35" ht="18" x14ac:dyDescent="0.3">
      <c r="A107" s="38" t="s">
        <v>376</v>
      </c>
      <c r="B107" s="38"/>
      <c r="C107" s="49" t="s">
        <v>377</v>
      </c>
      <c r="D107" s="40"/>
      <c r="E107" s="40" t="s">
        <v>378</v>
      </c>
      <c r="F107" s="50" t="s">
        <v>76</v>
      </c>
      <c r="G107" s="51">
        <v>1.8</v>
      </c>
      <c r="H107" s="40"/>
      <c r="I107" s="62">
        <v>0</v>
      </c>
      <c r="J107" s="53">
        <v>7.41</v>
      </c>
      <c r="K107" s="54"/>
      <c r="L107" s="54"/>
      <c r="M107" s="53">
        <f t="shared" si="23"/>
        <v>0</v>
      </c>
      <c r="N107" s="54"/>
      <c r="O107" s="54"/>
      <c r="P107" s="53">
        <v>7.41</v>
      </c>
      <c r="Q107" s="54"/>
      <c r="R107" s="54"/>
      <c r="S107" s="53">
        <f t="shared" si="24"/>
        <v>0</v>
      </c>
      <c r="T107" s="54"/>
      <c r="U107" s="55"/>
      <c r="V107" s="9">
        <f t="shared" si="25"/>
        <v>6.18</v>
      </c>
      <c r="Y107" s="9">
        <f t="shared" si="26"/>
        <v>0</v>
      </c>
      <c r="AD107" s="4" t="s">
        <v>379</v>
      </c>
      <c r="AE107" s="4" t="s">
        <v>380</v>
      </c>
      <c r="AF107" s="4" t="s">
        <v>381</v>
      </c>
    </row>
    <row r="108" spans="1:35" ht="18" x14ac:dyDescent="0.3">
      <c r="A108" s="44" t="s">
        <v>382</v>
      </c>
      <c r="B108" s="44"/>
      <c r="C108" s="56" t="s">
        <v>377</v>
      </c>
      <c r="D108" s="46"/>
      <c r="E108" s="46" t="s">
        <v>378</v>
      </c>
      <c r="F108" s="57" t="s">
        <v>76</v>
      </c>
      <c r="G108" s="58">
        <v>1.8</v>
      </c>
      <c r="H108" s="46"/>
      <c r="I108" s="63">
        <v>17327.7</v>
      </c>
      <c r="J108" s="59">
        <v>7.41</v>
      </c>
      <c r="K108" s="60"/>
      <c r="L108" s="60"/>
      <c r="M108" s="59">
        <f t="shared" si="23"/>
        <v>128398.26</v>
      </c>
      <c r="N108" s="60"/>
      <c r="O108" s="60"/>
      <c r="P108" s="59">
        <v>7.41</v>
      </c>
      <c r="Q108" s="60"/>
      <c r="R108" s="60"/>
      <c r="S108" s="59">
        <f t="shared" si="24"/>
        <v>128398.26</v>
      </c>
      <c r="T108" s="60"/>
      <c r="U108" s="61"/>
      <c r="V108" s="9">
        <f t="shared" si="25"/>
        <v>6.18</v>
      </c>
      <c r="Y108" s="9">
        <f t="shared" si="26"/>
        <v>106998.55</v>
      </c>
      <c r="AD108" s="4" t="s">
        <v>383</v>
      </c>
      <c r="AE108" s="4" t="s">
        <v>380</v>
      </c>
      <c r="AF108" s="4" t="s">
        <v>381</v>
      </c>
    </row>
    <row r="109" spans="1:35" ht="36" x14ac:dyDescent="0.3">
      <c r="A109" s="11" t="s">
        <v>384</v>
      </c>
      <c r="B109" s="11" t="s">
        <v>385</v>
      </c>
      <c r="C109" s="20" t="s">
        <v>386</v>
      </c>
      <c r="D109" s="21"/>
      <c r="E109" s="21" t="s">
        <v>387</v>
      </c>
      <c r="F109" s="21" t="s">
        <v>57</v>
      </c>
      <c r="G109" s="22">
        <v>1</v>
      </c>
      <c r="H109" s="21"/>
      <c r="I109" s="22">
        <v>891.74</v>
      </c>
      <c r="J109" s="23">
        <f>IFERROR(ROUND(SUM(M110,M111,M112)/I109, 2),0)</f>
        <v>172.84</v>
      </c>
      <c r="K109" s="23">
        <v>557</v>
      </c>
      <c r="L109" s="23">
        <f>J109+ROUND(K109, 2)</f>
        <v>729.84</v>
      </c>
      <c r="M109" s="23">
        <f>ROUND(J109*I109, 2)</f>
        <v>154128.34</v>
      </c>
      <c r="N109" s="23">
        <f>ROUND(I109*ROUND(K109, 2), 2)</f>
        <v>496699.18</v>
      </c>
      <c r="O109" s="23">
        <f>M109+N109</f>
        <v>650827.52000000002</v>
      </c>
      <c r="P109" s="23">
        <f>IFERROR(ROUND(SUM(S110,S111,S112)/I109, 2),0)</f>
        <v>179.62</v>
      </c>
      <c r="Q109" s="23">
        <v>557</v>
      </c>
      <c r="R109" s="23">
        <f>P109+ROUND(Q109, 2)</f>
        <v>736.62</v>
      </c>
      <c r="S109" s="23">
        <f>ROUND(P109*I109, 2)</f>
        <v>160174.34</v>
      </c>
      <c r="T109" s="23">
        <f>ROUND(I109*ROUND(Q109, 2), 2)</f>
        <v>496699.18</v>
      </c>
      <c r="U109" s="23">
        <f>S109+T109</f>
        <v>656873.52</v>
      </c>
      <c r="V109" s="9">
        <f>ROUND(P109 / 1.2, 2)</f>
        <v>149.68</v>
      </c>
      <c r="W109" s="9">
        <f>ROUND(Q109 / 1.2, 2)</f>
        <v>464.17</v>
      </c>
      <c r="X109" s="9">
        <f>ROUND(R109 / 1.2, 2)</f>
        <v>613.85</v>
      </c>
      <c r="Y109" s="9">
        <f t="shared" si="26"/>
        <v>133478.62</v>
      </c>
      <c r="Z109" s="9">
        <f>ROUND(T109 / 1.2, 2)</f>
        <v>413915.98</v>
      </c>
      <c r="AA109" s="9">
        <f>Y109+Z109</f>
        <v>547394.6</v>
      </c>
      <c r="AD109" s="4">
        <v>341534300</v>
      </c>
      <c r="AE109" s="4">
        <v>28199797</v>
      </c>
      <c r="AG109" s="4" t="s">
        <v>388</v>
      </c>
      <c r="AH109" s="4" t="s">
        <v>389</v>
      </c>
      <c r="AI109" s="4" t="s">
        <v>241</v>
      </c>
    </row>
    <row r="110" spans="1:35" ht="18" x14ac:dyDescent="0.3">
      <c r="A110" s="11" t="s">
        <v>390</v>
      </c>
      <c r="B110" s="11"/>
      <c r="C110" s="30" t="s">
        <v>303</v>
      </c>
      <c r="D110" s="21"/>
      <c r="E110" s="21"/>
      <c r="F110" s="31" t="s">
        <v>123</v>
      </c>
      <c r="G110" s="32">
        <v>1</v>
      </c>
      <c r="H110" s="21"/>
      <c r="I110" s="37">
        <v>193.81</v>
      </c>
      <c r="J110" s="33">
        <v>10.58</v>
      </c>
      <c r="K110" s="12"/>
      <c r="L110" s="12"/>
      <c r="M110" s="33">
        <f>ROUND(ROUND(J110, 2)*I110, 2)</f>
        <v>2050.5100000000002</v>
      </c>
      <c r="N110" s="12"/>
      <c r="O110" s="12"/>
      <c r="P110" s="33">
        <v>10.4</v>
      </c>
      <c r="Q110" s="12"/>
      <c r="R110" s="12"/>
      <c r="S110" s="33">
        <f>ROUND(ROUND(P110, 2)*I110, 2)</f>
        <v>2015.62</v>
      </c>
      <c r="T110" s="12"/>
      <c r="U110" s="34"/>
      <c r="V110" s="9">
        <f>ROUND(ROUND(P110, 2)/1.2, 2)</f>
        <v>8.67</v>
      </c>
      <c r="Y110" s="9">
        <f t="shared" si="26"/>
        <v>1679.68</v>
      </c>
      <c r="AD110" s="4" t="s">
        <v>391</v>
      </c>
      <c r="AE110" s="4" t="s">
        <v>392</v>
      </c>
      <c r="AF110" s="4" t="s">
        <v>306</v>
      </c>
    </row>
    <row r="111" spans="1:35" ht="36" x14ac:dyDescent="0.3">
      <c r="A111" s="11" t="s">
        <v>393</v>
      </c>
      <c r="B111" s="11"/>
      <c r="C111" s="30" t="s">
        <v>252</v>
      </c>
      <c r="D111" s="21"/>
      <c r="E111" s="21"/>
      <c r="F111" s="31" t="s">
        <v>76</v>
      </c>
      <c r="G111" s="32">
        <v>0.255</v>
      </c>
      <c r="H111" s="21"/>
      <c r="I111" s="32">
        <v>227.39400000000001</v>
      </c>
      <c r="J111" s="33">
        <v>90.28</v>
      </c>
      <c r="K111" s="12"/>
      <c r="L111" s="12"/>
      <c r="M111" s="33">
        <f>ROUND(ROUND(J111, 2)*I111, 2)</f>
        <v>20529.13</v>
      </c>
      <c r="N111" s="12"/>
      <c r="O111" s="12"/>
      <c r="P111" s="33">
        <v>88.8</v>
      </c>
      <c r="Q111" s="12"/>
      <c r="R111" s="12"/>
      <c r="S111" s="33">
        <f>ROUND(ROUND(P111, 2)*I111, 2)</f>
        <v>20192.59</v>
      </c>
      <c r="T111" s="12"/>
      <c r="U111" s="34"/>
      <c r="V111" s="9">
        <f>ROUND(ROUND(P111, 2)/1.2, 2)</f>
        <v>74</v>
      </c>
      <c r="Y111" s="9">
        <f t="shared" si="26"/>
        <v>16827.16</v>
      </c>
      <c r="AD111" s="4" t="s">
        <v>394</v>
      </c>
      <c r="AE111" s="4" t="s">
        <v>395</v>
      </c>
      <c r="AF111" s="4" t="s">
        <v>255</v>
      </c>
    </row>
    <row r="112" spans="1:35" ht="36" x14ac:dyDescent="0.3">
      <c r="A112" s="11" t="s">
        <v>396</v>
      </c>
      <c r="B112" s="11"/>
      <c r="C112" s="35" t="s">
        <v>244</v>
      </c>
      <c r="D112" s="21"/>
      <c r="E112" s="21"/>
      <c r="F112" s="31" t="s">
        <v>76</v>
      </c>
      <c r="G112" s="32">
        <v>1.6</v>
      </c>
      <c r="H112" s="21"/>
      <c r="I112" s="37">
        <v>14267.84</v>
      </c>
      <c r="J112" s="33">
        <v>9.2200000000000006</v>
      </c>
      <c r="K112" s="12"/>
      <c r="L112" s="12"/>
      <c r="M112" s="33">
        <f>ROUND(ROUND(J112, 2)*I112, 2)</f>
        <v>131549.48000000001</v>
      </c>
      <c r="N112" s="12"/>
      <c r="O112" s="12"/>
      <c r="P112" s="33">
        <v>9.67</v>
      </c>
      <c r="Q112" s="12"/>
      <c r="R112" s="12"/>
      <c r="S112" s="33">
        <f>ROUND(ROUND(P112, 2)*I112, 2)</f>
        <v>137970.01</v>
      </c>
      <c r="T112" s="12"/>
      <c r="U112" s="34"/>
      <c r="V112" s="9">
        <f>ROUND(ROUND(P112, 2)/1.2, 2)</f>
        <v>8.06</v>
      </c>
      <c r="Y112" s="9">
        <f t="shared" si="26"/>
        <v>114975.01</v>
      </c>
      <c r="AD112" s="4" t="s">
        <v>397</v>
      </c>
      <c r="AE112" s="4" t="s">
        <v>398</v>
      </c>
      <c r="AF112" s="4" t="s">
        <v>399</v>
      </c>
    </row>
    <row r="113" spans="1:35" ht="36" x14ac:dyDescent="0.3">
      <c r="A113" s="11" t="s">
        <v>400</v>
      </c>
      <c r="B113" s="11" t="s">
        <v>385</v>
      </c>
      <c r="C113" s="20" t="s">
        <v>386</v>
      </c>
      <c r="D113" s="21"/>
      <c r="E113" s="21" t="s">
        <v>401</v>
      </c>
      <c r="F113" s="21" t="s">
        <v>57</v>
      </c>
      <c r="G113" s="22">
        <v>1</v>
      </c>
      <c r="H113" s="21"/>
      <c r="I113" s="22">
        <v>31.47</v>
      </c>
      <c r="J113" s="23">
        <f>IFERROR(ROUND(SUM(M114,M115,M116)/I113, 2),0)</f>
        <v>181.7</v>
      </c>
      <c r="K113" s="23">
        <v>557</v>
      </c>
      <c r="L113" s="23">
        <f>J113+ROUND(K113, 2)</f>
        <v>738.7</v>
      </c>
      <c r="M113" s="23">
        <f>ROUND(J113*I113, 2)</f>
        <v>5718.1</v>
      </c>
      <c r="N113" s="23">
        <f>ROUND(I113*ROUND(K113, 2), 2)</f>
        <v>17528.79</v>
      </c>
      <c r="O113" s="23">
        <f>M113+N113</f>
        <v>23246.89</v>
      </c>
      <c r="P113" s="23">
        <f>IFERROR(ROUND(SUM(S114,S115,S116)/I113, 2),0)</f>
        <v>188.34</v>
      </c>
      <c r="Q113" s="23">
        <v>557</v>
      </c>
      <c r="R113" s="23">
        <f>P113+ROUND(Q113, 2)</f>
        <v>745.34</v>
      </c>
      <c r="S113" s="23">
        <f>ROUND(P113*I113, 2)</f>
        <v>5927.06</v>
      </c>
      <c r="T113" s="23">
        <f>ROUND(I113*ROUND(Q113, 2), 2)</f>
        <v>17528.79</v>
      </c>
      <c r="U113" s="23">
        <f>S113+T113</f>
        <v>23455.850000000002</v>
      </c>
      <c r="V113" s="9">
        <f>ROUND(P113 / 1.2, 2)</f>
        <v>156.94999999999999</v>
      </c>
      <c r="W113" s="9">
        <f>ROUND(Q113 / 1.2, 2)</f>
        <v>464.17</v>
      </c>
      <c r="X113" s="9">
        <f>ROUND(R113 / 1.2, 2)</f>
        <v>621.12</v>
      </c>
      <c r="Y113" s="9">
        <f t="shared" si="26"/>
        <v>4939.22</v>
      </c>
      <c r="Z113" s="9">
        <f>ROUND(T113 / 1.2, 2)</f>
        <v>14607.33</v>
      </c>
      <c r="AA113" s="9">
        <f>Y113+Z113</f>
        <v>19546.55</v>
      </c>
      <c r="AD113" s="4">
        <v>341534367</v>
      </c>
      <c r="AE113" s="4">
        <v>28291319</v>
      </c>
      <c r="AG113" s="4" t="s">
        <v>388</v>
      </c>
      <c r="AH113" s="4" t="s">
        <v>389</v>
      </c>
      <c r="AI113" s="4" t="s">
        <v>241</v>
      </c>
    </row>
    <row r="114" spans="1:35" ht="36" x14ac:dyDescent="0.3">
      <c r="A114" s="11" t="s">
        <v>402</v>
      </c>
      <c r="B114" s="11"/>
      <c r="C114" s="35" t="s">
        <v>244</v>
      </c>
      <c r="D114" s="21"/>
      <c r="E114" s="21"/>
      <c r="F114" s="31" t="s">
        <v>76</v>
      </c>
      <c r="G114" s="32">
        <v>1.6</v>
      </c>
      <c r="H114" s="21"/>
      <c r="I114" s="37">
        <v>503.52</v>
      </c>
      <c r="J114" s="33">
        <v>9.2200000000000006</v>
      </c>
      <c r="K114" s="12"/>
      <c r="L114" s="12"/>
      <c r="M114" s="33">
        <f>ROUND(ROUND(J114, 2)*I114, 2)</f>
        <v>4642.45</v>
      </c>
      <c r="N114" s="12"/>
      <c r="O114" s="12"/>
      <c r="P114" s="33">
        <v>9.67</v>
      </c>
      <c r="Q114" s="12"/>
      <c r="R114" s="12"/>
      <c r="S114" s="33">
        <f>ROUND(ROUND(P114, 2)*I114, 2)</f>
        <v>4869.04</v>
      </c>
      <c r="T114" s="12"/>
      <c r="U114" s="34"/>
      <c r="V114" s="9">
        <f>ROUND(ROUND(P114, 2)/1.2, 2)</f>
        <v>8.06</v>
      </c>
      <c r="Y114" s="9">
        <f t="shared" si="26"/>
        <v>4057.53</v>
      </c>
      <c r="AD114" s="4" t="s">
        <v>403</v>
      </c>
      <c r="AE114" s="4" t="s">
        <v>404</v>
      </c>
      <c r="AF114" s="4" t="s">
        <v>399</v>
      </c>
    </row>
    <row r="115" spans="1:35" ht="36" x14ac:dyDescent="0.3">
      <c r="A115" s="11" t="s">
        <v>405</v>
      </c>
      <c r="B115" s="11"/>
      <c r="C115" s="30" t="s">
        <v>252</v>
      </c>
      <c r="D115" s="21"/>
      <c r="E115" s="21"/>
      <c r="F115" s="31" t="s">
        <v>76</v>
      </c>
      <c r="G115" s="32">
        <v>0.255</v>
      </c>
      <c r="H115" s="21"/>
      <c r="I115" s="32">
        <v>8.0250000000000004</v>
      </c>
      <c r="J115" s="33">
        <v>90.28</v>
      </c>
      <c r="K115" s="12"/>
      <c r="L115" s="12"/>
      <c r="M115" s="33">
        <f>ROUND(ROUND(J115, 2)*I115, 2)</f>
        <v>724.5</v>
      </c>
      <c r="N115" s="12"/>
      <c r="O115" s="12"/>
      <c r="P115" s="33">
        <v>88.8</v>
      </c>
      <c r="Q115" s="12"/>
      <c r="R115" s="12"/>
      <c r="S115" s="33">
        <f>ROUND(ROUND(P115, 2)*I115, 2)</f>
        <v>712.62</v>
      </c>
      <c r="T115" s="12"/>
      <c r="U115" s="34"/>
      <c r="V115" s="9">
        <f>ROUND(ROUND(P115, 2)/1.2, 2)</f>
        <v>74</v>
      </c>
      <c r="Y115" s="9">
        <f t="shared" si="26"/>
        <v>593.85</v>
      </c>
      <c r="AD115" s="4" t="s">
        <v>406</v>
      </c>
      <c r="AE115" s="4" t="s">
        <v>407</v>
      </c>
      <c r="AF115" s="4" t="s">
        <v>255</v>
      </c>
    </row>
    <row r="116" spans="1:35" ht="18" x14ac:dyDescent="0.3">
      <c r="A116" s="11" t="s">
        <v>408</v>
      </c>
      <c r="B116" s="11"/>
      <c r="C116" s="30" t="s">
        <v>303</v>
      </c>
      <c r="D116" s="21"/>
      <c r="E116" s="21"/>
      <c r="F116" s="31" t="s">
        <v>123</v>
      </c>
      <c r="G116" s="32">
        <v>1</v>
      </c>
      <c r="H116" s="21"/>
      <c r="I116" s="37">
        <v>33.200000000000003</v>
      </c>
      <c r="J116" s="33">
        <v>10.58</v>
      </c>
      <c r="K116" s="12"/>
      <c r="L116" s="12"/>
      <c r="M116" s="33">
        <f>ROUND(ROUND(J116, 2)*I116, 2)</f>
        <v>351.26</v>
      </c>
      <c r="N116" s="12"/>
      <c r="O116" s="12"/>
      <c r="P116" s="33">
        <v>10.4</v>
      </c>
      <c r="Q116" s="12"/>
      <c r="R116" s="12"/>
      <c r="S116" s="33">
        <f>ROUND(ROUND(P116, 2)*I116, 2)</f>
        <v>345.28</v>
      </c>
      <c r="T116" s="12"/>
      <c r="U116" s="34"/>
      <c r="V116" s="9">
        <f>ROUND(ROUND(P116, 2)/1.2, 2)</f>
        <v>8.67</v>
      </c>
      <c r="Y116" s="9">
        <f t="shared" si="26"/>
        <v>287.73</v>
      </c>
      <c r="AD116" s="4" t="s">
        <v>409</v>
      </c>
      <c r="AE116" s="4" t="s">
        <v>410</v>
      </c>
      <c r="AF116" s="4" t="s">
        <v>306</v>
      </c>
    </row>
    <row r="117" spans="1:35" ht="36" x14ac:dyDescent="0.3">
      <c r="A117" s="11" t="s">
        <v>411</v>
      </c>
      <c r="B117" s="11" t="s">
        <v>385</v>
      </c>
      <c r="C117" s="20" t="s">
        <v>386</v>
      </c>
      <c r="D117" s="21"/>
      <c r="E117" s="21" t="s">
        <v>412</v>
      </c>
      <c r="F117" s="21" t="s">
        <v>57</v>
      </c>
      <c r="G117" s="22">
        <v>1</v>
      </c>
      <c r="H117" s="21"/>
      <c r="I117" s="22">
        <v>31.9</v>
      </c>
      <c r="J117" s="23">
        <f>IFERROR(ROUND(SUM(M118,M119,M120)/I117, 2),0)</f>
        <v>179.8</v>
      </c>
      <c r="K117" s="23">
        <v>557</v>
      </c>
      <c r="L117" s="23">
        <f>J117+ROUND(K117, 2)</f>
        <v>736.8</v>
      </c>
      <c r="M117" s="23">
        <f>ROUND(J117*I117, 2)</f>
        <v>5735.62</v>
      </c>
      <c r="N117" s="23">
        <f>ROUND(I117*ROUND(K117, 2), 2)</f>
        <v>17768.3</v>
      </c>
      <c r="O117" s="23">
        <f>M117+N117</f>
        <v>23503.919999999998</v>
      </c>
      <c r="P117" s="23">
        <f>IFERROR(ROUND(SUM(S118,S119,S120)/I117, 2),0)</f>
        <v>186.46</v>
      </c>
      <c r="Q117" s="23">
        <v>557</v>
      </c>
      <c r="R117" s="23">
        <f>P117+ROUND(Q117, 2)</f>
        <v>743.46</v>
      </c>
      <c r="S117" s="23">
        <f>ROUND(P117*I117, 2)</f>
        <v>5948.07</v>
      </c>
      <c r="T117" s="23">
        <f>ROUND(I117*ROUND(Q117, 2), 2)</f>
        <v>17768.3</v>
      </c>
      <c r="U117" s="23">
        <f>S117+T117</f>
        <v>23716.37</v>
      </c>
      <c r="V117" s="9">
        <f>ROUND(P117 / 1.2, 2)</f>
        <v>155.38</v>
      </c>
      <c r="W117" s="9">
        <f>ROUND(Q117 / 1.2, 2)</f>
        <v>464.17</v>
      </c>
      <c r="X117" s="9">
        <f>ROUND(R117 / 1.2, 2)</f>
        <v>619.54999999999995</v>
      </c>
      <c r="Y117" s="9">
        <f t="shared" si="26"/>
        <v>4956.7299999999996</v>
      </c>
      <c r="Z117" s="9">
        <f>ROUND(T117 / 1.2, 2)</f>
        <v>14806.92</v>
      </c>
      <c r="AA117" s="9">
        <f>Y117+Z117</f>
        <v>19763.650000000001</v>
      </c>
      <c r="AD117" s="4">
        <v>341534368</v>
      </c>
      <c r="AE117" s="4">
        <v>28297398</v>
      </c>
      <c r="AG117" s="4" t="s">
        <v>388</v>
      </c>
      <c r="AH117" s="4" t="s">
        <v>389</v>
      </c>
      <c r="AI117" s="4" t="s">
        <v>241</v>
      </c>
    </row>
    <row r="118" spans="1:35" ht="36" x14ac:dyDescent="0.3">
      <c r="A118" s="11" t="s">
        <v>413</v>
      </c>
      <c r="B118" s="11"/>
      <c r="C118" s="35" t="s">
        <v>244</v>
      </c>
      <c r="D118" s="21"/>
      <c r="E118" s="21"/>
      <c r="F118" s="31" t="s">
        <v>76</v>
      </c>
      <c r="G118" s="32">
        <v>1.6</v>
      </c>
      <c r="H118" s="21"/>
      <c r="I118" s="37">
        <v>510.4</v>
      </c>
      <c r="J118" s="33">
        <v>9.2200000000000006</v>
      </c>
      <c r="K118" s="12"/>
      <c r="L118" s="12"/>
      <c r="M118" s="33">
        <f>ROUND(ROUND(J118, 2)*I118, 2)</f>
        <v>4705.8900000000003</v>
      </c>
      <c r="N118" s="12"/>
      <c r="O118" s="12"/>
      <c r="P118" s="33">
        <v>9.67</v>
      </c>
      <c r="Q118" s="12"/>
      <c r="R118" s="12"/>
      <c r="S118" s="33">
        <f>ROUND(ROUND(P118, 2)*I118, 2)</f>
        <v>4935.57</v>
      </c>
      <c r="T118" s="12"/>
      <c r="U118" s="34"/>
      <c r="V118" s="9">
        <f>ROUND(ROUND(P118, 2)/1.2, 2)</f>
        <v>8.06</v>
      </c>
      <c r="Y118" s="9">
        <f t="shared" si="26"/>
        <v>4112.9799999999996</v>
      </c>
      <c r="AD118" s="4" t="s">
        <v>414</v>
      </c>
      <c r="AE118" s="4" t="s">
        <v>415</v>
      </c>
      <c r="AF118" s="4" t="s">
        <v>399</v>
      </c>
    </row>
    <row r="119" spans="1:35" ht="36" x14ac:dyDescent="0.3">
      <c r="A119" s="11" t="s">
        <v>416</v>
      </c>
      <c r="B119" s="11"/>
      <c r="C119" s="30" t="s">
        <v>252</v>
      </c>
      <c r="D119" s="21"/>
      <c r="E119" s="21"/>
      <c r="F119" s="31" t="s">
        <v>76</v>
      </c>
      <c r="G119" s="32">
        <v>0.255</v>
      </c>
      <c r="H119" s="21"/>
      <c r="I119" s="32">
        <v>8.1349999999999998</v>
      </c>
      <c r="J119" s="33">
        <v>90.28</v>
      </c>
      <c r="K119" s="12"/>
      <c r="L119" s="12"/>
      <c r="M119" s="33">
        <f>ROUND(ROUND(J119, 2)*I119, 2)</f>
        <v>734.43</v>
      </c>
      <c r="N119" s="12"/>
      <c r="O119" s="12"/>
      <c r="P119" s="33">
        <v>88.8</v>
      </c>
      <c r="Q119" s="12"/>
      <c r="R119" s="12"/>
      <c r="S119" s="33">
        <f>ROUND(ROUND(P119, 2)*I119, 2)</f>
        <v>722.39</v>
      </c>
      <c r="T119" s="12"/>
      <c r="U119" s="34"/>
      <c r="V119" s="9">
        <f>ROUND(ROUND(P119, 2)/1.2, 2)</f>
        <v>74</v>
      </c>
      <c r="Y119" s="9">
        <f t="shared" si="26"/>
        <v>601.99</v>
      </c>
      <c r="AD119" s="4" t="s">
        <v>417</v>
      </c>
      <c r="AE119" s="4" t="s">
        <v>418</v>
      </c>
      <c r="AF119" s="4" t="s">
        <v>255</v>
      </c>
    </row>
    <row r="120" spans="1:35" ht="18" x14ac:dyDescent="0.3">
      <c r="A120" s="11" t="s">
        <v>419</v>
      </c>
      <c r="B120" s="11"/>
      <c r="C120" s="30" t="s">
        <v>303</v>
      </c>
      <c r="D120" s="21"/>
      <c r="E120" s="21"/>
      <c r="F120" s="31" t="s">
        <v>123</v>
      </c>
      <c r="G120" s="32">
        <v>1</v>
      </c>
      <c r="H120" s="21"/>
      <c r="I120" s="37">
        <v>27.9</v>
      </c>
      <c r="J120" s="33">
        <v>10.58</v>
      </c>
      <c r="K120" s="12"/>
      <c r="L120" s="12"/>
      <c r="M120" s="33">
        <f>ROUND(ROUND(J120, 2)*I120, 2)</f>
        <v>295.18</v>
      </c>
      <c r="N120" s="12"/>
      <c r="O120" s="12"/>
      <c r="P120" s="33">
        <v>10.4</v>
      </c>
      <c r="Q120" s="12"/>
      <c r="R120" s="12"/>
      <c r="S120" s="33">
        <f>ROUND(ROUND(P120, 2)*I120, 2)</f>
        <v>290.16000000000003</v>
      </c>
      <c r="T120" s="12"/>
      <c r="U120" s="34"/>
      <c r="V120" s="9">
        <f>ROUND(ROUND(P120, 2)/1.2, 2)</f>
        <v>8.67</v>
      </c>
      <c r="Y120" s="9">
        <f t="shared" si="26"/>
        <v>241.8</v>
      </c>
      <c r="AD120" s="4" t="s">
        <v>420</v>
      </c>
      <c r="AE120" s="4" t="s">
        <v>421</v>
      </c>
      <c r="AF120" s="4" t="s">
        <v>306</v>
      </c>
    </row>
    <row r="121" spans="1:35" ht="16.95" customHeight="1" x14ac:dyDescent="0.3">
      <c r="A121" s="10" t="s">
        <v>422</v>
      </c>
      <c r="B121" s="10" t="s">
        <v>423</v>
      </c>
      <c r="C121" s="121" t="s">
        <v>424</v>
      </c>
      <c r="D121" s="122"/>
      <c r="E121" s="122"/>
      <c r="F121" s="122"/>
      <c r="G121" s="122"/>
      <c r="H121" s="122"/>
      <c r="I121" s="123"/>
      <c r="M121" s="6">
        <f>SUM(M122,M128,M134)</f>
        <v>0</v>
      </c>
      <c r="N121" s="6">
        <f>SUM(N122,N128,N134)</f>
        <v>0</v>
      </c>
      <c r="O121" s="6">
        <f>SUM(O122,O128,O134)</f>
        <v>0</v>
      </c>
      <c r="S121" s="6">
        <f>SUM(S122,S128,S134)</f>
        <v>0</v>
      </c>
      <c r="T121" s="6">
        <f>SUM(T122,T128,T134)</f>
        <v>0</v>
      </c>
      <c r="U121" s="6">
        <f>SUM(U122,U128,U134)</f>
        <v>0</v>
      </c>
      <c r="Y121" s="9">
        <f>SUM(Y122,Y128,Y134)</f>
        <v>0</v>
      </c>
      <c r="Z121" s="9">
        <f>SUM(Z122,Z128,Z134)</f>
        <v>0</v>
      </c>
      <c r="AA121" s="9">
        <f>SUM(AA122,AA128,AA134)</f>
        <v>0</v>
      </c>
      <c r="AD121" s="4">
        <v>341534301</v>
      </c>
      <c r="AE121" s="4">
        <v>25837350</v>
      </c>
    </row>
    <row r="122" spans="1:35" ht="36" x14ac:dyDescent="0.3">
      <c r="A122" s="38" t="s">
        <v>425</v>
      </c>
      <c r="B122" s="38" t="s">
        <v>426</v>
      </c>
      <c r="C122" s="39" t="s">
        <v>427</v>
      </c>
      <c r="D122" s="40"/>
      <c r="E122" s="40" t="s">
        <v>428</v>
      </c>
      <c r="F122" s="40" t="s">
        <v>57</v>
      </c>
      <c r="G122" s="41">
        <v>1</v>
      </c>
      <c r="H122" s="40"/>
      <c r="I122" s="42">
        <v>0</v>
      </c>
      <c r="J122" s="43">
        <v>5429.9</v>
      </c>
      <c r="K122" s="43">
        <v>439</v>
      </c>
      <c r="L122" s="43">
        <f>J122+ROUND(K122, 2)</f>
        <v>5868.9</v>
      </c>
      <c r="M122" s="43">
        <v>0</v>
      </c>
      <c r="N122" s="43">
        <v>0</v>
      </c>
      <c r="O122" s="43">
        <f>M122+N122</f>
        <v>0</v>
      </c>
      <c r="P122" s="43">
        <v>5429.9</v>
      </c>
      <c r="Q122" s="43">
        <v>439</v>
      </c>
      <c r="R122" s="43">
        <f>P122+ROUND(Q122, 2)</f>
        <v>5868.9</v>
      </c>
      <c r="S122" s="43">
        <v>0</v>
      </c>
      <c r="T122" s="43">
        <v>0</v>
      </c>
      <c r="U122" s="43">
        <f>S122+T122</f>
        <v>0</v>
      </c>
      <c r="V122" s="9">
        <f>ROUND(P122 / 1.2, 2)</f>
        <v>4524.92</v>
      </c>
      <c r="W122" s="9">
        <f>ROUND(Q122 / 1.2, 2)</f>
        <v>365.83</v>
      </c>
      <c r="X122" s="9">
        <f>ROUND(R122 / 1.2, 2)</f>
        <v>4890.75</v>
      </c>
      <c r="Y122" s="9">
        <f>ROUND(S122 / 1.2, 2)</f>
        <v>0</v>
      </c>
      <c r="Z122" s="9">
        <f>ROUND(T122 / 1.2, 2)</f>
        <v>0</v>
      </c>
      <c r="AA122" s="9">
        <f>Y122+Z122</f>
        <v>0</v>
      </c>
      <c r="AD122" s="4">
        <v>341534303</v>
      </c>
      <c r="AE122" s="4">
        <v>25837392</v>
      </c>
      <c r="AG122" s="4" t="s">
        <v>429</v>
      </c>
      <c r="AH122" s="4" t="s">
        <v>430</v>
      </c>
      <c r="AI122" s="4" t="s">
        <v>241</v>
      </c>
    </row>
    <row r="123" spans="1:35" ht="36" x14ac:dyDescent="0.3">
      <c r="A123" s="44" t="s">
        <v>431</v>
      </c>
      <c r="B123" s="44" t="s">
        <v>426</v>
      </c>
      <c r="C123" s="45" t="s">
        <v>427</v>
      </c>
      <c r="D123" s="46"/>
      <c r="E123" s="46" t="s">
        <v>428</v>
      </c>
      <c r="F123" s="46" t="s">
        <v>57</v>
      </c>
      <c r="G123" s="47">
        <v>1</v>
      </c>
      <c r="H123" s="46"/>
      <c r="I123" s="47">
        <v>362.4</v>
      </c>
      <c r="J123" s="48">
        <v>5429.9</v>
      </c>
      <c r="K123" s="48">
        <v>439</v>
      </c>
      <c r="L123" s="48">
        <v>439</v>
      </c>
      <c r="M123" s="48">
        <v>1967795.76</v>
      </c>
      <c r="N123" s="48">
        <v>159093.6</v>
      </c>
      <c r="O123" s="48"/>
      <c r="P123" s="48">
        <v>5429.9</v>
      </c>
      <c r="Q123" s="48">
        <v>439</v>
      </c>
      <c r="R123" s="48">
        <v>439</v>
      </c>
      <c r="S123" s="48">
        <v>1967795.76</v>
      </c>
      <c r="T123" s="48">
        <v>159093.6</v>
      </c>
      <c r="U123" s="48"/>
      <c r="V123" s="9"/>
      <c r="W123" s="9">
        <f>ROUND(Q123 / 1.2, 2)</f>
        <v>365.83</v>
      </c>
      <c r="X123" s="9">
        <f>ROUND(R123 / 1.2, 2)</f>
        <v>365.83</v>
      </c>
      <c r="Y123" s="9"/>
      <c r="Z123" s="9">
        <f>ROUND(T123 / 1.2, 2)</f>
        <v>132578</v>
      </c>
      <c r="AA123" s="9"/>
      <c r="AD123" s="4">
        <v>314469353</v>
      </c>
      <c r="AE123" s="4">
        <v>25837392</v>
      </c>
      <c r="AG123" s="4" t="s">
        <v>429</v>
      </c>
      <c r="AH123" s="4" t="s">
        <v>430</v>
      </c>
      <c r="AI123" s="4"/>
    </row>
    <row r="124" spans="1:35" ht="18" x14ac:dyDescent="0.3">
      <c r="A124" s="38" t="s">
        <v>432</v>
      </c>
      <c r="B124" s="38"/>
      <c r="C124" s="49" t="s">
        <v>433</v>
      </c>
      <c r="D124" s="40"/>
      <c r="E124" s="40"/>
      <c r="F124" s="50" t="s">
        <v>98</v>
      </c>
      <c r="G124" s="51">
        <v>0.1</v>
      </c>
      <c r="H124" s="40"/>
      <c r="I124" s="62">
        <v>0</v>
      </c>
      <c r="J124" s="53">
        <v>600</v>
      </c>
      <c r="K124" s="54"/>
      <c r="L124" s="54"/>
      <c r="M124" s="53">
        <f>ROUND(ROUND(J124, 2)*I124, 2)</f>
        <v>0</v>
      </c>
      <c r="N124" s="54"/>
      <c r="O124" s="54"/>
      <c r="P124" s="53">
        <v>600</v>
      </c>
      <c r="Q124" s="54"/>
      <c r="R124" s="54"/>
      <c r="S124" s="53">
        <f>ROUND(ROUND(P124, 2)*I124, 2)</f>
        <v>0</v>
      </c>
      <c r="T124" s="54"/>
      <c r="U124" s="55"/>
      <c r="V124" s="9">
        <f>ROUND(ROUND(P124, 2)/1.2, 2)</f>
        <v>500</v>
      </c>
      <c r="Y124" s="9">
        <f>ROUND(S124 / 1.2, 2)</f>
        <v>0</v>
      </c>
      <c r="AD124" s="4" t="s">
        <v>434</v>
      </c>
      <c r="AE124" s="4" t="s">
        <v>435</v>
      </c>
      <c r="AF124" s="4" t="s">
        <v>436</v>
      </c>
    </row>
    <row r="125" spans="1:35" ht="18" x14ac:dyDescent="0.3">
      <c r="A125" s="44" t="s">
        <v>437</v>
      </c>
      <c r="B125" s="44"/>
      <c r="C125" s="56" t="s">
        <v>433</v>
      </c>
      <c r="D125" s="46"/>
      <c r="E125" s="46"/>
      <c r="F125" s="57" t="s">
        <v>98</v>
      </c>
      <c r="G125" s="58">
        <v>0.1</v>
      </c>
      <c r="H125" s="46"/>
      <c r="I125" s="63">
        <v>36.24</v>
      </c>
      <c r="J125" s="59">
        <v>600</v>
      </c>
      <c r="K125" s="60"/>
      <c r="L125" s="60"/>
      <c r="M125" s="59">
        <f>ROUND(ROUND(J125, 2)*I125, 2)</f>
        <v>21744</v>
      </c>
      <c r="N125" s="60"/>
      <c r="O125" s="60"/>
      <c r="P125" s="59">
        <v>600</v>
      </c>
      <c r="Q125" s="60"/>
      <c r="R125" s="60"/>
      <c r="S125" s="59">
        <f>ROUND(ROUND(P125, 2)*I125, 2)</f>
        <v>21744</v>
      </c>
      <c r="T125" s="60"/>
      <c r="U125" s="61"/>
      <c r="V125" s="9">
        <f>ROUND(ROUND(P125, 2)/1.2, 2)</f>
        <v>500</v>
      </c>
      <c r="Y125" s="9">
        <f>ROUND(S125 / 1.2, 2)</f>
        <v>18120</v>
      </c>
      <c r="AD125" s="4" t="s">
        <v>438</v>
      </c>
      <c r="AE125" s="4" t="s">
        <v>435</v>
      </c>
      <c r="AF125" s="4" t="s">
        <v>436</v>
      </c>
    </row>
    <row r="126" spans="1:35" ht="18" x14ac:dyDescent="0.3">
      <c r="A126" s="38" t="s">
        <v>439</v>
      </c>
      <c r="B126" s="38"/>
      <c r="C126" s="49" t="s">
        <v>440</v>
      </c>
      <c r="D126" s="40"/>
      <c r="E126" s="40"/>
      <c r="F126" s="50" t="s">
        <v>441</v>
      </c>
      <c r="G126" s="51">
        <v>1.03</v>
      </c>
      <c r="H126" s="40"/>
      <c r="I126" s="62">
        <v>0</v>
      </c>
      <c r="J126" s="53">
        <v>5213.5</v>
      </c>
      <c r="K126" s="54"/>
      <c r="L126" s="54"/>
      <c r="M126" s="53">
        <f>ROUND(ROUND(J126, 2)*I126, 2)</f>
        <v>0</v>
      </c>
      <c r="N126" s="54"/>
      <c r="O126" s="54"/>
      <c r="P126" s="53">
        <v>5213.5</v>
      </c>
      <c r="Q126" s="54"/>
      <c r="R126" s="54"/>
      <c r="S126" s="53">
        <f>ROUND(ROUND(P126, 2)*I126, 2)</f>
        <v>0</v>
      </c>
      <c r="T126" s="54"/>
      <c r="U126" s="55"/>
      <c r="V126" s="9">
        <f>ROUND(ROUND(P126, 2)/1.2, 2)</f>
        <v>4344.58</v>
      </c>
      <c r="Y126" s="9">
        <f>ROUND(S126 / 1.2, 2)</f>
        <v>0</v>
      </c>
      <c r="AD126" s="4" t="s">
        <v>442</v>
      </c>
      <c r="AE126" s="4" t="s">
        <v>443</v>
      </c>
      <c r="AF126" s="4" t="s">
        <v>444</v>
      </c>
    </row>
    <row r="127" spans="1:35" ht="18" x14ac:dyDescent="0.3">
      <c r="A127" s="44" t="s">
        <v>445</v>
      </c>
      <c r="B127" s="44"/>
      <c r="C127" s="56" t="s">
        <v>440</v>
      </c>
      <c r="D127" s="46"/>
      <c r="E127" s="46"/>
      <c r="F127" s="57" t="s">
        <v>441</v>
      </c>
      <c r="G127" s="58">
        <v>1.03</v>
      </c>
      <c r="H127" s="46"/>
      <c r="I127" s="63">
        <v>373.27199999999999</v>
      </c>
      <c r="J127" s="59">
        <v>5213.5</v>
      </c>
      <c r="K127" s="60"/>
      <c r="L127" s="60"/>
      <c r="M127" s="59">
        <f>ROUND(ROUND(J127, 2)*I127, 2)</f>
        <v>1946053.57</v>
      </c>
      <c r="N127" s="60"/>
      <c r="O127" s="60"/>
      <c r="P127" s="59">
        <v>5213.5</v>
      </c>
      <c r="Q127" s="60"/>
      <c r="R127" s="60"/>
      <c r="S127" s="59">
        <f>ROUND(ROUND(P127, 2)*I127, 2)</f>
        <v>1946053.57</v>
      </c>
      <c r="T127" s="60"/>
      <c r="U127" s="61"/>
      <c r="V127" s="9">
        <f>ROUND(ROUND(P127, 2)/1.2, 2)</f>
        <v>4344.58</v>
      </c>
      <c r="Y127" s="9">
        <f>ROUND(S127 / 1.2, 2)</f>
        <v>1621711.31</v>
      </c>
      <c r="AD127" s="4" t="s">
        <v>446</v>
      </c>
      <c r="AE127" s="4" t="s">
        <v>443</v>
      </c>
      <c r="AF127" s="4" t="s">
        <v>444</v>
      </c>
    </row>
    <row r="128" spans="1:35" ht="36" x14ac:dyDescent="0.3">
      <c r="A128" s="38" t="s">
        <v>447</v>
      </c>
      <c r="B128" s="38" t="s">
        <v>426</v>
      </c>
      <c r="C128" s="39" t="s">
        <v>427</v>
      </c>
      <c r="D128" s="40"/>
      <c r="E128" s="40" t="s">
        <v>448</v>
      </c>
      <c r="F128" s="40" t="s">
        <v>57</v>
      </c>
      <c r="G128" s="41">
        <v>1</v>
      </c>
      <c r="H128" s="40"/>
      <c r="I128" s="42">
        <v>0</v>
      </c>
      <c r="J128" s="43">
        <v>5429.9</v>
      </c>
      <c r="K128" s="43">
        <v>439</v>
      </c>
      <c r="L128" s="43">
        <f>J128+ROUND(K128, 2)</f>
        <v>5868.9</v>
      </c>
      <c r="M128" s="43">
        <v>0</v>
      </c>
      <c r="N128" s="43">
        <v>0</v>
      </c>
      <c r="O128" s="43">
        <f>M128+N128</f>
        <v>0</v>
      </c>
      <c r="P128" s="43">
        <v>5429.9</v>
      </c>
      <c r="Q128" s="43">
        <v>439</v>
      </c>
      <c r="R128" s="43">
        <f>P128+ROUND(Q128, 2)</f>
        <v>5868.9</v>
      </c>
      <c r="S128" s="43">
        <v>0</v>
      </c>
      <c r="T128" s="43">
        <v>0</v>
      </c>
      <c r="U128" s="43">
        <f>S128+T128</f>
        <v>0</v>
      </c>
      <c r="V128" s="9">
        <f>ROUND(P128 / 1.2, 2)</f>
        <v>4524.92</v>
      </c>
      <c r="W128" s="9">
        <f>ROUND(Q128 / 1.2, 2)</f>
        <v>365.83</v>
      </c>
      <c r="X128" s="9">
        <f>ROUND(R128 / 1.2, 2)</f>
        <v>4890.75</v>
      </c>
      <c r="Y128" s="9">
        <f>ROUND(S128 / 1.2, 2)</f>
        <v>0</v>
      </c>
      <c r="Z128" s="9">
        <f>ROUND(T128 / 1.2, 2)</f>
        <v>0</v>
      </c>
      <c r="AA128" s="9">
        <f>Y128+Z128</f>
        <v>0</v>
      </c>
      <c r="AD128" s="4">
        <v>341534369</v>
      </c>
      <c r="AE128" s="4">
        <v>25837377</v>
      </c>
      <c r="AG128" s="4" t="s">
        <v>429</v>
      </c>
      <c r="AH128" s="4" t="s">
        <v>430</v>
      </c>
      <c r="AI128" s="4" t="s">
        <v>241</v>
      </c>
    </row>
    <row r="129" spans="1:35" ht="36" x14ac:dyDescent="0.3">
      <c r="A129" s="44" t="s">
        <v>449</v>
      </c>
      <c r="B129" s="44" t="s">
        <v>426</v>
      </c>
      <c r="C129" s="45" t="s">
        <v>427</v>
      </c>
      <c r="D129" s="46"/>
      <c r="E129" s="46" t="s">
        <v>448</v>
      </c>
      <c r="F129" s="46" t="s">
        <v>57</v>
      </c>
      <c r="G129" s="47">
        <v>1</v>
      </c>
      <c r="H129" s="46"/>
      <c r="I129" s="47">
        <v>148.1</v>
      </c>
      <c r="J129" s="48">
        <v>5429.9</v>
      </c>
      <c r="K129" s="48">
        <v>439</v>
      </c>
      <c r="L129" s="48">
        <v>439</v>
      </c>
      <c r="M129" s="48">
        <v>804168.19</v>
      </c>
      <c r="N129" s="48">
        <v>65015.9</v>
      </c>
      <c r="O129" s="48"/>
      <c r="P129" s="48">
        <v>5429.9</v>
      </c>
      <c r="Q129" s="48">
        <v>439</v>
      </c>
      <c r="R129" s="48">
        <v>439</v>
      </c>
      <c r="S129" s="48">
        <v>804168.19</v>
      </c>
      <c r="T129" s="48">
        <v>65015.9</v>
      </c>
      <c r="U129" s="48"/>
      <c r="V129" s="9"/>
      <c r="W129" s="9">
        <f>ROUND(Q129 / 1.2, 2)</f>
        <v>365.83</v>
      </c>
      <c r="X129" s="9">
        <f>ROUND(R129 / 1.2, 2)</f>
        <v>365.83</v>
      </c>
      <c r="Y129" s="9"/>
      <c r="Z129" s="9">
        <f>ROUND(T129 / 1.2, 2)</f>
        <v>54179.92</v>
      </c>
      <c r="AA129" s="9"/>
      <c r="AD129" s="4">
        <v>314469354</v>
      </c>
      <c r="AE129" s="4">
        <v>25837377</v>
      </c>
      <c r="AG129" s="4" t="s">
        <v>429</v>
      </c>
      <c r="AH129" s="4" t="s">
        <v>430</v>
      </c>
      <c r="AI129" s="4"/>
    </row>
    <row r="130" spans="1:35" ht="18" x14ac:dyDescent="0.3">
      <c r="A130" s="38" t="s">
        <v>450</v>
      </c>
      <c r="B130" s="38"/>
      <c r="C130" s="49" t="s">
        <v>440</v>
      </c>
      <c r="D130" s="40"/>
      <c r="E130" s="40"/>
      <c r="F130" s="50" t="s">
        <v>441</v>
      </c>
      <c r="G130" s="51">
        <v>1.03</v>
      </c>
      <c r="H130" s="40"/>
      <c r="I130" s="62">
        <v>0</v>
      </c>
      <c r="J130" s="53">
        <v>5213.5</v>
      </c>
      <c r="K130" s="54"/>
      <c r="L130" s="54"/>
      <c r="M130" s="53">
        <f>ROUND(ROUND(J130, 2)*I130, 2)</f>
        <v>0</v>
      </c>
      <c r="N130" s="54"/>
      <c r="O130" s="54"/>
      <c r="P130" s="53">
        <v>5213.5</v>
      </c>
      <c r="Q130" s="54"/>
      <c r="R130" s="54"/>
      <c r="S130" s="53">
        <f>ROUND(ROUND(P130, 2)*I130, 2)</f>
        <v>0</v>
      </c>
      <c r="T130" s="54"/>
      <c r="U130" s="55"/>
      <c r="V130" s="9">
        <f>ROUND(ROUND(P130, 2)/1.2, 2)</f>
        <v>4344.58</v>
      </c>
      <c r="Y130" s="9">
        <f>ROUND(S130 / 1.2, 2)</f>
        <v>0</v>
      </c>
      <c r="AD130" s="4" t="s">
        <v>451</v>
      </c>
      <c r="AE130" s="4" t="s">
        <v>452</v>
      </c>
      <c r="AF130" s="4" t="s">
        <v>444</v>
      </c>
    </row>
    <row r="131" spans="1:35" ht="18" x14ac:dyDescent="0.3">
      <c r="A131" s="44" t="s">
        <v>453</v>
      </c>
      <c r="B131" s="44"/>
      <c r="C131" s="56" t="s">
        <v>440</v>
      </c>
      <c r="D131" s="46"/>
      <c r="E131" s="46"/>
      <c r="F131" s="57" t="s">
        <v>441</v>
      </c>
      <c r="G131" s="58">
        <v>1.03</v>
      </c>
      <c r="H131" s="46"/>
      <c r="I131" s="63">
        <v>152.54300000000001</v>
      </c>
      <c r="J131" s="59">
        <v>5213.5</v>
      </c>
      <c r="K131" s="60"/>
      <c r="L131" s="60"/>
      <c r="M131" s="59">
        <f>ROUND(ROUND(J131, 2)*I131, 2)</f>
        <v>795282.93</v>
      </c>
      <c r="N131" s="60"/>
      <c r="O131" s="60"/>
      <c r="P131" s="59">
        <v>5213.5</v>
      </c>
      <c r="Q131" s="60"/>
      <c r="R131" s="60"/>
      <c r="S131" s="59">
        <f>ROUND(ROUND(P131, 2)*I131, 2)</f>
        <v>795282.93</v>
      </c>
      <c r="T131" s="60"/>
      <c r="U131" s="61"/>
      <c r="V131" s="9">
        <f>ROUND(ROUND(P131, 2)/1.2, 2)</f>
        <v>4344.58</v>
      </c>
      <c r="Y131" s="9">
        <f>ROUND(S131 / 1.2, 2)</f>
        <v>662735.78</v>
      </c>
      <c r="AD131" s="4" t="s">
        <v>454</v>
      </c>
      <c r="AE131" s="4" t="s">
        <v>452</v>
      </c>
      <c r="AF131" s="4" t="s">
        <v>444</v>
      </c>
    </row>
    <row r="132" spans="1:35" ht="18" x14ac:dyDescent="0.3">
      <c r="A132" s="38" t="s">
        <v>455</v>
      </c>
      <c r="B132" s="38"/>
      <c r="C132" s="49" t="s">
        <v>433</v>
      </c>
      <c r="D132" s="40"/>
      <c r="E132" s="40"/>
      <c r="F132" s="50" t="s">
        <v>98</v>
      </c>
      <c r="G132" s="51">
        <v>0.1</v>
      </c>
      <c r="H132" s="40"/>
      <c r="I132" s="62">
        <v>0</v>
      </c>
      <c r="J132" s="53">
        <v>600</v>
      </c>
      <c r="K132" s="54"/>
      <c r="L132" s="54"/>
      <c r="M132" s="53">
        <f>ROUND(ROUND(J132, 2)*I132, 2)</f>
        <v>0</v>
      </c>
      <c r="N132" s="54"/>
      <c r="O132" s="54"/>
      <c r="P132" s="53">
        <v>600</v>
      </c>
      <c r="Q132" s="54"/>
      <c r="R132" s="54"/>
      <c r="S132" s="53">
        <f>ROUND(ROUND(P132, 2)*I132, 2)</f>
        <v>0</v>
      </c>
      <c r="T132" s="54"/>
      <c r="U132" s="55"/>
      <c r="V132" s="9">
        <f>ROUND(ROUND(P132, 2)/1.2, 2)</f>
        <v>500</v>
      </c>
      <c r="Y132" s="9">
        <f>ROUND(S132 / 1.2, 2)</f>
        <v>0</v>
      </c>
      <c r="AD132" s="4" t="s">
        <v>456</v>
      </c>
      <c r="AE132" s="4" t="s">
        <v>457</v>
      </c>
      <c r="AF132" s="4" t="s">
        <v>436</v>
      </c>
    </row>
    <row r="133" spans="1:35" ht="18" x14ac:dyDescent="0.3">
      <c r="A133" s="44" t="s">
        <v>458</v>
      </c>
      <c r="B133" s="44"/>
      <c r="C133" s="56" t="s">
        <v>433</v>
      </c>
      <c r="D133" s="46"/>
      <c r="E133" s="46"/>
      <c r="F133" s="57" t="s">
        <v>98</v>
      </c>
      <c r="G133" s="58">
        <v>0.1</v>
      </c>
      <c r="H133" s="46"/>
      <c r="I133" s="63">
        <v>14.81</v>
      </c>
      <c r="J133" s="59">
        <v>600</v>
      </c>
      <c r="K133" s="60"/>
      <c r="L133" s="60"/>
      <c r="M133" s="59">
        <f>ROUND(ROUND(J133, 2)*I133, 2)</f>
        <v>8886</v>
      </c>
      <c r="N133" s="60"/>
      <c r="O133" s="60"/>
      <c r="P133" s="59">
        <v>600</v>
      </c>
      <c r="Q133" s="60"/>
      <c r="R133" s="60"/>
      <c r="S133" s="59">
        <f>ROUND(ROUND(P133, 2)*I133, 2)</f>
        <v>8886</v>
      </c>
      <c r="T133" s="60"/>
      <c r="U133" s="61"/>
      <c r="V133" s="9">
        <f>ROUND(ROUND(P133, 2)/1.2, 2)</f>
        <v>500</v>
      </c>
      <c r="Y133" s="9">
        <f>ROUND(S133 / 1.2, 2)</f>
        <v>7405</v>
      </c>
      <c r="AD133" s="4" t="s">
        <v>459</v>
      </c>
      <c r="AE133" s="4" t="s">
        <v>457</v>
      </c>
      <c r="AF133" s="4" t="s">
        <v>436</v>
      </c>
    </row>
    <row r="134" spans="1:35" ht="36" x14ac:dyDescent="0.3">
      <c r="A134" s="38" t="s">
        <v>460</v>
      </c>
      <c r="B134" s="38" t="s">
        <v>461</v>
      </c>
      <c r="C134" s="39" t="s">
        <v>462</v>
      </c>
      <c r="D134" s="40"/>
      <c r="E134" s="40" t="s">
        <v>463</v>
      </c>
      <c r="F134" s="40" t="s">
        <v>57</v>
      </c>
      <c r="G134" s="41">
        <v>1</v>
      </c>
      <c r="H134" s="40"/>
      <c r="I134" s="42">
        <v>0</v>
      </c>
      <c r="J134" s="43">
        <v>55.62</v>
      </c>
      <c r="K134" s="43">
        <v>56</v>
      </c>
      <c r="L134" s="43">
        <f>J134+ROUND(K134, 2)</f>
        <v>111.62</v>
      </c>
      <c r="M134" s="43">
        <v>0</v>
      </c>
      <c r="N134" s="43">
        <v>0</v>
      </c>
      <c r="O134" s="43">
        <f>M134+N134</f>
        <v>0</v>
      </c>
      <c r="P134" s="43">
        <v>55.62</v>
      </c>
      <c r="Q134" s="43">
        <v>56</v>
      </c>
      <c r="R134" s="43">
        <f>P134+ROUND(Q134, 2)</f>
        <v>111.62</v>
      </c>
      <c r="S134" s="43">
        <v>0</v>
      </c>
      <c r="T134" s="43">
        <v>0</v>
      </c>
      <c r="U134" s="43">
        <f>S134+T134</f>
        <v>0</v>
      </c>
      <c r="V134" s="9">
        <f>ROUND(P134 / 1.2, 2)</f>
        <v>46.35</v>
      </c>
      <c r="W134" s="9">
        <f>ROUND(Q134 / 1.2, 2)</f>
        <v>46.67</v>
      </c>
      <c r="X134" s="9">
        <f>ROUND(R134 / 1.2, 2)</f>
        <v>93.02</v>
      </c>
      <c r="Y134" s="9">
        <f>ROUND(S134 / 1.2, 2)</f>
        <v>0</v>
      </c>
      <c r="Z134" s="9">
        <f>ROUND(T134 / 1.2, 2)</f>
        <v>0</v>
      </c>
      <c r="AA134" s="9">
        <f>Y134+Z134</f>
        <v>0</v>
      </c>
      <c r="AD134" s="4">
        <v>341534304</v>
      </c>
      <c r="AE134" s="4">
        <v>25837407</v>
      </c>
      <c r="AG134" s="4" t="s">
        <v>464</v>
      </c>
      <c r="AH134" s="4" t="s">
        <v>465</v>
      </c>
      <c r="AI134" s="4" t="s">
        <v>241</v>
      </c>
    </row>
    <row r="135" spans="1:35" ht="36" x14ac:dyDescent="0.3">
      <c r="A135" s="44" t="s">
        <v>466</v>
      </c>
      <c r="B135" s="44" t="s">
        <v>461</v>
      </c>
      <c r="C135" s="45" t="s">
        <v>462</v>
      </c>
      <c r="D135" s="46"/>
      <c r="E135" s="46" t="s">
        <v>463</v>
      </c>
      <c r="F135" s="46" t="s">
        <v>57</v>
      </c>
      <c r="G135" s="47">
        <v>1</v>
      </c>
      <c r="H135" s="46"/>
      <c r="I135" s="47">
        <v>538.29999999999995</v>
      </c>
      <c r="J135" s="48">
        <v>55.62</v>
      </c>
      <c r="K135" s="48">
        <v>56</v>
      </c>
      <c r="L135" s="48">
        <v>56</v>
      </c>
      <c r="M135" s="48">
        <v>29940.25</v>
      </c>
      <c r="N135" s="48">
        <v>30144.799999999999</v>
      </c>
      <c r="O135" s="48"/>
      <c r="P135" s="48">
        <v>55.62</v>
      </c>
      <c r="Q135" s="48">
        <v>56</v>
      </c>
      <c r="R135" s="48">
        <v>56</v>
      </c>
      <c r="S135" s="48">
        <v>29940.25</v>
      </c>
      <c r="T135" s="48">
        <v>30144.799999999999</v>
      </c>
      <c r="U135" s="48"/>
      <c r="V135" s="9"/>
      <c r="W135" s="9">
        <f>ROUND(Q135 / 1.2, 2)</f>
        <v>46.67</v>
      </c>
      <c r="X135" s="9">
        <f>ROUND(R135 / 1.2, 2)</f>
        <v>46.67</v>
      </c>
      <c r="Y135" s="9"/>
      <c r="Z135" s="9">
        <f>ROUND(T135 / 1.2, 2)</f>
        <v>25120.67</v>
      </c>
      <c r="AA135" s="9"/>
      <c r="AD135" s="4">
        <v>314469355</v>
      </c>
      <c r="AE135" s="4">
        <v>25837407</v>
      </c>
      <c r="AG135" s="4" t="s">
        <v>464</v>
      </c>
      <c r="AH135" s="4" t="s">
        <v>465</v>
      </c>
      <c r="AI135" s="4"/>
    </row>
    <row r="136" spans="1:35" ht="54" x14ac:dyDescent="0.3">
      <c r="A136" s="38" t="s">
        <v>467</v>
      </c>
      <c r="B136" s="38"/>
      <c r="C136" s="49" t="s">
        <v>468</v>
      </c>
      <c r="D136" s="40"/>
      <c r="E136" s="40" t="s">
        <v>469</v>
      </c>
      <c r="F136" s="50" t="s">
        <v>57</v>
      </c>
      <c r="G136" s="51">
        <v>1.03</v>
      </c>
      <c r="H136" s="40"/>
      <c r="I136" s="52">
        <v>0</v>
      </c>
      <c r="J136" s="53">
        <v>54</v>
      </c>
      <c r="K136" s="54"/>
      <c r="L136" s="54"/>
      <c r="M136" s="53">
        <f>ROUND(ROUND(J136, 2)*I136, 2)</f>
        <v>0</v>
      </c>
      <c r="N136" s="54"/>
      <c r="O136" s="54"/>
      <c r="P136" s="53">
        <v>54</v>
      </c>
      <c r="Q136" s="54"/>
      <c r="R136" s="54"/>
      <c r="S136" s="53">
        <f>ROUND(ROUND(P136, 2)*I136, 2)</f>
        <v>0</v>
      </c>
      <c r="T136" s="54"/>
      <c r="U136" s="55"/>
      <c r="V136" s="9">
        <f>ROUND(ROUND(P136, 2)/1.2, 2)</f>
        <v>45</v>
      </c>
      <c r="Y136" s="9">
        <f>ROUND(S136 / 1.2, 2)</f>
        <v>0</v>
      </c>
      <c r="AD136" s="4" t="s">
        <v>470</v>
      </c>
      <c r="AE136" s="4" t="s">
        <v>471</v>
      </c>
      <c r="AF136" s="4" t="s">
        <v>472</v>
      </c>
    </row>
    <row r="137" spans="1:35" ht="54" x14ac:dyDescent="0.3">
      <c r="A137" s="44" t="s">
        <v>473</v>
      </c>
      <c r="B137" s="44"/>
      <c r="C137" s="56" t="s">
        <v>468</v>
      </c>
      <c r="D137" s="46"/>
      <c r="E137" s="46" t="s">
        <v>469</v>
      </c>
      <c r="F137" s="57" t="s">
        <v>57</v>
      </c>
      <c r="G137" s="58">
        <v>1.03</v>
      </c>
      <c r="H137" s="46"/>
      <c r="I137" s="58">
        <v>554.44899999999996</v>
      </c>
      <c r="J137" s="59">
        <v>54</v>
      </c>
      <c r="K137" s="60"/>
      <c r="L137" s="60"/>
      <c r="M137" s="59">
        <f>ROUND(ROUND(J137, 2)*I137, 2)</f>
        <v>29940.25</v>
      </c>
      <c r="N137" s="60"/>
      <c r="O137" s="60"/>
      <c r="P137" s="59">
        <v>54</v>
      </c>
      <c r="Q137" s="60"/>
      <c r="R137" s="60"/>
      <c r="S137" s="59">
        <f>ROUND(ROUND(P137, 2)*I137, 2)</f>
        <v>29940.25</v>
      </c>
      <c r="T137" s="60"/>
      <c r="U137" s="61"/>
      <c r="V137" s="9">
        <f>ROUND(ROUND(P137, 2)/1.2, 2)</f>
        <v>45</v>
      </c>
      <c r="Y137" s="9">
        <f>ROUND(S137 / 1.2, 2)</f>
        <v>24950.21</v>
      </c>
      <c r="AD137" s="4" t="s">
        <v>474</v>
      </c>
      <c r="AE137" s="4" t="s">
        <v>471</v>
      </c>
      <c r="AF137" s="4" t="s">
        <v>472</v>
      </c>
    </row>
    <row r="138" spans="1:35" ht="16.95" customHeight="1" x14ac:dyDescent="0.3">
      <c r="A138" s="10" t="s">
        <v>475</v>
      </c>
      <c r="B138" s="10" t="s">
        <v>476</v>
      </c>
      <c r="C138" s="121" t="s">
        <v>477</v>
      </c>
      <c r="D138" s="122"/>
      <c r="E138" s="122"/>
      <c r="F138" s="122"/>
      <c r="G138" s="122"/>
      <c r="H138" s="122"/>
      <c r="I138" s="123"/>
      <c r="M138" s="6">
        <f>SUM(M139,M149,M159,M169,M177,M183,M193,M203,M207)</f>
        <v>1530959.21</v>
      </c>
      <c r="N138" s="6">
        <f>SUM(N139,N149,N159,N169,N177,N183,N193,N203,N207)</f>
        <v>461573.28</v>
      </c>
      <c r="O138" s="6">
        <f>SUM(O139,O149,O159,O169,O177,O183,O193,O203,O207)</f>
        <v>1992532.4899999998</v>
      </c>
      <c r="S138" s="6">
        <f>SUM(S139,S149,S159,S169,S177,S183,S193,S203,S207)</f>
        <v>1646177.3</v>
      </c>
      <c r="T138" s="6">
        <f>SUM(T139,T149,T159,T169,T177,T183,T193,T203,T207)</f>
        <v>461573.28</v>
      </c>
      <c r="U138" s="6">
        <f>SUM(U139,U149,U159,U169,U177,U183,U193,U203,U207)</f>
        <v>2107750.58</v>
      </c>
      <c r="Y138" s="9">
        <f>SUM(Y139,Y149,Y159,Y169,Y177,Y183,Y193,Y203,Y207)</f>
        <v>1371814.43</v>
      </c>
      <c r="Z138" s="9">
        <f>SUM(Z139,Z149,Z159,Z169,Z177,Z183,Z193,Z203,Z207)</f>
        <v>384644.4</v>
      </c>
      <c r="AA138" s="9">
        <f>SUM(AA139,AA149,AA159,AA169,AA177,AA183,AA193,AA203,AA207)</f>
        <v>1756458.83</v>
      </c>
      <c r="AD138" s="4">
        <v>341534305</v>
      </c>
      <c r="AE138" s="4">
        <v>25837334</v>
      </c>
    </row>
    <row r="139" spans="1:35" ht="54" x14ac:dyDescent="0.3">
      <c r="A139" s="38" t="s">
        <v>478</v>
      </c>
      <c r="B139" s="38" t="s">
        <v>479</v>
      </c>
      <c r="C139" s="39" t="s">
        <v>480</v>
      </c>
      <c r="D139" s="40"/>
      <c r="E139" s="40" t="s">
        <v>481</v>
      </c>
      <c r="F139" s="40" t="s">
        <v>57</v>
      </c>
      <c r="G139" s="41">
        <v>1</v>
      </c>
      <c r="H139" s="40"/>
      <c r="I139" s="42">
        <v>0</v>
      </c>
      <c r="J139" s="43">
        <v>626.08000000000004</v>
      </c>
      <c r="K139" s="43">
        <v>1251</v>
      </c>
      <c r="L139" s="43">
        <f>J139+ROUND(K139, 2)</f>
        <v>1877.08</v>
      </c>
      <c r="M139" s="43">
        <v>0</v>
      </c>
      <c r="N139" s="43">
        <v>0</v>
      </c>
      <c r="O139" s="43">
        <f>M139+N139</f>
        <v>0</v>
      </c>
      <c r="P139" s="43">
        <v>1246.25</v>
      </c>
      <c r="Q139" s="43">
        <v>1251</v>
      </c>
      <c r="R139" s="43">
        <f>P139+ROUND(Q139, 2)</f>
        <v>2497.25</v>
      </c>
      <c r="S139" s="43">
        <v>0</v>
      </c>
      <c r="T139" s="43">
        <v>0</v>
      </c>
      <c r="U139" s="43">
        <f>S139+T139</f>
        <v>0</v>
      </c>
      <c r="V139" s="9">
        <f>ROUND(P139 / 1.2, 2)</f>
        <v>1038.54</v>
      </c>
      <c r="W139" s="9">
        <f>ROUND(Q139 / 1.2, 2)</f>
        <v>1042.5</v>
      </c>
      <c r="X139" s="9">
        <f>ROUND(R139 / 1.2, 2)</f>
        <v>2081.04</v>
      </c>
      <c r="Y139" s="9">
        <f>ROUND(S139 / 1.2, 2)</f>
        <v>0</v>
      </c>
      <c r="Z139" s="9">
        <f>ROUND(T139 / 1.2, 2)</f>
        <v>0</v>
      </c>
      <c r="AA139" s="9">
        <f>Y139+Z139</f>
        <v>0</v>
      </c>
      <c r="AD139" s="4">
        <v>341534307</v>
      </c>
      <c r="AE139" s="4">
        <v>25837379</v>
      </c>
      <c r="AG139" s="4" t="s">
        <v>482</v>
      </c>
      <c r="AH139" s="4" t="s">
        <v>483</v>
      </c>
      <c r="AI139" s="4" t="s">
        <v>241</v>
      </c>
    </row>
    <row r="140" spans="1:35" ht="54" x14ac:dyDescent="0.3">
      <c r="A140" s="44" t="s">
        <v>484</v>
      </c>
      <c r="B140" s="44" t="s">
        <v>479</v>
      </c>
      <c r="C140" s="45" t="s">
        <v>480</v>
      </c>
      <c r="D140" s="46"/>
      <c r="E140" s="46" t="s">
        <v>481</v>
      </c>
      <c r="F140" s="46" t="s">
        <v>57</v>
      </c>
      <c r="G140" s="47">
        <v>1</v>
      </c>
      <c r="H140" s="46"/>
      <c r="I140" s="47">
        <v>21.4</v>
      </c>
      <c r="J140" s="48">
        <v>626.08000000000004</v>
      </c>
      <c r="K140" s="48">
        <v>1251</v>
      </c>
      <c r="L140" s="48">
        <v>1251</v>
      </c>
      <c r="M140" s="48">
        <v>13398.11</v>
      </c>
      <c r="N140" s="48">
        <v>26771.4</v>
      </c>
      <c r="O140" s="48"/>
      <c r="P140" s="48">
        <v>1246.25</v>
      </c>
      <c r="Q140" s="48">
        <v>1251</v>
      </c>
      <c r="R140" s="48">
        <v>1251</v>
      </c>
      <c r="S140" s="48">
        <v>26669.75</v>
      </c>
      <c r="T140" s="48">
        <v>26771.4</v>
      </c>
      <c r="U140" s="48"/>
      <c r="V140" s="9"/>
      <c r="W140" s="9">
        <f>ROUND(Q140 / 1.2, 2)</f>
        <v>1042.5</v>
      </c>
      <c r="X140" s="9">
        <f>ROUND(R140 / 1.2, 2)</f>
        <v>1042.5</v>
      </c>
      <c r="Y140" s="9"/>
      <c r="Z140" s="9">
        <f>ROUND(T140 / 1.2, 2)</f>
        <v>22309.5</v>
      </c>
      <c r="AA140" s="9"/>
      <c r="AD140" s="4">
        <v>314469358</v>
      </c>
      <c r="AE140" s="4">
        <v>25837379</v>
      </c>
      <c r="AG140" s="4" t="s">
        <v>482</v>
      </c>
      <c r="AH140" s="4" t="s">
        <v>483</v>
      </c>
      <c r="AI140" s="4"/>
    </row>
    <row r="141" spans="1:35" ht="36" x14ac:dyDescent="0.3">
      <c r="A141" s="38" t="s">
        <v>485</v>
      </c>
      <c r="B141" s="38"/>
      <c r="C141" s="49" t="s">
        <v>486</v>
      </c>
      <c r="D141" s="40"/>
      <c r="E141" s="40" t="s">
        <v>487</v>
      </c>
      <c r="F141" s="50" t="s">
        <v>76</v>
      </c>
      <c r="G141" s="51">
        <v>1.2</v>
      </c>
      <c r="H141" s="40"/>
      <c r="I141" s="62">
        <v>0</v>
      </c>
      <c r="J141" s="53">
        <v>6.28</v>
      </c>
      <c r="K141" s="54"/>
      <c r="L141" s="54"/>
      <c r="M141" s="53">
        <f t="shared" ref="M141:M148" si="27">ROUND(ROUND(J141, 2)*I141, 2)</f>
        <v>0</v>
      </c>
      <c r="N141" s="54"/>
      <c r="O141" s="54"/>
      <c r="P141" s="53">
        <v>6.28</v>
      </c>
      <c r="Q141" s="54"/>
      <c r="R141" s="54"/>
      <c r="S141" s="53">
        <f t="shared" ref="S141:S148" si="28">ROUND(ROUND(P141, 2)*I141, 2)</f>
        <v>0</v>
      </c>
      <c r="T141" s="54"/>
      <c r="U141" s="55"/>
      <c r="V141" s="9">
        <f t="shared" ref="V141:V148" si="29">ROUND(ROUND(P141, 2)/1.2, 2)</f>
        <v>5.23</v>
      </c>
      <c r="Y141" s="9">
        <f t="shared" ref="Y141:Y149" si="30">ROUND(S141 / 1.2, 2)</f>
        <v>0</v>
      </c>
      <c r="AD141" s="4" t="s">
        <v>488</v>
      </c>
      <c r="AE141" s="4" t="s">
        <v>489</v>
      </c>
      <c r="AF141" s="4" t="s">
        <v>490</v>
      </c>
    </row>
    <row r="142" spans="1:35" ht="36" x14ac:dyDescent="0.3">
      <c r="A142" s="44" t="s">
        <v>491</v>
      </c>
      <c r="B142" s="44"/>
      <c r="C142" s="56" t="s">
        <v>486</v>
      </c>
      <c r="D142" s="46"/>
      <c r="E142" s="46" t="s">
        <v>487</v>
      </c>
      <c r="F142" s="57" t="s">
        <v>76</v>
      </c>
      <c r="G142" s="58">
        <v>1.2</v>
      </c>
      <c r="H142" s="46"/>
      <c r="I142" s="63">
        <v>128.4</v>
      </c>
      <c r="J142" s="59">
        <v>6.28</v>
      </c>
      <c r="K142" s="60"/>
      <c r="L142" s="60"/>
      <c r="M142" s="59">
        <f t="shared" si="27"/>
        <v>806.35</v>
      </c>
      <c r="N142" s="60"/>
      <c r="O142" s="60"/>
      <c r="P142" s="59">
        <v>6.28</v>
      </c>
      <c r="Q142" s="60"/>
      <c r="R142" s="60"/>
      <c r="S142" s="59">
        <f t="shared" si="28"/>
        <v>806.35</v>
      </c>
      <c r="T142" s="60"/>
      <c r="U142" s="61"/>
      <c r="V142" s="9">
        <f t="shared" si="29"/>
        <v>5.23</v>
      </c>
      <c r="Y142" s="9">
        <f t="shared" si="30"/>
        <v>671.96</v>
      </c>
      <c r="AD142" s="4" t="s">
        <v>492</v>
      </c>
      <c r="AE142" s="4" t="s">
        <v>489</v>
      </c>
      <c r="AF142" s="4" t="s">
        <v>490</v>
      </c>
    </row>
    <row r="143" spans="1:35" ht="72" x14ac:dyDescent="0.3">
      <c r="A143" s="38" t="s">
        <v>493</v>
      </c>
      <c r="B143" s="38"/>
      <c r="C143" s="49" t="s">
        <v>494</v>
      </c>
      <c r="D143" s="40"/>
      <c r="E143" s="40" t="s">
        <v>495</v>
      </c>
      <c r="F143" s="50" t="s">
        <v>57</v>
      </c>
      <c r="G143" s="51">
        <v>1.07</v>
      </c>
      <c r="H143" s="40"/>
      <c r="I143" s="62">
        <v>0</v>
      </c>
      <c r="J143" s="53">
        <v>504</v>
      </c>
      <c r="K143" s="54"/>
      <c r="L143" s="54"/>
      <c r="M143" s="53">
        <f t="shared" si="27"/>
        <v>0</v>
      </c>
      <c r="N143" s="54"/>
      <c r="O143" s="54"/>
      <c r="P143" s="53">
        <v>1083.5999999999999</v>
      </c>
      <c r="Q143" s="54"/>
      <c r="R143" s="54"/>
      <c r="S143" s="53">
        <f t="shared" si="28"/>
        <v>0</v>
      </c>
      <c r="T143" s="54"/>
      <c r="U143" s="55"/>
      <c r="V143" s="9">
        <f t="shared" si="29"/>
        <v>903</v>
      </c>
      <c r="Y143" s="9">
        <f t="shared" si="30"/>
        <v>0</v>
      </c>
      <c r="AD143" s="4" t="s">
        <v>496</v>
      </c>
      <c r="AE143" s="4" t="s">
        <v>497</v>
      </c>
      <c r="AF143" s="4" t="s">
        <v>498</v>
      </c>
    </row>
    <row r="144" spans="1:35" ht="72" x14ac:dyDescent="0.3">
      <c r="A144" s="44" t="s">
        <v>499</v>
      </c>
      <c r="B144" s="44"/>
      <c r="C144" s="56" t="s">
        <v>494</v>
      </c>
      <c r="D144" s="46"/>
      <c r="E144" s="46" t="s">
        <v>495</v>
      </c>
      <c r="F144" s="57" t="s">
        <v>57</v>
      </c>
      <c r="G144" s="58">
        <v>1.07</v>
      </c>
      <c r="H144" s="46"/>
      <c r="I144" s="63">
        <v>22.898</v>
      </c>
      <c r="J144" s="59">
        <v>504</v>
      </c>
      <c r="K144" s="60"/>
      <c r="L144" s="60"/>
      <c r="M144" s="59">
        <f t="shared" si="27"/>
        <v>11540.59</v>
      </c>
      <c r="N144" s="60"/>
      <c r="O144" s="60"/>
      <c r="P144" s="59">
        <v>1083.5999999999999</v>
      </c>
      <c r="Q144" s="60"/>
      <c r="R144" s="60"/>
      <c r="S144" s="59">
        <f t="shared" si="28"/>
        <v>24812.27</v>
      </c>
      <c r="T144" s="60"/>
      <c r="U144" s="61"/>
      <c r="V144" s="9">
        <f t="shared" si="29"/>
        <v>903</v>
      </c>
      <c r="Y144" s="9">
        <f t="shared" si="30"/>
        <v>20676.89</v>
      </c>
      <c r="AD144" s="4" t="s">
        <v>500</v>
      </c>
      <c r="AE144" s="4" t="s">
        <v>497</v>
      </c>
      <c r="AF144" s="4" t="s">
        <v>498</v>
      </c>
    </row>
    <row r="145" spans="1:35" ht="18" x14ac:dyDescent="0.3">
      <c r="A145" s="38" t="s">
        <v>501</v>
      </c>
      <c r="B145" s="38"/>
      <c r="C145" s="49" t="s">
        <v>502</v>
      </c>
      <c r="D145" s="40"/>
      <c r="E145" s="40"/>
      <c r="F145" s="50" t="s">
        <v>76</v>
      </c>
      <c r="G145" s="51">
        <v>0.25</v>
      </c>
      <c r="H145" s="40"/>
      <c r="I145" s="62">
        <v>0</v>
      </c>
      <c r="J145" s="53">
        <v>40.270000000000003</v>
      </c>
      <c r="K145" s="54"/>
      <c r="L145" s="54"/>
      <c r="M145" s="53">
        <f t="shared" si="27"/>
        <v>0</v>
      </c>
      <c r="N145" s="54"/>
      <c r="O145" s="54"/>
      <c r="P145" s="53">
        <v>40.270000000000003</v>
      </c>
      <c r="Q145" s="54"/>
      <c r="R145" s="54"/>
      <c r="S145" s="53">
        <f t="shared" si="28"/>
        <v>0</v>
      </c>
      <c r="T145" s="54"/>
      <c r="U145" s="55"/>
      <c r="V145" s="9">
        <f t="shared" si="29"/>
        <v>33.56</v>
      </c>
      <c r="Y145" s="9">
        <f t="shared" si="30"/>
        <v>0</v>
      </c>
      <c r="AD145" s="4" t="s">
        <v>503</v>
      </c>
      <c r="AE145" s="4" t="s">
        <v>504</v>
      </c>
      <c r="AF145" s="4" t="s">
        <v>505</v>
      </c>
    </row>
    <row r="146" spans="1:35" ht="18" x14ac:dyDescent="0.3">
      <c r="A146" s="44" t="s">
        <v>506</v>
      </c>
      <c r="B146" s="44"/>
      <c r="C146" s="56" t="s">
        <v>502</v>
      </c>
      <c r="D146" s="46"/>
      <c r="E146" s="46"/>
      <c r="F146" s="57" t="s">
        <v>76</v>
      </c>
      <c r="G146" s="58">
        <v>0.25</v>
      </c>
      <c r="H146" s="46"/>
      <c r="I146" s="63">
        <v>19.024999999999999</v>
      </c>
      <c r="J146" s="59">
        <v>40.270000000000003</v>
      </c>
      <c r="K146" s="60"/>
      <c r="L146" s="60"/>
      <c r="M146" s="59">
        <f t="shared" si="27"/>
        <v>766.14</v>
      </c>
      <c r="N146" s="60"/>
      <c r="O146" s="60"/>
      <c r="P146" s="59">
        <v>40.270000000000003</v>
      </c>
      <c r="Q146" s="60"/>
      <c r="R146" s="60"/>
      <c r="S146" s="59">
        <f t="shared" si="28"/>
        <v>766.14</v>
      </c>
      <c r="T146" s="60"/>
      <c r="U146" s="61"/>
      <c r="V146" s="9">
        <f t="shared" si="29"/>
        <v>33.56</v>
      </c>
      <c r="Y146" s="9">
        <f t="shared" si="30"/>
        <v>638.45000000000005</v>
      </c>
      <c r="AD146" s="4" t="s">
        <v>507</v>
      </c>
      <c r="AE146" s="4" t="s">
        <v>504</v>
      </c>
      <c r="AF146" s="4" t="s">
        <v>505</v>
      </c>
    </row>
    <row r="147" spans="1:35" ht="36" x14ac:dyDescent="0.3">
      <c r="A147" s="38" t="s">
        <v>508</v>
      </c>
      <c r="B147" s="38"/>
      <c r="C147" s="49" t="s">
        <v>509</v>
      </c>
      <c r="D147" s="40"/>
      <c r="E147" s="40"/>
      <c r="F147" s="50" t="s">
        <v>76</v>
      </c>
      <c r="G147" s="51">
        <v>0.15</v>
      </c>
      <c r="H147" s="40"/>
      <c r="I147" s="52">
        <v>0</v>
      </c>
      <c r="J147" s="53">
        <v>88.8</v>
      </c>
      <c r="K147" s="54"/>
      <c r="L147" s="54"/>
      <c r="M147" s="53">
        <f t="shared" si="27"/>
        <v>0</v>
      </c>
      <c r="N147" s="54"/>
      <c r="O147" s="54"/>
      <c r="P147" s="53">
        <v>88.8</v>
      </c>
      <c r="Q147" s="54"/>
      <c r="R147" s="54"/>
      <c r="S147" s="53">
        <f t="shared" si="28"/>
        <v>0</v>
      </c>
      <c r="T147" s="54"/>
      <c r="U147" s="55"/>
      <c r="V147" s="9">
        <f t="shared" si="29"/>
        <v>74</v>
      </c>
      <c r="Y147" s="9">
        <f t="shared" si="30"/>
        <v>0</v>
      </c>
      <c r="AD147" s="4" t="s">
        <v>510</v>
      </c>
      <c r="AE147" s="4" t="s">
        <v>511</v>
      </c>
      <c r="AF147" s="4" t="s">
        <v>512</v>
      </c>
    </row>
    <row r="148" spans="1:35" ht="36" x14ac:dyDescent="0.3">
      <c r="A148" s="44" t="s">
        <v>513</v>
      </c>
      <c r="B148" s="44"/>
      <c r="C148" s="56" t="s">
        <v>509</v>
      </c>
      <c r="D148" s="46"/>
      <c r="E148" s="46"/>
      <c r="F148" s="57" t="s">
        <v>76</v>
      </c>
      <c r="G148" s="58">
        <v>0.15</v>
      </c>
      <c r="H148" s="46"/>
      <c r="I148" s="58">
        <v>3.21</v>
      </c>
      <c r="J148" s="59">
        <v>88.8</v>
      </c>
      <c r="K148" s="60"/>
      <c r="L148" s="60"/>
      <c r="M148" s="59">
        <f t="shared" si="27"/>
        <v>285.05</v>
      </c>
      <c r="N148" s="60"/>
      <c r="O148" s="60"/>
      <c r="P148" s="59">
        <v>88.8</v>
      </c>
      <c r="Q148" s="60"/>
      <c r="R148" s="60"/>
      <c r="S148" s="59">
        <f t="shared" si="28"/>
        <v>285.05</v>
      </c>
      <c r="T148" s="60"/>
      <c r="U148" s="61"/>
      <c r="V148" s="9">
        <f t="shared" si="29"/>
        <v>74</v>
      </c>
      <c r="Y148" s="9">
        <f t="shared" si="30"/>
        <v>237.54</v>
      </c>
      <c r="AD148" s="4" t="s">
        <v>514</v>
      </c>
      <c r="AE148" s="4" t="s">
        <v>511</v>
      </c>
      <c r="AF148" s="4" t="s">
        <v>512</v>
      </c>
    </row>
    <row r="149" spans="1:35" ht="54" x14ac:dyDescent="0.3">
      <c r="A149" s="38" t="s">
        <v>515</v>
      </c>
      <c r="B149" s="38" t="s">
        <v>479</v>
      </c>
      <c r="C149" s="39" t="s">
        <v>480</v>
      </c>
      <c r="D149" s="40"/>
      <c r="E149" s="40" t="s">
        <v>516</v>
      </c>
      <c r="F149" s="40" t="s">
        <v>57</v>
      </c>
      <c r="G149" s="41">
        <v>1</v>
      </c>
      <c r="H149" s="40"/>
      <c r="I149" s="42">
        <v>0</v>
      </c>
      <c r="J149" s="43">
        <v>2264.25</v>
      </c>
      <c r="K149" s="43">
        <v>1251</v>
      </c>
      <c r="L149" s="43">
        <f>J149+ROUND(K149, 2)</f>
        <v>3515.25</v>
      </c>
      <c r="M149" s="43">
        <v>0</v>
      </c>
      <c r="N149" s="43">
        <v>0</v>
      </c>
      <c r="O149" s="43">
        <f>M149+N149</f>
        <v>0</v>
      </c>
      <c r="P149" s="43">
        <v>1486.31</v>
      </c>
      <c r="Q149" s="43">
        <v>1251</v>
      </c>
      <c r="R149" s="43">
        <f>P149+ROUND(Q149, 2)</f>
        <v>2737.31</v>
      </c>
      <c r="S149" s="43">
        <v>0</v>
      </c>
      <c r="T149" s="43">
        <v>0</v>
      </c>
      <c r="U149" s="43">
        <f>S149+T149</f>
        <v>0</v>
      </c>
      <c r="V149" s="9">
        <f>ROUND(P149 / 1.2, 2)</f>
        <v>1238.5899999999999</v>
      </c>
      <c r="W149" s="9">
        <f>ROUND(Q149 / 1.2, 2)</f>
        <v>1042.5</v>
      </c>
      <c r="X149" s="9">
        <f>ROUND(R149 / 1.2, 2)</f>
        <v>2281.09</v>
      </c>
      <c r="Y149" s="9">
        <f t="shared" si="30"/>
        <v>0</v>
      </c>
      <c r="Z149" s="9">
        <f>ROUND(T149 / 1.2, 2)</f>
        <v>0</v>
      </c>
      <c r="AA149" s="9">
        <f>Y149+Z149</f>
        <v>0</v>
      </c>
      <c r="AD149" s="4">
        <v>341534370</v>
      </c>
      <c r="AE149" s="4">
        <v>25837365</v>
      </c>
      <c r="AG149" s="4" t="s">
        <v>482</v>
      </c>
      <c r="AH149" s="4" t="s">
        <v>483</v>
      </c>
      <c r="AI149" s="4" t="s">
        <v>241</v>
      </c>
    </row>
    <row r="150" spans="1:35" ht="54" x14ac:dyDescent="0.3">
      <c r="A150" s="44" t="s">
        <v>517</v>
      </c>
      <c r="B150" s="44" t="s">
        <v>479</v>
      </c>
      <c r="C150" s="45" t="s">
        <v>480</v>
      </c>
      <c r="D150" s="46"/>
      <c r="E150" s="46" t="s">
        <v>516</v>
      </c>
      <c r="F150" s="46" t="s">
        <v>57</v>
      </c>
      <c r="G150" s="47">
        <v>1</v>
      </c>
      <c r="H150" s="46"/>
      <c r="I150" s="47">
        <v>54</v>
      </c>
      <c r="J150" s="48">
        <v>2264.25</v>
      </c>
      <c r="K150" s="48">
        <v>1251</v>
      </c>
      <c r="L150" s="48">
        <v>1251</v>
      </c>
      <c r="M150" s="48">
        <v>122269.5</v>
      </c>
      <c r="N150" s="48">
        <v>67554</v>
      </c>
      <c r="O150" s="48"/>
      <c r="P150" s="48">
        <v>1486.31</v>
      </c>
      <c r="Q150" s="48">
        <v>1251</v>
      </c>
      <c r="R150" s="48">
        <v>1251</v>
      </c>
      <c r="S150" s="48">
        <v>80260.740000000005</v>
      </c>
      <c r="T150" s="48">
        <v>67554</v>
      </c>
      <c r="U150" s="48"/>
      <c r="V150" s="9"/>
      <c r="W150" s="9">
        <f>ROUND(Q150 / 1.2, 2)</f>
        <v>1042.5</v>
      </c>
      <c r="X150" s="9">
        <f>ROUND(R150 / 1.2, 2)</f>
        <v>1042.5</v>
      </c>
      <c r="Y150" s="9"/>
      <c r="Z150" s="9">
        <f>ROUND(T150 / 1.2, 2)</f>
        <v>56295</v>
      </c>
      <c r="AA150" s="9"/>
      <c r="AD150" s="4">
        <v>314469359</v>
      </c>
      <c r="AE150" s="4">
        <v>25837365</v>
      </c>
      <c r="AG150" s="4" t="s">
        <v>482</v>
      </c>
      <c r="AH150" s="4" t="s">
        <v>483</v>
      </c>
      <c r="AI150" s="4"/>
    </row>
    <row r="151" spans="1:35" ht="36" x14ac:dyDescent="0.3">
      <c r="A151" s="38" t="s">
        <v>518</v>
      </c>
      <c r="B151" s="38"/>
      <c r="C151" s="49" t="s">
        <v>509</v>
      </c>
      <c r="D151" s="40"/>
      <c r="E151" s="40"/>
      <c r="F151" s="50" t="s">
        <v>76</v>
      </c>
      <c r="G151" s="51">
        <v>0.15</v>
      </c>
      <c r="H151" s="40"/>
      <c r="I151" s="52">
        <v>0</v>
      </c>
      <c r="J151" s="53">
        <v>88.8</v>
      </c>
      <c r="K151" s="54"/>
      <c r="L151" s="54"/>
      <c r="M151" s="53">
        <f t="shared" ref="M151:M158" si="31">ROUND(ROUND(J151, 2)*I151, 2)</f>
        <v>0</v>
      </c>
      <c r="N151" s="54"/>
      <c r="O151" s="54"/>
      <c r="P151" s="53">
        <v>88.8</v>
      </c>
      <c r="Q151" s="54"/>
      <c r="R151" s="54"/>
      <c r="S151" s="53">
        <f t="shared" ref="S151:S158" si="32">ROUND(ROUND(P151, 2)*I151, 2)</f>
        <v>0</v>
      </c>
      <c r="T151" s="54"/>
      <c r="U151" s="55"/>
      <c r="V151" s="9">
        <f t="shared" ref="V151:V158" si="33">ROUND(ROUND(P151, 2)/1.2, 2)</f>
        <v>74</v>
      </c>
      <c r="Y151" s="9">
        <f t="shared" ref="Y151:Y159" si="34">ROUND(S151 / 1.2, 2)</f>
        <v>0</v>
      </c>
      <c r="AD151" s="4" t="s">
        <v>519</v>
      </c>
      <c r="AE151" s="4" t="s">
        <v>520</v>
      </c>
      <c r="AF151" s="4" t="s">
        <v>512</v>
      </c>
    </row>
    <row r="152" spans="1:35" ht="36" x14ac:dyDescent="0.3">
      <c r="A152" s="44" t="s">
        <v>521</v>
      </c>
      <c r="B152" s="44"/>
      <c r="C152" s="56" t="s">
        <v>509</v>
      </c>
      <c r="D152" s="46"/>
      <c r="E152" s="46"/>
      <c r="F152" s="57" t="s">
        <v>76</v>
      </c>
      <c r="G152" s="58">
        <v>0.15</v>
      </c>
      <c r="H152" s="46"/>
      <c r="I152" s="58">
        <v>8.1</v>
      </c>
      <c r="J152" s="59">
        <v>88.8</v>
      </c>
      <c r="K152" s="60"/>
      <c r="L152" s="60"/>
      <c r="M152" s="59">
        <f t="shared" si="31"/>
        <v>719.28</v>
      </c>
      <c r="N152" s="60"/>
      <c r="O152" s="60"/>
      <c r="P152" s="59">
        <v>88.8</v>
      </c>
      <c r="Q152" s="60"/>
      <c r="R152" s="60"/>
      <c r="S152" s="59">
        <f t="shared" si="32"/>
        <v>719.28</v>
      </c>
      <c r="T152" s="60"/>
      <c r="U152" s="61"/>
      <c r="V152" s="9">
        <f t="shared" si="33"/>
        <v>74</v>
      </c>
      <c r="Y152" s="9">
        <f t="shared" si="34"/>
        <v>599.4</v>
      </c>
      <c r="AD152" s="4" t="s">
        <v>522</v>
      </c>
      <c r="AE152" s="4" t="s">
        <v>520</v>
      </c>
      <c r="AF152" s="4" t="s">
        <v>512</v>
      </c>
    </row>
    <row r="153" spans="1:35" ht="18" x14ac:dyDescent="0.3">
      <c r="A153" s="38" t="s">
        <v>523</v>
      </c>
      <c r="B153" s="38"/>
      <c r="C153" s="49" t="s">
        <v>502</v>
      </c>
      <c r="D153" s="40"/>
      <c r="E153" s="40"/>
      <c r="F153" s="50" t="s">
        <v>76</v>
      </c>
      <c r="G153" s="51">
        <v>0.25</v>
      </c>
      <c r="H153" s="40"/>
      <c r="I153" s="62">
        <v>0</v>
      </c>
      <c r="J153" s="53">
        <v>40.270000000000003</v>
      </c>
      <c r="K153" s="54"/>
      <c r="L153" s="54"/>
      <c r="M153" s="53">
        <f t="shared" si="31"/>
        <v>0</v>
      </c>
      <c r="N153" s="54"/>
      <c r="O153" s="54"/>
      <c r="P153" s="53">
        <v>40.270000000000003</v>
      </c>
      <c r="Q153" s="54"/>
      <c r="R153" s="54"/>
      <c r="S153" s="53">
        <f t="shared" si="32"/>
        <v>0</v>
      </c>
      <c r="T153" s="54"/>
      <c r="U153" s="55"/>
      <c r="V153" s="9">
        <f t="shared" si="33"/>
        <v>33.56</v>
      </c>
      <c r="Y153" s="9">
        <f t="shared" si="34"/>
        <v>0</v>
      </c>
      <c r="AD153" s="4" t="s">
        <v>524</v>
      </c>
      <c r="AE153" s="4" t="s">
        <v>525</v>
      </c>
      <c r="AF153" s="4" t="s">
        <v>505</v>
      </c>
    </row>
    <row r="154" spans="1:35" ht="18" x14ac:dyDescent="0.3">
      <c r="A154" s="44" t="s">
        <v>526</v>
      </c>
      <c r="B154" s="44"/>
      <c r="C154" s="56" t="s">
        <v>502</v>
      </c>
      <c r="D154" s="46"/>
      <c r="E154" s="46"/>
      <c r="F154" s="57" t="s">
        <v>76</v>
      </c>
      <c r="G154" s="58">
        <v>0.25</v>
      </c>
      <c r="H154" s="46"/>
      <c r="I154" s="63">
        <v>13.5</v>
      </c>
      <c r="J154" s="59">
        <v>40.270000000000003</v>
      </c>
      <c r="K154" s="60"/>
      <c r="L154" s="60"/>
      <c r="M154" s="59">
        <f t="shared" si="31"/>
        <v>543.65</v>
      </c>
      <c r="N154" s="60"/>
      <c r="O154" s="60"/>
      <c r="P154" s="59">
        <v>40.270000000000003</v>
      </c>
      <c r="Q154" s="60"/>
      <c r="R154" s="60"/>
      <c r="S154" s="59">
        <f t="shared" si="32"/>
        <v>543.65</v>
      </c>
      <c r="T154" s="60"/>
      <c r="U154" s="61"/>
      <c r="V154" s="9">
        <f t="shared" si="33"/>
        <v>33.56</v>
      </c>
      <c r="Y154" s="9">
        <f t="shared" si="34"/>
        <v>453.04</v>
      </c>
      <c r="AD154" s="4" t="s">
        <v>527</v>
      </c>
      <c r="AE154" s="4" t="s">
        <v>525</v>
      </c>
      <c r="AF154" s="4" t="s">
        <v>505</v>
      </c>
    </row>
    <row r="155" spans="1:35" ht="36" x14ac:dyDescent="0.3">
      <c r="A155" s="38" t="s">
        <v>528</v>
      </c>
      <c r="B155" s="38"/>
      <c r="C155" s="49" t="s">
        <v>486</v>
      </c>
      <c r="D155" s="40"/>
      <c r="E155" s="40"/>
      <c r="F155" s="50" t="s">
        <v>76</v>
      </c>
      <c r="G155" s="51">
        <v>1.2</v>
      </c>
      <c r="H155" s="40"/>
      <c r="I155" s="62">
        <v>0</v>
      </c>
      <c r="J155" s="53">
        <v>6.28</v>
      </c>
      <c r="K155" s="54"/>
      <c r="L155" s="54"/>
      <c r="M155" s="53">
        <f t="shared" si="31"/>
        <v>0</v>
      </c>
      <c r="N155" s="54"/>
      <c r="O155" s="54"/>
      <c r="P155" s="53">
        <v>6.28</v>
      </c>
      <c r="Q155" s="54"/>
      <c r="R155" s="54"/>
      <c r="S155" s="53">
        <f t="shared" si="32"/>
        <v>0</v>
      </c>
      <c r="T155" s="54"/>
      <c r="U155" s="55"/>
      <c r="V155" s="9">
        <f t="shared" si="33"/>
        <v>5.23</v>
      </c>
      <c r="Y155" s="9">
        <f t="shared" si="34"/>
        <v>0</v>
      </c>
      <c r="AD155" s="4" t="s">
        <v>529</v>
      </c>
      <c r="AE155" s="4" t="s">
        <v>530</v>
      </c>
      <c r="AF155" s="4" t="s">
        <v>490</v>
      </c>
    </row>
    <row r="156" spans="1:35" ht="36" x14ac:dyDescent="0.3">
      <c r="A156" s="44" t="s">
        <v>531</v>
      </c>
      <c r="B156" s="44"/>
      <c r="C156" s="56" t="s">
        <v>486</v>
      </c>
      <c r="D156" s="46"/>
      <c r="E156" s="46"/>
      <c r="F156" s="57" t="s">
        <v>76</v>
      </c>
      <c r="G156" s="58">
        <v>1.2</v>
      </c>
      <c r="H156" s="46"/>
      <c r="I156" s="63">
        <v>324</v>
      </c>
      <c r="J156" s="59">
        <v>6.28</v>
      </c>
      <c r="K156" s="60"/>
      <c r="L156" s="60"/>
      <c r="M156" s="59">
        <f t="shared" si="31"/>
        <v>2034.72</v>
      </c>
      <c r="N156" s="60"/>
      <c r="O156" s="60"/>
      <c r="P156" s="59">
        <v>6.28</v>
      </c>
      <c r="Q156" s="60"/>
      <c r="R156" s="60"/>
      <c r="S156" s="59">
        <f t="shared" si="32"/>
        <v>2034.72</v>
      </c>
      <c r="T156" s="60"/>
      <c r="U156" s="61"/>
      <c r="V156" s="9">
        <f t="shared" si="33"/>
        <v>5.23</v>
      </c>
      <c r="Y156" s="9">
        <f t="shared" si="34"/>
        <v>1695.6</v>
      </c>
      <c r="AD156" s="4" t="s">
        <v>532</v>
      </c>
      <c r="AE156" s="4" t="s">
        <v>530</v>
      </c>
      <c r="AF156" s="4" t="s">
        <v>490</v>
      </c>
    </row>
    <row r="157" spans="1:35" ht="72" x14ac:dyDescent="0.3">
      <c r="A157" s="38" t="s">
        <v>533</v>
      </c>
      <c r="B157" s="38"/>
      <c r="C157" s="49" t="s">
        <v>534</v>
      </c>
      <c r="D157" s="40"/>
      <c r="E157" s="40" t="s">
        <v>535</v>
      </c>
      <c r="F157" s="50" t="s">
        <v>57</v>
      </c>
      <c r="G157" s="51">
        <v>1.07</v>
      </c>
      <c r="H157" s="40"/>
      <c r="I157" s="62">
        <v>0</v>
      </c>
      <c r="J157" s="53">
        <v>2059.0500000000002</v>
      </c>
      <c r="K157" s="54"/>
      <c r="L157" s="54"/>
      <c r="M157" s="53">
        <f t="shared" si="31"/>
        <v>0</v>
      </c>
      <c r="N157" s="54"/>
      <c r="O157" s="54"/>
      <c r="P157" s="53">
        <v>1332</v>
      </c>
      <c r="Q157" s="54"/>
      <c r="R157" s="54"/>
      <c r="S157" s="53">
        <f t="shared" si="32"/>
        <v>0</v>
      </c>
      <c r="T157" s="54"/>
      <c r="U157" s="55"/>
      <c r="V157" s="9">
        <f t="shared" si="33"/>
        <v>1110</v>
      </c>
      <c r="Y157" s="9">
        <f t="shared" si="34"/>
        <v>0</v>
      </c>
      <c r="AD157" s="4" t="s">
        <v>536</v>
      </c>
      <c r="AE157" s="4" t="s">
        <v>537</v>
      </c>
      <c r="AF157" s="4" t="s">
        <v>538</v>
      </c>
    </row>
    <row r="158" spans="1:35" ht="72" x14ac:dyDescent="0.3">
      <c r="A158" s="44" t="s">
        <v>539</v>
      </c>
      <c r="B158" s="44"/>
      <c r="C158" s="56" t="s">
        <v>534</v>
      </c>
      <c r="D158" s="46"/>
      <c r="E158" s="46" t="s">
        <v>535</v>
      </c>
      <c r="F158" s="57" t="s">
        <v>57</v>
      </c>
      <c r="G158" s="58">
        <v>1.07</v>
      </c>
      <c r="H158" s="46"/>
      <c r="I158" s="63">
        <v>57.78</v>
      </c>
      <c r="J158" s="59">
        <v>2059.0500000000002</v>
      </c>
      <c r="K158" s="60"/>
      <c r="L158" s="60"/>
      <c r="M158" s="59">
        <f t="shared" si="31"/>
        <v>118971.91</v>
      </c>
      <c r="N158" s="60"/>
      <c r="O158" s="60"/>
      <c r="P158" s="59">
        <v>1332</v>
      </c>
      <c r="Q158" s="60"/>
      <c r="R158" s="60"/>
      <c r="S158" s="59">
        <f t="shared" si="32"/>
        <v>76962.960000000006</v>
      </c>
      <c r="T158" s="60"/>
      <c r="U158" s="61"/>
      <c r="V158" s="9">
        <f t="shared" si="33"/>
        <v>1110</v>
      </c>
      <c r="Y158" s="9">
        <f t="shared" si="34"/>
        <v>64135.8</v>
      </c>
      <c r="AD158" s="4" t="s">
        <v>540</v>
      </c>
      <c r="AE158" s="4" t="s">
        <v>537</v>
      </c>
      <c r="AF158" s="4" t="s">
        <v>538</v>
      </c>
    </row>
    <row r="159" spans="1:35" ht="54" x14ac:dyDescent="0.3">
      <c r="A159" s="38" t="s">
        <v>541</v>
      </c>
      <c r="B159" s="38" t="s">
        <v>479</v>
      </c>
      <c r="C159" s="39" t="s">
        <v>480</v>
      </c>
      <c r="D159" s="40"/>
      <c r="E159" s="40" t="s">
        <v>542</v>
      </c>
      <c r="F159" s="40" t="s">
        <v>57</v>
      </c>
      <c r="G159" s="41">
        <v>1</v>
      </c>
      <c r="H159" s="40"/>
      <c r="I159" s="42">
        <v>0</v>
      </c>
      <c r="J159" s="43">
        <v>1996.86</v>
      </c>
      <c r="K159" s="43">
        <v>1251</v>
      </c>
      <c r="L159" s="43">
        <f>J159+ROUND(K159, 2)</f>
        <v>3247.8599999999997</v>
      </c>
      <c r="M159" s="43">
        <v>0</v>
      </c>
      <c r="N159" s="43">
        <v>0</v>
      </c>
      <c r="O159" s="43">
        <f>M159+N159</f>
        <v>0</v>
      </c>
      <c r="P159" s="43">
        <v>1211.95</v>
      </c>
      <c r="Q159" s="43">
        <v>1251</v>
      </c>
      <c r="R159" s="43">
        <f>P159+ROUND(Q159, 2)</f>
        <v>2462.9499999999998</v>
      </c>
      <c r="S159" s="43">
        <v>0</v>
      </c>
      <c r="T159" s="43">
        <v>0</v>
      </c>
      <c r="U159" s="43">
        <f>S159+T159</f>
        <v>0</v>
      </c>
      <c r="V159" s="9">
        <f>ROUND(P159 / 1.2, 2)</f>
        <v>1009.96</v>
      </c>
      <c r="W159" s="9">
        <f>ROUND(Q159 / 1.2, 2)</f>
        <v>1042.5</v>
      </c>
      <c r="X159" s="9">
        <f>ROUND(R159 / 1.2, 2)</f>
        <v>2052.46</v>
      </c>
      <c r="Y159" s="9">
        <f t="shared" si="34"/>
        <v>0</v>
      </c>
      <c r="Z159" s="9">
        <f>ROUND(T159 / 1.2, 2)</f>
        <v>0</v>
      </c>
      <c r="AA159" s="9">
        <f>Y159+Z159</f>
        <v>0</v>
      </c>
      <c r="AD159" s="4">
        <v>341534371</v>
      </c>
      <c r="AE159" s="4">
        <v>25837383</v>
      </c>
      <c r="AG159" s="4" t="s">
        <v>482</v>
      </c>
      <c r="AH159" s="4" t="s">
        <v>483</v>
      </c>
      <c r="AI159" s="4" t="s">
        <v>241</v>
      </c>
    </row>
    <row r="160" spans="1:35" ht="54" x14ac:dyDescent="0.3">
      <c r="A160" s="44" t="s">
        <v>543</v>
      </c>
      <c r="B160" s="44" t="s">
        <v>479</v>
      </c>
      <c r="C160" s="45" t="s">
        <v>480</v>
      </c>
      <c r="D160" s="46"/>
      <c r="E160" s="46" t="s">
        <v>542</v>
      </c>
      <c r="F160" s="46" t="s">
        <v>57</v>
      </c>
      <c r="G160" s="47">
        <v>1</v>
      </c>
      <c r="H160" s="46"/>
      <c r="I160" s="47">
        <v>148.1</v>
      </c>
      <c r="J160" s="48">
        <v>1996.86</v>
      </c>
      <c r="K160" s="48">
        <v>1251</v>
      </c>
      <c r="L160" s="48">
        <v>1251</v>
      </c>
      <c r="M160" s="48">
        <v>295734.96999999997</v>
      </c>
      <c r="N160" s="48">
        <v>185273.1</v>
      </c>
      <c r="O160" s="48"/>
      <c r="P160" s="48">
        <v>1211.95</v>
      </c>
      <c r="Q160" s="48">
        <v>1251</v>
      </c>
      <c r="R160" s="48">
        <v>1251</v>
      </c>
      <c r="S160" s="48">
        <v>179489.8</v>
      </c>
      <c r="T160" s="48">
        <v>185273.1</v>
      </c>
      <c r="U160" s="48"/>
      <c r="V160" s="9"/>
      <c r="W160" s="9">
        <f>ROUND(Q160 / 1.2, 2)</f>
        <v>1042.5</v>
      </c>
      <c r="X160" s="9">
        <f>ROUND(R160 / 1.2, 2)</f>
        <v>1042.5</v>
      </c>
      <c r="Y160" s="9"/>
      <c r="Z160" s="9">
        <f>ROUND(T160 / 1.2, 2)</f>
        <v>154394.25</v>
      </c>
      <c r="AA160" s="9"/>
      <c r="AD160" s="4">
        <v>314469360</v>
      </c>
      <c r="AE160" s="4">
        <v>25837383</v>
      </c>
      <c r="AG160" s="4" t="s">
        <v>482</v>
      </c>
      <c r="AH160" s="4" t="s">
        <v>483</v>
      </c>
      <c r="AI160" s="4"/>
    </row>
    <row r="161" spans="1:35" ht="36" x14ac:dyDescent="0.3">
      <c r="A161" s="38" t="s">
        <v>544</v>
      </c>
      <c r="B161" s="38"/>
      <c r="C161" s="49" t="s">
        <v>509</v>
      </c>
      <c r="D161" s="40"/>
      <c r="E161" s="40"/>
      <c r="F161" s="50" t="s">
        <v>76</v>
      </c>
      <c r="G161" s="51">
        <v>0.15</v>
      </c>
      <c r="H161" s="40"/>
      <c r="I161" s="52">
        <v>0</v>
      </c>
      <c r="J161" s="53">
        <v>88.8</v>
      </c>
      <c r="K161" s="54"/>
      <c r="L161" s="54"/>
      <c r="M161" s="53">
        <f t="shared" ref="M161:M168" si="35">ROUND(ROUND(J161, 2)*I161, 2)</f>
        <v>0</v>
      </c>
      <c r="N161" s="54"/>
      <c r="O161" s="54"/>
      <c r="P161" s="53">
        <v>88.8</v>
      </c>
      <c r="Q161" s="54"/>
      <c r="R161" s="54"/>
      <c r="S161" s="53">
        <f t="shared" ref="S161:S168" si="36">ROUND(ROUND(P161, 2)*I161, 2)</f>
        <v>0</v>
      </c>
      <c r="T161" s="54"/>
      <c r="U161" s="55"/>
      <c r="V161" s="9">
        <f t="shared" ref="V161:V168" si="37">ROUND(ROUND(P161, 2)/1.2, 2)</f>
        <v>74</v>
      </c>
      <c r="Y161" s="9">
        <f t="shared" ref="Y161:Y169" si="38">ROUND(S161 / 1.2, 2)</f>
        <v>0</v>
      </c>
      <c r="AD161" s="4" t="s">
        <v>545</v>
      </c>
      <c r="AE161" s="4" t="s">
        <v>546</v>
      </c>
      <c r="AF161" s="4" t="s">
        <v>512</v>
      </c>
    </row>
    <row r="162" spans="1:35" ht="36" x14ac:dyDescent="0.3">
      <c r="A162" s="44" t="s">
        <v>547</v>
      </c>
      <c r="B162" s="44"/>
      <c r="C162" s="56" t="s">
        <v>509</v>
      </c>
      <c r="D162" s="46"/>
      <c r="E162" s="46"/>
      <c r="F162" s="57" t="s">
        <v>76</v>
      </c>
      <c r="G162" s="58">
        <v>0.15</v>
      </c>
      <c r="H162" s="46"/>
      <c r="I162" s="58">
        <v>22.215</v>
      </c>
      <c r="J162" s="59">
        <v>88.8</v>
      </c>
      <c r="K162" s="60"/>
      <c r="L162" s="60"/>
      <c r="M162" s="59">
        <f t="shared" si="35"/>
        <v>1972.69</v>
      </c>
      <c r="N162" s="60"/>
      <c r="O162" s="60"/>
      <c r="P162" s="59">
        <v>88.8</v>
      </c>
      <c r="Q162" s="60"/>
      <c r="R162" s="60"/>
      <c r="S162" s="59">
        <f t="shared" si="36"/>
        <v>1972.69</v>
      </c>
      <c r="T162" s="60"/>
      <c r="U162" s="61"/>
      <c r="V162" s="9">
        <f t="shared" si="37"/>
        <v>74</v>
      </c>
      <c r="Y162" s="9">
        <f t="shared" si="38"/>
        <v>1643.91</v>
      </c>
      <c r="AD162" s="4" t="s">
        <v>548</v>
      </c>
      <c r="AE162" s="4" t="s">
        <v>546</v>
      </c>
      <c r="AF162" s="4" t="s">
        <v>512</v>
      </c>
    </row>
    <row r="163" spans="1:35" ht="18" x14ac:dyDescent="0.3">
      <c r="A163" s="38" t="s">
        <v>549</v>
      </c>
      <c r="B163" s="38"/>
      <c r="C163" s="49" t="s">
        <v>502</v>
      </c>
      <c r="D163" s="40"/>
      <c r="E163" s="40"/>
      <c r="F163" s="50" t="s">
        <v>76</v>
      </c>
      <c r="G163" s="51">
        <v>0.25</v>
      </c>
      <c r="H163" s="40"/>
      <c r="I163" s="62">
        <v>0</v>
      </c>
      <c r="J163" s="53">
        <v>40.270000000000003</v>
      </c>
      <c r="K163" s="54"/>
      <c r="L163" s="54"/>
      <c r="M163" s="53">
        <f t="shared" si="35"/>
        <v>0</v>
      </c>
      <c r="N163" s="54"/>
      <c r="O163" s="54"/>
      <c r="P163" s="53">
        <v>6</v>
      </c>
      <c r="Q163" s="54"/>
      <c r="R163" s="54"/>
      <c r="S163" s="53">
        <f t="shared" si="36"/>
        <v>0</v>
      </c>
      <c r="T163" s="54"/>
      <c r="U163" s="55"/>
      <c r="V163" s="9">
        <f t="shared" si="37"/>
        <v>5</v>
      </c>
      <c r="Y163" s="9">
        <f t="shared" si="38"/>
        <v>0</v>
      </c>
      <c r="AD163" s="4" t="s">
        <v>550</v>
      </c>
      <c r="AE163" s="4" t="s">
        <v>551</v>
      </c>
      <c r="AF163" s="4" t="s">
        <v>505</v>
      </c>
    </row>
    <row r="164" spans="1:35" ht="18" x14ac:dyDescent="0.3">
      <c r="A164" s="44" t="s">
        <v>552</v>
      </c>
      <c r="B164" s="44"/>
      <c r="C164" s="56" t="s">
        <v>502</v>
      </c>
      <c r="D164" s="46"/>
      <c r="E164" s="46"/>
      <c r="F164" s="57" t="s">
        <v>76</v>
      </c>
      <c r="G164" s="58">
        <v>0.25</v>
      </c>
      <c r="H164" s="46"/>
      <c r="I164" s="63">
        <v>37.024999999999999</v>
      </c>
      <c r="J164" s="59">
        <v>40.270000000000003</v>
      </c>
      <c r="K164" s="60"/>
      <c r="L164" s="60"/>
      <c r="M164" s="59">
        <f t="shared" si="35"/>
        <v>1491</v>
      </c>
      <c r="N164" s="60"/>
      <c r="O164" s="60"/>
      <c r="P164" s="59">
        <v>6</v>
      </c>
      <c r="Q164" s="60"/>
      <c r="R164" s="60"/>
      <c r="S164" s="59">
        <f t="shared" si="36"/>
        <v>222.15</v>
      </c>
      <c r="T164" s="60"/>
      <c r="U164" s="61"/>
      <c r="V164" s="9">
        <f t="shared" si="37"/>
        <v>5</v>
      </c>
      <c r="Y164" s="9">
        <f t="shared" si="38"/>
        <v>185.13</v>
      </c>
      <c r="AD164" s="4" t="s">
        <v>553</v>
      </c>
      <c r="AE164" s="4" t="s">
        <v>551</v>
      </c>
      <c r="AF164" s="4" t="s">
        <v>505</v>
      </c>
    </row>
    <row r="165" spans="1:35" ht="108" x14ac:dyDescent="0.3">
      <c r="A165" s="38" t="s">
        <v>554</v>
      </c>
      <c r="B165" s="38"/>
      <c r="C165" s="49" t="s">
        <v>555</v>
      </c>
      <c r="D165" s="40"/>
      <c r="E165" s="40" t="s">
        <v>556</v>
      </c>
      <c r="F165" s="50" t="s">
        <v>57</v>
      </c>
      <c r="G165" s="51">
        <v>1.07</v>
      </c>
      <c r="H165" s="40"/>
      <c r="I165" s="62">
        <v>0</v>
      </c>
      <c r="J165" s="53">
        <v>1809.15</v>
      </c>
      <c r="K165" s="54"/>
      <c r="L165" s="54"/>
      <c r="M165" s="53">
        <f t="shared" si="35"/>
        <v>0</v>
      </c>
      <c r="N165" s="54"/>
      <c r="O165" s="54"/>
      <c r="P165" s="53">
        <v>1083.5999999999999</v>
      </c>
      <c r="Q165" s="54"/>
      <c r="R165" s="54"/>
      <c r="S165" s="53">
        <f t="shared" si="36"/>
        <v>0</v>
      </c>
      <c r="T165" s="54"/>
      <c r="U165" s="55"/>
      <c r="V165" s="9">
        <f t="shared" si="37"/>
        <v>903</v>
      </c>
      <c r="Y165" s="9">
        <f t="shared" si="38"/>
        <v>0</v>
      </c>
      <c r="AD165" s="4" t="s">
        <v>557</v>
      </c>
      <c r="AE165" s="4" t="s">
        <v>558</v>
      </c>
      <c r="AF165" s="4" t="s">
        <v>559</v>
      </c>
    </row>
    <row r="166" spans="1:35" ht="108" x14ac:dyDescent="0.3">
      <c r="A166" s="44" t="s">
        <v>560</v>
      </c>
      <c r="B166" s="44"/>
      <c r="C166" s="56" t="s">
        <v>555</v>
      </c>
      <c r="D166" s="46"/>
      <c r="E166" s="46" t="s">
        <v>556</v>
      </c>
      <c r="F166" s="57" t="s">
        <v>57</v>
      </c>
      <c r="G166" s="58">
        <v>1.07</v>
      </c>
      <c r="H166" s="46"/>
      <c r="I166" s="63">
        <v>158.46700000000001</v>
      </c>
      <c r="J166" s="59">
        <v>1809.15</v>
      </c>
      <c r="K166" s="60"/>
      <c r="L166" s="60"/>
      <c r="M166" s="59">
        <f t="shared" si="35"/>
        <v>286690.57</v>
      </c>
      <c r="N166" s="60"/>
      <c r="O166" s="60"/>
      <c r="P166" s="59">
        <v>1083.5999999999999</v>
      </c>
      <c r="Q166" s="60"/>
      <c r="R166" s="60"/>
      <c r="S166" s="59">
        <f t="shared" si="36"/>
        <v>171714.84</v>
      </c>
      <c r="T166" s="60"/>
      <c r="U166" s="61"/>
      <c r="V166" s="9">
        <f t="shared" si="37"/>
        <v>903</v>
      </c>
      <c r="Y166" s="9">
        <f t="shared" si="38"/>
        <v>143095.70000000001</v>
      </c>
      <c r="AD166" s="4" t="s">
        <v>561</v>
      </c>
      <c r="AE166" s="4" t="s">
        <v>558</v>
      </c>
      <c r="AF166" s="4" t="s">
        <v>559</v>
      </c>
    </row>
    <row r="167" spans="1:35" ht="36" x14ac:dyDescent="0.3">
      <c r="A167" s="38" t="s">
        <v>562</v>
      </c>
      <c r="B167" s="38"/>
      <c r="C167" s="49" t="s">
        <v>486</v>
      </c>
      <c r="D167" s="40"/>
      <c r="E167" s="40" t="s">
        <v>487</v>
      </c>
      <c r="F167" s="50" t="s">
        <v>76</v>
      </c>
      <c r="G167" s="51">
        <v>1.2</v>
      </c>
      <c r="H167" s="40"/>
      <c r="I167" s="62">
        <v>0</v>
      </c>
      <c r="J167" s="53">
        <v>6.28</v>
      </c>
      <c r="K167" s="54"/>
      <c r="L167" s="54"/>
      <c r="M167" s="53">
        <f t="shared" si="35"/>
        <v>0</v>
      </c>
      <c r="N167" s="54"/>
      <c r="O167" s="54"/>
      <c r="P167" s="53">
        <v>6.28</v>
      </c>
      <c r="Q167" s="54"/>
      <c r="R167" s="54"/>
      <c r="S167" s="53">
        <f t="shared" si="36"/>
        <v>0</v>
      </c>
      <c r="T167" s="54"/>
      <c r="U167" s="55"/>
      <c r="V167" s="9">
        <f t="shared" si="37"/>
        <v>5.23</v>
      </c>
      <c r="Y167" s="9">
        <f t="shared" si="38"/>
        <v>0</v>
      </c>
      <c r="AD167" s="4" t="s">
        <v>563</v>
      </c>
      <c r="AE167" s="4" t="s">
        <v>564</v>
      </c>
      <c r="AF167" s="4" t="s">
        <v>490</v>
      </c>
    </row>
    <row r="168" spans="1:35" ht="36" x14ac:dyDescent="0.3">
      <c r="A168" s="44" t="s">
        <v>565</v>
      </c>
      <c r="B168" s="44"/>
      <c r="C168" s="56" t="s">
        <v>486</v>
      </c>
      <c r="D168" s="46"/>
      <c r="E168" s="46" t="s">
        <v>487</v>
      </c>
      <c r="F168" s="57" t="s">
        <v>76</v>
      </c>
      <c r="G168" s="58">
        <v>1.2</v>
      </c>
      <c r="H168" s="46"/>
      <c r="I168" s="63">
        <v>888.6</v>
      </c>
      <c r="J168" s="59">
        <v>6.28</v>
      </c>
      <c r="K168" s="60"/>
      <c r="L168" s="60"/>
      <c r="M168" s="59">
        <f t="shared" si="35"/>
        <v>5580.41</v>
      </c>
      <c r="N168" s="60"/>
      <c r="O168" s="60"/>
      <c r="P168" s="59">
        <v>6.28</v>
      </c>
      <c r="Q168" s="60"/>
      <c r="R168" s="60"/>
      <c r="S168" s="59">
        <f t="shared" si="36"/>
        <v>5580.41</v>
      </c>
      <c r="T168" s="60"/>
      <c r="U168" s="61"/>
      <c r="V168" s="9">
        <f t="shared" si="37"/>
        <v>5.23</v>
      </c>
      <c r="Y168" s="9">
        <f t="shared" si="38"/>
        <v>4650.34</v>
      </c>
      <c r="AD168" s="4" t="s">
        <v>566</v>
      </c>
      <c r="AE168" s="4" t="s">
        <v>564</v>
      </c>
      <c r="AF168" s="4" t="s">
        <v>490</v>
      </c>
    </row>
    <row r="169" spans="1:35" ht="36" x14ac:dyDescent="0.3">
      <c r="A169" s="38" t="s">
        <v>567</v>
      </c>
      <c r="B169" s="38" t="s">
        <v>568</v>
      </c>
      <c r="C169" s="39" t="s">
        <v>569</v>
      </c>
      <c r="D169" s="40" t="s">
        <v>570</v>
      </c>
      <c r="E169" s="40" t="s">
        <v>571</v>
      </c>
      <c r="F169" s="40" t="s">
        <v>57</v>
      </c>
      <c r="G169" s="41">
        <v>1</v>
      </c>
      <c r="H169" s="40"/>
      <c r="I169" s="42">
        <v>891.74</v>
      </c>
      <c r="J169" s="43">
        <v>1608.47</v>
      </c>
      <c r="K169" s="43">
        <v>412</v>
      </c>
      <c r="L169" s="43">
        <f>J169+ROUND(K169, 2)</f>
        <v>2020.47</v>
      </c>
      <c r="M169" s="43">
        <v>1434337.04</v>
      </c>
      <c r="N169" s="43">
        <v>367396.88</v>
      </c>
      <c r="O169" s="43">
        <f>M169+N169</f>
        <v>1801733.92</v>
      </c>
      <c r="P169" s="43">
        <v>1608.47</v>
      </c>
      <c r="Q169" s="43">
        <v>412</v>
      </c>
      <c r="R169" s="43">
        <f>P169+ROUND(Q169, 2)</f>
        <v>2020.47</v>
      </c>
      <c r="S169" s="43">
        <v>1434337.04</v>
      </c>
      <c r="T169" s="43">
        <v>367396.88</v>
      </c>
      <c r="U169" s="43">
        <f>S169+T169</f>
        <v>1801733.92</v>
      </c>
      <c r="V169" s="9">
        <f>ROUND(P169 / 1.2, 2)</f>
        <v>1340.39</v>
      </c>
      <c r="W169" s="9">
        <f>ROUND(Q169 / 1.2, 2)</f>
        <v>343.33</v>
      </c>
      <c r="X169" s="9">
        <f>ROUND(R169 / 1.2, 2)</f>
        <v>1683.73</v>
      </c>
      <c r="Y169" s="9">
        <f t="shared" si="38"/>
        <v>1195280.8700000001</v>
      </c>
      <c r="Z169" s="9">
        <f>ROUND(T169 / 1.2, 2)</f>
        <v>306164.07</v>
      </c>
      <c r="AA169" s="9">
        <f>Y169+Z169</f>
        <v>1501444.9400000002</v>
      </c>
      <c r="AD169" s="4">
        <v>341534309</v>
      </c>
      <c r="AE169" s="4">
        <v>25837391</v>
      </c>
      <c r="AG169" s="4" t="s">
        <v>572</v>
      </c>
      <c r="AH169" s="4" t="s">
        <v>573</v>
      </c>
      <c r="AI169" s="4" t="s">
        <v>241</v>
      </c>
    </row>
    <row r="170" spans="1:35" ht="36" x14ac:dyDescent="0.3">
      <c r="A170" s="44" t="s">
        <v>574</v>
      </c>
      <c r="B170" s="44" t="s">
        <v>568</v>
      </c>
      <c r="C170" s="45" t="s">
        <v>569</v>
      </c>
      <c r="D170" s="46" t="s">
        <v>570</v>
      </c>
      <c r="E170" s="46" t="s">
        <v>571</v>
      </c>
      <c r="F170" s="46" t="s">
        <v>57</v>
      </c>
      <c r="G170" s="47">
        <v>1</v>
      </c>
      <c r="H170" s="46"/>
      <c r="I170" s="47">
        <v>900.7</v>
      </c>
      <c r="J170" s="48">
        <v>1608.47</v>
      </c>
      <c r="K170" s="48">
        <v>412</v>
      </c>
      <c r="L170" s="48">
        <v>412</v>
      </c>
      <c r="M170" s="48">
        <v>1448748.93</v>
      </c>
      <c r="N170" s="48">
        <v>371088.4</v>
      </c>
      <c r="O170" s="48"/>
      <c r="P170" s="48">
        <v>1608.47</v>
      </c>
      <c r="Q170" s="48">
        <v>412</v>
      </c>
      <c r="R170" s="48">
        <v>412</v>
      </c>
      <c r="S170" s="48">
        <v>1448748.93</v>
      </c>
      <c r="T170" s="48">
        <v>371088.4</v>
      </c>
      <c r="U170" s="48"/>
      <c r="V170" s="9"/>
      <c r="W170" s="9">
        <f>ROUND(Q170 / 1.2, 2)</f>
        <v>343.33</v>
      </c>
      <c r="X170" s="9">
        <f>ROUND(R170 / 1.2, 2)</f>
        <v>343.33</v>
      </c>
      <c r="Y170" s="9"/>
      <c r="Z170" s="9">
        <f>ROUND(T170 / 1.2, 2)</f>
        <v>309240.33</v>
      </c>
      <c r="AA170" s="9"/>
      <c r="AD170" s="4">
        <v>314469362</v>
      </c>
      <c r="AE170" s="4">
        <v>25837391</v>
      </c>
      <c r="AG170" s="4" t="s">
        <v>572</v>
      </c>
      <c r="AH170" s="4" t="s">
        <v>573</v>
      </c>
      <c r="AI170" s="4"/>
    </row>
    <row r="171" spans="1:35" ht="36" x14ac:dyDescent="0.3">
      <c r="A171" s="38" t="s">
        <v>575</v>
      </c>
      <c r="B171" s="38"/>
      <c r="C171" s="49" t="s">
        <v>576</v>
      </c>
      <c r="D171" s="40"/>
      <c r="E171" s="40" t="s">
        <v>577</v>
      </c>
      <c r="F171" s="50" t="s">
        <v>76</v>
      </c>
      <c r="G171" s="51">
        <v>0.3</v>
      </c>
      <c r="H171" s="40"/>
      <c r="I171" s="52">
        <v>267.52199999999999</v>
      </c>
      <c r="J171" s="53">
        <v>341.05</v>
      </c>
      <c r="K171" s="54"/>
      <c r="L171" s="54"/>
      <c r="M171" s="53">
        <f t="shared" ref="M171:M176" si="39">ROUND(ROUND(J171, 2)*I171, 2)</f>
        <v>91238.38</v>
      </c>
      <c r="N171" s="54"/>
      <c r="O171" s="54"/>
      <c r="P171" s="53">
        <v>341.05</v>
      </c>
      <c r="Q171" s="54"/>
      <c r="R171" s="54"/>
      <c r="S171" s="53">
        <f t="shared" ref="S171:S176" si="40">ROUND(ROUND(P171, 2)*I171, 2)</f>
        <v>91238.38</v>
      </c>
      <c r="T171" s="54"/>
      <c r="U171" s="55"/>
      <c r="V171" s="9">
        <f t="shared" ref="V171:V176" si="41">ROUND(ROUND(P171, 2)/1.2, 2)</f>
        <v>284.20999999999998</v>
      </c>
      <c r="Y171" s="9">
        <f t="shared" ref="Y171:Y177" si="42">ROUND(S171 / 1.2, 2)</f>
        <v>76031.98</v>
      </c>
      <c r="AD171" s="4" t="s">
        <v>578</v>
      </c>
      <c r="AE171" s="4" t="s">
        <v>579</v>
      </c>
      <c r="AF171" s="4" t="s">
        <v>580</v>
      </c>
    </row>
    <row r="172" spans="1:35" ht="18" x14ac:dyDescent="0.3">
      <c r="A172" s="44" t="s">
        <v>581</v>
      </c>
      <c r="B172" s="44"/>
      <c r="C172" s="56" t="s">
        <v>576</v>
      </c>
      <c r="D172" s="46"/>
      <c r="E172" s="46"/>
      <c r="F172" s="57" t="s">
        <v>76</v>
      </c>
      <c r="G172" s="58">
        <v>0.3</v>
      </c>
      <c r="H172" s="46"/>
      <c r="I172" s="58">
        <v>270.20999999999998</v>
      </c>
      <c r="J172" s="59">
        <v>341.05</v>
      </c>
      <c r="K172" s="60"/>
      <c r="L172" s="60"/>
      <c r="M172" s="59">
        <f t="shared" si="39"/>
        <v>92155.12</v>
      </c>
      <c r="N172" s="60"/>
      <c r="O172" s="60"/>
      <c r="P172" s="59">
        <v>341.05</v>
      </c>
      <c r="Q172" s="60"/>
      <c r="R172" s="60"/>
      <c r="S172" s="59">
        <f t="shared" si="40"/>
        <v>92155.12</v>
      </c>
      <c r="T172" s="60"/>
      <c r="U172" s="61"/>
      <c r="V172" s="9">
        <f t="shared" si="41"/>
        <v>284.20999999999998</v>
      </c>
      <c r="Y172" s="9">
        <f t="shared" si="42"/>
        <v>76795.929999999993</v>
      </c>
      <c r="AD172" s="4" t="s">
        <v>582</v>
      </c>
      <c r="AE172" s="4" t="s">
        <v>579</v>
      </c>
      <c r="AF172" s="4" t="s">
        <v>580</v>
      </c>
    </row>
    <row r="173" spans="1:35" ht="72" x14ac:dyDescent="0.3">
      <c r="A173" s="38" t="s">
        <v>583</v>
      </c>
      <c r="B173" s="38"/>
      <c r="C173" s="49" t="s">
        <v>584</v>
      </c>
      <c r="D173" s="40"/>
      <c r="E173" s="40"/>
      <c r="F173" s="50" t="s">
        <v>123</v>
      </c>
      <c r="G173" s="51">
        <v>1</v>
      </c>
      <c r="H173" s="40"/>
      <c r="I173" s="62">
        <v>891.74</v>
      </c>
      <c r="J173" s="53">
        <v>33.25</v>
      </c>
      <c r="K173" s="54"/>
      <c r="L173" s="54"/>
      <c r="M173" s="53">
        <f t="shared" si="39"/>
        <v>29650.36</v>
      </c>
      <c r="N173" s="54"/>
      <c r="O173" s="54"/>
      <c r="P173" s="53">
        <v>33.25</v>
      </c>
      <c r="Q173" s="54"/>
      <c r="R173" s="54"/>
      <c r="S173" s="53">
        <f t="shared" si="40"/>
        <v>29650.36</v>
      </c>
      <c r="T173" s="54"/>
      <c r="U173" s="55"/>
      <c r="V173" s="9">
        <f t="shared" si="41"/>
        <v>27.71</v>
      </c>
      <c r="Y173" s="9">
        <f t="shared" si="42"/>
        <v>24708.63</v>
      </c>
      <c r="AD173" s="4" t="s">
        <v>585</v>
      </c>
      <c r="AE173" s="4" t="s">
        <v>586</v>
      </c>
      <c r="AF173" s="4" t="s">
        <v>587</v>
      </c>
    </row>
    <row r="174" spans="1:35" ht="72" x14ac:dyDescent="0.3">
      <c r="A174" s="44" t="s">
        <v>588</v>
      </c>
      <c r="B174" s="44"/>
      <c r="C174" s="56" t="s">
        <v>584</v>
      </c>
      <c r="D174" s="46"/>
      <c r="E174" s="46"/>
      <c r="F174" s="57" t="s">
        <v>123</v>
      </c>
      <c r="G174" s="58">
        <v>1</v>
      </c>
      <c r="H174" s="46"/>
      <c r="I174" s="63">
        <v>900.7</v>
      </c>
      <c r="J174" s="59">
        <v>33.25</v>
      </c>
      <c r="K174" s="60"/>
      <c r="L174" s="60"/>
      <c r="M174" s="59">
        <f t="shared" si="39"/>
        <v>29948.28</v>
      </c>
      <c r="N174" s="60"/>
      <c r="O174" s="60"/>
      <c r="P174" s="59">
        <v>33.25</v>
      </c>
      <c r="Q174" s="60"/>
      <c r="R174" s="60"/>
      <c r="S174" s="59">
        <f t="shared" si="40"/>
        <v>29948.28</v>
      </c>
      <c r="T174" s="60"/>
      <c r="U174" s="61"/>
      <c r="V174" s="9">
        <f t="shared" si="41"/>
        <v>27.71</v>
      </c>
      <c r="Y174" s="9">
        <f t="shared" si="42"/>
        <v>24956.9</v>
      </c>
      <c r="AD174" s="4" t="s">
        <v>589</v>
      </c>
      <c r="AE174" s="4" t="s">
        <v>586</v>
      </c>
      <c r="AF174" s="4" t="s">
        <v>587</v>
      </c>
    </row>
    <row r="175" spans="1:35" ht="54" x14ac:dyDescent="0.3">
      <c r="A175" s="38" t="s">
        <v>590</v>
      </c>
      <c r="B175" s="38"/>
      <c r="C175" s="49" t="s">
        <v>591</v>
      </c>
      <c r="D175" s="40"/>
      <c r="E175" s="40"/>
      <c r="F175" s="50" t="s">
        <v>57</v>
      </c>
      <c r="G175" s="51">
        <v>1.1000000000000001</v>
      </c>
      <c r="H175" s="40"/>
      <c r="I175" s="62">
        <v>980.91399999999999</v>
      </c>
      <c r="J175" s="53">
        <v>1339</v>
      </c>
      <c r="K175" s="54"/>
      <c r="L175" s="54"/>
      <c r="M175" s="53">
        <f t="shared" si="39"/>
        <v>1313443.8500000001</v>
      </c>
      <c r="N175" s="54"/>
      <c r="O175" s="54"/>
      <c r="P175" s="53">
        <v>1339</v>
      </c>
      <c r="Q175" s="54"/>
      <c r="R175" s="54"/>
      <c r="S175" s="53">
        <f t="shared" si="40"/>
        <v>1313443.8500000001</v>
      </c>
      <c r="T175" s="54"/>
      <c r="U175" s="55"/>
      <c r="V175" s="9">
        <f t="shared" si="41"/>
        <v>1115.83</v>
      </c>
      <c r="Y175" s="9">
        <f t="shared" si="42"/>
        <v>1094536.54</v>
      </c>
      <c r="AD175" s="4" t="s">
        <v>592</v>
      </c>
      <c r="AE175" s="4" t="s">
        <v>593</v>
      </c>
      <c r="AF175" s="4" t="s">
        <v>594</v>
      </c>
    </row>
    <row r="176" spans="1:35" ht="54" x14ac:dyDescent="0.3">
      <c r="A176" s="44" t="s">
        <v>595</v>
      </c>
      <c r="B176" s="44"/>
      <c r="C176" s="56" t="s">
        <v>591</v>
      </c>
      <c r="D176" s="46"/>
      <c r="E176" s="46"/>
      <c r="F176" s="57" t="s">
        <v>57</v>
      </c>
      <c r="G176" s="58">
        <v>1.1000000000000001</v>
      </c>
      <c r="H176" s="46"/>
      <c r="I176" s="63">
        <v>990.77</v>
      </c>
      <c r="J176" s="59">
        <v>1339</v>
      </c>
      <c r="K176" s="60"/>
      <c r="L176" s="60"/>
      <c r="M176" s="59">
        <f t="shared" si="39"/>
        <v>1326641.03</v>
      </c>
      <c r="N176" s="60"/>
      <c r="O176" s="60"/>
      <c r="P176" s="59">
        <v>1339</v>
      </c>
      <c r="Q176" s="60"/>
      <c r="R176" s="60"/>
      <c r="S176" s="59">
        <f t="shared" si="40"/>
        <v>1326641.03</v>
      </c>
      <c r="T176" s="60"/>
      <c r="U176" s="61"/>
      <c r="V176" s="9">
        <f t="shared" si="41"/>
        <v>1115.83</v>
      </c>
      <c r="Y176" s="9">
        <f t="shared" si="42"/>
        <v>1105534.19</v>
      </c>
      <c r="AD176" s="4" t="s">
        <v>596</v>
      </c>
      <c r="AE176" s="4" t="s">
        <v>593</v>
      </c>
      <c r="AF176" s="4" t="s">
        <v>594</v>
      </c>
    </row>
    <row r="177" spans="1:35" ht="18" x14ac:dyDescent="0.3">
      <c r="A177" s="38" t="s">
        <v>597</v>
      </c>
      <c r="B177" s="38" t="s">
        <v>598</v>
      </c>
      <c r="C177" s="39" t="s">
        <v>599</v>
      </c>
      <c r="D177" s="40"/>
      <c r="E177" s="40" t="s">
        <v>600</v>
      </c>
      <c r="F177" s="40" t="s">
        <v>123</v>
      </c>
      <c r="G177" s="41">
        <v>1</v>
      </c>
      <c r="H177" s="40"/>
      <c r="I177" s="42">
        <v>0</v>
      </c>
      <c r="J177" s="43">
        <v>104.52</v>
      </c>
      <c r="K177" s="43">
        <v>200</v>
      </c>
      <c r="L177" s="43">
        <f>J177+ROUND(K177, 2)</f>
        <v>304.52</v>
      </c>
      <c r="M177" s="43">
        <v>0</v>
      </c>
      <c r="N177" s="43">
        <v>0</v>
      </c>
      <c r="O177" s="43">
        <f>M177+N177</f>
        <v>0</v>
      </c>
      <c r="P177" s="43">
        <v>104.52</v>
      </c>
      <c r="Q177" s="43">
        <v>200</v>
      </c>
      <c r="R177" s="43">
        <f>P177+ROUND(Q177, 2)</f>
        <v>304.52</v>
      </c>
      <c r="S177" s="43">
        <v>0</v>
      </c>
      <c r="T177" s="43">
        <v>0</v>
      </c>
      <c r="U177" s="43">
        <f>S177+T177</f>
        <v>0</v>
      </c>
      <c r="V177" s="9">
        <f>ROUND(P177 / 1.2, 2)</f>
        <v>87.1</v>
      </c>
      <c r="W177" s="9">
        <f>ROUND(Q177 / 1.2, 2)</f>
        <v>166.67</v>
      </c>
      <c r="X177" s="9">
        <f>ROUND(R177 / 1.2, 2)</f>
        <v>253.77</v>
      </c>
      <c r="Y177" s="9">
        <f t="shared" si="42"/>
        <v>0</v>
      </c>
      <c r="Z177" s="9">
        <f>ROUND(T177 / 1.2, 2)</f>
        <v>0</v>
      </c>
      <c r="AA177" s="9">
        <f>Y177+Z177</f>
        <v>0</v>
      </c>
      <c r="AD177" s="4">
        <v>341534311</v>
      </c>
      <c r="AE177" s="4">
        <v>25837373</v>
      </c>
      <c r="AG177" s="4" t="s">
        <v>601</v>
      </c>
      <c r="AH177" s="4" t="s">
        <v>602</v>
      </c>
      <c r="AI177" s="4" t="s">
        <v>241</v>
      </c>
    </row>
    <row r="178" spans="1:35" ht="18" x14ac:dyDescent="0.3">
      <c r="A178" s="44" t="s">
        <v>603</v>
      </c>
      <c r="B178" s="44" t="s">
        <v>598</v>
      </c>
      <c r="C178" s="45" t="s">
        <v>599</v>
      </c>
      <c r="D178" s="46"/>
      <c r="E178" s="46" t="s">
        <v>600</v>
      </c>
      <c r="F178" s="46" t="s">
        <v>123</v>
      </c>
      <c r="G178" s="47">
        <v>1</v>
      </c>
      <c r="H178" s="46"/>
      <c r="I178" s="47">
        <v>900.7</v>
      </c>
      <c r="J178" s="48">
        <v>104.52</v>
      </c>
      <c r="K178" s="48">
        <v>200</v>
      </c>
      <c r="L178" s="48">
        <v>200</v>
      </c>
      <c r="M178" s="48">
        <v>94141.16</v>
      </c>
      <c r="N178" s="48">
        <v>180140</v>
      </c>
      <c r="O178" s="48"/>
      <c r="P178" s="48">
        <v>104.52</v>
      </c>
      <c r="Q178" s="48">
        <v>200</v>
      </c>
      <c r="R178" s="48">
        <v>200</v>
      </c>
      <c r="S178" s="48">
        <v>94141.16</v>
      </c>
      <c r="T178" s="48">
        <v>180140</v>
      </c>
      <c r="U178" s="48"/>
      <c r="V178" s="9"/>
      <c r="W178" s="9">
        <f>ROUND(Q178 / 1.2, 2)</f>
        <v>166.67</v>
      </c>
      <c r="X178" s="9">
        <f>ROUND(R178 / 1.2, 2)</f>
        <v>166.67</v>
      </c>
      <c r="Y178" s="9"/>
      <c r="Z178" s="9">
        <f>ROUND(T178 / 1.2, 2)</f>
        <v>150116.67000000001</v>
      </c>
      <c r="AA178" s="9"/>
      <c r="AD178" s="4">
        <v>314469364</v>
      </c>
      <c r="AE178" s="4">
        <v>25837373</v>
      </c>
      <c r="AG178" s="4" t="s">
        <v>601</v>
      </c>
      <c r="AH178" s="4" t="s">
        <v>602</v>
      </c>
      <c r="AI178" s="4"/>
    </row>
    <row r="179" spans="1:35" ht="36" x14ac:dyDescent="0.3">
      <c r="A179" s="38" t="s">
        <v>604</v>
      </c>
      <c r="B179" s="38"/>
      <c r="C179" s="49" t="s">
        <v>605</v>
      </c>
      <c r="D179" s="40"/>
      <c r="E179" s="40"/>
      <c r="F179" s="50" t="s">
        <v>123</v>
      </c>
      <c r="G179" s="51">
        <v>1.05</v>
      </c>
      <c r="H179" s="40"/>
      <c r="I179" s="62">
        <v>0</v>
      </c>
      <c r="J179" s="53">
        <v>90.97</v>
      </c>
      <c r="K179" s="54"/>
      <c r="L179" s="54"/>
      <c r="M179" s="53">
        <f>ROUND(ROUND(J179, 2)*I179, 2)</f>
        <v>0</v>
      </c>
      <c r="N179" s="54"/>
      <c r="O179" s="54"/>
      <c r="P179" s="53">
        <v>90.97</v>
      </c>
      <c r="Q179" s="54"/>
      <c r="R179" s="54"/>
      <c r="S179" s="53">
        <f>ROUND(ROUND(P179, 2)*I179, 2)</f>
        <v>0</v>
      </c>
      <c r="T179" s="54"/>
      <c r="U179" s="55"/>
      <c r="V179" s="9">
        <f>ROUND(ROUND(P179, 2)/1.2, 2)</f>
        <v>75.81</v>
      </c>
      <c r="Y179" s="9">
        <f>ROUND(S179 / 1.2, 2)</f>
        <v>0</v>
      </c>
      <c r="AD179" s="4" t="s">
        <v>606</v>
      </c>
      <c r="AE179" s="4" t="s">
        <v>607</v>
      </c>
      <c r="AF179" s="4" t="s">
        <v>608</v>
      </c>
    </row>
    <row r="180" spans="1:35" ht="36" x14ac:dyDescent="0.3">
      <c r="A180" s="44" t="s">
        <v>609</v>
      </c>
      <c r="B180" s="44"/>
      <c r="C180" s="56" t="s">
        <v>605</v>
      </c>
      <c r="D180" s="46"/>
      <c r="E180" s="46"/>
      <c r="F180" s="57" t="s">
        <v>123</v>
      </c>
      <c r="G180" s="58">
        <v>1.05</v>
      </c>
      <c r="H180" s="46"/>
      <c r="I180" s="63">
        <v>945.73500000000001</v>
      </c>
      <c r="J180" s="59">
        <v>90.97</v>
      </c>
      <c r="K180" s="60"/>
      <c r="L180" s="60"/>
      <c r="M180" s="59">
        <f>ROUND(ROUND(J180, 2)*I180, 2)</f>
        <v>86033.51</v>
      </c>
      <c r="N180" s="60"/>
      <c r="O180" s="60"/>
      <c r="P180" s="59">
        <v>90.97</v>
      </c>
      <c r="Q180" s="60"/>
      <c r="R180" s="60"/>
      <c r="S180" s="59">
        <f>ROUND(ROUND(P180, 2)*I180, 2)</f>
        <v>86033.51</v>
      </c>
      <c r="T180" s="60"/>
      <c r="U180" s="61"/>
      <c r="V180" s="9">
        <f>ROUND(ROUND(P180, 2)/1.2, 2)</f>
        <v>75.81</v>
      </c>
      <c r="Y180" s="9">
        <f>ROUND(S180 / 1.2, 2)</f>
        <v>71694.59</v>
      </c>
      <c r="AD180" s="4" t="s">
        <v>610</v>
      </c>
      <c r="AE180" s="4" t="s">
        <v>607</v>
      </c>
      <c r="AF180" s="4" t="s">
        <v>608</v>
      </c>
    </row>
    <row r="181" spans="1:35" ht="18" x14ac:dyDescent="0.3">
      <c r="A181" s="38" t="s">
        <v>611</v>
      </c>
      <c r="B181" s="38"/>
      <c r="C181" s="49" t="s">
        <v>612</v>
      </c>
      <c r="D181" s="40"/>
      <c r="E181" s="40"/>
      <c r="F181" s="50" t="s">
        <v>98</v>
      </c>
      <c r="G181" s="65">
        <v>0.09</v>
      </c>
      <c r="H181" s="40"/>
      <c r="I181" s="52">
        <v>0</v>
      </c>
      <c r="J181" s="53">
        <v>100</v>
      </c>
      <c r="K181" s="54"/>
      <c r="L181" s="54"/>
      <c r="M181" s="53">
        <f>ROUND(ROUND(J181, 2)*I181, 2)</f>
        <v>0</v>
      </c>
      <c r="N181" s="54"/>
      <c r="O181" s="54"/>
      <c r="P181" s="53">
        <v>100</v>
      </c>
      <c r="Q181" s="54"/>
      <c r="R181" s="54"/>
      <c r="S181" s="53">
        <f>ROUND(ROUND(P181, 2)*I181, 2)</f>
        <v>0</v>
      </c>
      <c r="T181" s="54"/>
      <c r="U181" s="55"/>
      <c r="V181" s="9">
        <f>ROUND(ROUND(P181, 2)/1.2, 2)</f>
        <v>83.33</v>
      </c>
      <c r="Y181" s="9">
        <f>ROUND(S181 / 1.2, 2)</f>
        <v>0</v>
      </c>
      <c r="AD181" s="4" t="s">
        <v>613</v>
      </c>
      <c r="AE181" s="4" t="s">
        <v>614</v>
      </c>
      <c r="AF181" s="4" t="s">
        <v>615</v>
      </c>
    </row>
    <row r="182" spans="1:35" ht="18" x14ac:dyDescent="0.3">
      <c r="A182" s="44" t="s">
        <v>616</v>
      </c>
      <c r="B182" s="44"/>
      <c r="C182" s="56" t="s">
        <v>612</v>
      </c>
      <c r="D182" s="46"/>
      <c r="E182" s="46"/>
      <c r="F182" s="57" t="s">
        <v>98</v>
      </c>
      <c r="G182" s="66">
        <v>0.09</v>
      </c>
      <c r="H182" s="46"/>
      <c r="I182" s="58">
        <v>81.063000000000002</v>
      </c>
      <c r="J182" s="59">
        <v>100</v>
      </c>
      <c r="K182" s="60"/>
      <c r="L182" s="60"/>
      <c r="M182" s="59">
        <f>ROUND(ROUND(J182, 2)*I182, 2)</f>
        <v>8106.3</v>
      </c>
      <c r="N182" s="60"/>
      <c r="O182" s="60"/>
      <c r="P182" s="59">
        <v>100</v>
      </c>
      <c r="Q182" s="60"/>
      <c r="R182" s="60"/>
      <c r="S182" s="59">
        <f>ROUND(ROUND(P182, 2)*I182, 2)</f>
        <v>8106.3</v>
      </c>
      <c r="T182" s="60"/>
      <c r="U182" s="61"/>
      <c r="V182" s="9">
        <f>ROUND(ROUND(P182, 2)/1.2, 2)</f>
        <v>83.33</v>
      </c>
      <c r="Y182" s="9">
        <f>ROUND(S182 / 1.2, 2)</f>
        <v>6755.25</v>
      </c>
      <c r="AD182" s="4" t="s">
        <v>617</v>
      </c>
      <c r="AE182" s="4" t="s">
        <v>614</v>
      </c>
      <c r="AF182" s="4" t="s">
        <v>615</v>
      </c>
    </row>
    <row r="183" spans="1:35" ht="54" x14ac:dyDescent="0.3">
      <c r="A183" s="38" t="s">
        <v>618</v>
      </c>
      <c r="B183" s="38" t="s">
        <v>619</v>
      </c>
      <c r="C183" s="39" t="s">
        <v>620</v>
      </c>
      <c r="D183" s="40"/>
      <c r="E183" s="40" t="s">
        <v>621</v>
      </c>
      <c r="F183" s="40" t="s">
        <v>123</v>
      </c>
      <c r="G183" s="41">
        <v>1</v>
      </c>
      <c r="H183" s="40"/>
      <c r="I183" s="42">
        <v>0</v>
      </c>
      <c r="J183" s="43">
        <v>367.98</v>
      </c>
      <c r="K183" s="43">
        <v>374</v>
      </c>
      <c r="L183" s="43">
        <f>J183+ROUND(K183, 2)</f>
        <v>741.98</v>
      </c>
      <c r="M183" s="43">
        <v>0</v>
      </c>
      <c r="N183" s="43">
        <v>0</v>
      </c>
      <c r="O183" s="43">
        <f>M183+N183</f>
        <v>0</v>
      </c>
      <c r="P183" s="43">
        <v>367.98</v>
      </c>
      <c r="Q183" s="43">
        <v>374</v>
      </c>
      <c r="R183" s="43">
        <f>P183+ROUND(Q183, 2)</f>
        <v>741.98</v>
      </c>
      <c r="S183" s="43">
        <v>0</v>
      </c>
      <c r="T183" s="43">
        <v>0</v>
      </c>
      <c r="U183" s="43">
        <f>S183+T183</f>
        <v>0</v>
      </c>
      <c r="V183" s="9">
        <f>ROUND(P183 / 1.2, 2)</f>
        <v>306.64999999999998</v>
      </c>
      <c r="W183" s="9">
        <f>ROUND(Q183 / 1.2, 2)</f>
        <v>311.67</v>
      </c>
      <c r="X183" s="9">
        <f>ROUND(R183 / 1.2, 2)</f>
        <v>618.32000000000005</v>
      </c>
      <c r="Y183" s="9">
        <f>ROUND(S183 / 1.2, 2)</f>
        <v>0</v>
      </c>
      <c r="Z183" s="9">
        <f>ROUND(T183 / 1.2, 2)</f>
        <v>0</v>
      </c>
      <c r="AA183" s="9">
        <f>Y183+Z183</f>
        <v>0</v>
      </c>
      <c r="AD183" s="4">
        <v>341534313</v>
      </c>
      <c r="AE183" s="4">
        <v>25837384</v>
      </c>
      <c r="AG183" s="4" t="s">
        <v>622</v>
      </c>
      <c r="AH183" s="4" t="s">
        <v>623</v>
      </c>
      <c r="AI183" s="4" t="s">
        <v>241</v>
      </c>
    </row>
    <row r="184" spans="1:35" ht="54" x14ac:dyDescent="0.3">
      <c r="A184" s="44" t="s">
        <v>624</v>
      </c>
      <c r="B184" s="44" t="s">
        <v>619</v>
      </c>
      <c r="C184" s="45" t="s">
        <v>620</v>
      </c>
      <c r="D184" s="46"/>
      <c r="E184" s="46" t="s">
        <v>621</v>
      </c>
      <c r="F184" s="46" t="s">
        <v>123</v>
      </c>
      <c r="G184" s="47">
        <v>1</v>
      </c>
      <c r="H184" s="46"/>
      <c r="I184" s="47">
        <v>125.7</v>
      </c>
      <c r="J184" s="48">
        <v>367.98</v>
      </c>
      <c r="K184" s="48">
        <v>374</v>
      </c>
      <c r="L184" s="48">
        <v>374</v>
      </c>
      <c r="M184" s="48">
        <v>46255.09</v>
      </c>
      <c r="N184" s="48">
        <v>47011.8</v>
      </c>
      <c r="O184" s="48"/>
      <c r="P184" s="48">
        <v>367.98</v>
      </c>
      <c r="Q184" s="48">
        <v>374</v>
      </c>
      <c r="R184" s="48">
        <v>374</v>
      </c>
      <c r="S184" s="48">
        <v>46255.09</v>
      </c>
      <c r="T184" s="48">
        <v>47011.8</v>
      </c>
      <c r="U184" s="48"/>
      <c r="V184" s="9"/>
      <c r="W184" s="9">
        <f>ROUND(Q184 / 1.2, 2)</f>
        <v>311.67</v>
      </c>
      <c r="X184" s="9">
        <f>ROUND(R184 / 1.2, 2)</f>
        <v>311.67</v>
      </c>
      <c r="Y184" s="9"/>
      <c r="Z184" s="9">
        <f>ROUND(T184 / 1.2, 2)</f>
        <v>39176.5</v>
      </c>
      <c r="AA184" s="9"/>
      <c r="AD184" s="4">
        <v>314469366</v>
      </c>
      <c r="AE184" s="4">
        <v>25837384</v>
      </c>
      <c r="AG184" s="4" t="s">
        <v>622</v>
      </c>
      <c r="AH184" s="4" t="s">
        <v>623</v>
      </c>
      <c r="AI184" s="4"/>
    </row>
    <row r="185" spans="1:35" ht="144" x14ac:dyDescent="0.3">
      <c r="A185" s="38" t="s">
        <v>625</v>
      </c>
      <c r="B185" s="38"/>
      <c r="C185" s="49" t="s">
        <v>626</v>
      </c>
      <c r="D185" s="40"/>
      <c r="E185" s="40" t="s">
        <v>627</v>
      </c>
      <c r="F185" s="50" t="s">
        <v>98</v>
      </c>
      <c r="G185" s="51">
        <v>1.84</v>
      </c>
      <c r="H185" s="40"/>
      <c r="I185" s="52">
        <v>0</v>
      </c>
      <c r="J185" s="53">
        <v>196</v>
      </c>
      <c r="K185" s="54"/>
      <c r="L185" s="54"/>
      <c r="M185" s="53">
        <f t="shared" ref="M185:M192" si="43">ROUND(ROUND(J185, 2)*I185, 2)</f>
        <v>0</v>
      </c>
      <c r="N185" s="54"/>
      <c r="O185" s="54"/>
      <c r="P185" s="53">
        <v>196</v>
      </c>
      <c r="Q185" s="54"/>
      <c r="R185" s="54"/>
      <c r="S185" s="53">
        <f t="shared" ref="S185:S192" si="44">ROUND(ROUND(P185, 2)*I185, 2)</f>
        <v>0</v>
      </c>
      <c r="T185" s="54"/>
      <c r="U185" s="55"/>
      <c r="V185" s="9">
        <f t="shared" ref="V185:V192" si="45">ROUND(ROUND(P185, 2)/1.2, 2)</f>
        <v>163.33000000000001</v>
      </c>
      <c r="Y185" s="9">
        <f t="shared" ref="Y185:Y193" si="46">ROUND(S185 / 1.2, 2)</f>
        <v>0</v>
      </c>
      <c r="AD185" s="4" t="s">
        <v>628</v>
      </c>
      <c r="AE185" s="4" t="s">
        <v>629</v>
      </c>
      <c r="AF185" s="4" t="s">
        <v>630</v>
      </c>
    </row>
    <row r="186" spans="1:35" ht="144" x14ac:dyDescent="0.3">
      <c r="A186" s="44" t="s">
        <v>631</v>
      </c>
      <c r="B186" s="44"/>
      <c r="C186" s="56" t="s">
        <v>626</v>
      </c>
      <c r="D186" s="46"/>
      <c r="E186" s="46" t="s">
        <v>627</v>
      </c>
      <c r="F186" s="57" t="s">
        <v>98</v>
      </c>
      <c r="G186" s="58">
        <v>1.84</v>
      </c>
      <c r="H186" s="46"/>
      <c r="I186" s="58">
        <v>231.28800000000001</v>
      </c>
      <c r="J186" s="59">
        <v>196</v>
      </c>
      <c r="K186" s="60"/>
      <c r="L186" s="60"/>
      <c r="M186" s="59">
        <f t="shared" si="43"/>
        <v>45332.45</v>
      </c>
      <c r="N186" s="60"/>
      <c r="O186" s="60"/>
      <c r="P186" s="59">
        <v>196</v>
      </c>
      <c r="Q186" s="60"/>
      <c r="R186" s="60"/>
      <c r="S186" s="59">
        <f t="shared" si="44"/>
        <v>45332.45</v>
      </c>
      <c r="T186" s="60"/>
      <c r="U186" s="61"/>
      <c r="V186" s="9">
        <f t="shared" si="45"/>
        <v>163.33000000000001</v>
      </c>
      <c r="Y186" s="9">
        <f t="shared" si="46"/>
        <v>37777.040000000001</v>
      </c>
      <c r="AD186" s="4" t="s">
        <v>632</v>
      </c>
      <c r="AE186" s="4" t="s">
        <v>629</v>
      </c>
      <c r="AF186" s="4" t="s">
        <v>630</v>
      </c>
    </row>
    <row r="187" spans="1:35" ht="36" x14ac:dyDescent="0.3">
      <c r="A187" s="38" t="s">
        <v>633</v>
      </c>
      <c r="B187" s="38"/>
      <c r="C187" s="49" t="s">
        <v>634</v>
      </c>
      <c r="D187" s="40"/>
      <c r="E187" s="40"/>
      <c r="F187" s="50" t="s">
        <v>76</v>
      </c>
      <c r="G187" s="51">
        <v>0.7</v>
      </c>
      <c r="H187" s="40"/>
      <c r="I187" s="62">
        <v>0</v>
      </c>
      <c r="J187" s="53">
        <v>6.28</v>
      </c>
      <c r="K187" s="54"/>
      <c r="L187" s="54"/>
      <c r="M187" s="53">
        <f t="shared" si="43"/>
        <v>0</v>
      </c>
      <c r="N187" s="54"/>
      <c r="O187" s="54"/>
      <c r="P187" s="53">
        <v>6.28</v>
      </c>
      <c r="Q187" s="54"/>
      <c r="R187" s="54"/>
      <c r="S187" s="53">
        <f t="shared" si="44"/>
        <v>0</v>
      </c>
      <c r="T187" s="54"/>
      <c r="U187" s="55"/>
      <c r="V187" s="9">
        <f t="shared" si="45"/>
        <v>5.23</v>
      </c>
      <c r="Y187" s="9">
        <f t="shared" si="46"/>
        <v>0</v>
      </c>
      <c r="AD187" s="4" t="s">
        <v>635</v>
      </c>
      <c r="AE187" s="4" t="s">
        <v>636</v>
      </c>
      <c r="AF187" s="4" t="s">
        <v>637</v>
      </c>
    </row>
    <row r="188" spans="1:35" ht="36" x14ac:dyDescent="0.3">
      <c r="A188" s="44" t="s">
        <v>638</v>
      </c>
      <c r="B188" s="44"/>
      <c r="C188" s="56" t="s">
        <v>634</v>
      </c>
      <c r="D188" s="46"/>
      <c r="E188" s="46"/>
      <c r="F188" s="57" t="s">
        <v>76</v>
      </c>
      <c r="G188" s="58">
        <v>0.7</v>
      </c>
      <c r="H188" s="46"/>
      <c r="I188" s="63">
        <v>87.99</v>
      </c>
      <c r="J188" s="59">
        <v>6.28</v>
      </c>
      <c r="K188" s="60"/>
      <c r="L188" s="60"/>
      <c r="M188" s="59">
        <f t="shared" si="43"/>
        <v>552.58000000000004</v>
      </c>
      <c r="N188" s="60"/>
      <c r="O188" s="60"/>
      <c r="P188" s="59">
        <v>6.28</v>
      </c>
      <c r="Q188" s="60"/>
      <c r="R188" s="60"/>
      <c r="S188" s="59">
        <f t="shared" si="44"/>
        <v>552.58000000000004</v>
      </c>
      <c r="T188" s="60"/>
      <c r="U188" s="61"/>
      <c r="V188" s="9">
        <f t="shared" si="45"/>
        <v>5.23</v>
      </c>
      <c r="Y188" s="9">
        <f t="shared" si="46"/>
        <v>460.48</v>
      </c>
      <c r="AD188" s="4" t="s">
        <v>639</v>
      </c>
      <c r="AE188" s="4" t="s">
        <v>636</v>
      </c>
      <c r="AF188" s="4" t="s">
        <v>637</v>
      </c>
    </row>
    <row r="189" spans="1:35" ht="18" x14ac:dyDescent="0.3">
      <c r="A189" s="38" t="s">
        <v>640</v>
      </c>
      <c r="B189" s="38"/>
      <c r="C189" s="49" t="s">
        <v>502</v>
      </c>
      <c r="D189" s="40"/>
      <c r="E189" s="40"/>
      <c r="F189" s="50" t="s">
        <v>76</v>
      </c>
      <c r="G189" s="51">
        <v>0.04</v>
      </c>
      <c r="H189" s="40"/>
      <c r="I189" s="52">
        <v>0</v>
      </c>
      <c r="J189" s="53">
        <v>40.270000000000003</v>
      </c>
      <c r="K189" s="54"/>
      <c r="L189" s="54"/>
      <c r="M189" s="53">
        <f t="shared" si="43"/>
        <v>0</v>
      </c>
      <c r="N189" s="54"/>
      <c r="O189" s="54"/>
      <c r="P189" s="53">
        <v>40.270000000000003</v>
      </c>
      <c r="Q189" s="54"/>
      <c r="R189" s="54"/>
      <c r="S189" s="53">
        <f t="shared" si="44"/>
        <v>0</v>
      </c>
      <c r="T189" s="54"/>
      <c r="U189" s="55"/>
      <c r="V189" s="9">
        <f t="shared" si="45"/>
        <v>33.56</v>
      </c>
      <c r="Y189" s="9">
        <f t="shared" si="46"/>
        <v>0</v>
      </c>
      <c r="AD189" s="4" t="s">
        <v>641</v>
      </c>
      <c r="AE189" s="4" t="s">
        <v>642</v>
      </c>
      <c r="AF189" s="4" t="s">
        <v>505</v>
      </c>
    </row>
    <row r="190" spans="1:35" ht="18" x14ac:dyDescent="0.3">
      <c r="A190" s="44" t="s">
        <v>643</v>
      </c>
      <c r="B190" s="44"/>
      <c r="C190" s="56" t="s">
        <v>502</v>
      </c>
      <c r="D190" s="46"/>
      <c r="E190" s="46"/>
      <c r="F190" s="57" t="s">
        <v>76</v>
      </c>
      <c r="G190" s="58">
        <v>0.04</v>
      </c>
      <c r="H190" s="46"/>
      <c r="I190" s="58">
        <v>5.0279999999999996</v>
      </c>
      <c r="J190" s="59">
        <v>40.270000000000003</v>
      </c>
      <c r="K190" s="60"/>
      <c r="L190" s="60"/>
      <c r="M190" s="59">
        <f t="shared" si="43"/>
        <v>202.48</v>
      </c>
      <c r="N190" s="60"/>
      <c r="O190" s="60"/>
      <c r="P190" s="59">
        <v>40.270000000000003</v>
      </c>
      <c r="Q190" s="60"/>
      <c r="R190" s="60"/>
      <c r="S190" s="59">
        <f t="shared" si="44"/>
        <v>202.48</v>
      </c>
      <c r="T190" s="60"/>
      <c r="U190" s="61"/>
      <c r="V190" s="9">
        <f t="shared" si="45"/>
        <v>33.56</v>
      </c>
      <c r="Y190" s="9">
        <f t="shared" si="46"/>
        <v>168.73</v>
      </c>
      <c r="AD190" s="4" t="s">
        <v>644</v>
      </c>
      <c r="AE190" s="4" t="s">
        <v>642</v>
      </c>
      <c r="AF190" s="4" t="s">
        <v>505</v>
      </c>
    </row>
    <row r="191" spans="1:35" ht="36" x14ac:dyDescent="0.3">
      <c r="A191" s="38" t="s">
        <v>645</v>
      </c>
      <c r="B191" s="38"/>
      <c r="C191" s="49" t="s">
        <v>509</v>
      </c>
      <c r="D191" s="40"/>
      <c r="E191" s="40"/>
      <c r="F191" s="50" t="s">
        <v>76</v>
      </c>
      <c r="G191" s="51">
        <v>1.4999999999999999E-2</v>
      </c>
      <c r="H191" s="40"/>
      <c r="I191" s="52">
        <v>0</v>
      </c>
      <c r="J191" s="53">
        <v>88.8</v>
      </c>
      <c r="K191" s="54"/>
      <c r="L191" s="54"/>
      <c r="M191" s="53">
        <f t="shared" si="43"/>
        <v>0</v>
      </c>
      <c r="N191" s="54"/>
      <c r="O191" s="54"/>
      <c r="P191" s="53">
        <v>88.8</v>
      </c>
      <c r="Q191" s="54"/>
      <c r="R191" s="54"/>
      <c r="S191" s="53">
        <f t="shared" si="44"/>
        <v>0</v>
      </c>
      <c r="T191" s="54"/>
      <c r="U191" s="55"/>
      <c r="V191" s="9">
        <f t="shared" si="45"/>
        <v>74</v>
      </c>
      <c r="Y191" s="9">
        <f t="shared" si="46"/>
        <v>0</v>
      </c>
      <c r="AD191" s="4" t="s">
        <v>646</v>
      </c>
      <c r="AE191" s="4" t="s">
        <v>647</v>
      </c>
      <c r="AF191" s="4" t="s">
        <v>512</v>
      </c>
    </row>
    <row r="192" spans="1:35" ht="36" x14ac:dyDescent="0.3">
      <c r="A192" s="44" t="s">
        <v>648</v>
      </c>
      <c r="B192" s="44"/>
      <c r="C192" s="56" t="s">
        <v>509</v>
      </c>
      <c r="D192" s="46"/>
      <c r="E192" s="46"/>
      <c r="F192" s="57" t="s">
        <v>76</v>
      </c>
      <c r="G192" s="58">
        <v>1.4999999999999999E-2</v>
      </c>
      <c r="H192" s="46"/>
      <c r="I192" s="58">
        <v>1.8859999999999999</v>
      </c>
      <c r="J192" s="59">
        <v>88.8</v>
      </c>
      <c r="K192" s="60"/>
      <c r="L192" s="60"/>
      <c r="M192" s="59">
        <f t="shared" si="43"/>
        <v>167.48</v>
      </c>
      <c r="N192" s="60"/>
      <c r="O192" s="60"/>
      <c r="P192" s="59">
        <v>88.8</v>
      </c>
      <c r="Q192" s="60"/>
      <c r="R192" s="60"/>
      <c r="S192" s="59">
        <f t="shared" si="44"/>
        <v>167.48</v>
      </c>
      <c r="T192" s="60"/>
      <c r="U192" s="61"/>
      <c r="V192" s="9">
        <f t="shared" si="45"/>
        <v>74</v>
      </c>
      <c r="Y192" s="9">
        <f t="shared" si="46"/>
        <v>139.57</v>
      </c>
      <c r="AD192" s="4" t="s">
        <v>649</v>
      </c>
      <c r="AE192" s="4" t="s">
        <v>647</v>
      </c>
      <c r="AF192" s="4" t="s">
        <v>512</v>
      </c>
    </row>
    <row r="193" spans="1:35" ht="54" x14ac:dyDescent="0.3">
      <c r="A193" s="38" t="s">
        <v>650</v>
      </c>
      <c r="B193" s="38" t="s">
        <v>619</v>
      </c>
      <c r="C193" s="39" t="s">
        <v>620</v>
      </c>
      <c r="D193" s="40"/>
      <c r="E193" s="40" t="s">
        <v>364</v>
      </c>
      <c r="F193" s="40" t="s">
        <v>123</v>
      </c>
      <c r="G193" s="41">
        <v>1</v>
      </c>
      <c r="H193" s="40"/>
      <c r="I193" s="42">
        <v>0</v>
      </c>
      <c r="J193" s="43">
        <v>118.73</v>
      </c>
      <c r="K193" s="43">
        <v>374</v>
      </c>
      <c r="L193" s="43">
        <f>J193+ROUND(K193, 2)</f>
        <v>492.73</v>
      </c>
      <c r="M193" s="43">
        <v>0</v>
      </c>
      <c r="N193" s="43">
        <v>0</v>
      </c>
      <c r="O193" s="43">
        <f>M193+N193</f>
        <v>0</v>
      </c>
      <c r="P193" s="43">
        <v>118.73</v>
      </c>
      <c r="Q193" s="43">
        <v>374</v>
      </c>
      <c r="R193" s="43">
        <f>P193+ROUND(Q193, 2)</f>
        <v>492.73</v>
      </c>
      <c r="S193" s="43">
        <v>0</v>
      </c>
      <c r="T193" s="43">
        <v>0</v>
      </c>
      <c r="U193" s="43">
        <f>S193+T193</f>
        <v>0</v>
      </c>
      <c r="V193" s="9">
        <f>ROUND(P193 / 1.2, 2)</f>
        <v>98.94</v>
      </c>
      <c r="W193" s="9">
        <f>ROUND(Q193 / 1.2, 2)</f>
        <v>311.67</v>
      </c>
      <c r="X193" s="9">
        <f>ROUND(R193 / 1.2, 2)</f>
        <v>410.61</v>
      </c>
      <c r="Y193" s="9">
        <f t="shared" si="46"/>
        <v>0</v>
      </c>
      <c r="Z193" s="9">
        <f>ROUND(T193 / 1.2, 2)</f>
        <v>0</v>
      </c>
      <c r="AA193" s="9">
        <f>Y193+Z193</f>
        <v>0</v>
      </c>
      <c r="AD193" s="4">
        <v>341534372</v>
      </c>
      <c r="AE193" s="4">
        <v>25837386</v>
      </c>
      <c r="AG193" s="4" t="s">
        <v>622</v>
      </c>
      <c r="AH193" s="4" t="s">
        <v>623</v>
      </c>
      <c r="AI193" s="4" t="s">
        <v>241</v>
      </c>
    </row>
    <row r="194" spans="1:35" ht="54" x14ac:dyDescent="0.3">
      <c r="A194" s="44" t="s">
        <v>651</v>
      </c>
      <c r="B194" s="44" t="s">
        <v>619</v>
      </c>
      <c r="C194" s="45" t="s">
        <v>620</v>
      </c>
      <c r="D194" s="46"/>
      <c r="E194" s="46" t="s">
        <v>364</v>
      </c>
      <c r="F194" s="46" t="s">
        <v>123</v>
      </c>
      <c r="G194" s="47">
        <v>1</v>
      </c>
      <c r="H194" s="46"/>
      <c r="I194" s="47">
        <v>56.7</v>
      </c>
      <c r="J194" s="48">
        <v>118.73</v>
      </c>
      <c r="K194" s="48">
        <v>374</v>
      </c>
      <c r="L194" s="48">
        <v>374</v>
      </c>
      <c r="M194" s="48">
        <v>6731.99</v>
      </c>
      <c r="N194" s="48">
        <v>21205.8</v>
      </c>
      <c r="O194" s="48"/>
      <c r="P194" s="48">
        <v>118.73</v>
      </c>
      <c r="Q194" s="48">
        <v>374</v>
      </c>
      <c r="R194" s="48">
        <v>374</v>
      </c>
      <c r="S194" s="48">
        <v>6731.99</v>
      </c>
      <c r="T194" s="48">
        <v>21205.8</v>
      </c>
      <c r="U194" s="48"/>
      <c r="V194" s="9"/>
      <c r="W194" s="9">
        <f>ROUND(Q194 / 1.2, 2)</f>
        <v>311.67</v>
      </c>
      <c r="X194" s="9">
        <f>ROUND(R194 / 1.2, 2)</f>
        <v>311.67</v>
      </c>
      <c r="Y194" s="9"/>
      <c r="Z194" s="9">
        <f>ROUND(T194 / 1.2, 2)</f>
        <v>17671.5</v>
      </c>
      <c r="AA194" s="9"/>
      <c r="AD194" s="4">
        <v>314469367</v>
      </c>
      <c r="AE194" s="4">
        <v>25837386</v>
      </c>
      <c r="AG194" s="4" t="s">
        <v>622</v>
      </c>
      <c r="AH194" s="4" t="s">
        <v>623</v>
      </c>
      <c r="AI194" s="4"/>
    </row>
    <row r="195" spans="1:35" ht="36" x14ac:dyDescent="0.3">
      <c r="A195" s="38" t="s">
        <v>652</v>
      </c>
      <c r="B195" s="38"/>
      <c r="C195" s="49" t="s">
        <v>509</v>
      </c>
      <c r="D195" s="40"/>
      <c r="E195" s="40"/>
      <c r="F195" s="50" t="s">
        <v>76</v>
      </c>
      <c r="G195" s="51">
        <v>1.4999999999999999E-2</v>
      </c>
      <c r="H195" s="40"/>
      <c r="I195" s="52">
        <v>0</v>
      </c>
      <c r="J195" s="53">
        <v>88.8</v>
      </c>
      <c r="K195" s="54"/>
      <c r="L195" s="54"/>
      <c r="M195" s="53">
        <f t="shared" ref="M195:M202" si="47">ROUND(ROUND(J195, 2)*I195, 2)</f>
        <v>0</v>
      </c>
      <c r="N195" s="54"/>
      <c r="O195" s="54"/>
      <c r="P195" s="53">
        <v>88.8</v>
      </c>
      <c r="Q195" s="54"/>
      <c r="R195" s="54"/>
      <c r="S195" s="53">
        <f t="shared" ref="S195:S202" si="48">ROUND(ROUND(P195, 2)*I195, 2)</f>
        <v>0</v>
      </c>
      <c r="T195" s="54"/>
      <c r="U195" s="55"/>
      <c r="V195" s="9">
        <f t="shared" ref="V195:V202" si="49">ROUND(ROUND(P195, 2)/1.2, 2)</f>
        <v>74</v>
      </c>
      <c r="Y195" s="9">
        <f t="shared" ref="Y195:Y208" si="50">ROUND(S195 / 1.2, 2)</f>
        <v>0</v>
      </c>
      <c r="AD195" s="4" t="s">
        <v>653</v>
      </c>
      <c r="AE195" s="4" t="s">
        <v>654</v>
      </c>
      <c r="AF195" s="4" t="s">
        <v>512</v>
      </c>
    </row>
    <row r="196" spans="1:35" ht="36" x14ac:dyDescent="0.3">
      <c r="A196" s="44" t="s">
        <v>655</v>
      </c>
      <c r="B196" s="44"/>
      <c r="C196" s="56" t="s">
        <v>509</v>
      </c>
      <c r="D196" s="46"/>
      <c r="E196" s="46"/>
      <c r="F196" s="57" t="s">
        <v>76</v>
      </c>
      <c r="G196" s="58">
        <v>1.4999999999999999E-2</v>
      </c>
      <c r="H196" s="46"/>
      <c r="I196" s="58">
        <v>0.85099999999999998</v>
      </c>
      <c r="J196" s="59">
        <v>88.8</v>
      </c>
      <c r="K196" s="60"/>
      <c r="L196" s="60"/>
      <c r="M196" s="59">
        <f t="shared" si="47"/>
        <v>75.569999999999993</v>
      </c>
      <c r="N196" s="60"/>
      <c r="O196" s="60"/>
      <c r="P196" s="59">
        <v>88.8</v>
      </c>
      <c r="Q196" s="60"/>
      <c r="R196" s="60"/>
      <c r="S196" s="59">
        <f t="shared" si="48"/>
        <v>75.569999999999993</v>
      </c>
      <c r="T196" s="60"/>
      <c r="U196" s="61"/>
      <c r="V196" s="9">
        <f t="shared" si="49"/>
        <v>74</v>
      </c>
      <c r="Y196" s="9">
        <f t="shared" si="50"/>
        <v>62.98</v>
      </c>
      <c r="AD196" s="4" t="s">
        <v>656</v>
      </c>
      <c r="AE196" s="4" t="s">
        <v>654</v>
      </c>
      <c r="AF196" s="4" t="s">
        <v>512</v>
      </c>
    </row>
    <row r="197" spans="1:35" ht="18" x14ac:dyDescent="0.3">
      <c r="A197" s="38" t="s">
        <v>657</v>
      </c>
      <c r="B197" s="38"/>
      <c r="C197" s="49" t="s">
        <v>502</v>
      </c>
      <c r="D197" s="40"/>
      <c r="E197" s="40"/>
      <c r="F197" s="50" t="s">
        <v>76</v>
      </c>
      <c r="G197" s="51">
        <v>0.04</v>
      </c>
      <c r="H197" s="40"/>
      <c r="I197" s="52">
        <v>0</v>
      </c>
      <c r="J197" s="53">
        <v>40.270000000000003</v>
      </c>
      <c r="K197" s="54"/>
      <c r="L197" s="54"/>
      <c r="M197" s="53">
        <f t="shared" si="47"/>
        <v>0</v>
      </c>
      <c r="N197" s="54"/>
      <c r="O197" s="54"/>
      <c r="P197" s="53">
        <v>40.270000000000003</v>
      </c>
      <c r="Q197" s="54"/>
      <c r="R197" s="54"/>
      <c r="S197" s="53">
        <f t="shared" si="48"/>
        <v>0</v>
      </c>
      <c r="T197" s="54"/>
      <c r="U197" s="55"/>
      <c r="V197" s="9">
        <f t="shared" si="49"/>
        <v>33.56</v>
      </c>
      <c r="Y197" s="9">
        <f t="shared" si="50"/>
        <v>0</v>
      </c>
      <c r="AD197" s="4" t="s">
        <v>658</v>
      </c>
      <c r="AE197" s="4" t="s">
        <v>659</v>
      </c>
      <c r="AF197" s="4" t="s">
        <v>505</v>
      </c>
    </row>
    <row r="198" spans="1:35" ht="18" x14ac:dyDescent="0.3">
      <c r="A198" s="44" t="s">
        <v>660</v>
      </c>
      <c r="B198" s="44"/>
      <c r="C198" s="56" t="s">
        <v>502</v>
      </c>
      <c r="D198" s="46"/>
      <c r="E198" s="46"/>
      <c r="F198" s="57" t="s">
        <v>76</v>
      </c>
      <c r="G198" s="58">
        <v>0.04</v>
      </c>
      <c r="H198" s="46"/>
      <c r="I198" s="58">
        <v>2.2679999999999998</v>
      </c>
      <c r="J198" s="59">
        <v>40.270000000000003</v>
      </c>
      <c r="K198" s="60"/>
      <c r="L198" s="60"/>
      <c r="M198" s="59">
        <f t="shared" si="47"/>
        <v>91.33</v>
      </c>
      <c r="N198" s="60"/>
      <c r="O198" s="60"/>
      <c r="P198" s="59">
        <v>40.270000000000003</v>
      </c>
      <c r="Q198" s="60"/>
      <c r="R198" s="60"/>
      <c r="S198" s="59">
        <f t="shared" si="48"/>
        <v>91.33</v>
      </c>
      <c r="T198" s="60"/>
      <c r="U198" s="61"/>
      <c r="V198" s="9">
        <f t="shared" si="49"/>
        <v>33.56</v>
      </c>
      <c r="Y198" s="9">
        <f t="shared" si="50"/>
        <v>76.11</v>
      </c>
      <c r="AD198" s="4" t="s">
        <v>661</v>
      </c>
      <c r="AE198" s="4" t="s">
        <v>659</v>
      </c>
      <c r="AF198" s="4" t="s">
        <v>505</v>
      </c>
    </row>
    <row r="199" spans="1:35" ht="144" x14ac:dyDescent="0.3">
      <c r="A199" s="38" t="s">
        <v>662</v>
      </c>
      <c r="B199" s="38"/>
      <c r="C199" s="49" t="s">
        <v>663</v>
      </c>
      <c r="D199" s="40"/>
      <c r="E199" s="40" t="s">
        <v>627</v>
      </c>
      <c r="F199" s="50" t="s">
        <v>57</v>
      </c>
      <c r="G199" s="51">
        <v>0.11</v>
      </c>
      <c r="H199" s="40"/>
      <c r="I199" s="52">
        <v>0</v>
      </c>
      <c r="J199" s="53">
        <v>1012.6</v>
      </c>
      <c r="K199" s="54"/>
      <c r="L199" s="54"/>
      <c r="M199" s="53">
        <f t="shared" si="47"/>
        <v>0</v>
      </c>
      <c r="N199" s="54"/>
      <c r="O199" s="54"/>
      <c r="P199" s="53">
        <v>1012.6</v>
      </c>
      <c r="Q199" s="54"/>
      <c r="R199" s="54"/>
      <c r="S199" s="53">
        <f t="shared" si="48"/>
        <v>0</v>
      </c>
      <c r="T199" s="54"/>
      <c r="U199" s="55"/>
      <c r="V199" s="9">
        <f t="shared" si="49"/>
        <v>843.83</v>
      </c>
      <c r="Y199" s="9">
        <f t="shared" si="50"/>
        <v>0</v>
      </c>
      <c r="AD199" s="4" t="s">
        <v>664</v>
      </c>
      <c r="AE199" s="4" t="s">
        <v>665</v>
      </c>
      <c r="AF199" s="4" t="s">
        <v>666</v>
      </c>
    </row>
    <row r="200" spans="1:35" ht="144" x14ac:dyDescent="0.3">
      <c r="A200" s="44" t="s">
        <v>667</v>
      </c>
      <c r="B200" s="44"/>
      <c r="C200" s="56" t="s">
        <v>663</v>
      </c>
      <c r="D200" s="46"/>
      <c r="E200" s="46" t="s">
        <v>627</v>
      </c>
      <c r="F200" s="57" t="s">
        <v>57</v>
      </c>
      <c r="G200" s="58">
        <v>0.11</v>
      </c>
      <c r="H200" s="46"/>
      <c r="I200" s="58">
        <v>6.2370000000000001</v>
      </c>
      <c r="J200" s="59">
        <v>1012.6</v>
      </c>
      <c r="K200" s="60"/>
      <c r="L200" s="60"/>
      <c r="M200" s="59">
        <f t="shared" si="47"/>
        <v>6315.59</v>
      </c>
      <c r="N200" s="60"/>
      <c r="O200" s="60"/>
      <c r="P200" s="59">
        <v>1012.6</v>
      </c>
      <c r="Q200" s="60"/>
      <c r="R200" s="60"/>
      <c r="S200" s="59">
        <f t="shared" si="48"/>
        <v>6315.59</v>
      </c>
      <c r="T200" s="60"/>
      <c r="U200" s="61"/>
      <c r="V200" s="9">
        <f t="shared" si="49"/>
        <v>843.83</v>
      </c>
      <c r="Y200" s="9">
        <f t="shared" si="50"/>
        <v>5262.99</v>
      </c>
      <c r="AD200" s="4" t="s">
        <v>668</v>
      </c>
      <c r="AE200" s="4" t="s">
        <v>665</v>
      </c>
      <c r="AF200" s="4" t="s">
        <v>666</v>
      </c>
    </row>
    <row r="201" spans="1:35" ht="36" x14ac:dyDescent="0.3">
      <c r="A201" s="38" t="s">
        <v>669</v>
      </c>
      <c r="B201" s="38"/>
      <c r="C201" s="49" t="s">
        <v>670</v>
      </c>
      <c r="D201" s="40"/>
      <c r="E201" s="40"/>
      <c r="F201" s="50" t="s">
        <v>76</v>
      </c>
      <c r="G201" s="51">
        <v>0.7</v>
      </c>
      <c r="H201" s="40"/>
      <c r="I201" s="62">
        <v>0</v>
      </c>
      <c r="J201" s="53">
        <v>6.28</v>
      </c>
      <c r="K201" s="54"/>
      <c r="L201" s="54"/>
      <c r="M201" s="53">
        <f t="shared" si="47"/>
        <v>0</v>
      </c>
      <c r="N201" s="54"/>
      <c r="O201" s="54"/>
      <c r="P201" s="53">
        <v>6.28</v>
      </c>
      <c r="Q201" s="54"/>
      <c r="R201" s="54"/>
      <c r="S201" s="53">
        <f t="shared" si="48"/>
        <v>0</v>
      </c>
      <c r="T201" s="54"/>
      <c r="U201" s="55"/>
      <c r="V201" s="9">
        <f t="shared" si="49"/>
        <v>5.23</v>
      </c>
      <c r="Y201" s="9">
        <f t="shared" si="50"/>
        <v>0</v>
      </c>
      <c r="AD201" s="4" t="s">
        <v>671</v>
      </c>
      <c r="AE201" s="4" t="s">
        <v>672</v>
      </c>
      <c r="AF201" s="4" t="s">
        <v>673</v>
      </c>
    </row>
    <row r="202" spans="1:35" ht="36" x14ac:dyDescent="0.3">
      <c r="A202" s="44" t="s">
        <v>674</v>
      </c>
      <c r="B202" s="44"/>
      <c r="C202" s="56" t="s">
        <v>670</v>
      </c>
      <c r="D202" s="46"/>
      <c r="E202" s="46"/>
      <c r="F202" s="57" t="s">
        <v>76</v>
      </c>
      <c r="G202" s="58">
        <v>0.7</v>
      </c>
      <c r="H202" s="46"/>
      <c r="I202" s="63">
        <v>39.69</v>
      </c>
      <c r="J202" s="59">
        <v>6.28</v>
      </c>
      <c r="K202" s="60"/>
      <c r="L202" s="60"/>
      <c r="M202" s="59">
        <f t="shared" si="47"/>
        <v>249.25</v>
      </c>
      <c r="N202" s="60"/>
      <c r="O202" s="60"/>
      <c r="P202" s="59">
        <v>6.28</v>
      </c>
      <c r="Q202" s="60"/>
      <c r="R202" s="60"/>
      <c r="S202" s="59">
        <f t="shared" si="48"/>
        <v>249.25</v>
      </c>
      <c r="T202" s="60"/>
      <c r="U202" s="61"/>
      <c r="V202" s="9">
        <f t="shared" si="49"/>
        <v>5.23</v>
      </c>
      <c r="Y202" s="9">
        <f t="shared" si="50"/>
        <v>207.71</v>
      </c>
      <c r="AD202" s="4" t="s">
        <v>675</v>
      </c>
      <c r="AE202" s="4" t="s">
        <v>672</v>
      </c>
      <c r="AF202" s="4" t="s">
        <v>673</v>
      </c>
    </row>
    <row r="203" spans="1:35" ht="36" x14ac:dyDescent="0.3">
      <c r="A203" s="11" t="s">
        <v>676</v>
      </c>
      <c r="B203" s="11" t="s">
        <v>677</v>
      </c>
      <c r="C203" s="20" t="s">
        <v>678</v>
      </c>
      <c r="D203" s="21"/>
      <c r="E203" s="21" t="s">
        <v>679</v>
      </c>
      <c r="F203" s="21" t="s">
        <v>57</v>
      </c>
      <c r="G203" s="22">
        <v>1</v>
      </c>
      <c r="H203" s="21"/>
      <c r="I203" s="22">
        <v>63.4</v>
      </c>
      <c r="J203" s="23">
        <f>IFERROR(ROUND(SUM(M204,M205,M206)/I203, 2),0)</f>
        <v>10.43</v>
      </c>
      <c r="K203" s="23">
        <v>661</v>
      </c>
      <c r="L203" s="23">
        <f>J203+ROUND(K203, 2)</f>
        <v>671.43</v>
      </c>
      <c r="M203" s="23">
        <f>ROUND(J203*I203, 2)</f>
        <v>661.26</v>
      </c>
      <c r="N203" s="23">
        <f>ROUND(I203*ROUND(K203, 2), 2)</f>
        <v>41907.4</v>
      </c>
      <c r="O203" s="23">
        <f>M203+N203</f>
        <v>42568.66</v>
      </c>
      <c r="P203" s="23">
        <f>IFERROR(ROUND(SUM(S204,S205,S206)/I203, 2),0)</f>
        <v>1827.75</v>
      </c>
      <c r="Q203" s="23">
        <v>661</v>
      </c>
      <c r="R203" s="23">
        <f>P203+ROUND(Q203, 2)</f>
        <v>2488.75</v>
      </c>
      <c r="S203" s="23">
        <f>ROUND(P203*I203, 2)</f>
        <v>115879.35</v>
      </c>
      <c r="T203" s="23">
        <f>ROUND(I203*ROUND(Q203, 2), 2)</f>
        <v>41907.4</v>
      </c>
      <c r="U203" s="23">
        <f>S203+T203</f>
        <v>157786.75</v>
      </c>
      <c r="V203" s="9">
        <f>ROUND(P203 / 1.2, 2)</f>
        <v>1523.13</v>
      </c>
      <c r="W203" s="9">
        <f>ROUND(Q203 / 1.2, 2)</f>
        <v>550.83000000000004</v>
      </c>
      <c r="X203" s="9">
        <f>ROUND(R203 / 1.2, 2)</f>
        <v>2073.96</v>
      </c>
      <c r="Y203" s="9">
        <f t="shared" si="50"/>
        <v>96566.13</v>
      </c>
      <c r="Z203" s="9">
        <f>ROUND(T203 / 1.2, 2)</f>
        <v>34922.83</v>
      </c>
      <c r="AA203" s="9">
        <f>Y203+Z203</f>
        <v>131488.96000000002</v>
      </c>
      <c r="AD203" s="4">
        <v>341534315</v>
      </c>
      <c r="AE203" s="4">
        <v>28214775</v>
      </c>
      <c r="AG203" s="4" t="s">
        <v>680</v>
      </c>
      <c r="AH203" s="4" t="s">
        <v>681</v>
      </c>
      <c r="AI203" s="4" t="s">
        <v>241</v>
      </c>
    </row>
    <row r="204" spans="1:35" ht="36" x14ac:dyDescent="0.3">
      <c r="A204" s="11" t="s">
        <v>682</v>
      </c>
      <c r="B204" s="11"/>
      <c r="C204" s="30" t="s">
        <v>683</v>
      </c>
      <c r="D204" s="21"/>
      <c r="E204" s="21"/>
      <c r="F204" s="31" t="s">
        <v>76</v>
      </c>
      <c r="G204" s="32">
        <v>0.15</v>
      </c>
      <c r="H204" s="21"/>
      <c r="I204" s="32">
        <v>9.51</v>
      </c>
      <c r="J204" s="33">
        <v>69.540000000000006</v>
      </c>
      <c r="K204" s="12"/>
      <c r="L204" s="12"/>
      <c r="M204" s="33">
        <f>ROUND(ROUND(J204, 2)*I204, 2)</f>
        <v>661.33</v>
      </c>
      <c r="N204" s="12"/>
      <c r="O204" s="12"/>
      <c r="P204" s="33">
        <v>69.540000000000006</v>
      </c>
      <c r="Q204" s="12"/>
      <c r="R204" s="12"/>
      <c r="S204" s="33">
        <f>ROUND(ROUND(P204, 2)*I204, 2)</f>
        <v>661.33</v>
      </c>
      <c r="T204" s="12"/>
      <c r="U204" s="34"/>
      <c r="V204" s="9">
        <f>ROUND(ROUND(P204, 2)/1.2, 2)</f>
        <v>57.95</v>
      </c>
      <c r="Y204" s="9">
        <f t="shared" si="50"/>
        <v>551.11</v>
      </c>
      <c r="AD204" s="4" t="s">
        <v>684</v>
      </c>
      <c r="AE204" s="4" t="s">
        <v>685</v>
      </c>
      <c r="AF204" s="4" t="s">
        <v>686</v>
      </c>
    </row>
    <row r="205" spans="1:35" ht="90" x14ac:dyDescent="0.3">
      <c r="A205" s="11" t="s">
        <v>687</v>
      </c>
      <c r="B205" s="11"/>
      <c r="C205" s="30" t="s">
        <v>688</v>
      </c>
      <c r="D205" s="21"/>
      <c r="E205" s="21" t="s">
        <v>577</v>
      </c>
      <c r="F205" s="31" t="s">
        <v>98</v>
      </c>
      <c r="G205" s="32">
        <v>1</v>
      </c>
      <c r="H205" s="21"/>
      <c r="I205" s="37">
        <v>7.35</v>
      </c>
      <c r="J205" s="33">
        <v>0</v>
      </c>
      <c r="K205" s="12"/>
      <c r="L205" s="12"/>
      <c r="M205" s="33">
        <f>ROUND(ROUND(J205, 2)*I205, 2)</f>
        <v>0</v>
      </c>
      <c r="N205" s="12"/>
      <c r="O205" s="12"/>
      <c r="P205" s="33">
        <v>2348.9499999999998</v>
      </c>
      <c r="Q205" s="12"/>
      <c r="R205" s="12"/>
      <c r="S205" s="33">
        <f>ROUND(ROUND(P205, 2)*I205, 2)</f>
        <v>17264.78</v>
      </c>
      <c r="T205" s="12"/>
      <c r="U205" s="34"/>
      <c r="V205" s="9">
        <f>ROUND(ROUND(P205, 2)/1.2, 2)</f>
        <v>1957.46</v>
      </c>
      <c r="Y205" s="9">
        <f t="shared" si="50"/>
        <v>14387.32</v>
      </c>
      <c r="AD205" s="4" t="s">
        <v>689</v>
      </c>
      <c r="AE205" s="4" t="s">
        <v>690</v>
      </c>
      <c r="AF205" s="4" t="s">
        <v>691</v>
      </c>
    </row>
    <row r="206" spans="1:35" ht="36" x14ac:dyDescent="0.3">
      <c r="A206" s="11" t="s">
        <v>692</v>
      </c>
      <c r="B206" s="11"/>
      <c r="C206" s="30" t="s">
        <v>693</v>
      </c>
      <c r="D206" s="21"/>
      <c r="E206" s="21" t="s">
        <v>694</v>
      </c>
      <c r="F206" s="31" t="s">
        <v>57</v>
      </c>
      <c r="G206" s="32">
        <v>1.03</v>
      </c>
      <c r="H206" s="21"/>
      <c r="I206" s="37">
        <v>65.302000000000007</v>
      </c>
      <c r="J206" s="33">
        <v>0</v>
      </c>
      <c r="K206" s="12"/>
      <c r="L206" s="12"/>
      <c r="M206" s="33">
        <f>ROUND(ROUND(J206, 2)*I206, 2)</f>
        <v>0</v>
      </c>
      <c r="N206" s="12"/>
      <c r="O206" s="12"/>
      <c r="P206" s="33">
        <v>1500</v>
      </c>
      <c r="Q206" s="12"/>
      <c r="R206" s="12"/>
      <c r="S206" s="33">
        <f>ROUND(ROUND(P206, 2)*I206, 2)</f>
        <v>97953</v>
      </c>
      <c r="T206" s="12"/>
      <c r="U206" s="34"/>
      <c r="V206" s="9">
        <f>ROUND(ROUND(P206, 2)/1.2, 2)</f>
        <v>1250</v>
      </c>
      <c r="Y206" s="9">
        <f t="shared" si="50"/>
        <v>81627.5</v>
      </c>
      <c r="AD206" s="4" t="s">
        <v>695</v>
      </c>
      <c r="AE206" s="4" t="s">
        <v>696</v>
      </c>
      <c r="AF206" s="4" t="s">
        <v>697</v>
      </c>
    </row>
    <row r="207" spans="1:35" ht="36" x14ac:dyDescent="0.3">
      <c r="A207" s="11" t="s">
        <v>698</v>
      </c>
      <c r="B207" s="11" t="s">
        <v>699</v>
      </c>
      <c r="C207" s="20" t="s">
        <v>700</v>
      </c>
      <c r="D207" s="21"/>
      <c r="E207" s="21" t="s">
        <v>701</v>
      </c>
      <c r="F207" s="21" t="s">
        <v>123</v>
      </c>
      <c r="G207" s="22">
        <v>1</v>
      </c>
      <c r="H207" s="21"/>
      <c r="I207" s="22">
        <v>248.9</v>
      </c>
      <c r="J207" s="23">
        <f>IFERROR(ROUND(SUM(M208)/I207, 2),0)</f>
        <v>385.54</v>
      </c>
      <c r="K207" s="23">
        <v>210</v>
      </c>
      <c r="L207" s="23">
        <f>J207+ROUND(K207, 2)</f>
        <v>595.54</v>
      </c>
      <c r="M207" s="23">
        <f>ROUND(J207*I207, 2)</f>
        <v>95960.91</v>
      </c>
      <c r="N207" s="23">
        <f>ROUND(I207*ROUND(K207, 2), 2)</f>
        <v>52269</v>
      </c>
      <c r="O207" s="23">
        <f>M207+N207</f>
        <v>148229.91</v>
      </c>
      <c r="P207" s="23">
        <f>IFERROR(ROUND(SUM(S208)/I207, 2),0)</f>
        <v>385.54</v>
      </c>
      <c r="Q207" s="23">
        <v>210</v>
      </c>
      <c r="R207" s="23">
        <f>P207+ROUND(Q207, 2)</f>
        <v>595.54</v>
      </c>
      <c r="S207" s="23">
        <f>ROUND(P207*I207, 2)</f>
        <v>95960.91</v>
      </c>
      <c r="T207" s="23">
        <f>ROUND(I207*ROUND(Q207, 2), 2)</f>
        <v>52269</v>
      </c>
      <c r="U207" s="23">
        <f>S207+T207</f>
        <v>148229.91</v>
      </c>
      <c r="V207" s="9">
        <f>ROUND(P207 / 1.2, 2)</f>
        <v>321.27999999999997</v>
      </c>
      <c r="W207" s="9">
        <f>ROUND(Q207 / 1.2, 2)</f>
        <v>175</v>
      </c>
      <c r="X207" s="9">
        <f>ROUND(R207 / 1.2, 2)</f>
        <v>496.28</v>
      </c>
      <c r="Y207" s="9">
        <f t="shared" si="50"/>
        <v>79967.429999999993</v>
      </c>
      <c r="Z207" s="9">
        <f>ROUND(T207 / 1.2, 2)</f>
        <v>43557.5</v>
      </c>
      <c r="AA207" s="9">
        <f>Y207+Z207</f>
        <v>123524.93</v>
      </c>
      <c r="AD207" s="4">
        <v>341534317</v>
      </c>
      <c r="AE207" s="4">
        <v>28214747</v>
      </c>
      <c r="AG207" s="4" t="s">
        <v>702</v>
      </c>
      <c r="AH207" s="4" t="s">
        <v>703</v>
      </c>
      <c r="AI207" s="4" t="s">
        <v>241</v>
      </c>
    </row>
    <row r="208" spans="1:35" ht="72" x14ac:dyDescent="0.3">
      <c r="A208" s="11" t="s">
        <v>704</v>
      </c>
      <c r="B208" s="11"/>
      <c r="C208" s="30" t="s">
        <v>705</v>
      </c>
      <c r="D208" s="21"/>
      <c r="E208" s="21"/>
      <c r="F208" s="31" t="s">
        <v>123</v>
      </c>
      <c r="G208" s="32">
        <v>1.1000000000000001</v>
      </c>
      <c r="H208" s="21"/>
      <c r="I208" s="37">
        <v>273.79000000000002</v>
      </c>
      <c r="J208" s="33">
        <v>350.49</v>
      </c>
      <c r="K208" s="12"/>
      <c r="L208" s="12"/>
      <c r="M208" s="33">
        <f>ROUND(ROUND(J208, 2)*I208, 2)</f>
        <v>95960.66</v>
      </c>
      <c r="N208" s="12"/>
      <c r="O208" s="12"/>
      <c r="P208" s="33">
        <v>350.49</v>
      </c>
      <c r="Q208" s="12"/>
      <c r="R208" s="12"/>
      <c r="S208" s="33">
        <f>ROUND(ROUND(P208, 2)*I208, 2)</f>
        <v>95960.66</v>
      </c>
      <c r="T208" s="12"/>
      <c r="U208" s="34"/>
      <c r="V208" s="9">
        <f>ROUND(ROUND(P208, 2)/1.2, 2)</f>
        <v>292.08</v>
      </c>
      <c r="Y208" s="9">
        <f t="shared" si="50"/>
        <v>79967.22</v>
      </c>
      <c r="AD208" s="4" t="s">
        <v>706</v>
      </c>
      <c r="AE208" s="4" t="s">
        <v>707</v>
      </c>
      <c r="AF208" s="4" t="s">
        <v>708</v>
      </c>
    </row>
    <row r="209" spans="1:35" ht="16.95" customHeight="1" x14ac:dyDescent="0.3">
      <c r="A209" s="10" t="s">
        <v>709</v>
      </c>
      <c r="B209" s="10" t="s">
        <v>710</v>
      </c>
      <c r="C209" s="121" t="s">
        <v>711</v>
      </c>
      <c r="D209" s="122"/>
      <c r="E209" s="122"/>
      <c r="F209" s="122"/>
      <c r="G209" s="122"/>
      <c r="H209" s="122"/>
      <c r="I209" s="123"/>
      <c r="M209" s="6">
        <f>SUM(M210,M432,M451)</f>
        <v>1194827.7900000003</v>
      </c>
      <c r="N209" s="6">
        <f>SUM(N210,N432,N451)</f>
        <v>7580248.3699999982</v>
      </c>
      <c r="O209" s="6">
        <f>SUM(O210,O432,O451)</f>
        <v>8775076.1600000001</v>
      </c>
      <c r="S209" s="6">
        <f>SUM(S210,S432,S451)</f>
        <v>1288431.28</v>
      </c>
      <c r="T209" s="6">
        <f>SUM(T210,T432,T451)</f>
        <v>7580248.3699999982</v>
      </c>
      <c r="U209" s="6">
        <f>SUM(U210,U432,U451)</f>
        <v>8868679.6500000022</v>
      </c>
      <c r="Y209" s="9">
        <f>SUM(Y210,Y432,Y451)</f>
        <v>1073692.7899999998</v>
      </c>
      <c r="Z209" s="9">
        <f>SUM(Z210,Z432,Z451)</f>
        <v>6316873.6900000013</v>
      </c>
      <c r="AA209" s="9">
        <f>SUM(AA210,AA432,AA451)</f>
        <v>7390566.4800000014</v>
      </c>
      <c r="AD209" s="4">
        <v>341534318</v>
      </c>
      <c r="AE209" s="4">
        <v>25837331</v>
      </c>
    </row>
    <row r="210" spans="1:35" ht="16.95" customHeight="1" x14ac:dyDescent="0.3">
      <c r="A210" s="10" t="s">
        <v>712</v>
      </c>
      <c r="B210" s="10" t="s">
        <v>713</v>
      </c>
      <c r="C210" s="121" t="s">
        <v>714</v>
      </c>
      <c r="D210" s="122"/>
      <c r="E210" s="122"/>
      <c r="F210" s="122"/>
      <c r="G210" s="122"/>
      <c r="H210" s="122"/>
      <c r="I210" s="123"/>
      <c r="M210" s="6">
        <f>SUM(M211,M214,M224,M234,M242,M250,M260,M270,M278,M282,M286,M290,M300,M310,M318,M328,M338,M348,M352,M355,M358,M362,M365,M368,M372,M375,M378,M382,M385,M388,M392,M395,M398,M402,M405,M408,M412,M415,M418,M422,M427)</f>
        <v>844350.96000000031</v>
      </c>
      <c r="N210" s="6">
        <f>SUM(N211,N214,N224,N234,N242,N250,N260,N270,N278,N282,N286,N290,N300,N310,N318,N328,N338,N348,N352,N355,N358,N362,N365,N368,N372,N375,N378,N382,N385,N388,N392,N395,N398,N402,N405,N408,N412,N415,N418,N422,N427)</f>
        <v>5634883.0499999989</v>
      </c>
      <c r="O210" s="6">
        <f>SUM(O211,O214,O224,O234,O242,O250,O260,O270,O278,O282,O286,O290,O300,O310,O318,O328,O338,O348,O352,O355,O358,O362,O365,O368,O372,O375,O378,O382,O385,O388,O392,O395,O398,O402,O405,O408,O412,O415,O418,O422,O427)</f>
        <v>6479234.0100000007</v>
      </c>
      <c r="S210" s="6">
        <f>SUM(S211,S214,S224,S234,S242,S250,S260,S270,S278,S282,S286,S290,S300,S310,S318,S328,S338,S348,S352,S355,S358,S362,S365,S368,S372,S375,S378,S382,S385,S388,S392,S395,S398,S402,S405,S408,S412,S415,S418,S422,S427)</f>
        <v>896767.92999999993</v>
      </c>
      <c r="T210" s="6">
        <f>SUM(T211,T214,T224,T234,T242,T250,T260,T270,T278,T282,T286,T290,T300,T310,T318,T328,T338,T348,T352,T355,T358,T362,T365,T368,T372,T375,T378,T382,T385,T388,T392,T395,T398,T402,T405,T408,T412,T415,T418,T422,T427)</f>
        <v>5634883.0499999989</v>
      </c>
      <c r="U210" s="6">
        <f>SUM(U211,U214,U224,U234,U242,U250,U260,U270,U278,U282,U286,U290,U300,U310,U318,U328,U338,U348,U352,U355,U358,U362,U365,U368,U372,U375,U378,U382,U385,U388,U392,U395,U398,U402,U405,U408,U412,U415,U418,U422,U427)</f>
        <v>6531650.9800000014</v>
      </c>
      <c r="Y210" s="9">
        <f>SUM(Y211,Y214,Y224,Y234,Y242,Y250,Y260,Y270,Y278,Y282,Y286,Y290,Y300,Y310,Y318,Y328,Y338,Y348,Y352,Y355,Y358,Y362,Y365,Y368,Y372,Y375,Y378,Y382,Y385,Y388,Y392,Y395,Y398,Y402,Y405,Y408,Y412,Y415,Y418,Y422,Y427)</f>
        <v>747306.64999999979</v>
      </c>
      <c r="Z210" s="9">
        <f>SUM(Z211,Z214,Z224,Z234,Z242,Z250,Z260,Z270,Z278,Z282,Z286,Z290,Z300,Z310,Z318,Z328,Z338,Z348,Z352,Z355,Z358,Z362,Z365,Z368,Z372,Z375,Z378,Z382,Z385,Z388,Z392,Z395,Z398,Z402,Z405,Z408,Z412,Z415,Z418,Z422,Z427)</f>
        <v>4695735.9000000013</v>
      </c>
      <c r="AA210" s="9">
        <f>SUM(AA211,AA214,AA224,AA234,AA242,AA250,AA260,AA270,AA278,AA282,AA286,AA290,AA300,AA310,AA318,AA328,AA338,AA348,AA352,AA355,AA358,AA362,AA365,AA368,AA372,AA375,AA378,AA382,AA385,AA388,AA392,AA395,AA398,AA402,AA405,AA408,AA412,AA415,AA418,AA422,AA427)</f>
        <v>5443042.5500000007</v>
      </c>
      <c r="AD210" s="4">
        <v>341534319</v>
      </c>
      <c r="AE210" s="4">
        <v>25837344</v>
      </c>
    </row>
    <row r="211" spans="1:35" ht="54" x14ac:dyDescent="0.3">
      <c r="A211" s="11" t="s">
        <v>715</v>
      </c>
      <c r="B211" s="11" t="s">
        <v>716</v>
      </c>
      <c r="C211" s="20" t="s">
        <v>717</v>
      </c>
      <c r="D211" s="21"/>
      <c r="E211" s="21" t="s">
        <v>718</v>
      </c>
      <c r="F211" s="21" t="s">
        <v>123</v>
      </c>
      <c r="G211" s="22">
        <v>1</v>
      </c>
      <c r="H211" s="21"/>
      <c r="I211" s="22">
        <v>434.7</v>
      </c>
      <c r="J211" s="23">
        <f>IFERROR(ROUND(SUM(M212,M213)/I211, 2),0)</f>
        <v>9.9</v>
      </c>
      <c r="K211" s="23">
        <v>28</v>
      </c>
      <c r="L211" s="23">
        <f>J211+ROUND(K211, 2)</f>
        <v>37.9</v>
      </c>
      <c r="M211" s="23">
        <f>ROUND(J211*I211, 2)</f>
        <v>4303.53</v>
      </c>
      <c r="N211" s="23">
        <f>ROUND(I211*ROUND(K211, 2), 2)</f>
        <v>12171.6</v>
      </c>
      <c r="O211" s="23">
        <f>M211+N211</f>
        <v>16475.13</v>
      </c>
      <c r="P211" s="23">
        <f>IFERROR(ROUND(SUM(S212,S213)/I211, 2),0)</f>
        <v>9.9</v>
      </c>
      <c r="Q211" s="23">
        <v>28</v>
      </c>
      <c r="R211" s="23">
        <f>P211+ROUND(Q211, 2)</f>
        <v>37.9</v>
      </c>
      <c r="S211" s="23">
        <f>ROUND(P211*I211, 2)</f>
        <v>4303.53</v>
      </c>
      <c r="T211" s="23">
        <f>ROUND(I211*ROUND(Q211, 2), 2)</f>
        <v>12171.6</v>
      </c>
      <c r="U211" s="23">
        <f>S211+T211</f>
        <v>16475.13</v>
      </c>
      <c r="V211" s="9">
        <f>ROUND(P211 / 1.2, 2)</f>
        <v>8.25</v>
      </c>
      <c r="W211" s="9">
        <f>ROUND(Q211 / 1.2, 2)</f>
        <v>23.33</v>
      </c>
      <c r="X211" s="9">
        <f>ROUND(R211 / 1.2, 2)</f>
        <v>31.58</v>
      </c>
      <c r="Y211" s="9">
        <f>ROUND(S211 / 1.2, 2)</f>
        <v>3586.28</v>
      </c>
      <c r="Z211" s="9">
        <f>ROUND(T211 / 1.2, 2)</f>
        <v>10143</v>
      </c>
      <c r="AA211" s="9">
        <f>Y211+Z211</f>
        <v>13729.28</v>
      </c>
      <c r="AD211" s="4">
        <v>341534321</v>
      </c>
      <c r="AE211" s="4">
        <v>28217160</v>
      </c>
      <c r="AG211" s="4" t="s">
        <v>719</v>
      </c>
      <c r="AH211" s="4" t="s">
        <v>720</v>
      </c>
      <c r="AI211" s="4" t="s">
        <v>241</v>
      </c>
    </row>
    <row r="212" spans="1:35" ht="36" x14ac:dyDescent="0.3">
      <c r="A212" s="11" t="s">
        <v>721</v>
      </c>
      <c r="B212" s="11"/>
      <c r="C212" s="30" t="s">
        <v>722</v>
      </c>
      <c r="D212" s="21"/>
      <c r="E212" s="21"/>
      <c r="F212" s="31" t="s">
        <v>76</v>
      </c>
      <c r="G212" s="32">
        <v>0.3</v>
      </c>
      <c r="H212" s="21"/>
      <c r="I212" s="37">
        <v>130.41</v>
      </c>
      <c r="J212" s="33">
        <v>6.92</v>
      </c>
      <c r="K212" s="12"/>
      <c r="L212" s="12"/>
      <c r="M212" s="33">
        <f>ROUND(ROUND(J212, 2)*I212, 2)</f>
        <v>902.44</v>
      </c>
      <c r="N212" s="12"/>
      <c r="O212" s="12"/>
      <c r="P212" s="33">
        <v>6.92</v>
      </c>
      <c r="Q212" s="12"/>
      <c r="R212" s="12"/>
      <c r="S212" s="33">
        <f>ROUND(ROUND(P212, 2)*I212, 2)</f>
        <v>902.44</v>
      </c>
      <c r="T212" s="12"/>
      <c r="U212" s="34"/>
      <c r="V212" s="9">
        <f>ROUND(ROUND(P212, 2)/1.2, 2)</f>
        <v>5.77</v>
      </c>
      <c r="Y212" s="9">
        <f>ROUND(S212 / 1.2, 2)</f>
        <v>752.03</v>
      </c>
      <c r="AD212" s="4" t="s">
        <v>723</v>
      </c>
      <c r="AE212" s="4" t="s">
        <v>724</v>
      </c>
      <c r="AF212" s="4" t="s">
        <v>725</v>
      </c>
    </row>
    <row r="213" spans="1:35" ht="18" x14ac:dyDescent="0.3">
      <c r="A213" s="11" t="s">
        <v>726</v>
      </c>
      <c r="B213" s="11"/>
      <c r="C213" s="30" t="s">
        <v>727</v>
      </c>
      <c r="D213" s="21"/>
      <c r="E213" s="21"/>
      <c r="F213" s="31" t="s">
        <v>123</v>
      </c>
      <c r="G213" s="32">
        <v>1.1000000000000001</v>
      </c>
      <c r="H213" s="21"/>
      <c r="I213" s="37">
        <v>478.17</v>
      </c>
      <c r="J213" s="33">
        <v>7.11</v>
      </c>
      <c r="K213" s="12"/>
      <c r="L213" s="12"/>
      <c r="M213" s="33">
        <f>ROUND(ROUND(J213, 2)*I213, 2)</f>
        <v>3399.79</v>
      </c>
      <c r="N213" s="12"/>
      <c r="O213" s="12"/>
      <c r="P213" s="33">
        <v>7.11</v>
      </c>
      <c r="Q213" s="12"/>
      <c r="R213" s="12"/>
      <c r="S213" s="33">
        <f>ROUND(ROUND(P213, 2)*I213, 2)</f>
        <v>3399.79</v>
      </c>
      <c r="T213" s="12"/>
      <c r="U213" s="34"/>
      <c r="V213" s="9">
        <f>ROUND(ROUND(P213, 2)/1.2, 2)</f>
        <v>5.93</v>
      </c>
      <c r="Y213" s="9">
        <f>ROUND(S213 / 1.2, 2)</f>
        <v>2833.16</v>
      </c>
      <c r="AD213" s="4" t="s">
        <v>728</v>
      </c>
      <c r="AE213" s="4" t="s">
        <v>729</v>
      </c>
      <c r="AF213" s="4" t="s">
        <v>730</v>
      </c>
    </row>
    <row r="214" spans="1:35" ht="54" x14ac:dyDescent="0.3">
      <c r="A214" s="38" t="s">
        <v>731</v>
      </c>
      <c r="B214" s="38" t="s">
        <v>732</v>
      </c>
      <c r="C214" s="39" t="s">
        <v>733</v>
      </c>
      <c r="D214" s="40"/>
      <c r="E214" s="40" t="s">
        <v>734</v>
      </c>
      <c r="F214" s="40" t="s">
        <v>57</v>
      </c>
      <c r="G214" s="41">
        <v>1</v>
      </c>
      <c r="H214" s="40"/>
      <c r="I214" s="42">
        <v>0</v>
      </c>
      <c r="J214" s="43">
        <v>286.08</v>
      </c>
      <c r="K214" s="43">
        <v>826</v>
      </c>
      <c r="L214" s="43">
        <f>J214+ROUND(K214, 2)</f>
        <v>1112.08</v>
      </c>
      <c r="M214" s="43">
        <v>0</v>
      </c>
      <c r="N214" s="43">
        <v>0</v>
      </c>
      <c r="O214" s="43">
        <f>M214+N214</f>
        <v>0</v>
      </c>
      <c r="P214" s="43">
        <v>286.08</v>
      </c>
      <c r="Q214" s="43">
        <v>826</v>
      </c>
      <c r="R214" s="43">
        <f>P214+ROUND(Q214, 2)</f>
        <v>1112.08</v>
      </c>
      <c r="S214" s="43">
        <v>0</v>
      </c>
      <c r="T214" s="43">
        <v>0</v>
      </c>
      <c r="U214" s="43">
        <f>S214+T214</f>
        <v>0</v>
      </c>
      <c r="V214" s="9">
        <f>ROUND(P214 / 1.2, 2)</f>
        <v>238.4</v>
      </c>
      <c r="W214" s="9">
        <f>ROUND(Q214 / 1.2, 2)</f>
        <v>688.33</v>
      </c>
      <c r="X214" s="9">
        <f>ROUND(R214 / 1.2, 2)</f>
        <v>926.73</v>
      </c>
      <c r="Y214" s="9">
        <f>ROUND(S214 / 1.2, 2)</f>
        <v>0</v>
      </c>
      <c r="Z214" s="9">
        <f>ROUND(T214 / 1.2, 2)</f>
        <v>0</v>
      </c>
      <c r="AA214" s="9">
        <f>Y214+Z214</f>
        <v>0</v>
      </c>
      <c r="AD214" s="4">
        <v>341534323</v>
      </c>
      <c r="AE214" s="4">
        <v>25837370</v>
      </c>
      <c r="AG214" s="4" t="s">
        <v>735</v>
      </c>
      <c r="AH214" s="4" t="s">
        <v>736</v>
      </c>
      <c r="AI214" s="4" t="s">
        <v>241</v>
      </c>
    </row>
    <row r="215" spans="1:35" ht="54" x14ac:dyDescent="0.3">
      <c r="A215" s="44" t="s">
        <v>737</v>
      </c>
      <c r="B215" s="44" t="s">
        <v>732</v>
      </c>
      <c r="C215" s="45" t="s">
        <v>733</v>
      </c>
      <c r="D215" s="46"/>
      <c r="E215" s="46" t="s">
        <v>734</v>
      </c>
      <c r="F215" s="46" t="s">
        <v>57</v>
      </c>
      <c r="G215" s="47">
        <v>1</v>
      </c>
      <c r="H215" s="46"/>
      <c r="I215" s="47">
        <v>220.1</v>
      </c>
      <c r="J215" s="48">
        <v>286.08</v>
      </c>
      <c r="K215" s="48">
        <v>826</v>
      </c>
      <c r="L215" s="48">
        <v>826</v>
      </c>
      <c r="M215" s="48">
        <v>62966.21</v>
      </c>
      <c r="N215" s="48">
        <v>181802.6</v>
      </c>
      <c r="O215" s="48"/>
      <c r="P215" s="48">
        <v>286.08</v>
      </c>
      <c r="Q215" s="48">
        <v>826</v>
      </c>
      <c r="R215" s="48">
        <v>826</v>
      </c>
      <c r="S215" s="48">
        <v>62966.21</v>
      </c>
      <c r="T215" s="48">
        <v>181802.6</v>
      </c>
      <c r="U215" s="48"/>
      <c r="V215" s="9"/>
      <c r="W215" s="9">
        <f>ROUND(Q215 / 1.2, 2)</f>
        <v>688.33</v>
      </c>
      <c r="X215" s="9">
        <f>ROUND(R215 / 1.2, 2)</f>
        <v>688.33</v>
      </c>
      <c r="Y215" s="9"/>
      <c r="Z215" s="9">
        <f>ROUND(T215 / 1.2, 2)</f>
        <v>151502.17000000001</v>
      </c>
      <c r="AA215" s="9"/>
      <c r="AD215" s="4">
        <v>314469371</v>
      </c>
      <c r="AE215" s="4">
        <v>25837370</v>
      </c>
      <c r="AG215" s="4" t="s">
        <v>735</v>
      </c>
      <c r="AH215" s="4" t="s">
        <v>736</v>
      </c>
      <c r="AI215" s="4"/>
    </row>
    <row r="216" spans="1:35" ht="18" x14ac:dyDescent="0.3">
      <c r="A216" s="38" t="s">
        <v>738</v>
      </c>
      <c r="B216" s="38"/>
      <c r="C216" s="49" t="s">
        <v>739</v>
      </c>
      <c r="D216" s="40"/>
      <c r="E216" s="40"/>
      <c r="F216" s="50" t="s">
        <v>57</v>
      </c>
      <c r="G216" s="51">
        <v>1.1000000000000001</v>
      </c>
      <c r="H216" s="40"/>
      <c r="I216" s="52">
        <v>0</v>
      </c>
      <c r="J216" s="53">
        <v>27.55</v>
      </c>
      <c r="K216" s="54"/>
      <c r="L216" s="54"/>
      <c r="M216" s="53">
        <f t="shared" ref="M216:M223" si="51">ROUND(ROUND(J216, 2)*I216, 2)</f>
        <v>0</v>
      </c>
      <c r="N216" s="54"/>
      <c r="O216" s="54"/>
      <c r="P216" s="53">
        <v>27.55</v>
      </c>
      <c r="Q216" s="54"/>
      <c r="R216" s="54"/>
      <c r="S216" s="53">
        <f t="shared" ref="S216:S223" si="52">ROUND(ROUND(P216, 2)*I216, 2)</f>
        <v>0</v>
      </c>
      <c r="T216" s="54"/>
      <c r="U216" s="55"/>
      <c r="V216" s="9">
        <f t="shared" ref="V216:V223" si="53">ROUND(ROUND(P216, 2)/1.2, 2)</f>
        <v>22.96</v>
      </c>
      <c r="Y216" s="9">
        <f t="shared" ref="Y216:Y224" si="54">ROUND(S216 / 1.2, 2)</f>
        <v>0</v>
      </c>
      <c r="AD216" s="4" t="s">
        <v>740</v>
      </c>
      <c r="AE216" s="4" t="s">
        <v>741</v>
      </c>
      <c r="AF216" s="4" t="s">
        <v>742</v>
      </c>
    </row>
    <row r="217" spans="1:35" ht="18" x14ac:dyDescent="0.3">
      <c r="A217" s="44" t="s">
        <v>743</v>
      </c>
      <c r="B217" s="44"/>
      <c r="C217" s="56" t="s">
        <v>739</v>
      </c>
      <c r="D217" s="46"/>
      <c r="E217" s="46"/>
      <c r="F217" s="57" t="s">
        <v>57</v>
      </c>
      <c r="G217" s="58">
        <v>1.1000000000000001</v>
      </c>
      <c r="H217" s="46"/>
      <c r="I217" s="58">
        <v>242.11</v>
      </c>
      <c r="J217" s="59">
        <v>27.55</v>
      </c>
      <c r="K217" s="60"/>
      <c r="L217" s="60"/>
      <c r="M217" s="59">
        <f t="shared" si="51"/>
        <v>6670.13</v>
      </c>
      <c r="N217" s="60"/>
      <c r="O217" s="60"/>
      <c r="P217" s="59">
        <v>27.55</v>
      </c>
      <c r="Q217" s="60"/>
      <c r="R217" s="60"/>
      <c r="S217" s="59">
        <f t="shared" si="52"/>
        <v>6670.13</v>
      </c>
      <c r="T217" s="60"/>
      <c r="U217" s="61"/>
      <c r="V217" s="9">
        <f t="shared" si="53"/>
        <v>22.96</v>
      </c>
      <c r="Y217" s="9">
        <f t="shared" si="54"/>
        <v>5558.44</v>
      </c>
      <c r="AD217" s="4" t="s">
        <v>744</v>
      </c>
      <c r="AE217" s="4" t="s">
        <v>741</v>
      </c>
      <c r="AF217" s="4" t="s">
        <v>742</v>
      </c>
    </row>
    <row r="218" spans="1:35" ht="18" x14ac:dyDescent="0.3">
      <c r="A218" s="38" t="s">
        <v>745</v>
      </c>
      <c r="B218" s="38"/>
      <c r="C218" s="49" t="s">
        <v>310</v>
      </c>
      <c r="D218" s="40"/>
      <c r="E218" s="40"/>
      <c r="F218" s="50" t="s">
        <v>76</v>
      </c>
      <c r="G218" s="51">
        <v>0.25</v>
      </c>
      <c r="H218" s="40"/>
      <c r="I218" s="52">
        <v>0</v>
      </c>
      <c r="J218" s="53">
        <v>100</v>
      </c>
      <c r="K218" s="54"/>
      <c r="L218" s="54"/>
      <c r="M218" s="53">
        <f t="shared" si="51"/>
        <v>0</v>
      </c>
      <c r="N218" s="54"/>
      <c r="O218" s="54"/>
      <c r="P218" s="53">
        <v>100</v>
      </c>
      <c r="Q218" s="54"/>
      <c r="R218" s="54"/>
      <c r="S218" s="53">
        <f t="shared" si="52"/>
        <v>0</v>
      </c>
      <c r="T218" s="54"/>
      <c r="U218" s="55"/>
      <c r="V218" s="9">
        <f t="shared" si="53"/>
        <v>83.33</v>
      </c>
      <c r="Y218" s="9">
        <f t="shared" si="54"/>
        <v>0</v>
      </c>
      <c r="AD218" s="4" t="s">
        <v>746</v>
      </c>
      <c r="AE218" s="4" t="s">
        <v>747</v>
      </c>
      <c r="AF218" s="4" t="s">
        <v>313</v>
      </c>
    </row>
    <row r="219" spans="1:35" ht="18" x14ac:dyDescent="0.3">
      <c r="A219" s="44" t="s">
        <v>748</v>
      </c>
      <c r="B219" s="44"/>
      <c r="C219" s="56" t="s">
        <v>310</v>
      </c>
      <c r="D219" s="46"/>
      <c r="E219" s="46"/>
      <c r="F219" s="57" t="s">
        <v>76</v>
      </c>
      <c r="G219" s="58">
        <v>0.25</v>
      </c>
      <c r="H219" s="46"/>
      <c r="I219" s="58">
        <v>55.024999999999999</v>
      </c>
      <c r="J219" s="59">
        <v>100</v>
      </c>
      <c r="K219" s="60"/>
      <c r="L219" s="60"/>
      <c r="M219" s="59">
        <f t="shared" si="51"/>
        <v>5502.5</v>
      </c>
      <c r="N219" s="60"/>
      <c r="O219" s="60"/>
      <c r="P219" s="59">
        <v>100</v>
      </c>
      <c r="Q219" s="60"/>
      <c r="R219" s="60"/>
      <c r="S219" s="59">
        <f t="shared" si="52"/>
        <v>5502.5</v>
      </c>
      <c r="T219" s="60"/>
      <c r="U219" s="61"/>
      <c r="V219" s="9">
        <f t="shared" si="53"/>
        <v>83.33</v>
      </c>
      <c r="Y219" s="9">
        <f t="shared" si="54"/>
        <v>4585.42</v>
      </c>
      <c r="AD219" s="4" t="s">
        <v>749</v>
      </c>
      <c r="AE219" s="4" t="s">
        <v>747</v>
      </c>
      <c r="AF219" s="4" t="s">
        <v>313</v>
      </c>
    </row>
    <row r="220" spans="1:35" ht="18" x14ac:dyDescent="0.3">
      <c r="A220" s="38" t="s">
        <v>750</v>
      </c>
      <c r="B220" s="38"/>
      <c r="C220" s="49" t="s">
        <v>751</v>
      </c>
      <c r="D220" s="40"/>
      <c r="E220" s="40" t="s">
        <v>752</v>
      </c>
      <c r="F220" s="50" t="s">
        <v>76</v>
      </c>
      <c r="G220" s="51">
        <v>1.8</v>
      </c>
      <c r="H220" s="40"/>
      <c r="I220" s="62">
        <v>0</v>
      </c>
      <c r="J220" s="53">
        <v>5.85</v>
      </c>
      <c r="K220" s="54"/>
      <c r="L220" s="54"/>
      <c r="M220" s="53">
        <f t="shared" si="51"/>
        <v>0</v>
      </c>
      <c r="N220" s="54"/>
      <c r="O220" s="54"/>
      <c r="P220" s="53">
        <v>5.85</v>
      </c>
      <c r="Q220" s="54"/>
      <c r="R220" s="54"/>
      <c r="S220" s="53">
        <f t="shared" si="52"/>
        <v>0</v>
      </c>
      <c r="T220" s="54"/>
      <c r="U220" s="55"/>
      <c r="V220" s="9">
        <f t="shared" si="53"/>
        <v>4.88</v>
      </c>
      <c r="Y220" s="9">
        <f t="shared" si="54"/>
        <v>0</v>
      </c>
      <c r="AD220" s="4" t="s">
        <v>753</v>
      </c>
      <c r="AE220" s="4" t="s">
        <v>754</v>
      </c>
      <c r="AF220" s="4" t="s">
        <v>755</v>
      </c>
    </row>
    <row r="221" spans="1:35" ht="18" x14ac:dyDescent="0.3">
      <c r="A221" s="44" t="s">
        <v>756</v>
      </c>
      <c r="B221" s="44"/>
      <c r="C221" s="56" t="s">
        <v>751</v>
      </c>
      <c r="D221" s="46"/>
      <c r="E221" s="46" t="s">
        <v>752</v>
      </c>
      <c r="F221" s="57" t="s">
        <v>76</v>
      </c>
      <c r="G221" s="58">
        <v>1.8</v>
      </c>
      <c r="H221" s="46"/>
      <c r="I221" s="63">
        <v>7923.6</v>
      </c>
      <c r="J221" s="59">
        <v>5.85</v>
      </c>
      <c r="K221" s="60"/>
      <c r="L221" s="60"/>
      <c r="M221" s="59">
        <f t="shared" si="51"/>
        <v>46353.06</v>
      </c>
      <c r="N221" s="60"/>
      <c r="O221" s="60"/>
      <c r="P221" s="59">
        <v>5.85</v>
      </c>
      <c r="Q221" s="60"/>
      <c r="R221" s="60"/>
      <c r="S221" s="59">
        <f t="shared" si="52"/>
        <v>46353.06</v>
      </c>
      <c r="T221" s="60"/>
      <c r="U221" s="61"/>
      <c r="V221" s="9">
        <f t="shared" si="53"/>
        <v>4.88</v>
      </c>
      <c r="Y221" s="9">
        <f t="shared" si="54"/>
        <v>38627.550000000003</v>
      </c>
      <c r="AD221" s="4" t="s">
        <v>757</v>
      </c>
      <c r="AE221" s="4" t="s">
        <v>754</v>
      </c>
      <c r="AF221" s="4" t="s">
        <v>755</v>
      </c>
    </row>
    <row r="222" spans="1:35" ht="18" x14ac:dyDescent="0.3">
      <c r="A222" s="38" t="s">
        <v>758</v>
      </c>
      <c r="B222" s="38"/>
      <c r="C222" s="49" t="s">
        <v>759</v>
      </c>
      <c r="D222" s="40"/>
      <c r="E222" s="40"/>
      <c r="F222" s="50" t="s">
        <v>123</v>
      </c>
      <c r="G222" s="51">
        <v>1.1000000000000001</v>
      </c>
      <c r="H222" s="40"/>
      <c r="I222" s="62">
        <v>0</v>
      </c>
      <c r="J222" s="53">
        <v>18.34</v>
      </c>
      <c r="K222" s="54"/>
      <c r="L222" s="54"/>
      <c r="M222" s="53">
        <f t="shared" si="51"/>
        <v>0</v>
      </c>
      <c r="N222" s="54"/>
      <c r="O222" s="54"/>
      <c r="P222" s="53">
        <v>18.34</v>
      </c>
      <c r="Q222" s="54"/>
      <c r="R222" s="54"/>
      <c r="S222" s="53">
        <f t="shared" si="52"/>
        <v>0</v>
      </c>
      <c r="T222" s="54"/>
      <c r="U222" s="55"/>
      <c r="V222" s="9">
        <f t="shared" si="53"/>
        <v>15.28</v>
      </c>
      <c r="Y222" s="9">
        <f t="shared" si="54"/>
        <v>0</v>
      </c>
      <c r="AD222" s="4" t="s">
        <v>760</v>
      </c>
      <c r="AE222" s="4" t="s">
        <v>761</v>
      </c>
      <c r="AF222" s="4" t="s">
        <v>762</v>
      </c>
    </row>
    <row r="223" spans="1:35" ht="18" x14ac:dyDescent="0.3">
      <c r="A223" s="44" t="s">
        <v>763</v>
      </c>
      <c r="B223" s="44"/>
      <c r="C223" s="56" t="s">
        <v>759</v>
      </c>
      <c r="D223" s="46"/>
      <c r="E223" s="46"/>
      <c r="F223" s="57" t="s">
        <v>123</v>
      </c>
      <c r="G223" s="58">
        <v>1.1000000000000001</v>
      </c>
      <c r="H223" s="46"/>
      <c r="I223" s="63">
        <v>242.11</v>
      </c>
      <c r="J223" s="59">
        <v>18.34</v>
      </c>
      <c r="K223" s="60"/>
      <c r="L223" s="60"/>
      <c r="M223" s="59">
        <f t="shared" si="51"/>
        <v>4440.3</v>
      </c>
      <c r="N223" s="60"/>
      <c r="O223" s="60"/>
      <c r="P223" s="59">
        <v>18.34</v>
      </c>
      <c r="Q223" s="60"/>
      <c r="R223" s="60"/>
      <c r="S223" s="59">
        <f t="shared" si="52"/>
        <v>4440.3</v>
      </c>
      <c r="T223" s="60"/>
      <c r="U223" s="61"/>
      <c r="V223" s="9">
        <f t="shared" si="53"/>
        <v>15.28</v>
      </c>
      <c r="Y223" s="9">
        <f t="shared" si="54"/>
        <v>3700.25</v>
      </c>
      <c r="AD223" s="4" t="s">
        <v>764</v>
      </c>
      <c r="AE223" s="4" t="s">
        <v>761</v>
      </c>
      <c r="AF223" s="4" t="s">
        <v>762</v>
      </c>
    </row>
    <row r="224" spans="1:35" ht="54" x14ac:dyDescent="0.3">
      <c r="A224" s="38" t="s">
        <v>765</v>
      </c>
      <c r="B224" s="38" t="s">
        <v>732</v>
      </c>
      <c r="C224" s="39" t="s">
        <v>733</v>
      </c>
      <c r="D224" s="40"/>
      <c r="E224" s="40" t="s">
        <v>766</v>
      </c>
      <c r="F224" s="40" t="s">
        <v>57</v>
      </c>
      <c r="G224" s="41">
        <v>1</v>
      </c>
      <c r="H224" s="40"/>
      <c r="I224" s="42">
        <v>0</v>
      </c>
      <c r="J224" s="43">
        <v>273.08</v>
      </c>
      <c r="K224" s="43">
        <v>826</v>
      </c>
      <c r="L224" s="43">
        <f>J224+ROUND(K224, 2)</f>
        <v>1099.08</v>
      </c>
      <c r="M224" s="43">
        <v>0</v>
      </c>
      <c r="N224" s="43">
        <v>0</v>
      </c>
      <c r="O224" s="43">
        <f>M224+N224</f>
        <v>0</v>
      </c>
      <c r="P224" s="43">
        <v>273.08</v>
      </c>
      <c r="Q224" s="43">
        <v>826</v>
      </c>
      <c r="R224" s="43">
        <f>P224+ROUND(Q224, 2)</f>
        <v>1099.08</v>
      </c>
      <c r="S224" s="43">
        <v>0</v>
      </c>
      <c r="T224" s="43">
        <v>0</v>
      </c>
      <c r="U224" s="43">
        <f>S224+T224</f>
        <v>0</v>
      </c>
      <c r="V224" s="9">
        <f>ROUND(P224 / 1.2, 2)</f>
        <v>227.57</v>
      </c>
      <c r="W224" s="9">
        <f>ROUND(Q224 / 1.2, 2)</f>
        <v>688.33</v>
      </c>
      <c r="X224" s="9">
        <f>ROUND(R224 / 1.2, 2)</f>
        <v>915.9</v>
      </c>
      <c r="Y224" s="9">
        <f t="shared" si="54"/>
        <v>0</v>
      </c>
      <c r="Z224" s="9">
        <f>ROUND(T224 / 1.2, 2)</f>
        <v>0</v>
      </c>
      <c r="AA224" s="9">
        <f>Y224+Z224</f>
        <v>0</v>
      </c>
      <c r="AD224" s="4">
        <v>341534373</v>
      </c>
      <c r="AE224" s="4">
        <v>25837369</v>
      </c>
      <c r="AG224" s="4" t="s">
        <v>735</v>
      </c>
      <c r="AH224" s="4" t="s">
        <v>736</v>
      </c>
      <c r="AI224" s="4" t="s">
        <v>241</v>
      </c>
    </row>
    <row r="225" spans="1:35" ht="54" x14ac:dyDescent="0.3">
      <c r="A225" s="44" t="s">
        <v>767</v>
      </c>
      <c r="B225" s="44" t="s">
        <v>732</v>
      </c>
      <c r="C225" s="45" t="s">
        <v>733</v>
      </c>
      <c r="D225" s="46"/>
      <c r="E225" s="46" t="s">
        <v>766</v>
      </c>
      <c r="F225" s="46" t="s">
        <v>57</v>
      </c>
      <c r="G225" s="47">
        <v>1</v>
      </c>
      <c r="H225" s="46"/>
      <c r="I225" s="47">
        <v>534</v>
      </c>
      <c r="J225" s="48">
        <v>273.08</v>
      </c>
      <c r="K225" s="48">
        <v>826</v>
      </c>
      <c r="L225" s="48">
        <v>826</v>
      </c>
      <c r="M225" s="48">
        <v>145824.72</v>
      </c>
      <c r="N225" s="48">
        <v>441084</v>
      </c>
      <c r="O225" s="48"/>
      <c r="P225" s="48">
        <v>273.08</v>
      </c>
      <c r="Q225" s="48">
        <v>826</v>
      </c>
      <c r="R225" s="48">
        <v>826</v>
      </c>
      <c r="S225" s="48">
        <v>145824.72</v>
      </c>
      <c r="T225" s="48">
        <v>441084</v>
      </c>
      <c r="U225" s="48"/>
      <c r="V225" s="9"/>
      <c r="W225" s="9">
        <f>ROUND(Q225 / 1.2, 2)</f>
        <v>688.33</v>
      </c>
      <c r="X225" s="9">
        <f>ROUND(R225 / 1.2, 2)</f>
        <v>688.33</v>
      </c>
      <c r="Y225" s="9"/>
      <c r="Z225" s="9">
        <f>ROUND(T225 / 1.2, 2)</f>
        <v>367570</v>
      </c>
      <c r="AA225" s="9"/>
      <c r="AD225" s="4">
        <v>314469372</v>
      </c>
      <c r="AE225" s="4">
        <v>25837369</v>
      </c>
      <c r="AG225" s="4" t="s">
        <v>735</v>
      </c>
      <c r="AH225" s="4" t="s">
        <v>736</v>
      </c>
      <c r="AI225" s="4"/>
    </row>
    <row r="226" spans="1:35" ht="36" x14ac:dyDescent="0.3">
      <c r="A226" s="38" t="s">
        <v>768</v>
      </c>
      <c r="B226" s="38"/>
      <c r="C226" s="49" t="s">
        <v>769</v>
      </c>
      <c r="D226" s="40"/>
      <c r="E226" s="40"/>
      <c r="F226" s="50" t="s">
        <v>76</v>
      </c>
      <c r="G226" s="51">
        <v>0.15</v>
      </c>
      <c r="H226" s="40"/>
      <c r="I226" s="52">
        <v>0</v>
      </c>
      <c r="J226" s="53">
        <v>80</v>
      </c>
      <c r="K226" s="54"/>
      <c r="L226" s="54"/>
      <c r="M226" s="53">
        <f t="shared" ref="M226:M233" si="55">ROUND(ROUND(J226, 2)*I226, 2)</f>
        <v>0</v>
      </c>
      <c r="N226" s="54"/>
      <c r="O226" s="54"/>
      <c r="P226" s="53">
        <v>80</v>
      </c>
      <c r="Q226" s="54"/>
      <c r="R226" s="54"/>
      <c r="S226" s="53">
        <f t="shared" ref="S226:S233" si="56">ROUND(ROUND(P226, 2)*I226, 2)</f>
        <v>0</v>
      </c>
      <c r="T226" s="54"/>
      <c r="U226" s="55"/>
      <c r="V226" s="9">
        <f t="shared" ref="V226:V233" si="57">ROUND(ROUND(P226, 2)/1.2, 2)</f>
        <v>66.67</v>
      </c>
      <c r="Y226" s="9">
        <f t="shared" ref="Y226:Y234" si="58">ROUND(S226 / 1.2, 2)</f>
        <v>0</v>
      </c>
      <c r="AD226" s="4" t="s">
        <v>770</v>
      </c>
      <c r="AE226" s="4" t="s">
        <v>771</v>
      </c>
      <c r="AF226" s="4" t="s">
        <v>772</v>
      </c>
    </row>
    <row r="227" spans="1:35" ht="36" x14ac:dyDescent="0.3">
      <c r="A227" s="44" t="s">
        <v>773</v>
      </c>
      <c r="B227" s="44"/>
      <c r="C227" s="56" t="s">
        <v>769</v>
      </c>
      <c r="D227" s="46"/>
      <c r="E227" s="46"/>
      <c r="F227" s="57" t="s">
        <v>76</v>
      </c>
      <c r="G227" s="58">
        <v>0.15</v>
      </c>
      <c r="H227" s="46"/>
      <c r="I227" s="58">
        <v>80.099999999999994</v>
      </c>
      <c r="J227" s="59">
        <v>80</v>
      </c>
      <c r="K227" s="60"/>
      <c r="L227" s="60"/>
      <c r="M227" s="59">
        <f t="shared" si="55"/>
        <v>6408</v>
      </c>
      <c r="N227" s="60"/>
      <c r="O227" s="60"/>
      <c r="P227" s="59">
        <v>80</v>
      </c>
      <c r="Q227" s="60"/>
      <c r="R227" s="60"/>
      <c r="S227" s="59">
        <f t="shared" si="56"/>
        <v>6408</v>
      </c>
      <c r="T227" s="60"/>
      <c r="U227" s="61"/>
      <c r="V227" s="9">
        <f t="shared" si="57"/>
        <v>66.67</v>
      </c>
      <c r="Y227" s="9">
        <f t="shared" si="58"/>
        <v>5340</v>
      </c>
      <c r="AD227" s="4" t="s">
        <v>774</v>
      </c>
      <c r="AE227" s="4" t="s">
        <v>771</v>
      </c>
      <c r="AF227" s="4" t="s">
        <v>772</v>
      </c>
    </row>
    <row r="228" spans="1:35" ht="18" x14ac:dyDescent="0.3">
      <c r="A228" s="38" t="s">
        <v>775</v>
      </c>
      <c r="B228" s="38"/>
      <c r="C228" s="49" t="s">
        <v>759</v>
      </c>
      <c r="D228" s="40"/>
      <c r="E228" s="40"/>
      <c r="F228" s="50" t="s">
        <v>123</v>
      </c>
      <c r="G228" s="51">
        <v>1.1000000000000001</v>
      </c>
      <c r="H228" s="40"/>
      <c r="I228" s="62">
        <v>0</v>
      </c>
      <c r="J228" s="53">
        <v>18.34</v>
      </c>
      <c r="K228" s="54"/>
      <c r="L228" s="54"/>
      <c r="M228" s="53">
        <f t="shared" si="55"/>
        <v>0</v>
      </c>
      <c r="N228" s="54"/>
      <c r="O228" s="54"/>
      <c r="P228" s="53">
        <v>18.34</v>
      </c>
      <c r="Q228" s="54"/>
      <c r="R228" s="54"/>
      <c r="S228" s="53">
        <f t="shared" si="56"/>
        <v>0</v>
      </c>
      <c r="T228" s="54"/>
      <c r="U228" s="55"/>
      <c r="V228" s="9">
        <f t="shared" si="57"/>
        <v>15.28</v>
      </c>
      <c r="Y228" s="9">
        <f t="shared" si="58"/>
        <v>0</v>
      </c>
      <c r="AD228" s="4" t="s">
        <v>776</v>
      </c>
      <c r="AE228" s="4" t="s">
        <v>777</v>
      </c>
      <c r="AF228" s="4" t="s">
        <v>762</v>
      </c>
    </row>
    <row r="229" spans="1:35" ht="18" x14ac:dyDescent="0.3">
      <c r="A229" s="44" t="s">
        <v>778</v>
      </c>
      <c r="B229" s="44"/>
      <c r="C229" s="56" t="s">
        <v>759</v>
      </c>
      <c r="D229" s="46"/>
      <c r="E229" s="46"/>
      <c r="F229" s="57" t="s">
        <v>123</v>
      </c>
      <c r="G229" s="58">
        <v>1.1000000000000001</v>
      </c>
      <c r="H229" s="46"/>
      <c r="I229" s="63">
        <v>587.4</v>
      </c>
      <c r="J229" s="59">
        <v>18.34</v>
      </c>
      <c r="K229" s="60"/>
      <c r="L229" s="60"/>
      <c r="M229" s="59">
        <f t="shared" si="55"/>
        <v>10772.92</v>
      </c>
      <c r="N229" s="60"/>
      <c r="O229" s="60"/>
      <c r="P229" s="59">
        <v>18.34</v>
      </c>
      <c r="Q229" s="60"/>
      <c r="R229" s="60"/>
      <c r="S229" s="59">
        <f t="shared" si="56"/>
        <v>10772.92</v>
      </c>
      <c r="T229" s="60"/>
      <c r="U229" s="61"/>
      <c r="V229" s="9">
        <f t="shared" si="57"/>
        <v>15.28</v>
      </c>
      <c r="Y229" s="9">
        <f t="shared" si="58"/>
        <v>8977.43</v>
      </c>
      <c r="AD229" s="4" t="s">
        <v>779</v>
      </c>
      <c r="AE229" s="4" t="s">
        <v>777</v>
      </c>
      <c r="AF229" s="4" t="s">
        <v>762</v>
      </c>
    </row>
    <row r="230" spans="1:35" ht="18" x14ac:dyDescent="0.3">
      <c r="A230" s="38" t="s">
        <v>780</v>
      </c>
      <c r="B230" s="38"/>
      <c r="C230" s="49" t="s">
        <v>751</v>
      </c>
      <c r="D230" s="40"/>
      <c r="E230" s="40" t="s">
        <v>752</v>
      </c>
      <c r="F230" s="50" t="s">
        <v>76</v>
      </c>
      <c r="G230" s="51">
        <v>1.8</v>
      </c>
      <c r="H230" s="40"/>
      <c r="I230" s="62">
        <v>0</v>
      </c>
      <c r="J230" s="53">
        <v>5.85</v>
      </c>
      <c r="K230" s="54"/>
      <c r="L230" s="54"/>
      <c r="M230" s="53">
        <f t="shared" si="55"/>
        <v>0</v>
      </c>
      <c r="N230" s="54"/>
      <c r="O230" s="54"/>
      <c r="P230" s="53">
        <v>5.85</v>
      </c>
      <c r="Q230" s="54"/>
      <c r="R230" s="54"/>
      <c r="S230" s="53">
        <f t="shared" si="56"/>
        <v>0</v>
      </c>
      <c r="T230" s="54"/>
      <c r="U230" s="55"/>
      <c r="V230" s="9">
        <f t="shared" si="57"/>
        <v>4.88</v>
      </c>
      <c r="Y230" s="9">
        <f t="shared" si="58"/>
        <v>0</v>
      </c>
      <c r="AD230" s="4" t="s">
        <v>781</v>
      </c>
      <c r="AE230" s="4" t="s">
        <v>782</v>
      </c>
      <c r="AF230" s="4" t="s">
        <v>755</v>
      </c>
    </row>
    <row r="231" spans="1:35" ht="18" x14ac:dyDescent="0.3">
      <c r="A231" s="44" t="s">
        <v>783</v>
      </c>
      <c r="B231" s="44"/>
      <c r="C231" s="56" t="s">
        <v>751</v>
      </c>
      <c r="D231" s="46"/>
      <c r="E231" s="46" t="s">
        <v>752</v>
      </c>
      <c r="F231" s="57" t="s">
        <v>76</v>
      </c>
      <c r="G231" s="58">
        <v>1.8</v>
      </c>
      <c r="H231" s="46"/>
      <c r="I231" s="63">
        <v>19224</v>
      </c>
      <c r="J231" s="59">
        <v>5.85</v>
      </c>
      <c r="K231" s="60"/>
      <c r="L231" s="60"/>
      <c r="M231" s="59">
        <f t="shared" si="55"/>
        <v>112460.4</v>
      </c>
      <c r="N231" s="60"/>
      <c r="O231" s="60"/>
      <c r="P231" s="59">
        <v>5.85</v>
      </c>
      <c r="Q231" s="60"/>
      <c r="R231" s="60"/>
      <c r="S231" s="59">
        <f t="shared" si="56"/>
        <v>112460.4</v>
      </c>
      <c r="T231" s="60"/>
      <c r="U231" s="61"/>
      <c r="V231" s="9">
        <f t="shared" si="57"/>
        <v>4.88</v>
      </c>
      <c r="Y231" s="9">
        <f t="shared" si="58"/>
        <v>93717</v>
      </c>
      <c r="AD231" s="4" t="s">
        <v>784</v>
      </c>
      <c r="AE231" s="4" t="s">
        <v>782</v>
      </c>
      <c r="AF231" s="4" t="s">
        <v>755</v>
      </c>
    </row>
    <row r="232" spans="1:35" ht="18" x14ac:dyDescent="0.3">
      <c r="A232" s="38" t="s">
        <v>785</v>
      </c>
      <c r="B232" s="38"/>
      <c r="C232" s="49" t="s">
        <v>739</v>
      </c>
      <c r="D232" s="40"/>
      <c r="E232" s="40"/>
      <c r="F232" s="50" t="s">
        <v>57</v>
      </c>
      <c r="G232" s="51">
        <v>1.1000000000000001</v>
      </c>
      <c r="H232" s="40"/>
      <c r="I232" s="52">
        <v>0</v>
      </c>
      <c r="J232" s="53">
        <v>27.55</v>
      </c>
      <c r="K232" s="54"/>
      <c r="L232" s="54"/>
      <c r="M232" s="53">
        <f t="shared" si="55"/>
        <v>0</v>
      </c>
      <c r="N232" s="54"/>
      <c r="O232" s="54"/>
      <c r="P232" s="53">
        <v>27.55</v>
      </c>
      <c r="Q232" s="54"/>
      <c r="R232" s="54"/>
      <c r="S232" s="53">
        <f t="shared" si="56"/>
        <v>0</v>
      </c>
      <c r="T232" s="54"/>
      <c r="U232" s="55"/>
      <c r="V232" s="9">
        <f t="shared" si="57"/>
        <v>22.96</v>
      </c>
      <c r="Y232" s="9">
        <f t="shared" si="58"/>
        <v>0</v>
      </c>
      <c r="AD232" s="4" t="s">
        <v>786</v>
      </c>
      <c r="AE232" s="4" t="s">
        <v>787</v>
      </c>
      <c r="AF232" s="4" t="s">
        <v>742</v>
      </c>
    </row>
    <row r="233" spans="1:35" ht="18" x14ac:dyDescent="0.3">
      <c r="A233" s="44" t="s">
        <v>788</v>
      </c>
      <c r="B233" s="44"/>
      <c r="C233" s="56" t="s">
        <v>739</v>
      </c>
      <c r="D233" s="46"/>
      <c r="E233" s="46"/>
      <c r="F233" s="57" t="s">
        <v>57</v>
      </c>
      <c r="G233" s="58">
        <v>1.1000000000000001</v>
      </c>
      <c r="H233" s="46"/>
      <c r="I233" s="58">
        <v>587.4</v>
      </c>
      <c r="J233" s="59">
        <v>27.55</v>
      </c>
      <c r="K233" s="60"/>
      <c r="L233" s="60"/>
      <c r="M233" s="59">
        <f t="shared" si="55"/>
        <v>16182.87</v>
      </c>
      <c r="N233" s="60"/>
      <c r="O233" s="60"/>
      <c r="P233" s="59">
        <v>27.55</v>
      </c>
      <c r="Q233" s="60"/>
      <c r="R233" s="60"/>
      <c r="S233" s="59">
        <f t="shared" si="56"/>
        <v>16182.87</v>
      </c>
      <c r="T233" s="60"/>
      <c r="U233" s="61"/>
      <c r="V233" s="9">
        <f t="shared" si="57"/>
        <v>22.96</v>
      </c>
      <c r="Y233" s="9">
        <f t="shared" si="58"/>
        <v>13485.73</v>
      </c>
      <c r="AD233" s="4" t="s">
        <v>789</v>
      </c>
      <c r="AE233" s="4" t="s">
        <v>787</v>
      </c>
      <c r="AF233" s="4" t="s">
        <v>742</v>
      </c>
    </row>
    <row r="234" spans="1:35" ht="54" x14ac:dyDescent="0.3">
      <c r="A234" s="38" t="s">
        <v>790</v>
      </c>
      <c r="B234" s="38" t="s">
        <v>732</v>
      </c>
      <c r="C234" s="39" t="s">
        <v>733</v>
      </c>
      <c r="D234" s="40"/>
      <c r="E234" s="40" t="s">
        <v>791</v>
      </c>
      <c r="F234" s="40" t="s">
        <v>57</v>
      </c>
      <c r="G234" s="41">
        <v>1</v>
      </c>
      <c r="H234" s="40"/>
      <c r="I234" s="42">
        <v>0</v>
      </c>
      <c r="J234" s="43">
        <v>196.97</v>
      </c>
      <c r="K234" s="43">
        <v>826</v>
      </c>
      <c r="L234" s="43">
        <f>J234+ROUND(K234, 2)</f>
        <v>1022.97</v>
      </c>
      <c r="M234" s="43">
        <v>0</v>
      </c>
      <c r="N234" s="43">
        <v>0</v>
      </c>
      <c r="O234" s="43">
        <f>M234+N234</f>
        <v>0</v>
      </c>
      <c r="P234" s="43">
        <v>212.17</v>
      </c>
      <c r="Q234" s="43">
        <v>826</v>
      </c>
      <c r="R234" s="43">
        <f>P234+ROUND(Q234, 2)</f>
        <v>1038.17</v>
      </c>
      <c r="S234" s="43">
        <v>0</v>
      </c>
      <c r="T234" s="43">
        <v>0</v>
      </c>
      <c r="U234" s="43">
        <f>S234+T234</f>
        <v>0</v>
      </c>
      <c r="V234" s="9">
        <f>ROUND(P234 / 1.2, 2)</f>
        <v>176.81</v>
      </c>
      <c r="W234" s="9">
        <f>ROUND(Q234 / 1.2, 2)</f>
        <v>688.33</v>
      </c>
      <c r="X234" s="9">
        <f>ROUND(R234 / 1.2, 2)</f>
        <v>865.14</v>
      </c>
      <c r="Y234" s="9">
        <f t="shared" si="58"/>
        <v>0</v>
      </c>
      <c r="Z234" s="9">
        <f>ROUND(T234 / 1.2, 2)</f>
        <v>0</v>
      </c>
      <c r="AA234" s="9">
        <f>Y234+Z234</f>
        <v>0</v>
      </c>
      <c r="AD234" s="4">
        <v>341534374</v>
      </c>
      <c r="AE234" s="4">
        <v>25837368</v>
      </c>
      <c r="AG234" s="4" t="s">
        <v>735</v>
      </c>
      <c r="AH234" s="4" t="s">
        <v>736</v>
      </c>
      <c r="AI234" s="4" t="s">
        <v>241</v>
      </c>
    </row>
    <row r="235" spans="1:35" ht="54" x14ac:dyDescent="0.3">
      <c r="A235" s="44" t="s">
        <v>792</v>
      </c>
      <c r="B235" s="44" t="s">
        <v>732</v>
      </c>
      <c r="C235" s="45" t="s">
        <v>733</v>
      </c>
      <c r="D235" s="46"/>
      <c r="E235" s="46" t="s">
        <v>791</v>
      </c>
      <c r="F235" s="46" t="s">
        <v>57</v>
      </c>
      <c r="G235" s="47">
        <v>1</v>
      </c>
      <c r="H235" s="46"/>
      <c r="I235" s="47">
        <v>53.9</v>
      </c>
      <c r="J235" s="48">
        <v>196.97</v>
      </c>
      <c r="K235" s="48">
        <v>826</v>
      </c>
      <c r="L235" s="48">
        <v>826</v>
      </c>
      <c r="M235" s="48">
        <v>10616.68</v>
      </c>
      <c r="N235" s="48">
        <v>44521.4</v>
      </c>
      <c r="O235" s="48"/>
      <c r="P235" s="48">
        <v>212.17</v>
      </c>
      <c r="Q235" s="48">
        <v>826</v>
      </c>
      <c r="R235" s="48">
        <v>826</v>
      </c>
      <c r="S235" s="48">
        <v>11435.96</v>
      </c>
      <c r="T235" s="48">
        <v>44521.4</v>
      </c>
      <c r="U235" s="48"/>
      <c r="V235" s="9"/>
      <c r="W235" s="9">
        <f>ROUND(Q235 / 1.2, 2)</f>
        <v>688.33</v>
      </c>
      <c r="X235" s="9">
        <f>ROUND(R235 / 1.2, 2)</f>
        <v>688.33</v>
      </c>
      <c r="Y235" s="9"/>
      <c r="Z235" s="9">
        <f>ROUND(T235 / 1.2, 2)</f>
        <v>37101.17</v>
      </c>
      <c r="AA235" s="9"/>
      <c r="AD235" s="4">
        <v>314469373</v>
      </c>
      <c r="AE235" s="4">
        <v>25837368</v>
      </c>
      <c r="AG235" s="4" t="s">
        <v>735</v>
      </c>
      <c r="AH235" s="4" t="s">
        <v>736</v>
      </c>
      <c r="AI235" s="4"/>
    </row>
    <row r="236" spans="1:35" ht="18" x14ac:dyDescent="0.3">
      <c r="A236" s="38" t="s">
        <v>793</v>
      </c>
      <c r="B236" s="38"/>
      <c r="C236" s="49" t="s">
        <v>759</v>
      </c>
      <c r="D236" s="40"/>
      <c r="E236" s="40"/>
      <c r="F236" s="50" t="s">
        <v>123</v>
      </c>
      <c r="G236" s="51">
        <v>1.1000000000000001</v>
      </c>
      <c r="H236" s="40"/>
      <c r="I236" s="62">
        <v>0</v>
      </c>
      <c r="J236" s="53">
        <v>18.34</v>
      </c>
      <c r="K236" s="54"/>
      <c r="L236" s="54"/>
      <c r="M236" s="53">
        <f t="shared" ref="M236:M241" si="59">ROUND(ROUND(J236, 2)*I236, 2)</f>
        <v>0</v>
      </c>
      <c r="N236" s="54"/>
      <c r="O236" s="54"/>
      <c r="P236" s="53">
        <v>18.34</v>
      </c>
      <c r="Q236" s="54"/>
      <c r="R236" s="54"/>
      <c r="S236" s="53">
        <f t="shared" ref="S236:S241" si="60">ROUND(ROUND(P236, 2)*I236, 2)</f>
        <v>0</v>
      </c>
      <c r="T236" s="54"/>
      <c r="U236" s="55"/>
      <c r="V236" s="9">
        <f t="shared" ref="V236:V241" si="61">ROUND(ROUND(P236, 2)/1.2, 2)</f>
        <v>15.28</v>
      </c>
      <c r="Y236" s="9">
        <f t="shared" ref="Y236:Y242" si="62">ROUND(S236 / 1.2, 2)</f>
        <v>0</v>
      </c>
      <c r="AD236" s="4" t="s">
        <v>794</v>
      </c>
      <c r="AE236" s="4" t="s">
        <v>795</v>
      </c>
      <c r="AF236" s="4" t="s">
        <v>762</v>
      </c>
    </row>
    <row r="237" spans="1:35" ht="18" x14ac:dyDescent="0.3">
      <c r="A237" s="44" t="s">
        <v>796</v>
      </c>
      <c r="B237" s="44"/>
      <c r="C237" s="56" t="s">
        <v>759</v>
      </c>
      <c r="D237" s="46"/>
      <c r="E237" s="46"/>
      <c r="F237" s="57" t="s">
        <v>123</v>
      </c>
      <c r="G237" s="58">
        <v>1.1000000000000001</v>
      </c>
      <c r="H237" s="46"/>
      <c r="I237" s="63">
        <v>59.29</v>
      </c>
      <c r="J237" s="59">
        <v>18.34</v>
      </c>
      <c r="K237" s="60"/>
      <c r="L237" s="60"/>
      <c r="M237" s="59">
        <f t="shared" si="59"/>
        <v>1087.3800000000001</v>
      </c>
      <c r="N237" s="60"/>
      <c r="O237" s="60"/>
      <c r="P237" s="59">
        <v>18.34</v>
      </c>
      <c r="Q237" s="60"/>
      <c r="R237" s="60"/>
      <c r="S237" s="59">
        <f t="shared" si="60"/>
        <v>1087.3800000000001</v>
      </c>
      <c r="T237" s="60"/>
      <c r="U237" s="61"/>
      <c r="V237" s="9">
        <f t="shared" si="61"/>
        <v>15.28</v>
      </c>
      <c r="Y237" s="9">
        <f t="shared" si="62"/>
        <v>906.15</v>
      </c>
      <c r="AD237" s="4" t="s">
        <v>797</v>
      </c>
      <c r="AE237" s="4" t="s">
        <v>795</v>
      </c>
      <c r="AF237" s="4" t="s">
        <v>762</v>
      </c>
    </row>
    <row r="238" spans="1:35" ht="18" x14ac:dyDescent="0.3">
      <c r="A238" s="38" t="s">
        <v>798</v>
      </c>
      <c r="B238" s="38"/>
      <c r="C238" s="49" t="s">
        <v>310</v>
      </c>
      <c r="D238" s="40"/>
      <c r="E238" s="40"/>
      <c r="F238" s="50" t="s">
        <v>76</v>
      </c>
      <c r="G238" s="51">
        <v>0.25</v>
      </c>
      <c r="H238" s="40"/>
      <c r="I238" s="52">
        <v>0</v>
      </c>
      <c r="J238" s="53">
        <v>100</v>
      </c>
      <c r="K238" s="54"/>
      <c r="L238" s="54"/>
      <c r="M238" s="53">
        <f t="shared" si="59"/>
        <v>0</v>
      </c>
      <c r="N238" s="54"/>
      <c r="O238" s="54"/>
      <c r="P238" s="53">
        <v>100</v>
      </c>
      <c r="Q238" s="54"/>
      <c r="R238" s="54"/>
      <c r="S238" s="53">
        <f t="shared" si="60"/>
        <v>0</v>
      </c>
      <c r="T238" s="54"/>
      <c r="U238" s="55"/>
      <c r="V238" s="9">
        <f t="shared" si="61"/>
        <v>83.33</v>
      </c>
      <c r="Y238" s="9">
        <f t="shared" si="62"/>
        <v>0</v>
      </c>
      <c r="AD238" s="4" t="s">
        <v>799</v>
      </c>
      <c r="AE238" s="4" t="s">
        <v>800</v>
      </c>
      <c r="AF238" s="4" t="s">
        <v>313</v>
      </c>
    </row>
    <row r="239" spans="1:35" ht="18" x14ac:dyDescent="0.3">
      <c r="A239" s="44" t="s">
        <v>801</v>
      </c>
      <c r="B239" s="44"/>
      <c r="C239" s="56" t="s">
        <v>310</v>
      </c>
      <c r="D239" s="46"/>
      <c r="E239" s="46"/>
      <c r="F239" s="57" t="s">
        <v>76</v>
      </c>
      <c r="G239" s="58">
        <v>0.25</v>
      </c>
      <c r="H239" s="46"/>
      <c r="I239" s="58">
        <v>13.475</v>
      </c>
      <c r="J239" s="59">
        <v>100</v>
      </c>
      <c r="K239" s="60"/>
      <c r="L239" s="60"/>
      <c r="M239" s="59">
        <f t="shared" si="59"/>
        <v>1347.5</v>
      </c>
      <c r="N239" s="60"/>
      <c r="O239" s="60"/>
      <c r="P239" s="59">
        <v>100</v>
      </c>
      <c r="Q239" s="60"/>
      <c r="R239" s="60"/>
      <c r="S239" s="59">
        <f t="shared" si="60"/>
        <v>1347.5</v>
      </c>
      <c r="T239" s="60"/>
      <c r="U239" s="61"/>
      <c r="V239" s="9">
        <f t="shared" si="61"/>
        <v>83.33</v>
      </c>
      <c r="Y239" s="9">
        <f t="shared" si="62"/>
        <v>1122.92</v>
      </c>
      <c r="AD239" s="4" t="s">
        <v>802</v>
      </c>
      <c r="AE239" s="4" t="s">
        <v>800</v>
      </c>
      <c r="AF239" s="4" t="s">
        <v>313</v>
      </c>
    </row>
    <row r="240" spans="1:35" ht="36" x14ac:dyDescent="0.3">
      <c r="A240" s="38" t="s">
        <v>803</v>
      </c>
      <c r="B240" s="38"/>
      <c r="C240" s="49" t="s">
        <v>804</v>
      </c>
      <c r="D240" s="40"/>
      <c r="E240" s="40" t="s">
        <v>752</v>
      </c>
      <c r="F240" s="50" t="s">
        <v>76</v>
      </c>
      <c r="G240" s="51">
        <v>1</v>
      </c>
      <c r="H240" s="40"/>
      <c r="I240" s="62">
        <v>0</v>
      </c>
      <c r="J240" s="53">
        <v>7.59</v>
      </c>
      <c r="K240" s="54"/>
      <c r="L240" s="54"/>
      <c r="M240" s="53">
        <f t="shared" si="59"/>
        <v>0</v>
      </c>
      <c r="N240" s="54"/>
      <c r="O240" s="54"/>
      <c r="P240" s="53">
        <v>8.35</v>
      </c>
      <c r="Q240" s="54"/>
      <c r="R240" s="54"/>
      <c r="S240" s="53">
        <f t="shared" si="60"/>
        <v>0</v>
      </c>
      <c r="T240" s="54"/>
      <c r="U240" s="55"/>
      <c r="V240" s="9">
        <f t="shared" si="61"/>
        <v>6.96</v>
      </c>
      <c r="Y240" s="9">
        <f t="shared" si="62"/>
        <v>0</v>
      </c>
      <c r="AD240" s="4" t="s">
        <v>805</v>
      </c>
      <c r="AE240" s="4" t="s">
        <v>806</v>
      </c>
      <c r="AF240" s="4" t="s">
        <v>807</v>
      </c>
    </row>
    <row r="241" spans="1:35" ht="36" x14ac:dyDescent="0.3">
      <c r="A241" s="44" t="s">
        <v>808</v>
      </c>
      <c r="B241" s="44"/>
      <c r="C241" s="56" t="s">
        <v>804</v>
      </c>
      <c r="D241" s="46"/>
      <c r="E241" s="46" t="s">
        <v>752</v>
      </c>
      <c r="F241" s="57" t="s">
        <v>76</v>
      </c>
      <c r="G241" s="58">
        <v>1</v>
      </c>
      <c r="H241" s="46"/>
      <c r="I241" s="63">
        <v>1078</v>
      </c>
      <c r="J241" s="59">
        <v>7.59</v>
      </c>
      <c r="K241" s="60"/>
      <c r="L241" s="60"/>
      <c r="M241" s="59">
        <f t="shared" si="59"/>
        <v>8182.02</v>
      </c>
      <c r="N241" s="60"/>
      <c r="O241" s="60"/>
      <c r="P241" s="59">
        <v>8.35</v>
      </c>
      <c r="Q241" s="60"/>
      <c r="R241" s="60"/>
      <c r="S241" s="59">
        <f t="shared" si="60"/>
        <v>9001.2999999999993</v>
      </c>
      <c r="T241" s="60"/>
      <c r="U241" s="61"/>
      <c r="V241" s="9">
        <f t="shared" si="61"/>
        <v>6.96</v>
      </c>
      <c r="Y241" s="9">
        <f t="shared" si="62"/>
        <v>7501.08</v>
      </c>
      <c r="AD241" s="4" t="s">
        <v>809</v>
      </c>
      <c r="AE241" s="4" t="s">
        <v>806</v>
      </c>
      <c r="AF241" s="4" t="s">
        <v>807</v>
      </c>
    </row>
    <row r="242" spans="1:35" ht="54" x14ac:dyDescent="0.3">
      <c r="A242" s="38" t="s">
        <v>810</v>
      </c>
      <c r="B242" s="38" t="s">
        <v>732</v>
      </c>
      <c r="C242" s="39" t="s">
        <v>733</v>
      </c>
      <c r="D242" s="40"/>
      <c r="E242" s="40" t="s">
        <v>811</v>
      </c>
      <c r="F242" s="40" t="s">
        <v>57</v>
      </c>
      <c r="G242" s="41">
        <v>1</v>
      </c>
      <c r="H242" s="40"/>
      <c r="I242" s="42">
        <v>0</v>
      </c>
      <c r="J242" s="43">
        <v>183.97</v>
      </c>
      <c r="K242" s="43">
        <v>826</v>
      </c>
      <c r="L242" s="43">
        <f>J242+ROUND(K242, 2)</f>
        <v>1009.97</v>
      </c>
      <c r="M242" s="43">
        <v>0</v>
      </c>
      <c r="N242" s="43">
        <v>0</v>
      </c>
      <c r="O242" s="43">
        <f>M242+N242</f>
        <v>0</v>
      </c>
      <c r="P242" s="43">
        <v>199.17</v>
      </c>
      <c r="Q242" s="43">
        <v>826</v>
      </c>
      <c r="R242" s="43">
        <f>P242+ROUND(Q242, 2)</f>
        <v>1025.17</v>
      </c>
      <c r="S242" s="43">
        <v>0</v>
      </c>
      <c r="T242" s="43">
        <v>0</v>
      </c>
      <c r="U242" s="43">
        <f>S242+T242</f>
        <v>0</v>
      </c>
      <c r="V242" s="9">
        <f>ROUND(P242 / 1.2, 2)</f>
        <v>165.98</v>
      </c>
      <c r="W242" s="9">
        <f>ROUND(Q242 / 1.2, 2)</f>
        <v>688.33</v>
      </c>
      <c r="X242" s="9">
        <f>ROUND(R242 / 1.2, 2)</f>
        <v>854.31</v>
      </c>
      <c r="Y242" s="9">
        <f t="shared" si="62"/>
        <v>0</v>
      </c>
      <c r="Z242" s="9">
        <f>ROUND(T242 / 1.2, 2)</f>
        <v>0</v>
      </c>
      <c r="AA242" s="9">
        <f>Y242+Z242</f>
        <v>0</v>
      </c>
      <c r="AD242" s="4">
        <v>341534375</v>
      </c>
      <c r="AE242" s="4">
        <v>25837367</v>
      </c>
      <c r="AG242" s="4" t="s">
        <v>735</v>
      </c>
      <c r="AH242" s="4" t="s">
        <v>736</v>
      </c>
      <c r="AI242" s="4" t="s">
        <v>241</v>
      </c>
    </row>
    <row r="243" spans="1:35" ht="54" x14ac:dyDescent="0.3">
      <c r="A243" s="44" t="s">
        <v>812</v>
      </c>
      <c r="B243" s="44" t="s">
        <v>732</v>
      </c>
      <c r="C243" s="45" t="s">
        <v>733</v>
      </c>
      <c r="D243" s="46"/>
      <c r="E243" s="46" t="s">
        <v>811</v>
      </c>
      <c r="F243" s="46" t="s">
        <v>57</v>
      </c>
      <c r="G243" s="47">
        <v>1</v>
      </c>
      <c r="H243" s="46"/>
      <c r="I243" s="47">
        <v>260.60000000000002</v>
      </c>
      <c r="J243" s="48">
        <v>183.97</v>
      </c>
      <c r="K243" s="48">
        <v>826</v>
      </c>
      <c r="L243" s="48">
        <v>826</v>
      </c>
      <c r="M243" s="48">
        <v>47942.58</v>
      </c>
      <c r="N243" s="48">
        <v>215255.6</v>
      </c>
      <c r="O243" s="48"/>
      <c r="P243" s="48">
        <v>199.17</v>
      </c>
      <c r="Q243" s="48">
        <v>826</v>
      </c>
      <c r="R243" s="48">
        <v>826</v>
      </c>
      <c r="S243" s="48">
        <v>51903.7</v>
      </c>
      <c r="T243" s="48">
        <v>215255.6</v>
      </c>
      <c r="U243" s="48"/>
      <c r="V243" s="9"/>
      <c r="W243" s="9">
        <f>ROUND(Q243 / 1.2, 2)</f>
        <v>688.33</v>
      </c>
      <c r="X243" s="9">
        <f>ROUND(R243 / 1.2, 2)</f>
        <v>688.33</v>
      </c>
      <c r="Y243" s="9"/>
      <c r="Z243" s="9">
        <f>ROUND(T243 / 1.2, 2)</f>
        <v>179379.67</v>
      </c>
      <c r="AA243" s="9"/>
      <c r="AD243" s="4">
        <v>314469374</v>
      </c>
      <c r="AE243" s="4">
        <v>25837367</v>
      </c>
      <c r="AG243" s="4" t="s">
        <v>735</v>
      </c>
      <c r="AH243" s="4" t="s">
        <v>736</v>
      </c>
      <c r="AI243" s="4"/>
    </row>
    <row r="244" spans="1:35" ht="18" x14ac:dyDescent="0.3">
      <c r="A244" s="38" t="s">
        <v>813</v>
      </c>
      <c r="B244" s="38"/>
      <c r="C244" s="49" t="s">
        <v>759</v>
      </c>
      <c r="D244" s="40"/>
      <c r="E244" s="40"/>
      <c r="F244" s="50" t="s">
        <v>123</v>
      </c>
      <c r="G244" s="51">
        <v>1.1000000000000001</v>
      </c>
      <c r="H244" s="40"/>
      <c r="I244" s="62">
        <v>0</v>
      </c>
      <c r="J244" s="53">
        <v>18.34</v>
      </c>
      <c r="K244" s="54"/>
      <c r="L244" s="54"/>
      <c r="M244" s="53">
        <f t="shared" ref="M244:M249" si="63">ROUND(ROUND(J244, 2)*I244, 2)</f>
        <v>0</v>
      </c>
      <c r="N244" s="54"/>
      <c r="O244" s="54"/>
      <c r="P244" s="53">
        <v>18.34</v>
      </c>
      <c r="Q244" s="54"/>
      <c r="R244" s="54"/>
      <c r="S244" s="53">
        <f t="shared" ref="S244:S249" si="64">ROUND(ROUND(P244, 2)*I244, 2)</f>
        <v>0</v>
      </c>
      <c r="T244" s="54"/>
      <c r="U244" s="55"/>
      <c r="V244" s="9">
        <f t="shared" ref="V244:V249" si="65">ROUND(ROUND(P244, 2)/1.2, 2)</f>
        <v>15.28</v>
      </c>
      <c r="Y244" s="9">
        <f t="shared" ref="Y244:Y250" si="66">ROUND(S244 / 1.2, 2)</f>
        <v>0</v>
      </c>
      <c r="AD244" s="4" t="s">
        <v>814</v>
      </c>
      <c r="AE244" s="4" t="s">
        <v>815</v>
      </c>
      <c r="AF244" s="4" t="s">
        <v>762</v>
      </c>
    </row>
    <row r="245" spans="1:35" ht="18" x14ac:dyDescent="0.3">
      <c r="A245" s="44" t="s">
        <v>816</v>
      </c>
      <c r="B245" s="44"/>
      <c r="C245" s="56" t="s">
        <v>759</v>
      </c>
      <c r="D245" s="46"/>
      <c r="E245" s="46"/>
      <c r="F245" s="57" t="s">
        <v>123</v>
      </c>
      <c r="G245" s="58">
        <v>1.1000000000000001</v>
      </c>
      <c r="H245" s="46"/>
      <c r="I245" s="63">
        <v>286.66000000000003</v>
      </c>
      <c r="J245" s="59">
        <v>18.34</v>
      </c>
      <c r="K245" s="60"/>
      <c r="L245" s="60"/>
      <c r="M245" s="59">
        <f t="shared" si="63"/>
        <v>5257.34</v>
      </c>
      <c r="N245" s="60"/>
      <c r="O245" s="60"/>
      <c r="P245" s="59">
        <v>18.34</v>
      </c>
      <c r="Q245" s="60"/>
      <c r="R245" s="60"/>
      <c r="S245" s="59">
        <f t="shared" si="64"/>
        <v>5257.34</v>
      </c>
      <c r="T245" s="60"/>
      <c r="U245" s="61"/>
      <c r="V245" s="9">
        <f t="shared" si="65"/>
        <v>15.28</v>
      </c>
      <c r="Y245" s="9">
        <f t="shared" si="66"/>
        <v>4381.12</v>
      </c>
      <c r="AD245" s="4" t="s">
        <v>817</v>
      </c>
      <c r="AE245" s="4" t="s">
        <v>815</v>
      </c>
      <c r="AF245" s="4" t="s">
        <v>762</v>
      </c>
    </row>
    <row r="246" spans="1:35" ht="36" x14ac:dyDescent="0.3">
      <c r="A246" s="38" t="s">
        <v>818</v>
      </c>
      <c r="B246" s="38"/>
      <c r="C246" s="49" t="s">
        <v>819</v>
      </c>
      <c r="D246" s="40"/>
      <c r="E246" s="40"/>
      <c r="F246" s="50" t="s">
        <v>76</v>
      </c>
      <c r="G246" s="51">
        <v>0.15</v>
      </c>
      <c r="H246" s="40"/>
      <c r="I246" s="62">
        <v>0</v>
      </c>
      <c r="J246" s="53">
        <v>80</v>
      </c>
      <c r="K246" s="54"/>
      <c r="L246" s="54"/>
      <c r="M246" s="53">
        <f t="shared" si="63"/>
        <v>0</v>
      </c>
      <c r="N246" s="54"/>
      <c r="O246" s="54"/>
      <c r="P246" s="53">
        <v>80</v>
      </c>
      <c r="Q246" s="54"/>
      <c r="R246" s="54"/>
      <c r="S246" s="53">
        <f t="shared" si="64"/>
        <v>0</v>
      </c>
      <c r="T246" s="54"/>
      <c r="U246" s="55"/>
      <c r="V246" s="9">
        <f t="shared" si="65"/>
        <v>66.67</v>
      </c>
      <c r="Y246" s="9">
        <f t="shared" si="66"/>
        <v>0</v>
      </c>
      <c r="AD246" s="4" t="s">
        <v>820</v>
      </c>
      <c r="AE246" s="4" t="s">
        <v>821</v>
      </c>
      <c r="AF246" s="4" t="s">
        <v>822</v>
      </c>
    </row>
    <row r="247" spans="1:35" ht="36" x14ac:dyDescent="0.3">
      <c r="A247" s="44" t="s">
        <v>823</v>
      </c>
      <c r="B247" s="44"/>
      <c r="C247" s="56" t="s">
        <v>819</v>
      </c>
      <c r="D247" s="46"/>
      <c r="E247" s="46"/>
      <c r="F247" s="57" t="s">
        <v>76</v>
      </c>
      <c r="G247" s="58">
        <v>0.15</v>
      </c>
      <c r="H247" s="46"/>
      <c r="I247" s="63">
        <v>39.090000000000003</v>
      </c>
      <c r="J247" s="59">
        <v>80</v>
      </c>
      <c r="K247" s="60"/>
      <c r="L247" s="60"/>
      <c r="M247" s="59">
        <f t="shared" si="63"/>
        <v>3127.2</v>
      </c>
      <c r="N247" s="60"/>
      <c r="O247" s="60"/>
      <c r="P247" s="59">
        <v>80</v>
      </c>
      <c r="Q247" s="60"/>
      <c r="R247" s="60"/>
      <c r="S247" s="59">
        <f t="shared" si="64"/>
        <v>3127.2</v>
      </c>
      <c r="T247" s="60"/>
      <c r="U247" s="61"/>
      <c r="V247" s="9">
        <f t="shared" si="65"/>
        <v>66.67</v>
      </c>
      <c r="Y247" s="9">
        <f t="shared" si="66"/>
        <v>2606</v>
      </c>
      <c r="AD247" s="4" t="s">
        <v>824</v>
      </c>
      <c r="AE247" s="4" t="s">
        <v>821</v>
      </c>
      <c r="AF247" s="4" t="s">
        <v>822</v>
      </c>
    </row>
    <row r="248" spans="1:35" ht="36" x14ac:dyDescent="0.3">
      <c r="A248" s="38" t="s">
        <v>825</v>
      </c>
      <c r="B248" s="38"/>
      <c r="C248" s="49" t="s">
        <v>804</v>
      </c>
      <c r="D248" s="40"/>
      <c r="E248" s="40" t="s">
        <v>752</v>
      </c>
      <c r="F248" s="50" t="s">
        <v>76</v>
      </c>
      <c r="G248" s="51">
        <v>1</v>
      </c>
      <c r="H248" s="40"/>
      <c r="I248" s="62">
        <v>0</v>
      </c>
      <c r="J248" s="53">
        <v>7.59</v>
      </c>
      <c r="K248" s="54"/>
      <c r="L248" s="54"/>
      <c r="M248" s="53">
        <f t="shared" si="63"/>
        <v>0</v>
      </c>
      <c r="N248" s="54"/>
      <c r="O248" s="54"/>
      <c r="P248" s="53">
        <v>8.35</v>
      </c>
      <c r="Q248" s="54"/>
      <c r="R248" s="54"/>
      <c r="S248" s="53">
        <f t="shared" si="64"/>
        <v>0</v>
      </c>
      <c r="T248" s="54"/>
      <c r="U248" s="55"/>
      <c r="V248" s="9">
        <f t="shared" si="65"/>
        <v>6.96</v>
      </c>
      <c r="Y248" s="9">
        <f t="shared" si="66"/>
        <v>0</v>
      </c>
      <c r="AD248" s="4" t="s">
        <v>826</v>
      </c>
      <c r="AE248" s="4" t="s">
        <v>827</v>
      </c>
      <c r="AF248" s="4" t="s">
        <v>807</v>
      </c>
    </row>
    <row r="249" spans="1:35" ht="36" x14ac:dyDescent="0.3">
      <c r="A249" s="44" t="s">
        <v>828</v>
      </c>
      <c r="B249" s="44"/>
      <c r="C249" s="56" t="s">
        <v>804</v>
      </c>
      <c r="D249" s="46"/>
      <c r="E249" s="46" t="s">
        <v>752</v>
      </c>
      <c r="F249" s="57" t="s">
        <v>76</v>
      </c>
      <c r="G249" s="58">
        <v>1</v>
      </c>
      <c r="H249" s="46"/>
      <c r="I249" s="63">
        <v>5212</v>
      </c>
      <c r="J249" s="59">
        <v>7.59</v>
      </c>
      <c r="K249" s="60"/>
      <c r="L249" s="60"/>
      <c r="M249" s="59">
        <f t="shared" si="63"/>
        <v>39559.08</v>
      </c>
      <c r="N249" s="60"/>
      <c r="O249" s="60"/>
      <c r="P249" s="59">
        <v>8.35</v>
      </c>
      <c r="Q249" s="60"/>
      <c r="R249" s="60"/>
      <c r="S249" s="59">
        <f t="shared" si="64"/>
        <v>43520.2</v>
      </c>
      <c r="T249" s="60"/>
      <c r="U249" s="61"/>
      <c r="V249" s="9">
        <f t="shared" si="65"/>
        <v>6.96</v>
      </c>
      <c r="Y249" s="9">
        <f t="shared" si="66"/>
        <v>36266.83</v>
      </c>
      <c r="AD249" s="4" t="s">
        <v>829</v>
      </c>
      <c r="AE249" s="4" t="s">
        <v>827</v>
      </c>
      <c r="AF249" s="4" t="s">
        <v>807</v>
      </c>
    </row>
    <row r="250" spans="1:35" ht="54" x14ac:dyDescent="0.3">
      <c r="A250" s="38" t="s">
        <v>830</v>
      </c>
      <c r="B250" s="38" t="s">
        <v>732</v>
      </c>
      <c r="C250" s="39" t="s">
        <v>733</v>
      </c>
      <c r="D250" s="40"/>
      <c r="E250" s="40" t="s">
        <v>831</v>
      </c>
      <c r="F250" s="40" t="s">
        <v>57</v>
      </c>
      <c r="G250" s="41">
        <v>1</v>
      </c>
      <c r="H250" s="40"/>
      <c r="I250" s="42">
        <v>0</v>
      </c>
      <c r="J250" s="43">
        <v>286.08</v>
      </c>
      <c r="K250" s="43">
        <v>826</v>
      </c>
      <c r="L250" s="43">
        <f>J250+ROUND(K250, 2)</f>
        <v>1112.08</v>
      </c>
      <c r="M250" s="43">
        <v>0</v>
      </c>
      <c r="N250" s="43">
        <v>0</v>
      </c>
      <c r="O250" s="43">
        <f>M250+N250</f>
        <v>0</v>
      </c>
      <c r="P250" s="43">
        <v>286.08</v>
      </c>
      <c r="Q250" s="43">
        <v>826</v>
      </c>
      <c r="R250" s="43">
        <f>P250+ROUND(Q250, 2)</f>
        <v>1112.08</v>
      </c>
      <c r="S250" s="43">
        <v>0</v>
      </c>
      <c r="T250" s="43">
        <v>0</v>
      </c>
      <c r="U250" s="43">
        <f>S250+T250</f>
        <v>0</v>
      </c>
      <c r="V250" s="9">
        <f>ROUND(P250 / 1.2, 2)</f>
        <v>238.4</v>
      </c>
      <c r="W250" s="9">
        <f>ROUND(Q250 / 1.2, 2)</f>
        <v>688.33</v>
      </c>
      <c r="X250" s="9">
        <f>ROUND(R250 / 1.2, 2)</f>
        <v>926.73</v>
      </c>
      <c r="Y250" s="9">
        <f t="shared" si="66"/>
        <v>0</v>
      </c>
      <c r="Z250" s="9">
        <f>ROUND(T250 / 1.2, 2)</f>
        <v>0</v>
      </c>
      <c r="AA250" s="9">
        <f>Y250+Z250</f>
        <v>0</v>
      </c>
      <c r="AD250" s="4">
        <v>341534376</v>
      </c>
      <c r="AE250" s="4">
        <v>25837390</v>
      </c>
      <c r="AG250" s="4" t="s">
        <v>735</v>
      </c>
      <c r="AH250" s="4" t="s">
        <v>736</v>
      </c>
      <c r="AI250" s="4" t="s">
        <v>241</v>
      </c>
    </row>
    <row r="251" spans="1:35" ht="54" x14ac:dyDescent="0.3">
      <c r="A251" s="44" t="s">
        <v>832</v>
      </c>
      <c r="B251" s="44" t="s">
        <v>732</v>
      </c>
      <c r="C251" s="45" t="s">
        <v>733</v>
      </c>
      <c r="D251" s="46"/>
      <c r="E251" s="46" t="s">
        <v>831</v>
      </c>
      <c r="F251" s="46" t="s">
        <v>57</v>
      </c>
      <c r="G251" s="47">
        <v>1</v>
      </c>
      <c r="H251" s="46"/>
      <c r="I251" s="47">
        <v>36.700000000000003</v>
      </c>
      <c r="J251" s="48">
        <v>286.08</v>
      </c>
      <c r="K251" s="48">
        <v>826</v>
      </c>
      <c r="L251" s="48">
        <v>826</v>
      </c>
      <c r="M251" s="48">
        <v>10499.14</v>
      </c>
      <c r="N251" s="48">
        <v>30314.2</v>
      </c>
      <c r="O251" s="48"/>
      <c r="P251" s="48">
        <v>286.08</v>
      </c>
      <c r="Q251" s="48">
        <v>826</v>
      </c>
      <c r="R251" s="48">
        <v>826</v>
      </c>
      <c r="S251" s="48">
        <v>10499.14</v>
      </c>
      <c r="T251" s="48">
        <v>30314.2</v>
      </c>
      <c r="U251" s="48"/>
      <c r="V251" s="9"/>
      <c r="W251" s="9">
        <f>ROUND(Q251 / 1.2, 2)</f>
        <v>688.33</v>
      </c>
      <c r="X251" s="9">
        <f>ROUND(R251 / 1.2, 2)</f>
        <v>688.33</v>
      </c>
      <c r="Y251" s="9"/>
      <c r="Z251" s="9">
        <f>ROUND(T251 / 1.2, 2)</f>
        <v>25261.83</v>
      </c>
      <c r="AA251" s="9"/>
      <c r="AD251" s="4">
        <v>314469375</v>
      </c>
      <c r="AE251" s="4">
        <v>25837390</v>
      </c>
      <c r="AG251" s="4" t="s">
        <v>735</v>
      </c>
      <c r="AH251" s="4" t="s">
        <v>736</v>
      </c>
      <c r="AI251" s="4"/>
    </row>
    <row r="252" spans="1:35" ht="18" x14ac:dyDescent="0.3">
      <c r="A252" s="38" t="s">
        <v>833</v>
      </c>
      <c r="B252" s="38"/>
      <c r="C252" s="49" t="s">
        <v>759</v>
      </c>
      <c r="D252" s="40"/>
      <c r="E252" s="40"/>
      <c r="F252" s="50" t="s">
        <v>123</v>
      </c>
      <c r="G252" s="51">
        <v>1.1000000000000001</v>
      </c>
      <c r="H252" s="40"/>
      <c r="I252" s="62">
        <v>0</v>
      </c>
      <c r="J252" s="53">
        <v>18.34</v>
      </c>
      <c r="K252" s="54"/>
      <c r="L252" s="54"/>
      <c r="M252" s="53">
        <f t="shared" ref="M252:M259" si="67">ROUND(ROUND(J252, 2)*I252, 2)</f>
        <v>0</v>
      </c>
      <c r="N252" s="54"/>
      <c r="O252" s="54"/>
      <c r="P252" s="53">
        <v>18.34</v>
      </c>
      <c r="Q252" s="54"/>
      <c r="R252" s="54"/>
      <c r="S252" s="53">
        <f t="shared" ref="S252:S259" si="68">ROUND(ROUND(P252, 2)*I252, 2)</f>
        <v>0</v>
      </c>
      <c r="T252" s="54"/>
      <c r="U252" s="55"/>
      <c r="V252" s="9">
        <f t="shared" ref="V252:V259" si="69">ROUND(ROUND(P252, 2)/1.2, 2)</f>
        <v>15.28</v>
      </c>
      <c r="Y252" s="9">
        <f t="shared" ref="Y252:Y260" si="70">ROUND(S252 / 1.2, 2)</f>
        <v>0</v>
      </c>
      <c r="AD252" s="4" t="s">
        <v>834</v>
      </c>
      <c r="AE252" s="4" t="s">
        <v>835</v>
      </c>
      <c r="AF252" s="4" t="s">
        <v>762</v>
      </c>
    </row>
    <row r="253" spans="1:35" ht="18" x14ac:dyDescent="0.3">
      <c r="A253" s="44" t="s">
        <v>836</v>
      </c>
      <c r="B253" s="44"/>
      <c r="C253" s="56" t="s">
        <v>759</v>
      </c>
      <c r="D253" s="46"/>
      <c r="E253" s="46"/>
      <c r="F253" s="57" t="s">
        <v>123</v>
      </c>
      <c r="G253" s="58">
        <v>1.1000000000000001</v>
      </c>
      <c r="H253" s="46"/>
      <c r="I253" s="63">
        <v>40.369999999999997</v>
      </c>
      <c r="J253" s="59">
        <v>18.34</v>
      </c>
      <c r="K253" s="60"/>
      <c r="L253" s="60"/>
      <c r="M253" s="59">
        <f t="shared" si="67"/>
        <v>740.39</v>
      </c>
      <c r="N253" s="60"/>
      <c r="O253" s="60"/>
      <c r="P253" s="59">
        <v>18.34</v>
      </c>
      <c r="Q253" s="60"/>
      <c r="R253" s="60"/>
      <c r="S253" s="59">
        <f t="shared" si="68"/>
        <v>740.39</v>
      </c>
      <c r="T253" s="60"/>
      <c r="U253" s="61"/>
      <c r="V253" s="9">
        <f t="shared" si="69"/>
        <v>15.28</v>
      </c>
      <c r="Y253" s="9">
        <f t="shared" si="70"/>
        <v>616.99</v>
      </c>
      <c r="AD253" s="4" t="s">
        <v>837</v>
      </c>
      <c r="AE253" s="4" t="s">
        <v>835</v>
      </c>
      <c r="AF253" s="4" t="s">
        <v>762</v>
      </c>
    </row>
    <row r="254" spans="1:35" ht="18" x14ac:dyDescent="0.3">
      <c r="A254" s="38" t="s">
        <v>838</v>
      </c>
      <c r="B254" s="38"/>
      <c r="C254" s="49" t="s">
        <v>751</v>
      </c>
      <c r="D254" s="40"/>
      <c r="E254" s="40" t="s">
        <v>752</v>
      </c>
      <c r="F254" s="50" t="s">
        <v>76</v>
      </c>
      <c r="G254" s="51">
        <v>1.8</v>
      </c>
      <c r="H254" s="40"/>
      <c r="I254" s="62">
        <v>0</v>
      </c>
      <c r="J254" s="53">
        <v>5.85</v>
      </c>
      <c r="K254" s="54"/>
      <c r="L254" s="54"/>
      <c r="M254" s="53">
        <f t="shared" si="67"/>
        <v>0</v>
      </c>
      <c r="N254" s="54"/>
      <c r="O254" s="54"/>
      <c r="P254" s="53">
        <v>5.85</v>
      </c>
      <c r="Q254" s="54"/>
      <c r="R254" s="54"/>
      <c r="S254" s="53">
        <f t="shared" si="68"/>
        <v>0</v>
      </c>
      <c r="T254" s="54"/>
      <c r="U254" s="55"/>
      <c r="V254" s="9">
        <f t="shared" si="69"/>
        <v>4.88</v>
      </c>
      <c r="Y254" s="9">
        <f t="shared" si="70"/>
        <v>0</v>
      </c>
      <c r="AD254" s="4" t="s">
        <v>839</v>
      </c>
      <c r="AE254" s="4" t="s">
        <v>840</v>
      </c>
      <c r="AF254" s="4" t="s">
        <v>755</v>
      </c>
    </row>
    <row r="255" spans="1:35" ht="18" x14ac:dyDescent="0.3">
      <c r="A255" s="44" t="s">
        <v>841</v>
      </c>
      <c r="B255" s="44"/>
      <c r="C255" s="56" t="s">
        <v>751</v>
      </c>
      <c r="D255" s="46"/>
      <c r="E255" s="46" t="s">
        <v>752</v>
      </c>
      <c r="F255" s="57" t="s">
        <v>76</v>
      </c>
      <c r="G255" s="58">
        <v>1.8</v>
      </c>
      <c r="H255" s="46"/>
      <c r="I255" s="63">
        <v>1321.2</v>
      </c>
      <c r="J255" s="59">
        <v>5.85</v>
      </c>
      <c r="K255" s="60"/>
      <c r="L255" s="60"/>
      <c r="M255" s="59">
        <f t="shared" si="67"/>
        <v>7729.02</v>
      </c>
      <c r="N255" s="60"/>
      <c r="O255" s="60"/>
      <c r="P255" s="59">
        <v>5.85</v>
      </c>
      <c r="Q255" s="60"/>
      <c r="R255" s="60"/>
      <c r="S255" s="59">
        <f t="shared" si="68"/>
        <v>7729.02</v>
      </c>
      <c r="T255" s="60"/>
      <c r="U255" s="61"/>
      <c r="V255" s="9">
        <f t="shared" si="69"/>
        <v>4.88</v>
      </c>
      <c r="Y255" s="9">
        <f t="shared" si="70"/>
        <v>6440.85</v>
      </c>
      <c r="AD255" s="4" t="s">
        <v>842</v>
      </c>
      <c r="AE255" s="4" t="s">
        <v>840</v>
      </c>
      <c r="AF255" s="4" t="s">
        <v>755</v>
      </c>
    </row>
    <row r="256" spans="1:35" ht="18" x14ac:dyDescent="0.3">
      <c r="A256" s="38" t="s">
        <v>843</v>
      </c>
      <c r="B256" s="38"/>
      <c r="C256" s="49" t="s">
        <v>310</v>
      </c>
      <c r="D256" s="40"/>
      <c r="E256" s="40"/>
      <c r="F256" s="50" t="s">
        <v>76</v>
      </c>
      <c r="G256" s="51">
        <v>0.25</v>
      </c>
      <c r="H256" s="40"/>
      <c r="I256" s="52">
        <v>0</v>
      </c>
      <c r="J256" s="53">
        <v>100</v>
      </c>
      <c r="K256" s="54"/>
      <c r="L256" s="54"/>
      <c r="M256" s="53">
        <f t="shared" si="67"/>
        <v>0</v>
      </c>
      <c r="N256" s="54"/>
      <c r="O256" s="54"/>
      <c r="P256" s="53">
        <v>100</v>
      </c>
      <c r="Q256" s="54"/>
      <c r="R256" s="54"/>
      <c r="S256" s="53">
        <f t="shared" si="68"/>
        <v>0</v>
      </c>
      <c r="T256" s="54"/>
      <c r="U256" s="55"/>
      <c r="V256" s="9">
        <f t="shared" si="69"/>
        <v>83.33</v>
      </c>
      <c r="Y256" s="9">
        <f t="shared" si="70"/>
        <v>0</v>
      </c>
      <c r="AD256" s="4" t="s">
        <v>844</v>
      </c>
      <c r="AE256" s="4" t="s">
        <v>845</v>
      </c>
      <c r="AF256" s="4" t="s">
        <v>313</v>
      </c>
    </row>
    <row r="257" spans="1:35" ht="18" x14ac:dyDescent="0.3">
      <c r="A257" s="44" t="s">
        <v>846</v>
      </c>
      <c r="B257" s="44"/>
      <c r="C257" s="56" t="s">
        <v>310</v>
      </c>
      <c r="D257" s="46"/>
      <c r="E257" s="46"/>
      <c r="F257" s="57" t="s">
        <v>76</v>
      </c>
      <c r="G257" s="58">
        <v>0.25</v>
      </c>
      <c r="H257" s="46"/>
      <c r="I257" s="58">
        <v>9.1750000000000007</v>
      </c>
      <c r="J257" s="59">
        <v>100</v>
      </c>
      <c r="K257" s="60"/>
      <c r="L257" s="60"/>
      <c r="M257" s="59">
        <f t="shared" si="67"/>
        <v>917.5</v>
      </c>
      <c r="N257" s="60"/>
      <c r="O257" s="60"/>
      <c r="P257" s="59">
        <v>100</v>
      </c>
      <c r="Q257" s="60"/>
      <c r="R257" s="60"/>
      <c r="S257" s="59">
        <f t="shared" si="68"/>
        <v>917.5</v>
      </c>
      <c r="T257" s="60"/>
      <c r="U257" s="61"/>
      <c r="V257" s="9">
        <f t="shared" si="69"/>
        <v>83.33</v>
      </c>
      <c r="Y257" s="9">
        <f t="shared" si="70"/>
        <v>764.58</v>
      </c>
      <c r="AD257" s="4" t="s">
        <v>847</v>
      </c>
      <c r="AE257" s="4" t="s">
        <v>845</v>
      </c>
      <c r="AF257" s="4" t="s">
        <v>313</v>
      </c>
    </row>
    <row r="258" spans="1:35" ht="18" x14ac:dyDescent="0.3">
      <c r="A258" s="38" t="s">
        <v>848</v>
      </c>
      <c r="B258" s="38"/>
      <c r="C258" s="49" t="s">
        <v>739</v>
      </c>
      <c r="D258" s="40"/>
      <c r="E258" s="40"/>
      <c r="F258" s="50" t="s">
        <v>57</v>
      </c>
      <c r="G258" s="51">
        <v>1.1000000000000001</v>
      </c>
      <c r="H258" s="40"/>
      <c r="I258" s="52">
        <v>0</v>
      </c>
      <c r="J258" s="53">
        <v>27.55</v>
      </c>
      <c r="K258" s="54"/>
      <c r="L258" s="54"/>
      <c r="M258" s="53">
        <f t="shared" si="67"/>
        <v>0</v>
      </c>
      <c r="N258" s="54"/>
      <c r="O258" s="54"/>
      <c r="P258" s="53">
        <v>27.55</v>
      </c>
      <c r="Q258" s="54"/>
      <c r="R258" s="54"/>
      <c r="S258" s="53">
        <f t="shared" si="68"/>
        <v>0</v>
      </c>
      <c r="T258" s="54"/>
      <c r="U258" s="55"/>
      <c r="V258" s="9">
        <f t="shared" si="69"/>
        <v>22.96</v>
      </c>
      <c r="Y258" s="9">
        <f t="shared" si="70"/>
        <v>0</v>
      </c>
      <c r="AD258" s="4" t="s">
        <v>849</v>
      </c>
      <c r="AE258" s="4" t="s">
        <v>850</v>
      </c>
      <c r="AF258" s="4" t="s">
        <v>742</v>
      </c>
    </row>
    <row r="259" spans="1:35" ht="18" x14ac:dyDescent="0.3">
      <c r="A259" s="44" t="s">
        <v>851</v>
      </c>
      <c r="B259" s="44"/>
      <c r="C259" s="56" t="s">
        <v>739</v>
      </c>
      <c r="D259" s="46"/>
      <c r="E259" s="46"/>
      <c r="F259" s="57" t="s">
        <v>57</v>
      </c>
      <c r="G259" s="58">
        <v>1.1000000000000001</v>
      </c>
      <c r="H259" s="46"/>
      <c r="I259" s="58">
        <v>40.369999999999997</v>
      </c>
      <c r="J259" s="59">
        <v>27.55</v>
      </c>
      <c r="K259" s="60"/>
      <c r="L259" s="60"/>
      <c r="M259" s="59">
        <f t="shared" si="67"/>
        <v>1112.19</v>
      </c>
      <c r="N259" s="60"/>
      <c r="O259" s="60"/>
      <c r="P259" s="59">
        <v>27.55</v>
      </c>
      <c r="Q259" s="60"/>
      <c r="R259" s="60"/>
      <c r="S259" s="59">
        <f t="shared" si="68"/>
        <v>1112.19</v>
      </c>
      <c r="T259" s="60"/>
      <c r="U259" s="61"/>
      <c r="V259" s="9">
        <f t="shared" si="69"/>
        <v>22.96</v>
      </c>
      <c r="Y259" s="9">
        <f t="shared" si="70"/>
        <v>926.83</v>
      </c>
      <c r="AD259" s="4" t="s">
        <v>852</v>
      </c>
      <c r="AE259" s="4" t="s">
        <v>850</v>
      </c>
      <c r="AF259" s="4" t="s">
        <v>742</v>
      </c>
    </row>
    <row r="260" spans="1:35" ht="54" x14ac:dyDescent="0.3">
      <c r="A260" s="38" t="s">
        <v>853</v>
      </c>
      <c r="B260" s="38" t="s">
        <v>732</v>
      </c>
      <c r="C260" s="39" t="s">
        <v>733</v>
      </c>
      <c r="D260" s="40"/>
      <c r="E260" s="40" t="s">
        <v>854</v>
      </c>
      <c r="F260" s="40" t="s">
        <v>57</v>
      </c>
      <c r="G260" s="41">
        <v>1</v>
      </c>
      <c r="H260" s="40"/>
      <c r="I260" s="42">
        <v>0</v>
      </c>
      <c r="J260" s="43">
        <v>273.08</v>
      </c>
      <c r="K260" s="43">
        <v>826</v>
      </c>
      <c r="L260" s="43">
        <f>J260+ROUND(K260, 2)</f>
        <v>1099.08</v>
      </c>
      <c r="M260" s="43">
        <v>0</v>
      </c>
      <c r="N260" s="43">
        <v>0</v>
      </c>
      <c r="O260" s="43">
        <f>M260+N260</f>
        <v>0</v>
      </c>
      <c r="P260" s="43">
        <v>273.08</v>
      </c>
      <c r="Q260" s="43">
        <v>826</v>
      </c>
      <c r="R260" s="43">
        <f>P260+ROUND(Q260, 2)</f>
        <v>1099.08</v>
      </c>
      <c r="S260" s="43">
        <v>0</v>
      </c>
      <c r="T260" s="43">
        <v>0</v>
      </c>
      <c r="U260" s="43">
        <f>S260+T260</f>
        <v>0</v>
      </c>
      <c r="V260" s="9">
        <f>ROUND(P260 / 1.2, 2)</f>
        <v>227.57</v>
      </c>
      <c r="W260" s="9">
        <f>ROUND(Q260 / 1.2, 2)</f>
        <v>688.33</v>
      </c>
      <c r="X260" s="9">
        <f>ROUND(R260 / 1.2, 2)</f>
        <v>915.9</v>
      </c>
      <c r="Y260" s="9">
        <f t="shared" si="70"/>
        <v>0</v>
      </c>
      <c r="Z260" s="9">
        <f>ROUND(T260 / 1.2, 2)</f>
        <v>0</v>
      </c>
      <c r="AA260" s="9">
        <f>Y260+Z260</f>
        <v>0</v>
      </c>
      <c r="AD260" s="4">
        <v>341534377</v>
      </c>
      <c r="AE260" s="4">
        <v>25837375</v>
      </c>
      <c r="AG260" s="4" t="s">
        <v>735</v>
      </c>
      <c r="AH260" s="4" t="s">
        <v>736</v>
      </c>
      <c r="AI260" s="4" t="s">
        <v>241</v>
      </c>
    </row>
    <row r="261" spans="1:35" ht="54" x14ac:dyDescent="0.3">
      <c r="A261" s="44" t="s">
        <v>855</v>
      </c>
      <c r="B261" s="44" t="s">
        <v>732</v>
      </c>
      <c r="C261" s="45" t="s">
        <v>733</v>
      </c>
      <c r="D261" s="46"/>
      <c r="E261" s="46" t="s">
        <v>854</v>
      </c>
      <c r="F261" s="46" t="s">
        <v>57</v>
      </c>
      <c r="G261" s="47">
        <v>1</v>
      </c>
      <c r="H261" s="46"/>
      <c r="I261" s="47">
        <v>144.4</v>
      </c>
      <c r="J261" s="48">
        <v>273.08</v>
      </c>
      <c r="K261" s="48">
        <v>826</v>
      </c>
      <c r="L261" s="48">
        <v>826</v>
      </c>
      <c r="M261" s="48">
        <v>39432.75</v>
      </c>
      <c r="N261" s="48">
        <v>119274.4</v>
      </c>
      <c r="O261" s="48"/>
      <c r="P261" s="48">
        <v>273.08</v>
      </c>
      <c r="Q261" s="48">
        <v>826</v>
      </c>
      <c r="R261" s="48">
        <v>826</v>
      </c>
      <c r="S261" s="48">
        <v>39432.75</v>
      </c>
      <c r="T261" s="48">
        <v>119274.4</v>
      </c>
      <c r="U261" s="48"/>
      <c r="V261" s="9"/>
      <c r="W261" s="9">
        <f>ROUND(Q261 / 1.2, 2)</f>
        <v>688.33</v>
      </c>
      <c r="X261" s="9">
        <f>ROUND(R261 / 1.2, 2)</f>
        <v>688.33</v>
      </c>
      <c r="Y261" s="9"/>
      <c r="Z261" s="9">
        <f>ROUND(T261 / 1.2, 2)</f>
        <v>99395.33</v>
      </c>
      <c r="AA261" s="9"/>
      <c r="AD261" s="4">
        <v>314469376</v>
      </c>
      <c r="AE261" s="4">
        <v>25837375</v>
      </c>
      <c r="AG261" s="4" t="s">
        <v>735</v>
      </c>
      <c r="AH261" s="4" t="s">
        <v>736</v>
      </c>
      <c r="AI261" s="4"/>
    </row>
    <row r="262" spans="1:35" ht="18" x14ac:dyDescent="0.3">
      <c r="A262" s="38" t="s">
        <v>856</v>
      </c>
      <c r="B262" s="38"/>
      <c r="C262" s="49" t="s">
        <v>759</v>
      </c>
      <c r="D262" s="40"/>
      <c r="E262" s="40"/>
      <c r="F262" s="50" t="s">
        <v>123</v>
      </c>
      <c r="G262" s="51">
        <v>1.1000000000000001</v>
      </c>
      <c r="H262" s="40"/>
      <c r="I262" s="62">
        <v>0</v>
      </c>
      <c r="J262" s="53">
        <v>18.34</v>
      </c>
      <c r="K262" s="54"/>
      <c r="L262" s="54"/>
      <c r="M262" s="53">
        <f t="shared" ref="M262:M269" si="71">ROUND(ROUND(J262, 2)*I262, 2)</f>
        <v>0</v>
      </c>
      <c r="N262" s="54"/>
      <c r="O262" s="54"/>
      <c r="P262" s="53">
        <v>18.34</v>
      </c>
      <c r="Q262" s="54"/>
      <c r="R262" s="54"/>
      <c r="S262" s="53">
        <f t="shared" ref="S262:S269" si="72">ROUND(ROUND(P262, 2)*I262, 2)</f>
        <v>0</v>
      </c>
      <c r="T262" s="54"/>
      <c r="U262" s="55"/>
      <c r="V262" s="9">
        <f t="shared" ref="V262:V269" si="73">ROUND(ROUND(P262, 2)/1.2, 2)</f>
        <v>15.28</v>
      </c>
      <c r="Y262" s="9">
        <f t="shared" ref="Y262:Y270" si="74">ROUND(S262 / 1.2, 2)</f>
        <v>0</v>
      </c>
      <c r="AD262" s="4" t="s">
        <v>857</v>
      </c>
      <c r="AE262" s="4" t="s">
        <v>858</v>
      </c>
      <c r="AF262" s="4" t="s">
        <v>762</v>
      </c>
    </row>
    <row r="263" spans="1:35" ht="18" x14ac:dyDescent="0.3">
      <c r="A263" s="44" t="s">
        <v>859</v>
      </c>
      <c r="B263" s="44"/>
      <c r="C263" s="56" t="s">
        <v>759</v>
      </c>
      <c r="D263" s="46"/>
      <c r="E263" s="46"/>
      <c r="F263" s="57" t="s">
        <v>123</v>
      </c>
      <c r="G263" s="58">
        <v>1.1000000000000001</v>
      </c>
      <c r="H263" s="46"/>
      <c r="I263" s="63">
        <v>158.84</v>
      </c>
      <c r="J263" s="59">
        <v>18.34</v>
      </c>
      <c r="K263" s="60"/>
      <c r="L263" s="60"/>
      <c r="M263" s="59">
        <f t="shared" si="71"/>
        <v>2913.13</v>
      </c>
      <c r="N263" s="60"/>
      <c r="O263" s="60"/>
      <c r="P263" s="59">
        <v>18.34</v>
      </c>
      <c r="Q263" s="60"/>
      <c r="R263" s="60"/>
      <c r="S263" s="59">
        <f t="shared" si="72"/>
        <v>2913.13</v>
      </c>
      <c r="T263" s="60"/>
      <c r="U263" s="61"/>
      <c r="V263" s="9">
        <f t="shared" si="73"/>
        <v>15.28</v>
      </c>
      <c r="Y263" s="9">
        <f t="shared" si="74"/>
        <v>2427.61</v>
      </c>
      <c r="AD263" s="4" t="s">
        <v>860</v>
      </c>
      <c r="AE263" s="4" t="s">
        <v>858</v>
      </c>
      <c r="AF263" s="4" t="s">
        <v>762</v>
      </c>
    </row>
    <row r="264" spans="1:35" ht="18" x14ac:dyDescent="0.3">
      <c r="A264" s="38" t="s">
        <v>861</v>
      </c>
      <c r="B264" s="38"/>
      <c r="C264" s="49" t="s">
        <v>751</v>
      </c>
      <c r="D264" s="40"/>
      <c r="E264" s="40" t="s">
        <v>752</v>
      </c>
      <c r="F264" s="50" t="s">
        <v>76</v>
      </c>
      <c r="G264" s="51">
        <v>1.8</v>
      </c>
      <c r="H264" s="40"/>
      <c r="I264" s="62">
        <v>0</v>
      </c>
      <c r="J264" s="53">
        <v>5.85</v>
      </c>
      <c r="K264" s="54"/>
      <c r="L264" s="54"/>
      <c r="M264" s="53">
        <f t="shared" si="71"/>
        <v>0</v>
      </c>
      <c r="N264" s="54"/>
      <c r="O264" s="54"/>
      <c r="P264" s="53">
        <v>5.85</v>
      </c>
      <c r="Q264" s="54"/>
      <c r="R264" s="54"/>
      <c r="S264" s="53">
        <f t="shared" si="72"/>
        <v>0</v>
      </c>
      <c r="T264" s="54"/>
      <c r="U264" s="55"/>
      <c r="V264" s="9">
        <f t="shared" si="73"/>
        <v>4.88</v>
      </c>
      <c r="Y264" s="9">
        <f t="shared" si="74"/>
        <v>0</v>
      </c>
      <c r="AD264" s="4" t="s">
        <v>862</v>
      </c>
      <c r="AE264" s="4" t="s">
        <v>863</v>
      </c>
      <c r="AF264" s="4" t="s">
        <v>755</v>
      </c>
    </row>
    <row r="265" spans="1:35" ht="18" x14ac:dyDescent="0.3">
      <c r="A265" s="44" t="s">
        <v>864</v>
      </c>
      <c r="B265" s="44"/>
      <c r="C265" s="56" t="s">
        <v>751</v>
      </c>
      <c r="D265" s="46"/>
      <c r="E265" s="46" t="s">
        <v>752</v>
      </c>
      <c r="F265" s="57" t="s">
        <v>76</v>
      </c>
      <c r="G265" s="58">
        <v>1.8</v>
      </c>
      <c r="H265" s="46"/>
      <c r="I265" s="63">
        <v>5198.3999999999996</v>
      </c>
      <c r="J265" s="59">
        <v>5.85</v>
      </c>
      <c r="K265" s="60"/>
      <c r="L265" s="60"/>
      <c r="M265" s="59">
        <f t="shared" si="71"/>
        <v>30410.639999999999</v>
      </c>
      <c r="N265" s="60"/>
      <c r="O265" s="60"/>
      <c r="P265" s="59">
        <v>5.85</v>
      </c>
      <c r="Q265" s="60"/>
      <c r="R265" s="60"/>
      <c r="S265" s="59">
        <f t="shared" si="72"/>
        <v>30410.639999999999</v>
      </c>
      <c r="T265" s="60"/>
      <c r="U265" s="61"/>
      <c r="V265" s="9">
        <f t="shared" si="73"/>
        <v>4.88</v>
      </c>
      <c r="Y265" s="9">
        <f t="shared" si="74"/>
        <v>25342.2</v>
      </c>
      <c r="AD265" s="4" t="s">
        <v>865</v>
      </c>
      <c r="AE265" s="4" t="s">
        <v>863</v>
      </c>
      <c r="AF265" s="4" t="s">
        <v>755</v>
      </c>
    </row>
    <row r="266" spans="1:35" ht="36" x14ac:dyDescent="0.3">
      <c r="A266" s="38" t="s">
        <v>866</v>
      </c>
      <c r="B266" s="38"/>
      <c r="C266" s="49" t="s">
        <v>819</v>
      </c>
      <c r="D266" s="40"/>
      <c r="E266" s="40"/>
      <c r="F266" s="50" t="s">
        <v>76</v>
      </c>
      <c r="G266" s="51">
        <v>0.15</v>
      </c>
      <c r="H266" s="40"/>
      <c r="I266" s="62">
        <v>0</v>
      </c>
      <c r="J266" s="53">
        <v>80</v>
      </c>
      <c r="K266" s="54"/>
      <c r="L266" s="54"/>
      <c r="M266" s="53">
        <f t="shared" si="71"/>
        <v>0</v>
      </c>
      <c r="N266" s="54"/>
      <c r="O266" s="54"/>
      <c r="P266" s="53">
        <v>80</v>
      </c>
      <c r="Q266" s="54"/>
      <c r="R266" s="54"/>
      <c r="S266" s="53">
        <f t="shared" si="72"/>
        <v>0</v>
      </c>
      <c r="T266" s="54"/>
      <c r="U266" s="55"/>
      <c r="V266" s="9">
        <f t="shared" si="73"/>
        <v>66.67</v>
      </c>
      <c r="Y266" s="9">
        <f t="shared" si="74"/>
        <v>0</v>
      </c>
      <c r="AD266" s="4" t="s">
        <v>867</v>
      </c>
      <c r="AE266" s="4" t="s">
        <v>868</v>
      </c>
      <c r="AF266" s="4" t="s">
        <v>822</v>
      </c>
    </row>
    <row r="267" spans="1:35" ht="36" x14ac:dyDescent="0.3">
      <c r="A267" s="44" t="s">
        <v>869</v>
      </c>
      <c r="B267" s="44"/>
      <c r="C267" s="56" t="s">
        <v>819</v>
      </c>
      <c r="D267" s="46"/>
      <c r="E267" s="46"/>
      <c r="F267" s="57" t="s">
        <v>76</v>
      </c>
      <c r="G267" s="58">
        <v>0.15</v>
      </c>
      <c r="H267" s="46"/>
      <c r="I267" s="63">
        <v>21.66</v>
      </c>
      <c r="J267" s="59">
        <v>80</v>
      </c>
      <c r="K267" s="60"/>
      <c r="L267" s="60"/>
      <c r="M267" s="59">
        <f t="shared" si="71"/>
        <v>1732.8</v>
      </c>
      <c r="N267" s="60"/>
      <c r="O267" s="60"/>
      <c r="P267" s="59">
        <v>80</v>
      </c>
      <c r="Q267" s="60"/>
      <c r="R267" s="60"/>
      <c r="S267" s="59">
        <f t="shared" si="72"/>
        <v>1732.8</v>
      </c>
      <c r="T267" s="60"/>
      <c r="U267" s="61"/>
      <c r="V267" s="9">
        <f t="shared" si="73"/>
        <v>66.67</v>
      </c>
      <c r="Y267" s="9">
        <f t="shared" si="74"/>
        <v>1444</v>
      </c>
      <c r="AD267" s="4" t="s">
        <v>870</v>
      </c>
      <c r="AE267" s="4" t="s">
        <v>868</v>
      </c>
      <c r="AF267" s="4" t="s">
        <v>822</v>
      </c>
    </row>
    <row r="268" spans="1:35" ht="18" x14ac:dyDescent="0.3">
      <c r="A268" s="38" t="s">
        <v>871</v>
      </c>
      <c r="B268" s="38"/>
      <c r="C268" s="49" t="s">
        <v>739</v>
      </c>
      <c r="D268" s="40"/>
      <c r="E268" s="40"/>
      <c r="F268" s="50" t="s">
        <v>57</v>
      </c>
      <c r="G268" s="51">
        <v>1.1000000000000001</v>
      </c>
      <c r="H268" s="40"/>
      <c r="I268" s="52">
        <v>0</v>
      </c>
      <c r="J268" s="53">
        <v>27.55</v>
      </c>
      <c r="K268" s="54"/>
      <c r="L268" s="54"/>
      <c r="M268" s="53">
        <f t="shared" si="71"/>
        <v>0</v>
      </c>
      <c r="N268" s="54"/>
      <c r="O268" s="54"/>
      <c r="P268" s="53">
        <v>27.55</v>
      </c>
      <c r="Q268" s="54"/>
      <c r="R268" s="54"/>
      <c r="S268" s="53">
        <f t="shared" si="72"/>
        <v>0</v>
      </c>
      <c r="T268" s="54"/>
      <c r="U268" s="55"/>
      <c r="V268" s="9">
        <f t="shared" si="73"/>
        <v>22.96</v>
      </c>
      <c r="Y268" s="9">
        <f t="shared" si="74"/>
        <v>0</v>
      </c>
      <c r="AD268" s="4" t="s">
        <v>872</v>
      </c>
      <c r="AE268" s="4" t="s">
        <v>873</v>
      </c>
      <c r="AF268" s="4" t="s">
        <v>742</v>
      </c>
    </row>
    <row r="269" spans="1:35" ht="18" x14ac:dyDescent="0.3">
      <c r="A269" s="44" t="s">
        <v>874</v>
      </c>
      <c r="B269" s="44"/>
      <c r="C269" s="56" t="s">
        <v>739</v>
      </c>
      <c r="D269" s="46"/>
      <c r="E269" s="46"/>
      <c r="F269" s="57" t="s">
        <v>57</v>
      </c>
      <c r="G269" s="58">
        <v>1.1000000000000001</v>
      </c>
      <c r="H269" s="46"/>
      <c r="I269" s="58">
        <v>158.84</v>
      </c>
      <c r="J269" s="59">
        <v>27.55</v>
      </c>
      <c r="K269" s="60"/>
      <c r="L269" s="60"/>
      <c r="M269" s="59">
        <f t="shared" si="71"/>
        <v>4376.04</v>
      </c>
      <c r="N269" s="60"/>
      <c r="O269" s="60"/>
      <c r="P269" s="59">
        <v>27.55</v>
      </c>
      <c r="Q269" s="60"/>
      <c r="R269" s="60"/>
      <c r="S269" s="59">
        <f t="shared" si="72"/>
        <v>4376.04</v>
      </c>
      <c r="T269" s="60"/>
      <c r="U269" s="61"/>
      <c r="V269" s="9">
        <f t="shared" si="73"/>
        <v>22.96</v>
      </c>
      <c r="Y269" s="9">
        <f t="shared" si="74"/>
        <v>3646.7</v>
      </c>
      <c r="AD269" s="4" t="s">
        <v>875</v>
      </c>
      <c r="AE269" s="4" t="s">
        <v>873</v>
      </c>
      <c r="AF269" s="4" t="s">
        <v>742</v>
      </c>
    </row>
    <row r="270" spans="1:35" ht="54" x14ac:dyDescent="0.3">
      <c r="A270" s="38" t="s">
        <v>876</v>
      </c>
      <c r="B270" s="38" t="s">
        <v>732</v>
      </c>
      <c r="C270" s="39" t="s">
        <v>733</v>
      </c>
      <c r="D270" s="40"/>
      <c r="E270" s="40" t="s">
        <v>877</v>
      </c>
      <c r="F270" s="40" t="s">
        <v>57</v>
      </c>
      <c r="G270" s="41">
        <v>1</v>
      </c>
      <c r="H270" s="40"/>
      <c r="I270" s="42">
        <v>0</v>
      </c>
      <c r="J270" s="43">
        <v>252.9</v>
      </c>
      <c r="K270" s="43">
        <v>826</v>
      </c>
      <c r="L270" s="43">
        <f>J270+ROUND(K270, 2)</f>
        <v>1078.9000000000001</v>
      </c>
      <c r="M270" s="43">
        <v>0</v>
      </c>
      <c r="N270" s="43">
        <v>0</v>
      </c>
      <c r="O270" s="43">
        <f>M270+N270</f>
        <v>0</v>
      </c>
      <c r="P270" s="43">
        <v>252.9</v>
      </c>
      <c r="Q270" s="43">
        <v>826</v>
      </c>
      <c r="R270" s="43">
        <f>P270+ROUND(Q270, 2)</f>
        <v>1078.9000000000001</v>
      </c>
      <c r="S270" s="43">
        <v>0</v>
      </c>
      <c r="T270" s="43">
        <v>0</v>
      </c>
      <c r="U270" s="43">
        <f>S270+T270</f>
        <v>0</v>
      </c>
      <c r="V270" s="9">
        <f>ROUND(P270 / 1.2, 2)</f>
        <v>210.75</v>
      </c>
      <c r="W270" s="9">
        <f>ROUND(Q270 / 1.2, 2)</f>
        <v>688.33</v>
      </c>
      <c r="X270" s="9">
        <f>ROUND(R270 / 1.2, 2)</f>
        <v>899.08</v>
      </c>
      <c r="Y270" s="9">
        <f t="shared" si="74"/>
        <v>0</v>
      </c>
      <c r="Z270" s="9">
        <f>ROUND(T270 / 1.2, 2)</f>
        <v>0</v>
      </c>
      <c r="AA270" s="9">
        <f>Y270+Z270</f>
        <v>0</v>
      </c>
      <c r="AD270" s="4">
        <v>341534378</v>
      </c>
      <c r="AE270" s="4">
        <v>25837400</v>
      </c>
      <c r="AG270" s="4" t="s">
        <v>735</v>
      </c>
      <c r="AH270" s="4" t="s">
        <v>736</v>
      </c>
      <c r="AI270" s="4" t="s">
        <v>241</v>
      </c>
    </row>
    <row r="271" spans="1:35" ht="54" x14ac:dyDescent="0.3">
      <c r="A271" s="44" t="s">
        <v>878</v>
      </c>
      <c r="B271" s="44" t="s">
        <v>732</v>
      </c>
      <c r="C271" s="45" t="s">
        <v>733</v>
      </c>
      <c r="D271" s="46"/>
      <c r="E271" s="46" t="s">
        <v>877</v>
      </c>
      <c r="F271" s="46" t="s">
        <v>57</v>
      </c>
      <c r="G271" s="47">
        <v>1</v>
      </c>
      <c r="H271" s="46"/>
      <c r="I271" s="47">
        <v>38.799999999999997</v>
      </c>
      <c r="J271" s="48">
        <v>252.9</v>
      </c>
      <c r="K271" s="48">
        <v>826</v>
      </c>
      <c r="L271" s="48">
        <v>826</v>
      </c>
      <c r="M271" s="48">
        <v>9812.52</v>
      </c>
      <c r="N271" s="48">
        <v>32048.799999999999</v>
      </c>
      <c r="O271" s="48"/>
      <c r="P271" s="48">
        <v>252.9</v>
      </c>
      <c r="Q271" s="48">
        <v>826</v>
      </c>
      <c r="R271" s="48">
        <v>826</v>
      </c>
      <c r="S271" s="48">
        <v>9812.52</v>
      </c>
      <c r="T271" s="48">
        <v>32048.799999999999</v>
      </c>
      <c r="U271" s="48"/>
      <c r="V271" s="9"/>
      <c r="W271" s="9">
        <f>ROUND(Q271 / 1.2, 2)</f>
        <v>688.33</v>
      </c>
      <c r="X271" s="9">
        <f>ROUND(R271 / 1.2, 2)</f>
        <v>688.33</v>
      </c>
      <c r="Y271" s="9"/>
      <c r="Z271" s="9">
        <f>ROUND(T271 / 1.2, 2)</f>
        <v>26707.33</v>
      </c>
      <c r="AA271" s="9"/>
      <c r="AD271" s="4">
        <v>314469377</v>
      </c>
      <c r="AE271" s="4">
        <v>25837400</v>
      </c>
      <c r="AG271" s="4" t="s">
        <v>735</v>
      </c>
      <c r="AH271" s="4" t="s">
        <v>736</v>
      </c>
      <c r="AI271" s="4"/>
    </row>
    <row r="272" spans="1:35" ht="18" x14ac:dyDescent="0.3">
      <c r="A272" s="38" t="s">
        <v>879</v>
      </c>
      <c r="B272" s="38"/>
      <c r="C272" s="49" t="s">
        <v>751</v>
      </c>
      <c r="D272" s="40"/>
      <c r="E272" s="40" t="s">
        <v>880</v>
      </c>
      <c r="F272" s="50" t="s">
        <v>76</v>
      </c>
      <c r="G272" s="51">
        <v>1.8</v>
      </c>
      <c r="H272" s="40"/>
      <c r="I272" s="62">
        <v>0</v>
      </c>
      <c r="J272" s="53">
        <v>5.85</v>
      </c>
      <c r="K272" s="54"/>
      <c r="L272" s="54"/>
      <c r="M272" s="53">
        <f t="shared" ref="M272:M277" si="75">ROUND(ROUND(J272, 2)*I272, 2)</f>
        <v>0</v>
      </c>
      <c r="N272" s="54"/>
      <c r="O272" s="54"/>
      <c r="P272" s="53">
        <v>5.85</v>
      </c>
      <c r="Q272" s="54"/>
      <c r="R272" s="54"/>
      <c r="S272" s="53">
        <f t="shared" ref="S272:S277" si="76">ROUND(ROUND(P272, 2)*I272, 2)</f>
        <v>0</v>
      </c>
      <c r="T272" s="54"/>
      <c r="U272" s="55"/>
      <c r="V272" s="9">
        <f t="shared" ref="V272:V277" si="77">ROUND(ROUND(P272, 2)/1.2, 2)</f>
        <v>4.88</v>
      </c>
      <c r="Y272" s="9">
        <f t="shared" ref="Y272:Y290" si="78">ROUND(S272 / 1.2, 2)</f>
        <v>0</v>
      </c>
      <c r="AD272" s="4" t="s">
        <v>881</v>
      </c>
      <c r="AE272" s="4" t="s">
        <v>882</v>
      </c>
      <c r="AF272" s="4" t="s">
        <v>755</v>
      </c>
    </row>
    <row r="273" spans="1:35" ht="18" x14ac:dyDescent="0.3">
      <c r="A273" s="44" t="s">
        <v>883</v>
      </c>
      <c r="B273" s="44"/>
      <c r="C273" s="56" t="s">
        <v>751</v>
      </c>
      <c r="D273" s="46"/>
      <c r="E273" s="46" t="s">
        <v>880</v>
      </c>
      <c r="F273" s="57" t="s">
        <v>76</v>
      </c>
      <c r="G273" s="58">
        <v>1.8</v>
      </c>
      <c r="H273" s="46"/>
      <c r="I273" s="63">
        <v>1396.8</v>
      </c>
      <c r="J273" s="59">
        <v>5.85</v>
      </c>
      <c r="K273" s="60"/>
      <c r="L273" s="60"/>
      <c r="M273" s="59">
        <f t="shared" si="75"/>
        <v>8171.28</v>
      </c>
      <c r="N273" s="60"/>
      <c r="O273" s="60"/>
      <c r="P273" s="59">
        <v>5.85</v>
      </c>
      <c r="Q273" s="60"/>
      <c r="R273" s="60"/>
      <c r="S273" s="59">
        <f t="shared" si="76"/>
        <v>8171.28</v>
      </c>
      <c r="T273" s="60"/>
      <c r="U273" s="61"/>
      <c r="V273" s="9">
        <f t="shared" si="77"/>
        <v>4.88</v>
      </c>
      <c r="Y273" s="9">
        <f t="shared" si="78"/>
        <v>6809.4</v>
      </c>
      <c r="AD273" s="4" t="s">
        <v>884</v>
      </c>
      <c r="AE273" s="4" t="s">
        <v>882</v>
      </c>
      <c r="AF273" s="4" t="s">
        <v>755</v>
      </c>
    </row>
    <row r="274" spans="1:35" ht="36" x14ac:dyDescent="0.3">
      <c r="A274" s="38" t="s">
        <v>885</v>
      </c>
      <c r="B274" s="38"/>
      <c r="C274" s="49" t="s">
        <v>819</v>
      </c>
      <c r="D274" s="40"/>
      <c r="E274" s="40"/>
      <c r="F274" s="50" t="s">
        <v>76</v>
      </c>
      <c r="G274" s="51">
        <v>0.15</v>
      </c>
      <c r="H274" s="40"/>
      <c r="I274" s="62">
        <v>0</v>
      </c>
      <c r="J274" s="53">
        <v>80</v>
      </c>
      <c r="K274" s="54"/>
      <c r="L274" s="54"/>
      <c r="M274" s="53">
        <f t="shared" si="75"/>
        <v>0</v>
      </c>
      <c r="N274" s="54"/>
      <c r="O274" s="54"/>
      <c r="P274" s="53">
        <v>80</v>
      </c>
      <c r="Q274" s="54"/>
      <c r="R274" s="54"/>
      <c r="S274" s="53">
        <f t="shared" si="76"/>
        <v>0</v>
      </c>
      <c r="T274" s="54"/>
      <c r="U274" s="55"/>
      <c r="V274" s="9">
        <f t="shared" si="77"/>
        <v>66.67</v>
      </c>
      <c r="Y274" s="9">
        <f t="shared" si="78"/>
        <v>0</v>
      </c>
      <c r="AD274" s="4" t="s">
        <v>886</v>
      </c>
      <c r="AE274" s="4" t="s">
        <v>887</v>
      </c>
      <c r="AF274" s="4" t="s">
        <v>822</v>
      </c>
    </row>
    <row r="275" spans="1:35" ht="36" x14ac:dyDescent="0.3">
      <c r="A275" s="44" t="s">
        <v>888</v>
      </c>
      <c r="B275" s="44"/>
      <c r="C275" s="56" t="s">
        <v>819</v>
      </c>
      <c r="D275" s="46"/>
      <c r="E275" s="46"/>
      <c r="F275" s="57" t="s">
        <v>76</v>
      </c>
      <c r="G275" s="58">
        <v>0.15</v>
      </c>
      <c r="H275" s="46"/>
      <c r="I275" s="63">
        <v>5.82</v>
      </c>
      <c r="J275" s="59">
        <v>80</v>
      </c>
      <c r="K275" s="60"/>
      <c r="L275" s="60"/>
      <c r="M275" s="59">
        <f t="shared" si="75"/>
        <v>465.6</v>
      </c>
      <c r="N275" s="60"/>
      <c r="O275" s="60"/>
      <c r="P275" s="59">
        <v>80</v>
      </c>
      <c r="Q275" s="60"/>
      <c r="R275" s="60"/>
      <c r="S275" s="59">
        <f t="shared" si="76"/>
        <v>465.6</v>
      </c>
      <c r="T275" s="60"/>
      <c r="U275" s="61"/>
      <c r="V275" s="9">
        <f t="shared" si="77"/>
        <v>66.67</v>
      </c>
      <c r="Y275" s="9">
        <f t="shared" si="78"/>
        <v>388</v>
      </c>
      <c r="AD275" s="4" t="s">
        <v>889</v>
      </c>
      <c r="AE275" s="4" t="s">
        <v>887</v>
      </c>
      <c r="AF275" s="4" t="s">
        <v>822</v>
      </c>
    </row>
    <row r="276" spans="1:35" ht="18" x14ac:dyDescent="0.3">
      <c r="A276" s="38" t="s">
        <v>890</v>
      </c>
      <c r="B276" s="38"/>
      <c r="C276" s="49" t="s">
        <v>739</v>
      </c>
      <c r="D276" s="40"/>
      <c r="E276" s="40"/>
      <c r="F276" s="50" t="s">
        <v>57</v>
      </c>
      <c r="G276" s="51">
        <v>1.1000000000000001</v>
      </c>
      <c r="H276" s="40"/>
      <c r="I276" s="52">
        <v>0</v>
      </c>
      <c r="J276" s="53">
        <v>27.55</v>
      </c>
      <c r="K276" s="54"/>
      <c r="L276" s="54"/>
      <c r="M276" s="53">
        <f t="shared" si="75"/>
        <v>0</v>
      </c>
      <c r="N276" s="54"/>
      <c r="O276" s="54"/>
      <c r="P276" s="53">
        <v>27.55</v>
      </c>
      <c r="Q276" s="54"/>
      <c r="R276" s="54"/>
      <c r="S276" s="53">
        <f t="shared" si="76"/>
        <v>0</v>
      </c>
      <c r="T276" s="54"/>
      <c r="U276" s="55"/>
      <c r="V276" s="9">
        <f t="shared" si="77"/>
        <v>22.96</v>
      </c>
      <c r="Y276" s="9">
        <f t="shared" si="78"/>
        <v>0</v>
      </c>
      <c r="AD276" s="4" t="s">
        <v>891</v>
      </c>
      <c r="AE276" s="4" t="s">
        <v>892</v>
      </c>
      <c r="AF276" s="4" t="s">
        <v>742</v>
      </c>
    </row>
    <row r="277" spans="1:35" ht="18" x14ac:dyDescent="0.3">
      <c r="A277" s="44" t="s">
        <v>893</v>
      </c>
      <c r="B277" s="44"/>
      <c r="C277" s="56" t="s">
        <v>739</v>
      </c>
      <c r="D277" s="46"/>
      <c r="E277" s="46"/>
      <c r="F277" s="57" t="s">
        <v>57</v>
      </c>
      <c r="G277" s="58">
        <v>1.1000000000000001</v>
      </c>
      <c r="H277" s="46"/>
      <c r="I277" s="58">
        <v>42.68</v>
      </c>
      <c r="J277" s="59">
        <v>27.55</v>
      </c>
      <c r="K277" s="60"/>
      <c r="L277" s="60"/>
      <c r="M277" s="59">
        <f t="shared" si="75"/>
        <v>1175.83</v>
      </c>
      <c r="N277" s="60"/>
      <c r="O277" s="60"/>
      <c r="P277" s="59">
        <v>27.55</v>
      </c>
      <c r="Q277" s="60"/>
      <c r="R277" s="60"/>
      <c r="S277" s="59">
        <f t="shared" si="76"/>
        <v>1175.83</v>
      </c>
      <c r="T277" s="60"/>
      <c r="U277" s="61"/>
      <c r="V277" s="9">
        <f t="shared" si="77"/>
        <v>22.96</v>
      </c>
      <c r="Y277" s="9">
        <f t="shared" si="78"/>
        <v>979.86</v>
      </c>
      <c r="AD277" s="4" t="s">
        <v>894</v>
      </c>
      <c r="AE277" s="4" t="s">
        <v>892</v>
      </c>
      <c r="AF277" s="4" t="s">
        <v>742</v>
      </c>
    </row>
    <row r="278" spans="1:35" ht="54" x14ac:dyDescent="0.3">
      <c r="A278" s="10" t="s">
        <v>895</v>
      </c>
      <c r="B278" s="10" t="s">
        <v>896</v>
      </c>
      <c r="C278" s="14" t="s">
        <v>897</v>
      </c>
      <c r="D278" s="15"/>
      <c r="E278" s="15" t="s">
        <v>898</v>
      </c>
      <c r="F278" s="15" t="s">
        <v>57</v>
      </c>
      <c r="G278" s="16">
        <v>1</v>
      </c>
      <c r="H278" s="15"/>
      <c r="I278" s="16">
        <v>754.1</v>
      </c>
      <c r="J278" s="17">
        <v>70.430000000000007</v>
      </c>
      <c r="K278" s="18">
        <v>329</v>
      </c>
      <c r="L278" s="17">
        <f>J278+ROUND(K278, 2)</f>
        <v>399.43</v>
      </c>
      <c r="M278" s="17">
        <v>53111.26</v>
      </c>
      <c r="N278" s="17">
        <v>248098.9</v>
      </c>
      <c r="O278" s="17">
        <f>M278+N278</f>
        <v>301210.15999999997</v>
      </c>
      <c r="P278" s="17">
        <v>70.430000000000007</v>
      </c>
      <c r="Q278" s="19">
        <v>329</v>
      </c>
      <c r="R278" s="17">
        <f>P278+ROUND(Q278, 2)</f>
        <v>399.43</v>
      </c>
      <c r="S278" s="17">
        <v>53111.26</v>
      </c>
      <c r="T278" s="17">
        <v>248098.9</v>
      </c>
      <c r="U278" s="17">
        <f>S278+T278</f>
        <v>301210.15999999997</v>
      </c>
      <c r="V278" s="9">
        <f>ROUND(P278 / 1.2, 2)</f>
        <v>58.69</v>
      </c>
      <c r="W278" s="9">
        <f>ROUND(Q278 / 1.2, 2)</f>
        <v>274.17</v>
      </c>
      <c r="X278" s="9">
        <f>ROUND(R278 / 1.2, 2)</f>
        <v>332.86</v>
      </c>
      <c r="Y278" s="9">
        <f t="shared" si="78"/>
        <v>44259.38</v>
      </c>
      <c r="Z278" s="9">
        <f>ROUND(T278 / 1.2, 2)</f>
        <v>206749.08</v>
      </c>
      <c r="AA278" s="9">
        <f>Y278+Z278</f>
        <v>251008.46</v>
      </c>
      <c r="AD278" s="4">
        <v>341534325</v>
      </c>
      <c r="AE278" s="4">
        <v>25837404</v>
      </c>
      <c r="AG278" s="4" t="s">
        <v>899</v>
      </c>
      <c r="AH278" s="4" t="s">
        <v>900</v>
      </c>
      <c r="AI278" s="4" t="s">
        <v>241</v>
      </c>
    </row>
    <row r="279" spans="1:35" ht="18" x14ac:dyDescent="0.3">
      <c r="A279" s="10" t="s">
        <v>901</v>
      </c>
      <c r="B279" s="10"/>
      <c r="C279" s="24" t="s">
        <v>902</v>
      </c>
      <c r="D279" s="15"/>
      <c r="E279" s="15"/>
      <c r="F279" s="25" t="s">
        <v>76</v>
      </c>
      <c r="G279" s="26">
        <v>2</v>
      </c>
      <c r="H279" s="15"/>
      <c r="I279" s="26">
        <v>1508.2</v>
      </c>
      <c r="J279" s="27">
        <v>23</v>
      </c>
      <c r="M279" s="28">
        <f>ROUND(ROUND(J279, 2)*I279, 2)</f>
        <v>34688.6</v>
      </c>
      <c r="P279" s="29">
        <v>23</v>
      </c>
      <c r="S279" s="28">
        <f>ROUND(ROUND(P279, 2)*I279, 2)</f>
        <v>34688.6</v>
      </c>
      <c r="V279" s="9">
        <f>ROUND(ROUND(P279, 2)/1.2, 2)</f>
        <v>19.170000000000002</v>
      </c>
      <c r="Y279" s="9">
        <f t="shared" si="78"/>
        <v>28907.17</v>
      </c>
      <c r="AD279" s="4" t="s">
        <v>903</v>
      </c>
      <c r="AE279" s="4" t="s">
        <v>904</v>
      </c>
      <c r="AF279" s="4" t="s">
        <v>905</v>
      </c>
    </row>
    <row r="280" spans="1:35" ht="18" x14ac:dyDescent="0.3">
      <c r="A280" s="10" t="s">
        <v>906</v>
      </c>
      <c r="B280" s="10"/>
      <c r="C280" s="24" t="s">
        <v>907</v>
      </c>
      <c r="D280" s="15"/>
      <c r="E280" s="15"/>
      <c r="F280" s="25" t="s">
        <v>98</v>
      </c>
      <c r="G280" s="26">
        <v>0.3</v>
      </c>
      <c r="H280" s="15"/>
      <c r="I280" s="36">
        <v>226.23</v>
      </c>
      <c r="J280" s="27">
        <v>37.049999999999997</v>
      </c>
      <c r="M280" s="28">
        <f>ROUND(ROUND(J280, 2)*I280, 2)</f>
        <v>8381.82</v>
      </c>
      <c r="P280" s="29">
        <v>37.049999999999997</v>
      </c>
      <c r="S280" s="28">
        <f>ROUND(ROUND(P280, 2)*I280, 2)</f>
        <v>8381.82</v>
      </c>
      <c r="V280" s="9">
        <f>ROUND(ROUND(P280, 2)/1.2, 2)</f>
        <v>30.88</v>
      </c>
      <c r="Y280" s="9">
        <f t="shared" si="78"/>
        <v>6984.85</v>
      </c>
      <c r="AD280" s="4" t="s">
        <v>908</v>
      </c>
      <c r="AE280" s="4" t="s">
        <v>909</v>
      </c>
      <c r="AF280" s="4" t="s">
        <v>910</v>
      </c>
    </row>
    <row r="281" spans="1:35" ht="36" x14ac:dyDescent="0.3">
      <c r="A281" s="10" t="s">
        <v>911</v>
      </c>
      <c r="B281" s="10"/>
      <c r="C281" s="24" t="s">
        <v>509</v>
      </c>
      <c r="D281" s="15"/>
      <c r="E281" s="15"/>
      <c r="F281" s="25" t="s">
        <v>76</v>
      </c>
      <c r="G281" s="26">
        <v>0.15</v>
      </c>
      <c r="H281" s="15"/>
      <c r="I281" s="26">
        <v>113.11499999999999</v>
      </c>
      <c r="J281" s="27">
        <v>88.8</v>
      </c>
      <c r="M281" s="28">
        <f>ROUND(ROUND(J281, 2)*I281, 2)</f>
        <v>10044.61</v>
      </c>
      <c r="P281" s="29">
        <v>88.8</v>
      </c>
      <c r="S281" s="28">
        <f>ROUND(ROUND(P281, 2)*I281, 2)</f>
        <v>10044.61</v>
      </c>
      <c r="V281" s="9">
        <f>ROUND(ROUND(P281, 2)/1.2, 2)</f>
        <v>74</v>
      </c>
      <c r="Y281" s="9">
        <f t="shared" si="78"/>
        <v>8370.51</v>
      </c>
      <c r="AD281" s="4" t="s">
        <v>912</v>
      </c>
      <c r="AE281" s="4" t="s">
        <v>913</v>
      </c>
      <c r="AF281" s="4" t="s">
        <v>512</v>
      </c>
    </row>
    <row r="282" spans="1:35" ht="54" x14ac:dyDescent="0.3">
      <c r="A282" s="10" t="s">
        <v>914</v>
      </c>
      <c r="B282" s="10" t="s">
        <v>896</v>
      </c>
      <c r="C282" s="14" t="s">
        <v>897</v>
      </c>
      <c r="D282" s="15"/>
      <c r="E282" s="15" t="s">
        <v>898</v>
      </c>
      <c r="F282" s="15" t="s">
        <v>57</v>
      </c>
      <c r="G282" s="16">
        <v>1</v>
      </c>
      <c r="H282" s="15"/>
      <c r="I282" s="16">
        <v>754.1</v>
      </c>
      <c r="J282" s="17">
        <v>84.43</v>
      </c>
      <c r="K282" s="18">
        <v>329</v>
      </c>
      <c r="L282" s="17">
        <f>J282+ROUND(K282, 2)</f>
        <v>413.43</v>
      </c>
      <c r="M282" s="17">
        <v>63668.66</v>
      </c>
      <c r="N282" s="17">
        <v>248098.9</v>
      </c>
      <c r="O282" s="17">
        <f>M282+N282</f>
        <v>311767.56</v>
      </c>
      <c r="P282" s="17">
        <v>37.01</v>
      </c>
      <c r="Q282" s="19">
        <v>329</v>
      </c>
      <c r="R282" s="17">
        <f>P282+ROUND(Q282, 2)</f>
        <v>366.01</v>
      </c>
      <c r="S282" s="17">
        <v>27909.24</v>
      </c>
      <c r="T282" s="17">
        <v>248098.9</v>
      </c>
      <c r="U282" s="17">
        <f>S282+T282</f>
        <v>276008.14</v>
      </c>
      <c r="V282" s="9">
        <f>ROUND(P282 / 1.2, 2)</f>
        <v>30.84</v>
      </c>
      <c r="W282" s="9">
        <f>ROUND(Q282 / 1.2, 2)</f>
        <v>274.17</v>
      </c>
      <c r="X282" s="9">
        <f>ROUND(R282 / 1.2, 2)</f>
        <v>305.01</v>
      </c>
      <c r="Y282" s="9">
        <f t="shared" si="78"/>
        <v>23257.7</v>
      </c>
      <c r="Z282" s="9">
        <f>ROUND(T282 / 1.2, 2)</f>
        <v>206749.08</v>
      </c>
      <c r="AA282" s="9">
        <f>Y282+Z282</f>
        <v>230006.78</v>
      </c>
      <c r="AD282" s="4">
        <v>341534379</v>
      </c>
      <c r="AE282" s="4">
        <v>25837405</v>
      </c>
      <c r="AG282" s="4" t="s">
        <v>899</v>
      </c>
      <c r="AH282" s="4" t="s">
        <v>900</v>
      </c>
      <c r="AI282" s="4" t="s">
        <v>241</v>
      </c>
    </row>
    <row r="283" spans="1:35" ht="36" x14ac:dyDescent="0.3">
      <c r="A283" s="10" t="s">
        <v>915</v>
      </c>
      <c r="B283" s="10"/>
      <c r="C283" s="24" t="s">
        <v>509</v>
      </c>
      <c r="D283" s="15"/>
      <c r="E283" s="15"/>
      <c r="F283" s="25" t="s">
        <v>76</v>
      </c>
      <c r="G283" s="26">
        <v>0.15</v>
      </c>
      <c r="H283" s="15"/>
      <c r="I283" s="26">
        <v>113.11499999999999</v>
      </c>
      <c r="J283" s="27">
        <v>88.8</v>
      </c>
      <c r="M283" s="28">
        <f>ROUND(ROUND(J283, 2)*I283, 2)</f>
        <v>10044.61</v>
      </c>
      <c r="P283" s="29">
        <v>88.8</v>
      </c>
      <c r="S283" s="28">
        <f>ROUND(ROUND(P283, 2)*I283, 2)</f>
        <v>10044.61</v>
      </c>
      <c r="V283" s="9">
        <f>ROUND(ROUND(P283, 2)/1.2, 2)</f>
        <v>74</v>
      </c>
      <c r="Y283" s="9">
        <f t="shared" si="78"/>
        <v>8370.51</v>
      </c>
      <c r="AD283" s="4" t="s">
        <v>916</v>
      </c>
      <c r="AE283" s="4" t="s">
        <v>917</v>
      </c>
      <c r="AF283" s="4" t="s">
        <v>512</v>
      </c>
    </row>
    <row r="284" spans="1:35" ht="18" x14ac:dyDescent="0.3">
      <c r="A284" s="10" t="s">
        <v>918</v>
      </c>
      <c r="B284" s="10"/>
      <c r="C284" s="24" t="s">
        <v>907</v>
      </c>
      <c r="D284" s="15"/>
      <c r="E284" s="15"/>
      <c r="F284" s="25" t="s">
        <v>98</v>
      </c>
      <c r="G284" s="26">
        <v>0.3</v>
      </c>
      <c r="H284" s="15"/>
      <c r="I284" s="36">
        <v>226.23</v>
      </c>
      <c r="J284" s="27">
        <v>37.049999999999997</v>
      </c>
      <c r="M284" s="28">
        <f>ROUND(ROUND(J284, 2)*I284, 2)</f>
        <v>8381.82</v>
      </c>
      <c r="P284" s="29">
        <v>37.049999999999997</v>
      </c>
      <c r="S284" s="28">
        <f>ROUND(ROUND(P284, 2)*I284, 2)</f>
        <v>8381.82</v>
      </c>
      <c r="V284" s="9">
        <f>ROUND(ROUND(P284, 2)/1.2, 2)</f>
        <v>30.88</v>
      </c>
      <c r="Y284" s="9">
        <f t="shared" si="78"/>
        <v>6984.85</v>
      </c>
      <c r="AD284" s="4" t="s">
        <v>919</v>
      </c>
      <c r="AE284" s="4" t="s">
        <v>920</v>
      </c>
      <c r="AF284" s="4" t="s">
        <v>910</v>
      </c>
    </row>
    <row r="285" spans="1:35" ht="36" x14ac:dyDescent="0.3">
      <c r="A285" s="10" t="s">
        <v>921</v>
      </c>
      <c r="B285" s="10"/>
      <c r="C285" s="24" t="s">
        <v>922</v>
      </c>
      <c r="D285" s="15"/>
      <c r="E285" s="15"/>
      <c r="F285" s="25" t="s">
        <v>76</v>
      </c>
      <c r="G285" s="26">
        <v>1</v>
      </c>
      <c r="H285" s="15"/>
      <c r="I285" s="26">
        <v>754.1</v>
      </c>
      <c r="J285" s="27">
        <v>60</v>
      </c>
      <c r="M285" s="28">
        <f>ROUND(ROUND(J285, 2)*I285, 2)</f>
        <v>45246</v>
      </c>
      <c r="P285" s="29">
        <v>12.58</v>
      </c>
      <c r="S285" s="28">
        <f>ROUND(ROUND(P285, 2)*I285, 2)</f>
        <v>9486.58</v>
      </c>
      <c r="V285" s="9">
        <f>ROUND(ROUND(P285, 2)/1.2, 2)</f>
        <v>10.48</v>
      </c>
      <c r="Y285" s="9">
        <f t="shared" si="78"/>
        <v>7905.48</v>
      </c>
      <c r="AD285" s="4" t="s">
        <v>923</v>
      </c>
      <c r="AE285" s="4" t="s">
        <v>924</v>
      </c>
      <c r="AF285" s="4" t="s">
        <v>925</v>
      </c>
    </row>
    <row r="286" spans="1:35" ht="54" x14ac:dyDescent="0.3">
      <c r="A286" s="10" t="s">
        <v>926</v>
      </c>
      <c r="B286" s="10" t="s">
        <v>896</v>
      </c>
      <c r="C286" s="14" t="s">
        <v>897</v>
      </c>
      <c r="D286" s="15"/>
      <c r="E286" s="15" t="s">
        <v>898</v>
      </c>
      <c r="F286" s="15" t="s">
        <v>57</v>
      </c>
      <c r="G286" s="16">
        <v>1</v>
      </c>
      <c r="H286" s="15"/>
      <c r="I286" s="16">
        <v>754.1</v>
      </c>
      <c r="J286" s="17">
        <v>65.83</v>
      </c>
      <c r="K286" s="18">
        <v>329</v>
      </c>
      <c r="L286" s="17">
        <f>J286+ROUND(K286, 2)</f>
        <v>394.83</v>
      </c>
      <c r="M286" s="17">
        <v>49642.400000000001</v>
      </c>
      <c r="N286" s="17">
        <v>248098.9</v>
      </c>
      <c r="O286" s="17">
        <f>M286+N286</f>
        <v>297741.3</v>
      </c>
      <c r="P286" s="17">
        <v>47.08</v>
      </c>
      <c r="Q286" s="19">
        <v>329</v>
      </c>
      <c r="R286" s="17">
        <f>P286+ROUND(Q286, 2)</f>
        <v>376.08</v>
      </c>
      <c r="S286" s="17">
        <v>35503.03</v>
      </c>
      <c r="T286" s="17">
        <v>248098.9</v>
      </c>
      <c r="U286" s="17">
        <f>S286+T286</f>
        <v>283601.93</v>
      </c>
      <c r="V286" s="9">
        <f>ROUND(P286 / 1.2, 2)</f>
        <v>39.229999999999997</v>
      </c>
      <c r="W286" s="9">
        <f>ROUND(Q286 / 1.2, 2)</f>
        <v>274.17</v>
      </c>
      <c r="X286" s="9">
        <f>ROUND(R286 / 1.2, 2)</f>
        <v>313.39999999999998</v>
      </c>
      <c r="Y286" s="9">
        <f t="shared" si="78"/>
        <v>29585.86</v>
      </c>
      <c r="Z286" s="9">
        <f>ROUND(T286 / 1.2, 2)</f>
        <v>206749.08</v>
      </c>
      <c r="AA286" s="9">
        <f>Y286+Z286</f>
        <v>236334.94</v>
      </c>
      <c r="AD286" s="4">
        <v>341534380</v>
      </c>
      <c r="AE286" s="4">
        <v>25837406</v>
      </c>
      <c r="AG286" s="4" t="s">
        <v>899</v>
      </c>
      <c r="AH286" s="4" t="s">
        <v>900</v>
      </c>
      <c r="AI286" s="4" t="s">
        <v>241</v>
      </c>
    </row>
    <row r="287" spans="1:35" ht="36" x14ac:dyDescent="0.3">
      <c r="A287" s="10" t="s">
        <v>927</v>
      </c>
      <c r="B287" s="10"/>
      <c r="C287" s="24" t="s">
        <v>509</v>
      </c>
      <c r="D287" s="15"/>
      <c r="E287" s="15"/>
      <c r="F287" s="25" t="s">
        <v>76</v>
      </c>
      <c r="G287" s="26">
        <v>0.15</v>
      </c>
      <c r="H287" s="15"/>
      <c r="I287" s="26">
        <v>113.11499999999999</v>
      </c>
      <c r="J287" s="27">
        <v>88.8</v>
      </c>
      <c r="M287" s="28">
        <f>ROUND(ROUND(J287, 2)*I287, 2)</f>
        <v>10044.61</v>
      </c>
      <c r="P287" s="29">
        <v>88.8</v>
      </c>
      <c r="S287" s="28">
        <f>ROUND(ROUND(P287, 2)*I287, 2)</f>
        <v>10044.61</v>
      </c>
      <c r="V287" s="9">
        <f>ROUND(ROUND(P287, 2)/1.2, 2)</f>
        <v>74</v>
      </c>
      <c r="Y287" s="9">
        <f t="shared" si="78"/>
        <v>8370.51</v>
      </c>
      <c r="AD287" s="4" t="s">
        <v>928</v>
      </c>
      <c r="AE287" s="4" t="s">
        <v>929</v>
      </c>
      <c r="AF287" s="4" t="s">
        <v>512</v>
      </c>
    </row>
    <row r="288" spans="1:35" ht="18" x14ac:dyDescent="0.3">
      <c r="A288" s="10" t="s">
        <v>930</v>
      </c>
      <c r="B288" s="10"/>
      <c r="C288" s="24" t="s">
        <v>907</v>
      </c>
      <c r="D288" s="15"/>
      <c r="E288" s="15"/>
      <c r="F288" s="25" t="s">
        <v>98</v>
      </c>
      <c r="G288" s="26">
        <v>0.3</v>
      </c>
      <c r="H288" s="15"/>
      <c r="I288" s="36">
        <v>226.23</v>
      </c>
      <c r="J288" s="27">
        <v>37.049999999999997</v>
      </c>
      <c r="M288" s="28">
        <f>ROUND(ROUND(J288, 2)*I288, 2)</f>
        <v>8381.82</v>
      </c>
      <c r="P288" s="29">
        <v>37.049999999999997</v>
      </c>
      <c r="S288" s="28">
        <f>ROUND(ROUND(P288, 2)*I288, 2)</f>
        <v>8381.82</v>
      </c>
      <c r="V288" s="9">
        <f>ROUND(ROUND(P288, 2)/1.2, 2)</f>
        <v>30.88</v>
      </c>
      <c r="Y288" s="9">
        <f t="shared" si="78"/>
        <v>6984.85</v>
      </c>
      <c r="AD288" s="4" t="s">
        <v>931</v>
      </c>
      <c r="AE288" s="4" t="s">
        <v>932</v>
      </c>
      <c r="AF288" s="4" t="s">
        <v>910</v>
      </c>
    </row>
    <row r="289" spans="1:35" ht="36" x14ac:dyDescent="0.3">
      <c r="A289" s="10" t="s">
        <v>933</v>
      </c>
      <c r="B289" s="10"/>
      <c r="C289" s="24" t="s">
        <v>934</v>
      </c>
      <c r="D289" s="15"/>
      <c r="E289" s="15"/>
      <c r="F289" s="25" t="s">
        <v>76</v>
      </c>
      <c r="G289" s="26">
        <v>1.8</v>
      </c>
      <c r="H289" s="15"/>
      <c r="I289" s="26">
        <v>1357.38</v>
      </c>
      <c r="J289" s="27">
        <v>23</v>
      </c>
      <c r="M289" s="28">
        <f>ROUND(ROUND(J289, 2)*I289, 2)</f>
        <v>31219.74</v>
      </c>
      <c r="P289" s="29">
        <v>12.58</v>
      </c>
      <c r="S289" s="28">
        <f>ROUND(ROUND(P289, 2)*I289, 2)</f>
        <v>17075.84</v>
      </c>
      <c r="V289" s="9">
        <f>ROUND(ROUND(P289, 2)/1.2, 2)</f>
        <v>10.48</v>
      </c>
      <c r="Y289" s="9">
        <f t="shared" si="78"/>
        <v>14229.87</v>
      </c>
      <c r="AD289" s="4" t="s">
        <v>935</v>
      </c>
      <c r="AE289" s="4" t="s">
        <v>936</v>
      </c>
      <c r="AF289" s="4" t="s">
        <v>937</v>
      </c>
    </row>
    <row r="290" spans="1:35" ht="54" x14ac:dyDescent="0.3">
      <c r="A290" s="38" t="s">
        <v>938</v>
      </c>
      <c r="B290" s="38" t="s">
        <v>896</v>
      </c>
      <c r="C290" s="39" t="s">
        <v>897</v>
      </c>
      <c r="D290" s="40"/>
      <c r="E290" s="40" t="s">
        <v>939</v>
      </c>
      <c r="F290" s="40" t="s">
        <v>57</v>
      </c>
      <c r="G290" s="41">
        <v>1</v>
      </c>
      <c r="H290" s="40"/>
      <c r="I290" s="42">
        <v>0</v>
      </c>
      <c r="J290" s="43">
        <v>55.05</v>
      </c>
      <c r="K290" s="43">
        <v>329</v>
      </c>
      <c r="L290" s="43">
        <f>J290+ROUND(K290, 2)</f>
        <v>384.05</v>
      </c>
      <c r="M290" s="43">
        <v>0</v>
      </c>
      <c r="N290" s="43">
        <v>0</v>
      </c>
      <c r="O290" s="43">
        <f>M290+N290</f>
        <v>0</v>
      </c>
      <c r="P290" s="43">
        <v>55.05</v>
      </c>
      <c r="Q290" s="43">
        <v>329</v>
      </c>
      <c r="R290" s="43">
        <f>P290+ROUND(Q290, 2)</f>
        <v>384.05</v>
      </c>
      <c r="S290" s="43">
        <v>0</v>
      </c>
      <c r="T290" s="43">
        <v>0</v>
      </c>
      <c r="U290" s="43">
        <f>S290+T290</f>
        <v>0</v>
      </c>
      <c r="V290" s="9">
        <f>ROUND(P290 / 1.2, 2)</f>
        <v>45.88</v>
      </c>
      <c r="W290" s="9">
        <f>ROUND(Q290 / 1.2, 2)</f>
        <v>274.17</v>
      </c>
      <c r="X290" s="9">
        <f>ROUND(R290 / 1.2, 2)</f>
        <v>320.04000000000002</v>
      </c>
      <c r="Y290" s="9">
        <f t="shared" si="78"/>
        <v>0</v>
      </c>
      <c r="Z290" s="9">
        <f>ROUND(T290 / 1.2, 2)</f>
        <v>0</v>
      </c>
      <c r="AA290" s="9">
        <f>Y290+Z290</f>
        <v>0</v>
      </c>
      <c r="AD290" s="4">
        <v>341534381</v>
      </c>
      <c r="AE290" s="4">
        <v>25837378</v>
      </c>
      <c r="AG290" s="4" t="s">
        <v>899</v>
      </c>
      <c r="AH290" s="4" t="s">
        <v>900</v>
      </c>
      <c r="AI290" s="4" t="s">
        <v>241</v>
      </c>
    </row>
    <row r="291" spans="1:35" ht="54" x14ac:dyDescent="0.3">
      <c r="A291" s="44" t="s">
        <v>940</v>
      </c>
      <c r="B291" s="44" t="s">
        <v>896</v>
      </c>
      <c r="C291" s="45" t="s">
        <v>897</v>
      </c>
      <c r="D291" s="46"/>
      <c r="E291" s="46" t="s">
        <v>939</v>
      </c>
      <c r="F291" s="46" t="s">
        <v>57</v>
      </c>
      <c r="G291" s="47">
        <v>1</v>
      </c>
      <c r="H291" s="46"/>
      <c r="I291" s="47">
        <v>314.5</v>
      </c>
      <c r="J291" s="48">
        <v>55.05</v>
      </c>
      <c r="K291" s="48">
        <v>329</v>
      </c>
      <c r="L291" s="48">
        <v>329</v>
      </c>
      <c r="M291" s="48">
        <v>17313.23</v>
      </c>
      <c r="N291" s="48">
        <v>103470.5</v>
      </c>
      <c r="O291" s="48"/>
      <c r="P291" s="48">
        <v>55.05</v>
      </c>
      <c r="Q291" s="48">
        <v>329</v>
      </c>
      <c r="R291" s="48">
        <v>329</v>
      </c>
      <c r="S291" s="48">
        <v>17313.23</v>
      </c>
      <c r="T291" s="48">
        <v>103470.5</v>
      </c>
      <c r="U291" s="48"/>
      <c r="V291" s="9"/>
      <c r="W291" s="9">
        <f>ROUND(Q291 / 1.2, 2)</f>
        <v>274.17</v>
      </c>
      <c r="X291" s="9">
        <f>ROUND(R291 / 1.2, 2)</f>
        <v>274.17</v>
      </c>
      <c r="Y291" s="9"/>
      <c r="Z291" s="9">
        <f>ROUND(T291 / 1.2, 2)</f>
        <v>86225.42</v>
      </c>
      <c r="AA291" s="9"/>
      <c r="AD291" s="4">
        <v>314469382</v>
      </c>
      <c r="AE291" s="4">
        <v>25837378</v>
      </c>
      <c r="AG291" s="4" t="s">
        <v>899</v>
      </c>
      <c r="AH291" s="4" t="s">
        <v>900</v>
      </c>
      <c r="AI291" s="4"/>
    </row>
    <row r="292" spans="1:35" ht="36" x14ac:dyDescent="0.3">
      <c r="A292" s="38" t="s">
        <v>941</v>
      </c>
      <c r="B292" s="38"/>
      <c r="C292" s="49" t="s">
        <v>942</v>
      </c>
      <c r="D292" s="40"/>
      <c r="E292" s="40"/>
      <c r="F292" s="50" t="s">
        <v>76</v>
      </c>
      <c r="G292" s="51">
        <v>0.1</v>
      </c>
      <c r="H292" s="40"/>
      <c r="I292" s="52">
        <v>0</v>
      </c>
      <c r="J292" s="53">
        <v>142.9</v>
      </c>
      <c r="K292" s="54"/>
      <c r="L292" s="54"/>
      <c r="M292" s="53">
        <f t="shared" ref="M292:M299" si="79">ROUND(ROUND(J292, 2)*I292, 2)</f>
        <v>0</v>
      </c>
      <c r="N292" s="54"/>
      <c r="O292" s="54"/>
      <c r="P292" s="53">
        <v>142.9</v>
      </c>
      <c r="Q292" s="54"/>
      <c r="R292" s="54"/>
      <c r="S292" s="53">
        <f t="shared" ref="S292:S299" si="80">ROUND(ROUND(P292, 2)*I292, 2)</f>
        <v>0</v>
      </c>
      <c r="T292" s="54"/>
      <c r="U292" s="55"/>
      <c r="V292" s="9">
        <f t="shared" ref="V292:V299" si="81">ROUND(ROUND(P292, 2)/1.2, 2)</f>
        <v>119.08</v>
      </c>
      <c r="Y292" s="9">
        <f t="shared" ref="Y292:Y300" si="82">ROUND(S292 / 1.2, 2)</f>
        <v>0</v>
      </c>
      <c r="AD292" s="4" t="s">
        <v>943</v>
      </c>
      <c r="AE292" s="4" t="s">
        <v>944</v>
      </c>
      <c r="AF292" s="4" t="s">
        <v>945</v>
      </c>
    </row>
    <row r="293" spans="1:35" ht="36" x14ac:dyDescent="0.3">
      <c r="A293" s="44" t="s">
        <v>946</v>
      </c>
      <c r="B293" s="44"/>
      <c r="C293" s="56" t="s">
        <v>942</v>
      </c>
      <c r="D293" s="46"/>
      <c r="E293" s="46"/>
      <c r="F293" s="57" t="s">
        <v>76</v>
      </c>
      <c r="G293" s="58">
        <v>0.1</v>
      </c>
      <c r="H293" s="46"/>
      <c r="I293" s="58">
        <v>31.45</v>
      </c>
      <c r="J293" s="59">
        <v>142.9</v>
      </c>
      <c r="K293" s="60"/>
      <c r="L293" s="60"/>
      <c r="M293" s="59">
        <f t="shared" si="79"/>
        <v>4494.21</v>
      </c>
      <c r="N293" s="60"/>
      <c r="O293" s="60"/>
      <c r="P293" s="59">
        <v>142.9</v>
      </c>
      <c r="Q293" s="60"/>
      <c r="R293" s="60"/>
      <c r="S293" s="59">
        <f t="shared" si="80"/>
        <v>4494.21</v>
      </c>
      <c r="T293" s="60"/>
      <c r="U293" s="61"/>
      <c r="V293" s="9">
        <f t="shared" si="81"/>
        <v>119.08</v>
      </c>
      <c r="Y293" s="9">
        <f t="shared" si="82"/>
        <v>3745.18</v>
      </c>
      <c r="AD293" s="4" t="s">
        <v>947</v>
      </c>
      <c r="AE293" s="4" t="s">
        <v>944</v>
      </c>
      <c r="AF293" s="4" t="s">
        <v>945</v>
      </c>
    </row>
    <row r="294" spans="1:35" ht="18" x14ac:dyDescent="0.3">
      <c r="A294" s="38" t="s">
        <v>948</v>
      </c>
      <c r="B294" s="38"/>
      <c r="C294" s="49" t="s">
        <v>949</v>
      </c>
      <c r="D294" s="40"/>
      <c r="E294" s="40"/>
      <c r="F294" s="50" t="s">
        <v>123</v>
      </c>
      <c r="G294" s="51">
        <v>1</v>
      </c>
      <c r="H294" s="40"/>
      <c r="I294" s="62">
        <v>0</v>
      </c>
      <c r="J294" s="53">
        <v>7</v>
      </c>
      <c r="K294" s="54"/>
      <c r="L294" s="54"/>
      <c r="M294" s="53">
        <f t="shared" si="79"/>
        <v>0</v>
      </c>
      <c r="N294" s="54"/>
      <c r="O294" s="54"/>
      <c r="P294" s="53">
        <v>7</v>
      </c>
      <c r="Q294" s="54"/>
      <c r="R294" s="54"/>
      <c r="S294" s="53">
        <f t="shared" si="80"/>
        <v>0</v>
      </c>
      <c r="T294" s="54"/>
      <c r="U294" s="55"/>
      <c r="V294" s="9">
        <f t="shared" si="81"/>
        <v>5.83</v>
      </c>
      <c r="Y294" s="9">
        <f t="shared" si="82"/>
        <v>0</v>
      </c>
      <c r="AD294" s="4" t="s">
        <v>950</v>
      </c>
      <c r="AE294" s="4" t="s">
        <v>951</v>
      </c>
      <c r="AF294" s="4" t="s">
        <v>952</v>
      </c>
    </row>
    <row r="295" spans="1:35" ht="18" x14ac:dyDescent="0.3">
      <c r="A295" s="44" t="s">
        <v>953</v>
      </c>
      <c r="B295" s="44"/>
      <c r="C295" s="56" t="s">
        <v>949</v>
      </c>
      <c r="D295" s="46"/>
      <c r="E295" s="46"/>
      <c r="F295" s="57" t="s">
        <v>123</v>
      </c>
      <c r="G295" s="58">
        <v>1</v>
      </c>
      <c r="H295" s="46"/>
      <c r="I295" s="63">
        <v>314.5</v>
      </c>
      <c r="J295" s="59">
        <v>7</v>
      </c>
      <c r="K295" s="60"/>
      <c r="L295" s="60"/>
      <c r="M295" s="59">
        <f t="shared" si="79"/>
        <v>2201.5</v>
      </c>
      <c r="N295" s="60"/>
      <c r="O295" s="60"/>
      <c r="P295" s="59">
        <v>7</v>
      </c>
      <c r="Q295" s="60"/>
      <c r="R295" s="60"/>
      <c r="S295" s="59">
        <f t="shared" si="80"/>
        <v>2201.5</v>
      </c>
      <c r="T295" s="60"/>
      <c r="U295" s="61"/>
      <c r="V295" s="9">
        <f t="shared" si="81"/>
        <v>5.83</v>
      </c>
      <c r="Y295" s="9">
        <f t="shared" si="82"/>
        <v>1834.58</v>
      </c>
      <c r="AD295" s="4" t="s">
        <v>954</v>
      </c>
      <c r="AE295" s="4" t="s">
        <v>951</v>
      </c>
      <c r="AF295" s="4" t="s">
        <v>952</v>
      </c>
    </row>
    <row r="296" spans="1:35" ht="18" x14ac:dyDescent="0.3">
      <c r="A296" s="38" t="s">
        <v>955</v>
      </c>
      <c r="B296" s="38"/>
      <c r="C296" s="49" t="s">
        <v>907</v>
      </c>
      <c r="D296" s="40"/>
      <c r="E296" s="40"/>
      <c r="F296" s="50" t="s">
        <v>98</v>
      </c>
      <c r="G296" s="51">
        <v>0.3</v>
      </c>
      <c r="H296" s="40"/>
      <c r="I296" s="62">
        <v>0</v>
      </c>
      <c r="J296" s="53">
        <v>37.049999999999997</v>
      </c>
      <c r="K296" s="54"/>
      <c r="L296" s="54"/>
      <c r="M296" s="53">
        <f t="shared" si="79"/>
        <v>0</v>
      </c>
      <c r="N296" s="54"/>
      <c r="O296" s="54"/>
      <c r="P296" s="53">
        <v>37.049999999999997</v>
      </c>
      <c r="Q296" s="54"/>
      <c r="R296" s="54"/>
      <c r="S296" s="53">
        <f t="shared" si="80"/>
        <v>0</v>
      </c>
      <c r="T296" s="54"/>
      <c r="U296" s="55"/>
      <c r="V296" s="9">
        <f t="shared" si="81"/>
        <v>30.88</v>
      </c>
      <c r="Y296" s="9">
        <f t="shared" si="82"/>
        <v>0</v>
      </c>
      <c r="AD296" s="4" t="s">
        <v>956</v>
      </c>
      <c r="AE296" s="4" t="s">
        <v>957</v>
      </c>
      <c r="AF296" s="4" t="s">
        <v>910</v>
      </c>
    </row>
    <row r="297" spans="1:35" ht="18" x14ac:dyDescent="0.3">
      <c r="A297" s="44" t="s">
        <v>958</v>
      </c>
      <c r="B297" s="44"/>
      <c r="C297" s="56" t="s">
        <v>907</v>
      </c>
      <c r="D297" s="46"/>
      <c r="E297" s="46"/>
      <c r="F297" s="57" t="s">
        <v>98</v>
      </c>
      <c r="G297" s="58">
        <v>0.3</v>
      </c>
      <c r="H297" s="46"/>
      <c r="I297" s="63">
        <v>94.35</v>
      </c>
      <c r="J297" s="59">
        <v>37.049999999999997</v>
      </c>
      <c r="K297" s="60"/>
      <c r="L297" s="60"/>
      <c r="M297" s="59">
        <f t="shared" si="79"/>
        <v>3495.67</v>
      </c>
      <c r="N297" s="60"/>
      <c r="O297" s="60"/>
      <c r="P297" s="59">
        <v>37.049999999999997</v>
      </c>
      <c r="Q297" s="60"/>
      <c r="R297" s="60"/>
      <c r="S297" s="59">
        <f t="shared" si="80"/>
        <v>3495.67</v>
      </c>
      <c r="T297" s="60"/>
      <c r="U297" s="61"/>
      <c r="V297" s="9">
        <f t="shared" si="81"/>
        <v>30.88</v>
      </c>
      <c r="Y297" s="9">
        <f t="shared" si="82"/>
        <v>2913.06</v>
      </c>
      <c r="AD297" s="4" t="s">
        <v>959</v>
      </c>
      <c r="AE297" s="4" t="s">
        <v>957</v>
      </c>
      <c r="AF297" s="4" t="s">
        <v>910</v>
      </c>
    </row>
    <row r="298" spans="1:35" ht="36" x14ac:dyDescent="0.3">
      <c r="A298" s="38" t="s">
        <v>960</v>
      </c>
      <c r="B298" s="38"/>
      <c r="C298" s="49" t="s">
        <v>961</v>
      </c>
      <c r="D298" s="40"/>
      <c r="E298" s="40"/>
      <c r="F298" s="50" t="s">
        <v>76</v>
      </c>
      <c r="G298" s="51">
        <v>1.8</v>
      </c>
      <c r="H298" s="40"/>
      <c r="I298" s="52">
        <v>0</v>
      </c>
      <c r="J298" s="53">
        <v>12.58</v>
      </c>
      <c r="K298" s="54"/>
      <c r="L298" s="54"/>
      <c r="M298" s="53">
        <f t="shared" si="79"/>
        <v>0</v>
      </c>
      <c r="N298" s="54"/>
      <c r="O298" s="54"/>
      <c r="P298" s="53">
        <v>12.58</v>
      </c>
      <c r="Q298" s="54"/>
      <c r="R298" s="54"/>
      <c r="S298" s="53">
        <f t="shared" si="80"/>
        <v>0</v>
      </c>
      <c r="T298" s="54"/>
      <c r="U298" s="55"/>
      <c r="V298" s="9">
        <f t="shared" si="81"/>
        <v>10.48</v>
      </c>
      <c r="Y298" s="9">
        <f t="shared" si="82"/>
        <v>0</v>
      </c>
      <c r="AD298" s="4" t="s">
        <v>962</v>
      </c>
      <c r="AE298" s="4" t="s">
        <v>963</v>
      </c>
      <c r="AF298" s="4" t="s">
        <v>964</v>
      </c>
    </row>
    <row r="299" spans="1:35" ht="36" x14ac:dyDescent="0.3">
      <c r="A299" s="44" t="s">
        <v>965</v>
      </c>
      <c r="B299" s="44"/>
      <c r="C299" s="56" t="s">
        <v>961</v>
      </c>
      <c r="D299" s="46"/>
      <c r="E299" s="46"/>
      <c r="F299" s="57" t="s">
        <v>76</v>
      </c>
      <c r="G299" s="58">
        <v>1.8</v>
      </c>
      <c r="H299" s="46"/>
      <c r="I299" s="58">
        <v>566.1</v>
      </c>
      <c r="J299" s="59">
        <v>12.58</v>
      </c>
      <c r="K299" s="60"/>
      <c r="L299" s="60"/>
      <c r="M299" s="59">
        <f t="shared" si="79"/>
        <v>7121.54</v>
      </c>
      <c r="N299" s="60"/>
      <c r="O299" s="60"/>
      <c r="P299" s="59">
        <v>12.58</v>
      </c>
      <c r="Q299" s="60"/>
      <c r="R299" s="60"/>
      <c r="S299" s="59">
        <f t="shared" si="80"/>
        <v>7121.54</v>
      </c>
      <c r="T299" s="60"/>
      <c r="U299" s="61"/>
      <c r="V299" s="9">
        <f t="shared" si="81"/>
        <v>10.48</v>
      </c>
      <c r="Y299" s="9">
        <f t="shared" si="82"/>
        <v>5934.62</v>
      </c>
      <c r="AD299" s="4" t="s">
        <v>966</v>
      </c>
      <c r="AE299" s="4" t="s">
        <v>963</v>
      </c>
      <c r="AF299" s="4" t="s">
        <v>964</v>
      </c>
    </row>
    <row r="300" spans="1:35" ht="54" x14ac:dyDescent="0.3">
      <c r="A300" s="38" t="s">
        <v>967</v>
      </c>
      <c r="B300" s="38" t="s">
        <v>896</v>
      </c>
      <c r="C300" s="39" t="s">
        <v>897</v>
      </c>
      <c r="D300" s="40"/>
      <c r="E300" s="40" t="s">
        <v>968</v>
      </c>
      <c r="F300" s="40" t="s">
        <v>57</v>
      </c>
      <c r="G300" s="41">
        <v>1</v>
      </c>
      <c r="H300" s="40"/>
      <c r="I300" s="42">
        <v>0</v>
      </c>
      <c r="J300" s="43">
        <v>91.44</v>
      </c>
      <c r="K300" s="43">
        <v>329</v>
      </c>
      <c r="L300" s="43">
        <f>J300+ROUND(K300, 2)</f>
        <v>420.44</v>
      </c>
      <c r="M300" s="43">
        <v>0</v>
      </c>
      <c r="N300" s="43">
        <v>0</v>
      </c>
      <c r="O300" s="43">
        <f>M300+N300</f>
        <v>0</v>
      </c>
      <c r="P300" s="43">
        <v>44.02</v>
      </c>
      <c r="Q300" s="43">
        <v>329</v>
      </c>
      <c r="R300" s="43">
        <f>P300+ROUND(Q300, 2)</f>
        <v>373.02</v>
      </c>
      <c r="S300" s="43">
        <v>0</v>
      </c>
      <c r="T300" s="43">
        <v>0</v>
      </c>
      <c r="U300" s="43">
        <f>S300+T300</f>
        <v>0</v>
      </c>
      <c r="V300" s="9">
        <f>ROUND(P300 / 1.2, 2)</f>
        <v>36.68</v>
      </c>
      <c r="W300" s="9">
        <f>ROUND(Q300 / 1.2, 2)</f>
        <v>274.17</v>
      </c>
      <c r="X300" s="9">
        <f>ROUND(R300 / 1.2, 2)</f>
        <v>310.85000000000002</v>
      </c>
      <c r="Y300" s="9">
        <f t="shared" si="82"/>
        <v>0</v>
      </c>
      <c r="Z300" s="9">
        <f>ROUND(T300 / 1.2, 2)</f>
        <v>0</v>
      </c>
      <c r="AA300" s="9">
        <f>Y300+Z300</f>
        <v>0</v>
      </c>
      <c r="AD300" s="4">
        <v>341534382</v>
      </c>
      <c r="AE300" s="4">
        <v>25837380</v>
      </c>
      <c r="AG300" s="4" t="s">
        <v>899</v>
      </c>
      <c r="AH300" s="4" t="s">
        <v>900</v>
      </c>
      <c r="AI300" s="4" t="s">
        <v>241</v>
      </c>
    </row>
    <row r="301" spans="1:35" ht="54" x14ac:dyDescent="0.3">
      <c r="A301" s="44" t="s">
        <v>969</v>
      </c>
      <c r="B301" s="44" t="s">
        <v>896</v>
      </c>
      <c r="C301" s="45" t="s">
        <v>897</v>
      </c>
      <c r="D301" s="46"/>
      <c r="E301" s="46" t="s">
        <v>968</v>
      </c>
      <c r="F301" s="46" t="s">
        <v>57</v>
      </c>
      <c r="G301" s="47">
        <v>1</v>
      </c>
      <c r="H301" s="46"/>
      <c r="I301" s="47">
        <v>314.5</v>
      </c>
      <c r="J301" s="48">
        <v>91.44</v>
      </c>
      <c r="K301" s="48">
        <v>329</v>
      </c>
      <c r="L301" s="48">
        <v>329</v>
      </c>
      <c r="M301" s="48">
        <v>28757.88</v>
      </c>
      <c r="N301" s="48">
        <v>103470.5</v>
      </c>
      <c r="O301" s="48"/>
      <c r="P301" s="48">
        <v>44.02</v>
      </c>
      <c r="Q301" s="48">
        <v>329</v>
      </c>
      <c r="R301" s="48">
        <v>329</v>
      </c>
      <c r="S301" s="48">
        <v>13844.29</v>
      </c>
      <c r="T301" s="48">
        <v>103470.5</v>
      </c>
      <c r="U301" s="48"/>
      <c r="V301" s="9"/>
      <c r="W301" s="9">
        <f>ROUND(Q301 / 1.2, 2)</f>
        <v>274.17</v>
      </c>
      <c r="X301" s="9">
        <f>ROUND(R301 / 1.2, 2)</f>
        <v>274.17</v>
      </c>
      <c r="Y301" s="9"/>
      <c r="Z301" s="9">
        <f>ROUND(T301 / 1.2, 2)</f>
        <v>86225.42</v>
      </c>
      <c r="AA301" s="9"/>
      <c r="AD301" s="4">
        <v>314469383</v>
      </c>
      <c r="AE301" s="4">
        <v>25837380</v>
      </c>
      <c r="AG301" s="4" t="s">
        <v>899</v>
      </c>
      <c r="AH301" s="4" t="s">
        <v>900</v>
      </c>
      <c r="AI301" s="4"/>
    </row>
    <row r="302" spans="1:35" ht="36" x14ac:dyDescent="0.3">
      <c r="A302" s="38" t="s">
        <v>970</v>
      </c>
      <c r="B302" s="38"/>
      <c r="C302" s="49" t="s">
        <v>509</v>
      </c>
      <c r="D302" s="40"/>
      <c r="E302" s="40"/>
      <c r="F302" s="50" t="s">
        <v>76</v>
      </c>
      <c r="G302" s="51">
        <v>0.15</v>
      </c>
      <c r="H302" s="40"/>
      <c r="I302" s="52">
        <v>0</v>
      </c>
      <c r="J302" s="53">
        <v>88.8</v>
      </c>
      <c r="K302" s="54"/>
      <c r="L302" s="54"/>
      <c r="M302" s="53">
        <f t="shared" ref="M302:M309" si="83">ROUND(ROUND(J302, 2)*I302, 2)</f>
        <v>0</v>
      </c>
      <c r="N302" s="54"/>
      <c r="O302" s="54"/>
      <c r="P302" s="53">
        <v>88.8</v>
      </c>
      <c r="Q302" s="54"/>
      <c r="R302" s="54"/>
      <c r="S302" s="53">
        <f t="shared" ref="S302:S309" si="84">ROUND(ROUND(P302, 2)*I302, 2)</f>
        <v>0</v>
      </c>
      <c r="T302" s="54"/>
      <c r="U302" s="55"/>
      <c r="V302" s="9">
        <f t="shared" ref="V302:V309" si="85">ROUND(ROUND(P302, 2)/1.2, 2)</f>
        <v>74</v>
      </c>
      <c r="Y302" s="9">
        <f t="shared" ref="Y302:Y310" si="86">ROUND(S302 / 1.2, 2)</f>
        <v>0</v>
      </c>
      <c r="AD302" s="4" t="s">
        <v>971</v>
      </c>
      <c r="AE302" s="4" t="s">
        <v>972</v>
      </c>
      <c r="AF302" s="4" t="s">
        <v>512</v>
      </c>
    </row>
    <row r="303" spans="1:35" ht="36" x14ac:dyDescent="0.3">
      <c r="A303" s="44" t="s">
        <v>973</v>
      </c>
      <c r="B303" s="44"/>
      <c r="C303" s="56" t="s">
        <v>509</v>
      </c>
      <c r="D303" s="46"/>
      <c r="E303" s="46"/>
      <c r="F303" s="57" t="s">
        <v>76</v>
      </c>
      <c r="G303" s="58">
        <v>0.15</v>
      </c>
      <c r="H303" s="46"/>
      <c r="I303" s="58">
        <v>47.174999999999997</v>
      </c>
      <c r="J303" s="59">
        <v>88.8</v>
      </c>
      <c r="K303" s="60"/>
      <c r="L303" s="60"/>
      <c r="M303" s="59">
        <f t="shared" si="83"/>
        <v>4189.1400000000003</v>
      </c>
      <c r="N303" s="60"/>
      <c r="O303" s="60"/>
      <c r="P303" s="59">
        <v>88.8</v>
      </c>
      <c r="Q303" s="60"/>
      <c r="R303" s="60"/>
      <c r="S303" s="59">
        <f t="shared" si="84"/>
        <v>4189.1400000000003</v>
      </c>
      <c r="T303" s="60"/>
      <c r="U303" s="61"/>
      <c r="V303" s="9">
        <f t="shared" si="85"/>
        <v>74</v>
      </c>
      <c r="Y303" s="9">
        <f t="shared" si="86"/>
        <v>3490.95</v>
      </c>
      <c r="AD303" s="4" t="s">
        <v>974</v>
      </c>
      <c r="AE303" s="4" t="s">
        <v>972</v>
      </c>
      <c r="AF303" s="4" t="s">
        <v>512</v>
      </c>
    </row>
    <row r="304" spans="1:35" ht="18" x14ac:dyDescent="0.3">
      <c r="A304" s="38" t="s">
        <v>975</v>
      </c>
      <c r="B304" s="38"/>
      <c r="C304" s="49" t="s">
        <v>949</v>
      </c>
      <c r="D304" s="40"/>
      <c r="E304" s="40"/>
      <c r="F304" s="50" t="s">
        <v>123</v>
      </c>
      <c r="G304" s="51">
        <v>1</v>
      </c>
      <c r="H304" s="40"/>
      <c r="I304" s="62">
        <v>0</v>
      </c>
      <c r="J304" s="53">
        <v>7</v>
      </c>
      <c r="K304" s="54"/>
      <c r="L304" s="54"/>
      <c r="M304" s="53">
        <f t="shared" si="83"/>
        <v>0</v>
      </c>
      <c r="N304" s="54"/>
      <c r="O304" s="54"/>
      <c r="P304" s="53">
        <v>7</v>
      </c>
      <c r="Q304" s="54"/>
      <c r="R304" s="54"/>
      <c r="S304" s="53">
        <f t="shared" si="84"/>
        <v>0</v>
      </c>
      <c r="T304" s="54"/>
      <c r="U304" s="55"/>
      <c r="V304" s="9">
        <f t="shared" si="85"/>
        <v>5.83</v>
      </c>
      <c r="Y304" s="9">
        <f t="shared" si="86"/>
        <v>0</v>
      </c>
      <c r="AD304" s="4" t="s">
        <v>976</v>
      </c>
      <c r="AE304" s="4" t="s">
        <v>977</v>
      </c>
      <c r="AF304" s="4" t="s">
        <v>952</v>
      </c>
    </row>
    <row r="305" spans="1:35" ht="18" x14ac:dyDescent="0.3">
      <c r="A305" s="44" t="s">
        <v>978</v>
      </c>
      <c r="B305" s="44"/>
      <c r="C305" s="56" t="s">
        <v>949</v>
      </c>
      <c r="D305" s="46"/>
      <c r="E305" s="46"/>
      <c r="F305" s="57" t="s">
        <v>123</v>
      </c>
      <c r="G305" s="58">
        <v>1</v>
      </c>
      <c r="H305" s="46"/>
      <c r="I305" s="63">
        <v>314.5</v>
      </c>
      <c r="J305" s="59">
        <v>7</v>
      </c>
      <c r="K305" s="60"/>
      <c r="L305" s="60"/>
      <c r="M305" s="59">
        <f t="shared" si="83"/>
        <v>2201.5</v>
      </c>
      <c r="N305" s="60"/>
      <c r="O305" s="60"/>
      <c r="P305" s="59">
        <v>7</v>
      </c>
      <c r="Q305" s="60"/>
      <c r="R305" s="60"/>
      <c r="S305" s="59">
        <f t="shared" si="84"/>
        <v>2201.5</v>
      </c>
      <c r="T305" s="60"/>
      <c r="U305" s="61"/>
      <c r="V305" s="9">
        <f t="shared" si="85"/>
        <v>5.83</v>
      </c>
      <c r="Y305" s="9">
        <f t="shared" si="86"/>
        <v>1834.58</v>
      </c>
      <c r="AD305" s="4" t="s">
        <v>979</v>
      </c>
      <c r="AE305" s="4" t="s">
        <v>977</v>
      </c>
      <c r="AF305" s="4" t="s">
        <v>952</v>
      </c>
    </row>
    <row r="306" spans="1:35" ht="18" x14ac:dyDescent="0.3">
      <c r="A306" s="38" t="s">
        <v>980</v>
      </c>
      <c r="B306" s="38"/>
      <c r="C306" s="49" t="s">
        <v>907</v>
      </c>
      <c r="D306" s="40"/>
      <c r="E306" s="40"/>
      <c r="F306" s="50" t="s">
        <v>98</v>
      </c>
      <c r="G306" s="51">
        <v>0.3</v>
      </c>
      <c r="H306" s="40"/>
      <c r="I306" s="62">
        <v>0</v>
      </c>
      <c r="J306" s="53">
        <v>37.049999999999997</v>
      </c>
      <c r="K306" s="54"/>
      <c r="L306" s="54"/>
      <c r="M306" s="53">
        <f t="shared" si="83"/>
        <v>0</v>
      </c>
      <c r="N306" s="54"/>
      <c r="O306" s="54"/>
      <c r="P306" s="53">
        <v>37.049999999999997</v>
      </c>
      <c r="Q306" s="54"/>
      <c r="R306" s="54"/>
      <c r="S306" s="53">
        <f t="shared" si="84"/>
        <v>0</v>
      </c>
      <c r="T306" s="54"/>
      <c r="U306" s="55"/>
      <c r="V306" s="9">
        <f t="shared" si="85"/>
        <v>30.88</v>
      </c>
      <c r="Y306" s="9">
        <f t="shared" si="86"/>
        <v>0</v>
      </c>
      <c r="AD306" s="4" t="s">
        <v>981</v>
      </c>
      <c r="AE306" s="4" t="s">
        <v>982</v>
      </c>
      <c r="AF306" s="4" t="s">
        <v>910</v>
      </c>
    </row>
    <row r="307" spans="1:35" ht="18" x14ac:dyDescent="0.3">
      <c r="A307" s="44" t="s">
        <v>983</v>
      </c>
      <c r="B307" s="44"/>
      <c r="C307" s="56" t="s">
        <v>907</v>
      </c>
      <c r="D307" s="46"/>
      <c r="E307" s="46"/>
      <c r="F307" s="57" t="s">
        <v>98</v>
      </c>
      <c r="G307" s="58">
        <v>0.3</v>
      </c>
      <c r="H307" s="46"/>
      <c r="I307" s="63">
        <v>94.35</v>
      </c>
      <c r="J307" s="59">
        <v>37.049999999999997</v>
      </c>
      <c r="K307" s="60"/>
      <c r="L307" s="60"/>
      <c r="M307" s="59">
        <f t="shared" si="83"/>
        <v>3495.67</v>
      </c>
      <c r="N307" s="60"/>
      <c r="O307" s="60"/>
      <c r="P307" s="59">
        <v>37.049999999999997</v>
      </c>
      <c r="Q307" s="60"/>
      <c r="R307" s="60"/>
      <c r="S307" s="59">
        <f t="shared" si="84"/>
        <v>3495.67</v>
      </c>
      <c r="T307" s="60"/>
      <c r="U307" s="61"/>
      <c r="V307" s="9">
        <f t="shared" si="85"/>
        <v>30.88</v>
      </c>
      <c r="Y307" s="9">
        <f t="shared" si="86"/>
        <v>2913.06</v>
      </c>
      <c r="AD307" s="4" t="s">
        <v>984</v>
      </c>
      <c r="AE307" s="4" t="s">
        <v>982</v>
      </c>
      <c r="AF307" s="4" t="s">
        <v>910</v>
      </c>
    </row>
    <row r="308" spans="1:35" ht="36" x14ac:dyDescent="0.3">
      <c r="A308" s="38" t="s">
        <v>985</v>
      </c>
      <c r="B308" s="38"/>
      <c r="C308" s="49" t="s">
        <v>922</v>
      </c>
      <c r="D308" s="40"/>
      <c r="E308" s="40"/>
      <c r="F308" s="50" t="s">
        <v>76</v>
      </c>
      <c r="G308" s="51">
        <v>1</v>
      </c>
      <c r="H308" s="40"/>
      <c r="I308" s="52">
        <v>0</v>
      </c>
      <c r="J308" s="53">
        <v>60</v>
      </c>
      <c r="K308" s="54"/>
      <c r="L308" s="54"/>
      <c r="M308" s="53">
        <f t="shared" si="83"/>
        <v>0</v>
      </c>
      <c r="N308" s="54"/>
      <c r="O308" s="54"/>
      <c r="P308" s="53">
        <v>12.58</v>
      </c>
      <c r="Q308" s="54"/>
      <c r="R308" s="54"/>
      <c r="S308" s="53">
        <f t="shared" si="84"/>
        <v>0</v>
      </c>
      <c r="T308" s="54"/>
      <c r="U308" s="55"/>
      <c r="V308" s="9">
        <f t="shared" si="85"/>
        <v>10.48</v>
      </c>
      <c r="Y308" s="9">
        <f t="shared" si="86"/>
        <v>0</v>
      </c>
      <c r="AD308" s="4" t="s">
        <v>986</v>
      </c>
      <c r="AE308" s="4" t="s">
        <v>987</v>
      </c>
      <c r="AF308" s="4" t="s">
        <v>925</v>
      </c>
    </row>
    <row r="309" spans="1:35" ht="36" x14ac:dyDescent="0.3">
      <c r="A309" s="44" t="s">
        <v>988</v>
      </c>
      <c r="B309" s="44"/>
      <c r="C309" s="56" t="s">
        <v>922</v>
      </c>
      <c r="D309" s="46"/>
      <c r="E309" s="46"/>
      <c r="F309" s="57" t="s">
        <v>76</v>
      </c>
      <c r="G309" s="58">
        <v>1</v>
      </c>
      <c r="H309" s="46"/>
      <c r="I309" s="58">
        <v>314.5</v>
      </c>
      <c r="J309" s="59">
        <v>60</v>
      </c>
      <c r="K309" s="60"/>
      <c r="L309" s="60"/>
      <c r="M309" s="59">
        <f t="shared" si="83"/>
        <v>18870</v>
      </c>
      <c r="N309" s="60"/>
      <c r="O309" s="60"/>
      <c r="P309" s="59">
        <v>12.58</v>
      </c>
      <c r="Q309" s="60"/>
      <c r="R309" s="60"/>
      <c r="S309" s="59">
        <f t="shared" si="84"/>
        <v>3956.41</v>
      </c>
      <c r="T309" s="60"/>
      <c r="U309" s="61"/>
      <c r="V309" s="9">
        <f t="shared" si="85"/>
        <v>10.48</v>
      </c>
      <c r="Y309" s="9">
        <f t="shared" si="86"/>
        <v>3297.01</v>
      </c>
      <c r="AD309" s="4" t="s">
        <v>989</v>
      </c>
      <c r="AE309" s="4" t="s">
        <v>987</v>
      </c>
      <c r="AF309" s="4" t="s">
        <v>925</v>
      </c>
    </row>
    <row r="310" spans="1:35" ht="54" x14ac:dyDescent="0.3">
      <c r="A310" s="38" t="s">
        <v>990</v>
      </c>
      <c r="B310" s="38" t="s">
        <v>896</v>
      </c>
      <c r="C310" s="39" t="s">
        <v>897</v>
      </c>
      <c r="D310" s="40"/>
      <c r="E310" s="40" t="s">
        <v>968</v>
      </c>
      <c r="F310" s="40" t="s">
        <v>57</v>
      </c>
      <c r="G310" s="41">
        <v>1</v>
      </c>
      <c r="H310" s="40"/>
      <c r="I310" s="42">
        <v>0</v>
      </c>
      <c r="J310" s="43">
        <v>65.84</v>
      </c>
      <c r="K310" s="43">
        <v>329</v>
      </c>
      <c r="L310" s="43">
        <f>J310+ROUND(K310, 2)</f>
        <v>394.84000000000003</v>
      </c>
      <c r="M310" s="43">
        <v>0</v>
      </c>
      <c r="N310" s="43">
        <v>0</v>
      </c>
      <c r="O310" s="43">
        <f>M310+N310</f>
        <v>0</v>
      </c>
      <c r="P310" s="43">
        <v>47.08</v>
      </c>
      <c r="Q310" s="43">
        <v>329</v>
      </c>
      <c r="R310" s="43">
        <f>P310+ROUND(Q310, 2)</f>
        <v>376.08</v>
      </c>
      <c r="S310" s="43">
        <v>0</v>
      </c>
      <c r="T310" s="43">
        <v>0</v>
      </c>
      <c r="U310" s="43">
        <f>S310+T310</f>
        <v>0</v>
      </c>
      <c r="V310" s="9">
        <f>ROUND(P310 / 1.2, 2)</f>
        <v>39.229999999999997</v>
      </c>
      <c r="W310" s="9">
        <f>ROUND(Q310 / 1.2, 2)</f>
        <v>274.17</v>
      </c>
      <c r="X310" s="9">
        <f>ROUND(R310 / 1.2, 2)</f>
        <v>313.39999999999998</v>
      </c>
      <c r="Y310" s="9">
        <f t="shared" si="86"/>
        <v>0</v>
      </c>
      <c r="Z310" s="9">
        <f>ROUND(T310 / 1.2, 2)</f>
        <v>0</v>
      </c>
      <c r="AA310" s="9">
        <f>Y310+Z310</f>
        <v>0</v>
      </c>
      <c r="AD310" s="4">
        <v>341534383</v>
      </c>
      <c r="AE310" s="4">
        <v>25837381</v>
      </c>
      <c r="AG310" s="4" t="s">
        <v>899</v>
      </c>
      <c r="AH310" s="4" t="s">
        <v>900</v>
      </c>
      <c r="AI310" s="4" t="s">
        <v>241</v>
      </c>
    </row>
    <row r="311" spans="1:35" ht="54" x14ac:dyDescent="0.3">
      <c r="A311" s="44" t="s">
        <v>991</v>
      </c>
      <c r="B311" s="44" t="s">
        <v>896</v>
      </c>
      <c r="C311" s="45" t="s">
        <v>897</v>
      </c>
      <c r="D311" s="46"/>
      <c r="E311" s="46" t="s">
        <v>968</v>
      </c>
      <c r="F311" s="46" t="s">
        <v>57</v>
      </c>
      <c r="G311" s="47">
        <v>1</v>
      </c>
      <c r="H311" s="46"/>
      <c r="I311" s="47">
        <v>314.5</v>
      </c>
      <c r="J311" s="48">
        <v>65.84</v>
      </c>
      <c r="K311" s="48">
        <v>329</v>
      </c>
      <c r="L311" s="48">
        <v>329</v>
      </c>
      <c r="M311" s="48">
        <v>20706.68</v>
      </c>
      <c r="N311" s="48">
        <v>103470.5</v>
      </c>
      <c r="O311" s="48"/>
      <c r="P311" s="48">
        <v>47.08</v>
      </c>
      <c r="Q311" s="48">
        <v>329</v>
      </c>
      <c r="R311" s="48">
        <v>329</v>
      </c>
      <c r="S311" s="48">
        <v>14806.66</v>
      </c>
      <c r="T311" s="48">
        <v>103470.5</v>
      </c>
      <c r="U311" s="48"/>
      <c r="V311" s="9"/>
      <c r="W311" s="9">
        <f>ROUND(Q311 / 1.2, 2)</f>
        <v>274.17</v>
      </c>
      <c r="X311" s="9">
        <f>ROUND(R311 / 1.2, 2)</f>
        <v>274.17</v>
      </c>
      <c r="Y311" s="9"/>
      <c r="Z311" s="9">
        <f>ROUND(T311 / 1.2, 2)</f>
        <v>86225.42</v>
      </c>
      <c r="AA311" s="9"/>
      <c r="AD311" s="4">
        <v>314469384</v>
      </c>
      <c r="AE311" s="4">
        <v>25837381</v>
      </c>
      <c r="AG311" s="4" t="s">
        <v>899</v>
      </c>
      <c r="AH311" s="4" t="s">
        <v>900</v>
      </c>
      <c r="AI311" s="4"/>
    </row>
    <row r="312" spans="1:35" ht="36" x14ac:dyDescent="0.3">
      <c r="A312" s="38" t="s">
        <v>992</v>
      </c>
      <c r="B312" s="38"/>
      <c r="C312" s="49" t="s">
        <v>509</v>
      </c>
      <c r="D312" s="40"/>
      <c r="E312" s="40"/>
      <c r="F312" s="50" t="s">
        <v>76</v>
      </c>
      <c r="G312" s="51">
        <v>0.15</v>
      </c>
      <c r="H312" s="40"/>
      <c r="I312" s="52">
        <v>0</v>
      </c>
      <c r="J312" s="53">
        <v>88.8</v>
      </c>
      <c r="K312" s="54"/>
      <c r="L312" s="54"/>
      <c r="M312" s="53">
        <f t="shared" ref="M312:M317" si="87">ROUND(ROUND(J312, 2)*I312, 2)</f>
        <v>0</v>
      </c>
      <c r="N312" s="54"/>
      <c r="O312" s="54"/>
      <c r="P312" s="53">
        <v>88.8</v>
      </c>
      <c r="Q312" s="54"/>
      <c r="R312" s="54"/>
      <c r="S312" s="53">
        <f t="shared" ref="S312:S317" si="88">ROUND(ROUND(P312, 2)*I312, 2)</f>
        <v>0</v>
      </c>
      <c r="T312" s="54"/>
      <c r="U312" s="55"/>
      <c r="V312" s="9">
        <f t="shared" ref="V312:V317" si="89">ROUND(ROUND(P312, 2)/1.2, 2)</f>
        <v>74</v>
      </c>
      <c r="Y312" s="9">
        <f t="shared" ref="Y312:Y318" si="90">ROUND(S312 / 1.2, 2)</f>
        <v>0</v>
      </c>
      <c r="AD312" s="4" t="s">
        <v>993</v>
      </c>
      <c r="AE312" s="4" t="s">
        <v>994</v>
      </c>
      <c r="AF312" s="4" t="s">
        <v>512</v>
      </c>
    </row>
    <row r="313" spans="1:35" ht="36" x14ac:dyDescent="0.3">
      <c r="A313" s="44" t="s">
        <v>995</v>
      </c>
      <c r="B313" s="44"/>
      <c r="C313" s="56" t="s">
        <v>509</v>
      </c>
      <c r="D313" s="46"/>
      <c r="E313" s="46"/>
      <c r="F313" s="57" t="s">
        <v>76</v>
      </c>
      <c r="G313" s="58">
        <v>0.15</v>
      </c>
      <c r="H313" s="46"/>
      <c r="I313" s="58">
        <v>47.174999999999997</v>
      </c>
      <c r="J313" s="59">
        <v>88.8</v>
      </c>
      <c r="K313" s="60"/>
      <c r="L313" s="60"/>
      <c r="M313" s="59">
        <f t="shared" si="87"/>
        <v>4189.1400000000003</v>
      </c>
      <c r="N313" s="60"/>
      <c r="O313" s="60"/>
      <c r="P313" s="59">
        <v>88.8</v>
      </c>
      <c r="Q313" s="60"/>
      <c r="R313" s="60"/>
      <c r="S313" s="59">
        <f t="shared" si="88"/>
        <v>4189.1400000000003</v>
      </c>
      <c r="T313" s="60"/>
      <c r="U313" s="61"/>
      <c r="V313" s="9">
        <f t="shared" si="89"/>
        <v>74</v>
      </c>
      <c r="Y313" s="9">
        <f t="shared" si="90"/>
        <v>3490.95</v>
      </c>
      <c r="AD313" s="4" t="s">
        <v>996</v>
      </c>
      <c r="AE313" s="4" t="s">
        <v>994</v>
      </c>
      <c r="AF313" s="4" t="s">
        <v>512</v>
      </c>
    </row>
    <row r="314" spans="1:35" ht="18" x14ac:dyDescent="0.3">
      <c r="A314" s="38" t="s">
        <v>997</v>
      </c>
      <c r="B314" s="38"/>
      <c r="C314" s="49" t="s">
        <v>907</v>
      </c>
      <c r="D314" s="40"/>
      <c r="E314" s="40"/>
      <c r="F314" s="50" t="s">
        <v>98</v>
      </c>
      <c r="G314" s="51">
        <v>0.3</v>
      </c>
      <c r="H314" s="40"/>
      <c r="I314" s="62">
        <v>0</v>
      </c>
      <c r="J314" s="53">
        <v>37.049999999999997</v>
      </c>
      <c r="K314" s="54"/>
      <c r="L314" s="54"/>
      <c r="M314" s="53">
        <f t="shared" si="87"/>
        <v>0</v>
      </c>
      <c r="N314" s="54"/>
      <c r="O314" s="54"/>
      <c r="P314" s="53">
        <v>37.049999999999997</v>
      </c>
      <c r="Q314" s="54"/>
      <c r="R314" s="54"/>
      <c r="S314" s="53">
        <f t="shared" si="88"/>
        <v>0</v>
      </c>
      <c r="T314" s="54"/>
      <c r="U314" s="55"/>
      <c r="V314" s="9">
        <f t="shared" si="89"/>
        <v>30.88</v>
      </c>
      <c r="Y314" s="9">
        <f t="shared" si="90"/>
        <v>0</v>
      </c>
      <c r="AD314" s="4" t="s">
        <v>998</v>
      </c>
      <c r="AE314" s="4" t="s">
        <v>999</v>
      </c>
      <c r="AF314" s="4" t="s">
        <v>910</v>
      </c>
    </row>
    <row r="315" spans="1:35" ht="18" x14ac:dyDescent="0.3">
      <c r="A315" s="44" t="s">
        <v>1000</v>
      </c>
      <c r="B315" s="44"/>
      <c r="C315" s="56" t="s">
        <v>907</v>
      </c>
      <c r="D315" s="46"/>
      <c r="E315" s="46"/>
      <c r="F315" s="57" t="s">
        <v>98</v>
      </c>
      <c r="G315" s="58">
        <v>0.3</v>
      </c>
      <c r="H315" s="46"/>
      <c r="I315" s="63">
        <v>94.35</v>
      </c>
      <c r="J315" s="59">
        <v>37.049999999999997</v>
      </c>
      <c r="K315" s="60"/>
      <c r="L315" s="60"/>
      <c r="M315" s="59">
        <f t="shared" si="87"/>
        <v>3495.67</v>
      </c>
      <c r="N315" s="60"/>
      <c r="O315" s="60"/>
      <c r="P315" s="59">
        <v>37.049999999999997</v>
      </c>
      <c r="Q315" s="60"/>
      <c r="R315" s="60"/>
      <c r="S315" s="59">
        <f t="shared" si="88"/>
        <v>3495.67</v>
      </c>
      <c r="T315" s="60"/>
      <c r="U315" s="61"/>
      <c r="V315" s="9">
        <f t="shared" si="89"/>
        <v>30.88</v>
      </c>
      <c r="Y315" s="9">
        <f t="shared" si="90"/>
        <v>2913.06</v>
      </c>
      <c r="AD315" s="4" t="s">
        <v>1001</v>
      </c>
      <c r="AE315" s="4" t="s">
        <v>999</v>
      </c>
      <c r="AF315" s="4" t="s">
        <v>910</v>
      </c>
    </row>
    <row r="316" spans="1:35" ht="36" x14ac:dyDescent="0.3">
      <c r="A316" s="38" t="s">
        <v>1002</v>
      </c>
      <c r="B316" s="38"/>
      <c r="C316" s="49" t="s">
        <v>934</v>
      </c>
      <c r="D316" s="40"/>
      <c r="E316" s="40"/>
      <c r="F316" s="50" t="s">
        <v>76</v>
      </c>
      <c r="G316" s="51">
        <v>1.8</v>
      </c>
      <c r="H316" s="40"/>
      <c r="I316" s="52">
        <v>0</v>
      </c>
      <c r="J316" s="53">
        <v>23</v>
      </c>
      <c r="K316" s="54"/>
      <c r="L316" s="54"/>
      <c r="M316" s="53">
        <f t="shared" si="87"/>
        <v>0</v>
      </c>
      <c r="N316" s="54"/>
      <c r="O316" s="54"/>
      <c r="P316" s="53">
        <v>12.58</v>
      </c>
      <c r="Q316" s="54"/>
      <c r="R316" s="54"/>
      <c r="S316" s="53">
        <f t="shared" si="88"/>
        <v>0</v>
      </c>
      <c r="T316" s="54"/>
      <c r="U316" s="55"/>
      <c r="V316" s="9">
        <f t="shared" si="89"/>
        <v>10.48</v>
      </c>
      <c r="Y316" s="9">
        <f t="shared" si="90"/>
        <v>0</v>
      </c>
      <c r="AD316" s="4" t="s">
        <v>1003</v>
      </c>
      <c r="AE316" s="4" t="s">
        <v>1004</v>
      </c>
      <c r="AF316" s="4" t="s">
        <v>937</v>
      </c>
    </row>
    <row r="317" spans="1:35" ht="36" x14ac:dyDescent="0.3">
      <c r="A317" s="44" t="s">
        <v>1005</v>
      </c>
      <c r="B317" s="44"/>
      <c r="C317" s="56" t="s">
        <v>934</v>
      </c>
      <c r="D317" s="46"/>
      <c r="E317" s="46"/>
      <c r="F317" s="57" t="s">
        <v>76</v>
      </c>
      <c r="G317" s="58">
        <v>1.8</v>
      </c>
      <c r="H317" s="46"/>
      <c r="I317" s="58">
        <v>566.1</v>
      </c>
      <c r="J317" s="59">
        <v>23</v>
      </c>
      <c r="K317" s="60"/>
      <c r="L317" s="60"/>
      <c r="M317" s="59">
        <f t="shared" si="87"/>
        <v>13020.3</v>
      </c>
      <c r="N317" s="60"/>
      <c r="O317" s="60"/>
      <c r="P317" s="59">
        <v>12.58</v>
      </c>
      <c r="Q317" s="60"/>
      <c r="R317" s="60"/>
      <c r="S317" s="59">
        <f t="shared" si="88"/>
        <v>7121.54</v>
      </c>
      <c r="T317" s="60"/>
      <c r="U317" s="61"/>
      <c r="V317" s="9">
        <f t="shared" si="89"/>
        <v>10.48</v>
      </c>
      <c r="Y317" s="9">
        <f t="shared" si="90"/>
        <v>5934.62</v>
      </c>
      <c r="AD317" s="4" t="s">
        <v>1006</v>
      </c>
      <c r="AE317" s="4" t="s">
        <v>1004</v>
      </c>
      <c r="AF317" s="4" t="s">
        <v>937</v>
      </c>
    </row>
    <row r="318" spans="1:35" ht="54" x14ac:dyDescent="0.3">
      <c r="A318" s="38" t="s">
        <v>1007</v>
      </c>
      <c r="B318" s="38" t="s">
        <v>896</v>
      </c>
      <c r="C318" s="39" t="s">
        <v>897</v>
      </c>
      <c r="D318" s="40"/>
      <c r="E318" s="40" t="s">
        <v>364</v>
      </c>
      <c r="F318" s="40" t="s">
        <v>57</v>
      </c>
      <c r="G318" s="41">
        <v>1</v>
      </c>
      <c r="H318" s="40"/>
      <c r="I318" s="42">
        <v>0</v>
      </c>
      <c r="J318" s="43">
        <v>77.44</v>
      </c>
      <c r="K318" s="43">
        <v>329</v>
      </c>
      <c r="L318" s="43">
        <f>J318+ROUND(K318, 2)</f>
        <v>406.44</v>
      </c>
      <c r="M318" s="43">
        <v>0</v>
      </c>
      <c r="N318" s="43">
        <v>0</v>
      </c>
      <c r="O318" s="43">
        <f>M318+N318</f>
        <v>0</v>
      </c>
      <c r="P318" s="43">
        <v>77.44</v>
      </c>
      <c r="Q318" s="43">
        <v>329</v>
      </c>
      <c r="R318" s="43">
        <f>P318+ROUND(Q318, 2)</f>
        <v>406.44</v>
      </c>
      <c r="S318" s="43">
        <v>0</v>
      </c>
      <c r="T318" s="43">
        <v>0</v>
      </c>
      <c r="U318" s="43">
        <f>S318+T318</f>
        <v>0</v>
      </c>
      <c r="V318" s="9">
        <f>ROUND(P318 / 1.2, 2)</f>
        <v>64.53</v>
      </c>
      <c r="W318" s="9">
        <f>ROUND(Q318 / 1.2, 2)</f>
        <v>274.17</v>
      </c>
      <c r="X318" s="9">
        <f>ROUND(R318 / 1.2, 2)</f>
        <v>338.7</v>
      </c>
      <c r="Y318" s="9">
        <f t="shared" si="90"/>
        <v>0</v>
      </c>
      <c r="Z318" s="9">
        <f>ROUND(T318 / 1.2, 2)</f>
        <v>0</v>
      </c>
      <c r="AA318" s="9">
        <f>Y318+Z318</f>
        <v>0</v>
      </c>
      <c r="AD318" s="4">
        <v>341534384</v>
      </c>
      <c r="AE318" s="4">
        <v>25837387</v>
      </c>
      <c r="AG318" s="4" t="s">
        <v>899</v>
      </c>
      <c r="AH318" s="4" t="s">
        <v>900</v>
      </c>
      <c r="AI318" s="4" t="s">
        <v>241</v>
      </c>
    </row>
    <row r="319" spans="1:35" ht="54" x14ac:dyDescent="0.3">
      <c r="A319" s="44" t="s">
        <v>1008</v>
      </c>
      <c r="B319" s="44" t="s">
        <v>896</v>
      </c>
      <c r="C319" s="45" t="s">
        <v>897</v>
      </c>
      <c r="D319" s="46"/>
      <c r="E319" s="46" t="s">
        <v>364</v>
      </c>
      <c r="F319" s="46" t="s">
        <v>57</v>
      </c>
      <c r="G319" s="47">
        <v>1</v>
      </c>
      <c r="H319" s="46"/>
      <c r="I319" s="47">
        <v>219.9</v>
      </c>
      <c r="J319" s="48">
        <v>77.44</v>
      </c>
      <c r="K319" s="48">
        <v>329</v>
      </c>
      <c r="L319" s="48">
        <v>329</v>
      </c>
      <c r="M319" s="48">
        <v>17029.060000000001</v>
      </c>
      <c r="N319" s="48">
        <v>72347.100000000006</v>
      </c>
      <c r="O319" s="48"/>
      <c r="P319" s="48">
        <v>77.44</v>
      </c>
      <c r="Q319" s="48">
        <v>329</v>
      </c>
      <c r="R319" s="48">
        <v>329</v>
      </c>
      <c r="S319" s="48">
        <v>17029.060000000001</v>
      </c>
      <c r="T319" s="48">
        <v>72347.100000000006</v>
      </c>
      <c r="U319" s="48"/>
      <c r="V319" s="9"/>
      <c r="W319" s="9">
        <f>ROUND(Q319 / 1.2, 2)</f>
        <v>274.17</v>
      </c>
      <c r="X319" s="9">
        <f>ROUND(R319 / 1.2, 2)</f>
        <v>274.17</v>
      </c>
      <c r="Y319" s="9"/>
      <c r="Z319" s="9">
        <f>ROUND(T319 / 1.2, 2)</f>
        <v>60289.25</v>
      </c>
      <c r="AA319" s="9"/>
      <c r="AD319" s="4">
        <v>314469385</v>
      </c>
      <c r="AE319" s="4">
        <v>25837387</v>
      </c>
      <c r="AG319" s="4" t="s">
        <v>899</v>
      </c>
      <c r="AH319" s="4" t="s">
        <v>900</v>
      </c>
      <c r="AI319" s="4"/>
    </row>
    <row r="320" spans="1:35" ht="36" x14ac:dyDescent="0.3">
      <c r="A320" s="38" t="s">
        <v>1009</v>
      </c>
      <c r="B320" s="38"/>
      <c r="C320" s="49" t="s">
        <v>509</v>
      </c>
      <c r="D320" s="40"/>
      <c r="E320" s="40"/>
      <c r="F320" s="50" t="s">
        <v>76</v>
      </c>
      <c r="G320" s="51">
        <v>0.15</v>
      </c>
      <c r="H320" s="40"/>
      <c r="I320" s="52">
        <v>0</v>
      </c>
      <c r="J320" s="53">
        <v>88.8</v>
      </c>
      <c r="K320" s="54"/>
      <c r="L320" s="54"/>
      <c r="M320" s="53">
        <f t="shared" ref="M320:M327" si="91">ROUND(ROUND(J320, 2)*I320, 2)</f>
        <v>0</v>
      </c>
      <c r="N320" s="54"/>
      <c r="O320" s="54"/>
      <c r="P320" s="53">
        <v>88.8</v>
      </c>
      <c r="Q320" s="54"/>
      <c r="R320" s="54"/>
      <c r="S320" s="53">
        <f t="shared" ref="S320:S327" si="92">ROUND(ROUND(P320, 2)*I320, 2)</f>
        <v>0</v>
      </c>
      <c r="T320" s="54"/>
      <c r="U320" s="55"/>
      <c r="V320" s="9">
        <f t="shared" ref="V320:V327" si="93">ROUND(ROUND(P320, 2)/1.2, 2)</f>
        <v>74</v>
      </c>
      <c r="Y320" s="9">
        <f t="shared" ref="Y320:Y328" si="94">ROUND(S320 / 1.2, 2)</f>
        <v>0</v>
      </c>
      <c r="AD320" s="4" t="s">
        <v>1010</v>
      </c>
      <c r="AE320" s="4" t="s">
        <v>1011</v>
      </c>
      <c r="AF320" s="4" t="s">
        <v>512</v>
      </c>
    </row>
    <row r="321" spans="1:35" ht="36" x14ac:dyDescent="0.3">
      <c r="A321" s="44" t="s">
        <v>1012</v>
      </c>
      <c r="B321" s="44"/>
      <c r="C321" s="56" t="s">
        <v>509</v>
      </c>
      <c r="D321" s="46"/>
      <c r="E321" s="46"/>
      <c r="F321" s="57" t="s">
        <v>76</v>
      </c>
      <c r="G321" s="58">
        <v>0.15</v>
      </c>
      <c r="H321" s="46"/>
      <c r="I321" s="58">
        <v>32.984999999999999</v>
      </c>
      <c r="J321" s="59">
        <v>88.8</v>
      </c>
      <c r="K321" s="60"/>
      <c r="L321" s="60"/>
      <c r="M321" s="59">
        <f t="shared" si="91"/>
        <v>2929.07</v>
      </c>
      <c r="N321" s="60"/>
      <c r="O321" s="60"/>
      <c r="P321" s="59">
        <v>88.8</v>
      </c>
      <c r="Q321" s="60"/>
      <c r="R321" s="60"/>
      <c r="S321" s="59">
        <f t="shared" si="92"/>
        <v>2929.07</v>
      </c>
      <c r="T321" s="60"/>
      <c r="U321" s="61"/>
      <c r="V321" s="9">
        <f t="shared" si="93"/>
        <v>74</v>
      </c>
      <c r="Y321" s="9">
        <f t="shared" si="94"/>
        <v>2440.89</v>
      </c>
      <c r="AD321" s="4" t="s">
        <v>1013</v>
      </c>
      <c r="AE321" s="4" t="s">
        <v>1011</v>
      </c>
      <c r="AF321" s="4" t="s">
        <v>512</v>
      </c>
    </row>
    <row r="322" spans="1:35" ht="18" x14ac:dyDescent="0.3">
      <c r="A322" s="38" t="s">
        <v>1014</v>
      </c>
      <c r="B322" s="38"/>
      <c r="C322" s="49" t="s">
        <v>949</v>
      </c>
      <c r="D322" s="40"/>
      <c r="E322" s="40"/>
      <c r="F322" s="50" t="s">
        <v>123</v>
      </c>
      <c r="G322" s="51">
        <v>1</v>
      </c>
      <c r="H322" s="40"/>
      <c r="I322" s="62">
        <v>0</v>
      </c>
      <c r="J322" s="53">
        <v>7</v>
      </c>
      <c r="K322" s="54"/>
      <c r="L322" s="54"/>
      <c r="M322" s="53">
        <f t="shared" si="91"/>
        <v>0</v>
      </c>
      <c r="N322" s="54"/>
      <c r="O322" s="54"/>
      <c r="P322" s="53">
        <v>7</v>
      </c>
      <c r="Q322" s="54"/>
      <c r="R322" s="54"/>
      <c r="S322" s="53">
        <f t="shared" si="92"/>
        <v>0</v>
      </c>
      <c r="T322" s="54"/>
      <c r="U322" s="55"/>
      <c r="V322" s="9">
        <f t="shared" si="93"/>
        <v>5.83</v>
      </c>
      <c r="Y322" s="9">
        <f t="shared" si="94"/>
        <v>0</v>
      </c>
      <c r="AD322" s="4" t="s">
        <v>1015</v>
      </c>
      <c r="AE322" s="4" t="s">
        <v>1016</v>
      </c>
      <c r="AF322" s="4" t="s">
        <v>952</v>
      </c>
    </row>
    <row r="323" spans="1:35" ht="18" x14ac:dyDescent="0.3">
      <c r="A323" s="44" t="s">
        <v>1017</v>
      </c>
      <c r="B323" s="44"/>
      <c r="C323" s="56" t="s">
        <v>949</v>
      </c>
      <c r="D323" s="46"/>
      <c r="E323" s="46"/>
      <c r="F323" s="57" t="s">
        <v>123</v>
      </c>
      <c r="G323" s="58">
        <v>1</v>
      </c>
      <c r="H323" s="46"/>
      <c r="I323" s="63">
        <v>219.9</v>
      </c>
      <c r="J323" s="59">
        <v>7</v>
      </c>
      <c r="K323" s="60"/>
      <c r="L323" s="60"/>
      <c r="M323" s="59">
        <f t="shared" si="91"/>
        <v>1539.3</v>
      </c>
      <c r="N323" s="60"/>
      <c r="O323" s="60"/>
      <c r="P323" s="59">
        <v>7</v>
      </c>
      <c r="Q323" s="60"/>
      <c r="R323" s="60"/>
      <c r="S323" s="59">
        <f t="shared" si="92"/>
        <v>1539.3</v>
      </c>
      <c r="T323" s="60"/>
      <c r="U323" s="61"/>
      <c r="V323" s="9">
        <f t="shared" si="93"/>
        <v>5.83</v>
      </c>
      <c r="Y323" s="9">
        <f t="shared" si="94"/>
        <v>1282.75</v>
      </c>
      <c r="AD323" s="4" t="s">
        <v>1018</v>
      </c>
      <c r="AE323" s="4" t="s">
        <v>1016</v>
      </c>
      <c r="AF323" s="4" t="s">
        <v>952</v>
      </c>
    </row>
    <row r="324" spans="1:35" ht="18" x14ac:dyDescent="0.3">
      <c r="A324" s="38" t="s">
        <v>1019</v>
      </c>
      <c r="B324" s="38"/>
      <c r="C324" s="49" t="s">
        <v>907</v>
      </c>
      <c r="D324" s="40"/>
      <c r="E324" s="40"/>
      <c r="F324" s="50" t="s">
        <v>98</v>
      </c>
      <c r="G324" s="51">
        <v>0.3</v>
      </c>
      <c r="H324" s="40"/>
      <c r="I324" s="62">
        <v>0</v>
      </c>
      <c r="J324" s="53">
        <v>37.049999999999997</v>
      </c>
      <c r="K324" s="54"/>
      <c r="L324" s="54"/>
      <c r="M324" s="53">
        <f t="shared" si="91"/>
        <v>0</v>
      </c>
      <c r="N324" s="54"/>
      <c r="O324" s="54"/>
      <c r="P324" s="53">
        <v>37.049999999999997</v>
      </c>
      <c r="Q324" s="54"/>
      <c r="R324" s="54"/>
      <c r="S324" s="53">
        <f t="shared" si="92"/>
        <v>0</v>
      </c>
      <c r="T324" s="54"/>
      <c r="U324" s="55"/>
      <c r="V324" s="9">
        <f t="shared" si="93"/>
        <v>30.88</v>
      </c>
      <c r="Y324" s="9">
        <f t="shared" si="94"/>
        <v>0</v>
      </c>
      <c r="AD324" s="4" t="s">
        <v>1020</v>
      </c>
      <c r="AE324" s="4" t="s">
        <v>1021</v>
      </c>
      <c r="AF324" s="4" t="s">
        <v>910</v>
      </c>
    </row>
    <row r="325" spans="1:35" ht="18" x14ac:dyDescent="0.3">
      <c r="A325" s="44" t="s">
        <v>1022</v>
      </c>
      <c r="B325" s="44"/>
      <c r="C325" s="56" t="s">
        <v>907</v>
      </c>
      <c r="D325" s="46"/>
      <c r="E325" s="46"/>
      <c r="F325" s="57" t="s">
        <v>98</v>
      </c>
      <c r="G325" s="58">
        <v>0.3</v>
      </c>
      <c r="H325" s="46"/>
      <c r="I325" s="63">
        <v>65.97</v>
      </c>
      <c r="J325" s="59">
        <v>37.049999999999997</v>
      </c>
      <c r="K325" s="60"/>
      <c r="L325" s="60"/>
      <c r="M325" s="59">
        <f t="shared" si="91"/>
        <v>2444.19</v>
      </c>
      <c r="N325" s="60"/>
      <c r="O325" s="60"/>
      <c r="P325" s="59">
        <v>37.049999999999997</v>
      </c>
      <c r="Q325" s="60"/>
      <c r="R325" s="60"/>
      <c r="S325" s="59">
        <f t="shared" si="92"/>
        <v>2444.19</v>
      </c>
      <c r="T325" s="60"/>
      <c r="U325" s="61"/>
      <c r="V325" s="9">
        <f t="shared" si="93"/>
        <v>30.88</v>
      </c>
      <c r="Y325" s="9">
        <f t="shared" si="94"/>
        <v>2036.83</v>
      </c>
      <c r="AD325" s="4" t="s">
        <v>1023</v>
      </c>
      <c r="AE325" s="4" t="s">
        <v>1021</v>
      </c>
      <c r="AF325" s="4" t="s">
        <v>910</v>
      </c>
    </row>
    <row r="326" spans="1:35" ht="18" x14ac:dyDescent="0.3">
      <c r="A326" s="38" t="s">
        <v>1024</v>
      </c>
      <c r="B326" s="38"/>
      <c r="C326" s="49" t="s">
        <v>902</v>
      </c>
      <c r="D326" s="40"/>
      <c r="E326" s="40"/>
      <c r="F326" s="50" t="s">
        <v>76</v>
      </c>
      <c r="G326" s="51">
        <v>2</v>
      </c>
      <c r="H326" s="40"/>
      <c r="I326" s="52">
        <v>0</v>
      </c>
      <c r="J326" s="53">
        <v>23</v>
      </c>
      <c r="K326" s="54"/>
      <c r="L326" s="54"/>
      <c r="M326" s="53">
        <f t="shared" si="91"/>
        <v>0</v>
      </c>
      <c r="N326" s="54"/>
      <c r="O326" s="54"/>
      <c r="P326" s="53">
        <v>23</v>
      </c>
      <c r="Q326" s="54"/>
      <c r="R326" s="54"/>
      <c r="S326" s="53">
        <f t="shared" si="92"/>
        <v>0</v>
      </c>
      <c r="T326" s="54"/>
      <c r="U326" s="55"/>
      <c r="V326" s="9">
        <f t="shared" si="93"/>
        <v>19.170000000000002</v>
      </c>
      <c r="Y326" s="9">
        <f t="shared" si="94"/>
        <v>0</v>
      </c>
      <c r="AD326" s="4" t="s">
        <v>1025</v>
      </c>
      <c r="AE326" s="4" t="s">
        <v>1026</v>
      </c>
      <c r="AF326" s="4" t="s">
        <v>905</v>
      </c>
    </row>
    <row r="327" spans="1:35" ht="18" x14ac:dyDescent="0.3">
      <c r="A327" s="44" t="s">
        <v>1027</v>
      </c>
      <c r="B327" s="44"/>
      <c r="C327" s="56" t="s">
        <v>902</v>
      </c>
      <c r="D327" s="46"/>
      <c r="E327" s="46"/>
      <c r="F327" s="57" t="s">
        <v>76</v>
      </c>
      <c r="G327" s="58">
        <v>2</v>
      </c>
      <c r="H327" s="46"/>
      <c r="I327" s="58">
        <v>439.8</v>
      </c>
      <c r="J327" s="59">
        <v>23</v>
      </c>
      <c r="K327" s="60"/>
      <c r="L327" s="60"/>
      <c r="M327" s="59">
        <f t="shared" si="91"/>
        <v>10115.4</v>
      </c>
      <c r="N327" s="60"/>
      <c r="O327" s="60"/>
      <c r="P327" s="59">
        <v>23</v>
      </c>
      <c r="Q327" s="60"/>
      <c r="R327" s="60"/>
      <c r="S327" s="59">
        <f t="shared" si="92"/>
        <v>10115.4</v>
      </c>
      <c r="T327" s="60"/>
      <c r="U327" s="61"/>
      <c r="V327" s="9">
        <f t="shared" si="93"/>
        <v>19.170000000000002</v>
      </c>
      <c r="Y327" s="9">
        <f t="shared" si="94"/>
        <v>8429.5</v>
      </c>
      <c r="AD327" s="4" t="s">
        <v>1028</v>
      </c>
      <c r="AE327" s="4" t="s">
        <v>1026</v>
      </c>
      <c r="AF327" s="4" t="s">
        <v>905</v>
      </c>
    </row>
    <row r="328" spans="1:35" ht="54" x14ac:dyDescent="0.3">
      <c r="A328" s="38" t="s">
        <v>1029</v>
      </c>
      <c r="B328" s="38" t="s">
        <v>896</v>
      </c>
      <c r="C328" s="39" t="s">
        <v>897</v>
      </c>
      <c r="D328" s="40"/>
      <c r="E328" s="40" t="s">
        <v>364</v>
      </c>
      <c r="F328" s="40" t="s">
        <v>57</v>
      </c>
      <c r="G328" s="41">
        <v>1</v>
      </c>
      <c r="H328" s="40"/>
      <c r="I328" s="42">
        <v>0</v>
      </c>
      <c r="J328" s="43">
        <v>91.44</v>
      </c>
      <c r="K328" s="43">
        <v>329</v>
      </c>
      <c r="L328" s="43">
        <f>J328+ROUND(K328, 2)</f>
        <v>420.44</v>
      </c>
      <c r="M328" s="43">
        <v>0</v>
      </c>
      <c r="N328" s="43">
        <v>0</v>
      </c>
      <c r="O328" s="43">
        <f>M328+N328</f>
        <v>0</v>
      </c>
      <c r="P328" s="43">
        <v>44.02</v>
      </c>
      <c r="Q328" s="43">
        <v>329</v>
      </c>
      <c r="R328" s="43">
        <f>P328+ROUND(Q328, 2)</f>
        <v>373.02</v>
      </c>
      <c r="S328" s="43">
        <v>0</v>
      </c>
      <c r="T328" s="43">
        <v>0</v>
      </c>
      <c r="U328" s="43">
        <f>S328+T328</f>
        <v>0</v>
      </c>
      <c r="V328" s="9">
        <f>ROUND(P328 / 1.2, 2)</f>
        <v>36.68</v>
      </c>
      <c r="W328" s="9">
        <f>ROUND(Q328 / 1.2, 2)</f>
        <v>274.17</v>
      </c>
      <c r="X328" s="9">
        <f>ROUND(R328 / 1.2, 2)</f>
        <v>310.85000000000002</v>
      </c>
      <c r="Y328" s="9">
        <f t="shared" si="94"/>
        <v>0</v>
      </c>
      <c r="Z328" s="9">
        <f>ROUND(T328 / 1.2, 2)</f>
        <v>0</v>
      </c>
      <c r="AA328" s="9">
        <f>Y328+Z328</f>
        <v>0</v>
      </c>
      <c r="AD328" s="4">
        <v>341534385</v>
      </c>
      <c r="AE328" s="4">
        <v>25837388</v>
      </c>
      <c r="AG328" s="4" t="s">
        <v>899</v>
      </c>
      <c r="AH328" s="4" t="s">
        <v>900</v>
      </c>
      <c r="AI328" s="4" t="s">
        <v>241</v>
      </c>
    </row>
    <row r="329" spans="1:35" ht="54" x14ac:dyDescent="0.3">
      <c r="A329" s="44" t="s">
        <v>1030</v>
      </c>
      <c r="B329" s="44" t="s">
        <v>896</v>
      </c>
      <c r="C329" s="45" t="s">
        <v>897</v>
      </c>
      <c r="D329" s="46"/>
      <c r="E329" s="46" t="s">
        <v>364</v>
      </c>
      <c r="F329" s="46" t="s">
        <v>57</v>
      </c>
      <c r="G329" s="47">
        <v>1</v>
      </c>
      <c r="H329" s="46"/>
      <c r="I329" s="47">
        <v>219.9</v>
      </c>
      <c r="J329" s="48">
        <v>91.44</v>
      </c>
      <c r="K329" s="48">
        <v>329</v>
      </c>
      <c r="L329" s="48">
        <v>329</v>
      </c>
      <c r="M329" s="48">
        <v>20107.66</v>
      </c>
      <c r="N329" s="48">
        <v>72347.100000000006</v>
      </c>
      <c r="O329" s="48"/>
      <c r="P329" s="48">
        <v>44.02</v>
      </c>
      <c r="Q329" s="48">
        <v>329</v>
      </c>
      <c r="R329" s="48">
        <v>329</v>
      </c>
      <c r="S329" s="48">
        <v>9680</v>
      </c>
      <c r="T329" s="48">
        <v>72347.100000000006</v>
      </c>
      <c r="U329" s="48"/>
      <c r="V329" s="9"/>
      <c r="W329" s="9">
        <f>ROUND(Q329 / 1.2, 2)</f>
        <v>274.17</v>
      </c>
      <c r="X329" s="9">
        <f>ROUND(R329 / 1.2, 2)</f>
        <v>274.17</v>
      </c>
      <c r="Y329" s="9"/>
      <c r="Z329" s="9">
        <f>ROUND(T329 / 1.2, 2)</f>
        <v>60289.25</v>
      </c>
      <c r="AA329" s="9"/>
      <c r="AD329" s="4">
        <v>314469386</v>
      </c>
      <c r="AE329" s="4">
        <v>25837388</v>
      </c>
      <c r="AG329" s="4" t="s">
        <v>899</v>
      </c>
      <c r="AH329" s="4" t="s">
        <v>900</v>
      </c>
      <c r="AI329" s="4"/>
    </row>
    <row r="330" spans="1:35" ht="36" x14ac:dyDescent="0.3">
      <c r="A330" s="38" t="s">
        <v>1031</v>
      </c>
      <c r="B330" s="38"/>
      <c r="C330" s="49" t="s">
        <v>509</v>
      </c>
      <c r="D330" s="40"/>
      <c r="E330" s="40"/>
      <c r="F330" s="50" t="s">
        <v>76</v>
      </c>
      <c r="G330" s="51">
        <v>0.15</v>
      </c>
      <c r="H330" s="40"/>
      <c r="I330" s="52">
        <v>0</v>
      </c>
      <c r="J330" s="53">
        <v>88.8</v>
      </c>
      <c r="K330" s="54"/>
      <c r="L330" s="54"/>
      <c r="M330" s="53">
        <f t="shared" ref="M330:M337" si="95">ROUND(ROUND(J330, 2)*I330, 2)</f>
        <v>0</v>
      </c>
      <c r="N330" s="54"/>
      <c r="O330" s="54"/>
      <c r="P330" s="53">
        <v>88.8</v>
      </c>
      <c r="Q330" s="54"/>
      <c r="R330" s="54"/>
      <c r="S330" s="53">
        <f t="shared" ref="S330:S337" si="96">ROUND(ROUND(P330, 2)*I330, 2)</f>
        <v>0</v>
      </c>
      <c r="T330" s="54"/>
      <c r="U330" s="55"/>
      <c r="V330" s="9">
        <f t="shared" ref="V330:V337" si="97">ROUND(ROUND(P330, 2)/1.2, 2)</f>
        <v>74</v>
      </c>
      <c r="Y330" s="9">
        <f t="shared" ref="Y330:Y338" si="98">ROUND(S330 / 1.2, 2)</f>
        <v>0</v>
      </c>
      <c r="AD330" s="4" t="s">
        <v>1032</v>
      </c>
      <c r="AE330" s="4" t="s">
        <v>1033</v>
      </c>
      <c r="AF330" s="4" t="s">
        <v>512</v>
      </c>
    </row>
    <row r="331" spans="1:35" ht="36" x14ac:dyDescent="0.3">
      <c r="A331" s="44" t="s">
        <v>1034</v>
      </c>
      <c r="B331" s="44"/>
      <c r="C331" s="56" t="s">
        <v>509</v>
      </c>
      <c r="D331" s="46"/>
      <c r="E331" s="46"/>
      <c r="F331" s="57" t="s">
        <v>76</v>
      </c>
      <c r="G331" s="58">
        <v>0.15</v>
      </c>
      <c r="H331" s="46"/>
      <c r="I331" s="58">
        <v>32.984999999999999</v>
      </c>
      <c r="J331" s="59">
        <v>88.8</v>
      </c>
      <c r="K331" s="60"/>
      <c r="L331" s="60"/>
      <c r="M331" s="59">
        <f t="shared" si="95"/>
        <v>2929.07</v>
      </c>
      <c r="N331" s="60"/>
      <c r="O331" s="60"/>
      <c r="P331" s="59">
        <v>88.8</v>
      </c>
      <c r="Q331" s="60"/>
      <c r="R331" s="60"/>
      <c r="S331" s="59">
        <f t="shared" si="96"/>
        <v>2929.07</v>
      </c>
      <c r="T331" s="60"/>
      <c r="U331" s="61"/>
      <c r="V331" s="9">
        <f t="shared" si="97"/>
        <v>74</v>
      </c>
      <c r="Y331" s="9">
        <f t="shared" si="98"/>
        <v>2440.89</v>
      </c>
      <c r="AD331" s="4" t="s">
        <v>1035</v>
      </c>
      <c r="AE331" s="4" t="s">
        <v>1033</v>
      </c>
      <c r="AF331" s="4" t="s">
        <v>512</v>
      </c>
    </row>
    <row r="332" spans="1:35" ht="18" x14ac:dyDescent="0.3">
      <c r="A332" s="38" t="s">
        <v>1036</v>
      </c>
      <c r="B332" s="38"/>
      <c r="C332" s="49" t="s">
        <v>949</v>
      </c>
      <c r="D332" s="40"/>
      <c r="E332" s="40"/>
      <c r="F332" s="50" t="s">
        <v>123</v>
      </c>
      <c r="G332" s="51">
        <v>1</v>
      </c>
      <c r="H332" s="40"/>
      <c r="I332" s="62">
        <v>0</v>
      </c>
      <c r="J332" s="53">
        <v>7</v>
      </c>
      <c r="K332" s="54"/>
      <c r="L332" s="54"/>
      <c r="M332" s="53">
        <f t="shared" si="95"/>
        <v>0</v>
      </c>
      <c r="N332" s="54"/>
      <c r="O332" s="54"/>
      <c r="P332" s="53">
        <v>7</v>
      </c>
      <c r="Q332" s="54"/>
      <c r="R332" s="54"/>
      <c r="S332" s="53">
        <f t="shared" si="96"/>
        <v>0</v>
      </c>
      <c r="T332" s="54"/>
      <c r="U332" s="55"/>
      <c r="V332" s="9">
        <f t="shared" si="97"/>
        <v>5.83</v>
      </c>
      <c r="Y332" s="9">
        <f t="shared" si="98"/>
        <v>0</v>
      </c>
      <c r="AD332" s="4" t="s">
        <v>1037</v>
      </c>
      <c r="AE332" s="4" t="s">
        <v>1038</v>
      </c>
      <c r="AF332" s="4" t="s">
        <v>952</v>
      </c>
    </row>
    <row r="333" spans="1:35" ht="18" x14ac:dyDescent="0.3">
      <c r="A333" s="44" t="s">
        <v>1039</v>
      </c>
      <c r="B333" s="44"/>
      <c r="C333" s="56" t="s">
        <v>949</v>
      </c>
      <c r="D333" s="46"/>
      <c r="E333" s="46"/>
      <c r="F333" s="57" t="s">
        <v>123</v>
      </c>
      <c r="G333" s="58">
        <v>1</v>
      </c>
      <c r="H333" s="46"/>
      <c r="I333" s="63">
        <v>219.9</v>
      </c>
      <c r="J333" s="59">
        <v>7</v>
      </c>
      <c r="K333" s="60"/>
      <c r="L333" s="60"/>
      <c r="M333" s="59">
        <f t="shared" si="95"/>
        <v>1539.3</v>
      </c>
      <c r="N333" s="60"/>
      <c r="O333" s="60"/>
      <c r="P333" s="59">
        <v>7</v>
      </c>
      <c r="Q333" s="60"/>
      <c r="R333" s="60"/>
      <c r="S333" s="59">
        <f t="shared" si="96"/>
        <v>1539.3</v>
      </c>
      <c r="T333" s="60"/>
      <c r="U333" s="61"/>
      <c r="V333" s="9">
        <f t="shared" si="97"/>
        <v>5.83</v>
      </c>
      <c r="Y333" s="9">
        <f t="shared" si="98"/>
        <v>1282.75</v>
      </c>
      <c r="AD333" s="4" t="s">
        <v>1040</v>
      </c>
      <c r="AE333" s="4" t="s">
        <v>1038</v>
      </c>
      <c r="AF333" s="4" t="s">
        <v>952</v>
      </c>
    </row>
    <row r="334" spans="1:35" ht="18" x14ac:dyDescent="0.3">
      <c r="A334" s="38" t="s">
        <v>1041</v>
      </c>
      <c r="B334" s="38"/>
      <c r="C334" s="49" t="s">
        <v>907</v>
      </c>
      <c r="D334" s="40"/>
      <c r="E334" s="40"/>
      <c r="F334" s="50" t="s">
        <v>98</v>
      </c>
      <c r="G334" s="51">
        <v>0.3</v>
      </c>
      <c r="H334" s="40"/>
      <c r="I334" s="62">
        <v>0</v>
      </c>
      <c r="J334" s="53">
        <v>37.049999999999997</v>
      </c>
      <c r="K334" s="54"/>
      <c r="L334" s="54"/>
      <c r="M334" s="53">
        <f t="shared" si="95"/>
        <v>0</v>
      </c>
      <c r="N334" s="54"/>
      <c r="O334" s="54"/>
      <c r="P334" s="53">
        <v>37.049999999999997</v>
      </c>
      <c r="Q334" s="54"/>
      <c r="R334" s="54"/>
      <c r="S334" s="53">
        <f t="shared" si="96"/>
        <v>0</v>
      </c>
      <c r="T334" s="54"/>
      <c r="U334" s="55"/>
      <c r="V334" s="9">
        <f t="shared" si="97"/>
        <v>30.88</v>
      </c>
      <c r="Y334" s="9">
        <f t="shared" si="98"/>
        <v>0</v>
      </c>
      <c r="AD334" s="4" t="s">
        <v>1042</v>
      </c>
      <c r="AE334" s="4" t="s">
        <v>1043</v>
      </c>
      <c r="AF334" s="4" t="s">
        <v>910</v>
      </c>
    </row>
    <row r="335" spans="1:35" ht="18" x14ac:dyDescent="0.3">
      <c r="A335" s="44" t="s">
        <v>1044</v>
      </c>
      <c r="B335" s="44"/>
      <c r="C335" s="56" t="s">
        <v>907</v>
      </c>
      <c r="D335" s="46"/>
      <c r="E335" s="46"/>
      <c r="F335" s="57" t="s">
        <v>98</v>
      </c>
      <c r="G335" s="58">
        <v>0.3</v>
      </c>
      <c r="H335" s="46"/>
      <c r="I335" s="63">
        <v>65.97</v>
      </c>
      <c r="J335" s="59">
        <v>37.049999999999997</v>
      </c>
      <c r="K335" s="60"/>
      <c r="L335" s="60"/>
      <c r="M335" s="59">
        <f t="shared" si="95"/>
        <v>2444.19</v>
      </c>
      <c r="N335" s="60"/>
      <c r="O335" s="60"/>
      <c r="P335" s="59">
        <v>37.049999999999997</v>
      </c>
      <c r="Q335" s="60"/>
      <c r="R335" s="60"/>
      <c r="S335" s="59">
        <f t="shared" si="96"/>
        <v>2444.19</v>
      </c>
      <c r="T335" s="60"/>
      <c r="U335" s="61"/>
      <c r="V335" s="9">
        <f t="shared" si="97"/>
        <v>30.88</v>
      </c>
      <c r="Y335" s="9">
        <f t="shared" si="98"/>
        <v>2036.83</v>
      </c>
      <c r="AD335" s="4" t="s">
        <v>1045</v>
      </c>
      <c r="AE335" s="4" t="s">
        <v>1043</v>
      </c>
      <c r="AF335" s="4" t="s">
        <v>910</v>
      </c>
    </row>
    <row r="336" spans="1:35" ht="36" x14ac:dyDescent="0.3">
      <c r="A336" s="38" t="s">
        <v>1046</v>
      </c>
      <c r="B336" s="38"/>
      <c r="C336" s="49" t="s">
        <v>922</v>
      </c>
      <c r="D336" s="40"/>
      <c r="E336" s="40"/>
      <c r="F336" s="50" t="s">
        <v>76</v>
      </c>
      <c r="G336" s="51">
        <v>1</v>
      </c>
      <c r="H336" s="40"/>
      <c r="I336" s="52">
        <v>0</v>
      </c>
      <c r="J336" s="53">
        <v>60</v>
      </c>
      <c r="K336" s="54"/>
      <c r="L336" s="54"/>
      <c r="M336" s="53">
        <f t="shared" si="95"/>
        <v>0</v>
      </c>
      <c r="N336" s="54"/>
      <c r="O336" s="54"/>
      <c r="P336" s="53">
        <v>12.58</v>
      </c>
      <c r="Q336" s="54"/>
      <c r="R336" s="54"/>
      <c r="S336" s="53">
        <f t="shared" si="96"/>
        <v>0</v>
      </c>
      <c r="T336" s="54"/>
      <c r="U336" s="55"/>
      <c r="V336" s="9">
        <f t="shared" si="97"/>
        <v>10.48</v>
      </c>
      <c r="Y336" s="9">
        <f t="shared" si="98"/>
        <v>0</v>
      </c>
      <c r="AD336" s="4" t="s">
        <v>1047</v>
      </c>
      <c r="AE336" s="4" t="s">
        <v>1048</v>
      </c>
      <c r="AF336" s="4" t="s">
        <v>925</v>
      </c>
    </row>
    <row r="337" spans="1:35" ht="36" x14ac:dyDescent="0.3">
      <c r="A337" s="44" t="s">
        <v>1049</v>
      </c>
      <c r="B337" s="44"/>
      <c r="C337" s="56" t="s">
        <v>922</v>
      </c>
      <c r="D337" s="46"/>
      <c r="E337" s="46"/>
      <c r="F337" s="57" t="s">
        <v>76</v>
      </c>
      <c r="G337" s="58">
        <v>1</v>
      </c>
      <c r="H337" s="46"/>
      <c r="I337" s="58">
        <v>219.9</v>
      </c>
      <c r="J337" s="59">
        <v>60</v>
      </c>
      <c r="K337" s="60"/>
      <c r="L337" s="60"/>
      <c r="M337" s="59">
        <f t="shared" si="95"/>
        <v>13194</v>
      </c>
      <c r="N337" s="60"/>
      <c r="O337" s="60"/>
      <c r="P337" s="59">
        <v>12.58</v>
      </c>
      <c r="Q337" s="60"/>
      <c r="R337" s="60"/>
      <c r="S337" s="59">
        <f t="shared" si="96"/>
        <v>2766.34</v>
      </c>
      <c r="T337" s="60"/>
      <c r="U337" s="61"/>
      <c r="V337" s="9">
        <f t="shared" si="97"/>
        <v>10.48</v>
      </c>
      <c r="Y337" s="9">
        <f t="shared" si="98"/>
        <v>2305.2800000000002</v>
      </c>
      <c r="AD337" s="4" t="s">
        <v>1050</v>
      </c>
      <c r="AE337" s="4" t="s">
        <v>1048</v>
      </c>
      <c r="AF337" s="4" t="s">
        <v>925</v>
      </c>
    </row>
    <row r="338" spans="1:35" ht="54" x14ac:dyDescent="0.3">
      <c r="A338" s="38" t="s">
        <v>1051</v>
      </c>
      <c r="B338" s="38" t="s">
        <v>896</v>
      </c>
      <c r="C338" s="39" t="s">
        <v>897</v>
      </c>
      <c r="D338" s="40"/>
      <c r="E338" s="40" t="s">
        <v>364</v>
      </c>
      <c r="F338" s="40" t="s">
        <v>57</v>
      </c>
      <c r="G338" s="41">
        <v>1</v>
      </c>
      <c r="H338" s="40"/>
      <c r="I338" s="42">
        <v>0</v>
      </c>
      <c r="J338" s="43">
        <v>72.84</v>
      </c>
      <c r="K338" s="43">
        <v>329</v>
      </c>
      <c r="L338" s="43">
        <f>J338+ROUND(K338, 2)</f>
        <v>401.84000000000003</v>
      </c>
      <c r="M338" s="43">
        <v>0</v>
      </c>
      <c r="N338" s="43">
        <v>0</v>
      </c>
      <c r="O338" s="43">
        <f>M338+N338</f>
        <v>0</v>
      </c>
      <c r="P338" s="43">
        <v>54.08</v>
      </c>
      <c r="Q338" s="43">
        <v>329</v>
      </c>
      <c r="R338" s="43">
        <f>P338+ROUND(Q338, 2)</f>
        <v>383.08</v>
      </c>
      <c r="S338" s="43">
        <v>0</v>
      </c>
      <c r="T338" s="43">
        <v>0</v>
      </c>
      <c r="U338" s="43">
        <f>S338+T338</f>
        <v>0</v>
      </c>
      <c r="V338" s="9">
        <f>ROUND(P338 / 1.2, 2)</f>
        <v>45.07</v>
      </c>
      <c r="W338" s="9">
        <f>ROUND(Q338 / 1.2, 2)</f>
        <v>274.17</v>
      </c>
      <c r="X338" s="9">
        <f>ROUND(R338 / 1.2, 2)</f>
        <v>319.23</v>
      </c>
      <c r="Y338" s="9">
        <f t="shared" si="98"/>
        <v>0</v>
      </c>
      <c r="Z338" s="9">
        <f>ROUND(T338 / 1.2, 2)</f>
        <v>0</v>
      </c>
      <c r="AA338" s="9">
        <f>Y338+Z338</f>
        <v>0</v>
      </c>
      <c r="AD338" s="4">
        <v>341534386</v>
      </c>
      <c r="AE338" s="4">
        <v>25837389</v>
      </c>
      <c r="AG338" s="4" t="s">
        <v>899</v>
      </c>
      <c r="AH338" s="4" t="s">
        <v>900</v>
      </c>
      <c r="AI338" s="4" t="s">
        <v>241</v>
      </c>
    </row>
    <row r="339" spans="1:35" ht="54" x14ac:dyDescent="0.3">
      <c r="A339" s="44" t="s">
        <v>1052</v>
      </c>
      <c r="B339" s="44" t="s">
        <v>896</v>
      </c>
      <c r="C339" s="45" t="s">
        <v>897</v>
      </c>
      <c r="D339" s="46"/>
      <c r="E339" s="46" t="s">
        <v>364</v>
      </c>
      <c r="F339" s="46" t="s">
        <v>57</v>
      </c>
      <c r="G339" s="47">
        <v>1</v>
      </c>
      <c r="H339" s="46"/>
      <c r="I339" s="47">
        <v>219.9</v>
      </c>
      <c r="J339" s="48">
        <v>72.84</v>
      </c>
      <c r="K339" s="48">
        <v>329</v>
      </c>
      <c r="L339" s="48">
        <v>329</v>
      </c>
      <c r="M339" s="48">
        <v>16017.52</v>
      </c>
      <c r="N339" s="48">
        <v>72347.100000000006</v>
      </c>
      <c r="O339" s="48"/>
      <c r="P339" s="48">
        <v>54.08</v>
      </c>
      <c r="Q339" s="48">
        <v>329</v>
      </c>
      <c r="R339" s="48">
        <v>329</v>
      </c>
      <c r="S339" s="48">
        <v>11892.19</v>
      </c>
      <c r="T339" s="48">
        <v>72347.100000000006</v>
      </c>
      <c r="U339" s="48"/>
      <c r="V339" s="9"/>
      <c r="W339" s="9">
        <f>ROUND(Q339 / 1.2, 2)</f>
        <v>274.17</v>
      </c>
      <c r="X339" s="9">
        <f>ROUND(R339 / 1.2, 2)</f>
        <v>274.17</v>
      </c>
      <c r="Y339" s="9"/>
      <c r="Z339" s="9">
        <f>ROUND(T339 / 1.2, 2)</f>
        <v>60289.25</v>
      </c>
      <c r="AA339" s="9"/>
      <c r="AD339" s="4">
        <v>314469387</v>
      </c>
      <c r="AE339" s="4">
        <v>25837389</v>
      </c>
      <c r="AG339" s="4" t="s">
        <v>899</v>
      </c>
      <c r="AH339" s="4" t="s">
        <v>900</v>
      </c>
      <c r="AI339" s="4"/>
    </row>
    <row r="340" spans="1:35" ht="36" x14ac:dyDescent="0.3">
      <c r="A340" s="38" t="s">
        <v>1053</v>
      </c>
      <c r="B340" s="38"/>
      <c r="C340" s="49" t="s">
        <v>509</v>
      </c>
      <c r="D340" s="40"/>
      <c r="E340" s="40"/>
      <c r="F340" s="50" t="s">
        <v>76</v>
      </c>
      <c r="G340" s="51">
        <v>0.15</v>
      </c>
      <c r="H340" s="40"/>
      <c r="I340" s="52">
        <v>0</v>
      </c>
      <c r="J340" s="53">
        <v>88.8</v>
      </c>
      <c r="K340" s="54"/>
      <c r="L340" s="54"/>
      <c r="M340" s="53">
        <f t="shared" ref="M340:M347" si="99">ROUND(ROUND(J340, 2)*I340, 2)</f>
        <v>0</v>
      </c>
      <c r="N340" s="54"/>
      <c r="O340" s="54"/>
      <c r="P340" s="53">
        <v>88.8</v>
      </c>
      <c r="Q340" s="54"/>
      <c r="R340" s="54"/>
      <c r="S340" s="53">
        <f t="shared" ref="S340:S347" si="100">ROUND(ROUND(P340, 2)*I340, 2)</f>
        <v>0</v>
      </c>
      <c r="T340" s="54"/>
      <c r="U340" s="55"/>
      <c r="V340" s="9">
        <f t="shared" ref="V340:V347" si="101">ROUND(ROUND(P340, 2)/1.2, 2)</f>
        <v>74</v>
      </c>
      <c r="Y340" s="9">
        <f t="shared" ref="Y340:Y371" si="102">ROUND(S340 / 1.2, 2)</f>
        <v>0</v>
      </c>
      <c r="AD340" s="4" t="s">
        <v>1054</v>
      </c>
      <c r="AE340" s="4" t="s">
        <v>1055</v>
      </c>
      <c r="AF340" s="4" t="s">
        <v>512</v>
      </c>
    </row>
    <row r="341" spans="1:35" ht="36" x14ac:dyDescent="0.3">
      <c r="A341" s="44" t="s">
        <v>1056</v>
      </c>
      <c r="B341" s="44"/>
      <c r="C341" s="56" t="s">
        <v>509</v>
      </c>
      <c r="D341" s="46"/>
      <c r="E341" s="46"/>
      <c r="F341" s="57" t="s">
        <v>76</v>
      </c>
      <c r="G341" s="58">
        <v>0.15</v>
      </c>
      <c r="H341" s="46"/>
      <c r="I341" s="58">
        <v>32.984999999999999</v>
      </c>
      <c r="J341" s="59">
        <v>88.8</v>
      </c>
      <c r="K341" s="60"/>
      <c r="L341" s="60"/>
      <c r="M341" s="59">
        <f t="shared" si="99"/>
        <v>2929.07</v>
      </c>
      <c r="N341" s="60"/>
      <c r="O341" s="60"/>
      <c r="P341" s="59">
        <v>88.8</v>
      </c>
      <c r="Q341" s="60"/>
      <c r="R341" s="60"/>
      <c r="S341" s="59">
        <f t="shared" si="100"/>
        <v>2929.07</v>
      </c>
      <c r="T341" s="60"/>
      <c r="U341" s="61"/>
      <c r="V341" s="9">
        <f t="shared" si="101"/>
        <v>74</v>
      </c>
      <c r="Y341" s="9">
        <f t="shared" si="102"/>
        <v>2440.89</v>
      </c>
      <c r="AD341" s="4" t="s">
        <v>1057</v>
      </c>
      <c r="AE341" s="4" t="s">
        <v>1055</v>
      </c>
      <c r="AF341" s="4" t="s">
        <v>512</v>
      </c>
    </row>
    <row r="342" spans="1:35" ht="18" x14ac:dyDescent="0.3">
      <c r="A342" s="38" t="s">
        <v>1058</v>
      </c>
      <c r="B342" s="38"/>
      <c r="C342" s="49" t="s">
        <v>949</v>
      </c>
      <c r="D342" s="40"/>
      <c r="E342" s="40"/>
      <c r="F342" s="50" t="s">
        <v>123</v>
      </c>
      <c r="G342" s="51">
        <v>1</v>
      </c>
      <c r="H342" s="40"/>
      <c r="I342" s="62">
        <v>0</v>
      </c>
      <c r="J342" s="53">
        <v>7</v>
      </c>
      <c r="K342" s="54"/>
      <c r="L342" s="54"/>
      <c r="M342" s="53">
        <f t="shared" si="99"/>
        <v>0</v>
      </c>
      <c r="N342" s="54"/>
      <c r="O342" s="54"/>
      <c r="P342" s="53">
        <v>7</v>
      </c>
      <c r="Q342" s="54"/>
      <c r="R342" s="54"/>
      <c r="S342" s="53">
        <f t="shared" si="100"/>
        <v>0</v>
      </c>
      <c r="T342" s="54"/>
      <c r="U342" s="55"/>
      <c r="V342" s="9">
        <f t="shared" si="101"/>
        <v>5.83</v>
      </c>
      <c r="Y342" s="9">
        <f t="shared" si="102"/>
        <v>0</v>
      </c>
      <c r="AD342" s="4" t="s">
        <v>1059</v>
      </c>
      <c r="AE342" s="4" t="s">
        <v>1060</v>
      </c>
      <c r="AF342" s="4" t="s">
        <v>952</v>
      </c>
    </row>
    <row r="343" spans="1:35" ht="18" x14ac:dyDescent="0.3">
      <c r="A343" s="44" t="s">
        <v>1061</v>
      </c>
      <c r="B343" s="44"/>
      <c r="C343" s="56" t="s">
        <v>949</v>
      </c>
      <c r="D343" s="46"/>
      <c r="E343" s="46"/>
      <c r="F343" s="57" t="s">
        <v>123</v>
      </c>
      <c r="G343" s="58">
        <v>1</v>
      </c>
      <c r="H343" s="46"/>
      <c r="I343" s="63">
        <v>219.9</v>
      </c>
      <c r="J343" s="59">
        <v>7</v>
      </c>
      <c r="K343" s="60"/>
      <c r="L343" s="60"/>
      <c r="M343" s="59">
        <f t="shared" si="99"/>
        <v>1539.3</v>
      </c>
      <c r="N343" s="60"/>
      <c r="O343" s="60"/>
      <c r="P343" s="59">
        <v>7</v>
      </c>
      <c r="Q343" s="60"/>
      <c r="R343" s="60"/>
      <c r="S343" s="59">
        <f t="shared" si="100"/>
        <v>1539.3</v>
      </c>
      <c r="T343" s="60"/>
      <c r="U343" s="61"/>
      <c r="V343" s="9">
        <f t="shared" si="101"/>
        <v>5.83</v>
      </c>
      <c r="Y343" s="9">
        <f t="shared" si="102"/>
        <v>1282.75</v>
      </c>
      <c r="AD343" s="4" t="s">
        <v>1062</v>
      </c>
      <c r="AE343" s="4" t="s">
        <v>1060</v>
      </c>
      <c r="AF343" s="4" t="s">
        <v>952</v>
      </c>
    </row>
    <row r="344" spans="1:35" ht="18" x14ac:dyDescent="0.3">
      <c r="A344" s="38" t="s">
        <v>1063</v>
      </c>
      <c r="B344" s="38"/>
      <c r="C344" s="49" t="s">
        <v>907</v>
      </c>
      <c r="D344" s="40"/>
      <c r="E344" s="40"/>
      <c r="F344" s="50" t="s">
        <v>98</v>
      </c>
      <c r="G344" s="51">
        <v>0.3</v>
      </c>
      <c r="H344" s="40"/>
      <c r="I344" s="62">
        <v>0</v>
      </c>
      <c r="J344" s="53">
        <v>37.049999999999997</v>
      </c>
      <c r="K344" s="54"/>
      <c r="L344" s="54"/>
      <c r="M344" s="53">
        <f t="shared" si="99"/>
        <v>0</v>
      </c>
      <c r="N344" s="54"/>
      <c r="O344" s="54"/>
      <c r="P344" s="53">
        <v>37.049999999999997</v>
      </c>
      <c r="Q344" s="54"/>
      <c r="R344" s="54"/>
      <c r="S344" s="53">
        <f t="shared" si="100"/>
        <v>0</v>
      </c>
      <c r="T344" s="54"/>
      <c r="U344" s="55"/>
      <c r="V344" s="9">
        <f t="shared" si="101"/>
        <v>30.88</v>
      </c>
      <c r="Y344" s="9">
        <f t="shared" si="102"/>
        <v>0</v>
      </c>
      <c r="AD344" s="4" t="s">
        <v>1064</v>
      </c>
      <c r="AE344" s="4" t="s">
        <v>1065</v>
      </c>
      <c r="AF344" s="4" t="s">
        <v>910</v>
      </c>
    </row>
    <row r="345" spans="1:35" ht="18" x14ac:dyDescent="0.3">
      <c r="A345" s="44" t="s">
        <v>1066</v>
      </c>
      <c r="B345" s="44"/>
      <c r="C345" s="56" t="s">
        <v>907</v>
      </c>
      <c r="D345" s="46"/>
      <c r="E345" s="46"/>
      <c r="F345" s="57" t="s">
        <v>98</v>
      </c>
      <c r="G345" s="58">
        <v>0.3</v>
      </c>
      <c r="H345" s="46"/>
      <c r="I345" s="63">
        <v>65.97</v>
      </c>
      <c r="J345" s="59">
        <v>37.049999999999997</v>
      </c>
      <c r="K345" s="60"/>
      <c r="L345" s="60"/>
      <c r="M345" s="59">
        <f t="shared" si="99"/>
        <v>2444.19</v>
      </c>
      <c r="N345" s="60"/>
      <c r="O345" s="60"/>
      <c r="P345" s="59">
        <v>37.049999999999997</v>
      </c>
      <c r="Q345" s="60"/>
      <c r="R345" s="60"/>
      <c r="S345" s="59">
        <f t="shared" si="100"/>
        <v>2444.19</v>
      </c>
      <c r="T345" s="60"/>
      <c r="U345" s="61"/>
      <c r="V345" s="9">
        <f t="shared" si="101"/>
        <v>30.88</v>
      </c>
      <c r="Y345" s="9">
        <f t="shared" si="102"/>
        <v>2036.83</v>
      </c>
      <c r="AD345" s="4" t="s">
        <v>1067</v>
      </c>
      <c r="AE345" s="4" t="s">
        <v>1065</v>
      </c>
      <c r="AF345" s="4" t="s">
        <v>910</v>
      </c>
    </row>
    <row r="346" spans="1:35" ht="36" x14ac:dyDescent="0.3">
      <c r="A346" s="38" t="s">
        <v>1068</v>
      </c>
      <c r="B346" s="38"/>
      <c r="C346" s="49" t="s">
        <v>934</v>
      </c>
      <c r="D346" s="40"/>
      <c r="E346" s="40"/>
      <c r="F346" s="50" t="s">
        <v>76</v>
      </c>
      <c r="G346" s="51">
        <v>1.8</v>
      </c>
      <c r="H346" s="40"/>
      <c r="I346" s="52">
        <v>0</v>
      </c>
      <c r="J346" s="53">
        <v>23</v>
      </c>
      <c r="K346" s="54"/>
      <c r="L346" s="54"/>
      <c r="M346" s="53">
        <f t="shared" si="99"/>
        <v>0</v>
      </c>
      <c r="N346" s="54"/>
      <c r="O346" s="54"/>
      <c r="P346" s="53">
        <v>12.58</v>
      </c>
      <c r="Q346" s="54"/>
      <c r="R346" s="54"/>
      <c r="S346" s="53">
        <f t="shared" si="100"/>
        <v>0</v>
      </c>
      <c r="T346" s="54"/>
      <c r="U346" s="55"/>
      <c r="V346" s="9">
        <f t="shared" si="101"/>
        <v>10.48</v>
      </c>
      <c r="Y346" s="9">
        <f t="shared" si="102"/>
        <v>0</v>
      </c>
      <c r="AD346" s="4" t="s">
        <v>1069</v>
      </c>
      <c r="AE346" s="4" t="s">
        <v>1070</v>
      </c>
      <c r="AF346" s="4" t="s">
        <v>937</v>
      </c>
    </row>
    <row r="347" spans="1:35" ht="36" x14ac:dyDescent="0.3">
      <c r="A347" s="44" t="s">
        <v>1071</v>
      </c>
      <c r="B347" s="44"/>
      <c r="C347" s="56" t="s">
        <v>934</v>
      </c>
      <c r="D347" s="46"/>
      <c r="E347" s="46"/>
      <c r="F347" s="57" t="s">
        <v>76</v>
      </c>
      <c r="G347" s="58">
        <v>1.8</v>
      </c>
      <c r="H347" s="46"/>
      <c r="I347" s="58">
        <v>395.82</v>
      </c>
      <c r="J347" s="59">
        <v>23</v>
      </c>
      <c r="K347" s="60"/>
      <c r="L347" s="60"/>
      <c r="M347" s="59">
        <f t="shared" si="99"/>
        <v>9103.86</v>
      </c>
      <c r="N347" s="60"/>
      <c r="O347" s="60"/>
      <c r="P347" s="59">
        <v>12.58</v>
      </c>
      <c r="Q347" s="60"/>
      <c r="R347" s="60"/>
      <c r="S347" s="59">
        <f t="shared" si="100"/>
        <v>4979.42</v>
      </c>
      <c r="T347" s="60"/>
      <c r="U347" s="61"/>
      <c r="V347" s="9">
        <f t="shared" si="101"/>
        <v>10.48</v>
      </c>
      <c r="Y347" s="9">
        <f t="shared" si="102"/>
        <v>4149.5200000000004</v>
      </c>
      <c r="AD347" s="4" t="s">
        <v>1072</v>
      </c>
      <c r="AE347" s="4" t="s">
        <v>1070</v>
      </c>
      <c r="AF347" s="4" t="s">
        <v>937</v>
      </c>
    </row>
    <row r="348" spans="1:35" ht="36" x14ac:dyDescent="0.3">
      <c r="A348" s="11" t="s">
        <v>1073</v>
      </c>
      <c r="B348" s="11" t="s">
        <v>1074</v>
      </c>
      <c r="C348" s="20" t="s">
        <v>1075</v>
      </c>
      <c r="D348" s="21"/>
      <c r="E348" s="21" t="s">
        <v>1076</v>
      </c>
      <c r="F348" s="21" t="s">
        <v>57</v>
      </c>
      <c r="G348" s="22">
        <v>1</v>
      </c>
      <c r="H348" s="21"/>
      <c r="I348" s="22">
        <v>76.599999999999994</v>
      </c>
      <c r="J348" s="23">
        <f>IFERROR(ROUND(SUM(M349,M350,M351)/I348, 2),0)</f>
        <v>82.62</v>
      </c>
      <c r="K348" s="23">
        <v>639</v>
      </c>
      <c r="L348" s="23">
        <f>J348+ROUND(K348, 2)</f>
        <v>721.62</v>
      </c>
      <c r="M348" s="23">
        <f>ROUND(J348*I348, 2)</f>
        <v>6328.69</v>
      </c>
      <c r="N348" s="23">
        <f>ROUND(I348*ROUND(K348, 2), 2)</f>
        <v>48947.4</v>
      </c>
      <c r="O348" s="23">
        <f>M348+N348</f>
        <v>55276.090000000004</v>
      </c>
      <c r="P348" s="23">
        <f>IFERROR(ROUND(SUM(S349,S350,S351)/I348, 2),0)</f>
        <v>91.32</v>
      </c>
      <c r="Q348" s="23">
        <v>639</v>
      </c>
      <c r="R348" s="23">
        <f>P348+ROUND(Q348, 2)</f>
        <v>730.31999999999994</v>
      </c>
      <c r="S348" s="23">
        <f>ROUND(P348*I348, 2)</f>
        <v>6995.11</v>
      </c>
      <c r="T348" s="23">
        <f>ROUND(I348*ROUND(Q348, 2), 2)</f>
        <v>48947.4</v>
      </c>
      <c r="U348" s="23">
        <f>S348+T348</f>
        <v>55942.51</v>
      </c>
      <c r="V348" s="9">
        <f>ROUND(P348 / 1.2, 2)</f>
        <v>76.099999999999994</v>
      </c>
      <c r="W348" s="9">
        <f>ROUND(Q348 / 1.2, 2)</f>
        <v>532.5</v>
      </c>
      <c r="X348" s="9">
        <f>ROUND(R348 / 1.2, 2)</f>
        <v>608.6</v>
      </c>
      <c r="Y348" s="9">
        <f t="shared" si="102"/>
        <v>5829.26</v>
      </c>
      <c r="Z348" s="9">
        <f>ROUND(T348 / 1.2, 2)</f>
        <v>40789.5</v>
      </c>
      <c r="AA348" s="9">
        <f>Y348+Z348</f>
        <v>46618.76</v>
      </c>
      <c r="AD348" s="4">
        <v>341534327</v>
      </c>
      <c r="AE348" s="4">
        <v>28214765</v>
      </c>
      <c r="AG348" s="4" t="s">
        <v>1077</v>
      </c>
      <c r="AH348" s="4" t="s">
        <v>1078</v>
      </c>
      <c r="AI348" s="4" t="s">
        <v>241</v>
      </c>
    </row>
    <row r="349" spans="1:35" ht="18" x14ac:dyDescent="0.3">
      <c r="A349" s="11" t="s">
        <v>1079</v>
      </c>
      <c r="B349" s="11"/>
      <c r="C349" s="30" t="s">
        <v>902</v>
      </c>
      <c r="D349" s="21"/>
      <c r="E349" s="21" t="s">
        <v>1080</v>
      </c>
      <c r="F349" s="31" t="s">
        <v>76</v>
      </c>
      <c r="G349" s="32">
        <v>2</v>
      </c>
      <c r="H349" s="21"/>
      <c r="I349" s="32">
        <v>153.19999999999999</v>
      </c>
      <c r="J349" s="33">
        <v>23.39</v>
      </c>
      <c r="K349" s="12"/>
      <c r="L349" s="12"/>
      <c r="M349" s="33">
        <f>ROUND(ROUND(J349, 2)*I349, 2)</f>
        <v>3583.35</v>
      </c>
      <c r="N349" s="12"/>
      <c r="O349" s="12"/>
      <c r="P349" s="33">
        <v>27.85</v>
      </c>
      <c r="Q349" s="12"/>
      <c r="R349" s="12"/>
      <c r="S349" s="33">
        <f>ROUND(ROUND(P349, 2)*I349, 2)</f>
        <v>4266.62</v>
      </c>
      <c r="T349" s="12"/>
      <c r="U349" s="34"/>
      <c r="V349" s="9">
        <f>ROUND(ROUND(P349, 2)/1.2, 2)</f>
        <v>23.21</v>
      </c>
      <c r="Y349" s="9">
        <f t="shared" si="102"/>
        <v>3555.52</v>
      </c>
      <c r="AD349" s="4" t="s">
        <v>1081</v>
      </c>
      <c r="AE349" s="4" t="s">
        <v>1082</v>
      </c>
      <c r="AF349" s="4" t="s">
        <v>905</v>
      </c>
    </row>
    <row r="350" spans="1:35" ht="36" x14ac:dyDescent="0.3">
      <c r="A350" s="11" t="s">
        <v>1083</v>
      </c>
      <c r="B350" s="11"/>
      <c r="C350" s="30" t="s">
        <v>1084</v>
      </c>
      <c r="D350" s="21"/>
      <c r="E350" s="21"/>
      <c r="F350" s="31" t="s">
        <v>98</v>
      </c>
      <c r="G350" s="32">
        <v>0.3</v>
      </c>
      <c r="H350" s="21"/>
      <c r="I350" s="32">
        <v>22.98</v>
      </c>
      <c r="J350" s="33">
        <v>74.319999999999993</v>
      </c>
      <c r="K350" s="12"/>
      <c r="L350" s="12"/>
      <c r="M350" s="33">
        <f>ROUND(ROUND(J350, 2)*I350, 2)</f>
        <v>1707.87</v>
      </c>
      <c r="N350" s="12"/>
      <c r="O350" s="12"/>
      <c r="P350" s="33">
        <v>74.319999999999993</v>
      </c>
      <c r="Q350" s="12"/>
      <c r="R350" s="12"/>
      <c r="S350" s="33">
        <f>ROUND(ROUND(P350, 2)*I350, 2)</f>
        <v>1707.87</v>
      </c>
      <c r="T350" s="12"/>
      <c r="U350" s="34"/>
      <c r="V350" s="9">
        <f>ROUND(ROUND(P350, 2)/1.2, 2)</f>
        <v>61.93</v>
      </c>
      <c r="Y350" s="9">
        <f t="shared" si="102"/>
        <v>1423.23</v>
      </c>
      <c r="AD350" s="4" t="s">
        <v>1085</v>
      </c>
      <c r="AE350" s="4" t="s">
        <v>1086</v>
      </c>
      <c r="AF350" s="4" t="s">
        <v>1087</v>
      </c>
    </row>
    <row r="351" spans="1:35" ht="36" x14ac:dyDescent="0.3">
      <c r="A351" s="11" t="s">
        <v>1088</v>
      </c>
      <c r="B351" s="11"/>
      <c r="C351" s="30" t="s">
        <v>509</v>
      </c>
      <c r="D351" s="21"/>
      <c r="E351" s="21"/>
      <c r="F351" s="31" t="s">
        <v>76</v>
      </c>
      <c r="G351" s="32">
        <v>0.15</v>
      </c>
      <c r="H351" s="21"/>
      <c r="I351" s="32">
        <v>11.49</v>
      </c>
      <c r="J351" s="33">
        <v>90.28</v>
      </c>
      <c r="K351" s="12"/>
      <c r="L351" s="12"/>
      <c r="M351" s="33">
        <f>ROUND(ROUND(J351, 2)*I351, 2)</f>
        <v>1037.32</v>
      </c>
      <c r="N351" s="12"/>
      <c r="O351" s="12"/>
      <c r="P351" s="33">
        <v>88.8</v>
      </c>
      <c r="Q351" s="12"/>
      <c r="R351" s="12"/>
      <c r="S351" s="33">
        <f>ROUND(ROUND(P351, 2)*I351, 2)</f>
        <v>1020.31</v>
      </c>
      <c r="T351" s="12"/>
      <c r="U351" s="34"/>
      <c r="V351" s="9">
        <f>ROUND(ROUND(P351, 2)/1.2, 2)</f>
        <v>74</v>
      </c>
      <c r="Y351" s="9">
        <f t="shared" si="102"/>
        <v>850.26</v>
      </c>
      <c r="AD351" s="4" t="s">
        <v>1089</v>
      </c>
      <c r="AE351" s="4" t="s">
        <v>1090</v>
      </c>
      <c r="AF351" s="4" t="s">
        <v>512</v>
      </c>
    </row>
    <row r="352" spans="1:35" ht="36" x14ac:dyDescent="0.3">
      <c r="A352" s="11" t="s">
        <v>1091</v>
      </c>
      <c r="B352" s="11" t="s">
        <v>1074</v>
      </c>
      <c r="C352" s="20" t="s">
        <v>1075</v>
      </c>
      <c r="D352" s="21"/>
      <c r="E352" s="21" t="s">
        <v>1092</v>
      </c>
      <c r="F352" s="21" t="s">
        <v>57</v>
      </c>
      <c r="G352" s="22">
        <v>1</v>
      </c>
      <c r="H352" s="21"/>
      <c r="I352" s="22">
        <v>76.599999999999994</v>
      </c>
      <c r="J352" s="23">
        <f>IFERROR(ROUND(SUM(M353,M354)/I352, 2),0)</f>
        <v>60.32</v>
      </c>
      <c r="K352" s="23">
        <v>639</v>
      </c>
      <c r="L352" s="23">
        <f>J352+ROUND(K352, 2)</f>
        <v>699.32</v>
      </c>
      <c r="M352" s="23">
        <f>ROUND(J352*I352, 2)</f>
        <v>4620.51</v>
      </c>
      <c r="N352" s="23">
        <f>ROUND(I352*ROUND(K352, 2), 2)</f>
        <v>48947.4</v>
      </c>
      <c r="O352" s="23">
        <f>M352+N352</f>
        <v>53567.91</v>
      </c>
      <c r="P352" s="23">
        <f>IFERROR(ROUND(SUM(S353,S354)/I352, 2),0)</f>
        <v>77.94</v>
      </c>
      <c r="Q352" s="23">
        <v>639</v>
      </c>
      <c r="R352" s="23">
        <f>P352+ROUND(Q352, 2)</f>
        <v>716.94</v>
      </c>
      <c r="S352" s="23">
        <f>ROUND(P352*I352, 2)</f>
        <v>5970.2</v>
      </c>
      <c r="T352" s="23">
        <f>ROUND(I352*ROUND(Q352, 2), 2)</f>
        <v>48947.4</v>
      </c>
      <c r="U352" s="23">
        <f>S352+T352</f>
        <v>54917.599999999999</v>
      </c>
      <c r="V352" s="9">
        <f>ROUND(P352 / 1.2, 2)</f>
        <v>64.95</v>
      </c>
      <c r="W352" s="9">
        <f>ROUND(Q352 / 1.2, 2)</f>
        <v>532.5</v>
      </c>
      <c r="X352" s="9">
        <f>ROUND(R352 / 1.2, 2)</f>
        <v>597.45000000000005</v>
      </c>
      <c r="Y352" s="9">
        <f t="shared" si="102"/>
        <v>4975.17</v>
      </c>
      <c r="Z352" s="9">
        <f>ROUND(T352 / 1.2, 2)</f>
        <v>40789.5</v>
      </c>
      <c r="AA352" s="9">
        <f>Y352+Z352</f>
        <v>45764.67</v>
      </c>
      <c r="AD352" s="4">
        <v>341534387</v>
      </c>
      <c r="AE352" s="4">
        <v>28214769</v>
      </c>
      <c r="AG352" s="4" t="s">
        <v>1077</v>
      </c>
      <c r="AH352" s="4" t="s">
        <v>1078</v>
      </c>
      <c r="AI352" s="4" t="s">
        <v>241</v>
      </c>
    </row>
    <row r="353" spans="1:35" ht="36" x14ac:dyDescent="0.3">
      <c r="A353" s="11" t="s">
        <v>1093</v>
      </c>
      <c r="B353" s="11"/>
      <c r="C353" s="30" t="s">
        <v>509</v>
      </c>
      <c r="D353" s="21"/>
      <c r="E353" s="21"/>
      <c r="F353" s="31" t="s">
        <v>76</v>
      </c>
      <c r="G353" s="32">
        <v>0.15</v>
      </c>
      <c r="H353" s="21"/>
      <c r="I353" s="32">
        <v>11.49</v>
      </c>
      <c r="J353" s="33">
        <v>90.28</v>
      </c>
      <c r="K353" s="12"/>
      <c r="L353" s="12"/>
      <c r="M353" s="33">
        <f>ROUND(ROUND(J353, 2)*I353, 2)</f>
        <v>1037.32</v>
      </c>
      <c r="N353" s="12"/>
      <c r="O353" s="12"/>
      <c r="P353" s="33">
        <v>88.8</v>
      </c>
      <c r="Q353" s="12"/>
      <c r="R353" s="12"/>
      <c r="S353" s="33">
        <f>ROUND(ROUND(P353, 2)*I353, 2)</f>
        <v>1020.31</v>
      </c>
      <c r="T353" s="12"/>
      <c r="U353" s="34"/>
      <c r="V353" s="9">
        <f>ROUND(ROUND(P353, 2)/1.2, 2)</f>
        <v>74</v>
      </c>
      <c r="Y353" s="9">
        <f t="shared" si="102"/>
        <v>850.26</v>
      </c>
      <c r="AD353" s="4" t="s">
        <v>1094</v>
      </c>
      <c r="AE353" s="4" t="s">
        <v>1095</v>
      </c>
      <c r="AF353" s="4" t="s">
        <v>512</v>
      </c>
    </row>
    <row r="354" spans="1:35" ht="18" x14ac:dyDescent="0.3">
      <c r="A354" s="11" t="s">
        <v>1096</v>
      </c>
      <c r="B354" s="11"/>
      <c r="C354" s="30" t="s">
        <v>902</v>
      </c>
      <c r="D354" s="21"/>
      <c r="E354" s="21" t="s">
        <v>1097</v>
      </c>
      <c r="F354" s="31" t="s">
        <v>76</v>
      </c>
      <c r="G354" s="32">
        <v>2</v>
      </c>
      <c r="H354" s="21"/>
      <c r="I354" s="32">
        <v>153.19999999999999</v>
      </c>
      <c r="J354" s="33">
        <v>23.39</v>
      </c>
      <c r="K354" s="12"/>
      <c r="L354" s="12"/>
      <c r="M354" s="33">
        <f>ROUND(ROUND(J354, 2)*I354, 2)</f>
        <v>3583.35</v>
      </c>
      <c r="N354" s="12"/>
      <c r="O354" s="12"/>
      <c r="P354" s="33">
        <v>32.31</v>
      </c>
      <c r="Q354" s="12"/>
      <c r="R354" s="12"/>
      <c r="S354" s="33">
        <f>ROUND(ROUND(P354, 2)*I354, 2)</f>
        <v>4949.8900000000003</v>
      </c>
      <c r="T354" s="12"/>
      <c r="U354" s="34"/>
      <c r="V354" s="9">
        <f>ROUND(ROUND(P354, 2)/1.2, 2)</f>
        <v>26.93</v>
      </c>
      <c r="Y354" s="9">
        <f t="shared" si="102"/>
        <v>4124.91</v>
      </c>
      <c r="AD354" s="4" t="s">
        <v>1098</v>
      </c>
      <c r="AE354" s="4" t="s">
        <v>1099</v>
      </c>
      <c r="AF354" s="4" t="s">
        <v>905</v>
      </c>
    </row>
    <row r="355" spans="1:35" ht="36" x14ac:dyDescent="0.3">
      <c r="A355" s="11" t="s">
        <v>1100</v>
      </c>
      <c r="B355" s="11" t="s">
        <v>1074</v>
      </c>
      <c r="C355" s="20" t="s">
        <v>1075</v>
      </c>
      <c r="D355" s="21"/>
      <c r="E355" s="21" t="s">
        <v>1101</v>
      </c>
      <c r="F355" s="21" t="s">
        <v>57</v>
      </c>
      <c r="G355" s="22">
        <v>1</v>
      </c>
      <c r="H355" s="21"/>
      <c r="I355" s="22">
        <v>76.599999999999994</v>
      </c>
      <c r="J355" s="23">
        <f>IFERROR(ROUND(SUM(M356,M357)/I355, 2),0)</f>
        <v>60.32</v>
      </c>
      <c r="K355" s="23">
        <v>639</v>
      </c>
      <c r="L355" s="23">
        <f>J355+ROUND(K355, 2)</f>
        <v>699.32</v>
      </c>
      <c r="M355" s="23">
        <f>ROUND(J355*I355, 2)</f>
        <v>4620.51</v>
      </c>
      <c r="N355" s="23">
        <f>ROUND(I355*ROUND(K355, 2), 2)</f>
        <v>48947.4</v>
      </c>
      <c r="O355" s="23">
        <f>M355+N355</f>
        <v>53567.91</v>
      </c>
      <c r="P355" s="23">
        <f>IFERROR(ROUND(SUM(S356,S357)/I355, 2),0)</f>
        <v>98.52</v>
      </c>
      <c r="Q355" s="23">
        <v>639</v>
      </c>
      <c r="R355" s="23">
        <f>P355+ROUND(Q355, 2)</f>
        <v>737.52</v>
      </c>
      <c r="S355" s="23">
        <f>ROUND(P355*I355, 2)</f>
        <v>7546.63</v>
      </c>
      <c r="T355" s="23">
        <f>ROUND(I355*ROUND(Q355, 2), 2)</f>
        <v>48947.4</v>
      </c>
      <c r="U355" s="23">
        <f>S355+T355</f>
        <v>56494.03</v>
      </c>
      <c r="V355" s="9">
        <f>ROUND(P355 / 1.2, 2)</f>
        <v>82.1</v>
      </c>
      <c r="W355" s="9">
        <f>ROUND(Q355 / 1.2, 2)</f>
        <v>532.5</v>
      </c>
      <c r="X355" s="9">
        <f>ROUND(R355 / 1.2, 2)</f>
        <v>614.6</v>
      </c>
      <c r="Y355" s="9">
        <f t="shared" si="102"/>
        <v>6288.86</v>
      </c>
      <c r="Z355" s="9">
        <f>ROUND(T355 / 1.2, 2)</f>
        <v>40789.5</v>
      </c>
      <c r="AA355" s="9">
        <f>Y355+Z355</f>
        <v>47078.36</v>
      </c>
      <c r="AD355" s="4">
        <v>341534388</v>
      </c>
      <c r="AE355" s="4">
        <v>28214767</v>
      </c>
      <c r="AG355" s="4" t="s">
        <v>1077</v>
      </c>
      <c r="AH355" s="4" t="s">
        <v>1078</v>
      </c>
      <c r="AI355" s="4" t="s">
        <v>241</v>
      </c>
    </row>
    <row r="356" spans="1:35" ht="36" x14ac:dyDescent="0.3">
      <c r="A356" s="11" t="s">
        <v>1102</v>
      </c>
      <c r="B356" s="11"/>
      <c r="C356" s="30" t="s">
        <v>509</v>
      </c>
      <c r="D356" s="21"/>
      <c r="E356" s="21"/>
      <c r="F356" s="31" t="s">
        <v>76</v>
      </c>
      <c r="G356" s="32">
        <v>0.15</v>
      </c>
      <c r="H356" s="21"/>
      <c r="I356" s="32">
        <v>11.49</v>
      </c>
      <c r="J356" s="33">
        <v>90.28</v>
      </c>
      <c r="K356" s="12"/>
      <c r="L356" s="12"/>
      <c r="M356" s="33">
        <f>ROUND(ROUND(J356, 2)*I356, 2)</f>
        <v>1037.32</v>
      </c>
      <c r="N356" s="12"/>
      <c r="O356" s="12"/>
      <c r="P356" s="33">
        <v>88.8</v>
      </c>
      <c r="Q356" s="12"/>
      <c r="R356" s="12"/>
      <c r="S356" s="33">
        <f>ROUND(ROUND(P356, 2)*I356, 2)</f>
        <v>1020.31</v>
      </c>
      <c r="T356" s="12"/>
      <c r="U356" s="34"/>
      <c r="V356" s="9">
        <f>ROUND(ROUND(P356, 2)/1.2, 2)</f>
        <v>74</v>
      </c>
      <c r="Y356" s="9">
        <f t="shared" si="102"/>
        <v>850.26</v>
      </c>
      <c r="AD356" s="4" t="s">
        <v>1103</v>
      </c>
      <c r="AE356" s="4" t="s">
        <v>1104</v>
      </c>
      <c r="AF356" s="4" t="s">
        <v>512</v>
      </c>
    </row>
    <row r="357" spans="1:35" ht="18" x14ac:dyDescent="0.3">
      <c r="A357" s="11" t="s">
        <v>1105</v>
      </c>
      <c r="B357" s="11"/>
      <c r="C357" s="30" t="s">
        <v>902</v>
      </c>
      <c r="D357" s="21"/>
      <c r="E357" s="21" t="s">
        <v>1106</v>
      </c>
      <c r="F357" s="31" t="s">
        <v>76</v>
      </c>
      <c r="G357" s="32">
        <v>2</v>
      </c>
      <c r="H357" s="21"/>
      <c r="I357" s="32">
        <v>153.19999999999999</v>
      </c>
      <c r="J357" s="33">
        <v>23.39</v>
      </c>
      <c r="K357" s="12"/>
      <c r="L357" s="12"/>
      <c r="M357" s="33">
        <f>ROUND(ROUND(J357, 2)*I357, 2)</f>
        <v>3583.35</v>
      </c>
      <c r="N357" s="12"/>
      <c r="O357" s="12"/>
      <c r="P357" s="33">
        <v>42.6</v>
      </c>
      <c r="Q357" s="12"/>
      <c r="R357" s="12"/>
      <c r="S357" s="33">
        <f>ROUND(ROUND(P357, 2)*I357, 2)</f>
        <v>6526.32</v>
      </c>
      <c r="T357" s="12"/>
      <c r="U357" s="34"/>
      <c r="V357" s="9">
        <f>ROUND(ROUND(P357, 2)/1.2, 2)</f>
        <v>35.5</v>
      </c>
      <c r="Y357" s="9">
        <f t="shared" si="102"/>
        <v>5438.6</v>
      </c>
      <c r="AD357" s="4" t="s">
        <v>1107</v>
      </c>
      <c r="AE357" s="4" t="s">
        <v>1108</v>
      </c>
      <c r="AF357" s="4" t="s">
        <v>905</v>
      </c>
    </row>
    <row r="358" spans="1:35" ht="36" x14ac:dyDescent="0.3">
      <c r="A358" s="11" t="s">
        <v>1109</v>
      </c>
      <c r="B358" s="11" t="s">
        <v>1074</v>
      </c>
      <c r="C358" s="20" t="s">
        <v>1075</v>
      </c>
      <c r="D358" s="21"/>
      <c r="E358" s="21" t="s">
        <v>1110</v>
      </c>
      <c r="F358" s="21" t="s">
        <v>57</v>
      </c>
      <c r="G358" s="22">
        <v>1</v>
      </c>
      <c r="H358" s="21"/>
      <c r="I358" s="22">
        <v>520.01</v>
      </c>
      <c r="J358" s="23">
        <f>IFERROR(ROUND(SUM(M359,M360,M361)/I358, 2),0)</f>
        <v>82.62</v>
      </c>
      <c r="K358" s="23">
        <v>639</v>
      </c>
      <c r="L358" s="23">
        <f>J358+ROUND(K358, 2)</f>
        <v>721.62</v>
      </c>
      <c r="M358" s="23">
        <f>ROUND(J358*I358, 2)</f>
        <v>42963.23</v>
      </c>
      <c r="N358" s="23">
        <f>ROUND(I358*ROUND(K358, 2), 2)</f>
        <v>332286.39</v>
      </c>
      <c r="O358" s="23">
        <f>M358+N358</f>
        <v>375249.62</v>
      </c>
      <c r="P358" s="23">
        <f>IFERROR(ROUND(SUM(S359,S360,S361)/I358, 2),0)</f>
        <v>91.32</v>
      </c>
      <c r="Q358" s="23">
        <v>639</v>
      </c>
      <c r="R358" s="23">
        <f>P358+ROUND(Q358, 2)</f>
        <v>730.31999999999994</v>
      </c>
      <c r="S358" s="23">
        <f>ROUND(P358*I358, 2)</f>
        <v>47487.31</v>
      </c>
      <c r="T358" s="23">
        <f>ROUND(I358*ROUND(Q358, 2), 2)</f>
        <v>332286.39</v>
      </c>
      <c r="U358" s="23">
        <f>S358+T358</f>
        <v>379773.7</v>
      </c>
      <c r="V358" s="9">
        <f>ROUND(P358 / 1.2, 2)</f>
        <v>76.099999999999994</v>
      </c>
      <c r="W358" s="9">
        <f>ROUND(Q358 / 1.2, 2)</f>
        <v>532.5</v>
      </c>
      <c r="X358" s="9">
        <f>ROUND(R358 / 1.2, 2)</f>
        <v>608.6</v>
      </c>
      <c r="Y358" s="9">
        <f t="shared" si="102"/>
        <v>39572.76</v>
      </c>
      <c r="Z358" s="9">
        <f>ROUND(T358 / 1.2, 2)</f>
        <v>276905.33</v>
      </c>
      <c r="AA358" s="9">
        <f>Y358+Z358</f>
        <v>316478.09000000003</v>
      </c>
      <c r="AD358" s="4">
        <v>341534389</v>
      </c>
      <c r="AE358" s="4">
        <v>28222003</v>
      </c>
      <c r="AG358" s="4" t="s">
        <v>1077</v>
      </c>
      <c r="AH358" s="4" t="s">
        <v>1078</v>
      </c>
      <c r="AI358" s="4" t="s">
        <v>241</v>
      </c>
    </row>
    <row r="359" spans="1:35" ht="36" x14ac:dyDescent="0.3">
      <c r="A359" s="11" t="s">
        <v>1111</v>
      </c>
      <c r="B359" s="11"/>
      <c r="C359" s="30" t="s">
        <v>509</v>
      </c>
      <c r="D359" s="21"/>
      <c r="E359" s="21"/>
      <c r="F359" s="31" t="s">
        <v>76</v>
      </c>
      <c r="G359" s="32">
        <v>0.15</v>
      </c>
      <c r="H359" s="21"/>
      <c r="I359" s="32">
        <v>78.001999999999995</v>
      </c>
      <c r="J359" s="33">
        <v>90.28</v>
      </c>
      <c r="K359" s="12"/>
      <c r="L359" s="12"/>
      <c r="M359" s="33">
        <f>ROUND(ROUND(J359, 2)*I359, 2)</f>
        <v>7042.02</v>
      </c>
      <c r="N359" s="12"/>
      <c r="O359" s="12"/>
      <c r="P359" s="33">
        <v>88.8</v>
      </c>
      <c r="Q359" s="12"/>
      <c r="R359" s="12"/>
      <c r="S359" s="33">
        <f>ROUND(ROUND(P359, 2)*I359, 2)</f>
        <v>6926.58</v>
      </c>
      <c r="T359" s="12"/>
      <c r="U359" s="34"/>
      <c r="V359" s="9">
        <f>ROUND(ROUND(P359, 2)/1.2, 2)</f>
        <v>74</v>
      </c>
      <c r="Y359" s="9">
        <f t="shared" si="102"/>
        <v>5772.15</v>
      </c>
      <c r="AD359" s="4" t="s">
        <v>1112</v>
      </c>
      <c r="AE359" s="4" t="s">
        <v>1113</v>
      </c>
      <c r="AF359" s="4" t="s">
        <v>512</v>
      </c>
    </row>
    <row r="360" spans="1:35" ht="36" x14ac:dyDescent="0.3">
      <c r="A360" s="11" t="s">
        <v>1114</v>
      </c>
      <c r="B360" s="11"/>
      <c r="C360" s="30" t="s">
        <v>1084</v>
      </c>
      <c r="D360" s="21"/>
      <c r="E360" s="21"/>
      <c r="F360" s="31" t="s">
        <v>98</v>
      </c>
      <c r="G360" s="32">
        <v>0.3</v>
      </c>
      <c r="H360" s="21"/>
      <c r="I360" s="32">
        <v>156.00299999999999</v>
      </c>
      <c r="J360" s="33">
        <v>74.319999999999993</v>
      </c>
      <c r="K360" s="12"/>
      <c r="L360" s="12"/>
      <c r="M360" s="33">
        <f>ROUND(ROUND(J360, 2)*I360, 2)</f>
        <v>11594.14</v>
      </c>
      <c r="N360" s="12"/>
      <c r="O360" s="12"/>
      <c r="P360" s="33">
        <v>74.319999999999993</v>
      </c>
      <c r="Q360" s="12"/>
      <c r="R360" s="12"/>
      <c r="S360" s="33">
        <f>ROUND(ROUND(P360, 2)*I360, 2)</f>
        <v>11594.14</v>
      </c>
      <c r="T360" s="12"/>
      <c r="U360" s="34"/>
      <c r="V360" s="9">
        <f>ROUND(ROUND(P360, 2)/1.2, 2)</f>
        <v>61.93</v>
      </c>
      <c r="Y360" s="9">
        <f t="shared" si="102"/>
        <v>9661.7800000000007</v>
      </c>
      <c r="AD360" s="4" t="s">
        <v>1115</v>
      </c>
      <c r="AE360" s="4" t="s">
        <v>1116</v>
      </c>
      <c r="AF360" s="4" t="s">
        <v>1087</v>
      </c>
    </row>
    <row r="361" spans="1:35" ht="18" x14ac:dyDescent="0.3">
      <c r="A361" s="11" t="s">
        <v>1117</v>
      </c>
      <c r="B361" s="11"/>
      <c r="C361" s="30" t="s">
        <v>902</v>
      </c>
      <c r="D361" s="21"/>
      <c r="E361" s="21" t="s">
        <v>1080</v>
      </c>
      <c r="F361" s="31" t="s">
        <v>76</v>
      </c>
      <c r="G361" s="32">
        <v>2</v>
      </c>
      <c r="H361" s="21"/>
      <c r="I361" s="32">
        <v>1040.02</v>
      </c>
      <c r="J361" s="33">
        <v>23.39</v>
      </c>
      <c r="K361" s="12"/>
      <c r="L361" s="12"/>
      <c r="M361" s="33">
        <f>ROUND(ROUND(J361, 2)*I361, 2)</f>
        <v>24326.07</v>
      </c>
      <c r="N361" s="12"/>
      <c r="O361" s="12"/>
      <c r="P361" s="33">
        <v>27.85</v>
      </c>
      <c r="Q361" s="12"/>
      <c r="R361" s="12"/>
      <c r="S361" s="33">
        <f>ROUND(ROUND(P361, 2)*I361, 2)</f>
        <v>28964.560000000001</v>
      </c>
      <c r="T361" s="12"/>
      <c r="U361" s="34"/>
      <c r="V361" s="9">
        <f>ROUND(ROUND(P361, 2)/1.2, 2)</f>
        <v>23.21</v>
      </c>
      <c r="Y361" s="9">
        <f t="shared" si="102"/>
        <v>24137.13</v>
      </c>
      <c r="AD361" s="4" t="s">
        <v>1118</v>
      </c>
      <c r="AE361" s="4" t="s">
        <v>1119</v>
      </c>
      <c r="AF361" s="4" t="s">
        <v>905</v>
      </c>
    </row>
    <row r="362" spans="1:35" ht="36" x14ac:dyDescent="0.3">
      <c r="A362" s="11" t="s">
        <v>1120</v>
      </c>
      <c r="B362" s="11" t="s">
        <v>1074</v>
      </c>
      <c r="C362" s="20" t="s">
        <v>1075</v>
      </c>
      <c r="D362" s="21"/>
      <c r="E362" s="21" t="s">
        <v>1121</v>
      </c>
      <c r="F362" s="21" t="s">
        <v>57</v>
      </c>
      <c r="G362" s="22">
        <v>1</v>
      </c>
      <c r="H362" s="21"/>
      <c r="I362" s="22">
        <v>520.01</v>
      </c>
      <c r="J362" s="23">
        <f>IFERROR(ROUND(SUM(M363,M364)/I362, 2),0)</f>
        <v>60.32</v>
      </c>
      <c r="K362" s="23">
        <v>639</v>
      </c>
      <c r="L362" s="23">
        <f>J362+ROUND(K362, 2)</f>
        <v>699.32</v>
      </c>
      <c r="M362" s="23">
        <f>ROUND(J362*I362, 2)</f>
        <v>31367</v>
      </c>
      <c r="N362" s="23">
        <f>ROUND(I362*ROUND(K362, 2), 2)</f>
        <v>332286.39</v>
      </c>
      <c r="O362" s="23">
        <f>M362+N362</f>
        <v>363653.39</v>
      </c>
      <c r="P362" s="23">
        <f>IFERROR(ROUND(SUM(S363,S364)/I362, 2),0)</f>
        <v>77.94</v>
      </c>
      <c r="Q362" s="23">
        <v>639</v>
      </c>
      <c r="R362" s="23">
        <f>P362+ROUND(Q362, 2)</f>
        <v>716.94</v>
      </c>
      <c r="S362" s="23">
        <f>ROUND(P362*I362, 2)</f>
        <v>40529.58</v>
      </c>
      <c r="T362" s="23">
        <f>ROUND(I362*ROUND(Q362, 2), 2)</f>
        <v>332286.39</v>
      </c>
      <c r="U362" s="23">
        <f>S362+T362</f>
        <v>372815.97000000003</v>
      </c>
      <c r="V362" s="9">
        <f>ROUND(P362 / 1.2, 2)</f>
        <v>64.95</v>
      </c>
      <c r="W362" s="9">
        <f>ROUND(Q362 / 1.2, 2)</f>
        <v>532.5</v>
      </c>
      <c r="X362" s="9">
        <f>ROUND(R362 / 1.2, 2)</f>
        <v>597.45000000000005</v>
      </c>
      <c r="Y362" s="9">
        <f t="shared" si="102"/>
        <v>33774.65</v>
      </c>
      <c r="Z362" s="9">
        <f>ROUND(T362 / 1.2, 2)</f>
        <v>276905.33</v>
      </c>
      <c r="AA362" s="9">
        <f>Y362+Z362</f>
        <v>310679.98000000004</v>
      </c>
      <c r="AD362" s="4">
        <v>341534390</v>
      </c>
      <c r="AE362" s="4">
        <v>28222011</v>
      </c>
      <c r="AG362" s="4" t="s">
        <v>1077</v>
      </c>
      <c r="AH362" s="4" t="s">
        <v>1078</v>
      </c>
      <c r="AI362" s="4" t="s">
        <v>241</v>
      </c>
    </row>
    <row r="363" spans="1:35" ht="36" x14ac:dyDescent="0.3">
      <c r="A363" s="11" t="s">
        <v>1122</v>
      </c>
      <c r="B363" s="11"/>
      <c r="C363" s="30" t="s">
        <v>509</v>
      </c>
      <c r="D363" s="21"/>
      <c r="E363" s="21"/>
      <c r="F363" s="31" t="s">
        <v>76</v>
      </c>
      <c r="G363" s="32">
        <v>0.15</v>
      </c>
      <c r="H363" s="21"/>
      <c r="I363" s="32">
        <v>78.001999999999995</v>
      </c>
      <c r="J363" s="33">
        <v>90.28</v>
      </c>
      <c r="K363" s="12"/>
      <c r="L363" s="12"/>
      <c r="M363" s="33">
        <f>ROUND(ROUND(J363, 2)*I363, 2)</f>
        <v>7042.02</v>
      </c>
      <c r="N363" s="12"/>
      <c r="O363" s="12"/>
      <c r="P363" s="33">
        <v>88.8</v>
      </c>
      <c r="Q363" s="12"/>
      <c r="R363" s="12"/>
      <c r="S363" s="33">
        <f>ROUND(ROUND(P363, 2)*I363, 2)</f>
        <v>6926.58</v>
      </c>
      <c r="T363" s="12"/>
      <c r="U363" s="34"/>
      <c r="V363" s="9">
        <f>ROUND(ROUND(P363, 2)/1.2, 2)</f>
        <v>74</v>
      </c>
      <c r="Y363" s="9">
        <f t="shared" si="102"/>
        <v>5772.15</v>
      </c>
      <c r="AD363" s="4" t="s">
        <v>1123</v>
      </c>
      <c r="AE363" s="4" t="s">
        <v>1124</v>
      </c>
      <c r="AF363" s="4" t="s">
        <v>512</v>
      </c>
    </row>
    <row r="364" spans="1:35" ht="18" x14ac:dyDescent="0.3">
      <c r="A364" s="11" t="s">
        <v>1125</v>
      </c>
      <c r="B364" s="11"/>
      <c r="C364" s="30" t="s">
        <v>902</v>
      </c>
      <c r="D364" s="21"/>
      <c r="E364" s="21" t="s">
        <v>1097</v>
      </c>
      <c r="F364" s="31" t="s">
        <v>76</v>
      </c>
      <c r="G364" s="32">
        <v>2</v>
      </c>
      <c r="H364" s="21"/>
      <c r="I364" s="32">
        <v>1040.02</v>
      </c>
      <c r="J364" s="33">
        <v>23.39</v>
      </c>
      <c r="K364" s="12"/>
      <c r="L364" s="12"/>
      <c r="M364" s="33">
        <f>ROUND(ROUND(J364, 2)*I364, 2)</f>
        <v>24326.07</v>
      </c>
      <c r="N364" s="12"/>
      <c r="O364" s="12"/>
      <c r="P364" s="33">
        <v>32.31</v>
      </c>
      <c r="Q364" s="12"/>
      <c r="R364" s="12"/>
      <c r="S364" s="33">
        <f>ROUND(ROUND(P364, 2)*I364, 2)</f>
        <v>33603.050000000003</v>
      </c>
      <c r="T364" s="12"/>
      <c r="U364" s="34"/>
      <c r="V364" s="9">
        <f>ROUND(ROUND(P364, 2)/1.2, 2)</f>
        <v>26.93</v>
      </c>
      <c r="Y364" s="9">
        <f t="shared" si="102"/>
        <v>28002.54</v>
      </c>
      <c r="AD364" s="4" t="s">
        <v>1126</v>
      </c>
      <c r="AE364" s="4" t="s">
        <v>1127</v>
      </c>
      <c r="AF364" s="4" t="s">
        <v>905</v>
      </c>
    </row>
    <row r="365" spans="1:35" ht="36" x14ac:dyDescent="0.3">
      <c r="A365" s="11" t="s">
        <v>1128</v>
      </c>
      <c r="B365" s="11" t="s">
        <v>1074</v>
      </c>
      <c r="C365" s="20" t="s">
        <v>1075</v>
      </c>
      <c r="D365" s="21"/>
      <c r="E365" s="21" t="s">
        <v>1129</v>
      </c>
      <c r="F365" s="21" t="s">
        <v>57</v>
      </c>
      <c r="G365" s="22">
        <v>1</v>
      </c>
      <c r="H365" s="21"/>
      <c r="I365" s="22">
        <v>520.01</v>
      </c>
      <c r="J365" s="23">
        <f>IFERROR(ROUND(SUM(M366,M367)/I365, 2),0)</f>
        <v>60.32</v>
      </c>
      <c r="K365" s="23">
        <v>639</v>
      </c>
      <c r="L365" s="23">
        <f>J365+ROUND(K365, 2)</f>
        <v>699.32</v>
      </c>
      <c r="M365" s="23">
        <f>ROUND(J365*I365, 2)</f>
        <v>31367</v>
      </c>
      <c r="N365" s="23">
        <f>ROUND(I365*ROUND(K365, 2), 2)</f>
        <v>332286.39</v>
      </c>
      <c r="O365" s="23">
        <f>M365+N365</f>
        <v>363653.39</v>
      </c>
      <c r="P365" s="23">
        <f>IFERROR(ROUND(SUM(S366,S367)/I365, 2),0)</f>
        <v>98.52</v>
      </c>
      <c r="Q365" s="23">
        <v>639</v>
      </c>
      <c r="R365" s="23">
        <f>P365+ROUND(Q365, 2)</f>
        <v>737.52</v>
      </c>
      <c r="S365" s="23">
        <f>ROUND(P365*I365, 2)</f>
        <v>51231.39</v>
      </c>
      <c r="T365" s="23">
        <f>ROUND(I365*ROUND(Q365, 2), 2)</f>
        <v>332286.39</v>
      </c>
      <c r="U365" s="23">
        <f>S365+T365</f>
        <v>383517.78</v>
      </c>
      <c r="V365" s="9">
        <f>ROUND(P365 / 1.2, 2)</f>
        <v>82.1</v>
      </c>
      <c r="W365" s="9">
        <f>ROUND(Q365 / 1.2, 2)</f>
        <v>532.5</v>
      </c>
      <c r="X365" s="9">
        <f>ROUND(R365 / 1.2, 2)</f>
        <v>614.6</v>
      </c>
      <c r="Y365" s="9">
        <f t="shared" si="102"/>
        <v>42692.83</v>
      </c>
      <c r="Z365" s="9">
        <f>ROUND(T365 / 1.2, 2)</f>
        <v>276905.33</v>
      </c>
      <c r="AA365" s="9">
        <f>Y365+Z365</f>
        <v>319598.16000000003</v>
      </c>
      <c r="AD365" s="4">
        <v>341534391</v>
      </c>
      <c r="AE365" s="4">
        <v>28222008</v>
      </c>
      <c r="AG365" s="4" t="s">
        <v>1077</v>
      </c>
      <c r="AH365" s="4" t="s">
        <v>1078</v>
      </c>
      <c r="AI365" s="4" t="s">
        <v>241</v>
      </c>
    </row>
    <row r="366" spans="1:35" ht="36" x14ac:dyDescent="0.3">
      <c r="A366" s="11" t="s">
        <v>1130</v>
      </c>
      <c r="B366" s="11"/>
      <c r="C366" s="30" t="s">
        <v>509</v>
      </c>
      <c r="D366" s="21"/>
      <c r="E366" s="21"/>
      <c r="F366" s="31" t="s">
        <v>76</v>
      </c>
      <c r="G366" s="32">
        <v>0.15</v>
      </c>
      <c r="H366" s="21"/>
      <c r="I366" s="32">
        <v>78.001999999999995</v>
      </c>
      <c r="J366" s="33">
        <v>90.28</v>
      </c>
      <c r="K366" s="12"/>
      <c r="L366" s="12"/>
      <c r="M366" s="33">
        <f>ROUND(ROUND(J366, 2)*I366, 2)</f>
        <v>7042.02</v>
      </c>
      <c r="N366" s="12"/>
      <c r="O366" s="12"/>
      <c r="P366" s="33">
        <v>88.8</v>
      </c>
      <c r="Q366" s="12"/>
      <c r="R366" s="12"/>
      <c r="S366" s="33">
        <f>ROUND(ROUND(P366, 2)*I366, 2)</f>
        <v>6926.58</v>
      </c>
      <c r="T366" s="12"/>
      <c r="U366" s="34"/>
      <c r="V366" s="9">
        <f>ROUND(ROUND(P366, 2)/1.2, 2)</f>
        <v>74</v>
      </c>
      <c r="Y366" s="9">
        <f t="shared" si="102"/>
        <v>5772.15</v>
      </c>
      <c r="AD366" s="4" t="s">
        <v>1131</v>
      </c>
      <c r="AE366" s="4" t="s">
        <v>1132</v>
      </c>
      <c r="AF366" s="4" t="s">
        <v>512</v>
      </c>
    </row>
    <row r="367" spans="1:35" ht="18" x14ac:dyDescent="0.3">
      <c r="A367" s="11" t="s">
        <v>1133</v>
      </c>
      <c r="B367" s="11"/>
      <c r="C367" s="30" t="s">
        <v>902</v>
      </c>
      <c r="D367" s="21"/>
      <c r="E367" s="21" t="s">
        <v>1106</v>
      </c>
      <c r="F367" s="31" t="s">
        <v>76</v>
      </c>
      <c r="G367" s="32">
        <v>2</v>
      </c>
      <c r="H367" s="21"/>
      <c r="I367" s="32">
        <v>1040.02</v>
      </c>
      <c r="J367" s="33">
        <v>23.39</v>
      </c>
      <c r="K367" s="12"/>
      <c r="L367" s="12"/>
      <c r="M367" s="33">
        <f>ROUND(ROUND(J367, 2)*I367, 2)</f>
        <v>24326.07</v>
      </c>
      <c r="N367" s="12"/>
      <c r="O367" s="12"/>
      <c r="P367" s="33">
        <v>42.6</v>
      </c>
      <c r="Q367" s="12"/>
      <c r="R367" s="12"/>
      <c r="S367" s="33">
        <f>ROUND(ROUND(P367, 2)*I367, 2)</f>
        <v>44304.85</v>
      </c>
      <c r="T367" s="12"/>
      <c r="U367" s="34"/>
      <c r="V367" s="9">
        <f>ROUND(ROUND(P367, 2)/1.2, 2)</f>
        <v>35.5</v>
      </c>
      <c r="Y367" s="9">
        <f t="shared" si="102"/>
        <v>36920.71</v>
      </c>
      <c r="AD367" s="4" t="s">
        <v>1134</v>
      </c>
      <c r="AE367" s="4" t="s">
        <v>1135</v>
      </c>
      <c r="AF367" s="4" t="s">
        <v>905</v>
      </c>
    </row>
    <row r="368" spans="1:35" ht="54" x14ac:dyDescent="0.3">
      <c r="A368" s="11" t="s">
        <v>1136</v>
      </c>
      <c r="B368" s="11" t="s">
        <v>1074</v>
      </c>
      <c r="C368" s="20" t="s">
        <v>1075</v>
      </c>
      <c r="D368" s="21"/>
      <c r="E368" s="21" t="s">
        <v>1137</v>
      </c>
      <c r="F368" s="21" t="s">
        <v>57</v>
      </c>
      <c r="G368" s="22">
        <v>1</v>
      </c>
      <c r="H368" s="21"/>
      <c r="I368" s="22">
        <v>66.28</v>
      </c>
      <c r="J368" s="23">
        <f>IFERROR(ROUND(SUM(M369,M370,M371)/I368, 2),0)</f>
        <v>54.23</v>
      </c>
      <c r="K368" s="23">
        <v>639</v>
      </c>
      <c r="L368" s="23">
        <f>J368+ROUND(K368, 2)</f>
        <v>693.23</v>
      </c>
      <c r="M368" s="23">
        <f>ROUND(J368*I368, 2)</f>
        <v>3594.36</v>
      </c>
      <c r="N368" s="23">
        <f>ROUND(I368*ROUND(K368, 2), 2)</f>
        <v>42352.92</v>
      </c>
      <c r="O368" s="23">
        <f>M368+N368</f>
        <v>45947.28</v>
      </c>
      <c r="P368" s="23">
        <f>IFERROR(ROUND(SUM(S369,S370,S371)/I368, 2),0)</f>
        <v>54.49</v>
      </c>
      <c r="Q368" s="23">
        <v>639</v>
      </c>
      <c r="R368" s="23">
        <f>P368+ROUND(Q368, 2)</f>
        <v>693.49</v>
      </c>
      <c r="S368" s="23">
        <f>ROUND(P368*I368, 2)</f>
        <v>3611.6</v>
      </c>
      <c r="T368" s="23">
        <f>ROUND(I368*ROUND(Q368, 2), 2)</f>
        <v>42352.92</v>
      </c>
      <c r="U368" s="23">
        <f>S368+T368</f>
        <v>45964.52</v>
      </c>
      <c r="V368" s="9">
        <f>ROUND(P368 / 1.2, 2)</f>
        <v>45.41</v>
      </c>
      <c r="W368" s="9">
        <f>ROUND(Q368 / 1.2, 2)</f>
        <v>532.5</v>
      </c>
      <c r="X368" s="9">
        <f>ROUND(R368 / 1.2, 2)</f>
        <v>577.91</v>
      </c>
      <c r="Y368" s="9">
        <f t="shared" si="102"/>
        <v>3009.67</v>
      </c>
      <c r="Z368" s="9">
        <f>ROUND(T368 / 1.2, 2)</f>
        <v>35294.1</v>
      </c>
      <c r="AA368" s="9">
        <f>Y368+Z368</f>
        <v>38303.769999999997</v>
      </c>
      <c r="AD368" s="4">
        <v>341534392</v>
      </c>
      <c r="AE368" s="4">
        <v>28222004</v>
      </c>
      <c r="AG368" s="4" t="s">
        <v>1077</v>
      </c>
      <c r="AH368" s="4" t="s">
        <v>1078</v>
      </c>
      <c r="AI368" s="4" t="s">
        <v>241</v>
      </c>
    </row>
    <row r="369" spans="1:35" ht="36" x14ac:dyDescent="0.3">
      <c r="A369" s="11" t="s">
        <v>1138</v>
      </c>
      <c r="B369" s="11"/>
      <c r="C369" s="30" t="s">
        <v>509</v>
      </c>
      <c r="D369" s="21"/>
      <c r="E369" s="21"/>
      <c r="F369" s="31" t="s">
        <v>76</v>
      </c>
      <c r="G369" s="32">
        <v>0.15</v>
      </c>
      <c r="H369" s="21"/>
      <c r="I369" s="32">
        <v>9.9420000000000002</v>
      </c>
      <c r="J369" s="33">
        <v>90.28</v>
      </c>
      <c r="K369" s="12"/>
      <c r="L369" s="12"/>
      <c r="M369" s="33">
        <f>ROUND(ROUND(J369, 2)*I369, 2)</f>
        <v>897.56</v>
      </c>
      <c r="N369" s="12"/>
      <c r="O369" s="12"/>
      <c r="P369" s="33">
        <v>88.8</v>
      </c>
      <c r="Q369" s="12"/>
      <c r="R369" s="12"/>
      <c r="S369" s="33">
        <f>ROUND(ROUND(P369, 2)*I369, 2)</f>
        <v>882.85</v>
      </c>
      <c r="T369" s="12"/>
      <c r="U369" s="34"/>
      <c r="V369" s="9">
        <f>ROUND(ROUND(P369, 2)/1.2, 2)</f>
        <v>74</v>
      </c>
      <c r="Y369" s="9">
        <f t="shared" si="102"/>
        <v>735.71</v>
      </c>
      <c r="AD369" s="4" t="s">
        <v>1139</v>
      </c>
      <c r="AE369" s="4" t="s">
        <v>1140</v>
      </c>
      <c r="AF369" s="4" t="s">
        <v>512</v>
      </c>
    </row>
    <row r="370" spans="1:35" ht="36" x14ac:dyDescent="0.3">
      <c r="A370" s="11" t="s">
        <v>1141</v>
      </c>
      <c r="B370" s="11"/>
      <c r="C370" s="30" t="s">
        <v>1084</v>
      </c>
      <c r="D370" s="21"/>
      <c r="E370" s="21"/>
      <c r="F370" s="31" t="s">
        <v>98</v>
      </c>
      <c r="G370" s="32">
        <v>0.3</v>
      </c>
      <c r="H370" s="21"/>
      <c r="I370" s="32">
        <v>19.884</v>
      </c>
      <c r="J370" s="33">
        <v>74.319999999999993</v>
      </c>
      <c r="K370" s="12"/>
      <c r="L370" s="12"/>
      <c r="M370" s="33">
        <f>ROUND(ROUND(J370, 2)*I370, 2)</f>
        <v>1477.78</v>
      </c>
      <c r="N370" s="12"/>
      <c r="O370" s="12"/>
      <c r="P370" s="33">
        <v>74.319999999999993</v>
      </c>
      <c r="Q370" s="12"/>
      <c r="R370" s="12"/>
      <c r="S370" s="33">
        <f>ROUND(ROUND(P370, 2)*I370, 2)</f>
        <v>1477.78</v>
      </c>
      <c r="T370" s="12"/>
      <c r="U370" s="34"/>
      <c r="V370" s="9">
        <f>ROUND(ROUND(P370, 2)/1.2, 2)</f>
        <v>61.93</v>
      </c>
      <c r="Y370" s="9">
        <f t="shared" si="102"/>
        <v>1231.48</v>
      </c>
      <c r="AD370" s="4" t="s">
        <v>1142</v>
      </c>
      <c r="AE370" s="4" t="s">
        <v>1143</v>
      </c>
      <c r="AF370" s="4" t="s">
        <v>1087</v>
      </c>
    </row>
    <row r="371" spans="1:35" ht="36" x14ac:dyDescent="0.3">
      <c r="A371" s="11" t="s">
        <v>1144</v>
      </c>
      <c r="B371" s="11"/>
      <c r="C371" s="35" t="s">
        <v>961</v>
      </c>
      <c r="D371" s="21"/>
      <c r="E371" s="21"/>
      <c r="F371" s="31" t="s">
        <v>76</v>
      </c>
      <c r="G371" s="32">
        <v>1.5</v>
      </c>
      <c r="H371" s="21"/>
      <c r="I371" s="32">
        <v>99.42</v>
      </c>
      <c r="J371" s="33">
        <v>12.26</v>
      </c>
      <c r="K371" s="12"/>
      <c r="L371" s="12"/>
      <c r="M371" s="33">
        <f>ROUND(ROUND(J371, 2)*I371, 2)</f>
        <v>1218.8900000000001</v>
      </c>
      <c r="N371" s="12"/>
      <c r="O371" s="12"/>
      <c r="P371" s="33">
        <v>12.58</v>
      </c>
      <c r="Q371" s="12"/>
      <c r="R371" s="12"/>
      <c r="S371" s="33">
        <f>ROUND(ROUND(P371, 2)*I371, 2)</f>
        <v>1250.7</v>
      </c>
      <c r="T371" s="12"/>
      <c r="U371" s="34"/>
      <c r="V371" s="9">
        <f>ROUND(ROUND(P371, 2)/1.2, 2)</f>
        <v>10.48</v>
      </c>
      <c r="Y371" s="9">
        <f t="shared" si="102"/>
        <v>1042.25</v>
      </c>
      <c r="AD371" s="4" t="s">
        <v>1145</v>
      </c>
      <c r="AE371" s="4" t="s">
        <v>1146</v>
      </c>
      <c r="AF371" s="4" t="s">
        <v>1147</v>
      </c>
    </row>
    <row r="372" spans="1:35" ht="36" x14ac:dyDescent="0.3">
      <c r="A372" s="11" t="s">
        <v>1148</v>
      </c>
      <c r="B372" s="11" t="s">
        <v>1074</v>
      </c>
      <c r="C372" s="20" t="s">
        <v>1075</v>
      </c>
      <c r="D372" s="21"/>
      <c r="E372" s="21" t="s">
        <v>1149</v>
      </c>
      <c r="F372" s="21" t="s">
        <v>57</v>
      </c>
      <c r="G372" s="22">
        <v>1</v>
      </c>
      <c r="H372" s="21"/>
      <c r="I372" s="22">
        <v>66.28</v>
      </c>
      <c r="J372" s="23">
        <f>IFERROR(ROUND(SUM(M373,M374)/I372, 2),0)</f>
        <v>31.93</v>
      </c>
      <c r="K372" s="23">
        <v>639</v>
      </c>
      <c r="L372" s="23">
        <f>J372+ROUND(K372, 2)</f>
        <v>670.93</v>
      </c>
      <c r="M372" s="23">
        <f>ROUND(J372*I372, 2)</f>
        <v>2116.3200000000002</v>
      </c>
      <c r="N372" s="23">
        <f>ROUND(I372*ROUND(K372, 2), 2)</f>
        <v>42352.92</v>
      </c>
      <c r="O372" s="23">
        <f>M372+N372</f>
        <v>44469.24</v>
      </c>
      <c r="P372" s="23">
        <f>IFERROR(ROUND(SUM(S373,S374)/I372, 2),0)</f>
        <v>32.19</v>
      </c>
      <c r="Q372" s="23">
        <v>639</v>
      </c>
      <c r="R372" s="23">
        <f>P372+ROUND(Q372, 2)</f>
        <v>671.19</v>
      </c>
      <c r="S372" s="23">
        <f>ROUND(P372*I372, 2)</f>
        <v>2133.5500000000002</v>
      </c>
      <c r="T372" s="23">
        <f>ROUND(I372*ROUND(Q372, 2), 2)</f>
        <v>42352.92</v>
      </c>
      <c r="U372" s="23">
        <f>S372+T372</f>
        <v>44486.47</v>
      </c>
      <c r="V372" s="9">
        <f>ROUND(P372 / 1.2, 2)</f>
        <v>26.83</v>
      </c>
      <c r="W372" s="9">
        <f>ROUND(Q372 / 1.2, 2)</f>
        <v>532.5</v>
      </c>
      <c r="X372" s="9">
        <f>ROUND(R372 / 1.2, 2)</f>
        <v>559.33000000000004</v>
      </c>
      <c r="Y372" s="9">
        <f t="shared" ref="Y372:Y403" si="103">ROUND(S372 / 1.2, 2)</f>
        <v>1777.96</v>
      </c>
      <c r="Z372" s="9">
        <f>ROUND(T372 / 1.2, 2)</f>
        <v>35294.1</v>
      </c>
      <c r="AA372" s="9">
        <f>Y372+Z372</f>
        <v>37072.06</v>
      </c>
      <c r="AD372" s="4">
        <v>341534393</v>
      </c>
      <c r="AE372" s="4">
        <v>28222009</v>
      </c>
      <c r="AG372" s="4" t="s">
        <v>1077</v>
      </c>
      <c r="AH372" s="4" t="s">
        <v>1078</v>
      </c>
      <c r="AI372" s="4" t="s">
        <v>241</v>
      </c>
    </row>
    <row r="373" spans="1:35" ht="36" x14ac:dyDescent="0.3">
      <c r="A373" s="11" t="s">
        <v>1150</v>
      </c>
      <c r="B373" s="11"/>
      <c r="C373" s="30" t="s">
        <v>509</v>
      </c>
      <c r="D373" s="21"/>
      <c r="E373" s="21"/>
      <c r="F373" s="31" t="s">
        <v>76</v>
      </c>
      <c r="G373" s="32">
        <v>0.15</v>
      </c>
      <c r="H373" s="21"/>
      <c r="I373" s="32">
        <v>9.9420000000000002</v>
      </c>
      <c r="J373" s="33">
        <v>90.28</v>
      </c>
      <c r="K373" s="12"/>
      <c r="L373" s="12"/>
      <c r="M373" s="33">
        <f>ROUND(ROUND(J373, 2)*I373, 2)</f>
        <v>897.56</v>
      </c>
      <c r="N373" s="12"/>
      <c r="O373" s="12"/>
      <c r="P373" s="33">
        <v>88.8</v>
      </c>
      <c r="Q373" s="12"/>
      <c r="R373" s="12"/>
      <c r="S373" s="33">
        <f>ROUND(ROUND(P373, 2)*I373, 2)</f>
        <v>882.85</v>
      </c>
      <c r="T373" s="12"/>
      <c r="U373" s="34"/>
      <c r="V373" s="9">
        <f>ROUND(ROUND(P373, 2)/1.2, 2)</f>
        <v>74</v>
      </c>
      <c r="Y373" s="9">
        <f t="shared" si="103"/>
        <v>735.71</v>
      </c>
      <c r="AD373" s="4" t="s">
        <v>1151</v>
      </c>
      <c r="AE373" s="4" t="s">
        <v>1152</v>
      </c>
      <c r="AF373" s="4" t="s">
        <v>512</v>
      </c>
    </row>
    <row r="374" spans="1:35" ht="36" x14ac:dyDescent="0.3">
      <c r="A374" s="11" t="s">
        <v>1153</v>
      </c>
      <c r="B374" s="11"/>
      <c r="C374" s="35" t="s">
        <v>961</v>
      </c>
      <c r="D374" s="21"/>
      <c r="E374" s="21"/>
      <c r="F374" s="31" t="s">
        <v>76</v>
      </c>
      <c r="G374" s="32">
        <v>1.5</v>
      </c>
      <c r="H374" s="21"/>
      <c r="I374" s="32">
        <v>99.42</v>
      </c>
      <c r="J374" s="33">
        <v>12.26</v>
      </c>
      <c r="K374" s="12"/>
      <c r="L374" s="12"/>
      <c r="M374" s="33">
        <f>ROUND(ROUND(J374, 2)*I374, 2)</f>
        <v>1218.8900000000001</v>
      </c>
      <c r="N374" s="12"/>
      <c r="O374" s="12"/>
      <c r="P374" s="33">
        <v>12.58</v>
      </c>
      <c r="Q374" s="12"/>
      <c r="R374" s="12"/>
      <c r="S374" s="33">
        <f>ROUND(ROUND(P374, 2)*I374, 2)</f>
        <v>1250.7</v>
      </c>
      <c r="T374" s="12"/>
      <c r="U374" s="34"/>
      <c r="V374" s="9">
        <f>ROUND(ROUND(P374, 2)/1.2, 2)</f>
        <v>10.48</v>
      </c>
      <c r="Y374" s="9">
        <f t="shared" si="103"/>
        <v>1042.25</v>
      </c>
      <c r="AD374" s="4" t="s">
        <v>1154</v>
      </c>
      <c r="AE374" s="4" t="s">
        <v>1155</v>
      </c>
      <c r="AF374" s="4" t="s">
        <v>1147</v>
      </c>
    </row>
    <row r="375" spans="1:35" ht="36" x14ac:dyDescent="0.3">
      <c r="A375" s="11" t="s">
        <v>1156</v>
      </c>
      <c r="B375" s="11" t="s">
        <v>1074</v>
      </c>
      <c r="C375" s="20" t="s">
        <v>1075</v>
      </c>
      <c r="D375" s="21"/>
      <c r="E375" s="21" t="s">
        <v>1157</v>
      </c>
      <c r="F375" s="21" t="s">
        <v>57</v>
      </c>
      <c r="G375" s="22">
        <v>1</v>
      </c>
      <c r="H375" s="21"/>
      <c r="I375" s="22">
        <v>66.28</v>
      </c>
      <c r="J375" s="23">
        <f>IFERROR(ROUND(SUM(M376,M377)/I375, 2),0)</f>
        <v>31.93</v>
      </c>
      <c r="K375" s="23">
        <v>639</v>
      </c>
      <c r="L375" s="23">
        <f>J375+ROUND(K375, 2)</f>
        <v>670.93</v>
      </c>
      <c r="M375" s="23">
        <f>ROUND(J375*I375, 2)</f>
        <v>2116.3200000000002</v>
      </c>
      <c r="N375" s="23">
        <f>ROUND(I375*ROUND(K375, 2), 2)</f>
        <v>42352.92</v>
      </c>
      <c r="O375" s="23">
        <f>M375+N375</f>
        <v>44469.24</v>
      </c>
      <c r="P375" s="23">
        <f>IFERROR(ROUND(SUM(S376,S377)/I375, 2),0)</f>
        <v>32.19</v>
      </c>
      <c r="Q375" s="23">
        <v>639</v>
      </c>
      <c r="R375" s="23">
        <f>P375+ROUND(Q375, 2)</f>
        <v>671.19</v>
      </c>
      <c r="S375" s="23">
        <f>ROUND(P375*I375, 2)</f>
        <v>2133.5500000000002</v>
      </c>
      <c r="T375" s="23">
        <f>ROUND(I375*ROUND(Q375, 2), 2)</f>
        <v>42352.92</v>
      </c>
      <c r="U375" s="23">
        <f>S375+T375</f>
        <v>44486.47</v>
      </c>
      <c r="V375" s="9">
        <f>ROUND(P375 / 1.2, 2)</f>
        <v>26.83</v>
      </c>
      <c r="W375" s="9">
        <f>ROUND(Q375 / 1.2, 2)</f>
        <v>532.5</v>
      </c>
      <c r="X375" s="9">
        <f>ROUND(R375 / 1.2, 2)</f>
        <v>559.33000000000004</v>
      </c>
      <c r="Y375" s="9">
        <f t="shared" si="103"/>
        <v>1777.96</v>
      </c>
      <c r="Z375" s="9">
        <f>ROUND(T375 / 1.2, 2)</f>
        <v>35294.1</v>
      </c>
      <c r="AA375" s="9">
        <f>Y375+Z375</f>
        <v>37072.06</v>
      </c>
      <c r="AD375" s="4">
        <v>341534394</v>
      </c>
      <c r="AE375" s="4">
        <v>28222006</v>
      </c>
      <c r="AG375" s="4" t="s">
        <v>1077</v>
      </c>
      <c r="AH375" s="4" t="s">
        <v>1078</v>
      </c>
      <c r="AI375" s="4" t="s">
        <v>241</v>
      </c>
    </row>
    <row r="376" spans="1:35" ht="36" x14ac:dyDescent="0.3">
      <c r="A376" s="11" t="s">
        <v>1158</v>
      </c>
      <c r="B376" s="11"/>
      <c r="C376" s="30" t="s">
        <v>509</v>
      </c>
      <c r="D376" s="21"/>
      <c r="E376" s="21"/>
      <c r="F376" s="31" t="s">
        <v>76</v>
      </c>
      <c r="G376" s="32">
        <v>0.15</v>
      </c>
      <c r="H376" s="21"/>
      <c r="I376" s="32">
        <v>9.9420000000000002</v>
      </c>
      <c r="J376" s="33">
        <v>90.28</v>
      </c>
      <c r="K376" s="12"/>
      <c r="L376" s="12"/>
      <c r="M376" s="33">
        <f>ROUND(ROUND(J376, 2)*I376, 2)</f>
        <v>897.56</v>
      </c>
      <c r="N376" s="12"/>
      <c r="O376" s="12"/>
      <c r="P376" s="33">
        <v>88.8</v>
      </c>
      <c r="Q376" s="12"/>
      <c r="R376" s="12"/>
      <c r="S376" s="33">
        <f>ROUND(ROUND(P376, 2)*I376, 2)</f>
        <v>882.85</v>
      </c>
      <c r="T376" s="12"/>
      <c r="U376" s="34"/>
      <c r="V376" s="9">
        <f>ROUND(ROUND(P376, 2)/1.2, 2)</f>
        <v>74</v>
      </c>
      <c r="Y376" s="9">
        <f t="shared" si="103"/>
        <v>735.71</v>
      </c>
      <c r="AD376" s="4" t="s">
        <v>1159</v>
      </c>
      <c r="AE376" s="4" t="s">
        <v>1160</v>
      </c>
      <c r="AF376" s="4" t="s">
        <v>512</v>
      </c>
    </row>
    <row r="377" spans="1:35" ht="36" x14ac:dyDescent="0.3">
      <c r="A377" s="11" t="s">
        <v>1161</v>
      </c>
      <c r="B377" s="11"/>
      <c r="C377" s="35" t="s">
        <v>961</v>
      </c>
      <c r="D377" s="21"/>
      <c r="E377" s="21"/>
      <c r="F377" s="31" t="s">
        <v>76</v>
      </c>
      <c r="G377" s="32">
        <v>1.5</v>
      </c>
      <c r="H377" s="21"/>
      <c r="I377" s="32">
        <v>99.42</v>
      </c>
      <c r="J377" s="33">
        <v>12.26</v>
      </c>
      <c r="K377" s="12"/>
      <c r="L377" s="12"/>
      <c r="M377" s="33">
        <f>ROUND(ROUND(J377, 2)*I377, 2)</f>
        <v>1218.8900000000001</v>
      </c>
      <c r="N377" s="12"/>
      <c r="O377" s="12"/>
      <c r="P377" s="33">
        <v>12.58</v>
      </c>
      <c r="Q377" s="12"/>
      <c r="R377" s="12"/>
      <c r="S377" s="33">
        <f>ROUND(ROUND(P377, 2)*I377, 2)</f>
        <v>1250.7</v>
      </c>
      <c r="T377" s="12"/>
      <c r="U377" s="34"/>
      <c r="V377" s="9">
        <f>ROUND(ROUND(P377, 2)/1.2, 2)</f>
        <v>10.48</v>
      </c>
      <c r="Y377" s="9">
        <f t="shared" si="103"/>
        <v>1042.25</v>
      </c>
      <c r="AD377" s="4" t="s">
        <v>1162</v>
      </c>
      <c r="AE377" s="4" t="s">
        <v>1163</v>
      </c>
      <c r="AF377" s="4" t="s">
        <v>1147</v>
      </c>
    </row>
    <row r="378" spans="1:35" ht="36" x14ac:dyDescent="0.3">
      <c r="A378" s="11" t="s">
        <v>1164</v>
      </c>
      <c r="B378" s="11" t="s">
        <v>1165</v>
      </c>
      <c r="C378" s="20" t="s">
        <v>1166</v>
      </c>
      <c r="D378" s="21"/>
      <c r="E378" s="21" t="s">
        <v>1076</v>
      </c>
      <c r="F378" s="21" t="s">
        <v>57</v>
      </c>
      <c r="G378" s="22">
        <v>1</v>
      </c>
      <c r="H378" s="21"/>
      <c r="I378" s="22">
        <v>216.42</v>
      </c>
      <c r="J378" s="23">
        <f>IFERROR(ROUND(SUM(M379,M380,M381)/I378, 2),0)</f>
        <v>82.62</v>
      </c>
      <c r="K378" s="23">
        <v>508</v>
      </c>
      <c r="L378" s="23">
        <f>J378+ROUND(K378, 2)</f>
        <v>590.62</v>
      </c>
      <c r="M378" s="23">
        <f>ROUND(J378*I378, 2)</f>
        <v>17880.62</v>
      </c>
      <c r="N378" s="23">
        <f>ROUND(I378*ROUND(K378, 2), 2)</f>
        <v>109941.36</v>
      </c>
      <c r="O378" s="23">
        <f>M378+N378</f>
        <v>127821.98</v>
      </c>
      <c r="P378" s="23">
        <f>IFERROR(ROUND(SUM(S379,S380,S381)/I378, 2),0)</f>
        <v>91.32</v>
      </c>
      <c r="Q378" s="23">
        <v>508</v>
      </c>
      <c r="R378" s="23">
        <f>P378+ROUND(Q378, 2)</f>
        <v>599.31999999999994</v>
      </c>
      <c r="S378" s="23">
        <f>ROUND(P378*I378, 2)</f>
        <v>19763.47</v>
      </c>
      <c r="T378" s="23">
        <f>ROUND(I378*ROUND(Q378, 2), 2)</f>
        <v>109941.36</v>
      </c>
      <c r="U378" s="23">
        <f>S378+T378</f>
        <v>129704.83</v>
      </c>
      <c r="V378" s="9">
        <f>ROUND(P378 / 1.2, 2)</f>
        <v>76.099999999999994</v>
      </c>
      <c r="W378" s="9">
        <f>ROUND(Q378 / 1.2, 2)</f>
        <v>423.33</v>
      </c>
      <c r="X378" s="9">
        <f>ROUND(R378 / 1.2, 2)</f>
        <v>499.43</v>
      </c>
      <c r="Y378" s="9">
        <f t="shared" si="103"/>
        <v>16469.560000000001</v>
      </c>
      <c r="Z378" s="9">
        <f>ROUND(T378 / 1.2, 2)</f>
        <v>91617.8</v>
      </c>
      <c r="AA378" s="9">
        <f>Y378+Z378</f>
        <v>108087.36</v>
      </c>
      <c r="AD378" s="4">
        <v>341534328</v>
      </c>
      <c r="AE378" s="4">
        <v>28214766</v>
      </c>
      <c r="AG378" s="4" t="s">
        <v>1167</v>
      </c>
      <c r="AH378" s="4" t="s">
        <v>1168</v>
      </c>
      <c r="AI378" s="4" t="s">
        <v>241</v>
      </c>
    </row>
    <row r="379" spans="1:35" ht="18" x14ac:dyDescent="0.3">
      <c r="A379" s="11" t="s">
        <v>1169</v>
      </c>
      <c r="B379" s="11"/>
      <c r="C379" s="30" t="s">
        <v>902</v>
      </c>
      <c r="D379" s="21"/>
      <c r="E379" s="21" t="s">
        <v>1080</v>
      </c>
      <c r="F379" s="31" t="s">
        <v>76</v>
      </c>
      <c r="G379" s="32">
        <v>2</v>
      </c>
      <c r="H379" s="21"/>
      <c r="I379" s="32">
        <v>432.84</v>
      </c>
      <c r="J379" s="33">
        <v>23.39</v>
      </c>
      <c r="K379" s="12"/>
      <c r="L379" s="12"/>
      <c r="M379" s="33">
        <f>ROUND(ROUND(J379, 2)*I379, 2)</f>
        <v>10124.129999999999</v>
      </c>
      <c r="N379" s="12"/>
      <c r="O379" s="12"/>
      <c r="P379" s="33">
        <v>27.85</v>
      </c>
      <c r="Q379" s="12"/>
      <c r="R379" s="12"/>
      <c r="S379" s="33">
        <f>ROUND(ROUND(P379, 2)*I379, 2)</f>
        <v>12054.59</v>
      </c>
      <c r="T379" s="12"/>
      <c r="U379" s="34"/>
      <c r="V379" s="9">
        <f>ROUND(ROUND(P379, 2)/1.2, 2)</f>
        <v>23.21</v>
      </c>
      <c r="Y379" s="9">
        <f t="shared" si="103"/>
        <v>10045.49</v>
      </c>
      <c r="AD379" s="4" t="s">
        <v>1170</v>
      </c>
      <c r="AE379" s="4" t="s">
        <v>1171</v>
      </c>
      <c r="AF379" s="4" t="s">
        <v>905</v>
      </c>
    </row>
    <row r="380" spans="1:35" ht="18" x14ac:dyDescent="0.3">
      <c r="A380" s="11" t="s">
        <v>1172</v>
      </c>
      <c r="B380" s="11"/>
      <c r="C380" s="30" t="s">
        <v>907</v>
      </c>
      <c r="D380" s="21"/>
      <c r="E380" s="21"/>
      <c r="F380" s="31" t="s">
        <v>98</v>
      </c>
      <c r="G380" s="32">
        <v>0.3</v>
      </c>
      <c r="H380" s="21"/>
      <c r="I380" s="32">
        <v>64.926000000000002</v>
      </c>
      <c r="J380" s="33">
        <v>74.319999999999993</v>
      </c>
      <c r="K380" s="12"/>
      <c r="L380" s="12"/>
      <c r="M380" s="33">
        <f>ROUND(ROUND(J380, 2)*I380, 2)</f>
        <v>4825.3</v>
      </c>
      <c r="N380" s="12"/>
      <c r="O380" s="12"/>
      <c r="P380" s="33">
        <v>74.319999999999993</v>
      </c>
      <c r="Q380" s="12"/>
      <c r="R380" s="12"/>
      <c r="S380" s="33">
        <f>ROUND(ROUND(P380, 2)*I380, 2)</f>
        <v>4825.3</v>
      </c>
      <c r="T380" s="12"/>
      <c r="U380" s="34"/>
      <c r="V380" s="9">
        <f>ROUND(ROUND(P380, 2)/1.2, 2)</f>
        <v>61.93</v>
      </c>
      <c r="Y380" s="9">
        <f t="shared" si="103"/>
        <v>4021.08</v>
      </c>
      <c r="AD380" s="4" t="s">
        <v>1173</v>
      </c>
      <c r="AE380" s="4" t="s">
        <v>1174</v>
      </c>
      <c r="AF380" s="4" t="s">
        <v>910</v>
      </c>
    </row>
    <row r="381" spans="1:35" ht="36" x14ac:dyDescent="0.3">
      <c r="A381" s="11" t="s">
        <v>1175</v>
      </c>
      <c r="B381" s="11"/>
      <c r="C381" s="30" t="s">
        <v>509</v>
      </c>
      <c r="D381" s="21"/>
      <c r="E381" s="21"/>
      <c r="F381" s="31" t="s">
        <v>76</v>
      </c>
      <c r="G381" s="32">
        <v>0.15</v>
      </c>
      <c r="H381" s="21"/>
      <c r="I381" s="32">
        <v>32.463000000000001</v>
      </c>
      <c r="J381" s="33">
        <v>90.28</v>
      </c>
      <c r="K381" s="12"/>
      <c r="L381" s="12"/>
      <c r="M381" s="33">
        <f>ROUND(ROUND(J381, 2)*I381, 2)</f>
        <v>2930.76</v>
      </c>
      <c r="N381" s="12"/>
      <c r="O381" s="12"/>
      <c r="P381" s="33">
        <v>88.8</v>
      </c>
      <c r="Q381" s="12"/>
      <c r="R381" s="12"/>
      <c r="S381" s="33">
        <f>ROUND(ROUND(P381, 2)*I381, 2)</f>
        <v>2882.71</v>
      </c>
      <c r="T381" s="12"/>
      <c r="U381" s="34"/>
      <c r="V381" s="9">
        <f>ROUND(ROUND(P381, 2)/1.2, 2)</f>
        <v>74</v>
      </c>
      <c r="Y381" s="9">
        <f t="shared" si="103"/>
        <v>2402.2600000000002</v>
      </c>
      <c r="AD381" s="4" t="s">
        <v>1176</v>
      </c>
      <c r="AE381" s="4" t="s">
        <v>1177</v>
      </c>
      <c r="AF381" s="4" t="s">
        <v>512</v>
      </c>
    </row>
    <row r="382" spans="1:35" ht="36" x14ac:dyDescent="0.3">
      <c r="A382" s="11" t="s">
        <v>1178</v>
      </c>
      <c r="B382" s="11" t="s">
        <v>1165</v>
      </c>
      <c r="C382" s="20" t="s">
        <v>1166</v>
      </c>
      <c r="D382" s="21"/>
      <c r="E382" s="21" t="s">
        <v>1092</v>
      </c>
      <c r="F382" s="21" t="s">
        <v>57</v>
      </c>
      <c r="G382" s="22">
        <v>1</v>
      </c>
      <c r="H382" s="21"/>
      <c r="I382" s="22">
        <v>216.42</v>
      </c>
      <c r="J382" s="23">
        <f>IFERROR(ROUND(SUM(M383,M384)/I382, 2),0)</f>
        <v>60.32</v>
      </c>
      <c r="K382" s="23">
        <v>508</v>
      </c>
      <c r="L382" s="23">
        <f>J382+ROUND(K382, 2)</f>
        <v>568.32000000000005</v>
      </c>
      <c r="M382" s="23">
        <f>ROUND(J382*I382, 2)</f>
        <v>13054.45</v>
      </c>
      <c r="N382" s="23">
        <f>ROUND(I382*ROUND(K382, 2), 2)</f>
        <v>109941.36</v>
      </c>
      <c r="O382" s="23">
        <f>M382+N382</f>
        <v>122995.81</v>
      </c>
      <c r="P382" s="23">
        <f>IFERROR(ROUND(SUM(S383,S384)/I382, 2),0)</f>
        <v>77.94</v>
      </c>
      <c r="Q382" s="23">
        <v>508</v>
      </c>
      <c r="R382" s="23">
        <f>P382+ROUND(Q382, 2)</f>
        <v>585.94000000000005</v>
      </c>
      <c r="S382" s="23">
        <f>ROUND(P382*I382, 2)</f>
        <v>16867.77</v>
      </c>
      <c r="T382" s="23">
        <f>ROUND(I382*ROUND(Q382, 2), 2)</f>
        <v>109941.36</v>
      </c>
      <c r="U382" s="23">
        <f>S382+T382</f>
        <v>126809.13</v>
      </c>
      <c r="V382" s="9">
        <f>ROUND(P382 / 1.2, 2)</f>
        <v>64.95</v>
      </c>
      <c r="W382" s="9">
        <f>ROUND(Q382 / 1.2, 2)</f>
        <v>423.33</v>
      </c>
      <c r="X382" s="9">
        <f>ROUND(R382 / 1.2, 2)</f>
        <v>488.28</v>
      </c>
      <c r="Y382" s="9">
        <f t="shared" si="103"/>
        <v>14056.48</v>
      </c>
      <c r="Z382" s="9">
        <f>ROUND(T382 / 1.2, 2)</f>
        <v>91617.8</v>
      </c>
      <c r="AA382" s="9">
        <f>Y382+Z382</f>
        <v>105674.28</v>
      </c>
      <c r="AD382" s="4">
        <v>341534395</v>
      </c>
      <c r="AE382" s="4">
        <v>28214770</v>
      </c>
      <c r="AG382" s="4" t="s">
        <v>1167</v>
      </c>
      <c r="AH382" s="4" t="s">
        <v>1168</v>
      </c>
      <c r="AI382" s="4" t="s">
        <v>241</v>
      </c>
    </row>
    <row r="383" spans="1:35" ht="36" x14ac:dyDescent="0.3">
      <c r="A383" s="11" t="s">
        <v>1179</v>
      </c>
      <c r="B383" s="11"/>
      <c r="C383" s="30" t="s">
        <v>509</v>
      </c>
      <c r="D383" s="21"/>
      <c r="E383" s="21"/>
      <c r="F383" s="31" t="s">
        <v>76</v>
      </c>
      <c r="G383" s="32">
        <v>0.15</v>
      </c>
      <c r="H383" s="21"/>
      <c r="I383" s="32">
        <v>32.463000000000001</v>
      </c>
      <c r="J383" s="33">
        <v>90.28</v>
      </c>
      <c r="K383" s="12"/>
      <c r="L383" s="12"/>
      <c r="M383" s="33">
        <f>ROUND(ROUND(J383, 2)*I383, 2)</f>
        <v>2930.76</v>
      </c>
      <c r="N383" s="12"/>
      <c r="O383" s="12"/>
      <c r="P383" s="33">
        <v>88.8</v>
      </c>
      <c r="Q383" s="12"/>
      <c r="R383" s="12"/>
      <c r="S383" s="33">
        <f>ROUND(ROUND(P383, 2)*I383, 2)</f>
        <v>2882.71</v>
      </c>
      <c r="T383" s="12"/>
      <c r="U383" s="34"/>
      <c r="V383" s="9">
        <f>ROUND(ROUND(P383, 2)/1.2, 2)</f>
        <v>74</v>
      </c>
      <c r="Y383" s="9">
        <f t="shared" si="103"/>
        <v>2402.2600000000002</v>
      </c>
      <c r="AD383" s="4" t="s">
        <v>1180</v>
      </c>
      <c r="AE383" s="4" t="s">
        <v>1181</v>
      </c>
      <c r="AF383" s="4" t="s">
        <v>512</v>
      </c>
    </row>
    <row r="384" spans="1:35" ht="18" x14ac:dyDescent="0.3">
      <c r="A384" s="11" t="s">
        <v>1182</v>
      </c>
      <c r="B384" s="11"/>
      <c r="C384" s="30" t="s">
        <v>902</v>
      </c>
      <c r="D384" s="21"/>
      <c r="E384" s="21" t="s">
        <v>1097</v>
      </c>
      <c r="F384" s="31" t="s">
        <v>76</v>
      </c>
      <c r="G384" s="32">
        <v>2</v>
      </c>
      <c r="H384" s="21"/>
      <c r="I384" s="32">
        <v>432.84</v>
      </c>
      <c r="J384" s="33">
        <v>23.39</v>
      </c>
      <c r="K384" s="12"/>
      <c r="L384" s="12"/>
      <c r="M384" s="33">
        <f>ROUND(ROUND(J384, 2)*I384, 2)</f>
        <v>10124.129999999999</v>
      </c>
      <c r="N384" s="12"/>
      <c r="O384" s="12"/>
      <c r="P384" s="33">
        <v>32.31</v>
      </c>
      <c r="Q384" s="12"/>
      <c r="R384" s="12"/>
      <c r="S384" s="33">
        <f>ROUND(ROUND(P384, 2)*I384, 2)</f>
        <v>13985.06</v>
      </c>
      <c r="T384" s="12"/>
      <c r="U384" s="34"/>
      <c r="V384" s="9">
        <f>ROUND(ROUND(P384, 2)/1.2, 2)</f>
        <v>26.93</v>
      </c>
      <c r="Y384" s="9">
        <f t="shared" si="103"/>
        <v>11654.22</v>
      </c>
      <c r="AD384" s="4" t="s">
        <v>1183</v>
      </c>
      <c r="AE384" s="4" t="s">
        <v>1184</v>
      </c>
      <c r="AF384" s="4" t="s">
        <v>905</v>
      </c>
    </row>
    <row r="385" spans="1:35" ht="36" x14ac:dyDescent="0.3">
      <c r="A385" s="11" t="s">
        <v>1185</v>
      </c>
      <c r="B385" s="11" t="s">
        <v>1165</v>
      </c>
      <c r="C385" s="20" t="s">
        <v>1166</v>
      </c>
      <c r="D385" s="21"/>
      <c r="E385" s="21" t="s">
        <v>1101</v>
      </c>
      <c r="F385" s="21" t="s">
        <v>57</v>
      </c>
      <c r="G385" s="22">
        <v>1</v>
      </c>
      <c r="H385" s="21"/>
      <c r="I385" s="22">
        <v>216.42</v>
      </c>
      <c r="J385" s="23">
        <f>IFERROR(ROUND(SUM(M386,M387)/I385, 2),0)</f>
        <v>60.32</v>
      </c>
      <c r="K385" s="23">
        <v>508</v>
      </c>
      <c r="L385" s="23">
        <f>J385+ROUND(K385, 2)</f>
        <v>568.32000000000005</v>
      </c>
      <c r="M385" s="23">
        <f>ROUND(J385*I385, 2)</f>
        <v>13054.45</v>
      </c>
      <c r="N385" s="23">
        <f>ROUND(I385*ROUND(K385, 2), 2)</f>
        <v>109941.36</v>
      </c>
      <c r="O385" s="23">
        <f>M385+N385</f>
        <v>122995.81</v>
      </c>
      <c r="P385" s="23">
        <f>IFERROR(ROUND(SUM(S386,S387)/I385, 2),0)</f>
        <v>98.52</v>
      </c>
      <c r="Q385" s="23">
        <v>508</v>
      </c>
      <c r="R385" s="23">
        <f>P385+ROUND(Q385, 2)</f>
        <v>606.52</v>
      </c>
      <c r="S385" s="23">
        <f>ROUND(P385*I385, 2)</f>
        <v>21321.7</v>
      </c>
      <c r="T385" s="23">
        <f>ROUND(I385*ROUND(Q385, 2), 2)</f>
        <v>109941.36</v>
      </c>
      <c r="U385" s="23">
        <f>S385+T385</f>
        <v>131263.06</v>
      </c>
      <c r="V385" s="9">
        <f>ROUND(P385 / 1.2, 2)</f>
        <v>82.1</v>
      </c>
      <c r="W385" s="9">
        <f>ROUND(Q385 / 1.2, 2)</f>
        <v>423.33</v>
      </c>
      <c r="X385" s="9">
        <f>ROUND(R385 / 1.2, 2)</f>
        <v>505.43</v>
      </c>
      <c r="Y385" s="9">
        <f t="shared" si="103"/>
        <v>17768.080000000002</v>
      </c>
      <c r="Z385" s="9">
        <f>ROUND(T385 / 1.2, 2)</f>
        <v>91617.8</v>
      </c>
      <c r="AA385" s="9">
        <f>Y385+Z385</f>
        <v>109385.88</v>
      </c>
      <c r="AD385" s="4">
        <v>341534396</v>
      </c>
      <c r="AE385" s="4">
        <v>28214768</v>
      </c>
      <c r="AG385" s="4" t="s">
        <v>1167</v>
      </c>
      <c r="AH385" s="4" t="s">
        <v>1168</v>
      </c>
      <c r="AI385" s="4" t="s">
        <v>241</v>
      </c>
    </row>
    <row r="386" spans="1:35" ht="36" x14ac:dyDescent="0.3">
      <c r="A386" s="11" t="s">
        <v>1186</v>
      </c>
      <c r="B386" s="11"/>
      <c r="C386" s="30" t="s">
        <v>509</v>
      </c>
      <c r="D386" s="21"/>
      <c r="E386" s="21"/>
      <c r="F386" s="31" t="s">
        <v>76</v>
      </c>
      <c r="G386" s="32">
        <v>0.15</v>
      </c>
      <c r="H386" s="21"/>
      <c r="I386" s="32">
        <v>32.463000000000001</v>
      </c>
      <c r="J386" s="33">
        <v>90.28</v>
      </c>
      <c r="K386" s="12"/>
      <c r="L386" s="12"/>
      <c r="M386" s="33">
        <f>ROUND(ROUND(J386, 2)*I386, 2)</f>
        <v>2930.76</v>
      </c>
      <c r="N386" s="12"/>
      <c r="O386" s="12"/>
      <c r="P386" s="33">
        <v>88.8</v>
      </c>
      <c r="Q386" s="12"/>
      <c r="R386" s="12"/>
      <c r="S386" s="33">
        <f>ROUND(ROUND(P386, 2)*I386, 2)</f>
        <v>2882.71</v>
      </c>
      <c r="T386" s="12"/>
      <c r="U386" s="34"/>
      <c r="V386" s="9">
        <f>ROUND(ROUND(P386, 2)/1.2, 2)</f>
        <v>74</v>
      </c>
      <c r="Y386" s="9">
        <f t="shared" si="103"/>
        <v>2402.2600000000002</v>
      </c>
      <c r="AD386" s="4" t="s">
        <v>1187</v>
      </c>
      <c r="AE386" s="4" t="s">
        <v>1188</v>
      </c>
      <c r="AF386" s="4" t="s">
        <v>512</v>
      </c>
    </row>
    <row r="387" spans="1:35" ht="18" x14ac:dyDescent="0.3">
      <c r="A387" s="11" t="s">
        <v>1189</v>
      </c>
      <c r="B387" s="11"/>
      <c r="C387" s="30" t="s">
        <v>902</v>
      </c>
      <c r="D387" s="21"/>
      <c r="E387" s="21" t="s">
        <v>1106</v>
      </c>
      <c r="F387" s="31" t="s">
        <v>76</v>
      </c>
      <c r="G387" s="32">
        <v>2</v>
      </c>
      <c r="H387" s="21"/>
      <c r="I387" s="32">
        <v>432.84</v>
      </c>
      <c r="J387" s="33">
        <v>23.39</v>
      </c>
      <c r="K387" s="12"/>
      <c r="L387" s="12"/>
      <c r="M387" s="33">
        <f>ROUND(ROUND(J387, 2)*I387, 2)</f>
        <v>10124.129999999999</v>
      </c>
      <c r="N387" s="12"/>
      <c r="O387" s="12"/>
      <c r="P387" s="33">
        <v>42.6</v>
      </c>
      <c r="Q387" s="12"/>
      <c r="R387" s="12"/>
      <c r="S387" s="33">
        <f>ROUND(ROUND(P387, 2)*I387, 2)</f>
        <v>18438.98</v>
      </c>
      <c r="T387" s="12"/>
      <c r="U387" s="34"/>
      <c r="V387" s="9">
        <f>ROUND(ROUND(P387, 2)/1.2, 2)</f>
        <v>35.5</v>
      </c>
      <c r="Y387" s="9">
        <f t="shared" si="103"/>
        <v>15365.82</v>
      </c>
      <c r="AD387" s="4" t="s">
        <v>1190</v>
      </c>
      <c r="AE387" s="4" t="s">
        <v>1191</v>
      </c>
      <c r="AF387" s="4" t="s">
        <v>905</v>
      </c>
    </row>
    <row r="388" spans="1:35" ht="54" x14ac:dyDescent="0.3">
      <c r="A388" s="11" t="s">
        <v>1192</v>
      </c>
      <c r="B388" s="11" t="s">
        <v>1165</v>
      </c>
      <c r="C388" s="20" t="s">
        <v>1166</v>
      </c>
      <c r="D388" s="21"/>
      <c r="E388" s="21" t="s">
        <v>1137</v>
      </c>
      <c r="F388" s="21" t="s">
        <v>57</v>
      </c>
      <c r="G388" s="22">
        <v>1</v>
      </c>
      <c r="H388" s="21"/>
      <c r="I388" s="22">
        <v>1035.18</v>
      </c>
      <c r="J388" s="23">
        <f>IFERROR(ROUND(SUM(M389,M390,M391)/I388, 2),0)</f>
        <v>57.91</v>
      </c>
      <c r="K388" s="23">
        <v>508</v>
      </c>
      <c r="L388" s="23">
        <f>J388+ROUND(K388, 2)</f>
        <v>565.91</v>
      </c>
      <c r="M388" s="23">
        <f>ROUND(J388*I388, 2)</f>
        <v>59947.27</v>
      </c>
      <c r="N388" s="23">
        <f>ROUND(I388*ROUND(K388, 2), 2)</f>
        <v>525871.43999999994</v>
      </c>
      <c r="O388" s="23">
        <f>M388+N388</f>
        <v>585818.71</v>
      </c>
      <c r="P388" s="23">
        <f>IFERROR(ROUND(SUM(S389,S390,S391)/I388, 2),0)</f>
        <v>58.26</v>
      </c>
      <c r="Q388" s="23">
        <v>508</v>
      </c>
      <c r="R388" s="23">
        <f>P388+ROUND(Q388, 2)</f>
        <v>566.26</v>
      </c>
      <c r="S388" s="23">
        <f>ROUND(P388*I388, 2)</f>
        <v>60309.59</v>
      </c>
      <c r="T388" s="23">
        <f>ROUND(I388*ROUND(Q388, 2), 2)</f>
        <v>525871.43999999994</v>
      </c>
      <c r="U388" s="23">
        <f>S388+T388</f>
        <v>586181.02999999991</v>
      </c>
      <c r="V388" s="9">
        <f>ROUND(P388 / 1.2, 2)</f>
        <v>48.55</v>
      </c>
      <c r="W388" s="9">
        <f>ROUND(Q388 / 1.2, 2)</f>
        <v>423.33</v>
      </c>
      <c r="X388" s="9">
        <f>ROUND(R388 / 1.2, 2)</f>
        <v>471.88</v>
      </c>
      <c r="Y388" s="9">
        <f t="shared" si="103"/>
        <v>50257.99</v>
      </c>
      <c r="Z388" s="9">
        <f>ROUND(T388 / 1.2, 2)</f>
        <v>438226.2</v>
      </c>
      <c r="AA388" s="9">
        <f>Y388+Z388</f>
        <v>488484.19</v>
      </c>
      <c r="AD388" s="4">
        <v>341534397</v>
      </c>
      <c r="AE388" s="4">
        <v>28222005</v>
      </c>
      <c r="AG388" s="4" t="s">
        <v>1167</v>
      </c>
      <c r="AH388" s="4" t="s">
        <v>1168</v>
      </c>
      <c r="AI388" s="4" t="s">
        <v>241</v>
      </c>
    </row>
    <row r="389" spans="1:35" ht="36" x14ac:dyDescent="0.3">
      <c r="A389" s="11" t="s">
        <v>1193</v>
      </c>
      <c r="B389" s="11"/>
      <c r="C389" s="30" t="s">
        <v>509</v>
      </c>
      <c r="D389" s="21"/>
      <c r="E389" s="21"/>
      <c r="F389" s="31" t="s">
        <v>76</v>
      </c>
      <c r="G389" s="32">
        <v>0.15</v>
      </c>
      <c r="H389" s="21"/>
      <c r="I389" s="32">
        <v>155.27699999999999</v>
      </c>
      <c r="J389" s="33">
        <v>90.28</v>
      </c>
      <c r="K389" s="12"/>
      <c r="L389" s="12"/>
      <c r="M389" s="33">
        <f>ROUND(ROUND(J389, 2)*I389, 2)</f>
        <v>14018.41</v>
      </c>
      <c r="N389" s="12"/>
      <c r="O389" s="12"/>
      <c r="P389" s="33">
        <v>88.8</v>
      </c>
      <c r="Q389" s="12"/>
      <c r="R389" s="12"/>
      <c r="S389" s="33">
        <f>ROUND(ROUND(P389, 2)*I389, 2)</f>
        <v>13788.6</v>
      </c>
      <c r="T389" s="12"/>
      <c r="U389" s="34"/>
      <c r="V389" s="9">
        <f>ROUND(ROUND(P389, 2)/1.2, 2)</f>
        <v>74</v>
      </c>
      <c r="Y389" s="9">
        <f t="shared" si="103"/>
        <v>11490.5</v>
      </c>
      <c r="AD389" s="4" t="s">
        <v>1194</v>
      </c>
      <c r="AE389" s="4" t="s">
        <v>1195</v>
      </c>
      <c r="AF389" s="4" t="s">
        <v>512</v>
      </c>
    </row>
    <row r="390" spans="1:35" ht="18" x14ac:dyDescent="0.3">
      <c r="A390" s="11" t="s">
        <v>1196</v>
      </c>
      <c r="B390" s="11"/>
      <c r="C390" s="30" t="s">
        <v>907</v>
      </c>
      <c r="D390" s="21"/>
      <c r="E390" s="21"/>
      <c r="F390" s="31" t="s">
        <v>98</v>
      </c>
      <c r="G390" s="32">
        <v>0.3</v>
      </c>
      <c r="H390" s="21"/>
      <c r="I390" s="32">
        <v>310.55399999999997</v>
      </c>
      <c r="J390" s="33">
        <v>74.319999999999993</v>
      </c>
      <c r="K390" s="12"/>
      <c r="L390" s="12"/>
      <c r="M390" s="33">
        <f>ROUND(ROUND(J390, 2)*I390, 2)</f>
        <v>23080.37</v>
      </c>
      <c r="N390" s="12"/>
      <c r="O390" s="12"/>
      <c r="P390" s="33">
        <v>74.319999999999993</v>
      </c>
      <c r="Q390" s="12"/>
      <c r="R390" s="12"/>
      <c r="S390" s="33">
        <f>ROUND(ROUND(P390, 2)*I390, 2)</f>
        <v>23080.37</v>
      </c>
      <c r="T390" s="12"/>
      <c r="U390" s="34"/>
      <c r="V390" s="9">
        <f>ROUND(ROUND(P390, 2)/1.2, 2)</f>
        <v>61.93</v>
      </c>
      <c r="Y390" s="9">
        <f t="shared" si="103"/>
        <v>19233.64</v>
      </c>
      <c r="AD390" s="4" t="s">
        <v>1197</v>
      </c>
      <c r="AE390" s="4" t="s">
        <v>1198</v>
      </c>
      <c r="AF390" s="4" t="s">
        <v>910</v>
      </c>
    </row>
    <row r="391" spans="1:35" ht="36" x14ac:dyDescent="0.3">
      <c r="A391" s="11" t="s">
        <v>1199</v>
      </c>
      <c r="B391" s="11"/>
      <c r="C391" s="35" t="s">
        <v>961</v>
      </c>
      <c r="D391" s="21"/>
      <c r="E391" s="21"/>
      <c r="F391" s="31" t="s">
        <v>76</v>
      </c>
      <c r="G391" s="32">
        <v>1.8</v>
      </c>
      <c r="H391" s="21"/>
      <c r="I391" s="32">
        <v>1863.3240000000001</v>
      </c>
      <c r="J391" s="33">
        <v>12.26</v>
      </c>
      <c r="K391" s="12"/>
      <c r="L391" s="12"/>
      <c r="M391" s="33">
        <f>ROUND(ROUND(J391, 2)*I391, 2)</f>
        <v>22844.35</v>
      </c>
      <c r="N391" s="12"/>
      <c r="O391" s="12"/>
      <c r="P391" s="33">
        <v>12.58</v>
      </c>
      <c r="Q391" s="12"/>
      <c r="R391" s="12"/>
      <c r="S391" s="33">
        <f>ROUND(ROUND(P391, 2)*I391, 2)</f>
        <v>23440.62</v>
      </c>
      <c r="T391" s="12"/>
      <c r="U391" s="34"/>
      <c r="V391" s="9">
        <f>ROUND(ROUND(P391, 2)/1.2, 2)</f>
        <v>10.48</v>
      </c>
      <c r="Y391" s="9">
        <f t="shared" si="103"/>
        <v>19533.849999999999</v>
      </c>
      <c r="AD391" s="4" t="s">
        <v>1200</v>
      </c>
      <c r="AE391" s="4" t="s">
        <v>1201</v>
      </c>
      <c r="AF391" s="4" t="s">
        <v>964</v>
      </c>
    </row>
    <row r="392" spans="1:35" ht="54" x14ac:dyDescent="0.3">
      <c r="A392" s="11" t="s">
        <v>1202</v>
      </c>
      <c r="B392" s="11" t="s">
        <v>1165</v>
      </c>
      <c r="C392" s="20" t="s">
        <v>1166</v>
      </c>
      <c r="D392" s="21"/>
      <c r="E392" s="21" t="s">
        <v>1203</v>
      </c>
      <c r="F392" s="21" t="s">
        <v>57</v>
      </c>
      <c r="G392" s="22">
        <v>1</v>
      </c>
      <c r="H392" s="21"/>
      <c r="I392" s="22">
        <v>1035.18</v>
      </c>
      <c r="J392" s="23">
        <f>IFERROR(ROUND(SUM(M393,M394)/I392, 2),0)</f>
        <v>35.61</v>
      </c>
      <c r="K392" s="23">
        <v>508</v>
      </c>
      <c r="L392" s="23">
        <f>J392+ROUND(K392, 2)</f>
        <v>543.61</v>
      </c>
      <c r="M392" s="23">
        <f>ROUND(J392*I392, 2)</f>
        <v>36862.76</v>
      </c>
      <c r="N392" s="23">
        <f>ROUND(I392*ROUND(K392, 2), 2)</f>
        <v>525871.43999999994</v>
      </c>
      <c r="O392" s="23">
        <f>M392+N392</f>
        <v>562734.19999999995</v>
      </c>
      <c r="P392" s="23">
        <f>IFERROR(ROUND(SUM(S393,S394)/I392, 2),0)</f>
        <v>35.96</v>
      </c>
      <c r="Q392" s="23">
        <v>508</v>
      </c>
      <c r="R392" s="23">
        <f>P392+ROUND(Q392, 2)</f>
        <v>543.96</v>
      </c>
      <c r="S392" s="23">
        <f>ROUND(P392*I392, 2)</f>
        <v>37225.07</v>
      </c>
      <c r="T392" s="23">
        <f>ROUND(I392*ROUND(Q392, 2), 2)</f>
        <v>525871.43999999994</v>
      </c>
      <c r="U392" s="23">
        <f>S392+T392</f>
        <v>563096.50999999989</v>
      </c>
      <c r="V392" s="9">
        <f>ROUND(P392 / 1.2, 2)</f>
        <v>29.97</v>
      </c>
      <c r="W392" s="9">
        <f>ROUND(Q392 / 1.2, 2)</f>
        <v>423.33</v>
      </c>
      <c r="X392" s="9">
        <f>ROUND(R392 / 1.2, 2)</f>
        <v>453.3</v>
      </c>
      <c r="Y392" s="9">
        <f t="shared" si="103"/>
        <v>31020.89</v>
      </c>
      <c r="Z392" s="9">
        <f>ROUND(T392 / 1.2, 2)</f>
        <v>438226.2</v>
      </c>
      <c r="AA392" s="9">
        <f>Y392+Z392</f>
        <v>469247.09</v>
      </c>
      <c r="AD392" s="4">
        <v>341534398</v>
      </c>
      <c r="AE392" s="4">
        <v>28222010</v>
      </c>
      <c r="AG392" s="4" t="s">
        <v>1167</v>
      </c>
      <c r="AH392" s="4" t="s">
        <v>1168</v>
      </c>
      <c r="AI392" s="4" t="s">
        <v>241</v>
      </c>
    </row>
    <row r="393" spans="1:35" ht="36" x14ac:dyDescent="0.3">
      <c r="A393" s="11" t="s">
        <v>1204</v>
      </c>
      <c r="B393" s="11"/>
      <c r="C393" s="30" t="s">
        <v>509</v>
      </c>
      <c r="D393" s="21"/>
      <c r="E393" s="21"/>
      <c r="F393" s="31" t="s">
        <v>76</v>
      </c>
      <c r="G393" s="32">
        <v>0.15</v>
      </c>
      <c r="H393" s="21"/>
      <c r="I393" s="32">
        <v>155.27699999999999</v>
      </c>
      <c r="J393" s="33">
        <v>90.28</v>
      </c>
      <c r="K393" s="12"/>
      <c r="L393" s="12"/>
      <c r="M393" s="33">
        <f>ROUND(ROUND(J393, 2)*I393, 2)</f>
        <v>14018.41</v>
      </c>
      <c r="N393" s="12"/>
      <c r="O393" s="12"/>
      <c r="P393" s="33">
        <v>88.8</v>
      </c>
      <c r="Q393" s="12"/>
      <c r="R393" s="12"/>
      <c r="S393" s="33">
        <f>ROUND(ROUND(P393, 2)*I393, 2)</f>
        <v>13788.6</v>
      </c>
      <c r="T393" s="12"/>
      <c r="U393" s="34"/>
      <c r="V393" s="9">
        <f>ROUND(ROUND(P393, 2)/1.2, 2)</f>
        <v>74</v>
      </c>
      <c r="Y393" s="9">
        <f t="shared" si="103"/>
        <v>11490.5</v>
      </c>
      <c r="AD393" s="4" t="s">
        <v>1205</v>
      </c>
      <c r="AE393" s="4" t="s">
        <v>1206</v>
      </c>
      <c r="AF393" s="4" t="s">
        <v>512</v>
      </c>
    </row>
    <row r="394" spans="1:35" ht="36" x14ac:dyDescent="0.3">
      <c r="A394" s="11" t="s">
        <v>1207</v>
      </c>
      <c r="B394" s="11"/>
      <c r="C394" s="35" t="s">
        <v>961</v>
      </c>
      <c r="D394" s="21"/>
      <c r="E394" s="21"/>
      <c r="F394" s="31" t="s">
        <v>76</v>
      </c>
      <c r="G394" s="32">
        <v>1.8</v>
      </c>
      <c r="H394" s="21"/>
      <c r="I394" s="32">
        <v>1863.3240000000001</v>
      </c>
      <c r="J394" s="33">
        <v>12.26</v>
      </c>
      <c r="K394" s="12"/>
      <c r="L394" s="12"/>
      <c r="M394" s="33">
        <f>ROUND(ROUND(J394, 2)*I394, 2)</f>
        <v>22844.35</v>
      </c>
      <c r="N394" s="12"/>
      <c r="O394" s="12"/>
      <c r="P394" s="33">
        <v>12.58</v>
      </c>
      <c r="Q394" s="12"/>
      <c r="R394" s="12"/>
      <c r="S394" s="33">
        <f>ROUND(ROUND(P394, 2)*I394, 2)</f>
        <v>23440.62</v>
      </c>
      <c r="T394" s="12"/>
      <c r="U394" s="34"/>
      <c r="V394" s="9">
        <f>ROUND(ROUND(P394, 2)/1.2, 2)</f>
        <v>10.48</v>
      </c>
      <c r="Y394" s="9">
        <f t="shared" si="103"/>
        <v>19533.849999999999</v>
      </c>
      <c r="AD394" s="4" t="s">
        <v>1208</v>
      </c>
      <c r="AE394" s="4" t="s">
        <v>1209</v>
      </c>
      <c r="AF394" s="4" t="s">
        <v>964</v>
      </c>
    </row>
    <row r="395" spans="1:35" ht="36" x14ac:dyDescent="0.3">
      <c r="A395" s="11" t="s">
        <v>1210</v>
      </c>
      <c r="B395" s="11" t="s">
        <v>1165</v>
      </c>
      <c r="C395" s="20" t="s">
        <v>1166</v>
      </c>
      <c r="D395" s="21"/>
      <c r="E395" s="21" t="s">
        <v>1157</v>
      </c>
      <c r="F395" s="21" t="s">
        <v>57</v>
      </c>
      <c r="G395" s="22">
        <v>1</v>
      </c>
      <c r="H395" s="21"/>
      <c r="I395" s="22">
        <v>1035.18</v>
      </c>
      <c r="J395" s="23">
        <f>IFERROR(ROUND(SUM(M396,M397)/I395, 2),0)</f>
        <v>35.61</v>
      </c>
      <c r="K395" s="23">
        <v>508</v>
      </c>
      <c r="L395" s="23">
        <f>J395+ROUND(K395, 2)</f>
        <v>543.61</v>
      </c>
      <c r="M395" s="23">
        <f>ROUND(J395*I395, 2)</f>
        <v>36862.76</v>
      </c>
      <c r="N395" s="23">
        <f>ROUND(I395*ROUND(K395, 2), 2)</f>
        <v>525871.43999999994</v>
      </c>
      <c r="O395" s="23">
        <f>M395+N395</f>
        <v>562734.19999999995</v>
      </c>
      <c r="P395" s="23">
        <f>IFERROR(ROUND(SUM(S396,S397)/I395, 2),0)</f>
        <v>35.96</v>
      </c>
      <c r="Q395" s="23">
        <v>508</v>
      </c>
      <c r="R395" s="23">
        <f>P395+ROUND(Q395, 2)</f>
        <v>543.96</v>
      </c>
      <c r="S395" s="23">
        <f>ROUND(P395*I395, 2)</f>
        <v>37225.07</v>
      </c>
      <c r="T395" s="23">
        <f>ROUND(I395*ROUND(Q395, 2), 2)</f>
        <v>525871.43999999994</v>
      </c>
      <c r="U395" s="23">
        <f>S395+T395</f>
        <v>563096.50999999989</v>
      </c>
      <c r="V395" s="9">
        <f>ROUND(P395 / 1.2, 2)</f>
        <v>29.97</v>
      </c>
      <c r="W395" s="9">
        <f>ROUND(Q395 / 1.2, 2)</f>
        <v>423.33</v>
      </c>
      <c r="X395" s="9">
        <f>ROUND(R395 / 1.2, 2)</f>
        <v>453.3</v>
      </c>
      <c r="Y395" s="9">
        <f t="shared" si="103"/>
        <v>31020.89</v>
      </c>
      <c r="Z395" s="9">
        <f>ROUND(T395 / 1.2, 2)</f>
        <v>438226.2</v>
      </c>
      <c r="AA395" s="9">
        <f>Y395+Z395</f>
        <v>469247.09</v>
      </c>
      <c r="AD395" s="4">
        <v>341534399</v>
      </c>
      <c r="AE395" s="4">
        <v>28222007</v>
      </c>
      <c r="AG395" s="4" t="s">
        <v>1167</v>
      </c>
      <c r="AH395" s="4" t="s">
        <v>1168</v>
      </c>
      <c r="AI395" s="4" t="s">
        <v>241</v>
      </c>
    </row>
    <row r="396" spans="1:35" ht="36" x14ac:dyDescent="0.3">
      <c r="A396" s="11" t="s">
        <v>1211</v>
      </c>
      <c r="B396" s="11"/>
      <c r="C396" s="30" t="s">
        <v>509</v>
      </c>
      <c r="D396" s="21"/>
      <c r="E396" s="21"/>
      <c r="F396" s="31" t="s">
        <v>76</v>
      </c>
      <c r="G396" s="32">
        <v>0.15</v>
      </c>
      <c r="H396" s="21"/>
      <c r="I396" s="32">
        <v>155.27699999999999</v>
      </c>
      <c r="J396" s="33">
        <v>90.28</v>
      </c>
      <c r="K396" s="12"/>
      <c r="L396" s="12"/>
      <c r="M396" s="33">
        <f>ROUND(ROUND(J396, 2)*I396, 2)</f>
        <v>14018.41</v>
      </c>
      <c r="N396" s="12"/>
      <c r="O396" s="12"/>
      <c r="P396" s="33">
        <v>88.8</v>
      </c>
      <c r="Q396" s="12"/>
      <c r="R396" s="12"/>
      <c r="S396" s="33">
        <f>ROUND(ROUND(P396, 2)*I396, 2)</f>
        <v>13788.6</v>
      </c>
      <c r="T396" s="12"/>
      <c r="U396" s="34"/>
      <c r="V396" s="9">
        <f>ROUND(ROUND(P396, 2)/1.2, 2)</f>
        <v>74</v>
      </c>
      <c r="Y396" s="9">
        <f t="shared" si="103"/>
        <v>11490.5</v>
      </c>
      <c r="AD396" s="4" t="s">
        <v>1212</v>
      </c>
      <c r="AE396" s="4" t="s">
        <v>1213</v>
      </c>
      <c r="AF396" s="4" t="s">
        <v>512</v>
      </c>
    </row>
    <row r="397" spans="1:35" ht="36" x14ac:dyDescent="0.3">
      <c r="A397" s="11" t="s">
        <v>1214</v>
      </c>
      <c r="B397" s="11"/>
      <c r="C397" s="35" t="s">
        <v>961</v>
      </c>
      <c r="D397" s="21"/>
      <c r="E397" s="21"/>
      <c r="F397" s="31" t="s">
        <v>76</v>
      </c>
      <c r="G397" s="32">
        <v>1.8</v>
      </c>
      <c r="H397" s="21"/>
      <c r="I397" s="32">
        <v>1863.3240000000001</v>
      </c>
      <c r="J397" s="33">
        <v>12.26</v>
      </c>
      <c r="K397" s="12"/>
      <c r="L397" s="12"/>
      <c r="M397" s="33">
        <f>ROUND(ROUND(J397, 2)*I397, 2)</f>
        <v>22844.35</v>
      </c>
      <c r="N397" s="12"/>
      <c r="O397" s="12"/>
      <c r="P397" s="33">
        <v>12.58</v>
      </c>
      <c r="Q397" s="12"/>
      <c r="R397" s="12"/>
      <c r="S397" s="33">
        <f>ROUND(ROUND(P397, 2)*I397, 2)</f>
        <v>23440.62</v>
      </c>
      <c r="T397" s="12"/>
      <c r="U397" s="34"/>
      <c r="V397" s="9">
        <f>ROUND(ROUND(P397, 2)/1.2, 2)</f>
        <v>10.48</v>
      </c>
      <c r="Y397" s="9">
        <f t="shared" si="103"/>
        <v>19533.849999999999</v>
      </c>
      <c r="AD397" s="4" t="s">
        <v>1215</v>
      </c>
      <c r="AE397" s="4" t="s">
        <v>1216</v>
      </c>
      <c r="AF397" s="4" t="s">
        <v>964</v>
      </c>
    </row>
    <row r="398" spans="1:35" ht="36" x14ac:dyDescent="0.3">
      <c r="A398" s="11" t="s">
        <v>1217</v>
      </c>
      <c r="B398" s="11" t="s">
        <v>1165</v>
      </c>
      <c r="C398" s="20" t="s">
        <v>1166</v>
      </c>
      <c r="D398" s="21"/>
      <c r="E398" s="21" t="s">
        <v>1110</v>
      </c>
      <c r="F398" s="21" t="s">
        <v>57</v>
      </c>
      <c r="G398" s="22">
        <v>1</v>
      </c>
      <c r="H398" s="21"/>
      <c r="I398" s="22">
        <v>555.89</v>
      </c>
      <c r="J398" s="23">
        <f>IFERROR(ROUND(SUM(M399,M400,M401)/I398, 2),0)</f>
        <v>82.62</v>
      </c>
      <c r="K398" s="23">
        <v>508</v>
      </c>
      <c r="L398" s="23">
        <f>J398+ROUND(K398, 2)</f>
        <v>590.62</v>
      </c>
      <c r="M398" s="23">
        <f>ROUND(J398*I398, 2)</f>
        <v>45927.63</v>
      </c>
      <c r="N398" s="23">
        <f>ROUND(I398*ROUND(K398, 2), 2)</f>
        <v>282392.12</v>
      </c>
      <c r="O398" s="23">
        <f>M398+N398</f>
        <v>328319.75</v>
      </c>
      <c r="P398" s="23">
        <f>IFERROR(ROUND(SUM(S399,S400,S401)/I398, 2),0)</f>
        <v>91.32</v>
      </c>
      <c r="Q398" s="23">
        <v>508</v>
      </c>
      <c r="R398" s="23">
        <f>P398+ROUND(Q398, 2)</f>
        <v>599.31999999999994</v>
      </c>
      <c r="S398" s="23">
        <f>ROUND(P398*I398, 2)</f>
        <v>50763.87</v>
      </c>
      <c r="T398" s="23">
        <f>ROUND(I398*ROUND(Q398, 2), 2)</f>
        <v>282392.12</v>
      </c>
      <c r="U398" s="23">
        <f>S398+T398</f>
        <v>333155.99</v>
      </c>
      <c r="V398" s="9">
        <f>ROUND(P398 / 1.2, 2)</f>
        <v>76.099999999999994</v>
      </c>
      <c r="W398" s="9">
        <f>ROUND(Q398 / 1.2, 2)</f>
        <v>423.33</v>
      </c>
      <c r="X398" s="9">
        <f>ROUND(R398 / 1.2, 2)</f>
        <v>499.43</v>
      </c>
      <c r="Y398" s="9">
        <f t="shared" si="103"/>
        <v>42303.23</v>
      </c>
      <c r="Z398" s="9">
        <f>ROUND(T398 / 1.2, 2)</f>
        <v>235326.77</v>
      </c>
      <c r="AA398" s="9">
        <f>Y398+Z398</f>
        <v>277630</v>
      </c>
      <c r="AD398" s="4">
        <v>341534400</v>
      </c>
      <c r="AE398" s="4">
        <v>28253224</v>
      </c>
      <c r="AG398" s="4" t="s">
        <v>1167</v>
      </c>
      <c r="AH398" s="4" t="s">
        <v>1168</v>
      </c>
      <c r="AI398" s="4" t="s">
        <v>241</v>
      </c>
    </row>
    <row r="399" spans="1:35" ht="36" x14ac:dyDescent="0.3">
      <c r="A399" s="11" t="s">
        <v>1218</v>
      </c>
      <c r="B399" s="11"/>
      <c r="C399" s="30" t="s">
        <v>509</v>
      </c>
      <c r="D399" s="21"/>
      <c r="E399" s="21"/>
      <c r="F399" s="31" t="s">
        <v>76</v>
      </c>
      <c r="G399" s="32">
        <v>0.15</v>
      </c>
      <c r="H399" s="21"/>
      <c r="I399" s="32">
        <v>83.384</v>
      </c>
      <c r="J399" s="33">
        <v>90.28</v>
      </c>
      <c r="K399" s="12"/>
      <c r="L399" s="12"/>
      <c r="M399" s="33">
        <f>ROUND(ROUND(J399, 2)*I399, 2)</f>
        <v>7527.91</v>
      </c>
      <c r="N399" s="12"/>
      <c r="O399" s="12"/>
      <c r="P399" s="33">
        <v>88.8</v>
      </c>
      <c r="Q399" s="12"/>
      <c r="R399" s="12"/>
      <c r="S399" s="33">
        <f>ROUND(ROUND(P399, 2)*I399, 2)</f>
        <v>7404.5</v>
      </c>
      <c r="T399" s="12"/>
      <c r="U399" s="34"/>
      <c r="V399" s="9">
        <f>ROUND(ROUND(P399, 2)/1.2, 2)</f>
        <v>74</v>
      </c>
      <c r="Y399" s="9">
        <f t="shared" si="103"/>
        <v>6170.42</v>
      </c>
      <c r="AD399" s="4" t="s">
        <v>1219</v>
      </c>
      <c r="AE399" s="4" t="s">
        <v>1220</v>
      </c>
      <c r="AF399" s="4" t="s">
        <v>512</v>
      </c>
    </row>
    <row r="400" spans="1:35" ht="18" x14ac:dyDescent="0.3">
      <c r="A400" s="11" t="s">
        <v>1221</v>
      </c>
      <c r="B400" s="11"/>
      <c r="C400" s="30" t="s">
        <v>907</v>
      </c>
      <c r="D400" s="21"/>
      <c r="E400" s="21"/>
      <c r="F400" s="31" t="s">
        <v>98</v>
      </c>
      <c r="G400" s="32">
        <v>0.3</v>
      </c>
      <c r="H400" s="21"/>
      <c r="I400" s="32">
        <v>166.767</v>
      </c>
      <c r="J400" s="33">
        <v>74.319999999999993</v>
      </c>
      <c r="K400" s="12"/>
      <c r="L400" s="12"/>
      <c r="M400" s="33">
        <f>ROUND(ROUND(J400, 2)*I400, 2)</f>
        <v>12394.12</v>
      </c>
      <c r="N400" s="12"/>
      <c r="O400" s="12"/>
      <c r="P400" s="33">
        <v>74.319999999999993</v>
      </c>
      <c r="Q400" s="12"/>
      <c r="R400" s="12"/>
      <c r="S400" s="33">
        <f>ROUND(ROUND(P400, 2)*I400, 2)</f>
        <v>12394.12</v>
      </c>
      <c r="T400" s="12"/>
      <c r="U400" s="34"/>
      <c r="V400" s="9">
        <f>ROUND(ROUND(P400, 2)/1.2, 2)</f>
        <v>61.93</v>
      </c>
      <c r="Y400" s="9">
        <f t="shared" si="103"/>
        <v>10328.43</v>
      </c>
      <c r="AD400" s="4" t="s">
        <v>1222</v>
      </c>
      <c r="AE400" s="4" t="s">
        <v>1223</v>
      </c>
      <c r="AF400" s="4" t="s">
        <v>910</v>
      </c>
    </row>
    <row r="401" spans="1:35" ht="18" x14ac:dyDescent="0.3">
      <c r="A401" s="11" t="s">
        <v>1224</v>
      </c>
      <c r="B401" s="11"/>
      <c r="C401" s="30" t="s">
        <v>902</v>
      </c>
      <c r="D401" s="21"/>
      <c r="E401" s="21" t="s">
        <v>1080</v>
      </c>
      <c r="F401" s="31" t="s">
        <v>76</v>
      </c>
      <c r="G401" s="32">
        <v>2</v>
      </c>
      <c r="H401" s="21"/>
      <c r="I401" s="32">
        <v>1111.78</v>
      </c>
      <c r="J401" s="33">
        <v>23.39</v>
      </c>
      <c r="K401" s="12"/>
      <c r="L401" s="12"/>
      <c r="M401" s="33">
        <f>ROUND(ROUND(J401, 2)*I401, 2)</f>
        <v>26004.53</v>
      </c>
      <c r="N401" s="12"/>
      <c r="O401" s="12"/>
      <c r="P401" s="33">
        <v>27.85</v>
      </c>
      <c r="Q401" s="12"/>
      <c r="R401" s="12"/>
      <c r="S401" s="33">
        <f>ROUND(ROUND(P401, 2)*I401, 2)</f>
        <v>30963.07</v>
      </c>
      <c r="T401" s="12"/>
      <c r="U401" s="34"/>
      <c r="V401" s="9">
        <f>ROUND(ROUND(P401, 2)/1.2, 2)</f>
        <v>23.21</v>
      </c>
      <c r="Y401" s="9">
        <f t="shared" si="103"/>
        <v>25802.560000000001</v>
      </c>
      <c r="AD401" s="4" t="s">
        <v>1225</v>
      </c>
      <c r="AE401" s="4" t="s">
        <v>1226</v>
      </c>
      <c r="AF401" s="4" t="s">
        <v>905</v>
      </c>
    </row>
    <row r="402" spans="1:35" ht="36" x14ac:dyDescent="0.3">
      <c r="A402" s="11" t="s">
        <v>1227</v>
      </c>
      <c r="B402" s="11" t="s">
        <v>1165</v>
      </c>
      <c r="C402" s="20" t="s">
        <v>1166</v>
      </c>
      <c r="D402" s="21"/>
      <c r="E402" s="21" t="s">
        <v>1121</v>
      </c>
      <c r="F402" s="21" t="s">
        <v>57</v>
      </c>
      <c r="G402" s="22">
        <v>1</v>
      </c>
      <c r="H402" s="21"/>
      <c r="I402" s="22">
        <v>555.89</v>
      </c>
      <c r="J402" s="23">
        <f>IFERROR(ROUND(SUM(M403,M404)/I402, 2),0)</f>
        <v>60.32</v>
      </c>
      <c r="K402" s="23">
        <v>508</v>
      </c>
      <c r="L402" s="23">
        <f>J402+ROUND(K402, 2)</f>
        <v>568.32000000000005</v>
      </c>
      <c r="M402" s="23">
        <f>ROUND(J402*I402, 2)</f>
        <v>33531.279999999999</v>
      </c>
      <c r="N402" s="23">
        <f>ROUND(I402*ROUND(K402, 2), 2)</f>
        <v>282392.12</v>
      </c>
      <c r="O402" s="23">
        <f>M402+N402</f>
        <v>315923.40000000002</v>
      </c>
      <c r="P402" s="23">
        <f>IFERROR(ROUND(SUM(S403,S404)/I402, 2),0)</f>
        <v>77.94</v>
      </c>
      <c r="Q402" s="23">
        <v>508</v>
      </c>
      <c r="R402" s="23">
        <f>P402+ROUND(Q402, 2)</f>
        <v>585.94000000000005</v>
      </c>
      <c r="S402" s="23">
        <f>ROUND(P402*I402, 2)</f>
        <v>43326.07</v>
      </c>
      <c r="T402" s="23">
        <f>ROUND(I402*ROUND(Q402, 2), 2)</f>
        <v>282392.12</v>
      </c>
      <c r="U402" s="23">
        <f>S402+T402</f>
        <v>325718.19</v>
      </c>
      <c r="V402" s="9">
        <f>ROUND(P402 / 1.2, 2)</f>
        <v>64.95</v>
      </c>
      <c r="W402" s="9">
        <f>ROUND(Q402 / 1.2, 2)</f>
        <v>423.33</v>
      </c>
      <c r="X402" s="9">
        <f>ROUND(R402 / 1.2, 2)</f>
        <v>488.28</v>
      </c>
      <c r="Y402" s="9">
        <f t="shared" si="103"/>
        <v>36105.06</v>
      </c>
      <c r="Z402" s="9">
        <f>ROUND(T402 / 1.2, 2)</f>
        <v>235326.77</v>
      </c>
      <c r="AA402" s="9">
        <f>Y402+Z402</f>
        <v>271431.82999999996</v>
      </c>
      <c r="AD402" s="4">
        <v>341534401</v>
      </c>
      <c r="AE402" s="4">
        <v>28253230</v>
      </c>
      <c r="AG402" s="4" t="s">
        <v>1167</v>
      </c>
      <c r="AH402" s="4" t="s">
        <v>1168</v>
      </c>
      <c r="AI402" s="4" t="s">
        <v>241</v>
      </c>
    </row>
    <row r="403" spans="1:35" ht="36" x14ac:dyDescent="0.3">
      <c r="A403" s="11" t="s">
        <v>1228</v>
      </c>
      <c r="B403" s="11"/>
      <c r="C403" s="30" t="s">
        <v>509</v>
      </c>
      <c r="D403" s="21"/>
      <c r="E403" s="21"/>
      <c r="F403" s="31" t="s">
        <v>76</v>
      </c>
      <c r="G403" s="32">
        <v>0.15</v>
      </c>
      <c r="H403" s="21"/>
      <c r="I403" s="32">
        <v>83.384</v>
      </c>
      <c r="J403" s="33">
        <v>90.28</v>
      </c>
      <c r="K403" s="12"/>
      <c r="L403" s="12"/>
      <c r="M403" s="33">
        <f>ROUND(ROUND(J403, 2)*I403, 2)</f>
        <v>7527.91</v>
      </c>
      <c r="N403" s="12"/>
      <c r="O403" s="12"/>
      <c r="P403" s="33">
        <v>88.8</v>
      </c>
      <c r="Q403" s="12"/>
      <c r="R403" s="12"/>
      <c r="S403" s="33">
        <f>ROUND(ROUND(P403, 2)*I403, 2)</f>
        <v>7404.5</v>
      </c>
      <c r="T403" s="12"/>
      <c r="U403" s="34"/>
      <c r="V403" s="9">
        <f>ROUND(ROUND(P403, 2)/1.2, 2)</f>
        <v>74</v>
      </c>
      <c r="Y403" s="9">
        <f t="shared" si="103"/>
        <v>6170.42</v>
      </c>
      <c r="AD403" s="4" t="s">
        <v>1229</v>
      </c>
      <c r="AE403" s="4" t="s">
        <v>1230</v>
      </c>
      <c r="AF403" s="4" t="s">
        <v>512</v>
      </c>
    </row>
    <row r="404" spans="1:35" ht="18" x14ac:dyDescent="0.3">
      <c r="A404" s="11" t="s">
        <v>1231</v>
      </c>
      <c r="B404" s="11"/>
      <c r="C404" s="30" t="s">
        <v>902</v>
      </c>
      <c r="D404" s="21"/>
      <c r="E404" s="21" t="s">
        <v>1097</v>
      </c>
      <c r="F404" s="31" t="s">
        <v>76</v>
      </c>
      <c r="G404" s="32">
        <v>2</v>
      </c>
      <c r="H404" s="21"/>
      <c r="I404" s="32">
        <v>1111.78</v>
      </c>
      <c r="J404" s="33">
        <v>23.39</v>
      </c>
      <c r="K404" s="12"/>
      <c r="L404" s="12"/>
      <c r="M404" s="33">
        <f>ROUND(ROUND(J404, 2)*I404, 2)</f>
        <v>26004.53</v>
      </c>
      <c r="N404" s="12"/>
      <c r="O404" s="12"/>
      <c r="P404" s="33">
        <v>32.31</v>
      </c>
      <c r="Q404" s="12"/>
      <c r="R404" s="12"/>
      <c r="S404" s="33">
        <f>ROUND(ROUND(P404, 2)*I404, 2)</f>
        <v>35921.61</v>
      </c>
      <c r="T404" s="12"/>
      <c r="U404" s="34"/>
      <c r="V404" s="9">
        <f>ROUND(ROUND(P404, 2)/1.2, 2)</f>
        <v>26.93</v>
      </c>
      <c r="Y404" s="9">
        <f t="shared" ref="Y404:Y431" si="104">ROUND(S404 / 1.2, 2)</f>
        <v>29934.68</v>
      </c>
      <c r="AD404" s="4" t="s">
        <v>1232</v>
      </c>
      <c r="AE404" s="4" t="s">
        <v>1233</v>
      </c>
      <c r="AF404" s="4" t="s">
        <v>905</v>
      </c>
    </row>
    <row r="405" spans="1:35" ht="36" x14ac:dyDescent="0.3">
      <c r="A405" s="11" t="s">
        <v>1234</v>
      </c>
      <c r="B405" s="11" t="s">
        <v>1165</v>
      </c>
      <c r="C405" s="20" t="s">
        <v>1166</v>
      </c>
      <c r="D405" s="21"/>
      <c r="E405" s="21" t="s">
        <v>1129</v>
      </c>
      <c r="F405" s="21" t="s">
        <v>57</v>
      </c>
      <c r="G405" s="22">
        <v>1</v>
      </c>
      <c r="H405" s="21"/>
      <c r="I405" s="22">
        <v>555.89</v>
      </c>
      <c r="J405" s="23">
        <f>IFERROR(ROUND(SUM(M406,M407)/I405, 2),0)</f>
        <v>60.32</v>
      </c>
      <c r="K405" s="23">
        <v>508</v>
      </c>
      <c r="L405" s="23">
        <f>J405+ROUND(K405, 2)</f>
        <v>568.32000000000005</v>
      </c>
      <c r="M405" s="23">
        <f>ROUND(J405*I405, 2)</f>
        <v>33531.279999999999</v>
      </c>
      <c r="N405" s="23">
        <f>ROUND(I405*ROUND(K405, 2), 2)</f>
        <v>282392.12</v>
      </c>
      <c r="O405" s="23">
        <f>M405+N405</f>
        <v>315923.40000000002</v>
      </c>
      <c r="P405" s="23">
        <f>IFERROR(ROUND(SUM(S406,S407)/I405, 2),0)</f>
        <v>98.52</v>
      </c>
      <c r="Q405" s="23">
        <v>508</v>
      </c>
      <c r="R405" s="23">
        <f>P405+ROUND(Q405, 2)</f>
        <v>606.52</v>
      </c>
      <c r="S405" s="23">
        <f>ROUND(P405*I405, 2)</f>
        <v>54766.28</v>
      </c>
      <c r="T405" s="23">
        <f>ROUND(I405*ROUND(Q405, 2), 2)</f>
        <v>282392.12</v>
      </c>
      <c r="U405" s="23">
        <f>S405+T405</f>
        <v>337158.40000000002</v>
      </c>
      <c r="V405" s="9">
        <f>ROUND(P405 / 1.2, 2)</f>
        <v>82.1</v>
      </c>
      <c r="W405" s="9">
        <f>ROUND(Q405 / 1.2, 2)</f>
        <v>423.33</v>
      </c>
      <c r="X405" s="9">
        <f>ROUND(R405 / 1.2, 2)</f>
        <v>505.43</v>
      </c>
      <c r="Y405" s="9">
        <f t="shared" si="104"/>
        <v>45638.57</v>
      </c>
      <c r="Z405" s="9">
        <f>ROUND(T405 / 1.2, 2)</f>
        <v>235326.77</v>
      </c>
      <c r="AA405" s="9">
        <f>Y405+Z405</f>
        <v>280965.33999999997</v>
      </c>
      <c r="AD405" s="4">
        <v>341534402</v>
      </c>
      <c r="AE405" s="4">
        <v>28253227</v>
      </c>
      <c r="AG405" s="4" t="s">
        <v>1167</v>
      </c>
      <c r="AH405" s="4" t="s">
        <v>1168</v>
      </c>
      <c r="AI405" s="4" t="s">
        <v>241</v>
      </c>
    </row>
    <row r="406" spans="1:35" ht="36" x14ac:dyDescent="0.3">
      <c r="A406" s="11" t="s">
        <v>1235</v>
      </c>
      <c r="B406" s="11"/>
      <c r="C406" s="30" t="s">
        <v>509</v>
      </c>
      <c r="D406" s="21"/>
      <c r="E406" s="21"/>
      <c r="F406" s="31" t="s">
        <v>76</v>
      </c>
      <c r="G406" s="32">
        <v>0.15</v>
      </c>
      <c r="H406" s="21"/>
      <c r="I406" s="32">
        <v>83.384</v>
      </c>
      <c r="J406" s="33">
        <v>90.28</v>
      </c>
      <c r="K406" s="12"/>
      <c r="L406" s="12"/>
      <c r="M406" s="33">
        <f>ROUND(ROUND(J406, 2)*I406, 2)</f>
        <v>7527.91</v>
      </c>
      <c r="N406" s="12"/>
      <c r="O406" s="12"/>
      <c r="P406" s="33">
        <v>88.8</v>
      </c>
      <c r="Q406" s="12"/>
      <c r="R406" s="12"/>
      <c r="S406" s="33">
        <f>ROUND(ROUND(P406, 2)*I406, 2)</f>
        <v>7404.5</v>
      </c>
      <c r="T406" s="12"/>
      <c r="U406" s="34"/>
      <c r="V406" s="9">
        <f>ROUND(ROUND(P406, 2)/1.2, 2)</f>
        <v>74</v>
      </c>
      <c r="Y406" s="9">
        <f t="shared" si="104"/>
        <v>6170.42</v>
      </c>
      <c r="AD406" s="4" t="s">
        <v>1236</v>
      </c>
      <c r="AE406" s="4" t="s">
        <v>1237</v>
      </c>
      <c r="AF406" s="4" t="s">
        <v>512</v>
      </c>
    </row>
    <row r="407" spans="1:35" ht="18" x14ac:dyDescent="0.3">
      <c r="A407" s="11" t="s">
        <v>1238</v>
      </c>
      <c r="B407" s="11"/>
      <c r="C407" s="30" t="s">
        <v>902</v>
      </c>
      <c r="D407" s="21"/>
      <c r="E407" s="21" t="s">
        <v>1106</v>
      </c>
      <c r="F407" s="31" t="s">
        <v>76</v>
      </c>
      <c r="G407" s="32">
        <v>2</v>
      </c>
      <c r="H407" s="21"/>
      <c r="I407" s="32">
        <v>1111.78</v>
      </c>
      <c r="J407" s="33">
        <v>23.39</v>
      </c>
      <c r="K407" s="12"/>
      <c r="L407" s="12"/>
      <c r="M407" s="33">
        <f>ROUND(ROUND(J407, 2)*I407, 2)</f>
        <v>26004.53</v>
      </c>
      <c r="N407" s="12"/>
      <c r="O407" s="12"/>
      <c r="P407" s="33">
        <v>42.6</v>
      </c>
      <c r="Q407" s="12"/>
      <c r="R407" s="12"/>
      <c r="S407" s="33">
        <f>ROUND(ROUND(P407, 2)*I407, 2)</f>
        <v>47361.83</v>
      </c>
      <c r="T407" s="12"/>
      <c r="U407" s="34"/>
      <c r="V407" s="9">
        <f>ROUND(ROUND(P407, 2)/1.2, 2)</f>
        <v>35.5</v>
      </c>
      <c r="Y407" s="9">
        <f t="shared" si="104"/>
        <v>39468.19</v>
      </c>
      <c r="AD407" s="4" t="s">
        <v>1239</v>
      </c>
      <c r="AE407" s="4" t="s">
        <v>1240</v>
      </c>
      <c r="AF407" s="4" t="s">
        <v>905</v>
      </c>
    </row>
    <row r="408" spans="1:35" ht="36" x14ac:dyDescent="0.3">
      <c r="A408" s="11" t="s">
        <v>1241</v>
      </c>
      <c r="B408" s="11" t="s">
        <v>1165</v>
      </c>
      <c r="C408" s="20" t="s">
        <v>1166</v>
      </c>
      <c r="D408" s="21"/>
      <c r="E408" s="21" t="s">
        <v>1242</v>
      </c>
      <c r="F408" s="21" t="s">
        <v>57</v>
      </c>
      <c r="G408" s="22">
        <v>1</v>
      </c>
      <c r="H408" s="21"/>
      <c r="I408" s="22">
        <v>133.69999999999999</v>
      </c>
      <c r="J408" s="23">
        <f>IFERROR(ROUND(SUM(M409,M410,M411)/I408, 2),0)</f>
        <v>82.62</v>
      </c>
      <c r="K408" s="23">
        <v>508</v>
      </c>
      <c r="L408" s="23">
        <f>J408+ROUND(K408, 2)</f>
        <v>590.62</v>
      </c>
      <c r="M408" s="23">
        <f>ROUND(J408*I408, 2)</f>
        <v>11046.29</v>
      </c>
      <c r="N408" s="23">
        <f>ROUND(I408*ROUND(K408, 2), 2)</f>
        <v>67919.600000000006</v>
      </c>
      <c r="O408" s="23">
        <f>M408+N408</f>
        <v>78965.890000000014</v>
      </c>
      <c r="P408" s="23">
        <f>IFERROR(ROUND(SUM(S409,S410,S411)/I408, 2),0)</f>
        <v>91.32</v>
      </c>
      <c r="Q408" s="23">
        <v>508</v>
      </c>
      <c r="R408" s="23">
        <f>P408+ROUND(Q408, 2)</f>
        <v>599.31999999999994</v>
      </c>
      <c r="S408" s="23">
        <f>ROUND(P408*I408, 2)</f>
        <v>12209.48</v>
      </c>
      <c r="T408" s="23">
        <f>ROUND(I408*ROUND(Q408, 2), 2)</f>
        <v>67919.600000000006</v>
      </c>
      <c r="U408" s="23">
        <f>S408+T408</f>
        <v>80129.08</v>
      </c>
      <c r="V408" s="9">
        <f>ROUND(P408 / 1.2, 2)</f>
        <v>76.099999999999994</v>
      </c>
      <c r="W408" s="9">
        <f>ROUND(Q408 / 1.2, 2)</f>
        <v>423.33</v>
      </c>
      <c r="X408" s="9">
        <f>ROUND(R408 / 1.2, 2)</f>
        <v>499.43</v>
      </c>
      <c r="Y408" s="9">
        <f t="shared" si="104"/>
        <v>10174.57</v>
      </c>
      <c r="Z408" s="9">
        <f>ROUND(T408 / 1.2, 2)</f>
        <v>56599.67</v>
      </c>
      <c r="AA408" s="9">
        <f>Y408+Z408</f>
        <v>66774.239999999991</v>
      </c>
      <c r="AD408" s="4">
        <v>341534403</v>
      </c>
      <c r="AE408" s="4">
        <v>28291315</v>
      </c>
      <c r="AG408" s="4" t="s">
        <v>1167</v>
      </c>
      <c r="AH408" s="4" t="s">
        <v>1168</v>
      </c>
      <c r="AI408" s="4" t="s">
        <v>241</v>
      </c>
    </row>
    <row r="409" spans="1:35" ht="36" x14ac:dyDescent="0.3">
      <c r="A409" s="11" t="s">
        <v>1243</v>
      </c>
      <c r="B409" s="11"/>
      <c r="C409" s="30" t="s">
        <v>509</v>
      </c>
      <c r="D409" s="21"/>
      <c r="E409" s="21"/>
      <c r="F409" s="31" t="s">
        <v>76</v>
      </c>
      <c r="G409" s="32">
        <v>0.15</v>
      </c>
      <c r="H409" s="21"/>
      <c r="I409" s="32">
        <v>20.055</v>
      </c>
      <c r="J409" s="33">
        <v>90.28</v>
      </c>
      <c r="K409" s="12"/>
      <c r="L409" s="12"/>
      <c r="M409" s="33">
        <f>ROUND(ROUND(J409, 2)*I409, 2)</f>
        <v>1810.57</v>
      </c>
      <c r="N409" s="12"/>
      <c r="O409" s="12"/>
      <c r="P409" s="33">
        <v>88.8</v>
      </c>
      <c r="Q409" s="12"/>
      <c r="R409" s="12"/>
      <c r="S409" s="33">
        <f>ROUND(ROUND(P409, 2)*I409, 2)</f>
        <v>1780.88</v>
      </c>
      <c r="T409" s="12"/>
      <c r="U409" s="34"/>
      <c r="V409" s="9">
        <f>ROUND(ROUND(P409, 2)/1.2, 2)</f>
        <v>74</v>
      </c>
      <c r="Y409" s="9">
        <f t="shared" si="104"/>
        <v>1484.07</v>
      </c>
      <c r="AD409" s="4" t="s">
        <v>1244</v>
      </c>
      <c r="AE409" s="4" t="s">
        <v>1245</v>
      </c>
      <c r="AF409" s="4" t="s">
        <v>512</v>
      </c>
    </row>
    <row r="410" spans="1:35" ht="18" x14ac:dyDescent="0.3">
      <c r="A410" s="11" t="s">
        <v>1246</v>
      </c>
      <c r="B410" s="11"/>
      <c r="C410" s="30" t="s">
        <v>907</v>
      </c>
      <c r="D410" s="21"/>
      <c r="E410" s="21"/>
      <c r="F410" s="31" t="s">
        <v>98</v>
      </c>
      <c r="G410" s="32">
        <v>0.3</v>
      </c>
      <c r="H410" s="21"/>
      <c r="I410" s="32">
        <v>40.11</v>
      </c>
      <c r="J410" s="33">
        <v>74.319999999999993</v>
      </c>
      <c r="K410" s="12"/>
      <c r="L410" s="12"/>
      <c r="M410" s="33">
        <f>ROUND(ROUND(J410, 2)*I410, 2)</f>
        <v>2980.98</v>
      </c>
      <c r="N410" s="12"/>
      <c r="O410" s="12"/>
      <c r="P410" s="33">
        <v>74.319999999999993</v>
      </c>
      <c r="Q410" s="12"/>
      <c r="R410" s="12"/>
      <c r="S410" s="33">
        <f>ROUND(ROUND(P410, 2)*I410, 2)</f>
        <v>2980.98</v>
      </c>
      <c r="T410" s="12"/>
      <c r="U410" s="34"/>
      <c r="V410" s="9">
        <f>ROUND(ROUND(P410, 2)/1.2, 2)</f>
        <v>61.93</v>
      </c>
      <c r="Y410" s="9">
        <f t="shared" si="104"/>
        <v>2484.15</v>
      </c>
      <c r="AD410" s="4" t="s">
        <v>1247</v>
      </c>
      <c r="AE410" s="4" t="s">
        <v>1248</v>
      </c>
      <c r="AF410" s="4" t="s">
        <v>910</v>
      </c>
    </row>
    <row r="411" spans="1:35" ht="18" x14ac:dyDescent="0.3">
      <c r="A411" s="11" t="s">
        <v>1249</v>
      </c>
      <c r="B411" s="11"/>
      <c r="C411" s="30" t="s">
        <v>902</v>
      </c>
      <c r="D411" s="21"/>
      <c r="E411" s="21" t="s">
        <v>1080</v>
      </c>
      <c r="F411" s="31" t="s">
        <v>76</v>
      </c>
      <c r="G411" s="32">
        <v>2</v>
      </c>
      <c r="H411" s="21"/>
      <c r="I411" s="32">
        <v>267.39999999999998</v>
      </c>
      <c r="J411" s="33">
        <v>23.39</v>
      </c>
      <c r="K411" s="12"/>
      <c r="L411" s="12"/>
      <c r="M411" s="33">
        <f>ROUND(ROUND(J411, 2)*I411, 2)</f>
        <v>6254.49</v>
      </c>
      <c r="N411" s="12"/>
      <c r="O411" s="12"/>
      <c r="P411" s="33">
        <v>27.85</v>
      </c>
      <c r="Q411" s="12"/>
      <c r="R411" s="12"/>
      <c r="S411" s="33">
        <f>ROUND(ROUND(P411, 2)*I411, 2)</f>
        <v>7447.09</v>
      </c>
      <c r="T411" s="12"/>
      <c r="U411" s="34"/>
      <c r="V411" s="9">
        <f>ROUND(ROUND(P411, 2)/1.2, 2)</f>
        <v>23.21</v>
      </c>
      <c r="Y411" s="9">
        <f t="shared" si="104"/>
        <v>6205.91</v>
      </c>
      <c r="AD411" s="4" t="s">
        <v>1250</v>
      </c>
      <c r="AE411" s="4" t="s">
        <v>1251</v>
      </c>
      <c r="AF411" s="4" t="s">
        <v>905</v>
      </c>
    </row>
    <row r="412" spans="1:35" ht="36" x14ac:dyDescent="0.3">
      <c r="A412" s="11" t="s">
        <v>1252</v>
      </c>
      <c r="B412" s="11" t="s">
        <v>1165</v>
      </c>
      <c r="C412" s="20" t="s">
        <v>1166</v>
      </c>
      <c r="D412" s="21"/>
      <c r="E412" s="21" t="s">
        <v>1253</v>
      </c>
      <c r="F412" s="21" t="s">
        <v>57</v>
      </c>
      <c r="G412" s="22">
        <v>1</v>
      </c>
      <c r="H412" s="21"/>
      <c r="I412" s="22">
        <v>133.69999999999999</v>
      </c>
      <c r="J412" s="23">
        <f>IFERROR(ROUND(SUM(M413,M414)/I412, 2),0)</f>
        <v>60.32</v>
      </c>
      <c r="K412" s="23">
        <v>508</v>
      </c>
      <c r="L412" s="23">
        <f>J412+ROUND(K412, 2)</f>
        <v>568.32000000000005</v>
      </c>
      <c r="M412" s="23">
        <f>ROUND(J412*I412, 2)</f>
        <v>8064.78</v>
      </c>
      <c r="N412" s="23">
        <f>ROUND(I412*ROUND(K412, 2), 2)</f>
        <v>67919.600000000006</v>
      </c>
      <c r="O412" s="23">
        <f>M412+N412</f>
        <v>75984.38</v>
      </c>
      <c r="P412" s="23">
        <f>IFERROR(ROUND(SUM(S413,S414)/I412, 2),0)</f>
        <v>77.94</v>
      </c>
      <c r="Q412" s="23">
        <v>508</v>
      </c>
      <c r="R412" s="23">
        <f>P412+ROUND(Q412, 2)</f>
        <v>585.94000000000005</v>
      </c>
      <c r="S412" s="23">
        <f>ROUND(P412*I412, 2)</f>
        <v>10420.58</v>
      </c>
      <c r="T412" s="23">
        <f>ROUND(I412*ROUND(Q412, 2), 2)</f>
        <v>67919.600000000006</v>
      </c>
      <c r="U412" s="23">
        <f>S412+T412</f>
        <v>78340.180000000008</v>
      </c>
      <c r="V412" s="9">
        <f>ROUND(P412 / 1.2, 2)</f>
        <v>64.95</v>
      </c>
      <c r="W412" s="9">
        <f>ROUND(Q412 / 1.2, 2)</f>
        <v>423.33</v>
      </c>
      <c r="X412" s="9">
        <f>ROUND(R412 / 1.2, 2)</f>
        <v>488.28</v>
      </c>
      <c r="Y412" s="9">
        <f t="shared" si="104"/>
        <v>8683.82</v>
      </c>
      <c r="Z412" s="9">
        <f>ROUND(T412 / 1.2, 2)</f>
        <v>56599.67</v>
      </c>
      <c r="AA412" s="9">
        <f>Y412+Z412</f>
        <v>65283.49</v>
      </c>
      <c r="AD412" s="4">
        <v>341534404</v>
      </c>
      <c r="AE412" s="4">
        <v>28291317</v>
      </c>
      <c r="AG412" s="4" t="s">
        <v>1167</v>
      </c>
      <c r="AH412" s="4" t="s">
        <v>1168</v>
      </c>
      <c r="AI412" s="4" t="s">
        <v>241</v>
      </c>
    </row>
    <row r="413" spans="1:35" ht="36" x14ac:dyDescent="0.3">
      <c r="A413" s="11" t="s">
        <v>1254</v>
      </c>
      <c r="B413" s="11"/>
      <c r="C413" s="30" t="s">
        <v>509</v>
      </c>
      <c r="D413" s="21"/>
      <c r="E413" s="21"/>
      <c r="F413" s="31" t="s">
        <v>76</v>
      </c>
      <c r="G413" s="32">
        <v>0.15</v>
      </c>
      <c r="H413" s="21"/>
      <c r="I413" s="32">
        <v>20.055</v>
      </c>
      <c r="J413" s="33">
        <v>90.28</v>
      </c>
      <c r="K413" s="12"/>
      <c r="L413" s="12"/>
      <c r="M413" s="33">
        <f>ROUND(ROUND(J413, 2)*I413, 2)</f>
        <v>1810.57</v>
      </c>
      <c r="N413" s="12"/>
      <c r="O413" s="12"/>
      <c r="P413" s="33">
        <v>88.8</v>
      </c>
      <c r="Q413" s="12"/>
      <c r="R413" s="12"/>
      <c r="S413" s="33">
        <f>ROUND(ROUND(P413, 2)*I413, 2)</f>
        <v>1780.88</v>
      </c>
      <c r="T413" s="12"/>
      <c r="U413" s="34"/>
      <c r="V413" s="9">
        <f>ROUND(ROUND(P413, 2)/1.2, 2)</f>
        <v>74</v>
      </c>
      <c r="Y413" s="9">
        <f t="shared" si="104"/>
        <v>1484.07</v>
      </c>
      <c r="AD413" s="4" t="s">
        <v>1255</v>
      </c>
      <c r="AE413" s="4" t="s">
        <v>1256</v>
      </c>
      <c r="AF413" s="4" t="s">
        <v>512</v>
      </c>
    </row>
    <row r="414" spans="1:35" ht="18" x14ac:dyDescent="0.3">
      <c r="A414" s="11" t="s">
        <v>1257</v>
      </c>
      <c r="B414" s="11"/>
      <c r="C414" s="30" t="s">
        <v>902</v>
      </c>
      <c r="D414" s="21"/>
      <c r="E414" s="21" t="s">
        <v>1097</v>
      </c>
      <c r="F414" s="31" t="s">
        <v>76</v>
      </c>
      <c r="G414" s="32">
        <v>2</v>
      </c>
      <c r="H414" s="21"/>
      <c r="I414" s="32">
        <v>267.39999999999998</v>
      </c>
      <c r="J414" s="33">
        <v>23.39</v>
      </c>
      <c r="K414" s="12"/>
      <c r="L414" s="12"/>
      <c r="M414" s="33">
        <f>ROUND(ROUND(J414, 2)*I414, 2)</f>
        <v>6254.49</v>
      </c>
      <c r="N414" s="12"/>
      <c r="O414" s="12"/>
      <c r="P414" s="33">
        <v>32.31</v>
      </c>
      <c r="Q414" s="12"/>
      <c r="R414" s="12"/>
      <c r="S414" s="33">
        <f>ROUND(ROUND(P414, 2)*I414, 2)</f>
        <v>8639.69</v>
      </c>
      <c r="T414" s="12"/>
      <c r="U414" s="34"/>
      <c r="V414" s="9">
        <f>ROUND(ROUND(P414, 2)/1.2, 2)</f>
        <v>26.93</v>
      </c>
      <c r="Y414" s="9">
        <f t="shared" si="104"/>
        <v>7199.74</v>
      </c>
      <c r="AD414" s="4" t="s">
        <v>1258</v>
      </c>
      <c r="AE414" s="4" t="s">
        <v>1259</v>
      </c>
      <c r="AF414" s="4" t="s">
        <v>905</v>
      </c>
    </row>
    <row r="415" spans="1:35" ht="36" x14ac:dyDescent="0.3">
      <c r="A415" s="11" t="s">
        <v>1260</v>
      </c>
      <c r="B415" s="11" t="s">
        <v>1165</v>
      </c>
      <c r="C415" s="20" t="s">
        <v>1166</v>
      </c>
      <c r="D415" s="21"/>
      <c r="E415" s="21" t="s">
        <v>1261</v>
      </c>
      <c r="F415" s="21" t="s">
        <v>57</v>
      </c>
      <c r="G415" s="22">
        <v>1</v>
      </c>
      <c r="H415" s="21"/>
      <c r="I415" s="22">
        <v>133.69999999999999</v>
      </c>
      <c r="J415" s="23">
        <f>IFERROR(ROUND(SUM(M416,M417)/I415, 2),0)</f>
        <v>60.32</v>
      </c>
      <c r="K415" s="23">
        <v>508</v>
      </c>
      <c r="L415" s="23">
        <f>J415+ROUND(K415, 2)</f>
        <v>568.32000000000005</v>
      </c>
      <c r="M415" s="23">
        <f>ROUND(J415*I415, 2)</f>
        <v>8064.78</v>
      </c>
      <c r="N415" s="23">
        <f>ROUND(I415*ROUND(K415, 2), 2)</f>
        <v>67919.600000000006</v>
      </c>
      <c r="O415" s="23">
        <f>M415+N415</f>
        <v>75984.38</v>
      </c>
      <c r="P415" s="23">
        <f>IFERROR(ROUND(SUM(S416,S417)/I415, 2),0)</f>
        <v>98.52</v>
      </c>
      <c r="Q415" s="23">
        <v>508</v>
      </c>
      <c r="R415" s="23">
        <f>P415+ROUND(Q415, 2)</f>
        <v>606.52</v>
      </c>
      <c r="S415" s="23">
        <f>ROUND(P415*I415, 2)</f>
        <v>13172.12</v>
      </c>
      <c r="T415" s="23">
        <f>ROUND(I415*ROUND(Q415, 2), 2)</f>
        <v>67919.600000000006</v>
      </c>
      <c r="U415" s="23">
        <f>S415+T415</f>
        <v>81091.72</v>
      </c>
      <c r="V415" s="9">
        <f>ROUND(P415 / 1.2, 2)</f>
        <v>82.1</v>
      </c>
      <c r="W415" s="9">
        <f>ROUND(Q415 / 1.2, 2)</f>
        <v>423.33</v>
      </c>
      <c r="X415" s="9">
        <f>ROUND(R415 / 1.2, 2)</f>
        <v>505.43</v>
      </c>
      <c r="Y415" s="9">
        <f t="shared" si="104"/>
        <v>10976.77</v>
      </c>
      <c r="Z415" s="9">
        <f>ROUND(T415 / 1.2, 2)</f>
        <v>56599.67</v>
      </c>
      <c r="AA415" s="9">
        <f>Y415+Z415</f>
        <v>67576.44</v>
      </c>
      <c r="AD415" s="4">
        <v>341534405</v>
      </c>
      <c r="AE415" s="4">
        <v>28291316</v>
      </c>
      <c r="AG415" s="4" t="s">
        <v>1167</v>
      </c>
      <c r="AH415" s="4" t="s">
        <v>1168</v>
      </c>
      <c r="AI415" s="4" t="s">
        <v>241</v>
      </c>
    </row>
    <row r="416" spans="1:35" ht="36" x14ac:dyDescent="0.3">
      <c r="A416" s="11" t="s">
        <v>1262</v>
      </c>
      <c r="B416" s="11"/>
      <c r="C416" s="30" t="s">
        <v>509</v>
      </c>
      <c r="D416" s="21"/>
      <c r="E416" s="21"/>
      <c r="F416" s="31" t="s">
        <v>76</v>
      </c>
      <c r="G416" s="32">
        <v>0.15</v>
      </c>
      <c r="H416" s="21"/>
      <c r="I416" s="32">
        <v>20.055</v>
      </c>
      <c r="J416" s="33">
        <v>90.28</v>
      </c>
      <c r="K416" s="12"/>
      <c r="L416" s="12"/>
      <c r="M416" s="33">
        <f>ROUND(ROUND(J416, 2)*I416, 2)</f>
        <v>1810.57</v>
      </c>
      <c r="N416" s="12"/>
      <c r="O416" s="12"/>
      <c r="P416" s="33">
        <v>88.8</v>
      </c>
      <c r="Q416" s="12"/>
      <c r="R416" s="12"/>
      <c r="S416" s="33">
        <f>ROUND(ROUND(P416, 2)*I416, 2)</f>
        <v>1780.88</v>
      </c>
      <c r="T416" s="12"/>
      <c r="U416" s="34"/>
      <c r="V416" s="9">
        <f>ROUND(ROUND(P416, 2)/1.2, 2)</f>
        <v>74</v>
      </c>
      <c r="Y416" s="9">
        <f t="shared" si="104"/>
        <v>1484.07</v>
      </c>
      <c r="AD416" s="4" t="s">
        <v>1263</v>
      </c>
      <c r="AE416" s="4" t="s">
        <v>1264</v>
      </c>
      <c r="AF416" s="4" t="s">
        <v>512</v>
      </c>
    </row>
    <row r="417" spans="1:35" ht="18" x14ac:dyDescent="0.3">
      <c r="A417" s="11" t="s">
        <v>1265</v>
      </c>
      <c r="B417" s="11"/>
      <c r="C417" s="30" t="s">
        <v>902</v>
      </c>
      <c r="D417" s="21"/>
      <c r="E417" s="21" t="s">
        <v>1106</v>
      </c>
      <c r="F417" s="31" t="s">
        <v>76</v>
      </c>
      <c r="G417" s="32">
        <v>2</v>
      </c>
      <c r="H417" s="21"/>
      <c r="I417" s="32">
        <v>267.39999999999998</v>
      </c>
      <c r="J417" s="33">
        <v>23.39</v>
      </c>
      <c r="K417" s="12"/>
      <c r="L417" s="12"/>
      <c r="M417" s="33">
        <f>ROUND(ROUND(J417, 2)*I417, 2)</f>
        <v>6254.49</v>
      </c>
      <c r="N417" s="12"/>
      <c r="O417" s="12"/>
      <c r="P417" s="33">
        <v>42.6</v>
      </c>
      <c r="Q417" s="12"/>
      <c r="R417" s="12"/>
      <c r="S417" s="33">
        <f>ROUND(ROUND(P417, 2)*I417, 2)</f>
        <v>11391.24</v>
      </c>
      <c r="T417" s="12"/>
      <c r="U417" s="34"/>
      <c r="V417" s="9">
        <f>ROUND(ROUND(P417, 2)/1.2, 2)</f>
        <v>35.5</v>
      </c>
      <c r="Y417" s="9">
        <f t="shared" si="104"/>
        <v>9492.7000000000007</v>
      </c>
      <c r="AD417" s="4" t="s">
        <v>1266</v>
      </c>
      <c r="AE417" s="4" t="s">
        <v>1267</v>
      </c>
      <c r="AF417" s="4" t="s">
        <v>905</v>
      </c>
    </row>
    <row r="418" spans="1:35" ht="72" x14ac:dyDescent="0.3">
      <c r="A418" s="11" t="s">
        <v>1268</v>
      </c>
      <c r="B418" s="11" t="s">
        <v>1269</v>
      </c>
      <c r="C418" s="20" t="s">
        <v>1270</v>
      </c>
      <c r="D418" s="21"/>
      <c r="E418" s="21" t="s">
        <v>401</v>
      </c>
      <c r="F418" s="21" t="s">
        <v>57</v>
      </c>
      <c r="G418" s="22">
        <v>1</v>
      </c>
      <c r="H418" s="21"/>
      <c r="I418" s="22">
        <v>117.8</v>
      </c>
      <c r="J418" s="23">
        <f>IFERROR(ROUND(SUM(M419,M420,M421)/I418, 2),0)</f>
        <v>257.06</v>
      </c>
      <c r="K418" s="23">
        <v>873</v>
      </c>
      <c r="L418" s="23">
        <f>J418+ROUND(K418, 2)</f>
        <v>1130.06</v>
      </c>
      <c r="M418" s="23">
        <f>ROUND(J418*I418, 2)</f>
        <v>30281.67</v>
      </c>
      <c r="N418" s="23">
        <f>ROUND(I418*ROUND(K418, 2), 2)</f>
        <v>102839.4</v>
      </c>
      <c r="O418" s="23">
        <f>M418+N418</f>
        <v>133121.07</v>
      </c>
      <c r="P418" s="23">
        <f>IFERROR(ROUND(SUM(S419,S420,S421)/I418, 2),0)</f>
        <v>263.33999999999997</v>
      </c>
      <c r="Q418" s="23">
        <v>873</v>
      </c>
      <c r="R418" s="23">
        <f>P418+ROUND(Q418, 2)</f>
        <v>1136.3399999999999</v>
      </c>
      <c r="S418" s="23">
        <f>ROUND(P418*I418, 2)</f>
        <v>31021.45</v>
      </c>
      <c r="T418" s="23">
        <f>ROUND(I418*ROUND(Q418, 2), 2)</f>
        <v>102839.4</v>
      </c>
      <c r="U418" s="23">
        <f>S418+T418</f>
        <v>133860.85</v>
      </c>
      <c r="V418" s="9">
        <f>ROUND(P418 / 1.2, 2)</f>
        <v>219.45</v>
      </c>
      <c r="W418" s="9">
        <f>ROUND(Q418 / 1.2, 2)</f>
        <v>727.5</v>
      </c>
      <c r="X418" s="9">
        <f>ROUND(R418 / 1.2, 2)</f>
        <v>946.95</v>
      </c>
      <c r="Y418" s="9">
        <f t="shared" si="104"/>
        <v>25851.21</v>
      </c>
      <c r="Z418" s="9">
        <f>ROUND(T418 / 1.2, 2)</f>
        <v>85699.5</v>
      </c>
      <c r="AA418" s="9">
        <f>Y418+Z418</f>
        <v>111550.70999999999</v>
      </c>
      <c r="AD418" s="4">
        <v>341534330</v>
      </c>
      <c r="AE418" s="4">
        <v>28291320</v>
      </c>
      <c r="AG418" s="4" t="s">
        <v>1271</v>
      </c>
      <c r="AH418" s="4" t="s">
        <v>1272</v>
      </c>
      <c r="AI418" s="4" t="s">
        <v>241</v>
      </c>
    </row>
    <row r="419" spans="1:35" ht="18" x14ac:dyDescent="0.3">
      <c r="A419" s="11" t="s">
        <v>1273</v>
      </c>
      <c r="B419" s="11"/>
      <c r="C419" s="30" t="s">
        <v>1274</v>
      </c>
      <c r="D419" s="21"/>
      <c r="E419" s="21"/>
      <c r="F419" s="31" t="s">
        <v>76</v>
      </c>
      <c r="G419" s="32">
        <v>1.3</v>
      </c>
      <c r="H419" s="21"/>
      <c r="I419" s="37">
        <v>3062.8</v>
      </c>
      <c r="J419" s="33">
        <v>8.75</v>
      </c>
      <c r="K419" s="12"/>
      <c r="L419" s="12"/>
      <c r="M419" s="33">
        <f>ROUND(ROUND(J419, 2)*I419, 2)</f>
        <v>26799.5</v>
      </c>
      <c r="N419" s="12"/>
      <c r="O419" s="12"/>
      <c r="P419" s="33">
        <v>9</v>
      </c>
      <c r="Q419" s="12"/>
      <c r="R419" s="12"/>
      <c r="S419" s="33">
        <f>ROUND(ROUND(P419, 2)*I419, 2)</f>
        <v>27565.200000000001</v>
      </c>
      <c r="T419" s="12"/>
      <c r="U419" s="34"/>
      <c r="V419" s="9">
        <f>ROUND(ROUND(P419, 2)/1.2, 2)</f>
        <v>7.5</v>
      </c>
      <c r="Y419" s="9">
        <f t="shared" si="104"/>
        <v>22971</v>
      </c>
      <c r="AD419" s="4" t="s">
        <v>1275</v>
      </c>
      <c r="AE419" s="4" t="s">
        <v>1276</v>
      </c>
      <c r="AF419" s="4" t="s">
        <v>1277</v>
      </c>
    </row>
    <row r="420" spans="1:35" ht="18" x14ac:dyDescent="0.3">
      <c r="A420" s="11" t="s">
        <v>1278</v>
      </c>
      <c r="B420" s="11"/>
      <c r="C420" s="30" t="s">
        <v>1279</v>
      </c>
      <c r="D420" s="21"/>
      <c r="E420" s="21"/>
      <c r="F420" s="31" t="s">
        <v>123</v>
      </c>
      <c r="G420" s="32">
        <v>1</v>
      </c>
      <c r="H420" s="21"/>
      <c r="I420" s="37">
        <v>117.8</v>
      </c>
      <c r="J420" s="33">
        <v>16.02</v>
      </c>
      <c r="K420" s="12"/>
      <c r="L420" s="12"/>
      <c r="M420" s="33">
        <f>ROUND(ROUND(J420, 2)*I420, 2)</f>
        <v>1887.16</v>
      </c>
      <c r="N420" s="12"/>
      <c r="O420" s="12"/>
      <c r="P420" s="33">
        <v>16.02</v>
      </c>
      <c r="Q420" s="12"/>
      <c r="R420" s="12"/>
      <c r="S420" s="33">
        <f>ROUND(ROUND(P420, 2)*I420, 2)</f>
        <v>1887.16</v>
      </c>
      <c r="T420" s="12"/>
      <c r="U420" s="34"/>
      <c r="V420" s="9">
        <f>ROUND(ROUND(P420, 2)/1.2, 2)</f>
        <v>13.35</v>
      </c>
      <c r="Y420" s="9">
        <f t="shared" si="104"/>
        <v>1572.63</v>
      </c>
      <c r="AD420" s="4" t="s">
        <v>1280</v>
      </c>
      <c r="AE420" s="4" t="s">
        <v>1281</v>
      </c>
      <c r="AF420" s="4" t="s">
        <v>1282</v>
      </c>
    </row>
    <row r="421" spans="1:35" ht="36" x14ac:dyDescent="0.3">
      <c r="A421" s="11" t="s">
        <v>1283</v>
      </c>
      <c r="B421" s="11"/>
      <c r="C421" s="30" t="s">
        <v>509</v>
      </c>
      <c r="D421" s="21"/>
      <c r="E421" s="21"/>
      <c r="F421" s="31" t="s">
        <v>76</v>
      </c>
      <c r="G421" s="32">
        <v>0.15</v>
      </c>
      <c r="H421" s="21"/>
      <c r="I421" s="32">
        <v>17.670000000000002</v>
      </c>
      <c r="J421" s="33">
        <v>90.28</v>
      </c>
      <c r="K421" s="12"/>
      <c r="L421" s="12"/>
      <c r="M421" s="33">
        <f>ROUND(ROUND(J421, 2)*I421, 2)</f>
        <v>1595.25</v>
      </c>
      <c r="N421" s="12"/>
      <c r="O421" s="12"/>
      <c r="P421" s="33">
        <v>88.8</v>
      </c>
      <c r="Q421" s="12"/>
      <c r="R421" s="12"/>
      <c r="S421" s="33">
        <f>ROUND(ROUND(P421, 2)*I421, 2)</f>
        <v>1569.1</v>
      </c>
      <c r="T421" s="12"/>
      <c r="U421" s="34"/>
      <c r="V421" s="9">
        <f>ROUND(ROUND(P421, 2)/1.2, 2)</f>
        <v>74</v>
      </c>
      <c r="Y421" s="9">
        <f t="shared" si="104"/>
        <v>1307.58</v>
      </c>
      <c r="AD421" s="4" t="s">
        <v>1284</v>
      </c>
      <c r="AE421" s="4" t="s">
        <v>1285</v>
      </c>
      <c r="AF421" s="4" t="s">
        <v>512</v>
      </c>
    </row>
    <row r="422" spans="1:35" ht="72" x14ac:dyDescent="0.3">
      <c r="A422" s="11" t="s">
        <v>1286</v>
      </c>
      <c r="B422" s="11" t="s">
        <v>1287</v>
      </c>
      <c r="C422" s="20" t="s">
        <v>1288</v>
      </c>
      <c r="D422" s="21" t="s">
        <v>1289</v>
      </c>
      <c r="E422" s="21" t="s">
        <v>1290</v>
      </c>
      <c r="F422" s="21" t="s">
        <v>57</v>
      </c>
      <c r="G422" s="22">
        <v>1</v>
      </c>
      <c r="H422" s="21"/>
      <c r="I422" s="22">
        <v>271.41000000000003</v>
      </c>
      <c r="J422" s="23">
        <f>IFERROR(ROUND(SUM(M423,M424,M425,M426)/I422, 2),0)</f>
        <v>342.92</v>
      </c>
      <c r="K422" s="23">
        <v>954</v>
      </c>
      <c r="L422" s="23">
        <f>J422+ROUND(K422, 2)</f>
        <v>1296.92</v>
      </c>
      <c r="M422" s="23">
        <f>ROUND(J422*I422, 2)</f>
        <v>93071.92</v>
      </c>
      <c r="N422" s="23">
        <f>ROUND(I422*ROUND(K422, 2), 2)</f>
        <v>258925.14</v>
      </c>
      <c r="O422" s="23">
        <f>M422+N422</f>
        <v>351997.06</v>
      </c>
      <c r="P422" s="23">
        <f>IFERROR(ROUND(SUM(S423,S424,S425,S426)/I422, 2),0)</f>
        <v>349.01</v>
      </c>
      <c r="Q422" s="23">
        <v>954</v>
      </c>
      <c r="R422" s="23">
        <f>P422+ROUND(Q422, 2)</f>
        <v>1303.01</v>
      </c>
      <c r="S422" s="23">
        <f>ROUND(P422*I422, 2)</f>
        <v>94724.800000000003</v>
      </c>
      <c r="T422" s="23">
        <f>ROUND(I422*ROUND(Q422, 2), 2)</f>
        <v>258925.14</v>
      </c>
      <c r="U422" s="23">
        <f>S422+T422</f>
        <v>353649.94</v>
      </c>
      <c r="V422" s="9">
        <f>ROUND(P422 / 1.2, 2)</f>
        <v>290.83999999999997</v>
      </c>
      <c r="W422" s="9">
        <f>ROUND(Q422 / 1.2, 2)</f>
        <v>795</v>
      </c>
      <c r="X422" s="9">
        <f>ROUND(R422 / 1.2, 2)</f>
        <v>1085.8399999999999</v>
      </c>
      <c r="Y422" s="9">
        <f t="shared" si="104"/>
        <v>78937.33</v>
      </c>
      <c r="Z422" s="9">
        <f>ROUND(T422 / 1.2, 2)</f>
        <v>215770.95</v>
      </c>
      <c r="AA422" s="9">
        <f>Y422+Z422</f>
        <v>294708.28000000003</v>
      </c>
      <c r="AD422" s="4">
        <v>341534331</v>
      </c>
      <c r="AE422" s="4">
        <v>28254139</v>
      </c>
      <c r="AG422" s="4" t="s">
        <v>1291</v>
      </c>
      <c r="AH422" s="4" t="s">
        <v>1292</v>
      </c>
      <c r="AI422" s="4" t="s">
        <v>241</v>
      </c>
    </row>
    <row r="423" spans="1:35" ht="18" x14ac:dyDescent="0.3">
      <c r="A423" s="11" t="s">
        <v>1293</v>
      </c>
      <c r="B423" s="11"/>
      <c r="C423" s="30" t="s">
        <v>1274</v>
      </c>
      <c r="D423" s="21"/>
      <c r="E423" s="21"/>
      <c r="F423" s="31" t="s">
        <v>76</v>
      </c>
      <c r="G423" s="32">
        <v>1.3</v>
      </c>
      <c r="H423" s="21"/>
      <c r="I423" s="37">
        <v>7056.66</v>
      </c>
      <c r="J423" s="33">
        <v>8.75</v>
      </c>
      <c r="K423" s="12"/>
      <c r="L423" s="12"/>
      <c r="M423" s="33">
        <f>ROUND(ROUND(J423, 2)*I423, 2)</f>
        <v>61745.78</v>
      </c>
      <c r="N423" s="12"/>
      <c r="O423" s="12"/>
      <c r="P423" s="33">
        <v>9</v>
      </c>
      <c r="Q423" s="12"/>
      <c r="R423" s="12"/>
      <c r="S423" s="33">
        <f>ROUND(ROUND(P423, 2)*I423, 2)</f>
        <v>63509.94</v>
      </c>
      <c r="T423" s="12"/>
      <c r="U423" s="34"/>
      <c r="V423" s="9">
        <f>ROUND(ROUND(P423, 2)/1.2, 2)</f>
        <v>7.5</v>
      </c>
      <c r="Y423" s="9">
        <f t="shared" si="104"/>
        <v>52924.95</v>
      </c>
      <c r="AD423" s="4" t="s">
        <v>1294</v>
      </c>
      <c r="AE423" s="4" t="s">
        <v>1295</v>
      </c>
      <c r="AF423" s="4" t="s">
        <v>1277</v>
      </c>
    </row>
    <row r="424" spans="1:35" ht="36" x14ac:dyDescent="0.3">
      <c r="A424" s="11" t="s">
        <v>1296</v>
      </c>
      <c r="B424" s="11"/>
      <c r="C424" s="30" t="s">
        <v>1297</v>
      </c>
      <c r="D424" s="21"/>
      <c r="E424" s="21"/>
      <c r="F424" s="31" t="s">
        <v>57</v>
      </c>
      <c r="G424" s="32">
        <v>1.1000000000000001</v>
      </c>
      <c r="H424" s="21"/>
      <c r="I424" s="32">
        <v>298.55099999999999</v>
      </c>
      <c r="J424" s="33">
        <v>67.260000000000005</v>
      </c>
      <c r="K424" s="12"/>
      <c r="L424" s="12"/>
      <c r="M424" s="33">
        <f>ROUND(ROUND(J424, 2)*I424, 2)</f>
        <v>20080.54</v>
      </c>
      <c r="N424" s="12"/>
      <c r="O424" s="12"/>
      <c r="P424" s="33">
        <v>67.260000000000005</v>
      </c>
      <c r="Q424" s="12"/>
      <c r="R424" s="12"/>
      <c r="S424" s="33">
        <f>ROUND(ROUND(P424, 2)*I424, 2)</f>
        <v>20080.54</v>
      </c>
      <c r="T424" s="12"/>
      <c r="U424" s="34"/>
      <c r="V424" s="9">
        <f>ROUND(ROUND(P424, 2)/1.2, 2)</f>
        <v>56.05</v>
      </c>
      <c r="Y424" s="9">
        <f t="shared" si="104"/>
        <v>16733.78</v>
      </c>
      <c r="AD424" s="4" t="s">
        <v>1298</v>
      </c>
      <c r="AE424" s="4" t="s">
        <v>1299</v>
      </c>
      <c r="AF424" s="4" t="s">
        <v>1300</v>
      </c>
    </row>
    <row r="425" spans="1:35" ht="18" x14ac:dyDescent="0.3">
      <c r="A425" s="11" t="s">
        <v>1301</v>
      </c>
      <c r="B425" s="11"/>
      <c r="C425" s="30" t="s">
        <v>1279</v>
      </c>
      <c r="D425" s="21"/>
      <c r="E425" s="21"/>
      <c r="F425" s="31" t="s">
        <v>123</v>
      </c>
      <c r="G425" s="32">
        <v>1</v>
      </c>
      <c r="H425" s="21"/>
      <c r="I425" s="37">
        <v>271.41000000000003</v>
      </c>
      <c r="J425" s="33">
        <v>16.02</v>
      </c>
      <c r="K425" s="12"/>
      <c r="L425" s="12"/>
      <c r="M425" s="33">
        <f>ROUND(ROUND(J425, 2)*I425, 2)</f>
        <v>4347.99</v>
      </c>
      <c r="N425" s="12"/>
      <c r="O425" s="12"/>
      <c r="P425" s="33">
        <v>16.02</v>
      </c>
      <c r="Q425" s="12"/>
      <c r="R425" s="12"/>
      <c r="S425" s="33">
        <f>ROUND(ROUND(P425, 2)*I425, 2)</f>
        <v>4347.99</v>
      </c>
      <c r="T425" s="12"/>
      <c r="U425" s="34"/>
      <c r="V425" s="9">
        <f>ROUND(ROUND(P425, 2)/1.2, 2)</f>
        <v>13.35</v>
      </c>
      <c r="Y425" s="9">
        <f t="shared" si="104"/>
        <v>3623.33</v>
      </c>
      <c r="AD425" s="4" t="s">
        <v>1302</v>
      </c>
      <c r="AE425" s="4" t="s">
        <v>1303</v>
      </c>
      <c r="AF425" s="4" t="s">
        <v>1282</v>
      </c>
    </row>
    <row r="426" spans="1:35" ht="18" x14ac:dyDescent="0.3">
      <c r="A426" s="11" t="s">
        <v>1304</v>
      </c>
      <c r="B426" s="11"/>
      <c r="C426" s="30" t="s">
        <v>310</v>
      </c>
      <c r="D426" s="21"/>
      <c r="E426" s="21"/>
      <c r="F426" s="31" t="s">
        <v>76</v>
      </c>
      <c r="G426" s="32">
        <v>0.25</v>
      </c>
      <c r="H426" s="21"/>
      <c r="I426" s="32">
        <v>67.852999999999994</v>
      </c>
      <c r="J426" s="33">
        <v>101.66</v>
      </c>
      <c r="K426" s="12"/>
      <c r="L426" s="12"/>
      <c r="M426" s="33">
        <f>ROUND(ROUND(J426, 2)*I426, 2)</f>
        <v>6897.94</v>
      </c>
      <c r="N426" s="12"/>
      <c r="O426" s="12"/>
      <c r="P426" s="33">
        <v>100</v>
      </c>
      <c r="Q426" s="12"/>
      <c r="R426" s="12"/>
      <c r="S426" s="33">
        <f>ROUND(ROUND(P426, 2)*I426, 2)</f>
        <v>6785.3</v>
      </c>
      <c r="T426" s="12"/>
      <c r="U426" s="34"/>
      <c r="V426" s="9">
        <f>ROUND(ROUND(P426, 2)/1.2, 2)</f>
        <v>83.33</v>
      </c>
      <c r="Y426" s="9">
        <f t="shared" si="104"/>
        <v>5654.42</v>
      </c>
      <c r="AD426" s="4" t="s">
        <v>1305</v>
      </c>
      <c r="AE426" s="4" t="s">
        <v>1306</v>
      </c>
      <c r="AF426" s="4" t="s">
        <v>313</v>
      </c>
    </row>
    <row r="427" spans="1:35" ht="72" x14ac:dyDescent="0.3">
      <c r="A427" s="11" t="s">
        <v>1307</v>
      </c>
      <c r="B427" s="11" t="s">
        <v>1287</v>
      </c>
      <c r="C427" s="20" t="s">
        <v>1288</v>
      </c>
      <c r="D427" s="21" t="s">
        <v>1289</v>
      </c>
      <c r="E427" s="21" t="s">
        <v>1308</v>
      </c>
      <c r="F427" s="21" t="s">
        <v>57</v>
      </c>
      <c r="G427" s="22">
        <v>1</v>
      </c>
      <c r="H427" s="21"/>
      <c r="I427" s="22">
        <v>301.38</v>
      </c>
      <c r="J427" s="23">
        <f>IFERROR(ROUND(SUM(M428,M429,M430,M431)/I427, 2),0)</f>
        <v>342.92</v>
      </c>
      <c r="K427" s="23">
        <v>954</v>
      </c>
      <c r="L427" s="23">
        <f>J427+ROUND(K427, 2)</f>
        <v>1296.92</v>
      </c>
      <c r="M427" s="23">
        <f>ROUND(J427*I427, 2)</f>
        <v>103349.23</v>
      </c>
      <c r="N427" s="23">
        <f>ROUND(I427*ROUND(K427, 2), 2)</f>
        <v>287516.52</v>
      </c>
      <c r="O427" s="23">
        <f>M427+N427</f>
        <v>390865.75</v>
      </c>
      <c r="P427" s="23">
        <f>IFERROR(ROUND(SUM(S428,S429,S430,S431)/I427, 2),0)</f>
        <v>349.01</v>
      </c>
      <c r="Q427" s="23">
        <v>954</v>
      </c>
      <c r="R427" s="23">
        <f>P427+ROUND(Q427, 2)</f>
        <v>1303.01</v>
      </c>
      <c r="S427" s="23">
        <f>ROUND(P427*I427, 2)</f>
        <v>105184.63</v>
      </c>
      <c r="T427" s="23">
        <f>ROUND(I427*ROUND(Q427, 2), 2)</f>
        <v>287516.52</v>
      </c>
      <c r="U427" s="23">
        <f>S427+T427</f>
        <v>392701.15</v>
      </c>
      <c r="V427" s="9">
        <f>ROUND(P427 / 1.2, 2)</f>
        <v>290.83999999999997</v>
      </c>
      <c r="W427" s="9">
        <f>ROUND(Q427 / 1.2, 2)</f>
        <v>795</v>
      </c>
      <c r="X427" s="9">
        <f>ROUND(R427 / 1.2, 2)</f>
        <v>1085.8399999999999</v>
      </c>
      <c r="Y427" s="9">
        <f t="shared" si="104"/>
        <v>87653.86</v>
      </c>
      <c r="Z427" s="9">
        <f>ROUND(T427 / 1.2, 2)</f>
        <v>239597.1</v>
      </c>
      <c r="AA427" s="9">
        <f>Y427+Z427</f>
        <v>327250.96000000002</v>
      </c>
      <c r="AD427" s="4">
        <v>341534406</v>
      </c>
      <c r="AE427" s="4">
        <v>28254140</v>
      </c>
      <c r="AG427" s="4" t="s">
        <v>1291</v>
      </c>
      <c r="AH427" s="4" t="s">
        <v>1292</v>
      </c>
      <c r="AI427" s="4" t="s">
        <v>241</v>
      </c>
    </row>
    <row r="428" spans="1:35" ht="18" x14ac:dyDescent="0.3">
      <c r="A428" s="11" t="s">
        <v>1309</v>
      </c>
      <c r="B428" s="11"/>
      <c r="C428" s="30" t="s">
        <v>310</v>
      </c>
      <c r="D428" s="21"/>
      <c r="E428" s="21"/>
      <c r="F428" s="31" t="s">
        <v>76</v>
      </c>
      <c r="G428" s="32">
        <v>0.25</v>
      </c>
      <c r="H428" s="21"/>
      <c r="I428" s="32">
        <v>75.344999999999999</v>
      </c>
      <c r="J428" s="33">
        <v>101.66</v>
      </c>
      <c r="K428" s="12"/>
      <c r="L428" s="12"/>
      <c r="M428" s="33">
        <f>ROUND(ROUND(J428, 2)*I428, 2)</f>
        <v>7659.57</v>
      </c>
      <c r="N428" s="12"/>
      <c r="O428" s="12"/>
      <c r="P428" s="33">
        <v>100</v>
      </c>
      <c r="Q428" s="12"/>
      <c r="R428" s="12"/>
      <c r="S428" s="33">
        <f>ROUND(ROUND(P428, 2)*I428, 2)</f>
        <v>7534.5</v>
      </c>
      <c r="T428" s="12"/>
      <c r="U428" s="34"/>
      <c r="V428" s="9">
        <f>ROUND(ROUND(P428, 2)/1.2, 2)</f>
        <v>83.33</v>
      </c>
      <c r="Y428" s="9">
        <f t="shared" si="104"/>
        <v>6278.75</v>
      </c>
      <c r="AD428" s="4" t="s">
        <v>1310</v>
      </c>
      <c r="AE428" s="4" t="s">
        <v>1311</v>
      </c>
      <c r="AF428" s="4" t="s">
        <v>313</v>
      </c>
    </row>
    <row r="429" spans="1:35" ht="18" x14ac:dyDescent="0.3">
      <c r="A429" s="11" t="s">
        <v>1312</v>
      </c>
      <c r="B429" s="11"/>
      <c r="C429" s="30" t="s">
        <v>1279</v>
      </c>
      <c r="D429" s="21"/>
      <c r="E429" s="21"/>
      <c r="F429" s="31" t="s">
        <v>123</v>
      </c>
      <c r="G429" s="32">
        <v>1</v>
      </c>
      <c r="H429" s="21"/>
      <c r="I429" s="37">
        <v>301.38</v>
      </c>
      <c r="J429" s="33">
        <v>16.02</v>
      </c>
      <c r="K429" s="12"/>
      <c r="L429" s="12"/>
      <c r="M429" s="33">
        <f>ROUND(ROUND(J429, 2)*I429, 2)</f>
        <v>4828.1099999999997</v>
      </c>
      <c r="N429" s="12"/>
      <c r="O429" s="12"/>
      <c r="P429" s="33">
        <v>16.02</v>
      </c>
      <c r="Q429" s="12"/>
      <c r="R429" s="12"/>
      <c r="S429" s="33">
        <f>ROUND(ROUND(P429, 2)*I429, 2)</f>
        <v>4828.1099999999997</v>
      </c>
      <c r="T429" s="12"/>
      <c r="U429" s="34"/>
      <c r="V429" s="9">
        <f>ROUND(ROUND(P429, 2)/1.2, 2)</f>
        <v>13.35</v>
      </c>
      <c r="Y429" s="9">
        <f t="shared" si="104"/>
        <v>4023.43</v>
      </c>
      <c r="AD429" s="4" t="s">
        <v>1313</v>
      </c>
      <c r="AE429" s="4" t="s">
        <v>1314</v>
      </c>
      <c r="AF429" s="4" t="s">
        <v>1282</v>
      </c>
    </row>
    <row r="430" spans="1:35" ht="36" x14ac:dyDescent="0.3">
      <c r="A430" s="11" t="s">
        <v>1315</v>
      </c>
      <c r="B430" s="11"/>
      <c r="C430" s="30" t="s">
        <v>1297</v>
      </c>
      <c r="D430" s="21"/>
      <c r="E430" s="21"/>
      <c r="F430" s="31" t="s">
        <v>57</v>
      </c>
      <c r="G430" s="32">
        <v>1.1000000000000001</v>
      </c>
      <c r="H430" s="21"/>
      <c r="I430" s="32">
        <v>331.51799999999997</v>
      </c>
      <c r="J430" s="33">
        <v>67.260000000000005</v>
      </c>
      <c r="K430" s="12"/>
      <c r="L430" s="12"/>
      <c r="M430" s="33">
        <f>ROUND(ROUND(J430, 2)*I430, 2)</f>
        <v>22297.9</v>
      </c>
      <c r="N430" s="12"/>
      <c r="O430" s="12"/>
      <c r="P430" s="33">
        <v>67.260000000000005</v>
      </c>
      <c r="Q430" s="12"/>
      <c r="R430" s="12"/>
      <c r="S430" s="33">
        <f>ROUND(ROUND(P430, 2)*I430, 2)</f>
        <v>22297.9</v>
      </c>
      <c r="T430" s="12"/>
      <c r="U430" s="34"/>
      <c r="V430" s="9">
        <f>ROUND(ROUND(P430, 2)/1.2, 2)</f>
        <v>56.05</v>
      </c>
      <c r="Y430" s="9">
        <f t="shared" si="104"/>
        <v>18581.580000000002</v>
      </c>
      <c r="AD430" s="4" t="s">
        <v>1316</v>
      </c>
      <c r="AE430" s="4" t="s">
        <v>1317</v>
      </c>
      <c r="AF430" s="4" t="s">
        <v>1300</v>
      </c>
    </row>
    <row r="431" spans="1:35" ht="18" x14ac:dyDescent="0.3">
      <c r="A431" s="11" t="s">
        <v>1318</v>
      </c>
      <c r="B431" s="11"/>
      <c r="C431" s="30" t="s">
        <v>1274</v>
      </c>
      <c r="D431" s="21"/>
      <c r="E431" s="21"/>
      <c r="F431" s="31" t="s">
        <v>76</v>
      </c>
      <c r="G431" s="32">
        <v>1.3</v>
      </c>
      <c r="H431" s="21"/>
      <c r="I431" s="37">
        <v>7835.88</v>
      </c>
      <c r="J431" s="33">
        <v>8.75</v>
      </c>
      <c r="K431" s="12"/>
      <c r="L431" s="12"/>
      <c r="M431" s="33">
        <f>ROUND(ROUND(J431, 2)*I431, 2)</f>
        <v>68563.95</v>
      </c>
      <c r="N431" s="12"/>
      <c r="O431" s="12"/>
      <c r="P431" s="33">
        <v>9</v>
      </c>
      <c r="Q431" s="12"/>
      <c r="R431" s="12"/>
      <c r="S431" s="33">
        <f>ROUND(ROUND(P431, 2)*I431, 2)</f>
        <v>70522.92</v>
      </c>
      <c r="T431" s="12"/>
      <c r="U431" s="34"/>
      <c r="V431" s="9">
        <f>ROUND(ROUND(P431, 2)/1.2, 2)</f>
        <v>7.5</v>
      </c>
      <c r="Y431" s="9">
        <f t="shared" si="104"/>
        <v>58769.1</v>
      </c>
      <c r="AD431" s="4" t="s">
        <v>1319</v>
      </c>
      <c r="AE431" s="4" t="s">
        <v>1320</v>
      </c>
      <c r="AF431" s="4" t="s">
        <v>1277</v>
      </c>
    </row>
    <row r="432" spans="1:35" ht="16.95" customHeight="1" x14ac:dyDescent="0.3">
      <c r="A432" s="10" t="s">
        <v>1321</v>
      </c>
      <c r="B432" s="10" t="s">
        <v>1322</v>
      </c>
      <c r="C432" s="121" t="s">
        <v>1323</v>
      </c>
      <c r="D432" s="122"/>
      <c r="E432" s="122"/>
      <c r="F432" s="122"/>
      <c r="G432" s="122"/>
      <c r="H432" s="122"/>
      <c r="I432" s="123"/>
      <c r="M432" s="6">
        <f>SUM(M433,M439,M442,M445,M448)</f>
        <v>282204.32999999996</v>
      </c>
      <c r="N432" s="6">
        <f>SUM(N433,N439,N442,N445,N448)</f>
        <v>1570451.84</v>
      </c>
      <c r="O432" s="6">
        <f>SUM(O433,O439,O442,O445,O448)</f>
        <v>1852656.1700000002</v>
      </c>
      <c r="S432" s="6">
        <f>SUM(S433,S439,S442,S445,S448)</f>
        <v>245511.53</v>
      </c>
      <c r="T432" s="6">
        <f>SUM(T433,T439,T442,T445,T448)</f>
        <v>1570451.84</v>
      </c>
      <c r="U432" s="6">
        <f>SUM(U433,U439,U442,U445,U448)</f>
        <v>1815963.3699999999</v>
      </c>
      <c r="Y432" s="9">
        <f>SUM(Y433,Y439,Y442,Y445,Y448)</f>
        <v>204592.94</v>
      </c>
      <c r="Z432" s="9">
        <f>SUM(Z433,Z439,Z442,Z445,Z448)</f>
        <v>1308709.8700000001</v>
      </c>
      <c r="AA432" s="9">
        <f>SUM(AA433,AA439,AA442,AA445,AA448)</f>
        <v>1513302.81</v>
      </c>
      <c r="AD432" s="4">
        <v>341534332</v>
      </c>
      <c r="AE432" s="4">
        <v>25837359</v>
      </c>
    </row>
    <row r="433" spans="1:35" ht="36" x14ac:dyDescent="0.3">
      <c r="A433" s="38" t="s">
        <v>1324</v>
      </c>
      <c r="B433" s="38" t="s">
        <v>1325</v>
      </c>
      <c r="C433" s="39" t="s">
        <v>1326</v>
      </c>
      <c r="D433" s="40"/>
      <c r="E433" s="40" t="s">
        <v>1327</v>
      </c>
      <c r="F433" s="40" t="s">
        <v>57</v>
      </c>
      <c r="G433" s="41">
        <v>1</v>
      </c>
      <c r="H433" s="40"/>
      <c r="I433" s="42">
        <v>0</v>
      </c>
      <c r="J433" s="43">
        <v>18.329999999999998</v>
      </c>
      <c r="K433" s="43">
        <v>251</v>
      </c>
      <c r="L433" s="43">
        <f>J433+ROUND(K433, 2)</f>
        <v>269.33</v>
      </c>
      <c r="M433" s="43">
        <v>0</v>
      </c>
      <c r="N433" s="43">
        <v>0</v>
      </c>
      <c r="O433" s="43">
        <f>M433+N433</f>
        <v>0</v>
      </c>
      <c r="P433" s="43">
        <v>18.329999999999998</v>
      </c>
      <c r="Q433" s="43">
        <v>251</v>
      </c>
      <c r="R433" s="43">
        <f>P433+ROUND(Q433, 2)</f>
        <v>269.33</v>
      </c>
      <c r="S433" s="43">
        <v>0</v>
      </c>
      <c r="T433" s="43">
        <v>0</v>
      </c>
      <c r="U433" s="43">
        <f>S433+T433</f>
        <v>0</v>
      </c>
      <c r="V433" s="9">
        <f>ROUND(P433 / 1.2, 2)</f>
        <v>15.28</v>
      </c>
      <c r="W433" s="9">
        <f>ROUND(Q433 / 1.2, 2)</f>
        <v>209.17</v>
      </c>
      <c r="X433" s="9">
        <f>ROUND(R433 / 1.2, 2)</f>
        <v>224.44</v>
      </c>
      <c r="Y433" s="9">
        <f>ROUND(S433 / 1.2, 2)</f>
        <v>0</v>
      </c>
      <c r="Z433" s="9">
        <f>ROUND(T433 / 1.2, 2)</f>
        <v>0</v>
      </c>
      <c r="AA433" s="9">
        <f>Y433+Z433</f>
        <v>0</v>
      </c>
      <c r="AD433" s="4">
        <v>341534334</v>
      </c>
      <c r="AE433" s="4">
        <v>25837376</v>
      </c>
      <c r="AG433" s="4" t="s">
        <v>1328</v>
      </c>
      <c r="AH433" s="4" t="s">
        <v>1329</v>
      </c>
      <c r="AI433" s="4" t="s">
        <v>241</v>
      </c>
    </row>
    <row r="434" spans="1:35" ht="36" x14ac:dyDescent="0.3">
      <c r="A434" s="44" t="s">
        <v>1330</v>
      </c>
      <c r="B434" s="44" t="s">
        <v>1325</v>
      </c>
      <c r="C434" s="45" t="s">
        <v>1326</v>
      </c>
      <c r="D434" s="46"/>
      <c r="E434" s="46" t="s">
        <v>1327</v>
      </c>
      <c r="F434" s="46" t="s">
        <v>57</v>
      </c>
      <c r="G434" s="47">
        <v>1</v>
      </c>
      <c r="H434" s="46"/>
      <c r="I434" s="47">
        <v>754.1</v>
      </c>
      <c r="J434" s="48">
        <v>18.329999999999998</v>
      </c>
      <c r="K434" s="48">
        <v>251</v>
      </c>
      <c r="L434" s="48">
        <v>251</v>
      </c>
      <c r="M434" s="48">
        <v>13822.65</v>
      </c>
      <c r="N434" s="48">
        <v>189279.1</v>
      </c>
      <c r="O434" s="48"/>
      <c r="P434" s="48">
        <v>18.329999999999998</v>
      </c>
      <c r="Q434" s="48">
        <v>251</v>
      </c>
      <c r="R434" s="48">
        <v>251</v>
      </c>
      <c r="S434" s="48">
        <v>13822.65</v>
      </c>
      <c r="T434" s="48">
        <v>189279.1</v>
      </c>
      <c r="U434" s="48"/>
      <c r="V434" s="9"/>
      <c r="W434" s="9">
        <f>ROUND(Q434 / 1.2, 2)</f>
        <v>209.17</v>
      </c>
      <c r="X434" s="9">
        <f>ROUND(R434 / 1.2, 2)</f>
        <v>209.17</v>
      </c>
      <c r="Y434" s="9"/>
      <c r="Z434" s="9">
        <f>ROUND(T434 / 1.2, 2)</f>
        <v>157732.57999999999</v>
      </c>
      <c r="AA434" s="9"/>
      <c r="AD434" s="4">
        <v>314469390</v>
      </c>
      <c r="AE434" s="4">
        <v>25837376</v>
      </c>
      <c r="AG434" s="4" t="s">
        <v>1328</v>
      </c>
      <c r="AH434" s="4" t="s">
        <v>1329</v>
      </c>
      <c r="AI434" s="4"/>
    </row>
    <row r="435" spans="1:35" ht="36" x14ac:dyDescent="0.3">
      <c r="A435" s="38" t="s">
        <v>1331</v>
      </c>
      <c r="B435" s="38"/>
      <c r="C435" s="49" t="s">
        <v>769</v>
      </c>
      <c r="D435" s="40"/>
      <c r="E435" s="40"/>
      <c r="F435" s="50" t="s">
        <v>76</v>
      </c>
      <c r="G435" s="51">
        <v>0.15</v>
      </c>
      <c r="H435" s="40"/>
      <c r="I435" s="52">
        <v>0</v>
      </c>
      <c r="J435" s="53">
        <v>80</v>
      </c>
      <c r="K435" s="54"/>
      <c r="L435" s="54"/>
      <c r="M435" s="53">
        <f>ROUND(ROUND(J435, 2)*I435, 2)</f>
        <v>0</v>
      </c>
      <c r="N435" s="54"/>
      <c r="O435" s="54"/>
      <c r="P435" s="53">
        <v>80</v>
      </c>
      <c r="Q435" s="54"/>
      <c r="R435" s="54"/>
      <c r="S435" s="53">
        <f>ROUND(ROUND(P435, 2)*I435, 2)</f>
        <v>0</v>
      </c>
      <c r="T435" s="54"/>
      <c r="U435" s="55"/>
      <c r="V435" s="9">
        <f>ROUND(ROUND(P435, 2)/1.2, 2)</f>
        <v>66.67</v>
      </c>
      <c r="Y435" s="9">
        <f t="shared" ref="Y435:Y450" si="105">ROUND(S435 / 1.2, 2)</f>
        <v>0</v>
      </c>
      <c r="AD435" s="4" t="s">
        <v>1332</v>
      </c>
      <c r="AE435" s="4" t="s">
        <v>1333</v>
      </c>
      <c r="AF435" s="4" t="s">
        <v>772</v>
      </c>
    </row>
    <row r="436" spans="1:35" ht="36" x14ac:dyDescent="0.3">
      <c r="A436" s="44" t="s">
        <v>1334</v>
      </c>
      <c r="B436" s="44"/>
      <c r="C436" s="56" t="s">
        <v>769</v>
      </c>
      <c r="D436" s="46"/>
      <c r="E436" s="46"/>
      <c r="F436" s="57" t="s">
        <v>76</v>
      </c>
      <c r="G436" s="58">
        <v>0.15</v>
      </c>
      <c r="H436" s="46"/>
      <c r="I436" s="58">
        <v>113.11499999999999</v>
      </c>
      <c r="J436" s="59">
        <v>80</v>
      </c>
      <c r="K436" s="60"/>
      <c r="L436" s="60"/>
      <c r="M436" s="59">
        <f>ROUND(ROUND(J436, 2)*I436, 2)</f>
        <v>9049.2000000000007</v>
      </c>
      <c r="N436" s="60"/>
      <c r="O436" s="60"/>
      <c r="P436" s="59">
        <v>80</v>
      </c>
      <c r="Q436" s="60"/>
      <c r="R436" s="60"/>
      <c r="S436" s="59">
        <f>ROUND(ROUND(P436, 2)*I436, 2)</f>
        <v>9049.2000000000007</v>
      </c>
      <c r="T436" s="60"/>
      <c r="U436" s="61"/>
      <c r="V436" s="9">
        <f>ROUND(ROUND(P436, 2)/1.2, 2)</f>
        <v>66.67</v>
      </c>
      <c r="Y436" s="9">
        <f t="shared" si="105"/>
        <v>7541</v>
      </c>
      <c r="AD436" s="4" t="s">
        <v>1335</v>
      </c>
      <c r="AE436" s="4" t="s">
        <v>1333</v>
      </c>
      <c r="AF436" s="4" t="s">
        <v>772</v>
      </c>
    </row>
    <row r="437" spans="1:35" ht="108" x14ac:dyDescent="0.3">
      <c r="A437" s="38" t="s">
        <v>1336</v>
      </c>
      <c r="B437" s="38"/>
      <c r="C437" s="49" t="s">
        <v>1337</v>
      </c>
      <c r="D437" s="40"/>
      <c r="E437" s="40" t="s">
        <v>1338</v>
      </c>
      <c r="F437" s="50" t="s">
        <v>76</v>
      </c>
      <c r="G437" s="51">
        <v>0.3</v>
      </c>
      <c r="H437" s="40"/>
      <c r="I437" s="52">
        <v>0</v>
      </c>
      <c r="J437" s="53">
        <v>21.1</v>
      </c>
      <c r="K437" s="54"/>
      <c r="L437" s="54"/>
      <c r="M437" s="53">
        <f>ROUND(ROUND(J437, 2)*I437, 2)</f>
        <v>0</v>
      </c>
      <c r="N437" s="54"/>
      <c r="O437" s="54"/>
      <c r="P437" s="53">
        <v>21.1</v>
      </c>
      <c r="Q437" s="54"/>
      <c r="R437" s="54"/>
      <c r="S437" s="53">
        <f>ROUND(ROUND(P437, 2)*I437, 2)</f>
        <v>0</v>
      </c>
      <c r="T437" s="54"/>
      <c r="U437" s="55"/>
      <c r="V437" s="9">
        <f>ROUND(ROUND(P437, 2)/1.2, 2)</f>
        <v>17.579999999999998</v>
      </c>
      <c r="Y437" s="9">
        <f t="shared" si="105"/>
        <v>0</v>
      </c>
      <c r="AD437" s="4" t="s">
        <v>1339</v>
      </c>
      <c r="AE437" s="4" t="s">
        <v>1340</v>
      </c>
      <c r="AF437" s="4" t="s">
        <v>1341</v>
      </c>
    </row>
    <row r="438" spans="1:35" ht="108" x14ac:dyDescent="0.3">
      <c r="A438" s="44" t="s">
        <v>1342</v>
      </c>
      <c r="B438" s="44"/>
      <c r="C438" s="56" t="s">
        <v>1337</v>
      </c>
      <c r="D438" s="46"/>
      <c r="E438" s="46" t="s">
        <v>1338</v>
      </c>
      <c r="F438" s="57" t="s">
        <v>76</v>
      </c>
      <c r="G438" s="58">
        <v>0.3</v>
      </c>
      <c r="H438" s="46"/>
      <c r="I438" s="58">
        <v>226.23</v>
      </c>
      <c r="J438" s="59">
        <v>21.1</v>
      </c>
      <c r="K438" s="60"/>
      <c r="L438" s="60"/>
      <c r="M438" s="59">
        <f>ROUND(ROUND(J438, 2)*I438, 2)</f>
        <v>4773.45</v>
      </c>
      <c r="N438" s="60"/>
      <c r="O438" s="60"/>
      <c r="P438" s="59">
        <v>21.1</v>
      </c>
      <c r="Q438" s="60"/>
      <c r="R438" s="60"/>
      <c r="S438" s="59">
        <f>ROUND(ROUND(P438, 2)*I438, 2)</f>
        <v>4773.45</v>
      </c>
      <c r="T438" s="60"/>
      <c r="U438" s="61"/>
      <c r="V438" s="9">
        <f>ROUND(ROUND(P438, 2)/1.2, 2)</f>
        <v>17.579999999999998</v>
      </c>
      <c r="Y438" s="9">
        <f t="shared" si="105"/>
        <v>3977.88</v>
      </c>
      <c r="AD438" s="4" t="s">
        <v>1343</v>
      </c>
      <c r="AE438" s="4" t="s">
        <v>1340</v>
      </c>
      <c r="AF438" s="4" t="s">
        <v>1341</v>
      </c>
    </row>
    <row r="439" spans="1:35" ht="36" x14ac:dyDescent="0.3">
      <c r="A439" s="11" t="s">
        <v>1344</v>
      </c>
      <c r="B439" s="11" t="s">
        <v>1345</v>
      </c>
      <c r="C439" s="20" t="s">
        <v>1346</v>
      </c>
      <c r="D439" s="21"/>
      <c r="E439" s="21" t="s">
        <v>1347</v>
      </c>
      <c r="F439" s="21" t="s">
        <v>57</v>
      </c>
      <c r="G439" s="22">
        <v>1</v>
      </c>
      <c r="H439" s="21"/>
      <c r="I439" s="22">
        <v>1049.68</v>
      </c>
      <c r="J439" s="23">
        <f>IFERROR(ROUND(SUM(M440,M441)/I439, 2),0)</f>
        <v>76.91</v>
      </c>
      <c r="K439" s="23">
        <v>428</v>
      </c>
      <c r="L439" s="23">
        <f>J439+ROUND(K439, 2)</f>
        <v>504.90999999999997</v>
      </c>
      <c r="M439" s="23">
        <f>ROUND(J439*I439, 2)</f>
        <v>80730.89</v>
      </c>
      <c r="N439" s="23">
        <f>ROUND(I439*ROUND(K439, 2), 2)</f>
        <v>449263.04</v>
      </c>
      <c r="O439" s="23">
        <f>M439+N439</f>
        <v>529993.92999999993</v>
      </c>
      <c r="P439" s="23">
        <f>IFERROR(ROUND(SUM(S440,S441)/I439, 2),0)</f>
        <v>66.91</v>
      </c>
      <c r="Q439" s="23">
        <v>428</v>
      </c>
      <c r="R439" s="23">
        <f>P439+ROUND(Q439, 2)</f>
        <v>494.90999999999997</v>
      </c>
      <c r="S439" s="23">
        <f>ROUND(P439*I439, 2)</f>
        <v>70234.09</v>
      </c>
      <c r="T439" s="23">
        <f>ROUND(I439*ROUND(Q439, 2), 2)</f>
        <v>449263.04</v>
      </c>
      <c r="U439" s="23">
        <f>S439+T439</f>
        <v>519497.13</v>
      </c>
      <c r="V439" s="9">
        <f>ROUND(P439 / 1.2, 2)</f>
        <v>55.76</v>
      </c>
      <c r="W439" s="9">
        <f>ROUND(Q439 / 1.2, 2)</f>
        <v>356.67</v>
      </c>
      <c r="X439" s="9">
        <f>ROUND(R439 / 1.2, 2)</f>
        <v>412.43</v>
      </c>
      <c r="Y439" s="9">
        <f t="shared" si="105"/>
        <v>58528.41</v>
      </c>
      <c r="Z439" s="9">
        <f>ROUND(T439 / 1.2, 2)</f>
        <v>374385.87</v>
      </c>
      <c r="AA439" s="9">
        <f>Y439+Z439</f>
        <v>432914.28</v>
      </c>
      <c r="AD439" s="4">
        <v>341534336</v>
      </c>
      <c r="AE439" s="4">
        <v>28271834</v>
      </c>
      <c r="AG439" s="4" t="s">
        <v>1348</v>
      </c>
      <c r="AH439" s="4" t="s">
        <v>1349</v>
      </c>
      <c r="AI439" s="4" t="s">
        <v>241</v>
      </c>
    </row>
    <row r="440" spans="1:35" ht="36" x14ac:dyDescent="0.3">
      <c r="A440" s="11" t="s">
        <v>1350</v>
      </c>
      <c r="B440" s="11"/>
      <c r="C440" s="30" t="s">
        <v>1351</v>
      </c>
      <c r="D440" s="21"/>
      <c r="E440" s="21"/>
      <c r="F440" s="31" t="s">
        <v>76</v>
      </c>
      <c r="G440" s="32">
        <v>0.17</v>
      </c>
      <c r="H440" s="21"/>
      <c r="I440" s="32">
        <v>178.446</v>
      </c>
      <c r="J440" s="33">
        <v>372.78</v>
      </c>
      <c r="K440" s="12"/>
      <c r="L440" s="12"/>
      <c r="M440" s="33">
        <f>ROUND(ROUND(J440, 2)*I440, 2)</f>
        <v>66521.100000000006</v>
      </c>
      <c r="N440" s="12"/>
      <c r="O440" s="12"/>
      <c r="P440" s="33">
        <v>315.24</v>
      </c>
      <c r="Q440" s="12"/>
      <c r="R440" s="12"/>
      <c r="S440" s="33">
        <f>ROUND(ROUND(P440, 2)*I440, 2)</f>
        <v>56253.32</v>
      </c>
      <c r="T440" s="12"/>
      <c r="U440" s="34"/>
      <c r="V440" s="9">
        <f>ROUND(ROUND(P440, 2)/1.2, 2)</f>
        <v>262.7</v>
      </c>
      <c r="Y440" s="9">
        <f t="shared" si="105"/>
        <v>46877.77</v>
      </c>
      <c r="AD440" s="4" t="s">
        <v>1352</v>
      </c>
      <c r="AE440" s="4" t="s">
        <v>1353</v>
      </c>
      <c r="AF440" s="4" t="s">
        <v>1354</v>
      </c>
    </row>
    <row r="441" spans="1:35" ht="36" x14ac:dyDescent="0.3">
      <c r="A441" s="11" t="s">
        <v>1355</v>
      </c>
      <c r="B441" s="11"/>
      <c r="C441" s="30" t="s">
        <v>509</v>
      </c>
      <c r="D441" s="21"/>
      <c r="E441" s="21"/>
      <c r="F441" s="31" t="s">
        <v>76</v>
      </c>
      <c r="G441" s="32">
        <v>0.15</v>
      </c>
      <c r="H441" s="21"/>
      <c r="I441" s="32">
        <v>157.452</v>
      </c>
      <c r="J441" s="33">
        <v>90.28</v>
      </c>
      <c r="K441" s="12"/>
      <c r="L441" s="12"/>
      <c r="M441" s="33">
        <f>ROUND(ROUND(J441, 2)*I441, 2)</f>
        <v>14214.77</v>
      </c>
      <c r="N441" s="12"/>
      <c r="O441" s="12"/>
      <c r="P441" s="33">
        <v>88.8</v>
      </c>
      <c r="Q441" s="12"/>
      <c r="R441" s="12"/>
      <c r="S441" s="33">
        <f>ROUND(ROUND(P441, 2)*I441, 2)</f>
        <v>13981.74</v>
      </c>
      <c r="T441" s="12"/>
      <c r="U441" s="34"/>
      <c r="V441" s="9">
        <f>ROUND(ROUND(P441, 2)/1.2, 2)</f>
        <v>74</v>
      </c>
      <c r="Y441" s="9">
        <f t="shared" si="105"/>
        <v>11651.45</v>
      </c>
      <c r="AD441" s="4" t="s">
        <v>1356</v>
      </c>
      <c r="AE441" s="4" t="s">
        <v>1357</v>
      </c>
      <c r="AF441" s="4" t="s">
        <v>512</v>
      </c>
    </row>
    <row r="442" spans="1:35" ht="36" x14ac:dyDescent="0.3">
      <c r="A442" s="11" t="s">
        <v>1358</v>
      </c>
      <c r="B442" s="11" t="s">
        <v>1345</v>
      </c>
      <c r="C442" s="20" t="s">
        <v>1346</v>
      </c>
      <c r="D442" s="21"/>
      <c r="E442" s="21" t="s">
        <v>1359</v>
      </c>
      <c r="F442" s="21" t="s">
        <v>57</v>
      </c>
      <c r="G442" s="22">
        <v>1</v>
      </c>
      <c r="H442" s="21"/>
      <c r="I442" s="22">
        <v>1075.9000000000001</v>
      </c>
      <c r="J442" s="23">
        <f>IFERROR(ROUND(SUM(M443,M444)/I442, 2),0)</f>
        <v>76.91</v>
      </c>
      <c r="K442" s="23">
        <v>428</v>
      </c>
      <c r="L442" s="23">
        <f>J442+ROUND(K442, 2)</f>
        <v>504.90999999999997</v>
      </c>
      <c r="M442" s="23">
        <f>ROUND(J442*I442, 2)</f>
        <v>82747.47</v>
      </c>
      <c r="N442" s="23">
        <f>ROUND(I442*ROUND(K442, 2), 2)</f>
        <v>460485.2</v>
      </c>
      <c r="O442" s="23">
        <f>M442+N442</f>
        <v>543232.67000000004</v>
      </c>
      <c r="P442" s="23">
        <f>IFERROR(ROUND(SUM(S443,S444)/I442, 2),0)</f>
        <v>66.91</v>
      </c>
      <c r="Q442" s="23">
        <v>428</v>
      </c>
      <c r="R442" s="23">
        <f>P442+ROUND(Q442, 2)</f>
        <v>494.90999999999997</v>
      </c>
      <c r="S442" s="23">
        <f>ROUND(P442*I442, 2)</f>
        <v>71988.47</v>
      </c>
      <c r="T442" s="23">
        <f>ROUND(I442*ROUND(Q442, 2), 2)</f>
        <v>460485.2</v>
      </c>
      <c r="U442" s="23">
        <f>S442+T442</f>
        <v>532473.67000000004</v>
      </c>
      <c r="V442" s="9">
        <f>ROUND(P442 / 1.2, 2)</f>
        <v>55.76</v>
      </c>
      <c r="W442" s="9">
        <f>ROUND(Q442 / 1.2, 2)</f>
        <v>356.67</v>
      </c>
      <c r="X442" s="9">
        <f>ROUND(R442 / 1.2, 2)</f>
        <v>412.43</v>
      </c>
      <c r="Y442" s="9">
        <f t="shared" si="105"/>
        <v>59990.39</v>
      </c>
      <c r="Z442" s="9">
        <f>ROUND(T442 / 1.2, 2)</f>
        <v>383737.67</v>
      </c>
      <c r="AA442" s="9">
        <f>Y442+Z442</f>
        <v>443728.06</v>
      </c>
      <c r="AD442" s="4">
        <v>341534407</v>
      </c>
      <c r="AE442" s="4">
        <v>28271837</v>
      </c>
      <c r="AG442" s="4" t="s">
        <v>1348</v>
      </c>
      <c r="AH442" s="4" t="s">
        <v>1349</v>
      </c>
      <c r="AI442" s="4" t="s">
        <v>241</v>
      </c>
    </row>
    <row r="443" spans="1:35" ht="36" x14ac:dyDescent="0.3">
      <c r="A443" s="11" t="s">
        <v>1360</v>
      </c>
      <c r="B443" s="11"/>
      <c r="C443" s="30" t="s">
        <v>509</v>
      </c>
      <c r="D443" s="21"/>
      <c r="E443" s="21"/>
      <c r="F443" s="31" t="s">
        <v>76</v>
      </c>
      <c r="G443" s="32">
        <v>0.15</v>
      </c>
      <c r="H443" s="21"/>
      <c r="I443" s="32">
        <v>161.38499999999999</v>
      </c>
      <c r="J443" s="33">
        <v>90.28</v>
      </c>
      <c r="K443" s="12"/>
      <c r="L443" s="12"/>
      <c r="M443" s="33">
        <f>ROUND(ROUND(J443, 2)*I443, 2)</f>
        <v>14569.84</v>
      </c>
      <c r="N443" s="12"/>
      <c r="O443" s="12"/>
      <c r="P443" s="33">
        <v>88.8</v>
      </c>
      <c r="Q443" s="12"/>
      <c r="R443" s="12"/>
      <c r="S443" s="33">
        <f>ROUND(ROUND(P443, 2)*I443, 2)</f>
        <v>14330.99</v>
      </c>
      <c r="T443" s="12"/>
      <c r="U443" s="34"/>
      <c r="V443" s="9">
        <f>ROUND(ROUND(P443, 2)/1.2, 2)</f>
        <v>74</v>
      </c>
      <c r="Y443" s="9">
        <f t="shared" si="105"/>
        <v>11942.49</v>
      </c>
      <c r="AD443" s="4" t="s">
        <v>1361</v>
      </c>
      <c r="AE443" s="4" t="s">
        <v>1362</v>
      </c>
      <c r="AF443" s="4" t="s">
        <v>512</v>
      </c>
    </row>
    <row r="444" spans="1:35" ht="36" x14ac:dyDescent="0.3">
      <c r="A444" s="11" t="s">
        <v>1363</v>
      </c>
      <c r="B444" s="11"/>
      <c r="C444" s="30" t="s">
        <v>1351</v>
      </c>
      <c r="D444" s="21"/>
      <c r="E444" s="21"/>
      <c r="F444" s="31" t="s">
        <v>76</v>
      </c>
      <c r="G444" s="32">
        <v>0.17</v>
      </c>
      <c r="H444" s="21"/>
      <c r="I444" s="32">
        <v>182.90299999999999</v>
      </c>
      <c r="J444" s="33">
        <v>372.78</v>
      </c>
      <c r="K444" s="12"/>
      <c r="L444" s="12"/>
      <c r="M444" s="33">
        <f>ROUND(ROUND(J444, 2)*I444, 2)</f>
        <v>68182.58</v>
      </c>
      <c r="N444" s="12"/>
      <c r="O444" s="12"/>
      <c r="P444" s="33">
        <v>315.24</v>
      </c>
      <c r="Q444" s="12"/>
      <c r="R444" s="12"/>
      <c r="S444" s="33">
        <f>ROUND(ROUND(P444, 2)*I444, 2)</f>
        <v>57658.34</v>
      </c>
      <c r="T444" s="12"/>
      <c r="U444" s="34"/>
      <c r="V444" s="9">
        <f>ROUND(ROUND(P444, 2)/1.2, 2)</f>
        <v>262.7</v>
      </c>
      <c r="Y444" s="9">
        <f t="shared" si="105"/>
        <v>48048.62</v>
      </c>
      <c r="AD444" s="4" t="s">
        <v>1364</v>
      </c>
      <c r="AE444" s="4" t="s">
        <v>1365</v>
      </c>
      <c r="AF444" s="4" t="s">
        <v>1354</v>
      </c>
    </row>
    <row r="445" spans="1:35" ht="36" x14ac:dyDescent="0.3">
      <c r="A445" s="11" t="s">
        <v>1366</v>
      </c>
      <c r="B445" s="11" t="s">
        <v>1345</v>
      </c>
      <c r="C445" s="20" t="s">
        <v>1346</v>
      </c>
      <c r="D445" s="21"/>
      <c r="E445" s="21" t="s">
        <v>1367</v>
      </c>
      <c r="F445" s="21" t="s">
        <v>57</v>
      </c>
      <c r="G445" s="22">
        <v>1</v>
      </c>
      <c r="H445" s="21"/>
      <c r="I445" s="22">
        <v>1410</v>
      </c>
      <c r="J445" s="23">
        <f>IFERROR(ROUND(SUM(M446,M447)/I445, 2),0)</f>
        <v>76.91</v>
      </c>
      <c r="K445" s="23">
        <v>428</v>
      </c>
      <c r="L445" s="23">
        <f>J445+ROUND(K445, 2)</f>
        <v>504.90999999999997</v>
      </c>
      <c r="M445" s="23">
        <f>ROUND(J445*I445, 2)</f>
        <v>108443.1</v>
      </c>
      <c r="N445" s="23">
        <f>ROUND(I445*ROUND(K445, 2), 2)</f>
        <v>603480</v>
      </c>
      <c r="O445" s="23">
        <f>M445+N445</f>
        <v>711923.1</v>
      </c>
      <c r="P445" s="23">
        <f>IFERROR(ROUND(SUM(S446,S447)/I445, 2),0)</f>
        <v>66.91</v>
      </c>
      <c r="Q445" s="23">
        <v>428</v>
      </c>
      <c r="R445" s="23">
        <f>P445+ROUND(Q445, 2)</f>
        <v>494.90999999999997</v>
      </c>
      <c r="S445" s="23">
        <f>ROUND(P445*I445, 2)</f>
        <v>94343.1</v>
      </c>
      <c r="T445" s="23">
        <f>ROUND(I445*ROUND(Q445, 2), 2)</f>
        <v>603480</v>
      </c>
      <c r="U445" s="23">
        <f>S445+T445</f>
        <v>697823.1</v>
      </c>
      <c r="V445" s="9">
        <f>ROUND(P445 / 1.2, 2)</f>
        <v>55.76</v>
      </c>
      <c r="W445" s="9">
        <f>ROUND(Q445 / 1.2, 2)</f>
        <v>356.67</v>
      </c>
      <c r="X445" s="9">
        <f>ROUND(R445 / 1.2, 2)</f>
        <v>412.43</v>
      </c>
      <c r="Y445" s="9">
        <f t="shared" si="105"/>
        <v>78619.25</v>
      </c>
      <c r="Z445" s="9">
        <f>ROUND(T445 / 1.2, 2)</f>
        <v>502900</v>
      </c>
      <c r="AA445" s="9">
        <f>Y445+Z445</f>
        <v>581519.25</v>
      </c>
      <c r="AD445" s="4">
        <v>341534408</v>
      </c>
      <c r="AE445" s="4">
        <v>28271835</v>
      </c>
      <c r="AG445" s="4" t="s">
        <v>1348</v>
      </c>
      <c r="AH445" s="4" t="s">
        <v>1349</v>
      </c>
      <c r="AI445" s="4" t="s">
        <v>241</v>
      </c>
    </row>
    <row r="446" spans="1:35" ht="36" x14ac:dyDescent="0.3">
      <c r="A446" s="11" t="s">
        <v>1368</v>
      </c>
      <c r="B446" s="11"/>
      <c r="C446" s="30" t="s">
        <v>509</v>
      </c>
      <c r="D446" s="21"/>
      <c r="E446" s="21"/>
      <c r="F446" s="31" t="s">
        <v>76</v>
      </c>
      <c r="G446" s="32">
        <v>0.15</v>
      </c>
      <c r="H446" s="21"/>
      <c r="I446" s="32">
        <v>211.5</v>
      </c>
      <c r="J446" s="33">
        <v>90.28</v>
      </c>
      <c r="K446" s="12"/>
      <c r="L446" s="12"/>
      <c r="M446" s="33">
        <f>ROUND(ROUND(J446, 2)*I446, 2)</f>
        <v>19094.22</v>
      </c>
      <c r="N446" s="12"/>
      <c r="O446" s="12"/>
      <c r="P446" s="33">
        <v>88.8</v>
      </c>
      <c r="Q446" s="12"/>
      <c r="R446" s="12"/>
      <c r="S446" s="33">
        <f>ROUND(ROUND(P446, 2)*I446, 2)</f>
        <v>18781.2</v>
      </c>
      <c r="T446" s="12"/>
      <c r="U446" s="34"/>
      <c r="V446" s="9">
        <f>ROUND(ROUND(P446, 2)/1.2, 2)</f>
        <v>74</v>
      </c>
      <c r="Y446" s="9">
        <f t="shared" si="105"/>
        <v>15651</v>
      </c>
      <c r="AD446" s="4" t="s">
        <v>1369</v>
      </c>
      <c r="AE446" s="4" t="s">
        <v>1370</v>
      </c>
      <c r="AF446" s="4" t="s">
        <v>512</v>
      </c>
    </row>
    <row r="447" spans="1:35" ht="36" x14ac:dyDescent="0.3">
      <c r="A447" s="11" t="s">
        <v>1371</v>
      </c>
      <c r="B447" s="11"/>
      <c r="C447" s="30" t="s">
        <v>1351</v>
      </c>
      <c r="D447" s="21"/>
      <c r="E447" s="21"/>
      <c r="F447" s="31" t="s">
        <v>76</v>
      </c>
      <c r="G447" s="32">
        <v>0.17</v>
      </c>
      <c r="H447" s="21"/>
      <c r="I447" s="32">
        <v>239.7</v>
      </c>
      <c r="J447" s="33">
        <v>372.78</v>
      </c>
      <c r="K447" s="12"/>
      <c r="L447" s="12"/>
      <c r="M447" s="33">
        <f>ROUND(ROUND(J447, 2)*I447, 2)</f>
        <v>89355.37</v>
      </c>
      <c r="N447" s="12"/>
      <c r="O447" s="12"/>
      <c r="P447" s="33">
        <v>315.24</v>
      </c>
      <c r="Q447" s="12"/>
      <c r="R447" s="12"/>
      <c r="S447" s="33">
        <f>ROUND(ROUND(P447, 2)*I447, 2)</f>
        <v>75563.03</v>
      </c>
      <c r="T447" s="12"/>
      <c r="U447" s="34"/>
      <c r="V447" s="9">
        <f>ROUND(ROUND(P447, 2)/1.2, 2)</f>
        <v>262.7</v>
      </c>
      <c r="Y447" s="9">
        <f t="shared" si="105"/>
        <v>62969.19</v>
      </c>
      <c r="AD447" s="4" t="s">
        <v>1372</v>
      </c>
      <c r="AE447" s="4" t="s">
        <v>1373</v>
      </c>
      <c r="AF447" s="4" t="s">
        <v>1354</v>
      </c>
    </row>
    <row r="448" spans="1:35" ht="36" x14ac:dyDescent="0.3">
      <c r="A448" s="11" t="s">
        <v>1374</v>
      </c>
      <c r="B448" s="11" t="s">
        <v>1345</v>
      </c>
      <c r="C448" s="20" t="s">
        <v>1346</v>
      </c>
      <c r="D448" s="21"/>
      <c r="E448" s="21" t="s">
        <v>401</v>
      </c>
      <c r="F448" s="21" t="s">
        <v>57</v>
      </c>
      <c r="G448" s="22">
        <v>1</v>
      </c>
      <c r="H448" s="21"/>
      <c r="I448" s="22">
        <v>133.69999999999999</v>
      </c>
      <c r="J448" s="23">
        <f>IFERROR(ROUND(SUM(M449,M450)/I448, 2),0)</f>
        <v>76.91</v>
      </c>
      <c r="K448" s="23">
        <v>428</v>
      </c>
      <c r="L448" s="23">
        <f>J448+ROUND(K448, 2)</f>
        <v>504.90999999999997</v>
      </c>
      <c r="M448" s="23">
        <f>ROUND(J448*I448, 2)</f>
        <v>10282.870000000001</v>
      </c>
      <c r="N448" s="23">
        <f>ROUND(I448*ROUND(K448, 2), 2)</f>
        <v>57223.6</v>
      </c>
      <c r="O448" s="23">
        <f>M448+N448</f>
        <v>67506.47</v>
      </c>
      <c r="P448" s="23">
        <f>IFERROR(ROUND(SUM(S449,S450)/I448, 2),0)</f>
        <v>66.91</v>
      </c>
      <c r="Q448" s="23">
        <v>428</v>
      </c>
      <c r="R448" s="23">
        <f>P448+ROUND(Q448, 2)</f>
        <v>494.90999999999997</v>
      </c>
      <c r="S448" s="23">
        <f>ROUND(P448*I448, 2)</f>
        <v>8945.8700000000008</v>
      </c>
      <c r="T448" s="23">
        <f>ROUND(I448*ROUND(Q448, 2), 2)</f>
        <v>57223.6</v>
      </c>
      <c r="U448" s="23">
        <f>S448+T448</f>
        <v>66169.47</v>
      </c>
      <c r="V448" s="9">
        <f>ROUND(P448 / 1.2, 2)</f>
        <v>55.76</v>
      </c>
      <c r="W448" s="9">
        <f>ROUND(Q448 / 1.2, 2)</f>
        <v>356.67</v>
      </c>
      <c r="X448" s="9">
        <f>ROUND(R448 / 1.2, 2)</f>
        <v>412.43</v>
      </c>
      <c r="Y448" s="9">
        <f t="shared" si="105"/>
        <v>7454.89</v>
      </c>
      <c r="Z448" s="9">
        <f>ROUND(T448 / 1.2, 2)</f>
        <v>47686.33</v>
      </c>
      <c r="AA448" s="9">
        <f>Y448+Z448</f>
        <v>55141.22</v>
      </c>
      <c r="AD448" s="4">
        <v>341534409</v>
      </c>
      <c r="AE448" s="4">
        <v>28291321</v>
      </c>
      <c r="AG448" s="4" t="s">
        <v>1348</v>
      </c>
      <c r="AH448" s="4" t="s">
        <v>1349</v>
      </c>
      <c r="AI448" s="4" t="s">
        <v>241</v>
      </c>
    </row>
    <row r="449" spans="1:35" ht="36" x14ac:dyDescent="0.3">
      <c r="A449" s="11" t="s">
        <v>1375</v>
      </c>
      <c r="B449" s="11"/>
      <c r="C449" s="30" t="s">
        <v>509</v>
      </c>
      <c r="D449" s="21"/>
      <c r="E449" s="21"/>
      <c r="F449" s="31" t="s">
        <v>76</v>
      </c>
      <c r="G449" s="32">
        <v>0.15</v>
      </c>
      <c r="H449" s="21"/>
      <c r="I449" s="32">
        <v>20.055</v>
      </c>
      <c r="J449" s="33">
        <v>90.28</v>
      </c>
      <c r="K449" s="12"/>
      <c r="L449" s="12"/>
      <c r="M449" s="33">
        <f>ROUND(ROUND(J449, 2)*I449, 2)</f>
        <v>1810.57</v>
      </c>
      <c r="N449" s="12"/>
      <c r="O449" s="12"/>
      <c r="P449" s="33">
        <v>88.8</v>
      </c>
      <c r="Q449" s="12"/>
      <c r="R449" s="12"/>
      <c r="S449" s="33">
        <f>ROUND(ROUND(P449, 2)*I449, 2)</f>
        <v>1780.88</v>
      </c>
      <c r="T449" s="12"/>
      <c r="U449" s="34"/>
      <c r="V449" s="9">
        <f>ROUND(ROUND(P449, 2)/1.2, 2)</f>
        <v>74</v>
      </c>
      <c r="Y449" s="9">
        <f t="shared" si="105"/>
        <v>1484.07</v>
      </c>
      <c r="AD449" s="4" t="s">
        <v>1376</v>
      </c>
      <c r="AE449" s="4" t="s">
        <v>1377</v>
      </c>
      <c r="AF449" s="4" t="s">
        <v>512</v>
      </c>
    </row>
    <row r="450" spans="1:35" ht="36" x14ac:dyDescent="0.3">
      <c r="A450" s="11" t="s">
        <v>1378</v>
      </c>
      <c r="B450" s="11"/>
      <c r="C450" s="30" t="s">
        <v>1351</v>
      </c>
      <c r="D450" s="21"/>
      <c r="E450" s="21"/>
      <c r="F450" s="31" t="s">
        <v>76</v>
      </c>
      <c r="G450" s="32">
        <v>0.17</v>
      </c>
      <c r="H450" s="21"/>
      <c r="I450" s="32">
        <v>22.728999999999999</v>
      </c>
      <c r="J450" s="33">
        <v>372.78</v>
      </c>
      <c r="K450" s="12"/>
      <c r="L450" s="12"/>
      <c r="M450" s="33">
        <f>ROUND(ROUND(J450, 2)*I450, 2)</f>
        <v>8472.92</v>
      </c>
      <c r="N450" s="12"/>
      <c r="O450" s="12"/>
      <c r="P450" s="33">
        <v>315.24</v>
      </c>
      <c r="Q450" s="12"/>
      <c r="R450" s="12"/>
      <c r="S450" s="33">
        <f>ROUND(ROUND(P450, 2)*I450, 2)</f>
        <v>7165.09</v>
      </c>
      <c r="T450" s="12"/>
      <c r="U450" s="34"/>
      <c r="V450" s="9">
        <f>ROUND(ROUND(P450, 2)/1.2, 2)</f>
        <v>262.7</v>
      </c>
      <c r="Y450" s="9">
        <f t="shared" si="105"/>
        <v>5970.91</v>
      </c>
      <c r="AD450" s="4" t="s">
        <v>1379</v>
      </c>
      <c r="AE450" s="4" t="s">
        <v>1380</v>
      </c>
      <c r="AF450" s="4" t="s">
        <v>1354</v>
      </c>
    </row>
    <row r="451" spans="1:35" ht="16.95" customHeight="1" x14ac:dyDescent="0.3">
      <c r="A451" s="11" t="s">
        <v>1381</v>
      </c>
      <c r="B451" s="11" t="s">
        <v>1382</v>
      </c>
      <c r="C451" s="124" t="s">
        <v>1383</v>
      </c>
      <c r="D451" s="125"/>
      <c r="E451" s="125"/>
      <c r="F451" s="125"/>
      <c r="G451" s="125"/>
      <c r="H451" s="125"/>
      <c r="I451" s="126"/>
      <c r="J451" s="12"/>
      <c r="K451" s="12"/>
      <c r="L451" s="12"/>
      <c r="M451" s="13">
        <f>SUM(M452,M456,M459,M462,M466,M469,M472,M476,M479,M482,M485,M488,M491,M495,M502)</f>
        <v>68272.5</v>
      </c>
      <c r="N451" s="13">
        <f>SUM(N452,N456,N459,N462,N466,N469,N472,N476,N479,N482,N485,N488,N491,N495,N502)</f>
        <v>374913.47999999992</v>
      </c>
      <c r="O451" s="13">
        <f>SUM(O452,O456,O459,O462,O466,O469,O472,O476,O479,O482,O485,O488,O491,O495,O502)</f>
        <v>443185.98000000004</v>
      </c>
      <c r="P451" s="12"/>
      <c r="Q451" s="12"/>
      <c r="R451" s="12"/>
      <c r="S451" s="13">
        <f>SUM(S452,S456,S459,S462,S466,S469,S472,S476,S479,S482,S485,S488,S491,S495,S502)</f>
        <v>146151.81999999998</v>
      </c>
      <c r="T451" s="13">
        <f>SUM(T452,T456,T459,T462,T466,T469,T472,T476,T479,T482,T485,T488,T491,T495,T502)</f>
        <v>374913.47999999992</v>
      </c>
      <c r="U451" s="13">
        <f>SUM(U452,U456,U459,U462,U466,U469,U472,U476,U479,U482,U485,U488,U491,U495,U502)</f>
        <v>521065.3000000001</v>
      </c>
      <c r="Y451" s="9">
        <f>SUM(Y452,Y456,Y459,Y462,Y466,Y469,Y472,Y476,Y479,Y482,Y485,Y488,Y491,Y495,Y502)</f>
        <v>121793.2</v>
      </c>
      <c r="Z451" s="9">
        <f>SUM(Z452,Z456,Z459,Z462,Z466,Z469,Z472,Z476,Z479,Z482,Z485,Z488,Z491,Z495,Z502)</f>
        <v>312427.92</v>
      </c>
      <c r="AA451" s="9">
        <f>SUM(AA452,AA456,AA459,AA462,AA466,AA469,AA472,AA476,AA479,AA482,AA485,AA488,AA491,AA495,AA502)</f>
        <v>434221.12000000005</v>
      </c>
      <c r="AD451" s="4">
        <v>341534337</v>
      </c>
      <c r="AE451" s="4">
        <v>28271817</v>
      </c>
    </row>
    <row r="452" spans="1:35" ht="54" x14ac:dyDescent="0.3">
      <c r="A452" s="11" t="s">
        <v>1384</v>
      </c>
      <c r="B452" s="11" t="s">
        <v>1385</v>
      </c>
      <c r="C452" s="20" t="s">
        <v>1386</v>
      </c>
      <c r="D452" s="21"/>
      <c r="E452" s="21" t="s">
        <v>1387</v>
      </c>
      <c r="F452" s="21" t="s">
        <v>57</v>
      </c>
      <c r="G452" s="22">
        <v>1</v>
      </c>
      <c r="H452" s="21"/>
      <c r="I452" s="22">
        <v>25.45</v>
      </c>
      <c r="J452" s="23">
        <f>IFERROR(ROUND(SUM(M453,M454,M455)/I452, 2),0)</f>
        <v>152.79</v>
      </c>
      <c r="K452" s="23">
        <v>1001</v>
      </c>
      <c r="L452" s="23">
        <f>J452+ROUND(K452, 2)</f>
        <v>1153.79</v>
      </c>
      <c r="M452" s="23">
        <f>ROUND(J452*I452, 2)</f>
        <v>3888.51</v>
      </c>
      <c r="N452" s="23">
        <f>ROUND(I452*ROUND(K452, 2), 2)</f>
        <v>25475.45</v>
      </c>
      <c r="O452" s="23">
        <f>M452+N452</f>
        <v>29363.96</v>
      </c>
      <c r="P452" s="23">
        <f>IFERROR(ROUND(SUM(S453,S454,S455)/I452, 2),0)</f>
        <v>163.69</v>
      </c>
      <c r="Q452" s="23">
        <v>1001</v>
      </c>
      <c r="R452" s="23">
        <f>P452+ROUND(Q452, 2)</f>
        <v>1164.69</v>
      </c>
      <c r="S452" s="23">
        <f>ROUND(P452*I452, 2)</f>
        <v>4165.91</v>
      </c>
      <c r="T452" s="23">
        <f>ROUND(I452*ROUND(Q452, 2), 2)</f>
        <v>25475.45</v>
      </c>
      <c r="U452" s="23">
        <f>S452+T452</f>
        <v>29641.360000000001</v>
      </c>
      <c r="V452" s="9">
        <f>ROUND(P452 / 1.2, 2)</f>
        <v>136.41</v>
      </c>
      <c r="W452" s="9">
        <f>ROUND(Q452 / 1.2, 2)</f>
        <v>834.17</v>
      </c>
      <c r="X452" s="9">
        <f>ROUND(R452 / 1.2, 2)</f>
        <v>970.58</v>
      </c>
      <c r="Y452" s="9">
        <f>ROUND(S452 / 1.2, 2)</f>
        <v>3471.59</v>
      </c>
      <c r="Z452" s="9">
        <f>ROUND(T452 / 1.2, 2)</f>
        <v>21229.54</v>
      </c>
      <c r="AA452" s="9">
        <f>Y452+Z452</f>
        <v>24701.13</v>
      </c>
      <c r="AD452" s="4">
        <v>341534339</v>
      </c>
      <c r="AE452" s="4">
        <v>28271827</v>
      </c>
      <c r="AG452" s="4" t="s">
        <v>1388</v>
      </c>
      <c r="AH452" s="4" t="s">
        <v>1389</v>
      </c>
      <c r="AI452" s="4" t="s">
        <v>241</v>
      </c>
    </row>
    <row r="453" spans="1:35" ht="18" x14ac:dyDescent="0.3">
      <c r="A453" s="11" t="s">
        <v>1390</v>
      </c>
      <c r="B453" s="11"/>
      <c r="C453" s="30" t="s">
        <v>902</v>
      </c>
      <c r="D453" s="21"/>
      <c r="E453" s="21" t="s">
        <v>1080</v>
      </c>
      <c r="F453" s="31" t="s">
        <v>76</v>
      </c>
      <c r="G453" s="32">
        <v>5</v>
      </c>
      <c r="H453" s="21"/>
      <c r="I453" s="32">
        <v>127.25</v>
      </c>
      <c r="J453" s="33">
        <v>23.39</v>
      </c>
      <c r="K453" s="12"/>
      <c r="L453" s="12"/>
      <c r="M453" s="33">
        <f>ROUND(ROUND(J453, 2)*I453, 2)</f>
        <v>2976.38</v>
      </c>
      <c r="N453" s="12"/>
      <c r="O453" s="12"/>
      <c r="P453" s="33">
        <v>27.85</v>
      </c>
      <c r="Q453" s="12"/>
      <c r="R453" s="12"/>
      <c r="S453" s="33">
        <f>ROUND(ROUND(P453, 2)*I453, 2)</f>
        <v>3543.91</v>
      </c>
      <c r="T453" s="12"/>
      <c r="U453" s="34"/>
      <c r="V453" s="9">
        <f>ROUND(ROUND(P453, 2)/1.2, 2)</f>
        <v>23.21</v>
      </c>
      <c r="Y453" s="9">
        <f t="shared" ref="Y453:Y484" si="106">ROUND(S453 / 1.2, 2)</f>
        <v>2953.26</v>
      </c>
      <c r="AD453" s="4" t="s">
        <v>1391</v>
      </c>
      <c r="AE453" s="4" t="s">
        <v>1392</v>
      </c>
      <c r="AF453" s="4" t="s">
        <v>905</v>
      </c>
    </row>
    <row r="454" spans="1:35" ht="18" x14ac:dyDescent="0.3">
      <c r="A454" s="11" t="s">
        <v>1393</v>
      </c>
      <c r="B454" s="11"/>
      <c r="C454" s="30" t="s">
        <v>907</v>
      </c>
      <c r="D454" s="21"/>
      <c r="E454" s="21"/>
      <c r="F454" s="31" t="s">
        <v>98</v>
      </c>
      <c r="G454" s="32">
        <v>0.3</v>
      </c>
      <c r="H454" s="21"/>
      <c r="I454" s="32">
        <v>7.6349999999999998</v>
      </c>
      <c r="J454" s="33">
        <v>74.319999999999993</v>
      </c>
      <c r="K454" s="12"/>
      <c r="L454" s="12"/>
      <c r="M454" s="33">
        <f>ROUND(ROUND(J454, 2)*I454, 2)</f>
        <v>567.42999999999995</v>
      </c>
      <c r="N454" s="12"/>
      <c r="O454" s="12"/>
      <c r="P454" s="33">
        <v>37.049999999999997</v>
      </c>
      <c r="Q454" s="12"/>
      <c r="R454" s="12"/>
      <c r="S454" s="33">
        <f>ROUND(ROUND(P454, 2)*I454, 2)</f>
        <v>282.88</v>
      </c>
      <c r="T454" s="12"/>
      <c r="U454" s="34"/>
      <c r="V454" s="9">
        <f>ROUND(ROUND(P454, 2)/1.2, 2)</f>
        <v>30.88</v>
      </c>
      <c r="Y454" s="9">
        <f t="shared" si="106"/>
        <v>235.73</v>
      </c>
      <c r="AD454" s="4" t="s">
        <v>1394</v>
      </c>
      <c r="AE454" s="4" t="s">
        <v>1395</v>
      </c>
      <c r="AF454" s="4" t="s">
        <v>910</v>
      </c>
    </row>
    <row r="455" spans="1:35" ht="36" x14ac:dyDescent="0.3">
      <c r="A455" s="11" t="s">
        <v>1396</v>
      </c>
      <c r="B455" s="11"/>
      <c r="C455" s="30" t="s">
        <v>509</v>
      </c>
      <c r="D455" s="21"/>
      <c r="E455" s="21"/>
      <c r="F455" s="31" t="s">
        <v>76</v>
      </c>
      <c r="G455" s="32">
        <v>0.15</v>
      </c>
      <c r="H455" s="21"/>
      <c r="I455" s="32">
        <v>3.8180000000000001</v>
      </c>
      <c r="J455" s="33">
        <v>90.28</v>
      </c>
      <c r="K455" s="12"/>
      <c r="L455" s="12"/>
      <c r="M455" s="33">
        <f>ROUND(ROUND(J455, 2)*I455, 2)</f>
        <v>344.69</v>
      </c>
      <c r="N455" s="12"/>
      <c r="O455" s="12"/>
      <c r="P455" s="33">
        <v>88.8</v>
      </c>
      <c r="Q455" s="12"/>
      <c r="R455" s="12"/>
      <c r="S455" s="33">
        <f>ROUND(ROUND(P455, 2)*I455, 2)</f>
        <v>339.04</v>
      </c>
      <c r="T455" s="12"/>
      <c r="U455" s="34"/>
      <c r="V455" s="9">
        <f>ROUND(ROUND(P455, 2)/1.2, 2)</f>
        <v>74</v>
      </c>
      <c r="Y455" s="9">
        <f t="shared" si="106"/>
        <v>282.52999999999997</v>
      </c>
      <c r="AD455" s="4" t="s">
        <v>1397</v>
      </c>
      <c r="AE455" s="4" t="s">
        <v>1398</v>
      </c>
      <c r="AF455" s="4" t="s">
        <v>512</v>
      </c>
    </row>
    <row r="456" spans="1:35" ht="54" x14ac:dyDescent="0.3">
      <c r="A456" s="11" t="s">
        <v>1399</v>
      </c>
      <c r="B456" s="11" t="s">
        <v>1385</v>
      </c>
      <c r="C456" s="20" t="s">
        <v>1386</v>
      </c>
      <c r="D456" s="21"/>
      <c r="E456" s="21" t="s">
        <v>1400</v>
      </c>
      <c r="F456" s="21" t="s">
        <v>57</v>
      </c>
      <c r="G456" s="22">
        <v>1</v>
      </c>
      <c r="H456" s="21"/>
      <c r="I456" s="22">
        <v>25.45</v>
      </c>
      <c r="J456" s="23">
        <f>IFERROR(ROUND(SUM(M457,M458)/I456, 2),0)</f>
        <v>130.49</v>
      </c>
      <c r="K456" s="23">
        <v>1001</v>
      </c>
      <c r="L456" s="23">
        <f>J456+ROUND(K456, 2)</f>
        <v>1131.49</v>
      </c>
      <c r="M456" s="23">
        <f>ROUND(J456*I456, 2)</f>
        <v>3320.97</v>
      </c>
      <c r="N456" s="23">
        <f>ROUND(I456*ROUND(K456, 2), 2)</f>
        <v>25475.45</v>
      </c>
      <c r="O456" s="23">
        <f>M456+N456</f>
        <v>28796.420000000002</v>
      </c>
      <c r="P456" s="23">
        <f>IFERROR(ROUND(SUM(S457,S458)/I456, 2),0)</f>
        <v>174.87</v>
      </c>
      <c r="Q456" s="23">
        <v>1001</v>
      </c>
      <c r="R456" s="23">
        <f>P456+ROUND(Q456, 2)</f>
        <v>1175.8699999999999</v>
      </c>
      <c r="S456" s="23">
        <f>ROUND(P456*I456, 2)</f>
        <v>4450.4399999999996</v>
      </c>
      <c r="T456" s="23">
        <f>ROUND(I456*ROUND(Q456, 2), 2)</f>
        <v>25475.45</v>
      </c>
      <c r="U456" s="23">
        <f>S456+T456</f>
        <v>29925.89</v>
      </c>
      <c r="V456" s="9">
        <f>ROUND(P456 / 1.2, 2)</f>
        <v>145.72999999999999</v>
      </c>
      <c r="W456" s="9">
        <f>ROUND(Q456 / 1.2, 2)</f>
        <v>834.17</v>
      </c>
      <c r="X456" s="9">
        <f>ROUND(R456 / 1.2, 2)</f>
        <v>979.89</v>
      </c>
      <c r="Y456" s="9">
        <f t="shared" si="106"/>
        <v>3708.7</v>
      </c>
      <c r="Z456" s="9">
        <f>ROUND(T456 / 1.2, 2)</f>
        <v>21229.54</v>
      </c>
      <c r="AA456" s="9">
        <f>Y456+Z456</f>
        <v>24938.240000000002</v>
      </c>
      <c r="AD456" s="4">
        <v>341534410</v>
      </c>
      <c r="AE456" s="4">
        <v>28271831</v>
      </c>
      <c r="AG456" s="4" t="s">
        <v>1388</v>
      </c>
      <c r="AH456" s="4" t="s">
        <v>1389</v>
      </c>
      <c r="AI456" s="4" t="s">
        <v>241</v>
      </c>
    </row>
    <row r="457" spans="1:35" ht="36" x14ac:dyDescent="0.3">
      <c r="A457" s="11" t="s">
        <v>1401</v>
      </c>
      <c r="B457" s="11"/>
      <c r="C457" s="30" t="s">
        <v>509</v>
      </c>
      <c r="D457" s="21"/>
      <c r="E457" s="21"/>
      <c r="F457" s="31" t="s">
        <v>76</v>
      </c>
      <c r="G457" s="32">
        <v>0.15</v>
      </c>
      <c r="H457" s="21"/>
      <c r="I457" s="32">
        <v>3.8180000000000001</v>
      </c>
      <c r="J457" s="33">
        <v>90.28</v>
      </c>
      <c r="K457" s="12"/>
      <c r="L457" s="12"/>
      <c r="M457" s="33">
        <f>ROUND(ROUND(J457, 2)*I457, 2)</f>
        <v>344.69</v>
      </c>
      <c r="N457" s="12"/>
      <c r="O457" s="12"/>
      <c r="P457" s="33">
        <v>88.8</v>
      </c>
      <c r="Q457" s="12"/>
      <c r="R457" s="12"/>
      <c r="S457" s="33">
        <f>ROUND(ROUND(P457, 2)*I457, 2)</f>
        <v>339.04</v>
      </c>
      <c r="T457" s="12"/>
      <c r="U457" s="34"/>
      <c r="V457" s="9">
        <f>ROUND(ROUND(P457, 2)/1.2, 2)</f>
        <v>74</v>
      </c>
      <c r="Y457" s="9">
        <f t="shared" si="106"/>
        <v>282.52999999999997</v>
      </c>
      <c r="AD457" s="4" t="s">
        <v>1402</v>
      </c>
      <c r="AE457" s="4" t="s">
        <v>1403</v>
      </c>
      <c r="AF457" s="4" t="s">
        <v>512</v>
      </c>
    </row>
    <row r="458" spans="1:35" ht="18" x14ac:dyDescent="0.3">
      <c r="A458" s="11" t="s">
        <v>1404</v>
      </c>
      <c r="B458" s="11"/>
      <c r="C458" s="30" t="s">
        <v>902</v>
      </c>
      <c r="D458" s="21"/>
      <c r="E458" s="21" t="s">
        <v>1097</v>
      </c>
      <c r="F458" s="31" t="s">
        <v>76</v>
      </c>
      <c r="G458" s="32">
        <v>5</v>
      </c>
      <c r="H458" s="21"/>
      <c r="I458" s="32">
        <v>127.25</v>
      </c>
      <c r="J458" s="33">
        <v>23.39</v>
      </c>
      <c r="K458" s="12"/>
      <c r="L458" s="12"/>
      <c r="M458" s="33">
        <f>ROUND(ROUND(J458, 2)*I458, 2)</f>
        <v>2976.38</v>
      </c>
      <c r="N458" s="12"/>
      <c r="O458" s="12"/>
      <c r="P458" s="33">
        <v>32.31</v>
      </c>
      <c r="Q458" s="12"/>
      <c r="R458" s="12"/>
      <c r="S458" s="33">
        <f>ROUND(ROUND(P458, 2)*I458, 2)</f>
        <v>4111.45</v>
      </c>
      <c r="T458" s="12"/>
      <c r="U458" s="34"/>
      <c r="V458" s="9">
        <f>ROUND(ROUND(P458, 2)/1.2, 2)</f>
        <v>26.93</v>
      </c>
      <c r="Y458" s="9">
        <f t="shared" si="106"/>
        <v>3426.21</v>
      </c>
      <c r="AD458" s="4" t="s">
        <v>1405</v>
      </c>
      <c r="AE458" s="4" t="s">
        <v>1406</v>
      </c>
      <c r="AF458" s="4" t="s">
        <v>905</v>
      </c>
    </row>
    <row r="459" spans="1:35" ht="54" x14ac:dyDescent="0.3">
      <c r="A459" s="11" t="s">
        <v>1407</v>
      </c>
      <c r="B459" s="11" t="s">
        <v>1385</v>
      </c>
      <c r="C459" s="20" t="s">
        <v>1386</v>
      </c>
      <c r="D459" s="21"/>
      <c r="E459" s="21" t="s">
        <v>1408</v>
      </c>
      <c r="F459" s="21" t="s">
        <v>57</v>
      </c>
      <c r="G459" s="22">
        <v>1</v>
      </c>
      <c r="H459" s="21"/>
      <c r="I459" s="22">
        <v>25.45</v>
      </c>
      <c r="J459" s="23">
        <f>IFERROR(ROUND(SUM(M460,M461)/I459, 2),0)</f>
        <v>130.49</v>
      </c>
      <c r="K459" s="23">
        <v>1001</v>
      </c>
      <c r="L459" s="23">
        <f>J459+ROUND(K459, 2)</f>
        <v>1131.49</v>
      </c>
      <c r="M459" s="23">
        <f>ROUND(J459*I459, 2)</f>
        <v>3320.97</v>
      </c>
      <c r="N459" s="23">
        <f>ROUND(I459*ROUND(K459, 2), 2)</f>
        <v>25475.45</v>
      </c>
      <c r="O459" s="23">
        <f>M459+N459</f>
        <v>28796.420000000002</v>
      </c>
      <c r="P459" s="23">
        <f>IFERROR(ROUND(SUM(S460,S461)/I459, 2),0)</f>
        <v>226.32</v>
      </c>
      <c r="Q459" s="23">
        <v>1001</v>
      </c>
      <c r="R459" s="23">
        <f>P459+ROUND(Q459, 2)</f>
        <v>1227.32</v>
      </c>
      <c r="S459" s="23">
        <f>ROUND(P459*I459, 2)</f>
        <v>5759.84</v>
      </c>
      <c r="T459" s="23">
        <f>ROUND(I459*ROUND(Q459, 2), 2)</f>
        <v>25475.45</v>
      </c>
      <c r="U459" s="23">
        <f>S459+T459</f>
        <v>31235.29</v>
      </c>
      <c r="V459" s="9">
        <f>ROUND(P459 / 1.2, 2)</f>
        <v>188.6</v>
      </c>
      <c r="W459" s="9">
        <f>ROUND(Q459 / 1.2, 2)</f>
        <v>834.17</v>
      </c>
      <c r="X459" s="9">
        <f>ROUND(R459 / 1.2, 2)</f>
        <v>1022.77</v>
      </c>
      <c r="Y459" s="9">
        <f t="shared" si="106"/>
        <v>4799.87</v>
      </c>
      <c r="Z459" s="9">
        <f>ROUND(T459 / 1.2, 2)</f>
        <v>21229.54</v>
      </c>
      <c r="AA459" s="9">
        <f>Y459+Z459</f>
        <v>26029.41</v>
      </c>
      <c r="AD459" s="4">
        <v>341534411</v>
      </c>
      <c r="AE459" s="4">
        <v>28271828</v>
      </c>
      <c r="AG459" s="4" t="s">
        <v>1388</v>
      </c>
      <c r="AH459" s="4" t="s">
        <v>1389</v>
      </c>
      <c r="AI459" s="4" t="s">
        <v>241</v>
      </c>
    </row>
    <row r="460" spans="1:35" ht="36" x14ac:dyDescent="0.3">
      <c r="A460" s="11" t="s">
        <v>1409</v>
      </c>
      <c r="B460" s="11"/>
      <c r="C460" s="30" t="s">
        <v>509</v>
      </c>
      <c r="D460" s="21"/>
      <c r="E460" s="21"/>
      <c r="F460" s="31" t="s">
        <v>76</v>
      </c>
      <c r="G460" s="32">
        <v>0.15</v>
      </c>
      <c r="H460" s="21"/>
      <c r="I460" s="32">
        <v>3.8180000000000001</v>
      </c>
      <c r="J460" s="33">
        <v>90.28</v>
      </c>
      <c r="K460" s="12"/>
      <c r="L460" s="12"/>
      <c r="M460" s="33">
        <f>ROUND(ROUND(J460, 2)*I460, 2)</f>
        <v>344.69</v>
      </c>
      <c r="N460" s="12"/>
      <c r="O460" s="12"/>
      <c r="P460" s="33">
        <v>88.8</v>
      </c>
      <c r="Q460" s="12"/>
      <c r="R460" s="12"/>
      <c r="S460" s="33">
        <f>ROUND(ROUND(P460, 2)*I460, 2)</f>
        <v>339.04</v>
      </c>
      <c r="T460" s="12"/>
      <c r="U460" s="34"/>
      <c r="V460" s="9">
        <f>ROUND(ROUND(P460, 2)/1.2, 2)</f>
        <v>74</v>
      </c>
      <c r="Y460" s="9">
        <f t="shared" si="106"/>
        <v>282.52999999999997</v>
      </c>
      <c r="AD460" s="4" t="s">
        <v>1410</v>
      </c>
      <c r="AE460" s="4" t="s">
        <v>1411</v>
      </c>
      <c r="AF460" s="4" t="s">
        <v>512</v>
      </c>
    </row>
    <row r="461" spans="1:35" ht="18" x14ac:dyDescent="0.3">
      <c r="A461" s="11" t="s">
        <v>1412</v>
      </c>
      <c r="B461" s="11"/>
      <c r="C461" s="30" t="s">
        <v>902</v>
      </c>
      <c r="D461" s="21"/>
      <c r="E461" s="21" t="s">
        <v>1106</v>
      </c>
      <c r="F461" s="31" t="s">
        <v>76</v>
      </c>
      <c r="G461" s="32">
        <v>5</v>
      </c>
      <c r="H461" s="21"/>
      <c r="I461" s="32">
        <v>127.25</v>
      </c>
      <c r="J461" s="33">
        <v>23.39</v>
      </c>
      <c r="K461" s="12"/>
      <c r="L461" s="12"/>
      <c r="M461" s="33">
        <f>ROUND(ROUND(J461, 2)*I461, 2)</f>
        <v>2976.38</v>
      </c>
      <c r="N461" s="12"/>
      <c r="O461" s="12"/>
      <c r="P461" s="33">
        <v>42.6</v>
      </c>
      <c r="Q461" s="12"/>
      <c r="R461" s="12"/>
      <c r="S461" s="33">
        <f>ROUND(ROUND(P461, 2)*I461, 2)</f>
        <v>5420.85</v>
      </c>
      <c r="T461" s="12"/>
      <c r="U461" s="34"/>
      <c r="V461" s="9">
        <f>ROUND(ROUND(P461, 2)/1.2, 2)</f>
        <v>35.5</v>
      </c>
      <c r="Y461" s="9">
        <f t="shared" si="106"/>
        <v>4517.38</v>
      </c>
      <c r="AD461" s="4" t="s">
        <v>1413</v>
      </c>
      <c r="AE461" s="4" t="s">
        <v>1414</v>
      </c>
      <c r="AF461" s="4" t="s">
        <v>905</v>
      </c>
    </row>
    <row r="462" spans="1:35" ht="54" x14ac:dyDescent="0.3">
      <c r="A462" s="11" t="s">
        <v>1415</v>
      </c>
      <c r="B462" s="11" t="s">
        <v>1385</v>
      </c>
      <c r="C462" s="20" t="s">
        <v>1386</v>
      </c>
      <c r="D462" s="21"/>
      <c r="E462" s="21" t="s">
        <v>1416</v>
      </c>
      <c r="F462" s="21" t="s">
        <v>57</v>
      </c>
      <c r="G462" s="22">
        <v>1</v>
      </c>
      <c r="H462" s="21"/>
      <c r="I462" s="22">
        <v>23.61</v>
      </c>
      <c r="J462" s="23">
        <f>IFERROR(ROUND(SUM(M463,M464,M465)/I462, 2),0)</f>
        <v>91.01</v>
      </c>
      <c r="K462" s="23">
        <v>1001</v>
      </c>
      <c r="L462" s="23">
        <f>J462+ROUND(K462, 2)</f>
        <v>1092.01</v>
      </c>
      <c r="M462" s="23">
        <f>ROUND(J462*I462, 2)</f>
        <v>2148.75</v>
      </c>
      <c r="N462" s="23">
        <f>ROUND(I462*ROUND(K462, 2), 2)</f>
        <v>23633.61</v>
      </c>
      <c r="O462" s="23">
        <f>M462+N462</f>
        <v>25782.36</v>
      </c>
      <c r="P462" s="23">
        <f>IFERROR(ROUND(SUM(S463,S464,S465)/I462, 2),0)</f>
        <v>81.05</v>
      </c>
      <c r="Q462" s="23">
        <v>1001</v>
      </c>
      <c r="R462" s="23">
        <f>P462+ROUND(Q462, 2)</f>
        <v>1082.05</v>
      </c>
      <c r="S462" s="23">
        <f>ROUND(P462*I462, 2)</f>
        <v>1913.59</v>
      </c>
      <c r="T462" s="23">
        <f>ROUND(I462*ROUND(Q462, 2), 2)</f>
        <v>23633.61</v>
      </c>
      <c r="U462" s="23">
        <f>S462+T462</f>
        <v>25547.200000000001</v>
      </c>
      <c r="V462" s="9">
        <f>ROUND(P462 / 1.2, 2)</f>
        <v>67.540000000000006</v>
      </c>
      <c r="W462" s="9">
        <f>ROUND(Q462 / 1.2, 2)</f>
        <v>834.17</v>
      </c>
      <c r="X462" s="9">
        <f>ROUND(R462 / 1.2, 2)</f>
        <v>901.71</v>
      </c>
      <c r="Y462" s="9">
        <f t="shared" si="106"/>
        <v>1594.66</v>
      </c>
      <c r="Z462" s="9">
        <f>ROUND(T462 / 1.2, 2)</f>
        <v>19694.68</v>
      </c>
      <c r="AA462" s="9">
        <f>Y462+Z462</f>
        <v>21289.34</v>
      </c>
      <c r="AD462" s="4">
        <v>341534412</v>
      </c>
      <c r="AE462" s="4">
        <v>28271825</v>
      </c>
      <c r="AG462" s="4" t="s">
        <v>1388</v>
      </c>
      <c r="AH462" s="4" t="s">
        <v>1389</v>
      </c>
      <c r="AI462" s="4" t="s">
        <v>241</v>
      </c>
    </row>
    <row r="463" spans="1:35" ht="36" x14ac:dyDescent="0.3">
      <c r="A463" s="11" t="s">
        <v>1417</v>
      </c>
      <c r="B463" s="11"/>
      <c r="C463" s="30" t="s">
        <v>509</v>
      </c>
      <c r="D463" s="21"/>
      <c r="E463" s="21"/>
      <c r="F463" s="31" t="s">
        <v>76</v>
      </c>
      <c r="G463" s="32">
        <v>0.15</v>
      </c>
      <c r="H463" s="21"/>
      <c r="I463" s="32">
        <v>3.5419999999999998</v>
      </c>
      <c r="J463" s="33">
        <v>90.28</v>
      </c>
      <c r="K463" s="12"/>
      <c r="L463" s="12"/>
      <c r="M463" s="33">
        <f>ROUND(ROUND(J463, 2)*I463, 2)</f>
        <v>319.77</v>
      </c>
      <c r="N463" s="12"/>
      <c r="O463" s="12"/>
      <c r="P463" s="33">
        <v>88.8</v>
      </c>
      <c r="Q463" s="12"/>
      <c r="R463" s="12"/>
      <c r="S463" s="33">
        <f>ROUND(ROUND(P463, 2)*I463, 2)</f>
        <v>314.52999999999997</v>
      </c>
      <c r="T463" s="12"/>
      <c r="U463" s="34"/>
      <c r="V463" s="9">
        <f>ROUND(ROUND(P463, 2)/1.2, 2)</f>
        <v>74</v>
      </c>
      <c r="Y463" s="9">
        <f t="shared" si="106"/>
        <v>262.11</v>
      </c>
      <c r="AD463" s="4" t="s">
        <v>1418</v>
      </c>
      <c r="AE463" s="4" t="s">
        <v>1419</v>
      </c>
      <c r="AF463" s="4" t="s">
        <v>512</v>
      </c>
    </row>
    <row r="464" spans="1:35" ht="18" x14ac:dyDescent="0.3">
      <c r="A464" s="11" t="s">
        <v>1420</v>
      </c>
      <c r="B464" s="11"/>
      <c r="C464" s="30" t="s">
        <v>907</v>
      </c>
      <c r="D464" s="21"/>
      <c r="E464" s="21"/>
      <c r="F464" s="31" t="s">
        <v>98</v>
      </c>
      <c r="G464" s="32">
        <v>0.3</v>
      </c>
      <c r="H464" s="21"/>
      <c r="I464" s="32">
        <v>7.0830000000000002</v>
      </c>
      <c r="J464" s="33">
        <v>74.319999999999993</v>
      </c>
      <c r="K464" s="12"/>
      <c r="L464" s="12"/>
      <c r="M464" s="33">
        <f>ROUND(ROUND(J464, 2)*I464, 2)</f>
        <v>526.41</v>
      </c>
      <c r="N464" s="12"/>
      <c r="O464" s="12"/>
      <c r="P464" s="33">
        <v>37.049999999999997</v>
      </c>
      <c r="Q464" s="12"/>
      <c r="R464" s="12"/>
      <c r="S464" s="33">
        <f>ROUND(ROUND(P464, 2)*I464, 2)</f>
        <v>262.43</v>
      </c>
      <c r="T464" s="12"/>
      <c r="U464" s="34"/>
      <c r="V464" s="9">
        <f>ROUND(ROUND(P464, 2)/1.2, 2)</f>
        <v>30.88</v>
      </c>
      <c r="Y464" s="9">
        <f t="shared" si="106"/>
        <v>218.69</v>
      </c>
      <c r="AD464" s="4" t="s">
        <v>1421</v>
      </c>
      <c r="AE464" s="4" t="s">
        <v>1422</v>
      </c>
      <c r="AF464" s="4" t="s">
        <v>910</v>
      </c>
    </row>
    <row r="465" spans="1:35" ht="36" x14ac:dyDescent="0.3">
      <c r="A465" s="11" t="s">
        <v>1423</v>
      </c>
      <c r="B465" s="11"/>
      <c r="C465" s="35" t="s">
        <v>961</v>
      </c>
      <c r="D465" s="21"/>
      <c r="E465" s="21"/>
      <c r="F465" s="31" t="s">
        <v>76</v>
      </c>
      <c r="G465" s="32">
        <v>4.5</v>
      </c>
      <c r="H465" s="21"/>
      <c r="I465" s="32">
        <v>106.245</v>
      </c>
      <c r="J465" s="33">
        <v>12.26</v>
      </c>
      <c r="K465" s="12"/>
      <c r="L465" s="12"/>
      <c r="M465" s="33">
        <f>ROUND(ROUND(J465, 2)*I465, 2)</f>
        <v>1302.56</v>
      </c>
      <c r="N465" s="12"/>
      <c r="O465" s="12"/>
      <c r="P465" s="33">
        <v>12.58</v>
      </c>
      <c r="Q465" s="12"/>
      <c r="R465" s="12"/>
      <c r="S465" s="33">
        <f>ROUND(ROUND(P465, 2)*I465, 2)</f>
        <v>1336.56</v>
      </c>
      <c r="T465" s="12"/>
      <c r="U465" s="34"/>
      <c r="V465" s="9">
        <f>ROUND(ROUND(P465, 2)/1.2, 2)</f>
        <v>10.48</v>
      </c>
      <c r="Y465" s="9">
        <f t="shared" si="106"/>
        <v>1113.8</v>
      </c>
      <c r="AD465" s="4" t="s">
        <v>1424</v>
      </c>
      <c r="AE465" s="4" t="s">
        <v>1425</v>
      </c>
      <c r="AF465" s="4" t="s">
        <v>1147</v>
      </c>
    </row>
    <row r="466" spans="1:35" ht="54" x14ac:dyDescent="0.3">
      <c r="A466" s="11" t="s">
        <v>1426</v>
      </c>
      <c r="B466" s="11" t="s">
        <v>1385</v>
      </c>
      <c r="C466" s="20" t="s">
        <v>1386</v>
      </c>
      <c r="D466" s="21"/>
      <c r="E466" s="21" t="s">
        <v>1427</v>
      </c>
      <c r="F466" s="21" t="s">
        <v>57</v>
      </c>
      <c r="G466" s="22">
        <v>1</v>
      </c>
      <c r="H466" s="21"/>
      <c r="I466" s="22">
        <v>23.61</v>
      </c>
      <c r="J466" s="23">
        <f>IFERROR(ROUND(SUM(M467,M468)/I466, 2),0)</f>
        <v>68.709999999999994</v>
      </c>
      <c r="K466" s="23">
        <v>1001</v>
      </c>
      <c r="L466" s="23">
        <f>J466+ROUND(K466, 2)</f>
        <v>1069.71</v>
      </c>
      <c r="M466" s="23">
        <f>ROUND(J466*I466, 2)</f>
        <v>1622.24</v>
      </c>
      <c r="N466" s="23">
        <f>ROUND(I466*ROUND(K466, 2), 2)</f>
        <v>23633.61</v>
      </c>
      <c r="O466" s="23">
        <f>M466+N466</f>
        <v>25255.850000000002</v>
      </c>
      <c r="P466" s="23">
        <f>IFERROR(ROUND(SUM(S467,S468)/I466, 2),0)</f>
        <v>69.930000000000007</v>
      </c>
      <c r="Q466" s="23">
        <v>1001</v>
      </c>
      <c r="R466" s="23">
        <f>P466+ROUND(Q466, 2)</f>
        <v>1070.93</v>
      </c>
      <c r="S466" s="23">
        <f>ROUND(P466*I466, 2)</f>
        <v>1651.05</v>
      </c>
      <c r="T466" s="23">
        <f>ROUND(I466*ROUND(Q466, 2), 2)</f>
        <v>23633.61</v>
      </c>
      <c r="U466" s="23">
        <f>S466+T466</f>
        <v>25284.66</v>
      </c>
      <c r="V466" s="9">
        <f>ROUND(P466 / 1.2, 2)</f>
        <v>58.28</v>
      </c>
      <c r="W466" s="9">
        <f>ROUND(Q466 / 1.2, 2)</f>
        <v>834.17</v>
      </c>
      <c r="X466" s="9">
        <f>ROUND(R466 / 1.2, 2)</f>
        <v>892.44</v>
      </c>
      <c r="Y466" s="9">
        <f t="shared" si="106"/>
        <v>1375.88</v>
      </c>
      <c r="Z466" s="9">
        <f>ROUND(T466 / 1.2, 2)</f>
        <v>19694.68</v>
      </c>
      <c r="AA466" s="9">
        <f>Y466+Z466</f>
        <v>21070.560000000001</v>
      </c>
      <c r="AD466" s="4">
        <v>341534413</v>
      </c>
      <c r="AE466" s="4">
        <v>28271832</v>
      </c>
      <c r="AG466" s="4" t="s">
        <v>1388</v>
      </c>
      <c r="AH466" s="4" t="s">
        <v>1389</v>
      </c>
      <c r="AI466" s="4" t="s">
        <v>241</v>
      </c>
    </row>
    <row r="467" spans="1:35" ht="36" x14ac:dyDescent="0.3">
      <c r="A467" s="11" t="s">
        <v>1428</v>
      </c>
      <c r="B467" s="11"/>
      <c r="C467" s="30" t="s">
        <v>509</v>
      </c>
      <c r="D467" s="21"/>
      <c r="E467" s="21"/>
      <c r="F467" s="31" t="s">
        <v>76</v>
      </c>
      <c r="G467" s="32">
        <v>0.15</v>
      </c>
      <c r="H467" s="21"/>
      <c r="I467" s="32">
        <v>3.5419999999999998</v>
      </c>
      <c r="J467" s="33">
        <v>90.28</v>
      </c>
      <c r="K467" s="12"/>
      <c r="L467" s="12"/>
      <c r="M467" s="33">
        <f>ROUND(ROUND(J467, 2)*I467, 2)</f>
        <v>319.77</v>
      </c>
      <c r="N467" s="12"/>
      <c r="O467" s="12"/>
      <c r="P467" s="33">
        <v>88.8</v>
      </c>
      <c r="Q467" s="12"/>
      <c r="R467" s="12"/>
      <c r="S467" s="33">
        <f>ROUND(ROUND(P467, 2)*I467, 2)</f>
        <v>314.52999999999997</v>
      </c>
      <c r="T467" s="12"/>
      <c r="U467" s="34"/>
      <c r="V467" s="9">
        <f>ROUND(ROUND(P467, 2)/1.2, 2)</f>
        <v>74</v>
      </c>
      <c r="Y467" s="9">
        <f t="shared" si="106"/>
        <v>262.11</v>
      </c>
      <c r="AD467" s="4" t="s">
        <v>1429</v>
      </c>
      <c r="AE467" s="4" t="s">
        <v>1430</v>
      </c>
      <c r="AF467" s="4" t="s">
        <v>512</v>
      </c>
    </row>
    <row r="468" spans="1:35" ht="36" x14ac:dyDescent="0.3">
      <c r="A468" s="11" t="s">
        <v>1431</v>
      </c>
      <c r="B468" s="11"/>
      <c r="C468" s="35" t="s">
        <v>961</v>
      </c>
      <c r="D468" s="21"/>
      <c r="E468" s="21"/>
      <c r="F468" s="31" t="s">
        <v>76</v>
      </c>
      <c r="G468" s="32">
        <v>4.5</v>
      </c>
      <c r="H468" s="21"/>
      <c r="I468" s="32">
        <v>106.245</v>
      </c>
      <c r="J468" s="33">
        <v>12.26</v>
      </c>
      <c r="K468" s="12"/>
      <c r="L468" s="12"/>
      <c r="M468" s="33">
        <f>ROUND(ROUND(J468, 2)*I468, 2)</f>
        <v>1302.56</v>
      </c>
      <c r="N468" s="12"/>
      <c r="O468" s="12"/>
      <c r="P468" s="33">
        <v>12.58</v>
      </c>
      <c r="Q468" s="12"/>
      <c r="R468" s="12"/>
      <c r="S468" s="33">
        <f>ROUND(ROUND(P468, 2)*I468, 2)</f>
        <v>1336.56</v>
      </c>
      <c r="T468" s="12"/>
      <c r="U468" s="34"/>
      <c r="V468" s="9">
        <f>ROUND(ROUND(P468, 2)/1.2, 2)</f>
        <v>10.48</v>
      </c>
      <c r="Y468" s="9">
        <f t="shared" si="106"/>
        <v>1113.8</v>
      </c>
      <c r="AD468" s="4" t="s">
        <v>1432</v>
      </c>
      <c r="AE468" s="4" t="s">
        <v>1433</v>
      </c>
      <c r="AF468" s="4" t="s">
        <v>1147</v>
      </c>
    </row>
    <row r="469" spans="1:35" ht="54" x14ac:dyDescent="0.3">
      <c r="A469" s="11" t="s">
        <v>1434</v>
      </c>
      <c r="B469" s="11" t="s">
        <v>1385</v>
      </c>
      <c r="C469" s="20" t="s">
        <v>1386</v>
      </c>
      <c r="D469" s="21"/>
      <c r="E469" s="21" t="s">
        <v>1435</v>
      </c>
      <c r="F469" s="21" t="s">
        <v>57</v>
      </c>
      <c r="G469" s="22">
        <v>1</v>
      </c>
      <c r="H469" s="21"/>
      <c r="I469" s="22">
        <v>23.61</v>
      </c>
      <c r="J469" s="23">
        <f>IFERROR(ROUND(SUM(M470,M471)/I469, 2),0)</f>
        <v>68.709999999999994</v>
      </c>
      <c r="K469" s="23">
        <v>1001</v>
      </c>
      <c r="L469" s="23">
        <f>J469+ROUND(K469, 2)</f>
        <v>1069.71</v>
      </c>
      <c r="M469" s="23">
        <f>ROUND(J469*I469, 2)</f>
        <v>1622.24</v>
      </c>
      <c r="N469" s="23">
        <f>ROUND(I469*ROUND(K469, 2), 2)</f>
        <v>23633.61</v>
      </c>
      <c r="O469" s="23">
        <f>M469+N469</f>
        <v>25255.850000000002</v>
      </c>
      <c r="P469" s="23">
        <f>IFERROR(ROUND(SUM(S470,S471)/I469, 2),0)</f>
        <v>69.930000000000007</v>
      </c>
      <c r="Q469" s="23">
        <v>1001</v>
      </c>
      <c r="R469" s="23">
        <f>P469+ROUND(Q469, 2)</f>
        <v>1070.93</v>
      </c>
      <c r="S469" s="23">
        <f>ROUND(P469*I469, 2)</f>
        <v>1651.05</v>
      </c>
      <c r="T469" s="23">
        <f>ROUND(I469*ROUND(Q469, 2), 2)</f>
        <v>23633.61</v>
      </c>
      <c r="U469" s="23">
        <f>S469+T469</f>
        <v>25284.66</v>
      </c>
      <c r="V469" s="9">
        <f>ROUND(P469 / 1.2, 2)</f>
        <v>58.28</v>
      </c>
      <c r="W469" s="9">
        <f>ROUND(Q469 / 1.2, 2)</f>
        <v>834.17</v>
      </c>
      <c r="X469" s="9">
        <f>ROUND(R469 / 1.2, 2)</f>
        <v>892.44</v>
      </c>
      <c r="Y469" s="9">
        <f t="shared" si="106"/>
        <v>1375.88</v>
      </c>
      <c r="Z469" s="9">
        <f>ROUND(T469 / 1.2, 2)</f>
        <v>19694.68</v>
      </c>
      <c r="AA469" s="9">
        <f>Y469+Z469</f>
        <v>21070.560000000001</v>
      </c>
      <c r="AD469" s="4">
        <v>341534414</v>
      </c>
      <c r="AE469" s="4">
        <v>28271829</v>
      </c>
      <c r="AG469" s="4" t="s">
        <v>1388</v>
      </c>
      <c r="AH469" s="4" t="s">
        <v>1389</v>
      </c>
      <c r="AI469" s="4" t="s">
        <v>241</v>
      </c>
    </row>
    <row r="470" spans="1:35" ht="36" x14ac:dyDescent="0.3">
      <c r="A470" s="11" t="s">
        <v>1436</v>
      </c>
      <c r="B470" s="11"/>
      <c r="C470" s="30" t="s">
        <v>509</v>
      </c>
      <c r="D470" s="21"/>
      <c r="E470" s="21"/>
      <c r="F470" s="31" t="s">
        <v>76</v>
      </c>
      <c r="G470" s="32">
        <v>0.15</v>
      </c>
      <c r="H470" s="21"/>
      <c r="I470" s="32">
        <v>3.5419999999999998</v>
      </c>
      <c r="J470" s="33">
        <v>90.28</v>
      </c>
      <c r="K470" s="12"/>
      <c r="L470" s="12"/>
      <c r="M470" s="33">
        <f>ROUND(ROUND(J470, 2)*I470, 2)</f>
        <v>319.77</v>
      </c>
      <c r="N470" s="12"/>
      <c r="O470" s="12"/>
      <c r="P470" s="33">
        <v>88.8</v>
      </c>
      <c r="Q470" s="12"/>
      <c r="R470" s="12"/>
      <c r="S470" s="33">
        <f>ROUND(ROUND(P470, 2)*I470, 2)</f>
        <v>314.52999999999997</v>
      </c>
      <c r="T470" s="12"/>
      <c r="U470" s="34"/>
      <c r="V470" s="9">
        <f>ROUND(ROUND(P470, 2)/1.2, 2)</f>
        <v>74</v>
      </c>
      <c r="Y470" s="9">
        <f t="shared" si="106"/>
        <v>262.11</v>
      </c>
      <c r="AD470" s="4" t="s">
        <v>1437</v>
      </c>
      <c r="AE470" s="4" t="s">
        <v>1438</v>
      </c>
      <c r="AF470" s="4" t="s">
        <v>512</v>
      </c>
    </row>
    <row r="471" spans="1:35" ht="36" x14ac:dyDescent="0.3">
      <c r="A471" s="11" t="s">
        <v>1439</v>
      </c>
      <c r="B471" s="11"/>
      <c r="C471" s="35" t="s">
        <v>961</v>
      </c>
      <c r="D471" s="21"/>
      <c r="E471" s="21"/>
      <c r="F471" s="31" t="s">
        <v>76</v>
      </c>
      <c r="G471" s="32">
        <v>4.5</v>
      </c>
      <c r="H471" s="21"/>
      <c r="I471" s="32">
        <v>106.245</v>
      </c>
      <c r="J471" s="33">
        <v>12.26</v>
      </c>
      <c r="K471" s="12"/>
      <c r="L471" s="12"/>
      <c r="M471" s="33">
        <f>ROUND(ROUND(J471, 2)*I471, 2)</f>
        <v>1302.56</v>
      </c>
      <c r="N471" s="12"/>
      <c r="O471" s="12"/>
      <c r="P471" s="33">
        <v>12.58</v>
      </c>
      <c r="Q471" s="12"/>
      <c r="R471" s="12"/>
      <c r="S471" s="33">
        <f>ROUND(ROUND(P471, 2)*I471, 2)</f>
        <v>1336.56</v>
      </c>
      <c r="T471" s="12"/>
      <c r="U471" s="34"/>
      <c r="V471" s="9">
        <f>ROUND(ROUND(P471, 2)/1.2, 2)</f>
        <v>10.48</v>
      </c>
      <c r="Y471" s="9">
        <f t="shared" si="106"/>
        <v>1113.8</v>
      </c>
      <c r="AD471" s="4" t="s">
        <v>1440</v>
      </c>
      <c r="AE471" s="4" t="s">
        <v>1441</v>
      </c>
      <c r="AF471" s="4" t="s">
        <v>1147</v>
      </c>
    </row>
    <row r="472" spans="1:35" ht="54" x14ac:dyDescent="0.3">
      <c r="A472" s="11" t="s">
        <v>1442</v>
      </c>
      <c r="B472" s="11" t="s">
        <v>1385</v>
      </c>
      <c r="C472" s="20" t="s">
        <v>1386</v>
      </c>
      <c r="D472" s="21"/>
      <c r="E472" s="21" t="s">
        <v>1443</v>
      </c>
      <c r="F472" s="21" t="s">
        <v>57</v>
      </c>
      <c r="G472" s="22">
        <v>1</v>
      </c>
      <c r="H472" s="21"/>
      <c r="I472" s="22">
        <v>37.68</v>
      </c>
      <c r="J472" s="23">
        <f>IFERROR(ROUND(SUM(M473,M474,M475)/I472, 2),0)</f>
        <v>152.79</v>
      </c>
      <c r="K472" s="23">
        <v>1001</v>
      </c>
      <c r="L472" s="23">
        <f>J472+ROUND(K472, 2)</f>
        <v>1153.79</v>
      </c>
      <c r="M472" s="23">
        <f>ROUND(J472*I472, 2)</f>
        <v>5757.13</v>
      </c>
      <c r="N472" s="23">
        <f>ROUND(I472*ROUND(K472, 2), 2)</f>
        <v>37717.68</v>
      </c>
      <c r="O472" s="23">
        <f>M472+N472</f>
        <v>43474.81</v>
      </c>
      <c r="P472" s="23">
        <f>IFERROR(ROUND(SUM(S473,S474,S475)/I472, 2),0)</f>
        <v>163.68</v>
      </c>
      <c r="Q472" s="23">
        <v>1001</v>
      </c>
      <c r="R472" s="23">
        <f>P472+ROUND(Q472, 2)</f>
        <v>1164.68</v>
      </c>
      <c r="S472" s="23">
        <f>ROUND(P472*I472, 2)</f>
        <v>6167.46</v>
      </c>
      <c r="T472" s="23">
        <f>ROUND(I472*ROUND(Q472, 2), 2)</f>
        <v>37717.68</v>
      </c>
      <c r="U472" s="23">
        <f>S472+T472</f>
        <v>43885.14</v>
      </c>
      <c r="V472" s="9">
        <f>ROUND(P472 / 1.2, 2)</f>
        <v>136.4</v>
      </c>
      <c r="W472" s="9">
        <f>ROUND(Q472 / 1.2, 2)</f>
        <v>834.17</v>
      </c>
      <c r="X472" s="9">
        <f>ROUND(R472 / 1.2, 2)</f>
        <v>970.57</v>
      </c>
      <c r="Y472" s="9">
        <f t="shared" si="106"/>
        <v>5139.55</v>
      </c>
      <c r="Z472" s="9">
        <f>ROUND(T472 / 1.2, 2)</f>
        <v>31431.4</v>
      </c>
      <c r="AA472" s="9">
        <f>Y472+Z472</f>
        <v>36570.950000000004</v>
      </c>
      <c r="AD472" s="4">
        <v>341534415</v>
      </c>
      <c r="AE472" s="4">
        <v>28271826</v>
      </c>
      <c r="AG472" s="4" t="s">
        <v>1388</v>
      </c>
      <c r="AH472" s="4" t="s">
        <v>1389</v>
      </c>
      <c r="AI472" s="4" t="s">
        <v>241</v>
      </c>
    </row>
    <row r="473" spans="1:35" ht="36" x14ac:dyDescent="0.3">
      <c r="A473" s="11" t="s">
        <v>1444</v>
      </c>
      <c r="B473" s="11"/>
      <c r="C473" s="30" t="s">
        <v>509</v>
      </c>
      <c r="D473" s="21"/>
      <c r="E473" s="21"/>
      <c r="F473" s="31" t="s">
        <v>76</v>
      </c>
      <c r="G473" s="32">
        <v>0.15</v>
      </c>
      <c r="H473" s="21"/>
      <c r="I473" s="32">
        <v>5.6520000000000001</v>
      </c>
      <c r="J473" s="33">
        <v>90.28</v>
      </c>
      <c r="K473" s="12"/>
      <c r="L473" s="12"/>
      <c r="M473" s="33">
        <f>ROUND(ROUND(J473, 2)*I473, 2)</f>
        <v>510.26</v>
      </c>
      <c r="N473" s="12"/>
      <c r="O473" s="12"/>
      <c r="P473" s="33">
        <v>88.8</v>
      </c>
      <c r="Q473" s="12"/>
      <c r="R473" s="12"/>
      <c r="S473" s="33">
        <f>ROUND(ROUND(P473, 2)*I473, 2)</f>
        <v>501.9</v>
      </c>
      <c r="T473" s="12"/>
      <c r="U473" s="34"/>
      <c r="V473" s="9">
        <f>ROUND(ROUND(P473, 2)/1.2, 2)</f>
        <v>74</v>
      </c>
      <c r="Y473" s="9">
        <f t="shared" si="106"/>
        <v>418.25</v>
      </c>
      <c r="AD473" s="4" t="s">
        <v>1445</v>
      </c>
      <c r="AE473" s="4" t="s">
        <v>1446</v>
      </c>
      <c r="AF473" s="4" t="s">
        <v>512</v>
      </c>
    </row>
    <row r="474" spans="1:35" ht="18" x14ac:dyDescent="0.3">
      <c r="A474" s="11" t="s">
        <v>1447</v>
      </c>
      <c r="B474" s="11"/>
      <c r="C474" s="30" t="s">
        <v>907</v>
      </c>
      <c r="D474" s="21"/>
      <c r="E474" s="21"/>
      <c r="F474" s="31" t="s">
        <v>98</v>
      </c>
      <c r="G474" s="32">
        <v>0.3</v>
      </c>
      <c r="H474" s="21"/>
      <c r="I474" s="32">
        <v>11.304</v>
      </c>
      <c r="J474" s="33">
        <v>74.319999999999993</v>
      </c>
      <c r="K474" s="12"/>
      <c r="L474" s="12"/>
      <c r="M474" s="33">
        <f>ROUND(ROUND(J474, 2)*I474, 2)</f>
        <v>840.11</v>
      </c>
      <c r="N474" s="12"/>
      <c r="O474" s="12"/>
      <c r="P474" s="33">
        <v>37.049999999999997</v>
      </c>
      <c r="Q474" s="12"/>
      <c r="R474" s="12"/>
      <c r="S474" s="33">
        <f>ROUND(ROUND(P474, 2)*I474, 2)</f>
        <v>418.81</v>
      </c>
      <c r="T474" s="12"/>
      <c r="U474" s="34"/>
      <c r="V474" s="9">
        <f>ROUND(ROUND(P474, 2)/1.2, 2)</f>
        <v>30.88</v>
      </c>
      <c r="Y474" s="9">
        <f t="shared" si="106"/>
        <v>349.01</v>
      </c>
      <c r="AD474" s="4" t="s">
        <v>1448</v>
      </c>
      <c r="AE474" s="4" t="s">
        <v>1449</v>
      </c>
      <c r="AF474" s="4" t="s">
        <v>910</v>
      </c>
    </row>
    <row r="475" spans="1:35" ht="18" x14ac:dyDescent="0.3">
      <c r="A475" s="11" t="s">
        <v>1450</v>
      </c>
      <c r="B475" s="11"/>
      <c r="C475" s="30" t="s">
        <v>902</v>
      </c>
      <c r="D475" s="21"/>
      <c r="E475" s="21" t="s">
        <v>1080</v>
      </c>
      <c r="F475" s="31" t="s">
        <v>76</v>
      </c>
      <c r="G475" s="32">
        <v>5</v>
      </c>
      <c r="H475" s="21"/>
      <c r="I475" s="32">
        <v>188.4</v>
      </c>
      <c r="J475" s="33">
        <v>23.39</v>
      </c>
      <c r="K475" s="12"/>
      <c r="L475" s="12"/>
      <c r="M475" s="33">
        <f>ROUND(ROUND(J475, 2)*I475, 2)</f>
        <v>4406.68</v>
      </c>
      <c r="N475" s="12"/>
      <c r="O475" s="12"/>
      <c r="P475" s="33">
        <v>27.85</v>
      </c>
      <c r="Q475" s="12"/>
      <c r="R475" s="12"/>
      <c r="S475" s="33">
        <f>ROUND(ROUND(P475, 2)*I475, 2)</f>
        <v>5246.94</v>
      </c>
      <c r="T475" s="12"/>
      <c r="U475" s="34"/>
      <c r="V475" s="9">
        <f>ROUND(ROUND(P475, 2)/1.2, 2)</f>
        <v>23.21</v>
      </c>
      <c r="Y475" s="9">
        <f t="shared" si="106"/>
        <v>4372.45</v>
      </c>
      <c r="AD475" s="4" t="s">
        <v>1451</v>
      </c>
      <c r="AE475" s="4" t="s">
        <v>1452</v>
      </c>
      <c r="AF475" s="4" t="s">
        <v>905</v>
      </c>
    </row>
    <row r="476" spans="1:35" ht="54" x14ac:dyDescent="0.3">
      <c r="A476" s="11" t="s">
        <v>1453</v>
      </c>
      <c r="B476" s="11" t="s">
        <v>1385</v>
      </c>
      <c r="C476" s="20" t="s">
        <v>1386</v>
      </c>
      <c r="D476" s="21"/>
      <c r="E476" s="21" t="s">
        <v>1454</v>
      </c>
      <c r="F476" s="21" t="s">
        <v>57</v>
      </c>
      <c r="G476" s="22">
        <v>1</v>
      </c>
      <c r="H476" s="21"/>
      <c r="I476" s="22">
        <v>37.68</v>
      </c>
      <c r="J476" s="23">
        <f>IFERROR(ROUND(SUM(M477,M478)/I476, 2),0)</f>
        <v>130.49</v>
      </c>
      <c r="K476" s="23">
        <v>1001</v>
      </c>
      <c r="L476" s="23">
        <f>J476+ROUND(K476, 2)</f>
        <v>1131.49</v>
      </c>
      <c r="M476" s="23">
        <f>ROUND(J476*I476, 2)</f>
        <v>4916.8599999999997</v>
      </c>
      <c r="N476" s="23">
        <f>ROUND(I476*ROUND(K476, 2), 2)</f>
        <v>37717.68</v>
      </c>
      <c r="O476" s="23">
        <f>M476+N476</f>
        <v>42634.54</v>
      </c>
      <c r="P476" s="23">
        <f>IFERROR(ROUND(SUM(S477,S478)/I476, 2),0)</f>
        <v>174.87</v>
      </c>
      <c r="Q476" s="23">
        <v>1001</v>
      </c>
      <c r="R476" s="23">
        <f>P476+ROUND(Q476, 2)</f>
        <v>1175.8699999999999</v>
      </c>
      <c r="S476" s="23">
        <f>ROUND(P476*I476, 2)</f>
        <v>6589.1</v>
      </c>
      <c r="T476" s="23">
        <f>ROUND(I476*ROUND(Q476, 2), 2)</f>
        <v>37717.68</v>
      </c>
      <c r="U476" s="23">
        <f>S476+T476</f>
        <v>44306.78</v>
      </c>
      <c r="V476" s="9">
        <f>ROUND(P476 / 1.2, 2)</f>
        <v>145.72999999999999</v>
      </c>
      <c r="W476" s="9">
        <f>ROUND(Q476 / 1.2, 2)</f>
        <v>834.17</v>
      </c>
      <c r="X476" s="9">
        <f>ROUND(R476 / 1.2, 2)</f>
        <v>979.89</v>
      </c>
      <c r="Y476" s="9">
        <f t="shared" si="106"/>
        <v>5490.92</v>
      </c>
      <c r="Z476" s="9">
        <f>ROUND(T476 / 1.2, 2)</f>
        <v>31431.4</v>
      </c>
      <c r="AA476" s="9">
        <f>Y476+Z476</f>
        <v>36922.32</v>
      </c>
      <c r="AD476" s="4">
        <v>341534416</v>
      </c>
      <c r="AE476" s="4">
        <v>28271833</v>
      </c>
      <c r="AG476" s="4" t="s">
        <v>1388</v>
      </c>
      <c r="AH476" s="4" t="s">
        <v>1389</v>
      </c>
      <c r="AI476" s="4" t="s">
        <v>241</v>
      </c>
    </row>
    <row r="477" spans="1:35" ht="36" x14ac:dyDescent="0.3">
      <c r="A477" s="11" t="s">
        <v>1455</v>
      </c>
      <c r="B477" s="11"/>
      <c r="C477" s="30" t="s">
        <v>509</v>
      </c>
      <c r="D477" s="21"/>
      <c r="E477" s="21"/>
      <c r="F477" s="31" t="s">
        <v>76</v>
      </c>
      <c r="G477" s="32">
        <v>0.15</v>
      </c>
      <c r="H477" s="21"/>
      <c r="I477" s="32">
        <v>5.6520000000000001</v>
      </c>
      <c r="J477" s="33">
        <v>90.28</v>
      </c>
      <c r="K477" s="12"/>
      <c r="L477" s="12"/>
      <c r="M477" s="33">
        <f>ROUND(ROUND(J477, 2)*I477, 2)</f>
        <v>510.26</v>
      </c>
      <c r="N477" s="12"/>
      <c r="O477" s="12"/>
      <c r="P477" s="33">
        <v>88.8</v>
      </c>
      <c r="Q477" s="12"/>
      <c r="R477" s="12"/>
      <c r="S477" s="33">
        <f>ROUND(ROUND(P477, 2)*I477, 2)</f>
        <v>501.9</v>
      </c>
      <c r="T477" s="12"/>
      <c r="U477" s="34"/>
      <c r="V477" s="9">
        <f>ROUND(ROUND(P477, 2)/1.2, 2)</f>
        <v>74</v>
      </c>
      <c r="Y477" s="9">
        <f t="shared" si="106"/>
        <v>418.25</v>
      </c>
      <c r="AD477" s="4" t="s">
        <v>1456</v>
      </c>
      <c r="AE477" s="4" t="s">
        <v>1457</v>
      </c>
      <c r="AF477" s="4" t="s">
        <v>512</v>
      </c>
    </row>
    <row r="478" spans="1:35" ht="18" x14ac:dyDescent="0.3">
      <c r="A478" s="11" t="s">
        <v>1458</v>
      </c>
      <c r="B478" s="11"/>
      <c r="C478" s="30" t="s">
        <v>902</v>
      </c>
      <c r="D478" s="21"/>
      <c r="E478" s="21" t="s">
        <v>1097</v>
      </c>
      <c r="F478" s="31" t="s">
        <v>76</v>
      </c>
      <c r="G478" s="32">
        <v>5</v>
      </c>
      <c r="H478" s="21"/>
      <c r="I478" s="32">
        <v>188.4</v>
      </c>
      <c r="J478" s="33">
        <v>23.39</v>
      </c>
      <c r="K478" s="12"/>
      <c r="L478" s="12"/>
      <c r="M478" s="33">
        <f>ROUND(ROUND(J478, 2)*I478, 2)</f>
        <v>4406.68</v>
      </c>
      <c r="N478" s="12"/>
      <c r="O478" s="12"/>
      <c r="P478" s="33">
        <v>32.31</v>
      </c>
      <c r="Q478" s="12"/>
      <c r="R478" s="12"/>
      <c r="S478" s="33">
        <f>ROUND(ROUND(P478, 2)*I478, 2)</f>
        <v>6087.2</v>
      </c>
      <c r="T478" s="12"/>
      <c r="U478" s="34"/>
      <c r="V478" s="9">
        <f>ROUND(ROUND(P478, 2)/1.2, 2)</f>
        <v>26.93</v>
      </c>
      <c r="Y478" s="9">
        <f t="shared" si="106"/>
        <v>5072.67</v>
      </c>
      <c r="AD478" s="4" t="s">
        <v>1459</v>
      </c>
      <c r="AE478" s="4" t="s">
        <v>1460</v>
      </c>
      <c r="AF478" s="4" t="s">
        <v>905</v>
      </c>
    </row>
    <row r="479" spans="1:35" ht="54" x14ac:dyDescent="0.3">
      <c r="A479" s="11" t="s">
        <v>1461</v>
      </c>
      <c r="B479" s="11" t="s">
        <v>1385</v>
      </c>
      <c r="C479" s="20" t="s">
        <v>1386</v>
      </c>
      <c r="D479" s="21"/>
      <c r="E479" s="21" t="s">
        <v>1462</v>
      </c>
      <c r="F479" s="21" t="s">
        <v>57</v>
      </c>
      <c r="G479" s="22">
        <v>1</v>
      </c>
      <c r="H479" s="21"/>
      <c r="I479" s="22">
        <v>37.68</v>
      </c>
      <c r="J479" s="23">
        <f>IFERROR(ROUND(SUM(M480,M481)/I479, 2),0)</f>
        <v>130.49</v>
      </c>
      <c r="K479" s="23">
        <v>1001</v>
      </c>
      <c r="L479" s="23">
        <f>J479+ROUND(K479, 2)</f>
        <v>1131.49</v>
      </c>
      <c r="M479" s="23">
        <f>ROUND(J479*I479, 2)</f>
        <v>4916.8599999999997</v>
      </c>
      <c r="N479" s="23">
        <f>ROUND(I479*ROUND(K479, 2), 2)</f>
        <v>37717.68</v>
      </c>
      <c r="O479" s="23">
        <f>M479+N479</f>
        <v>42634.54</v>
      </c>
      <c r="P479" s="23">
        <f>IFERROR(ROUND(SUM(S480,S481)/I479, 2),0)</f>
        <v>226.32</v>
      </c>
      <c r="Q479" s="23">
        <v>1001</v>
      </c>
      <c r="R479" s="23">
        <f>P479+ROUND(Q479, 2)</f>
        <v>1227.32</v>
      </c>
      <c r="S479" s="23">
        <f>ROUND(P479*I479, 2)</f>
        <v>8527.74</v>
      </c>
      <c r="T479" s="23">
        <f>ROUND(I479*ROUND(Q479, 2), 2)</f>
        <v>37717.68</v>
      </c>
      <c r="U479" s="23">
        <f>S479+T479</f>
        <v>46245.42</v>
      </c>
      <c r="V479" s="9">
        <f>ROUND(P479 / 1.2, 2)</f>
        <v>188.6</v>
      </c>
      <c r="W479" s="9">
        <f>ROUND(Q479 / 1.2, 2)</f>
        <v>834.17</v>
      </c>
      <c r="X479" s="9">
        <f>ROUND(R479 / 1.2, 2)</f>
        <v>1022.77</v>
      </c>
      <c r="Y479" s="9">
        <f t="shared" si="106"/>
        <v>7106.45</v>
      </c>
      <c r="Z479" s="9">
        <f>ROUND(T479 / 1.2, 2)</f>
        <v>31431.4</v>
      </c>
      <c r="AA479" s="9">
        <f>Y479+Z479</f>
        <v>38537.85</v>
      </c>
      <c r="AD479" s="4">
        <v>341534417</v>
      </c>
      <c r="AE479" s="4">
        <v>28271830</v>
      </c>
      <c r="AG479" s="4" t="s">
        <v>1388</v>
      </c>
      <c r="AH479" s="4" t="s">
        <v>1389</v>
      </c>
      <c r="AI479" s="4" t="s">
        <v>241</v>
      </c>
    </row>
    <row r="480" spans="1:35" ht="36" x14ac:dyDescent="0.3">
      <c r="A480" s="11" t="s">
        <v>1463</v>
      </c>
      <c r="B480" s="11"/>
      <c r="C480" s="30" t="s">
        <v>509</v>
      </c>
      <c r="D480" s="21"/>
      <c r="E480" s="21"/>
      <c r="F480" s="31" t="s">
        <v>76</v>
      </c>
      <c r="G480" s="32">
        <v>0.15</v>
      </c>
      <c r="H480" s="21"/>
      <c r="I480" s="32">
        <v>5.6520000000000001</v>
      </c>
      <c r="J480" s="33">
        <v>90.28</v>
      </c>
      <c r="K480" s="12"/>
      <c r="L480" s="12"/>
      <c r="M480" s="33">
        <f>ROUND(ROUND(J480, 2)*I480, 2)</f>
        <v>510.26</v>
      </c>
      <c r="N480" s="12"/>
      <c r="O480" s="12"/>
      <c r="P480" s="33">
        <v>88.8</v>
      </c>
      <c r="Q480" s="12"/>
      <c r="R480" s="12"/>
      <c r="S480" s="33">
        <f>ROUND(ROUND(P480, 2)*I480, 2)</f>
        <v>501.9</v>
      </c>
      <c r="T480" s="12"/>
      <c r="U480" s="34"/>
      <c r="V480" s="9">
        <f>ROUND(ROUND(P480, 2)/1.2, 2)</f>
        <v>74</v>
      </c>
      <c r="Y480" s="9">
        <f t="shared" si="106"/>
        <v>418.25</v>
      </c>
      <c r="AD480" s="4" t="s">
        <v>1464</v>
      </c>
      <c r="AE480" s="4" t="s">
        <v>1465</v>
      </c>
      <c r="AF480" s="4" t="s">
        <v>512</v>
      </c>
    </row>
    <row r="481" spans="1:35" ht="18" x14ac:dyDescent="0.3">
      <c r="A481" s="11" t="s">
        <v>1466</v>
      </c>
      <c r="B481" s="11"/>
      <c r="C481" s="30" t="s">
        <v>902</v>
      </c>
      <c r="D481" s="21"/>
      <c r="E481" s="21" t="s">
        <v>1106</v>
      </c>
      <c r="F481" s="31" t="s">
        <v>76</v>
      </c>
      <c r="G481" s="32">
        <v>5</v>
      </c>
      <c r="H481" s="21"/>
      <c r="I481" s="32">
        <v>188.4</v>
      </c>
      <c r="J481" s="33">
        <v>23.39</v>
      </c>
      <c r="K481" s="12"/>
      <c r="L481" s="12"/>
      <c r="M481" s="33">
        <f>ROUND(ROUND(J481, 2)*I481, 2)</f>
        <v>4406.68</v>
      </c>
      <c r="N481" s="12"/>
      <c r="O481" s="12"/>
      <c r="P481" s="33">
        <v>42.6</v>
      </c>
      <c r="Q481" s="12"/>
      <c r="R481" s="12"/>
      <c r="S481" s="33">
        <f>ROUND(ROUND(P481, 2)*I481, 2)</f>
        <v>8025.84</v>
      </c>
      <c r="T481" s="12"/>
      <c r="U481" s="34"/>
      <c r="V481" s="9">
        <f>ROUND(ROUND(P481, 2)/1.2, 2)</f>
        <v>35.5</v>
      </c>
      <c r="Y481" s="9">
        <f t="shared" si="106"/>
        <v>6688.2</v>
      </c>
      <c r="AD481" s="4" t="s">
        <v>1467</v>
      </c>
      <c r="AE481" s="4" t="s">
        <v>1468</v>
      </c>
      <c r="AF481" s="4" t="s">
        <v>905</v>
      </c>
    </row>
    <row r="482" spans="1:35" ht="54" x14ac:dyDescent="0.3">
      <c r="A482" s="11" t="s">
        <v>1469</v>
      </c>
      <c r="B482" s="11" t="s">
        <v>1470</v>
      </c>
      <c r="C482" s="20" t="s">
        <v>1471</v>
      </c>
      <c r="D482" s="21"/>
      <c r="E482" s="21" t="s">
        <v>1472</v>
      </c>
      <c r="F482" s="21" t="s">
        <v>57</v>
      </c>
      <c r="G482" s="22">
        <v>1</v>
      </c>
      <c r="H482" s="21"/>
      <c r="I482" s="22">
        <v>25.45</v>
      </c>
      <c r="J482" s="23">
        <f>IFERROR(ROUND(SUM(M483,M484)/I482, 2),0)</f>
        <v>30.91</v>
      </c>
      <c r="K482" s="23">
        <v>303</v>
      </c>
      <c r="L482" s="23">
        <f>J482+ROUND(K482, 2)</f>
        <v>333.91</v>
      </c>
      <c r="M482" s="23">
        <f>ROUND(J482*I482, 2)</f>
        <v>786.66</v>
      </c>
      <c r="N482" s="23">
        <f>ROUND(I482*ROUND(K482, 2), 2)</f>
        <v>7711.35</v>
      </c>
      <c r="O482" s="23">
        <f>M482+N482</f>
        <v>8498.01</v>
      </c>
      <c r="P482" s="23">
        <f>IFERROR(ROUND(SUM(S483,S484)/I482, 2),0)</f>
        <v>103.45</v>
      </c>
      <c r="Q482" s="23">
        <v>303</v>
      </c>
      <c r="R482" s="23">
        <f>P482+ROUND(Q482, 2)</f>
        <v>406.45</v>
      </c>
      <c r="S482" s="23">
        <f>ROUND(P482*I482, 2)</f>
        <v>2632.8</v>
      </c>
      <c r="T482" s="23">
        <f>ROUND(I482*ROUND(Q482, 2), 2)</f>
        <v>7711.35</v>
      </c>
      <c r="U482" s="23">
        <f>S482+T482</f>
        <v>10344.150000000001</v>
      </c>
      <c r="V482" s="9">
        <f>ROUND(P482 / 1.2, 2)</f>
        <v>86.21</v>
      </c>
      <c r="W482" s="9">
        <f>ROUND(Q482 / 1.2, 2)</f>
        <v>252.5</v>
      </c>
      <c r="X482" s="9">
        <f>ROUND(R482 / 1.2, 2)</f>
        <v>338.71</v>
      </c>
      <c r="Y482" s="9">
        <f t="shared" si="106"/>
        <v>2194</v>
      </c>
      <c r="Z482" s="9">
        <f>ROUND(T482 / 1.2, 2)</f>
        <v>6426.13</v>
      </c>
      <c r="AA482" s="9">
        <f>Y482+Z482</f>
        <v>8620.130000000001</v>
      </c>
      <c r="AD482" s="4">
        <v>341534341</v>
      </c>
      <c r="AE482" s="4">
        <v>28273182</v>
      </c>
      <c r="AG482" s="4" t="s">
        <v>1473</v>
      </c>
      <c r="AH482" s="4" t="s">
        <v>1474</v>
      </c>
      <c r="AI482" s="4" t="s">
        <v>241</v>
      </c>
    </row>
    <row r="483" spans="1:35" ht="36" x14ac:dyDescent="0.3">
      <c r="A483" s="11" t="s">
        <v>1475</v>
      </c>
      <c r="B483" s="11"/>
      <c r="C483" s="30" t="s">
        <v>1476</v>
      </c>
      <c r="D483" s="21"/>
      <c r="E483" s="21"/>
      <c r="F483" s="31" t="s">
        <v>76</v>
      </c>
      <c r="G483" s="32">
        <v>0.3</v>
      </c>
      <c r="H483" s="21"/>
      <c r="I483" s="32">
        <v>7.6349999999999998</v>
      </c>
      <c r="J483" s="33">
        <v>72.94</v>
      </c>
      <c r="K483" s="12"/>
      <c r="L483" s="12"/>
      <c r="M483" s="33">
        <f>ROUND(ROUND(J483, 2)*I483, 2)</f>
        <v>556.9</v>
      </c>
      <c r="N483" s="12"/>
      <c r="O483" s="12"/>
      <c r="P483" s="33">
        <v>315.24</v>
      </c>
      <c r="Q483" s="12"/>
      <c r="R483" s="12"/>
      <c r="S483" s="33">
        <f>ROUND(ROUND(P483, 2)*I483, 2)</f>
        <v>2406.86</v>
      </c>
      <c r="T483" s="12"/>
      <c r="U483" s="34"/>
      <c r="V483" s="9">
        <f>ROUND(ROUND(P483, 2)/1.2, 2)</f>
        <v>262.7</v>
      </c>
      <c r="Y483" s="9">
        <f t="shared" si="106"/>
        <v>2005.72</v>
      </c>
      <c r="AD483" s="4" t="s">
        <v>1477</v>
      </c>
      <c r="AE483" s="4" t="s">
        <v>1478</v>
      </c>
      <c r="AF483" s="4" t="s">
        <v>1479</v>
      </c>
    </row>
    <row r="484" spans="1:35" ht="36" x14ac:dyDescent="0.3">
      <c r="A484" s="11" t="s">
        <v>1480</v>
      </c>
      <c r="B484" s="11"/>
      <c r="C484" s="30" t="s">
        <v>509</v>
      </c>
      <c r="D484" s="21"/>
      <c r="E484" s="21"/>
      <c r="F484" s="31" t="s">
        <v>76</v>
      </c>
      <c r="G484" s="32">
        <v>0.1</v>
      </c>
      <c r="H484" s="21"/>
      <c r="I484" s="32">
        <v>2.5449999999999999</v>
      </c>
      <c r="J484" s="33">
        <v>90.28</v>
      </c>
      <c r="K484" s="12"/>
      <c r="L484" s="12"/>
      <c r="M484" s="33">
        <f>ROUND(ROUND(J484, 2)*I484, 2)</f>
        <v>229.76</v>
      </c>
      <c r="N484" s="12"/>
      <c r="O484" s="12"/>
      <c r="P484" s="33">
        <v>88.8</v>
      </c>
      <c r="Q484" s="12"/>
      <c r="R484" s="12"/>
      <c r="S484" s="33">
        <f>ROUND(ROUND(P484, 2)*I484, 2)</f>
        <v>226</v>
      </c>
      <c r="T484" s="12"/>
      <c r="U484" s="34"/>
      <c r="V484" s="9">
        <f>ROUND(ROUND(P484, 2)/1.2, 2)</f>
        <v>74</v>
      </c>
      <c r="Y484" s="9">
        <f t="shared" si="106"/>
        <v>188.33</v>
      </c>
      <c r="AD484" s="4" t="s">
        <v>1481</v>
      </c>
      <c r="AE484" s="4" t="s">
        <v>1482</v>
      </c>
      <c r="AF484" s="4" t="s">
        <v>512</v>
      </c>
    </row>
    <row r="485" spans="1:35" ht="54" x14ac:dyDescent="0.3">
      <c r="A485" s="11" t="s">
        <v>1483</v>
      </c>
      <c r="B485" s="11" t="s">
        <v>1470</v>
      </c>
      <c r="C485" s="20" t="s">
        <v>1471</v>
      </c>
      <c r="D485" s="21"/>
      <c r="E485" s="21" t="s">
        <v>1484</v>
      </c>
      <c r="F485" s="21" t="s">
        <v>57</v>
      </c>
      <c r="G485" s="22">
        <v>1</v>
      </c>
      <c r="H485" s="21"/>
      <c r="I485" s="22">
        <v>23.61</v>
      </c>
      <c r="J485" s="23">
        <f>IFERROR(ROUND(SUM(M486,M487)/I485, 2),0)</f>
        <v>30.91</v>
      </c>
      <c r="K485" s="23">
        <v>303</v>
      </c>
      <c r="L485" s="23">
        <f>J485+ROUND(K485, 2)</f>
        <v>333.91</v>
      </c>
      <c r="M485" s="23">
        <f>ROUND(J485*I485, 2)</f>
        <v>729.79</v>
      </c>
      <c r="N485" s="23">
        <f>ROUND(I485*ROUND(K485, 2), 2)</f>
        <v>7153.83</v>
      </c>
      <c r="O485" s="23">
        <f>M485+N485</f>
        <v>7883.62</v>
      </c>
      <c r="P485" s="23">
        <f>IFERROR(ROUND(SUM(S486,S487)/I485, 2),0)</f>
        <v>103.45</v>
      </c>
      <c r="Q485" s="23">
        <v>303</v>
      </c>
      <c r="R485" s="23">
        <f>P485+ROUND(Q485, 2)</f>
        <v>406.45</v>
      </c>
      <c r="S485" s="23">
        <f>ROUND(P485*I485, 2)</f>
        <v>2442.4499999999998</v>
      </c>
      <c r="T485" s="23">
        <f>ROUND(I485*ROUND(Q485, 2), 2)</f>
        <v>7153.83</v>
      </c>
      <c r="U485" s="23">
        <f>S485+T485</f>
        <v>9596.2799999999988</v>
      </c>
      <c r="V485" s="9">
        <f>ROUND(P485 / 1.2, 2)</f>
        <v>86.21</v>
      </c>
      <c r="W485" s="9">
        <f>ROUND(Q485 / 1.2, 2)</f>
        <v>252.5</v>
      </c>
      <c r="X485" s="9">
        <f>ROUND(R485 / 1.2, 2)</f>
        <v>338.71</v>
      </c>
      <c r="Y485" s="9">
        <f t="shared" ref="Y485:Y508" si="107">ROUND(S485 / 1.2, 2)</f>
        <v>2035.38</v>
      </c>
      <c r="Z485" s="9">
        <f>ROUND(T485 / 1.2, 2)</f>
        <v>5961.53</v>
      </c>
      <c r="AA485" s="9">
        <f>Y485+Z485</f>
        <v>7996.91</v>
      </c>
      <c r="AD485" s="4">
        <v>341534418</v>
      </c>
      <c r="AE485" s="4">
        <v>28273180</v>
      </c>
      <c r="AG485" s="4" t="s">
        <v>1473</v>
      </c>
      <c r="AH485" s="4" t="s">
        <v>1474</v>
      </c>
      <c r="AI485" s="4" t="s">
        <v>241</v>
      </c>
    </row>
    <row r="486" spans="1:35" ht="36" x14ac:dyDescent="0.3">
      <c r="A486" s="11" t="s">
        <v>1485</v>
      </c>
      <c r="B486" s="11"/>
      <c r="C486" s="30" t="s">
        <v>509</v>
      </c>
      <c r="D486" s="21"/>
      <c r="E486" s="21"/>
      <c r="F486" s="31" t="s">
        <v>76</v>
      </c>
      <c r="G486" s="32">
        <v>0.1</v>
      </c>
      <c r="H486" s="21"/>
      <c r="I486" s="32">
        <v>2.3610000000000002</v>
      </c>
      <c r="J486" s="33">
        <v>90.28</v>
      </c>
      <c r="K486" s="12"/>
      <c r="L486" s="12"/>
      <c r="M486" s="33">
        <f>ROUND(ROUND(J486, 2)*I486, 2)</f>
        <v>213.15</v>
      </c>
      <c r="N486" s="12"/>
      <c r="O486" s="12"/>
      <c r="P486" s="33">
        <v>88.8</v>
      </c>
      <c r="Q486" s="12"/>
      <c r="R486" s="12"/>
      <c r="S486" s="33">
        <f>ROUND(ROUND(P486, 2)*I486, 2)</f>
        <v>209.66</v>
      </c>
      <c r="T486" s="12"/>
      <c r="U486" s="34"/>
      <c r="V486" s="9">
        <f>ROUND(ROUND(P486, 2)/1.2, 2)</f>
        <v>74</v>
      </c>
      <c r="Y486" s="9">
        <f t="shared" si="107"/>
        <v>174.72</v>
      </c>
      <c r="AD486" s="4" t="s">
        <v>1486</v>
      </c>
      <c r="AE486" s="4" t="s">
        <v>1487</v>
      </c>
      <c r="AF486" s="4" t="s">
        <v>512</v>
      </c>
    </row>
    <row r="487" spans="1:35" ht="36" x14ac:dyDescent="0.3">
      <c r="A487" s="11" t="s">
        <v>1488</v>
      </c>
      <c r="B487" s="11"/>
      <c r="C487" s="30" t="s">
        <v>1476</v>
      </c>
      <c r="D487" s="21"/>
      <c r="E487" s="21"/>
      <c r="F487" s="31" t="s">
        <v>76</v>
      </c>
      <c r="G487" s="32">
        <v>0.3</v>
      </c>
      <c r="H487" s="21"/>
      <c r="I487" s="32">
        <v>7.0830000000000002</v>
      </c>
      <c r="J487" s="33">
        <v>72.94</v>
      </c>
      <c r="K487" s="12"/>
      <c r="L487" s="12"/>
      <c r="M487" s="33">
        <f>ROUND(ROUND(J487, 2)*I487, 2)</f>
        <v>516.63</v>
      </c>
      <c r="N487" s="12"/>
      <c r="O487" s="12"/>
      <c r="P487" s="33">
        <v>315.24</v>
      </c>
      <c r="Q487" s="12"/>
      <c r="R487" s="12"/>
      <c r="S487" s="33">
        <f>ROUND(ROUND(P487, 2)*I487, 2)</f>
        <v>2232.84</v>
      </c>
      <c r="T487" s="12"/>
      <c r="U487" s="34"/>
      <c r="V487" s="9">
        <f>ROUND(ROUND(P487, 2)/1.2, 2)</f>
        <v>262.7</v>
      </c>
      <c r="Y487" s="9">
        <f t="shared" si="107"/>
        <v>1860.7</v>
      </c>
      <c r="AD487" s="4" t="s">
        <v>1489</v>
      </c>
      <c r="AE487" s="4" t="s">
        <v>1490</v>
      </c>
      <c r="AF487" s="4" t="s">
        <v>1479</v>
      </c>
    </row>
    <row r="488" spans="1:35" ht="54" x14ac:dyDescent="0.3">
      <c r="A488" s="11" t="s">
        <v>1491</v>
      </c>
      <c r="B488" s="11" t="s">
        <v>1470</v>
      </c>
      <c r="C488" s="20" t="s">
        <v>1471</v>
      </c>
      <c r="D488" s="21"/>
      <c r="E488" s="21" t="s">
        <v>1492</v>
      </c>
      <c r="F488" s="21" t="s">
        <v>57</v>
      </c>
      <c r="G488" s="22">
        <v>1</v>
      </c>
      <c r="H488" s="21"/>
      <c r="I488" s="22">
        <v>37.68</v>
      </c>
      <c r="J488" s="23">
        <f>IFERROR(ROUND(SUM(M489,M490)/I488, 2),0)</f>
        <v>30.91</v>
      </c>
      <c r="K488" s="23">
        <v>303</v>
      </c>
      <c r="L488" s="23">
        <f>J488+ROUND(K488, 2)</f>
        <v>333.91</v>
      </c>
      <c r="M488" s="23">
        <f>ROUND(J488*I488, 2)</f>
        <v>1164.69</v>
      </c>
      <c r="N488" s="23">
        <f>ROUND(I488*ROUND(K488, 2), 2)</f>
        <v>11417.04</v>
      </c>
      <c r="O488" s="23">
        <f>M488+N488</f>
        <v>12581.730000000001</v>
      </c>
      <c r="P488" s="23">
        <f>IFERROR(ROUND(SUM(S489,S490)/I488, 2),0)</f>
        <v>103.45</v>
      </c>
      <c r="Q488" s="23">
        <v>303</v>
      </c>
      <c r="R488" s="23">
        <f>P488+ROUND(Q488, 2)</f>
        <v>406.45</v>
      </c>
      <c r="S488" s="23">
        <f>ROUND(P488*I488, 2)</f>
        <v>3898</v>
      </c>
      <c r="T488" s="23">
        <f>ROUND(I488*ROUND(Q488, 2), 2)</f>
        <v>11417.04</v>
      </c>
      <c r="U488" s="23">
        <f>S488+T488</f>
        <v>15315.04</v>
      </c>
      <c r="V488" s="9">
        <f>ROUND(P488 / 1.2, 2)</f>
        <v>86.21</v>
      </c>
      <c r="W488" s="9">
        <f>ROUND(Q488 / 1.2, 2)</f>
        <v>252.5</v>
      </c>
      <c r="X488" s="9">
        <f>ROUND(R488 / 1.2, 2)</f>
        <v>338.71</v>
      </c>
      <c r="Y488" s="9">
        <f t="shared" si="107"/>
        <v>3248.33</v>
      </c>
      <c r="Z488" s="9">
        <f>ROUND(T488 / 1.2, 2)</f>
        <v>9514.2000000000007</v>
      </c>
      <c r="AA488" s="9">
        <f>Y488+Z488</f>
        <v>12762.53</v>
      </c>
      <c r="AD488" s="4">
        <v>341534419</v>
      </c>
      <c r="AE488" s="4">
        <v>28273181</v>
      </c>
      <c r="AG488" s="4" t="s">
        <v>1473</v>
      </c>
      <c r="AH488" s="4" t="s">
        <v>1474</v>
      </c>
      <c r="AI488" s="4" t="s">
        <v>241</v>
      </c>
    </row>
    <row r="489" spans="1:35" ht="36" x14ac:dyDescent="0.3">
      <c r="A489" s="11" t="s">
        <v>1493</v>
      </c>
      <c r="B489" s="11"/>
      <c r="C489" s="30" t="s">
        <v>509</v>
      </c>
      <c r="D489" s="21"/>
      <c r="E489" s="21"/>
      <c r="F489" s="31" t="s">
        <v>76</v>
      </c>
      <c r="G489" s="32">
        <v>0.1</v>
      </c>
      <c r="H489" s="21"/>
      <c r="I489" s="32">
        <v>3.7679999999999998</v>
      </c>
      <c r="J489" s="33">
        <v>90.28</v>
      </c>
      <c r="K489" s="12"/>
      <c r="L489" s="12"/>
      <c r="M489" s="33">
        <f>ROUND(ROUND(J489, 2)*I489, 2)</f>
        <v>340.18</v>
      </c>
      <c r="N489" s="12"/>
      <c r="O489" s="12"/>
      <c r="P489" s="33">
        <v>88.8</v>
      </c>
      <c r="Q489" s="12"/>
      <c r="R489" s="12"/>
      <c r="S489" s="33">
        <f>ROUND(ROUND(P489, 2)*I489, 2)</f>
        <v>334.6</v>
      </c>
      <c r="T489" s="12"/>
      <c r="U489" s="34"/>
      <c r="V489" s="9">
        <f>ROUND(ROUND(P489, 2)/1.2, 2)</f>
        <v>74</v>
      </c>
      <c r="Y489" s="9">
        <f t="shared" si="107"/>
        <v>278.83</v>
      </c>
      <c r="AD489" s="4" t="s">
        <v>1494</v>
      </c>
      <c r="AE489" s="4" t="s">
        <v>1495</v>
      </c>
      <c r="AF489" s="4" t="s">
        <v>512</v>
      </c>
    </row>
    <row r="490" spans="1:35" ht="36" x14ac:dyDescent="0.3">
      <c r="A490" s="11" t="s">
        <v>1496</v>
      </c>
      <c r="B490" s="11"/>
      <c r="C490" s="30" t="s">
        <v>1476</v>
      </c>
      <c r="D490" s="21"/>
      <c r="E490" s="21"/>
      <c r="F490" s="31" t="s">
        <v>76</v>
      </c>
      <c r="G490" s="32">
        <v>0.3</v>
      </c>
      <c r="H490" s="21"/>
      <c r="I490" s="32">
        <v>11.304</v>
      </c>
      <c r="J490" s="33">
        <v>72.94</v>
      </c>
      <c r="K490" s="12"/>
      <c r="L490" s="12"/>
      <c r="M490" s="33">
        <f>ROUND(ROUND(J490, 2)*I490, 2)</f>
        <v>824.51</v>
      </c>
      <c r="N490" s="12"/>
      <c r="O490" s="12"/>
      <c r="P490" s="33">
        <v>315.24</v>
      </c>
      <c r="Q490" s="12"/>
      <c r="R490" s="12"/>
      <c r="S490" s="33">
        <f>ROUND(ROUND(P490, 2)*I490, 2)</f>
        <v>3563.47</v>
      </c>
      <c r="T490" s="12"/>
      <c r="U490" s="34"/>
      <c r="V490" s="9">
        <f>ROUND(ROUND(P490, 2)/1.2, 2)</f>
        <v>262.7</v>
      </c>
      <c r="Y490" s="9">
        <f t="shared" si="107"/>
        <v>2969.56</v>
      </c>
      <c r="AD490" s="4" t="s">
        <v>1497</v>
      </c>
      <c r="AE490" s="4" t="s">
        <v>1498</v>
      </c>
      <c r="AF490" s="4" t="s">
        <v>1479</v>
      </c>
    </row>
    <row r="491" spans="1:35" ht="54" x14ac:dyDescent="0.3">
      <c r="A491" s="11" t="s">
        <v>1499</v>
      </c>
      <c r="B491" s="11" t="s">
        <v>1500</v>
      </c>
      <c r="C491" s="20" t="s">
        <v>1501</v>
      </c>
      <c r="D491" s="21"/>
      <c r="E491" s="21" t="s">
        <v>1502</v>
      </c>
      <c r="F491" s="21" t="s">
        <v>57</v>
      </c>
      <c r="G491" s="22">
        <v>1</v>
      </c>
      <c r="H491" s="21"/>
      <c r="I491" s="22">
        <v>37.44</v>
      </c>
      <c r="J491" s="23">
        <f>IFERROR(ROUND(SUM(M492,M493,M494)/I491, 2),0)</f>
        <v>243</v>
      </c>
      <c r="K491" s="23">
        <v>1291</v>
      </c>
      <c r="L491" s="23">
        <f>J491+ROUND(K491, 2)</f>
        <v>1534</v>
      </c>
      <c r="M491" s="23">
        <f>ROUND(J491*I491, 2)</f>
        <v>9097.92</v>
      </c>
      <c r="N491" s="23">
        <f>ROUND(I491*ROUND(K491, 2), 2)</f>
        <v>48335.040000000001</v>
      </c>
      <c r="O491" s="23">
        <f>M491+N491</f>
        <v>57432.959999999999</v>
      </c>
      <c r="P491" s="23">
        <f>IFERROR(ROUND(SUM(S492,S493,S494)/I491, 2),0)</f>
        <v>1915</v>
      </c>
      <c r="Q491" s="23">
        <v>1291</v>
      </c>
      <c r="R491" s="23">
        <f>P491+ROUND(Q491, 2)</f>
        <v>3206</v>
      </c>
      <c r="S491" s="23">
        <f>ROUND(P491*I491, 2)</f>
        <v>71697.600000000006</v>
      </c>
      <c r="T491" s="23">
        <f>ROUND(I491*ROUND(Q491, 2), 2)</f>
        <v>48335.040000000001</v>
      </c>
      <c r="U491" s="23">
        <f>S491+T491</f>
        <v>120032.64000000001</v>
      </c>
      <c r="V491" s="9">
        <f>ROUND(P491 / 1.2, 2)</f>
        <v>1595.83</v>
      </c>
      <c r="W491" s="9">
        <f>ROUND(Q491 / 1.2, 2)</f>
        <v>1075.83</v>
      </c>
      <c r="X491" s="9">
        <f>ROUND(R491 / 1.2, 2)</f>
        <v>2671.67</v>
      </c>
      <c r="Y491" s="9">
        <f t="shared" si="107"/>
        <v>59748</v>
      </c>
      <c r="Z491" s="9">
        <f>ROUND(T491 / 1.2, 2)</f>
        <v>40279.199999999997</v>
      </c>
      <c r="AA491" s="9">
        <f>Y491+Z491</f>
        <v>100027.2</v>
      </c>
      <c r="AD491" s="4">
        <v>341534343</v>
      </c>
      <c r="AE491" s="4">
        <v>28274327</v>
      </c>
      <c r="AG491" s="4" t="s">
        <v>1503</v>
      </c>
      <c r="AH491" s="4" t="s">
        <v>1504</v>
      </c>
      <c r="AI491" s="4" t="s">
        <v>241</v>
      </c>
    </row>
    <row r="492" spans="1:35" ht="18" x14ac:dyDescent="0.3">
      <c r="A492" s="11" t="s">
        <v>1505</v>
      </c>
      <c r="B492" s="11"/>
      <c r="C492" s="30" t="s">
        <v>1506</v>
      </c>
      <c r="D492" s="21"/>
      <c r="E492" s="21"/>
      <c r="F492" s="31" t="s">
        <v>98</v>
      </c>
      <c r="G492" s="32">
        <v>1</v>
      </c>
      <c r="H492" s="21"/>
      <c r="I492" s="37">
        <v>22</v>
      </c>
      <c r="J492" s="33">
        <v>81.34</v>
      </c>
      <c r="K492" s="12"/>
      <c r="L492" s="12"/>
      <c r="M492" s="33">
        <f>ROUND(ROUND(J492, 2)*I492, 2)</f>
        <v>1789.48</v>
      </c>
      <c r="N492" s="12"/>
      <c r="O492" s="12"/>
      <c r="P492" s="33">
        <v>81.34</v>
      </c>
      <c r="Q492" s="12"/>
      <c r="R492" s="12"/>
      <c r="S492" s="33">
        <f>ROUND(ROUND(P492, 2)*I492, 2)</f>
        <v>1789.48</v>
      </c>
      <c r="T492" s="12"/>
      <c r="U492" s="34"/>
      <c r="V492" s="9">
        <f>ROUND(ROUND(P492, 2)/1.2, 2)</f>
        <v>67.78</v>
      </c>
      <c r="Y492" s="9">
        <f t="shared" si="107"/>
        <v>1491.23</v>
      </c>
      <c r="AD492" s="4" t="s">
        <v>1507</v>
      </c>
      <c r="AE492" s="4" t="s">
        <v>1508</v>
      </c>
      <c r="AF492" s="4" t="s">
        <v>1509</v>
      </c>
    </row>
    <row r="493" spans="1:35" ht="18" x14ac:dyDescent="0.3">
      <c r="A493" s="11" t="s">
        <v>1510</v>
      </c>
      <c r="B493" s="11"/>
      <c r="C493" s="30" t="s">
        <v>181</v>
      </c>
      <c r="D493" s="21"/>
      <c r="E493" s="21"/>
      <c r="F493" s="31" t="s">
        <v>123</v>
      </c>
      <c r="G493" s="32">
        <v>1</v>
      </c>
      <c r="H493" s="21"/>
      <c r="I493" s="37">
        <v>201</v>
      </c>
      <c r="J493" s="33">
        <v>36.36</v>
      </c>
      <c r="K493" s="12"/>
      <c r="L493" s="12"/>
      <c r="M493" s="33">
        <f>ROUND(ROUND(J493, 2)*I493, 2)</f>
        <v>7308.36</v>
      </c>
      <c r="N493" s="12"/>
      <c r="O493" s="12"/>
      <c r="P493" s="33">
        <v>36.36</v>
      </c>
      <c r="Q493" s="12"/>
      <c r="R493" s="12"/>
      <c r="S493" s="33">
        <f>ROUND(ROUND(P493, 2)*I493, 2)</f>
        <v>7308.36</v>
      </c>
      <c r="T493" s="12"/>
      <c r="U493" s="34"/>
      <c r="V493" s="9">
        <f>ROUND(ROUND(P493, 2)/1.2, 2)</f>
        <v>30.3</v>
      </c>
      <c r="Y493" s="9">
        <f t="shared" si="107"/>
        <v>6090.3</v>
      </c>
      <c r="AD493" s="4" t="s">
        <v>1511</v>
      </c>
      <c r="AE493" s="4" t="s">
        <v>1512</v>
      </c>
      <c r="AF493" s="4" t="s">
        <v>184</v>
      </c>
    </row>
    <row r="494" spans="1:35" ht="18" x14ac:dyDescent="0.3">
      <c r="A494" s="11" t="s">
        <v>1513</v>
      </c>
      <c r="B494" s="11"/>
      <c r="C494" s="30" t="s">
        <v>1514</v>
      </c>
      <c r="D494" s="21"/>
      <c r="E494" s="21"/>
      <c r="F494" s="31" t="s">
        <v>57</v>
      </c>
      <c r="G494" s="32">
        <v>1.1000000000000001</v>
      </c>
      <c r="H494" s="21"/>
      <c r="I494" s="32">
        <v>41.183999999999997</v>
      </c>
      <c r="J494" s="33">
        <v>0</v>
      </c>
      <c r="K494" s="12"/>
      <c r="L494" s="12"/>
      <c r="M494" s="33">
        <f>ROUND(ROUND(J494, 2)*I494, 2)</f>
        <v>0</v>
      </c>
      <c r="N494" s="12"/>
      <c r="O494" s="12"/>
      <c r="P494" s="33">
        <v>1520</v>
      </c>
      <c r="Q494" s="12"/>
      <c r="R494" s="12"/>
      <c r="S494" s="33">
        <f>ROUND(ROUND(P494, 2)*I494, 2)</f>
        <v>62599.68</v>
      </c>
      <c r="T494" s="12"/>
      <c r="U494" s="34"/>
      <c r="V494" s="9">
        <f>ROUND(ROUND(P494, 2)/1.2, 2)</f>
        <v>1266.67</v>
      </c>
      <c r="Y494" s="9">
        <f t="shared" si="107"/>
        <v>52166.400000000001</v>
      </c>
      <c r="AD494" s="4" t="s">
        <v>1515</v>
      </c>
      <c r="AE494" s="4" t="s">
        <v>1516</v>
      </c>
      <c r="AF494" s="4" t="s">
        <v>1517</v>
      </c>
    </row>
    <row r="495" spans="1:35" ht="36" x14ac:dyDescent="0.3">
      <c r="A495" s="11" t="s">
        <v>1518</v>
      </c>
      <c r="B495" s="11" t="s">
        <v>1519</v>
      </c>
      <c r="C495" s="20" t="s">
        <v>1520</v>
      </c>
      <c r="D495" s="21"/>
      <c r="E495" s="21" t="s">
        <v>1472</v>
      </c>
      <c r="F495" s="21" t="s">
        <v>57</v>
      </c>
      <c r="G495" s="22">
        <v>1</v>
      </c>
      <c r="H495" s="21"/>
      <c r="I495" s="22">
        <v>25.45</v>
      </c>
      <c r="J495" s="23">
        <f>IFERROR(ROUND(SUM(M496,M497,M498,M499,M500,M501)/I495, 2),0)</f>
        <v>892.1</v>
      </c>
      <c r="K495" s="23">
        <v>1422</v>
      </c>
      <c r="L495" s="23">
        <f>J495+ROUND(K495, 2)</f>
        <v>2314.1</v>
      </c>
      <c r="M495" s="23">
        <f>ROUND(J495*I495, 2)</f>
        <v>22703.95</v>
      </c>
      <c r="N495" s="23">
        <f>ROUND(I495*ROUND(K495, 2), 2)</f>
        <v>36189.9</v>
      </c>
      <c r="O495" s="23">
        <f>M495+N495</f>
        <v>58893.850000000006</v>
      </c>
      <c r="P495" s="23">
        <f>IFERROR(ROUND(SUM(S496,S497,S498,S499,S500,S501)/I495, 2),0)</f>
        <v>878.74</v>
      </c>
      <c r="Q495" s="23">
        <v>1422</v>
      </c>
      <c r="R495" s="23">
        <f>P495+ROUND(Q495, 2)</f>
        <v>2300.7399999999998</v>
      </c>
      <c r="S495" s="23">
        <f>ROUND(P495*I495, 2)</f>
        <v>22363.93</v>
      </c>
      <c r="T495" s="23">
        <f>ROUND(I495*ROUND(Q495, 2), 2)</f>
        <v>36189.9</v>
      </c>
      <c r="U495" s="23">
        <f>S495+T495</f>
        <v>58553.83</v>
      </c>
      <c r="V495" s="9">
        <f>ROUND(P495 / 1.2, 2)</f>
        <v>732.28</v>
      </c>
      <c r="W495" s="9">
        <f>ROUND(Q495 / 1.2, 2)</f>
        <v>1185</v>
      </c>
      <c r="X495" s="9">
        <f>ROUND(R495 / 1.2, 2)</f>
        <v>1917.28</v>
      </c>
      <c r="Y495" s="9">
        <f t="shared" si="107"/>
        <v>18636.61</v>
      </c>
      <c r="Z495" s="9">
        <f>ROUND(T495 / 1.2, 2)</f>
        <v>30158.25</v>
      </c>
      <c r="AA495" s="9">
        <f>Y495+Z495</f>
        <v>48794.86</v>
      </c>
      <c r="AD495" s="4">
        <v>341534345</v>
      </c>
      <c r="AE495" s="4">
        <v>28274326</v>
      </c>
      <c r="AG495" s="4" t="s">
        <v>1521</v>
      </c>
      <c r="AH495" s="4" t="s">
        <v>1522</v>
      </c>
      <c r="AI495" s="4" t="s">
        <v>241</v>
      </c>
    </row>
    <row r="496" spans="1:35" ht="18" x14ac:dyDescent="0.3">
      <c r="A496" s="11" t="s">
        <v>1523</v>
      </c>
      <c r="B496" s="11"/>
      <c r="C496" s="30" t="s">
        <v>1524</v>
      </c>
      <c r="D496" s="21"/>
      <c r="E496" s="21"/>
      <c r="F496" s="31" t="s">
        <v>98</v>
      </c>
      <c r="G496" s="32">
        <v>44</v>
      </c>
      <c r="H496" s="21"/>
      <c r="I496" s="32">
        <v>1119.8</v>
      </c>
      <c r="J496" s="33">
        <v>0.96</v>
      </c>
      <c r="K496" s="12"/>
      <c r="L496" s="12"/>
      <c r="M496" s="33">
        <f t="shared" ref="M496:M501" si="108">ROUND(ROUND(J496, 2)*I496, 2)</f>
        <v>1075.01</v>
      </c>
      <c r="N496" s="12"/>
      <c r="O496" s="12"/>
      <c r="P496" s="33">
        <v>0.96</v>
      </c>
      <c r="Q496" s="12"/>
      <c r="R496" s="12"/>
      <c r="S496" s="33">
        <f t="shared" ref="S496:S501" si="109">ROUND(ROUND(P496, 2)*I496, 2)</f>
        <v>1075.01</v>
      </c>
      <c r="T496" s="12"/>
      <c r="U496" s="34"/>
      <c r="V496" s="9">
        <f t="shared" ref="V496:V501" si="110">ROUND(ROUND(P496, 2)/1.2, 2)</f>
        <v>0.8</v>
      </c>
      <c r="Y496" s="9">
        <f t="shared" si="107"/>
        <v>895.84</v>
      </c>
      <c r="AD496" s="4" t="s">
        <v>1525</v>
      </c>
      <c r="AE496" s="4" t="s">
        <v>1526</v>
      </c>
      <c r="AF496" s="4" t="s">
        <v>1527</v>
      </c>
    </row>
    <row r="497" spans="1:35" ht="18" x14ac:dyDescent="0.3">
      <c r="A497" s="11" t="s">
        <v>1528</v>
      </c>
      <c r="B497" s="11"/>
      <c r="C497" s="30" t="s">
        <v>1529</v>
      </c>
      <c r="D497" s="21"/>
      <c r="E497" s="21"/>
      <c r="F497" s="31" t="s">
        <v>76</v>
      </c>
      <c r="G497" s="32">
        <v>0.35</v>
      </c>
      <c r="H497" s="21"/>
      <c r="I497" s="32">
        <v>8.9079999999999995</v>
      </c>
      <c r="J497" s="33">
        <v>55.91</v>
      </c>
      <c r="K497" s="12"/>
      <c r="L497" s="12"/>
      <c r="M497" s="33">
        <f t="shared" si="108"/>
        <v>498.05</v>
      </c>
      <c r="N497" s="12"/>
      <c r="O497" s="12"/>
      <c r="P497" s="33">
        <v>55.91</v>
      </c>
      <c r="Q497" s="12"/>
      <c r="R497" s="12"/>
      <c r="S497" s="33">
        <f t="shared" si="109"/>
        <v>498.05</v>
      </c>
      <c r="T497" s="12"/>
      <c r="U497" s="34"/>
      <c r="V497" s="9">
        <f t="shared" si="110"/>
        <v>46.59</v>
      </c>
      <c r="Y497" s="9">
        <f t="shared" si="107"/>
        <v>415.04</v>
      </c>
      <c r="AD497" s="4" t="s">
        <v>1530</v>
      </c>
      <c r="AE497" s="4" t="s">
        <v>1531</v>
      </c>
      <c r="AF497" s="4" t="s">
        <v>1532</v>
      </c>
    </row>
    <row r="498" spans="1:35" ht="18" x14ac:dyDescent="0.3">
      <c r="A498" s="11" t="s">
        <v>1533</v>
      </c>
      <c r="B498" s="11"/>
      <c r="C498" s="30" t="s">
        <v>1506</v>
      </c>
      <c r="D498" s="21"/>
      <c r="E498" s="21"/>
      <c r="F498" s="31" t="s">
        <v>98</v>
      </c>
      <c r="G498" s="32">
        <v>2.2200000000000002</v>
      </c>
      <c r="H498" s="21"/>
      <c r="I498" s="32">
        <v>56.499000000000002</v>
      </c>
      <c r="J498" s="33">
        <v>81.34</v>
      </c>
      <c r="K498" s="12"/>
      <c r="L498" s="12"/>
      <c r="M498" s="33">
        <f t="shared" si="108"/>
        <v>4595.63</v>
      </c>
      <c r="N498" s="12"/>
      <c r="O498" s="12"/>
      <c r="P498" s="33">
        <v>81.34</v>
      </c>
      <c r="Q498" s="12"/>
      <c r="R498" s="12"/>
      <c r="S498" s="33">
        <f t="shared" si="109"/>
        <v>4595.63</v>
      </c>
      <c r="T498" s="12"/>
      <c r="U498" s="34"/>
      <c r="V498" s="9">
        <f t="shared" si="110"/>
        <v>67.78</v>
      </c>
      <c r="Y498" s="9">
        <f t="shared" si="107"/>
        <v>3829.69</v>
      </c>
      <c r="AD498" s="4" t="s">
        <v>1534</v>
      </c>
      <c r="AE498" s="4" t="s">
        <v>1535</v>
      </c>
      <c r="AF498" s="4" t="s">
        <v>1509</v>
      </c>
    </row>
    <row r="499" spans="1:35" ht="36" x14ac:dyDescent="0.3">
      <c r="A499" s="11" t="s">
        <v>1536</v>
      </c>
      <c r="B499" s="11"/>
      <c r="C499" s="35" t="s">
        <v>1537</v>
      </c>
      <c r="D499" s="21"/>
      <c r="E499" s="21"/>
      <c r="F499" s="31" t="s">
        <v>123</v>
      </c>
      <c r="G499" s="32">
        <v>13.5</v>
      </c>
      <c r="H499" s="21"/>
      <c r="I499" s="32">
        <v>343.57499999999999</v>
      </c>
      <c r="J499" s="33">
        <v>35.11</v>
      </c>
      <c r="K499" s="12"/>
      <c r="L499" s="12"/>
      <c r="M499" s="33">
        <f t="shared" si="108"/>
        <v>12062.92</v>
      </c>
      <c r="N499" s="12"/>
      <c r="O499" s="12"/>
      <c r="P499" s="33">
        <v>34.119999999999997</v>
      </c>
      <c r="Q499" s="12"/>
      <c r="R499" s="12"/>
      <c r="S499" s="33">
        <f t="shared" si="109"/>
        <v>11722.78</v>
      </c>
      <c r="T499" s="12"/>
      <c r="U499" s="34"/>
      <c r="V499" s="9">
        <f t="shared" si="110"/>
        <v>28.43</v>
      </c>
      <c r="Y499" s="9">
        <f t="shared" si="107"/>
        <v>9768.98</v>
      </c>
      <c r="AD499" s="4" t="s">
        <v>1538</v>
      </c>
      <c r="AE499" s="4" t="s">
        <v>1539</v>
      </c>
      <c r="AF499" s="4" t="s">
        <v>1540</v>
      </c>
    </row>
    <row r="500" spans="1:35" ht="18" x14ac:dyDescent="0.3">
      <c r="A500" s="11" t="s">
        <v>1541</v>
      </c>
      <c r="B500" s="11"/>
      <c r="C500" s="30" t="s">
        <v>1542</v>
      </c>
      <c r="D500" s="21"/>
      <c r="E500" s="21"/>
      <c r="F500" s="31" t="s">
        <v>98</v>
      </c>
      <c r="G500" s="32">
        <v>33.75</v>
      </c>
      <c r="H500" s="21"/>
      <c r="I500" s="32">
        <v>858.93799999999999</v>
      </c>
      <c r="J500" s="33">
        <v>0.92</v>
      </c>
      <c r="K500" s="12"/>
      <c r="L500" s="12"/>
      <c r="M500" s="33">
        <f t="shared" si="108"/>
        <v>790.22</v>
      </c>
      <c r="N500" s="12"/>
      <c r="O500" s="12"/>
      <c r="P500" s="33">
        <v>0.92</v>
      </c>
      <c r="Q500" s="12"/>
      <c r="R500" s="12"/>
      <c r="S500" s="33">
        <f t="shared" si="109"/>
        <v>790.22</v>
      </c>
      <c r="T500" s="12"/>
      <c r="U500" s="34"/>
      <c r="V500" s="9">
        <f t="shared" si="110"/>
        <v>0.77</v>
      </c>
      <c r="Y500" s="9">
        <f t="shared" si="107"/>
        <v>658.52</v>
      </c>
      <c r="AD500" s="4" t="s">
        <v>1543</v>
      </c>
      <c r="AE500" s="4" t="s">
        <v>1544</v>
      </c>
      <c r="AF500" s="4" t="s">
        <v>1545</v>
      </c>
    </row>
    <row r="501" spans="1:35" ht="36" x14ac:dyDescent="0.3">
      <c r="A501" s="11" t="s">
        <v>1546</v>
      </c>
      <c r="B501" s="11"/>
      <c r="C501" s="30" t="s">
        <v>117</v>
      </c>
      <c r="D501" s="21"/>
      <c r="E501" s="21"/>
      <c r="F501" s="31" t="s">
        <v>57</v>
      </c>
      <c r="G501" s="32">
        <v>1.05</v>
      </c>
      <c r="H501" s="21"/>
      <c r="I501" s="32">
        <v>26.722999999999999</v>
      </c>
      <c r="J501" s="33">
        <v>137.79</v>
      </c>
      <c r="K501" s="12"/>
      <c r="L501" s="12"/>
      <c r="M501" s="33">
        <f t="shared" si="108"/>
        <v>3682.16</v>
      </c>
      <c r="N501" s="12"/>
      <c r="O501" s="12"/>
      <c r="P501" s="33">
        <v>137.79</v>
      </c>
      <c r="Q501" s="12"/>
      <c r="R501" s="12"/>
      <c r="S501" s="33">
        <f t="shared" si="109"/>
        <v>3682.16</v>
      </c>
      <c r="T501" s="12"/>
      <c r="U501" s="34"/>
      <c r="V501" s="9">
        <f t="shared" si="110"/>
        <v>114.83</v>
      </c>
      <c r="Y501" s="9">
        <f t="shared" si="107"/>
        <v>3068.47</v>
      </c>
      <c r="AD501" s="4" t="s">
        <v>1547</v>
      </c>
      <c r="AE501" s="4" t="s">
        <v>1548</v>
      </c>
      <c r="AF501" s="4" t="s">
        <v>120</v>
      </c>
    </row>
    <row r="502" spans="1:35" ht="36" x14ac:dyDescent="0.3">
      <c r="A502" s="11" t="s">
        <v>1549</v>
      </c>
      <c r="B502" s="11" t="s">
        <v>1519</v>
      </c>
      <c r="C502" s="20" t="s">
        <v>1520</v>
      </c>
      <c r="D502" s="21"/>
      <c r="E502" s="21" t="s">
        <v>1484</v>
      </c>
      <c r="F502" s="21" t="s">
        <v>57</v>
      </c>
      <c r="G502" s="22">
        <v>1</v>
      </c>
      <c r="H502" s="21"/>
      <c r="I502" s="22">
        <v>2.5499999999999998</v>
      </c>
      <c r="J502" s="23">
        <f>IFERROR(ROUND(SUM(M503,M504,M505,M506,M507,M508)/I502, 2),0)</f>
        <v>892.14</v>
      </c>
      <c r="K502" s="23">
        <v>1422</v>
      </c>
      <c r="L502" s="23">
        <f>J502+ROUND(K502, 2)</f>
        <v>2314.14</v>
      </c>
      <c r="M502" s="23">
        <f>ROUND(J502*I502, 2)</f>
        <v>2274.96</v>
      </c>
      <c r="N502" s="23">
        <f>ROUND(I502*ROUND(K502, 2), 2)</f>
        <v>3626.1</v>
      </c>
      <c r="O502" s="23">
        <f>M502+N502</f>
        <v>5901.0599999999995</v>
      </c>
      <c r="P502" s="23">
        <f>IFERROR(ROUND(SUM(S503,S504,S505,S506,S507,S508)/I502, 2),0)</f>
        <v>878.77</v>
      </c>
      <c r="Q502" s="23">
        <v>1422</v>
      </c>
      <c r="R502" s="23">
        <f>P502+ROUND(Q502, 2)</f>
        <v>2300.77</v>
      </c>
      <c r="S502" s="23">
        <f>ROUND(P502*I502, 2)</f>
        <v>2240.86</v>
      </c>
      <c r="T502" s="23">
        <f>ROUND(I502*ROUND(Q502, 2), 2)</f>
        <v>3626.1</v>
      </c>
      <c r="U502" s="23">
        <f>S502+T502</f>
        <v>5866.96</v>
      </c>
      <c r="V502" s="9">
        <f>ROUND(P502 / 1.2, 2)</f>
        <v>732.31</v>
      </c>
      <c r="W502" s="9">
        <f>ROUND(Q502 / 1.2, 2)</f>
        <v>1185</v>
      </c>
      <c r="X502" s="9">
        <f>ROUND(R502 / 1.2, 2)</f>
        <v>1917.31</v>
      </c>
      <c r="Y502" s="9">
        <f t="shared" si="107"/>
        <v>1867.38</v>
      </c>
      <c r="Z502" s="9">
        <f>ROUND(T502 / 1.2, 2)</f>
        <v>3021.75</v>
      </c>
      <c r="AA502" s="9">
        <f>Y502+Z502</f>
        <v>4889.13</v>
      </c>
      <c r="AD502" s="4">
        <v>341534420</v>
      </c>
      <c r="AE502" s="4">
        <v>28274325</v>
      </c>
      <c r="AG502" s="4" t="s">
        <v>1521</v>
      </c>
      <c r="AH502" s="4" t="s">
        <v>1522</v>
      </c>
      <c r="AI502" s="4" t="s">
        <v>241</v>
      </c>
    </row>
    <row r="503" spans="1:35" ht="36" x14ac:dyDescent="0.3">
      <c r="A503" s="11" t="s">
        <v>1550</v>
      </c>
      <c r="B503" s="11"/>
      <c r="C503" s="30" t="s">
        <v>117</v>
      </c>
      <c r="D503" s="21"/>
      <c r="E503" s="21"/>
      <c r="F503" s="31" t="s">
        <v>57</v>
      </c>
      <c r="G503" s="32">
        <v>1.05</v>
      </c>
      <c r="H503" s="21"/>
      <c r="I503" s="32">
        <v>2.6779999999999999</v>
      </c>
      <c r="J503" s="33">
        <v>137.79</v>
      </c>
      <c r="K503" s="12"/>
      <c r="L503" s="12"/>
      <c r="M503" s="33">
        <f t="shared" ref="M503:M508" si="111">ROUND(ROUND(J503, 2)*I503, 2)</f>
        <v>369</v>
      </c>
      <c r="N503" s="12"/>
      <c r="O503" s="12"/>
      <c r="P503" s="33">
        <v>137.79</v>
      </c>
      <c r="Q503" s="12"/>
      <c r="R503" s="12"/>
      <c r="S503" s="33">
        <f t="shared" ref="S503:S508" si="112">ROUND(ROUND(P503, 2)*I503, 2)</f>
        <v>369</v>
      </c>
      <c r="T503" s="12"/>
      <c r="U503" s="34"/>
      <c r="V503" s="9">
        <f t="shared" ref="V503:V508" si="113">ROUND(ROUND(P503, 2)/1.2, 2)</f>
        <v>114.83</v>
      </c>
      <c r="Y503" s="9">
        <f t="shared" si="107"/>
        <v>307.5</v>
      </c>
      <c r="AD503" s="4" t="s">
        <v>1551</v>
      </c>
      <c r="AE503" s="4" t="s">
        <v>1552</v>
      </c>
      <c r="AF503" s="4" t="s">
        <v>120</v>
      </c>
    </row>
    <row r="504" spans="1:35" ht="18" x14ac:dyDescent="0.3">
      <c r="A504" s="11" t="s">
        <v>1553</v>
      </c>
      <c r="B504" s="11"/>
      <c r="C504" s="30" t="s">
        <v>1542</v>
      </c>
      <c r="D504" s="21"/>
      <c r="E504" s="21"/>
      <c r="F504" s="31" t="s">
        <v>98</v>
      </c>
      <c r="G504" s="32">
        <v>33.75</v>
      </c>
      <c r="H504" s="21"/>
      <c r="I504" s="32">
        <v>86.063000000000002</v>
      </c>
      <c r="J504" s="33">
        <v>0.92</v>
      </c>
      <c r="K504" s="12"/>
      <c r="L504" s="12"/>
      <c r="M504" s="33">
        <f t="shared" si="111"/>
        <v>79.180000000000007</v>
      </c>
      <c r="N504" s="12"/>
      <c r="O504" s="12"/>
      <c r="P504" s="33">
        <v>0.92</v>
      </c>
      <c r="Q504" s="12"/>
      <c r="R504" s="12"/>
      <c r="S504" s="33">
        <f t="shared" si="112"/>
        <v>79.180000000000007</v>
      </c>
      <c r="T504" s="12"/>
      <c r="U504" s="34"/>
      <c r="V504" s="9">
        <f t="shared" si="113"/>
        <v>0.77</v>
      </c>
      <c r="Y504" s="9">
        <f t="shared" si="107"/>
        <v>65.98</v>
      </c>
      <c r="AD504" s="4" t="s">
        <v>1554</v>
      </c>
      <c r="AE504" s="4" t="s">
        <v>1555</v>
      </c>
      <c r="AF504" s="4" t="s">
        <v>1545</v>
      </c>
    </row>
    <row r="505" spans="1:35" ht="36" x14ac:dyDescent="0.3">
      <c r="A505" s="11" t="s">
        <v>1556</v>
      </c>
      <c r="B505" s="11"/>
      <c r="C505" s="35" t="s">
        <v>1537</v>
      </c>
      <c r="D505" s="21"/>
      <c r="E505" s="21"/>
      <c r="F505" s="31" t="s">
        <v>123</v>
      </c>
      <c r="G505" s="32">
        <v>13.5</v>
      </c>
      <c r="H505" s="21"/>
      <c r="I505" s="32">
        <v>34.424999999999997</v>
      </c>
      <c r="J505" s="33">
        <v>35.11</v>
      </c>
      <c r="K505" s="12"/>
      <c r="L505" s="12"/>
      <c r="M505" s="33">
        <f t="shared" si="111"/>
        <v>1208.6600000000001</v>
      </c>
      <c r="N505" s="12"/>
      <c r="O505" s="12"/>
      <c r="P505" s="33">
        <v>34.119999999999997</v>
      </c>
      <c r="Q505" s="12"/>
      <c r="R505" s="12"/>
      <c r="S505" s="33">
        <f t="shared" si="112"/>
        <v>1174.58</v>
      </c>
      <c r="T505" s="12"/>
      <c r="U505" s="34"/>
      <c r="V505" s="9">
        <f t="shared" si="113"/>
        <v>28.43</v>
      </c>
      <c r="Y505" s="9">
        <f t="shared" si="107"/>
        <v>978.82</v>
      </c>
      <c r="AD505" s="4" t="s">
        <v>1557</v>
      </c>
      <c r="AE505" s="4" t="s">
        <v>1558</v>
      </c>
      <c r="AF505" s="4" t="s">
        <v>1540</v>
      </c>
    </row>
    <row r="506" spans="1:35" ht="18" x14ac:dyDescent="0.3">
      <c r="A506" s="11" t="s">
        <v>1559</v>
      </c>
      <c r="B506" s="11"/>
      <c r="C506" s="30" t="s">
        <v>1506</v>
      </c>
      <c r="D506" s="21"/>
      <c r="E506" s="21"/>
      <c r="F506" s="31" t="s">
        <v>98</v>
      </c>
      <c r="G506" s="32">
        <v>2.2200000000000002</v>
      </c>
      <c r="H506" s="21"/>
      <c r="I506" s="32">
        <v>5.6609999999999996</v>
      </c>
      <c r="J506" s="33">
        <v>81.34</v>
      </c>
      <c r="K506" s="12"/>
      <c r="L506" s="12"/>
      <c r="M506" s="33">
        <f t="shared" si="111"/>
        <v>460.47</v>
      </c>
      <c r="N506" s="12"/>
      <c r="O506" s="12"/>
      <c r="P506" s="33">
        <v>81.34</v>
      </c>
      <c r="Q506" s="12"/>
      <c r="R506" s="12"/>
      <c r="S506" s="33">
        <f t="shared" si="112"/>
        <v>460.47</v>
      </c>
      <c r="T506" s="12"/>
      <c r="U506" s="34"/>
      <c r="V506" s="9">
        <f t="shared" si="113"/>
        <v>67.78</v>
      </c>
      <c r="Y506" s="9">
        <f t="shared" si="107"/>
        <v>383.73</v>
      </c>
      <c r="AD506" s="4" t="s">
        <v>1560</v>
      </c>
      <c r="AE506" s="4" t="s">
        <v>1561</v>
      </c>
      <c r="AF506" s="4" t="s">
        <v>1509</v>
      </c>
    </row>
    <row r="507" spans="1:35" ht="18" x14ac:dyDescent="0.3">
      <c r="A507" s="11" t="s">
        <v>1562</v>
      </c>
      <c r="B507" s="11"/>
      <c r="C507" s="30" t="s">
        <v>1529</v>
      </c>
      <c r="D507" s="21"/>
      <c r="E507" s="21"/>
      <c r="F507" s="31" t="s">
        <v>76</v>
      </c>
      <c r="G507" s="32">
        <v>0.35</v>
      </c>
      <c r="H507" s="21"/>
      <c r="I507" s="32">
        <v>0.89300000000000002</v>
      </c>
      <c r="J507" s="33">
        <v>55.91</v>
      </c>
      <c r="K507" s="12"/>
      <c r="L507" s="12"/>
      <c r="M507" s="33">
        <f t="shared" si="111"/>
        <v>49.93</v>
      </c>
      <c r="N507" s="12"/>
      <c r="O507" s="12"/>
      <c r="P507" s="33">
        <v>55.91</v>
      </c>
      <c r="Q507" s="12"/>
      <c r="R507" s="12"/>
      <c r="S507" s="33">
        <f t="shared" si="112"/>
        <v>49.93</v>
      </c>
      <c r="T507" s="12"/>
      <c r="U507" s="34"/>
      <c r="V507" s="9">
        <f t="shared" si="113"/>
        <v>46.59</v>
      </c>
      <c r="Y507" s="9">
        <f t="shared" si="107"/>
        <v>41.61</v>
      </c>
      <c r="AD507" s="4" t="s">
        <v>1563</v>
      </c>
      <c r="AE507" s="4" t="s">
        <v>1564</v>
      </c>
      <c r="AF507" s="4" t="s">
        <v>1532</v>
      </c>
    </row>
    <row r="508" spans="1:35" ht="18" x14ac:dyDescent="0.3">
      <c r="A508" s="11" t="s">
        <v>1565</v>
      </c>
      <c r="B508" s="11"/>
      <c r="C508" s="30" t="s">
        <v>1524</v>
      </c>
      <c r="D508" s="21"/>
      <c r="E508" s="21"/>
      <c r="F508" s="31" t="s">
        <v>98</v>
      </c>
      <c r="G508" s="32">
        <v>44</v>
      </c>
      <c r="H508" s="21"/>
      <c r="I508" s="32">
        <v>112.2</v>
      </c>
      <c r="J508" s="33">
        <v>0.96</v>
      </c>
      <c r="K508" s="12"/>
      <c r="L508" s="12"/>
      <c r="M508" s="33">
        <f t="shared" si="111"/>
        <v>107.71</v>
      </c>
      <c r="N508" s="12"/>
      <c r="O508" s="12"/>
      <c r="P508" s="33">
        <v>0.96</v>
      </c>
      <c r="Q508" s="12"/>
      <c r="R508" s="12"/>
      <c r="S508" s="33">
        <f t="shared" si="112"/>
        <v>107.71</v>
      </c>
      <c r="T508" s="12"/>
      <c r="U508" s="34"/>
      <c r="V508" s="9">
        <f t="shared" si="113"/>
        <v>0.8</v>
      </c>
      <c r="Y508" s="9">
        <f t="shared" si="107"/>
        <v>89.76</v>
      </c>
      <c r="AD508" s="4" t="s">
        <v>1566</v>
      </c>
      <c r="AE508" s="4" t="s">
        <v>1567</v>
      </c>
      <c r="AF508" s="4" t="s">
        <v>1527</v>
      </c>
    </row>
    <row r="509" spans="1:35" ht="16.95" customHeight="1" x14ac:dyDescent="0.3">
      <c r="A509" s="10" t="s">
        <v>1568</v>
      </c>
      <c r="B509" s="10" t="s">
        <v>1569</v>
      </c>
      <c r="C509" s="121" t="s">
        <v>1570</v>
      </c>
      <c r="D509" s="122"/>
      <c r="E509" s="122"/>
      <c r="F509" s="122"/>
      <c r="G509" s="122"/>
      <c r="H509" s="122"/>
      <c r="I509" s="123"/>
      <c r="M509" s="6">
        <f>SUM(M510,M553)</f>
        <v>642121.26</v>
      </c>
      <c r="N509" s="6">
        <f>SUM(N510,N553)</f>
        <v>4843200.9600000009</v>
      </c>
      <c r="O509" s="6">
        <f>SUM(O510,O553)</f>
        <v>5485322.2199999997</v>
      </c>
      <c r="S509" s="6">
        <f>SUM(S510,S553)</f>
        <v>561691.89000000013</v>
      </c>
      <c r="T509" s="6">
        <f>SUM(T510,T553)</f>
        <v>4843200.9600000009</v>
      </c>
      <c r="U509" s="6">
        <f>SUM(U510,U553)</f>
        <v>5404892.8499999996</v>
      </c>
      <c r="Y509" s="9">
        <f>SUM(Y510,Y553)</f>
        <v>468076.57000000007</v>
      </c>
      <c r="Z509" s="9">
        <f>SUM(Z510,Z553)</f>
        <v>4036000.7900000005</v>
      </c>
      <c r="AA509" s="9">
        <f>SUM(AA510,AA553)</f>
        <v>4504077.3600000003</v>
      </c>
      <c r="AD509" s="4">
        <v>341534346</v>
      </c>
      <c r="AE509" s="4">
        <v>25837338</v>
      </c>
    </row>
    <row r="510" spans="1:35" ht="16.95" customHeight="1" x14ac:dyDescent="0.3">
      <c r="A510" s="10" t="s">
        <v>1571</v>
      </c>
      <c r="B510" s="10" t="s">
        <v>1572</v>
      </c>
      <c r="C510" s="121" t="s">
        <v>1573</v>
      </c>
      <c r="D510" s="122"/>
      <c r="E510" s="122"/>
      <c r="F510" s="122"/>
      <c r="G510" s="122"/>
      <c r="H510" s="122"/>
      <c r="I510" s="123"/>
      <c r="M510" s="6">
        <f>SUM(M511,M514,M517,M520,M526,M532,M538,M544,M547,M550)</f>
        <v>481977.29000000004</v>
      </c>
      <c r="N510" s="6">
        <f>SUM(N511,N514,N517,N520,N526,N532,N538,N544,N547,N550)</f>
        <v>3954540.6000000006</v>
      </c>
      <c r="O510" s="6">
        <f>SUM(O511,O514,O517,O520,O526,O532,O538,O544,O547,O550)</f>
        <v>4436517.8899999997</v>
      </c>
      <c r="S510" s="6">
        <f>SUM(S511,S514,S517,S520,S526,S532,S538,S544,S547,S550)</f>
        <v>364672.31000000006</v>
      </c>
      <c r="T510" s="6">
        <f>SUM(T511,T514,T517,T520,T526,T532,T538,T544,T547,T550)</f>
        <v>3954540.6000000006</v>
      </c>
      <c r="U510" s="6">
        <f>SUM(U511,U514,U517,U520,U526,U532,U538,U544,U547,U550)</f>
        <v>4319212.91</v>
      </c>
      <c r="Y510" s="9">
        <f>SUM(Y511,Y514,Y517,Y520,Y526,Y532,Y538,Y544,Y547,Y550)</f>
        <v>303893.58</v>
      </c>
      <c r="Z510" s="9">
        <f>SUM(Z511,Z514,Z517,Z520,Z526,Z532,Z538,Z544,Z547,Z550)</f>
        <v>3295450.5000000005</v>
      </c>
      <c r="AA510" s="9">
        <f>SUM(AA511,AA514,AA517,AA520,AA526,AA532,AA538,AA544,AA547,AA550)</f>
        <v>3599344.08</v>
      </c>
      <c r="AD510" s="4">
        <v>341534347</v>
      </c>
      <c r="AE510" s="4">
        <v>25837352</v>
      </c>
    </row>
    <row r="511" spans="1:35" ht="36" x14ac:dyDescent="0.3">
      <c r="A511" s="10" t="s">
        <v>1574</v>
      </c>
      <c r="B511" s="10" t="s">
        <v>1575</v>
      </c>
      <c r="C511" s="14" t="s">
        <v>1576</v>
      </c>
      <c r="D511" s="15"/>
      <c r="E511" s="15" t="s">
        <v>1577</v>
      </c>
      <c r="F511" s="15" t="s">
        <v>57</v>
      </c>
      <c r="G511" s="16">
        <v>1</v>
      </c>
      <c r="H511" s="15"/>
      <c r="I511" s="16">
        <v>897.5</v>
      </c>
      <c r="J511" s="17">
        <v>130</v>
      </c>
      <c r="K511" s="18">
        <v>718</v>
      </c>
      <c r="L511" s="17">
        <f>J511+ROUND(K511, 2)</f>
        <v>848</v>
      </c>
      <c r="M511" s="17">
        <v>116675</v>
      </c>
      <c r="N511" s="17">
        <v>644405</v>
      </c>
      <c r="O511" s="17">
        <f>M511+N511</f>
        <v>761080</v>
      </c>
      <c r="P511" s="17">
        <v>130</v>
      </c>
      <c r="Q511" s="19">
        <v>718</v>
      </c>
      <c r="R511" s="17">
        <f>P511+ROUND(Q511, 2)</f>
        <v>848</v>
      </c>
      <c r="S511" s="17">
        <v>116675</v>
      </c>
      <c r="T511" s="17">
        <v>644405</v>
      </c>
      <c r="U511" s="17">
        <f>S511+T511</f>
        <v>761080</v>
      </c>
      <c r="V511" s="9">
        <f>ROUND(P511 / 1.2, 2)</f>
        <v>108.33</v>
      </c>
      <c r="W511" s="9">
        <f>ROUND(Q511 / 1.2, 2)</f>
        <v>598.33000000000004</v>
      </c>
      <c r="X511" s="9">
        <f>ROUND(R511 / 1.2, 2)</f>
        <v>706.67</v>
      </c>
      <c r="Y511" s="9">
        <f>ROUND(S511 / 1.2, 2)</f>
        <v>97229.17</v>
      </c>
      <c r="Z511" s="9">
        <f>ROUND(T511 / 1.2, 2)</f>
        <v>537004.17000000004</v>
      </c>
      <c r="AA511" s="9">
        <f>Y511+Z511</f>
        <v>634233.34000000008</v>
      </c>
      <c r="AD511" s="4">
        <v>341534349</v>
      </c>
      <c r="AE511" s="4">
        <v>25837395</v>
      </c>
      <c r="AG511" s="4" t="s">
        <v>1578</v>
      </c>
      <c r="AH511" s="4" t="s">
        <v>1579</v>
      </c>
      <c r="AI511" s="4" t="s">
        <v>241</v>
      </c>
    </row>
    <row r="512" spans="1:35" ht="18" x14ac:dyDescent="0.3">
      <c r="A512" s="10" t="s">
        <v>1580</v>
      </c>
      <c r="B512" s="10"/>
      <c r="C512" s="24" t="s">
        <v>902</v>
      </c>
      <c r="D512" s="15"/>
      <c r="E512" s="15"/>
      <c r="F512" s="25" t="s">
        <v>76</v>
      </c>
      <c r="G512" s="26">
        <v>5</v>
      </c>
      <c r="H512" s="15"/>
      <c r="I512" s="26">
        <v>4487.5</v>
      </c>
      <c r="J512" s="27">
        <v>23</v>
      </c>
      <c r="M512" s="28">
        <f>ROUND(ROUND(J512, 2)*I512, 2)</f>
        <v>103212.5</v>
      </c>
      <c r="P512" s="29">
        <v>23</v>
      </c>
      <c r="S512" s="28">
        <f>ROUND(ROUND(P512, 2)*I512, 2)</f>
        <v>103212.5</v>
      </c>
      <c r="V512" s="9">
        <f>ROUND(ROUND(P512, 2)/1.2, 2)</f>
        <v>19.170000000000002</v>
      </c>
      <c r="Y512" s="9">
        <f t="shared" ref="Y512:Y520" si="114">ROUND(S512 / 1.2, 2)</f>
        <v>86010.42</v>
      </c>
      <c r="AD512" s="4" t="s">
        <v>1581</v>
      </c>
      <c r="AE512" s="4" t="s">
        <v>1582</v>
      </c>
      <c r="AF512" s="4" t="s">
        <v>905</v>
      </c>
    </row>
    <row r="513" spans="1:35" ht="36" x14ac:dyDescent="0.3">
      <c r="A513" s="10" t="s">
        <v>1583</v>
      </c>
      <c r="B513" s="10"/>
      <c r="C513" s="24" t="s">
        <v>310</v>
      </c>
      <c r="D513" s="15"/>
      <c r="E513" s="15" t="s">
        <v>1584</v>
      </c>
      <c r="F513" s="25" t="s">
        <v>76</v>
      </c>
      <c r="G513" s="26">
        <v>0.15</v>
      </c>
      <c r="H513" s="15"/>
      <c r="I513" s="26">
        <v>134.625</v>
      </c>
      <c r="J513" s="27">
        <v>100</v>
      </c>
      <c r="M513" s="28">
        <f>ROUND(ROUND(J513, 2)*I513, 2)</f>
        <v>13462.5</v>
      </c>
      <c r="P513" s="29">
        <v>100</v>
      </c>
      <c r="S513" s="28">
        <f>ROUND(ROUND(P513, 2)*I513, 2)</f>
        <v>13462.5</v>
      </c>
      <c r="V513" s="9">
        <f>ROUND(ROUND(P513, 2)/1.2, 2)</f>
        <v>83.33</v>
      </c>
      <c r="Y513" s="9">
        <f t="shared" si="114"/>
        <v>11218.75</v>
      </c>
      <c r="AD513" s="4" t="s">
        <v>1585</v>
      </c>
      <c r="AE513" s="4" t="s">
        <v>1586</v>
      </c>
      <c r="AF513" s="4" t="s">
        <v>313</v>
      </c>
    </row>
    <row r="514" spans="1:35" ht="36" x14ac:dyDescent="0.3">
      <c r="A514" s="10" t="s">
        <v>1587</v>
      </c>
      <c r="B514" s="10" t="s">
        <v>1575</v>
      </c>
      <c r="C514" s="14" t="s">
        <v>1576</v>
      </c>
      <c r="D514" s="15"/>
      <c r="E514" s="15" t="s">
        <v>1577</v>
      </c>
      <c r="F514" s="15" t="s">
        <v>57</v>
      </c>
      <c r="G514" s="16">
        <v>1</v>
      </c>
      <c r="H514" s="15"/>
      <c r="I514" s="16">
        <v>897.5</v>
      </c>
      <c r="J514" s="17">
        <v>163.32</v>
      </c>
      <c r="K514" s="18">
        <v>718</v>
      </c>
      <c r="L514" s="17">
        <f>J514+ROUND(K514, 2)</f>
        <v>881.31999999999994</v>
      </c>
      <c r="M514" s="17">
        <v>146579.70000000001</v>
      </c>
      <c r="N514" s="17">
        <v>644405</v>
      </c>
      <c r="O514" s="17">
        <f>M514+N514</f>
        <v>790984.7</v>
      </c>
      <c r="P514" s="17">
        <v>44.77</v>
      </c>
      <c r="Q514" s="19">
        <v>718</v>
      </c>
      <c r="R514" s="17">
        <f>P514+ROUND(Q514, 2)</f>
        <v>762.77</v>
      </c>
      <c r="S514" s="17">
        <v>40181.08</v>
      </c>
      <c r="T514" s="17">
        <v>644405</v>
      </c>
      <c r="U514" s="17">
        <f>S514+T514</f>
        <v>684586.08</v>
      </c>
      <c r="V514" s="9">
        <f>ROUND(P514 / 1.2, 2)</f>
        <v>37.31</v>
      </c>
      <c r="W514" s="9">
        <f>ROUND(Q514 / 1.2, 2)</f>
        <v>598.33000000000004</v>
      </c>
      <c r="X514" s="9">
        <f>ROUND(R514 / 1.2, 2)</f>
        <v>635.64</v>
      </c>
      <c r="Y514" s="9">
        <f t="shared" si="114"/>
        <v>33484.230000000003</v>
      </c>
      <c r="Z514" s="9">
        <f>ROUND(T514 / 1.2, 2)</f>
        <v>537004.17000000004</v>
      </c>
      <c r="AA514" s="9">
        <f>Y514+Z514</f>
        <v>570488.4</v>
      </c>
      <c r="AD514" s="4">
        <v>341534421</v>
      </c>
      <c r="AE514" s="4">
        <v>25837396</v>
      </c>
      <c r="AG514" s="4" t="s">
        <v>1578</v>
      </c>
      <c r="AH514" s="4" t="s">
        <v>1579</v>
      </c>
      <c r="AI514" s="4" t="s">
        <v>241</v>
      </c>
    </row>
    <row r="515" spans="1:35" ht="36" x14ac:dyDescent="0.3">
      <c r="A515" s="10" t="s">
        <v>1588</v>
      </c>
      <c r="B515" s="10"/>
      <c r="C515" s="24" t="s">
        <v>509</v>
      </c>
      <c r="D515" s="15"/>
      <c r="E515" s="15"/>
      <c r="F515" s="25" t="s">
        <v>76</v>
      </c>
      <c r="G515" s="26">
        <v>0.15</v>
      </c>
      <c r="H515" s="15"/>
      <c r="I515" s="26">
        <v>134.625</v>
      </c>
      <c r="J515" s="27">
        <v>88.8</v>
      </c>
      <c r="M515" s="28">
        <f>ROUND(ROUND(J515, 2)*I515, 2)</f>
        <v>11954.7</v>
      </c>
      <c r="P515" s="29">
        <v>88.8</v>
      </c>
      <c r="S515" s="28">
        <f>ROUND(ROUND(P515, 2)*I515, 2)</f>
        <v>11954.7</v>
      </c>
      <c r="V515" s="9">
        <f>ROUND(ROUND(P515, 2)/1.2, 2)</f>
        <v>74</v>
      </c>
      <c r="Y515" s="9">
        <f t="shared" si="114"/>
        <v>9962.25</v>
      </c>
      <c r="AD515" s="4" t="s">
        <v>1589</v>
      </c>
      <c r="AE515" s="4" t="s">
        <v>1590</v>
      </c>
      <c r="AF515" s="4" t="s">
        <v>512</v>
      </c>
    </row>
    <row r="516" spans="1:35" ht="36" x14ac:dyDescent="0.3">
      <c r="A516" s="10" t="s">
        <v>1591</v>
      </c>
      <c r="B516" s="10"/>
      <c r="C516" s="24" t="s">
        <v>922</v>
      </c>
      <c r="D516" s="15"/>
      <c r="E516" s="15"/>
      <c r="F516" s="25" t="s">
        <v>76</v>
      </c>
      <c r="G516" s="26">
        <v>2.5</v>
      </c>
      <c r="H516" s="15"/>
      <c r="I516" s="26">
        <v>2243.75</v>
      </c>
      <c r="J516" s="27">
        <v>60</v>
      </c>
      <c r="M516" s="28">
        <f>ROUND(ROUND(J516, 2)*I516, 2)</f>
        <v>134625</v>
      </c>
      <c r="P516" s="29">
        <v>12.58</v>
      </c>
      <c r="S516" s="28">
        <f>ROUND(ROUND(P516, 2)*I516, 2)</f>
        <v>28226.38</v>
      </c>
      <c r="V516" s="9">
        <f>ROUND(ROUND(P516, 2)/1.2, 2)</f>
        <v>10.48</v>
      </c>
      <c r="Y516" s="9">
        <f t="shared" si="114"/>
        <v>23521.98</v>
      </c>
      <c r="AD516" s="4" t="s">
        <v>1592</v>
      </c>
      <c r="AE516" s="4" t="s">
        <v>1593</v>
      </c>
      <c r="AF516" s="4" t="s">
        <v>925</v>
      </c>
    </row>
    <row r="517" spans="1:35" ht="36" x14ac:dyDescent="0.3">
      <c r="A517" s="10" t="s">
        <v>1594</v>
      </c>
      <c r="B517" s="10" t="s">
        <v>1575</v>
      </c>
      <c r="C517" s="14" t="s">
        <v>1576</v>
      </c>
      <c r="D517" s="15"/>
      <c r="E517" s="15" t="s">
        <v>1577</v>
      </c>
      <c r="F517" s="15" t="s">
        <v>57</v>
      </c>
      <c r="G517" s="16">
        <v>1</v>
      </c>
      <c r="H517" s="15"/>
      <c r="I517" s="16">
        <v>897.5</v>
      </c>
      <c r="J517" s="17">
        <v>47.82</v>
      </c>
      <c r="K517" s="18">
        <v>718</v>
      </c>
      <c r="L517" s="17">
        <f>J517+ROUND(K517, 2)</f>
        <v>765.82</v>
      </c>
      <c r="M517" s="17">
        <v>42918.45</v>
      </c>
      <c r="N517" s="17">
        <v>644405</v>
      </c>
      <c r="O517" s="17">
        <f>M517+N517</f>
        <v>687323.45</v>
      </c>
      <c r="P517" s="17">
        <v>32.19</v>
      </c>
      <c r="Q517" s="19">
        <v>718</v>
      </c>
      <c r="R517" s="17">
        <f>P517+ROUND(Q517, 2)</f>
        <v>750.19</v>
      </c>
      <c r="S517" s="17">
        <v>28890.53</v>
      </c>
      <c r="T517" s="17">
        <v>644405</v>
      </c>
      <c r="U517" s="17">
        <f>S517+T517</f>
        <v>673295.53</v>
      </c>
      <c r="V517" s="9">
        <f>ROUND(P517 / 1.2, 2)</f>
        <v>26.83</v>
      </c>
      <c r="W517" s="9">
        <f>ROUND(Q517 / 1.2, 2)</f>
        <v>598.33000000000004</v>
      </c>
      <c r="X517" s="9">
        <f>ROUND(R517 / 1.2, 2)</f>
        <v>625.16</v>
      </c>
      <c r="Y517" s="9">
        <f t="shared" si="114"/>
        <v>24075.439999999999</v>
      </c>
      <c r="Z517" s="9">
        <f>ROUND(T517 / 1.2, 2)</f>
        <v>537004.17000000004</v>
      </c>
      <c r="AA517" s="9">
        <f>Y517+Z517</f>
        <v>561079.61</v>
      </c>
      <c r="AD517" s="4">
        <v>341534422</v>
      </c>
      <c r="AE517" s="4">
        <v>25837397</v>
      </c>
      <c r="AG517" s="4" t="s">
        <v>1578</v>
      </c>
      <c r="AH517" s="4" t="s">
        <v>1579</v>
      </c>
      <c r="AI517" s="4" t="s">
        <v>241</v>
      </c>
    </row>
    <row r="518" spans="1:35" ht="36" x14ac:dyDescent="0.3">
      <c r="A518" s="10" t="s">
        <v>1595</v>
      </c>
      <c r="B518" s="10"/>
      <c r="C518" s="24" t="s">
        <v>509</v>
      </c>
      <c r="D518" s="15"/>
      <c r="E518" s="15"/>
      <c r="F518" s="25" t="s">
        <v>76</v>
      </c>
      <c r="G518" s="26">
        <v>0.15</v>
      </c>
      <c r="H518" s="15"/>
      <c r="I518" s="26">
        <v>134.625</v>
      </c>
      <c r="J518" s="27">
        <v>88.8</v>
      </c>
      <c r="M518" s="28">
        <f>ROUND(ROUND(J518, 2)*I518, 2)</f>
        <v>11954.7</v>
      </c>
      <c r="P518" s="29">
        <v>88.8</v>
      </c>
      <c r="S518" s="28">
        <f>ROUND(ROUND(P518, 2)*I518, 2)</f>
        <v>11954.7</v>
      </c>
      <c r="V518" s="9">
        <f>ROUND(ROUND(P518, 2)/1.2, 2)</f>
        <v>74</v>
      </c>
      <c r="Y518" s="9">
        <f t="shared" si="114"/>
        <v>9962.25</v>
      </c>
      <c r="AD518" s="4" t="s">
        <v>1596</v>
      </c>
      <c r="AE518" s="4" t="s">
        <v>1597</v>
      </c>
      <c r="AF518" s="4" t="s">
        <v>512</v>
      </c>
    </row>
    <row r="519" spans="1:35" ht="36" x14ac:dyDescent="0.3">
      <c r="A519" s="10" t="s">
        <v>1598</v>
      </c>
      <c r="B519" s="10"/>
      <c r="C519" s="24" t="s">
        <v>934</v>
      </c>
      <c r="D519" s="15"/>
      <c r="E519" s="15"/>
      <c r="F519" s="25" t="s">
        <v>76</v>
      </c>
      <c r="G519" s="26">
        <v>1.5</v>
      </c>
      <c r="H519" s="15"/>
      <c r="I519" s="26">
        <v>1346.25</v>
      </c>
      <c r="J519" s="27">
        <v>23</v>
      </c>
      <c r="M519" s="28">
        <f>ROUND(ROUND(J519, 2)*I519, 2)</f>
        <v>30963.75</v>
      </c>
      <c r="P519" s="29">
        <v>12.58</v>
      </c>
      <c r="S519" s="28">
        <f>ROUND(ROUND(P519, 2)*I519, 2)</f>
        <v>16935.830000000002</v>
      </c>
      <c r="V519" s="9">
        <f>ROUND(ROUND(P519, 2)/1.2, 2)</f>
        <v>10.48</v>
      </c>
      <c r="Y519" s="9">
        <f t="shared" si="114"/>
        <v>14113.19</v>
      </c>
      <c r="AD519" s="4" t="s">
        <v>1599</v>
      </c>
      <c r="AE519" s="4" t="s">
        <v>1600</v>
      </c>
      <c r="AF519" s="4" t="s">
        <v>937</v>
      </c>
    </row>
    <row r="520" spans="1:35" ht="36" x14ac:dyDescent="0.3">
      <c r="A520" s="38" t="s">
        <v>1601</v>
      </c>
      <c r="B520" s="38" t="s">
        <v>1575</v>
      </c>
      <c r="C520" s="39" t="s">
        <v>1576</v>
      </c>
      <c r="D520" s="40"/>
      <c r="E520" s="40" t="s">
        <v>1602</v>
      </c>
      <c r="F520" s="40" t="s">
        <v>57</v>
      </c>
      <c r="G520" s="41">
        <v>1</v>
      </c>
      <c r="H520" s="40"/>
      <c r="I520" s="42">
        <v>0</v>
      </c>
      <c r="J520" s="43">
        <v>71.61</v>
      </c>
      <c r="K520" s="43">
        <v>718</v>
      </c>
      <c r="L520" s="43">
        <f>J520+ROUND(K520, 2)</f>
        <v>789.61</v>
      </c>
      <c r="M520" s="43">
        <v>0</v>
      </c>
      <c r="N520" s="43">
        <v>0</v>
      </c>
      <c r="O520" s="43">
        <f>M520+N520</f>
        <v>0</v>
      </c>
      <c r="P520" s="43">
        <v>71.61</v>
      </c>
      <c r="Q520" s="43">
        <v>718</v>
      </c>
      <c r="R520" s="43">
        <f>P520+ROUND(Q520, 2)</f>
        <v>789.61</v>
      </c>
      <c r="S520" s="43">
        <v>0</v>
      </c>
      <c r="T520" s="43">
        <v>0</v>
      </c>
      <c r="U520" s="43">
        <f>S520+T520</f>
        <v>0</v>
      </c>
      <c r="V520" s="9">
        <f>ROUND(P520 / 1.2, 2)</f>
        <v>59.68</v>
      </c>
      <c r="W520" s="9">
        <f>ROUND(Q520 / 1.2, 2)</f>
        <v>598.33000000000004</v>
      </c>
      <c r="X520" s="9">
        <f>ROUND(R520 / 1.2, 2)</f>
        <v>658.01</v>
      </c>
      <c r="Y520" s="9">
        <f t="shared" si="114"/>
        <v>0</v>
      </c>
      <c r="Z520" s="9">
        <f>ROUND(T520 / 1.2, 2)</f>
        <v>0</v>
      </c>
      <c r="AA520" s="9">
        <f>Y520+Z520</f>
        <v>0</v>
      </c>
      <c r="AD520" s="4">
        <v>341534423</v>
      </c>
      <c r="AE520" s="4">
        <v>25837371</v>
      </c>
      <c r="AG520" s="4" t="s">
        <v>1578</v>
      </c>
      <c r="AH520" s="4" t="s">
        <v>1579</v>
      </c>
      <c r="AI520" s="4" t="s">
        <v>241</v>
      </c>
    </row>
    <row r="521" spans="1:35" ht="36" x14ac:dyDescent="0.3">
      <c r="A521" s="44" t="s">
        <v>1603</v>
      </c>
      <c r="B521" s="44" t="s">
        <v>1575</v>
      </c>
      <c r="C521" s="45" t="s">
        <v>1576</v>
      </c>
      <c r="D521" s="46"/>
      <c r="E521" s="46" t="s">
        <v>1602</v>
      </c>
      <c r="F521" s="46" t="s">
        <v>57</v>
      </c>
      <c r="G521" s="47">
        <v>1</v>
      </c>
      <c r="H521" s="46"/>
      <c r="I521" s="47">
        <v>75.400000000000006</v>
      </c>
      <c r="J521" s="48">
        <v>71.61</v>
      </c>
      <c r="K521" s="48">
        <v>718</v>
      </c>
      <c r="L521" s="48">
        <v>718</v>
      </c>
      <c r="M521" s="48">
        <v>5399.39</v>
      </c>
      <c r="N521" s="48">
        <v>54137.2</v>
      </c>
      <c r="O521" s="48"/>
      <c r="P521" s="48">
        <v>71.61</v>
      </c>
      <c r="Q521" s="48">
        <v>718</v>
      </c>
      <c r="R521" s="48">
        <v>718</v>
      </c>
      <c r="S521" s="48">
        <v>5399.39</v>
      </c>
      <c r="T521" s="48">
        <v>54137.2</v>
      </c>
      <c r="U521" s="48"/>
      <c r="V521" s="9"/>
      <c r="W521" s="9">
        <f>ROUND(Q521 / 1.2, 2)</f>
        <v>598.33000000000004</v>
      </c>
      <c r="X521" s="9">
        <f>ROUND(R521 / 1.2, 2)</f>
        <v>598.33000000000004</v>
      </c>
      <c r="Y521" s="9"/>
      <c r="Z521" s="9">
        <f>ROUND(T521 / 1.2, 2)</f>
        <v>45114.33</v>
      </c>
      <c r="AA521" s="9"/>
      <c r="AD521" s="4">
        <v>314469397</v>
      </c>
      <c r="AE521" s="4">
        <v>25837371</v>
      </c>
      <c r="AG521" s="4" t="s">
        <v>1578</v>
      </c>
      <c r="AH521" s="4" t="s">
        <v>1579</v>
      </c>
      <c r="AI521" s="4"/>
    </row>
    <row r="522" spans="1:35" ht="18" x14ac:dyDescent="0.3">
      <c r="A522" s="38" t="s">
        <v>1604</v>
      </c>
      <c r="B522" s="38"/>
      <c r="C522" s="49" t="s">
        <v>310</v>
      </c>
      <c r="D522" s="40"/>
      <c r="E522" s="40"/>
      <c r="F522" s="50" t="s">
        <v>76</v>
      </c>
      <c r="G522" s="51">
        <v>0.15</v>
      </c>
      <c r="H522" s="40"/>
      <c r="I522" s="52">
        <v>0</v>
      </c>
      <c r="J522" s="53">
        <v>100</v>
      </c>
      <c r="K522" s="54"/>
      <c r="L522" s="54"/>
      <c r="M522" s="53">
        <f>ROUND(ROUND(J522, 2)*I522, 2)</f>
        <v>0</v>
      </c>
      <c r="N522" s="54"/>
      <c r="O522" s="54"/>
      <c r="P522" s="53">
        <v>100</v>
      </c>
      <c r="Q522" s="54"/>
      <c r="R522" s="54"/>
      <c r="S522" s="53">
        <f>ROUND(ROUND(P522, 2)*I522, 2)</f>
        <v>0</v>
      </c>
      <c r="T522" s="54"/>
      <c r="U522" s="55"/>
      <c r="V522" s="9">
        <f>ROUND(ROUND(P522, 2)/1.2, 2)</f>
        <v>83.33</v>
      </c>
      <c r="Y522" s="9">
        <f>ROUND(S522 / 1.2, 2)</f>
        <v>0</v>
      </c>
      <c r="AD522" s="4" t="s">
        <v>1605</v>
      </c>
      <c r="AE522" s="4" t="s">
        <v>1606</v>
      </c>
      <c r="AF522" s="4" t="s">
        <v>313</v>
      </c>
    </row>
    <row r="523" spans="1:35" ht="18" x14ac:dyDescent="0.3">
      <c r="A523" s="44" t="s">
        <v>1607</v>
      </c>
      <c r="B523" s="44"/>
      <c r="C523" s="56" t="s">
        <v>310</v>
      </c>
      <c r="D523" s="46"/>
      <c r="E523" s="46"/>
      <c r="F523" s="57" t="s">
        <v>76</v>
      </c>
      <c r="G523" s="58">
        <v>0.15</v>
      </c>
      <c r="H523" s="46"/>
      <c r="I523" s="58">
        <v>11.31</v>
      </c>
      <c r="J523" s="59">
        <v>100</v>
      </c>
      <c r="K523" s="60"/>
      <c r="L523" s="60"/>
      <c r="M523" s="59">
        <f>ROUND(ROUND(J523, 2)*I523, 2)</f>
        <v>1131</v>
      </c>
      <c r="N523" s="60"/>
      <c r="O523" s="60"/>
      <c r="P523" s="59">
        <v>100</v>
      </c>
      <c r="Q523" s="60"/>
      <c r="R523" s="60"/>
      <c r="S523" s="59">
        <f>ROUND(ROUND(P523, 2)*I523, 2)</f>
        <v>1131</v>
      </c>
      <c r="T523" s="60"/>
      <c r="U523" s="61"/>
      <c r="V523" s="9">
        <f>ROUND(ROUND(P523, 2)/1.2, 2)</f>
        <v>83.33</v>
      </c>
      <c r="Y523" s="9">
        <f>ROUND(S523 / 1.2, 2)</f>
        <v>942.5</v>
      </c>
      <c r="AD523" s="4" t="s">
        <v>1608</v>
      </c>
      <c r="AE523" s="4" t="s">
        <v>1606</v>
      </c>
      <c r="AF523" s="4" t="s">
        <v>313</v>
      </c>
    </row>
    <row r="524" spans="1:35" ht="36" x14ac:dyDescent="0.3">
      <c r="A524" s="38" t="s">
        <v>1609</v>
      </c>
      <c r="B524" s="38"/>
      <c r="C524" s="49" t="s">
        <v>961</v>
      </c>
      <c r="D524" s="40"/>
      <c r="E524" s="40"/>
      <c r="F524" s="50" t="s">
        <v>76</v>
      </c>
      <c r="G524" s="51">
        <v>4.5</v>
      </c>
      <c r="H524" s="40"/>
      <c r="I524" s="52">
        <v>0</v>
      </c>
      <c r="J524" s="53">
        <v>12.58</v>
      </c>
      <c r="K524" s="54"/>
      <c r="L524" s="54"/>
      <c r="M524" s="53">
        <f>ROUND(ROUND(J524, 2)*I524, 2)</f>
        <v>0</v>
      </c>
      <c r="N524" s="54"/>
      <c r="O524" s="54"/>
      <c r="P524" s="53">
        <v>12.58</v>
      </c>
      <c r="Q524" s="54"/>
      <c r="R524" s="54"/>
      <c r="S524" s="53">
        <f>ROUND(ROUND(P524, 2)*I524, 2)</f>
        <v>0</v>
      </c>
      <c r="T524" s="54"/>
      <c r="U524" s="55"/>
      <c r="V524" s="9">
        <f>ROUND(ROUND(P524, 2)/1.2, 2)</f>
        <v>10.48</v>
      </c>
      <c r="Y524" s="9">
        <f>ROUND(S524 / 1.2, 2)</f>
        <v>0</v>
      </c>
      <c r="AD524" s="4" t="s">
        <v>1610</v>
      </c>
      <c r="AE524" s="4" t="s">
        <v>1611</v>
      </c>
      <c r="AF524" s="4" t="s">
        <v>1147</v>
      </c>
    </row>
    <row r="525" spans="1:35" ht="36" x14ac:dyDescent="0.3">
      <c r="A525" s="44" t="s">
        <v>1612</v>
      </c>
      <c r="B525" s="44"/>
      <c r="C525" s="56" t="s">
        <v>961</v>
      </c>
      <c r="D525" s="46"/>
      <c r="E525" s="46"/>
      <c r="F525" s="57" t="s">
        <v>76</v>
      </c>
      <c r="G525" s="58">
        <v>4.5</v>
      </c>
      <c r="H525" s="46"/>
      <c r="I525" s="58">
        <v>339.3</v>
      </c>
      <c r="J525" s="59">
        <v>12.58</v>
      </c>
      <c r="K525" s="60"/>
      <c r="L525" s="60"/>
      <c r="M525" s="59">
        <f>ROUND(ROUND(J525, 2)*I525, 2)</f>
        <v>4268.3900000000003</v>
      </c>
      <c r="N525" s="60"/>
      <c r="O525" s="60"/>
      <c r="P525" s="59">
        <v>12.58</v>
      </c>
      <c r="Q525" s="60"/>
      <c r="R525" s="60"/>
      <c r="S525" s="59">
        <f>ROUND(ROUND(P525, 2)*I525, 2)</f>
        <v>4268.3900000000003</v>
      </c>
      <c r="T525" s="60"/>
      <c r="U525" s="61"/>
      <c r="V525" s="9">
        <f>ROUND(ROUND(P525, 2)/1.2, 2)</f>
        <v>10.48</v>
      </c>
      <c r="Y525" s="9">
        <f>ROUND(S525 / 1.2, 2)</f>
        <v>3556.99</v>
      </c>
      <c r="AD525" s="4" t="s">
        <v>1613</v>
      </c>
      <c r="AE525" s="4" t="s">
        <v>1611</v>
      </c>
      <c r="AF525" s="4" t="s">
        <v>1147</v>
      </c>
    </row>
    <row r="526" spans="1:35" ht="36" x14ac:dyDescent="0.3">
      <c r="A526" s="38" t="s">
        <v>1614</v>
      </c>
      <c r="B526" s="38" t="s">
        <v>1575</v>
      </c>
      <c r="C526" s="39" t="s">
        <v>1576</v>
      </c>
      <c r="D526" s="40"/>
      <c r="E526" s="40" t="s">
        <v>877</v>
      </c>
      <c r="F526" s="40" t="s">
        <v>57</v>
      </c>
      <c r="G526" s="41">
        <v>1</v>
      </c>
      <c r="H526" s="40"/>
      <c r="I526" s="42">
        <v>0</v>
      </c>
      <c r="J526" s="43">
        <v>130</v>
      </c>
      <c r="K526" s="43">
        <v>718</v>
      </c>
      <c r="L526" s="43">
        <f>J526+ROUND(K526, 2)</f>
        <v>848</v>
      </c>
      <c r="M526" s="43">
        <v>0</v>
      </c>
      <c r="N526" s="43">
        <v>0</v>
      </c>
      <c r="O526" s="43">
        <f>M526+N526</f>
        <v>0</v>
      </c>
      <c r="P526" s="43">
        <v>130</v>
      </c>
      <c r="Q526" s="43">
        <v>718</v>
      </c>
      <c r="R526" s="43">
        <f>P526+ROUND(Q526, 2)</f>
        <v>848</v>
      </c>
      <c r="S526" s="43">
        <v>0</v>
      </c>
      <c r="T526" s="43">
        <v>0</v>
      </c>
      <c r="U526" s="43">
        <f>S526+T526</f>
        <v>0</v>
      </c>
      <c r="V526" s="9">
        <f>ROUND(P526 / 1.2, 2)</f>
        <v>108.33</v>
      </c>
      <c r="W526" s="9">
        <f>ROUND(Q526 / 1.2, 2)</f>
        <v>598.33000000000004</v>
      </c>
      <c r="X526" s="9">
        <f>ROUND(R526 / 1.2, 2)</f>
        <v>706.67</v>
      </c>
      <c r="Y526" s="9">
        <f>ROUND(S526 / 1.2, 2)</f>
        <v>0</v>
      </c>
      <c r="Z526" s="9">
        <f>ROUND(T526 / 1.2, 2)</f>
        <v>0</v>
      </c>
      <c r="AA526" s="9">
        <f>Y526+Z526</f>
        <v>0</v>
      </c>
      <c r="AD526" s="4">
        <v>341534424</v>
      </c>
      <c r="AE526" s="4">
        <v>25837401</v>
      </c>
      <c r="AG526" s="4" t="s">
        <v>1578</v>
      </c>
      <c r="AH526" s="4" t="s">
        <v>1579</v>
      </c>
      <c r="AI526" s="4" t="s">
        <v>241</v>
      </c>
    </row>
    <row r="527" spans="1:35" ht="36" x14ac:dyDescent="0.3">
      <c r="A527" s="44" t="s">
        <v>1615</v>
      </c>
      <c r="B527" s="44" t="s">
        <v>1575</v>
      </c>
      <c r="C527" s="45" t="s">
        <v>1576</v>
      </c>
      <c r="D527" s="46"/>
      <c r="E527" s="46" t="s">
        <v>877</v>
      </c>
      <c r="F527" s="46" t="s">
        <v>57</v>
      </c>
      <c r="G527" s="47">
        <v>1</v>
      </c>
      <c r="H527" s="46"/>
      <c r="I527" s="47">
        <v>148.1</v>
      </c>
      <c r="J527" s="48">
        <v>130</v>
      </c>
      <c r="K527" s="48">
        <v>718</v>
      </c>
      <c r="L527" s="48">
        <v>718</v>
      </c>
      <c r="M527" s="48">
        <v>19253</v>
      </c>
      <c r="N527" s="48">
        <v>106335.8</v>
      </c>
      <c r="O527" s="48"/>
      <c r="P527" s="48">
        <v>130</v>
      </c>
      <c r="Q527" s="48">
        <v>718</v>
      </c>
      <c r="R527" s="48">
        <v>718</v>
      </c>
      <c r="S527" s="48">
        <v>19253</v>
      </c>
      <c r="T527" s="48">
        <v>106335.8</v>
      </c>
      <c r="U527" s="48"/>
      <c r="V527" s="9"/>
      <c r="W527" s="9">
        <f>ROUND(Q527 / 1.2, 2)</f>
        <v>598.33000000000004</v>
      </c>
      <c r="X527" s="9">
        <f>ROUND(R527 / 1.2, 2)</f>
        <v>598.33000000000004</v>
      </c>
      <c r="Y527" s="9"/>
      <c r="Z527" s="9">
        <f>ROUND(T527 / 1.2, 2)</f>
        <v>88613.17</v>
      </c>
      <c r="AA527" s="9"/>
      <c r="AD527" s="4">
        <v>314469398</v>
      </c>
      <c r="AE527" s="4">
        <v>25837401</v>
      </c>
      <c r="AG527" s="4" t="s">
        <v>1578</v>
      </c>
      <c r="AH527" s="4" t="s">
        <v>1579</v>
      </c>
      <c r="AI527" s="4"/>
    </row>
    <row r="528" spans="1:35" ht="18" x14ac:dyDescent="0.3">
      <c r="A528" s="38" t="s">
        <v>1616</v>
      </c>
      <c r="B528" s="38"/>
      <c r="C528" s="49" t="s">
        <v>310</v>
      </c>
      <c r="D528" s="40"/>
      <c r="E528" s="40"/>
      <c r="F528" s="50" t="s">
        <v>76</v>
      </c>
      <c r="G528" s="51">
        <v>0.15</v>
      </c>
      <c r="H528" s="40"/>
      <c r="I528" s="52">
        <v>0</v>
      </c>
      <c r="J528" s="53">
        <v>100</v>
      </c>
      <c r="K528" s="54"/>
      <c r="L528" s="54"/>
      <c r="M528" s="53">
        <f>ROUND(ROUND(J528, 2)*I528, 2)</f>
        <v>0</v>
      </c>
      <c r="N528" s="54"/>
      <c r="O528" s="54"/>
      <c r="P528" s="53">
        <v>100</v>
      </c>
      <c r="Q528" s="54"/>
      <c r="R528" s="54"/>
      <c r="S528" s="53">
        <f>ROUND(ROUND(P528, 2)*I528, 2)</f>
        <v>0</v>
      </c>
      <c r="T528" s="54"/>
      <c r="U528" s="55"/>
      <c r="V528" s="9">
        <f>ROUND(ROUND(P528, 2)/1.2, 2)</f>
        <v>83.33</v>
      </c>
      <c r="Y528" s="9">
        <f>ROUND(S528 / 1.2, 2)</f>
        <v>0</v>
      </c>
      <c r="AD528" s="4" t="s">
        <v>1617</v>
      </c>
      <c r="AE528" s="4" t="s">
        <v>1618</v>
      </c>
      <c r="AF528" s="4" t="s">
        <v>313</v>
      </c>
    </row>
    <row r="529" spans="1:35" ht="18" x14ac:dyDescent="0.3">
      <c r="A529" s="44" t="s">
        <v>1619</v>
      </c>
      <c r="B529" s="44"/>
      <c r="C529" s="56" t="s">
        <v>310</v>
      </c>
      <c r="D529" s="46"/>
      <c r="E529" s="46"/>
      <c r="F529" s="57" t="s">
        <v>76</v>
      </c>
      <c r="G529" s="58">
        <v>0.15</v>
      </c>
      <c r="H529" s="46"/>
      <c r="I529" s="58">
        <v>22.215</v>
      </c>
      <c r="J529" s="59">
        <v>100</v>
      </c>
      <c r="K529" s="60"/>
      <c r="L529" s="60"/>
      <c r="M529" s="59">
        <f>ROUND(ROUND(J529, 2)*I529, 2)</f>
        <v>2221.5</v>
      </c>
      <c r="N529" s="60"/>
      <c r="O529" s="60"/>
      <c r="P529" s="59">
        <v>100</v>
      </c>
      <c r="Q529" s="60"/>
      <c r="R529" s="60"/>
      <c r="S529" s="59">
        <f>ROUND(ROUND(P529, 2)*I529, 2)</f>
        <v>2221.5</v>
      </c>
      <c r="T529" s="60"/>
      <c r="U529" s="61"/>
      <c r="V529" s="9">
        <f>ROUND(ROUND(P529, 2)/1.2, 2)</f>
        <v>83.33</v>
      </c>
      <c r="Y529" s="9">
        <f>ROUND(S529 / 1.2, 2)</f>
        <v>1851.25</v>
      </c>
      <c r="AD529" s="4" t="s">
        <v>1620</v>
      </c>
      <c r="AE529" s="4" t="s">
        <v>1618</v>
      </c>
      <c r="AF529" s="4" t="s">
        <v>313</v>
      </c>
    </row>
    <row r="530" spans="1:35" ht="18" x14ac:dyDescent="0.3">
      <c r="A530" s="38" t="s">
        <v>1621</v>
      </c>
      <c r="B530" s="38"/>
      <c r="C530" s="49" t="s">
        <v>902</v>
      </c>
      <c r="D530" s="40"/>
      <c r="E530" s="40" t="s">
        <v>364</v>
      </c>
      <c r="F530" s="50" t="s">
        <v>76</v>
      </c>
      <c r="G530" s="51">
        <v>5</v>
      </c>
      <c r="H530" s="40"/>
      <c r="I530" s="52">
        <v>0</v>
      </c>
      <c r="J530" s="53">
        <v>23</v>
      </c>
      <c r="K530" s="54"/>
      <c r="L530" s="54"/>
      <c r="M530" s="53">
        <f>ROUND(ROUND(J530, 2)*I530, 2)</f>
        <v>0</v>
      </c>
      <c r="N530" s="54"/>
      <c r="O530" s="54"/>
      <c r="P530" s="53">
        <v>23</v>
      </c>
      <c r="Q530" s="54"/>
      <c r="R530" s="54"/>
      <c r="S530" s="53">
        <f>ROUND(ROUND(P530, 2)*I530, 2)</f>
        <v>0</v>
      </c>
      <c r="T530" s="54"/>
      <c r="U530" s="55"/>
      <c r="V530" s="9">
        <f>ROUND(ROUND(P530, 2)/1.2, 2)</f>
        <v>19.170000000000002</v>
      </c>
      <c r="Y530" s="9">
        <f>ROUND(S530 / 1.2, 2)</f>
        <v>0</v>
      </c>
      <c r="AD530" s="4" t="s">
        <v>1622</v>
      </c>
      <c r="AE530" s="4" t="s">
        <v>1623</v>
      </c>
      <c r="AF530" s="4" t="s">
        <v>905</v>
      </c>
    </row>
    <row r="531" spans="1:35" ht="18" x14ac:dyDescent="0.3">
      <c r="A531" s="44" t="s">
        <v>1624</v>
      </c>
      <c r="B531" s="44"/>
      <c r="C531" s="56" t="s">
        <v>902</v>
      </c>
      <c r="D531" s="46"/>
      <c r="E531" s="46" t="s">
        <v>364</v>
      </c>
      <c r="F531" s="57" t="s">
        <v>76</v>
      </c>
      <c r="G531" s="58">
        <v>5</v>
      </c>
      <c r="H531" s="46"/>
      <c r="I531" s="58">
        <v>740.5</v>
      </c>
      <c r="J531" s="59">
        <v>23</v>
      </c>
      <c r="K531" s="60"/>
      <c r="L531" s="60"/>
      <c r="M531" s="59">
        <f>ROUND(ROUND(J531, 2)*I531, 2)</f>
        <v>17031.5</v>
      </c>
      <c r="N531" s="60"/>
      <c r="O531" s="60"/>
      <c r="P531" s="59">
        <v>23</v>
      </c>
      <c r="Q531" s="60"/>
      <c r="R531" s="60"/>
      <c r="S531" s="59">
        <f>ROUND(ROUND(P531, 2)*I531, 2)</f>
        <v>17031.5</v>
      </c>
      <c r="T531" s="60"/>
      <c r="U531" s="61"/>
      <c r="V531" s="9">
        <f>ROUND(ROUND(P531, 2)/1.2, 2)</f>
        <v>19.170000000000002</v>
      </c>
      <c r="Y531" s="9">
        <f>ROUND(S531 / 1.2, 2)</f>
        <v>14192.92</v>
      </c>
      <c r="AD531" s="4" t="s">
        <v>1625</v>
      </c>
      <c r="AE531" s="4" t="s">
        <v>1623</v>
      </c>
      <c r="AF531" s="4" t="s">
        <v>905</v>
      </c>
    </row>
    <row r="532" spans="1:35" ht="36" x14ac:dyDescent="0.3">
      <c r="A532" s="38" t="s">
        <v>1626</v>
      </c>
      <c r="B532" s="38" t="s">
        <v>1575</v>
      </c>
      <c r="C532" s="39" t="s">
        <v>1576</v>
      </c>
      <c r="D532" s="40"/>
      <c r="E532" s="40" t="s">
        <v>877</v>
      </c>
      <c r="F532" s="40" t="s">
        <v>57</v>
      </c>
      <c r="G532" s="41">
        <v>1</v>
      </c>
      <c r="H532" s="40"/>
      <c r="I532" s="42">
        <v>0</v>
      </c>
      <c r="J532" s="43">
        <v>163.32</v>
      </c>
      <c r="K532" s="43">
        <v>718</v>
      </c>
      <c r="L532" s="43">
        <f>J532+ROUND(K532, 2)</f>
        <v>881.31999999999994</v>
      </c>
      <c r="M532" s="43">
        <v>0</v>
      </c>
      <c r="N532" s="43">
        <v>0</v>
      </c>
      <c r="O532" s="43">
        <f>M532+N532</f>
        <v>0</v>
      </c>
      <c r="P532" s="43">
        <v>44.77</v>
      </c>
      <c r="Q532" s="43">
        <v>718</v>
      </c>
      <c r="R532" s="43">
        <f>P532+ROUND(Q532, 2)</f>
        <v>762.77</v>
      </c>
      <c r="S532" s="43">
        <v>0</v>
      </c>
      <c r="T532" s="43">
        <v>0</v>
      </c>
      <c r="U532" s="43">
        <f>S532+T532</f>
        <v>0</v>
      </c>
      <c r="V532" s="9">
        <f>ROUND(P532 / 1.2, 2)</f>
        <v>37.31</v>
      </c>
      <c r="W532" s="9">
        <f>ROUND(Q532 / 1.2, 2)</f>
        <v>598.33000000000004</v>
      </c>
      <c r="X532" s="9">
        <f>ROUND(R532 / 1.2, 2)</f>
        <v>635.64</v>
      </c>
      <c r="Y532" s="9">
        <f>ROUND(S532 / 1.2, 2)</f>
        <v>0</v>
      </c>
      <c r="Z532" s="9">
        <f>ROUND(T532 / 1.2, 2)</f>
        <v>0</v>
      </c>
      <c r="AA532" s="9">
        <f>Y532+Z532</f>
        <v>0</v>
      </c>
      <c r="AD532" s="4">
        <v>341534425</v>
      </c>
      <c r="AE532" s="4">
        <v>25837402</v>
      </c>
      <c r="AG532" s="4" t="s">
        <v>1578</v>
      </c>
      <c r="AH532" s="4" t="s">
        <v>1579</v>
      </c>
      <c r="AI532" s="4" t="s">
        <v>241</v>
      </c>
    </row>
    <row r="533" spans="1:35" ht="36" x14ac:dyDescent="0.3">
      <c r="A533" s="44" t="s">
        <v>1627</v>
      </c>
      <c r="B533" s="44" t="s">
        <v>1575</v>
      </c>
      <c r="C533" s="45" t="s">
        <v>1576</v>
      </c>
      <c r="D533" s="46"/>
      <c r="E533" s="46" t="s">
        <v>877</v>
      </c>
      <c r="F533" s="46" t="s">
        <v>57</v>
      </c>
      <c r="G533" s="47">
        <v>1</v>
      </c>
      <c r="H533" s="46"/>
      <c r="I533" s="47">
        <v>148.1</v>
      </c>
      <c r="J533" s="48">
        <v>163.32</v>
      </c>
      <c r="K533" s="48">
        <v>718</v>
      </c>
      <c r="L533" s="48">
        <v>718</v>
      </c>
      <c r="M533" s="48">
        <v>24187.69</v>
      </c>
      <c r="N533" s="48">
        <v>106335.8</v>
      </c>
      <c r="O533" s="48"/>
      <c r="P533" s="48">
        <v>44.77</v>
      </c>
      <c r="Q533" s="48">
        <v>718</v>
      </c>
      <c r="R533" s="48">
        <v>718</v>
      </c>
      <c r="S533" s="48">
        <v>6630.44</v>
      </c>
      <c r="T533" s="48">
        <v>106335.8</v>
      </c>
      <c r="U533" s="48"/>
      <c r="V533" s="9"/>
      <c r="W533" s="9">
        <f>ROUND(Q533 / 1.2, 2)</f>
        <v>598.33000000000004</v>
      </c>
      <c r="X533" s="9">
        <f>ROUND(R533 / 1.2, 2)</f>
        <v>598.33000000000004</v>
      </c>
      <c r="Y533" s="9"/>
      <c r="Z533" s="9">
        <f>ROUND(T533 / 1.2, 2)</f>
        <v>88613.17</v>
      </c>
      <c r="AA533" s="9"/>
      <c r="AD533" s="4">
        <v>314469399</v>
      </c>
      <c r="AE533" s="4">
        <v>25837402</v>
      </c>
      <c r="AG533" s="4" t="s">
        <v>1578</v>
      </c>
      <c r="AH533" s="4" t="s">
        <v>1579</v>
      </c>
      <c r="AI533" s="4"/>
    </row>
    <row r="534" spans="1:35" ht="36" x14ac:dyDescent="0.3">
      <c r="A534" s="38" t="s">
        <v>1628</v>
      </c>
      <c r="B534" s="38"/>
      <c r="C534" s="49" t="s">
        <v>509</v>
      </c>
      <c r="D534" s="40"/>
      <c r="E534" s="40"/>
      <c r="F534" s="50" t="s">
        <v>76</v>
      </c>
      <c r="G534" s="51">
        <v>0.15</v>
      </c>
      <c r="H534" s="40"/>
      <c r="I534" s="52">
        <v>0</v>
      </c>
      <c r="J534" s="53">
        <v>88.8</v>
      </c>
      <c r="K534" s="54"/>
      <c r="L534" s="54"/>
      <c r="M534" s="53">
        <f>ROUND(ROUND(J534, 2)*I534, 2)</f>
        <v>0</v>
      </c>
      <c r="N534" s="54"/>
      <c r="O534" s="54"/>
      <c r="P534" s="53">
        <v>88.8</v>
      </c>
      <c r="Q534" s="54"/>
      <c r="R534" s="54"/>
      <c r="S534" s="53">
        <f>ROUND(ROUND(P534, 2)*I534, 2)</f>
        <v>0</v>
      </c>
      <c r="T534" s="54"/>
      <c r="U534" s="55"/>
      <c r="V534" s="9">
        <f>ROUND(ROUND(P534, 2)/1.2, 2)</f>
        <v>74</v>
      </c>
      <c r="Y534" s="9">
        <f>ROUND(S534 / 1.2, 2)</f>
        <v>0</v>
      </c>
      <c r="AD534" s="4" t="s">
        <v>1629</v>
      </c>
      <c r="AE534" s="4" t="s">
        <v>1630</v>
      </c>
      <c r="AF534" s="4" t="s">
        <v>512</v>
      </c>
    </row>
    <row r="535" spans="1:35" ht="36" x14ac:dyDescent="0.3">
      <c r="A535" s="44" t="s">
        <v>1631</v>
      </c>
      <c r="B535" s="44"/>
      <c r="C535" s="56" t="s">
        <v>509</v>
      </c>
      <c r="D535" s="46"/>
      <c r="E535" s="46"/>
      <c r="F535" s="57" t="s">
        <v>76</v>
      </c>
      <c r="G535" s="58">
        <v>0.15</v>
      </c>
      <c r="H535" s="46"/>
      <c r="I535" s="58">
        <v>22.215</v>
      </c>
      <c r="J535" s="59">
        <v>88.8</v>
      </c>
      <c r="K535" s="60"/>
      <c r="L535" s="60"/>
      <c r="M535" s="59">
        <f>ROUND(ROUND(J535, 2)*I535, 2)</f>
        <v>1972.69</v>
      </c>
      <c r="N535" s="60"/>
      <c r="O535" s="60"/>
      <c r="P535" s="59">
        <v>88.8</v>
      </c>
      <c r="Q535" s="60"/>
      <c r="R535" s="60"/>
      <c r="S535" s="59">
        <f>ROUND(ROUND(P535, 2)*I535, 2)</f>
        <v>1972.69</v>
      </c>
      <c r="T535" s="60"/>
      <c r="U535" s="61"/>
      <c r="V535" s="9">
        <f>ROUND(ROUND(P535, 2)/1.2, 2)</f>
        <v>74</v>
      </c>
      <c r="Y535" s="9">
        <f>ROUND(S535 / 1.2, 2)</f>
        <v>1643.91</v>
      </c>
      <c r="AD535" s="4" t="s">
        <v>1632</v>
      </c>
      <c r="AE535" s="4" t="s">
        <v>1630</v>
      </c>
      <c r="AF535" s="4" t="s">
        <v>512</v>
      </c>
    </row>
    <row r="536" spans="1:35" ht="36" x14ac:dyDescent="0.3">
      <c r="A536" s="38" t="s">
        <v>1633</v>
      </c>
      <c r="B536" s="38"/>
      <c r="C536" s="49" t="s">
        <v>922</v>
      </c>
      <c r="D536" s="40"/>
      <c r="E536" s="40"/>
      <c r="F536" s="50" t="s">
        <v>76</v>
      </c>
      <c r="G536" s="51">
        <v>2.5</v>
      </c>
      <c r="H536" s="40"/>
      <c r="I536" s="52">
        <v>0</v>
      </c>
      <c r="J536" s="53">
        <v>60</v>
      </c>
      <c r="K536" s="54"/>
      <c r="L536" s="54"/>
      <c r="M536" s="53">
        <f>ROUND(ROUND(J536, 2)*I536, 2)</f>
        <v>0</v>
      </c>
      <c r="N536" s="54"/>
      <c r="O536" s="54"/>
      <c r="P536" s="53">
        <v>12.58</v>
      </c>
      <c r="Q536" s="54"/>
      <c r="R536" s="54"/>
      <c r="S536" s="53">
        <f>ROUND(ROUND(P536, 2)*I536, 2)</f>
        <v>0</v>
      </c>
      <c r="T536" s="54"/>
      <c r="U536" s="55"/>
      <c r="V536" s="9">
        <f>ROUND(ROUND(P536, 2)/1.2, 2)</f>
        <v>10.48</v>
      </c>
      <c r="Y536" s="9">
        <f>ROUND(S536 / 1.2, 2)</f>
        <v>0</v>
      </c>
      <c r="AD536" s="4" t="s">
        <v>1634</v>
      </c>
      <c r="AE536" s="4" t="s">
        <v>1635</v>
      </c>
      <c r="AF536" s="4" t="s">
        <v>925</v>
      </c>
    </row>
    <row r="537" spans="1:35" ht="36" x14ac:dyDescent="0.3">
      <c r="A537" s="44" t="s">
        <v>1636</v>
      </c>
      <c r="B537" s="44"/>
      <c r="C537" s="56" t="s">
        <v>922</v>
      </c>
      <c r="D537" s="46"/>
      <c r="E537" s="46"/>
      <c r="F537" s="57" t="s">
        <v>76</v>
      </c>
      <c r="G537" s="58">
        <v>2.5</v>
      </c>
      <c r="H537" s="46"/>
      <c r="I537" s="58">
        <v>370.25</v>
      </c>
      <c r="J537" s="59">
        <v>60</v>
      </c>
      <c r="K537" s="60"/>
      <c r="L537" s="60"/>
      <c r="M537" s="59">
        <f>ROUND(ROUND(J537, 2)*I537, 2)</f>
        <v>22215</v>
      </c>
      <c r="N537" s="60"/>
      <c r="O537" s="60"/>
      <c r="P537" s="59">
        <v>12.58</v>
      </c>
      <c r="Q537" s="60"/>
      <c r="R537" s="60"/>
      <c r="S537" s="59">
        <f>ROUND(ROUND(P537, 2)*I537, 2)</f>
        <v>4657.75</v>
      </c>
      <c r="T537" s="60"/>
      <c r="U537" s="61"/>
      <c r="V537" s="9">
        <f>ROUND(ROUND(P537, 2)/1.2, 2)</f>
        <v>10.48</v>
      </c>
      <c r="Y537" s="9">
        <f>ROUND(S537 / 1.2, 2)</f>
        <v>3881.46</v>
      </c>
      <c r="AD537" s="4" t="s">
        <v>1637</v>
      </c>
      <c r="AE537" s="4" t="s">
        <v>1635</v>
      </c>
      <c r="AF537" s="4" t="s">
        <v>925</v>
      </c>
    </row>
    <row r="538" spans="1:35" ht="36" x14ac:dyDescent="0.3">
      <c r="A538" s="38" t="s">
        <v>1638</v>
      </c>
      <c r="B538" s="38" t="s">
        <v>1575</v>
      </c>
      <c r="C538" s="39" t="s">
        <v>1576</v>
      </c>
      <c r="D538" s="40"/>
      <c r="E538" s="40" t="s">
        <v>877</v>
      </c>
      <c r="F538" s="40" t="s">
        <v>57</v>
      </c>
      <c r="G538" s="41">
        <v>1</v>
      </c>
      <c r="H538" s="40"/>
      <c r="I538" s="42">
        <v>0</v>
      </c>
      <c r="J538" s="43">
        <v>47.82</v>
      </c>
      <c r="K538" s="43">
        <v>718</v>
      </c>
      <c r="L538" s="43">
        <f>J538+ROUND(K538, 2)</f>
        <v>765.82</v>
      </c>
      <c r="M538" s="43">
        <v>0</v>
      </c>
      <c r="N538" s="43">
        <v>0</v>
      </c>
      <c r="O538" s="43">
        <f>M538+N538</f>
        <v>0</v>
      </c>
      <c r="P538" s="43">
        <v>32.19</v>
      </c>
      <c r="Q538" s="43">
        <v>718</v>
      </c>
      <c r="R538" s="43">
        <f>P538+ROUND(Q538, 2)</f>
        <v>750.19</v>
      </c>
      <c r="S538" s="43">
        <v>0</v>
      </c>
      <c r="T538" s="43">
        <v>0</v>
      </c>
      <c r="U538" s="43">
        <f>S538+T538</f>
        <v>0</v>
      </c>
      <c r="V538" s="9">
        <f>ROUND(P538 / 1.2, 2)</f>
        <v>26.83</v>
      </c>
      <c r="W538" s="9">
        <f>ROUND(Q538 / 1.2, 2)</f>
        <v>598.33000000000004</v>
      </c>
      <c r="X538" s="9">
        <f>ROUND(R538 / 1.2, 2)</f>
        <v>625.16</v>
      </c>
      <c r="Y538" s="9">
        <f>ROUND(S538 / 1.2, 2)</f>
        <v>0</v>
      </c>
      <c r="Z538" s="9">
        <f>ROUND(T538 / 1.2, 2)</f>
        <v>0</v>
      </c>
      <c r="AA538" s="9">
        <f>Y538+Z538</f>
        <v>0</v>
      </c>
      <c r="AD538" s="4">
        <v>341534426</v>
      </c>
      <c r="AE538" s="4">
        <v>25837403</v>
      </c>
      <c r="AG538" s="4" t="s">
        <v>1578</v>
      </c>
      <c r="AH538" s="4" t="s">
        <v>1579</v>
      </c>
      <c r="AI538" s="4" t="s">
        <v>241</v>
      </c>
    </row>
    <row r="539" spans="1:35" ht="36" x14ac:dyDescent="0.3">
      <c r="A539" s="44" t="s">
        <v>1639</v>
      </c>
      <c r="B539" s="44" t="s">
        <v>1575</v>
      </c>
      <c r="C539" s="45" t="s">
        <v>1576</v>
      </c>
      <c r="D539" s="46"/>
      <c r="E539" s="46" t="s">
        <v>877</v>
      </c>
      <c r="F539" s="46" t="s">
        <v>57</v>
      </c>
      <c r="G539" s="47">
        <v>1</v>
      </c>
      <c r="H539" s="46"/>
      <c r="I539" s="47">
        <v>148.1</v>
      </c>
      <c r="J539" s="48">
        <v>47.82</v>
      </c>
      <c r="K539" s="48">
        <v>718</v>
      </c>
      <c r="L539" s="48">
        <v>718</v>
      </c>
      <c r="M539" s="48">
        <v>7082.14</v>
      </c>
      <c r="N539" s="48">
        <v>106335.8</v>
      </c>
      <c r="O539" s="48"/>
      <c r="P539" s="48">
        <v>32.19</v>
      </c>
      <c r="Q539" s="48">
        <v>718</v>
      </c>
      <c r="R539" s="48">
        <v>718</v>
      </c>
      <c r="S539" s="48">
        <v>4767.34</v>
      </c>
      <c r="T539" s="48">
        <v>106335.8</v>
      </c>
      <c r="U539" s="48"/>
      <c r="V539" s="9"/>
      <c r="W539" s="9">
        <f>ROUND(Q539 / 1.2, 2)</f>
        <v>598.33000000000004</v>
      </c>
      <c r="X539" s="9">
        <f>ROUND(R539 / 1.2, 2)</f>
        <v>598.33000000000004</v>
      </c>
      <c r="Y539" s="9"/>
      <c r="Z539" s="9">
        <f>ROUND(T539 / 1.2, 2)</f>
        <v>88613.17</v>
      </c>
      <c r="AA539" s="9"/>
      <c r="AD539" s="4">
        <v>314469400</v>
      </c>
      <c r="AE539" s="4">
        <v>25837403</v>
      </c>
      <c r="AG539" s="4" t="s">
        <v>1578</v>
      </c>
      <c r="AH539" s="4" t="s">
        <v>1579</v>
      </c>
      <c r="AI539" s="4"/>
    </row>
    <row r="540" spans="1:35" ht="36" x14ac:dyDescent="0.3">
      <c r="A540" s="38" t="s">
        <v>1640</v>
      </c>
      <c r="B540" s="38"/>
      <c r="C540" s="49" t="s">
        <v>509</v>
      </c>
      <c r="D540" s="40"/>
      <c r="E540" s="40"/>
      <c r="F540" s="50" t="s">
        <v>76</v>
      </c>
      <c r="G540" s="51">
        <v>0.15</v>
      </c>
      <c r="H540" s="40"/>
      <c r="I540" s="52">
        <v>0</v>
      </c>
      <c r="J540" s="53">
        <v>88.8</v>
      </c>
      <c r="K540" s="54"/>
      <c r="L540" s="54"/>
      <c r="M540" s="53">
        <f>ROUND(ROUND(J540, 2)*I540, 2)</f>
        <v>0</v>
      </c>
      <c r="N540" s="54"/>
      <c r="O540" s="54"/>
      <c r="P540" s="53">
        <v>88.8</v>
      </c>
      <c r="Q540" s="54"/>
      <c r="R540" s="54"/>
      <c r="S540" s="53">
        <f>ROUND(ROUND(P540, 2)*I540, 2)</f>
        <v>0</v>
      </c>
      <c r="T540" s="54"/>
      <c r="U540" s="55"/>
      <c r="V540" s="9">
        <f>ROUND(ROUND(P540, 2)/1.2, 2)</f>
        <v>74</v>
      </c>
      <c r="Y540" s="9">
        <f t="shared" ref="Y540:Y552" si="115">ROUND(S540 / 1.2, 2)</f>
        <v>0</v>
      </c>
      <c r="AD540" s="4" t="s">
        <v>1641</v>
      </c>
      <c r="AE540" s="4" t="s">
        <v>1642</v>
      </c>
      <c r="AF540" s="4" t="s">
        <v>512</v>
      </c>
    </row>
    <row r="541" spans="1:35" ht="36" x14ac:dyDescent="0.3">
      <c r="A541" s="44" t="s">
        <v>1643</v>
      </c>
      <c r="B541" s="44"/>
      <c r="C541" s="56" t="s">
        <v>509</v>
      </c>
      <c r="D541" s="46"/>
      <c r="E541" s="46"/>
      <c r="F541" s="57" t="s">
        <v>76</v>
      </c>
      <c r="G541" s="58">
        <v>0.15</v>
      </c>
      <c r="H541" s="46"/>
      <c r="I541" s="58">
        <v>22.215</v>
      </c>
      <c r="J541" s="59">
        <v>88.8</v>
      </c>
      <c r="K541" s="60"/>
      <c r="L541" s="60"/>
      <c r="M541" s="59">
        <f>ROUND(ROUND(J541, 2)*I541, 2)</f>
        <v>1972.69</v>
      </c>
      <c r="N541" s="60"/>
      <c r="O541" s="60"/>
      <c r="P541" s="59">
        <v>88.8</v>
      </c>
      <c r="Q541" s="60"/>
      <c r="R541" s="60"/>
      <c r="S541" s="59">
        <f>ROUND(ROUND(P541, 2)*I541, 2)</f>
        <v>1972.69</v>
      </c>
      <c r="T541" s="60"/>
      <c r="U541" s="61"/>
      <c r="V541" s="9">
        <f>ROUND(ROUND(P541, 2)/1.2, 2)</f>
        <v>74</v>
      </c>
      <c r="Y541" s="9">
        <f t="shared" si="115"/>
        <v>1643.91</v>
      </c>
      <c r="AD541" s="4" t="s">
        <v>1644</v>
      </c>
      <c r="AE541" s="4" t="s">
        <v>1642</v>
      </c>
      <c r="AF541" s="4" t="s">
        <v>512</v>
      </c>
    </row>
    <row r="542" spans="1:35" ht="36" x14ac:dyDescent="0.3">
      <c r="A542" s="38" t="s">
        <v>1645</v>
      </c>
      <c r="B542" s="38"/>
      <c r="C542" s="49" t="s">
        <v>934</v>
      </c>
      <c r="D542" s="40"/>
      <c r="E542" s="40"/>
      <c r="F542" s="50" t="s">
        <v>76</v>
      </c>
      <c r="G542" s="51">
        <v>1.5</v>
      </c>
      <c r="H542" s="40"/>
      <c r="I542" s="52">
        <v>0</v>
      </c>
      <c r="J542" s="53">
        <v>23</v>
      </c>
      <c r="K542" s="54"/>
      <c r="L542" s="54"/>
      <c r="M542" s="53">
        <f>ROUND(ROUND(J542, 2)*I542, 2)</f>
        <v>0</v>
      </c>
      <c r="N542" s="54"/>
      <c r="O542" s="54"/>
      <c r="P542" s="53">
        <v>12.58</v>
      </c>
      <c r="Q542" s="54"/>
      <c r="R542" s="54"/>
      <c r="S542" s="53">
        <f>ROUND(ROUND(P542, 2)*I542, 2)</f>
        <v>0</v>
      </c>
      <c r="T542" s="54"/>
      <c r="U542" s="55"/>
      <c r="V542" s="9">
        <f>ROUND(ROUND(P542, 2)/1.2, 2)</f>
        <v>10.48</v>
      </c>
      <c r="Y542" s="9">
        <f t="shared" si="115"/>
        <v>0</v>
      </c>
      <c r="AD542" s="4" t="s">
        <v>1646</v>
      </c>
      <c r="AE542" s="4" t="s">
        <v>1647</v>
      </c>
      <c r="AF542" s="4" t="s">
        <v>937</v>
      </c>
    </row>
    <row r="543" spans="1:35" ht="36" x14ac:dyDescent="0.3">
      <c r="A543" s="44" t="s">
        <v>1648</v>
      </c>
      <c r="B543" s="44"/>
      <c r="C543" s="56" t="s">
        <v>934</v>
      </c>
      <c r="D543" s="46"/>
      <c r="E543" s="46"/>
      <c r="F543" s="57" t="s">
        <v>76</v>
      </c>
      <c r="G543" s="58">
        <v>1.5</v>
      </c>
      <c r="H543" s="46"/>
      <c r="I543" s="58">
        <v>222.15</v>
      </c>
      <c r="J543" s="59">
        <v>23</v>
      </c>
      <c r="K543" s="60"/>
      <c r="L543" s="60"/>
      <c r="M543" s="59">
        <f>ROUND(ROUND(J543, 2)*I543, 2)</f>
        <v>5109.45</v>
      </c>
      <c r="N543" s="60"/>
      <c r="O543" s="60"/>
      <c r="P543" s="59">
        <v>12.58</v>
      </c>
      <c r="Q543" s="60"/>
      <c r="R543" s="60"/>
      <c r="S543" s="59">
        <f>ROUND(ROUND(P543, 2)*I543, 2)</f>
        <v>2794.65</v>
      </c>
      <c r="T543" s="60"/>
      <c r="U543" s="61"/>
      <c r="V543" s="9">
        <f>ROUND(ROUND(P543, 2)/1.2, 2)</f>
        <v>10.48</v>
      </c>
      <c r="Y543" s="9">
        <f t="shared" si="115"/>
        <v>2328.88</v>
      </c>
      <c r="AD543" s="4" t="s">
        <v>1649</v>
      </c>
      <c r="AE543" s="4" t="s">
        <v>1647</v>
      </c>
      <c r="AF543" s="4" t="s">
        <v>937</v>
      </c>
    </row>
    <row r="544" spans="1:35" ht="54" x14ac:dyDescent="0.3">
      <c r="A544" s="11" t="s">
        <v>1650</v>
      </c>
      <c r="B544" s="11" t="s">
        <v>1575</v>
      </c>
      <c r="C544" s="20" t="s">
        <v>1576</v>
      </c>
      <c r="D544" s="21"/>
      <c r="E544" s="21" t="s">
        <v>1651</v>
      </c>
      <c r="F544" s="21" t="s">
        <v>57</v>
      </c>
      <c r="G544" s="22">
        <v>1</v>
      </c>
      <c r="H544" s="21"/>
      <c r="I544" s="22">
        <v>852.88</v>
      </c>
      <c r="J544" s="23">
        <f>IFERROR(ROUND(SUM(M545,M546)/I544, 2),0)</f>
        <v>68.709999999999994</v>
      </c>
      <c r="K544" s="23">
        <v>790</v>
      </c>
      <c r="L544" s="23">
        <f>J544+ROUND(K544, 2)</f>
        <v>858.71</v>
      </c>
      <c r="M544" s="23">
        <f>ROUND(J544*I544, 2)</f>
        <v>58601.38</v>
      </c>
      <c r="N544" s="23">
        <f>ROUND(I544*ROUND(K544, 2), 2)</f>
        <v>673775.2</v>
      </c>
      <c r="O544" s="23">
        <f>M544+N544</f>
        <v>732376.58</v>
      </c>
      <c r="P544" s="23">
        <f>IFERROR(ROUND(SUM(S545,S546)/I544, 2),0)</f>
        <v>69.930000000000007</v>
      </c>
      <c r="Q544" s="23">
        <v>790</v>
      </c>
      <c r="R544" s="23">
        <f>P544+ROUND(Q544, 2)</f>
        <v>859.93000000000006</v>
      </c>
      <c r="S544" s="23">
        <f>ROUND(P544*I544, 2)</f>
        <v>59641.9</v>
      </c>
      <c r="T544" s="23">
        <f>ROUND(I544*ROUND(Q544, 2), 2)</f>
        <v>673775.2</v>
      </c>
      <c r="U544" s="23">
        <f>S544+T544</f>
        <v>733417.1</v>
      </c>
      <c r="V544" s="9">
        <f>ROUND(P544 / 1.2, 2)</f>
        <v>58.28</v>
      </c>
      <c r="W544" s="9">
        <f>ROUND(Q544 / 1.2, 2)</f>
        <v>658.33</v>
      </c>
      <c r="X544" s="9">
        <f>ROUND(R544 / 1.2, 2)</f>
        <v>716.61</v>
      </c>
      <c r="Y544" s="9">
        <f t="shared" si="115"/>
        <v>49701.58</v>
      </c>
      <c r="Z544" s="9">
        <f>ROUND(T544 / 1.2, 2)</f>
        <v>561479.32999999996</v>
      </c>
      <c r="AA544" s="9">
        <f>Y544+Z544</f>
        <v>611180.90999999992</v>
      </c>
      <c r="AD544" s="4">
        <v>341534427</v>
      </c>
      <c r="AE544" s="4">
        <v>28278814</v>
      </c>
      <c r="AG544" s="4" t="s">
        <v>1578</v>
      </c>
      <c r="AH544" s="4" t="s">
        <v>1579</v>
      </c>
      <c r="AI544" s="4" t="s">
        <v>241</v>
      </c>
    </row>
    <row r="545" spans="1:35" ht="36" x14ac:dyDescent="0.3">
      <c r="A545" s="11" t="s">
        <v>1652</v>
      </c>
      <c r="B545" s="11"/>
      <c r="C545" s="30" t="s">
        <v>509</v>
      </c>
      <c r="D545" s="21"/>
      <c r="E545" s="21"/>
      <c r="F545" s="31" t="s">
        <v>76</v>
      </c>
      <c r="G545" s="32">
        <v>0.15</v>
      </c>
      <c r="H545" s="21"/>
      <c r="I545" s="32">
        <v>127.932</v>
      </c>
      <c r="J545" s="33">
        <v>90.28</v>
      </c>
      <c r="K545" s="12"/>
      <c r="L545" s="12"/>
      <c r="M545" s="33">
        <f>ROUND(ROUND(J545, 2)*I545, 2)</f>
        <v>11549.7</v>
      </c>
      <c r="N545" s="12"/>
      <c r="O545" s="12"/>
      <c r="P545" s="33">
        <v>88.8</v>
      </c>
      <c r="Q545" s="12"/>
      <c r="R545" s="12"/>
      <c r="S545" s="33">
        <f>ROUND(ROUND(P545, 2)*I545, 2)</f>
        <v>11360.36</v>
      </c>
      <c r="T545" s="12"/>
      <c r="U545" s="34"/>
      <c r="V545" s="9">
        <f>ROUND(ROUND(P545, 2)/1.2, 2)</f>
        <v>74</v>
      </c>
      <c r="Y545" s="9">
        <f t="shared" si="115"/>
        <v>9466.9699999999993</v>
      </c>
      <c r="AD545" s="4" t="s">
        <v>1653</v>
      </c>
      <c r="AE545" s="4" t="s">
        <v>1654</v>
      </c>
      <c r="AF545" s="4" t="s">
        <v>512</v>
      </c>
    </row>
    <row r="546" spans="1:35" ht="36" x14ac:dyDescent="0.3">
      <c r="A546" s="11" t="s">
        <v>1655</v>
      </c>
      <c r="B546" s="11"/>
      <c r="C546" s="35" t="s">
        <v>961</v>
      </c>
      <c r="D546" s="21"/>
      <c r="E546" s="21"/>
      <c r="F546" s="31" t="s">
        <v>76</v>
      </c>
      <c r="G546" s="32">
        <v>4.5</v>
      </c>
      <c r="H546" s="21"/>
      <c r="I546" s="32">
        <v>3837.96</v>
      </c>
      <c r="J546" s="33">
        <v>12.26</v>
      </c>
      <c r="K546" s="12"/>
      <c r="L546" s="12"/>
      <c r="M546" s="33">
        <f>ROUND(ROUND(J546, 2)*I546, 2)</f>
        <v>47053.39</v>
      </c>
      <c r="N546" s="12"/>
      <c r="O546" s="12"/>
      <c r="P546" s="33">
        <v>12.58</v>
      </c>
      <c r="Q546" s="12"/>
      <c r="R546" s="12"/>
      <c r="S546" s="33">
        <f>ROUND(ROUND(P546, 2)*I546, 2)</f>
        <v>48281.54</v>
      </c>
      <c r="T546" s="12"/>
      <c r="U546" s="34"/>
      <c r="V546" s="9">
        <f>ROUND(ROUND(P546, 2)/1.2, 2)</f>
        <v>10.48</v>
      </c>
      <c r="Y546" s="9">
        <f t="shared" si="115"/>
        <v>40234.620000000003</v>
      </c>
      <c r="AD546" s="4" t="s">
        <v>1656</v>
      </c>
      <c r="AE546" s="4" t="s">
        <v>1657</v>
      </c>
      <c r="AF546" s="4" t="s">
        <v>1147</v>
      </c>
    </row>
    <row r="547" spans="1:35" ht="36" x14ac:dyDescent="0.3">
      <c r="A547" s="11" t="s">
        <v>1658</v>
      </c>
      <c r="B547" s="11" t="s">
        <v>1575</v>
      </c>
      <c r="C547" s="20" t="s">
        <v>1576</v>
      </c>
      <c r="D547" s="21"/>
      <c r="E547" s="21" t="s">
        <v>1149</v>
      </c>
      <c r="F547" s="21" t="s">
        <v>57</v>
      </c>
      <c r="G547" s="22">
        <v>1</v>
      </c>
      <c r="H547" s="21"/>
      <c r="I547" s="22">
        <v>852.88</v>
      </c>
      <c r="J547" s="23">
        <f>IFERROR(ROUND(SUM(M548,M549)/I547, 2),0)</f>
        <v>68.709999999999994</v>
      </c>
      <c r="K547" s="23">
        <v>790</v>
      </c>
      <c r="L547" s="23">
        <f>J547+ROUND(K547, 2)</f>
        <v>858.71</v>
      </c>
      <c r="M547" s="23">
        <f>ROUND(J547*I547, 2)</f>
        <v>58601.38</v>
      </c>
      <c r="N547" s="23">
        <f>ROUND(I547*ROUND(K547, 2), 2)</f>
        <v>673775.2</v>
      </c>
      <c r="O547" s="23">
        <f>M547+N547</f>
        <v>732376.58</v>
      </c>
      <c r="P547" s="23">
        <f>IFERROR(ROUND(SUM(S548,S549)/I547, 2),0)</f>
        <v>69.930000000000007</v>
      </c>
      <c r="Q547" s="23">
        <v>790</v>
      </c>
      <c r="R547" s="23">
        <f>P547+ROUND(Q547, 2)</f>
        <v>859.93000000000006</v>
      </c>
      <c r="S547" s="23">
        <f>ROUND(P547*I547, 2)</f>
        <v>59641.9</v>
      </c>
      <c r="T547" s="23">
        <f>ROUND(I547*ROUND(Q547, 2), 2)</f>
        <v>673775.2</v>
      </c>
      <c r="U547" s="23">
        <f>S547+T547</f>
        <v>733417.1</v>
      </c>
      <c r="V547" s="9">
        <f>ROUND(P547 / 1.2, 2)</f>
        <v>58.28</v>
      </c>
      <c r="W547" s="9">
        <f>ROUND(Q547 / 1.2, 2)</f>
        <v>658.33</v>
      </c>
      <c r="X547" s="9">
        <f>ROUND(R547 / 1.2, 2)</f>
        <v>716.61</v>
      </c>
      <c r="Y547" s="9">
        <f t="shared" si="115"/>
        <v>49701.58</v>
      </c>
      <c r="Z547" s="9">
        <f>ROUND(T547 / 1.2, 2)</f>
        <v>561479.32999999996</v>
      </c>
      <c r="AA547" s="9">
        <f>Y547+Z547</f>
        <v>611180.90999999992</v>
      </c>
      <c r="AD547" s="4">
        <v>341534428</v>
      </c>
      <c r="AE547" s="4">
        <v>28278817</v>
      </c>
      <c r="AG547" s="4" t="s">
        <v>1578</v>
      </c>
      <c r="AH547" s="4" t="s">
        <v>1579</v>
      </c>
      <c r="AI547" s="4" t="s">
        <v>241</v>
      </c>
    </row>
    <row r="548" spans="1:35" ht="36" x14ac:dyDescent="0.3">
      <c r="A548" s="11" t="s">
        <v>1659</v>
      </c>
      <c r="B548" s="11"/>
      <c r="C548" s="30" t="s">
        <v>509</v>
      </c>
      <c r="D548" s="21"/>
      <c r="E548" s="21"/>
      <c r="F548" s="31" t="s">
        <v>76</v>
      </c>
      <c r="G548" s="32">
        <v>0.15</v>
      </c>
      <c r="H548" s="21"/>
      <c r="I548" s="32">
        <v>127.932</v>
      </c>
      <c r="J548" s="33">
        <v>90.28</v>
      </c>
      <c r="K548" s="12"/>
      <c r="L548" s="12"/>
      <c r="M548" s="33">
        <f>ROUND(ROUND(J548, 2)*I548, 2)</f>
        <v>11549.7</v>
      </c>
      <c r="N548" s="12"/>
      <c r="O548" s="12"/>
      <c r="P548" s="33">
        <v>88.8</v>
      </c>
      <c r="Q548" s="12"/>
      <c r="R548" s="12"/>
      <c r="S548" s="33">
        <f>ROUND(ROUND(P548, 2)*I548, 2)</f>
        <v>11360.36</v>
      </c>
      <c r="T548" s="12"/>
      <c r="U548" s="34"/>
      <c r="V548" s="9">
        <f>ROUND(ROUND(P548, 2)/1.2, 2)</f>
        <v>74</v>
      </c>
      <c r="Y548" s="9">
        <f t="shared" si="115"/>
        <v>9466.9699999999993</v>
      </c>
      <c r="AD548" s="4" t="s">
        <v>1660</v>
      </c>
      <c r="AE548" s="4" t="s">
        <v>1661</v>
      </c>
      <c r="AF548" s="4" t="s">
        <v>512</v>
      </c>
    </row>
    <row r="549" spans="1:35" ht="36" x14ac:dyDescent="0.3">
      <c r="A549" s="11" t="s">
        <v>1662</v>
      </c>
      <c r="B549" s="11"/>
      <c r="C549" s="35" t="s">
        <v>961</v>
      </c>
      <c r="D549" s="21"/>
      <c r="E549" s="21"/>
      <c r="F549" s="31" t="s">
        <v>76</v>
      </c>
      <c r="G549" s="32">
        <v>4.5</v>
      </c>
      <c r="H549" s="21"/>
      <c r="I549" s="32">
        <v>3837.96</v>
      </c>
      <c r="J549" s="33">
        <v>12.26</v>
      </c>
      <c r="K549" s="12"/>
      <c r="L549" s="12"/>
      <c r="M549" s="33">
        <f>ROUND(ROUND(J549, 2)*I549, 2)</f>
        <v>47053.39</v>
      </c>
      <c r="N549" s="12"/>
      <c r="O549" s="12"/>
      <c r="P549" s="33">
        <v>12.58</v>
      </c>
      <c r="Q549" s="12"/>
      <c r="R549" s="12"/>
      <c r="S549" s="33">
        <f>ROUND(ROUND(P549, 2)*I549, 2)</f>
        <v>48281.54</v>
      </c>
      <c r="T549" s="12"/>
      <c r="U549" s="34"/>
      <c r="V549" s="9">
        <f>ROUND(ROUND(P549, 2)/1.2, 2)</f>
        <v>10.48</v>
      </c>
      <c r="Y549" s="9">
        <f t="shared" si="115"/>
        <v>40234.620000000003</v>
      </c>
      <c r="AD549" s="4" t="s">
        <v>1663</v>
      </c>
      <c r="AE549" s="4" t="s">
        <v>1664</v>
      </c>
      <c r="AF549" s="4" t="s">
        <v>1147</v>
      </c>
    </row>
    <row r="550" spans="1:35" ht="36" x14ac:dyDescent="0.3">
      <c r="A550" s="11" t="s">
        <v>1665</v>
      </c>
      <c r="B550" s="11" t="s">
        <v>1575</v>
      </c>
      <c r="C550" s="20" t="s">
        <v>1576</v>
      </c>
      <c r="D550" s="21"/>
      <c r="E550" s="21" t="s">
        <v>1157</v>
      </c>
      <c r="F550" s="21" t="s">
        <v>57</v>
      </c>
      <c r="G550" s="22">
        <v>1</v>
      </c>
      <c r="H550" s="21"/>
      <c r="I550" s="22">
        <v>852.88</v>
      </c>
      <c r="J550" s="23">
        <f>IFERROR(ROUND(SUM(M551,M552)/I550, 2),0)</f>
        <v>68.709999999999994</v>
      </c>
      <c r="K550" s="23">
        <v>790</v>
      </c>
      <c r="L550" s="23">
        <f>J550+ROUND(K550, 2)</f>
        <v>858.71</v>
      </c>
      <c r="M550" s="23">
        <f>ROUND(J550*I550, 2)</f>
        <v>58601.38</v>
      </c>
      <c r="N550" s="23">
        <f>ROUND(I550*ROUND(K550, 2), 2)</f>
        <v>673775.2</v>
      </c>
      <c r="O550" s="23">
        <f>M550+N550</f>
        <v>732376.58</v>
      </c>
      <c r="P550" s="23">
        <f>IFERROR(ROUND(SUM(S551,S552)/I550, 2),0)</f>
        <v>69.930000000000007</v>
      </c>
      <c r="Q550" s="23">
        <v>790</v>
      </c>
      <c r="R550" s="23">
        <f>P550+ROUND(Q550, 2)</f>
        <v>859.93000000000006</v>
      </c>
      <c r="S550" s="23">
        <f>ROUND(P550*I550, 2)</f>
        <v>59641.9</v>
      </c>
      <c r="T550" s="23">
        <f>ROUND(I550*ROUND(Q550, 2), 2)</f>
        <v>673775.2</v>
      </c>
      <c r="U550" s="23">
        <f>S550+T550</f>
        <v>733417.1</v>
      </c>
      <c r="V550" s="9">
        <f>ROUND(P550 / 1.2, 2)</f>
        <v>58.28</v>
      </c>
      <c r="W550" s="9">
        <f>ROUND(Q550 / 1.2, 2)</f>
        <v>658.33</v>
      </c>
      <c r="X550" s="9">
        <f>ROUND(R550 / 1.2, 2)</f>
        <v>716.61</v>
      </c>
      <c r="Y550" s="9">
        <f t="shared" si="115"/>
        <v>49701.58</v>
      </c>
      <c r="Z550" s="9">
        <f>ROUND(T550 / 1.2, 2)</f>
        <v>561479.32999999996</v>
      </c>
      <c r="AA550" s="9">
        <f>Y550+Z550</f>
        <v>611180.90999999992</v>
      </c>
      <c r="AD550" s="4">
        <v>341534429</v>
      </c>
      <c r="AE550" s="4">
        <v>28278816</v>
      </c>
      <c r="AG550" s="4" t="s">
        <v>1578</v>
      </c>
      <c r="AH550" s="4" t="s">
        <v>1579</v>
      </c>
      <c r="AI550" s="4" t="s">
        <v>241</v>
      </c>
    </row>
    <row r="551" spans="1:35" ht="36" x14ac:dyDescent="0.3">
      <c r="A551" s="11" t="s">
        <v>1666</v>
      </c>
      <c r="B551" s="11"/>
      <c r="C551" s="30" t="s">
        <v>509</v>
      </c>
      <c r="D551" s="21"/>
      <c r="E551" s="21"/>
      <c r="F551" s="31" t="s">
        <v>76</v>
      </c>
      <c r="G551" s="32">
        <v>0.15</v>
      </c>
      <c r="H551" s="21"/>
      <c r="I551" s="32">
        <v>127.932</v>
      </c>
      <c r="J551" s="33">
        <v>90.28</v>
      </c>
      <c r="K551" s="12"/>
      <c r="L551" s="12"/>
      <c r="M551" s="33">
        <f>ROUND(ROUND(J551, 2)*I551, 2)</f>
        <v>11549.7</v>
      </c>
      <c r="N551" s="12"/>
      <c r="O551" s="12"/>
      <c r="P551" s="33">
        <v>88.8</v>
      </c>
      <c r="Q551" s="12"/>
      <c r="R551" s="12"/>
      <c r="S551" s="33">
        <f>ROUND(ROUND(P551, 2)*I551, 2)</f>
        <v>11360.36</v>
      </c>
      <c r="T551" s="12"/>
      <c r="U551" s="34"/>
      <c r="V551" s="9">
        <f>ROUND(ROUND(P551, 2)/1.2, 2)</f>
        <v>74</v>
      </c>
      <c r="Y551" s="9">
        <f t="shared" si="115"/>
        <v>9466.9699999999993</v>
      </c>
      <c r="AD551" s="4" t="s">
        <v>1667</v>
      </c>
      <c r="AE551" s="4" t="s">
        <v>1668</v>
      </c>
      <c r="AF551" s="4" t="s">
        <v>512</v>
      </c>
    </row>
    <row r="552" spans="1:35" ht="36" x14ac:dyDescent="0.3">
      <c r="A552" s="11" t="s">
        <v>1669</v>
      </c>
      <c r="B552" s="11"/>
      <c r="C552" s="35" t="s">
        <v>961</v>
      </c>
      <c r="D552" s="21"/>
      <c r="E552" s="21"/>
      <c r="F552" s="31" t="s">
        <v>76</v>
      </c>
      <c r="G552" s="32">
        <v>4.5</v>
      </c>
      <c r="H552" s="21"/>
      <c r="I552" s="32">
        <v>3837.96</v>
      </c>
      <c r="J552" s="33">
        <v>12.26</v>
      </c>
      <c r="K552" s="12"/>
      <c r="L552" s="12"/>
      <c r="M552" s="33">
        <f>ROUND(ROUND(J552, 2)*I552, 2)</f>
        <v>47053.39</v>
      </c>
      <c r="N552" s="12"/>
      <c r="O552" s="12"/>
      <c r="P552" s="33">
        <v>12.58</v>
      </c>
      <c r="Q552" s="12"/>
      <c r="R552" s="12"/>
      <c r="S552" s="33">
        <f>ROUND(ROUND(P552, 2)*I552, 2)</f>
        <v>48281.54</v>
      </c>
      <c r="T552" s="12"/>
      <c r="U552" s="34"/>
      <c r="V552" s="9">
        <f>ROUND(ROUND(P552, 2)/1.2, 2)</f>
        <v>10.48</v>
      </c>
      <c r="Y552" s="9">
        <f t="shared" si="115"/>
        <v>40234.620000000003</v>
      </c>
      <c r="AD552" s="4" t="s">
        <v>1670</v>
      </c>
      <c r="AE552" s="4" t="s">
        <v>1671</v>
      </c>
      <c r="AF552" s="4" t="s">
        <v>1147</v>
      </c>
    </row>
    <row r="553" spans="1:35" ht="16.95" customHeight="1" x14ac:dyDescent="0.3">
      <c r="A553" s="10" t="s">
        <v>1672</v>
      </c>
      <c r="B553" s="10" t="s">
        <v>1673</v>
      </c>
      <c r="C553" s="121" t="s">
        <v>1674</v>
      </c>
      <c r="D553" s="122"/>
      <c r="E553" s="122"/>
      <c r="F553" s="122"/>
      <c r="G553" s="122"/>
      <c r="H553" s="122"/>
      <c r="I553" s="123"/>
      <c r="M553" s="6">
        <f>SUM(M554,M560,M566,M569)</f>
        <v>160143.97</v>
      </c>
      <c r="N553" s="6">
        <f>SUM(N554,N560,N566,N569)</f>
        <v>888660.3600000001</v>
      </c>
      <c r="O553" s="6">
        <f>SUM(O554,O560,O566,O569)</f>
        <v>1048804.33</v>
      </c>
      <c r="S553" s="6">
        <f>SUM(S554,S560,S566,S569)</f>
        <v>197019.58000000002</v>
      </c>
      <c r="T553" s="6">
        <f>SUM(T554,T560,T566,T569)</f>
        <v>888660.3600000001</v>
      </c>
      <c r="U553" s="6">
        <f>SUM(U554,U560,U566,U569)</f>
        <v>1085679.94</v>
      </c>
      <c r="Y553" s="9">
        <f>SUM(Y554,Y560,Y566,Y569)</f>
        <v>164182.99000000002</v>
      </c>
      <c r="Z553" s="9">
        <f>SUM(Z554,Z560,Z566,Z569)</f>
        <v>740550.29</v>
      </c>
      <c r="AA553" s="9">
        <f>SUM(AA554,AA560,AA566,AA569)</f>
        <v>904733.28</v>
      </c>
      <c r="AD553" s="4">
        <v>341534350</v>
      </c>
      <c r="AE553" s="4">
        <v>25837354</v>
      </c>
    </row>
    <row r="554" spans="1:35" ht="54" x14ac:dyDescent="0.3">
      <c r="A554" s="38" t="s">
        <v>1675</v>
      </c>
      <c r="B554" s="38" t="s">
        <v>1676</v>
      </c>
      <c r="C554" s="39" t="s">
        <v>1677</v>
      </c>
      <c r="D554" s="40"/>
      <c r="E554" s="40" t="s">
        <v>1678</v>
      </c>
      <c r="F554" s="40" t="s">
        <v>57</v>
      </c>
      <c r="G554" s="41">
        <v>1</v>
      </c>
      <c r="H554" s="40"/>
      <c r="I554" s="42">
        <v>897.5</v>
      </c>
      <c r="J554" s="43">
        <v>81.319999999999993</v>
      </c>
      <c r="K554" s="43">
        <v>278</v>
      </c>
      <c r="L554" s="43">
        <f>J554+ROUND(K554, 2)</f>
        <v>359.32</v>
      </c>
      <c r="M554" s="43">
        <v>72984.7</v>
      </c>
      <c r="N554" s="43">
        <v>249505</v>
      </c>
      <c r="O554" s="43">
        <f>M554+N554</f>
        <v>322489.7</v>
      </c>
      <c r="P554" s="43">
        <v>53.93</v>
      </c>
      <c r="Q554" s="43">
        <v>278</v>
      </c>
      <c r="R554" s="43">
        <f>P554+ROUND(Q554, 2)</f>
        <v>331.93</v>
      </c>
      <c r="S554" s="43">
        <v>48402.18</v>
      </c>
      <c r="T554" s="43">
        <v>249505</v>
      </c>
      <c r="U554" s="43">
        <f>S554+T554</f>
        <v>297907.18</v>
      </c>
      <c r="V554" s="9">
        <f>ROUND(P554 / 1.2, 2)</f>
        <v>44.94</v>
      </c>
      <c r="W554" s="9">
        <f>ROUND(Q554 / 1.2, 2)</f>
        <v>231.67</v>
      </c>
      <c r="X554" s="9">
        <f>ROUND(R554 / 1.2, 2)</f>
        <v>276.61</v>
      </c>
      <c r="Y554" s="9">
        <f>ROUND(S554 / 1.2, 2)</f>
        <v>40335.15</v>
      </c>
      <c r="Z554" s="9">
        <f>ROUND(T554 / 1.2, 2)</f>
        <v>207920.83</v>
      </c>
      <c r="AA554" s="9">
        <f>Y554+Z554</f>
        <v>248255.97999999998</v>
      </c>
      <c r="AD554" s="4">
        <v>341534352</v>
      </c>
      <c r="AE554" s="4">
        <v>25837366</v>
      </c>
      <c r="AG554" s="4" t="s">
        <v>1679</v>
      </c>
      <c r="AH554" s="4" t="s">
        <v>1680</v>
      </c>
      <c r="AI554" s="4" t="s">
        <v>241</v>
      </c>
    </row>
    <row r="555" spans="1:35" ht="54" x14ac:dyDescent="0.3">
      <c r="A555" s="44" t="s">
        <v>1681</v>
      </c>
      <c r="B555" s="44" t="s">
        <v>1676</v>
      </c>
      <c r="C555" s="45" t="s">
        <v>1677</v>
      </c>
      <c r="D555" s="46"/>
      <c r="E555" s="46" t="s">
        <v>1682</v>
      </c>
      <c r="F555" s="46" t="s">
        <v>57</v>
      </c>
      <c r="G555" s="47">
        <v>1</v>
      </c>
      <c r="H555" s="46"/>
      <c r="I555" s="47">
        <v>972.9</v>
      </c>
      <c r="J555" s="48">
        <v>81.319999999999993</v>
      </c>
      <c r="K555" s="48">
        <v>278</v>
      </c>
      <c r="L555" s="48">
        <v>278</v>
      </c>
      <c r="M555" s="48">
        <v>79116.23</v>
      </c>
      <c r="N555" s="48">
        <v>270466.2</v>
      </c>
      <c r="O555" s="48"/>
      <c r="P555" s="48">
        <v>53.93</v>
      </c>
      <c r="Q555" s="48">
        <v>278</v>
      </c>
      <c r="R555" s="48">
        <v>278</v>
      </c>
      <c r="S555" s="48">
        <v>52468.5</v>
      </c>
      <c r="T555" s="48">
        <v>270466.2</v>
      </c>
      <c r="U555" s="48"/>
      <c r="V555" s="9"/>
      <c r="W555" s="9">
        <f>ROUND(Q555 / 1.2, 2)</f>
        <v>231.67</v>
      </c>
      <c r="X555" s="9">
        <f>ROUND(R555 / 1.2, 2)</f>
        <v>231.67</v>
      </c>
      <c r="Y555" s="9"/>
      <c r="Z555" s="9">
        <f>ROUND(T555 / 1.2, 2)</f>
        <v>225388.5</v>
      </c>
      <c r="AA555" s="9"/>
      <c r="AD555" s="4">
        <v>314469403</v>
      </c>
      <c r="AE555" s="4">
        <v>25837366</v>
      </c>
      <c r="AG555" s="4" t="s">
        <v>1679</v>
      </c>
      <c r="AH555" s="4" t="s">
        <v>1680</v>
      </c>
      <c r="AI555" s="4"/>
    </row>
    <row r="556" spans="1:35" ht="108" x14ac:dyDescent="0.3">
      <c r="A556" s="38" t="s">
        <v>1683</v>
      </c>
      <c r="B556" s="38"/>
      <c r="C556" s="49" t="s">
        <v>1684</v>
      </c>
      <c r="D556" s="40"/>
      <c r="E556" s="40" t="s">
        <v>1685</v>
      </c>
      <c r="F556" s="50" t="s">
        <v>76</v>
      </c>
      <c r="G556" s="51">
        <v>0.3</v>
      </c>
      <c r="H556" s="40"/>
      <c r="I556" s="62">
        <v>269.25</v>
      </c>
      <c r="J556" s="53">
        <v>226.67</v>
      </c>
      <c r="K556" s="54"/>
      <c r="L556" s="54"/>
      <c r="M556" s="53">
        <f>ROUND(ROUND(J556, 2)*I556, 2)</f>
        <v>61030.9</v>
      </c>
      <c r="N556" s="54"/>
      <c r="O556" s="54"/>
      <c r="P556" s="53">
        <v>135.36000000000001</v>
      </c>
      <c r="Q556" s="54"/>
      <c r="R556" s="54"/>
      <c r="S556" s="53">
        <f>ROUND(ROUND(P556, 2)*I556, 2)</f>
        <v>36445.68</v>
      </c>
      <c r="T556" s="54"/>
      <c r="U556" s="55"/>
      <c r="V556" s="9">
        <f>ROUND(ROUND(P556, 2)/1.2, 2)</f>
        <v>112.8</v>
      </c>
      <c r="Y556" s="9">
        <f>ROUND(S556 / 1.2, 2)</f>
        <v>30371.4</v>
      </c>
      <c r="AD556" s="4" t="s">
        <v>1686</v>
      </c>
      <c r="AE556" s="4" t="s">
        <v>1687</v>
      </c>
      <c r="AF556" s="4" t="s">
        <v>1688</v>
      </c>
    </row>
    <row r="557" spans="1:35" ht="108" x14ac:dyDescent="0.3">
      <c r="A557" s="44" t="s">
        <v>1689</v>
      </c>
      <c r="B557" s="44"/>
      <c r="C557" s="56" t="s">
        <v>1684</v>
      </c>
      <c r="D557" s="46"/>
      <c r="E557" s="46" t="s">
        <v>1685</v>
      </c>
      <c r="F557" s="57" t="s">
        <v>76</v>
      </c>
      <c r="G557" s="58">
        <v>0.3</v>
      </c>
      <c r="H557" s="46"/>
      <c r="I557" s="63">
        <v>291.87</v>
      </c>
      <c r="J557" s="59">
        <v>226.67</v>
      </c>
      <c r="K557" s="60"/>
      <c r="L557" s="60"/>
      <c r="M557" s="59">
        <f>ROUND(ROUND(J557, 2)*I557, 2)</f>
        <v>66158.17</v>
      </c>
      <c r="N557" s="60"/>
      <c r="O557" s="60"/>
      <c r="P557" s="59">
        <v>135.36000000000001</v>
      </c>
      <c r="Q557" s="60"/>
      <c r="R557" s="60"/>
      <c r="S557" s="59">
        <f>ROUND(ROUND(P557, 2)*I557, 2)</f>
        <v>39507.519999999997</v>
      </c>
      <c r="T557" s="60"/>
      <c r="U557" s="61"/>
      <c r="V557" s="9">
        <f>ROUND(ROUND(P557, 2)/1.2, 2)</f>
        <v>112.8</v>
      </c>
      <c r="Y557" s="9">
        <f>ROUND(S557 / 1.2, 2)</f>
        <v>32922.93</v>
      </c>
      <c r="AD557" s="4" t="s">
        <v>1690</v>
      </c>
      <c r="AE557" s="4" t="s">
        <v>1687</v>
      </c>
      <c r="AF557" s="4" t="s">
        <v>1688</v>
      </c>
    </row>
    <row r="558" spans="1:35" ht="36" x14ac:dyDescent="0.3">
      <c r="A558" s="38" t="s">
        <v>1691</v>
      </c>
      <c r="B558" s="38"/>
      <c r="C558" s="49" t="s">
        <v>509</v>
      </c>
      <c r="D558" s="40"/>
      <c r="E558" s="40"/>
      <c r="F558" s="50" t="s">
        <v>76</v>
      </c>
      <c r="G558" s="51">
        <v>0.15</v>
      </c>
      <c r="H558" s="40"/>
      <c r="I558" s="62">
        <v>134.625</v>
      </c>
      <c r="J558" s="53">
        <v>88.8</v>
      </c>
      <c r="K558" s="54"/>
      <c r="L558" s="54"/>
      <c r="M558" s="53">
        <f>ROUND(ROUND(J558, 2)*I558, 2)</f>
        <v>11954.7</v>
      </c>
      <c r="N558" s="54"/>
      <c r="O558" s="54"/>
      <c r="P558" s="53">
        <v>88.8</v>
      </c>
      <c r="Q558" s="54"/>
      <c r="R558" s="54"/>
      <c r="S558" s="53">
        <f>ROUND(ROUND(P558, 2)*I558, 2)</f>
        <v>11954.7</v>
      </c>
      <c r="T558" s="54"/>
      <c r="U558" s="55"/>
      <c r="V558" s="9">
        <f>ROUND(ROUND(P558, 2)/1.2, 2)</f>
        <v>74</v>
      </c>
      <c r="Y558" s="9">
        <f>ROUND(S558 / 1.2, 2)</f>
        <v>9962.25</v>
      </c>
      <c r="AD558" s="4" t="s">
        <v>1692</v>
      </c>
      <c r="AE558" s="4" t="s">
        <v>1693</v>
      </c>
      <c r="AF558" s="4" t="s">
        <v>512</v>
      </c>
    </row>
    <row r="559" spans="1:35" ht="36" x14ac:dyDescent="0.3">
      <c r="A559" s="44" t="s">
        <v>1694</v>
      </c>
      <c r="B559" s="44"/>
      <c r="C559" s="56" t="s">
        <v>509</v>
      </c>
      <c r="D559" s="46"/>
      <c r="E559" s="46"/>
      <c r="F559" s="57" t="s">
        <v>76</v>
      </c>
      <c r="G559" s="58">
        <v>0.15</v>
      </c>
      <c r="H559" s="46"/>
      <c r="I559" s="63">
        <v>145.935</v>
      </c>
      <c r="J559" s="59">
        <v>88.8</v>
      </c>
      <c r="K559" s="60"/>
      <c r="L559" s="60"/>
      <c r="M559" s="59">
        <f>ROUND(ROUND(J559, 2)*I559, 2)</f>
        <v>12959.03</v>
      </c>
      <c r="N559" s="60"/>
      <c r="O559" s="60"/>
      <c r="P559" s="59">
        <v>88.8</v>
      </c>
      <c r="Q559" s="60"/>
      <c r="R559" s="60"/>
      <c r="S559" s="59">
        <f>ROUND(ROUND(P559, 2)*I559, 2)</f>
        <v>12959.03</v>
      </c>
      <c r="T559" s="60"/>
      <c r="U559" s="61"/>
      <c r="V559" s="9">
        <f>ROUND(ROUND(P559, 2)/1.2, 2)</f>
        <v>74</v>
      </c>
      <c r="Y559" s="9">
        <f>ROUND(S559 / 1.2, 2)</f>
        <v>10799.19</v>
      </c>
      <c r="AD559" s="4" t="s">
        <v>1695</v>
      </c>
      <c r="AE559" s="4" t="s">
        <v>1693</v>
      </c>
      <c r="AF559" s="4" t="s">
        <v>512</v>
      </c>
    </row>
    <row r="560" spans="1:35" ht="54" x14ac:dyDescent="0.3">
      <c r="A560" s="38" t="s">
        <v>1696</v>
      </c>
      <c r="B560" s="38" t="s">
        <v>1676</v>
      </c>
      <c r="C560" s="39" t="s">
        <v>1677</v>
      </c>
      <c r="D560" s="40"/>
      <c r="E560" s="40" t="s">
        <v>542</v>
      </c>
      <c r="F560" s="40" t="s">
        <v>57</v>
      </c>
      <c r="G560" s="41">
        <v>1</v>
      </c>
      <c r="H560" s="40"/>
      <c r="I560" s="42">
        <v>0</v>
      </c>
      <c r="J560" s="43">
        <v>81.319999999999993</v>
      </c>
      <c r="K560" s="43">
        <v>278</v>
      </c>
      <c r="L560" s="43">
        <f>J560+ROUND(K560, 2)</f>
        <v>359.32</v>
      </c>
      <c r="M560" s="43">
        <v>0</v>
      </c>
      <c r="N560" s="43">
        <v>0</v>
      </c>
      <c r="O560" s="43">
        <f>M560+N560</f>
        <v>0</v>
      </c>
      <c r="P560" s="43">
        <v>53.93</v>
      </c>
      <c r="Q560" s="43">
        <v>278</v>
      </c>
      <c r="R560" s="43">
        <f>P560+ROUND(Q560, 2)</f>
        <v>331.93</v>
      </c>
      <c r="S560" s="43">
        <v>0</v>
      </c>
      <c r="T560" s="43">
        <v>0</v>
      </c>
      <c r="U560" s="43">
        <f>S560+T560</f>
        <v>0</v>
      </c>
      <c r="V560" s="9">
        <f>ROUND(P560 / 1.2, 2)</f>
        <v>44.94</v>
      </c>
      <c r="W560" s="9">
        <f>ROUND(Q560 / 1.2, 2)</f>
        <v>231.67</v>
      </c>
      <c r="X560" s="9">
        <f>ROUND(R560 / 1.2, 2)</f>
        <v>276.61</v>
      </c>
      <c r="Y560" s="9">
        <f>ROUND(S560 / 1.2, 2)</f>
        <v>0</v>
      </c>
      <c r="Z560" s="9">
        <f>ROUND(T560 / 1.2, 2)</f>
        <v>0</v>
      </c>
      <c r="AA560" s="9">
        <f>Y560+Z560</f>
        <v>0</v>
      </c>
      <c r="AD560" s="4">
        <v>341534430</v>
      </c>
      <c r="AE560" s="4">
        <v>25837382</v>
      </c>
      <c r="AG560" s="4" t="s">
        <v>1679</v>
      </c>
      <c r="AH560" s="4" t="s">
        <v>1680</v>
      </c>
      <c r="AI560" s="4" t="s">
        <v>241</v>
      </c>
    </row>
    <row r="561" spans="1:35" ht="54" x14ac:dyDescent="0.3">
      <c r="A561" s="44" t="s">
        <v>1697</v>
      </c>
      <c r="B561" s="44" t="s">
        <v>1676</v>
      </c>
      <c r="C561" s="45" t="s">
        <v>1677</v>
      </c>
      <c r="D561" s="46"/>
      <c r="E561" s="46" t="s">
        <v>542</v>
      </c>
      <c r="F561" s="46" t="s">
        <v>57</v>
      </c>
      <c r="G561" s="47">
        <v>1</v>
      </c>
      <c r="H561" s="46"/>
      <c r="I561" s="47">
        <v>148.1</v>
      </c>
      <c r="J561" s="48">
        <v>81.319999999999993</v>
      </c>
      <c r="K561" s="48">
        <v>278</v>
      </c>
      <c r="L561" s="48">
        <v>278</v>
      </c>
      <c r="M561" s="48">
        <v>12043.49</v>
      </c>
      <c r="N561" s="48">
        <v>41171.800000000003</v>
      </c>
      <c r="O561" s="48"/>
      <c r="P561" s="48">
        <v>53.93</v>
      </c>
      <c r="Q561" s="48">
        <v>278</v>
      </c>
      <c r="R561" s="48">
        <v>278</v>
      </c>
      <c r="S561" s="48">
        <v>7987.03</v>
      </c>
      <c r="T561" s="48">
        <v>41171.800000000003</v>
      </c>
      <c r="U561" s="48"/>
      <c r="V561" s="9"/>
      <c r="W561" s="9">
        <f>ROUND(Q561 / 1.2, 2)</f>
        <v>231.67</v>
      </c>
      <c r="X561" s="9">
        <f>ROUND(R561 / 1.2, 2)</f>
        <v>231.67</v>
      </c>
      <c r="Y561" s="9"/>
      <c r="Z561" s="9">
        <f>ROUND(T561 / 1.2, 2)</f>
        <v>34309.83</v>
      </c>
      <c r="AA561" s="9"/>
      <c r="AD561" s="4">
        <v>314469404</v>
      </c>
      <c r="AE561" s="4">
        <v>25837382</v>
      </c>
      <c r="AG561" s="4" t="s">
        <v>1679</v>
      </c>
      <c r="AH561" s="4" t="s">
        <v>1680</v>
      </c>
      <c r="AI561" s="4"/>
    </row>
    <row r="562" spans="1:35" ht="36" x14ac:dyDescent="0.3">
      <c r="A562" s="38" t="s">
        <v>1698</v>
      </c>
      <c r="B562" s="38"/>
      <c r="C562" s="49" t="s">
        <v>509</v>
      </c>
      <c r="D562" s="40"/>
      <c r="E562" s="40"/>
      <c r="F562" s="50" t="s">
        <v>76</v>
      </c>
      <c r="G562" s="51">
        <v>0.15</v>
      </c>
      <c r="H562" s="40"/>
      <c r="I562" s="62">
        <v>0</v>
      </c>
      <c r="J562" s="53">
        <v>88.8</v>
      </c>
      <c r="K562" s="54"/>
      <c r="L562" s="54"/>
      <c r="M562" s="53">
        <f>ROUND(ROUND(J562, 2)*I562, 2)</f>
        <v>0</v>
      </c>
      <c r="N562" s="54"/>
      <c r="O562" s="54"/>
      <c r="P562" s="53">
        <v>88.8</v>
      </c>
      <c r="Q562" s="54"/>
      <c r="R562" s="54"/>
      <c r="S562" s="53">
        <f>ROUND(ROUND(P562, 2)*I562, 2)</f>
        <v>0</v>
      </c>
      <c r="T562" s="54"/>
      <c r="U562" s="55"/>
      <c r="V562" s="9">
        <f>ROUND(ROUND(P562, 2)/1.2, 2)</f>
        <v>74</v>
      </c>
      <c r="Y562" s="9">
        <f t="shared" ref="Y562:Y571" si="116">ROUND(S562 / 1.2, 2)</f>
        <v>0</v>
      </c>
      <c r="AD562" s="4" t="s">
        <v>1699</v>
      </c>
      <c r="AE562" s="4" t="s">
        <v>1700</v>
      </c>
      <c r="AF562" s="4" t="s">
        <v>512</v>
      </c>
    </row>
    <row r="563" spans="1:35" ht="36" x14ac:dyDescent="0.3">
      <c r="A563" s="44" t="s">
        <v>1701</v>
      </c>
      <c r="B563" s="44"/>
      <c r="C563" s="56" t="s">
        <v>509</v>
      </c>
      <c r="D563" s="46"/>
      <c r="E563" s="46"/>
      <c r="F563" s="57" t="s">
        <v>76</v>
      </c>
      <c r="G563" s="58">
        <v>0.15</v>
      </c>
      <c r="H563" s="46"/>
      <c r="I563" s="63">
        <v>22.215</v>
      </c>
      <c r="J563" s="59">
        <v>88.8</v>
      </c>
      <c r="K563" s="60"/>
      <c r="L563" s="60"/>
      <c r="M563" s="59">
        <f>ROUND(ROUND(J563, 2)*I563, 2)</f>
        <v>1972.69</v>
      </c>
      <c r="N563" s="60"/>
      <c r="O563" s="60"/>
      <c r="P563" s="59">
        <v>88.8</v>
      </c>
      <c r="Q563" s="60"/>
      <c r="R563" s="60"/>
      <c r="S563" s="59">
        <f>ROUND(ROUND(P563, 2)*I563, 2)</f>
        <v>1972.69</v>
      </c>
      <c r="T563" s="60"/>
      <c r="U563" s="61"/>
      <c r="V563" s="9">
        <f>ROUND(ROUND(P563, 2)/1.2, 2)</f>
        <v>74</v>
      </c>
      <c r="Y563" s="9">
        <f t="shared" si="116"/>
        <v>1643.91</v>
      </c>
      <c r="AD563" s="4" t="s">
        <v>1702</v>
      </c>
      <c r="AE563" s="4" t="s">
        <v>1700</v>
      </c>
      <c r="AF563" s="4" t="s">
        <v>512</v>
      </c>
    </row>
    <row r="564" spans="1:35" ht="90" x14ac:dyDescent="0.3">
      <c r="A564" s="38" t="s">
        <v>1703</v>
      </c>
      <c r="B564" s="38"/>
      <c r="C564" s="49" t="s">
        <v>1684</v>
      </c>
      <c r="D564" s="40"/>
      <c r="E564" s="40" t="s">
        <v>1704</v>
      </c>
      <c r="F564" s="50" t="s">
        <v>76</v>
      </c>
      <c r="G564" s="51">
        <v>0.3</v>
      </c>
      <c r="H564" s="40"/>
      <c r="I564" s="62">
        <v>0</v>
      </c>
      <c r="J564" s="53">
        <v>226.67</v>
      </c>
      <c r="K564" s="54"/>
      <c r="L564" s="54"/>
      <c r="M564" s="53">
        <f>ROUND(ROUND(J564, 2)*I564, 2)</f>
        <v>0</v>
      </c>
      <c r="N564" s="54"/>
      <c r="O564" s="54"/>
      <c r="P564" s="53">
        <v>135.36000000000001</v>
      </c>
      <c r="Q564" s="54"/>
      <c r="R564" s="54"/>
      <c r="S564" s="53">
        <f>ROUND(ROUND(P564, 2)*I564, 2)</f>
        <v>0</v>
      </c>
      <c r="T564" s="54"/>
      <c r="U564" s="55"/>
      <c r="V564" s="9">
        <f>ROUND(ROUND(P564, 2)/1.2, 2)</f>
        <v>112.8</v>
      </c>
      <c r="Y564" s="9">
        <f t="shared" si="116"/>
        <v>0</v>
      </c>
      <c r="AD564" s="4" t="s">
        <v>1705</v>
      </c>
      <c r="AE564" s="4" t="s">
        <v>1706</v>
      </c>
      <c r="AF564" s="4" t="s">
        <v>1688</v>
      </c>
    </row>
    <row r="565" spans="1:35" ht="90" x14ac:dyDescent="0.3">
      <c r="A565" s="44" t="s">
        <v>1707</v>
      </c>
      <c r="B565" s="44"/>
      <c r="C565" s="56" t="s">
        <v>1684</v>
      </c>
      <c r="D565" s="46"/>
      <c r="E565" s="46" t="s">
        <v>1704</v>
      </c>
      <c r="F565" s="57" t="s">
        <v>76</v>
      </c>
      <c r="G565" s="58">
        <v>0.3</v>
      </c>
      <c r="H565" s="46"/>
      <c r="I565" s="63">
        <v>44.43</v>
      </c>
      <c r="J565" s="59">
        <v>226.67</v>
      </c>
      <c r="K565" s="60"/>
      <c r="L565" s="60"/>
      <c r="M565" s="59">
        <f>ROUND(ROUND(J565, 2)*I565, 2)</f>
        <v>10070.950000000001</v>
      </c>
      <c r="N565" s="60"/>
      <c r="O565" s="60"/>
      <c r="P565" s="59">
        <v>135.36000000000001</v>
      </c>
      <c r="Q565" s="60"/>
      <c r="R565" s="60"/>
      <c r="S565" s="59">
        <f>ROUND(ROUND(P565, 2)*I565, 2)</f>
        <v>6014.04</v>
      </c>
      <c r="T565" s="60"/>
      <c r="U565" s="61"/>
      <c r="V565" s="9">
        <f>ROUND(ROUND(P565, 2)/1.2, 2)</f>
        <v>112.8</v>
      </c>
      <c r="Y565" s="9">
        <f t="shared" si="116"/>
        <v>5011.7</v>
      </c>
      <c r="AD565" s="4" t="s">
        <v>1708</v>
      </c>
      <c r="AE565" s="4" t="s">
        <v>1706</v>
      </c>
      <c r="AF565" s="4" t="s">
        <v>1688</v>
      </c>
    </row>
    <row r="566" spans="1:35" ht="36" x14ac:dyDescent="0.3">
      <c r="A566" s="11" t="s">
        <v>1709</v>
      </c>
      <c r="B566" s="11" t="s">
        <v>1710</v>
      </c>
      <c r="C566" s="20" t="s">
        <v>1711</v>
      </c>
      <c r="D566" s="21"/>
      <c r="E566" s="21" t="s">
        <v>1712</v>
      </c>
      <c r="F566" s="21" t="s">
        <v>57</v>
      </c>
      <c r="G566" s="22">
        <v>1</v>
      </c>
      <c r="H566" s="21"/>
      <c r="I566" s="22">
        <v>990.86</v>
      </c>
      <c r="J566" s="23">
        <f>IFERROR(ROUND(SUM(M567,M568)/I566, 2),0)</f>
        <v>82.68</v>
      </c>
      <c r="K566" s="23">
        <v>464</v>
      </c>
      <c r="L566" s="23">
        <f>J566+ROUND(K566, 2)</f>
        <v>546.68000000000006</v>
      </c>
      <c r="M566" s="23">
        <f>ROUND(J566*I566, 2)</f>
        <v>81924.3</v>
      </c>
      <c r="N566" s="23">
        <f>ROUND(I566*ROUND(K566, 2), 2)</f>
        <v>459759.04</v>
      </c>
      <c r="O566" s="23">
        <f>M566+N566</f>
        <v>541683.34</v>
      </c>
      <c r="P566" s="23">
        <f>IFERROR(ROUND(SUM(S567,S568)/I566, 2),0)</f>
        <v>107.89</v>
      </c>
      <c r="Q566" s="23">
        <v>464</v>
      </c>
      <c r="R566" s="23">
        <f>P566+ROUND(Q566, 2)</f>
        <v>571.89</v>
      </c>
      <c r="S566" s="23">
        <f>ROUND(P566*I566, 2)</f>
        <v>106903.89</v>
      </c>
      <c r="T566" s="23">
        <f>ROUND(I566*ROUND(Q566, 2), 2)</f>
        <v>459759.04</v>
      </c>
      <c r="U566" s="23">
        <f>S566+T566</f>
        <v>566662.92999999993</v>
      </c>
      <c r="V566" s="9">
        <f>ROUND(P566 / 1.2, 2)</f>
        <v>89.91</v>
      </c>
      <c r="W566" s="9">
        <f>ROUND(Q566 / 1.2, 2)</f>
        <v>386.67</v>
      </c>
      <c r="X566" s="9">
        <f>ROUND(R566 / 1.2, 2)</f>
        <v>476.58</v>
      </c>
      <c r="Y566" s="9">
        <f t="shared" si="116"/>
        <v>89086.58</v>
      </c>
      <c r="Z566" s="9">
        <f>ROUND(T566 / 1.2, 2)</f>
        <v>383132.53</v>
      </c>
      <c r="AA566" s="9">
        <f>Y566+Z566</f>
        <v>472219.11000000004</v>
      </c>
      <c r="AD566" s="4">
        <v>341534354</v>
      </c>
      <c r="AE566" s="4">
        <v>28271836</v>
      </c>
      <c r="AG566" s="4" t="s">
        <v>1713</v>
      </c>
      <c r="AH566" s="4" t="s">
        <v>1714</v>
      </c>
      <c r="AI566" s="4" t="s">
        <v>241</v>
      </c>
    </row>
    <row r="567" spans="1:35" ht="36" x14ac:dyDescent="0.3">
      <c r="A567" s="11" t="s">
        <v>1715</v>
      </c>
      <c r="B567" s="11"/>
      <c r="C567" s="30" t="s">
        <v>1684</v>
      </c>
      <c r="D567" s="21"/>
      <c r="E567" s="21"/>
      <c r="F567" s="31" t="s">
        <v>76</v>
      </c>
      <c r="G567" s="32">
        <v>0.3</v>
      </c>
      <c r="H567" s="21"/>
      <c r="I567" s="32">
        <v>297.25799999999998</v>
      </c>
      <c r="J567" s="33">
        <v>230.45</v>
      </c>
      <c r="K567" s="12"/>
      <c r="L567" s="12"/>
      <c r="M567" s="33">
        <f>ROUND(ROUND(J567, 2)*I567, 2)</f>
        <v>68503.11</v>
      </c>
      <c r="N567" s="12"/>
      <c r="O567" s="12"/>
      <c r="P567" s="33">
        <v>315.24</v>
      </c>
      <c r="Q567" s="12"/>
      <c r="R567" s="12"/>
      <c r="S567" s="33">
        <f>ROUND(ROUND(P567, 2)*I567, 2)</f>
        <v>93707.61</v>
      </c>
      <c r="T567" s="12"/>
      <c r="U567" s="34"/>
      <c r="V567" s="9">
        <f>ROUND(ROUND(P567, 2)/1.2, 2)</f>
        <v>262.7</v>
      </c>
      <c r="Y567" s="9">
        <f t="shared" si="116"/>
        <v>78089.679999999993</v>
      </c>
      <c r="AD567" s="4" t="s">
        <v>1716</v>
      </c>
      <c r="AE567" s="4" t="s">
        <v>1717</v>
      </c>
      <c r="AF567" s="4" t="s">
        <v>1688</v>
      </c>
    </row>
    <row r="568" spans="1:35" ht="36" x14ac:dyDescent="0.3">
      <c r="A568" s="11" t="s">
        <v>1718</v>
      </c>
      <c r="B568" s="11"/>
      <c r="C568" s="30" t="s">
        <v>509</v>
      </c>
      <c r="D568" s="21"/>
      <c r="E568" s="21"/>
      <c r="F568" s="31" t="s">
        <v>76</v>
      </c>
      <c r="G568" s="32">
        <v>0.15</v>
      </c>
      <c r="H568" s="21"/>
      <c r="I568" s="32">
        <v>148.62899999999999</v>
      </c>
      <c r="J568" s="33">
        <v>90.28</v>
      </c>
      <c r="K568" s="12"/>
      <c r="L568" s="12"/>
      <c r="M568" s="33">
        <f>ROUND(ROUND(J568, 2)*I568, 2)</f>
        <v>13418.23</v>
      </c>
      <c r="N568" s="12"/>
      <c r="O568" s="12"/>
      <c r="P568" s="33">
        <v>88.8</v>
      </c>
      <c r="Q568" s="12"/>
      <c r="R568" s="12"/>
      <c r="S568" s="33">
        <f>ROUND(ROUND(P568, 2)*I568, 2)</f>
        <v>13198.26</v>
      </c>
      <c r="T568" s="12"/>
      <c r="U568" s="34"/>
      <c r="V568" s="9">
        <f>ROUND(ROUND(P568, 2)/1.2, 2)</f>
        <v>74</v>
      </c>
      <c r="Y568" s="9">
        <f t="shared" si="116"/>
        <v>10998.55</v>
      </c>
      <c r="AD568" s="4" t="s">
        <v>1719</v>
      </c>
      <c r="AE568" s="4" t="s">
        <v>1720</v>
      </c>
      <c r="AF568" s="4" t="s">
        <v>512</v>
      </c>
    </row>
    <row r="569" spans="1:35" ht="90" x14ac:dyDescent="0.3">
      <c r="A569" s="11" t="s">
        <v>1721</v>
      </c>
      <c r="B569" s="11" t="s">
        <v>1710</v>
      </c>
      <c r="C569" s="20" t="s">
        <v>1711</v>
      </c>
      <c r="D569" s="21"/>
      <c r="E569" s="21" t="s">
        <v>1722</v>
      </c>
      <c r="F569" s="21" t="s">
        <v>57</v>
      </c>
      <c r="G569" s="22">
        <v>1</v>
      </c>
      <c r="H569" s="21"/>
      <c r="I569" s="22">
        <v>386.63</v>
      </c>
      <c r="J569" s="23">
        <f>IFERROR(ROUND(SUM(M570,M571)/I569, 2),0)</f>
        <v>13.54</v>
      </c>
      <c r="K569" s="23">
        <v>464</v>
      </c>
      <c r="L569" s="23">
        <f>J569+ROUND(K569, 2)</f>
        <v>477.54</v>
      </c>
      <c r="M569" s="23">
        <f>ROUND(J569*I569, 2)</f>
        <v>5234.97</v>
      </c>
      <c r="N569" s="23">
        <f>ROUND(I569*ROUND(K569, 2), 2)</f>
        <v>179396.32</v>
      </c>
      <c r="O569" s="23">
        <f>M569+N569</f>
        <v>184631.29</v>
      </c>
      <c r="P569" s="23">
        <f>IFERROR(ROUND(SUM(S570,S571)/I569, 2),0)</f>
        <v>107.89</v>
      </c>
      <c r="Q569" s="23">
        <v>464</v>
      </c>
      <c r="R569" s="23">
        <f>P569+ROUND(Q569, 2)</f>
        <v>571.89</v>
      </c>
      <c r="S569" s="23">
        <f>ROUND(P569*I569, 2)</f>
        <v>41713.51</v>
      </c>
      <c r="T569" s="23">
        <f>ROUND(I569*ROUND(Q569, 2), 2)</f>
        <v>179396.32</v>
      </c>
      <c r="U569" s="23">
        <f>S569+T569</f>
        <v>221109.83000000002</v>
      </c>
      <c r="V569" s="9">
        <f>ROUND(P569 / 1.2, 2)</f>
        <v>89.91</v>
      </c>
      <c r="W569" s="9">
        <f>ROUND(Q569 / 1.2, 2)</f>
        <v>386.67</v>
      </c>
      <c r="X569" s="9">
        <f>ROUND(R569 / 1.2, 2)</f>
        <v>476.58</v>
      </c>
      <c r="Y569" s="9">
        <f t="shared" si="116"/>
        <v>34761.26</v>
      </c>
      <c r="Z569" s="9">
        <f>ROUND(T569 / 1.2, 2)</f>
        <v>149496.93</v>
      </c>
      <c r="AA569" s="9">
        <f>Y569+Z569</f>
        <v>184258.19</v>
      </c>
      <c r="AD569" s="4">
        <v>341534431</v>
      </c>
      <c r="AE569" s="4">
        <v>28278820</v>
      </c>
      <c r="AG569" s="4" t="s">
        <v>1713</v>
      </c>
      <c r="AH569" s="4" t="s">
        <v>1714</v>
      </c>
      <c r="AI569" s="4" t="s">
        <v>241</v>
      </c>
    </row>
    <row r="570" spans="1:35" ht="36" x14ac:dyDescent="0.3">
      <c r="A570" s="11" t="s">
        <v>1723</v>
      </c>
      <c r="B570" s="11"/>
      <c r="C570" s="30" t="s">
        <v>509</v>
      </c>
      <c r="D570" s="21"/>
      <c r="E570" s="21"/>
      <c r="F570" s="31" t="s">
        <v>76</v>
      </c>
      <c r="G570" s="32">
        <v>0.15</v>
      </c>
      <c r="H570" s="21"/>
      <c r="I570" s="32">
        <v>57.994999999999997</v>
      </c>
      <c r="J570" s="33">
        <v>90.28</v>
      </c>
      <c r="K570" s="12"/>
      <c r="L570" s="12"/>
      <c r="M570" s="33">
        <f>ROUND(ROUND(J570, 2)*I570, 2)</f>
        <v>5235.79</v>
      </c>
      <c r="N570" s="12"/>
      <c r="O570" s="12"/>
      <c r="P570" s="33">
        <v>88.8</v>
      </c>
      <c r="Q570" s="12"/>
      <c r="R570" s="12"/>
      <c r="S570" s="33">
        <f>ROUND(ROUND(P570, 2)*I570, 2)</f>
        <v>5149.96</v>
      </c>
      <c r="T570" s="12"/>
      <c r="U570" s="34"/>
      <c r="V570" s="9">
        <f>ROUND(ROUND(P570, 2)/1.2, 2)</f>
        <v>74</v>
      </c>
      <c r="Y570" s="9">
        <f t="shared" si="116"/>
        <v>4291.63</v>
      </c>
      <c r="AD570" s="4" t="s">
        <v>1724</v>
      </c>
      <c r="AE570" s="4" t="s">
        <v>1725</v>
      </c>
      <c r="AF570" s="4" t="s">
        <v>512</v>
      </c>
    </row>
    <row r="571" spans="1:35" ht="36" x14ac:dyDescent="0.3">
      <c r="A571" s="11" t="s">
        <v>1726</v>
      </c>
      <c r="B571" s="11"/>
      <c r="C571" s="30" t="s">
        <v>1727</v>
      </c>
      <c r="D571" s="21"/>
      <c r="E571" s="21" t="s">
        <v>1728</v>
      </c>
      <c r="F571" s="31" t="s">
        <v>76</v>
      </c>
      <c r="G571" s="32">
        <v>0.3</v>
      </c>
      <c r="H571" s="21"/>
      <c r="I571" s="32">
        <v>115.989</v>
      </c>
      <c r="J571" s="33">
        <v>0</v>
      </c>
      <c r="K571" s="12"/>
      <c r="L571" s="12"/>
      <c r="M571" s="33">
        <f>ROUND(ROUND(J571, 2)*I571, 2)</f>
        <v>0</v>
      </c>
      <c r="N571" s="12"/>
      <c r="O571" s="12"/>
      <c r="P571" s="33">
        <v>315.24</v>
      </c>
      <c r="Q571" s="12"/>
      <c r="R571" s="12"/>
      <c r="S571" s="33">
        <f>ROUND(ROUND(P571, 2)*I571, 2)</f>
        <v>36564.370000000003</v>
      </c>
      <c r="T571" s="12"/>
      <c r="U571" s="34"/>
      <c r="V571" s="9">
        <f>ROUND(ROUND(P571, 2)/1.2, 2)</f>
        <v>262.7</v>
      </c>
      <c r="Y571" s="9">
        <f t="shared" si="116"/>
        <v>30470.31</v>
      </c>
      <c r="AD571" s="4" t="s">
        <v>1729</v>
      </c>
      <c r="AE571" s="4" t="s">
        <v>1730</v>
      </c>
      <c r="AF571" s="4" t="s">
        <v>1731</v>
      </c>
    </row>
    <row r="572" spans="1:35" ht="16.95" customHeight="1" x14ac:dyDescent="0.3">
      <c r="A572" s="10" t="s">
        <v>1732</v>
      </c>
      <c r="B572" s="10" t="s">
        <v>1733</v>
      </c>
      <c r="C572" s="121" t="s">
        <v>1734</v>
      </c>
      <c r="D572" s="122"/>
      <c r="E572" s="122"/>
      <c r="F572" s="122"/>
      <c r="G572" s="122"/>
      <c r="H572" s="122"/>
      <c r="I572" s="123"/>
      <c r="M572" s="6">
        <f>SUM(M573,M577,M578,M580)</f>
        <v>0</v>
      </c>
      <c r="N572" s="6">
        <f>SUM(N573,N577,N578,N580)</f>
        <v>69483.759999999995</v>
      </c>
      <c r="O572" s="6">
        <f>SUM(O573,O577,O578,O580)</f>
        <v>69483.759999999995</v>
      </c>
      <c r="S572" s="6">
        <f>SUM(S573,S577,S578,S580)</f>
        <v>78830.179999999993</v>
      </c>
      <c r="T572" s="6">
        <f>SUM(T573,T577,T578,T580)</f>
        <v>69483.759999999995</v>
      </c>
      <c r="U572" s="6">
        <f>SUM(U573,U577,U578,U580)</f>
        <v>148313.94</v>
      </c>
      <c r="Y572" s="9">
        <f>SUM(Y573,Y577,Y578,Y580)</f>
        <v>65691.81</v>
      </c>
      <c r="Z572" s="9">
        <f>SUM(Z573,Z577,Z578,Z580)</f>
        <v>57903.130000000005</v>
      </c>
      <c r="AA572" s="9">
        <f>SUM(AA573,AA577,AA578,AA580)</f>
        <v>123594.94</v>
      </c>
      <c r="AD572" s="4">
        <v>341534355</v>
      </c>
      <c r="AE572" s="4">
        <v>25837355</v>
      </c>
    </row>
    <row r="573" spans="1:35" ht="36" x14ac:dyDescent="0.3">
      <c r="A573" s="38" t="s">
        <v>1735</v>
      </c>
      <c r="B573" s="38" t="s">
        <v>1736</v>
      </c>
      <c r="C573" s="39" t="s">
        <v>1737</v>
      </c>
      <c r="D573" s="40"/>
      <c r="E573" s="40" t="s">
        <v>1738</v>
      </c>
      <c r="F573" s="40" t="s">
        <v>57</v>
      </c>
      <c r="G573" s="41">
        <v>1</v>
      </c>
      <c r="H573" s="40"/>
      <c r="I573" s="42">
        <v>0</v>
      </c>
      <c r="J573" s="43">
        <v>0</v>
      </c>
      <c r="K573" s="43">
        <v>1499</v>
      </c>
      <c r="L573" s="43">
        <f>J573+ROUND(K573, 2)</f>
        <v>1499</v>
      </c>
      <c r="M573" s="43">
        <v>0</v>
      </c>
      <c r="N573" s="43">
        <v>0</v>
      </c>
      <c r="O573" s="43">
        <f>M573+N573</f>
        <v>0</v>
      </c>
      <c r="P573" s="43">
        <v>0</v>
      </c>
      <c r="Q573" s="43">
        <v>1499</v>
      </c>
      <c r="R573" s="43">
        <f>P573+ROUND(Q573, 2)</f>
        <v>1499</v>
      </c>
      <c r="S573" s="43">
        <v>0</v>
      </c>
      <c r="T573" s="43">
        <v>0</v>
      </c>
      <c r="U573" s="43">
        <f>S573+T573</f>
        <v>0</v>
      </c>
      <c r="V573" s="9">
        <f>ROUND(P573 / 1.2, 2)</f>
        <v>0</v>
      </c>
      <c r="W573" s="9">
        <f>ROUND(Q573 / 1.2, 2)</f>
        <v>1249.17</v>
      </c>
      <c r="X573" s="9">
        <f>ROUND(R573 / 1.2, 2)</f>
        <v>1249.17</v>
      </c>
      <c r="Y573" s="9">
        <f>ROUND(S573 / 1.2, 2)</f>
        <v>0</v>
      </c>
      <c r="Z573" s="9">
        <f>ROUND(T573 / 1.2, 2)</f>
        <v>0</v>
      </c>
      <c r="AA573" s="9">
        <f>Y573+Z573</f>
        <v>0</v>
      </c>
      <c r="AD573" s="4">
        <v>341534357</v>
      </c>
      <c r="AE573" s="4">
        <v>25837408</v>
      </c>
      <c r="AG573" s="4" t="s">
        <v>1739</v>
      </c>
      <c r="AH573" s="4" t="s">
        <v>1740</v>
      </c>
      <c r="AI573" s="4" t="s">
        <v>241</v>
      </c>
    </row>
    <row r="574" spans="1:35" ht="36" x14ac:dyDescent="0.3">
      <c r="A574" s="44" t="s">
        <v>1741</v>
      </c>
      <c r="B574" s="44" t="s">
        <v>1736</v>
      </c>
      <c r="C574" s="45" t="s">
        <v>1737</v>
      </c>
      <c r="D574" s="46"/>
      <c r="E574" s="46" t="s">
        <v>1738</v>
      </c>
      <c r="F574" s="46" t="s">
        <v>57</v>
      </c>
      <c r="G574" s="47">
        <v>1</v>
      </c>
      <c r="H574" s="46"/>
      <c r="I574" s="47">
        <v>96.5</v>
      </c>
      <c r="J574" s="48">
        <v>0</v>
      </c>
      <c r="K574" s="48">
        <v>1499</v>
      </c>
      <c r="L574" s="48">
        <v>1499</v>
      </c>
      <c r="M574" s="48">
        <v>0</v>
      </c>
      <c r="N574" s="48">
        <v>144653.5</v>
      </c>
      <c r="O574" s="48"/>
      <c r="P574" s="48">
        <v>0</v>
      </c>
      <c r="Q574" s="48">
        <v>1499</v>
      </c>
      <c r="R574" s="48">
        <v>1499</v>
      </c>
      <c r="S574" s="48">
        <v>0</v>
      </c>
      <c r="T574" s="48">
        <v>144653.5</v>
      </c>
      <c r="U574" s="48"/>
      <c r="V574" s="9"/>
      <c r="W574" s="9">
        <f>ROUND(Q574 / 1.2, 2)</f>
        <v>1249.17</v>
      </c>
      <c r="X574" s="9">
        <f>ROUND(R574 / 1.2, 2)</f>
        <v>1249.17</v>
      </c>
      <c r="Y574" s="9"/>
      <c r="Z574" s="9">
        <f>ROUND(T574 / 1.2, 2)</f>
        <v>120544.58</v>
      </c>
      <c r="AA574" s="9"/>
      <c r="AD574" s="4">
        <v>314469407</v>
      </c>
      <c r="AE574" s="4">
        <v>25837408</v>
      </c>
      <c r="AG574" s="4" t="s">
        <v>1739</v>
      </c>
      <c r="AH574" s="4" t="s">
        <v>1740</v>
      </c>
      <c r="AI574" s="4"/>
    </row>
    <row r="575" spans="1:35" ht="126" x14ac:dyDescent="0.3">
      <c r="A575" s="38" t="s">
        <v>1742</v>
      </c>
      <c r="B575" s="38"/>
      <c r="C575" s="49" t="s">
        <v>1743</v>
      </c>
      <c r="D575" s="40"/>
      <c r="E575" s="40" t="s">
        <v>1744</v>
      </c>
      <c r="F575" s="50" t="s">
        <v>57</v>
      </c>
      <c r="G575" s="51">
        <v>1</v>
      </c>
      <c r="H575" s="40"/>
      <c r="I575" s="52">
        <v>0</v>
      </c>
      <c r="J575" s="53">
        <v>0</v>
      </c>
      <c r="K575" s="54"/>
      <c r="L575" s="54"/>
      <c r="M575" s="53">
        <f>ROUND(ROUND(J575, 2)*I575, 2)</f>
        <v>0</v>
      </c>
      <c r="N575" s="54"/>
      <c r="O575" s="54"/>
      <c r="P575" s="53">
        <v>0</v>
      </c>
      <c r="Q575" s="54"/>
      <c r="R575" s="54"/>
      <c r="S575" s="53">
        <f>ROUND(ROUND(P575, 2)*I575, 2)</f>
        <v>0</v>
      </c>
      <c r="T575" s="54"/>
      <c r="U575" s="55"/>
      <c r="V575" s="9">
        <f>ROUND(ROUND(P575, 2)/1.2, 2)</f>
        <v>0</v>
      </c>
      <c r="Y575" s="9">
        <f>ROUND(S575 / 1.2, 2)</f>
        <v>0</v>
      </c>
      <c r="AD575" s="4" t="s">
        <v>1745</v>
      </c>
      <c r="AE575" s="4" t="s">
        <v>1746</v>
      </c>
      <c r="AF575" s="4" t="s">
        <v>1747</v>
      </c>
    </row>
    <row r="576" spans="1:35" ht="126" x14ac:dyDescent="0.3">
      <c r="A576" s="44" t="s">
        <v>1748</v>
      </c>
      <c r="B576" s="44"/>
      <c r="C576" s="56" t="s">
        <v>1743</v>
      </c>
      <c r="D576" s="46"/>
      <c r="E576" s="46" t="s">
        <v>1744</v>
      </c>
      <c r="F576" s="57" t="s">
        <v>57</v>
      </c>
      <c r="G576" s="58">
        <v>1</v>
      </c>
      <c r="H576" s="46"/>
      <c r="I576" s="58">
        <v>96.5</v>
      </c>
      <c r="J576" s="59">
        <v>0</v>
      </c>
      <c r="K576" s="60"/>
      <c r="L576" s="60"/>
      <c r="M576" s="59">
        <f>ROUND(ROUND(J576, 2)*I576, 2)</f>
        <v>0</v>
      </c>
      <c r="N576" s="60"/>
      <c r="O576" s="60"/>
      <c r="P576" s="59">
        <v>0</v>
      </c>
      <c r="Q576" s="60"/>
      <c r="R576" s="60"/>
      <c r="S576" s="59">
        <f>ROUND(ROUND(P576, 2)*I576, 2)</f>
        <v>0</v>
      </c>
      <c r="T576" s="60"/>
      <c r="U576" s="61"/>
      <c r="V576" s="9">
        <f>ROUND(ROUND(P576, 2)/1.2, 2)</f>
        <v>0</v>
      </c>
      <c r="Y576" s="9">
        <f>ROUND(S576 / 1.2, 2)</f>
        <v>0</v>
      </c>
      <c r="AD576" s="4" t="s">
        <v>1749</v>
      </c>
      <c r="AE576" s="4" t="s">
        <v>1746</v>
      </c>
      <c r="AF576" s="4" t="s">
        <v>1747</v>
      </c>
    </row>
    <row r="577" spans="1:35" ht="54" x14ac:dyDescent="0.3">
      <c r="A577" s="11" t="s">
        <v>1750</v>
      </c>
      <c r="B577" s="11" t="s">
        <v>1751</v>
      </c>
      <c r="C577" s="20" t="s">
        <v>1752</v>
      </c>
      <c r="D577" s="21"/>
      <c r="E577" s="21"/>
      <c r="F577" s="21" t="s">
        <v>57</v>
      </c>
      <c r="G577" s="22">
        <v>1</v>
      </c>
      <c r="H577" s="21"/>
      <c r="I577" s="22">
        <v>64.099999999999994</v>
      </c>
      <c r="J577" s="23">
        <v>0</v>
      </c>
      <c r="K577" s="23">
        <v>121</v>
      </c>
      <c r="L577" s="23">
        <f>J577+ROUND(K577, 2)</f>
        <v>121</v>
      </c>
      <c r="M577" s="23">
        <v>0</v>
      </c>
      <c r="N577" s="23">
        <f>ROUND(I577*ROUND(K577, 2), 2)</f>
        <v>7756.1</v>
      </c>
      <c r="O577" s="23">
        <f>M577+N577</f>
        <v>7756.1</v>
      </c>
      <c r="P577" s="23">
        <v>0</v>
      </c>
      <c r="Q577" s="23">
        <v>121</v>
      </c>
      <c r="R577" s="23">
        <f>P577+ROUND(Q577, 2)</f>
        <v>121</v>
      </c>
      <c r="S577" s="23">
        <v>0</v>
      </c>
      <c r="T577" s="23">
        <f>ROUND(I577*ROUND(Q577, 2), 2)</f>
        <v>7756.1</v>
      </c>
      <c r="U577" s="23">
        <f>S577+T577</f>
        <v>7756.1</v>
      </c>
      <c r="V577" s="9"/>
      <c r="W577" s="9">
        <f>ROUND(Q577 / 1.2, 2)</f>
        <v>100.83</v>
      </c>
      <c r="X577" s="9">
        <f>ROUND(R577 / 1.2, 2)</f>
        <v>100.83</v>
      </c>
      <c r="Y577" s="9"/>
      <c r="Z577" s="9">
        <f>ROUND(T577 / 1.2, 2)</f>
        <v>6463.42</v>
      </c>
      <c r="AA577" s="9">
        <f>Y577+Z577</f>
        <v>6463.42</v>
      </c>
      <c r="AD577" s="4">
        <v>341534359</v>
      </c>
      <c r="AE577" s="4">
        <v>28278806</v>
      </c>
      <c r="AG577" s="4" t="s">
        <v>1753</v>
      </c>
      <c r="AH577" s="4" t="s">
        <v>1754</v>
      </c>
      <c r="AI577" s="4" t="s">
        <v>241</v>
      </c>
    </row>
    <row r="578" spans="1:35" ht="36" x14ac:dyDescent="0.3">
      <c r="A578" s="11" t="s">
        <v>1755</v>
      </c>
      <c r="B578" s="11" t="s">
        <v>1756</v>
      </c>
      <c r="C578" s="20" t="s">
        <v>1757</v>
      </c>
      <c r="D578" s="21"/>
      <c r="E578" s="21" t="s">
        <v>1758</v>
      </c>
      <c r="F578" s="21" t="s">
        <v>57</v>
      </c>
      <c r="G578" s="22">
        <v>1</v>
      </c>
      <c r="H578" s="21"/>
      <c r="I578" s="22">
        <v>32.5</v>
      </c>
      <c r="J578" s="23">
        <f>IFERROR(ROUND(SUM(M579)/I578, 2),0)</f>
        <v>0</v>
      </c>
      <c r="K578" s="23">
        <v>962.99</v>
      </c>
      <c r="L578" s="23">
        <f>J578+ROUND(K578, 2)</f>
        <v>962.99</v>
      </c>
      <c r="M578" s="23">
        <f>ROUND(J578*I578, 2)</f>
        <v>0</v>
      </c>
      <c r="N578" s="23">
        <f>ROUND(I578*ROUND(K578, 2), 2)</f>
        <v>31297.18</v>
      </c>
      <c r="O578" s="23">
        <f>M578+N578</f>
        <v>31297.18</v>
      </c>
      <c r="P578" s="23">
        <f>IFERROR(ROUND(SUM(S579)/I578, 2),0)</f>
        <v>1229.8</v>
      </c>
      <c r="Q578" s="23">
        <v>962.99</v>
      </c>
      <c r="R578" s="23">
        <f>P578+ROUND(Q578, 2)</f>
        <v>2192.79</v>
      </c>
      <c r="S578" s="23">
        <f>ROUND(P578*I578, 2)</f>
        <v>39968.5</v>
      </c>
      <c r="T578" s="23">
        <f>ROUND(I578*ROUND(Q578, 2), 2)</f>
        <v>31297.18</v>
      </c>
      <c r="U578" s="23">
        <f>S578+T578</f>
        <v>71265.679999999993</v>
      </c>
      <c r="V578" s="9">
        <f>ROUND(P578 / 1.2, 2)</f>
        <v>1024.83</v>
      </c>
      <c r="W578" s="9">
        <f>ROUND(Q578 / 1.2, 2)</f>
        <v>802.49</v>
      </c>
      <c r="X578" s="9">
        <f>ROUND(R578 / 1.2, 2)</f>
        <v>1827.33</v>
      </c>
      <c r="Y578" s="9">
        <f>ROUND(S578 / 1.2, 2)</f>
        <v>33307.08</v>
      </c>
      <c r="Z578" s="9">
        <f>ROUND(T578 / 1.2, 2)</f>
        <v>26080.98</v>
      </c>
      <c r="AA578" s="9">
        <f>Y578+Z578</f>
        <v>59388.06</v>
      </c>
      <c r="AD578" s="4">
        <v>341534361</v>
      </c>
      <c r="AE578" s="4">
        <v>28278821</v>
      </c>
      <c r="AG578" s="4" t="s">
        <v>1759</v>
      </c>
      <c r="AH578" s="4" t="s">
        <v>1760</v>
      </c>
      <c r="AI578" s="4" t="s">
        <v>241</v>
      </c>
    </row>
    <row r="579" spans="1:35" ht="90" x14ac:dyDescent="0.3">
      <c r="A579" s="11" t="s">
        <v>1761</v>
      </c>
      <c r="B579" s="11"/>
      <c r="C579" s="30" t="s">
        <v>1762</v>
      </c>
      <c r="D579" s="21"/>
      <c r="E579" s="21" t="s">
        <v>1763</v>
      </c>
      <c r="F579" s="31" t="s">
        <v>57</v>
      </c>
      <c r="G579" s="32">
        <v>1</v>
      </c>
      <c r="H579" s="21"/>
      <c r="I579" s="37">
        <v>32.5</v>
      </c>
      <c r="J579" s="33">
        <v>0</v>
      </c>
      <c r="K579" s="12"/>
      <c r="L579" s="12"/>
      <c r="M579" s="33">
        <f>ROUND(ROUND(J579, 2)*I579, 2)</f>
        <v>0</v>
      </c>
      <c r="N579" s="12"/>
      <c r="O579" s="12"/>
      <c r="P579" s="33">
        <v>1229.8</v>
      </c>
      <c r="Q579" s="12"/>
      <c r="R579" s="12"/>
      <c r="S579" s="33">
        <f>ROUND(ROUND(P579, 2)*I579, 2)</f>
        <v>39968.5</v>
      </c>
      <c r="T579" s="12"/>
      <c r="U579" s="34"/>
      <c r="V579" s="9">
        <f>ROUND(ROUND(P579, 2)/1.2, 2)</f>
        <v>1024.83</v>
      </c>
      <c r="Y579" s="9">
        <f>ROUND(S579 / 1.2, 2)</f>
        <v>33307.08</v>
      </c>
      <c r="AD579" s="4" t="s">
        <v>1764</v>
      </c>
      <c r="AE579" s="4" t="s">
        <v>1765</v>
      </c>
      <c r="AF579" s="4" t="s">
        <v>1766</v>
      </c>
    </row>
    <row r="580" spans="1:35" ht="36" x14ac:dyDescent="0.3">
      <c r="A580" s="11" t="s">
        <v>1767</v>
      </c>
      <c r="B580" s="11" t="s">
        <v>1756</v>
      </c>
      <c r="C580" s="20" t="s">
        <v>1757</v>
      </c>
      <c r="D580" s="21"/>
      <c r="E580" s="21" t="s">
        <v>1768</v>
      </c>
      <c r="F580" s="21" t="s">
        <v>57</v>
      </c>
      <c r="G580" s="22">
        <v>1</v>
      </c>
      <c r="H580" s="21"/>
      <c r="I580" s="22">
        <v>31.6</v>
      </c>
      <c r="J580" s="23">
        <f>IFERROR(ROUND(SUM(M581)/I580, 2),0)</f>
        <v>0</v>
      </c>
      <c r="K580" s="23">
        <v>962.99</v>
      </c>
      <c r="L580" s="23">
        <f>J580+ROUND(K580, 2)</f>
        <v>962.99</v>
      </c>
      <c r="M580" s="23">
        <f>ROUND(J580*I580, 2)</f>
        <v>0</v>
      </c>
      <c r="N580" s="23">
        <f>ROUND(I580*ROUND(K580, 2), 2)</f>
        <v>30430.48</v>
      </c>
      <c r="O580" s="23">
        <f>M580+N580</f>
        <v>30430.48</v>
      </c>
      <c r="P580" s="23">
        <f>IFERROR(ROUND(SUM(S581)/I580, 2),0)</f>
        <v>1229.8</v>
      </c>
      <c r="Q580" s="23">
        <v>962.99</v>
      </c>
      <c r="R580" s="23">
        <f>P580+ROUND(Q580, 2)</f>
        <v>2192.79</v>
      </c>
      <c r="S580" s="23">
        <f>ROUND(P580*I580, 2)</f>
        <v>38861.68</v>
      </c>
      <c r="T580" s="23">
        <f>ROUND(I580*ROUND(Q580, 2), 2)</f>
        <v>30430.48</v>
      </c>
      <c r="U580" s="23">
        <f>S580+T580</f>
        <v>69292.160000000003</v>
      </c>
      <c r="V580" s="9">
        <f>ROUND(P580 / 1.2, 2)</f>
        <v>1024.83</v>
      </c>
      <c r="W580" s="9">
        <f>ROUND(Q580 / 1.2, 2)</f>
        <v>802.49</v>
      </c>
      <c r="X580" s="9">
        <f>ROUND(R580 / 1.2, 2)</f>
        <v>1827.33</v>
      </c>
      <c r="Y580" s="9">
        <f>ROUND(S580 / 1.2, 2)</f>
        <v>32384.73</v>
      </c>
      <c r="Z580" s="9">
        <f>ROUND(T580 / 1.2, 2)</f>
        <v>25358.73</v>
      </c>
      <c r="AA580" s="9">
        <f>Y580+Z580</f>
        <v>57743.46</v>
      </c>
      <c r="AD580" s="4">
        <v>341534432</v>
      </c>
      <c r="AE580" s="4">
        <v>28278819</v>
      </c>
      <c r="AG580" s="4" t="s">
        <v>1759</v>
      </c>
      <c r="AH580" s="4" t="s">
        <v>1760</v>
      </c>
      <c r="AI580" s="4" t="s">
        <v>241</v>
      </c>
    </row>
    <row r="581" spans="1:35" ht="90" x14ac:dyDescent="0.3">
      <c r="A581" s="11" t="s">
        <v>1769</v>
      </c>
      <c r="B581" s="11"/>
      <c r="C581" s="30" t="s">
        <v>1762</v>
      </c>
      <c r="D581" s="21"/>
      <c r="E581" s="21" t="s">
        <v>1763</v>
      </c>
      <c r="F581" s="31" t="s">
        <v>57</v>
      </c>
      <c r="G581" s="32">
        <v>1</v>
      </c>
      <c r="H581" s="21"/>
      <c r="I581" s="37">
        <v>31.6</v>
      </c>
      <c r="J581" s="33">
        <v>0</v>
      </c>
      <c r="K581" s="12"/>
      <c r="L581" s="12"/>
      <c r="M581" s="33">
        <f>ROUND(ROUND(J581, 2)*I581, 2)</f>
        <v>0</v>
      </c>
      <c r="N581" s="12"/>
      <c r="O581" s="12"/>
      <c r="P581" s="33">
        <v>1229.8</v>
      </c>
      <c r="Q581" s="12"/>
      <c r="R581" s="12"/>
      <c r="S581" s="33">
        <f>ROUND(ROUND(P581, 2)*I581, 2)</f>
        <v>38861.68</v>
      </c>
      <c r="T581" s="12"/>
      <c r="U581" s="34"/>
      <c r="V581" s="9">
        <f>ROUND(ROUND(P581, 2)/1.2, 2)</f>
        <v>1024.83</v>
      </c>
      <c r="Y581" s="9">
        <f>ROUND(S581 / 1.2, 2)</f>
        <v>32384.73</v>
      </c>
      <c r="AD581" s="4" t="s">
        <v>1770</v>
      </c>
      <c r="AE581" s="4" t="s">
        <v>1771</v>
      </c>
      <c r="AF581" s="4" t="s">
        <v>1766</v>
      </c>
    </row>
    <row r="582" spans="1:35" ht="24" customHeight="1" x14ac:dyDescent="0.3">
      <c r="A582" s="67"/>
      <c r="B582" s="67"/>
      <c r="C582" s="67"/>
      <c r="D582" s="68" t="s">
        <v>1772</v>
      </c>
      <c r="E582" s="67"/>
      <c r="F582" s="67"/>
      <c r="G582" s="67"/>
      <c r="H582" s="67"/>
      <c r="I582" s="67"/>
      <c r="J582" s="67"/>
      <c r="K582" s="67"/>
      <c r="L582" s="67"/>
      <c r="M582" s="69">
        <f>SUM(M8)</f>
        <v>3689261.5200000005</v>
      </c>
      <c r="N582" s="69">
        <f>SUM(N8)</f>
        <v>14064838.649999999</v>
      </c>
      <c r="O582" s="69">
        <f>M582+N582</f>
        <v>17754100.169999998</v>
      </c>
      <c r="P582" s="67"/>
      <c r="Q582" s="67"/>
      <c r="R582" s="67"/>
      <c r="S582" s="69">
        <f>SUM(S8)</f>
        <v>3902823.1</v>
      </c>
      <c r="T582" s="69">
        <f>SUM(T8)</f>
        <v>14064019.079999998</v>
      </c>
      <c r="U582" s="69">
        <f>S582+T582</f>
        <v>17966842.18</v>
      </c>
      <c r="Y582" s="9">
        <f>SUM(Y8)</f>
        <v>3252352.6700000004</v>
      </c>
      <c r="Z582" s="9">
        <f>SUM(Z8)</f>
        <v>11720015.950000003</v>
      </c>
      <c r="AA582" s="9">
        <f>Y582+Z582</f>
        <v>14972368.620000003</v>
      </c>
    </row>
  </sheetData>
  <sheetProtection password="C644" sheet="1" formatColumns="0" autoFilter="0"/>
  <autoFilter ref="A7:U7"/>
  <mergeCells count="48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6:I16"/>
    <mergeCell ref="C23:I23"/>
    <mergeCell ref="C49:I49"/>
    <mergeCell ref="C54:I54"/>
    <mergeCell ref="C55:I55"/>
    <mergeCell ref="C56:I56"/>
    <mergeCell ref="C57:I57"/>
    <mergeCell ref="C58:I58"/>
    <mergeCell ref="C121:I121"/>
    <mergeCell ref="C138:I138"/>
    <mergeCell ref="C209:I209"/>
    <mergeCell ref="C553:I553"/>
    <mergeCell ref="C572:I572"/>
    <mergeCell ref="C210:I210"/>
    <mergeCell ref="C432:I432"/>
    <mergeCell ref="C451:I451"/>
    <mergeCell ref="C509:I509"/>
    <mergeCell ref="C510:I5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7"/>
  <sheetViews>
    <sheetView zoomScale="44" zoomScaleNormal="44" workbookViewId="0">
      <pane xSplit="9" ySplit="7" topLeftCell="J14" activePane="bottomRight" state="frozen"/>
      <selection pane="topRight"/>
      <selection pane="bottomLeft"/>
      <selection pane="bottomRight" activeCell="H32" sqref="H3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1773</v>
      </c>
      <c r="H1" s="2" t="s">
        <v>1774</v>
      </c>
      <c r="I1" s="2" t="s">
        <v>1775</v>
      </c>
      <c r="J1" s="2" t="s">
        <v>1776</v>
      </c>
      <c r="K1" s="2" t="s">
        <v>1777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34" t="s">
        <v>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35" ht="15" customHeight="1" x14ac:dyDescent="0.3">
      <c r="A3" s="135" t="s">
        <v>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35" ht="15" customHeight="1" x14ac:dyDescent="0.3">
      <c r="A4" s="136" t="s">
        <v>6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</row>
    <row r="5" spans="1:35" ht="40.799999999999997" customHeight="1" x14ac:dyDescent="0.3">
      <c r="A5" s="129" t="s">
        <v>22</v>
      </c>
      <c r="B5" s="129" t="s">
        <v>23</v>
      </c>
      <c r="C5" s="129" t="s">
        <v>24</v>
      </c>
      <c r="D5" s="129" t="s">
        <v>25</v>
      </c>
      <c r="E5" s="129" t="s">
        <v>26</v>
      </c>
      <c r="F5" s="129" t="s">
        <v>27</v>
      </c>
      <c r="G5" s="129" t="s">
        <v>28</v>
      </c>
      <c r="H5" s="129" t="s">
        <v>29</v>
      </c>
      <c r="I5" s="129" t="s">
        <v>30</v>
      </c>
      <c r="J5" s="137" t="s">
        <v>7</v>
      </c>
      <c r="K5" s="138"/>
      <c r="L5" s="138"/>
      <c r="M5" s="138"/>
      <c r="N5" s="138"/>
      <c r="O5" s="139"/>
      <c r="P5" s="140" t="s">
        <v>8</v>
      </c>
      <c r="Q5" s="141"/>
      <c r="R5" s="142"/>
      <c r="S5" s="140" t="s">
        <v>9</v>
      </c>
      <c r="T5" s="141"/>
      <c r="U5" s="142"/>
    </row>
    <row r="6" spans="1:35" ht="15.75" customHeight="1" x14ac:dyDescent="0.3">
      <c r="A6" s="143"/>
      <c r="B6" s="143"/>
      <c r="C6" s="143"/>
      <c r="D6" s="143"/>
      <c r="E6" s="143"/>
      <c r="F6" s="143"/>
      <c r="G6" s="143"/>
      <c r="H6" s="143"/>
      <c r="I6" s="143"/>
      <c r="J6" s="127" t="s">
        <v>31</v>
      </c>
      <c r="K6" s="128"/>
      <c r="L6" s="129" t="s">
        <v>31</v>
      </c>
      <c r="M6" s="127" t="s">
        <v>34</v>
      </c>
      <c r="N6" s="128"/>
      <c r="O6" s="129" t="s">
        <v>35</v>
      </c>
      <c r="P6" s="127" t="s">
        <v>31</v>
      </c>
      <c r="Q6" s="128"/>
      <c r="R6" s="129" t="s">
        <v>31</v>
      </c>
      <c r="S6" s="127" t="s">
        <v>34</v>
      </c>
      <c r="T6" s="128"/>
      <c r="U6" s="129" t="s">
        <v>35</v>
      </c>
    </row>
    <row r="7" spans="1:35" ht="31.2" customHeight="1" x14ac:dyDescent="0.3">
      <c r="A7" s="130"/>
      <c r="B7" s="130"/>
      <c r="C7" s="130"/>
      <c r="D7" s="130"/>
      <c r="E7" s="130"/>
      <c r="F7" s="130"/>
      <c r="G7" s="130"/>
      <c r="H7" s="130"/>
      <c r="I7" s="130"/>
      <c r="J7" s="5" t="s">
        <v>32</v>
      </c>
      <c r="K7" s="5" t="s">
        <v>33</v>
      </c>
      <c r="L7" s="130"/>
      <c r="M7" s="5" t="s">
        <v>32</v>
      </c>
      <c r="N7" s="5" t="s">
        <v>33</v>
      </c>
      <c r="O7" s="130"/>
      <c r="P7" s="5" t="s">
        <v>32</v>
      </c>
      <c r="Q7" s="5" t="s">
        <v>33</v>
      </c>
      <c r="R7" s="130"/>
      <c r="S7" s="5" t="s">
        <v>32</v>
      </c>
      <c r="T7" s="5" t="s">
        <v>33</v>
      </c>
      <c r="U7" s="130"/>
    </row>
    <row r="8" spans="1:35" ht="30" customHeight="1" x14ac:dyDescent="0.3">
      <c r="A8" s="131" t="s">
        <v>36</v>
      </c>
      <c r="B8" s="132"/>
      <c r="C8" s="132"/>
      <c r="D8" s="132"/>
      <c r="E8" s="132"/>
      <c r="F8" s="132"/>
      <c r="G8" s="132"/>
      <c r="H8" s="132"/>
      <c r="I8" s="133"/>
      <c r="J8" s="7"/>
      <c r="K8" s="7"/>
      <c r="L8" s="7"/>
      <c r="M8" s="8">
        <f>SUM(M9)</f>
        <v>3689261.5200000005</v>
      </c>
      <c r="N8" s="8">
        <f>SUM(N9)</f>
        <v>14064838.649999999</v>
      </c>
      <c r="O8" s="8">
        <f>SUM(O9)</f>
        <v>17754100.170000002</v>
      </c>
      <c r="P8" s="7"/>
      <c r="Q8" s="7"/>
      <c r="R8" s="7"/>
      <c r="S8" s="8">
        <f>SUM(S9)</f>
        <v>3902823.1</v>
      </c>
      <c r="T8" s="8">
        <f>SUM(T9)</f>
        <v>14064019.079999998</v>
      </c>
      <c r="U8" s="8">
        <f>SUM(U9)</f>
        <v>17966842.180000003</v>
      </c>
      <c r="Y8" s="9">
        <f>SUM(Y9)</f>
        <v>3252352.6700000004</v>
      </c>
      <c r="Z8" s="9">
        <f>SUM(Z9)</f>
        <v>11720015.950000003</v>
      </c>
      <c r="AA8" s="9">
        <f>SUM(AA9)</f>
        <v>14972368.620000001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21" t="s">
        <v>40</v>
      </c>
      <c r="D9" s="122"/>
      <c r="E9" s="122"/>
      <c r="F9" s="122"/>
      <c r="G9" s="122"/>
      <c r="H9" s="122"/>
      <c r="I9" s="123"/>
      <c r="M9" s="6">
        <f>SUM(M10,M49)</f>
        <v>3689261.5200000005</v>
      </c>
      <c r="N9" s="6">
        <f>SUM(N10,N49)</f>
        <v>14064838.649999999</v>
      </c>
      <c r="O9" s="6">
        <f>SUM(O10,O49)</f>
        <v>17754100.170000002</v>
      </c>
      <c r="S9" s="6">
        <f>SUM(S10,S49)</f>
        <v>3902823.1</v>
      </c>
      <c r="T9" s="6">
        <f>SUM(T10,T49)</f>
        <v>14064019.079999998</v>
      </c>
      <c r="U9" s="6">
        <f>SUM(U10,U49)</f>
        <v>17966842.180000003</v>
      </c>
      <c r="Y9" s="9">
        <f>SUM(Y10,Y49)</f>
        <v>3252352.6700000004</v>
      </c>
      <c r="Z9" s="9">
        <f>SUM(Z10,Z49)</f>
        <v>11720015.950000003</v>
      </c>
      <c r="AA9" s="9">
        <f>SUM(AA10,AA49)</f>
        <v>14972368.620000001</v>
      </c>
      <c r="AD9" s="4">
        <v>341534268</v>
      </c>
      <c r="AE9" s="4">
        <v>25837335</v>
      </c>
    </row>
    <row r="10" spans="1:35" ht="16.95" customHeight="1" x14ac:dyDescent="0.3">
      <c r="A10" s="10" t="s">
        <v>41</v>
      </c>
      <c r="B10" s="10" t="s">
        <v>42</v>
      </c>
      <c r="C10" s="121" t="s">
        <v>43</v>
      </c>
      <c r="D10" s="122"/>
      <c r="E10" s="122"/>
      <c r="F10" s="122"/>
      <c r="G10" s="122"/>
      <c r="H10" s="122"/>
      <c r="I10" s="123"/>
      <c r="M10" s="6">
        <f t="shared" ref="M10:O11" si="0">SUM(M11)</f>
        <v>155771.19999999998</v>
      </c>
      <c r="N10" s="6">
        <f t="shared" si="0"/>
        <v>578336.01</v>
      </c>
      <c r="O10" s="6">
        <f t="shared" si="0"/>
        <v>734107.20999999985</v>
      </c>
      <c r="S10" s="6">
        <f t="shared" ref="S10:U11" si="1">SUM(S11)</f>
        <v>155642.97999999998</v>
      </c>
      <c r="T10" s="6">
        <f t="shared" si="1"/>
        <v>577516.43999999994</v>
      </c>
      <c r="U10" s="6">
        <f t="shared" si="1"/>
        <v>733159.42</v>
      </c>
      <c r="Y10" s="9">
        <f t="shared" ref="Y10:AA11" si="2">SUM(Y11)</f>
        <v>129702.5</v>
      </c>
      <c r="Z10" s="9">
        <f t="shared" si="2"/>
        <v>481263.71</v>
      </c>
      <c r="AA10" s="9">
        <f t="shared" si="2"/>
        <v>610966.20999999985</v>
      </c>
      <c r="AD10" s="4">
        <v>341534269</v>
      </c>
      <c r="AE10" s="4">
        <v>25837362</v>
      </c>
    </row>
    <row r="11" spans="1:35" ht="16.95" customHeight="1" x14ac:dyDescent="0.3">
      <c r="A11" s="10" t="s">
        <v>44</v>
      </c>
      <c r="B11" s="10" t="s">
        <v>45</v>
      </c>
      <c r="C11" s="121" t="s">
        <v>46</v>
      </c>
      <c r="D11" s="122"/>
      <c r="E11" s="122"/>
      <c r="F11" s="122"/>
      <c r="G11" s="122"/>
      <c r="H11" s="122"/>
      <c r="I11" s="123"/>
      <c r="M11" s="6">
        <f t="shared" si="0"/>
        <v>155771.19999999998</v>
      </c>
      <c r="N11" s="6">
        <f t="shared" si="0"/>
        <v>578336.01</v>
      </c>
      <c r="O11" s="6">
        <f t="shared" si="0"/>
        <v>734107.20999999985</v>
      </c>
      <c r="S11" s="6">
        <f t="shared" si="1"/>
        <v>155642.97999999998</v>
      </c>
      <c r="T11" s="6">
        <f t="shared" si="1"/>
        <v>577516.43999999994</v>
      </c>
      <c r="U11" s="6">
        <f t="shared" si="1"/>
        <v>733159.42</v>
      </c>
      <c r="Y11" s="9">
        <f t="shared" si="2"/>
        <v>129702.5</v>
      </c>
      <c r="Z11" s="9">
        <f t="shared" si="2"/>
        <v>481263.71</v>
      </c>
      <c r="AA11" s="9">
        <f t="shared" si="2"/>
        <v>610966.20999999985</v>
      </c>
      <c r="AD11" s="4">
        <v>341534270</v>
      </c>
      <c r="AE11" s="4">
        <v>25837343</v>
      </c>
    </row>
    <row r="12" spans="1:35" ht="16.95" customHeight="1" x14ac:dyDescent="0.3">
      <c r="A12" s="10" t="s">
        <v>47</v>
      </c>
      <c r="B12" s="10" t="s">
        <v>48</v>
      </c>
      <c r="C12" s="121" t="s">
        <v>49</v>
      </c>
      <c r="D12" s="122"/>
      <c r="E12" s="122"/>
      <c r="F12" s="122"/>
      <c r="G12" s="122"/>
      <c r="H12" s="122"/>
      <c r="I12" s="123"/>
      <c r="M12" s="6">
        <f>SUM(M13,M15,M44)</f>
        <v>155771.19999999998</v>
      </c>
      <c r="N12" s="6">
        <f>SUM(N13,N15,N44)</f>
        <v>578336.01</v>
      </c>
      <c r="O12" s="6">
        <f>SUM(O13,O15,O44)</f>
        <v>734107.20999999985</v>
      </c>
      <c r="S12" s="6">
        <f>SUM(S13,S15,S44)</f>
        <v>155642.97999999998</v>
      </c>
      <c r="T12" s="6">
        <f>SUM(T13,T15,T44)</f>
        <v>577516.43999999994</v>
      </c>
      <c r="U12" s="6">
        <f>SUM(U13,U15,U44)</f>
        <v>733159.42</v>
      </c>
      <c r="Y12" s="9">
        <f>SUM(Y13,Y15,Y44)</f>
        <v>129702.5</v>
      </c>
      <c r="Z12" s="9">
        <f>SUM(Z13,Z15,Z44)</f>
        <v>481263.71</v>
      </c>
      <c r="AA12" s="9">
        <f>SUM(AA13,AA15,AA44)</f>
        <v>610966.20999999985</v>
      </c>
      <c r="AD12" s="4">
        <v>341534271</v>
      </c>
      <c r="AE12" s="4">
        <v>25837336</v>
      </c>
    </row>
    <row r="13" spans="1:35" ht="16.95" customHeight="1" x14ac:dyDescent="0.3">
      <c r="A13" s="10" t="s">
        <v>50</v>
      </c>
      <c r="B13" s="10" t="s">
        <v>51</v>
      </c>
      <c r="C13" s="121" t="s">
        <v>52</v>
      </c>
      <c r="D13" s="122"/>
      <c r="E13" s="122"/>
      <c r="F13" s="122"/>
      <c r="G13" s="122"/>
      <c r="H13" s="122"/>
      <c r="I13" s="123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  <c r="Y13" s="9">
        <f>SUM(Y14)</f>
        <v>0</v>
      </c>
      <c r="Z13" s="9">
        <f>SUM(Z14)</f>
        <v>235000</v>
      </c>
      <c r="AA13" s="9">
        <f>SUM(AA14)</f>
        <v>235000</v>
      </c>
      <c r="AD13" s="4">
        <v>341534272</v>
      </c>
      <c r="AE13" s="4">
        <v>28199788</v>
      </c>
    </row>
    <row r="14" spans="1:35" ht="36" x14ac:dyDescent="0.3">
      <c r="A14" s="10" t="s">
        <v>53</v>
      </c>
      <c r="B14" s="10" t="s">
        <v>54</v>
      </c>
      <c r="C14" s="14" t="s">
        <v>55</v>
      </c>
      <c r="D14" s="15"/>
      <c r="E14" s="15" t="s">
        <v>56</v>
      </c>
      <c r="F14" s="15" t="s">
        <v>57</v>
      </c>
      <c r="G14" s="16">
        <v>1</v>
      </c>
      <c r="H14" s="16"/>
      <c r="I14" s="16">
        <v>752</v>
      </c>
      <c r="J14" s="17">
        <v>0</v>
      </c>
      <c r="K14" s="18">
        <v>375</v>
      </c>
      <c r="L14" s="17">
        <f>J14+ROUND(K14, 2)</f>
        <v>375</v>
      </c>
      <c r="M14" s="17">
        <v>0</v>
      </c>
      <c r="N14" s="17">
        <f>ROUND(I14*ROUND(K14, 2), 2)</f>
        <v>282000</v>
      </c>
      <c r="O14" s="17">
        <f>M14+N14</f>
        <v>282000</v>
      </c>
      <c r="P14" s="17">
        <v>0</v>
      </c>
      <c r="Q14" s="19">
        <v>375</v>
      </c>
      <c r="R14" s="17">
        <f>P14+ROUND(Q14, 2)</f>
        <v>375</v>
      </c>
      <c r="S14" s="17">
        <v>0</v>
      </c>
      <c r="T14" s="17">
        <f>ROUND(I14*ROUND(Q14, 2), 2)</f>
        <v>282000</v>
      </c>
      <c r="U14" s="17">
        <f>S14+T14</f>
        <v>282000</v>
      </c>
      <c r="V14" s="9"/>
      <c r="W14" s="9">
        <f>ROUND(Q14 / 1.2, 2)</f>
        <v>312.5</v>
      </c>
      <c r="X14" s="9">
        <f>ROUND(R14 / 1.2, 2)</f>
        <v>312.5</v>
      </c>
      <c r="Y14" s="9"/>
      <c r="Z14" s="9">
        <f>ROUND(T14 / 1.2, 2)</f>
        <v>235000</v>
      </c>
      <c r="AA14" s="9">
        <f>Y14+Z14</f>
        <v>235000</v>
      </c>
      <c r="AD14" s="4">
        <v>341534274</v>
      </c>
      <c r="AE14" s="4">
        <v>28199801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21" t="s">
        <v>63</v>
      </c>
      <c r="D15" s="122"/>
      <c r="E15" s="122"/>
      <c r="F15" s="122"/>
      <c r="G15" s="122"/>
      <c r="H15" s="122"/>
      <c r="I15" s="123"/>
      <c r="M15" s="6">
        <f>SUM(M16,M23)</f>
        <v>150730.60999999999</v>
      </c>
      <c r="N15" s="6">
        <f>SUM(N16,N23)</f>
        <v>292732.52999999997</v>
      </c>
      <c r="O15" s="6">
        <f>SUM(O16,O23)</f>
        <v>443463.13999999996</v>
      </c>
      <c r="S15" s="6">
        <f>SUM(S16,S23)</f>
        <v>150550.15</v>
      </c>
      <c r="T15" s="6">
        <f>SUM(T16,T23)</f>
        <v>291991.67999999999</v>
      </c>
      <c r="U15" s="6">
        <f>SUM(U16,U23)</f>
        <v>442541.83</v>
      </c>
      <c r="Y15" s="9">
        <f>SUM(Y16,Y23)</f>
        <v>125458.47</v>
      </c>
      <c r="Z15" s="9">
        <f>SUM(Z16,Z23)</f>
        <v>243326.41</v>
      </c>
      <c r="AA15" s="9">
        <f>SUM(AA16,AA23)</f>
        <v>368784.87999999995</v>
      </c>
      <c r="AD15" s="4">
        <v>341534275</v>
      </c>
      <c r="AE15" s="4">
        <v>25837345</v>
      </c>
    </row>
    <row r="16" spans="1:35" ht="16.95" customHeight="1" x14ac:dyDescent="0.3">
      <c r="A16" s="10" t="s">
        <v>64</v>
      </c>
      <c r="B16" s="10" t="s">
        <v>65</v>
      </c>
      <c r="C16" s="121" t="s">
        <v>66</v>
      </c>
      <c r="D16" s="122"/>
      <c r="E16" s="122"/>
      <c r="F16" s="122"/>
      <c r="G16" s="122"/>
      <c r="H16" s="122"/>
      <c r="I16" s="123"/>
      <c r="M16" s="6">
        <f>SUM(M17)</f>
        <v>24735.63</v>
      </c>
      <c r="N16" s="6">
        <f>SUM(N17)</f>
        <v>26859.18</v>
      </c>
      <c r="O16" s="6">
        <f>SUM(O17)</f>
        <v>51594.81</v>
      </c>
      <c r="S16" s="6">
        <f>SUM(S17)</f>
        <v>24735.63</v>
      </c>
      <c r="T16" s="6">
        <f>SUM(T17)</f>
        <v>26118.33</v>
      </c>
      <c r="U16" s="6">
        <f>SUM(U17)</f>
        <v>50853.960000000006</v>
      </c>
      <c r="Y16" s="9">
        <f>SUM(Y17)</f>
        <v>20613.03</v>
      </c>
      <c r="Z16" s="9">
        <f>SUM(Z17)</f>
        <v>21765.279999999999</v>
      </c>
      <c r="AA16" s="9">
        <f>SUM(AA17)</f>
        <v>42378.31</v>
      </c>
      <c r="AD16" s="4">
        <v>341534276</v>
      </c>
      <c r="AE16" s="4">
        <v>28199790</v>
      </c>
    </row>
    <row r="17" spans="1:35" ht="72" x14ac:dyDescent="0.3">
      <c r="A17" s="10" t="s">
        <v>67</v>
      </c>
      <c r="B17" s="10" t="s">
        <v>68</v>
      </c>
      <c r="C17" s="14" t="s">
        <v>69</v>
      </c>
      <c r="D17" s="15" t="s">
        <v>70</v>
      </c>
      <c r="E17" s="15" t="s">
        <v>71</v>
      </c>
      <c r="F17" s="15" t="s">
        <v>57</v>
      </c>
      <c r="G17" s="16">
        <v>1</v>
      </c>
      <c r="H17" s="16"/>
      <c r="I17" s="16">
        <v>13.47</v>
      </c>
      <c r="J17" s="17">
        <f>IFERROR(ROUND(SUM(M18,M19,M20,M21,M22)/I17, 2),0)</f>
        <v>1836.35</v>
      </c>
      <c r="K17" s="18">
        <v>1994</v>
      </c>
      <c r="L17" s="17">
        <f>J17+ROUND(K17, 2)</f>
        <v>3830.35</v>
      </c>
      <c r="M17" s="17">
        <f>ROUND(J17*I17, 2)</f>
        <v>24735.63</v>
      </c>
      <c r="N17" s="17">
        <f>ROUND(I17*ROUND(K17, 2), 2)</f>
        <v>26859.18</v>
      </c>
      <c r="O17" s="17">
        <f>M17+N17</f>
        <v>51594.81</v>
      </c>
      <c r="P17" s="17">
        <f>IFERROR(ROUND(SUM(S18,S19,S20,S21,S22)/I17, 2),0)</f>
        <v>1836.35</v>
      </c>
      <c r="Q17" s="19">
        <v>1939</v>
      </c>
      <c r="R17" s="17">
        <f>P17+ROUND(Q17, 2)</f>
        <v>3775.35</v>
      </c>
      <c r="S17" s="17">
        <f>ROUND(P17*I17, 2)</f>
        <v>24735.63</v>
      </c>
      <c r="T17" s="17">
        <f>ROUND(I17*ROUND(Q17, 2), 2)</f>
        <v>26118.33</v>
      </c>
      <c r="U17" s="17">
        <f>S17+T17</f>
        <v>50853.960000000006</v>
      </c>
      <c r="V17" s="9">
        <f>ROUND(P17 / 1.2, 2)</f>
        <v>1530.29</v>
      </c>
      <c r="W17" s="9">
        <f>ROUND(Q17 / 1.2, 2)</f>
        <v>1615.83</v>
      </c>
      <c r="X17" s="9">
        <f>ROUND(R17 / 1.2, 2)</f>
        <v>3146.13</v>
      </c>
      <c r="Y17" s="9">
        <f>ROUND(S17 / 1.2, 2)</f>
        <v>20613.03</v>
      </c>
      <c r="Z17" s="9">
        <f>ROUND(T17 / 1.2, 2)</f>
        <v>21765.279999999999</v>
      </c>
      <c r="AA17" s="9">
        <f>Y17+Z17</f>
        <v>42378.31</v>
      </c>
      <c r="AD17" s="4">
        <v>341534278</v>
      </c>
      <c r="AE17" s="4">
        <v>28199802</v>
      </c>
      <c r="AG17" s="4" t="s">
        <v>72</v>
      </c>
      <c r="AH17" s="4" t="s">
        <v>73</v>
      </c>
      <c r="AI17" s="4" t="s">
        <v>60</v>
      </c>
    </row>
    <row r="18" spans="1:35" ht="18" x14ac:dyDescent="0.3">
      <c r="A18" s="10" t="s">
        <v>74</v>
      </c>
      <c r="B18" s="10"/>
      <c r="C18" s="24" t="s">
        <v>75</v>
      </c>
      <c r="D18" s="15"/>
      <c r="E18" s="15"/>
      <c r="F18" s="25" t="s">
        <v>76</v>
      </c>
      <c r="G18" s="26">
        <v>44.85</v>
      </c>
      <c r="H18" s="26"/>
      <c r="I18" s="26">
        <v>604.13</v>
      </c>
      <c r="J18" s="27">
        <v>6.38</v>
      </c>
      <c r="M18" s="28">
        <f>ROUND(ROUND(J18, 2)*I18, 2)</f>
        <v>3854.35</v>
      </c>
      <c r="P18" s="29">
        <v>6.38</v>
      </c>
      <c r="S18" s="28">
        <f>ROUND(ROUND(P18, 2)*I18, 2)</f>
        <v>3854.35</v>
      </c>
      <c r="V18" s="9">
        <f>ROUND(ROUND(P18, 2)/1.2, 2)</f>
        <v>5.32</v>
      </c>
      <c r="Y18" s="9">
        <f>ROUND(S18 / 1.2, 2)</f>
        <v>3211.96</v>
      </c>
      <c r="AD18" s="4" t="s">
        <v>77</v>
      </c>
      <c r="AE18" s="4" t="s">
        <v>78</v>
      </c>
      <c r="AF18" s="4" t="s">
        <v>79</v>
      </c>
    </row>
    <row r="19" spans="1:35" ht="36" x14ac:dyDescent="0.3">
      <c r="A19" s="10" t="s">
        <v>80</v>
      </c>
      <c r="B19" s="10"/>
      <c r="C19" s="24" t="s">
        <v>81</v>
      </c>
      <c r="D19" s="15"/>
      <c r="E19" s="15"/>
      <c r="F19" s="25" t="s">
        <v>82</v>
      </c>
      <c r="G19" s="26">
        <v>1</v>
      </c>
      <c r="H19" s="26"/>
      <c r="I19" s="26">
        <v>13.47</v>
      </c>
      <c r="J19" s="27">
        <v>65.67</v>
      </c>
      <c r="M19" s="28">
        <f>ROUND(ROUND(J19, 2)*I19, 2)</f>
        <v>884.57</v>
      </c>
      <c r="P19" s="29">
        <v>65.67</v>
      </c>
      <c r="S19" s="28">
        <f>ROUND(ROUND(P19, 2)*I19, 2)</f>
        <v>884.57</v>
      </c>
      <c r="V19" s="9">
        <f>ROUND(ROUND(P19, 2)/1.2, 2)</f>
        <v>54.73</v>
      </c>
      <c r="Y19" s="9">
        <f>ROUND(S19 / 1.2, 2)</f>
        <v>737.14</v>
      </c>
      <c r="AD19" s="4" t="s">
        <v>83</v>
      </c>
      <c r="AE19" s="4" t="s">
        <v>84</v>
      </c>
      <c r="AF19" s="4" t="s">
        <v>85</v>
      </c>
    </row>
    <row r="20" spans="1:35" ht="36" x14ac:dyDescent="0.3">
      <c r="A20" s="10" t="s">
        <v>86</v>
      </c>
      <c r="B20" s="10"/>
      <c r="C20" s="24" t="s">
        <v>87</v>
      </c>
      <c r="D20" s="15"/>
      <c r="E20" s="15"/>
      <c r="F20" s="25" t="s">
        <v>82</v>
      </c>
      <c r="G20" s="26">
        <v>1</v>
      </c>
      <c r="H20" s="26"/>
      <c r="I20" s="26">
        <v>13.47</v>
      </c>
      <c r="J20" s="27">
        <v>118.99</v>
      </c>
      <c r="M20" s="28">
        <f>ROUND(ROUND(J20, 2)*I20, 2)</f>
        <v>1602.8</v>
      </c>
      <c r="P20" s="29">
        <v>118.99</v>
      </c>
      <c r="S20" s="28">
        <f>ROUND(ROUND(P20, 2)*I20, 2)</f>
        <v>1602.8</v>
      </c>
      <c r="V20" s="9">
        <f>ROUND(ROUND(P20, 2)/1.2, 2)</f>
        <v>99.16</v>
      </c>
      <c r="Y20" s="9">
        <f>ROUND(S20 / 1.2, 2)</f>
        <v>1335.67</v>
      </c>
      <c r="AD20" s="4" t="s">
        <v>88</v>
      </c>
      <c r="AE20" s="4" t="s">
        <v>89</v>
      </c>
      <c r="AF20" s="4" t="s">
        <v>90</v>
      </c>
    </row>
    <row r="21" spans="1:35" ht="18" x14ac:dyDescent="0.3">
      <c r="A21" s="10" t="s">
        <v>91</v>
      </c>
      <c r="B21" s="10"/>
      <c r="C21" s="24" t="s">
        <v>92</v>
      </c>
      <c r="D21" s="15"/>
      <c r="E21" s="15"/>
      <c r="F21" s="25" t="s">
        <v>57</v>
      </c>
      <c r="G21" s="26">
        <v>0.504</v>
      </c>
      <c r="H21" s="26"/>
      <c r="I21" s="26">
        <v>6.7889999999999997</v>
      </c>
      <c r="J21" s="27">
        <v>269.41000000000003</v>
      </c>
      <c r="M21" s="28">
        <f>ROUND(ROUND(J21, 2)*I21, 2)</f>
        <v>1829.02</v>
      </c>
      <c r="P21" s="29">
        <v>269.41000000000003</v>
      </c>
      <c r="S21" s="28">
        <f>ROUND(ROUND(P21, 2)*I21, 2)</f>
        <v>1829.02</v>
      </c>
      <c r="V21" s="9">
        <f>ROUND(ROUND(P21, 2)/1.2, 2)</f>
        <v>224.51</v>
      </c>
      <c r="Y21" s="9">
        <f>ROUND(S21 / 1.2, 2)</f>
        <v>1524.18</v>
      </c>
      <c r="AD21" s="4" t="s">
        <v>93</v>
      </c>
      <c r="AE21" s="4" t="s">
        <v>94</v>
      </c>
      <c r="AF21" s="4" t="s">
        <v>95</v>
      </c>
    </row>
    <row r="22" spans="1:35" ht="18" x14ac:dyDescent="0.3">
      <c r="A22" s="10" t="s">
        <v>96</v>
      </c>
      <c r="B22" s="10"/>
      <c r="C22" s="24" t="s">
        <v>97</v>
      </c>
      <c r="D22" s="15"/>
      <c r="E22" s="15"/>
      <c r="F22" s="25" t="s">
        <v>98</v>
      </c>
      <c r="G22" s="26">
        <v>50.4</v>
      </c>
      <c r="H22" s="26"/>
      <c r="I22" s="26">
        <v>678.88800000000003</v>
      </c>
      <c r="J22" s="27">
        <v>24.4</v>
      </c>
      <c r="M22" s="28">
        <f>ROUND(ROUND(J22, 2)*I22, 2)</f>
        <v>16564.87</v>
      </c>
      <c r="P22" s="29">
        <v>24.4</v>
      </c>
      <c r="S22" s="28">
        <f>ROUND(ROUND(P22, 2)*I22, 2)</f>
        <v>16564.87</v>
      </c>
      <c r="V22" s="9">
        <f>ROUND(ROUND(P22, 2)/1.2, 2)</f>
        <v>20.329999999999998</v>
      </c>
      <c r="Y22" s="9">
        <f>ROUND(S22 / 1.2, 2)</f>
        <v>13804.06</v>
      </c>
      <c r="AD22" s="4" t="s">
        <v>99</v>
      </c>
      <c r="AE22" s="4" t="s">
        <v>100</v>
      </c>
      <c r="AF22" s="4" t="s">
        <v>101</v>
      </c>
    </row>
    <row r="23" spans="1:35" ht="16.95" customHeight="1" x14ac:dyDescent="0.3">
      <c r="A23" s="10" t="s">
        <v>102</v>
      </c>
      <c r="B23" s="10" t="s">
        <v>103</v>
      </c>
      <c r="C23" s="121" t="s">
        <v>104</v>
      </c>
      <c r="D23" s="122"/>
      <c r="E23" s="122"/>
      <c r="F23" s="122"/>
      <c r="G23" s="122"/>
      <c r="H23" s="122"/>
      <c r="I23" s="123"/>
      <c r="M23" s="6">
        <f>SUM(M24,M29,M34,M39)</f>
        <v>125994.97999999998</v>
      </c>
      <c r="N23" s="6">
        <f>SUM(N24,N29,N34,N39)</f>
        <v>265873.34999999998</v>
      </c>
      <c r="O23" s="6">
        <f>SUM(O24,O29,O34,O39)</f>
        <v>391868.32999999996</v>
      </c>
      <c r="S23" s="6">
        <f>SUM(S24,S29,S34,S39)</f>
        <v>125814.51999999999</v>
      </c>
      <c r="T23" s="6">
        <f>SUM(T24,T29,T34,T39)</f>
        <v>265873.34999999998</v>
      </c>
      <c r="U23" s="6">
        <f>SUM(U24,U29,U34,U39)</f>
        <v>391687.87</v>
      </c>
      <c r="Y23" s="9">
        <f>SUM(Y24,Y29,Y34,Y39)</f>
        <v>104845.44</v>
      </c>
      <c r="Z23" s="9">
        <f>SUM(Z24,Z29,Z34,Z39)</f>
        <v>221561.13</v>
      </c>
      <c r="AA23" s="9">
        <f>SUM(AA24,AA29,AA34,AA39)</f>
        <v>326406.56999999995</v>
      </c>
      <c r="AD23" s="4">
        <v>341534279</v>
      </c>
      <c r="AE23" s="4">
        <v>25837337</v>
      </c>
    </row>
    <row r="24" spans="1:35" ht="36" x14ac:dyDescent="0.3">
      <c r="A24" s="10" t="s">
        <v>105</v>
      </c>
      <c r="B24" s="10" t="s">
        <v>106</v>
      </c>
      <c r="C24" s="14" t="s">
        <v>107</v>
      </c>
      <c r="D24" s="15"/>
      <c r="E24" s="15" t="s">
        <v>108</v>
      </c>
      <c r="F24" s="15" t="s">
        <v>57</v>
      </c>
      <c r="G24" s="16">
        <v>1</v>
      </c>
      <c r="H24" s="16"/>
      <c r="I24" s="16">
        <v>76.67</v>
      </c>
      <c r="J24" s="17">
        <f>IFERROR(ROUND(SUM(M25,M26,M27,M28)/I24, 2),0)</f>
        <v>1035.32</v>
      </c>
      <c r="K24" s="18">
        <v>2293</v>
      </c>
      <c r="L24" s="17">
        <f>J24+ROUND(K24, 2)</f>
        <v>3328.3199999999997</v>
      </c>
      <c r="M24" s="17">
        <f>ROUND(J24*I24, 2)</f>
        <v>79377.98</v>
      </c>
      <c r="N24" s="17">
        <f>ROUND(I24*ROUND(K24, 2), 2)</f>
        <v>175804.31</v>
      </c>
      <c r="O24" s="17">
        <f>M24+N24</f>
        <v>255182.28999999998</v>
      </c>
      <c r="P24" s="17">
        <f>IFERROR(ROUND(SUM(S25,S26,S27,S28)/I24, 2),0)</f>
        <v>1032.94</v>
      </c>
      <c r="Q24" s="19">
        <v>2293</v>
      </c>
      <c r="R24" s="17">
        <f>P24+ROUND(Q24, 2)</f>
        <v>3325.94</v>
      </c>
      <c r="S24" s="17">
        <f>ROUND(P24*I24, 2)</f>
        <v>79195.509999999995</v>
      </c>
      <c r="T24" s="17">
        <f>ROUND(I24*ROUND(Q24, 2), 2)</f>
        <v>175804.31</v>
      </c>
      <c r="U24" s="17">
        <f>S24+T24</f>
        <v>254999.82</v>
      </c>
      <c r="V24" s="9">
        <f>ROUND(P24 / 1.2, 2)</f>
        <v>860.78</v>
      </c>
      <c r="W24" s="9">
        <f>ROUND(Q24 / 1.2, 2)</f>
        <v>1910.83</v>
      </c>
      <c r="X24" s="9">
        <f>ROUND(R24 / 1.2, 2)</f>
        <v>2771.62</v>
      </c>
      <c r="Y24" s="9">
        <f>ROUND(S24 / 1.2, 2)</f>
        <v>65996.259999999995</v>
      </c>
      <c r="Z24" s="9">
        <f>ROUND(T24 / 1.2, 2)</f>
        <v>146503.59</v>
      </c>
      <c r="AA24" s="9">
        <f>Y24+Z24</f>
        <v>212499.84999999998</v>
      </c>
      <c r="AD24" s="4">
        <v>341534281</v>
      </c>
      <c r="AE24" s="4">
        <v>28199804</v>
      </c>
      <c r="AG24" s="4" t="s">
        <v>109</v>
      </c>
      <c r="AH24" s="4" t="s">
        <v>110</v>
      </c>
      <c r="AI24" s="4" t="s">
        <v>60</v>
      </c>
    </row>
    <row r="25" spans="1:35" ht="72" x14ac:dyDescent="0.3">
      <c r="A25" s="10" t="s">
        <v>111</v>
      </c>
      <c r="B25" s="10"/>
      <c r="C25" s="24" t="s">
        <v>112</v>
      </c>
      <c r="D25" s="15"/>
      <c r="E25" s="15"/>
      <c r="F25" s="25" t="s">
        <v>82</v>
      </c>
      <c r="G25" s="26">
        <v>1</v>
      </c>
      <c r="H25" s="26"/>
      <c r="I25" s="26">
        <v>76.67</v>
      </c>
      <c r="J25" s="27">
        <v>104.04</v>
      </c>
      <c r="M25" s="28">
        <f>ROUND(ROUND(J25, 2)*I25, 2)</f>
        <v>7976.75</v>
      </c>
      <c r="P25" s="29">
        <v>104.04</v>
      </c>
      <c r="S25" s="28">
        <f>ROUND(ROUND(P25, 2)*I25, 2)</f>
        <v>7976.75</v>
      </c>
      <c r="V25" s="9">
        <f>ROUND(ROUND(P25, 2)/1.2, 2)</f>
        <v>86.7</v>
      </c>
      <c r="Y25" s="9">
        <f t="shared" ref="Y25:Y43" si="3">ROUND(S25 / 1.2, 2)</f>
        <v>6647.29</v>
      </c>
      <c r="AD25" s="4" t="s">
        <v>113</v>
      </c>
      <c r="AE25" s="4" t="s">
        <v>114</v>
      </c>
      <c r="AF25" s="4" t="s">
        <v>115</v>
      </c>
    </row>
    <row r="26" spans="1:35" ht="36" x14ac:dyDescent="0.3">
      <c r="A26" s="10" t="s">
        <v>116</v>
      </c>
      <c r="B26" s="10"/>
      <c r="C26" s="24" t="s">
        <v>117</v>
      </c>
      <c r="D26" s="15"/>
      <c r="E26" s="15"/>
      <c r="F26" s="25" t="s">
        <v>57</v>
      </c>
      <c r="G26" s="26">
        <v>2.1</v>
      </c>
      <c r="H26" s="26"/>
      <c r="I26" s="26">
        <v>161.00700000000001</v>
      </c>
      <c r="J26" s="27">
        <v>137.79</v>
      </c>
      <c r="M26" s="28">
        <f>ROUND(ROUND(J26, 2)*I26, 2)</f>
        <v>22185.15</v>
      </c>
      <c r="P26" s="29">
        <v>137.79</v>
      </c>
      <c r="S26" s="28">
        <f>ROUND(ROUND(P26, 2)*I26, 2)</f>
        <v>22185.15</v>
      </c>
      <c r="V26" s="9">
        <f>ROUND(ROUND(P26, 2)/1.2, 2)</f>
        <v>114.83</v>
      </c>
      <c r="Y26" s="9">
        <f t="shared" si="3"/>
        <v>18487.63</v>
      </c>
      <c r="AD26" s="4" t="s">
        <v>118</v>
      </c>
      <c r="AE26" s="4" t="s">
        <v>119</v>
      </c>
      <c r="AF26" s="4" t="s">
        <v>120</v>
      </c>
    </row>
    <row r="27" spans="1:35" ht="18" x14ac:dyDescent="0.3">
      <c r="A27" s="10" t="s">
        <v>121</v>
      </c>
      <c r="B27" s="10"/>
      <c r="C27" s="35" t="s">
        <v>122</v>
      </c>
      <c r="D27" s="15"/>
      <c r="E27" s="15"/>
      <c r="F27" s="25" t="s">
        <v>123</v>
      </c>
      <c r="G27" s="26">
        <v>4.07</v>
      </c>
      <c r="H27" s="36"/>
      <c r="I27" s="36">
        <v>447.7</v>
      </c>
      <c r="J27" s="27">
        <v>66.09</v>
      </c>
      <c r="M27" s="28">
        <f>ROUND(ROUND(J27, 2)*I27, 2)</f>
        <v>29588.49</v>
      </c>
      <c r="P27" s="29">
        <v>66.87</v>
      </c>
      <c r="S27" s="28">
        <f>ROUND(ROUND(P27, 2)*I27, 2)</f>
        <v>29937.7</v>
      </c>
      <c r="V27" s="9">
        <f>ROUND(ROUND(P27, 2)/1.2, 2)</f>
        <v>55.73</v>
      </c>
      <c r="Y27" s="9">
        <f t="shared" si="3"/>
        <v>24948.080000000002</v>
      </c>
      <c r="AD27" s="4" t="s">
        <v>124</v>
      </c>
      <c r="AE27" s="4" t="s">
        <v>125</v>
      </c>
      <c r="AF27" s="4" t="s">
        <v>126</v>
      </c>
    </row>
    <row r="28" spans="1:35" ht="18" x14ac:dyDescent="0.3">
      <c r="A28" s="10" t="s">
        <v>127</v>
      </c>
      <c r="B28" s="10"/>
      <c r="C28" s="35" t="s">
        <v>128</v>
      </c>
      <c r="D28" s="15"/>
      <c r="E28" s="15"/>
      <c r="F28" s="25" t="s">
        <v>123</v>
      </c>
      <c r="G28" s="26">
        <v>1.42</v>
      </c>
      <c r="H28" s="36"/>
      <c r="I28" s="36">
        <v>357.13</v>
      </c>
      <c r="J28" s="27">
        <v>54.96</v>
      </c>
      <c r="M28" s="28">
        <f>ROUND(ROUND(J28, 2)*I28, 2)</f>
        <v>19627.86</v>
      </c>
      <c r="P28" s="29">
        <v>53.47</v>
      </c>
      <c r="S28" s="28">
        <f>ROUND(ROUND(P28, 2)*I28, 2)</f>
        <v>19095.740000000002</v>
      </c>
      <c r="V28" s="9">
        <f>ROUND(ROUND(P28, 2)/1.2, 2)</f>
        <v>44.56</v>
      </c>
      <c r="Y28" s="9">
        <f t="shared" si="3"/>
        <v>15913.12</v>
      </c>
      <c r="AD28" s="4" t="s">
        <v>129</v>
      </c>
      <c r="AE28" s="4" t="s">
        <v>130</v>
      </c>
      <c r="AF28" s="4" t="s">
        <v>131</v>
      </c>
    </row>
    <row r="29" spans="1:35" ht="36" x14ac:dyDescent="0.3">
      <c r="A29" s="10" t="s">
        <v>132</v>
      </c>
      <c r="B29" s="10" t="s">
        <v>106</v>
      </c>
      <c r="C29" s="14" t="s">
        <v>107</v>
      </c>
      <c r="D29" s="15"/>
      <c r="E29" s="15" t="s">
        <v>133</v>
      </c>
      <c r="F29" s="15" t="s">
        <v>57</v>
      </c>
      <c r="G29" s="16">
        <v>1</v>
      </c>
      <c r="H29" s="16"/>
      <c r="I29" s="16">
        <v>4.1500000000000004</v>
      </c>
      <c r="J29" s="17">
        <f>IFERROR(ROUND(SUM(M30,M31,M32,M33)/I29, 2),0)</f>
        <v>2805.03</v>
      </c>
      <c r="K29" s="18">
        <v>2293</v>
      </c>
      <c r="L29" s="17">
        <f>J29+ROUND(K29, 2)</f>
        <v>5098.0300000000007</v>
      </c>
      <c r="M29" s="17">
        <f>ROUND(J29*I29, 2)</f>
        <v>11640.87</v>
      </c>
      <c r="N29" s="17">
        <f>ROUND(I29*ROUND(K29, 2), 2)</f>
        <v>9515.9500000000007</v>
      </c>
      <c r="O29" s="17">
        <f>M29+N29</f>
        <v>21156.82</v>
      </c>
      <c r="P29" s="17">
        <f>IFERROR(ROUND(SUM(S30,S31,S32,S33)/I29, 2),0)</f>
        <v>2825.66</v>
      </c>
      <c r="Q29" s="19">
        <v>2293</v>
      </c>
      <c r="R29" s="17">
        <f>P29+ROUND(Q29, 2)</f>
        <v>5118.66</v>
      </c>
      <c r="S29" s="17">
        <f>ROUND(P29*I29, 2)</f>
        <v>11726.49</v>
      </c>
      <c r="T29" s="17">
        <f>ROUND(I29*ROUND(Q29, 2), 2)</f>
        <v>9515.9500000000007</v>
      </c>
      <c r="U29" s="17">
        <f>S29+T29</f>
        <v>21242.440000000002</v>
      </c>
      <c r="V29" s="9">
        <f>ROUND(P29 / 1.2, 2)</f>
        <v>2354.7199999999998</v>
      </c>
      <c r="W29" s="9">
        <f>ROUND(Q29 / 1.2, 2)</f>
        <v>1910.83</v>
      </c>
      <c r="X29" s="9">
        <f>ROUND(R29 / 1.2, 2)</f>
        <v>4265.55</v>
      </c>
      <c r="Y29" s="9">
        <f t="shared" si="3"/>
        <v>9772.08</v>
      </c>
      <c r="Z29" s="9">
        <f>ROUND(T29 / 1.2, 2)</f>
        <v>7929.96</v>
      </c>
      <c r="AA29" s="9">
        <f>Y29+Z29</f>
        <v>17702.04</v>
      </c>
      <c r="AD29" s="4">
        <v>341534362</v>
      </c>
      <c r="AE29" s="4">
        <v>28199799</v>
      </c>
      <c r="AG29" s="4" t="s">
        <v>109</v>
      </c>
      <c r="AH29" s="4" t="s">
        <v>110</v>
      </c>
      <c r="AI29" s="4" t="s">
        <v>60</v>
      </c>
    </row>
    <row r="30" spans="1:35" ht="18" x14ac:dyDescent="0.3">
      <c r="A30" s="10" t="s">
        <v>134</v>
      </c>
      <c r="B30" s="10"/>
      <c r="C30" s="35" t="s">
        <v>122</v>
      </c>
      <c r="D30" s="15"/>
      <c r="E30" s="15"/>
      <c r="F30" s="25" t="s">
        <v>123</v>
      </c>
      <c r="G30" s="26">
        <v>4.07</v>
      </c>
      <c r="H30" s="36"/>
      <c r="I30" s="36">
        <v>138.78700000000001</v>
      </c>
      <c r="J30" s="27">
        <v>66.09</v>
      </c>
      <c r="M30" s="28">
        <f>ROUND(ROUND(J30, 2)*I30, 2)</f>
        <v>9172.43</v>
      </c>
      <c r="P30" s="29">
        <v>66.87</v>
      </c>
      <c r="S30" s="28">
        <f>ROUND(ROUND(P30, 2)*I30, 2)</f>
        <v>9280.69</v>
      </c>
      <c r="V30" s="9">
        <f>ROUND(ROUND(P30, 2)/1.2, 2)</f>
        <v>55.73</v>
      </c>
      <c r="Y30" s="9">
        <f t="shared" si="3"/>
        <v>7733.91</v>
      </c>
      <c r="AD30" s="4" t="s">
        <v>135</v>
      </c>
      <c r="AE30" s="4" t="s">
        <v>136</v>
      </c>
      <c r="AF30" s="4" t="s">
        <v>126</v>
      </c>
    </row>
    <row r="31" spans="1:35" ht="18" x14ac:dyDescent="0.3">
      <c r="A31" s="10" t="s">
        <v>137</v>
      </c>
      <c r="B31" s="10"/>
      <c r="C31" s="35" t="s">
        <v>128</v>
      </c>
      <c r="D31" s="15"/>
      <c r="E31" s="15"/>
      <c r="F31" s="25" t="s">
        <v>123</v>
      </c>
      <c r="G31" s="26">
        <v>1.42</v>
      </c>
      <c r="H31" s="36"/>
      <c r="I31" s="36">
        <v>15.208</v>
      </c>
      <c r="J31" s="27">
        <v>54.96</v>
      </c>
      <c r="M31" s="28">
        <f>ROUND(ROUND(J31, 2)*I31, 2)</f>
        <v>835.83</v>
      </c>
      <c r="P31" s="29">
        <v>53.47</v>
      </c>
      <c r="S31" s="28">
        <f>ROUND(ROUND(P31, 2)*I31, 2)</f>
        <v>813.17</v>
      </c>
      <c r="V31" s="9">
        <f>ROUND(ROUND(P31, 2)/1.2, 2)</f>
        <v>44.56</v>
      </c>
      <c r="Y31" s="9">
        <f t="shared" si="3"/>
        <v>677.64</v>
      </c>
      <c r="AD31" s="4" t="s">
        <v>138</v>
      </c>
      <c r="AE31" s="4" t="s">
        <v>139</v>
      </c>
      <c r="AF31" s="4" t="s">
        <v>131</v>
      </c>
    </row>
    <row r="32" spans="1:35" ht="36" x14ac:dyDescent="0.3">
      <c r="A32" s="10" t="s">
        <v>140</v>
      </c>
      <c r="B32" s="10"/>
      <c r="C32" s="24" t="s">
        <v>117</v>
      </c>
      <c r="D32" s="15"/>
      <c r="E32" s="15"/>
      <c r="F32" s="25" t="s">
        <v>57</v>
      </c>
      <c r="G32" s="26">
        <v>2.1</v>
      </c>
      <c r="H32" s="26"/>
      <c r="I32" s="26">
        <v>8.7149999999999999</v>
      </c>
      <c r="J32" s="27">
        <v>137.79</v>
      </c>
      <c r="M32" s="28">
        <f>ROUND(ROUND(J32, 2)*I32, 2)</f>
        <v>1200.8399999999999</v>
      </c>
      <c r="P32" s="29">
        <v>137.79</v>
      </c>
      <c r="S32" s="28">
        <f>ROUND(ROUND(P32, 2)*I32, 2)</f>
        <v>1200.8399999999999</v>
      </c>
      <c r="V32" s="9">
        <f>ROUND(ROUND(P32, 2)/1.2, 2)</f>
        <v>114.83</v>
      </c>
      <c r="Y32" s="9">
        <f t="shared" si="3"/>
        <v>1000.7</v>
      </c>
      <c r="AD32" s="4" t="s">
        <v>141</v>
      </c>
      <c r="AE32" s="4" t="s">
        <v>142</v>
      </c>
      <c r="AF32" s="4" t="s">
        <v>120</v>
      </c>
    </row>
    <row r="33" spans="1:35" ht="72" x14ac:dyDescent="0.3">
      <c r="A33" s="10" t="s">
        <v>143</v>
      </c>
      <c r="B33" s="10"/>
      <c r="C33" s="24" t="s">
        <v>112</v>
      </c>
      <c r="D33" s="15"/>
      <c r="E33" s="15"/>
      <c r="F33" s="25" t="s">
        <v>82</v>
      </c>
      <c r="G33" s="26">
        <v>1</v>
      </c>
      <c r="H33" s="26"/>
      <c r="I33" s="26">
        <v>4.1500000000000004</v>
      </c>
      <c r="J33" s="27">
        <v>104.04</v>
      </c>
      <c r="M33" s="28">
        <f>ROUND(ROUND(J33, 2)*I33, 2)</f>
        <v>431.77</v>
      </c>
      <c r="P33" s="29">
        <v>104.04</v>
      </c>
      <c r="S33" s="28">
        <f>ROUND(ROUND(P33, 2)*I33, 2)</f>
        <v>431.77</v>
      </c>
      <c r="V33" s="9">
        <f>ROUND(ROUND(P33, 2)/1.2, 2)</f>
        <v>86.7</v>
      </c>
      <c r="Y33" s="9">
        <f t="shared" si="3"/>
        <v>359.81</v>
      </c>
      <c r="AD33" s="4" t="s">
        <v>144</v>
      </c>
      <c r="AE33" s="4" t="s">
        <v>145</v>
      </c>
      <c r="AF33" s="4" t="s">
        <v>115</v>
      </c>
    </row>
    <row r="34" spans="1:35" ht="36" x14ac:dyDescent="0.3">
      <c r="A34" s="10" t="s">
        <v>146</v>
      </c>
      <c r="B34" s="10" t="s">
        <v>106</v>
      </c>
      <c r="C34" s="14" t="s">
        <v>107</v>
      </c>
      <c r="D34" s="15"/>
      <c r="E34" s="15" t="s">
        <v>133</v>
      </c>
      <c r="F34" s="15" t="s">
        <v>57</v>
      </c>
      <c r="G34" s="16">
        <v>1</v>
      </c>
      <c r="H34" s="16"/>
      <c r="I34" s="16">
        <v>35.130000000000003</v>
      </c>
      <c r="J34" s="17">
        <f>IFERROR(ROUND(SUM(M35,M36,M37,M38)/I34, 2),0)</f>
        <v>995.62</v>
      </c>
      <c r="K34" s="18">
        <v>2293</v>
      </c>
      <c r="L34" s="17">
        <f>J34+ROUND(K34, 2)</f>
        <v>3288.62</v>
      </c>
      <c r="M34" s="17">
        <f>ROUND(J34*I34, 2)</f>
        <v>34976.129999999997</v>
      </c>
      <c r="N34" s="17">
        <f>ROUND(I34*ROUND(K34, 2), 2)</f>
        <v>80553.09</v>
      </c>
      <c r="O34" s="17">
        <f>M34+N34</f>
        <v>115529.22</v>
      </c>
      <c r="P34" s="17">
        <f>IFERROR(ROUND(SUM(S35,S36,S37,S38)/I34, 2),0)</f>
        <v>993.24</v>
      </c>
      <c r="Q34" s="19">
        <v>2293</v>
      </c>
      <c r="R34" s="17">
        <f>P34+ROUND(Q34, 2)</f>
        <v>3286.24</v>
      </c>
      <c r="S34" s="17">
        <f>ROUND(P34*I34, 2)</f>
        <v>34892.519999999997</v>
      </c>
      <c r="T34" s="17">
        <f>ROUND(I34*ROUND(Q34, 2), 2)</f>
        <v>80553.09</v>
      </c>
      <c r="U34" s="17">
        <f>S34+T34</f>
        <v>115445.60999999999</v>
      </c>
      <c r="V34" s="9">
        <f>ROUND(P34 / 1.2, 2)</f>
        <v>827.7</v>
      </c>
      <c r="W34" s="9">
        <f>ROUND(Q34 / 1.2, 2)</f>
        <v>1910.83</v>
      </c>
      <c r="X34" s="9">
        <f>ROUND(R34 / 1.2, 2)</f>
        <v>2738.53</v>
      </c>
      <c r="Y34" s="9">
        <f t="shared" si="3"/>
        <v>29077.1</v>
      </c>
      <c r="Z34" s="9">
        <f>ROUND(T34 / 1.2, 2)</f>
        <v>67127.58</v>
      </c>
      <c r="AA34" s="9">
        <f>Y34+Z34</f>
        <v>96204.68</v>
      </c>
      <c r="AD34" s="4">
        <v>341534363</v>
      </c>
      <c r="AE34" s="4">
        <v>28199800</v>
      </c>
      <c r="AG34" s="4" t="s">
        <v>109</v>
      </c>
      <c r="AH34" s="4" t="s">
        <v>110</v>
      </c>
      <c r="AI34" s="4" t="s">
        <v>60</v>
      </c>
    </row>
    <row r="35" spans="1:35" ht="18" x14ac:dyDescent="0.3">
      <c r="A35" s="10" t="s">
        <v>147</v>
      </c>
      <c r="B35" s="10"/>
      <c r="C35" s="35" t="s">
        <v>122</v>
      </c>
      <c r="D35" s="15"/>
      <c r="E35" s="15"/>
      <c r="F35" s="25" t="s">
        <v>123</v>
      </c>
      <c r="G35" s="26">
        <v>4.07</v>
      </c>
      <c r="H35" s="36"/>
      <c r="I35" s="36">
        <v>190.476</v>
      </c>
      <c r="J35" s="27">
        <v>66.09</v>
      </c>
      <c r="M35" s="28">
        <f>ROUND(ROUND(J35, 2)*I35, 2)</f>
        <v>12588.56</v>
      </c>
      <c r="P35" s="29">
        <v>66.87</v>
      </c>
      <c r="S35" s="28">
        <f>ROUND(ROUND(P35, 2)*I35, 2)</f>
        <v>12737.13</v>
      </c>
      <c r="V35" s="9">
        <f>ROUND(ROUND(P35, 2)/1.2, 2)</f>
        <v>55.73</v>
      </c>
      <c r="Y35" s="9">
        <f t="shared" si="3"/>
        <v>10614.28</v>
      </c>
      <c r="AD35" s="4" t="s">
        <v>148</v>
      </c>
      <c r="AE35" s="4" t="s">
        <v>149</v>
      </c>
      <c r="AF35" s="4" t="s">
        <v>126</v>
      </c>
    </row>
    <row r="36" spans="1:35" ht="18" x14ac:dyDescent="0.3">
      <c r="A36" s="10" t="s">
        <v>150</v>
      </c>
      <c r="B36" s="10"/>
      <c r="C36" s="35" t="s">
        <v>128</v>
      </c>
      <c r="D36" s="15"/>
      <c r="E36" s="15"/>
      <c r="F36" s="25" t="s">
        <v>123</v>
      </c>
      <c r="G36" s="26">
        <v>1.42</v>
      </c>
      <c r="H36" s="36"/>
      <c r="I36" s="36">
        <v>155.88800000000001</v>
      </c>
      <c r="J36" s="27">
        <v>54.96</v>
      </c>
      <c r="M36" s="28">
        <f>ROUND(ROUND(J36, 2)*I36, 2)</f>
        <v>8567.6</v>
      </c>
      <c r="P36" s="29">
        <v>53.47</v>
      </c>
      <c r="S36" s="28">
        <f>ROUND(ROUND(P36, 2)*I36, 2)</f>
        <v>8335.33</v>
      </c>
      <c r="V36" s="9">
        <f>ROUND(ROUND(P36, 2)/1.2, 2)</f>
        <v>44.56</v>
      </c>
      <c r="Y36" s="9">
        <f t="shared" si="3"/>
        <v>6946.11</v>
      </c>
      <c r="AD36" s="4" t="s">
        <v>151</v>
      </c>
      <c r="AE36" s="4" t="s">
        <v>152</v>
      </c>
      <c r="AF36" s="4" t="s">
        <v>131</v>
      </c>
    </row>
    <row r="37" spans="1:35" ht="36" x14ac:dyDescent="0.3">
      <c r="A37" s="10" t="s">
        <v>153</v>
      </c>
      <c r="B37" s="10"/>
      <c r="C37" s="24" t="s">
        <v>117</v>
      </c>
      <c r="D37" s="15"/>
      <c r="E37" s="15"/>
      <c r="F37" s="25" t="s">
        <v>57</v>
      </c>
      <c r="G37" s="26">
        <v>2.1</v>
      </c>
      <c r="H37" s="26"/>
      <c r="I37" s="26">
        <v>73.772999999999996</v>
      </c>
      <c r="J37" s="27">
        <v>137.79</v>
      </c>
      <c r="M37" s="28">
        <f>ROUND(ROUND(J37, 2)*I37, 2)</f>
        <v>10165.18</v>
      </c>
      <c r="P37" s="29">
        <v>137.79</v>
      </c>
      <c r="S37" s="28">
        <f>ROUND(ROUND(P37, 2)*I37, 2)</f>
        <v>10165.18</v>
      </c>
      <c r="V37" s="9">
        <f>ROUND(ROUND(P37, 2)/1.2, 2)</f>
        <v>114.83</v>
      </c>
      <c r="Y37" s="9">
        <f t="shared" si="3"/>
        <v>8470.98</v>
      </c>
      <c r="AD37" s="4" t="s">
        <v>154</v>
      </c>
      <c r="AE37" s="4" t="s">
        <v>155</v>
      </c>
      <c r="AF37" s="4" t="s">
        <v>120</v>
      </c>
    </row>
    <row r="38" spans="1:35" ht="72" x14ac:dyDescent="0.3">
      <c r="A38" s="10" t="s">
        <v>156</v>
      </c>
      <c r="B38" s="10"/>
      <c r="C38" s="24" t="s">
        <v>112</v>
      </c>
      <c r="D38" s="15"/>
      <c r="E38" s="15"/>
      <c r="F38" s="25" t="s">
        <v>82</v>
      </c>
      <c r="G38" s="26">
        <v>1</v>
      </c>
      <c r="H38" s="26"/>
      <c r="I38" s="26">
        <v>35.130000000000003</v>
      </c>
      <c r="J38" s="27">
        <v>104.04</v>
      </c>
      <c r="M38" s="28">
        <f>ROUND(ROUND(J38, 2)*I38, 2)</f>
        <v>3654.93</v>
      </c>
      <c r="P38" s="29">
        <v>104.04</v>
      </c>
      <c r="S38" s="28">
        <f>ROUND(ROUND(P38, 2)*I38, 2)</f>
        <v>3654.93</v>
      </c>
      <c r="V38" s="9">
        <f>ROUND(ROUND(P38, 2)/1.2, 2)</f>
        <v>86.7</v>
      </c>
      <c r="Y38" s="9">
        <f t="shared" si="3"/>
        <v>3045.78</v>
      </c>
      <c r="AD38" s="4" t="s">
        <v>157</v>
      </c>
      <c r="AE38" s="4" t="s">
        <v>158</v>
      </c>
      <c r="AF38" s="4" t="s">
        <v>115</v>
      </c>
    </row>
    <row r="39" spans="1:35" ht="126" x14ac:dyDescent="0.3">
      <c r="A39" s="10" t="s">
        <v>159</v>
      </c>
      <c r="B39" s="10" t="s">
        <v>160</v>
      </c>
      <c r="C39" s="14" t="s">
        <v>161</v>
      </c>
      <c r="D39" s="15" t="s">
        <v>70</v>
      </c>
      <c r="E39" s="15" t="s">
        <v>162</v>
      </c>
      <c r="F39" s="15" t="s">
        <v>57</v>
      </c>
      <c r="G39" s="16">
        <v>1</v>
      </c>
      <c r="H39" s="16"/>
      <c r="I39" s="16">
        <v>0</v>
      </c>
      <c r="J39" s="17">
        <v>526.91999999999996</v>
      </c>
      <c r="K39" s="18">
        <v>1064</v>
      </c>
      <c r="L39" s="17">
        <f>J39+ROUND(K39, 2)</f>
        <v>1590.92</v>
      </c>
      <c r="M39" s="17">
        <v>0</v>
      </c>
      <c r="N39" s="17">
        <v>0</v>
      </c>
      <c r="O39" s="17">
        <f>M39+N39</f>
        <v>0</v>
      </c>
      <c r="P39" s="17">
        <v>526.91999999999996</v>
      </c>
      <c r="Q39" s="18">
        <v>1064</v>
      </c>
      <c r="R39" s="17">
        <f>P39+ROUND(Q39, 2)</f>
        <v>1590.92</v>
      </c>
      <c r="S39" s="17">
        <v>0</v>
      </c>
      <c r="T39" s="17">
        <v>0</v>
      </c>
      <c r="U39" s="17">
        <f>S39+T39</f>
        <v>0</v>
      </c>
      <c r="V39" s="9">
        <f>ROUND(P39 / 1.2, 2)</f>
        <v>439.1</v>
      </c>
      <c r="W39" s="9">
        <f>ROUND(Q39 / 1.2, 2)</f>
        <v>886.67</v>
      </c>
      <c r="X39" s="9">
        <f>ROUND(R39 / 1.2, 2)</f>
        <v>1325.77</v>
      </c>
      <c r="Y39" s="9">
        <f t="shared" si="3"/>
        <v>0</v>
      </c>
      <c r="Z39" s="9">
        <f>ROUND(T39 / 1.2, 2)</f>
        <v>0</v>
      </c>
      <c r="AA39" s="9">
        <f>Y39+Z39</f>
        <v>0</v>
      </c>
      <c r="AD39" s="4">
        <v>341534283</v>
      </c>
      <c r="AE39" s="4">
        <v>25837364</v>
      </c>
      <c r="AG39" s="4" t="s">
        <v>163</v>
      </c>
      <c r="AH39" s="4" t="s">
        <v>164</v>
      </c>
      <c r="AI39" s="4" t="s">
        <v>60</v>
      </c>
    </row>
    <row r="40" spans="1:35" ht="72" x14ac:dyDescent="0.3">
      <c r="A40" s="10" t="s">
        <v>166</v>
      </c>
      <c r="B40" s="10"/>
      <c r="C40" s="24" t="s">
        <v>167</v>
      </c>
      <c r="D40" s="15"/>
      <c r="E40" s="15"/>
      <c r="F40" s="25" t="s">
        <v>82</v>
      </c>
      <c r="G40" s="26">
        <v>1</v>
      </c>
      <c r="H40" s="26"/>
      <c r="I40" s="26">
        <v>0</v>
      </c>
      <c r="J40" s="27">
        <v>43.7</v>
      </c>
      <c r="M40" s="28">
        <f>ROUND(ROUND(J40, 2)*I40, 2)</f>
        <v>0</v>
      </c>
      <c r="P40" s="27">
        <v>43.7</v>
      </c>
      <c r="S40" s="28">
        <f>ROUND(ROUND(P40, 2)*I40, 2)</f>
        <v>0</v>
      </c>
      <c r="V40" s="9">
        <f>ROUND(ROUND(P40, 2)/1.2, 2)</f>
        <v>36.42</v>
      </c>
      <c r="Y40" s="9">
        <f t="shared" si="3"/>
        <v>0</v>
      </c>
      <c r="AD40" s="4" t="s">
        <v>168</v>
      </c>
      <c r="AE40" s="4" t="s">
        <v>169</v>
      </c>
      <c r="AF40" s="4" t="s">
        <v>170</v>
      </c>
    </row>
    <row r="41" spans="1:35" ht="18" x14ac:dyDescent="0.3">
      <c r="A41" s="10" t="s">
        <v>173</v>
      </c>
      <c r="B41" s="10"/>
      <c r="C41" s="24" t="s">
        <v>174</v>
      </c>
      <c r="D41" s="15"/>
      <c r="E41" s="15"/>
      <c r="F41" s="25" t="s">
        <v>123</v>
      </c>
      <c r="G41" s="26">
        <v>2.1</v>
      </c>
      <c r="H41" s="26"/>
      <c r="I41" s="26">
        <v>0</v>
      </c>
      <c r="J41" s="27">
        <v>95.07</v>
      </c>
      <c r="M41" s="28">
        <f>ROUND(ROUND(J41, 2)*I41, 2)</f>
        <v>0</v>
      </c>
      <c r="P41" s="27">
        <v>95.07</v>
      </c>
      <c r="S41" s="28">
        <f>ROUND(ROUND(P41, 2)*I41, 2)</f>
        <v>0</v>
      </c>
      <c r="V41" s="9">
        <f>ROUND(ROUND(P41, 2)/1.2, 2)</f>
        <v>79.23</v>
      </c>
      <c r="Y41" s="9">
        <f t="shared" si="3"/>
        <v>0</v>
      </c>
      <c r="AD41" s="4" t="s">
        <v>175</v>
      </c>
      <c r="AE41" s="4" t="s">
        <v>176</v>
      </c>
      <c r="AF41" s="4" t="s">
        <v>177</v>
      </c>
    </row>
    <row r="42" spans="1:35" ht="18" x14ac:dyDescent="0.3">
      <c r="A42" s="10" t="s">
        <v>180</v>
      </c>
      <c r="B42" s="10"/>
      <c r="C42" s="24" t="s">
        <v>181</v>
      </c>
      <c r="D42" s="15"/>
      <c r="E42" s="15"/>
      <c r="F42" s="25" t="s">
        <v>123</v>
      </c>
      <c r="G42" s="26">
        <v>0.8</v>
      </c>
      <c r="H42" s="26"/>
      <c r="I42" s="26">
        <v>0</v>
      </c>
      <c r="J42" s="27">
        <v>69.39</v>
      </c>
      <c r="M42" s="28">
        <f>ROUND(ROUND(J42, 2)*I42, 2)</f>
        <v>0</v>
      </c>
      <c r="P42" s="27">
        <v>69.39</v>
      </c>
      <c r="S42" s="28">
        <f>ROUND(ROUND(P42, 2)*I42, 2)</f>
        <v>0</v>
      </c>
      <c r="V42" s="9">
        <f>ROUND(ROUND(P42, 2)/1.2, 2)</f>
        <v>57.83</v>
      </c>
      <c r="Y42" s="9">
        <f t="shared" si="3"/>
        <v>0</v>
      </c>
      <c r="AD42" s="4" t="s">
        <v>182</v>
      </c>
      <c r="AE42" s="4" t="s">
        <v>183</v>
      </c>
      <c r="AF42" s="4" t="s">
        <v>184</v>
      </c>
    </row>
    <row r="43" spans="1:35" ht="18" x14ac:dyDescent="0.3">
      <c r="A43" s="10" t="s">
        <v>187</v>
      </c>
      <c r="B43" s="10"/>
      <c r="C43" s="35" t="s">
        <v>188</v>
      </c>
      <c r="D43" s="15"/>
      <c r="E43" s="15"/>
      <c r="F43" s="25" t="s">
        <v>57</v>
      </c>
      <c r="G43" s="26">
        <v>1.1000000000000001</v>
      </c>
      <c r="H43" s="26"/>
      <c r="I43" s="26">
        <v>0</v>
      </c>
      <c r="J43" s="27">
        <v>207.33</v>
      </c>
      <c r="M43" s="28">
        <f>ROUND(ROUND(J43, 2)*I43, 2)</f>
        <v>0</v>
      </c>
      <c r="P43" s="27">
        <v>207.33</v>
      </c>
      <c r="S43" s="28">
        <f>ROUND(ROUND(P43, 2)*I43, 2)</f>
        <v>0</v>
      </c>
      <c r="V43" s="9">
        <f>ROUND(ROUND(P43, 2)/1.2, 2)</f>
        <v>172.78</v>
      </c>
      <c r="Y43" s="9">
        <f t="shared" si="3"/>
        <v>0</v>
      </c>
      <c r="AD43" s="4" t="s">
        <v>189</v>
      </c>
      <c r="AE43" s="4" t="s">
        <v>190</v>
      </c>
      <c r="AF43" s="4" t="s">
        <v>191</v>
      </c>
    </row>
    <row r="44" spans="1:35" ht="16.95" customHeight="1" x14ac:dyDescent="0.3">
      <c r="A44" s="10" t="s">
        <v>194</v>
      </c>
      <c r="B44" s="10" t="s">
        <v>195</v>
      </c>
      <c r="C44" s="121" t="s">
        <v>196</v>
      </c>
      <c r="D44" s="122"/>
      <c r="E44" s="122"/>
      <c r="F44" s="122"/>
      <c r="G44" s="122"/>
      <c r="H44" s="122"/>
      <c r="I44" s="123"/>
      <c r="M44" s="6">
        <f>SUM(M45)</f>
        <v>5040.59</v>
      </c>
      <c r="N44" s="6">
        <f>SUM(N45)</f>
        <v>3603.48</v>
      </c>
      <c r="O44" s="6">
        <f>SUM(O45)</f>
        <v>8644.07</v>
      </c>
      <c r="S44" s="6">
        <f>SUM(S45)</f>
        <v>5092.83</v>
      </c>
      <c r="T44" s="6">
        <f>SUM(T45)</f>
        <v>3524.76</v>
      </c>
      <c r="U44" s="6">
        <f>SUM(U45)</f>
        <v>8617.59</v>
      </c>
      <c r="Y44" s="9">
        <f>SUM(Y45)</f>
        <v>4244.03</v>
      </c>
      <c r="Z44" s="9">
        <f>SUM(Z45)</f>
        <v>2937.3</v>
      </c>
      <c r="AA44" s="9">
        <f>SUM(AA45)</f>
        <v>7181.33</v>
      </c>
      <c r="AD44" s="4">
        <v>341534284</v>
      </c>
      <c r="AE44" s="4">
        <v>28199791</v>
      </c>
    </row>
    <row r="45" spans="1:35" ht="108" x14ac:dyDescent="0.3">
      <c r="A45" s="10" t="s">
        <v>197</v>
      </c>
      <c r="B45" s="10" t="s">
        <v>198</v>
      </c>
      <c r="C45" s="14" t="s">
        <v>199</v>
      </c>
      <c r="D45" s="15" t="s">
        <v>200</v>
      </c>
      <c r="E45" s="15" t="s">
        <v>71</v>
      </c>
      <c r="F45" s="15" t="s">
        <v>201</v>
      </c>
      <c r="G45" s="16">
        <v>1</v>
      </c>
      <c r="H45" s="16"/>
      <c r="I45" s="16">
        <v>0.06</v>
      </c>
      <c r="J45" s="17">
        <f>IFERROR(ROUND(SUM(M46,M47,M48)/I45, 2),0)</f>
        <v>84009.83</v>
      </c>
      <c r="K45" s="18">
        <v>60058</v>
      </c>
      <c r="L45" s="17">
        <f>J45+ROUND(K45, 2)</f>
        <v>144067.83000000002</v>
      </c>
      <c r="M45" s="17">
        <f>ROUND(J45*I45, 2)</f>
        <v>5040.59</v>
      </c>
      <c r="N45" s="17">
        <f>ROUND(I45*ROUND(K45, 2), 2)</f>
        <v>3603.48</v>
      </c>
      <c r="O45" s="17">
        <f>M45+N45</f>
        <v>8644.07</v>
      </c>
      <c r="P45" s="17">
        <f>IFERROR(ROUND(SUM(S46,S47,S48)/I45, 2),0)</f>
        <v>84880.5</v>
      </c>
      <c r="Q45" s="19">
        <v>58746</v>
      </c>
      <c r="R45" s="17">
        <f>P45+ROUND(Q45, 2)</f>
        <v>143626.5</v>
      </c>
      <c r="S45" s="17">
        <f>ROUND(P45*I45, 2)</f>
        <v>5092.83</v>
      </c>
      <c r="T45" s="17">
        <f>ROUND(I45*ROUND(Q45, 2), 2)</f>
        <v>3524.76</v>
      </c>
      <c r="U45" s="17">
        <f>S45+T45</f>
        <v>8617.59</v>
      </c>
      <c r="V45" s="9">
        <f>ROUND(P45 / 1.2, 2)</f>
        <v>70733.75</v>
      </c>
      <c r="W45" s="9">
        <f>ROUND(Q45 / 1.2, 2)</f>
        <v>48955</v>
      </c>
      <c r="X45" s="9">
        <f>ROUND(R45 / 1.2, 2)</f>
        <v>119688.75</v>
      </c>
      <c r="Y45" s="9">
        <f>ROUND(S45 / 1.2, 2)</f>
        <v>4244.03</v>
      </c>
      <c r="Z45" s="9">
        <f>ROUND(T45 / 1.2, 2)</f>
        <v>2937.3</v>
      </c>
      <c r="AA45" s="9">
        <f>Y45+Z45</f>
        <v>7181.33</v>
      </c>
      <c r="AD45" s="4">
        <v>341534286</v>
      </c>
      <c r="AE45" s="4">
        <v>28199803</v>
      </c>
      <c r="AG45" s="4" t="s">
        <v>202</v>
      </c>
      <c r="AH45" s="4" t="s">
        <v>203</v>
      </c>
      <c r="AI45" s="4" t="s">
        <v>60</v>
      </c>
    </row>
    <row r="46" spans="1:35" ht="18" x14ac:dyDescent="0.3">
      <c r="A46" s="10" t="s">
        <v>204</v>
      </c>
      <c r="B46" s="10"/>
      <c r="C46" s="24" t="s">
        <v>205</v>
      </c>
      <c r="D46" s="15"/>
      <c r="E46" s="15"/>
      <c r="F46" s="25" t="s">
        <v>98</v>
      </c>
      <c r="G46" s="26">
        <v>1</v>
      </c>
      <c r="H46" s="36"/>
      <c r="I46" s="36">
        <v>2</v>
      </c>
      <c r="J46" s="27">
        <v>0</v>
      </c>
      <c r="M46" s="28">
        <f>ROUND(ROUND(J46, 2)*I46, 2)</f>
        <v>0</v>
      </c>
      <c r="P46" s="29">
        <v>26.12</v>
      </c>
      <c r="S46" s="28">
        <f>ROUND(ROUND(P46, 2)*I46, 2)</f>
        <v>52.24</v>
      </c>
      <c r="V46" s="9">
        <f>ROUND(ROUND(P46, 2)/1.2, 2)</f>
        <v>21.77</v>
      </c>
      <c r="Y46" s="9">
        <f>ROUND(S46 / 1.2, 2)</f>
        <v>43.53</v>
      </c>
      <c r="AD46" s="4" t="s">
        <v>206</v>
      </c>
      <c r="AE46" s="4" t="s">
        <v>207</v>
      </c>
      <c r="AF46" s="4" t="s">
        <v>208</v>
      </c>
    </row>
    <row r="47" spans="1:35" ht="18" x14ac:dyDescent="0.3">
      <c r="A47" s="10" t="s">
        <v>209</v>
      </c>
      <c r="B47" s="10"/>
      <c r="C47" s="24" t="s">
        <v>210</v>
      </c>
      <c r="D47" s="15"/>
      <c r="E47" s="15"/>
      <c r="F47" s="25" t="s">
        <v>201</v>
      </c>
      <c r="G47" s="26">
        <v>1.03</v>
      </c>
      <c r="H47" s="36"/>
      <c r="I47" s="36">
        <v>6.2E-2</v>
      </c>
      <c r="J47" s="27">
        <v>78461.25</v>
      </c>
      <c r="M47" s="28">
        <f>ROUND(ROUND(J47, 2)*I47, 2)</f>
        <v>4864.6000000000004</v>
      </c>
      <c r="P47" s="29">
        <v>78461.25</v>
      </c>
      <c r="S47" s="28">
        <f>ROUND(ROUND(P47, 2)*I47, 2)</f>
        <v>4864.6000000000004</v>
      </c>
      <c r="V47" s="9">
        <f>ROUND(ROUND(P47, 2)/1.2, 2)</f>
        <v>65384.38</v>
      </c>
      <c r="Y47" s="9">
        <f>ROUND(S47 / 1.2, 2)</f>
        <v>4053.83</v>
      </c>
      <c r="AD47" s="4" t="s">
        <v>211</v>
      </c>
      <c r="AE47" s="4" t="s">
        <v>212</v>
      </c>
      <c r="AF47" s="4" t="s">
        <v>213</v>
      </c>
    </row>
    <row r="48" spans="1:35" ht="36" x14ac:dyDescent="0.3">
      <c r="A48" s="10" t="s">
        <v>214</v>
      </c>
      <c r="B48" s="10"/>
      <c r="C48" s="24" t="s">
        <v>215</v>
      </c>
      <c r="D48" s="15"/>
      <c r="E48" s="15"/>
      <c r="F48" s="25" t="s">
        <v>82</v>
      </c>
      <c r="G48" s="26">
        <v>1</v>
      </c>
      <c r="H48" s="26"/>
      <c r="I48" s="26">
        <v>0.06</v>
      </c>
      <c r="J48" s="27">
        <v>2933.23</v>
      </c>
      <c r="M48" s="28">
        <f>ROUND(ROUND(J48, 2)*I48, 2)</f>
        <v>175.99</v>
      </c>
      <c r="P48" s="29">
        <v>2933.23</v>
      </c>
      <c r="S48" s="28">
        <f>ROUND(ROUND(P48, 2)*I48, 2)</f>
        <v>175.99</v>
      </c>
      <c r="V48" s="9">
        <f>ROUND(ROUND(P48, 2)/1.2, 2)</f>
        <v>2444.36</v>
      </c>
      <c r="Y48" s="9">
        <f>ROUND(S48 / 1.2, 2)</f>
        <v>146.66</v>
      </c>
      <c r="AD48" s="4" t="s">
        <v>216</v>
      </c>
      <c r="AE48" s="4" t="s">
        <v>217</v>
      </c>
      <c r="AF48" s="4" t="s">
        <v>218</v>
      </c>
    </row>
    <row r="49" spans="1:35" ht="16.95" customHeight="1" x14ac:dyDescent="0.3">
      <c r="A49" s="10" t="s">
        <v>219</v>
      </c>
      <c r="B49" s="10" t="s">
        <v>220</v>
      </c>
      <c r="C49" s="121" t="s">
        <v>221</v>
      </c>
      <c r="D49" s="122"/>
      <c r="E49" s="122"/>
      <c r="F49" s="122"/>
      <c r="G49" s="122"/>
      <c r="H49" s="122"/>
      <c r="I49" s="123"/>
      <c r="M49" s="6">
        <f t="shared" ref="M49:O50" si="4">SUM(M50)</f>
        <v>3533490.3200000003</v>
      </c>
      <c r="N49" s="6">
        <f t="shared" si="4"/>
        <v>13486502.639999999</v>
      </c>
      <c r="O49" s="6">
        <f t="shared" si="4"/>
        <v>17019992.960000001</v>
      </c>
      <c r="S49" s="6">
        <f t="shared" ref="S49:U50" si="5">SUM(S50)</f>
        <v>3747180.12</v>
      </c>
      <c r="T49" s="6">
        <f t="shared" si="5"/>
        <v>13486502.639999999</v>
      </c>
      <c r="U49" s="6">
        <f t="shared" si="5"/>
        <v>17233682.760000002</v>
      </c>
      <c r="Y49" s="9">
        <f t="shared" ref="Y49:AA50" si="6">SUM(Y50)</f>
        <v>3122650.1700000004</v>
      </c>
      <c r="Z49" s="9">
        <f t="shared" si="6"/>
        <v>11238752.240000002</v>
      </c>
      <c r="AA49" s="9">
        <f t="shared" si="6"/>
        <v>14361402.410000002</v>
      </c>
      <c r="AD49" s="4">
        <v>341534287</v>
      </c>
      <c r="AE49" s="4">
        <v>25837341</v>
      </c>
    </row>
    <row r="50" spans="1:35" ht="16.95" customHeight="1" x14ac:dyDescent="0.3">
      <c r="A50" s="10" t="s">
        <v>222</v>
      </c>
      <c r="B50" s="10" t="s">
        <v>223</v>
      </c>
      <c r="C50" s="121" t="s">
        <v>224</v>
      </c>
      <c r="D50" s="122"/>
      <c r="E50" s="122"/>
      <c r="F50" s="122"/>
      <c r="G50" s="122"/>
      <c r="H50" s="122"/>
      <c r="I50" s="123"/>
      <c r="M50" s="6">
        <f t="shared" si="4"/>
        <v>3533490.3200000003</v>
      </c>
      <c r="N50" s="6">
        <f t="shared" si="4"/>
        <v>13486502.639999999</v>
      </c>
      <c r="O50" s="6">
        <f t="shared" si="4"/>
        <v>17019992.960000001</v>
      </c>
      <c r="S50" s="6">
        <f t="shared" si="5"/>
        <v>3747180.12</v>
      </c>
      <c r="T50" s="6">
        <f t="shared" si="5"/>
        <v>13486502.639999999</v>
      </c>
      <c r="U50" s="6">
        <f t="shared" si="5"/>
        <v>17233682.760000002</v>
      </c>
      <c r="Y50" s="9">
        <f t="shared" si="6"/>
        <v>3122650.1700000004</v>
      </c>
      <c r="Z50" s="9">
        <f t="shared" si="6"/>
        <v>11238752.240000002</v>
      </c>
      <c r="AA50" s="9">
        <f t="shared" si="6"/>
        <v>14361402.410000002</v>
      </c>
      <c r="AD50" s="4">
        <v>341534288</v>
      </c>
      <c r="AE50" s="4">
        <v>25837346</v>
      </c>
    </row>
    <row r="51" spans="1:35" ht="16.95" customHeight="1" x14ac:dyDescent="0.3">
      <c r="A51" s="10" t="s">
        <v>225</v>
      </c>
      <c r="B51" s="10" t="s">
        <v>226</v>
      </c>
      <c r="C51" s="121" t="s">
        <v>227</v>
      </c>
      <c r="D51" s="122"/>
      <c r="E51" s="122"/>
      <c r="F51" s="122"/>
      <c r="G51" s="122"/>
      <c r="H51" s="122"/>
      <c r="I51" s="123"/>
      <c r="M51" s="6">
        <f>SUM(M52,M139,M375,M420)</f>
        <v>3533490.3200000003</v>
      </c>
      <c r="N51" s="6">
        <f>SUM(N52,N139,N375,N420)</f>
        <v>13486502.639999999</v>
      </c>
      <c r="O51" s="6">
        <f>SUM(O52,O139,O375,O420)</f>
        <v>17019992.960000001</v>
      </c>
      <c r="S51" s="6">
        <f>SUM(S52,S139,S375,S420)</f>
        <v>3747180.12</v>
      </c>
      <c r="T51" s="6">
        <f>SUM(T52,T139,T375,T420)</f>
        <v>13486502.639999999</v>
      </c>
      <c r="U51" s="6">
        <f>SUM(U52,U139,U375,U420)</f>
        <v>17233682.760000002</v>
      </c>
      <c r="Y51" s="9">
        <f>SUM(Y52,Y139,Y375,Y420)</f>
        <v>3122650.1700000004</v>
      </c>
      <c r="Z51" s="9">
        <f>SUM(Z52,Z139,Z375,Z420)</f>
        <v>11238752.240000002</v>
      </c>
      <c r="AA51" s="9">
        <f>SUM(AA52,AA139,AA375,AA420)</f>
        <v>14361402.410000002</v>
      </c>
      <c r="AD51" s="4">
        <v>341534289</v>
      </c>
      <c r="AE51" s="4">
        <v>25837356</v>
      </c>
    </row>
    <row r="52" spans="1:35" ht="16.95" customHeight="1" x14ac:dyDescent="0.3">
      <c r="A52" s="10" t="s">
        <v>228</v>
      </c>
      <c r="B52" s="10" t="s">
        <v>229</v>
      </c>
      <c r="C52" s="121" t="s">
        <v>230</v>
      </c>
      <c r="D52" s="122"/>
      <c r="E52" s="122"/>
      <c r="F52" s="122"/>
      <c r="G52" s="122"/>
      <c r="H52" s="122"/>
      <c r="I52" s="123"/>
      <c r="M52" s="6">
        <f>SUM(M53,M91,M100)</f>
        <v>1696541.27</v>
      </c>
      <c r="N52" s="6">
        <f>SUM(N53,N91,N100)</f>
        <v>993569.55</v>
      </c>
      <c r="O52" s="6">
        <f>SUM(O53,O91,O100)</f>
        <v>2690110.82</v>
      </c>
      <c r="S52" s="6">
        <f>SUM(S53,S91,S100)</f>
        <v>1818226.77</v>
      </c>
      <c r="T52" s="6">
        <f>SUM(T53,T91,T100)</f>
        <v>993569.55</v>
      </c>
      <c r="U52" s="6">
        <f>SUM(U53,U91,U100)</f>
        <v>2811796.3200000003</v>
      </c>
      <c r="Y52" s="9">
        <f>SUM(Y53,Y91,Y100)</f>
        <v>1515189</v>
      </c>
      <c r="Z52" s="9">
        <f>SUM(Z53,Z91,Z100)</f>
        <v>827974.63</v>
      </c>
      <c r="AA52" s="9">
        <f>SUM(AA53,AA91,AA100)</f>
        <v>2343163.63</v>
      </c>
      <c r="AD52" s="4">
        <v>341534290</v>
      </c>
      <c r="AE52" s="4">
        <v>25837361</v>
      </c>
    </row>
    <row r="53" spans="1:35" ht="16.95" customHeight="1" x14ac:dyDescent="0.3">
      <c r="A53" s="10" t="s">
        <v>231</v>
      </c>
      <c r="B53" s="10" t="s">
        <v>232</v>
      </c>
      <c r="C53" s="121" t="s">
        <v>233</v>
      </c>
      <c r="D53" s="122"/>
      <c r="E53" s="122"/>
      <c r="F53" s="122"/>
      <c r="G53" s="122"/>
      <c r="H53" s="122"/>
      <c r="I53" s="123"/>
      <c r="M53" s="6">
        <f>SUM(M54,M57,M59,M61,M66,M70,M75,M79,M83,M87)</f>
        <v>165582.06</v>
      </c>
      <c r="N53" s="6">
        <f>SUM(N54,N57,N59,N61,N66,N70,N75,N79,N83,N87)</f>
        <v>531996.27</v>
      </c>
      <c r="O53" s="6">
        <f>SUM(O54,O57,O59,O61,O66,O70,O75,O79,O83,O87)</f>
        <v>697578.33000000007</v>
      </c>
      <c r="S53" s="6">
        <f>SUM(S54,S57,S59,S61,S66,S70,S75,S79,S83,S87)</f>
        <v>172049.47</v>
      </c>
      <c r="T53" s="6">
        <f>SUM(T54,T57,T59,T61,T66,T70,T75,T79,T83,T87)</f>
        <v>531996.27</v>
      </c>
      <c r="U53" s="6">
        <f>SUM(U54,U57,U59,U61,U66,U70,U75,U79,U83,U87)</f>
        <v>704045.74</v>
      </c>
      <c r="Y53" s="9">
        <f>SUM(Y54,Y57,Y59,Y61,Y66,Y70,Y75,Y79,Y83,Y87)</f>
        <v>143374.57</v>
      </c>
      <c r="Z53" s="9">
        <f>SUM(Z54,Z57,Z59,Z61,Z66,Z70,Z75,Z79,Z83,Z87)</f>
        <v>443330.23</v>
      </c>
      <c r="AA53" s="9">
        <f>SUM(AA54,AA57,AA59,AA61,AA66,AA70,AA75,AA79,AA83,AA87)</f>
        <v>586704.80000000005</v>
      </c>
      <c r="AD53" s="4">
        <v>341534291</v>
      </c>
      <c r="AE53" s="4">
        <v>25837353</v>
      </c>
    </row>
    <row r="54" spans="1:35" ht="54" x14ac:dyDescent="0.3">
      <c r="A54" s="10" t="s">
        <v>234</v>
      </c>
      <c r="B54" s="10" t="s">
        <v>235</v>
      </c>
      <c r="C54" s="14" t="s">
        <v>236</v>
      </c>
      <c r="D54" s="15" t="s">
        <v>237</v>
      </c>
      <c r="E54" s="15" t="s">
        <v>238</v>
      </c>
      <c r="F54" s="15" t="s">
        <v>57</v>
      </c>
      <c r="G54" s="16">
        <v>1</v>
      </c>
      <c r="H54" s="16"/>
      <c r="I54" s="16">
        <v>0</v>
      </c>
      <c r="J54" s="17">
        <v>177.36</v>
      </c>
      <c r="K54" s="18">
        <v>388</v>
      </c>
      <c r="L54" s="17">
        <f>J54+ROUND(K54, 2)</f>
        <v>565.36</v>
      </c>
      <c r="M54" s="17">
        <v>0</v>
      </c>
      <c r="N54" s="17">
        <v>0</v>
      </c>
      <c r="O54" s="17">
        <f>M54+N54</f>
        <v>0</v>
      </c>
      <c r="P54" s="17">
        <v>177.36</v>
      </c>
      <c r="Q54" s="18">
        <v>388</v>
      </c>
      <c r="R54" s="17">
        <f>P54+ROUND(Q54, 2)</f>
        <v>565.36</v>
      </c>
      <c r="S54" s="17">
        <v>0</v>
      </c>
      <c r="T54" s="17">
        <v>0</v>
      </c>
      <c r="U54" s="17">
        <f>S54+T54</f>
        <v>0</v>
      </c>
      <c r="V54" s="9">
        <f>ROUND(P54 / 1.2, 2)</f>
        <v>147.80000000000001</v>
      </c>
      <c r="W54" s="9">
        <f>ROUND(Q54 / 1.2, 2)</f>
        <v>323.33</v>
      </c>
      <c r="X54" s="9">
        <f>ROUND(R54 / 1.2, 2)</f>
        <v>471.13</v>
      </c>
      <c r="Y54" s="9">
        <f>ROUND(S54 / 1.2, 2)</f>
        <v>0</v>
      </c>
      <c r="Z54" s="9">
        <f>ROUND(T54 / 1.2, 2)</f>
        <v>0</v>
      </c>
      <c r="AA54" s="9">
        <f>Y54+Z54</f>
        <v>0</v>
      </c>
      <c r="AD54" s="4">
        <v>341534293</v>
      </c>
      <c r="AE54" s="4">
        <v>25837398</v>
      </c>
      <c r="AG54" s="4" t="s">
        <v>239</v>
      </c>
      <c r="AH54" s="4" t="s">
        <v>240</v>
      </c>
      <c r="AI54" s="4" t="s">
        <v>241</v>
      </c>
    </row>
    <row r="55" spans="1:35" ht="36" x14ac:dyDescent="0.3">
      <c r="A55" s="10" t="s">
        <v>243</v>
      </c>
      <c r="B55" s="10"/>
      <c r="C55" s="35" t="s">
        <v>244</v>
      </c>
      <c r="D55" s="15"/>
      <c r="E55" s="15" t="s">
        <v>245</v>
      </c>
      <c r="F55" s="25" t="s">
        <v>76</v>
      </c>
      <c r="G55" s="26">
        <v>1.6</v>
      </c>
      <c r="H55" s="36"/>
      <c r="I55" s="36">
        <v>0</v>
      </c>
      <c r="J55" s="27">
        <v>9.67</v>
      </c>
      <c r="M55" s="28">
        <f>ROUND(ROUND(J55, 2)*I55, 2)</f>
        <v>0</v>
      </c>
      <c r="P55" s="27">
        <v>9.67</v>
      </c>
      <c r="S55" s="28">
        <f>ROUND(ROUND(P55, 2)*I55, 2)</f>
        <v>0</v>
      </c>
      <c r="V55" s="9">
        <f>ROUND(ROUND(P55, 2)/1.2, 2)</f>
        <v>8.06</v>
      </c>
      <c r="Y55" s="9">
        <f t="shared" ref="Y55:Y90" si="7">ROUND(S55 / 1.2, 2)</f>
        <v>0</v>
      </c>
      <c r="AD55" s="4" t="s">
        <v>246</v>
      </c>
      <c r="AE55" s="4" t="s">
        <v>247</v>
      </c>
      <c r="AF55" s="4" t="s">
        <v>248</v>
      </c>
    </row>
    <row r="56" spans="1:35" ht="36" x14ac:dyDescent="0.3">
      <c r="A56" s="10" t="s">
        <v>251</v>
      </c>
      <c r="B56" s="10"/>
      <c r="C56" s="24" t="s">
        <v>252</v>
      </c>
      <c r="D56" s="15"/>
      <c r="E56" s="15"/>
      <c r="F56" s="25" t="s">
        <v>76</v>
      </c>
      <c r="G56" s="26">
        <v>0.255</v>
      </c>
      <c r="H56" s="36"/>
      <c r="I56" s="36">
        <v>0</v>
      </c>
      <c r="J56" s="27">
        <v>88.8</v>
      </c>
      <c r="M56" s="28">
        <f>ROUND(ROUND(J56, 2)*I56, 2)</f>
        <v>0</v>
      </c>
      <c r="P56" s="27">
        <v>88.8</v>
      </c>
      <c r="S56" s="28">
        <f>ROUND(ROUND(P56, 2)*I56, 2)</f>
        <v>0</v>
      </c>
      <c r="V56" s="9">
        <f>ROUND(ROUND(P56, 2)/1.2, 2)</f>
        <v>74</v>
      </c>
      <c r="Y56" s="9">
        <f t="shared" si="7"/>
        <v>0</v>
      </c>
      <c r="AD56" s="4" t="s">
        <v>253</v>
      </c>
      <c r="AE56" s="4" t="s">
        <v>254</v>
      </c>
      <c r="AF56" s="4" t="s">
        <v>255</v>
      </c>
    </row>
    <row r="57" spans="1:35" ht="36" x14ac:dyDescent="0.3">
      <c r="A57" s="10" t="s">
        <v>258</v>
      </c>
      <c r="B57" s="10" t="s">
        <v>259</v>
      </c>
      <c r="C57" s="14" t="s">
        <v>260</v>
      </c>
      <c r="D57" s="15"/>
      <c r="E57" s="15" t="s">
        <v>261</v>
      </c>
      <c r="F57" s="15" t="s">
        <v>57</v>
      </c>
      <c r="G57" s="16">
        <v>1</v>
      </c>
      <c r="H57" s="16"/>
      <c r="I57" s="16">
        <v>0</v>
      </c>
      <c r="J57" s="17">
        <v>51.44</v>
      </c>
      <c r="K57" s="18">
        <v>40</v>
      </c>
      <c r="L57" s="17">
        <f>J57+ROUND(K57, 2)</f>
        <v>91.44</v>
      </c>
      <c r="M57" s="17">
        <v>0</v>
      </c>
      <c r="N57" s="17">
        <v>0</v>
      </c>
      <c r="O57" s="17">
        <f>M57+N57</f>
        <v>0</v>
      </c>
      <c r="P57" s="17">
        <v>51.44</v>
      </c>
      <c r="Q57" s="18">
        <v>40</v>
      </c>
      <c r="R57" s="17">
        <f>P57+ROUND(Q57, 2)</f>
        <v>91.44</v>
      </c>
      <c r="S57" s="17">
        <v>0</v>
      </c>
      <c r="T57" s="17">
        <v>0</v>
      </c>
      <c r="U57" s="17">
        <f>S57+T57</f>
        <v>0</v>
      </c>
      <c r="V57" s="9">
        <f>ROUND(P57 / 1.2, 2)</f>
        <v>42.87</v>
      </c>
      <c r="W57" s="9">
        <f>ROUND(Q57 / 1.2, 2)</f>
        <v>33.33</v>
      </c>
      <c r="X57" s="9">
        <f>ROUND(R57 / 1.2, 2)</f>
        <v>76.2</v>
      </c>
      <c r="Y57" s="9">
        <f t="shared" si="7"/>
        <v>0</v>
      </c>
      <c r="Z57" s="9">
        <f>ROUND(T57 / 1.2, 2)</f>
        <v>0</v>
      </c>
      <c r="AA57" s="9">
        <f>Y57+Z57</f>
        <v>0</v>
      </c>
      <c r="AD57" s="4">
        <v>341534295</v>
      </c>
      <c r="AE57" s="4">
        <v>25837399</v>
      </c>
      <c r="AG57" s="4" t="s">
        <v>262</v>
      </c>
      <c r="AH57" s="4" t="s">
        <v>263</v>
      </c>
      <c r="AI57" s="4" t="s">
        <v>241</v>
      </c>
    </row>
    <row r="58" spans="1:35" ht="18" x14ac:dyDescent="0.3">
      <c r="A58" s="10" t="s">
        <v>265</v>
      </c>
      <c r="B58" s="10"/>
      <c r="C58" s="24" t="s">
        <v>266</v>
      </c>
      <c r="D58" s="15"/>
      <c r="E58" s="15"/>
      <c r="F58" s="25" t="s">
        <v>57</v>
      </c>
      <c r="G58" s="26">
        <v>1.1000000000000001</v>
      </c>
      <c r="H58" s="26"/>
      <c r="I58" s="26">
        <v>0</v>
      </c>
      <c r="J58" s="27">
        <v>46.76</v>
      </c>
      <c r="M58" s="28">
        <f>ROUND(ROUND(J58, 2)*I58, 2)</f>
        <v>0</v>
      </c>
      <c r="P58" s="27">
        <v>46.76</v>
      </c>
      <c r="S58" s="28">
        <f>ROUND(ROUND(P58, 2)*I58, 2)</f>
        <v>0</v>
      </c>
      <c r="V58" s="9">
        <f>ROUND(ROUND(P58, 2)/1.2, 2)</f>
        <v>38.97</v>
      </c>
      <c r="Y58" s="9">
        <f t="shared" si="7"/>
        <v>0</v>
      </c>
      <c r="AD58" s="4" t="s">
        <v>267</v>
      </c>
      <c r="AE58" s="4" t="s">
        <v>268</v>
      </c>
      <c r="AF58" s="4" t="s">
        <v>269</v>
      </c>
    </row>
    <row r="59" spans="1:35" ht="36" x14ac:dyDescent="0.3">
      <c r="A59" s="10" t="s">
        <v>272</v>
      </c>
      <c r="B59" s="10" t="s">
        <v>259</v>
      </c>
      <c r="C59" s="14" t="s">
        <v>260</v>
      </c>
      <c r="D59" s="15"/>
      <c r="E59" s="15" t="s">
        <v>273</v>
      </c>
      <c r="F59" s="15" t="s">
        <v>57</v>
      </c>
      <c r="G59" s="16">
        <v>1</v>
      </c>
      <c r="H59" s="16"/>
      <c r="I59" s="16">
        <v>0</v>
      </c>
      <c r="J59" s="17">
        <v>51.44</v>
      </c>
      <c r="K59" s="18">
        <v>40</v>
      </c>
      <c r="L59" s="17">
        <f>J59+ROUND(K59, 2)</f>
        <v>91.44</v>
      </c>
      <c r="M59" s="17">
        <v>0</v>
      </c>
      <c r="N59" s="17">
        <v>0</v>
      </c>
      <c r="O59" s="17">
        <f>M59+N59</f>
        <v>0</v>
      </c>
      <c r="P59" s="17">
        <v>51.44</v>
      </c>
      <c r="Q59" s="18">
        <v>40</v>
      </c>
      <c r="R59" s="17">
        <f>P59+ROUND(Q59, 2)</f>
        <v>91.44</v>
      </c>
      <c r="S59" s="17">
        <v>0</v>
      </c>
      <c r="T59" s="17">
        <v>0</v>
      </c>
      <c r="U59" s="17">
        <f>S59+T59</f>
        <v>0</v>
      </c>
      <c r="V59" s="9">
        <f>ROUND(P59 / 1.2, 2)</f>
        <v>42.87</v>
      </c>
      <c r="W59" s="9">
        <f>ROUND(Q59 / 1.2, 2)</f>
        <v>33.33</v>
      </c>
      <c r="X59" s="9">
        <f>ROUND(R59 / 1.2, 2)</f>
        <v>76.2</v>
      </c>
      <c r="Y59" s="9">
        <f t="shared" si="7"/>
        <v>0</v>
      </c>
      <c r="Z59" s="9">
        <f>ROUND(T59 / 1.2, 2)</f>
        <v>0</v>
      </c>
      <c r="AA59" s="9">
        <f>Y59+Z59</f>
        <v>0</v>
      </c>
      <c r="AD59" s="4">
        <v>341534364</v>
      </c>
      <c r="AE59" s="4">
        <v>25837374</v>
      </c>
      <c r="AG59" s="4" t="s">
        <v>262</v>
      </c>
      <c r="AH59" s="4" t="s">
        <v>263</v>
      </c>
      <c r="AI59" s="4" t="s">
        <v>241</v>
      </c>
    </row>
    <row r="60" spans="1:35" ht="18" x14ac:dyDescent="0.3">
      <c r="A60" s="10" t="s">
        <v>275</v>
      </c>
      <c r="B60" s="10"/>
      <c r="C60" s="24" t="s">
        <v>266</v>
      </c>
      <c r="D60" s="15"/>
      <c r="E60" s="15"/>
      <c r="F60" s="25" t="s">
        <v>57</v>
      </c>
      <c r="G60" s="26">
        <v>1.1000000000000001</v>
      </c>
      <c r="H60" s="26"/>
      <c r="I60" s="26">
        <v>0</v>
      </c>
      <c r="J60" s="27">
        <v>46.76</v>
      </c>
      <c r="M60" s="28">
        <f>ROUND(ROUND(J60, 2)*I60, 2)</f>
        <v>0</v>
      </c>
      <c r="P60" s="27">
        <v>46.76</v>
      </c>
      <c r="S60" s="28">
        <f>ROUND(ROUND(P60, 2)*I60, 2)</f>
        <v>0</v>
      </c>
      <c r="V60" s="9">
        <f>ROUND(ROUND(P60, 2)/1.2, 2)</f>
        <v>38.97</v>
      </c>
      <c r="Y60" s="9">
        <f t="shared" si="7"/>
        <v>0</v>
      </c>
      <c r="AD60" s="4" t="s">
        <v>276</v>
      </c>
      <c r="AE60" s="4" t="s">
        <v>277</v>
      </c>
      <c r="AF60" s="4" t="s">
        <v>269</v>
      </c>
    </row>
    <row r="61" spans="1:35" ht="36" x14ac:dyDescent="0.3">
      <c r="A61" s="10" t="s">
        <v>280</v>
      </c>
      <c r="B61" s="10" t="s">
        <v>281</v>
      </c>
      <c r="C61" s="14" t="s">
        <v>282</v>
      </c>
      <c r="D61" s="15"/>
      <c r="E61" s="15" t="s">
        <v>283</v>
      </c>
      <c r="F61" s="15" t="s">
        <v>57</v>
      </c>
      <c r="G61" s="16">
        <v>1</v>
      </c>
      <c r="H61" s="16"/>
      <c r="I61" s="16">
        <v>0</v>
      </c>
      <c r="J61" s="17">
        <v>861.67</v>
      </c>
      <c r="K61" s="18">
        <v>855</v>
      </c>
      <c r="L61" s="17">
        <f>J61+ROUND(K61, 2)</f>
        <v>1716.67</v>
      </c>
      <c r="M61" s="17">
        <v>0</v>
      </c>
      <c r="N61" s="17">
        <v>0</v>
      </c>
      <c r="O61" s="17">
        <f>M61+N61</f>
        <v>0</v>
      </c>
      <c r="P61" s="17">
        <v>861.67</v>
      </c>
      <c r="Q61" s="18">
        <v>855</v>
      </c>
      <c r="R61" s="17">
        <f>P61+ROUND(Q61, 2)</f>
        <v>1716.67</v>
      </c>
      <c r="S61" s="17">
        <v>0</v>
      </c>
      <c r="T61" s="17">
        <v>0</v>
      </c>
      <c r="U61" s="17">
        <f>S61+T61</f>
        <v>0</v>
      </c>
      <c r="V61" s="9">
        <f>ROUND(P61 / 1.2, 2)</f>
        <v>718.06</v>
      </c>
      <c r="W61" s="9">
        <f>ROUND(Q61 / 1.2, 2)</f>
        <v>712.5</v>
      </c>
      <c r="X61" s="9">
        <f>ROUND(R61 / 1.2, 2)</f>
        <v>1430.56</v>
      </c>
      <c r="Y61" s="9">
        <f t="shared" si="7"/>
        <v>0</v>
      </c>
      <c r="Z61" s="9">
        <f>ROUND(T61 / 1.2, 2)</f>
        <v>0</v>
      </c>
      <c r="AA61" s="9">
        <f>Y61+Z61</f>
        <v>0</v>
      </c>
      <c r="AD61" s="4">
        <v>341534297</v>
      </c>
      <c r="AE61" s="4">
        <v>25837394</v>
      </c>
      <c r="AG61" s="4" t="s">
        <v>284</v>
      </c>
      <c r="AH61" s="4" t="s">
        <v>285</v>
      </c>
      <c r="AI61" s="4" t="s">
        <v>241</v>
      </c>
    </row>
    <row r="62" spans="1:35" ht="18" x14ac:dyDescent="0.3">
      <c r="A62" s="10" t="s">
        <v>287</v>
      </c>
      <c r="B62" s="10"/>
      <c r="C62" s="24" t="s">
        <v>288</v>
      </c>
      <c r="D62" s="15"/>
      <c r="E62" s="15" t="s">
        <v>289</v>
      </c>
      <c r="F62" s="25" t="s">
        <v>76</v>
      </c>
      <c r="G62" s="26">
        <v>1.8</v>
      </c>
      <c r="H62" s="36"/>
      <c r="I62" s="36">
        <v>0</v>
      </c>
      <c r="J62" s="27">
        <v>6.17</v>
      </c>
      <c r="M62" s="28">
        <f>ROUND(ROUND(J62, 2)*I62, 2)</f>
        <v>0</v>
      </c>
      <c r="P62" s="27">
        <v>6.17</v>
      </c>
      <c r="S62" s="28">
        <f>ROUND(ROUND(P62, 2)*I62, 2)</f>
        <v>0</v>
      </c>
      <c r="V62" s="9">
        <f>ROUND(ROUND(P62, 2)/1.2, 2)</f>
        <v>5.14</v>
      </c>
      <c r="Y62" s="9">
        <f t="shared" si="7"/>
        <v>0</v>
      </c>
      <c r="AD62" s="4" t="s">
        <v>290</v>
      </c>
      <c r="AE62" s="4" t="s">
        <v>291</v>
      </c>
      <c r="AF62" s="4" t="s">
        <v>292</v>
      </c>
    </row>
    <row r="63" spans="1:35" ht="18" x14ac:dyDescent="0.3">
      <c r="A63" s="10" t="s">
        <v>295</v>
      </c>
      <c r="B63" s="10"/>
      <c r="C63" s="24" t="s">
        <v>296</v>
      </c>
      <c r="D63" s="15"/>
      <c r="E63" s="15"/>
      <c r="F63" s="25" t="s">
        <v>57</v>
      </c>
      <c r="G63" s="26">
        <v>1.1000000000000001</v>
      </c>
      <c r="H63" s="36"/>
      <c r="I63" s="36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7"/>
        <v>0</v>
      </c>
      <c r="AD63" s="4" t="s">
        <v>297</v>
      </c>
      <c r="AE63" s="4" t="s">
        <v>298</v>
      </c>
      <c r="AF63" s="4" t="s">
        <v>299</v>
      </c>
    </row>
    <row r="64" spans="1:35" ht="18" x14ac:dyDescent="0.3">
      <c r="A64" s="10" t="s">
        <v>302</v>
      </c>
      <c r="B64" s="10"/>
      <c r="C64" s="24" t="s">
        <v>303</v>
      </c>
      <c r="D64" s="15"/>
      <c r="E64" s="15"/>
      <c r="F64" s="25" t="s">
        <v>123</v>
      </c>
      <c r="G64" s="26">
        <v>1</v>
      </c>
      <c r="H64" s="36"/>
      <c r="I64" s="36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7"/>
        <v>0</v>
      </c>
      <c r="AD64" s="4" t="s">
        <v>304</v>
      </c>
      <c r="AE64" s="4" t="s">
        <v>305</v>
      </c>
      <c r="AF64" s="4" t="s">
        <v>306</v>
      </c>
    </row>
    <row r="65" spans="1:35" ht="18" x14ac:dyDescent="0.3">
      <c r="A65" s="10" t="s">
        <v>309</v>
      </c>
      <c r="B65" s="10"/>
      <c r="C65" s="24" t="s">
        <v>310</v>
      </c>
      <c r="D65" s="15"/>
      <c r="E65" s="15"/>
      <c r="F65" s="25" t="s">
        <v>76</v>
      </c>
      <c r="G65" s="26">
        <v>0.255</v>
      </c>
      <c r="H65" s="26"/>
      <c r="I65" s="26">
        <v>0</v>
      </c>
      <c r="J65" s="27">
        <v>100</v>
      </c>
      <c r="M65" s="28">
        <f>ROUND(ROUND(J65, 2)*I65, 2)</f>
        <v>0</v>
      </c>
      <c r="P65" s="27">
        <v>100</v>
      </c>
      <c r="S65" s="28">
        <f>ROUND(ROUND(P65, 2)*I65, 2)</f>
        <v>0</v>
      </c>
      <c r="V65" s="9">
        <f>ROUND(ROUND(P65, 2)/1.2, 2)</f>
        <v>83.33</v>
      </c>
      <c r="Y65" s="9">
        <f t="shared" si="7"/>
        <v>0</v>
      </c>
      <c r="AD65" s="4" t="s">
        <v>311</v>
      </c>
      <c r="AE65" s="4" t="s">
        <v>312</v>
      </c>
      <c r="AF65" s="4" t="s">
        <v>313</v>
      </c>
    </row>
    <row r="66" spans="1:35" ht="36" x14ac:dyDescent="0.3">
      <c r="A66" s="10" t="s">
        <v>316</v>
      </c>
      <c r="B66" s="10" t="s">
        <v>317</v>
      </c>
      <c r="C66" s="14" t="s">
        <v>318</v>
      </c>
      <c r="D66" s="15"/>
      <c r="E66" s="15" t="s">
        <v>319</v>
      </c>
      <c r="F66" s="15" t="s">
        <v>57</v>
      </c>
      <c r="G66" s="16">
        <v>1</v>
      </c>
      <c r="H66" s="16"/>
      <c r="I66" s="16">
        <v>0</v>
      </c>
      <c r="J66" s="17">
        <v>891.7</v>
      </c>
      <c r="K66" s="18">
        <v>922</v>
      </c>
      <c r="L66" s="17">
        <f>J66+ROUND(K66, 2)</f>
        <v>1813.7</v>
      </c>
      <c r="M66" s="17">
        <v>0</v>
      </c>
      <c r="N66" s="17">
        <v>0</v>
      </c>
      <c r="O66" s="17">
        <f>M66+N66</f>
        <v>0</v>
      </c>
      <c r="P66" s="17">
        <v>891.7</v>
      </c>
      <c r="Q66" s="18">
        <v>922</v>
      </c>
      <c r="R66" s="17">
        <f>P66+ROUND(Q66, 2)</f>
        <v>1813.7</v>
      </c>
      <c r="S66" s="17">
        <v>0</v>
      </c>
      <c r="T66" s="17">
        <v>0</v>
      </c>
      <c r="U66" s="17">
        <f>S66+T66</f>
        <v>0</v>
      </c>
      <c r="V66" s="9">
        <f>ROUND(P66 / 1.2, 2)</f>
        <v>743.08</v>
      </c>
      <c r="W66" s="9">
        <f>ROUND(Q66 / 1.2, 2)</f>
        <v>768.33</v>
      </c>
      <c r="X66" s="9">
        <f>ROUND(R66 / 1.2, 2)</f>
        <v>1511.42</v>
      </c>
      <c r="Y66" s="9">
        <f t="shared" si="7"/>
        <v>0</v>
      </c>
      <c r="Z66" s="9">
        <f>ROUND(T66 / 1.2, 2)</f>
        <v>0</v>
      </c>
      <c r="AA66" s="9">
        <f>Y66+Z66</f>
        <v>0</v>
      </c>
      <c r="AD66" s="4">
        <v>341534298</v>
      </c>
      <c r="AE66" s="4">
        <v>25837393</v>
      </c>
      <c r="AG66" s="4" t="s">
        <v>320</v>
      </c>
      <c r="AH66" s="4" t="s">
        <v>321</v>
      </c>
      <c r="AI66" s="4" t="s">
        <v>241</v>
      </c>
    </row>
    <row r="67" spans="1:35" ht="18" x14ac:dyDescent="0.3">
      <c r="A67" s="10" t="s">
        <v>323</v>
      </c>
      <c r="B67" s="10"/>
      <c r="C67" s="24" t="s">
        <v>288</v>
      </c>
      <c r="D67" s="15"/>
      <c r="E67" s="15" t="s">
        <v>324</v>
      </c>
      <c r="F67" s="25" t="s">
        <v>76</v>
      </c>
      <c r="G67" s="26">
        <v>1.8</v>
      </c>
      <c r="H67" s="36"/>
      <c r="I67" s="36">
        <v>0</v>
      </c>
      <c r="J67" s="27">
        <v>6.17</v>
      </c>
      <c r="M67" s="28">
        <f>ROUND(ROUND(J67, 2)*I67, 2)</f>
        <v>0</v>
      </c>
      <c r="P67" s="27">
        <v>6.17</v>
      </c>
      <c r="S67" s="28">
        <f>ROUND(ROUND(P67, 2)*I67, 2)</f>
        <v>0</v>
      </c>
      <c r="V67" s="9">
        <f>ROUND(ROUND(P67, 2)/1.2, 2)</f>
        <v>5.14</v>
      </c>
      <c r="Y67" s="9">
        <f t="shared" si="7"/>
        <v>0</v>
      </c>
      <c r="AD67" s="4" t="s">
        <v>325</v>
      </c>
      <c r="AE67" s="4" t="s">
        <v>326</v>
      </c>
      <c r="AF67" s="4" t="s">
        <v>292</v>
      </c>
    </row>
    <row r="68" spans="1:35" ht="18" x14ac:dyDescent="0.3">
      <c r="A68" s="10" t="s">
        <v>329</v>
      </c>
      <c r="B68" s="10"/>
      <c r="C68" s="24" t="s">
        <v>296</v>
      </c>
      <c r="D68" s="15"/>
      <c r="E68" s="15"/>
      <c r="F68" s="25" t="s">
        <v>57</v>
      </c>
      <c r="G68" s="26">
        <v>1.1000000000000001</v>
      </c>
      <c r="H68" s="36"/>
      <c r="I68" s="36">
        <v>0</v>
      </c>
      <c r="J68" s="27">
        <v>155.01</v>
      </c>
      <c r="M68" s="28">
        <f>ROUND(ROUND(J68, 2)*I68, 2)</f>
        <v>0</v>
      </c>
      <c r="P68" s="27">
        <v>155.01</v>
      </c>
      <c r="S68" s="28">
        <f>ROUND(ROUND(P68, 2)*I68, 2)</f>
        <v>0</v>
      </c>
      <c r="V68" s="9">
        <f>ROUND(ROUND(P68, 2)/1.2, 2)</f>
        <v>129.18</v>
      </c>
      <c r="Y68" s="9">
        <f t="shared" si="7"/>
        <v>0</v>
      </c>
      <c r="AD68" s="4" t="s">
        <v>330</v>
      </c>
      <c r="AE68" s="4" t="s">
        <v>331</v>
      </c>
      <c r="AF68" s="4" t="s">
        <v>299</v>
      </c>
    </row>
    <row r="69" spans="1:35" ht="18" x14ac:dyDescent="0.3">
      <c r="A69" s="10" t="s">
        <v>334</v>
      </c>
      <c r="B69" s="10"/>
      <c r="C69" s="24" t="s">
        <v>303</v>
      </c>
      <c r="D69" s="15"/>
      <c r="E69" s="15"/>
      <c r="F69" s="25" t="s">
        <v>123</v>
      </c>
      <c r="G69" s="26">
        <v>1</v>
      </c>
      <c r="H69" s="36"/>
      <c r="I69" s="36">
        <v>0</v>
      </c>
      <c r="J69" s="27">
        <v>10.4</v>
      </c>
      <c r="M69" s="28">
        <f>ROUND(ROUND(J69, 2)*I69, 2)</f>
        <v>0</v>
      </c>
      <c r="P69" s="27">
        <v>10.4</v>
      </c>
      <c r="S69" s="28">
        <f>ROUND(ROUND(P69, 2)*I69, 2)</f>
        <v>0</v>
      </c>
      <c r="V69" s="9">
        <f>ROUND(ROUND(P69, 2)/1.2, 2)</f>
        <v>8.67</v>
      </c>
      <c r="Y69" s="9">
        <f t="shared" si="7"/>
        <v>0</v>
      </c>
      <c r="AD69" s="4" t="s">
        <v>335</v>
      </c>
      <c r="AE69" s="4" t="s">
        <v>336</v>
      </c>
      <c r="AF69" s="4" t="s">
        <v>306</v>
      </c>
    </row>
    <row r="70" spans="1:35" ht="36" x14ac:dyDescent="0.3">
      <c r="A70" s="10" t="s">
        <v>339</v>
      </c>
      <c r="B70" s="10" t="s">
        <v>317</v>
      </c>
      <c r="C70" s="14" t="s">
        <v>318</v>
      </c>
      <c r="D70" s="15"/>
      <c r="E70" s="15" t="s">
        <v>340</v>
      </c>
      <c r="F70" s="15" t="s">
        <v>57</v>
      </c>
      <c r="G70" s="16">
        <v>1</v>
      </c>
      <c r="H70" s="16"/>
      <c r="I70" s="16">
        <v>0</v>
      </c>
      <c r="J70" s="17">
        <v>928.3</v>
      </c>
      <c r="K70" s="18">
        <v>922</v>
      </c>
      <c r="L70" s="17">
        <f>J70+ROUND(K70, 2)</f>
        <v>1850.3</v>
      </c>
      <c r="M70" s="17">
        <v>0</v>
      </c>
      <c r="N70" s="17">
        <v>0</v>
      </c>
      <c r="O70" s="17">
        <f>M70+N70</f>
        <v>0</v>
      </c>
      <c r="P70" s="17">
        <v>928.3</v>
      </c>
      <c r="Q70" s="18">
        <v>922</v>
      </c>
      <c r="R70" s="17">
        <f>P70+ROUND(Q70, 2)</f>
        <v>1850.3</v>
      </c>
      <c r="S70" s="17">
        <v>0</v>
      </c>
      <c r="T70" s="17">
        <v>0</v>
      </c>
      <c r="U70" s="17">
        <f>S70+T70</f>
        <v>0</v>
      </c>
      <c r="V70" s="9">
        <f>ROUND(P70 / 1.2, 2)</f>
        <v>773.58</v>
      </c>
      <c r="W70" s="9">
        <f>ROUND(Q70 / 1.2, 2)</f>
        <v>768.33</v>
      </c>
      <c r="X70" s="9">
        <f>ROUND(R70 / 1.2, 2)</f>
        <v>1541.92</v>
      </c>
      <c r="Y70" s="9">
        <f t="shared" si="7"/>
        <v>0</v>
      </c>
      <c r="Z70" s="9">
        <f>ROUND(T70 / 1.2, 2)</f>
        <v>0</v>
      </c>
      <c r="AA70" s="9">
        <f>Y70+Z70</f>
        <v>0</v>
      </c>
      <c r="AD70" s="4">
        <v>341534365</v>
      </c>
      <c r="AE70" s="4">
        <v>25837372</v>
      </c>
      <c r="AG70" s="4" t="s">
        <v>320</v>
      </c>
      <c r="AH70" s="4" t="s">
        <v>321</v>
      </c>
      <c r="AI70" s="4" t="s">
        <v>241</v>
      </c>
    </row>
    <row r="71" spans="1:35" ht="18" x14ac:dyDescent="0.3">
      <c r="A71" s="10" t="s">
        <v>342</v>
      </c>
      <c r="B71" s="10"/>
      <c r="C71" s="24" t="s">
        <v>310</v>
      </c>
      <c r="D71" s="15"/>
      <c r="E71" s="15"/>
      <c r="F71" s="25" t="s">
        <v>76</v>
      </c>
      <c r="G71" s="26">
        <v>0.255</v>
      </c>
      <c r="H71" s="26"/>
      <c r="I71" s="26">
        <v>0</v>
      </c>
      <c r="J71" s="27">
        <v>100</v>
      </c>
      <c r="M71" s="28">
        <f>ROUND(ROUND(J71, 2)*I71, 2)</f>
        <v>0</v>
      </c>
      <c r="P71" s="27">
        <v>100</v>
      </c>
      <c r="S71" s="28">
        <f>ROUND(ROUND(P71, 2)*I71, 2)</f>
        <v>0</v>
      </c>
      <c r="V71" s="9">
        <f>ROUND(ROUND(P71, 2)/1.2, 2)</f>
        <v>83.33</v>
      </c>
      <c r="Y71" s="9">
        <f t="shared" si="7"/>
        <v>0</v>
      </c>
      <c r="AD71" s="4" t="s">
        <v>343</v>
      </c>
      <c r="AE71" s="4" t="s">
        <v>344</v>
      </c>
      <c r="AF71" s="4" t="s">
        <v>313</v>
      </c>
    </row>
    <row r="72" spans="1:35" ht="18" x14ac:dyDescent="0.3">
      <c r="A72" s="10" t="s">
        <v>347</v>
      </c>
      <c r="B72" s="10"/>
      <c r="C72" s="24" t="s">
        <v>303</v>
      </c>
      <c r="D72" s="15"/>
      <c r="E72" s="15"/>
      <c r="F72" s="25" t="s">
        <v>123</v>
      </c>
      <c r="G72" s="26">
        <v>1</v>
      </c>
      <c r="H72" s="36"/>
      <c r="I72" s="36">
        <v>0</v>
      </c>
      <c r="J72" s="27">
        <v>10.4</v>
      </c>
      <c r="M72" s="28">
        <f>ROUND(ROUND(J72, 2)*I72, 2)</f>
        <v>0</v>
      </c>
      <c r="P72" s="27">
        <v>10.4</v>
      </c>
      <c r="S72" s="28">
        <f>ROUND(ROUND(P72, 2)*I72, 2)</f>
        <v>0</v>
      </c>
      <c r="V72" s="9">
        <f>ROUND(ROUND(P72, 2)/1.2, 2)</f>
        <v>8.67</v>
      </c>
      <c r="Y72" s="9">
        <f t="shared" si="7"/>
        <v>0</v>
      </c>
      <c r="AD72" s="4" t="s">
        <v>348</v>
      </c>
      <c r="AE72" s="4" t="s">
        <v>349</v>
      </c>
      <c r="AF72" s="4" t="s">
        <v>306</v>
      </c>
    </row>
    <row r="73" spans="1:35" ht="18" x14ac:dyDescent="0.3">
      <c r="A73" s="10" t="s">
        <v>352</v>
      </c>
      <c r="B73" s="10"/>
      <c r="C73" s="24" t="s">
        <v>296</v>
      </c>
      <c r="D73" s="15"/>
      <c r="E73" s="15"/>
      <c r="F73" s="25" t="s">
        <v>57</v>
      </c>
      <c r="G73" s="26">
        <v>1.1000000000000001</v>
      </c>
      <c r="H73" s="36"/>
      <c r="I73" s="36">
        <v>0</v>
      </c>
      <c r="J73" s="27">
        <v>155.01</v>
      </c>
      <c r="M73" s="28">
        <f>ROUND(ROUND(J73, 2)*I73, 2)</f>
        <v>0</v>
      </c>
      <c r="P73" s="27">
        <v>155.01</v>
      </c>
      <c r="S73" s="28">
        <f>ROUND(ROUND(P73, 2)*I73, 2)</f>
        <v>0</v>
      </c>
      <c r="V73" s="9">
        <f>ROUND(ROUND(P73, 2)/1.2, 2)</f>
        <v>129.18</v>
      </c>
      <c r="Y73" s="9">
        <f t="shared" si="7"/>
        <v>0</v>
      </c>
      <c r="AD73" s="4" t="s">
        <v>353</v>
      </c>
      <c r="AE73" s="4" t="s">
        <v>354</v>
      </c>
      <c r="AF73" s="4" t="s">
        <v>299</v>
      </c>
    </row>
    <row r="74" spans="1:35" ht="18" x14ac:dyDescent="0.3">
      <c r="A74" s="10" t="s">
        <v>357</v>
      </c>
      <c r="B74" s="10"/>
      <c r="C74" s="24" t="s">
        <v>288</v>
      </c>
      <c r="D74" s="15"/>
      <c r="E74" s="15" t="s">
        <v>358</v>
      </c>
      <c r="F74" s="25" t="s">
        <v>76</v>
      </c>
      <c r="G74" s="26">
        <v>1.8</v>
      </c>
      <c r="H74" s="36"/>
      <c r="I74" s="36">
        <v>0</v>
      </c>
      <c r="J74" s="27">
        <v>6.17</v>
      </c>
      <c r="M74" s="28">
        <f>ROUND(ROUND(J74, 2)*I74, 2)</f>
        <v>0</v>
      </c>
      <c r="P74" s="27">
        <v>6.17</v>
      </c>
      <c r="S74" s="28">
        <f>ROUND(ROUND(P74, 2)*I74, 2)</f>
        <v>0</v>
      </c>
      <c r="V74" s="9">
        <f>ROUND(ROUND(P74, 2)/1.2, 2)</f>
        <v>5.14</v>
      </c>
      <c r="Y74" s="9">
        <f t="shared" si="7"/>
        <v>0</v>
      </c>
      <c r="AD74" s="4" t="s">
        <v>359</v>
      </c>
      <c r="AE74" s="4" t="s">
        <v>360</v>
      </c>
      <c r="AF74" s="4" t="s">
        <v>292</v>
      </c>
    </row>
    <row r="75" spans="1:35" ht="36" x14ac:dyDescent="0.3">
      <c r="A75" s="10" t="s">
        <v>363</v>
      </c>
      <c r="B75" s="10" t="s">
        <v>317</v>
      </c>
      <c r="C75" s="14" t="s">
        <v>318</v>
      </c>
      <c r="D75" s="15"/>
      <c r="E75" s="15" t="s">
        <v>364</v>
      </c>
      <c r="F75" s="15" t="s">
        <v>57</v>
      </c>
      <c r="G75" s="16">
        <v>1</v>
      </c>
      <c r="H75" s="16"/>
      <c r="I75" s="16">
        <v>0</v>
      </c>
      <c r="J75" s="17">
        <v>1047.8800000000001</v>
      </c>
      <c r="K75" s="18">
        <v>922</v>
      </c>
      <c r="L75" s="17">
        <f>J75+ROUND(K75, 2)</f>
        <v>1969.88</v>
      </c>
      <c r="M75" s="17">
        <v>0</v>
      </c>
      <c r="N75" s="17">
        <v>0</v>
      </c>
      <c r="O75" s="17">
        <f>M75+N75</f>
        <v>0</v>
      </c>
      <c r="P75" s="17">
        <v>1047.8800000000001</v>
      </c>
      <c r="Q75" s="18">
        <v>922</v>
      </c>
      <c r="R75" s="17">
        <f>P75+ROUND(Q75, 2)</f>
        <v>1969.88</v>
      </c>
      <c r="S75" s="17">
        <v>0</v>
      </c>
      <c r="T75" s="17">
        <v>0</v>
      </c>
      <c r="U75" s="17">
        <f>S75+T75</f>
        <v>0</v>
      </c>
      <c r="V75" s="9">
        <f>ROUND(P75 / 1.2, 2)</f>
        <v>873.23</v>
      </c>
      <c r="W75" s="9">
        <f>ROUND(Q75 / 1.2, 2)</f>
        <v>768.33</v>
      </c>
      <c r="X75" s="9">
        <f>ROUND(R75 / 1.2, 2)</f>
        <v>1641.57</v>
      </c>
      <c r="Y75" s="9">
        <f t="shared" si="7"/>
        <v>0</v>
      </c>
      <c r="Z75" s="9">
        <f>ROUND(T75 / 1.2, 2)</f>
        <v>0</v>
      </c>
      <c r="AA75" s="9">
        <f>Y75+Z75</f>
        <v>0</v>
      </c>
      <c r="AD75" s="4">
        <v>341534366</v>
      </c>
      <c r="AE75" s="4">
        <v>25837385</v>
      </c>
      <c r="AG75" s="4" t="s">
        <v>320</v>
      </c>
      <c r="AH75" s="4" t="s">
        <v>321</v>
      </c>
      <c r="AI75" s="4" t="s">
        <v>241</v>
      </c>
    </row>
    <row r="76" spans="1:35" ht="18" x14ac:dyDescent="0.3">
      <c r="A76" s="10" t="s">
        <v>366</v>
      </c>
      <c r="B76" s="10"/>
      <c r="C76" s="24" t="s">
        <v>303</v>
      </c>
      <c r="D76" s="15"/>
      <c r="E76" s="15"/>
      <c r="F76" s="25" t="s">
        <v>123</v>
      </c>
      <c r="G76" s="26">
        <v>1</v>
      </c>
      <c r="H76" s="36"/>
      <c r="I76" s="36">
        <v>0</v>
      </c>
      <c r="J76" s="27">
        <v>10.4</v>
      </c>
      <c r="M76" s="28">
        <f>ROUND(ROUND(J76, 2)*I76, 2)</f>
        <v>0</v>
      </c>
      <c r="P76" s="27">
        <v>10.4</v>
      </c>
      <c r="S76" s="28">
        <f>ROUND(ROUND(P76, 2)*I76, 2)</f>
        <v>0</v>
      </c>
      <c r="V76" s="9">
        <f>ROUND(ROUND(P76, 2)/1.2, 2)</f>
        <v>8.67</v>
      </c>
      <c r="Y76" s="9">
        <f t="shared" si="7"/>
        <v>0</v>
      </c>
      <c r="AD76" s="4" t="s">
        <v>367</v>
      </c>
      <c r="AE76" s="4" t="s">
        <v>368</v>
      </c>
      <c r="AF76" s="4" t="s">
        <v>306</v>
      </c>
    </row>
    <row r="77" spans="1:35" ht="18" x14ac:dyDescent="0.3">
      <c r="A77" s="10" t="s">
        <v>371</v>
      </c>
      <c r="B77" s="10"/>
      <c r="C77" s="24" t="s">
        <v>296</v>
      </c>
      <c r="D77" s="15"/>
      <c r="E77" s="15"/>
      <c r="F77" s="25" t="s">
        <v>57</v>
      </c>
      <c r="G77" s="26">
        <v>1.1000000000000001</v>
      </c>
      <c r="H77" s="36"/>
      <c r="I77" s="36">
        <v>0</v>
      </c>
      <c r="J77" s="27">
        <v>155.01</v>
      </c>
      <c r="M77" s="28">
        <f>ROUND(ROUND(J77, 2)*I77, 2)</f>
        <v>0</v>
      </c>
      <c r="P77" s="27">
        <v>155.01</v>
      </c>
      <c r="S77" s="28">
        <f>ROUND(ROUND(P77, 2)*I77, 2)</f>
        <v>0</v>
      </c>
      <c r="V77" s="9">
        <f>ROUND(ROUND(P77, 2)/1.2, 2)</f>
        <v>129.18</v>
      </c>
      <c r="Y77" s="9">
        <f t="shared" si="7"/>
        <v>0</v>
      </c>
      <c r="AD77" s="4" t="s">
        <v>372</v>
      </c>
      <c r="AE77" s="4" t="s">
        <v>373</v>
      </c>
      <c r="AF77" s="4" t="s">
        <v>299</v>
      </c>
    </row>
    <row r="78" spans="1:35" ht="18" x14ac:dyDescent="0.3">
      <c r="A78" s="10" t="s">
        <v>376</v>
      </c>
      <c r="B78" s="10"/>
      <c r="C78" s="24" t="s">
        <v>377</v>
      </c>
      <c r="D78" s="15"/>
      <c r="E78" s="15" t="s">
        <v>378</v>
      </c>
      <c r="F78" s="25" t="s">
        <v>76</v>
      </c>
      <c r="G78" s="26">
        <v>1.8</v>
      </c>
      <c r="H78" s="36"/>
      <c r="I78" s="36">
        <v>0</v>
      </c>
      <c r="J78" s="27">
        <v>7.41</v>
      </c>
      <c r="M78" s="28">
        <f>ROUND(ROUND(J78, 2)*I78, 2)</f>
        <v>0</v>
      </c>
      <c r="P78" s="27">
        <v>7.41</v>
      </c>
      <c r="S78" s="28">
        <f>ROUND(ROUND(P78, 2)*I78, 2)</f>
        <v>0</v>
      </c>
      <c r="V78" s="9">
        <f>ROUND(ROUND(P78, 2)/1.2, 2)</f>
        <v>6.18</v>
      </c>
      <c r="Y78" s="9">
        <f t="shared" si="7"/>
        <v>0</v>
      </c>
      <c r="AD78" s="4" t="s">
        <v>379</v>
      </c>
      <c r="AE78" s="4" t="s">
        <v>380</v>
      </c>
      <c r="AF78" s="4" t="s">
        <v>381</v>
      </c>
    </row>
    <row r="79" spans="1:35" ht="36" x14ac:dyDescent="0.3">
      <c r="A79" s="10" t="s">
        <v>384</v>
      </c>
      <c r="B79" s="10" t="s">
        <v>385</v>
      </c>
      <c r="C79" s="14" t="s">
        <v>386</v>
      </c>
      <c r="D79" s="15"/>
      <c r="E79" s="15" t="s">
        <v>387</v>
      </c>
      <c r="F79" s="15" t="s">
        <v>57</v>
      </c>
      <c r="G79" s="16">
        <v>1</v>
      </c>
      <c r="H79" s="16"/>
      <c r="I79" s="16">
        <v>891.74</v>
      </c>
      <c r="J79" s="17">
        <f>IFERROR(ROUND(SUM(M80,M81,M82)/I79, 2),0)</f>
        <v>172.84</v>
      </c>
      <c r="K79" s="18">
        <v>557</v>
      </c>
      <c r="L79" s="17">
        <f>J79+ROUND(K79, 2)</f>
        <v>729.84</v>
      </c>
      <c r="M79" s="17">
        <f>ROUND(J79*I79, 2)</f>
        <v>154128.34</v>
      </c>
      <c r="N79" s="17">
        <f>ROUND(I79*ROUND(K79, 2), 2)</f>
        <v>496699.18</v>
      </c>
      <c r="O79" s="17">
        <f>M79+N79</f>
        <v>650827.52000000002</v>
      </c>
      <c r="P79" s="17">
        <f>IFERROR(ROUND(SUM(S80,S81,S82)/I79, 2),0)</f>
        <v>179.62</v>
      </c>
      <c r="Q79" s="19">
        <v>557</v>
      </c>
      <c r="R79" s="17">
        <f>P79+ROUND(Q79, 2)</f>
        <v>736.62</v>
      </c>
      <c r="S79" s="17">
        <f>ROUND(P79*I79, 2)</f>
        <v>160174.34</v>
      </c>
      <c r="T79" s="17">
        <f>ROUND(I79*ROUND(Q79, 2), 2)</f>
        <v>496699.18</v>
      </c>
      <c r="U79" s="17">
        <f>S79+T79</f>
        <v>656873.52</v>
      </c>
      <c r="V79" s="9">
        <f>ROUND(P79 / 1.2, 2)</f>
        <v>149.68</v>
      </c>
      <c r="W79" s="9">
        <f>ROUND(Q79 / 1.2, 2)</f>
        <v>464.17</v>
      </c>
      <c r="X79" s="9">
        <f>ROUND(R79 / 1.2, 2)</f>
        <v>613.85</v>
      </c>
      <c r="Y79" s="9">
        <f t="shared" si="7"/>
        <v>133478.62</v>
      </c>
      <c r="Z79" s="9">
        <f>ROUND(T79 / 1.2, 2)</f>
        <v>413915.98</v>
      </c>
      <c r="AA79" s="9">
        <f>Y79+Z79</f>
        <v>547394.6</v>
      </c>
      <c r="AD79" s="4">
        <v>341534300</v>
      </c>
      <c r="AE79" s="4">
        <v>28199797</v>
      </c>
      <c r="AG79" s="4" t="s">
        <v>388</v>
      </c>
      <c r="AH79" s="4" t="s">
        <v>389</v>
      </c>
      <c r="AI79" s="4" t="s">
        <v>241</v>
      </c>
    </row>
    <row r="80" spans="1:35" ht="18" x14ac:dyDescent="0.3">
      <c r="A80" s="10" t="s">
        <v>390</v>
      </c>
      <c r="B80" s="10"/>
      <c r="C80" s="24" t="s">
        <v>303</v>
      </c>
      <c r="D80" s="15"/>
      <c r="E80" s="15"/>
      <c r="F80" s="25" t="s">
        <v>123</v>
      </c>
      <c r="G80" s="26">
        <v>1</v>
      </c>
      <c r="H80" s="36"/>
      <c r="I80" s="36">
        <v>193.81</v>
      </c>
      <c r="J80" s="27">
        <v>10.58</v>
      </c>
      <c r="M80" s="28">
        <f>ROUND(ROUND(J80, 2)*I80, 2)</f>
        <v>2050.5100000000002</v>
      </c>
      <c r="P80" s="29">
        <v>10.4</v>
      </c>
      <c r="S80" s="28">
        <f>ROUND(ROUND(P80, 2)*I80, 2)</f>
        <v>2015.62</v>
      </c>
      <c r="V80" s="9">
        <f>ROUND(ROUND(P80, 2)/1.2, 2)</f>
        <v>8.67</v>
      </c>
      <c r="Y80" s="9">
        <f t="shared" si="7"/>
        <v>1679.68</v>
      </c>
      <c r="AD80" s="4" t="s">
        <v>391</v>
      </c>
      <c r="AE80" s="4" t="s">
        <v>392</v>
      </c>
      <c r="AF80" s="4" t="s">
        <v>306</v>
      </c>
    </row>
    <row r="81" spans="1:35" ht="36" x14ac:dyDescent="0.3">
      <c r="A81" s="10" t="s">
        <v>393</v>
      </c>
      <c r="B81" s="10"/>
      <c r="C81" s="24" t="s">
        <v>252</v>
      </c>
      <c r="D81" s="15"/>
      <c r="E81" s="15"/>
      <c r="F81" s="25" t="s">
        <v>76</v>
      </c>
      <c r="G81" s="26">
        <v>0.255</v>
      </c>
      <c r="H81" s="26"/>
      <c r="I81" s="26">
        <v>227.39400000000001</v>
      </c>
      <c r="J81" s="27">
        <v>90.28</v>
      </c>
      <c r="M81" s="28">
        <f>ROUND(ROUND(J81, 2)*I81, 2)</f>
        <v>20529.13</v>
      </c>
      <c r="P81" s="29">
        <v>88.8</v>
      </c>
      <c r="S81" s="28">
        <f>ROUND(ROUND(P81, 2)*I81, 2)</f>
        <v>20192.59</v>
      </c>
      <c r="V81" s="9">
        <f>ROUND(ROUND(P81, 2)/1.2, 2)</f>
        <v>74</v>
      </c>
      <c r="Y81" s="9">
        <f t="shared" si="7"/>
        <v>16827.16</v>
      </c>
      <c r="AD81" s="4" t="s">
        <v>394</v>
      </c>
      <c r="AE81" s="4" t="s">
        <v>395</v>
      </c>
      <c r="AF81" s="4" t="s">
        <v>255</v>
      </c>
    </row>
    <row r="82" spans="1:35" ht="36" x14ac:dyDescent="0.3">
      <c r="A82" s="10" t="s">
        <v>396</v>
      </c>
      <c r="B82" s="10"/>
      <c r="C82" s="35" t="s">
        <v>244</v>
      </c>
      <c r="D82" s="15"/>
      <c r="E82" s="15"/>
      <c r="F82" s="25" t="s">
        <v>76</v>
      </c>
      <c r="G82" s="26">
        <v>1.6</v>
      </c>
      <c r="H82" s="36"/>
      <c r="I82" s="36">
        <v>14267.84</v>
      </c>
      <c r="J82" s="27">
        <v>9.2200000000000006</v>
      </c>
      <c r="M82" s="28">
        <f>ROUND(ROUND(J82, 2)*I82, 2)</f>
        <v>131549.48000000001</v>
      </c>
      <c r="P82" s="29">
        <v>9.67</v>
      </c>
      <c r="S82" s="28">
        <f>ROUND(ROUND(P82, 2)*I82, 2)</f>
        <v>137970.01</v>
      </c>
      <c r="V82" s="9">
        <f>ROUND(ROUND(P82, 2)/1.2, 2)</f>
        <v>8.06</v>
      </c>
      <c r="Y82" s="9">
        <f t="shared" si="7"/>
        <v>114975.01</v>
      </c>
      <c r="AD82" s="4" t="s">
        <v>397</v>
      </c>
      <c r="AE82" s="4" t="s">
        <v>398</v>
      </c>
      <c r="AF82" s="4" t="s">
        <v>399</v>
      </c>
    </row>
    <row r="83" spans="1:35" ht="36" x14ac:dyDescent="0.3">
      <c r="A83" s="10" t="s">
        <v>400</v>
      </c>
      <c r="B83" s="10" t="s">
        <v>385</v>
      </c>
      <c r="C83" s="14" t="s">
        <v>386</v>
      </c>
      <c r="D83" s="15"/>
      <c r="E83" s="15" t="s">
        <v>401</v>
      </c>
      <c r="F83" s="15" t="s">
        <v>57</v>
      </c>
      <c r="G83" s="16">
        <v>1</v>
      </c>
      <c r="H83" s="16"/>
      <c r="I83" s="16">
        <v>31.47</v>
      </c>
      <c r="J83" s="17">
        <f>IFERROR(ROUND(SUM(M84,M85,M86)/I83, 2),0)</f>
        <v>181.7</v>
      </c>
      <c r="K83" s="18">
        <v>557</v>
      </c>
      <c r="L83" s="17">
        <f>J83+ROUND(K83, 2)</f>
        <v>738.7</v>
      </c>
      <c r="M83" s="17">
        <f>ROUND(J83*I83, 2)</f>
        <v>5718.1</v>
      </c>
      <c r="N83" s="17">
        <f>ROUND(I83*ROUND(K83, 2), 2)</f>
        <v>17528.79</v>
      </c>
      <c r="O83" s="17">
        <f>M83+N83</f>
        <v>23246.89</v>
      </c>
      <c r="P83" s="17">
        <f>IFERROR(ROUND(SUM(S84,S85,S86)/I83, 2),0)</f>
        <v>188.34</v>
      </c>
      <c r="Q83" s="19">
        <v>557</v>
      </c>
      <c r="R83" s="17">
        <f>P83+ROUND(Q83, 2)</f>
        <v>745.34</v>
      </c>
      <c r="S83" s="17">
        <f>ROUND(P83*I83, 2)</f>
        <v>5927.06</v>
      </c>
      <c r="T83" s="17">
        <f>ROUND(I83*ROUND(Q83, 2), 2)</f>
        <v>17528.79</v>
      </c>
      <c r="U83" s="17">
        <f>S83+T83</f>
        <v>23455.850000000002</v>
      </c>
      <c r="V83" s="9">
        <f>ROUND(P83 / 1.2, 2)</f>
        <v>156.94999999999999</v>
      </c>
      <c r="W83" s="9">
        <f>ROUND(Q83 / 1.2, 2)</f>
        <v>464.17</v>
      </c>
      <c r="X83" s="9">
        <f>ROUND(R83 / 1.2, 2)</f>
        <v>621.12</v>
      </c>
      <c r="Y83" s="9">
        <f t="shared" si="7"/>
        <v>4939.22</v>
      </c>
      <c r="Z83" s="9">
        <f>ROUND(T83 / 1.2, 2)</f>
        <v>14607.33</v>
      </c>
      <c r="AA83" s="9">
        <f>Y83+Z83</f>
        <v>19546.55</v>
      </c>
      <c r="AD83" s="4">
        <v>341534367</v>
      </c>
      <c r="AE83" s="4">
        <v>28291319</v>
      </c>
      <c r="AG83" s="4" t="s">
        <v>388</v>
      </c>
      <c r="AH83" s="4" t="s">
        <v>389</v>
      </c>
      <c r="AI83" s="4" t="s">
        <v>241</v>
      </c>
    </row>
    <row r="84" spans="1:35" ht="36" x14ac:dyDescent="0.3">
      <c r="A84" s="10" t="s">
        <v>402</v>
      </c>
      <c r="B84" s="10"/>
      <c r="C84" s="35" t="s">
        <v>244</v>
      </c>
      <c r="D84" s="15"/>
      <c r="E84" s="15"/>
      <c r="F84" s="25" t="s">
        <v>76</v>
      </c>
      <c r="G84" s="26">
        <v>1.6</v>
      </c>
      <c r="H84" s="36"/>
      <c r="I84" s="36">
        <v>503.52</v>
      </c>
      <c r="J84" s="27">
        <v>9.2200000000000006</v>
      </c>
      <c r="M84" s="28">
        <f>ROUND(ROUND(J84, 2)*I84, 2)</f>
        <v>4642.45</v>
      </c>
      <c r="P84" s="29">
        <v>9.67</v>
      </c>
      <c r="S84" s="28">
        <f>ROUND(ROUND(P84, 2)*I84, 2)</f>
        <v>4869.04</v>
      </c>
      <c r="V84" s="9">
        <f>ROUND(ROUND(P84, 2)/1.2, 2)</f>
        <v>8.06</v>
      </c>
      <c r="Y84" s="9">
        <f t="shared" si="7"/>
        <v>4057.53</v>
      </c>
      <c r="AD84" s="4" t="s">
        <v>403</v>
      </c>
      <c r="AE84" s="4" t="s">
        <v>404</v>
      </c>
      <c r="AF84" s="4" t="s">
        <v>399</v>
      </c>
    </row>
    <row r="85" spans="1:35" ht="36" x14ac:dyDescent="0.3">
      <c r="A85" s="10" t="s">
        <v>405</v>
      </c>
      <c r="B85" s="10"/>
      <c r="C85" s="24" t="s">
        <v>252</v>
      </c>
      <c r="D85" s="15"/>
      <c r="E85" s="15"/>
      <c r="F85" s="25" t="s">
        <v>76</v>
      </c>
      <c r="G85" s="26">
        <v>0.255</v>
      </c>
      <c r="H85" s="26"/>
      <c r="I85" s="26">
        <v>8.0250000000000004</v>
      </c>
      <c r="J85" s="27">
        <v>90.28</v>
      </c>
      <c r="M85" s="28">
        <f>ROUND(ROUND(J85, 2)*I85, 2)</f>
        <v>724.5</v>
      </c>
      <c r="P85" s="29">
        <v>88.8</v>
      </c>
      <c r="S85" s="28">
        <f>ROUND(ROUND(P85, 2)*I85, 2)</f>
        <v>712.62</v>
      </c>
      <c r="V85" s="9">
        <f>ROUND(ROUND(P85, 2)/1.2, 2)</f>
        <v>74</v>
      </c>
      <c r="Y85" s="9">
        <f t="shared" si="7"/>
        <v>593.85</v>
      </c>
      <c r="AD85" s="4" t="s">
        <v>406</v>
      </c>
      <c r="AE85" s="4" t="s">
        <v>407</v>
      </c>
      <c r="AF85" s="4" t="s">
        <v>255</v>
      </c>
    </row>
    <row r="86" spans="1:35" ht="18" x14ac:dyDescent="0.3">
      <c r="A86" s="10" t="s">
        <v>408</v>
      </c>
      <c r="B86" s="10"/>
      <c r="C86" s="24" t="s">
        <v>303</v>
      </c>
      <c r="D86" s="15"/>
      <c r="E86" s="15"/>
      <c r="F86" s="25" t="s">
        <v>123</v>
      </c>
      <c r="G86" s="26">
        <v>1</v>
      </c>
      <c r="H86" s="36"/>
      <c r="I86" s="36">
        <v>33.200000000000003</v>
      </c>
      <c r="J86" s="27">
        <v>10.58</v>
      </c>
      <c r="M86" s="28">
        <f>ROUND(ROUND(J86, 2)*I86, 2)</f>
        <v>351.26</v>
      </c>
      <c r="P86" s="29">
        <v>10.4</v>
      </c>
      <c r="S86" s="28">
        <f>ROUND(ROUND(P86, 2)*I86, 2)</f>
        <v>345.28</v>
      </c>
      <c r="V86" s="9">
        <f>ROUND(ROUND(P86, 2)/1.2, 2)</f>
        <v>8.67</v>
      </c>
      <c r="Y86" s="9">
        <f t="shared" si="7"/>
        <v>287.73</v>
      </c>
      <c r="AD86" s="4" t="s">
        <v>409</v>
      </c>
      <c r="AE86" s="4" t="s">
        <v>410</v>
      </c>
      <c r="AF86" s="4" t="s">
        <v>306</v>
      </c>
    </row>
    <row r="87" spans="1:35" ht="36" x14ac:dyDescent="0.3">
      <c r="A87" s="10" t="s">
        <v>411</v>
      </c>
      <c r="B87" s="10" t="s">
        <v>385</v>
      </c>
      <c r="C87" s="14" t="s">
        <v>386</v>
      </c>
      <c r="D87" s="15"/>
      <c r="E87" s="15" t="s">
        <v>412</v>
      </c>
      <c r="F87" s="15" t="s">
        <v>57</v>
      </c>
      <c r="G87" s="16">
        <v>1</v>
      </c>
      <c r="H87" s="16"/>
      <c r="I87" s="16">
        <v>31.9</v>
      </c>
      <c r="J87" s="17">
        <f>IFERROR(ROUND(SUM(M88,M89,M90)/I87, 2),0)</f>
        <v>179.8</v>
      </c>
      <c r="K87" s="18">
        <v>557</v>
      </c>
      <c r="L87" s="17">
        <f>J87+ROUND(K87, 2)</f>
        <v>736.8</v>
      </c>
      <c r="M87" s="17">
        <f>ROUND(J87*I87, 2)</f>
        <v>5735.62</v>
      </c>
      <c r="N87" s="17">
        <f>ROUND(I87*ROUND(K87, 2), 2)</f>
        <v>17768.3</v>
      </c>
      <c r="O87" s="17">
        <f>M87+N87</f>
        <v>23503.919999999998</v>
      </c>
      <c r="P87" s="17">
        <f>IFERROR(ROUND(SUM(S88,S89,S90)/I87, 2),0)</f>
        <v>186.46</v>
      </c>
      <c r="Q87" s="19">
        <v>557</v>
      </c>
      <c r="R87" s="17">
        <f>P87+ROUND(Q87, 2)</f>
        <v>743.46</v>
      </c>
      <c r="S87" s="17">
        <f>ROUND(P87*I87, 2)</f>
        <v>5948.07</v>
      </c>
      <c r="T87" s="17">
        <f>ROUND(I87*ROUND(Q87, 2), 2)</f>
        <v>17768.3</v>
      </c>
      <c r="U87" s="17">
        <f>S87+T87</f>
        <v>23716.37</v>
      </c>
      <c r="V87" s="9">
        <f>ROUND(P87 / 1.2, 2)</f>
        <v>155.38</v>
      </c>
      <c r="W87" s="9">
        <f>ROUND(Q87 / 1.2, 2)</f>
        <v>464.17</v>
      </c>
      <c r="X87" s="9">
        <f>ROUND(R87 / 1.2, 2)</f>
        <v>619.54999999999995</v>
      </c>
      <c r="Y87" s="9">
        <f t="shared" si="7"/>
        <v>4956.7299999999996</v>
      </c>
      <c r="Z87" s="9">
        <f>ROUND(T87 / 1.2, 2)</f>
        <v>14806.92</v>
      </c>
      <c r="AA87" s="9">
        <f>Y87+Z87</f>
        <v>19763.650000000001</v>
      </c>
      <c r="AD87" s="4">
        <v>341534368</v>
      </c>
      <c r="AE87" s="4">
        <v>28297398</v>
      </c>
      <c r="AG87" s="4" t="s">
        <v>388</v>
      </c>
      <c r="AH87" s="4" t="s">
        <v>389</v>
      </c>
      <c r="AI87" s="4" t="s">
        <v>241</v>
      </c>
    </row>
    <row r="88" spans="1:35" ht="36" x14ac:dyDescent="0.3">
      <c r="A88" s="10" t="s">
        <v>413</v>
      </c>
      <c r="B88" s="10"/>
      <c r="C88" s="35" t="s">
        <v>244</v>
      </c>
      <c r="D88" s="15"/>
      <c r="E88" s="15"/>
      <c r="F88" s="25" t="s">
        <v>76</v>
      </c>
      <c r="G88" s="26">
        <v>1.6</v>
      </c>
      <c r="H88" s="36"/>
      <c r="I88" s="36">
        <v>510.4</v>
      </c>
      <c r="J88" s="27">
        <v>9.2200000000000006</v>
      </c>
      <c r="M88" s="28">
        <f>ROUND(ROUND(J88, 2)*I88, 2)</f>
        <v>4705.8900000000003</v>
      </c>
      <c r="P88" s="29">
        <v>9.67</v>
      </c>
      <c r="S88" s="28">
        <f>ROUND(ROUND(P88, 2)*I88, 2)</f>
        <v>4935.57</v>
      </c>
      <c r="V88" s="9">
        <f>ROUND(ROUND(P88, 2)/1.2, 2)</f>
        <v>8.06</v>
      </c>
      <c r="Y88" s="9">
        <f t="shared" si="7"/>
        <v>4112.9799999999996</v>
      </c>
      <c r="AD88" s="4" t="s">
        <v>414</v>
      </c>
      <c r="AE88" s="4" t="s">
        <v>415</v>
      </c>
      <c r="AF88" s="4" t="s">
        <v>399</v>
      </c>
    </row>
    <row r="89" spans="1:35" ht="36" x14ac:dyDescent="0.3">
      <c r="A89" s="10" t="s">
        <v>416</v>
      </c>
      <c r="B89" s="10"/>
      <c r="C89" s="24" t="s">
        <v>252</v>
      </c>
      <c r="D89" s="15"/>
      <c r="E89" s="15"/>
      <c r="F89" s="25" t="s">
        <v>76</v>
      </c>
      <c r="G89" s="26">
        <v>0.255</v>
      </c>
      <c r="H89" s="26"/>
      <c r="I89" s="26">
        <v>8.1349999999999998</v>
      </c>
      <c r="J89" s="27">
        <v>90.28</v>
      </c>
      <c r="M89" s="28">
        <f>ROUND(ROUND(J89, 2)*I89, 2)</f>
        <v>734.43</v>
      </c>
      <c r="P89" s="29">
        <v>88.8</v>
      </c>
      <c r="S89" s="28">
        <f>ROUND(ROUND(P89, 2)*I89, 2)</f>
        <v>722.39</v>
      </c>
      <c r="V89" s="9">
        <f>ROUND(ROUND(P89, 2)/1.2, 2)</f>
        <v>74</v>
      </c>
      <c r="Y89" s="9">
        <f t="shared" si="7"/>
        <v>601.99</v>
      </c>
      <c r="AD89" s="4" t="s">
        <v>417</v>
      </c>
      <c r="AE89" s="4" t="s">
        <v>418</v>
      </c>
      <c r="AF89" s="4" t="s">
        <v>255</v>
      </c>
    </row>
    <row r="90" spans="1:35" ht="18" x14ac:dyDescent="0.3">
      <c r="A90" s="10" t="s">
        <v>419</v>
      </c>
      <c r="B90" s="10"/>
      <c r="C90" s="24" t="s">
        <v>303</v>
      </c>
      <c r="D90" s="15"/>
      <c r="E90" s="15"/>
      <c r="F90" s="25" t="s">
        <v>123</v>
      </c>
      <c r="G90" s="26">
        <v>1</v>
      </c>
      <c r="H90" s="36"/>
      <c r="I90" s="36">
        <v>27.9</v>
      </c>
      <c r="J90" s="27">
        <v>10.58</v>
      </c>
      <c r="M90" s="28">
        <f>ROUND(ROUND(J90, 2)*I90, 2)</f>
        <v>295.18</v>
      </c>
      <c r="P90" s="29">
        <v>10.4</v>
      </c>
      <c r="S90" s="28">
        <f>ROUND(ROUND(P90, 2)*I90, 2)</f>
        <v>290.16000000000003</v>
      </c>
      <c r="V90" s="9">
        <f>ROUND(ROUND(P90, 2)/1.2, 2)</f>
        <v>8.67</v>
      </c>
      <c r="Y90" s="9">
        <f t="shared" si="7"/>
        <v>241.8</v>
      </c>
      <c r="AD90" s="4" t="s">
        <v>420</v>
      </c>
      <c r="AE90" s="4" t="s">
        <v>421</v>
      </c>
      <c r="AF90" s="4" t="s">
        <v>306</v>
      </c>
    </row>
    <row r="91" spans="1:35" ht="16.95" customHeight="1" x14ac:dyDescent="0.3">
      <c r="A91" s="10" t="s">
        <v>422</v>
      </c>
      <c r="B91" s="10" t="s">
        <v>423</v>
      </c>
      <c r="C91" s="121" t="s">
        <v>424</v>
      </c>
      <c r="D91" s="122"/>
      <c r="E91" s="122"/>
      <c r="F91" s="122"/>
      <c r="G91" s="122"/>
      <c r="H91" s="122"/>
      <c r="I91" s="123"/>
      <c r="M91" s="6">
        <f>SUM(M92,M95,M98)</f>
        <v>0</v>
      </c>
      <c r="N91" s="6">
        <f>SUM(N92,N95,N98)</f>
        <v>0</v>
      </c>
      <c r="O91" s="6">
        <f>SUM(O92,O95,O98)</f>
        <v>0</v>
      </c>
      <c r="S91" s="6">
        <f>SUM(S92,S95,S98)</f>
        <v>0</v>
      </c>
      <c r="T91" s="6">
        <f>SUM(T92,T95,T98)</f>
        <v>0</v>
      </c>
      <c r="U91" s="6">
        <f>SUM(U92,U95,U98)</f>
        <v>0</v>
      </c>
      <c r="Y91" s="9">
        <f>SUM(Y92,Y95,Y98)</f>
        <v>0</v>
      </c>
      <c r="Z91" s="9">
        <f>SUM(Z92,Z95,Z98)</f>
        <v>0</v>
      </c>
      <c r="AA91" s="9">
        <f>SUM(AA92,AA95,AA98)</f>
        <v>0</v>
      </c>
      <c r="AD91" s="4">
        <v>341534301</v>
      </c>
      <c r="AE91" s="4">
        <v>25837350</v>
      </c>
    </row>
    <row r="92" spans="1:35" ht="36" x14ac:dyDescent="0.3">
      <c r="A92" s="10" t="s">
        <v>425</v>
      </c>
      <c r="B92" s="10" t="s">
        <v>426</v>
      </c>
      <c r="C92" s="14" t="s">
        <v>427</v>
      </c>
      <c r="D92" s="15"/>
      <c r="E92" s="15" t="s">
        <v>428</v>
      </c>
      <c r="F92" s="15" t="s">
        <v>57</v>
      </c>
      <c r="G92" s="16">
        <v>1</v>
      </c>
      <c r="H92" s="16"/>
      <c r="I92" s="16">
        <v>0</v>
      </c>
      <c r="J92" s="17">
        <v>5429.9</v>
      </c>
      <c r="K92" s="18">
        <v>439</v>
      </c>
      <c r="L92" s="17">
        <f>J92+ROUND(K92, 2)</f>
        <v>5868.9</v>
      </c>
      <c r="M92" s="17">
        <v>0</v>
      </c>
      <c r="N92" s="17">
        <v>0</v>
      </c>
      <c r="O92" s="17">
        <f>M92+N92</f>
        <v>0</v>
      </c>
      <c r="P92" s="17">
        <v>5429.9</v>
      </c>
      <c r="Q92" s="18">
        <v>439</v>
      </c>
      <c r="R92" s="17">
        <f>P92+ROUND(Q92, 2)</f>
        <v>5868.9</v>
      </c>
      <c r="S92" s="17">
        <v>0</v>
      </c>
      <c r="T92" s="17">
        <v>0</v>
      </c>
      <c r="U92" s="17">
        <f>S92+T92</f>
        <v>0</v>
      </c>
      <c r="V92" s="9">
        <f>ROUND(P92 / 1.2, 2)</f>
        <v>4524.92</v>
      </c>
      <c r="W92" s="9">
        <f>ROUND(Q92 / 1.2, 2)</f>
        <v>365.83</v>
      </c>
      <c r="X92" s="9">
        <f>ROUND(R92 / 1.2, 2)</f>
        <v>4890.75</v>
      </c>
      <c r="Y92" s="9">
        <f>ROUND(S92 / 1.2, 2)</f>
        <v>0</v>
      </c>
      <c r="Z92" s="9">
        <f>ROUND(T92 / 1.2, 2)</f>
        <v>0</v>
      </c>
      <c r="AA92" s="9">
        <f>Y92+Z92</f>
        <v>0</v>
      </c>
      <c r="AD92" s="4">
        <v>341534303</v>
      </c>
      <c r="AE92" s="4">
        <v>25837392</v>
      </c>
      <c r="AG92" s="4" t="s">
        <v>429</v>
      </c>
      <c r="AH92" s="4" t="s">
        <v>430</v>
      </c>
      <c r="AI92" s="4" t="s">
        <v>241</v>
      </c>
    </row>
    <row r="93" spans="1:35" ht="18" x14ac:dyDescent="0.3">
      <c r="A93" s="10" t="s">
        <v>432</v>
      </c>
      <c r="B93" s="10"/>
      <c r="C93" s="24" t="s">
        <v>433</v>
      </c>
      <c r="D93" s="15"/>
      <c r="E93" s="15"/>
      <c r="F93" s="25" t="s">
        <v>98</v>
      </c>
      <c r="G93" s="26">
        <v>0.1</v>
      </c>
      <c r="H93" s="36"/>
      <c r="I93" s="36">
        <v>0</v>
      </c>
      <c r="J93" s="27">
        <v>600</v>
      </c>
      <c r="M93" s="28">
        <f>ROUND(ROUND(J93, 2)*I93, 2)</f>
        <v>0</v>
      </c>
      <c r="P93" s="27">
        <v>600</v>
      </c>
      <c r="S93" s="28">
        <f>ROUND(ROUND(P93, 2)*I93, 2)</f>
        <v>0</v>
      </c>
      <c r="V93" s="9">
        <f>ROUND(ROUND(P93, 2)/1.2, 2)</f>
        <v>500</v>
      </c>
      <c r="Y93" s="9">
        <f t="shared" ref="Y93:Y99" si="8">ROUND(S93 / 1.2, 2)</f>
        <v>0</v>
      </c>
      <c r="AD93" s="4" t="s">
        <v>434</v>
      </c>
      <c r="AE93" s="4" t="s">
        <v>435</v>
      </c>
      <c r="AF93" s="4" t="s">
        <v>436</v>
      </c>
    </row>
    <row r="94" spans="1:35" ht="18" x14ac:dyDescent="0.3">
      <c r="A94" s="10" t="s">
        <v>439</v>
      </c>
      <c r="B94" s="10"/>
      <c r="C94" s="35" t="s">
        <v>440</v>
      </c>
      <c r="D94" s="15"/>
      <c r="E94" s="15"/>
      <c r="F94" s="25" t="s">
        <v>441</v>
      </c>
      <c r="G94" s="26">
        <v>1.03</v>
      </c>
      <c r="H94" s="36"/>
      <c r="I94" s="36">
        <v>0</v>
      </c>
      <c r="J94" s="27">
        <v>5213.5</v>
      </c>
      <c r="M94" s="28">
        <f>ROUND(ROUND(J94, 2)*I94, 2)</f>
        <v>0</v>
      </c>
      <c r="P94" s="27">
        <v>5213.5</v>
      </c>
      <c r="S94" s="28">
        <f>ROUND(ROUND(P94, 2)*I94, 2)</f>
        <v>0</v>
      </c>
      <c r="V94" s="9">
        <f>ROUND(ROUND(P94, 2)/1.2, 2)</f>
        <v>4344.58</v>
      </c>
      <c r="Y94" s="9">
        <f t="shared" si="8"/>
        <v>0</v>
      </c>
      <c r="AD94" s="4" t="s">
        <v>442</v>
      </c>
      <c r="AE94" s="4" t="s">
        <v>443</v>
      </c>
      <c r="AF94" s="4" t="s">
        <v>444</v>
      </c>
    </row>
    <row r="95" spans="1:35" ht="36" x14ac:dyDescent="0.3">
      <c r="A95" s="10" t="s">
        <v>447</v>
      </c>
      <c r="B95" s="10" t="s">
        <v>426</v>
      </c>
      <c r="C95" s="14" t="s">
        <v>427</v>
      </c>
      <c r="D95" s="15"/>
      <c r="E95" s="15" t="s">
        <v>448</v>
      </c>
      <c r="F95" s="15" t="s">
        <v>57</v>
      </c>
      <c r="G95" s="16">
        <v>1</v>
      </c>
      <c r="H95" s="16"/>
      <c r="I95" s="16">
        <v>0</v>
      </c>
      <c r="J95" s="17">
        <v>5429.9</v>
      </c>
      <c r="K95" s="18">
        <v>439</v>
      </c>
      <c r="L95" s="17">
        <f>J95+ROUND(K95, 2)</f>
        <v>5868.9</v>
      </c>
      <c r="M95" s="17">
        <v>0</v>
      </c>
      <c r="N95" s="17">
        <v>0</v>
      </c>
      <c r="O95" s="17">
        <f>M95+N95</f>
        <v>0</v>
      </c>
      <c r="P95" s="17">
        <v>5429.9</v>
      </c>
      <c r="Q95" s="18">
        <v>439</v>
      </c>
      <c r="R95" s="17">
        <f>P95+ROUND(Q95, 2)</f>
        <v>5868.9</v>
      </c>
      <c r="S95" s="17">
        <v>0</v>
      </c>
      <c r="T95" s="17">
        <v>0</v>
      </c>
      <c r="U95" s="17">
        <f>S95+T95</f>
        <v>0</v>
      </c>
      <c r="V95" s="9">
        <f>ROUND(P95 / 1.2, 2)</f>
        <v>4524.92</v>
      </c>
      <c r="W95" s="9">
        <f>ROUND(Q95 / 1.2, 2)</f>
        <v>365.83</v>
      </c>
      <c r="X95" s="9">
        <f>ROUND(R95 / 1.2, 2)</f>
        <v>4890.75</v>
      </c>
      <c r="Y95" s="9">
        <f t="shared" si="8"/>
        <v>0</v>
      </c>
      <c r="Z95" s="9">
        <f>ROUND(T95 / 1.2, 2)</f>
        <v>0</v>
      </c>
      <c r="AA95" s="9">
        <f>Y95+Z95</f>
        <v>0</v>
      </c>
      <c r="AD95" s="4">
        <v>341534369</v>
      </c>
      <c r="AE95" s="4">
        <v>25837377</v>
      </c>
      <c r="AG95" s="4" t="s">
        <v>429</v>
      </c>
      <c r="AH95" s="4" t="s">
        <v>430</v>
      </c>
      <c r="AI95" s="4" t="s">
        <v>241</v>
      </c>
    </row>
    <row r="96" spans="1:35" ht="18" x14ac:dyDescent="0.3">
      <c r="A96" s="10" t="s">
        <v>450</v>
      </c>
      <c r="B96" s="10"/>
      <c r="C96" s="35" t="s">
        <v>440</v>
      </c>
      <c r="D96" s="15"/>
      <c r="E96" s="15"/>
      <c r="F96" s="25" t="s">
        <v>441</v>
      </c>
      <c r="G96" s="26">
        <v>1.03</v>
      </c>
      <c r="H96" s="36"/>
      <c r="I96" s="36">
        <v>0</v>
      </c>
      <c r="J96" s="27">
        <v>5213.5</v>
      </c>
      <c r="M96" s="28">
        <f>ROUND(ROUND(J96, 2)*I96, 2)</f>
        <v>0</v>
      </c>
      <c r="P96" s="27">
        <v>5213.5</v>
      </c>
      <c r="S96" s="28">
        <f>ROUND(ROUND(P96, 2)*I96, 2)</f>
        <v>0</v>
      </c>
      <c r="V96" s="9">
        <f>ROUND(ROUND(P96, 2)/1.2, 2)</f>
        <v>4344.58</v>
      </c>
      <c r="Y96" s="9">
        <f t="shared" si="8"/>
        <v>0</v>
      </c>
      <c r="AD96" s="4" t="s">
        <v>451</v>
      </c>
      <c r="AE96" s="4" t="s">
        <v>452</v>
      </c>
      <c r="AF96" s="4" t="s">
        <v>444</v>
      </c>
    </row>
    <row r="97" spans="1:35" ht="18" x14ac:dyDescent="0.3">
      <c r="A97" s="10" t="s">
        <v>455</v>
      </c>
      <c r="B97" s="10"/>
      <c r="C97" s="24" t="s">
        <v>433</v>
      </c>
      <c r="D97" s="15"/>
      <c r="E97" s="15"/>
      <c r="F97" s="25" t="s">
        <v>98</v>
      </c>
      <c r="G97" s="26">
        <v>0.1</v>
      </c>
      <c r="H97" s="36"/>
      <c r="I97" s="36">
        <v>0</v>
      </c>
      <c r="J97" s="27">
        <v>600</v>
      </c>
      <c r="M97" s="28">
        <f>ROUND(ROUND(J97, 2)*I97, 2)</f>
        <v>0</v>
      </c>
      <c r="P97" s="27">
        <v>600</v>
      </c>
      <c r="S97" s="28">
        <f>ROUND(ROUND(P97, 2)*I97, 2)</f>
        <v>0</v>
      </c>
      <c r="V97" s="9">
        <f>ROUND(ROUND(P97, 2)/1.2, 2)</f>
        <v>500</v>
      </c>
      <c r="Y97" s="9">
        <f t="shared" si="8"/>
        <v>0</v>
      </c>
      <c r="AD97" s="4" t="s">
        <v>456</v>
      </c>
      <c r="AE97" s="4" t="s">
        <v>457</v>
      </c>
      <c r="AF97" s="4" t="s">
        <v>436</v>
      </c>
    </row>
    <row r="98" spans="1:35" ht="36" x14ac:dyDescent="0.3">
      <c r="A98" s="10" t="s">
        <v>460</v>
      </c>
      <c r="B98" s="10" t="s">
        <v>461</v>
      </c>
      <c r="C98" s="14" t="s">
        <v>462</v>
      </c>
      <c r="D98" s="15"/>
      <c r="E98" s="15" t="s">
        <v>463</v>
      </c>
      <c r="F98" s="15" t="s">
        <v>57</v>
      </c>
      <c r="G98" s="16">
        <v>1</v>
      </c>
      <c r="H98" s="16"/>
      <c r="I98" s="16">
        <v>0</v>
      </c>
      <c r="J98" s="17">
        <v>55.62</v>
      </c>
      <c r="K98" s="18">
        <v>56</v>
      </c>
      <c r="L98" s="17">
        <f>J98+ROUND(K98, 2)</f>
        <v>111.62</v>
      </c>
      <c r="M98" s="17">
        <v>0</v>
      </c>
      <c r="N98" s="17">
        <v>0</v>
      </c>
      <c r="O98" s="17">
        <f>M98+N98</f>
        <v>0</v>
      </c>
      <c r="P98" s="17">
        <v>55.62</v>
      </c>
      <c r="Q98" s="18">
        <v>56</v>
      </c>
      <c r="R98" s="17">
        <f>P98+ROUND(Q98, 2)</f>
        <v>111.62</v>
      </c>
      <c r="S98" s="17">
        <v>0</v>
      </c>
      <c r="T98" s="17">
        <v>0</v>
      </c>
      <c r="U98" s="17">
        <f>S98+T98</f>
        <v>0</v>
      </c>
      <c r="V98" s="9">
        <f>ROUND(P98 / 1.2, 2)</f>
        <v>46.35</v>
      </c>
      <c r="W98" s="9">
        <f>ROUND(Q98 / 1.2, 2)</f>
        <v>46.67</v>
      </c>
      <c r="X98" s="9">
        <f>ROUND(R98 / 1.2, 2)</f>
        <v>93.02</v>
      </c>
      <c r="Y98" s="9">
        <f t="shared" si="8"/>
        <v>0</v>
      </c>
      <c r="Z98" s="9">
        <f>ROUND(T98 / 1.2, 2)</f>
        <v>0</v>
      </c>
      <c r="AA98" s="9">
        <f>Y98+Z98</f>
        <v>0</v>
      </c>
      <c r="AD98" s="4">
        <v>341534304</v>
      </c>
      <c r="AE98" s="4">
        <v>25837407</v>
      </c>
      <c r="AG98" s="4" t="s">
        <v>464</v>
      </c>
      <c r="AH98" s="4" t="s">
        <v>465</v>
      </c>
      <c r="AI98" s="4" t="s">
        <v>241</v>
      </c>
    </row>
    <row r="99" spans="1:35" ht="54" x14ac:dyDescent="0.3">
      <c r="A99" s="10" t="s">
        <v>467</v>
      </c>
      <c r="B99" s="10"/>
      <c r="C99" s="24" t="s">
        <v>468</v>
      </c>
      <c r="D99" s="15"/>
      <c r="E99" s="15" t="s">
        <v>469</v>
      </c>
      <c r="F99" s="25" t="s">
        <v>57</v>
      </c>
      <c r="G99" s="26">
        <v>1.03</v>
      </c>
      <c r="H99" s="26"/>
      <c r="I99" s="26">
        <v>0</v>
      </c>
      <c r="J99" s="27">
        <v>54</v>
      </c>
      <c r="M99" s="28">
        <f>ROUND(ROUND(J99, 2)*I99, 2)</f>
        <v>0</v>
      </c>
      <c r="P99" s="27">
        <v>54</v>
      </c>
      <c r="S99" s="28">
        <f>ROUND(ROUND(P99, 2)*I99, 2)</f>
        <v>0</v>
      </c>
      <c r="V99" s="9">
        <f>ROUND(ROUND(P99, 2)/1.2, 2)</f>
        <v>45</v>
      </c>
      <c r="Y99" s="9">
        <f t="shared" si="8"/>
        <v>0</v>
      </c>
      <c r="AD99" s="4" t="s">
        <v>470</v>
      </c>
      <c r="AE99" s="4" t="s">
        <v>471</v>
      </c>
      <c r="AF99" s="4" t="s">
        <v>472</v>
      </c>
    </row>
    <row r="100" spans="1:35" ht="16.95" customHeight="1" x14ac:dyDescent="0.3">
      <c r="A100" s="10" t="s">
        <v>475</v>
      </c>
      <c r="B100" s="10" t="s">
        <v>476</v>
      </c>
      <c r="C100" s="121" t="s">
        <v>477</v>
      </c>
      <c r="D100" s="122"/>
      <c r="E100" s="122"/>
      <c r="F100" s="122"/>
      <c r="G100" s="122"/>
      <c r="H100" s="122"/>
      <c r="I100" s="123"/>
      <c r="M100" s="6">
        <f>SUM(M101,M106,M111,M116,M120,M123,M128,M133,M137)</f>
        <v>1530959.21</v>
      </c>
      <c r="N100" s="6">
        <f>SUM(N101,N106,N111,N116,N120,N123,N128,N133,N137)</f>
        <v>461573.28</v>
      </c>
      <c r="O100" s="6">
        <f>SUM(O101,O106,O111,O116,O120,O123,O128,O133,O137)</f>
        <v>1992532.4899999998</v>
      </c>
      <c r="S100" s="6">
        <f>SUM(S101,S106,S111,S116,S120,S123,S128,S133,S137)</f>
        <v>1646177.3</v>
      </c>
      <c r="T100" s="6">
        <f>SUM(T101,T106,T111,T116,T120,T123,T128,T133,T137)</f>
        <v>461573.28</v>
      </c>
      <c r="U100" s="6">
        <f>SUM(U101,U106,U111,U116,U120,U123,U128,U133,U137)</f>
        <v>2107750.58</v>
      </c>
      <c r="Y100" s="9">
        <f>SUM(Y101,Y106,Y111,Y116,Y120,Y123,Y128,Y133,Y137)</f>
        <v>1371814.43</v>
      </c>
      <c r="Z100" s="9">
        <f>SUM(Z101,Z106,Z111,Z116,Z120,Z123,Z128,Z133,Z137)</f>
        <v>384644.4</v>
      </c>
      <c r="AA100" s="9">
        <f>SUM(AA101,AA106,AA111,AA116,AA120,AA123,AA128,AA133,AA137)</f>
        <v>1756458.83</v>
      </c>
      <c r="AD100" s="4">
        <v>341534305</v>
      </c>
      <c r="AE100" s="4">
        <v>25837334</v>
      </c>
    </row>
    <row r="101" spans="1:35" ht="54" x14ac:dyDescent="0.3">
      <c r="A101" s="10" t="s">
        <v>478</v>
      </c>
      <c r="B101" s="10" t="s">
        <v>479</v>
      </c>
      <c r="C101" s="14" t="s">
        <v>480</v>
      </c>
      <c r="D101" s="15"/>
      <c r="E101" s="15" t="s">
        <v>481</v>
      </c>
      <c r="F101" s="15" t="s">
        <v>57</v>
      </c>
      <c r="G101" s="16">
        <v>1</v>
      </c>
      <c r="H101" s="16"/>
      <c r="I101" s="16">
        <v>0</v>
      </c>
      <c r="J101" s="17">
        <v>626.08000000000004</v>
      </c>
      <c r="K101" s="18">
        <v>1251</v>
      </c>
      <c r="L101" s="17">
        <f>J101+ROUND(K101, 2)</f>
        <v>1877.08</v>
      </c>
      <c r="M101" s="17">
        <v>0</v>
      </c>
      <c r="N101" s="17">
        <v>0</v>
      </c>
      <c r="O101" s="17">
        <f>M101+N101</f>
        <v>0</v>
      </c>
      <c r="P101" s="17">
        <v>1246.25</v>
      </c>
      <c r="Q101" s="18">
        <v>1251</v>
      </c>
      <c r="R101" s="17">
        <f>P101+ROUND(Q101, 2)</f>
        <v>2497.25</v>
      </c>
      <c r="S101" s="17">
        <v>0</v>
      </c>
      <c r="T101" s="17">
        <v>0</v>
      </c>
      <c r="U101" s="17">
        <f>S101+T101</f>
        <v>0</v>
      </c>
      <c r="V101" s="9">
        <f>ROUND(P101 / 1.2, 2)</f>
        <v>1038.54</v>
      </c>
      <c r="W101" s="9">
        <f>ROUND(Q101 / 1.2, 2)</f>
        <v>1042.5</v>
      </c>
      <c r="X101" s="9">
        <f>ROUND(R101 / 1.2, 2)</f>
        <v>2081.04</v>
      </c>
      <c r="Y101" s="9">
        <f>ROUND(S101 / 1.2, 2)</f>
        <v>0</v>
      </c>
      <c r="Z101" s="9">
        <f>ROUND(T101 / 1.2, 2)</f>
        <v>0</v>
      </c>
      <c r="AA101" s="9">
        <f>Y101+Z101</f>
        <v>0</v>
      </c>
      <c r="AD101" s="4">
        <v>341534307</v>
      </c>
      <c r="AE101" s="4">
        <v>25837379</v>
      </c>
      <c r="AG101" s="4" t="s">
        <v>482</v>
      </c>
      <c r="AH101" s="4" t="s">
        <v>483</v>
      </c>
      <c r="AI101" s="4" t="s">
        <v>241</v>
      </c>
    </row>
    <row r="102" spans="1:35" ht="36" x14ac:dyDescent="0.3">
      <c r="A102" s="10" t="s">
        <v>485</v>
      </c>
      <c r="B102" s="10"/>
      <c r="C102" s="35" t="s">
        <v>486</v>
      </c>
      <c r="D102" s="15"/>
      <c r="E102" s="15" t="s">
        <v>487</v>
      </c>
      <c r="F102" s="25" t="s">
        <v>76</v>
      </c>
      <c r="G102" s="26">
        <v>1.2</v>
      </c>
      <c r="H102" s="36"/>
      <c r="I102" s="36">
        <v>0</v>
      </c>
      <c r="J102" s="27">
        <v>6.28</v>
      </c>
      <c r="M102" s="28">
        <f>ROUND(ROUND(J102, 2)*I102, 2)</f>
        <v>0</v>
      </c>
      <c r="P102" s="27">
        <v>6.28</v>
      </c>
      <c r="S102" s="28">
        <f>ROUND(ROUND(P102, 2)*I102, 2)</f>
        <v>0</v>
      </c>
      <c r="V102" s="9">
        <f>ROUND(ROUND(P102, 2)/1.2, 2)</f>
        <v>5.23</v>
      </c>
      <c r="Y102" s="9">
        <f t="shared" ref="Y102:Y138" si="9">ROUND(S102 / 1.2, 2)</f>
        <v>0</v>
      </c>
      <c r="AD102" s="4" t="s">
        <v>488</v>
      </c>
      <c r="AE102" s="4" t="s">
        <v>489</v>
      </c>
      <c r="AF102" s="4" t="s">
        <v>490</v>
      </c>
    </row>
    <row r="103" spans="1:35" ht="72" x14ac:dyDescent="0.3">
      <c r="A103" s="10" t="s">
        <v>493</v>
      </c>
      <c r="B103" s="10"/>
      <c r="C103" s="35" t="s">
        <v>494</v>
      </c>
      <c r="D103" s="15"/>
      <c r="E103" s="15" t="s">
        <v>495</v>
      </c>
      <c r="F103" s="25" t="s">
        <v>57</v>
      </c>
      <c r="G103" s="26">
        <v>1.07</v>
      </c>
      <c r="H103" s="36"/>
      <c r="I103" s="36">
        <v>0</v>
      </c>
      <c r="J103" s="27">
        <v>504</v>
      </c>
      <c r="M103" s="28">
        <f>ROUND(ROUND(J103, 2)*I103, 2)</f>
        <v>0</v>
      </c>
      <c r="P103" s="27">
        <v>1083.5999999999999</v>
      </c>
      <c r="S103" s="28">
        <f>ROUND(ROUND(P103, 2)*I103, 2)</f>
        <v>0</v>
      </c>
      <c r="V103" s="9">
        <f>ROUND(ROUND(P103, 2)/1.2, 2)</f>
        <v>903</v>
      </c>
      <c r="Y103" s="9">
        <f t="shared" si="9"/>
        <v>0</v>
      </c>
      <c r="AD103" s="4" t="s">
        <v>496</v>
      </c>
      <c r="AE103" s="4" t="s">
        <v>497</v>
      </c>
      <c r="AF103" s="4" t="s">
        <v>498</v>
      </c>
    </row>
    <row r="104" spans="1:35" ht="18" x14ac:dyDescent="0.3">
      <c r="A104" s="10" t="s">
        <v>501</v>
      </c>
      <c r="B104" s="10"/>
      <c r="C104" s="24" t="s">
        <v>502</v>
      </c>
      <c r="D104" s="15"/>
      <c r="E104" s="15"/>
      <c r="F104" s="25" t="s">
        <v>76</v>
      </c>
      <c r="G104" s="26">
        <v>0.25</v>
      </c>
      <c r="H104" s="36"/>
      <c r="I104" s="36">
        <v>0</v>
      </c>
      <c r="J104" s="27">
        <v>40.270000000000003</v>
      </c>
      <c r="M104" s="28">
        <f>ROUND(ROUND(J104, 2)*I104, 2)</f>
        <v>0</v>
      </c>
      <c r="P104" s="27">
        <v>40.270000000000003</v>
      </c>
      <c r="S104" s="28">
        <f>ROUND(ROUND(P104, 2)*I104, 2)</f>
        <v>0</v>
      </c>
      <c r="V104" s="9">
        <f>ROUND(ROUND(P104, 2)/1.2, 2)</f>
        <v>33.56</v>
      </c>
      <c r="Y104" s="9">
        <f t="shared" si="9"/>
        <v>0</v>
      </c>
      <c r="AD104" s="4" t="s">
        <v>503</v>
      </c>
      <c r="AE104" s="4" t="s">
        <v>504</v>
      </c>
      <c r="AF104" s="4" t="s">
        <v>505</v>
      </c>
    </row>
    <row r="105" spans="1:35" ht="36" x14ac:dyDescent="0.3">
      <c r="A105" s="10" t="s">
        <v>508</v>
      </c>
      <c r="B105" s="10"/>
      <c r="C105" s="24" t="s">
        <v>509</v>
      </c>
      <c r="D105" s="15"/>
      <c r="E105" s="15"/>
      <c r="F105" s="25" t="s">
        <v>76</v>
      </c>
      <c r="G105" s="26">
        <v>0.15</v>
      </c>
      <c r="H105" s="26"/>
      <c r="I105" s="26">
        <v>0</v>
      </c>
      <c r="J105" s="27">
        <v>88.8</v>
      </c>
      <c r="M105" s="28">
        <f>ROUND(ROUND(J105, 2)*I105, 2)</f>
        <v>0</v>
      </c>
      <c r="P105" s="27">
        <v>88.8</v>
      </c>
      <c r="S105" s="28">
        <f>ROUND(ROUND(P105, 2)*I105, 2)</f>
        <v>0</v>
      </c>
      <c r="V105" s="9">
        <f>ROUND(ROUND(P105, 2)/1.2, 2)</f>
        <v>74</v>
      </c>
      <c r="Y105" s="9">
        <f t="shared" si="9"/>
        <v>0</v>
      </c>
      <c r="AD105" s="4" t="s">
        <v>510</v>
      </c>
      <c r="AE105" s="4" t="s">
        <v>511</v>
      </c>
      <c r="AF105" s="4" t="s">
        <v>512</v>
      </c>
    </row>
    <row r="106" spans="1:35" ht="54" x14ac:dyDescent="0.3">
      <c r="A106" s="10" t="s">
        <v>515</v>
      </c>
      <c r="B106" s="10" t="s">
        <v>479</v>
      </c>
      <c r="C106" s="14" t="s">
        <v>480</v>
      </c>
      <c r="D106" s="15"/>
      <c r="E106" s="15" t="s">
        <v>516</v>
      </c>
      <c r="F106" s="15" t="s">
        <v>57</v>
      </c>
      <c r="G106" s="16">
        <v>1</v>
      </c>
      <c r="H106" s="16"/>
      <c r="I106" s="16">
        <v>0</v>
      </c>
      <c r="J106" s="17">
        <v>2264.25</v>
      </c>
      <c r="K106" s="18">
        <v>1251</v>
      </c>
      <c r="L106" s="17">
        <f>J106+ROUND(K106, 2)</f>
        <v>3515.25</v>
      </c>
      <c r="M106" s="17">
        <v>0</v>
      </c>
      <c r="N106" s="17">
        <v>0</v>
      </c>
      <c r="O106" s="17">
        <f>M106+N106</f>
        <v>0</v>
      </c>
      <c r="P106" s="17">
        <v>1486.31</v>
      </c>
      <c r="Q106" s="18">
        <v>1251</v>
      </c>
      <c r="R106" s="17">
        <f>P106+ROUND(Q106, 2)</f>
        <v>2737.31</v>
      </c>
      <c r="S106" s="17">
        <v>0</v>
      </c>
      <c r="T106" s="17">
        <v>0</v>
      </c>
      <c r="U106" s="17">
        <f>S106+T106</f>
        <v>0</v>
      </c>
      <c r="V106" s="9">
        <f>ROUND(P106 / 1.2, 2)</f>
        <v>1238.5899999999999</v>
      </c>
      <c r="W106" s="9">
        <f>ROUND(Q106 / 1.2, 2)</f>
        <v>1042.5</v>
      </c>
      <c r="X106" s="9">
        <f>ROUND(R106 / 1.2, 2)</f>
        <v>2281.09</v>
      </c>
      <c r="Y106" s="9">
        <f t="shared" si="9"/>
        <v>0</v>
      </c>
      <c r="Z106" s="9">
        <f>ROUND(T106 / 1.2, 2)</f>
        <v>0</v>
      </c>
      <c r="AA106" s="9">
        <f>Y106+Z106</f>
        <v>0</v>
      </c>
      <c r="AD106" s="4">
        <v>341534370</v>
      </c>
      <c r="AE106" s="4">
        <v>25837365</v>
      </c>
      <c r="AG106" s="4" t="s">
        <v>482</v>
      </c>
      <c r="AH106" s="4" t="s">
        <v>483</v>
      </c>
      <c r="AI106" s="4" t="s">
        <v>241</v>
      </c>
    </row>
    <row r="107" spans="1:35" ht="36" x14ac:dyDescent="0.3">
      <c r="A107" s="10" t="s">
        <v>518</v>
      </c>
      <c r="B107" s="10"/>
      <c r="C107" s="24" t="s">
        <v>509</v>
      </c>
      <c r="D107" s="15"/>
      <c r="E107" s="15"/>
      <c r="F107" s="25" t="s">
        <v>76</v>
      </c>
      <c r="G107" s="26">
        <v>0.15</v>
      </c>
      <c r="H107" s="26"/>
      <c r="I107" s="26">
        <v>0</v>
      </c>
      <c r="J107" s="27">
        <v>88.8</v>
      </c>
      <c r="M107" s="28">
        <f>ROUND(ROUND(J107, 2)*I107, 2)</f>
        <v>0</v>
      </c>
      <c r="P107" s="27">
        <v>88.8</v>
      </c>
      <c r="S107" s="28">
        <f>ROUND(ROUND(P107, 2)*I107, 2)</f>
        <v>0</v>
      </c>
      <c r="V107" s="9">
        <f>ROUND(ROUND(P107, 2)/1.2, 2)</f>
        <v>74</v>
      </c>
      <c r="Y107" s="9">
        <f t="shared" si="9"/>
        <v>0</v>
      </c>
      <c r="AD107" s="4" t="s">
        <v>519</v>
      </c>
      <c r="AE107" s="4" t="s">
        <v>520</v>
      </c>
      <c r="AF107" s="4" t="s">
        <v>512</v>
      </c>
    </row>
    <row r="108" spans="1:35" ht="18" x14ac:dyDescent="0.3">
      <c r="A108" s="10" t="s">
        <v>523</v>
      </c>
      <c r="B108" s="10"/>
      <c r="C108" s="24" t="s">
        <v>502</v>
      </c>
      <c r="D108" s="15"/>
      <c r="E108" s="15"/>
      <c r="F108" s="25" t="s">
        <v>76</v>
      </c>
      <c r="G108" s="26">
        <v>0.25</v>
      </c>
      <c r="H108" s="36"/>
      <c r="I108" s="36">
        <v>0</v>
      </c>
      <c r="J108" s="27">
        <v>40.270000000000003</v>
      </c>
      <c r="M108" s="28">
        <f>ROUND(ROUND(J108, 2)*I108, 2)</f>
        <v>0</v>
      </c>
      <c r="P108" s="27">
        <v>40.270000000000003</v>
      </c>
      <c r="S108" s="28">
        <f>ROUND(ROUND(P108, 2)*I108, 2)</f>
        <v>0</v>
      </c>
      <c r="V108" s="9">
        <f>ROUND(ROUND(P108, 2)/1.2, 2)</f>
        <v>33.56</v>
      </c>
      <c r="Y108" s="9">
        <f t="shared" si="9"/>
        <v>0</v>
      </c>
      <c r="AD108" s="4" t="s">
        <v>524</v>
      </c>
      <c r="AE108" s="4" t="s">
        <v>525</v>
      </c>
      <c r="AF108" s="4" t="s">
        <v>505</v>
      </c>
    </row>
    <row r="109" spans="1:35" ht="36" x14ac:dyDescent="0.3">
      <c r="A109" s="10" t="s">
        <v>528</v>
      </c>
      <c r="B109" s="10"/>
      <c r="C109" s="35" t="s">
        <v>486</v>
      </c>
      <c r="D109" s="15"/>
      <c r="E109" s="15"/>
      <c r="F109" s="25" t="s">
        <v>76</v>
      </c>
      <c r="G109" s="26">
        <v>1.2</v>
      </c>
      <c r="H109" s="36"/>
      <c r="I109" s="36">
        <v>0</v>
      </c>
      <c r="J109" s="27">
        <v>6.28</v>
      </c>
      <c r="M109" s="28">
        <f>ROUND(ROUND(J109, 2)*I109, 2)</f>
        <v>0</v>
      </c>
      <c r="P109" s="27">
        <v>6.28</v>
      </c>
      <c r="S109" s="28">
        <f>ROUND(ROUND(P109, 2)*I109, 2)</f>
        <v>0</v>
      </c>
      <c r="V109" s="9">
        <f>ROUND(ROUND(P109, 2)/1.2, 2)</f>
        <v>5.23</v>
      </c>
      <c r="Y109" s="9">
        <f t="shared" si="9"/>
        <v>0</v>
      </c>
      <c r="AD109" s="4" t="s">
        <v>529</v>
      </c>
      <c r="AE109" s="4" t="s">
        <v>530</v>
      </c>
      <c r="AF109" s="4" t="s">
        <v>490</v>
      </c>
    </row>
    <row r="110" spans="1:35" ht="72" x14ac:dyDescent="0.3">
      <c r="A110" s="10" t="s">
        <v>533</v>
      </c>
      <c r="B110" s="10"/>
      <c r="C110" s="24" t="s">
        <v>534</v>
      </c>
      <c r="D110" s="15"/>
      <c r="E110" s="15" t="s">
        <v>535</v>
      </c>
      <c r="F110" s="25" t="s">
        <v>57</v>
      </c>
      <c r="G110" s="26">
        <v>1.07</v>
      </c>
      <c r="H110" s="36"/>
      <c r="I110" s="36">
        <v>0</v>
      </c>
      <c r="J110" s="27">
        <v>2059.0500000000002</v>
      </c>
      <c r="M110" s="28">
        <f>ROUND(ROUND(J110, 2)*I110, 2)</f>
        <v>0</v>
      </c>
      <c r="P110" s="27">
        <v>1332</v>
      </c>
      <c r="S110" s="28">
        <f>ROUND(ROUND(P110, 2)*I110, 2)</f>
        <v>0</v>
      </c>
      <c r="V110" s="9">
        <f>ROUND(ROUND(P110, 2)/1.2, 2)</f>
        <v>1110</v>
      </c>
      <c r="Y110" s="9">
        <f t="shared" si="9"/>
        <v>0</v>
      </c>
      <c r="AD110" s="4" t="s">
        <v>536</v>
      </c>
      <c r="AE110" s="4" t="s">
        <v>537</v>
      </c>
      <c r="AF110" s="4" t="s">
        <v>538</v>
      </c>
    </row>
    <row r="111" spans="1:35" ht="54" x14ac:dyDescent="0.3">
      <c r="A111" s="10" t="s">
        <v>541</v>
      </c>
      <c r="B111" s="10" t="s">
        <v>479</v>
      </c>
      <c r="C111" s="14" t="s">
        <v>480</v>
      </c>
      <c r="D111" s="15"/>
      <c r="E111" s="15" t="s">
        <v>542</v>
      </c>
      <c r="F111" s="15" t="s">
        <v>57</v>
      </c>
      <c r="G111" s="16">
        <v>1</v>
      </c>
      <c r="H111" s="16"/>
      <c r="I111" s="16">
        <v>0</v>
      </c>
      <c r="J111" s="17">
        <v>1996.86</v>
      </c>
      <c r="K111" s="18">
        <v>1251</v>
      </c>
      <c r="L111" s="17">
        <f>J111+ROUND(K111, 2)</f>
        <v>3247.8599999999997</v>
      </c>
      <c r="M111" s="17">
        <v>0</v>
      </c>
      <c r="N111" s="17">
        <v>0</v>
      </c>
      <c r="O111" s="17">
        <f>M111+N111</f>
        <v>0</v>
      </c>
      <c r="P111" s="17">
        <v>1211.95</v>
      </c>
      <c r="Q111" s="18">
        <v>1251</v>
      </c>
      <c r="R111" s="17">
        <f>P111+ROUND(Q111, 2)</f>
        <v>2462.9499999999998</v>
      </c>
      <c r="S111" s="17">
        <v>0</v>
      </c>
      <c r="T111" s="17">
        <v>0</v>
      </c>
      <c r="U111" s="17">
        <f>S111+T111</f>
        <v>0</v>
      </c>
      <c r="V111" s="9">
        <f>ROUND(P111 / 1.2, 2)</f>
        <v>1009.96</v>
      </c>
      <c r="W111" s="9">
        <f>ROUND(Q111 / 1.2, 2)</f>
        <v>1042.5</v>
      </c>
      <c r="X111" s="9">
        <f>ROUND(R111 / 1.2, 2)</f>
        <v>2052.46</v>
      </c>
      <c r="Y111" s="9">
        <f t="shared" si="9"/>
        <v>0</v>
      </c>
      <c r="Z111" s="9">
        <f>ROUND(T111 / 1.2, 2)</f>
        <v>0</v>
      </c>
      <c r="AA111" s="9">
        <f>Y111+Z111</f>
        <v>0</v>
      </c>
      <c r="AD111" s="4">
        <v>341534371</v>
      </c>
      <c r="AE111" s="4">
        <v>25837383</v>
      </c>
      <c r="AG111" s="4" t="s">
        <v>482</v>
      </c>
      <c r="AH111" s="4" t="s">
        <v>483</v>
      </c>
      <c r="AI111" s="4" t="s">
        <v>241</v>
      </c>
    </row>
    <row r="112" spans="1:35" ht="36" x14ac:dyDescent="0.3">
      <c r="A112" s="10" t="s">
        <v>544</v>
      </c>
      <c r="B112" s="10"/>
      <c r="C112" s="24" t="s">
        <v>509</v>
      </c>
      <c r="D112" s="15"/>
      <c r="E112" s="15"/>
      <c r="F112" s="25" t="s">
        <v>76</v>
      </c>
      <c r="G112" s="26">
        <v>0.15</v>
      </c>
      <c r="H112" s="26"/>
      <c r="I112" s="26">
        <v>0</v>
      </c>
      <c r="J112" s="27">
        <v>88.8</v>
      </c>
      <c r="M112" s="28">
        <f>ROUND(ROUND(J112, 2)*I112, 2)</f>
        <v>0</v>
      </c>
      <c r="P112" s="27">
        <v>88.8</v>
      </c>
      <c r="S112" s="28">
        <f>ROUND(ROUND(P112, 2)*I112, 2)</f>
        <v>0</v>
      </c>
      <c r="V112" s="9">
        <f>ROUND(ROUND(P112, 2)/1.2, 2)</f>
        <v>74</v>
      </c>
      <c r="Y112" s="9">
        <f t="shared" si="9"/>
        <v>0</v>
      </c>
      <c r="AD112" s="4" t="s">
        <v>545</v>
      </c>
      <c r="AE112" s="4" t="s">
        <v>546</v>
      </c>
      <c r="AF112" s="4" t="s">
        <v>512</v>
      </c>
    </row>
    <row r="113" spans="1:35" ht="18" x14ac:dyDescent="0.3">
      <c r="A113" s="10" t="s">
        <v>549</v>
      </c>
      <c r="B113" s="10"/>
      <c r="C113" s="24" t="s">
        <v>502</v>
      </c>
      <c r="D113" s="15"/>
      <c r="E113" s="15"/>
      <c r="F113" s="25" t="s">
        <v>76</v>
      </c>
      <c r="G113" s="26">
        <v>0.25</v>
      </c>
      <c r="H113" s="36"/>
      <c r="I113" s="36">
        <v>0</v>
      </c>
      <c r="J113" s="27">
        <v>40.270000000000003</v>
      </c>
      <c r="M113" s="28">
        <f>ROUND(ROUND(J113, 2)*I113, 2)</f>
        <v>0</v>
      </c>
      <c r="P113" s="27">
        <v>6</v>
      </c>
      <c r="S113" s="28">
        <f>ROUND(ROUND(P113, 2)*I113, 2)</f>
        <v>0</v>
      </c>
      <c r="V113" s="9">
        <f>ROUND(ROUND(P113, 2)/1.2, 2)</f>
        <v>5</v>
      </c>
      <c r="Y113" s="9">
        <f t="shared" si="9"/>
        <v>0</v>
      </c>
      <c r="AD113" s="4" t="s">
        <v>550</v>
      </c>
      <c r="AE113" s="4" t="s">
        <v>551</v>
      </c>
      <c r="AF113" s="4" t="s">
        <v>505</v>
      </c>
    </row>
    <row r="114" spans="1:35" ht="108" x14ac:dyDescent="0.3">
      <c r="A114" s="10" t="s">
        <v>554</v>
      </c>
      <c r="B114" s="10"/>
      <c r="C114" s="24" t="s">
        <v>555</v>
      </c>
      <c r="D114" s="15"/>
      <c r="E114" s="15" t="s">
        <v>556</v>
      </c>
      <c r="F114" s="25" t="s">
        <v>57</v>
      </c>
      <c r="G114" s="26">
        <v>1.07</v>
      </c>
      <c r="H114" s="36"/>
      <c r="I114" s="36">
        <v>0</v>
      </c>
      <c r="J114" s="27">
        <v>1809.15</v>
      </c>
      <c r="M114" s="28">
        <f>ROUND(ROUND(J114, 2)*I114, 2)</f>
        <v>0</v>
      </c>
      <c r="P114" s="27">
        <v>1083.5999999999999</v>
      </c>
      <c r="S114" s="28">
        <f>ROUND(ROUND(P114, 2)*I114, 2)</f>
        <v>0</v>
      </c>
      <c r="V114" s="9">
        <f>ROUND(ROUND(P114, 2)/1.2, 2)</f>
        <v>903</v>
      </c>
      <c r="Y114" s="9">
        <f t="shared" si="9"/>
        <v>0</v>
      </c>
      <c r="AD114" s="4" t="s">
        <v>557</v>
      </c>
      <c r="AE114" s="4" t="s">
        <v>558</v>
      </c>
      <c r="AF114" s="4" t="s">
        <v>559</v>
      </c>
    </row>
    <row r="115" spans="1:35" ht="36" x14ac:dyDescent="0.3">
      <c r="A115" s="10" t="s">
        <v>562</v>
      </c>
      <c r="B115" s="10"/>
      <c r="C115" s="35" t="s">
        <v>486</v>
      </c>
      <c r="D115" s="15"/>
      <c r="E115" s="15" t="s">
        <v>487</v>
      </c>
      <c r="F115" s="25" t="s">
        <v>76</v>
      </c>
      <c r="G115" s="26">
        <v>1.2</v>
      </c>
      <c r="H115" s="36"/>
      <c r="I115" s="36">
        <v>0</v>
      </c>
      <c r="J115" s="27">
        <v>6.28</v>
      </c>
      <c r="M115" s="28">
        <f>ROUND(ROUND(J115, 2)*I115, 2)</f>
        <v>0</v>
      </c>
      <c r="P115" s="27">
        <v>6.28</v>
      </c>
      <c r="S115" s="28">
        <f>ROUND(ROUND(P115, 2)*I115, 2)</f>
        <v>0</v>
      </c>
      <c r="V115" s="9">
        <f>ROUND(ROUND(P115, 2)/1.2, 2)</f>
        <v>5.23</v>
      </c>
      <c r="Y115" s="9">
        <f t="shared" si="9"/>
        <v>0</v>
      </c>
      <c r="AD115" s="4" t="s">
        <v>563</v>
      </c>
      <c r="AE115" s="4" t="s">
        <v>564</v>
      </c>
      <c r="AF115" s="4" t="s">
        <v>490</v>
      </c>
    </row>
    <row r="116" spans="1:35" ht="36" x14ac:dyDescent="0.3">
      <c r="A116" s="10" t="s">
        <v>567</v>
      </c>
      <c r="B116" s="10" t="s">
        <v>568</v>
      </c>
      <c r="C116" s="14" t="s">
        <v>569</v>
      </c>
      <c r="D116" s="15" t="s">
        <v>570</v>
      </c>
      <c r="E116" s="15" t="s">
        <v>571</v>
      </c>
      <c r="F116" s="15" t="s">
        <v>57</v>
      </c>
      <c r="G116" s="16">
        <v>1</v>
      </c>
      <c r="H116" s="16"/>
      <c r="I116" s="16">
        <v>891.74</v>
      </c>
      <c r="J116" s="17">
        <v>1608.47</v>
      </c>
      <c r="K116" s="18">
        <v>412</v>
      </c>
      <c r="L116" s="17">
        <f>J116+ROUND(K116, 2)</f>
        <v>2020.47</v>
      </c>
      <c r="M116" s="17">
        <v>1434337.04</v>
      </c>
      <c r="N116" s="17">
        <v>367396.88</v>
      </c>
      <c r="O116" s="17">
        <f>M116+N116</f>
        <v>1801733.92</v>
      </c>
      <c r="P116" s="17">
        <v>1608.47</v>
      </c>
      <c r="Q116" s="18">
        <v>412</v>
      </c>
      <c r="R116" s="17">
        <f>P116+ROUND(Q116, 2)</f>
        <v>2020.47</v>
      </c>
      <c r="S116" s="17">
        <v>1434337.04</v>
      </c>
      <c r="T116" s="17">
        <v>367396.88</v>
      </c>
      <c r="U116" s="17">
        <f>S116+T116</f>
        <v>1801733.92</v>
      </c>
      <c r="V116" s="9">
        <f>ROUND(P116 / 1.2, 2)</f>
        <v>1340.39</v>
      </c>
      <c r="W116" s="9">
        <f>ROUND(Q116 / 1.2, 2)</f>
        <v>343.33</v>
      </c>
      <c r="X116" s="9">
        <f>ROUND(R116 / 1.2, 2)</f>
        <v>1683.73</v>
      </c>
      <c r="Y116" s="9">
        <f t="shared" si="9"/>
        <v>1195280.8700000001</v>
      </c>
      <c r="Z116" s="9">
        <f>ROUND(T116 / 1.2, 2)</f>
        <v>306164.07</v>
      </c>
      <c r="AA116" s="9">
        <f>Y116+Z116</f>
        <v>1501444.9400000002</v>
      </c>
      <c r="AD116" s="4">
        <v>341534309</v>
      </c>
      <c r="AE116" s="4">
        <v>25837391</v>
      </c>
      <c r="AG116" s="4" t="s">
        <v>572</v>
      </c>
      <c r="AH116" s="4" t="s">
        <v>573</v>
      </c>
      <c r="AI116" s="4" t="s">
        <v>241</v>
      </c>
    </row>
    <row r="117" spans="1:35" ht="36" x14ac:dyDescent="0.3">
      <c r="A117" s="10" t="s">
        <v>575</v>
      </c>
      <c r="B117" s="10"/>
      <c r="C117" s="24" t="s">
        <v>576</v>
      </c>
      <c r="D117" s="15"/>
      <c r="E117" s="15" t="s">
        <v>577</v>
      </c>
      <c r="F117" s="25" t="s">
        <v>76</v>
      </c>
      <c r="G117" s="26">
        <v>0.3</v>
      </c>
      <c r="H117" s="26"/>
      <c r="I117" s="26">
        <v>267.52199999999999</v>
      </c>
      <c r="J117" s="27">
        <v>341.05</v>
      </c>
      <c r="M117" s="28">
        <f>ROUND(ROUND(J117, 2)*I117, 2)</f>
        <v>91238.38</v>
      </c>
      <c r="P117" s="27">
        <v>341.05</v>
      </c>
      <c r="S117" s="28">
        <f>ROUND(ROUND(P117, 2)*I117, 2)</f>
        <v>91238.38</v>
      </c>
      <c r="V117" s="9">
        <f>ROUND(ROUND(P117, 2)/1.2, 2)</f>
        <v>284.20999999999998</v>
      </c>
      <c r="Y117" s="9">
        <f t="shared" si="9"/>
        <v>76031.98</v>
      </c>
      <c r="AD117" s="4" t="s">
        <v>578</v>
      </c>
      <c r="AE117" s="4" t="s">
        <v>579</v>
      </c>
      <c r="AF117" s="4" t="s">
        <v>580</v>
      </c>
    </row>
    <row r="118" spans="1:35" ht="72" x14ac:dyDescent="0.3">
      <c r="A118" s="10" t="s">
        <v>583</v>
      </c>
      <c r="B118" s="10"/>
      <c r="C118" s="24" t="s">
        <v>584</v>
      </c>
      <c r="D118" s="15"/>
      <c r="E118" s="15"/>
      <c r="F118" s="25" t="s">
        <v>123</v>
      </c>
      <c r="G118" s="26">
        <v>1</v>
      </c>
      <c r="H118" s="36"/>
      <c r="I118" s="36">
        <v>891.74</v>
      </c>
      <c r="J118" s="27">
        <v>33.25</v>
      </c>
      <c r="M118" s="28">
        <f>ROUND(ROUND(J118, 2)*I118, 2)</f>
        <v>29650.36</v>
      </c>
      <c r="P118" s="27">
        <v>33.25</v>
      </c>
      <c r="S118" s="28">
        <f>ROUND(ROUND(P118, 2)*I118, 2)</f>
        <v>29650.36</v>
      </c>
      <c r="V118" s="9">
        <f>ROUND(ROUND(P118, 2)/1.2, 2)</f>
        <v>27.71</v>
      </c>
      <c r="Y118" s="9">
        <f t="shared" si="9"/>
        <v>24708.63</v>
      </c>
      <c r="AD118" s="4" t="s">
        <v>585</v>
      </c>
      <c r="AE118" s="4" t="s">
        <v>586</v>
      </c>
      <c r="AF118" s="4" t="s">
        <v>587</v>
      </c>
    </row>
    <row r="119" spans="1:35" ht="54" x14ac:dyDescent="0.3">
      <c r="A119" s="10" t="s">
        <v>590</v>
      </c>
      <c r="B119" s="10"/>
      <c r="C119" s="24" t="s">
        <v>591</v>
      </c>
      <c r="D119" s="15"/>
      <c r="E119" s="15"/>
      <c r="F119" s="25" t="s">
        <v>57</v>
      </c>
      <c r="G119" s="26">
        <v>1.1000000000000001</v>
      </c>
      <c r="H119" s="36"/>
      <c r="I119" s="36">
        <v>980.91399999999999</v>
      </c>
      <c r="J119" s="27">
        <v>1339</v>
      </c>
      <c r="M119" s="28">
        <f>ROUND(ROUND(J119, 2)*I119, 2)</f>
        <v>1313443.8500000001</v>
      </c>
      <c r="P119" s="27">
        <v>1339</v>
      </c>
      <c r="S119" s="28">
        <f>ROUND(ROUND(P119, 2)*I119, 2)</f>
        <v>1313443.8500000001</v>
      </c>
      <c r="V119" s="9">
        <f>ROUND(ROUND(P119, 2)/1.2, 2)</f>
        <v>1115.83</v>
      </c>
      <c r="Y119" s="9">
        <f t="shared" si="9"/>
        <v>1094536.54</v>
      </c>
      <c r="AD119" s="4" t="s">
        <v>592</v>
      </c>
      <c r="AE119" s="4" t="s">
        <v>593</v>
      </c>
      <c r="AF119" s="4" t="s">
        <v>594</v>
      </c>
    </row>
    <row r="120" spans="1:35" ht="18" x14ac:dyDescent="0.3">
      <c r="A120" s="10" t="s">
        <v>597</v>
      </c>
      <c r="B120" s="10" t="s">
        <v>598</v>
      </c>
      <c r="C120" s="14" t="s">
        <v>599</v>
      </c>
      <c r="D120" s="15"/>
      <c r="E120" s="15" t="s">
        <v>600</v>
      </c>
      <c r="F120" s="15" t="s">
        <v>123</v>
      </c>
      <c r="G120" s="16">
        <v>1</v>
      </c>
      <c r="H120" s="16"/>
      <c r="I120" s="16">
        <v>0</v>
      </c>
      <c r="J120" s="17">
        <v>104.52</v>
      </c>
      <c r="K120" s="18">
        <v>200</v>
      </c>
      <c r="L120" s="17">
        <f>J120+ROUND(K120, 2)</f>
        <v>304.52</v>
      </c>
      <c r="M120" s="17">
        <v>0</v>
      </c>
      <c r="N120" s="17">
        <v>0</v>
      </c>
      <c r="O120" s="17">
        <f>M120+N120</f>
        <v>0</v>
      </c>
      <c r="P120" s="17">
        <v>104.52</v>
      </c>
      <c r="Q120" s="18">
        <v>200</v>
      </c>
      <c r="R120" s="17">
        <f>P120+ROUND(Q120, 2)</f>
        <v>304.52</v>
      </c>
      <c r="S120" s="17">
        <v>0</v>
      </c>
      <c r="T120" s="17">
        <v>0</v>
      </c>
      <c r="U120" s="17">
        <f>S120+T120</f>
        <v>0</v>
      </c>
      <c r="V120" s="9">
        <f>ROUND(P120 / 1.2, 2)</f>
        <v>87.1</v>
      </c>
      <c r="W120" s="9">
        <f>ROUND(Q120 / 1.2, 2)</f>
        <v>166.67</v>
      </c>
      <c r="X120" s="9">
        <f>ROUND(R120 / 1.2, 2)</f>
        <v>253.77</v>
      </c>
      <c r="Y120" s="9">
        <f t="shared" si="9"/>
        <v>0</v>
      </c>
      <c r="Z120" s="9">
        <f>ROUND(T120 / 1.2, 2)</f>
        <v>0</v>
      </c>
      <c r="AA120" s="9">
        <f>Y120+Z120</f>
        <v>0</v>
      </c>
      <c r="AD120" s="4">
        <v>341534311</v>
      </c>
      <c r="AE120" s="4">
        <v>25837373</v>
      </c>
      <c r="AG120" s="4" t="s">
        <v>601</v>
      </c>
      <c r="AH120" s="4" t="s">
        <v>602</v>
      </c>
      <c r="AI120" s="4" t="s">
        <v>241</v>
      </c>
    </row>
    <row r="121" spans="1:35" ht="36" x14ac:dyDescent="0.3">
      <c r="A121" s="10" t="s">
        <v>604</v>
      </c>
      <c r="B121" s="10"/>
      <c r="C121" s="24" t="s">
        <v>605</v>
      </c>
      <c r="D121" s="15"/>
      <c r="E121" s="15"/>
      <c r="F121" s="25" t="s">
        <v>123</v>
      </c>
      <c r="G121" s="26">
        <v>1.05</v>
      </c>
      <c r="H121" s="36"/>
      <c r="I121" s="36">
        <v>0</v>
      </c>
      <c r="J121" s="27">
        <v>90.97</v>
      </c>
      <c r="M121" s="28">
        <f>ROUND(ROUND(J121, 2)*I121, 2)</f>
        <v>0</v>
      </c>
      <c r="P121" s="27">
        <v>90.97</v>
      </c>
      <c r="S121" s="28">
        <f>ROUND(ROUND(P121, 2)*I121, 2)</f>
        <v>0</v>
      </c>
      <c r="V121" s="9">
        <f>ROUND(ROUND(P121, 2)/1.2, 2)</f>
        <v>75.81</v>
      </c>
      <c r="Y121" s="9">
        <f t="shared" si="9"/>
        <v>0</v>
      </c>
      <c r="AD121" s="4" t="s">
        <v>606</v>
      </c>
      <c r="AE121" s="4" t="s">
        <v>607</v>
      </c>
      <c r="AF121" s="4" t="s">
        <v>608</v>
      </c>
    </row>
    <row r="122" spans="1:35" ht="18" x14ac:dyDescent="0.3">
      <c r="A122" s="10" t="s">
        <v>611</v>
      </c>
      <c r="B122" s="10"/>
      <c r="C122" s="24" t="s">
        <v>612</v>
      </c>
      <c r="D122" s="15"/>
      <c r="E122" s="15"/>
      <c r="F122" s="25" t="s">
        <v>98</v>
      </c>
      <c r="G122" s="64">
        <v>0.09</v>
      </c>
      <c r="H122" s="26"/>
      <c r="I122" s="26">
        <v>0</v>
      </c>
      <c r="J122" s="27">
        <v>100</v>
      </c>
      <c r="M122" s="28">
        <f>ROUND(ROUND(J122, 2)*I122, 2)</f>
        <v>0</v>
      </c>
      <c r="P122" s="27">
        <v>100</v>
      </c>
      <c r="S122" s="28">
        <f>ROUND(ROUND(P122, 2)*I122, 2)</f>
        <v>0</v>
      </c>
      <c r="V122" s="9">
        <f>ROUND(ROUND(P122, 2)/1.2, 2)</f>
        <v>83.33</v>
      </c>
      <c r="Y122" s="9">
        <f t="shared" si="9"/>
        <v>0</v>
      </c>
      <c r="AD122" s="4" t="s">
        <v>613</v>
      </c>
      <c r="AE122" s="4" t="s">
        <v>614</v>
      </c>
      <c r="AF122" s="4" t="s">
        <v>615</v>
      </c>
    </row>
    <row r="123" spans="1:35" ht="54" x14ac:dyDescent="0.3">
      <c r="A123" s="10" t="s">
        <v>618</v>
      </c>
      <c r="B123" s="10" t="s">
        <v>619</v>
      </c>
      <c r="C123" s="14" t="s">
        <v>620</v>
      </c>
      <c r="D123" s="15"/>
      <c r="E123" s="15" t="s">
        <v>621</v>
      </c>
      <c r="F123" s="15" t="s">
        <v>123</v>
      </c>
      <c r="G123" s="16">
        <v>1</v>
      </c>
      <c r="H123" s="16"/>
      <c r="I123" s="16">
        <v>0</v>
      </c>
      <c r="J123" s="17">
        <v>367.98</v>
      </c>
      <c r="K123" s="18">
        <v>374</v>
      </c>
      <c r="L123" s="17">
        <f>J123+ROUND(K123, 2)</f>
        <v>741.98</v>
      </c>
      <c r="M123" s="17">
        <v>0</v>
      </c>
      <c r="N123" s="17">
        <v>0</v>
      </c>
      <c r="O123" s="17">
        <f>M123+N123</f>
        <v>0</v>
      </c>
      <c r="P123" s="17">
        <v>367.98</v>
      </c>
      <c r="Q123" s="18">
        <v>374</v>
      </c>
      <c r="R123" s="17">
        <f>P123+ROUND(Q123, 2)</f>
        <v>741.98</v>
      </c>
      <c r="S123" s="17">
        <v>0</v>
      </c>
      <c r="T123" s="17">
        <v>0</v>
      </c>
      <c r="U123" s="17">
        <f>S123+T123</f>
        <v>0</v>
      </c>
      <c r="V123" s="9">
        <f>ROUND(P123 / 1.2, 2)</f>
        <v>306.64999999999998</v>
      </c>
      <c r="W123" s="9">
        <f>ROUND(Q123 / 1.2, 2)</f>
        <v>311.67</v>
      </c>
      <c r="X123" s="9">
        <f>ROUND(R123 / 1.2, 2)</f>
        <v>618.32000000000005</v>
      </c>
      <c r="Y123" s="9">
        <f t="shared" si="9"/>
        <v>0</v>
      </c>
      <c r="Z123" s="9">
        <f>ROUND(T123 / 1.2, 2)</f>
        <v>0</v>
      </c>
      <c r="AA123" s="9">
        <f>Y123+Z123</f>
        <v>0</v>
      </c>
      <c r="AD123" s="4">
        <v>341534313</v>
      </c>
      <c r="AE123" s="4">
        <v>25837384</v>
      </c>
      <c r="AG123" s="4" t="s">
        <v>622</v>
      </c>
      <c r="AH123" s="4" t="s">
        <v>623</v>
      </c>
      <c r="AI123" s="4" t="s">
        <v>241</v>
      </c>
    </row>
    <row r="124" spans="1:35" ht="144" x14ac:dyDescent="0.3">
      <c r="A124" s="10" t="s">
        <v>625</v>
      </c>
      <c r="B124" s="10"/>
      <c r="C124" s="24" t="s">
        <v>626</v>
      </c>
      <c r="D124" s="15"/>
      <c r="E124" s="15" t="s">
        <v>627</v>
      </c>
      <c r="F124" s="25" t="s">
        <v>98</v>
      </c>
      <c r="G124" s="26">
        <v>1.84</v>
      </c>
      <c r="H124" s="26"/>
      <c r="I124" s="26">
        <v>0</v>
      </c>
      <c r="J124" s="27">
        <v>196</v>
      </c>
      <c r="M124" s="28">
        <f>ROUND(ROUND(J124, 2)*I124, 2)</f>
        <v>0</v>
      </c>
      <c r="P124" s="27">
        <v>196</v>
      </c>
      <c r="S124" s="28">
        <f>ROUND(ROUND(P124, 2)*I124, 2)</f>
        <v>0</v>
      </c>
      <c r="V124" s="9">
        <f>ROUND(ROUND(P124, 2)/1.2, 2)</f>
        <v>163.33000000000001</v>
      </c>
      <c r="Y124" s="9">
        <f t="shared" si="9"/>
        <v>0</v>
      </c>
      <c r="AD124" s="4" t="s">
        <v>628</v>
      </c>
      <c r="AE124" s="4" t="s">
        <v>629</v>
      </c>
      <c r="AF124" s="4" t="s">
        <v>630</v>
      </c>
    </row>
    <row r="125" spans="1:35" ht="36" x14ac:dyDescent="0.3">
      <c r="A125" s="10" t="s">
        <v>633</v>
      </c>
      <c r="B125" s="10"/>
      <c r="C125" s="35" t="s">
        <v>634</v>
      </c>
      <c r="D125" s="15"/>
      <c r="E125" s="15"/>
      <c r="F125" s="25" t="s">
        <v>76</v>
      </c>
      <c r="G125" s="26">
        <v>0.7</v>
      </c>
      <c r="H125" s="36"/>
      <c r="I125" s="36">
        <v>0</v>
      </c>
      <c r="J125" s="27">
        <v>6.28</v>
      </c>
      <c r="M125" s="28">
        <f>ROUND(ROUND(J125, 2)*I125, 2)</f>
        <v>0</v>
      </c>
      <c r="P125" s="27">
        <v>6.28</v>
      </c>
      <c r="S125" s="28">
        <f>ROUND(ROUND(P125, 2)*I125, 2)</f>
        <v>0</v>
      </c>
      <c r="V125" s="9">
        <f>ROUND(ROUND(P125, 2)/1.2, 2)</f>
        <v>5.23</v>
      </c>
      <c r="Y125" s="9">
        <f t="shared" si="9"/>
        <v>0</v>
      </c>
      <c r="AD125" s="4" t="s">
        <v>635</v>
      </c>
      <c r="AE125" s="4" t="s">
        <v>636</v>
      </c>
      <c r="AF125" s="4" t="s">
        <v>637</v>
      </c>
    </row>
    <row r="126" spans="1:35" ht="18" x14ac:dyDescent="0.3">
      <c r="A126" s="10" t="s">
        <v>640</v>
      </c>
      <c r="B126" s="10"/>
      <c r="C126" s="24" t="s">
        <v>502</v>
      </c>
      <c r="D126" s="15"/>
      <c r="E126" s="15"/>
      <c r="F126" s="25" t="s">
        <v>76</v>
      </c>
      <c r="G126" s="26">
        <v>0.04</v>
      </c>
      <c r="H126" s="26"/>
      <c r="I126" s="26">
        <v>0</v>
      </c>
      <c r="J126" s="27">
        <v>40.270000000000003</v>
      </c>
      <c r="M126" s="28">
        <f>ROUND(ROUND(J126, 2)*I126, 2)</f>
        <v>0</v>
      </c>
      <c r="P126" s="27">
        <v>40.270000000000003</v>
      </c>
      <c r="S126" s="28">
        <f>ROUND(ROUND(P126, 2)*I126, 2)</f>
        <v>0</v>
      </c>
      <c r="V126" s="9">
        <f>ROUND(ROUND(P126, 2)/1.2, 2)</f>
        <v>33.56</v>
      </c>
      <c r="Y126" s="9">
        <f t="shared" si="9"/>
        <v>0</v>
      </c>
      <c r="AD126" s="4" t="s">
        <v>641</v>
      </c>
      <c r="AE126" s="4" t="s">
        <v>642</v>
      </c>
      <c r="AF126" s="4" t="s">
        <v>505</v>
      </c>
    </row>
    <row r="127" spans="1:35" ht="36" x14ac:dyDescent="0.3">
      <c r="A127" s="10" t="s">
        <v>645</v>
      </c>
      <c r="B127" s="10"/>
      <c r="C127" s="24" t="s">
        <v>509</v>
      </c>
      <c r="D127" s="15"/>
      <c r="E127" s="15"/>
      <c r="F127" s="25" t="s">
        <v>76</v>
      </c>
      <c r="G127" s="26">
        <v>1.4999999999999999E-2</v>
      </c>
      <c r="H127" s="26"/>
      <c r="I127" s="26">
        <v>0</v>
      </c>
      <c r="J127" s="27">
        <v>88.8</v>
      </c>
      <c r="M127" s="28">
        <f>ROUND(ROUND(J127, 2)*I127, 2)</f>
        <v>0</v>
      </c>
      <c r="P127" s="27">
        <v>88.8</v>
      </c>
      <c r="S127" s="28">
        <f>ROUND(ROUND(P127, 2)*I127, 2)</f>
        <v>0</v>
      </c>
      <c r="V127" s="9">
        <f>ROUND(ROUND(P127, 2)/1.2, 2)</f>
        <v>74</v>
      </c>
      <c r="Y127" s="9">
        <f t="shared" si="9"/>
        <v>0</v>
      </c>
      <c r="AD127" s="4" t="s">
        <v>646</v>
      </c>
      <c r="AE127" s="4" t="s">
        <v>647</v>
      </c>
      <c r="AF127" s="4" t="s">
        <v>512</v>
      </c>
    </row>
    <row r="128" spans="1:35" ht="54" x14ac:dyDescent="0.3">
      <c r="A128" s="10" t="s">
        <v>650</v>
      </c>
      <c r="B128" s="10" t="s">
        <v>619</v>
      </c>
      <c r="C128" s="14" t="s">
        <v>620</v>
      </c>
      <c r="D128" s="15"/>
      <c r="E128" s="15" t="s">
        <v>364</v>
      </c>
      <c r="F128" s="15" t="s">
        <v>123</v>
      </c>
      <c r="G128" s="16">
        <v>1</v>
      </c>
      <c r="H128" s="16"/>
      <c r="I128" s="16">
        <v>0</v>
      </c>
      <c r="J128" s="17">
        <v>118.73</v>
      </c>
      <c r="K128" s="18">
        <v>374</v>
      </c>
      <c r="L128" s="17">
        <f>J128+ROUND(K128, 2)</f>
        <v>492.73</v>
      </c>
      <c r="M128" s="17">
        <v>0</v>
      </c>
      <c r="N128" s="17">
        <v>0</v>
      </c>
      <c r="O128" s="17">
        <f>M128+N128</f>
        <v>0</v>
      </c>
      <c r="P128" s="17">
        <v>118.73</v>
      </c>
      <c r="Q128" s="18">
        <v>374</v>
      </c>
      <c r="R128" s="17">
        <f>P128+ROUND(Q128, 2)</f>
        <v>492.73</v>
      </c>
      <c r="S128" s="17">
        <v>0</v>
      </c>
      <c r="T128" s="17">
        <v>0</v>
      </c>
      <c r="U128" s="17">
        <f>S128+T128</f>
        <v>0</v>
      </c>
      <c r="V128" s="9">
        <f>ROUND(P128 / 1.2, 2)</f>
        <v>98.94</v>
      </c>
      <c r="W128" s="9">
        <f>ROUND(Q128 / 1.2, 2)</f>
        <v>311.67</v>
      </c>
      <c r="X128" s="9">
        <f>ROUND(R128 / 1.2, 2)</f>
        <v>410.61</v>
      </c>
      <c r="Y128" s="9">
        <f t="shared" si="9"/>
        <v>0</v>
      </c>
      <c r="Z128" s="9">
        <f>ROUND(T128 / 1.2, 2)</f>
        <v>0</v>
      </c>
      <c r="AA128" s="9">
        <f>Y128+Z128</f>
        <v>0</v>
      </c>
      <c r="AD128" s="4">
        <v>341534372</v>
      </c>
      <c r="AE128" s="4">
        <v>25837386</v>
      </c>
      <c r="AG128" s="4" t="s">
        <v>622</v>
      </c>
      <c r="AH128" s="4" t="s">
        <v>623</v>
      </c>
      <c r="AI128" s="4" t="s">
        <v>241</v>
      </c>
    </row>
    <row r="129" spans="1:35" ht="36" x14ac:dyDescent="0.3">
      <c r="A129" s="10" t="s">
        <v>652</v>
      </c>
      <c r="B129" s="10"/>
      <c r="C129" s="24" t="s">
        <v>509</v>
      </c>
      <c r="D129" s="15"/>
      <c r="E129" s="15"/>
      <c r="F129" s="25" t="s">
        <v>76</v>
      </c>
      <c r="G129" s="26">
        <v>1.4999999999999999E-2</v>
      </c>
      <c r="H129" s="26"/>
      <c r="I129" s="26">
        <v>0</v>
      </c>
      <c r="J129" s="27">
        <v>88.8</v>
      </c>
      <c r="M129" s="28">
        <f>ROUND(ROUND(J129, 2)*I129, 2)</f>
        <v>0</v>
      </c>
      <c r="P129" s="27">
        <v>88.8</v>
      </c>
      <c r="S129" s="28">
        <f>ROUND(ROUND(P129, 2)*I129, 2)</f>
        <v>0</v>
      </c>
      <c r="V129" s="9">
        <f>ROUND(ROUND(P129, 2)/1.2, 2)</f>
        <v>74</v>
      </c>
      <c r="Y129" s="9">
        <f t="shared" si="9"/>
        <v>0</v>
      </c>
      <c r="AD129" s="4" t="s">
        <v>653</v>
      </c>
      <c r="AE129" s="4" t="s">
        <v>654</v>
      </c>
      <c r="AF129" s="4" t="s">
        <v>512</v>
      </c>
    </row>
    <row r="130" spans="1:35" ht="18" x14ac:dyDescent="0.3">
      <c r="A130" s="10" t="s">
        <v>657</v>
      </c>
      <c r="B130" s="10"/>
      <c r="C130" s="24" t="s">
        <v>502</v>
      </c>
      <c r="D130" s="15"/>
      <c r="E130" s="15"/>
      <c r="F130" s="25" t="s">
        <v>76</v>
      </c>
      <c r="G130" s="26">
        <v>0.04</v>
      </c>
      <c r="H130" s="26"/>
      <c r="I130" s="26">
        <v>0</v>
      </c>
      <c r="J130" s="27">
        <v>40.270000000000003</v>
      </c>
      <c r="M130" s="28">
        <f>ROUND(ROUND(J130, 2)*I130, 2)</f>
        <v>0</v>
      </c>
      <c r="P130" s="27">
        <v>40.270000000000003</v>
      </c>
      <c r="S130" s="28">
        <f>ROUND(ROUND(P130, 2)*I130, 2)</f>
        <v>0</v>
      </c>
      <c r="V130" s="9">
        <f>ROUND(ROUND(P130, 2)/1.2, 2)</f>
        <v>33.56</v>
      </c>
      <c r="Y130" s="9">
        <f t="shared" si="9"/>
        <v>0</v>
      </c>
      <c r="AD130" s="4" t="s">
        <v>658</v>
      </c>
      <c r="AE130" s="4" t="s">
        <v>659</v>
      </c>
      <c r="AF130" s="4" t="s">
        <v>505</v>
      </c>
    </row>
    <row r="131" spans="1:35" ht="144" x14ac:dyDescent="0.3">
      <c r="A131" s="10" t="s">
        <v>662</v>
      </c>
      <c r="B131" s="10"/>
      <c r="C131" s="35" t="s">
        <v>663</v>
      </c>
      <c r="D131" s="15"/>
      <c r="E131" s="15" t="s">
        <v>627</v>
      </c>
      <c r="F131" s="25" t="s">
        <v>57</v>
      </c>
      <c r="G131" s="26">
        <v>0.11</v>
      </c>
      <c r="H131" s="26"/>
      <c r="I131" s="26">
        <v>0</v>
      </c>
      <c r="J131" s="27">
        <v>1012.6</v>
      </c>
      <c r="M131" s="28">
        <f>ROUND(ROUND(J131, 2)*I131, 2)</f>
        <v>0</v>
      </c>
      <c r="P131" s="27">
        <v>1012.6</v>
      </c>
      <c r="S131" s="28">
        <f>ROUND(ROUND(P131, 2)*I131, 2)</f>
        <v>0</v>
      </c>
      <c r="V131" s="9">
        <f>ROUND(ROUND(P131, 2)/1.2, 2)</f>
        <v>843.83</v>
      </c>
      <c r="Y131" s="9">
        <f t="shared" si="9"/>
        <v>0</v>
      </c>
      <c r="AD131" s="4" t="s">
        <v>664</v>
      </c>
      <c r="AE131" s="4" t="s">
        <v>665</v>
      </c>
      <c r="AF131" s="4" t="s">
        <v>666</v>
      </c>
    </row>
    <row r="132" spans="1:35" ht="36" x14ac:dyDescent="0.3">
      <c r="A132" s="10" t="s">
        <v>669</v>
      </c>
      <c r="B132" s="10"/>
      <c r="C132" s="35" t="s">
        <v>670</v>
      </c>
      <c r="D132" s="15"/>
      <c r="E132" s="15"/>
      <c r="F132" s="25" t="s">
        <v>76</v>
      </c>
      <c r="G132" s="26">
        <v>0.7</v>
      </c>
      <c r="H132" s="36"/>
      <c r="I132" s="36">
        <v>0</v>
      </c>
      <c r="J132" s="27">
        <v>6.28</v>
      </c>
      <c r="M132" s="28">
        <f>ROUND(ROUND(J132, 2)*I132, 2)</f>
        <v>0</v>
      </c>
      <c r="P132" s="27">
        <v>6.28</v>
      </c>
      <c r="S132" s="28">
        <f>ROUND(ROUND(P132, 2)*I132, 2)</f>
        <v>0</v>
      </c>
      <c r="V132" s="9">
        <f>ROUND(ROUND(P132, 2)/1.2, 2)</f>
        <v>5.23</v>
      </c>
      <c r="Y132" s="9">
        <f t="shared" si="9"/>
        <v>0</v>
      </c>
      <c r="AD132" s="4" t="s">
        <v>671</v>
      </c>
      <c r="AE132" s="4" t="s">
        <v>672</v>
      </c>
      <c r="AF132" s="4" t="s">
        <v>673</v>
      </c>
    </row>
    <row r="133" spans="1:35" ht="36" x14ac:dyDescent="0.3">
      <c r="A133" s="10" t="s">
        <v>676</v>
      </c>
      <c r="B133" s="10" t="s">
        <v>677</v>
      </c>
      <c r="C133" s="14" t="s">
        <v>678</v>
      </c>
      <c r="D133" s="15"/>
      <c r="E133" s="15" t="s">
        <v>679</v>
      </c>
      <c r="F133" s="15" t="s">
        <v>57</v>
      </c>
      <c r="G133" s="16">
        <v>1</v>
      </c>
      <c r="H133" s="16"/>
      <c r="I133" s="16">
        <v>63.4</v>
      </c>
      <c r="J133" s="17">
        <f>IFERROR(ROUND(SUM(M134,M135,M136)/I133, 2),0)</f>
        <v>10.43</v>
      </c>
      <c r="K133" s="18">
        <v>661</v>
      </c>
      <c r="L133" s="17">
        <f>J133+ROUND(K133, 2)</f>
        <v>671.43</v>
      </c>
      <c r="M133" s="17">
        <f>ROUND(J133*I133, 2)</f>
        <v>661.26</v>
      </c>
      <c r="N133" s="17">
        <f>ROUND(I133*ROUND(K133, 2), 2)</f>
        <v>41907.4</v>
      </c>
      <c r="O133" s="17">
        <f>M133+N133</f>
        <v>42568.66</v>
      </c>
      <c r="P133" s="17">
        <f>IFERROR(ROUND(SUM(S134,S135,S136)/I133, 2),0)</f>
        <v>1827.75</v>
      </c>
      <c r="Q133" s="19">
        <v>661</v>
      </c>
      <c r="R133" s="17">
        <f>P133+ROUND(Q133, 2)</f>
        <v>2488.75</v>
      </c>
      <c r="S133" s="17">
        <f>ROUND(P133*I133, 2)</f>
        <v>115879.35</v>
      </c>
      <c r="T133" s="17">
        <f>ROUND(I133*ROUND(Q133, 2), 2)</f>
        <v>41907.4</v>
      </c>
      <c r="U133" s="17">
        <f>S133+T133</f>
        <v>157786.75</v>
      </c>
      <c r="V133" s="9">
        <f>ROUND(P133 / 1.2, 2)</f>
        <v>1523.13</v>
      </c>
      <c r="W133" s="9">
        <f>ROUND(Q133 / 1.2, 2)</f>
        <v>550.83000000000004</v>
      </c>
      <c r="X133" s="9">
        <f>ROUND(R133 / 1.2, 2)</f>
        <v>2073.96</v>
      </c>
      <c r="Y133" s="9">
        <f t="shared" si="9"/>
        <v>96566.13</v>
      </c>
      <c r="Z133" s="9">
        <f>ROUND(T133 / 1.2, 2)</f>
        <v>34922.83</v>
      </c>
      <c r="AA133" s="9">
        <f>Y133+Z133</f>
        <v>131488.96000000002</v>
      </c>
      <c r="AD133" s="4">
        <v>341534315</v>
      </c>
      <c r="AE133" s="4">
        <v>28214775</v>
      </c>
      <c r="AG133" s="4" t="s">
        <v>680</v>
      </c>
      <c r="AH133" s="4" t="s">
        <v>681</v>
      </c>
      <c r="AI133" s="4" t="s">
        <v>241</v>
      </c>
    </row>
    <row r="134" spans="1:35" ht="36" x14ac:dyDescent="0.3">
      <c r="A134" s="10" t="s">
        <v>682</v>
      </c>
      <c r="B134" s="10"/>
      <c r="C134" s="24" t="s">
        <v>683</v>
      </c>
      <c r="D134" s="15"/>
      <c r="E134" s="15"/>
      <c r="F134" s="25" t="s">
        <v>76</v>
      </c>
      <c r="G134" s="26">
        <v>0.15</v>
      </c>
      <c r="H134" s="26"/>
      <c r="I134" s="26">
        <v>9.51</v>
      </c>
      <c r="J134" s="27">
        <v>69.540000000000006</v>
      </c>
      <c r="M134" s="28">
        <f>ROUND(ROUND(J134, 2)*I134, 2)</f>
        <v>661.33</v>
      </c>
      <c r="P134" s="29">
        <v>69.540000000000006</v>
      </c>
      <c r="S134" s="28">
        <f>ROUND(ROUND(P134, 2)*I134, 2)</f>
        <v>661.33</v>
      </c>
      <c r="V134" s="9">
        <f>ROUND(ROUND(P134, 2)/1.2, 2)</f>
        <v>57.95</v>
      </c>
      <c r="Y134" s="9">
        <f t="shared" si="9"/>
        <v>551.11</v>
      </c>
      <c r="AD134" s="4" t="s">
        <v>684</v>
      </c>
      <c r="AE134" s="4" t="s">
        <v>685</v>
      </c>
      <c r="AF134" s="4" t="s">
        <v>686</v>
      </c>
    </row>
    <row r="135" spans="1:35" ht="90" x14ac:dyDescent="0.3">
      <c r="A135" s="10" t="s">
        <v>687</v>
      </c>
      <c r="B135" s="10"/>
      <c r="C135" s="24" t="s">
        <v>688</v>
      </c>
      <c r="D135" s="15"/>
      <c r="E135" s="15" t="s">
        <v>577</v>
      </c>
      <c r="F135" s="25" t="s">
        <v>98</v>
      </c>
      <c r="G135" s="26">
        <v>1</v>
      </c>
      <c r="H135" s="36"/>
      <c r="I135" s="36">
        <v>7.35</v>
      </c>
      <c r="J135" s="27">
        <v>0</v>
      </c>
      <c r="M135" s="28">
        <f>ROUND(ROUND(J135, 2)*I135, 2)</f>
        <v>0</v>
      </c>
      <c r="P135" s="29">
        <v>2348.9499999999998</v>
      </c>
      <c r="S135" s="28">
        <f>ROUND(ROUND(P135, 2)*I135, 2)</f>
        <v>17264.78</v>
      </c>
      <c r="V135" s="9">
        <f>ROUND(ROUND(P135, 2)/1.2, 2)</f>
        <v>1957.46</v>
      </c>
      <c r="Y135" s="9">
        <f t="shared" si="9"/>
        <v>14387.32</v>
      </c>
      <c r="AD135" s="4" t="s">
        <v>689</v>
      </c>
      <c r="AE135" s="4" t="s">
        <v>690</v>
      </c>
      <c r="AF135" s="4" t="s">
        <v>691</v>
      </c>
    </row>
    <row r="136" spans="1:35" ht="36" x14ac:dyDescent="0.3">
      <c r="A136" s="10" t="s">
        <v>692</v>
      </c>
      <c r="B136" s="10"/>
      <c r="C136" s="24" t="s">
        <v>693</v>
      </c>
      <c r="D136" s="15"/>
      <c r="E136" s="15" t="s">
        <v>694</v>
      </c>
      <c r="F136" s="25" t="s">
        <v>57</v>
      </c>
      <c r="G136" s="26">
        <v>1.03</v>
      </c>
      <c r="H136" s="36"/>
      <c r="I136" s="36">
        <v>65.302000000000007</v>
      </c>
      <c r="J136" s="27">
        <v>0</v>
      </c>
      <c r="M136" s="28">
        <f>ROUND(ROUND(J136, 2)*I136, 2)</f>
        <v>0</v>
      </c>
      <c r="P136" s="29">
        <v>1500</v>
      </c>
      <c r="S136" s="28">
        <f>ROUND(ROUND(P136, 2)*I136, 2)</f>
        <v>97953</v>
      </c>
      <c r="V136" s="9">
        <f>ROUND(ROUND(P136, 2)/1.2, 2)</f>
        <v>1250</v>
      </c>
      <c r="Y136" s="9">
        <f t="shared" si="9"/>
        <v>81627.5</v>
      </c>
      <c r="AD136" s="4" t="s">
        <v>695</v>
      </c>
      <c r="AE136" s="4" t="s">
        <v>696</v>
      </c>
      <c r="AF136" s="4" t="s">
        <v>697</v>
      </c>
    </row>
    <row r="137" spans="1:35" ht="36" x14ac:dyDescent="0.3">
      <c r="A137" s="10" t="s">
        <v>698</v>
      </c>
      <c r="B137" s="10" t="s">
        <v>699</v>
      </c>
      <c r="C137" s="14" t="s">
        <v>700</v>
      </c>
      <c r="D137" s="15"/>
      <c r="E137" s="15" t="s">
        <v>701</v>
      </c>
      <c r="F137" s="15" t="s">
        <v>123</v>
      </c>
      <c r="G137" s="16">
        <v>1</v>
      </c>
      <c r="H137" s="16"/>
      <c r="I137" s="16">
        <v>248.9</v>
      </c>
      <c r="J137" s="17">
        <f>IFERROR(ROUND(SUM(M138)/I137, 2),0)</f>
        <v>385.54</v>
      </c>
      <c r="K137" s="18">
        <v>210</v>
      </c>
      <c r="L137" s="17">
        <f>J137+ROUND(K137, 2)</f>
        <v>595.54</v>
      </c>
      <c r="M137" s="17">
        <f>ROUND(J137*I137, 2)</f>
        <v>95960.91</v>
      </c>
      <c r="N137" s="17">
        <f>ROUND(I137*ROUND(K137, 2), 2)</f>
        <v>52269</v>
      </c>
      <c r="O137" s="17">
        <f>M137+N137</f>
        <v>148229.91</v>
      </c>
      <c r="P137" s="17">
        <f>IFERROR(ROUND(SUM(S138)/I137, 2),0)</f>
        <v>385.54</v>
      </c>
      <c r="Q137" s="19">
        <v>210</v>
      </c>
      <c r="R137" s="17">
        <f>P137+ROUND(Q137, 2)</f>
        <v>595.54</v>
      </c>
      <c r="S137" s="17">
        <f>ROUND(P137*I137, 2)</f>
        <v>95960.91</v>
      </c>
      <c r="T137" s="17">
        <f>ROUND(I137*ROUND(Q137, 2), 2)</f>
        <v>52269</v>
      </c>
      <c r="U137" s="17">
        <f>S137+T137</f>
        <v>148229.91</v>
      </c>
      <c r="V137" s="9">
        <f>ROUND(P137 / 1.2, 2)</f>
        <v>321.27999999999997</v>
      </c>
      <c r="W137" s="9">
        <f>ROUND(Q137 / 1.2, 2)</f>
        <v>175</v>
      </c>
      <c r="X137" s="9">
        <f>ROUND(R137 / 1.2, 2)</f>
        <v>496.28</v>
      </c>
      <c r="Y137" s="9">
        <f t="shared" si="9"/>
        <v>79967.429999999993</v>
      </c>
      <c r="Z137" s="9">
        <f>ROUND(T137 / 1.2, 2)</f>
        <v>43557.5</v>
      </c>
      <c r="AA137" s="9">
        <f>Y137+Z137</f>
        <v>123524.93</v>
      </c>
      <c r="AD137" s="4">
        <v>341534317</v>
      </c>
      <c r="AE137" s="4">
        <v>28214747</v>
      </c>
      <c r="AG137" s="4" t="s">
        <v>702</v>
      </c>
      <c r="AH137" s="4" t="s">
        <v>703</v>
      </c>
      <c r="AI137" s="4" t="s">
        <v>241</v>
      </c>
    </row>
    <row r="138" spans="1:35" ht="72" x14ac:dyDescent="0.3">
      <c r="A138" s="10" t="s">
        <v>704</v>
      </c>
      <c r="B138" s="10"/>
      <c r="C138" s="24" t="s">
        <v>705</v>
      </c>
      <c r="D138" s="15"/>
      <c r="E138" s="15"/>
      <c r="F138" s="25" t="s">
        <v>123</v>
      </c>
      <c r="G138" s="26">
        <v>1.1000000000000001</v>
      </c>
      <c r="H138" s="36"/>
      <c r="I138" s="36">
        <v>273.79000000000002</v>
      </c>
      <c r="J138" s="27">
        <v>350.49</v>
      </c>
      <c r="M138" s="28">
        <f>ROUND(ROUND(J138, 2)*I138, 2)</f>
        <v>95960.66</v>
      </c>
      <c r="P138" s="29">
        <v>350.49</v>
      </c>
      <c r="S138" s="28">
        <f>ROUND(ROUND(P138, 2)*I138, 2)</f>
        <v>95960.66</v>
      </c>
      <c r="V138" s="9">
        <f>ROUND(ROUND(P138, 2)/1.2, 2)</f>
        <v>292.08</v>
      </c>
      <c r="Y138" s="9">
        <f t="shared" si="9"/>
        <v>79967.22</v>
      </c>
      <c r="AD138" s="4" t="s">
        <v>706</v>
      </c>
      <c r="AE138" s="4" t="s">
        <v>707</v>
      </c>
      <c r="AF138" s="4" t="s">
        <v>708</v>
      </c>
    </row>
    <row r="139" spans="1:35" ht="16.95" customHeight="1" x14ac:dyDescent="0.3">
      <c r="A139" s="10" t="s">
        <v>709</v>
      </c>
      <c r="B139" s="10" t="s">
        <v>710</v>
      </c>
      <c r="C139" s="121" t="s">
        <v>711</v>
      </c>
      <c r="D139" s="122"/>
      <c r="E139" s="122"/>
      <c r="F139" s="122"/>
      <c r="G139" s="122"/>
      <c r="H139" s="122"/>
      <c r="I139" s="123"/>
      <c r="M139" s="6">
        <f>SUM(M140,M301,M317)</f>
        <v>1194827.7900000003</v>
      </c>
      <c r="N139" s="6">
        <f>SUM(N140,N301,N317)</f>
        <v>7580248.3699999982</v>
      </c>
      <c r="O139" s="6">
        <f>SUM(O140,O301,O317)</f>
        <v>8775076.1600000001</v>
      </c>
      <c r="S139" s="6">
        <f>SUM(S140,S301,S317)</f>
        <v>1288431.28</v>
      </c>
      <c r="T139" s="6">
        <f>SUM(T140,T301,T317)</f>
        <v>7580248.3699999982</v>
      </c>
      <c r="U139" s="6">
        <f>SUM(U140,U301,U317)</f>
        <v>8868679.6500000022</v>
      </c>
      <c r="Y139" s="9">
        <f>SUM(Y140,Y301,Y317)</f>
        <v>1073692.7899999998</v>
      </c>
      <c r="Z139" s="9">
        <f>SUM(Z140,Z301,Z317)</f>
        <v>6316873.6900000013</v>
      </c>
      <c r="AA139" s="9">
        <f>SUM(AA140,AA301,AA317)</f>
        <v>7390566.4800000014</v>
      </c>
      <c r="AD139" s="4">
        <v>341534318</v>
      </c>
      <c r="AE139" s="4">
        <v>25837331</v>
      </c>
    </row>
    <row r="140" spans="1:35" ht="16.95" customHeight="1" x14ac:dyDescent="0.3">
      <c r="A140" s="10" t="s">
        <v>712</v>
      </c>
      <c r="B140" s="10" t="s">
        <v>713</v>
      </c>
      <c r="C140" s="121" t="s">
        <v>714</v>
      </c>
      <c r="D140" s="122"/>
      <c r="E140" s="122"/>
      <c r="F140" s="122"/>
      <c r="G140" s="122"/>
      <c r="H140" s="122"/>
      <c r="I140" s="123"/>
      <c r="M140" s="6">
        <f>SUM(M141,M144,M149,M154,M158,M162,M167,M172,M176,M180,M184,M188,M193,M198,M202,M207,M212,M217,M221,M224,M227,M231,M234,M237,M241,M244,M247,M251,M254,M257,M261,M264,M267,M271,M274,M277,M281,M284,M287,M291,M296)</f>
        <v>844350.96000000031</v>
      </c>
      <c r="N140" s="6">
        <f>SUM(N141,N144,N149,N154,N158,N162,N167,N172,N176,N180,N184,N188,N193,N198,N202,N207,N212,N217,N221,N224,N227,N231,N234,N237,N241,N244,N247,N251,N254,N257,N261,N264,N267,N271,N274,N277,N281,N284,N287,N291,N296)</f>
        <v>5634883.0499999989</v>
      </c>
      <c r="O140" s="6">
        <f>SUM(O141,O144,O149,O154,O158,O162,O167,O172,O176,O180,O184,O188,O193,O198,O202,O207,O212,O217,O221,O224,O227,O231,O234,O237,O241,O244,O247,O251,O254,O257,O261,O264,O267,O271,O274,O277,O281,O284,O287,O291,O296)</f>
        <v>6479234.0100000007</v>
      </c>
      <c r="S140" s="6">
        <f>SUM(S141,S144,S149,S154,S158,S162,S167,S172,S176,S180,S184,S188,S193,S198,S202,S207,S212,S217,S221,S224,S227,S231,S234,S237,S241,S244,S247,S251,S254,S257,S261,S264,S267,S271,S274,S277,S281,S284,S287,S291,S296)</f>
        <v>896767.92999999993</v>
      </c>
      <c r="T140" s="6">
        <f>SUM(T141,T144,T149,T154,T158,T162,T167,T172,T176,T180,T184,T188,T193,T198,T202,T207,T212,T217,T221,T224,T227,T231,T234,T237,T241,T244,T247,T251,T254,T257,T261,T264,T267,T271,T274,T277,T281,T284,T287,T291,T296)</f>
        <v>5634883.0499999989</v>
      </c>
      <c r="U140" s="6">
        <f>SUM(U141,U144,U149,U154,U158,U162,U167,U172,U176,U180,U184,U188,U193,U198,U202,U207,U212,U217,U221,U224,U227,U231,U234,U237,U241,U244,U247,U251,U254,U257,U261,U264,U267,U271,U274,U277,U281,U284,U287,U291,U296)</f>
        <v>6531650.9800000014</v>
      </c>
      <c r="Y140" s="9">
        <f>SUM(Y141,Y144,Y149,Y154,Y158,Y162,Y167,Y172,Y176,Y180,Y184,Y188,Y193,Y198,Y202,Y207,Y212,Y217,Y221,Y224,Y227,Y231,Y234,Y237,Y241,Y244,Y247,Y251,Y254,Y257,Y261,Y264,Y267,Y271,Y274,Y277,Y281,Y284,Y287,Y291,Y296)</f>
        <v>747306.64999999979</v>
      </c>
      <c r="Z140" s="9">
        <f>SUM(Z141,Z144,Z149,Z154,Z158,Z162,Z167,Z172,Z176,Z180,Z184,Z188,Z193,Z198,Z202,Z207,Z212,Z217,Z221,Z224,Z227,Z231,Z234,Z237,Z241,Z244,Z247,Z251,Z254,Z257,Z261,Z264,Z267,Z271,Z274,Z277,Z281,Z284,Z287,Z291,Z296)</f>
        <v>4695735.9000000013</v>
      </c>
      <c r="AA140" s="9">
        <f>SUM(AA141,AA144,AA149,AA154,AA158,AA162,AA167,AA172,AA176,AA180,AA184,AA188,AA193,AA198,AA202,AA207,AA212,AA217,AA221,AA224,AA227,AA231,AA234,AA237,AA241,AA244,AA247,AA251,AA254,AA257,AA261,AA264,AA267,AA271,AA274,AA277,AA281,AA284,AA287,AA291,AA296)</f>
        <v>5443042.5500000007</v>
      </c>
      <c r="AD140" s="4">
        <v>341534319</v>
      </c>
      <c r="AE140" s="4">
        <v>25837344</v>
      </c>
    </row>
    <row r="141" spans="1:35" ht="54" x14ac:dyDescent="0.3">
      <c r="A141" s="10" t="s">
        <v>715</v>
      </c>
      <c r="B141" s="10" t="s">
        <v>716</v>
      </c>
      <c r="C141" s="14" t="s">
        <v>717</v>
      </c>
      <c r="D141" s="15"/>
      <c r="E141" s="15" t="s">
        <v>718</v>
      </c>
      <c r="F141" s="15" t="s">
        <v>123</v>
      </c>
      <c r="G141" s="16">
        <v>1</v>
      </c>
      <c r="H141" s="16"/>
      <c r="I141" s="16">
        <v>434.7</v>
      </c>
      <c r="J141" s="17">
        <f>IFERROR(ROUND(SUM(M142,M143)/I141, 2),0)</f>
        <v>9.9</v>
      </c>
      <c r="K141" s="18">
        <v>28</v>
      </c>
      <c r="L141" s="17">
        <f>J141+ROUND(K141, 2)</f>
        <v>37.9</v>
      </c>
      <c r="M141" s="17">
        <f>ROUND(J141*I141, 2)</f>
        <v>4303.53</v>
      </c>
      <c r="N141" s="17">
        <f>ROUND(I141*ROUND(K141, 2), 2)</f>
        <v>12171.6</v>
      </c>
      <c r="O141" s="17">
        <f>M141+N141</f>
        <v>16475.13</v>
      </c>
      <c r="P141" s="17">
        <f>IFERROR(ROUND(SUM(S142,S143)/I141, 2),0)</f>
        <v>9.9</v>
      </c>
      <c r="Q141" s="19">
        <v>28</v>
      </c>
      <c r="R141" s="17">
        <f>P141+ROUND(Q141, 2)</f>
        <v>37.9</v>
      </c>
      <c r="S141" s="17">
        <f>ROUND(P141*I141, 2)</f>
        <v>4303.53</v>
      </c>
      <c r="T141" s="17">
        <f>ROUND(I141*ROUND(Q141, 2), 2)</f>
        <v>12171.6</v>
      </c>
      <c r="U141" s="17">
        <f>S141+T141</f>
        <v>16475.13</v>
      </c>
      <c r="V141" s="9">
        <f>ROUND(P141 / 1.2, 2)</f>
        <v>8.25</v>
      </c>
      <c r="W141" s="9">
        <f>ROUND(Q141 / 1.2, 2)</f>
        <v>23.33</v>
      </c>
      <c r="X141" s="9">
        <f>ROUND(R141 / 1.2, 2)</f>
        <v>31.58</v>
      </c>
      <c r="Y141" s="9">
        <f>ROUND(S141 / 1.2, 2)</f>
        <v>3586.28</v>
      </c>
      <c r="Z141" s="9">
        <f>ROUND(T141 / 1.2, 2)</f>
        <v>10143</v>
      </c>
      <c r="AA141" s="9">
        <f>Y141+Z141</f>
        <v>13729.28</v>
      </c>
      <c r="AD141" s="4">
        <v>341534321</v>
      </c>
      <c r="AE141" s="4">
        <v>28217160</v>
      </c>
      <c r="AG141" s="4" t="s">
        <v>719</v>
      </c>
      <c r="AH141" s="4" t="s">
        <v>720</v>
      </c>
      <c r="AI141" s="4" t="s">
        <v>241</v>
      </c>
    </row>
    <row r="142" spans="1:35" ht="36" x14ac:dyDescent="0.3">
      <c r="A142" s="10" t="s">
        <v>721</v>
      </c>
      <c r="B142" s="10"/>
      <c r="C142" s="24" t="s">
        <v>722</v>
      </c>
      <c r="D142" s="15"/>
      <c r="E142" s="15"/>
      <c r="F142" s="25" t="s">
        <v>76</v>
      </c>
      <c r="G142" s="26">
        <v>0.3</v>
      </c>
      <c r="H142" s="36"/>
      <c r="I142" s="36">
        <v>130.41</v>
      </c>
      <c r="J142" s="27">
        <v>6.92</v>
      </c>
      <c r="M142" s="28">
        <f>ROUND(ROUND(J142, 2)*I142, 2)</f>
        <v>902.44</v>
      </c>
      <c r="P142" s="29">
        <v>6.92</v>
      </c>
      <c r="S142" s="28">
        <f>ROUND(ROUND(P142, 2)*I142, 2)</f>
        <v>902.44</v>
      </c>
      <c r="V142" s="9">
        <f>ROUND(ROUND(P142, 2)/1.2, 2)</f>
        <v>5.77</v>
      </c>
      <c r="Y142" s="9">
        <f t="shared" ref="Y142:Y173" si="10">ROUND(S142 / 1.2, 2)</f>
        <v>752.03</v>
      </c>
      <c r="AD142" s="4" t="s">
        <v>723</v>
      </c>
      <c r="AE142" s="4" t="s">
        <v>724</v>
      </c>
      <c r="AF142" s="4" t="s">
        <v>725</v>
      </c>
    </row>
    <row r="143" spans="1:35" ht="18" x14ac:dyDescent="0.3">
      <c r="A143" s="10" t="s">
        <v>726</v>
      </c>
      <c r="B143" s="10"/>
      <c r="C143" s="24" t="s">
        <v>727</v>
      </c>
      <c r="D143" s="15"/>
      <c r="E143" s="15"/>
      <c r="F143" s="25" t="s">
        <v>123</v>
      </c>
      <c r="G143" s="26">
        <v>1.1000000000000001</v>
      </c>
      <c r="H143" s="36"/>
      <c r="I143" s="36">
        <v>478.17</v>
      </c>
      <c r="J143" s="27">
        <v>7.11</v>
      </c>
      <c r="M143" s="28">
        <f>ROUND(ROUND(J143, 2)*I143, 2)</f>
        <v>3399.79</v>
      </c>
      <c r="P143" s="29">
        <v>7.11</v>
      </c>
      <c r="S143" s="28">
        <f>ROUND(ROUND(P143, 2)*I143, 2)</f>
        <v>3399.79</v>
      </c>
      <c r="V143" s="9">
        <f>ROUND(ROUND(P143, 2)/1.2, 2)</f>
        <v>5.93</v>
      </c>
      <c r="Y143" s="9">
        <f t="shared" si="10"/>
        <v>2833.16</v>
      </c>
      <c r="AD143" s="4" t="s">
        <v>728</v>
      </c>
      <c r="AE143" s="4" t="s">
        <v>729</v>
      </c>
      <c r="AF143" s="4" t="s">
        <v>730</v>
      </c>
    </row>
    <row r="144" spans="1:35" ht="54" x14ac:dyDescent="0.3">
      <c r="A144" s="10" t="s">
        <v>731</v>
      </c>
      <c r="B144" s="10" t="s">
        <v>732</v>
      </c>
      <c r="C144" s="14" t="s">
        <v>733</v>
      </c>
      <c r="D144" s="15"/>
      <c r="E144" s="15" t="s">
        <v>734</v>
      </c>
      <c r="F144" s="15" t="s">
        <v>57</v>
      </c>
      <c r="G144" s="16">
        <v>1</v>
      </c>
      <c r="H144" s="16"/>
      <c r="I144" s="16">
        <v>0</v>
      </c>
      <c r="J144" s="17">
        <v>286.08</v>
      </c>
      <c r="K144" s="18">
        <v>826</v>
      </c>
      <c r="L144" s="17">
        <f>J144+ROUND(K144, 2)</f>
        <v>1112.08</v>
      </c>
      <c r="M144" s="17">
        <v>0</v>
      </c>
      <c r="N144" s="17">
        <v>0</v>
      </c>
      <c r="O144" s="17">
        <f>M144+N144</f>
        <v>0</v>
      </c>
      <c r="P144" s="17">
        <v>286.08</v>
      </c>
      <c r="Q144" s="18">
        <v>826</v>
      </c>
      <c r="R144" s="17">
        <f>P144+ROUND(Q144, 2)</f>
        <v>1112.08</v>
      </c>
      <c r="S144" s="17">
        <v>0</v>
      </c>
      <c r="T144" s="17">
        <v>0</v>
      </c>
      <c r="U144" s="17">
        <f>S144+T144</f>
        <v>0</v>
      </c>
      <c r="V144" s="9">
        <f>ROUND(P144 / 1.2, 2)</f>
        <v>238.4</v>
      </c>
      <c r="W144" s="9">
        <f>ROUND(Q144 / 1.2, 2)</f>
        <v>688.33</v>
      </c>
      <c r="X144" s="9">
        <f>ROUND(R144 / 1.2, 2)</f>
        <v>926.73</v>
      </c>
      <c r="Y144" s="9">
        <f t="shared" si="10"/>
        <v>0</v>
      </c>
      <c r="Z144" s="9">
        <f>ROUND(T144 / 1.2, 2)</f>
        <v>0</v>
      </c>
      <c r="AA144" s="9">
        <f>Y144+Z144</f>
        <v>0</v>
      </c>
      <c r="AD144" s="4">
        <v>341534323</v>
      </c>
      <c r="AE144" s="4">
        <v>25837370</v>
      </c>
      <c r="AG144" s="4" t="s">
        <v>735</v>
      </c>
      <c r="AH144" s="4" t="s">
        <v>736</v>
      </c>
      <c r="AI144" s="4" t="s">
        <v>241</v>
      </c>
    </row>
    <row r="145" spans="1:35" ht="18" x14ac:dyDescent="0.3">
      <c r="A145" s="10" t="s">
        <v>738</v>
      </c>
      <c r="B145" s="10"/>
      <c r="C145" s="24" t="s">
        <v>739</v>
      </c>
      <c r="D145" s="15"/>
      <c r="E145" s="15"/>
      <c r="F145" s="25" t="s">
        <v>57</v>
      </c>
      <c r="G145" s="26">
        <v>1.1000000000000001</v>
      </c>
      <c r="H145" s="26"/>
      <c r="I145" s="26">
        <v>0</v>
      </c>
      <c r="J145" s="27">
        <v>27.55</v>
      </c>
      <c r="M145" s="28">
        <f>ROUND(ROUND(J145, 2)*I145, 2)</f>
        <v>0</v>
      </c>
      <c r="P145" s="27">
        <v>27.55</v>
      </c>
      <c r="S145" s="28">
        <f>ROUND(ROUND(P145, 2)*I145, 2)</f>
        <v>0</v>
      </c>
      <c r="V145" s="9">
        <f>ROUND(ROUND(P145, 2)/1.2, 2)</f>
        <v>22.96</v>
      </c>
      <c r="Y145" s="9">
        <f t="shared" si="10"/>
        <v>0</v>
      </c>
      <c r="AD145" s="4" t="s">
        <v>740</v>
      </c>
      <c r="AE145" s="4" t="s">
        <v>741</v>
      </c>
      <c r="AF145" s="4" t="s">
        <v>742</v>
      </c>
    </row>
    <row r="146" spans="1:35" ht="18" x14ac:dyDescent="0.3">
      <c r="A146" s="10" t="s">
        <v>745</v>
      </c>
      <c r="B146" s="10"/>
      <c r="C146" s="24" t="s">
        <v>310</v>
      </c>
      <c r="D146" s="15"/>
      <c r="E146" s="15"/>
      <c r="F146" s="25" t="s">
        <v>76</v>
      </c>
      <c r="G146" s="26">
        <v>0.25</v>
      </c>
      <c r="H146" s="26"/>
      <c r="I146" s="26">
        <v>0</v>
      </c>
      <c r="J146" s="27">
        <v>100</v>
      </c>
      <c r="M146" s="28">
        <f>ROUND(ROUND(J146, 2)*I146, 2)</f>
        <v>0</v>
      </c>
      <c r="P146" s="27">
        <v>100</v>
      </c>
      <c r="S146" s="28">
        <f>ROUND(ROUND(P146, 2)*I146, 2)</f>
        <v>0</v>
      </c>
      <c r="V146" s="9">
        <f>ROUND(ROUND(P146, 2)/1.2, 2)</f>
        <v>83.33</v>
      </c>
      <c r="Y146" s="9">
        <f t="shared" si="10"/>
        <v>0</v>
      </c>
      <c r="AD146" s="4" t="s">
        <v>746</v>
      </c>
      <c r="AE146" s="4" t="s">
        <v>747</v>
      </c>
      <c r="AF146" s="4" t="s">
        <v>313</v>
      </c>
    </row>
    <row r="147" spans="1:35" ht="18" x14ac:dyDescent="0.3">
      <c r="A147" s="10" t="s">
        <v>750</v>
      </c>
      <c r="B147" s="10"/>
      <c r="C147" s="24" t="s">
        <v>751</v>
      </c>
      <c r="D147" s="15"/>
      <c r="E147" s="15" t="s">
        <v>752</v>
      </c>
      <c r="F147" s="25" t="s">
        <v>76</v>
      </c>
      <c r="G147" s="26">
        <v>1.8</v>
      </c>
      <c r="H147" s="36"/>
      <c r="I147" s="36">
        <v>0</v>
      </c>
      <c r="J147" s="27">
        <v>5.85</v>
      </c>
      <c r="M147" s="28">
        <f>ROUND(ROUND(J147, 2)*I147, 2)</f>
        <v>0</v>
      </c>
      <c r="P147" s="27">
        <v>5.85</v>
      </c>
      <c r="S147" s="28">
        <f>ROUND(ROUND(P147, 2)*I147, 2)</f>
        <v>0</v>
      </c>
      <c r="V147" s="9">
        <f>ROUND(ROUND(P147, 2)/1.2, 2)</f>
        <v>4.88</v>
      </c>
      <c r="Y147" s="9">
        <f t="shared" si="10"/>
        <v>0</v>
      </c>
      <c r="AD147" s="4" t="s">
        <v>753</v>
      </c>
      <c r="AE147" s="4" t="s">
        <v>754</v>
      </c>
      <c r="AF147" s="4" t="s">
        <v>755</v>
      </c>
    </row>
    <row r="148" spans="1:35" ht="18" x14ac:dyDescent="0.3">
      <c r="A148" s="10" t="s">
        <v>758</v>
      </c>
      <c r="B148" s="10"/>
      <c r="C148" s="24" t="s">
        <v>759</v>
      </c>
      <c r="D148" s="15"/>
      <c r="E148" s="15"/>
      <c r="F148" s="25" t="s">
        <v>123</v>
      </c>
      <c r="G148" s="26">
        <v>1.1000000000000001</v>
      </c>
      <c r="H148" s="36"/>
      <c r="I148" s="36">
        <v>0</v>
      </c>
      <c r="J148" s="27">
        <v>18.34</v>
      </c>
      <c r="M148" s="28">
        <f>ROUND(ROUND(J148, 2)*I148, 2)</f>
        <v>0</v>
      </c>
      <c r="P148" s="27">
        <v>18.34</v>
      </c>
      <c r="S148" s="28">
        <f>ROUND(ROUND(P148, 2)*I148, 2)</f>
        <v>0</v>
      </c>
      <c r="V148" s="9">
        <f>ROUND(ROUND(P148, 2)/1.2, 2)</f>
        <v>15.28</v>
      </c>
      <c r="Y148" s="9">
        <f t="shared" si="10"/>
        <v>0</v>
      </c>
      <c r="AD148" s="4" t="s">
        <v>760</v>
      </c>
      <c r="AE148" s="4" t="s">
        <v>761</v>
      </c>
      <c r="AF148" s="4" t="s">
        <v>762</v>
      </c>
    </row>
    <row r="149" spans="1:35" ht="54" x14ac:dyDescent="0.3">
      <c r="A149" s="10" t="s">
        <v>765</v>
      </c>
      <c r="B149" s="10" t="s">
        <v>732</v>
      </c>
      <c r="C149" s="14" t="s">
        <v>733</v>
      </c>
      <c r="D149" s="15"/>
      <c r="E149" s="15" t="s">
        <v>766</v>
      </c>
      <c r="F149" s="15" t="s">
        <v>57</v>
      </c>
      <c r="G149" s="16">
        <v>1</v>
      </c>
      <c r="H149" s="16"/>
      <c r="I149" s="16">
        <v>0</v>
      </c>
      <c r="J149" s="17">
        <v>273.08</v>
      </c>
      <c r="K149" s="18">
        <v>826</v>
      </c>
      <c r="L149" s="17">
        <f>J149+ROUND(K149, 2)</f>
        <v>1099.08</v>
      </c>
      <c r="M149" s="17">
        <v>0</v>
      </c>
      <c r="N149" s="17">
        <v>0</v>
      </c>
      <c r="O149" s="17">
        <f>M149+N149</f>
        <v>0</v>
      </c>
      <c r="P149" s="17">
        <v>273.08</v>
      </c>
      <c r="Q149" s="18">
        <v>826</v>
      </c>
      <c r="R149" s="17">
        <f>P149+ROUND(Q149, 2)</f>
        <v>1099.08</v>
      </c>
      <c r="S149" s="17">
        <v>0</v>
      </c>
      <c r="T149" s="17">
        <v>0</v>
      </c>
      <c r="U149" s="17">
        <f>S149+T149</f>
        <v>0</v>
      </c>
      <c r="V149" s="9">
        <f>ROUND(P149 / 1.2, 2)</f>
        <v>227.57</v>
      </c>
      <c r="W149" s="9">
        <f>ROUND(Q149 / 1.2, 2)</f>
        <v>688.33</v>
      </c>
      <c r="X149" s="9">
        <f>ROUND(R149 / 1.2, 2)</f>
        <v>915.9</v>
      </c>
      <c r="Y149" s="9">
        <f t="shared" si="10"/>
        <v>0</v>
      </c>
      <c r="Z149" s="9">
        <f>ROUND(T149 / 1.2, 2)</f>
        <v>0</v>
      </c>
      <c r="AA149" s="9">
        <f>Y149+Z149</f>
        <v>0</v>
      </c>
      <c r="AD149" s="4">
        <v>341534373</v>
      </c>
      <c r="AE149" s="4">
        <v>25837369</v>
      </c>
      <c r="AG149" s="4" t="s">
        <v>735</v>
      </c>
      <c r="AH149" s="4" t="s">
        <v>736</v>
      </c>
      <c r="AI149" s="4" t="s">
        <v>241</v>
      </c>
    </row>
    <row r="150" spans="1:35" ht="36" x14ac:dyDescent="0.3">
      <c r="A150" s="10" t="s">
        <v>768</v>
      </c>
      <c r="B150" s="10"/>
      <c r="C150" s="24" t="s">
        <v>769</v>
      </c>
      <c r="D150" s="15"/>
      <c r="E150" s="15"/>
      <c r="F150" s="25" t="s">
        <v>76</v>
      </c>
      <c r="G150" s="26">
        <v>0.15</v>
      </c>
      <c r="H150" s="26"/>
      <c r="I150" s="26">
        <v>0</v>
      </c>
      <c r="J150" s="27">
        <v>80</v>
      </c>
      <c r="M150" s="28">
        <f>ROUND(ROUND(J150, 2)*I150, 2)</f>
        <v>0</v>
      </c>
      <c r="P150" s="27">
        <v>80</v>
      </c>
      <c r="S150" s="28">
        <f>ROUND(ROUND(P150, 2)*I150, 2)</f>
        <v>0</v>
      </c>
      <c r="V150" s="9">
        <f>ROUND(ROUND(P150, 2)/1.2, 2)</f>
        <v>66.67</v>
      </c>
      <c r="Y150" s="9">
        <f t="shared" si="10"/>
        <v>0</v>
      </c>
      <c r="AD150" s="4" t="s">
        <v>770</v>
      </c>
      <c r="AE150" s="4" t="s">
        <v>771</v>
      </c>
      <c r="AF150" s="4" t="s">
        <v>772</v>
      </c>
    </row>
    <row r="151" spans="1:35" ht="18" x14ac:dyDescent="0.3">
      <c r="A151" s="10" t="s">
        <v>775</v>
      </c>
      <c r="B151" s="10"/>
      <c r="C151" s="24" t="s">
        <v>759</v>
      </c>
      <c r="D151" s="15"/>
      <c r="E151" s="15"/>
      <c r="F151" s="25" t="s">
        <v>123</v>
      </c>
      <c r="G151" s="26">
        <v>1.1000000000000001</v>
      </c>
      <c r="H151" s="36"/>
      <c r="I151" s="36">
        <v>0</v>
      </c>
      <c r="J151" s="27">
        <v>18.34</v>
      </c>
      <c r="M151" s="28">
        <f>ROUND(ROUND(J151, 2)*I151, 2)</f>
        <v>0</v>
      </c>
      <c r="P151" s="27">
        <v>18.34</v>
      </c>
      <c r="S151" s="28">
        <f>ROUND(ROUND(P151, 2)*I151, 2)</f>
        <v>0</v>
      </c>
      <c r="V151" s="9">
        <f>ROUND(ROUND(P151, 2)/1.2, 2)</f>
        <v>15.28</v>
      </c>
      <c r="Y151" s="9">
        <f t="shared" si="10"/>
        <v>0</v>
      </c>
      <c r="AD151" s="4" t="s">
        <v>776</v>
      </c>
      <c r="AE151" s="4" t="s">
        <v>777</v>
      </c>
      <c r="AF151" s="4" t="s">
        <v>762</v>
      </c>
    </row>
    <row r="152" spans="1:35" ht="18" x14ac:dyDescent="0.3">
      <c r="A152" s="10" t="s">
        <v>780</v>
      </c>
      <c r="B152" s="10"/>
      <c r="C152" s="24" t="s">
        <v>751</v>
      </c>
      <c r="D152" s="15"/>
      <c r="E152" s="15" t="s">
        <v>752</v>
      </c>
      <c r="F152" s="25" t="s">
        <v>76</v>
      </c>
      <c r="G152" s="26">
        <v>1.8</v>
      </c>
      <c r="H152" s="36"/>
      <c r="I152" s="36">
        <v>0</v>
      </c>
      <c r="J152" s="27">
        <v>5.85</v>
      </c>
      <c r="M152" s="28">
        <f>ROUND(ROUND(J152, 2)*I152, 2)</f>
        <v>0</v>
      </c>
      <c r="P152" s="27">
        <v>5.85</v>
      </c>
      <c r="S152" s="28">
        <f>ROUND(ROUND(P152, 2)*I152, 2)</f>
        <v>0</v>
      </c>
      <c r="V152" s="9">
        <f>ROUND(ROUND(P152, 2)/1.2, 2)</f>
        <v>4.88</v>
      </c>
      <c r="Y152" s="9">
        <f t="shared" si="10"/>
        <v>0</v>
      </c>
      <c r="AD152" s="4" t="s">
        <v>781</v>
      </c>
      <c r="AE152" s="4" t="s">
        <v>782</v>
      </c>
      <c r="AF152" s="4" t="s">
        <v>755</v>
      </c>
    </row>
    <row r="153" spans="1:35" ht="18" x14ac:dyDescent="0.3">
      <c r="A153" s="10" t="s">
        <v>785</v>
      </c>
      <c r="B153" s="10"/>
      <c r="C153" s="24" t="s">
        <v>739</v>
      </c>
      <c r="D153" s="15"/>
      <c r="E153" s="15"/>
      <c r="F153" s="25" t="s">
        <v>57</v>
      </c>
      <c r="G153" s="26">
        <v>1.1000000000000001</v>
      </c>
      <c r="H153" s="26"/>
      <c r="I153" s="26">
        <v>0</v>
      </c>
      <c r="J153" s="27">
        <v>27.55</v>
      </c>
      <c r="M153" s="28">
        <f>ROUND(ROUND(J153, 2)*I153, 2)</f>
        <v>0</v>
      </c>
      <c r="P153" s="27">
        <v>27.55</v>
      </c>
      <c r="S153" s="28">
        <f>ROUND(ROUND(P153, 2)*I153, 2)</f>
        <v>0</v>
      </c>
      <c r="V153" s="9">
        <f>ROUND(ROUND(P153, 2)/1.2, 2)</f>
        <v>22.96</v>
      </c>
      <c r="Y153" s="9">
        <f t="shared" si="10"/>
        <v>0</v>
      </c>
      <c r="AD153" s="4" t="s">
        <v>786</v>
      </c>
      <c r="AE153" s="4" t="s">
        <v>787</v>
      </c>
      <c r="AF153" s="4" t="s">
        <v>742</v>
      </c>
    </row>
    <row r="154" spans="1:35" ht="54" x14ac:dyDescent="0.3">
      <c r="A154" s="10" t="s">
        <v>790</v>
      </c>
      <c r="B154" s="10" t="s">
        <v>732</v>
      </c>
      <c r="C154" s="14" t="s">
        <v>733</v>
      </c>
      <c r="D154" s="15"/>
      <c r="E154" s="15" t="s">
        <v>791</v>
      </c>
      <c r="F154" s="15" t="s">
        <v>57</v>
      </c>
      <c r="G154" s="16">
        <v>1</v>
      </c>
      <c r="H154" s="16"/>
      <c r="I154" s="16">
        <v>0</v>
      </c>
      <c r="J154" s="17">
        <v>196.97</v>
      </c>
      <c r="K154" s="18">
        <v>826</v>
      </c>
      <c r="L154" s="17">
        <f>J154+ROUND(K154, 2)</f>
        <v>1022.97</v>
      </c>
      <c r="M154" s="17">
        <v>0</v>
      </c>
      <c r="N154" s="17">
        <v>0</v>
      </c>
      <c r="O154" s="17">
        <f>M154+N154</f>
        <v>0</v>
      </c>
      <c r="P154" s="17">
        <v>212.17</v>
      </c>
      <c r="Q154" s="18">
        <v>826</v>
      </c>
      <c r="R154" s="17">
        <f>P154+ROUND(Q154, 2)</f>
        <v>1038.17</v>
      </c>
      <c r="S154" s="17">
        <v>0</v>
      </c>
      <c r="T154" s="17">
        <v>0</v>
      </c>
      <c r="U154" s="17">
        <f>S154+T154</f>
        <v>0</v>
      </c>
      <c r="V154" s="9">
        <f>ROUND(P154 / 1.2, 2)</f>
        <v>176.81</v>
      </c>
      <c r="W154" s="9">
        <f>ROUND(Q154 / 1.2, 2)</f>
        <v>688.33</v>
      </c>
      <c r="X154" s="9">
        <f>ROUND(R154 / 1.2, 2)</f>
        <v>865.14</v>
      </c>
      <c r="Y154" s="9">
        <f t="shared" si="10"/>
        <v>0</v>
      </c>
      <c r="Z154" s="9">
        <f>ROUND(T154 / 1.2, 2)</f>
        <v>0</v>
      </c>
      <c r="AA154" s="9">
        <f>Y154+Z154</f>
        <v>0</v>
      </c>
      <c r="AD154" s="4">
        <v>341534374</v>
      </c>
      <c r="AE154" s="4">
        <v>25837368</v>
      </c>
      <c r="AG154" s="4" t="s">
        <v>735</v>
      </c>
      <c r="AH154" s="4" t="s">
        <v>736</v>
      </c>
      <c r="AI154" s="4" t="s">
        <v>241</v>
      </c>
    </row>
    <row r="155" spans="1:35" ht="18" x14ac:dyDescent="0.3">
      <c r="A155" s="10" t="s">
        <v>793</v>
      </c>
      <c r="B155" s="10"/>
      <c r="C155" s="24" t="s">
        <v>759</v>
      </c>
      <c r="D155" s="15"/>
      <c r="E155" s="15"/>
      <c r="F155" s="25" t="s">
        <v>123</v>
      </c>
      <c r="G155" s="26">
        <v>1.1000000000000001</v>
      </c>
      <c r="H155" s="36"/>
      <c r="I155" s="36">
        <v>0</v>
      </c>
      <c r="J155" s="27">
        <v>18.34</v>
      </c>
      <c r="M155" s="28">
        <f>ROUND(ROUND(J155, 2)*I155, 2)</f>
        <v>0</v>
      </c>
      <c r="P155" s="27">
        <v>18.34</v>
      </c>
      <c r="S155" s="28">
        <f>ROUND(ROUND(P155, 2)*I155, 2)</f>
        <v>0</v>
      </c>
      <c r="V155" s="9">
        <f>ROUND(ROUND(P155, 2)/1.2, 2)</f>
        <v>15.28</v>
      </c>
      <c r="Y155" s="9">
        <f t="shared" si="10"/>
        <v>0</v>
      </c>
      <c r="AD155" s="4" t="s">
        <v>794</v>
      </c>
      <c r="AE155" s="4" t="s">
        <v>795</v>
      </c>
      <c r="AF155" s="4" t="s">
        <v>762</v>
      </c>
    </row>
    <row r="156" spans="1:35" ht="18" x14ac:dyDescent="0.3">
      <c r="A156" s="10" t="s">
        <v>798</v>
      </c>
      <c r="B156" s="10"/>
      <c r="C156" s="24" t="s">
        <v>310</v>
      </c>
      <c r="D156" s="15"/>
      <c r="E156" s="15"/>
      <c r="F156" s="25" t="s">
        <v>76</v>
      </c>
      <c r="G156" s="26">
        <v>0.25</v>
      </c>
      <c r="H156" s="26"/>
      <c r="I156" s="26">
        <v>0</v>
      </c>
      <c r="J156" s="27">
        <v>100</v>
      </c>
      <c r="M156" s="28">
        <f>ROUND(ROUND(J156, 2)*I156, 2)</f>
        <v>0</v>
      </c>
      <c r="P156" s="27">
        <v>100</v>
      </c>
      <c r="S156" s="28">
        <f>ROUND(ROUND(P156, 2)*I156, 2)</f>
        <v>0</v>
      </c>
      <c r="V156" s="9">
        <f>ROUND(ROUND(P156, 2)/1.2, 2)</f>
        <v>83.33</v>
      </c>
      <c r="Y156" s="9">
        <f t="shared" si="10"/>
        <v>0</v>
      </c>
      <c r="AD156" s="4" t="s">
        <v>799</v>
      </c>
      <c r="AE156" s="4" t="s">
        <v>800</v>
      </c>
      <c r="AF156" s="4" t="s">
        <v>313</v>
      </c>
    </row>
    <row r="157" spans="1:35" ht="36" x14ac:dyDescent="0.3">
      <c r="A157" s="10" t="s">
        <v>803</v>
      </c>
      <c r="B157" s="10"/>
      <c r="C157" s="35" t="s">
        <v>804</v>
      </c>
      <c r="D157" s="15"/>
      <c r="E157" s="15" t="s">
        <v>752</v>
      </c>
      <c r="F157" s="25" t="s">
        <v>76</v>
      </c>
      <c r="G157" s="26">
        <v>1</v>
      </c>
      <c r="H157" s="36"/>
      <c r="I157" s="36">
        <v>0</v>
      </c>
      <c r="J157" s="27">
        <v>7.59</v>
      </c>
      <c r="M157" s="28">
        <f>ROUND(ROUND(J157, 2)*I157, 2)</f>
        <v>0</v>
      </c>
      <c r="P157" s="27">
        <v>8.35</v>
      </c>
      <c r="S157" s="28">
        <f>ROUND(ROUND(P157, 2)*I157, 2)</f>
        <v>0</v>
      </c>
      <c r="V157" s="9">
        <f>ROUND(ROUND(P157, 2)/1.2, 2)</f>
        <v>6.96</v>
      </c>
      <c r="Y157" s="9">
        <f t="shared" si="10"/>
        <v>0</v>
      </c>
      <c r="AD157" s="4" t="s">
        <v>805</v>
      </c>
      <c r="AE157" s="4" t="s">
        <v>806</v>
      </c>
      <c r="AF157" s="4" t="s">
        <v>807</v>
      </c>
    </row>
    <row r="158" spans="1:35" ht="54" x14ac:dyDescent="0.3">
      <c r="A158" s="10" t="s">
        <v>810</v>
      </c>
      <c r="B158" s="10" t="s">
        <v>732</v>
      </c>
      <c r="C158" s="14" t="s">
        <v>733</v>
      </c>
      <c r="D158" s="15"/>
      <c r="E158" s="15" t="s">
        <v>811</v>
      </c>
      <c r="F158" s="15" t="s">
        <v>57</v>
      </c>
      <c r="G158" s="16">
        <v>1</v>
      </c>
      <c r="H158" s="16"/>
      <c r="I158" s="16">
        <v>0</v>
      </c>
      <c r="J158" s="17">
        <v>183.97</v>
      </c>
      <c r="K158" s="18">
        <v>826</v>
      </c>
      <c r="L158" s="17">
        <f>J158+ROUND(K158, 2)</f>
        <v>1009.97</v>
      </c>
      <c r="M158" s="17">
        <v>0</v>
      </c>
      <c r="N158" s="17">
        <v>0</v>
      </c>
      <c r="O158" s="17">
        <f>M158+N158</f>
        <v>0</v>
      </c>
      <c r="P158" s="17">
        <v>199.17</v>
      </c>
      <c r="Q158" s="18">
        <v>826</v>
      </c>
      <c r="R158" s="17">
        <f>P158+ROUND(Q158, 2)</f>
        <v>1025.17</v>
      </c>
      <c r="S158" s="17">
        <v>0</v>
      </c>
      <c r="T158" s="17">
        <v>0</v>
      </c>
      <c r="U158" s="17">
        <f>S158+T158</f>
        <v>0</v>
      </c>
      <c r="V158" s="9">
        <f>ROUND(P158 / 1.2, 2)</f>
        <v>165.98</v>
      </c>
      <c r="W158" s="9">
        <f>ROUND(Q158 / 1.2, 2)</f>
        <v>688.33</v>
      </c>
      <c r="X158" s="9">
        <f>ROUND(R158 / 1.2, 2)</f>
        <v>854.31</v>
      </c>
      <c r="Y158" s="9">
        <f t="shared" si="10"/>
        <v>0</v>
      </c>
      <c r="Z158" s="9">
        <f>ROUND(T158 / 1.2, 2)</f>
        <v>0</v>
      </c>
      <c r="AA158" s="9">
        <f>Y158+Z158</f>
        <v>0</v>
      </c>
      <c r="AD158" s="4">
        <v>341534375</v>
      </c>
      <c r="AE158" s="4">
        <v>25837367</v>
      </c>
      <c r="AG158" s="4" t="s">
        <v>735</v>
      </c>
      <c r="AH158" s="4" t="s">
        <v>736</v>
      </c>
      <c r="AI158" s="4" t="s">
        <v>241</v>
      </c>
    </row>
    <row r="159" spans="1:35" ht="18" x14ac:dyDescent="0.3">
      <c r="A159" s="10" t="s">
        <v>813</v>
      </c>
      <c r="B159" s="10"/>
      <c r="C159" s="24" t="s">
        <v>759</v>
      </c>
      <c r="D159" s="15"/>
      <c r="E159" s="15"/>
      <c r="F159" s="25" t="s">
        <v>123</v>
      </c>
      <c r="G159" s="26">
        <v>1.1000000000000001</v>
      </c>
      <c r="H159" s="36"/>
      <c r="I159" s="36">
        <v>0</v>
      </c>
      <c r="J159" s="27">
        <v>18.34</v>
      </c>
      <c r="M159" s="28">
        <f>ROUND(ROUND(J159, 2)*I159, 2)</f>
        <v>0</v>
      </c>
      <c r="P159" s="27">
        <v>18.34</v>
      </c>
      <c r="S159" s="28">
        <f>ROUND(ROUND(P159, 2)*I159, 2)</f>
        <v>0</v>
      </c>
      <c r="V159" s="9">
        <f>ROUND(ROUND(P159, 2)/1.2, 2)</f>
        <v>15.28</v>
      </c>
      <c r="Y159" s="9">
        <f t="shared" si="10"/>
        <v>0</v>
      </c>
      <c r="AD159" s="4" t="s">
        <v>814</v>
      </c>
      <c r="AE159" s="4" t="s">
        <v>815</v>
      </c>
      <c r="AF159" s="4" t="s">
        <v>762</v>
      </c>
    </row>
    <row r="160" spans="1:35" ht="36" x14ac:dyDescent="0.3">
      <c r="A160" s="10" t="s">
        <v>818</v>
      </c>
      <c r="B160" s="10"/>
      <c r="C160" s="24" t="s">
        <v>819</v>
      </c>
      <c r="D160" s="15"/>
      <c r="E160" s="15"/>
      <c r="F160" s="25" t="s">
        <v>76</v>
      </c>
      <c r="G160" s="26">
        <v>0.15</v>
      </c>
      <c r="H160" s="36"/>
      <c r="I160" s="36">
        <v>0</v>
      </c>
      <c r="J160" s="27">
        <v>80</v>
      </c>
      <c r="M160" s="28">
        <f>ROUND(ROUND(J160, 2)*I160, 2)</f>
        <v>0</v>
      </c>
      <c r="P160" s="27">
        <v>80</v>
      </c>
      <c r="S160" s="28">
        <f>ROUND(ROUND(P160, 2)*I160, 2)</f>
        <v>0</v>
      </c>
      <c r="V160" s="9">
        <f>ROUND(ROUND(P160, 2)/1.2, 2)</f>
        <v>66.67</v>
      </c>
      <c r="Y160" s="9">
        <f t="shared" si="10"/>
        <v>0</v>
      </c>
      <c r="AD160" s="4" t="s">
        <v>820</v>
      </c>
      <c r="AE160" s="4" t="s">
        <v>821</v>
      </c>
      <c r="AF160" s="4" t="s">
        <v>822</v>
      </c>
    </row>
    <row r="161" spans="1:35" ht="36" x14ac:dyDescent="0.3">
      <c r="A161" s="10" t="s">
        <v>825</v>
      </c>
      <c r="B161" s="10"/>
      <c r="C161" s="35" t="s">
        <v>804</v>
      </c>
      <c r="D161" s="15"/>
      <c r="E161" s="15" t="s">
        <v>752</v>
      </c>
      <c r="F161" s="25" t="s">
        <v>76</v>
      </c>
      <c r="G161" s="26">
        <v>1</v>
      </c>
      <c r="H161" s="36"/>
      <c r="I161" s="36">
        <v>0</v>
      </c>
      <c r="J161" s="27">
        <v>7.59</v>
      </c>
      <c r="M161" s="28">
        <f>ROUND(ROUND(J161, 2)*I161, 2)</f>
        <v>0</v>
      </c>
      <c r="P161" s="27">
        <v>8.35</v>
      </c>
      <c r="S161" s="28">
        <f>ROUND(ROUND(P161, 2)*I161, 2)</f>
        <v>0</v>
      </c>
      <c r="V161" s="9">
        <f>ROUND(ROUND(P161, 2)/1.2, 2)</f>
        <v>6.96</v>
      </c>
      <c r="Y161" s="9">
        <f t="shared" si="10"/>
        <v>0</v>
      </c>
      <c r="AD161" s="4" t="s">
        <v>826</v>
      </c>
      <c r="AE161" s="4" t="s">
        <v>827</v>
      </c>
      <c r="AF161" s="4" t="s">
        <v>807</v>
      </c>
    </row>
    <row r="162" spans="1:35" ht="54" x14ac:dyDescent="0.3">
      <c r="A162" s="10" t="s">
        <v>830</v>
      </c>
      <c r="B162" s="10" t="s">
        <v>732</v>
      </c>
      <c r="C162" s="14" t="s">
        <v>733</v>
      </c>
      <c r="D162" s="15"/>
      <c r="E162" s="15" t="s">
        <v>831</v>
      </c>
      <c r="F162" s="15" t="s">
        <v>57</v>
      </c>
      <c r="G162" s="16">
        <v>1</v>
      </c>
      <c r="H162" s="16"/>
      <c r="I162" s="16">
        <v>0</v>
      </c>
      <c r="J162" s="17">
        <v>286.08</v>
      </c>
      <c r="K162" s="18">
        <v>826</v>
      </c>
      <c r="L162" s="17">
        <f>J162+ROUND(K162, 2)</f>
        <v>1112.08</v>
      </c>
      <c r="M162" s="17">
        <v>0</v>
      </c>
      <c r="N162" s="17">
        <v>0</v>
      </c>
      <c r="O162" s="17">
        <f>M162+N162</f>
        <v>0</v>
      </c>
      <c r="P162" s="17">
        <v>286.08</v>
      </c>
      <c r="Q162" s="18">
        <v>826</v>
      </c>
      <c r="R162" s="17">
        <f>P162+ROUND(Q162, 2)</f>
        <v>1112.08</v>
      </c>
      <c r="S162" s="17">
        <v>0</v>
      </c>
      <c r="T162" s="17">
        <v>0</v>
      </c>
      <c r="U162" s="17">
        <f>S162+T162</f>
        <v>0</v>
      </c>
      <c r="V162" s="9">
        <f>ROUND(P162 / 1.2, 2)</f>
        <v>238.4</v>
      </c>
      <c r="W162" s="9">
        <f>ROUND(Q162 / 1.2, 2)</f>
        <v>688.33</v>
      </c>
      <c r="X162" s="9">
        <f>ROUND(R162 / 1.2, 2)</f>
        <v>926.73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341534376</v>
      </c>
      <c r="AE162" s="4">
        <v>25837390</v>
      </c>
      <c r="AG162" s="4" t="s">
        <v>735</v>
      </c>
      <c r="AH162" s="4" t="s">
        <v>736</v>
      </c>
      <c r="AI162" s="4" t="s">
        <v>241</v>
      </c>
    </row>
    <row r="163" spans="1:35" ht="18" x14ac:dyDescent="0.3">
      <c r="A163" s="10" t="s">
        <v>833</v>
      </c>
      <c r="B163" s="10"/>
      <c r="C163" s="24" t="s">
        <v>759</v>
      </c>
      <c r="D163" s="15"/>
      <c r="E163" s="15"/>
      <c r="F163" s="25" t="s">
        <v>123</v>
      </c>
      <c r="G163" s="26">
        <v>1.1000000000000001</v>
      </c>
      <c r="H163" s="36"/>
      <c r="I163" s="36">
        <v>0</v>
      </c>
      <c r="J163" s="27">
        <v>18.34</v>
      </c>
      <c r="M163" s="28">
        <f>ROUND(ROUND(J163, 2)*I163, 2)</f>
        <v>0</v>
      </c>
      <c r="P163" s="27">
        <v>18.34</v>
      </c>
      <c r="S163" s="28">
        <f>ROUND(ROUND(P163, 2)*I163, 2)</f>
        <v>0</v>
      </c>
      <c r="V163" s="9">
        <f>ROUND(ROUND(P163, 2)/1.2, 2)</f>
        <v>15.28</v>
      </c>
      <c r="Y163" s="9">
        <f t="shared" si="10"/>
        <v>0</v>
      </c>
      <c r="AD163" s="4" t="s">
        <v>834</v>
      </c>
      <c r="AE163" s="4" t="s">
        <v>835</v>
      </c>
      <c r="AF163" s="4" t="s">
        <v>762</v>
      </c>
    </row>
    <row r="164" spans="1:35" ht="18" x14ac:dyDescent="0.3">
      <c r="A164" s="10" t="s">
        <v>838</v>
      </c>
      <c r="B164" s="10"/>
      <c r="C164" s="24" t="s">
        <v>751</v>
      </c>
      <c r="D164" s="15"/>
      <c r="E164" s="15" t="s">
        <v>752</v>
      </c>
      <c r="F164" s="25" t="s">
        <v>76</v>
      </c>
      <c r="G164" s="26">
        <v>1.8</v>
      </c>
      <c r="H164" s="36"/>
      <c r="I164" s="36">
        <v>0</v>
      </c>
      <c r="J164" s="27">
        <v>5.85</v>
      </c>
      <c r="M164" s="28">
        <f>ROUND(ROUND(J164, 2)*I164, 2)</f>
        <v>0</v>
      </c>
      <c r="P164" s="27">
        <v>5.85</v>
      </c>
      <c r="S164" s="28">
        <f>ROUND(ROUND(P164, 2)*I164, 2)</f>
        <v>0</v>
      </c>
      <c r="V164" s="9">
        <f>ROUND(ROUND(P164, 2)/1.2, 2)</f>
        <v>4.88</v>
      </c>
      <c r="Y164" s="9">
        <f t="shared" si="10"/>
        <v>0</v>
      </c>
      <c r="AD164" s="4" t="s">
        <v>839</v>
      </c>
      <c r="AE164" s="4" t="s">
        <v>840</v>
      </c>
      <c r="AF164" s="4" t="s">
        <v>755</v>
      </c>
    </row>
    <row r="165" spans="1:35" ht="18" x14ac:dyDescent="0.3">
      <c r="A165" s="10" t="s">
        <v>843</v>
      </c>
      <c r="B165" s="10"/>
      <c r="C165" s="24" t="s">
        <v>310</v>
      </c>
      <c r="D165" s="15"/>
      <c r="E165" s="15"/>
      <c r="F165" s="25" t="s">
        <v>76</v>
      </c>
      <c r="G165" s="26">
        <v>0.25</v>
      </c>
      <c r="H165" s="26"/>
      <c r="I165" s="26">
        <v>0</v>
      </c>
      <c r="J165" s="27">
        <v>100</v>
      </c>
      <c r="M165" s="28">
        <f>ROUND(ROUND(J165, 2)*I165, 2)</f>
        <v>0</v>
      </c>
      <c r="P165" s="27">
        <v>100</v>
      </c>
      <c r="S165" s="28">
        <f>ROUND(ROUND(P165, 2)*I165, 2)</f>
        <v>0</v>
      </c>
      <c r="V165" s="9">
        <f>ROUND(ROUND(P165, 2)/1.2, 2)</f>
        <v>83.33</v>
      </c>
      <c r="Y165" s="9">
        <f t="shared" si="10"/>
        <v>0</v>
      </c>
      <c r="AD165" s="4" t="s">
        <v>844</v>
      </c>
      <c r="AE165" s="4" t="s">
        <v>845</v>
      </c>
      <c r="AF165" s="4" t="s">
        <v>313</v>
      </c>
    </row>
    <row r="166" spans="1:35" ht="18" x14ac:dyDescent="0.3">
      <c r="A166" s="10" t="s">
        <v>848</v>
      </c>
      <c r="B166" s="10"/>
      <c r="C166" s="24" t="s">
        <v>739</v>
      </c>
      <c r="D166" s="15"/>
      <c r="E166" s="15"/>
      <c r="F166" s="25" t="s">
        <v>57</v>
      </c>
      <c r="G166" s="26">
        <v>1.1000000000000001</v>
      </c>
      <c r="H166" s="26"/>
      <c r="I166" s="26">
        <v>0</v>
      </c>
      <c r="J166" s="27">
        <v>27.55</v>
      </c>
      <c r="M166" s="28">
        <f>ROUND(ROUND(J166, 2)*I166, 2)</f>
        <v>0</v>
      </c>
      <c r="P166" s="27">
        <v>27.55</v>
      </c>
      <c r="S166" s="28">
        <f>ROUND(ROUND(P166, 2)*I166, 2)</f>
        <v>0</v>
      </c>
      <c r="V166" s="9">
        <f>ROUND(ROUND(P166, 2)/1.2, 2)</f>
        <v>22.96</v>
      </c>
      <c r="Y166" s="9">
        <f t="shared" si="10"/>
        <v>0</v>
      </c>
      <c r="AD166" s="4" t="s">
        <v>849</v>
      </c>
      <c r="AE166" s="4" t="s">
        <v>850</v>
      </c>
      <c r="AF166" s="4" t="s">
        <v>742</v>
      </c>
    </row>
    <row r="167" spans="1:35" ht="54" x14ac:dyDescent="0.3">
      <c r="A167" s="10" t="s">
        <v>853</v>
      </c>
      <c r="B167" s="10" t="s">
        <v>732</v>
      </c>
      <c r="C167" s="14" t="s">
        <v>733</v>
      </c>
      <c r="D167" s="15"/>
      <c r="E167" s="15" t="s">
        <v>854</v>
      </c>
      <c r="F167" s="15" t="s">
        <v>57</v>
      </c>
      <c r="G167" s="16">
        <v>1</v>
      </c>
      <c r="H167" s="16"/>
      <c r="I167" s="16">
        <v>0</v>
      </c>
      <c r="J167" s="17">
        <v>273.08</v>
      </c>
      <c r="K167" s="18">
        <v>826</v>
      </c>
      <c r="L167" s="17">
        <f>J167+ROUND(K167, 2)</f>
        <v>1099.08</v>
      </c>
      <c r="M167" s="17">
        <v>0</v>
      </c>
      <c r="N167" s="17">
        <v>0</v>
      </c>
      <c r="O167" s="17">
        <f>M167+N167</f>
        <v>0</v>
      </c>
      <c r="P167" s="17">
        <v>273.08</v>
      </c>
      <c r="Q167" s="18">
        <v>826</v>
      </c>
      <c r="R167" s="17">
        <f>P167+ROUND(Q167, 2)</f>
        <v>1099.08</v>
      </c>
      <c r="S167" s="17">
        <v>0</v>
      </c>
      <c r="T167" s="17">
        <v>0</v>
      </c>
      <c r="U167" s="17">
        <f>S167+T167</f>
        <v>0</v>
      </c>
      <c r="V167" s="9">
        <f>ROUND(P167 / 1.2, 2)</f>
        <v>227.57</v>
      </c>
      <c r="W167" s="9">
        <f>ROUND(Q167 / 1.2, 2)</f>
        <v>688.33</v>
      </c>
      <c r="X167" s="9">
        <f>ROUND(R167 / 1.2, 2)</f>
        <v>915.9</v>
      </c>
      <c r="Y167" s="9">
        <f t="shared" si="10"/>
        <v>0</v>
      </c>
      <c r="Z167" s="9">
        <f>ROUND(T167 / 1.2, 2)</f>
        <v>0</v>
      </c>
      <c r="AA167" s="9">
        <f>Y167+Z167</f>
        <v>0</v>
      </c>
      <c r="AD167" s="4">
        <v>341534377</v>
      </c>
      <c r="AE167" s="4">
        <v>25837375</v>
      </c>
      <c r="AG167" s="4" t="s">
        <v>735</v>
      </c>
      <c r="AH167" s="4" t="s">
        <v>736</v>
      </c>
      <c r="AI167" s="4" t="s">
        <v>241</v>
      </c>
    </row>
    <row r="168" spans="1:35" ht="18" x14ac:dyDescent="0.3">
      <c r="A168" s="10" t="s">
        <v>856</v>
      </c>
      <c r="B168" s="10"/>
      <c r="C168" s="24" t="s">
        <v>759</v>
      </c>
      <c r="D168" s="15"/>
      <c r="E168" s="15"/>
      <c r="F168" s="25" t="s">
        <v>123</v>
      </c>
      <c r="G168" s="26">
        <v>1.1000000000000001</v>
      </c>
      <c r="H168" s="36"/>
      <c r="I168" s="36">
        <v>0</v>
      </c>
      <c r="J168" s="27">
        <v>18.34</v>
      </c>
      <c r="M168" s="28">
        <f>ROUND(ROUND(J168, 2)*I168, 2)</f>
        <v>0</v>
      </c>
      <c r="P168" s="27">
        <v>18.34</v>
      </c>
      <c r="S168" s="28">
        <f>ROUND(ROUND(P168, 2)*I168, 2)</f>
        <v>0</v>
      </c>
      <c r="V168" s="9">
        <f>ROUND(ROUND(P168, 2)/1.2, 2)</f>
        <v>15.28</v>
      </c>
      <c r="Y168" s="9">
        <f t="shared" si="10"/>
        <v>0</v>
      </c>
      <c r="AD168" s="4" t="s">
        <v>857</v>
      </c>
      <c r="AE168" s="4" t="s">
        <v>858</v>
      </c>
      <c r="AF168" s="4" t="s">
        <v>762</v>
      </c>
    </row>
    <row r="169" spans="1:35" ht="18" x14ac:dyDescent="0.3">
      <c r="A169" s="10" t="s">
        <v>861</v>
      </c>
      <c r="B169" s="10"/>
      <c r="C169" s="24" t="s">
        <v>751</v>
      </c>
      <c r="D169" s="15"/>
      <c r="E169" s="15" t="s">
        <v>752</v>
      </c>
      <c r="F169" s="25" t="s">
        <v>76</v>
      </c>
      <c r="G169" s="26">
        <v>1.8</v>
      </c>
      <c r="H169" s="36"/>
      <c r="I169" s="36">
        <v>0</v>
      </c>
      <c r="J169" s="27">
        <v>5.85</v>
      </c>
      <c r="M169" s="28">
        <f>ROUND(ROUND(J169, 2)*I169, 2)</f>
        <v>0</v>
      </c>
      <c r="P169" s="27">
        <v>5.85</v>
      </c>
      <c r="S169" s="28">
        <f>ROUND(ROUND(P169, 2)*I169, 2)</f>
        <v>0</v>
      </c>
      <c r="V169" s="9">
        <f>ROUND(ROUND(P169, 2)/1.2, 2)</f>
        <v>4.88</v>
      </c>
      <c r="Y169" s="9">
        <f t="shared" si="10"/>
        <v>0</v>
      </c>
      <c r="AD169" s="4" t="s">
        <v>862</v>
      </c>
      <c r="AE169" s="4" t="s">
        <v>863</v>
      </c>
      <c r="AF169" s="4" t="s">
        <v>755</v>
      </c>
    </row>
    <row r="170" spans="1:35" ht="36" x14ac:dyDescent="0.3">
      <c r="A170" s="10" t="s">
        <v>866</v>
      </c>
      <c r="B170" s="10"/>
      <c r="C170" s="24" t="s">
        <v>819</v>
      </c>
      <c r="D170" s="15"/>
      <c r="E170" s="15"/>
      <c r="F170" s="25" t="s">
        <v>76</v>
      </c>
      <c r="G170" s="26">
        <v>0.15</v>
      </c>
      <c r="H170" s="36"/>
      <c r="I170" s="36">
        <v>0</v>
      </c>
      <c r="J170" s="27">
        <v>80</v>
      </c>
      <c r="M170" s="28">
        <f>ROUND(ROUND(J170, 2)*I170, 2)</f>
        <v>0</v>
      </c>
      <c r="P170" s="27">
        <v>80</v>
      </c>
      <c r="S170" s="28">
        <f>ROUND(ROUND(P170, 2)*I170, 2)</f>
        <v>0</v>
      </c>
      <c r="V170" s="9">
        <f>ROUND(ROUND(P170, 2)/1.2, 2)</f>
        <v>66.67</v>
      </c>
      <c r="Y170" s="9">
        <f t="shared" si="10"/>
        <v>0</v>
      </c>
      <c r="AD170" s="4" t="s">
        <v>867</v>
      </c>
      <c r="AE170" s="4" t="s">
        <v>868</v>
      </c>
      <c r="AF170" s="4" t="s">
        <v>822</v>
      </c>
    </row>
    <row r="171" spans="1:35" ht="18" x14ac:dyDescent="0.3">
      <c r="A171" s="10" t="s">
        <v>871</v>
      </c>
      <c r="B171" s="10"/>
      <c r="C171" s="24" t="s">
        <v>739</v>
      </c>
      <c r="D171" s="15"/>
      <c r="E171" s="15"/>
      <c r="F171" s="25" t="s">
        <v>57</v>
      </c>
      <c r="G171" s="26">
        <v>1.1000000000000001</v>
      </c>
      <c r="H171" s="26"/>
      <c r="I171" s="26">
        <v>0</v>
      </c>
      <c r="J171" s="27">
        <v>27.55</v>
      </c>
      <c r="M171" s="28">
        <f>ROUND(ROUND(J171, 2)*I171, 2)</f>
        <v>0</v>
      </c>
      <c r="P171" s="27">
        <v>27.55</v>
      </c>
      <c r="S171" s="28">
        <f>ROUND(ROUND(P171, 2)*I171, 2)</f>
        <v>0</v>
      </c>
      <c r="V171" s="9">
        <f>ROUND(ROUND(P171, 2)/1.2, 2)</f>
        <v>22.96</v>
      </c>
      <c r="Y171" s="9">
        <f t="shared" si="10"/>
        <v>0</v>
      </c>
      <c r="AD171" s="4" t="s">
        <v>872</v>
      </c>
      <c r="AE171" s="4" t="s">
        <v>873</v>
      </c>
      <c r="AF171" s="4" t="s">
        <v>742</v>
      </c>
    </row>
    <row r="172" spans="1:35" ht="54" x14ac:dyDescent="0.3">
      <c r="A172" s="10" t="s">
        <v>876</v>
      </c>
      <c r="B172" s="10" t="s">
        <v>732</v>
      </c>
      <c r="C172" s="14" t="s">
        <v>733</v>
      </c>
      <c r="D172" s="15"/>
      <c r="E172" s="15" t="s">
        <v>877</v>
      </c>
      <c r="F172" s="15" t="s">
        <v>57</v>
      </c>
      <c r="G172" s="16">
        <v>1</v>
      </c>
      <c r="H172" s="16"/>
      <c r="I172" s="16">
        <v>0</v>
      </c>
      <c r="J172" s="17">
        <v>252.9</v>
      </c>
      <c r="K172" s="18">
        <v>826</v>
      </c>
      <c r="L172" s="17">
        <f>J172+ROUND(K172, 2)</f>
        <v>1078.9000000000001</v>
      </c>
      <c r="M172" s="17">
        <v>0</v>
      </c>
      <c r="N172" s="17">
        <v>0</v>
      </c>
      <c r="O172" s="17">
        <f>M172+N172</f>
        <v>0</v>
      </c>
      <c r="P172" s="17">
        <v>252.9</v>
      </c>
      <c r="Q172" s="18">
        <v>826</v>
      </c>
      <c r="R172" s="17">
        <f>P172+ROUND(Q172, 2)</f>
        <v>1078.9000000000001</v>
      </c>
      <c r="S172" s="17">
        <v>0</v>
      </c>
      <c r="T172" s="17">
        <v>0</v>
      </c>
      <c r="U172" s="17">
        <f>S172+T172</f>
        <v>0</v>
      </c>
      <c r="V172" s="9">
        <f>ROUND(P172 / 1.2, 2)</f>
        <v>210.75</v>
      </c>
      <c r="W172" s="9">
        <f>ROUND(Q172 / 1.2, 2)</f>
        <v>688.33</v>
      </c>
      <c r="X172" s="9">
        <f>ROUND(R172 / 1.2, 2)</f>
        <v>899.08</v>
      </c>
      <c r="Y172" s="9">
        <f t="shared" si="10"/>
        <v>0</v>
      </c>
      <c r="Z172" s="9">
        <f>ROUND(T172 / 1.2, 2)</f>
        <v>0</v>
      </c>
      <c r="AA172" s="9">
        <f>Y172+Z172</f>
        <v>0</v>
      </c>
      <c r="AD172" s="4">
        <v>341534378</v>
      </c>
      <c r="AE172" s="4">
        <v>25837400</v>
      </c>
      <c r="AG172" s="4" t="s">
        <v>735</v>
      </c>
      <c r="AH172" s="4" t="s">
        <v>736</v>
      </c>
      <c r="AI172" s="4" t="s">
        <v>241</v>
      </c>
    </row>
    <row r="173" spans="1:35" ht="18" x14ac:dyDescent="0.3">
      <c r="A173" s="10" t="s">
        <v>879</v>
      </c>
      <c r="B173" s="10"/>
      <c r="C173" s="24" t="s">
        <v>751</v>
      </c>
      <c r="D173" s="15"/>
      <c r="E173" s="15" t="s">
        <v>880</v>
      </c>
      <c r="F173" s="25" t="s">
        <v>76</v>
      </c>
      <c r="G173" s="26">
        <v>1.8</v>
      </c>
      <c r="H173" s="36"/>
      <c r="I173" s="36">
        <v>0</v>
      </c>
      <c r="J173" s="27">
        <v>5.85</v>
      </c>
      <c r="M173" s="28">
        <f>ROUND(ROUND(J173, 2)*I173, 2)</f>
        <v>0</v>
      </c>
      <c r="P173" s="27">
        <v>5.85</v>
      </c>
      <c r="S173" s="28">
        <f>ROUND(ROUND(P173, 2)*I173, 2)</f>
        <v>0</v>
      </c>
      <c r="V173" s="9">
        <f>ROUND(ROUND(P173, 2)/1.2, 2)</f>
        <v>4.88</v>
      </c>
      <c r="Y173" s="9">
        <f t="shared" si="10"/>
        <v>0</v>
      </c>
      <c r="AD173" s="4" t="s">
        <v>881</v>
      </c>
      <c r="AE173" s="4" t="s">
        <v>882</v>
      </c>
      <c r="AF173" s="4" t="s">
        <v>755</v>
      </c>
    </row>
    <row r="174" spans="1:35" ht="36" x14ac:dyDescent="0.3">
      <c r="A174" s="10" t="s">
        <v>885</v>
      </c>
      <c r="B174" s="10"/>
      <c r="C174" s="24" t="s">
        <v>819</v>
      </c>
      <c r="D174" s="15"/>
      <c r="E174" s="15"/>
      <c r="F174" s="25" t="s">
        <v>76</v>
      </c>
      <c r="G174" s="26">
        <v>0.15</v>
      </c>
      <c r="H174" s="36"/>
      <c r="I174" s="36">
        <v>0</v>
      </c>
      <c r="J174" s="27">
        <v>80</v>
      </c>
      <c r="M174" s="28">
        <f>ROUND(ROUND(J174, 2)*I174, 2)</f>
        <v>0</v>
      </c>
      <c r="P174" s="27">
        <v>80</v>
      </c>
      <c r="S174" s="28">
        <f>ROUND(ROUND(P174, 2)*I174, 2)</f>
        <v>0</v>
      </c>
      <c r="V174" s="9">
        <f>ROUND(ROUND(P174, 2)/1.2, 2)</f>
        <v>66.67</v>
      </c>
      <c r="Y174" s="9">
        <f t="shared" ref="Y174:Y205" si="11">ROUND(S174 / 1.2, 2)</f>
        <v>0</v>
      </c>
      <c r="AD174" s="4" t="s">
        <v>886</v>
      </c>
      <c r="AE174" s="4" t="s">
        <v>887</v>
      </c>
      <c r="AF174" s="4" t="s">
        <v>822</v>
      </c>
    </row>
    <row r="175" spans="1:35" ht="18" x14ac:dyDescent="0.3">
      <c r="A175" s="10" t="s">
        <v>890</v>
      </c>
      <c r="B175" s="10"/>
      <c r="C175" s="24" t="s">
        <v>739</v>
      </c>
      <c r="D175" s="15"/>
      <c r="E175" s="15"/>
      <c r="F175" s="25" t="s">
        <v>57</v>
      </c>
      <c r="G175" s="26">
        <v>1.1000000000000001</v>
      </c>
      <c r="H175" s="26"/>
      <c r="I175" s="26">
        <v>0</v>
      </c>
      <c r="J175" s="27">
        <v>27.55</v>
      </c>
      <c r="M175" s="28">
        <f>ROUND(ROUND(J175, 2)*I175, 2)</f>
        <v>0</v>
      </c>
      <c r="P175" s="27">
        <v>27.55</v>
      </c>
      <c r="S175" s="28">
        <f>ROUND(ROUND(P175, 2)*I175, 2)</f>
        <v>0</v>
      </c>
      <c r="V175" s="9">
        <f>ROUND(ROUND(P175, 2)/1.2, 2)</f>
        <v>22.96</v>
      </c>
      <c r="Y175" s="9">
        <f t="shared" si="11"/>
        <v>0</v>
      </c>
      <c r="AD175" s="4" t="s">
        <v>891</v>
      </c>
      <c r="AE175" s="4" t="s">
        <v>892</v>
      </c>
      <c r="AF175" s="4" t="s">
        <v>742</v>
      </c>
    </row>
    <row r="176" spans="1:35" ht="54" x14ac:dyDescent="0.3">
      <c r="A176" s="10" t="s">
        <v>895</v>
      </c>
      <c r="B176" s="10" t="s">
        <v>896</v>
      </c>
      <c r="C176" s="14" t="s">
        <v>897</v>
      </c>
      <c r="D176" s="15"/>
      <c r="E176" s="15" t="s">
        <v>898</v>
      </c>
      <c r="F176" s="15" t="s">
        <v>57</v>
      </c>
      <c r="G176" s="16">
        <v>1</v>
      </c>
      <c r="H176" s="16"/>
      <c r="I176" s="16">
        <v>754.1</v>
      </c>
      <c r="J176" s="17">
        <v>70.430000000000007</v>
      </c>
      <c r="K176" s="18">
        <v>329</v>
      </c>
      <c r="L176" s="17">
        <f>J176+ROUND(K176, 2)</f>
        <v>399.43</v>
      </c>
      <c r="M176" s="17">
        <v>53111.26</v>
      </c>
      <c r="N176" s="17">
        <v>248098.9</v>
      </c>
      <c r="O176" s="17">
        <f>M176+N176</f>
        <v>301210.15999999997</v>
      </c>
      <c r="P176" s="17">
        <v>70.430000000000007</v>
      </c>
      <c r="Q176" s="18">
        <v>329</v>
      </c>
      <c r="R176" s="17">
        <f>P176+ROUND(Q176, 2)</f>
        <v>399.43</v>
      </c>
      <c r="S176" s="17">
        <v>53111.26</v>
      </c>
      <c r="T176" s="17">
        <v>248098.9</v>
      </c>
      <c r="U176" s="17">
        <f>S176+T176</f>
        <v>301210.15999999997</v>
      </c>
      <c r="V176" s="9">
        <f>ROUND(P176 / 1.2, 2)</f>
        <v>58.69</v>
      </c>
      <c r="W176" s="9">
        <f>ROUND(Q176 / 1.2, 2)</f>
        <v>274.17</v>
      </c>
      <c r="X176" s="9">
        <f>ROUND(R176 / 1.2, 2)</f>
        <v>332.86</v>
      </c>
      <c r="Y176" s="9">
        <f t="shared" si="11"/>
        <v>44259.38</v>
      </c>
      <c r="Z176" s="9">
        <f>ROUND(T176 / 1.2, 2)</f>
        <v>206749.08</v>
      </c>
      <c r="AA176" s="9">
        <f>Y176+Z176</f>
        <v>251008.46</v>
      </c>
      <c r="AD176" s="4">
        <v>341534325</v>
      </c>
      <c r="AE176" s="4">
        <v>25837404</v>
      </c>
      <c r="AG176" s="4" t="s">
        <v>899</v>
      </c>
      <c r="AH176" s="4" t="s">
        <v>900</v>
      </c>
      <c r="AI176" s="4" t="s">
        <v>241</v>
      </c>
    </row>
    <row r="177" spans="1:35" ht="18" x14ac:dyDescent="0.3">
      <c r="A177" s="10" t="s">
        <v>901</v>
      </c>
      <c r="B177" s="10"/>
      <c r="C177" s="24" t="s">
        <v>902</v>
      </c>
      <c r="D177" s="15"/>
      <c r="E177" s="15"/>
      <c r="F177" s="25" t="s">
        <v>76</v>
      </c>
      <c r="G177" s="26">
        <v>2</v>
      </c>
      <c r="H177" s="26"/>
      <c r="I177" s="26">
        <v>1508.2</v>
      </c>
      <c r="J177" s="27">
        <v>23</v>
      </c>
      <c r="M177" s="28">
        <f>ROUND(ROUND(J177, 2)*I177, 2)</f>
        <v>34688.6</v>
      </c>
      <c r="P177" s="27">
        <v>23</v>
      </c>
      <c r="S177" s="28">
        <f>ROUND(ROUND(P177, 2)*I177, 2)</f>
        <v>34688.6</v>
      </c>
      <c r="V177" s="9">
        <f>ROUND(ROUND(P177, 2)/1.2, 2)</f>
        <v>19.170000000000002</v>
      </c>
      <c r="Y177" s="9">
        <f t="shared" si="11"/>
        <v>28907.17</v>
      </c>
      <c r="AD177" s="4" t="s">
        <v>903</v>
      </c>
      <c r="AE177" s="4" t="s">
        <v>904</v>
      </c>
      <c r="AF177" s="4" t="s">
        <v>905</v>
      </c>
    </row>
    <row r="178" spans="1:35" ht="18" x14ac:dyDescent="0.3">
      <c r="A178" s="10" t="s">
        <v>906</v>
      </c>
      <c r="B178" s="10"/>
      <c r="C178" s="24" t="s">
        <v>907</v>
      </c>
      <c r="D178" s="15"/>
      <c r="E178" s="15"/>
      <c r="F178" s="25" t="s">
        <v>98</v>
      </c>
      <c r="G178" s="26">
        <v>0.3</v>
      </c>
      <c r="H178" s="36"/>
      <c r="I178" s="36">
        <v>226.23</v>
      </c>
      <c r="J178" s="27">
        <v>37.049999999999997</v>
      </c>
      <c r="M178" s="28">
        <f>ROUND(ROUND(J178, 2)*I178, 2)</f>
        <v>8381.82</v>
      </c>
      <c r="P178" s="27">
        <v>37.049999999999997</v>
      </c>
      <c r="S178" s="28">
        <f>ROUND(ROUND(P178, 2)*I178, 2)</f>
        <v>8381.82</v>
      </c>
      <c r="V178" s="9">
        <f>ROUND(ROUND(P178, 2)/1.2, 2)</f>
        <v>30.88</v>
      </c>
      <c r="Y178" s="9">
        <f t="shared" si="11"/>
        <v>6984.85</v>
      </c>
      <c r="AD178" s="4" t="s">
        <v>908</v>
      </c>
      <c r="AE178" s="4" t="s">
        <v>909</v>
      </c>
      <c r="AF178" s="4" t="s">
        <v>910</v>
      </c>
    </row>
    <row r="179" spans="1:35" ht="36" x14ac:dyDescent="0.3">
      <c r="A179" s="10" t="s">
        <v>911</v>
      </c>
      <c r="B179" s="10"/>
      <c r="C179" s="24" t="s">
        <v>509</v>
      </c>
      <c r="D179" s="15"/>
      <c r="E179" s="15"/>
      <c r="F179" s="25" t="s">
        <v>76</v>
      </c>
      <c r="G179" s="26">
        <v>0.15</v>
      </c>
      <c r="H179" s="26"/>
      <c r="I179" s="26">
        <v>113.11499999999999</v>
      </c>
      <c r="J179" s="27">
        <v>88.8</v>
      </c>
      <c r="M179" s="28">
        <f>ROUND(ROUND(J179, 2)*I179, 2)</f>
        <v>10044.61</v>
      </c>
      <c r="P179" s="27">
        <v>88.8</v>
      </c>
      <c r="S179" s="28">
        <f>ROUND(ROUND(P179, 2)*I179, 2)</f>
        <v>10044.61</v>
      </c>
      <c r="V179" s="9">
        <f>ROUND(ROUND(P179, 2)/1.2, 2)</f>
        <v>74</v>
      </c>
      <c r="Y179" s="9">
        <f t="shared" si="11"/>
        <v>8370.51</v>
      </c>
      <c r="AD179" s="4" t="s">
        <v>912</v>
      </c>
      <c r="AE179" s="4" t="s">
        <v>913</v>
      </c>
      <c r="AF179" s="4" t="s">
        <v>512</v>
      </c>
    </row>
    <row r="180" spans="1:35" ht="54" x14ac:dyDescent="0.3">
      <c r="A180" s="10" t="s">
        <v>914</v>
      </c>
      <c r="B180" s="10" t="s">
        <v>896</v>
      </c>
      <c r="C180" s="14" t="s">
        <v>897</v>
      </c>
      <c r="D180" s="15"/>
      <c r="E180" s="15" t="s">
        <v>898</v>
      </c>
      <c r="F180" s="15" t="s">
        <v>57</v>
      </c>
      <c r="G180" s="16">
        <v>1</v>
      </c>
      <c r="H180" s="16"/>
      <c r="I180" s="16">
        <v>754.1</v>
      </c>
      <c r="J180" s="17">
        <v>84.43</v>
      </c>
      <c r="K180" s="18">
        <v>329</v>
      </c>
      <c r="L180" s="17">
        <f>J180+ROUND(K180, 2)</f>
        <v>413.43</v>
      </c>
      <c r="M180" s="17">
        <v>63668.66</v>
      </c>
      <c r="N180" s="17">
        <v>248098.9</v>
      </c>
      <c r="O180" s="17">
        <f>M180+N180</f>
        <v>311767.56</v>
      </c>
      <c r="P180" s="17">
        <v>37.01</v>
      </c>
      <c r="Q180" s="18">
        <v>329</v>
      </c>
      <c r="R180" s="17">
        <f>P180+ROUND(Q180, 2)</f>
        <v>366.01</v>
      </c>
      <c r="S180" s="17">
        <v>27909.24</v>
      </c>
      <c r="T180" s="17">
        <v>248098.9</v>
      </c>
      <c r="U180" s="17">
        <f>S180+T180</f>
        <v>276008.14</v>
      </c>
      <c r="V180" s="9">
        <f>ROUND(P180 / 1.2, 2)</f>
        <v>30.84</v>
      </c>
      <c r="W180" s="9">
        <f>ROUND(Q180 / 1.2, 2)</f>
        <v>274.17</v>
      </c>
      <c r="X180" s="9">
        <f>ROUND(R180 / 1.2, 2)</f>
        <v>305.01</v>
      </c>
      <c r="Y180" s="9">
        <f t="shared" si="11"/>
        <v>23257.7</v>
      </c>
      <c r="Z180" s="9">
        <f>ROUND(T180 / 1.2, 2)</f>
        <v>206749.08</v>
      </c>
      <c r="AA180" s="9">
        <f>Y180+Z180</f>
        <v>230006.78</v>
      </c>
      <c r="AD180" s="4">
        <v>341534379</v>
      </c>
      <c r="AE180" s="4">
        <v>25837405</v>
      </c>
      <c r="AG180" s="4" t="s">
        <v>899</v>
      </c>
      <c r="AH180" s="4" t="s">
        <v>900</v>
      </c>
      <c r="AI180" s="4" t="s">
        <v>241</v>
      </c>
    </row>
    <row r="181" spans="1:35" ht="36" x14ac:dyDescent="0.3">
      <c r="A181" s="10" t="s">
        <v>915</v>
      </c>
      <c r="B181" s="10"/>
      <c r="C181" s="24" t="s">
        <v>509</v>
      </c>
      <c r="D181" s="15"/>
      <c r="E181" s="15"/>
      <c r="F181" s="25" t="s">
        <v>76</v>
      </c>
      <c r="G181" s="26">
        <v>0.15</v>
      </c>
      <c r="H181" s="26"/>
      <c r="I181" s="26">
        <v>113.11499999999999</v>
      </c>
      <c r="J181" s="27">
        <v>88.8</v>
      </c>
      <c r="M181" s="28">
        <f>ROUND(ROUND(J181, 2)*I181, 2)</f>
        <v>10044.61</v>
      </c>
      <c r="P181" s="27">
        <v>88.8</v>
      </c>
      <c r="S181" s="28">
        <f>ROUND(ROUND(P181, 2)*I181, 2)</f>
        <v>10044.61</v>
      </c>
      <c r="V181" s="9">
        <f>ROUND(ROUND(P181, 2)/1.2, 2)</f>
        <v>74</v>
      </c>
      <c r="Y181" s="9">
        <f t="shared" si="11"/>
        <v>8370.51</v>
      </c>
      <c r="AD181" s="4" t="s">
        <v>916</v>
      </c>
      <c r="AE181" s="4" t="s">
        <v>917</v>
      </c>
      <c r="AF181" s="4" t="s">
        <v>512</v>
      </c>
    </row>
    <row r="182" spans="1:35" ht="18" x14ac:dyDescent="0.3">
      <c r="A182" s="10" t="s">
        <v>918</v>
      </c>
      <c r="B182" s="10"/>
      <c r="C182" s="24" t="s">
        <v>907</v>
      </c>
      <c r="D182" s="15"/>
      <c r="E182" s="15"/>
      <c r="F182" s="25" t="s">
        <v>98</v>
      </c>
      <c r="G182" s="26">
        <v>0.3</v>
      </c>
      <c r="H182" s="36"/>
      <c r="I182" s="36">
        <v>226.23</v>
      </c>
      <c r="J182" s="27">
        <v>37.049999999999997</v>
      </c>
      <c r="M182" s="28">
        <f>ROUND(ROUND(J182, 2)*I182, 2)</f>
        <v>8381.82</v>
      </c>
      <c r="P182" s="27">
        <v>37.049999999999997</v>
      </c>
      <c r="S182" s="28">
        <f>ROUND(ROUND(P182, 2)*I182, 2)</f>
        <v>8381.82</v>
      </c>
      <c r="V182" s="9">
        <f>ROUND(ROUND(P182, 2)/1.2, 2)</f>
        <v>30.88</v>
      </c>
      <c r="Y182" s="9">
        <f t="shared" si="11"/>
        <v>6984.85</v>
      </c>
      <c r="AD182" s="4" t="s">
        <v>919</v>
      </c>
      <c r="AE182" s="4" t="s">
        <v>920</v>
      </c>
      <c r="AF182" s="4" t="s">
        <v>910</v>
      </c>
    </row>
    <row r="183" spans="1:35" ht="36" x14ac:dyDescent="0.3">
      <c r="A183" s="10" t="s">
        <v>921</v>
      </c>
      <c r="B183" s="10"/>
      <c r="C183" s="24" t="s">
        <v>922</v>
      </c>
      <c r="D183" s="15"/>
      <c r="E183" s="15"/>
      <c r="F183" s="25" t="s">
        <v>76</v>
      </c>
      <c r="G183" s="26">
        <v>1</v>
      </c>
      <c r="H183" s="26"/>
      <c r="I183" s="26">
        <v>754.1</v>
      </c>
      <c r="J183" s="27">
        <v>60</v>
      </c>
      <c r="M183" s="28">
        <f>ROUND(ROUND(J183, 2)*I183, 2)</f>
        <v>45246</v>
      </c>
      <c r="P183" s="27">
        <v>12.58</v>
      </c>
      <c r="S183" s="28">
        <f>ROUND(ROUND(P183, 2)*I183, 2)</f>
        <v>9486.58</v>
      </c>
      <c r="V183" s="9">
        <f>ROUND(ROUND(P183, 2)/1.2, 2)</f>
        <v>10.48</v>
      </c>
      <c r="Y183" s="9">
        <f t="shared" si="11"/>
        <v>7905.48</v>
      </c>
      <c r="AD183" s="4" t="s">
        <v>923</v>
      </c>
      <c r="AE183" s="4" t="s">
        <v>924</v>
      </c>
      <c r="AF183" s="4" t="s">
        <v>925</v>
      </c>
    </row>
    <row r="184" spans="1:35" ht="54" x14ac:dyDescent="0.3">
      <c r="A184" s="10" t="s">
        <v>926</v>
      </c>
      <c r="B184" s="10" t="s">
        <v>896</v>
      </c>
      <c r="C184" s="14" t="s">
        <v>897</v>
      </c>
      <c r="D184" s="15"/>
      <c r="E184" s="15" t="s">
        <v>898</v>
      </c>
      <c r="F184" s="15" t="s">
        <v>57</v>
      </c>
      <c r="G184" s="16">
        <v>1</v>
      </c>
      <c r="H184" s="16"/>
      <c r="I184" s="16">
        <v>754.1</v>
      </c>
      <c r="J184" s="17">
        <v>65.83</v>
      </c>
      <c r="K184" s="18">
        <v>329</v>
      </c>
      <c r="L184" s="17">
        <f>J184+ROUND(K184, 2)</f>
        <v>394.83</v>
      </c>
      <c r="M184" s="17">
        <v>49642.400000000001</v>
      </c>
      <c r="N184" s="17">
        <v>248098.9</v>
      </c>
      <c r="O184" s="17">
        <f>M184+N184</f>
        <v>297741.3</v>
      </c>
      <c r="P184" s="17">
        <v>47.08</v>
      </c>
      <c r="Q184" s="18">
        <v>329</v>
      </c>
      <c r="R184" s="17">
        <f>P184+ROUND(Q184, 2)</f>
        <v>376.08</v>
      </c>
      <c r="S184" s="17">
        <v>35503.03</v>
      </c>
      <c r="T184" s="17">
        <v>248098.9</v>
      </c>
      <c r="U184" s="17">
        <f>S184+T184</f>
        <v>283601.93</v>
      </c>
      <c r="V184" s="9">
        <f>ROUND(P184 / 1.2, 2)</f>
        <v>39.229999999999997</v>
      </c>
      <c r="W184" s="9">
        <f>ROUND(Q184 / 1.2, 2)</f>
        <v>274.17</v>
      </c>
      <c r="X184" s="9">
        <f>ROUND(R184 / 1.2, 2)</f>
        <v>313.39999999999998</v>
      </c>
      <c r="Y184" s="9">
        <f t="shared" si="11"/>
        <v>29585.86</v>
      </c>
      <c r="Z184" s="9">
        <f>ROUND(T184 / 1.2, 2)</f>
        <v>206749.08</v>
      </c>
      <c r="AA184" s="9">
        <f>Y184+Z184</f>
        <v>236334.94</v>
      </c>
      <c r="AD184" s="4">
        <v>341534380</v>
      </c>
      <c r="AE184" s="4">
        <v>25837406</v>
      </c>
      <c r="AG184" s="4" t="s">
        <v>899</v>
      </c>
      <c r="AH184" s="4" t="s">
        <v>900</v>
      </c>
      <c r="AI184" s="4" t="s">
        <v>241</v>
      </c>
    </row>
    <row r="185" spans="1:35" ht="36" x14ac:dyDescent="0.3">
      <c r="A185" s="10" t="s">
        <v>927</v>
      </c>
      <c r="B185" s="10"/>
      <c r="C185" s="24" t="s">
        <v>509</v>
      </c>
      <c r="D185" s="15"/>
      <c r="E185" s="15"/>
      <c r="F185" s="25" t="s">
        <v>76</v>
      </c>
      <c r="G185" s="26">
        <v>0.15</v>
      </c>
      <c r="H185" s="26"/>
      <c r="I185" s="26">
        <v>113.11499999999999</v>
      </c>
      <c r="J185" s="27">
        <v>88.8</v>
      </c>
      <c r="M185" s="28">
        <f>ROUND(ROUND(J185, 2)*I185, 2)</f>
        <v>10044.61</v>
      </c>
      <c r="P185" s="27">
        <v>88.8</v>
      </c>
      <c r="S185" s="28">
        <f>ROUND(ROUND(P185, 2)*I185, 2)</f>
        <v>10044.61</v>
      </c>
      <c r="V185" s="9">
        <f>ROUND(ROUND(P185, 2)/1.2, 2)</f>
        <v>74</v>
      </c>
      <c r="Y185" s="9">
        <f t="shared" si="11"/>
        <v>8370.51</v>
      </c>
      <c r="AD185" s="4" t="s">
        <v>928</v>
      </c>
      <c r="AE185" s="4" t="s">
        <v>929</v>
      </c>
      <c r="AF185" s="4" t="s">
        <v>512</v>
      </c>
    </row>
    <row r="186" spans="1:35" ht="18" x14ac:dyDescent="0.3">
      <c r="A186" s="10" t="s">
        <v>930</v>
      </c>
      <c r="B186" s="10"/>
      <c r="C186" s="24" t="s">
        <v>907</v>
      </c>
      <c r="D186" s="15"/>
      <c r="E186" s="15"/>
      <c r="F186" s="25" t="s">
        <v>98</v>
      </c>
      <c r="G186" s="26">
        <v>0.3</v>
      </c>
      <c r="H186" s="36"/>
      <c r="I186" s="36">
        <v>226.23</v>
      </c>
      <c r="J186" s="27">
        <v>37.049999999999997</v>
      </c>
      <c r="M186" s="28">
        <f>ROUND(ROUND(J186, 2)*I186, 2)</f>
        <v>8381.82</v>
      </c>
      <c r="P186" s="27">
        <v>37.049999999999997</v>
      </c>
      <c r="S186" s="28">
        <f>ROUND(ROUND(P186, 2)*I186, 2)</f>
        <v>8381.82</v>
      </c>
      <c r="V186" s="9">
        <f>ROUND(ROUND(P186, 2)/1.2, 2)</f>
        <v>30.88</v>
      </c>
      <c r="Y186" s="9">
        <f t="shared" si="11"/>
        <v>6984.85</v>
      </c>
      <c r="AD186" s="4" t="s">
        <v>931</v>
      </c>
      <c r="AE186" s="4" t="s">
        <v>932</v>
      </c>
      <c r="AF186" s="4" t="s">
        <v>910</v>
      </c>
    </row>
    <row r="187" spans="1:35" ht="36" x14ac:dyDescent="0.3">
      <c r="A187" s="10" t="s">
        <v>933</v>
      </c>
      <c r="B187" s="10"/>
      <c r="C187" s="24" t="s">
        <v>934</v>
      </c>
      <c r="D187" s="15"/>
      <c r="E187" s="15"/>
      <c r="F187" s="25" t="s">
        <v>76</v>
      </c>
      <c r="G187" s="26">
        <v>1.8</v>
      </c>
      <c r="H187" s="26"/>
      <c r="I187" s="26">
        <v>1357.38</v>
      </c>
      <c r="J187" s="27">
        <v>23</v>
      </c>
      <c r="M187" s="28">
        <f>ROUND(ROUND(J187, 2)*I187, 2)</f>
        <v>31219.74</v>
      </c>
      <c r="P187" s="27">
        <v>12.58</v>
      </c>
      <c r="S187" s="28">
        <f>ROUND(ROUND(P187, 2)*I187, 2)</f>
        <v>17075.84</v>
      </c>
      <c r="V187" s="9">
        <f>ROUND(ROUND(P187, 2)/1.2, 2)</f>
        <v>10.48</v>
      </c>
      <c r="Y187" s="9">
        <f t="shared" si="11"/>
        <v>14229.87</v>
      </c>
      <c r="AD187" s="4" t="s">
        <v>935</v>
      </c>
      <c r="AE187" s="4" t="s">
        <v>936</v>
      </c>
      <c r="AF187" s="4" t="s">
        <v>937</v>
      </c>
    </row>
    <row r="188" spans="1:35" ht="54" x14ac:dyDescent="0.3">
      <c r="A188" s="10" t="s">
        <v>938</v>
      </c>
      <c r="B188" s="10" t="s">
        <v>896</v>
      </c>
      <c r="C188" s="14" t="s">
        <v>897</v>
      </c>
      <c r="D188" s="15"/>
      <c r="E188" s="15" t="s">
        <v>939</v>
      </c>
      <c r="F188" s="15" t="s">
        <v>57</v>
      </c>
      <c r="G188" s="16">
        <v>1</v>
      </c>
      <c r="H188" s="16"/>
      <c r="I188" s="16">
        <v>0</v>
      </c>
      <c r="J188" s="17">
        <v>55.05</v>
      </c>
      <c r="K188" s="18">
        <v>329</v>
      </c>
      <c r="L188" s="17">
        <f>J188+ROUND(K188, 2)</f>
        <v>384.05</v>
      </c>
      <c r="M188" s="17">
        <v>0</v>
      </c>
      <c r="N188" s="17">
        <v>0</v>
      </c>
      <c r="O188" s="17">
        <f>M188+N188</f>
        <v>0</v>
      </c>
      <c r="P188" s="17">
        <v>55.05</v>
      </c>
      <c r="Q188" s="18">
        <v>329</v>
      </c>
      <c r="R188" s="17">
        <f>P188+ROUND(Q188, 2)</f>
        <v>384.05</v>
      </c>
      <c r="S188" s="17">
        <v>0</v>
      </c>
      <c r="T188" s="17">
        <v>0</v>
      </c>
      <c r="U188" s="17">
        <f>S188+T188</f>
        <v>0</v>
      </c>
      <c r="V188" s="9">
        <f>ROUND(P188 / 1.2, 2)</f>
        <v>45.88</v>
      </c>
      <c r="W188" s="9">
        <f>ROUND(Q188 / 1.2, 2)</f>
        <v>274.17</v>
      </c>
      <c r="X188" s="9">
        <f>ROUND(R188 / 1.2, 2)</f>
        <v>320.04000000000002</v>
      </c>
      <c r="Y188" s="9">
        <f t="shared" si="11"/>
        <v>0</v>
      </c>
      <c r="Z188" s="9">
        <f>ROUND(T188 / 1.2, 2)</f>
        <v>0</v>
      </c>
      <c r="AA188" s="9">
        <f>Y188+Z188</f>
        <v>0</v>
      </c>
      <c r="AD188" s="4">
        <v>341534381</v>
      </c>
      <c r="AE188" s="4">
        <v>25837378</v>
      </c>
      <c r="AG188" s="4" t="s">
        <v>899</v>
      </c>
      <c r="AH188" s="4" t="s">
        <v>900</v>
      </c>
      <c r="AI188" s="4" t="s">
        <v>241</v>
      </c>
    </row>
    <row r="189" spans="1:35" ht="36" x14ac:dyDescent="0.3">
      <c r="A189" s="10" t="s">
        <v>941</v>
      </c>
      <c r="B189" s="10"/>
      <c r="C189" s="24" t="s">
        <v>942</v>
      </c>
      <c r="D189" s="15"/>
      <c r="E189" s="15"/>
      <c r="F189" s="25" t="s">
        <v>76</v>
      </c>
      <c r="G189" s="26">
        <v>0.1</v>
      </c>
      <c r="H189" s="26"/>
      <c r="I189" s="26">
        <v>0</v>
      </c>
      <c r="J189" s="27">
        <v>142.9</v>
      </c>
      <c r="M189" s="28">
        <f>ROUND(ROUND(J189, 2)*I189, 2)</f>
        <v>0</v>
      </c>
      <c r="P189" s="27">
        <v>142.9</v>
      </c>
      <c r="S189" s="28">
        <f>ROUND(ROUND(P189, 2)*I189, 2)</f>
        <v>0</v>
      </c>
      <c r="V189" s="9">
        <f>ROUND(ROUND(P189, 2)/1.2, 2)</f>
        <v>119.08</v>
      </c>
      <c r="Y189" s="9">
        <f t="shared" si="11"/>
        <v>0</v>
      </c>
      <c r="AD189" s="4" t="s">
        <v>943</v>
      </c>
      <c r="AE189" s="4" t="s">
        <v>944</v>
      </c>
      <c r="AF189" s="4" t="s">
        <v>945</v>
      </c>
    </row>
    <row r="190" spans="1:35" ht="18" x14ac:dyDescent="0.3">
      <c r="A190" s="10" t="s">
        <v>948</v>
      </c>
      <c r="B190" s="10"/>
      <c r="C190" s="24" t="s">
        <v>949</v>
      </c>
      <c r="D190" s="15"/>
      <c r="E190" s="15"/>
      <c r="F190" s="25" t="s">
        <v>123</v>
      </c>
      <c r="G190" s="26">
        <v>1</v>
      </c>
      <c r="H190" s="36"/>
      <c r="I190" s="36">
        <v>0</v>
      </c>
      <c r="J190" s="27">
        <v>7</v>
      </c>
      <c r="M190" s="28">
        <f>ROUND(ROUND(J190, 2)*I190, 2)</f>
        <v>0</v>
      </c>
      <c r="P190" s="27">
        <v>7</v>
      </c>
      <c r="S190" s="28">
        <f>ROUND(ROUND(P190, 2)*I190, 2)</f>
        <v>0</v>
      </c>
      <c r="V190" s="9">
        <f>ROUND(ROUND(P190, 2)/1.2, 2)</f>
        <v>5.83</v>
      </c>
      <c r="Y190" s="9">
        <f t="shared" si="11"/>
        <v>0</v>
      </c>
      <c r="AD190" s="4" t="s">
        <v>950</v>
      </c>
      <c r="AE190" s="4" t="s">
        <v>951</v>
      </c>
      <c r="AF190" s="4" t="s">
        <v>952</v>
      </c>
    </row>
    <row r="191" spans="1:35" ht="18" x14ac:dyDescent="0.3">
      <c r="A191" s="10" t="s">
        <v>955</v>
      </c>
      <c r="B191" s="10"/>
      <c r="C191" s="24" t="s">
        <v>907</v>
      </c>
      <c r="D191" s="15"/>
      <c r="E191" s="15"/>
      <c r="F191" s="25" t="s">
        <v>98</v>
      </c>
      <c r="G191" s="26">
        <v>0.3</v>
      </c>
      <c r="H191" s="36"/>
      <c r="I191" s="36">
        <v>0</v>
      </c>
      <c r="J191" s="27">
        <v>37.049999999999997</v>
      </c>
      <c r="M191" s="28">
        <f>ROUND(ROUND(J191, 2)*I191, 2)</f>
        <v>0</v>
      </c>
      <c r="P191" s="27">
        <v>37.049999999999997</v>
      </c>
      <c r="S191" s="28">
        <f>ROUND(ROUND(P191, 2)*I191, 2)</f>
        <v>0</v>
      </c>
      <c r="V191" s="9">
        <f>ROUND(ROUND(P191, 2)/1.2, 2)</f>
        <v>30.88</v>
      </c>
      <c r="Y191" s="9">
        <f t="shared" si="11"/>
        <v>0</v>
      </c>
      <c r="AD191" s="4" t="s">
        <v>956</v>
      </c>
      <c r="AE191" s="4" t="s">
        <v>957</v>
      </c>
      <c r="AF191" s="4" t="s">
        <v>910</v>
      </c>
    </row>
    <row r="192" spans="1:35" ht="36" x14ac:dyDescent="0.3">
      <c r="A192" s="10" t="s">
        <v>960</v>
      </c>
      <c r="B192" s="10"/>
      <c r="C192" s="35" t="s">
        <v>961</v>
      </c>
      <c r="D192" s="15"/>
      <c r="E192" s="15"/>
      <c r="F192" s="25" t="s">
        <v>76</v>
      </c>
      <c r="G192" s="26">
        <v>1.8</v>
      </c>
      <c r="H192" s="26"/>
      <c r="I192" s="26">
        <v>0</v>
      </c>
      <c r="J192" s="27">
        <v>12.58</v>
      </c>
      <c r="M192" s="28">
        <f>ROUND(ROUND(J192, 2)*I192, 2)</f>
        <v>0</v>
      </c>
      <c r="P192" s="27">
        <v>12.58</v>
      </c>
      <c r="S192" s="28">
        <f>ROUND(ROUND(P192, 2)*I192, 2)</f>
        <v>0</v>
      </c>
      <c r="V192" s="9">
        <f>ROUND(ROUND(P192, 2)/1.2, 2)</f>
        <v>10.48</v>
      </c>
      <c r="Y192" s="9">
        <f t="shared" si="11"/>
        <v>0</v>
      </c>
      <c r="AD192" s="4" t="s">
        <v>962</v>
      </c>
      <c r="AE192" s="4" t="s">
        <v>963</v>
      </c>
      <c r="AF192" s="4" t="s">
        <v>964</v>
      </c>
    </row>
    <row r="193" spans="1:35" ht="54" x14ac:dyDescent="0.3">
      <c r="A193" s="10" t="s">
        <v>967</v>
      </c>
      <c r="B193" s="10" t="s">
        <v>896</v>
      </c>
      <c r="C193" s="14" t="s">
        <v>897</v>
      </c>
      <c r="D193" s="15"/>
      <c r="E193" s="15" t="s">
        <v>968</v>
      </c>
      <c r="F193" s="15" t="s">
        <v>57</v>
      </c>
      <c r="G193" s="16">
        <v>1</v>
      </c>
      <c r="H193" s="16"/>
      <c r="I193" s="16">
        <v>0</v>
      </c>
      <c r="J193" s="17">
        <v>91.44</v>
      </c>
      <c r="K193" s="18">
        <v>329</v>
      </c>
      <c r="L193" s="17">
        <f>J193+ROUND(K193, 2)</f>
        <v>420.44</v>
      </c>
      <c r="M193" s="17">
        <v>0</v>
      </c>
      <c r="N193" s="17">
        <v>0</v>
      </c>
      <c r="O193" s="17">
        <f>M193+N193</f>
        <v>0</v>
      </c>
      <c r="P193" s="17">
        <v>44.02</v>
      </c>
      <c r="Q193" s="18">
        <v>329</v>
      </c>
      <c r="R193" s="17">
        <f>P193+ROUND(Q193, 2)</f>
        <v>373.02</v>
      </c>
      <c r="S193" s="17">
        <v>0</v>
      </c>
      <c r="T193" s="17">
        <v>0</v>
      </c>
      <c r="U193" s="17">
        <f>S193+T193</f>
        <v>0</v>
      </c>
      <c r="V193" s="9">
        <f>ROUND(P193 / 1.2, 2)</f>
        <v>36.68</v>
      </c>
      <c r="W193" s="9">
        <f>ROUND(Q193 / 1.2, 2)</f>
        <v>274.17</v>
      </c>
      <c r="X193" s="9">
        <f>ROUND(R193 / 1.2, 2)</f>
        <v>310.85000000000002</v>
      </c>
      <c r="Y193" s="9">
        <f t="shared" si="11"/>
        <v>0</v>
      </c>
      <c r="Z193" s="9">
        <f>ROUND(T193 / 1.2, 2)</f>
        <v>0</v>
      </c>
      <c r="AA193" s="9">
        <f>Y193+Z193</f>
        <v>0</v>
      </c>
      <c r="AD193" s="4">
        <v>341534382</v>
      </c>
      <c r="AE193" s="4">
        <v>25837380</v>
      </c>
      <c r="AG193" s="4" t="s">
        <v>899</v>
      </c>
      <c r="AH193" s="4" t="s">
        <v>900</v>
      </c>
      <c r="AI193" s="4" t="s">
        <v>241</v>
      </c>
    </row>
    <row r="194" spans="1:35" ht="36" x14ac:dyDescent="0.3">
      <c r="A194" s="10" t="s">
        <v>970</v>
      </c>
      <c r="B194" s="10"/>
      <c r="C194" s="24" t="s">
        <v>509</v>
      </c>
      <c r="D194" s="15"/>
      <c r="E194" s="15"/>
      <c r="F194" s="25" t="s">
        <v>76</v>
      </c>
      <c r="G194" s="26">
        <v>0.15</v>
      </c>
      <c r="H194" s="26"/>
      <c r="I194" s="26">
        <v>0</v>
      </c>
      <c r="J194" s="27">
        <v>88.8</v>
      </c>
      <c r="M194" s="28">
        <f>ROUND(ROUND(J194, 2)*I194, 2)</f>
        <v>0</v>
      </c>
      <c r="P194" s="27">
        <v>88.8</v>
      </c>
      <c r="S194" s="28">
        <f>ROUND(ROUND(P194, 2)*I194, 2)</f>
        <v>0</v>
      </c>
      <c r="V194" s="9">
        <f>ROUND(ROUND(P194, 2)/1.2, 2)</f>
        <v>74</v>
      </c>
      <c r="Y194" s="9">
        <f t="shared" si="11"/>
        <v>0</v>
      </c>
      <c r="AD194" s="4" t="s">
        <v>971</v>
      </c>
      <c r="AE194" s="4" t="s">
        <v>972</v>
      </c>
      <c r="AF194" s="4" t="s">
        <v>512</v>
      </c>
    </row>
    <row r="195" spans="1:35" ht="18" x14ac:dyDescent="0.3">
      <c r="A195" s="10" t="s">
        <v>975</v>
      </c>
      <c r="B195" s="10"/>
      <c r="C195" s="24" t="s">
        <v>949</v>
      </c>
      <c r="D195" s="15"/>
      <c r="E195" s="15"/>
      <c r="F195" s="25" t="s">
        <v>123</v>
      </c>
      <c r="G195" s="26">
        <v>1</v>
      </c>
      <c r="H195" s="36"/>
      <c r="I195" s="36">
        <v>0</v>
      </c>
      <c r="J195" s="27">
        <v>7</v>
      </c>
      <c r="M195" s="28">
        <f>ROUND(ROUND(J195, 2)*I195, 2)</f>
        <v>0</v>
      </c>
      <c r="P195" s="27">
        <v>7</v>
      </c>
      <c r="S195" s="28">
        <f>ROUND(ROUND(P195, 2)*I195, 2)</f>
        <v>0</v>
      </c>
      <c r="V195" s="9">
        <f>ROUND(ROUND(P195, 2)/1.2, 2)</f>
        <v>5.83</v>
      </c>
      <c r="Y195" s="9">
        <f t="shared" si="11"/>
        <v>0</v>
      </c>
      <c r="AD195" s="4" t="s">
        <v>976</v>
      </c>
      <c r="AE195" s="4" t="s">
        <v>977</v>
      </c>
      <c r="AF195" s="4" t="s">
        <v>952</v>
      </c>
    </row>
    <row r="196" spans="1:35" ht="18" x14ac:dyDescent="0.3">
      <c r="A196" s="10" t="s">
        <v>980</v>
      </c>
      <c r="B196" s="10"/>
      <c r="C196" s="24" t="s">
        <v>907</v>
      </c>
      <c r="D196" s="15"/>
      <c r="E196" s="15"/>
      <c r="F196" s="25" t="s">
        <v>98</v>
      </c>
      <c r="G196" s="26">
        <v>0.3</v>
      </c>
      <c r="H196" s="36"/>
      <c r="I196" s="36">
        <v>0</v>
      </c>
      <c r="J196" s="27">
        <v>37.049999999999997</v>
      </c>
      <c r="M196" s="28">
        <f>ROUND(ROUND(J196, 2)*I196, 2)</f>
        <v>0</v>
      </c>
      <c r="P196" s="27">
        <v>37.049999999999997</v>
      </c>
      <c r="S196" s="28">
        <f>ROUND(ROUND(P196, 2)*I196, 2)</f>
        <v>0</v>
      </c>
      <c r="V196" s="9">
        <f>ROUND(ROUND(P196, 2)/1.2, 2)</f>
        <v>30.88</v>
      </c>
      <c r="Y196" s="9">
        <f t="shared" si="11"/>
        <v>0</v>
      </c>
      <c r="AD196" s="4" t="s">
        <v>981</v>
      </c>
      <c r="AE196" s="4" t="s">
        <v>982</v>
      </c>
      <c r="AF196" s="4" t="s">
        <v>910</v>
      </c>
    </row>
    <row r="197" spans="1:35" ht="36" x14ac:dyDescent="0.3">
      <c r="A197" s="10" t="s">
        <v>985</v>
      </c>
      <c r="B197" s="10"/>
      <c r="C197" s="24" t="s">
        <v>922</v>
      </c>
      <c r="D197" s="15"/>
      <c r="E197" s="15"/>
      <c r="F197" s="25" t="s">
        <v>76</v>
      </c>
      <c r="G197" s="26">
        <v>1</v>
      </c>
      <c r="H197" s="26"/>
      <c r="I197" s="26">
        <v>0</v>
      </c>
      <c r="J197" s="27">
        <v>60</v>
      </c>
      <c r="M197" s="28">
        <f>ROUND(ROUND(J197, 2)*I197, 2)</f>
        <v>0</v>
      </c>
      <c r="P197" s="27">
        <v>12.58</v>
      </c>
      <c r="S197" s="28">
        <f>ROUND(ROUND(P197, 2)*I197, 2)</f>
        <v>0</v>
      </c>
      <c r="V197" s="9">
        <f>ROUND(ROUND(P197, 2)/1.2, 2)</f>
        <v>10.48</v>
      </c>
      <c r="Y197" s="9">
        <f t="shared" si="11"/>
        <v>0</v>
      </c>
      <c r="AD197" s="4" t="s">
        <v>986</v>
      </c>
      <c r="AE197" s="4" t="s">
        <v>987</v>
      </c>
      <c r="AF197" s="4" t="s">
        <v>925</v>
      </c>
    </row>
    <row r="198" spans="1:35" ht="54" x14ac:dyDescent="0.3">
      <c r="A198" s="10" t="s">
        <v>990</v>
      </c>
      <c r="B198" s="10" t="s">
        <v>896</v>
      </c>
      <c r="C198" s="14" t="s">
        <v>897</v>
      </c>
      <c r="D198" s="15"/>
      <c r="E198" s="15" t="s">
        <v>968</v>
      </c>
      <c r="F198" s="15" t="s">
        <v>57</v>
      </c>
      <c r="G198" s="16">
        <v>1</v>
      </c>
      <c r="H198" s="16"/>
      <c r="I198" s="16">
        <v>0</v>
      </c>
      <c r="J198" s="17">
        <v>65.84</v>
      </c>
      <c r="K198" s="18">
        <v>329</v>
      </c>
      <c r="L198" s="17">
        <f>J198+ROUND(K198, 2)</f>
        <v>394.84000000000003</v>
      </c>
      <c r="M198" s="17">
        <v>0</v>
      </c>
      <c r="N198" s="17">
        <v>0</v>
      </c>
      <c r="O198" s="17">
        <f>M198+N198</f>
        <v>0</v>
      </c>
      <c r="P198" s="17">
        <v>47.08</v>
      </c>
      <c r="Q198" s="18">
        <v>329</v>
      </c>
      <c r="R198" s="17">
        <f>P198+ROUND(Q198, 2)</f>
        <v>376.08</v>
      </c>
      <c r="S198" s="17">
        <v>0</v>
      </c>
      <c r="T198" s="17">
        <v>0</v>
      </c>
      <c r="U198" s="17">
        <f>S198+T198</f>
        <v>0</v>
      </c>
      <c r="V198" s="9">
        <f>ROUND(P198 / 1.2, 2)</f>
        <v>39.229999999999997</v>
      </c>
      <c r="W198" s="9">
        <f>ROUND(Q198 / 1.2, 2)</f>
        <v>274.17</v>
      </c>
      <c r="X198" s="9">
        <f>ROUND(R198 / 1.2, 2)</f>
        <v>313.39999999999998</v>
      </c>
      <c r="Y198" s="9">
        <f t="shared" si="11"/>
        <v>0</v>
      </c>
      <c r="Z198" s="9">
        <f>ROUND(T198 / 1.2, 2)</f>
        <v>0</v>
      </c>
      <c r="AA198" s="9">
        <f>Y198+Z198</f>
        <v>0</v>
      </c>
      <c r="AD198" s="4">
        <v>341534383</v>
      </c>
      <c r="AE198" s="4">
        <v>25837381</v>
      </c>
      <c r="AG198" s="4" t="s">
        <v>899</v>
      </c>
      <c r="AH198" s="4" t="s">
        <v>900</v>
      </c>
      <c r="AI198" s="4" t="s">
        <v>241</v>
      </c>
    </row>
    <row r="199" spans="1:35" ht="36" x14ac:dyDescent="0.3">
      <c r="A199" s="10" t="s">
        <v>992</v>
      </c>
      <c r="B199" s="10"/>
      <c r="C199" s="24" t="s">
        <v>509</v>
      </c>
      <c r="D199" s="15"/>
      <c r="E199" s="15"/>
      <c r="F199" s="25" t="s">
        <v>76</v>
      </c>
      <c r="G199" s="26">
        <v>0.15</v>
      </c>
      <c r="H199" s="26"/>
      <c r="I199" s="26">
        <v>0</v>
      </c>
      <c r="J199" s="27">
        <v>88.8</v>
      </c>
      <c r="M199" s="28">
        <f>ROUND(ROUND(J199, 2)*I199, 2)</f>
        <v>0</v>
      </c>
      <c r="P199" s="27">
        <v>88.8</v>
      </c>
      <c r="S199" s="28">
        <f>ROUND(ROUND(P199, 2)*I199, 2)</f>
        <v>0</v>
      </c>
      <c r="V199" s="9">
        <f>ROUND(ROUND(P199, 2)/1.2, 2)</f>
        <v>74</v>
      </c>
      <c r="Y199" s="9">
        <f t="shared" si="11"/>
        <v>0</v>
      </c>
      <c r="AD199" s="4" t="s">
        <v>993</v>
      </c>
      <c r="AE199" s="4" t="s">
        <v>994</v>
      </c>
      <c r="AF199" s="4" t="s">
        <v>512</v>
      </c>
    </row>
    <row r="200" spans="1:35" ht="18" x14ac:dyDescent="0.3">
      <c r="A200" s="10" t="s">
        <v>997</v>
      </c>
      <c r="B200" s="10"/>
      <c r="C200" s="24" t="s">
        <v>907</v>
      </c>
      <c r="D200" s="15"/>
      <c r="E200" s="15"/>
      <c r="F200" s="25" t="s">
        <v>98</v>
      </c>
      <c r="G200" s="26">
        <v>0.3</v>
      </c>
      <c r="H200" s="36"/>
      <c r="I200" s="36">
        <v>0</v>
      </c>
      <c r="J200" s="27">
        <v>37.049999999999997</v>
      </c>
      <c r="M200" s="28">
        <f>ROUND(ROUND(J200, 2)*I200, 2)</f>
        <v>0</v>
      </c>
      <c r="P200" s="27">
        <v>37.049999999999997</v>
      </c>
      <c r="S200" s="28">
        <f>ROUND(ROUND(P200, 2)*I200, 2)</f>
        <v>0</v>
      </c>
      <c r="V200" s="9">
        <f>ROUND(ROUND(P200, 2)/1.2, 2)</f>
        <v>30.88</v>
      </c>
      <c r="Y200" s="9">
        <f t="shared" si="11"/>
        <v>0</v>
      </c>
      <c r="AD200" s="4" t="s">
        <v>998</v>
      </c>
      <c r="AE200" s="4" t="s">
        <v>999</v>
      </c>
      <c r="AF200" s="4" t="s">
        <v>910</v>
      </c>
    </row>
    <row r="201" spans="1:35" ht="36" x14ac:dyDescent="0.3">
      <c r="A201" s="10" t="s">
        <v>1002</v>
      </c>
      <c r="B201" s="10"/>
      <c r="C201" s="24" t="s">
        <v>934</v>
      </c>
      <c r="D201" s="15"/>
      <c r="E201" s="15"/>
      <c r="F201" s="25" t="s">
        <v>76</v>
      </c>
      <c r="G201" s="26">
        <v>1.8</v>
      </c>
      <c r="H201" s="26"/>
      <c r="I201" s="26">
        <v>0</v>
      </c>
      <c r="J201" s="27">
        <v>23</v>
      </c>
      <c r="M201" s="28">
        <f>ROUND(ROUND(J201, 2)*I201, 2)</f>
        <v>0</v>
      </c>
      <c r="P201" s="27">
        <v>12.58</v>
      </c>
      <c r="S201" s="28">
        <f>ROUND(ROUND(P201, 2)*I201, 2)</f>
        <v>0</v>
      </c>
      <c r="V201" s="9">
        <f>ROUND(ROUND(P201, 2)/1.2, 2)</f>
        <v>10.48</v>
      </c>
      <c r="Y201" s="9">
        <f t="shared" si="11"/>
        <v>0</v>
      </c>
      <c r="AD201" s="4" t="s">
        <v>1003</v>
      </c>
      <c r="AE201" s="4" t="s">
        <v>1004</v>
      </c>
      <c r="AF201" s="4" t="s">
        <v>937</v>
      </c>
    </row>
    <row r="202" spans="1:35" ht="54" x14ac:dyDescent="0.3">
      <c r="A202" s="10" t="s">
        <v>1007</v>
      </c>
      <c r="B202" s="10" t="s">
        <v>896</v>
      </c>
      <c r="C202" s="14" t="s">
        <v>897</v>
      </c>
      <c r="D202" s="15"/>
      <c r="E202" s="15" t="s">
        <v>364</v>
      </c>
      <c r="F202" s="15" t="s">
        <v>57</v>
      </c>
      <c r="G202" s="16">
        <v>1</v>
      </c>
      <c r="H202" s="16"/>
      <c r="I202" s="16">
        <v>0</v>
      </c>
      <c r="J202" s="17">
        <v>77.44</v>
      </c>
      <c r="K202" s="18">
        <v>329</v>
      </c>
      <c r="L202" s="17">
        <f>J202+ROUND(K202, 2)</f>
        <v>406.44</v>
      </c>
      <c r="M202" s="17">
        <v>0</v>
      </c>
      <c r="N202" s="17">
        <v>0</v>
      </c>
      <c r="O202" s="17">
        <f>M202+N202</f>
        <v>0</v>
      </c>
      <c r="P202" s="17">
        <v>77.44</v>
      </c>
      <c r="Q202" s="18">
        <v>329</v>
      </c>
      <c r="R202" s="17">
        <f>P202+ROUND(Q202, 2)</f>
        <v>406.44</v>
      </c>
      <c r="S202" s="17">
        <v>0</v>
      </c>
      <c r="T202" s="17">
        <v>0</v>
      </c>
      <c r="U202" s="17">
        <f>S202+T202</f>
        <v>0</v>
      </c>
      <c r="V202" s="9">
        <f>ROUND(P202 / 1.2, 2)</f>
        <v>64.53</v>
      </c>
      <c r="W202" s="9">
        <f>ROUND(Q202 / 1.2, 2)</f>
        <v>274.17</v>
      </c>
      <c r="X202" s="9">
        <f>ROUND(R202 / 1.2, 2)</f>
        <v>338.7</v>
      </c>
      <c r="Y202" s="9">
        <f t="shared" si="11"/>
        <v>0</v>
      </c>
      <c r="Z202" s="9">
        <f>ROUND(T202 / 1.2, 2)</f>
        <v>0</v>
      </c>
      <c r="AA202" s="9">
        <f>Y202+Z202</f>
        <v>0</v>
      </c>
      <c r="AD202" s="4">
        <v>341534384</v>
      </c>
      <c r="AE202" s="4">
        <v>25837387</v>
      </c>
      <c r="AG202" s="4" t="s">
        <v>899</v>
      </c>
      <c r="AH202" s="4" t="s">
        <v>900</v>
      </c>
      <c r="AI202" s="4" t="s">
        <v>241</v>
      </c>
    </row>
    <row r="203" spans="1:35" ht="36" x14ac:dyDescent="0.3">
      <c r="A203" s="10" t="s">
        <v>1009</v>
      </c>
      <c r="B203" s="10"/>
      <c r="C203" s="24" t="s">
        <v>509</v>
      </c>
      <c r="D203" s="15"/>
      <c r="E203" s="15"/>
      <c r="F203" s="25" t="s">
        <v>76</v>
      </c>
      <c r="G203" s="26">
        <v>0.15</v>
      </c>
      <c r="H203" s="26"/>
      <c r="I203" s="26">
        <v>0</v>
      </c>
      <c r="J203" s="27">
        <v>88.8</v>
      </c>
      <c r="M203" s="28">
        <f>ROUND(ROUND(J203, 2)*I203, 2)</f>
        <v>0</v>
      </c>
      <c r="P203" s="27">
        <v>88.8</v>
      </c>
      <c r="S203" s="28">
        <f>ROUND(ROUND(P203, 2)*I203, 2)</f>
        <v>0</v>
      </c>
      <c r="V203" s="9">
        <f>ROUND(ROUND(P203, 2)/1.2, 2)</f>
        <v>74</v>
      </c>
      <c r="Y203" s="9">
        <f t="shared" si="11"/>
        <v>0</v>
      </c>
      <c r="AD203" s="4" t="s">
        <v>1010</v>
      </c>
      <c r="AE203" s="4" t="s">
        <v>1011</v>
      </c>
      <c r="AF203" s="4" t="s">
        <v>512</v>
      </c>
    </row>
    <row r="204" spans="1:35" ht="18" x14ac:dyDescent="0.3">
      <c r="A204" s="10" t="s">
        <v>1014</v>
      </c>
      <c r="B204" s="10"/>
      <c r="C204" s="24" t="s">
        <v>949</v>
      </c>
      <c r="D204" s="15"/>
      <c r="E204" s="15"/>
      <c r="F204" s="25" t="s">
        <v>123</v>
      </c>
      <c r="G204" s="26">
        <v>1</v>
      </c>
      <c r="H204" s="36"/>
      <c r="I204" s="36">
        <v>0</v>
      </c>
      <c r="J204" s="27">
        <v>7</v>
      </c>
      <c r="M204" s="28">
        <f>ROUND(ROUND(J204, 2)*I204, 2)</f>
        <v>0</v>
      </c>
      <c r="P204" s="27">
        <v>7</v>
      </c>
      <c r="S204" s="28">
        <f>ROUND(ROUND(P204, 2)*I204, 2)</f>
        <v>0</v>
      </c>
      <c r="V204" s="9">
        <f>ROUND(ROUND(P204, 2)/1.2, 2)</f>
        <v>5.83</v>
      </c>
      <c r="Y204" s="9">
        <f t="shared" si="11"/>
        <v>0</v>
      </c>
      <c r="AD204" s="4" t="s">
        <v>1015</v>
      </c>
      <c r="AE204" s="4" t="s">
        <v>1016</v>
      </c>
      <c r="AF204" s="4" t="s">
        <v>952</v>
      </c>
    </row>
    <row r="205" spans="1:35" ht="18" x14ac:dyDescent="0.3">
      <c r="A205" s="10" t="s">
        <v>1019</v>
      </c>
      <c r="B205" s="10"/>
      <c r="C205" s="24" t="s">
        <v>907</v>
      </c>
      <c r="D205" s="15"/>
      <c r="E205" s="15"/>
      <c r="F205" s="25" t="s">
        <v>98</v>
      </c>
      <c r="G205" s="26">
        <v>0.3</v>
      </c>
      <c r="H205" s="36"/>
      <c r="I205" s="36">
        <v>0</v>
      </c>
      <c r="J205" s="27">
        <v>37.049999999999997</v>
      </c>
      <c r="M205" s="28">
        <f>ROUND(ROUND(J205, 2)*I205, 2)</f>
        <v>0</v>
      </c>
      <c r="P205" s="27">
        <v>37.049999999999997</v>
      </c>
      <c r="S205" s="28">
        <f>ROUND(ROUND(P205, 2)*I205, 2)</f>
        <v>0</v>
      </c>
      <c r="V205" s="9">
        <f>ROUND(ROUND(P205, 2)/1.2, 2)</f>
        <v>30.88</v>
      </c>
      <c r="Y205" s="9">
        <f t="shared" si="11"/>
        <v>0</v>
      </c>
      <c r="AD205" s="4" t="s">
        <v>1020</v>
      </c>
      <c r="AE205" s="4" t="s">
        <v>1021</v>
      </c>
      <c r="AF205" s="4" t="s">
        <v>910</v>
      </c>
    </row>
    <row r="206" spans="1:35" ht="18" x14ac:dyDescent="0.3">
      <c r="A206" s="10" t="s">
        <v>1024</v>
      </c>
      <c r="B206" s="10"/>
      <c r="C206" s="24" t="s">
        <v>902</v>
      </c>
      <c r="D206" s="15"/>
      <c r="E206" s="15"/>
      <c r="F206" s="25" t="s">
        <v>76</v>
      </c>
      <c r="G206" s="26">
        <v>2</v>
      </c>
      <c r="H206" s="26"/>
      <c r="I206" s="26">
        <v>0</v>
      </c>
      <c r="J206" s="27">
        <v>23</v>
      </c>
      <c r="M206" s="28">
        <f>ROUND(ROUND(J206, 2)*I206, 2)</f>
        <v>0</v>
      </c>
      <c r="P206" s="27">
        <v>23</v>
      </c>
      <c r="S206" s="28">
        <f>ROUND(ROUND(P206, 2)*I206, 2)</f>
        <v>0</v>
      </c>
      <c r="V206" s="9">
        <f>ROUND(ROUND(P206, 2)/1.2, 2)</f>
        <v>19.170000000000002</v>
      </c>
      <c r="Y206" s="9">
        <f t="shared" ref="Y206:Y237" si="12">ROUND(S206 / 1.2, 2)</f>
        <v>0</v>
      </c>
      <c r="AD206" s="4" t="s">
        <v>1025</v>
      </c>
      <c r="AE206" s="4" t="s">
        <v>1026</v>
      </c>
      <c r="AF206" s="4" t="s">
        <v>905</v>
      </c>
    </row>
    <row r="207" spans="1:35" ht="54" x14ac:dyDescent="0.3">
      <c r="A207" s="10" t="s">
        <v>1029</v>
      </c>
      <c r="B207" s="10" t="s">
        <v>896</v>
      </c>
      <c r="C207" s="14" t="s">
        <v>897</v>
      </c>
      <c r="D207" s="15"/>
      <c r="E207" s="15" t="s">
        <v>364</v>
      </c>
      <c r="F207" s="15" t="s">
        <v>57</v>
      </c>
      <c r="G207" s="16">
        <v>1</v>
      </c>
      <c r="H207" s="16"/>
      <c r="I207" s="16">
        <v>0</v>
      </c>
      <c r="J207" s="17">
        <v>91.44</v>
      </c>
      <c r="K207" s="18">
        <v>329</v>
      </c>
      <c r="L207" s="17">
        <f>J207+ROUND(K207, 2)</f>
        <v>420.44</v>
      </c>
      <c r="M207" s="17">
        <v>0</v>
      </c>
      <c r="N207" s="17">
        <v>0</v>
      </c>
      <c r="O207" s="17">
        <f>M207+N207</f>
        <v>0</v>
      </c>
      <c r="P207" s="17">
        <v>44.02</v>
      </c>
      <c r="Q207" s="18">
        <v>329</v>
      </c>
      <c r="R207" s="17">
        <f>P207+ROUND(Q207, 2)</f>
        <v>373.02</v>
      </c>
      <c r="S207" s="17">
        <v>0</v>
      </c>
      <c r="T207" s="17">
        <v>0</v>
      </c>
      <c r="U207" s="17">
        <f>S207+T207</f>
        <v>0</v>
      </c>
      <c r="V207" s="9">
        <f>ROUND(P207 / 1.2, 2)</f>
        <v>36.68</v>
      </c>
      <c r="W207" s="9">
        <f>ROUND(Q207 / 1.2, 2)</f>
        <v>274.17</v>
      </c>
      <c r="X207" s="9">
        <f>ROUND(R207 / 1.2, 2)</f>
        <v>310.85000000000002</v>
      </c>
      <c r="Y207" s="9">
        <f t="shared" si="12"/>
        <v>0</v>
      </c>
      <c r="Z207" s="9">
        <f>ROUND(T207 / 1.2, 2)</f>
        <v>0</v>
      </c>
      <c r="AA207" s="9">
        <f>Y207+Z207</f>
        <v>0</v>
      </c>
      <c r="AD207" s="4">
        <v>341534385</v>
      </c>
      <c r="AE207" s="4">
        <v>25837388</v>
      </c>
      <c r="AG207" s="4" t="s">
        <v>899</v>
      </c>
      <c r="AH207" s="4" t="s">
        <v>900</v>
      </c>
      <c r="AI207" s="4" t="s">
        <v>241</v>
      </c>
    </row>
    <row r="208" spans="1:35" ht="36" x14ac:dyDescent="0.3">
      <c r="A208" s="10" t="s">
        <v>1031</v>
      </c>
      <c r="B208" s="10"/>
      <c r="C208" s="24" t="s">
        <v>509</v>
      </c>
      <c r="D208" s="15"/>
      <c r="E208" s="15"/>
      <c r="F208" s="25" t="s">
        <v>76</v>
      </c>
      <c r="G208" s="26">
        <v>0.15</v>
      </c>
      <c r="H208" s="26"/>
      <c r="I208" s="26">
        <v>0</v>
      </c>
      <c r="J208" s="27">
        <v>88.8</v>
      </c>
      <c r="M208" s="28">
        <f>ROUND(ROUND(J208, 2)*I208, 2)</f>
        <v>0</v>
      </c>
      <c r="P208" s="27">
        <v>88.8</v>
      </c>
      <c r="S208" s="28">
        <f>ROUND(ROUND(P208, 2)*I208, 2)</f>
        <v>0</v>
      </c>
      <c r="V208" s="9">
        <f>ROUND(ROUND(P208, 2)/1.2, 2)</f>
        <v>74</v>
      </c>
      <c r="Y208" s="9">
        <f t="shared" si="12"/>
        <v>0</v>
      </c>
      <c r="AD208" s="4" t="s">
        <v>1032</v>
      </c>
      <c r="AE208" s="4" t="s">
        <v>1033</v>
      </c>
      <c r="AF208" s="4" t="s">
        <v>512</v>
      </c>
    </row>
    <row r="209" spans="1:35" ht="18" x14ac:dyDescent="0.3">
      <c r="A209" s="10" t="s">
        <v>1036</v>
      </c>
      <c r="B209" s="10"/>
      <c r="C209" s="24" t="s">
        <v>949</v>
      </c>
      <c r="D209" s="15"/>
      <c r="E209" s="15"/>
      <c r="F209" s="25" t="s">
        <v>123</v>
      </c>
      <c r="G209" s="26">
        <v>1</v>
      </c>
      <c r="H209" s="36"/>
      <c r="I209" s="36">
        <v>0</v>
      </c>
      <c r="J209" s="27">
        <v>7</v>
      </c>
      <c r="M209" s="28">
        <f>ROUND(ROUND(J209, 2)*I209, 2)</f>
        <v>0</v>
      </c>
      <c r="P209" s="27">
        <v>7</v>
      </c>
      <c r="S209" s="28">
        <f>ROUND(ROUND(P209, 2)*I209, 2)</f>
        <v>0</v>
      </c>
      <c r="V209" s="9">
        <f>ROUND(ROUND(P209, 2)/1.2, 2)</f>
        <v>5.83</v>
      </c>
      <c r="Y209" s="9">
        <f t="shared" si="12"/>
        <v>0</v>
      </c>
      <c r="AD209" s="4" t="s">
        <v>1037</v>
      </c>
      <c r="AE209" s="4" t="s">
        <v>1038</v>
      </c>
      <c r="AF209" s="4" t="s">
        <v>952</v>
      </c>
    </row>
    <row r="210" spans="1:35" ht="18" x14ac:dyDescent="0.3">
      <c r="A210" s="10" t="s">
        <v>1041</v>
      </c>
      <c r="B210" s="10"/>
      <c r="C210" s="24" t="s">
        <v>907</v>
      </c>
      <c r="D210" s="15"/>
      <c r="E210" s="15"/>
      <c r="F210" s="25" t="s">
        <v>98</v>
      </c>
      <c r="G210" s="26">
        <v>0.3</v>
      </c>
      <c r="H210" s="36"/>
      <c r="I210" s="36">
        <v>0</v>
      </c>
      <c r="J210" s="27">
        <v>37.049999999999997</v>
      </c>
      <c r="M210" s="28">
        <f>ROUND(ROUND(J210, 2)*I210, 2)</f>
        <v>0</v>
      </c>
      <c r="P210" s="27">
        <v>37.049999999999997</v>
      </c>
      <c r="S210" s="28">
        <f>ROUND(ROUND(P210, 2)*I210, 2)</f>
        <v>0</v>
      </c>
      <c r="V210" s="9">
        <f>ROUND(ROUND(P210, 2)/1.2, 2)</f>
        <v>30.88</v>
      </c>
      <c r="Y210" s="9">
        <f t="shared" si="12"/>
        <v>0</v>
      </c>
      <c r="AD210" s="4" t="s">
        <v>1042</v>
      </c>
      <c r="AE210" s="4" t="s">
        <v>1043</v>
      </c>
      <c r="AF210" s="4" t="s">
        <v>910</v>
      </c>
    </row>
    <row r="211" spans="1:35" ht="36" x14ac:dyDescent="0.3">
      <c r="A211" s="10" t="s">
        <v>1046</v>
      </c>
      <c r="B211" s="10"/>
      <c r="C211" s="24" t="s">
        <v>922</v>
      </c>
      <c r="D211" s="15"/>
      <c r="E211" s="15"/>
      <c r="F211" s="25" t="s">
        <v>76</v>
      </c>
      <c r="G211" s="26">
        <v>1</v>
      </c>
      <c r="H211" s="26"/>
      <c r="I211" s="26">
        <v>0</v>
      </c>
      <c r="J211" s="27">
        <v>60</v>
      </c>
      <c r="M211" s="28">
        <f>ROUND(ROUND(J211, 2)*I211, 2)</f>
        <v>0</v>
      </c>
      <c r="P211" s="27">
        <v>12.58</v>
      </c>
      <c r="S211" s="28">
        <f>ROUND(ROUND(P211, 2)*I211, 2)</f>
        <v>0</v>
      </c>
      <c r="V211" s="9">
        <f>ROUND(ROUND(P211, 2)/1.2, 2)</f>
        <v>10.48</v>
      </c>
      <c r="Y211" s="9">
        <f t="shared" si="12"/>
        <v>0</v>
      </c>
      <c r="AD211" s="4" t="s">
        <v>1047</v>
      </c>
      <c r="AE211" s="4" t="s">
        <v>1048</v>
      </c>
      <c r="AF211" s="4" t="s">
        <v>925</v>
      </c>
    </row>
    <row r="212" spans="1:35" ht="54" x14ac:dyDescent="0.3">
      <c r="A212" s="10" t="s">
        <v>1051</v>
      </c>
      <c r="B212" s="10" t="s">
        <v>896</v>
      </c>
      <c r="C212" s="14" t="s">
        <v>897</v>
      </c>
      <c r="D212" s="15"/>
      <c r="E212" s="15" t="s">
        <v>364</v>
      </c>
      <c r="F212" s="15" t="s">
        <v>57</v>
      </c>
      <c r="G212" s="16">
        <v>1</v>
      </c>
      <c r="H212" s="16"/>
      <c r="I212" s="16">
        <v>0</v>
      </c>
      <c r="J212" s="17">
        <v>72.84</v>
      </c>
      <c r="K212" s="18">
        <v>329</v>
      </c>
      <c r="L212" s="17">
        <f>J212+ROUND(K212, 2)</f>
        <v>401.84000000000003</v>
      </c>
      <c r="M212" s="17">
        <v>0</v>
      </c>
      <c r="N212" s="17">
        <v>0</v>
      </c>
      <c r="O212" s="17">
        <f>M212+N212</f>
        <v>0</v>
      </c>
      <c r="P212" s="17">
        <v>54.08</v>
      </c>
      <c r="Q212" s="18">
        <v>329</v>
      </c>
      <c r="R212" s="17">
        <f>P212+ROUND(Q212, 2)</f>
        <v>383.08</v>
      </c>
      <c r="S212" s="17">
        <v>0</v>
      </c>
      <c r="T212" s="17">
        <v>0</v>
      </c>
      <c r="U212" s="17">
        <f>S212+T212</f>
        <v>0</v>
      </c>
      <c r="V212" s="9">
        <f>ROUND(P212 / 1.2, 2)</f>
        <v>45.07</v>
      </c>
      <c r="W212" s="9">
        <f>ROUND(Q212 / 1.2, 2)</f>
        <v>274.17</v>
      </c>
      <c r="X212" s="9">
        <f>ROUND(R212 / 1.2, 2)</f>
        <v>319.23</v>
      </c>
      <c r="Y212" s="9">
        <f t="shared" si="12"/>
        <v>0</v>
      </c>
      <c r="Z212" s="9">
        <f>ROUND(T212 / 1.2, 2)</f>
        <v>0</v>
      </c>
      <c r="AA212" s="9">
        <f>Y212+Z212</f>
        <v>0</v>
      </c>
      <c r="AD212" s="4">
        <v>341534386</v>
      </c>
      <c r="AE212" s="4">
        <v>25837389</v>
      </c>
      <c r="AG212" s="4" t="s">
        <v>899</v>
      </c>
      <c r="AH212" s="4" t="s">
        <v>900</v>
      </c>
      <c r="AI212" s="4" t="s">
        <v>241</v>
      </c>
    </row>
    <row r="213" spans="1:35" ht="36" x14ac:dyDescent="0.3">
      <c r="A213" s="10" t="s">
        <v>1053</v>
      </c>
      <c r="B213" s="10"/>
      <c r="C213" s="24" t="s">
        <v>509</v>
      </c>
      <c r="D213" s="15"/>
      <c r="E213" s="15"/>
      <c r="F213" s="25" t="s">
        <v>76</v>
      </c>
      <c r="G213" s="26">
        <v>0.15</v>
      </c>
      <c r="H213" s="26"/>
      <c r="I213" s="26">
        <v>0</v>
      </c>
      <c r="J213" s="27">
        <v>88.8</v>
      </c>
      <c r="M213" s="28">
        <f>ROUND(ROUND(J213, 2)*I213, 2)</f>
        <v>0</v>
      </c>
      <c r="P213" s="27">
        <v>88.8</v>
      </c>
      <c r="S213" s="28">
        <f>ROUND(ROUND(P213, 2)*I213, 2)</f>
        <v>0</v>
      </c>
      <c r="V213" s="9">
        <f>ROUND(ROUND(P213, 2)/1.2, 2)</f>
        <v>74</v>
      </c>
      <c r="Y213" s="9">
        <f t="shared" si="12"/>
        <v>0</v>
      </c>
      <c r="AD213" s="4" t="s">
        <v>1054</v>
      </c>
      <c r="AE213" s="4" t="s">
        <v>1055</v>
      </c>
      <c r="AF213" s="4" t="s">
        <v>512</v>
      </c>
    </row>
    <row r="214" spans="1:35" ht="18" x14ac:dyDescent="0.3">
      <c r="A214" s="10" t="s">
        <v>1058</v>
      </c>
      <c r="B214" s="10"/>
      <c r="C214" s="24" t="s">
        <v>949</v>
      </c>
      <c r="D214" s="15"/>
      <c r="E214" s="15"/>
      <c r="F214" s="25" t="s">
        <v>123</v>
      </c>
      <c r="G214" s="26">
        <v>1</v>
      </c>
      <c r="H214" s="36"/>
      <c r="I214" s="36">
        <v>0</v>
      </c>
      <c r="J214" s="27">
        <v>7</v>
      </c>
      <c r="M214" s="28">
        <f>ROUND(ROUND(J214, 2)*I214, 2)</f>
        <v>0</v>
      </c>
      <c r="P214" s="27">
        <v>7</v>
      </c>
      <c r="S214" s="28">
        <f>ROUND(ROUND(P214, 2)*I214, 2)</f>
        <v>0</v>
      </c>
      <c r="V214" s="9">
        <f>ROUND(ROUND(P214, 2)/1.2, 2)</f>
        <v>5.83</v>
      </c>
      <c r="Y214" s="9">
        <f t="shared" si="12"/>
        <v>0</v>
      </c>
      <c r="AD214" s="4" t="s">
        <v>1059</v>
      </c>
      <c r="AE214" s="4" t="s">
        <v>1060</v>
      </c>
      <c r="AF214" s="4" t="s">
        <v>952</v>
      </c>
    </row>
    <row r="215" spans="1:35" ht="18" x14ac:dyDescent="0.3">
      <c r="A215" s="10" t="s">
        <v>1063</v>
      </c>
      <c r="B215" s="10"/>
      <c r="C215" s="24" t="s">
        <v>907</v>
      </c>
      <c r="D215" s="15"/>
      <c r="E215" s="15"/>
      <c r="F215" s="25" t="s">
        <v>98</v>
      </c>
      <c r="G215" s="26">
        <v>0.3</v>
      </c>
      <c r="H215" s="36"/>
      <c r="I215" s="36">
        <v>0</v>
      </c>
      <c r="J215" s="27">
        <v>37.049999999999997</v>
      </c>
      <c r="M215" s="28">
        <f>ROUND(ROUND(J215, 2)*I215, 2)</f>
        <v>0</v>
      </c>
      <c r="P215" s="27">
        <v>37.049999999999997</v>
      </c>
      <c r="S215" s="28">
        <f>ROUND(ROUND(P215, 2)*I215, 2)</f>
        <v>0</v>
      </c>
      <c r="V215" s="9">
        <f>ROUND(ROUND(P215, 2)/1.2, 2)</f>
        <v>30.88</v>
      </c>
      <c r="Y215" s="9">
        <f t="shared" si="12"/>
        <v>0</v>
      </c>
      <c r="AD215" s="4" t="s">
        <v>1064</v>
      </c>
      <c r="AE215" s="4" t="s">
        <v>1065</v>
      </c>
      <c r="AF215" s="4" t="s">
        <v>910</v>
      </c>
    </row>
    <row r="216" spans="1:35" ht="36" x14ac:dyDescent="0.3">
      <c r="A216" s="10" t="s">
        <v>1068</v>
      </c>
      <c r="B216" s="10"/>
      <c r="C216" s="24" t="s">
        <v>934</v>
      </c>
      <c r="D216" s="15"/>
      <c r="E216" s="15"/>
      <c r="F216" s="25" t="s">
        <v>76</v>
      </c>
      <c r="G216" s="26">
        <v>1.8</v>
      </c>
      <c r="H216" s="26"/>
      <c r="I216" s="26">
        <v>0</v>
      </c>
      <c r="J216" s="27">
        <v>23</v>
      </c>
      <c r="M216" s="28">
        <f>ROUND(ROUND(J216, 2)*I216, 2)</f>
        <v>0</v>
      </c>
      <c r="P216" s="27">
        <v>12.58</v>
      </c>
      <c r="S216" s="28">
        <f>ROUND(ROUND(P216, 2)*I216, 2)</f>
        <v>0</v>
      </c>
      <c r="V216" s="9">
        <f>ROUND(ROUND(P216, 2)/1.2, 2)</f>
        <v>10.48</v>
      </c>
      <c r="Y216" s="9">
        <f t="shared" si="12"/>
        <v>0</v>
      </c>
      <c r="AD216" s="4" t="s">
        <v>1069</v>
      </c>
      <c r="AE216" s="4" t="s">
        <v>1070</v>
      </c>
      <c r="AF216" s="4" t="s">
        <v>937</v>
      </c>
    </row>
    <row r="217" spans="1:35" ht="36" x14ac:dyDescent="0.3">
      <c r="A217" s="10" t="s">
        <v>1073</v>
      </c>
      <c r="B217" s="10" t="s">
        <v>1074</v>
      </c>
      <c r="C217" s="14" t="s">
        <v>1075</v>
      </c>
      <c r="D217" s="15"/>
      <c r="E217" s="15" t="s">
        <v>1076</v>
      </c>
      <c r="F217" s="15" t="s">
        <v>57</v>
      </c>
      <c r="G217" s="16">
        <v>1</v>
      </c>
      <c r="H217" s="16"/>
      <c r="I217" s="16">
        <v>76.599999999999994</v>
      </c>
      <c r="J217" s="17">
        <f>IFERROR(ROUND(SUM(M218,M219,M220)/I217, 2),0)</f>
        <v>82.62</v>
      </c>
      <c r="K217" s="18">
        <v>639</v>
      </c>
      <c r="L217" s="17">
        <f>J217+ROUND(K217, 2)</f>
        <v>721.62</v>
      </c>
      <c r="M217" s="17">
        <f>ROUND(J217*I217, 2)</f>
        <v>6328.69</v>
      </c>
      <c r="N217" s="17">
        <f>ROUND(I217*ROUND(K217, 2), 2)</f>
        <v>48947.4</v>
      </c>
      <c r="O217" s="17">
        <f>M217+N217</f>
        <v>55276.090000000004</v>
      </c>
      <c r="P217" s="17">
        <f>IFERROR(ROUND(SUM(S218,S219,S220)/I217, 2),0)</f>
        <v>91.32</v>
      </c>
      <c r="Q217" s="19">
        <v>639</v>
      </c>
      <c r="R217" s="17">
        <f>P217+ROUND(Q217, 2)</f>
        <v>730.31999999999994</v>
      </c>
      <c r="S217" s="17">
        <f>ROUND(P217*I217, 2)</f>
        <v>6995.11</v>
      </c>
      <c r="T217" s="17">
        <f>ROUND(I217*ROUND(Q217, 2), 2)</f>
        <v>48947.4</v>
      </c>
      <c r="U217" s="17">
        <f>S217+T217</f>
        <v>55942.51</v>
      </c>
      <c r="V217" s="9">
        <f>ROUND(P217 / 1.2, 2)</f>
        <v>76.099999999999994</v>
      </c>
      <c r="W217" s="9">
        <f>ROUND(Q217 / 1.2, 2)</f>
        <v>532.5</v>
      </c>
      <c r="X217" s="9">
        <f>ROUND(R217 / 1.2, 2)</f>
        <v>608.6</v>
      </c>
      <c r="Y217" s="9">
        <f t="shared" si="12"/>
        <v>5829.26</v>
      </c>
      <c r="Z217" s="9">
        <f>ROUND(T217 / 1.2, 2)</f>
        <v>40789.5</v>
      </c>
      <c r="AA217" s="9">
        <f>Y217+Z217</f>
        <v>46618.76</v>
      </c>
      <c r="AD217" s="4">
        <v>341534327</v>
      </c>
      <c r="AE217" s="4">
        <v>28214765</v>
      </c>
      <c r="AG217" s="4" t="s">
        <v>1077</v>
      </c>
      <c r="AH217" s="4" t="s">
        <v>1078</v>
      </c>
      <c r="AI217" s="4" t="s">
        <v>241</v>
      </c>
    </row>
    <row r="218" spans="1:35" ht="18" x14ac:dyDescent="0.3">
      <c r="A218" s="10" t="s">
        <v>1079</v>
      </c>
      <c r="B218" s="10"/>
      <c r="C218" s="24" t="s">
        <v>902</v>
      </c>
      <c r="D218" s="15"/>
      <c r="E218" s="15" t="s">
        <v>1080</v>
      </c>
      <c r="F218" s="25" t="s">
        <v>76</v>
      </c>
      <c r="G218" s="26">
        <v>2</v>
      </c>
      <c r="H218" s="26"/>
      <c r="I218" s="26">
        <v>153.19999999999999</v>
      </c>
      <c r="J218" s="27">
        <v>23.39</v>
      </c>
      <c r="M218" s="28">
        <f>ROUND(ROUND(J218, 2)*I218, 2)</f>
        <v>3583.35</v>
      </c>
      <c r="P218" s="29">
        <v>27.85</v>
      </c>
      <c r="S218" s="28">
        <f>ROUND(ROUND(P218, 2)*I218, 2)</f>
        <v>4266.62</v>
      </c>
      <c r="V218" s="9">
        <f>ROUND(ROUND(P218, 2)/1.2, 2)</f>
        <v>23.21</v>
      </c>
      <c r="Y218" s="9">
        <f t="shared" si="12"/>
        <v>3555.52</v>
      </c>
      <c r="AD218" s="4" t="s">
        <v>1081</v>
      </c>
      <c r="AE218" s="4" t="s">
        <v>1082</v>
      </c>
      <c r="AF218" s="4" t="s">
        <v>905</v>
      </c>
    </row>
    <row r="219" spans="1:35" ht="36" x14ac:dyDescent="0.3">
      <c r="A219" s="10" t="s">
        <v>1083</v>
      </c>
      <c r="B219" s="10"/>
      <c r="C219" s="24" t="s">
        <v>1084</v>
      </c>
      <c r="D219" s="15"/>
      <c r="E219" s="15"/>
      <c r="F219" s="25" t="s">
        <v>98</v>
      </c>
      <c r="G219" s="26">
        <v>0.3</v>
      </c>
      <c r="H219" s="26"/>
      <c r="I219" s="26">
        <v>22.98</v>
      </c>
      <c r="J219" s="27">
        <v>74.319999999999993</v>
      </c>
      <c r="M219" s="28">
        <f>ROUND(ROUND(J219, 2)*I219, 2)</f>
        <v>1707.87</v>
      </c>
      <c r="P219" s="29">
        <v>74.319999999999993</v>
      </c>
      <c r="S219" s="28">
        <f>ROUND(ROUND(P219, 2)*I219, 2)</f>
        <v>1707.87</v>
      </c>
      <c r="V219" s="9">
        <f>ROUND(ROUND(P219, 2)/1.2, 2)</f>
        <v>61.93</v>
      </c>
      <c r="Y219" s="9">
        <f t="shared" si="12"/>
        <v>1423.23</v>
      </c>
      <c r="AD219" s="4" t="s">
        <v>1085</v>
      </c>
      <c r="AE219" s="4" t="s">
        <v>1086</v>
      </c>
      <c r="AF219" s="4" t="s">
        <v>1087</v>
      </c>
    </row>
    <row r="220" spans="1:35" ht="36" x14ac:dyDescent="0.3">
      <c r="A220" s="10" t="s">
        <v>1088</v>
      </c>
      <c r="B220" s="10"/>
      <c r="C220" s="24" t="s">
        <v>509</v>
      </c>
      <c r="D220" s="15"/>
      <c r="E220" s="15"/>
      <c r="F220" s="25" t="s">
        <v>76</v>
      </c>
      <c r="G220" s="26">
        <v>0.15</v>
      </c>
      <c r="H220" s="26"/>
      <c r="I220" s="26">
        <v>11.49</v>
      </c>
      <c r="J220" s="27">
        <v>90.28</v>
      </c>
      <c r="M220" s="28">
        <f>ROUND(ROUND(J220, 2)*I220, 2)</f>
        <v>1037.32</v>
      </c>
      <c r="P220" s="29">
        <v>88.8</v>
      </c>
      <c r="S220" s="28">
        <f>ROUND(ROUND(P220, 2)*I220, 2)</f>
        <v>1020.31</v>
      </c>
      <c r="V220" s="9">
        <f>ROUND(ROUND(P220, 2)/1.2, 2)</f>
        <v>74</v>
      </c>
      <c r="Y220" s="9">
        <f t="shared" si="12"/>
        <v>850.26</v>
      </c>
      <c r="AD220" s="4" t="s">
        <v>1089</v>
      </c>
      <c r="AE220" s="4" t="s">
        <v>1090</v>
      </c>
      <c r="AF220" s="4" t="s">
        <v>512</v>
      </c>
    </row>
    <row r="221" spans="1:35" ht="36" x14ac:dyDescent="0.3">
      <c r="A221" s="10" t="s">
        <v>1091</v>
      </c>
      <c r="B221" s="10" t="s">
        <v>1074</v>
      </c>
      <c r="C221" s="14" t="s">
        <v>1075</v>
      </c>
      <c r="D221" s="15"/>
      <c r="E221" s="15" t="s">
        <v>1092</v>
      </c>
      <c r="F221" s="15" t="s">
        <v>57</v>
      </c>
      <c r="G221" s="16">
        <v>1</v>
      </c>
      <c r="H221" s="16"/>
      <c r="I221" s="16">
        <v>76.599999999999994</v>
      </c>
      <c r="J221" s="17">
        <f>IFERROR(ROUND(SUM(M222,M223)/I221, 2),0)</f>
        <v>60.32</v>
      </c>
      <c r="K221" s="18">
        <v>639</v>
      </c>
      <c r="L221" s="17">
        <f>J221+ROUND(K221, 2)</f>
        <v>699.32</v>
      </c>
      <c r="M221" s="17">
        <f>ROUND(J221*I221, 2)</f>
        <v>4620.51</v>
      </c>
      <c r="N221" s="17">
        <f>ROUND(I221*ROUND(K221, 2), 2)</f>
        <v>48947.4</v>
      </c>
      <c r="O221" s="17">
        <f>M221+N221</f>
        <v>53567.91</v>
      </c>
      <c r="P221" s="17">
        <f>IFERROR(ROUND(SUM(S222,S223)/I221, 2),0)</f>
        <v>77.94</v>
      </c>
      <c r="Q221" s="19">
        <v>639</v>
      </c>
      <c r="R221" s="17">
        <f>P221+ROUND(Q221, 2)</f>
        <v>716.94</v>
      </c>
      <c r="S221" s="17">
        <f>ROUND(P221*I221, 2)</f>
        <v>5970.2</v>
      </c>
      <c r="T221" s="17">
        <f>ROUND(I221*ROUND(Q221, 2), 2)</f>
        <v>48947.4</v>
      </c>
      <c r="U221" s="17">
        <f>S221+T221</f>
        <v>54917.599999999999</v>
      </c>
      <c r="V221" s="9">
        <f>ROUND(P221 / 1.2, 2)</f>
        <v>64.95</v>
      </c>
      <c r="W221" s="9">
        <f>ROUND(Q221 / 1.2, 2)</f>
        <v>532.5</v>
      </c>
      <c r="X221" s="9">
        <f>ROUND(R221 / 1.2, 2)</f>
        <v>597.45000000000005</v>
      </c>
      <c r="Y221" s="9">
        <f t="shared" si="12"/>
        <v>4975.17</v>
      </c>
      <c r="Z221" s="9">
        <f>ROUND(T221 / 1.2, 2)</f>
        <v>40789.5</v>
      </c>
      <c r="AA221" s="9">
        <f>Y221+Z221</f>
        <v>45764.67</v>
      </c>
      <c r="AD221" s="4">
        <v>341534387</v>
      </c>
      <c r="AE221" s="4">
        <v>28214769</v>
      </c>
      <c r="AG221" s="4" t="s">
        <v>1077</v>
      </c>
      <c r="AH221" s="4" t="s">
        <v>1078</v>
      </c>
      <c r="AI221" s="4" t="s">
        <v>241</v>
      </c>
    </row>
    <row r="222" spans="1:35" ht="36" x14ac:dyDescent="0.3">
      <c r="A222" s="10" t="s">
        <v>1093</v>
      </c>
      <c r="B222" s="10"/>
      <c r="C222" s="24" t="s">
        <v>509</v>
      </c>
      <c r="D222" s="15"/>
      <c r="E222" s="15"/>
      <c r="F222" s="25" t="s">
        <v>76</v>
      </c>
      <c r="G222" s="26">
        <v>0.15</v>
      </c>
      <c r="H222" s="26"/>
      <c r="I222" s="26">
        <v>11.49</v>
      </c>
      <c r="J222" s="27">
        <v>90.28</v>
      </c>
      <c r="M222" s="28">
        <f>ROUND(ROUND(J222, 2)*I222, 2)</f>
        <v>1037.32</v>
      </c>
      <c r="P222" s="29">
        <v>88.8</v>
      </c>
      <c r="S222" s="28">
        <f>ROUND(ROUND(P222, 2)*I222, 2)</f>
        <v>1020.31</v>
      </c>
      <c r="V222" s="9">
        <f>ROUND(ROUND(P222, 2)/1.2, 2)</f>
        <v>74</v>
      </c>
      <c r="Y222" s="9">
        <f t="shared" si="12"/>
        <v>850.26</v>
      </c>
      <c r="AD222" s="4" t="s">
        <v>1094</v>
      </c>
      <c r="AE222" s="4" t="s">
        <v>1095</v>
      </c>
      <c r="AF222" s="4" t="s">
        <v>512</v>
      </c>
    </row>
    <row r="223" spans="1:35" ht="18" x14ac:dyDescent="0.3">
      <c r="A223" s="10" t="s">
        <v>1096</v>
      </c>
      <c r="B223" s="10"/>
      <c r="C223" s="24" t="s">
        <v>902</v>
      </c>
      <c r="D223" s="15"/>
      <c r="E223" s="15" t="s">
        <v>1097</v>
      </c>
      <c r="F223" s="25" t="s">
        <v>76</v>
      </c>
      <c r="G223" s="26">
        <v>2</v>
      </c>
      <c r="H223" s="26"/>
      <c r="I223" s="26">
        <v>153.19999999999999</v>
      </c>
      <c r="J223" s="27">
        <v>23.39</v>
      </c>
      <c r="M223" s="28">
        <f>ROUND(ROUND(J223, 2)*I223, 2)</f>
        <v>3583.35</v>
      </c>
      <c r="P223" s="29">
        <v>32.31</v>
      </c>
      <c r="S223" s="28">
        <f>ROUND(ROUND(P223, 2)*I223, 2)</f>
        <v>4949.8900000000003</v>
      </c>
      <c r="V223" s="9">
        <f>ROUND(ROUND(P223, 2)/1.2, 2)</f>
        <v>26.93</v>
      </c>
      <c r="Y223" s="9">
        <f t="shared" si="12"/>
        <v>4124.91</v>
      </c>
      <c r="AD223" s="4" t="s">
        <v>1098</v>
      </c>
      <c r="AE223" s="4" t="s">
        <v>1099</v>
      </c>
      <c r="AF223" s="4" t="s">
        <v>905</v>
      </c>
    </row>
    <row r="224" spans="1:35" ht="36" x14ac:dyDescent="0.3">
      <c r="A224" s="10" t="s">
        <v>1100</v>
      </c>
      <c r="B224" s="10" t="s">
        <v>1074</v>
      </c>
      <c r="C224" s="14" t="s">
        <v>1075</v>
      </c>
      <c r="D224" s="15"/>
      <c r="E224" s="15" t="s">
        <v>1101</v>
      </c>
      <c r="F224" s="15" t="s">
        <v>57</v>
      </c>
      <c r="G224" s="16">
        <v>1</v>
      </c>
      <c r="H224" s="16"/>
      <c r="I224" s="16">
        <v>76.599999999999994</v>
      </c>
      <c r="J224" s="17">
        <f>IFERROR(ROUND(SUM(M225,M226)/I224, 2),0)</f>
        <v>60.32</v>
      </c>
      <c r="K224" s="18">
        <v>639</v>
      </c>
      <c r="L224" s="17">
        <f>J224+ROUND(K224, 2)</f>
        <v>699.32</v>
      </c>
      <c r="M224" s="17">
        <f>ROUND(J224*I224, 2)</f>
        <v>4620.51</v>
      </c>
      <c r="N224" s="17">
        <f>ROUND(I224*ROUND(K224, 2), 2)</f>
        <v>48947.4</v>
      </c>
      <c r="O224" s="17">
        <f>M224+N224</f>
        <v>53567.91</v>
      </c>
      <c r="P224" s="17">
        <f>IFERROR(ROUND(SUM(S225,S226)/I224, 2),0)</f>
        <v>98.52</v>
      </c>
      <c r="Q224" s="19">
        <v>639</v>
      </c>
      <c r="R224" s="17">
        <f>P224+ROUND(Q224, 2)</f>
        <v>737.52</v>
      </c>
      <c r="S224" s="17">
        <f>ROUND(P224*I224, 2)</f>
        <v>7546.63</v>
      </c>
      <c r="T224" s="17">
        <f>ROUND(I224*ROUND(Q224, 2), 2)</f>
        <v>48947.4</v>
      </c>
      <c r="U224" s="17">
        <f>S224+T224</f>
        <v>56494.03</v>
      </c>
      <c r="V224" s="9">
        <f>ROUND(P224 / 1.2, 2)</f>
        <v>82.1</v>
      </c>
      <c r="W224" s="9">
        <f>ROUND(Q224 / 1.2, 2)</f>
        <v>532.5</v>
      </c>
      <c r="X224" s="9">
        <f>ROUND(R224 / 1.2, 2)</f>
        <v>614.6</v>
      </c>
      <c r="Y224" s="9">
        <f t="shared" si="12"/>
        <v>6288.86</v>
      </c>
      <c r="Z224" s="9">
        <f>ROUND(T224 / 1.2, 2)</f>
        <v>40789.5</v>
      </c>
      <c r="AA224" s="9">
        <f>Y224+Z224</f>
        <v>47078.36</v>
      </c>
      <c r="AD224" s="4">
        <v>341534388</v>
      </c>
      <c r="AE224" s="4">
        <v>28214767</v>
      </c>
      <c r="AG224" s="4" t="s">
        <v>1077</v>
      </c>
      <c r="AH224" s="4" t="s">
        <v>1078</v>
      </c>
      <c r="AI224" s="4" t="s">
        <v>241</v>
      </c>
    </row>
    <row r="225" spans="1:35" ht="36" x14ac:dyDescent="0.3">
      <c r="A225" s="10" t="s">
        <v>1102</v>
      </c>
      <c r="B225" s="10"/>
      <c r="C225" s="24" t="s">
        <v>509</v>
      </c>
      <c r="D225" s="15"/>
      <c r="E225" s="15"/>
      <c r="F225" s="25" t="s">
        <v>76</v>
      </c>
      <c r="G225" s="26">
        <v>0.15</v>
      </c>
      <c r="H225" s="26"/>
      <c r="I225" s="26">
        <v>11.49</v>
      </c>
      <c r="J225" s="27">
        <v>90.28</v>
      </c>
      <c r="M225" s="28">
        <f>ROUND(ROUND(J225, 2)*I225, 2)</f>
        <v>1037.32</v>
      </c>
      <c r="P225" s="29">
        <v>88.8</v>
      </c>
      <c r="S225" s="28">
        <f>ROUND(ROUND(P225, 2)*I225, 2)</f>
        <v>1020.31</v>
      </c>
      <c r="V225" s="9">
        <f>ROUND(ROUND(P225, 2)/1.2, 2)</f>
        <v>74</v>
      </c>
      <c r="Y225" s="9">
        <f t="shared" si="12"/>
        <v>850.26</v>
      </c>
      <c r="AD225" s="4" t="s">
        <v>1103</v>
      </c>
      <c r="AE225" s="4" t="s">
        <v>1104</v>
      </c>
      <c r="AF225" s="4" t="s">
        <v>512</v>
      </c>
    </row>
    <row r="226" spans="1:35" ht="18" x14ac:dyDescent="0.3">
      <c r="A226" s="10" t="s">
        <v>1105</v>
      </c>
      <c r="B226" s="10"/>
      <c r="C226" s="24" t="s">
        <v>902</v>
      </c>
      <c r="D226" s="15"/>
      <c r="E226" s="15" t="s">
        <v>1106</v>
      </c>
      <c r="F226" s="25" t="s">
        <v>76</v>
      </c>
      <c r="G226" s="26">
        <v>2</v>
      </c>
      <c r="H226" s="26"/>
      <c r="I226" s="26">
        <v>153.19999999999999</v>
      </c>
      <c r="J226" s="27">
        <v>23.39</v>
      </c>
      <c r="M226" s="28">
        <f>ROUND(ROUND(J226, 2)*I226, 2)</f>
        <v>3583.35</v>
      </c>
      <c r="P226" s="29">
        <v>42.6</v>
      </c>
      <c r="S226" s="28">
        <f>ROUND(ROUND(P226, 2)*I226, 2)</f>
        <v>6526.32</v>
      </c>
      <c r="V226" s="9">
        <f>ROUND(ROUND(P226, 2)/1.2, 2)</f>
        <v>35.5</v>
      </c>
      <c r="Y226" s="9">
        <f t="shared" si="12"/>
        <v>5438.6</v>
      </c>
      <c r="AD226" s="4" t="s">
        <v>1107</v>
      </c>
      <c r="AE226" s="4" t="s">
        <v>1108</v>
      </c>
      <c r="AF226" s="4" t="s">
        <v>905</v>
      </c>
    </row>
    <row r="227" spans="1:35" ht="36" x14ac:dyDescent="0.3">
      <c r="A227" s="10" t="s">
        <v>1109</v>
      </c>
      <c r="B227" s="10" t="s">
        <v>1074</v>
      </c>
      <c r="C227" s="14" t="s">
        <v>1075</v>
      </c>
      <c r="D227" s="15"/>
      <c r="E227" s="15" t="s">
        <v>1110</v>
      </c>
      <c r="F227" s="15" t="s">
        <v>57</v>
      </c>
      <c r="G227" s="16">
        <v>1</v>
      </c>
      <c r="H227" s="16"/>
      <c r="I227" s="16">
        <v>520.01</v>
      </c>
      <c r="J227" s="17">
        <f>IFERROR(ROUND(SUM(M228,M229,M230)/I227, 2),0)</f>
        <v>82.62</v>
      </c>
      <c r="K227" s="18">
        <v>639</v>
      </c>
      <c r="L227" s="17">
        <f>J227+ROUND(K227, 2)</f>
        <v>721.62</v>
      </c>
      <c r="M227" s="17">
        <f>ROUND(J227*I227, 2)</f>
        <v>42963.23</v>
      </c>
      <c r="N227" s="17">
        <f>ROUND(I227*ROUND(K227, 2), 2)</f>
        <v>332286.39</v>
      </c>
      <c r="O227" s="17">
        <f>M227+N227</f>
        <v>375249.62</v>
      </c>
      <c r="P227" s="17">
        <f>IFERROR(ROUND(SUM(S228,S229,S230)/I227, 2),0)</f>
        <v>91.32</v>
      </c>
      <c r="Q227" s="19">
        <v>639</v>
      </c>
      <c r="R227" s="17">
        <f>P227+ROUND(Q227, 2)</f>
        <v>730.31999999999994</v>
      </c>
      <c r="S227" s="17">
        <f>ROUND(P227*I227, 2)</f>
        <v>47487.31</v>
      </c>
      <c r="T227" s="17">
        <f>ROUND(I227*ROUND(Q227, 2), 2)</f>
        <v>332286.39</v>
      </c>
      <c r="U227" s="17">
        <f>S227+T227</f>
        <v>379773.7</v>
      </c>
      <c r="V227" s="9">
        <f>ROUND(P227 / 1.2, 2)</f>
        <v>76.099999999999994</v>
      </c>
      <c r="W227" s="9">
        <f>ROUND(Q227 / 1.2, 2)</f>
        <v>532.5</v>
      </c>
      <c r="X227" s="9">
        <f>ROUND(R227 / 1.2, 2)</f>
        <v>608.6</v>
      </c>
      <c r="Y227" s="9">
        <f t="shared" si="12"/>
        <v>39572.76</v>
      </c>
      <c r="Z227" s="9">
        <f>ROUND(T227 / 1.2, 2)</f>
        <v>276905.33</v>
      </c>
      <c r="AA227" s="9">
        <f>Y227+Z227</f>
        <v>316478.09000000003</v>
      </c>
      <c r="AD227" s="4">
        <v>341534389</v>
      </c>
      <c r="AE227" s="4">
        <v>28222003</v>
      </c>
      <c r="AG227" s="4" t="s">
        <v>1077</v>
      </c>
      <c r="AH227" s="4" t="s">
        <v>1078</v>
      </c>
      <c r="AI227" s="4" t="s">
        <v>241</v>
      </c>
    </row>
    <row r="228" spans="1:35" ht="36" x14ac:dyDescent="0.3">
      <c r="A228" s="10" t="s">
        <v>1111</v>
      </c>
      <c r="B228" s="10"/>
      <c r="C228" s="24" t="s">
        <v>509</v>
      </c>
      <c r="D228" s="15"/>
      <c r="E228" s="15"/>
      <c r="F228" s="25" t="s">
        <v>76</v>
      </c>
      <c r="G228" s="26">
        <v>0.15</v>
      </c>
      <c r="H228" s="26"/>
      <c r="I228" s="26">
        <v>78.001999999999995</v>
      </c>
      <c r="J228" s="27">
        <v>90.28</v>
      </c>
      <c r="M228" s="28">
        <f>ROUND(ROUND(J228, 2)*I228, 2)</f>
        <v>7042.02</v>
      </c>
      <c r="P228" s="29">
        <v>88.8</v>
      </c>
      <c r="S228" s="28">
        <f>ROUND(ROUND(P228, 2)*I228, 2)</f>
        <v>6926.58</v>
      </c>
      <c r="V228" s="9">
        <f>ROUND(ROUND(P228, 2)/1.2, 2)</f>
        <v>74</v>
      </c>
      <c r="Y228" s="9">
        <f t="shared" si="12"/>
        <v>5772.15</v>
      </c>
      <c r="AD228" s="4" t="s">
        <v>1112</v>
      </c>
      <c r="AE228" s="4" t="s">
        <v>1113</v>
      </c>
      <c r="AF228" s="4" t="s">
        <v>512</v>
      </c>
    </row>
    <row r="229" spans="1:35" ht="36" x14ac:dyDescent="0.3">
      <c r="A229" s="10" t="s">
        <v>1114</v>
      </c>
      <c r="B229" s="10"/>
      <c r="C229" s="24" t="s">
        <v>1084</v>
      </c>
      <c r="D229" s="15"/>
      <c r="E229" s="15"/>
      <c r="F229" s="25" t="s">
        <v>98</v>
      </c>
      <c r="G229" s="26">
        <v>0.3</v>
      </c>
      <c r="H229" s="26"/>
      <c r="I229" s="26">
        <v>156.00299999999999</v>
      </c>
      <c r="J229" s="27">
        <v>74.319999999999993</v>
      </c>
      <c r="M229" s="28">
        <f>ROUND(ROUND(J229, 2)*I229, 2)</f>
        <v>11594.14</v>
      </c>
      <c r="P229" s="29">
        <v>74.319999999999993</v>
      </c>
      <c r="S229" s="28">
        <f>ROUND(ROUND(P229, 2)*I229, 2)</f>
        <v>11594.14</v>
      </c>
      <c r="V229" s="9">
        <f>ROUND(ROUND(P229, 2)/1.2, 2)</f>
        <v>61.93</v>
      </c>
      <c r="Y229" s="9">
        <f t="shared" si="12"/>
        <v>9661.7800000000007</v>
      </c>
      <c r="AD229" s="4" t="s">
        <v>1115</v>
      </c>
      <c r="AE229" s="4" t="s">
        <v>1116</v>
      </c>
      <c r="AF229" s="4" t="s">
        <v>1087</v>
      </c>
    </row>
    <row r="230" spans="1:35" ht="18" x14ac:dyDescent="0.3">
      <c r="A230" s="10" t="s">
        <v>1117</v>
      </c>
      <c r="B230" s="10"/>
      <c r="C230" s="24" t="s">
        <v>902</v>
      </c>
      <c r="D230" s="15"/>
      <c r="E230" s="15" t="s">
        <v>1080</v>
      </c>
      <c r="F230" s="25" t="s">
        <v>76</v>
      </c>
      <c r="G230" s="26">
        <v>2</v>
      </c>
      <c r="H230" s="26"/>
      <c r="I230" s="26">
        <v>1040.02</v>
      </c>
      <c r="J230" s="27">
        <v>23.39</v>
      </c>
      <c r="M230" s="28">
        <f>ROUND(ROUND(J230, 2)*I230, 2)</f>
        <v>24326.07</v>
      </c>
      <c r="P230" s="29">
        <v>27.85</v>
      </c>
      <c r="S230" s="28">
        <f>ROUND(ROUND(P230, 2)*I230, 2)</f>
        <v>28964.560000000001</v>
      </c>
      <c r="V230" s="9">
        <f>ROUND(ROUND(P230, 2)/1.2, 2)</f>
        <v>23.21</v>
      </c>
      <c r="Y230" s="9">
        <f t="shared" si="12"/>
        <v>24137.13</v>
      </c>
      <c r="AD230" s="4" t="s">
        <v>1118</v>
      </c>
      <c r="AE230" s="4" t="s">
        <v>1119</v>
      </c>
      <c r="AF230" s="4" t="s">
        <v>905</v>
      </c>
    </row>
    <row r="231" spans="1:35" ht="36" x14ac:dyDescent="0.3">
      <c r="A231" s="10" t="s">
        <v>1120</v>
      </c>
      <c r="B231" s="10" t="s">
        <v>1074</v>
      </c>
      <c r="C231" s="14" t="s">
        <v>1075</v>
      </c>
      <c r="D231" s="15"/>
      <c r="E231" s="15" t="s">
        <v>1121</v>
      </c>
      <c r="F231" s="15" t="s">
        <v>57</v>
      </c>
      <c r="G231" s="16">
        <v>1</v>
      </c>
      <c r="H231" s="16"/>
      <c r="I231" s="16">
        <v>520.01</v>
      </c>
      <c r="J231" s="17">
        <f>IFERROR(ROUND(SUM(M232,M233)/I231, 2),0)</f>
        <v>60.32</v>
      </c>
      <c r="K231" s="18">
        <v>639</v>
      </c>
      <c r="L231" s="17">
        <f>J231+ROUND(K231, 2)</f>
        <v>699.32</v>
      </c>
      <c r="M231" s="17">
        <f>ROUND(J231*I231, 2)</f>
        <v>31367</v>
      </c>
      <c r="N231" s="17">
        <f>ROUND(I231*ROUND(K231, 2), 2)</f>
        <v>332286.39</v>
      </c>
      <c r="O231" s="17">
        <f>M231+N231</f>
        <v>363653.39</v>
      </c>
      <c r="P231" s="17">
        <f>IFERROR(ROUND(SUM(S232,S233)/I231, 2),0)</f>
        <v>77.94</v>
      </c>
      <c r="Q231" s="19">
        <v>639</v>
      </c>
      <c r="R231" s="17">
        <f>P231+ROUND(Q231, 2)</f>
        <v>716.94</v>
      </c>
      <c r="S231" s="17">
        <f>ROUND(P231*I231, 2)</f>
        <v>40529.58</v>
      </c>
      <c r="T231" s="17">
        <f>ROUND(I231*ROUND(Q231, 2), 2)</f>
        <v>332286.39</v>
      </c>
      <c r="U231" s="17">
        <f>S231+T231</f>
        <v>372815.97000000003</v>
      </c>
      <c r="V231" s="9">
        <f>ROUND(P231 / 1.2, 2)</f>
        <v>64.95</v>
      </c>
      <c r="W231" s="9">
        <f>ROUND(Q231 / 1.2, 2)</f>
        <v>532.5</v>
      </c>
      <c r="X231" s="9">
        <f>ROUND(R231 / 1.2, 2)</f>
        <v>597.45000000000005</v>
      </c>
      <c r="Y231" s="9">
        <f t="shared" si="12"/>
        <v>33774.65</v>
      </c>
      <c r="Z231" s="9">
        <f>ROUND(T231 / 1.2, 2)</f>
        <v>276905.33</v>
      </c>
      <c r="AA231" s="9">
        <f>Y231+Z231</f>
        <v>310679.98000000004</v>
      </c>
      <c r="AD231" s="4">
        <v>341534390</v>
      </c>
      <c r="AE231" s="4">
        <v>28222011</v>
      </c>
      <c r="AG231" s="4" t="s">
        <v>1077</v>
      </c>
      <c r="AH231" s="4" t="s">
        <v>1078</v>
      </c>
      <c r="AI231" s="4" t="s">
        <v>241</v>
      </c>
    </row>
    <row r="232" spans="1:35" ht="36" x14ac:dyDescent="0.3">
      <c r="A232" s="10" t="s">
        <v>1122</v>
      </c>
      <c r="B232" s="10"/>
      <c r="C232" s="24" t="s">
        <v>509</v>
      </c>
      <c r="D232" s="15"/>
      <c r="E232" s="15"/>
      <c r="F232" s="25" t="s">
        <v>76</v>
      </c>
      <c r="G232" s="26">
        <v>0.15</v>
      </c>
      <c r="H232" s="26"/>
      <c r="I232" s="26">
        <v>78.001999999999995</v>
      </c>
      <c r="J232" s="27">
        <v>90.28</v>
      </c>
      <c r="M232" s="28">
        <f>ROUND(ROUND(J232, 2)*I232, 2)</f>
        <v>7042.02</v>
      </c>
      <c r="P232" s="29">
        <v>88.8</v>
      </c>
      <c r="S232" s="28">
        <f>ROUND(ROUND(P232, 2)*I232, 2)</f>
        <v>6926.58</v>
      </c>
      <c r="V232" s="9">
        <f>ROUND(ROUND(P232, 2)/1.2, 2)</f>
        <v>74</v>
      </c>
      <c r="Y232" s="9">
        <f t="shared" si="12"/>
        <v>5772.15</v>
      </c>
      <c r="AD232" s="4" t="s">
        <v>1123</v>
      </c>
      <c r="AE232" s="4" t="s">
        <v>1124</v>
      </c>
      <c r="AF232" s="4" t="s">
        <v>512</v>
      </c>
    </row>
    <row r="233" spans="1:35" ht="18" x14ac:dyDescent="0.3">
      <c r="A233" s="10" t="s">
        <v>1125</v>
      </c>
      <c r="B233" s="10"/>
      <c r="C233" s="24" t="s">
        <v>902</v>
      </c>
      <c r="D233" s="15"/>
      <c r="E233" s="15" t="s">
        <v>1097</v>
      </c>
      <c r="F233" s="25" t="s">
        <v>76</v>
      </c>
      <c r="G233" s="26">
        <v>2</v>
      </c>
      <c r="H233" s="26"/>
      <c r="I233" s="26">
        <v>1040.02</v>
      </c>
      <c r="J233" s="27">
        <v>23.39</v>
      </c>
      <c r="M233" s="28">
        <f>ROUND(ROUND(J233, 2)*I233, 2)</f>
        <v>24326.07</v>
      </c>
      <c r="P233" s="29">
        <v>32.31</v>
      </c>
      <c r="S233" s="28">
        <f>ROUND(ROUND(P233, 2)*I233, 2)</f>
        <v>33603.050000000003</v>
      </c>
      <c r="V233" s="9">
        <f>ROUND(ROUND(P233, 2)/1.2, 2)</f>
        <v>26.93</v>
      </c>
      <c r="Y233" s="9">
        <f t="shared" si="12"/>
        <v>28002.54</v>
      </c>
      <c r="AD233" s="4" t="s">
        <v>1126</v>
      </c>
      <c r="AE233" s="4" t="s">
        <v>1127</v>
      </c>
      <c r="AF233" s="4" t="s">
        <v>905</v>
      </c>
    </row>
    <row r="234" spans="1:35" ht="36" x14ac:dyDescent="0.3">
      <c r="A234" s="10" t="s">
        <v>1128</v>
      </c>
      <c r="B234" s="10" t="s">
        <v>1074</v>
      </c>
      <c r="C234" s="14" t="s">
        <v>1075</v>
      </c>
      <c r="D234" s="15"/>
      <c r="E234" s="15" t="s">
        <v>1129</v>
      </c>
      <c r="F234" s="15" t="s">
        <v>57</v>
      </c>
      <c r="G234" s="16">
        <v>1</v>
      </c>
      <c r="H234" s="16"/>
      <c r="I234" s="16">
        <v>520.01</v>
      </c>
      <c r="J234" s="17">
        <f>IFERROR(ROUND(SUM(M235,M236)/I234, 2),0)</f>
        <v>60.32</v>
      </c>
      <c r="K234" s="18">
        <v>639</v>
      </c>
      <c r="L234" s="17">
        <f>J234+ROUND(K234, 2)</f>
        <v>699.32</v>
      </c>
      <c r="M234" s="17">
        <f>ROUND(J234*I234, 2)</f>
        <v>31367</v>
      </c>
      <c r="N234" s="17">
        <f>ROUND(I234*ROUND(K234, 2), 2)</f>
        <v>332286.39</v>
      </c>
      <c r="O234" s="17">
        <f>M234+N234</f>
        <v>363653.39</v>
      </c>
      <c r="P234" s="17">
        <f>IFERROR(ROUND(SUM(S235,S236)/I234, 2),0)</f>
        <v>98.52</v>
      </c>
      <c r="Q234" s="19">
        <v>639</v>
      </c>
      <c r="R234" s="17">
        <f>P234+ROUND(Q234, 2)</f>
        <v>737.52</v>
      </c>
      <c r="S234" s="17">
        <f>ROUND(P234*I234, 2)</f>
        <v>51231.39</v>
      </c>
      <c r="T234" s="17">
        <f>ROUND(I234*ROUND(Q234, 2), 2)</f>
        <v>332286.39</v>
      </c>
      <c r="U234" s="17">
        <f>S234+T234</f>
        <v>383517.78</v>
      </c>
      <c r="V234" s="9">
        <f>ROUND(P234 / 1.2, 2)</f>
        <v>82.1</v>
      </c>
      <c r="W234" s="9">
        <f>ROUND(Q234 / 1.2, 2)</f>
        <v>532.5</v>
      </c>
      <c r="X234" s="9">
        <f>ROUND(R234 / 1.2, 2)</f>
        <v>614.6</v>
      </c>
      <c r="Y234" s="9">
        <f t="shared" si="12"/>
        <v>42692.83</v>
      </c>
      <c r="Z234" s="9">
        <f>ROUND(T234 / 1.2, 2)</f>
        <v>276905.33</v>
      </c>
      <c r="AA234" s="9">
        <f>Y234+Z234</f>
        <v>319598.16000000003</v>
      </c>
      <c r="AD234" s="4">
        <v>341534391</v>
      </c>
      <c r="AE234" s="4">
        <v>28222008</v>
      </c>
      <c r="AG234" s="4" t="s">
        <v>1077</v>
      </c>
      <c r="AH234" s="4" t="s">
        <v>1078</v>
      </c>
      <c r="AI234" s="4" t="s">
        <v>241</v>
      </c>
    </row>
    <row r="235" spans="1:35" ht="36" x14ac:dyDescent="0.3">
      <c r="A235" s="10" t="s">
        <v>1130</v>
      </c>
      <c r="B235" s="10"/>
      <c r="C235" s="24" t="s">
        <v>509</v>
      </c>
      <c r="D235" s="15"/>
      <c r="E235" s="15"/>
      <c r="F235" s="25" t="s">
        <v>76</v>
      </c>
      <c r="G235" s="26">
        <v>0.15</v>
      </c>
      <c r="H235" s="26"/>
      <c r="I235" s="26">
        <v>78.001999999999995</v>
      </c>
      <c r="J235" s="27">
        <v>90.28</v>
      </c>
      <c r="M235" s="28">
        <f>ROUND(ROUND(J235, 2)*I235, 2)</f>
        <v>7042.02</v>
      </c>
      <c r="P235" s="29">
        <v>88.8</v>
      </c>
      <c r="S235" s="28">
        <f>ROUND(ROUND(P235, 2)*I235, 2)</f>
        <v>6926.58</v>
      </c>
      <c r="V235" s="9">
        <f>ROUND(ROUND(P235, 2)/1.2, 2)</f>
        <v>74</v>
      </c>
      <c r="Y235" s="9">
        <f t="shared" si="12"/>
        <v>5772.15</v>
      </c>
      <c r="AD235" s="4" t="s">
        <v>1131</v>
      </c>
      <c r="AE235" s="4" t="s">
        <v>1132</v>
      </c>
      <c r="AF235" s="4" t="s">
        <v>512</v>
      </c>
    </row>
    <row r="236" spans="1:35" ht="18" x14ac:dyDescent="0.3">
      <c r="A236" s="10" t="s">
        <v>1133</v>
      </c>
      <c r="B236" s="10"/>
      <c r="C236" s="24" t="s">
        <v>902</v>
      </c>
      <c r="D236" s="15"/>
      <c r="E236" s="15" t="s">
        <v>1106</v>
      </c>
      <c r="F236" s="25" t="s">
        <v>76</v>
      </c>
      <c r="G236" s="26">
        <v>2</v>
      </c>
      <c r="H236" s="26"/>
      <c r="I236" s="26">
        <v>1040.02</v>
      </c>
      <c r="J236" s="27">
        <v>23.39</v>
      </c>
      <c r="M236" s="28">
        <f>ROUND(ROUND(J236, 2)*I236, 2)</f>
        <v>24326.07</v>
      </c>
      <c r="P236" s="29">
        <v>42.6</v>
      </c>
      <c r="S236" s="28">
        <f>ROUND(ROUND(P236, 2)*I236, 2)</f>
        <v>44304.85</v>
      </c>
      <c r="V236" s="9">
        <f>ROUND(ROUND(P236, 2)/1.2, 2)</f>
        <v>35.5</v>
      </c>
      <c r="Y236" s="9">
        <f t="shared" si="12"/>
        <v>36920.71</v>
      </c>
      <c r="AD236" s="4" t="s">
        <v>1134</v>
      </c>
      <c r="AE236" s="4" t="s">
        <v>1135</v>
      </c>
      <c r="AF236" s="4" t="s">
        <v>905</v>
      </c>
    </row>
    <row r="237" spans="1:35" ht="54" x14ac:dyDescent="0.3">
      <c r="A237" s="10" t="s">
        <v>1136</v>
      </c>
      <c r="B237" s="10" t="s">
        <v>1074</v>
      </c>
      <c r="C237" s="14" t="s">
        <v>1075</v>
      </c>
      <c r="D237" s="15"/>
      <c r="E237" s="15" t="s">
        <v>1137</v>
      </c>
      <c r="F237" s="15" t="s">
        <v>57</v>
      </c>
      <c r="G237" s="16">
        <v>1</v>
      </c>
      <c r="H237" s="16"/>
      <c r="I237" s="16">
        <v>66.28</v>
      </c>
      <c r="J237" s="17">
        <f>IFERROR(ROUND(SUM(M238,M239,M240)/I237, 2),0)</f>
        <v>54.23</v>
      </c>
      <c r="K237" s="18">
        <v>639</v>
      </c>
      <c r="L237" s="17">
        <f>J237+ROUND(K237, 2)</f>
        <v>693.23</v>
      </c>
      <c r="M237" s="17">
        <f>ROUND(J237*I237, 2)</f>
        <v>3594.36</v>
      </c>
      <c r="N237" s="17">
        <f>ROUND(I237*ROUND(K237, 2), 2)</f>
        <v>42352.92</v>
      </c>
      <c r="O237" s="17">
        <f>M237+N237</f>
        <v>45947.28</v>
      </c>
      <c r="P237" s="17">
        <f>IFERROR(ROUND(SUM(S238,S239,S240)/I237, 2),0)</f>
        <v>54.49</v>
      </c>
      <c r="Q237" s="19">
        <v>639</v>
      </c>
      <c r="R237" s="17">
        <f>P237+ROUND(Q237, 2)</f>
        <v>693.49</v>
      </c>
      <c r="S237" s="17">
        <f>ROUND(P237*I237, 2)</f>
        <v>3611.6</v>
      </c>
      <c r="T237" s="17">
        <f>ROUND(I237*ROUND(Q237, 2), 2)</f>
        <v>42352.92</v>
      </c>
      <c r="U237" s="17">
        <f>S237+T237</f>
        <v>45964.52</v>
      </c>
      <c r="V237" s="9">
        <f>ROUND(P237 / 1.2, 2)</f>
        <v>45.41</v>
      </c>
      <c r="W237" s="9">
        <f>ROUND(Q237 / 1.2, 2)</f>
        <v>532.5</v>
      </c>
      <c r="X237" s="9">
        <f>ROUND(R237 / 1.2, 2)</f>
        <v>577.91</v>
      </c>
      <c r="Y237" s="9">
        <f t="shared" si="12"/>
        <v>3009.67</v>
      </c>
      <c r="Z237" s="9">
        <f>ROUND(T237 / 1.2, 2)</f>
        <v>35294.1</v>
      </c>
      <c r="AA237" s="9">
        <f>Y237+Z237</f>
        <v>38303.769999999997</v>
      </c>
      <c r="AD237" s="4">
        <v>341534392</v>
      </c>
      <c r="AE237" s="4">
        <v>28222004</v>
      </c>
      <c r="AG237" s="4" t="s">
        <v>1077</v>
      </c>
      <c r="AH237" s="4" t="s">
        <v>1078</v>
      </c>
      <c r="AI237" s="4" t="s">
        <v>241</v>
      </c>
    </row>
    <row r="238" spans="1:35" ht="36" x14ac:dyDescent="0.3">
      <c r="A238" s="10" t="s">
        <v>1138</v>
      </c>
      <c r="B238" s="10"/>
      <c r="C238" s="24" t="s">
        <v>509</v>
      </c>
      <c r="D238" s="15"/>
      <c r="E238" s="15"/>
      <c r="F238" s="25" t="s">
        <v>76</v>
      </c>
      <c r="G238" s="26">
        <v>0.15</v>
      </c>
      <c r="H238" s="26"/>
      <c r="I238" s="26">
        <v>9.9420000000000002</v>
      </c>
      <c r="J238" s="27">
        <v>90.28</v>
      </c>
      <c r="M238" s="28">
        <f>ROUND(ROUND(J238, 2)*I238, 2)</f>
        <v>897.56</v>
      </c>
      <c r="P238" s="29">
        <v>88.8</v>
      </c>
      <c r="S238" s="28">
        <f>ROUND(ROUND(P238, 2)*I238, 2)</f>
        <v>882.85</v>
      </c>
      <c r="V238" s="9">
        <f>ROUND(ROUND(P238, 2)/1.2, 2)</f>
        <v>74</v>
      </c>
      <c r="Y238" s="9">
        <f t="shared" ref="Y238:Y269" si="13">ROUND(S238 / 1.2, 2)</f>
        <v>735.71</v>
      </c>
      <c r="AD238" s="4" t="s">
        <v>1139</v>
      </c>
      <c r="AE238" s="4" t="s">
        <v>1140</v>
      </c>
      <c r="AF238" s="4" t="s">
        <v>512</v>
      </c>
    </row>
    <row r="239" spans="1:35" ht="36" x14ac:dyDescent="0.3">
      <c r="A239" s="10" t="s">
        <v>1141</v>
      </c>
      <c r="B239" s="10"/>
      <c r="C239" s="24" t="s">
        <v>1084</v>
      </c>
      <c r="D239" s="15"/>
      <c r="E239" s="15"/>
      <c r="F239" s="25" t="s">
        <v>98</v>
      </c>
      <c r="G239" s="26">
        <v>0.3</v>
      </c>
      <c r="H239" s="26"/>
      <c r="I239" s="26">
        <v>19.884</v>
      </c>
      <c r="J239" s="27">
        <v>74.319999999999993</v>
      </c>
      <c r="M239" s="28">
        <f>ROUND(ROUND(J239, 2)*I239, 2)</f>
        <v>1477.78</v>
      </c>
      <c r="P239" s="29">
        <v>74.319999999999993</v>
      </c>
      <c r="S239" s="28">
        <f>ROUND(ROUND(P239, 2)*I239, 2)</f>
        <v>1477.78</v>
      </c>
      <c r="V239" s="9">
        <f>ROUND(ROUND(P239, 2)/1.2, 2)</f>
        <v>61.93</v>
      </c>
      <c r="Y239" s="9">
        <f t="shared" si="13"/>
        <v>1231.48</v>
      </c>
      <c r="AD239" s="4" t="s">
        <v>1142</v>
      </c>
      <c r="AE239" s="4" t="s">
        <v>1143</v>
      </c>
      <c r="AF239" s="4" t="s">
        <v>1087</v>
      </c>
    </row>
    <row r="240" spans="1:35" ht="36" x14ac:dyDescent="0.3">
      <c r="A240" s="10" t="s">
        <v>1144</v>
      </c>
      <c r="B240" s="10"/>
      <c r="C240" s="35" t="s">
        <v>961</v>
      </c>
      <c r="D240" s="15"/>
      <c r="E240" s="15"/>
      <c r="F240" s="25" t="s">
        <v>76</v>
      </c>
      <c r="G240" s="26">
        <v>1.5</v>
      </c>
      <c r="H240" s="26"/>
      <c r="I240" s="26">
        <v>99.42</v>
      </c>
      <c r="J240" s="27">
        <v>12.26</v>
      </c>
      <c r="M240" s="28">
        <f>ROUND(ROUND(J240, 2)*I240, 2)</f>
        <v>1218.8900000000001</v>
      </c>
      <c r="P240" s="29">
        <v>12.58</v>
      </c>
      <c r="S240" s="28">
        <f>ROUND(ROUND(P240, 2)*I240, 2)</f>
        <v>1250.7</v>
      </c>
      <c r="V240" s="9">
        <f>ROUND(ROUND(P240, 2)/1.2, 2)</f>
        <v>10.48</v>
      </c>
      <c r="Y240" s="9">
        <f t="shared" si="13"/>
        <v>1042.25</v>
      </c>
      <c r="AD240" s="4" t="s">
        <v>1145</v>
      </c>
      <c r="AE240" s="4" t="s">
        <v>1146</v>
      </c>
      <c r="AF240" s="4" t="s">
        <v>1147</v>
      </c>
    </row>
    <row r="241" spans="1:35" ht="36" x14ac:dyDescent="0.3">
      <c r="A241" s="10" t="s">
        <v>1148</v>
      </c>
      <c r="B241" s="10" t="s">
        <v>1074</v>
      </c>
      <c r="C241" s="14" t="s">
        <v>1075</v>
      </c>
      <c r="D241" s="15"/>
      <c r="E241" s="15" t="s">
        <v>1149</v>
      </c>
      <c r="F241" s="15" t="s">
        <v>57</v>
      </c>
      <c r="G241" s="16">
        <v>1</v>
      </c>
      <c r="H241" s="16"/>
      <c r="I241" s="16">
        <v>66.28</v>
      </c>
      <c r="J241" s="17">
        <f>IFERROR(ROUND(SUM(M242,M243)/I241, 2),0)</f>
        <v>31.93</v>
      </c>
      <c r="K241" s="18">
        <v>639</v>
      </c>
      <c r="L241" s="17">
        <f>J241+ROUND(K241, 2)</f>
        <v>670.93</v>
      </c>
      <c r="M241" s="17">
        <f>ROUND(J241*I241, 2)</f>
        <v>2116.3200000000002</v>
      </c>
      <c r="N241" s="17">
        <f>ROUND(I241*ROUND(K241, 2), 2)</f>
        <v>42352.92</v>
      </c>
      <c r="O241" s="17">
        <f>M241+N241</f>
        <v>44469.24</v>
      </c>
      <c r="P241" s="17">
        <f>IFERROR(ROUND(SUM(S242,S243)/I241, 2),0)</f>
        <v>32.19</v>
      </c>
      <c r="Q241" s="19">
        <v>639</v>
      </c>
      <c r="R241" s="17">
        <f>P241+ROUND(Q241, 2)</f>
        <v>671.19</v>
      </c>
      <c r="S241" s="17">
        <f>ROUND(P241*I241, 2)</f>
        <v>2133.5500000000002</v>
      </c>
      <c r="T241" s="17">
        <f>ROUND(I241*ROUND(Q241, 2), 2)</f>
        <v>42352.92</v>
      </c>
      <c r="U241" s="17">
        <f>S241+T241</f>
        <v>44486.47</v>
      </c>
      <c r="V241" s="9">
        <f>ROUND(P241 / 1.2, 2)</f>
        <v>26.83</v>
      </c>
      <c r="W241" s="9">
        <f>ROUND(Q241 / 1.2, 2)</f>
        <v>532.5</v>
      </c>
      <c r="X241" s="9">
        <f>ROUND(R241 / 1.2, 2)</f>
        <v>559.33000000000004</v>
      </c>
      <c r="Y241" s="9">
        <f t="shared" si="13"/>
        <v>1777.96</v>
      </c>
      <c r="Z241" s="9">
        <f>ROUND(T241 / 1.2, 2)</f>
        <v>35294.1</v>
      </c>
      <c r="AA241" s="9">
        <f>Y241+Z241</f>
        <v>37072.06</v>
      </c>
      <c r="AD241" s="4">
        <v>341534393</v>
      </c>
      <c r="AE241" s="4">
        <v>28222009</v>
      </c>
      <c r="AG241" s="4" t="s">
        <v>1077</v>
      </c>
      <c r="AH241" s="4" t="s">
        <v>1078</v>
      </c>
      <c r="AI241" s="4" t="s">
        <v>241</v>
      </c>
    </row>
    <row r="242" spans="1:35" ht="36" x14ac:dyDescent="0.3">
      <c r="A242" s="10" t="s">
        <v>1150</v>
      </c>
      <c r="B242" s="10"/>
      <c r="C242" s="24" t="s">
        <v>509</v>
      </c>
      <c r="D242" s="15"/>
      <c r="E242" s="15"/>
      <c r="F242" s="25" t="s">
        <v>76</v>
      </c>
      <c r="G242" s="26">
        <v>0.15</v>
      </c>
      <c r="H242" s="26"/>
      <c r="I242" s="26">
        <v>9.9420000000000002</v>
      </c>
      <c r="J242" s="27">
        <v>90.28</v>
      </c>
      <c r="M242" s="28">
        <f>ROUND(ROUND(J242, 2)*I242, 2)</f>
        <v>897.56</v>
      </c>
      <c r="P242" s="29">
        <v>88.8</v>
      </c>
      <c r="S242" s="28">
        <f>ROUND(ROUND(P242, 2)*I242, 2)</f>
        <v>882.85</v>
      </c>
      <c r="V242" s="9">
        <f>ROUND(ROUND(P242, 2)/1.2, 2)</f>
        <v>74</v>
      </c>
      <c r="Y242" s="9">
        <f t="shared" si="13"/>
        <v>735.71</v>
      </c>
      <c r="AD242" s="4" t="s">
        <v>1151</v>
      </c>
      <c r="AE242" s="4" t="s">
        <v>1152</v>
      </c>
      <c r="AF242" s="4" t="s">
        <v>512</v>
      </c>
    </row>
    <row r="243" spans="1:35" ht="36" x14ac:dyDescent="0.3">
      <c r="A243" s="10" t="s">
        <v>1153</v>
      </c>
      <c r="B243" s="10"/>
      <c r="C243" s="35" t="s">
        <v>961</v>
      </c>
      <c r="D243" s="15"/>
      <c r="E243" s="15"/>
      <c r="F243" s="25" t="s">
        <v>76</v>
      </c>
      <c r="G243" s="26">
        <v>1.5</v>
      </c>
      <c r="H243" s="26"/>
      <c r="I243" s="26">
        <v>99.42</v>
      </c>
      <c r="J243" s="27">
        <v>12.26</v>
      </c>
      <c r="M243" s="28">
        <f>ROUND(ROUND(J243, 2)*I243, 2)</f>
        <v>1218.8900000000001</v>
      </c>
      <c r="P243" s="29">
        <v>12.58</v>
      </c>
      <c r="S243" s="28">
        <f>ROUND(ROUND(P243, 2)*I243, 2)</f>
        <v>1250.7</v>
      </c>
      <c r="V243" s="9">
        <f>ROUND(ROUND(P243, 2)/1.2, 2)</f>
        <v>10.48</v>
      </c>
      <c r="Y243" s="9">
        <f t="shared" si="13"/>
        <v>1042.25</v>
      </c>
      <c r="AD243" s="4" t="s">
        <v>1154</v>
      </c>
      <c r="AE243" s="4" t="s">
        <v>1155</v>
      </c>
      <c r="AF243" s="4" t="s">
        <v>1147</v>
      </c>
    </row>
    <row r="244" spans="1:35" ht="36" x14ac:dyDescent="0.3">
      <c r="A244" s="10" t="s">
        <v>1156</v>
      </c>
      <c r="B244" s="10" t="s">
        <v>1074</v>
      </c>
      <c r="C244" s="14" t="s">
        <v>1075</v>
      </c>
      <c r="D244" s="15"/>
      <c r="E244" s="15" t="s">
        <v>1157</v>
      </c>
      <c r="F244" s="15" t="s">
        <v>57</v>
      </c>
      <c r="G244" s="16">
        <v>1</v>
      </c>
      <c r="H244" s="16"/>
      <c r="I244" s="16">
        <v>66.28</v>
      </c>
      <c r="J244" s="17">
        <f>IFERROR(ROUND(SUM(M245,M246)/I244, 2),0)</f>
        <v>31.93</v>
      </c>
      <c r="K244" s="18">
        <v>639</v>
      </c>
      <c r="L244" s="17">
        <f>J244+ROUND(K244, 2)</f>
        <v>670.93</v>
      </c>
      <c r="M244" s="17">
        <f>ROUND(J244*I244, 2)</f>
        <v>2116.3200000000002</v>
      </c>
      <c r="N244" s="17">
        <f>ROUND(I244*ROUND(K244, 2), 2)</f>
        <v>42352.92</v>
      </c>
      <c r="O244" s="17">
        <f>M244+N244</f>
        <v>44469.24</v>
      </c>
      <c r="P244" s="17">
        <f>IFERROR(ROUND(SUM(S245,S246)/I244, 2),0)</f>
        <v>32.19</v>
      </c>
      <c r="Q244" s="19">
        <v>639</v>
      </c>
      <c r="R244" s="17">
        <f>P244+ROUND(Q244, 2)</f>
        <v>671.19</v>
      </c>
      <c r="S244" s="17">
        <f>ROUND(P244*I244, 2)</f>
        <v>2133.5500000000002</v>
      </c>
      <c r="T244" s="17">
        <f>ROUND(I244*ROUND(Q244, 2), 2)</f>
        <v>42352.92</v>
      </c>
      <c r="U244" s="17">
        <f>S244+T244</f>
        <v>44486.47</v>
      </c>
      <c r="V244" s="9">
        <f>ROUND(P244 / 1.2, 2)</f>
        <v>26.83</v>
      </c>
      <c r="W244" s="9">
        <f>ROUND(Q244 / 1.2, 2)</f>
        <v>532.5</v>
      </c>
      <c r="X244" s="9">
        <f>ROUND(R244 / 1.2, 2)</f>
        <v>559.33000000000004</v>
      </c>
      <c r="Y244" s="9">
        <f t="shared" si="13"/>
        <v>1777.96</v>
      </c>
      <c r="Z244" s="9">
        <f>ROUND(T244 / 1.2, 2)</f>
        <v>35294.1</v>
      </c>
      <c r="AA244" s="9">
        <f>Y244+Z244</f>
        <v>37072.06</v>
      </c>
      <c r="AD244" s="4">
        <v>341534394</v>
      </c>
      <c r="AE244" s="4">
        <v>28222006</v>
      </c>
      <c r="AG244" s="4" t="s">
        <v>1077</v>
      </c>
      <c r="AH244" s="4" t="s">
        <v>1078</v>
      </c>
      <c r="AI244" s="4" t="s">
        <v>241</v>
      </c>
    </row>
    <row r="245" spans="1:35" ht="36" x14ac:dyDescent="0.3">
      <c r="A245" s="10" t="s">
        <v>1158</v>
      </c>
      <c r="B245" s="10"/>
      <c r="C245" s="24" t="s">
        <v>509</v>
      </c>
      <c r="D245" s="15"/>
      <c r="E245" s="15"/>
      <c r="F245" s="25" t="s">
        <v>76</v>
      </c>
      <c r="G245" s="26">
        <v>0.15</v>
      </c>
      <c r="H245" s="26"/>
      <c r="I245" s="26">
        <v>9.9420000000000002</v>
      </c>
      <c r="J245" s="27">
        <v>90.28</v>
      </c>
      <c r="M245" s="28">
        <f>ROUND(ROUND(J245, 2)*I245, 2)</f>
        <v>897.56</v>
      </c>
      <c r="P245" s="29">
        <v>88.8</v>
      </c>
      <c r="S245" s="28">
        <f>ROUND(ROUND(P245, 2)*I245, 2)</f>
        <v>882.85</v>
      </c>
      <c r="V245" s="9">
        <f>ROUND(ROUND(P245, 2)/1.2, 2)</f>
        <v>74</v>
      </c>
      <c r="Y245" s="9">
        <f t="shared" si="13"/>
        <v>735.71</v>
      </c>
      <c r="AD245" s="4" t="s">
        <v>1159</v>
      </c>
      <c r="AE245" s="4" t="s">
        <v>1160</v>
      </c>
      <c r="AF245" s="4" t="s">
        <v>512</v>
      </c>
    </row>
    <row r="246" spans="1:35" ht="36" x14ac:dyDescent="0.3">
      <c r="A246" s="10" t="s">
        <v>1161</v>
      </c>
      <c r="B246" s="10"/>
      <c r="C246" s="35" t="s">
        <v>961</v>
      </c>
      <c r="D246" s="15"/>
      <c r="E246" s="15"/>
      <c r="F246" s="25" t="s">
        <v>76</v>
      </c>
      <c r="G246" s="26">
        <v>1.5</v>
      </c>
      <c r="H246" s="26"/>
      <c r="I246" s="26">
        <v>99.42</v>
      </c>
      <c r="J246" s="27">
        <v>12.26</v>
      </c>
      <c r="M246" s="28">
        <f>ROUND(ROUND(J246, 2)*I246, 2)</f>
        <v>1218.8900000000001</v>
      </c>
      <c r="P246" s="29">
        <v>12.58</v>
      </c>
      <c r="S246" s="28">
        <f>ROUND(ROUND(P246, 2)*I246, 2)</f>
        <v>1250.7</v>
      </c>
      <c r="V246" s="9">
        <f>ROUND(ROUND(P246, 2)/1.2, 2)</f>
        <v>10.48</v>
      </c>
      <c r="Y246" s="9">
        <f t="shared" si="13"/>
        <v>1042.25</v>
      </c>
      <c r="AD246" s="4" t="s">
        <v>1162</v>
      </c>
      <c r="AE246" s="4" t="s">
        <v>1163</v>
      </c>
      <c r="AF246" s="4" t="s">
        <v>1147</v>
      </c>
    </row>
    <row r="247" spans="1:35" ht="36" x14ac:dyDescent="0.3">
      <c r="A247" s="10" t="s">
        <v>1164</v>
      </c>
      <c r="B247" s="10" t="s">
        <v>1165</v>
      </c>
      <c r="C247" s="14" t="s">
        <v>1166</v>
      </c>
      <c r="D247" s="15"/>
      <c r="E247" s="15" t="s">
        <v>1076</v>
      </c>
      <c r="F247" s="15" t="s">
        <v>57</v>
      </c>
      <c r="G247" s="16">
        <v>1</v>
      </c>
      <c r="H247" s="16"/>
      <c r="I247" s="16">
        <v>216.42</v>
      </c>
      <c r="J247" s="17">
        <f>IFERROR(ROUND(SUM(M248,M249,M250)/I247, 2),0)</f>
        <v>82.62</v>
      </c>
      <c r="K247" s="18">
        <v>508</v>
      </c>
      <c r="L247" s="17">
        <f>J247+ROUND(K247, 2)</f>
        <v>590.62</v>
      </c>
      <c r="M247" s="17">
        <f>ROUND(J247*I247, 2)</f>
        <v>17880.62</v>
      </c>
      <c r="N247" s="17">
        <f>ROUND(I247*ROUND(K247, 2), 2)</f>
        <v>109941.36</v>
      </c>
      <c r="O247" s="17">
        <f>M247+N247</f>
        <v>127821.98</v>
      </c>
      <c r="P247" s="17">
        <f>IFERROR(ROUND(SUM(S248,S249,S250)/I247, 2),0)</f>
        <v>91.32</v>
      </c>
      <c r="Q247" s="19">
        <v>508</v>
      </c>
      <c r="R247" s="17">
        <f>P247+ROUND(Q247, 2)</f>
        <v>599.31999999999994</v>
      </c>
      <c r="S247" s="17">
        <f>ROUND(P247*I247, 2)</f>
        <v>19763.47</v>
      </c>
      <c r="T247" s="17">
        <f>ROUND(I247*ROUND(Q247, 2), 2)</f>
        <v>109941.36</v>
      </c>
      <c r="U247" s="17">
        <f>S247+T247</f>
        <v>129704.83</v>
      </c>
      <c r="V247" s="9">
        <f>ROUND(P247 / 1.2, 2)</f>
        <v>76.099999999999994</v>
      </c>
      <c r="W247" s="9">
        <f>ROUND(Q247 / 1.2, 2)</f>
        <v>423.33</v>
      </c>
      <c r="X247" s="9">
        <f>ROUND(R247 / 1.2, 2)</f>
        <v>499.43</v>
      </c>
      <c r="Y247" s="9">
        <f t="shared" si="13"/>
        <v>16469.560000000001</v>
      </c>
      <c r="Z247" s="9">
        <f>ROUND(T247 / 1.2, 2)</f>
        <v>91617.8</v>
      </c>
      <c r="AA247" s="9">
        <f>Y247+Z247</f>
        <v>108087.36</v>
      </c>
      <c r="AD247" s="4">
        <v>341534328</v>
      </c>
      <c r="AE247" s="4">
        <v>28214766</v>
      </c>
      <c r="AG247" s="4" t="s">
        <v>1167</v>
      </c>
      <c r="AH247" s="4" t="s">
        <v>1168</v>
      </c>
      <c r="AI247" s="4" t="s">
        <v>241</v>
      </c>
    </row>
    <row r="248" spans="1:35" ht="18" x14ac:dyDescent="0.3">
      <c r="A248" s="10" t="s">
        <v>1169</v>
      </c>
      <c r="B248" s="10"/>
      <c r="C248" s="24" t="s">
        <v>902</v>
      </c>
      <c r="D248" s="15"/>
      <c r="E248" s="15" t="s">
        <v>1080</v>
      </c>
      <c r="F248" s="25" t="s">
        <v>76</v>
      </c>
      <c r="G248" s="26">
        <v>2</v>
      </c>
      <c r="H248" s="26"/>
      <c r="I248" s="26">
        <v>432.84</v>
      </c>
      <c r="J248" s="27">
        <v>23.39</v>
      </c>
      <c r="M248" s="28">
        <f>ROUND(ROUND(J248, 2)*I248, 2)</f>
        <v>10124.129999999999</v>
      </c>
      <c r="P248" s="29">
        <v>27.85</v>
      </c>
      <c r="S248" s="28">
        <f>ROUND(ROUND(P248, 2)*I248, 2)</f>
        <v>12054.59</v>
      </c>
      <c r="V248" s="9">
        <f>ROUND(ROUND(P248, 2)/1.2, 2)</f>
        <v>23.21</v>
      </c>
      <c r="Y248" s="9">
        <f t="shared" si="13"/>
        <v>10045.49</v>
      </c>
      <c r="AD248" s="4" t="s">
        <v>1170</v>
      </c>
      <c r="AE248" s="4" t="s">
        <v>1171</v>
      </c>
      <c r="AF248" s="4" t="s">
        <v>905</v>
      </c>
    </row>
    <row r="249" spans="1:35" ht="18" x14ac:dyDescent="0.3">
      <c r="A249" s="10" t="s">
        <v>1172</v>
      </c>
      <c r="B249" s="10"/>
      <c r="C249" s="24" t="s">
        <v>907</v>
      </c>
      <c r="D249" s="15"/>
      <c r="E249" s="15"/>
      <c r="F249" s="25" t="s">
        <v>98</v>
      </c>
      <c r="G249" s="26">
        <v>0.3</v>
      </c>
      <c r="H249" s="26"/>
      <c r="I249" s="26">
        <v>64.926000000000002</v>
      </c>
      <c r="J249" s="27">
        <v>74.319999999999993</v>
      </c>
      <c r="M249" s="28">
        <f>ROUND(ROUND(J249, 2)*I249, 2)</f>
        <v>4825.3</v>
      </c>
      <c r="P249" s="29">
        <v>74.319999999999993</v>
      </c>
      <c r="S249" s="28">
        <f>ROUND(ROUND(P249, 2)*I249, 2)</f>
        <v>4825.3</v>
      </c>
      <c r="V249" s="9">
        <f>ROUND(ROUND(P249, 2)/1.2, 2)</f>
        <v>61.93</v>
      </c>
      <c r="Y249" s="9">
        <f t="shared" si="13"/>
        <v>4021.08</v>
      </c>
      <c r="AD249" s="4" t="s">
        <v>1173</v>
      </c>
      <c r="AE249" s="4" t="s">
        <v>1174</v>
      </c>
      <c r="AF249" s="4" t="s">
        <v>910</v>
      </c>
    </row>
    <row r="250" spans="1:35" ht="36" x14ac:dyDescent="0.3">
      <c r="A250" s="10" t="s">
        <v>1175</v>
      </c>
      <c r="B250" s="10"/>
      <c r="C250" s="24" t="s">
        <v>509</v>
      </c>
      <c r="D250" s="15"/>
      <c r="E250" s="15"/>
      <c r="F250" s="25" t="s">
        <v>76</v>
      </c>
      <c r="G250" s="26">
        <v>0.15</v>
      </c>
      <c r="H250" s="26"/>
      <c r="I250" s="26">
        <v>32.463000000000001</v>
      </c>
      <c r="J250" s="27">
        <v>90.28</v>
      </c>
      <c r="M250" s="28">
        <f>ROUND(ROUND(J250, 2)*I250, 2)</f>
        <v>2930.76</v>
      </c>
      <c r="P250" s="29">
        <v>88.8</v>
      </c>
      <c r="S250" s="28">
        <f>ROUND(ROUND(P250, 2)*I250, 2)</f>
        <v>2882.71</v>
      </c>
      <c r="V250" s="9">
        <f>ROUND(ROUND(P250, 2)/1.2, 2)</f>
        <v>74</v>
      </c>
      <c r="Y250" s="9">
        <f t="shared" si="13"/>
        <v>2402.2600000000002</v>
      </c>
      <c r="AD250" s="4" t="s">
        <v>1176</v>
      </c>
      <c r="AE250" s="4" t="s">
        <v>1177</v>
      </c>
      <c r="AF250" s="4" t="s">
        <v>512</v>
      </c>
    </row>
    <row r="251" spans="1:35" ht="36" x14ac:dyDescent="0.3">
      <c r="A251" s="10" t="s">
        <v>1178</v>
      </c>
      <c r="B251" s="10" t="s">
        <v>1165</v>
      </c>
      <c r="C251" s="14" t="s">
        <v>1166</v>
      </c>
      <c r="D251" s="15"/>
      <c r="E251" s="15" t="s">
        <v>1092</v>
      </c>
      <c r="F251" s="15" t="s">
        <v>57</v>
      </c>
      <c r="G251" s="16">
        <v>1</v>
      </c>
      <c r="H251" s="16"/>
      <c r="I251" s="16">
        <v>216.42</v>
      </c>
      <c r="J251" s="17">
        <f>IFERROR(ROUND(SUM(M252,M253)/I251, 2),0)</f>
        <v>60.32</v>
      </c>
      <c r="K251" s="18">
        <v>508</v>
      </c>
      <c r="L251" s="17">
        <f>J251+ROUND(K251, 2)</f>
        <v>568.32000000000005</v>
      </c>
      <c r="M251" s="17">
        <f>ROUND(J251*I251, 2)</f>
        <v>13054.45</v>
      </c>
      <c r="N251" s="17">
        <f>ROUND(I251*ROUND(K251, 2), 2)</f>
        <v>109941.36</v>
      </c>
      <c r="O251" s="17">
        <f>M251+N251</f>
        <v>122995.81</v>
      </c>
      <c r="P251" s="17">
        <f>IFERROR(ROUND(SUM(S252,S253)/I251, 2),0)</f>
        <v>77.94</v>
      </c>
      <c r="Q251" s="19">
        <v>508</v>
      </c>
      <c r="R251" s="17">
        <f>P251+ROUND(Q251, 2)</f>
        <v>585.94000000000005</v>
      </c>
      <c r="S251" s="17">
        <f>ROUND(P251*I251, 2)</f>
        <v>16867.77</v>
      </c>
      <c r="T251" s="17">
        <f>ROUND(I251*ROUND(Q251, 2), 2)</f>
        <v>109941.36</v>
      </c>
      <c r="U251" s="17">
        <f>S251+T251</f>
        <v>126809.13</v>
      </c>
      <c r="V251" s="9">
        <f>ROUND(P251 / 1.2, 2)</f>
        <v>64.95</v>
      </c>
      <c r="W251" s="9">
        <f>ROUND(Q251 / 1.2, 2)</f>
        <v>423.33</v>
      </c>
      <c r="X251" s="9">
        <f>ROUND(R251 / 1.2, 2)</f>
        <v>488.28</v>
      </c>
      <c r="Y251" s="9">
        <f t="shared" si="13"/>
        <v>14056.48</v>
      </c>
      <c r="Z251" s="9">
        <f>ROUND(T251 / 1.2, 2)</f>
        <v>91617.8</v>
      </c>
      <c r="AA251" s="9">
        <f>Y251+Z251</f>
        <v>105674.28</v>
      </c>
      <c r="AD251" s="4">
        <v>341534395</v>
      </c>
      <c r="AE251" s="4">
        <v>28214770</v>
      </c>
      <c r="AG251" s="4" t="s">
        <v>1167</v>
      </c>
      <c r="AH251" s="4" t="s">
        <v>1168</v>
      </c>
      <c r="AI251" s="4" t="s">
        <v>241</v>
      </c>
    </row>
    <row r="252" spans="1:35" ht="36" x14ac:dyDescent="0.3">
      <c r="A252" s="10" t="s">
        <v>1179</v>
      </c>
      <c r="B252" s="10"/>
      <c r="C252" s="24" t="s">
        <v>509</v>
      </c>
      <c r="D252" s="15"/>
      <c r="E252" s="15"/>
      <c r="F252" s="25" t="s">
        <v>76</v>
      </c>
      <c r="G252" s="26">
        <v>0.15</v>
      </c>
      <c r="H252" s="26"/>
      <c r="I252" s="26">
        <v>32.463000000000001</v>
      </c>
      <c r="J252" s="27">
        <v>90.28</v>
      </c>
      <c r="M252" s="28">
        <f>ROUND(ROUND(J252, 2)*I252, 2)</f>
        <v>2930.76</v>
      </c>
      <c r="P252" s="29">
        <v>88.8</v>
      </c>
      <c r="S252" s="28">
        <f>ROUND(ROUND(P252, 2)*I252, 2)</f>
        <v>2882.71</v>
      </c>
      <c r="V252" s="9">
        <f>ROUND(ROUND(P252, 2)/1.2, 2)</f>
        <v>74</v>
      </c>
      <c r="Y252" s="9">
        <f t="shared" si="13"/>
        <v>2402.2600000000002</v>
      </c>
      <c r="AD252" s="4" t="s">
        <v>1180</v>
      </c>
      <c r="AE252" s="4" t="s">
        <v>1181</v>
      </c>
      <c r="AF252" s="4" t="s">
        <v>512</v>
      </c>
    </row>
    <row r="253" spans="1:35" ht="18" x14ac:dyDescent="0.3">
      <c r="A253" s="10" t="s">
        <v>1182</v>
      </c>
      <c r="B253" s="10"/>
      <c r="C253" s="24" t="s">
        <v>902</v>
      </c>
      <c r="D253" s="15"/>
      <c r="E253" s="15" t="s">
        <v>1097</v>
      </c>
      <c r="F253" s="25" t="s">
        <v>76</v>
      </c>
      <c r="G253" s="26">
        <v>2</v>
      </c>
      <c r="H253" s="26"/>
      <c r="I253" s="26">
        <v>432.84</v>
      </c>
      <c r="J253" s="27">
        <v>23.39</v>
      </c>
      <c r="M253" s="28">
        <f>ROUND(ROUND(J253, 2)*I253, 2)</f>
        <v>10124.129999999999</v>
      </c>
      <c r="P253" s="29">
        <v>32.31</v>
      </c>
      <c r="S253" s="28">
        <f>ROUND(ROUND(P253, 2)*I253, 2)</f>
        <v>13985.06</v>
      </c>
      <c r="V253" s="9">
        <f>ROUND(ROUND(P253, 2)/1.2, 2)</f>
        <v>26.93</v>
      </c>
      <c r="Y253" s="9">
        <f t="shared" si="13"/>
        <v>11654.22</v>
      </c>
      <c r="AD253" s="4" t="s">
        <v>1183</v>
      </c>
      <c r="AE253" s="4" t="s">
        <v>1184</v>
      </c>
      <c r="AF253" s="4" t="s">
        <v>905</v>
      </c>
    </row>
    <row r="254" spans="1:35" ht="36" x14ac:dyDescent="0.3">
      <c r="A254" s="10" t="s">
        <v>1185</v>
      </c>
      <c r="B254" s="10" t="s">
        <v>1165</v>
      </c>
      <c r="C254" s="14" t="s">
        <v>1166</v>
      </c>
      <c r="D254" s="15"/>
      <c r="E254" s="15" t="s">
        <v>1101</v>
      </c>
      <c r="F254" s="15" t="s">
        <v>57</v>
      </c>
      <c r="G254" s="16">
        <v>1</v>
      </c>
      <c r="H254" s="16"/>
      <c r="I254" s="16">
        <v>216.42</v>
      </c>
      <c r="J254" s="17">
        <f>IFERROR(ROUND(SUM(M255,M256)/I254, 2),0)</f>
        <v>60.32</v>
      </c>
      <c r="K254" s="18">
        <v>508</v>
      </c>
      <c r="L254" s="17">
        <f>J254+ROUND(K254, 2)</f>
        <v>568.32000000000005</v>
      </c>
      <c r="M254" s="17">
        <f>ROUND(J254*I254, 2)</f>
        <v>13054.45</v>
      </c>
      <c r="N254" s="17">
        <f>ROUND(I254*ROUND(K254, 2), 2)</f>
        <v>109941.36</v>
      </c>
      <c r="O254" s="17">
        <f>M254+N254</f>
        <v>122995.81</v>
      </c>
      <c r="P254" s="17">
        <f>IFERROR(ROUND(SUM(S255,S256)/I254, 2),0)</f>
        <v>98.52</v>
      </c>
      <c r="Q254" s="19">
        <v>508</v>
      </c>
      <c r="R254" s="17">
        <f>P254+ROUND(Q254, 2)</f>
        <v>606.52</v>
      </c>
      <c r="S254" s="17">
        <f>ROUND(P254*I254, 2)</f>
        <v>21321.7</v>
      </c>
      <c r="T254" s="17">
        <f>ROUND(I254*ROUND(Q254, 2), 2)</f>
        <v>109941.36</v>
      </c>
      <c r="U254" s="17">
        <f>S254+T254</f>
        <v>131263.06</v>
      </c>
      <c r="V254" s="9">
        <f>ROUND(P254 / 1.2, 2)</f>
        <v>82.1</v>
      </c>
      <c r="W254" s="9">
        <f>ROUND(Q254 / 1.2, 2)</f>
        <v>423.33</v>
      </c>
      <c r="X254" s="9">
        <f>ROUND(R254 / 1.2, 2)</f>
        <v>505.43</v>
      </c>
      <c r="Y254" s="9">
        <f t="shared" si="13"/>
        <v>17768.080000000002</v>
      </c>
      <c r="Z254" s="9">
        <f>ROUND(T254 / 1.2, 2)</f>
        <v>91617.8</v>
      </c>
      <c r="AA254" s="9">
        <f>Y254+Z254</f>
        <v>109385.88</v>
      </c>
      <c r="AD254" s="4">
        <v>341534396</v>
      </c>
      <c r="AE254" s="4">
        <v>28214768</v>
      </c>
      <c r="AG254" s="4" t="s">
        <v>1167</v>
      </c>
      <c r="AH254" s="4" t="s">
        <v>1168</v>
      </c>
      <c r="AI254" s="4" t="s">
        <v>241</v>
      </c>
    </row>
    <row r="255" spans="1:35" ht="36" x14ac:dyDescent="0.3">
      <c r="A255" s="10" t="s">
        <v>1186</v>
      </c>
      <c r="B255" s="10"/>
      <c r="C255" s="24" t="s">
        <v>509</v>
      </c>
      <c r="D255" s="15"/>
      <c r="E255" s="15"/>
      <c r="F255" s="25" t="s">
        <v>76</v>
      </c>
      <c r="G255" s="26">
        <v>0.15</v>
      </c>
      <c r="H255" s="26"/>
      <c r="I255" s="26">
        <v>32.463000000000001</v>
      </c>
      <c r="J255" s="27">
        <v>90.28</v>
      </c>
      <c r="M255" s="28">
        <f>ROUND(ROUND(J255, 2)*I255, 2)</f>
        <v>2930.76</v>
      </c>
      <c r="P255" s="29">
        <v>88.8</v>
      </c>
      <c r="S255" s="28">
        <f>ROUND(ROUND(P255, 2)*I255, 2)</f>
        <v>2882.71</v>
      </c>
      <c r="V255" s="9">
        <f>ROUND(ROUND(P255, 2)/1.2, 2)</f>
        <v>74</v>
      </c>
      <c r="Y255" s="9">
        <f t="shared" si="13"/>
        <v>2402.2600000000002</v>
      </c>
      <c r="AD255" s="4" t="s">
        <v>1187</v>
      </c>
      <c r="AE255" s="4" t="s">
        <v>1188</v>
      </c>
      <c r="AF255" s="4" t="s">
        <v>512</v>
      </c>
    </row>
    <row r="256" spans="1:35" ht="18" x14ac:dyDescent="0.3">
      <c r="A256" s="10" t="s">
        <v>1189</v>
      </c>
      <c r="B256" s="10"/>
      <c r="C256" s="24" t="s">
        <v>902</v>
      </c>
      <c r="D256" s="15"/>
      <c r="E256" s="15" t="s">
        <v>1106</v>
      </c>
      <c r="F256" s="25" t="s">
        <v>76</v>
      </c>
      <c r="G256" s="26">
        <v>2</v>
      </c>
      <c r="H256" s="26"/>
      <c r="I256" s="26">
        <v>432.84</v>
      </c>
      <c r="J256" s="27">
        <v>23.39</v>
      </c>
      <c r="M256" s="28">
        <f>ROUND(ROUND(J256, 2)*I256, 2)</f>
        <v>10124.129999999999</v>
      </c>
      <c r="P256" s="29">
        <v>42.6</v>
      </c>
      <c r="S256" s="28">
        <f>ROUND(ROUND(P256, 2)*I256, 2)</f>
        <v>18438.98</v>
      </c>
      <c r="V256" s="9">
        <f>ROUND(ROUND(P256, 2)/1.2, 2)</f>
        <v>35.5</v>
      </c>
      <c r="Y256" s="9">
        <f t="shared" si="13"/>
        <v>15365.82</v>
      </c>
      <c r="AD256" s="4" t="s">
        <v>1190</v>
      </c>
      <c r="AE256" s="4" t="s">
        <v>1191</v>
      </c>
      <c r="AF256" s="4" t="s">
        <v>905</v>
      </c>
    </row>
    <row r="257" spans="1:35" ht="54" x14ac:dyDescent="0.3">
      <c r="A257" s="10" t="s">
        <v>1192</v>
      </c>
      <c r="B257" s="10" t="s">
        <v>1165</v>
      </c>
      <c r="C257" s="14" t="s">
        <v>1166</v>
      </c>
      <c r="D257" s="15"/>
      <c r="E257" s="15" t="s">
        <v>1137</v>
      </c>
      <c r="F257" s="15" t="s">
        <v>57</v>
      </c>
      <c r="G257" s="16">
        <v>1</v>
      </c>
      <c r="H257" s="16"/>
      <c r="I257" s="16">
        <v>1035.18</v>
      </c>
      <c r="J257" s="17">
        <f>IFERROR(ROUND(SUM(M258,M259,M260)/I257, 2),0)</f>
        <v>57.91</v>
      </c>
      <c r="K257" s="18">
        <v>508</v>
      </c>
      <c r="L257" s="17">
        <f>J257+ROUND(K257, 2)</f>
        <v>565.91</v>
      </c>
      <c r="M257" s="17">
        <f>ROUND(J257*I257, 2)</f>
        <v>59947.27</v>
      </c>
      <c r="N257" s="17">
        <f>ROUND(I257*ROUND(K257, 2), 2)</f>
        <v>525871.43999999994</v>
      </c>
      <c r="O257" s="17">
        <f>M257+N257</f>
        <v>585818.71</v>
      </c>
      <c r="P257" s="17">
        <f>IFERROR(ROUND(SUM(S258,S259,S260)/I257, 2),0)</f>
        <v>58.26</v>
      </c>
      <c r="Q257" s="19">
        <v>508</v>
      </c>
      <c r="R257" s="17">
        <f>P257+ROUND(Q257, 2)</f>
        <v>566.26</v>
      </c>
      <c r="S257" s="17">
        <f>ROUND(P257*I257, 2)</f>
        <v>60309.59</v>
      </c>
      <c r="T257" s="17">
        <f>ROUND(I257*ROUND(Q257, 2), 2)</f>
        <v>525871.43999999994</v>
      </c>
      <c r="U257" s="17">
        <f>S257+T257</f>
        <v>586181.02999999991</v>
      </c>
      <c r="V257" s="9">
        <f>ROUND(P257 / 1.2, 2)</f>
        <v>48.55</v>
      </c>
      <c r="W257" s="9">
        <f>ROUND(Q257 / 1.2, 2)</f>
        <v>423.33</v>
      </c>
      <c r="X257" s="9">
        <f>ROUND(R257 / 1.2, 2)</f>
        <v>471.88</v>
      </c>
      <c r="Y257" s="9">
        <f t="shared" si="13"/>
        <v>50257.99</v>
      </c>
      <c r="Z257" s="9">
        <f>ROUND(T257 / 1.2, 2)</f>
        <v>438226.2</v>
      </c>
      <c r="AA257" s="9">
        <f>Y257+Z257</f>
        <v>488484.19</v>
      </c>
      <c r="AD257" s="4">
        <v>341534397</v>
      </c>
      <c r="AE257" s="4">
        <v>28222005</v>
      </c>
      <c r="AG257" s="4" t="s">
        <v>1167</v>
      </c>
      <c r="AH257" s="4" t="s">
        <v>1168</v>
      </c>
      <c r="AI257" s="4" t="s">
        <v>241</v>
      </c>
    </row>
    <row r="258" spans="1:35" ht="36" x14ac:dyDescent="0.3">
      <c r="A258" s="10" t="s">
        <v>1193</v>
      </c>
      <c r="B258" s="10"/>
      <c r="C258" s="24" t="s">
        <v>509</v>
      </c>
      <c r="D258" s="15"/>
      <c r="E258" s="15"/>
      <c r="F258" s="25" t="s">
        <v>76</v>
      </c>
      <c r="G258" s="26">
        <v>0.15</v>
      </c>
      <c r="H258" s="26"/>
      <c r="I258" s="26">
        <v>155.27699999999999</v>
      </c>
      <c r="J258" s="27">
        <v>90.28</v>
      </c>
      <c r="M258" s="28">
        <f>ROUND(ROUND(J258, 2)*I258, 2)</f>
        <v>14018.41</v>
      </c>
      <c r="P258" s="29">
        <v>88.8</v>
      </c>
      <c r="S258" s="28">
        <f>ROUND(ROUND(P258, 2)*I258, 2)</f>
        <v>13788.6</v>
      </c>
      <c r="V258" s="9">
        <f>ROUND(ROUND(P258, 2)/1.2, 2)</f>
        <v>74</v>
      </c>
      <c r="Y258" s="9">
        <f t="shared" si="13"/>
        <v>11490.5</v>
      </c>
      <c r="AD258" s="4" t="s">
        <v>1194</v>
      </c>
      <c r="AE258" s="4" t="s">
        <v>1195</v>
      </c>
      <c r="AF258" s="4" t="s">
        <v>512</v>
      </c>
    </row>
    <row r="259" spans="1:35" ht="18" x14ac:dyDescent="0.3">
      <c r="A259" s="10" t="s">
        <v>1196</v>
      </c>
      <c r="B259" s="10"/>
      <c r="C259" s="24" t="s">
        <v>907</v>
      </c>
      <c r="D259" s="15"/>
      <c r="E259" s="15"/>
      <c r="F259" s="25" t="s">
        <v>98</v>
      </c>
      <c r="G259" s="26">
        <v>0.3</v>
      </c>
      <c r="H259" s="26"/>
      <c r="I259" s="26">
        <v>310.55399999999997</v>
      </c>
      <c r="J259" s="27">
        <v>74.319999999999993</v>
      </c>
      <c r="M259" s="28">
        <f>ROUND(ROUND(J259, 2)*I259, 2)</f>
        <v>23080.37</v>
      </c>
      <c r="P259" s="29">
        <v>74.319999999999993</v>
      </c>
      <c r="S259" s="28">
        <f>ROUND(ROUND(P259, 2)*I259, 2)</f>
        <v>23080.37</v>
      </c>
      <c r="V259" s="9">
        <f>ROUND(ROUND(P259, 2)/1.2, 2)</f>
        <v>61.93</v>
      </c>
      <c r="Y259" s="9">
        <f t="shared" si="13"/>
        <v>19233.64</v>
      </c>
      <c r="AD259" s="4" t="s">
        <v>1197</v>
      </c>
      <c r="AE259" s="4" t="s">
        <v>1198</v>
      </c>
      <c r="AF259" s="4" t="s">
        <v>910</v>
      </c>
    </row>
    <row r="260" spans="1:35" ht="36" x14ac:dyDescent="0.3">
      <c r="A260" s="10" t="s">
        <v>1199</v>
      </c>
      <c r="B260" s="10"/>
      <c r="C260" s="35" t="s">
        <v>961</v>
      </c>
      <c r="D260" s="15"/>
      <c r="E260" s="15"/>
      <c r="F260" s="25" t="s">
        <v>76</v>
      </c>
      <c r="G260" s="26">
        <v>1.8</v>
      </c>
      <c r="H260" s="26"/>
      <c r="I260" s="26">
        <v>1863.3240000000001</v>
      </c>
      <c r="J260" s="27">
        <v>12.26</v>
      </c>
      <c r="M260" s="28">
        <f>ROUND(ROUND(J260, 2)*I260, 2)</f>
        <v>22844.35</v>
      </c>
      <c r="P260" s="29">
        <v>12.58</v>
      </c>
      <c r="S260" s="28">
        <f>ROUND(ROUND(P260, 2)*I260, 2)</f>
        <v>23440.62</v>
      </c>
      <c r="V260" s="9">
        <f>ROUND(ROUND(P260, 2)/1.2, 2)</f>
        <v>10.48</v>
      </c>
      <c r="Y260" s="9">
        <f t="shared" si="13"/>
        <v>19533.849999999999</v>
      </c>
      <c r="AD260" s="4" t="s">
        <v>1200</v>
      </c>
      <c r="AE260" s="4" t="s">
        <v>1201</v>
      </c>
      <c r="AF260" s="4" t="s">
        <v>964</v>
      </c>
    </row>
    <row r="261" spans="1:35" ht="54" x14ac:dyDescent="0.3">
      <c r="A261" s="10" t="s">
        <v>1202</v>
      </c>
      <c r="B261" s="10" t="s">
        <v>1165</v>
      </c>
      <c r="C261" s="14" t="s">
        <v>1166</v>
      </c>
      <c r="D261" s="15"/>
      <c r="E261" s="15" t="s">
        <v>1203</v>
      </c>
      <c r="F261" s="15" t="s">
        <v>57</v>
      </c>
      <c r="G261" s="16">
        <v>1</v>
      </c>
      <c r="H261" s="16"/>
      <c r="I261" s="16">
        <v>1035.18</v>
      </c>
      <c r="J261" s="17">
        <f>IFERROR(ROUND(SUM(M262,M263)/I261, 2),0)</f>
        <v>35.61</v>
      </c>
      <c r="K261" s="18">
        <v>508</v>
      </c>
      <c r="L261" s="17">
        <f>J261+ROUND(K261, 2)</f>
        <v>543.61</v>
      </c>
      <c r="M261" s="17">
        <f>ROUND(J261*I261, 2)</f>
        <v>36862.76</v>
      </c>
      <c r="N261" s="17">
        <f>ROUND(I261*ROUND(K261, 2), 2)</f>
        <v>525871.43999999994</v>
      </c>
      <c r="O261" s="17">
        <f>M261+N261</f>
        <v>562734.19999999995</v>
      </c>
      <c r="P261" s="17">
        <f>IFERROR(ROUND(SUM(S262,S263)/I261, 2),0)</f>
        <v>35.96</v>
      </c>
      <c r="Q261" s="19">
        <v>508</v>
      </c>
      <c r="R261" s="17">
        <f>P261+ROUND(Q261, 2)</f>
        <v>543.96</v>
      </c>
      <c r="S261" s="17">
        <f>ROUND(P261*I261, 2)</f>
        <v>37225.07</v>
      </c>
      <c r="T261" s="17">
        <f>ROUND(I261*ROUND(Q261, 2), 2)</f>
        <v>525871.43999999994</v>
      </c>
      <c r="U261" s="17">
        <f>S261+T261</f>
        <v>563096.50999999989</v>
      </c>
      <c r="V261" s="9">
        <f>ROUND(P261 / 1.2, 2)</f>
        <v>29.97</v>
      </c>
      <c r="W261" s="9">
        <f>ROUND(Q261 / 1.2, 2)</f>
        <v>423.33</v>
      </c>
      <c r="X261" s="9">
        <f>ROUND(R261 / 1.2, 2)</f>
        <v>453.3</v>
      </c>
      <c r="Y261" s="9">
        <f t="shared" si="13"/>
        <v>31020.89</v>
      </c>
      <c r="Z261" s="9">
        <f>ROUND(T261 / 1.2, 2)</f>
        <v>438226.2</v>
      </c>
      <c r="AA261" s="9">
        <f>Y261+Z261</f>
        <v>469247.09</v>
      </c>
      <c r="AD261" s="4">
        <v>341534398</v>
      </c>
      <c r="AE261" s="4">
        <v>28222010</v>
      </c>
      <c r="AG261" s="4" t="s">
        <v>1167</v>
      </c>
      <c r="AH261" s="4" t="s">
        <v>1168</v>
      </c>
      <c r="AI261" s="4" t="s">
        <v>241</v>
      </c>
    </row>
    <row r="262" spans="1:35" ht="36" x14ac:dyDescent="0.3">
      <c r="A262" s="10" t="s">
        <v>1204</v>
      </c>
      <c r="B262" s="10"/>
      <c r="C262" s="24" t="s">
        <v>509</v>
      </c>
      <c r="D262" s="15"/>
      <c r="E262" s="15"/>
      <c r="F262" s="25" t="s">
        <v>76</v>
      </c>
      <c r="G262" s="26">
        <v>0.15</v>
      </c>
      <c r="H262" s="26"/>
      <c r="I262" s="26">
        <v>155.27699999999999</v>
      </c>
      <c r="J262" s="27">
        <v>90.28</v>
      </c>
      <c r="M262" s="28">
        <f>ROUND(ROUND(J262, 2)*I262, 2)</f>
        <v>14018.41</v>
      </c>
      <c r="P262" s="29">
        <v>88.8</v>
      </c>
      <c r="S262" s="28">
        <f>ROUND(ROUND(P262, 2)*I262, 2)</f>
        <v>13788.6</v>
      </c>
      <c r="V262" s="9">
        <f>ROUND(ROUND(P262, 2)/1.2, 2)</f>
        <v>74</v>
      </c>
      <c r="Y262" s="9">
        <f t="shared" si="13"/>
        <v>11490.5</v>
      </c>
      <c r="AD262" s="4" t="s">
        <v>1205</v>
      </c>
      <c r="AE262" s="4" t="s">
        <v>1206</v>
      </c>
      <c r="AF262" s="4" t="s">
        <v>512</v>
      </c>
    </row>
    <row r="263" spans="1:35" ht="36" x14ac:dyDescent="0.3">
      <c r="A263" s="10" t="s">
        <v>1207</v>
      </c>
      <c r="B263" s="10"/>
      <c r="C263" s="35" t="s">
        <v>961</v>
      </c>
      <c r="D263" s="15"/>
      <c r="E263" s="15"/>
      <c r="F263" s="25" t="s">
        <v>76</v>
      </c>
      <c r="G263" s="26">
        <v>1.8</v>
      </c>
      <c r="H263" s="26"/>
      <c r="I263" s="26">
        <v>1863.3240000000001</v>
      </c>
      <c r="J263" s="27">
        <v>12.26</v>
      </c>
      <c r="M263" s="28">
        <f>ROUND(ROUND(J263, 2)*I263, 2)</f>
        <v>22844.35</v>
      </c>
      <c r="P263" s="29">
        <v>12.58</v>
      </c>
      <c r="S263" s="28">
        <f>ROUND(ROUND(P263, 2)*I263, 2)</f>
        <v>23440.62</v>
      </c>
      <c r="V263" s="9">
        <f>ROUND(ROUND(P263, 2)/1.2, 2)</f>
        <v>10.48</v>
      </c>
      <c r="Y263" s="9">
        <f t="shared" si="13"/>
        <v>19533.849999999999</v>
      </c>
      <c r="AD263" s="4" t="s">
        <v>1208</v>
      </c>
      <c r="AE263" s="4" t="s">
        <v>1209</v>
      </c>
      <c r="AF263" s="4" t="s">
        <v>964</v>
      </c>
    </row>
    <row r="264" spans="1:35" ht="36" x14ac:dyDescent="0.3">
      <c r="A264" s="10" t="s">
        <v>1210</v>
      </c>
      <c r="B264" s="10" t="s">
        <v>1165</v>
      </c>
      <c r="C264" s="14" t="s">
        <v>1166</v>
      </c>
      <c r="D264" s="15"/>
      <c r="E264" s="15" t="s">
        <v>1157</v>
      </c>
      <c r="F264" s="15" t="s">
        <v>57</v>
      </c>
      <c r="G264" s="16">
        <v>1</v>
      </c>
      <c r="H264" s="16"/>
      <c r="I264" s="16">
        <v>1035.18</v>
      </c>
      <c r="J264" s="17">
        <f>IFERROR(ROUND(SUM(M265,M266)/I264, 2),0)</f>
        <v>35.61</v>
      </c>
      <c r="K264" s="18">
        <v>508</v>
      </c>
      <c r="L264" s="17">
        <f>J264+ROUND(K264, 2)</f>
        <v>543.61</v>
      </c>
      <c r="M264" s="17">
        <f>ROUND(J264*I264, 2)</f>
        <v>36862.76</v>
      </c>
      <c r="N264" s="17">
        <f>ROUND(I264*ROUND(K264, 2), 2)</f>
        <v>525871.43999999994</v>
      </c>
      <c r="O264" s="17">
        <f>M264+N264</f>
        <v>562734.19999999995</v>
      </c>
      <c r="P264" s="17">
        <f>IFERROR(ROUND(SUM(S265,S266)/I264, 2),0)</f>
        <v>35.96</v>
      </c>
      <c r="Q264" s="19">
        <v>508</v>
      </c>
      <c r="R264" s="17">
        <f>P264+ROUND(Q264, 2)</f>
        <v>543.96</v>
      </c>
      <c r="S264" s="17">
        <f>ROUND(P264*I264, 2)</f>
        <v>37225.07</v>
      </c>
      <c r="T264" s="17">
        <f>ROUND(I264*ROUND(Q264, 2), 2)</f>
        <v>525871.43999999994</v>
      </c>
      <c r="U264" s="17">
        <f>S264+T264</f>
        <v>563096.50999999989</v>
      </c>
      <c r="V264" s="9">
        <f>ROUND(P264 / 1.2, 2)</f>
        <v>29.97</v>
      </c>
      <c r="W264" s="9">
        <f>ROUND(Q264 / 1.2, 2)</f>
        <v>423.33</v>
      </c>
      <c r="X264" s="9">
        <f>ROUND(R264 / 1.2, 2)</f>
        <v>453.3</v>
      </c>
      <c r="Y264" s="9">
        <f t="shared" si="13"/>
        <v>31020.89</v>
      </c>
      <c r="Z264" s="9">
        <f>ROUND(T264 / 1.2, 2)</f>
        <v>438226.2</v>
      </c>
      <c r="AA264" s="9">
        <f>Y264+Z264</f>
        <v>469247.09</v>
      </c>
      <c r="AD264" s="4">
        <v>341534399</v>
      </c>
      <c r="AE264" s="4">
        <v>28222007</v>
      </c>
      <c r="AG264" s="4" t="s">
        <v>1167</v>
      </c>
      <c r="AH264" s="4" t="s">
        <v>1168</v>
      </c>
      <c r="AI264" s="4" t="s">
        <v>241</v>
      </c>
    </row>
    <row r="265" spans="1:35" ht="36" x14ac:dyDescent="0.3">
      <c r="A265" s="10" t="s">
        <v>1211</v>
      </c>
      <c r="B265" s="10"/>
      <c r="C265" s="24" t="s">
        <v>509</v>
      </c>
      <c r="D265" s="15"/>
      <c r="E265" s="15"/>
      <c r="F265" s="25" t="s">
        <v>76</v>
      </c>
      <c r="G265" s="26">
        <v>0.15</v>
      </c>
      <c r="H265" s="26"/>
      <c r="I265" s="26">
        <v>155.27699999999999</v>
      </c>
      <c r="J265" s="27">
        <v>90.28</v>
      </c>
      <c r="M265" s="28">
        <f>ROUND(ROUND(J265, 2)*I265, 2)</f>
        <v>14018.41</v>
      </c>
      <c r="P265" s="29">
        <v>88.8</v>
      </c>
      <c r="S265" s="28">
        <f>ROUND(ROUND(P265, 2)*I265, 2)</f>
        <v>13788.6</v>
      </c>
      <c r="V265" s="9">
        <f>ROUND(ROUND(P265, 2)/1.2, 2)</f>
        <v>74</v>
      </c>
      <c r="Y265" s="9">
        <f t="shared" si="13"/>
        <v>11490.5</v>
      </c>
      <c r="AD265" s="4" t="s">
        <v>1212</v>
      </c>
      <c r="AE265" s="4" t="s">
        <v>1213</v>
      </c>
      <c r="AF265" s="4" t="s">
        <v>512</v>
      </c>
    </row>
    <row r="266" spans="1:35" ht="36" x14ac:dyDescent="0.3">
      <c r="A266" s="10" t="s">
        <v>1214</v>
      </c>
      <c r="B266" s="10"/>
      <c r="C266" s="35" t="s">
        <v>961</v>
      </c>
      <c r="D266" s="15"/>
      <c r="E266" s="15"/>
      <c r="F266" s="25" t="s">
        <v>76</v>
      </c>
      <c r="G266" s="26">
        <v>1.8</v>
      </c>
      <c r="H266" s="26"/>
      <c r="I266" s="26">
        <v>1863.3240000000001</v>
      </c>
      <c r="J266" s="27">
        <v>12.26</v>
      </c>
      <c r="M266" s="28">
        <f>ROUND(ROUND(J266, 2)*I266, 2)</f>
        <v>22844.35</v>
      </c>
      <c r="P266" s="29">
        <v>12.58</v>
      </c>
      <c r="S266" s="28">
        <f>ROUND(ROUND(P266, 2)*I266, 2)</f>
        <v>23440.62</v>
      </c>
      <c r="V266" s="9">
        <f>ROUND(ROUND(P266, 2)/1.2, 2)</f>
        <v>10.48</v>
      </c>
      <c r="Y266" s="9">
        <f t="shared" si="13"/>
        <v>19533.849999999999</v>
      </c>
      <c r="AD266" s="4" t="s">
        <v>1215</v>
      </c>
      <c r="AE266" s="4" t="s">
        <v>1216</v>
      </c>
      <c r="AF266" s="4" t="s">
        <v>964</v>
      </c>
    </row>
    <row r="267" spans="1:35" ht="36" x14ac:dyDescent="0.3">
      <c r="A267" s="10" t="s">
        <v>1217</v>
      </c>
      <c r="B267" s="10" t="s">
        <v>1165</v>
      </c>
      <c r="C267" s="14" t="s">
        <v>1166</v>
      </c>
      <c r="D267" s="15"/>
      <c r="E267" s="15" t="s">
        <v>1110</v>
      </c>
      <c r="F267" s="15" t="s">
        <v>57</v>
      </c>
      <c r="G267" s="16">
        <v>1</v>
      </c>
      <c r="H267" s="16"/>
      <c r="I267" s="16">
        <v>555.89</v>
      </c>
      <c r="J267" s="17">
        <f>IFERROR(ROUND(SUM(M268,M269,M270)/I267, 2),0)</f>
        <v>82.62</v>
      </c>
      <c r="K267" s="18">
        <v>508</v>
      </c>
      <c r="L267" s="17">
        <f>J267+ROUND(K267, 2)</f>
        <v>590.62</v>
      </c>
      <c r="M267" s="17">
        <f>ROUND(J267*I267, 2)</f>
        <v>45927.63</v>
      </c>
      <c r="N267" s="17">
        <f>ROUND(I267*ROUND(K267, 2), 2)</f>
        <v>282392.12</v>
      </c>
      <c r="O267" s="17">
        <f>M267+N267</f>
        <v>328319.75</v>
      </c>
      <c r="P267" s="17">
        <f>IFERROR(ROUND(SUM(S268,S269,S270)/I267, 2),0)</f>
        <v>91.32</v>
      </c>
      <c r="Q267" s="19">
        <v>508</v>
      </c>
      <c r="R267" s="17">
        <f>P267+ROUND(Q267, 2)</f>
        <v>599.31999999999994</v>
      </c>
      <c r="S267" s="17">
        <f>ROUND(P267*I267, 2)</f>
        <v>50763.87</v>
      </c>
      <c r="T267" s="17">
        <f>ROUND(I267*ROUND(Q267, 2), 2)</f>
        <v>282392.12</v>
      </c>
      <c r="U267" s="17">
        <f>S267+T267</f>
        <v>333155.99</v>
      </c>
      <c r="V267" s="9">
        <f>ROUND(P267 / 1.2, 2)</f>
        <v>76.099999999999994</v>
      </c>
      <c r="W267" s="9">
        <f>ROUND(Q267 / 1.2, 2)</f>
        <v>423.33</v>
      </c>
      <c r="X267" s="9">
        <f>ROUND(R267 / 1.2, 2)</f>
        <v>499.43</v>
      </c>
      <c r="Y267" s="9">
        <f t="shared" si="13"/>
        <v>42303.23</v>
      </c>
      <c r="Z267" s="9">
        <f>ROUND(T267 / 1.2, 2)</f>
        <v>235326.77</v>
      </c>
      <c r="AA267" s="9">
        <f>Y267+Z267</f>
        <v>277630</v>
      </c>
      <c r="AD267" s="4">
        <v>341534400</v>
      </c>
      <c r="AE267" s="4">
        <v>28253224</v>
      </c>
      <c r="AG267" s="4" t="s">
        <v>1167</v>
      </c>
      <c r="AH267" s="4" t="s">
        <v>1168</v>
      </c>
      <c r="AI267" s="4" t="s">
        <v>241</v>
      </c>
    </row>
    <row r="268" spans="1:35" ht="36" x14ac:dyDescent="0.3">
      <c r="A268" s="10" t="s">
        <v>1218</v>
      </c>
      <c r="B268" s="10"/>
      <c r="C268" s="24" t="s">
        <v>509</v>
      </c>
      <c r="D268" s="15"/>
      <c r="E268" s="15"/>
      <c r="F268" s="25" t="s">
        <v>76</v>
      </c>
      <c r="G268" s="26">
        <v>0.15</v>
      </c>
      <c r="H268" s="26"/>
      <c r="I268" s="26">
        <v>83.384</v>
      </c>
      <c r="J268" s="27">
        <v>90.28</v>
      </c>
      <c r="M268" s="28">
        <f>ROUND(ROUND(J268, 2)*I268, 2)</f>
        <v>7527.91</v>
      </c>
      <c r="P268" s="29">
        <v>88.8</v>
      </c>
      <c r="S268" s="28">
        <f>ROUND(ROUND(P268, 2)*I268, 2)</f>
        <v>7404.5</v>
      </c>
      <c r="V268" s="9">
        <f>ROUND(ROUND(P268, 2)/1.2, 2)</f>
        <v>74</v>
      </c>
      <c r="Y268" s="9">
        <f t="shared" si="13"/>
        <v>6170.42</v>
      </c>
      <c r="AD268" s="4" t="s">
        <v>1219</v>
      </c>
      <c r="AE268" s="4" t="s">
        <v>1220</v>
      </c>
      <c r="AF268" s="4" t="s">
        <v>512</v>
      </c>
    </row>
    <row r="269" spans="1:35" ht="18" x14ac:dyDescent="0.3">
      <c r="A269" s="10" t="s">
        <v>1221</v>
      </c>
      <c r="B269" s="10"/>
      <c r="C269" s="24" t="s">
        <v>907</v>
      </c>
      <c r="D269" s="15"/>
      <c r="E269" s="15"/>
      <c r="F269" s="25" t="s">
        <v>98</v>
      </c>
      <c r="G269" s="26">
        <v>0.3</v>
      </c>
      <c r="H269" s="26"/>
      <c r="I269" s="26">
        <v>166.767</v>
      </c>
      <c r="J269" s="27">
        <v>74.319999999999993</v>
      </c>
      <c r="M269" s="28">
        <f>ROUND(ROUND(J269, 2)*I269, 2)</f>
        <v>12394.12</v>
      </c>
      <c r="P269" s="29">
        <v>74.319999999999993</v>
      </c>
      <c r="S269" s="28">
        <f>ROUND(ROUND(P269, 2)*I269, 2)</f>
        <v>12394.12</v>
      </c>
      <c r="V269" s="9">
        <f>ROUND(ROUND(P269, 2)/1.2, 2)</f>
        <v>61.93</v>
      </c>
      <c r="Y269" s="9">
        <f t="shared" si="13"/>
        <v>10328.43</v>
      </c>
      <c r="AD269" s="4" t="s">
        <v>1222</v>
      </c>
      <c r="AE269" s="4" t="s">
        <v>1223</v>
      </c>
      <c r="AF269" s="4" t="s">
        <v>910</v>
      </c>
    </row>
    <row r="270" spans="1:35" ht="18" x14ac:dyDescent="0.3">
      <c r="A270" s="10" t="s">
        <v>1224</v>
      </c>
      <c r="B270" s="10"/>
      <c r="C270" s="24" t="s">
        <v>902</v>
      </c>
      <c r="D270" s="15"/>
      <c r="E270" s="15" t="s">
        <v>1080</v>
      </c>
      <c r="F270" s="25" t="s">
        <v>76</v>
      </c>
      <c r="G270" s="26">
        <v>2</v>
      </c>
      <c r="H270" s="26"/>
      <c r="I270" s="26">
        <v>1111.78</v>
      </c>
      <c r="J270" s="27">
        <v>23.39</v>
      </c>
      <c r="M270" s="28">
        <f>ROUND(ROUND(J270, 2)*I270, 2)</f>
        <v>26004.53</v>
      </c>
      <c r="P270" s="29">
        <v>27.85</v>
      </c>
      <c r="S270" s="28">
        <f>ROUND(ROUND(P270, 2)*I270, 2)</f>
        <v>30963.07</v>
      </c>
      <c r="V270" s="9">
        <f>ROUND(ROUND(P270, 2)/1.2, 2)</f>
        <v>23.21</v>
      </c>
      <c r="Y270" s="9">
        <f t="shared" ref="Y270:Y300" si="14">ROUND(S270 / 1.2, 2)</f>
        <v>25802.560000000001</v>
      </c>
      <c r="AD270" s="4" t="s">
        <v>1225</v>
      </c>
      <c r="AE270" s="4" t="s">
        <v>1226</v>
      </c>
      <c r="AF270" s="4" t="s">
        <v>905</v>
      </c>
    </row>
    <row r="271" spans="1:35" ht="36" x14ac:dyDescent="0.3">
      <c r="A271" s="10" t="s">
        <v>1227</v>
      </c>
      <c r="B271" s="10" t="s">
        <v>1165</v>
      </c>
      <c r="C271" s="14" t="s">
        <v>1166</v>
      </c>
      <c r="D271" s="15"/>
      <c r="E271" s="15" t="s">
        <v>1121</v>
      </c>
      <c r="F271" s="15" t="s">
        <v>57</v>
      </c>
      <c r="G271" s="16">
        <v>1</v>
      </c>
      <c r="H271" s="16"/>
      <c r="I271" s="16">
        <v>555.89</v>
      </c>
      <c r="J271" s="17">
        <f>IFERROR(ROUND(SUM(M272,M273)/I271, 2),0)</f>
        <v>60.32</v>
      </c>
      <c r="K271" s="18">
        <v>508</v>
      </c>
      <c r="L271" s="17">
        <f>J271+ROUND(K271, 2)</f>
        <v>568.32000000000005</v>
      </c>
      <c r="M271" s="17">
        <f>ROUND(J271*I271, 2)</f>
        <v>33531.279999999999</v>
      </c>
      <c r="N271" s="17">
        <f>ROUND(I271*ROUND(K271, 2), 2)</f>
        <v>282392.12</v>
      </c>
      <c r="O271" s="17">
        <f>M271+N271</f>
        <v>315923.40000000002</v>
      </c>
      <c r="P271" s="17">
        <f>IFERROR(ROUND(SUM(S272,S273)/I271, 2),0)</f>
        <v>77.94</v>
      </c>
      <c r="Q271" s="19">
        <v>508</v>
      </c>
      <c r="R271" s="17">
        <f>P271+ROUND(Q271, 2)</f>
        <v>585.94000000000005</v>
      </c>
      <c r="S271" s="17">
        <f>ROUND(P271*I271, 2)</f>
        <v>43326.07</v>
      </c>
      <c r="T271" s="17">
        <f>ROUND(I271*ROUND(Q271, 2), 2)</f>
        <v>282392.12</v>
      </c>
      <c r="U271" s="17">
        <f>S271+T271</f>
        <v>325718.19</v>
      </c>
      <c r="V271" s="9">
        <f>ROUND(P271 / 1.2, 2)</f>
        <v>64.95</v>
      </c>
      <c r="W271" s="9">
        <f>ROUND(Q271 / 1.2, 2)</f>
        <v>423.33</v>
      </c>
      <c r="X271" s="9">
        <f>ROUND(R271 / 1.2, 2)</f>
        <v>488.28</v>
      </c>
      <c r="Y271" s="9">
        <f t="shared" si="14"/>
        <v>36105.06</v>
      </c>
      <c r="Z271" s="9">
        <f>ROUND(T271 / 1.2, 2)</f>
        <v>235326.77</v>
      </c>
      <c r="AA271" s="9">
        <f>Y271+Z271</f>
        <v>271431.82999999996</v>
      </c>
      <c r="AD271" s="4">
        <v>341534401</v>
      </c>
      <c r="AE271" s="4">
        <v>28253230</v>
      </c>
      <c r="AG271" s="4" t="s">
        <v>1167</v>
      </c>
      <c r="AH271" s="4" t="s">
        <v>1168</v>
      </c>
      <c r="AI271" s="4" t="s">
        <v>241</v>
      </c>
    </row>
    <row r="272" spans="1:35" ht="36" x14ac:dyDescent="0.3">
      <c r="A272" s="10" t="s">
        <v>1228</v>
      </c>
      <c r="B272" s="10"/>
      <c r="C272" s="24" t="s">
        <v>509</v>
      </c>
      <c r="D272" s="15"/>
      <c r="E272" s="15"/>
      <c r="F272" s="25" t="s">
        <v>76</v>
      </c>
      <c r="G272" s="26">
        <v>0.15</v>
      </c>
      <c r="H272" s="26"/>
      <c r="I272" s="26">
        <v>83.384</v>
      </c>
      <c r="J272" s="27">
        <v>90.28</v>
      </c>
      <c r="M272" s="28">
        <f>ROUND(ROUND(J272, 2)*I272, 2)</f>
        <v>7527.91</v>
      </c>
      <c r="P272" s="29">
        <v>88.8</v>
      </c>
      <c r="S272" s="28">
        <f>ROUND(ROUND(P272, 2)*I272, 2)</f>
        <v>7404.5</v>
      </c>
      <c r="V272" s="9">
        <f>ROUND(ROUND(P272, 2)/1.2, 2)</f>
        <v>74</v>
      </c>
      <c r="Y272" s="9">
        <f t="shared" si="14"/>
        <v>6170.42</v>
      </c>
      <c r="AD272" s="4" t="s">
        <v>1229</v>
      </c>
      <c r="AE272" s="4" t="s">
        <v>1230</v>
      </c>
      <c r="AF272" s="4" t="s">
        <v>512</v>
      </c>
    </row>
    <row r="273" spans="1:35" ht="18" x14ac:dyDescent="0.3">
      <c r="A273" s="10" t="s">
        <v>1231</v>
      </c>
      <c r="B273" s="10"/>
      <c r="C273" s="24" t="s">
        <v>902</v>
      </c>
      <c r="D273" s="15"/>
      <c r="E273" s="15" t="s">
        <v>1097</v>
      </c>
      <c r="F273" s="25" t="s">
        <v>76</v>
      </c>
      <c r="G273" s="26">
        <v>2</v>
      </c>
      <c r="H273" s="26"/>
      <c r="I273" s="26">
        <v>1111.78</v>
      </c>
      <c r="J273" s="27">
        <v>23.39</v>
      </c>
      <c r="M273" s="28">
        <f>ROUND(ROUND(J273, 2)*I273, 2)</f>
        <v>26004.53</v>
      </c>
      <c r="P273" s="29">
        <v>32.31</v>
      </c>
      <c r="S273" s="28">
        <f>ROUND(ROUND(P273, 2)*I273, 2)</f>
        <v>35921.61</v>
      </c>
      <c r="V273" s="9">
        <f>ROUND(ROUND(P273, 2)/1.2, 2)</f>
        <v>26.93</v>
      </c>
      <c r="Y273" s="9">
        <f t="shared" si="14"/>
        <v>29934.68</v>
      </c>
      <c r="AD273" s="4" t="s">
        <v>1232</v>
      </c>
      <c r="AE273" s="4" t="s">
        <v>1233</v>
      </c>
      <c r="AF273" s="4" t="s">
        <v>905</v>
      </c>
    </row>
    <row r="274" spans="1:35" ht="36" x14ac:dyDescent="0.3">
      <c r="A274" s="10" t="s">
        <v>1234</v>
      </c>
      <c r="B274" s="10" t="s">
        <v>1165</v>
      </c>
      <c r="C274" s="14" t="s">
        <v>1166</v>
      </c>
      <c r="D274" s="15"/>
      <c r="E274" s="15" t="s">
        <v>1129</v>
      </c>
      <c r="F274" s="15" t="s">
        <v>57</v>
      </c>
      <c r="G274" s="16">
        <v>1</v>
      </c>
      <c r="H274" s="16"/>
      <c r="I274" s="16">
        <v>555.89</v>
      </c>
      <c r="J274" s="17">
        <f>IFERROR(ROUND(SUM(M275,M276)/I274, 2),0)</f>
        <v>60.32</v>
      </c>
      <c r="K274" s="18">
        <v>508</v>
      </c>
      <c r="L274" s="17">
        <f>J274+ROUND(K274, 2)</f>
        <v>568.32000000000005</v>
      </c>
      <c r="M274" s="17">
        <f>ROUND(J274*I274, 2)</f>
        <v>33531.279999999999</v>
      </c>
      <c r="N274" s="17">
        <f>ROUND(I274*ROUND(K274, 2), 2)</f>
        <v>282392.12</v>
      </c>
      <c r="O274" s="17">
        <f>M274+N274</f>
        <v>315923.40000000002</v>
      </c>
      <c r="P274" s="17">
        <f>IFERROR(ROUND(SUM(S275,S276)/I274, 2),0)</f>
        <v>98.52</v>
      </c>
      <c r="Q274" s="19">
        <v>508</v>
      </c>
      <c r="R274" s="17">
        <f>P274+ROUND(Q274, 2)</f>
        <v>606.52</v>
      </c>
      <c r="S274" s="17">
        <f>ROUND(P274*I274, 2)</f>
        <v>54766.28</v>
      </c>
      <c r="T274" s="17">
        <f>ROUND(I274*ROUND(Q274, 2), 2)</f>
        <v>282392.12</v>
      </c>
      <c r="U274" s="17">
        <f>S274+T274</f>
        <v>337158.40000000002</v>
      </c>
      <c r="V274" s="9">
        <f>ROUND(P274 / 1.2, 2)</f>
        <v>82.1</v>
      </c>
      <c r="W274" s="9">
        <f>ROUND(Q274 / 1.2, 2)</f>
        <v>423.33</v>
      </c>
      <c r="X274" s="9">
        <f>ROUND(R274 / 1.2, 2)</f>
        <v>505.43</v>
      </c>
      <c r="Y274" s="9">
        <f t="shared" si="14"/>
        <v>45638.57</v>
      </c>
      <c r="Z274" s="9">
        <f>ROUND(T274 / 1.2, 2)</f>
        <v>235326.77</v>
      </c>
      <c r="AA274" s="9">
        <f>Y274+Z274</f>
        <v>280965.33999999997</v>
      </c>
      <c r="AD274" s="4">
        <v>341534402</v>
      </c>
      <c r="AE274" s="4">
        <v>28253227</v>
      </c>
      <c r="AG274" s="4" t="s">
        <v>1167</v>
      </c>
      <c r="AH274" s="4" t="s">
        <v>1168</v>
      </c>
      <c r="AI274" s="4" t="s">
        <v>241</v>
      </c>
    </row>
    <row r="275" spans="1:35" ht="36" x14ac:dyDescent="0.3">
      <c r="A275" s="10" t="s">
        <v>1235</v>
      </c>
      <c r="B275" s="10"/>
      <c r="C275" s="24" t="s">
        <v>509</v>
      </c>
      <c r="D275" s="15"/>
      <c r="E275" s="15"/>
      <c r="F275" s="25" t="s">
        <v>76</v>
      </c>
      <c r="G275" s="26">
        <v>0.15</v>
      </c>
      <c r="H275" s="26"/>
      <c r="I275" s="26">
        <v>83.384</v>
      </c>
      <c r="J275" s="27">
        <v>90.28</v>
      </c>
      <c r="M275" s="28">
        <f>ROUND(ROUND(J275, 2)*I275, 2)</f>
        <v>7527.91</v>
      </c>
      <c r="P275" s="29">
        <v>88.8</v>
      </c>
      <c r="S275" s="28">
        <f>ROUND(ROUND(P275, 2)*I275, 2)</f>
        <v>7404.5</v>
      </c>
      <c r="V275" s="9">
        <f>ROUND(ROUND(P275, 2)/1.2, 2)</f>
        <v>74</v>
      </c>
      <c r="Y275" s="9">
        <f t="shared" si="14"/>
        <v>6170.42</v>
      </c>
      <c r="AD275" s="4" t="s">
        <v>1236</v>
      </c>
      <c r="AE275" s="4" t="s">
        <v>1237</v>
      </c>
      <c r="AF275" s="4" t="s">
        <v>512</v>
      </c>
    </row>
    <row r="276" spans="1:35" ht="18" x14ac:dyDescent="0.3">
      <c r="A276" s="10" t="s">
        <v>1238</v>
      </c>
      <c r="B276" s="10"/>
      <c r="C276" s="24" t="s">
        <v>902</v>
      </c>
      <c r="D276" s="15"/>
      <c r="E276" s="15" t="s">
        <v>1106</v>
      </c>
      <c r="F276" s="25" t="s">
        <v>76</v>
      </c>
      <c r="G276" s="26">
        <v>2</v>
      </c>
      <c r="H276" s="26"/>
      <c r="I276" s="26">
        <v>1111.78</v>
      </c>
      <c r="J276" s="27">
        <v>23.39</v>
      </c>
      <c r="M276" s="28">
        <f>ROUND(ROUND(J276, 2)*I276, 2)</f>
        <v>26004.53</v>
      </c>
      <c r="P276" s="29">
        <v>42.6</v>
      </c>
      <c r="S276" s="28">
        <f>ROUND(ROUND(P276, 2)*I276, 2)</f>
        <v>47361.83</v>
      </c>
      <c r="V276" s="9">
        <f>ROUND(ROUND(P276, 2)/1.2, 2)</f>
        <v>35.5</v>
      </c>
      <c r="Y276" s="9">
        <f t="shared" si="14"/>
        <v>39468.19</v>
      </c>
      <c r="AD276" s="4" t="s">
        <v>1239</v>
      </c>
      <c r="AE276" s="4" t="s">
        <v>1240</v>
      </c>
      <c r="AF276" s="4" t="s">
        <v>905</v>
      </c>
    </row>
    <row r="277" spans="1:35" ht="36" x14ac:dyDescent="0.3">
      <c r="A277" s="10" t="s">
        <v>1241</v>
      </c>
      <c r="B277" s="10" t="s">
        <v>1165</v>
      </c>
      <c r="C277" s="14" t="s">
        <v>1166</v>
      </c>
      <c r="D277" s="15"/>
      <c r="E277" s="15" t="s">
        <v>1242</v>
      </c>
      <c r="F277" s="15" t="s">
        <v>57</v>
      </c>
      <c r="G277" s="16">
        <v>1</v>
      </c>
      <c r="H277" s="16"/>
      <c r="I277" s="16">
        <v>133.69999999999999</v>
      </c>
      <c r="J277" s="17">
        <f>IFERROR(ROUND(SUM(M278,M279,M280)/I277, 2),0)</f>
        <v>82.62</v>
      </c>
      <c r="K277" s="18">
        <v>508</v>
      </c>
      <c r="L277" s="17">
        <f>J277+ROUND(K277, 2)</f>
        <v>590.62</v>
      </c>
      <c r="M277" s="17">
        <f>ROUND(J277*I277, 2)</f>
        <v>11046.29</v>
      </c>
      <c r="N277" s="17">
        <f>ROUND(I277*ROUND(K277, 2), 2)</f>
        <v>67919.600000000006</v>
      </c>
      <c r="O277" s="17">
        <f>M277+N277</f>
        <v>78965.890000000014</v>
      </c>
      <c r="P277" s="17">
        <f>IFERROR(ROUND(SUM(S278,S279,S280)/I277, 2),0)</f>
        <v>91.32</v>
      </c>
      <c r="Q277" s="19">
        <v>508</v>
      </c>
      <c r="R277" s="17">
        <f>P277+ROUND(Q277, 2)</f>
        <v>599.31999999999994</v>
      </c>
      <c r="S277" s="17">
        <f>ROUND(P277*I277, 2)</f>
        <v>12209.48</v>
      </c>
      <c r="T277" s="17">
        <f>ROUND(I277*ROUND(Q277, 2), 2)</f>
        <v>67919.600000000006</v>
      </c>
      <c r="U277" s="17">
        <f>S277+T277</f>
        <v>80129.08</v>
      </c>
      <c r="V277" s="9">
        <f>ROUND(P277 / 1.2, 2)</f>
        <v>76.099999999999994</v>
      </c>
      <c r="W277" s="9">
        <f>ROUND(Q277 / 1.2, 2)</f>
        <v>423.33</v>
      </c>
      <c r="X277" s="9">
        <f>ROUND(R277 / 1.2, 2)</f>
        <v>499.43</v>
      </c>
      <c r="Y277" s="9">
        <f t="shared" si="14"/>
        <v>10174.57</v>
      </c>
      <c r="Z277" s="9">
        <f>ROUND(T277 / 1.2, 2)</f>
        <v>56599.67</v>
      </c>
      <c r="AA277" s="9">
        <f>Y277+Z277</f>
        <v>66774.239999999991</v>
      </c>
      <c r="AD277" s="4">
        <v>341534403</v>
      </c>
      <c r="AE277" s="4">
        <v>28291315</v>
      </c>
      <c r="AG277" s="4" t="s">
        <v>1167</v>
      </c>
      <c r="AH277" s="4" t="s">
        <v>1168</v>
      </c>
      <c r="AI277" s="4" t="s">
        <v>241</v>
      </c>
    </row>
    <row r="278" spans="1:35" ht="36" x14ac:dyDescent="0.3">
      <c r="A278" s="10" t="s">
        <v>1243</v>
      </c>
      <c r="B278" s="10"/>
      <c r="C278" s="24" t="s">
        <v>509</v>
      </c>
      <c r="D278" s="15"/>
      <c r="E278" s="15"/>
      <c r="F278" s="25" t="s">
        <v>76</v>
      </c>
      <c r="G278" s="26">
        <v>0.15</v>
      </c>
      <c r="H278" s="26"/>
      <c r="I278" s="26">
        <v>20.055</v>
      </c>
      <c r="J278" s="27">
        <v>90.28</v>
      </c>
      <c r="M278" s="28">
        <f>ROUND(ROUND(J278, 2)*I278, 2)</f>
        <v>1810.57</v>
      </c>
      <c r="P278" s="29">
        <v>88.8</v>
      </c>
      <c r="S278" s="28">
        <f>ROUND(ROUND(P278, 2)*I278, 2)</f>
        <v>1780.88</v>
      </c>
      <c r="V278" s="9">
        <f>ROUND(ROUND(P278, 2)/1.2, 2)</f>
        <v>74</v>
      </c>
      <c r="Y278" s="9">
        <f t="shared" si="14"/>
        <v>1484.07</v>
      </c>
      <c r="AD278" s="4" t="s">
        <v>1244</v>
      </c>
      <c r="AE278" s="4" t="s">
        <v>1245</v>
      </c>
      <c r="AF278" s="4" t="s">
        <v>512</v>
      </c>
    </row>
    <row r="279" spans="1:35" ht="18" x14ac:dyDescent="0.3">
      <c r="A279" s="10" t="s">
        <v>1246</v>
      </c>
      <c r="B279" s="10"/>
      <c r="C279" s="24" t="s">
        <v>907</v>
      </c>
      <c r="D279" s="15"/>
      <c r="E279" s="15"/>
      <c r="F279" s="25" t="s">
        <v>98</v>
      </c>
      <c r="G279" s="26">
        <v>0.3</v>
      </c>
      <c r="H279" s="26"/>
      <c r="I279" s="26">
        <v>40.11</v>
      </c>
      <c r="J279" s="27">
        <v>74.319999999999993</v>
      </c>
      <c r="M279" s="28">
        <f>ROUND(ROUND(J279, 2)*I279, 2)</f>
        <v>2980.98</v>
      </c>
      <c r="P279" s="29">
        <v>74.319999999999993</v>
      </c>
      <c r="S279" s="28">
        <f>ROUND(ROUND(P279, 2)*I279, 2)</f>
        <v>2980.98</v>
      </c>
      <c r="V279" s="9">
        <f>ROUND(ROUND(P279, 2)/1.2, 2)</f>
        <v>61.93</v>
      </c>
      <c r="Y279" s="9">
        <f t="shared" si="14"/>
        <v>2484.15</v>
      </c>
      <c r="AD279" s="4" t="s">
        <v>1247</v>
      </c>
      <c r="AE279" s="4" t="s">
        <v>1248</v>
      </c>
      <c r="AF279" s="4" t="s">
        <v>910</v>
      </c>
    </row>
    <row r="280" spans="1:35" ht="18" x14ac:dyDescent="0.3">
      <c r="A280" s="10" t="s">
        <v>1249</v>
      </c>
      <c r="B280" s="10"/>
      <c r="C280" s="24" t="s">
        <v>902</v>
      </c>
      <c r="D280" s="15"/>
      <c r="E280" s="15" t="s">
        <v>1080</v>
      </c>
      <c r="F280" s="25" t="s">
        <v>76</v>
      </c>
      <c r="G280" s="26">
        <v>2</v>
      </c>
      <c r="H280" s="26"/>
      <c r="I280" s="26">
        <v>267.39999999999998</v>
      </c>
      <c r="J280" s="27">
        <v>23.39</v>
      </c>
      <c r="M280" s="28">
        <f>ROUND(ROUND(J280, 2)*I280, 2)</f>
        <v>6254.49</v>
      </c>
      <c r="P280" s="29">
        <v>27.85</v>
      </c>
      <c r="S280" s="28">
        <f>ROUND(ROUND(P280, 2)*I280, 2)</f>
        <v>7447.09</v>
      </c>
      <c r="V280" s="9">
        <f>ROUND(ROUND(P280, 2)/1.2, 2)</f>
        <v>23.21</v>
      </c>
      <c r="Y280" s="9">
        <f t="shared" si="14"/>
        <v>6205.91</v>
      </c>
      <c r="AD280" s="4" t="s">
        <v>1250</v>
      </c>
      <c r="AE280" s="4" t="s">
        <v>1251</v>
      </c>
      <c r="AF280" s="4" t="s">
        <v>905</v>
      </c>
    </row>
    <row r="281" spans="1:35" ht="36" x14ac:dyDescent="0.3">
      <c r="A281" s="10" t="s">
        <v>1252</v>
      </c>
      <c r="B281" s="10" t="s">
        <v>1165</v>
      </c>
      <c r="C281" s="14" t="s">
        <v>1166</v>
      </c>
      <c r="D281" s="15"/>
      <c r="E281" s="15" t="s">
        <v>1253</v>
      </c>
      <c r="F281" s="15" t="s">
        <v>57</v>
      </c>
      <c r="G281" s="16">
        <v>1</v>
      </c>
      <c r="H281" s="16"/>
      <c r="I281" s="16">
        <v>133.69999999999999</v>
      </c>
      <c r="J281" s="17">
        <f>IFERROR(ROUND(SUM(M282,M283)/I281, 2),0)</f>
        <v>60.32</v>
      </c>
      <c r="K281" s="18">
        <v>508</v>
      </c>
      <c r="L281" s="17">
        <f>J281+ROUND(K281, 2)</f>
        <v>568.32000000000005</v>
      </c>
      <c r="M281" s="17">
        <f>ROUND(J281*I281, 2)</f>
        <v>8064.78</v>
      </c>
      <c r="N281" s="17">
        <f>ROUND(I281*ROUND(K281, 2), 2)</f>
        <v>67919.600000000006</v>
      </c>
      <c r="O281" s="17">
        <f>M281+N281</f>
        <v>75984.38</v>
      </c>
      <c r="P281" s="17">
        <f>IFERROR(ROUND(SUM(S282,S283)/I281, 2),0)</f>
        <v>77.94</v>
      </c>
      <c r="Q281" s="19">
        <v>508</v>
      </c>
      <c r="R281" s="17">
        <f>P281+ROUND(Q281, 2)</f>
        <v>585.94000000000005</v>
      </c>
      <c r="S281" s="17">
        <f>ROUND(P281*I281, 2)</f>
        <v>10420.58</v>
      </c>
      <c r="T281" s="17">
        <f>ROUND(I281*ROUND(Q281, 2), 2)</f>
        <v>67919.600000000006</v>
      </c>
      <c r="U281" s="17">
        <f>S281+T281</f>
        <v>78340.180000000008</v>
      </c>
      <c r="V281" s="9">
        <f>ROUND(P281 / 1.2, 2)</f>
        <v>64.95</v>
      </c>
      <c r="W281" s="9">
        <f>ROUND(Q281 / 1.2, 2)</f>
        <v>423.33</v>
      </c>
      <c r="X281" s="9">
        <f>ROUND(R281 / 1.2, 2)</f>
        <v>488.28</v>
      </c>
      <c r="Y281" s="9">
        <f t="shared" si="14"/>
        <v>8683.82</v>
      </c>
      <c r="Z281" s="9">
        <f>ROUND(T281 / 1.2, 2)</f>
        <v>56599.67</v>
      </c>
      <c r="AA281" s="9">
        <f>Y281+Z281</f>
        <v>65283.49</v>
      </c>
      <c r="AD281" s="4">
        <v>341534404</v>
      </c>
      <c r="AE281" s="4">
        <v>28291317</v>
      </c>
      <c r="AG281" s="4" t="s">
        <v>1167</v>
      </c>
      <c r="AH281" s="4" t="s">
        <v>1168</v>
      </c>
      <c r="AI281" s="4" t="s">
        <v>241</v>
      </c>
    </row>
    <row r="282" spans="1:35" ht="36" x14ac:dyDescent="0.3">
      <c r="A282" s="10" t="s">
        <v>1254</v>
      </c>
      <c r="B282" s="10"/>
      <c r="C282" s="24" t="s">
        <v>509</v>
      </c>
      <c r="D282" s="15"/>
      <c r="E282" s="15"/>
      <c r="F282" s="25" t="s">
        <v>76</v>
      </c>
      <c r="G282" s="26">
        <v>0.15</v>
      </c>
      <c r="H282" s="26"/>
      <c r="I282" s="26">
        <v>20.055</v>
      </c>
      <c r="J282" s="27">
        <v>90.28</v>
      </c>
      <c r="M282" s="28">
        <f>ROUND(ROUND(J282, 2)*I282, 2)</f>
        <v>1810.57</v>
      </c>
      <c r="P282" s="29">
        <v>88.8</v>
      </c>
      <c r="S282" s="28">
        <f>ROUND(ROUND(P282, 2)*I282, 2)</f>
        <v>1780.88</v>
      </c>
      <c r="V282" s="9">
        <f>ROUND(ROUND(P282, 2)/1.2, 2)</f>
        <v>74</v>
      </c>
      <c r="Y282" s="9">
        <f t="shared" si="14"/>
        <v>1484.07</v>
      </c>
      <c r="AD282" s="4" t="s">
        <v>1255</v>
      </c>
      <c r="AE282" s="4" t="s">
        <v>1256</v>
      </c>
      <c r="AF282" s="4" t="s">
        <v>512</v>
      </c>
    </row>
    <row r="283" spans="1:35" ht="18" x14ac:dyDescent="0.3">
      <c r="A283" s="10" t="s">
        <v>1257</v>
      </c>
      <c r="B283" s="10"/>
      <c r="C283" s="24" t="s">
        <v>902</v>
      </c>
      <c r="D283" s="15"/>
      <c r="E283" s="15" t="s">
        <v>1097</v>
      </c>
      <c r="F283" s="25" t="s">
        <v>76</v>
      </c>
      <c r="G283" s="26">
        <v>2</v>
      </c>
      <c r="H283" s="26"/>
      <c r="I283" s="26">
        <v>267.39999999999998</v>
      </c>
      <c r="J283" s="27">
        <v>23.39</v>
      </c>
      <c r="M283" s="28">
        <f>ROUND(ROUND(J283, 2)*I283, 2)</f>
        <v>6254.49</v>
      </c>
      <c r="P283" s="29">
        <v>32.31</v>
      </c>
      <c r="S283" s="28">
        <f>ROUND(ROUND(P283, 2)*I283, 2)</f>
        <v>8639.69</v>
      </c>
      <c r="V283" s="9">
        <f>ROUND(ROUND(P283, 2)/1.2, 2)</f>
        <v>26.93</v>
      </c>
      <c r="Y283" s="9">
        <f t="shared" si="14"/>
        <v>7199.74</v>
      </c>
      <c r="AD283" s="4" t="s">
        <v>1258</v>
      </c>
      <c r="AE283" s="4" t="s">
        <v>1259</v>
      </c>
      <c r="AF283" s="4" t="s">
        <v>905</v>
      </c>
    </row>
    <row r="284" spans="1:35" ht="36" x14ac:dyDescent="0.3">
      <c r="A284" s="10" t="s">
        <v>1260</v>
      </c>
      <c r="B284" s="10" t="s">
        <v>1165</v>
      </c>
      <c r="C284" s="14" t="s">
        <v>1166</v>
      </c>
      <c r="D284" s="15"/>
      <c r="E284" s="15" t="s">
        <v>1261</v>
      </c>
      <c r="F284" s="15" t="s">
        <v>57</v>
      </c>
      <c r="G284" s="16">
        <v>1</v>
      </c>
      <c r="H284" s="16"/>
      <c r="I284" s="16">
        <v>133.69999999999999</v>
      </c>
      <c r="J284" s="17">
        <f>IFERROR(ROUND(SUM(M285,M286)/I284, 2),0)</f>
        <v>60.32</v>
      </c>
      <c r="K284" s="18">
        <v>508</v>
      </c>
      <c r="L284" s="17">
        <f>J284+ROUND(K284, 2)</f>
        <v>568.32000000000005</v>
      </c>
      <c r="M284" s="17">
        <f>ROUND(J284*I284, 2)</f>
        <v>8064.78</v>
      </c>
      <c r="N284" s="17">
        <f>ROUND(I284*ROUND(K284, 2), 2)</f>
        <v>67919.600000000006</v>
      </c>
      <c r="O284" s="17">
        <f>M284+N284</f>
        <v>75984.38</v>
      </c>
      <c r="P284" s="17">
        <f>IFERROR(ROUND(SUM(S285,S286)/I284, 2),0)</f>
        <v>98.52</v>
      </c>
      <c r="Q284" s="19">
        <v>508</v>
      </c>
      <c r="R284" s="17">
        <f>P284+ROUND(Q284, 2)</f>
        <v>606.52</v>
      </c>
      <c r="S284" s="17">
        <f>ROUND(P284*I284, 2)</f>
        <v>13172.12</v>
      </c>
      <c r="T284" s="17">
        <f>ROUND(I284*ROUND(Q284, 2), 2)</f>
        <v>67919.600000000006</v>
      </c>
      <c r="U284" s="17">
        <f>S284+T284</f>
        <v>81091.72</v>
      </c>
      <c r="V284" s="9">
        <f>ROUND(P284 / 1.2, 2)</f>
        <v>82.1</v>
      </c>
      <c r="W284" s="9">
        <f>ROUND(Q284 / 1.2, 2)</f>
        <v>423.33</v>
      </c>
      <c r="X284" s="9">
        <f>ROUND(R284 / 1.2, 2)</f>
        <v>505.43</v>
      </c>
      <c r="Y284" s="9">
        <f t="shared" si="14"/>
        <v>10976.77</v>
      </c>
      <c r="Z284" s="9">
        <f>ROUND(T284 / 1.2, 2)</f>
        <v>56599.67</v>
      </c>
      <c r="AA284" s="9">
        <f>Y284+Z284</f>
        <v>67576.44</v>
      </c>
      <c r="AD284" s="4">
        <v>341534405</v>
      </c>
      <c r="AE284" s="4">
        <v>28291316</v>
      </c>
      <c r="AG284" s="4" t="s">
        <v>1167</v>
      </c>
      <c r="AH284" s="4" t="s">
        <v>1168</v>
      </c>
      <c r="AI284" s="4" t="s">
        <v>241</v>
      </c>
    </row>
    <row r="285" spans="1:35" ht="36" x14ac:dyDescent="0.3">
      <c r="A285" s="10" t="s">
        <v>1262</v>
      </c>
      <c r="B285" s="10"/>
      <c r="C285" s="24" t="s">
        <v>509</v>
      </c>
      <c r="D285" s="15"/>
      <c r="E285" s="15"/>
      <c r="F285" s="25" t="s">
        <v>76</v>
      </c>
      <c r="G285" s="26">
        <v>0.15</v>
      </c>
      <c r="H285" s="26"/>
      <c r="I285" s="26">
        <v>20.055</v>
      </c>
      <c r="J285" s="27">
        <v>90.28</v>
      </c>
      <c r="M285" s="28">
        <f>ROUND(ROUND(J285, 2)*I285, 2)</f>
        <v>1810.57</v>
      </c>
      <c r="P285" s="29">
        <v>88.8</v>
      </c>
      <c r="S285" s="28">
        <f>ROUND(ROUND(P285, 2)*I285, 2)</f>
        <v>1780.88</v>
      </c>
      <c r="V285" s="9">
        <f>ROUND(ROUND(P285, 2)/1.2, 2)</f>
        <v>74</v>
      </c>
      <c r="Y285" s="9">
        <f t="shared" si="14"/>
        <v>1484.07</v>
      </c>
      <c r="AD285" s="4" t="s">
        <v>1263</v>
      </c>
      <c r="AE285" s="4" t="s">
        <v>1264</v>
      </c>
      <c r="AF285" s="4" t="s">
        <v>512</v>
      </c>
    </row>
    <row r="286" spans="1:35" ht="18" x14ac:dyDescent="0.3">
      <c r="A286" s="10" t="s">
        <v>1265</v>
      </c>
      <c r="B286" s="10"/>
      <c r="C286" s="24" t="s">
        <v>902</v>
      </c>
      <c r="D286" s="15"/>
      <c r="E286" s="15" t="s">
        <v>1106</v>
      </c>
      <c r="F286" s="25" t="s">
        <v>76</v>
      </c>
      <c r="G286" s="26">
        <v>2</v>
      </c>
      <c r="H286" s="26"/>
      <c r="I286" s="26">
        <v>267.39999999999998</v>
      </c>
      <c r="J286" s="27">
        <v>23.39</v>
      </c>
      <c r="M286" s="28">
        <f>ROUND(ROUND(J286, 2)*I286, 2)</f>
        <v>6254.49</v>
      </c>
      <c r="P286" s="29">
        <v>42.6</v>
      </c>
      <c r="S286" s="28">
        <f>ROUND(ROUND(P286, 2)*I286, 2)</f>
        <v>11391.24</v>
      </c>
      <c r="V286" s="9">
        <f>ROUND(ROUND(P286, 2)/1.2, 2)</f>
        <v>35.5</v>
      </c>
      <c r="Y286" s="9">
        <f t="shared" si="14"/>
        <v>9492.7000000000007</v>
      </c>
      <c r="AD286" s="4" t="s">
        <v>1266</v>
      </c>
      <c r="AE286" s="4" t="s">
        <v>1267</v>
      </c>
      <c r="AF286" s="4" t="s">
        <v>905</v>
      </c>
    </row>
    <row r="287" spans="1:35" ht="72" x14ac:dyDescent="0.3">
      <c r="A287" s="10" t="s">
        <v>1268</v>
      </c>
      <c r="B287" s="10" t="s">
        <v>1269</v>
      </c>
      <c r="C287" s="14" t="s">
        <v>1270</v>
      </c>
      <c r="D287" s="15"/>
      <c r="E287" s="15" t="s">
        <v>401</v>
      </c>
      <c r="F287" s="15" t="s">
        <v>57</v>
      </c>
      <c r="G287" s="16">
        <v>1</v>
      </c>
      <c r="H287" s="16"/>
      <c r="I287" s="16">
        <v>117.8</v>
      </c>
      <c r="J287" s="17">
        <f>IFERROR(ROUND(SUM(M288,M289,M290)/I287, 2),0)</f>
        <v>257.06</v>
      </c>
      <c r="K287" s="18">
        <v>873</v>
      </c>
      <c r="L287" s="17">
        <f>J287+ROUND(K287, 2)</f>
        <v>1130.06</v>
      </c>
      <c r="M287" s="17">
        <f>ROUND(J287*I287, 2)</f>
        <v>30281.67</v>
      </c>
      <c r="N287" s="17">
        <f>ROUND(I287*ROUND(K287, 2), 2)</f>
        <v>102839.4</v>
      </c>
      <c r="O287" s="17">
        <f>M287+N287</f>
        <v>133121.07</v>
      </c>
      <c r="P287" s="17">
        <f>IFERROR(ROUND(SUM(S288,S289,S290)/I287, 2),0)</f>
        <v>263.33999999999997</v>
      </c>
      <c r="Q287" s="19">
        <v>873</v>
      </c>
      <c r="R287" s="17">
        <f>P287+ROUND(Q287, 2)</f>
        <v>1136.3399999999999</v>
      </c>
      <c r="S287" s="17">
        <f>ROUND(P287*I287, 2)</f>
        <v>31021.45</v>
      </c>
      <c r="T287" s="17">
        <f>ROUND(I287*ROUND(Q287, 2), 2)</f>
        <v>102839.4</v>
      </c>
      <c r="U287" s="17">
        <f>S287+T287</f>
        <v>133860.85</v>
      </c>
      <c r="V287" s="9">
        <f>ROUND(P287 / 1.2, 2)</f>
        <v>219.45</v>
      </c>
      <c r="W287" s="9">
        <f>ROUND(Q287 / 1.2, 2)</f>
        <v>727.5</v>
      </c>
      <c r="X287" s="9">
        <f>ROUND(R287 / 1.2, 2)</f>
        <v>946.95</v>
      </c>
      <c r="Y287" s="9">
        <f t="shared" si="14"/>
        <v>25851.21</v>
      </c>
      <c r="Z287" s="9">
        <f>ROUND(T287 / 1.2, 2)</f>
        <v>85699.5</v>
      </c>
      <c r="AA287" s="9">
        <f>Y287+Z287</f>
        <v>111550.70999999999</v>
      </c>
      <c r="AD287" s="4">
        <v>341534330</v>
      </c>
      <c r="AE287" s="4">
        <v>28291320</v>
      </c>
      <c r="AG287" s="4" t="s">
        <v>1271</v>
      </c>
      <c r="AH287" s="4" t="s">
        <v>1272</v>
      </c>
      <c r="AI287" s="4" t="s">
        <v>241</v>
      </c>
    </row>
    <row r="288" spans="1:35" ht="18" x14ac:dyDescent="0.3">
      <c r="A288" s="10" t="s">
        <v>1273</v>
      </c>
      <c r="B288" s="10"/>
      <c r="C288" s="24" t="s">
        <v>1274</v>
      </c>
      <c r="D288" s="15"/>
      <c r="E288" s="15"/>
      <c r="F288" s="25" t="s">
        <v>76</v>
      </c>
      <c r="G288" s="26">
        <v>1.3</v>
      </c>
      <c r="H288" s="36"/>
      <c r="I288" s="36">
        <v>3062.8</v>
      </c>
      <c r="J288" s="27">
        <v>8.75</v>
      </c>
      <c r="M288" s="28">
        <f>ROUND(ROUND(J288, 2)*I288, 2)</f>
        <v>26799.5</v>
      </c>
      <c r="P288" s="29">
        <v>9</v>
      </c>
      <c r="S288" s="28">
        <f>ROUND(ROUND(P288, 2)*I288, 2)</f>
        <v>27565.200000000001</v>
      </c>
      <c r="V288" s="9">
        <f>ROUND(ROUND(P288, 2)/1.2, 2)</f>
        <v>7.5</v>
      </c>
      <c r="Y288" s="9">
        <f t="shared" si="14"/>
        <v>22971</v>
      </c>
      <c r="AD288" s="4" t="s">
        <v>1275</v>
      </c>
      <c r="AE288" s="4" t="s">
        <v>1276</v>
      </c>
      <c r="AF288" s="4" t="s">
        <v>1277</v>
      </c>
    </row>
    <row r="289" spans="1:35" ht="18" x14ac:dyDescent="0.3">
      <c r="A289" s="10" t="s">
        <v>1278</v>
      </c>
      <c r="B289" s="10"/>
      <c r="C289" s="24" t="s">
        <v>1279</v>
      </c>
      <c r="D289" s="15"/>
      <c r="E289" s="15"/>
      <c r="F289" s="25" t="s">
        <v>123</v>
      </c>
      <c r="G289" s="26">
        <v>1</v>
      </c>
      <c r="H289" s="36"/>
      <c r="I289" s="36">
        <v>117.8</v>
      </c>
      <c r="J289" s="27">
        <v>16.02</v>
      </c>
      <c r="M289" s="28">
        <f>ROUND(ROUND(J289, 2)*I289, 2)</f>
        <v>1887.16</v>
      </c>
      <c r="P289" s="29">
        <v>16.02</v>
      </c>
      <c r="S289" s="28">
        <f>ROUND(ROUND(P289, 2)*I289, 2)</f>
        <v>1887.16</v>
      </c>
      <c r="V289" s="9">
        <f>ROUND(ROUND(P289, 2)/1.2, 2)</f>
        <v>13.35</v>
      </c>
      <c r="Y289" s="9">
        <f t="shared" si="14"/>
        <v>1572.63</v>
      </c>
      <c r="AD289" s="4" t="s">
        <v>1280</v>
      </c>
      <c r="AE289" s="4" t="s">
        <v>1281</v>
      </c>
      <c r="AF289" s="4" t="s">
        <v>1282</v>
      </c>
    </row>
    <row r="290" spans="1:35" ht="36" x14ac:dyDescent="0.3">
      <c r="A290" s="10" t="s">
        <v>1283</v>
      </c>
      <c r="B290" s="10"/>
      <c r="C290" s="24" t="s">
        <v>509</v>
      </c>
      <c r="D290" s="15"/>
      <c r="E290" s="15"/>
      <c r="F290" s="25" t="s">
        <v>76</v>
      </c>
      <c r="G290" s="26">
        <v>0.15</v>
      </c>
      <c r="H290" s="26"/>
      <c r="I290" s="26">
        <v>17.670000000000002</v>
      </c>
      <c r="J290" s="27">
        <v>90.28</v>
      </c>
      <c r="M290" s="28">
        <f>ROUND(ROUND(J290, 2)*I290, 2)</f>
        <v>1595.25</v>
      </c>
      <c r="P290" s="29">
        <v>88.8</v>
      </c>
      <c r="S290" s="28">
        <f>ROUND(ROUND(P290, 2)*I290, 2)</f>
        <v>1569.1</v>
      </c>
      <c r="V290" s="9">
        <f>ROUND(ROUND(P290, 2)/1.2, 2)</f>
        <v>74</v>
      </c>
      <c r="Y290" s="9">
        <f t="shared" si="14"/>
        <v>1307.58</v>
      </c>
      <c r="AD290" s="4" t="s">
        <v>1284</v>
      </c>
      <c r="AE290" s="4" t="s">
        <v>1285</v>
      </c>
      <c r="AF290" s="4" t="s">
        <v>512</v>
      </c>
    </row>
    <row r="291" spans="1:35" ht="72" x14ac:dyDescent="0.3">
      <c r="A291" s="10" t="s">
        <v>1286</v>
      </c>
      <c r="B291" s="10" t="s">
        <v>1287</v>
      </c>
      <c r="C291" s="14" t="s">
        <v>1288</v>
      </c>
      <c r="D291" s="15" t="s">
        <v>1289</v>
      </c>
      <c r="E291" s="15" t="s">
        <v>1290</v>
      </c>
      <c r="F291" s="15" t="s">
        <v>57</v>
      </c>
      <c r="G291" s="16">
        <v>1</v>
      </c>
      <c r="H291" s="16"/>
      <c r="I291" s="16">
        <v>271.41000000000003</v>
      </c>
      <c r="J291" s="17">
        <f>IFERROR(ROUND(SUM(M292,M293,M294,M295)/I291, 2),0)</f>
        <v>342.92</v>
      </c>
      <c r="K291" s="18">
        <v>954</v>
      </c>
      <c r="L291" s="17">
        <f>J291+ROUND(K291, 2)</f>
        <v>1296.92</v>
      </c>
      <c r="M291" s="17">
        <f>ROUND(J291*I291, 2)</f>
        <v>93071.92</v>
      </c>
      <c r="N291" s="17">
        <f>ROUND(I291*ROUND(K291, 2), 2)</f>
        <v>258925.14</v>
      </c>
      <c r="O291" s="17">
        <f>M291+N291</f>
        <v>351997.06</v>
      </c>
      <c r="P291" s="17">
        <f>IFERROR(ROUND(SUM(S292,S293,S294,S295)/I291, 2),0)</f>
        <v>349.01</v>
      </c>
      <c r="Q291" s="19">
        <v>954</v>
      </c>
      <c r="R291" s="17">
        <f>P291+ROUND(Q291, 2)</f>
        <v>1303.01</v>
      </c>
      <c r="S291" s="17">
        <f>ROUND(P291*I291, 2)</f>
        <v>94724.800000000003</v>
      </c>
      <c r="T291" s="17">
        <f>ROUND(I291*ROUND(Q291, 2), 2)</f>
        <v>258925.14</v>
      </c>
      <c r="U291" s="17">
        <f>S291+T291</f>
        <v>353649.94</v>
      </c>
      <c r="V291" s="9">
        <f>ROUND(P291 / 1.2, 2)</f>
        <v>290.83999999999997</v>
      </c>
      <c r="W291" s="9">
        <f>ROUND(Q291 / 1.2, 2)</f>
        <v>795</v>
      </c>
      <c r="X291" s="9">
        <f>ROUND(R291 / 1.2, 2)</f>
        <v>1085.8399999999999</v>
      </c>
      <c r="Y291" s="9">
        <f t="shared" si="14"/>
        <v>78937.33</v>
      </c>
      <c r="Z291" s="9">
        <f>ROUND(T291 / 1.2, 2)</f>
        <v>215770.95</v>
      </c>
      <c r="AA291" s="9">
        <f>Y291+Z291</f>
        <v>294708.28000000003</v>
      </c>
      <c r="AD291" s="4">
        <v>341534331</v>
      </c>
      <c r="AE291" s="4">
        <v>28254139</v>
      </c>
      <c r="AG291" s="4" t="s">
        <v>1291</v>
      </c>
      <c r="AH291" s="4" t="s">
        <v>1292</v>
      </c>
      <c r="AI291" s="4" t="s">
        <v>241</v>
      </c>
    </row>
    <row r="292" spans="1:35" ht="18" x14ac:dyDescent="0.3">
      <c r="A292" s="10" t="s">
        <v>1293</v>
      </c>
      <c r="B292" s="10"/>
      <c r="C292" s="24" t="s">
        <v>1274</v>
      </c>
      <c r="D292" s="15"/>
      <c r="E292" s="15"/>
      <c r="F292" s="25" t="s">
        <v>76</v>
      </c>
      <c r="G292" s="26">
        <v>1.3</v>
      </c>
      <c r="H292" s="36"/>
      <c r="I292" s="36">
        <v>7056.66</v>
      </c>
      <c r="J292" s="27">
        <v>8.75</v>
      </c>
      <c r="M292" s="28">
        <f>ROUND(ROUND(J292, 2)*I292, 2)</f>
        <v>61745.78</v>
      </c>
      <c r="P292" s="29">
        <v>9</v>
      </c>
      <c r="S292" s="28">
        <f>ROUND(ROUND(P292, 2)*I292, 2)</f>
        <v>63509.94</v>
      </c>
      <c r="V292" s="9">
        <f>ROUND(ROUND(P292, 2)/1.2, 2)</f>
        <v>7.5</v>
      </c>
      <c r="Y292" s="9">
        <f t="shared" si="14"/>
        <v>52924.95</v>
      </c>
      <c r="AD292" s="4" t="s">
        <v>1294</v>
      </c>
      <c r="AE292" s="4" t="s">
        <v>1295</v>
      </c>
      <c r="AF292" s="4" t="s">
        <v>1277</v>
      </c>
    </row>
    <row r="293" spans="1:35" ht="36" x14ac:dyDescent="0.3">
      <c r="A293" s="10" t="s">
        <v>1296</v>
      </c>
      <c r="B293" s="10"/>
      <c r="C293" s="24" t="s">
        <v>1297</v>
      </c>
      <c r="D293" s="15"/>
      <c r="E293" s="15"/>
      <c r="F293" s="25" t="s">
        <v>57</v>
      </c>
      <c r="G293" s="26">
        <v>1.1000000000000001</v>
      </c>
      <c r="H293" s="26"/>
      <c r="I293" s="26">
        <v>298.55099999999999</v>
      </c>
      <c r="J293" s="27">
        <v>67.260000000000005</v>
      </c>
      <c r="M293" s="28">
        <f>ROUND(ROUND(J293, 2)*I293, 2)</f>
        <v>20080.54</v>
      </c>
      <c r="P293" s="29">
        <v>67.260000000000005</v>
      </c>
      <c r="S293" s="28">
        <f>ROUND(ROUND(P293, 2)*I293, 2)</f>
        <v>20080.54</v>
      </c>
      <c r="V293" s="9">
        <f>ROUND(ROUND(P293, 2)/1.2, 2)</f>
        <v>56.05</v>
      </c>
      <c r="Y293" s="9">
        <f t="shared" si="14"/>
        <v>16733.78</v>
      </c>
      <c r="AD293" s="4" t="s">
        <v>1298</v>
      </c>
      <c r="AE293" s="4" t="s">
        <v>1299</v>
      </c>
      <c r="AF293" s="4" t="s">
        <v>1300</v>
      </c>
    </row>
    <row r="294" spans="1:35" ht="18" x14ac:dyDescent="0.3">
      <c r="A294" s="10" t="s">
        <v>1301</v>
      </c>
      <c r="B294" s="10"/>
      <c r="C294" s="24" t="s">
        <v>1279</v>
      </c>
      <c r="D294" s="15"/>
      <c r="E294" s="15"/>
      <c r="F294" s="25" t="s">
        <v>123</v>
      </c>
      <c r="G294" s="26">
        <v>1</v>
      </c>
      <c r="H294" s="36"/>
      <c r="I294" s="36">
        <v>271.41000000000003</v>
      </c>
      <c r="J294" s="27">
        <v>16.02</v>
      </c>
      <c r="M294" s="28">
        <f>ROUND(ROUND(J294, 2)*I294, 2)</f>
        <v>4347.99</v>
      </c>
      <c r="P294" s="29">
        <v>16.02</v>
      </c>
      <c r="S294" s="28">
        <f>ROUND(ROUND(P294, 2)*I294, 2)</f>
        <v>4347.99</v>
      </c>
      <c r="V294" s="9">
        <f>ROUND(ROUND(P294, 2)/1.2, 2)</f>
        <v>13.35</v>
      </c>
      <c r="Y294" s="9">
        <f t="shared" si="14"/>
        <v>3623.33</v>
      </c>
      <c r="AD294" s="4" t="s">
        <v>1302</v>
      </c>
      <c r="AE294" s="4" t="s">
        <v>1303</v>
      </c>
      <c r="AF294" s="4" t="s">
        <v>1282</v>
      </c>
    </row>
    <row r="295" spans="1:35" ht="18" x14ac:dyDescent="0.3">
      <c r="A295" s="10" t="s">
        <v>1304</v>
      </c>
      <c r="B295" s="10"/>
      <c r="C295" s="24" t="s">
        <v>310</v>
      </c>
      <c r="D295" s="15"/>
      <c r="E295" s="15"/>
      <c r="F295" s="25" t="s">
        <v>76</v>
      </c>
      <c r="G295" s="26">
        <v>0.25</v>
      </c>
      <c r="H295" s="26"/>
      <c r="I295" s="26">
        <v>67.852999999999994</v>
      </c>
      <c r="J295" s="27">
        <v>101.66</v>
      </c>
      <c r="M295" s="28">
        <f>ROUND(ROUND(J295, 2)*I295, 2)</f>
        <v>6897.94</v>
      </c>
      <c r="P295" s="29">
        <v>100</v>
      </c>
      <c r="S295" s="28">
        <f>ROUND(ROUND(P295, 2)*I295, 2)</f>
        <v>6785.3</v>
      </c>
      <c r="V295" s="9">
        <f>ROUND(ROUND(P295, 2)/1.2, 2)</f>
        <v>83.33</v>
      </c>
      <c r="Y295" s="9">
        <f t="shared" si="14"/>
        <v>5654.42</v>
      </c>
      <c r="AD295" s="4" t="s">
        <v>1305</v>
      </c>
      <c r="AE295" s="4" t="s">
        <v>1306</v>
      </c>
      <c r="AF295" s="4" t="s">
        <v>313</v>
      </c>
    </row>
    <row r="296" spans="1:35" ht="72" x14ac:dyDescent="0.3">
      <c r="A296" s="10" t="s">
        <v>1307</v>
      </c>
      <c r="B296" s="10" t="s">
        <v>1287</v>
      </c>
      <c r="C296" s="14" t="s">
        <v>1288</v>
      </c>
      <c r="D296" s="15" t="s">
        <v>1289</v>
      </c>
      <c r="E296" s="15" t="s">
        <v>1308</v>
      </c>
      <c r="F296" s="15" t="s">
        <v>57</v>
      </c>
      <c r="G296" s="16">
        <v>1</v>
      </c>
      <c r="H296" s="16"/>
      <c r="I296" s="16">
        <v>301.38</v>
      </c>
      <c r="J296" s="17">
        <f>IFERROR(ROUND(SUM(M297,M298,M299,M300)/I296, 2),0)</f>
        <v>342.92</v>
      </c>
      <c r="K296" s="18">
        <v>954</v>
      </c>
      <c r="L296" s="17">
        <f>J296+ROUND(K296, 2)</f>
        <v>1296.92</v>
      </c>
      <c r="M296" s="17">
        <f>ROUND(J296*I296, 2)</f>
        <v>103349.23</v>
      </c>
      <c r="N296" s="17">
        <f>ROUND(I296*ROUND(K296, 2), 2)</f>
        <v>287516.52</v>
      </c>
      <c r="O296" s="17">
        <f>M296+N296</f>
        <v>390865.75</v>
      </c>
      <c r="P296" s="17">
        <f>IFERROR(ROUND(SUM(S297,S298,S299,S300)/I296, 2),0)</f>
        <v>349.01</v>
      </c>
      <c r="Q296" s="19">
        <v>954</v>
      </c>
      <c r="R296" s="17">
        <f>P296+ROUND(Q296, 2)</f>
        <v>1303.01</v>
      </c>
      <c r="S296" s="17">
        <f>ROUND(P296*I296, 2)</f>
        <v>105184.63</v>
      </c>
      <c r="T296" s="17">
        <f>ROUND(I296*ROUND(Q296, 2), 2)</f>
        <v>287516.52</v>
      </c>
      <c r="U296" s="17">
        <f>S296+T296</f>
        <v>392701.15</v>
      </c>
      <c r="V296" s="9">
        <f>ROUND(P296 / 1.2, 2)</f>
        <v>290.83999999999997</v>
      </c>
      <c r="W296" s="9">
        <f>ROUND(Q296 / 1.2, 2)</f>
        <v>795</v>
      </c>
      <c r="X296" s="9">
        <f>ROUND(R296 / 1.2, 2)</f>
        <v>1085.8399999999999</v>
      </c>
      <c r="Y296" s="9">
        <f t="shared" si="14"/>
        <v>87653.86</v>
      </c>
      <c r="Z296" s="9">
        <f>ROUND(T296 / 1.2, 2)</f>
        <v>239597.1</v>
      </c>
      <c r="AA296" s="9">
        <f>Y296+Z296</f>
        <v>327250.96000000002</v>
      </c>
      <c r="AD296" s="4">
        <v>341534406</v>
      </c>
      <c r="AE296" s="4">
        <v>28254140</v>
      </c>
      <c r="AG296" s="4" t="s">
        <v>1291</v>
      </c>
      <c r="AH296" s="4" t="s">
        <v>1292</v>
      </c>
      <c r="AI296" s="4" t="s">
        <v>241</v>
      </c>
    </row>
    <row r="297" spans="1:35" ht="18" x14ac:dyDescent="0.3">
      <c r="A297" s="10" t="s">
        <v>1309</v>
      </c>
      <c r="B297" s="10"/>
      <c r="C297" s="24" t="s">
        <v>310</v>
      </c>
      <c r="D297" s="15"/>
      <c r="E297" s="15"/>
      <c r="F297" s="25" t="s">
        <v>76</v>
      </c>
      <c r="G297" s="26">
        <v>0.25</v>
      </c>
      <c r="H297" s="26"/>
      <c r="I297" s="26">
        <v>75.344999999999999</v>
      </c>
      <c r="J297" s="27">
        <v>101.66</v>
      </c>
      <c r="M297" s="28">
        <f>ROUND(ROUND(J297, 2)*I297, 2)</f>
        <v>7659.57</v>
      </c>
      <c r="P297" s="29">
        <v>100</v>
      </c>
      <c r="S297" s="28">
        <f>ROUND(ROUND(P297, 2)*I297, 2)</f>
        <v>7534.5</v>
      </c>
      <c r="V297" s="9">
        <f>ROUND(ROUND(P297, 2)/1.2, 2)</f>
        <v>83.33</v>
      </c>
      <c r="Y297" s="9">
        <f t="shared" si="14"/>
        <v>6278.75</v>
      </c>
      <c r="AD297" s="4" t="s">
        <v>1310</v>
      </c>
      <c r="AE297" s="4" t="s">
        <v>1311</v>
      </c>
      <c r="AF297" s="4" t="s">
        <v>313</v>
      </c>
    </row>
    <row r="298" spans="1:35" ht="18" x14ac:dyDescent="0.3">
      <c r="A298" s="10" t="s">
        <v>1312</v>
      </c>
      <c r="B298" s="10"/>
      <c r="C298" s="24" t="s">
        <v>1279</v>
      </c>
      <c r="D298" s="15"/>
      <c r="E298" s="15"/>
      <c r="F298" s="25" t="s">
        <v>123</v>
      </c>
      <c r="G298" s="26">
        <v>1</v>
      </c>
      <c r="H298" s="36"/>
      <c r="I298" s="36">
        <v>301.38</v>
      </c>
      <c r="J298" s="27">
        <v>16.02</v>
      </c>
      <c r="M298" s="28">
        <f>ROUND(ROUND(J298, 2)*I298, 2)</f>
        <v>4828.1099999999997</v>
      </c>
      <c r="P298" s="29">
        <v>16.02</v>
      </c>
      <c r="S298" s="28">
        <f>ROUND(ROUND(P298, 2)*I298, 2)</f>
        <v>4828.1099999999997</v>
      </c>
      <c r="V298" s="9">
        <f>ROUND(ROUND(P298, 2)/1.2, 2)</f>
        <v>13.35</v>
      </c>
      <c r="Y298" s="9">
        <f t="shared" si="14"/>
        <v>4023.43</v>
      </c>
      <c r="AD298" s="4" t="s">
        <v>1313</v>
      </c>
      <c r="AE298" s="4" t="s">
        <v>1314</v>
      </c>
      <c r="AF298" s="4" t="s">
        <v>1282</v>
      </c>
    </row>
    <row r="299" spans="1:35" ht="36" x14ac:dyDescent="0.3">
      <c r="A299" s="10" t="s">
        <v>1315</v>
      </c>
      <c r="B299" s="10"/>
      <c r="C299" s="24" t="s">
        <v>1297</v>
      </c>
      <c r="D299" s="15"/>
      <c r="E299" s="15"/>
      <c r="F299" s="25" t="s">
        <v>57</v>
      </c>
      <c r="G299" s="26">
        <v>1.1000000000000001</v>
      </c>
      <c r="H299" s="26"/>
      <c r="I299" s="26">
        <v>331.51799999999997</v>
      </c>
      <c r="J299" s="27">
        <v>67.260000000000005</v>
      </c>
      <c r="M299" s="28">
        <f>ROUND(ROUND(J299, 2)*I299, 2)</f>
        <v>22297.9</v>
      </c>
      <c r="P299" s="29">
        <v>67.260000000000005</v>
      </c>
      <c r="S299" s="28">
        <f>ROUND(ROUND(P299, 2)*I299, 2)</f>
        <v>22297.9</v>
      </c>
      <c r="V299" s="9">
        <f>ROUND(ROUND(P299, 2)/1.2, 2)</f>
        <v>56.05</v>
      </c>
      <c r="Y299" s="9">
        <f t="shared" si="14"/>
        <v>18581.580000000002</v>
      </c>
      <c r="AD299" s="4" t="s">
        <v>1316</v>
      </c>
      <c r="AE299" s="4" t="s">
        <v>1317</v>
      </c>
      <c r="AF299" s="4" t="s">
        <v>1300</v>
      </c>
    </row>
    <row r="300" spans="1:35" ht="18" x14ac:dyDescent="0.3">
      <c r="A300" s="10" t="s">
        <v>1318</v>
      </c>
      <c r="B300" s="10"/>
      <c r="C300" s="24" t="s">
        <v>1274</v>
      </c>
      <c r="D300" s="15"/>
      <c r="E300" s="15"/>
      <c r="F300" s="25" t="s">
        <v>76</v>
      </c>
      <c r="G300" s="26">
        <v>1.3</v>
      </c>
      <c r="H300" s="36"/>
      <c r="I300" s="36">
        <v>7835.88</v>
      </c>
      <c r="J300" s="27">
        <v>8.75</v>
      </c>
      <c r="M300" s="28">
        <f>ROUND(ROUND(J300, 2)*I300, 2)</f>
        <v>68563.95</v>
      </c>
      <c r="P300" s="29">
        <v>9</v>
      </c>
      <c r="S300" s="28">
        <f>ROUND(ROUND(P300, 2)*I300, 2)</f>
        <v>70522.92</v>
      </c>
      <c r="V300" s="9">
        <f>ROUND(ROUND(P300, 2)/1.2, 2)</f>
        <v>7.5</v>
      </c>
      <c r="Y300" s="9">
        <f t="shared" si="14"/>
        <v>58769.1</v>
      </c>
      <c r="AD300" s="4" t="s">
        <v>1319</v>
      </c>
      <c r="AE300" s="4" t="s">
        <v>1320</v>
      </c>
      <c r="AF300" s="4" t="s">
        <v>1277</v>
      </c>
    </row>
    <row r="301" spans="1:35" ht="16.95" customHeight="1" x14ac:dyDescent="0.3">
      <c r="A301" s="10" t="s">
        <v>1321</v>
      </c>
      <c r="B301" s="10" t="s">
        <v>1322</v>
      </c>
      <c r="C301" s="121" t="s">
        <v>1323</v>
      </c>
      <c r="D301" s="122"/>
      <c r="E301" s="122"/>
      <c r="F301" s="122"/>
      <c r="G301" s="122"/>
      <c r="H301" s="122"/>
      <c r="I301" s="123"/>
      <c r="M301" s="6">
        <f>SUM(M302,M305,M308,M311,M314)</f>
        <v>282204.32999999996</v>
      </c>
      <c r="N301" s="6">
        <f>SUM(N302,N305,N308,N311,N314)</f>
        <v>1570451.84</v>
      </c>
      <c r="O301" s="6">
        <f>SUM(O302,O305,O308,O311,O314)</f>
        <v>1852656.1700000002</v>
      </c>
      <c r="S301" s="6">
        <f>SUM(S302,S305,S308,S311,S314)</f>
        <v>245511.53</v>
      </c>
      <c r="T301" s="6">
        <f>SUM(T302,T305,T308,T311,T314)</f>
        <v>1570451.84</v>
      </c>
      <c r="U301" s="6">
        <f>SUM(U302,U305,U308,U311,U314)</f>
        <v>1815963.3699999999</v>
      </c>
      <c r="Y301" s="9">
        <f>SUM(Y302,Y305,Y308,Y311,Y314)</f>
        <v>204592.94</v>
      </c>
      <c r="Z301" s="9">
        <f>SUM(Z302,Z305,Z308,Z311,Z314)</f>
        <v>1308709.8700000001</v>
      </c>
      <c r="AA301" s="9">
        <f>SUM(AA302,AA305,AA308,AA311,AA314)</f>
        <v>1513302.81</v>
      </c>
      <c r="AD301" s="4">
        <v>341534332</v>
      </c>
      <c r="AE301" s="4">
        <v>25837359</v>
      </c>
    </row>
    <row r="302" spans="1:35" ht="36" x14ac:dyDescent="0.3">
      <c r="A302" s="10" t="s">
        <v>1324</v>
      </c>
      <c r="B302" s="10" t="s">
        <v>1325</v>
      </c>
      <c r="C302" s="14" t="s">
        <v>1326</v>
      </c>
      <c r="D302" s="15"/>
      <c r="E302" s="15" t="s">
        <v>1327</v>
      </c>
      <c r="F302" s="15" t="s">
        <v>57</v>
      </c>
      <c r="G302" s="16">
        <v>1</v>
      </c>
      <c r="H302" s="16"/>
      <c r="I302" s="16">
        <v>0</v>
      </c>
      <c r="J302" s="17">
        <v>18.329999999999998</v>
      </c>
      <c r="K302" s="18">
        <v>251</v>
      </c>
      <c r="L302" s="17">
        <f>J302+ROUND(K302, 2)</f>
        <v>269.33</v>
      </c>
      <c r="M302" s="17">
        <v>0</v>
      </c>
      <c r="N302" s="17">
        <v>0</v>
      </c>
      <c r="O302" s="17">
        <f>M302+N302</f>
        <v>0</v>
      </c>
      <c r="P302" s="17">
        <v>18.329999999999998</v>
      </c>
      <c r="Q302" s="18">
        <v>251</v>
      </c>
      <c r="R302" s="17">
        <f>P302+ROUND(Q302, 2)</f>
        <v>269.33</v>
      </c>
      <c r="S302" s="17">
        <v>0</v>
      </c>
      <c r="T302" s="17">
        <v>0</v>
      </c>
      <c r="U302" s="17">
        <f>S302+T302</f>
        <v>0</v>
      </c>
      <c r="V302" s="9">
        <f>ROUND(P302 / 1.2, 2)</f>
        <v>15.28</v>
      </c>
      <c r="W302" s="9">
        <f>ROUND(Q302 / 1.2, 2)</f>
        <v>209.17</v>
      </c>
      <c r="X302" s="9">
        <f>ROUND(R302 / 1.2, 2)</f>
        <v>224.44</v>
      </c>
      <c r="Y302" s="9">
        <f>ROUND(S302 / 1.2, 2)</f>
        <v>0</v>
      </c>
      <c r="Z302" s="9">
        <f>ROUND(T302 / 1.2, 2)</f>
        <v>0</v>
      </c>
      <c r="AA302" s="9">
        <f>Y302+Z302</f>
        <v>0</v>
      </c>
      <c r="AD302" s="4">
        <v>341534334</v>
      </c>
      <c r="AE302" s="4">
        <v>25837376</v>
      </c>
      <c r="AG302" s="4" t="s">
        <v>1328</v>
      </c>
      <c r="AH302" s="4" t="s">
        <v>1329</v>
      </c>
      <c r="AI302" s="4" t="s">
        <v>241</v>
      </c>
    </row>
    <row r="303" spans="1:35" ht="36" x14ac:dyDescent="0.3">
      <c r="A303" s="10" t="s">
        <v>1331</v>
      </c>
      <c r="B303" s="10"/>
      <c r="C303" s="24" t="s">
        <v>769</v>
      </c>
      <c r="D303" s="15"/>
      <c r="E303" s="15"/>
      <c r="F303" s="25" t="s">
        <v>76</v>
      </c>
      <c r="G303" s="26">
        <v>0.15</v>
      </c>
      <c r="H303" s="26"/>
      <c r="I303" s="26">
        <v>0</v>
      </c>
      <c r="J303" s="27">
        <v>80</v>
      </c>
      <c r="M303" s="28">
        <f>ROUND(ROUND(J303, 2)*I303, 2)</f>
        <v>0</v>
      </c>
      <c r="P303" s="27">
        <v>80</v>
      </c>
      <c r="S303" s="28">
        <f>ROUND(ROUND(P303, 2)*I303, 2)</f>
        <v>0</v>
      </c>
      <c r="V303" s="9">
        <f>ROUND(ROUND(P303, 2)/1.2, 2)</f>
        <v>66.67</v>
      </c>
      <c r="Y303" s="9">
        <f t="shared" ref="Y303:Y316" si="15">ROUND(S303 / 1.2, 2)</f>
        <v>0</v>
      </c>
      <c r="AD303" s="4" t="s">
        <v>1332</v>
      </c>
      <c r="AE303" s="4" t="s">
        <v>1333</v>
      </c>
      <c r="AF303" s="4" t="s">
        <v>772</v>
      </c>
    </row>
    <row r="304" spans="1:35" ht="108" x14ac:dyDescent="0.3">
      <c r="A304" s="10" t="s">
        <v>1336</v>
      </c>
      <c r="B304" s="10"/>
      <c r="C304" s="24" t="s">
        <v>1337</v>
      </c>
      <c r="D304" s="15"/>
      <c r="E304" s="15" t="s">
        <v>1338</v>
      </c>
      <c r="F304" s="25" t="s">
        <v>76</v>
      </c>
      <c r="G304" s="26">
        <v>0.3</v>
      </c>
      <c r="H304" s="26"/>
      <c r="I304" s="26">
        <v>0</v>
      </c>
      <c r="J304" s="27">
        <v>21.1</v>
      </c>
      <c r="M304" s="28">
        <f>ROUND(ROUND(J304, 2)*I304, 2)</f>
        <v>0</v>
      </c>
      <c r="P304" s="27">
        <v>21.1</v>
      </c>
      <c r="S304" s="28">
        <f>ROUND(ROUND(P304, 2)*I304, 2)</f>
        <v>0</v>
      </c>
      <c r="V304" s="9">
        <f>ROUND(ROUND(P304, 2)/1.2, 2)</f>
        <v>17.579999999999998</v>
      </c>
      <c r="Y304" s="9">
        <f t="shared" si="15"/>
        <v>0</v>
      </c>
      <c r="AD304" s="4" t="s">
        <v>1339</v>
      </c>
      <c r="AE304" s="4" t="s">
        <v>1340</v>
      </c>
      <c r="AF304" s="4" t="s">
        <v>1341</v>
      </c>
    </row>
    <row r="305" spans="1:35" ht="36" x14ac:dyDescent="0.3">
      <c r="A305" s="10" t="s">
        <v>1344</v>
      </c>
      <c r="B305" s="10" t="s">
        <v>1345</v>
      </c>
      <c r="C305" s="14" t="s">
        <v>1346</v>
      </c>
      <c r="D305" s="15"/>
      <c r="E305" s="15" t="s">
        <v>1347</v>
      </c>
      <c r="F305" s="15" t="s">
        <v>57</v>
      </c>
      <c r="G305" s="16">
        <v>1</v>
      </c>
      <c r="H305" s="16"/>
      <c r="I305" s="16">
        <v>1049.68</v>
      </c>
      <c r="J305" s="17">
        <f>IFERROR(ROUND(SUM(M306,M307)/I305, 2),0)</f>
        <v>76.91</v>
      </c>
      <c r="K305" s="18">
        <v>428</v>
      </c>
      <c r="L305" s="17">
        <f>J305+ROUND(K305, 2)</f>
        <v>504.90999999999997</v>
      </c>
      <c r="M305" s="17">
        <f>ROUND(J305*I305, 2)</f>
        <v>80730.89</v>
      </c>
      <c r="N305" s="17">
        <f>ROUND(I305*ROUND(K305, 2), 2)</f>
        <v>449263.04</v>
      </c>
      <c r="O305" s="17">
        <f>M305+N305</f>
        <v>529993.92999999993</v>
      </c>
      <c r="P305" s="17">
        <f>IFERROR(ROUND(SUM(S306,S307)/I305, 2),0)</f>
        <v>66.91</v>
      </c>
      <c r="Q305" s="19">
        <v>428</v>
      </c>
      <c r="R305" s="17">
        <f>P305+ROUND(Q305, 2)</f>
        <v>494.90999999999997</v>
      </c>
      <c r="S305" s="17">
        <f>ROUND(P305*I305, 2)</f>
        <v>70234.09</v>
      </c>
      <c r="T305" s="17">
        <f>ROUND(I305*ROUND(Q305, 2), 2)</f>
        <v>449263.04</v>
      </c>
      <c r="U305" s="17">
        <f>S305+T305</f>
        <v>519497.13</v>
      </c>
      <c r="V305" s="9">
        <f>ROUND(P305 / 1.2, 2)</f>
        <v>55.76</v>
      </c>
      <c r="W305" s="9">
        <f>ROUND(Q305 / 1.2, 2)</f>
        <v>356.67</v>
      </c>
      <c r="X305" s="9">
        <f>ROUND(R305 / 1.2, 2)</f>
        <v>412.43</v>
      </c>
      <c r="Y305" s="9">
        <f t="shared" si="15"/>
        <v>58528.41</v>
      </c>
      <c r="Z305" s="9">
        <f>ROUND(T305 / 1.2, 2)</f>
        <v>374385.87</v>
      </c>
      <c r="AA305" s="9">
        <f>Y305+Z305</f>
        <v>432914.28</v>
      </c>
      <c r="AD305" s="4">
        <v>341534336</v>
      </c>
      <c r="AE305" s="4">
        <v>28271834</v>
      </c>
      <c r="AG305" s="4" t="s">
        <v>1348</v>
      </c>
      <c r="AH305" s="4" t="s">
        <v>1349</v>
      </c>
      <c r="AI305" s="4" t="s">
        <v>241</v>
      </c>
    </row>
    <row r="306" spans="1:35" ht="36" x14ac:dyDescent="0.3">
      <c r="A306" s="10" t="s">
        <v>1350</v>
      </c>
      <c r="B306" s="10"/>
      <c r="C306" s="24" t="s">
        <v>1351</v>
      </c>
      <c r="D306" s="15"/>
      <c r="E306" s="15"/>
      <c r="F306" s="25" t="s">
        <v>76</v>
      </c>
      <c r="G306" s="26">
        <v>0.17</v>
      </c>
      <c r="H306" s="26"/>
      <c r="I306" s="26">
        <v>178.446</v>
      </c>
      <c r="J306" s="27">
        <v>372.78</v>
      </c>
      <c r="M306" s="28">
        <f>ROUND(ROUND(J306, 2)*I306, 2)</f>
        <v>66521.100000000006</v>
      </c>
      <c r="P306" s="29">
        <v>315.24</v>
      </c>
      <c r="S306" s="28">
        <f>ROUND(ROUND(P306, 2)*I306, 2)</f>
        <v>56253.32</v>
      </c>
      <c r="V306" s="9">
        <f>ROUND(ROUND(P306, 2)/1.2, 2)</f>
        <v>262.7</v>
      </c>
      <c r="Y306" s="9">
        <f t="shared" si="15"/>
        <v>46877.77</v>
      </c>
      <c r="AD306" s="4" t="s">
        <v>1352</v>
      </c>
      <c r="AE306" s="4" t="s">
        <v>1353</v>
      </c>
      <c r="AF306" s="4" t="s">
        <v>1354</v>
      </c>
    </row>
    <row r="307" spans="1:35" ht="36" x14ac:dyDescent="0.3">
      <c r="A307" s="10" t="s">
        <v>1355</v>
      </c>
      <c r="B307" s="10"/>
      <c r="C307" s="24" t="s">
        <v>509</v>
      </c>
      <c r="D307" s="15"/>
      <c r="E307" s="15"/>
      <c r="F307" s="25" t="s">
        <v>76</v>
      </c>
      <c r="G307" s="26">
        <v>0.15</v>
      </c>
      <c r="H307" s="26"/>
      <c r="I307" s="26">
        <v>157.452</v>
      </c>
      <c r="J307" s="27">
        <v>90.28</v>
      </c>
      <c r="M307" s="28">
        <f>ROUND(ROUND(J307, 2)*I307, 2)</f>
        <v>14214.77</v>
      </c>
      <c r="P307" s="29">
        <v>88.8</v>
      </c>
      <c r="S307" s="28">
        <f>ROUND(ROUND(P307, 2)*I307, 2)</f>
        <v>13981.74</v>
      </c>
      <c r="V307" s="9">
        <f>ROUND(ROUND(P307, 2)/1.2, 2)</f>
        <v>74</v>
      </c>
      <c r="Y307" s="9">
        <f t="shared" si="15"/>
        <v>11651.45</v>
      </c>
      <c r="AD307" s="4" t="s">
        <v>1356</v>
      </c>
      <c r="AE307" s="4" t="s">
        <v>1357</v>
      </c>
      <c r="AF307" s="4" t="s">
        <v>512</v>
      </c>
    </row>
    <row r="308" spans="1:35" ht="36" x14ac:dyDescent="0.3">
      <c r="A308" s="10" t="s">
        <v>1358</v>
      </c>
      <c r="B308" s="10" t="s">
        <v>1345</v>
      </c>
      <c r="C308" s="14" t="s">
        <v>1346</v>
      </c>
      <c r="D308" s="15"/>
      <c r="E308" s="15" t="s">
        <v>1359</v>
      </c>
      <c r="F308" s="15" t="s">
        <v>57</v>
      </c>
      <c r="G308" s="16">
        <v>1</v>
      </c>
      <c r="H308" s="16"/>
      <c r="I308" s="16">
        <v>1075.9000000000001</v>
      </c>
      <c r="J308" s="17">
        <f>IFERROR(ROUND(SUM(M309,M310)/I308, 2),0)</f>
        <v>76.91</v>
      </c>
      <c r="K308" s="18">
        <v>428</v>
      </c>
      <c r="L308" s="17">
        <f>J308+ROUND(K308, 2)</f>
        <v>504.90999999999997</v>
      </c>
      <c r="M308" s="17">
        <f>ROUND(J308*I308, 2)</f>
        <v>82747.47</v>
      </c>
      <c r="N308" s="17">
        <f>ROUND(I308*ROUND(K308, 2), 2)</f>
        <v>460485.2</v>
      </c>
      <c r="O308" s="17">
        <f>M308+N308</f>
        <v>543232.67000000004</v>
      </c>
      <c r="P308" s="17">
        <f>IFERROR(ROUND(SUM(S309,S310)/I308, 2),0)</f>
        <v>66.91</v>
      </c>
      <c r="Q308" s="19">
        <v>428</v>
      </c>
      <c r="R308" s="17">
        <f>P308+ROUND(Q308, 2)</f>
        <v>494.90999999999997</v>
      </c>
      <c r="S308" s="17">
        <f>ROUND(P308*I308, 2)</f>
        <v>71988.47</v>
      </c>
      <c r="T308" s="17">
        <f>ROUND(I308*ROUND(Q308, 2), 2)</f>
        <v>460485.2</v>
      </c>
      <c r="U308" s="17">
        <f>S308+T308</f>
        <v>532473.67000000004</v>
      </c>
      <c r="V308" s="9">
        <f>ROUND(P308 / 1.2, 2)</f>
        <v>55.76</v>
      </c>
      <c r="W308" s="9">
        <f>ROUND(Q308 / 1.2, 2)</f>
        <v>356.67</v>
      </c>
      <c r="X308" s="9">
        <f>ROUND(R308 / 1.2, 2)</f>
        <v>412.43</v>
      </c>
      <c r="Y308" s="9">
        <f t="shared" si="15"/>
        <v>59990.39</v>
      </c>
      <c r="Z308" s="9">
        <f>ROUND(T308 / 1.2, 2)</f>
        <v>383737.67</v>
      </c>
      <c r="AA308" s="9">
        <f>Y308+Z308</f>
        <v>443728.06</v>
      </c>
      <c r="AD308" s="4">
        <v>341534407</v>
      </c>
      <c r="AE308" s="4">
        <v>28271837</v>
      </c>
      <c r="AG308" s="4" t="s">
        <v>1348</v>
      </c>
      <c r="AH308" s="4" t="s">
        <v>1349</v>
      </c>
      <c r="AI308" s="4" t="s">
        <v>241</v>
      </c>
    </row>
    <row r="309" spans="1:35" ht="36" x14ac:dyDescent="0.3">
      <c r="A309" s="10" t="s">
        <v>1360</v>
      </c>
      <c r="B309" s="10"/>
      <c r="C309" s="24" t="s">
        <v>509</v>
      </c>
      <c r="D309" s="15"/>
      <c r="E309" s="15"/>
      <c r="F309" s="25" t="s">
        <v>76</v>
      </c>
      <c r="G309" s="26">
        <v>0.15</v>
      </c>
      <c r="H309" s="26"/>
      <c r="I309" s="26">
        <v>161.38499999999999</v>
      </c>
      <c r="J309" s="27">
        <v>90.28</v>
      </c>
      <c r="M309" s="28">
        <f>ROUND(ROUND(J309, 2)*I309, 2)</f>
        <v>14569.84</v>
      </c>
      <c r="P309" s="29">
        <v>88.8</v>
      </c>
      <c r="S309" s="28">
        <f>ROUND(ROUND(P309, 2)*I309, 2)</f>
        <v>14330.99</v>
      </c>
      <c r="V309" s="9">
        <f>ROUND(ROUND(P309, 2)/1.2, 2)</f>
        <v>74</v>
      </c>
      <c r="Y309" s="9">
        <f t="shared" si="15"/>
        <v>11942.49</v>
      </c>
      <c r="AD309" s="4" t="s">
        <v>1361</v>
      </c>
      <c r="AE309" s="4" t="s">
        <v>1362</v>
      </c>
      <c r="AF309" s="4" t="s">
        <v>512</v>
      </c>
    </row>
    <row r="310" spans="1:35" ht="36" x14ac:dyDescent="0.3">
      <c r="A310" s="10" t="s">
        <v>1363</v>
      </c>
      <c r="B310" s="10"/>
      <c r="C310" s="24" t="s">
        <v>1351</v>
      </c>
      <c r="D310" s="15"/>
      <c r="E310" s="15"/>
      <c r="F310" s="25" t="s">
        <v>76</v>
      </c>
      <c r="G310" s="26">
        <v>0.17</v>
      </c>
      <c r="H310" s="26"/>
      <c r="I310" s="26">
        <v>182.90299999999999</v>
      </c>
      <c r="J310" s="27">
        <v>372.78</v>
      </c>
      <c r="M310" s="28">
        <f>ROUND(ROUND(J310, 2)*I310, 2)</f>
        <v>68182.58</v>
      </c>
      <c r="P310" s="29">
        <v>315.24</v>
      </c>
      <c r="S310" s="28">
        <f>ROUND(ROUND(P310, 2)*I310, 2)</f>
        <v>57658.34</v>
      </c>
      <c r="V310" s="9">
        <f>ROUND(ROUND(P310, 2)/1.2, 2)</f>
        <v>262.7</v>
      </c>
      <c r="Y310" s="9">
        <f t="shared" si="15"/>
        <v>48048.62</v>
      </c>
      <c r="AD310" s="4" t="s">
        <v>1364</v>
      </c>
      <c r="AE310" s="4" t="s">
        <v>1365</v>
      </c>
      <c r="AF310" s="4" t="s">
        <v>1354</v>
      </c>
    </row>
    <row r="311" spans="1:35" ht="36" x14ac:dyDescent="0.3">
      <c r="A311" s="10" t="s">
        <v>1366</v>
      </c>
      <c r="B311" s="10" t="s">
        <v>1345</v>
      </c>
      <c r="C311" s="14" t="s">
        <v>1346</v>
      </c>
      <c r="D311" s="15"/>
      <c r="E311" s="15" t="s">
        <v>1367</v>
      </c>
      <c r="F311" s="15" t="s">
        <v>57</v>
      </c>
      <c r="G311" s="16">
        <v>1</v>
      </c>
      <c r="H311" s="16"/>
      <c r="I311" s="16">
        <v>1410</v>
      </c>
      <c r="J311" s="17">
        <f>IFERROR(ROUND(SUM(M312,M313)/I311, 2),0)</f>
        <v>76.91</v>
      </c>
      <c r="K311" s="18">
        <v>428</v>
      </c>
      <c r="L311" s="17">
        <f>J311+ROUND(K311, 2)</f>
        <v>504.90999999999997</v>
      </c>
      <c r="M311" s="17">
        <f>ROUND(J311*I311, 2)</f>
        <v>108443.1</v>
      </c>
      <c r="N311" s="17">
        <f>ROUND(I311*ROUND(K311, 2), 2)</f>
        <v>603480</v>
      </c>
      <c r="O311" s="17">
        <f>M311+N311</f>
        <v>711923.1</v>
      </c>
      <c r="P311" s="17">
        <f>IFERROR(ROUND(SUM(S312,S313)/I311, 2),0)</f>
        <v>66.91</v>
      </c>
      <c r="Q311" s="19">
        <v>428</v>
      </c>
      <c r="R311" s="17">
        <f>P311+ROUND(Q311, 2)</f>
        <v>494.90999999999997</v>
      </c>
      <c r="S311" s="17">
        <f>ROUND(P311*I311, 2)</f>
        <v>94343.1</v>
      </c>
      <c r="T311" s="17">
        <f>ROUND(I311*ROUND(Q311, 2), 2)</f>
        <v>603480</v>
      </c>
      <c r="U311" s="17">
        <f>S311+T311</f>
        <v>697823.1</v>
      </c>
      <c r="V311" s="9">
        <f>ROUND(P311 / 1.2, 2)</f>
        <v>55.76</v>
      </c>
      <c r="W311" s="9">
        <f>ROUND(Q311 / 1.2, 2)</f>
        <v>356.67</v>
      </c>
      <c r="X311" s="9">
        <f>ROUND(R311 / 1.2, 2)</f>
        <v>412.43</v>
      </c>
      <c r="Y311" s="9">
        <f t="shared" si="15"/>
        <v>78619.25</v>
      </c>
      <c r="Z311" s="9">
        <f>ROUND(T311 / 1.2, 2)</f>
        <v>502900</v>
      </c>
      <c r="AA311" s="9">
        <f>Y311+Z311</f>
        <v>581519.25</v>
      </c>
      <c r="AD311" s="4">
        <v>341534408</v>
      </c>
      <c r="AE311" s="4">
        <v>28271835</v>
      </c>
      <c r="AG311" s="4" t="s">
        <v>1348</v>
      </c>
      <c r="AH311" s="4" t="s">
        <v>1349</v>
      </c>
      <c r="AI311" s="4" t="s">
        <v>241</v>
      </c>
    </row>
    <row r="312" spans="1:35" ht="36" x14ac:dyDescent="0.3">
      <c r="A312" s="10" t="s">
        <v>1368</v>
      </c>
      <c r="B312" s="10"/>
      <c r="C312" s="24" t="s">
        <v>509</v>
      </c>
      <c r="D312" s="15"/>
      <c r="E312" s="15"/>
      <c r="F312" s="25" t="s">
        <v>76</v>
      </c>
      <c r="G312" s="26">
        <v>0.15</v>
      </c>
      <c r="H312" s="26"/>
      <c r="I312" s="26">
        <v>211.5</v>
      </c>
      <c r="J312" s="27">
        <v>90.28</v>
      </c>
      <c r="M312" s="28">
        <f>ROUND(ROUND(J312, 2)*I312, 2)</f>
        <v>19094.22</v>
      </c>
      <c r="P312" s="29">
        <v>88.8</v>
      </c>
      <c r="S312" s="28">
        <f>ROUND(ROUND(P312, 2)*I312, 2)</f>
        <v>18781.2</v>
      </c>
      <c r="V312" s="9">
        <f>ROUND(ROUND(P312, 2)/1.2, 2)</f>
        <v>74</v>
      </c>
      <c r="Y312" s="9">
        <f t="shared" si="15"/>
        <v>15651</v>
      </c>
      <c r="AD312" s="4" t="s">
        <v>1369</v>
      </c>
      <c r="AE312" s="4" t="s">
        <v>1370</v>
      </c>
      <c r="AF312" s="4" t="s">
        <v>512</v>
      </c>
    </row>
    <row r="313" spans="1:35" ht="36" x14ac:dyDescent="0.3">
      <c r="A313" s="10" t="s">
        <v>1371</v>
      </c>
      <c r="B313" s="10"/>
      <c r="C313" s="24" t="s">
        <v>1351</v>
      </c>
      <c r="D313" s="15"/>
      <c r="E313" s="15"/>
      <c r="F313" s="25" t="s">
        <v>76</v>
      </c>
      <c r="G313" s="26">
        <v>0.17</v>
      </c>
      <c r="H313" s="26"/>
      <c r="I313" s="26">
        <v>239.7</v>
      </c>
      <c r="J313" s="27">
        <v>372.78</v>
      </c>
      <c r="M313" s="28">
        <f>ROUND(ROUND(J313, 2)*I313, 2)</f>
        <v>89355.37</v>
      </c>
      <c r="P313" s="29">
        <v>315.24</v>
      </c>
      <c r="S313" s="28">
        <f>ROUND(ROUND(P313, 2)*I313, 2)</f>
        <v>75563.03</v>
      </c>
      <c r="V313" s="9">
        <f>ROUND(ROUND(P313, 2)/1.2, 2)</f>
        <v>262.7</v>
      </c>
      <c r="Y313" s="9">
        <f t="shared" si="15"/>
        <v>62969.19</v>
      </c>
      <c r="AD313" s="4" t="s">
        <v>1372</v>
      </c>
      <c r="AE313" s="4" t="s">
        <v>1373</v>
      </c>
      <c r="AF313" s="4" t="s">
        <v>1354</v>
      </c>
    </row>
    <row r="314" spans="1:35" ht="36" x14ac:dyDescent="0.3">
      <c r="A314" s="10" t="s">
        <v>1374</v>
      </c>
      <c r="B314" s="10" t="s">
        <v>1345</v>
      </c>
      <c r="C314" s="14" t="s">
        <v>1346</v>
      </c>
      <c r="D314" s="15"/>
      <c r="E314" s="15" t="s">
        <v>401</v>
      </c>
      <c r="F314" s="15" t="s">
        <v>57</v>
      </c>
      <c r="G314" s="16">
        <v>1</v>
      </c>
      <c r="H314" s="16"/>
      <c r="I314" s="16">
        <v>133.69999999999999</v>
      </c>
      <c r="J314" s="17">
        <f>IFERROR(ROUND(SUM(M315,M316)/I314, 2),0)</f>
        <v>76.91</v>
      </c>
      <c r="K314" s="18">
        <v>428</v>
      </c>
      <c r="L314" s="17">
        <f>J314+ROUND(K314, 2)</f>
        <v>504.90999999999997</v>
      </c>
      <c r="M314" s="17">
        <f>ROUND(J314*I314, 2)</f>
        <v>10282.870000000001</v>
      </c>
      <c r="N314" s="17">
        <f>ROUND(I314*ROUND(K314, 2), 2)</f>
        <v>57223.6</v>
      </c>
      <c r="O314" s="17">
        <f>M314+N314</f>
        <v>67506.47</v>
      </c>
      <c r="P314" s="17">
        <f>IFERROR(ROUND(SUM(S315,S316)/I314, 2),0)</f>
        <v>66.91</v>
      </c>
      <c r="Q314" s="19">
        <v>428</v>
      </c>
      <c r="R314" s="17">
        <f>P314+ROUND(Q314, 2)</f>
        <v>494.90999999999997</v>
      </c>
      <c r="S314" s="17">
        <f>ROUND(P314*I314, 2)</f>
        <v>8945.8700000000008</v>
      </c>
      <c r="T314" s="17">
        <f>ROUND(I314*ROUND(Q314, 2), 2)</f>
        <v>57223.6</v>
      </c>
      <c r="U314" s="17">
        <f>S314+T314</f>
        <v>66169.47</v>
      </c>
      <c r="V314" s="9">
        <f>ROUND(P314 / 1.2, 2)</f>
        <v>55.76</v>
      </c>
      <c r="W314" s="9">
        <f>ROUND(Q314 / 1.2, 2)</f>
        <v>356.67</v>
      </c>
      <c r="X314" s="9">
        <f>ROUND(R314 / 1.2, 2)</f>
        <v>412.43</v>
      </c>
      <c r="Y314" s="9">
        <f t="shared" si="15"/>
        <v>7454.89</v>
      </c>
      <c r="Z314" s="9">
        <f>ROUND(T314 / 1.2, 2)</f>
        <v>47686.33</v>
      </c>
      <c r="AA314" s="9">
        <f>Y314+Z314</f>
        <v>55141.22</v>
      </c>
      <c r="AD314" s="4">
        <v>341534409</v>
      </c>
      <c r="AE314" s="4">
        <v>28291321</v>
      </c>
      <c r="AG314" s="4" t="s">
        <v>1348</v>
      </c>
      <c r="AH314" s="4" t="s">
        <v>1349</v>
      </c>
      <c r="AI314" s="4" t="s">
        <v>241</v>
      </c>
    </row>
    <row r="315" spans="1:35" ht="36" x14ac:dyDescent="0.3">
      <c r="A315" s="10" t="s">
        <v>1375</v>
      </c>
      <c r="B315" s="10"/>
      <c r="C315" s="24" t="s">
        <v>509</v>
      </c>
      <c r="D315" s="15"/>
      <c r="E315" s="15"/>
      <c r="F315" s="25" t="s">
        <v>76</v>
      </c>
      <c r="G315" s="26">
        <v>0.15</v>
      </c>
      <c r="H315" s="26"/>
      <c r="I315" s="26">
        <v>20.055</v>
      </c>
      <c r="J315" s="27">
        <v>90.28</v>
      </c>
      <c r="M315" s="28">
        <f>ROUND(ROUND(J315, 2)*I315, 2)</f>
        <v>1810.57</v>
      </c>
      <c r="P315" s="29">
        <v>88.8</v>
      </c>
      <c r="S315" s="28">
        <f>ROUND(ROUND(P315, 2)*I315, 2)</f>
        <v>1780.88</v>
      </c>
      <c r="V315" s="9">
        <f>ROUND(ROUND(P315, 2)/1.2, 2)</f>
        <v>74</v>
      </c>
      <c r="Y315" s="9">
        <f t="shared" si="15"/>
        <v>1484.07</v>
      </c>
      <c r="AD315" s="4" t="s">
        <v>1376</v>
      </c>
      <c r="AE315" s="4" t="s">
        <v>1377</v>
      </c>
      <c r="AF315" s="4" t="s">
        <v>512</v>
      </c>
    </row>
    <row r="316" spans="1:35" ht="36" x14ac:dyDescent="0.3">
      <c r="A316" s="10" t="s">
        <v>1378</v>
      </c>
      <c r="B316" s="10"/>
      <c r="C316" s="24" t="s">
        <v>1351</v>
      </c>
      <c r="D316" s="15"/>
      <c r="E316" s="15"/>
      <c r="F316" s="25" t="s">
        <v>76</v>
      </c>
      <c r="G316" s="26">
        <v>0.17</v>
      </c>
      <c r="H316" s="26"/>
      <c r="I316" s="26">
        <v>22.728999999999999</v>
      </c>
      <c r="J316" s="27">
        <v>372.78</v>
      </c>
      <c r="M316" s="28">
        <f>ROUND(ROUND(J316, 2)*I316, 2)</f>
        <v>8472.92</v>
      </c>
      <c r="P316" s="29">
        <v>315.24</v>
      </c>
      <c r="S316" s="28">
        <f>ROUND(ROUND(P316, 2)*I316, 2)</f>
        <v>7165.09</v>
      </c>
      <c r="V316" s="9">
        <f>ROUND(ROUND(P316, 2)/1.2, 2)</f>
        <v>262.7</v>
      </c>
      <c r="Y316" s="9">
        <f t="shared" si="15"/>
        <v>5970.91</v>
      </c>
      <c r="AD316" s="4" t="s">
        <v>1379</v>
      </c>
      <c r="AE316" s="4" t="s">
        <v>1380</v>
      </c>
      <c r="AF316" s="4" t="s">
        <v>1354</v>
      </c>
    </row>
    <row r="317" spans="1:35" ht="16.95" customHeight="1" x14ac:dyDescent="0.3">
      <c r="A317" s="10" t="s">
        <v>1381</v>
      </c>
      <c r="B317" s="10" t="s">
        <v>1382</v>
      </c>
      <c r="C317" s="121" t="s">
        <v>1383</v>
      </c>
      <c r="D317" s="122"/>
      <c r="E317" s="122"/>
      <c r="F317" s="122"/>
      <c r="G317" s="122"/>
      <c r="H317" s="122"/>
      <c r="I317" s="123"/>
      <c r="M317" s="6">
        <f>SUM(M318,M322,M325,M328,M332,M335,M338,M342,M345,M348,M351,M354,M357,M361,M368)</f>
        <v>68272.5</v>
      </c>
      <c r="N317" s="6">
        <f>SUM(N318,N322,N325,N328,N332,N335,N338,N342,N345,N348,N351,N354,N357,N361,N368)</f>
        <v>374913.47999999992</v>
      </c>
      <c r="O317" s="6">
        <f>SUM(O318,O322,O325,O328,O332,O335,O338,O342,O345,O348,O351,O354,O357,O361,O368)</f>
        <v>443185.98000000004</v>
      </c>
      <c r="S317" s="6">
        <f>SUM(S318,S322,S325,S328,S332,S335,S338,S342,S345,S348,S351,S354,S357,S361,S368)</f>
        <v>146151.81999999998</v>
      </c>
      <c r="T317" s="6">
        <f>SUM(T318,T322,T325,T328,T332,T335,T338,T342,T345,T348,T351,T354,T357,T361,T368)</f>
        <v>374913.47999999992</v>
      </c>
      <c r="U317" s="6">
        <f>SUM(U318,U322,U325,U328,U332,U335,U338,U342,U345,U348,U351,U354,U357,U361,U368)</f>
        <v>521065.3000000001</v>
      </c>
      <c r="Y317" s="9">
        <f>SUM(Y318,Y322,Y325,Y328,Y332,Y335,Y338,Y342,Y345,Y348,Y351,Y354,Y357,Y361,Y368)</f>
        <v>121793.2</v>
      </c>
      <c r="Z317" s="9">
        <f>SUM(Z318,Z322,Z325,Z328,Z332,Z335,Z338,Z342,Z345,Z348,Z351,Z354,Z357,Z361,Z368)</f>
        <v>312427.92</v>
      </c>
      <c r="AA317" s="9">
        <f>SUM(AA318,AA322,AA325,AA328,AA332,AA335,AA338,AA342,AA345,AA348,AA351,AA354,AA357,AA361,AA368)</f>
        <v>434221.12000000005</v>
      </c>
      <c r="AD317" s="4">
        <v>341534337</v>
      </c>
      <c r="AE317" s="4">
        <v>28271817</v>
      </c>
    </row>
    <row r="318" spans="1:35" ht="54" x14ac:dyDescent="0.3">
      <c r="A318" s="10" t="s">
        <v>1384</v>
      </c>
      <c r="B318" s="10" t="s">
        <v>1385</v>
      </c>
      <c r="C318" s="14" t="s">
        <v>1386</v>
      </c>
      <c r="D318" s="15"/>
      <c r="E318" s="15" t="s">
        <v>1387</v>
      </c>
      <c r="F318" s="15" t="s">
        <v>57</v>
      </c>
      <c r="G318" s="16">
        <v>1</v>
      </c>
      <c r="H318" s="16"/>
      <c r="I318" s="16">
        <v>25.45</v>
      </c>
      <c r="J318" s="17">
        <f>IFERROR(ROUND(SUM(M319,M320,M321)/I318, 2),0)</f>
        <v>152.79</v>
      </c>
      <c r="K318" s="18">
        <v>1001</v>
      </c>
      <c r="L318" s="17">
        <f>J318+ROUND(K318, 2)</f>
        <v>1153.79</v>
      </c>
      <c r="M318" s="17">
        <f>ROUND(J318*I318, 2)</f>
        <v>3888.51</v>
      </c>
      <c r="N318" s="17">
        <f>ROUND(I318*ROUND(K318, 2), 2)</f>
        <v>25475.45</v>
      </c>
      <c r="O318" s="17">
        <f>M318+N318</f>
        <v>29363.96</v>
      </c>
      <c r="P318" s="17">
        <f>IFERROR(ROUND(SUM(S319,S320,S321)/I318, 2),0)</f>
        <v>163.69</v>
      </c>
      <c r="Q318" s="19">
        <v>1001</v>
      </c>
      <c r="R318" s="17">
        <f>P318+ROUND(Q318, 2)</f>
        <v>1164.69</v>
      </c>
      <c r="S318" s="17">
        <f>ROUND(P318*I318, 2)</f>
        <v>4165.91</v>
      </c>
      <c r="T318" s="17">
        <f>ROUND(I318*ROUND(Q318, 2), 2)</f>
        <v>25475.45</v>
      </c>
      <c r="U318" s="17">
        <f>S318+T318</f>
        <v>29641.360000000001</v>
      </c>
      <c r="V318" s="9">
        <f>ROUND(P318 / 1.2, 2)</f>
        <v>136.41</v>
      </c>
      <c r="W318" s="9">
        <f>ROUND(Q318 / 1.2, 2)</f>
        <v>834.17</v>
      </c>
      <c r="X318" s="9">
        <f>ROUND(R318 / 1.2, 2)</f>
        <v>970.58</v>
      </c>
      <c r="Y318" s="9">
        <f>ROUND(S318 / 1.2, 2)</f>
        <v>3471.59</v>
      </c>
      <c r="Z318" s="9">
        <f>ROUND(T318 / 1.2, 2)</f>
        <v>21229.54</v>
      </c>
      <c r="AA318" s="9">
        <f>Y318+Z318</f>
        <v>24701.13</v>
      </c>
      <c r="AD318" s="4">
        <v>341534339</v>
      </c>
      <c r="AE318" s="4">
        <v>28271827</v>
      </c>
      <c r="AG318" s="4" t="s">
        <v>1388</v>
      </c>
      <c r="AH318" s="4" t="s">
        <v>1389</v>
      </c>
      <c r="AI318" s="4" t="s">
        <v>241</v>
      </c>
    </row>
    <row r="319" spans="1:35" ht="18" x14ac:dyDescent="0.3">
      <c r="A319" s="10" t="s">
        <v>1390</v>
      </c>
      <c r="B319" s="10"/>
      <c r="C319" s="24" t="s">
        <v>902</v>
      </c>
      <c r="D319" s="15"/>
      <c r="E319" s="15" t="s">
        <v>1080</v>
      </c>
      <c r="F319" s="25" t="s">
        <v>76</v>
      </c>
      <c r="G319" s="26">
        <v>5</v>
      </c>
      <c r="H319" s="26"/>
      <c r="I319" s="26">
        <v>127.25</v>
      </c>
      <c r="J319" s="27">
        <v>23.39</v>
      </c>
      <c r="M319" s="28">
        <f>ROUND(ROUND(J319, 2)*I319, 2)</f>
        <v>2976.38</v>
      </c>
      <c r="P319" s="29">
        <v>27.85</v>
      </c>
      <c r="S319" s="28">
        <f>ROUND(ROUND(P319, 2)*I319, 2)</f>
        <v>3543.91</v>
      </c>
      <c r="V319" s="9">
        <f>ROUND(ROUND(P319, 2)/1.2, 2)</f>
        <v>23.21</v>
      </c>
      <c r="Y319" s="9">
        <f t="shared" ref="Y319:Y350" si="16">ROUND(S319 / 1.2, 2)</f>
        <v>2953.26</v>
      </c>
      <c r="AD319" s="4" t="s">
        <v>1391</v>
      </c>
      <c r="AE319" s="4" t="s">
        <v>1392</v>
      </c>
      <c r="AF319" s="4" t="s">
        <v>905</v>
      </c>
    </row>
    <row r="320" spans="1:35" ht="18" x14ac:dyDescent="0.3">
      <c r="A320" s="10" t="s">
        <v>1393</v>
      </c>
      <c r="B320" s="10"/>
      <c r="C320" s="24" t="s">
        <v>907</v>
      </c>
      <c r="D320" s="15"/>
      <c r="E320" s="15"/>
      <c r="F320" s="25" t="s">
        <v>98</v>
      </c>
      <c r="G320" s="26">
        <v>0.3</v>
      </c>
      <c r="H320" s="26"/>
      <c r="I320" s="26">
        <v>7.6349999999999998</v>
      </c>
      <c r="J320" s="27">
        <v>74.319999999999993</v>
      </c>
      <c r="M320" s="28">
        <f>ROUND(ROUND(J320, 2)*I320, 2)</f>
        <v>567.42999999999995</v>
      </c>
      <c r="P320" s="29">
        <v>37.049999999999997</v>
      </c>
      <c r="S320" s="28">
        <f>ROUND(ROUND(P320, 2)*I320, 2)</f>
        <v>282.88</v>
      </c>
      <c r="V320" s="9">
        <f>ROUND(ROUND(P320, 2)/1.2, 2)</f>
        <v>30.88</v>
      </c>
      <c r="Y320" s="9">
        <f t="shared" si="16"/>
        <v>235.73</v>
      </c>
      <c r="AD320" s="4" t="s">
        <v>1394</v>
      </c>
      <c r="AE320" s="4" t="s">
        <v>1395</v>
      </c>
      <c r="AF320" s="4" t="s">
        <v>910</v>
      </c>
    </row>
    <row r="321" spans="1:35" ht="36" x14ac:dyDescent="0.3">
      <c r="A321" s="10" t="s">
        <v>1396</v>
      </c>
      <c r="B321" s="10"/>
      <c r="C321" s="24" t="s">
        <v>509</v>
      </c>
      <c r="D321" s="15"/>
      <c r="E321" s="15"/>
      <c r="F321" s="25" t="s">
        <v>76</v>
      </c>
      <c r="G321" s="26">
        <v>0.15</v>
      </c>
      <c r="H321" s="26"/>
      <c r="I321" s="26">
        <v>3.8180000000000001</v>
      </c>
      <c r="J321" s="27">
        <v>90.28</v>
      </c>
      <c r="M321" s="28">
        <f>ROUND(ROUND(J321, 2)*I321, 2)</f>
        <v>344.69</v>
      </c>
      <c r="P321" s="29">
        <v>88.8</v>
      </c>
      <c r="S321" s="28">
        <f>ROUND(ROUND(P321, 2)*I321, 2)</f>
        <v>339.04</v>
      </c>
      <c r="V321" s="9">
        <f>ROUND(ROUND(P321, 2)/1.2, 2)</f>
        <v>74</v>
      </c>
      <c r="Y321" s="9">
        <f t="shared" si="16"/>
        <v>282.52999999999997</v>
      </c>
      <c r="AD321" s="4" t="s">
        <v>1397</v>
      </c>
      <c r="AE321" s="4" t="s">
        <v>1398</v>
      </c>
      <c r="AF321" s="4" t="s">
        <v>512</v>
      </c>
    </row>
    <row r="322" spans="1:35" ht="54" x14ac:dyDescent="0.3">
      <c r="A322" s="10" t="s">
        <v>1399</v>
      </c>
      <c r="B322" s="10" t="s">
        <v>1385</v>
      </c>
      <c r="C322" s="14" t="s">
        <v>1386</v>
      </c>
      <c r="D322" s="15"/>
      <c r="E322" s="15" t="s">
        <v>1400</v>
      </c>
      <c r="F322" s="15" t="s">
        <v>57</v>
      </c>
      <c r="G322" s="16">
        <v>1</v>
      </c>
      <c r="H322" s="16"/>
      <c r="I322" s="16">
        <v>25.45</v>
      </c>
      <c r="J322" s="17">
        <f>IFERROR(ROUND(SUM(M323,M324)/I322, 2),0)</f>
        <v>130.49</v>
      </c>
      <c r="K322" s="18">
        <v>1001</v>
      </c>
      <c r="L322" s="17">
        <f>J322+ROUND(K322, 2)</f>
        <v>1131.49</v>
      </c>
      <c r="M322" s="17">
        <f>ROUND(J322*I322, 2)</f>
        <v>3320.97</v>
      </c>
      <c r="N322" s="17">
        <f>ROUND(I322*ROUND(K322, 2), 2)</f>
        <v>25475.45</v>
      </c>
      <c r="O322" s="17">
        <f>M322+N322</f>
        <v>28796.420000000002</v>
      </c>
      <c r="P322" s="17">
        <f>IFERROR(ROUND(SUM(S323,S324)/I322, 2),0)</f>
        <v>174.87</v>
      </c>
      <c r="Q322" s="19">
        <v>1001</v>
      </c>
      <c r="R322" s="17">
        <f>P322+ROUND(Q322, 2)</f>
        <v>1175.8699999999999</v>
      </c>
      <c r="S322" s="17">
        <f>ROUND(P322*I322, 2)</f>
        <v>4450.4399999999996</v>
      </c>
      <c r="T322" s="17">
        <f>ROUND(I322*ROUND(Q322, 2), 2)</f>
        <v>25475.45</v>
      </c>
      <c r="U322" s="17">
        <f>S322+T322</f>
        <v>29925.89</v>
      </c>
      <c r="V322" s="9">
        <f>ROUND(P322 / 1.2, 2)</f>
        <v>145.72999999999999</v>
      </c>
      <c r="W322" s="9">
        <f>ROUND(Q322 / 1.2, 2)</f>
        <v>834.17</v>
      </c>
      <c r="X322" s="9">
        <f>ROUND(R322 / 1.2, 2)</f>
        <v>979.89</v>
      </c>
      <c r="Y322" s="9">
        <f t="shared" si="16"/>
        <v>3708.7</v>
      </c>
      <c r="Z322" s="9">
        <f>ROUND(T322 / 1.2, 2)</f>
        <v>21229.54</v>
      </c>
      <c r="AA322" s="9">
        <f>Y322+Z322</f>
        <v>24938.240000000002</v>
      </c>
      <c r="AD322" s="4">
        <v>341534410</v>
      </c>
      <c r="AE322" s="4">
        <v>28271831</v>
      </c>
      <c r="AG322" s="4" t="s">
        <v>1388</v>
      </c>
      <c r="AH322" s="4" t="s">
        <v>1389</v>
      </c>
      <c r="AI322" s="4" t="s">
        <v>241</v>
      </c>
    </row>
    <row r="323" spans="1:35" ht="36" x14ac:dyDescent="0.3">
      <c r="A323" s="10" t="s">
        <v>1401</v>
      </c>
      <c r="B323" s="10"/>
      <c r="C323" s="24" t="s">
        <v>509</v>
      </c>
      <c r="D323" s="15"/>
      <c r="E323" s="15"/>
      <c r="F323" s="25" t="s">
        <v>76</v>
      </c>
      <c r="G323" s="26">
        <v>0.15</v>
      </c>
      <c r="H323" s="26"/>
      <c r="I323" s="26">
        <v>3.8180000000000001</v>
      </c>
      <c r="J323" s="27">
        <v>90.28</v>
      </c>
      <c r="M323" s="28">
        <f>ROUND(ROUND(J323, 2)*I323, 2)</f>
        <v>344.69</v>
      </c>
      <c r="P323" s="29">
        <v>88.8</v>
      </c>
      <c r="S323" s="28">
        <f>ROUND(ROUND(P323, 2)*I323, 2)</f>
        <v>339.04</v>
      </c>
      <c r="V323" s="9">
        <f>ROUND(ROUND(P323, 2)/1.2, 2)</f>
        <v>74</v>
      </c>
      <c r="Y323" s="9">
        <f t="shared" si="16"/>
        <v>282.52999999999997</v>
      </c>
      <c r="AD323" s="4" t="s">
        <v>1402</v>
      </c>
      <c r="AE323" s="4" t="s">
        <v>1403</v>
      </c>
      <c r="AF323" s="4" t="s">
        <v>512</v>
      </c>
    </row>
    <row r="324" spans="1:35" ht="18" x14ac:dyDescent="0.3">
      <c r="A324" s="10" t="s">
        <v>1404</v>
      </c>
      <c r="B324" s="10"/>
      <c r="C324" s="24" t="s">
        <v>902</v>
      </c>
      <c r="D324" s="15"/>
      <c r="E324" s="15" t="s">
        <v>1097</v>
      </c>
      <c r="F324" s="25" t="s">
        <v>76</v>
      </c>
      <c r="G324" s="26">
        <v>5</v>
      </c>
      <c r="H324" s="26"/>
      <c r="I324" s="26">
        <v>127.25</v>
      </c>
      <c r="J324" s="27">
        <v>23.39</v>
      </c>
      <c r="M324" s="28">
        <f>ROUND(ROUND(J324, 2)*I324, 2)</f>
        <v>2976.38</v>
      </c>
      <c r="P324" s="29">
        <v>32.31</v>
      </c>
      <c r="S324" s="28">
        <f>ROUND(ROUND(P324, 2)*I324, 2)</f>
        <v>4111.45</v>
      </c>
      <c r="V324" s="9">
        <f>ROUND(ROUND(P324, 2)/1.2, 2)</f>
        <v>26.93</v>
      </c>
      <c r="Y324" s="9">
        <f t="shared" si="16"/>
        <v>3426.21</v>
      </c>
      <c r="AD324" s="4" t="s">
        <v>1405</v>
      </c>
      <c r="AE324" s="4" t="s">
        <v>1406</v>
      </c>
      <c r="AF324" s="4" t="s">
        <v>905</v>
      </c>
    </row>
    <row r="325" spans="1:35" ht="54" x14ac:dyDescent="0.3">
      <c r="A325" s="10" t="s">
        <v>1407</v>
      </c>
      <c r="B325" s="10" t="s">
        <v>1385</v>
      </c>
      <c r="C325" s="14" t="s">
        <v>1386</v>
      </c>
      <c r="D325" s="15"/>
      <c r="E325" s="15" t="s">
        <v>1408</v>
      </c>
      <c r="F325" s="15" t="s">
        <v>57</v>
      </c>
      <c r="G325" s="16">
        <v>1</v>
      </c>
      <c r="H325" s="16"/>
      <c r="I325" s="16">
        <v>25.45</v>
      </c>
      <c r="J325" s="17">
        <f>IFERROR(ROUND(SUM(M326,M327)/I325, 2),0)</f>
        <v>130.49</v>
      </c>
      <c r="K325" s="18">
        <v>1001</v>
      </c>
      <c r="L325" s="17">
        <f>J325+ROUND(K325, 2)</f>
        <v>1131.49</v>
      </c>
      <c r="M325" s="17">
        <f>ROUND(J325*I325, 2)</f>
        <v>3320.97</v>
      </c>
      <c r="N325" s="17">
        <f>ROUND(I325*ROUND(K325, 2), 2)</f>
        <v>25475.45</v>
      </c>
      <c r="O325" s="17">
        <f>M325+N325</f>
        <v>28796.420000000002</v>
      </c>
      <c r="P325" s="17">
        <f>IFERROR(ROUND(SUM(S326,S327)/I325, 2),0)</f>
        <v>226.32</v>
      </c>
      <c r="Q325" s="19">
        <v>1001</v>
      </c>
      <c r="R325" s="17">
        <f>P325+ROUND(Q325, 2)</f>
        <v>1227.32</v>
      </c>
      <c r="S325" s="17">
        <f>ROUND(P325*I325, 2)</f>
        <v>5759.84</v>
      </c>
      <c r="T325" s="17">
        <f>ROUND(I325*ROUND(Q325, 2), 2)</f>
        <v>25475.45</v>
      </c>
      <c r="U325" s="17">
        <f>S325+T325</f>
        <v>31235.29</v>
      </c>
      <c r="V325" s="9">
        <f>ROUND(P325 / 1.2, 2)</f>
        <v>188.6</v>
      </c>
      <c r="W325" s="9">
        <f>ROUND(Q325 / 1.2, 2)</f>
        <v>834.17</v>
      </c>
      <c r="X325" s="9">
        <f>ROUND(R325 / 1.2, 2)</f>
        <v>1022.77</v>
      </c>
      <c r="Y325" s="9">
        <f t="shared" si="16"/>
        <v>4799.87</v>
      </c>
      <c r="Z325" s="9">
        <f>ROUND(T325 / 1.2, 2)</f>
        <v>21229.54</v>
      </c>
      <c r="AA325" s="9">
        <f>Y325+Z325</f>
        <v>26029.41</v>
      </c>
      <c r="AD325" s="4">
        <v>341534411</v>
      </c>
      <c r="AE325" s="4">
        <v>28271828</v>
      </c>
      <c r="AG325" s="4" t="s">
        <v>1388</v>
      </c>
      <c r="AH325" s="4" t="s">
        <v>1389</v>
      </c>
      <c r="AI325" s="4" t="s">
        <v>241</v>
      </c>
    </row>
    <row r="326" spans="1:35" ht="36" x14ac:dyDescent="0.3">
      <c r="A326" s="10" t="s">
        <v>1409</v>
      </c>
      <c r="B326" s="10"/>
      <c r="C326" s="24" t="s">
        <v>509</v>
      </c>
      <c r="D326" s="15"/>
      <c r="E326" s="15"/>
      <c r="F326" s="25" t="s">
        <v>76</v>
      </c>
      <c r="G326" s="26">
        <v>0.15</v>
      </c>
      <c r="H326" s="26"/>
      <c r="I326" s="26">
        <v>3.8180000000000001</v>
      </c>
      <c r="J326" s="27">
        <v>90.28</v>
      </c>
      <c r="M326" s="28">
        <f>ROUND(ROUND(J326, 2)*I326, 2)</f>
        <v>344.69</v>
      </c>
      <c r="P326" s="29">
        <v>88.8</v>
      </c>
      <c r="S326" s="28">
        <f>ROUND(ROUND(P326, 2)*I326, 2)</f>
        <v>339.04</v>
      </c>
      <c r="V326" s="9">
        <f>ROUND(ROUND(P326, 2)/1.2, 2)</f>
        <v>74</v>
      </c>
      <c r="Y326" s="9">
        <f t="shared" si="16"/>
        <v>282.52999999999997</v>
      </c>
      <c r="AD326" s="4" t="s">
        <v>1410</v>
      </c>
      <c r="AE326" s="4" t="s">
        <v>1411</v>
      </c>
      <c r="AF326" s="4" t="s">
        <v>512</v>
      </c>
    </row>
    <row r="327" spans="1:35" ht="18" x14ac:dyDescent="0.3">
      <c r="A327" s="10" t="s">
        <v>1412</v>
      </c>
      <c r="B327" s="10"/>
      <c r="C327" s="24" t="s">
        <v>902</v>
      </c>
      <c r="D327" s="15"/>
      <c r="E327" s="15" t="s">
        <v>1106</v>
      </c>
      <c r="F327" s="25" t="s">
        <v>76</v>
      </c>
      <c r="G327" s="26">
        <v>5</v>
      </c>
      <c r="H327" s="26"/>
      <c r="I327" s="26">
        <v>127.25</v>
      </c>
      <c r="J327" s="27">
        <v>23.39</v>
      </c>
      <c r="M327" s="28">
        <f>ROUND(ROUND(J327, 2)*I327, 2)</f>
        <v>2976.38</v>
      </c>
      <c r="P327" s="29">
        <v>42.6</v>
      </c>
      <c r="S327" s="28">
        <f>ROUND(ROUND(P327, 2)*I327, 2)</f>
        <v>5420.85</v>
      </c>
      <c r="V327" s="9">
        <f>ROUND(ROUND(P327, 2)/1.2, 2)</f>
        <v>35.5</v>
      </c>
      <c r="Y327" s="9">
        <f t="shared" si="16"/>
        <v>4517.38</v>
      </c>
      <c r="AD327" s="4" t="s">
        <v>1413</v>
      </c>
      <c r="AE327" s="4" t="s">
        <v>1414</v>
      </c>
      <c r="AF327" s="4" t="s">
        <v>905</v>
      </c>
    </row>
    <row r="328" spans="1:35" ht="54" x14ac:dyDescent="0.3">
      <c r="A328" s="10" t="s">
        <v>1415</v>
      </c>
      <c r="B328" s="10" t="s">
        <v>1385</v>
      </c>
      <c r="C328" s="14" t="s">
        <v>1386</v>
      </c>
      <c r="D328" s="15"/>
      <c r="E328" s="15" t="s">
        <v>1416</v>
      </c>
      <c r="F328" s="15" t="s">
        <v>57</v>
      </c>
      <c r="G328" s="16">
        <v>1</v>
      </c>
      <c r="H328" s="16"/>
      <c r="I328" s="16">
        <v>23.61</v>
      </c>
      <c r="J328" s="17">
        <f>IFERROR(ROUND(SUM(M329,M330,M331)/I328, 2),0)</f>
        <v>91.01</v>
      </c>
      <c r="K328" s="18">
        <v>1001</v>
      </c>
      <c r="L328" s="17">
        <f>J328+ROUND(K328, 2)</f>
        <v>1092.01</v>
      </c>
      <c r="M328" s="17">
        <f>ROUND(J328*I328, 2)</f>
        <v>2148.75</v>
      </c>
      <c r="N328" s="17">
        <f>ROUND(I328*ROUND(K328, 2), 2)</f>
        <v>23633.61</v>
      </c>
      <c r="O328" s="17">
        <f>M328+N328</f>
        <v>25782.36</v>
      </c>
      <c r="P328" s="17">
        <f>IFERROR(ROUND(SUM(S329,S330,S331)/I328, 2),0)</f>
        <v>81.05</v>
      </c>
      <c r="Q328" s="19">
        <v>1001</v>
      </c>
      <c r="R328" s="17">
        <f>P328+ROUND(Q328, 2)</f>
        <v>1082.05</v>
      </c>
      <c r="S328" s="17">
        <f>ROUND(P328*I328, 2)</f>
        <v>1913.59</v>
      </c>
      <c r="T328" s="17">
        <f>ROUND(I328*ROUND(Q328, 2), 2)</f>
        <v>23633.61</v>
      </c>
      <c r="U328" s="17">
        <f>S328+T328</f>
        <v>25547.200000000001</v>
      </c>
      <c r="V328" s="9">
        <f>ROUND(P328 / 1.2, 2)</f>
        <v>67.540000000000006</v>
      </c>
      <c r="W328" s="9">
        <f>ROUND(Q328 / 1.2, 2)</f>
        <v>834.17</v>
      </c>
      <c r="X328" s="9">
        <f>ROUND(R328 / 1.2, 2)</f>
        <v>901.71</v>
      </c>
      <c r="Y328" s="9">
        <f t="shared" si="16"/>
        <v>1594.66</v>
      </c>
      <c r="Z328" s="9">
        <f>ROUND(T328 / 1.2, 2)</f>
        <v>19694.68</v>
      </c>
      <c r="AA328" s="9">
        <f>Y328+Z328</f>
        <v>21289.34</v>
      </c>
      <c r="AD328" s="4">
        <v>341534412</v>
      </c>
      <c r="AE328" s="4">
        <v>28271825</v>
      </c>
      <c r="AG328" s="4" t="s">
        <v>1388</v>
      </c>
      <c r="AH328" s="4" t="s">
        <v>1389</v>
      </c>
      <c r="AI328" s="4" t="s">
        <v>241</v>
      </c>
    </row>
    <row r="329" spans="1:35" ht="36" x14ac:dyDescent="0.3">
      <c r="A329" s="10" t="s">
        <v>1417</v>
      </c>
      <c r="B329" s="10"/>
      <c r="C329" s="24" t="s">
        <v>509</v>
      </c>
      <c r="D329" s="15"/>
      <c r="E329" s="15"/>
      <c r="F329" s="25" t="s">
        <v>76</v>
      </c>
      <c r="G329" s="26">
        <v>0.15</v>
      </c>
      <c r="H329" s="26"/>
      <c r="I329" s="26">
        <v>3.5419999999999998</v>
      </c>
      <c r="J329" s="27">
        <v>90.28</v>
      </c>
      <c r="M329" s="28">
        <f>ROUND(ROUND(J329, 2)*I329, 2)</f>
        <v>319.77</v>
      </c>
      <c r="P329" s="29">
        <v>88.8</v>
      </c>
      <c r="S329" s="28">
        <f>ROUND(ROUND(P329, 2)*I329, 2)</f>
        <v>314.52999999999997</v>
      </c>
      <c r="V329" s="9">
        <f>ROUND(ROUND(P329, 2)/1.2, 2)</f>
        <v>74</v>
      </c>
      <c r="Y329" s="9">
        <f t="shared" si="16"/>
        <v>262.11</v>
      </c>
      <c r="AD329" s="4" t="s">
        <v>1418</v>
      </c>
      <c r="AE329" s="4" t="s">
        <v>1419</v>
      </c>
      <c r="AF329" s="4" t="s">
        <v>512</v>
      </c>
    </row>
    <row r="330" spans="1:35" ht="18" x14ac:dyDescent="0.3">
      <c r="A330" s="10" t="s">
        <v>1420</v>
      </c>
      <c r="B330" s="10"/>
      <c r="C330" s="24" t="s">
        <v>907</v>
      </c>
      <c r="D330" s="15"/>
      <c r="E330" s="15"/>
      <c r="F330" s="25" t="s">
        <v>98</v>
      </c>
      <c r="G330" s="26">
        <v>0.3</v>
      </c>
      <c r="H330" s="26"/>
      <c r="I330" s="26">
        <v>7.0830000000000002</v>
      </c>
      <c r="J330" s="27">
        <v>74.319999999999993</v>
      </c>
      <c r="M330" s="28">
        <f>ROUND(ROUND(J330, 2)*I330, 2)</f>
        <v>526.41</v>
      </c>
      <c r="P330" s="29">
        <v>37.049999999999997</v>
      </c>
      <c r="S330" s="28">
        <f>ROUND(ROUND(P330, 2)*I330, 2)</f>
        <v>262.43</v>
      </c>
      <c r="V330" s="9">
        <f>ROUND(ROUND(P330, 2)/1.2, 2)</f>
        <v>30.88</v>
      </c>
      <c r="Y330" s="9">
        <f t="shared" si="16"/>
        <v>218.69</v>
      </c>
      <c r="AD330" s="4" t="s">
        <v>1421</v>
      </c>
      <c r="AE330" s="4" t="s">
        <v>1422</v>
      </c>
      <c r="AF330" s="4" t="s">
        <v>910</v>
      </c>
    </row>
    <row r="331" spans="1:35" ht="36" x14ac:dyDescent="0.3">
      <c r="A331" s="10" t="s">
        <v>1423</v>
      </c>
      <c r="B331" s="10"/>
      <c r="C331" s="35" t="s">
        <v>961</v>
      </c>
      <c r="D331" s="15"/>
      <c r="E331" s="15"/>
      <c r="F331" s="25" t="s">
        <v>76</v>
      </c>
      <c r="G331" s="26">
        <v>4.5</v>
      </c>
      <c r="H331" s="26"/>
      <c r="I331" s="26">
        <v>106.245</v>
      </c>
      <c r="J331" s="27">
        <v>12.26</v>
      </c>
      <c r="M331" s="28">
        <f>ROUND(ROUND(J331, 2)*I331, 2)</f>
        <v>1302.56</v>
      </c>
      <c r="P331" s="29">
        <v>12.58</v>
      </c>
      <c r="S331" s="28">
        <f>ROUND(ROUND(P331, 2)*I331, 2)</f>
        <v>1336.56</v>
      </c>
      <c r="V331" s="9">
        <f>ROUND(ROUND(P331, 2)/1.2, 2)</f>
        <v>10.48</v>
      </c>
      <c r="Y331" s="9">
        <f t="shared" si="16"/>
        <v>1113.8</v>
      </c>
      <c r="AD331" s="4" t="s">
        <v>1424</v>
      </c>
      <c r="AE331" s="4" t="s">
        <v>1425</v>
      </c>
      <c r="AF331" s="4" t="s">
        <v>1147</v>
      </c>
    </row>
    <row r="332" spans="1:35" ht="54" x14ac:dyDescent="0.3">
      <c r="A332" s="10" t="s">
        <v>1426</v>
      </c>
      <c r="B332" s="10" t="s">
        <v>1385</v>
      </c>
      <c r="C332" s="14" t="s">
        <v>1386</v>
      </c>
      <c r="D332" s="15"/>
      <c r="E332" s="15" t="s">
        <v>1427</v>
      </c>
      <c r="F332" s="15" t="s">
        <v>57</v>
      </c>
      <c r="G332" s="16">
        <v>1</v>
      </c>
      <c r="H332" s="16"/>
      <c r="I332" s="16">
        <v>23.61</v>
      </c>
      <c r="J332" s="17">
        <f>IFERROR(ROUND(SUM(M333,M334)/I332, 2),0)</f>
        <v>68.709999999999994</v>
      </c>
      <c r="K332" s="18">
        <v>1001</v>
      </c>
      <c r="L332" s="17">
        <f>J332+ROUND(K332, 2)</f>
        <v>1069.71</v>
      </c>
      <c r="M332" s="17">
        <f>ROUND(J332*I332, 2)</f>
        <v>1622.24</v>
      </c>
      <c r="N332" s="17">
        <f>ROUND(I332*ROUND(K332, 2), 2)</f>
        <v>23633.61</v>
      </c>
      <c r="O332" s="17">
        <f>M332+N332</f>
        <v>25255.850000000002</v>
      </c>
      <c r="P332" s="17">
        <f>IFERROR(ROUND(SUM(S333,S334)/I332, 2),0)</f>
        <v>69.930000000000007</v>
      </c>
      <c r="Q332" s="19">
        <v>1001</v>
      </c>
      <c r="R332" s="17">
        <f>P332+ROUND(Q332, 2)</f>
        <v>1070.93</v>
      </c>
      <c r="S332" s="17">
        <f>ROUND(P332*I332, 2)</f>
        <v>1651.05</v>
      </c>
      <c r="T332" s="17">
        <f>ROUND(I332*ROUND(Q332, 2), 2)</f>
        <v>23633.61</v>
      </c>
      <c r="U332" s="17">
        <f>S332+T332</f>
        <v>25284.66</v>
      </c>
      <c r="V332" s="9">
        <f>ROUND(P332 / 1.2, 2)</f>
        <v>58.28</v>
      </c>
      <c r="W332" s="9">
        <f>ROUND(Q332 / 1.2, 2)</f>
        <v>834.17</v>
      </c>
      <c r="X332" s="9">
        <f>ROUND(R332 / 1.2, 2)</f>
        <v>892.44</v>
      </c>
      <c r="Y332" s="9">
        <f t="shared" si="16"/>
        <v>1375.88</v>
      </c>
      <c r="Z332" s="9">
        <f>ROUND(T332 / 1.2, 2)</f>
        <v>19694.68</v>
      </c>
      <c r="AA332" s="9">
        <f>Y332+Z332</f>
        <v>21070.560000000001</v>
      </c>
      <c r="AD332" s="4">
        <v>341534413</v>
      </c>
      <c r="AE332" s="4">
        <v>28271832</v>
      </c>
      <c r="AG332" s="4" t="s">
        <v>1388</v>
      </c>
      <c r="AH332" s="4" t="s">
        <v>1389</v>
      </c>
      <c r="AI332" s="4" t="s">
        <v>241</v>
      </c>
    </row>
    <row r="333" spans="1:35" ht="36" x14ac:dyDescent="0.3">
      <c r="A333" s="10" t="s">
        <v>1428</v>
      </c>
      <c r="B333" s="10"/>
      <c r="C333" s="24" t="s">
        <v>509</v>
      </c>
      <c r="D333" s="15"/>
      <c r="E333" s="15"/>
      <c r="F333" s="25" t="s">
        <v>76</v>
      </c>
      <c r="G333" s="26">
        <v>0.15</v>
      </c>
      <c r="H333" s="26"/>
      <c r="I333" s="26">
        <v>3.5419999999999998</v>
      </c>
      <c r="J333" s="27">
        <v>90.28</v>
      </c>
      <c r="M333" s="28">
        <f>ROUND(ROUND(J333, 2)*I333, 2)</f>
        <v>319.77</v>
      </c>
      <c r="P333" s="29">
        <v>88.8</v>
      </c>
      <c r="S333" s="28">
        <f>ROUND(ROUND(P333, 2)*I333, 2)</f>
        <v>314.52999999999997</v>
      </c>
      <c r="V333" s="9">
        <f>ROUND(ROUND(P333, 2)/1.2, 2)</f>
        <v>74</v>
      </c>
      <c r="Y333" s="9">
        <f t="shared" si="16"/>
        <v>262.11</v>
      </c>
      <c r="AD333" s="4" t="s">
        <v>1429</v>
      </c>
      <c r="AE333" s="4" t="s">
        <v>1430</v>
      </c>
      <c r="AF333" s="4" t="s">
        <v>512</v>
      </c>
    </row>
    <row r="334" spans="1:35" ht="36" x14ac:dyDescent="0.3">
      <c r="A334" s="10" t="s">
        <v>1431</v>
      </c>
      <c r="B334" s="10"/>
      <c r="C334" s="35" t="s">
        <v>961</v>
      </c>
      <c r="D334" s="15"/>
      <c r="E334" s="15"/>
      <c r="F334" s="25" t="s">
        <v>76</v>
      </c>
      <c r="G334" s="26">
        <v>4.5</v>
      </c>
      <c r="H334" s="26"/>
      <c r="I334" s="26">
        <v>106.245</v>
      </c>
      <c r="J334" s="27">
        <v>12.26</v>
      </c>
      <c r="M334" s="28">
        <f>ROUND(ROUND(J334, 2)*I334, 2)</f>
        <v>1302.56</v>
      </c>
      <c r="P334" s="29">
        <v>12.58</v>
      </c>
      <c r="S334" s="28">
        <f>ROUND(ROUND(P334, 2)*I334, 2)</f>
        <v>1336.56</v>
      </c>
      <c r="V334" s="9">
        <f>ROUND(ROUND(P334, 2)/1.2, 2)</f>
        <v>10.48</v>
      </c>
      <c r="Y334" s="9">
        <f t="shared" si="16"/>
        <v>1113.8</v>
      </c>
      <c r="AD334" s="4" t="s">
        <v>1432</v>
      </c>
      <c r="AE334" s="4" t="s">
        <v>1433</v>
      </c>
      <c r="AF334" s="4" t="s">
        <v>1147</v>
      </c>
    </row>
    <row r="335" spans="1:35" ht="54" x14ac:dyDescent="0.3">
      <c r="A335" s="10" t="s">
        <v>1434</v>
      </c>
      <c r="B335" s="10" t="s">
        <v>1385</v>
      </c>
      <c r="C335" s="14" t="s">
        <v>1386</v>
      </c>
      <c r="D335" s="15"/>
      <c r="E335" s="15" t="s">
        <v>1435</v>
      </c>
      <c r="F335" s="15" t="s">
        <v>57</v>
      </c>
      <c r="G335" s="16">
        <v>1</v>
      </c>
      <c r="H335" s="16"/>
      <c r="I335" s="16">
        <v>23.61</v>
      </c>
      <c r="J335" s="17">
        <f>IFERROR(ROUND(SUM(M336,M337)/I335, 2),0)</f>
        <v>68.709999999999994</v>
      </c>
      <c r="K335" s="18">
        <v>1001</v>
      </c>
      <c r="L335" s="17">
        <f>J335+ROUND(K335, 2)</f>
        <v>1069.71</v>
      </c>
      <c r="M335" s="17">
        <f>ROUND(J335*I335, 2)</f>
        <v>1622.24</v>
      </c>
      <c r="N335" s="17">
        <f>ROUND(I335*ROUND(K335, 2), 2)</f>
        <v>23633.61</v>
      </c>
      <c r="O335" s="17">
        <f>M335+N335</f>
        <v>25255.850000000002</v>
      </c>
      <c r="P335" s="17">
        <f>IFERROR(ROUND(SUM(S336,S337)/I335, 2),0)</f>
        <v>69.930000000000007</v>
      </c>
      <c r="Q335" s="19">
        <v>1001</v>
      </c>
      <c r="R335" s="17">
        <f>P335+ROUND(Q335, 2)</f>
        <v>1070.93</v>
      </c>
      <c r="S335" s="17">
        <f>ROUND(P335*I335, 2)</f>
        <v>1651.05</v>
      </c>
      <c r="T335" s="17">
        <f>ROUND(I335*ROUND(Q335, 2), 2)</f>
        <v>23633.61</v>
      </c>
      <c r="U335" s="17">
        <f>S335+T335</f>
        <v>25284.66</v>
      </c>
      <c r="V335" s="9">
        <f>ROUND(P335 / 1.2, 2)</f>
        <v>58.28</v>
      </c>
      <c r="W335" s="9">
        <f>ROUND(Q335 / 1.2, 2)</f>
        <v>834.17</v>
      </c>
      <c r="X335" s="9">
        <f>ROUND(R335 / 1.2, 2)</f>
        <v>892.44</v>
      </c>
      <c r="Y335" s="9">
        <f t="shared" si="16"/>
        <v>1375.88</v>
      </c>
      <c r="Z335" s="9">
        <f>ROUND(T335 / 1.2, 2)</f>
        <v>19694.68</v>
      </c>
      <c r="AA335" s="9">
        <f>Y335+Z335</f>
        <v>21070.560000000001</v>
      </c>
      <c r="AD335" s="4">
        <v>341534414</v>
      </c>
      <c r="AE335" s="4">
        <v>28271829</v>
      </c>
      <c r="AG335" s="4" t="s">
        <v>1388</v>
      </c>
      <c r="AH335" s="4" t="s">
        <v>1389</v>
      </c>
      <c r="AI335" s="4" t="s">
        <v>241</v>
      </c>
    </row>
    <row r="336" spans="1:35" ht="36" x14ac:dyDescent="0.3">
      <c r="A336" s="10" t="s">
        <v>1436</v>
      </c>
      <c r="B336" s="10"/>
      <c r="C336" s="24" t="s">
        <v>509</v>
      </c>
      <c r="D336" s="15"/>
      <c r="E336" s="15"/>
      <c r="F336" s="25" t="s">
        <v>76</v>
      </c>
      <c r="G336" s="26">
        <v>0.15</v>
      </c>
      <c r="H336" s="26"/>
      <c r="I336" s="26">
        <v>3.5419999999999998</v>
      </c>
      <c r="J336" s="27">
        <v>90.28</v>
      </c>
      <c r="M336" s="28">
        <f>ROUND(ROUND(J336, 2)*I336, 2)</f>
        <v>319.77</v>
      </c>
      <c r="P336" s="29">
        <v>88.8</v>
      </c>
      <c r="S336" s="28">
        <f>ROUND(ROUND(P336, 2)*I336, 2)</f>
        <v>314.52999999999997</v>
      </c>
      <c r="V336" s="9">
        <f>ROUND(ROUND(P336, 2)/1.2, 2)</f>
        <v>74</v>
      </c>
      <c r="Y336" s="9">
        <f t="shared" si="16"/>
        <v>262.11</v>
      </c>
      <c r="AD336" s="4" t="s">
        <v>1437</v>
      </c>
      <c r="AE336" s="4" t="s">
        <v>1438</v>
      </c>
      <c r="AF336" s="4" t="s">
        <v>512</v>
      </c>
    </row>
    <row r="337" spans="1:35" ht="36" x14ac:dyDescent="0.3">
      <c r="A337" s="10" t="s">
        <v>1439</v>
      </c>
      <c r="B337" s="10"/>
      <c r="C337" s="35" t="s">
        <v>961</v>
      </c>
      <c r="D337" s="15"/>
      <c r="E337" s="15"/>
      <c r="F337" s="25" t="s">
        <v>76</v>
      </c>
      <c r="G337" s="26">
        <v>4.5</v>
      </c>
      <c r="H337" s="26"/>
      <c r="I337" s="26">
        <v>106.245</v>
      </c>
      <c r="J337" s="27">
        <v>12.26</v>
      </c>
      <c r="M337" s="28">
        <f>ROUND(ROUND(J337, 2)*I337, 2)</f>
        <v>1302.56</v>
      </c>
      <c r="P337" s="29">
        <v>12.58</v>
      </c>
      <c r="S337" s="28">
        <f>ROUND(ROUND(P337, 2)*I337, 2)</f>
        <v>1336.56</v>
      </c>
      <c r="V337" s="9">
        <f>ROUND(ROUND(P337, 2)/1.2, 2)</f>
        <v>10.48</v>
      </c>
      <c r="Y337" s="9">
        <f t="shared" si="16"/>
        <v>1113.8</v>
      </c>
      <c r="AD337" s="4" t="s">
        <v>1440</v>
      </c>
      <c r="AE337" s="4" t="s">
        <v>1441</v>
      </c>
      <c r="AF337" s="4" t="s">
        <v>1147</v>
      </c>
    </row>
    <row r="338" spans="1:35" ht="54" x14ac:dyDescent="0.3">
      <c r="A338" s="10" t="s">
        <v>1442</v>
      </c>
      <c r="B338" s="10" t="s">
        <v>1385</v>
      </c>
      <c r="C338" s="14" t="s">
        <v>1386</v>
      </c>
      <c r="D338" s="15"/>
      <c r="E338" s="15" t="s">
        <v>1443</v>
      </c>
      <c r="F338" s="15" t="s">
        <v>57</v>
      </c>
      <c r="G338" s="16">
        <v>1</v>
      </c>
      <c r="H338" s="16"/>
      <c r="I338" s="16">
        <v>37.68</v>
      </c>
      <c r="J338" s="17">
        <f>IFERROR(ROUND(SUM(M339,M340,M341)/I338, 2),0)</f>
        <v>152.79</v>
      </c>
      <c r="K338" s="18">
        <v>1001</v>
      </c>
      <c r="L338" s="17">
        <f>J338+ROUND(K338, 2)</f>
        <v>1153.79</v>
      </c>
      <c r="M338" s="17">
        <f>ROUND(J338*I338, 2)</f>
        <v>5757.13</v>
      </c>
      <c r="N338" s="17">
        <f>ROUND(I338*ROUND(K338, 2), 2)</f>
        <v>37717.68</v>
      </c>
      <c r="O338" s="17">
        <f>M338+N338</f>
        <v>43474.81</v>
      </c>
      <c r="P338" s="17">
        <f>IFERROR(ROUND(SUM(S339,S340,S341)/I338, 2),0)</f>
        <v>163.68</v>
      </c>
      <c r="Q338" s="19">
        <v>1001</v>
      </c>
      <c r="R338" s="17">
        <f>P338+ROUND(Q338, 2)</f>
        <v>1164.68</v>
      </c>
      <c r="S338" s="17">
        <f>ROUND(P338*I338, 2)</f>
        <v>6167.46</v>
      </c>
      <c r="T338" s="17">
        <f>ROUND(I338*ROUND(Q338, 2), 2)</f>
        <v>37717.68</v>
      </c>
      <c r="U338" s="17">
        <f>S338+T338</f>
        <v>43885.14</v>
      </c>
      <c r="V338" s="9">
        <f>ROUND(P338 / 1.2, 2)</f>
        <v>136.4</v>
      </c>
      <c r="W338" s="9">
        <f>ROUND(Q338 / 1.2, 2)</f>
        <v>834.17</v>
      </c>
      <c r="X338" s="9">
        <f>ROUND(R338 / 1.2, 2)</f>
        <v>970.57</v>
      </c>
      <c r="Y338" s="9">
        <f t="shared" si="16"/>
        <v>5139.55</v>
      </c>
      <c r="Z338" s="9">
        <f>ROUND(T338 / 1.2, 2)</f>
        <v>31431.4</v>
      </c>
      <c r="AA338" s="9">
        <f>Y338+Z338</f>
        <v>36570.950000000004</v>
      </c>
      <c r="AD338" s="4">
        <v>341534415</v>
      </c>
      <c r="AE338" s="4">
        <v>28271826</v>
      </c>
      <c r="AG338" s="4" t="s">
        <v>1388</v>
      </c>
      <c r="AH338" s="4" t="s">
        <v>1389</v>
      </c>
      <c r="AI338" s="4" t="s">
        <v>241</v>
      </c>
    </row>
    <row r="339" spans="1:35" ht="36" x14ac:dyDescent="0.3">
      <c r="A339" s="10" t="s">
        <v>1444</v>
      </c>
      <c r="B339" s="10"/>
      <c r="C339" s="24" t="s">
        <v>509</v>
      </c>
      <c r="D339" s="15"/>
      <c r="E339" s="15"/>
      <c r="F339" s="25" t="s">
        <v>76</v>
      </c>
      <c r="G339" s="26">
        <v>0.15</v>
      </c>
      <c r="H339" s="26"/>
      <c r="I339" s="26">
        <v>5.6520000000000001</v>
      </c>
      <c r="J339" s="27">
        <v>90.28</v>
      </c>
      <c r="M339" s="28">
        <f>ROUND(ROUND(J339, 2)*I339, 2)</f>
        <v>510.26</v>
      </c>
      <c r="P339" s="29">
        <v>88.8</v>
      </c>
      <c r="S339" s="28">
        <f>ROUND(ROUND(P339, 2)*I339, 2)</f>
        <v>501.9</v>
      </c>
      <c r="V339" s="9">
        <f>ROUND(ROUND(P339, 2)/1.2, 2)</f>
        <v>74</v>
      </c>
      <c r="Y339" s="9">
        <f t="shared" si="16"/>
        <v>418.25</v>
      </c>
      <c r="AD339" s="4" t="s">
        <v>1445</v>
      </c>
      <c r="AE339" s="4" t="s">
        <v>1446</v>
      </c>
      <c r="AF339" s="4" t="s">
        <v>512</v>
      </c>
    </row>
    <row r="340" spans="1:35" ht="18" x14ac:dyDescent="0.3">
      <c r="A340" s="10" t="s">
        <v>1447</v>
      </c>
      <c r="B340" s="10"/>
      <c r="C340" s="24" t="s">
        <v>907</v>
      </c>
      <c r="D340" s="15"/>
      <c r="E340" s="15"/>
      <c r="F340" s="25" t="s">
        <v>98</v>
      </c>
      <c r="G340" s="26">
        <v>0.3</v>
      </c>
      <c r="H340" s="26"/>
      <c r="I340" s="26">
        <v>11.304</v>
      </c>
      <c r="J340" s="27">
        <v>74.319999999999993</v>
      </c>
      <c r="M340" s="28">
        <f>ROUND(ROUND(J340, 2)*I340, 2)</f>
        <v>840.11</v>
      </c>
      <c r="P340" s="29">
        <v>37.049999999999997</v>
      </c>
      <c r="S340" s="28">
        <f>ROUND(ROUND(P340, 2)*I340, 2)</f>
        <v>418.81</v>
      </c>
      <c r="V340" s="9">
        <f>ROUND(ROUND(P340, 2)/1.2, 2)</f>
        <v>30.88</v>
      </c>
      <c r="Y340" s="9">
        <f t="shared" si="16"/>
        <v>349.01</v>
      </c>
      <c r="AD340" s="4" t="s">
        <v>1448</v>
      </c>
      <c r="AE340" s="4" t="s">
        <v>1449</v>
      </c>
      <c r="AF340" s="4" t="s">
        <v>910</v>
      </c>
    </row>
    <row r="341" spans="1:35" ht="18" x14ac:dyDescent="0.3">
      <c r="A341" s="10" t="s">
        <v>1450</v>
      </c>
      <c r="B341" s="10"/>
      <c r="C341" s="24" t="s">
        <v>902</v>
      </c>
      <c r="D341" s="15"/>
      <c r="E341" s="15" t="s">
        <v>1080</v>
      </c>
      <c r="F341" s="25" t="s">
        <v>76</v>
      </c>
      <c r="G341" s="26">
        <v>5</v>
      </c>
      <c r="H341" s="26"/>
      <c r="I341" s="26">
        <v>188.4</v>
      </c>
      <c r="J341" s="27">
        <v>23.39</v>
      </c>
      <c r="M341" s="28">
        <f>ROUND(ROUND(J341, 2)*I341, 2)</f>
        <v>4406.68</v>
      </c>
      <c r="P341" s="29">
        <v>27.85</v>
      </c>
      <c r="S341" s="28">
        <f>ROUND(ROUND(P341, 2)*I341, 2)</f>
        <v>5246.94</v>
      </c>
      <c r="V341" s="9">
        <f>ROUND(ROUND(P341, 2)/1.2, 2)</f>
        <v>23.21</v>
      </c>
      <c r="Y341" s="9">
        <f t="shared" si="16"/>
        <v>4372.45</v>
      </c>
      <c r="AD341" s="4" t="s">
        <v>1451</v>
      </c>
      <c r="AE341" s="4" t="s">
        <v>1452</v>
      </c>
      <c r="AF341" s="4" t="s">
        <v>905</v>
      </c>
    </row>
    <row r="342" spans="1:35" ht="54" x14ac:dyDescent="0.3">
      <c r="A342" s="10" t="s">
        <v>1453</v>
      </c>
      <c r="B342" s="10" t="s">
        <v>1385</v>
      </c>
      <c r="C342" s="14" t="s">
        <v>1386</v>
      </c>
      <c r="D342" s="15"/>
      <c r="E342" s="15" t="s">
        <v>1454</v>
      </c>
      <c r="F342" s="15" t="s">
        <v>57</v>
      </c>
      <c r="G342" s="16">
        <v>1</v>
      </c>
      <c r="H342" s="16"/>
      <c r="I342" s="16">
        <v>37.68</v>
      </c>
      <c r="J342" s="17">
        <f>IFERROR(ROUND(SUM(M343,M344)/I342, 2),0)</f>
        <v>130.49</v>
      </c>
      <c r="K342" s="18">
        <v>1001</v>
      </c>
      <c r="L342" s="17">
        <f>J342+ROUND(K342, 2)</f>
        <v>1131.49</v>
      </c>
      <c r="M342" s="17">
        <f>ROUND(J342*I342, 2)</f>
        <v>4916.8599999999997</v>
      </c>
      <c r="N342" s="17">
        <f>ROUND(I342*ROUND(K342, 2), 2)</f>
        <v>37717.68</v>
      </c>
      <c r="O342" s="17">
        <f>M342+N342</f>
        <v>42634.54</v>
      </c>
      <c r="P342" s="17">
        <f>IFERROR(ROUND(SUM(S343,S344)/I342, 2),0)</f>
        <v>174.87</v>
      </c>
      <c r="Q342" s="19">
        <v>1001</v>
      </c>
      <c r="R342" s="17">
        <f>P342+ROUND(Q342, 2)</f>
        <v>1175.8699999999999</v>
      </c>
      <c r="S342" s="17">
        <f>ROUND(P342*I342, 2)</f>
        <v>6589.1</v>
      </c>
      <c r="T342" s="17">
        <f>ROUND(I342*ROUND(Q342, 2), 2)</f>
        <v>37717.68</v>
      </c>
      <c r="U342" s="17">
        <f>S342+T342</f>
        <v>44306.78</v>
      </c>
      <c r="V342" s="9">
        <f>ROUND(P342 / 1.2, 2)</f>
        <v>145.72999999999999</v>
      </c>
      <c r="W342" s="9">
        <f>ROUND(Q342 / 1.2, 2)</f>
        <v>834.17</v>
      </c>
      <c r="X342" s="9">
        <f>ROUND(R342 / 1.2, 2)</f>
        <v>979.89</v>
      </c>
      <c r="Y342" s="9">
        <f t="shared" si="16"/>
        <v>5490.92</v>
      </c>
      <c r="Z342" s="9">
        <f>ROUND(T342 / 1.2, 2)</f>
        <v>31431.4</v>
      </c>
      <c r="AA342" s="9">
        <f>Y342+Z342</f>
        <v>36922.32</v>
      </c>
      <c r="AD342" s="4">
        <v>341534416</v>
      </c>
      <c r="AE342" s="4">
        <v>28271833</v>
      </c>
      <c r="AG342" s="4" t="s">
        <v>1388</v>
      </c>
      <c r="AH342" s="4" t="s">
        <v>1389</v>
      </c>
      <c r="AI342" s="4" t="s">
        <v>241</v>
      </c>
    </row>
    <row r="343" spans="1:35" ht="36" x14ac:dyDescent="0.3">
      <c r="A343" s="10" t="s">
        <v>1455</v>
      </c>
      <c r="B343" s="10"/>
      <c r="C343" s="24" t="s">
        <v>509</v>
      </c>
      <c r="D343" s="15"/>
      <c r="E343" s="15"/>
      <c r="F343" s="25" t="s">
        <v>76</v>
      </c>
      <c r="G343" s="26">
        <v>0.15</v>
      </c>
      <c r="H343" s="26"/>
      <c r="I343" s="26">
        <v>5.6520000000000001</v>
      </c>
      <c r="J343" s="27">
        <v>90.28</v>
      </c>
      <c r="M343" s="28">
        <f>ROUND(ROUND(J343, 2)*I343, 2)</f>
        <v>510.26</v>
      </c>
      <c r="P343" s="29">
        <v>88.8</v>
      </c>
      <c r="S343" s="28">
        <f>ROUND(ROUND(P343, 2)*I343, 2)</f>
        <v>501.9</v>
      </c>
      <c r="V343" s="9">
        <f>ROUND(ROUND(P343, 2)/1.2, 2)</f>
        <v>74</v>
      </c>
      <c r="Y343" s="9">
        <f t="shared" si="16"/>
        <v>418.25</v>
      </c>
      <c r="AD343" s="4" t="s">
        <v>1456</v>
      </c>
      <c r="AE343" s="4" t="s">
        <v>1457</v>
      </c>
      <c r="AF343" s="4" t="s">
        <v>512</v>
      </c>
    </row>
    <row r="344" spans="1:35" ht="18" x14ac:dyDescent="0.3">
      <c r="A344" s="10" t="s">
        <v>1458</v>
      </c>
      <c r="B344" s="10"/>
      <c r="C344" s="24" t="s">
        <v>902</v>
      </c>
      <c r="D344" s="15"/>
      <c r="E344" s="15" t="s">
        <v>1097</v>
      </c>
      <c r="F344" s="25" t="s">
        <v>76</v>
      </c>
      <c r="G344" s="26">
        <v>5</v>
      </c>
      <c r="H344" s="26"/>
      <c r="I344" s="26">
        <v>188.4</v>
      </c>
      <c r="J344" s="27">
        <v>23.39</v>
      </c>
      <c r="M344" s="28">
        <f>ROUND(ROUND(J344, 2)*I344, 2)</f>
        <v>4406.68</v>
      </c>
      <c r="P344" s="29">
        <v>32.31</v>
      </c>
      <c r="S344" s="28">
        <f>ROUND(ROUND(P344, 2)*I344, 2)</f>
        <v>6087.2</v>
      </c>
      <c r="V344" s="9">
        <f>ROUND(ROUND(P344, 2)/1.2, 2)</f>
        <v>26.93</v>
      </c>
      <c r="Y344" s="9">
        <f t="shared" si="16"/>
        <v>5072.67</v>
      </c>
      <c r="AD344" s="4" t="s">
        <v>1459</v>
      </c>
      <c r="AE344" s="4" t="s">
        <v>1460</v>
      </c>
      <c r="AF344" s="4" t="s">
        <v>905</v>
      </c>
    </row>
    <row r="345" spans="1:35" ht="54" x14ac:dyDescent="0.3">
      <c r="A345" s="10" t="s">
        <v>1461</v>
      </c>
      <c r="B345" s="10" t="s">
        <v>1385</v>
      </c>
      <c r="C345" s="14" t="s">
        <v>1386</v>
      </c>
      <c r="D345" s="15"/>
      <c r="E345" s="15" t="s">
        <v>1462</v>
      </c>
      <c r="F345" s="15" t="s">
        <v>57</v>
      </c>
      <c r="G345" s="16">
        <v>1</v>
      </c>
      <c r="H345" s="16"/>
      <c r="I345" s="16">
        <v>37.68</v>
      </c>
      <c r="J345" s="17">
        <f>IFERROR(ROUND(SUM(M346,M347)/I345, 2),0)</f>
        <v>130.49</v>
      </c>
      <c r="K345" s="18">
        <v>1001</v>
      </c>
      <c r="L345" s="17">
        <f>J345+ROUND(K345, 2)</f>
        <v>1131.49</v>
      </c>
      <c r="M345" s="17">
        <f>ROUND(J345*I345, 2)</f>
        <v>4916.8599999999997</v>
      </c>
      <c r="N345" s="17">
        <f>ROUND(I345*ROUND(K345, 2), 2)</f>
        <v>37717.68</v>
      </c>
      <c r="O345" s="17">
        <f>M345+N345</f>
        <v>42634.54</v>
      </c>
      <c r="P345" s="17">
        <f>IFERROR(ROUND(SUM(S346,S347)/I345, 2),0)</f>
        <v>226.32</v>
      </c>
      <c r="Q345" s="19">
        <v>1001</v>
      </c>
      <c r="R345" s="17">
        <f>P345+ROUND(Q345, 2)</f>
        <v>1227.32</v>
      </c>
      <c r="S345" s="17">
        <f>ROUND(P345*I345, 2)</f>
        <v>8527.74</v>
      </c>
      <c r="T345" s="17">
        <f>ROUND(I345*ROUND(Q345, 2), 2)</f>
        <v>37717.68</v>
      </c>
      <c r="U345" s="17">
        <f>S345+T345</f>
        <v>46245.42</v>
      </c>
      <c r="V345" s="9">
        <f>ROUND(P345 / 1.2, 2)</f>
        <v>188.6</v>
      </c>
      <c r="W345" s="9">
        <f>ROUND(Q345 / 1.2, 2)</f>
        <v>834.17</v>
      </c>
      <c r="X345" s="9">
        <f>ROUND(R345 / 1.2, 2)</f>
        <v>1022.77</v>
      </c>
      <c r="Y345" s="9">
        <f t="shared" si="16"/>
        <v>7106.45</v>
      </c>
      <c r="Z345" s="9">
        <f>ROUND(T345 / 1.2, 2)</f>
        <v>31431.4</v>
      </c>
      <c r="AA345" s="9">
        <f>Y345+Z345</f>
        <v>38537.85</v>
      </c>
      <c r="AD345" s="4">
        <v>341534417</v>
      </c>
      <c r="AE345" s="4">
        <v>28271830</v>
      </c>
      <c r="AG345" s="4" t="s">
        <v>1388</v>
      </c>
      <c r="AH345" s="4" t="s">
        <v>1389</v>
      </c>
      <c r="AI345" s="4" t="s">
        <v>241</v>
      </c>
    </row>
    <row r="346" spans="1:35" ht="36" x14ac:dyDescent="0.3">
      <c r="A346" s="10" t="s">
        <v>1463</v>
      </c>
      <c r="B346" s="10"/>
      <c r="C346" s="24" t="s">
        <v>509</v>
      </c>
      <c r="D346" s="15"/>
      <c r="E346" s="15"/>
      <c r="F346" s="25" t="s">
        <v>76</v>
      </c>
      <c r="G346" s="26">
        <v>0.15</v>
      </c>
      <c r="H346" s="26"/>
      <c r="I346" s="26">
        <v>5.6520000000000001</v>
      </c>
      <c r="J346" s="27">
        <v>90.28</v>
      </c>
      <c r="M346" s="28">
        <f>ROUND(ROUND(J346, 2)*I346, 2)</f>
        <v>510.26</v>
      </c>
      <c r="P346" s="29">
        <v>88.8</v>
      </c>
      <c r="S346" s="28">
        <f>ROUND(ROUND(P346, 2)*I346, 2)</f>
        <v>501.9</v>
      </c>
      <c r="V346" s="9">
        <f>ROUND(ROUND(P346, 2)/1.2, 2)</f>
        <v>74</v>
      </c>
      <c r="Y346" s="9">
        <f t="shared" si="16"/>
        <v>418.25</v>
      </c>
      <c r="AD346" s="4" t="s">
        <v>1464</v>
      </c>
      <c r="AE346" s="4" t="s">
        <v>1465</v>
      </c>
      <c r="AF346" s="4" t="s">
        <v>512</v>
      </c>
    </row>
    <row r="347" spans="1:35" ht="18" x14ac:dyDescent="0.3">
      <c r="A347" s="10" t="s">
        <v>1466</v>
      </c>
      <c r="B347" s="10"/>
      <c r="C347" s="24" t="s">
        <v>902</v>
      </c>
      <c r="D347" s="15"/>
      <c r="E347" s="15" t="s">
        <v>1106</v>
      </c>
      <c r="F347" s="25" t="s">
        <v>76</v>
      </c>
      <c r="G347" s="26">
        <v>5</v>
      </c>
      <c r="H347" s="26"/>
      <c r="I347" s="26">
        <v>188.4</v>
      </c>
      <c r="J347" s="27">
        <v>23.39</v>
      </c>
      <c r="M347" s="28">
        <f>ROUND(ROUND(J347, 2)*I347, 2)</f>
        <v>4406.68</v>
      </c>
      <c r="P347" s="29">
        <v>42.6</v>
      </c>
      <c r="S347" s="28">
        <f>ROUND(ROUND(P347, 2)*I347, 2)</f>
        <v>8025.84</v>
      </c>
      <c r="V347" s="9">
        <f>ROUND(ROUND(P347, 2)/1.2, 2)</f>
        <v>35.5</v>
      </c>
      <c r="Y347" s="9">
        <f t="shared" si="16"/>
        <v>6688.2</v>
      </c>
      <c r="AD347" s="4" t="s">
        <v>1467</v>
      </c>
      <c r="AE347" s="4" t="s">
        <v>1468</v>
      </c>
      <c r="AF347" s="4" t="s">
        <v>905</v>
      </c>
    </row>
    <row r="348" spans="1:35" ht="54" x14ac:dyDescent="0.3">
      <c r="A348" s="10" t="s">
        <v>1469</v>
      </c>
      <c r="B348" s="10" t="s">
        <v>1470</v>
      </c>
      <c r="C348" s="14" t="s">
        <v>1471</v>
      </c>
      <c r="D348" s="15"/>
      <c r="E348" s="15" t="s">
        <v>1472</v>
      </c>
      <c r="F348" s="15" t="s">
        <v>57</v>
      </c>
      <c r="G348" s="16">
        <v>1</v>
      </c>
      <c r="H348" s="16"/>
      <c r="I348" s="16">
        <v>25.45</v>
      </c>
      <c r="J348" s="17">
        <f>IFERROR(ROUND(SUM(M349,M350)/I348, 2),0)</f>
        <v>30.91</v>
      </c>
      <c r="K348" s="18">
        <v>303</v>
      </c>
      <c r="L348" s="17">
        <f>J348+ROUND(K348, 2)</f>
        <v>333.91</v>
      </c>
      <c r="M348" s="17">
        <f>ROUND(J348*I348, 2)</f>
        <v>786.66</v>
      </c>
      <c r="N348" s="17">
        <f>ROUND(I348*ROUND(K348, 2), 2)</f>
        <v>7711.35</v>
      </c>
      <c r="O348" s="17">
        <f>M348+N348</f>
        <v>8498.01</v>
      </c>
      <c r="P348" s="17">
        <f>IFERROR(ROUND(SUM(S349,S350)/I348, 2),0)</f>
        <v>103.45</v>
      </c>
      <c r="Q348" s="19">
        <v>303</v>
      </c>
      <c r="R348" s="17">
        <f>P348+ROUND(Q348, 2)</f>
        <v>406.45</v>
      </c>
      <c r="S348" s="17">
        <f>ROUND(P348*I348, 2)</f>
        <v>2632.8</v>
      </c>
      <c r="T348" s="17">
        <f>ROUND(I348*ROUND(Q348, 2), 2)</f>
        <v>7711.35</v>
      </c>
      <c r="U348" s="17">
        <f>S348+T348</f>
        <v>10344.150000000001</v>
      </c>
      <c r="V348" s="9">
        <f>ROUND(P348 / 1.2, 2)</f>
        <v>86.21</v>
      </c>
      <c r="W348" s="9">
        <f>ROUND(Q348 / 1.2, 2)</f>
        <v>252.5</v>
      </c>
      <c r="X348" s="9">
        <f>ROUND(R348 / 1.2, 2)</f>
        <v>338.71</v>
      </c>
      <c r="Y348" s="9">
        <f t="shared" si="16"/>
        <v>2194</v>
      </c>
      <c r="Z348" s="9">
        <f>ROUND(T348 / 1.2, 2)</f>
        <v>6426.13</v>
      </c>
      <c r="AA348" s="9">
        <f>Y348+Z348</f>
        <v>8620.130000000001</v>
      </c>
      <c r="AD348" s="4">
        <v>341534341</v>
      </c>
      <c r="AE348" s="4">
        <v>28273182</v>
      </c>
      <c r="AG348" s="4" t="s">
        <v>1473</v>
      </c>
      <c r="AH348" s="4" t="s">
        <v>1474</v>
      </c>
      <c r="AI348" s="4" t="s">
        <v>241</v>
      </c>
    </row>
    <row r="349" spans="1:35" ht="36" x14ac:dyDescent="0.3">
      <c r="A349" s="10" t="s">
        <v>1475</v>
      </c>
      <c r="B349" s="10"/>
      <c r="C349" s="24" t="s">
        <v>1476</v>
      </c>
      <c r="D349" s="15"/>
      <c r="E349" s="15"/>
      <c r="F349" s="25" t="s">
        <v>76</v>
      </c>
      <c r="G349" s="26">
        <v>0.3</v>
      </c>
      <c r="H349" s="26"/>
      <c r="I349" s="26">
        <v>7.6349999999999998</v>
      </c>
      <c r="J349" s="27">
        <v>72.94</v>
      </c>
      <c r="M349" s="28">
        <f>ROUND(ROUND(J349, 2)*I349, 2)</f>
        <v>556.9</v>
      </c>
      <c r="P349" s="29">
        <v>315.24</v>
      </c>
      <c r="S349" s="28">
        <f>ROUND(ROUND(P349, 2)*I349, 2)</f>
        <v>2406.86</v>
      </c>
      <c r="V349" s="9">
        <f>ROUND(ROUND(P349, 2)/1.2, 2)</f>
        <v>262.7</v>
      </c>
      <c r="Y349" s="9">
        <f t="shared" si="16"/>
        <v>2005.72</v>
      </c>
      <c r="AD349" s="4" t="s">
        <v>1477</v>
      </c>
      <c r="AE349" s="4" t="s">
        <v>1478</v>
      </c>
      <c r="AF349" s="4" t="s">
        <v>1479</v>
      </c>
    </row>
    <row r="350" spans="1:35" ht="36" x14ac:dyDescent="0.3">
      <c r="A350" s="10" t="s">
        <v>1480</v>
      </c>
      <c r="B350" s="10"/>
      <c r="C350" s="24" t="s">
        <v>509</v>
      </c>
      <c r="D350" s="15"/>
      <c r="E350" s="15"/>
      <c r="F350" s="25" t="s">
        <v>76</v>
      </c>
      <c r="G350" s="26">
        <v>0.1</v>
      </c>
      <c r="H350" s="26"/>
      <c r="I350" s="26">
        <v>2.5449999999999999</v>
      </c>
      <c r="J350" s="27">
        <v>90.28</v>
      </c>
      <c r="M350" s="28">
        <f>ROUND(ROUND(J350, 2)*I350, 2)</f>
        <v>229.76</v>
      </c>
      <c r="P350" s="29">
        <v>88.8</v>
      </c>
      <c r="S350" s="28">
        <f>ROUND(ROUND(P350, 2)*I350, 2)</f>
        <v>226</v>
      </c>
      <c r="V350" s="9">
        <f>ROUND(ROUND(P350, 2)/1.2, 2)</f>
        <v>74</v>
      </c>
      <c r="Y350" s="9">
        <f t="shared" si="16"/>
        <v>188.33</v>
      </c>
      <c r="AD350" s="4" t="s">
        <v>1481</v>
      </c>
      <c r="AE350" s="4" t="s">
        <v>1482</v>
      </c>
      <c r="AF350" s="4" t="s">
        <v>512</v>
      </c>
    </row>
    <row r="351" spans="1:35" ht="54" x14ac:dyDescent="0.3">
      <c r="A351" s="10" t="s">
        <v>1483</v>
      </c>
      <c r="B351" s="10" t="s">
        <v>1470</v>
      </c>
      <c r="C351" s="14" t="s">
        <v>1471</v>
      </c>
      <c r="D351" s="15"/>
      <c r="E351" s="15" t="s">
        <v>1484</v>
      </c>
      <c r="F351" s="15" t="s">
        <v>57</v>
      </c>
      <c r="G351" s="16">
        <v>1</v>
      </c>
      <c r="H351" s="16"/>
      <c r="I351" s="16">
        <v>23.61</v>
      </c>
      <c r="J351" s="17">
        <f>IFERROR(ROUND(SUM(M352,M353)/I351, 2),0)</f>
        <v>30.91</v>
      </c>
      <c r="K351" s="18">
        <v>303</v>
      </c>
      <c r="L351" s="17">
        <f>J351+ROUND(K351, 2)</f>
        <v>333.91</v>
      </c>
      <c r="M351" s="17">
        <f>ROUND(J351*I351, 2)</f>
        <v>729.79</v>
      </c>
      <c r="N351" s="17">
        <f>ROUND(I351*ROUND(K351, 2), 2)</f>
        <v>7153.83</v>
      </c>
      <c r="O351" s="17">
        <f>M351+N351</f>
        <v>7883.62</v>
      </c>
      <c r="P351" s="17">
        <f>IFERROR(ROUND(SUM(S352,S353)/I351, 2),0)</f>
        <v>103.45</v>
      </c>
      <c r="Q351" s="19">
        <v>303</v>
      </c>
      <c r="R351" s="17">
        <f>P351+ROUND(Q351, 2)</f>
        <v>406.45</v>
      </c>
      <c r="S351" s="17">
        <f>ROUND(P351*I351, 2)</f>
        <v>2442.4499999999998</v>
      </c>
      <c r="T351" s="17">
        <f>ROUND(I351*ROUND(Q351, 2), 2)</f>
        <v>7153.83</v>
      </c>
      <c r="U351" s="17">
        <f>S351+T351</f>
        <v>9596.2799999999988</v>
      </c>
      <c r="V351" s="9">
        <f>ROUND(P351 / 1.2, 2)</f>
        <v>86.21</v>
      </c>
      <c r="W351" s="9">
        <f>ROUND(Q351 / 1.2, 2)</f>
        <v>252.5</v>
      </c>
      <c r="X351" s="9">
        <f>ROUND(R351 / 1.2, 2)</f>
        <v>338.71</v>
      </c>
      <c r="Y351" s="9">
        <f t="shared" ref="Y351:Y374" si="17">ROUND(S351 / 1.2, 2)</f>
        <v>2035.38</v>
      </c>
      <c r="Z351" s="9">
        <f>ROUND(T351 / 1.2, 2)</f>
        <v>5961.53</v>
      </c>
      <c r="AA351" s="9">
        <f>Y351+Z351</f>
        <v>7996.91</v>
      </c>
      <c r="AD351" s="4">
        <v>341534418</v>
      </c>
      <c r="AE351" s="4">
        <v>28273180</v>
      </c>
      <c r="AG351" s="4" t="s">
        <v>1473</v>
      </c>
      <c r="AH351" s="4" t="s">
        <v>1474</v>
      </c>
      <c r="AI351" s="4" t="s">
        <v>241</v>
      </c>
    </row>
    <row r="352" spans="1:35" ht="36" x14ac:dyDescent="0.3">
      <c r="A352" s="10" t="s">
        <v>1485</v>
      </c>
      <c r="B352" s="10"/>
      <c r="C352" s="24" t="s">
        <v>509</v>
      </c>
      <c r="D352" s="15"/>
      <c r="E352" s="15"/>
      <c r="F352" s="25" t="s">
        <v>76</v>
      </c>
      <c r="G352" s="26">
        <v>0.1</v>
      </c>
      <c r="H352" s="26"/>
      <c r="I352" s="26">
        <v>2.3610000000000002</v>
      </c>
      <c r="J352" s="27">
        <v>90.28</v>
      </c>
      <c r="M352" s="28">
        <f>ROUND(ROUND(J352, 2)*I352, 2)</f>
        <v>213.15</v>
      </c>
      <c r="P352" s="29">
        <v>88.8</v>
      </c>
      <c r="S352" s="28">
        <f>ROUND(ROUND(P352, 2)*I352, 2)</f>
        <v>209.66</v>
      </c>
      <c r="V352" s="9">
        <f>ROUND(ROUND(P352, 2)/1.2, 2)</f>
        <v>74</v>
      </c>
      <c r="Y352" s="9">
        <f t="shared" si="17"/>
        <v>174.72</v>
      </c>
      <c r="AD352" s="4" t="s">
        <v>1486</v>
      </c>
      <c r="AE352" s="4" t="s">
        <v>1487</v>
      </c>
      <c r="AF352" s="4" t="s">
        <v>512</v>
      </c>
    </row>
    <row r="353" spans="1:35" ht="36" x14ac:dyDescent="0.3">
      <c r="A353" s="10" t="s">
        <v>1488</v>
      </c>
      <c r="B353" s="10"/>
      <c r="C353" s="24" t="s">
        <v>1476</v>
      </c>
      <c r="D353" s="15"/>
      <c r="E353" s="15"/>
      <c r="F353" s="25" t="s">
        <v>76</v>
      </c>
      <c r="G353" s="26">
        <v>0.3</v>
      </c>
      <c r="H353" s="26"/>
      <c r="I353" s="26">
        <v>7.0830000000000002</v>
      </c>
      <c r="J353" s="27">
        <v>72.94</v>
      </c>
      <c r="M353" s="28">
        <f>ROUND(ROUND(J353, 2)*I353, 2)</f>
        <v>516.63</v>
      </c>
      <c r="P353" s="29">
        <v>315.24</v>
      </c>
      <c r="S353" s="28">
        <f>ROUND(ROUND(P353, 2)*I353, 2)</f>
        <v>2232.84</v>
      </c>
      <c r="V353" s="9">
        <f>ROUND(ROUND(P353, 2)/1.2, 2)</f>
        <v>262.7</v>
      </c>
      <c r="Y353" s="9">
        <f t="shared" si="17"/>
        <v>1860.7</v>
      </c>
      <c r="AD353" s="4" t="s">
        <v>1489</v>
      </c>
      <c r="AE353" s="4" t="s">
        <v>1490</v>
      </c>
      <c r="AF353" s="4" t="s">
        <v>1479</v>
      </c>
    </row>
    <row r="354" spans="1:35" ht="54" x14ac:dyDescent="0.3">
      <c r="A354" s="10" t="s">
        <v>1491</v>
      </c>
      <c r="B354" s="10" t="s">
        <v>1470</v>
      </c>
      <c r="C354" s="14" t="s">
        <v>1471</v>
      </c>
      <c r="D354" s="15"/>
      <c r="E354" s="15" t="s">
        <v>1492</v>
      </c>
      <c r="F354" s="15" t="s">
        <v>57</v>
      </c>
      <c r="G354" s="16">
        <v>1</v>
      </c>
      <c r="H354" s="16"/>
      <c r="I354" s="16">
        <v>37.68</v>
      </c>
      <c r="J354" s="17">
        <f>IFERROR(ROUND(SUM(M355,M356)/I354, 2),0)</f>
        <v>30.91</v>
      </c>
      <c r="K354" s="18">
        <v>303</v>
      </c>
      <c r="L354" s="17">
        <f>J354+ROUND(K354, 2)</f>
        <v>333.91</v>
      </c>
      <c r="M354" s="17">
        <f>ROUND(J354*I354, 2)</f>
        <v>1164.69</v>
      </c>
      <c r="N354" s="17">
        <f>ROUND(I354*ROUND(K354, 2), 2)</f>
        <v>11417.04</v>
      </c>
      <c r="O354" s="17">
        <f>M354+N354</f>
        <v>12581.730000000001</v>
      </c>
      <c r="P354" s="17">
        <f>IFERROR(ROUND(SUM(S355,S356)/I354, 2),0)</f>
        <v>103.45</v>
      </c>
      <c r="Q354" s="19">
        <v>303</v>
      </c>
      <c r="R354" s="17">
        <f>P354+ROUND(Q354, 2)</f>
        <v>406.45</v>
      </c>
      <c r="S354" s="17">
        <f>ROUND(P354*I354, 2)</f>
        <v>3898</v>
      </c>
      <c r="T354" s="17">
        <f>ROUND(I354*ROUND(Q354, 2), 2)</f>
        <v>11417.04</v>
      </c>
      <c r="U354" s="17">
        <f>S354+T354</f>
        <v>15315.04</v>
      </c>
      <c r="V354" s="9">
        <f>ROUND(P354 / 1.2, 2)</f>
        <v>86.21</v>
      </c>
      <c r="W354" s="9">
        <f>ROUND(Q354 / 1.2, 2)</f>
        <v>252.5</v>
      </c>
      <c r="X354" s="9">
        <f>ROUND(R354 / 1.2, 2)</f>
        <v>338.71</v>
      </c>
      <c r="Y354" s="9">
        <f t="shared" si="17"/>
        <v>3248.33</v>
      </c>
      <c r="Z354" s="9">
        <f>ROUND(T354 / 1.2, 2)</f>
        <v>9514.2000000000007</v>
      </c>
      <c r="AA354" s="9">
        <f>Y354+Z354</f>
        <v>12762.53</v>
      </c>
      <c r="AD354" s="4">
        <v>341534419</v>
      </c>
      <c r="AE354" s="4">
        <v>28273181</v>
      </c>
      <c r="AG354" s="4" t="s">
        <v>1473</v>
      </c>
      <c r="AH354" s="4" t="s">
        <v>1474</v>
      </c>
      <c r="AI354" s="4" t="s">
        <v>241</v>
      </c>
    </row>
    <row r="355" spans="1:35" ht="36" x14ac:dyDescent="0.3">
      <c r="A355" s="10" t="s">
        <v>1493</v>
      </c>
      <c r="B355" s="10"/>
      <c r="C355" s="24" t="s">
        <v>509</v>
      </c>
      <c r="D355" s="15"/>
      <c r="E355" s="15"/>
      <c r="F355" s="25" t="s">
        <v>76</v>
      </c>
      <c r="G355" s="26">
        <v>0.1</v>
      </c>
      <c r="H355" s="26"/>
      <c r="I355" s="26">
        <v>3.7679999999999998</v>
      </c>
      <c r="J355" s="27">
        <v>90.28</v>
      </c>
      <c r="M355" s="28">
        <f>ROUND(ROUND(J355, 2)*I355, 2)</f>
        <v>340.18</v>
      </c>
      <c r="P355" s="29">
        <v>88.8</v>
      </c>
      <c r="S355" s="28">
        <f>ROUND(ROUND(P355, 2)*I355, 2)</f>
        <v>334.6</v>
      </c>
      <c r="V355" s="9">
        <f>ROUND(ROUND(P355, 2)/1.2, 2)</f>
        <v>74</v>
      </c>
      <c r="Y355" s="9">
        <f t="shared" si="17"/>
        <v>278.83</v>
      </c>
      <c r="AD355" s="4" t="s">
        <v>1494</v>
      </c>
      <c r="AE355" s="4" t="s">
        <v>1495</v>
      </c>
      <c r="AF355" s="4" t="s">
        <v>512</v>
      </c>
    </row>
    <row r="356" spans="1:35" ht="36" x14ac:dyDescent="0.3">
      <c r="A356" s="10" t="s">
        <v>1496</v>
      </c>
      <c r="B356" s="10"/>
      <c r="C356" s="24" t="s">
        <v>1476</v>
      </c>
      <c r="D356" s="15"/>
      <c r="E356" s="15"/>
      <c r="F356" s="25" t="s">
        <v>76</v>
      </c>
      <c r="G356" s="26">
        <v>0.3</v>
      </c>
      <c r="H356" s="26"/>
      <c r="I356" s="26">
        <v>11.304</v>
      </c>
      <c r="J356" s="27">
        <v>72.94</v>
      </c>
      <c r="M356" s="28">
        <f>ROUND(ROUND(J356, 2)*I356, 2)</f>
        <v>824.51</v>
      </c>
      <c r="P356" s="29">
        <v>315.24</v>
      </c>
      <c r="S356" s="28">
        <f>ROUND(ROUND(P356, 2)*I356, 2)</f>
        <v>3563.47</v>
      </c>
      <c r="V356" s="9">
        <f>ROUND(ROUND(P356, 2)/1.2, 2)</f>
        <v>262.7</v>
      </c>
      <c r="Y356" s="9">
        <f t="shared" si="17"/>
        <v>2969.56</v>
      </c>
      <c r="AD356" s="4" t="s">
        <v>1497</v>
      </c>
      <c r="AE356" s="4" t="s">
        <v>1498</v>
      </c>
      <c r="AF356" s="4" t="s">
        <v>1479</v>
      </c>
    </row>
    <row r="357" spans="1:35" ht="54" x14ac:dyDescent="0.3">
      <c r="A357" s="10" t="s">
        <v>1499</v>
      </c>
      <c r="B357" s="10" t="s">
        <v>1500</v>
      </c>
      <c r="C357" s="14" t="s">
        <v>1501</v>
      </c>
      <c r="D357" s="15"/>
      <c r="E357" s="15" t="s">
        <v>1502</v>
      </c>
      <c r="F357" s="15" t="s">
        <v>57</v>
      </c>
      <c r="G357" s="16">
        <v>1</v>
      </c>
      <c r="H357" s="16"/>
      <c r="I357" s="16">
        <v>37.44</v>
      </c>
      <c r="J357" s="17">
        <f>IFERROR(ROUND(SUM(M358,M359,M360)/I357, 2),0)</f>
        <v>243</v>
      </c>
      <c r="K357" s="18">
        <v>1291</v>
      </c>
      <c r="L357" s="17">
        <f>J357+ROUND(K357, 2)</f>
        <v>1534</v>
      </c>
      <c r="M357" s="17">
        <f>ROUND(J357*I357, 2)</f>
        <v>9097.92</v>
      </c>
      <c r="N357" s="17">
        <f>ROUND(I357*ROUND(K357, 2), 2)</f>
        <v>48335.040000000001</v>
      </c>
      <c r="O357" s="17">
        <f>M357+N357</f>
        <v>57432.959999999999</v>
      </c>
      <c r="P357" s="17">
        <f>IFERROR(ROUND(SUM(S358,S359,S360)/I357, 2),0)</f>
        <v>1915</v>
      </c>
      <c r="Q357" s="19">
        <v>1291</v>
      </c>
      <c r="R357" s="17">
        <f>P357+ROUND(Q357, 2)</f>
        <v>3206</v>
      </c>
      <c r="S357" s="17">
        <f>ROUND(P357*I357, 2)</f>
        <v>71697.600000000006</v>
      </c>
      <c r="T357" s="17">
        <f>ROUND(I357*ROUND(Q357, 2), 2)</f>
        <v>48335.040000000001</v>
      </c>
      <c r="U357" s="17">
        <f>S357+T357</f>
        <v>120032.64000000001</v>
      </c>
      <c r="V357" s="9">
        <f>ROUND(P357 / 1.2, 2)</f>
        <v>1595.83</v>
      </c>
      <c r="W357" s="9">
        <f>ROUND(Q357 / 1.2, 2)</f>
        <v>1075.83</v>
      </c>
      <c r="X357" s="9">
        <f>ROUND(R357 / 1.2, 2)</f>
        <v>2671.67</v>
      </c>
      <c r="Y357" s="9">
        <f t="shared" si="17"/>
        <v>59748</v>
      </c>
      <c r="Z357" s="9">
        <f>ROUND(T357 / 1.2, 2)</f>
        <v>40279.199999999997</v>
      </c>
      <c r="AA357" s="9">
        <f>Y357+Z357</f>
        <v>100027.2</v>
      </c>
      <c r="AD357" s="4">
        <v>341534343</v>
      </c>
      <c r="AE357" s="4">
        <v>28274327</v>
      </c>
      <c r="AG357" s="4" t="s">
        <v>1503</v>
      </c>
      <c r="AH357" s="4" t="s">
        <v>1504</v>
      </c>
      <c r="AI357" s="4" t="s">
        <v>241</v>
      </c>
    </row>
    <row r="358" spans="1:35" ht="18" x14ac:dyDescent="0.3">
      <c r="A358" s="10" t="s">
        <v>1505</v>
      </c>
      <c r="B358" s="10"/>
      <c r="C358" s="24" t="s">
        <v>1506</v>
      </c>
      <c r="D358" s="15"/>
      <c r="E358" s="15"/>
      <c r="F358" s="25" t="s">
        <v>98</v>
      </c>
      <c r="G358" s="26">
        <v>1</v>
      </c>
      <c r="H358" s="36"/>
      <c r="I358" s="36">
        <v>22</v>
      </c>
      <c r="J358" s="27">
        <v>81.34</v>
      </c>
      <c r="M358" s="28">
        <f>ROUND(ROUND(J358, 2)*I358, 2)</f>
        <v>1789.48</v>
      </c>
      <c r="P358" s="29">
        <v>81.34</v>
      </c>
      <c r="S358" s="28">
        <f>ROUND(ROUND(P358, 2)*I358, 2)</f>
        <v>1789.48</v>
      </c>
      <c r="V358" s="9">
        <f>ROUND(ROUND(P358, 2)/1.2, 2)</f>
        <v>67.78</v>
      </c>
      <c r="Y358" s="9">
        <f t="shared" si="17"/>
        <v>1491.23</v>
      </c>
      <c r="AD358" s="4" t="s">
        <v>1507</v>
      </c>
      <c r="AE358" s="4" t="s">
        <v>1508</v>
      </c>
      <c r="AF358" s="4" t="s">
        <v>1509</v>
      </c>
    </row>
    <row r="359" spans="1:35" ht="18" x14ac:dyDescent="0.3">
      <c r="A359" s="10" t="s">
        <v>1510</v>
      </c>
      <c r="B359" s="10"/>
      <c r="C359" s="24" t="s">
        <v>181</v>
      </c>
      <c r="D359" s="15"/>
      <c r="E359" s="15"/>
      <c r="F359" s="25" t="s">
        <v>123</v>
      </c>
      <c r="G359" s="26">
        <v>1</v>
      </c>
      <c r="H359" s="36"/>
      <c r="I359" s="36">
        <v>201</v>
      </c>
      <c r="J359" s="27">
        <v>36.36</v>
      </c>
      <c r="M359" s="28">
        <f>ROUND(ROUND(J359, 2)*I359, 2)</f>
        <v>7308.36</v>
      </c>
      <c r="P359" s="29">
        <v>36.36</v>
      </c>
      <c r="S359" s="28">
        <f>ROUND(ROUND(P359, 2)*I359, 2)</f>
        <v>7308.36</v>
      </c>
      <c r="V359" s="9">
        <f>ROUND(ROUND(P359, 2)/1.2, 2)</f>
        <v>30.3</v>
      </c>
      <c r="Y359" s="9">
        <f t="shared" si="17"/>
        <v>6090.3</v>
      </c>
      <c r="AD359" s="4" t="s">
        <v>1511</v>
      </c>
      <c r="AE359" s="4" t="s">
        <v>1512</v>
      </c>
      <c r="AF359" s="4" t="s">
        <v>184</v>
      </c>
    </row>
    <row r="360" spans="1:35" ht="18" x14ac:dyDescent="0.3">
      <c r="A360" s="10" t="s">
        <v>1513</v>
      </c>
      <c r="B360" s="10"/>
      <c r="C360" s="24" t="s">
        <v>1514</v>
      </c>
      <c r="D360" s="15"/>
      <c r="E360" s="15"/>
      <c r="F360" s="25" t="s">
        <v>57</v>
      </c>
      <c r="G360" s="26">
        <v>1.1000000000000001</v>
      </c>
      <c r="H360" s="26"/>
      <c r="I360" s="26">
        <v>41.183999999999997</v>
      </c>
      <c r="J360" s="27">
        <v>0</v>
      </c>
      <c r="M360" s="28">
        <f>ROUND(ROUND(J360, 2)*I360, 2)</f>
        <v>0</v>
      </c>
      <c r="P360" s="29">
        <v>1520</v>
      </c>
      <c r="S360" s="28">
        <f>ROUND(ROUND(P360, 2)*I360, 2)</f>
        <v>62599.68</v>
      </c>
      <c r="V360" s="9">
        <f>ROUND(ROUND(P360, 2)/1.2, 2)</f>
        <v>1266.67</v>
      </c>
      <c r="Y360" s="9">
        <f t="shared" si="17"/>
        <v>52166.400000000001</v>
      </c>
      <c r="AD360" s="4" t="s">
        <v>1515</v>
      </c>
      <c r="AE360" s="4" t="s">
        <v>1516</v>
      </c>
      <c r="AF360" s="4" t="s">
        <v>1517</v>
      </c>
    </row>
    <row r="361" spans="1:35" ht="36" x14ac:dyDescent="0.3">
      <c r="A361" s="10" t="s">
        <v>1518</v>
      </c>
      <c r="B361" s="10" t="s">
        <v>1519</v>
      </c>
      <c r="C361" s="14" t="s">
        <v>1520</v>
      </c>
      <c r="D361" s="15"/>
      <c r="E361" s="15" t="s">
        <v>1472</v>
      </c>
      <c r="F361" s="15" t="s">
        <v>57</v>
      </c>
      <c r="G361" s="16">
        <v>1</v>
      </c>
      <c r="H361" s="16"/>
      <c r="I361" s="16">
        <v>25.45</v>
      </c>
      <c r="J361" s="17">
        <f>IFERROR(ROUND(SUM(M362,M363,M364,M365,M366,M367)/I361, 2),0)</f>
        <v>892.1</v>
      </c>
      <c r="K361" s="18">
        <v>1422</v>
      </c>
      <c r="L361" s="17">
        <f>J361+ROUND(K361, 2)</f>
        <v>2314.1</v>
      </c>
      <c r="M361" s="17">
        <f>ROUND(J361*I361, 2)</f>
        <v>22703.95</v>
      </c>
      <c r="N361" s="17">
        <f>ROUND(I361*ROUND(K361, 2), 2)</f>
        <v>36189.9</v>
      </c>
      <c r="O361" s="17">
        <f>M361+N361</f>
        <v>58893.850000000006</v>
      </c>
      <c r="P361" s="17">
        <f>IFERROR(ROUND(SUM(S362,S363,S364,S365,S366,S367)/I361, 2),0)</f>
        <v>878.74</v>
      </c>
      <c r="Q361" s="19">
        <v>1422</v>
      </c>
      <c r="R361" s="17">
        <f>P361+ROUND(Q361, 2)</f>
        <v>2300.7399999999998</v>
      </c>
      <c r="S361" s="17">
        <f>ROUND(P361*I361, 2)</f>
        <v>22363.93</v>
      </c>
      <c r="T361" s="17">
        <f>ROUND(I361*ROUND(Q361, 2), 2)</f>
        <v>36189.9</v>
      </c>
      <c r="U361" s="17">
        <f>S361+T361</f>
        <v>58553.83</v>
      </c>
      <c r="V361" s="9">
        <f>ROUND(P361 / 1.2, 2)</f>
        <v>732.28</v>
      </c>
      <c r="W361" s="9">
        <f>ROUND(Q361 / 1.2, 2)</f>
        <v>1185</v>
      </c>
      <c r="X361" s="9">
        <f>ROUND(R361 / 1.2, 2)</f>
        <v>1917.28</v>
      </c>
      <c r="Y361" s="9">
        <f t="shared" si="17"/>
        <v>18636.61</v>
      </c>
      <c r="Z361" s="9">
        <f>ROUND(T361 / 1.2, 2)</f>
        <v>30158.25</v>
      </c>
      <c r="AA361" s="9">
        <f>Y361+Z361</f>
        <v>48794.86</v>
      </c>
      <c r="AD361" s="4">
        <v>341534345</v>
      </c>
      <c r="AE361" s="4">
        <v>28274326</v>
      </c>
      <c r="AG361" s="4" t="s">
        <v>1521</v>
      </c>
      <c r="AH361" s="4" t="s">
        <v>1522</v>
      </c>
      <c r="AI361" s="4" t="s">
        <v>241</v>
      </c>
    </row>
    <row r="362" spans="1:35" ht="18" x14ac:dyDescent="0.3">
      <c r="A362" s="10" t="s">
        <v>1523</v>
      </c>
      <c r="B362" s="10"/>
      <c r="C362" s="24" t="s">
        <v>1524</v>
      </c>
      <c r="D362" s="15"/>
      <c r="E362" s="15"/>
      <c r="F362" s="25" t="s">
        <v>98</v>
      </c>
      <c r="G362" s="26">
        <v>44</v>
      </c>
      <c r="H362" s="26"/>
      <c r="I362" s="26">
        <v>1119.8</v>
      </c>
      <c r="J362" s="27">
        <v>0.96</v>
      </c>
      <c r="M362" s="28">
        <f t="shared" ref="M362:M367" si="18">ROUND(ROUND(J362, 2)*I362, 2)</f>
        <v>1075.01</v>
      </c>
      <c r="P362" s="29">
        <v>0.96</v>
      </c>
      <c r="S362" s="28">
        <f t="shared" ref="S362:S367" si="19">ROUND(ROUND(P362, 2)*I362, 2)</f>
        <v>1075.01</v>
      </c>
      <c r="V362" s="9">
        <f t="shared" ref="V362:V367" si="20">ROUND(ROUND(P362, 2)/1.2, 2)</f>
        <v>0.8</v>
      </c>
      <c r="Y362" s="9">
        <f t="shared" si="17"/>
        <v>895.84</v>
      </c>
      <c r="AD362" s="4" t="s">
        <v>1525</v>
      </c>
      <c r="AE362" s="4" t="s">
        <v>1526</v>
      </c>
      <c r="AF362" s="4" t="s">
        <v>1527</v>
      </c>
    </row>
    <row r="363" spans="1:35" ht="18" x14ac:dyDescent="0.3">
      <c r="A363" s="10" t="s">
        <v>1528</v>
      </c>
      <c r="B363" s="10"/>
      <c r="C363" s="24" t="s">
        <v>1529</v>
      </c>
      <c r="D363" s="15"/>
      <c r="E363" s="15"/>
      <c r="F363" s="25" t="s">
        <v>76</v>
      </c>
      <c r="G363" s="26">
        <v>0.35</v>
      </c>
      <c r="H363" s="26"/>
      <c r="I363" s="26">
        <v>8.9079999999999995</v>
      </c>
      <c r="J363" s="27">
        <v>55.91</v>
      </c>
      <c r="M363" s="28">
        <f t="shared" si="18"/>
        <v>498.05</v>
      </c>
      <c r="P363" s="29">
        <v>55.91</v>
      </c>
      <c r="S363" s="28">
        <f t="shared" si="19"/>
        <v>498.05</v>
      </c>
      <c r="V363" s="9">
        <f t="shared" si="20"/>
        <v>46.59</v>
      </c>
      <c r="Y363" s="9">
        <f t="shared" si="17"/>
        <v>415.04</v>
      </c>
      <c r="AD363" s="4" t="s">
        <v>1530</v>
      </c>
      <c r="AE363" s="4" t="s">
        <v>1531</v>
      </c>
      <c r="AF363" s="4" t="s">
        <v>1532</v>
      </c>
    </row>
    <row r="364" spans="1:35" ht="18" x14ac:dyDescent="0.3">
      <c r="A364" s="10" t="s">
        <v>1533</v>
      </c>
      <c r="B364" s="10"/>
      <c r="C364" s="24" t="s">
        <v>1506</v>
      </c>
      <c r="D364" s="15"/>
      <c r="E364" s="15"/>
      <c r="F364" s="25" t="s">
        <v>98</v>
      </c>
      <c r="G364" s="26">
        <v>2.2200000000000002</v>
      </c>
      <c r="H364" s="26"/>
      <c r="I364" s="26">
        <v>56.499000000000002</v>
      </c>
      <c r="J364" s="27">
        <v>81.34</v>
      </c>
      <c r="M364" s="28">
        <f t="shared" si="18"/>
        <v>4595.63</v>
      </c>
      <c r="P364" s="29">
        <v>81.34</v>
      </c>
      <c r="S364" s="28">
        <f t="shared" si="19"/>
        <v>4595.63</v>
      </c>
      <c r="V364" s="9">
        <f t="shared" si="20"/>
        <v>67.78</v>
      </c>
      <c r="Y364" s="9">
        <f t="shared" si="17"/>
        <v>3829.69</v>
      </c>
      <c r="AD364" s="4" t="s">
        <v>1534</v>
      </c>
      <c r="AE364" s="4" t="s">
        <v>1535</v>
      </c>
      <c r="AF364" s="4" t="s">
        <v>1509</v>
      </c>
    </row>
    <row r="365" spans="1:35" ht="36" x14ac:dyDescent="0.3">
      <c r="A365" s="10" t="s">
        <v>1536</v>
      </c>
      <c r="B365" s="10"/>
      <c r="C365" s="35" t="s">
        <v>1537</v>
      </c>
      <c r="D365" s="15"/>
      <c r="E365" s="15"/>
      <c r="F365" s="25" t="s">
        <v>123</v>
      </c>
      <c r="G365" s="26">
        <v>13.5</v>
      </c>
      <c r="H365" s="26"/>
      <c r="I365" s="26">
        <v>343.57499999999999</v>
      </c>
      <c r="J365" s="27">
        <v>35.11</v>
      </c>
      <c r="M365" s="28">
        <f t="shared" si="18"/>
        <v>12062.92</v>
      </c>
      <c r="P365" s="29">
        <v>34.119999999999997</v>
      </c>
      <c r="S365" s="28">
        <f t="shared" si="19"/>
        <v>11722.78</v>
      </c>
      <c r="V365" s="9">
        <f t="shared" si="20"/>
        <v>28.43</v>
      </c>
      <c r="Y365" s="9">
        <f t="shared" si="17"/>
        <v>9768.98</v>
      </c>
      <c r="AD365" s="4" t="s">
        <v>1538</v>
      </c>
      <c r="AE365" s="4" t="s">
        <v>1539</v>
      </c>
      <c r="AF365" s="4" t="s">
        <v>1540</v>
      </c>
    </row>
    <row r="366" spans="1:35" ht="18" x14ac:dyDescent="0.3">
      <c r="A366" s="10" t="s">
        <v>1541</v>
      </c>
      <c r="B366" s="10"/>
      <c r="C366" s="24" t="s">
        <v>1542</v>
      </c>
      <c r="D366" s="15"/>
      <c r="E366" s="15"/>
      <c r="F366" s="25" t="s">
        <v>98</v>
      </c>
      <c r="G366" s="26">
        <v>33.75</v>
      </c>
      <c r="H366" s="26"/>
      <c r="I366" s="26">
        <v>858.93799999999999</v>
      </c>
      <c r="J366" s="27">
        <v>0.92</v>
      </c>
      <c r="M366" s="28">
        <f t="shared" si="18"/>
        <v>790.22</v>
      </c>
      <c r="P366" s="29">
        <v>0.92</v>
      </c>
      <c r="S366" s="28">
        <f t="shared" si="19"/>
        <v>790.22</v>
      </c>
      <c r="V366" s="9">
        <f t="shared" si="20"/>
        <v>0.77</v>
      </c>
      <c r="Y366" s="9">
        <f t="shared" si="17"/>
        <v>658.52</v>
      </c>
      <c r="AD366" s="4" t="s">
        <v>1543</v>
      </c>
      <c r="AE366" s="4" t="s">
        <v>1544</v>
      </c>
      <c r="AF366" s="4" t="s">
        <v>1545</v>
      </c>
    </row>
    <row r="367" spans="1:35" ht="36" x14ac:dyDescent="0.3">
      <c r="A367" s="10" t="s">
        <v>1546</v>
      </c>
      <c r="B367" s="10"/>
      <c r="C367" s="24" t="s">
        <v>117</v>
      </c>
      <c r="D367" s="15"/>
      <c r="E367" s="15"/>
      <c r="F367" s="25" t="s">
        <v>57</v>
      </c>
      <c r="G367" s="26">
        <v>1.05</v>
      </c>
      <c r="H367" s="26"/>
      <c r="I367" s="26">
        <v>26.722999999999999</v>
      </c>
      <c r="J367" s="27">
        <v>137.79</v>
      </c>
      <c r="M367" s="28">
        <f t="shared" si="18"/>
        <v>3682.16</v>
      </c>
      <c r="P367" s="29">
        <v>137.79</v>
      </c>
      <c r="S367" s="28">
        <f t="shared" si="19"/>
        <v>3682.16</v>
      </c>
      <c r="V367" s="9">
        <f t="shared" si="20"/>
        <v>114.83</v>
      </c>
      <c r="Y367" s="9">
        <f t="shared" si="17"/>
        <v>3068.47</v>
      </c>
      <c r="AD367" s="4" t="s">
        <v>1547</v>
      </c>
      <c r="AE367" s="4" t="s">
        <v>1548</v>
      </c>
      <c r="AF367" s="4" t="s">
        <v>120</v>
      </c>
    </row>
    <row r="368" spans="1:35" ht="36" x14ac:dyDescent="0.3">
      <c r="A368" s="10" t="s">
        <v>1549</v>
      </c>
      <c r="B368" s="10" t="s">
        <v>1519</v>
      </c>
      <c r="C368" s="14" t="s">
        <v>1520</v>
      </c>
      <c r="D368" s="15"/>
      <c r="E368" s="15" t="s">
        <v>1484</v>
      </c>
      <c r="F368" s="15" t="s">
        <v>57</v>
      </c>
      <c r="G368" s="16">
        <v>1</v>
      </c>
      <c r="H368" s="16"/>
      <c r="I368" s="16">
        <v>2.5499999999999998</v>
      </c>
      <c r="J368" s="17">
        <f>IFERROR(ROUND(SUM(M369,M370,M371,M372,M373,M374)/I368, 2),0)</f>
        <v>892.14</v>
      </c>
      <c r="K368" s="18">
        <v>1422</v>
      </c>
      <c r="L368" s="17">
        <f>J368+ROUND(K368, 2)</f>
        <v>2314.14</v>
      </c>
      <c r="M368" s="17">
        <f>ROUND(J368*I368, 2)</f>
        <v>2274.96</v>
      </c>
      <c r="N368" s="17">
        <f>ROUND(I368*ROUND(K368, 2), 2)</f>
        <v>3626.1</v>
      </c>
      <c r="O368" s="17">
        <f>M368+N368</f>
        <v>5901.0599999999995</v>
      </c>
      <c r="P368" s="17">
        <f>IFERROR(ROUND(SUM(S369,S370,S371,S372,S373,S374)/I368, 2),0)</f>
        <v>878.77</v>
      </c>
      <c r="Q368" s="19">
        <v>1422</v>
      </c>
      <c r="R368" s="17">
        <f>P368+ROUND(Q368, 2)</f>
        <v>2300.77</v>
      </c>
      <c r="S368" s="17">
        <f>ROUND(P368*I368, 2)</f>
        <v>2240.86</v>
      </c>
      <c r="T368" s="17">
        <f>ROUND(I368*ROUND(Q368, 2), 2)</f>
        <v>3626.1</v>
      </c>
      <c r="U368" s="17">
        <f>S368+T368</f>
        <v>5866.96</v>
      </c>
      <c r="V368" s="9">
        <f>ROUND(P368 / 1.2, 2)</f>
        <v>732.31</v>
      </c>
      <c r="W368" s="9">
        <f>ROUND(Q368 / 1.2, 2)</f>
        <v>1185</v>
      </c>
      <c r="X368" s="9">
        <f>ROUND(R368 / 1.2, 2)</f>
        <v>1917.31</v>
      </c>
      <c r="Y368" s="9">
        <f t="shared" si="17"/>
        <v>1867.38</v>
      </c>
      <c r="Z368" s="9">
        <f>ROUND(T368 / 1.2, 2)</f>
        <v>3021.75</v>
      </c>
      <c r="AA368" s="9">
        <f>Y368+Z368</f>
        <v>4889.13</v>
      </c>
      <c r="AD368" s="4">
        <v>341534420</v>
      </c>
      <c r="AE368" s="4">
        <v>28274325</v>
      </c>
      <c r="AG368" s="4" t="s">
        <v>1521</v>
      </c>
      <c r="AH368" s="4" t="s">
        <v>1522</v>
      </c>
      <c r="AI368" s="4" t="s">
        <v>241</v>
      </c>
    </row>
    <row r="369" spans="1:35" ht="36" x14ac:dyDescent="0.3">
      <c r="A369" s="10" t="s">
        <v>1550</v>
      </c>
      <c r="B369" s="10"/>
      <c r="C369" s="24" t="s">
        <v>117</v>
      </c>
      <c r="D369" s="15"/>
      <c r="E369" s="15"/>
      <c r="F369" s="25" t="s">
        <v>57</v>
      </c>
      <c r="G369" s="26">
        <v>1.05</v>
      </c>
      <c r="H369" s="26"/>
      <c r="I369" s="26">
        <v>2.6779999999999999</v>
      </c>
      <c r="J369" s="27">
        <v>137.79</v>
      </c>
      <c r="M369" s="28">
        <f t="shared" ref="M369:M374" si="21">ROUND(ROUND(J369, 2)*I369, 2)</f>
        <v>369</v>
      </c>
      <c r="P369" s="29">
        <v>137.79</v>
      </c>
      <c r="S369" s="28">
        <f t="shared" ref="S369:S374" si="22">ROUND(ROUND(P369, 2)*I369, 2)</f>
        <v>369</v>
      </c>
      <c r="V369" s="9">
        <f t="shared" ref="V369:V374" si="23">ROUND(ROUND(P369, 2)/1.2, 2)</f>
        <v>114.83</v>
      </c>
      <c r="Y369" s="9">
        <f t="shared" si="17"/>
        <v>307.5</v>
      </c>
      <c r="AD369" s="4" t="s">
        <v>1551</v>
      </c>
      <c r="AE369" s="4" t="s">
        <v>1552</v>
      </c>
      <c r="AF369" s="4" t="s">
        <v>120</v>
      </c>
    </row>
    <row r="370" spans="1:35" ht="18" x14ac:dyDescent="0.3">
      <c r="A370" s="10" t="s">
        <v>1553</v>
      </c>
      <c r="B370" s="10"/>
      <c r="C370" s="24" t="s">
        <v>1542</v>
      </c>
      <c r="D370" s="15"/>
      <c r="E370" s="15"/>
      <c r="F370" s="25" t="s">
        <v>98</v>
      </c>
      <c r="G370" s="26">
        <v>33.75</v>
      </c>
      <c r="H370" s="26"/>
      <c r="I370" s="26">
        <v>86.063000000000002</v>
      </c>
      <c r="J370" s="27">
        <v>0.92</v>
      </c>
      <c r="M370" s="28">
        <f t="shared" si="21"/>
        <v>79.180000000000007</v>
      </c>
      <c r="P370" s="29">
        <v>0.92</v>
      </c>
      <c r="S370" s="28">
        <f t="shared" si="22"/>
        <v>79.180000000000007</v>
      </c>
      <c r="V370" s="9">
        <f t="shared" si="23"/>
        <v>0.77</v>
      </c>
      <c r="Y370" s="9">
        <f t="shared" si="17"/>
        <v>65.98</v>
      </c>
      <c r="AD370" s="4" t="s">
        <v>1554</v>
      </c>
      <c r="AE370" s="4" t="s">
        <v>1555</v>
      </c>
      <c r="AF370" s="4" t="s">
        <v>1545</v>
      </c>
    </row>
    <row r="371" spans="1:35" ht="36" x14ac:dyDescent="0.3">
      <c r="A371" s="10" t="s">
        <v>1556</v>
      </c>
      <c r="B371" s="10"/>
      <c r="C371" s="35" t="s">
        <v>1537</v>
      </c>
      <c r="D371" s="15"/>
      <c r="E371" s="15"/>
      <c r="F371" s="25" t="s">
        <v>123</v>
      </c>
      <c r="G371" s="26">
        <v>13.5</v>
      </c>
      <c r="H371" s="26"/>
      <c r="I371" s="26">
        <v>34.424999999999997</v>
      </c>
      <c r="J371" s="27">
        <v>35.11</v>
      </c>
      <c r="M371" s="28">
        <f t="shared" si="21"/>
        <v>1208.6600000000001</v>
      </c>
      <c r="P371" s="29">
        <v>34.119999999999997</v>
      </c>
      <c r="S371" s="28">
        <f t="shared" si="22"/>
        <v>1174.58</v>
      </c>
      <c r="V371" s="9">
        <f t="shared" si="23"/>
        <v>28.43</v>
      </c>
      <c r="Y371" s="9">
        <f t="shared" si="17"/>
        <v>978.82</v>
      </c>
      <c r="AD371" s="4" t="s">
        <v>1557</v>
      </c>
      <c r="AE371" s="4" t="s">
        <v>1558</v>
      </c>
      <c r="AF371" s="4" t="s">
        <v>1540</v>
      </c>
    </row>
    <row r="372" spans="1:35" ht="18" x14ac:dyDescent="0.3">
      <c r="A372" s="10" t="s">
        <v>1559</v>
      </c>
      <c r="B372" s="10"/>
      <c r="C372" s="24" t="s">
        <v>1506</v>
      </c>
      <c r="D372" s="15"/>
      <c r="E372" s="15"/>
      <c r="F372" s="25" t="s">
        <v>98</v>
      </c>
      <c r="G372" s="26">
        <v>2.2200000000000002</v>
      </c>
      <c r="H372" s="26"/>
      <c r="I372" s="26">
        <v>5.6609999999999996</v>
      </c>
      <c r="J372" s="27">
        <v>81.34</v>
      </c>
      <c r="M372" s="28">
        <f t="shared" si="21"/>
        <v>460.47</v>
      </c>
      <c r="P372" s="29">
        <v>81.34</v>
      </c>
      <c r="S372" s="28">
        <f t="shared" si="22"/>
        <v>460.47</v>
      </c>
      <c r="V372" s="9">
        <f t="shared" si="23"/>
        <v>67.78</v>
      </c>
      <c r="Y372" s="9">
        <f t="shared" si="17"/>
        <v>383.73</v>
      </c>
      <c r="AD372" s="4" t="s">
        <v>1560</v>
      </c>
      <c r="AE372" s="4" t="s">
        <v>1561</v>
      </c>
      <c r="AF372" s="4" t="s">
        <v>1509</v>
      </c>
    </row>
    <row r="373" spans="1:35" ht="18" x14ac:dyDescent="0.3">
      <c r="A373" s="10" t="s">
        <v>1562</v>
      </c>
      <c r="B373" s="10"/>
      <c r="C373" s="24" t="s">
        <v>1529</v>
      </c>
      <c r="D373" s="15"/>
      <c r="E373" s="15"/>
      <c r="F373" s="25" t="s">
        <v>76</v>
      </c>
      <c r="G373" s="26">
        <v>0.35</v>
      </c>
      <c r="H373" s="26"/>
      <c r="I373" s="26">
        <v>0.89300000000000002</v>
      </c>
      <c r="J373" s="27">
        <v>55.91</v>
      </c>
      <c r="M373" s="28">
        <f t="shared" si="21"/>
        <v>49.93</v>
      </c>
      <c r="P373" s="29">
        <v>55.91</v>
      </c>
      <c r="S373" s="28">
        <f t="shared" si="22"/>
        <v>49.93</v>
      </c>
      <c r="V373" s="9">
        <f t="shared" si="23"/>
        <v>46.59</v>
      </c>
      <c r="Y373" s="9">
        <f t="shared" si="17"/>
        <v>41.61</v>
      </c>
      <c r="AD373" s="4" t="s">
        <v>1563</v>
      </c>
      <c r="AE373" s="4" t="s">
        <v>1564</v>
      </c>
      <c r="AF373" s="4" t="s">
        <v>1532</v>
      </c>
    </row>
    <row r="374" spans="1:35" ht="18" x14ac:dyDescent="0.3">
      <c r="A374" s="10" t="s">
        <v>1565</v>
      </c>
      <c r="B374" s="10"/>
      <c r="C374" s="24" t="s">
        <v>1524</v>
      </c>
      <c r="D374" s="15"/>
      <c r="E374" s="15"/>
      <c r="F374" s="25" t="s">
        <v>98</v>
      </c>
      <c r="G374" s="26">
        <v>44</v>
      </c>
      <c r="H374" s="26"/>
      <c r="I374" s="26">
        <v>112.2</v>
      </c>
      <c r="J374" s="27">
        <v>0.96</v>
      </c>
      <c r="M374" s="28">
        <f t="shared" si="21"/>
        <v>107.71</v>
      </c>
      <c r="P374" s="29">
        <v>0.96</v>
      </c>
      <c r="S374" s="28">
        <f t="shared" si="22"/>
        <v>107.71</v>
      </c>
      <c r="V374" s="9">
        <f t="shared" si="23"/>
        <v>0.8</v>
      </c>
      <c r="Y374" s="9">
        <f t="shared" si="17"/>
        <v>89.76</v>
      </c>
      <c r="AD374" s="4" t="s">
        <v>1566</v>
      </c>
      <c r="AE374" s="4" t="s">
        <v>1567</v>
      </c>
      <c r="AF374" s="4" t="s">
        <v>1527</v>
      </c>
    </row>
    <row r="375" spans="1:35" ht="16.95" customHeight="1" x14ac:dyDescent="0.3">
      <c r="A375" s="10" t="s">
        <v>1568</v>
      </c>
      <c r="B375" s="10" t="s">
        <v>1569</v>
      </c>
      <c r="C375" s="121" t="s">
        <v>1570</v>
      </c>
      <c r="D375" s="122"/>
      <c r="E375" s="122"/>
      <c r="F375" s="122"/>
      <c r="G375" s="122"/>
      <c r="H375" s="122"/>
      <c r="I375" s="123"/>
      <c r="M375" s="6">
        <f>SUM(M376,M407)</f>
        <v>642121.26</v>
      </c>
      <c r="N375" s="6">
        <f>SUM(N376,N407)</f>
        <v>4843200.9600000009</v>
      </c>
      <c r="O375" s="6">
        <f>SUM(O376,O407)</f>
        <v>5485322.2199999997</v>
      </c>
      <c r="S375" s="6">
        <f>SUM(S376,S407)</f>
        <v>561691.89000000013</v>
      </c>
      <c r="T375" s="6">
        <f>SUM(T376,T407)</f>
        <v>4843200.9600000009</v>
      </c>
      <c r="U375" s="6">
        <f>SUM(U376,U407)</f>
        <v>5404892.8499999996</v>
      </c>
      <c r="Y375" s="9">
        <f>SUM(Y376,Y407)</f>
        <v>468076.57000000007</v>
      </c>
      <c r="Z375" s="9">
        <f>SUM(Z376,Z407)</f>
        <v>4036000.7900000005</v>
      </c>
      <c r="AA375" s="9">
        <f>SUM(AA376,AA407)</f>
        <v>4504077.3600000003</v>
      </c>
      <c r="AD375" s="4">
        <v>341534346</v>
      </c>
      <c r="AE375" s="4">
        <v>25837338</v>
      </c>
    </row>
    <row r="376" spans="1:35" ht="16.95" customHeight="1" x14ac:dyDescent="0.3">
      <c r="A376" s="10" t="s">
        <v>1571</v>
      </c>
      <c r="B376" s="10" t="s">
        <v>1572</v>
      </c>
      <c r="C376" s="121" t="s">
        <v>1573</v>
      </c>
      <c r="D376" s="122"/>
      <c r="E376" s="122"/>
      <c r="F376" s="122"/>
      <c r="G376" s="122"/>
      <c r="H376" s="122"/>
      <c r="I376" s="123"/>
      <c r="M376" s="6">
        <f>SUM(M377,M380,M383,M386,M389,M392,M395,M398,M401,M404)</f>
        <v>481977.29000000004</v>
      </c>
      <c r="N376" s="6">
        <f>SUM(N377,N380,N383,N386,N389,N392,N395,N398,N401,N404)</f>
        <v>3954540.6000000006</v>
      </c>
      <c r="O376" s="6">
        <f>SUM(O377,O380,O383,O386,O389,O392,O395,O398,O401,O404)</f>
        <v>4436517.8899999997</v>
      </c>
      <c r="S376" s="6">
        <f>SUM(S377,S380,S383,S386,S389,S392,S395,S398,S401,S404)</f>
        <v>364672.31000000006</v>
      </c>
      <c r="T376" s="6">
        <f>SUM(T377,T380,T383,T386,T389,T392,T395,T398,T401,T404)</f>
        <v>3954540.6000000006</v>
      </c>
      <c r="U376" s="6">
        <f>SUM(U377,U380,U383,U386,U389,U392,U395,U398,U401,U404)</f>
        <v>4319212.91</v>
      </c>
      <c r="Y376" s="9">
        <f>SUM(Y377,Y380,Y383,Y386,Y389,Y392,Y395,Y398,Y401,Y404)</f>
        <v>303893.58</v>
      </c>
      <c r="Z376" s="9">
        <f>SUM(Z377,Z380,Z383,Z386,Z389,Z392,Z395,Z398,Z401,Z404)</f>
        <v>3295450.5000000005</v>
      </c>
      <c r="AA376" s="9">
        <f>SUM(AA377,AA380,AA383,AA386,AA389,AA392,AA395,AA398,AA401,AA404)</f>
        <v>3599344.08</v>
      </c>
      <c r="AD376" s="4">
        <v>341534347</v>
      </c>
      <c r="AE376" s="4">
        <v>25837352</v>
      </c>
    </row>
    <row r="377" spans="1:35" ht="36" x14ac:dyDescent="0.3">
      <c r="A377" s="10" t="s">
        <v>1574</v>
      </c>
      <c r="B377" s="10" t="s">
        <v>1575</v>
      </c>
      <c r="C377" s="14" t="s">
        <v>1576</v>
      </c>
      <c r="D377" s="15"/>
      <c r="E377" s="15" t="s">
        <v>1577</v>
      </c>
      <c r="F377" s="15" t="s">
        <v>57</v>
      </c>
      <c r="G377" s="16">
        <v>1</v>
      </c>
      <c r="H377" s="16"/>
      <c r="I377" s="16">
        <v>897.5</v>
      </c>
      <c r="J377" s="17">
        <v>130</v>
      </c>
      <c r="K377" s="18">
        <v>718</v>
      </c>
      <c r="L377" s="17">
        <f>J377+ROUND(K377, 2)</f>
        <v>848</v>
      </c>
      <c r="M377" s="17">
        <v>116675</v>
      </c>
      <c r="N377" s="17">
        <v>644405</v>
      </c>
      <c r="O377" s="17">
        <f>M377+N377</f>
        <v>761080</v>
      </c>
      <c r="P377" s="17">
        <v>130</v>
      </c>
      <c r="Q377" s="18">
        <v>718</v>
      </c>
      <c r="R377" s="17">
        <f>P377+ROUND(Q377, 2)</f>
        <v>848</v>
      </c>
      <c r="S377" s="17">
        <v>116675</v>
      </c>
      <c r="T377" s="17">
        <v>644405</v>
      </c>
      <c r="U377" s="17">
        <f>S377+T377</f>
        <v>761080</v>
      </c>
      <c r="V377" s="9">
        <f>ROUND(P377 / 1.2, 2)</f>
        <v>108.33</v>
      </c>
      <c r="W377" s="9">
        <f>ROUND(Q377 / 1.2, 2)</f>
        <v>598.33000000000004</v>
      </c>
      <c r="X377" s="9">
        <f>ROUND(R377 / 1.2, 2)</f>
        <v>706.67</v>
      </c>
      <c r="Y377" s="9">
        <f>ROUND(S377 / 1.2, 2)</f>
        <v>97229.17</v>
      </c>
      <c r="Z377" s="9">
        <f>ROUND(T377 / 1.2, 2)</f>
        <v>537004.17000000004</v>
      </c>
      <c r="AA377" s="9">
        <f>Y377+Z377</f>
        <v>634233.34000000008</v>
      </c>
      <c r="AD377" s="4">
        <v>341534349</v>
      </c>
      <c r="AE377" s="4">
        <v>25837395</v>
      </c>
      <c r="AG377" s="4" t="s">
        <v>1578</v>
      </c>
      <c r="AH377" s="4" t="s">
        <v>1579</v>
      </c>
      <c r="AI377" s="4" t="s">
        <v>241</v>
      </c>
    </row>
    <row r="378" spans="1:35" ht="18" x14ac:dyDescent="0.3">
      <c r="A378" s="10" t="s">
        <v>1580</v>
      </c>
      <c r="B378" s="10"/>
      <c r="C378" s="24" t="s">
        <v>902</v>
      </c>
      <c r="D378" s="15"/>
      <c r="E378" s="15"/>
      <c r="F378" s="25" t="s">
        <v>76</v>
      </c>
      <c r="G378" s="26">
        <v>5</v>
      </c>
      <c r="H378" s="26"/>
      <c r="I378" s="26">
        <v>4487.5</v>
      </c>
      <c r="J378" s="27">
        <v>23</v>
      </c>
      <c r="M378" s="28">
        <f>ROUND(ROUND(J378, 2)*I378, 2)</f>
        <v>103212.5</v>
      </c>
      <c r="P378" s="27">
        <v>23</v>
      </c>
      <c r="S378" s="28">
        <f>ROUND(ROUND(P378, 2)*I378, 2)</f>
        <v>103212.5</v>
      </c>
      <c r="V378" s="9">
        <f>ROUND(ROUND(P378, 2)/1.2, 2)</f>
        <v>19.170000000000002</v>
      </c>
      <c r="Y378" s="9">
        <f t="shared" ref="Y378:Y406" si="24">ROUND(S378 / 1.2, 2)</f>
        <v>86010.42</v>
      </c>
      <c r="AD378" s="4" t="s">
        <v>1581</v>
      </c>
      <c r="AE378" s="4" t="s">
        <v>1582</v>
      </c>
      <c r="AF378" s="4" t="s">
        <v>905</v>
      </c>
    </row>
    <row r="379" spans="1:35" ht="36" x14ac:dyDescent="0.3">
      <c r="A379" s="10" t="s">
        <v>1583</v>
      </c>
      <c r="B379" s="10"/>
      <c r="C379" s="24" t="s">
        <v>310</v>
      </c>
      <c r="D379" s="15"/>
      <c r="E379" s="15" t="s">
        <v>1584</v>
      </c>
      <c r="F379" s="25" t="s">
        <v>76</v>
      </c>
      <c r="G379" s="26">
        <v>0.15</v>
      </c>
      <c r="H379" s="26"/>
      <c r="I379" s="26">
        <v>134.625</v>
      </c>
      <c r="J379" s="27">
        <v>100</v>
      </c>
      <c r="M379" s="28">
        <f>ROUND(ROUND(J379, 2)*I379, 2)</f>
        <v>13462.5</v>
      </c>
      <c r="P379" s="27">
        <v>100</v>
      </c>
      <c r="S379" s="28">
        <f>ROUND(ROUND(P379, 2)*I379, 2)</f>
        <v>13462.5</v>
      </c>
      <c r="V379" s="9">
        <f>ROUND(ROUND(P379, 2)/1.2, 2)</f>
        <v>83.33</v>
      </c>
      <c r="Y379" s="9">
        <f t="shared" si="24"/>
        <v>11218.75</v>
      </c>
      <c r="AD379" s="4" t="s">
        <v>1585</v>
      </c>
      <c r="AE379" s="4" t="s">
        <v>1586</v>
      </c>
      <c r="AF379" s="4" t="s">
        <v>313</v>
      </c>
    </row>
    <row r="380" spans="1:35" ht="36" x14ac:dyDescent="0.3">
      <c r="A380" s="10" t="s">
        <v>1587</v>
      </c>
      <c r="B380" s="10" t="s">
        <v>1575</v>
      </c>
      <c r="C380" s="14" t="s">
        <v>1576</v>
      </c>
      <c r="D380" s="15"/>
      <c r="E380" s="15" t="s">
        <v>1577</v>
      </c>
      <c r="F380" s="15" t="s">
        <v>57</v>
      </c>
      <c r="G380" s="16">
        <v>1</v>
      </c>
      <c r="H380" s="16"/>
      <c r="I380" s="16">
        <v>897.5</v>
      </c>
      <c r="J380" s="17">
        <v>163.32</v>
      </c>
      <c r="K380" s="18">
        <v>718</v>
      </c>
      <c r="L380" s="17">
        <f>J380+ROUND(K380, 2)</f>
        <v>881.31999999999994</v>
      </c>
      <c r="M380" s="17">
        <v>146579.70000000001</v>
      </c>
      <c r="N380" s="17">
        <v>644405</v>
      </c>
      <c r="O380" s="17">
        <f>M380+N380</f>
        <v>790984.7</v>
      </c>
      <c r="P380" s="17">
        <v>44.77</v>
      </c>
      <c r="Q380" s="18">
        <v>718</v>
      </c>
      <c r="R380" s="17">
        <f>P380+ROUND(Q380, 2)</f>
        <v>762.77</v>
      </c>
      <c r="S380" s="17">
        <v>40181.08</v>
      </c>
      <c r="T380" s="17">
        <v>644405</v>
      </c>
      <c r="U380" s="17">
        <f>S380+T380</f>
        <v>684586.08</v>
      </c>
      <c r="V380" s="9">
        <f>ROUND(P380 / 1.2, 2)</f>
        <v>37.31</v>
      </c>
      <c r="W380" s="9">
        <f>ROUND(Q380 / 1.2, 2)</f>
        <v>598.33000000000004</v>
      </c>
      <c r="X380" s="9">
        <f>ROUND(R380 / 1.2, 2)</f>
        <v>635.64</v>
      </c>
      <c r="Y380" s="9">
        <f t="shared" si="24"/>
        <v>33484.230000000003</v>
      </c>
      <c r="Z380" s="9">
        <f>ROUND(T380 / 1.2, 2)</f>
        <v>537004.17000000004</v>
      </c>
      <c r="AA380" s="9">
        <f>Y380+Z380</f>
        <v>570488.4</v>
      </c>
      <c r="AD380" s="4">
        <v>341534421</v>
      </c>
      <c r="AE380" s="4">
        <v>25837396</v>
      </c>
      <c r="AG380" s="4" t="s">
        <v>1578</v>
      </c>
      <c r="AH380" s="4" t="s">
        <v>1579</v>
      </c>
      <c r="AI380" s="4" t="s">
        <v>241</v>
      </c>
    </row>
    <row r="381" spans="1:35" ht="36" x14ac:dyDescent="0.3">
      <c r="A381" s="10" t="s">
        <v>1588</v>
      </c>
      <c r="B381" s="10"/>
      <c r="C381" s="24" t="s">
        <v>509</v>
      </c>
      <c r="D381" s="15"/>
      <c r="E381" s="15"/>
      <c r="F381" s="25" t="s">
        <v>76</v>
      </c>
      <c r="G381" s="26">
        <v>0.15</v>
      </c>
      <c r="H381" s="26"/>
      <c r="I381" s="26">
        <v>134.625</v>
      </c>
      <c r="J381" s="27">
        <v>88.8</v>
      </c>
      <c r="M381" s="28">
        <f>ROUND(ROUND(J381, 2)*I381, 2)</f>
        <v>11954.7</v>
      </c>
      <c r="P381" s="27">
        <v>88.8</v>
      </c>
      <c r="S381" s="28">
        <f>ROUND(ROUND(P381, 2)*I381, 2)</f>
        <v>11954.7</v>
      </c>
      <c r="V381" s="9">
        <f>ROUND(ROUND(P381, 2)/1.2, 2)</f>
        <v>74</v>
      </c>
      <c r="Y381" s="9">
        <f t="shared" si="24"/>
        <v>9962.25</v>
      </c>
      <c r="AD381" s="4" t="s">
        <v>1589</v>
      </c>
      <c r="AE381" s="4" t="s">
        <v>1590</v>
      </c>
      <c r="AF381" s="4" t="s">
        <v>512</v>
      </c>
    </row>
    <row r="382" spans="1:35" ht="36" x14ac:dyDescent="0.3">
      <c r="A382" s="10" t="s">
        <v>1591</v>
      </c>
      <c r="B382" s="10"/>
      <c r="C382" s="24" t="s">
        <v>922</v>
      </c>
      <c r="D382" s="15"/>
      <c r="E382" s="15"/>
      <c r="F382" s="25" t="s">
        <v>76</v>
      </c>
      <c r="G382" s="26">
        <v>2.5</v>
      </c>
      <c r="H382" s="26"/>
      <c r="I382" s="26">
        <v>2243.75</v>
      </c>
      <c r="J382" s="27">
        <v>60</v>
      </c>
      <c r="M382" s="28">
        <f>ROUND(ROUND(J382, 2)*I382, 2)</f>
        <v>134625</v>
      </c>
      <c r="P382" s="27">
        <v>12.58</v>
      </c>
      <c r="S382" s="28">
        <f>ROUND(ROUND(P382, 2)*I382, 2)</f>
        <v>28226.38</v>
      </c>
      <c r="V382" s="9">
        <f>ROUND(ROUND(P382, 2)/1.2, 2)</f>
        <v>10.48</v>
      </c>
      <c r="Y382" s="9">
        <f t="shared" si="24"/>
        <v>23521.98</v>
      </c>
      <c r="AD382" s="4" t="s">
        <v>1592</v>
      </c>
      <c r="AE382" s="4" t="s">
        <v>1593</v>
      </c>
      <c r="AF382" s="4" t="s">
        <v>925</v>
      </c>
    </row>
    <row r="383" spans="1:35" ht="36" x14ac:dyDescent="0.3">
      <c r="A383" s="10" t="s">
        <v>1594</v>
      </c>
      <c r="B383" s="10" t="s">
        <v>1575</v>
      </c>
      <c r="C383" s="14" t="s">
        <v>1576</v>
      </c>
      <c r="D383" s="15"/>
      <c r="E383" s="15" t="s">
        <v>1577</v>
      </c>
      <c r="F383" s="15" t="s">
        <v>57</v>
      </c>
      <c r="G383" s="16">
        <v>1</v>
      </c>
      <c r="H383" s="16"/>
      <c r="I383" s="16">
        <v>897.5</v>
      </c>
      <c r="J383" s="17">
        <v>47.82</v>
      </c>
      <c r="K383" s="18">
        <v>718</v>
      </c>
      <c r="L383" s="17">
        <f>J383+ROUND(K383, 2)</f>
        <v>765.82</v>
      </c>
      <c r="M383" s="17">
        <v>42918.45</v>
      </c>
      <c r="N383" s="17">
        <v>644405</v>
      </c>
      <c r="O383" s="17">
        <f>M383+N383</f>
        <v>687323.45</v>
      </c>
      <c r="P383" s="17">
        <v>32.19</v>
      </c>
      <c r="Q383" s="18">
        <v>718</v>
      </c>
      <c r="R383" s="17">
        <f>P383+ROUND(Q383, 2)</f>
        <v>750.19</v>
      </c>
      <c r="S383" s="17">
        <v>28890.53</v>
      </c>
      <c r="T383" s="17">
        <v>644405</v>
      </c>
      <c r="U383" s="17">
        <f>S383+T383</f>
        <v>673295.53</v>
      </c>
      <c r="V383" s="9">
        <f>ROUND(P383 / 1.2, 2)</f>
        <v>26.83</v>
      </c>
      <c r="W383" s="9">
        <f>ROUND(Q383 / 1.2, 2)</f>
        <v>598.33000000000004</v>
      </c>
      <c r="X383" s="9">
        <f>ROUND(R383 / 1.2, 2)</f>
        <v>625.16</v>
      </c>
      <c r="Y383" s="9">
        <f t="shared" si="24"/>
        <v>24075.439999999999</v>
      </c>
      <c r="Z383" s="9">
        <f>ROUND(T383 / 1.2, 2)</f>
        <v>537004.17000000004</v>
      </c>
      <c r="AA383" s="9">
        <f>Y383+Z383</f>
        <v>561079.61</v>
      </c>
      <c r="AD383" s="4">
        <v>341534422</v>
      </c>
      <c r="AE383" s="4">
        <v>25837397</v>
      </c>
      <c r="AG383" s="4" t="s">
        <v>1578</v>
      </c>
      <c r="AH383" s="4" t="s">
        <v>1579</v>
      </c>
      <c r="AI383" s="4" t="s">
        <v>241</v>
      </c>
    </row>
    <row r="384" spans="1:35" ht="36" x14ac:dyDescent="0.3">
      <c r="A384" s="10" t="s">
        <v>1595</v>
      </c>
      <c r="B384" s="10"/>
      <c r="C384" s="24" t="s">
        <v>509</v>
      </c>
      <c r="D384" s="15"/>
      <c r="E384" s="15"/>
      <c r="F384" s="25" t="s">
        <v>76</v>
      </c>
      <c r="G384" s="26">
        <v>0.15</v>
      </c>
      <c r="H384" s="26"/>
      <c r="I384" s="26">
        <v>134.625</v>
      </c>
      <c r="J384" s="27">
        <v>88.8</v>
      </c>
      <c r="M384" s="28">
        <f>ROUND(ROUND(J384, 2)*I384, 2)</f>
        <v>11954.7</v>
      </c>
      <c r="P384" s="27">
        <v>88.8</v>
      </c>
      <c r="S384" s="28">
        <f>ROUND(ROUND(P384, 2)*I384, 2)</f>
        <v>11954.7</v>
      </c>
      <c r="V384" s="9">
        <f>ROUND(ROUND(P384, 2)/1.2, 2)</f>
        <v>74</v>
      </c>
      <c r="Y384" s="9">
        <f t="shared" si="24"/>
        <v>9962.25</v>
      </c>
      <c r="AD384" s="4" t="s">
        <v>1596</v>
      </c>
      <c r="AE384" s="4" t="s">
        <v>1597</v>
      </c>
      <c r="AF384" s="4" t="s">
        <v>512</v>
      </c>
    </row>
    <row r="385" spans="1:35" ht="36" x14ac:dyDescent="0.3">
      <c r="A385" s="10" t="s">
        <v>1598</v>
      </c>
      <c r="B385" s="10"/>
      <c r="C385" s="24" t="s">
        <v>934</v>
      </c>
      <c r="D385" s="15"/>
      <c r="E385" s="15"/>
      <c r="F385" s="25" t="s">
        <v>76</v>
      </c>
      <c r="G385" s="26">
        <v>1.5</v>
      </c>
      <c r="H385" s="26"/>
      <c r="I385" s="26">
        <v>1346.25</v>
      </c>
      <c r="J385" s="27">
        <v>23</v>
      </c>
      <c r="M385" s="28">
        <f>ROUND(ROUND(J385, 2)*I385, 2)</f>
        <v>30963.75</v>
      </c>
      <c r="P385" s="27">
        <v>12.58</v>
      </c>
      <c r="S385" s="28">
        <f>ROUND(ROUND(P385, 2)*I385, 2)</f>
        <v>16935.830000000002</v>
      </c>
      <c r="V385" s="9">
        <f>ROUND(ROUND(P385, 2)/1.2, 2)</f>
        <v>10.48</v>
      </c>
      <c r="Y385" s="9">
        <f t="shared" si="24"/>
        <v>14113.19</v>
      </c>
      <c r="AD385" s="4" t="s">
        <v>1599</v>
      </c>
      <c r="AE385" s="4" t="s">
        <v>1600</v>
      </c>
      <c r="AF385" s="4" t="s">
        <v>937</v>
      </c>
    </row>
    <row r="386" spans="1:35" ht="36" x14ac:dyDescent="0.3">
      <c r="A386" s="10" t="s">
        <v>1601</v>
      </c>
      <c r="B386" s="10" t="s">
        <v>1575</v>
      </c>
      <c r="C386" s="14" t="s">
        <v>1576</v>
      </c>
      <c r="D386" s="15"/>
      <c r="E386" s="15" t="s">
        <v>1602</v>
      </c>
      <c r="F386" s="15" t="s">
        <v>57</v>
      </c>
      <c r="G386" s="16">
        <v>1</v>
      </c>
      <c r="H386" s="16"/>
      <c r="I386" s="16">
        <v>0</v>
      </c>
      <c r="J386" s="17">
        <v>71.61</v>
      </c>
      <c r="K386" s="18">
        <v>718</v>
      </c>
      <c r="L386" s="17">
        <f>J386+ROUND(K386, 2)</f>
        <v>789.61</v>
      </c>
      <c r="M386" s="17">
        <v>0</v>
      </c>
      <c r="N386" s="17">
        <v>0</v>
      </c>
      <c r="O386" s="17">
        <f>M386+N386</f>
        <v>0</v>
      </c>
      <c r="P386" s="17">
        <v>71.61</v>
      </c>
      <c r="Q386" s="18">
        <v>718</v>
      </c>
      <c r="R386" s="17">
        <f>P386+ROUND(Q386, 2)</f>
        <v>789.61</v>
      </c>
      <c r="S386" s="17">
        <v>0</v>
      </c>
      <c r="T386" s="17">
        <v>0</v>
      </c>
      <c r="U386" s="17">
        <f>S386+T386</f>
        <v>0</v>
      </c>
      <c r="V386" s="9">
        <f>ROUND(P386 / 1.2, 2)</f>
        <v>59.68</v>
      </c>
      <c r="W386" s="9">
        <f>ROUND(Q386 / 1.2, 2)</f>
        <v>598.33000000000004</v>
      </c>
      <c r="X386" s="9">
        <f>ROUND(R386 / 1.2, 2)</f>
        <v>658.01</v>
      </c>
      <c r="Y386" s="9">
        <f t="shared" si="24"/>
        <v>0</v>
      </c>
      <c r="Z386" s="9">
        <f>ROUND(T386 / 1.2, 2)</f>
        <v>0</v>
      </c>
      <c r="AA386" s="9">
        <f>Y386+Z386</f>
        <v>0</v>
      </c>
      <c r="AD386" s="4">
        <v>341534423</v>
      </c>
      <c r="AE386" s="4">
        <v>25837371</v>
      </c>
      <c r="AG386" s="4" t="s">
        <v>1578</v>
      </c>
      <c r="AH386" s="4" t="s">
        <v>1579</v>
      </c>
      <c r="AI386" s="4" t="s">
        <v>241</v>
      </c>
    </row>
    <row r="387" spans="1:35" ht="18" x14ac:dyDescent="0.3">
      <c r="A387" s="10" t="s">
        <v>1604</v>
      </c>
      <c r="B387" s="10"/>
      <c r="C387" s="24" t="s">
        <v>310</v>
      </c>
      <c r="D387" s="15"/>
      <c r="E387" s="15"/>
      <c r="F387" s="25" t="s">
        <v>76</v>
      </c>
      <c r="G387" s="26">
        <v>0.15</v>
      </c>
      <c r="H387" s="26"/>
      <c r="I387" s="26">
        <v>0</v>
      </c>
      <c r="J387" s="27">
        <v>100</v>
      </c>
      <c r="M387" s="28">
        <f>ROUND(ROUND(J387, 2)*I387, 2)</f>
        <v>0</v>
      </c>
      <c r="P387" s="27">
        <v>100</v>
      </c>
      <c r="S387" s="28">
        <f>ROUND(ROUND(P387, 2)*I387, 2)</f>
        <v>0</v>
      </c>
      <c r="V387" s="9">
        <f>ROUND(ROUND(P387, 2)/1.2, 2)</f>
        <v>83.33</v>
      </c>
      <c r="Y387" s="9">
        <f t="shared" si="24"/>
        <v>0</v>
      </c>
      <c r="AD387" s="4" t="s">
        <v>1605</v>
      </c>
      <c r="AE387" s="4" t="s">
        <v>1606</v>
      </c>
      <c r="AF387" s="4" t="s">
        <v>313</v>
      </c>
    </row>
    <row r="388" spans="1:35" ht="36" x14ac:dyDescent="0.3">
      <c r="A388" s="10" t="s">
        <v>1609</v>
      </c>
      <c r="B388" s="10"/>
      <c r="C388" s="35" t="s">
        <v>961</v>
      </c>
      <c r="D388" s="15"/>
      <c r="E388" s="15"/>
      <c r="F388" s="25" t="s">
        <v>76</v>
      </c>
      <c r="G388" s="26">
        <v>4.5</v>
      </c>
      <c r="H388" s="26"/>
      <c r="I388" s="26">
        <v>0</v>
      </c>
      <c r="J388" s="27">
        <v>12.58</v>
      </c>
      <c r="M388" s="28">
        <f>ROUND(ROUND(J388, 2)*I388, 2)</f>
        <v>0</v>
      </c>
      <c r="P388" s="27">
        <v>12.58</v>
      </c>
      <c r="S388" s="28">
        <f>ROUND(ROUND(P388, 2)*I388, 2)</f>
        <v>0</v>
      </c>
      <c r="V388" s="9">
        <f>ROUND(ROUND(P388, 2)/1.2, 2)</f>
        <v>10.48</v>
      </c>
      <c r="Y388" s="9">
        <f t="shared" si="24"/>
        <v>0</v>
      </c>
      <c r="AD388" s="4" t="s">
        <v>1610</v>
      </c>
      <c r="AE388" s="4" t="s">
        <v>1611</v>
      </c>
      <c r="AF388" s="4" t="s">
        <v>1147</v>
      </c>
    </row>
    <row r="389" spans="1:35" ht="36" x14ac:dyDescent="0.3">
      <c r="A389" s="10" t="s">
        <v>1614</v>
      </c>
      <c r="B389" s="10" t="s">
        <v>1575</v>
      </c>
      <c r="C389" s="14" t="s">
        <v>1576</v>
      </c>
      <c r="D389" s="15"/>
      <c r="E389" s="15" t="s">
        <v>877</v>
      </c>
      <c r="F389" s="15" t="s">
        <v>57</v>
      </c>
      <c r="G389" s="16">
        <v>1</v>
      </c>
      <c r="H389" s="16"/>
      <c r="I389" s="16">
        <v>0</v>
      </c>
      <c r="J389" s="17">
        <v>130</v>
      </c>
      <c r="K389" s="18">
        <v>718</v>
      </c>
      <c r="L389" s="17">
        <f>J389+ROUND(K389, 2)</f>
        <v>848</v>
      </c>
      <c r="M389" s="17">
        <v>0</v>
      </c>
      <c r="N389" s="17">
        <v>0</v>
      </c>
      <c r="O389" s="17">
        <f>M389+N389</f>
        <v>0</v>
      </c>
      <c r="P389" s="17">
        <v>130</v>
      </c>
      <c r="Q389" s="18">
        <v>718</v>
      </c>
      <c r="R389" s="17">
        <f>P389+ROUND(Q389, 2)</f>
        <v>848</v>
      </c>
      <c r="S389" s="17">
        <v>0</v>
      </c>
      <c r="T389" s="17">
        <v>0</v>
      </c>
      <c r="U389" s="17">
        <f>S389+T389</f>
        <v>0</v>
      </c>
      <c r="V389" s="9">
        <f>ROUND(P389 / 1.2, 2)</f>
        <v>108.33</v>
      </c>
      <c r="W389" s="9">
        <f>ROUND(Q389 / 1.2, 2)</f>
        <v>598.33000000000004</v>
      </c>
      <c r="X389" s="9">
        <f>ROUND(R389 / 1.2, 2)</f>
        <v>706.67</v>
      </c>
      <c r="Y389" s="9">
        <f t="shared" si="24"/>
        <v>0</v>
      </c>
      <c r="Z389" s="9">
        <f>ROUND(T389 / 1.2, 2)</f>
        <v>0</v>
      </c>
      <c r="AA389" s="9">
        <f>Y389+Z389</f>
        <v>0</v>
      </c>
      <c r="AD389" s="4">
        <v>341534424</v>
      </c>
      <c r="AE389" s="4">
        <v>25837401</v>
      </c>
      <c r="AG389" s="4" t="s">
        <v>1578</v>
      </c>
      <c r="AH389" s="4" t="s">
        <v>1579</v>
      </c>
      <c r="AI389" s="4" t="s">
        <v>241</v>
      </c>
    </row>
    <row r="390" spans="1:35" ht="18" x14ac:dyDescent="0.3">
      <c r="A390" s="10" t="s">
        <v>1616</v>
      </c>
      <c r="B390" s="10"/>
      <c r="C390" s="24" t="s">
        <v>310</v>
      </c>
      <c r="D390" s="15"/>
      <c r="E390" s="15"/>
      <c r="F390" s="25" t="s">
        <v>76</v>
      </c>
      <c r="G390" s="26">
        <v>0.15</v>
      </c>
      <c r="H390" s="26"/>
      <c r="I390" s="26">
        <v>0</v>
      </c>
      <c r="J390" s="27">
        <v>100</v>
      </c>
      <c r="M390" s="28">
        <f>ROUND(ROUND(J390, 2)*I390, 2)</f>
        <v>0</v>
      </c>
      <c r="P390" s="27">
        <v>100</v>
      </c>
      <c r="S390" s="28">
        <f>ROUND(ROUND(P390, 2)*I390, 2)</f>
        <v>0</v>
      </c>
      <c r="V390" s="9">
        <f>ROUND(ROUND(P390, 2)/1.2, 2)</f>
        <v>83.33</v>
      </c>
      <c r="Y390" s="9">
        <f t="shared" si="24"/>
        <v>0</v>
      </c>
      <c r="AD390" s="4" t="s">
        <v>1617</v>
      </c>
      <c r="AE390" s="4" t="s">
        <v>1618</v>
      </c>
      <c r="AF390" s="4" t="s">
        <v>313</v>
      </c>
    </row>
    <row r="391" spans="1:35" ht="18" x14ac:dyDescent="0.3">
      <c r="A391" s="10" t="s">
        <v>1621</v>
      </c>
      <c r="B391" s="10"/>
      <c r="C391" s="24" t="s">
        <v>902</v>
      </c>
      <c r="D391" s="15"/>
      <c r="E391" s="15" t="s">
        <v>364</v>
      </c>
      <c r="F391" s="25" t="s">
        <v>76</v>
      </c>
      <c r="G391" s="26">
        <v>5</v>
      </c>
      <c r="H391" s="26"/>
      <c r="I391" s="26">
        <v>0</v>
      </c>
      <c r="J391" s="27">
        <v>23</v>
      </c>
      <c r="M391" s="28">
        <f>ROUND(ROUND(J391, 2)*I391, 2)</f>
        <v>0</v>
      </c>
      <c r="P391" s="27">
        <v>23</v>
      </c>
      <c r="S391" s="28">
        <f>ROUND(ROUND(P391, 2)*I391, 2)</f>
        <v>0</v>
      </c>
      <c r="V391" s="9">
        <f>ROUND(ROUND(P391, 2)/1.2, 2)</f>
        <v>19.170000000000002</v>
      </c>
      <c r="Y391" s="9">
        <f t="shared" si="24"/>
        <v>0</v>
      </c>
      <c r="AD391" s="4" t="s">
        <v>1622</v>
      </c>
      <c r="AE391" s="4" t="s">
        <v>1623</v>
      </c>
      <c r="AF391" s="4" t="s">
        <v>905</v>
      </c>
    </row>
    <row r="392" spans="1:35" ht="36" x14ac:dyDescent="0.3">
      <c r="A392" s="10" t="s">
        <v>1626</v>
      </c>
      <c r="B392" s="10" t="s">
        <v>1575</v>
      </c>
      <c r="C392" s="14" t="s">
        <v>1576</v>
      </c>
      <c r="D392" s="15"/>
      <c r="E392" s="15" t="s">
        <v>877</v>
      </c>
      <c r="F392" s="15" t="s">
        <v>57</v>
      </c>
      <c r="G392" s="16">
        <v>1</v>
      </c>
      <c r="H392" s="16"/>
      <c r="I392" s="16">
        <v>0</v>
      </c>
      <c r="J392" s="17">
        <v>163.32</v>
      </c>
      <c r="K392" s="18">
        <v>718</v>
      </c>
      <c r="L392" s="17">
        <f>J392+ROUND(K392, 2)</f>
        <v>881.31999999999994</v>
      </c>
      <c r="M392" s="17">
        <v>0</v>
      </c>
      <c r="N392" s="17">
        <v>0</v>
      </c>
      <c r="O392" s="17">
        <f>M392+N392</f>
        <v>0</v>
      </c>
      <c r="P392" s="17">
        <v>44.77</v>
      </c>
      <c r="Q392" s="18">
        <v>718</v>
      </c>
      <c r="R392" s="17">
        <f>P392+ROUND(Q392, 2)</f>
        <v>762.77</v>
      </c>
      <c r="S392" s="17">
        <v>0</v>
      </c>
      <c r="T392" s="17">
        <v>0</v>
      </c>
      <c r="U392" s="17">
        <f>S392+T392</f>
        <v>0</v>
      </c>
      <c r="V392" s="9">
        <f>ROUND(P392 / 1.2, 2)</f>
        <v>37.31</v>
      </c>
      <c r="W392" s="9">
        <f>ROUND(Q392 / 1.2, 2)</f>
        <v>598.33000000000004</v>
      </c>
      <c r="X392" s="9">
        <f>ROUND(R392 / 1.2, 2)</f>
        <v>635.64</v>
      </c>
      <c r="Y392" s="9">
        <f t="shared" si="24"/>
        <v>0</v>
      </c>
      <c r="Z392" s="9">
        <f>ROUND(T392 / 1.2, 2)</f>
        <v>0</v>
      </c>
      <c r="AA392" s="9">
        <f>Y392+Z392</f>
        <v>0</v>
      </c>
      <c r="AD392" s="4">
        <v>341534425</v>
      </c>
      <c r="AE392" s="4">
        <v>25837402</v>
      </c>
      <c r="AG392" s="4" t="s">
        <v>1578</v>
      </c>
      <c r="AH392" s="4" t="s">
        <v>1579</v>
      </c>
      <c r="AI392" s="4" t="s">
        <v>241</v>
      </c>
    </row>
    <row r="393" spans="1:35" ht="36" x14ac:dyDescent="0.3">
      <c r="A393" s="10" t="s">
        <v>1628</v>
      </c>
      <c r="B393" s="10"/>
      <c r="C393" s="24" t="s">
        <v>509</v>
      </c>
      <c r="D393" s="15"/>
      <c r="E393" s="15"/>
      <c r="F393" s="25" t="s">
        <v>76</v>
      </c>
      <c r="G393" s="26">
        <v>0.15</v>
      </c>
      <c r="H393" s="26"/>
      <c r="I393" s="26">
        <v>0</v>
      </c>
      <c r="J393" s="27">
        <v>88.8</v>
      </c>
      <c r="M393" s="28">
        <f>ROUND(ROUND(J393, 2)*I393, 2)</f>
        <v>0</v>
      </c>
      <c r="P393" s="27">
        <v>88.8</v>
      </c>
      <c r="S393" s="28">
        <f>ROUND(ROUND(P393, 2)*I393, 2)</f>
        <v>0</v>
      </c>
      <c r="V393" s="9">
        <f>ROUND(ROUND(P393, 2)/1.2, 2)</f>
        <v>74</v>
      </c>
      <c r="Y393" s="9">
        <f t="shared" si="24"/>
        <v>0</v>
      </c>
      <c r="AD393" s="4" t="s">
        <v>1629</v>
      </c>
      <c r="AE393" s="4" t="s">
        <v>1630</v>
      </c>
      <c r="AF393" s="4" t="s">
        <v>512</v>
      </c>
    </row>
    <row r="394" spans="1:35" ht="36" x14ac:dyDescent="0.3">
      <c r="A394" s="10" t="s">
        <v>1633</v>
      </c>
      <c r="B394" s="10"/>
      <c r="C394" s="24" t="s">
        <v>922</v>
      </c>
      <c r="D394" s="15"/>
      <c r="E394" s="15"/>
      <c r="F394" s="25" t="s">
        <v>76</v>
      </c>
      <c r="G394" s="26">
        <v>2.5</v>
      </c>
      <c r="H394" s="26"/>
      <c r="I394" s="26">
        <v>0</v>
      </c>
      <c r="J394" s="27">
        <v>60</v>
      </c>
      <c r="M394" s="28">
        <f>ROUND(ROUND(J394, 2)*I394, 2)</f>
        <v>0</v>
      </c>
      <c r="P394" s="27">
        <v>12.58</v>
      </c>
      <c r="S394" s="28">
        <f>ROUND(ROUND(P394, 2)*I394, 2)</f>
        <v>0</v>
      </c>
      <c r="V394" s="9">
        <f>ROUND(ROUND(P394, 2)/1.2, 2)</f>
        <v>10.48</v>
      </c>
      <c r="Y394" s="9">
        <f t="shared" si="24"/>
        <v>0</v>
      </c>
      <c r="AD394" s="4" t="s">
        <v>1634</v>
      </c>
      <c r="AE394" s="4" t="s">
        <v>1635</v>
      </c>
      <c r="AF394" s="4" t="s">
        <v>925</v>
      </c>
    </row>
    <row r="395" spans="1:35" ht="36" x14ac:dyDescent="0.3">
      <c r="A395" s="10" t="s">
        <v>1638</v>
      </c>
      <c r="B395" s="10" t="s">
        <v>1575</v>
      </c>
      <c r="C395" s="14" t="s">
        <v>1576</v>
      </c>
      <c r="D395" s="15"/>
      <c r="E395" s="15" t="s">
        <v>877</v>
      </c>
      <c r="F395" s="15" t="s">
        <v>57</v>
      </c>
      <c r="G395" s="16">
        <v>1</v>
      </c>
      <c r="H395" s="16"/>
      <c r="I395" s="16">
        <v>0</v>
      </c>
      <c r="J395" s="17">
        <v>47.82</v>
      </c>
      <c r="K395" s="18">
        <v>718</v>
      </c>
      <c r="L395" s="17">
        <f>J395+ROUND(K395, 2)</f>
        <v>765.82</v>
      </c>
      <c r="M395" s="17">
        <v>0</v>
      </c>
      <c r="N395" s="17">
        <v>0</v>
      </c>
      <c r="O395" s="17">
        <f>M395+N395</f>
        <v>0</v>
      </c>
      <c r="P395" s="17">
        <v>32.19</v>
      </c>
      <c r="Q395" s="18">
        <v>718</v>
      </c>
      <c r="R395" s="17">
        <f>P395+ROUND(Q395, 2)</f>
        <v>750.19</v>
      </c>
      <c r="S395" s="17">
        <v>0</v>
      </c>
      <c r="T395" s="17">
        <v>0</v>
      </c>
      <c r="U395" s="17">
        <f>S395+T395</f>
        <v>0</v>
      </c>
      <c r="V395" s="9">
        <f>ROUND(P395 / 1.2, 2)</f>
        <v>26.83</v>
      </c>
      <c r="W395" s="9">
        <f>ROUND(Q395 / 1.2, 2)</f>
        <v>598.33000000000004</v>
      </c>
      <c r="X395" s="9">
        <f>ROUND(R395 / 1.2, 2)</f>
        <v>625.16</v>
      </c>
      <c r="Y395" s="9">
        <f t="shared" si="24"/>
        <v>0</v>
      </c>
      <c r="Z395" s="9">
        <f>ROUND(T395 / 1.2, 2)</f>
        <v>0</v>
      </c>
      <c r="AA395" s="9">
        <f>Y395+Z395</f>
        <v>0</v>
      </c>
      <c r="AD395" s="4">
        <v>341534426</v>
      </c>
      <c r="AE395" s="4">
        <v>25837403</v>
      </c>
      <c r="AG395" s="4" t="s">
        <v>1578</v>
      </c>
      <c r="AH395" s="4" t="s">
        <v>1579</v>
      </c>
      <c r="AI395" s="4" t="s">
        <v>241</v>
      </c>
    </row>
    <row r="396" spans="1:35" ht="36" x14ac:dyDescent="0.3">
      <c r="A396" s="10" t="s">
        <v>1640</v>
      </c>
      <c r="B396" s="10"/>
      <c r="C396" s="24" t="s">
        <v>509</v>
      </c>
      <c r="D396" s="15"/>
      <c r="E396" s="15"/>
      <c r="F396" s="25" t="s">
        <v>76</v>
      </c>
      <c r="G396" s="26">
        <v>0.15</v>
      </c>
      <c r="H396" s="26"/>
      <c r="I396" s="26">
        <v>0</v>
      </c>
      <c r="J396" s="27">
        <v>88.8</v>
      </c>
      <c r="M396" s="28">
        <f>ROUND(ROUND(J396, 2)*I396, 2)</f>
        <v>0</v>
      </c>
      <c r="P396" s="27">
        <v>88.8</v>
      </c>
      <c r="S396" s="28">
        <f>ROUND(ROUND(P396, 2)*I396, 2)</f>
        <v>0</v>
      </c>
      <c r="V396" s="9">
        <f>ROUND(ROUND(P396, 2)/1.2, 2)</f>
        <v>74</v>
      </c>
      <c r="Y396" s="9">
        <f t="shared" si="24"/>
        <v>0</v>
      </c>
      <c r="AD396" s="4" t="s">
        <v>1641</v>
      </c>
      <c r="AE396" s="4" t="s">
        <v>1642</v>
      </c>
      <c r="AF396" s="4" t="s">
        <v>512</v>
      </c>
    </row>
    <row r="397" spans="1:35" ht="36" x14ac:dyDescent="0.3">
      <c r="A397" s="10" t="s">
        <v>1645</v>
      </c>
      <c r="B397" s="10"/>
      <c r="C397" s="24" t="s">
        <v>934</v>
      </c>
      <c r="D397" s="15"/>
      <c r="E397" s="15"/>
      <c r="F397" s="25" t="s">
        <v>76</v>
      </c>
      <c r="G397" s="26">
        <v>1.5</v>
      </c>
      <c r="H397" s="26"/>
      <c r="I397" s="26">
        <v>0</v>
      </c>
      <c r="J397" s="27">
        <v>23</v>
      </c>
      <c r="M397" s="28">
        <f>ROUND(ROUND(J397, 2)*I397, 2)</f>
        <v>0</v>
      </c>
      <c r="P397" s="27">
        <v>12.58</v>
      </c>
      <c r="S397" s="28">
        <f>ROUND(ROUND(P397, 2)*I397, 2)</f>
        <v>0</v>
      </c>
      <c r="V397" s="9">
        <f>ROUND(ROUND(P397, 2)/1.2, 2)</f>
        <v>10.48</v>
      </c>
      <c r="Y397" s="9">
        <f t="shared" si="24"/>
        <v>0</v>
      </c>
      <c r="AD397" s="4" t="s">
        <v>1646</v>
      </c>
      <c r="AE397" s="4" t="s">
        <v>1647</v>
      </c>
      <c r="AF397" s="4" t="s">
        <v>937</v>
      </c>
    </row>
    <row r="398" spans="1:35" ht="54" x14ac:dyDescent="0.3">
      <c r="A398" s="10" t="s">
        <v>1650</v>
      </c>
      <c r="B398" s="10" t="s">
        <v>1575</v>
      </c>
      <c r="C398" s="14" t="s">
        <v>1576</v>
      </c>
      <c r="D398" s="15"/>
      <c r="E398" s="15" t="s">
        <v>1651</v>
      </c>
      <c r="F398" s="15" t="s">
        <v>57</v>
      </c>
      <c r="G398" s="16">
        <v>1</v>
      </c>
      <c r="H398" s="16"/>
      <c r="I398" s="16">
        <v>852.88</v>
      </c>
      <c r="J398" s="17">
        <f>IFERROR(ROUND(SUM(M399,M400)/I398, 2),0)</f>
        <v>68.709999999999994</v>
      </c>
      <c r="K398" s="18">
        <v>790</v>
      </c>
      <c r="L398" s="17">
        <f>J398+ROUND(K398, 2)</f>
        <v>858.71</v>
      </c>
      <c r="M398" s="17">
        <f>ROUND(J398*I398, 2)</f>
        <v>58601.38</v>
      </c>
      <c r="N398" s="17">
        <f>ROUND(I398*ROUND(K398, 2), 2)</f>
        <v>673775.2</v>
      </c>
      <c r="O398" s="17">
        <f>M398+N398</f>
        <v>732376.58</v>
      </c>
      <c r="P398" s="17">
        <f>IFERROR(ROUND(SUM(S399,S400)/I398, 2),0)</f>
        <v>69.930000000000007</v>
      </c>
      <c r="Q398" s="19">
        <v>790</v>
      </c>
      <c r="R398" s="17">
        <f>P398+ROUND(Q398, 2)</f>
        <v>859.93000000000006</v>
      </c>
      <c r="S398" s="17">
        <f>ROUND(P398*I398, 2)</f>
        <v>59641.9</v>
      </c>
      <c r="T398" s="17">
        <f>ROUND(I398*ROUND(Q398, 2), 2)</f>
        <v>673775.2</v>
      </c>
      <c r="U398" s="17">
        <f>S398+T398</f>
        <v>733417.1</v>
      </c>
      <c r="V398" s="9">
        <f>ROUND(P398 / 1.2, 2)</f>
        <v>58.28</v>
      </c>
      <c r="W398" s="9">
        <f>ROUND(Q398 / 1.2, 2)</f>
        <v>658.33</v>
      </c>
      <c r="X398" s="9">
        <f>ROUND(R398 / 1.2, 2)</f>
        <v>716.61</v>
      </c>
      <c r="Y398" s="9">
        <f t="shared" si="24"/>
        <v>49701.58</v>
      </c>
      <c r="Z398" s="9">
        <f>ROUND(T398 / 1.2, 2)</f>
        <v>561479.32999999996</v>
      </c>
      <c r="AA398" s="9">
        <f>Y398+Z398</f>
        <v>611180.90999999992</v>
      </c>
      <c r="AD398" s="4">
        <v>341534427</v>
      </c>
      <c r="AE398" s="4">
        <v>28278814</v>
      </c>
      <c r="AG398" s="4" t="s">
        <v>1578</v>
      </c>
      <c r="AH398" s="4" t="s">
        <v>1579</v>
      </c>
      <c r="AI398" s="4" t="s">
        <v>241</v>
      </c>
    </row>
    <row r="399" spans="1:35" ht="36" x14ac:dyDescent="0.3">
      <c r="A399" s="10" t="s">
        <v>1652</v>
      </c>
      <c r="B399" s="10"/>
      <c r="C399" s="24" t="s">
        <v>509</v>
      </c>
      <c r="D399" s="15"/>
      <c r="E399" s="15"/>
      <c r="F399" s="25" t="s">
        <v>76</v>
      </c>
      <c r="G399" s="26">
        <v>0.15</v>
      </c>
      <c r="H399" s="26"/>
      <c r="I399" s="26">
        <v>127.932</v>
      </c>
      <c r="J399" s="27">
        <v>90.28</v>
      </c>
      <c r="M399" s="28">
        <f>ROUND(ROUND(J399, 2)*I399, 2)</f>
        <v>11549.7</v>
      </c>
      <c r="P399" s="29">
        <v>88.8</v>
      </c>
      <c r="S399" s="28">
        <f>ROUND(ROUND(P399, 2)*I399, 2)</f>
        <v>11360.36</v>
      </c>
      <c r="V399" s="9">
        <f>ROUND(ROUND(P399, 2)/1.2, 2)</f>
        <v>74</v>
      </c>
      <c r="Y399" s="9">
        <f t="shared" si="24"/>
        <v>9466.9699999999993</v>
      </c>
      <c r="AD399" s="4" t="s">
        <v>1653</v>
      </c>
      <c r="AE399" s="4" t="s">
        <v>1654</v>
      </c>
      <c r="AF399" s="4" t="s">
        <v>512</v>
      </c>
    </row>
    <row r="400" spans="1:35" ht="36" x14ac:dyDescent="0.3">
      <c r="A400" s="10" t="s">
        <v>1655</v>
      </c>
      <c r="B400" s="10"/>
      <c r="C400" s="35" t="s">
        <v>961</v>
      </c>
      <c r="D400" s="15"/>
      <c r="E400" s="15"/>
      <c r="F400" s="25" t="s">
        <v>76</v>
      </c>
      <c r="G400" s="26">
        <v>4.5</v>
      </c>
      <c r="H400" s="26"/>
      <c r="I400" s="26">
        <v>3837.96</v>
      </c>
      <c r="J400" s="27">
        <v>12.26</v>
      </c>
      <c r="M400" s="28">
        <f>ROUND(ROUND(J400, 2)*I400, 2)</f>
        <v>47053.39</v>
      </c>
      <c r="P400" s="29">
        <v>12.58</v>
      </c>
      <c r="S400" s="28">
        <f>ROUND(ROUND(P400, 2)*I400, 2)</f>
        <v>48281.54</v>
      </c>
      <c r="V400" s="9">
        <f>ROUND(ROUND(P400, 2)/1.2, 2)</f>
        <v>10.48</v>
      </c>
      <c r="Y400" s="9">
        <f t="shared" si="24"/>
        <v>40234.620000000003</v>
      </c>
      <c r="AD400" s="4" t="s">
        <v>1656</v>
      </c>
      <c r="AE400" s="4" t="s">
        <v>1657</v>
      </c>
      <c r="AF400" s="4" t="s">
        <v>1147</v>
      </c>
    </row>
    <row r="401" spans="1:35" ht="36" x14ac:dyDescent="0.3">
      <c r="A401" s="10" t="s">
        <v>1658</v>
      </c>
      <c r="B401" s="10" t="s">
        <v>1575</v>
      </c>
      <c r="C401" s="14" t="s">
        <v>1576</v>
      </c>
      <c r="D401" s="15"/>
      <c r="E401" s="15" t="s">
        <v>1149</v>
      </c>
      <c r="F401" s="15" t="s">
        <v>57</v>
      </c>
      <c r="G401" s="16">
        <v>1</v>
      </c>
      <c r="H401" s="16"/>
      <c r="I401" s="16">
        <v>852.88</v>
      </c>
      <c r="J401" s="17">
        <f>IFERROR(ROUND(SUM(M402,M403)/I401, 2),0)</f>
        <v>68.709999999999994</v>
      </c>
      <c r="K401" s="18">
        <v>790</v>
      </c>
      <c r="L401" s="17">
        <f>J401+ROUND(K401, 2)</f>
        <v>858.71</v>
      </c>
      <c r="M401" s="17">
        <f>ROUND(J401*I401, 2)</f>
        <v>58601.38</v>
      </c>
      <c r="N401" s="17">
        <f>ROUND(I401*ROUND(K401, 2), 2)</f>
        <v>673775.2</v>
      </c>
      <c r="O401" s="17">
        <f>M401+N401</f>
        <v>732376.58</v>
      </c>
      <c r="P401" s="17">
        <f>IFERROR(ROUND(SUM(S402,S403)/I401, 2),0)</f>
        <v>69.930000000000007</v>
      </c>
      <c r="Q401" s="19">
        <v>790</v>
      </c>
      <c r="R401" s="17">
        <f>P401+ROUND(Q401, 2)</f>
        <v>859.93000000000006</v>
      </c>
      <c r="S401" s="17">
        <f>ROUND(P401*I401, 2)</f>
        <v>59641.9</v>
      </c>
      <c r="T401" s="17">
        <f>ROUND(I401*ROUND(Q401, 2), 2)</f>
        <v>673775.2</v>
      </c>
      <c r="U401" s="17">
        <f>S401+T401</f>
        <v>733417.1</v>
      </c>
      <c r="V401" s="9">
        <f>ROUND(P401 / 1.2, 2)</f>
        <v>58.28</v>
      </c>
      <c r="W401" s="9">
        <f>ROUND(Q401 / 1.2, 2)</f>
        <v>658.33</v>
      </c>
      <c r="X401" s="9">
        <f>ROUND(R401 / 1.2, 2)</f>
        <v>716.61</v>
      </c>
      <c r="Y401" s="9">
        <f t="shared" si="24"/>
        <v>49701.58</v>
      </c>
      <c r="Z401" s="9">
        <f>ROUND(T401 / 1.2, 2)</f>
        <v>561479.32999999996</v>
      </c>
      <c r="AA401" s="9">
        <f>Y401+Z401</f>
        <v>611180.90999999992</v>
      </c>
      <c r="AD401" s="4">
        <v>341534428</v>
      </c>
      <c r="AE401" s="4">
        <v>28278817</v>
      </c>
      <c r="AG401" s="4" t="s">
        <v>1578</v>
      </c>
      <c r="AH401" s="4" t="s">
        <v>1579</v>
      </c>
      <c r="AI401" s="4" t="s">
        <v>241</v>
      </c>
    </row>
    <row r="402" spans="1:35" ht="36" x14ac:dyDescent="0.3">
      <c r="A402" s="10" t="s">
        <v>1659</v>
      </c>
      <c r="B402" s="10"/>
      <c r="C402" s="24" t="s">
        <v>509</v>
      </c>
      <c r="D402" s="15"/>
      <c r="E402" s="15"/>
      <c r="F402" s="25" t="s">
        <v>76</v>
      </c>
      <c r="G402" s="26">
        <v>0.15</v>
      </c>
      <c r="H402" s="26"/>
      <c r="I402" s="26">
        <v>127.932</v>
      </c>
      <c r="J402" s="27">
        <v>90.28</v>
      </c>
      <c r="M402" s="28">
        <f>ROUND(ROUND(J402, 2)*I402, 2)</f>
        <v>11549.7</v>
      </c>
      <c r="P402" s="29">
        <v>88.8</v>
      </c>
      <c r="S402" s="28">
        <f>ROUND(ROUND(P402, 2)*I402, 2)</f>
        <v>11360.36</v>
      </c>
      <c r="V402" s="9">
        <f>ROUND(ROUND(P402, 2)/1.2, 2)</f>
        <v>74</v>
      </c>
      <c r="Y402" s="9">
        <f t="shared" si="24"/>
        <v>9466.9699999999993</v>
      </c>
      <c r="AD402" s="4" t="s">
        <v>1660</v>
      </c>
      <c r="AE402" s="4" t="s">
        <v>1661</v>
      </c>
      <c r="AF402" s="4" t="s">
        <v>512</v>
      </c>
    </row>
    <row r="403" spans="1:35" ht="36" x14ac:dyDescent="0.3">
      <c r="A403" s="10" t="s">
        <v>1662</v>
      </c>
      <c r="B403" s="10"/>
      <c r="C403" s="35" t="s">
        <v>961</v>
      </c>
      <c r="D403" s="15"/>
      <c r="E403" s="15"/>
      <c r="F403" s="25" t="s">
        <v>76</v>
      </c>
      <c r="G403" s="26">
        <v>4.5</v>
      </c>
      <c r="H403" s="26"/>
      <c r="I403" s="26">
        <v>3837.96</v>
      </c>
      <c r="J403" s="27">
        <v>12.26</v>
      </c>
      <c r="M403" s="28">
        <f>ROUND(ROUND(J403, 2)*I403, 2)</f>
        <v>47053.39</v>
      </c>
      <c r="P403" s="29">
        <v>12.58</v>
      </c>
      <c r="S403" s="28">
        <f>ROUND(ROUND(P403, 2)*I403, 2)</f>
        <v>48281.54</v>
      </c>
      <c r="V403" s="9">
        <f>ROUND(ROUND(P403, 2)/1.2, 2)</f>
        <v>10.48</v>
      </c>
      <c r="Y403" s="9">
        <f t="shared" si="24"/>
        <v>40234.620000000003</v>
      </c>
      <c r="AD403" s="4" t="s">
        <v>1663</v>
      </c>
      <c r="AE403" s="4" t="s">
        <v>1664</v>
      </c>
      <c r="AF403" s="4" t="s">
        <v>1147</v>
      </c>
    </row>
    <row r="404" spans="1:35" ht="36" x14ac:dyDescent="0.3">
      <c r="A404" s="10" t="s">
        <v>1665</v>
      </c>
      <c r="B404" s="10" t="s">
        <v>1575</v>
      </c>
      <c r="C404" s="14" t="s">
        <v>1576</v>
      </c>
      <c r="D404" s="15"/>
      <c r="E404" s="15" t="s">
        <v>1157</v>
      </c>
      <c r="F404" s="15" t="s">
        <v>57</v>
      </c>
      <c r="G404" s="16">
        <v>1</v>
      </c>
      <c r="H404" s="16"/>
      <c r="I404" s="16">
        <v>852.88</v>
      </c>
      <c r="J404" s="17">
        <f>IFERROR(ROUND(SUM(M405,M406)/I404, 2),0)</f>
        <v>68.709999999999994</v>
      </c>
      <c r="K404" s="18">
        <v>790</v>
      </c>
      <c r="L404" s="17">
        <f>J404+ROUND(K404, 2)</f>
        <v>858.71</v>
      </c>
      <c r="M404" s="17">
        <f>ROUND(J404*I404, 2)</f>
        <v>58601.38</v>
      </c>
      <c r="N404" s="17">
        <f>ROUND(I404*ROUND(K404, 2), 2)</f>
        <v>673775.2</v>
      </c>
      <c r="O404" s="17">
        <f>M404+N404</f>
        <v>732376.58</v>
      </c>
      <c r="P404" s="17">
        <f>IFERROR(ROUND(SUM(S405,S406)/I404, 2),0)</f>
        <v>69.930000000000007</v>
      </c>
      <c r="Q404" s="19">
        <v>790</v>
      </c>
      <c r="R404" s="17">
        <f>P404+ROUND(Q404, 2)</f>
        <v>859.93000000000006</v>
      </c>
      <c r="S404" s="17">
        <f>ROUND(P404*I404, 2)</f>
        <v>59641.9</v>
      </c>
      <c r="T404" s="17">
        <f>ROUND(I404*ROUND(Q404, 2), 2)</f>
        <v>673775.2</v>
      </c>
      <c r="U404" s="17">
        <f>S404+T404</f>
        <v>733417.1</v>
      </c>
      <c r="V404" s="9">
        <f>ROUND(P404 / 1.2, 2)</f>
        <v>58.28</v>
      </c>
      <c r="W404" s="9">
        <f>ROUND(Q404 / 1.2, 2)</f>
        <v>658.33</v>
      </c>
      <c r="X404" s="9">
        <f>ROUND(R404 / 1.2, 2)</f>
        <v>716.61</v>
      </c>
      <c r="Y404" s="9">
        <f t="shared" si="24"/>
        <v>49701.58</v>
      </c>
      <c r="Z404" s="9">
        <f>ROUND(T404 / 1.2, 2)</f>
        <v>561479.32999999996</v>
      </c>
      <c r="AA404" s="9">
        <f>Y404+Z404</f>
        <v>611180.90999999992</v>
      </c>
      <c r="AD404" s="4">
        <v>341534429</v>
      </c>
      <c r="AE404" s="4">
        <v>28278816</v>
      </c>
      <c r="AG404" s="4" t="s">
        <v>1578</v>
      </c>
      <c r="AH404" s="4" t="s">
        <v>1579</v>
      </c>
      <c r="AI404" s="4" t="s">
        <v>241</v>
      </c>
    </row>
    <row r="405" spans="1:35" ht="36" x14ac:dyDescent="0.3">
      <c r="A405" s="10" t="s">
        <v>1666</v>
      </c>
      <c r="B405" s="10"/>
      <c r="C405" s="24" t="s">
        <v>509</v>
      </c>
      <c r="D405" s="15"/>
      <c r="E405" s="15"/>
      <c r="F405" s="25" t="s">
        <v>76</v>
      </c>
      <c r="G405" s="26">
        <v>0.15</v>
      </c>
      <c r="H405" s="26"/>
      <c r="I405" s="26">
        <v>127.932</v>
      </c>
      <c r="J405" s="27">
        <v>90.28</v>
      </c>
      <c r="M405" s="28">
        <f>ROUND(ROUND(J405, 2)*I405, 2)</f>
        <v>11549.7</v>
      </c>
      <c r="P405" s="29">
        <v>88.8</v>
      </c>
      <c r="S405" s="28">
        <f>ROUND(ROUND(P405, 2)*I405, 2)</f>
        <v>11360.36</v>
      </c>
      <c r="V405" s="9">
        <f>ROUND(ROUND(P405, 2)/1.2, 2)</f>
        <v>74</v>
      </c>
      <c r="Y405" s="9">
        <f t="shared" si="24"/>
        <v>9466.9699999999993</v>
      </c>
      <c r="AD405" s="4" t="s">
        <v>1667</v>
      </c>
      <c r="AE405" s="4" t="s">
        <v>1668</v>
      </c>
      <c r="AF405" s="4" t="s">
        <v>512</v>
      </c>
    </row>
    <row r="406" spans="1:35" ht="36" x14ac:dyDescent="0.3">
      <c r="A406" s="10" t="s">
        <v>1669</v>
      </c>
      <c r="B406" s="10"/>
      <c r="C406" s="35" t="s">
        <v>961</v>
      </c>
      <c r="D406" s="15"/>
      <c r="E406" s="15"/>
      <c r="F406" s="25" t="s">
        <v>76</v>
      </c>
      <c r="G406" s="26">
        <v>4.5</v>
      </c>
      <c r="H406" s="26"/>
      <c r="I406" s="26">
        <v>3837.96</v>
      </c>
      <c r="J406" s="27">
        <v>12.26</v>
      </c>
      <c r="M406" s="28">
        <f>ROUND(ROUND(J406, 2)*I406, 2)</f>
        <v>47053.39</v>
      </c>
      <c r="P406" s="29">
        <v>12.58</v>
      </c>
      <c r="S406" s="28">
        <f>ROUND(ROUND(P406, 2)*I406, 2)</f>
        <v>48281.54</v>
      </c>
      <c r="V406" s="9">
        <f>ROUND(ROUND(P406, 2)/1.2, 2)</f>
        <v>10.48</v>
      </c>
      <c r="Y406" s="9">
        <f t="shared" si="24"/>
        <v>40234.620000000003</v>
      </c>
      <c r="AD406" s="4" t="s">
        <v>1670</v>
      </c>
      <c r="AE406" s="4" t="s">
        <v>1671</v>
      </c>
      <c r="AF406" s="4" t="s">
        <v>1147</v>
      </c>
    </row>
    <row r="407" spans="1:35" ht="16.95" customHeight="1" x14ac:dyDescent="0.3">
      <c r="A407" s="10" t="s">
        <v>1672</v>
      </c>
      <c r="B407" s="10" t="s">
        <v>1673</v>
      </c>
      <c r="C407" s="121" t="s">
        <v>1674</v>
      </c>
      <c r="D407" s="122"/>
      <c r="E407" s="122"/>
      <c r="F407" s="122"/>
      <c r="G407" s="122"/>
      <c r="H407" s="122"/>
      <c r="I407" s="123"/>
      <c r="M407" s="6">
        <f>SUM(M408,M411,M414,M417)</f>
        <v>160143.97</v>
      </c>
      <c r="N407" s="6">
        <f>SUM(N408,N411,N414,N417)</f>
        <v>888660.3600000001</v>
      </c>
      <c r="O407" s="6">
        <f>SUM(O408,O411,O414,O417)</f>
        <v>1048804.33</v>
      </c>
      <c r="S407" s="6">
        <f>SUM(S408,S411,S414,S417)</f>
        <v>197019.58000000002</v>
      </c>
      <c r="T407" s="6">
        <f>SUM(T408,T411,T414,T417)</f>
        <v>888660.3600000001</v>
      </c>
      <c r="U407" s="6">
        <f>SUM(U408,U411,U414,U417)</f>
        <v>1085679.94</v>
      </c>
      <c r="Y407" s="9">
        <f>SUM(Y408,Y411,Y414,Y417)</f>
        <v>164182.99000000002</v>
      </c>
      <c r="Z407" s="9">
        <f>SUM(Z408,Z411,Z414,Z417)</f>
        <v>740550.29</v>
      </c>
      <c r="AA407" s="9">
        <f>SUM(AA408,AA411,AA414,AA417)</f>
        <v>904733.28</v>
      </c>
      <c r="AD407" s="4">
        <v>341534350</v>
      </c>
      <c r="AE407" s="4">
        <v>25837354</v>
      </c>
    </row>
    <row r="408" spans="1:35" ht="54" x14ac:dyDescent="0.3">
      <c r="A408" s="10" t="s">
        <v>1675</v>
      </c>
      <c r="B408" s="10" t="s">
        <v>1676</v>
      </c>
      <c r="C408" s="14" t="s">
        <v>1677</v>
      </c>
      <c r="D408" s="15"/>
      <c r="E408" s="15" t="s">
        <v>1678</v>
      </c>
      <c r="F408" s="15" t="s">
        <v>57</v>
      </c>
      <c r="G408" s="16">
        <v>1</v>
      </c>
      <c r="H408" s="16"/>
      <c r="I408" s="16">
        <v>897.5</v>
      </c>
      <c r="J408" s="17">
        <v>81.319999999999993</v>
      </c>
      <c r="K408" s="18">
        <v>278</v>
      </c>
      <c r="L408" s="17">
        <f>J408+ROUND(K408, 2)</f>
        <v>359.32</v>
      </c>
      <c r="M408" s="17">
        <v>72984.7</v>
      </c>
      <c r="N408" s="17">
        <v>249505</v>
      </c>
      <c r="O408" s="17">
        <f>M408+N408</f>
        <v>322489.7</v>
      </c>
      <c r="P408" s="17">
        <v>53.93</v>
      </c>
      <c r="Q408" s="18">
        <v>278</v>
      </c>
      <c r="R408" s="17">
        <f>P408+ROUND(Q408, 2)</f>
        <v>331.93</v>
      </c>
      <c r="S408" s="17">
        <v>48402.18</v>
      </c>
      <c r="T408" s="17">
        <v>249505</v>
      </c>
      <c r="U408" s="17">
        <f>S408+T408</f>
        <v>297907.18</v>
      </c>
      <c r="V408" s="9">
        <f>ROUND(P408 / 1.2, 2)</f>
        <v>44.94</v>
      </c>
      <c r="W408" s="9">
        <f>ROUND(Q408 / 1.2, 2)</f>
        <v>231.67</v>
      </c>
      <c r="X408" s="9">
        <f>ROUND(R408 / 1.2, 2)</f>
        <v>276.61</v>
      </c>
      <c r="Y408" s="9">
        <f>ROUND(S408 / 1.2, 2)</f>
        <v>40335.15</v>
      </c>
      <c r="Z408" s="9">
        <f>ROUND(T408 / 1.2, 2)</f>
        <v>207920.83</v>
      </c>
      <c r="AA408" s="9">
        <f>Y408+Z408</f>
        <v>248255.97999999998</v>
      </c>
      <c r="AD408" s="4">
        <v>341534352</v>
      </c>
      <c r="AE408" s="4">
        <v>25837366</v>
      </c>
      <c r="AG408" s="4" t="s">
        <v>1679</v>
      </c>
      <c r="AH408" s="4" t="s">
        <v>1680</v>
      </c>
      <c r="AI408" s="4" t="s">
        <v>241</v>
      </c>
    </row>
    <row r="409" spans="1:35" ht="108" x14ac:dyDescent="0.3">
      <c r="A409" s="10" t="s">
        <v>1683</v>
      </c>
      <c r="B409" s="10"/>
      <c r="C409" s="24" t="s">
        <v>1684</v>
      </c>
      <c r="D409" s="15"/>
      <c r="E409" s="15" t="s">
        <v>1685</v>
      </c>
      <c r="F409" s="25" t="s">
        <v>76</v>
      </c>
      <c r="G409" s="26">
        <v>0.3</v>
      </c>
      <c r="H409" s="36"/>
      <c r="I409" s="36">
        <v>269.25</v>
      </c>
      <c r="J409" s="27">
        <v>226.67</v>
      </c>
      <c r="M409" s="28">
        <f>ROUND(ROUND(J409, 2)*I409, 2)</f>
        <v>61030.9</v>
      </c>
      <c r="P409" s="27">
        <v>135.36000000000001</v>
      </c>
      <c r="S409" s="28">
        <f>ROUND(ROUND(P409, 2)*I409, 2)</f>
        <v>36445.68</v>
      </c>
      <c r="V409" s="9">
        <f>ROUND(ROUND(P409, 2)/1.2, 2)</f>
        <v>112.8</v>
      </c>
      <c r="Y409" s="9">
        <f t="shared" ref="Y409:Y419" si="25">ROUND(S409 / 1.2, 2)</f>
        <v>30371.4</v>
      </c>
      <c r="AD409" s="4" t="s">
        <v>1686</v>
      </c>
      <c r="AE409" s="4" t="s">
        <v>1687</v>
      </c>
      <c r="AF409" s="4" t="s">
        <v>1688</v>
      </c>
    </row>
    <row r="410" spans="1:35" ht="36" x14ac:dyDescent="0.3">
      <c r="A410" s="10" t="s">
        <v>1691</v>
      </c>
      <c r="B410" s="10"/>
      <c r="C410" s="24" t="s">
        <v>509</v>
      </c>
      <c r="D410" s="15"/>
      <c r="E410" s="15"/>
      <c r="F410" s="25" t="s">
        <v>76</v>
      </c>
      <c r="G410" s="26">
        <v>0.15</v>
      </c>
      <c r="H410" s="36"/>
      <c r="I410" s="36">
        <v>134.625</v>
      </c>
      <c r="J410" s="27">
        <v>88.8</v>
      </c>
      <c r="M410" s="28">
        <f>ROUND(ROUND(J410, 2)*I410, 2)</f>
        <v>11954.7</v>
      </c>
      <c r="P410" s="27">
        <v>88.8</v>
      </c>
      <c r="S410" s="28">
        <f>ROUND(ROUND(P410, 2)*I410, 2)</f>
        <v>11954.7</v>
      </c>
      <c r="V410" s="9">
        <f>ROUND(ROUND(P410, 2)/1.2, 2)</f>
        <v>74</v>
      </c>
      <c r="Y410" s="9">
        <f t="shared" si="25"/>
        <v>9962.25</v>
      </c>
      <c r="AD410" s="4" t="s">
        <v>1692</v>
      </c>
      <c r="AE410" s="4" t="s">
        <v>1693</v>
      </c>
      <c r="AF410" s="4" t="s">
        <v>512</v>
      </c>
    </row>
    <row r="411" spans="1:35" ht="54" x14ac:dyDescent="0.3">
      <c r="A411" s="10" t="s">
        <v>1696</v>
      </c>
      <c r="B411" s="10" t="s">
        <v>1676</v>
      </c>
      <c r="C411" s="14" t="s">
        <v>1677</v>
      </c>
      <c r="D411" s="15"/>
      <c r="E411" s="15" t="s">
        <v>542</v>
      </c>
      <c r="F411" s="15" t="s">
        <v>57</v>
      </c>
      <c r="G411" s="16">
        <v>1</v>
      </c>
      <c r="H411" s="16"/>
      <c r="I411" s="16">
        <v>0</v>
      </c>
      <c r="J411" s="17">
        <v>81.319999999999993</v>
      </c>
      <c r="K411" s="18">
        <v>278</v>
      </c>
      <c r="L411" s="17">
        <f>J411+ROUND(K411, 2)</f>
        <v>359.32</v>
      </c>
      <c r="M411" s="17">
        <v>0</v>
      </c>
      <c r="N411" s="17">
        <v>0</v>
      </c>
      <c r="O411" s="17">
        <f>M411+N411</f>
        <v>0</v>
      </c>
      <c r="P411" s="17">
        <v>53.93</v>
      </c>
      <c r="Q411" s="18">
        <v>278</v>
      </c>
      <c r="R411" s="17">
        <f>P411+ROUND(Q411, 2)</f>
        <v>331.93</v>
      </c>
      <c r="S411" s="17">
        <v>0</v>
      </c>
      <c r="T411" s="17">
        <v>0</v>
      </c>
      <c r="U411" s="17">
        <f>S411+T411</f>
        <v>0</v>
      </c>
      <c r="V411" s="9">
        <f>ROUND(P411 / 1.2, 2)</f>
        <v>44.94</v>
      </c>
      <c r="W411" s="9">
        <f>ROUND(Q411 / 1.2, 2)</f>
        <v>231.67</v>
      </c>
      <c r="X411" s="9">
        <f>ROUND(R411 / 1.2, 2)</f>
        <v>276.61</v>
      </c>
      <c r="Y411" s="9">
        <f t="shared" si="25"/>
        <v>0</v>
      </c>
      <c r="Z411" s="9">
        <f>ROUND(T411 / 1.2, 2)</f>
        <v>0</v>
      </c>
      <c r="AA411" s="9">
        <f>Y411+Z411</f>
        <v>0</v>
      </c>
      <c r="AD411" s="4">
        <v>341534430</v>
      </c>
      <c r="AE411" s="4">
        <v>25837382</v>
      </c>
      <c r="AG411" s="4" t="s">
        <v>1679</v>
      </c>
      <c r="AH411" s="4" t="s">
        <v>1680</v>
      </c>
      <c r="AI411" s="4" t="s">
        <v>241</v>
      </c>
    </row>
    <row r="412" spans="1:35" ht="36" x14ac:dyDescent="0.3">
      <c r="A412" s="10" t="s">
        <v>1698</v>
      </c>
      <c r="B412" s="10"/>
      <c r="C412" s="24" t="s">
        <v>509</v>
      </c>
      <c r="D412" s="15"/>
      <c r="E412" s="15"/>
      <c r="F412" s="25" t="s">
        <v>76</v>
      </c>
      <c r="G412" s="26">
        <v>0.15</v>
      </c>
      <c r="H412" s="36"/>
      <c r="I412" s="36">
        <v>0</v>
      </c>
      <c r="J412" s="27">
        <v>88.8</v>
      </c>
      <c r="M412" s="28">
        <f>ROUND(ROUND(J412, 2)*I412, 2)</f>
        <v>0</v>
      </c>
      <c r="P412" s="27">
        <v>88.8</v>
      </c>
      <c r="S412" s="28">
        <f>ROUND(ROUND(P412, 2)*I412, 2)</f>
        <v>0</v>
      </c>
      <c r="V412" s="9">
        <f>ROUND(ROUND(P412, 2)/1.2, 2)</f>
        <v>74</v>
      </c>
      <c r="Y412" s="9">
        <f t="shared" si="25"/>
        <v>0</v>
      </c>
      <c r="AD412" s="4" t="s">
        <v>1699</v>
      </c>
      <c r="AE412" s="4" t="s">
        <v>1700</v>
      </c>
      <c r="AF412" s="4" t="s">
        <v>512</v>
      </c>
    </row>
    <row r="413" spans="1:35" ht="90" x14ac:dyDescent="0.3">
      <c r="A413" s="10" t="s">
        <v>1703</v>
      </c>
      <c r="B413" s="10"/>
      <c r="C413" s="24" t="s">
        <v>1684</v>
      </c>
      <c r="D413" s="15"/>
      <c r="E413" s="15" t="s">
        <v>1704</v>
      </c>
      <c r="F413" s="25" t="s">
        <v>76</v>
      </c>
      <c r="G413" s="26">
        <v>0.3</v>
      </c>
      <c r="H413" s="36"/>
      <c r="I413" s="36">
        <v>0</v>
      </c>
      <c r="J413" s="27">
        <v>226.67</v>
      </c>
      <c r="M413" s="28">
        <f>ROUND(ROUND(J413, 2)*I413, 2)</f>
        <v>0</v>
      </c>
      <c r="P413" s="27">
        <v>135.36000000000001</v>
      </c>
      <c r="S413" s="28">
        <f>ROUND(ROUND(P413, 2)*I413, 2)</f>
        <v>0</v>
      </c>
      <c r="V413" s="9">
        <f>ROUND(ROUND(P413, 2)/1.2, 2)</f>
        <v>112.8</v>
      </c>
      <c r="Y413" s="9">
        <f t="shared" si="25"/>
        <v>0</v>
      </c>
      <c r="AD413" s="4" t="s">
        <v>1705</v>
      </c>
      <c r="AE413" s="4" t="s">
        <v>1706</v>
      </c>
      <c r="AF413" s="4" t="s">
        <v>1688</v>
      </c>
    </row>
    <row r="414" spans="1:35" ht="36" x14ac:dyDescent="0.3">
      <c r="A414" s="10" t="s">
        <v>1709</v>
      </c>
      <c r="B414" s="10" t="s">
        <v>1710</v>
      </c>
      <c r="C414" s="14" t="s">
        <v>1711</v>
      </c>
      <c r="D414" s="15"/>
      <c r="E414" s="15" t="s">
        <v>1712</v>
      </c>
      <c r="F414" s="15" t="s">
        <v>57</v>
      </c>
      <c r="G414" s="16">
        <v>1</v>
      </c>
      <c r="H414" s="16"/>
      <c r="I414" s="16">
        <v>990.86</v>
      </c>
      <c r="J414" s="17">
        <f>IFERROR(ROUND(SUM(M415,M416)/I414, 2),0)</f>
        <v>82.68</v>
      </c>
      <c r="K414" s="18">
        <v>464</v>
      </c>
      <c r="L414" s="17">
        <f>J414+ROUND(K414, 2)</f>
        <v>546.68000000000006</v>
      </c>
      <c r="M414" s="17">
        <f>ROUND(J414*I414, 2)</f>
        <v>81924.3</v>
      </c>
      <c r="N414" s="17">
        <f>ROUND(I414*ROUND(K414, 2), 2)</f>
        <v>459759.04</v>
      </c>
      <c r="O414" s="17">
        <f>M414+N414</f>
        <v>541683.34</v>
      </c>
      <c r="P414" s="17">
        <f>IFERROR(ROUND(SUM(S415,S416)/I414, 2),0)</f>
        <v>107.89</v>
      </c>
      <c r="Q414" s="19">
        <v>464</v>
      </c>
      <c r="R414" s="17">
        <f>P414+ROUND(Q414, 2)</f>
        <v>571.89</v>
      </c>
      <c r="S414" s="17">
        <f>ROUND(P414*I414, 2)</f>
        <v>106903.89</v>
      </c>
      <c r="T414" s="17">
        <f>ROUND(I414*ROUND(Q414, 2), 2)</f>
        <v>459759.04</v>
      </c>
      <c r="U414" s="17">
        <f>S414+T414</f>
        <v>566662.92999999993</v>
      </c>
      <c r="V414" s="9">
        <f>ROUND(P414 / 1.2, 2)</f>
        <v>89.91</v>
      </c>
      <c r="W414" s="9">
        <f>ROUND(Q414 / 1.2, 2)</f>
        <v>386.67</v>
      </c>
      <c r="X414" s="9">
        <f>ROUND(R414 / 1.2, 2)</f>
        <v>476.58</v>
      </c>
      <c r="Y414" s="9">
        <f t="shared" si="25"/>
        <v>89086.58</v>
      </c>
      <c r="Z414" s="9">
        <f>ROUND(T414 / 1.2, 2)</f>
        <v>383132.53</v>
      </c>
      <c r="AA414" s="9">
        <f>Y414+Z414</f>
        <v>472219.11000000004</v>
      </c>
      <c r="AD414" s="4">
        <v>341534354</v>
      </c>
      <c r="AE414" s="4">
        <v>28271836</v>
      </c>
      <c r="AG414" s="4" t="s">
        <v>1713</v>
      </c>
      <c r="AH414" s="4" t="s">
        <v>1714</v>
      </c>
      <c r="AI414" s="4" t="s">
        <v>241</v>
      </c>
    </row>
    <row r="415" spans="1:35" ht="36" x14ac:dyDescent="0.3">
      <c r="A415" s="10" t="s">
        <v>1715</v>
      </c>
      <c r="B415" s="10"/>
      <c r="C415" s="24" t="s">
        <v>1684</v>
      </c>
      <c r="D415" s="15"/>
      <c r="E415" s="15"/>
      <c r="F415" s="25" t="s">
        <v>76</v>
      </c>
      <c r="G415" s="26">
        <v>0.3</v>
      </c>
      <c r="H415" s="26"/>
      <c r="I415" s="26">
        <v>297.25799999999998</v>
      </c>
      <c r="J415" s="27">
        <v>230.45</v>
      </c>
      <c r="M415" s="28">
        <f>ROUND(ROUND(J415, 2)*I415, 2)</f>
        <v>68503.11</v>
      </c>
      <c r="P415" s="29">
        <v>315.24</v>
      </c>
      <c r="S415" s="28">
        <f>ROUND(ROUND(P415, 2)*I415, 2)</f>
        <v>93707.61</v>
      </c>
      <c r="V415" s="9">
        <f>ROUND(ROUND(P415, 2)/1.2, 2)</f>
        <v>262.7</v>
      </c>
      <c r="Y415" s="9">
        <f t="shared" si="25"/>
        <v>78089.679999999993</v>
      </c>
      <c r="AD415" s="4" t="s">
        <v>1716</v>
      </c>
      <c r="AE415" s="4" t="s">
        <v>1717</v>
      </c>
      <c r="AF415" s="4" t="s">
        <v>1688</v>
      </c>
    </row>
    <row r="416" spans="1:35" ht="36" x14ac:dyDescent="0.3">
      <c r="A416" s="10" t="s">
        <v>1718</v>
      </c>
      <c r="B416" s="10"/>
      <c r="C416" s="24" t="s">
        <v>509</v>
      </c>
      <c r="D416" s="15"/>
      <c r="E416" s="15"/>
      <c r="F416" s="25" t="s">
        <v>76</v>
      </c>
      <c r="G416" s="26">
        <v>0.15</v>
      </c>
      <c r="H416" s="26"/>
      <c r="I416" s="26">
        <v>148.62899999999999</v>
      </c>
      <c r="J416" s="27">
        <v>90.28</v>
      </c>
      <c r="M416" s="28">
        <f>ROUND(ROUND(J416, 2)*I416, 2)</f>
        <v>13418.23</v>
      </c>
      <c r="P416" s="29">
        <v>88.8</v>
      </c>
      <c r="S416" s="28">
        <f>ROUND(ROUND(P416, 2)*I416, 2)</f>
        <v>13198.26</v>
      </c>
      <c r="V416" s="9">
        <f>ROUND(ROUND(P416, 2)/1.2, 2)</f>
        <v>74</v>
      </c>
      <c r="Y416" s="9">
        <f t="shared" si="25"/>
        <v>10998.55</v>
      </c>
      <c r="AD416" s="4" t="s">
        <v>1719</v>
      </c>
      <c r="AE416" s="4" t="s">
        <v>1720</v>
      </c>
      <c r="AF416" s="4" t="s">
        <v>512</v>
      </c>
    </row>
    <row r="417" spans="1:35" ht="90" x14ac:dyDescent="0.3">
      <c r="A417" s="10" t="s">
        <v>1721</v>
      </c>
      <c r="B417" s="10" t="s">
        <v>1710</v>
      </c>
      <c r="C417" s="14" t="s">
        <v>1711</v>
      </c>
      <c r="D417" s="15"/>
      <c r="E417" s="15" t="s">
        <v>1722</v>
      </c>
      <c r="F417" s="15" t="s">
        <v>57</v>
      </c>
      <c r="G417" s="16">
        <v>1</v>
      </c>
      <c r="H417" s="16"/>
      <c r="I417" s="16">
        <v>386.63</v>
      </c>
      <c r="J417" s="17">
        <f>IFERROR(ROUND(SUM(M418,M419)/I417, 2),0)</f>
        <v>13.54</v>
      </c>
      <c r="K417" s="18">
        <v>464</v>
      </c>
      <c r="L417" s="17">
        <f>J417+ROUND(K417, 2)</f>
        <v>477.54</v>
      </c>
      <c r="M417" s="17">
        <f>ROUND(J417*I417, 2)</f>
        <v>5234.97</v>
      </c>
      <c r="N417" s="17">
        <f>ROUND(I417*ROUND(K417, 2), 2)</f>
        <v>179396.32</v>
      </c>
      <c r="O417" s="17">
        <f>M417+N417</f>
        <v>184631.29</v>
      </c>
      <c r="P417" s="17">
        <f>IFERROR(ROUND(SUM(S418,S419)/I417, 2),0)</f>
        <v>107.89</v>
      </c>
      <c r="Q417" s="19">
        <v>464</v>
      </c>
      <c r="R417" s="17">
        <f>P417+ROUND(Q417, 2)</f>
        <v>571.89</v>
      </c>
      <c r="S417" s="17">
        <f>ROUND(P417*I417, 2)</f>
        <v>41713.51</v>
      </c>
      <c r="T417" s="17">
        <f>ROUND(I417*ROUND(Q417, 2), 2)</f>
        <v>179396.32</v>
      </c>
      <c r="U417" s="17">
        <f>S417+T417</f>
        <v>221109.83000000002</v>
      </c>
      <c r="V417" s="9">
        <f>ROUND(P417 / 1.2, 2)</f>
        <v>89.91</v>
      </c>
      <c r="W417" s="9">
        <f>ROUND(Q417 / 1.2, 2)</f>
        <v>386.67</v>
      </c>
      <c r="X417" s="9">
        <f>ROUND(R417 / 1.2, 2)</f>
        <v>476.58</v>
      </c>
      <c r="Y417" s="9">
        <f t="shared" si="25"/>
        <v>34761.26</v>
      </c>
      <c r="Z417" s="9">
        <f>ROUND(T417 / 1.2, 2)</f>
        <v>149496.93</v>
      </c>
      <c r="AA417" s="9">
        <f>Y417+Z417</f>
        <v>184258.19</v>
      </c>
      <c r="AD417" s="4">
        <v>341534431</v>
      </c>
      <c r="AE417" s="4">
        <v>28278820</v>
      </c>
      <c r="AG417" s="4" t="s">
        <v>1713</v>
      </c>
      <c r="AH417" s="4" t="s">
        <v>1714</v>
      </c>
      <c r="AI417" s="4" t="s">
        <v>241</v>
      </c>
    </row>
    <row r="418" spans="1:35" ht="36" x14ac:dyDescent="0.3">
      <c r="A418" s="10" t="s">
        <v>1723</v>
      </c>
      <c r="B418" s="10"/>
      <c r="C418" s="24" t="s">
        <v>509</v>
      </c>
      <c r="D418" s="15"/>
      <c r="E418" s="15"/>
      <c r="F418" s="25" t="s">
        <v>76</v>
      </c>
      <c r="G418" s="26">
        <v>0.15</v>
      </c>
      <c r="H418" s="26"/>
      <c r="I418" s="26">
        <v>57.994999999999997</v>
      </c>
      <c r="J418" s="27">
        <v>90.28</v>
      </c>
      <c r="M418" s="28">
        <f>ROUND(ROUND(J418, 2)*I418, 2)</f>
        <v>5235.79</v>
      </c>
      <c r="P418" s="29">
        <v>88.8</v>
      </c>
      <c r="S418" s="28">
        <f>ROUND(ROUND(P418, 2)*I418, 2)</f>
        <v>5149.96</v>
      </c>
      <c r="V418" s="9">
        <f>ROUND(ROUND(P418, 2)/1.2, 2)</f>
        <v>74</v>
      </c>
      <c r="Y418" s="9">
        <f t="shared" si="25"/>
        <v>4291.63</v>
      </c>
      <c r="AD418" s="4" t="s">
        <v>1724</v>
      </c>
      <c r="AE418" s="4" t="s">
        <v>1725</v>
      </c>
      <c r="AF418" s="4" t="s">
        <v>512</v>
      </c>
    </row>
    <row r="419" spans="1:35" ht="36" x14ac:dyDescent="0.3">
      <c r="A419" s="10" t="s">
        <v>1726</v>
      </c>
      <c r="B419" s="10"/>
      <c r="C419" s="24" t="s">
        <v>1727</v>
      </c>
      <c r="D419" s="15"/>
      <c r="E419" s="15" t="s">
        <v>1728</v>
      </c>
      <c r="F419" s="25" t="s">
        <v>76</v>
      </c>
      <c r="G419" s="26">
        <v>0.3</v>
      </c>
      <c r="H419" s="26"/>
      <c r="I419" s="26">
        <v>115.989</v>
      </c>
      <c r="J419" s="27">
        <v>0</v>
      </c>
      <c r="M419" s="28">
        <f>ROUND(ROUND(J419, 2)*I419, 2)</f>
        <v>0</v>
      </c>
      <c r="P419" s="29">
        <v>315.24</v>
      </c>
      <c r="S419" s="28">
        <f>ROUND(ROUND(P419, 2)*I419, 2)</f>
        <v>36564.370000000003</v>
      </c>
      <c r="V419" s="9">
        <f>ROUND(ROUND(P419, 2)/1.2, 2)</f>
        <v>262.7</v>
      </c>
      <c r="Y419" s="9">
        <f t="shared" si="25"/>
        <v>30470.31</v>
      </c>
      <c r="AD419" s="4" t="s">
        <v>1729</v>
      </c>
      <c r="AE419" s="4" t="s">
        <v>1730</v>
      </c>
      <c r="AF419" s="4" t="s">
        <v>1731</v>
      </c>
    </row>
    <row r="420" spans="1:35" ht="16.95" customHeight="1" x14ac:dyDescent="0.3">
      <c r="A420" s="10" t="s">
        <v>1732</v>
      </c>
      <c r="B420" s="10" t="s">
        <v>1733</v>
      </c>
      <c r="C420" s="121" t="s">
        <v>1734</v>
      </c>
      <c r="D420" s="122"/>
      <c r="E420" s="122"/>
      <c r="F420" s="122"/>
      <c r="G420" s="122"/>
      <c r="H420" s="122"/>
      <c r="I420" s="123"/>
      <c r="M420" s="6">
        <f>SUM(M421,M423,M424,M426)</f>
        <v>0</v>
      </c>
      <c r="N420" s="6">
        <f>SUM(N421,N423,N424,N426)</f>
        <v>69483.759999999995</v>
      </c>
      <c r="O420" s="6">
        <f>SUM(O421,O423,O424,O426)</f>
        <v>69483.759999999995</v>
      </c>
      <c r="S420" s="6">
        <f>SUM(S421,S423,S424,S426)</f>
        <v>78830.179999999993</v>
      </c>
      <c r="T420" s="6">
        <f>SUM(T421,T423,T424,T426)</f>
        <v>69483.759999999995</v>
      </c>
      <c r="U420" s="6">
        <f>SUM(U421,U423,U424,U426)</f>
        <v>148313.94</v>
      </c>
      <c r="Y420" s="9">
        <f>SUM(Y421,Y423,Y424,Y426)</f>
        <v>65691.81</v>
      </c>
      <c r="Z420" s="9">
        <f>SUM(Z421,Z423,Z424,Z426)</f>
        <v>57903.130000000005</v>
      </c>
      <c r="AA420" s="9">
        <f>SUM(AA421,AA423,AA424,AA426)</f>
        <v>123594.94</v>
      </c>
      <c r="AD420" s="4">
        <v>341534355</v>
      </c>
      <c r="AE420" s="4">
        <v>25837355</v>
      </c>
    </row>
    <row r="421" spans="1:35" ht="36" x14ac:dyDescent="0.3">
      <c r="A421" s="10" t="s">
        <v>1735</v>
      </c>
      <c r="B421" s="10" t="s">
        <v>1736</v>
      </c>
      <c r="C421" s="14" t="s">
        <v>1737</v>
      </c>
      <c r="D421" s="15"/>
      <c r="E421" s="15" t="s">
        <v>1738</v>
      </c>
      <c r="F421" s="15" t="s">
        <v>57</v>
      </c>
      <c r="G421" s="16">
        <v>1</v>
      </c>
      <c r="H421" s="16"/>
      <c r="I421" s="16">
        <v>0</v>
      </c>
      <c r="J421" s="17">
        <v>0</v>
      </c>
      <c r="K421" s="18">
        <v>1499</v>
      </c>
      <c r="L421" s="17">
        <f>J421+ROUND(K421, 2)</f>
        <v>1499</v>
      </c>
      <c r="M421" s="17">
        <v>0</v>
      </c>
      <c r="N421" s="17">
        <v>0</v>
      </c>
      <c r="O421" s="17">
        <f>M421+N421</f>
        <v>0</v>
      </c>
      <c r="P421" s="17">
        <v>0</v>
      </c>
      <c r="Q421" s="18">
        <v>1499</v>
      </c>
      <c r="R421" s="17">
        <f>P421+ROUND(Q421, 2)</f>
        <v>1499</v>
      </c>
      <c r="S421" s="17">
        <v>0</v>
      </c>
      <c r="T421" s="17">
        <v>0</v>
      </c>
      <c r="U421" s="17">
        <f>S421+T421</f>
        <v>0</v>
      </c>
      <c r="V421" s="9">
        <f>ROUND(P421 / 1.2, 2)</f>
        <v>0</v>
      </c>
      <c r="W421" s="9">
        <f>ROUND(Q421 / 1.2, 2)</f>
        <v>1249.17</v>
      </c>
      <c r="X421" s="9">
        <f>ROUND(R421 / 1.2, 2)</f>
        <v>1249.17</v>
      </c>
      <c r="Y421" s="9">
        <f>ROUND(S421 / 1.2, 2)</f>
        <v>0</v>
      </c>
      <c r="Z421" s="9">
        <f>ROUND(T421 / 1.2, 2)</f>
        <v>0</v>
      </c>
      <c r="AA421" s="9">
        <f>Y421+Z421</f>
        <v>0</v>
      </c>
      <c r="AD421" s="4">
        <v>341534357</v>
      </c>
      <c r="AE421" s="4">
        <v>25837408</v>
      </c>
      <c r="AG421" s="4" t="s">
        <v>1739</v>
      </c>
      <c r="AH421" s="4" t="s">
        <v>1740</v>
      </c>
      <c r="AI421" s="4" t="s">
        <v>241</v>
      </c>
    </row>
    <row r="422" spans="1:35" ht="126" x14ac:dyDescent="0.3">
      <c r="A422" s="10" t="s">
        <v>1742</v>
      </c>
      <c r="B422" s="10"/>
      <c r="C422" s="24" t="s">
        <v>1743</v>
      </c>
      <c r="D422" s="15"/>
      <c r="E422" s="15" t="s">
        <v>1744</v>
      </c>
      <c r="F422" s="25" t="s">
        <v>57</v>
      </c>
      <c r="G422" s="26">
        <v>1</v>
      </c>
      <c r="H422" s="26"/>
      <c r="I422" s="26">
        <v>0</v>
      </c>
      <c r="J422" s="27">
        <v>0</v>
      </c>
      <c r="M422" s="28">
        <f>ROUND(ROUND(J422, 2)*I422, 2)</f>
        <v>0</v>
      </c>
      <c r="P422" s="27">
        <v>0</v>
      </c>
      <c r="S422" s="28">
        <f>ROUND(ROUND(P422, 2)*I422, 2)</f>
        <v>0</v>
      </c>
      <c r="V422" s="9">
        <f>ROUND(ROUND(P422, 2)/1.2, 2)</f>
        <v>0</v>
      </c>
      <c r="Y422" s="9">
        <f>ROUND(S422 / 1.2, 2)</f>
        <v>0</v>
      </c>
      <c r="AD422" s="4" t="s">
        <v>1745</v>
      </c>
      <c r="AE422" s="4" t="s">
        <v>1746</v>
      </c>
      <c r="AF422" s="4" t="s">
        <v>1747</v>
      </c>
    </row>
    <row r="423" spans="1:35" ht="54" x14ac:dyDescent="0.3">
      <c r="A423" s="10" t="s">
        <v>1750</v>
      </c>
      <c r="B423" s="10" t="s">
        <v>1751</v>
      </c>
      <c r="C423" s="14" t="s">
        <v>1752</v>
      </c>
      <c r="D423" s="15"/>
      <c r="E423" s="15"/>
      <c r="F423" s="15" t="s">
        <v>57</v>
      </c>
      <c r="G423" s="16">
        <v>1</v>
      </c>
      <c r="H423" s="16"/>
      <c r="I423" s="16">
        <v>64.099999999999994</v>
      </c>
      <c r="J423" s="17">
        <v>0</v>
      </c>
      <c r="K423" s="18">
        <v>121</v>
      </c>
      <c r="L423" s="17">
        <f>J423+ROUND(K423, 2)</f>
        <v>121</v>
      </c>
      <c r="M423" s="17">
        <v>0</v>
      </c>
      <c r="N423" s="17">
        <f>ROUND(I423*ROUND(K423, 2), 2)</f>
        <v>7756.1</v>
      </c>
      <c r="O423" s="17">
        <f>M423+N423</f>
        <v>7756.1</v>
      </c>
      <c r="P423" s="17">
        <v>0</v>
      </c>
      <c r="Q423" s="19">
        <v>121</v>
      </c>
      <c r="R423" s="17">
        <f>P423+ROUND(Q423, 2)</f>
        <v>121</v>
      </c>
      <c r="S423" s="17">
        <v>0</v>
      </c>
      <c r="T423" s="17">
        <f>ROUND(I423*ROUND(Q423, 2), 2)</f>
        <v>7756.1</v>
      </c>
      <c r="U423" s="17">
        <f>S423+T423</f>
        <v>7756.1</v>
      </c>
      <c r="V423" s="9"/>
      <c r="W423" s="9">
        <f>ROUND(Q423 / 1.2, 2)</f>
        <v>100.83</v>
      </c>
      <c r="X423" s="9">
        <f>ROUND(R423 / 1.2, 2)</f>
        <v>100.83</v>
      </c>
      <c r="Y423" s="9"/>
      <c r="Z423" s="9">
        <f>ROUND(T423 / 1.2, 2)</f>
        <v>6463.42</v>
      </c>
      <c r="AA423" s="9">
        <f>Y423+Z423</f>
        <v>6463.42</v>
      </c>
      <c r="AD423" s="4">
        <v>341534359</v>
      </c>
      <c r="AE423" s="4">
        <v>28278806</v>
      </c>
      <c r="AG423" s="4" t="s">
        <v>1753</v>
      </c>
      <c r="AH423" s="4" t="s">
        <v>1754</v>
      </c>
      <c r="AI423" s="4" t="s">
        <v>241</v>
      </c>
    </row>
    <row r="424" spans="1:35" ht="36" x14ac:dyDescent="0.3">
      <c r="A424" s="10" t="s">
        <v>1755</v>
      </c>
      <c r="B424" s="10" t="s">
        <v>1756</v>
      </c>
      <c r="C424" s="14" t="s">
        <v>1757</v>
      </c>
      <c r="D424" s="15"/>
      <c r="E424" s="15" t="s">
        <v>1758</v>
      </c>
      <c r="F424" s="15" t="s">
        <v>57</v>
      </c>
      <c r="G424" s="16">
        <v>1</v>
      </c>
      <c r="H424" s="16"/>
      <c r="I424" s="16">
        <v>32.5</v>
      </c>
      <c r="J424" s="17">
        <f>IFERROR(ROUND(SUM(M425)/I424, 2),0)</f>
        <v>0</v>
      </c>
      <c r="K424" s="18">
        <v>962.99</v>
      </c>
      <c r="L424" s="17">
        <f>J424+ROUND(K424, 2)</f>
        <v>962.99</v>
      </c>
      <c r="M424" s="17">
        <f>ROUND(J424*I424, 2)</f>
        <v>0</v>
      </c>
      <c r="N424" s="17">
        <f>ROUND(I424*ROUND(K424, 2), 2)</f>
        <v>31297.18</v>
      </c>
      <c r="O424" s="17">
        <f>M424+N424</f>
        <v>31297.18</v>
      </c>
      <c r="P424" s="17">
        <f>IFERROR(ROUND(SUM(S425)/I424, 2),0)</f>
        <v>1229.8</v>
      </c>
      <c r="Q424" s="19">
        <v>962.99</v>
      </c>
      <c r="R424" s="17">
        <f>P424+ROUND(Q424, 2)</f>
        <v>2192.79</v>
      </c>
      <c r="S424" s="17">
        <f>ROUND(P424*I424, 2)</f>
        <v>39968.5</v>
      </c>
      <c r="T424" s="17">
        <f>ROUND(I424*ROUND(Q424, 2), 2)</f>
        <v>31297.18</v>
      </c>
      <c r="U424" s="17">
        <f>S424+T424</f>
        <v>71265.679999999993</v>
      </c>
      <c r="V424" s="9">
        <f>ROUND(P424 / 1.2, 2)</f>
        <v>1024.83</v>
      </c>
      <c r="W424" s="9">
        <f>ROUND(Q424 / 1.2, 2)</f>
        <v>802.49</v>
      </c>
      <c r="X424" s="9">
        <f>ROUND(R424 / 1.2, 2)</f>
        <v>1827.33</v>
      </c>
      <c r="Y424" s="9">
        <f>ROUND(S424 / 1.2, 2)</f>
        <v>33307.08</v>
      </c>
      <c r="Z424" s="9">
        <f>ROUND(T424 / 1.2, 2)</f>
        <v>26080.98</v>
      </c>
      <c r="AA424" s="9">
        <f>Y424+Z424</f>
        <v>59388.06</v>
      </c>
      <c r="AD424" s="4">
        <v>341534361</v>
      </c>
      <c r="AE424" s="4">
        <v>28278821</v>
      </c>
      <c r="AG424" s="4" t="s">
        <v>1759</v>
      </c>
      <c r="AH424" s="4" t="s">
        <v>1760</v>
      </c>
      <c r="AI424" s="4" t="s">
        <v>241</v>
      </c>
    </row>
    <row r="425" spans="1:35" ht="90" x14ac:dyDescent="0.3">
      <c r="A425" s="10" t="s">
        <v>1761</v>
      </c>
      <c r="B425" s="10"/>
      <c r="C425" s="24" t="s">
        <v>1762</v>
      </c>
      <c r="D425" s="15"/>
      <c r="E425" s="15" t="s">
        <v>1763</v>
      </c>
      <c r="F425" s="25" t="s">
        <v>57</v>
      </c>
      <c r="G425" s="26">
        <v>1</v>
      </c>
      <c r="H425" s="36"/>
      <c r="I425" s="36">
        <v>32.5</v>
      </c>
      <c r="J425" s="27">
        <v>0</v>
      </c>
      <c r="M425" s="28">
        <f>ROUND(ROUND(J425, 2)*I425, 2)</f>
        <v>0</v>
      </c>
      <c r="P425" s="29">
        <v>1229.8</v>
      </c>
      <c r="S425" s="28">
        <f>ROUND(ROUND(P425, 2)*I425, 2)</f>
        <v>39968.5</v>
      </c>
      <c r="V425" s="9">
        <f>ROUND(ROUND(P425, 2)/1.2, 2)</f>
        <v>1024.83</v>
      </c>
      <c r="Y425" s="9">
        <f>ROUND(S425 / 1.2, 2)</f>
        <v>33307.08</v>
      </c>
      <c r="AD425" s="4" t="s">
        <v>1764</v>
      </c>
      <c r="AE425" s="4" t="s">
        <v>1765</v>
      </c>
      <c r="AF425" s="4" t="s">
        <v>1766</v>
      </c>
    </row>
    <row r="426" spans="1:35" ht="36" x14ac:dyDescent="0.3">
      <c r="A426" s="10" t="s">
        <v>1767</v>
      </c>
      <c r="B426" s="10" t="s">
        <v>1756</v>
      </c>
      <c r="C426" s="14" t="s">
        <v>1757</v>
      </c>
      <c r="D426" s="15"/>
      <c r="E426" s="15" t="s">
        <v>1768</v>
      </c>
      <c r="F426" s="15" t="s">
        <v>57</v>
      </c>
      <c r="G426" s="16">
        <v>1</v>
      </c>
      <c r="H426" s="16"/>
      <c r="I426" s="16">
        <v>31.6</v>
      </c>
      <c r="J426" s="17">
        <f>IFERROR(ROUND(SUM(M427)/I426, 2),0)</f>
        <v>0</v>
      </c>
      <c r="K426" s="18">
        <v>962.99</v>
      </c>
      <c r="L426" s="17">
        <f>J426+ROUND(K426, 2)</f>
        <v>962.99</v>
      </c>
      <c r="M426" s="17">
        <f>ROUND(J426*I426, 2)</f>
        <v>0</v>
      </c>
      <c r="N426" s="17">
        <f>ROUND(I426*ROUND(K426, 2), 2)</f>
        <v>30430.48</v>
      </c>
      <c r="O426" s="17">
        <f>M426+N426</f>
        <v>30430.48</v>
      </c>
      <c r="P426" s="17">
        <f>IFERROR(ROUND(SUM(S427)/I426, 2),0)</f>
        <v>1229.8</v>
      </c>
      <c r="Q426" s="19">
        <v>962.99</v>
      </c>
      <c r="R426" s="17">
        <f>P426+ROUND(Q426, 2)</f>
        <v>2192.79</v>
      </c>
      <c r="S426" s="17">
        <f>ROUND(P426*I426, 2)</f>
        <v>38861.68</v>
      </c>
      <c r="T426" s="17">
        <f>ROUND(I426*ROUND(Q426, 2), 2)</f>
        <v>30430.48</v>
      </c>
      <c r="U426" s="17">
        <f>S426+T426</f>
        <v>69292.160000000003</v>
      </c>
      <c r="V426" s="9">
        <f>ROUND(P426 / 1.2, 2)</f>
        <v>1024.83</v>
      </c>
      <c r="W426" s="9">
        <f>ROUND(Q426 / 1.2, 2)</f>
        <v>802.49</v>
      </c>
      <c r="X426" s="9">
        <f>ROUND(R426 / 1.2, 2)</f>
        <v>1827.33</v>
      </c>
      <c r="Y426" s="9">
        <f>ROUND(S426 / 1.2, 2)</f>
        <v>32384.73</v>
      </c>
      <c r="Z426" s="9">
        <f>ROUND(T426 / 1.2, 2)</f>
        <v>25358.73</v>
      </c>
      <c r="AA426" s="9">
        <f>Y426+Z426</f>
        <v>57743.46</v>
      </c>
      <c r="AD426" s="4">
        <v>341534432</v>
      </c>
      <c r="AE426" s="4">
        <v>28278819</v>
      </c>
      <c r="AG426" s="4" t="s">
        <v>1759</v>
      </c>
      <c r="AH426" s="4" t="s">
        <v>1760</v>
      </c>
      <c r="AI426" s="4" t="s">
        <v>241</v>
      </c>
    </row>
    <row r="427" spans="1:35" ht="90" x14ac:dyDescent="0.3">
      <c r="A427" s="10" t="s">
        <v>1769</v>
      </c>
      <c r="B427" s="10"/>
      <c r="C427" s="24" t="s">
        <v>1762</v>
      </c>
      <c r="D427" s="15"/>
      <c r="E427" s="15" t="s">
        <v>1763</v>
      </c>
      <c r="F427" s="25" t="s">
        <v>57</v>
      </c>
      <c r="G427" s="26">
        <v>1</v>
      </c>
      <c r="H427" s="36"/>
      <c r="I427" s="36">
        <v>31.6</v>
      </c>
      <c r="J427" s="27">
        <v>0</v>
      </c>
      <c r="M427" s="28">
        <f>ROUND(ROUND(J427, 2)*I427, 2)</f>
        <v>0</v>
      </c>
      <c r="P427" s="29">
        <v>1229.8</v>
      </c>
      <c r="S427" s="28">
        <f>ROUND(ROUND(P427, 2)*I427, 2)</f>
        <v>38861.68</v>
      </c>
      <c r="V427" s="9">
        <f>ROUND(ROUND(P427, 2)/1.2, 2)</f>
        <v>1024.83</v>
      </c>
      <c r="Y427" s="9">
        <f>ROUND(S427 / 1.2, 2)</f>
        <v>32384.73</v>
      </c>
      <c r="AD427" s="4" t="s">
        <v>1770</v>
      </c>
      <c r="AE427" s="4" t="s">
        <v>1771</v>
      </c>
      <c r="AF427" s="4" t="s">
        <v>1766</v>
      </c>
    </row>
    <row r="428" spans="1:35" ht="24" customHeight="1" x14ac:dyDescent="0.3">
      <c r="A428" s="67"/>
      <c r="B428" s="67"/>
      <c r="C428" s="67"/>
      <c r="D428" s="68" t="s">
        <v>1772</v>
      </c>
      <c r="E428" s="67"/>
      <c r="F428" s="67"/>
      <c r="G428" s="67"/>
      <c r="H428" s="67"/>
      <c r="I428" s="67"/>
      <c r="J428" s="67"/>
      <c r="K428" s="67"/>
      <c r="L428" s="67"/>
      <c r="M428" s="69">
        <f>SUM(M8)</f>
        <v>3689261.5200000005</v>
      </c>
      <c r="N428" s="69">
        <f>SUM(N8)</f>
        <v>14064838.649999999</v>
      </c>
      <c r="O428" s="69">
        <f>M428+N428</f>
        <v>17754100.169999998</v>
      </c>
      <c r="P428" s="67"/>
      <c r="Q428" s="67"/>
      <c r="R428" s="67"/>
      <c r="S428" s="69">
        <f>SUM(S8)</f>
        <v>3902823.1</v>
      </c>
      <c r="T428" s="69">
        <f>SUM(T8)</f>
        <v>14064019.079999998</v>
      </c>
      <c r="U428" s="69">
        <f>S428+T428</f>
        <v>17966842.18</v>
      </c>
      <c r="Y428" s="9">
        <f>SUM(Y8)</f>
        <v>3252352.6700000004</v>
      </c>
      <c r="Z428" s="9">
        <f>SUM(Z8)</f>
        <v>11720015.950000003</v>
      </c>
      <c r="AA428" s="9">
        <f>Y428+Z428</f>
        <v>14972368.620000003</v>
      </c>
    </row>
    <row r="429" spans="1:35" ht="22.8" x14ac:dyDescent="0.3">
      <c r="A429" s="131" t="s">
        <v>1778</v>
      </c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3"/>
    </row>
    <row r="430" spans="1:35" ht="15.6" x14ac:dyDescent="0.3">
      <c r="A430" s="71"/>
      <c r="B430" s="5" t="s">
        <v>1779</v>
      </c>
      <c r="C430" s="70" t="s">
        <v>1780</v>
      </c>
      <c r="D430" s="70" t="s">
        <v>1781</v>
      </c>
      <c r="E430" s="72"/>
      <c r="F430" s="72"/>
      <c r="G430" s="72"/>
      <c r="H430" s="127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28"/>
    </row>
    <row r="431" spans="1:35" ht="15.6" x14ac:dyDescent="0.3">
      <c r="A431" s="71"/>
      <c r="B431" s="5" t="s">
        <v>1782</v>
      </c>
      <c r="C431" s="70" t="s">
        <v>1783</v>
      </c>
      <c r="D431" s="70" t="s">
        <v>1784</v>
      </c>
      <c r="E431" s="72"/>
      <c r="F431" s="72"/>
      <c r="G431" s="72"/>
      <c r="H431" s="127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28"/>
    </row>
    <row r="432" spans="1:35" ht="31.2" x14ac:dyDescent="0.3">
      <c r="A432" s="71"/>
      <c r="B432" s="5" t="s">
        <v>1785</v>
      </c>
      <c r="C432" s="70" t="s">
        <v>1786</v>
      </c>
      <c r="D432" s="70" t="s">
        <v>1787</v>
      </c>
      <c r="E432" s="72"/>
      <c r="F432" s="72"/>
      <c r="G432" s="72"/>
      <c r="H432" s="127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28"/>
    </row>
    <row r="433" spans="1:21" ht="15.6" x14ac:dyDescent="0.3">
      <c r="A433" s="71"/>
      <c r="B433" s="5" t="s">
        <v>1788</v>
      </c>
      <c r="C433" s="70" t="s">
        <v>1789</v>
      </c>
      <c r="D433" s="70" t="s">
        <v>1790</v>
      </c>
      <c r="E433" s="72"/>
      <c r="F433" s="72"/>
      <c r="G433" s="72"/>
      <c r="H433" s="127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28"/>
    </row>
    <row r="434" spans="1:21" ht="15.6" x14ac:dyDescent="0.3">
      <c r="A434" s="71"/>
      <c r="B434" s="5" t="s">
        <v>1791</v>
      </c>
      <c r="C434" s="70" t="s">
        <v>1792</v>
      </c>
      <c r="D434" s="70" t="s">
        <v>1784</v>
      </c>
      <c r="E434" s="72"/>
      <c r="F434" s="72"/>
      <c r="G434" s="72"/>
      <c r="H434" s="127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28"/>
    </row>
    <row r="435" spans="1:21" ht="31.2" x14ac:dyDescent="0.3">
      <c r="A435" s="71"/>
      <c r="B435" s="5" t="s">
        <v>1793</v>
      </c>
      <c r="C435" s="70" t="s">
        <v>1794</v>
      </c>
      <c r="D435" s="70" t="s">
        <v>1795</v>
      </c>
      <c r="E435" s="72"/>
      <c r="F435" s="72"/>
      <c r="G435" s="72"/>
      <c r="H435" s="127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28"/>
    </row>
    <row r="436" spans="1:21" ht="31.2" x14ac:dyDescent="0.3">
      <c r="A436" s="71"/>
      <c r="B436" s="5" t="s">
        <v>1796</v>
      </c>
      <c r="C436" s="70" t="s">
        <v>1797</v>
      </c>
      <c r="D436" s="70" t="s">
        <v>1798</v>
      </c>
      <c r="E436" s="72"/>
      <c r="F436" s="72"/>
      <c r="G436" s="72"/>
      <c r="H436" s="127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28"/>
    </row>
    <row r="437" spans="1:21" ht="15.6" x14ac:dyDescent="0.3">
      <c r="A437" s="71"/>
      <c r="B437" s="5" t="s">
        <v>1799</v>
      </c>
      <c r="C437" s="70" t="s">
        <v>1800</v>
      </c>
      <c r="D437" s="70" t="s">
        <v>1801</v>
      </c>
      <c r="E437" s="72"/>
      <c r="F437" s="72"/>
      <c r="G437" s="72"/>
      <c r="H437" s="127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28"/>
    </row>
    <row r="438" spans="1:21" ht="15.6" x14ac:dyDescent="0.3">
      <c r="A438" s="71"/>
      <c r="B438" s="5" t="s">
        <v>1802</v>
      </c>
      <c r="C438" s="70" t="s">
        <v>1803</v>
      </c>
      <c r="D438" s="70" t="s">
        <v>1804</v>
      </c>
      <c r="E438" s="72"/>
      <c r="F438" s="72"/>
      <c r="G438" s="72"/>
      <c r="H438" s="127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28"/>
    </row>
    <row r="439" spans="1:21" ht="31.2" x14ac:dyDescent="0.3">
      <c r="A439" s="71"/>
      <c r="B439" s="5" t="s">
        <v>1805</v>
      </c>
      <c r="C439" s="70" t="s">
        <v>1806</v>
      </c>
      <c r="D439" s="70" t="s">
        <v>1807</v>
      </c>
      <c r="E439" s="72"/>
      <c r="F439" s="72"/>
      <c r="G439" s="72"/>
      <c r="H439" s="127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28"/>
    </row>
    <row r="440" spans="1:21" ht="46.8" x14ac:dyDescent="0.3">
      <c r="A440" s="71"/>
      <c r="B440" s="5" t="s">
        <v>1808</v>
      </c>
      <c r="C440" s="70" t="s">
        <v>1809</v>
      </c>
      <c r="D440" s="70" t="s">
        <v>1810</v>
      </c>
      <c r="E440" s="72"/>
      <c r="F440" s="72"/>
      <c r="G440" s="72"/>
      <c r="H440" s="127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28"/>
    </row>
    <row r="441" spans="1:21" ht="31.2" x14ac:dyDescent="0.3">
      <c r="A441" s="71"/>
      <c r="B441" s="5" t="s">
        <v>1811</v>
      </c>
      <c r="C441" s="70" t="s">
        <v>1812</v>
      </c>
      <c r="D441" s="70" t="s">
        <v>1813</v>
      </c>
      <c r="E441" s="72"/>
      <c r="F441" s="72"/>
      <c r="G441" s="72"/>
      <c r="H441" s="127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28"/>
    </row>
    <row r="442" spans="1:21" ht="15.6" x14ac:dyDescent="0.3">
      <c r="A442" s="71"/>
      <c r="B442" s="5" t="s">
        <v>1814</v>
      </c>
      <c r="C442" s="70" t="s">
        <v>1815</v>
      </c>
      <c r="D442" s="70" t="s">
        <v>1816</v>
      </c>
      <c r="E442" s="72"/>
      <c r="F442" s="72"/>
      <c r="G442" s="72"/>
      <c r="H442" s="127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28"/>
    </row>
    <row r="443" spans="1:21" ht="48" customHeight="1" x14ac:dyDescent="0.3">
      <c r="A443" s="71"/>
      <c r="B443" s="5" t="s">
        <v>1817</v>
      </c>
      <c r="C443" s="70" t="s">
        <v>1818</v>
      </c>
      <c r="D443" s="70" t="s">
        <v>1819</v>
      </c>
      <c r="E443" s="72"/>
      <c r="F443" s="72"/>
      <c r="G443" s="72"/>
      <c r="H443" s="127" t="s">
        <v>1820</v>
      </c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28"/>
    </row>
    <row r="444" spans="1:21" ht="15.6" x14ac:dyDescent="0.3">
      <c r="A444" s="71"/>
      <c r="B444" s="5" t="s">
        <v>1821</v>
      </c>
      <c r="C444" s="70" t="s">
        <v>1822</v>
      </c>
      <c r="D444" s="70" t="s">
        <v>1823</v>
      </c>
      <c r="E444" s="72"/>
      <c r="F444" s="72"/>
      <c r="G444" s="72"/>
      <c r="H444" s="127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28"/>
    </row>
    <row r="445" spans="1:21" ht="15.6" x14ac:dyDescent="0.3">
      <c r="A445" s="71"/>
      <c r="B445" s="5" t="s">
        <v>1824</v>
      </c>
      <c r="C445" s="70" t="s">
        <v>1825</v>
      </c>
      <c r="D445" s="72"/>
      <c r="E445" s="72"/>
      <c r="F445" s="72"/>
      <c r="G445" s="72"/>
      <c r="H445" s="127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28"/>
    </row>
    <row r="446" spans="1:21" ht="15.6" x14ac:dyDescent="0.3">
      <c r="A446" s="71"/>
      <c r="B446" s="5" t="s">
        <v>1826</v>
      </c>
      <c r="C446" s="70" t="s">
        <v>1827</v>
      </c>
      <c r="D446" s="72"/>
      <c r="E446" s="72"/>
      <c r="F446" s="72"/>
      <c r="G446" s="72"/>
      <c r="H446" s="127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28"/>
    </row>
    <row r="447" spans="1:21" ht="15.6" x14ac:dyDescent="0.3">
      <c r="A447" s="71"/>
      <c r="B447" s="5" t="s">
        <v>1828</v>
      </c>
      <c r="C447" s="70" t="s">
        <v>1829</v>
      </c>
      <c r="D447" s="72"/>
      <c r="E447" s="72"/>
      <c r="F447" s="72"/>
      <c r="G447" s="72"/>
      <c r="H447" s="127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28"/>
    </row>
  </sheetData>
  <sheetProtection password="C644" sheet="1" formatColumns="0" autoFilter="0"/>
  <autoFilter ref="A7:U7"/>
  <mergeCells count="67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6:I16"/>
    <mergeCell ref="C23:I23"/>
    <mergeCell ref="C44:I44"/>
    <mergeCell ref="C49:I49"/>
    <mergeCell ref="C50:I50"/>
    <mergeCell ref="C51:I51"/>
    <mergeCell ref="C52:I52"/>
    <mergeCell ref="C53:I53"/>
    <mergeCell ref="C91:I91"/>
    <mergeCell ref="C100:I100"/>
    <mergeCell ref="C139:I139"/>
    <mergeCell ref="C140:I140"/>
    <mergeCell ref="C301:I301"/>
    <mergeCell ref="C317:I317"/>
    <mergeCell ref="C375:I375"/>
    <mergeCell ref="C376:I376"/>
    <mergeCell ref="C407:I407"/>
    <mergeCell ref="C420:I420"/>
    <mergeCell ref="A429:U429"/>
    <mergeCell ref="H430:U430"/>
    <mergeCell ref="H431:U431"/>
    <mergeCell ref="H432:U432"/>
    <mergeCell ref="H433:U433"/>
    <mergeCell ref="H434:U434"/>
    <mergeCell ref="H435:U435"/>
    <mergeCell ref="H436:U436"/>
    <mergeCell ref="H437:U437"/>
    <mergeCell ref="H438:U438"/>
    <mergeCell ref="H439:U439"/>
    <mergeCell ref="H440:U440"/>
    <mergeCell ref="H441:U441"/>
    <mergeCell ref="H447:U447"/>
    <mergeCell ref="H442:U442"/>
    <mergeCell ref="H443:U443"/>
    <mergeCell ref="H444:U444"/>
    <mergeCell ref="H445:U445"/>
    <mergeCell ref="H446:U4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U447"/>
  <sheetViews>
    <sheetView tabSelected="1" view="pageBreakPreview" topLeftCell="A407" zoomScale="70" zoomScaleNormal="53" zoomScaleSheetLayoutView="70" workbookViewId="0">
      <selection activeCell="E417" sqref="E417"/>
    </sheetView>
  </sheetViews>
  <sheetFormatPr defaultRowHeight="14.4" x14ac:dyDescent="0.3"/>
  <cols>
    <col min="1" max="1" width="13.44140625" customWidth="1"/>
    <col min="2" max="2" width="16.44140625" customWidth="1"/>
    <col min="3" max="3" width="55.6640625" customWidth="1"/>
    <col min="4" max="4" width="18.6640625" customWidth="1"/>
    <col min="5" max="5" width="33" customWidth="1"/>
    <col min="6" max="6" width="16.44140625" customWidth="1"/>
    <col min="7" max="7" width="16.44140625" hidden="1" customWidth="1"/>
    <col min="8" max="8" width="7.5546875" hidden="1" customWidth="1"/>
    <col min="9" max="9" width="23.21875" customWidth="1"/>
    <col min="10" max="10" width="16" hidden="1" customWidth="1"/>
    <col min="11" max="11" width="17" hidden="1" customWidth="1"/>
    <col min="12" max="12" width="17.6640625" hidden="1" customWidth="1"/>
    <col min="13" max="13" width="18" hidden="1" customWidth="1"/>
    <col min="14" max="14" width="18.77734375" hidden="1" customWidth="1"/>
    <col min="15" max="15" width="23.6640625" hidden="1" customWidth="1"/>
    <col min="16" max="16" width="16" hidden="1" customWidth="1"/>
    <col min="17" max="17" width="17" hidden="1" customWidth="1"/>
    <col min="18" max="18" width="17.6640625" hidden="1" customWidth="1"/>
    <col min="19" max="19" width="18" hidden="1" customWidth="1"/>
    <col min="20" max="20" width="18.77734375" hidden="1" customWidth="1"/>
    <col min="21" max="21" width="23.6640625" hidden="1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1773</v>
      </c>
      <c r="H1" s="2" t="s">
        <v>1774</v>
      </c>
      <c r="I1" s="2" t="s">
        <v>1775</v>
      </c>
      <c r="J1" s="2" t="s">
        <v>1776</v>
      </c>
      <c r="K1" s="2" t="s">
        <v>1777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">
      <c r="A2" s="134" t="s">
        <v>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1" ht="15" customHeight="1" x14ac:dyDescent="0.3">
      <c r="A3" s="135" t="s">
        <v>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</row>
    <row r="4" spans="1:21" ht="15" customHeight="1" x14ac:dyDescent="0.3">
      <c r="A4" s="136" t="s">
        <v>6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</row>
    <row r="5" spans="1:21" ht="40.799999999999997" customHeight="1" x14ac:dyDescent="0.3">
      <c r="A5" s="99" t="s">
        <v>22</v>
      </c>
      <c r="B5" s="84" t="s">
        <v>23</v>
      </c>
      <c r="C5" s="84" t="s">
        <v>24</v>
      </c>
      <c r="D5" s="84" t="s">
        <v>25</v>
      </c>
      <c r="E5" s="84" t="s">
        <v>26</v>
      </c>
      <c r="F5" s="84" t="s">
        <v>27</v>
      </c>
      <c r="G5" s="84" t="s">
        <v>28</v>
      </c>
      <c r="H5" s="84" t="s">
        <v>29</v>
      </c>
      <c r="I5" s="105" t="s">
        <v>30</v>
      </c>
      <c r="J5" s="137" t="s">
        <v>7</v>
      </c>
      <c r="K5" s="138"/>
      <c r="L5" s="138"/>
      <c r="M5" s="138"/>
      <c r="N5" s="138"/>
      <c r="O5" s="139"/>
      <c r="P5" s="140" t="s">
        <v>8</v>
      </c>
      <c r="Q5" s="141"/>
      <c r="R5" s="142"/>
      <c r="S5" s="140" t="s">
        <v>9</v>
      </c>
      <c r="T5" s="141"/>
      <c r="U5" s="142"/>
    </row>
    <row r="6" spans="1:21" ht="15.75" customHeight="1" x14ac:dyDescent="0.3">
      <c r="A6" s="99"/>
      <c r="B6" s="84"/>
      <c r="C6" s="84"/>
      <c r="D6" s="84"/>
      <c r="E6" s="84"/>
      <c r="F6" s="84"/>
      <c r="G6" s="84"/>
      <c r="H6" s="84"/>
      <c r="I6" s="105"/>
      <c r="J6" s="127" t="s">
        <v>31</v>
      </c>
      <c r="K6" s="128"/>
      <c r="L6" s="129" t="s">
        <v>31</v>
      </c>
      <c r="M6" s="127" t="s">
        <v>34</v>
      </c>
      <c r="N6" s="128"/>
      <c r="O6" s="129" t="s">
        <v>35</v>
      </c>
      <c r="P6" s="127" t="s">
        <v>31</v>
      </c>
      <c r="Q6" s="128"/>
      <c r="R6" s="129" t="s">
        <v>31</v>
      </c>
      <c r="S6" s="127" t="s">
        <v>34</v>
      </c>
      <c r="T6" s="128"/>
      <c r="U6" s="129" t="s">
        <v>35</v>
      </c>
    </row>
    <row r="7" spans="1:21" ht="31.2" customHeight="1" x14ac:dyDescent="0.3">
      <c r="A7" s="100"/>
      <c r="B7" s="83"/>
      <c r="C7" s="83"/>
      <c r="D7" s="83"/>
      <c r="E7" s="83"/>
      <c r="F7" s="83"/>
      <c r="G7" s="83"/>
      <c r="H7" s="83"/>
      <c r="I7" s="106"/>
      <c r="J7" s="5" t="s">
        <v>32</v>
      </c>
      <c r="K7" s="5" t="s">
        <v>33</v>
      </c>
      <c r="L7" s="130"/>
      <c r="M7" s="5" t="s">
        <v>32</v>
      </c>
      <c r="N7" s="5" t="s">
        <v>33</v>
      </c>
      <c r="O7" s="130"/>
      <c r="P7" s="5" t="s">
        <v>32</v>
      </c>
      <c r="Q7" s="5" t="s">
        <v>33</v>
      </c>
      <c r="R7" s="130"/>
      <c r="S7" s="5" t="s">
        <v>32</v>
      </c>
      <c r="T7" s="5" t="s">
        <v>33</v>
      </c>
      <c r="U7" s="130"/>
    </row>
    <row r="8" spans="1:21" ht="30" customHeight="1" x14ac:dyDescent="0.3">
      <c r="A8" s="82" t="s">
        <v>36</v>
      </c>
      <c r="B8" s="82"/>
      <c r="C8" s="82"/>
      <c r="D8" s="82"/>
      <c r="E8" s="82"/>
      <c r="F8" s="82"/>
      <c r="G8" s="82"/>
      <c r="H8" s="82"/>
      <c r="I8" s="82"/>
      <c r="J8" s="7"/>
      <c r="K8" s="7"/>
      <c r="L8" s="7"/>
      <c r="M8" s="8">
        <f>SUM(M9)</f>
        <v>3689261.5200000005</v>
      </c>
      <c r="N8" s="8">
        <f>SUM(N9)</f>
        <v>14064838.649999999</v>
      </c>
      <c r="O8" s="8">
        <f>SUM(O9)</f>
        <v>17754100.170000002</v>
      </c>
      <c r="P8" s="7"/>
      <c r="Q8" s="7"/>
      <c r="R8" s="7"/>
      <c r="S8" s="8">
        <f>SUM(S9)</f>
        <v>3902823.1</v>
      </c>
      <c r="T8" s="8">
        <f>SUM(T9)</f>
        <v>14064019.079999998</v>
      </c>
      <c r="U8" s="8">
        <f>SUM(U9)</f>
        <v>17966842.180000003</v>
      </c>
    </row>
    <row r="9" spans="1:21" ht="16.95" customHeight="1" x14ac:dyDescent="0.3">
      <c r="A9" s="101" t="s">
        <v>38</v>
      </c>
      <c r="B9" s="10" t="s">
        <v>39</v>
      </c>
      <c r="C9" s="80" t="s">
        <v>40</v>
      </c>
      <c r="D9" s="81"/>
      <c r="E9" s="81"/>
      <c r="F9" s="81"/>
      <c r="G9" s="81"/>
      <c r="H9" s="81"/>
      <c r="I9" s="81"/>
      <c r="M9" s="6">
        <f>SUM(M10,M49)</f>
        <v>3689261.5200000005</v>
      </c>
      <c r="N9" s="6">
        <f>SUM(N10,N49)</f>
        <v>14064838.649999999</v>
      </c>
      <c r="O9" s="6">
        <f>SUM(O10,O49)</f>
        <v>17754100.170000002</v>
      </c>
      <c r="S9" s="6">
        <f>SUM(S10,S49)</f>
        <v>3902823.1</v>
      </c>
      <c r="T9" s="6">
        <f>SUM(T10,T49)</f>
        <v>14064019.079999998</v>
      </c>
      <c r="U9" s="6">
        <f>SUM(U10,U49)</f>
        <v>17966842.180000003</v>
      </c>
    </row>
    <row r="10" spans="1:21" ht="16.95" customHeight="1" x14ac:dyDescent="0.3">
      <c r="A10" s="101" t="s">
        <v>41</v>
      </c>
      <c r="B10" s="10" t="s">
        <v>42</v>
      </c>
      <c r="C10" s="80" t="s">
        <v>43</v>
      </c>
      <c r="D10" s="81"/>
      <c r="E10" s="81"/>
      <c r="F10" s="81"/>
      <c r="G10" s="81"/>
      <c r="H10" s="81"/>
      <c r="I10" s="81"/>
      <c r="M10" s="6">
        <f t="shared" ref="M10:O11" si="0">SUM(M11)</f>
        <v>155771.19999999998</v>
      </c>
      <c r="N10" s="6">
        <f t="shared" si="0"/>
        <v>578336.01</v>
      </c>
      <c r="O10" s="6">
        <f t="shared" si="0"/>
        <v>734107.20999999985</v>
      </c>
      <c r="S10" s="6">
        <f t="shared" ref="S10:U11" si="1">SUM(S11)</f>
        <v>155642.97999999998</v>
      </c>
      <c r="T10" s="6">
        <f t="shared" si="1"/>
        <v>577516.43999999994</v>
      </c>
      <c r="U10" s="6">
        <f t="shared" si="1"/>
        <v>733159.42</v>
      </c>
    </row>
    <row r="11" spans="1:21" ht="16.95" customHeight="1" x14ac:dyDescent="0.3">
      <c r="A11" s="101" t="s">
        <v>44</v>
      </c>
      <c r="B11" s="10" t="s">
        <v>45</v>
      </c>
      <c r="C11" s="80" t="s">
        <v>46</v>
      </c>
      <c r="D11" s="81"/>
      <c r="E11" s="81"/>
      <c r="F11" s="81"/>
      <c r="G11" s="81"/>
      <c r="H11" s="81"/>
      <c r="I11" s="81"/>
      <c r="M11" s="6">
        <f t="shared" si="0"/>
        <v>155771.19999999998</v>
      </c>
      <c r="N11" s="6">
        <f t="shared" si="0"/>
        <v>578336.01</v>
      </c>
      <c r="O11" s="6">
        <f t="shared" si="0"/>
        <v>734107.20999999985</v>
      </c>
      <c r="S11" s="6">
        <f t="shared" si="1"/>
        <v>155642.97999999998</v>
      </c>
      <c r="T11" s="6">
        <f t="shared" si="1"/>
        <v>577516.43999999994</v>
      </c>
      <c r="U11" s="6">
        <f t="shared" si="1"/>
        <v>733159.42</v>
      </c>
    </row>
    <row r="12" spans="1:21" ht="16.95" customHeight="1" x14ac:dyDescent="0.3">
      <c r="A12" s="101" t="s">
        <v>47</v>
      </c>
      <c r="B12" s="10" t="s">
        <v>48</v>
      </c>
      <c r="C12" s="80" t="s">
        <v>49</v>
      </c>
      <c r="D12" s="81"/>
      <c r="E12" s="81"/>
      <c r="F12" s="81"/>
      <c r="G12" s="81"/>
      <c r="H12" s="81"/>
      <c r="I12" s="81"/>
      <c r="M12" s="6">
        <f>SUM(M13,M15,M44)</f>
        <v>155771.19999999998</v>
      </c>
      <c r="N12" s="6">
        <f>SUM(N13,N15,N44)</f>
        <v>578336.01</v>
      </c>
      <c r="O12" s="6">
        <f>SUM(O13,O15,O44)</f>
        <v>734107.20999999985</v>
      </c>
      <c r="S12" s="6">
        <f>SUM(S13,S15,S44)</f>
        <v>155642.97999999998</v>
      </c>
      <c r="T12" s="6">
        <f>SUM(T13,T15,T44)</f>
        <v>577516.43999999994</v>
      </c>
      <c r="U12" s="6">
        <f>SUM(U13,U15,U44)</f>
        <v>733159.42</v>
      </c>
    </row>
    <row r="13" spans="1:21" ht="16.95" customHeight="1" x14ac:dyDescent="0.3">
      <c r="A13" s="101" t="s">
        <v>50</v>
      </c>
      <c r="B13" s="10" t="s">
        <v>51</v>
      </c>
      <c r="C13" s="80" t="s">
        <v>52</v>
      </c>
      <c r="D13" s="81"/>
      <c r="E13" s="81"/>
      <c r="F13" s="81"/>
      <c r="G13" s="81"/>
      <c r="H13" s="81"/>
      <c r="I13" s="81"/>
      <c r="M13" s="6">
        <f>SUM(M14)</f>
        <v>0</v>
      </c>
      <c r="N13" s="6">
        <f>SUM(N14)</f>
        <v>282000</v>
      </c>
      <c r="O13" s="6">
        <f>SUM(O14)</f>
        <v>282000</v>
      </c>
      <c r="S13" s="6">
        <f>SUM(S14)</f>
        <v>0</v>
      </c>
      <c r="T13" s="6">
        <f>SUM(T14)</f>
        <v>282000</v>
      </c>
      <c r="U13" s="6">
        <f>SUM(U14)</f>
        <v>282000</v>
      </c>
    </row>
    <row r="14" spans="1:21" ht="54" customHeight="1" x14ac:dyDescent="0.3">
      <c r="A14" s="102" t="s">
        <v>53</v>
      </c>
      <c r="B14" s="74" t="s">
        <v>54</v>
      </c>
      <c r="C14" s="75" t="s">
        <v>55</v>
      </c>
      <c r="D14" s="76"/>
      <c r="E14" s="76" t="s">
        <v>56</v>
      </c>
      <c r="F14" s="76" t="s">
        <v>57</v>
      </c>
      <c r="G14" s="77">
        <v>1</v>
      </c>
      <c r="H14" s="77"/>
      <c r="I14" s="107">
        <v>752</v>
      </c>
      <c r="J14" s="78">
        <v>0</v>
      </c>
      <c r="K14" s="73">
        <v>375</v>
      </c>
      <c r="L14" s="78">
        <f>J14+ROUND(K14, 2)</f>
        <v>375</v>
      </c>
      <c r="M14" s="78">
        <v>0</v>
      </c>
      <c r="N14" s="78">
        <f>ROUND(I14*ROUND(K14, 2), 2)</f>
        <v>282000</v>
      </c>
      <c r="O14" s="78">
        <f>M14+N14</f>
        <v>282000</v>
      </c>
      <c r="P14" s="78">
        <v>0</v>
      </c>
      <c r="Q14" s="79">
        <v>375</v>
      </c>
      <c r="R14" s="78">
        <f>P14+ROUND(Q14, 2)</f>
        <v>375</v>
      </c>
      <c r="S14" s="78">
        <v>0</v>
      </c>
      <c r="T14" s="78">
        <f>ROUND(I14*ROUND(Q14, 2), 2)</f>
        <v>282000</v>
      </c>
      <c r="U14" s="78">
        <f>S14+T14</f>
        <v>282000</v>
      </c>
    </row>
    <row r="15" spans="1:21" ht="16.95" customHeight="1" x14ac:dyDescent="0.3">
      <c r="A15" s="101" t="s">
        <v>61</v>
      </c>
      <c r="B15" s="10" t="s">
        <v>62</v>
      </c>
      <c r="C15" s="80" t="s">
        <v>63</v>
      </c>
      <c r="D15" s="81"/>
      <c r="E15" s="81"/>
      <c r="F15" s="81"/>
      <c r="G15" s="81"/>
      <c r="H15" s="81"/>
      <c r="I15" s="81"/>
      <c r="M15" s="6">
        <f>SUM(M16,M23)</f>
        <v>150730.60999999999</v>
      </c>
      <c r="N15" s="6">
        <f>SUM(N16,N23)</f>
        <v>292732.52999999997</v>
      </c>
      <c r="O15" s="6">
        <f>SUM(O16,O23)</f>
        <v>443463.13999999996</v>
      </c>
      <c r="S15" s="6">
        <f>SUM(S16,S23)</f>
        <v>150550.15</v>
      </c>
      <c r="T15" s="6">
        <f>SUM(T16,T23)</f>
        <v>291991.67999999999</v>
      </c>
      <c r="U15" s="6">
        <f>SUM(U16,U23)</f>
        <v>442541.83</v>
      </c>
    </row>
    <row r="16" spans="1:21" ht="16.95" customHeight="1" x14ac:dyDescent="0.3">
      <c r="A16" s="101" t="s">
        <v>64</v>
      </c>
      <c r="B16" s="10" t="s">
        <v>65</v>
      </c>
      <c r="C16" s="80" t="s">
        <v>66</v>
      </c>
      <c r="D16" s="81"/>
      <c r="E16" s="81"/>
      <c r="F16" s="81"/>
      <c r="G16" s="81"/>
      <c r="H16" s="81"/>
      <c r="I16" s="81"/>
      <c r="M16" s="6">
        <f>SUM(M17)</f>
        <v>24735.63</v>
      </c>
      <c r="N16" s="6">
        <f>SUM(N17)</f>
        <v>26859.18</v>
      </c>
      <c r="O16" s="6">
        <f>SUM(O17)</f>
        <v>51594.81</v>
      </c>
      <c r="S16" s="6">
        <f>SUM(S17)</f>
        <v>24735.63</v>
      </c>
      <c r="T16" s="6">
        <f>SUM(T17)</f>
        <v>26118.33</v>
      </c>
      <c r="U16" s="6">
        <f>SUM(U17)</f>
        <v>50853.960000000006</v>
      </c>
    </row>
    <row r="17" spans="1:21" ht="72" x14ac:dyDescent="0.3">
      <c r="A17" s="102" t="s">
        <v>67</v>
      </c>
      <c r="B17" s="74" t="s">
        <v>68</v>
      </c>
      <c r="C17" s="75" t="s">
        <v>69</v>
      </c>
      <c r="D17" s="76" t="s">
        <v>70</v>
      </c>
      <c r="E17" s="76" t="s">
        <v>71</v>
      </c>
      <c r="F17" s="76" t="s">
        <v>57</v>
      </c>
      <c r="G17" s="77">
        <v>1</v>
      </c>
      <c r="H17" s="77"/>
      <c r="I17" s="107">
        <v>13.47</v>
      </c>
      <c r="J17" s="78">
        <f>IFERROR(ROUND(SUM(M18,M19,M20,M21,M22)/I17, 2),0)</f>
        <v>1836.35</v>
      </c>
      <c r="K17" s="73">
        <v>1994</v>
      </c>
      <c r="L17" s="78">
        <f>J17+ROUND(K17, 2)</f>
        <v>3830.35</v>
      </c>
      <c r="M17" s="78">
        <f>ROUND(J17*I17, 2)</f>
        <v>24735.63</v>
      </c>
      <c r="N17" s="78">
        <f>ROUND(I17*ROUND(K17, 2), 2)</f>
        <v>26859.18</v>
      </c>
      <c r="O17" s="78">
        <f>M17+N17</f>
        <v>51594.81</v>
      </c>
      <c r="P17" s="78">
        <f>IFERROR(ROUND(SUM(S18,S19,S20,S21,S22)/I17, 2),0)</f>
        <v>1836.35</v>
      </c>
      <c r="Q17" s="79">
        <v>1939</v>
      </c>
      <c r="R17" s="78">
        <f>P17+ROUND(Q17, 2)</f>
        <v>3775.35</v>
      </c>
      <c r="S17" s="78">
        <f>ROUND(P17*I17, 2)</f>
        <v>24735.63</v>
      </c>
      <c r="T17" s="78">
        <f>ROUND(I17*ROUND(Q17, 2), 2)</f>
        <v>26118.33</v>
      </c>
      <c r="U17" s="78">
        <f>S17+T17</f>
        <v>50853.960000000006</v>
      </c>
    </row>
    <row r="18" spans="1:21" ht="18" x14ac:dyDescent="0.3">
      <c r="A18" s="101" t="s">
        <v>74</v>
      </c>
      <c r="B18" s="10"/>
      <c r="C18" s="24" t="s">
        <v>75</v>
      </c>
      <c r="D18" s="15"/>
      <c r="E18" s="15"/>
      <c r="F18" s="25" t="s">
        <v>76</v>
      </c>
      <c r="G18" s="26">
        <v>44.85</v>
      </c>
      <c r="H18" s="26"/>
      <c r="I18" s="108">
        <v>604.13</v>
      </c>
      <c r="J18" s="27">
        <v>6.38</v>
      </c>
      <c r="M18" s="28">
        <f>ROUND(ROUND(J18, 2)*I18, 2)</f>
        <v>3854.35</v>
      </c>
      <c r="P18" s="29">
        <v>6.38</v>
      </c>
      <c r="S18" s="28">
        <f>ROUND(ROUND(P18, 2)*I18, 2)</f>
        <v>3854.35</v>
      </c>
    </row>
    <row r="19" spans="1:21" ht="36" x14ac:dyDescent="0.3">
      <c r="A19" s="101" t="s">
        <v>80</v>
      </c>
      <c r="B19" s="10"/>
      <c r="C19" s="24" t="s">
        <v>81</v>
      </c>
      <c r="D19" s="15"/>
      <c r="E19" s="15"/>
      <c r="F19" s="25" t="s">
        <v>82</v>
      </c>
      <c r="G19" s="26">
        <v>1</v>
      </c>
      <c r="H19" s="26"/>
      <c r="I19" s="108">
        <v>13.47</v>
      </c>
      <c r="J19" s="27">
        <v>65.67</v>
      </c>
      <c r="M19" s="28">
        <f>ROUND(ROUND(J19, 2)*I19, 2)</f>
        <v>884.57</v>
      </c>
      <c r="P19" s="29">
        <v>65.67</v>
      </c>
      <c r="S19" s="28">
        <f>ROUND(ROUND(P19, 2)*I19, 2)</f>
        <v>884.57</v>
      </c>
    </row>
    <row r="20" spans="1:21" ht="36" x14ac:dyDescent="0.3">
      <c r="A20" s="101" t="s">
        <v>86</v>
      </c>
      <c r="B20" s="10"/>
      <c r="C20" s="24" t="s">
        <v>87</v>
      </c>
      <c r="D20" s="15"/>
      <c r="E20" s="15"/>
      <c r="F20" s="25" t="s">
        <v>82</v>
      </c>
      <c r="G20" s="26">
        <v>1</v>
      </c>
      <c r="H20" s="26"/>
      <c r="I20" s="108">
        <v>13.47</v>
      </c>
      <c r="J20" s="27">
        <v>118.99</v>
      </c>
      <c r="M20" s="28">
        <f>ROUND(ROUND(J20, 2)*I20, 2)</f>
        <v>1602.8</v>
      </c>
      <c r="P20" s="29">
        <v>118.99</v>
      </c>
      <c r="S20" s="28">
        <f>ROUND(ROUND(P20, 2)*I20, 2)</f>
        <v>1602.8</v>
      </c>
    </row>
    <row r="21" spans="1:21" ht="18" x14ac:dyDescent="0.3">
      <c r="A21" s="101" t="s">
        <v>91</v>
      </c>
      <c r="B21" s="10"/>
      <c r="C21" s="24" t="s">
        <v>92</v>
      </c>
      <c r="D21" s="15"/>
      <c r="E21" s="15"/>
      <c r="F21" s="25" t="s">
        <v>57</v>
      </c>
      <c r="G21" s="26">
        <v>0.504</v>
      </c>
      <c r="H21" s="26"/>
      <c r="I21" s="108">
        <v>6.7889999999999997</v>
      </c>
      <c r="J21" s="27">
        <v>269.41000000000003</v>
      </c>
      <c r="M21" s="28">
        <f>ROUND(ROUND(J21, 2)*I21, 2)</f>
        <v>1829.02</v>
      </c>
      <c r="P21" s="29">
        <v>269.41000000000003</v>
      </c>
      <c r="S21" s="28">
        <f>ROUND(ROUND(P21, 2)*I21, 2)</f>
        <v>1829.02</v>
      </c>
    </row>
    <row r="22" spans="1:21" ht="18" x14ac:dyDescent="0.3">
      <c r="A22" s="101" t="s">
        <v>96</v>
      </c>
      <c r="B22" s="10"/>
      <c r="C22" s="24" t="s">
        <v>97</v>
      </c>
      <c r="D22" s="15"/>
      <c r="E22" s="15"/>
      <c r="F22" s="25" t="s">
        <v>98</v>
      </c>
      <c r="G22" s="26">
        <v>50.4</v>
      </c>
      <c r="H22" s="26"/>
      <c r="I22" s="108">
        <v>678.88800000000003</v>
      </c>
      <c r="J22" s="27">
        <v>24.4</v>
      </c>
      <c r="M22" s="28">
        <f>ROUND(ROUND(J22, 2)*I22, 2)</f>
        <v>16564.87</v>
      </c>
      <c r="P22" s="29">
        <v>24.4</v>
      </c>
      <c r="S22" s="28">
        <f>ROUND(ROUND(P22, 2)*I22, 2)</f>
        <v>16564.87</v>
      </c>
    </row>
    <row r="23" spans="1:21" ht="16.95" customHeight="1" x14ac:dyDescent="0.3">
      <c r="A23" s="101" t="s">
        <v>102</v>
      </c>
      <c r="B23" s="10" t="s">
        <v>103</v>
      </c>
      <c r="C23" s="80" t="s">
        <v>104</v>
      </c>
      <c r="D23" s="81"/>
      <c r="E23" s="81"/>
      <c r="F23" s="81"/>
      <c r="G23" s="81"/>
      <c r="H23" s="81"/>
      <c r="I23" s="81"/>
      <c r="M23" s="6">
        <f>SUM(M24,M29,M34,M39)</f>
        <v>125994.97999999998</v>
      </c>
      <c r="N23" s="6">
        <f>SUM(N24,N29,N34,N39)</f>
        <v>265873.34999999998</v>
      </c>
      <c r="O23" s="6">
        <f>SUM(O24,O29,O34,O39)</f>
        <v>391868.32999999996</v>
      </c>
      <c r="S23" s="6">
        <f>SUM(S24,S29,S34,S39)</f>
        <v>125814.51999999999</v>
      </c>
      <c r="T23" s="6">
        <f>SUM(T24,T29,T34,T39)</f>
        <v>265873.34999999998</v>
      </c>
      <c r="U23" s="6">
        <f>SUM(U24,U29,U34,U39)</f>
        <v>391687.87</v>
      </c>
    </row>
    <row r="24" spans="1:21" ht="62.55" customHeight="1" x14ac:dyDescent="0.3">
      <c r="A24" s="102" t="s">
        <v>105</v>
      </c>
      <c r="B24" s="74" t="s">
        <v>106</v>
      </c>
      <c r="C24" s="75" t="s">
        <v>107</v>
      </c>
      <c r="D24" s="76"/>
      <c r="E24" s="76" t="s">
        <v>108</v>
      </c>
      <c r="F24" s="76" t="s">
        <v>57</v>
      </c>
      <c r="G24" s="77">
        <v>1</v>
      </c>
      <c r="H24" s="77"/>
      <c r="I24" s="107">
        <v>76.67</v>
      </c>
      <c r="J24" s="78">
        <f>IFERROR(ROUND(SUM(M25,M26,M27,M28)/I24, 2),0)</f>
        <v>1035.32</v>
      </c>
      <c r="K24" s="73">
        <v>2293</v>
      </c>
      <c r="L24" s="78">
        <f>J24+ROUND(K24, 2)</f>
        <v>3328.3199999999997</v>
      </c>
      <c r="M24" s="78">
        <f>ROUND(J24*I24, 2)</f>
        <v>79377.98</v>
      </c>
      <c r="N24" s="78">
        <f>ROUND(I24*ROUND(K24, 2), 2)</f>
        <v>175804.31</v>
      </c>
      <c r="O24" s="78">
        <f>M24+N24</f>
        <v>255182.28999999998</v>
      </c>
      <c r="P24" s="78">
        <f>IFERROR(ROUND(SUM(S25,S26,S27,S28)/I24, 2),0)</f>
        <v>1032.94</v>
      </c>
      <c r="Q24" s="79">
        <v>2293</v>
      </c>
      <c r="R24" s="78">
        <f>P24+ROUND(Q24, 2)</f>
        <v>3325.94</v>
      </c>
      <c r="S24" s="78">
        <f>ROUND(P24*I24, 2)</f>
        <v>79195.509999999995</v>
      </c>
      <c r="T24" s="78">
        <f>ROUND(I24*ROUND(Q24, 2), 2)</f>
        <v>175804.31</v>
      </c>
      <c r="U24" s="78">
        <f>S24+T24</f>
        <v>254999.82</v>
      </c>
    </row>
    <row r="25" spans="1:21" ht="54" x14ac:dyDescent="0.3">
      <c r="A25" s="101" t="s">
        <v>111</v>
      </c>
      <c r="B25" s="10"/>
      <c r="C25" s="24" t="s">
        <v>112</v>
      </c>
      <c r="D25" s="15"/>
      <c r="E25" s="15"/>
      <c r="F25" s="25" t="s">
        <v>82</v>
      </c>
      <c r="G25" s="26">
        <v>1</v>
      </c>
      <c r="H25" s="26"/>
      <c r="I25" s="108">
        <v>76.67</v>
      </c>
      <c r="J25" s="27">
        <v>104.04</v>
      </c>
      <c r="M25" s="28">
        <f>ROUND(ROUND(J25, 2)*I25, 2)</f>
        <v>7976.75</v>
      </c>
      <c r="P25" s="29">
        <v>104.04</v>
      </c>
      <c r="S25" s="28">
        <f>ROUND(ROUND(P25, 2)*I25, 2)</f>
        <v>7976.75</v>
      </c>
    </row>
    <row r="26" spans="1:21" ht="36" x14ac:dyDescent="0.3">
      <c r="A26" s="101" t="s">
        <v>116</v>
      </c>
      <c r="B26" s="10"/>
      <c r="C26" s="24" t="s">
        <v>117</v>
      </c>
      <c r="D26" s="15"/>
      <c r="E26" s="15"/>
      <c r="F26" s="25" t="s">
        <v>57</v>
      </c>
      <c r="G26" s="26">
        <v>2.1</v>
      </c>
      <c r="H26" s="26"/>
      <c r="I26" s="108">
        <v>161.00700000000001</v>
      </c>
      <c r="J26" s="27">
        <v>137.79</v>
      </c>
      <c r="M26" s="28">
        <f>ROUND(ROUND(J26, 2)*I26, 2)</f>
        <v>22185.15</v>
      </c>
      <c r="P26" s="29">
        <v>137.79</v>
      </c>
      <c r="S26" s="28">
        <f>ROUND(ROUND(P26, 2)*I26, 2)</f>
        <v>22185.15</v>
      </c>
    </row>
    <row r="27" spans="1:21" ht="18" x14ac:dyDescent="0.3">
      <c r="A27" s="101" t="s">
        <v>121</v>
      </c>
      <c r="B27" s="10"/>
      <c r="C27" s="35" t="s">
        <v>122</v>
      </c>
      <c r="D27" s="15"/>
      <c r="E27" s="15"/>
      <c r="F27" s="25" t="s">
        <v>123</v>
      </c>
      <c r="G27" s="26">
        <v>4.07</v>
      </c>
      <c r="H27" s="36"/>
      <c r="I27" s="109">
        <v>447.7</v>
      </c>
      <c r="J27" s="27">
        <v>66.09</v>
      </c>
      <c r="M27" s="28">
        <f>ROUND(ROUND(J27, 2)*I27, 2)</f>
        <v>29588.49</v>
      </c>
      <c r="P27" s="29">
        <v>66.87</v>
      </c>
      <c r="S27" s="28">
        <f>ROUND(ROUND(P27, 2)*I27, 2)</f>
        <v>29937.7</v>
      </c>
    </row>
    <row r="28" spans="1:21" ht="18" x14ac:dyDescent="0.3">
      <c r="A28" s="101" t="s">
        <v>127</v>
      </c>
      <c r="B28" s="10"/>
      <c r="C28" s="35" t="s">
        <v>128</v>
      </c>
      <c r="D28" s="15"/>
      <c r="E28" s="15"/>
      <c r="F28" s="25" t="s">
        <v>123</v>
      </c>
      <c r="G28" s="26">
        <v>1.42</v>
      </c>
      <c r="H28" s="36"/>
      <c r="I28" s="109">
        <v>357.13</v>
      </c>
      <c r="J28" s="27">
        <v>54.96</v>
      </c>
      <c r="M28" s="28">
        <f>ROUND(ROUND(J28, 2)*I28, 2)</f>
        <v>19627.86</v>
      </c>
      <c r="P28" s="29">
        <v>53.47</v>
      </c>
      <c r="S28" s="28">
        <f>ROUND(ROUND(P28, 2)*I28, 2)</f>
        <v>19095.740000000002</v>
      </c>
    </row>
    <row r="29" spans="1:21" ht="68.55" customHeight="1" x14ac:dyDescent="0.3">
      <c r="A29" s="102" t="s">
        <v>132</v>
      </c>
      <c r="B29" s="74" t="s">
        <v>106</v>
      </c>
      <c r="C29" s="75" t="s">
        <v>107</v>
      </c>
      <c r="D29" s="76"/>
      <c r="E29" s="76" t="s">
        <v>133</v>
      </c>
      <c r="F29" s="76" t="s">
        <v>57</v>
      </c>
      <c r="G29" s="77">
        <v>1</v>
      </c>
      <c r="H29" s="77"/>
      <c r="I29" s="107">
        <v>4.1500000000000004</v>
      </c>
      <c r="J29" s="78">
        <f>IFERROR(ROUND(SUM(M30,M31,M32,M33)/I29, 2),0)</f>
        <v>2805.03</v>
      </c>
      <c r="K29" s="73">
        <v>2293</v>
      </c>
      <c r="L29" s="78">
        <f>J29+ROUND(K29, 2)</f>
        <v>5098.0300000000007</v>
      </c>
      <c r="M29" s="78">
        <f>ROUND(J29*I29, 2)</f>
        <v>11640.87</v>
      </c>
      <c r="N29" s="78">
        <f>ROUND(I29*ROUND(K29, 2), 2)</f>
        <v>9515.9500000000007</v>
      </c>
      <c r="O29" s="78">
        <f>M29+N29</f>
        <v>21156.82</v>
      </c>
      <c r="P29" s="78">
        <f>IFERROR(ROUND(SUM(S30,S31,S32,S33)/I29, 2),0)</f>
        <v>2825.66</v>
      </c>
      <c r="Q29" s="79">
        <v>2293</v>
      </c>
      <c r="R29" s="78">
        <f>P29+ROUND(Q29, 2)</f>
        <v>5118.66</v>
      </c>
      <c r="S29" s="78">
        <f>ROUND(P29*I29, 2)</f>
        <v>11726.49</v>
      </c>
      <c r="T29" s="78">
        <f>ROUND(I29*ROUND(Q29, 2), 2)</f>
        <v>9515.9500000000007</v>
      </c>
      <c r="U29" s="78">
        <f>S29+T29</f>
        <v>21242.440000000002</v>
      </c>
    </row>
    <row r="30" spans="1:21" ht="18" x14ac:dyDescent="0.3">
      <c r="A30" s="101" t="s">
        <v>134</v>
      </c>
      <c r="B30" s="10"/>
      <c r="C30" s="35" t="s">
        <v>122</v>
      </c>
      <c r="D30" s="15"/>
      <c r="E30" s="15"/>
      <c r="F30" s="25" t="s">
        <v>123</v>
      </c>
      <c r="G30" s="26">
        <v>4.07</v>
      </c>
      <c r="H30" s="36"/>
      <c r="I30" s="109">
        <v>138.78700000000001</v>
      </c>
      <c r="J30" s="27">
        <v>66.09</v>
      </c>
      <c r="M30" s="28">
        <f>ROUND(ROUND(J30, 2)*I30, 2)</f>
        <v>9172.43</v>
      </c>
      <c r="P30" s="29">
        <v>66.87</v>
      </c>
      <c r="S30" s="28">
        <f>ROUND(ROUND(P30, 2)*I30, 2)</f>
        <v>9280.69</v>
      </c>
    </row>
    <row r="31" spans="1:21" ht="18" x14ac:dyDescent="0.3">
      <c r="A31" s="101" t="s">
        <v>137</v>
      </c>
      <c r="B31" s="10"/>
      <c r="C31" s="35" t="s">
        <v>128</v>
      </c>
      <c r="D31" s="15"/>
      <c r="E31" s="15"/>
      <c r="F31" s="25" t="s">
        <v>123</v>
      </c>
      <c r="G31" s="26">
        <v>1.42</v>
      </c>
      <c r="H31" s="36"/>
      <c r="I31" s="109">
        <v>15.208</v>
      </c>
      <c r="J31" s="27">
        <v>54.96</v>
      </c>
      <c r="M31" s="28">
        <f>ROUND(ROUND(J31, 2)*I31, 2)</f>
        <v>835.83</v>
      </c>
      <c r="P31" s="29">
        <v>53.47</v>
      </c>
      <c r="S31" s="28">
        <f>ROUND(ROUND(P31, 2)*I31, 2)</f>
        <v>813.17</v>
      </c>
    </row>
    <row r="32" spans="1:21" ht="36" x14ac:dyDescent="0.3">
      <c r="A32" s="101" t="s">
        <v>140</v>
      </c>
      <c r="B32" s="10"/>
      <c r="C32" s="24" t="s">
        <v>117</v>
      </c>
      <c r="D32" s="15"/>
      <c r="E32" s="15"/>
      <c r="F32" s="25" t="s">
        <v>57</v>
      </c>
      <c r="G32" s="26">
        <v>2.1</v>
      </c>
      <c r="H32" s="26"/>
      <c r="I32" s="108">
        <v>8.7149999999999999</v>
      </c>
      <c r="J32" s="27">
        <v>137.79</v>
      </c>
      <c r="M32" s="28">
        <f>ROUND(ROUND(J32, 2)*I32, 2)</f>
        <v>1200.8399999999999</v>
      </c>
      <c r="P32" s="29">
        <v>137.79</v>
      </c>
      <c r="S32" s="28">
        <f>ROUND(ROUND(P32, 2)*I32, 2)</f>
        <v>1200.8399999999999</v>
      </c>
    </row>
    <row r="33" spans="1:21" ht="54" x14ac:dyDescent="0.3">
      <c r="A33" s="101" t="s">
        <v>143</v>
      </c>
      <c r="B33" s="10"/>
      <c r="C33" s="24" t="s">
        <v>112</v>
      </c>
      <c r="D33" s="15"/>
      <c r="E33" s="15"/>
      <c r="F33" s="25" t="s">
        <v>82</v>
      </c>
      <c r="G33" s="26">
        <v>1</v>
      </c>
      <c r="H33" s="26"/>
      <c r="I33" s="108">
        <v>4.1500000000000004</v>
      </c>
      <c r="J33" s="27">
        <v>104.04</v>
      </c>
      <c r="M33" s="28">
        <f>ROUND(ROUND(J33, 2)*I33, 2)</f>
        <v>431.77</v>
      </c>
      <c r="P33" s="29">
        <v>104.04</v>
      </c>
      <c r="S33" s="28">
        <f>ROUND(ROUND(P33, 2)*I33, 2)</f>
        <v>431.77</v>
      </c>
    </row>
    <row r="34" spans="1:21" ht="64.95" customHeight="1" x14ac:dyDescent="0.3">
      <c r="A34" s="102" t="s">
        <v>146</v>
      </c>
      <c r="B34" s="74" t="s">
        <v>106</v>
      </c>
      <c r="C34" s="75" t="s">
        <v>107</v>
      </c>
      <c r="D34" s="76"/>
      <c r="E34" s="76" t="s">
        <v>133</v>
      </c>
      <c r="F34" s="76" t="s">
        <v>57</v>
      </c>
      <c r="G34" s="77">
        <v>1</v>
      </c>
      <c r="H34" s="77"/>
      <c r="I34" s="107">
        <v>35.130000000000003</v>
      </c>
      <c r="J34" s="78">
        <f>IFERROR(ROUND(SUM(M35,M36,M37,M38)/I34, 2),0)</f>
        <v>995.62</v>
      </c>
      <c r="K34" s="73">
        <v>2293</v>
      </c>
      <c r="L34" s="78">
        <f>J34+ROUND(K34, 2)</f>
        <v>3288.62</v>
      </c>
      <c r="M34" s="78">
        <f>ROUND(J34*I34, 2)</f>
        <v>34976.129999999997</v>
      </c>
      <c r="N34" s="78">
        <f>ROUND(I34*ROUND(K34, 2), 2)</f>
        <v>80553.09</v>
      </c>
      <c r="O34" s="78">
        <f>M34+N34</f>
        <v>115529.22</v>
      </c>
      <c r="P34" s="78">
        <f>IFERROR(ROUND(SUM(S35,S36,S37,S38)/I34, 2),0)</f>
        <v>993.24</v>
      </c>
      <c r="Q34" s="79">
        <v>2293</v>
      </c>
      <c r="R34" s="78">
        <f>P34+ROUND(Q34, 2)</f>
        <v>3286.24</v>
      </c>
      <c r="S34" s="78">
        <f>ROUND(P34*I34, 2)</f>
        <v>34892.519999999997</v>
      </c>
      <c r="T34" s="78">
        <f>ROUND(I34*ROUND(Q34, 2), 2)</f>
        <v>80553.09</v>
      </c>
      <c r="U34" s="78">
        <f>S34+T34</f>
        <v>115445.60999999999</v>
      </c>
    </row>
    <row r="35" spans="1:21" ht="18" x14ac:dyDescent="0.3">
      <c r="A35" s="101" t="s">
        <v>147</v>
      </c>
      <c r="B35" s="10"/>
      <c r="C35" s="35" t="s">
        <v>122</v>
      </c>
      <c r="D35" s="15"/>
      <c r="E35" s="15"/>
      <c r="F35" s="25" t="s">
        <v>123</v>
      </c>
      <c r="G35" s="26">
        <v>4.07</v>
      </c>
      <c r="H35" s="36"/>
      <c r="I35" s="109">
        <v>190.476</v>
      </c>
      <c r="J35" s="27">
        <v>66.09</v>
      </c>
      <c r="M35" s="28">
        <f>ROUND(ROUND(J35, 2)*I35, 2)</f>
        <v>12588.56</v>
      </c>
      <c r="P35" s="29">
        <v>66.87</v>
      </c>
      <c r="S35" s="28">
        <f>ROUND(ROUND(P35, 2)*I35, 2)</f>
        <v>12737.13</v>
      </c>
    </row>
    <row r="36" spans="1:21" ht="18" x14ac:dyDescent="0.3">
      <c r="A36" s="101" t="s">
        <v>150</v>
      </c>
      <c r="B36" s="10"/>
      <c r="C36" s="35" t="s">
        <v>128</v>
      </c>
      <c r="D36" s="15"/>
      <c r="E36" s="15"/>
      <c r="F36" s="25" t="s">
        <v>123</v>
      </c>
      <c r="G36" s="26">
        <v>1.42</v>
      </c>
      <c r="H36" s="36"/>
      <c r="I36" s="109">
        <v>155.88800000000001</v>
      </c>
      <c r="J36" s="27">
        <v>54.96</v>
      </c>
      <c r="M36" s="28">
        <f>ROUND(ROUND(J36, 2)*I36, 2)</f>
        <v>8567.6</v>
      </c>
      <c r="P36" s="29">
        <v>53.47</v>
      </c>
      <c r="S36" s="28">
        <f>ROUND(ROUND(P36, 2)*I36, 2)</f>
        <v>8335.33</v>
      </c>
    </row>
    <row r="37" spans="1:21" ht="36" x14ac:dyDescent="0.3">
      <c r="A37" s="101" t="s">
        <v>153</v>
      </c>
      <c r="B37" s="10"/>
      <c r="C37" s="24" t="s">
        <v>117</v>
      </c>
      <c r="D37" s="15"/>
      <c r="E37" s="15"/>
      <c r="F37" s="25" t="s">
        <v>57</v>
      </c>
      <c r="G37" s="26">
        <v>2.1</v>
      </c>
      <c r="H37" s="26"/>
      <c r="I37" s="108">
        <v>73.772999999999996</v>
      </c>
      <c r="J37" s="27">
        <v>137.79</v>
      </c>
      <c r="M37" s="28">
        <f>ROUND(ROUND(J37, 2)*I37, 2)</f>
        <v>10165.18</v>
      </c>
      <c r="P37" s="29">
        <v>137.79</v>
      </c>
      <c r="S37" s="28">
        <f>ROUND(ROUND(P37, 2)*I37, 2)</f>
        <v>10165.18</v>
      </c>
    </row>
    <row r="38" spans="1:21" ht="54" x14ac:dyDescent="0.3">
      <c r="A38" s="101" t="s">
        <v>156</v>
      </c>
      <c r="B38" s="10"/>
      <c r="C38" s="24" t="s">
        <v>112</v>
      </c>
      <c r="D38" s="15"/>
      <c r="E38" s="15"/>
      <c r="F38" s="25" t="s">
        <v>82</v>
      </c>
      <c r="G38" s="26">
        <v>1</v>
      </c>
      <c r="H38" s="26"/>
      <c r="I38" s="108">
        <v>35.130000000000003</v>
      </c>
      <c r="J38" s="27">
        <v>104.04</v>
      </c>
      <c r="M38" s="28">
        <f>ROUND(ROUND(J38, 2)*I38, 2)</f>
        <v>3654.93</v>
      </c>
      <c r="P38" s="29">
        <v>104.04</v>
      </c>
      <c r="S38" s="28">
        <f>ROUND(ROUND(P38, 2)*I38, 2)</f>
        <v>3654.93</v>
      </c>
    </row>
    <row r="39" spans="1:21" ht="126" hidden="1" x14ac:dyDescent="0.3">
      <c r="A39" s="101" t="s">
        <v>159</v>
      </c>
      <c r="B39" s="10" t="s">
        <v>160</v>
      </c>
      <c r="C39" s="14" t="s">
        <v>161</v>
      </c>
      <c r="D39" s="15" t="s">
        <v>70</v>
      </c>
      <c r="E39" s="15" t="s">
        <v>162</v>
      </c>
      <c r="F39" s="15" t="s">
        <v>57</v>
      </c>
      <c r="G39" s="16">
        <v>1</v>
      </c>
      <c r="H39" s="16"/>
      <c r="I39" s="110">
        <v>0</v>
      </c>
      <c r="J39" s="17">
        <v>526.91999999999996</v>
      </c>
      <c r="K39" s="18">
        <v>1064</v>
      </c>
      <c r="L39" s="17">
        <f>J39+ROUND(K39, 2)</f>
        <v>1590.92</v>
      </c>
      <c r="M39" s="17">
        <v>0</v>
      </c>
      <c r="N39" s="17">
        <v>0</v>
      </c>
      <c r="O39" s="17">
        <f>M39+N39</f>
        <v>0</v>
      </c>
      <c r="P39" s="17">
        <v>526.91999999999996</v>
      </c>
      <c r="Q39" s="18">
        <v>1064</v>
      </c>
      <c r="R39" s="17">
        <f>P39+ROUND(Q39, 2)</f>
        <v>1590.92</v>
      </c>
      <c r="S39" s="17">
        <v>0</v>
      </c>
      <c r="T39" s="17">
        <v>0</v>
      </c>
      <c r="U39" s="17">
        <f>S39+T39</f>
        <v>0</v>
      </c>
    </row>
    <row r="40" spans="1:21" ht="72" hidden="1" x14ac:dyDescent="0.3">
      <c r="A40" s="101" t="s">
        <v>166</v>
      </c>
      <c r="B40" s="10"/>
      <c r="C40" s="24" t="s">
        <v>167</v>
      </c>
      <c r="D40" s="15"/>
      <c r="E40" s="15"/>
      <c r="F40" s="25" t="s">
        <v>82</v>
      </c>
      <c r="G40" s="26">
        <v>1</v>
      </c>
      <c r="H40" s="26"/>
      <c r="I40" s="108">
        <v>0</v>
      </c>
      <c r="J40" s="27">
        <v>43.7</v>
      </c>
      <c r="M40" s="28">
        <f>ROUND(ROUND(J40, 2)*I40, 2)</f>
        <v>0</v>
      </c>
      <c r="P40" s="27">
        <v>43.7</v>
      </c>
      <c r="S40" s="28">
        <f>ROUND(ROUND(P40, 2)*I40, 2)</f>
        <v>0</v>
      </c>
    </row>
    <row r="41" spans="1:21" ht="18" hidden="1" x14ac:dyDescent="0.3">
      <c r="A41" s="101" t="s">
        <v>173</v>
      </c>
      <c r="B41" s="10"/>
      <c r="C41" s="24" t="s">
        <v>174</v>
      </c>
      <c r="D41" s="15"/>
      <c r="E41" s="15"/>
      <c r="F41" s="25" t="s">
        <v>123</v>
      </c>
      <c r="G41" s="26">
        <v>2.1</v>
      </c>
      <c r="H41" s="26"/>
      <c r="I41" s="108">
        <v>0</v>
      </c>
      <c r="J41" s="27">
        <v>95.07</v>
      </c>
      <c r="M41" s="28">
        <f>ROUND(ROUND(J41, 2)*I41, 2)</f>
        <v>0</v>
      </c>
      <c r="P41" s="27">
        <v>95.07</v>
      </c>
      <c r="S41" s="28">
        <f>ROUND(ROUND(P41, 2)*I41, 2)</f>
        <v>0</v>
      </c>
    </row>
    <row r="42" spans="1:21" ht="18" hidden="1" x14ac:dyDescent="0.3">
      <c r="A42" s="101" t="s">
        <v>180</v>
      </c>
      <c r="B42" s="10"/>
      <c r="C42" s="24" t="s">
        <v>181</v>
      </c>
      <c r="D42" s="15"/>
      <c r="E42" s="15"/>
      <c r="F42" s="25" t="s">
        <v>123</v>
      </c>
      <c r="G42" s="26">
        <v>0.8</v>
      </c>
      <c r="H42" s="26"/>
      <c r="I42" s="108">
        <v>0</v>
      </c>
      <c r="J42" s="27">
        <v>69.39</v>
      </c>
      <c r="M42" s="28">
        <f>ROUND(ROUND(J42, 2)*I42, 2)</f>
        <v>0</v>
      </c>
      <c r="P42" s="27">
        <v>69.39</v>
      </c>
      <c r="S42" s="28">
        <f>ROUND(ROUND(P42, 2)*I42, 2)</f>
        <v>0</v>
      </c>
    </row>
    <row r="43" spans="1:21" ht="18" hidden="1" x14ac:dyDescent="0.3">
      <c r="A43" s="101" t="s">
        <v>187</v>
      </c>
      <c r="B43" s="10"/>
      <c r="C43" s="35" t="s">
        <v>188</v>
      </c>
      <c r="D43" s="15"/>
      <c r="E43" s="15"/>
      <c r="F43" s="25" t="s">
        <v>57</v>
      </c>
      <c r="G43" s="26">
        <v>1.1000000000000001</v>
      </c>
      <c r="H43" s="26"/>
      <c r="I43" s="108">
        <v>0</v>
      </c>
      <c r="J43" s="27">
        <v>207.33</v>
      </c>
      <c r="M43" s="28">
        <f>ROUND(ROUND(J43, 2)*I43, 2)</f>
        <v>0</v>
      </c>
      <c r="P43" s="27">
        <v>207.33</v>
      </c>
      <c r="S43" s="28">
        <f>ROUND(ROUND(P43, 2)*I43, 2)</f>
        <v>0</v>
      </c>
    </row>
    <row r="44" spans="1:21" ht="16.95" customHeight="1" x14ac:dyDescent="0.3">
      <c r="A44" s="101" t="s">
        <v>194</v>
      </c>
      <c r="B44" s="10" t="s">
        <v>195</v>
      </c>
      <c r="C44" s="80" t="s">
        <v>196</v>
      </c>
      <c r="D44" s="81"/>
      <c r="E44" s="81"/>
      <c r="F44" s="81"/>
      <c r="G44" s="81"/>
      <c r="H44" s="81"/>
      <c r="I44" s="81"/>
      <c r="M44" s="6">
        <f>SUM(M45)</f>
        <v>5040.59</v>
      </c>
      <c r="N44" s="6">
        <f>SUM(N45)</f>
        <v>3603.48</v>
      </c>
      <c r="O44" s="6">
        <f>SUM(O45)</f>
        <v>8644.07</v>
      </c>
      <c r="S44" s="6">
        <f>SUM(S45)</f>
        <v>5092.83</v>
      </c>
      <c r="T44" s="6">
        <f>SUM(T45)</f>
        <v>3524.76</v>
      </c>
      <c r="U44" s="6">
        <f>SUM(U45)</f>
        <v>8617.59</v>
      </c>
    </row>
    <row r="45" spans="1:21" ht="198" x14ac:dyDescent="0.3">
      <c r="A45" s="102" t="s">
        <v>197</v>
      </c>
      <c r="B45" s="74" t="s">
        <v>198</v>
      </c>
      <c r="C45" s="75" t="s">
        <v>199</v>
      </c>
      <c r="D45" s="76" t="s">
        <v>200</v>
      </c>
      <c r="E45" s="76" t="s">
        <v>71</v>
      </c>
      <c r="F45" s="76" t="s">
        <v>201</v>
      </c>
      <c r="G45" s="77">
        <v>1</v>
      </c>
      <c r="H45" s="77"/>
      <c r="I45" s="107">
        <v>0.06</v>
      </c>
      <c r="J45" s="78">
        <f>IFERROR(ROUND(SUM(M46,M47,M48)/I45, 2),0)</f>
        <v>84009.83</v>
      </c>
      <c r="K45" s="73">
        <v>60058</v>
      </c>
      <c r="L45" s="78">
        <f>J45+ROUND(K45, 2)</f>
        <v>144067.83000000002</v>
      </c>
      <c r="M45" s="78">
        <f>ROUND(J45*I45, 2)</f>
        <v>5040.59</v>
      </c>
      <c r="N45" s="78">
        <f>ROUND(I45*ROUND(K45, 2), 2)</f>
        <v>3603.48</v>
      </c>
      <c r="O45" s="78">
        <f>M45+N45</f>
        <v>8644.07</v>
      </c>
      <c r="P45" s="78">
        <f>IFERROR(ROUND(SUM(S46,S47,S48)/I45, 2),0)</f>
        <v>84880.5</v>
      </c>
      <c r="Q45" s="79">
        <v>58746</v>
      </c>
      <c r="R45" s="78">
        <f>P45+ROUND(Q45, 2)</f>
        <v>143626.5</v>
      </c>
      <c r="S45" s="78">
        <f>ROUND(P45*I45, 2)</f>
        <v>5092.83</v>
      </c>
      <c r="T45" s="78">
        <f>ROUND(I45*ROUND(Q45, 2), 2)</f>
        <v>3524.76</v>
      </c>
      <c r="U45" s="78">
        <f>S45+T45</f>
        <v>8617.59</v>
      </c>
    </row>
    <row r="46" spans="1:21" ht="18" x14ac:dyDescent="0.3">
      <c r="A46" s="101" t="s">
        <v>204</v>
      </c>
      <c r="B46" s="10"/>
      <c r="C46" s="24" t="s">
        <v>205</v>
      </c>
      <c r="D46" s="15"/>
      <c r="E46" s="15"/>
      <c r="F46" s="25" t="s">
        <v>98</v>
      </c>
      <c r="G46" s="26">
        <v>1</v>
      </c>
      <c r="H46" s="36"/>
      <c r="I46" s="109">
        <v>2</v>
      </c>
      <c r="J46" s="27">
        <v>0</v>
      </c>
      <c r="M46" s="28">
        <f>ROUND(ROUND(J46, 2)*I46, 2)</f>
        <v>0</v>
      </c>
      <c r="P46" s="29">
        <v>26.12</v>
      </c>
      <c r="S46" s="28">
        <f>ROUND(ROUND(P46, 2)*I46, 2)</f>
        <v>52.24</v>
      </c>
    </row>
    <row r="47" spans="1:21" ht="18" x14ac:dyDescent="0.3">
      <c r="A47" s="101" t="s">
        <v>209</v>
      </c>
      <c r="B47" s="10"/>
      <c r="C47" s="24" t="s">
        <v>210</v>
      </c>
      <c r="D47" s="15"/>
      <c r="E47" s="15"/>
      <c r="F47" s="25" t="s">
        <v>201</v>
      </c>
      <c r="G47" s="26">
        <v>1.03</v>
      </c>
      <c r="H47" s="36"/>
      <c r="I47" s="109">
        <v>6.2E-2</v>
      </c>
      <c r="J47" s="27">
        <v>78461.25</v>
      </c>
      <c r="M47" s="28">
        <f>ROUND(ROUND(J47, 2)*I47, 2)</f>
        <v>4864.6000000000004</v>
      </c>
      <c r="P47" s="29">
        <v>78461.25</v>
      </c>
      <c r="S47" s="28">
        <f>ROUND(ROUND(P47, 2)*I47, 2)</f>
        <v>4864.6000000000004</v>
      </c>
    </row>
    <row r="48" spans="1:21" ht="36" x14ac:dyDescent="0.3">
      <c r="A48" s="101" t="s">
        <v>214</v>
      </c>
      <c r="B48" s="10"/>
      <c r="C48" s="24" t="s">
        <v>215</v>
      </c>
      <c r="D48" s="15"/>
      <c r="E48" s="15"/>
      <c r="F48" s="25" t="s">
        <v>82</v>
      </c>
      <c r="G48" s="26">
        <v>1</v>
      </c>
      <c r="H48" s="26"/>
      <c r="I48" s="108">
        <v>0.06</v>
      </c>
      <c r="J48" s="27">
        <v>2933.23</v>
      </c>
      <c r="M48" s="28">
        <f>ROUND(ROUND(J48, 2)*I48, 2)</f>
        <v>175.99</v>
      </c>
      <c r="P48" s="29">
        <v>2933.23</v>
      </c>
      <c r="S48" s="28">
        <f>ROUND(ROUND(P48, 2)*I48, 2)</f>
        <v>175.99</v>
      </c>
    </row>
    <row r="49" spans="1:21" ht="16.95" customHeight="1" x14ac:dyDescent="0.3">
      <c r="A49" s="101" t="s">
        <v>219</v>
      </c>
      <c r="B49" s="10" t="s">
        <v>220</v>
      </c>
      <c r="C49" s="80" t="s">
        <v>221</v>
      </c>
      <c r="D49" s="81"/>
      <c r="E49" s="81"/>
      <c r="F49" s="81"/>
      <c r="G49" s="81"/>
      <c r="H49" s="81"/>
      <c r="I49" s="81"/>
      <c r="M49" s="6">
        <f t="shared" ref="M49:O50" si="2">SUM(M50)</f>
        <v>3533490.3200000003</v>
      </c>
      <c r="N49" s="6">
        <f t="shared" si="2"/>
        <v>13486502.639999999</v>
      </c>
      <c r="O49" s="6">
        <f t="shared" si="2"/>
        <v>17019992.960000001</v>
      </c>
      <c r="S49" s="6">
        <f t="shared" ref="S49:U50" si="3">SUM(S50)</f>
        <v>3747180.12</v>
      </c>
      <c r="T49" s="6">
        <f t="shared" si="3"/>
        <v>13486502.639999999</v>
      </c>
      <c r="U49" s="6">
        <f t="shared" si="3"/>
        <v>17233682.760000002</v>
      </c>
    </row>
    <row r="50" spans="1:21" ht="16.95" customHeight="1" x14ac:dyDescent="0.3">
      <c r="A50" s="101" t="s">
        <v>222</v>
      </c>
      <c r="B50" s="10" t="s">
        <v>223</v>
      </c>
      <c r="C50" s="80" t="s">
        <v>224</v>
      </c>
      <c r="D50" s="81"/>
      <c r="E50" s="81"/>
      <c r="F50" s="81"/>
      <c r="G50" s="81"/>
      <c r="H50" s="81"/>
      <c r="I50" s="81"/>
      <c r="M50" s="6">
        <f t="shared" si="2"/>
        <v>3533490.3200000003</v>
      </c>
      <c r="N50" s="6">
        <f t="shared" si="2"/>
        <v>13486502.639999999</v>
      </c>
      <c r="O50" s="6">
        <f t="shared" si="2"/>
        <v>17019992.960000001</v>
      </c>
      <c r="S50" s="6">
        <f t="shared" si="3"/>
        <v>3747180.12</v>
      </c>
      <c r="T50" s="6">
        <f t="shared" si="3"/>
        <v>13486502.639999999</v>
      </c>
      <c r="U50" s="6">
        <f t="shared" si="3"/>
        <v>17233682.760000002</v>
      </c>
    </row>
    <row r="51" spans="1:21" ht="16.95" customHeight="1" x14ac:dyDescent="0.3">
      <c r="A51" s="101" t="s">
        <v>225</v>
      </c>
      <c r="B51" s="10" t="s">
        <v>226</v>
      </c>
      <c r="C51" s="80" t="s">
        <v>227</v>
      </c>
      <c r="D51" s="81"/>
      <c r="E51" s="81"/>
      <c r="F51" s="81"/>
      <c r="G51" s="81"/>
      <c r="H51" s="81"/>
      <c r="I51" s="81"/>
      <c r="M51" s="6">
        <f>SUM(M52,M139,M375,M420)</f>
        <v>3533490.3200000003</v>
      </c>
      <c r="N51" s="6">
        <f>SUM(N52,N139,N375,N420)</f>
        <v>13486502.639999999</v>
      </c>
      <c r="O51" s="6">
        <f>SUM(O52,O139,O375,O420)</f>
        <v>17019992.960000001</v>
      </c>
      <c r="S51" s="6">
        <f>SUM(S52,S139,S375,S420)</f>
        <v>3747180.12</v>
      </c>
      <c r="T51" s="6">
        <f>SUM(T52,T139,T375,T420)</f>
        <v>13486502.639999999</v>
      </c>
      <c r="U51" s="6">
        <f>SUM(U52,U139,U375,U420)</f>
        <v>17233682.760000002</v>
      </c>
    </row>
    <row r="52" spans="1:21" ht="16.95" customHeight="1" x14ac:dyDescent="0.3">
      <c r="A52" s="101" t="s">
        <v>228</v>
      </c>
      <c r="B52" s="10" t="s">
        <v>229</v>
      </c>
      <c r="C52" s="80" t="s">
        <v>230</v>
      </c>
      <c r="D52" s="81"/>
      <c r="E52" s="81"/>
      <c r="F52" s="81"/>
      <c r="G52" s="81"/>
      <c r="H52" s="81"/>
      <c r="I52" s="81"/>
      <c r="M52" s="6">
        <f>SUM(M53,M91,M100)</f>
        <v>1696541.27</v>
      </c>
      <c r="N52" s="6">
        <f>SUM(N53,N91,N100)</f>
        <v>993569.55</v>
      </c>
      <c r="O52" s="6">
        <f>SUM(O53,O91,O100)</f>
        <v>2690110.82</v>
      </c>
      <c r="S52" s="6">
        <f>SUM(S53,S91,S100)</f>
        <v>1818226.77</v>
      </c>
      <c r="T52" s="6">
        <f>SUM(T53,T91,T100)</f>
        <v>993569.55</v>
      </c>
      <c r="U52" s="6">
        <f>SUM(U53,U91,U100)</f>
        <v>2811796.3200000003</v>
      </c>
    </row>
    <row r="53" spans="1:21" ht="16.95" customHeight="1" x14ac:dyDescent="0.3">
      <c r="A53" s="101" t="s">
        <v>231</v>
      </c>
      <c r="B53" s="10" t="s">
        <v>232</v>
      </c>
      <c r="C53" s="80" t="s">
        <v>233</v>
      </c>
      <c r="D53" s="81"/>
      <c r="E53" s="81"/>
      <c r="F53" s="81"/>
      <c r="G53" s="81"/>
      <c r="H53" s="81"/>
      <c r="I53" s="81"/>
      <c r="M53" s="6">
        <f>SUM(M54,M57,M59,M61,M66,M70,M75,M79,M83,M87)</f>
        <v>165582.06</v>
      </c>
      <c r="N53" s="6">
        <f>SUM(N54,N57,N59,N61,N66,N70,N75,N79,N83,N87)</f>
        <v>531996.27</v>
      </c>
      <c r="O53" s="6">
        <f>SUM(O54,O57,O59,O61,O66,O70,O75,O79,O83,O87)</f>
        <v>697578.33000000007</v>
      </c>
      <c r="S53" s="6">
        <f>SUM(S54,S57,S59,S61,S66,S70,S75,S79,S83,S87)</f>
        <v>172049.47</v>
      </c>
      <c r="T53" s="6">
        <f>SUM(T54,T57,T59,T61,T66,T70,T75,T79,T83,T87)</f>
        <v>531996.27</v>
      </c>
      <c r="U53" s="6">
        <f>SUM(U54,U57,U59,U61,U66,U70,U75,U79,U83,U87)</f>
        <v>704045.74</v>
      </c>
    </row>
    <row r="54" spans="1:21" ht="126" hidden="1" x14ac:dyDescent="0.3">
      <c r="A54" s="101" t="s">
        <v>234</v>
      </c>
      <c r="B54" s="10" t="s">
        <v>235</v>
      </c>
      <c r="C54" s="14" t="s">
        <v>236</v>
      </c>
      <c r="D54" s="15" t="s">
        <v>237</v>
      </c>
      <c r="E54" s="15" t="s">
        <v>238</v>
      </c>
      <c r="F54" s="15" t="s">
        <v>57</v>
      </c>
      <c r="G54" s="16">
        <v>1</v>
      </c>
      <c r="H54" s="16"/>
      <c r="I54" s="110">
        <v>0</v>
      </c>
      <c r="J54" s="17">
        <v>177.36</v>
      </c>
      <c r="K54" s="18">
        <v>388</v>
      </c>
      <c r="L54" s="17">
        <f>J54+ROUND(K54, 2)</f>
        <v>565.36</v>
      </c>
      <c r="M54" s="17">
        <v>0</v>
      </c>
      <c r="N54" s="17">
        <v>0</v>
      </c>
      <c r="O54" s="17">
        <f>M54+N54</f>
        <v>0</v>
      </c>
      <c r="P54" s="17">
        <v>177.36</v>
      </c>
      <c r="Q54" s="18">
        <v>388</v>
      </c>
      <c r="R54" s="17">
        <f>P54+ROUND(Q54, 2)</f>
        <v>565.36</v>
      </c>
      <c r="S54" s="17">
        <v>0</v>
      </c>
      <c r="T54" s="17">
        <v>0</v>
      </c>
      <c r="U54" s="17">
        <f>S54+T54</f>
        <v>0</v>
      </c>
    </row>
    <row r="55" spans="1:21" ht="54" hidden="1" x14ac:dyDescent="0.3">
      <c r="A55" s="101" t="s">
        <v>243</v>
      </c>
      <c r="B55" s="10"/>
      <c r="C55" s="35" t="s">
        <v>244</v>
      </c>
      <c r="D55" s="15"/>
      <c r="E55" s="15" t="s">
        <v>245</v>
      </c>
      <c r="F55" s="25" t="s">
        <v>76</v>
      </c>
      <c r="G55" s="26">
        <v>1.6</v>
      </c>
      <c r="H55" s="36"/>
      <c r="I55" s="109">
        <v>0</v>
      </c>
      <c r="J55" s="27">
        <v>9.67</v>
      </c>
      <c r="M55" s="28">
        <f>ROUND(ROUND(J55, 2)*I55, 2)</f>
        <v>0</v>
      </c>
      <c r="P55" s="27">
        <v>9.67</v>
      </c>
      <c r="S55" s="28">
        <f>ROUND(ROUND(P55, 2)*I55, 2)</f>
        <v>0</v>
      </c>
    </row>
    <row r="56" spans="1:21" ht="36" hidden="1" x14ac:dyDescent="0.3">
      <c r="A56" s="101" t="s">
        <v>251</v>
      </c>
      <c r="B56" s="10"/>
      <c r="C56" s="24" t="s">
        <v>252</v>
      </c>
      <c r="D56" s="15"/>
      <c r="E56" s="15"/>
      <c r="F56" s="25" t="s">
        <v>76</v>
      </c>
      <c r="G56" s="26">
        <v>0.255</v>
      </c>
      <c r="H56" s="36"/>
      <c r="I56" s="109">
        <v>0</v>
      </c>
      <c r="J56" s="27">
        <v>88.8</v>
      </c>
      <c r="M56" s="28">
        <f>ROUND(ROUND(J56, 2)*I56, 2)</f>
        <v>0</v>
      </c>
      <c r="P56" s="27">
        <v>88.8</v>
      </c>
      <c r="S56" s="28">
        <f>ROUND(ROUND(P56, 2)*I56, 2)</f>
        <v>0</v>
      </c>
    </row>
    <row r="57" spans="1:21" ht="36" hidden="1" x14ac:dyDescent="0.3">
      <c r="A57" s="101" t="s">
        <v>258</v>
      </c>
      <c r="B57" s="10" t="s">
        <v>259</v>
      </c>
      <c r="C57" s="14" t="s">
        <v>260</v>
      </c>
      <c r="D57" s="15"/>
      <c r="E57" s="15" t="s">
        <v>261</v>
      </c>
      <c r="F57" s="15" t="s">
        <v>57</v>
      </c>
      <c r="G57" s="16">
        <v>1</v>
      </c>
      <c r="H57" s="16"/>
      <c r="I57" s="110">
        <v>0</v>
      </c>
      <c r="J57" s="17">
        <v>51.44</v>
      </c>
      <c r="K57" s="18">
        <v>40</v>
      </c>
      <c r="L57" s="17">
        <f>J57+ROUND(K57, 2)</f>
        <v>91.44</v>
      </c>
      <c r="M57" s="17">
        <v>0</v>
      </c>
      <c r="N57" s="17">
        <v>0</v>
      </c>
      <c r="O57" s="17">
        <f>M57+N57</f>
        <v>0</v>
      </c>
      <c r="P57" s="17">
        <v>51.44</v>
      </c>
      <c r="Q57" s="18">
        <v>40</v>
      </c>
      <c r="R57" s="17">
        <f>P57+ROUND(Q57, 2)</f>
        <v>91.44</v>
      </c>
      <c r="S57" s="17">
        <v>0</v>
      </c>
      <c r="T57" s="17">
        <v>0</v>
      </c>
      <c r="U57" s="17">
        <f>S57+T57</f>
        <v>0</v>
      </c>
    </row>
    <row r="58" spans="1:21" ht="18" hidden="1" x14ac:dyDescent="0.3">
      <c r="A58" s="101" t="s">
        <v>265</v>
      </c>
      <c r="B58" s="10"/>
      <c r="C58" s="24" t="s">
        <v>266</v>
      </c>
      <c r="D58" s="15"/>
      <c r="E58" s="15"/>
      <c r="F58" s="25" t="s">
        <v>57</v>
      </c>
      <c r="G58" s="26">
        <v>1.1000000000000001</v>
      </c>
      <c r="H58" s="26"/>
      <c r="I58" s="108">
        <v>0</v>
      </c>
      <c r="J58" s="27">
        <v>46.76</v>
      </c>
      <c r="M58" s="28">
        <f>ROUND(ROUND(J58, 2)*I58, 2)</f>
        <v>0</v>
      </c>
      <c r="P58" s="27">
        <v>46.76</v>
      </c>
      <c r="S58" s="28">
        <f>ROUND(ROUND(P58, 2)*I58, 2)</f>
        <v>0</v>
      </c>
    </row>
    <row r="59" spans="1:21" ht="36" hidden="1" x14ac:dyDescent="0.3">
      <c r="A59" s="101" t="s">
        <v>272</v>
      </c>
      <c r="B59" s="10" t="s">
        <v>259</v>
      </c>
      <c r="C59" s="14" t="s">
        <v>260</v>
      </c>
      <c r="D59" s="15"/>
      <c r="E59" s="15" t="s">
        <v>273</v>
      </c>
      <c r="F59" s="15" t="s">
        <v>57</v>
      </c>
      <c r="G59" s="16">
        <v>1</v>
      </c>
      <c r="H59" s="16"/>
      <c r="I59" s="110">
        <v>0</v>
      </c>
      <c r="J59" s="17">
        <v>51.44</v>
      </c>
      <c r="K59" s="18">
        <v>40</v>
      </c>
      <c r="L59" s="17">
        <f>J59+ROUND(K59, 2)</f>
        <v>91.44</v>
      </c>
      <c r="M59" s="17">
        <v>0</v>
      </c>
      <c r="N59" s="17">
        <v>0</v>
      </c>
      <c r="O59" s="17">
        <f>M59+N59</f>
        <v>0</v>
      </c>
      <c r="P59" s="17">
        <v>51.44</v>
      </c>
      <c r="Q59" s="18">
        <v>40</v>
      </c>
      <c r="R59" s="17">
        <f>P59+ROUND(Q59, 2)</f>
        <v>91.44</v>
      </c>
      <c r="S59" s="17">
        <v>0</v>
      </c>
      <c r="T59" s="17">
        <v>0</v>
      </c>
      <c r="U59" s="17">
        <f>S59+T59</f>
        <v>0</v>
      </c>
    </row>
    <row r="60" spans="1:21" ht="18" hidden="1" x14ac:dyDescent="0.3">
      <c r="A60" s="101" t="s">
        <v>275</v>
      </c>
      <c r="B60" s="10"/>
      <c r="C60" s="24" t="s">
        <v>266</v>
      </c>
      <c r="D60" s="15"/>
      <c r="E60" s="15"/>
      <c r="F60" s="25" t="s">
        <v>57</v>
      </c>
      <c r="G60" s="26">
        <v>1.1000000000000001</v>
      </c>
      <c r="H60" s="26"/>
      <c r="I60" s="108">
        <v>0</v>
      </c>
      <c r="J60" s="27">
        <v>46.76</v>
      </c>
      <c r="M60" s="28">
        <f>ROUND(ROUND(J60, 2)*I60, 2)</f>
        <v>0</v>
      </c>
      <c r="P60" s="27">
        <v>46.76</v>
      </c>
      <c r="S60" s="28">
        <f>ROUND(ROUND(P60, 2)*I60, 2)</f>
        <v>0</v>
      </c>
    </row>
    <row r="61" spans="1:21" ht="36" hidden="1" x14ac:dyDescent="0.3">
      <c r="A61" s="101" t="s">
        <v>280</v>
      </c>
      <c r="B61" s="10" t="s">
        <v>281</v>
      </c>
      <c r="C61" s="14" t="s">
        <v>282</v>
      </c>
      <c r="D61" s="15"/>
      <c r="E61" s="15" t="s">
        <v>283</v>
      </c>
      <c r="F61" s="15" t="s">
        <v>57</v>
      </c>
      <c r="G61" s="16">
        <v>1</v>
      </c>
      <c r="H61" s="16"/>
      <c r="I61" s="110">
        <v>0</v>
      </c>
      <c r="J61" s="17">
        <v>861.67</v>
      </c>
      <c r="K61" s="18">
        <v>855</v>
      </c>
      <c r="L61" s="17">
        <f>J61+ROUND(K61, 2)</f>
        <v>1716.67</v>
      </c>
      <c r="M61" s="17">
        <v>0</v>
      </c>
      <c r="N61" s="17">
        <v>0</v>
      </c>
      <c r="O61" s="17">
        <f>M61+N61</f>
        <v>0</v>
      </c>
      <c r="P61" s="17">
        <v>861.67</v>
      </c>
      <c r="Q61" s="18">
        <v>855</v>
      </c>
      <c r="R61" s="17">
        <f>P61+ROUND(Q61, 2)</f>
        <v>1716.67</v>
      </c>
      <c r="S61" s="17">
        <v>0</v>
      </c>
      <c r="T61" s="17">
        <v>0</v>
      </c>
      <c r="U61" s="17">
        <f>S61+T61</f>
        <v>0</v>
      </c>
    </row>
    <row r="62" spans="1:21" ht="18" hidden="1" x14ac:dyDescent="0.3">
      <c r="A62" s="101" t="s">
        <v>287</v>
      </c>
      <c r="B62" s="10"/>
      <c r="C62" s="24" t="s">
        <v>288</v>
      </c>
      <c r="D62" s="15"/>
      <c r="E62" s="15" t="s">
        <v>289</v>
      </c>
      <c r="F62" s="25" t="s">
        <v>76</v>
      </c>
      <c r="G62" s="26">
        <v>1.8</v>
      </c>
      <c r="H62" s="36"/>
      <c r="I62" s="109">
        <v>0</v>
      </c>
      <c r="J62" s="27">
        <v>6.17</v>
      </c>
      <c r="M62" s="28">
        <f>ROUND(ROUND(J62, 2)*I62, 2)</f>
        <v>0</v>
      </c>
      <c r="P62" s="27">
        <v>6.17</v>
      </c>
      <c r="S62" s="28">
        <f>ROUND(ROUND(P62, 2)*I62, 2)</f>
        <v>0</v>
      </c>
    </row>
    <row r="63" spans="1:21" ht="18" hidden="1" x14ac:dyDescent="0.3">
      <c r="A63" s="101" t="s">
        <v>295</v>
      </c>
      <c r="B63" s="10"/>
      <c r="C63" s="24" t="s">
        <v>296</v>
      </c>
      <c r="D63" s="15"/>
      <c r="E63" s="15"/>
      <c r="F63" s="25" t="s">
        <v>57</v>
      </c>
      <c r="G63" s="26">
        <v>1.1000000000000001</v>
      </c>
      <c r="H63" s="36"/>
      <c r="I63" s="109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</row>
    <row r="64" spans="1:21" ht="18" hidden="1" x14ac:dyDescent="0.3">
      <c r="A64" s="101" t="s">
        <v>302</v>
      </c>
      <c r="B64" s="10"/>
      <c r="C64" s="24" t="s">
        <v>303</v>
      </c>
      <c r="D64" s="15"/>
      <c r="E64" s="15"/>
      <c r="F64" s="25" t="s">
        <v>123</v>
      </c>
      <c r="G64" s="26">
        <v>1</v>
      </c>
      <c r="H64" s="36"/>
      <c r="I64" s="109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</row>
    <row r="65" spans="1:21" ht="18" hidden="1" x14ac:dyDescent="0.3">
      <c r="A65" s="101" t="s">
        <v>309</v>
      </c>
      <c r="B65" s="10"/>
      <c r="C65" s="24" t="s">
        <v>310</v>
      </c>
      <c r="D65" s="15"/>
      <c r="E65" s="15"/>
      <c r="F65" s="25" t="s">
        <v>76</v>
      </c>
      <c r="G65" s="26">
        <v>0.255</v>
      </c>
      <c r="H65" s="26"/>
      <c r="I65" s="108">
        <v>0</v>
      </c>
      <c r="J65" s="27">
        <v>100</v>
      </c>
      <c r="M65" s="28">
        <f>ROUND(ROUND(J65, 2)*I65, 2)</f>
        <v>0</v>
      </c>
      <c r="P65" s="27">
        <v>100</v>
      </c>
      <c r="S65" s="28">
        <f>ROUND(ROUND(P65, 2)*I65, 2)</f>
        <v>0</v>
      </c>
    </row>
    <row r="66" spans="1:21" ht="36" hidden="1" x14ac:dyDescent="0.3">
      <c r="A66" s="101" t="s">
        <v>316</v>
      </c>
      <c r="B66" s="10" t="s">
        <v>317</v>
      </c>
      <c r="C66" s="14" t="s">
        <v>318</v>
      </c>
      <c r="D66" s="15"/>
      <c r="E66" s="15" t="s">
        <v>319</v>
      </c>
      <c r="F66" s="15" t="s">
        <v>57</v>
      </c>
      <c r="G66" s="16">
        <v>1</v>
      </c>
      <c r="H66" s="16"/>
      <c r="I66" s="110">
        <v>0</v>
      </c>
      <c r="J66" s="17">
        <v>891.7</v>
      </c>
      <c r="K66" s="18">
        <v>922</v>
      </c>
      <c r="L66" s="17">
        <f>J66+ROUND(K66, 2)</f>
        <v>1813.7</v>
      </c>
      <c r="M66" s="17">
        <v>0</v>
      </c>
      <c r="N66" s="17">
        <v>0</v>
      </c>
      <c r="O66" s="17">
        <f>M66+N66</f>
        <v>0</v>
      </c>
      <c r="P66" s="17">
        <v>891.7</v>
      </c>
      <c r="Q66" s="18">
        <v>922</v>
      </c>
      <c r="R66" s="17">
        <f>P66+ROUND(Q66, 2)</f>
        <v>1813.7</v>
      </c>
      <c r="S66" s="17">
        <v>0</v>
      </c>
      <c r="T66" s="17">
        <v>0</v>
      </c>
      <c r="U66" s="17">
        <f>S66+T66</f>
        <v>0</v>
      </c>
    </row>
    <row r="67" spans="1:21" ht="18" hidden="1" x14ac:dyDescent="0.3">
      <c r="A67" s="101" t="s">
        <v>323</v>
      </c>
      <c r="B67" s="10"/>
      <c r="C67" s="24" t="s">
        <v>288</v>
      </c>
      <c r="D67" s="15"/>
      <c r="E67" s="15" t="s">
        <v>324</v>
      </c>
      <c r="F67" s="25" t="s">
        <v>76</v>
      </c>
      <c r="G67" s="26">
        <v>1.8</v>
      </c>
      <c r="H67" s="36"/>
      <c r="I67" s="109">
        <v>0</v>
      </c>
      <c r="J67" s="27">
        <v>6.17</v>
      </c>
      <c r="M67" s="28">
        <f>ROUND(ROUND(J67, 2)*I67, 2)</f>
        <v>0</v>
      </c>
      <c r="P67" s="27">
        <v>6.17</v>
      </c>
      <c r="S67" s="28">
        <f>ROUND(ROUND(P67, 2)*I67, 2)</f>
        <v>0</v>
      </c>
    </row>
    <row r="68" spans="1:21" ht="18" hidden="1" x14ac:dyDescent="0.3">
      <c r="A68" s="101" t="s">
        <v>329</v>
      </c>
      <c r="B68" s="10"/>
      <c r="C68" s="24" t="s">
        <v>296</v>
      </c>
      <c r="D68" s="15"/>
      <c r="E68" s="15"/>
      <c r="F68" s="25" t="s">
        <v>57</v>
      </c>
      <c r="G68" s="26">
        <v>1.1000000000000001</v>
      </c>
      <c r="H68" s="36"/>
      <c r="I68" s="109">
        <v>0</v>
      </c>
      <c r="J68" s="27">
        <v>155.01</v>
      </c>
      <c r="M68" s="28">
        <f>ROUND(ROUND(J68, 2)*I68, 2)</f>
        <v>0</v>
      </c>
      <c r="P68" s="27">
        <v>155.01</v>
      </c>
      <c r="S68" s="28">
        <f>ROUND(ROUND(P68, 2)*I68, 2)</f>
        <v>0</v>
      </c>
    </row>
    <row r="69" spans="1:21" ht="18" hidden="1" x14ac:dyDescent="0.3">
      <c r="A69" s="101" t="s">
        <v>334</v>
      </c>
      <c r="B69" s="10"/>
      <c r="C69" s="24" t="s">
        <v>303</v>
      </c>
      <c r="D69" s="15"/>
      <c r="E69" s="15"/>
      <c r="F69" s="25" t="s">
        <v>123</v>
      </c>
      <c r="G69" s="26">
        <v>1</v>
      </c>
      <c r="H69" s="36"/>
      <c r="I69" s="109">
        <v>0</v>
      </c>
      <c r="J69" s="27">
        <v>10.4</v>
      </c>
      <c r="M69" s="28">
        <f>ROUND(ROUND(J69, 2)*I69, 2)</f>
        <v>0</v>
      </c>
      <c r="P69" s="27">
        <v>10.4</v>
      </c>
      <c r="S69" s="28">
        <f>ROUND(ROUND(P69, 2)*I69, 2)</f>
        <v>0</v>
      </c>
    </row>
    <row r="70" spans="1:21" ht="36" hidden="1" x14ac:dyDescent="0.3">
      <c r="A70" s="101" t="s">
        <v>339</v>
      </c>
      <c r="B70" s="10" t="s">
        <v>317</v>
      </c>
      <c r="C70" s="14" t="s">
        <v>318</v>
      </c>
      <c r="D70" s="15"/>
      <c r="E70" s="15" t="s">
        <v>340</v>
      </c>
      <c r="F70" s="15" t="s">
        <v>57</v>
      </c>
      <c r="G70" s="16">
        <v>1</v>
      </c>
      <c r="H70" s="16"/>
      <c r="I70" s="110">
        <v>0</v>
      </c>
      <c r="J70" s="17">
        <v>928.3</v>
      </c>
      <c r="K70" s="18">
        <v>922</v>
      </c>
      <c r="L70" s="17">
        <f>J70+ROUND(K70, 2)</f>
        <v>1850.3</v>
      </c>
      <c r="M70" s="17">
        <v>0</v>
      </c>
      <c r="N70" s="17">
        <v>0</v>
      </c>
      <c r="O70" s="17">
        <f>M70+N70</f>
        <v>0</v>
      </c>
      <c r="P70" s="17">
        <v>928.3</v>
      </c>
      <c r="Q70" s="18">
        <v>922</v>
      </c>
      <c r="R70" s="17">
        <f>P70+ROUND(Q70, 2)</f>
        <v>1850.3</v>
      </c>
      <c r="S70" s="17">
        <v>0</v>
      </c>
      <c r="T70" s="17">
        <v>0</v>
      </c>
      <c r="U70" s="17">
        <f>S70+T70</f>
        <v>0</v>
      </c>
    </row>
    <row r="71" spans="1:21" ht="18" hidden="1" x14ac:dyDescent="0.3">
      <c r="A71" s="101" t="s">
        <v>342</v>
      </c>
      <c r="B71" s="10"/>
      <c r="C71" s="24" t="s">
        <v>310</v>
      </c>
      <c r="D71" s="15"/>
      <c r="E71" s="15"/>
      <c r="F71" s="25" t="s">
        <v>76</v>
      </c>
      <c r="G71" s="26">
        <v>0.255</v>
      </c>
      <c r="H71" s="26"/>
      <c r="I71" s="108">
        <v>0</v>
      </c>
      <c r="J71" s="27">
        <v>100</v>
      </c>
      <c r="M71" s="28">
        <f>ROUND(ROUND(J71, 2)*I71, 2)</f>
        <v>0</v>
      </c>
      <c r="P71" s="27">
        <v>100</v>
      </c>
      <c r="S71" s="28">
        <f>ROUND(ROUND(P71, 2)*I71, 2)</f>
        <v>0</v>
      </c>
    </row>
    <row r="72" spans="1:21" ht="18" hidden="1" x14ac:dyDescent="0.3">
      <c r="A72" s="101" t="s">
        <v>347</v>
      </c>
      <c r="B72" s="10"/>
      <c r="C72" s="24" t="s">
        <v>303</v>
      </c>
      <c r="D72" s="15"/>
      <c r="E72" s="15"/>
      <c r="F72" s="25" t="s">
        <v>123</v>
      </c>
      <c r="G72" s="26">
        <v>1</v>
      </c>
      <c r="H72" s="36"/>
      <c r="I72" s="109">
        <v>0</v>
      </c>
      <c r="J72" s="27">
        <v>10.4</v>
      </c>
      <c r="M72" s="28">
        <f>ROUND(ROUND(J72, 2)*I72, 2)</f>
        <v>0</v>
      </c>
      <c r="P72" s="27">
        <v>10.4</v>
      </c>
      <c r="S72" s="28">
        <f>ROUND(ROUND(P72, 2)*I72, 2)</f>
        <v>0</v>
      </c>
    </row>
    <row r="73" spans="1:21" ht="18" hidden="1" x14ac:dyDescent="0.3">
      <c r="A73" s="101" t="s">
        <v>352</v>
      </c>
      <c r="B73" s="10"/>
      <c r="C73" s="24" t="s">
        <v>296</v>
      </c>
      <c r="D73" s="15"/>
      <c r="E73" s="15"/>
      <c r="F73" s="25" t="s">
        <v>57</v>
      </c>
      <c r="G73" s="26">
        <v>1.1000000000000001</v>
      </c>
      <c r="H73" s="36"/>
      <c r="I73" s="109">
        <v>0</v>
      </c>
      <c r="J73" s="27">
        <v>155.01</v>
      </c>
      <c r="M73" s="28">
        <f>ROUND(ROUND(J73, 2)*I73, 2)</f>
        <v>0</v>
      </c>
      <c r="P73" s="27">
        <v>155.01</v>
      </c>
      <c r="S73" s="28">
        <f>ROUND(ROUND(P73, 2)*I73, 2)</f>
        <v>0</v>
      </c>
    </row>
    <row r="74" spans="1:21" ht="18" hidden="1" x14ac:dyDescent="0.3">
      <c r="A74" s="101" t="s">
        <v>357</v>
      </c>
      <c r="B74" s="10"/>
      <c r="C74" s="24" t="s">
        <v>288</v>
      </c>
      <c r="D74" s="15"/>
      <c r="E74" s="15" t="s">
        <v>358</v>
      </c>
      <c r="F74" s="25" t="s">
        <v>76</v>
      </c>
      <c r="G74" s="26">
        <v>1.8</v>
      </c>
      <c r="H74" s="36"/>
      <c r="I74" s="109">
        <v>0</v>
      </c>
      <c r="J74" s="27">
        <v>6.17</v>
      </c>
      <c r="M74" s="28">
        <f>ROUND(ROUND(J74, 2)*I74, 2)</f>
        <v>0</v>
      </c>
      <c r="P74" s="27">
        <v>6.17</v>
      </c>
      <c r="S74" s="28">
        <f>ROUND(ROUND(P74, 2)*I74, 2)</f>
        <v>0</v>
      </c>
    </row>
    <row r="75" spans="1:21" ht="36" hidden="1" x14ac:dyDescent="0.3">
      <c r="A75" s="101" t="s">
        <v>363</v>
      </c>
      <c r="B75" s="10" t="s">
        <v>317</v>
      </c>
      <c r="C75" s="14" t="s">
        <v>318</v>
      </c>
      <c r="D75" s="15"/>
      <c r="E75" s="15" t="s">
        <v>364</v>
      </c>
      <c r="F75" s="15" t="s">
        <v>57</v>
      </c>
      <c r="G75" s="16">
        <v>1</v>
      </c>
      <c r="H75" s="16"/>
      <c r="I75" s="110">
        <v>0</v>
      </c>
      <c r="J75" s="17">
        <v>1047.8800000000001</v>
      </c>
      <c r="K75" s="18">
        <v>922</v>
      </c>
      <c r="L75" s="17">
        <f>J75+ROUND(K75, 2)</f>
        <v>1969.88</v>
      </c>
      <c r="M75" s="17">
        <v>0</v>
      </c>
      <c r="N75" s="17">
        <v>0</v>
      </c>
      <c r="O75" s="17">
        <f>M75+N75</f>
        <v>0</v>
      </c>
      <c r="P75" s="17">
        <v>1047.8800000000001</v>
      </c>
      <c r="Q75" s="18">
        <v>922</v>
      </c>
      <c r="R75" s="17">
        <f>P75+ROUND(Q75, 2)</f>
        <v>1969.88</v>
      </c>
      <c r="S75" s="17">
        <v>0</v>
      </c>
      <c r="T75" s="17">
        <v>0</v>
      </c>
      <c r="U75" s="17">
        <f>S75+T75</f>
        <v>0</v>
      </c>
    </row>
    <row r="76" spans="1:21" ht="18" hidden="1" x14ac:dyDescent="0.3">
      <c r="A76" s="101" t="s">
        <v>366</v>
      </c>
      <c r="B76" s="10"/>
      <c r="C76" s="24" t="s">
        <v>303</v>
      </c>
      <c r="D76" s="15"/>
      <c r="E76" s="15"/>
      <c r="F76" s="25" t="s">
        <v>123</v>
      </c>
      <c r="G76" s="26">
        <v>1</v>
      </c>
      <c r="H76" s="36"/>
      <c r="I76" s="109">
        <v>0</v>
      </c>
      <c r="J76" s="27">
        <v>10.4</v>
      </c>
      <c r="M76" s="28">
        <f>ROUND(ROUND(J76, 2)*I76, 2)</f>
        <v>0</v>
      </c>
      <c r="P76" s="27">
        <v>10.4</v>
      </c>
      <c r="S76" s="28">
        <f>ROUND(ROUND(P76, 2)*I76, 2)</f>
        <v>0</v>
      </c>
    </row>
    <row r="77" spans="1:21" ht="18" hidden="1" x14ac:dyDescent="0.3">
      <c r="A77" s="101" t="s">
        <v>371</v>
      </c>
      <c r="B77" s="10"/>
      <c r="C77" s="24" t="s">
        <v>296</v>
      </c>
      <c r="D77" s="15"/>
      <c r="E77" s="15"/>
      <c r="F77" s="25" t="s">
        <v>57</v>
      </c>
      <c r="G77" s="26">
        <v>1.1000000000000001</v>
      </c>
      <c r="H77" s="36"/>
      <c r="I77" s="109">
        <v>0</v>
      </c>
      <c r="J77" s="27">
        <v>155.01</v>
      </c>
      <c r="M77" s="28">
        <f>ROUND(ROUND(J77, 2)*I77, 2)</f>
        <v>0</v>
      </c>
      <c r="P77" s="27">
        <v>155.01</v>
      </c>
      <c r="S77" s="28">
        <f>ROUND(ROUND(P77, 2)*I77, 2)</f>
        <v>0</v>
      </c>
    </row>
    <row r="78" spans="1:21" ht="18" hidden="1" x14ac:dyDescent="0.3">
      <c r="A78" s="101" t="s">
        <v>376</v>
      </c>
      <c r="B78" s="10"/>
      <c r="C78" s="24" t="s">
        <v>377</v>
      </c>
      <c r="D78" s="15"/>
      <c r="E78" s="15" t="s">
        <v>378</v>
      </c>
      <c r="F78" s="25" t="s">
        <v>76</v>
      </c>
      <c r="G78" s="26">
        <v>1.8</v>
      </c>
      <c r="H78" s="36"/>
      <c r="I78" s="109">
        <v>0</v>
      </c>
      <c r="J78" s="27">
        <v>7.41</v>
      </c>
      <c r="M78" s="28">
        <f>ROUND(ROUND(J78, 2)*I78, 2)</f>
        <v>0</v>
      </c>
      <c r="P78" s="27">
        <v>7.41</v>
      </c>
      <c r="S78" s="28">
        <f>ROUND(ROUND(P78, 2)*I78, 2)</f>
        <v>0</v>
      </c>
    </row>
    <row r="79" spans="1:21" ht="57.45" customHeight="1" x14ac:dyDescent="0.3">
      <c r="A79" s="102" t="s">
        <v>384</v>
      </c>
      <c r="B79" s="74" t="s">
        <v>385</v>
      </c>
      <c r="C79" s="75" t="s">
        <v>386</v>
      </c>
      <c r="D79" s="76"/>
      <c r="E79" s="76" t="s">
        <v>387</v>
      </c>
      <c r="F79" s="76" t="s">
        <v>57</v>
      </c>
      <c r="G79" s="77">
        <v>1</v>
      </c>
      <c r="H79" s="77"/>
      <c r="I79" s="107">
        <v>891.74</v>
      </c>
      <c r="J79" s="78">
        <f>IFERROR(ROUND(SUM(M80,M81,M82)/I79, 2),0)</f>
        <v>172.84</v>
      </c>
      <c r="K79" s="73">
        <v>557</v>
      </c>
      <c r="L79" s="78">
        <f>J79+ROUND(K79, 2)</f>
        <v>729.84</v>
      </c>
      <c r="M79" s="78">
        <f>ROUND(J79*I79, 2)</f>
        <v>154128.34</v>
      </c>
      <c r="N79" s="78">
        <f>ROUND(I79*ROUND(K79, 2), 2)</f>
        <v>496699.18</v>
      </c>
      <c r="O79" s="78">
        <f>M79+N79</f>
        <v>650827.52000000002</v>
      </c>
      <c r="P79" s="78">
        <f>IFERROR(ROUND(SUM(S80,S81,S82)/I79, 2),0)</f>
        <v>179.62</v>
      </c>
      <c r="Q79" s="79">
        <v>557</v>
      </c>
      <c r="R79" s="78">
        <f>P79+ROUND(Q79, 2)</f>
        <v>736.62</v>
      </c>
      <c r="S79" s="78">
        <f>ROUND(P79*I79, 2)</f>
        <v>160174.34</v>
      </c>
      <c r="T79" s="78">
        <f>ROUND(I79*ROUND(Q79, 2), 2)</f>
        <v>496699.18</v>
      </c>
      <c r="U79" s="78">
        <f>S79+T79</f>
        <v>656873.52</v>
      </c>
    </row>
    <row r="80" spans="1:21" ht="18" x14ac:dyDescent="0.3">
      <c r="A80" s="101" t="s">
        <v>390</v>
      </c>
      <c r="B80" s="10"/>
      <c r="C80" s="24" t="s">
        <v>303</v>
      </c>
      <c r="D80" s="15"/>
      <c r="E80" s="15"/>
      <c r="F80" s="25" t="s">
        <v>123</v>
      </c>
      <c r="G80" s="26">
        <v>1</v>
      </c>
      <c r="H80" s="36"/>
      <c r="I80" s="109">
        <v>193.81</v>
      </c>
      <c r="J80" s="27">
        <v>10.58</v>
      </c>
      <c r="M80" s="28">
        <f>ROUND(ROUND(J80, 2)*I80, 2)</f>
        <v>2050.5100000000002</v>
      </c>
      <c r="P80" s="29">
        <v>10.4</v>
      </c>
      <c r="S80" s="28">
        <f>ROUND(ROUND(P80, 2)*I80, 2)</f>
        <v>2015.62</v>
      </c>
    </row>
    <row r="81" spans="1:21" ht="36" x14ac:dyDescent="0.3">
      <c r="A81" s="101" t="s">
        <v>393</v>
      </c>
      <c r="B81" s="10"/>
      <c r="C81" s="24" t="s">
        <v>252</v>
      </c>
      <c r="D81" s="15"/>
      <c r="E81" s="15"/>
      <c r="F81" s="25" t="s">
        <v>76</v>
      </c>
      <c r="G81" s="26">
        <v>0.255</v>
      </c>
      <c r="H81" s="26"/>
      <c r="I81" s="108">
        <v>227.39400000000001</v>
      </c>
      <c r="J81" s="27">
        <v>90.28</v>
      </c>
      <c r="M81" s="28">
        <f>ROUND(ROUND(J81, 2)*I81, 2)</f>
        <v>20529.13</v>
      </c>
      <c r="P81" s="29">
        <v>88.8</v>
      </c>
      <c r="S81" s="28">
        <f>ROUND(ROUND(P81, 2)*I81, 2)</f>
        <v>20192.59</v>
      </c>
    </row>
    <row r="82" spans="1:21" ht="36" x14ac:dyDescent="0.3">
      <c r="A82" s="101" t="s">
        <v>396</v>
      </c>
      <c r="B82" s="10"/>
      <c r="C82" s="35" t="s">
        <v>244</v>
      </c>
      <c r="D82" s="15"/>
      <c r="E82" s="15"/>
      <c r="F82" s="25" t="s">
        <v>76</v>
      </c>
      <c r="G82" s="26">
        <v>1.6</v>
      </c>
      <c r="H82" s="36"/>
      <c r="I82" s="109">
        <v>14267.84</v>
      </c>
      <c r="J82" s="27">
        <v>9.2200000000000006</v>
      </c>
      <c r="M82" s="28">
        <f>ROUND(ROUND(J82, 2)*I82, 2)</f>
        <v>131549.48000000001</v>
      </c>
      <c r="P82" s="29">
        <v>9.67</v>
      </c>
      <c r="S82" s="28">
        <f>ROUND(ROUND(P82, 2)*I82, 2)</f>
        <v>137970.01</v>
      </c>
    </row>
    <row r="83" spans="1:21" ht="49.5" customHeight="1" x14ac:dyDescent="0.3">
      <c r="A83" s="102" t="s">
        <v>400</v>
      </c>
      <c r="B83" s="74" t="s">
        <v>385</v>
      </c>
      <c r="C83" s="75" t="s">
        <v>386</v>
      </c>
      <c r="D83" s="76"/>
      <c r="E83" s="76" t="s">
        <v>401</v>
      </c>
      <c r="F83" s="76" t="s">
        <v>57</v>
      </c>
      <c r="G83" s="77">
        <v>1</v>
      </c>
      <c r="H83" s="77"/>
      <c r="I83" s="107">
        <v>31.47</v>
      </c>
      <c r="J83" s="78">
        <f>IFERROR(ROUND(SUM(M84,M85,M86)/I83, 2),0)</f>
        <v>181.7</v>
      </c>
      <c r="K83" s="73">
        <v>557</v>
      </c>
      <c r="L83" s="78">
        <f>J83+ROUND(K83, 2)</f>
        <v>738.7</v>
      </c>
      <c r="M83" s="78">
        <f>ROUND(J83*I83, 2)</f>
        <v>5718.1</v>
      </c>
      <c r="N83" s="78">
        <f>ROUND(I83*ROUND(K83, 2), 2)</f>
        <v>17528.79</v>
      </c>
      <c r="O83" s="78">
        <f>M83+N83</f>
        <v>23246.89</v>
      </c>
      <c r="P83" s="78">
        <f>IFERROR(ROUND(SUM(S84,S85,S86)/I83, 2),0)</f>
        <v>188.34</v>
      </c>
      <c r="Q83" s="79">
        <v>557</v>
      </c>
      <c r="R83" s="78">
        <f>P83+ROUND(Q83, 2)</f>
        <v>745.34</v>
      </c>
      <c r="S83" s="78">
        <f>ROUND(P83*I83, 2)</f>
        <v>5927.06</v>
      </c>
      <c r="T83" s="78">
        <f>ROUND(I83*ROUND(Q83, 2), 2)</f>
        <v>17528.79</v>
      </c>
      <c r="U83" s="78">
        <f>S83+T83</f>
        <v>23455.850000000002</v>
      </c>
    </row>
    <row r="84" spans="1:21" ht="36" x14ac:dyDescent="0.3">
      <c r="A84" s="101" t="s">
        <v>402</v>
      </c>
      <c r="B84" s="10"/>
      <c r="C84" s="35" t="s">
        <v>244</v>
      </c>
      <c r="D84" s="15"/>
      <c r="E84" s="15"/>
      <c r="F84" s="25" t="s">
        <v>76</v>
      </c>
      <c r="G84" s="26">
        <v>1.6</v>
      </c>
      <c r="H84" s="36"/>
      <c r="I84" s="109">
        <v>503.52</v>
      </c>
      <c r="J84" s="27">
        <v>9.2200000000000006</v>
      </c>
      <c r="M84" s="28">
        <f>ROUND(ROUND(J84, 2)*I84, 2)</f>
        <v>4642.45</v>
      </c>
      <c r="P84" s="29">
        <v>9.67</v>
      </c>
      <c r="S84" s="28">
        <f>ROUND(ROUND(P84, 2)*I84, 2)</f>
        <v>4869.04</v>
      </c>
    </row>
    <row r="85" spans="1:21" ht="36" x14ac:dyDescent="0.3">
      <c r="A85" s="101" t="s">
        <v>405</v>
      </c>
      <c r="B85" s="10"/>
      <c r="C85" s="24" t="s">
        <v>252</v>
      </c>
      <c r="D85" s="15"/>
      <c r="E85" s="15"/>
      <c r="F85" s="25" t="s">
        <v>76</v>
      </c>
      <c r="G85" s="26">
        <v>0.255</v>
      </c>
      <c r="H85" s="26"/>
      <c r="I85" s="108">
        <v>8.0250000000000004</v>
      </c>
      <c r="J85" s="27">
        <v>90.28</v>
      </c>
      <c r="M85" s="28">
        <f>ROUND(ROUND(J85, 2)*I85, 2)</f>
        <v>724.5</v>
      </c>
      <c r="P85" s="29">
        <v>88.8</v>
      </c>
      <c r="S85" s="28">
        <f>ROUND(ROUND(P85, 2)*I85, 2)</f>
        <v>712.62</v>
      </c>
    </row>
    <row r="86" spans="1:21" ht="18" x14ac:dyDescent="0.3">
      <c r="A86" s="101" t="s">
        <v>408</v>
      </c>
      <c r="B86" s="10"/>
      <c r="C86" s="24" t="s">
        <v>303</v>
      </c>
      <c r="D86" s="15"/>
      <c r="E86" s="15"/>
      <c r="F86" s="25" t="s">
        <v>123</v>
      </c>
      <c r="G86" s="26">
        <v>1</v>
      </c>
      <c r="H86" s="36"/>
      <c r="I86" s="109">
        <v>33.200000000000003</v>
      </c>
      <c r="J86" s="27">
        <v>10.58</v>
      </c>
      <c r="M86" s="28">
        <f>ROUND(ROUND(J86, 2)*I86, 2)</f>
        <v>351.26</v>
      </c>
      <c r="P86" s="29">
        <v>10.4</v>
      </c>
      <c r="S86" s="28">
        <f>ROUND(ROUND(P86, 2)*I86, 2)</f>
        <v>345.28</v>
      </c>
    </row>
    <row r="87" spans="1:21" ht="55.95" customHeight="1" x14ac:dyDescent="0.3">
      <c r="A87" s="103" t="s">
        <v>411</v>
      </c>
      <c r="B87" s="85" t="s">
        <v>385</v>
      </c>
      <c r="C87" s="86" t="s">
        <v>386</v>
      </c>
      <c r="D87" s="87"/>
      <c r="E87" s="87" t="s">
        <v>412</v>
      </c>
      <c r="F87" s="87" t="s">
        <v>57</v>
      </c>
      <c r="G87" s="88">
        <v>1</v>
      </c>
      <c r="H87" s="88"/>
      <c r="I87" s="111">
        <v>31.9</v>
      </c>
      <c r="J87" s="89">
        <f>IFERROR(ROUND(SUM(M88,M89,M90)/I87, 2),0)</f>
        <v>179.8</v>
      </c>
      <c r="K87" s="90">
        <v>557</v>
      </c>
      <c r="L87" s="89">
        <f>J87+ROUND(K87, 2)</f>
        <v>736.8</v>
      </c>
      <c r="M87" s="89">
        <f>ROUND(J87*I87, 2)</f>
        <v>5735.62</v>
      </c>
      <c r="N87" s="89">
        <f>ROUND(I87*ROUND(K87, 2), 2)</f>
        <v>17768.3</v>
      </c>
      <c r="O87" s="89">
        <f>M87+N87</f>
        <v>23503.919999999998</v>
      </c>
      <c r="P87" s="89">
        <f>IFERROR(ROUND(SUM(S88,S89,S90)/I87, 2),0)</f>
        <v>186.46</v>
      </c>
      <c r="Q87" s="91">
        <v>557</v>
      </c>
      <c r="R87" s="89">
        <f>P87+ROUND(Q87, 2)</f>
        <v>743.46</v>
      </c>
      <c r="S87" s="89">
        <f>ROUND(P87*I87, 2)</f>
        <v>5948.07</v>
      </c>
      <c r="T87" s="89">
        <f>ROUND(I87*ROUND(Q87, 2), 2)</f>
        <v>17768.3</v>
      </c>
      <c r="U87" s="89">
        <f>S87+T87</f>
        <v>23716.37</v>
      </c>
    </row>
    <row r="88" spans="1:21" ht="36" x14ac:dyDescent="0.3">
      <c r="A88" s="101" t="s">
        <v>413</v>
      </c>
      <c r="B88" s="10"/>
      <c r="C88" s="35" t="s">
        <v>244</v>
      </c>
      <c r="D88" s="15"/>
      <c r="E88" s="15"/>
      <c r="F88" s="25" t="s">
        <v>76</v>
      </c>
      <c r="G88" s="26">
        <v>1.6</v>
      </c>
      <c r="H88" s="36"/>
      <c r="I88" s="109">
        <v>510.4</v>
      </c>
      <c r="J88" s="27">
        <v>9.2200000000000006</v>
      </c>
      <c r="M88" s="28">
        <f>ROUND(ROUND(J88, 2)*I88, 2)</f>
        <v>4705.8900000000003</v>
      </c>
      <c r="P88" s="29">
        <v>9.67</v>
      </c>
      <c r="S88" s="28">
        <f>ROUND(ROUND(P88, 2)*I88, 2)</f>
        <v>4935.57</v>
      </c>
    </row>
    <row r="89" spans="1:21" ht="36" x14ac:dyDescent="0.3">
      <c r="A89" s="101" t="s">
        <v>416</v>
      </c>
      <c r="B89" s="10"/>
      <c r="C89" s="24" t="s">
        <v>252</v>
      </c>
      <c r="D89" s="15"/>
      <c r="E89" s="15"/>
      <c r="F89" s="25" t="s">
        <v>76</v>
      </c>
      <c r="G89" s="26">
        <v>0.255</v>
      </c>
      <c r="H89" s="26"/>
      <c r="I89" s="108">
        <v>8.1349999999999998</v>
      </c>
      <c r="J89" s="27">
        <v>90.28</v>
      </c>
      <c r="M89" s="28">
        <f>ROUND(ROUND(J89, 2)*I89, 2)</f>
        <v>734.43</v>
      </c>
      <c r="P89" s="29">
        <v>88.8</v>
      </c>
      <c r="S89" s="28">
        <f>ROUND(ROUND(P89, 2)*I89, 2)</f>
        <v>722.39</v>
      </c>
    </row>
    <row r="90" spans="1:21" ht="18" x14ac:dyDescent="0.3">
      <c r="A90" s="101" t="s">
        <v>419</v>
      </c>
      <c r="B90" s="10"/>
      <c r="C90" s="24" t="s">
        <v>303</v>
      </c>
      <c r="D90" s="15"/>
      <c r="E90" s="15"/>
      <c r="F90" s="25" t="s">
        <v>123</v>
      </c>
      <c r="G90" s="26">
        <v>1</v>
      </c>
      <c r="H90" s="36"/>
      <c r="I90" s="109">
        <v>27.9</v>
      </c>
      <c r="J90" s="27">
        <v>10.58</v>
      </c>
      <c r="M90" s="28">
        <f>ROUND(ROUND(J90, 2)*I90, 2)</f>
        <v>295.18</v>
      </c>
      <c r="P90" s="29">
        <v>10.4</v>
      </c>
      <c r="S90" s="28">
        <f>ROUND(ROUND(P90, 2)*I90, 2)</f>
        <v>290.16000000000003</v>
      </c>
    </row>
    <row r="91" spans="1:21" ht="16.95" customHeight="1" x14ac:dyDescent="0.3">
      <c r="A91" s="101" t="s">
        <v>422</v>
      </c>
      <c r="B91" s="10" t="s">
        <v>423</v>
      </c>
      <c r="C91" s="80" t="s">
        <v>424</v>
      </c>
      <c r="D91" s="81"/>
      <c r="E91" s="81"/>
      <c r="F91" s="81"/>
      <c r="G91" s="81"/>
      <c r="H91" s="81"/>
      <c r="I91" s="81"/>
      <c r="M91" s="6">
        <f>SUM(M92,M95,M98)</f>
        <v>0</v>
      </c>
      <c r="N91" s="6">
        <f>SUM(N92,N95,N98)</f>
        <v>0</v>
      </c>
      <c r="O91" s="6">
        <f>SUM(O92,O95,O98)</f>
        <v>0</v>
      </c>
      <c r="S91" s="6">
        <f>SUM(S92,S95,S98)</f>
        <v>0</v>
      </c>
      <c r="T91" s="6">
        <f>SUM(T92,T95,T98)</f>
        <v>0</v>
      </c>
      <c r="U91" s="6">
        <f>SUM(U92,U95,U98)</f>
        <v>0</v>
      </c>
    </row>
    <row r="92" spans="1:21" ht="36" hidden="1" x14ac:dyDescent="0.3">
      <c r="A92" s="101" t="s">
        <v>425</v>
      </c>
      <c r="B92" s="10" t="s">
        <v>426</v>
      </c>
      <c r="C92" s="14" t="s">
        <v>427</v>
      </c>
      <c r="D92" s="15"/>
      <c r="E92" s="15" t="s">
        <v>428</v>
      </c>
      <c r="F92" s="15" t="s">
        <v>57</v>
      </c>
      <c r="G92" s="16">
        <v>1</v>
      </c>
      <c r="H92" s="16"/>
      <c r="I92" s="110">
        <v>0</v>
      </c>
      <c r="J92" s="17">
        <v>5429.9</v>
      </c>
      <c r="K92" s="18">
        <v>439</v>
      </c>
      <c r="L92" s="17">
        <f>J92+ROUND(K92, 2)</f>
        <v>5868.9</v>
      </c>
      <c r="M92" s="17">
        <v>0</v>
      </c>
      <c r="N92" s="17">
        <v>0</v>
      </c>
      <c r="O92" s="17">
        <f>M92+N92</f>
        <v>0</v>
      </c>
      <c r="P92" s="17">
        <v>5429.9</v>
      </c>
      <c r="Q92" s="18">
        <v>439</v>
      </c>
      <c r="R92" s="17">
        <f>P92+ROUND(Q92, 2)</f>
        <v>5868.9</v>
      </c>
      <c r="S92" s="17">
        <v>0</v>
      </c>
      <c r="T92" s="17">
        <v>0</v>
      </c>
      <c r="U92" s="17">
        <f>S92+T92</f>
        <v>0</v>
      </c>
    </row>
    <row r="93" spans="1:21" ht="18" hidden="1" x14ac:dyDescent="0.3">
      <c r="A93" s="101" t="s">
        <v>432</v>
      </c>
      <c r="B93" s="10"/>
      <c r="C93" s="24" t="s">
        <v>433</v>
      </c>
      <c r="D93" s="15"/>
      <c r="E93" s="15"/>
      <c r="F93" s="25" t="s">
        <v>98</v>
      </c>
      <c r="G93" s="26">
        <v>0.1</v>
      </c>
      <c r="H93" s="36"/>
      <c r="I93" s="109">
        <v>0</v>
      </c>
      <c r="J93" s="27">
        <v>600</v>
      </c>
      <c r="M93" s="28">
        <f>ROUND(ROUND(J93, 2)*I93, 2)</f>
        <v>0</v>
      </c>
      <c r="P93" s="27">
        <v>600</v>
      </c>
      <c r="S93" s="28">
        <f>ROUND(ROUND(P93, 2)*I93, 2)</f>
        <v>0</v>
      </c>
    </row>
    <row r="94" spans="1:21" ht="18" hidden="1" x14ac:dyDescent="0.3">
      <c r="A94" s="101" t="s">
        <v>439</v>
      </c>
      <c r="B94" s="10"/>
      <c r="C94" s="35" t="s">
        <v>440</v>
      </c>
      <c r="D94" s="15"/>
      <c r="E94" s="15"/>
      <c r="F94" s="25" t="s">
        <v>441</v>
      </c>
      <c r="G94" s="26">
        <v>1.03</v>
      </c>
      <c r="H94" s="36"/>
      <c r="I94" s="109">
        <v>0</v>
      </c>
      <c r="J94" s="27">
        <v>5213.5</v>
      </c>
      <c r="M94" s="28">
        <f>ROUND(ROUND(J94, 2)*I94, 2)</f>
        <v>0</v>
      </c>
      <c r="P94" s="27">
        <v>5213.5</v>
      </c>
      <c r="S94" s="28">
        <f>ROUND(ROUND(P94, 2)*I94, 2)</f>
        <v>0</v>
      </c>
    </row>
    <row r="95" spans="1:21" ht="36" hidden="1" x14ac:dyDescent="0.3">
      <c r="A95" s="101" t="s">
        <v>447</v>
      </c>
      <c r="B95" s="10" t="s">
        <v>426</v>
      </c>
      <c r="C95" s="14" t="s">
        <v>427</v>
      </c>
      <c r="D95" s="15"/>
      <c r="E95" s="15" t="s">
        <v>448</v>
      </c>
      <c r="F95" s="15" t="s">
        <v>57</v>
      </c>
      <c r="G95" s="16">
        <v>1</v>
      </c>
      <c r="H95" s="16"/>
      <c r="I95" s="110">
        <v>0</v>
      </c>
      <c r="J95" s="17">
        <v>5429.9</v>
      </c>
      <c r="K95" s="18">
        <v>439</v>
      </c>
      <c r="L95" s="17">
        <f>J95+ROUND(K95, 2)</f>
        <v>5868.9</v>
      </c>
      <c r="M95" s="17">
        <v>0</v>
      </c>
      <c r="N95" s="17">
        <v>0</v>
      </c>
      <c r="O95" s="17">
        <f>M95+N95</f>
        <v>0</v>
      </c>
      <c r="P95" s="17">
        <v>5429.9</v>
      </c>
      <c r="Q95" s="18">
        <v>439</v>
      </c>
      <c r="R95" s="17">
        <f>P95+ROUND(Q95, 2)</f>
        <v>5868.9</v>
      </c>
      <c r="S95" s="17">
        <v>0</v>
      </c>
      <c r="T95" s="17">
        <v>0</v>
      </c>
      <c r="U95" s="17">
        <f>S95+T95</f>
        <v>0</v>
      </c>
    </row>
    <row r="96" spans="1:21" ht="18" hidden="1" x14ac:dyDescent="0.3">
      <c r="A96" s="101" t="s">
        <v>450</v>
      </c>
      <c r="B96" s="10"/>
      <c r="C96" s="35" t="s">
        <v>440</v>
      </c>
      <c r="D96" s="15"/>
      <c r="E96" s="15"/>
      <c r="F96" s="25" t="s">
        <v>441</v>
      </c>
      <c r="G96" s="26">
        <v>1.03</v>
      </c>
      <c r="H96" s="36"/>
      <c r="I96" s="109">
        <v>0</v>
      </c>
      <c r="J96" s="27">
        <v>5213.5</v>
      </c>
      <c r="M96" s="28">
        <f>ROUND(ROUND(J96, 2)*I96, 2)</f>
        <v>0</v>
      </c>
      <c r="P96" s="27">
        <v>5213.5</v>
      </c>
      <c r="S96" s="28">
        <f>ROUND(ROUND(P96, 2)*I96, 2)</f>
        <v>0</v>
      </c>
    </row>
    <row r="97" spans="1:21" ht="18" hidden="1" x14ac:dyDescent="0.3">
      <c r="A97" s="101" t="s">
        <v>455</v>
      </c>
      <c r="B97" s="10"/>
      <c r="C97" s="24" t="s">
        <v>433</v>
      </c>
      <c r="D97" s="15"/>
      <c r="E97" s="15"/>
      <c r="F97" s="25" t="s">
        <v>98</v>
      </c>
      <c r="G97" s="26">
        <v>0.1</v>
      </c>
      <c r="H97" s="36"/>
      <c r="I97" s="109">
        <v>0</v>
      </c>
      <c r="J97" s="27">
        <v>600</v>
      </c>
      <c r="M97" s="28">
        <f>ROUND(ROUND(J97, 2)*I97, 2)</f>
        <v>0</v>
      </c>
      <c r="P97" s="27">
        <v>600</v>
      </c>
      <c r="S97" s="28">
        <f>ROUND(ROUND(P97, 2)*I97, 2)</f>
        <v>0</v>
      </c>
    </row>
    <row r="98" spans="1:21" ht="36" hidden="1" x14ac:dyDescent="0.3">
      <c r="A98" s="101" t="s">
        <v>460</v>
      </c>
      <c r="B98" s="10" t="s">
        <v>461</v>
      </c>
      <c r="C98" s="14" t="s">
        <v>462</v>
      </c>
      <c r="D98" s="15"/>
      <c r="E98" s="15" t="s">
        <v>463</v>
      </c>
      <c r="F98" s="15" t="s">
        <v>57</v>
      </c>
      <c r="G98" s="16">
        <v>1</v>
      </c>
      <c r="H98" s="16"/>
      <c r="I98" s="110">
        <v>0</v>
      </c>
      <c r="J98" s="17">
        <v>55.62</v>
      </c>
      <c r="K98" s="18">
        <v>56</v>
      </c>
      <c r="L98" s="17">
        <f>J98+ROUND(K98, 2)</f>
        <v>111.62</v>
      </c>
      <c r="M98" s="17">
        <v>0</v>
      </c>
      <c r="N98" s="17">
        <v>0</v>
      </c>
      <c r="O98" s="17">
        <f>M98+N98</f>
        <v>0</v>
      </c>
      <c r="P98" s="17">
        <v>55.62</v>
      </c>
      <c r="Q98" s="18">
        <v>56</v>
      </c>
      <c r="R98" s="17">
        <f>P98+ROUND(Q98, 2)</f>
        <v>111.62</v>
      </c>
      <c r="S98" s="17">
        <v>0</v>
      </c>
      <c r="T98" s="17">
        <v>0</v>
      </c>
      <c r="U98" s="17">
        <f>S98+T98</f>
        <v>0</v>
      </c>
    </row>
    <row r="99" spans="1:21" ht="72" hidden="1" x14ac:dyDescent="0.3">
      <c r="A99" s="101" t="s">
        <v>467</v>
      </c>
      <c r="B99" s="10"/>
      <c r="C99" s="24" t="s">
        <v>468</v>
      </c>
      <c r="D99" s="15"/>
      <c r="E99" s="15" t="s">
        <v>469</v>
      </c>
      <c r="F99" s="25" t="s">
        <v>57</v>
      </c>
      <c r="G99" s="26">
        <v>1.03</v>
      </c>
      <c r="H99" s="26"/>
      <c r="I99" s="108">
        <v>0</v>
      </c>
      <c r="J99" s="27">
        <v>54</v>
      </c>
      <c r="M99" s="28">
        <f>ROUND(ROUND(J99, 2)*I99, 2)</f>
        <v>0</v>
      </c>
      <c r="P99" s="27">
        <v>54</v>
      </c>
      <c r="S99" s="28">
        <f>ROUND(ROUND(P99, 2)*I99, 2)</f>
        <v>0</v>
      </c>
    </row>
    <row r="100" spans="1:21" ht="16.95" customHeight="1" x14ac:dyDescent="0.3">
      <c r="A100" s="101" t="s">
        <v>475</v>
      </c>
      <c r="B100" s="10" t="s">
        <v>476</v>
      </c>
      <c r="C100" s="80" t="s">
        <v>477</v>
      </c>
      <c r="D100" s="81"/>
      <c r="E100" s="81"/>
      <c r="F100" s="81"/>
      <c r="G100" s="81"/>
      <c r="H100" s="81"/>
      <c r="I100" s="81"/>
      <c r="M100" s="6">
        <f>SUM(M101,M106,M111,M116,M120,M123,M128,M133,M137)</f>
        <v>1530959.21</v>
      </c>
      <c r="N100" s="6">
        <f>SUM(N101,N106,N111,N116,N120,N123,N128,N133,N137)</f>
        <v>461573.28</v>
      </c>
      <c r="O100" s="6">
        <f>SUM(O101,O106,O111,O116,O120,O123,O128,O133,O137)</f>
        <v>1992532.4899999998</v>
      </c>
      <c r="S100" s="6">
        <f>SUM(S101,S106,S111,S116,S120,S123,S128,S133,S137)</f>
        <v>1646177.3</v>
      </c>
      <c r="T100" s="6">
        <f>SUM(T101,T106,T111,T116,T120,T123,T128,T133,T137)</f>
        <v>461573.28</v>
      </c>
      <c r="U100" s="6">
        <f>SUM(U101,U106,U111,U116,U120,U123,U128,U133,U137)</f>
        <v>2107750.58</v>
      </c>
    </row>
    <row r="101" spans="1:21" ht="54" hidden="1" x14ac:dyDescent="0.3">
      <c r="A101" s="101" t="s">
        <v>478</v>
      </c>
      <c r="B101" s="10" t="s">
        <v>479</v>
      </c>
      <c r="C101" s="14" t="s">
        <v>480</v>
      </c>
      <c r="D101" s="15"/>
      <c r="E101" s="15" t="s">
        <v>481</v>
      </c>
      <c r="F101" s="15" t="s">
        <v>57</v>
      </c>
      <c r="G101" s="16">
        <v>1</v>
      </c>
      <c r="H101" s="16"/>
      <c r="I101" s="110">
        <v>0</v>
      </c>
      <c r="J101" s="17">
        <v>626.08000000000004</v>
      </c>
      <c r="K101" s="18">
        <v>1251</v>
      </c>
      <c r="L101" s="17">
        <f>J101+ROUND(K101, 2)</f>
        <v>1877.08</v>
      </c>
      <c r="M101" s="17">
        <v>0</v>
      </c>
      <c r="N101" s="17">
        <v>0</v>
      </c>
      <c r="O101" s="17">
        <f>M101+N101</f>
        <v>0</v>
      </c>
      <c r="P101" s="17">
        <v>1246.25</v>
      </c>
      <c r="Q101" s="18">
        <v>1251</v>
      </c>
      <c r="R101" s="17">
        <f>P101+ROUND(Q101, 2)</f>
        <v>2497.25</v>
      </c>
      <c r="S101" s="17">
        <v>0</v>
      </c>
      <c r="T101" s="17">
        <v>0</v>
      </c>
      <c r="U101" s="17">
        <f>S101+T101</f>
        <v>0</v>
      </c>
    </row>
    <row r="102" spans="1:21" ht="36" hidden="1" x14ac:dyDescent="0.3">
      <c r="A102" s="101" t="s">
        <v>485</v>
      </c>
      <c r="B102" s="10"/>
      <c r="C102" s="35" t="s">
        <v>486</v>
      </c>
      <c r="D102" s="15"/>
      <c r="E102" s="15" t="s">
        <v>487</v>
      </c>
      <c r="F102" s="25" t="s">
        <v>76</v>
      </c>
      <c r="G102" s="26">
        <v>1.2</v>
      </c>
      <c r="H102" s="36"/>
      <c r="I102" s="109">
        <v>0</v>
      </c>
      <c r="J102" s="27">
        <v>6.28</v>
      </c>
      <c r="M102" s="28">
        <f>ROUND(ROUND(J102, 2)*I102, 2)</f>
        <v>0</v>
      </c>
      <c r="P102" s="27">
        <v>6.28</v>
      </c>
      <c r="S102" s="28">
        <f>ROUND(ROUND(P102, 2)*I102, 2)</f>
        <v>0</v>
      </c>
    </row>
    <row r="103" spans="1:21" ht="90" hidden="1" x14ac:dyDescent="0.3">
      <c r="A103" s="101" t="s">
        <v>493</v>
      </c>
      <c r="B103" s="10"/>
      <c r="C103" s="35" t="s">
        <v>494</v>
      </c>
      <c r="D103" s="15"/>
      <c r="E103" s="15" t="s">
        <v>495</v>
      </c>
      <c r="F103" s="25" t="s">
        <v>57</v>
      </c>
      <c r="G103" s="26">
        <v>1.07</v>
      </c>
      <c r="H103" s="36"/>
      <c r="I103" s="109">
        <v>0</v>
      </c>
      <c r="J103" s="27">
        <v>504</v>
      </c>
      <c r="M103" s="28">
        <f>ROUND(ROUND(J103, 2)*I103, 2)</f>
        <v>0</v>
      </c>
      <c r="P103" s="27">
        <v>1083.5999999999999</v>
      </c>
      <c r="S103" s="28">
        <f>ROUND(ROUND(P103, 2)*I103, 2)</f>
        <v>0</v>
      </c>
    </row>
    <row r="104" spans="1:21" ht="18" hidden="1" x14ac:dyDescent="0.3">
      <c r="A104" s="101" t="s">
        <v>501</v>
      </c>
      <c r="B104" s="10"/>
      <c r="C104" s="24" t="s">
        <v>502</v>
      </c>
      <c r="D104" s="15"/>
      <c r="E104" s="15"/>
      <c r="F104" s="25" t="s">
        <v>76</v>
      </c>
      <c r="G104" s="26">
        <v>0.25</v>
      </c>
      <c r="H104" s="36"/>
      <c r="I104" s="109">
        <v>0</v>
      </c>
      <c r="J104" s="27">
        <v>40.270000000000003</v>
      </c>
      <c r="M104" s="28">
        <f>ROUND(ROUND(J104, 2)*I104, 2)</f>
        <v>0</v>
      </c>
      <c r="P104" s="27">
        <v>40.270000000000003</v>
      </c>
      <c r="S104" s="28">
        <f>ROUND(ROUND(P104, 2)*I104, 2)</f>
        <v>0</v>
      </c>
    </row>
    <row r="105" spans="1:21" ht="36" hidden="1" x14ac:dyDescent="0.3">
      <c r="A105" s="101" t="s">
        <v>508</v>
      </c>
      <c r="B105" s="10"/>
      <c r="C105" s="24" t="s">
        <v>509</v>
      </c>
      <c r="D105" s="15"/>
      <c r="E105" s="15"/>
      <c r="F105" s="25" t="s">
        <v>76</v>
      </c>
      <c r="G105" s="26">
        <v>0.15</v>
      </c>
      <c r="H105" s="26"/>
      <c r="I105" s="108">
        <v>0</v>
      </c>
      <c r="J105" s="27">
        <v>88.8</v>
      </c>
      <c r="M105" s="28">
        <f>ROUND(ROUND(J105, 2)*I105, 2)</f>
        <v>0</v>
      </c>
      <c r="P105" s="27">
        <v>88.8</v>
      </c>
      <c r="S105" s="28">
        <f>ROUND(ROUND(P105, 2)*I105, 2)</f>
        <v>0</v>
      </c>
    </row>
    <row r="106" spans="1:21" ht="54" hidden="1" x14ac:dyDescent="0.3">
      <c r="A106" s="101" t="s">
        <v>515</v>
      </c>
      <c r="B106" s="10" t="s">
        <v>479</v>
      </c>
      <c r="C106" s="14" t="s">
        <v>480</v>
      </c>
      <c r="D106" s="15"/>
      <c r="E106" s="15" t="s">
        <v>516</v>
      </c>
      <c r="F106" s="15" t="s">
        <v>57</v>
      </c>
      <c r="G106" s="16">
        <v>1</v>
      </c>
      <c r="H106" s="16"/>
      <c r="I106" s="110">
        <v>0</v>
      </c>
      <c r="J106" s="17">
        <v>2264.25</v>
      </c>
      <c r="K106" s="18">
        <v>1251</v>
      </c>
      <c r="L106" s="17">
        <f>J106+ROUND(K106, 2)</f>
        <v>3515.25</v>
      </c>
      <c r="M106" s="17">
        <v>0</v>
      </c>
      <c r="N106" s="17">
        <v>0</v>
      </c>
      <c r="O106" s="17">
        <f>M106+N106</f>
        <v>0</v>
      </c>
      <c r="P106" s="17">
        <v>1486.31</v>
      </c>
      <c r="Q106" s="18">
        <v>1251</v>
      </c>
      <c r="R106" s="17">
        <f>P106+ROUND(Q106, 2)</f>
        <v>2737.31</v>
      </c>
      <c r="S106" s="17">
        <v>0</v>
      </c>
      <c r="T106" s="17">
        <v>0</v>
      </c>
      <c r="U106" s="17">
        <f>S106+T106</f>
        <v>0</v>
      </c>
    </row>
    <row r="107" spans="1:21" ht="36" hidden="1" x14ac:dyDescent="0.3">
      <c r="A107" s="101" t="s">
        <v>518</v>
      </c>
      <c r="B107" s="10"/>
      <c r="C107" s="24" t="s">
        <v>509</v>
      </c>
      <c r="D107" s="15"/>
      <c r="E107" s="15"/>
      <c r="F107" s="25" t="s">
        <v>76</v>
      </c>
      <c r="G107" s="26">
        <v>0.15</v>
      </c>
      <c r="H107" s="26"/>
      <c r="I107" s="108">
        <v>0</v>
      </c>
      <c r="J107" s="27">
        <v>88.8</v>
      </c>
      <c r="M107" s="28">
        <f>ROUND(ROUND(J107, 2)*I107, 2)</f>
        <v>0</v>
      </c>
      <c r="P107" s="27">
        <v>88.8</v>
      </c>
      <c r="S107" s="28">
        <f>ROUND(ROUND(P107, 2)*I107, 2)</f>
        <v>0</v>
      </c>
    </row>
    <row r="108" spans="1:21" ht="18" hidden="1" x14ac:dyDescent="0.3">
      <c r="A108" s="101" t="s">
        <v>523</v>
      </c>
      <c r="B108" s="10"/>
      <c r="C108" s="24" t="s">
        <v>502</v>
      </c>
      <c r="D108" s="15"/>
      <c r="E108" s="15"/>
      <c r="F108" s="25" t="s">
        <v>76</v>
      </c>
      <c r="G108" s="26">
        <v>0.25</v>
      </c>
      <c r="H108" s="36"/>
      <c r="I108" s="109">
        <v>0</v>
      </c>
      <c r="J108" s="27">
        <v>40.270000000000003</v>
      </c>
      <c r="M108" s="28">
        <f>ROUND(ROUND(J108, 2)*I108, 2)</f>
        <v>0</v>
      </c>
      <c r="P108" s="27">
        <v>40.270000000000003</v>
      </c>
      <c r="S108" s="28">
        <f>ROUND(ROUND(P108, 2)*I108, 2)</f>
        <v>0</v>
      </c>
    </row>
    <row r="109" spans="1:21" ht="36" hidden="1" x14ac:dyDescent="0.3">
      <c r="A109" s="101" t="s">
        <v>528</v>
      </c>
      <c r="B109" s="10"/>
      <c r="C109" s="35" t="s">
        <v>486</v>
      </c>
      <c r="D109" s="15"/>
      <c r="E109" s="15"/>
      <c r="F109" s="25" t="s">
        <v>76</v>
      </c>
      <c r="G109" s="26">
        <v>1.2</v>
      </c>
      <c r="H109" s="36"/>
      <c r="I109" s="109">
        <v>0</v>
      </c>
      <c r="J109" s="27">
        <v>6.28</v>
      </c>
      <c r="M109" s="28">
        <f>ROUND(ROUND(J109, 2)*I109, 2)</f>
        <v>0</v>
      </c>
      <c r="P109" s="27">
        <v>6.28</v>
      </c>
      <c r="S109" s="28">
        <f>ROUND(ROUND(P109, 2)*I109, 2)</f>
        <v>0</v>
      </c>
    </row>
    <row r="110" spans="1:21" ht="108" hidden="1" x14ac:dyDescent="0.3">
      <c r="A110" s="101" t="s">
        <v>533</v>
      </c>
      <c r="B110" s="10"/>
      <c r="C110" s="24" t="s">
        <v>534</v>
      </c>
      <c r="D110" s="15"/>
      <c r="E110" s="15" t="s">
        <v>535</v>
      </c>
      <c r="F110" s="25" t="s">
        <v>57</v>
      </c>
      <c r="G110" s="26">
        <v>1.07</v>
      </c>
      <c r="H110" s="36"/>
      <c r="I110" s="109">
        <v>0</v>
      </c>
      <c r="J110" s="27">
        <v>2059.0500000000002</v>
      </c>
      <c r="M110" s="28">
        <f>ROUND(ROUND(J110, 2)*I110, 2)</f>
        <v>0</v>
      </c>
      <c r="P110" s="27">
        <v>1332</v>
      </c>
      <c r="S110" s="28">
        <f>ROUND(ROUND(P110, 2)*I110, 2)</f>
        <v>0</v>
      </c>
    </row>
    <row r="111" spans="1:21" ht="54" hidden="1" x14ac:dyDescent="0.3">
      <c r="A111" s="101" t="s">
        <v>541</v>
      </c>
      <c r="B111" s="10" t="s">
        <v>479</v>
      </c>
      <c r="C111" s="14" t="s">
        <v>480</v>
      </c>
      <c r="D111" s="15"/>
      <c r="E111" s="15" t="s">
        <v>542</v>
      </c>
      <c r="F111" s="15" t="s">
        <v>57</v>
      </c>
      <c r="G111" s="16">
        <v>1</v>
      </c>
      <c r="H111" s="16"/>
      <c r="I111" s="110">
        <v>0</v>
      </c>
      <c r="J111" s="17">
        <v>1996.86</v>
      </c>
      <c r="K111" s="18">
        <v>1251</v>
      </c>
      <c r="L111" s="17">
        <f>J111+ROUND(K111, 2)</f>
        <v>3247.8599999999997</v>
      </c>
      <c r="M111" s="17">
        <v>0</v>
      </c>
      <c r="N111" s="17">
        <v>0</v>
      </c>
      <c r="O111" s="17">
        <f>M111+N111</f>
        <v>0</v>
      </c>
      <c r="P111" s="17">
        <v>1211.95</v>
      </c>
      <c r="Q111" s="18">
        <v>1251</v>
      </c>
      <c r="R111" s="17">
        <f>P111+ROUND(Q111, 2)</f>
        <v>2462.9499999999998</v>
      </c>
      <c r="S111" s="17">
        <v>0</v>
      </c>
      <c r="T111" s="17">
        <v>0</v>
      </c>
      <c r="U111" s="17">
        <f>S111+T111</f>
        <v>0</v>
      </c>
    </row>
    <row r="112" spans="1:21" ht="36" hidden="1" x14ac:dyDescent="0.3">
      <c r="A112" s="101" t="s">
        <v>544</v>
      </c>
      <c r="B112" s="10"/>
      <c r="C112" s="24" t="s">
        <v>509</v>
      </c>
      <c r="D112" s="15"/>
      <c r="E112" s="15"/>
      <c r="F112" s="25" t="s">
        <v>76</v>
      </c>
      <c r="G112" s="26">
        <v>0.15</v>
      </c>
      <c r="H112" s="26"/>
      <c r="I112" s="108">
        <v>0</v>
      </c>
      <c r="J112" s="27">
        <v>88.8</v>
      </c>
      <c r="M112" s="28">
        <f>ROUND(ROUND(J112, 2)*I112, 2)</f>
        <v>0</v>
      </c>
      <c r="P112" s="27">
        <v>88.8</v>
      </c>
      <c r="S112" s="28">
        <f>ROUND(ROUND(P112, 2)*I112, 2)</f>
        <v>0</v>
      </c>
    </row>
    <row r="113" spans="1:21" ht="18" hidden="1" x14ac:dyDescent="0.3">
      <c r="A113" s="101" t="s">
        <v>549</v>
      </c>
      <c r="B113" s="10"/>
      <c r="C113" s="24" t="s">
        <v>502</v>
      </c>
      <c r="D113" s="15"/>
      <c r="E113" s="15"/>
      <c r="F113" s="25" t="s">
        <v>76</v>
      </c>
      <c r="G113" s="26">
        <v>0.25</v>
      </c>
      <c r="H113" s="36"/>
      <c r="I113" s="109">
        <v>0</v>
      </c>
      <c r="J113" s="27">
        <v>40.270000000000003</v>
      </c>
      <c r="M113" s="28">
        <f>ROUND(ROUND(J113, 2)*I113, 2)</f>
        <v>0</v>
      </c>
      <c r="P113" s="27">
        <v>6</v>
      </c>
      <c r="S113" s="28">
        <f>ROUND(ROUND(P113, 2)*I113, 2)</f>
        <v>0</v>
      </c>
    </row>
    <row r="114" spans="1:21" ht="144" hidden="1" x14ac:dyDescent="0.3">
      <c r="A114" s="101" t="s">
        <v>554</v>
      </c>
      <c r="B114" s="10"/>
      <c r="C114" s="24" t="s">
        <v>555</v>
      </c>
      <c r="D114" s="15"/>
      <c r="E114" s="15" t="s">
        <v>556</v>
      </c>
      <c r="F114" s="25" t="s">
        <v>57</v>
      </c>
      <c r="G114" s="26">
        <v>1.07</v>
      </c>
      <c r="H114" s="36"/>
      <c r="I114" s="109">
        <v>0</v>
      </c>
      <c r="J114" s="27">
        <v>1809.15</v>
      </c>
      <c r="M114" s="28">
        <f>ROUND(ROUND(J114, 2)*I114, 2)</f>
        <v>0</v>
      </c>
      <c r="P114" s="27">
        <v>1083.5999999999999</v>
      </c>
      <c r="S114" s="28">
        <f>ROUND(ROUND(P114, 2)*I114, 2)</f>
        <v>0</v>
      </c>
    </row>
    <row r="115" spans="1:21" ht="36" hidden="1" x14ac:dyDescent="0.3">
      <c r="A115" s="101" t="s">
        <v>562</v>
      </c>
      <c r="B115" s="10"/>
      <c r="C115" s="35" t="s">
        <v>486</v>
      </c>
      <c r="D115" s="15"/>
      <c r="E115" s="15" t="s">
        <v>487</v>
      </c>
      <c r="F115" s="25" t="s">
        <v>76</v>
      </c>
      <c r="G115" s="26">
        <v>1.2</v>
      </c>
      <c r="H115" s="36"/>
      <c r="I115" s="109">
        <v>0</v>
      </c>
      <c r="J115" s="27">
        <v>6.28</v>
      </c>
      <c r="M115" s="28">
        <f>ROUND(ROUND(J115, 2)*I115, 2)</f>
        <v>0</v>
      </c>
      <c r="P115" s="27">
        <v>6.28</v>
      </c>
      <c r="S115" s="28">
        <f>ROUND(ROUND(P115, 2)*I115, 2)</f>
        <v>0</v>
      </c>
    </row>
    <row r="116" spans="1:21" ht="53.55" customHeight="1" x14ac:dyDescent="0.3">
      <c r="A116" s="102" t="s">
        <v>567</v>
      </c>
      <c r="B116" s="74" t="s">
        <v>568</v>
      </c>
      <c r="C116" s="75" t="s">
        <v>569</v>
      </c>
      <c r="D116" s="76" t="s">
        <v>570</v>
      </c>
      <c r="E116" s="76" t="s">
        <v>571</v>
      </c>
      <c r="F116" s="76" t="s">
        <v>57</v>
      </c>
      <c r="G116" s="77">
        <v>1</v>
      </c>
      <c r="H116" s="77"/>
      <c r="I116" s="107">
        <v>891.74</v>
      </c>
      <c r="J116" s="78">
        <v>1608.47</v>
      </c>
      <c r="K116" s="73">
        <v>412</v>
      </c>
      <c r="L116" s="78">
        <f>J116+ROUND(K116, 2)</f>
        <v>2020.47</v>
      </c>
      <c r="M116" s="78">
        <v>1434337.04</v>
      </c>
      <c r="N116" s="78">
        <v>367396.88</v>
      </c>
      <c r="O116" s="78">
        <f>M116+N116</f>
        <v>1801733.92</v>
      </c>
      <c r="P116" s="78">
        <v>1608.47</v>
      </c>
      <c r="Q116" s="73">
        <v>412</v>
      </c>
      <c r="R116" s="78">
        <f>P116+ROUND(Q116, 2)</f>
        <v>2020.47</v>
      </c>
      <c r="S116" s="78">
        <v>1434337.04</v>
      </c>
      <c r="T116" s="78">
        <v>367396.88</v>
      </c>
      <c r="U116" s="78">
        <f>S116+T116</f>
        <v>1801733.92</v>
      </c>
    </row>
    <row r="117" spans="1:21" ht="36" x14ac:dyDescent="0.3">
      <c r="A117" s="101" t="s">
        <v>575</v>
      </c>
      <c r="B117" s="10"/>
      <c r="C117" s="24" t="s">
        <v>576</v>
      </c>
      <c r="D117" s="15"/>
      <c r="E117" s="15" t="s">
        <v>577</v>
      </c>
      <c r="F117" s="25" t="s">
        <v>76</v>
      </c>
      <c r="G117" s="26">
        <v>0.3</v>
      </c>
      <c r="H117" s="26"/>
      <c r="I117" s="108">
        <v>267.52199999999999</v>
      </c>
      <c r="J117" s="27">
        <v>341.05</v>
      </c>
      <c r="M117" s="28">
        <f>ROUND(ROUND(J117, 2)*I117, 2)</f>
        <v>91238.38</v>
      </c>
      <c r="P117" s="27">
        <v>341.05</v>
      </c>
      <c r="S117" s="28">
        <f>ROUND(ROUND(P117, 2)*I117, 2)</f>
        <v>91238.38</v>
      </c>
    </row>
    <row r="118" spans="1:21" ht="72" x14ac:dyDescent="0.3">
      <c r="A118" s="101" t="s">
        <v>583</v>
      </c>
      <c r="B118" s="10"/>
      <c r="C118" s="24" t="s">
        <v>584</v>
      </c>
      <c r="D118" s="15"/>
      <c r="E118" s="15"/>
      <c r="F118" s="25" t="s">
        <v>123</v>
      </c>
      <c r="G118" s="26">
        <v>1</v>
      </c>
      <c r="H118" s="36"/>
      <c r="I118" s="109">
        <v>891.74</v>
      </c>
      <c r="J118" s="27">
        <v>33.25</v>
      </c>
      <c r="M118" s="28">
        <f>ROUND(ROUND(J118, 2)*I118, 2)</f>
        <v>29650.36</v>
      </c>
      <c r="P118" s="27">
        <v>33.25</v>
      </c>
      <c r="S118" s="28">
        <f>ROUND(ROUND(P118, 2)*I118, 2)</f>
        <v>29650.36</v>
      </c>
    </row>
    <row r="119" spans="1:21" ht="54" x14ac:dyDescent="0.3">
      <c r="A119" s="101" t="s">
        <v>590</v>
      </c>
      <c r="B119" s="10"/>
      <c r="C119" s="24" t="s">
        <v>591</v>
      </c>
      <c r="D119" s="15"/>
      <c r="E119" s="15"/>
      <c r="F119" s="25" t="s">
        <v>57</v>
      </c>
      <c r="G119" s="26">
        <v>1.1000000000000001</v>
      </c>
      <c r="H119" s="36"/>
      <c r="I119" s="109">
        <v>980.91399999999999</v>
      </c>
      <c r="J119" s="27">
        <v>1339</v>
      </c>
      <c r="M119" s="28">
        <f>ROUND(ROUND(J119, 2)*I119, 2)</f>
        <v>1313443.8500000001</v>
      </c>
      <c r="P119" s="27">
        <v>1339</v>
      </c>
      <c r="S119" s="28">
        <f>ROUND(ROUND(P119, 2)*I119, 2)</f>
        <v>1313443.8500000001</v>
      </c>
    </row>
    <row r="120" spans="1:21" ht="18" hidden="1" x14ac:dyDescent="0.3">
      <c r="A120" s="101" t="s">
        <v>597</v>
      </c>
      <c r="B120" s="10" t="s">
        <v>598</v>
      </c>
      <c r="C120" s="14" t="s">
        <v>599</v>
      </c>
      <c r="D120" s="15"/>
      <c r="E120" s="15" t="s">
        <v>600</v>
      </c>
      <c r="F120" s="15" t="s">
        <v>123</v>
      </c>
      <c r="G120" s="16">
        <v>1</v>
      </c>
      <c r="H120" s="16"/>
      <c r="I120" s="110">
        <v>0</v>
      </c>
      <c r="J120" s="17">
        <v>104.52</v>
      </c>
      <c r="K120" s="18">
        <v>200</v>
      </c>
      <c r="L120" s="17">
        <f>J120+ROUND(K120, 2)</f>
        <v>304.52</v>
      </c>
      <c r="M120" s="17">
        <v>0</v>
      </c>
      <c r="N120" s="17">
        <v>0</v>
      </c>
      <c r="O120" s="17">
        <f>M120+N120</f>
        <v>0</v>
      </c>
      <c r="P120" s="17">
        <v>104.52</v>
      </c>
      <c r="Q120" s="18">
        <v>200</v>
      </c>
      <c r="R120" s="17">
        <f>P120+ROUND(Q120, 2)</f>
        <v>304.52</v>
      </c>
      <c r="S120" s="17">
        <v>0</v>
      </c>
      <c r="T120" s="17">
        <v>0</v>
      </c>
      <c r="U120" s="17">
        <f>S120+T120</f>
        <v>0</v>
      </c>
    </row>
    <row r="121" spans="1:21" ht="36" hidden="1" x14ac:dyDescent="0.3">
      <c r="A121" s="101" t="s">
        <v>604</v>
      </c>
      <c r="B121" s="10"/>
      <c r="C121" s="24" t="s">
        <v>605</v>
      </c>
      <c r="D121" s="15"/>
      <c r="E121" s="15"/>
      <c r="F121" s="25" t="s">
        <v>123</v>
      </c>
      <c r="G121" s="26">
        <v>1.05</v>
      </c>
      <c r="H121" s="36"/>
      <c r="I121" s="109">
        <v>0</v>
      </c>
      <c r="J121" s="27">
        <v>90.97</v>
      </c>
      <c r="M121" s="28">
        <f>ROUND(ROUND(J121, 2)*I121, 2)</f>
        <v>0</v>
      </c>
      <c r="P121" s="27">
        <v>90.97</v>
      </c>
      <c r="S121" s="28">
        <f>ROUND(ROUND(P121, 2)*I121, 2)</f>
        <v>0</v>
      </c>
    </row>
    <row r="122" spans="1:21" ht="18" hidden="1" x14ac:dyDescent="0.3">
      <c r="A122" s="101" t="s">
        <v>611</v>
      </c>
      <c r="B122" s="10"/>
      <c r="C122" s="24" t="s">
        <v>612</v>
      </c>
      <c r="D122" s="15"/>
      <c r="E122" s="15"/>
      <c r="F122" s="25" t="s">
        <v>98</v>
      </c>
      <c r="G122" s="64">
        <v>0.09</v>
      </c>
      <c r="H122" s="26"/>
      <c r="I122" s="108">
        <v>0</v>
      </c>
      <c r="J122" s="27">
        <v>100</v>
      </c>
      <c r="M122" s="28">
        <f>ROUND(ROUND(J122, 2)*I122, 2)</f>
        <v>0</v>
      </c>
      <c r="P122" s="27">
        <v>100</v>
      </c>
      <c r="S122" s="28">
        <f>ROUND(ROUND(P122, 2)*I122, 2)</f>
        <v>0</v>
      </c>
    </row>
    <row r="123" spans="1:21" ht="54" hidden="1" x14ac:dyDescent="0.3">
      <c r="A123" s="101" t="s">
        <v>618</v>
      </c>
      <c r="B123" s="10" t="s">
        <v>619</v>
      </c>
      <c r="C123" s="14" t="s">
        <v>620</v>
      </c>
      <c r="D123" s="15"/>
      <c r="E123" s="15" t="s">
        <v>621</v>
      </c>
      <c r="F123" s="15" t="s">
        <v>123</v>
      </c>
      <c r="G123" s="16">
        <v>1</v>
      </c>
      <c r="H123" s="16"/>
      <c r="I123" s="110">
        <v>0</v>
      </c>
      <c r="J123" s="17">
        <v>367.98</v>
      </c>
      <c r="K123" s="18">
        <v>374</v>
      </c>
      <c r="L123" s="17">
        <f>J123+ROUND(K123, 2)</f>
        <v>741.98</v>
      </c>
      <c r="M123" s="17">
        <v>0</v>
      </c>
      <c r="N123" s="17">
        <v>0</v>
      </c>
      <c r="O123" s="17">
        <f>M123+N123</f>
        <v>0</v>
      </c>
      <c r="P123" s="17">
        <v>367.98</v>
      </c>
      <c r="Q123" s="18">
        <v>374</v>
      </c>
      <c r="R123" s="17">
        <f>P123+ROUND(Q123, 2)</f>
        <v>741.98</v>
      </c>
      <c r="S123" s="17">
        <v>0</v>
      </c>
      <c r="T123" s="17">
        <v>0</v>
      </c>
      <c r="U123" s="17">
        <f>S123+T123</f>
        <v>0</v>
      </c>
    </row>
    <row r="124" spans="1:21" ht="144" hidden="1" x14ac:dyDescent="0.3">
      <c r="A124" s="101" t="s">
        <v>625</v>
      </c>
      <c r="B124" s="10"/>
      <c r="C124" s="24" t="s">
        <v>626</v>
      </c>
      <c r="D124" s="15"/>
      <c r="E124" s="15" t="s">
        <v>627</v>
      </c>
      <c r="F124" s="25" t="s">
        <v>98</v>
      </c>
      <c r="G124" s="26">
        <v>1.84</v>
      </c>
      <c r="H124" s="26"/>
      <c r="I124" s="108">
        <v>0</v>
      </c>
      <c r="J124" s="27">
        <v>196</v>
      </c>
      <c r="M124" s="28">
        <f>ROUND(ROUND(J124, 2)*I124, 2)</f>
        <v>0</v>
      </c>
      <c r="P124" s="27">
        <v>196</v>
      </c>
      <c r="S124" s="28">
        <f>ROUND(ROUND(P124, 2)*I124, 2)</f>
        <v>0</v>
      </c>
    </row>
    <row r="125" spans="1:21" ht="36" hidden="1" x14ac:dyDescent="0.3">
      <c r="A125" s="101" t="s">
        <v>633</v>
      </c>
      <c r="B125" s="10"/>
      <c r="C125" s="35" t="s">
        <v>634</v>
      </c>
      <c r="D125" s="15"/>
      <c r="E125" s="15"/>
      <c r="F125" s="25" t="s">
        <v>76</v>
      </c>
      <c r="G125" s="26">
        <v>0.7</v>
      </c>
      <c r="H125" s="36"/>
      <c r="I125" s="109">
        <v>0</v>
      </c>
      <c r="J125" s="27">
        <v>6.28</v>
      </c>
      <c r="M125" s="28">
        <f>ROUND(ROUND(J125, 2)*I125, 2)</f>
        <v>0</v>
      </c>
      <c r="P125" s="27">
        <v>6.28</v>
      </c>
      <c r="S125" s="28">
        <f>ROUND(ROUND(P125, 2)*I125, 2)</f>
        <v>0</v>
      </c>
    </row>
    <row r="126" spans="1:21" ht="18" hidden="1" x14ac:dyDescent="0.3">
      <c r="A126" s="101" t="s">
        <v>640</v>
      </c>
      <c r="B126" s="10"/>
      <c r="C126" s="24" t="s">
        <v>502</v>
      </c>
      <c r="D126" s="15"/>
      <c r="E126" s="15"/>
      <c r="F126" s="25" t="s">
        <v>76</v>
      </c>
      <c r="G126" s="26">
        <v>0.04</v>
      </c>
      <c r="H126" s="26"/>
      <c r="I126" s="108">
        <v>0</v>
      </c>
      <c r="J126" s="27">
        <v>40.270000000000003</v>
      </c>
      <c r="M126" s="28">
        <f>ROUND(ROUND(J126, 2)*I126, 2)</f>
        <v>0</v>
      </c>
      <c r="P126" s="27">
        <v>40.270000000000003</v>
      </c>
      <c r="S126" s="28">
        <f>ROUND(ROUND(P126, 2)*I126, 2)</f>
        <v>0</v>
      </c>
    </row>
    <row r="127" spans="1:21" ht="36" hidden="1" x14ac:dyDescent="0.3">
      <c r="A127" s="101" t="s">
        <v>645</v>
      </c>
      <c r="B127" s="10"/>
      <c r="C127" s="24" t="s">
        <v>509</v>
      </c>
      <c r="D127" s="15"/>
      <c r="E127" s="15"/>
      <c r="F127" s="25" t="s">
        <v>76</v>
      </c>
      <c r="G127" s="26">
        <v>1.4999999999999999E-2</v>
      </c>
      <c r="H127" s="26"/>
      <c r="I127" s="108">
        <v>0</v>
      </c>
      <c r="J127" s="27">
        <v>88.8</v>
      </c>
      <c r="M127" s="28">
        <f>ROUND(ROUND(J127, 2)*I127, 2)</f>
        <v>0</v>
      </c>
      <c r="P127" s="27">
        <v>88.8</v>
      </c>
      <c r="S127" s="28">
        <f>ROUND(ROUND(P127, 2)*I127, 2)</f>
        <v>0</v>
      </c>
    </row>
    <row r="128" spans="1:21" ht="54" hidden="1" x14ac:dyDescent="0.3">
      <c r="A128" s="101" t="s">
        <v>650</v>
      </c>
      <c r="B128" s="10" t="s">
        <v>619</v>
      </c>
      <c r="C128" s="14" t="s">
        <v>620</v>
      </c>
      <c r="D128" s="15"/>
      <c r="E128" s="15" t="s">
        <v>364</v>
      </c>
      <c r="F128" s="15" t="s">
        <v>123</v>
      </c>
      <c r="G128" s="16">
        <v>1</v>
      </c>
      <c r="H128" s="16"/>
      <c r="I128" s="110">
        <v>0</v>
      </c>
      <c r="J128" s="17">
        <v>118.73</v>
      </c>
      <c r="K128" s="18">
        <v>374</v>
      </c>
      <c r="L128" s="17">
        <f>J128+ROUND(K128, 2)</f>
        <v>492.73</v>
      </c>
      <c r="M128" s="17">
        <v>0</v>
      </c>
      <c r="N128" s="17">
        <v>0</v>
      </c>
      <c r="O128" s="17">
        <f>M128+N128</f>
        <v>0</v>
      </c>
      <c r="P128" s="17">
        <v>118.73</v>
      </c>
      <c r="Q128" s="18">
        <v>374</v>
      </c>
      <c r="R128" s="17">
        <f>P128+ROUND(Q128, 2)</f>
        <v>492.73</v>
      </c>
      <c r="S128" s="17">
        <v>0</v>
      </c>
      <c r="T128" s="17">
        <v>0</v>
      </c>
      <c r="U128" s="17">
        <f>S128+T128</f>
        <v>0</v>
      </c>
    </row>
    <row r="129" spans="1:21" ht="36" hidden="1" x14ac:dyDescent="0.3">
      <c r="A129" s="101" t="s">
        <v>652</v>
      </c>
      <c r="B129" s="10"/>
      <c r="C129" s="24" t="s">
        <v>509</v>
      </c>
      <c r="D129" s="15"/>
      <c r="E129" s="15"/>
      <c r="F129" s="25" t="s">
        <v>76</v>
      </c>
      <c r="G129" s="26">
        <v>1.4999999999999999E-2</v>
      </c>
      <c r="H129" s="26"/>
      <c r="I129" s="108">
        <v>0</v>
      </c>
      <c r="J129" s="27">
        <v>88.8</v>
      </c>
      <c r="M129" s="28">
        <f>ROUND(ROUND(J129, 2)*I129, 2)</f>
        <v>0</v>
      </c>
      <c r="P129" s="27">
        <v>88.8</v>
      </c>
      <c r="S129" s="28">
        <f>ROUND(ROUND(P129, 2)*I129, 2)</f>
        <v>0</v>
      </c>
    </row>
    <row r="130" spans="1:21" ht="18" hidden="1" x14ac:dyDescent="0.3">
      <c r="A130" s="101" t="s">
        <v>657</v>
      </c>
      <c r="B130" s="10"/>
      <c r="C130" s="24" t="s">
        <v>502</v>
      </c>
      <c r="D130" s="15"/>
      <c r="E130" s="15"/>
      <c r="F130" s="25" t="s">
        <v>76</v>
      </c>
      <c r="G130" s="26">
        <v>0.04</v>
      </c>
      <c r="H130" s="26"/>
      <c r="I130" s="108">
        <v>0</v>
      </c>
      <c r="J130" s="27">
        <v>40.270000000000003</v>
      </c>
      <c r="M130" s="28">
        <f>ROUND(ROUND(J130, 2)*I130, 2)</f>
        <v>0</v>
      </c>
      <c r="P130" s="27">
        <v>40.270000000000003</v>
      </c>
      <c r="S130" s="28">
        <f>ROUND(ROUND(P130, 2)*I130, 2)</f>
        <v>0</v>
      </c>
    </row>
    <row r="131" spans="1:21" ht="144" hidden="1" x14ac:dyDescent="0.3">
      <c r="A131" s="101" t="s">
        <v>662</v>
      </c>
      <c r="B131" s="10"/>
      <c r="C131" s="35" t="s">
        <v>663</v>
      </c>
      <c r="D131" s="15"/>
      <c r="E131" s="15" t="s">
        <v>627</v>
      </c>
      <c r="F131" s="25" t="s">
        <v>57</v>
      </c>
      <c r="G131" s="26">
        <v>0.11</v>
      </c>
      <c r="H131" s="26"/>
      <c r="I131" s="108">
        <v>0</v>
      </c>
      <c r="J131" s="27">
        <v>1012.6</v>
      </c>
      <c r="M131" s="28">
        <f>ROUND(ROUND(J131, 2)*I131, 2)</f>
        <v>0</v>
      </c>
      <c r="P131" s="27">
        <v>1012.6</v>
      </c>
      <c r="S131" s="28">
        <f>ROUND(ROUND(P131, 2)*I131, 2)</f>
        <v>0</v>
      </c>
    </row>
    <row r="132" spans="1:21" ht="36" hidden="1" x14ac:dyDescent="0.3">
      <c r="A132" s="101" t="s">
        <v>669</v>
      </c>
      <c r="B132" s="10"/>
      <c r="C132" s="35" t="s">
        <v>670</v>
      </c>
      <c r="D132" s="15"/>
      <c r="E132" s="15"/>
      <c r="F132" s="25" t="s">
        <v>76</v>
      </c>
      <c r="G132" s="26">
        <v>0.7</v>
      </c>
      <c r="H132" s="36"/>
      <c r="I132" s="109">
        <v>0</v>
      </c>
      <c r="J132" s="27">
        <v>6.28</v>
      </c>
      <c r="M132" s="28">
        <f>ROUND(ROUND(J132, 2)*I132, 2)</f>
        <v>0</v>
      </c>
      <c r="P132" s="27">
        <v>6.28</v>
      </c>
      <c r="S132" s="28">
        <f>ROUND(ROUND(P132, 2)*I132, 2)</f>
        <v>0</v>
      </c>
    </row>
    <row r="133" spans="1:21" ht="59.55" customHeight="1" x14ac:dyDescent="0.3">
      <c r="A133" s="102" t="s">
        <v>676</v>
      </c>
      <c r="B133" s="74" t="s">
        <v>677</v>
      </c>
      <c r="C133" s="75" t="s">
        <v>678</v>
      </c>
      <c r="D133" s="76"/>
      <c r="E133" s="76" t="s">
        <v>679</v>
      </c>
      <c r="F133" s="76" t="s">
        <v>57</v>
      </c>
      <c r="G133" s="77">
        <v>1</v>
      </c>
      <c r="H133" s="77"/>
      <c r="I133" s="107">
        <v>63.4</v>
      </c>
      <c r="J133" s="78">
        <f>IFERROR(ROUND(SUM(M134,M135,M136)/I133, 2),0)</f>
        <v>10.43</v>
      </c>
      <c r="K133" s="73">
        <v>661</v>
      </c>
      <c r="L133" s="78">
        <f>J133+ROUND(K133, 2)</f>
        <v>671.43</v>
      </c>
      <c r="M133" s="78">
        <f>ROUND(J133*I133, 2)</f>
        <v>661.26</v>
      </c>
      <c r="N133" s="78">
        <f>ROUND(I133*ROUND(K133, 2), 2)</f>
        <v>41907.4</v>
      </c>
      <c r="O133" s="78">
        <f>M133+N133</f>
        <v>42568.66</v>
      </c>
      <c r="P133" s="78">
        <f>IFERROR(ROUND(SUM(S134,S135,S136)/I133, 2),0)</f>
        <v>1827.75</v>
      </c>
      <c r="Q133" s="79">
        <v>661</v>
      </c>
      <c r="R133" s="78">
        <f>P133+ROUND(Q133, 2)</f>
        <v>2488.75</v>
      </c>
      <c r="S133" s="78">
        <f>ROUND(P133*I133, 2)</f>
        <v>115879.35</v>
      </c>
      <c r="T133" s="78">
        <f>ROUND(I133*ROUND(Q133, 2), 2)</f>
        <v>41907.4</v>
      </c>
      <c r="U133" s="78">
        <f>S133+T133</f>
        <v>157786.75</v>
      </c>
    </row>
    <row r="134" spans="1:21" ht="36" x14ac:dyDescent="0.3">
      <c r="A134" s="101" t="s">
        <v>682</v>
      </c>
      <c r="B134" s="10"/>
      <c r="C134" s="24" t="s">
        <v>683</v>
      </c>
      <c r="D134" s="15"/>
      <c r="E134" s="15"/>
      <c r="F134" s="25" t="s">
        <v>76</v>
      </c>
      <c r="G134" s="26">
        <v>0.15</v>
      </c>
      <c r="H134" s="26"/>
      <c r="I134" s="108">
        <v>9.51</v>
      </c>
      <c r="J134" s="27">
        <v>69.540000000000006</v>
      </c>
      <c r="M134" s="28">
        <f>ROUND(ROUND(J134, 2)*I134, 2)</f>
        <v>661.33</v>
      </c>
      <c r="P134" s="29">
        <v>69.540000000000006</v>
      </c>
      <c r="S134" s="28">
        <f>ROUND(ROUND(P134, 2)*I134, 2)</f>
        <v>661.33</v>
      </c>
    </row>
    <row r="135" spans="1:21" ht="90" x14ac:dyDescent="0.3">
      <c r="A135" s="101" t="s">
        <v>687</v>
      </c>
      <c r="B135" s="10"/>
      <c r="C135" s="24" t="s">
        <v>688</v>
      </c>
      <c r="D135" s="15"/>
      <c r="E135" s="15" t="s">
        <v>577</v>
      </c>
      <c r="F135" s="25" t="s">
        <v>98</v>
      </c>
      <c r="G135" s="26">
        <v>1</v>
      </c>
      <c r="H135" s="36"/>
      <c r="I135" s="109">
        <v>7.35</v>
      </c>
      <c r="J135" s="27">
        <v>0</v>
      </c>
      <c r="M135" s="28">
        <f>ROUND(ROUND(J135, 2)*I135, 2)</f>
        <v>0</v>
      </c>
      <c r="P135" s="29">
        <v>2348.9499999999998</v>
      </c>
      <c r="S135" s="28">
        <f>ROUND(ROUND(P135, 2)*I135, 2)</f>
        <v>17264.78</v>
      </c>
    </row>
    <row r="136" spans="1:21" ht="36" x14ac:dyDescent="0.3">
      <c r="A136" s="101" t="s">
        <v>692</v>
      </c>
      <c r="B136" s="10"/>
      <c r="C136" s="24" t="s">
        <v>693</v>
      </c>
      <c r="D136" s="15"/>
      <c r="E136" s="15" t="s">
        <v>694</v>
      </c>
      <c r="F136" s="25" t="s">
        <v>57</v>
      </c>
      <c r="G136" s="26">
        <v>1.03</v>
      </c>
      <c r="H136" s="36"/>
      <c r="I136" s="109">
        <v>65.302000000000007</v>
      </c>
      <c r="J136" s="27">
        <v>0</v>
      </c>
      <c r="M136" s="28">
        <f>ROUND(ROUND(J136, 2)*I136, 2)</f>
        <v>0</v>
      </c>
      <c r="P136" s="29">
        <v>1500</v>
      </c>
      <c r="S136" s="28">
        <f>ROUND(ROUND(P136, 2)*I136, 2)</f>
        <v>97953</v>
      </c>
    </row>
    <row r="137" spans="1:21" ht="73.5" customHeight="1" x14ac:dyDescent="0.3">
      <c r="A137" s="102" t="s">
        <v>698</v>
      </c>
      <c r="B137" s="74" t="s">
        <v>699</v>
      </c>
      <c r="C137" s="75" t="s">
        <v>700</v>
      </c>
      <c r="D137" s="76"/>
      <c r="E137" s="76" t="s">
        <v>701</v>
      </c>
      <c r="F137" s="76" t="s">
        <v>123</v>
      </c>
      <c r="G137" s="77">
        <v>1</v>
      </c>
      <c r="H137" s="77"/>
      <c r="I137" s="107">
        <v>248.9</v>
      </c>
      <c r="J137" s="78">
        <f>IFERROR(ROUND(SUM(M138)/I137, 2),0)</f>
        <v>385.54</v>
      </c>
      <c r="K137" s="73">
        <v>210</v>
      </c>
      <c r="L137" s="78">
        <f>J137+ROUND(K137, 2)</f>
        <v>595.54</v>
      </c>
      <c r="M137" s="78">
        <f>ROUND(J137*I137, 2)</f>
        <v>95960.91</v>
      </c>
      <c r="N137" s="78">
        <f>ROUND(I137*ROUND(K137, 2), 2)</f>
        <v>52269</v>
      </c>
      <c r="O137" s="78">
        <f>M137+N137</f>
        <v>148229.91</v>
      </c>
      <c r="P137" s="78">
        <f>IFERROR(ROUND(SUM(S138)/I137, 2),0)</f>
        <v>385.54</v>
      </c>
      <c r="Q137" s="79">
        <v>210</v>
      </c>
      <c r="R137" s="78">
        <f>P137+ROUND(Q137, 2)</f>
        <v>595.54</v>
      </c>
      <c r="S137" s="78">
        <f>ROUND(P137*I137, 2)</f>
        <v>95960.91</v>
      </c>
      <c r="T137" s="78">
        <f>ROUND(I137*ROUND(Q137, 2), 2)</f>
        <v>52269</v>
      </c>
      <c r="U137" s="78">
        <f>S137+T137</f>
        <v>148229.91</v>
      </c>
    </row>
    <row r="138" spans="1:21" ht="72" x14ac:dyDescent="0.3">
      <c r="A138" s="101" t="s">
        <v>704</v>
      </c>
      <c r="B138" s="10"/>
      <c r="C138" s="24" t="s">
        <v>705</v>
      </c>
      <c r="D138" s="15"/>
      <c r="E138" s="15"/>
      <c r="F138" s="25" t="s">
        <v>123</v>
      </c>
      <c r="G138" s="26">
        <v>1.1000000000000001</v>
      </c>
      <c r="H138" s="36"/>
      <c r="I138" s="109">
        <v>273.79000000000002</v>
      </c>
      <c r="J138" s="27">
        <v>350.49</v>
      </c>
      <c r="M138" s="28">
        <f>ROUND(ROUND(J138, 2)*I138, 2)</f>
        <v>95960.66</v>
      </c>
      <c r="P138" s="29">
        <v>350.49</v>
      </c>
      <c r="S138" s="28">
        <f>ROUND(ROUND(P138, 2)*I138, 2)</f>
        <v>95960.66</v>
      </c>
    </row>
    <row r="139" spans="1:21" ht="16.95" customHeight="1" x14ac:dyDescent="0.3">
      <c r="A139" s="101" t="s">
        <v>709</v>
      </c>
      <c r="B139" s="10" t="s">
        <v>710</v>
      </c>
      <c r="C139" s="80" t="s">
        <v>711</v>
      </c>
      <c r="D139" s="81"/>
      <c r="E139" s="81"/>
      <c r="F139" s="81"/>
      <c r="G139" s="81"/>
      <c r="H139" s="81"/>
      <c r="I139" s="81"/>
      <c r="M139" s="6">
        <f>SUM(M140,M301,M317)</f>
        <v>1194827.7900000003</v>
      </c>
      <c r="N139" s="6">
        <f>SUM(N140,N301,N317)</f>
        <v>7580248.3699999982</v>
      </c>
      <c r="O139" s="6">
        <f>SUM(O140,O301,O317)</f>
        <v>8775076.1600000001</v>
      </c>
      <c r="S139" s="6">
        <f>SUM(S140,S301,S317)</f>
        <v>1288431.28</v>
      </c>
      <c r="T139" s="6">
        <f>SUM(T140,T301,T317)</f>
        <v>7580248.3699999982</v>
      </c>
      <c r="U139" s="6">
        <f>SUM(U140,U301,U317)</f>
        <v>8868679.6500000022</v>
      </c>
    </row>
    <row r="140" spans="1:21" ht="16.95" customHeight="1" x14ac:dyDescent="0.3">
      <c r="A140" s="101" t="s">
        <v>712</v>
      </c>
      <c r="B140" s="10" t="s">
        <v>713</v>
      </c>
      <c r="C140" s="80" t="s">
        <v>714</v>
      </c>
      <c r="D140" s="81"/>
      <c r="E140" s="81"/>
      <c r="F140" s="81"/>
      <c r="G140" s="81"/>
      <c r="H140" s="81"/>
      <c r="I140" s="81"/>
      <c r="M140" s="6">
        <f>SUM(M141,M144,M149,M154,M158,M162,M167,M172,M176,M180,M184,M188,M193,M198,M202,M207,M212,M217,M221,M224,M227,M231,M234,M237,M241,M244,M247,M251,M254,M257,M261,M264,M267,M271,M274,M277,M281,M284,M287,M291,M296)</f>
        <v>844350.96000000031</v>
      </c>
      <c r="N140" s="6">
        <f>SUM(N141,N144,N149,N154,N158,N162,N167,N172,N176,N180,N184,N188,N193,N198,N202,N207,N212,N217,N221,N224,N227,N231,N234,N237,N241,N244,N247,N251,N254,N257,N261,N264,N267,N271,N274,N277,N281,N284,N287,N291,N296)</f>
        <v>5634883.0499999989</v>
      </c>
      <c r="O140" s="6">
        <f>SUM(O141,O144,O149,O154,O158,O162,O167,O172,O176,O180,O184,O188,O193,O198,O202,O207,O212,O217,O221,O224,O227,O231,O234,O237,O241,O244,O247,O251,O254,O257,O261,O264,O267,O271,O274,O277,O281,O284,O287,O291,O296)</f>
        <v>6479234.0100000007</v>
      </c>
      <c r="S140" s="6">
        <f>SUM(S141,S144,S149,S154,S158,S162,S167,S172,S176,S180,S184,S188,S193,S198,S202,S207,S212,S217,S221,S224,S227,S231,S234,S237,S241,S244,S247,S251,S254,S257,S261,S264,S267,S271,S274,S277,S281,S284,S287,S291,S296)</f>
        <v>896767.92999999993</v>
      </c>
      <c r="T140" s="6">
        <f>SUM(T141,T144,T149,T154,T158,T162,T167,T172,T176,T180,T184,T188,T193,T198,T202,T207,T212,T217,T221,T224,T227,T231,T234,T237,T241,T244,T247,T251,T254,T257,T261,T264,T267,T271,T274,T277,T281,T284,T287,T291,T296)</f>
        <v>5634883.0499999989</v>
      </c>
      <c r="U140" s="6">
        <f>SUM(U141,U144,U149,U154,U158,U162,U167,U172,U176,U180,U184,U188,U193,U198,U202,U207,U212,U217,U221,U224,U227,U231,U234,U237,U241,U244,U247,U251,U254,U257,U261,U264,U267,U271,U274,U277,U281,U284,U287,U291,U296)</f>
        <v>6531650.9800000014</v>
      </c>
    </row>
    <row r="141" spans="1:21" ht="54" x14ac:dyDescent="0.3">
      <c r="A141" s="104" t="s">
        <v>715</v>
      </c>
      <c r="B141" s="97" t="s">
        <v>716</v>
      </c>
      <c r="C141" s="98" t="s">
        <v>717</v>
      </c>
      <c r="D141" s="92" t="s">
        <v>1830</v>
      </c>
      <c r="E141" s="92" t="s">
        <v>718</v>
      </c>
      <c r="F141" s="92" t="s">
        <v>123</v>
      </c>
      <c r="G141" s="93">
        <v>1</v>
      </c>
      <c r="H141" s="93"/>
      <c r="I141" s="112">
        <v>434.7</v>
      </c>
      <c r="J141" s="94">
        <f>IFERROR(ROUND(SUM(M142,M143)/I141, 2),0)</f>
        <v>9.9</v>
      </c>
      <c r="K141" s="95">
        <v>28</v>
      </c>
      <c r="L141" s="94">
        <f>J141+ROUND(K141, 2)</f>
        <v>37.9</v>
      </c>
      <c r="M141" s="94">
        <f>ROUND(J141*I141, 2)</f>
        <v>4303.53</v>
      </c>
      <c r="N141" s="94">
        <f>ROUND(I141*ROUND(K141, 2), 2)</f>
        <v>12171.6</v>
      </c>
      <c r="O141" s="94">
        <f>M141+N141</f>
        <v>16475.13</v>
      </c>
      <c r="P141" s="94">
        <f>IFERROR(ROUND(SUM(S142,S143)/I141, 2),0)</f>
        <v>9.9</v>
      </c>
      <c r="Q141" s="96">
        <v>28</v>
      </c>
      <c r="R141" s="94">
        <f>P141+ROUND(Q141, 2)</f>
        <v>37.9</v>
      </c>
      <c r="S141" s="94">
        <f>ROUND(P141*I141, 2)</f>
        <v>4303.53</v>
      </c>
      <c r="T141" s="94">
        <f>ROUND(I141*ROUND(Q141, 2), 2)</f>
        <v>12171.6</v>
      </c>
      <c r="U141" s="94">
        <f>S141+T141</f>
        <v>16475.13</v>
      </c>
    </row>
    <row r="142" spans="1:21" ht="36" x14ac:dyDescent="0.3">
      <c r="A142" s="101" t="s">
        <v>721</v>
      </c>
      <c r="B142" s="10"/>
      <c r="C142" s="24" t="s">
        <v>722</v>
      </c>
      <c r="D142" s="15"/>
      <c r="E142" s="15"/>
      <c r="F142" s="25" t="s">
        <v>76</v>
      </c>
      <c r="G142" s="26">
        <v>0.3</v>
      </c>
      <c r="H142" s="36"/>
      <c r="I142" s="109">
        <v>130.41</v>
      </c>
      <c r="J142" s="27">
        <v>6.92</v>
      </c>
      <c r="M142" s="28">
        <f>ROUND(ROUND(J142, 2)*I142, 2)</f>
        <v>902.44</v>
      </c>
      <c r="P142" s="29">
        <v>6.92</v>
      </c>
      <c r="S142" s="28">
        <f>ROUND(ROUND(P142, 2)*I142, 2)</f>
        <v>902.44</v>
      </c>
    </row>
    <row r="143" spans="1:21" ht="18" x14ac:dyDescent="0.3">
      <c r="A143" s="101" t="s">
        <v>726</v>
      </c>
      <c r="B143" s="10"/>
      <c r="C143" s="24" t="s">
        <v>727</v>
      </c>
      <c r="D143" s="15"/>
      <c r="E143" s="15"/>
      <c r="F143" s="25" t="s">
        <v>123</v>
      </c>
      <c r="G143" s="26">
        <v>1.1000000000000001</v>
      </c>
      <c r="H143" s="36"/>
      <c r="I143" s="109">
        <v>478.17</v>
      </c>
      <c r="J143" s="27">
        <v>7.11</v>
      </c>
      <c r="M143" s="28">
        <f>ROUND(ROUND(J143, 2)*I143, 2)</f>
        <v>3399.79</v>
      </c>
      <c r="P143" s="29">
        <v>7.11</v>
      </c>
      <c r="S143" s="28">
        <f>ROUND(ROUND(P143, 2)*I143, 2)</f>
        <v>3399.79</v>
      </c>
    </row>
    <row r="144" spans="1:21" ht="54" hidden="1" x14ac:dyDescent="0.3">
      <c r="A144" s="101" t="s">
        <v>731</v>
      </c>
      <c r="B144" s="10" t="s">
        <v>732</v>
      </c>
      <c r="C144" s="14" t="s">
        <v>733</v>
      </c>
      <c r="D144" s="15"/>
      <c r="E144" s="15" t="s">
        <v>734</v>
      </c>
      <c r="F144" s="15" t="s">
        <v>57</v>
      </c>
      <c r="G144" s="16">
        <v>1</v>
      </c>
      <c r="H144" s="16"/>
      <c r="I144" s="110">
        <v>0</v>
      </c>
      <c r="J144" s="17">
        <v>286.08</v>
      </c>
      <c r="K144" s="18">
        <v>826</v>
      </c>
      <c r="L144" s="17">
        <f>J144+ROUND(K144, 2)</f>
        <v>1112.08</v>
      </c>
      <c r="M144" s="17">
        <v>0</v>
      </c>
      <c r="N144" s="17">
        <v>0</v>
      </c>
      <c r="O144" s="17">
        <f>M144+N144</f>
        <v>0</v>
      </c>
      <c r="P144" s="17">
        <v>286.08</v>
      </c>
      <c r="Q144" s="18">
        <v>826</v>
      </c>
      <c r="R144" s="17">
        <f>P144+ROUND(Q144, 2)</f>
        <v>1112.08</v>
      </c>
      <c r="S144" s="17">
        <v>0</v>
      </c>
      <c r="T144" s="17">
        <v>0</v>
      </c>
      <c r="U144" s="17">
        <f>S144+T144</f>
        <v>0</v>
      </c>
    </row>
    <row r="145" spans="1:21" ht="18" hidden="1" x14ac:dyDescent="0.3">
      <c r="A145" s="101" t="s">
        <v>738</v>
      </c>
      <c r="B145" s="10"/>
      <c r="C145" s="24" t="s">
        <v>739</v>
      </c>
      <c r="D145" s="15"/>
      <c r="E145" s="15"/>
      <c r="F145" s="25" t="s">
        <v>57</v>
      </c>
      <c r="G145" s="26">
        <v>1.1000000000000001</v>
      </c>
      <c r="H145" s="26"/>
      <c r="I145" s="108">
        <v>0</v>
      </c>
      <c r="J145" s="27">
        <v>27.55</v>
      </c>
      <c r="M145" s="28">
        <f>ROUND(ROUND(J145, 2)*I145, 2)</f>
        <v>0</v>
      </c>
      <c r="P145" s="27">
        <v>27.55</v>
      </c>
      <c r="S145" s="28">
        <f>ROUND(ROUND(P145, 2)*I145, 2)</f>
        <v>0</v>
      </c>
    </row>
    <row r="146" spans="1:21" ht="18" hidden="1" x14ac:dyDescent="0.3">
      <c r="A146" s="101" t="s">
        <v>745</v>
      </c>
      <c r="B146" s="10"/>
      <c r="C146" s="24" t="s">
        <v>310</v>
      </c>
      <c r="D146" s="15"/>
      <c r="E146" s="15"/>
      <c r="F146" s="25" t="s">
        <v>76</v>
      </c>
      <c r="G146" s="26">
        <v>0.25</v>
      </c>
      <c r="H146" s="26"/>
      <c r="I146" s="108">
        <v>0</v>
      </c>
      <c r="J146" s="27">
        <v>100</v>
      </c>
      <c r="M146" s="28">
        <f>ROUND(ROUND(J146, 2)*I146, 2)</f>
        <v>0</v>
      </c>
      <c r="P146" s="27">
        <v>100</v>
      </c>
      <c r="S146" s="28">
        <f>ROUND(ROUND(P146, 2)*I146, 2)</f>
        <v>0</v>
      </c>
    </row>
    <row r="147" spans="1:21" ht="18" hidden="1" x14ac:dyDescent="0.3">
      <c r="A147" s="101" t="s">
        <v>750</v>
      </c>
      <c r="B147" s="10"/>
      <c r="C147" s="24" t="s">
        <v>751</v>
      </c>
      <c r="D147" s="15"/>
      <c r="E147" s="15" t="s">
        <v>752</v>
      </c>
      <c r="F147" s="25" t="s">
        <v>76</v>
      </c>
      <c r="G147" s="26">
        <v>1.8</v>
      </c>
      <c r="H147" s="36"/>
      <c r="I147" s="109">
        <v>0</v>
      </c>
      <c r="J147" s="27">
        <v>5.85</v>
      </c>
      <c r="M147" s="28">
        <f>ROUND(ROUND(J147, 2)*I147, 2)</f>
        <v>0</v>
      </c>
      <c r="P147" s="27">
        <v>5.85</v>
      </c>
      <c r="S147" s="28">
        <f>ROUND(ROUND(P147, 2)*I147, 2)</f>
        <v>0</v>
      </c>
    </row>
    <row r="148" spans="1:21" ht="18" hidden="1" x14ac:dyDescent="0.3">
      <c r="A148" s="101" t="s">
        <v>758</v>
      </c>
      <c r="B148" s="10"/>
      <c r="C148" s="24" t="s">
        <v>759</v>
      </c>
      <c r="D148" s="15"/>
      <c r="E148" s="15"/>
      <c r="F148" s="25" t="s">
        <v>123</v>
      </c>
      <c r="G148" s="26">
        <v>1.1000000000000001</v>
      </c>
      <c r="H148" s="36"/>
      <c r="I148" s="109">
        <v>0</v>
      </c>
      <c r="J148" s="27">
        <v>18.34</v>
      </c>
      <c r="M148" s="28">
        <f>ROUND(ROUND(J148, 2)*I148, 2)</f>
        <v>0</v>
      </c>
      <c r="P148" s="27">
        <v>18.34</v>
      </c>
      <c r="S148" s="28">
        <f>ROUND(ROUND(P148, 2)*I148, 2)</f>
        <v>0</v>
      </c>
    </row>
    <row r="149" spans="1:21" ht="54" hidden="1" x14ac:dyDescent="0.3">
      <c r="A149" s="101" t="s">
        <v>765</v>
      </c>
      <c r="B149" s="10" t="s">
        <v>732</v>
      </c>
      <c r="C149" s="14" t="s">
        <v>733</v>
      </c>
      <c r="D149" s="15"/>
      <c r="E149" s="15" t="s">
        <v>766</v>
      </c>
      <c r="F149" s="15" t="s">
        <v>57</v>
      </c>
      <c r="G149" s="16">
        <v>1</v>
      </c>
      <c r="H149" s="16"/>
      <c r="I149" s="110">
        <v>0</v>
      </c>
      <c r="J149" s="17">
        <v>273.08</v>
      </c>
      <c r="K149" s="18">
        <v>826</v>
      </c>
      <c r="L149" s="17">
        <f>J149+ROUND(K149, 2)</f>
        <v>1099.08</v>
      </c>
      <c r="M149" s="17">
        <v>0</v>
      </c>
      <c r="N149" s="17">
        <v>0</v>
      </c>
      <c r="O149" s="17">
        <f>M149+N149</f>
        <v>0</v>
      </c>
      <c r="P149" s="17">
        <v>273.08</v>
      </c>
      <c r="Q149" s="18">
        <v>826</v>
      </c>
      <c r="R149" s="17">
        <f>P149+ROUND(Q149, 2)</f>
        <v>1099.08</v>
      </c>
      <c r="S149" s="17">
        <v>0</v>
      </c>
      <c r="T149" s="17">
        <v>0</v>
      </c>
      <c r="U149" s="17">
        <f>S149+T149</f>
        <v>0</v>
      </c>
    </row>
    <row r="150" spans="1:21" ht="36" hidden="1" x14ac:dyDescent="0.3">
      <c r="A150" s="101" t="s">
        <v>768</v>
      </c>
      <c r="B150" s="10"/>
      <c r="C150" s="24" t="s">
        <v>769</v>
      </c>
      <c r="D150" s="15"/>
      <c r="E150" s="15"/>
      <c r="F150" s="25" t="s">
        <v>76</v>
      </c>
      <c r="G150" s="26">
        <v>0.15</v>
      </c>
      <c r="H150" s="26"/>
      <c r="I150" s="108">
        <v>0</v>
      </c>
      <c r="J150" s="27">
        <v>80</v>
      </c>
      <c r="M150" s="28">
        <f>ROUND(ROUND(J150, 2)*I150, 2)</f>
        <v>0</v>
      </c>
      <c r="P150" s="27">
        <v>80</v>
      </c>
      <c r="S150" s="28">
        <f>ROUND(ROUND(P150, 2)*I150, 2)</f>
        <v>0</v>
      </c>
    </row>
    <row r="151" spans="1:21" ht="18" hidden="1" x14ac:dyDescent="0.3">
      <c r="A151" s="101" t="s">
        <v>775</v>
      </c>
      <c r="B151" s="10"/>
      <c r="C151" s="24" t="s">
        <v>759</v>
      </c>
      <c r="D151" s="15"/>
      <c r="E151" s="15"/>
      <c r="F151" s="25" t="s">
        <v>123</v>
      </c>
      <c r="G151" s="26">
        <v>1.1000000000000001</v>
      </c>
      <c r="H151" s="36"/>
      <c r="I151" s="109">
        <v>0</v>
      </c>
      <c r="J151" s="27">
        <v>18.34</v>
      </c>
      <c r="M151" s="28">
        <f>ROUND(ROUND(J151, 2)*I151, 2)</f>
        <v>0</v>
      </c>
      <c r="P151" s="27">
        <v>18.34</v>
      </c>
      <c r="S151" s="28">
        <f>ROUND(ROUND(P151, 2)*I151, 2)</f>
        <v>0</v>
      </c>
    </row>
    <row r="152" spans="1:21" ht="18" hidden="1" x14ac:dyDescent="0.3">
      <c r="A152" s="101" t="s">
        <v>780</v>
      </c>
      <c r="B152" s="10"/>
      <c r="C152" s="24" t="s">
        <v>751</v>
      </c>
      <c r="D152" s="15"/>
      <c r="E152" s="15" t="s">
        <v>752</v>
      </c>
      <c r="F152" s="25" t="s">
        <v>76</v>
      </c>
      <c r="G152" s="26">
        <v>1.8</v>
      </c>
      <c r="H152" s="36"/>
      <c r="I152" s="109">
        <v>0</v>
      </c>
      <c r="J152" s="27">
        <v>5.85</v>
      </c>
      <c r="M152" s="28">
        <f>ROUND(ROUND(J152, 2)*I152, 2)</f>
        <v>0</v>
      </c>
      <c r="P152" s="27">
        <v>5.85</v>
      </c>
      <c r="S152" s="28">
        <f>ROUND(ROUND(P152, 2)*I152, 2)</f>
        <v>0</v>
      </c>
    </row>
    <row r="153" spans="1:21" ht="18" hidden="1" x14ac:dyDescent="0.3">
      <c r="A153" s="101" t="s">
        <v>785</v>
      </c>
      <c r="B153" s="10"/>
      <c r="C153" s="24" t="s">
        <v>739</v>
      </c>
      <c r="D153" s="15"/>
      <c r="E153" s="15"/>
      <c r="F153" s="25" t="s">
        <v>57</v>
      </c>
      <c r="G153" s="26">
        <v>1.1000000000000001</v>
      </c>
      <c r="H153" s="26"/>
      <c r="I153" s="108">
        <v>0</v>
      </c>
      <c r="J153" s="27">
        <v>27.55</v>
      </c>
      <c r="M153" s="28">
        <f>ROUND(ROUND(J153, 2)*I153, 2)</f>
        <v>0</v>
      </c>
      <c r="P153" s="27">
        <v>27.55</v>
      </c>
      <c r="S153" s="28">
        <f>ROUND(ROUND(P153, 2)*I153, 2)</f>
        <v>0</v>
      </c>
    </row>
    <row r="154" spans="1:21" ht="54" hidden="1" x14ac:dyDescent="0.3">
      <c r="A154" s="101" t="s">
        <v>790</v>
      </c>
      <c r="B154" s="10" t="s">
        <v>732</v>
      </c>
      <c r="C154" s="14" t="s">
        <v>733</v>
      </c>
      <c r="D154" s="15"/>
      <c r="E154" s="15" t="s">
        <v>791</v>
      </c>
      <c r="F154" s="15" t="s">
        <v>57</v>
      </c>
      <c r="G154" s="16">
        <v>1</v>
      </c>
      <c r="H154" s="16"/>
      <c r="I154" s="110">
        <v>0</v>
      </c>
      <c r="J154" s="17">
        <v>196.97</v>
      </c>
      <c r="K154" s="18">
        <v>826</v>
      </c>
      <c r="L154" s="17">
        <f>J154+ROUND(K154, 2)</f>
        <v>1022.97</v>
      </c>
      <c r="M154" s="17">
        <v>0</v>
      </c>
      <c r="N154" s="17">
        <v>0</v>
      </c>
      <c r="O154" s="17">
        <f>M154+N154</f>
        <v>0</v>
      </c>
      <c r="P154" s="17">
        <v>212.17</v>
      </c>
      <c r="Q154" s="18">
        <v>826</v>
      </c>
      <c r="R154" s="17">
        <f>P154+ROUND(Q154, 2)</f>
        <v>1038.17</v>
      </c>
      <c r="S154" s="17">
        <v>0</v>
      </c>
      <c r="T154" s="17">
        <v>0</v>
      </c>
      <c r="U154" s="17">
        <f>S154+T154</f>
        <v>0</v>
      </c>
    </row>
    <row r="155" spans="1:21" ht="18" hidden="1" x14ac:dyDescent="0.3">
      <c r="A155" s="101" t="s">
        <v>793</v>
      </c>
      <c r="B155" s="10"/>
      <c r="C155" s="24" t="s">
        <v>759</v>
      </c>
      <c r="D155" s="15"/>
      <c r="E155" s="15"/>
      <c r="F155" s="25" t="s">
        <v>123</v>
      </c>
      <c r="G155" s="26">
        <v>1.1000000000000001</v>
      </c>
      <c r="H155" s="36"/>
      <c r="I155" s="109">
        <v>0</v>
      </c>
      <c r="J155" s="27">
        <v>18.34</v>
      </c>
      <c r="M155" s="28">
        <f>ROUND(ROUND(J155, 2)*I155, 2)</f>
        <v>0</v>
      </c>
      <c r="P155" s="27">
        <v>18.34</v>
      </c>
      <c r="S155" s="28">
        <f>ROUND(ROUND(P155, 2)*I155, 2)</f>
        <v>0</v>
      </c>
    </row>
    <row r="156" spans="1:21" ht="18" hidden="1" x14ac:dyDescent="0.3">
      <c r="A156" s="101" t="s">
        <v>798</v>
      </c>
      <c r="B156" s="10"/>
      <c r="C156" s="24" t="s">
        <v>310</v>
      </c>
      <c r="D156" s="15"/>
      <c r="E156" s="15"/>
      <c r="F156" s="25" t="s">
        <v>76</v>
      </c>
      <c r="G156" s="26">
        <v>0.25</v>
      </c>
      <c r="H156" s="26"/>
      <c r="I156" s="108">
        <v>0</v>
      </c>
      <c r="J156" s="27">
        <v>100</v>
      </c>
      <c r="M156" s="28">
        <f>ROUND(ROUND(J156, 2)*I156, 2)</f>
        <v>0</v>
      </c>
      <c r="P156" s="27">
        <v>100</v>
      </c>
      <c r="S156" s="28">
        <f>ROUND(ROUND(P156, 2)*I156, 2)</f>
        <v>0</v>
      </c>
    </row>
    <row r="157" spans="1:21" ht="36" hidden="1" x14ac:dyDescent="0.3">
      <c r="A157" s="101" t="s">
        <v>803</v>
      </c>
      <c r="B157" s="10"/>
      <c r="C157" s="35" t="s">
        <v>804</v>
      </c>
      <c r="D157" s="15"/>
      <c r="E157" s="15" t="s">
        <v>752</v>
      </c>
      <c r="F157" s="25" t="s">
        <v>76</v>
      </c>
      <c r="G157" s="26">
        <v>1</v>
      </c>
      <c r="H157" s="36"/>
      <c r="I157" s="109">
        <v>0</v>
      </c>
      <c r="J157" s="27">
        <v>7.59</v>
      </c>
      <c r="M157" s="28">
        <f>ROUND(ROUND(J157, 2)*I157, 2)</f>
        <v>0</v>
      </c>
      <c r="P157" s="27">
        <v>8.35</v>
      </c>
      <c r="S157" s="28">
        <f>ROUND(ROUND(P157, 2)*I157, 2)</f>
        <v>0</v>
      </c>
    </row>
    <row r="158" spans="1:21" ht="54" hidden="1" x14ac:dyDescent="0.3">
      <c r="A158" s="101" t="s">
        <v>810</v>
      </c>
      <c r="B158" s="10" t="s">
        <v>732</v>
      </c>
      <c r="C158" s="14" t="s">
        <v>733</v>
      </c>
      <c r="D158" s="15"/>
      <c r="E158" s="15" t="s">
        <v>811</v>
      </c>
      <c r="F158" s="15" t="s">
        <v>57</v>
      </c>
      <c r="G158" s="16">
        <v>1</v>
      </c>
      <c r="H158" s="16"/>
      <c r="I158" s="110">
        <v>0</v>
      </c>
      <c r="J158" s="17">
        <v>183.97</v>
      </c>
      <c r="K158" s="18">
        <v>826</v>
      </c>
      <c r="L158" s="17">
        <f>J158+ROUND(K158, 2)</f>
        <v>1009.97</v>
      </c>
      <c r="M158" s="17">
        <v>0</v>
      </c>
      <c r="N158" s="17">
        <v>0</v>
      </c>
      <c r="O158" s="17">
        <f>M158+N158</f>
        <v>0</v>
      </c>
      <c r="P158" s="17">
        <v>199.17</v>
      </c>
      <c r="Q158" s="18">
        <v>826</v>
      </c>
      <c r="R158" s="17">
        <f>P158+ROUND(Q158, 2)</f>
        <v>1025.17</v>
      </c>
      <c r="S158" s="17">
        <v>0</v>
      </c>
      <c r="T158" s="17">
        <v>0</v>
      </c>
      <c r="U158" s="17">
        <f>S158+T158</f>
        <v>0</v>
      </c>
    </row>
    <row r="159" spans="1:21" ht="18" hidden="1" x14ac:dyDescent="0.3">
      <c r="A159" s="101" t="s">
        <v>813</v>
      </c>
      <c r="B159" s="10"/>
      <c r="C159" s="24" t="s">
        <v>759</v>
      </c>
      <c r="D159" s="15"/>
      <c r="E159" s="15"/>
      <c r="F159" s="25" t="s">
        <v>123</v>
      </c>
      <c r="G159" s="26">
        <v>1.1000000000000001</v>
      </c>
      <c r="H159" s="36"/>
      <c r="I159" s="109">
        <v>0</v>
      </c>
      <c r="J159" s="27">
        <v>18.34</v>
      </c>
      <c r="M159" s="28">
        <f>ROUND(ROUND(J159, 2)*I159, 2)</f>
        <v>0</v>
      </c>
      <c r="P159" s="27">
        <v>18.34</v>
      </c>
      <c r="S159" s="28">
        <f>ROUND(ROUND(P159, 2)*I159, 2)</f>
        <v>0</v>
      </c>
    </row>
    <row r="160" spans="1:21" ht="36" hidden="1" x14ac:dyDescent="0.3">
      <c r="A160" s="101" t="s">
        <v>818</v>
      </c>
      <c r="B160" s="10"/>
      <c r="C160" s="24" t="s">
        <v>819</v>
      </c>
      <c r="D160" s="15"/>
      <c r="E160" s="15"/>
      <c r="F160" s="25" t="s">
        <v>76</v>
      </c>
      <c r="G160" s="26">
        <v>0.15</v>
      </c>
      <c r="H160" s="36"/>
      <c r="I160" s="109">
        <v>0</v>
      </c>
      <c r="J160" s="27">
        <v>80</v>
      </c>
      <c r="M160" s="28">
        <f>ROUND(ROUND(J160, 2)*I160, 2)</f>
        <v>0</v>
      </c>
      <c r="P160" s="27">
        <v>80</v>
      </c>
      <c r="S160" s="28">
        <f>ROUND(ROUND(P160, 2)*I160, 2)</f>
        <v>0</v>
      </c>
    </row>
    <row r="161" spans="1:21" ht="36" hidden="1" x14ac:dyDescent="0.3">
      <c r="A161" s="101" t="s">
        <v>825</v>
      </c>
      <c r="B161" s="10"/>
      <c r="C161" s="35" t="s">
        <v>804</v>
      </c>
      <c r="D161" s="15"/>
      <c r="E161" s="15" t="s">
        <v>752</v>
      </c>
      <c r="F161" s="25" t="s">
        <v>76</v>
      </c>
      <c r="G161" s="26">
        <v>1</v>
      </c>
      <c r="H161" s="36"/>
      <c r="I161" s="109">
        <v>0</v>
      </c>
      <c r="J161" s="27">
        <v>7.59</v>
      </c>
      <c r="M161" s="28">
        <f>ROUND(ROUND(J161, 2)*I161, 2)</f>
        <v>0</v>
      </c>
      <c r="P161" s="27">
        <v>8.35</v>
      </c>
      <c r="S161" s="28">
        <f>ROUND(ROUND(P161, 2)*I161, 2)</f>
        <v>0</v>
      </c>
    </row>
    <row r="162" spans="1:21" ht="54" hidden="1" x14ac:dyDescent="0.3">
      <c r="A162" s="101" t="s">
        <v>830</v>
      </c>
      <c r="B162" s="10" t="s">
        <v>732</v>
      </c>
      <c r="C162" s="14" t="s">
        <v>733</v>
      </c>
      <c r="D162" s="15"/>
      <c r="E162" s="15" t="s">
        <v>831</v>
      </c>
      <c r="F162" s="15" t="s">
        <v>57</v>
      </c>
      <c r="G162" s="16">
        <v>1</v>
      </c>
      <c r="H162" s="16"/>
      <c r="I162" s="110">
        <v>0</v>
      </c>
      <c r="J162" s="17">
        <v>286.08</v>
      </c>
      <c r="K162" s="18">
        <v>826</v>
      </c>
      <c r="L162" s="17">
        <f>J162+ROUND(K162, 2)</f>
        <v>1112.08</v>
      </c>
      <c r="M162" s="17">
        <v>0</v>
      </c>
      <c r="N162" s="17">
        <v>0</v>
      </c>
      <c r="O162" s="17">
        <f>M162+N162</f>
        <v>0</v>
      </c>
      <c r="P162" s="17">
        <v>286.08</v>
      </c>
      <c r="Q162" s="18">
        <v>826</v>
      </c>
      <c r="R162" s="17">
        <f>P162+ROUND(Q162, 2)</f>
        <v>1112.08</v>
      </c>
      <c r="S162" s="17">
        <v>0</v>
      </c>
      <c r="T162" s="17">
        <v>0</v>
      </c>
      <c r="U162" s="17">
        <f>S162+T162</f>
        <v>0</v>
      </c>
    </row>
    <row r="163" spans="1:21" ht="18" hidden="1" x14ac:dyDescent="0.3">
      <c r="A163" s="101" t="s">
        <v>833</v>
      </c>
      <c r="B163" s="10"/>
      <c r="C163" s="24" t="s">
        <v>759</v>
      </c>
      <c r="D163" s="15"/>
      <c r="E163" s="15"/>
      <c r="F163" s="25" t="s">
        <v>123</v>
      </c>
      <c r="G163" s="26">
        <v>1.1000000000000001</v>
      </c>
      <c r="H163" s="36"/>
      <c r="I163" s="109">
        <v>0</v>
      </c>
      <c r="J163" s="27">
        <v>18.34</v>
      </c>
      <c r="M163" s="28">
        <f>ROUND(ROUND(J163, 2)*I163, 2)</f>
        <v>0</v>
      </c>
      <c r="P163" s="27">
        <v>18.34</v>
      </c>
      <c r="S163" s="28">
        <f>ROUND(ROUND(P163, 2)*I163, 2)</f>
        <v>0</v>
      </c>
    </row>
    <row r="164" spans="1:21" ht="18" hidden="1" x14ac:dyDescent="0.3">
      <c r="A164" s="101" t="s">
        <v>838</v>
      </c>
      <c r="B164" s="10"/>
      <c r="C164" s="24" t="s">
        <v>751</v>
      </c>
      <c r="D164" s="15"/>
      <c r="E164" s="15" t="s">
        <v>752</v>
      </c>
      <c r="F164" s="25" t="s">
        <v>76</v>
      </c>
      <c r="G164" s="26">
        <v>1.8</v>
      </c>
      <c r="H164" s="36"/>
      <c r="I164" s="109">
        <v>0</v>
      </c>
      <c r="J164" s="27">
        <v>5.85</v>
      </c>
      <c r="M164" s="28">
        <f>ROUND(ROUND(J164, 2)*I164, 2)</f>
        <v>0</v>
      </c>
      <c r="P164" s="27">
        <v>5.85</v>
      </c>
      <c r="S164" s="28">
        <f>ROUND(ROUND(P164, 2)*I164, 2)</f>
        <v>0</v>
      </c>
    </row>
    <row r="165" spans="1:21" ht="18" hidden="1" x14ac:dyDescent="0.3">
      <c r="A165" s="101" t="s">
        <v>843</v>
      </c>
      <c r="B165" s="10"/>
      <c r="C165" s="24" t="s">
        <v>310</v>
      </c>
      <c r="D165" s="15"/>
      <c r="E165" s="15"/>
      <c r="F165" s="25" t="s">
        <v>76</v>
      </c>
      <c r="G165" s="26">
        <v>0.25</v>
      </c>
      <c r="H165" s="26"/>
      <c r="I165" s="108">
        <v>0</v>
      </c>
      <c r="J165" s="27">
        <v>100</v>
      </c>
      <c r="M165" s="28">
        <f>ROUND(ROUND(J165, 2)*I165, 2)</f>
        <v>0</v>
      </c>
      <c r="P165" s="27">
        <v>100</v>
      </c>
      <c r="S165" s="28">
        <f>ROUND(ROUND(P165, 2)*I165, 2)</f>
        <v>0</v>
      </c>
    </row>
    <row r="166" spans="1:21" ht="18" hidden="1" x14ac:dyDescent="0.3">
      <c r="A166" s="101" t="s">
        <v>848</v>
      </c>
      <c r="B166" s="10"/>
      <c r="C166" s="24" t="s">
        <v>739</v>
      </c>
      <c r="D166" s="15"/>
      <c r="E166" s="15"/>
      <c r="F166" s="25" t="s">
        <v>57</v>
      </c>
      <c r="G166" s="26">
        <v>1.1000000000000001</v>
      </c>
      <c r="H166" s="26"/>
      <c r="I166" s="108">
        <v>0</v>
      </c>
      <c r="J166" s="27">
        <v>27.55</v>
      </c>
      <c r="M166" s="28">
        <f>ROUND(ROUND(J166, 2)*I166, 2)</f>
        <v>0</v>
      </c>
      <c r="P166" s="27">
        <v>27.55</v>
      </c>
      <c r="S166" s="28">
        <f>ROUND(ROUND(P166, 2)*I166, 2)</f>
        <v>0</v>
      </c>
    </row>
    <row r="167" spans="1:21" ht="54" hidden="1" x14ac:dyDescent="0.3">
      <c r="A167" s="101" t="s">
        <v>853</v>
      </c>
      <c r="B167" s="10" t="s">
        <v>732</v>
      </c>
      <c r="C167" s="14" t="s">
        <v>733</v>
      </c>
      <c r="D167" s="15"/>
      <c r="E167" s="15" t="s">
        <v>854</v>
      </c>
      <c r="F167" s="15" t="s">
        <v>57</v>
      </c>
      <c r="G167" s="16">
        <v>1</v>
      </c>
      <c r="H167" s="16"/>
      <c r="I167" s="110">
        <v>0</v>
      </c>
      <c r="J167" s="17">
        <v>273.08</v>
      </c>
      <c r="K167" s="18">
        <v>826</v>
      </c>
      <c r="L167" s="17">
        <f>J167+ROUND(K167, 2)</f>
        <v>1099.08</v>
      </c>
      <c r="M167" s="17">
        <v>0</v>
      </c>
      <c r="N167" s="17">
        <v>0</v>
      </c>
      <c r="O167" s="17">
        <f>M167+N167</f>
        <v>0</v>
      </c>
      <c r="P167" s="17">
        <v>273.08</v>
      </c>
      <c r="Q167" s="18">
        <v>826</v>
      </c>
      <c r="R167" s="17">
        <f>P167+ROUND(Q167, 2)</f>
        <v>1099.08</v>
      </c>
      <c r="S167" s="17">
        <v>0</v>
      </c>
      <c r="T167" s="17">
        <v>0</v>
      </c>
      <c r="U167" s="17">
        <f>S167+T167</f>
        <v>0</v>
      </c>
    </row>
    <row r="168" spans="1:21" ht="18" hidden="1" x14ac:dyDescent="0.3">
      <c r="A168" s="101" t="s">
        <v>856</v>
      </c>
      <c r="B168" s="10"/>
      <c r="C168" s="24" t="s">
        <v>759</v>
      </c>
      <c r="D168" s="15"/>
      <c r="E168" s="15"/>
      <c r="F168" s="25" t="s">
        <v>123</v>
      </c>
      <c r="G168" s="26">
        <v>1.1000000000000001</v>
      </c>
      <c r="H168" s="36"/>
      <c r="I168" s="109">
        <v>0</v>
      </c>
      <c r="J168" s="27">
        <v>18.34</v>
      </c>
      <c r="M168" s="28">
        <f>ROUND(ROUND(J168, 2)*I168, 2)</f>
        <v>0</v>
      </c>
      <c r="P168" s="27">
        <v>18.34</v>
      </c>
      <c r="S168" s="28">
        <f>ROUND(ROUND(P168, 2)*I168, 2)</f>
        <v>0</v>
      </c>
    </row>
    <row r="169" spans="1:21" ht="18" hidden="1" x14ac:dyDescent="0.3">
      <c r="A169" s="101" t="s">
        <v>861</v>
      </c>
      <c r="B169" s="10"/>
      <c r="C169" s="24" t="s">
        <v>751</v>
      </c>
      <c r="D169" s="15"/>
      <c r="E169" s="15" t="s">
        <v>752</v>
      </c>
      <c r="F169" s="25" t="s">
        <v>76</v>
      </c>
      <c r="G169" s="26">
        <v>1.8</v>
      </c>
      <c r="H169" s="36"/>
      <c r="I169" s="109">
        <v>0</v>
      </c>
      <c r="J169" s="27">
        <v>5.85</v>
      </c>
      <c r="M169" s="28">
        <f>ROUND(ROUND(J169, 2)*I169, 2)</f>
        <v>0</v>
      </c>
      <c r="P169" s="27">
        <v>5.85</v>
      </c>
      <c r="S169" s="28">
        <f>ROUND(ROUND(P169, 2)*I169, 2)</f>
        <v>0</v>
      </c>
    </row>
    <row r="170" spans="1:21" ht="36" hidden="1" x14ac:dyDescent="0.3">
      <c r="A170" s="101" t="s">
        <v>866</v>
      </c>
      <c r="B170" s="10"/>
      <c r="C170" s="24" t="s">
        <v>819</v>
      </c>
      <c r="D170" s="15"/>
      <c r="E170" s="15"/>
      <c r="F170" s="25" t="s">
        <v>76</v>
      </c>
      <c r="G170" s="26">
        <v>0.15</v>
      </c>
      <c r="H170" s="36"/>
      <c r="I170" s="109">
        <v>0</v>
      </c>
      <c r="J170" s="27">
        <v>80</v>
      </c>
      <c r="M170" s="28">
        <f>ROUND(ROUND(J170, 2)*I170, 2)</f>
        <v>0</v>
      </c>
      <c r="P170" s="27">
        <v>80</v>
      </c>
      <c r="S170" s="28">
        <f>ROUND(ROUND(P170, 2)*I170, 2)</f>
        <v>0</v>
      </c>
    </row>
    <row r="171" spans="1:21" ht="18" hidden="1" x14ac:dyDescent="0.3">
      <c r="A171" s="101" t="s">
        <v>871</v>
      </c>
      <c r="B171" s="10"/>
      <c r="C171" s="24" t="s">
        <v>739</v>
      </c>
      <c r="D171" s="15"/>
      <c r="E171" s="15"/>
      <c r="F171" s="25" t="s">
        <v>57</v>
      </c>
      <c r="G171" s="26">
        <v>1.1000000000000001</v>
      </c>
      <c r="H171" s="26"/>
      <c r="I171" s="108">
        <v>0</v>
      </c>
      <c r="J171" s="27">
        <v>27.55</v>
      </c>
      <c r="M171" s="28">
        <f>ROUND(ROUND(J171, 2)*I171, 2)</f>
        <v>0</v>
      </c>
      <c r="P171" s="27">
        <v>27.55</v>
      </c>
      <c r="S171" s="28">
        <f>ROUND(ROUND(P171, 2)*I171, 2)</f>
        <v>0</v>
      </c>
    </row>
    <row r="172" spans="1:21" ht="54" hidden="1" x14ac:dyDescent="0.3">
      <c r="A172" s="101" t="s">
        <v>876</v>
      </c>
      <c r="B172" s="10" t="s">
        <v>732</v>
      </c>
      <c r="C172" s="14" t="s">
        <v>733</v>
      </c>
      <c r="D172" s="15"/>
      <c r="E172" s="15" t="s">
        <v>877</v>
      </c>
      <c r="F172" s="15" t="s">
        <v>57</v>
      </c>
      <c r="G172" s="16">
        <v>1</v>
      </c>
      <c r="H172" s="16"/>
      <c r="I172" s="110">
        <v>0</v>
      </c>
      <c r="J172" s="17">
        <v>252.9</v>
      </c>
      <c r="K172" s="18">
        <v>826</v>
      </c>
      <c r="L172" s="17">
        <f>J172+ROUND(K172, 2)</f>
        <v>1078.9000000000001</v>
      </c>
      <c r="M172" s="17">
        <v>0</v>
      </c>
      <c r="N172" s="17">
        <v>0</v>
      </c>
      <c r="O172" s="17">
        <f>M172+N172</f>
        <v>0</v>
      </c>
      <c r="P172" s="17">
        <v>252.9</v>
      </c>
      <c r="Q172" s="18">
        <v>826</v>
      </c>
      <c r="R172" s="17">
        <f>P172+ROUND(Q172, 2)</f>
        <v>1078.9000000000001</v>
      </c>
      <c r="S172" s="17">
        <v>0</v>
      </c>
      <c r="T172" s="17">
        <v>0</v>
      </c>
      <c r="U172" s="17">
        <f>S172+T172</f>
        <v>0</v>
      </c>
    </row>
    <row r="173" spans="1:21" ht="18" hidden="1" x14ac:dyDescent="0.3">
      <c r="A173" s="101" t="s">
        <v>879</v>
      </c>
      <c r="B173" s="10"/>
      <c r="C173" s="24" t="s">
        <v>751</v>
      </c>
      <c r="D173" s="15"/>
      <c r="E173" s="15" t="s">
        <v>880</v>
      </c>
      <c r="F173" s="25" t="s">
        <v>76</v>
      </c>
      <c r="G173" s="26">
        <v>1.8</v>
      </c>
      <c r="H173" s="36"/>
      <c r="I173" s="109">
        <v>0</v>
      </c>
      <c r="J173" s="27">
        <v>5.85</v>
      </c>
      <c r="M173" s="28">
        <f>ROUND(ROUND(J173, 2)*I173, 2)</f>
        <v>0</v>
      </c>
      <c r="P173" s="27">
        <v>5.85</v>
      </c>
      <c r="S173" s="28">
        <f>ROUND(ROUND(P173, 2)*I173, 2)</f>
        <v>0</v>
      </c>
    </row>
    <row r="174" spans="1:21" ht="36" hidden="1" x14ac:dyDescent="0.3">
      <c r="A174" s="101" t="s">
        <v>885</v>
      </c>
      <c r="B174" s="10"/>
      <c r="C174" s="24" t="s">
        <v>819</v>
      </c>
      <c r="D174" s="15"/>
      <c r="E174" s="15"/>
      <c r="F174" s="25" t="s">
        <v>76</v>
      </c>
      <c r="G174" s="26">
        <v>0.15</v>
      </c>
      <c r="H174" s="36"/>
      <c r="I174" s="109">
        <v>0</v>
      </c>
      <c r="J174" s="27">
        <v>80</v>
      </c>
      <c r="M174" s="28">
        <f>ROUND(ROUND(J174, 2)*I174, 2)</f>
        <v>0</v>
      </c>
      <c r="P174" s="27">
        <v>80</v>
      </c>
      <c r="S174" s="28">
        <f>ROUND(ROUND(P174, 2)*I174, 2)</f>
        <v>0</v>
      </c>
    </row>
    <row r="175" spans="1:21" ht="18" hidden="1" x14ac:dyDescent="0.3">
      <c r="A175" s="101" t="s">
        <v>890</v>
      </c>
      <c r="B175" s="10"/>
      <c r="C175" s="24" t="s">
        <v>739</v>
      </c>
      <c r="D175" s="15"/>
      <c r="E175" s="15"/>
      <c r="F175" s="25" t="s">
        <v>57</v>
      </c>
      <c r="G175" s="26">
        <v>1.1000000000000001</v>
      </c>
      <c r="H175" s="26"/>
      <c r="I175" s="108">
        <v>0</v>
      </c>
      <c r="J175" s="27">
        <v>27.55</v>
      </c>
      <c r="M175" s="28">
        <f>ROUND(ROUND(J175, 2)*I175, 2)</f>
        <v>0</v>
      </c>
      <c r="P175" s="27">
        <v>27.55</v>
      </c>
      <c r="S175" s="28">
        <f>ROUND(ROUND(P175, 2)*I175, 2)</f>
        <v>0</v>
      </c>
    </row>
    <row r="176" spans="1:21" ht="54" x14ac:dyDescent="0.3">
      <c r="A176" s="104" t="s">
        <v>895</v>
      </c>
      <c r="B176" s="97" t="s">
        <v>896</v>
      </c>
      <c r="C176" s="98" t="s">
        <v>897</v>
      </c>
      <c r="D176" s="92" t="s">
        <v>1830</v>
      </c>
      <c r="E176" s="92" t="s">
        <v>1831</v>
      </c>
      <c r="F176" s="92" t="s">
        <v>57</v>
      </c>
      <c r="G176" s="93">
        <v>1</v>
      </c>
      <c r="H176" s="93"/>
      <c r="I176" s="112">
        <v>754.1</v>
      </c>
      <c r="J176" s="94">
        <v>70.430000000000007</v>
      </c>
      <c r="K176" s="95">
        <v>329</v>
      </c>
      <c r="L176" s="94">
        <f>J176+ROUND(K176, 2)</f>
        <v>399.43</v>
      </c>
      <c r="M176" s="94">
        <v>53111.26</v>
      </c>
      <c r="N176" s="94">
        <v>248098.9</v>
      </c>
      <c r="O176" s="94">
        <f>M176+N176</f>
        <v>301210.15999999997</v>
      </c>
      <c r="P176" s="94">
        <v>70.430000000000007</v>
      </c>
      <c r="Q176" s="95">
        <v>329</v>
      </c>
      <c r="R176" s="94">
        <f>P176+ROUND(Q176, 2)</f>
        <v>399.43</v>
      </c>
      <c r="S176" s="94">
        <v>53111.26</v>
      </c>
      <c r="T176" s="94">
        <v>248098.9</v>
      </c>
      <c r="U176" s="94">
        <f>S176+T176</f>
        <v>301210.15999999997</v>
      </c>
    </row>
    <row r="177" spans="1:21" ht="18" x14ac:dyDescent="0.3">
      <c r="A177" s="101" t="s">
        <v>901</v>
      </c>
      <c r="B177" s="10"/>
      <c r="C177" s="24" t="s">
        <v>902</v>
      </c>
      <c r="D177" s="15"/>
      <c r="E177" s="15"/>
      <c r="F177" s="25" t="s">
        <v>76</v>
      </c>
      <c r="G177" s="26">
        <v>2</v>
      </c>
      <c r="H177" s="26"/>
      <c r="I177" s="108">
        <v>1508.2</v>
      </c>
      <c r="J177" s="27">
        <v>23</v>
      </c>
      <c r="M177" s="28">
        <f>ROUND(ROUND(J177, 2)*I177, 2)</f>
        <v>34688.6</v>
      </c>
      <c r="P177" s="27">
        <v>23</v>
      </c>
      <c r="S177" s="28">
        <f>ROUND(ROUND(P177, 2)*I177, 2)</f>
        <v>34688.6</v>
      </c>
    </row>
    <row r="178" spans="1:21" ht="18" x14ac:dyDescent="0.3">
      <c r="A178" s="101" t="s">
        <v>906</v>
      </c>
      <c r="B178" s="10"/>
      <c r="C178" s="24" t="s">
        <v>907</v>
      </c>
      <c r="D178" s="15"/>
      <c r="E178" s="15"/>
      <c r="F178" s="25" t="s">
        <v>98</v>
      </c>
      <c r="G178" s="26">
        <v>0.3</v>
      </c>
      <c r="H178" s="36"/>
      <c r="I178" s="109">
        <v>226.23</v>
      </c>
      <c r="J178" s="27">
        <v>37.049999999999997</v>
      </c>
      <c r="M178" s="28">
        <f>ROUND(ROUND(J178, 2)*I178, 2)</f>
        <v>8381.82</v>
      </c>
      <c r="P178" s="27">
        <v>37.049999999999997</v>
      </c>
      <c r="S178" s="28">
        <f>ROUND(ROUND(P178, 2)*I178, 2)</f>
        <v>8381.82</v>
      </c>
    </row>
    <row r="179" spans="1:21" ht="36" x14ac:dyDescent="0.3">
      <c r="A179" s="101" t="s">
        <v>911</v>
      </c>
      <c r="B179" s="10"/>
      <c r="C179" s="24" t="s">
        <v>509</v>
      </c>
      <c r="D179" s="15"/>
      <c r="E179" s="15"/>
      <c r="F179" s="25" t="s">
        <v>76</v>
      </c>
      <c r="G179" s="26">
        <v>0.15</v>
      </c>
      <c r="H179" s="26"/>
      <c r="I179" s="108">
        <v>113.11499999999999</v>
      </c>
      <c r="J179" s="27">
        <v>88.8</v>
      </c>
      <c r="M179" s="28">
        <f>ROUND(ROUND(J179, 2)*I179, 2)</f>
        <v>10044.61</v>
      </c>
      <c r="P179" s="27">
        <v>88.8</v>
      </c>
      <c r="S179" s="28">
        <f>ROUND(ROUND(P179, 2)*I179, 2)</f>
        <v>10044.61</v>
      </c>
    </row>
    <row r="180" spans="1:21" ht="54" x14ac:dyDescent="0.3">
      <c r="A180" s="104" t="s">
        <v>914</v>
      </c>
      <c r="B180" s="97" t="s">
        <v>896</v>
      </c>
      <c r="C180" s="98" t="s">
        <v>897</v>
      </c>
      <c r="D180" s="92" t="s">
        <v>1830</v>
      </c>
      <c r="E180" s="92" t="s">
        <v>1831</v>
      </c>
      <c r="F180" s="92" t="s">
        <v>57</v>
      </c>
      <c r="G180" s="93">
        <v>1</v>
      </c>
      <c r="H180" s="93"/>
      <c r="I180" s="112">
        <v>754.1</v>
      </c>
      <c r="J180" s="94">
        <v>84.43</v>
      </c>
      <c r="K180" s="95">
        <v>329</v>
      </c>
      <c r="L180" s="94">
        <f>J180+ROUND(K180, 2)</f>
        <v>413.43</v>
      </c>
      <c r="M180" s="94">
        <v>63668.66</v>
      </c>
      <c r="N180" s="94">
        <v>248098.9</v>
      </c>
      <c r="O180" s="94">
        <f>M180+N180</f>
        <v>311767.56</v>
      </c>
      <c r="P180" s="94">
        <v>37.01</v>
      </c>
      <c r="Q180" s="95">
        <v>329</v>
      </c>
      <c r="R180" s="94">
        <f>P180+ROUND(Q180, 2)</f>
        <v>366.01</v>
      </c>
      <c r="S180" s="94">
        <v>27909.24</v>
      </c>
      <c r="T180" s="94">
        <v>248098.9</v>
      </c>
      <c r="U180" s="94">
        <f>S180+T180</f>
        <v>276008.14</v>
      </c>
    </row>
    <row r="181" spans="1:21" ht="36" x14ac:dyDescent="0.3">
      <c r="A181" s="101" t="s">
        <v>915</v>
      </c>
      <c r="B181" s="10"/>
      <c r="C181" s="24" t="s">
        <v>509</v>
      </c>
      <c r="D181" s="15"/>
      <c r="E181" s="15"/>
      <c r="F181" s="25" t="s">
        <v>76</v>
      </c>
      <c r="G181" s="26">
        <v>0.15</v>
      </c>
      <c r="H181" s="26"/>
      <c r="I181" s="108">
        <v>113.11499999999999</v>
      </c>
      <c r="J181" s="27">
        <v>88.8</v>
      </c>
      <c r="M181" s="28">
        <f>ROUND(ROUND(J181, 2)*I181, 2)</f>
        <v>10044.61</v>
      </c>
      <c r="P181" s="27">
        <v>88.8</v>
      </c>
      <c r="S181" s="28">
        <f>ROUND(ROUND(P181, 2)*I181, 2)</f>
        <v>10044.61</v>
      </c>
    </row>
    <row r="182" spans="1:21" ht="18" x14ac:dyDescent="0.3">
      <c r="A182" s="101" t="s">
        <v>918</v>
      </c>
      <c r="B182" s="10"/>
      <c r="C182" s="24" t="s">
        <v>907</v>
      </c>
      <c r="D182" s="15"/>
      <c r="E182" s="15"/>
      <c r="F182" s="25" t="s">
        <v>98</v>
      </c>
      <c r="G182" s="26">
        <v>0.3</v>
      </c>
      <c r="H182" s="36"/>
      <c r="I182" s="109">
        <v>226.23</v>
      </c>
      <c r="J182" s="27">
        <v>37.049999999999997</v>
      </c>
      <c r="M182" s="28">
        <f>ROUND(ROUND(J182, 2)*I182, 2)</f>
        <v>8381.82</v>
      </c>
      <c r="P182" s="27">
        <v>37.049999999999997</v>
      </c>
      <c r="S182" s="28">
        <f>ROUND(ROUND(P182, 2)*I182, 2)</f>
        <v>8381.82</v>
      </c>
    </row>
    <row r="183" spans="1:21" ht="36" x14ac:dyDescent="0.3">
      <c r="A183" s="101" t="s">
        <v>921</v>
      </c>
      <c r="B183" s="10"/>
      <c r="C183" s="24" t="s">
        <v>922</v>
      </c>
      <c r="D183" s="15"/>
      <c r="E183" s="15"/>
      <c r="F183" s="25" t="s">
        <v>76</v>
      </c>
      <c r="G183" s="26">
        <v>1</v>
      </c>
      <c r="H183" s="26"/>
      <c r="I183" s="108">
        <v>754.1</v>
      </c>
      <c r="J183" s="27">
        <v>60</v>
      </c>
      <c r="M183" s="28">
        <f>ROUND(ROUND(J183, 2)*I183, 2)</f>
        <v>45246</v>
      </c>
      <c r="P183" s="27">
        <v>12.58</v>
      </c>
      <c r="S183" s="28">
        <f>ROUND(ROUND(P183, 2)*I183, 2)</f>
        <v>9486.58</v>
      </c>
    </row>
    <row r="184" spans="1:21" ht="54" x14ac:dyDescent="0.3">
      <c r="A184" s="104" t="s">
        <v>926</v>
      </c>
      <c r="B184" s="97" t="s">
        <v>896</v>
      </c>
      <c r="C184" s="98" t="s">
        <v>897</v>
      </c>
      <c r="D184" s="92" t="s">
        <v>1830</v>
      </c>
      <c r="E184" s="92" t="s">
        <v>1831</v>
      </c>
      <c r="F184" s="92" t="s">
        <v>57</v>
      </c>
      <c r="G184" s="93">
        <v>1</v>
      </c>
      <c r="H184" s="93"/>
      <c r="I184" s="112">
        <v>754.1</v>
      </c>
      <c r="J184" s="94">
        <v>65.83</v>
      </c>
      <c r="K184" s="95">
        <v>329</v>
      </c>
      <c r="L184" s="94">
        <f>J184+ROUND(K184, 2)</f>
        <v>394.83</v>
      </c>
      <c r="M184" s="94">
        <v>49642.400000000001</v>
      </c>
      <c r="N184" s="94">
        <v>248098.9</v>
      </c>
      <c r="O184" s="94">
        <f>M184+N184</f>
        <v>297741.3</v>
      </c>
      <c r="P184" s="94">
        <v>47.08</v>
      </c>
      <c r="Q184" s="95">
        <v>329</v>
      </c>
      <c r="R184" s="94">
        <f>P184+ROUND(Q184, 2)</f>
        <v>376.08</v>
      </c>
      <c r="S184" s="94">
        <v>35503.03</v>
      </c>
      <c r="T184" s="94">
        <v>248098.9</v>
      </c>
      <c r="U184" s="94">
        <f>S184+T184</f>
        <v>283601.93</v>
      </c>
    </row>
    <row r="185" spans="1:21" ht="36" x14ac:dyDescent="0.3">
      <c r="A185" s="101" t="s">
        <v>927</v>
      </c>
      <c r="B185" s="10"/>
      <c r="C185" s="24" t="s">
        <v>509</v>
      </c>
      <c r="D185" s="15"/>
      <c r="E185" s="15"/>
      <c r="F185" s="25" t="s">
        <v>76</v>
      </c>
      <c r="G185" s="26">
        <v>0.15</v>
      </c>
      <c r="H185" s="26"/>
      <c r="I185" s="108">
        <v>113.11499999999999</v>
      </c>
      <c r="J185" s="27">
        <v>88.8</v>
      </c>
      <c r="M185" s="28">
        <f>ROUND(ROUND(J185, 2)*I185, 2)</f>
        <v>10044.61</v>
      </c>
      <c r="P185" s="27">
        <v>88.8</v>
      </c>
      <c r="S185" s="28">
        <f>ROUND(ROUND(P185, 2)*I185, 2)</f>
        <v>10044.61</v>
      </c>
    </row>
    <row r="186" spans="1:21" ht="18" x14ac:dyDescent="0.3">
      <c r="A186" s="101" t="s">
        <v>930</v>
      </c>
      <c r="B186" s="10"/>
      <c r="C186" s="24" t="s">
        <v>907</v>
      </c>
      <c r="D186" s="15"/>
      <c r="E186" s="15"/>
      <c r="F186" s="25" t="s">
        <v>98</v>
      </c>
      <c r="G186" s="26">
        <v>0.3</v>
      </c>
      <c r="H186" s="36"/>
      <c r="I186" s="109">
        <v>226.23</v>
      </c>
      <c r="J186" s="27">
        <v>37.049999999999997</v>
      </c>
      <c r="M186" s="28">
        <f>ROUND(ROUND(J186, 2)*I186, 2)</f>
        <v>8381.82</v>
      </c>
      <c r="P186" s="27">
        <v>37.049999999999997</v>
      </c>
      <c r="S186" s="28">
        <f>ROUND(ROUND(P186, 2)*I186, 2)</f>
        <v>8381.82</v>
      </c>
    </row>
    <row r="187" spans="1:21" ht="36" x14ac:dyDescent="0.3">
      <c r="A187" s="101" t="s">
        <v>933</v>
      </c>
      <c r="B187" s="10"/>
      <c r="C187" s="24" t="s">
        <v>934</v>
      </c>
      <c r="D187" s="15"/>
      <c r="E187" s="15"/>
      <c r="F187" s="25" t="s">
        <v>76</v>
      </c>
      <c r="G187" s="26">
        <v>1.8</v>
      </c>
      <c r="H187" s="26"/>
      <c r="I187" s="108">
        <v>1357.38</v>
      </c>
      <c r="J187" s="27">
        <v>23</v>
      </c>
      <c r="M187" s="28">
        <f>ROUND(ROUND(J187, 2)*I187, 2)</f>
        <v>31219.74</v>
      </c>
      <c r="P187" s="27">
        <v>12.58</v>
      </c>
      <c r="S187" s="28">
        <f>ROUND(ROUND(P187, 2)*I187, 2)</f>
        <v>17075.84</v>
      </c>
    </row>
    <row r="188" spans="1:21" ht="54" hidden="1" x14ac:dyDescent="0.3">
      <c r="A188" s="101" t="s">
        <v>938</v>
      </c>
      <c r="B188" s="10" t="s">
        <v>896</v>
      </c>
      <c r="C188" s="14" t="s">
        <v>897</v>
      </c>
      <c r="D188" s="15"/>
      <c r="E188" s="15" t="s">
        <v>939</v>
      </c>
      <c r="F188" s="15" t="s">
        <v>57</v>
      </c>
      <c r="G188" s="16">
        <v>1</v>
      </c>
      <c r="H188" s="16"/>
      <c r="I188" s="110">
        <v>0</v>
      </c>
      <c r="J188" s="17">
        <v>55.05</v>
      </c>
      <c r="K188" s="18">
        <v>329</v>
      </c>
      <c r="L188" s="17">
        <f>J188+ROUND(K188, 2)</f>
        <v>384.05</v>
      </c>
      <c r="M188" s="17">
        <v>0</v>
      </c>
      <c r="N188" s="17">
        <v>0</v>
      </c>
      <c r="O188" s="17">
        <f>M188+N188</f>
        <v>0</v>
      </c>
      <c r="P188" s="17">
        <v>55.05</v>
      </c>
      <c r="Q188" s="18">
        <v>329</v>
      </c>
      <c r="R188" s="17">
        <f>P188+ROUND(Q188, 2)</f>
        <v>384.05</v>
      </c>
      <c r="S188" s="17">
        <v>0</v>
      </c>
      <c r="T188" s="17">
        <v>0</v>
      </c>
      <c r="U188" s="17">
        <f>S188+T188</f>
        <v>0</v>
      </c>
    </row>
    <row r="189" spans="1:21" ht="36" hidden="1" x14ac:dyDescent="0.3">
      <c r="A189" s="101" t="s">
        <v>941</v>
      </c>
      <c r="B189" s="10"/>
      <c r="C189" s="24" t="s">
        <v>942</v>
      </c>
      <c r="D189" s="15"/>
      <c r="E189" s="15"/>
      <c r="F189" s="25" t="s">
        <v>76</v>
      </c>
      <c r="G189" s="26">
        <v>0.1</v>
      </c>
      <c r="H189" s="26"/>
      <c r="I189" s="108">
        <v>0</v>
      </c>
      <c r="J189" s="27">
        <v>142.9</v>
      </c>
      <c r="M189" s="28">
        <f>ROUND(ROUND(J189, 2)*I189, 2)</f>
        <v>0</v>
      </c>
      <c r="P189" s="27">
        <v>142.9</v>
      </c>
      <c r="S189" s="28">
        <f>ROUND(ROUND(P189, 2)*I189, 2)</f>
        <v>0</v>
      </c>
    </row>
    <row r="190" spans="1:21" ht="18" hidden="1" x14ac:dyDescent="0.3">
      <c r="A190" s="101" t="s">
        <v>948</v>
      </c>
      <c r="B190" s="10"/>
      <c r="C190" s="24" t="s">
        <v>949</v>
      </c>
      <c r="D190" s="15"/>
      <c r="E190" s="15"/>
      <c r="F190" s="25" t="s">
        <v>123</v>
      </c>
      <c r="G190" s="26">
        <v>1</v>
      </c>
      <c r="H190" s="36"/>
      <c r="I190" s="109">
        <v>0</v>
      </c>
      <c r="J190" s="27">
        <v>7</v>
      </c>
      <c r="M190" s="28">
        <f>ROUND(ROUND(J190, 2)*I190, 2)</f>
        <v>0</v>
      </c>
      <c r="P190" s="27">
        <v>7</v>
      </c>
      <c r="S190" s="28">
        <f>ROUND(ROUND(P190, 2)*I190, 2)</f>
        <v>0</v>
      </c>
    </row>
    <row r="191" spans="1:21" ht="18" hidden="1" x14ac:dyDescent="0.3">
      <c r="A191" s="101" t="s">
        <v>955</v>
      </c>
      <c r="B191" s="10"/>
      <c r="C191" s="24" t="s">
        <v>907</v>
      </c>
      <c r="D191" s="15"/>
      <c r="E191" s="15"/>
      <c r="F191" s="25" t="s">
        <v>98</v>
      </c>
      <c r="G191" s="26">
        <v>0.3</v>
      </c>
      <c r="H191" s="36"/>
      <c r="I191" s="109">
        <v>0</v>
      </c>
      <c r="J191" s="27">
        <v>37.049999999999997</v>
      </c>
      <c r="M191" s="28">
        <f>ROUND(ROUND(J191, 2)*I191, 2)</f>
        <v>0</v>
      </c>
      <c r="P191" s="27">
        <v>37.049999999999997</v>
      </c>
      <c r="S191" s="28">
        <f>ROUND(ROUND(P191, 2)*I191, 2)</f>
        <v>0</v>
      </c>
    </row>
    <row r="192" spans="1:21" ht="36" hidden="1" x14ac:dyDescent="0.3">
      <c r="A192" s="101" t="s">
        <v>960</v>
      </c>
      <c r="B192" s="10"/>
      <c r="C192" s="35" t="s">
        <v>961</v>
      </c>
      <c r="D192" s="15"/>
      <c r="E192" s="15"/>
      <c r="F192" s="25" t="s">
        <v>76</v>
      </c>
      <c r="G192" s="26">
        <v>1.8</v>
      </c>
      <c r="H192" s="26"/>
      <c r="I192" s="108">
        <v>0</v>
      </c>
      <c r="J192" s="27">
        <v>12.58</v>
      </c>
      <c r="M192" s="28">
        <f>ROUND(ROUND(J192, 2)*I192, 2)</f>
        <v>0</v>
      </c>
      <c r="P192" s="27">
        <v>12.58</v>
      </c>
      <c r="S192" s="28">
        <f>ROUND(ROUND(P192, 2)*I192, 2)</f>
        <v>0</v>
      </c>
    </row>
    <row r="193" spans="1:21" ht="54" hidden="1" x14ac:dyDescent="0.3">
      <c r="A193" s="101" t="s">
        <v>967</v>
      </c>
      <c r="B193" s="10" t="s">
        <v>896</v>
      </c>
      <c r="C193" s="14" t="s">
        <v>897</v>
      </c>
      <c r="D193" s="15"/>
      <c r="E193" s="15" t="s">
        <v>968</v>
      </c>
      <c r="F193" s="15" t="s">
        <v>57</v>
      </c>
      <c r="G193" s="16">
        <v>1</v>
      </c>
      <c r="H193" s="16"/>
      <c r="I193" s="110">
        <v>0</v>
      </c>
      <c r="J193" s="17">
        <v>91.44</v>
      </c>
      <c r="K193" s="18">
        <v>329</v>
      </c>
      <c r="L193" s="17">
        <f>J193+ROUND(K193, 2)</f>
        <v>420.44</v>
      </c>
      <c r="M193" s="17">
        <v>0</v>
      </c>
      <c r="N193" s="17">
        <v>0</v>
      </c>
      <c r="O193" s="17">
        <f>M193+N193</f>
        <v>0</v>
      </c>
      <c r="P193" s="17">
        <v>44.02</v>
      </c>
      <c r="Q193" s="18">
        <v>329</v>
      </c>
      <c r="R193" s="17">
        <f>P193+ROUND(Q193, 2)</f>
        <v>373.02</v>
      </c>
      <c r="S193" s="17">
        <v>0</v>
      </c>
      <c r="T193" s="17">
        <v>0</v>
      </c>
      <c r="U193" s="17">
        <f>S193+T193</f>
        <v>0</v>
      </c>
    </row>
    <row r="194" spans="1:21" ht="36" hidden="1" x14ac:dyDescent="0.3">
      <c r="A194" s="101" t="s">
        <v>970</v>
      </c>
      <c r="B194" s="10"/>
      <c r="C194" s="24" t="s">
        <v>509</v>
      </c>
      <c r="D194" s="15"/>
      <c r="E194" s="15"/>
      <c r="F194" s="25" t="s">
        <v>76</v>
      </c>
      <c r="G194" s="26">
        <v>0.15</v>
      </c>
      <c r="H194" s="26"/>
      <c r="I194" s="108">
        <v>0</v>
      </c>
      <c r="J194" s="27">
        <v>88.8</v>
      </c>
      <c r="M194" s="28">
        <f>ROUND(ROUND(J194, 2)*I194, 2)</f>
        <v>0</v>
      </c>
      <c r="P194" s="27">
        <v>88.8</v>
      </c>
      <c r="S194" s="28">
        <f>ROUND(ROUND(P194, 2)*I194, 2)</f>
        <v>0</v>
      </c>
    </row>
    <row r="195" spans="1:21" ht="18" hidden="1" x14ac:dyDescent="0.3">
      <c r="A195" s="101" t="s">
        <v>975</v>
      </c>
      <c r="B195" s="10"/>
      <c r="C195" s="24" t="s">
        <v>949</v>
      </c>
      <c r="D195" s="15"/>
      <c r="E195" s="15"/>
      <c r="F195" s="25" t="s">
        <v>123</v>
      </c>
      <c r="G195" s="26">
        <v>1</v>
      </c>
      <c r="H195" s="36"/>
      <c r="I195" s="109">
        <v>0</v>
      </c>
      <c r="J195" s="27">
        <v>7</v>
      </c>
      <c r="M195" s="28">
        <f>ROUND(ROUND(J195, 2)*I195, 2)</f>
        <v>0</v>
      </c>
      <c r="P195" s="27">
        <v>7</v>
      </c>
      <c r="S195" s="28">
        <f>ROUND(ROUND(P195, 2)*I195, 2)</f>
        <v>0</v>
      </c>
    </row>
    <row r="196" spans="1:21" ht="18" hidden="1" x14ac:dyDescent="0.3">
      <c r="A196" s="101" t="s">
        <v>980</v>
      </c>
      <c r="B196" s="10"/>
      <c r="C196" s="24" t="s">
        <v>907</v>
      </c>
      <c r="D196" s="15"/>
      <c r="E196" s="15"/>
      <c r="F196" s="25" t="s">
        <v>98</v>
      </c>
      <c r="G196" s="26">
        <v>0.3</v>
      </c>
      <c r="H196" s="36"/>
      <c r="I196" s="109">
        <v>0</v>
      </c>
      <c r="J196" s="27">
        <v>37.049999999999997</v>
      </c>
      <c r="M196" s="28">
        <f>ROUND(ROUND(J196, 2)*I196, 2)</f>
        <v>0</v>
      </c>
      <c r="P196" s="27">
        <v>37.049999999999997</v>
      </c>
      <c r="S196" s="28">
        <f>ROUND(ROUND(P196, 2)*I196, 2)</f>
        <v>0</v>
      </c>
    </row>
    <row r="197" spans="1:21" ht="36" hidden="1" x14ac:dyDescent="0.3">
      <c r="A197" s="101" t="s">
        <v>985</v>
      </c>
      <c r="B197" s="10"/>
      <c r="C197" s="24" t="s">
        <v>922</v>
      </c>
      <c r="D197" s="15"/>
      <c r="E197" s="15"/>
      <c r="F197" s="25" t="s">
        <v>76</v>
      </c>
      <c r="G197" s="26">
        <v>1</v>
      </c>
      <c r="H197" s="26"/>
      <c r="I197" s="108">
        <v>0</v>
      </c>
      <c r="J197" s="27">
        <v>60</v>
      </c>
      <c r="M197" s="28">
        <f>ROUND(ROUND(J197, 2)*I197, 2)</f>
        <v>0</v>
      </c>
      <c r="P197" s="27">
        <v>12.58</v>
      </c>
      <c r="S197" s="28">
        <f>ROUND(ROUND(P197, 2)*I197, 2)</f>
        <v>0</v>
      </c>
    </row>
    <row r="198" spans="1:21" ht="54" hidden="1" x14ac:dyDescent="0.3">
      <c r="A198" s="101" t="s">
        <v>990</v>
      </c>
      <c r="B198" s="10" t="s">
        <v>896</v>
      </c>
      <c r="C198" s="14" t="s">
        <v>897</v>
      </c>
      <c r="D198" s="15"/>
      <c r="E198" s="15" t="s">
        <v>968</v>
      </c>
      <c r="F198" s="15" t="s">
        <v>57</v>
      </c>
      <c r="G198" s="16">
        <v>1</v>
      </c>
      <c r="H198" s="16"/>
      <c r="I198" s="110">
        <v>0</v>
      </c>
      <c r="J198" s="17">
        <v>65.84</v>
      </c>
      <c r="K198" s="18">
        <v>329</v>
      </c>
      <c r="L198" s="17">
        <f>J198+ROUND(K198, 2)</f>
        <v>394.84000000000003</v>
      </c>
      <c r="M198" s="17">
        <v>0</v>
      </c>
      <c r="N198" s="17">
        <v>0</v>
      </c>
      <c r="O198" s="17">
        <f>M198+N198</f>
        <v>0</v>
      </c>
      <c r="P198" s="17">
        <v>47.08</v>
      </c>
      <c r="Q198" s="18">
        <v>329</v>
      </c>
      <c r="R198" s="17">
        <f>P198+ROUND(Q198, 2)</f>
        <v>376.08</v>
      </c>
      <c r="S198" s="17">
        <v>0</v>
      </c>
      <c r="T198" s="17">
        <v>0</v>
      </c>
      <c r="U198" s="17">
        <f>S198+T198</f>
        <v>0</v>
      </c>
    </row>
    <row r="199" spans="1:21" ht="36" hidden="1" x14ac:dyDescent="0.3">
      <c r="A199" s="101" t="s">
        <v>992</v>
      </c>
      <c r="B199" s="10"/>
      <c r="C199" s="24" t="s">
        <v>509</v>
      </c>
      <c r="D199" s="15"/>
      <c r="E199" s="15"/>
      <c r="F199" s="25" t="s">
        <v>76</v>
      </c>
      <c r="G199" s="26">
        <v>0.15</v>
      </c>
      <c r="H199" s="26"/>
      <c r="I199" s="108">
        <v>0</v>
      </c>
      <c r="J199" s="27">
        <v>88.8</v>
      </c>
      <c r="M199" s="28">
        <f>ROUND(ROUND(J199, 2)*I199, 2)</f>
        <v>0</v>
      </c>
      <c r="P199" s="27">
        <v>88.8</v>
      </c>
      <c r="S199" s="28">
        <f>ROUND(ROUND(P199, 2)*I199, 2)</f>
        <v>0</v>
      </c>
    </row>
    <row r="200" spans="1:21" ht="18" hidden="1" x14ac:dyDescent="0.3">
      <c r="A200" s="101" t="s">
        <v>997</v>
      </c>
      <c r="B200" s="10"/>
      <c r="C200" s="24" t="s">
        <v>907</v>
      </c>
      <c r="D200" s="15"/>
      <c r="E200" s="15"/>
      <c r="F200" s="25" t="s">
        <v>98</v>
      </c>
      <c r="G200" s="26">
        <v>0.3</v>
      </c>
      <c r="H200" s="36"/>
      <c r="I200" s="109">
        <v>0</v>
      </c>
      <c r="J200" s="27">
        <v>37.049999999999997</v>
      </c>
      <c r="M200" s="28">
        <f>ROUND(ROUND(J200, 2)*I200, 2)</f>
        <v>0</v>
      </c>
      <c r="P200" s="27">
        <v>37.049999999999997</v>
      </c>
      <c r="S200" s="28">
        <f>ROUND(ROUND(P200, 2)*I200, 2)</f>
        <v>0</v>
      </c>
    </row>
    <row r="201" spans="1:21" ht="36" hidden="1" x14ac:dyDescent="0.3">
      <c r="A201" s="101" t="s">
        <v>1002</v>
      </c>
      <c r="B201" s="10"/>
      <c r="C201" s="24" t="s">
        <v>934</v>
      </c>
      <c r="D201" s="15"/>
      <c r="E201" s="15"/>
      <c r="F201" s="25" t="s">
        <v>76</v>
      </c>
      <c r="G201" s="26">
        <v>1.8</v>
      </c>
      <c r="H201" s="26"/>
      <c r="I201" s="108">
        <v>0</v>
      </c>
      <c r="J201" s="27">
        <v>23</v>
      </c>
      <c r="M201" s="28">
        <f>ROUND(ROUND(J201, 2)*I201, 2)</f>
        <v>0</v>
      </c>
      <c r="P201" s="27">
        <v>12.58</v>
      </c>
      <c r="S201" s="28">
        <f>ROUND(ROUND(P201, 2)*I201, 2)</f>
        <v>0</v>
      </c>
    </row>
    <row r="202" spans="1:21" ht="54" hidden="1" x14ac:dyDescent="0.3">
      <c r="A202" s="101" t="s">
        <v>1007</v>
      </c>
      <c r="B202" s="10" t="s">
        <v>896</v>
      </c>
      <c r="C202" s="14" t="s">
        <v>897</v>
      </c>
      <c r="D202" s="15"/>
      <c r="E202" s="15" t="s">
        <v>364</v>
      </c>
      <c r="F202" s="15" t="s">
        <v>57</v>
      </c>
      <c r="G202" s="16">
        <v>1</v>
      </c>
      <c r="H202" s="16"/>
      <c r="I202" s="110">
        <v>0</v>
      </c>
      <c r="J202" s="17">
        <v>77.44</v>
      </c>
      <c r="K202" s="18">
        <v>329</v>
      </c>
      <c r="L202" s="17">
        <f>J202+ROUND(K202, 2)</f>
        <v>406.44</v>
      </c>
      <c r="M202" s="17">
        <v>0</v>
      </c>
      <c r="N202" s="17">
        <v>0</v>
      </c>
      <c r="O202" s="17">
        <f>M202+N202</f>
        <v>0</v>
      </c>
      <c r="P202" s="17">
        <v>77.44</v>
      </c>
      <c r="Q202" s="18">
        <v>329</v>
      </c>
      <c r="R202" s="17">
        <f>P202+ROUND(Q202, 2)</f>
        <v>406.44</v>
      </c>
      <c r="S202" s="17">
        <v>0</v>
      </c>
      <c r="T202" s="17">
        <v>0</v>
      </c>
      <c r="U202" s="17">
        <f>S202+T202</f>
        <v>0</v>
      </c>
    </row>
    <row r="203" spans="1:21" ht="36" hidden="1" x14ac:dyDescent="0.3">
      <c r="A203" s="101" t="s">
        <v>1009</v>
      </c>
      <c r="B203" s="10"/>
      <c r="C203" s="24" t="s">
        <v>509</v>
      </c>
      <c r="D203" s="15"/>
      <c r="E203" s="15"/>
      <c r="F203" s="25" t="s">
        <v>76</v>
      </c>
      <c r="G203" s="26">
        <v>0.15</v>
      </c>
      <c r="H203" s="26"/>
      <c r="I203" s="108">
        <v>0</v>
      </c>
      <c r="J203" s="27">
        <v>88.8</v>
      </c>
      <c r="M203" s="28">
        <f>ROUND(ROUND(J203, 2)*I203, 2)</f>
        <v>0</v>
      </c>
      <c r="P203" s="27">
        <v>88.8</v>
      </c>
      <c r="S203" s="28">
        <f>ROUND(ROUND(P203, 2)*I203, 2)</f>
        <v>0</v>
      </c>
    </row>
    <row r="204" spans="1:21" ht="18" hidden="1" x14ac:dyDescent="0.3">
      <c r="A204" s="101" t="s">
        <v>1014</v>
      </c>
      <c r="B204" s="10"/>
      <c r="C204" s="24" t="s">
        <v>949</v>
      </c>
      <c r="D204" s="15"/>
      <c r="E204" s="15"/>
      <c r="F204" s="25" t="s">
        <v>123</v>
      </c>
      <c r="G204" s="26">
        <v>1</v>
      </c>
      <c r="H204" s="36"/>
      <c r="I204" s="109">
        <v>0</v>
      </c>
      <c r="J204" s="27">
        <v>7</v>
      </c>
      <c r="M204" s="28">
        <f>ROUND(ROUND(J204, 2)*I204, 2)</f>
        <v>0</v>
      </c>
      <c r="P204" s="27">
        <v>7</v>
      </c>
      <c r="S204" s="28">
        <f>ROUND(ROUND(P204, 2)*I204, 2)</f>
        <v>0</v>
      </c>
    </row>
    <row r="205" spans="1:21" ht="18" hidden="1" x14ac:dyDescent="0.3">
      <c r="A205" s="101" t="s">
        <v>1019</v>
      </c>
      <c r="B205" s="10"/>
      <c r="C205" s="24" t="s">
        <v>907</v>
      </c>
      <c r="D205" s="15"/>
      <c r="E205" s="15"/>
      <c r="F205" s="25" t="s">
        <v>98</v>
      </c>
      <c r="G205" s="26">
        <v>0.3</v>
      </c>
      <c r="H205" s="36"/>
      <c r="I205" s="109">
        <v>0</v>
      </c>
      <c r="J205" s="27">
        <v>37.049999999999997</v>
      </c>
      <c r="M205" s="28">
        <f>ROUND(ROUND(J205, 2)*I205, 2)</f>
        <v>0</v>
      </c>
      <c r="P205" s="27">
        <v>37.049999999999997</v>
      </c>
      <c r="S205" s="28">
        <f>ROUND(ROUND(P205, 2)*I205, 2)</f>
        <v>0</v>
      </c>
    </row>
    <row r="206" spans="1:21" ht="18" hidden="1" x14ac:dyDescent="0.3">
      <c r="A206" s="101" t="s">
        <v>1024</v>
      </c>
      <c r="B206" s="10"/>
      <c r="C206" s="24" t="s">
        <v>902</v>
      </c>
      <c r="D206" s="15"/>
      <c r="E206" s="15"/>
      <c r="F206" s="25" t="s">
        <v>76</v>
      </c>
      <c r="G206" s="26">
        <v>2</v>
      </c>
      <c r="H206" s="26"/>
      <c r="I206" s="108">
        <v>0</v>
      </c>
      <c r="J206" s="27">
        <v>23</v>
      </c>
      <c r="M206" s="28">
        <f>ROUND(ROUND(J206, 2)*I206, 2)</f>
        <v>0</v>
      </c>
      <c r="P206" s="27">
        <v>23</v>
      </c>
      <c r="S206" s="28">
        <f>ROUND(ROUND(P206, 2)*I206, 2)</f>
        <v>0</v>
      </c>
    </row>
    <row r="207" spans="1:21" ht="54" hidden="1" x14ac:dyDescent="0.3">
      <c r="A207" s="101" t="s">
        <v>1029</v>
      </c>
      <c r="B207" s="10" t="s">
        <v>896</v>
      </c>
      <c r="C207" s="14" t="s">
        <v>897</v>
      </c>
      <c r="D207" s="15"/>
      <c r="E207" s="15" t="s">
        <v>364</v>
      </c>
      <c r="F207" s="15" t="s">
        <v>57</v>
      </c>
      <c r="G207" s="16">
        <v>1</v>
      </c>
      <c r="H207" s="16"/>
      <c r="I207" s="110">
        <v>0</v>
      </c>
      <c r="J207" s="17">
        <v>91.44</v>
      </c>
      <c r="K207" s="18">
        <v>329</v>
      </c>
      <c r="L207" s="17">
        <f>J207+ROUND(K207, 2)</f>
        <v>420.44</v>
      </c>
      <c r="M207" s="17">
        <v>0</v>
      </c>
      <c r="N207" s="17">
        <v>0</v>
      </c>
      <c r="O207" s="17">
        <f>M207+N207</f>
        <v>0</v>
      </c>
      <c r="P207" s="17">
        <v>44.02</v>
      </c>
      <c r="Q207" s="18">
        <v>329</v>
      </c>
      <c r="R207" s="17">
        <f>P207+ROUND(Q207, 2)</f>
        <v>373.02</v>
      </c>
      <c r="S207" s="17">
        <v>0</v>
      </c>
      <c r="T207" s="17">
        <v>0</v>
      </c>
      <c r="U207" s="17">
        <f>S207+T207</f>
        <v>0</v>
      </c>
    </row>
    <row r="208" spans="1:21" ht="36" hidden="1" x14ac:dyDescent="0.3">
      <c r="A208" s="101" t="s">
        <v>1031</v>
      </c>
      <c r="B208" s="10"/>
      <c r="C208" s="24" t="s">
        <v>509</v>
      </c>
      <c r="D208" s="15"/>
      <c r="E208" s="15"/>
      <c r="F208" s="25" t="s">
        <v>76</v>
      </c>
      <c r="G208" s="26">
        <v>0.15</v>
      </c>
      <c r="H208" s="26"/>
      <c r="I208" s="108">
        <v>0</v>
      </c>
      <c r="J208" s="27">
        <v>88.8</v>
      </c>
      <c r="M208" s="28">
        <f>ROUND(ROUND(J208, 2)*I208, 2)</f>
        <v>0</v>
      </c>
      <c r="P208" s="27">
        <v>88.8</v>
      </c>
      <c r="S208" s="28">
        <f>ROUND(ROUND(P208, 2)*I208, 2)</f>
        <v>0</v>
      </c>
    </row>
    <row r="209" spans="1:21" ht="18" hidden="1" x14ac:dyDescent="0.3">
      <c r="A209" s="101" t="s">
        <v>1036</v>
      </c>
      <c r="B209" s="10"/>
      <c r="C209" s="24" t="s">
        <v>949</v>
      </c>
      <c r="D209" s="15"/>
      <c r="E209" s="15"/>
      <c r="F209" s="25" t="s">
        <v>123</v>
      </c>
      <c r="G209" s="26">
        <v>1</v>
      </c>
      <c r="H209" s="36"/>
      <c r="I209" s="109">
        <v>0</v>
      </c>
      <c r="J209" s="27">
        <v>7</v>
      </c>
      <c r="M209" s="28">
        <f>ROUND(ROUND(J209, 2)*I209, 2)</f>
        <v>0</v>
      </c>
      <c r="P209" s="27">
        <v>7</v>
      </c>
      <c r="S209" s="28">
        <f>ROUND(ROUND(P209, 2)*I209, 2)</f>
        <v>0</v>
      </c>
    </row>
    <row r="210" spans="1:21" ht="18" hidden="1" x14ac:dyDescent="0.3">
      <c r="A210" s="101" t="s">
        <v>1041</v>
      </c>
      <c r="B210" s="10"/>
      <c r="C210" s="24" t="s">
        <v>907</v>
      </c>
      <c r="D210" s="15"/>
      <c r="E210" s="15"/>
      <c r="F210" s="25" t="s">
        <v>98</v>
      </c>
      <c r="G210" s="26">
        <v>0.3</v>
      </c>
      <c r="H210" s="36"/>
      <c r="I210" s="109">
        <v>0</v>
      </c>
      <c r="J210" s="27">
        <v>37.049999999999997</v>
      </c>
      <c r="M210" s="28">
        <f>ROUND(ROUND(J210, 2)*I210, 2)</f>
        <v>0</v>
      </c>
      <c r="P210" s="27">
        <v>37.049999999999997</v>
      </c>
      <c r="S210" s="28">
        <f>ROUND(ROUND(P210, 2)*I210, 2)</f>
        <v>0</v>
      </c>
    </row>
    <row r="211" spans="1:21" ht="36" hidden="1" x14ac:dyDescent="0.3">
      <c r="A211" s="101" t="s">
        <v>1046</v>
      </c>
      <c r="B211" s="10"/>
      <c r="C211" s="24" t="s">
        <v>922</v>
      </c>
      <c r="D211" s="15"/>
      <c r="E211" s="15"/>
      <c r="F211" s="25" t="s">
        <v>76</v>
      </c>
      <c r="G211" s="26">
        <v>1</v>
      </c>
      <c r="H211" s="26"/>
      <c r="I211" s="108">
        <v>0</v>
      </c>
      <c r="J211" s="27">
        <v>60</v>
      </c>
      <c r="M211" s="28">
        <f>ROUND(ROUND(J211, 2)*I211, 2)</f>
        <v>0</v>
      </c>
      <c r="P211" s="27">
        <v>12.58</v>
      </c>
      <c r="S211" s="28">
        <f>ROUND(ROUND(P211, 2)*I211, 2)</f>
        <v>0</v>
      </c>
    </row>
    <row r="212" spans="1:21" ht="54" hidden="1" x14ac:dyDescent="0.3">
      <c r="A212" s="101" t="s">
        <v>1051</v>
      </c>
      <c r="B212" s="10" t="s">
        <v>896</v>
      </c>
      <c r="C212" s="14" t="s">
        <v>897</v>
      </c>
      <c r="D212" s="15"/>
      <c r="E212" s="15" t="s">
        <v>364</v>
      </c>
      <c r="F212" s="15" t="s">
        <v>57</v>
      </c>
      <c r="G212" s="16">
        <v>1</v>
      </c>
      <c r="H212" s="16"/>
      <c r="I212" s="110">
        <v>0</v>
      </c>
      <c r="J212" s="17">
        <v>72.84</v>
      </c>
      <c r="K212" s="18">
        <v>329</v>
      </c>
      <c r="L212" s="17">
        <f>J212+ROUND(K212, 2)</f>
        <v>401.84000000000003</v>
      </c>
      <c r="M212" s="17">
        <v>0</v>
      </c>
      <c r="N212" s="17">
        <v>0</v>
      </c>
      <c r="O212" s="17">
        <f>M212+N212</f>
        <v>0</v>
      </c>
      <c r="P212" s="17">
        <v>54.08</v>
      </c>
      <c r="Q212" s="18">
        <v>329</v>
      </c>
      <c r="R212" s="17">
        <f>P212+ROUND(Q212, 2)</f>
        <v>383.08</v>
      </c>
      <c r="S212" s="17">
        <v>0</v>
      </c>
      <c r="T212" s="17">
        <v>0</v>
      </c>
      <c r="U212" s="17">
        <f>S212+T212</f>
        <v>0</v>
      </c>
    </row>
    <row r="213" spans="1:21" ht="36" hidden="1" x14ac:dyDescent="0.3">
      <c r="A213" s="101" t="s">
        <v>1053</v>
      </c>
      <c r="B213" s="10"/>
      <c r="C213" s="24" t="s">
        <v>509</v>
      </c>
      <c r="D213" s="15"/>
      <c r="E213" s="15"/>
      <c r="F213" s="25" t="s">
        <v>76</v>
      </c>
      <c r="G213" s="26">
        <v>0.15</v>
      </c>
      <c r="H213" s="26"/>
      <c r="I213" s="108">
        <v>0</v>
      </c>
      <c r="J213" s="27">
        <v>88.8</v>
      </c>
      <c r="M213" s="28">
        <f>ROUND(ROUND(J213, 2)*I213, 2)</f>
        <v>0</v>
      </c>
      <c r="P213" s="27">
        <v>88.8</v>
      </c>
      <c r="S213" s="28">
        <f>ROUND(ROUND(P213, 2)*I213, 2)</f>
        <v>0</v>
      </c>
    </row>
    <row r="214" spans="1:21" ht="18" hidden="1" x14ac:dyDescent="0.3">
      <c r="A214" s="101" t="s">
        <v>1058</v>
      </c>
      <c r="B214" s="10"/>
      <c r="C214" s="24" t="s">
        <v>949</v>
      </c>
      <c r="D214" s="15"/>
      <c r="E214" s="15"/>
      <c r="F214" s="25" t="s">
        <v>123</v>
      </c>
      <c r="G214" s="26">
        <v>1</v>
      </c>
      <c r="H214" s="36"/>
      <c r="I214" s="109">
        <v>0</v>
      </c>
      <c r="J214" s="27">
        <v>7</v>
      </c>
      <c r="M214" s="28">
        <f>ROUND(ROUND(J214, 2)*I214, 2)</f>
        <v>0</v>
      </c>
      <c r="P214" s="27">
        <v>7</v>
      </c>
      <c r="S214" s="28">
        <f>ROUND(ROUND(P214, 2)*I214, 2)</f>
        <v>0</v>
      </c>
    </row>
    <row r="215" spans="1:21" ht="18" hidden="1" x14ac:dyDescent="0.3">
      <c r="A215" s="101" t="s">
        <v>1063</v>
      </c>
      <c r="B215" s="10"/>
      <c r="C215" s="24" t="s">
        <v>907</v>
      </c>
      <c r="D215" s="15"/>
      <c r="E215" s="15"/>
      <c r="F215" s="25" t="s">
        <v>98</v>
      </c>
      <c r="G215" s="26">
        <v>0.3</v>
      </c>
      <c r="H215" s="36"/>
      <c r="I215" s="109">
        <v>0</v>
      </c>
      <c r="J215" s="27">
        <v>37.049999999999997</v>
      </c>
      <c r="M215" s="28">
        <f>ROUND(ROUND(J215, 2)*I215, 2)</f>
        <v>0</v>
      </c>
      <c r="P215" s="27">
        <v>37.049999999999997</v>
      </c>
      <c r="S215" s="28">
        <f>ROUND(ROUND(P215, 2)*I215, 2)</f>
        <v>0</v>
      </c>
    </row>
    <row r="216" spans="1:21" ht="36" hidden="1" x14ac:dyDescent="0.3">
      <c r="A216" s="101" t="s">
        <v>1068</v>
      </c>
      <c r="B216" s="10"/>
      <c r="C216" s="24" t="s">
        <v>934</v>
      </c>
      <c r="D216" s="15"/>
      <c r="E216" s="15"/>
      <c r="F216" s="25" t="s">
        <v>76</v>
      </c>
      <c r="G216" s="26">
        <v>1.8</v>
      </c>
      <c r="H216" s="26"/>
      <c r="I216" s="108">
        <v>0</v>
      </c>
      <c r="J216" s="27">
        <v>23</v>
      </c>
      <c r="M216" s="28">
        <f>ROUND(ROUND(J216, 2)*I216, 2)</f>
        <v>0</v>
      </c>
      <c r="P216" s="27">
        <v>12.58</v>
      </c>
      <c r="S216" s="28">
        <f>ROUND(ROUND(P216, 2)*I216, 2)</f>
        <v>0</v>
      </c>
    </row>
    <row r="217" spans="1:21" ht="54" x14ac:dyDescent="0.3">
      <c r="A217" s="102" t="s">
        <v>1073</v>
      </c>
      <c r="B217" s="74" t="s">
        <v>1074</v>
      </c>
      <c r="C217" s="75" t="s">
        <v>1075</v>
      </c>
      <c r="D217" s="76"/>
      <c r="E217" s="76" t="s">
        <v>1076</v>
      </c>
      <c r="F217" s="76" t="s">
        <v>57</v>
      </c>
      <c r="G217" s="77">
        <v>1</v>
      </c>
      <c r="H217" s="77"/>
      <c r="I217" s="107">
        <v>76.599999999999994</v>
      </c>
      <c r="J217" s="78">
        <f>IFERROR(ROUND(SUM(M218,M219,M220)/I217, 2),0)</f>
        <v>82.62</v>
      </c>
      <c r="K217" s="73">
        <v>639</v>
      </c>
      <c r="L217" s="78">
        <f>J217+ROUND(K217, 2)</f>
        <v>721.62</v>
      </c>
      <c r="M217" s="78">
        <f>ROUND(J217*I217, 2)</f>
        <v>6328.69</v>
      </c>
      <c r="N217" s="78">
        <f>ROUND(I217*ROUND(K217, 2), 2)</f>
        <v>48947.4</v>
      </c>
      <c r="O217" s="78">
        <f>M217+N217</f>
        <v>55276.090000000004</v>
      </c>
      <c r="P217" s="78">
        <f>IFERROR(ROUND(SUM(S218,S219,S220)/I217, 2),0)</f>
        <v>91.32</v>
      </c>
      <c r="Q217" s="79">
        <v>639</v>
      </c>
      <c r="R217" s="78">
        <f>P217+ROUND(Q217, 2)</f>
        <v>730.31999999999994</v>
      </c>
      <c r="S217" s="78">
        <f>ROUND(P217*I217, 2)</f>
        <v>6995.11</v>
      </c>
      <c r="T217" s="78">
        <f>ROUND(I217*ROUND(Q217, 2), 2)</f>
        <v>48947.4</v>
      </c>
      <c r="U217" s="78">
        <f>S217+T217</f>
        <v>55942.51</v>
      </c>
    </row>
    <row r="218" spans="1:21" ht="36" x14ac:dyDescent="0.3">
      <c r="A218" s="101" t="s">
        <v>1079</v>
      </c>
      <c r="B218" s="10"/>
      <c r="C218" s="24" t="s">
        <v>902</v>
      </c>
      <c r="D218" s="15"/>
      <c r="E218" s="15" t="s">
        <v>1080</v>
      </c>
      <c r="F218" s="25" t="s">
        <v>76</v>
      </c>
      <c r="G218" s="26">
        <v>2</v>
      </c>
      <c r="H218" s="26"/>
      <c r="I218" s="108">
        <v>153.19999999999999</v>
      </c>
      <c r="J218" s="27">
        <v>23.39</v>
      </c>
      <c r="M218" s="28">
        <f>ROUND(ROUND(J218, 2)*I218, 2)</f>
        <v>3583.35</v>
      </c>
      <c r="P218" s="29">
        <v>27.85</v>
      </c>
      <c r="S218" s="28">
        <f>ROUND(ROUND(P218, 2)*I218, 2)</f>
        <v>4266.62</v>
      </c>
    </row>
    <row r="219" spans="1:21" ht="36" x14ac:dyDescent="0.3">
      <c r="A219" s="101" t="s">
        <v>1083</v>
      </c>
      <c r="B219" s="10"/>
      <c r="C219" s="24" t="s">
        <v>1084</v>
      </c>
      <c r="D219" s="15"/>
      <c r="E219" s="15"/>
      <c r="F219" s="25" t="s">
        <v>98</v>
      </c>
      <c r="G219" s="26">
        <v>0.3</v>
      </c>
      <c r="H219" s="26"/>
      <c r="I219" s="108">
        <v>22.98</v>
      </c>
      <c r="J219" s="27">
        <v>74.319999999999993</v>
      </c>
      <c r="M219" s="28">
        <f>ROUND(ROUND(J219, 2)*I219, 2)</f>
        <v>1707.87</v>
      </c>
      <c r="P219" s="29">
        <v>74.319999999999993</v>
      </c>
      <c r="S219" s="28">
        <f>ROUND(ROUND(P219, 2)*I219, 2)</f>
        <v>1707.87</v>
      </c>
    </row>
    <row r="220" spans="1:21" ht="36" x14ac:dyDescent="0.3">
      <c r="A220" s="101" t="s">
        <v>1088</v>
      </c>
      <c r="B220" s="10"/>
      <c r="C220" s="24" t="s">
        <v>509</v>
      </c>
      <c r="D220" s="15"/>
      <c r="E220" s="15"/>
      <c r="F220" s="25" t="s">
        <v>76</v>
      </c>
      <c r="G220" s="26">
        <v>0.15</v>
      </c>
      <c r="H220" s="26"/>
      <c r="I220" s="108">
        <v>11.49</v>
      </c>
      <c r="J220" s="27">
        <v>90.28</v>
      </c>
      <c r="M220" s="28">
        <f>ROUND(ROUND(J220, 2)*I220, 2)</f>
        <v>1037.32</v>
      </c>
      <c r="P220" s="29">
        <v>88.8</v>
      </c>
      <c r="S220" s="28">
        <f>ROUND(ROUND(P220, 2)*I220, 2)</f>
        <v>1020.31</v>
      </c>
    </row>
    <row r="221" spans="1:21" ht="48" customHeight="1" x14ac:dyDescent="0.3">
      <c r="A221" s="102" t="s">
        <v>1091</v>
      </c>
      <c r="B221" s="74" t="s">
        <v>1074</v>
      </c>
      <c r="C221" s="75" t="s">
        <v>1075</v>
      </c>
      <c r="D221" s="76"/>
      <c r="E221" s="76" t="s">
        <v>1092</v>
      </c>
      <c r="F221" s="76" t="s">
        <v>57</v>
      </c>
      <c r="G221" s="77">
        <v>1</v>
      </c>
      <c r="H221" s="77"/>
      <c r="I221" s="107">
        <v>76.599999999999994</v>
      </c>
      <c r="J221" s="78">
        <f>IFERROR(ROUND(SUM(M222,M223)/I221, 2),0)</f>
        <v>60.32</v>
      </c>
      <c r="K221" s="73">
        <v>639</v>
      </c>
      <c r="L221" s="78">
        <f>J221+ROUND(K221, 2)</f>
        <v>699.32</v>
      </c>
      <c r="M221" s="78">
        <f>ROUND(J221*I221, 2)</f>
        <v>4620.51</v>
      </c>
      <c r="N221" s="78">
        <f>ROUND(I221*ROUND(K221, 2), 2)</f>
        <v>48947.4</v>
      </c>
      <c r="O221" s="78">
        <f>M221+N221</f>
        <v>53567.91</v>
      </c>
      <c r="P221" s="78">
        <f>IFERROR(ROUND(SUM(S222,S223)/I221, 2),0)</f>
        <v>77.94</v>
      </c>
      <c r="Q221" s="79">
        <v>639</v>
      </c>
      <c r="R221" s="78">
        <f>P221+ROUND(Q221, 2)</f>
        <v>716.94</v>
      </c>
      <c r="S221" s="78">
        <f>ROUND(P221*I221, 2)</f>
        <v>5970.2</v>
      </c>
      <c r="T221" s="78">
        <f>ROUND(I221*ROUND(Q221, 2), 2)</f>
        <v>48947.4</v>
      </c>
      <c r="U221" s="78">
        <f>S221+T221</f>
        <v>54917.599999999999</v>
      </c>
    </row>
    <row r="222" spans="1:21" ht="36" x14ac:dyDescent="0.3">
      <c r="A222" s="101" t="s">
        <v>1093</v>
      </c>
      <c r="B222" s="10"/>
      <c r="C222" s="24" t="s">
        <v>509</v>
      </c>
      <c r="D222" s="15"/>
      <c r="E222" s="15"/>
      <c r="F222" s="25" t="s">
        <v>76</v>
      </c>
      <c r="G222" s="26">
        <v>0.15</v>
      </c>
      <c r="H222" s="26"/>
      <c r="I222" s="108">
        <v>11.49</v>
      </c>
      <c r="J222" s="27">
        <v>90.28</v>
      </c>
      <c r="M222" s="28">
        <f>ROUND(ROUND(J222, 2)*I222, 2)</f>
        <v>1037.32</v>
      </c>
      <c r="P222" s="29">
        <v>88.8</v>
      </c>
      <c r="S222" s="28">
        <f>ROUND(ROUND(P222, 2)*I222, 2)</f>
        <v>1020.31</v>
      </c>
    </row>
    <row r="223" spans="1:21" ht="18" x14ac:dyDescent="0.3">
      <c r="A223" s="101" t="s">
        <v>1096</v>
      </c>
      <c r="B223" s="10"/>
      <c r="C223" s="24" t="s">
        <v>902</v>
      </c>
      <c r="D223" s="15"/>
      <c r="E223" s="15" t="s">
        <v>1097</v>
      </c>
      <c r="F223" s="25" t="s">
        <v>76</v>
      </c>
      <c r="G223" s="26">
        <v>2</v>
      </c>
      <c r="H223" s="26"/>
      <c r="I223" s="108">
        <v>153.19999999999999</v>
      </c>
      <c r="J223" s="27">
        <v>23.39</v>
      </c>
      <c r="M223" s="28">
        <f>ROUND(ROUND(J223, 2)*I223, 2)</f>
        <v>3583.35</v>
      </c>
      <c r="P223" s="29">
        <v>32.31</v>
      </c>
      <c r="S223" s="28">
        <f>ROUND(ROUND(P223, 2)*I223, 2)</f>
        <v>4949.8900000000003</v>
      </c>
    </row>
    <row r="224" spans="1:21" ht="52.95" customHeight="1" x14ac:dyDescent="0.3">
      <c r="A224" s="102" t="s">
        <v>1100</v>
      </c>
      <c r="B224" s="74" t="s">
        <v>1074</v>
      </c>
      <c r="C224" s="75" t="s">
        <v>1075</v>
      </c>
      <c r="D224" s="76"/>
      <c r="E224" s="76" t="s">
        <v>1101</v>
      </c>
      <c r="F224" s="76" t="s">
        <v>57</v>
      </c>
      <c r="G224" s="77">
        <v>1</v>
      </c>
      <c r="H224" s="77"/>
      <c r="I224" s="107">
        <v>76.599999999999994</v>
      </c>
      <c r="J224" s="78">
        <f>IFERROR(ROUND(SUM(M225,M226)/I224, 2),0)</f>
        <v>60.32</v>
      </c>
      <c r="K224" s="73">
        <v>639</v>
      </c>
      <c r="L224" s="78">
        <f>J224+ROUND(K224, 2)</f>
        <v>699.32</v>
      </c>
      <c r="M224" s="78">
        <f>ROUND(J224*I224, 2)</f>
        <v>4620.51</v>
      </c>
      <c r="N224" s="78">
        <f>ROUND(I224*ROUND(K224, 2), 2)</f>
        <v>48947.4</v>
      </c>
      <c r="O224" s="78">
        <f>M224+N224</f>
        <v>53567.91</v>
      </c>
      <c r="P224" s="78">
        <f>IFERROR(ROUND(SUM(S225,S226)/I224, 2),0)</f>
        <v>98.52</v>
      </c>
      <c r="Q224" s="79">
        <v>639</v>
      </c>
      <c r="R224" s="78">
        <f>P224+ROUND(Q224, 2)</f>
        <v>737.52</v>
      </c>
      <c r="S224" s="78">
        <f>ROUND(P224*I224, 2)</f>
        <v>7546.63</v>
      </c>
      <c r="T224" s="78">
        <f>ROUND(I224*ROUND(Q224, 2), 2)</f>
        <v>48947.4</v>
      </c>
      <c r="U224" s="78">
        <f>S224+T224</f>
        <v>56494.03</v>
      </c>
    </row>
    <row r="225" spans="1:21" ht="36" x14ac:dyDescent="0.3">
      <c r="A225" s="101" t="s">
        <v>1102</v>
      </c>
      <c r="B225" s="10"/>
      <c r="C225" s="24" t="s">
        <v>509</v>
      </c>
      <c r="D225" s="15"/>
      <c r="E225" s="15"/>
      <c r="F225" s="25" t="s">
        <v>76</v>
      </c>
      <c r="G225" s="26">
        <v>0.15</v>
      </c>
      <c r="H225" s="26"/>
      <c r="I225" s="108">
        <v>11.49</v>
      </c>
      <c r="J225" s="27">
        <v>90.28</v>
      </c>
      <c r="M225" s="28">
        <f>ROUND(ROUND(J225, 2)*I225, 2)</f>
        <v>1037.32</v>
      </c>
      <c r="P225" s="29">
        <v>88.8</v>
      </c>
      <c r="S225" s="28">
        <f>ROUND(ROUND(P225, 2)*I225, 2)</f>
        <v>1020.31</v>
      </c>
    </row>
    <row r="226" spans="1:21" ht="18" x14ac:dyDescent="0.3">
      <c r="A226" s="101" t="s">
        <v>1105</v>
      </c>
      <c r="B226" s="10"/>
      <c r="C226" s="24" t="s">
        <v>902</v>
      </c>
      <c r="D226" s="15"/>
      <c r="E226" s="15" t="s">
        <v>1106</v>
      </c>
      <c r="F226" s="25" t="s">
        <v>76</v>
      </c>
      <c r="G226" s="26">
        <v>2</v>
      </c>
      <c r="H226" s="26"/>
      <c r="I226" s="108">
        <v>153.19999999999999</v>
      </c>
      <c r="J226" s="27">
        <v>23.39</v>
      </c>
      <c r="M226" s="28">
        <f>ROUND(ROUND(J226, 2)*I226, 2)</f>
        <v>3583.35</v>
      </c>
      <c r="P226" s="29">
        <v>42.6</v>
      </c>
      <c r="S226" s="28">
        <f>ROUND(ROUND(P226, 2)*I226, 2)</f>
        <v>6526.32</v>
      </c>
    </row>
    <row r="227" spans="1:21" ht="36" x14ac:dyDescent="0.3">
      <c r="A227" s="101" t="s">
        <v>1109</v>
      </c>
      <c r="B227" s="10" t="s">
        <v>1074</v>
      </c>
      <c r="C227" s="14" t="s">
        <v>1075</v>
      </c>
      <c r="D227" s="15"/>
      <c r="E227" s="15" t="s">
        <v>1110</v>
      </c>
      <c r="F227" s="15" t="s">
        <v>57</v>
      </c>
      <c r="G227" s="16">
        <v>1</v>
      </c>
      <c r="H227" s="16"/>
      <c r="I227" s="110">
        <v>520.01</v>
      </c>
      <c r="J227" s="17">
        <f>IFERROR(ROUND(SUM(M228,M229,M230)/I227, 2),0)</f>
        <v>82.62</v>
      </c>
      <c r="K227" s="18">
        <v>639</v>
      </c>
      <c r="L227" s="17">
        <f>J227+ROUND(K227, 2)</f>
        <v>721.62</v>
      </c>
      <c r="M227" s="17">
        <f>ROUND(J227*I227, 2)</f>
        <v>42963.23</v>
      </c>
      <c r="N227" s="17">
        <f>ROUND(I227*ROUND(K227, 2), 2)</f>
        <v>332286.39</v>
      </c>
      <c r="O227" s="17">
        <f>M227+N227</f>
        <v>375249.62</v>
      </c>
      <c r="P227" s="17">
        <f>IFERROR(ROUND(SUM(S228,S229,S230)/I227, 2),0)</f>
        <v>91.32</v>
      </c>
      <c r="Q227" s="19">
        <v>639</v>
      </c>
      <c r="R227" s="17">
        <f>P227+ROUND(Q227, 2)</f>
        <v>730.31999999999994</v>
      </c>
      <c r="S227" s="17">
        <f>ROUND(P227*I227, 2)</f>
        <v>47487.31</v>
      </c>
      <c r="T227" s="17">
        <f>ROUND(I227*ROUND(Q227, 2), 2)</f>
        <v>332286.39</v>
      </c>
      <c r="U227" s="17">
        <f>S227+T227</f>
        <v>379773.7</v>
      </c>
    </row>
    <row r="228" spans="1:21" ht="36" x14ac:dyDescent="0.3">
      <c r="A228" s="101" t="s">
        <v>1111</v>
      </c>
      <c r="B228" s="10"/>
      <c r="C228" s="24" t="s">
        <v>509</v>
      </c>
      <c r="D228" s="15"/>
      <c r="E228" s="15"/>
      <c r="F228" s="25" t="s">
        <v>76</v>
      </c>
      <c r="G228" s="26">
        <v>0.15</v>
      </c>
      <c r="H228" s="26"/>
      <c r="I228" s="108">
        <v>78.001999999999995</v>
      </c>
      <c r="J228" s="27">
        <v>90.28</v>
      </c>
      <c r="M228" s="28">
        <f>ROUND(ROUND(J228, 2)*I228, 2)</f>
        <v>7042.02</v>
      </c>
      <c r="P228" s="29">
        <v>88.8</v>
      </c>
      <c r="S228" s="28">
        <f>ROUND(ROUND(P228, 2)*I228, 2)</f>
        <v>6926.58</v>
      </c>
    </row>
    <row r="229" spans="1:21" ht="36" x14ac:dyDescent="0.3">
      <c r="A229" s="101" t="s">
        <v>1114</v>
      </c>
      <c r="B229" s="10"/>
      <c r="C229" s="24" t="s">
        <v>1084</v>
      </c>
      <c r="D229" s="15"/>
      <c r="E229" s="15"/>
      <c r="F229" s="25" t="s">
        <v>98</v>
      </c>
      <c r="G229" s="26">
        <v>0.3</v>
      </c>
      <c r="H229" s="26"/>
      <c r="I229" s="108">
        <v>156.00299999999999</v>
      </c>
      <c r="J229" s="27">
        <v>74.319999999999993</v>
      </c>
      <c r="M229" s="28">
        <f>ROUND(ROUND(J229, 2)*I229, 2)</f>
        <v>11594.14</v>
      </c>
      <c r="P229" s="29">
        <v>74.319999999999993</v>
      </c>
      <c r="S229" s="28">
        <f>ROUND(ROUND(P229, 2)*I229, 2)</f>
        <v>11594.14</v>
      </c>
    </row>
    <row r="230" spans="1:21" ht="36" x14ac:dyDescent="0.3">
      <c r="A230" s="101" t="s">
        <v>1117</v>
      </c>
      <c r="B230" s="10"/>
      <c r="C230" s="24" t="s">
        <v>902</v>
      </c>
      <c r="D230" s="15"/>
      <c r="E230" s="15" t="s">
        <v>1080</v>
      </c>
      <c r="F230" s="25" t="s">
        <v>76</v>
      </c>
      <c r="G230" s="26">
        <v>2</v>
      </c>
      <c r="H230" s="26"/>
      <c r="I230" s="108">
        <v>1040.02</v>
      </c>
      <c r="J230" s="27">
        <v>23.39</v>
      </c>
      <c r="M230" s="28">
        <f>ROUND(ROUND(J230, 2)*I230, 2)</f>
        <v>24326.07</v>
      </c>
      <c r="P230" s="29">
        <v>27.85</v>
      </c>
      <c r="S230" s="28">
        <f>ROUND(ROUND(P230, 2)*I230, 2)</f>
        <v>28964.560000000001</v>
      </c>
    </row>
    <row r="231" spans="1:21" ht="36" x14ac:dyDescent="0.3">
      <c r="A231" s="101" t="s">
        <v>1120</v>
      </c>
      <c r="B231" s="10" t="s">
        <v>1074</v>
      </c>
      <c r="C231" s="14" t="s">
        <v>1075</v>
      </c>
      <c r="D231" s="15"/>
      <c r="E231" s="15" t="s">
        <v>1121</v>
      </c>
      <c r="F231" s="15" t="s">
        <v>57</v>
      </c>
      <c r="G231" s="16">
        <v>1</v>
      </c>
      <c r="H231" s="16"/>
      <c r="I231" s="110">
        <v>520.01</v>
      </c>
      <c r="J231" s="17">
        <f>IFERROR(ROUND(SUM(M232,M233)/I231, 2),0)</f>
        <v>60.32</v>
      </c>
      <c r="K231" s="18">
        <v>639</v>
      </c>
      <c r="L231" s="17">
        <f>J231+ROUND(K231, 2)</f>
        <v>699.32</v>
      </c>
      <c r="M231" s="17">
        <f>ROUND(J231*I231, 2)</f>
        <v>31367</v>
      </c>
      <c r="N231" s="17">
        <f>ROUND(I231*ROUND(K231, 2), 2)</f>
        <v>332286.39</v>
      </c>
      <c r="O231" s="17">
        <f>M231+N231</f>
        <v>363653.39</v>
      </c>
      <c r="P231" s="17">
        <f>IFERROR(ROUND(SUM(S232,S233)/I231, 2),0)</f>
        <v>77.94</v>
      </c>
      <c r="Q231" s="19">
        <v>639</v>
      </c>
      <c r="R231" s="17">
        <f>P231+ROUND(Q231, 2)</f>
        <v>716.94</v>
      </c>
      <c r="S231" s="17">
        <f>ROUND(P231*I231, 2)</f>
        <v>40529.58</v>
      </c>
      <c r="T231" s="17">
        <f>ROUND(I231*ROUND(Q231, 2), 2)</f>
        <v>332286.39</v>
      </c>
      <c r="U231" s="17">
        <f>S231+T231</f>
        <v>372815.97000000003</v>
      </c>
    </row>
    <row r="232" spans="1:21" ht="36" x14ac:dyDescent="0.3">
      <c r="A232" s="101" t="s">
        <v>1122</v>
      </c>
      <c r="B232" s="10"/>
      <c r="C232" s="24" t="s">
        <v>509</v>
      </c>
      <c r="D232" s="15"/>
      <c r="E232" s="15"/>
      <c r="F232" s="25" t="s">
        <v>76</v>
      </c>
      <c r="G232" s="26">
        <v>0.15</v>
      </c>
      <c r="H232" s="26"/>
      <c r="I232" s="108">
        <v>78.001999999999995</v>
      </c>
      <c r="J232" s="27">
        <v>90.28</v>
      </c>
      <c r="M232" s="28">
        <f>ROUND(ROUND(J232, 2)*I232, 2)</f>
        <v>7042.02</v>
      </c>
      <c r="P232" s="29">
        <v>88.8</v>
      </c>
      <c r="S232" s="28">
        <f>ROUND(ROUND(P232, 2)*I232, 2)</f>
        <v>6926.58</v>
      </c>
    </row>
    <row r="233" spans="1:21" ht="18" x14ac:dyDescent="0.3">
      <c r="A233" s="101" t="s">
        <v>1125</v>
      </c>
      <c r="B233" s="10"/>
      <c r="C233" s="24" t="s">
        <v>902</v>
      </c>
      <c r="D233" s="15"/>
      <c r="E233" s="15" t="s">
        <v>1097</v>
      </c>
      <c r="F233" s="25" t="s">
        <v>76</v>
      </c>
      <c r="G233" s="26">
        <v>2</v>
      </c>
      <c r="H233" s="26"/>
      <c r="I233" s="108">
        <v>1040.02</v>
      </c>
      <c r="J233" s="27">
        <v>23.39</v>
      </c>
      <c r="M233" s="28">
        <f>ROUND(ROUND(J233, 2)*I233, 2)</f>
        <v>24326.07</v>
      </c>
      <c r="P233" s="29">
        <v>32.31</v>
      </c>
      <c r="S233" s="28">
        <f>ROUND(ROUND(P233, 2)*I233, 2)</f>
        <v>33603.050000000003</v>
      </c>
    </row>
    <row r="234" spans="1:21" ht="36" x14ac:dyDescent="0.3">
      <c r="A234" s="101" t="s">
        <v>1128</v>
      </c>
      <c r="B234" s="10" t="s">
        <v>1074</v>
      </c>
      <c r="C234" s="14" t="s">
        <v>1075</v>
      </c>
      <c r="D234" s="15"/>
      <c r="E234" s="15" t="s">
        <v>1129</v>
      </c>
      <c r="F234" s="15" t="s">
        <v>57</v>
      </c>
      <c r="G234" s="16">
        <v>1</v>
      </c>
      <c r="H234" s="16"/>
      <c r="I234" s="110">
        <v>520.01</v>
      </c>
      <c r="J234" s="17">
        <f>IFERROR(ROUND(SUM(M235,M236)/I234, 2),0)</f>
        <v>60.32</v>
      </c>
      <c r="K234" s="18">
        <v>639</v>
      </c>
      <c r="L234" s="17">
        <f>J234+ROUND(K234, 2)</f>
        <v>699.32</v>
      </c>
      <c r="M234" s="17">
        <f>ROUND(J234*I234, 2)</f>
        <v>31367</v>
      </c>
      <c r="N234" s="17">
        <f>ROUND(I234*ROUND(K234, 2), 2)</f>
        <v>332286.39</v>
      </c>
      <c r="O234" s="17">
        <f>M234+N234</f>
        <v>363653.39</v>
      </c>
      <c r="P234" s="17">
        <f>IFERROR(ROUND(SUM(S235,S236)/I234, 2),0)</f>
        <v>98.52</v>
      </c>
      <c r="Q234" s="19">
        <v>639</v>
      </c>
      <c r="R234" s="17">
        <f>P234+ROUND(Q234, 2)</f>
        <v>737.52</v>
      </c>
      <c r="S234" s="17">
        <f>ROUND(P234*I234, 2)</f>
        <v>51231.39</v>
      </c>
      <c r="T234" s="17">
        <f>ROUND(I234*ROUND(Q234, 2), 2)</f>
        <v>332286.39</v>
      </c>
      <c r="U234" s="17">
        <f>S234+T234</f>
        <v>383517.78</v>
      </c>
    </row>
    <row r="235" spans="1:21" ht="36" x14ac:dyDescent="0.3">
      <c r="A235" s="101" t="s">
        <v>1130</v>
      </c>
      <c r="B235" s="10"/>
      <c r="C235" s="24" t="s">
        <v>509</v>
      </c>
      <c r="D235" s="15"/>
      <c r="E235" s="15"/>
      <c r="F235" s="25" t="s">
        <v>76</v>
      </c>
      <c r="G235" s="26">
        <v>0.15</v>
      </c>
      <c r="H235" s="26"/>
      <c r="I235" s="108">
        <v>78.001999999999995</v>
      </c>
      <c r="J235" s="27">
        <v>90.28</v>
      </c>
      <c r="M235" s="28">
        <f>ROUND(ROUND(J235, 2)*I235, 2)</f>
        <v>7042.02</v>
      </c>
      <c r="P235" s="29">
        <v>88.8</v>
      </c>
      <c r="S235" s="28">
        <f>ROUND(ROUND(P235, 2)*I235, 2)</f>
        <v>6926.58</v>
      </c>
    </row>
    <row r="236" spans="1:21" ht="18" x14ac:dyDescent="0.3">
      <c r="A236" s="101" t="s">
        <v>1133</v>
      </c>
      <c r="B236" s="10"/>
      <c r="C236" s="24" t="s">
        <v>902</v>
      </c>
      <c r="D236" s="15"/>
      <c r="E236" s="15" t="s">
        <v>1106</v>
      </c>
      <c r="F236" s="25" t="s">
        <v>76</v>
      </c>
      <c r="G236" s="26">
        <v>2</v>
      </c>
      <c r="H236" s="26"/>
      <c r="I236" s="108">
        <v>1040.02</v>
      </c>
      <c r="J236" s="27">
        <v>23.39</v>
      </c>
      <c r="M236" s="28">
        <f>ROUND(ROUND(J236, 2)*I236, 2)</f>
        <v>24326.07</v>
      </c>
      <c r="P236" s="29">
        <v>42.6</v>
      </c>
      <c r="S236" s="28">
        <f>ROUND(ROUND(P236, 2)*I236, 2)</f>
        <v>44304.85</v>
      </c>
    </row>
    <row r="237" spans="1:21" ht="54" x14ac:dyDescent="0.3">
      <c r="A237" s="101" t="s">
        <v>1136</v>
      </c>
      <c r="B237" s="10" t="s">
        <v>1074</v>
      </c>
      <c r="C237" s="14" t="s">
        <v>1075</v>
      </c>
      <c r="D237" s="15"/>
      <c r="E237" s="15" t="s">
        <v>1137</v>
      </c>
      <c r="F237" s="15" t="s">
        <v>57</v>
      </c>
      <c r="G237" s="16">
        <v>1</v>
      </c>
      <c r="H237" s="16"/>
      <c r="I237" s="110">
        <v>66.28</v>
      </c>
      <c r="J237" s="17">
        <f>IFERROR(ROUND(SUM(M238,M239,M240)/I237, 2),0)</f>
        <v>54.23</v>
      </c>
      <c r="K237" s="18">
        <v>639</v>
      </c>
      <c r="L237" s="17">
        <f>J237+ROUND(K237, 2)</f>
        <v>693.23</v>
      </c>
      <c r="M237" s="17">
        <f>ROUND(J237*I237, 2)</f>
        <v>3594.36</v>
      </c>
      <c r="N237" s="17">
        <f>ROUND(I237*ROUND(K237, 2), 2)</f>
        <v>42352.92</v>
      </c>
      <c r="O237" s="17">
        <f>M237+N237</f>
        <v>45947.28</v>
      </c>
      <c r="P237" s="17">
        <f>IFERROR(ROUND(SUM(S238,S239,S240)/I237, 2),0)</f>
        <v>54.49</v>
      </c>
      <c r="Q237" s="19">
        <v>639</v>
      </c>
      <c r="R237" s="17">
        <f>P237+ROUND(Q237, 2)</f>
        <v>693.49</v>
      </c>
      <c r="S237" s="17">
        <f>ROUND(P237*I237, 2)</f>
        <v>3611.6</v>
      </c>
      <c r="T237" s="17">
        <f>ROUND(I237*ROUND(Q237, 2), 2)</f>
        <v>42352.92</v>
      </c>
      <c r="U237" s="17">
        <f>S237+T237</f>
        <v>45964.52</v>
      </c>
    </row>
    <row r="238" spans="1:21" ht="36" x14ac:dyDescent="0.3">
      <c r="A238" s="101" t="s">
        <v>1138</v>
      </c>
      <c r="B238" s="10"/>
      <c r="C238" s="24" t="s">
        <v>509</v>
      </c>
      <c r="D238" s="15"/>
      <c r="E238" s="15"/>
      <c r="F238" s="25" t="s">
        <v>76</v>
      </c>
      <c r="G238" s="26">
        <v>0.15</v>
      </c>
      <c r="H238" s="26"/>
      <c r="I238" s="108">
        <v>9.9420000000000002</v>
      </c>
      <c r="J238" s="27">
        <v>90.28</v>
      </c>
      <c r="M238" s="28">
        <f>ROUND(ROUND(J238, 2)*I238, 2)</f>
        <v>897.56</v>
      </c>
      <c r="P238" s="29">
        <v>88.8</v>
      </c>
      <c r="S238" s="28">
        <f>ROUND(ROUND(P238, 2)*I238, 2)</f>
        <v>882.85</v>
      </c>
    </row>
    <row r="239" spans="1:21" ht="36" x14ac:dyDescent="0.3">
      <c r="A239" s="101" t="s">
        <v>1141</v>
      </c>
      <c r="B239" s="10"/>
      <c r="C239" s="24" t="s">
        <v>1084</v>
      </c>
      <c r="D239" s="15"/>
      <c r="E239" s="15"/>
      <c r="F239" s="25" t="s">
        <v>98</v>
      </c>
      <c r="G239" s="26">
        <v>0.3</v>
      </c>
      <c r="H239" s="26"/>
      <c r="I239" s="108">
        <v>19.884</v>
      </c>
      <c r="J239" s="27">
        <v>74.319999999999993</v>
      </c>
      <c r="M239" s="28">
        <f>ROUND(ROUND(J239, 2)*I239, 2)</f>
        <v>1477.78</v>
      </c>
      <c r="P239" s="29">
        <v>74.319999999999993</v>
      </c>
      <c r="S239" s="28">
        <f>ROUND(ROUND(P239, 2)*I239, 2)</f>
        <v>1477.78</v>
      </c>
    </row>
    <row r="240" spans="1:21" ht="36" x14ac:dyDescent="0.3">
      <c r="A240" s="101" t="s">
        <v>1144</v>
      </c>
      <c r="B240" s="10"/>
      <c r="C240" s="35" t="s">
        <v>961</v>
      </c>
      <c r="D240" s="15"/>
      <c r="E240" s="15"/>
      <c r="F240" s="25" t="s">
        <v>76</v>
      </c>
      <c r="G240" s="26">
        <v>1.5</v>
      </c>
      <c r="H240" s="26"/>
      <c r="I240" s="108">
        <v>99.42</v>
      </c>
      <c r="J240" s="27">
        <v>12.26</v>
      </c>
      <c r="M240" s="28">
        <f>ROUND(ROUND(J240, 2)*I240, 2)</f>
        <v>1218.8900000000001</v>
      </c>
      <c r="P240" s="29">
        <v>12.58</v>
      </c>
      <c r="S240" s="28">
        <f>ROUND(ROUND(P240, 2)*I240, 2)</f>
        <v>1250.7</v>
      </c>
    </row>
    <row r="241" spans="1:21" ht="36" x14ac:dyDescent="0.3">
      <c r="A241" s="101" t="s">
        <v>1148</v>
      </c>
      <c r="B241" s="10" t="s">
        <v>1074</v>
      </c>
      <c r="C241" s="14" t="s">
        <v>1075</v>
      </c>
      <c r="D241" s="15"/>
      <c r="E241" s="15" t="s">
        <v>1149</v>
      </c>
      <c r="F241" s="15" t="s">
        <v>57</v>
      </c>
      <c r="G241" s="16">
        <v>1</v>
      </c>
      <c r="H241" s="16"/>
      <c r="I241" s="110">
        <v>66.28</v>
      </c>
      <c r="J241" s="17">
        <f>IFERROR(ROUND(SUM(M242,M243)/I241, 2),0)</f>
        <v>31.93</v>
      </c>
      <c r="K241" s="18">
        <v>639</v>
      </c>
      <c r="L241" s="17">
        <f>J241+ROUND(K241, 2)</f>
        <v>670.93</v>
      </c>
      <c r="M241" s="17">
        <f>ROUND(J241*I241, 2)</f>
        <v>2116.3200000000002</v>
      </c>
      <c r="N241" s="17">
        <f>ROUND(I241*ROUND(K241, 2), 2)</f>
        <v>42352.92</v>
      </c>
      <c r="O241" s="17">
        <f>M241+N241</f>
        <v>44469.24</v>
      </c>
      <c r="P241" s="17">
        <f>IFERROR(ROUND(SUM(S242,S243)/I241, 2),0)</f>
        <v>32.19</v>
      </c>
      <c r="Q241" s="19">
        <v>639</v>
      </c>
      <c r="R241" s="17">
        <f>P241+ROUND(Q241, 2)</f>
        <v>671.19</v>
      </c>
      <c r="S241" s="17">
        <f>ROUND(P241*I241, 2)</f>
        <v>2133.5500000000002</v>
      </c>
      <c r="T241" s="17">
        <f>ROUND(I241*ROUND(Q241, 2), 2)</f>
        <v>42352.92</v>
      </c>
      <c r="U241" s="17">
        <f>S241+T241</f>
        <v>44486.47</v>
      </c>
    </row>
    <row r="242" spans="1:21" ht="36" x14ac:dyDescent="0.3">
      <c r="A242" s="101" t="s">
        <v>1150</v>
      </c>
      <c r="B242" s="10"/>
      <c r="C242" s="24" t="s">
        <v>509</v>
      </c>
      <c r="D242" s="15"/>
      <c r="E242" s="15"/>
      <c r="F242" s="25" t="s">
        <v>76</v>
      </c>
      <c r="G242" s="26">
        <v>0.15</v>
      </c>
      <c r="H242" s="26"/>
      <c r="I242" s="108">
        <v>9.9420000000000002</v>
      </c>
      <c r="J242" s="27">
        <v>90.28</v>
      </c>
      <c r="M242" s="28">
        <f>ROUND(ROUND(J242, 2)*I242, 2)</f>
        <v>897.56</v>
      </c>
      <c r="P242" s="29">
        <v>88.8</v>
      </c>
      <c r="S242" s="28">
        <f>ROUND(ROUND(P242, 2)*I242, 2)</f>
        <v>882.85</v>
      </c>
    </row>
    <row r="243" spans="1:21" ht="36" x14ac:dyDescent="0.3">
      <c r="A243" s="101" t="s">
        <v>1153</v>
      </c>
      <c r="B243" s="10"/>
      <c r="C243" s="35" t="s">
        <v>961</v>
      </c>
      <c r="D243" s="15"/>
      <c r="E243" s="15"/>
      <c r="F243" s="25" t="s">
        <v>76</v>
      </c>
      <c r="G243" s="26">
        <v>1.5</v>
      </c>
      <c r="H243" s="26"/>
      <c r="I243" s="108">
        <v>99.42</v>
      </c>
      <c r="J243" s="27">
        <v>12.26</v>
      </c>
      <c r="M243" s="28">
        <f>ROUND(ROUND(J243, 2)*I243, 2)</f>
        <v>1218.8900000000001</v>
      </c>
      <c r="P243" s="29">
        <v>12.58</v>
      </c>
      <c r="S243" s="28">
        <f>ROUND(ROUND(P243, 2)*I243, 2)</f>
        <v>1250.7</v>
      </c>
    </row>
    <row r="244" spans="1:21" ht="36" x14ac:dyDescent="0.3">
      <c r="A244" s="101" t="s">
        <v>1156</v>
      </c>
      <c r="B244" s="10" t="s">
        <v>1074</v>
      </c>
      <c r="C244" s="14" t="s">
        <v>1075</v>
      </c>
      <c r="D244" s="15"/>
      <c r="E244" s="15" t="s">
        <v>1157</v>
      </c>
      <c r="F244" s="15" t="s">
        <v>57</v>
      </c>
      <c r="G244" s="16">
        <v>1</v>
      </c>
      <c r="H244" s="16"/>
      <c r="I244" s="110">
        <v>66.28</v>
      </c>
      <c r="J244" s="17">
        <f>IFERROR(ROUND(SUM(M245,M246)/I244, 2),0)</f>
        <v>31.93</v>
      </c>
      <c r="K244" s="18">
        <v>639</v>
      </c>
      <c r="L244" s="17">
        <f>J244+ROUND(K244, 2)</f>
        <v>670.93</v>
      </c>
      <c r="M244" s="17">
        <f>ROUND(J244*I244, 2)</f>
        <v>2116.3200000000002</v>
      </c>
      <c r="N244" s="17">
        <f>ROUND(I244*ROUND(K244, 2), 2)</f>
        <v>42352.92</v>
      </c>
      <c r="O244" s="17">
        <f>M244+N244</f>
        <v>44469.24</v>
      </c>
      <c r="P244" s="17">
        <f>IFERROR(ROUND(SUM(S245,S246)/I244, 2),0)</f>
        <v>32.19</v>
      </c>
      <c r="Q244" s="19">
        <v>639</v>
      </c>
      <c r="R244" s="17">
        <f>P244+ROUND(Q244, 2)</f>
        <v>671.19</v>
      </c>
      <c r="S244" s="17">
        <f>ROUND(P244*I244, 2)</f>
        <v>2133.5500000000002</v>
      </c>
      <c r="T244" s="17">
        <f>ROUND(I244*ROUND(Q244, 2), 2)</f>
        <v>42352.92</v>
      </c>
      <c r="U244" s="17">
        <f>S244+T244</f>
        <v>44486.47</v>
      </c>
    </row>
    <row r="245" spans="1:21" ht="36" x14ac:dyDescent="0.3">
      <c r="A245" s="101" t="s">
        <v>1158</v>
      </c>
      <c r="B245" s="10"/>
      <c r="C245" s="24" t="s">
        <v>509</v>
      </c>
      <c r="D245" s="15"/>
      <c r="E245" s="15"/>
      <c r="F245" s="25" t="s">
        <v>76</v>
      </c>
      <c r="G245" s="26">
        <v>0.15</v>
      </c>
      <c r="H245" s="26"/>
      <c r="I245" s="108">
        <v>9.9420000000000002</v>
      </c>
      <c r="J245" s="27">
        <v>90.28</v>
      </c>
      <c r="M245" s="28">
        <f>ROUND(ROUND(J245, 2)*I245, 2)</f>
        <v>897.56</v>
      </c>
      <c r="P245" s="29">
        <v>88.8</v>
      </c>
      <c r="S245" s="28">
        <f>ROUND(ROUND(P245, 2)*I245, 2)</f>
        <v>882.85</v>
      </c>
    </row>
    <row r="246" spans="1:21" ht="36" x14ac:dyDescent="0.3">
      <c r="A246" s="101" t="s">
        <v>1161</v>
      </c>
      <c r="B246" s="10"/>
      <c r="C246" s="35" t="s">
        <v>961</v>
      </c>
      <c r="D246" s="15"/>
      <c r="E246" s="15"/>
      <c r="F246" s="25" t="s">
        <v>76</v>
      </c>
      <c r="G246" s="26">
        <v>1.5</v>
      </c>
      <c r="H246" s="26"/>
      <c r="I246" s="108">
        <v>99.42</v>
      </c>
      <c r="J246" s="27">
        <v>12.26</v>
      </c>
      <c r="M246" s="28">
        <f>ROUND(ROUND(J246, 2)*I246, 2)</f>
        <v>1218.8900000000001</v>
      </c>
      <c r="P246" s="29">
        <v>12.58</v>
      </c>
      <c r="S246" s="28">
        <f>ROUND(ROUND(P246, 2)*I246, 2)</f>
        <v>1250.7</v>
      </c>
    </row>
    <row r="247" spans="1:21" ht="54" x14ac:dyDescent="0.3">
      <c r="A247" s="101" t="s">
        <v>1164</v>
      </c>
      <c r="B247" s="10" t="s">
        <v>1165</v>
      </c>
      <c r="C247" s="14" t="s">
        <v>1166</v>
      </c>
      <c r="D247" s="15"/>
      <c r="E247" s="15" t="s">
        <v>1076</v>
      </c>
      <c r="F247" s="15" t="s">
        <v>57</v>
      </c>
      <c r="G247" s="16">
        <v>1</v>
      </c>
      <c r="H247" s="16"/>
      <c r="I247" s="110">
        <v>216.42</v>
      </c>
      <c r="J247" s="17">
        <f>IFERROR(ROUND(SUM(M248,M249,M250)/I247, 2),0)</f>
        <v>82.62</v>
      </c>
      <c r="K247" s="18">
        <v>508</v>
      </c>
      <c r="L247" s="17">
        <f>J247+ROUND(K247, 2)</f>
        <v>590.62</v>
      </c>
      <c r="M247" s="17">
        <f>ROUND(J247*I247, 2)</f>
        <v>17880.62</v>
      </c>
      <c r="N247" s="17">
        <f>ROUND(I247*ROUND(K247, 2), 2)</f>
        <v>109941.36</v>
      </c>
      <c r="O247" s="17">
        <f>M247+N247</f>
        <v>127821.98</v>
      </c>
      <c r="P247" s="17">
        <f>IFERROR(ROUND(SUM(S248,S249,S250)/I247, 2),0)</f>
        <v>91.32</v>
      </c>
      <c r="Q247" s="19">
        <v>508</v>
      </c>
      <c r="R247" s="17">
        <f>P247+ROUND(Q247, 2)</f>
        <v>599.31999999999994</v>
      </c>
      <c r="S247" s="17">
        <f>ROUND(P247*I247, 2)</f>
        <v>19763.47</v>
      </c>
      <c r="T247" s="17">
        <f>ROUND(I247*ROUND(Q247, 2), 2)</f>
        <v>109941.36</v>
      </c>
      <c r="U247" s="17">
        <f>S247+T247</f>
        <v>129704.83</v>
      </c>
    </row>
    <row r="248" spans="1:21" ht="36" x14ac:dyDescent="0.3">
      <c r="A248" s="101" t="s">
        <v>1169</v>
      </c>
      <c r="B248" s="10"/>
      <c r="C248" s="24" t="s">
        <v>902</v>
      </c>
      <c r="D248" s="15"/>
      <c r="E248" s="15" t="s">
        <v>1080</v>
      </c>
      <c r="F248" s="25" t="s">
        <v>76</v>
      </c>
      <c r="G248" s="26">
        <v>2</v>
      </c>
      <c r="H248" s="26"/>
      <c r="I248" s="108">
        <v>432.84</v>
      </c>
      <c r="J248" s="27">
        <v>23.39</v>
      </c>
      <c r="M248" s="28">
        <f>ROUND(ROUND(J248, 2)*I248, 2)</f>
        <v>10124.129999999999</v>
      </c>
      <c r="P248" s="29">
        <v>27.85</v>
      </c>
      <c r="S248" s="28">
        <f>ROUND(ROUND(P248, 2)*I248, 2)</f>
        <v>12054.59</v>
      </c>
    </row>
    <row r="249" spans="1:21" ht="18" x14ac:dyDescent="0.3">
      <c r="A249" s="101" t="s">
        <v>1172</v>
      </c>
      <c r="B249" s="10"/>
      <c r="C249" s="24" t="s">
        <v>907</v>
      </c>
      <c r="D249" s="15"/>
      <c r="E249" s="15"/>
      <c r="F249" s="25" t="s">
        <v>98</v>
      </c>
      <c r="G249" s="26">
        <v>0.3</v>
      </c>
      <c r="H249" s="26"/>
      <c r="I249" s="108">
        <v>64.926000000000002</v>
      </c>
      <c r="J249" s="27">
        <v>74.319999999999993</v>
      </c>
      <c r="M249" s="28">
        <f>ROUND(ROUND(J249, 2)*I249, 2)</f>
        <v>4825.3</v>
      </c>
      <c r="P249" s="29">
        <v>74.319999999999993</v>
      </c>
      <c r="S249" s="28">
        <f>ROUND(ROUND(P249, 2)*I249, 2)</f>
        <v>4825.3</v>
      </c>
    </row>
    <row r="250" spans="1:21" ht="36" x14ac:dyDescent="0.3">
      <c r="A250" s="101" t="s">
        <v>1175</v>
      </c>
      <c r="B250" s="10"/>
      <c r="C250" s="24" t="s">
        <v>509</v>
      </c>
      <c r="D250" s="15"/>
      <c r="E250" s="15"/>
      <c r="F250" s="25" t="s">
        <v>76</v>
      </c>
      <c r="G250" s="26">
        <v>0.15</v>
      </c>
      <c r="H250" s="26"/>
      <c r="I250" s="108">
        <v>32.463000000000001</v>
      </c>
      <c r="J250" s="27">
        <v>90.28</v>
      </c>
      <c r="M250" s="28">
        <f>ROUND(ROUND(J250, 2)*I250, 2)</f>
        <v>2930.76</v>
      </c>
      <c r="P250" s="29">
        <v>88.8</v>
      </c>
      <c r="S250" s="28">
        <f>ROUND(ROUND(P250, 2)*I250, 2)</f>
        <v>2882.71</v>
      </c>
    </row>
    <row r="251" spans="1:21" ht="36" x14ac:dyDescent="0.3">
      <c r="A251" s="101" t="s">
        <v>1178</v>
      </c>
      <c r="B251" s="10" t="s">
        <v>1165</v>
      </c>
      <c r="C251" s="14" t="s">
        <v>1166</v>
      </c>
      <c r="D251" s="15"/>
      <c r="E251" s="15" t="s">
        <v>1092</v>
      </c>
      <c r="F251" s="15" t="s">
        <v>57</v>
      </c>
      <c r="G251" s="16">
        <v>1</v>
      </c>
      <c r="H251" s="16"/>
      <c r="I251" s="110">
        <v>216.42</v>
      </c>
      <c r="J251" s="17">
        <f>IFERROR(ROUND(SUM(M252,M253)/I251, 2),0)</f>
        <v>60.32</v>
      </c>
      <c r="K251" s="18">
        <v>508</v>
      </c>
      <c r="L251" s="17">
        <f>J251+ROUND(K251, 2)</f>
        <v>568.32000000000005</v>
      </c>
      <c r="M251" s="17">
        <f>ROUND(J251*I251, 2)</f>
        <v>13054.45</v>
      </c>
      <c r="N251" s="17">
        <f>ROUND(I251*ROUND(K251, 2), 2)</f>
        <v>109941.36</v>
      </c>
      <c r="O251" s="17">
        <f>M251+N251</f>
        <v>122995.81</v>
      </c>
      <c r="P251" s="17">
        <f>IFERROR(ROUND(SUM(S252,S253)/I251, 2),0)</f>
        <v>77.94</v>
      </c>
      <c r="Q251" s="19">
        <v>508</v>
      </c>
      <c r="R251" s="17">
        <f>P251+ROUND(Q251, 2)</f>
        <v>585.94000000000005</v>
      </c>
      <c r="S251" s="17">
        <f>ROUND(P251*I251, 2)</f>
        <v>16867.77</v>
      </c>
      <c r="T251" s="17">
        <f>ROUND(I251*ROUND(Q251, 2), 2)</f>
        <v>109941.36</v>
      </c>
      <c r="U251" s="17">
        <f>S251+T251</f>
        <v>126809.13</v>
      </c>
    </row>
    <row r="252" spans="1:21" ht="36" x14ac:dyDescent="0.3">
      <c r="A252" s="101" t="s">
        <v>1179</v>
      </c>
      <c r="B252" s="10"/>
      <c r="C252" s="24" t="s">
        <v>509</v>
      </c>
      <c r="D252" s="15"/>
      <c r="E252" s="15"/>
      <c r="F252" s="25" t="s">
        <v>76</v>
      </c>
      <c r="G252" s="26">
        <v>0.15</v>
      </c>
      <c r="H252" s="26"/>
      <c r="I252" s="108">
        <v>32.463000000000001</v>
      </c>
      <c r="J252" s="27">
        <v>90.28</v>
      </c>
      <c r="M252" s="28">
        <f>ROUND(ROUND(J252, 2)*I252, 2)</f>
        <v>2930.76</v>
      </c>
      <c r="P252" s="29">
        <v>88.8</v>
      </c>
      <c r="S252" s="28">
        <f>ROUND(ROUND(P252, 2)*I252, 2)</f>
        <v>2882.71</v>
      </c>
    </row>
    <row r="253" spans="1:21" ht="18" x14ac:dyDescent="0.3">
      <c r="A253" s="101" t="s">
        <v>1182</v>
      </c>
      <c r="B253" s="10"/>
      <c r="C253" s="24" t="s">
        <v>902</v>
      </c>
      <c r="D253" s="15"/>
      <c r="E253" s="15" t="s">
        <v>1097</v>
      </c>
      <c r="F253" s="25" t="s">
        <v>76</v>
      </c>
      <c r="G253" s="26">
        <v>2</v>
      </c>
      <c r="H253" s="26"/>
      <c r="I253" s="108">
        <v>432.84</v>
      </c>
      <c r="J253" s="27">
        <v>23.39</v>
      </c>
      <c r="M253" s="28">
        <f>ROUND(ROUND(J253, 2)*I253, 2)</f>
        <v>10124.129999999999</v>
      </c>
      <c r="P253" s="29">
        <v>32.31</v>
      </c>
      <c r="S253" s="28">
        <f>ROUND(ROUND(P253, 2)*I253, 2)</f>
        <v>13985.06</v>
      </c>
    </row>
    <row r="254" spans="1:21" ht="36" x14ac:dyDescent="0.3">
      <c r="A254" s="101" t="s">
        <v>1185</v>
      </c>
      <c r="B254" s="10" t="s">
        <v>1165</v>
      </c>
      <c r="C254" s="14" t="s">
        <v>1166</v>
      </c>
      <c r="D254" s="15"/>
      <c r="E254" s="15" t="s">
        <v>1101</v>
      </c>
      <c r="F254" s="15" t="s">
        <v>57</v>
      </c>
      <c r="G254" s="16">
        <v>1</v>
      </c>
      <c r="H254" s="16"/>
      <c r="I254" s="110">
        <v>216.42</v>
      </c>
      <c r="J254" s="17">
        <f>IFERROR(ROUND(SUM(M255,M256)/I254, 2),0)</f>
        <v>60.32</v>
      </c>
      <c r="K254" s="18">
        <v>508</v>
      </c>
      <c r="L254" s="17">
        <f>J254+ROUND(K254, 2)</f>
        <v>568.32000000000005</v>
      </c>
      <c r="M254" s="17">
        <f>ROUND(J254*I254, 2)</f>
        <v>13054.45</v>
      </c>
      <c r="N254" s="17">
        <f>ROUND(I254*ROUND(K254, 2), 2)</f>
        <v>109941.36</v>
      </c>
      <c r="O254" s="17">
        <f>M254+N254</f>
        <v>122995.81</v>
      </c>
      <c r="P254" s="17">
        <f>IFERROR(ROUND(SUM(S255,S256)/I254, 2),0)</f>
        <v>98.52</v>
      </c>
      <c r="Q254" s="19">
        <v>508</v>
      </c>
      <c r="R254" s="17">
        <f>P254+ROUND(Q254, 2)</f>
        <v>606.52</v>
      </c>
      <c r="S254" s="17">
        <f>ROUND(P254*I254, 2)</f>
        <v>21321.7</v>
      </c>
      <c r="T254" s="17">
        <f>ROUND(I254*ROUND(Q254, 2), 2)</f>
        <v>109941.36</v>
      </c>
      <c r="U254" s="17">
        <f>S254+T254</f>
        <v>131263.06</v>
      </c>
    </row>
    <row r="255" spans="1:21" ht="36" x14ac:dyDescent="0.3">
      <c r="A255" s="101" t="s">
        <v>1186</v>
      </c>
      <c r="B255" s="10"/>
      <c r="C255" s="24" t="s">
        <v>509</v>
      </c>
      <c r="D255" s="15"/>
      <c r="E255" s="15"/>
      <c r="F255" s="25" t="s">
        <v>76</v>
      </c>
      <c r="G255" s="26">
        <v>0.15</v>
      </c>
      <c r="H255" s="26"/>
      <c r="I255" s="108">
        <v>32.463000000000001</v>
      </c>
      <c r="J255" s="27">
        <v>90.28</v>
      </c>
      <c r="M255" s="28">
        <f>ROUND(ROUND(J255, 2)*I255, 2)</f>
        <v>2930.76</v>
      </c>
      <c r="P255" s="29">
        <v>88.8</v>
      </c>
      <c r="S255" s="28">
        <f>ROUND(ROUND(P255, 2)*I255, 2)</f>
        <v>2882.71</v>
      </c>
    </row>
    <row r="256" spans="1:21" ht="18" x14ac:dyDescent="0.3">
      <c r="A256" s="101" t="s">
        <v>1189</v>
      </c>
      <c r="B256" s="10"/>
      <c r="C256" s="24" t="s">
        <v>902</v>
      </c>
      <c r="D256" s="15"/>
      <c r="E256" s="15" t="s">
        <v>1106</v>
      </c>
      <c r="F256" s="25" t="s">
        <v>76</v>
      </c>
      <c r="G256" s="26">
        <v>2</v>
      </c>
      <c r="H256" s="26"/>
      <c r="I256" s="108">
        <v>432.84</v>
      </c>
      <c r="J256" s="27">
        <v>23.39</v>
      </c>
      <c r="M256" s="28">
        <f>ROUND(ROUND(J256, 2)*I256, 2)</f>
        <v>10124.129999999999</v>
      </c>
      <c r="P256" s="29">
        <v>42.6</v>
      </c>
      <c r="S256" s="28">
        <f>ROUND(ROUND(P256, 2)*I256, 2)</f>
        <v>18438.98</v>
      </c>
    </row>
    <row r="257" spans="1:21" ht="54" x14ac:dyDescent="0.3">
      <c r="A257" s="101" t="s">
        <v>1192</v>
      </c>
      <c r="B257" s="10" t="s">
        <v>1165</v>
      </c>
      <c r="C257" s="14" t="s">
        <v>1166</v>
      </c>
      <c r="D257" s="15"/>
      <c r="E257" s="15" t="s">
        <v>1137</v>
      </c>
      <c r="F257" s="15" t="s">
        <v>57</v>
      </c>
      <c r="G257" s="16">
        <v>1</v>
      </c>
      <c r="H257" s="16"/>
      <c r="I257" s="110">
        <v>1035.18</v>
      </c>
      <c r="J257" s="17">
        <f>IFERROR(ROUND(SUM(M258,M259,M260)/I257, 2),0)</f>
        <v>57.91</v>
      </c>
      <c r="K257" s="18">
        <v>508</v>
      </c>
      <c r="L257" s="17">
        <f>J257+ROUND(K257, 2)</f>
        <v>565.91</v>
      </c>
      <c r="M257" s="17">
        <f>ROUND(J257*I257, 2)</f>
        <v>59947.27</v>
      </c>
      <c r="N257" s="17">
        <f>ROUND(I257*ROUND(K257, 2), 2)</f>
        <v>525871.43999999994</v>
      </c>
      <c r="O257" s="17">
        <f>M257+N257</f>
        <v>585818.71</v>
      </c>
      <c r="P257" s="17">
        <f>IFERROR(ROUND(SUM(S258,S259,S260)/I257, 2),0)</f>
        <v>58.26</v>
      </c>
      <c r="Q257" s="19">
        <v>508</v>
      </c>
      <c r="R257" s="17">
        <f>P257+ROUND(Q257, 2)</f>
        <v>566.26</v>
      </c>
      <c r="S257" s="17">
        <f>ROUND(P257*I257, 2)</f>
        <v>60309.59</v>
      </c>
      <c r="T257" s="17">
        <f>ROUND(I257*ROUND(Q257, 2), 2)</f>
        <v>525871.43999999994</v>
      </c>
      <c r="U257" s="17">
        <f>S257+T257</f>
        <v>586181.02999999991</v>
      </c>
    </row>
    <row r="258" spans="1:21" ht="36" x14ac:dyDescent="0.3">
      <c r="A258" s="101" t="s">
        <v>1193</v>
      </c>
      <c r="B258" s="10"/>
      <c r="C258" s="24" t="s">
        <v>509</v>
      </c>
      <c r="D258" s="15"/>
      <c r="E258" s="15"/>
      <c r="F258" s="25" t="s">
        <v>76</v>
      </c>
      <c r="G258" s="26">
        <v>0.15</v>
      </c>
      <c r="H258" s="26"/>
      <c r="I258" s="108">
        <v>155.27699999999999</v>
      </c>
      <c r="J258" s="27">
        <v>90.28</v>
      </c>
      <c r="M258" s="28">
        <f>ROUND(ROUND(J258, 2)*I258, 2)</f>
        <v>14018.41</v>
      </c>
      <c r="P258" s="29">
        <v>88.8</v>
      </c>
      <c r="S258" s="28">
        <f>ROUND(ROUND(P258, 2)*I258, 2)</f>
        <v>13788.6</v>
      </c>
    </row>
    <row r="259" spans="1:21" ht="18" x14ac:dyDescent="0.3">
      <c r="A259" s="101" t="s">
        <v>1196</v>
      </c>
      <c r="B259" s="10"/>
      <c r="C259" s="24" t="s">
        <v>907</v>
      </c>
      <c r="D259" s="15"/>
      <c r="E259" s="15"/>
      <c r="F259" s="25" t="s">
        <v>98</v>
      </c>
      <c r="G259" s="26">
        <v>0.3</v>
      </c>
      <c r="H259" s="26"/>
      <c r="I259" s="108">
        <v>310.55399999999997</v>
      </c>
      <c r="J259" s="27">
        <v>74.319999999999993</v>
      </c>
      <c r="M259" s="28">
        <f>ROUND(ROUND(J259, 2)*I259, 2)</f>
        <v>23080.37</v>
      </c>
      <c r="P259" s="29">
        <v>74.319999999999993</v>
      </c>
      <c r="S259" s="28">
        <f>ROUND(ROUND(P259, 2)*I259, 2)</f>
        <v>23080.37</v>
      </c>
    </row>
    <row r="260" spans="1:21" ht="36" x14ac:dyDescent="0.3">
      <c r="A260" s="101" t="s">
        <v>1199</v>
      </c>
      <c r="B260" s="10"/>
      <c r="C260" s="35" t="s">
        <v>961</v>
      </c>
      <c r="D260" s="15"/>
      <c r="E260" s="15"/>
      <c r="F260" s="25" t="s">
        <v>76</v>
      </c>
      <c r="G260" s="26">
        <v>1.8</v>
      </c>
      <c r="H260" s="26"/>
      <c r="I260" s="108">
        <v>1863.3240000000001</v>
      </c>
      <c r="J260" s="27">
        <v>12.26</v>
      </c>
      <c r="M260" s="28">
        <f>ROUND(ROUND(J260, 2)*I260, 2)</f>
        <v>22844.35</v>
      </c>
      <c r="P260" s="29">
        <v>12.58</v>
      </c>
      <c r="S260" s="28">
        <f>ROUND(ROUND(P260, 2)*I260, 2)</f>
        <v>23440.62</v>
      </c>
    </row>
    <row r="261" spans="1:21" ht="54" x14ac:dyDescent="0.3">
      <c r="A261" s="101" t="s">
        <v>1202</v>
      </c>
      <c r="B261" s="10" t="s">
        <v>1165</v>
      </c>
      <c r="C261" s="14" t="s">
        <v>1166</v>
      </c>
      <c r="D261" s="15"/>
      <c r="E261" s="15" t="s">
        <v>1203</v>
      </c>
      <c r="F261" s="15" t="s">
        <v>57</v>
      </c>
      <c r="G261" s="16">
        <v>1</v>
      </c>
      <c r="H261" s="16"/>
      <c r="I261" s="110">
        <v>1035.18</v>
      </c>
      <c r="J261" s="17">
        <f>IFERROR(ROUND(SUM(M262,M263)/I261, 2),0)</f>
        <v>35.61</v>
      </c>
      <c r="K261" s="18">
        <v>508</v>
      </c>
      <c r="L261" s="17">
        <f>J261+ROUND(K261, 2)</f>
        <v>543.61</v>
      </c>
      <c r="M261" s="17">
        <f>ROUND(J261*I261, 2)</f>
        <v>36862.76</v>
      </c>
      <c r="N261" s="17">
        <f>ROUND(I261*ROUND(K261, 2), 2)</f>
        <v>525871.43999999994</v>
      </c>
      <c r="O261" s="17">
        <f>M261+N261</f>
        <v>562734.19999999995</v>
      </c>
      <c r="P261" s="17">
        <f>IFERROR(ROUND(SUM(S262,S263)/I261, 2),0)</f>
        <v>35.96</v>
      </c>
      <c r="Q261" s="19">
        <v>508</v>
      </c>
      <c r="R261" s="17">
        <f>P261+ROUND(Q261, 2)</f>
        <v>543.96</v>
      </c>
      <c r="S261" s="17">
        <f>ROUND(P261*I261, 2)</f>
        <v>37225.07</v>
      </c>
      <c r="T261" s="17">
        <f>ROUND(I261*ROUND(Q261, 2), 2)</f>
        <v>525871.43999999994</v>
      </c>
      <c r="U261" s="17">
        <f>S261+T261</f>
        <v>563096.50999999989</v>
      </c>
    </row>
    <row r="262" spans="1:21" ht="36" x14ac:dyDescent="0.3">
      <c r="A262" s="101" t="s">
        <v>1204</v>
      </c>
      <c r="B262" s="10"/>
      <c r="C262" s="24" t="s">
        <v>509</v>
      </c>
      <c r="D262" s="15"/>
      <c r="E262" s="15"/>
      <c r="F262" s="25" t="s">
        <v>76</v>
      </c>
      <c r="G262" s="26">
        <v>0.15</v>
      </c>
      <c r="H262" s="26"/>
      <c r="I262" s="108">
        <v>155.27699999999999</v>
      </c>
      <c r="J262" s="27">
        <v>90.28</v>
      </c>
      <c r="M262" s="28">
        <f>ROUND(ROUND(J262, 2)*I262, 2)</f>
        <v>14018.41</v>
      </c>
      <c r="P262" s="29">
        <v>88.8</v>
      </c>
      <c r="S262" s="28">
        <f>ROUND(ROUND(P262, 2)*I262, 2)</f>
        <v>13788.6</v>
      </c>
    </row>
    <row r="263" spans="1:21" ht="36" x14ac:dyDescent="0.3">
      <c r="A263" s="101" t="s">
        <v>1207</v>
      </c>
      <c r="B263" s="10"/>
      <c r="C263" s="35" t="s">
        <v>961</v>
      </c>
      <c r="D263" s="15"/>
      <c r="E263" s="15"/>
      <c r="F263" s="25" t="s">
        <v>76</v>
      </c>
      <c r="G263" s="26">
        <v>1.8</v>
      </c>
      <c r="H263" s="26"/>
      <c r="I263" s="108">
        <v>1863.3240000000001</v>
      </c>
      <c r="J263" s="27">
        <v>12.26</v>
      </c>
      <c r="M263" s="28">
        <f>ROUND(ROUND(J263, 2)*I263, 2)</f>
        <v>22844.35</v>
      </c>
      <c r="P263" s="29">
        <v>12.58</v>
      </c>
      <c r="S263" s="28">
        <f>ROUND(ROUND(P263, 2)*I263, 2)</f>
        <v>23440.62</v>
      </c>
    </row>
    <row r="264" spans="1:21" ht="36" x14ac:dyDescent="0.3">
      <c r="A264" s="101" t="s">
        <v>1210</v>
      </c>
      <c r="B264" s="10" t="s">
        <v>1165</v>
      </c>
      <c r="C264" s="14" t="s">
        <v>1166</v>
      </c>
      <c r="D264" s="15"/>
      <c r="E264" s="15" t="s">
        <v>1157</v>
      </c>
      <c r="F264" s="15" t="s">
        <v>57</v>
      </c>
      <c r="G264" s="16">
        <v>1</v>
      </c>
      <c r="H264" s="16"/>
      <c r="I264" s="110">
        <v>1035.18</v>
      </c>
      <c r="J264" s="17">
        <f>IFERROR(ROUND(SUM(M265,M266)/I264, 2),0)</f>
        <v>35.61</v>
      </c>
      <c r="K264" s="18">
        <v>508</v>
      </c>
      <c r="L264" s="17">
        <f>J264+ROUND(K264, 2)</f>
        <v>543.61</v>
      </c>
      <c r="M264" s="17">
        <f>ROUND(J264*I264, 2)</f>
        <v>36862.76</v>
      </c>
      <c r="N264" s="17">
        <f>ROUND(I264*ROUND(K264, 2), 2)</f>
        <v>525871.43999999994</v>
      </c>
      <c r="O264" s="17">
        <f>M264+N264</f>
        <v>562734.19999999995</v>
      </c>
      <c r="P264" s="17">
        <f>IFERROR(ROUND(SUM(S265,S266)/I264, 2),0)</f>
        <v>35.96</v>
      </c>
      <c r="Q264" s="19">
        <v>508</v>
      </c>
      <c r="R264" s="17">
        <f>P264+ROUND(Q264, 2)</f>
        <v>543.96</v>
      </c>
      <c r="S264" s="17">
        <f>ROUND(P264*I264, 2)</f>
        <v>37225.07</v>
      </c>
      <c r="T264" s="17">
        <f>ROUND(I264*ROUND(Q264, 2), 2)</f>
        <v>525871.43999999994</v>
      </c>
      <c r="U264" s="17">
        <f>S264+T264</f>
        <v>563096.50999999989</v>
      </c>
    </row>
    <row r="265" spans="1:21" ht="36" x14ac:dyDescent="0.3">
      <c r="A265" s="101" t="s">
        <v>1211</v>
      </c>
      <c r="B265" s="10"/>
      <c r="C265" s="24" t="s">
        <v>509</v>
      </c>
      <c r="D265" s="15"/>
      <c r="E265" s="15"/>
      <c r="F265" s="25" t="s">
        <v>76</v>
      </c>
      <c r="G265" s="26">
        <v>0.15</v>
      </c>
      <c r="H265" s="26"/>
      <c r="I265" s="108">
        <v>155.27699999999999</v>
      </c>
      <c r="J265" s="27">
        <v>90.28</v>
      </c>
      <c r="M265" s="28">
        <f>ROUND(ROUND(J265, 2)*I265, 2)</f>
        <v>14018.41</v>
      </c>
      <c r="P265" s="29">
        <v>88.8</v>
      </c>
      <c r="S265" s="28">
        <f>ROUND(ROUND(P265, 2)*I265, 2)</f>
        <v>13788.6</v>
      </c>
    </row>
    <row r="266" spans="1:21" ht="36" x14ac:dyDescent="0.3">
      <c r="A266" s="101" t="s">
        <v>1214</v>
      </c>
      <c r="B266" s="10"/>
      <c r="C266" s="35" t="s">
        <v>961</v>
      </c>
      <c r="D266" s="15"/>
      <c r="E266" s="15"/>
      <c r="F266" s="25" t="s">
        <v>76</v>
      </c>
      <c r="G266" s="26">
        <v>1.8</v>
      </c>
      <c r="H266" s="26"/>
      <c r="I266" s="108">
        <v>1863.3240000000001</v>
      </c>
      <c r="J266" s="27">
        <v>12.26</v>
      </c>
      <c r="M266" s="28">
        <f>ROUND(ROUND(J266, 2)*I266, 2)</f>
        <v>22844.35</v>
      </c>
      <c r="P266" s="29">
        <v>12.58</v>
      </c>
      <c r="S266" s="28">
        <f>ROUND(ROUND(P266, 2)*I266, 2)</f>
        <v>23440.62</v>
      </c>
    </row>
    <row r="267" spans="1:21" ht="36" x14ac:dyDescent="0.3">
      <c r="A267" s="102" t="s">
        <v>1217</v>
      </c>
      <c r="B267" s="74" t="s">
        <v>1165</v>
      </c>
      <c r="C267" s="75" t="s">
        <v>1166</v>
      </c>
      <c r="D267" s="76"/>
      <c r="E267" s="76" t="s">
        <v>1110</v>
      </c>
      <c r="F267" s="76" t="s">
        <v>57</v>
      </c>
      <c r="G267" s="77">
        <v>1</v>
      </c>
      <c r="H267" s="77"/>
      <c r="I267" s="107">
        <v>555.89</v>
      </c>
      <c r="J267" s="78">
        <f>IFERROR(ROUND(SUM(M268,M269,M270)/I267, 2),0)</f>
        <v>82.62</v>
      </c>
      <c r="K267" s="73">
        <v>508</v>
      </c>
      <c r="L267" s="78">
        <f>J267+ROUND(K267, 2)</f>
        <v>590.62</v>
      </c>
      <c r="M267" s="78">
        <f>ROUND(J267*I267, 2)</f>
        <v>45927.63</v>
      </c>
      <c r="N267" s="78">
        <f>ROUND(I267*ROUND(K267, 2), 2)</f>
        <v>282392.12</v>
      </c>
      <c r="O267" s="78">
        <f>M267+N267</f>
        <v>328319.75</v>
      </c>
      <c r="P267" s="78">
        <f>IFERROR(ROUND(SUM(S268,S269,S270)/I267, 2),0)</f>
        <v>91.32</v>
      </c>
      <c r="Q267" s="79">
        <v>508</v>
      </c>
      <c r="R267" s="78">
        <f>P267+ROUND(Q267, 2)</f>
        <v>599.31999999999994</v>
      </c>
      <c r="S267" s="78">
        <f>ROUND(P267*I267, 2)</f>
        <v>50763.87</v>
      </c>
      <c r="T267" s="78">
        <f>ROUND(I267*ROUND(Q267, 2), 2)</f>
        <v>282392.12</v>
      </c>
      <c r="U267" s="78">
        <f>S267+T267</f>
        <v>333155.99</v>
      </c>
    </row>
    <row r="268" spans="1:21" ht="36" x14ac:dyDescent="0.3">
      <c r="A268" s="101" t="s">
        <v>1218</v>
      </c>
      <c r="B268" s="10"/>
      <c r="C268" s="24" t="s">
        <v>509</v>
      </c>
      <c r="D268" s="15"/>
      <c r="E268" s="15"/>
      <c r="F268" s="25" t="s">
        <v>76</v>
      </c>
      <c r="G268" s="26">
        <v>0.15</v>
      </c>
      <c r="H268" s="26"/>
      <c r="I268" s="108">
        <v>83.384</v>
      </c>
      <c r="J268" s="27">
        <v>90.28</v>
      </c>
      <c r="M268" s="28">
        <f>ROUND(ROUND(J268, 2)*I268, 2)</f>
        <v>7527.91</v>
      </c>
      <c r="P268" s="29">
        <v>88.8</v>
      </c>
      <c r="S268" s="28">
        <f>ROUND(ROUND(P268, 2)*I268, 2)</f>
        <v>7404.5</v>
      </c>
    </row>
    <row r="269" spans="1:21" ht="18" x14ac:dyDescent="0.3">
      <c r="A269" s="101" t="s">
        <v>1221</v>
      </c>
      <c r="B269" s="10"/>
      <c r="C269" s="24" t="s">
        <v>907</v>
      </c>
      <c r="D269" s="15"/>
      <c r="E269" s="15"/>
      <c r="F269" s="25" t="s">
        <v>98</v>
      </c>
      <c r="G269" s="26">
        <v>0.3</v>
      </c>
      <c r="H269" s="26"/>
      <c r="I269" s="108">
        <v>166.767</v>
      </c>
      <c r="J269" s="27">
        <v>74.319999999999993</v>
      </c>
      <c r="M269" s="28">
        <f>ROUND(ROUND(J269, 2)*I269, 2)</f>
        <v>12394.12</v>
      </c>
      <c r="P269" s="29">
        <v>74.319999999999993</v>
      </c>
      <c r="S269" s="28">
        <f>ROUND(ROUND(P269, 2)*I269, 2)</f>
        <v>12394.12</v>
      </c>
    </row>
    <row r="270" spans="1:21" ht="36" x14ac:dyDescent="0.3">
      <c r="A270" s="101" t="s">
        <v>1224</v>
      </c>
      <c r="B270" s="10"/>
      <c r="C270" s="24" t="s">
        <v>902</v>
      </c>
      <c r="D270" s="15"/>
      <c r="E270" s="15" t="s">
        <v>1080</v>
      </c>
      <c r="F270" s="25" t="s">
        <v>76</v>
      </c>
      <c r="G270" s="26">
        <v>2</v>
      </c>
      <c r="H270" s="26"/>
      <c r="I270" s="108">
        <v>1111.78</v>
      </c>
      <c r="J270" s="27">
        <v>23.39</v>
      </c>
      <c r="M270" s="28">
        <f>ROUND(ROUND(J270, 2)*I270, 2)</f>
        <v>26004.53</v>
      </c>
      <c r="P270" s="29">
        <v>27.85</v>
      </c>
      <c r="S270" s="28">
        <f>ROUND(ROUND(P270, 2)*I270, 2)</f>
        <v>30963.07</v>
      </c>
    </row>
    <row r="271" spans="1:21" ht="36" x14ac:dyDescent="0.3">
      <c r="A271" s="102" t="s">
        <v>1227</v>
      </c>
      <c r="B271" s="74" t="s">
        <v>1165</v>
      </c>
      <c r="C271" s="75" t="s">
        <v>1166</v>
      </c>
      <c r="D271" s="76"/>
      <c r="E271" s="76" t="s">
        <v>1121</v>
      </c>
      <c r="F271" s="76" t="s">
        <v>57</v>
      </c>
      <c r="G271" s="77">
        <v>1</v>
      </c>
      <c r="H271" s="77"/>
      <c r="I271" s="107">
        <v>555.89</v>
      </c>
      <c r="J271" s="78">
        <f>IFERROR(ROUND(SUM(M272,M273)/I271, 2),0)</f>
        <v>60.32</v>
      </c>
      <c r="K271" s="73">
        <v>508</v>
      </c>
      <c r="L271" s="78">
        <f>J271+ROUND(K271, 2)</f>
        <v>568.32000000000005</v>
      </c>
      <c r="M271" s="78">
        <f>ROUND(J271*I271, 2)</f>
        <v>33531.279999999999</v>
      </c>
      <c r="N271" s="78">
        <f>ROUND(I271*ROUND(K271, 2), 2)</f>
        <v>282392.12</v>
      </c>
      <c r="O271" s="78">
        <f>M271+N271</f>
        <v>315923.40000000002</v>
      </c>
      <c r="P271" s="78">
        <f>IFERROR(ROUND(SUM(S272,S273)/I271, 2),0)</f>
        <v>77.94</v>
      </c>
      <c r="Q271" s="79">
        <v>508</v>
      </c>
      <c r="R271" s="78">
        <f>P271+ROUND(Q271, 2)</f>
        <v>585.94000000000005</v>
      </c>
      <c r="S271" s="78">
        <f>ROUND(P271*I271, 2)</f>
        <v>43326.07</v>
      </c>
      <c r="T271" s="78">
        <f>ROUND(I271*ROUND(Q271, 2), 2)</f>
        <v>282392.12</v>
      </c>
      <c r="U271" s="78">
        <f>S271+T271</f>
        <v>325718.19</v>
      </c>
    </row>
    <row r="272" spans="1:21" ht="36" x14ac:dyDescent="0.3">
      <c r="A272" s="101" t="s">
        <v>1228</v>
      </c>
      <c r="B272" s="10"/>
      <c r="C272" s="24" t="s">
        <v>509</v>
      </c>
      <c r="D272" s="15"/>
      <c r="E272" s="15"/>
      <c r="F272" s="25" t="s">
        <v>76</v>
      </c>
      <c r="G272" s="26">
        <v>0.15</v>
      </c>
      <c r="H272" s="26"/>
      <c r="I272" s="108">
        <v>83.384</v>
      </c>
      <c r="J272" s="27">
        <v>90.28</v>
      </c>
      <c r="M272" s="28">
        <f>ROUND(ROUND(J272, 2)*I272, 2)</f>
        <v>7527.91</v>
      </c>
      <c r="P272" s="29">
        <v>88.8</v>
      </c>
      <c r="S272" s="28">
        <f>ROUND(ROUND(P272, 2)*I272, 2)</f>
        <v>7404.5</v>
      </c>
    </row>
    <row r="273" spans="1:21" ht="18" x14ac:dyDescent="0.3">
      <c r="A273" s="101" t="s">
        <v>1231</v>
      </c>
      <c r="B273" s="10"/>
      <c r="C273" s="24" t="s">
        <v>902</v>
      </c>
      <c r="D273" s="15"/>
      <c r="E273" s="15" t="s">
        <v>1097</v>
      </c>
      <c r="F273" s="25" t="s">
        <v>76</v>
      </c>
      <c r="G273" s="26">
        <v>2</v>
      </c>
      <c r="H273" s="26"/>
      <c r="I273" s="108">
        <v>1111.78</v>
      </c>
      <c r="J273" s="27">
        <v>23.39</v>
      </c>
      <c r="M273" s="28">
        <f>ROUND(ROUND(J273, 2)*I273, 2)</f>
        <v>26004.53</v>
      </c>
      <c r="P273" s="29">
        <v>32.31</v>
      </c>
      <c r="S273" s="28">
        <f>ROUND(ROUND(P273, 2)*I273, 2)</f>
        <v>35921.61</v>
      </c>
    </row>
    <row r="274" spans="1:21" ht="36" x14ac:dyDescent="0.3">
      <c r="A274" s="102" t="s">
        <v>1234</v>
      </c>
      <c r="B274" s="74" t="s">
        <v>1165</v>
      </c>
      <c r="C274" s="75" t="s">
        <v>1166</v>
      </c>
      <c r="D274" s="76"/>
      <c r="E274" s="76" t="s">
        <v>1129</v>
      </c>
      <c r="F274" s="76" t="s">
        <v>57</v>
      </c>
      <c r="G274" s="77">
        <v>1</v>
      </c>
      <c r="H274" s="77"/>
      <c r="I274" s="107">
        <v>555.89</v>
      </c>
      <c r="J274" s="78">
        <f>IFERROR(ROUND(SUM(M275,M276)/I274, 2),0)</f>
        <v>60.32</v>
      </c>
      <c r="K274" s="73">
        <v>508</v>
      </c>
      <c r="L274" s="78">
        <f>J274+ROUND(K274, 2)</f>
        <v>568.32000000000005</v>
      </c>
      <c r="M274" s="78">
        <f>ROUND(J274*I274, 2)</f>
        <v>33531.279999999999</v>
      </c>
      <c r="N274" s="78">
        <f>ROUND(I274*ROUND(K274, 2), 2)</f>
        <v>282392.12</v>
      </c>
      <c r="O274" s="78">
        <f>M274+N274</f>
        <v>315923.40000000002</v>
      </c>
      <c r="P274" s="78">
        <f>IFERROR(ROUND(SUM(S275,S276)/I274, 2),0)</f>
        <v>98.52</v>
      </c>
      <c r="Q274" s="79">
        <v>508</v>
      </c>
      <c r="R274" s="78">
        <f>P274+ROUND(Q274, 2)</f>
        <v>606.52</v>
      </c>
      <c r="S274" s="78">
        <f>ROUND(P274*I274, 2)</f>
        <v>54766.28</v>
      </c>
      <c r="T274" s="78">
        <f>ROUND(I274*ROUND(Q274, 2), 2)</f>
        <v>282392.12</v>
      </c>
      <c r="U274" s="78">
        <f>S274+T274</f>
        <v>337158.40000000002</v>
      </c>
    </row>
    <row r="275" spans="1:21" ht="36" x14ac:dyDescent="0.3">
      <c r="A275" s="101" t="s">
        <v>1235</v>
      </c>
      <c r="B275" s="10"/>
      <c r="C275" s="24" t="s">
        <v>509</v>
      </c>
      <c r="D275" s="15"/>
      <c r="E275" s="15"/>
      <c r="F275" s="25" t="s">
        <v>76</v>
      </c>
      <c r="G275" s="26">
        <v>0.15</v>
      </c>
      <c r="H275" s="26"/>
      <c r="I275" s="108">
        <v>83.384</v>
      </c>
      <c r="J275" s="27">
        <v>90.28</v>
      </c>
      <c r="M275" s="28">
        <f>ROUND(ROUND(J275, 2)*I275, 2)</f>
        <v>7527.91</v>
      </c>
      <c r="P275" s="29">
        <v>88.8</v>
      </c>
      <c r="S275" s="28">
        <f>ROUND(ROUND(P275, 2)*I275, 2)</f>
        <v>7404.5</v>
      </c>
    </row>
    <row r="276" spans="1:21" ht="18" x14ac:dyDescent="0.3">
      <c r="A276" s="101" t="s">
        <v>1238</v>
      </c>
      <c r="B276" s="10"/>
      <c r="C276" s="24" t="s">
        <v>902</v>
      </c>
      <c r="D276" s="15"/>
      <c r="E276" s="15" t="s">
        <v>1106</v>
      </c>
      <c r="F276" s="25" t="s">
        <v>76</v>
      </c>
      <c r="G276" s="26">
        <v>2</v>
      </c>
      <c r="H276" s="26"/>
      <c r="I276" s="108">
        <v>1111.78</v>
      </c>
      <c r="J276" s="27">
        <v>23.39</v>
      </c>
      <c r="M276" s="28">
        <f>ROUND(ROUND(J276, 2)*I276, 2)</f>
        <v>26004.53</v>
      </c>
      <c r="P276" s="29">
        <v>42.6</v>
      </c>
      <c r="S276" s="28">
        <f>ROUND(ROUND(P276, 2)*I276, 2)</f>
        <v>47361.83</v>
      </c>
    </row>
    <row r="277" spans="1:21" ht="36" x14ac:dyDescent="0.3">
      <c r="A277" s="102" t="s">
        <v>1241</v>
      </c>
      <c r="B277" s="74" t="s">
        <v>1165</v>
      </c>
      <c r="C277" s="75" t="s">
        <v>1166</v>
      </c>
      <c r="D277" s="76"/>
      <c r="E277" s="76" t="s">
        <v>1242</v>
      </c>
      <c r="F277" s="76" t="s">
        <v>57</v>
      </c>
      <c r="G277" s="77">
        <v>1</v>
      </c>
      <c r="H277" s="77"/>
      <c r="I277" s="107">
        <v>133.69999999999999</v>
      </c>
      <c r="J277" s="78">
        <f>IFERROR(ROUND(SUM(M278,M279,M280)/I277, 2),0)</f>
        <v>82.62</v>
      </c>
      <c r="K277" s="73">
        <v>508</v>
      </c>
      <c r="L277" s="78">
        <f>J277+ROUND(K277, 2)</f>
        <v>590.62</v>
      </c>
      <c r="M277" s="78">
        <f>ROUND(J277*I277, 2)</f>
        <v>11046.29</v>
      </c>
      <c r="N277" s="78">
        <f>ROUND(I277*ROUND(K277, 2), 2)</f>
        <v>67919.600000000006</v>
      </c>
      <c r="O277" s="78">
        <f>M277+N277</f>
        <v>78965.890000000014</v>
      </c>
      <c r="P277" s="78">
        <f>IFERROR(ROUND(SUM(S278,S279,S280)/I277, 2),0)</f>
        <v>91.32</v>
      </c>
      <c r="Q277" s="79">
        <v>508</v>
      </c>
      <c r="R277" s="78">
        <f>P277+ROUND(Q277, 2)</f>
        <v>599.31999999999994</v>
      </c>
      <c r="S277" s="78">
        <f>ROUND(P277*I277, 2)</f>
        <v>12209.48</v>
      </c>
      <c r="T277" s="78">
        <f>ROUND(I277*ROUND(Q277, 2), 2)</f>
        <v>67919.600000000006</v>
      </c>
      <c r="U277" s="78">
        <f>S277+T277</f>
        <v>80129.08</v>
      </c>
    </row>
    <row r="278" spans="1:21" ht="36" x14ac:dyDescent="0.3">
      <c r="A278" s="101" t="s">
        <v>1243</v>
      </c>
      <c r="B278" s="10"/>
      <c r="C278" s="24" t="s">
        <v>509</v>
      </c>
      <c r="D278" s="15"/>
      <c r="E278" s="15"/>
      <c r="F278" s="25" t="s">
        <v>76</v>
      </c>
      <c r="G278" s="26">
        <v>0.15</v>
      </c>
      <c r="H278" s="26"/>
      <c r="I278" s="108">
        <v>20.055</v>
      </c>
      <c r="J278" s="27">
        <v>90.28</v>
      </c>
      <c r="M278" s="28">
        <f>ROUND(ROUND(J278, 2)*I278, 2)</f>
        <v>1810.57</v>
      </c>
      <c r="P278" s="29">
        <v>88.8</v>
      </c>
      <c r="S278" s="28">
        <f>ROUND(ROUND(P278, 2)*I278, 2)</f>
        <v>1780.88</v>
      </c>
    </row>
    <row r="279" spans="1:21" ht="18" x14ac:dyDescent="0.3">
      <c r="A279" s="101" t="s">
        <v>1246</v>
      </c>
      <c r="B279" s="10"/>
      <c r="C279" s="24" t="s">
        <v>907</v>
      </c>
      <c r="D279" s="15"/>
      <c r="E279" s="15"/>
      <c r="F279" s="25" t="s">
        <v>98</v>
      </c>
      <c r="G279" s="26">
        <v>0.3</v>
      </c>
      <c r="H279" s="26"/>
      <c r="I279" s="108">
        <v>40.11</v>
      </c>
      <c r="J279" s="27">
        <v>74.319999999999993</v>
      </c>
      <c r="M279" s="28">
        <f>ROUND(ROUND(J279, 2)*I279, 2)</f>
        <v>2980.98</v>
      </c>
      <c r="P279" s="29">
        <v>74.319999999999993</v>
      </c>
      <c r="S279" s="28">
        <f>ROUND(ROUND(P279, 2)*I279, 2)</f>
        <v>2980.98</v>
      </c>
    </row>
    <row r="280" spans="1:21" ht="36" x14ac:dyDescent="0.3">
      <c r="A280" s="101" t="s">
        <v>1249</v>
      </c>
      <c r="B280" s="10"/>
      <c r="C280" s="24" t="s">
        <v>902</v>
      </c>
      <c r="D280" s="15"/>
      <c r="E280" s="15" t="s">
        <v>1080</v>
      </c>
      <c r="F280" s="25" t="s">
        <v>76</v>
      </c>
      <c r="G280" s="26">
        <v>2</v>
      </c>
      <c r="H280" s="26"/>
      <c r="I280" s="108">
        <v>267.39999999999998</v>
      </c>
      <c r="J280" s="27">
        <v>23.39</v>
      </c>
      <c r="M280" s="28">
        <f>ROUND(ROUND(J280, 2)*I280, 2)</f>
        <v>6254.49</v>
      </c>
      <c r="P280" s="29">
        <v>27.85</v>
      </c>
      <c r="S280" s="28">
        <f>ROUND(ROUND(P280, 2)*I280, 2)</f>
        <v>7447.09</v>
      </c>
    </row>
    <row r="281" spans="1:21" ht="36" x14ac:dyDescent="0.3">
      <c r="A281" s="102" t="s">
        <v>1252</v>
      </c>
      <c r="B281" s="74" t="s">
        <v>1165</v>
      </c>
      <c r="C281" s="75" t="s">
        <v>1166</v>
      </c>
      <c r="D281" s="76"/>
      <c r="E281" s="76" t="s">
        <v>1253</v>
      </c>
      <c r="F281" s="76" t="s">
        <v>57</v>
      </c>
      <c r="G281" s="77">
        <v>1</v>
      </c>
      <c r="H281" s="77"/>
      <c r="I281" s="107">
        <v>133.69999999999999</v>
      </c>
      <c r="J281" s="78">
        <f>IFERROR(ROUND(SUM(M282,M283)/I281, 2),0)</f>
        <v>60.32</v>
      </c>
      <c r="K281" s="73">
        <v>508</v>
      </c>
      <c r="L281" s="78">
        <f>J281+ROUND(K281, 2)</f>
        <v>568.32000000000005</v>
      </c>
      <c r="M281" s="78">
        <f>ROUND(J281*I281, 2)</f>
        <v>8064.78</v>
      </c>
      <c r="N281" s="78">
        <f>ROUND(I281*ROUND(K281, 2), 2)</f>
        <v>67919.600000000006</v>
      </c>
      <c r="O281" s="78">
        <f>M281+N281</f>
        <v>75984.38</v>
      </c>
      <c r="P281" s="78">
        <f>IFERROR(ROUND(SUM(S282,S283)/I281, 2),0)</f>
        <v>77.94</v>
      </c>
      <c r="Q281" s="79">
        <v>508</v>
      </c>
      <c r="R281" s="78">
        <f>P281+ROUND(Q281, 2)</f>
        <v>585.94000000000005</v>
      </c>
      <c r="S281" s="78">
        <f>ROUND(P281*I281, 2)</f>
        <v>10420.58</v>
      </c>
      <c r="T281" s="78">
        <f>ROUND(I281*ROUND(Q281, 2), 2)</f>
        <v>67919.600000000006</v>
      </c>
      <c r="U281" s="78">
        <f>S281+T281</f>
        <v>78340.180000000008</v>
      </c>
    </row>
    <row r="282" spans="1:21" ht="36" x14ac:dyDescent="0.3">
      <c r="A282" s="101" t="s">
        <v>1254</v>
      </c>
      <c r="B282" s="10"/>
      <c r="C282" s="24" t="s">
        <v>509</v>
      </c>
      <c r="D282" s="15"/>
      <c r="E282" s="15"/>
      <c r="F282" s="25" t="s">
        <v>76</v>
      </c>
      <c r="G282" s="26">
        <v>0.15</v>
      </c>
      <c r="H282" s="26"/>
      <c r="I282" s="108">
        <v>20.055</v>
      </c>
      <c r="J282" s="27">
        <v>90.28</v>
      </c>
      <c r="M282" s="28">
        <f>ROUND(ROUND(J282, 2)*I282, 2)</f>
        <v>1810.57</v>
      </c>
      <c r="P282" s="29">
        <v>88.8</v>
      </c>
      <c r="S282" s="28">
        <f>ROUND(ROUND(P282, 2)*I282, 2)</f>
        <v>1780.88</v>
      </c>
    </row>
    <row r="283" spans="1:21" ht="18" x14ac:dyDescent="0.3">
      <c r="A283" s="101" t="s">
        <v>1257</v>
      </c>
      <c r="B283" s="10"/>
      <c r="C283" s="24" t="s">
        <v>902</v>
      </c>
      <c r="D283" s="15"/>
      <c r="E283" s="15" t="s">
        <v>1097</v>
      </c>
      <c r="F283" s="25" t="s">
        <v>76</v>
      </c>
      <c r="G283" s="26">
        <v>2</v>
      </c>
      <c r="H283" s="26"/>
      <c r="I283" s="108">
        <v>267.39999999999998</v>
      </c>
      <c r="J283" s="27">
        <v>23.39</v>
      </c>
      <c r="M283" s="28">
        <f>ROUND(ROUND(J283, 2)*I283, 2)</f>
        <v>6254.49</v>
      </c>
      <c r="P283" s="29">
        <v>32.31</v>
      </c>
      <c r="S283" s="28">
        <f>ROUND(ROUND(P283, 2)*I283, 2)</f>
        <v>8639.69</v>
      </c>
    </row>
    <row r="284" spans="1:21" ht="36" x14ac:dyDescent="0.3">
      <c r="A284" s="102" t="s">
        <v>1260</v>
      </c>
      <c r="B284" s="74" t="s">
        <v>1165</v>
      </c>
      <c r="C284" s="75" t="s">
        <v>1166</v>
      </c>
      <c r="D284" s="76"/>
      <c r="E284" s="76" t="s">
        <v>1261</v>
      </c>
      <c r="F284" s="76" t="s">
        <v>57</v>
      </c>
      <c r="G284" s="77">
        <v>1</v>
      </c>
      <c r="H284" s="77"/>
      <c r="I284" s="107">
        <v>133.69999999999999</v>
      </c>
      <c r="J284" s="78">
        <f>IFERROR(ROUND(SUM(M285,M286)/I284, 2),0)</f>
        <v>60.32</v>
      </c>
      <c r="K284" s="73">
        <v>508</v>
      </c>
      <c r="L284" s="78">
        <f>J284+ROUND(K284, 2)</f>
        <v>568.32000000000005</v>
      </c>
      <c r="M284" s="78">
        <f>ROUND(J284*I284, 2)</f>
        <v>8064.78</v>
      </c>
      <c r="N284" s="78">
        <f>ROUND(I284*ROUND(K284, 2), 2)</f>
        <v>67919.600000000006</v>
      </c>
      <c r="O284" s="78">
        <f>M284+N284</f>
        <v>75984.38</v>
      </c>
      <c r="P284" s="78">
        <f>IFERROR(ROUND(SUM(S285,S286)/I284, 2),0)</f>
        <v>98.52</v>
      </c>
      <c r="Q284" s="79">
        <v>508</v>
      </c>
      <c r="R284" s="78">
        <f>P284+ROUND(Q284, 2)</f>
        <v>606.52</v>
      </c>
      <c r="S284" s="78">
        <f>ROUND(P284*I284, 2)</f>
        <v>13172.12</v>
      </c>
      <c r="T284" s="78">
        <f>ROUND(I284*ROUND(Q284, 2), 2)</f>
        <v>67919.600000000006</v>
      </c>
      <c r="U284" s="78">
        <f>S284+T284</f>
        <v>81091.72</v>
      </c>
    </row>
    <row r="285" spans="1:21" ht="36" x14ac:dyDescent="0.3">
      <c r="A285" s="101" t="s">
        <v>1262</v>
      </c>
      <c r="B285" s="10"/>
      <c r="C285" s="24" t="s">
        <v>509</v>
      </c>
      <c r="D285" s="15"/>
      <c r="E285" s="15"/>
      <c r="F285" s="25" t="s">
        <v>76</v>
      </c>
      <c r="G285" s="26">
        <v>0.15</v>
      </c>
      <c r="H285" s="26"/>
      <c r="I285" s="108">
        <v>20.055</v>
      </c>
      <c r="J285" s="27">
        <v>90.28</v>
      </c>
      <c r="M285" s="28">
        <f>ROUND(ROUND(J285, 2)*I285, 2)</f>
        <v>1810.57</v>
      </c>
      <c r="P285" s="29">
        <v>88.8</v>
      </c>
      <c r="S285" s="28">
        <f>ROUND(ROUND(P285, 2)*I285, 2)</f>
        <v>1780.88</v>
      </c>
    </row>
    <row r="286" spans="1:21" ht="18" x14ac:dyDescent="0.3">
      <c r="A286" s="101" t="s">
        <v>1265</v>
      </c>
      <c r="B286" s="10"/>
      <c r="C286" s="24" t="s">
        <v>902</v>
      </c>
      <c r="D286" s="15"/>
      <c r="E286" s="15" t="s">
        <v>1106</v>
      </c>
      <c r="F286" s="25" t="s">
        <v>76</v>
      </c>
      <c r="G286" s="26">
        <v>2</v>
      </c>
      <c r="H286" s="26"/>
      <c r="I286" s="108">
        <v>267.39999999999998</v>
      </c>
      <c r="J286" s="27">
        <v>23.39</v>
      </c>
      <c r="M286" s="28">
        <f>ROUND(ROUND(J286, 2)*I286, 2)</f>
        <v>6254.49</v>
      </c>
      <c r="P286" s="29">
        <v>42.6</v>
      </c>
      <c r="S286" s="28">
        <f>ROUND(ROUND(P286, 2)*I286, 2)</f>
        <v>11391.24</v>
      </c>
    </row>
    <row r="287" spans="1:21" ht="72" x14ac:dyDescent="0.3">
      <c r="A287" s="101" t="s">
        <v>1268</v>
      </c>
      <c r="B287" s="10" t="s">
        <v>1269</v>
      </c>
      <c r="C287" s="14" t="s">
        <v>1270</v>
      </c>
      <c r="D287" s="15"/>
      <c r="E287" s="15" t="s">
        <v>401</v>
      </c>
      <c r="F287" s="15" t="s">
        <v>57</v>
      </c>
      <c r="G287" s="16">
        <v>1</v>
      </c>
      <c r="H287" s="16"/>
      <c r="I287" s="110">
        <v>117.8</v>
      </c>
      <c r="J287" s="17">
        <f>IFERROR(ROUND(SUM(M288,M289,M290)/I287, 2),0)</f>
        <v>257.06</v>
      </c>
      <c r="K287" s="18">
        <v>873</v>
      </c>
      <c r="L287" s="17">
        <f>J287+ROUND(K287, 2)</f>
        <v>1130.06</v>
      </c>
      <c r="M287" s="17">
        <f>ROUND(J287*I287, 2)</f>
        <v>30281.67</v>
      </c>
      <c r="N287" s="17">
        <f>ROUND(I287*ROUND(K287, 2), 2)</f>
        <v>102839.4</v>
      </c>
      <c r="O287" s="17">
        <f>M287+N287</f>
        <v>133121.07</v>
      </c>
      <c r="P287" s="17">
        <f>IFERROR(ROUND(SUM(S288,S289,S290)/I287, 2),0)</f>
        <v>263.33999999999997</v>
      </c>
      <c r="Q287" s="19">
        <v>873</v>
      </c>
      <c r="R287" s="17">
        <f>P287+ROUND(Q287, 2)</f>
        <v>1136.3399999999999</v>
      </c>
      <c r="S287" s="17">
        <f>ROUND(P287*I287, 2)</f>
        <v>31021.45</v>
      </c>
      <c r="T287" s="17">
        <f>ROUND(I287*ROUND(Q287, 2), 2)</f>
        <v>102839.4</v>
      </c>
      <c r="U287" s="17">
        <f>S287+T287</f>
        <v>133860.85</v>
      </c>
    </row>
    <row r="288" spans="1:21" ht="18" x14ac:dyDescent="0.3">
      <c r="A288" s="101" t="s">
        <v>1273</v>
      </c>
      <c r="B288" s="10"/>
      <c r="C288" s="24" t="s">
        <v>1274</v>
      </c>
      <c r="D288" s="15"/>
      <c r="E288" s="15"/>
      <c r="F288" s="25" t="s">
        <v>76</v>
      </c>
      <c r="G288" s="26">
        <v>1.3</v>
      </c>
      <c r="H288" s="36"/>
      <c r="I288" s="109">
        <v>3062.8</v>
      </c>
      <c r="J288" s="27">
        <v>8.75</v>
      </c>
      <c r="M288" s="28">
        <f>ROUND(ROUND(J288, 2)*I288, 2)</f>
        <v>26799.5</v>
      </c>
      <c r="P288" s="29">
        <v>9</v>
      </c>
      <c r="S288" s="28">
        <f>ROUND(ROUND(P288, 2)*I288, 2)</f>
        <v>27565.200000000001</v>
      </c>
    </row>
    <row r="289" spans="1:21" ht="18" x14ac:dyDescent="0.3">
      <c r="A289" s="101" t="s">
        <v>1278</v>
      </c>
      <c r="B289" s="10"/>
      <c r="C289" s="24" t="s">
        <v>1279</v>
      </c>
      <c r="D289" s="15"/>
      <c r="E289" s="15"/>
      <c r="F289" s="25" t="s">
        <v>123</v>
      </c>
      <c r="G289" s="26">
        <v>1</v>
      </c>
      <c r="H289" s="36"/>
      <c r="I289" s="109">
        <v>117.8</v>
      </c>
      <c r="J289" s="27">
        <v>16.02</v>
      </c>
      <c r="M289" s="28">
        <f>ROUND(ROUND(J289, 2)*I289, 2)</f>
        <v>1887.16</v>
      </c>
      <c r="P289" s="29">
        <v>16.02</v>
      </c>
      <c r="S289" s="28">
        <f>ROUND(ROUND(P289, 2)*I289, 2)</f>
        <v>1887.16</v>
      </c>
    </row>
    <row r="290" spans="1:21" ht="36" x14ac:dyDescent="0.3">
      <c r="A290" s="101" t="s">
        <v>1283</v>
      </c>
      <c r="B290" s="10"/>
      <c r="C290" s="24" t="s">
        <v>509</v>
      </c>
      <c r="D290" s="15"/>
      <c r="E290" s="15"/>
      <c r="F290" s="25" t="s">
        <v>76</v>
      </c>
      <c r="G290" s="26">
        <v>0.15</v>
      </c>
      <c r="H290" s="26"/>
      <c r="I290" s="108">
        <v>17.670000000000002</v>
      </c>
      <c r="J290" s="27">
        <v>90.28</v>
      </c>
      <c r="M290" s="28">
        <f>ROUND(ROUND(J290, 2)*I290, 2)</f>
        <v>1595.25</v>
      </c>
      <c r="P290" s="29">
        <v>88.8</v>
      </c>
      <c r="S290" s="28">
        <f>ROUND(ROUND(P290, 2)*I290, 2)</f>
        <v>1569.1</v>
      </c>
    </row>
    <row r="291" spans="1:21" ht="72" x14ac:dyDescent="0.3">
      <c r="A291" s="102" t="s">
        <v>1286</v>
      </c>
      <c r="B291" s="74" t="s">
        <v>1287</v>
      </c>
      <c r="C291" s="75" t="s">
        <v>1288</v>
      </c>
      <c r="D291" s="76" t="s">
        <v>1289</v>
      </c>
      <c r="E291" s="76" t="s">
        <v>1290</v>
      </c>
      <c r="F291" s="76" t="s">
        <v>57</v>
      </c>
      <c r="G291" s="77">
        <v>1</v>
      </c>
      <c r="H291" s="77"/>
      <c r="I291" s="107">
        <v>271.41000000000003</v>
      </c>
      <c r="J291" s="78">
        <f>IFERROR(ROUND(SUM(M292,M293,M294,M295)/I291, 2),0)</f>
        <v>342.92</v>
      </c>
      <c r="K291" s="73">
        <v>954</v>
      </c>
      <c r="L291" s="78">
        <f>J291+ROUND(K291, 2)</f>
        <v>1296.92</v>
      </c>
      <c r="M291" s="78">
        <f>ROUND(J291*I291, 2)</f>
        <v>93071.92</v>
      </c>
      <c r="N291" s="78">
        <f>ROUND(I291*ROUND(K291, 2), 2)</f>
        <v>258925.14</v>
      </c>
      <c r="O291" s="78">
        <f>M291+N291</f>
        <v>351997.06</v>
      </c>
      <c r="P291" s="78">
        <f>IFERROR(ROUND(SUM(S292,S293,S294,S295)/I291, 2),0)</f>
        <v>349.01</v>
      </c>
      <c r="Q291" s="79">
        <v>954</v>
      </c>
      <c r="R291" s="78">
        <f>P291+ROUND(Q291, 2)</f>
        <v>1303.01</v>
      </c>
      <c r="S291" s="78">
        <f>ROUND(P291*I291, 2)</f>
        <v>94724.800000000003</v>
      </c>
      <c r="T291" s="78">
        <f>ROUND(I291*ROUND(Q291, 2), 2)</f>
        <v>258925.14</v>
      </c>
      <c r="U291" s="78">
        <f>S291+T291</f>
        <v>353649.94</v>
      </c>
    </row>
    <row r="292" spans="1:21" ht="18" x14ac:dyDescent="0.3">
      <c r="A292" s="101" t="s">
        <v>1293</v>
      </c>
      <c r="B292" s="10"/>
      <c r="C292" s="24" t="s">
        <v>1274</v>
      </c>
      <c r="D292" s="15"/>
      <c r="E292" s="15"/>
      <c r="F292" s="25" t="s">
        <v>76</v>
      </c>
      <c r="G292" s="26">
        <v>1.3</v>
      </c>
      <c r="H292" s="36"/>
      <c r="I292" s="109">
        <v>7056.66</v>
      </c>
      <c r="J292" s="27">
        <v>8.75</v>
      </c>
      <c r="M292" s="28">
        <f>ROUND(ROUND(J292, 2)*I292, 2)</f>
        <v>61745.78</v>
      </c>
      <c r="P292" s="29">
        <v>9</v>
      </c>
      <c r="S292" s="28">
        <f>ROUND(ROUND(P292, 2)*I292, 2)</f>
        <v>63509.94</v>
      </c>
    </row>
    <row r="293" spans="1:21" ht="36" x14ac:dyDescent="0.3">
      <c r="A293" s="101" t="s">
        <v>1296</v>
      </c>
      <c r="B293" s="10"/>
      <c r="C293" s="24" t="s">
        <v>1297</v>
      </c>
      <c r="D293" s="15"/>
      <c r="E293" s="15"/>
      <c r="F293" s="25" t="s">
        <v>57</v>
      </c>
      <c r="G293" s="26">
        <v>1.1000000000000001</v>
      </c>
      <c r="H293" s="26"/>
      <c r="I293" s="108">
        <v>298.55099999999999</v>
      </c>
      <c r="J293" s="27">
        <v>67.260000000000005</v>
      </c>
      <c r="M293" s="28">
        <f>ROUND(ROUND(J293, 2)*I293, 2)</f>
        <v>20080.54</v>
      </c>
      <c r="P293" s="29">
        <v>67.260000000000005</v>
      </c>
      <c r="S293" s="28">
        <f>ROUND(ROUND(P293, 2)*I293, 2)</f>
        <v>20080.54</v>
      </c>
    </row>
    <row r="294" spans="1:21" ht="18" x14ac:dyDescent="0.3">
      <c r="A294" s="101" t="s">
        <v>1301</v>
      </c>
      <c r="B294" s="10"/>
      <c r="C294" s="24" t="s">
        <v>1279</v>
      </c>
      <c r="D294" s="15"/>
      <c r="E294" s="15"/>
      <c r="F294" s="25" t="s">
        <v>123</v>
      </c>
      <c r="G294" s="26">
        <v>1</v>
      </c>
      <c r="H294" s="36"/>
      <c r="I294" s="109">
        <v>271.41000000000003</v>
      </c>
      <c r="J294" s="27">
        <v>16.02</v>
      </c>
      <c r="M294" s="28">
        <f>ROUND(ROUND(J294, 2)*I294, 2)</f>
        <v>4347.99</v>
      </c>
      <c r="P294" s="29">
        <v>16.02</v>
      </c>
      <c r="S294" s="28">
        <f>ROUND(ROUND(P294, 2)*I294, 2)</f>
        <v>4347.99</v>
      </c>
    </row>
    <row r="295" spans="1:21" ht="18" x14ac:dyDescent="0.3">
      <c r="A295" s="101" t="s">
        <v>1304</v>
      </c>
      <c r="B295" s="10"/>
      <c r="C295" s="24" t="s">
        <v>310</v>
      </c>
      <c r="D295" s="15"/>
      <c r="E295" s="15"/>
      <c r="F295" s="25" t="s">
        <v>76</v>
      </c>
      <c r="G295" s="26">
        <v>0.25</v>
      </c>
      <c r="H295" s="26"/>
      <c r="I295" s="108">
        <v>67.852999999999994</v>
      </c>
      <c r="J295" s="27">
        <v>101.66</v>
      </c>
      <c r="M295" s="28">
        <f>ROUND(ROUND(J295, 2)*I295, 2)</f>
        <v>6897.94</v>
      </c>
      <c r="P295" s="29">
        <v>100</v>
      </c>
      <c r="S295" s="28">
        <f>ROUND(ROUND(P295, 2)*I295, 2)</f>
        <v>6785.3</v>
      </c>
    </row>
    <row r="296" spans="1:21" ht="72" x14ac:dyDescent="0.3">
      <c r="A296" s="102" t="s">
        <v>1307</v>
      </c>
      <c r="B296" s="74" t="s">
        <v>1287</v>
      </c>
      <c r="C296" s="75" t="s">
        <v>1288</v>
      </c>
      <c r="D296" s="76" t="s">
        <v>1289</v>
      </c>
      <c r="E296" s="76" t="s">
        <v>1308</v>
      </c>
      <c r="F296" s="76" t="s">
        <v>57</v>
      </c>
      <c r="G296" s="77">
        <v>1</v>
      </c>
      <c r="H296" s="77"/>
      <c r="I296" s="107">
        <v>301.38</v>
      </c>
      <c r="J296" s="78">
        <f>IFERROR(ROUND(SUM(M297,M298,M299,M300)/I296, 2),0)</f>
        <v>342.92</v>
      </c>
      <c r="K296" s="73">
        <v>954</v>
      </c>
      <c r="L296" s="78">
        <f>J296+ROUND(K296, 2)</f>
        <v>1296.92</v>
      </c>
      <c r="M296" s="78">
        <f>ROUND(J296*I296, 2)</f>
        <v>103349.23</v>
      </c>
      <c r="N296" s="78">
        <f>ROUND(I296*ROUND(K296, 2), 2)</f>
        <v>287516.52</v>
      </c>
      <c r="O296" s="78">
        <f>M296+N296</f>
        <v>390865.75</v>
      </c>
      <c r="P296" s="78">
        <f>IFERROR(ROUND(SUM(S297,S298,S299,S300)/I296, 2),0)</f>
        <v>349.01</v>
      </c>
      <c r="Q296" s="79">
        <v>954</v>
      </c>
      <c r="R296" s="78">
        <f>P296+ROUND(Q296, 2)</f>
        <v>1303.01</v>
      </c>
      <c r="S296" s="78">
        <f>ROUND(P296*I296, 2)</f>
        <v>105184.63</v>
      </c>
      <c r="T296" s="78">
        <f>ROUND(I296*ROUND(Q296, 2), 2)</f>
        <v>287516.52</v>
      </c>
      <c r="U296" s="78">
        <f>S296+T296</f>
        <v>392701.15</v>
      </c>
    </row>
    <row r="297" spans="1:21" ht="18" x14ac:dyDescent="0.3">
      <c r="A297" s="101" t="s">
        <v>1309</v>
      </c>
      <c r="B297" s="10"/>
      <c r="C297" s="24" t="s">
        <v>310</v>
      </c>
      <c r="D297" s="15"/>
      <c r="E297" s="15"/>
      <c r="F297" s="25" t="s">
        <v>76</v>
      </c>
      <c r="G297" s="26">
        <v>0.25</v>
      </c>
      <c r="H297" s="26"/>
      <c r="I297" s="108">
        <v>75.344999999999999</v>
      </c>
      <c r="J297" s="27">
        <v>101.66</v>
      </c>
      <c r="M297" s="28">
        <f>ROUND(ROUND(J297, 2)*I297, 2)</f>
        <v>7659.57</v>
      </c>
      <c r="P297" s="29">
        <v>100</v>
      </c>
      <c r="S297" s="28">
        <f>ROUND(ROUND(P297, 2)*I297, 2)</f>
        <v>7534.5</v>
      </c>
    </row>
    <row r="298" spans="1:21" ht="18" x14ac:dyDescent="0.3">
      <c r="A298" s="101" t="s">
        <v>1312</v>
      </c>
      <c r="B298" s="10"/>
      <c r="C298" s="24" t="s">
        <v>1279</v>
      </c>
      <c r="D298" s="15"/>
      <c r="E298" s="15"/>
      <c r="F298" s="25" t="s">
        <v>123</v>
      </c>
      <c r="G298" s="26">
        <v>1</v>
      </c>
      <c r="H298" s="36"/>
      <c r="I298" s="109">
        <v>301.38</v>
      </c>
      <c r="J298" s="27">
        <v>16.02</v>
      </c>
      <c r="M298" s="28">
        <f>ROUND(ROUND(J298, 2)*I298, 2)</f>
        <v>4828.1099999999997</v>
      </c>
      <c r="P298" s="29">
        <v>16.02</v>
      </c>
      <c r="S298" s="28">
        <f>ROUND(ROUND(P298, 2)*I298, 2)</f>
        <v>4828.1099999999997</v>
      </c>
    </row>
    <row r="299" spans="1:21" ht="36" x14ac:dyDescent="0.3">
      <c r="A299" s="101" t="s">
        <v>1315</v>
      </c>
      <c r="B299" s="10"/>
      <c r="C299" s="24" t="s">
        <v>1297</v>
      </c>
      <c r="D299" s="15"/>
      <c r="E299" s="15"/>
      <c r="F299" s="25" t="s">
        <v>57</v>
      </c>
      <c r="G299" s="26">
        <v>1.1000000000000001</v>
      </c>
      <c r="H299" s="26"/>
      <c r="I299" s="108">
        <v>331.51799999999997</v>
      </c>
      <c r="J299" s="27">
        <v>67.260000000000005</v>
      </c>
      <c r="M299" s="28">
        <f>ROUND(ROUND(J299, 2)*I299, 2)</f>
        <v>22297.9</v>
      </c>
      <c r="P299" s="29">
        <v>67.260000000000005</v>
      </c>
      <c r="S299" s="28">
        <f>ROUND(ROUND(P299, 2)*I299, 2)</f>
        <v>22297.9</v>
      </c>
    </row>
    <row r="300" spans="1:21" ht="18" x14ac:dyDescent="0.3">
      <c r="A300" s="101" t="s">
        <v>1318</v>
      </c>
      <c r="B300" s="10"/>
      <c r="C300" s="24" t="s">
        <v>1274</v>
      </c>
      <c r="D300" s="15"/>
      <c r="E300" s="15"/>
      <c r="F300" s="25" t="s">
        <v>76</v>
      </c>
      <c r="G300" s="26">
        <v>1.3</v>
      </c>
      <c r="H300" s="36"/>
      <c r="I300" s="109">
        <v>7835.88</v>
      </c>
      <c r="J300" s="27">
        <v>8.75</v>
      </c>
      <c r="M300" s="28">
        <f>ROUND(ROUND(J300, 2)*I300, 2)</f>
        <v>68563.95</v>
      </c>
      <c r="P300" s="29">
        <v>9</v>
      </c>
      <c r="S300" s="28">
        <f>ROUND(ROUND(P300, 2)*I300, 2)</f>
        <v>70522.92</v>
      </c>
    </row>
    <row r="301" spans="1:21" ht="16.95" customHeight="1" x14ac:dyDescent="0.3">
      <c r="A301" s="101" t="s">
        <v>1321</v>
      </c>
      <c r="B301" s="10" t="s">
        <v>1322</v>
      </c>
      <c r="C301" s="80" t="s">
        <v>1323</v>
      </c>
      <c r="D301" s="81"/>
      <c r="E301" s="81"/>
      <c r="F301" s="81"/>
      <c r="G301" s="81"/>
      <c r="H301" s="81"/>
      <c r="I301" s="81"/>
      <c r="M301" s="6">
        <f>SUM(M302,M305,M308,M311,M314)</f>
        <v>282204.32999999996</v>
      </c>
      <c r="N301" s="6">
        <f>SUM(N302,N305,N308,N311,N314)</f>
        <v>1570451.84</v>
      </c>
      <c r="O301" s="6">
        <f>SUM(O302,O305,O308,O311,O314)</f>
        <v>1852656.1700000002</v>
      </c>
      <c r="S301" s="6">
        <f>SUM(S302,S305,S308,S311,S314)</f>
        <v>245511.53</v>
      </c>
      <c r="T301" s="6">
        <f>SUM(T302,T305,T308,T311,T314)</f>
        <v>1570451.84</v>
      </c>
      <c r="U301" s="6">
        <f>SUM(U302,U305,U308,U311,U314)</f>
        <v>1815963.3699999999</v>
      </c>
    </row>
    <row r="302" spans="1:21" ht="36" hidden="1" x14ac:dyDescent="0.3">
      <c r="A302" s="101" t="s">
        <v>1324</v>
      </c>
      <c r="B302" s="10" t="s">
        <v>1325</v>
      </c>
      <c r="C302" s="14" t="s">
        <v>1326</v>
      </c>
      <c r="D302" s="15"/>
      <c r="E302" s="15" t="s">
        <v>1327</v>
      </c>
      <c r="F302" s="15" t="s">
        <v>57</v>
      </c>
      <c r="G302" s="16">
        <v>1</v>
      </c>
      <c r="H302" s="16"/>
      <c r="I302" s="110">
        <v>0</v>
      </c>
      <c r="J302" s="17">
        <v>18.329999999999998</v>
      </c>
      <c r="K302" s="18">
        <v>251</v>
      </c>
      <c r="L302" s="17">
        <f>J302+ROUND(K302, 2)</f>
        <v>269.33</v>
      </c>
      <c r="M302" s="17">
        <v>0</v>
      </c>
      <c r="N302" s="17">
        <v>0</v>
      </c>
      <c r="O302" s="17">
        <f>M302+N302</f>
        <v>0</v>
      </c>
      <c r="P302" s="17">
        <v>18.329999999999998</v>
      </c>
      <c r="Q302" s="18">
        <v>251</v>
      </c>
      <c r="R302" s="17">
        <f>P302+ROUND(Q302, 2)</f>
        <v>269.33</v>
      </c>
      <c r="S302" s="17">
        <v>0</v>
      </c>
      <c r="T302" s="17">
        <v>0</v>
      </c>
      <c r="U302" s="17">
        <f>S302+T302</f>
        <v>0</v>
      </c>
    </row>
    <row r="303" spans="1:21" ht="36" hidden="1" x14ac:dyDescent="0.3">
      <c r="A303" s="101" t="s">
        <v>1331</v>
      </c>
      <c r="B303" s="10"/>
      <c r="C303" s="24" t="s">
        <v>769</v>
      </c>
      <c r="D303" s="15"/>
      <c r="E303" s="15"/>
      <c r="F303" s="25" t="s">
        <v>76</v>
      </c>
      <c r="G303" s="26">
        <v>0.15</v>
      </c>
      <c r="H303" s="26"/>
      <c r="I303" s="108">
        <v>0</v>
      </c>
      <c r="J303" s="27">
        <v>80</v>
      </c>
      <c r="M303" s="28">
        <f>ROUND(ROUND(J303, 2)*I303, 2)</f>
        <v>0</v>
      </c>
      <c r="P303" s="27">
        <v>80</v>
      </c>
      <c r="S303" s="28">
        <f>ROUND(ROUND(P303, 2)*I303, 2)</f>
        <v>0</v>
      </c>
    </row>
    <row r="304" spans="1:21" ht="126" hidden="1" x14ac:dyDescent="0.3">
      <c r="A304" s="101" t="s">
        <v>1336</v>
      </c>
      <c r="B304" s="10"/>
      <c r="C304" s="24" t="s">
        <v>1337</v>
      </c>
      <c r="D304" s="15"/>
      <c r="E304" s="15" t="s">
        <v>1338</v>
      </c>
      <c r="F304" s="25" t="s">
        <v>76</v>
      </c>
      <c r="G304" s="26">
        <v>0.3</v>
      </c>
      <c r="H304" s="26"/>
      <c r="I304" s="108">
        <v>0</v>
      </c>
      <c r="J304" s="27">
        <v>21.1</v>
      </c>
      <c r="M304" s="28">
        <f>ROUND(ROUND(J304, 2)*I304, 2)</f>
        <v>0</v>
      </c>
      <c r="P304" s="27">
        <v>21.1</v>
      </c>
      <c r="S304" s="28">
        <f>ROUND(ROUND(P304, 2)*I304, 2)</f>
        <v>0</v>
      </c>
    </row>
    <row r="305" spans="1:21" ht="36" x14ac:dyDescent="0.3">
      <c r="A305" s="101" t="s">
        <v>1344</v>
      </c>
      <c r="B305" s="10" t="s">
        <v>1345</v>
      </c>
      <c r="C305" s="14" t="s">
        <v>1346</v>
      </c>
      <c r="D305" s="15"/>
      <c r="E305" s="15" t="s">
        <v>1347</v>
      </c>
      <c r="F305" s="15" t="s">
        <v>57</v>
      </c>
      <c r="G305" s="16">
        <v>1</v>
      </c>
      <c r="H305" s="16"/>
      <c r="I305" s="110">
        <v>1049.68</v>
      </c>
      <c r="J305" s="17">
        <f>IFERROR(ROUND(SUM(M306,M307)/I305, 2),0)</f>
        <v>76.91</v>
      </c>
      <c r="K305" s="18">
        <v>428</v>
      </c>
      <c r="L305" s="17">
        <f>J305+ROUND(K305, 2)</f>
        <v>504.90999999999997</v>
      </c>
      <c r="M305" s="17">
        <f>ROUND(J305*I305, 2)</f>
        <v>80730.89</v>
      </c>
      <c r="N305" s="17">
        <f>ROUND(I305*ROUND(K305, 2), 2)</f>
        <v>449263.04</v>
      </c>
      <c r="O305" s="17">
        <f>M305+N305</f>
        <v>529993.92999999993</v>
      </c>
      <c r="P305" s="17">
        <f>IFERROR(ROUND(SUM(S306,S307)/I305, 2),0)</f>
        <v>66.91</v>
      </c>
      <c r="Q305" s="19">
        <v>428</v>
      </c>
      <c r="R305" s="17">
        <f>P305+ROUND(Q305, 2)</f>
        <v>494.90999999999997</v>
      </c>
      <c r="S305" s="17">
        <f>ROUND(P305*I305, 2)</f>
        <v>70234.09</v>
      </c>
      <c r="T305" s="17">
        <f>ROUND(I305*ROUND(Q305, 2), 2)</f>
        <v>449263.04</v>
      </c>
      <c r="U305" s="17">
        <f>S305+T305</f>
        <v>519497.13</v>
      </c>
    </row>
    <row r="306" spans="1:21" ht="36" x14ac:dyDescent="0.3">
      <c r="A306" s="101" t="s">
        <v>1350</v>
      </c>
      <c r="B306" s="10"/>
      <c r="C306" s="24" t="s">
        <v>1351</v>
      </c>
      <c r="D306" s="15"/>
      <c r="E306" s="15"/>
      <c r="F306" s="25" t="s">
        <v>76</v>
      </c>
      <c r="G306" s="26">
        <v>0.17</v>
      </c>
      <c r="H306" s="26"/>
      <c r="I306" s="108">
        <v>178.446</v>
      </c>
      <c r="J306" s="27">
        <v>372.78</v>
      </c>
      <c r="M306" s="28">
        <f>ROUND(ROUND(J306, 2)*I306, 2)</f>
        <v>66521.100000000006</v>
      </c>
      <c r="P306" s="29">
        <v>315.24</v>
      </c>
      <c r="S306" s="28">
        <f>ROUND(ROUND(P306, 2)*I306, 2)</f>
        <v>56253.32</v>
      </c>
    </row>
    <row r="307" spans="1:21" ht="36" x14ac:dyDescent="0.3">
      <c r="A307" s="101" t="s">
        <v>1355</v>
      </c>
      <c r="B307" s="10"/>
      <c r="C307" s="24" t="s">
        <v>509</v>
      </c>
      <c r="D307" s="15"/>
      <c r="E307" s="15"/>
      <c r="F307" s="25" t="s">
        <v>76</v>
      </c>
      <c r="G307" s="26">
        <v>0.15</v>
      </c>
      <c r="H307" s="26"/>
      <c r="I307" s="108">
        <v>157.452</v>
      </c>
      <c r="J307" s="27">
        <v>90.28</v>
      </c>
      <c r="M307" s="28">
        <f>ROUND(ROUND(J307, 2)*I307, 2)</f>
        <v>14214.77</v>
      </c>
      <c r="P307" s="29">
        <v>88.8</v>
      </c>
      <c r="S307" s="28">
        <f>ROUND(ROUND(P307, 2)*I307, 2)</f>
        <v>13981.74</v>
      </c>
    </row>
    <row r="308" spans="1:21" ht="36" x14ac:dyDescent="0.3">
      <c r="A308" s="101" t="s">
        <v>1358</v>
      </c>
      <c r="B308" s="10" t="s">
        <v>1345</v>
      </c>
      <c r="C308" s="14" t="s">
        <v>1346</v>
      </c>
      <c r="D308" s="15"/>
      <c r="E308" s="15" t="s">
        <v>1359</v>
      </c>
      <c r="F308" s="15" t="s">
        <v>57</v>
      </c>
      <c r="G308" s="16">
        <v>1</v>
      </c>
      <c r="H308" s="16"/>
      <c r="I308" s="110">
        <v>1075.9000000000001</v>
      </c>
      <c r="J308" s="17">
        <f>IFERROR(ROUND(SUM(M309,M310)/I308, 2),0)</f>
        <v>76.91</v>
      </c>
      <c r="K308" s="18">
        <v>428</v>
      </c>
      <c r="L308" s="17">
        <f>J308+ROUND(K308, 2)</f>
        <v>504.90999999999997</v>
      </c>
      <c r="M308" s="17">
        <f>ROUND(J308*I308, 2)</f>
        <v>82747.47</v>
      </c>
      <c r="N308" s="17">
        <f>ROUND(I308*ROUND(K308, 2), 2)</f>
        <v>460485.2</v>
      </c>
      <c r="O308" s="17">
        <f>M308+N308</f>
        <v>543232.67000000004</v>
      </c>
      <c r="P308" s="17">
        <f>IFERROR(ROUND(SUM(S309,S310)/I308, 2),0)</f>
        <v>66.91</v>
      </c>
      <c r="Q308" s="19">
        <v>428</v>
      </c>
      <c r="R308" s="17">
        <f>P308+ROUND(Q308, 2)</f>
        <v>494.90999999999997</v>
      </c>
      <c r="S308" s="17">
        <f>ROUND(P308*I308, 2)</f>
        <v>71988.47</v>
      </c>
      <c r="T308" s="17">
        <f>ROUND(I308*ROUND(Q308, 2), 2)</f>
        <v>460485.2</v>
      </c>
      <c r="U308" s="17">
        <f>S308+T308</f>
        <v>532473.67000000004</v>
      </c>
    </row>
    <row r="309" spans="1:21" ht="36" x14ac:dyDescent="0.3">
      <c r="A309" s="101" t="s">
        <v>1360</v>
      </c>
      <c r="B309" s="10"/>
      <c r="C309" s="24" t="s">
        <v>509</v>
      </c>
      <c r="D309" s="15"/>
      <c r="E309" s="15"/>
      <c r="F309" s="25" t="s">
        <v>76</v>
      </c>
      <c r="G309" s="26">
        <v>0.15</v>
      </c>
      <c r="H309" s="26"/>
      <c r="I309" s="108">
        <v>161.38499999999999</v>
      </c>
      <c r="J309" s="27">
        <v>90.28</v>
      </c>
      <c r="M309" s="28">
        <f>ROUND(ROUND(J309, 2)*I309, 2)</f>
        <v>14569.84</v>
      </c>
      <c r="P309" s="29">
        <v>88.8</v>
      </c>
      <c r="S309" s="28">
        <f>ROUND(ROUND(P309, 2)*I309, 2)</f>
        <v>14330.99</v>
      </c>
    </row>
    <row r="310" spans="1:21" ht="36" x14ac:dyDescent="0.3">
      <c r="A310" s="101" t="s">
        <v>1363</v>
      </c>
      <c r="B310" s="10"/>
      <c r="C310" s="24" t="s">
        <v>1351</v>
      </c>
      <c r="D310" s="15"/>
      <c r="E310" s="15"/>
      <c r="F310" s="25" t="s">
        <v>76</v>
      </c>
      <c r="G310" s="26">
        <v>0.17</v>
      </c>
      <c r="H310" s="26"/>
      <c r="I310" s="108">
        <v>182.90299999999999</v>
      </c>
      <c r="J310" s="27">
        <v>372.78</v>
      </c>
      <c r="M310" s="28">
        <f>ROUND(ROUND(J310, 2)*I310, 2)</f>
        <v>68182.58</v>
      </c>
      <c r="P310" s="29">
        <v>315.24</v>
      </c>
      <c r="S310" s="28">
        <f>ROUND(ROUND(P310, 2)*I310, 2)</f>
        <v>57658.34</v>
      </c>
    </row>
    <row r="311" spans="1:21" ht="36" x14ac:dyDescent="0.3">
      <c r="A311" s="101" t="s">
        <v>1366</v>
      </c>
      <c r="B311" s="10" t="s">
        <v>1345</v>
      </c>
      <c r="C311" s="14" t="s">
        <v>1346</v>
      </c>
      <c r="D311" s="15"/>
      <c r="E311" s="15" t="s">
        <v>1367</v>
      </c>
      <c r="F311" s="15" t="s">
        <v>57</v>
      </c>
      <c r="G311" s="16">
        <v>1</v>
      </c>
      <c r="H311" s="16"/>
      <c r="I311" s="110">
        <v>1410</v>
      </c>
      <c r="J311" s="17">
        <f>IFERROR(ROUND(SUM(M312,M313)/I311, 2),0)</f>
        <v>76.91</v>
      </c>
      <c r="K311" s="18">
        <v>428</v>
      </c>
      <c r="L311" s="17">
        <f>J311+ROUND(K311, 2)</f>
        <v>504.90999999999997</v>
      </c>
      <c r="M311" s="17">
        <f>ROUND(J311*I311, 2)</f>
        <v>108443.1</v>
      </c>
      <c r="N311" s="17">
        <f>ROUND(I311*ROUND(K311, 2), 2)</f>
        <v>603480</v>
      </c>
      <c r="O311" s="17">
        <f>M311+N311</f>
        <v>711923.1</v>
      </c>
      <c r="P311" s="17">
        <f>IFERROR(ROUND(SUM(S312,S313)/I311, 2),0)</f>
        <v>66.91</v>
      </c>
      <c r="Q311" s="19">
        <v>428</v>
      </c>
      <c r="R311" s="17">
        <f>P311+ROUND(Q311, 2)</f>
        <v>494.90999999999997</v>
      </c>
      <c r="S311" s="17">
        <f>ROUND(P311*I311, 2)</f>
        <v>94343.1</v>
      </c>
      <c r="T311" s="17">
        <f>ROUND(I311*ROUND(Q311, 2), 2)</f>
        <v>603480</v>
      </c>
      <c r="U311" s="17">
        <f>S311+T311</f>
        <v>697823.1</v>
      </c>
    </row>
    <row r="312" spans="1:21" ht="36" x14ac:dyDescent="0.3">
      <c r="A312" s="101" t="s">
        <v>1368</v>
      </c>
      <c r="B312" s="10"/>
      <c r="C312" s="24" t="s">
        <v>509</v>
      </c>
      <c r="D312" s="15"/>
      <c r="E312" s="15"/>
      <c r="F312" s="25" t="s">
        <v>76</v>
      </c>
      <c r="G312" s="26">
        <v>0.15</v>
      </c>
      <c r="H312" s="26"/>
      <c r="I312" s="108">
        <v>211.5</v>
      </c>
      <c r="J312" s="27">
        <v>90.28</v>
      </c>
      <c r="M312" s="28">
        <f>ROUND(ROUND(J312, 2)*I312, 2)</f>
        <v>19094.22</v>
      </c>
      <c r="P312" s="29">
        <v>88.8</v>
      </c>
      <c r="S312" s="28">
        <f>ROUND(ROUND(P312, 2)*I312, 2)</f>
        <v>18781.2</v>
      </c>
    </row>
    <row r="313" spans="1:21" ht="36" x14ac:dyDescent="0.3">
      <c r="A313" s="101" t="s">
        <v>1371</v>
      </c>
      <c r="B313" s="10"/>
      <c r="C313" s="24" t="s">
        <v>1351</v>
      </c>
      <c r="D313" s="15"/>
      <c r="E313" s="15"/>
      <c r="F313" s="25" t="s">
        <v>76</v>
      </c>
      <c r="G313" s="26">
        <v>0.17</v>
      </c>
      <c r="H313" s="26"/>
      <c r="I313" s="108">
        <v>239.7</v>
      </c>
      <c r="J313" s="27">
        <v>372.78</v>
      </c>
      <c r="M313" s="28">
        <f>ROUND(ROUND(J313, 2)*I313, 2)</f>
        <v>89355.37</v>
      </c>
      <c r="P313" s="29">
        <v>315.24</v>
      </c>
      <c r="S313" s="28">
        <f>ROUND(ROUND(P313, 2)*I313, 2)</f>
        <v>75563.03</v>
      </c>
    </row>
    <row r="314" spans="1:21" ht="36" x14ac:dyDescent="0.3">
      <c r="A314" s="101" t="s">
        <v>1374</v>
      </c>
      <c r="B314" s="10" t="s">
        <v>1345</v>
      </c>
      <c r="C314" s="14" t="s">
        <v>1346</v>
      </c>
      <c r="D314" s="15"/>
      <c r="E314" s="15" t="s">
        <v>401</v>
      </c>
      <c r="F314" s="15" t="s">
        <v>57</v>
      </c>
      <c r="G314" s="16">
        <v>1</v>
      </c>
      <c r="H314" s="16"/>
      <c r="I314" s="110">
        <v>133.69999999999999</v>
      </c>
      <c r="J314" s="17">
        <f>IFERROR(ROUND(SUM(M315,M316)/I314, 2),0)</f>
        <v>76.91</v>
      </c>
      <c r="K314" s="18">
        <v>428</v>
      </c>
      <c r="L314" s="17">
        <f>J314+ROUND(K314, 2)</f>
        <v>504.90999999999997</v>
      </c>
      <c r="M314" s="17">
        <f>ROUND(J314*I314, 2)</f>
        <v>10282.870000000001</v>
      </c>
      <c r="N314" s="17">
        <f>ROUND(I314*ROUND(K314, 2), 2)</f>
        <v>57223.6</v>
      </c>
      <c r="O314" s="17">
        <f>M314+N314</f>
        <v>67506.47</v>
      </c>
      <c r="P314" s="17">
        <f>IFERROR(ROUND(SUM(S315,S316)/I314, 2),0)</f>
        <v>66.91</v>
      </c>
      <c r="Q314" s="19">
        <v>428</v>
      </c>
      <c r="R314" s="17">
        <f>P314+ROUND(Q314, 2)</f>
        <v>494.90999999999997</v>
      </c>
      <c r="S314" s="17">
        <f>ROUND(P314*I314, 2)</f>
        <v>8945.8700000000008</v>
      </c>
      <c r="T314" s="17">
        <f>ROUND(I314*ROUND(Q314, 2), 2)</f>
        <v>57223.6</v>
      </c>
      <c r="U314" s="17">
        <f>S314+T314</f>
        <v>66169.47</v>
      </c>
    </row>
    <row r="315" spans="1:21" ht="36" x14ac:dyDescent="0.3">
      <c r="A315" s="101" t="s">
        <v>1375</v>
      </c>
      <c r="B315" s="10"/>
      <c r="C315" s="24" t="s">
        <v>509</v>
      </c>
      <c r="D315" s="15"/>
      <c r="E315" s="15"/>
      <c r="F315" s="25" t="s">
        <v>76</v>
      </c>
      <c r="G315" s="26">
        <v>0.15</v>
      </c>
      <c r="H315" s="26"/>
      <c r="I315" s="108">
        <v>20.055</v>
      </c>
      <c r="J315" s="27">
        <v>90.28</v>
      </c>
      <c r="M315" s="28">
        <f>ROUND(ROUND(J315, 2)*I315, 2)</f>
        <v>1810.57</v>
      </c>
      <c r="P315" s="29">
        <v>88.8</v>
      </c>
      <c r="S315" s="28">
        <f>ROUND(ROUND(P315, 2)*I315, 2)</f>
        <v>1780.88</v>
      </c>
    </row>
    <row r="316" spans="1:21" ht="36" x14ac:dyDescent="0.3">
      <c r="A316" s="101" t="s">
        <v>1378</v>
      </c>
      <c r="B316" s="10"/>
      <c r="C316" s="24" t="s">
        <v>1351</v>
      </c>
      <c r="D316" s="15"/>
      <c r="E316" s="15"/>
      <c r="F316" s="25" t="s">
        <v>76</v>
      </c>
      <c r="G316" s="26">
        <v>0.17</v>
      </c>
      <c r="H316" s="26"/>
      <c r="I316" s="108">
        <v>22.728999999999999</v>
      </c>
      <c r="J316" s="27">
        <v>372.78</v>
      </c>
      <c r="M316" s="28">
        <f>ROUND(ROUND(J316, 2)*I316, 2)</f>
        <v>8472.92</v>
      </c>
      <c r="P316" s="29">
        <v>315.24</v>
      </c>
      <c r="S316" s="28">
        <f>ROUND(ROUND(P316, 2)*I316, 2)</f>
        <v>7165.09</v>
      </c>
    </row>
    <row r="317" spans="1:21" ht="16.95" customHeight="1" x14ac:dyDescent="0.3">
      <c r="A317" s="101" t="s">
        <v>1381</v>
      </c>
      <c r="B317" s="10" t="s">
        <v>1382</v>
      </c>
      <c r="C317" s="80" t="s">
        <v>1383</v>
      </c>
      <c r="D317" s="81"/>
      <c r="E317" s="81"/>
      <c r="F317" s="81"/>
      <c r="G317" s="81"/>
      <c r="H317" s="81"/>
      <c r="I317" s="81"/>
      <c r="M317" s="6">
        <f>SUM(M318,M322,M325,M328,M332,M335,M338,M342,M345,M348,M351,M354,M357,M361,M368)</f>
        <v>68272.5</v>
      </c>
      <c r="N317" s="6">
        <f>SUM(N318,N322,N325,N328,N332,N335,N338,N342,N345,N348,N351,N354,N357,N361,N368)</f>
        <v>374913.47999999992</v>
      </c>
      <c r="O317" s="6">
        <f>SUM(O318,O322,O325,O328,O332,O335,O338,O342,O345,O348,O351,O354,O357,O361,O368)</f>
        <v>443185.98000000004</v>
      </c>
      <c r="S317" s="6">
        <f>SUM(S318,S322,S325,S328,S332,S335,S338,S342,S345,S348,S351,S354,S357,S361,S368)</f>
        <v>146151.81999999998</v>
      </c>
      <c r="T317" s="6">
        <f>SUM(T318,T322,T325,T328,T332,T335,T338,T342,T345,T348,T351,T354,T357,T361,T368)</f>
        <v>374913.47999999992</v>
      </c>
      <c r="U317" s="6">
        <f>SUM(U318,U322,U325,U328,U332,U335,U338,U342,U345,U348,U351,U354,U357,U361,U368)</f>
        <v>521065.3000000001</v>
      </c>
    </row>
    <row r="318" spans="1:21" ht="72" x14ac:dyDescent="0.3">
      <c r="A318" s="101" t="s">
        <v>1384</v>
      </c>
      <c r="B318" s="10" t="s">
        <v>1385</v>
      </c>
      <c r="C318" s="14" t="s">
        <v>1386</v>
      </c>
      <c r="D318" s="15"/>
      <c r="E318" s="15" t="s">
        <v>1387</v>
      </c>
      <c r="F318" s="15" t="s">
        <v>57</v>
      </c>
      <c r="G318" s="16">
        <v>1</v>
      </c>
      <c r="H318" s="16"/>
      <c r="I318" s="110">
        <v>25.45</v>
      </c>
      <c r="J318" s="17">
        <f>IFERROR(ROUND(SUM(M319,M320,M321)/I318, 2),0)</f>
        <v>152.79</v>
      </c>
      <c r="K318" s="18">
        <v>1001</v>
      </c>
      <c r="L318" s="17">
        <f>J318+ROUND(K318, 2)</f>
        <v>1153.79</v>
      </c>
      <c r="M318" s="17">
        <f>ROUND(J318*I318, 2)</f>
        <v>3888.51</v>
      </c>
      <c r="N318" s="17">
        <f>ROUND(I318*ROUND(K318, 2), 2)</f>
        <v>25475.45</v>
      </c>
      <c r="O318" s="17">
        <f>M318+N318</f>
        <v>29363.96</v>
      </c>
      <c r="P318" s="17">
        <f>IFERROR(ROUND(SUM(S319,S320,S321)/I318, 2),0)</f>
        <v>163.69</v>
      </c>
      <c r="Q318" s="19">
        <v>1001</v>
      </c>
      <c r="R318" s="17">
        <f>P318+ROUND(Q318, 2)</f>
        <v>1164.69</v>
      </c>
      <c r="S318" s="17">
        <f>ROUND(P318*I318, 2)</f>
        <v>4165.91</v>
      </c>
      <c r="T318" s="17">
        <f>ROUND(I318*ROUND(Q318, 2), 2)</f>
        <v>25475.45</v>
      </c>
      <c r="U318" s="17">
        <f>S318+T318</f>
        <v>29641.360000000001</v>
      </c>
    </row>
    <row r="319" spans="1:21" ht="36" x14ac:dyDescent="0.3">
      <c r="A319" s="101" t="s">
        <v>1390</v>
      </c>
      <c r="B319" s="10"/>
      <c r="C319" s="24" t="s">
        <v>902</v>
      </c>
      <c r="D319" s="15"/>
      <c r="E319" s="15" t="s">
        <v>1080</v>
      </c>
      <c r="F319" s="25" t="s">
        <v>76</v>
      </c>
      <c r="G319" s="26">
        <v>5</v>
      </c>
      <c r="H319" s="26"/>
      <c r="I319" s="108">
        <v>127.25</v>
      </c>
      <c r="J319" s="27">
        <v>23.39</v>
      </c>
      <c r="M319" s="28">
        <f>ROUND(ROUND(J319, 2)*I319, 2)</f>
        <v>2976.38</v>
      </c>
      <c r="P319" s="29">
        <v>27.85</v>
      </c>
      <c r="S319" s="28">
        <f>ROUND(ROUND(P319, 2)*I319, 2)</f>
        <v>3543.91</v>
      </c>
    </row>
    <row r="320" spans="1:21" ht="18" x14ac:dyDescent="0.3">
      <c r="A320" s="101" t="s">
        <v>1393</v>
      </c>
      <c r="B320" s="10"/>
      <c r="C320" s="24" t="s">
        <v>907</v>
      </c>
      <c r="D320" s="15"/>
      <c r="E320" s="15"/>
      <c r="F320" s="25" t="s">
        <v>98</v>
      </c>
      <c r="G320" s="26">
        <v>0.3</v>
      </c>
      <c r="H320" s="26"/>
      <c r="I320" s="108">
        <v>7.6349999999999998</v>
      </c>
      <c r="J320" s="27">
        <v>74.319999999999993</v>
      </c>
      <c r="M320" s="28">
        <f>ROUND(ROUND(J320, 2)*I320, 2)</f>
        <v>567.42999999999995</v>
      </c>
      <c r="P320" s="29">
        <v>37.049999999999997</v>
      </c>
      <c r="S320" s="28">
        <f>ROUND(ROUND(P320, 2)*I320, 2)</f>
        <v>282.88</v>
      </c>
    </row>
    <row r="321" spans="1:21" ht="36" x14ac:dyDescent="0.3">
      <c r="A321" s="101" t="s">
        <v>1396</v>
      </c>
      <c r="B321" s="10"/>
      <c r="C321" s="24" t="s">
        <v>509</v>
      </c>
      <c r="D321" s="15"/>
      <c r="E321" s="15"/>
      <c r="F321" s="25" t="s">
        <v>76</v>
      </c>
      <c r="G321" s="26">
        <v>0.15</v>
      </c>
      <c r="H321" s="26"/>
      <c r="I321" s="108">
        <v>3.8180000000000001</v>
      </c>
      <c r="J321" s="27">
        <v>90.28</v>
      </c>
      <c r="M321" s="28">
        <f>ROUND(ROUND(J321, 2)*I321, 2)</f>
        <v>344.69</v>
      </c>
      <c r="P321" s="29">
        <v>88.8</v>
      </c>
      <c r="S321" s="28">
        <f>ROUND(ROUND(P321, 2)*I321, 2)</f>
        <v>339.04</v>
      </c>
    </row>
    <row r="322" spans="1:21" ht="54" x14ac:dyDescent="0.3">
      <c r="A322" s="101" t="s">
        <v>1399</v>
      </c>
      <c r="B322" s="10" t="s">
        <v>1385</v>
      </c>
      <c r="C322" s="14" t="s">
        <v>1386</v>
      </c>
      <c r="D322" s="15"/>
      <c r="E322" s="15" t="s">
        <v>1400</v>
      </c>
      <c r="F322" s="15" t="s">
        <v>57</v>
      </c>
      <c r="G322" s="16">
        <v>1</v>
      </c>
      <c r="H322" s="16"/>
      <c r="I322" s="110">
        <v>25.45</v>
      </c>
      <c r="J322" s="17">
        <f>IFERROR(ROUND(SUM(M323,M324)/I322, 2),0)</f>
        <v>130.49</v>
      </c>
      <c r="K322" s="18">
        <v>1001</v>
      </c>
      <c r="L322" s="17">
        <f>J322+ROUND(K322, 2)</f>
        <v>1131.49</v>
      </c>
      <c r="M322" s="17">
        <f>ROUND(J322*I322, 2)</f>
        <v>3320.97</v>
      </c>
      <c r="N322" s="17">
        <f>ROUND(I322*ROUND(K322, 2), 2)</f>
        <v>25475.45</v>
      </c>
      <c r="O322" s="17">
        <f>M322+N322</f>
        <v>28796.420000000002</v>
      </c>
      <c r="P322" s="17">
        <f>IFERROR(ROUND(SUM(S323,S324)/I322, 2),0)</f>
        <v>174.87</v>
      </c>
      <c r="Q322" s="19">
        <v>1001</v>
      </c>
      <c r="R322" s="17">
        <f>P322+ROUND(Q322, 2)</f>
        <v>1175.8699999999999</v>
      </c>
      <c r="S322" s="17">
        <f>ROUND(P322*I322, 2)</f>
        <v>4450.4399999999996</v>
      </c>
      <c r="T322" s="17">
        <f>ROUND(I322*ROUND(Q322, 2), 2)</f>
        <v>25475.45</v>
      </c>
      <c r="U322" s="17">
        <f>S322+T322</f>
        <v>29925.89</v>
      </c>
    </row>
    <row r="323" spans="1:21" ht="36" x14ac:dyDescent="0.3">
      <c r="A323" s="101" t="s">
        <v>1401</v>
      </c>
      <c r="B323" s="10"/>
      <c r="C323" s="24" t="s">
        <v>509</v>
      </c>
      <c r="D323" s="15"/>
      <c r="E323" s="15"/>
      <c r="F323" s="25" t="s">
        <v>76</v>
      </c>
      <c r="G323" s="26">
        <v>0.15</v>
      </c>
      <c r="H323" s="26"/>
      <c r="I323" s="108">
        <v>3.8180000000000001</v>
      </c>
      <c r="J323" s="27">
        <v>90.28</v>
      </c>
      <c r="M323" s="28">
        <f>ROUND(ROUND(J323, 2)*I323, 2)</f>
        <v>344.69</v>
      </c>
      <c r="P323" s="29">
        <v>88.8</v>
      </c>
      <c r="S323" s="28">
        <f>ROUND(ROUND(P323, 2)*I323, 2)</f>
        <v>339.04</v>
      </c>
    </row>
    <row r="324" spans="1:21" ht="18" x14ac:dyDescent="0.3">
      <c r="A324" s="101" t="s">
        <v>1404</v>
      </c>
      <c r="B324" s="10"/>
      <c r="C324" s="24" t="s">
        <v>902</v>
      </c>
      <c r="D324" s="15"/>
      <c r="E324" s="15" t="s">
        <v>1097</v>
      </c>
      <c r="F324" s="25" t="s">
        <v>76</v>
      </c>
      <c r="G324" s="26">
        <v>5</v>
      </c>
      <c r="H324" s="26"/>
      <c r="I324" s="108">
        <v>127.25</v>
      </c>
      <c r="J324" s="27">
        <v>23.39</v>
      </c>
      <c r="M324" s="28">
        <f>ROUND(ROUND(J324, 2)*I324, 2)</f>
        <v>2976.38</v>
      </c>
      <c r="P324" s="29">
        <v>32.31</v>
      </c>
      <c r="S324" s="28">
        <f>ROUND(ROUND(P324, 2)*I324, 2)</f>
        <v>4111.45</v>
      </c>
    </row>
    <row r="325" spans="1:21" ht="54" x14ac:dyDescent="0.3">
      <c r="A325" s="101" t="s">
        <v>1407</v>
      </c>
      <c r="B325" s="10" t="s">
        <v>1385</v>
      </c>
      <c r="C325" s="14" t="s">
        <v>1386</v>
      </c>
      <c r="D325" s="15"/>
      <c r="E325" s="15" t="s">
        <v>1408</v>
      </c>
      <c r="F325" s="15" t="s">
        <v>57</v>
      </c>
      <c r="G325" s="16">
        <v>1</v>
      </c>
      <c r="H325" s="16"/>
      <c r="I325" s="110">
        <v>25.45</v>
      </c>
      <c r="J325" s="17">
        <f>IFERROR(ROUND(SUM(M326,M327)/I325, 2),0)</f>
        <v>130.49</v>
      </c>
      <c r="K325" s="18">
        <v>1001</v>
      </c>
      <c r="L325" s="17">
        <f>J325+ROUND(K325, 2)</f>
        <v>1131.49</v>
      </c>
      <c r="M325" s="17">
        <f>ROUND(J325*I325, 2)</f>
        <v>3320.97</v>
      </c>
      <c r="N325" s="17">
        <f>ROUND(I325*ROUND(K325, 2), 2)</f>
        <v>25475.45</v>
      </c>
      <c r="O325" s="17">
        <f>M325+N325</f>
        <v>28796.420000000002</v>
      </c>
      <c r="P325" s="17">
        <f>IFERROR(ROUND(SUM(S326,S327)/I325, 2),0)</f>
        <v>226.32</v>
      </c>
      <c r="Q325" s="19">
        <v>1001</v>
      </c>
      <c r="R325" s="17">
        <f>P325+ROUND(Q325, 2)</f>
        <v>1227.32</v>
      </c>
      <c r="S325" s="17">
        <f>ROUND(P325*I325, 2)</f>
        <v>5759.84</v>
      </c>
      <c r="T325" s="17">
        <f>ROUND(I325*ROUND(Q325, 2), 2)</f>
        <v>25475.45</v>
      </c>
      <c r="U325" s="17">
        <f>S325+T325</f>
        <v>31235.29</v>
      </c>
    </row>
    <row r="326" spans="1:21" ht="36" x14ac:dyDescent="0.3">
      <c r="A326" s="101" t="s">
        <v>1409</v>
      </c>
      <c r="B326" s="10"/>
      <c r="C326" s="24" t="s">
        <v>509</v>
      </c>
      <c r="D326" s="15"/>
      <c r="E326" s="15"/>
      <c r="F326" s="25" t="s">
        <v>76</v>
      </c>
      <c r="G326" s="26">
        <v>0.15</v>
      </c>
      <c r="H326" s="26"/>
      <c r="I326" s="108">
        <v>3.8180000000000001</v>
      </c>
      <c r="J326" s="27">
        <v>90.28</v>
      </c>
      <c r="M326" s="28">
        <f>ROUND(ROUND(J326, 2)*I326, 2)</f>
        <v>344.69</v>
      </c>
      <c r="P326" s="29">
        <v>88.8</v>
      </c>
      <c r="S326" s="28">
        <f>ROUND(ROUND(P326, 2)*I326, 2)</f>
        <v>339.04</v>
      </c>
    </row>
    <row r="327" spans="1:21" ht="18" x14ac:dyDescent="0.3">
      <c r="A327" s="101" t="s">
        <v>1412</v>
      </c>
      <c r="B327" s="10"/>
      <c r="C327" s="24" t="s">
        <v>902</v>
      </c>
      <c r="D327" s="15"/>
      <c r="E327" s="15" t="s">
        <v>1106</v>
      </c>
      <c r="F327" s="25" t="s">
        <v>76</v>
      </c>
      <c r="G327" s="26">
        <v>5</v>
      </c>
      <c r="H327" s="26"/>
      <c r="I327" s="108">
        <v>127.25</v>
      </c>
      <c r="J327" s="27">
        <v>23.39</v>
      </c>
      <c r="M327" s="28">
        <f>ROUND(ROUND(J327, 2)*I327, 2)</f>
        <v>2976.38</v>
      </c>
      <c r="P327" s="29">
        <v>42.6</v>
      </c>
      <c r="S327" s="28">
        <f>ROUND(ROUND(P327, 2)*I327, 2)</f>
        <v>5420.85</v>
      </c>
    </row>
    <row r="328" spans="1:21" ht="72" x14ac:dyDescent="0.3">
      <c r="A328" s="101" t="s">
        <v>1415</v>
      </c>
      <c r="B328" s="10" t="s">
        <v>1385</v>
      </c>
      <c r="C328" s="14" t="s">
        <v>1386</v>
      </c>
      <c r="D328" s="15"/>
      <c r="E328" s="15" t="s">
        <v>1416</v>
      </c>
      <c r="F328" s="15" t="s">
        <v>57</v>
      </c>
      <c r="G328" s="16">
        <v>1</v>
      </c>
      <c r="H328" s="16"/>
      <c r="I328" s="110">
        <v>23.61</v>
      </c>
      <c r="J328" s="17">
        <f>IFERROR(ROUND(SUM(M329,M330,M331)/I328, 2),0)</f>
        <v>91.01</v>
      </c>
      <c r="K328" s="18">
        <v>1001</v>
      </c>
      <c r="L328" s="17">
        <f>J328+ROUND(K328, 2)</f>
        <v>1092.01</v>
      </c>
      <c r="M328" s="17">
        <f>ROUND(J328*I328, 2)</f>
        <v>2148.75</v>
      </c>
      <c r="N328" s="17">
        <f>ROUND(I328*ROUND(K328, 2), 2)</f>
        <v>23633.61</v>
      </c>
      <c r="O328" s="17">
        <f>M328+N328</f>
        <v>25782.36</v>
      </c>
      <c r="P328" s="17">
        <f>IFERROR(ROUND(SUM(S329,S330,S331)/I328, 2),0)</f>
        <v>81.05</v>
      </c>
      <c r="Q328" s="19">
        <v>1001</v>
      </c>
      <c r="R328" s="17">
        <f>P328+ROUND(Q328, 2)</f>
        <v>1082.05</v>
      </c>
      <c r="S328" s="17">
        <f>ROUND(P328*I328, 2)</f>
        <v>1913.59</v>
      </c>
      <c r="T328" s="17">
        <f>ROUND(I328*ROUND(Q328, 2), 2)</f>
        <v>23633.61</v>
      </c>
      <c r="U328" s="17">
        <f>S328+T328</f>
        <v>25547.200000000001</v>
      </c>
    </row>
    <row r="329" spans="1:21" ht="36" x14ac:dyDescent="0.3">
      <c r="A329" s="101" t="s">
        <v>1417</v>
      </c>
      <c r="B329" s="10"/>
      <c r="C329" s="24" t="s">
        <v>509</v>
      </c>
      <c r="D329" s="15"/>
      <c r="E329" s="15"/>
      <c r="F329" s="25" t="s">
        <v>76</v>
      </c>
      <c r="G329" s="26">
        <v>0.15</v>
      </c>
      <c r="H329" s="26"/>
      <c r="I329" s="108">
        <v>3.5419999999999998</v>
      </c>
      <c r="J329" s="27">
        <v>90.28</v>
      </c>
      <c r="M329" s="28">
        <f>ROUND(ROUND(J329, 2)*I329, 2)</f>
        <v>319.77</v>
      </c>
      <c r="P329" s="29">
        <v>88.8</v>
      </c>
      <c r="S329" s="28">
        <f>ROUND(ROUND(P329, 2)*I329, 2)</f>
        <v>314.52999999999997</v>
      </c>
    </row>
    <row r="330" spans="1:21" ht="18" x14ac:dyDescent="0.3">
      <c r="A330" s="101" t="s">
        <v>1420</v>
      </c>
      <c r="B330" s="10"/>
      <c r="C330" s="24" t="s">
        <v>907</v>
      </c>
      <c r="D330" s="15"/>
      <c r="E330" s="15"/>
      <c r="F330" s="25" t="s">
        <v>98</v>
      </c>
      <c r="G330" s="26">
        <v>0.3</v>
      </c>
      <c r="H330" s="26"/>
      <c r="I330" s="108">
        <v>7.0830000000000002</v>
      </c>
      <c r="J330" s="27">
        <v>74.319999999999993</v>
      </c>
      <c r="M330" s="28">
        <f>ROUND(ROUND(J330, 2)*I330, 2)</f>
        <v>526.41</v>
      </c>
      <c r="P330" s="29">
        <v>37.049999999999997</v>
      </c>
      <c r="S330" s="28">
        <f>ROUND(ROUND(P330, 2)*I330, 2)</f>
        <v>262.43</v>
      </c>
    </row>
    <row r="331" spans="1:21" ht="36" x14ac:dyDescent="0.3">
      <c r="A331" s="101" t="s">
        <v>1423</v>
      </c>
      <c r="B331" s="10"/>
      <c r="C331" s="35" t="s">
        <v>961</v>
      </c>
      <c r="D331" s="15"/>
      <c r="E331" s="15"/>
      <c r="F331" s="25" t="s">
        <v>76</v>
      </c>
      <c r="G331" s="26">
        <v>4.5</v>
      </c>
      <c r="H331" s="26"/>
      <c r="I331" s="108">
        <v>106.245</v>
      </c>
      <c r="J331" s="27">
        <v>12.26</v>
      </c>
      <c r="M331" s="28">
        <f>ROUND(ROUND(J331, 2)*I331, 2)</f>
        <v>1302.56</v>
      </c>
      <c r="P331" s="29">
        <v>12.58</v>
      </c>
      <c r="S331" s="28">
        <f>ROUND(ROUND(P331, 2)*I331, 2)</f>
        <v>1336.56</v>
      </c>
    </row>
    <row r="332" spans="1:21" ht="54" x14ac:dyDescent="0.3">
      <c r="A332" s="101" t="s">
        <v>1426</v>
      </c>
      <c r="B332" s="10" t="s">
        <v>1385</v>
      </c>
      <c r="C332" s="14" t="s">
        <v>1386</v>
      </c>
      <c r="D332" s="15"/>
      <c r="E332" s="15" t="s">
        <v>1427</v>
      </c>
      <c r="F332" s="15" t="s">
        <v>57</v>
      </c>
      <c r="G332" s="16">
        <v>1</v>
      </c>
      <c r="H332" s="16"/>
      <c r="I332" s="110">
        <v>23.61</v>
      </c>
      <c r="J332" s="17">
        <f>IFERROR(ROUND(SUM(M333,M334)/I332, 2),0)</f>
        <v>68.709999999999994</v>
      </c>
      <c r="K332" s="18">
        <v>1001</v>
      </c>
      <c r="L332" s="17">
        <f>J332+ROUND(K332, 2)</f>
        <v>1069.71</v>
      </c>
      <c r="M332" s="17">
        <f>ROUND(J332*I332, 2)</f>
        <v>1622.24</v>
      </c>
      <c r="N332" s="17">
        <f>ROUND(I332*ROUND(K332, 2), 2)</f>
        <v>23633.61</v>
      </c>
      <c r="O332" s="17">
        <f>M332+N332</f>
        <v>25255.850000000002</v>
      </c>
      <c r="P332" s="17">
        <f>IFERROR(ROUND(SUM(S333,S334)/I332, 2),0)</f>
        <v>69.930000000000007</v>
      </c>
      <c r="Q332" s="19">
        <v>1001</v>
      </c>
      <c r="R332" s="17">
        <f>P332+ROUND(Q332, 2)</f>
        <v>1070.93</v>
      </c>
      <c r="S332" s="17">
        <f>ROUND(P332*I332, 2)</f>
        <v>1651.05</v>
      </c>
      <c r="T332" s="17">
        <f>ROUND(I332*ROUND(Q332, 2), 2)</f>
        <v>23633.61</v>
      </c>
      <c r="U332" s="17">
        <f>S332+T332</f>
        <v>25284.66</v>
      </c>
    </row>
    <row r="333" spans="1:21" ht="36" x14ac:dyDescent="0.3">
      <c r="A333" s="101" t="s">
        <v>1428</v>
      </c>
      <c r="B333" s="10"/>
      <c r="C333" s="24" t="s">
        <v>509</v>
      </c>
      <c r="D333" s="15"/>
      <c r="E333" s="15"/>
      <c r="F333" s="25" t="s">
        <v>76</v>
      </c>
      <c r="G333" s="26">
        <v>0.15</v>
      </c>
      <c r="H333" s="26"/>
      <c r="I333" s="108">
        <v>3.5419999999999998</v>
      </c>
      <c r="J333" s="27">
        <v>90.28</v>
      </c>
      <c r="M333" s="28">
        <f>ROUND(ROUND(J333, 2)*I333, 2)</f>
        <v>319.77</v>
      </c>
      <c r="P333" s="29">
        <v>88.8</v>
      </c>
      <c r="S333" s="28">
        <f>ROUND(ROUND(P333, 2)*I333, 2)</f>
        <v>314.52999999999997</v>
      </c>
    </row>
    <row r="334" spans="1:21" ht="36" x14ac:dyDescent="0.3">
      <c r="A334" s="101" t="s">
        <v>1431</v>
      </c>
      <c r="B334" s="10"/>
      <c r="C334" s="35" t="s">
        <v>961</v>
      </c>
      <c r="D334" s="15"/>
      <c r="E334" s="15"/>
      <c r="F334" s="25" t="s">
        <v>76</v>
      </c>
      <c r="G334" s="26">
        <v>4.5</v>
      </c>
      <c r="H334" s="26"/>
      <c r="I334" s="108">
        <v>106.245</v>
      </c>
      <c r="J334" s="27">
        <v>12.26</v>
      </c>
      <c r="M334" s="28">
        <f>ROUND(ROUND(J334, 2)*I334, 2)</f>
        <v>1302.56</v>
      </c>
      <c r="P334" s="29">
        <v>12.58</v>
      </c>
      <c r="S334" s="28">
        <f>ROUND(ROUND(P334, 2)*I334, 2)</f>
        <v>1336.56</v>
      </c>
    </row>
    <row r="335" spans="1:21" ht="54" x14ac:dyDescent="0.3">
      <c r="A335" s="101" t="s">
        <v>1434</v>
      </c>
      <c r="B335" s="10" t="s">
        <v>1385</v>
      </c>
      <c r="C335" s="14" t="s">
        <v>1386</v>
      </c>
      <c r="D335" s="15"/>
      <c r="E335" s="15" t="s">
        <v>1435</v>
      </c>
      <c r="F335" s="15" t="s">
        <v>57</v>
      </c>
      <c r="G335" s="16">
        <v>1</v>
      </c>
      <c r="H335" s="16"/>
      <c r="I335" s="110">
        <v>23.61</v>
      </c>
      <c r="J335" s="17">
        <f>IFERROR(ROUND(SUM(M336,M337)/I335, 2),0)</f>
        <v>68.709999999999994</v>
      </c>
      <c r="K335" s="18">
        <v>1001</v>
      </c>
      <c r="L335" s="17">
        <f>J335+ROUND(K335, 2)</f>
        <v>1069.71</v>
      </c>
      <c r="M335" s="17">
        <f>ROUND(J335*I335, 2)</f>
        <v>1622.24</v>
      </c>
      <c r="N335" s="17">
        <f>ROUND(I335*ROUND(K335, 2), 2)</f>
        <v>23633.61</v>
      </c>
      <c r="O335" s="17">
        <f>M335+N335</f>
        <v>25255.850000000002</v>
      </c>
      <c r="P335" s="17">
        <f>IFERROR(ROUND(SUM(S336,S337)/I335, 2),0)</f>
        <v>69.930000000000007</v>
      </c>
      <c r="Q335" s="19">
        <v>1001</v>
      </c>
      <c r="R335" s="17">
        <f>P335+ROUND(Q335, 2)</f>
        <v>1070.93</v>
      </c>
      <c r="S335" s="17">
        <f>ROUND(P335*I335, 2)</f>
        <v>1651.05</v>
      </c>
      <c r="T335" s="17">
        <f>ROUND(I335*ROUND(Q335, 2), 2)</f>
        <v>23633.61</v>
      </c>
      <c r="U335" s="17">
        <f>S335+T335</f>
        <v>25284.66</v>
      </c>
    </row>
    <row r="336" spans="1:21" ht="36" x14ac:dyDescent="0.3">
      <c r="A336" s="101" t="s">
        <v>1436</v>
      </c>
      <c r="B336" s="10"/>
      <c r="C336" s="24" t="s">
        <v>509</v>
      </c>
      <c r="D336" s="15"/>
      <c r="E336" s="15"/>
      <c r="F336" s="25" t="s">
        <v>76</v>
      </c>
      <c r="G336" s="26">
        <v>0.15</v>
      </c>
      <c r="H336" s="26"/>
      <c r="I336" s="108">
        <v>3.5419999999999998</v>
      </c>
      <c r="J336" s="27">
        <v>90.28</v>
      </c>
      <c r="M336" s="28">
        <f>ROUND(ROUND(J336, 2)*I336, 2)</f>
        <v>319.77</v>
      </c>
      <c r="P336" s="29">
        <v>88.8</v>
      </c>
      <c r="S336" s="28">
        <f>ROUND(ROUND(P336, 2)*I336, 2)</f>
        <v>314.52999999999997</v>
      </c>
    </row>
    <row r="337" spans="1:21" ht="36" x14ac:dyDescent="0.3">
      <c r="A337" s="101" t="s">
        <v>1439</v>
      </c>
      <c r="B337" s="10"/>
      <c r="C337" s="35" t="s">
        <v>961</v>
      </c>
      <c r="D337" s="15"/>
      <c r="E337" s="15"/>
      <c r="F337" s="25" t="s">
        <v>76</v>
      </c>
      <c r="G337" s="26">
        <v>4.5</v>
      </c>
      <c r="H337" s="26"/>
      <c r="I337" s="108">
        <v>106.245</v>
      </c>
      <c r="J337" s="27">
        <v>12.26</v>
      </c>
      <c r="M337" s="28">
        <f>ROUND(ROUND(J337, 2)*I337, 2)</f>
        <v>1302.56</v>
      </c>
      <c r="P337" s="29">
        <v>12.58</v>
      </c>
      <c r="S337" s="28">
        <f>ROUND(ROUND(P337, 2)*I337, 2)</f>
        <v>1336.56</v>
      </c>
    </row>
    <row r="338" spans="1:21" ht="72" x14ac:dyDescent="0.3">
      <c r="A338" s="101" t="s">
        <v>1442</v>
      </c>
      <c r="B338" s="10" t="s">
        <v>1385</v>
      </c>
      <c r="C338" s="14" t="s">
        <v>1386</v>
      </c>
      <c r="D338" s="15"/>
      <c r="E338" s="15" t="s">
        <v>1443</v>
      </c>
      <c r="F338" s="15" t="s">
        <v>57</v>
      </c>
      <c r="G338" s="16">
        <v>1</v>
      </c>
      <c r="H338" s="16"/>
      <c r="I338" s="110">
        <v>37.68</v>
      </c>
      <c r="J338" s="17">
        <f>IFERROR(ROUND(SUM(M339,M340,M341)/I338, 2),0)</f>
        <v>152.79</v>
      </c>
      <c r="K338" s="18">
        <v>1001</v>
      </c>
      <c r="L338" s="17">
        <f>J338+ROUND(K338, 2)</f>
        <v>1153.79</v>
      </c>
      <c r="M338" s="17">
        <f>ROUND(J338*I338, 2)</f>
        <v>5757.13</v>
      </c>
      <c r="N338" s="17">
        <f>ROUND(I338*ROUND(K338, 2), 2)</f>
        <v>37717.68</v>
      </c>
      <c r="O338" s="17">
        <f>M338+N338</f>
        <v>43474.81</v>
      </c>
      <c r="P338" s="17">
        <f>IFERROR(ROUND(SUM(S339,S340,S341)/I338, 2),0)</f>
        <v>163.68</v>
      </c>
      <c r="Q338" s="19">
        <v>1001</v>
      </c>
      <c r="R338" s="17">
        <f>P338+ROUND(Q338, 2)</f>
        <v>1164.68</v>
      </c>
      <c r="S338" s="17">
        <f>ROUND(P338*I338, 2)</f>
        <v>6167.46</v>
      </c>
      <c r="T338" s="17">
        <f>ROUND(I338*ROUND(Q338, 2), 2)</f>
        <v>37717.68</v>
      </c>
      <c r="U338" s="17">
        <f>S338+T338</f>
        <v>43885.14</v>
      </c>
    </row>
    <row r="339" spans="1:21" ht="36" x14ac:dyDescent="0.3">
      <c r="A339" s="101" t="s">
        <v>1444</v>
      </c>
      <c r="B339" s="10"/>
      <c r="C339" s="24" t="s">
        <v>509</v>
      </c>
      <c r="D339" s="15"/>
      <c r="E339" s="15"/>
      <c r="F339" s="25" t="s">
        <v>76</v>
      </c>
      <c r="G339" s="26">
        <v>0.15</v>
      </c>
      <c r="H339" s="26"/>
      <c r="I339" s="108">
        <v>5.6520000000000001</v>
      </c>
      <c r="J339" s="27">
        <v>90.28</v>
      </c>
      <c r="M339" s="28">
        <f>ROUND(ROUND(J339, 2)*I339, 2)</f>
        <v>510.26</v>
      </c>
      <c r="P339" s="29">
        <v>88.8</v>
      </c>
      <c r="S339" s="28">
        <f>ROUND(ROUND(P339, 2)*I339, 2)</f>
        <v>501.9</v>
      </c>
    </row>
    <row r="340" spans="1:21" ht="18" x14ac:dyDescent="0.3">
      <c r="A340" s="101" t="s">
        <v>1447</v>
      </c>
      <c r="B340" s="10"/>
      <c r="C340" s="24" t="s">
        <v>907</v>
      </c>
      <c r="D340" s="15"/>
      <c r="E340" s="15"/>
      <c r="F340" s="25" t="s">
        <v>98</v>
      </c>
      <c r="G340" s="26">
        <v>0.3</v>
      </c>
      <c r="H340" s="26"/>
      <c r="I340" s="108">
        <v>11.304</v>
      </c>
      <c r="J340" s="27">
        <v>74.319999999999993</v>
      </c>
      <c r="M340" s="28">
        <f>ROUND(ROUND(J340, 2)*I340, 2)</f>
        <v>840.11</v>
      </c>
      <c r="P340" s="29">
        <v>37.049999999999997</v>
      </c>
      <c r="S340" s="28">
        <f>ROUND(ROUND(P340, 2)*I340, 2)</f>
        <v>418.81</v>
      </c>
    </row>
    <row r="341" spans="1:21" ht="36" x14ac:dyDescent="0.3">
      <c r="A341" s="101" t="s">
        <v>1450</v>
      </c>
      <c r="B341" s="10"/>
      <c r="C341" s="24" t="s">
        <v>902</v>
      </c>
      <c r="D341" s="15"/>
      <c r="E341" s="15" t="s">
        <v>1080</v>
      </c>
      <c r="F341" s="25" t="s">
        <v>76</v>
      </c>
      <c r="G341" s="26">
        <v>5</v>
      </c>
      <c r="H341" s="26"/>
      <c r="I341" s="108">
        <v>188.4</v>
      </c>
      <c r="J341" s="27">
        <v>23.39</v>
      </c>
      <c r="M341" s="28">
        <f>ROUND(ROUND(J341, 2)*I341, 2)</f>
        <v>4406.68</v>
      </c>
      <c r="P341" s="29">
        <v>27.85</v>
      </c>
      <c r="S341" s="28">
        <f>ROUND(ROUND(P341, 2)*I341, 2)</f>
        <v>5246.94</v>
      </c>
    </row>
    <row r="342" spans="1:21" ht="54" x14ac:dyDescent="0.3">
      <c r="A342" s="101" t="s">
        <v>1453</v>
      </c>
      <c r="B342" s="10" t="s">
        <v>1385</v>
      </c>
      <c r="C342" s="14" t="s">
        <v>1386</v>
      </c>
      <c r="D342" s="15"/>
      <c r="E342" s="15" t="s">
        <v>1454</v>
      </c>
      <c r="F342" s="15" t="s">
        <v>57</v>
      </c>
      <c r="G342" s="16">
        <v>1</v>
      </c>
      <c r="H342" s="16"/>
      <c r="I342" s="110">
        <v>37.68</v>
      </c>
      <c r="J342" s="17">
        <f>IFERROR(ROUND(SUM(M343,M344)/I342, 2),0)</f>
        <v>130.49</v>
      </c>
      <c r="K342" s="18">
        <v>1001</v>
      </c>
      <c r="L342" s="17">
        <f>J342+ROUND(K342, 2)</f>
        <v>1131.49</v>
      </c>
      <c r="M342" s="17">
        <f>ROUND(J342*I342, 2)</f>
        <v>4916.8599999999997</v>
      </c>
      <c r="N342" s="17">
        <f>ROUND(I342*ROUND(K342, 2), 2)</f>
        <v>37717.68</v>
      </c>
      <c r="O342" s="17">
        <f>M342+N342</f>
        <v>42634.54</v>
      </c>
      <c r="P342" s="17">
        <f>IFERROR(ROUND(SUM(S343,S344)/I342, 2),0)</f>
        <v>174.87</v>
      </c>
      <c r="Q342" s="19">
        <v>1001</v>
      </c>
      <c r="R342" s="17">
        <f>P342+ROUND(Q342, 2)</f>
        <v>1175.8699999999999</v>
      </c>
      <c r="S342" s="17">
        <f>ROUND(P342*I342, 2)</f>
        <v>6589.1</v>
      </c>
      <c r="T342" s="17">
        <f>ROUND(I342*ROUND(Q342, 2), 2)</f>
        <v>37717.68</v>
      </c>
      <c r="U342" s="17">
        <f>S342+T342</f>
        <v>44306.78</v>
      </c>
    </row>
    <row r="343" spans="1:21" ht="36" x14ac:dyDescent="0.3">
      <c r="A343" s="101" t="s">
        <v>1455</v>
      </c>
      <c r="B343" s="10"/>
      <c r="C343" s="24" t="s">
        <v>509</v>
      </c>
      <c r="D343" s="15"/>
      <c r="E343" s="15"/>
      <c r="F343" s="25" t="s">
        <v>76</v>
      </c>
      <c r="G343" s="26">
        <v>0.15</v>
      </c>
      <c r="H343" s="26"/>
      <c r="I343" s="108">
        <v>5.6520000000000001</v>
      </c>
      <c r="J343" s="27">
        <v>90.28</v>
      </c>
      <c r="M343" s="28">
        <f>ROUND(ROUND(J343, 2)*I343, 2)</f>
        <v>510.26</v>
      </c>
      <c r="P343" s="29">
        <v>88.8</v>
      </c>
      <c r="S343" s="28">
        <f>ROUND(ROUND(P343, 2)*I343, 2)</f>
        <v>501.9</v>
      </c>
    </row>
    <row r="344" spans="1:21" ht="18" x14ac:dyDescent="0.3">
      <c r="A344" s="101" t="s">
        <v>1458</v>
      </c>
      <c r="B344" s="10"/>
      <c r="C344" s="24" t="s">
        <v>902</v>
      </c>
      <c r="D344" s="15"/>
      <c r="E344" s="15" t="s">
        <v>1097</v>
      </c>
      <c r="F344" s="25" t="s">
        <v>76</v>
      </c>
      <c r="G344" s="26">
        <v>5</v>
      </c>
      <c r="H344" s="26"/>
      <c r="I344" s="108">
        <v>188.4</v>
      </c>
      <c r="J344" s="27">
        <v>23.39</v>
      </c>
      <c r="M344" s="28">
        <f>ROUND(ROUND(J344, 2)*I344, 2)</f>
        <v>4406.68</v>
      </c>
      <c r="P344" s="29">
        <v>32.31</v>
      </c>
      <c r="S344" s="28">
        <f>ROUND(ROUND(P344, 2)*I344, 2)</f>
        <v>6087.2</v>
      </c>
    </row>
    <row r="345" spans="1:21" ht="54" x14ac:dyDescent="0.3">
      <c r="A345" s="101" t="s">
        <v>1461</v>
      </c>
      <c r="B345" s="10" t="s">
        <v>1385</v>
      </c>
      <c r="C345" s="14" t="s">
        <v>1386</v>
      </c>
      <c r="D345" s="15"/>
      <c r="E345" s="15" t="s">
        <v>1462</v>
      </c>
      <c r="F345" s="15" t="s">
        <v>57</v>
      </c>
      <c r="G345" s="16">
        <v>1</v>
      </c>
      <c r="H345" s="16"/>
      <c r="I345" s="110">
        <v>37.68</v>
      </c>
      <c r="J345" s="17">
        <f>IFERROR(ROUND(SUM(M346,M347)/I345, 2),0)</f>
        <v>130.49</v>
      </c>
      <c r="K345" s="18">
        <v>1001</v>
      </c>
      <c r="L345" s="17">
        <f>J345+ROUND(K345, 2)</f>
        <v>1131.49</v>
      </c>
      <c r="M345" s="17">
        <f>ROUND(J345*I345, 2)</f>
        <v>4916.8599999999997</v>
      </c>
      <c r="N345" s="17">
        <f>ROUND(I345*ROUND(K345, 2), 2)</f>
        <v>37717.68</v>
      </c>
      <c r="O345" s="17">
        <f>M345+N345</f>
        <v>42634.54</v>
      </c>
      <c r="P345" s="17">
        <f>IFERROR(ROUND(SUM(S346,S347)/I345, 2),0)</f>
        <v>226.32</v>
      </c>
      <c r="Q345" s="19">
        <v>1001</v>
      </c>
      <c r="R345" s="17">
        <f>P345+ROUND(Q345, 2)</f>
        <v>1227.32</v>
      </c>
      <c r="S345" s="17">
        <f>ROUND(P345*I345, 2)</f>
        <v>8527.74</v>
      </c>
      <c r="T345" s="17">
        <f>ROUND(I345*ROUND(Q345, 2), 2)</f>
        <v>37717.68</v>
      </c>
      <c r="U345" s="17">
        <f>S345+T345</f>
        <v>46245.42</v>
      </c>
    </row>
    <row r="346" spans="1:21" ht="36" x14ac:dyDescent="0.3">
      <c r="A346" s="101" t="s">
        <v>1463</v>
      </c>
      <c r="B346" s="10"/>
      <c r="C346" s="24" t="s">
        <v>509</v>
      </c>
      <c r="D346" s="15"/>
      <c r="E346" s="15"/>
      <c r="F346" s="25" t="s">
        <v>76</v>
      </c>
      <c r="G346" s="26">
        <v>0.15</v>
      </c>
      <c r="H346" s="26"/>
      <c r="I346" s="108">
        <v>5.6520000000000001</v>
      </c>
      <c r="J346" s="27">
        <v>90.28</v>
      </c>
      <c r="M346" s="28">
        <f>ROUND(ROUND(J346, 2)*I346, 2)</f>
        <v>510.26</v>
      </c>
      <c r="P346" s="29">
        <v>88.8</v>
      </c>
      <c r="S346" s="28">
        <f>ROUND(ROUND(P346, 2)*I346, 2)</f>
        <v>501.9</v>
      </c>
    </row>
    <row r="347" spans="1:21" ht="18" x14ac:dyDescent="0.3">
      <c r="A347" s="101" t="s">
        <v>1466</v>
      </c>
      <c r="B347" s="10"/>
      <c r="C347" s="24" t="s">
        <v>902</v>
      </c>
      <c r="D347" s="15"/>
      <c r="E347" s="15" t="s">
        <v>1106</v>
      </c>
      <c r="F347" s="25" t="s">
        <v>76</v>
      </c>
      <c r="G347" s="26">
        <v>5</v>
      </c>
      <c r="H347" s="26"/>
      <c r="I347" s="108">
        <v>188.4</v>
      </c>
      <c r="J347" s="27">
        <v>23.39</v>
      </c>
      <c r="M347" s="28">
        <f>ROUND(ROUND(J347, 2)*I347, 2)</f>
        <v>4406.68</v>
      </c>
      <c r="P347" s="29">
        <v>42.6</v>
      </c>
      <c r="S347" s="28">
        <f>ROUND(ROUND(P347, 2)*I347, 2)</f>
        <v>8025.84</v>
      </c>
    </row>
    <row r="348" spans="1:21" ht="54" x14ac:dyDescent="0.3">
      <c r="A348" s="101" t="s">
        <v>1469</v>
      </c>
      <c r="B348" s="10" t="s">
        <v>1470</v>
      </c>
      <c r="C348" s="14" t="s">
        <v>1471</v>
      </c>
      <c r="D348" s="15"/>
      <c r="E348" s="15" t="s">
        <v>1472</v>
      </c>
      <c r="F348" s="15" t="s">
        <v>57</v>
      </c>
      <c r="G348" s="16">
        <v>1</v>
      </c>
      <c r="H348" s="16"/>
      <c r="I348" s="110">
        <v>25.45</v>
      </c>
      <c r="J348" s="17">
        <f>IFERROR(ROUND(SUM(M349,M350)/I348, 2),0)</f>
        <v>30.91</v>
      </c>
      <c r="K348" s="18">
        <v>303</v>
      </c>
      <c r="L348" s="17">
        <f>J348+ROUND(K348, 2)</f>
        <v>333.91</v>
      </c>
      <c r="M348" s="17">
        <f>ROUND(J348*I348, 2)</f>
        <v>786.66</v>
      </c>
      <c r="N348" s="17">
        <f>ROUND(I348*ROUND(K348, 2), 2)</f>
        <v>7711.35</v>
      </c>
      <c r="O348" s="17">
        <f>M348+N348</f>
        <v>8498.01</v>
      </c>
      <c r="P348" s="17">
        <f>IFERROR(ROUND(SUM(S349,S350)/I348, 2),0)</f>
        <v>103.45</v>
      </c>
      <c r="Q348" s="19">
        <v>303</v>
      </c>
      <c r="R348" s="17">
        <f>P348+ROUND(Q348, 2)</f>
        <v>406.45</v>
      </c>
      <c r="S348" s="17">
        <f>ROUND(P348*I348, 2)</f>
        <v>2632.8</v>
      </c>
      <c r="T348" s="17">
        <f>ROUND(I348*ROUND(Q348, 2), 2)</f>
        <v>7711.35</v>
      </c>
      <c r="U348" s="17">
        <f>S348+T348</f>
        <v>10344.150000000001</v>
      </c>
    </row>
    <row r="349" spans="1:21" ht="36" x14ac:dyDescent="0.3">
      <c r="A349" s="101" t="s">
        <v>1475</v>
      </c>
      <c r="B349" s="10"/>
      <c r="C349" s="24" t="s">
        <v>1476</v>
      </c>
      <c r="D349" s="15"/>
      <c r="E349" s="15"/>
      <c r="F349" s="25" t="s">
        <v>76</v>
      </c>
      <c r="G349" s="26">
        <v>0.3</v>
      </c>
      <c r="H349" s="26"/>
      <c r="I349" s="108">
        <v>7.6349999999999998</v>
      </c>
      <c r="J349" s="27">
        <v>72.94</v>
      </c>
      <c r="M349" s="28">
        <f>ROUND(ROUND(J349, 2)*I349, 2)</f>
        <v>556.9</v>
      </c>
      <c r="P349" s="29">
        <v>315.24</v>
      </c>
      <c r="S349" s="28">
        <f>ROUND(ROUND(P349, 2)*I349, 2)</f>
        <v>2406.86</v>
      </c>
    </row>
    <row r="350" spans="1:21" ht="36" x14ac:dyDescent="0.3">
      <c r="A350" s="101" t="s">
        <v>1480</v>
      </c>
      <c r="B350" s="10"/>
      <c r="C350" s="24" t="s">
        <v>509</v>
      </c>
      <c r="D350" s="15"/>
      <c r="E350" s="15"/>
      <c r="F350" s="25" t="s">
        <v>76</v>
      </c>
      <c r="G350" s="26">
        <v>0.1</v>
      </c>
      <c r="H350" s="26"/>
      <c r="I350" s="108">
        <v>2.5449999999999999</v>
      </c>
      <c r="J350" s="27">
        <v>90.28</v>
      </c>
      <c r="M350" s="28">
        <f>ROUND(ROUND(J350, 2)*I350, 2)</f>
        <v>229.76</v>
      </c>
      <c r="P350" s="29">
        <v>88.8</v>
      </c>
      <c r="S350" s="28">
        <f>ROUND(ROUND(P350, 2)*I350, 2)</f>
        <v>226</v>
      </c>
    </row>
    <row r="351" spans="1:21" ht="54" x14ac:dyDescent="0.3">
      <c r="A351" s="101" t="s">
        <v>1483</v>
      </c>
      <c r="B351" s="10" t="s">
        <v>1470</v>
      </c>
      <c r="C351" s="14" t="s">
        <v>1471</v>
      </c>
      <c r="D351" s="15"/>
      <c r="E351" s="15" t="s">
        <v>1484</v>
      </c>
      <c r="F351" s="15" t="s">
        <v>57</v>
      </c>
      <c r="G351" s="16">
        <v>1</v>
      </c>
      <c r="H351" s="16"/>
      <c r="I351" s="110">
        <v>23.61</v>
      </c>
      <c r="J351" s="17">
        <f>IFERROR(ROUND(SUM(M352,M353)/I351, 2),0)</f>
        <v>30.91</v>
      </c>
      <c r="K351" s="18">
        <v>303</v>
      </c>
      <c r="L351" s="17">
        <f>J351+ROUND(K351, 2)</f>
        <v>333.91</v>
      </c>
      <c r="M351" s="17">
        <f>ROUND(J351*I351, 2)</f>
        <v>729.79</v>
      </c>
      <c r="N351" s="17">
        <f>ROUND(I351*ROUND(K351, 2), 2)</f>
        <v>7153.83</v>
      </c>
      <c r="O351" s="17">
        <f>M351+N351</f>
        <v>7883.62</v>
      </c>
      <c r="P351" s="17">
        <f>IFERROR(ROUND(SUM(S352,S353)/I351, 2),0)</f>
        <v>103.45</v>
      </c>
      <c r="Q351" s="19">
        <v>303</v>
      </c>
      <c r="R351" s="17">
        <f>P351+ROUND(Q351, 2)</f>
        <v>406.45</v>
      </c>
      <c r="S351" s="17">
        <f>ROUND(P351*I351, 2)</f>
        <v>2442.4499999999998</v>
      </c>
      <c r="T351" s="17">
        <f>ROUND(I351*ROUND(Q351, 2), 2)</f>
        <v>7153.83</v>
      </c>
      <c r="U351" s="17">
        <f>S351+T351</f>
        <v>9596.2799999999988</v>
      </c>
    </row>
    <row r="352" spans="1:21" ht="36" x14ac:dyDescent="0.3">
      <c r="A352" s="101" t="s">
        <v>1485</v>
      </c>
      <c r="B352" s="10"/>
      <c r="C352" s="24" t="s">
        <v>509</v>
      </c>
      <c r="D352" s="15"/>
      <c r="E352" s="15"/>
      <c r="F352" s="25" t="s">
        <v>76</v>
      </c>
      <c r="G352" s="26">
        <v>0.1</v>
      </c>
      <c r="H352" s="26"/>
      <c r="I352" s="108">
        <v>2.3610000000000002</v>
      </c>
      <c r="J352" s="27">
        <v>90.28</v>
      </c>
      <c r="M352" s="28">
        <f>ROUND(ROUND(J352, 2)*I352, 2)</f>
        <v>213.15</v>
      </c>
      <c r="P352" s="29">
        <v>88.8</v>
      </c>
      <c r="S352" s="28">
        <f>ROUND(ROUND(P352, 2)*I352, 2)</f>
        <v>209.66</v>
      </c>
    </row>
    <row r="353" spans="1:21" ht="36" x14ac:dyDescent="0.3">
      <c r="A353" s="101" t="s">
        <v>1488</v>
      </c>
      <c r="B353" s="10"/>
      <c r="C353" s="24" t="s">
        <v>1476</v>
      </c>
      <c r="D353" s="15"/>
      <c r="E353" s="15"/>
      <c r="F353" s="25" t="s">
        <v>76</v>
      </c>
      <c r="G353" s="26">
        <v>0.3</v>
      </c>
      <c r="H353" s="26"/>
      <c r="I353" s="108">
        <v>7.0830000000000002</v>
      </c>
      <c r="J353" s="27">
        <v>72.94</v>
      </c>
      <c r="M353" s="28">
        <f>ROUND(ROUND(J353, 2)*I353, 2)</f>
        <v>516.63</v>
      </c>
      <c r="P353" s="29">
        <v>315.24</v>
      </c>
      <c r="S353" s="28">
        <f>ROUND(ROUND(P353, 2)*I353, 2)</f>
        <v>2232.84</v>
      </c>
    </row>
    <row r="354" spans="1:21" ht="54" x14ac:dyDescent="0.3">
      <c r="A354" s="101" t="s">
        <v>1491</v>
      </c>
      <c r="B354" s="10" t="s">
        <v>1470</v>
      </c>
      <c r="C354" s="14" t="s">
        <v>1471</v>
      </c>
      <c r="D354" s="15"/>
      <c r="E354" s="15" t="s">
        <v>1492</v>
      </c>
      <c r="F354" s="15" t="s">
        <v>57</v>
      </c>
      <c r="G354" s="16">
        <v>1</v>
      </c>
      <c r="H354" s="16"/>
      <c r="I354" s="110">
        <v>37.68</v>
      </c>
      <c r="J354" s="17">
        <f>IFERROR(ROUND(SUM(M355,M356)/I354, 2),0)</f>
        <v>30.91</v>
      </c>
      <c r="K354" s="18">
        <v>303</v>
      </c>
      <c r="L354" s="17">
        <f>J354+ROUND(K354, 2)</f>
        <v>333.91</v>
      </c>
      <c r="M354" s="17">
        <f>ROUND(J354*I354, 2)</f>
        <v>1164.69</v>
      </c>
      <c r="N354" s="17">
        <f>ROUND(I354*ROUND(K354, 2), 2)</f>
        <v>11417.04</v>
      </c>
      <c r="O354" s="17">
        <f>M354+N354</f>
        <v>12581.730000000001</v>
      </c>
      <c r="P354" s="17">
        <f>IFERROR(ROUND(SUM(S355,S356)/I354, 2),0)</f>
        <v>103.45</v>
      </c>
      <c r="Q354" s="19">
        <v>303</v>
      </c>
      <c r="R354" s="17">
        <f>P354+ROUND(Q354, 2)</f>
        <v>406.45</v>
      </c>
      <c r="S354" s="17">
        <f>ROUND(P354*I354, 2)</f>
        <v>3898</v>
      </c>
      <c r="T354" s="17">
        <f>ROUND(I354*ROUND(Q354, 2), 2)</f>
        <v>11417.04</v>
      </c>
      <c r="U354" s="17">
        <f>S354+T354</f>
        <v>15315.04</v>
      </c>
    </row>
    <row r="355" spans="1:21" ht="36" x14ac:dyDescent="0.3">
      <c r="A355" s="101" t="s">
        <v>1493</v>
      </c>
      <c r="B355" s="10"/>
      <c r="C355" s="24" t="s">
        <v>509</v>
      </c>
      <c r="D355" s="15"/>
      <c r="E355" s="15"/>
      <c r="F355" s="25" t="s">
        <v>76</v>
      </c>
      <c r="G355" s="26">
        <v>0.1</v>
      </c>
      <c r="H355" s="26"/>
      <c r="I355" s="108">
        <v>3.7679999999999998</v>
      </c>
      <c r="J355" s="27">
        <v>90.28</v>
      </c>
      <c r="M355" s="28">
        <f>ROUND(ROUND(J355, 2)*I355, 2)</f>
        <v>340.18</v>
      </c>
      <c r="P355" s="29">
        <v>88.8</v>
      </c>
      <c r="S355" s="28">
        <f>ROUND(ROUND(P355, 2)*I355, 2)</f>
        <v>334.6</v>
      </c>
    </row>
    <row r="356" spans="1:21" ht="36" x14ac:dyDescent="0.3">
      <c r="A356" s="101" t="s">
        <v>1496</v>
      </c>
      <c r="B356" s="10"/>
      <c r="C356" s="24" t="s">
        <v>1476</v>
      </c>
      <c r="D356" s="15"/>
      <c r="E356" s="15"/>
      <c r="F356" s="25" t="s">
        <v>76</v>
      </c>
      <c r="G356" s="26">
        <v>0.3</v>
      </c>
      <c r="H356" s="26"/>
      <c r="I356" s="108">
        <v>11.304</v>
      </c>
      <c r="J356" s="27">
        <v>72.94</v>
      </c>
      <c r="M356" s="28">
        <f>ROUND(ROUND(J356, 2)*I356, 2)</f>
        <v>824.51</v>
      </c>
      <c r="P356" s="29">
        <v>315.24</v>
      </c>
      <c r="S356" s="28">
        <f>ROUND(ROUND(P356, 2)*I356, 2)</f>
        <v>3563.47</v>
      </c>
    </row>
    <row r="357" spans="1:21" ht="54" x14ac:dyDescent="0.3">
      <c r="A357" s="101" t="s">
        <v>1499</v>
      </c>
      <c r="B357" s="10" t="s">
        <v>1500</v>
      </c>
      <c r="C357" s="14" t="s">
        <v>1501</v>
      </c>
      <c r="D357" s="15"/>
      <c r="E357" s="15" t="s">
        <v>1502</v>
      </c>
      <c r="F357" s="15" t="s">
        <v>57</v>
      </c>
      <c r="G357" s="16">
        <v>1</v>
      </c>
      <c r="H357" s="16"/>
      <c r="I357" s="110">
        <v>37.44</v>
      </c>
      <c r="J357" s="17">
        <f>IFERROR(ROUND(SUM(M358,M359,M360)/I357, 2),0)</f>
        <v>243</v>
      </c>
      <c r="K357" s="18">
        <v>1291</v>
      </c>
      <c r="L357" s="17">
        <f>J357+ROUND(K357, 2)</f>
        <v>1534</v>
      </c>
      <c r="M357" s="17">
        <f>ROUND(J357*I357, 2)</f>
        <v>9097.92</v>
      </c>
      <c r="N357" s="17">
        <f>ROUND(I357*ROUND(K357, 2), 2)</f>
        <v>48335.040000000001</v>
      </c>
      <c r="O357" s="17">
        <f>M357+N357</f>
        <v>57432.959999999999</v>
      </c>
      <c r="P357" s="17">
        <f>IFERROR(ROUND(SUM(S358,S359,S360)/I357, 2),0)</f>
        <v>1915</v>
      </c>
      <c r="Q357" s="19">
        <v>1291</v>
      </c>
      <c r="R357" s="17">
        <f>P357+ROUND(Q357, 2)</f>
        <v>3206</v>
      </c>
      <c r="S357" s="17">
        <f>ROUND(P357*I357, 2)</f>
        <v>71697.600000000006</v>
      </c>
      <c r="T357" s="17">
        <f>ROUND(I357*ROUND(Q357, 2), 2)</f>
        <v>48335.040000000001</v>
      </c>
      <c r="U357" s="17">
        <f>S357+T357</f>
        <v>120032.64000000001</v>
      </c>
    </row>
    <row r="358" spans="1:21" ht="18" x14ac:dyDescent="0.3">
      <c r="A358" s="101" t="s">
        <v>1505</v>
      </c>
      <c r="B358" s="10"/>
      <c r="C358" s="24" t="s">
        <v>1506</v>
      </c>
      <c r="D358" s="15"/>
      <c r="E358" s="15"/>
      <c r="F358" s="25" t="s">
        <v>98</v>
      </c>
      <c r="G358" s="26">
        <v>1</v>
      </c>
      <c r="H358" s="36"/>
      <c r="I358" s="109">
        <v>22</v>
      </c>
      <c r="J358" s="27">
        <v>81.34</v>
      </c>
      <c r="M358" s="28">
        <f>ROUND(ROUND(J358, 2)*I358, 2)</f>
        <v>1789.48</v>
      </c>
      <c r="P358" s="29">
        <v>81.34</v>
      </c>
      <c r="S358" s="28">
        <f>ROUND(ROUND(P358, 2)*I358, 2)</f>
        <v>1789.48</v>
      </c>
    </row>
    <row r="359" spans="1:21" ht="18" x14ac:dyDescent="0.3">
      <c r="A359" s="101" t="s">
        <v>1510</v>
      </c>
      <c r="B359" s="10"/>
      <c r="C359" s="24" t="s">
        <v>181</v>
      </c>
      <c r="D359" s="15"/>
      <c r="E359" s="15"/>
      <c r="F359" s="25" t="s">
        <v>123</v>
      </c>
      <c r="G359" s="26">
        <v>1</v>
      </c>
      <c r="H359" s="36"/>
      <c r="I359" s="109">
        <v>201</v>
      </c>
      <c r="J359" s="27">
        <v>36.36</v>
      </c>
      <c r="M359" s="28">
        <f>ROUND(ROUND(J359, 2)*I359, 2)</f>
        <v>7308.36</v>
      </c>
      <c r="P359" s="29">
        <v>36.36</v>
      </c>
      <c r="S359" s="28">
        <f>ROUND(ROUND(P359, 2)*I359, 2)</f>
        <v>7308.36</v>
      </c>
    </row>
    <row r="360" spans="1:21" ht="18" x14ac:dyDescent="0.3">
      <c r="A360" s="101" t="s">
        <v>1513</v>
      </c>
      <c r="B360" s="10"/>
      <c r="C360" s="24" t="s">
        <v>1514</v>
      </c>
      <c r="D360" s="15"/>
      <c r="E360" s="15"/>
      <c r="F360" s="25" t="s">
        <v>57</v>
      </c>
      <c r="G360" s="26">
        <v>1.1000000000000001</v>
      </c>
      <c r="H360" s="26"/>
      <c r="I360" s="108">
        <v>41.183999999999997</v>
      </c>
      <c r="J360" s="27">
        <v>0</v>
      </c>
      <c r="M360" s="28">
        <f>ROUND(ROUND(J360, 2)*I360, 2)</f>
        <v>0</v>
      </c>
      <c r="P360" s="29">
        <v>1520</v>
      </c>
      <c r="S360" s="28">
        <f>ROUND(ROUND(P360, 2)*I360, 2)</f>
        <v>62599.68</v>
      </c>
    </row>
    <row r="361" spans="1:21" ht="36" x14ac:dyDescent="0.3">
      <c r="A361" s="101" t="s">
        <v>1518</v>
      </c>
      <c r="B361" s="10" t="s">
        <v>1519</v>
      </c>
      <c r="C361" s="14" t="s">
        <v>1520</v>
      </c>
      <c r="D361" s="15"/>
      <c r="E361" s="15" t="s">
        <v>1472</v>
      </c>
      <c r="F361" s="15" t="s">
        <v>57</v>
      </c>
      <c r="G361" s="16">
        <v>1</v>
      </c>
      <c r="H361" s="16"/>
      <c r="I361" s="110">
        <v>25.45</v>
      </c>
      <c r="J361" s="17">
        <f>IFERROR(ROUND(SUM(M362,M363,M364,M365,M366,M367)/I361, 2),0)</f>
        <v>892.1</v>
      </c>
      <c r="K361" s="18">
        <v>1422</v>
      </c>
      <c r="L361" s="17">
        <f>J361+ROUND(K361, 2)</f>
        <v>2314.1</v>
      </c>
      <c r="M361" s="17">
        <f>ROUND(J361*I361, 2)</f>
        <v>22703.95</v>
      </c>
      <c r="N361" s="17">
        <f>ROUND(I361*ROUND(K361, 2), 2)</f>
        <v>36189.9</v>
      </c>
      <c r="O361" s="17">
        <f>M361+N361</f>
        <v>58893.850000000006</v>
      </c>
      <c r="P361" s="17">
        <f>IFERROR(ROUND(SUM(S362,S363,S364,S365,S366,S367)/I361, 2),0)</f>
        <v>878.74</v>
      </c>
      <c r="Q361" s="19">
        <v>1422</v>
      </c>
      <c r="R361" s="17">
        <f>P361+ROUND(Q361, 2)</f>
        <v>2300.7399999999998</v>
      </c>
      <c r="S361" s="17">
        <f>ROUND(P361*I361, 2)</f>
        <v>22363.93</v>
      </c>
      <c r="T361" s="17">
        <f>ROUND(I361*ROUND(Q361, 2), 2)</f>
        <v>36189.9</v>
      </c>
      <c r="U361" s="17">
        <f>S361+T361</f>
        <v>58553.83</v>
      </c>
    </row>
    <row r="362" spans="1:21" ht="18" x14ac:dyDescent="0.3">
      <c r="A362" s="101" t="s">
        <v>1523</v>
      </c>
      <c r="B362" s="10"/>
      <c r="C362" s="24" t="s">
        <v>1524</v>
      </c>
      <c r="D362" s="15"/>
      <c r="E362" s="15"/>
      <c r="F362" s="25" t="s">
        <v>98</v>
      </c>
      <c r="G362" s="26">
        <v>44</v>
      </c>
      <c r="H362" s="26"/>
      <c r="I362" s="108">
        <v>1119.8</v>
      </c>
      <c r="J362" s="27">
        <v>0.96</v>
      </c>
      <c r="M362" s="28">
        <f t="shared" ref="M362:M367" si="4">ROUND(ROUND(J362, 2)*I362, 2)</f>
        <v>1075.01</v>
      </c>
      <c r="P362" s="29">
        <v>0.96</v>
      </c>
      <c r="S362" s="28">
        <f t="shared" ref="S362:S367" si="5">ROUND(ROUND(P362, 2)*I362, 2)</f>
        <v>1075.01</v>
      </c>
    </row>
    <row r="363" spans="1:21" ht="18" x14ac:dyDescent="0.3">
      <c r="A363" s="101" t="s">
        <v>1528</v>
      </c>
      <c r="B363" s="10"/>
      <c r="C363" s="24" t="s">
        <v>1529</v>
      </c>
      <c r="D363" s="15"/>
      <c r="E363" s="15"/>
      <c r="F363" s="25" t="s">
        <v>76</v>
      </c>
      <c r="G363" s="26">
        <v>0.35</v>
      </c>
      <c r="H363" s="26"/>
      <c r="I363" s="108">
        <v>8.9079999999999995</v>
      </c>
      <c r="J363" s="27">
        <v>55.91</v>
      </c>
      <c r="M363" s="28">
        <f t="shared" si="4"/>
        <v>498.05</v>
      </c>
      <c r="P363" s="29">
        <v>55.91</v>
      </c>
      <c r="S363" s="28">
        <f t="shared" si="5"/>
        <v>498.05</v>
      </c>
    </row>
    <row r="364" spans="1:21" ht="18" x14ac:dyDescent="0.3">
      <c r="A364" s="101" t="s">
        <v>1533</v>
      </c>
      <c r="B364" s="10"/>
      <c r="C364" s="24" t="s">
        <v>1506</v>
      </c>
      <c r="D364" s="15"/>
      <c r="E364" s="15"/>
      <c r="F364" s="25" t="s">
        <v>98</v>
      </c>
      <c r="G364" s="26">
        <v>2.2200000000000002</v>
      </c>
      <c r="H364" s="26"/>
      <c r="I364" s="108">
        <v>56.499000000000002</v>
      </c>
      <c r="J364" s="27">
        <v>81.34</v>
      </c>
      <c r="M364" s="28">
        <f t="shared" si="4"/>
        <v>4595.63</v>
      </c>
      <c r="P364" s="29">
        <v>81.34</v>
      </c>
      <c r="S364" s="28">
        <f t="shared" si="5"/>
        <v>4595.63</v>
      </c>
    </row>
    <row r="365" spans="1:21" ht="36" x14ac:dyDescent="0.3">
      <c r="A365" s="101" t="s">
        <v>1536</v>
      </c>
      <c r="B365" s="10"/>
      <c r="C365" s="35" t="s">
        <v>1537</v>
      </c>
      <c r="D365" s="15"/>
      <c r="E365" s="15"/>
      <c r="F365" s="25" t="s">
        <v>123</v>
      </c>
      <c r="G365" s="26">
        <v>13.5</v>
      </c>
      <c r="H365" s="26"/>
      <c r="I365" s="108">
        <v>343.57499999999999</v>
      </c>
      <c r="J365" s="27">
        <v>35.11</v>
      </c>
      <c r="M365" s="28">
        <f t="shared" si="4"/>
        <v>12062.92</v>
      </c>
      <c r="P365" s="29">
        <v>34.119999999999997</v>
      </c>
      <c r="S365" s="28">
        <f t="shared" si="5"/>
        <v>11722.78</v>
      </c>
    </row>
    <row r="366" spans="1:21" ht="18" x14ac:dyDescent="0.3">
      <c r="A366" s="101" t="s">
        <v>1541</v>
      </c>
      <c r="B366" s="10"/>
      <c r="C366" s="24" t="s">
        <v>1542</v>
      </c>
      <c r="D366" s="15"/>
      <c r="E366" s="15"/>
      <c r="F366" s="25" t="s">
        <v>98</v>
      </c>
      <c r="G366" s="26">
        <v>33.75</v>
      </c>
      <c r="H366" s="26"/>
      <c r="I366" s="108">
        <v>858.93799999999999</v>
      </c>
      <c r="J366" s="27">
        <v>0.92</v>
      </c>
      <c r="M366" s="28">
        <f t="shared" si="4"/>
        <v>790.22</v>
      </c>
      <c r="P366" s="29">
        <v>0.92</v>
      </c>
      <c r="S366" s="28">
        <f t="shared" si="5"/>
        <v>790.22</v>
      </c>
    </row>
    <row r="367" spans="1:21" ht="36" x14ac:dyDescent="0.3">
      <c r="A367" s="101" t="s">
        <v>1546</v>
      </c>
      <c r="B367" s="10"/>
      <c r="C367" s="24" t="s">
        <v>117</v>
      </c>
      <c r="D367" s="15"/>
      <c r="E367" s="15"/>
      <c r="F367" s="25" t="s">
        <v>57</v>
      </c>
      <c r="G367" s="26">
        <v>1.05</v>
      </c>
      <c r="H367" s="26"/>
      <c r="I367" s="108">
        <v>26.722999999999999</v>
      </c>
      <c r="J367" s="27">
        <v>137.79</v>
      </c>
      <c r="M367" s="28">
        <f t="shared" si="4"/>
        <v>3682.16</v>
      </c>
      <c r="P367" s="29">
        <v>137.79</v>
      </c>
      <c r="S367" s="28">
        <f t="shared" si="5"/>
        <v>3682.16</v>
      </c>
    </row>
    <row r="368" spans="1:21" ht="36" x14ac:dyDescent="0.3">
      <c r="A368" s="101" t="s">
        <v>1549</v>
      </c>
      <c r="B368" s="10" t="s">
        <v>1519</v>
      </c>
      <c r="C368" s="14" t="s">
        <v>1520</v>
      </c>
      <c r="D368" s="15"/>
      <c r="E368" s="15" t="s">
        <v>1484</v>
      </c>
      <c r="F368" s="15" t="s">
        <v>57</v>
      </c>
      <c r="G368" s="16">
        <v>1</v>
      </c>
      <c r="H368" s="16"/>
      <c r="I368" s="110">
        <v>2.5499999999999998</v>
      </c>
      <c r="J368" s="17">
        <f>IFERROR(ROUND(SUM(M369,M370,M371,M372,M373,M374)/I368, 2),0)</f>
        <v>892.14</v>
      </c>
      <c r="K368" s="18">
        <v>1422</v>
      </c>
      <c r="L368" s="17">
        <f>J368+ROUND(K368, 2)</f>
        <v>2314.14</v>
      </c>
      <c r="M368" s="17">
        <f>ROUND(J368*I368, 2)</f>
        <v>2274.96</v>
      </c>
      <c r="N368" s="17">
        <f>ROUND(I368*ROUND(K368, 2), 2)</f>
        <v>3626.1</v>
      </c>
      <c r="O368" s="17">
        <f>M368+N368</f>
        <v>5901.0599999999995</v>
      </c>
      <c r="P368" s="17">
        <f>IFERROR(ROUND(SUM(S369,S370,S371,S372,S373,S374)/I368, 2),0)</f>
        <v>878.77</v>
      </c>
      <c r="Q368" s="19">
        <v>1422</v>
      </c>
      <c r="R368" s="17">
        <f>P368+ROUND(Q368, 2)</f>
        <v>2300.77</v>
      </c>
      <c r="S368" s="17">
        <f>ROUND(P368*I368, 2)</f>
        <v>2240.86</v>
      </c>
      <c r="T368" s="17">
        <f>ROUND(I368*ROUND(Q368, 2), 2)</f>
        <v>3626.1</v>
      </c>
      <c r="U368" s="17">
        <f>S368+T368</f>
        <v>5866.96</v>
      </c>
    </row>
    <row r="369" spans="1:21" ht="36" x14ac:dyDescent="0.3">
      <c r="A369" s="101" t="s">
        <v>1550</v>
      </c>
      <c r="B369" s="10"/>
      <c r="C369" s="24" t="s">
        <v>117</v>
      </c>
      <c r="D369" s="15"/>
      <c r="E369" s="15"/>
      <c r="F369" s="25" t="s">
        <v>57</v>
      </c>
      <c r="G369" s="26">
        <v>1.05</v>
      </c>
      <c r="H369" s="26"/>
      <c r="I369" s="108">
        <v>2.6779999999999999</v>
      </c>
      <c r="J369" s="27">
        <v>137.79</v>
      </c>
      <c r="M369" s="28">
        <f t="shared" ref="M369:M374" si="6">ROUND(ROUND(J369, 2)*I369, 2)</f>
        <v>369</v>
      </c>
      <c r="P369" s="29">
        <v>137.79</v>
      </c>
      <c r="S369" s="28">
        <f t="shared" ref="S369:S374" si="7">ROUND(ROUND(P369, 2)*I369, 2)</f>
        <v>369</v>
      </c>
    </row>
    <row r="370" spans="1:21" ht="18" x14ac:dyDescent="0.3">
      <c r="A370" s="101" t="s">
        <v>1553</v>
      </c>
      <c r="B370" s="10"/>
      <c r="C370" s="24" t="s">
        <v>1542</v>
      </c>
      <c r="D370" s="15"/>
      <c r="E370" s="15"/>
      <c r="F370" s="25" t="s">
        <v>98</v>
      </c>
      <c r="G370" s="26">
        <v>33.75</v>
      </c>
      <c r="H370" s="26"/>
      <c r="I370" s="108">
        <v>86.063000000000002</v>
      </c>
      <c r="J370" s="27">
        <v>0.92</v>
      </c>
      <c r="M370" s="28">
        <f t="shared" si="6"/>
        <v>79.180000000000007</v>
      </c>
      <c r="P370" s="29">
        <v>0.92</v>
      </c>
      <c r="S370" s="28">
        <f t="shared" si="7"/>
        <v>79.180000000000007</v>
      </c>
    </row>
    <row r="371" spans="1:21" ht="36" x14ac:dyDescent="0.3">
      <c r="A371" s="101" t="s">
        <v>1556</v>
      </c>
      <c r="B371" s="10"/>
      <c r="C371" s="35" t="s">
        <v>1537</v>
      </c>
      <c r="D371" s="15"/>
      <c r="E371" s="15"/>
      <c r="F371" s="25" t="s">
        <v>123</v>
      </c>
      <c r="G371" s="26">
        <v>13.5</v>
      </c>
      <c r="H371" s="26"/>
      <c r="I371" s="108">
        <v>34.424999999999997</v>
      </c>
      <c r="J371" s="27">
        <v>35.11</v>
      </c>
      <c r="M371" s="28">
        <f t="shared" si="6"/>
        <v>1208.6600000000001</v>
      </c>
      <c r="P371" s="29">
        <v>34.119999999999997</v>
      </c>
      <c r="S371" s="28">
        <f t="shared" si="7"/>
        <v>1174.58</v>
      </c>
    </row>
    <row r="372" spans="1:21" ht="18" x14ac:dyDescent="0.3">
      <c r="A372" s="101" t="s">
        <v>1559</v>
      </c>
      <c r="B372" s="10"/>
      <c r="C372" s="24" t="s">
        <v>1506</v>
      </c>
      <c r="D372" s="15"/>
      <c r="E372" s="15"/>
      <c r="F372" s="25" t="s">
        <v>98</v>
      </c>
      <c r="G372" s="26">
        <v>2.2200000000000002</v>
      </c>
      <c r="H372" s="26"/>
      <c r="I372" s="108">
        <v>5.6609999999999996</v>
      </c>
      <c r="J372" s="27">
        <v>81.34</v>
      </c>
      <c r="M372" s="28">
        <f t="shared" si="6"/>
        <v>460.47</v>
      </c>
      <c r="P372" s="29">
        <v>81.34</v>
      </c>
      <c r="S372" s="28">
        <f t="shared" si="7"/>
        <v>460.47</v>
      </c>
    </row>
    <row r="373" spans="1:21" ht="18" x14ac:dyDescent="0.3">
      <c r="A373" s="101" t="s">
        <v>1562</v>
      </c>
      <c r="B373" s="10"/>
      <c r="C373" s="24" t="s">
        <v>1529</v>
      </c>
      <c r="D373" s="15"/>
      <c r="E373" s="15"/>
      <c r="F373" s="25" t="s">
        <v>76</v>
      </c>
      <c r="G373" s="26">
        <v>0.35</v>
      </c>
      <c r="H373" s="26"/>
      <c r="I373" s="108">
        <v>0.89300000000000002</v>
      </c>
      <c r="J373" s="27">
        <v>55.91</v>
      </c>
      <c r="M373" s="28">
        <f t="shared" si="6"/>
        <v>49.93</v>
      </c>
      <c r="P373" s="29">
        <v>55.91</v>
      </c>
      <c r="S373" s="28">
        <f t="shared" si="7"/>
        <v>49.93</v>
      </c>
    </row>
    <row r="374" spans="1:21" ht="18" x14ac:dyDescent="0.3">
      <c r="A374" s="101" t="s">
        <v>1565</v>
      </c>
      <c r="B374" s="10"/>
      <c r="C374" s="24" t="s">
        <v>1524</v>
      </c>
      <c r="D374" s="15"/>
      <c r="E374" s="15"/>
      <c r="F374" s="25" t="s">
        <v>98</v>
      </c>
      <c r="G374" s="26">
        <v>44</v>
      </c>
      <c r="H374" s="26"/>
      <c r="I374" s="108">
        <v>112.2</v>
      </c>
      <c r="J374" s="27">
        <v>0.96</v>
      </c>
      <c r="M374" s="28">
        <f t="shared" si="6"/>
        <v>107.71</v>
      </c>
      <c r="P374" s="29">
        <v>0.96</v>
      </c>
      <c r="S374" s="28">
        <f t="shared" si="7"/>
        <v>107.71</v>
      </c>
    </row>
    <row r="375" spans="1:21" ht="16.95" customHeight="1" x14ac:dyDescent="0.3">
      <c r="A375" s="101" t="s">
        <v>1568</v>
      </c>
      <c r="B375" s="10" t="s">
        <v>1569</v>
      </c>
      <c r="C375" s="80" t="s">
        <v>1570</v>
      </c>
      <c r="D375" s="81"/>
      <c r="E375" s="81"/>
      <c r="F375" s="81"/>
      <c r="G375" s="81"/>
      <c r="H375" s="81"/>
      <c r="I375" s="81"/>
      <c r="M375" s="6">
        <f>SUM(M376,M407)</f>
        <v>642121.26</v>
      </c>
      <c r="N375" s="6">
        <f>SUM(N376,N407)</f>
        <v>4843200.9600000009</v>
      </c>
      <c r="O375" s="6">
        <f>SUM(O376,O407)</f>
        <v>5485322.2199999997</v>
      </c>
      <c r="S375" s="6">
        <f>SUM(S376,S407)</f>
        <v>561691.89000000013</v>
      </c>
      <c r="T375" s="6">
        <f>SUM(T376,T407)</f>
        <v>4843200.9600000009</v>
      </c>
      <c r="U375" s="6">
        <f>SUM(U376,U407)</f>
        <v>5404892.8499999996</v>
      </c>
    </row>
    <row r="376" spans="1:21" ht="16.95" customHeight="1" x14ac:dyDescent="0.3">
      <c r="A376" s="101" t="s">
        <v>1571</v>
      </c>
      <c r="B376" s="10" t="s">
        <v>1572</v>
      </c>
      <c r="C376" s="80" t="s">
        <v>1573</v>
      </c>
      <c r="D376" s="81"/>
      <c r="E376" s="81"/>
      <c r="F376" s="81"/>
      <c r="G376" s="81"/>
      <c r="H376" s="81"/>
      <c r="I376" s="81"/>
      <c r="M376" s="6">
        <f>SUM(M377,M380,M383,M386,M389,M392,M395,M398,M401,M404)</f>
        <v>481977.29000000004</v>
      </c>
      <c r="N376" s="6">
        <f>SUM(N377,N380,N383,N386,N389,N392,N395,N398,N401,N404)</f>
        <v>3954540.6000000006</v>
      </c>
      <c r="O376" s="6">
        <f>SUM(O377,O380,O383,O386,O389,O392,O395,O398,O401,O404)</f>
        <v>4436517.8899999997</v>
      </c>
      <c r="S376" s="6">
        <f>SUM(S377,S380,S383,S386,S389,S392,S395,S398,S401,S404)</f>
        <v>364672.31000000006</v>
      </c>
      <c r="T376" s="6">
        <f>SUM(T377,T380,T383,T386,T389,T392,T395,T398,T401,T404)</f>
        <v>3954540.6000000006</v>
      </c>
      <c r="U376" s="6">
        <f>SUM(U377,U380,U383,U386,U389,U392,U395,U398,U401,U404)</f>
        <v>4319212.91</v>
      </c>
    </row>
    <row r="377" spans="1:21" ht="36" x14ac:dyDescent="0.3">
      <c r="A377" s="101" t="s">
        <v>1574</v>
      </c>
      <c r="B377" s="10" t="s">
        <v>1575</v>
      </c>
      <c r="C377" s="14" t="s">
        <v>1576</v>
      </c>
      <c r="D377" s="15"/>
      <c r="E377" s="15" t="s">
        <v>1577</v>
      </c>
      <c r="F377" s="15" t="s">
        <v>57</v>
      </c>
      <c r="G377" s="16">
        <v>1</v>
      </c>
      <c r="H377" s="16"/>
      <c r="I377" s="110">
        <v>897.5</v>
      </c>
      <c r="J377" s="17">
        <v>130</v>
      </c>
      <c r="K377" s="18">
        <v>718</v>
      </c>
      <c r="L377" s="17">
        <f>J377+ROUND(K377, 2)</f>
        <v>848</v>
      </c>
      <c r="M377" s="17">
        <v>116675</v>
      </c>
      <c r="N377" s="17">
        <v>644405</v>
      </c>
      <c r="O377" s="17">
        <f>M377+N377</f>
        <v>761080</v>
      </c>
      <c r="P377" s="17">
        <v>130</v>
      </c>
      <c r="Q377" s="18">
        <v>718</v>
      </c>
      <c r="R377" s="17">
        <f>P377+ROUND(Q377, 2)</f>
        <v>848</v>
      </c>
      <c r="S377" s="17">
        <v>116675</v>
      </c>
      <c r="T377" s="17">
        <v>644405</v>
      </c>
      <c r="U377" s="17">
        <f>S377+T377</f>
        <v>761080</v>
      </c>
    </row>
    <row r="378" spans="1:21" ht="18" x14ac:dyDescent="0.3">
      <c r="A378" s="101" t="s">
        <v>1580</v>
      </c>
      <c r="B378" s="10"/>
      <c r="C378" s="24" t="s">
        <v>902</v>
      </c>
      <c r="D378" s="15"/>
      <c r="E378" s="15"/>
      <c r="F378" s="25" t="s">
        <v>76</v>
      </c>
      <c r="G378" s="26">
        <v>5</v>
      </c>
      <c r="H378" s="26"/>
      <c r="I378" s="108">
        <v>4487.5</v>
      </c>
      <c r="J378" s="27">
        <v>23</v>
      </c>
      <c r="M378" s="28">
        <f>ROUND(ROUND(J378, 2)*I378, 2)</f>
        <v>103212.5</v>
      </c>
      <c r="P378" s="27">
        <v>23</v>
      </c>
      <c r="S378" s="28">
        <f>ROUND(ROUND(P378, 2)*I378, 2)</f>
        <v>103212.5</v>
      </c>
    </row>
    <row r="379" spans="1:21" ht="36" x14ac:dyDescent="0.3">
      <c r="A379" s="101" t="s">
        <v>1583</v>
      </c>
      <c r="B379" s="10"/>
      <c r="C379" s="24" t="s">
        <v>310</v>
      </c>
      <c r="D379" s="15"/>
      <c r="E379" s="15" t="s">
        <v>1584</v>
      </c>
      <c r="F379" s="25" t="s">
        <v>76</v>
      </c>
      <c r="G379" s="26">
        <v>0.15</v>
      </c>
      <c r="H379" s="26"/>
      <c r="I379" s="108">
        <v>134.625</v>
      </c>
      <c r="J379" s="27">
        <v>100</v>
      </c>
      <c r="M379" s="28">
        <f>ROUND(ROUND(J379, 2)*I379, 2)</f>
        <v>13462.5</v>
      </c>
      <c r="P379" s="27">
        <v>100</v>
      </c>
      <c r="S379" s="28">
        <f>ROUND(ROUND(P379, 2)*I379, 2)</f>
        <v>13462.5</v>
      </c>
    </row>
    <row r="380" spans="1:21" ht="36" x14ac:dyDescent="0.3">
      <c r="A380" s="101" t="s">
        <v>1587</v>
      </c>
      <c r="B380" s="10" t="s">
        <v>1575</v>
      </c>
      <c r="C380" s="14" t="s">
        <v>1576</v>
      </c>
      <c r="D380" s="15"/>
      <c r="E380" s="15" t="s">
        <v>1577</v>
      </c>
      <c r="F380" s="15" t="s">
        <v>57</v>
      </c>
      <c r="G380" s="16">
        <v>1</v>
      </c>
      <c r="H380" s="16"/>
      <c r="I380" s="110">
        <v>897.5</v>
      </c>
      <c r="J380" s="17">
        <v>163.32</v>
      </c>
      <c r="K380" s="18">
        <v>718</v>
      </c>
      <c r="L380" s="17">
        <f>J380+ROUND(K380, 2)</f>
        <v>881.31999999999994</v>
      </c>
      <c r="M380" s="17">
        <v>146579.70000000001</v>
      </c>
      <c r="N380" s="17">
        <v>644405</v>
      </c>
      <c r="O380" s="17">
        <f>M380+N380</f>
        <v>790984.7</v>
      </c>
      <c r="P380" s="17">
        <v>44.77</v>
      </c>
      <c r="Q380" s="18">
        <v>718</v>
      </c>
      <c r="R380" s="17">
        <f>P380+ROUND(Q380, 2)</f>
        <v>762.77</v>
      </c>
      <c r="S380" s="17">
        <v>40181.08</v>
      </c>
      <c r="T380" s="17">
        <v>644405</v>
      </c>
      <c r="U380" s="17">
        <f>S380+T380</f>
        <v>684586.08</v>
      </c>
    </row>
    <row r="381" spans="1:21" ht="36" x14ac:dyDescent="0.3">
      <c r="A381" s="101" t="s">
        <v>1588</v>
      </c>
      <c r="B381" s="10"/>
      <c r="C381" s="24" t="s">
        <v>509</v>
      </c>
      <c r="D381" s="15"/>
      <c r="E381" s="15"/>
      <c r="F381" s="25" t="s">
        <v>76</v>
      </c>
      <c r="G381" s="26">
        <v>0.15</v>
      </c>
      <c r="H381" s="26"/>
      <c r="I381" s="108">
        <v>134.625</v>
      </c>
      <c r="J381" s="27">
        <v>88.8</v>
      </c>
      <c r="M381" s="28">
        <f>ROUND(ROUND(J381, 2)*I381, 2)</f>
        <v>11954.7</v>
      </c>
      <c r="P381" s="27">
        <v>88.8</v>
      </c>
      <c r="S381" s="28">
        <f>ROUND(ROUND(P381, 2)*I381, 2)</f>
        <v>11954.7</v>
      </c>
    </row>
    <row r="382" spans="1:21" ht="36" x14ac:dyDescent="0.3">
      <c r="A382" s="101" t="s">
        <v>1591</v>
      </c>
      <c r="B382" s="10"/>
      <c r="C382" s="24" t="s">
        <v>922</v>
      </c>
      <c r="D382" s="15"/>
      <c r="E382" s="15"/>
      <c r="F382" s="25" t="s">
        <v>76</v>
      </c>
      <c r="G382" s="26">
        <v>2.5</v>
      </c>
      <c r="H382" s="26"/>
      <c r="I382" s="108">
        <v>2243.75</v>
      </c>
      <c r="J382" s="27">
        <v>60</v>
      </c>
      <c r="M382" s="28">
        <f>ROUND(ROUND(J382, 2)*I382, 2)</f>
        <v>134625</v>
      </c>
      <c r="P382" s="27">
        <v>12.58</v>
      </c>
      <c r="S382" s="28">
        <f>ROUND(ROUND(P382, 2)*I382, 2)</f>
        <v>28226.38</v>
      </c>
    </row>
    <row r="383" spans="1:21" ht="36" x14ac:dyDescent="0.3">
      <c r="A383" s="101" t="s">
        <v>1594</v>
      </c>
      <c r="B383" s="10" t="s">
        <v>1575</v>
      </c>
      <c r="C383" s="14" t="s">
        <v>1576</v>
      </c>
      <c r="D383" s="15"/>
      <c r="E383" s="15" t="s">
        <v>1577</v>
      </c>
      <c r="F383" s="15" t="s">
        <v>57</v>
      </c>
      <c r="G383" s="16">
        <v>1</v>
      </c>
      <c r="H383" s="16"/>
      <c r="I383" s="110">
        <v>897.5</v>
      </c>
      <c r="J383" s="17">
        <v>47.82</v>
      </c>
      <c r="K383" s="18">
        <v>718</v>
      </c>
      <c r="L383" s="17">
        <f>J383+ROUND(K383, 2)</f>
        <v>765.82</v>
      </c>
      <c r="M383" s="17">
        <v>42918.45</v>
      </c>
      <c r="N383" s="17">
        <v>644405</v>
      </c>
      <c r="O383" s="17">
        <f>M383+N383</f>
        <v>687323.45</v>
      </c>
      <c r="P383" s="17">
        <v>32.19</v>
      </c>
      <c r="Q383" s="18">
        <v>718</v>
      </c>
      <c r="R383" s="17">
        <f>P383+ROUND(Q383, 2)</f>
        <v>750.19</v>
      </c>
      <c r="S383" s="17">
        <v>28890.53</v>
      </c>
      <c r="T383" s="17">
        <v>644405</v>
      </c>
      <c r="U383" s="17">
        <f>S383+T383</f>
        <v>673295.53</v>
      </c>
    </row>
    <row r="384" spans="1:21" ht="36" x14ac:dyDescent="0.3">
      <c r="A384" s="101" t="s">
        <v>1595</v>
      </c>
      <c r="B384" s="10"/>
      <c r="C384" s="24" t="s">
        <v>509</v>
      </c>
      <c r="D384" s="15"/>
      <c r="E384" s="15"/>
      <c r="F384" s="25" t="s">
        <v>76</v>
      </c>
      <c r="G384" s="26">
        <v>0.15</v>
      </c>
      <c r="H384" s="26"/>
      <c r="I384" s="108">
        <v>134.625</v>
      </c>
      <c r="J384" s="27">
        <v>88.8</v>
      </c>
      <c r="M384" s="28">
        <f>ROUND(ROUND(J384, 2)*I384, 2)</f>
        <v>11954.7</v>
      </c>
      <c r="P384" s="27">
        <v>88.8</v>
      </c>
      <c r="S384" s="28">
        <f>ROUND(ROUND(P384, 2)*I384, 2)</f>
        <v>11954.7</v>
      </c>
    </row>
    <row r="385" spans="1:21" ht="36" x14ac:dyDescent="0.3">
      <c r="A385" s="101" t="s">
        <v>1598</v>
      </c>
      <c r="B385" s="10"/>
      <c r="C385" s="24" t="s">
        <v>934</v>
      </c>
      <c r="D385" s="15"/>
      <c r="E385" s="15"/>
      <c r="F385" s="25" t="s">
        <v>76</v>
      </c>
      <c r="G385" s="26">
        <v>1.5</v>
      </c>
      <c r="H385" s="26"/>
      <c r="I385" s="108">
        <v>1346.25</v>
      </c>
      <c r="J385" s="27">
        <v>23</v>
      </c>
      <c r="M385" s="28">
        <f>ROUND(ROUND(J385, 2)*I385, 2)</f>
        <v>30963.75</v>
      </c>
      <c r="P385" s="27">
        <v>12.58</v>
      </c>
      <c r="S385" s="28">
        <f>ROUND(ROUND(P385, 2)*I385, 2)</f>
        <v>16935.830000000002</v>
      </c>
    </row>
    <row r="386" spans="1:21" ht="36" hidden="1" x14ac:dyDescent="0.3">
      <c r="A386" s="101" t="s">
        <v>1601</v>
      </c>
      <c r="B386" s="10" t="s">
        <v>1575</v>
      </c>
      <c r="C386" s="14" t="s">
        <v>1576</v>
      </c>
      <c r="D386" s="15"/>
      <c r="E386" s="15" t="s">
        <v>1602</v>
      </c>
      <c r="F386" s="15" t="s">
        <v>57</v>
      </c>
      <c r="G386" s="16">
        <v>1</v>
      </c>
      <c r="H386" s="16"/>
      <c r="I386" s="110">
        <v>0</v>
      </c>
      <c r="J386" s="17">
        <v>71.61</v>
      </c>
      <c r="K386" s="18">
        <v>718</v>
      </c>
      <c r="L386" s="17">
        <f>J386+ROUND(K386, 2)</f>
        <v>789.61</v>
      </c>
      <c r="M386" s="17">
        <v>0</v>
      </c>
      <c r="N386" s="17">
        <v>0</v>
      </c>
      <c r="O386" s="17">
        <f>M386+N386</f>
        <v>0</v>
      </c>
      <c r="P386" s="17">
        <v>71.61</v>
      </c>
      <c r="Q386" s="18">
        <v>718</v>
      </c>
      <c r="R386" s="17">
        <f>P386+ROUND(Q386, 2)</f>
        <v>789.61</v>
      </c>
      <c r="S386" s="17">
        <v>0</v>
      </c>
      <c r="T386" s="17">
        <v>0</v>
      </c>
      <c r="U386" s="17">
        <f>S386+T386</f>
        <v>0</v>
      </c>
    </row>
    <row r="387" spans="1:21" ht="18" hidden="1" x14ac:dyDescent="0.3">
      <c r="A387" s="101" t="s">
        <v>1604</v>
      </c>
      <c r="B387" s="10"/>
      <c r="C387" s="24" t="s">
        <v>310</v>
      </c>
      <c r="D387" s="15"/>
      <c r="E387" s="15"/>
      <c r="F387" s="25" t="s">
        <v>76</v>
      </c>
      <c r="G387" s="26">
        <v>0.15</v>
      </c>
      <c r="H387" s="26"/>
      <c r="I387" s="108">
        <v>0</v>
      </c>
      <c r="J387" s="27">
        <v>100</v>
      </c>
      <c r="M387" s="28">
        <f>ROUND(ROUND(J387, 2)*I387, 2)</f>
        <v>0</v>
      </c>
      <c r="P387" s="27">
        <v>100</v>
      </c>
      <c r="S387" s="28">
        <f>ROUND(ROUND(P387, 2)*I387, 2)</f>
        <v>0</v>
      </c>
    </row>
    <row r="388" spans="1:21" ht="36" hidden="1" x14ac:dyDescent="0.3">
      <c r="A388" s="101" t="s">
        <v>1609</v>
      </c>
      <c r="B388" s="10"/>
      <c r="C388" s="35" t="s">
        <v>961</v>
      </c>
      <c r="D388" s="15"/>
      <c r="E388" s="15"/>
      <c r="F388" s="25" t="s">
        <v>76</v>
      </c>
      <c r="G388" s="26">
        <v>4.5</v>
      </c>
      <c r="H388" s="26"/>
      <c r="I388" s="108">
        <v>0</v>
      </c>
      <c r="J388" s="27">
        <v>12.58</v>
      </c>
      <c r="M388" s="28">
        <f>ROUND(ROUND(J388, 2)*I388, 2)</f>
        <v>0</v>
      </c>
      <c r="P388" s="27">
        <v>12.58</v>
      </c>
      <c r="S388" s="28">
        <f>ROUND(ROUND(P388, 2)*I388, 2)</f>
        <v>0</v>
      </c>
    </row>
    <row r="389" spans="1:21" ht="36" hidden="1" x14ac:dyDescent="0.3">
      <c r="A389" s="101" t="s">
        <v>1614</v>
      </c>
      <c r="B389" s="10" t="s">
        <v>1575</v>
      </c>
      <c r="C389" s="14" t="s">
        <v>1576</v>
      </c>
      <c r="D389" s="15"/>
      <c r="E389" s="15" t="s">
        <v>877</v>
      </c>
      <c r="F389" s="15" t="s">
        <v>57</v>
      </c>
      <c r="G389" s="16">
        <v>1</v>
      </c>
      <c r="H389" s="16"/>
      <c r="I389" s="110">
        <v>0</v>
      </c>
      <c r="J389" s="17">
        <v>130</v>
      </c>
      <c r="K389" s="18">
        <v>718</v>
      </c>
      <c r="L389" s="17">
        <f>J389+ROUND(K389, 2)</f>
        <v>848</v>
      </c>
      <c r="M389" s="17">
        <v>0</v>
      </c>
      <c r="N389" s="17">
        <v>0</v>
      </c>
      <c r="O389" s="17">
        <f>M389+N389</f>
        <v>0</v>
      </c>
      <c r="P389" s="17">
        <v>130</v>
      </c>
      <c r="Q389" s="18">
        <v>718</v>
      </c>
      <c r="R389" s="17">
        <f>P389+ROUND(Q389, 2)</f>
        <v>848</v>
      </c>
      <c r="S389" s="17">
        <v>0</v>
      </c>
      <c r="T389" s="17">
        <v>0</v>
      </c>
      <c r="U389" s="17">
        <f>S389+T389</f>
        <v>0</v>
      </c>
    </row>
    <row r="390" spans="1:21" ht="18" hidden="1" x14ac:dyDescent="0.3">
      <c r="A390" s="101" t="s">
        <v>1616</v>
      </c>
      <c r="B390" s="10"/>
      <c r="C390" s="24" t="s">
        <v>310</v>
      </c>
      <c r="D390" s="15"/>
      <c r="E390" s="15"/>
      <c r="F390" s="25" t="s">
        <v>76</v>
      </c>
      <c r="G390" s="26">
        <v>0.15</v>
      </c>
      <c r="H390" s="26"/>
      <c r="I390" s="108">
        <v>0</v>
      </c>
      <c r="J390" s="27">
        <v>100</v>
      </c>
      <c r="M390" s="28">
        <f>ROUND(ROUND(J390, 2)*I390, 2)</f>
        <v>0</v>
      </c>
      <c r="P390" s="27">
        <v>100</v>
      </c>
      <c r="S390" s="28">
        <f>ROUND(ROUND(P390, 2)*I390, 2)</f>
        <v>0</v>
      </c>
    </row>
    <row r="391" spans="1:21" ht="18" hidden="1" x14ac:dyDescent="0.3">
      <c r="A391" s="101" t="s">
        <v>1621</v>
      </c>
      <c r="B391" s="10"/>
      <c r="C391" s="24" t="s">
        <v>902</v>
      </c>
      <c r="D391" s="15"/>
      <c r="E391" s="15" t="s">
        <v>364</v>
      </c>
      <c r="F391" s="25" t="s">
        <v>76</v>
      </c>
      <c r="G391" s="26">
        <v>5</v>
      </c>
      <c r="H391" s="26"/>
      <c r="I391" s="108">
        <v>0</v>
      </c>
      <c r="J391" s="27">
        <v>23</v>
      </c>
      <c r="M391" s="28">
        <f>ROUND(ROUND(J391, 2)*I391, 2)</f>
        <v>0</v>
      </c>
      <c r="P391" s="27">
        <v>23</v>
      </c>
      <c r="S391" s="28">
        <f>ROUND(ROUND(P391, 2)*I391, 2)</f>
        <v>0</v>
      </c>
    </row>
    <row r="392" spans="1:21" ht="36" hidden="1" x14ac:dyDescent="0.3">
      <c r="A392" s="101" t="s">
        <v>1626</v>
      </c>
      <c r="B392" s="10" t="s">
        <v>1575</v>
      </c>
      <c r="C392" s="14" t="s">
        <v>1576</v>
      </c>
      <c r="D392" s="15"/>
      <c r="E392" s="15" t="s">
        <v>877</v>
      </c>
      <c r="F392" s="15" t="s">
        <v>57</v>
      </c>
      <c r="G392" s="16">
        <v>1</v>
      </c>
      <c r="H392" s="16"/>
      <c r="I392" s="110">
        <v>0</v>
      </c>
      <c r="J392" s="17">
        <v>163.32</v>
      </c>
      <c r="K392" s="18">
        <v>718</v>
      </c>
      <c r="L392" s="17">
        <f>J392+ROUND(K392, 2)</f>
        <v>881.31999999999994</v>
      </c>
      <c r="M392" s="17">
        <v>0</v>
      </c>
      <c r="N392" s="17">
        <v>0</v>
      </c>
      <c r="O392" s="17">
        <f>M392+N392</f>
        <v>0</v>
      </c>
      <c r="P392" s="17">
        <v>44.77</v>
      </c>
      <c r="Q392" s="18">
        <v>718</v>
      </c>
      <c r="R392" s="17">
        <f>P392+ROUND(Q392, 2)</f>
        <v>762.77</v>
      </c>
      <c r="S392" s="17">
        <v>0</v>
      </c>
      <c r="T392" s="17">
        <v>0</v>
      </c>
      <c r="U392" s="17">
        <f>S392+T392</f>
        <v>0</v>
      </c>
    </row>
    <row r="393" spans="1:21" ht="36" hidden="1" x14ac:dyDescent="0.3">
      <c r="A393" s="101" t="s">
        <v>1628</v>
      </c>
      <c r="B393" s="10"/>
      <c r="C393" s="24" t="s">
        <v>509</v>
      </c>
      <c r="D393" s="15"/>
      <c r="E393" s="15"/>
      <c r="F393" s="25" t="s">
        <v>76</v>
      </c>
      <c r="G393" s="26">
        <v>0.15</v>
      </c>
      <c r="H393" s="26"/>
      <c r="I393" s="108">
        <v>0</v>
      </c>
      <c r="J393" s="27">
        <v>88.8</v>
      </c>
      <c r="M393" s="28">
        <f>ROUND(ROUND(J393, 2)*I393, 2)</f>
        <v>0</v>
      </c>
      <c r="P393" s="27">
        <v>88.8</v>
      </c>
      <c r="S393" s="28">
        <f>ROUND(ROUND(P393, 2)*I393, 2)</f>
        <v>0</v>
      </c>
    </row>
    <row r="394" spans="1:21" ht="36" hidden="1" x14ac:dyDescent="0.3">
      <c r="A394" s="101" t="s">
        <v>1633</v>
      </c>
      <c r="B394" s="10"/>
      <c r="C394" s="24" t="s">
        <v>922</v>
      </c>
      <c r="D394" s="15"/>
      <c r="E394" s="15"/>
      <c r="F394" s="25" t="s">
        <v>76</v>
      </c>
      <c r="G394" s="26">
        <v>2.5</v>
      </c>
      <c r="H394" s="26"/>
      <c r="I394" s="108">
        <v>0</v>
      </c>
      <c r="J394" s="27">
        <v>60</v>
      </c>
      <c r="M394" s="28">
        <f>ROUND(ROUND(J394, 2)*I394, 2)</f>
        <v>0</v>
      </c>
      <c r="P394" s="27">
        <v>12.58</v>
      </c>
      <c r="S394" s="28">
        <f>ROUND(ROUND(P394, 2)*I394, 2)</f>
        <v>0</v>
      </c>
    </row>
    <row r="395" spans="1:21" ht="36" hidden="1" x14ac:dyDescent="0.3">
      <c r="A395" s="101" t="s">
        <v>1638</v>
      </c>
      <c r="B395" s="10" t="s">
        <v>1575</v>
      </c>
      <c r="C395" s="14" t="s">
        <v>1576</v>
      </c>
      <c r="D395" s="15"/>
      <c r="E395" s="15" t="s">
        <v>877</v>
      </c>
      <c r="F395" s="15" t="s">
        <v>57</v>
      </c>
      <c r="G395" s="16">
        <v>1</v>
      </c>
      <c r="H395" s="16"/>
      <c r="I395" s="110">
        <v>0</v>
      </c>
      <c r="J395" s="17">
        <v>47.82</v>
      </c>
      <c r="K395" s="18">
        <v>718</v>
      </c>
      <c r="L395" s="17">
        <f>J395+ROUND(K395, 2)</f>
        <v>765.82</v>
      </c>
      <c r="M395" s="17">
        <v>0</v>
      </c>
      <c r="N395" s="17">
        <v>0</v>
      </c>
      <c r="O395" s="17">
        <f>M395+N395</f>
        <v>0</v>
      </c>
      <c r="P395" s="17">
        <v>32.19</v>
      </c>
      <c r="Q395" s="18">
        <v>718</v>
      </c>
      <c r="R395" s="17">
        <f>P395+ROUND(Q395, 2)</f>
        <v>750.19</v>
      </c>
      <c r="S395" s="17">
        <v>0</v>
      </c>
      <c r="T395" s="17">
        <v>0</v>
      </c>
      <c r="U395" s="17">
        <f>S395+T395</f>
        <v>0</v>
      </c>
    </row>
    <row r="396" spans="1:21" ht="36" hidden="1" x14ac:dyDescent="0.3">
      <c r="A396" s="101" t="s">
        <v>1640</v>
      </c>
      <c r="B396" s="10"/>
      <c r="C396" s="24" t="s">
        <v>509</v>
      </c>
      <c r="D396" s="15"/>
      <c r="E396" s="15"/>
      <c r="F396" s="25" t="s">
        <v>76</v>
      </c>
      <c r="G396" s="26">
        <v>0.15</v>
      </c>
      <c r="H396" s="26"/>
      <c r="I396" s="108">
        <v>0</v>
      </c>
      <c r="J396" s="27">
        <v>88.8</v>
      </c>
      <c r="M396" s="28">
        <f>ROUND(ROUND(J396, 2)*I396, 2)</f>
        <v>0</v>
      </c>
      <c r="P396" s="27">
        <v>88.8</v>
      </c>
      <c r="S396" s="28">
        <f>ROUND(ROUND(P396, 2)*I396, 2)</f>
        <v>0</v>
      </c>
    </row>
    <row r="397" spans="1:21" ht="36" hidden="1" x14ac:dyDescent="0.3">
      <c r="A397" s="101" t="s">
        <v>1645</v>
      </c>
      <c r="B397" s="10"/>
      <c r="C397" s="24" t="s">
        <v>934</v>
      </c>
      <c r="D397" s="15"/>
      <c r="E397" s="15"/>
      <c r="F397" s="25" t="s">
        <v>76</v>
      </c>
      <c r="G397" s="26">
        <v>1.5</v>
      </c>
      <c r="H397" s="26"/>
      <c r="I397" s="108">
        <v>0</v>
      </c>
      <c r="J397" s="27">
        <v>23</v>
      </c>
      <c r="M397" s="28">
        <f>ROUND(ROUND(J397, 2)*I397, 2)</f>
        <v>0</v>
      </c>
      <c r="P397" s="27">
        <v>12.58</v>
      </c>
      <c r="S397" s="28">
        <f>ROUND(ROUND(P397, 2)*I397, 2)</f>
        <v>0</v>
      </c>
    </row>
    <row r="398" spans="1:21" ht="54" x14ac:dyDescent="0.3">
      <c r="A398" s="101" t="s">
        <v>1650</v>
      </c>
      <c r="B398" s="10" t="s">
        <v>1575</v>
      </c>
      <c r="C398" s="14" t="s">
        <v>1576</v>
      </c>
      <c r="D398" s="15"/>
      <c r="E398" s="15" t="s">
        <v>1651</v>
      </c>
      <c r="F398" s="15" t="s">
        <v>57</v>
      </c>
      <c r="G398" s="16">
        <v>1</v>
      </c>
      <c r="H398" s="16"/>
      <c r="I398" s="110">
        <v>852.88</v>
      </c>
      <c r="J398" s="17">
        <f>IFERROR(ROUND(SUM(M399,M400)/I398, 2),0)</f>
        <v>68.709999999999994</v>
      </c>
      <c r="K398" s="18">
        <v>790</v>
      </c>
      <c r="L398" s="17">
        <f>J398+ROUND(K398, 2)</f>
        <v>858.71</v>
      </c>
      <c r="M398" s="17">
        <f>ROUND(J398*I398, 2)</f>
        <v>58601.38</v>
      </c>
      <c r="N398" s="17">
        <f>ROUND(I398*ROUND(K398, 2), 2)</f>
        <v>673775.2</v>
      </c>
      <c r="O398" s="17">
        <f>M398+N398</f>
        <v>732376.58</v>
      </c>
      <c r="P398" s="17">
        <f>IFERROR(ROUND(SUM(S399,S400)/I398, 2),0)</f>
        <v>69.930000000000007</v>
      </c>
      <c r="Q398" s="19">
        <v>790</v>
      </c>
      <c r="R398" s="17">
        <f>P398+ROUND(Q398, 2)</f>
        <v>859.93000000000006</v>
      </c>
      <c r="S398" s="17">
        <f>ROUND(P398*I398, 2)</f>
        <v>59641.9</v>
      </c>
      <c r="T398" s="17">
        <f>ROUND(I398*ROUND(Q398, 2), 2)</f>
        <v>673775.2</v>
      </c>
      <c r="U398" s="17">
        <f>S398+T398</f>
        <v>733417.1</v>
      </c>
    </row>
    <row r="399" spans="1:21" ht="36" x14ac:dyDescent="0.3">
      <c r="A399" s="101" t="s">
        <v>1652</v>
      </c>
      <c r="B399" s="10"/>
      <c r="C399" s="24" t="s">
        <v>509</v>
      </c>
      <c r="D399" s="15"/>
      <c r="E399" s="15"/>
      <c r="F399" s="25" t="s">
        <v>76</v>
      </c>
      <c r="G399" s="26">
        <v>0.15</v>
      </c>
      <c r="H399" s="26"/>
      <c r="I399" s="108">
        <v>127.932</v>
      </c>
      <c r="J399" s="27">
        <v>90.28</v>
      </c>
      <c r="M399" s="28">
        <f>ROUND(ROUND(J399, 2)*I399, 2)</f>
        <v>11549.7</v>
      </c>
      <c r="P399" s="29">
        <v>88.8</v>
      </c>
      <c r="S399" s="28">
        <f>ROUND(ROUND(P399, 2)*I399, 2)</f>
        <v>11360.36</v>
      </c>
    </row>
    <row r="400" spans="1:21" ht="36" x14ac:dyDescent="0.3">
      <c r="A400" s="101" t="s">
        <v>1655</v>
      </c>
      <c r="B400" s="10"/>
      <c r="C400" s="35" t="s">
        <v>961</v>
      </c>
      <c r="D400" s="15"/>
      <c r="E400" s="15"/>
      <c r="F400" s="25" t="s">
        <v>76</v>
      </c>
      <c r="G400" s="26">
        <v>4.5</v>
      </c>
      <c r="H400" s="26"/>
      <c r="I400" s="108">
        <v>3837.96</v>
      </c>
      <c r="J400" s="27">
        <v>12.26</v>
      </c>
      <c r="M400" s="28">
        <f>ROUND(ROUND(J400, 2)*I400, 2)</f>
        <v>47053.39</v>
      </c>
      <c r="P400" s="29">
        <v>12.58</v>
      </c>
      <c r="S400" s="28">
        <f>ROUND(ROUND(P400, 2)*I400, 2)</f>
        <v>48281.54</v>
      </c>
    </row>
    <row r="401" spans="1:21" ht="36" x14ac:dyDescent="0.3">
      <c r="A401" s="101" t="s">
        <v>1658</v>
      </c>
      <c r="B401" s="10" t="s">
        <v>1575</v>
      </c>
      <c r="C401" s="14" t="s">
        <v>1576</v>
      </c>
      <c r="D401" s="15"/>
      <c r="E401" s="15" t="s">
        <v>1149</v>
      </c>
      <c r="F401" s="15" t="s">
        <v>57</v>
      </c>
      <c r="G401" s="16">
        <v>1</v>
      </c>
      <c r="H401" s="16"/>
      <c r="I401" s="110">
        <v>852.88</v>
      </c>
      <c r="J401" s="17">
        <f>IFERROR(ROUND(SUM(M402,M403)/I401, 2),0)</f>
        <v>68.709999999999994</v>
      </c>
      <c r="K401" s="18">
        <v>790</v>
      </c>
      <c r="L401" s="17">
        <f>J401+ROUND(K401, 2)</f>
        <v>858.71</v>
      </c>
      <c r="M401" s="17">
        <f>ROUND(J401*I401, 2)</f>
        <v>58601.38</v>
      </c>
      <c r="N401" s="17">
        <f>ROUND(I401*ROUND(K401, 2), 2)</f>
        <v>673775.2</v>
      </c>
      <c r="O401" s="17">
        <f>M401+N401</f>
        <v>732376.58</v>
      </c>
      <c r="P401" s="17">
        <f>IFERROR(ROUND(SUM(S402,S403)/I401, 2),0)</f>
        <v>69.930000000000007</v>
      </c>
      <c r="Q401" s="19">
        <v>790</v>
      </c>
      <c r="R401" s="17">
        <f>P401+ROUND(Q401, 2)</f>
        <v>859.93000000000006</v>
      </c>
      <c r="S401" s="17">
        <f>ROUND(P401*I401, 2)</f>
        <v>59641.9</v>
      </c>
      <c r="T401" s="17">
        <f>ROUND(I401*ROUND(Q401, 2), 2)</f>
        <v>673775.2</v>
      </c>
      <c r="U401" s="17">
        <f>S401+T401</f>
        <v>733417.1</v>
      </c>
    </row>
    <row r="402" spans="1:21" ht="36" x14ac:dyDescent="0.3">
      <c r="A402" s="101" t="s">
        <v>1659</v>
      </c>
      <c r="B402" s="10"/>
      <c r="C402" s="24" t="s">
        <v>509</v>
      </c>
      <c r="D402" s="15"/>
      <c r="E402" s="15"/>
      <c r="F402" s="25" t="s">
        <v>76</v>
      </c>
      <c r="G402" s="26">
        <v>0.15</v>
      </c>
      <c r="H402" s="26"/>
      <c r="I402" s="108">
        <v>127.932</v>
      </c>
      <c r="J402" s="27">
        <v>90.28</v>
      </c>
      <c r="M402" s="28">
        <f>ROUND(ROUND(J402, 2)*I402, 2)</f>
        <v>11549.7</v>
      </c>
      <c r="P402" s="29">
        <v>88.8</v>
      </c>
      <c r="S402" s="28">
        <f>ROUND(ROUND(P402, 2)*I402, 2)</f>
        <v>11360.36</v>
      </c>
    </row>
    <row r="403" spans="1:21" ht="36" x14ac:dyDescent="0.3">
      <c r="A403" s="101" t="s">
        <v>1662</v>
      </c>
      <c r="B403" s="10"/>
      <c r="C403" s="35" t="s">
        <v>961</v>
      </c>
      <c r="D403" s="15"/>
      <c r="E403" s="15"/>
      <c r="F403" s="25" t="s">
        <v>76</v>
      </c>
      <c r="G403" s="26">
        <v>4.5</v>
      </c>
      <c r="H403" s="26"/>
      <c r="I403" s="108">
        <v>3837.96</v>
      </c>
      <c r="J403" s="27">
        <v>12.26</v>
      </c>
      <c r="M403" s="28">
        <f>ROUND(ROUND(J403, 2)*I403, 2)</f>
        <v>47053.39</v>
      </c>
      <c r="P403" s="29">
        <v>12.58</v>
      </c>
      <c r="S403" s="28">
        <f>ROUND(ROUND(P403, 2)*I403, 2)</f>
        <v>48281.54</v>
      </c>
    </row>
    <row r="404" spans="1:21" ht="36" x14ac:dyDescent="0.3">
      <c r="A404" s="101" t="s">
        <v>1665</v>
      </c>
      <c r="B404" s="10" t="s">
        <v>1575</v>
      </c>
      <c r="C404" s="14" t="s">
        <v>1576</v>
      </c>
      <c r="D404" s="15"/>
      <c r="E404" s="15" t="s">
        <v>1157</v>
      </c>
      <c r="F404" s="15" t="s">
        <v>57</v>
      </c>
      <c r="G404" s="16">
        <v>1</v>
      </c>
      <c r="H404" s="16"/>
      <c r="I404" s="110">
        <v>852.88</v>
      </c>
      <c r="J404" s="17">
        <f>IFERROR(ROUND(SUM(M405,M406)/I404, 2),0)</f>
        <v>68.709999999999994</v>
      </c>
      <c r="K404" s="18">
        <v>790</v>
      </c>
      <c r="L404" s="17">
        <f>J404+ROUND(K404, 2)</f>
        <v>858.71</v>
      </c>
      <c r="M404" s="17">
        <f>ROUND(J404*I404, 2)</f>
        <v>58601.38</v>
      </c>
      <c r="N404" s="17">
        <f>ROUND(I404*ROUND(K404, 2), 2)</f>
        <v>673775.2</v>
      </c>
      <c r="O404" s="17">
        <f>M404+N404</f>
        <v>732376.58</v>
      </c>
      <c r="P404" s="17">
        <f>IFERROR(ROUND(SUM(S405,S406)/I404, 2),0)</f>
        <v>69.930000000000007</v>
      </c>
      <c r="Q404" s="19">
        <v>790</v>
      </c>
      <c r="R404" s="17">
        <f>P404+ROUND(Q404, 2)</f>
        <v>859.93000000000006</v>
      </c>
      <c r="S404" s="17">
        <f>ROUND(P404*I404, 2)</f>
        <v>59641.9</v>
      </c>
      <c r="T404" s="17">
        <f>ROUND(I404*ROUND(Q404, 2), 2)</f>
        <v>673775.2</v>
      </c>
      <c r="U404" s="17">
        <f>S404+T404</f>
        <v>733417.1</v>
      </c>
    </row>
    <row r="405" spans="1:21" ht="36" x14ac:dyDescent="0.3">
      <c r="A405" s="101" t="s">
        <v>1666</v>
      </c>
      <c r="B405" s="10"/>
      <c r="C405" s="24" t="s">
        <v>509</v>
      </c>
      <c r="D405" s="15"/>
      <c r="E405" s="15"/>
      <c r="F405" s="25" t="s">
        <v>76</v>
      </c>
      <c r="G405" s="26">
        <v>0.15</v>
      </c>
      <c r="H405" s="26"/>
      <c r="I405" s="108">
        <v>127.932</v>
      </c>
      <c r="J405" s="27">
        <v>90.28</v>
      </c>
      <c r="M405" s="28">
        <f>ROUND(ROUND(J405, 2)*I405, 2)</f>
        <v>11549.7</v>
      </c>
      <c r="P405" s="29">
        <v>88.8</v>
      </c>
      <c r="S405" s="28">
        <f>ROUND(ROUND(P405, 2)*I405, 2)</f>
        <v>11360.36</v>
      </c>
    </row>
    <row r="406" spans="1:21" ht="36" x14ac:dyDescent="0.3">
      <c r="A406" s="101" t="s">
        <v>1669</v>
      </c>
      <c r="B406" s="10"/>
      <c r="C406" s="35" t="s">
        <v>961</v>
      </c>
      <c r="D406" s="15"/>
      <c r="E406" s="15"/>
      <c r="F406" s="25" t="s">
        <v>76</v>
      </c>
      <c r="G406" s="26">
        <v>4.5</v>
      </c>
      <c r="H406" s="26"/>
      <c r="I406" s="108">
        <v>3837.96</v>
      </c>
      <c r="J406" s="27">
        <v>12.26</v>
      </c>
      <c r="M406" s="28">
        <f>ROUND(ROUND(J406, 2)*I406, 2)</f>
        <v>47053.39</v>
      </c>
      <c r="P406" s="29">
        <v>12.58</v>
      </c>
      <c r="S406" s="28">
        <f>ROUND(ROUND(P406, 2)*I406, 2)</f>
        <v>48281.54</v>
      </c>
    </row>
    <row r="407" spans="1:21" ht="16.95" customHeight="1" x14ac:dyDescent="0.3">
      <c r="A407" s="101" t="s">
        <v>1672</v>
      </c>
      <c r="B407" s="10" t="s">
        <v>1673</v>
      </c>
      <c r="C407" s="80" t="s">
        <v>1674</v>
      </c>
      <c r="D407" s="81"/>
      <c r="E407" s="81"/>
      <c r="F407" s="81"/>
      <c r="G407" s="81"/>
      <c r="H407" s="81"/>
      <c r="I407" s="81"/>
      <c r="M407" s="6">
        <f>SUM(M408,M411,M414,M417)</f>
        <v>160143.97</v>
      </c>
      <c r="N407" s="6">
        <f>SUM(N408,N411,N414,N417)</f>
        <v>888660.3600000001</v>
      </c>
      <c r="O407" s="6">
        <f>SUM(O408,O411,O414,O417)</f>
        <v>1048804.33</v>
      </c>
      <c r="S407" s="6">
        <f>SUM(S408,S411,S414,S417)</f>
        <v>197019.58000000002</v>
      </c>
      <c r="T407" s="6">
        <f>SUM(T408,T411,T414,T417)</f>
        <v>888660.3600000001</v>
      </c>
      <c r="U407" s="6">
        <f>SUM(U408,U411,U414,U417)</f>
        <v>1085679.94</v>
      </c>
    </row>
    <row r="408" spans="1:21" ht="54" x14ac:dyDescent="0.3">
      <c r="A408" s="101" t="s">
        <v>1675</v>
      </c>
      <c r="B408" s="10" t="s">
        <v>1676</v>
      </c>
      <c r="C408" s="14" t="s">
        <v>1677</v>
      </c>
      <c r="D408" s="15"/>
      <c r="E408" s="15" t="s">
        <v>1678</v>
      </c>
      <c r="F408" s="15" t="s">
        <v>57</v>
      </c>
      <c r="G408" s="16">
        <v>1</v>
      </c>
      <c r="H408" s="16"/>
      <c r="I408" s="110">
        <v>897.5</v>
      </c>
      <c r="J408" s="17">
        <v>81.319999999999993</v>
      </c>
      <c r="K408" s="18">
        <v>278</v>
      </c>
      <c r="L408" s="17">
        <f>J408+ROUND(K408, 2)</f>
        <v>359.32</v>
      </c>
      <c r="M408" s="17">
        <v>72984.7</v>
      </c>
      <c r="N408" s="17">
        <v>249505</v>
      </c>
      <c r="O408" s="17">
        <f>M408+N408</f>
        <v>322489.7</v>
      </c>
      <c r="P408" s="17">
        <v>53.93</v>
      </c>
      <c r="Q408" s="18">
        <v>278</v>
      </c>
      <c r="R408" s="17">
        <f>P408+ROUND(Q408, 2)</f>
        <v>331.93</v>
      </c>
      <c r="S408" s="17">
        <v>48402.18</v>
      </c>
      <c r="T408" s="17">
        <v>249505</v>
      </c>
      <c r="U408" s="17">
        <f>S408+T408</f>
        <v>297907.18</v>
      </c>
    </row>
    <row r="409" spans="1:21" ht="126" x14ac:dyDescent="0.3">
      <c r="A409" s="101" t="s">
        <v>1683</v>
      </c>
      <c r="B409" s="10"/>
      <c r="C409" s="24" t="s">
        <v>1684</v>
      </c>
      <c r="D409" s="15"/>
      <c r="E409" s="15" t="s">
        <v>1685</v>
      </c>
      <c r="F409" s="25" t="s">
        <v>76</v>
      </c>
      <c r="G409" s="26">
        <v>0.3</v>
      </c>
      <c r="H409" s="36"/>
      <c r="I409" s="109">
        <v>269.25</v>
      </c>
      <c r="J409" s="27">
        <v>226.67</v>
      </c>
      <c r="M409" s="28">
        <f>ROUND(ROUND(J409, 2)*I409, 2)</f>
        <v>61030.9</v>
      </c>
      <c r="P409" s="27">
        <v>135.36000000000001</v>
      </c>
      <c r="S409" s="28">
        <f>ROUND(ROUND(P409, 2)*I409, 2)</f>
        <v>36445.68</v>
      </c>
    </row>
    <row r="410" spans="1:21" ht="36" x14ac:dyDescent="0.3">
      <c r="A410" s="101" t="s">
        <v>1691</v>
      </c>
      <c r="B410" s="10"/>
      <c r="C410" s="24" t="s">
        <v>509</v>
      </c>
      <c r="D410" s="15"/>
      <c r="E410" s="15"/>
      <c r="F410" s="25" t="s">
        <v>76</v>
      </c>
      <c r="G410" s="26">
        <v>0.15</v>
      </c>
      <c r="H410" s="36"/>
      <c r="I410" s="109">
        <v>134.625</v>
      </c>
      <c r="J410" s="27">
        <v>88.8</v>
      </c>
      <c r="M410" s="28">
        <f>ROUND(ROUND(J410, 2)*I410, 2)</f>
        <v>11954.7</v>
      </c>
      <c r="P410" s="27">
        <v>88.8</v>
      </c>
      <c r="S410" s="28">
        <f>ROUND(ROUND(P410, 2)*I410, 2)</f>
        <v>11954.7</v>
      </c>
    </row>
    <row r="411" spans="1:21" ht="54" hidden="1" x14ac:dyDescent="0.3">
      <c r="A411" s="101" t="s">
        <v>1696</v>
      </c>
      <c r="B411" s="10" t="s">
        <v>1676</v>
      </c>
      <c r="C411" s="14" t="s">
        <v>1677</v>
      </c>
      <c r="D411" s="15"/>
      <c r="E411" s="15" t="s">
        <v>542</v>
      </c>
      <c r="F411" s="15" t="s">
        <v>57</v>
      </c>
      <c r="G411" s="16">
        <v>1</v>
      </c>
      <c r="H411" s="16"/>
      <c r="I411" s="110">
        <v>0</v>
      </c>
      <c r="J411" s="17">
        <v>81.319999999999993</v>
      </c>
      <c r="K411" s="18">
        <v>278</v>
      </c>
      <c r="L411" s="17">
        <f>J411+ROUND(K411, 2)</f>
        <v>359.32</v>
      </c>
      <c r="M411" s="17">
        <v>0</v>
      </c>
      <c r="N411" s="17">
        <v>0</v>
      </c>
      <c r="O411" s="17">
        <f>M411+N411</f>
        <v>0</v>
      </c>
      <c r="P411" s="17">
        <v>53.93</v>
      </c>
      <c r="Q411" s="18">
        <v>278</v>
      </c>
      <c r="R411" s="17">
        <f>P411+ROUND(Q411, 2)</f>
        <v>331.93</v>
      </c>
      <c r="S411" s="17">
        <v>0</v>
      </c>
      <c r="T411" s="17">
        <v>0</v>
      </c>
      <c r="U411" s="17">
        <f>S411+T411</f>
        <v>0</v>
      </c>
    </row>
    <row r="412" spans="1:21" ht="36" hidden="1" x14ac:dyDescent="0.3">
      <c r="A412" s="101" t="s">
        <v>1698</v>
      </c>
      <c r="B412" s="10"/>
      <c r="C412" s="24" t="s">
        <v>509</v>
      </c>
      <c r="D412" s="15"/>
      <c r="E412" s="15"/>
      <c r="F412" s="25" t="s">
        <v>76</v>
      </c>
      <c r="G412" s="26">
        <v>0.15</v>
      </c>
      <c r="H412" s="36"/>
      <c r="I412" s="109">
        <v>0</v>
      </c>
      <c r="J412" s="27">
        <v>88.8</v>
      </c>
      <c r="M412" s="28">
        <f>ROUND(ROUND(J412, 2)*I412, 2)</f>
        <v>0</v>
      </c>
      <c r="P412" s="27">
        <v>88.8</v>
      </c>
      <c r="S412" s="28">
        <f>ROUND(ROUND(P412, 2)*I412, 2)</f>
        <v>0</v>
      </c>
    </row>
    <row r="413" spans="1:21" ht="108" hidden="1" x14ac:dyDescent="0.3">
      <c r="A413" s="101" t="s">
        <v>1703</v>
      </c>
      <c r="B413" s="10"/>
      <c r="C413" s="24" t="s">
        <v>1684</v>
      </c>
      <c r="D413" s="15"/>
      <c r="E413" s="15" t="s">
        <v>1704</v>
      </c>
      <c r="F413" s="25" t="s">
        <v>76</v>
      </c>
      <c r="G413" s="26">
        <v>0.3</v>
      </c>
      <c r="H413" s="36"/>
      <c r="I413" s="109">
        <v>0</v>
      </c>
      <c r="J413" s="27">
        <v>226.67</v>
      </c>
      <c r="M413" s="28">
        <f>ROUND(ROUND(J413, 2)*I413, 2)</f>
        <v>0</v>
      </c>
      <c r="P413" s="27">
        <v>135.36000000000001</v>
      </c>
      <c r="S413" s="28">
        <f>ROUND(ROUND(P413, 2)*I413, 2)</f>
        <v>0</v>
      </c>
    </row>
    <row r="414" spans="1:21" ht="36" x14ac:dyDescent="0.3">
      <c r="A414" s="101" t="s">
        <v>1709</v>
      </c>
      <c r="B414" s="10" t="s">
        <v>1710</v>
      </c>
      <c r="C414" s="14" t="s">
        <v>1711</v>
      </c>
      <c r="D414" s="15"/>
      <c r="E414" s="15" t="s">
        <v>1712</v>
      </c>
      <c r="F414" s="15" t="s">
        <v>57</v>
      </c>
      <c r="G414" s="16">
        <v>1</v>
      </c>
      <c r="H414" s="16"/>
      <c r="I414" s="110">
        <v>990.86</v>
      </c>
      <c r="J414" s="17">
        <f>IFERROR(ROUND(SUM(M415,M416)/I414, 2),0)</f>
        <v>82.68</v>
      </c>
      <c r="K414" s="18">
        <v>464</v>
      </c>
      <c r="L414" s="17">
        <f>J414+ROUND(K414, 2)</f>
        <v>546.68000000000006</v>
      </c>
      <c r="M414" s="17">
        <f>ROUND(J414*I414, 2)</f>
        <v>81924.3</v>
      </c>
      <c r="N414" s="17">
        <f>ROUND(I414*ROUND(K414, 2), 2)</f>
        <v>459759.04</v>
      </c>
      <c r="O414" s="17">
        <f>M414+N414</f>
        <v>541683.34</v>
      </c>
      <c r="P414" s="17">
        <f>IFERROR(ROUND(SUM(S415,S416)/I414, 2),0)</f>
        <v>107.89</v>
      </c>
      <c r="Q414" s="19">
        <v>464</v>
      </c>
      <c r="R414" s="17">
        <f>P414+ROUND(Q414, 2)</f>
        <v>571.89</v>
      </c>
      <c r="S414" s="17">
        <f>ROUND(P414*I414, 2)</f>
        <v>106903.89</v>
      </c>
      <c r="T414" s="17">
        <f>ROUND(I414*ROUND(Q414, 2), 2)</f>
        <v>459759.04</v>
      </c>
      <c r="U414" s="17">
        <f>S414+T414</f>
        <v>566662.92999999993</v>
      </c>
    </row>
    <row r="415" spans="1:21" ht="36" x14ac:dyDescent="0.3">
      <c r="A415" s="101" t="s">
        <v>1715</v>
      </c>
      <c r="B415" s="10"/>
      <c r="C415" s="24" t="s">
        <v>1684</v>
      </c>
      <c r="D415" s="15"/>
      <c r="E415" s="15"/>
      <c r="F415" s="25" t="s">
        <v>76</v>
      </c>
      <c r="G415" s="26">
        <v>0.3</v>
      </c>
      <c r="H415" s="26"/>
      <c r="I415" s="108">
        <v>297.25799999999998</v>
      </c>
      <c r="J415" s="27">
        <v>230.45</v>
      </c>
      <c r="M415" s="28">
        <f>ROUND(ROUND(J415, 2)*I415, 2)</f>
        <v>68503.11</v>
      </c>
      <c r="P415" s="29">
        <v>315.24</v>
      </c>
      <c r="S415" s="28">
        <f>ROUND(ROUND(P415, 2)*I415, 2)</f>
        <v>93707.61</v>
      </c>
    </row>
    <row r="416" spans="1:21" ht="36" x14ac:dyDescent="0.3">
      <c r="A416" s="101" t="s">
        <v>1718</v>
      </c>
      <c r="B416" s="10"/>
      <c r="C416" s="24" t="s">
        <v>509</v>
      </c>
      <c r="D416" s="15"/>
      <c r="E416" s="15"/>
      <c r="F416" s="25" t="s">
        <v>76</v>
      </c>
      <c r="G416" s="26">
        <v>0.15</v>
      </c>
      <c r="H416" s="26"/>
      <c r="I416" s="108">
        <v>148.62899999999999</v>
      </c>
      <c r="J416" s="27">
        <v>90.28</v>
      </c>
      <c r="M416" s="28">
        <f>ROUND(ROUND(J416, 2)*I416, 2)</f>
        <v>13418.23</v>
      </c>
      <c r="P416" s="29">
        <v>88.8</v>
      </c>
      <c r="S416" s="28">
        <f>ROUND(ROUND(P416, 2)*I416, 2)</f>
        <v>13198.26</v>
      </c>
    </row>
    <row r="417" spans="1:21" ht="108" x14ac:dyDescent="0.3">
      <c r="A417" s="101" t="s">
        <v>1721</v>
      </c>
      <c r="B417" s="10" t="s">
        <v>1710</v>
      </c>
      <c r="C417" s="14" t="s">
        <v>1711</v>
      </c>
      <c r="D417" s="15"/>
      <c r="E417" s="15" t="s">
        <v>1722</v>
      </c>
      <c r="F417" s="15" t="s">
        <v>57</v>
      </c>
      <c r="G417" s="16">
        <v>1</v>
      </c>
      <c r="H417" s="16"/>
      <c r="I417" s="110">
        <v>386.63</v>
      </c>
      <c r="J417" s="17">
        <f>IFERROR(ROUND(SUM(M418,M419)/I417, 2),0)</f>
        <v>13.54</v>
      </c>
      <c r="K417" s="18">
        <v>464</v>
      </c>
      <c r="L417" s="17">
        <f>J417+ROUND(K417, 2)</f>
        <v>477.54</v>
      </c>
      <c r="M417" s="17">
        <f>ROUND(J417*I417, 2)</f>
        <v>5234.97</v>
      </c>
      <c r="N417" s="17">
        <f>ROUND(I417*ROUND(K417, 2), 2)</f>
        <v>179396.32</v>
      </c>
      <c r="O417" s="17">
        <f>M417+N417</f>
        <v>184631.29</v>
      </c>
      <c r="P417" s="17">
        <f>IFERROR(ROUND(SUM(S418,S419)/I417, 2),0)</f>
        <v>107.89</v>
      </c>
      <c r="Q417" s="19">
        <v>464</v>
      </c>
      <c r="R417" s="17">
        <f>P417+ROUND(Q417, 2)</f>
        <v>571.89</v>
      </c>
      <c r="S417" s="17">
        <f>ROUND(P417*I417, 2)</f>
        <v>41713.51</v>
      </c>
      <c r="T417" s="17">
        <f>ROUND(I417*ROUND(Q417, 2), 2)</f>
        <v>179396.32</v>
      </c>
      <c r="U417" s="17">
        <f>S417+T417</f>
        <v>221109.83000000002</v>
      </c>
    </row>
    <row r="418" spans="1:21" ht="36" x14ac:dyDescent="0.3">
      <c r="A418" s="101" t="s">
        <v>1723</v>
      </c>
      <c r="B418" s="10"/>
      <c r="C418" s="24" t="s">
        <v>509</v>
      </c>
      <c r="D418" s="15"/>
      <c r="E418" s="15"/>
      <c r="F418" s="25" t="s">
        <v>76</v>
      </c>
      <c r="G418" s="26">
        <v>0.15</v>
      </c>
      <c r="H418" s="26"/>
      <c r="I418" s="108">
        <v>57.994999999999997</v>
      </c>
      <c r="J418" s="27">
        <v>90.28</v>
      </c>
      <c r="M418" s="28">
        <f>ROUND(ROUND(J418, 2)*I418, 2)</f>
        <v>5235.79</v>
      </c>
      <c r="P418" s="29">
        <v>88.8</v>
      </c>
      <c r="S418" s="28">
        <f>ROUND(ROUND(P418, 2)*I418, 2)</f>
        <v>5149.96</v>
      </c>
    </row>
    <row r="419" spans="1:21" ht="36" x14ac:dyDescent="0.3">
      <c r="A419" s="101" t="s">
        <v>1726</v>
      </c>
      <c r="B419" s="10"/>
      <c r="C419" s="24" t="s">
        <v>1727</v>
      </c>
      <c r="D419" s="15"/>
      <c r="E419" s="15" t="s">
        <v>1728</v>
      </c>
      <c r="F419" s="25" t="s">
        <v>76</v>
      </c>
      <c r="G419" s="26">
        <v>0.3</v>
      </c>
      <c r="H419" s="26"/>
      <c r="I419" s="108">
        <v>115.989</v>
      </c>
      <c r="J419" s="27">
        <v>0</v>
      </c>
      <c r="M419" s="28">
        <f>ROUND(ROUND(J419, 2)*I419, 2)</f>
        <v>0</v>
      </c>
      <c r="P419" s="29">
        <v>315.24</v>
      </c>
      <c r="S419" s="28">
        <f>ROUND(ROUND(P419, 2)*I419, 2)</f>
        <v>36564.370000000003</v>
      </c>
    </row>
    <row r="420" spans="1:21" ht="16.95" customHeight="1" x14ac:dyDescent="0.3">
      <c r="A420" s="101" t="s">
        <v>1732</v>
      </c>
      <c r="B420" s="10" t="s">
        <v>1733</v>
      </c>
      <c r="C420" s="80" t="s">
        <v>1734</v>
      </c>
      <c r="D420" s="81"/>
      <c r="E420" s="81"/>
      <c r="F420" s="81"/>
      <c r="G420" s="81"/>
      <c r="H420" s="81"/>
      <c r="I420" s="81"/>
      <c r="M420" s="6">
        <f>SUM(M421,M423,M424,M426)</f>
        <v>0</v>
      </c>
      <c r="N420" s="6">
        <f>SUM(N421,N423,N424,N426)</f>
        <v>69483.759999999995</v>
      </c>
      <c r="O420" s="6">
        <f>SUM(O421,O423,O424,O426)</f>
        <v>69483.759999999995</v>
      </c>
      <c r="S420" s="6">
        <f>SUM(S421,S423,S424,S426)</f>
        <v>78830.179999999993</v>
      </c>
      <c r="T420" s="6">
        <f>SUM(T421,T423,T424,T426)</f>
        <v>69483.759999999995</v>
      </c>
      <c r="U420" s="6">
        <f>SUM(U421,U423,U424,U426)</f>
        <v>148313.94</v>
      </c>
    </row>
    <row r="421" spans="1:21" ht="36" hidden="1" x14ac:dyDescent="0.3">
      <c r="A421" s="101" t="s">
        <v>1735</v>
      </c>
      <c r="B421" s="10" t="s">
        <v>1736</v>
      </c>
      <c r="C421" s="14" t="s">
        <v>1737</v>
      </c>
      <c r="D421" s="15"/>
      <c r="E421" s="15" t="s">
        <v>1738</v>
      </c>
      <c r="F421" s="15" t="s">
        <v>57</v>
      </c>
      <c r="G421" s="16">
        <v>1</v>
      </c>
      <c r="H421" s="16"/>
      <c r="I421" s="110">
        <v>0</v>
      </c>
      <c r="J421" s="17">
        <v>0</v>
      </c>
      <c r="K421" s="18">
        <v>1499</v>
      </c>
      <c r="L421" s="17">
        <f>J421+ROUND(K421, 2)</f>
        <v>1499</v>
      </c>
      <c r="M421" s="17">
        <v>0</v>
      </c>
      <c r="N421" s="17">
        <v>0</v>
      </c>
      <c r="O421" s="17">
        <f>M421+N421</f>
        <v>0</v>
      </c>
      <c r="P421" s="17">
        <v>0</v>
      </c>
      <c r="Q421" s="18">
        <v>1499</v>
      </c>
      <c r="R421" s="17">
        <f>P421+ROUND(Q421, 2)</f>
        <v>1499</v>
      </c>
      <c r="S421" s="17">
        <v>0</v>
      </c>
      <c r="T421" s="17">
        <v>0</v>
      </c>
      <c r="U421" s="17">
        <f>S421+T421</f>
        <v>0</v>
      </c>
    </row>
    <row r="422" spans="1:21" ht="162" hidden="1" x14ac:dyDescent="0.3">
      <c r="A422" s="101" t="s">
        <v>1742</v>
      </c>
      <c r="B422" s="10"/>
      <c r="C422" s="24" t="s">
        <v>1743</v>
      </c>
      <c r="D422" s="15"/>
      <c r="E422" s="15" t="s">
        <v>1744</v>
      </c>
      <c r="F422" s="25" t="s">
        <v>57</v>
      </c>
      <c r="G422" s="26">
        <v>1</v>
      </c>
      <c r="H422" s="26"/>
      <c r="I422" s="108">
        <v>0</v>
      </c>
      <c r="J422" s="27">
        <v>0</v>
      </c>
      <c r="M422" s="28">
        <f>ROUND(ROUND(J422, 2)*I422, 2)</f>
        <v>0</v>
      </c>
      <c r="P422" s="27">
        <v>0</v>
      </c>
      <c r="S422" s="28">
        <f>ROUND(ROUND(P422, 2)*I422, 2)</f>
        <v>0</v>
      </c>
    </row>
    <row r="423" spans="1:21" ht="54" x14ac:dyDescent="0.3">
      <c r="A423" s="101" t="s">
        <v>1750</v>
      </c>
      <c r="B423" s="10" t="s">
        <v>1751</v>
      </c>
      <c r="C423" s="14" t="s">
        <v>1752</v>
      </c>
      <c r="D423" s="15"/>
      <c r="E423" s="15"/>
      <c r="F423" s="15" t="s">
        <v>57</v>
      </c>
      <c r="G423" s="16">
        <v>1</v>
      </c>
      <c r="H423" s="16"/>
      <c r="I423" s="110">
        <v>64.099999999999994</v>
      </c>
      <c r="J423" s="17">
        <v>0</v>
      </c>
      <c r="K423" s="18">
        <v>121</v>
      </c>
      <c r="L423" s="17">
        <f>J423+ROUND(K423, 2)</f>
        <v>121</v>
      </c>
      <c r="M423" s="17">
        <v>0</v>
      </c>
      <c r="N423" s="17">
        <f>ROUND(I423*ROUND(K423, 2), 2)</f>
        <v>7756.1</v>
      </c>
      <c r="O423" s="17">
        <f>M423+N423</f>
        <v>7756.1</v>
      </c>
      <c r="P423" s="17">
        <v>0</v>
      </c>
      <c r="Q423" s="19">
        <v>121</v>
      </c>
      <c r="R423" s="17">
        <f>P423+ROUND(Q423, 2)</f>
        <v>121</v>
      </c>
      <c r="S423" s="17">
        <v>0</v>
      </c>
      <c r="T423" s="17">
        <f>ROUND(I423*ROUND(Q423, 2), 2)</f>
        <v>7756.1</v>
      </c>
      <c r="U423" s="17">
        <f>S423+T423</f>
        <v>7756.1</v>
      </c>
    </row>
    <row r="424" spans="1:21" ht="36" x14ac:dyDescent="0.3">
      <c r="A424" s="101" t="s">
        <v>1755</v>
      </c>
      <c r="B424" s="10" t="s">
        <v>1756</v>
      </c>
      <c r="C424" s="14" t="s">
        <v>1757</v>
      </c>
      <c r="D424" s="15"/>
      <c r="E424" s="15" t="s">
        <v>1758</v>
      </c>
      <c r="F424" s="15" t="s">
        <v>57</v>
      </c>
      <c r="G424" s="16">
        <v>1</v>
      </c>
      <c r="H424" s="16"/>
      <c r="I424" s="110">
        <v>32.5</v>
      </c>
      <c r="J424" s="17">
        <f>IFERROR(ROUND(SUM(M425)/I424, 2),0)</f>
        <v>0</v>
      </c>
      <c r="K424" s="18">
        <v>962.99</v>
      </c>
      <c r="L424" s="17">
        <f>J424+ROUND(K424, 2)</f>
        <v>962.99</v>
      </c>
      <c r="M424" s="17">
        <f>ROUND(J424*I424, 2)</f>
        <v>0</v>
      </c>
      <c r="N424" s="17">
        <f>ROUND(I424*ROUND(K424, 2), 2)</f>
        <v>31297.18</v>
      </c>
      <c r="O424" s="17">
        <f>M424+N424</f>
        <v>31297.18</v>
      </c>
      <c r="P424" s="17">
        <f>IFERROR(ROUND(SUM(S425)/I424, 2),0)</f>
        <v>1229.8</v>
      </c>
      <c r="Q424" s="19">
        <v>962.99</v>
      </c>
      <c r="R424" s="17">
        <f>P424+ROUND(Q424, 2)</f>
        <v>2192.79</v>
      </c>
      <c r="S424" s="17">
        <f>ROUND(P424*I424, 2)</f>
        <v>39968.5</v>
      </c>
      <c r="T424" s="17">
        <f>ROUND(I424*ROUND(Q424, 2), 2)</f>
        <v>31297.18</v>
      </c>
      <c r="U424" s="17">
        <f>S424+T424</f>
        <v>71265.679999999993</v>
      </c>
    </row>
    <row r="425" spans="1:21" ht="90" x14ac:dyDescent="0.3">
      <c r="A425" s="101" t="s">
        <v>1761</v>
      </c>
      <c r="B425" s="10"/>
      <c r="C425" s="24" t="s">
        <v>1762</v>
      </c>
      <c r="D425" s="15"/>
      <c r="E425" s="15" t="s">
        <v>1763</v>
      </c>
      <c r="F425" s="25" t="s">
        <v>57</v>
      </c>
      <c r="G425" s="26">
        <v>1</v>
      </c>
      <c r="H425" s="36"/>
      <c r="I425" s="109">
        <v>32.5</v>
      </c>
      <c r="J425" s="27">
        <v>0</v>
      </c>
      <c r="M425" s="28">
        <f>ROUND(ROUND(J425, 2)*I425, 2)</f>
        <v>0</v>
      </c>
      <c r="P425" s="29">
        <v>1229.8</v>
      </c>
      <c r="S425" s="28">
        <f>ROUND(ROUND(P425, 2)*I425, 2)</f>
        <v>39968.5</v>
      </c>
    </row>
    <row r="426" spans="1:21" ht="36" x14ac:dyDescent="0.3">
      <c r="A426" s="101" t="s">
        <v>1767</v>
      </c>
      <c r="B426" s="10" t="s">
        <v>1756</v>
      </c>
      <c r="C426" s="14" t="s">
        <v>1757</v>
      </c>
      <c r="D426" s="15"/>
      <c r="E426" s="15" t="s">
        <v>1768</v>
      </c>
      <c r="F426" s="15" t="s">
        <v>57</v>
      </c>
      <c r="G426" s="16">
        <v>1</v>
      </c>
      <c r="H426" s="16"/>
      <c r="I426" s="110">
        <v>31.6</v>
      </c>
      <c r="J426" s="17">
        <f>IFERROR(ROUND(SUM(M427)/I426, 2),0)</f>
        <v>0</v>
      </c>
      <c r="K426" s="18">
        <v>962.99</v>
      </c>
      <c r="L426" s="17">
        <f>J426+ROUND(K426, 2)</f>
        <v>962.99</v>
      </c>
      <c r="M426" s="17">
        <f>ROUND(J426*I426, 2)</f>
        <v>0</v>
      </c>
      <c r="N426" s="17">
        <f>ROUND(I426*ROUND(K426, 2), 2)</f>
        <v>30430.48</v>
      </c>
      <c r="O426" s="17">
        <f>M426+N426</f>
        <v>30430.48</v>
      </c>
      <c r="P426" s="17">
        <f>IFERROR(ROUND(SUM(S427)/I426, 2),0)</f>
        <v>1229.8</v>
      </c>
      <c r="Q426" s="19">
        <v>962.99</v>
      </c>
      <c r="R426" s="17">
        <f>P426+ROUND(Q426, 2)</f>
        <v>2192.79</v>
      </c>
      <c r="S426" s="17">
        <f>ROUND(P426*I426, 2)</f>
        <v>38861.68</v>
      </c>
      <c r="T426" s="17">
        <f>ROUND(I426*ROUND(Q426, 2), 2)</f>
        <v>30430.48</v>
      </c>
      <c r="U426" s="17">
        <f>S426+T426</f>
        <v>69292.160000000003</v>
      </c>
    </row>
    <row r="427" spans="1:21" ht="90" x14ac:dyDescent="0.3">
      <c r="A427" s="113" t="s">
        <v>1769</v>
      </c>
      <c r="B427" s="114"/>
      <c r="C427" s="115" t="s">
        <v>1762</v>
      </c>
      <c r="D427" s="116"/>
      <c r="E427" s="116" t="s">
        <v>1763</v>
      </c>
      <c r="F427" s="117" t="s">
        <v>57</v>
      </c>
      <c r="G427" s="118">
        <v>1</v>
      </c>
      <c r="H427" s="119"/>
      <c r="I427" s="120">
        <v>31.6</v>
      </c>
      <c r="J427" s="27">
        <v>0</v>
      </c>
      <c r="M427" s="28">
        <f>ROUND(ROUND(J427, 2)*I427, 2)</f>
        <v>0</v>
      </c>
      <c r="P427" s="29">
        <v>1229.8</v>
      </c>
      <c r="S427" s="28">
        <f>ROUND(ROUND(P427, 2)*I427, 2)</f>
        <v>38861.68</v>
      </c>
    </row>
    <row r="428" spans="1:21" ht="24" customHeight="1" x14ac:dyDescent="0.3">
      <c r="A428" s="67"/>
      <c r="B428" s="67"/>
      <c r="C428" s="67"/>
      <c r="D428" s="68" t="s">
        <v>1772</v>
      </c>
      <c r="E428" s="67"/>
      <c r="F428" s="67"/>
      <c r="G428" s="67"/>
      <c r="H428" s="67"/>
      <c r="I428" s="67"/>
      <c r="J428" s="67"/>
      <c r="K428" s="67"/>
      <c r="L428" s="67"/>
      <c r="M428" s="69">
        <f>SUM(M8)</f>
        <v>3689261.5200000005</v>
      </c>
      <c r="N428" s="69">
        <f>SUM(N8)</f>
        <v>14064838.649999999</v>
      </c>
      <c r="O428" s="69">
        <f>M428+N428</f>
        <v>17754100.169999998</v>
      </c>
      <c r="P428" s="67"/>
      <c r="Q428" s="67"/>
      <c r="R428" s="67"/>
      <c r="S428" s="69">
        <f>SUM(S8)</f>
        <v>3902823.1</v>
      </c>
      <c r="T428" s="69">
        <f>SUM(T8)</f>
        <v>14064019.079999998</v>
      </c>
      <c r="U428" s="69">
        <f>S428+T428</f>
        <v>17966842.18</v>
      </c>
    </row>
    <row r="429" spans="1:21" ht="22.8" x14ac:dyDescent="0.3">
      <c r="A429" s="131" t="s">
        <v>1778</v>
      </c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3"/>
    </row>
    <row r="430" spans="1:21" ht="15.6" x14ac:dyDescent="0.3">
      <c r="A430" s="71"/>
      <c r="B430" s="5" t="s">
        <v>1779</v>
      </c>
      <c r="C430" s="70" t="s">
        <v>1780</v>
      </c>
      <c r="D430" s="70" t="s">
        <v>1781</v>
      </c>
      <c r="E430" s="72"/>
      <c r="F430" s="72"/>
      <c r="G430" s="72"/>
      <c r="H430" s="127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28"/>
    </row>
    <row r="431" spans="1:21" ht="15.6" x14ac:dyDescent="0.3">
      <c r="A431" s="71"/>
      <c r="B431" s="5" t="s">
        <v>1782</v>
      </c>
      <c r="C431" s="70" t="s">
        <v>1783</v>
      </c>
      <c r="D431" s="70" t="s">
        <v>1784</v>
      </c>
      <c r="E431" s="72"/>
      <c r="F431" s="72"/>
      <c r="G431" s="72"/>
      <c r="H431" s="127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28"/>
    </row>
    <row r="432" spans="1:21" ht="31.2" x14ac:dyDescent="0.3">
      <c r="A432" s="71"/>
      <c r="B432" s="5" t="s">
        <v>1785</v>
      </c>
      <c r="C432" s="70" t="s">
        <v>1786</v>
      </c>
      <c r="D432" s="70" t="s">
        <v>1787</v>
      </c>
      <c r="E432" s="72"/>
      <c r="F432" s="72"/>
      <c r="G432" s="72"/>
      <c r="H432" s="127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28"/>
    </row>
    <row r="433" spans="1:21" ht="15.6" x14ac:dyDescent="0.3">
      <c r="A433" s="71"/>
      <c r="B433" s="5" t="s">
        <v>1788</v>
      </c>
      <c r="C433" s="70" t="s">
        <v>1789</v>
      </c>
      <c r="D433" s="70" t="s">
        <v>1790</v>
      </c>
      <c r="E433" s="72"/>
      <c r="F433" s="72"/>
      <c r="G433" s="72"/>
      <c r="H433" s="127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28"/>
    </row>
    <row r="434" spans="1:21" ht="15.6" x14ac:dyDescent="0.3">
      <c r="A434" s="71"/>
      <c r="B434" s="5" t="s">
        <v>1791</v>
      </c>
      <c r="C434" s="70" t="s">
        <v>1792</v>
      </c>
      <c r="D434" s="70" t="s">
        <v>1784</v>
      </c>
      <c r="E434" s="72"/>
      <c r="F434" s="72"/>
      <c r="G434" s="72"/>
      <c r="H434" s="127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28"/>
    </row>
    <row r="435" spans="1:21" ht="31.2" x14ac:dyDescent="0.3">
      <c r="A435" s="71"/>
      <c r="B435" s="5" t="s">
        <v>1793</v>
      </c>
      <c r="C435" s="70" t="s">
        <v>1794</v>
      </c>
      <c r="D435" s="70" t="s">
        <v>1795</v>
      </c>
      <c r="E435" s="72"/>
      <c r="F435" s="72"/>
      <c r="G435" s="72"/>
      <c r="H435" s="127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28"/>
    </row>
    <row r="436" spans="1:21" ht="31.2" x14ac:dyDescent="0.3">
      <c r="A436" s="71"/>
      <c r="B436" s="5" t="s">
        <v>1796</v>
      </c>
      <c r="C436" s="70" t="s">
        <v>1797</v>
      </c>
      <c r="D436" s="70" t="s">
        <v>1798</v>
      </c>
      <c r="E436" s="72"/>
      <c r="F436" s="72"/>
      <c r="G436" s="72"/>
      <c r="H436" s="127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28"/>
    </row>
    <row r="437" spans="1:21" ht="15.6" x14ac:dyDescent="0.3">
      <c r="A437" s="71"/>
      <c r="B437" s="5" t="s">
        <v>1799</v>
      </c>
      <c r="C437" s="70" t="s">
        <v>1800</v>
      </c>
      <c r="D437" s="70" t="s">
        <v>1801</v>
      </c>
      <c r="E437" s="72"/>
      <c r="F437" s="72"/>
      <c r="G437" s="72"/>
      <c r="H437" s="127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28"/>
    </row>
    <row r="438" spans="1:21" ht="15.6" x14ac:dyDescent="0.3">
      <c r="A438" s="71"/>
      <c r="B438" s="5" t="s">
        <v>1802</v>
      </c>
      <c r="C438" s="70" t="s">
        <v>1803</v>
      </c>
      <c r="D438" s="70" t="s">
        <v>1804</v>
      </c>
      <c r="E438" s="72"/>
      <c r="F438" s="72"/>
      <c r="G438" s="72"/>
      <c r="H438" s="127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28"/>
    </row>
    <row r="439" spans="1:21" ht="46.8" x14ac:dyDescent="0.3">
      <c r="A439" s="71"/>
      <c r="B439" s="5" t="s">
        <v>1805</v>
      </c>
      <c r="C439" s="70" t="s">
        <v>1806</v>
      </c>
      <c r="D439" s="70" t="s">
        <v>1807</v>
      </c>
      <c r="E439" s="72"/>
      <c r="F439" s="72"/>
      <c r="G439" s="72"/>
      <c r="H439" s="127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28"/>
    </row>
    <row r="440" spans="1:21" ht="46.8" x14ac:dyDescent="0.3">
      <c r="A440" s="71"/>
      <c r="B440" s="5" t="s">
        <v>1808</v>
      </c>
      <c r="C440" s="70" t="s">
        <v>1809</v>
      </c>
      <c r="D440" s="70" t="s">
        <v>1810</v>
      </c>
      <c r="E440" s="72"/>
      <c r="F440" s="72"/>
      <c r="G440" s="72"/>
      <c r="H440" s="127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28"/>
    </row>
    <row r="441" spans="1:21" ht="31.2" x14ac:dyDescent="0.3">
      <c r="A441" s="71"/>
      <c r="B441" s="5" t="s">
        <v>1811</v>
      </c>
      <c r="C441" s="70" t="s">
        <v>1812</v>
      </c>
      <c r="D441" s="70" t="s">
        <v>1813</v>
      </c>
      <c r="E441" s="72"/>
      <c r="F441" s="72"/>
      <c r="G441" s="72"/>
      <c r="H441" s="127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28"/>
    </row>
    <row r="442" spans="1:21" ht="15.6" x14ac:dyDescent="0.3">
      <c r="A442" s="71"/>
      <c r="B442" s="5" t="s">
        <v>1814</v>
      </c>
      <c r="C442" s="70" t="s">
        <v>1815</v>
      </c>
      <c r="D442" s="70" t="s">
        <v>1816</v>
      </c>
      <c r="E442" s="72"/>
      <c r="F442" s="72"/>
      <c r="G442" s="72"/>
      <c r="H442" s="127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28"/>
    </row>
    <row r="443" spans="1:21" ht="48" customHeight="1" x14ac:dyDescent="0.3">
      <c r="A443" s="71"/>
      <c r="B443" s="5" t="s">
        <v>1817</v>
      </c>
      <c r="C443" s="70" t="s">
        <v>1818</v>
      </c>
      <c r="D443" s="70" t="s">
        <v>1819</v>
      </c>
      <c r="E443" s="72"/>
      <c r="F443" s="72"/>
      <c r="G443" s="72"/>
      <c r="H443" s="127" t="s">
        <v>1820</v>
      </c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28"/>
    </row>
    <row r="444" spans="1:21" ht="15.6" x14ac:dyDescent="0.3">
      <c r="A444" s="71"/>
      <c r="B444" s="5" t="s">
        <v>1821</v>
      </c>
      <c r="C444" s="70" t="s">
        <v>1822</v>
      </c>
      <c r="D444" s="70" t="s">
        <v>1823</v>
      </c>
      <c r="E444" s="72"/>
      <c r="F444" s="72"/>
      <c r="G444" s="72"/>
      <c r="H444" s="127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28"/>
    </row>
    <row r="445" spans="1:21" ht="15.6" x14ac:dyDescent="0.3">
      <c r="A445" s="71"/>
      <c r="B445" s="5" t="s">
        <v>1824</v>
      </c>
      <c r="C445" s="70" t="s">
        <v>1825</v>
      </c>
      <c r="D445" s="72"/>
      <c r="E445" s="72"/>
      <c r="F445" s="72"/>
      <c r="G445" s="72"/>
      <c r="H445" s="127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28"/>
    </row>
    <row r="446" spans="1:21" ht="15.6" x14ac:dyDescent="0.3">
      <c r="A446" s="71"/>
      <c r="B446" s="5" t="s">
        <v>1826</v>
      </c>
      <c r="C446" s="70" t="s">
        <v>1827</v>
      </c>
      <c r="D446" s="72"/>
      <c r="E446" s="72"/>
      <c r="F446" s="72"/>
      <c r="G446" s="72"/>
      <c r="H446" s="127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28"/>
    </row>
    <row r="447" spans="1:21" ht="15.6" x14ac:dyDescent="0.3">
      <c r="A447" s="71"/>
      <c r="B447" s="5" t="s">
        <v>1828</v>
      </c>
      <c r="C447" s="70" t="s">
        <v>1829</v>
      </c>
      <c r="D447" s="72"/>
      <c r="E447" s="72"/>
      <c r="F447" s="72"/>
      <c r="G447" s="72"/>
      <c r="H447" s="127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28"/>
    </row>
  </sheetData>
  <mergeCells count="33">
    <mergeCell ref="A2:U2"/>
    <mergeCell ref="A3:U3"/>
    <mergeCell ref="A4:U4"/>
    <mergeCell ref="S5:U5"/>
    <mergeCell ref="J6:K6"/>
    <mergeCell ref="L6:L7"/>
    <mergeCell ref="M6:N6"/>
    <mergeCell ref="O6:O7"/>
    <mergeCell ref="P6:Q6"/>
    <mergeCell ref="H430:U430"/>
    <mergeCell ref="A429:U429"/>
    <mergeCell ref="S6:T6"/>
    <mergeCell ref="U6:U7"/>
    <mergeCell ref="J5:O5"/>
    <mergeCell ref="P5:R5"/>
    <mergeCell ref="R6:R7"/>
    <mergeCell ref="H442:U442"/>
    <mergeCell ref="H431:U431"/>
    <mergeCell ref="H432:U432"/>
    <mergeCell ref="H433:U433"/>
    <mergeCell ref="H434:U434"/>
    <mergeCell ref="H435:U435"/>
    <mergeCell ref="H436:U436"/>
    <mergeCell ref="H437:U437"/>
    <mergeCell ref="H438:U438"/>
    <mergeCell ref="H439:U439"/>
    <mergeCell ref="H440:U440"/>
    <mergeCell ref="H441:U441"/>
    <mergeCell ref="H443:U443"/>
    <mergeCell ref="H444:U444"/>
    <mergeCell ref="H445:U445"/>
    <mergeCell ref="H446:U446"/>
    <mergeCell ref="H447:U447"/>
  </mergeCells>
  <pageMargins left="0.7" right="0.7" top="0.75" bottom="0.75" header="0.3" footer="0.3"/>
  <pageSetup paperSize="9" scale="15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ИД_ЗАКАЗЧИК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2026-03-18T08:55:53Z</dcterms:created>
  <dcterms:modified xsi:type="dcterms:W3CDTF">2026-04-16T10:58:43Z</dcterms:modified>
  <cp:category/>
</cp:coreProperties>
</file>