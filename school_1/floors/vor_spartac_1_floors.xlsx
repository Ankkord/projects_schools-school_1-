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Пл 1.032" sheetId="1" r:id="rId1"/>
    <sheet name="общий" sheetId="2" r:id="rId2"/>
  </sheets>
  <calcPr calcId="152511"/>
</workbook>
</file>

<file path=xl/calcChain.xml><?xml version="1.0" encoding="utf-8"?>
<calcChain xmlns="http://schemas.openxmlformats.org/spreadsheetml/2006/main">
  <c r="E17" i="1" l="1"/>
  <c r="E5" i="1"/>
  <c r="E12" i="1"/>
  <c r="E16" i="1" l="1"/>
  <c r="E13" i="1"/>
  <c r="E4" i="1"/>
  <c r="E9" i="1" l="1"/>
  <c r="E8" i="1"/>
</calcChain>
</file>

<file path=xl/sharedStrings.xml><?xml version="1.0" encoding="utf-8"?>
<sst xmlns="http://schemas.openxmlformats.org/spreadsheetml/2006/main" count="306" uniqueCount="187">
  <si>
    <t>№ п.п.</t>
  </si>
  <si>
    <t>Наименование</t>
  </si>
  <si>
    <t>Ед. изм.</t>
  </si>
  <si>
    <t>Коэф. расхода</t>
  </si>
  <si>
    <t>Объем</t>
  </si>
  <si>
    <t>Ведомость работ и используемых материалов</t>
  </si>
  <si>
    <t>м2</t>
  </si>
  <si>
    <t>кг</t>
  </si>
  <si>
    <t>1.1</t>
  </si>
  <si>
    <t>1.2</t>
  </si>
  <si>
    <t xml:space="preserve">Устройство наливных полов с огрунтовкой поверхности и проклейкой демпферной лентой / толщ. до 10 мм </t>
  </si>
  <si>
    <t>Наливной пол_ / Унифицированный по ПИК-СТАНДАРТ</t>
  </si>
  <si>
    <t>Грунтовка универсальный ЛАСТИМИН_ / УНКОНТ ЛЮКС LP51 А</t>
  </si>
  <si>
    <t>Установка стыковочных профилей</t>
  </si>
  <si>
    <t>Профиль T-образный ПМЮ-01_ / серебро матовое / 2700*30</t>
  </si>
  <si>
    <t>Жидкие гвозди универсальные_/</t>
  </si>
  <si>
    <t>пог. м</t>
  </si>
  <si>
    <t>шт</t>
  </si>
  <si>
    <t>Устройство покрытия пола из кварцвинила / на клею</t>
  </si>
  <si>
    <t>Кварц-виниловая плитка / SPC VIVA Series с защитным слоем 0,3мм</t>
  </si>
  <si>
    <t xml:space="preserve">Клей полиуретановый двухкомпонентный </t>
  </si>
  <si>
    <t>Установка напольного плинтуса ПВХ</t>
  </si>
  <si>
    <t>2</t>
  </si>
  <si>
    <t>2.1</t>
  </si>
  <si>
    <t>2.2</t>
  </si>
  <si>
    <t>3</t>
  </si>
  <si>
    <t>3.1</t>
  </si>
  <si>
    <t>3.2</t>
  </si>
  <si>
    <t>4</t>
  </si>
  <si>
    <t>4.1</t>
  </si>
  <si>
    <t>4.2</t>
  </si>
  <si>
    <t xml:space="preserve">Плинтус  ПВХ 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</si>
  <si>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</si>
  <si>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</si>
  <si>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</si>
  <si>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</si>
  <si>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</si>
  <si>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Коэф.расхода</t>
  </si>
  <si>
    <t>Кол-во БО</t>
  </si>
  <si>
    <t>Общее кол-во</t>
  </si>
  <si>
    <t>1.1.2.1.1.1</t>
  </si>
  <si>
    <t>6.3.1.5.1</t>
  </si>
  <si>
    <t>Полы</t>
  </si>
  <si>
    <t>1.1.2.1.1.1.1</t>
  </si>
  <si>
    <t>6.3.1.5.1.1</t>
  </si>
  <si>
    <t xml:space="preserve">Подготовка полов под финишное покрытие </t>
  </si>
  <si>
    <t>1.1.2.1.1.1.1.1</t>
  </si>
  <si>
    <t>6.3.1.5.1.1.3.1</t>
  </si>
  <si>
    <t>Вне зависимости от способа выполнения работ механизировано или вручную.</t>
  </si>
  <si>
    <t xml:space="preserve">спорт залы, П-20 и П-21, №1.030 и 2.037 
</t>
  </si>
  <si>
    <t>1.1.2.1.1.1.1.1.1</t>
  </si>
  <si>
    <t>10 мм самовыравнивающаяся смесь</t>
  </si>
  <si>
    <t>1.1.2.1.1.1.1.1.2</t>
  </si>
  <si>
    <t>1.1.2.1.1.1.1.2</t>
  </si>
  <si>
    <t>6.3.1.5.1.1.6.3</t>
  </si>
  <si>
    <t>Устройство разделительного слоя / из пленки полиэтиленовой / в 1 слой</t>
  </si>
  <si>
    <t>спорт. зал №1.030</t>
  </si>
  <si>
    <t>1.1.2.1.1.1.1.2.1</t>
  </si>
  <si>
    <t>Пленка полиэтиленовая_/200мкр</t>
  </si>
  <si>
    <t>1.1.2.1.1.1.1.3</t>
  </si>
  <si>
    <t>пом. №1.007</t>
  </si>
  <si>
    <t>1.1.2.1.1.1.1.3.1</t>
  </si>
  <si>
    <t>1.1.2.1.1.1.1.4</t>
  </si>
  <si>
    <t>6.3.1.5.1.1.11.3</t>
  </si>
  <si>
    <t>Устройство стяжки СКБ / армированная сеткой от 41 мм до 60мм</t>
  </si>
  <si>
    <t>спорт зал №2.037 П-21</t>
  </si>
  <si>
    <t>1.1.2.1.1.1.1.4.1</t>
  </si>
  <si>
    <t>Смесь цементно-песчаная сухая_/М150</t>
  </si>
  <si>
    <t>59 мм</t>
  </si>
  <si>
    <t>1.1.2.1.1.1.1.4.2</t>
  </si>
  <si>
    <t>Сетка эл/св_/100*100*5</t>
  </si>
  <si>
    <t>1.1.2.1.1.1.1.4.3</t>
  </si>
  <si>
    <t>Лента кромочная демпферная_/8*100мм/20м</t>
  </si>
  <si>
    <t>1.1.2.1.1.1.1.4.4</t>
  </si>
  <si>
    <t>Грунтовка БЕТОН-КОНТАКТ_/</t>
  </si>
  <si>
    <t>1.1.2.1.1.1.1.5</t>
  </si>
  <si>
    <t>6.3.1.5.1.1.11.4</t>
  </si>
  <si>
    <t>Устройство стяжки СКБ / армированная сеткой от 61мм до 80мм</t>
  </si>
  <si>
    <t>спорт зал №1.030 П-20</t>
  </si>
  <si>
    <t>1.1.2.1.1.1.1.5.1</t>
  </si>
  <si>
    <t>64 мм</t>
  </si>
  <si>
    <t>1.1.2.1.1.1.1.5.2</t>
  </si>
  <si>
    <t>1.1.2.1.1.1.1.5.3</t>
  </si>
  <si>
    <t>1.1.2.1.1.1.1.6</t>
  </si>
  <si>
    <t>пом №2.058</t>
  </si>
  <si>
    <t>1.1.2.1.1.1.1.6.1</t>
  </si>
  <si>
    <t>1.1.2.1.1.1.1.6.2</t>
  </si>
  <si>
    <t>1.1.2.1.1.1.1.6.3</t>
  </si>
  <si>
    <t>1.1.2.1.1.1.1.6.4</t>
  </si>
  <si>
    <t>65 мм</t>
  </si>
  <si>
    <t>1.1.2.1.1.1.1.7</t>
  </si>
  <si>
    <t>помещ. №1.007</t>
  </si>
  <si>
    <t>1.1.2.1.1.1.1.7.1</t>
  </si>
  <si>
    <t>Смесь цементно-песчаная сухая_/М200</t>
  </si>
  <si>
    <t>65мм</t>
  </si>
  <si>
    <t>1.1.2.1.1.1.1.7.2</t>
  </si>
  <si>
    <t>1.1.2.1.1.1.1.7.3</t>
  </si>
  <si>
    <t>1.1.2.1.1.1.2</t>
  </si>
  <si>
    <t>6.3.1.5.1.2</t>
  </si>
  <si>
    <t>Гидроизоляция, тепло-звукоизоляция, утепление</t>
  </si>
  <si>
    <t>1.1.2.1.1.1.2.1</t>
  </si>
  <si>
    <t>6.3.1.5.1.2.4.1</t>
  </si>
  <si>
    <t>Устройство тепло-звукоизоляции полов / минвата / в 1 слой</t>
  </si>
  <si>
    <t>спорт зал №1.030</t>
  </si>
  <si>
    <t>1.1.2.1.1.1.2.1.1</t>
  </si>
  <si>
    <t>Герметик Вибросил / 290 мл</t>
  </si>
  <si>
    <t>1.1.2.1.1.1.2.1.2</t>
  </si>
  <si>
    <t xml:space="preserve">Мин. плита Техноакустик </t>
  </si>
  <si>
    <t>м3</t>
  </si>
  <si>
    <t>1.1.2.1.1.1.2.2</t>
  </si>
  <si>
    <t>пом.-е №1.007</t>
  </si>
  <si>
    <t>1.1.2.1.1.1.2.2.1</t>
  </si>
  <si>
    <t>1.1.2.1.1.1.2.2.2</t>
  </si>
  <si>
    <t>1.1.2.1.1.1.2.3</t>
  </si>
  <si>
    <t>6.3.1.5.1.2.4.5</t>
  </si>
  <si>
    <t>Устройство тепло-звукоизоляции полов / Рулонный материал / в 1 слой</t>
  </si>
  <si>
    <t>№2.037</t>
  </si>
  <si>
    <t>1.1.2.1.1.1.2.3.1</t>
  </si>
  <si>
    <t>Подложка 5мм Пенополиэтилен / фольга</t>
  </si>
  <si>
    <t>Звукоизоляция пола рулонная (индекс снижения ударного
шума ≥26 Дб) - 5мм</t>
  </si>
  <si>
    <t>1.1.2.1.1.1.3</t>
  </si>
  <si>
    <t>6.3.1.5.1.3</t>
  </si>
  <si>
    <t>Устройство покрытия полов</t>
  </si>
  <si>
    <t>1.1.2.1.1.1.3.1</t>
  </si>
  <si>
    <t>6.3.1.5.1.3.1.1</t>
  </si>
  <si>
    <t>Устройство покрытия пола с предварительной огрунтовкой поверхности / из керамогранитной плитки с затиркой швов</t>
  </si>
  <si>
    <t>пом.№ 2.058</t>
  </si>
  <si>
    <t>1.1.2.1.1.1.3.1.1</t>
  </si>
  <si>
    <t>Клей плиточный/ Унифицированный по ПИК-СТАНДАРТ</t>
  </si>
  <si>
    <t>5мм</t>
  </si>
  <si>
    <t>1.1.2.1.1.1.3.1.2</t>
  </si>
  <si>
    <t>Керамический гранит Kerama marazzi_ / SG166200N/напольный/ Про Матрикс / 397х397х8 мм</t>
  </si>
  <si>
    <t>прим Керамогранит Kerama Marazzi Про матрикс DD602020R\GCF
600x330х9 мм, серый светлый</t>
  </si>
  <si>
    <t>1.1.2.1.1.1.3.1.3</t>
  </si>
  <si>
    <t>Затирка Цезерит СE33_/04 серебристо-серый</t>
  </si>
  <si>
    <t>1.1.2.1.1.1.3.1.4</t>
  </si>
  <si>
    <t>Грунтовка универсальный ЛАСТИМИН_ / LP-51 А</t>
  </si>
  <si>
    <t>1.1.2.1.1.1.3.2</t>
  </si>
  <si>
    <t>КР-5
пом. галереи №2.058</t>
  </si>
  <si>
    <t>1.1.2.1.1.1.3.2.1</t>
  </si>
  <si>
    <t>1.1.2.1.1.1.3.2.2</t>
  </si>
  <si>
    <t>1.1.2.1.1.1.3.2.3</t>
  </si>
  <si>
    <t>1.1.2.1.1.1.3.2.4</t>
  </si>
  <si>
    <t>Плитка керамогранитная_ / 130х800х11 мм</t>
  </si>
  <si>
    <t>применительно Керамогранит Kerama Marazzi SG502120R 200 х800х11 мм, Фрегат медовый бежевый (не ниже КМ1)</t>
  </si>
  <si>
    <t>1.1.2.1.1.1.3.3</t>
  </si>
  <si>
    <t>помещ №1.007</t>
  </si>
  <si>
    <t>1.1.2.1.1.1.3.3.1</t>
  </si>
  <si>
    <t>1.1.2.1.1.1.3.3.2</t>
  </si>
  <si>
    <t>Керамический гранит Kerama marazzi_ / Серый светлый / SG614800R/Напольный/Королевская дорога / 600*600*11</t>
  </si>
  <si>
    <t>применительно Керамогранит Kerama Marazzi Про матрикс DD602020R 600x600 х9
мм, серый светлый, Крестик 2мм, затирка Ceresit CE33 04
Серебристо-серый</t>
  </si>
  <si>
    <t>1.1.2.1.1.1.3.3.3</t>
  </si>
  <si>
    <t>1.1.2.1.1.1.3.3.4</t>
  </si>
  <si>
    <t>1.1.2.1.1.1.3.4</t>
  </si>
  <si>
    <t>6.3.1.5.1.3.2.1</t>
  </si>
  <si>
    <t>Устройство покрытия пола из линолеума</t>
  </si>
  <si>
    <t>Включая защиту ДВП</t>
  </si>
  <si>
    <t>помещения №1.030 и №2.037 спортивные залы</t>
  </si>
  <si>
    <t>1.1.2.1.1.1.3.4.1</t>
  </si>
  <si>
    <t>Сварочный шнур для линолеума (для объектов СКБ)_ / Tarkett / Сварочный шнур для спортивного линолеума желтого для детского сада / 87298</t>
  </si>
  <si>
    <t>1.1.2.1.1.1.3.4.2</t>
  </si>
  <si>
    <t>Линолеум (для объектов СКБ)_ / 4 мм  / серый / Omnisports ACTION R40 GREY / Tarkett / - / Спортивный линолеум для школы</t>
  </si>
  <si>
    <t>1.1.2.1.1.1.3.4.3</t>
  </si>
  <si>
    <t>Клей для линолеума</t>
  </si>
  <si>
    <t>1.1.2.1.1.1.3.5</t>
  </si>
  <si>
    <t>6.3.1.5.1.3.8.1</t>
  </si>
  <si>
    <t>пом. спорт залов</t>
  </si>
  <si>
    <t>1.1.2.1.1.1.3.5.1</t>
  </si>
  <si>
    <t>1.1.2.1.1.1.3.5.2</t>
  </si>
  <si>
    <t>1.1.2.1.1.1.3.6</t>
  </si>
  <si>
    <t>6.3.1.5.1.3.10.1</t>
  </si>
  <si>
    <t>Устройство плинтуса из керамогранитной плитки с затиркой швов, с предварительной огрунтовкой поверхности</t>
  </si>
  <si>
    <t>помещ. № 2.058</t>
  </si>
  <si>
    <t>1.1.2.1.1.1.3.6.1</t>
  </si>
  <si>
    <t>Плинтус керамогранитный Дайсен SG211200R/3BT 600х95мм светло-серый</t>
  </si>
  <si>
    <t>прим. Плинтус из керамогранита Kerama Marazzi Про матрикс
DD602200R/6BT 600x95 х9 мм, цвет светло-серый, Крестик 2мм,
затирка Ceresit CE33 04 Серебристо-серый</t>
  </si>
  <si>
    <t>1.1.2.1.1.1.3.6.2</t>
  </si>
  <si>
    <t>Клей плиточный/Унифицированный по ПИК-СТАНДАРТ</t>
  </si>
  <si>
    <t>1.1.2.1.1.1.3.6.3</t>
  </si>
  <si>
    <t>1.1.2.1.1.1.3.6.4</t>
  </si>
  <si>
    <t>1.1.2.1.1.1.3.7</t>
  </si>
  <si>
    <t>1.1.2.1.1.1.3.7.1</t>
  </si>
  <si>
    <t>1.1.2.1.1.1.3.7.2</t>
  </si>
  <si>
    <t>1.1.2.1.1.1.3.7.3</t>
  </si>
  <si>
    <t>Керамический гранит Kerama marazzi_ / Светлый серый /  DD600300R, Estima LF01 UnitileVento grey PG  / 600х600х10мм</t>
  </si>
  <si>
    <t>1.1.2.1.1.1.3.7.4</t>
  </si>
  <si>
    <t>Плиточный клей_ / Унифицированный по ПИК-СТАНДАРТ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</si>
</sst>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#,##0.0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ГОСТ тип А"/>
      <family val="2"/>
      <charset val="204"/>
    </font>
    <font>
      <sz val="10"/>
      <color theme="1"/>
      <name val="ГОСТ тип А"/>
      <family val="2"/>
      <charset val="204"/>
    </font>
    <font>
      <sz val="10"/>
      <name val="ГОСТ тип А"/>
      <family val="2"/>
      <charset val="204"/>
    </font>
    <font>
      <sz val="10"/>
      <color rgb="FF000000"/>
      <name val="ГОСТ тип А"/>
      <family val="2"/>
      <charset val="204"/>
    </font>
    <font>
      <b/>
      <sz val="10"/>
      <color rgb="FF000000"/>
      <name val="ГОСТ тип А"/>
      <family val="2"/>
      <charset val="204"/>
    </font>
    <font>
      <i/>
      <sz val="10"/>
      <color rgb="FF000000"/>
      <name val="ГОСТ тип А"/>
      <family val="2"/>
      <charset val="204"/>
    </font>
    <font>
      <sz val="10"/>
      <color rgb="FF800000"/>
      <name val="ГОСТ тип А"/>
      <family val="2"/>
      <charset val="204"/>
    </font>
    <font>
      <b/>
      <sz val="10"/>
      <color rgb="FFFF0000"/>
      <name val="ГОСТ тип А"/>
      <family val="2"/>
      <charset val="204"/>
    </font>
    <font>
      <sz val="10"/>
      <color rgb="FF00B050"/>
      <name val="ГОСТ тип А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8E4BC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vertical="center"/>
    </xf>
    <xf numFmtId="2" fontId="1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2"/>
    </xf>
    <xf numFmtId="0" fontId="2" fillId="0" borderId="3" xfId="0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 indent="2"/>
    </xf>
    <xf numFmtId="2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 indent="2"/>
    </xf>
    <xf numFmtId="0" fontId="3" fillId="2" borderId="1" xfId="0" applyFont="1" applyFill="1" applyBorder="1" applyAlignment="1">
      <alignment horizontal="left" vertical="center" wrapText="1" indent="2"/>
    </xf>
    <xf numFmtId="49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right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2" fontId="2" fillId="2" borderId="6" xfId="0" applyNumberFormat="1" applyFont="1" applyFill="1" applyBorder="1" applyAlignment="1">
      <alignment horizontal="center" vertical="center"/>
    </xf>
    <xf numFmtId="0" fontId="2" fillId="0" borderId="0" xfId="0" applyFont="1"/>
    <xf numFmtId="0" fontId="4" fillId="0" borderId="14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right" vertical="center" wrapText="1"/>
    </xf>
    <xf numFmtId="0" fontId="4" fillId="0" borderId="14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6" fillId="3" borderId="14" xfId="0" applyFont="1" applyFill="1" applyBorder="1" applyAlignment="1">
      <alignment horizontal="right" vertical="center" wrapText="1"/>
    </xf>
    <xf numFmtId="165" fontId="7" fillId="0" borderId="14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B16" sqref="B16"/>
    </sheetView>
  </sheetViews>
  <sheetFormatPr defaultRowHeight="15" x14ac:dyDescent="0.25"/>
  <cols>
    <col min="1" max="1" width="7.5703125" customWidth="1"/>
    <col min="2" max="2" width="54.85546875" customWidth="1"/>
    <col min="3" max="3" width="9.140625" customWidth="1"/>
    <col min="4" max="4" width="14.5703125" customWidth="1"/>
    <col min="5" max="5" width="8.85546875" customWidth="1"/>
  </cols>
  <sheetData>
    <row r="1" spans="1:5" x14ac:dyDescent="0.25">
      <c r="A1" s="20"/>
      <c r="B1" s="21" t="s">
        <v>5</v>
      </c>
      <c r="C1" s="22"/>
      <c r="D1" s="22"/>
      <c r="E1" s="23"/>
    </row>
    <row r="2" spans="1:5" ht="18" customHeight="1" x14ac:dyDescent="0.25">
      <c r="A2" s="24" t="s">
        <v>0</v>
      </c>
      <c r="B2" s="1" t="s">
        <v>1</v>
      </c>
      <c r="C2" s="2" t="s">
        <v>2</v>
      </c>
      <c r="D2" s="2" t="s">
        <v>3</v>
      </c>
      <c r="E2" s="25" t="s">
        <v>4</v>
      </c>
    </row>
    <row r="3" spans="1:5" x14ac:dyDescent="0.25">
      <c r="A3" s="7">
        <v>1</v>
      </c>
      <c r="B3" s="8" t="s">
        <v>13</v>
      </c>
      <c r="C3" s="9" t="s">
        <v>16</v>
      </c>
      <c r="D3" s="10">
        <v>1</v>
      </c>
      <c r="E3" s="11">
        <v>2</v>
      </c>
    </row>
    <row r="4" spans="1:5" x14ac:dyDescent="0.25">
      <c r="A4" s="7" t="s">
        <v>8</v>
      </c>
      <c r="B4" s="12" t="s">
        <v>14</v>
      </c>
      <c r="C4" s="9" t="s">
        <v>16</v>
      </c>
      <c r="D4" s="10">
        <v>1.05</v>
      </c>
      <c r="E4" s="11">
        <f>E3*D4</f>
        <v>2.1</v>
      </c>
    </row>
    <row r="5" spans="1:5" x14ac:dyDescent="0.25">
      <c r="A5" s="7" t="s">
        <v>9</v>
      </c>
      <c r="B5" s="12" t="s">
        <v>15</v>
      </c>
      <c r="C5" s="9" t="s">
        <v>17</v>
      </c>
      <c r="D5" s="10">
        <v>0.09</v>
      </c>
      <c r="E5" s="11">
        <f>ROUNDUP(D5*E3, 0)</f>
        <v>1</v>
      </c>
    </row>
    <row r="6" spans="1:5" x14ac:dyDescent="0.25">
      <c r="A6" s="26"/>
      <c r="B6" s="15"/>
      <c r="C6" s="16"/>
      <c r="D6" s="17"/>
      <c r="E6" s="27"/>
    </row>
    <row r="7" spans="1:5" ht="25.5" x14ac:dyDescent="0.25">
      <c r="A7" s="7" t="s">
        <v>22</v>
      </c>
      <c r="B7" s="8" t="s">
        <v>10</v>
      </c>
      <c r="C7" s="9" t="s">
        <v>6</v>
      </c>
      <c r="D7" s="10">
        <v>1</v>
      </c>
      <c r="E7" s="11">
        <v>31.47</v>
      </c>
    </row>
    <row r="8" spans="1:5" x14ac:dyDescent="0.25">
      <c r="A8" s="7" t="s">
        <v>23</v>
      </c>
      <c r="B8" s="12" t="s">
        <v>11</v>
      </c>
      <c r="C8" s="9" t="s">
        <v>7</v>
      </c>
      <c r="D8" s="10">
        <v>1.6</v>
      </c>
      <c r="E8" s="11">
        <f>E7*D8*10</f>
        <v>503.52000000000004</v>
      </c>
    </row>
    <row r="9" spans="1:5" x14ac:dyDescent="0.25">
      <c r="A9" s="7" t="s">
        <v>24</v>
      </c>
      <c r="B9" s="12" t="s">
        <v>12</v>
      </c>
      <c r="C9" s="9" t="s">
        <v>7</v>
      </c>
      <c r="D9" s="10">
        <v>0.255</v>
      </c>
      <c r="E9" s="11">
        <f>D9*E7</f>
        <v>8.0248500000000007</v>
      </c>
    </row>
    <row r="10" spans="1:5" x14ac:dyDescent="0.25">
      <c r="A10" s="26"/>
      <c r="B10" s="15"/>
      <c r="C10" s="16"/>
      <c r="D10" s="17"/>
      <c r="E10" s="27"/>
    </row>
    <row r="11" spans="1:5" x14ac:dyDescent="0.25">
      <c r="A11" s="7" t="s">
        <v>25</v>
      </c>
      <c r="B11" s="8" t="s">
        <v>18</v>
      </c>
      <c r="C11" s="9" t="s">
        <v>6</v>
      </c>
      <c r="D11" s="10">
        <v>1</v>
      </c>
      <c r="E11" s="11">
        <v>31.47</v>
      </c>
    </row>
    <row r="12" spans="1:5" x14ac:dyDescent="0.25">
      <c r="A12" s="7" t="s">
        <v>26</v>
      </c>
      <c r="B12" s="12" t="s">
        <v>20</v>
      </c>
      <c r="C12" s="9" t="s">
        <v>17</v>
      </c>
      <c r="D12" s="10">
        <v>1</v>
      </c>
      <c r="E12" s="11">
        <f>ROUNDDOWN(E11*D12, 0)</f>
        <v>31</v>
      </c>
    </row>
    <row r="13" spans="1:5" ht="25.5" x14ac:dyDescent="0.25">
      <c r="A13" s="7" t="s">
        <v>27</v>
      </c>
      <c r="B13" s="18" t="s">
        <v>19</v>
      </c>
      <c r="C13" s="9" t="s">
        <v>6</v>
      </c>
      <c r="D13" s="10">
        <v>1.03</v>
      </c>
      <c r="E13" s="11">
        <f>D13*E11</f>
        <v>32.414099999999998</v>
      </c>
    </row>
    <row r="14" spans="1:5" x14ac:dyDescent="0.25">
      <c r="A14" s="26"/>
      <c r="B14" s="19"/>
      <c r="C14" s="16"/>
      <c r="D14" s="17"/>
      <c r="E14" s="27"/>
    </row>
    <row r="15" spans="1:5" x14ac:dyDescent="0.25">
      <c r="A15" s="7" t="s">
        <v>28</v>
      </c>
      <c r="B15" s="14" t="s">
        <v>21</v>
      </c>
      <c r="C15" s="9" t="s">
        <v>16</v>
      </c>
      <c r="D15" s="10">
        <v>1</v>
      </c>
      <c r="E15" s="11">
        <v>35.299999999999997</v>
      </c>
    </row>
    <row r="16" spans="1:5" x14ac:dyDescent="0.25">
      <c r="A16" s="7" t="s">
        <v>29</v>
      </c>
      <c r="B16" s="12" t="s">
        <v>31</v>
      </c>
      <c r="C16" s="9" t="s">
        <v>16</v>
      </c>
      <c r="D16" s="10">
        <v>1</v>
      </c>
      <c r="E16" s="11">
        <f>E15*D16</f>
        <v>35.299999999999997</v>
      </c>
    </row>
    <row r="17" spans="1:5" ht="15.75" thickBot="1" x14ac:dyDescent="0.3">
      <c r="A17" s="3" t="s">
        <v>30</v>
      </c>
      <c r="B17" s="13" t="s">
        <v>15</v>
      </c>
      <c r="C17" s="4" t="s">
        <v>17</v>
      </c>
      <c r="D17" s="5">
        <v>0.09</v>
      </c>
      <c r="E17" s="6">
        <f>ROUNDUP(D17*E15, 0)</f>
        <v>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abSelected="1" topLeftCell="B11" zoomScaleNormal="100" workbookViewId="0">
      <selection activeCell="E54" sqref="E54"/>
    </sheetView>
  </sheetViews>
  <sheetFormatPr defaultRowHeight="12.75" x14ac:dyDescent="0.2"/>
  <cols>
    <col min="1" max="1" width="12.28515625" style="28" customWidth="1"/>
    <col min="2" max="2" width="12.5703125" style="28" customWidth="1"/>
    <col min="3" max="3" width="48.5703125" style="28" customWidth="1"/>
    <col min="4" max="4" width="18.5703125" style="28" customWidth="1"/>
    <col min="5" max="5" width="34.140625" style="28" customWidth="1"/>
    <col min="6" max="16384" width="9.140625" style="28"/>
  </cols>
  <sheetData>
    <row r="1" spans="1:9" ht="24.75" customHeight="1" x14ac:dyDescent="0.2">
      <c r="A1" s="39" t="s">
        <v>32</v>
      </c>
      <c r="B1" s="39" t="s">
        <v>33</v>
      </c>
      <c r="C1" s="39" t="s">
        <v>34</v>
      </c>
      <c r="D1" s="39" t="s">
        <v>35</v>
      </c>
      <c r="E1" s="39" t="s">
        <v>36</v>
      </c>
      <c r="F1" s="39" t="s">
        <v>2</v>
      </c>
      <c r="G1" s="39" t="s">
        <v>37</v>
      </c>
      <c r="H1" s="39" t="s">
        <v>38</v>
      </c>
      <c r="I1" s="39" t="s">
        <v>39</v>
      </c>
    </row>
    <row r="2" spans="1:9" x14ac:dyDescent="0.2">
      <c r="A2" s="29" t="s">
        <v>40</v>
      </c>
      <c r="B2" s="29" t="s">
        <v>41</v>
      </c>
      <c r="C2" s="40" t="s">
        <v>42</v>
      </c>
      <c r="D2" s="41"/>
      <c r="E2" s="41"/>
      <c r="F2" s="41"/>
      <c r="G2" s="41"/>
      <c r="H2" s="41"/>
      <c r="I2" s="42"/>
    </row>
    <row r="3" spans="1:9" x14ac:dyDescent="0.2">
      <c r="A3" s="29" t="s">
        <v>43</v>
      </c>
      <c r="B3" s="29" t="s">
        <v>44</v>
      </c>
      <c r="C3" s="40" t="s">
        <v>45</v>
      </c>
      <c r="D3" s="41"/>
      <c r="E3" s="41"/>
      <c r="F3" s="41"/>
      <c r="G3" s="41"/>
      <c r="H3" s="41"/>
      <c r="I3" s="42"/>
    </row>
    <row r="4" spans="1:9" ht="63.75" x14ac:dyDescent="0.2">
      <c r="A4" s="29" t="s">
        <v>46</v>
      </c>
      <c r="B4" s="29" t="s">
        <v>47</v>
      </c>
      <c r="C4" s="30" t="s">
        <v>10</v>
      </c>
      <c r="D4" s="31" t="s">
        <v>48</v>
      </c>
      <c r="E4" s="31" t="s">
        <v>49</v>
      </c>
      <c r="F4" s="31" t="s">
        <v>6</v>
      </c>
      <c r="G4" s="32">
        <v>1</v>
      </c>
      <c r="H4" s="32"/>
      <c r="I4" s="32">
        <v>900.7</v>
      </c>
    </row>
    <row r="5" spans="1:9" x14ac:dyDescent="0.2">
      <c r="A5" s="29" t="s">
        <v>50</v>
      </c>
      <c r="B5" s="29"/>
      <c r="C5" s="36" t="s">
        <v>11</v>
      </c>
      <c r="D5" s="31"/>
      <c r="E5" s="31" t="s">
        <v>51</v>
      </c>
      <c r="F5" s="34" t="s">
        <v>7</v>
      </c>
      <c r="G5" s="35">
        <v>1.6</v>
      </c>
      <c r="H5" s="37"/>
      <c r="I5" s="37">
        <v>14411.2</v>
      </c>
    </row>
    <row r="6" spans="1:9" ht="25.5" x14ac:dyDescent="0.2">
      <c r="A6" s="29" t="s">
        <v>52</v>
      </c>
      <c r="B6" s="29"/>
      <c r="C6" s="33" t="s">
        <v>12</v>
      </c>
      <c r="D6" s="31"/>
      <c r="E6" s="31"/>
      <c r="F6" s="34" t="s">
        <v>7</v>
      </c>
      <c r="G6" s="35">
        <v>0.255</v>
      </c>
      <c r="H6" s="37"/>
      <c r="I6" s="37">
        <v>229.679</v>
      </c>
    </row>
    <row r="7" spans="1:9" ht="25.5" x14ac:dyDescent="0.2">
      <c r="A7" s="29" t="s">
        <v>53</v>
      </c>
      <c r="B7" s="29" t="s">
        <v>54</v>
      </c>
      <c r="C7" s="30" t="s">
        <v>55</v>
      </c>
      <c r="D7" s="31"/>
      <c r="E7" s="31" t="s">
        <v>56</v>
      </c>
      <c r="F7" s="31" t="s">
        <v>6</v>
      </c>
      <c r="G7" s="32">
        <v>1</v>
      </c>
      <c r="H7" s="32"/>
      <c r="I7" s="32">
        <v>362.4</v>
      </c>
    </row>
    <row r="8" spans="1:9" x14ac:dyDescent="0.2">
      <c r="A8" s="29" t="s">
        <v>57</v>
      </c>
      <c r="B8" s="29"/>
      <c r="C8" s="33" t="s">
        <v>58</v>
      </c>
      <c r="D8" s="31"/>
      <c r="E8" s="31"/>
      <c r="F8" s="34" t="s">
        <v>6</v>
      </c>
      <c r="G8" s="35">
        <v>1.1000000000000001</v>
      </c>
      <c r="H8" s="35"/>
      <c r="I8" s="35">
        <v>398.64</v>
      </c>
    </row>
    <row r="9" spans="1:9" ht="25.5" x14ac:dyDescent="0.2">
      <c r="A9" s="29" t="s">
        <v>59</v>
      </c>
      <c r="B9" s="29" t="s">
        <v>54</v>
      </c>
      <c r="C9" s="30" t="s">
        <v>55</v>
      </c>
      <c r="D9" s="31"/>
      <c r="E9" s="31" t="s">
        <v>60</v>
      </c>
      <c r="F9" s="31" t="s">
        <v>6</v>
      </c>
      <c r="G9" s="32">
        <v>1</v>
      </c>
      <c r="H9" s="32"/>
      <c r="I9" s="32">
        <v>148.1</v>
      </c>
    </row>
    <row r="10" spans="1:9" x14ac:dyDescent="0.2">
      <c r="A10" s="29" t="s">
        <v>61</v>
      </c>
      <c r="B10" s="29"/>
      <c r="C10" s="33" t="s">
        <v>58</v>
      </c>
      <c r="D10" s="31"/>
      <c r="E10" s="31"/>
      <c r="F10" s="34" t="s">
        <v>6</v>
      </c>
      <c r="G10" s="35">
        <v>1.1000000000000001</v>
      </c>
      <c r="H10" s="35"/>
      <c r="I10" s="35">
        <v>162.91</v>
      </c>
    </row>
    <row r="11" spans="1:9" ht="25.5" x14ac:dyDescent="0.2">
      <c r="A11" s="29" t="s">
        <v>62</v>
      </c>
      <c r="B11" s="29" t="s">
        <v>63</v>
      </c>
      <c r="C11" s="30" t="s">
        <v>64</v>
      </c>
      <c r="D11" s="31"/>
      <c r="E11" s="31" t="s">
        <v>65</v>
      </c>
      <c r="F11" s="31" t="s">
        <v>6</v>
      </c>
      <c r="G11" s="32">
        <v>1</v>
      </c>
      <c r="H11" s="32"/>
      <c r="I11" s="32">
        <v>538.29999999999995</v>
      </c>
    </row>
    <row r="12" spans="1:9" x14ac:dyDescent="0.2">
      <c r="A12" s="29" t="s">
        <v>66</v>
      </c>
      <c r="B12" s="29"/>
      <c r="C12" s="33" t="s">
        <v>67</v>
      </c>
      <c r="D12" s="31"/>
      <c r="E12" s="31" t="s">
        <v>68</v>
      </c>
      <c r="F12" s="34" t="s">
        <v>7</v>
      </c>
      <c r="G12" s="35">
        <v>1.8</v>
      </c>
      <c r="H12" s="37"/>
      <c r="I12" s="37">
        <v>57167.46</v>
      </c>
    </row>
    <row r="13" spans="1:9" x14ac:dyDescent="0.2">
      <c r="A13" s="29" t="s">
        <v>69</v>
      </c>
      <c r="B13" s="29"/>
      <c r="C13" s="33" t="s">
        <v>70</v>
      </c>
      <c r="D13" s="31"/>
      <c r="E13" s="31"/>
      <c r="F13" s="34" t="s">
        <v>6</v>
      </c>
      <c r="G13" s="35">
        <v>1.1000000000000001</v>
      </c>
      <c r="H13" s="37"/>
      <c r="I13" s="37">
        <v>592.13</v>
      </c>
    </row>
    <row r="14" spans="1:9" x14ac:dyDescent="0.2">
      <c r="A14" s="29" t="s">
        <v>71</v>
      </c>
      <c r="B14" s="29"/>
      <c r="C14" s="33" t="s">
        <v>72</v>
      </c>
      <c r="D14" s="31"/>
      <c r="E14" s="31"/>
      <c r="F14" s="34" t="s">
        <v>16</v>
      </c>
      <c r="G14" s="35">
        <v>1</v>
      </c>
      <c r="H14" s="37"/>
      <c r="I14" s="37">
        <v>538.29999999999995</v>
      </c>
    </row>
    <row r="15" spans="1:9" x14ac:dyDescent="0.2">
      <c r="A15" s="29" t="s">
        <v>73</v>
      </c>
      <c r="B15" s="29"/>
      <c r="C15" s="33" t="s">
        <v>74</v>
      </c>
      <c r="D15" s="31"/>
      <c r="E15" s="31"/>
      <c r="F15" s="34" t="s">
        <v>7</v>
      </c>
      <c r="G15" s="35">
        <v>0.255</v>
      </c>
      <c r="H15" s="35"/>
      <c r="I15" s="35">
        <v>137.267</v>
      </c>
    </row>
    <row r="16" spans="1:9" ht="25.5" x14ac:dyDescent="0.2">
      <c r="A16" s="29" t="s">
        <v>75</v>
      </c>
      <c r="B16" s="29" t="s">
        <v>76</v>
      </c>
      <c r="C16" s="30" t="s">
        <v>77</v>
      </c>
      <c r="D16" s="31"/>
      <c r="E16" s="31" t="s">
        <v>78</v>
      </c>
      <c r="F16" s="31" t="s">
        <v>6</v>
      </c>
      <c r="G16" s="32">
        <v>1</v>
      </c>
      <c r="H16" s="32"/>
      <c r="I16" s="32">
        <v>362.4</v>
      </c>
    </row>
    <row r="17" spans="1:9" x14ac:dyDescent="0.2">
      <c r="A17" s="29" t="s">
        <v>79</v>
      </c>
      <c r="B17" s="29"/>
      <c r="C17" s="33" t="s">
        <v>67</v>
      </c>
      <c r="D17" s="31"/>
      <c r="E17" s="31" t="s">
        <v>80</v>
      </c>
      <c r="F17" s="34" t="s">
        <v>7</v>
      </c>
      <c r="G17" s="35">
        <v>1.8</v>
      </c>
      <c r="H17" s="37"/>
      <c r="I17" s="37">
        <v>41748.480000000003</v>
      </c>
    </row>
    <row r="18" spans="1:9" x14ac:dyDescent="0.2">
      <c r="A18" s="29" t="s">
        <v>81</v>
      </c>
      <c r="B18" s="29"/>
      <c r="C18" s="33" t="s">
        <v>70</v>
      </c>
      <c r="D18" s="31"/>
      <c r="E18" s="31"/>
      <c r="F18" s="34" t="s">
        <v>6</v>
      </c>
      <c r="G18" s="35">
        <v>1.1000000000000001</v>
      </c>
      <c r="H18" s="37"/>
      <c r="I18" s="37">
        <v>398.64</v>
      </c>
    </row>
    <row r="19" spans="1:9" x14ac:dyDescent="0.2">
      <c r="A19" s="29" t="s">
        <v>82</v>
      </c>
      <c r="B19" s="29"/>
      <c r="C19" s="33" t="s">
        <v>72</v>
      </c>
      <c r="D19" s="31"/>
      <c r="E19" s="31"/>
      <c r="F19" s="34" t="s">
        <v>16</v>
      </c>
      <c r="G19" s="35">
        <v>1</v>
      </c>
      <c r="H19" s="37"/>
      <c r="I19" s="37">
        <v>362.4</v>
      </c>
    </row>
    <row r="20" spans="1:9" ht="25.5" x14ac:dyDescent="0.2">
      <c r="A20" s="29" t="s">
        <v>83</v>
      </c>
      <c r="B20" s="29" t="s">
        <v>76</v>
      </c>
      <c r="C20" s="30" t="s">
        <v>77</v>
      </c>
      <c r="D20" s="31"/>
      <c r="E20" s="31" t="s">
        <v>84</v>
      </c>
      <c r="F20" s="31" t="s">
        <v>6</v>
      </c>
      <c r="G20" s="32">
        <v>1</v>
      </c>
      <c r="H20" s="32"/>
      <c r="I20" s="32">
        <v>75.400000000000006</v>
      </c>
    </row>
    <row r="21" spans="1:9" x14ac:dyDescent="0.2">
      <c r="A21" s="29" t="s">
        <v>85</v>
      </c>
      <c r="B21" s="29"/>
      <c r="C21" s="33" t="s">
        <v>74</v>
      </c>
      <c r="D21" s="31"/>
      <c r="E21" s="31"/>
      <c r="F21" s="34" t="s">
        <v>7</v>
      </c>
      <c r="G21" s="35">
        <v>0.255</v>
      </c>
      <c r="H21" s="35"/>
      <c r="I21" s="35">
        <v>19.227</v>
      </c>
    </row>
    <row r="22" spans="1:9" x14ac:dyDescent="0.2">
      <c r="A22" s="29" t="s">
        <v>86</v>
      </c>
      <c r="B22" s="29"/>
      <c r="C22" s="33" t="s">
        <v>72</v>
      </c>
      <c r="D22" s="31"/>
      <c r="E22" s="31"/>
      <c r="F22" s="34" t="s">
        <v>16</v>
      </c>
      <c r="G22" s="35">
        <v>1</v>
      </c>
      <c r="H22" s="37"/>
      <c r="I22" s="37">
        <v>75.400000000000006</v>
      </c>
    </row>
    <row r="23" spans="1:9" x14ac:dyDescent="0.2">
      <c r="A23" s="29" t="s">
        <v>87</v>
      </c>
      <c r="B23" s="29"/>
      <c r="C23" s="33" t="s">
        <v>70</v>
      </c>
      <c r="D23" s="31"/>
      <c r="E23" s="31"/>
      <c r="F23" s="34" t="s">
        <v>6</v>
      </c>
      <c r="G23" s="35">
        <v>1.1000000000000001</v>
      </c>
      <c r="H23" s="37"/>
      <c r="I23" s="37">
        <v>82.94</v>
      </c>
    </row>
    <row r="24" spans="1:9" x14ac:dyDescent="0.2">
      <c r="A24" s="29" t="s">
        <v>88</v>
      </c>
      <c r="B24" s="29"/>
      <c r="C24" s="33" t="s">
        <v>67</v>
      </c>
      <c r="D24" s="31"/>
      <c r="E24" s="31" t="s">
        <v>89</v>
      </c>
      <c r="F24" s="34" t="s">
        <v>7</v>
      </c>
      <c r="G24" s="35">
        <v>1.8</v>
      </c>
      <c r="H24" s="37"/>
      <c r="I24" s="37">
        <v>8821.7999999999993</v>
      </c>
    </row>
    <row r="25" spans="1:9" ht="25.5" x14ac:dyDescent="0.2">
      <c r="A25" s="29" t="s">
        <v>90</v>
      </c>
      <c r="B25" s="29" t="s">
        <v>76</v>
      </c>
      <c r="C25" s="30" t="s">
        <v>77</v>
      </c>
      <c r="D25" s="31"/>
      <c r="E25" s="31" t="s">
        <v>91</v>
      </c>
      <c r="F25" s="31" t="s">
        <v>6</v>
      </c>
      <c r="G25" s="32">
        <v>1</v>
      </c>
      <c r="H25" s="32"/>
      <c r="I25" s="32">
        <v>148.1</v>
      </c>
    </row>
    <row r="26" spans="1:9" x14ac:dyDescent="0.2">
      <c r="A26" s="29" t="s">
        <v>92</v>
      </c>
      <c r="B26" s="29"/>
      <c r="C26" s="33" t="s">
        <v>93</v>
      </c>
      <c r="D26" s="31"/>
      <c r="E26" s="31" t="s">
        <v>94</v>
      </c>
      <c r="F26" s="34" t="s">
        <v>7</v>
      </c>
      <c r="G26" s="35">
        <v>1.8</v>
      </c>
      <c r="H26" s="37"/>
      <c r="I26" s="37">
        <v>17327.7</v>
      </c>
    </row>
    <row r="27" spans="1:9" x14ac:dyDescent="0.2">
      <c r="A27" s="29" t="s">
        <v>95</v>
      </c>
      <c r="B27" s="29"/>
      <c r="C27" s="33" t="s">
        <v>70</v>
      </c>
      <c r="D27" s="31"/>
      <c r="E27" s="31"/>
      <c r="F27" s="34" t="s">
        <v>6</v>
      </c>
      <c r="G27" s="35">
        <v>1.1000000000000001</v>
      </c>
      <c r="H27" s="37"/>
      <c r="I27" s="37">
        <v>162.91</v>
      </c>
    </row>
    <row r="28" spans="1:9" x14ac:dyDescent="0.2">
      <c r="A28" s="29" t="s">
        <v>96</v>
      </c>
      <c r="B28" s="29"/>
      <c r="C28" s="33" t="s">
        <v>72</v>
      </c>
      <c r="D28" s="31"/>
      <c r="E28" s="31"/>
      <c r="F28" s="34" t="s">
        <v>16</v>
      </c>
      <c r="G28" s="35">
        <v>1</v>
      </c>
      <c r="H28" s="37"/>
      <c r="I28" s="37">
        <v>148.1</v>
      </c>
    </row>
    <row r="29" spans="1:9" x14ac:dyDescent="0.2">
      <c r="A29" s="29" t="s">
        <v>97</v>
      </c>
      <c r="B29" s="29" t="s">
        <v>98</v>
      </c>
      <c r="C29" s="40" t="s">
        <v>99</v>
      </c>
      <c r="D29" s="41"/>
      <c r="E29" s="41"/>
      <c r="F29" s="41"/>
      <c r="G29" s="41"/>
      <c r="H29" s="41"/>
      <c r="I29" s="42"/>
    </row>
    <row r="30" spans="1:9" ht="25.5" x14ac:dyDescent="0.2">
      <c r="A30" s="29" t="s">
        <v>100</v>
      </c>
      <c r="B30" s="29" t="s">
        <v>101</v>
      </c>
      <c r="C30" s="30" t="s">
        <v>102</v>
      </c>
      <c r="D30" s="31"/>
      <c r="E30" s="31" t="s">
        <v>103</v>
      </c>
      <c r="F30" s="31" t="s">
        <v>6</v>
      </c>
      <c r="G30" s="32">
        <v>1</v>
      </c>
      <c r="H30" s="32"/>
      <c r="I30" s="32">
        <v>362.4</v>
      </c>
    </row>
    <row r="31" spans="1:9" x14ac:dyDescent="0.2">
      <c r="A31" s="29" t="s">
        <v>104</v>
      </c>
      <c r="B31" s="29"/>
      <c r="C31" s="33" t="s">
        <v>105</v>
      </c>
      <c r="D31" s="31"/>
      <c r="E31" s="31"/>
      <c r="F31" s="34" t="s">
        <v>17</v>
      </c>
      <c r="G31" s="35">
        <v>0.1</v>
      </c>
      <c r="H31" s="37"/>
      <c r="I31" s="37">
        <v>36.24</v>
      </c>
    </row>
    <row r="32" spans="1:9" x14ac:dyDescent="0.2">
      <c r="A32" s="29" t="s">
        <v>106</v>
      </c>
      <c r="B32" s="29"/>
      <c r="C32" s="36" t="s">
        <v>107</v>
      </c>
      <c r="D32" s="31"/>
      <c r="E32" s="31"/>
      <c r="F32" s="34" t="s">
        <v>108</v>
      </c>
      <c r="G32" s="35">
        <v>1.03</v>
      </c>
      <c r="H32" s="37"/>
      <c r="I32" s="37">
        <v>373.27199999999999</v>
      </c>
    </row>
    <row r="33" spans="1:9" ht="25.5" x14ac:dyDescent="0.2">
      <c r="A33" s="29" t="s">
        <v>109</v>
      </c>
      <c r="B33" s="29" t="s">
        <v>101</v>
      </c>
      <c r="C33" s="30" t="s">
        <v>102</v>
      </c>
      <c r="D33" s="31"/>
      <c r="E33" s="31" t="s">
        <v>110</v>
      </c>
      <c r="F33" s="31" t="s">
        <v>6</v>
      </c>
      <c r="G33" s="32">
        <v>1</v>
      </c>
      <c r="H33" s="32"/>
      <c r="I33" s="32">
        <v>148.1</v>
      </c>
    </row>
    <row r="34" spans="1:9" x14ac:dyDescent="0.2">
      <c r="A34" s="29" t="s">
        <v>111</v>
      </c>
      <c r="B34" s="29"/>
      <c r="C34" s="36" t="s">
        <v>107</v>
      </c>
      <c r="D34" s="31"/>
      <c r="E34" s="31"/>
      <c r="F34" s="34" t="s">
        <v>108</v>
      </c>
      <c r="G34" s="35">
        <v>1.03</v>
      </c>
      <c r="H34" s="37"/>
      <c r="I34" s="37">
        <v>152.54300000000001</v>
      </c>
    </row>
    <row r="35" spans="1:9" x14ac:dyDescent="0.2">
      <c r="A35" s="29" t="s">
        <v>112</v>
      </c>
      <c r="B35" s="29"/>
      <c r="C35" s="33" t="s">
        <v>105</v>
      </c>
      <c r="D35" s="31"/>
      <c r="E35" s="31"/>
      <c r="F35" s="34" t="s">
        <v>17</v>
      </c>
      <c r="G35" s="35">
        <v>0.1</v>
      </c>
      <c r="H35" s="37"/>
      <c r="I35" s="37">
        <v>14.81</v>
      </c>
    </row>
    <row r="36" spans="1:9" ht="25.5" x14ac:dyDescent="0.2">
      <c r="A36" s="29" t="s">
        <v>113</v>
      </c>
      <c r="B36" s="29" t="s">
        <v>114</v>
      </c>
      <c r="C36" s="30" t="s">
        <v>115</v>
      </c>
      <c r="D36" s="31"/>
      <c r="E36" s="31" t="s">
        <v>116</v>
      </c>
      <c r="F36" s="31" t="s">
        <v>6</v>
      </c>
      <c r="G36" s="32">
        <v>1</v>
      </c>
      <c r="H36" s="32"/>
      <c r="I36" s="32">
        <v>538.29999999999995</v>
      </c>
    </row>
    <row r="37" spans="1:9" ht="38.25" x14ac:dyDescent="0.2">
      <c r="A37" s="29" t="s">
        <v>117</v>
      </c>
      <c r="B37" s="29"/>
      <c r="C37" s="33" t="s">
        <v>118</v>
      </c>
      <c r="D37" s="31"/>
      <c r="E37" s="31" t="s">
        <v>119</v>
      </c>
      <c r="F37" s="34" t="s">
        <v>6</v>
      </c>
      <c r="G37" s="35">
        <v>1.03</v>
      </c>
      <c r="H37" s="35"/>
      <c r="I37" s="35">
        <v>554.44899999999996</v>
      </c>
    </row>
    <row r="38" spans="1:9" x14ac:dyDescent="0.2">
      <c r="A38" s="29" t="s">
        <v>120</v>
      </c>
      <c r="B38" s="29" t="s">
        <v>121</v>
      </c>
      <c r="C38" s="40" t="s">
        <v>122</v>
      </c>
      <c r="D38" s="41"/>
      <c r="E38" s="41"/>
      <c r="F38" s="41"/>
      <c r="G38" s="41"/>
      <c r="H38" s="41"/>
      <c r="I38" s="42"/>
    </row>
    <row r="39" spans="1:9" ht="38.25" x14ac:dyDescent="0.2">
      <c r="A39" s="29" t="s">
        <v>123</v>
      </c>
      <c r="B39" s="29" t="s">
        <v>124</v>
      </c>
      <c r="C39" s="30" t="s">
        <v>125</v>
      </c>
      <c r="D39" s="31"/>
      <c r="E39" s="31" t="s">
        <v>126</v>
      </c>
      <c r="F39" s="31" t="s">
        <v>6</v>
      </c>
      <c r="G39" s="32">
        <v>1</v>
      </c>
      <c r="H39" s="32"/>
      <c r="I39" s="32">
        <v>21.4</v>
      </c>
    </row>
    <row r="40" spans="1:9" x14ac:dyDescent="0.2">
      <c r="A40" s="29" t="s">
        <v>127</v>
      </c>
      <c r="B40" s="29"/>
      <c r="C40" s="36" t="s">
        <v>128</v>
      </c>
      <c r="D40" s="31"/>
      <c r="E40" s="31" t="s">
        <v>129</v>
      </c>
      <c r="F40" s="34" t="s">
        <v>7</v>
      </c>
      <c r="G40" s="35">
        <v>1.2</v>
      </c>
      <c r="H40" s="37"/>
      <c r="I40" s="37">
        <v>128.4</v>
      </c>
    </row>
    <row r="41" spans="1:9" ht="38.25" x14ac:dyDescent="0.2">
      <c r="A41" s="29" t="s">
        <v>130</v>
      </c>
      <c r="B41" s="29"/>
      <c r="C41" s="36" t="s">
        <v>131</v>
      </c>
      <c r="D41" s="31"/>
      <c r="E41" s="31" t="s">
        <v>132</v>
      </c>
      <c r="F41" s="34" t="s">
        <v>6</v>
      </c>
      <c r="G41" s="35">
        <v>1.07</v>
      </c>
      <c r="H41" s="37"/>
      <c r="I41" s="37">
        <v>22.898</v>
      </c>
    </row>
    <row r="42" spans="1:9" x14ac:dyDescent="0.2">
      <c r="A42" s="29" t="s">
        <v>133</v>
      </c>
      <c r="B42" s="29"/>
      <c r="C42" s="33" t="s">
        <v>134</v>
      </c>
      <c r="D42" s="31"/>
      <c r="E42" s="31"/>
      <c r="F42" s="34" t="s">
        <v>7</v>
      </c>
      <c r="G42" s="35">
        <v>0.25</v>
      </c>
      <c r="H42" s="37"/>
      <c r="I42" s="37">
        <v>19.024999999999999</v>
      </c>
    </row>
    <row r="43" spans="1:9" x14ac:dyDescent="0.2">
      <c r="A43" s="29" t="s">
        <v>135</v>
      </c>
      <c r="B43" s="29"/>
      <c r="C43" s="33" t="s">
        <v>136</v>
      </c>
      <c r="D43" s="31"/>
      <c r="E43" s="31"/>
      <c r="F43" s="34" t="s">
        <v>7</v>
      </c>
      <c r="G43" s="35">
        <v>0.15</v>
      </c>
      <c r="H43" s="35"/>
      <c r="I43" s="35">
        <v>3.21</v>
      </c>
    </row>
    <row r="44" spans="1:9" ht="38.25" x14ac:dyDescent="0.2">
      <c r="A44" s="29" t="s">
        <v>137</v>
      </c>
      <c r="B44" s="29" t="s">
        <v>124</v>
      </c>
      <c r="C44" s="30" t="s">
        <v>125</v>
      </c>
      <c r="D44" s="31"/>
      <c r="E44" s="31" t="s">
        <v>138</v>
      </c>
      <c r="F44" s="31" t="s">
        <v>6</v>
      </c>
      <c r="G44" s="32">
        <v>1</v>
      </c>
      <c r="H44" s="32"/>
      <c r="I44" s="32">
        <v>54</v>
      </c>
    </row>
    <row r="45" spans="1:9" x14ac:dyDescent="0.2">
      <c r="A45" s="29" t="s">
        <v>139</v>
      </c>
      <c r="B45" s="29"/>
      <c r="C45" s="33" t="s">
        <v>136</v>
      </c>
      <c r="D45" s="31"/>
      <c r="E45" s="31"/>
      <c r="F45" s="34" t="s">
        <v>7</v>
      </c>
      <c r="G45" s="35">
        <v>0.15</v>
      </c>
      <c r="H45" s="35"/>
      <c r="I45" s="35">
        <v>8.1</v>
      </c>
    </row>
    <row r="46" spans="1:9" x14ac:dyDescent="0.2">
      <c r="A46" s="29" t="s">
        <v>140</v>
      </c>
      <c r="B46" s="29"/>
      <c r="C46" s="33" t="s">
        <v>134</v>
      </c>
      <c r="D46" s="31"/>
      <c r="E46" s="31"/>
      <c r="F46" s="34" t="s">
        <v>7</v>
      </c>
      <c r="G46" s="35">
        <v>0.25</v>
      </c>
      <c r="H46" s="37"/>
      <c r="I46" s="37">
        <v>13.5</v>
      </c>
    </row>
    <row r="47" spans="1:9" x14ac:dyDescent="0.2">
      <c r="A47" s="29" t="s">
        <v>141</v>
      </c>
      <c r="B47" s="29"/>
      <c r="C47" s="36" t="s">
        <v>128</v>
      </c>
      <c r="D47" s="31"/>
      <c r="E47" s="31"/>
      <c r="F47" s="34" t="s">
        <v>7</v>
      </c>
      <c r="G47" s="35">
        <v>1.2</v>
      </c>
      <c r="H47" s="37"/>
      <c r="I47" s="37">
        <v>324</v>
      </c>
    </row>
    <row r="48" spans="1:9" ht="38.25" x14ac:dyDescent="0.2">
      <c r="A48" s="29" t="s">
        <v>142</v>
      </c>
      <c r="B48" s="29"/>
      <c r="C48" s="33" t="s">
        <v>143</v>
      </c>
      <c r="D48" s="31"/>
      <c r="E48" s="31" t="s">
        <v>144</v>
      </c>
      <c r="F48" s="34" t="s">
        <v>6</v>
      </c>
      <c r="G48" s="35">
        <v>1.07</v>
      </c>
      <c r="H48" s="37"/>
      <c r="I48" s="37">
        <v>57.78</v>
      </c>
    </row>
    <row r="49" spans="1:9" ht="38.25" x14ac:dyDescent="0.2">
      <c r="A49" s="29" t="s">
        <v>145</v>
      </c>
      <c r="B49" s="29" t="s">
        <v>124</v>
      </c>
      <c r="C49" s="30" t="s">
        <v>125</v>
      </c>
      <c r="D49" s="31"/>
      <c r="E49" s="31" t="s">
        <v>146</v>
      </c>
      <c r="F49" s="31" t="s">
        <v>6</v>
      </c>
      <c r="G49" s="32">
        <v>1</v>
      </c>
      <c r="H49" s="32"/>
      <c r="I49" s="32">
        <v>148.1</v>
      </c>
    </row>
    <row r="50" spans="1:9" x14ac:dyDescent="0.2">
      <c r="A50" s="29" t="s">
        <v>147</v>
      </c>
      <c r="B50" s="29"/>
      <c r="C50" s="36" t="s">
        <v>128</v>
      </c>
      <c r="D50" s="31"/>
      <c r="E50" s="31" t="s">
        <v>129</v>
      </c>
      <c r="F50" s="34" t="s">
        <v>7</v>
      </c>
      <c r="G50" s="35">
        <v>1.2</v>
      </c>
      <c r="H50" s="37"/>
      <c r="I50" s="37">
        <v>888.6</v>
      </c>
    </row>
    <row r="51" spans="1:9" ht="76.5" x14ac:dyDescent="0.2">
      <c r="A51" s="29" t="s">
        <v>148</v>
      </c>
      <c r="B51" s="29"/>
      <c r="C51" s="33" t="s">
        <v>149</v>
      </c>
      <c r="D51" s="31"/>
      <c r="E51" s="31" t="s">
        <v>150</v>
      </c>
      <c r="F51" s="34" t="s">
        <v>6</v>
      </c>
      <c r="G51" s="35">
        <v>1.07</v>
      </c>
      <c r="H51" s="37"/>
      <c r="I51" s="37">
        <v>158.46700000000001</v>
      </c>
    </row>
    <row r="52" spans="1:9" x14ac:dyDescent="0.2">
      <c r="A52" s="29" t="s">
        <v>151</v>
      </c>
      <c r="B52" s="29"/>
      <c r="C52" s="33" t="s">
        <v>134</v>
      </c>
      <c r="D52" s="31"/>
      <c r="E52" s="31"/>
      <c r="F52" s="34" t="s">
        <v>7</v>
      </c>
      <c r="G52" s="35">
        <v>0.25</v>
      </c>
      <c r="H52" s="37"/>
      <c r="I52" s="37">
        <v>37.024999999999999</v>
      </c>
    </row>
    <row r="53" spans="1:9" x14ac:dyDescent="0.2">
      <c r="A53" s="29" t="s">
        <v>152</v>
      </c>
      <c r="B53" s="29"/>
      <c r="C53" s="33" t="s">
        <v>136</v>
      </c>
      <c r="D53" s="31"/>
      <c r="E53" s="31"/>
      <c r="F53" s="34" t="s">
        <v>7</v>
      </c>
      <c r="G53" s="35">
        <v>0.15</v>
      </c>
      <c r="H53" s="35"/>
      <c r="I53" s="35">
        <v>22.215</v>
      </c>
    </row>
    <row r="54" spans="1:9" ht="25.5" x14ac:dyDescent="0.2">
      <c r="A54" s="29" t="s">
        <v>153</v>
      </c>
      <c r="B54" s="29" t="s">
        <v>154</v>
      </c>
      <c r="C54" s="30" t="s">
        <v>155</v>
      </c>
      <c r="D54" s="31" t="s">
        <v>156</v>
      </c>
      <c r="E54" s="43" t="s">
        <v>157</v>
      </c>
      <c r="F54" s="31" t="s">
        <v>6</v>
      </c>
      <c r="G54" s="32">
        <v>1</v>
      </c>
      <c r="H54" s="32"/>
      <c r="I54" s="32">
        <v>900.7</v>
      </c>
    </row>
    <row r="55" spans="1:9" ht="38.25" x14ac:dyDescent="0.2">
      <c r="A55" s="29" t="s">
        <v>158</v>
      </c>
      <c r="B55" s="29"/>
      <c r="C55" s="33" t="s">
        <v>159</v>
      </c>
      <c r="D55" s="31"/>
      <c r="E55" s="31"/>
      <c r="F55" s="34" t="s">
        <v>16</v>
      </c>
      <c r="G55" s="35">
        <v>1</v>
      </c>
      <c r="H55" s="37"/>
      <c r="I55" s="37">
        <v>900.7</v>
      </c>
    </row>
    <row r="56" spans="1:9" ht="38.25" x14ac:dyDescent="0.2">
      <c r="A56" s="29" t="s">
        <v>160</v>
      </c>
      <c r="B56" s="29"/>
      <c r="C56" s="33" t="s">
        <v>161</v>
      </c>
      <c r="D56" s="31"/>
      <c r="E56" s="31"/>
      <c r="F56" s="34" t="s">
        <v>6</v>
      </c>
      <c r="G56" s="35">
        <v>1.1000000000000001</v>
      </c>
      <c r="H56" s="37"/>
      <c r="I56" s="37">
        <v>990.77</v>
      </c>
    </row>
    <row r="57" spans="1:9" x14ac:dyDescent="0.2">
      <c r="A57" s="29" t="s">
        <v>162</v>
      </c>
      <c r="B57" s="29"/>
      <c r="C57" s="33" t="s">
        <v>163</v>
      </c>
      <c r="D57" s="31"/>
      <c r="E57" s="31"/>
      <c r="F57" s="34" t="s">
        <v>7</v>
      </c>
      <c r="G57" s="35">
        <v>0.3</v>
      </c>
      <c r="H57" s="35"/>
      <c r="I57" s="35">
        <v>270.20999999999998</v>
      </c>
    </row>
    <row r="58" spans="1:9" x14ac:dyDescent="0.2">
      <c r="A58" s="29" t="s">
        <v>164</v>
      </c>
      <c r="B58" s="29" t="s">
        <v>165</v>
      </c>
      <c r="C58" s="30" t="s">
        <v>13</v>
      </c>
      <c r="D58" s="31"/>
      <c r="E58" s="31" t="s">
        <v>166</v>
      </c>
      <c r="F58" s="31" t="s">
        <v>16</v>
      </c>
      <c r="G58" s="32">
        <v>1</v>
      </c>
      <c r="H58" s="32"/>
      <c r="I58" s="32">
        <v>900.7</v>
      </c>
    </row>
    <row r="59" spans="1:9" ht="25.5" x14ac:dyDescent="0.2">
      <c r="A59" s="29" t="s">
        <v>167</v>
      </c>
      <c r="B59" s="29"/>
      <c r="C59" s="33" t="s">
        <v>14</v>
      </c>
      <c r="D59" s="31"/>
      <c r="E59" s="31"/>
      <c r="F59" s="34" t="s">
        <v>16</v>
      </c>
      <c r="G59" s="35">
        <v>1.05</v>
      </c>
      <c r="H59" s="37"/>
      <c r="I59" s="37">
        <v>945.73500000000001</v>
      </c>
    </row>
    <row r="60" spans="1:9" x14ac:dyDescent="0.2">
      <c r="A60" s="29" t="s">
        <v>168</v>
      </c>
      <c r="B60" s="29"/>
      <c r="C60" s="33" t="s">
        <v>15</v>
      </c>
      <c r="D60" s="31"/>
      <c r="E60" s="31"/>
      <c r="F60" s="34" t="s">
        <v>17</v>
      </c>
      <c r="G60" s="38">
        <v>0.09</v>
      </c>
      <c r="H60" s="35"/>
      <c r="I60" s="35">
        <v>81.063000000000002</v>
      </c>
    </row>
    <row r="61" spans="1:9" ht="38.25" x14ac:dyDescent="0.2">
      <c r="A61" s="29" t="s">
        <v>169</v>
      </c>
      <c r="B61" s="29" t="s">
        <v>170</v>
      </c>
      <c r="C61" s="30" t="s">
        <v>171</v>
      </c>
      <c r="D61" s="31"/>
      <c r="E61" s="31" t="s">
        <v>172</v>
      </c>
      <c r="F61" s="31" t="s">
        <v>16</v>
      </c>
      <c r="G61" s="32">
        <v>1</v>
      </c>
      <c r="H61" s="32"/>
      <c r="I61" s="32">
        <v>125.7</v>
      </c>
    </row>
    <row r="62" spans="1:9" ht="76.5" x14ac:dyDescent="0.2">
      <c r="A62" s="29" t="s">
        <v>173</v>
      </c>
      <c r="B62" s="29"/>
      <c r="C62" s="33" t="s">
        <v>174</v>
      </c>
      <c r="D62" s="31"/>
      <c r="E62" s="31" t="s">
        <v>175</v>
      </c>
      <c r="F62" s="34" t="s">
        <v>17</v>
      </c>
      <c r="G62" s="35">
        <v>1.84</v>
      </c>
      <c r="H62" s="35"/>
      <c r="I62" s="35">
        <v>231.28800000000001</v>
      </c>
    </row>
    <row r="63" spans="1:9" x14ac:dyDescent="0.2">
      <c r="A63" s="29" t="s">
        <v>176</v>
      </c>
      <c r="B63" s="29"/>
      <c r="C63" s="36" t="s">
        <v>177</v>
      </c>
      <c r="D63" s="31"/>
      <c r="E63" s="31"/>
      <c r="F63" s="34" t="s">
        <v>7</v>
      </c>
      <c r="G63" s="35">
        <v>0.7</v>
      </c>
      <c r="H63" s="37"/>
      <c r="I63" s="37">
        <v>87.99</v>
      </c>
    </row>
    <row r="64" spans="1:9" x14ac:dyDescent="0.2">
      <c r="A64" s="29" t="s">
        <v>178</v>
      </c>
      <c r="B64" s="29"/>
      <c r="C64" s="33" t="s">
        <v>134</v>
      </c>
      <c r="D64" s="31"/>
      <c r="E64" s="31"/>
      <c r="F64" s="34" t="s">
        <v>7</v>
      </c>
      <c r="G64" s="35">
        <v>0.04</v>
      </c>
      <c r="H64" s="35"/>
      <c r="I64" s="35">
        <v>5.0279999999999996</v>
      </c>
    </row>
    <row r="65" spans="1:9" x14ac:dyDescent="0.2">
      <c r="A65" s="29" t="s">
        <v>179</v>
      </c>
      <c r="B65" s="29"/>
      <c r="C65" s="33" t="s">
        <v>136</v>
      </c>
      <c r="D65" s="31"/>
      <c r="E65" s="31"/>
      <c r="F65" s="34" t="s">
        <v>7</v>
      </c>
      <c r="G65" s="35">
        <v>1.4999999999999999E-2</v>
      </c>
      <c r="H65" s="35"/>
      <c r="I65" s="35">
        <v>1.8859999999999999</v>
      </c>
    </row>
    <row r="66" spans="1:9" ht="38.25" x14ac:dyDescent="0.2">
      <c r="A66" s="29" t="s">
        <v>180</v>
      </c>
      <c r="B66" s="29" t="s">
        <v>170</v>
      </c>
      <c r="C66" s="30" t="s">
        <v>171</v>
      </c>
      <c r="D66" s="31"/>
      <c r="E66" s="31" t="s">
        <v>91</v>
      </c>
      <c r="F66" s="31" t="s">
        <v>16</v>
      </c>
      <c r="G66" s="32">
        <v>1</v>
      </c>
      <c r="H66" s="32"/>
      <c r="I66" s="32">
        <v>56.7</v>
      </c>
    </row>
    <row r="67" spans="1:9" x14ac:dyDescent="0.2">
      <c r="A67" s="29" t="s">
        <v>181</v>
      </c>
      <c r="B67" s="29"/>
      <c r="C67" s="33" t="s">
        <v>136</v>
      </c>
      <c r="D67" s="31"/>
      <c r="E67" s="31"/>
      <c r="F67" s="34" t="s">
        <v>7</v>
      </c>
      <c r="G67" s="35">
        <v>1.4999999999999999E-2</v>
      </c>
      <c r="H67" s="35"/>
      <c r="I67" s="35">
        <v>0.85099999999999998</v>
      </c>
    </row>
    <row r="68" spans="1:9" x14ac:dyDescent="0.2">
      <c r="A68" s="29" t="s">
        <v>182</v>
      </c>
      <c r="B68" s="29"/>
      <c r="C68" s="33" t="s">
        <v>134</v>
      </c>
      <c r="D68" s="31"/>
      <c r="E68" s="31"/>
      <c r="F68" s="34" t="s">
        <v>7</v>
      </c>
      <c r="G68" s="35">
        <v>0.04</v>
      </c>
      <c r="H68" s="35"/>
      <c r="I68" s="35">
        <v>2.2679999999999998</v>
      </c>
    </row>
    <row r="69" spans="1:9" ht="76.5" x14ac:dyDescent="0.2">
      <c r="A69" s="29" t="s">
        <v>183</v>
      </c>
      <c r="B69" s="29"/>
      <c r="C69" s="36" t="s">
        <v>184</v>
      </c>
      <c r="D69" s="31"/>
      <c r="E69" s="31" t="s">
        <v>175</v>
      </c>
      <c r="F69" s="34" t="s">
        <v>6</v>
      </c>
      <c r="G69" s="35">
        <v>0.11</v>
      </c>
      <c r="H69" s="35"/>
      <c r="I69" s="35">
        <v>6.2370000000000001</v>
      </c>
    </row>
    <row r="70" spans="1:9" x14ac:dyDescent="0.2">
      <c r="A70" s="29" t="s">
        <v>185</v>
      </c>
      <c r="B70" s="29"/>
      <c r="C70" s="36" t="s">
        <v>186</v>
      </c>
      <c r="D70" s="31"/>
      <c r="E70" s="31"/>
      <c r="F70" s="34" t="s">
        <v>7</v>
      </c>
      <c r="G70" s="35">
        <v>0.7</v>
      </c>
      <c r="H70" s="37"/>
      <c r="I70" s="37">
        <v>39.69</v>
      </c>
    </row>
  </sheetData>
  <mergeCells count="4">
    <mergeCell ref="C2:I2"/>
    <mergeCell ref="C3:I3"/>
    <mergeCell ref="C29:I29"/>
    <mergeCell ref="C38:I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Пл 1.032</vt:lpstr>
      <vt:lpstr>общий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2025-12-12T07:53:41Z</dcterms:modified>
</cp:coreProperties>
</file>