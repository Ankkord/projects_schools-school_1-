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1\"/>
    </mc:Choice>
  </mc:AlternateContent>
  <bookViews>
    <workbookView xWindow="0" yWindow="0" windowWidth="15540" windowHeight="10710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" i="1" l="1"/>
  <c r="H39" i="1"/>
  <c r="D11" i="1"/>
  <c r="E11" i="1" s="1"/>
  <c r="P10" i="1"/>
  <c r="P39" i="1" s="1"/>
  <c r="I39" i="1"/>
  <c r="J39" i="1"/>
  <c r="K39" i="1"/>
  <c r="L39" i="1"/>
  <c r="M39" i="1"/>
  <c r="N39" i="1"/>
  <c r="O39" i="1"/>
  <c r="Q39" i="1"/>
  <c r="R39" i="1"/>
  <c r="S39" i="1"/>
  <c r="T39" i="1"/>
  <c r="U39" i="1"/>
  <c r="C39" i="1"/>
  <c r="D14" i="1"/>
  <c r="E14" i="1" s="1"/>
  <c r="I18" i="1"/>
  <c r="F16" i="1"/>
  <c r="G17" i="1" s="1"/>
  <c r="G39" i="1" s="1"/>
  <c r="D5" i="1"/>
  <c r="D39" i="1" l="1"/>
  <c r="F39" i="1"/>
  <c r="E39" i="1"/>
</calcChain>
</file>

<file path=xl/sharedStrings.xml><?xml version="1.0" encoding="utf-8"?>
<sst xmlns="http://schemas.openxmlformats.org/spreadsheetml/2006/main" count="53" uniqueCount="53">
  <si>
    <t>Каменная кладка 120 мм (кирпич)</t>
  </si>
  <si>
    <t>Устройство перегородок из ГВЛ по метал. Профилю</t>
  </si>
  <si>
    <t>Устройство оконных откосов из ГВЛ</t>
  </si>
  <si>
    <t>Покраска стен</t>
  </si>
  <si>
    <t>пом. 1.032 полностью</t>
  </si>
  <si>
    <t>Шпаклевка стен базовая</t>
  </si>
  <si>
    <t>Шпаклевка стен финишная</t>
  </si>
  <si>
    <t>Шпаклевка потолков базовая</t>
  </si>
  <si>
    <t>Шпаклевка потолков финишная</t>
  </si>
  <si>
    <t>Штукатурка стен, колонн и балок</t>
  </si>
  <si>
    <t>НЕ СДЕЛАНО в ИД:</t>
  </si>
  <si>
    <t>ИС № Шт.1 (пом.1.030)</t>
  </si>
  <si>
    <t>ИС № Шт.2 (пом.1.030)</t>
  </si>
  <si>
    <t>ИС № ШП.1 (пом.1.030)</t>
  </si>
  <si>
    <t>Шлифовка стяжки</t>
  </si>
  <si>
    <t xml:space="preserve">Ремонт стяжки </t>
  </si>
  <si>
    <t>Устройство наливных полов</t>
  </si>
  <si>
    <t>Шлифовка наливных полов</t>
  </si>
  <si>
    <t>Укладка линолеума на клей</t>
  </si>
  <si>
    <t>ИС № НП.1 (пом.1.030)</t>
  </si>
  <si>
    <t>Нанесение грунтовки Eurocol 042</t>
  </si>
  <si>
    <t>Защита поверхности линолеума ДВП 3 мм в 2 (два) слоя</t>
  </si>
  <si>
    <t>Защита поверхности линолеума целофановой пленкой 120 мкм</t>
  </si>
  <si>
    <t>ИС № Отк.1 (пом.1.030)</t>
  </si>
  <si>
    <t>ИС № ГВЛ.1 (пом.1.030)</t>
  </si>
  <si>
    <t>ИС № КК.1 (пом.1.030)</t>
  </si>
  <si>
    <t>Ш850‐1‐2025‐ИД44 (пом.2.022)</t>
  </si>
  <si>
    <t>Ш850‐1‐2025‐ИД45 (пом.2.022)</t>
  </si>
  <si>
    <t>Ш850‐1‐2025‐ИД46 (пом.2.022)</t>
  </si>
  <si>
    <t>Ш850‐1‐2025‐ИД47 (пом.2.022)</t>
  </si>
  <si>
    <t>Покраска потолков</t>
  </si>
  <si>
    <t>Ш850‐1‐2025‐ИД40 (пом.2.022)</t>
  </si>
  <si>
    <t>Ш850‐1‐2025‐ИД42 (пом.2.022)</t>
  </si>
  <si>
    <t>Ш850‐1‐2025‐ИД52 (пом.2.022)</t>
  </si>
  <si>
    <t>Устройство перегородок из Файерборда по метал. Профилю</t>
  </si>
  <si>
    <t>Ш850‐1‐2025‐ИД53 (пом.2.022)</t>
  </si>
  <si>
    <t>Ш850‐1‐2025‐ИД54 (пом.2.022)</t>
  </si>
  <si>
    <t>Ш850‐1‐2025‐ИД55 (пом.2.022)</t>
  </si>
  <si>
    <t>Ш850‐1‐2025‐ИД48 (пом.2.022)</t>
  </si>
  <si>
    <t>Ш850‐1‐2025‐ИД49 (пом.2.022)</t>
  </si>
  <si>
    <t>Ш850‐1‐2025‐ИД50 (пом.2.022)</t>
  </si>
  <si>
    <t>Ш850‐1‐2025‐ИД51 (пом.2.022)</t>
  </si>
  <si>
    <t>дублируется</t>
  </si>
  <si>
    <t>Ш850‐1‐2025‐ИД41 (пом.2.022)</t>
  </si>
  <si>
    <t>ИТОГО:</t>
  </si>
  <si>
    <t>2.022 исправить объем по откосам</t>
  </si>
  <si>
    <t>ИС № НП.2 (пом.2.037)</t>
  </si>
  <si>
    <t>Демонтаж стяжки</t>
  </si>
  <si>
    <t>Ш850‐1‐2025‐ИД35 (пом.2.037)</t>
  </si>
  <si>
    <t>1.030 шпаклевка финишная, покраска и 2 диафрагмы</t>
  </si>
  <si>
    <t>Заделка штроб везде.</t>
  </si>
  <si>
    <t>объем узбеков по штукатурке 83,62 м2</t>
  </si>
  <si>
    <t>1.030 короб ГВЛ с отм. +10.300 до потолка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</si>
</sst>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textRotation="90"/>
    </xf>
    <xf numFmtId="4" fontId="0" fillId="0" borderId="0" xfId="0" applyNumberFormat="1" applyAlignment="1">
      <alignment horizontal="center" vertical="center" textRotation="90"/>
    </xf>
    <xf numFmtId="4" fontId="0" fillId="0" borderId="0" xfId="0" applyNumberFormat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0" fillId="2" borderId="0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top"/>
    </xf>
    <xf numFmtId="4" fontId="1" fillId="0" borderId="0" xfId="0" applyNumberFormat="1" applyFont="1" applyAlignment="1">
      <alignment horizontal="center" vertical="top"/>
    </xf>
    <xf numFmtId="0" fontId="0" fillId="3" borderId="0" xfId="0" applyFill="1" applyBorder="1" applyAlignment="1">
      <alignment horizontal="left" vertical="center"/>
    </xf>
    <xf numFmtId="4" fontId="0" fillId="3" borderId="0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left" vertical="center" textRotation="90"/>
    </xf>
    <xf numFmtId="4" fontId="0" fillId="0" borderId="1" xfId="0" applyNumberFormat="1" applyBorder="1" applyAlignment="1">
      <alignment horizontal="center" textRotation="90" wrapText="1"/>
    </xf>
    <xf numFmtId="4" fontId="0" fillId="0" borderId="1" xfId="0" applyNumberFormat="1" applyBorder="1" applyAlignment="1">
      <alignment horizont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" fontId="0" fillId="0" borderId="1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center" textRotation="90"/>
    </xf>
    <xf numFmtId="4" fontId="4" fillId="0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46"/>
  <sheetViews>
    <sheetView tabSelected="1" topLeftCell="A2" zoomScale="40" zoomScaleNormal="40" workbookViewId="0">
      <pane ySplit="1" topLeftCell="A3" activePane="bottomLeft" state="frozen"/>
      <selection activeCell="A2" sqref="A2"/>
      <selection pane="bottomLeft" activeCell="B3" sqref="B3:B10"/>
    </sheetView>
  </sheetViews>
  <sheetFormatPr defaultColWidth="8.85546875" defaultRowHeight="15" x14ac:dyDescent="0.25"/>
  <cols>
    <col min="1" max="1" width="6.7109375" style="2" customWidth="1"/>
    <col min="2" max="2" width="30.140625" style="3" customWidth="1"/>
    <col min="3" max="13" width="7.7109375" style="6" customWidth="1"/>
    <col min="14" max="24" width="8.85546875" style="1"/>
    <col min="25" max="16384" width="8.85546875" style="2"/>
  </cols>
  <sheetData>
    <row r="2" spans="1:24" s="4" customFormat="1" ht="178.9" customHeight="1" x14ac:dyDescent="0.25">
      <c r="A2" s="20"/>
      <c r="B2" s="21"/>
      <c r="C2" s="22" t="s">
        <v>9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3</v>
      </c>
      <c r="I2" s="22" t="s">
        <v>30</v>
      </c>
      <c r="J2" s="22" t="s">
        <v>0</v>
      </c>
      <c r="K2" s="22" t="s">
        <v>1</v>
      </c>
      <c r="L2" s="22" t="s">
        <v>2</v>
      </c>
      <c r="M2" s="22" t="s">
        <v>34</v>
      </c>
      <c r="N2" s="22" t="s">
        <v>14</v>
      </c>
      <c r="O2" s="22" t="s">
        <v>15</v>
      </c>
      <c r="P2" s="22" t="s">
        <v>20</v>
      </c>
      <c r="Q2" s="22" t="s">
        <v>16</v>
      </c>
      <c r="R2" s="22" t="s">
        <v>17</v>
      </c>
      <c r="S2" s="22" t="s">
        <v>18</v>
      </c>
      <c r="T2" s="22" t="s">
        <v>22</v>
      </c>
      <c r="U2" s="22" t="s">
        <v>21</v>
      </c>
      <c r="V2" s="23" t="s">
        <v>47</v>
      </c>
      <c r="W2" s="5"/>
      <c r="X2" s="5"/>
    </row>
    <row r="3" spans="1:24" x14ac:dyDescent="0.25">
      <c r="A3" s="24"/>
      <c r="B3" s="25" t="s">
        <v>11</v>
      </c>
      <c r="C3" s="26">
        <v>625.63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7"/>
      <c r="P3" s="27"/>
      <c r="Q3" s="27"/>
      <c r="R3" s="27"/>
      <c r="S3" s="27"/>
      <c r="T3" s="27"/>
      <c r="U3" s="27"/>
      <c r="V3" s="27"/>
    </row>
    <row r="4" spans="1:24" x14ac:dyDescent="0.25">
      <c r="A4" s="24"/>
      <c r="B4" s="25" t="s">
        <v>12</v>
      </c>
      <c r="C4" s="26">
        <v>363.76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7"/>
      <c r="O4" s="27"/>
      <c r="P4" s="27"/>
      <c r="Q4" s="27"/>
      <c r="R4" s="27"/>
      <c r="S4" s="27"/>
      <c r="T4" s="27"/>
      <c r="U4" s="27"/>
      <c r="V4" s="27"/>
    </row>
    <row r="5" spans="1:24" x14ac:dyDescent="0.25">
      <c r="A5" s="24"/>
      <c r="B5" s="25" t="s">
        <v>13</v>
      </c>
      <c r="C5" s="26"/>
      <c r="D5" s="26">
        <f>970.52+79.16</f>
        <v>1049.68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27"/>
      <c r="P5" s="27"/>
      <c r="Q5" s="27"/>
      <c r="R5" s="27"/>
      <c r="S5" s="27"/>
      <c r="T5" s="27"/>
      <c r="U5" s="27"/>
      <c r="V5" s="27"/>
    </row>
    <row r="6" spans="1:24" x14ac:dyDescent="0.25">
      <c r="A6" s="24"/>
      <c r="B6" s="25" t="s">
        <v>19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>
        <v>358.58</v>
      </c>
      <c r="O6" s="27">
        <v>27.2</v>
      </c>
      <c r="P6" s="27">
        <v>717.16</v>
      </c>
      <c r="Q6" s="27">
        <v>358.58</v>
      </c>
      <c r="R6" s="27">
        <v>358.58</v>
      </c>
      <c r="S6" s="27">
        <v>358.58</v>
      </c>
      <c r="T6" s="27">
        <v>358.58</v>
      </c>
      <c r="U6" s="27">
        <v>358.58</v>
      </c>
      <c r="V6" s="27"/>
    </row>
    <row r="7" spans="1:24" x14ac:dyDescent="0.25">
      <c r="A7" s="24"/>
      <c r="B7" s="25" t="s">
        <v>23</v>
      </c>
      <c r="C7" s="26"/>
      <c r="D7" s="26"/>
      <c r="E7" s="26"/>
      <c r="F7" s="26"/>
      <c r="G7" s="26"/>
      <c r="H7" s="26"/>
      <c r="I7" s="26"/>
      <c r="J7" s="26"/>
      <c r="K7" s="26"/>
      <c r="L7" s="26">
        <v>25.45</v>
      </c>
      <c r="M7" s="26"/>
      <c r="N7" s="27"/>
      <c r="O7" s="27"/>
      <c r="P7" s="27"/>
      <c r="Q7" s="27"/>
      <c r="R7" s="27"/>
      <c r="S7" s="27"/>
      <c r="T7" s="27"/>
      <c r="U7" s="27"/>
      <c r="V7" s="27"/>
    </row>
    <row r="8" spans="1:24" x14ac:dyDescent="0.25">
      <c r="A8" s="24"/>
      <c r="B8" s="25" t="s">
        <v>24</v>
      </c>
      <c r="C8" s="26"/>
      <c r="D8" s="26"/>
      <c r="E8" s="26"/>
      <c r="F8" s="26"/>
      <c r="G8" s="26"/>
      <c r="H8" s="26"/>
      <c r="I8" s="26"/>
      <c r="J8" s="26"/>
      <c r="K8" s="26">
        <v>76.67</v>
      </c>
      <c r="L8" s="26"/>
      <c r="M8" s="26"/>
      <c r="N8" s="27"/>
      <c r="O8" s="27"/>
      <c r="P8" s="27"/>
      <c r="Q8" s="27"/>
      <c r="R8" s="27"/>
      <c r="S8" s="27"/>
      <c r="T8" s="27"/>
      <c r="U8" s="27"/>
      <c r="V8" s="27"/>
    </row>
    <row r="9" spans="1:24" x14ac:dyDescent="0.25">
      <c r="A9" s="24"/>
      <c r="B9" s="25" t="s">
        <v>25</v>
      </c>
      <c r="C9" s="26"/>
      <c r="D9" s="26"/>
      <c r="E9" s="26"/>
      <c r="F9" s="26"/>
      <c r="G9" s="26"/>
      <c r="H9" s="26"/>
      <c r="I9" s="26"/>
      <c r="J9" s="26">
        <v>13.47</v>
      </c>
      <c r="K9" s="26"/>
      <c r="L9" s="26"/>
      <c r="M9" s="26"/>
      <c r="N9" s="27"/>
      <c r="O9" s="27"/>
      <c r="P9" s="27"/>
      <c r="Q9" s="27"/>
      <c r="R9" s="27"/>
      <c r="S9" s="27"/>
      <c r="T9" s="27"/>
      <c r="U9" s="27"/>
      <c r="V9" s="27"/>
    </row>
    <row r="10" spans="1:24" s="9" customFormat="1" x14ac:dyDescent="0.25">
      <c r="A10" s="28"/>
      <c r="B10" s="29" t="s">
        <v>46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>
        <v>533.16</v>
      </c>
      <c r="O10" s="31">
        <v>48.05</v>
      </c>
      <c r="P10" s="31">
        <f>2*533.16</f>
        <v>1066.32</v>
      </c>
      <c r="Q10" s="31">
        <v>533.16</v>
      </c>
      <c r="R10" s="39">
        <v>533.16</v>
      </c>
      <c r="S10" s="39">
        <v>533.16</v>
      </c>
      <c r="T10" s="39">
        <v>533.16</v>
      </c>
      <c r="U10" s="39">
        <v>533.16</v>
      </c>
      <c r="V10" s="31">
        <v>11.56</v>
      </c>
      <c r="W10" s="10"/>
      <c r="X10" s="10"/>
    </row>
    <row r="11" spans="1:24" s="9" customFormat="1" x14ac:dyDescent="0.25">
      <c r="A11" s="28"/>
      <c r="B11" s="29" t="s">
        <v>48</v>
      </c>
      <c r="C11" s="30"/>
      <c r="D11" s="30">
        <f>555.89+520.01</f>
        <v>1075.9000000000001</v>
      </c>
      <c r="E11" s="40">
        <f>D11</f>
        <v>1075.9000000000001</v>
      </c>
      <c r="F11" s="40"/>
      <c r="G11" s="40"/>
      <c r="H11" s="40">
        <v>1075.9000000000001</v>
      </c>
      <c r="I11" s="30"/>
      <c r="J11" s="30"/>
      <c r="K11" s="30"/>
      <c r="L11" s="30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10"/>
      <c r="X11" s="10"/>
    </row>
    <row r="12" spans="1:24" x14ac:dyDescent="0.25">
      <c r="A12" s="24"/>
      <c r="B12" s="25" t="s">
        <v>31</v>
      </c>
      <c r="C12" s="26">
        <v>19.059999999999999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7"/>
      <c r="P12" s="27"/>
      <c r="Q12" s="27"/>
      <c r="R12" s="27"/>
      <c r="S12" s="27"/>
      <c r="T12" s="27"/>
      <c r="U12" s="27"/>
      <c r="V12" s="27"/>
    </row>
    <row r="13" spans="1:24" x14ac:dyDescent="0.25">
      <c r="A13" s="24"/>
      <c r="B13" s="25" t="s">
        <v>43</v>
      </c>
      <c r="C13" s="26"/>
      <c r="D13" s="26"/>
      <c r="E13" s="26"/>
      <c r="F13" s="26"/>
      <c r="G13" s="26"/>
      <c r="H13" s="26"/>
      <c r="I13" s="26"/>
      <c r="J13" s="26"/>
      <c r="K13" s="26">
        <v>25.85</v>
      </c>
      <c r="L13" s="26"/>
      <c r="M13" s="26"/>
      <c r="N13" s="27"/>
      <c r="O13" s="27"/>
      <c r="P13" s="27"/>
      <c r="Q13" s="27"/>
      <c r="R13" s="27"/>
      <c r="S13" s="27"/>
      <c r="T13" s="27"/>
      <c r="U13" s="27"/>
      <c r="V13" s="27"/>
    </row>
    <row r="14" spans="1:24" x14ac:dyDescent="0.25">
      <c r="A14" s="24"/>
      <c r="B14" s="25" t="s">
        <v>32</v>
      </c>
      <c r="C14" s="26"/>
      <c r="D14" s="26">
        <f>1035.18+66.28</f>
        <v>1101.46</v>
      </c>
      <c r="E14" s="26">
        <f>D14</f>
        <v>1101.46</v>
      </c>
      <c r="F14" s="26"/>
      <c r="G14" s="26"/>
      <c r="H14" s="26">
        <v>1410</v>
      </c>
      <c r="I14" s="26"/>
      <c r="J14" s="26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7"/>
      <c r="V14" s="27"/>
    </row>
    <row r="15" spans="1:24" x14ac:dyDescent="0.25">
      <c r="A15" s="24"/>
      <c r="B15" s="25" t="s">
        <v>26</v>
      </c>
      <c r="C15" s="26">
        <v>47.42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7"/>
      <c r="V15" s="27"/>
    </row>
    <row r="16" spans="1:24" x14ac:dyDescent="0.25">
      <c r="A16" s="24"/>
      <c r="B16" s="25" t="s">
        <v>27</v>
      </c>
      <c r="C16" s="26"/>
      <c r="D16" s="26"/>
      <c r="E16" s="26"/>
      <c r="F16" s="26">
        <f>556.14+303.94</f>
        <v>860.07999999999993</v>
      </c>
      <c r="G16" s="26"/>
      <c r="H16" s="26"/>
      <c r="I16" s="26"/>
      <c r="J16" s="26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7"/>
      <c r="V16" s="27"/>
    </row>
    <row r="17" spans="1:24" x14ac:dyDescent="0.25">
      <c r="A17" s="24"/>
      <c r="B17" s="25" t="s">
        <v>28</v>
      </c>
      <c r="C17" s="26"/>
      <c r="D17" s="26"/>
      <c r="E17" s="26"/>
      <c r="F17" s="26"/>
      <c r="G17" s="26">
        <f>F16</f>
        <v>860.07999999999993</v>
      </c>
      <c r="H17" s="26"/>
      <c r="I17" s="26"/>
      <c r="J17" s="26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7"/>
      <c r="V17" s="27"/>
    </row>
    <row r="18" spans="1:24" x14ac:dyDescent="0.25">
      <c r="A18" s="24"/>
      <c r="B18" s="25" t="s">
        <v>29</v>
      </c>
      <c r="C18" s="26"/>
      <c r="D18" s="26"/>
      <c r="E18" s="26"/>
      <c r="F18" s="26"/>
      <c r="G18" s="26"/>
      <c r="H18" s="26"/>
      <c r="I18" s="26">
        <f>635.15+362.91</f>
        <v>998.06</v>
      </c>
      <c r="J18" s="26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</row>
    <row r="19" spans="1:24" x14ac:dyDescent="0.25">
      <c r="A19" s="24"/>
      <c r="B19" s="25" t="s">
        <v>38</v>
      </c>
      <c r="C19" s="26"/>
      <c r="D19" s="26"/>
      <c r="E19" s="26"/>
      <c r="F19" s="26"/>
      <c r="G19" s="26"/>
      <c r="H19" s="26"/>
      <c r="I19" s="26"/>
      <c r="J19" s="26"/>
      <c r="K19" s="26">
        <v>9.2799999999999994</v>
      </c>
      <c r="L19" s="26"/>
      <c r="M19" s="26"/>
      <c r="N19" s="27"/>
      <c r="O19" s="27"/>
      <c r="P19" s="27"/>
      <c r="Q19" s="27"/>
      <c r="R19" s="27"/>
      <c r="S19" s="27"/>
      <c r="T19" s="27"/>
      <c r="U19" s="27"/>
      <c r="V19" s="27"/>
    </row>
    <row r="20" spans="1:24" x14ac:dyDescent="0.25">
      <c r="A20" s="24"/>
      <c r="B20" s="25" t="s">
        <v>39</v>
      </c>
      <c r="C20" s="26"/>
      <c r="D20" s="26"/>
      <c r="E20" s="26"/>
      <c r="F20" s="26">
        <v>9.2799999999999994</v>
      </c>
      <c r="G20" s="26"/>
      <c r="H20" s="26"/>
      <c r="I20" s="26"/>
      <c r="J20" s="26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7"/>
      <c r="V20" s="27"/>
    </row>
    <row r="21" spans="1:24" x14ac:dyDescent="0.25">
      <c r="A21" s="24"/>
      <c r="B21" s="25" t="s">
        <v>40</v>
      </c>
      <c r="C21" s="26"/>
      <c r="D21" s="26"/>
      <c r="E21" s="26"/>
      <c r="F21" s="26"/>
      <c r="G21" s="26">
        <v>9.2799999999999994</v>
      </c>
      <c r="H21" s="26"/>
      <c r="I21" s="26"/>
      <c r="J21" s="26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7"/>
    </row>
    <row r="22" spans="1:24" s="8" customFormat="1" x14ac:dyDescent="0.25">
      <c r="A22" s="32" t="s">
        <v>42</v>
      </c>
      <c r="B22" s="33" t="s">
        <v>41</v>
      </c>
      <c r="C22" s="34"/>
      <c r="D22" s="35"/>
      <c r="E22" s="35"/>
      <c r="F22" s="35"/>
      <c r="G22" s="35"/>
      <c r="H22" s="35"/>
      <c r="I22" s="35">
        <v>9.2799999999999994</v>
      </c>
      <c r="J22" s="35"/>
      <c r="K22" s="35"/>
      <c r="L22" s="35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7"/>
      <c r="X22" s="7"/>
    </row>
    <row r="23" spans="1:24" x14ac:dyDescent="0.25">
      <c r="A23" s="24"/>
      <c r="B23" s="25" t="s">
        <v>33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>
        <v>37.44</v>
      </c>
      <c r="N23" s="27"/>
      <c r="O23" s="27"/>
      <c r="P23" s="27"/>
      <c r="Q23" s="27"/>
      <c r="R23" s="27"/>
      <c r="S23" s="27"/>
      <c r="T23" s="27"/>
      <c r="U23" s="27"/>
      <c r="V23" s="27"/>
    </row>
    <row r="24" spans="1:24" x14ac:dyDescent="0.25">
      <c r="A24" s="24"/>
      <c r="B24" s="25" t="s">
        <v>35</v>
      </c>
      <c r="C24" s="26"/>
      <c r="D24" s="26">
        <v>37.44</v>
      </c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7"/>
      <c r="P24" s="27"/>
      <c r="Q24" s="27"/>
      <c r="R24" s="27"/>
      <c r="S24" s="27"/>
      <c r="T24" s="27"/>
      <c r="U24" s="27"/>
      <c r="V24" s="27"/>
    </row>
    <row r="25" spans="1:24" x14ac:dyDescent="0.25">
      <c r="A25" s="24"/>
      <c r="B25" s="25" t="s">
        <v>36</v>
      </c>
      <c r="C25" s="26"/>
      <c r="D25" s="24"/>
      <c r="E25" s="26">
        <v>37.44</v>
      </c>
      <c r="F25" s="26"/>
      <c r="G25" s="26"/>
      <c r="H25" s="26"/>
      <c r="I25" s="26"/>
      <c r="J25" s="26"/>
      <c r="K25" s="26"/>
      <c r="L25" s="26"/>
      <c r="M25" s="26"/>
      <c r="N25" s="27"/>
      <c r="O25" s="27"/>
      <c r="P25" s="27"/>
      <c r="Q25" s="27"/>
      <c r="R25" s="27"/>
      <c r="S25" s="27"/>
      <c r="T25" s="27"/>
      <c r="U25" s="27"/>
      <c r="V25" s="27"/>
    </row>
    <row r="26" spans="1:24" x14ac:dyDescent="0.25">
      <c r="A26" s="24"/>
      <c r="B26" s="25" t="s">
        <v>37</v>
      </c>
      <c r="C26" s="26"/>
      <c r="D26" s="24"/>
      <c r="E26" s="24"/>
      <c r="F26" s="26"/>
      <c r="G26" s="26"/>
      <c r="H26" s="26">
        <v>37.44</v>
      </c>
      <c r="I26" s="26"/>
      <c r="J26" s="26"/>
      <c r="K26" s="26"/>
      <c r="L26" s="26"/>
      <c r="M26" s="26"/>
      <c r="N26" s="27"/>
      <c r="O26" s="27"/>
      <c r="P26" s="27"/>
      <c r="Q26" s="27"/>
      <c r="R26" s="27"/>
      <c r="S26" s="27"/>
      <c r="T26" s="27"/>
      <c r="U26" s="27"/>
      <c r="V26" s="27"/>
    </row>
    <row r="27" spans="1:24" x14ac:dyDescent="0.25">
      <c r="A27" s="24"/>
      <c r="B27" s="25"/>
      <c r="C27" s="26"/>
      <c r="D27" s="24"/>
      <c r="E27" s="26"/>
      <c r="F27" s="26"/>
      <c r="G27" s="26"/>
      <c r="H27" s="26"/>
      <c r="I27" s="26"/>
      <c r="J27" s="26"/>
      <c r="K27" s="26"/>
      <c r="L27" s="26"/>
      <c r="M27" s="26"/>
      <c r="N27" s="27"/>
      <c r="O27" s="27"/>
      <c r="P27" s="27"/>
      <c r="Q27" s="27"/>
      <c r="R27" s="27"/>
      <c r="S27" s="27"/>
      <c r="T27" s="27"/>
      <c r="U27" s="27"/>
      <c r="V27" s="27"/>
    </row>
    <row r="28" spans="1:24" x14ac:dyDescent="0.25">
      <c r="A28" s="24"/>
      <c r="B28" s="25"/>
      <c r="C28" s="26"/>
      <c r="D28" s="24"/>
      <c r="E28" s="26"/>
      <c r="F28" s="26"/>
      <c r="G28" s="26"/>
      <c r="H28" s="26"/>
      <c r="I28" s="26"/>
      <c r="J28" s="26"/>
      <c r="K28" s="26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</row>
    <row r="29" spans="1:24" x14ac:dyDescent="0.25">
      <c r="A29" s="24"/>
      <c r="B29" s="25"/>
      <c r="C29" s="26"/>
      <c r="D29" s="24"/>
      <c r="E29" s="26"/>
      <c r="F29" s="26"/>
      <c r="G29" s="26"/>
      <c r="H29" s="26"/>
      <c r="I29" s="26"/>
      <c r="J29" s="26"/>
      <c r="K29" s="26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7"/>
    </row>
    <row r="30" spans="1:24" x14ac:dyDescent="0.25">
      <c r="A30" s="24"/>
      <c r="B30" s="25"/>
      <c r="C30" s="26"/>
      <c r="D30" s="24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7"/>
    </row>
    <row r="31" spans="1:24" x14ac:dyDescent="0.25">
      <c r="A31" s="24"/>
      <c r="B31" s="25"/>
      <c r="C31" s="26"/>
      <c r="D31" s="24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</row>
    <row r="32" spans="1:24" x14ac:dyDescent="0.25">
      <c r="A32" s="24"/>
      <c r="B32" s="25"/>
      <c r="C32" s="26"/>
      <c r="D32" s="24"/>
      <c r="E32" s="26"/>
      <c r="F32" s="26"/>
      <c r="G32" s="26"/>
      <c r="H32" s="26"/>
      <c r="I32" s="26"/>
      <c r="J32" s="26"/>
      <c r="K32" s="26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</row>
    <row r="33" spans="1:24" x14ac:dyDescent="0.25">
      <c r="A33" s="24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7"/>
      <c r="O33" s="27"/>
      <c r="P33" s="27"/>
      <c r="Q33" s="27"/>
      <c r="R33" s="27"/>
      <c r="S33" s="27"/>
      <c r="T33" s="27"/>
      <c r="U33" s="27"/>
      <c r="V33" s="27"/>
    </row>
    <row r="34" spans="1:24" x14ac:dyDescent="0.25">
      <c r="A34" s="24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  <c r="O34" s="27"/>
      <c r="P34" s="27"/>
      <c r="Q34" s="27"/>
      <c r="R34" s="27"/>
      <c r="S34" s="27"/>
      <c r="T34" s="27"/>
      <c r="U34" s="27"/>
      <c r="V34" s="27"/>
    </row>
    <row r="35" spans="1:24" x14ac:dyDescent="0.25">
      <c r="A35" s="24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7"/>
    </row>
    <row r="36" spans="1:24" x14ac:dyDescent="0.25">
      <c r="A36" s="24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7"/>
      <c r="Q36" s="27"/>
      <c r="R36" s="27"/>
      <c r="S36" s="27"/>
      <c r="T36" s="27"/>
      <c r="U36" s="27"/>
      <c r="V36" s="27"/>
    </row>
    <row r="37" spans="1:24" x14ac:dyDescent="0.25">
      <c r="A37" s="24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7"/>
      <c r="P37" s="27"/>
      <c r="Q37" s="27"/>
      <c r="R37" s="27"/>
      <c r="S37" s="27"/>
      <c r="T37" s="27"/>
      <c r="U37" s="27"/>
      <c r="V37" s="27"/>
    </row>
    <row r="38" spans="1:24" ht="15" customHeight="1" x14ac:dyDescent="0.25">
      <c r="A38" s="24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7"/>
      <c r="P38" s="27"/>
      <c r="Q38" s="27"/>
      <c r="R38" s="27"/>
      <c r="S38" s="27"/>
      <c r="T38" s="27"/>
      <c r="U38" s="27"/>
      <c r="V38" s="27"/>
    </row>
    <row r="39" spans="1:24" s="16" customFormat="1" ht="70.900000000000006" customHeight="1" x14ac:dyDescent="0.25">
      <c r="A39" s="37"/>
      <c r="B39" s="37" t="s">
        <v>44</v>
      </c>
      <c r="C39" s="38">
        <f>SUM(C3:C38)</f>
        <v>1055.8699999999999</v>
      </c>
      <c r="D39" s="38">
        <f t="shared" ref="D39:V39" si="0">SUM(D3:D38)</f>
        <v>3264.48</v>
      </c>
      <c r="E39" s="38">
        <f t="shared" si="0"/>
        <v>2214.8000000000002</v>
      </c>
      <c r="F39" s="38">
        <f t="shared" si="0"/>
        <v>869.3599999999999</v>
      </c>
      <c r="G39" s="38">
        <f t="shared" si="0"/>
        <v>869.3599999999999</v>
      </c>
      <c r="H39" s="38">
        <f t="shared" si="0"/>
        <v>2523.34</v>
      </c>
      <c r="I39" s="38">
        <f t="shared" si="0"/>
        <v>1007.3399999999999</v>
      </c>
      <c r="J39" s="38">
        <f t="shared" si="0"/>
        <v>13.47</v>
      </c>
      <c r="K39" s="38">
        <f t="shared" si="0"/>
        <v>111.80000000000001</v>
      </c>
      <c r="L39" s="38">
        <f t="shared" si="0"/>
        <v>25.45</v>
      </c>
      <c r="M39" s="38">
        <f t="shared" si="0"/>
        <v>37.44</v>
      </c>
      <c r="N39" s="38">
        <f t="shared" si="0"/>
        <v>891.74</v>
      </c>
      <c r="O39" s="38">
        <f t="shared" si="0"/>
        <v>75.25</v>
      </c>
      <c r="P39" s="38">
        <f t="shared" si="0"/>
        <v>1783.48</v>
      </c>
      <c r="Q39" s="38">
        <f t="shared" si="0"/>
        <v>891.74</v>
      </c>
      <c r="R39" s="38">
        <f t="shared" si="0"/>
        <v>891.74</v>
      </c>
      <c r="S39" s="38">
        <f t="shared" si="0"/>
        <v>891.74</v>
      </c>
      <c r="T39" s="38">
        <f t="shared" si="0"/>
        <v>891.74</v>
      </c>
      <c r="U39" s="38">
        <f t="shared" si="0"/>
        <v>891.74</v>
      </c>
      <c r="V39" s="38">
        <f t="shared" si="0"/>
        <v>11.56</v>
      </c>
      <c r="W39" s="17"/>
      <c r="X39" s="17"/>
    </row>
    <row r="40" spans="1:24" x14ac:dyDescent="0.25">
      <c r="B40" s="18" t="s">
        <v>51</v>
      </c>
      <c r="C40" s="19"/>
    </row>
    <row r="41" spans="1:24" x14ac:dyDescent="0.25">
      <c r="A41" s="11"/>
      <c r="B41" s="14" t="s">
        <v>10</v>
      </c>
      <c r="C41" s="12"/>
      <c r="D41" s="13"/>
      <c r="E41" s="13"/>
      <c r="F41" s="13"/>
      <c r="G41" s="13"/>
    </row>
    <row r="42" spans="1:24" x14ac:dyDescent="0.25">
      <c r="A42" s="11"/>
      <c r="B42" s="14" t="s">
        <v>4</v>
      </c>
      <c r="C42" s="12"/>
      <c r="D42" s="13"/>
      <c r="E42" s="13"/>
      <c r="F42" s="13"/>
      <c r="G42" s="13"/>
    </row>
    <row r="43" spans="1:24" x14ac:dyDescent="0.25">
      <c r="A43" s="11"/>
      <c r="B43" s="15" t="s">
        <v>49</v>
      </c>
      <c r="C43" s="13"/>
      <c r="D43" s="13"/>
      <c r="E43" s="13"/>
      <c r="F43" s="13"/>
      <c r="G43" s="13"/>
    </row>
    <row r="44" spans="1:24" x14ac:dyDescent="0.25">
      <c r="A44" s="11"/>
      <c r="B44" s="15" t="s">
        <v>52</v>
      </c>
      <c r="C44" s="13"/>
      <c r="D44" s="13"/>
      <c r="E44" s="13"/>
      <c r="F44" s="13"/>
      <c r="G44" s="13"/>
    </row>
    <row r="45" spans="1:24" x14ac:dyDescent="0.25">
      <c r="A45" s="11"/>
      <c r="B45" s="15" t="s">
        <v>45</v>
      </c>
      <c r="C45" s="13"/>
      <c r="D45" s="13"/>
      <c r="E45" s="13"/>
      <c r="F45" s="13"/>
      <c r="G45" s="13"/>
    </row>
    <row r="46" spans="1:24" x14ac:dyDescent="0.25">
      <c r="A46" s="11"/>
      <c r="B46" s="15" t="s">
        <v>50</v>
      </c>
      <c r="C46" s="13"/>
      <c r="D46" s="13"/>
      <c r="E46" s="13"/>
      <c r="F46" s="13"/>
      <c r="G46" s="13"/>
    </row>
  </sheetData>
  <phoneticPr fontId="2" type="noConversion"/>
  <pageMargins left="0.7" right="0.7" top="0.75" bottom="0.75" header="0.3" footer="0.3"/>
  <pageSetup paperSize="8" scale="8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8" sqref="F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МФ-СТРОЙ</dc:creator>
  <cp:lastModifiedBy>МирзаяновИИ</cp:lastModifiedBy>
  <cp:lastPrinted>2025-10-10T15:05:10Z</cp:lastPrinted>
  <dcterms:created xsi:type="dcterms:W3CDTF">2015-06-05T18:19:34Z</dcterms:created>
  <dcterms:modified xsi:type="dcterms:W3CDTF">2025-10-10T15:34:05Z</dcterms:modified>
</cp:coreProperties>
</file>