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МирзаяновИИ\Documents\projects\school_1\"/>
    </mc:Choice>
  </mc:AlternateContent>
  <bookViews>
    <workbookView xWindow="510" yWindow="585" windowWidth="13095" windowHeight="8385" activeTab="2"/>
  </bookViews>
  <sheets>
    <sheet name="Изменения" sheetId="1" r:id="rId1"/>
    <sheet name="ТКП" sheetId="2" r:id="rId2"/>
    <sheet name="Лист1" sheetId="3" r:id="rId3"/>
  </sheets>
  <definedNames>
    <definedName name="_xlnm._FilterDatabase" localSheetId="0" hidden="1">Изменения!$A$7:$U$7</definedName>
    <definedName name="_xlnm._FilterDatabase" localSheetId="1" hidden="1">ТКП!$A$7:$U$7</definedName>
  </definedNames>
  <calcPr calcId="152511"/>
</workbook>
</file>

<file path=xl/calcChain.xml><?xml version="1.0" encoding="utf-8"?>
<calcChain xmlns="http://schemas.openxmlformats.org/spreadsheetml/2006/main">
  <c r="W427" i="3" l="1"/>
  <c r="T427" i="3"/>
  <c r="T425" i="3" s="1"/>
  <c r="R427" i="3"/>
  <c r="X427" i="3" s="1"/>
  <c r="N427" i="3"/>
  <c r="O427" i="3" s="1"/>
  <c r="L427" i="3"/>
  <c r="W426" i="3"/>
  <c r="U426" i="3"/>
  <c r="T426" i="3"/>
  <c r="Z426" i="3" s="1"/>
  <c r="R426" i="3"/>
  <c r="X426" i="3" s="1"/>
  <c r="N426" i="3"/>
  <c r="O426" i="3" s="1"/>
  <c r="L426" i="3"/>
  <c r="Y425" i="3"/>
  <c r="S425" i="3"/>
  <c r="M425" i="3"/>
  <c r="Y424" i="3"/>
  <c r="V424" i="3"/>
  <c r="S424" i="3"/>
  <c r="M424" i="3"/>
  <c r="Y423" i="3"/>
  <c r="V423" i="3"/>
  <c r="S423" i="3"/>
  <c r="M423" i="3"/>
  <c r="Y422" i="3"/>
  <c r="V422" i="3"/>
  <c r="S422" i="3"/>
  <c r="P421" i="3" s="1"/>
  <c r="M422" i="3"/>
  <c r="W421" i="3"/>
  <c r="T421" i="3"/>
  <c r="Z421" i="3" s="1"/>
  <c r="Z420" i="3" s="1"/>
  <c r="Z419" i="3" s="1"/>
  <c r="N421" i="3"/>
  <c r="J421" i="3"/>
  <c r="L421" i="3" s="1"/>
  <c r="T420" i="3"/>
  <c r="T419" i="3" s="1"/>
  <c r="N420" i="3"/>
  <c r="N419" i="3" s="1"/>
  <c r="V418" i="3"/>
  <c r="S418" i="3"/>
  <c r="Y418" i="3" s="1"/>
  <c r="M418" i="3"/>
  <c r="V417" i="3"/>
  <c r="S417" i="3"/>
  <c r="Y417" i="3" s="1"/>
  <c r="M417" i="3"/>
  <c r="V416" i="3"/>
  <c r="S416" i="3"/>
  <c r="P415" i="3" s="1"/>
  <c r="R415" i="3" s="1"/>
  <c r="X415" i="3" s="1"/>
  <c r="M416" i="3"/>
  <c r="Z415" i="3"/>
  <c r="Z414" i="3" s="1"/>
  <c r="W415" i="3"/>
  <c r="T415" i="3"/>
  <c r="T414" i="3" s="1"/>
  <c r="N415" i="3"/>
  <c r="L415" i="3"/>
  <c r="J415" i="3"/>
  <c r="M415" i="3" s="1"/>
  <c r="N414" i="3"/>
  <c r="AA413" i="3"/>
  <c r="W413" i="3"/>
  <c r="T413" i="3"/>
  <c r="Z413" i="3" s="1"/>
  <c r="R413" i="3"/>
  <c r="X413" i="3" s="1"/>
  <c r="N413" i="3"/>
  <c r="O413" i="3" s="1"/>
  <c r="L413" i="3"/>
  <c r="W412" i="3"/>
  <c r="U412" i="3"/>
  <c r="T412" i="3"/>
  <c r="Z412" i="3" s="1"/>
  <c r="R412" i="3"/>
  <c r="X412" i="3" s="1"/>
  <c r="N412" i="3"/>
  <c r="O412" i="3" s="1"/>
  <c r="L412" i="3"/>
  <c r="Y411" i="3"/>
  <c r="T411" i="3"/>
  <c r="T410" i="3" s="1"/>
  <c r="S411" i="3"/>
  <c r="M411" i="3"/>
  <c r="AA409" i="3"/>
  <c r="Z409" i="3"/>
  <c r="X409" i="3"/>
  <c r="W409" i="3"/>
  <c r="U409" i="3"/>
  <c r="U408" i="3" s="1"/>
  <c r="U407" i="3" s="1"/>
  <c r="T409" i="3"/>
  <c r="T408" i="3" s="1"/>
  <c r="R409" i="3"/>
  <c r="O409" i="3"/>
  <c r="O408" i="3" s="1"/>
  <c r="O407" i="3" s="1"/>
  <c r="O406" i="3" s="1"/>
  <c r="N409" i="3"/>
  <c r="N408" i="3" s="1"/>
  <c r="N407" i="3" s="1"/>
  <c r="N406" i="3" s="1"/>
  <c r="L409" i="3"/>
  <c r="AA408" i="3"/>
  <c r="AA407" i="3" s="1"/>
  <c r="AA406" i="3" s="1"/>
  <c r="Z408" i="3"/>
  <c r="Y408" i="3"/>
  <c r="Y407" i="3" s="1"/>
  <c r="Y406" i="3" s="1"/>
  <c r="S408" i="3"/>
  <c r="S407" i="3" s="1"/>
  <c r="S406" i="3" s="1"/>
  <c r="M408" i="3"/>
  <c r="M407" i="3" s="1"/>
  <c r="M406" i="3" s="1"/>
  <c r="Z407" i="3"/>
  <c r="Z406" i="3" s="1"/>
  <c r="T407" i="3"/>
  <c r="T406" i="3" s="1"/>
  <c r="U406" i="3"/>
  <c r="X405" i="3"/>
  <c r="W405" i="3"/>
  <c r="T405" i="3"/>
  <c r="R405" i="3"/>
  <c r="O405" i="3"/>
  <c r="O404" i="3" s="1"/>
  <c r="O403" i="3" s="1"/>
  <c r="N405" i="3"/>
  <c r="N404" i="3" s="1"/>
  <c r="L405" i="3"/>
  <c r="Y404" i="3"/>
  <c r="S404" i="3"/>
  <c r="S403" i="3" s="1"/>
  <c r="M404" i="3"/>
  <c r="M403" i="3" s="1"/>
  <c r="Y403" i="3"/>
  <c r="N403" i="3"/>
  <c r="W400" i="3"/>
  <c r="U400" i="3"/>
  <c r="T400" i="3"/>
  <c r="Z400" i="3" s="1"/>
  <c r="AA400" i="3" s="1"/>
  <c r="R400" i="3"/>
  <c r="X400" i="3" s="1"/>
  <c r="O400" i="3"/>
  <c r="N400" i="3"/>
  <c r="L400" i="3"/>
  <c r="V399" i="3"/>
  <c r="S399" i="3"/>
  <c r="M399" i="3"/>
  <c r="Z398" i="3"/>
  <c r="W398" i="3"/>
  <c r="T398" i="3"/>
  <c r="N398" i="3"/>
  <c r="L398" i="3"/>
  <c r="J398" i="3"/>
  <c r="M398" i="3" s="1"/>
  <c r="O398" i="3" s="1"/>
  <c r="V397" i="3"/>
  <c r="S397" i="3"/>
  <c r="Y397" i="3" s="1"/>
  <c r="M397" i="3"/>
  <c r="W396" i="3"/>
  <c r="T396" i="3"/>
  <c r="Z396" i="3" s="1"/>
  <c r="P396" i="3"/>
  <c r="O396" i="3"/>
  <c r="N396" i="3"/>
  <c r="M396" i="3"/>
  <c r="J396" i="3"/>
  <c r="L396" i="3" s="1"/>
  <c r="V395" i="3"/>
  <c r="S395" i="3"/>
  <c r="M395" i="3"/>
  <c r="J394" i="3" s="1"/>
  <c r="Z394" i="3"/>
  <c r="Z393" i="3" s="1"/>
  <c r="W394" i="3"/>
  <c r="T394" i="3"/>
  <c r="T393" i="3" s="1"/>
  <c r="N394" i="3"/>
  <c r="N393" i="3"/>
  <c r="Y392" i="3"/>
  <c r="V392" i="3"/>
  <c r="S392" i="3"/>
  <c r="M392" i="3"/>
  <c r="V391" i="3"/>
  <c r="S391" i="3"/>
  <c r="M391" i="3"/>
  <c r="W390" i="3"/>
  <c r="T390" i="3"/>
  <c r="Z390" i="3" s="1"/>
  <c r="N390" i="3"/>
  <c r="M390" i="3"/>
  <c r="O390" i="3" s="1"/>
  <c r="L390" i="3"/>
  <c r="J390" i="3"/>
  <c r="Y389" i="3"/>
  <c r="V389" i="3"/>
  <c r="S389" i="3"/>
  <c r="M389" i="3"/>
  <c r="V388" i="3"/>
  <c r="S388" i="3"/>
  <c r="M388" i="3"/>
  <c r="W387" i="3"/>
  <c r="T387" i="3"/>
  <c r="Z387" i="3" s="1"/>
  <c r="N387" i="3"/>
  <c r="M387" i="3"/>
  <c r="O387" i="3" s="1"/>
  <c r="L387" i="3"/>
  <c r="J387" i="3"/>
  <c r="Y386" i="3"/>
  <c r="V386" i="3"/>
  <c r="S386" i="3"/>
  <c r="M386" i="3"/>
  <c r="V385" i="3"/>
  <c r="S385" i="3"/>
  <c r="M385" i="3"/>
  <c r="W384" i="3"/>
  <c r="T384" i="3"/>
  <c r="Z384" i="3" s="1"/>
  <c r="Z383" i="3" s="1"/>
  <c r="N384" i="3"/>
  <c r="M384" i="3"/>
  <c r="O384" i="3" s="1"/>
  <c r="L384" i="3"/>
  <c r="J384" i="3"/>
  <c r="O383" i="3"/>
  <c r="N383" i="3"/>
  <c r="Y382" i="3"/>
  <c r="V382" i="3"/>
  <c r="S382" i="3"/>
  <c r="M382" i="3"/>
  <c r="Y381" i="3"/>
  <c r="V381" i="3"/>
  <c r="S381" i="3"/>
  <c r="P380" i="3" s="1"/>
  <c r="V380" i="3" s="1"/>
  <c r="M381" i="3"/>
  <c r="W380" i="3"/>
  <c r="T380" i="3"/>
  <c r="Z380" i="3" s="1"/>
  <c r="N380" i="3"/>
  <c r="M380" i="3"/>
  <c r="O380" i="3" s="1"/>
  <c r="J380" i="3"/>
  <c r="L380" i="3" s="1"/>
  <c r="Y379" i="3"/>
  <c r="V379" i="3"/>
  <c r="S379" i="3"/>
  <c r="M379" i="3"/>
  <c r="Y378" i="3"/>
  <c r="V378" i="3"/>
  <c r="S378" i="3"/>
  <c r="P377" i="3" s="1"/>
  <c r="M378" i="3"/>
  <c r="J377" i="3" s="1"/>
  <c r="W377" i="3"/>
  <c r="T377" i="3"/>
  <c r="Z377" i="3" s="1"/>
  <c r="N377" i="3"/>
  <c r="Y376" i="3"/>
  <c r="V376" i="3"/>
  <c r="S376" i="3"/>
  <c r="M376" i="3"/>
  <c r="Y375" i="3"/>
  <c r="V375" i="3"/>
  <c r="S375" i="3"/>
  <c r="P374" i="3" s="1"/>
  <c r="S374" i="3" s="1"/>
  <c r="M375" i="3"/>
  <c r="Z374" i="3"/>
  <c r="W374" i="3"/>
  <c r="V374" i="3"/>
  <c r="T374" i="3"/>
  <c r="N374" i="3"/>
  <c r="J374" i="3"/>
  <c r="L374" i="3" s="1"/>
  <c r="Y373" i="3"/>
  <c r="V373" i="3"/>
  <c r="S373" i="3"/>
  <c r="M373" i="3"/>
  <c r="Y372" i="3"/>
  <c r="V372" i="3"/>
  <c r="S372" i="3"/>
  <c r="P371" i="3" s="1"/>
  <c r="S371" i="3" s="1"/>
  <c r="Y371" i="3" s="1"/>
  <c r="M372" i="3"/>
  <c r="Z371" i="3"/>
  <c r="W371" i="3"/>
  <c r="V371" i="3"/>
  <c r="T371" i="3"/>
  <c r="R371" i="3"/>
  <c r="X371" i="3" s="1"/>
  <c r="N371" i="3"/>
  <c r="L371" i="3"/>
  <c r="J371" i="3"/>
  <c r="M371" i="3" s="1"/>
  <c r="O371" i="3" s="1"/>
  <c r="Y370" i="3"/>
  <c r="V370" i="3"/>
  <c r="S370" i="3"/>
  <c r="M370" i="3"/>
  <c r="V369" i="3"/>
  <c r="S369" i="3"/>
  <c r="M369" i="3"/>
  <c r="J368" i="3" s="1"/>
  <c r="L368" i="3" s="1"/>
  <c r="Z368" i="3"/>
  <c r="W368" i="3"/>
  <c r="T368" i="3"/>
  <c r="N368" i="3"/>
  <c r="Y367" i="3"/>
  <c r="V367" i="3"/>
  <c r="S367" i="3"/>
  <c r="M367" i="3"/>
  <c r="Y366" i="3"/>
  <c r="V366" i="3"/>
  <c r="S366" i="3"/>
  <c r="P365" i="3" s="1"/>
  <c r="S365" i="3" s="1"/>
  <c r="Y365" i="3" s="1"/>
  <c r="M366" i="3"/>
  <c r="W365" i="3"/>
  <c r="T365" i="3"/>
  <c r="Z365" i="3" s="1"/>
  <c r="Z361" i="3" s="1"/>
  <c r="Z360" i="3" s="1"/>
  <c r="R365" i="3"/>
  <c r="X365" i="3" s="1"/>
  <c r="N365" i="3"/>
  <c r="J365" i="3"/>
  <c r="M365" i="3" s="1"/>
  <c r="O365" i="3" s="1"/>
  <c r="Y364" i="3"/>
  <c r="V364" i="3"/>
  <c r="S364" i="3"/>
  <c r="M364" i="3"/>
  <c r="Y363" i="3"/>
  <c r="V363" i="3"/>
  <c r="S363" i="3"/>
  <c r="P362" i="3" s="1"/>
  <c r="S362" i="3" s="1"/>
  <c r="Y362" i="3" s="1"/>
  <c r="M363" i="3"/>
  <c r="J362" i="3" s="1"/>
  <c r="W362" i="3"/>
  <c r="V362" i="3"/>
  <c r="U362" i="3"/>
  <c r="T362" i="3"/>
  <c r="Z362" i="3" s="1"/>
  <c r="N362" i="3"/>
  <c r="V359" i="3"/>
  <c r="S359" i="3"/>
  <c r="Y359" i="3" s="1"/>
  <c r="M359" i="3"/>
  <c r="Y358" i="3"/>
  <c r="V358" i="3"/>
  <c r="S358" i="3"/>
  <c r="M358" i="3"/>
  <c r="J356" i="3" s="1"/>
  <c r="V357" i="3"/>
  <c r="S357" i="3"/>
  <c r="M357" i="3"/>
  <c r="W356" i="3"/>
  <c r="T356" i="3"/>
  <c r="Z356" i="3" s="1"/>
  <c r="N356" i="3"/>
  <c r="Y355" i="3"/>
  <c r="V355" i="3"/>
  <c r="S355" i="3"/>
  <c r="M355" i="3"/>
  <c r="V354" i="3"/>
  <c r="S354" i="3"/>
  <c r="Y354" i="3" s="1"/>
  <c r="M354" i="3"/>
  <c r="Y353" i="3"/>
  <c r="V353" i="3"/>
  <c r="S353" i="3"/>
  <c r="M353" i="3"/>
  <c r="V352" i="3"/>
  <c r="S352" i="3"/>
  <c r="Y352" i="3" s="1"/>
  <c r="M352" i="3"/>
  <c r="J351" i="3" s="1"/>
  <c r="Z351" i="3"/>
  <c r="W351" i="3"/>
  <c r="T351" i="3"/>
  <c r="P351" i="3"/>
  <c r="N351" i="3"/>
  <c r="Y350" i="3"/>
  <c r="V350" i="3"/>
  <c r="S350" i="3"/>
  <c r="M350" i="3"/>
  <c r="V349" i="3"/>
  <c r="S349" i="3"/>
  <c r="Y349" i="3" s="1"/>
  <c r="M349" i="3"/>
  <c r="V348" i="3"/>
  <c r="S348" i="3"/>
  <c r="Y348" i="3" s="1"/>
  <c r="M348" i="3"/>
  <c r="W347" i="3"/>
  <c r="T347" i="3"/>
  <c r="Z347" i="3" s="1"/>
  <c r="N347" i="3"/>
  <c r="V346" i="3"/>
  <c r="S346" i="3"/>
  <c r="Y346" i="3" s="1"/>
  <c r="M346" i="3"/>
  <c r="V345" i="3"/>
  <c r="S345" i="3"/>
  <c r="Y345" i="3" s="1"/>
  <c r="M345" i="3"/>
  <c r="J344" i="3" s="1"/>
  <c r="W344" i="3"/>
  <c r="T344" i="3"/>
  <c r="Z344" i="3" s="1"/>
  <c r="N344" i="3"/>
  <c r="V343" i="3"/>
  <c r="S343" i="3"/>
  <c r="M343" i="3"/>
  <c r="J341" i="3" s="1"/>
  <c r="Y342" i="3"/>
  <c r="V342" i="3"/>
  <c r="S342" i="3"/>
  <c r="M342" i="3"/>
  <c r="W341" i="3"/>
  <c r="T341" i="3"/>
  <c r="Z341" i="3" s="1"/>
  <c r="N341" i="3"/>
  <c r="V340" i="3"/>
  <c r="S340" i="3"/>
  <c r="Y340" i="3" s="1"/>
  <c r="M340" i="3"/>
  <c r="Y339" i="3"/>
  <c r="V339" i="3"/>
  <c r="S339" i="3"/>
  <c r="M339" i="3"/>
  <c r="J338" i="3" s="1"/>
  <c r="W338" i="3"/>
  <c r="T338" i="3"/>
  <c r="Z338" i="3" s="1"/>
  <c r="P338" i="3"/>
  <c r="N338" i="3"/>
  <c r="V337" i="3"/>
  <c r="S337" i="3"/>
  <c r="Y337" i="3" s="1"/>
  <c r="M337" i="3"/>
  <c r="Y336" i="3"/>
  <c r="V336" i="3"/>
  <c r="S336" i="3"/>
  <c r="M336" i="3"/>
  <c r="V335" i="3"/>
  <c r="S335" i="3"/>
  <c r="Y335" i="3" s="1"/>
  <c r="M335" i="3"/>
  <c r="J334" i="3" s="1"/>
  <c r="Z334" i="3"/>
  <c r="W334" i="3"/>
  <c r="T334" i="3"/>
  <c r="P334" i="3"/>
  <c r="N334" i="3"/>
  <c r="Y333" i="3"/>
  <c r="V333" i="3"/>
  <c r="S333" i="3"/>
  <c r="M333" i="3"/>
  <c r="V332" i="3"/>
  <c r="S332" i="3"/>
  <c r="Y332" i="3" s="1"/>
  <c r="M332" i="3"/>
  <c r="W331" i="3"/>
  <c r="T331" i="3"/>
  <c r="Z331" i="3" s="1"/>
  <c r="P331" i="3"/>
  <c r="V331" i="3" s="1"/>
  <c r="N331" i="3"/>
  <c r="J331" i="3"/>
  <c r="Y330" i="3"/>
  <c r="V330" i="3"/>
  <c r="S330" i="3"/>
  <c r="M330" i="3"/>
  <c r="V329" i="3"/>
  <c r="S329" i="3"/>
  <c r="Y329" i="3" s="1"/>
  <c r="M329" i="3"/>
  <c r="J328" i="3" s="1"/>
  <c r="Z328" i="3"/>
  <c r="W328" i="3"/>
  <c r="T328" i="3"/>
  <c r="S328" i="3"/>
  <c r="R328" i="3"/>
  <c r="X328" i="3" s="1"/>
  <c r="P328" i="3"/>
  <c r="V328" i="3" s="1"/>
  <c r="N328" i="3"/>
  <c r="V327" i="3"/>
  <c r="S327" i="3"/>
  <c r="Y327" i="3" s="1"/>
  <c r="M327" i="3"/>
  <c r="V326" i="3"/>
  <c r="S326" i="3"/>
  <c r="Y326" i="3" s="1"/>
  <c r="M326" i="3"/>
  <c r="V325" i="3"/>
  <c r="S325" i="3"/>
  <c r="Y325" i="3" s="1"/>
  <c r="M325" i="3"/>
  <c r="J324" i="3" s="1"/>
  <c r="W324" i="3"/>
  <c r="T324" i="3"/>
  <c r="Z324" i="3" s="1"/>
  <c r="N324" i="3"/>
  <c r="V323" i="3"/>
  <c r="S323" i="3"/>
  <c r="Y323" i="3" s="1"/>
  <c r="M323" i="3"/>
  <c r="J321" i="3" s="1"/>
  <c r="Y322" i="3"/>
  <c r="V322" i="3"/>
  <c r="S322" i="3"/>
  <c r="M322" i="3"/>
  <c r="W321" i="3"/>
  <c r="T321" i="3"/>
  <c r="Z321" i="3" s="1"/>
  <c r="N321" i="3"/>
  <c r="V320" i="3"/>
  <c r="S320" i="3"/>
  <c r="Y320" i="3" s="1"/>
  <c r="M320" i="3"/>
  <c r="V319" i="3"/>
  <c r="S319" i="3"/>
  <c r="Y319" i="3" s="1"/>
  <c r="M319" i="3"/>
  <c r="V318" i="3"/>
  <c r="S318" i="3"/>
  <c r="M318" i="3"/>
  <c r="W317" i="3"/>
  <c r="T317" i="3"/>
  <c r="N317" i="3"/>
  <c r="J317" i="3"/>
  <c r="Y315" i="3"/>
  <c r="V315" i="3"/>
  <c r="S315" i="3"/>
  <c r="M315" i="3"/>
  <c r="V314" i="3"/>
  <c r="S314" i="3"/>
  <c r="Y314" i="3" s="1"/>
  <c r="M314" i="3"/>
  <c r="J313" i="3" s="1"/>
  <c r="Z313" i="3"/>
  <c r="W313" i="3"/>
  <c r="T313" i="3"/>
  <c r="P313" i="3"/>
  <c r="N313" i="3"/>
  <c r="Y312" i="3"/>
  <c r="V312" i="3"/>
  <c r="S312" i="3"/>
  <c r="M312" i="3"/>
  <c r="V311" i="3"/>
  <c r="S311" i="3"/>
  <c r="Y311" i="3" s="1"/>
  <c r="M311" i="3"/>
  <c r="W310" i="3"/>
  <c r="T310" i="3"/>
  <c r="Z310" i="3" s="1"/>
  <c r="N310" i="3"/>
  <c r="L310" i="3"/>
  <c r="J310" i="3"/>
  <c r="M310" i="3" s="1"/>
  <c r="O310" i="3" s="1"/>
  <c r="Y309" i="3"/>
  <c r="V309" i="3"/>
  <c r="S309" i="3"/>
  <c r="M309" i="3"/>
  <c r="V308" i="3"/>
  <c r="S308" i="3"/>
  <c r="Y308" i="3" s="1"/>
  <c r="M308" i="3"/>
  <c r="J307" i="3" s="1"/>
  <c r="Z307" i="3"/>
  <c r="W307" i="3"/>
  <c r="T307" i="3"/>
  <c r="S307" i="3"/>
  <c r="R307" i="3"/>
  <c r="X307" i="3" s="1"/>
  <c r="P307" i="3"/>
  <c r="V307" i="3" s="1"/>
  <c r="N307" i="3"/>
  <c r="V306" i="3"/>
  <c r="S306" i="3"/>
  <c r="Y306" i="3" s="1"/>
  <c r="M306" i="3"/>
  <c r="J304" i="3" s="1"/>
  <c r="V305" i="3"/>
  <c r="S305" i="3"/>
  <c r="Y305" i="3" s="1"/>
  <c r="M305" i="3"/>
  <c r="Z304" i="3"/>
  <c r="W304" i="3"/>
  <c r="T304" i="3"/>
  <c r="N304" i="3"/>
  <c r="V303" i="3"/>
  <c r="S303" i="3"/>
  <c r="Y303" i="3" s="1"/>
  <c r="M303" i="3"/>
  <c r="J301" i="3" s="1"/>
  <c r="V302" i="3"/>
  <c r="S302" i="3"/>
  <c r="Y302" i="3" s="1"/>
  <c r="M302" i="3"/>
  <c r="Z301" i="3"/>
  <c r="W301" i="3"/>
  <c r="T301" i="3"/>
  <c r="T300" i="3" s="1"/>
  <c r="N301" i="3"/>
  <c r="N300" i="3"/>
  <c r="Y299" i="3"/>
  <c r="V299" i="3"/>
  <c r="S299" i="3"/>
  <c r="M299" i="3"/>
  <c r="V298" i="3"/>
  <c r="S298" i="3"/>
  <c r="Y298" i="3" s="1"/>
  <c r="M298" i="3"/>
  <c r="Y297" i="3"/>
  <c r="V297" i="3"/>
  <c r="S297" i="3"/>
  <c r="M297" i="3"/>
  <c r="V296" i="3"/>
  <c r="S296" i="3"/>
  <c r="Y296" i="3" s="1"/>
  <c r="M296" i="3"/>
  <c r="Z295" i="3"/>
  <c r="W295" i="3"/>
  <c r="T295" i="3"/>
  <c r="S295" i="3"/>
  <c r="R295" i="3"/>
  <c r="X295" i="3" s="1"/>
  <c r="P295" i="3"/>
  <c r="V295" i="3" s="1"/>
  <c r="N295" i="3"/>
  <c r="M295" i="3"/>
  <c r="O295" i="3" s="1"/>
  <c r="J295" i="3"/>
  <c r="L295" i="3" s="1"/>
  <c r="Y294" i="3"/>
  <c r="V294" i="3"/>
  <c r="S294" i="3"/>
  <c r="M294" i="3"/>
  <c r="V293" i="3"/>
  <c r="S293" i="3"/>
  <c r="Y293" i="3" s="1"/>
  <c r="M293" i="3"/>
  <c r="Y292" i="3"/>
  <c r="V292" i="3"/>
  <c r="S292" i="3"/>
  <c r="M292" i="3"/>
  <c r="V291" i="3"/>
  <c r="S291" i="3"/>
  <c r="Y291" i="3" s="1"/>
  <c r="M291" i="3"/>
  <c r="Z290" i="3"/>
  <c r="W290" i="3"/>
  <c r="T290" i="3"/>
  <c r="S290" i="3"/>
  <c r="R290" i="3"/>
  <c r="X290" i="3" s="1"/>
  <c r="P290" i="3"/>
  <c r="V290" i="3" s="1"/>
  <c r="N290" i="3"/>
  <c r="M290" i="3"/>
  <c r="O290" i="3" s="1"/>
  <c r="J290" i="3"/>
  <c r="L290" i="3" s="1"/>
  <c r="Y289" i="3"/>
  <c r="V289" i="3"/>
  <c r="S289" i="3"/>
  <c r="M289" i="3"/>
  <c r="V288" i="3"/>
  <c r="S288" i="3"/>
  <c r="Y288" i="3" s="1"/>
  <c r="M288" i="3"/>
  <c r="Y287" i="3"/>
  <c r="V287" i="3"/>
  <c r="S287" i="3"/>
  <c r="M287" i="3"/>
  <c r="V286" i="3"/>
  <c r="S286" i="3"/>
  <c r="Y286" i="3" s="1"/>
  <c r="M286" i="3"/>
  <c r="Z285" i="3"/>
  <c r="W285" i="3"/>
  <c r="T285" i="3"/>
  <c r="S285" i="3"/>
  <c r="R285" i="3"/>
  <c r="X285" i="3" s="1"/>
  <c r="P285" i="3"/>
  <c r="V285" i="3" s="1"/>
  <c r="N285" i="3"/>
  <c r="M285" i="3"/>
  <c r="O285" i="3" s="1"/>
  <c r="J285" i="3"/>
  <c r="L285" i="3" s="1"/>
  <c r="Y284" i="3"/>
  <c r="V284" i="3"/>
  <c r="S284" i="3"/>
  <c r="M284" i="3"/>
  <c r="V283" i="3"/>
  <c r="S283" i="3"/>
  <c r="Y283" i="3" s="1"/>
  <c r="M283" i="3"/>
  <c r="Y282" i="3"/>
  <c r="V282" i="3"/>
  <c r="S282" i="3"/>
  <c r="M282" i="3"/>
  <c r="V281" i="3"/>
  <c r="S281" i="3"/>
  <c r="Y281" i="3" s="1"/>
  <c r="M281" i="3"/>
  <c r="Z280" i="3"/>
  <c r="W280" i="3"/>
  <c r="T280" i="3"/>
  <c r="S280" i="3"/>
  <c r="R280" i="3"/>
  <c r="X280" i="3" s="1"/>
  <c r="P280" i="3"/>
  <c r="V280" i="3" s="1"/>
  <c r="N280" i="3"/>
  <c r="M280" i="3"/>
  <c r="O280" i="3" s="1"/>
  <c r="J280" i="3"/>
  <c r="L280" i="3" s="1"/>
  <c r="Y279" i="3"/>
  <c r="V279" i="3"/>
  <c r="S279" i="3"/>
  <c r="M279" i="3"/>
  <c r="V278" i="3"/>
  <c r="S278" i="3"/>
  <c r="Y278" i="3" s="1"/>
  <c r="M278" i="3"/>
  <c r="Y277" i="3"/>
  <c r="V277" i="3"/>
  <c r="S277" i="3"/>
  <c r="M277" i="3"/>
  <c r="V276" i="3"/>
  <c r="S276" i="3"/>
  <c r="Y276" i="3" s="1"/>
  <c r="M276" i="3"/>
  <c r="Z275" i="3"/>
  <c r="W275" i="3"/>
  <c r="T275" i="3"/>
  <c r="S275" i="3"/>
  <c r="R275" i="3"/>
  <c r="X275" i="3" s="1"/>
  <c r="P275" i="3"/>
  <c r="V275" i="3" s="1"/>
  <c r="N275" i="3"/>
  <c r="M275" i="3"/>
  <c r="O275" i="3" s="1"/>
  <c r="J275" i="3"/>
  <c r="L275" i="3" s="1"/>
  <c r="Y274" i="3"/>
  <c r="V274" i="3"/>
  <c r="S274" i="3"/>
  <c r="M274" i="3"/>
  <c r="V273" i="3"/>
  <c r="S273" i="3"/>
  <c r="Y273" i="3" s="1"/>
  <c r="M273" i="3"/>
  <c r="Y272" i="3"/>
  <c r="V272" i="3"/>
  <c r="S272" i="3"/>
  <c r="M272" i="3"/>
  <c r="V271" i="3"/>
  <c r="S271" i="3"/>
  <c r="Y271" i="3" s="1"/>
  <c r="M271" i="3"/>
  <c r="Z270" i="3"/>
  <c r="W270" i="3"/>
  <c r="T270" i="3"/>
  <c r="R270" i="3"/>
  <c r="X270" i="3" s="1"/>
  <c r="P270" i="3"/>
  <c r="V270" i="3" s="1"/>
  <c r="N270" i="3"/>
  <c r="M270" i="3"/>
  <c r="O270" i="3" s="1"/>
  <c r="J270" i="3"/>
  <c r="L270" i="3" s="1"/>
  <c r="Y269" i="3"/>
  <c r="V269" i="3"/>
  <c r="S269" i="3"/>
  <c r="M269" i="3"/>
  <c r="V268" i="3"/>
  <c r="S268" i="3"/>
  <c r="Y268" i="3" s="1"/>
  <c r="M268" i="3"/>
  <c r="Y267" i="3"/>
  <c r="V267" i="3"/>
  <c r="S267" i="3"/>
  <c r="M267" i="3"/>
  <c r="V266" i="3"/>
  <c r="S266" i="3"/>
  <c r="Y266" i="3" s="1"/>
  <c r="M266" i="3"/>
  <c r="Z265" i="3"/>
  <c r="W265" i="3"/>
  <c r="T265" i="3"/>
  <c r="S265" i="3"/>
  <c r="U265" i="3" s="1"/>
  <c r="R265" i="3"/>
  <c r="X265" i="3" s="1"/>
  <c r="P265" i="3"/>
  <c r="V265" i="3" s="1"/>
  <c r="N265" i="3"/>
  <c r="J265" i="3"/>
  <c r="M265" i="3" s="1"/>
  <c r="O265" i="3" s="1"/>
  <c r="Y264" i="3"/>
  <c r="V264" i="3"/>
  <c r="S264" i="3"/>
  <c r="M264" i="3"/>
  <c r="V263" i="3"/>
  <c r="S263" i="3"/>
  <c r="Y263" i="3" s="1"/>
  <c r="M263" i="3"/>
  <c r="Y262" i="3"/>
  <c r="V262" i="3"/>
  <c r="S262" i="3"/>
  <c r="M262" i="3"/>
  <c r="V261" i="3"/>
  <c r="S261" i="3"/>
  <c r="Y261" i="3" s="1"/>
  <c r="M261" i="3"/>
  <c r="Z260" i="3"/>
  <c r="W260" i="3"/>
  <c r="T260" i="3"/>
  <c r="S260" i="3"/>
  <c r="U260" i="3" s="1"/>
  <c r="R260" i="3"/>
  <c r="X260" i="3" s="1"/>
  <c r="P260" i="3"/>
  <c r="V260" i="3" s="1"/>
  <c r="N260" i="3"/>
  <c r="J260" i="3"/>
  <c r="Y259" i="3"/>
  <c r="V259" i="3"/>
  <c r="S259" i="3"/>
  <c r="M259" i="3"/>
  <c r="V258" i="3"/>
  <c r="S258" i="3"/>
  <c r="Y258" i="3" s="1"/>
  <c r="M258" i="3"/>
  <c r="Y257" i="3"/>
  <c r="V257" i="3"/>
  <c r="S257" i="3"/>
  <c r="M257" i="3"/>
  <c r="V256" i="3"/>
  <c r="S256" i="3"/>
  <c r="Y256" i="3" s="1"/>
  <c r="M256" i="3"/>
  <c r="Z255" i="3"/>
  <c r="Y255" i="3"/>
  <c r="AA255" i="3" s="1"/>
  <c r="W255" i="3"/>
  <c r="T255" i="3"/>
  <c r="S255" i="3"/>
  <c r="U255" i="3" s="1"/>
  <c r="R255" i="3"/>
  <c r="X255" i="3" s="1"/>
  <c r="P255" i="3"/>
  <c r="V255" i="3" s="1"/>
  <c r="N255" i="3"/>
  <c r="J255" i="3"/>
  <c r="Y254" i="3"/>
  <c r="V254" i="3"/>
  <c r="S254" i="3"/>
  <c r="M254" i="3"/>
  <c r="V253" i="3"/>
  <c r="S253" i="3"/>
  <c r="Y253" i="3" s="1"/>
  <c r="M253" i="3"/>
  <c r="J251" i="3" s="1"/>
  <c r="Y252" i="3"/>
  <c r="V252" i="3"/>
  <c r="S252" i="3"/>
  <c r="P251" i="3" s="1"/>
  <c r="S251" i="3" s="1"/>
  <c r="Y251" i="3" s="1"/>
  <c r="M252" i="3"/>
  <c r="Z251" i="3"/>
  <c r="X251" i="3"/>
  <c r="W251" i="3"/>
  <c r="V251" i="3"/>
  <c r="U251" i="3"/>
  <c r="T251" i="3"/>
  <c r="R251" i="3"/>
  <c r="N251" i="3"/>
  <c r="V250" i="3"/>
  <c r="S250" i="3"/>
  <c r="Y250" i="3" s="1"/>
  <c r="M250" i="3"/>
  <c r="J248" i="3" s="1"/>
  <c r="M248" i="3" s="1"/>
  <c r="O248" i="3" s="1"/>
  <c r="V249" i="3"/>
  <c r="S249" i="3"/>
  <c r="P248" i="3" s="1"/>
  <c r="S248" i="3" s="1"/>
  <c r="Y248" i="3" s="1"/>
  <c r="AA248" i="3" s="1"/>
  <c r="M249" i="3"/>
  <c r="Z248" i="3"/>
  <c r="X248" i="3"/>
  <c r="W248" i="3"/>
  <c r="V248" i="3"/>
  <c r="T248" i="3"/>
  <c r="R248" i="3"/>
  <c r="N248" i="3"/>
  <c r="L248" i="3"/>
  <c r="V247" i="3"/>
  <c r="S247" i="3"/>
  <c r="Y247" i="3" s="1"/>
  <c r="M247" i="3"/>
  <c r="Y246" i="3"/>
  <c r="V246" i="3"/>
  <c r="S246" i="3"/>
  <c r="P244" i="3" s="1"/>
  <c r="R244" i="3" s="1"/>
  <c r="X244" i="3" s="1"/>
  <c r="M246" i="3"/>
  <c r="V245" i="3"/>
  <c r="S245" i="3"/>
  <c r="Y245" i="3" s="1"/>
  <c r="M245" i="3"/>
  <c r="W244" i="3"/>
  <c r="V244" i="3"/>
  <c r="T244" i="3"/>
  <c r="Z244" i="3" s="1"/>
  <c r="S244" i="3"/>
  <c r="N244" i="3"/>
  <c r="J244" i="3"/>
  <c r="L244" i="3" s="1"/>
  <c r="Y243" i="3"/>
  <c r="V243" i="3"/>
  <c r="S243" i="3"/>
  <c r="P241" i="3" s="1"/>
  <c r="M243" i="3"/>
  <c r="V242" i="3"/>
  <c r="S242" i="3"/>
  <c r="Y242" i="3" s="1"/>
  <c r="M242" i="3"/>
  <c r="Z241" i="3"/>
  <c r="W241" i="3"/>
  <c r="T241" i="3"/>
  <c r="N241" i="3"/>
  <c r="J241" i="3"/>
  <c r="L241" i="3" s="1"/>
  <c r="V240" i="3"/>
  <c r="S240" i="3"/>
  <c r="Y240" i="3" s="1"/>
  <c r="M240" i="3"/>
  <c r="V239" i="3"/>
  <c r="S239" i="3"/>
  <c r="Y239" i="3" s="1"/>
  <c r="M239" i="3"/>
  <c r="J238" i="3" s="1"/>
  <c r="W238" i="3"/>
  <c r="T238" i="3"/>
  <c r="Z238" i="3" s="1"/>
  <c r="N238" i="3"/>
  <c r="Y237" i="3"/>
  <c r="V237" i="3"/>
  <c r="S237" i="3"/>
  <c r="M237" i="3"/>
  <c r="V236" i="3"/>
  <c r="S236" i="3"/>
  <c r="Y236" i="3" s="1"/>
  <c r="M236" i="3"/>
  <c r="J234" i="3" s="1"/>
  <c r="V235" i="3"/>
  <c r="S235" i="3"/>
  <c r="M235" i="3"/>
  <c r="Z234" i="3"/>
  <c r="W234" i="3"/>
  <c r="T234" i="3"/>
  <c r="N234" i="3"/>
  <c r="M234" i="3"/>
  <c r="O234" i="3" s="1"/>
  <c r="L234" i="3"/>
  <c r="V233" i="3"/>
  <c r="S233" i="3"/>
  <c r="Y233" i="3" s="1"/>
  <c r="M233" i="3"/>
  <c r="V232" i="3"/>
  <c r="S232" i="3"/>
  <c r="Y232" i="3" s="1"/>
  <c r="M232" i="3"/>
  <c r="V231" i="3"/>
  <c r="S231" i="3"/>
  <c r="M231" i="3"/>
  <c r="W230" i="3"/>
  <c r="T230" i="3"/>
  <c r="Z230" i="3" s="1"/>
  <c r="N230" i="3"/>
  <c r="Y229" i="3"/>
  <c r="V229" i="3"/>
  <c r="S229" i="3"/>
  <c r="P227" i="3" s="1"/>
  <c r="M229" i="3"/>
  <c r="V228" i="3"/>
  <c r="S228" i="3"/>
  <c r="Y228" i="3" s="1"/>
  <c r="M228" i="3"/>
  <c r="J227" i="3" s="1"/>
  <c r="L227" i="3" s="1"/>
  <c r="Z227" i="3"/>
  <c r="W227" i="3"/>
  <c r="T227" i="3"/>
  <c r="N227" i="3"/>
  <c r="Y226" i="3"/>
  <c r="V226" i="3"/>
  <c r="S226" i="3"/>
  <c r="M226" i="3"/>
  <c r="V225" i="3"/>
  <c r="S225" i="3"/>
  <c r="M225" i="3"/>
  <c r="Z224" i="3"/>
  <c r="W224" i="3"/>
  <c r="T224" i="3"/>
  <c r="N224" i="3"/>
  <c r="M224" i="3"/>
  <c r="O224" i="3" s="1"/>
  <c r="L224" i="3"/>
  <c r="J224" i="3"/>
  <c r="V223" i="3"/>
  <c r="S223" i="3"/>
  <c r="Y223" i="3" s="1"/>
  <c r="M223" i="3"/>
  <c r="V222" i="3"/>
  <c r="S222" i="3"/>
  <c r="Y222" i="3" s="1"/>
  <c r="M222" i="3"/>
  <c r="V221" i="3"/>
  <c r="S221" i="3"/>
  <c r="Y221" i="3" s="1"/>
  <c r="M221" i="3"/>
  <c r="J220" i="3" s="1"/>
  <c r="L220" i="3" s="1"/>
  <c r="W220" i="3"/>
  <c r="T220" i="3"/>
  <c r="Z220" i="3" s="1"/>
  <c r="N220" i="3"/>
  <c r="M220" i="3"/>
  <c r="O220" i="3" s="1"/>
  <c r="V219" i="3"/>
  <c r="S219" i="3"/>
  <c r="Y219" i="3" s="1"/>
  <c r="M219" i="3"/>
  <c r="V218" i="3"/>
  <c r="S218" i="3"/>
  <c r="P217" i="3" s="1"/>
  <c r="M218" i="3"/>
  <c r="W217" i="3"/>
  <c r="V217" i="3"/>
  <c r="T217" i="3"/>
  <c r="Z217" i="3" s="1"/>
  <c r="N217" i="3"/>
  <c r="L217" i="3"/>
  <c r="J217" i="3"/>
  <c r="M217" i="3" s="1"/>
  <c r="O217" i="3" s="1"/>
  <c r="V216" i="3"/>
  <c r="S216" i="3"/>
  <c r="Y216" i="3" s="1"/>
  <c r="M216" i="3"/>
  <c r="Y215" i="3"/>
  <c r="V215" i="3"/>
  <c r="S215" i="3"/>
  <c r="M215" i="3"/>
  <c r="J213" i="3" s="1"/>
  <c r="V214" i="3"/>
  <c r="S214" i="3"/>
  <c r="M214" i="3"/>
  <c r="Z213" i="3"/>
  <c r="W213" i="3"/>
  <c r="T213" i="3"/>
  <c r="N213" i="3"/>
  <c r="M213" i="3"/>
  <c r="O213" i="3" s="1"/>
  <c r="L213" i="3"/>
  <c r="V212" i="3"/>
  <c r="S212" i="3"/>
  <c r="Y212" i="3" s="1"/>
  <c r="M212" i="3"/>
  <c r="V211" i="3"/>
  <c r="S211" i="3"/>
  <c r="M211" i="3"/>
  <c r="W210" i="3"/>
  <c r="T210" i="3"/>
  <c r="Z210" i="3" s="1"/>
  <c r="N210" i="3"/>
  <c r="L210" i="3"/>
  <c r="J210" i="3"/>
  <c r="M210" i="3" s="1"/>
  <c r="O210" i="3" s="1"/>
  <c r="V209" i="3"/>
  <c r="S209" i="3"/>
  <c r="Y209" i="3" s="1"/>
  <c r="M209" i="3"/>
  <c r="V208" i="3"/>
  <c r="S208" i="3"/>
  <c r="M208" i="3"/>
  <c r="W207" i="3"/>
  <c r="T207" i="3"/>
  <c r="Z207" i="3" s="1"/>
  <c r="N207" i="3"/>
  <c r="L207" i="3"/>
  <c r="J207" i="3"/>
  <c r="M207" i="3" s="1"/>
  <c r="O207" i="3" s="1"/>
  <c r="Y206" i="3"/>
  <c r="V206" i="3"/>
  <c r="S206" i="3"/>
  <c r="M206" i="3"/>
  <c r="V205" i="3"/>
  <c r="S205" i="3"/>
  <c r="Y205" i="3" s="1"/>
  <c r="M205" i="3"/>
  <c r="J202" i="3" s="1"/>
  <c r="M202" i="3" s="1"/>
  <c r="O202" i="3" s="1"/>
  <c r="Y204" i="3"/>
  <c r="V204" i="3"/>
  <c r="S204" i="3"/>
  <c r="M204" i="3"/>
  <c r="V203" i="3"/>
  <c r="S203" i="3"/>
  <c r="M203" i="3"/>
  <c r="W202" i="3"/>
  <c r="T202" i="3"/>
  <c r="Z202" i="3" s="1"/>
  <c r="N202" i="3"/>
  <c r="Y201" i="3"/>
  <c r="V201" i="3"/>
  <c r="S201" i="3"/>
  <c r="M201" i="3"/>
  <c r="V200" i="3"/>
  <c r="S200" i="3"/>
  <c r="Y200" i="3" s="1"/>
  <c r="M200" i="3"/>
  <c r="Y199" i="3"/>
  <c r="V199" i="3"/>
  <c r="S199" i="3"/>
  <c r="M199" i="3"/>
  <c r="V198" i="3"/>
  <c r="S198" i="3"/>
  <c r="M198" i="3"/>
  <c r="W197" i="3"/>
  <c r="T197" i="3"/>
  <c r="Z197" i="3" s="1"/>
  <c r="N197" i="3"/>
  <c r="J197" i="3"/>
  <c r="Y196" i="3"/>
  <c r="V196" i="3"/>
  <c r="S196" i="3"/>
  <c r="M196" i="3"/>
  <c r="V195" i="3"/>
  <c r="S195" i="3"/>
  <c r="Y195" i="3" s="1"/>
  <c r="M195" i="3"/>
  <c r="J192" i="3" s="1"/>
  <c r="Y194" i="3"/>
  <c r="V194" i="3"/>
  <c r="S194" i="3"/>
  <c r="M194" i="3"/>
  <c r="V193" i="3"/>
  <c r="S193" i="3"/>
  <c r="M193" i="3"/>
  <c r="W192" i="3"/>
  <c r="T192" i="3"/>
  <c r="Z192" i="3" s="1"/>
  <c r="N192" i="3"/>
  <c r="Y191" i="3"/>
  <c r="V191" i="3"/>
  <c r="S191" i="3"/>
  <c r="M191" i="3"/>
  <c r="V190" i="3"/>
  <c r="S190" i="3"/>
  <c r="Y190" i="3" s="1"/>
  <c r="M190" i="3"/>
  <c r="J188" i="3" s="1"/>
  <c r="Y189" i="3"/>
  <c r="V189" i="3"/>
  <c r="S189" i="3"/>
  <c r="M189" i="3"/>
  <c r="W188" i="3"/>
  <c r="T188" i="3"/>
  <c r="Z188" i="3" s="1"/>
  <c r="P188" i="3"/>
  <c r="N188" i="3"/>
  <c r="V187" i="3"/>
  <c r="S187" i="3"/>
  <c r="Y187" i="3" s="1"/>
  <c r="M187" i="3"/>
  <c r="Y186" i="3"/>
  <c r="V186" i="3"/>
  <c r="S186" i="3"/>
  <c r="M186" i="3"/>
  <c r="V185" i="3"/>
  <c r="S185" i="3"/>
  <c r="M185" i="3"/>
  <c r="Y184" i="3"/>
  <c r="V184" i="3"/>
  <c r="S184" i="3"/>
  <c r="M184" i="3"/>
  <c r="W183" i="3"/>
  <c r="T183" i="3"/>
  <c r="Z183" i="3" s="1"/>
  <c r="N183" i="3"/>
  <c r="V182" i="3"/>
  <c r="S182" i="3"/>
  <c r="Y182" i="3" s="1"/>
  <c r="M182" i="3"/>
  <c r="Y181" i="3"/>
  <c r="V181" i="3"/>
  <c r="S181" i="3"/>
  <c r="M181" i="3"/>
  <c r="V180" i="3"/>
  <c r="S180" i="3"/>
  <c r="Y180" i="3" s="1"/>
  <c r="M180" i="3"/>
  <c r="Y179" i="3"/>
  <c r="V179" i="3"/>
  <c r="S179" i="3"/>
  <c r="M179" i="3"/>
  <c r="W178" i="3"/>
  <c r="T178" i="3"/>
  <c r="Z178" i="3" s="1"/>
  <c r="P178" i="3"/>
  <c r="N178" i="3"/>
  <c r="V177" i="3"/>
  <c r="S177" i="3"/>
  <c r="Y177" i="3" s="1"/>
  <c r="M177" i="3"/>
  <c r="J174" i="3" s="1"/>
  <c r="Y176" i="3"/>
  <c r="V176" i="3"/>
  <c r="S176" i="3"/>
  <c r="M176" i="3"/>
  <c r="V175" i="3"/>
  <c r="S175" i="3"/>
  <c r="M175" i="3"/>
  <c r="W174" i="3"/>
  <c r="T174" i="3"/>
  <c r="N174" i="3"/>
  <c r="Y173" i="3"/>
  <c r="V173" i="3"/>
  <c r="S173" i="3"/>
  <c r="M173" i="3"/>
  <c r="V172" i="3"/>
  <c r="S172" i="3"/>
  <c r="Y172" i="3" s="1"/>
  <c r="M172" i="3"/>
  <c r="J170" i="3" s="1"/>
  <c r="Y171" i="3"/>
  <c r="V171" i="3"/>
  <c r="S171" i="3"/>
  <c r="M171" i="3"/>
  <c r="W170" i="3"/>
  <c r="T170" i="3"/>
  <c r="Z170" i="3" s="1"/>
  <c r="N170" i="3"/>
  <c r="V169" i="3"/>
  <c r="S169" i="3"/>
  <c r="Y169" i="3" s="1"/>
  <c r="M169" i="3"/>
  <c r="Y168" i="3"/>
  <c r="V168" i="3"/>
  <c r="S168" i="3"/>
  <c r="M168" i="3"/>
  <c r="V167" i="3"/>
  <c r="S167" i="3"/>
  <c r="M167" i="3"/>
  <c r="J166" i="3" s="1"/>
  <c r="W166" i="3"/>
  <c r="T166" i="3"/>
  <c r="Z166" i="3" s="1"/>
  <c r="N166" i="3"/>
  <c r="Y165" i="3"/>
  <c r="V165" i="3"/>
  <c r="S165" i="3"/>
  <c r="M165" i="3"/>
  <c r="V164" i="3"/>
  <c r="S164" i="3"/>
  <c r="Y164" i="3" s="1"/>
  <c r="M164" i="3"/>
  <c r="J162" i="3" s="1"/>
  <c r="Y163" i="3"/>
  <c r="V163" i="3"/>
  <c r="S163" i="3"/>
  <c r="M163" i="3"/>
  <c r="W162" i="3"/>
  <c r="T162" i="3"/>
  <c r="Z162" i="3" s="1"/>
  <c r="P162" i="3"/>
  <c r="N162" i="3"/>
  <c r="V161" i="3"/>
  <c r="S161" i="3"/>
  <c r="Y161" i="3" s="1"/>
  <c r="M161" i="3"/>
  <c r="Y160" i="3"/>
  <c r="V160" i="3"/>
  <c r="S160" i="3"/>
  <c r="M160" i="3"/>
  <c r="V159" i="3"/>
  <c r="S159" i="3"/>
  <c r="Y159" i="3" s="1"/>
  <c r="M159" i="3"/>
  <c r="Y158" i="3"/>
  <c r="V158" i="3"/>
  <c r="S158" i="3"/>
  <c r="M158" i="3"/>
  <c r="W157" i="3"/>
  <c r="T157" i="3"/>
  <c r="Z157" i="3" s="1"/>
  <c r="N157" i="3"/>
  <c r="V156" i="3"/>
  <c r="S156" i="3"/>
  <c r="Y156" i="3" s="1"/>
  <c r="M156" i="3"/>
  <c r="Y155" i="3"/>
  <c r="V155" i="3"/>
  <c r="S155" i="3"/>
  <c r="M155" i="3"/>
  <c r="V154" i="3"/>
  <c r="S154" i="3"/>
  <c r="M154" i="3"/>
  <c r="J152" i="3" s="1"/>
  <c r="Y153" i="3"/>
  <c r="V153" i="3"/>
  <c r="S153" i="3"/>
  <c r="M153" i="3"/>
  <c r="W152" i="3"/>
  <c r="T152" i="3"/>
  <c r="Z152" i="3" s="1"/>
  <c r="N152" i="3"/>
  <c r="V151" i="3"/>
  <c r="S151" i="3"/>
  <c r="Y151" i="3" s="1"/>
  <c r="M151" i="3"/>
  <c r="J148" i="3" s="1"/>
  <c r="Y150" i="3"/>
  <c r="V150" i="3"/>
  <c r="S150" i="3"/>
  <c r="M150" i="3"/>
  <c r="V149" i="3"/>
  <c r="S149" i="3"/>
  <c r="M149" i="3"/>
  <c r="W148" i="3"/>
  <c r="T148" i="3"/>
  <c r="Z148" i="3" s="1"/>
  <c r="N148" i="3"/>
  <c r="Y147" i="3"/>
  <c r="V147" i="3"/>
  <c r="S147" i="3"/>
  <c r="M147" i="3"/>
  <c r="V146" i="3"/>
  <c r="S146" i="3"/>
  <c r="Y146" i="3" s="1"/>
  <c r="M146" i="3"/>
  <c r="J144" i="3" s="1"/>
  <c r="Y145" i="3"/>
  <c r="V145" i="3"/>
  <c r="S145" i="3"/>
  <c r="M145" i="3"/>
  <c r="W144" i="3"/>
  <c r="T144" i="3"/>
  <c r="Z144" i="3" s="1"/>
  <c r="P144" i="3"/>
  <c r="N144" i="3"/>
  <c r="V143" i="3"/>
  <c r="S143" i="3"/>
  <c r="Y143" i="3" s="1"/>
  <c r="M143" i="3"/>
  <c r="Y142" i="3"/>
  <c r="V142" i="3"/>
  <c r="S142" i="3"/>
  <c r="M142" i="3"/>
  <c r="V141" i="3"/>
  <c r="S141" i="3"/>
  <c r="M141" i="3"/>
  <c r="Y140" i="3"/>
  <c r="V140" i="3"/>
  <c r="S140" i="3"/>
  <c r="M140" i="3"/>
  <c r="W139" i="3"/>
  <c r="T139" i="3"/>
  <c r="Z139" i="3" s="1"/>
  <c r="N139" i="3"/>
  <c r="V138" i="3"/>
  <c r="S138" i="3"/>
  <c r="Y138" i="3" s="1"/>
  <c r="M138" i="3"/>
  <c r="Y137" i="3"/>
  <c r="V137" i="3"/>
  <c r="S137" i="3"/>
  <c r="M137" i="3"/>
  <c r="V136" i="3"/>
  <c r="S136" i="3"/>
  <c r="Y136" i="3" s="1"/>
  <c r="M136" i="3"/>
  <c r="Y135" i="3"/>
  <c r="V135" i="3"/>
  <c r="S135" i="3"/>
  <c r="M135" i="3"/>
  <c r="W134" i="3"/>
  <c r="T134" i="3"/>
  <c r="Z134" i="3" s="1"/>
  <c r="P134" i="3"/>
  <c r="N134" i="3"/>
  <c r="V133" i="3"/>
  <c r="S133" i="3"/>
  <c r="Y133" i="3" s="1"/>
  <c r="M133" i="3"/>
  <c r="J131" i="3" s="1"/>
  <c r="Y132" i="3"/>
  <c r="V132" i="3"/>
  <c r="S132" i="3"/>
  <c r="M132" i="3"/>
  <c r="W131" i="3"/>
  <c r="T131" i="3"/>
  <c r="Z131" i="3" s="1"/>
  <c r="P131" i="3"/>
  <c r="N131" i="3"/>
  <c r="N130" i="3" s="1"/>
  <c r="V128" i="3"/>
  <c r="S128" i="3"/>
  <c r="M128" i="3"/>
  <c r="Y127" i="3"/>
  <c r="V127" i="3"/>
  <c r="S127" i="3"/>
  <c r="M127" i="3"/>
  <c r="Z126" i="3"/>
  <c r="W126" i="3"/>
  <c r="T126" i="3"/>
  <c r="N126" i="3"/>
  <c r="M126" i="3"/>
  <c r="O126" i="3" s="1"/>
  <c r="J126" i="3"/>
  <c r="L126" i="3" s="1"/>
  <c r="Y125" i="3"/>
  <c r="V125" i="3"/>
  <c r="S125" i="3"/>
  <c r="M125" i="3"/>
  <c r="Y124" i="3"/>
  <c r="V124" i="3"/>
  <c r="S124" i="3"/>
  <c r="M124" i="3"/>
  <c r="Y123" i="3"/>
  <c r="V123" i="3"/>
  <c r="S123" i="3"/>
  <c r="M123" i="3"/>
  <c r="Y122" i="3"/>
  <c r="V122" i="3"/>
  <c r="S122" i="3"/>
  <c r="M122" i="3"/>
  <c r="Z121" i="3"/>
  <c r="W121" i="3"/>
  <c r="V121" i="3"/>
  <c r="T121" i="3"/>
  <c r="S121" i="3"/>
  <c r="R121" i="3"/>
  <c r="X121" i="3" s="1"/>
  <c r="P121" i="3"/>
  <c r="N121" i="3"/>
  <c r="M121" i="3"/>
  <c r="O121" i="3" s="1"/>
  <c r="J121" i="3"/>
  <c r="L121" i="3" s="1"/>
  <c r="V120" i="3"/>
  <c r="S120" i="3"/>
  <c r="Y120" i="3" s="1"/>
  <c r="M120" i="3"/>
  <c r="Y119" i="3"/>
  <c r="V119" i="3"/>
  <c r="S119" i="3"/>
  <c r="M119" i="3"/>
  <c r="V118" i="3"/>
  <c r="S118" i="3"/>
  <c r="M118" i="3"/>
  <c r="Y117" i="3"/>
  <c r="V117" i="3"/>
  <c r="S117" i="3"/>
  <c r="M117" i="3"/>
  <c r="Z116" i="3"/>
  <c r="W116" i="3"/>
  <c r="T116" i="3"/>
  <c r="N116" i="3"/>
  <c r="M116" i="3"/>
  <c r="O116" i="3" s="1"/>
  <c r="J116" i="3"/>
  <c r="L116" i="3" s="1"/>
  <c r="Y115" i="3"/>
  <c r="V115" i="3"/>
  <c r="S115" i="3"/>
  <c r="M115" i="3"/>
  <c r="Y114" i="3"/>
  <c r="V114" i="3"/>
  <c r="S114" i="3"/>
  <c r="M114" i="3"/>
  <c r="Z113" i="3"/>
  <c r="W113" i="3"/>
  <c r="V113" i="3"/>
  <c r="T113" i="3"/>
  <c r="S113" i="3"/>
  <c r="R113" i="3"/>
  <c r="X113" i="3" s="1"/>
  <c r="P113" i="3"/>
  <c r="N113" i="3"/>
  <c r="M113" i="3"/>
  <c r="O113" i="3" s="1"/>
  <c r="J113" i="3"/>
  <c r="L113" i="3" s="1"/>
  <c r="V112" i="3"/>
  <c r="S112" i="3"/>
  <c r="Y112" i="3" s="1"/>
  <c r="M112" i="3"/>
  <c r="Y111" i="3"/>
  <c r="V111" i="3"/>
  <c r="S111" i="3"/>
  <c r="M111" i="3"/>
  <c r="J109" i="3" s="1"/>
  <c r="L109" i="3" s="1"/>
  <c r="V110" i="3"/>
  <c r="S110" i="3"/>
  <c r="M110" i="3"/>
  <c r="Z109" i="3"/>
  <c r="W109" i="3"/>
  <c r="T109" i="3"/>
  <c r="N109" i="3"/>
  <c r="M109" i="3"/>
  <c r="Y108" i="3"/>
  <c r="V108" i="3"/>
  <c r="S108" i="3"/>
  <c r="M108" i="3"/>
  <c r="V107" i="3"/>
  <c r="S107" i="3"/>
  <c r="Y107" i="3" s="1"/>
  <c r="M107" i="3"/>
  <c r="Y106" i="3"/>
  <c r="V106" i="3"/>
  <c r="S106" i="3"/>
  <c r="M106" i="3"/>
  <c r="J104" i="3" s="1"/>
  <c r="L104" i="3" s="1"/>
  <c r="V105" i="3"/>
  <c r="S105" i="3"/>
  <c r="P104" i="3" s="1"/>
  <c r="M105" i="3"/>
  <c r="Z104" i="3"/>
  <c r="W104" i="3"/>
  <c r="T104" i="3"/>
  <c r="R104" i="3"/>
  <c r="X104" i="3" s="1"/>
  <c r="O104" i="3"/>
  <c r="N104" i="3"/>
  <c r="M104" i="3"/>
  <c r="V103" i="3"/>
  <c r="S103" i="3"/>
  <c r="Y103" i="3" s="1"/>
  <c r="M103" i="3"/>
  <c r="Y102" i="3"/>
  <c r="V102" i="3"/>
  <c r="S102" i="3"/>
  <c r="M102" i="3"/>
  <c r="V101" i="3"/>
  <c r="S101" i="3"/>
  <c r="Y101" i="3" s="1"/>
  <c r="M101" i="3"/>
  <c r="V100" i="3"/>
  <c r="S100" i="3"/>
  <c r="P99" i="3" s="1"/>
  <c r="R99" i="3" s="1"/>
  <c r="X99" i="3" s="1"/>
  <c r="M100" i="3"/>
  <c r="Z99" i="3"/>
  <c r="W99" i="3"/>
  <c r="T99" i="3"/>
  <c r="N99" i="3"/>
  <c r="N93" i="3" s="1"/>
  <c r="V98" i="3"/>
  <c r="S98" i="3"/>
  <c r="Y98" i="3" s="1"/>
  <c r="M98" i="3"/>
  <c r="Y97" i="3"/>
  <c r="V97" i="3"/>
  <c r="S97" i="3"/>
  <c r="M97" i="3"/>
  <c r="V96" i="3"/>
  <c r="S96" i="3"/>
  <c r="Y96" i="3" s="1"/>
  <c r="M96" i="3"/>
  <c r="Y95" i="3"/>
  <c r="V95" i="3"/>
  <c r="S95" i="3"/>
  <c r="M95" i="3"/>
  <c r="Z94" i="3"/>
  <c r="W94" i="3"/>
  <c r="T94" i="3"/>
  <c r="N94" i="3"/>
  <c r="Z93" i="3"/>
  <c r="T93" i="3"/>
  <c r="V92" i="3"/>
  <c r="S92" i="3"/>
  <c r="Y92" i="3" s="1"/>
  <c r="M92" i="3"/>
  <c r="J91" i="3" s="1"/>
  <c r="W91" i="3"/>
  <c r="T91" i="3"/>
  <c r="Z91" i="3" s="1"/>
  <c r="N91" i="3"/>
  <c r="V90" i="3"/>
  <c r="S90" i="3"/>
  <c r="Y90" i="3" s="1"/>
  <c r="M90" i="3"/>
  <c r="Y89" i="3"/>
  <c r="V89" i="3"/>
  <c r="S89" i="3"/>
  <c r="P88" i="3" s="1"/>
  <c r="M89" i="3"/>
  <c r="Z88" i="3"/>
  <c r="W88" i="3"/>
  <c r="T88" i="3"/>
  <c r="N88" i="3"/>
  <c r="N84" i="3" s="1"/>
  <c r="J88" i="3"/>
  <c r="M88" i="3" s="1"/>
  <c r="O88" i="3" s="1"/>
  <c r="Y87" i="3"/>
  <c r="V87" i="3"/>
  <c r="S87" i="3"/>
  <c r="M87" i="3"/>
  <c r="V86" i="3"/>
  <c r="S86" i="3"/>
  <c r="Y86" i="3" s="1"/>
  <c r="M86" i="3"/>
  <c r="J85" i="3" s="1"/>
  <c r="W85" i="3"/>
  <c r="T85" i="3"/>
  <c r="Z85" i="3" s="1"/>
  <c r="N85" i="3"/>
  <c r="T84" i="3"/>
  <c r="Y83" i="3"/>
  <c r="V83" i="3"/>
  <c r="S83" i="3"/>
  <c r="M83" i="3"/>
  <c r="J82" i="3" s="1"/>
  <c r="Z82" i="3"/>
  <c r="W82" i="3"/>
  <c r="T82" i="3"/>
  <c r="P82" i="3"/>
  <c r="N82" i="3"/>
  <c r="N54" i="3" s="1"/>
  <c r="N53" i="3" s="1"/>
  <c r="V81" i="3"/>
  <c r="S81" i="3"/>
  <c r="M81" i="3"/>
  <c r="J80" i="3" s="1"/>
  <c r="Z80" i="3"/>
  <c r="W80" i="3"/>
  <c r="T80" i="3"/>
  <c r="N80" i="3"/>
  <c r="Y79" i="3"/>
  <c r="V79" i="3"/>
  <c r="S79" i="3"/>
  <c r="M79" i="3"/>
  <c r="V78" i="3"/>
  <c r="S78" i="3"/>
  <c r="Y78" i="3" s="1"/>
  <c r="M78" i="3"/>
  <c r="Y77" i="3"/>
  <c r="V77" i="3"/>
  <c r="S77" i="3"/>
  <c r="M77" i="3"/>
  <c r="J76" i="3" s="1"/>
  <c r="Z76" i="3"/>
  <c r="W76" i="3"/>
  <c r="T76" i="3"/>
  <c r="P76" i="3"/>
  <c r="V76" i="3" s="1"/>
  <c r="N76" i="3"/>
  <c r="V75" i="3"/>
  <c r="S75" i="3"/>
  <c r="Y75" i="3" s="1"/>
  <c r="M75" i="3"/>
  <c r="Y74" i="3"/>
  <c r="V74" i="3"/>
  <c r="S74" i="3"/>
  <c r="M74" i="3"/>
  <c r="V73" i="3"/>
  <c r="S73" i="3"/>
  <c r="Y73" i="3" s="1"/>
  <c r="M73" i="3"/>
  <c r="J71" i="3" s="1"/>
  <c r="Y72" i="3"/>
  <c r="V72" i="3"/>
  <c r="S72" i="3"/>
  <c r="M72" i="3"/>
  <c r="Z71" i="3"/>
  <c r="W71" i="3"/>
  <c r="T71" i="3"/>
  <c r="P71" i="3"/>
  <c r="R71" i="3" s="1"/>
  <c r="X71" i="3" s="1"/>
  <c r="N71" i="3"/>
  <c r="V70" i="3"/>
  <c r="S70" i="3"/>
  <c r="Y70" i="3" s="1"/>
  <c r="M70" i="3"/>
  <c r="J67" i="3" s="1"/>
  <c r="Y69" i="3"/>
  <c r="V69" i="3"/>
  <c r="S69" i="3"/>
  <c r="M69" i="3"/>
  <c r="V68" i="3"/>
  <c r="S68" i="3"/>
  <c r="M68" i="3"/>
  <c r="W67" i="3"/>
  <c r="T67" i="3"/>
  <c r="Z67" i="3" s="1"/>
  <c r="N67" i="3"/>
  <c r="Y66" i="3"/>
  <c r="V66" i="3"/>
  <c r="S66" i="3"/>
  <c r="M66" i="3"/>
  <c r="V65" i="3"/>
  <c r="S65" i="3"/>
  <c r="Y65" i="3" s="1"/>
  <c r="M65" i="3"/>
  <c r="Y64" i="3"/>
  <c r="V64" i="3"/>
  <c r="S64" i="3"/>
  <c r="M64" i="3"/>
  <c r="V63" i="3"/>
  <c r="S63" i="3"/>
  <c r="M63" i="3"/>
  <c r="W62" i="3"/>
  <c r="T62" i="3"/>
  <c r="Z62" i="3" s="1"/>
  <c r="N62" i="3"/>
  <c r="J62" i="3"/>
  <c r="M62" i="3" s="1"/>
  <c r="O62" i="3" s="1"/>
  <c r="V61" i="3"/>
  <c r="S61" i="3"/>
  <c r="Y61" i="3" s="1"/>
  <c r="M61" i="3"/>
  <c r="Z60" i="3"/>
  <c r="W60" i="3"/>
  <c r="T60" i="3"/>
  <c r="P60" i="3"/>
  <c r="O60" i="3"/>
  <c r="N60" i="3"/>
  <c r="M60" i="3"/>
  <c r="J60" i="3"/>
  <c r="L60" i="3" s="1"/>
  <c r="V59" i="3"/>
  <c r="S59" i="3"/>
  <c r="M59" i="3"/>
  <c r="W58" i="3"/>
  <c r="T58" i="3"/>
  <c r="Z58" i="3" s="1"/>
  <c r="N58" i="3"/>
  <c r="M58" i="3"/>
  <c r="O58" i="3" s="1"/>
  <c r="L58" i="3"/>
  <c r="J58" i="3"/>
  <c r="V57" i="3"/>
  <c r="S57" i="3"/>
  <c r="Y57" i="3" s="1"/>
  <c r="M57" i="3"/>
  <c r="V56" i="3"/>
  <c r="S56" i="3"/>
  <c r="M56" i="3"/>
  <c r="J55" i="3" s="1"/>
  <c r="W55" i="3"/>
  <c r="T55" i="3"/>
  <c r="N55" i="3"/>
  <c r="Y49" i="3"/>
  <c r="V49" i="3"/>
  <c r="S49" i="3"/>
  <c r="M49" i="3"/>
  <c r="Y48" i="3"/>
  <c r="V48" i="3"/>
  <c r="S48" i="3"/>
  <c r="M48" i="3"/>
  <c r="J46" i="3" s="1"/>
  <c r="L46" i="3" s="1"/>
  <c r="Y47" i="3"/>
  <c r="V47" i="3"/>
  <c r="S47" i="3"/>
  <c r="P46" i="3" s="1"/>
  <c r="V46" i="3" s="1"/>
  <c r="M47" i="3"/>
  <c r="W46" i="3"/>
  <c r="T46" i="3"/>
  <c r="Z46" i="3" s="1"/>
  <c r="Z45" i="3" s="1"/>
  <c r="N46" i="3"/>
  <c r="N45" i="3" s="1"/>
  <c r="T45" i="3"/>
  <c r="V44" i="3"/>
  <c r="S44" i="3"/>
  <c r="Y44" i="3" s="1"/>
  <c r="M44" i="3"/>
  <c r="Y43" i="3"/>
  <c r="V43" i="3"/>
  <c r="S43" i="3"/>
  <c r="M43" i="3"/>
  <c r="V42" i="3"/>
  <c r="S42" i="3"/>
  <c r="Y42" i="3" s="1"/>
  <c r="M42" i="3"/>
  <c r="Y41" i="3"/>
  <c r="V41" i="3"/>
  <c r="S41" i="3"/>
  <c r="M41" i="3"/>
  <c r="X40" i="3"/>
  <c r="W40" i="3"/>
  <c r="V40" i="3"/>
  <c r="T40" i="3"/>
  <c r="Z40" i="3" s="1"/>
  <c r="R40" i="3"/>
  <c r="P40" i="3"/>
  <c r="S40" i="3" s="1"/>
  <c r="N40" i="3"/>
  <c r="V39" i="3"/>
  <c r="S39" i="3"/>
  <c r="Y39" i="3" s="1"/>
  <c r="M39" i="3"/>
  <c r="Y38" i="3"/>
  <c r="V38" i="3"/>
  <c r="S38" i="3"/>
  <c r="M38" i="3"/>
  <c r="V37" i="3"/>
  <c r="S37" i="3"/>
  <c r="Y37" i="3" s="1"/>
  <c r="M37" i="3"/>
  <c r="Y36" i="3"/>
  <c r="V36" i="3"/>
  <c r="S36" i="3"/>
  <c r="M36" i="3"/>
  <c r="W35" i="3"/>
  <c r="V35" i="3"/>
  <c r="T35" i="3"/>
  <c r="Z35" i="3" s="1"/>
  <c r="P35" i="3"/>
  <c r="S35" i="3" s="1"/>
  <c r="N35" i="3"/>
  <c r="V34" i="3"/>
  <c r="S34" i="3"/>
  <c r="Y34" i="3" s="1"/>
  <c r="M34" i="3"/>
  <c r="Y33" i="3"/>
  <c r="V33" i="3"/>
  <c r="S33" i="3"/>
  <c r="M33" i="3"/>
  <c r="V32" i="3"/>
  <c r="S32" i="3"/>
  <c r="Y32" i="3" s="1"/>
  <c r="M32" i="3"/>
  <c r="J30" i="3" s="1"/>
  <c r="L30" i="3" s="1"/>
  <c r="Y31" i="3"/>
  <c r="V31" i="3"/>
  <c r="S31" i="3"/>
  <c r="M31" i="3"/>
  <c r="W30" i="3"/>
  <c r="V30" i="3"/>
  <c r="T30" i="3"/>
  <c r="Z30" i="3" s="1"/>
  <c r="P30" i="3"/>
  <c r="S30" i="3" s="1"/>
  <c r="N30" i="3"/>
  <c r="M30" i="3"/>
  <c r="O30" i="3" s="1"/>
  <c r="V29" i="3"/>
  <c r="S29" i="3"/>
  <c r="Y29" i="3" s="1"/>
  <c r="M29" i="3"/>
  <c r="Y28" i="3"/>
  <c r="V28" i="3"/>
  <c r="S28" i="3"/>
  <c r="M28" i="3"/>
  <c r="V27" i="3"/>
  <c r="S27" i="3"/>
  <c r="Y27" i="3" s="1"/>
  <c r="M27" i="3"/>
  <c r="J25" i="3" s="1"/>
  <c r="L25" i="3" s="1"/>
  <c r="Y26" i="3"/>
  <c r="V26" i="3"/>
  <c r="S26" i="3"/>
  <c r="M26" i="3"/>
  <c r="W25" i="3"/>
  <c r="V25" i="3"/>
  <c r="T25" i="3"/>
  <c r="Z25" i="3" s="1"/>
  <c r="P25" i="3"/>
  <c r="S25" i="3" s="1"/>
  <c r="N25" i="3"/>
  <c r="M25" i="3"/>
  <c r="T24" i="3"/>
  <c r="S24" i="3"/>
  <c r="V23" i="3"/>
  <c r="S23" i="3"/>
  <c r="Y23" i="3" s="1"/>
  <c r="M23" i="3"/>
  <c r="J18" i="3" s="1"/>
  <c r="Y22" i="3"/>
  <c r="V22" i="3"/>
  <c r="S22" i="3"/>
  <c r="M22" i="3"/>
  <c r="V21" i="3"/>
  <c r="S21" i="3"/>
  <c r="Y21" i="3" s="1"/>
  <c r="M21" i="3"/>
  <c r="Y20" i="3"/>
  <c r="V20" i="3"/>
  <c r="S20" i="3"/>
  <c r="M20" i="3"/>
  <c r="V19" i="3"/>
  <c r="S19" i="3"/>
  <c r="M19" i="3"/>
  <c r="W18" i="3"/>
  <c r="T18" i="3"/>
  <c r="N18" i="3"/>
  <c r="N17" i="3"/>
  <c r="Y15" i="3"/>
  <c r="V15" i="3"/>
  <c r="S15" i="3"/>
  <c r="M15" i="3"/>
  <c r="Z14" i="3"/>
  <c r="W14" i="3"/>
  <c r="T14" i="3"/>
  <c r="R14" i="3"/>
  <c r="X14" i="3" s="1"/>
  <c r="P14" i="3"/>
  <c r="V14" i="3" s="1"/>
  <c r="N14" i="3"/>
  <c r="N13" i="3" s="1"/>
  <c r="J14" i="3"/>
  <c r="M14" i="3" s="1"/>
  <c r="O14" i="3" s="1"/>
  <c r="O13" i="3" s="1"/>
  <c r="Z13" i="3"/>
  <c r="T13" i="3"/>
  <c r="M166" i="3" l="1"/>
  <c r="O166" i="3" s="1"/>
  <c r="L166" i="3"/>
  <c r="M18" i="3"/>
  <c r="L18" i="3"/>
  <c r="L55" i="3"/>
  <c r="M55" i="3"/>
  <c r="L67" i="3"/>
  <c r="M67" i="3"/>
  <c r="O67" i="3" s="1"/>
  <c r="J35" i="3"/>
  <c r="P109" i="3"/>
  <c r="Y110" i="3"/>
  <c r="L202" i="3"/>
  <c r="U40" i="3"/>
  <c r="Y40" i="3"/>
  <c r="AA40" i="3" s="1"/>
  <c r="M46" i="3"/>
  <c r="P58" i="3"/>
  <c r="Y59" i="3"/>
  <c r="P202" i="3"/>
  <c r="Y203" i="3"/>
  <c r="P62" i="3"/>
  <c r="Y63" i="3"/>
  <c r="U113" i="3"/>
  <c r="Y113" i="3"/>
  <c r="AA113" i="3" s="1"/>
  <c r="M192" i="3"/>
  <c r="O192" i="3" s="1"/>
  <c r="L192" i="3"/>
  <c r="M362" i="3"/>
  <c r="L362" i="3"/>
  <c r="M80" i="3"/>
  <c r="O80" i="3" s="1"/>
  <c r="L80" i="3"/>
  <c r="V88" i="3"/>
  <c r="S88" i="3"/>
  <c r="R88" i="3"/>
  <c r="X88" i="3" s="1"/>
  <c r="Y118" i="3"/>
  <c r="P116" i="3"/>
  <c r="V134" i="3"/>
  <c r="S134" i="3"/>
  <c r="R134" i="3"/>
  <c r="X134" i="3" s="1"/>
  <c r="Z18" i="3"/>
  <c r="Z17" i="3" s="1"/>
  <c r="T17" i="3"/>
  <c r="T16" i="3" s="1"/>
  <c r="N24" i="3"/>
  <c r="N16" i="3" s="1"/>
  <c r="N12" i="3" s="1"/>
  <c r="N11" i="3" s="1"/>
  <c r="N10" i="3" s="1"/>
  <c r="U30" i="3"/>
  <c r="Y30" i="3"/>
  <c r="AA30" i="3" s="1"/>
  <c r="L82" i="3"/>
  <c r="M82" i="3"/>
  <c r="O82" i="3" s="1"/>
  <c r="P85" i="3"/>
  <c r="O109" i="3"/>
  <c r="Y141" i="3"/>
  <c r="P139" i="3"/>
  <c r="V178" i="3"/>
  <c r="S178" i="3"/>
  <c r="R178" i="3"/>
  <c r="X178" i="3" s="1"/>
  <c r="M356" i="3"/>
  <c r="O356" i="3" s="1"/>
  <c r="L356" i="3"/>
  <c r="O25" i="3"/>
  <c r="S104" i="3"/>
  <c r="V104" i="3"/>
  <c r="M227" i="3"/>
  <c r="O227" i="3" s="1"/>
  <c r="S99" i="3"/>
  <c r="V99" i="3"/>
  <c r="U121" i="3"/>
  <c r="Y121" i="3"/>
  <c r="AA121" i="3" s="1"/>
  <c r="R76" i="3"/>
  <c r="X76" i="3" s="1"/>
  <c r="P91" i="3"/>
  <c r="J134" i="3"/>
  <c r="J40" i="3"/>
  <c r="P55" i="3"/>
  <c r="Y56" i="3"/>
  <c r="M85" i="3"/>
  <c r="L85" i="3"/>
  <c r="L88" i="3"/>
  <c r="Y100" i="3"/>
  <c r="Y128" i="3"/>
  <c r="P126" i="3"/>
  <c r="Y154" i="3"/>
  <c r="P152" i="3"/>
  <c r="M13" i="3"/>
  <c r="M71" i="3"/>
  <c r="O71" i="3" s="1"/>
  <c r="L71" i="3"/>
  <c r="T12" i="3"/>
  <c r="T11" i="3" s="1"/>
  <c r="T10" i="3" s="1"/>
  <c r="S14" i="3"/>
  <c r="U25" i="3"/>
  <c r="Y25" i="3"/>
  <c r="V60" i="3"/>
  <c r="S60" i="3"/>
  <c r="Z174" i="3"/>
  <c r="T130" i="3"/>
  <c r="Y185" i="3"/>
  <c r="P183" i="3"/>
  <c r="V227" i="3"/>
  <c r="S227" i="3"/>
  <c r="R227" i="3"/>
  <c r="X227" i="3" s="1"/>
  <c r="P18" i="3"/>
  <c r="Y19" i="3"/>
  <c r="M197" i="3"/>
  <c r="O197" i="3" s="1"/>
  <c r="L197" i="3"/>
  <c r="AA426" i="3"/>
  <c r="L62" i="3"/>
  <c r="M152" i="3"/>
  <c r="O152" i="3" s="1"/>
  <c r="L152" i="3"/>
  <c r="U35" i="3"/>
  <c r="Y35" i="3"/>
  <c r="AA35" i="3" s="1"/>
  <c r="V71" i="3"/>
  <c r="S71" i="3"/>
  <c r="S76" i="3"/>
  <c r="Z55" i="3"/>
  <c r="Z54" i="3" s="1"/>
  <c r="Z53" i="3" s="1"/>
  <c r="T54" i="3"/>
  <c r="T53" i="3" s="1"/>
  <c r="Z24" i="3"/>
  <c r="S46" i="3"/>
  <c r="R46" i="3"/>
  <c r="X46" i="3" s="1"/>
  <c r="R60" i="3"/>
  <c r="X60" i="3" s="1"/>
  <c r="P67" i="3"/>
  <c r="Y68" i="3"/>
  <c r="L76" i="3"/>
  <c r="M76" i="3"/>
  <c r="O76" i="3" s="1"/>
  <c r="S82" i="3"/>
  <c r="V82" i="3"/>
  <c r="R82" i="3"/>
  <c r="X82" i="3" s="1"/>
  <c r="Z84" i="3"/>
  <c r="M91" i="3"/>
  <c r="O91" i="3" s="1"/>
  <c r="L91" i="3"/>
  <c r="J94" i="3"/>
  <c r="Y105" i="3"/>
  <c r="M148" i="3"/>
  <c r="O148" i="3" s="1"/>
  <c r="L148" i="3"/>
  <c r="V162" i="3"/>
  <c r="S162" i="3"/>
  <c r="R162" i="3"/>
  <c r="X162" i="3" s="1"/>
  <c r="M174" i="3"/>
  <c r="O174" i="3" s="1"/>
  <c r="L174" i="3"/>
  <c r="P166" i="3"/>
  <c r="Y167" i="3"/>
  <c r="V334" i="3"/>
  <c r="S334" i="3"/>
  <c r="R334" i="3"/>
  <c r="X334" i="3" s="1"/>
  <c r="J99" i="3"/>
  <c r="V131" i="3"/>
  <c r="S131" i="3"/>
  <c r="R131" i="3"/>
  <c r="X131" i="3" s="1"/>
  <c r="V144" i="3"/>
  <c r="S144" i="3"/>
  <c r="R144" i="3"/>
  <c r="X144" i="3" s="1"/>
  <c r="V188" i="3"/>
  <c r="S188" i="3"/>
  <c r="R188" i="3"/>
  <c r="X188" i="3" s="1"/>
  <c r="S217" i="3"/>
  <c r="R217" i="3"/>
  <c r="X217" i="3" s="1"/>
  <c r="Y225" i="3"/>
  <c r="P224" i="3"/>
  <c r="Z300" i="3"/>
  <c r="M317" i="3"/>
  <c r="L317" i="3"/>
  <c r="N402" i="3"/>
  <c r="N401" i="3" s="1"/>
  <c r="R25" i="3"/>
  <c r="X25" i="3" s="1"/>
  <c r="R30" i="3"/>
  <c r="X30" i="3" s="1"/>
  <c r="R35" i="3"/>
  <c r="X35" i="3" s="1"/>
  <c r="P80" i="3"/>
  <c r="Y81" i="3"/>
  <c r="Z130" i="3"/>
  <c r="M131" i="3"/>
  <c r="L131" i="3"/>
  <c r="M144" i="3"/>
  <c r="O144" i="3" s="1"/>
  <c r="L144" i="3"/>
  <c r="P148" i="3"/>
  <c r="Y149" i="3"/>
  <c r="P157" i="3"/>
  <c r="M188" i="3"/>
  <c r="O188" i="3" s="1"/>
  <c r="L188" i="3"/>
  <c r="P192" i="3"/>
  <c r="Y193" i="3"/>
  <c r="Y211" i="3"/>
  <c r="P210" i="3"/>
  <c r="U244" i="3"/>
  <c r="Y244" i="3"/>
  <c r="AA244" i="3" s="1"/>
  <c r="M255" i="3"/>
  <c r="O255" i="3" s="1"/>
  <c r="L255" i="3"/>
  <c r="M260" i="3"/>
  <c r="O260" i="3" s="1"/>
  <c r="L260" i="3"/>
  <c r="M324" i="3"/>
  <c r="O324" i="3" s="1"/>
  <c r="L324" i="3"/>
  <c r="M331" i="3"/>
  <c r="O331" i="3" s="1"/>
  <c r="L331" i="3"/>
  <c r="M341" i="3"/>
  <c r="O341" i="3" s="1"/>
  <c r="L341" i="3"/>
  <c r="J178" i="3"/>
  <c r="L14" i="3"/>
  <c r="J157" i="3"/>
  <c r="P170" i="3"/>
  <c r="Y218" i="3"/>
  <c r="J230" i="3"/>
  <c r="M241" i="3"/>
  <c r="O241" i="3" s="1"/>
  <c r="M251" i="3"/>
  <c r="O251" i="3" s="1"/>
  <c r="L251" i="3"/>
  <c r="Y307" i="3"/>
  <c r="AA307" i="3" s="1"/>
  <c r="U307" i="3"/>
  <c r="Y343" i="3"/>
  <c r="P341" i="3"/>
  <c r="M394" i="3"/>
  <c r="L394" i="3"/>
  <c r="M170" i="3"/>
  <c r="O170" i="3" s="1"/>
  <c r="L170" i="3"/>
  <c r="P174" i="3"/>
  <c r="Y175" i="3"/>
  <c r="Y208" i="3"/>
  <c r="P207" i="3"/>
  <c r="Y231" i="3"/>
  <c r="P230" i="3"/>
  <c r="M238" i="3"/>
  <c r="O238" i="3" s="1"/>
  <c r="L238" i="3"/>
  <c r="M321" i="3"/>
  <c r="O321" i="3" s="1"/>
  <c r="L321" i="3"/>
  <c r="M162" i="3"/>
  <c r="O162" i="3" s="1"/>
  <c r="L162" i="3"/>
  <c r="P197" i="3"/>
  <c r="Y198" i="3"/>
  <c r="Y214" i="3"/>
  <c r="P213" i="3"/>
  <c r="M313" i="3"/>
  <c r="O313" i="3" s="1"/>
  <c r="L313" i="3"/>
  <c r="P94" i="3"/>
  <c r="J139" i="3"/>
  <c r="J183" i="3"/>
  <c r="P234" i="3"/>
  <c r="Y235" i="3"/>
  <c r="V241" i="3"/>
  <c r="S241" i="3"/>
  <c r="R241" i="3"/>
  <c r="X241" i="3" s="1"/>
  <c r="N316" i="3"/>
  <c r="N129" i="3" s="1"/>
  <c r="N52" i="3" s="1"/>
  <c r="N51" i="3" s="1"/>
  <c r="N50" i="3" s="1"/>
  <c r="P220" i="3"/>
  <c r="P304" i="3"/>
  <c r="M328" i="3"/>
  <c r="O328" i="3" s="1"/>
  <c r="L328" i="3"/>
  <c r="J347" i="3"/>
  <c r="T361" i="3"/>
  <c r="T360" i="3" s="1"/>
  <c r="N361" i="3"/>
  <c r="N360" i="3" s="1"/>
  <c r="M244" i="3"/>
  <c r="O244" i="3" s="1"/>
  <c r="M304" i="3"/>
  <c r="O304" i="3" s="1"/>
  <c r="L304" i="3"/>
  <c r="T316" i="3"/>
  <c r="Z317" i="3"/>
  <c r="Z316" i="3" s="1"/>
  <c r="P344" i="3"/>
  <c r="M351" i="3"/>
  <c r="O351" i="3" s="1"/>
  <c r="L351" i="3"/>
  <c r="L377" i="3"/>
  <c r="M377" i="3"/>
  <c r="O377" i="3" s="1"/>
  <c r="S396" i="3"/>
  <c r="R396" i="3"/>
  <c r="X396" i="3" s="1"/>
  <c r="V396" i="3"/>
  <c r="V313" i="3"/>
  <c r="S313" i="3"/>
  <c r="R313" i="3"/>
  <c r="X313" i="3" s="1"/>
  <c r="P368" i="3"/>
  <c r="Y369" i="3"/>
  <c r="S377" i="3"/>
  <c r="R377" i="3"/>
  <c r="X377" i="3" s="1"/>
  <c r="V377" i="3"/>
  <c r="S270" i="3"/>
  <c r="P301" i="3"/>
  <c r="Y328" i="3"/>
  <c r="AA328" i="3" s="1"/>
  <c r="U328" i="3"/>
  <c r="P238" i="3"/>
  <c r="U248" i="3"/>
  <c r="Y249" i="3"/>
  <c r="AA251" i="3"/>
  <c r="Y275" i="3"/>
  <c r="AA275" i="3" s="1"/>
  <c r="U275" i="3"/>
  <c r="Y280" i="3"/>
  <c r="AA280" i="3" s="1"/>
  <c r="U280" i="3"/>
  <c r="Y285" i="3"/>
  <c r="AA285" i="3" s="1"/>
  <c r="U285" i="3"/>
  <c r="Y290" i="3"/>
  <c r="AA290" i="3" s="1"/>
  <c r="U290" i="3"/>
  <c r="Y295" i="3"/>
  <c r="AA295" i="3" s="1"/>
  <c r="U295" i="3"/>
  <c r="M301" i="3"/>
  <c r="L301" i="3"/>
  <c r="M307" i="3"/>
  <c r="O307" i="3" s="1"/>
  <c r="L307" i="3"/>
  <c r="P324" i="3"/>
  <c r="M334" i="3"/>
  <c r="O334" i="3" s="1"/>
  <c r="L334" i="3"/>
  <c r="M338" i="3"/>
  <c r="O338" i="3" s="1"/>
  <c r="L338" i="3"/>
  <c r="M344" i="3"/>
  <c r="O344" i="3" s="1"/>
  <c r="L344" i="3"/>
  <c r="V351" i="3"/>
  <c r="S351" i="3"/>
  <c r="R351" i="3"/>
  <c r="X351" i="3" s="1"/>
  <c r="M368" i="3"/>
  <c r="O368" i="3" s="1"/>
  <c r="Y260" i="3"/>
  <c r="AA260" i="3" s="1"/>
  <c r="Y265" i="3"/>
  <c r="AA265" i="3" s="1"/>
  <c r="Y318" i="3"/>
  <c r="P317" i="3"/>
  <c r="P390" i="3"/>
  <c r="Y391" i="3"/>
  <c r="S338" i="3"/>
  <c r="R338" i="3"/>
  <c r="X338" i="3" s="1"/>
  <c r="U365" i="3"/>
  <c r="P394" i="3"/>
  <c r="Y395" i="3"/>
  <c r="P398" i="3"/>
  <c r="Y399" i="3"/>
  <c r="O411" i="3"/>
  <c r="L265" i="3"/>
  <c r="P347" i="3"/>
  <c r="V365" i="3"/>
  <c r="AA371" i="3"/>
  <c r="M374" i="3"/>
  <c r="O374" i="3" s="1"/>
  <c r="U374" i="3"/>
  <c r="Y374" i="3"/>
  <c r="AA374" i="3" s="1"/>
  <c r="U405" i="3"/>
  <c r="U404" i="3" s="1"/>
  <c r="U403" i="3" s="1"/>
  <c r="T404" i="3"/>
  <c r="T403" i="3" s="1"/>
  <c r="T402" i="3" s="1"/>
  <c r="T401" i="3" s="1"/>
  <c r="Z405" i="3"/>
  <c r="P310" i="3"/>
  <c r="AA412" i="3"/>
  <c r="AA411" i="3" s="1"/>
  <c r="Z411" i="3"/>
  <c r="Z410" i="3" s="1"/>
  <c r="R331" i="3"/>
  <c r="X331" i="3" s="1"/>
  <c r="V338" i="3"/>
  <c r="AA362" i="3"/>
  <c r="L365" i="3"/>
  <c r="R374" i="3"/>
  <c r="X374" i="3" s="1"/>
  <c r="P321" i="3"/>
  <c r="S331" i="3"/>
  <c r="P356" i="3"/>
  <c r="Y357" i="3"/>
  <c r="R362" i="3"/>
  <c r="X362" i="3" s="1"/>
  <c r="U371" i="3"/>
  <c r="M383" i="3"/>
  <c r="P384" i="3"/>
  <c r="Y385" i="3"/>
  <c r="O425" i="3"/>
  <c r="AA365" i="3"/>
  <c r="S380" i="3"/>
  <c r="R380" i="3"/>
  <c r="X380" i="3" s="1"/>
  <c r="P387" i="3"/>
  <c r="Y388" i="3"/>
  <c r="M414" i="3"/>
  <c r="M410" i="3" s="1"/>
  <c r="O415" i="3"/>
  <c r="O414" i="3" s="1"/>
  <c r="S415" i="3"/>
  <c r="V415" i="3"/>
  <c r="S421" i="3"/>
  <c r="R421" i="3"/>
  <c r="X421" i="3" s="1"/>
  <c r="V421" i="3"/>
  <c r="M421" i="3"/>
  <c r="T383" i="3"/>
  <c r="U413" i="3"/>
  <c r="U411" i="3" s="1"/>
  <c r="U427" i="3"/>
  <c r="U425" i="3" s="1"/>
  <c r="N411" i="3"/>
  <c r="N410" i="3" s="1"/>
  <c r="Y416" i="3"/>
  <c r="N425" i="3"/>
  <c r="Z427" i="3"/>
  <c r="AA427" i="3" s="1"/>
  <c r="AA428" i="2"/>
  <c r="Z428" i="2"/>
  <c r="Y428" i="2"/>
  <c r="U428" i="2"/>
  <c r="T428" i="2"/>
  <c r="S428" i="2"/>
  <c r="O428" i="2"/>
  <c r="N428" i="2"/>
  <c r="M428" i="2"/>
  <c r="AA427" i="2"/>
  <c r="Z427" i="2"/>
  <c r="X427" i="2"/>
  <c r="W427" i="2"/>
  <c r="U427" i="2"/>
  <c r="T427" i="2"/>
  <c r="R427" i="2"/>
  <c r="O427" i="2"/>
  <c r="N427" i="2"/>
  <c r="L427" i="2"/>
  <c r="AA426" i="2"/>
  <c r="Z426" i="2"/>
  <c r="X426" i="2"/>
  <c r="W426" i="2"/>
  <c r="U426" i="2"/>
  <c r="T426" i="2"/>
  <c r="R426" i="2"/>
  <c r="O426" i="2"/>
  <c r="N426" i="2"/>
  <c r="L426" i="2"/>
  <c r="AA425" i="2"/>
  <c r="Z425" i="2"/>
  <c r="Y425" i="2"/>
  <c r="U425" i="2"/>
  <c r="T425" i="2"/>
  <c r="S425" i="2"/>
  <c r="O425" i="2"/>
  <c r="N425" i="2"/>
  <c r="M425" i="2"/>
  <c r="Y424" i="2"/>
  <c r="V424" i="2"/>
  <c r="S424" i="2"/>
  <c r="M424" i="2"/>
  <c r="Y423" i="2"/>
  <c r="V423" i="2"/>
  <c r="S423" i="2"/>
  <c r="M423" i="2"/>
  <c r="Y422" i="2"/>
  <c r="V422" i="2"/>
  <c r="S422" i="2"/>
  <c r="M422" i="2"/>
  <c r="AA421" i="2"/>
  <c r="Z421" i="2"/>
  <c r="Y421" i="2"/>
  <c r="X421" i="2"/>
  <c r="W421" i="2"/>
  <c r="V421" i="2"/>
  <c r="U421" i="2"/>
  <c r="T421" i="2"/>
  <c r="S421" i="2"/>
  <c r="R421" i="2"/>
  <c r="P421" i="2"/>
  <c r="O421" i="2"/>
  <c r="N421" i="2"/>
  <c r="M421" i="2"/>
  <c r="L421" i="2"/>
  <c r="J421" i="2"/>
  <c r="AA420" i="2"/>
  <c r="Z420" i="2"/>
  <c r="Y420" i="2"/>
  <c r="U420" i="2"/>
  <c r="T420" i="2"/>
  <c r="S420" i="2"/>
  <c r="O420" i="2"/>
  <c r="N420" i="2"/>
  <c r="M420" i="2"/>
  <c r="AA419" i="2"/>
  <c r="Z419" i="2"/>
  <c r="Y419" i="2"/>
  <c r="U419" i="2"/>
  <c r="T419" i="2"/>
  <c r="S419" i="2"/>
  <c r="O419" i="2"/>
  <c r="N419" i="2"/>
  <c r="M419" i="2"/>
  <c r="Y418" i="2"/>
  <c r="V418" i="2"/>
  <c r="S418" i="2"/>
  <c r="M418" i="2"/>
  <c r="Y417" i="2"/>
  <c r="V417" i="2"/>
  <c r="S417" i="2"/>
  <c r="M417" i="2"/>
  <c r="Y416" i="2"/>
  <c r="V416" i="2"/>
  <c r="S416" i="2"/>
  <c r="M416" i="2"/>
  <c r="AA415" i="2"/>
  <c r="Z415" i="2"/>
  <c r="Y415" i="2"/>
  <c r="X415" i="2"/>
  <c r="W415" i="2"/>
  <c r="V415" i="2"/>
  <c r="U415" i="2"/>
  <c r="T415" i="2"/>
  <c r="S415" i="2"/>
  <c r="R415" i="2"/>
  <c r="P415" i="2"/>
  <c r="O415" i="2"/>
  <c r="N415" i="2"/>
  <c r="M415" i="2"/>
  <c r="L415" i="2"/>
  <c r="J415" i="2"/>
  <c r="AA414" i="2"/>
  <c r="Z414" i="2"/>
  <c r="Y414" i="2"/>
  <c r="U414" i="2"/>
  <c r="T414" i="2"/>
  <c r="S414" i="2"/>
  <c r="O414" i="2"/>
  <c r="N414" i="2"/>
  <c r="M414" i="2"/>
  <c r="AA413" i="2"/>
  <c r="Z413" i="2"/>
  <c r="X413" i="2"/>
  <c r="W413" i="2"/>
  <c r="U413" i="2"/>
  <c r="T413" i="2"/>
  <c r="R413" i="2"/>
  <c r="O413" i="2"/>
  <c r="N413" i="2"/>
  <c r="L413" i="2"/>
  <c r="AA412" i="2"/>
  <c r="Z412" i="2"/>
  <c r="X412" i="2"/>
  <c r="W412" i="2"/>
  <c r="U412" i="2"/>
  <c r="T412" i="2"/>
  <c r="R412" i="2"/>
  <c r="O412" i="2"/>
  <c r="N412" i="2"/>
  <c r="L412" i="2"/>
  <c r="AA411" i="2"/>
  <c r="Z411" i="2"/>
  <c r="Y411" i="2"/>
  <c r="U411" i="2"/>
  <c r="T411" i="2"/>
  <c r="S411" i="2"/>
  <c r="O411" i="2"/>
  <c r="N411" i="2"/>
  <c r="M411" i="2"/>
  <c r="AA410" i="2"/>
  <c r="Z410" i="2"/>
  <c r="Y410" i="2"/>
  <c r="U410" i="2"/>
  <c r="T410" i="2"/>
  <c r="S410" i="2"/>
  <c r="O410" i="2"/>
  <c r="N410" i="2"/>
  <c r="M410" i="2"/>
  <c r="AA409" i="2"/>
  <c r="Z409" i="2"/>
  <c r="X409" i="2"/>
  <c r="W409" i="2"/>
  <c r="U409" i="2"/>
  <c r="T409" i="2"/>
  <c r="R409" i="2"/>
  <c r="O409" i="2"/>
  <c r="N409" i="2"/>
  <c r="L409" i="2"/>
  <c r="AA408" i="2"/>
  <c r="Z408" i="2"/>
  <c r="Y408" i="2"/>
  <c r="U408" i="2"/>
  <c r="T408" i="2"/>
  <c r="S408" i="2"/>
  <c r="O408" i="2"/>
  <c r="N408" i="2"/>
  <c r="M408" i="2"/>
  <c r="AA407" i="2"/>
  <c r="Z407" i="2"/>
  <c r="Y407" i="2"/>
  <c r="U407" i="2"/>
  <c r="T407" i="2"/>
  <c r="S407" i="2"/>
  <c r="O407" i="2"/>
  <c r="N407" i="2"/>
  <c r="M407" i="2"/>
  <c r="AA406" i="2"/>
  <c r="Z406" i="2"/>
  <c r="Y406" i="2"/>
  <c r="U406" i="2"/>
  <c r="T406" i="2"/>
  <c r="S406" i="2"/>
  <c r="O406" i="2"/>
  <c r="N406" i="2"/>
  <c r="M406" i="2"/>
  <c r="AA405" i="2"/>
  <c r="Z405" i="2"/>
  <c r="X405" i="2"/>
  <c r="W405" i="2"/>
  <c r="U405" i="2"/>
  <c r="T405" i="2"/>
  <c r="R405" i="2"/>
  <c r="O405" i="2"/>
  <c r="N405" i="2"/>
  <c r="L405" i="2"/>
  <c r="AA404" i="2"/>
  <c r="Z404" i="2"/>
  <c r="Y404" i="2"/>
  <c r="U404" i="2"/>
  <c r="T404" i="2"/>
  <c r="S404" i="2"/>
  <c r="O404" i="2"/>
  <c r="N404" i="2"/>
  <c r="M404" i="2"/>
  <c r="AA403" i="2"/>
  <c r="Z403" i="2"/>
  <c r="Y403" i="2"/>
  <c r="U403" i="2"/>
  <c r="T403" i="2"/>
  <c r="S403" i="2"/>
  <c r="O403" i="2"/>
  <c r="N403" i="2"/>
  <c r="M403" i="2"/>
  <c r="AA402" i="2"/>
  <c r="Z402" i="2"/>
  <c r="Y402" i="2"/>
  <c r="U402" i="2"/>
  <c r="T402" i="2"/>
  <c r="S402" i="2"/>
  <c r="O402" i="2"/>
  <c r="N402" i="2"/>
  <c r="M402" i="2"/>
  <c r="AA401" i="2"/>
  <c r="Z401" i="2"/>
  <c r="Y401" i="2"/>
  <c r="U401" i="2"/>
  <c r="T401" i="2"/>
  <c r="S401" i="2"/>
  <c r="O401" i="2"/>
  <c r="N401" i="2"/>
  <c r="M401" i="2"/>
  <c r="AA400" i="2"/>
  <c r="Z400" i="2"/>
  <c r="X400" i="2"/>
  <c r="W400" i="2"/>
  <c r="U400" i="2"/>
  <c r="T400" i="2"/>
  <c r="R400" i="2"/>
  <c r="O400" i="2"/>
  <c r="N400" i="2"/>
  <c r="L400" i="2"/>
  <c r="Y399" i="2"/>
  <c r="V399" i="2"/>
  <c r="S399" i="2"/>
  <c r="M399" i="2"/>
  <c r="AA398" i="2"/>
  <c r="Z398" i="2"/>
  <c r="Y398" i="2"/>
  <c r="X398" i="2"/>
  <c r="W398" i="2"/>
  <c r="V398" i="2"/>
  <c r="U398" i="2"/>
  <c r="T398" i="2"/>
  <c r="S398" i="2"/>
  <c r="R398" i="2"/>
  <c r="P398" i="2"/>
  <c r="O398" i="2"/>
  <c r="N398" i="2"/>
  <c r="M398" i="2"/>
  <c r="L398" i="2"/>
  <c r="J398" i="2"/>
  <c r="Y397" i="2"/>
  <c r="V397" i="2"/>
  <c r="S397" i="2"/>
  <c r="M397" i="2"/>
  <c r="AA396" i="2"/>
  <c r="Z396" i="2"/>
  <c r="Y396" i="2"/>
  <c r="X396" i="2"/>
  <c r="W396" i="2"/>
  <c r="V396" i="2"/>
  <c r="U396" i="2"/>
  <c r="T396" i="2"/>
  <c r="S396" i="2"/>
  <c r="R396" i="2"/>
  <c r="P396" i="2"/>
  <c r="O396" i="2"/>
  <c r="N396" i="2"/>
  <c r="M396" i="2"/>
  <c r="L396" i="2"/>
  <c r="J396" i="2"/>
  <c r="Y395" i="2"/>
  <c r="V395" i="2"/>
  <c r="S395" i="2"/>
  <c r="M395" i="2"/>
  <c r="AA394" i="2"/>
  <c r="Z394" i="2"/>
  <c r="Y394" i="2"/>
  <c r="X394" i="2"/>
  <c r="W394" i="2"/>
  <c r="V394" i="2"/>
  <c r="U394" i="2"/>
  <c r="T394" i="2"/>
  <c r="S394" i="2"/>
  <c r="R394" i="2"/>
  <c r="P394" i="2"/>
  <c r="O394" i="2"/>
  <c r="N394" i="2"/>
  <c r="M394" i="2"/>
  <c r="L394" i="2"/>
  <c r="J394" i="2"/>
  <c r="AA393" i="2"/>
  <c r="Z393" i="2"/>
  <c r="Y393" i="2"/>
  <c r="U393" i="2"/>
  <c r="T393" i="2"/>
  <c r="S393" i="2"/>
  <c r="O393" i="2"/>
  <c r="N393" i="2"/>
  <c r="M393" i="2"/>
  <c r="Y392" i="2"/>
  <c r="V392" i="2"/>
  <c r="S392" i="2"/>
  <c r="M392" i="2"/>
  <c r="Y391" i="2"/>
  <c r="V391" i="2"/>
  <c r="S391" i="2"/>
  <c r="M391" i="2"/>
  <c r="AA390" i="2"/>
  <c r="Z390" i="2"/>
  <c r="Y390" i="2"/>
  <c r="X390" i="2"/>
  <c r="W390" i="2"/>
  <c r="V390" i="2"/>
  <c r="U390" i="2"/>
  <c r="T390" i="2"/>
  <c r="S390" i="2"/>
  <c r="R390" i="2"/>
  <c r="P390" i="2"/>
  <c r="O390" i="2"/>
  <c r="N390" i="2"/>
  <c r="M390" i="2"/>
  <c r="L390" i="2"/>
  <c r="J390" i="2"/>
  <c r="Y389" i="2"/>
  <c r="V389" i="2"/>
  <c r="S389" i="2"/>
  <c r="M389" i="2"/>
  <c r="Y388" i="2"/>
  <c r="V388" i="2"/>
  <c r="S388" i="2"/>
  <c r="M388" i="2"/>
  <c r="AA387" i="2"/>
  <c r="Z387" i="2"/>
  <c r="Y387" i="2"/>
  <c r="X387" i="2"/>
  <c r="W387" i="2"/>
  <c r="V387" i="2"/>
  <c r="U387" i="2"/>
  <c r="T387" i="2"/>
  <c r="S387" i="2"/>
  <c r="R387" i="2"/>
  <c r="P387" i="2"/>
  <c r="O387" i="2"/>
  <c r="N387" i="2"/>
  <c r="M387" i="2"/>
  <c r="L387" i="2"/>
  <c r="J387" i="2"/>
  <c r="Y386" i="2"/>
  <c r="V386" i="2"/>
  <c r="S386" i="2"/>
  <c r="M386" i="2"/>
  <c r="Y385" i="2"/>
  <c r="V385" i="2"/>
  <c r="S385" i="2"/>
  <c r="M385" i="2"/>
  <c r="AA384" i="2"/>
  <c r="Z384" i="2"/>
  <c r="Y384" i="2"/>
  <c r="X384" i="2"/>
  <c r="W384" i="2"/>
  <c r="V384" i="2"/>
  <c r="U384" i="2"/>
  <c r="T384" i="2"/>
  <c r="S384" i="2"/>
  <c r="R384" i="2"/>
  <c r="P384" i="2"/>
  <c r="O384" i="2"/>
  <c r="N384" i="2"/>
  <c r="M384" i="2"/>
  <c r="L384" i="2"/>
  <c r="J384" i="2"/>
  <c r="AA383" i="2"/>
  <c r="Z383" i="2"/>
  <c r="Y383" i="2"/>
  <c r="U383" i="2"/>
  <c r="T383" i="2"/>
  <c r="S383" i="2"/>
  <c r="O383" i="2"/>
  <c r="N383" i="2"/>
  <c r="M383" i="2"/>
  <c r="Y382" i="2"/>
  <c r="V382" i="2"/>
  <c r="S382" i="2"/>
  <c r="M382" i="2"/>
  <c r="Y381" i="2"/>
  <c r="V381" i="2"/>
  <c r="S381" i="2"/>
  <c r="M381" i="2"/>
  <c r="AA380" i="2"/>
  <c r="Z380" i="2"/>
  <c r="Y380" i="2"/>
  <c r="X380" i="2"/>
  <c r="W380" i="2"/>
  <c r="V380" i="2"/>
  <c r="U380" i="2"/>
  <c r="T380" i="2"/>
  <c r="S380" i="2"/>
  <c r="R380" i="2"/>
  <c r="P380" i="2"/>
  <c r="O380" i="2"/>
  <c r="N380" i="2"/>
  <c r="M380" i="2"/>
  <c r="L380" i="2"/>
  <c r="J380" i="2"/>
  <c r="Y379" i="2"/>
  <c r="V379" i="2"/>
  <c r="S379" i="2"/>
  <c r="M379" i="2"/>
  <c r="Y378" i="2"/>
  <c r="V378" i="2"/>
  <c r="S378" i="2"/>
  <c r="M378" i="2"/>
  <c r="AA377" i="2"/>
  <c r="Z377" i="2"/>
  <c r="Y377" i="2"/>
  <c r="X377" i="2"/>
  <c r="W377" i="2"/>
  <c r="V377" i="2"/>
  <c r="U377" i="2"/>
  <c r="T377" i="2"/>
  <c r="S377" i="2"/>
  <c r="R377" i="2"/>
  <c r="P377" i="2"/>
  <c r="O377" i="2"/>
  <c r="N377" i="2"/>
  <c r="M377" i="2"/>
  <c r="L377" i="2"/>
  <c r="J377" i="2"/>
  <c r="Y376" i="2"/>
  <c r="V376" i="2"/>
  <c r="S376" i="2"/>
  <c r="M376" i="2"/>
  <c r="Y375" i="2"/>
  <c r="V375" i="2"/>
  <c r="S375" i="2"/>
  <c r="M375" i="2"/>
  <c r="AA374" i="2"/>
  <c r="Z374" i="2"/>
  <c r="Y374" i="2"/>
  <c r="X374" i="2"/>
  <c r="W374" i="2"/>
  <c r="V374" i="2"/>
  <c r="U374" i="2"/>
  <c r="T374" i="2"/>
  <c r="S374" i="2"/>
  <c r="R374" i="2"/>
  <c r="P374" i="2"/>
  <c r="O374" i="2"/>
  <c r="N374" i="2"/>
  <c r="M374" i="2"/>
  <c r="L374" i="2"/>
  <c r="J374" i="2"/>
  <c r="Y373" i="2"/>
  <c r="V373" i="2"/>
  <c r="S373" i="2"/>
  <c r="M373" i="2"/>
  <c r="Y372" i="2"/>
  <c r="V372" i="2"/>
  <c r="S372" i="2"/>
  <c r="M372" i="2"/>
  <c r="AA371" i="2"/>
  <c r="Z371" i="2"/>
  <c r="Y371" i="2"/>
  <c r="X371" i="2"/>
  <c r="W371" i="2"/>
  <c r="V371" i="2"/>
  <c r="U371" i="2"/>
  <c r="T371" i="2"/>
  <c r="S371" i="2"/>
  <c r="R371" i="2"/>
  <c r="P371" i="2"/>
  <c r="O371" i="2"/>
  <c r="N371" i="2"/>
  <c r="M371" i="2"/>
  <c r="L371" i="2"/>
  <c r="J371" i="2"/>
  <c r="Y370" i="2"/>
  <c r="V370" i="2"/>
  <c r="S370" i="2"/>
  <c r="M370" i="2"/>
  <c r="Y369" i="2"/>
  <c r="V369" i="2"/>
  <c r="S369" i="2"/>
  <c r="M369" i="2"/>
  <c r="AA368" i="2"/>
  <c r="Z368" i="2"/>
  <c r="Y368" i="2"/>
  <c r="X368" i="2"/>
  <c r="W368" i="2"/>
  <c r="V368" i="2"/>
  <c r="U368" i="2"/>
  <c r="T368" i="2"/>
  <c r="S368" i="2"/>
  <c r="R368" i="2"/>
  <c r="P368" i="2"/>
  <c r="O368" i="2"/>
  <c r="N368" i="2"/>
  <c r="M368" i="2"/>
  <c r="L368" i="2"/>
  <c r="J368" i="2"/>
  <c r="Y367" i="2"/>
  <c r="V367" i="2"/>
  <c r="S367" i="2"/>
  <c r="M367" i="2"/>
  <c r="Y366" i="2"/>
  <c r="V366" i="2"/>
  <c r="S366" i="2"/>
  <c r="M366" i="2"/>
  <c r="AA365" i="2"/>
  <c r="Z365" i="2"/>
  <c r="Y365" i="2"/>
  <c r="X365" i="2"/>
  <c r="W365" i="2"/>
  <c r="V365" i="2"/>
  <c r="U365" i="2"/>
  <c r="T365" i="2"/>
  <c r="S365" i="2"/>
  <c r="R365" i="2"/>
  <c r="P365" i="2"/>
  <c r="O365" i="2"/>
  <c r="N365" i="2"/>
  <c r="M365" i="2"/>
  <c r="L365" i="2"/>
  <c r="J365" i="2"/>
  <c r="Y364" i="2"/>
  <c r="V364" i="2"/>
  <c r="S364" i="2"/>
  <c r="M364" i="2"/>
  <c r="Y363" i="2"/>
  <c r="V363" i="2"/>
  <c r="S363" i="2"/>
  <c r="M363" i="2"/>
  <c r="AA362" i="2"/>
  <c r="Z362" i="2"/>
  <c r="Y362" i="2"/>
  <c r="X362" i="2"/>
  <c r="W362" i="2"/>
  <c r="V362" i="2"/>
  <c r="U362" i="2"/>
  <c r="T362" i="2"/>
  <c r="S362" i="2"/>
  <c r="R362" i="2"/>
  <c r="P362" i="2"/>
  <c r="O362" i="2"/>
  <c r="N362" i="2"/>
  <c r="M362" i="2"/>
  <c r="L362" i="2"/>
  <c r="J362" i="2"/>
  <c r="AA361" i="2"/>
  <c r="Z361" i="2"/>
  <c r="Y361" i="2"/>
  <c r="U361" i="2"/>
  <c r="T361" i="2"/>
  <c r="S361" i="2"/>
  <c r="O361" i="2"/>
  <c r="N361" i="2"/>
  <c r="M361" i="2"/>
  <c r="AA360" i="2"/>
  <c r="Z360" i="2"/>
  <c r="Y360" i="2"/>
  <c r="U360" i="2"/>
  <c r="T360" i="2"/>
  <c r="S360" i="2"/>
  <c r="O360" i="2"/>
  <c r="N360" i="2"/>
  <c r="M360" i="2"/>
  <c r="Y359" i="2"/>
  <c r="V359" i="2"/>
  <c r="S359" i="2"/>
  <c r="M359" i="2"/>
  <c r="Y358" i="2"/>
  <c r="V358" i="2"/>
  <c r="S358" i="2"/>
  <c r="M358" i="2"/>
  <c r="Y357" i="2"/>
  <c r="V357" i="2"/>
  <c r="S357" i="2"/>
  <c r="M357" i="2"/>
  <c r="AA356" i="2"/>
  <c r="Z356" i="2"/>
  <c r="Y356" i="2"/>
  <c r="X356" i="2"/>
  <c r="W356" i="2"/>
  <c r="V356" i="2"/>
  <c r="U356" i="2"/>
  <c r="T356" i="2"/>
  <c r="S356" i="2"/>
  <c r="R356" i="2"/>
  <c r="P356" i="2"/>
  <c r="O356" i="2"/>
  <c r="N356" i="2"/>
  <c r="M356" i="2"/>
  <c r="L356" i="2"/>
  <c r="J356" i="2"/>
  <c r="Y355" i="2"/>
  <c r="V355" i="2"/>
  <c r="S355" i="2"/>
  <c r="M355" i="2"/>
  <c r="Y354" i="2"/>
  <c r="V354" i="2"/>
  <c r="S354" i="2"/>
  <c r="M354" i="2"/>
  <c r="Y353" i="2"/>
  <c r="V353" i="2"/>
  <c r="S353" i="2"/>
  <c r="M353" i="2"/>
  <c r="Y352" i="2"/>
  <c r="V352" i="2"/>
  <c r="S352" i="2"/>
  <c r="M352" i="2"/>
  <c r="AA351" i="2"/>
  <c r="Z351" i="2"/>
  <c r="Y351" i="2"/>
  <c r="X351" i="2"/>
  <c r="W351" i="2"/>
  <c r="V351" i="2"/>
  <c r="U351" i="2"/>
  <c r="T351" i="2"/>
  <c r="S351" i="2"/>
  <c r="R351" i="2"/>
  <c r="P351" i="2"/>
  <c r="O351" i="2"/>
  <c r="N351" i="2"/>
  <c r="M351" i="2"/>
  <c r="L351" i="2"/>
  <c r="J351" i="2"/>
  <c r="Y350" i="2"/>
  <c r="V350" i="2"/>
  <c r="S350" i="2"/>
  <c r="M350" i="2"/>
  <c r="Y349" i="2"/>
  <c r="V349" i="2"/>
  <c r="S349" i="2"/>
  <c r="M349" i="2"/>
  <c r="Y348" i="2"/>
  <c r="V348" i="2"/>
  <c r="S348" i="2"/>
  <c r="M348" i="2"/>
  <c r="AA347" i="2"/>
  <c r="Z347" i="2"/>
  <c r="Y347" i="2"/>
  <c r="X347" i="2"/>
  <c r="W347" i="2"/>
  <c r="V347" i="2"/>
  <c r="U347" i="2"/>
  <c r="T347" i="2"/>
  <c r="S347" i="2"/>
  <c r="R347" i="2"/>
  <c r="P347" i="2"/>
  <c r="O347" i="2"/>
  <c r="N347" i="2"/>
  <c r="M347" i="2"/>
  <c r="L347" i="2"/>
  <c r="J347" i="2"/>
  <c r="Y346" i="2"/>
  <c r="V346" i="2"/>
  <c r="S346" i="2"/>
  <c r="M346" i="2"/>
  <c r="Y345" i="2"/>
  <c r="V345" i="2"/>
  <c r="S345" i="2"/>
  <c r="M345" i="2"/>
  <c r="AA344" i="2"/>
  <c r="Z344" i="2"/>
  <c r="Y344" i="2"/>
  <c r="X344" i="2"/>
  <c r="W344" i="2"/>
  <c r="V344" i="2"/>
  <c r="U344" i="2"/>
  <c r="T344" i="2"/>
  <c r="S344" i="2"/>
  <c r="R344" i="2"/>
  <c r="P344" i="2"/>
  <c r="O344" i="2"/>
  <c r="N344" i="2"/>
  <c r="M344" i="2"/>
  <c r="L344" i="2"/>
  <c r="J344" i="2"/>
  <c r="Y343" i="2"/>
  <c r="V343" i="2"/>
  <c r="S343" i="2"/>
  <c r="M343" i="2"/>
  <c r="Y342" i="2"/>
  <c r="V342" i="2"/>
  <c r="S342" i="2"/>
  <c r="M342" i="2"/>
  <c r="AA341" i="2"/>
  <c r="Z341" i="2"/>
  <c r="Y341" i="2"/>
  <c r="X341" i="2"/>
  <c r="W341" i="2"/>
  <c r="V341" i="2"/>
  <c r="U341" i="2"/>
  <c r="T341" i="2"/>
  <c r="S341" i="2"/>
  <c r="R341" i="2"/>
  <c r="P341" i="2"/>
  <c r="O341" i="2"/>
  <c r="N341" i="2"/>
  <c r="M341" i="2"/>
  <c r="L341" i="2"/>
  <c r="J341" i="2"/>
  <c r="Y340" i="2"/>
  <c r="V340" i="2"/>
  <c r="S340" i="2"/>
  <c r="M340" i="2"/>
  <c r="Y339" i="2"/>
  <c r="V339" i="2"/>
  <c r="S339" i="2"/>
  <c r="M339" i="2"/>
  <c r="AA338" i="2"/>
  <c r="Z338" i="2"/>
  <c r="Y338" i="2"/>
  <c r="X338" i="2"/>
  <c r="W338" i="2"/>
  <c r="V338" i="2"/>
  <c r="U338" i="2"/>
  <c r="T338" i="2"/>
  <c r="S338" i="2"/>
  <c r="R338" i="2"/>
  <c r="P338" i="2"/>
  <c r="O338" i="2"/>
  <c r="N338" i="2"/>
  <c r="M338" i="2"/>
  <c r="L338" i="2"/>
  <c r="J338" i="2"/>
  <c r="Y337" i="2"/>
  <c r="V337" i="2"/>
  <c r="S337" i="2"/>
  <c r="M337" i="2"/>
  <c r="Y336" i="2"/>
  <c r="V336" i="2"/>
  <c r="S336" i="2"/>
  <c r="M336" i="2"/>
  <c r="Y335" i="2"/>
  <c r="V335" i="2"/>
  <c r="S335" i="2"/>
  <c r="M335" i="2"/>
  <c r="AA334" i="2"/>
  <c r="Z334" i="2"/>
  <c r="Y334" i="2"/>
  <c r="X334" i="2"/>
  <c r="W334" i="2"/>
  <c r="V334" i="2"/>
  <c r="U334" i="2"/>
  <c r="T334" i="2"/>
  <c r="S334" i="2"/>
  <c r="R334" i="2"/>
  <c r="P334" i="2"/>
  <c r="O334" i="2"/>
  <c r="N334" i="2"/>
  <c r="M334" i="2"/>
  <c r="L334" i="2"/>
  <c r="J334" i="2"/>
  <c r="Y333" i="2"/>
  <c r="V333" i="2"/>
  <c r="S333" i="2"/>
  <c r="M333" i="2"/>
  <c r="Y332" i="2"/>
  <c r="V332" i="2"/>
  <c r="S332" i="2"/>
  <c r="M332" i="2"/>
  <c r="AA331" i="2"/>
  <c r="Z331" i="2"/>
  <c r="Y331" i="2"/>
  <c r="X331" i="2"/>
  <c r="W331" i="2"/>
  <c r="V331" i="2"/>
  <c r="U331" i="2"/>
  <c r="T331" i="2"/>
  <c r="S331" i="2"/>
  <c r="R331" i="2"/>
  <c r="P331" i="2"/>
  <c r="O331" i="2"/>
  <c r="N331" i="2"/>
  <c r="M331" i="2"/>
  <c r="L331" i="2"/>
  <c r="J331" i="2"/>
  <c r="Y330" i="2"/>
  <c r="V330" i="2"/>
  <c r="S330" i="2"/>
  <c r="M330" i="2"/>
  <c r="Y329" i="2"/>
  <c r="V329" i="2"/>
  <c r="S329" i="2"/>
  <c r="M329" i="2"/>
  <c r="AA328" i="2"/>
  <c r="Z328" i="2"/>
  <c r="Y328" i="2"/>
  <c r="X328" i="2"/>
  <c r="W328" i="2"/>
  <c r="V328" i="2"/>
  <c r="U328" i="2"/>
  <c r="T328" i="2"/>
  <c r="S328" i="2"/>
  <c r="R328" i="2"/>
  <c r="P328" i="2"/>
  <c r="O328" i="2"/>
  <c r="N328" i="2"/>
  <c r="M328" i="2"/>
  <c r="L328" i="2"/>
  <c r="J328" i="2"/>
  <c r="Y327" i="2"/>
  <c r="V327" i="2"/>
  <c r="S327" i="2"/>
  <c r="M327" i="2"/>
  <c r="Y326" i="2"/>
  <c r="V326" i="2"/>
  <c r="S326" i="2"/>
  <c r="M326" i="2"/>
  <c r="Y325" i="2"/>
  <c r="V325" i="2"/>
  <c r="S325" i="2"/>
  <c r="M325" i="2"/>
  <c r="AA324" i="2"/>
  <c r="Z324" i="2"/>
  <c r="Y324" i="2"/>
  <c r="X324" i="2"/>
  <c r="W324" i="2"/>
  <c r="V324" i="2"/>
  <c r="U324" i="2"/>
  <c r="T324" i="2"/>
  <c r="S324" i="2"/>
  <c r="R324" i="2"/>
  <c r="P324" i="2"/>
  <c r="O324" i="2"/>
  <c r="N324" i="2"/>
  <c r="M324" i="2"/>
  <c r="L324" i="2"/>
  <c r="J324" i="2"/>
  <c r="Y323" i="2"/>
  <c r="V323" i="2"/>
  <c r="S323" i="2"/>
  <c r="M323" i="2"/>
  <c r="Y322" i="2"/>
  <c r="V322" i="2"/>
  <c r="S322" i="2"/>
  <c r="M322" i="2"/>
  <c r="AA321" i="2"/>
  <c r="Z321" i="2"/>
  <c r="Y321" i="2"/>
  <c r="X321" i="2"/>
  <c r="W321" i="2"/>
  <c r="V321" i="2"/>
  <c r="U321" i="2"/>
  <c r="T321" i="2"/>
  <c r="S321" i="2"/>
  <c r="R321" i="2"/>
  <c r="P321" i="2"/>
  <c r="O321" i="2"/>
  <c r="N321" i="2"/>
  <c r="M321" i="2"/>
  <c r="L321" i="2"/>
  <c r="J321" i="2"/>
  <c r="Y320" i="2"/>
  <c r="V320" i="2"/>
  <c r="S320" i="2"/>
  <c r="M320" i="2"/>
  <c r="Y319" i="2"/>
  <c r="V319" i="2"/>
  <c r="S319" i="2"/>
  <c r="M319" i="2"/>
  <c r="Y318" i="2"/>
  <c r="V318" i="2"/>
  <c r="S318" i="2"/>
  <c r="M318" i="2"/>
  <c r="AA317" i="2"/>
  <c r="Z317" i="2"/>
  <c r="Y317" i="2"/>
  <c r="X317" i="2"/>
  <c r="W317" i="2"/>
  <c r="V317" i="2"/>
  <c r="U317" i="2"/>
  <c r="T317" i="2"/>
  <c r="S317" i="2"/>
  <c r="R317" i="2"/>
  <c r="P317" i="2"/>
  <c r="O317" i="2"/>
  <c r="N317" i="2"/>
  <c r="M317" i="2"/>
  <c r="L317" i="2"/>
  <c r="J317" i="2"/>
  <c r="AA316" i="2"/>
  <c r="Z316" i="2"/>
  <c r="Y316" i="2"/>
  <c r="U316" i="2"/>
  <c r="T316" i="2"/>
  <c r="S316" i="2"/>
  <c r="O316" i="2"/>
  <c r="N316" i="2"/>
  <c r="M316" i="2"/>
  <c r="Y315" i="2"/>
  <c r="V315" i="2"/>
  <c r="S315" i="2"/>
  <c r="M315" i="2"/>
  <c r="Y314" i="2"/>
  <c r="V314" i="2"/>
  <c r="S314" i="2"/>
  <c r="M314" i="2"/>
  <c r="AA313" i="2"/>
  <c r="Z313" i="2"/>
  <c r="Y313" i="2"/>
  <c r="X313" i="2"/>
  <c r="W313" i="2"/>
  <c r="V313" i="2"/>
  <c r="U313" i="2"/>
  <c r="T313" i="2"/>
  <c r="S313" i="2"/>
  <c r="R313" i="2"/>
  <c r="P313" i="2"/>
  <c r="O313" i="2"/>
  <c r="N313" i="2"/>
  <c r="M313" i="2"/>
  <c r="L313" i="2"/>
  <c r="J313" i="2"/>
  <c r="Y312" i="2"/>
  <c r="V312" i="2"/>
  <c r="S312" i="2"/>
  <c r="M312" i="2"/>
  <c r="Y311" i="2"/>
  <c r="V311" i="2"/>
  <c r="S311" i="2"/>
  <c r="M311" i="2"/>
  <c r="AA310" i="2"/>
  <c r="Z310" i="2"/>
  <c r="Y310" i="2"/>
  <c r="X310" i="2"/>
  <c r="W310" i="2"/>
  <c r="V310" i="2"/>
  <c r="U310" i="2"/>
  <c r="T310" i="2"/>
  <c r="S310" i="2"/>
  <c r="R310" i="2"/>
  <c r="P310" i="2"/>
  <c r="O310" i="2"/>
  <c r="N310" i="2"/>
  <c r="M310" i="2"/>
  <c r="L310" i="2"/>
  <c r="J310" i="2"/>
  <c r="Y309" i="2"/>
  <c r="V309" i="2"/>
  <c r="S309" i="2"/>
  <c r="M309" i="2"/>
  <c r="Y308" i="2"/>
  <c r="V308" i="2"/>
  <c r="S308" i="2"/>
  <c r="M308" i="2"/>
  <c r="AA307" i="2"/>
  <c r="Z307" i="2"/>
  <c r="Y307" i="2"/>
  <c r="X307" i="2"/>
  <c r="W307" i="2"/>
  <c r="V307" i="2"/>
  <c r="U307" i="2"/>
  <c r="T307" i="2"/>
  <c r="S307" i="2"/>
  <c r="R307" i="2"/>
  <c r="P307" i="2"/>
  <c r="O307" i="2"/>
  <c r="N307" i="2"/>
  <c r="M307" i="2"/>
  <c r="L307" i="2"/>
  <c r="J307" i="2"/>
  <c r="Y306" i="2"/>
  <c r="V306" i="2"/>
  <c r="S306" i="2"/>
  <c r="M306" i="2"/>
  <c r="Y305" i="2"/>
  <c r="V305" i="2"/>
  <c r="S305" i="2"/>
  <c r="M305" i="2"/>
  <c r="AA304" i="2"/>
  <c r="Z304" i="2"/>
  <c r="Y304" i="2"/>
  <c r="X304" i="2"/>
  <c r="W304" i="2"/>
  <c r="V304" i="2"/>
  <c r="U304" i="2"/>
  <c r="T304" i="2"/>
  <c r="S304" i="2"/>
  <c r="R304" i="2"/>
  <c r="P304" i="2"/>
  <c r="O304" i="2"/>
  <c r="N304" i="2"/>
  <c r="M304" i="2"/>
  <c r="L304" i="2"/>
  <c r="J304" i="2"/>
  <c r="Y303" i="2"/>
  <c r="V303" i="2"/>
  <c r="S303" i="2"/>
  <c r="M303" i="2"/>
  <c r="Y302" i="2"/>
  <c r="V302" i="2"/>
  <c r="S302" i="2"/>
  <c r="M302" i="2"/>
  <c r="AA301" i="2"/>
  <c r="Z301" i="2"/>
  <c r="Y301" i="2"/>
  <c r="X301" i="2"/>
  <c r="W301" i="2"/>
  <c r="V301" i="2"/>
  <c r="U301" i="2"/>
  <c r="T301" i="2"/>
  <c r="S301" i="2"/>
  <c r="R301" i="2"/>
  <c r="P301" i="2"/>
  <c r="O301" i="2"/>
  <c r="N301" i="2"/>
  <c r="M301" i="2"/>
  <c r="L301" i="2"/>
  <c r="J301" i="2"/>
  <c r="AA300" i="2"/>
  <c r="Z300" i="2"/>
  <c r="Y300" i="2"/>
  <c r="U300" i="2"/>
  <c r="T300" i="2"/>
  <c r="S300" i="2"/>
  <c r="O300" i="2"/>
  <c r="N300" i="2"/>
  <c r="M300" i="2"/>
  <c r="Y299" i="2"/>
  <c r="V299" i="2"/>
  <c r="S299" i="2"/>
  <c r="M299" i="2"/>
  <c r="Y298" i="2"/>
  <c r="V298" i="2"/>
  <c r="S298" i="2"/>
  <c r="M298" i="2"/>
  <c r="Y297" i="2"/>
  <c r="V297" i="2"/>
  <c r="S297" i="2"/>
  <c r="M297" i="2"/>
  <c r="Y296" i="2"/>
  <c r="V296" i="2"/>
  <c r="S296" i="2"/>
  <c r="M296" i="2"/>
  <c r="AA295" i="2"/>
  <c r="Z295" i="2"/>
  <c r="Y295" i="2"/>
  <c r="X295" i="2"/>
  <c r="W295" i="2"/>
  <c r="V295" i="2"/>
  <c r="U295" i="2"/>
  <c r="T295" i="2"/>
  <c r="S295" i="2"/>
  <c r="R295" i="2"/>
  <c r="P295" i="2"/>
  <c r="O295" i="2"/>
  <c r="N295" i="2"/>
  <c r="M295" i="2"/>
  <c r="L295" i="2"/>
  <c r="J295" i="2"/>
  <c r="Y294" i="2"/>
  <c r="V294" i="2"/>
  <c r="S294" i="2"/>
  <c r="M294" i="2"/>
  <c r="Y293" i="2"/>
  <c r="V293" i="2"/>
  <c r="S293" i="2"/>
  <c r="M293" i="2"/>
  <c r="Y292" i="2"/>
  <c r="V292" i="2"/>
  <c r="S292" i="2"/>
  <c r="M292" i="2"/>
  <c r="Y291" i="2"/>
  <c r="V291" i="2"/>
  <c r="S291" i="2"/>
  <c r="M291" i="2"/>
  <c r="AA290" i="2"/>
  <c r="Z290" i="2"/>
  <c r="Y290" i="2"/>
  <c r="X290" i="2"/>
  <c r="W290" i="2"/>
  <c r="V290" i="2"/>
  <c r="U290" i="2"/>
  <c r="T290" i="2"/>
  <c r="S290" i="2"/>
  <c r="R290" i="2"/>
  <c r="P290" i="2"/>
  <c r="O290" i="2"/>
  <c r="N290" i="2"/>
  <c r="M290" i="2"/>
  <c r="L290" i="2"/>
  <c r="J290" i="2"/>
  <c r="Y289" i="2"/>
  <c r="V289" i="2"/>
  <c r="S289" i="2"/>
  <c r="M289" i="2"/>
  <c r="Y288" i="2"/>
  <c r="V288" i="2"/>
  <c r="S288" i="2"/>
  <c r="M288" i="2"/>
  <c r="Y287" i="2"/>
  <c r="V287" i="2"/>
  <c r="S287" i="2"/>
  <c r="M287" i="2"/>
  <c r="Y286" i="2"/>
  <c r="V286" i="2"/>
  <c r="S286" i="2"/>
  <c r="M286" i="2"/>
  <c r="AA285" i="2"/>
  <c r="Z285" i="2"/>
  <c r="Y285" i="2"/>
  <c r="X285" i="2"/>
  <c r="W285" i="2"/>
  <c r="V285" i="2"/>
  <c r="U285" i="2"/>
  <c r="T285" i="2"/>
  <c r="S285" i="2"/>
  <c r="R285" i="2"/>
  <c r="P285" i="2"/>
  <c r="O285" i="2"/>
  <c r="N285" i="2"/>
  <c r="M285" i="2"/>
  <c r="L285" i="2"/>
  <c r="J285" i="2"/>
  <c r="Y284" i="2"/>
  <c r="V284" i="2"/>
  <c r="S284" i="2"/>
  <c r="M284" i="2"/>
  <c r="Y283" i="2"/>
  <c r="V283" i="2"/>
  <c r="S283" i="2"/>
  <c r="M283" i="2"/>
  <c r="Y282" i="2"/>
  <c r="V282" i="2"/>
  <c r="S282" i="2"/>
  <c r="M282" i="2"/>
  <c r="Y281" i="2"/>
  <c r="V281" i="2"/>
  <c r="S281" i="2"/>
  <c r="M281" i="2"/>
  <c r="AA280" i="2"/>
  <c r="Z280" i="2"/>
  <c r="Y280" i="2"/>
  <c r="X280" i="2"/>
  <c r="W280" i="2"/>
  <c r="V280" i="2"/>
  <c r="U280" i="2"/>
  <c r="T280" i="2"/>
  <c r="S280" i="2"/>
  <c r="R280" i="2"/>
  <c r="P280" i="2"/>
  <c r="O280" i="2"/>
  <c r="N280" i="2"/>
  <c r="M280" i="2"/>
  <c r="L280" i="2"/>
  <c r="J280" i="2"/>
  <c r="Y279" i="2"/>
  <c r="V279" i="2"/>
  <c r="S279" i="2"/>
  <c r="M279" i="2"/>
  <c r="Y278" i="2"/>
  <c r="V278" i="2"/>
  <c r="S278" i="2"/>
  <c r="M278" i="2"/>
  <c r="Y277" i="2"/>
  <c r="V277" i="2"/>
  <c r="S277" i="2"/>
  <c r="M277" i="2"/>
  <c r="Y276" i="2"/>
  <c r="V276" i="2"/>
  <c r="S276" i="2"/>
  <c r="M276" i="2"/>
  <c r="AA275" i="2"/>
  <c r="Z275" i="2"/>
  <c r="Y275" i="2"/>
  <c r="X275" i="2"/>
  <c r="W275" i="2"/>
  <c r="V275" i="2"/>
  <c r="U275" i="2"/>
  <c r="T275" i="2"/>
  <c r="S275" i="2"/>
  <c r="R275" i="2"/>
  <c r="P275" i="2"/>
  <c r="O275" i="2"/>
  <c r="N275" i="2"/>
  <c r="M275" i="2"/>
  <c r="L275" i="2"/>
  <c r="J275" i="2"/>
  <c r="Y274" i="2"/>
  <c r="V274" i="2"/>
  <c r="S274" i="2"/>
  <c r="M274" i="2"/>
  <c r="Y273" i="2"/>
  <c r="V273" i="2"/>
  <c r="S273" i="2"/>
  <c r="M273" i="2"/>
  <c r="Y272" i="2"/>
  <c r="V272" i="2"/>
  <c r="S272" i="2"/>
  <c r="M272" i="2"/>
  <c r="Y271" i="2"/>
  <c r="V271" i="2"/>
  <c r="S271" i="2"/>
  <c r="M271" i="2"/>
  <c r="AA270" i="2"/>
  <c r="Z270" i="2"/>
  <c r="Y270" i="2"/>
  <c r="X270" i="2"/>
  <c r="W270" i="2"/>
  <c r="V270" i="2"/>
  <c r="U270" i="2"/>
  <c r="T270" i="2"/>
  <c r="S270" i="2"/>
  <c r="R270" i="2"/>
  <c r="P270" i="2"/>
  <c r="O270" i="2"/>
  <c r="N270" i="2"/>
  <c r="M270" i="2"/>
  <c r="L270" i="2"/>
  <c r="J270" i="2"/>
  <c r="Y269" i="2"/>
  <c r="V269" i="2"/>
  <c r="S269" i="2"/>
  <c r="M269" i="2"/>
  <c r="Y268" i="2"/>
  <c r="V268" i="2"/>
  <c r="S268" i="2"/>
  <c r="M268" i="2"/>
  <c r="Y267" i="2"/>
  <c r="V267" i="2"/>
  <c r="S267" i="2"/>
  <c r="M267" i="2"/>
  <c r="Y266" i="2"/>
  <c r="V266" i="2"/>
  <c r="S266" i="2"/>
  <c r="M266" i="2"/>
  <c r="AA265" i="2"/>
  <c r="Z265" i="2"/>
  <c r="Y265" i="2"/>
  <c r="X265" i="2"/>
  <c r="W265" i="2"/>
  <c r="V265" i="2"/>
  <c r="U265" i="2"/>
  <c r="T265" i="2"/>
  <c r="S265" i="2"/>
  <c r="R265" i="2"/>
  <c r="P265" i="2"/>
  <c r="O265" i="2"/>
  <c r="N265" i="2"/>
  <c r="M265" i="2"/>
  <c r="L265" i="2"/>
  <c r="J265" i="2"/>
  <c r="Y264" i="2"/>
  <c r="V264" i="2"/>
  <c r="S264" i="2"/>
  <c r="M264" i="2"/>
  <c r="Y263" i="2"/>
  <c r="V263" i="2"/>
  <c r="S263" i="2"/>
  <c r="M263" i="2"/>
  <c r="Y262" i="2"/>
  <c r="V262" i="2"/>
  <c r="S262" i="2"/>
  <c r="M262" i="2"/>
  <c r="Y261" i="2"/>
  <c r="V261" i="2"/>
  <c r="S261" i="2"/>
  <c r="M261" i="2"/>
  <c r="AA260" i="2"/>
  <c r="Z260" i="2"/>
  <c r="Y260" i="2"/>
  <c r="X260" i="2"/>
  <c r="W260" i="2"/>
  <c r="V260" i="2"/>
  <c r="U260" i="2"/>
  <c r="T260" i="2"/>
  <c r="S260" i="2"/>
  <c r="R260" i="2"/>
  <c r="P260" i="2"/>
  <c r="O260" i="2"/>
  <c r="N260" i="2"/>
  <c r="M260" i="2"/>
  <c r="L260" i="2"/>
  <c r="J260" i="2"/>
  <c r="Y259" i="2"/>
  <c r="V259" i="2"/>
  <c r="S259" i="2"/>
  <c r="M259" i="2"/>
  <c r="Y258" i="2"/>
  <c r="V258" i="2"/>
  <c r="S258" i="2"/>
  <c r="M258" i="2"/>
  <c r="Y257" i="2"/>
  <c r="V257" i="2"/>
  <c r="S257" i="2"/>
  <c r="M257" i="2"/>
  <c r="Y256" i="2"/>
  <c r="V256" i="2"/>
  <c r="S256" i="2"/>
  <c r="M256" i="2"/>
  <c r="AA255" i="2"/>
  <c r="Z255" i="2"/>
  <c r="Y255" i="2"/>
  <c r="X255" i="2"/>
  <c r="W255" i="2"/>
  <c r="V255" i="2"/>
  <c r="U255" i="2"/>
  <c r="T255" i="2"/>
  <c r="S255" i="2"/>
  <c r="R255" i="2"/>
  <c r="P255" i="2"/>
  <c r="O255" i="2"/>
  <c r="N255" i="2"/>
  <c r="M255" i="2"/>
  <c r="L255" i="2"/>
  <c r="J255" i="2"/>
  <c r="Y254" i="2"/>
  <c r="V254" i="2"/>
  <c r="S254" i="2"/>
  <c r="M254" i="2"/>
  <c r="Y253" i="2"/>
  <c r="V253" i="2"/>
  <c r="S253" i="2"/>
  <c r="M253" i="2"/>
  <c r="Y252" i="2"/>
  <c r="V252" i="2"/>
  <c r="S252" i="2"/>
  <c r="M252" i="2"/>
  <c r="AA251" i="2"/>
  <c r="Z251" i="2"/>
  <c r="Y251" i="2"/>
  <c r="X251" i="2"/>
  <c r="W251" i="2"/>
  <c r="V251" i="2"/>
  <c r="U251" i="2"/>
  <c r="T251" i="2"/>
  <c r="S251" i="2"/>
  <c r="R251" i="2"/>
  <c r="P251" i="2"/>
  <c r="O251" i="2"/>
  <c r="N251" i="2"/>
  <c r="M251" i="2"/>
  <c r="L251" i="2"/>
  <c r="J251" i="2"/>
  <c r="Y250" i="2"/>
  <c r="V250" i="2"/>
  <c r="S250" i="2"/>
  <c r="M250" i="2"/>
  <c r="Y249" i="2"/>
  <c r="V249" i="2"/>
  <c r="S249" i="2"/>
  <c r="M249" i="2"/>
  <c r="AA248" i="2"/>
  <c r="Z248" i="2"/>
  <c r="Y248" i="2"/>
  <c r="X248" i="2"/>
  <c r="W248" i="2"/>
  <c r="V248" i="2"/>
  <c r="U248" i="2"/>
  <c r="T248" i="2"/>
  <c r="S248" i="2"/>
  <c r="R248" i="2"/>
  <c r="P248" i="2"/>
  <c r="O248" i="2"/>
  <c r="N248" i="2"/>
  <c r="M248" i="2"/>
  <c r="L248" i="2"/>
  <c r="J248" i="2"/>
  <c r="Y247" i="2"/>
  <c r="V247" i="2"/>
  <c r="S247" i="2"/>
  <c r="M247" i="2"/>
  <c r="Y246" i="2"/>
  <c r="V246" i="2"/>
  <c r="S246" i="2"/>
  <c r="M246" i="2"/>
  <c r="Y245" i="2"/>
  <c r="V245" i="2"/>
  <c r="S245" i="2"/>
  <c r="M245" i="2"/>
  <c r="AA244" i="2"/>
  <c r="Z244" i="2"/>
  <c r="Y244" i="2"/>
  <c r="X244" i="2"/>
  <c r="W244" i="2"/>
  <c r="V244" i="2"/>
  <c r="U244" i="2"/>
  <c r="T244" i="2"/>
  <c r="S244" i="2"/>
  <c r="R244" i="2"/>
  <c r="P244" i="2"/>
  <c r="O244" i="2"/>
  <c r="N244" i="2"/>
  <c r="M244" i="2"/>
  <c r="L244" i="2"/>
  <c r="J244" i="2"/>
  <c r="Y243" i="2"/>
  <c r="V243" i="2"/>
  <c r="S243" i="2"/>
  <c r="M243" i="2"/>
  <c r="Y242" i="2"/>
  <c r="V242" i="2"/>
  <c r="S242" i="2"/>
  <c r="M242" i="2"/>
  <c r="AA241" i="2"/>
  <c r="Z241" i="2"/>
  <c r="Y241" i="2"/>
  <c r="X241" i="2"/>
  <c r="W241" i="2"/>
  <c r="V241" i="2"/>
  <c r="U241" i="2"/>
  <c r="T241" i="2"/>
  <c r="S241" i="2"/>
  <c r="R241" i="2"/>
  <c r="P241" i="2"/>
  <c r="O241" i="2"/>
  <c r="N241" i="2"/>
  <c r="M241" i="2"/>
  <c r="L241" i="2"/>
  <c r="J241" i="2"/>
  <c r="Y240" i="2"/>
  <c r="V240" i="2"/>
  <c r="S240" i="2"/>
  <c r="M240" i="2"/>
  <c r="Y239" i="2"/>
  <c r="V239" i="2"/>
  <c r="S239" i="2"/>
  <c r="M239" i="2"/>
  <c r="AA238" i="2"/>
  <c r="Z238" i="2"/>
  <c r="Y238" i="2"/>
  <c r="X238" i="2"/>
  <c r="W238" i="2"/>
  <c r="V238" i="2"/>
  <c r="U238" i="2"/>
  <c r="T238" i="2"/>
  <c r="S238" i="2"/>
  <c r="R238" i="2"/>
  <c r="P238" i="2"/>
  <c r="O238" i="2"/>
  <c r="N238" i="2"/>
  <c r="M238" i="2"/>
  <c r="L238" i="2"/>
  <c r="J238" i="2"/>
  <c r="Y237" i="2"/>
  <c r="V237" i="2"/>
  <c r="S237" i="2"/>
  <c r="M237" i="2"/>
  <c r="Y236" i="2"/>
  <c r="V236" i="2"/>
  <c r="S236" i="2"/>
  <c r="M236" i="2"/>
  <c r="Y235" i="2"/>
  <c r="V235" i="2"/>
  <c r="S235" i="2"/>
  <c r="M235" i="2"/>
  <c r="AA234" i="2"/>
  <c r="Z234" i="2"/>
  <c r="Y234" i="2"/>
  <c r="X234" i="2"/>
  <c r="W234" i="2"/>
  <c r="V234" i="2"/>
  <c r="U234" i="2"/>
  <c r="T234" i="2"/>
  <c r="S234" i="2"/>
  <c r="R234" i="2"/>
  <c r="P234" i="2"/>
  <c r="O234" i="2"/>
  <c r="N234" i="2"/>
  <c r="M234" i="2"/>
  <c r="L234" i="2"/>
  <c r="J234" i="2"/>
  <c r="Y233" i="2"/>
  <c r="V233" i="2"/>
  <c r="S233" i="2"/>
  <c r="M233" i="2"/>
  <c r="Y232" i="2"/>
  <c r="V232" i="2"/>
  <c r="S232" i="2"/>
  <c r="M232" i="2"/>
  <c r="Y231" i="2"/>
  <c r="V231" i="2"/>
  <c r="S231" i="2"/>
  <c r="M231" i="2"/>
  <c r="AA230" i="2"/>
  <c r="Z230" i="2"/>
  <c r="Y230" i="2"/>
  <c r="X230" i="2"/>
  <c r="W230" i="2"/>
  <c r="V230" i="2"/>
  <c r="U230" i="2"/>
  <c r="T230" i="2"/>
  <c r="S230" i="2"/>
  <c r="R230" i="2"/>
  <c r="P230" i="2"/>
  <c r="O230" i="2"/>
  <c r="N230" i="2"/>
  <c r="M230" i="2"/>
  <c r="L230" i="2"/>
  <c r="J230" i="2"/>
  <c r="Y229" i="2"/>
  <c r="V229" i="2"/>
  <c r="S229" i="2"/>
  <c r="M229" i="2"/>
  <c r="Y228" i="2"/>
  <c r="V228" i="2"/>
  <c r="S228" i="2"/>
  <c r="M228" i="2"/>
  <c r="AA227" i="2"/>
  <c r="Z227" i="2"/>
  <c r="Y227" i="2"/>
  <c r="X227" i="2"/>
  <c r="W227" i="2"/>
  <c r="V227" i="2"/>
  <c r="U227" i="2"/>
  <c r="T227" i="2"/>
  <c r="S227" i="2"/>
  <c r="R227" i="2"/>
  <c r="P227" i="2"/>
  <c r="O227" i="2"/>
  <c r="N227" i="2"/>
  <c r="M227" i="2"/>
  <c r="L227" i="2"/>
  <c r="J227" i="2"/>
  <c r="Y226" i="2"/>
  <c r="V226" i="2"/>
  <c r="S226" i="2"/>
  <c r="M226" i="2"/>
  <c r="Y225" i="2"/>
  <c r="V225" i="2"/>
  <c r="S225" i="2"/>
  <c r="M225" i="2"/>
  <c r="AA224" i="2"/>
  <c r="Z224" i="2"/>
  <c r="Y224" i="2"/>
  <c r="X224" i="2"/>
  <c r="W224" i="2"/>
  <c r="V224" i="2"/>
  <c r="U224" i="2"/>
  <c r="T224" i="2"/>
  <c r="S224" i="2"/>
  <c r="R224" i="2"/>
  <c r="P224" i="2"/>
  <c r="O224" i="2"/>
  <c r="N224" i="2"/>
  <c r="M224" i="2"/>
  <c r="L224" i="2"/>
  <c r="J224" i="2"/>
  <c r="Y223" i="2"/>
  <c r="V223" i="2"/>
  <c r="S223" i="2"/>
  <c r="M223" i="2"/>
  <c r="Y222" i="2"/>
  <c r="V222" i="2"/>
  <c r="S222" i="2"/>
  <c r="M222" i="2"/>
  <c r="Y221" i="2"/>
  <c r="V221" i="2"/>
  <c r="S221" i="2"/>
  <c r="M221" i="2"/>
  <c r="AA220" i="2"/>
  <c r="Z220" i="2"/>
  <c r="Y220" i="2"/>
  <c r="X220" i="2"/>
  <c r="W220" i="2"/>
  <c r="V220" i="2"/>
  <c r="U220" i="2"/>
  <c r="T220" i="2"/>
  <c r="S220" i="2"/>
  <c r="R220" i="2"/>
  <c r="P220" i="2"/>
  <c r="O220" i="2"/>
  <c r="N220" i="2"/>
  <c r="M220" i="2"/>
  <c r="L220" i="2"/>
  <c r="J220" i="2"/>
  <c r="Y219" i="2"/>
  <c r="V219" i="2"/>
  <c r="S219" i="2"/>
  <c r="M219" i="2"/>
  <c r="Y218" i="2"/>
  <c r="V218" i="2"/>
  <c r="S218" i="2"/>
  <c r="M218" i="2"/>
  <c r="AA217" i="2"/>
  <c r="Z217" i="2"/>
  <c r="Y217" i="2"/>
  <c r="X217" i="2"/>
  <c r="W217" i="2"/>
  <c r="V217" i="2"/>
  <c r="U217" i="2"/>
  <c r="T217" i="2"/>
  <c r="S217" i="2"/>
  <c r="R217" i="2"/>
  <c r="P217" i="2"/>
  <c r="O217" i="2"/>
  <c r="N217" i="2"/>
  <c r="M217" i="2"/>
  <c r="L217" i="2"/>
  <c r="J217" i="2"/>
  <c r="Y216" i="2"/>
  <c r="V216" i="2"/>
  <c r="S216" i="2"/>
  <c r="M216" i="2"/>
  <c r="Y215" i="2"/>
  <c r="V215" i="2"/>
  <c r="S215" i="2"/>
  <c r="M215" i="2"/>
  <c r="Y214" i="2"/>
  <c r="V214" i="2"/>
  <c r="S214" i="2"/>
  <c r="M214" i="2"/>
  <c r="AA213" i="2"/>
  <c r="Z213" i="2"/>
  <c r="Y213" i="2"/>
  <c r="X213" i="2"/>
  <c r="W213" i="2"/>
  <c r="V213" i="2"/>
  <c r="U213" i="2"/>
  <c r="T213" i="2"/>
  <c r="S213" i="2"/>
  <c r="R213" i="2"/>
  <c r="P213" i="2"/>
  <c r="O213" i="2"/>
  <c r="N213" i="2"/>
  <c r="M213" i="2"/>
  <c r="L213" i="2"/>
  <c r="J213" i="2"/>
  <c r="Y212" i="2"/>
  <c r="V212" i="2"/>
  <c r="S212" i="2"/>
  <c r="M212" i="2"/>
  <c r="Y211" i="2"/>
  <c r="V211" i="2"/>
  <c r="S211" i="2"/>
  <c r="M211" i="2"/>
  <c r="AA210" i="2"/>
  <c r="Z210" i="2"/>
  <c r="Y210" i="2"/>
  <c r="X210" i="2"/>
  <c r="W210" i="2"/>
  <c r="V210" i="2"/>
  <c r="U210" i="2"/>
  <c r="T210" i="2"/>
  <c r="S210" i="2"/>
  <c r="R210" i="2"/>
  <c r="P210" i="2"/>
  <c r="O210" i="2"/>
  <c r="N210" i="2"/>
  <c r="M210" i="2"/>
  <c r="L210" i="2"/>
  <c r="J210" i="2"/>
  <c r="Y209" i="2"/>
  <c r="V209" i="2"/>
  <c r="S209" i="2"/>
  <c r="M209" i="2"/>
  <c r="Y208" i="2"/>
  <c r="V208" i="2"/>
  <c r="S208" i="2"/>
  <c r="M208" i="2"/>
  <c r="AA207" i="2"/>
  <c r="Z207" i="2"/>
  <c r="Y207" i="2"/>
  <c r="X207" i="2"/>
  <c r="W207" i="2"/>
  <c r="V207" i="2"/>
  <c r="U207" i="2"/>
  <c r="T207" i="2"/>
  <c r="S207" i="2"/>
  <c r="R207" i="2"/>
  <c r="P207" i="2"/>
  <c r="O207" i="2"/>
  <c r="N207" i="2"/>
  <c r="M207" i="2"/>
  <c r="L207" i="2"/>
  <c r="J207" i="2"/>
  <c r="Y206" i="2"/>
  <c r="V206" i="2"/>
  <c r="S206" i="2"/>
  <c r="M206" i="2"/>
  <c r="Y205" i="2"/>
  <c r="V205" i="2"/>
  <c r="S205" i="2"/>
  <c r="M205" i="2"/>
  <c r="Y204" i="2"/>
  <c r="V204" i="2"/>
  <c r="S204" i="2"/>
  <c r="M204" i="2"/>
  <c r="Y203" i="2"/>
  <c r="V203" i="2"/>
  <c r="S203" i="2"/>
  <c r="M203" i="2"/>
  <c r="AA202" i="2"/>
  <c r="Z202" i="2"/>
  <c r="Y202" i="2"/>
  <c r="X202" i="2"/>
  <c r="W202" i="2"/>
  <c r="V202" i="2"/>
  <c r="U202" i="2"/>
  <c r="T202" i="2"/>
  <c r="S202" i="2"/>
  <c r="R202" i="2"/>
  <c r="P202" i="2"/>
  <c r="O202" i="2"/>
  <c r="N202" i="2"/>
  <c r="M202" i="2"/>
  <c r="L202" i="2"/>
  <c r="J202" i="2"/>
  <c r="Y201" i="2"/>
  <c r="V201" i="2"/>
  <c r="S201" i="2"/>
  <c r="M201" i="2"/>
  <c r="Y200" i="2"/>
  <c r="V200" i="2"/>
  <c r="S200" i="2"/>
  <c r="M200" i="2"/>
  <c r="Y199" i="2"/>
  <c r="V199" i="2"/>
  <c r="S199" i="2"/>
  <c r="M199" i="2"/>
  <c r="Y198" i="2"/>
  <c r="V198" i="2"/>
  <c r="S198" i="2"/>
  <c r="M198" i="2"/>
  <c r="AA197" i="2"/>
  <c r="Z197" i="2"/>
  <c r="Y197" i="2"/>
  <c r="X197" i="2"/>
  <c r="W197" i="2"/>
  <c r="V197" i="2"/>
  <c r="U197" i="2"/>
  <c r="T197" i="2"/>
  <c r="S197" i="2"/>
  <c r="R197" i="2"/>
  <c r="P197" i="2"/>
  <c r="O197" i="2"/>
  <c r="N197" i="2"/>
  <c r="M197" i="2"/>
  <c r="L197" i="2"/>
  <c r="J197" i="2"/>
  <c r="Y196" i="2"/>
  <c r="V196" i="2"/>
  <c r="S196" i="2"/>
  <c r="M196" i="2"/>
  <c r="Y195" i="2"/>
  <c r="V195" i="2"/>
  <c r="S195" i="2"/>
  <c r="M195" i="2"/>
  <c r="Y194" i="2"/>
  <c r="V194" i="2"/>
  <c r="S194" i="2"/>
  <c r="M194" i="2"/>
  <c r="Y193" i="2"/>
  <c r="V193" i="2"/>
  <c r="S193" i="2"/>
  <c r="M193" i="2"/>
  <c r="AA192" i="2"/>
  <c r="Z192" i="2"/>
  <c r="Y192" i="2"/>
  <c r="X192" i="2"/>
  <c r="W192" i="2"/>
  <c r="V192" i="2"/>
  <c r="U192" i="2"/>
  <c r="T192" i="2"/>
  <c r="S192" i="2"/>
  <c r="R192" i="2"/>
  <c r="P192" i="2"/>
  <c r="O192" i="2"/>
  <c r="N192" i="2"/>
  <c r="M192" i="2"/>
  <c r="L192" i="2"/>
  <c r="J192" i="2"/>
  <c r="Y191" i="2"/>
  <c r="V191" i="2"/>
  <c r="S191" i="2"/>
  <c r="M191" i="2"/>
  <c r="Y190" i="2"/>
  <c r="V190" i="2"/>
  <c r="S190" i="2"/>
  <c r="M190" i="2"/>
  <c r="Y189" i="2"/>
  <c r="V189" i="2"/>
  <c r="S189" i="2"/>
  <c r="M189" i="2"/>
  <c r="AA188" i="2"/>
  <c r="Z188" i="2"/>
  <c r="Y188" i="2"/>
  <c r="X188" i="2"/>
  <c r="W188" i="2"/>
  <c r="V188" i="2"/>
  <c r="U188" i="2"/>
  <c r="T188" i="2"/>
  <c r="S188" i="2"/>
  <c r="R188" i="2"/>
  <c r="P188" i="2"/>
  <c r="O188" i="2"/>
  <c r="N188" i="2"/>
  <c r="M188" i="2"/>
  <c r="L188" i="2"/>
  <c r="J188" i="2"/>
  <c r="Y187" i="2"/>
  <c r="V187" i="2"/>
  <c r="S187" i="2"/>
  <c r="M187" i="2"/>
  <c r="Y186" i="2"/>
  <c r="V186" i="2"/>
  <c r="S186" i="2"/>
  <c r="M186" i="2"/>
  <c r="Y185" i="2"/>
  <c r="V185" i="2"/>
  <c r="S185" i="2"/>
  <c r="M185" i="2"/>
  <c r="Y184" i="2"/>
  <c r="V184" i="2"/>
  <c r="S184" i="2"/>
  <c r="M184" i="2"/>
  <c r="AA183" i="2"/>
  <c r="Z183" i="2"/>
  <c r="Y183" i="2"/>
  <c r="X183" i="2"/>
  <c r="W183" i="2"/>
  <c r="V183" i="2"/>
  <c r="U183" i="2"/>
  <c r="T183" i="2"/>
  <c r="S183" i="2"/>
  <c r="R183" i="2"/>
  <c r="P183" i="2"/>
  <c r="O183" i="2"/>
  <c r="N183" i="2"/>
  <c r="M183" i="2"/>
  <c r="L183" i="2"/>
  <c r="J183" i="2"/>
  <c r="Y182" i="2"/>
  <c r="V182" i="2"/>
  <c r="S182" i="2"/>
  <c r="M182" i="2"/>
  <c r="Y181" i="2"/>
  <c r="V181" i="2"/>
  <c r="S181" i="2"/>
  <c r="M181" i="2"/>
  <c r="Y180" i="2"/>
  <c r="V180" i="2"/>
  <c r="S180" i="2"/>
  <c r="M180" i="2"/>
  <c r="Y179" i="2"/>
  <c r="V179" i="2"/>
  <c r="S179" i="2"/>
  <c r="M179" i="2"/>
  <c r="AA178" i="2"/>
  <c r="Z178" i="2"/>
  <c r="Y178" i="2"/>
  <c r="X178" i="2"/>
  <c r="W178" i="2"/>
  <c r="V178" i="2"/>
  <c r="U178" i="2"/>
  <c r="T178" i="2"/>
  <c r="S178" i="2"/>
  <c r="R178" i="2"/>
  <c r="P178" i="2"/>
  <c r="O178" i="2"/>
  <c r="N178" i="2"/>
  <c r="M178" i="2"/>
  <c r="L178" i="2"/>
  <c r="J178" i="2"/>
  <c r="Y177" i="2"/>
  <c r="V177" i="2"/>
  <c r="S177" i="2"/>
  <c r="M177" i="2"/>
  <c r="Y176" i="2"/>
  <c r="V176" i="2"/>
  <c r="S176" i="2"/>
  <c r="M176" i="2"/>
  <c r="Y175" i="2"/>
  <c r="V175" i="2"/>
  <c r="S175" i="2"/>
  <c r="M175" i="2"/>
  <c r="AA174" i="2"/>
  <c r="Z174" i="2"/>
  <c r="Y174" i="2"/>
  <c r="X174" i="2"/>
  <c r="W174" i="2"/>
  <c r="V174" i="2"/>
  <c r="U174" i="2"/>
  <c r="T174" i="2"/>
  <c r="S174" i="2"/>
  <c r="R174" i="2"/>
  <c r="P174" i="2"/>
  <c r="O174" i="2"/>
  <c r="N174" i="2"/>
  <c r="M174" i="2"/>
  <c r="L174" i="2"/>
  <c r="J174" i="2"/>
  <c r="Y173" i="2"/>
  <c r="V173" i="2"/>
  <c r="S173" i="2"/>
  <c r="M173" i="2"/>
  <c r="Y172" i="2"/>
  <c r="V172" i="2"/>
  <c r="S172" i="2"/>
  <c r="M172" i="2"/>
  <c r="Y171" i="2"/>
  <c r="V171" i="2"/>
  <c r="S171" i="2"/>
  <c r="M171" i="2"/>
  <c r="AA170" i="2"/>
  <c r="Z170" i="2"/>
  <c r="Y170" i="2"/>
  <c r="X170" i="2"/>
  <c r="W170" i="2"/>
  <c r="V170" i="2"/>
  <c r="U170" i="2"/>
  <c r="T170" i="2"/>
  <c r="S170" i="2"/>
  <c r="R170" i="2"/>
  <c r="P170" i="2"/>
  <c r="O170" i="2"/>
  <c r="N170" i="2"/>
  <c r="M170" i="2"/>
  <c r="L170" i="2"/>
  <c r="J170" i="2"/>
  <c r="Y169" i="2"/>
  <c r="V169" i="2"/>
  <c r="S169" i="2"/>
  <c r="M169" i="2"/>
  <c r="Y168" i="2"/>
  <c r="V168" i="2"/>
  <c r="S168" i="2"/>
  <c r="M168" i="2"/>
  <c r="Y167" i="2"/>
  <c r="V167" i="2"/>
  <c r="S167" i="2"/>
  <c r="M167" i="2"/>
  <c r="AA166" i="2"/>
  <c r="Z166" i="2"/>
  <c r="Y166" i="2"/>
  <c r="X166" i="2"/>
  <c r="W166" i="2"/>
  <c r="V166" i="2"/>
  <c r="U166" i="2"/>
  <c r="T166" i="2"/>
  <c r="S166" i="2"/>
  <c r="R166" i="2"/>
  <c r="P166" i="2"/>
  <c r="O166" i="2"/>
  <c r="N166" i="2"/>
  <c r="M166" i="2"/>
  <c r="L166" i="2"/>
  <c r="J166" i="2"/>
  <c r="Y165" i="2"/>
  <c r="V165" i="2"/>
  <c r="S165" i="2"/>
  <c r="M165" i="2"/>
  <c r="Y164" i="2"/>
  <c r="V164" i="2"/>
  <c r="S164" i="2"/>
  <c r="M164" i="2"/>
  <c r="Y163" i="2"/>
  <c r="V163" i="2"/>
  <c r="S163" i="2"/>
  <c r="M163" i="2"/>
  <c r="AA162" i="2"/>
  <c r="Z162" i="2"/>
  <c r="Y162" i="2"/>
  <c r="X162" i="2"/>
  <c r="W162" i="2"/>
  <c r="V162" i="2"/>
  <c r="U162" i="2"/>
  <c r="T162" i="2"/>
  <c r="S162" i="2"/>
  <c r="R162" i="2"/>
  <c r="P162" i="2"/>
  <c r="O162" i="2"/>
  <c r="N162" i="2"/>
  <c r="M162" i="2"/>
  <c r="L162" i="2"/>
  <c r="J162" i="2"/>
  <c r="Y161" i="2"/>
  <c r="V161" i="2"/>
  <c r="S161" i="2"/>
  <c r="M161" i="2"/>
  <c r="Y160" i="2"/>
  <c r="V160" i="2"/>
  <c r="S160" i="2"/>
  <c r="M160" i="2"/>
  <c r="Y159" i="2"/>
  <c r="V159" i="2"/>
  <c r="S159" i="2"/>
  <c r="M159" i="2"/>
  <c r="Y158" i="2"/>
  <c r="V158" i="2"/>
  <c r="S158" i="2"/>
  <c r="M158" i="2"/>
  <c r="AA157" i="2"/>
  <c r="Z157" i="2"/>
  <c r="Y157" i="2"/>
  <c r="X157" i="2"/>
  <c r="W157" i="2"/>
  <c r="V157" i="2"/>
  <c r="U157" i="2"/>
  <c r="T157" i="2"/>
  <c r="S157" i="2"/>
  <c r="R157" i="2"/>
  <c r="P157" i="2"/>
  <c r="O157" i="2"/>
  <c r="N157" i="2"/>
  <c r="M157" i="2"/>
  <c r="L157" i="2"/>
  <c r="J157" i="2"/>
  <c r="Y156" i="2"/>
  <c r="V156" i="2"/>
  <c r="S156" i="2"/>
  <c r="M156" i="2"/>
  <c r="Y155" i="2"/>
  <c r="V155" i="2"/>
  <c r="S155" i="2"/>
  <c r="M155" i="2"/>
  <c r="Y154" i="2"/>
  <c r="V154" i="2"/>
  <c r="S154" i="2"/>
  <c r="M154" i="2"/>
  <c r="Y153" i="2"/>
  <c r="V153" i="2"/>
  <c r="S153" i="2"/>
  <c r="M153" i="2"/>
  <c r="AA152" i="2"/>
  <c r="Z152" i="2"/>
  <c r="Y152" i="2"/>
  <c r="X152" i="2"/>
  <c r="W152" i="2"/>
  <c r="V152" i="2"/>
  <c r="U152" i="2"/>
  <c r="T152" i="2"/>
  <c r="S152" i="2"/>
  <c r="R152" i="2"/>
  <c r="P152" i="2"/>
  <c r="O152" i="2"/>
  <c r="N152" i="2"/>
  <c r="M152" i="2"/>
  <c r="L152" i="2"/>
  <c r="J152" i="2"/>
  <c r="Y151" i="2"/>
  <c r="V151" i="2"/>
  <c r="S151" i="2"/>
  <c r="M151" i="2"/>
  <c r="Y150" i="2"/>
  <c r="V150" i="2"/>
  <c r="S150" i="2"/>
  <c r="M150" i="2"/>
  <c r="Y149" i="2"/>
  <c r="V149" i="2"/>
  <c r="S149" i="2"/>
  <c r="M149" i="2"/>
  <c r="AA148" i="2"/>
  <c r="Z148" i="2"/>
  <c r="Y148" i="2"/>
  <c r="X148" i="2"/>
  <c r="W148" i="2"/>
  <c r="V148" i="2"/>
  <c r="U148" i="2"/>
  <c r="T148" i="2"/>
  <c r="S148" i="2"/>
  <c r="R148" i="2"/>
  <c r="P148" i="2"/>
  <c r="O148" i="2"/>
  <c r="N148" i="2"/>
  <c r="M148" i="2"/>
  <c r="L148" i="2"/>
  <c r="J148" i="2"/>
  <c r="Y147" i="2"/>
  <c r="V147" i="2"/>
  <c r="S147" i="2"/>
  <c r="M147" i="2"/>
  <c r="Y146" i="2"/>
  <c r="V146" i="2"/>
  <c r="S146" i="2"/>
  <c r="M146" i="2"/>
  <c r="Y145" i="2"/>
  <c r="V145" i="2"/>
  <c r="S145" i="2"/>
  <c r="M145" i="2"/>
  <c r="AA144" i="2"/>
  <c r="Z144" i="2"/>
  <c r="Y144" i="2"/>
  <c r="X144" i="2"/>
  <c r="W144" i="2"/>
  <c r="V144" i="2"/>
  <c r="U144" i="2"/>
  <c r="T144" i="2"/>
  <c r="S144" i="2"/>
  <c r="R144" i="2"/>
  <c r="P144" i="2"/>
  <c r="O144" i="2"/>
  <c r="N144" i="2"/>
  <c r="M144" i="2"/>
  <c r="L144" i="2"/>
  <c r="J144" i="2"/>
  <c r="Y143" i="2"/>
  <c r="V143" i="2"/>
  <c r="S143" i="2"/>
  <c r="M143" i="2"/>
  <c r="Y142" i="2"/>
  <c r="V142" i="2"/>
  <c r="S142" i="2"/>
  <c r="M142" i="2"/>
  <c r="Y141" i="2"/>
  <c r="V141" i="2"/>
  <c r="S141" i="2"/>
  <c r="M141" i="2"/>
  <c r="Y140" i="2"/>
  <c r="V140" i="2"/>
  <c r="S140" i="2"/>
  <c r="M140" i="2"/>
  <c r="AA139" i="2"/>
  <c r="Z139" i="2"/>
  <c r="Y139" i="2"/>
  <c r="X139" i="2"/>
  <c r="W139" i="2"/>
  <c r="V139" i="2"/>
  <c r="U139" i="2"/>
  <c r="T139" i="2"/>
  <c r="S139" i="2"/>
  <c r="R139" i="2"/>
  <c r="P139" i="2"/>
  <c r="O139" i="2"/>
  <c r="N139" i="2"/>
  <c r="M139" i="2"/>
  <c r="L139" i="2"/>
  <c r="J139" i="2"/>
  <c r="Y138" i="2"/>
  <c r="V138" i="2"/>
  <c r="S138" i="2"/>
  <c r="M138" i="2"/>
  <c r="Y137" i="2"/>
  <c r="V137" i="2"/>
  <c r="S137" i="2"/>
  <c r="M137" i="2"/>
  <c r="Y136" i="2"/>
  <c r="V136" i="2"/>
  <c r="S136" i="2"/>
  <c r="M136" i="2"/>
  <c r="Y135" i="2"/>
  <c r="V135" i="2"/>
  <c r="S135" i="2"/>
  <c r="M135" i="2"/>
  <c r="AA134" i="2"/>
  <c r="Z134" i="2"/>
  <c r="Y134" i="2"/>
  <c r="X134" i="2"/>
  <c r="W134" i="2"/>
  <c r="V134" i="2"/>
  <c r="U134" i="2"/>
  <c r="T134" i="2"/>
  <c r="S134" i="2"/>
  <c r="R134" i="2"/>
  <c r="P134" i="2"/>
  <c r="O134" i="2"/>
  <c r="N134" i="2"/>
  <c r="M134" i="2"/>
  <c r="L134" i="2"/>
  <c r="J134" i="2"/>
  <c r="Y133" i="2"/>
  <c r="V133" i="2"/>
  <c r="S133" i="2"/>
  <c r="M133" i="2"/>
  <c r="Y132" i="2"/>
  <c r="V132" i="2"/>
  <c r="S132" i="2"/>
  <c r="M132" i="2"/>
  <c r="AA131" i="2"/>
  <c r="Z131" i="2"/>
  <c r="Y131" i="2"/>
  <c r="X131" i="2"/>
  <c r="W131" i="2"/>
  <c r="V131" i="2"/>
  <c r="U131" i="2"/>
  <c r="T131" i="2"/>
  <c r="S131" i="2"/>
  <c r="R131" i="2"/>
  <c r="P131" i="2"/>
  <c r="O131" i="2"/>
  <c r="N131" i="2"/>
  <c r="M131" i="2"/>
  <c r="L131" i="2"/>
  <c r="J131" i="2"/>
  <c r="AA130" i="2"/>
  <c r="Z130" i="2"/>
  <c r="Y130" i="2"/>
  <c r="U130" i="2"/>
  <c r="T130" i="2"/>
  <c r="S130" i="2"/>
  <c r="O130" i="2"/>
  <c r="N130" i="2"/>
  <c r="M130" i="2"/>
  <c r="AA129" i="2"/>
  <c r="Z129" i="2"/>
  <c r="Y129" i="2"/>
  <c r="U129" i="2"/>
  <c r="T129" i="2"/>
  <c r="S129" i="2"/>
  <c r="O129" i="2"/>
  <c r="N129" i="2"/>
  <c r="M129" i="2"/>
  <c r="Y128" i="2"/>
  <c r="V128" i="2"/>
  <c r="S128" i="2"/>
  <c r="M128" i="2"/>
  <c r="Y127" i="2"/>
  <c r="V127" i="2"/>
  <c r="S127" i="2"/>
  <c r="M127" i="2"/>
  <c r="AA126" i="2"/>
  <c r="Z126" i="2"/>
  <c r="Y126" i="2"/>
  <c r="X126" i="2"/>
  <c r="W126" i="2"/>
  <c r="V126" i="2"/>
  <c r="U126" i="2"/>
  <c r="T126" i="2"/>
  <c r="S126" i="2"/>
  <c r="R126" i="2"/>
  <c r="P126" i="2"/>
  <c r="O126" i="2"/>
  <c r="N126" i="2"/>
  <c r="M126" i="2"/>
  <c r="L126" i="2"/>
  <c r="J126" i="2"/>
  <c r="Y125" i="2"/>
  <c r="V125" i="2"/>
  <c r="S125" i="2"/>
  <c r="M125" i="2"/>
  <c r="Y124" i="2"/>
  <c r="V124" i="2"/>
  <c r="S124" i="2"/>
  <c r="M124" i="2"/>
  <c r="Y123" i="2"/>
  <c r="V123" i="2"/>
  <c r="S123" i="2"/>
  <c r="M123" i="2"/>
  <c r="Y122" i="2"/>
  <c r="V122" i="2"/>
  <c r="S122" i="2"/>
  <c r="M122" i="2"/>
  <c r="AA121" i="2"/>
  <c r="Z121" i="2"/>
  <c r="Y121" i="2"/>
  <c r="X121" i="2"/>
  <c r="W121" i="2"/>
  <c r="V121" i="2"/>
  <c r="U121" i="2"/>
  <c r="T121" i="2"/>
  <c r="S121" i="2"/>
  <c r="R121" i="2"/>
  <c r="P121" i="2"/>
  <c r="O121" i="2"/>
  <c r="N121" i="2"/>
  <c r="M121" i="2"/>
  <c r="L121" i="2"/>
  <c r="J121" i="2"/>
  <c r="Y120" i="2"/>
  <c r="V120" i="2"/>
  <c r="S120" i="2"/>
  <c r="M120" i="2"/>
  <c r="Y119" i="2"/>
  <c r="V119" i="2"/>
  <c r="S119" i="2"/>
  <c r="M119" i="2"/>
  <c r="Y118" i="2"/>
  <c r="V118" i="2"/>
  <c r="S118" i="2"/>
  <c r="M118" i="2"/>
  <c r="Y117" i="2"/>
  <c r="V117" i="2"/>
  <c r="S117" i="2"/>
  <c r="M117" i="2"/>
  <c r="AA116" i="2"/>
  <c r="Z116" i="2"/>
  <c r="Y116" i="2"/>
  <c r="X116" i="2"/>
  <c r="W116" i="2"/>
  <c r="V116" i="2"/>
  <c r="U116" i="2"/>
  <c r="T116" i="2"/>
  <c r="S116" i="2"/>
  <c r="R116" i="2"/>
  <c r="P116" i="2"/>
  <c r="O116" i="2"/>
  <c r="N116" i="2"/>
  <c r="M116" i="2"/>
  <c r="L116" i="2"/>
  <c r="J116" i="2"/>
  <c r="Y115" i="2"/>
  <c r="V115" i="2"/>
  <c r="S115" i="2"/>
  <c r="M115" i="2"/>
  <c r="Y114" i="2"/>
  <c r="V114" i="2"/>
  <c r="S114" i="2"/>
  <c r="M114" i="2"/>
  <c r="AA113" i="2"/>
  <c r="Z113" i="2"/>
  <c r="Y113" i="2"/>
  <c r="X113" i="2"/>
  <c r="W113" i="2"/>
  <c r="V113" i="2"/>
  <c r="U113" i="2"/>
  <c r="T113" i="2"/>
  <c r="S113" i="2"/>
  <c r="R113" i="2"/>
  <c r="P113" i="2"/>
  <c r="O113" i="2"/>
  <c r="N113" i="2"/>
  <c r="M113" i="2"/>
  <c r="L113" i="2"/>
  <c r="J113" i="2"/>
  <c r="Y112" i="2"/>
  <c r="V112" i="2"/>
  <c r="S112" i="2"/>
  <c r="M112" i="2"/>
  <c r="Y111" i="2"/>
  <c r="V111" i="2"/>
  <c r="S111" i="2"/>
  <c r="M111" i="2"/>
  <c r="Y110" i="2"/>
  <c r="V110" i="2"/>
  <c r="S110" i="2"/>
  <c r="M110" i="2"/>
  <c r="AA109" i="2"/>
  <c r="Z109" i="2"/>
  <c r="Y109" i="2"/>
  <c r="X109" i="2"/>
  <c r="W109" i="2"/>
  <c r="V109" i="2"/>
  <c r="U109" i="2"/>
  <c r="T109" i="2"/>
  <c r="S109" i="2"/>
  <c r="R109" i="2"/>
  <c r="P109" i="2"/>
  <c r="O109" i="2"/>
  <c r="N109" i="2"/>
  <c r="M109" i="2"/>
  <c r="L109" i="2"/>
  <c r="J109" i="2"/>
  <c r="Y108" i="2"/>
  <c r="V108" i="2"/>
  <c r="S108" i="2"/>
  <c r="M108" i="2"/>
  <c r="Y107" i="2"/>
  <c r="V107" i="2"/>
  <c r="S107" i="2"/>
  <c r="M107" i="2"/>
  <c r="Y106" i="2"/>
  <c r="V106" i="2"/>
  <c r="S106" i="2"/>
  <c r="M106" i="2"/>
  <c r="Y105" i="2"/>
  <c r="V105" i="2"/>
  <c r="S105" i="2"/>
  <c r="M105" i="2"/>
  <c r="AA104" i="2"/>
  <c r="Z104" i="2"/>
  <c r="Y104" i="2"/>
  <c r="X104" i="2"/>
  <c r="W104" i="2"/>
  <c r="V104" i="2"/>
  <c r="U104" i="2"/>
  <c r="T104" i="2"/>
  <c r="S104" i="2"/>
  <c r="R104" i="2"/>
  <c r="P104" i="2"/>
  <c r="O104" i="2"/>
  <c r="N104" i="2"/>
  <c r="M104" i="2"/>
  <c r="L104" i="2"/>
  <c r="J104" i="2"/>
  <c r="Y103" i="2"/>
  <c r="V103" i="2"/>
  <c r="S103" i="2"/>
  <c r="M103" i="2"/>
  <c r="Y102" i="2"/>
  <c r="V102" i="2"/>
  <c r="S102" i="2"/>
  <c r="M102" i="2"/>
  <c r="Y101" i="2"/>
  <c r="V101" i="2"/>
  <c r="S101" i="2"/>
  <c r="M101" i="2"/>
  <c r="Y100" i="2"/>
  <c r="V100" i="2"/>
  <c r="S100" i="2"/>
  <c r="M100" i="2"/>
  <c r="AA99" i="2"/>
  <c r="Z99" i="2"/>
  <c r="Y99" i="2"/>
  <c r="X99" i="2"/>
  <c r="W99" i="2"/>
  <c r="V99" i="2"/>
  <c r="U99" i="2"/>
  <c r="T99" i="2"/>
  <c r="S99" i="2"/>
  <c r="R99" i="2"/>
  <c r="P99" i="2"/>
  <c r="O99" i="2"/>
  <c r="N99" i="2"/>
  <c r="M99" i="2"/>
  <c r="L99" i="2"/>
  <c r="J99" i="2"/>
  <c r="Y98" i="2"/>
  <c r="V98" i="2"/>
  <c r="S98" i="2"/>
  <c r="M98" i="2"/>
  <c r="Y97" i="2"/>
  <c r="V97" i="2"/>
  <c r="S97" i="2"/>
  <c r="M97" i="2"/>
  <c r="Y96" i="2"/>
  <c r="V96" i="2"/>
  <c r="S96" i="2"/>
  <c r="M96" i="2"/>
  <c r="Y95" i="2"/>
  <c r="V95" i="2"/>
  <c r="S95" i="2"/>
  <c r="M95" i="2"/>
  <c r="AA94" i="2"/>
  <c r="Z94" i="2"/>
  <c r="Y94" i="2"/>
  <c r="X94" i="2"/>
  <c r="W94" i="2"/>
  <c r="V94" i="2"/>
  <c r="U94" i="2"/>
  <c r="T94" i="2"/>
  <c r="S94" i="2"/>
  <c r="R94" i="2"/>
  <c r="P94" i="2"/>
  <c r="O94" i="2"/>
  <c r="N94" i="2"/>
  <c r="M94" i="2"/>
  <c r="L94" i="2"/>
  <c r="J94" i="2"/>
  <c r="AA93" i="2"/>
  <c r="Z93" i="2"/>
  <c r="Y93" i="2"/>
  <c r="U93" i="2"/>
  <c r="T93" i="2"/>
  <c r="S93" i="2"/>
  <c r="O93" i="2"/>
  <c r="N93" i="2"/>
  <c r="M93" i="2"/>
  <c r="Y92" i="2"/>
  <c r="V92" i="2"/>
  <c r="S92" i="2"/>
  <c r="M92" i="2"/>
  <c r="AA91" i="2"/>
  <c r="Z91" i="2"/>
  <c r="Y91" i="2"/>
  <c r="X91" i="2"/>
  <c r="W91" i="2"/>
  <c r="V91" i="2"/>
  <c r="U91" i="2"/>
  <c r="T91" i="2"/>
  <c r="S91" i="2"/>
  <c r="R91" i="2"/>
  <c r="P91" i="2"/>
  <c r="O91" i="2"/>
  <c r="N91" i="2"/>
  <c r="M91" i="2"/>
  <c r="L91" i="2"/>
  <c r="J91" i="2"/>
  <c r="Y90" i="2"/>
  <c r="V90" i="2"/>
  <c r="S90" i="2"/>
  <c r="M90" i="2"/>
  <c r="Y89" i="2"/>
  <c r="V89" i="2"/>
  <c r="S89" i="2"/>
  <c r="M89" i="2"/>
  <c r="AA88" i="2"/>
  <c r="Z88" i="2"/>
  <c r="Y88" i="2"/>
  <c r="X88" i="2"/>
  <c r="W88" i="2"/>
  <c r="V88" i="2"/>
  <c r="U88" i="2"/>
  <c r="T88" i="2"/>
  <c r="S88" i="2"/>
  <c r="R88" i="2"/>
  <c r="P88" i="2"/>
  <c r="O88" i="2"/>
  <c r="N88" i="2"/>
  <c r="M88" i="2"/>
  <c r="L88" i="2"/>
  <c r="J88" i="2"/>
  <c r="Y87" i="2"/>
  <c r="V87" i="2"/>
  <c r="S87" i="2"/>
  <c r="M87" i="2"/>
  <c r="Y86" i="2"/>
  <c r="V86" i="2"/>
  <c r="S86" i="2"/>
  <c r="M86" i="2"/>
  <c r="AA85" i="2"/>
  <c r="Z85" i="2"/>
  <c r="Y85" i="2"/>
  <c r="X85" i="2"/>
  <c r="W85" i="2"/>
  <c r="V85" i="2"/>
  <c r="U85" i="2"/>
  <c r="T85" i="2"/>
  <c r="S85" i="2"/>
  <c r="R85" i="2"/>
  <c r="P85" i="2"/>
  <c r="O85" i="2"/>
  <c r="N85" i="2"/>
  <c r="M85" i="2"/>
  <c r="L85" i="2"/>
  <c r="J85" i="2"/>
  <c r="AA84" i="2"/>
  <c r="Z84" i="2"/>
  <c r="Y84" i="2"/>
  <c r="U84" i="2"/>
  <c r="T84" i="2"/>
  <c r="S84" i="2"/>
  <c r="O84" i="2"/>
  <c r="N84" i="2"/>
  <c r="M84" i="2"/>
  <c r="Y83" i="2"/>
  <c r="V83" i="2"/>
  <c r="S83" i="2"/>
  <c r="M83" i="2"/>
  <c r="AA82" i="2"/>
  <c r="Z82" i="2"/>
  <c r="Y82" i="2"/>
  <c r="X82" i="2"/>
  <c r="W82" i="2"/>
  <c r="V82" i="2"/>
  <c r="U82" i="2"/>
  <c r="T82" i="2"/>
  <c r="S82" i="2"/>
  <c r="R82" i="2"/>
  <c r="P82" i="2"/>
  <c r="O82" i="2"/>
  <c r="N82" i="2"/>
  <c r="M82" i="2"/>
  <c r="L82" i="2"/>
  <c r="J82" i="2"/>
  <c r="Y81" i="2"/>
  <c r="V81" i="2"/>
  <c r="S81" i="2"/>
  <c r="M81" i="2"/>
  <c r="AA80" i="2"/>
  <c r="Z80" i="2"/>
  <c r="Y80" i="2"/>
  <c r="X80" i="2"/>
  <c r="W80" i="2"/>
  <c r="V80" i="2"/>
  <c r="U80" i="2"/>
  <c r="T80" i="2"/>
  <c r="S80" i="2"/>
  <c r="R80" i="2"/>
  <c r="P80" i="2"/>
  <c r="O80" i="2"/>
  <c r="N80" i="2"/>
  <c r="M80" i="2"/>
  <c r="L80" i="2"/>
  <c r="J80" i="2"/>
  <c r="Y79" i="2"/>
  <c r="V79" i="2"/>
  <c r="S79" i="2"/>
  <c r="M79" i="2"/>
  <c r="Y78" i="2"/>
  <c r="V78" i="2"/>
  <c r="S78" i="2"/>
  <c r="M78" i="2"/>
  <c r="Y77" i="2"/>
  <c r="V77" i="2"/>
  <c r="S77" i="2"/>
  <c r="M77" i="2"/>
  <c r="AA76" i="2"/>
  <c r="Z76" i="2"/>
  <c r="Y76" i="2"/>
  <c r="X76" i="2"/>
  <c r="W76" i="2"/>
  <c r="V76" i="2"/>
  <c r="U76" i="2"/>
  <c r="T76" i="2"/>
  <c r="S76" i="2"/>
  <c r="R76" i="2"/>
  <c r="P76" i="2"/>
  <c r="O76" i="2"/>
  <c r="N76" i="2"/>
  <c r="M76" i="2"/>
  <c r="L76" i="2"/>
  <c r="J76" i="2"/>
  <c r="Y75" i="2"/>
  <c r="V75" i="2"/>
  <c r="S75" i="2"/>
  <c r="M75" i="2"/>
  <c r="Y74" i="2"/>
  <c r="V74" i="2"/>
  <c r="S74" i="2"/>
  <c r="M74" i="2"/>
  <c r="Y73" i="2"/>
  <c r="V73" i="2"/>
  <c r="S73" i="2"/>
  <c r="M73" i="2"/>
  <c r="Y72" i="2"/>
  <c r="V72" i="2"/>
  <c r="S72" i="2"/>
  <c r="M72" i="2"/>
  <c r="AA71" i="2"/>
  <c r="Z71" i="2"/>
  <c r="Y71" i="2"/>
  <c r="X71" i="2"/>
  <c r="W71" i="2"/>
  <c r="V71" i="2"/>
  <c r="U71" i="2"/>
  <c r="T71" i="2"/>
  <c r="S71" i="2"/>
  <c r="R71" i="2"/>
  <c r="P71" i="2"/>
  <c r="O71" i="2"/>
  <c r="N71" i="2"/>
  <c r="M71" i="2"/>
  <c r="L71" i="2"/>
  <c r="J71" i="2"/>
  <c r="Y70" i="2"/>
  <c r="V70" i="2"/>
  <c r="S70" i="2"/>
  <c r="M70" i="2"/>
  <c r="Y69" i="2"/>
  <c r="V69" i="2"/>
  <c r="S69" i="2"/>
  <c r="M69" i="2"/>
  <c r="Y68" i="2"/>
  <c r="V68" i="2"/>
  <c r="S68" i="2"/>
  <c r="M68" i="2"/>
  <c r="AA67" i="2"/>
  <c r="Z67" i="2"/>
  <c r="Y67" i="2"/>
  <c r="X67" i="2"/>
  <c r="W67" i="2"/>
  <c r="V67" i="2"/>
  <c r="U67" i="2"/>
  <c r="T67" i="2"/>
  <c r="S67" i="2"/>
  <c r="R67" i="2"/>
  <c r="P67" i="2"/>
  <c r="O67" i="2"/>
  <c r="N67" i="2"/>
  <c r="M67" i="2"/>
  <c r="L67" i="2"/>
  <c r="J67" i="2"/>
  <c r="Y66" i="2"/>
  <c r="V66" i="2"/>
  <c r="S66" i="2"/>
  <c r="M66" i="2"/>
  <c r="Y65" i="2"/>
  <c r="V65" i="2"/>
  <c r="S65" i="2"/>
  <c r="M65" i="2"/>
  <c r="Y64" i="2"/>
  <c r="V64" i="2"/>
  <c r="S64" i="2"/>
  <c r="M64" i="2"/>
  <c r="Y63" i="2"/>
  <c r="V63" i="2"/>
  <c r="S63" i="2"/>
  <c r="M63" i="2"/>
  <c r="AA62" i="2"/>
  <c r="Z62" i="2"/>
  <c r="Y62" i="2"/>
  <c r="X62" i="2"/>
  <c r="W62" i="2"/>
  <c r="V62" i="2"/>
  <c r="U62" i="2"/>
  <c r="T62" i="2"/>
  <c r="S62" i="2"/>
  <c r="R62" i="2"/>
  <c r="P62" i="2"/>
  <c r="O62" i="2"/>
  <c r="N62" i="2"/>
  <c r="M62" i="2"/>
  <c r="L62" i="2"/>
  <c r="J62" i="2"/>
  <c r="Y61" i="2"/>
  <c r="V61" i="2"/>
  <c r="S61" i="2"/>
  <c r="M61" i="2"/>
  <c r="AA60" i="2"/>
  <c r="Z60" i="2"/>
  <c r="Y60" i="2"/>
  <c r="X60" i="2"/>
  <c r="W60" i="2"/>
  <c r="V60" i="2"/>
  <c r="U60" i="2"/>
  <c r="T60" i="2"/>
  <c r="S60" i="2"/>
  <c r="R60" i="2"/>
  <c r="P60" i="2"/>
  <c r="O60" i="2"/>
  <c r="N60" i="2"/>
  <c r="M60" i="2"/>
  <c r="L60" i="2"/>
  <c r="J60" i="2"/>
  <c r="Y59" i="2"/>
  <c r="V59" i="2"/>
  <c r="S59" i="2"/>
  <c r="M59" i="2"/>
  <c r="AA58" i="2"/>
  <c r="Z58" i="2"/>
  <c r="Y58" i="2"/>
  <c r="X58" i="2"/>
  <c r="W58" i="2"/>
  <c r="V58" i="2"/>
  <c r="U58" i="2"/>
  <c r="T58" i="2"/>
  <c r="S58" i="2"/>
  <c r="R58" i="2"/>
  <c r="P58" i="2"/>
  <c r="O58" i="2"/>
  <c r="N58" i="2"/>
  <c r="M58" i="2"/>
  <c r="L58" i="2"/>
  <c r="J58" i="2"/>
  <c r="Y57" i="2"/>
  <c r="V57" i="2"/>
  <c r="S57" i="2"/>
  <c r="M57" i="2"/>
  <c r="Y56" i="2"/>
  <c r="V56" i="2"/>
  <c r="S56" i="2"/>
  <c r="M56" i="2"/>
  <c r="AA55" i="2"/>
  <c r="Z55" i="2"/>
  <c r="Y55" i="2"/>
  <c r="X55" i="2"/>
  <c r="W55" i="2"/>
  <c r="V55" i="2"/>
  <c r="U55" i="2"/>
  <c r="T55" i="2"/>
  <c r="S55" i="2"/>
  <c r="R55" i="2"/>
  <c r="P55" i="2"/>
  <c r="O55" i="2"/>
  <c r="N55" i="2"/>
  <c r="M55" i="2"/>
  <c r="L55" i="2"/>
  <c r="J55" i="2"/>
  <c r="AA54" i="2"/>
  <c r="Z54" i="2"/>
  <c r="Y54" i="2"/>
  <c r="U54" i="2"/>
  <c r="T54" i="2"/>
  <c r="S54" i="2"/>
  <c r="O54" i="2"/>
  <c r="N54" i="2"/>
  <c r="M54" i="2"/>
  <c r="AA53" i="2"/>
  <c r="Z53" i="2"/>
  <c r="Y53" i="2"/>
  <c r="U53" i="2"/>
  <c r="T53" i="2"/>
  <c r="S53" i="2"/>
  <c r="O53" i="2"/>
  <c r="N53" i="2"/>
  <c r="M53" i="2"/>
  <c r="AA52" i="2"/>
  <c r="Z52" i="2"/>
  <c r="Y52" i="2"/>
  <c r="U52" i="2"/>
  <c r="T52" i="2"/>
  <c r="S52" i="2"/>
  <c r="O52" i="2"/>
  <c r="N52" i="2"/>
  <c r="M52" i="2"/>
  <c r="AA51" i="2"/>
  <c r="Z51" i="2"/>
  <c r="Y51" i="2"/>
  <c r="U51" i="2"/>
  <c r="T51" i="2"/>
  <c r="S51" i="2"/>
  <c r="O51" i="2"/>
  <c r="N51" i="2"/>
  <c r="M51" i="2"/>
  <c r="AA50" i="2"/>
  <c r="Z50" i="2"/>
  <c r="Y50" i="2"/>
  <c r="U50" i="2"/>
  <c r="T50" i="2"/>
  <c r="S50" i="2"/>
  <c r="O50" i="2"/>
  <c r="N50" i="2"/>
  <c r="M50" i="2"/>
  <c r="Y49" i="2"/>
  <c r="V49" i="2"/>
  <c r="S49" i="2"/>
  <c r="M49" i="2"/>
  <c r="Y48" i="2"/>
  <c r="V48" i="2"/>
  <c r="S48" i="2"/>
  <c r="M48" i="2"/>
  <c r="Y47" i="2"/>
  <c r="V47" i="2"/>
  <c r="S47" i="2"/>
  <c r="M47" i="2"/>
  <c r="AA46" i="2"/>
  <c r="Z46" i="2"/>
  <c r="Y46" i="2"/>
  <c r="X46" i="2"/>
  <c r="W46" i="2"/>
  <c r="V46" i="2"/>
  <c r="U46" i="2"/>
  <c r="T46" i="2"/>
  <c r="S46" i="2"/>
  <c r="R46" i="2"/>
  <c r="P46" i="2"/>
  <c r="O46" i="2"/>
  <c r="N46" i="2"/>
  <c r="M46" i="2"/>
  <c r="L46" i="2"/>
  <c r="J46" i="2"/>
  <c r="AA45" i="2"/>
  <c r="Z45" i="2"/>
  <c r="Y45" i="2"/>
  <c r="U45" i="2"/>
  <c r="T45" i="2"/>
  <c r="S45" i="2"/>
  <c r="O45" i="2"/>
  <c r="N45" i="2"/>
  <c r="M45" i="2"/>
  <c r="Y44" i="2"/>
  <c r="V44" i="2"/>
  <c r="S44" i="2"/>
  <c r="M44" i="2"/>
  <c r="Y43" i="2"/>
  <c r="V43" i="2"/>
  <c r="S43" i="2"/>
  <c r="M43" i="2"/>
  <c r="Y42" i="2"/>
  <c r="V42" i="2"/>
  <c r="S42" i="2"/>
  <c r="M42" i="2"/>
  <c r="Y41" i="2"/>
  <c r="V41" i="2"/>
  <c r="S41" i="2"/>
  <c r="M41" i="2"/>
  <c r="AA40" i="2"/>
  <c r="Z40" i="2"/>
  <c r="Y40" i="2"/>
  <c r="X40" i="2"/>
  <c r="W40" i="2"/>
  <c r="V40" i="2"/>
  <c r="U40" i="2"/>
  <c r="T40" i="2"/>
  <c r="S40" i="2"/>
  <c r="R40" i="2"/>
  <c r="P40" i="2"/>
  <c r="O40" i="2"/>
  <c r="N40" i="2"/>
  <c r="M40" i="2"/>
  <c r="L40" i="2"/>
  <c r="J40" i="2"/>
  <c r="Y39" i="2"/>
  <c r="V39" i="2"/>
  <c r="S39" i="2"/>
  <c r="M39" i="2"/>
  <c r="Y38" i="2"/>
  <c r="V38" i="2"/>
  <c r="S38" i="2"/>
  <c r="M38" i="2"/>
  <c r="Y37" i="2"/>
  <c r="V37" i="2"/>
  <c r="S37" i="2"/>
  <c r="M37" i="2"/>
  <c r="Y36" i="2"/>
  <c r="V36" i="2"/>
  <c r="S36" i="2"/>
  <c r="M36" i="2"/>
  <c r="AA35" i="2"/>
  <c r="Z35" i="2"/>
  <c r="Y35" i="2"/>
  <c r="X35" i="2"/>
  <c r="W35" i="2"/>
  <c r="V35" i="2"/>
  <c r="U35" i="2"/>
  <c r="T35" i="2"/>
  <c r="S35" i="2"/>
  <c r="R35" i="2"/>
  <c r="P35" i="2"/>
  <c r="O35" i="2"/>
  <c r="N35" i="2"/>
  <c r="M35" i="2"/>
  <c r="L35" i="2"/>
  <c r="J35" i="2"/>
  <c r="Y34" i="2"/>
  <c r="V34" i="2"/>
  <c r="S34" i="2"/>
  <c r="M34" i="2"/>
  <c r="Y33" i="2"/>
  <c r="V33" i="2"/>
  <c r="S33" i="2"/>
  <c r="M33" i="2"/>
  <c r="Y32" i="2"/>
  <c r="V32" i="2"/>
  <c r="S32" i="2"/>
  <c r="M32" i="2"/>
  <c r="Y31" i="2"/>
  <c r="V31" i="2"/>
  <c r="S31" i="2"/>
  <c r="M31" i="2"/>
  <c r="AA30" i="2"/>
  <c r="Z30" i="2"/>
  <c r="Y30" i="2"/>
  <c r="X30" i="2"/>
  <c r="W30" i="2"/>
  <c r="V30" i="2"/>
  <c r="U30" i="2"/>
  <c r="T30" i="2"/>
  <c r="S30" i="2"/>
  <c r="R30" i="2"/>
  <c r="P30" i="2"/>
  <c r="O30" i="2"/>
  <c r="N30" i="2"/>
  <c r="M30" i="2"/>
  <c r="L30" i="2"/>
  <c r="J30" i="2"/>
  <c r="Y29" i="2"/>
  <c r="V29" i="2"/>
  <c r="S29" i="2"/>
  <c r="M29" i="2"/>
  <c r="Y28" i="2"/>
  <c r="V28" i="2"/>
  <c r="S28" i="2"/>
  <c r="M28" i="2"/>
  <c r="Y27" i="2"/>
  <c r="V27" i="2"/>
  <c r="S27" i="2"/>
  <c r="M27" i="2"/>
  <c r="Y26" i="2"/>
  <c r="V26" i="2"/>
  <c r="S26" i="2"/>
  <c r="M26" i="2"/>
  <c r="AA25" i="2"/>
  <c r="Z25" i="2"/>
  <c r="Y25" i="2"/>
  <c r="X25" i="2"/>
  <c r="W25" i="2"/>
  <c r="V25" i="2"/>
  <c r="U25" i="2"/>
  <c r="T25" i="2"/>
  <c r="S25" i="2"/>
  <c r="R25" i="2"/>
  <c r="P25" i="2"/>
  <c r="O25" i="2"/>
  <c r="N25" i="2"/>
  <c r="M25" i="2"/>
  <c r="L25" i="2"/>
  <c r="J25" i="2"/>
  <c r="AA24" i="2"/>
  <c r="Z24" i="2"/>
  <c r="Y24" i="2"/>
  <c r="U24" i="2"/>
  <c r="T24" i="2"/>
  <c r="S24" i="2"/>
  <c r="O24" i="2"/>
  <c r="N24" i="2"/>
  <c r="M24" i="2"/>
  <c r="Y23" i="2"/>
  <c r="V23" i="2"/>
  <c r="S23" i="2"/>
  <c r="M23" i="2"/>
  <c r="Y22" i="2"/>
  <c r="V22" i="2"/>
  <c r="S22" i="2"/>
  <c r="M22" i="2"/>
  <c r="Y21" i="2"/>
  <c r="V21" i="2"/>
  <c r="S21" i="2"/>
  <c r="M21" i="2"/>
  <c r="Y20" i="2"/>
  <c r="V20" i="2"/>
  <c r="S20" i="2"/>
  <c r="M20" i="2"/>
  <c r="Y19" i="2"/>
  <c r="V19" i="2"/>
  <c r="S19" i="2"/>
  <c r="M19" i="2"/>
  <c r="AA18" i="2"/>
  <c r="Z18" i="2"/>
  <c r="Y18" i="2"/>
  <c r="X18" i="2"/>
  <c r="W18" i="2"/>
  <c r="V18" i="2"/>
  <c r="U18" i="2"/>
  <c r="T18" i="2"/>
  <c r="S18" i="2"/>
  <c r="R18" i="2"/>
  <c r="P18" i="2"/>
  <c r="O18" i="2"/>
  <c r="N18" i="2"/>
  <c r="M18" i="2"/>
  <c r="L18" i="2"/>
  <c r="J18" i="2"/>
  <c r="AA17" i="2"/>
  <c r="Z17" i="2"/>
  <c r="Y17" i="2"/>
  <c r="U17" i="2"/>
  <c r="T17" i="2"/>
  <c r="S17" i="2"/>
  <c r="O17" i="2"/>
  <c r="N17" i="2"/>
  <c r="M17" i="2"/>
  <c r="AA16" i="2"/>
  <c r="Z16" i="2"/>
  <c r="Y16" i="2"/>
  <c r="U16" i="2"/>
  <c r="T16" i="2"/>
  <c r="S16" i="2"/>
  <c r="O16" i="2"/>
  <c r="N16" i="2"/>
  <c r="M16" i="2"/>
  <c r="Y15" i="2"/>
  <c r="V15" i="2"/>
  <c r="S15" i="2"/>
  <c r="M15" i="2"/>
  <c r="AA14" i="2"/>
  <c r="Z14" i="2"/>
  <c r="Y14" i="2"/>
  <c r="X14" i="2"/>
  <c r="W14" i="2"/>
  <c r="V14" i="2"/>
  <c r="U14" i="2"/>
  <c r="T14" i="2"/>
  <c r="S14" i="2"/>
  <c r="R14" i="2"/>
  <c r="P14" i="2"/>
  <c r="O14" i="2"/>
  <c r="N14" i="2"/>
  <c r="M14" i="2"/>
  <c r="L14" i="2"/>
  <c r="J14" i="2"/>
  <c r="AA13" i="2"/>
  <c r="Z13" i="2"/>
  <c r="Y13" i="2"/>
  <c r="U13" i="2"/>
  <c r="T13" i="2"/>
  <c r="S13" i="2"/>
  <c r="O13" i="2"/>
  <c r="N13" i="2"/>
  <c r="M13" i="2"/>
  <c r="AA12" i="2"/>
  <c r="Z12" i="2"/>
  <c r="Y12" i="2"/>
  <c r="U12" i="2"/>
  <c r="T12" i="2"/>
  <c r="S12" i="2"/>
  <c r="O12" i="2"/>
  <c r="N12" i="2"/>
  <c r="M12" i="2"/>
  <c r="AA11" i="2"/>
  <c r="Z11" i="2"/>
  <c r="Y11" i="2"/>
  <c r="U11" i="2"/>
  <c r="T11" i="2"/>
  <c r="S11" i="2"/>
  <c r="O11" i="2"/>
  <c r="N11" i="2"/>
  <c r="M11" i="2"/>
  <c r="AA10" i="2"/>
  <c r="Z10" i="2"/>
  <c r="Y10" i="2"/>
  <c r="U10" i="2"/>
  <c r="T10" i="2"/>
  <c r="S10" i="2"/>
  <c r="O10" i="2"/>
  <c r="N10" i="2"/>
  <c r="M10" i="2"/>
  <c r="AA9" i="2"/>
  <c r="Z9" i="2"/>
  <c r="Y9" i="2"/>
  <c r="U9" i="2"/>
  <c r="T9" i="2"/>
  <c r="S9" i="2"/>
  <c r="O9" i="2"/>
  <c r="N9" i="2"/>
  <c r="M9" i="2"/>
  <c r="AA8" i="2"/>
  <c r="Z8" i="2"/>
  <c r="Y8" i="2"/>
  <c r="U8" i="2"/>
  <c r="T8" i="2"/>
  <c r="S8" i="2"/>
  <c r="O8" i="2"/>
  <c r="N8" i="2"/>
  <c r="M8" i="2"/>
  <c r="AA585" i="1"/>
  <c r="Z585" i="1"/>
  <c r="Y585" i="1"/>
  <c r="U585" i="1"/>
  <c r="T585" i="1"/>
  <c r="S585" i="1"/>
  <c r="O585" i="1"/>
  <c r="N585" i="1"/>
  <c r="M585" i="1"/>
  <c r="AA584" i="1"/>
  <c r="Z584" i="1"/>
  <c r="X584" i="1"/>
  <c r="W584" i="1"/>
  <c r="U584" i="1"/>
  <c r="T584" i="1"/>
  <c r="R584" i="1"/>
  <c r="O584" i="1"/>
  <c r="N584" i="1"/>
  <c r="L584" i="1"/>
  <c r="AA583" i="1"/>
  <c r="Z583" i="1"/>
  <c r="X583" i="1"/>
  <c r="W583" i="1"/>
  <c r="U583" i="1"/>
  <c r="T583" i="1"/>
  <c r="R583" i="1"/>
  <c r="O583" i="1"/>
  <c r="N583" i="1"/>
  <c r="L583" i="1"/>
  <c r="AA582" i="1"/>
  <c r="Z582" i="1"/>
  <c r="Y582" i="1"/>
  <c r="U582" i="1"/>
  <c r="T582" i="1"/>
  <c r="S582" i="1"/>
  <c r="O582" i="1"/>
  <c r="N582" i="1"/>
  <c r="M582" i="1"/>
  <c r="Y581" i="1"/>
  <c r="V581" i="1"/>
  <c r="S581" i="1"/>
  <c r="M581" i="1"/>
  <c r="Y580" i="1"/>
  <c r="V580" i="1"/>
  <c r="S580" i="1"/>
  <c r="M580" i="1"/>
  <c r="Y579" i="1"/>
  <c r="V579" i="1"/>
  <c r="S579" i="1"/>
  <c r="M579" i="1"/>
  <c r="AA578" i="1"/>
  <c r="Z578" i="1"/>
  <c r="Y578" i="1"/>
  <c r="X578" i="1"/>
  <c r="W578" i="1"/>
  <c r="V578" i="1"/>
  <c r="U578" i="1"/>
  <c r="T578" i="1"/>
  <c r="S578" i="1"/>
  <c r="R578" i="1"/>
  <c r="P578" i="1"/>
  <c r="O578" i="1"/>
  <c r="N578" i="1"/>
  <c r="M578" i="1"/>
  <c r="L578" i="1"/>
  <c r="J578" i="1"/>
  <c r="AA577" i="1"/>
  <c r="Z577" i="1"/>
  <c r="Y577" i="1"/>
  <c r="U577" i="1"/>
  <c r="T577" i="1"/>
  <c r="S577" i="1"/>
  <c r="O577" i="1"/>
  <c r="N577" i="1"/>
  <c r="M577" i="1"/>
  <c r="AA576" i="1"/>
  <c r="Z576" i="1"/>
  <c r="Y576" i="1"/>
  <c r="U576" i="1"/>
  <c r="T576" i="1"/>
  <c r="S576" i="1"/>
  <c r="O576" i="1"/>
  <c r="N576" i="1"/>
  <c r="M576" i="1"/>
  <c r="Y575" i="1"/>
  <c r="V575" i="1"/>
  <c r="S575" i="1"/>
  <c r="M575" i="1"/>
  <c r="Y574" i="1"/>
  <c r="V574" i="1"/>
  <c r="S574" i="1"/>
  <c r="M574" i="1"/>
  <c r="Y573" i="1"/>
  <c r="V573" i="1"/>
  <c r="S573" i="1"/>
  <c r="M573" i="1"/>
  <c r="AA572" i="1"/>
  <c r="Z572" i="1"/>
  <c r="Y572" i="1"/>
  <c r="X572" i="1"/>
  <c r="W572" i="1"/>
  <c r="V572" i="1"/>
  <c r="U572" i="1"/>
  <c r="T572" i="1"/>
  <c r="S572" i="1"/>
  <c r="R572" i="1"/>
  <c r="P572" i="1"/>
  <c r="O572" i="1"/>
  <c r="N572" i="1"/>
  <c r="M572" i="1"/>
  <c r="L572" i="1"/>
  <c r="J572" i="1"/>
  <c r="AA571" i="1"/>
  <c r="Z571" i="1"/>
  <c r="Y571" i="1"/>
  <c r="U571" i="1"/>
  <c r="T571" i="1"/>
  <c r="S571" i="1"/>
  <c r="O571" i="1"/>
  <c r="N571" i="1"/>
  <c r="M571" i="1"/>
  <c r="AA570" i="1"/>
  <c r="Z570" i="1"/>
  <c r="X570" i="1"/>
  <c r="W570" i="1"/>
  <c r="U570" i="1"/>
  <c r="T570" i="1"/>
  <c r="R570" i="1"/>
  <c r="O570" i="1"/>
  <c r="N570" i="1"/>
  <c r="L570" i="1"/>
  <c r="AA569" i="1"/>
  <c r="Z569" i="1"/>
  <c r="X569" i="1"/>
  <c r="W569" i="1"/>
  <c r="U569" i="1"/>
  <c r="T569" i="1"/>
  <c r="R569" i="1"/>
  <c r="O569" i="1"/>
  <c r="N569" i="1"/>
  <c r="L569" i="1"/>
  <c r="AA568" i="1"/>
  <c r="Z568" i="1"/>
  <c r="Y568" i="1"/>
  <c r="U568" i="1"/>
  <c r="T568" i="1"/>
  <c r="S568" i="1"/>
  <c r="O568" i="1"/>
  <c r="N568" i="1"/>
  <c r="M568" i="1"/>
  <c r="AA567" i="1"/>
  <c r="Z567" i="1"/>
  <c r="Y567" i="1"/>
  <c r="U567" i="1"/>
  <c r="T567" i="1"/>
  <c r="S567" i="1"/>
  <c r="O567" i="1"/>
  <c r="N567" i="1"/>
  <c r="M567" i="1"/>
  <c r="AA566" i="1"/>
  <c r="Z566" i="1"/>
  <c r="X566" i="1"/>
  <c r="W566" i="1"/>
  <c r="U566" i="1"/>
  <c r="T566" i="1"/>
  <c r="R566" i="1"/>
  <c r="O566" i="1"/>
  <c r="N566" i="1"/>
  <c r="L566" i="1"/>
  <c r="AA565" i="1"/>
  <c r="Z565" i="1"/>
  <c r="Y565" i="1"/>
  <c r="U565" i="1"/>
  <c r="T565" i="1"/>
  <c r="S565" i="1"/>
  <c r="O565" i="1"/>
  <c r="N565" i="1"/>
  <c r="M565" i="1"/>
  <c r="AA564" i="1"/>
  <c r="Z564" i="1"/>
  <c r="Y564" i="1"/>
  <c r="U564" i="1"/>
  <c r="T564" i="1"/>
  <c r="S564" i="1"/>
  <c r="O564" i="1"/>
  <c r="N564" i="1"/>
  <c r="M564" i="1"/>
  <c r="AA563" i="1"/>
  <c r="Z563" i="1"/>
  <c r="Y563" i="1"/>
  <c r="U563" i="1"/>
  <c r="T563" i="1"/>
  <c r="S563" i="1"/>
  <c r="O563" i="1"/>
  <c r="N563" i="1"/>
  <c r="M563" i="1"/>
  <c r="AA562" i="1"/>
  <c r="Z562" i="1"/>
  <c r="X562" i="1"/>
  <c r="W562" i="1"/>
  <c r="U562" i="1"/>
  <c r="T562" i="1"/>
  <c r="R562" i="1"/>
  <c r="O562" i="1"/>
  <c r="N562" i="1"/>
  <c r="L562" i="1"/>
  <c r="AA561" i="1"/>
  <c r="Z561" i="1"/>
  <c r="Y561" i="1"/>
  <c r="U561" i="1"/>
  <c r="T561" i="1"/>
  <c r="S561" i="1"/>
  <c r="O561" i="1"/>
  <c r="N561" i="1"/>
  <c r="M561" i="1"/>
  <c r="AA560" i="1"/>
  <c r="Z560" i="1"/>
  <c r="Y560" i="1"/>
  <c r="U560" i="1"/>
  <c r="T560" i="1"/>
  <c r="S560" i="1"/>
  <c r="O560" i="1"/>
  <c r="N560" i="1"/>
  <c r="M560" i="1"/>
  <c r="AA559" i="1"/>
  <c r="Z559" i="1"/>
  <c r="Y559" i="1"/>
  <c r="U559" i="1"/>
  <c r="T559" i="1"/>
  <c r="S559" i="1"/>
  <c r="O559" i="1"/>
  <c r="N559" i="1"/>
  <c r="M559" i="1"/>
  <c r="AA558" i="1"/>
  <c r="Z558" i="1"/>
  <c r="Y558" i="1"/>
  <c r="U558" i="1"/>
  <c r="T558" i="1"/>
  <c r="S558" i="1"/>
  <c r="O558" i="1"/>
  <c r="N558" i="1"/>
  <c r="M558" i="1"/>
  <c r="AA557" i="1"/>
  <c r="Z557" i="1"/>
  <c r="X557" i="1"/>
  <c r="W557" i="1"/>
  <c r="U557" i="1"/>
  <c r="T557" i="1"/>
  <c r="R557" i="1"/>
  <c r="O557" i="1"/>
  <c r="N557" i="1"/>
  <c r="L557" i="1"/>
  <c r="Y556" i="1"/>
  <c r="V556" i="1"/>
  <c r="S556" i="1"/>
  <c r="M556" i="1"/>
  <c r="Y555" i="1"/>
  <c r="V555" i="1"/>
  <c r="S555" i="1"/>
  <c r="M555" i="1"/>
  <c r="Z554" i="1"/>
  <c r="X554" i="1"/>
  <c r="W554" i="1"/>
  <c r="AA553" i="1"/>
  <c r="Z553" i="1"/>
  <c r="Y553" i="1"/>
  <c r="X553" i="1"/>
  <c r="W553" i="1"/>
  <c r="V553" i="1"/>
  <c r="U553" i="1"/>
  <c r="T553" i="1"/>
  <c r="S553" i="1"/>
  <c r="R553" i="1"/>
  <c r="P553" i="1"/>
  <c r="O553" i="1"/>
  <c r="N553" i="1"/>
  <c r="M553" i="1"/>
  <c r="L553" i="1"/>
  <c r="J553" i="1"/>
  <c r="Y552" i="1"/>
  <c r="V552" i="1"/>
  <c r="S552" i="1"/>
  <c r="M552" i="1"/>
  <c r="AA551" i="1"/>
  <c r="Z551" i="1"/>
  <c r="Y551" i="1"/>
  <c r="X551" i="1"/>
  <c r="W551" i="1"/>
  <c r="V551" i="1"/>
  <c r="U551" i="1"/>
  <c r="T551" i="1"/>
  <c r="S551" i="1"/>
  <c r="R551" i="1"/>
  <c r="P551" i="1"/>
  <c r="O551" i="1"/>
  <c r="N551" i="1"/>
  <c r="M551" i="1"/>
  <c r="L551" i="1"/>
  <c r="J551" i="1"/>
  <c r="Y550" i="1"/>
  <c r="V550" i="1"/>
  <c r="S550" i="1"/>
  <c r="M550" i="1"/>
  <c r="AA549" i="1"/>
  <c r="Z549" i="1"/>
  <c r="Y549" i="1"/>
  <c r="X549" i="1"/>
  <c r="W549" i="1"/>
  <c r="V549" i="1"/>
  <c r="U549" i="1"/>
  <c r="T549" i="1"/>
  <c r="S549" i="1"/>
  <c r="R549" i="1"/>
  <c r="P549" i="1"/>
  <c r="O549" i="1"/>
  <c r="N549" i="1"/>
  <c r="M549" i="1"/>
  <c r="L549" i="1"/>
  <c r="J549" i="1"/>
  <c r="AA548" i="1"/>
  <c r="Z548" i="1"/>
  <c r="Y548" i="1"/>
  <c r="U548" i="1"/>
  <c r="T548" i="1"/>
  <c r="S548" i="1"/>
  <c r="O548" i="1"/>
  <c r="N548" i="1"/>
  <c r="M548" i="1"/>
  <c r="Y547" i="1"/>
  <c r="V547" i="1"/>
  <c r="S547" i="1"/>
  <c r="M547" i="1"/>
  <c r="Y546" i="1"/>
  <c r="V546" i="1"/>
  <c r="S546" i="1"/>
  <c r="M546" i="1"/>
  <c r="AA545" i="1"/>
  <c r="Z545" i="1"/>
  <c r="Y545" i="1"/>
  <c r="X545" i="1"/>
  <c r="W545" i="1"/>
  <c r="V545" i="1"/>
  <c r="U545" i="1"/>
  <c r="T545" i="1"/>
  <c r="S545" i="1"/>
  <c r="R545" i="1"/>
  <c r="P545" i="1"/>
  <c r="O545" i="1"/>
  <c r="N545" i="1"/>
  <c r="M545" i="1"/>
  <c r="L545" i="1"/>
  <c r="J545" i="1"/>
  <c r="Y544" i="1"/>
  <c r="V544" i="1"/>
  <c r="S544" i="1"/>
  <c r="M544" i="1"/>
  <c r="Y543" i="1"/>
  <c r="V543" i="1"/>
  <c r="S543" i="1"/>
  <c r="M543" i="1"/>
  <c r="Y542" i="1"/>
  <c r="V542" i="1"/>
  <c r="S542" i="1"/>
  <c r="M542" i="1"/>
  <c r="Y541" i="1"/>
  <c r="V541" i="1"/>
  <c r="S541" i="1"/>
  <c r="M541" i="1"/>
  <c r="Z540" i="1"/>
  <c r="X540" i="1"/>
  <c r="W540" i="1"/>
  <c r="AA539" i="1"/>
  <c r="Z539" i="1"/>
  <c r="Y539" i="1"/>
  <c r="X539" i="1"/>
  <c r="W539" i="1"/>
  <c r="V539" i="1"/>
  <c r="U539" i="1"/>
  <c r="T539" i="1"/>
  <c r="S539" i="1"/>
  <c r="R539" i="1"/>
  <c r="P539" i="1"/>
  <c r="O539" i="1"/>
  <c r="N539" i="1"/>
  <c r="M539" i="1"/>
  <c r="L539" i="1"/>
  <c r="J539" i="1"/>
  <c r="Y538" i="1"/>
  <c r="V538" i="1"/>
  <c r="S538" i="1"/>
  <c r="M538" i="1"/>
  <c r="Y537" i="1"/>
  <c r="V537" i="1"/>
  <c r="S537" i="1"/>
  <c r="M537" i="1"/>
  <c r="Y536" i="1"/>
  <c r="V536" i="1"/>
  <c r="S536" i="1"/>
  <c r="M536" i="1"/>
  <c r="Y535" i="1"/>
  <c r="V535" i="1"/>
  <c r="S535" i="1"/>
  <c r="M535" i="1"/>
  <c r="Z534" i="1"/>
  <c r="X534" i="1"/>
  <c r="W534" i="1"/>
  <c r="AA533" i="1"/>
  <c r="Z533" i="1"/>
  <c r="Y533" i="1"/>
  <c r="X533" i="1"/>
  <c r="W533" i="1"/>
  <c r="V533" i="1"/>
  <c r="U533" i="1"/>
  <c r="T533" i="1"/>
  <c r="S533" i="1"/>
  <c r="R533" i="1"/>
  <c r="P533" i="1"/>
  <c r="O533" i="1"/>
  <c r="N533" i="1"/>
  <c r="M533" i="1"/>
  <c r="L533" i="1"/>
  <c r="J533" i="1"/>
  <c r="AA532" i="1"/>
  <c r="Z532" i="1"/>
  <c r="Y532" i="1"/>
  <c r="U532" i="1"/>
  <c r="T532" i="1"/>
  <c r="S532" i="1"/>
  <c r="O532" i="1"/>
  <c r="N532" i="1"/>
  <c r="M532" i="1"/>
  <c r="Y531" i="1"/>
  <c r="V531" i="1"/>
  <c r="S531" i="1"/>
  <c r="M531" i="1"/>
  <c r="Y530" i="1"/>
  <c r="V530" i="1"/>
  <c r="S530" i="1"/>
  <c r="M530" i="1"/>
  <c r="Y529" i="1"/>
  <c r="V529" i="1"/>
  <c r="S529" i="1"/>
  <c r="M529" i="1"/>
  <c r="Y528" i="1"/>
  <c r="V528" i="1"/>
  <c r="S528" i="1"/>
  <c r="M528" i="1"/>
  <c r="Z527" i="1"/>
  <c r="X527" i="1"/>
  <c r="W527" i="1"/>
  <c r="AA526" i="1"/>
  <c r="Z526" i="1"/>
  <c r="Y526" i="1"/>
  <c r="X526" i="1"/>
  <c r="W526" i="1"/>
  <c r="V526" i="1"/>
  <c r="U526" i="1"/>
  <c r="T526" i="1"/>
  <c r="S526" i="1"/>
  <c r="R526" i="1"/>
  <c r="P526" i="1"/>
  <c r="O526" i="1"/>
  <c r="N526" i="1"/>
  <c r="M526" i="1"/>
  <c r="L526" i="1"/>
  <c r="J526" i="1"/>
  <c r="Y525" i="1"/>
  <c r="V525" i="1"/>
  <c r="S525" i="1"/>
  <c r="M525" i="1"/>
  <c r="Y524" i="1"/>
  <c r="V524" i="1"/>
  <c r="S524" i="1"/>
  <c r="M524" i="1"/>
  <c r="Y523" i="1"/>
  <c r="V523" i="1"/>
  <c r="S523" i="1"/>
  <c r="M523" i="1"/>
  <c r="Y522" i="1"/>
  <c r="V522" i="1"/>
  <c r="S522" i="1"/>
  <c r="M522" i="1"/>
  <c r="Z521" i="1"/>
  <c r="X521" i="1"/>
  <c r="W521" i="1"/>
  <c r="AA520" i="1"/>
  <c r="Z520" i="1"/>
  <c r="Y520" i="1"/>
  <c r="X520" i="1"/>
  <c r="W520" i="1"/>
  <c r="V520" i="1"/>
  <c r="U520" i="1"/>
  <c r="T520" i="1"/>
  <c r="S520" i="1"/>
  <c r="R520" i="1"/>
  <c r="P520" i="1"/>
  <c r="O520" i="1"/>
  <c r="N520" i="1"/>
  <c r="M520" i="1"/>
  <c r="L520" i="1"/>
  <c r="J520" i="1"/>
  <c r="Y519" i="1"/>
  <c r="V519" i="1"/>
  <c r="S519" i="1"/>
  <c r="M519" i="1"/>
  <c r="Y518" i="1"/>
  <c r="V518" i="1"/>
  <c r="S518" i="1"/>
  <c r="M518" i="1"/>
  <c r="Y517" i="1"/>
  <c r="V517" i="1"/>
  <c r="S517" i="1"/>
  <c r="M517" i="1"/>
  <c r="Y516" i="1"/>
  <c r="V516" i="1"/>
  <c r="S516" i="1"/>
  <c r="M516" i="1"/>
  <c r="Z515" i="1"/>
  <c r="X515" i="1"/>
  <c r="W515" i="1"/>
  <c r="AA514" i="1"/>
  <c r="Z514" i="1"/>
  <c r="Y514" i="1"/>
  <c r="X514" i="1"/>
  <c r="W514" i="1"/>
  <c r="V514" i="1"/>
  <c r="U514" i="1"/>
  <c r="T514" i="1"/>
  <c r="S514" i="1"/>
  <c r="R514" i="1"/>
  <c r="P514" i="1"/>
  <c r="O514" i="1"/>
  <c r="N514" i="1"/>
  <c r="M514" i="1"/>
  <c r="L514" i="1"/>
  <c r="J514" i="1"/>
  <c r="Y513" i="1"/>
  <c r="V513" i="1"/>
  <c r="S513" i="1"/>
  <c r="M513" i="1"/>
  <c r="Y512" i="1"/>
  <c r="V512" i="1"/>
  <c r="S512" i="1"/>
  <c r="M512" i="1"/>
  <c r="Y511" i="1"/>
  <c r="V511" i="1"/>
  <c r="S511" i="1"/>
  <c r="M511" i="1"/>
  <c r="Y510" i="1"/>
  <c r="V510" i="1"/>
  <c r="S510" i="1"/>
  <c r="M510" i="1"/>
  <c r="Z509" i="1"/>
  <c r="X509" i="1"/>
  <c r="W509" i="1"/>
  <c r="AA508" i="1"/>
  <c r="Z508" i="1"/>
  <c r="Y508" i="1"/>
  <c r="X508" i="1"/>
  <c r="W508" i="1"/>
  <c r="V508" i="1"/>
  <c r="U508" i="1"/>
  <c r="T508" i="1"/>
  <c r="S508" i="1"/>
  <c r="R508" i="1"/>
  <c r="P508" i="1"/>
  <c r="O508" i="1"/>
  <c r="N508" i="1"/>
  <c r="M508" i="1"/>
  <c r="L508" i="1"/>
  <c r="J508" i="1"/>
  <c r="Y507" i="1"/>
  <c r="V507" i="1"/>
  <c r="S507" i="1"/>
  <c r="M507" i="1"/>
  <c r="Y506" i="1"/>
  <c r="V506" i="1"/>
  <c r="S506" i="1"/>
  <c r="M506" i="1"/>
  <c r="Y505" i="1"/>
  <c r="V505" i="1"/>
  <c r="S505" i="1"/>
  <c r="M505" i="1"/>
  <c r="Y504" i="1"/>
  <c r="V504" i="1"/>
  <c r="S504" i="1"/>
  <c r="M504" i="1"/>
  <c r="Z503" i="1"/>
  <c r="X503" i="1"/>
  <c r="W503" i="1"/>
  <c r="AA502" i="1"/>
  <c r="Z502" i="1"/>
  <c r="Y502" i="1"/>
  <c r="X502" i="1"/>
  <c r="W502" i="1"/>
  <c r="V502" i="1"/>
  <c r="U502" i="1"/>
  <c r="T502" i="1"/>
  <c r="S502" i="1"/>
  <c r="R502" i="1"/>
  <c r="P502" i="1"/>
  <c r="O502" i="1"/>
  <c r="N502" i="1"/>
  <c r="M502" i="1"/>
  <c r="L502" i="1"/>
  <c r="J502" i="1"/>
  <c r="Y501" i="1"/>
  <c r="V501" i="1"/>
  <c r="S501" i="1"/>
  <c r="M501" i="1"/>
  <c r="Y500" i="1"/>
  <c r="V500" i="1"/>
  <c r="S500" i="1"/>
  <c r="M500" i="1"/>
  <c r="Y499" i="1"/>
  <c r="V499" i="1"/>
  <c r="S499" i="1"/>
  <c r="M499" i="1"/>
  <c r="Y498" i="1"/>
  <c r="V498" i="1"/>
  <c r="S498" i="1"/>
  <c r="M498" i="1"/>
  <c r="Z497" i="1"/>
  <c r="X497" i="1"/>
  <c r="W497" i="1"/>
  <c r="AA496" i="1"/>
  <c r="Z496" i="1"/>
  <c r="Y496" i="1"/>
  <c r="X496" i="1"/>
  <c r="W496" i="1"/>
  <c r="V496" i="1"/>
  <c r="U496" i="1"/>
  <c r="T496" i="1"/>
  <c r="S496" i="1"/>
  <c r="R496" i="1"/>
  <c r="P496" i="1"/>
  <c r="O496" i="1"/>
  <c r="N496" i="1"/>
  <c r="M496" i="1"/>
  <c r="L496" i="1"/>
  <c r="J496" i="1"/>
  <c r="Y495" i="1"/>
  <c r="V495" i="1"/>
  <c r="S495" i="1"/>
  <c r="M495" i="1"/>
  <c r="Y494" i="1"/>
  <c r="V494" i="1"/>
  <c r="S494" i="1"/>
  <c r="M494" i="1"/>
  <c r="Y493" i="1"/>
  <c r="V493" i="1"/>
  <c r="S493" i="1"/>
  <c r="M493" i="1"/>
  <c r="Y492" i="1"/>
  <c r="V492" i="1"/>
  <c r="S492" i="1"/>
  <c r="M492" i="1"/>
  <c r="Z491" i="1"/>
  <c r="X491" i="1"/>
  <c r="W491" i="1"/>
  <c r="AA490" i="1"/>
  <c r="Z490" i="1"/>
  <c r="Y490" i="1"/>
  <c r="X490" i="1"/>
  <c r="W490" i="1"/>
  <c r="V490" i="1"/>
  <c r="U490" i="1"/>
  <c r="T490" i="1"/>
  <c r="S490" i="1"/>
  <c r="R490" i="1"/>
  <c r="P490" i="1"/>
  <c r="O490" i="1"/>
  <c r="N490" i="1"/>
  <c r="M490" i="1"/>
  <c r="L490" i="1"/>
  <c r="J490" i="1"/>
  <c r="AA489" i="1"/>
  <c r="Z489" i="1"/>
  <c r="Y489" i="1"/>
  <c r="U489" i="1"/>
  <c r="T489" i="1"/>
  <c r="S489" i="1"/>
  <c r="O489" i="1"/>
  <c r="N489" i="1"/>
  <c r="M489" i="1"/>
  <c r="AA488" i="1"/>
  <c r="Z488" i="1"/>
  <c r="Y488" i="1"/>
  <c r="U488" i="1"/>
  <c r="T488" i="1"/>
  <c r="S488" i="1"/>
  <c r="O488" i="1"/>
  <c r="N488" i="1"/>
  <c r="M488" i="1"/>
  <c r="Y487" i="1"/>
  <c r="V487" i="1"/>
  <c r="S487" i="1"/>
  <c r="M487" i="1"/>
  <c r="Y486" i="1"/>
  <c r="V486" i="1"/>
  <c r="S486" i="1"/>
  <c r="M486" i="1"/>
  <c r="Y485" i="1"/>
  <c r="V485" i="1"/>
  <c r="S485" i="1"/>
  <c r="M485" i="1"/>
  <c r="AA484" i="1"/>
  <c r="Z484" i="1"/>
  <c r="Y484" i="1"/>
  <c r="X484" i="1"/>
  <c r="W484" i="1"/>
  <c r="V484" i="1"/>
  <c r="U484" i="1"/>
  <c r="T484" i="1"/>
  <c r="S484" i="1"/>
  <c r="R484" i="1"/>
  <c r="P484" i="1"/>
  <c r="O484" i="1"/>
  <c r="N484" i="1"/>
  <c r="M484" i="1"/>
  <c r="L484" i="1"/>
  <c r="J484" i="1"/>
  <c r="Y483" i="1"/>
  <c r="V483" i="1"/>
  <c r="S483" i="1"/>
  <c r="M483" i="1"/>
  <c r="Y482" i="1"/>
  <c r="V482" i="1"/>
  <c r="S482" i="1"/>
  <c r="M482" i="1"/>
  <c r="Y481" i="1"/>
  <c r="V481" i="1"/>
  <c r="S481" i="1"/>
  <c r="M481" i="1"/>
  <c r="Y480" i="1"/>
  <c r="V480" i="1"/>
  <c r="S480" i="1"/>
  <c r="M480" i="1"/>
  <c r="AA479" i="1"/>
  <c r="Z479" i="1"/>
  <c r="Y479" i="1"/>
  <c r="X479" i="1"/>
  <c r="W479" i="1"/>
  <c r="V479" i="1"/>
  <c r="U479" i="1"/>
  <c r="T479" i="1"/>
  <c r="S479" i="1"/>
  <c r="R479" i="1"/>
  <c r="P479" i="1"/>
  <c r="O479" i="1"/>
  <c r="N479" i="1"/>
  <c r="M479" i="1"/>
  <c r="L479" i="1"/>
  <c r="J479" i="1"/>
  <c r="Y478" i="1"/>
  <c r="V478" i="1"/>
  <c r="S478" i="1"/>
  <c r="M478" i="1"/>
  <c r="Y477" i="1"/>
  <c r="V477" i="1"/>
  <c r="S477" i="1"/>
  <c r="M477" i="1"/>
  <c r="Y476" i="1"/>
  <c r="V476" i="1"/>
  <c r="S476" i="1"/>
  <c r="M476" i="1"/>
  <c r="AA475" i="1"/>
  <c r="Z475" i="1"/>
  <c r="Y475" i="1"/>
  <c r="X475" i="1"/>
  <c r="W475" i="1"/>
  <c r="V475" i="1"/>
  <c r="U475" i="1"/>
  <c r="T475" i="1"/>
  <c r="S475" i="1"/>
  <c r="R475" i="1"/>
  <c r="P475" i="1"/>
  <c r="O475" i="1"/>
  <c r="N475" i="1"/>
  <c r="M475" i="1"/>
  <c r="L475" i="1"/>
  <c r="J475" i="1"/>
  <c r="Y474" i="1"/>
  <c r="V474" i="1"/>
  <c r="S474" i="1"/>
  <c r="M474" i="1"/>
  <c r="Y473" i="1"/>
  <c r="V473" i="1"/>
  <c r="S473" i="1"/>
  <c r="M473" i="1"/>
  <c r="AA472" i="1"/>
  <c r="Z472" i="1"/>
  <c r="Y472" i="1"/>
  <c r="X472" i="1"/>
  <c r="W472" i="1"/>
  <c r="V472" i="1"/>
  <c r="U472" i="1"/>
  <c r="T472" i="1"/>
  <c r="S472" i="1"/>
  <c r="R472" i="1"/>
  <c r="P472" i="1"/>
  <c r="O472" i="1"/>
  <c r="N472" i="1"/>
  <c r="M472" i="1"/>
  <c r="L472" i="1"/>
  <c r="J472" i="1"/>
  <c r="Y471" i="1"/>
  <c r="V471" i="1"/>
  <c r="S471" i="1"/>
  <c r="M471" i="1"/>
  <c r="Y470" i="1"/>
  <c r="V470" i="1"/>
  <c r="S470" i="1"/>
  <c r="M470" i="1"/>
  <c r="AA469" i="1"/>
  <c r="Z469" i="1"/>
  <c r="Y469" i="1"/>
  <c r="X469" i="1"/>
  <c r="W469" i="1"/>
  <c r="V469" i="1"/>
  <c r="U469" i="1"/>
  <c r="T469" i="1"/>
  <c r="S469" i="1"/>
  <c r="R469" i="1"/>
  <c r="P469" i="1"/>
  <c r="O469" i="1"/>
  <c r="N469" i="1"/>
  <c r="M469" i="1"/>
  <c r="L469" i="1"/>
  <c r="J469" i="1"/>
  <c r="Y468" i="1"/>
  <c r="V468" i="1"/>
  <c r="S468" i="1"/>
  <c r="M468" i="1"/>
  <c r="Y467" i="1"/>
  <c r="V467" i="1"/>
  <c r="S467" i="1"/>
  <c r="M467" i="1"/>
  <c r="AA466" i="1"/>
  <c r="Z466" i="1"/>
  <c r="Y466" i="1"/>
  <c r="X466" i="1"/>
  <c r="W466" i="1"/>
  <c r="V466" i="1"/>
  <c r="U466" i="1"/>
  <c r="T466" i="1"/>
  <c r="S466" i="1"/>
  <c r="R466" i="1"/>
  <c r="P466" i="1"/>
  <c r="O466" i="1"/>
  <c r="N466" i="1"/>
  <c r="M466" i="1"/>
  <c r="L466" i="1"/>
  <c r="J466" i="1"/>
  <c r="Y465" i="1"/>
  <c r="V465" i="1"/>
  <c r="S465" i="1"/>
  <c r="M465" i="1"/>
  <c r="Y464" i="1"/>
  <c r="V464" i="1"/>
  <c r="S464" i="1"/>
  <c r="M464" i="1"/>
  <c r="Y463" i="1"/>
  <c r="V463" i="1"/>
  <c r="S463" i="1"/>
  <c r="M463" i="1"/>
  <c r="AA462" i="1"/>
  <c r="Z462" i="1"/>
  <c r="Y462" i="1"/>
  <c r="X462" i="1"/>
  <c r="W462" i="1"/>
  <c r="V462" i="1"/>
  <c r="U462" i="1"/>
  <c r="T462" i="1"/>
  <c r="S462" i="1"/>
  <c r="R462" i="1"/>
  <c r="P462" i="1"/>
  <c r="O462" i="1"/>
  <c r="N462" i="1"/>
  <c r="M462" i="1"/>
  <c r="L462" i="1"/>
  <c r="J462" i="1"/>
  <c r="Y461" i="1"/>
  <c r="V461" i="1"/>
  <c r="S461" i="1"/>
  <c r="M461" i="1"/>
  <c r="Y460" i="1"/>
  <c r="V460" i="1"/>
  <c r="S460" i="1"/>
  <c r="M460" i="1"/>
  <c r="AA459" i="1"/>
  <c r="Z459" i="1"/>
  <c r="Y459" i="1"/>
  <c r="X459" i="1"/>
  <c r="W459" i="1"/>
  <c r="V459" i="1"/>
  <c r="U459" i="1"/>
  <c r="T459" i="1"/>
  <c r="S459" i="1"/>
  <c r="R459" i="1"/>
  <c r="P459" i="1"/>
  <c r="O459" i="1"/>
  <c r="N459" i="1"/>
  <c r="M459" i="1"/>
  <c r="L459" i="1"/>
  <c r="J459" i="1"/>
  <c r="Y458" i="1"/>
  <c r="V458" i="1"/>
  <c r="S458" i="1"/>
  <c r="M458" i="1"/>
  <c r="Y457" i="1"/>
  <c r="V457" i="1"/>
  <c r="S457" i="1"/>
  <c r="M457" i="1"/>
  <c r="AA456" i="1"/>
  <c r="Z456" i="1"/>
  <c r="Y456" i="1"/>
  <c r="X456" i="1"/>
  <c r="W456" i="1"/>
  <c r="V456" i="1"/>
  <c r="U456" i="1"/>
  <c r="T456" i="1"/>
  <c r="S456" i="1"/>
  <c r="R456" i="1"/>
  <c r="P456" i="1"/>
  <c r="O456" i="1"/>
  <c r="N456" i="1"/>
  <c r="M456" i="1"/>
  <c r="L456" i="1"/>
  <c r="J456" i="1"/>
  <c r="Y455" i="1"/>
  <c r="V455" i="1"/>
  <c r="S455" i="1"/>
  <c r="M455" i="1"/>
  <c r="Y454" i="1"/>
  <c r="V454" i="1"/>
  <c r="S454" i="1"/>
  <c r="M454" i="1"/>
  <c r="Y453" i="1"/>
  <c r="V453" i="1"/>
  <c r="S453" i="1"/>
  <c r="M453" i="1"/>
  <c r="AA452" i="1"/>
  <c r="Z452" i="1"/>
  <c r="Y452" i="1"/>
  <c r="X452" i="1"/>
  <c r="W452" i="1"/>
  <c r="V452" i="1"/>
  <c r="U452" i="1"/>
  <c r="T452" i="1"/>
  <c r="S452" i="1"/>
  <c r="R452" i="1"/>
  <c r="P452" i="1"/>
  <c r="O452" i="1"/>
  <c r="N452" i="1"/>
  <c r="M452" i="1"/>
  <c r="L452" i="1"/>
  <c r="J452" i="1"/>
  <c r="Y451" i="1"/>
  <c r="V451" i="1"/>
  <c r="S451" i="1"/>
  <c r="M451" i="1"/>
  <c r="Y450" i="1"/>
  <c r="V450" i="1"/>
  <c r="S450" i="1"/>
  <c r="M450" i="1"/>
  <c r="AA449" i="1"/>
  <c r="Z449" i="1"/>
  <c r="Y449" i="1"/>
  <c r="X449" i="1"/>
  <c r="W449" i="1"/>
  <c r="V449" i="1"/>
  <c r="U449" i="1"/>
  <c r="T449" i="1"/>
  <c r="S449" i="1"/>
  <c r="R449" i="1"/>
  <c r="P449" i="1"/>
  <c r="O449" i="1"/>
  <c r="N449" i="1"/>
  <c r="M449" i="1"/>
  <c r="L449" i="1"/>
  <c r="J449" i="1"/>
  <c r="Y448" i="1"/>
  <c r="V448" i="1"/>
  <c r="S448" i="1"/>
  <c r="M448" i="1"/>
  <c r="Y447" i="1"/>
  <c r="V447" i="1"/>
  <c r="S447" i="1"/>
  <c r="M447" i="1"/>
  <c r="Y446" i="1"/>
  <c r="V446" i="1"/>
  <c r="S446" i="1"/>
  <c r="M446" i="1"/>
  <c r="AA445" i="1"/>
  <c r="Z445" i="1"/>
  <c r="Y445" i="1"/>
  <c r="X445" i="1"/>
  <c r="W445" i="1"/>
  <c r="V445" i="1"/>
  <c r="U445" i="1"/>
  <c r="T445" i="1"/>
  <c r="S445" i="1"/>
  <c r="R445" i="1"/>
  <c r="P445" i="1"/>
  <c r="O445" i="1"/>
  <c r="N445" i="1"/>
  <c r="M445" i="1"/>
  <c r="L445" i="1"/>
  <c r="J445" i="1"/>
  <c r="AA444" i="1"/>
  <c r="Z444" i="1"/>
  <c r="Y444" i="1"/>
  <c r="U444" i="1"/>
  <c r="T444" i="1"/>
  <c r="S444" i="1"/>
  <c r="O444" i="1"/>
  <c r="N444" i="1"/>
  <c r="M444" i="1"/>
  <c r="Y443" i="1"/>
  <c r="V443" i="1"/>
  <c r="S443" i="1"/>
  <c r="M443" i="1"/>
  <c r="Y442" i="1"/>
  <c r="V442" i="1"/>
  <c r="S442" i="1"/>
  <c r="M442" i="1"/>
  <c r="AA441" i="1"/>
  <c r="Z441" i="1"/>
  <c r="Y441" i="1"/>
  <c r="X441" i="1"/>
  <c r="W441" i="1"/>
  <c r="V441" i="1"/>
  <c r="U441" i="1"/>
  <c r="T441" i="1"/>
  <c r="S441" i="1"/>
  <c r="R441" i="1"/>
  <c r="P441" i="1"/>
  <c r="O441" i="1"/>
  <c r="N441" i="1"/>
  <c r="M441" i="1"/>
  <c r="L441" i="1"/>
  <c r="J441" i="1"/>
  <c r="Y440" i="1"/>
  <c r="V440" i="1"/>
  <c r="S440" i="1"/>
  <c r="M440" i="1"/>
  <c r="Y439" i="1"/>
  <c r="V439" i="1"/>
  <c r="S439" i="1"/>
  <c r="M439" i="1"/>
  <c r="AA438" i="1"/>
  <c r="Z438" i="1"/>
  <c r="Y438" i="1"/>
  <c r="X438" i="1"/>
  <c r="W438" i="1"/>
  <c r="V438" i="1"/>
  <c r="U438" i="1"/>
  <c r="T438" i="1"/>
  <c r="S438" i="1"/>
  <c r="R438" i="1"/>
  <c r="P438" i="1"/>
  <c r="O438" i="1"/>
  <c r="N438" i="1"/>
  <c r="M438" i="1"/>
  <c r="L438" i="1"/>
  <c r="J438" i="1"/>
  <c r="Y437" i="1"/>
  <c r="V437" i="1"/>
  <c r="S437" i="1"/>
  <c r="M437" i="1"/>
  <c r="Y436" i="1"/>
  <c r="V436" i="1"/>
  <c r="S436" i="1"/>
  <c r="M436" i="1"/>
  <c r="AA435" i="1"/>
  <c r="Z435" i="1"/>
  <c r="Y435" i="1"/>
  <c r="X435" i="1"/>
  <c r="W435" i="1"/>
  <c r="V435" i="1"/>
  <c r="U435" i="1"/>
  <c r="T435" i="1"/>
  <c r="S435" i="1"/>
  <c r="R435" i="1"/>
  <c r="P435" i="1"/>
  <c r="O435" i="1"/>
  <c r="N435" i="1"/>
  <c r="M435" i="1"/>
  <c r="L435" i="1"/>
  <c r="J435" i="1"/>
  <c r="Y434" i="1"/>
  <c r="V434" i="1"/>
  <c r="S434" i="1"/>
  <c r="M434" i="1"/>
  <c r="Y433" i="1"/>
  <c r="V433" i="1"/>
  <c r="S433" i="1"/>
  <c r="M433" i="1"/>
  <c r="AA432" i="1"/>
  <c r="Z432" i="1"/>
  <c r="Y432" i="1"/>
  <c r="X432" i="1"/>
  <c r="W432" i="1"/>
  <c r="V432" i="1"/>
  <c r="U432" i="1"/>
  <c r="T432" i="1"/>
  <c r="S432" i="1"/>
  <c r="R432" i="1"/>
  <c r="P432" i="1"/>
  <c r="O432" i="1"/>
  <c r="N432" i="1"/>
  <c r="M432" i="1"/>
  <c r="L432" i="1"/>
  <c r="J432" i="1"/>
  <c r="Y431" i="1"/>
  <c r="V431" i="1"/>
  <c r="S431" i="1"/>
  <c r="M431" i="1"/>
  <c r="Y430" i="1"/>
  <c r="V430" i="1"/>
  <c r="S430" i="1"/>
  <c r="M430" i="1"/>
  <c r="AA429" i="1"/>
  <c r="Z429" i="1"/>
  <c r="Y429" i="1"/>
  <c r="X429" i="1"/>
  <c r="W429" i="1"/>
  <c r="V429" i="1"/>
  <c r="U429" i="1"/>
  <c r="T429" i="1"/>
  <c r="S429" i="1"/>
  <c r="R429" i="1"/>
  <c r="P429" i="1"/>
  <c r="O429" i="1"/>
  <c r="N429" i="1"/>
  <c r="M429" i="1"/>
  <c r="L429" i="1"/>
  <c r="J429" i="1"/>
  <c r="AA428" i="1"/>
  <c r="Z428" i="1"/>
  <c r="Y428" i="1"/>
  <c r="U428" i="1"/>
  <c r="T428" i="1"/>
  <c r="S428" i="1"/>
  <c r="O428" i="1"/>
  <c r="N428" i="1"/>
  <c r="M428" i="1"/>
  <c r="Y427" i="1"/>
  <c r="V427" i="1"/>
  <c r="S427" i="1"/>
  <c r="M427" i="1"/>
  <c r="Y426" i="1"/>
  <c r="V426" i="1"/>
  <c r="S426" i="1"/>
  <c r="M426" i="1"/>
  <c r="Y425" i="1"/>
  <c r="V425" i="1"/>
  <c r="S425" i="1"/>
  <c r="M425" i="1"/>
  <c r="Y424" i="1"/>
  <c r="V424" i="1"/>
  <c r="S424" i="1"/>
  <c r="M424" i="1"/>
  <c r="AA423" i="1"/>
  <c r="Z423" i="1"/>
  <c r="Y423" i="1"/>
  <c r="X423" i="1"/>
  <c r="W423" i="1"/>
  <c r="V423" i="1"/>
  <c r="U423" i="1"/>
  <c r="T423" i="1"/>
  <c r="S423" i="1"/>
  <c r="R423" i="1"/>
  <c r="P423" i="1"/>
  <c r="O423" i="1"/>
  <c r="N423" i="1"/>
  <c r="M423" i="1"/>
  <c r="L423" i="1"/>
  <c r="J423" i="1"/>
  <c r="Y422" i="1"/>
  <c r="V422" i="1"/>
  <c r="S422" i="1"/>
  <c r="M422" i="1"/>
  <c r="Y421" i="1"/>
  <c r="V421" i="1"/>
  <c r="S421" i="1"/>
  <c r="M421" i="1"/>
  <c r="Y420" i="1"/>
  <c r="V420" i="1"/>
  <c r="S420" i="1"/>
  <c r="M420" i="1"/>
  <c r="Y419" i="1"/>
  <c r="V419" i="1"/>
  <c r="S419" i="1"/>
  <c r="M419" i="1"/>
  <c r="AA418" i="1"/>
  <c r="Z418" i="1"/>
  <c r="Y418" i="1"/>
  <c r="X418" i="1"/>
  <c r="W418" i="1"/>
  <c r="V418" i="1"/>
  <c r="U418" i="1"/>
  <c r="T418" i="1"/>
  <c r="S418" i="1"/>
  <c r="R418" i="1"/>
  <c r="P418" i="1"/>
  <c r="O418" i="1"/>
  <c r="N418" i="1"/>
  <c r="M418" i="1"/>
  <c r="L418" i="1"/>
  <c r="J418" i="1"/>
  <c r="Y417" i="1"/>
  <c r="V417" i="1"/>
  <c r="S417" i="1"/>
  <c r="M417" i="1"/>
  <c r="Y416" i="1"/>
  <c r="V416" i="1"/>
  <c r="S416" i="1"/>
  <c r="M416" i="1"/>
  <c r="Y415" i="1"/>
  <c r="V415" i="1"/>
  <c r="S415" i="1"/>
  <c r="M415" i="1"/>
  <c r="Y414" i="1"/>
  <c r="V414" i="1"/>
  <c r="S414" i="1"/>
  <c r="M414" i="1"/>
  <c r="AA413" i="1"/>
  <c r="Z413" i="1"/>
  <c r="Y413" i="1"/>
  <c r="X413" i="1"/>
  <c r="W413" i="1"/>
  <c r="V413" i="1"/>
  <c r="U413" i="1"/>
  <c r="T413" i="1"/>
  <c r="S413" i="1"/>
  <c r="R413" i="1"/>
  <c r="P413" i="1"/>
  <c r="O413" i="1"/>
  <c r="N413" i="1"/>
  <c r="M413" i="1"/>
  <c r="L413" i="1"/>
  <c r="J413" i="1"/>
  <c r="Y412" i="1"/>
  <c r="V412" i="1"/>
  <c r="S412" i="1"/>
  <c r="M412" i="1"/>
  <c r="Y411" i="1"/>
  <c r="V411" i="1"/>
  <c r="S411" i="1"/>
  <c r="M411" i="1"/>
  <c r="Y410" i="1"/>
  <c r="V410" i="1"/>
  <c r="S410" i="1"/>
  <c r="M410" i="1"/>
  <c r="Y409" i="1"/>
  <c r="V409" i="1"/>
  <c r="S409" i="1"/>
  <c r="M409" i="1"/>
  <c r="AA408" i="1"/>
  <c r="Z408" i="1"/>
  <c r="Y408" i="1"/>
  <c r="X408" i="1"/>
  <c r="W408" i="1"/>
  <c r="V408" i="1"/>
  <c r="U408" i="1"/>
  <c r="T408" i="1"/>
  <c r="S408" i="1"/>
  <c r="R408" i="1"/>
  <c r="P408" i="1"/>
  <c r="O408" i="1"/>
  <c r="N408" i="1"/>
  <c r="M408" i="1"/>
  <c r="L408" i="1"/>
  <c r="J408" i="1"/>
  <c r="Y407" i="1"/>
  <c r="V407" i="1"/>
  <c r="S407" i="1"/>
  <c r="M407" i="1"/>
  <c r="Y406" i="1"/>
  <c r="V406" i="1"/>
  <c r="S406" i="1"/>
  <c r="M406" i="1"/>
  <c r="Y405" i="1"/>
  <c r="V405" i="1"/>
  <c r="S405" i="1"/>
  <c r="M405" i="1"/>
  <c r="Y404" i="1"/>
  <c r="V404" i="1"/>
  <c r="S404" i="1"/>
  <c r="M404" i="1"/>
  <c r="AA403" i="1"/>
  <c r="Z403" i="1"/>
  <c r="Y403" i="1"/>
  <c r="X403" i="1"/>
  <c r="W403" i="1"/>
  <c r="V403" i="1"/>
  <c r="U403" i="1"/>
  <c r="T403" i="1"/>
  <c r="S403" i="1"/>
  <c r="R403" i="1"/>
  <c r="P403" i="1"/>
  <c r="O403" i="1"/>
  <c r="N403" i="1"/>
  <c r="M403" i="1"/>
  <c r="L403" i="1"/>
  <c r="J403" i="1"/>
  <c r="Y402" i="1"/>
  <c r="V402" i="1"/>
  <c r="S402" i="1"/>
  <c r="M402" i="1"/>
  <c r="Y401" i="1"/>
  <c r="V401" i="1"/>
  <c r="S401" i="1"/>
  <c r="M401" i="1"/>
  <c r="Y400" i="1"/>
  <c r="V400" i="1"/>
  <c r="S400" i="1"/>
  <c r="M400" i="1"/>
  <c r="Y399" i="1"/>
  <c r="V399" i="1"/>
  <c r="S399" i="1"/>
  <c r="M399" i="1"/>
  <c r="AA398" i="1"/>
  <c r="Z398" i="1"/>
  <c r="Y398" i="1"/>
  <c r="X398" i="1"/>
  <c r="W398" i="1"/>
  <c r="V398" i="1"/>
  <c r="U398" i="1"/>
  <c r="T398" i="1"/>
  <c r="S398" i="1"/>
  <c r="R398" i="1"/>
  <c r="P398" i="1"/>
  <c r="O398" i="1"/>
  <c r="N398" i="1"/>
  <c r="M398" i="1"/>
  <c r="L398" i="1"/>
  <c r="J398" i="1"/>
  <c r="Y397" i="1"/>
  <c r="V397" i="1"/>
  <c r="S397" i="1"/>
  <c r="M397" i="1"/>
  <c r="Y396" i="1"/>
  <c r="V396" i="1"/>
  <c r="S396" i="1"/>
  <c r="M396" i="1"/>
  <c r="Y395" i="1"/>
  <c r="V395" i="1"/>
  <c r="S395" i="1"/>
  <c r="M395" i="1"/>
  <c r="Y394" i="1"/>
  <c r="V394" i="1"/>
  <c r="S394" i="1"/>
  <c r="M394" i="1"/>
  <c r="AA393" i="1"/>
  <c r="Z393" i="1"/>
  <c r="Y393" i="1"/>
  <c r="X393" i="1"/>
  <c r="W393" i="1"/>
  <c r="V393" i="1"/>
  <c r="U393" i="1"/>
  <c r="T393" i="1"/>
  <c r="S393" i="1"/>
  <c r="R393" i="1"/>
  <c r="P393" i="1"/>
  <c r="O393" i="1"/>
  <c r="N393" i="1"/>
  <c r="M393" i="1"/>
  <c r="L393" i="1"/>
  <c r="J393" i="1"/>
  <c r="Y392" i="1"/>
  <c r="V392" i="1"/>
  <c r="S392" i="1"/>
  <c r="M392" i="1"/>
  <c r="Y391" i="1"/>
  <c r="V391" i="1"/>
  <c r="S391" i="1"/>
  <c r="M391" i="1"/>
  <c r="Y390" i="1"/>
  <c r="V390" i="1"/>
  <c r="S390" i="1"/>
  <c r="M390" i="1"/>
  <c r="Y389" i="1"/>
  <c r="V389" i="1"/>
  <c r="S389" i="1"/>
  <c r="M389" i="1"/>
  <c r="AA388" i="1"/>
  <c r="Z388" i="1"/>
  <c r="Y388" i="1"/>
  <c r="X388" i="1"/>
  <c r="W388" i="1"/>
  <c r="V388" i="1"/>
  <c r="U388" i="1"/>
  <c r="T388" i="1"/>
  <c r="S388" i="1"/>
  <c r="R388" i="1"/>
  <c r="P388" i="1"/>
  <c r="O388" i="1"/>
  <c r="N388" i="1"/>
  <c r="M388" i="1"/>
  <c r="L388" i="1"/>
  <c r="J388" i="1"/>
  <c r="Y387" i="1"/>
  <c r="V387" i="1"/>
  <c r="S387" i="1"/>
  <c r="M387" i="1"/>
  <c r="Y386" i="1"/>
  <c r="V386" i="1"/>
  <c r="S386" i="1"/>
  <c r="M386" i="1"/>
  <c r="Y385" i="1"/>
  <c r="V385" i="1"/>
  <c r="S385" i="1"/>
  <c r="M385" i="1"/>
  <c r="Y384" i="1"/>
  <c r="V384" i="1"/>
  <c r="S384" i="1"/>
  <c r="M384" i="1"/>
  <c r="AA383" i="1"/>
  <c r="Z383" i="1"/>
  <c r="Y383" i="1"/>
  <c r="X383" i="1"/>
  <c r="W383" i="1"/>
  <c r="V383" i="1"/>
  <c r="U383" i="1"/>
  <c r="T383" i="1"/>
  <c r="S383" i="1"/>
  <c r="R383" i="1"/>
  <c r="P383" i="1"/>
  <c r="O383" i="1"/>
  <c r="N383" i="1"/>
  <c r="M383" i="1"/>
  <c r="L383" i="1"/>
  <c r="J383" i="1"/>
  <c r="Y382" i="1"/>
  <c r="V382" i="1"/>
  <c r="S382" i="1"/>
  <c r="M382" i="1"/>
  <c r="Y381" i="1"/>
  <c r="V381" i="1"/>
  <c r="S381" i="1"/>
  <c r="M381" i="1"/>
  <c r="Y380" i="1"/>
  <c r="V380" i="1"/>
  <c r="S380" i="1"/>
  <c r="M380" i="1"/>
  <c r="AA379" i="1"/>
  <c r="Z379" i="1"/>
  <c r="Y379" i="1"/>
  <c r="X379" i="1"/>
  <c r="W379" i="1"/>
  <c r="V379" i="1"/>
  <c r="U379" i="1"/>
  <c r="T379" i="1"/>
  <c r="S379" i="1"/>
  <c r="R379" i="1"/>
  <c r="P379" i="1"/>
  <c r="O379" i="1"/>
  <c r="N379" i="1"/>
  <c r="M379" i="1"/>
  <c r="L379" i="1"/>
  <c r="J379" i="1"/>
  <c r="Y378" i="1"/>
  <c r="V378" i="1"/>
  <c r="S378" i="1"/>
  <c r="M378" i="1"/>
  <c r="Y377" i="1"/>
  <c r="V377" i="1"/>
  <c r="S377" i="1"/>
  <c r="M377" i="1"/>
  <c r="AA376" i="1"/>
  <c r="Z376" i="1"/>
  <c r="Y376" i="1"/>
  <c r="X376" i="1"/>
  <c r="W376" i="1"/>
  <c r="V376" i="1"/>
  <c r="U376" i="1"/>
  <c r="T376" i="1"/>
  <c r="S376" i="1"/>
  <c r="R376" i="1"/>
  <c r="P376" i="1"/>
  <c r="O376" i="1"/>
  <c r="N376" i="1"/>
  <c r="M376" i="1"/>
  <c r="L376" i="1"/>
  <c r="J376" i="1"/>
  <c r="Y375" i="1"/>
  <c r="V375" i="1"/>
  <c r="S375" i="1"/>
  <c r="M375" i="1"/>
  <c r="Y374" i="1"/>
  <c r="V374" i="1"/>
  <c r="S374" i="1"/>
  <c r="M374" i="1"/>
  <c r="Y373" i="1"/>
  <c r="V373" i="1"/>
  <c r="S373" i="1"/>
  <c r="M373" i="1"/>
  <c r="AA372" i="1"/>
  <c r="Z372" i="1"/>
  <c r="Y372" i="1"/>
  <c r="X372" i="1"/>
  <c r="W372" i="1"/>
  <c r="V372" i="1"/>
  <c r="U372" i="1"/>
  <c r="T372" i="1"/>
  <c r="S372" i="1"/>
  <c r="R372" i="1"/>
  <c r="P372" i="1"/>
  <c r="O372" i="1"/>
  <c r="N372" i="1"/>
  <c r="M372" i="1"/>
  <c r="L372" i="1"/>
  <c r="J372" i="1"/>
  <c r="Y371" i="1"/>
  <c r="V371" i="1"/>
  <c r="S371" i="1"/>
  <c r="M371" i="1"/>
  <c r="Y370" i="1"/>
  <c r="V370" i="1"/>
  <c r="S370" i="1"/>
  <c r="M370" i="1"/>
  <c r="AA369" i="1"/>
  <c r="Z369" i="1"/>
  <c r="Y369" i="1"/>
  <c r="X369" i="1"/>
  <c r="W369" i="1"/>
  <c r="V369" i="1"/>
  <c r="U369" i="1"/>
  <c r="T369" i="1"/>
  <c r="S369" i="1"/>
  <c r="R369" i="1"/>
  <c r="P369" i="1"/>
  <c r="O369" i="1"/>
  <c r="N369" i="1"/>
  <c r="M369" i="1"/>
  <c r="L369" i="1"/>
  <c r="J369" i="1"/>
  <c r="Y368" i="1"/>
  <c r="V368" i="1"/>
  <c r="S368" i="1"/>
  <c r="M368" i="1"/>
  <c r="Y367" i="1"/>
  <c r="V367" i="1"/>
  <c r="S367" i="1"/>
  <c r="M367" i="1"/>
  <c r="AA366" i="1"/>
  <c r="Z366" i="1"/>
  <c r="Y366" i="1"/>
  <c r="X366" i="1"/>
  <c r="W366" i="1"/>
  <c r="V366" i="1"/>
  <c r="U366" i="1"/>
  <c r="T366" i="1"/>
  <c r="S366" i="1"/>
  <c r="R366" i="1"/>
  <c r="P366" i="1"/>
  <c r="O366" i="1"/>
  <c r="N366" i="1"/>
  <c r="M366" i="1"/>
  <c r="L366" i="1"/>
  <c r="J366" i="1"/>
  <c r="Y365" i="1"/>
  <c r="V365" i="1"/>
  <c r="S365" i="1"/>
  <c r="M365" i="1"/>
  <c r="Y364" i="1"/>
  <c r="V364" i="1"/>
  <c r="S364" i="1"/>
  <c r="M364" i="1"/>
  <c r="Y363" i="1"/>
  <c r="V363" i="1"/>
  <c r="S363" i="1"/>
  <c r="M363" i="1"/>
  <c r="AA362" i="1"/>
  <c r="Z362" i="1"/>
  <c r="Y362" i="1"/>
  <c r="X362" i="1"/>
  <c r="W362" i="1"/>
  <c r="V362" i="1"/>
  <c r="U362" i="1"/>
  <c r="T362" i="1"/>
  <c r="S362" i="1"/>
  <c r="R362" i="1"/>
  <c r="P362" i="1"/>
  <c r="O362" i="1"/>
  <c r="N362" i="1"/>
  <c r="M362" i="1"/>
  <c r="L362" i="1"/>
  <c r="J362" i="1"/>
  <c r="Y361" i="1"/>
  <c r="V361" i="1"/>
  <c r="S361" i="1"/>
  <c r="M361" i="1"/>
  <c r="Y360" i="1"/>
  <c r="V360" i="1"/>
  <c r="S360" i="1"/>
  <c r="M360" i="1"/>
  <c r="Y359" i="1"/>
  <c r="V359" i="1"/>
  <c r="S359" i="1"/>
  <c r="M359" i="1"/>
  <c r="AA358" i="1"/>
  <c r="Z358" i="1"/>
  <c r="Y358" i="1"/>
  <c r="X358" i="1"/>
  <c r="W358" i="1"/>
  <c r="V358" i="1"/>
  <c r="U358" i="1"/>
  <c r="T358" i="1"/>
  <c r="S358" i="1"/>
  <c r="R358" i="1"/>
  <c r="P358" i="1"/>
  <c r="O358" i="1"/>
  <c r="N358" i="1"/>
  <c r="M358" i="1"/>
  <c r="L358" i="1"/>
  <c r="J358" i="1"/>
  <c r="Y357" i="1"/>
  <c r="V357" i="1"/>
  <c r="S357" i="1"/>
  <c r="M357" i="1"/>
  <c r="Y356" i="1"/>
  <c r="V356" i="1"/>
  <c r="S356" i="1"/>
  <c r="M356" i="1"/>
  <c r="AA355" i="1"/>
  <c r="Z355" i="1"/>
  <c r="Y355" i="1"/>
  <c r="X355" i="1"/>
  <c r="W355" i="1"/>
  <c r="V355" i="1"/>
  <c r="U355" i="1"/>
  <c r="T355" i="1"/>
  <c r="S355" i="1"/>
  <c r="R355" i="1"/>
  <c r="P355" i="1"/>
  <c r="O355" i="1"/>
  <c r="N355" i="1"/>
  <c r="M355" i="1"/>
  <c r="L355" i="1"/>
  <c r="J355" i="1"/>
  <c r="Y354" i="1"/>
  <c r="V354" i="1"/>
  <c r="S354" i="1"/>
  <c r="M354" i="1"/>
  <c r="Y353" i="1"/>
  <c r="V353" i="1"/>
  <c r="S353" i="1"/>
  <c r="M353" i="1"/>
  <c r="AA352" i="1"/>
  <c r="Z352" i="1"/>
  <c r="Y352" i="1"/>
  <c r="X352" i="1"/>
  <c r="W352" i="1"/>
  <c r="V352" i="1"/>
  <c r="U352" i="1"/>
  <c r="T352" i="1"/>
  <c r="S352" i="1"/>
  <c r="R352" i="1"/>
  <c r="P352" i="1"/>
  <c r="O352" i="1"/>
  <c r="N352" i="1"/>
  <c r="M352" i="1"/>
  <c r="L352" i="1"/>
  <c r="J352" i="1"/>
  <c r="Y351" i="1"/>
  <c r="V351" i="1"/>
  <c r="S351" i="1"/>
  <c r="M351" i="1"/>
  <c r="Y350" i="1"/>
  <c r="V350" i="1"/>
  <c r="S350" i="1"/>
  <c r="M350" i="1"/>
  <c r="Y349" i="1"/>
  <c r="V349" i="1"/>
  <c r="S349" i="1"/>
  <c r="M349" i="1"/>
  <c r="AA348" i="1"/>
  <c r="Z348" i="1"/>
  <c r="Y348" i="1"/>
  <c r="X348" i="1"/>
  <c r="W348" i="1"/>
  <c r="V348" i="1"/>
  <c r="U348" i="1"/>
  <c r="T348" i="1"/>
  <c r="S348" i="1"/>
  <c r="R348" i="1"/>
  <c r="P348" i="1"/>
  <c r="O348" i="1"/>
  <c r="N348" i="1"/>
  <c r="M348" i="1"/>
  <c r="L348" i="1"/>
  <c r="J348" i="1"/>
  <c r="Y347" i="1"/>
  <c r="V347" i="1"/>
  <c r="S347" i="1"/>
  <c r="M347" i="1"/>
  <c r="Y346" i="1"/>
  <c r="V346" i="1"/>
  <c r="S346" i="1"/>
  <c r="M346" i="1"/>
  <c r="AA345" i="1"/>
  <c r="Z345" i="1"/>
  <c r="Y345" i="1"/>
  <c r="X345" i="1"/>
  <c r="W345" i="1"/>
  <c r="V345" i="1"/>
  <c r="U345" i="1"/>
  <c r="T345" i="1"/>
  <c r="S345" i="1"/>
  <c r="R345" i="1"/>
  <c r="P345" i="1"/>
  <c r="O345" i="1"/>
  <c r="N345" i="1"/>
  <c r="M345" i="1"/>
  <c r="L345" i="1"/>
  <c r="J345" i="1"/>
  <c r="Y344" i="1"/>
  <c r="V344" i="1"/>
  <c r="S344" i="1"/>
  <c r="M344" i="1"/>
  <c r="Y343" i="1"/>
  <c r="V343" i="1"/>
  <c r="S343" i="1"/>
  <c r="M343" i="1"/>
  <c r="Y342" i="1"/>
  <c r="V342" i="1"/>
  <c r="S342" i="1"/>
  <c r="M342" i="1"/>
  <c r="AA341" i="1"/>
  <c r="Z341" i="1"/>
  <c r="Y341" i="1"/>
  <c r="X341" i="1"/>
  <c r="W341" i="1"/>
  <c r="V341" i="1"/>
  <c r="U341" i="1"/>
  <c r="T341" i="1"/>
  <c r="S341" i="1"/>
  <c r="R341" i="1"/>
  <c r="P341" i="1"/>
  <c r="O341" i="1"/>
  <c r="N341" i="1"/>
  <c r="M341" i="1"/>
  <c r="L341" i="1"/>
  <c r="J341" i="1"/>
  <c r="Y340" i="1"/>
  <c r="V340" i="1"/>
  <c r="S340" i="1"/>
  <c r="M340" i="1"/>
  <c r="Y339" i="1"/>
  <c r="V339" i="1"/>
  <c r="S339" i="1"/>
  <c r="M339" i="1"/>
  <c r="AA338" i="1"/>
  <c r="Z338" i="1"/>
  <c r="Y338" i="1"/>
  <c r="X338" i="1"/>
  <c r="W338" i="1"/>
  <c r="V338" i="1"/>
  <c r="U338" i="1"/>
  <c r="T338" i="1"/>
  <c r="S338" i="1"/>
  <c r="R338" i="1"/>
  <c r="P338" i="1"/>
  <c r="O338" i="1"/>
  <c r="N338" i="1"/>
  <c r="M338" i="1"/>
  <c r="L338" i="1"/>
  <c r="J338" i="1"/>
  <c r="Y337" i="1"/>
  <c r="V337" i="1"/>
  <c r="S337" i="1"/>
  <c r="M337" i="1"/>
  <c r="Y336" i="1"/>
  <c r="V336" i="1"/>
  <c r="S336" i="1"/>
  <c r="M336" i="1"/>
  <c r="AA335" i="1"/>
  <c r="Z335" i="1"/>
  <c r="Y335" i="1"/>
  <c r="X335" i="1"/>
  <c r="W335" i="1"/>
  <c r="V335" i="1"/>
  <c r="U335" i="1"/>
  <c r="T335" i="1"/>
  <c r="S335" i="1"/>
  <c r="R335" i="1"/>
  <c r="P335" i="1"/>
  <c r="O335" i="1"/>
  <c r="N335" i="1"/>
  <c r="M335" i="1"/>
  <c r="L335" i="1"/>
  <c r="J335" i="1"/>
  <c r="Y334" i="1"/>
  <c r="V334" i="1"/>
  <c r="S334" i="1"/>
  <c r="M334" i="1"/>
  <c r="Y333" i="1"/>
  <c r="V333" i="1"/>
  <c r="S333" i="1"/>
  <c r="M333" i="1"/>
  <c r="Y332" i="1"/>
  <c r="V332" i="1"/>
  <c r="S332" i="1"/>
  <c r="M332" i="1"/>
  <c r="Y331" i="1"/>
  <c r="V331" i="1"/>
  <c r="S331" i="1"/>
  <c r="M331" i="1"/>
  <c r="Y330" i="1"/>
  <c r="V330" i="1"/>
  <c r="S330" i="1"/>
  <c r="M330" i="1"/>
  <c r="Y329" i="1"/>
  <c r="V329" i="1"/>
  <c r="S329" i="1"/>
  <c r="M329" i="1"/>
  <c r="Y328" i="1"/>
  <c r="V328" i="1"/>
  <c r="S328" i="1"/>
  <c r="M328" i="1"/>
  <c r="Y327" i="1"/>
  <c r="V327" i="1"/>
  <c r="S327" i="1"/>
  <c r="M327" i="1"/>
  <c r="Z326" i="1"/>
  <c r="X326" i="1"/>
  <c r="W326" i="1"/>
  <c r="AA325" i="1"/>
  <c r="Z325" i="1"/>
  <c r="Y325" i="1"/>
  <c r="X325" i="1"/>
  <c r="W325" i="1"/>
  <c r="V325" i="1"/>
  <c r="U325" i="1"/>
  <c r="T325" i="1"/>
  <c r="S325" i="1"/>
  <c r="R325" i="1"/>
  <c r="P325" i="1"/>
  <c r="O325" i="1"/>
  <c r="N325" i="1"/>
  <c r="M325" i="1"/>
  <c r="L325" i="1"/>
  <c r="J325" i="1"/>
  <c r="Y324" i="1"/>
  <c r="V324" i="1"/>
  <c r="S324" i="1"/>
  <c r="M324" i="1"/>
  <c r="Y323" i="1"/>
  <c r="V323" i="1"/>
  <c r="S323" i="1"/>
  <c r="M323" i="1"/>
  <c r="Y322" i="1"/>
  <c r="V322" i="1"/>
  <c r="S322" i="1"/>
  <c r="M322" i="1"/>
  <c r="Y321" i="1"/>
  <c r="V321" i="1"/>
  <c r="S321" i="1"/>
  <c r="M321" i="1"/>
  <c r="Y320" i="1"/>
  <c r="V320" i="1"/>
  <c r="S320" i="1"/>
  <c r="M320" i="1"/>
  <c r="Y319" i="1"/>
  <c r="V319" i="1"/>
  <c r="S319" i="1"/>
  <c r="M319" i="1"/>
  <c r="Y318" i="1"/>
  <c r="V318" i="1"/>
  <c r="S318" i="1"/>
  <c r="M318" i="1"/>
  <c r="Y317" i="1"/>
  <c r="V317" i="1"/>
  <c r="S317" i="1"/>
  <c r="M317" i="1"/>
  <c r="Z316" i="1"/>
  <c r="X316" i="1"/>
  <c r="W316" i="1"/>
  <c r="AA315" i="1"/>
  <c r="Z315" i="1"/>
  <c r="Y315" i="1"/>
  <c r="X315" i="1"/>
  <c r="W315" i="1"/>
  <c r="V315" i="1"/>
  <c r="U315" i="1"/>
  <c r="T315" i="1"/>
  <c r="S315" i="1"/>
  <c r="R315" i="1"/>
  <c r="P315" i="1"/>
  <c r="O315" i="1"/>
  <c r="N315" i="1"/>
  <c r="M315" i="1"/>
  <c r="L315" i="1"/>
  <c r="J315" i="1"/>
  <c r="Y314" i="1"/>
  <c r="V314" i="1"/>
  <c r="S314" i="1"/>
  <c r="M314" i="1"/>
  <c r="Y313" i="1"/>
  <c r="V313" i="1"/>
  <c r="S313" i="1"/>
  <c r="M313" i="1"/>
  <c r="Y312" i="1"/>
  <c r="V312" i="1"/>
  <c r="S312" i="1"/>
  <c r="M312" i="1"/>
  <c r="Y311" i="1"/>
  <c r="V311" i="1"/>
  <c r="S311" i="1"/>
  <c r="M311" i="1"/>
  <c r="Y310" i="1"/>
  <c r="V310" i="1"/>
  <c r="S310" i="1"/>
  <c r="M310" i="1"/>
  <c r="Y309" i="1"/>
  <c r="V309" i="1"/>
  <c r="S309" i="1"/>
  <c r="M309" i="1"/>
  <c r="Y308" i="1"/>
  <c r="V308" i="1"/>
  <c r="S308" i="1"/>
  <c r="M308" i="1"/>
  <c r="Y307" i="1"/>
  <c r="V307" i="1"/>
  <c r="S307" i="1"/>
  <c r="M307" i="1"/>
  <c r="Z306" i="1"/>
  <c r="X306" i="1"/>
  <c r="W306" i="1"/>
  <c r="AA305" i="1"/>
  <c r="Z305" i="1"/>
  <c r="Y305" i="1"/>
  <c r="X305" i="1"/>
  <c r="W305" i="1"/>
  <c r="V305" i="1"/>
  <c r="U305" i="1"/>
  <c r="T305" i="1"/>
  <c r="S305" i="1"/>
  <c r="R305" i="1"/>
  <c r="P305" i="1"/>
  <c r="O305" i="1"/>
  <c r="N305" i="1"/>
  <c r="M305" i="1"/>
  <c r="L305" i="1"/>
  <c r="J305" i="1"/>
  <c r="Y304" i="1"/>
  <c r="V304" i="1"/>
  <c r="S304" i="1"/>
  <c r="M304" i="1"/>
  <c r="Y303" i="1"/>
  <c r="V303" i="1"/>
  <c r="S303" i="1"/>
  <c r="M303" i="1"/>
  <c r="Y302" i="1"/>
  <c r="V302" i="1"/>
  <c r="S302" i="1"/>
  <c r="M302" i="1"/>
  <c r="Y301" i="1"/>
  <c r="V301" i="1"/>
  <c r="S301" i="1"/>
  <c r="M301" i="1"/>
  <c r="Y300" i="1"/>
  <c r="V300" i="1"/>
  <c r="S300" i="1"/>
  <c r="M300" i="1"/>
  <c r="Y299" i="1"/>
  <c r="V299" i="1"/>
  <c r="S299" i="1"/>
  <c r="M299" i="1"/>
  <c r="Z298" i="1"/>
  <c r="X298" i="1"/>
  <c r="W298" i="1"/>
  <c r="AA297" i="1"/>
  <c r="Z297" i="1"/>
  <c r="Y297" i="1"/>
  <c r="X297" i="1"/>
  <c r="W297" i="1"/>
  <c r="V297" i="1"/>
  <c r="U297" i="1"/>
  <c r="T297" i="1"/>
  <c r="S297" i="1"/>
  <c r="R297" i="1"/>
  <c r="P297" i="1"/>
  <c r="O297" i="1"/>
  <c r="N297" i="1"/>
  <c r="M297" i="1"/>
  <c r="L297" i="1"/>
  <c r="J297" i="1"/>
  <c r="Y296" i="1"/>
  <c r="V296" i="1"/>
  <c r="S296" i="1"/>
  <c r="M296" i="1"/>
  <c r="Y295" i="1"/>
  <c r="V295" i="1"/>
  <c r="S295" i="1"/>
  <c r="M295" i="1"/>
  <c r="Y294" i="1"/>
  <c r="V294" i="1"/>
  <c r="S294" i="1"/>
  <c r="M294" i="1"/>
  <c r="Y293" i="1"/>
  <c r="V293" i="1"/>
  <c r="S293" i="1"/>
  <c r="M293" i="1"/>
  <c r="Y292" i="1"/>
  <c r="V292" i="1"/>
  <c r="S292" i="1"/>
  <c r="M292" i="1"/>
  <c r="Y291" i="1"/>
  <c r="V291" i="1"/>
  <c r="S291" i="1"/>
  <c r="M291" i="1"/>
  <c r="Y290" i="1"/>
  <c r="V290" i="1"/>
  <c r="S290" i="1"/>
  <c r="M290" i="1"/>
  <c r="Y289" i="1"/>
  <c r="V289" i="1"/>
  <c r="S289" i="1"/>
  <c r="M289" i="1"/>
  <c r="Z288" i="1"/>
  <c r="X288" i="1"/>
  <c r="W288" i="1"/>
  <c r="AA287" i="1"/>
  <c r="Z287" i="1"/>
  <c r="Y287" i="1"/>
  <c r="X287" i="1"/>
  <c r="W287" i="1"/>
  <c r="V287" i="1"/>
  <c r="U287" i="1"/>
  <c r="T287" i="1"/>
  <c r="S287" i="1"/>
  <c r="R287" i="1"/>
  <c r="P287" i="1"/>
  <c r="O287" i="1"/>
  <c r="N287" i="1"/>
  <c r="M287" i="1"/>
  <c r="L287" i="1"/>
  <c r="J287" i="1"/>
  <c r="Y286" i="1"/>
  <c r="V286" i="1"/>
  <c r="S286" i="1"/>
  <c r="M286" i="1"/>
  <c r="Y285" i="1"/>
  <c r="V285" i="1"/>
  <c r="S285" i="1"/>
  <c r="M285" i="1"/>
  <c r="Y284" i="1"/>
  <c r="V284" i="1"/>
  <c r="S284" i="1"/>
  <c r="M284" i="1"/>
  <c r="Y283" i="1"/>
  <c r="V283" i="1"/>
  <c r="S283" i="1"/>
  <c r="M283" i="1"/>
  <c r="Y282" i="1"/>
  <c r="V282" i="1"/>
  <c r="S282" i="1"/>
  <c r="M282" i="1"/>
  <c r="Y281" i="1"/>
  <c r="V281" i="1"/>
  <c r="S281" i="1"/>
  <c r="M281" i="1"/>
  <c r="Y280" i="1"/>
  <c r="V280" i="1"/>
  <c r="S280" i="1"/>
  <c r="M280" i="1"/>
  <c r="Y279" i="1"/>
  <c r="V279" i="1"/>
  <c r="S279" i="1"/>
  <c r="M279" i="1"/>
  <c r="Z278" i="1"/>
  <c r="X278" i="1"/>
  <c r="W278" i="1"/>
  <c r="AA277" i="1"/>
  <c r="Z277" i="1"/>
  <c r="Y277" i="1"/>
  <c r="X277" i="1"/>
  <c r="W277" i="1"/>
  <c r="V277" i="1"/>
  <c r="U277" i="1"/>
  <c r="T277" i="1"/>
  <c r="S277" i="1"/>
  <c r="R277" i="1"/>
  <c r="P277" i="1"/>
  <c r="O277" i="1"/>
  <c r="N277" i="1"/>
  <c r="M277" i="1"/>
  <c r="L277" i="1"/>
  <c r="J277" i="1"/>
  <c r="Y276" i="1"/>
  <c r="V276" i="1"/>
  <c r="S276" i="1"/>
  <c r="M276" i="1"/>
  <c r="Y275" i="1"/>
  <c r="V275" i="1"/>
  <c r="S275" i="1"/>
  <c r="M275" i="1"/>
  <c r="Y274" i="1"/>
  <c r="V274" i="1"/>
  <c r="S274" i="1"/>
  <c r="M274" i="1"/>
  <c r="Y273" i="1"/>
  <c r="V273" i="1"/>
  <c r="S273" i="1"/>
  <c r="M273" i="1"/>
  <c r="Y272" i="1"/>
  <c r="V272" i="1"/>
  <c r="S272" i="1"/>
  <c r="M272" i="1"/>
  <c r="Y271" i="1"/>
  <c r="V271" i="1"/>
  <c r="S271" i="1"/>
  <c r="M271" i="1"/>
  <c r="Z270" i="1"/>
  <c r="X270" i="1"/>
  <c r="W270" i="1"/>
  <c r="AA269" i="1"/>
  <c r="Z269" i="1"/>
  <c r="Y269" i="1"/>
  <c r="X269" i="1"/>
  <c r="W269" i="1"/>
  <c r="V269" i="1"/>
  <c r="U269" i="1"/>
  <c r="T269" i="1"/>
  <c r="S269" i="1"/>
  <c r="R269" i="1"/>
  <c r="P269" i="1"/>
  <c r="O269" i="1"/>
  <c r="N269" i="1"/>
  <c r="M269" i="1"/>
  <c r="L269" i="1"/>
  <c r="J269" i="1"/>
  <c r="Y268" i="1"/>
  <c r="V268" i="1"/>
  <c r="S268" i="1"/>
  <c r="M268" i="1"/>
  <c r="Y267" i="1"/>
  <c r="V267" i="1"/>
  <c r="S267" i="1"/>
  <c r="M267" i="1"/>
  <c r="Y266" i="1"/>
  <c r="V266" i="1"/>
  <c r="S266" i="1"/>
  <c r="M266" i="1"/>
  <c r="AA265" i="1"/>
  <c r="Z265" i="1"/>
  <c r="Y265" i="1"/>
  <c r="X265" i="1"/>
  <c r="W265" i="1"/>
  <c r="V265" i="1"/>
  <c r="U265" i="1"/>
  <c r="T265" i="1"/>
  <c r="S265" i="1"/>
  <c r="R265" i="1"/>
  <c r="P265" i="1"/>
  <c r="O265" i="1"/>
  <c r="N265" i="1"/>
  <c r="M265" i="1"/>
  <c r="L265" i="1"/>
  <c r="J265" i="1"/>
  <c r="Y264" i="1"/>
  <c r="V264" i="1"/>
  <c r="S264" i="1"/>
  <c r="M264" i="1"/>
  <c r="Y263" i="1"/>
  <c r="V263" i="1"/>
  <c r="S263" i="1"/>
  <c r="M263" i="1"/>
  <c r="Y262" i="1"/>
  <c r="V262" i="1"/>
  <c r="S262" i="1"/>
  <c r="M262" i="1"/>
  <c r="AA261" i="1"/>
  <c r="Z261" i="1"/>
  <c r="Y261" i="1"/>
  <c r="X261" i="1"/>
  <c r="W261" i="1"/>
  <c r="V261" i="1"/>
  <c r="U261" i="1"/>
  <c r="T261" i="1"/>
  <c r="S261" i="1"/>
  <c r="R261" i="1"/>
  <c r="P261" i="1"/>
  <c r="O261" i="1"/>
  <c r="N261" i="1"/>
  <c r="M261" i="1"/>
  <c r="L261" i="1"/>
  <c r="J261" i="1"/>
  <c r="Y260" i="1"/>
  <c r="V260" i="1"/>
  <c r="S260" i="1"/>
  <c r="M260" i="1"/>
  <c r="Y259" i="1"/>
  <c r="V259" i="1"/>
  <c r="S259" i="1"/>
  <c r="M259" i="1"/>
  <c r="Y258" i="1"/>
  <c r="V258" i="1"/>
  <c r="S258" i="1"/>
  <c r="M258" i="1"/>
  <c r="Y257" i="1"/>
  <c r="V257" i="1"/>
  <c r="S257" i="1"/>
  <c r="M257" i="1"/>
  <c r="Y256" i="1"/>
  <c r="V256" i="1"/>
  <c r="S256" i="1"/>
  <c r="M256" i="1"/>
  <c r="Y255" i="1"/>
  <c r="V255" i="1"/>
  <c r="S255" i="1"/>
  <c r="M255" i="1"/>
  <c r="Z254" i="1"/>
  <c r="X254" i="1"/>
  <c r="W254" i="1"/>
  <c r="AA253" i="1"/>
  <c r="Z253" i="1"/>
  <c r="Y253" i="1"/>
  <c r="X253" i="1"/>
  <c r="W253" i="1"/>
  <c r="V253" i="1"/>
  <c r="U253" i="1"/>
  <c r="T253" i="1"/>
  <c r="S253" i="1"/>
  <c r="R253" i="1"/>
  <c r="P253" i="1"/>
  <c r="O253" i="1"/>
  <c r="N253" i="1"/>
  <c r="M253" i="1"/>
  <c r="L253" i="1"/>
  <c r="J253" i="1"/>
  <c r="Y252" i="1"/>
  <c r="V252" i="1"/>
  <c r="S252" i="1"/>
  <c r="M252" i="1"/>
  <c r="Y251" i="1"/>
  <c r="V251" i="1"/>
  <c r="S251" i="1"/>
  <c r="M251" i="1"/>
  <c r="Y250" i="1"/>
  <c r="V250" i="1"/>
  <c r="S250" i="1"/>
  <c r="M250" i="1"/>
  <c r="Y249" i="1"/>
  <c r="V249" i="1"/>
  <c r="S249" i="1"/>
  <c r="M249" i="1"/>
  <c r="Y248" i="1"/>
  <c r="V248" i="1"/>
  <c r="S248" i="1"/>
  <c r="M248" i="1"/>
  <c r="Y247" i="1"/>
  <c r="V247" i="1"/>
  <c r="S247" i="1"/>
  <c r="M247" i="1"/>
  <c r="Y246" i="1"/>
  <c r="V246" i="1"/>
  <c r="S246" i="1"/>
  <c r="M246" i="1"/>
  <c r="Y245" i="1"/>
  <c r="V245" i="1"/>
  <c r="S245" i="1"/>
  <c r="M245" i="1"/>
  <c r="Z244" i="1"/>
  <c r="X244" i="1"/>
  <c r="W244" i="1"/>
  <c r="AA243" i="1"/>
  <c r="Z243" i="1"/>
  <c r="Y243" i="1"/>
  <c r="X243" i="1"/>
  <c r="W243" i="1"/>
  <c r="V243" i="1"/>
  <c r="U243" i="1"/>
  <c r="T243" i="1"/>
  <c r="S243" i="1"/>
  <c r="R243" i="1"/>
  <c r="P243" i="1"/>
  <c r="O243" i="1"/>
  <c r="N243" i="1"/>
  <c r="M243" i="1"/>
  <c r="L243" i="1"/>
  <c r="J243" i="1"/>
  <c r="Y242" i="1"/>
  <c r="V242" i="1"/>
  <c r="S242" i="1"/>
  <c r="M242" i="1"/>
  <c r="Y241" i="1"/>
  <c r="V241" i="1"/>
  <c r="S241" i="1"/>
  <c r="M241" i="1"/>
  <c r="Y240" i="1"/>
  <c r="V240" i="1"/>
  <c r="S240" i="1"/>
  <c r="M240" i="1"/>
  <c r="Y239" i="1"/>
  <c r="V239" i="1"/>
  <c r="S239" i="1"/>
  <c r="M239" i="1"/>
  <c r="Y238" i="1"/>
  <c r="V238" i="1"/>
  <c r="S238" i="1"/>
  <c r="M238" i="1"/>
  <c r="Y237" i="1"/>
  <c r="V237" i="1"/>
  <c r="S237" i="1"/>
  <c r="M237" i="1"/>
  <c r="Y236" i="1"/>
  <c r="V236" i="1"/>
  <c r="S236" i="1"/>
  <c r="M236" i="1"/>
  <c r="Y235" i="1"/>
  <c r="V235" i="1"/>
  <c r="S235" i="1"/>
  <c r="M235" i="1"/>
  <c r="Z234" i="1"/>
  <c r="X234" i="1"/>
  <c r="W234" i="1"/>
  <c r="AA233" i="1"/>
  <c r="Z233" i="1"/>
  <c r="Y233" i="1"/>
  <c r="X233" i="1"/>
  <c r="W233" i="1"/>
  <c r="V233" i="1"/>
  <c r="U233" i="1"/>
  <c r="T233" i="1"/>
  <c r="S233" i="1"/>
  <c r="R233" i="1"/>
  <c r="P233" i="1"/>
  <c r="O233" i="1"/>
  <c r="N233" i="1"/>
  <c r="M233" i="1"/>
  <c r="L233" i="1"/>
  <c r="J233" i="1"/>
  <c r="Y232" i="1"/>
  <c r="V232" i="1"/>
  <c r="S232" i="1"/>
  <c r="M232" i="1"/>
  <c r="Y231" i="1"/>
  <c r="V231" i="1"/>
  <c r="S231" i="1"/>
  <c r="M231" i="1"/>
  <c r="Y230" i="1"/>
  <c r="V230" i="1"/>
  <c r="S230" i="1"/>
  <c r="M230" i="1"/>
  <c r="Y229" i="1"/>
  <c r="V229" i="1"/>
  <c r="S229" i="1"/>
  <c r="M229" i="1"/>
  <c r="Y228" i="1"/>
  <c r="V228" i="1"/>
  <c r="S228" i="1"/>
  <c r="M228" i="1"/>
  <c r="Y227" i="1"/>
  <c r="V227" i="1"/>
  <c r="S227" i="1"/>
  <c r="M227" i="1"/>
  <c r="Z226" i="1"/>
  <c r="X226" i="1"/>
  <c r="W226" i="1"/>
  <c r="AA225" i="1"/>
  <c r="Z225" i="1"/>
  <c r="Y225" i="1"/>
  <c r="X225" i="1"/>
  <c r="W225" i="1"/>
  <c r="V225" i="1"/>
  <c r="U225" i="1"/>
  <c r="T225" i="1"/>
  <c r="S225" i="1"/>
  <c r="R225" i="1"/>
  <c r="P225" i="1"/>
  <c r="O225" i="1"/>
  <c r="N225" i="1"/>
  <c r="M225" i="1"/>
  <c r="L225" i="1"/>
  <c r="J225" i="1"/>
  <c r="Y224" i="1"/>
  <c r="V224" i="1"/>
  <c r="S224" i="1"/>
  <c r="M224" i="1"/>
  <c r="Y223" i="1"/>
  <c r="V223" i="1"/>
  <c r="S223" i="1"/>
  <c r="M223" i="1"/>
  <c r="Y222" i="1"/>
  <c r="V222" i="1"/>
  <c r="S222" i="1"/>
  <c r="M222" i="1"/>
  <c r="Y221" i="1"/>
  <c r="V221" i="1"/>
  <c r="S221" i="1"/>
  <c r="M221" i="1"/>
  <c r="Y220" i="1"/>
  <c r="V220" i="1"/>
  <c r="S220" i="1"/>
  <c r="M220" i="1"/>
  <c r="Y219" i="1"/>
  <c r="V219" i="1"/>
  <c r="S219" i="1"/>
  <c r="M219" i="1"/>
  <c r="Z218" i="1"/>
  <c r="X218" i="1"/>
  <c r="W218" i="1"/>
  <c r="AA217" i="1"/>
  <c r="Z217" i="1"/>
  <c r="Y217" i="1"/>
  <c r="X217" i="1"/>
  <c r="W217" i="1"/>
  <c r="V217" i="1"/>
  <c r="U217" i="1"/>
  <c r="T217" i="1"/>
  <c r="S217" i="1"/>
  <c r="R217" i="1"/>
  <c r="P217" i="1"/>
  <c r="O217" i="1"/>
  <c r="N217" i="1"/>
  <c r="M217" i="1"/>
  <c r="L217" i="1"/>
  <c r="J217" i="1"/>
  <c r="Y216" i="1"/>
  <c r="V216" i="1"/>
  <c r="S216" i="1"/>
  <c r="M216" i="1"/>
  <c r="Y215" i="1"/>
  <c r="V215" i="1"/>
  <c r="S215" i="1"/>
  <c r="M215" i="1"/>
  <c r="Y214" i="1"/>
  <c r="V214" i="1"/>
  <c r="S214" i="1"/>
  <c r="M214" i="1"/>
  <c r="Y213" i="1"/>
  <c r="V213" i="1"/>
  <c r="S213" i="1"/>
  <c r="M213" i="1"/>
  <c r="Y212" i="1"/>
  <c r="V212" i="1"/>
  <c r="S212" i="1"/>
  <c r="M212" i="1"/>
  <c r="Y211" i="1"/>
  <c r="V211" i="1"/>
  <c r="S211" i="1"/>
  <c r="M211" i="1"/>
  <c r="Y210" i="1"/>
  <c r="V210" i="1"/>
  <c r="S210" i="1"/>
  <c r="M210" i="1"/>
  <c r="Y209" i="1"/>
  <c r="V209" i="1"/>
  <c r="S209" i="1"/>
  <c r="M209" i="1"/>
  <c r="Z208" i="1"/>
  <c r="X208" i="1"/>
  <c r="W208" i="1"/>
  <c r="AA207" i="1"/>
  <c r="Z207" i="1"/>
  <c r="Y207" i="1"/>
  <c r="X207" i="1"/>
  <c r="W207" i="1"/>
  <c r="V207" i="1"/>
  <c r="U207" i="1"/>
  <c r="T207" i="1"/>
  <c r="S207" i="1"/>
  <c r="R207" i="1"/>
  <c r="P207" i="1"/>
  <c r="O207" i="1"/>
  <c r="N207" i="1"/>
  <c r="M207" i="1"/>
  <c r="L207" i="1"/>
  <c r="J207" i="1"/>
  <c r="Y206" i="1"/>
  <c r="V206" i="1"/>
  <c r="S206" i="1"/>
  <c r="M206" i="1"/>
  <c r="Y205" i="1"/>
  <c r="V205" i="1"/>
  <c r="S205" i="1"/>
  <c r="M205" i="1"/>
  <c r="Y204" i="1"/>
  <c r="V204" i="1"/>
  <c r="S204" i="1"/>
  <c r="M204" i="1"/>
  <c r="Y203" i="1"/>
  <c r="V203" i="1"/>
  <c r="S203" i="1"/>
  <c r="M203" i="1"/>
  <c r="Y202" i="1"/>
  <c r="V202" i="1"/>
  <c r="S202" i="1"/>
  <c r="M202" i="1"/>
  <c r="Y201" i="1"/>
  <c r="V201" i="1"/>
  <c r="S201" i="1"/>
  <c r="M201" i="1"/>
  <c r="Y200" i="1"/>
  <c r="V200" i="1"/>
  <c r="S200" i="1"/>
  <c r="M200" i="1"/>
  <c r="Y199" i="1"/>
  <c r="V199" i="1"/>
  <c r="S199" i="1"/>
  <c r="M199" i="1"/>
  <c r="Z198" i="1"/>
  <c r="X198" i="1"/>
  <c r="W198" i="1"/>
  <c r="AA197" i="1"/>
  <c r="Z197" i="1"/>
  <c r="Y197" i="1"/>
  <c r="X197" i="1"/>
  <c r="W197" i="1"/>
  <c r="V197" i="1"/>
  <c r="U197" i="1"/>
  <c r="T197" i="1"/>
  <c r="S197" i="1"/>
  <c r="R197" i="1"/>
  <c r="P197" i="1"/>
  <c r="O197" i="1"/>
  <c r="N197" i="1"/>
  <c r="M197" i="1"/>
  <c r="L197" i="1"/>
  <c r="J197" i="1"/>
  <c r="Y196" i="1"/>
  <c r="V196" i="1"/>
  <c r="S196" i="1"/>
  <c r="M196" i="1"/>
  <c r="Y195" i="1"/>
  <c r="V195" i="1"/>
  <c r="S195" i="1"/>
  <c r="M195" i="1"/>
  <c r="AA194" i="1"/>
  <c r="Z194" i="1"/>
  <c r="Y194" i="1"/>
  <c r="X194" i="1"/>
  <c r="W194" i="1"/>
  <c r="V194" i="1"/>
  <c r="U194" i="1"/>
  <c r="T194" i="1"/>
  <c r="S194" i="1"/>
  <c r="R194" i="1"/>
  <c r="P194" i="1"/>
  <c r="O194" i="1"/>
  <c r="N194" i="1"/>
  <c r="M194" i="1"/>
  <c r="L194" i="1"/>
  <c r="J194" i="1"/>
  <c r="AA193" i="1"/>
  <c r="Z193" i="1"/>
  <c r="Y193" i="1"/>
  <c r="U193" i="1"/>
  <c r="T193" i="1"/>
  <c r="S193" i="1"/>
  <c r="O193" i="1"/>
  <c r="N193" i="1"/>
  <c r="M193" i="1"/>
  <c r="AA192" i="1"/>
  <c r="Z192" i="1"/>
  <c r="Y192" i="1"/>
  <c r="U192" i="1"/>
  <c r="T192" i="1"/>
  <c r="S192" i="1"/>
  <c r="O192" i="1"/>
  <c r="N192" i="1"/>
  <c r="M192" i="1"/>
  <c r="Y191" i="1"/>
  <c r="V191" i="1"/>
  <c r="S191" i="1"/>
  <c r="M191" i="1"/>
  <c r="Y190" i="1"/>
  <c r="V190" i="1"/>
  <c r="S190" i="1"/>
  <c r="M190" i="1"/>
  <c r="AA189" i="1"/>
  <c r="Z189" i="1"/>
  <c r="Y189" i="1"/>
  <c r="X189" i="1"/>
  <c r="W189" i="1"/>
  <c r="V189" i="1"/>
  <c r="U189" i="1"/>
  <c r="T189" i="1"/>
  <c r="S189" i="1"/>
  <c r="R189" i="1"/>
  <c r="P189" i="1"/>
  <c r="O189" i="1"/>
  <c r="N189" i="1"/>
  <c r="M189" i="1"/>
  <c r="L189" i="1"/>
  <c r="J189" i="1"/>
  <c r="Y188" i="1"/>
  <c r="V188" i="1"/>
  <c r="S188" i="1"/>
  <c r="M188" i="1"/>
  <c r="Y187" i="1"/>
  <c r="V187" i="1"/>
  <c r="S187" i="1"/>
  <c r="M187" i="1"/>
  <c r="Y186" i="1"/>
  <c r="V186" i="1"/>
  <c r="S186" i="1"/>
  <c r="M186" i="1"/>
  <c r="Y185" i="1"/>
  <c r="V185" i="1"/>
  <c r="S185" i="1"/>
  <c r="M185" i="1"/>
  <c r="Y184" i="1"/>
  <c r="V184" i="1"/>
  <c r="S184" i="1"/>
  <c r="M184" i="1"/>
  <c r="Y183" i="1"/>
  <c r="V183" i="1"/>
  <c r="S183" i="1"/>
  <c r="M183" i="1"/>
  <c r="Y182" i="1"/>
  <c r="V182" i="1"/>
  <c r="S182" i="1"/>
  <c r="M182" i="1"/>
  <c r="Y181" i="1"/>
  <c r="V181" i="1"/>
  <c r="S181" i="1"/>
  <c r="M181" i="1"/>
  <c r="Z180" i="1"/>
  <c r="X180" i="1"/>
  <c r="W180" i="1"/>
  <c r="AA179" i="1"/>
  <c r="Z179" i="1"/>
  <c r="Y179" i="1"/>
  <c r="X179" i="1"/>
  <c r="W179" i="1"/>
  <c r="V179" i="1"/>
  <c r="U179" i="1"/>
  <c r="T179" i="1"/>
  <c r="S179" i="1"/>
  <c r="R179" i="1"/>
  <c r="P179" i="1"/>
  <c r="O179" i="1"/>
  <c r="N179" i="1"/>
  <c r="M179" i="1"/>
  <c r="L179" i="1"/>
  <c r="J179" i="1"/>
  <c r="Y178" i="1"/>
  <c r="V178" i="1"/>
  <c r="S178" i="1"/>
  <c r="M178" i="1"/>
  <c r="Y177" i="1"/>
  <c r="V177" i="1"/>
  <c r="S177" i="1"/>
  <c r="M177" i="1"/>
  <c r="Y176" i="1"/>
  <c r="V176" i="1"/>
  <c r="S176" i="1"/>
  <c r="M176" i="1"/>
  <c r="Y175" i="1"/>
  <c r="V175" i="1"/>
  <c r="S175" i="1"/>
  <c r="M175" i="1"/>
  <c r="Y174" i="1"/>
  <c r="V174" i="1"/>
  <c r="S174" i="1"/>
  <c r="M174" i="1"/>
  <c r="Y173" i="1"/>
  <c r="V173" i="1"/>
  <c r="S173" i="1"/>
  <c r="M173" i="1"/>
  <c r="Y172" i="1"/>
  <c r="V172" i="1"/>
  <c r="S172" i="1"/>
  <c r="M172" i="1"/>
  <c r="Y171" i="1"/>
  <c r="V171" i="1"/>
  <c r="S171" i="1"/>
  <c r="M171" i="1"/>
  <c r="Z170" i="1"/>
  <c r="X170" i="1"/>
  <c r="W170" i="1"/>
  <c r="AA169" i="1"/>
  <c r="Z169" i="1"/>
  <c r="Y169" i="1"/>
  <c r="X169" i="1"/>
  <c r="W169" i="1"/>
  <c r="V169" i="1"/>
  <c r="U169" i="1"/>
  <c r="T169" i="1"/>
  <c r="S169" i="1"/>
  <c r="R169" i="1"/>
  <c r="P169" i="1"/>
  <c r="O169" i="1"/>
  <c r="N169" i="1"/>
  <c r="M169" i="1"/>
  <c r="L169" i="1"/>
  <c r="J169" i="1"/>
  <c r="Y168" i="1"/>
  <c r="V168" i="1"/>
  <c r="S168" i="1"/>
  <c r="M168" i="1"/>
  <c r="Y167" i="1"/>
  <c r="V167" i="1"/>
  <c r="S167" i="1"/>
  <c r="M167" i="1"/>
  <c r="Y166" i="1"/>
  <c r="V166" i="1"/>
  <c r="S166" i="1"/>
  <c r="M166" i="1"/>
  <c r="Y165" i="1"/>
  <c r="V165" i="1"/>
  <c r="S165" i="1"/>
  <c r="M165" i="1"/>
  <c r="Z164" i="1"/>
  <c r="X164" i="1"/>
  <c r="W164" i="1"/>
  <c r="AA163" i="1"/>
  <c r="Z163" i="1"/>
  <c r="Y163" i="1"/>
  <c r="X163" i="1"/>
  <c r="W163" i="1"/>
  <c r="V163" i="1"/>
  <c r="U163" i="1"/>
  <c r="T163" i="1"/>
  <c r="S163" i="1"/>
  <c r="R163" i="1"/>
  <c r="P163" i="1"/>
  <c r="O163" i="1"/>
  <c r="N163" i="1"/>
  <c r="M163" i="1"/>
  <c r="L163" i="1"/>
  <c r="J163" i="1"/>
  <c r="Y162" i="1"/>
  <c r="V162" i="1"/>
  <c r="S162" i="1"/>
  <c r="M162" i="1"/>
  <c r="Y161" i="1"/>
  <c r="V161" i="1"/>
  <c r="S161" i="1"/>
  <c r="M161" i="1"/>
  <c r="Y160" i="1"/>
  <c r="V160" i="1"/>
  <c r="S160" i="1"/>
  <c r="M160" i="1"/>
  <c r="AA159" i="1"/>
  <c r="Z159" i="1"/>
  <c r="Y159" i="1"/>
  <c r="X159" i="1"/>
  <c r="W159" i="1"/>
  <c r="V159" i="1"/>
  <c r="U159" i="1"/>
  <c r="T159" i="1"/>
  <c r="S159" i="1"/>
  <c r="R159" i="1"/>
  <c r="P159" i="1"/>
  <c r="O159" i="1"/>
  <c r="N159" i="1"/>
  <c r="M159" i="1"/>
  <c r="L159" i="1"/>
  <c r="J159" i="1"/>
  <c r="Y158" i="1"/>
  <c r="V158" i="1"/>
  <c r="S158" i="1"/>
  <c r="M158" i="1"/>
  <c r="Y157" i="1"/>
  <c r="V157" i="1"/>
  <c r="S157" i="1"/>
  <c r="M157" i="1"/>
  <c r="Y156" i="1"/>
  <c r="V156" i="1"/>
  <c r="S156" i="1"/>
  <c r="M156" i="1"/>
  <c r="Y155" i="1"/>
  <c r="V155" i="1"/>
  <c r="S155" i="1"/>
  <c r="M155" i="1"/>
  <c r="Y154" i="1"/>
  <c r="V154" i="1"/>
  <c r="S154" i="1"/>
  <c r="M154" i="1"/>
  <c r="Y153" i="1"/>
  <c r="V153" i="1"/>
  <c r="S153" i="1"/>
  <c r="M153" i="1"/>
  <c r="Y152" i="1"/>
  <c r="V152" i="1"/>
  <c r="S152" i="1"/>
  <c r="M152" i="1"/>
  <c r="Y151" i="1"/>
  <c r="V151" i="1"/>
  <c r="S151" i="1"/>
  <c r="M151" i="1"/>
  <c r="Z150" i="1"/>
  <c r="X150" i="1"/>
  <c r="W150" i="1"/>
  <c r="AA149" i="1"/>
  <c r="Z149" i="1"/>
  <c r="Y149" i="1"/>
  <c r="X149" i="1"/>
  <c r="W149" i="1"/>
  <c r="V149" i="1"/>
  <c r="U149" i="1"/>
  <c r="T149" i="1"/>
  <c r="S149" i="1"/>
  <c r="R149" i="1"/>
  <c r="P149" i="1"/>
  <c r="O149" i="1"/>
  <c r="N149" i="1"/>
  <c r="M149" i="1"/>
  <c r="L149" i="1"/>
  <c r="J149" i="1"/>
  <c r="Y148" i="1"/>
  <c r="V148" i="1"/>
  <c r="S148" i="1"/>
  <c r="M148" i="1"/>
  <c r="Y147" i="1"/>
  <c r="V147" i="1"/>
  <c r="S147" i="1"/>
  <c r="M147" i="1"/>
  <c r="Y146" i="1"/>
  <c r="V146" i="1"/>
  <c r="S146" i="1"/>
  <c r="M146" i="1"/>
  <c r="Y145" i="1"/>
  <c r="V145" i="1"/>
  <c r="S145" i="1"/>
  <c r="M145" i="1"/>
  <c r="Y144" i="1"/>
  <c r="V144" i="1"/>
  <c r="S144" i="1"/>
  <c r="M144" i="1"/>
  <c r="Y143" i="1"/>
  <c r="V143" i="1"/>
  <c r="S143" i="1"/>
  <c r="M143" i="1"/>
  <c r="Y142" i="1"/>
  <c r="V142" i="1"/>
  <c r="S142" i="1"/>
  <c r="M142" i="1"/>
  <c r="Y141" i="1"/>
  <c r="V141" i="1"/>
  <c r="S141" i="1"/>
  <c r="M141" i="1"/>
  <c r="Z140" i="1"/>
  <c r="X140" i="1"/>
  <c r="W140" i="1"/>
  <c r="AA139" i="1"/>
  <c r="Z139" i="1"/>
  <c r="Y139" i="1"/>
  <c r="X139" i="1"/>
  <c r="W139" i="1"/>
  <c r="V139" i="1"/>
  <c r="U139" i="1"/>
  <c r="T139" i="1"/>
  <c r="S139" i="1"/>
  <c r="R139" i="1"/>
  <c r="P139" i="1"/>
  <c r="O139" i="1"/>
  <c r="N139" i="1"/>
  <c r="M139" i="1"/>
  <c r="L139" i="1"/>
  <c r="J139" i="1"/>
  <c r="Y138" i="1"/>
  <c r="V138" i="1"/>
  <c r="S138" i="1"/>
  <c r="M138" i="1"/>
  <c r="Y137" i="1"/>
  <c r="V137" i="1"/>
  <c r="S137" i="1"/>
  <c r="M137" i="1"/>
  <c r="Y136" i="1"/>
  <c r="V136" i="1"/>
  <c r="S136" i="1"/>
  <c r="M136" i="1"/>
  <c r="Y135" i="1"/>
  <c r="V135" i="1"/>
  <c r="S135" i="1"/>
  <c r="M135" i="1"/>
  <c r="Y134" i="1"/>
  <c r="V134" i="1"/>
  <c r="S134" i="1"/>
  <c r="M134" i="1"/>
  <c r="Y133" i="1"/>
  <c r="V133" i="1"/>
  <c r="S133" i="1"/>
  <c r="M133" i="1"/>
  <c r="Y132" i="1"/>
  <c r="V132" i="1"/>
  <c r="S132" i="1"/>
  <c r="M132" i="1"/>
  <c r="Y131" i="1"/>
  <c r="V131" i="1"/>
  <c r="S131" i="1"/>
  <c r="M131" i="1"/>
  <c r="Z130" i="1"/>
  <c r="X130" i="1"/>
  <c r="W130" i="1"/>
  <c r="AA129" i="1"/>
  <c r="Z129" i="1"/>
  <c r="Y129" i="1"/>
  <c r="X129" i="1"/>
  <c r="W129" i="1"/>
  <c r="V129" i="1"/>
  <c r="U129" i="1"/>
  <c r="T129" i="1"/>
  <c r="S129" i="1"/>
  <c r="R129" i="1"/>
  <c r="P129" i="1"/>
  <c r="O129" i="1"/>
  <c r="N129" i="1"/>
  <c r="M129" i="1"/>
  <c r="L129" i="1"/>
  <c r="J129" i="1"/>
  <c r="AA128" i="1"/>
  <c r="Z128" i="1"/>
  <c r="Y128" i="1"/>
  <c r="U128" i="1"/>
  <c r="T128" i="1"/>
  <c r="S128" i="1"/>
  <c r="O128" i="1"/>
  <c r="N128" i="1"/>
  <c r="M128" i="1"/>
  <c r="Y127" i="1"/>
  <c r="V127" i="1"/>
  <c r="S127" i="1"/>
  <c r="M127" i="1"/>
  <c r="Y126" i="1"/>
  <c r="V126" i="1"/>
  <c r="S126" i="1"/>
  <c r="M126" i="1"/>
  <c r="Z125" i="1"/>
  <c r="X125" i="1"/>
  <c r="W125" i="1"/>
  <c r="AA124" i="1"/>
  <c r="Z124" i="1"/>
  <c r="Y124" i="1"/>
  <c r="X124" i="1"/>
  <c r="W124" i="1"/>
  <c r="V124" i="1"/>
  <c r="U124" i="1"/>
  <c r="T124" i="1"/>
  <c r="S124" i="1"/>
  <c r="R124" i="1"/>
  <c r="P124" i="1"/>
  <c r="O124" i="1"/>
  <c r="N124" i="1"/>
  <c r="M124" i="1"/>
  <c r="L124" i="1"/>
  <c r="J124" i="1"/>
  <c r="Y123" i="1"/>
  <c r="V123" i="1"/>
  <c r="S123" i="1"/>
  <c r="M123" i="1"/>
  <c r="Y122" i="1"/>
  <c r="V122" i="1"/>
  <c r="S122" i="1"/>
  <c r="M122" i="1"/>
  <c r="Y121" i="1"/>
  <c r="V121" i="1"/>
  <c r="S121" i="1"/>
  <c r="M121" i="1"/>
  <c r="Y120" i="1"/>
  <c r="V120" i="1"/>
  <c r="S120" i="1"/>
  <c r="M120" i="1"/>
  <c r="Z119" i="1"/>
  <c r="X119" i="1"/>
  <c r="W119" i="1"/>
  <c r="AA118" i="1"/>
  <c r="Z118" i="1"/>
  <c r="Y118" i="1"/>
  <c r="X118" i="1"/>
  <c r="W118" i="1"/>
  <c r="V118" i="1"/>
  <c r="U118" i="1"/>
  <c r="T118" i="1"/>
  <c r="S118" i="1"/>
  <c r="R118" i="1"/>
  <c r="P118" i="1"/>
  <c r="O118" i="1"/>
  <c r="N118" i="1"/>
  <c r="M118" i="1"/>
  <c r="L118" i="1"/>
  <c r="J118" i="1"/>
  <c r="Y117" i="1"/>
  <c r="V117" i="1"/>
  <c r="S117" i="1"/>
  <c r="M117" i="1"/>
  <c r="Y116" i="1"/>
  <c r="V116" i="1"/>
  <c r="S116" i="1"/>
  <c r="M116" i="1"/>
  <c r="Y115" i="1"/>
  <c r="V115" i="1"/>
  <c r="S115" i="1"/>
  <c r="M115" i="1"/>
  <c r="Y114" i="1"/>
  <c r="V114" i="1"/>
  <c r="S114" i="1"/>
  <c r="M114" i="1"/>
  <c r="Z113" i="1"/>
  <c r="X113" i="1"/>
  <c r="W113" i="1"/>
  <c r="AA112" i="1"/>
  <c r="Z112" i="1"/>
  <c r="Y112" i="1"/>
  <c r="X112" i="1"/>
  <c r="W112" i="1"/>
  <c r="V112" i="1"/>
  <c r="U112" i="1"/>
  <c r="T112" i="1"/>
  <c r="S112" i="1"/>
  <c r="R112" i="1"/>
  <c r="P112" i="1"/>
  <c r="O112" i="1"/>
  <c r="N112" i="1"/>
  <c r="M112" i="1"/>
  <c r="L112" i="1"/>
  <c r="J112" i="1"/>
  <c r="AA111" i="1"/>
  <c r="Z111" i="1"/>
  <c r="Y111" i="1"/>
  <c r="U111" i="1"/>
  <c r="T111" i="1"/>
  <c r="S111" i="1"/>
  <c r="O111" i="1"/>
  <c r="N111" i="1"/>
  <c r="M111" i="1"/>
  <c r="Y110" i="1"/>
  <c r="V110" i="1"/>
  <c r="S110" i="1"/>
  <c r="M110" i="1"/>
  <c r="AA109" i="1"/>
  <c r="Z109" i="1"/>
  <c r="Y109" i="1"/>
  <c r="X109" i="1"/>
  <c r="W109" i="1"/>
  <c r="V109" i="1"/>
  <c r="U109" i="1"/>
  <c r="T109" i="1"/>
  <c r="S109" i="1"/>
  <c r="R109" i="1"/>
  <c r="P109" i="1"/>
  <c r="O109" i="1"/>
  <c r="N109" i="1"/>
  <c r="M109" i="1"/>
  <c r="L109" i="1"/>
  <c r="J109" i="1"/>
  <c r="Y108" i="1"/>
  <c r="V108" i="1"/>
  <c r="S108" i="1"/>
  <c r="M108" i="1"/>
  <c r="AA107" i="1"/>
  <c r="Z107" i="1"/>
  <c r="Y107" i="1"/>
  <c r="X107" i="1"/>
  <c r="W107" i="1"/>
  <c r="V107" i="1"/>
  <c r="U107" i="1"/>
  <c r="T107" i="1"/>
  <c r="S107" i="1"/>
  <c r="R107" i="1"/>
  <c r="P107" i="1"/>
  <c r="O107" i="1"/>
  <c r="N107" i="1"/>
  <c r="M107" i="1"/>
  <c r="L107" i="1"/>
  <c r="J107" i="1"/>
  <c r="Y106" i="1"/>
  <c r="V106" i="1"/>
  <c r="S106" i="1"/>
  <c r="M106" i="1"/>
  <c r="Y105" i="1"/>
  <c r="V105" i="1"/>
  <c r="S105" i="1"/>
  <c r="M105" i="1"/>
  <c r="Y104" i="1"/>
  <c r="V104" i="1"/>
  <c r="S104" i="1"/>
  <c r="M104" i="1"/>
  <c r="Y103" i="1"/>
  <c r="V103" i="1"/>
  <c r="S103" i="1"/>
  <c r="M103" i="1"/>
  <c r="Y102" i="1"/>
  <c r="V102" i="1"/>
  <c r="S102" i="1"/>
  <c r="M102" i="1"/>
  <c r="Y101" i="1"/>
  <c r="V101" i="1"/>
  <c r="S101" i="1"/>
  <c r="M101" i="1"/>
  <c r="Z100" i="1"/>
  <c r="X100" i="1"/>
  <c r="W100" i="1"/>
  <c r="AA99" i="1"/>
  <c r="Z99" i="1"/>
  <c r="Y99" i="1"/>
  <c r="X99" i="1"/>
  <c r="W99" i="1"/>
  <c r="V99" i="1"/>
  <c r="U99" i="1"/>
  <c r="T99" i="1"/>
  <c r="S99" i="1"/>
  <c r="R99" i="1"/>
  <c r="P99" i="1"/>
  <c r="O99" i="1"/>
  <c r="N99" i="1"/>
  <c r="M99" i="1"/>
  <c r="L99" i="1"/>
  <c r="J99" i="1"/>
  <c r="Y98" i="1"/>
  <c r="V98" i="1"/>
  <c r="S98" i="1"/>
  <c r="M98" i="1"/>
  <c r="Y97" i="1"/>
  <c r="V97" i="1"/>
  <c r="S97" i="1"/>
  <c r="M97" i="1"/>
  <c r="Y96" i="1"/>
  <c r="V96" i="1"/>
  <c r="S96" i="1"/>
  <c r="M96" i="1"/>
  <c r="Y95" i="1"/>
  <c r="V95" i="1"/>
  <c r="S95" i="1"/>
  <c r="M95" i="1"/>
  <c r="Y94" i="1"/>
  <c r="V94" i="1"/>
  <c r="S94" i="1"/>
  <c r="M94" i="1"/>
  <c r="Y93" i="1"/>
  <c r="V93" i="1"/>
  <c r="S93" i="1"/>
  <c r="M93" i="1"/>
  <c r="Y92" i="1"/>
  <c r="V92" i="1"/>
  <c r="S92" i="1"/>
  <c r="M92" i="1"/>
  <c r="Y91" i="1"/>
  <c r="V91" i="1"/>
  <c r="S91" i="1"/>
  <c r="M91" i="1"/>
  <c r="Z90" i="1"/>
  <c r="X90" i="1"/>
  <c r="W90" i="1"/>
  <c r="AA89" i="1"/>
  <c r="Z89" i="1"/>
  <c r="Y89" i="1"/>
  <c r="X89" i="1"/>
  <c r="W89" i="1"/>
  <c r="V89" i="1"/>
  <c r="U89" i="1"/>
  <c r="T89" i="1"/>
  <c r="S89" i="1"/>
  <c r="R89" i="1"/>
  <c r="P89" i="1"/>
  <c r="O89" i="1"/>
  <c r="N89" i="1"/>
  <c r="M89" i="1"/>
  <c r="L89" i="1"/>
  <c r="J89" i="1"/>
  <c r="Y88" i="1"/>
  <c r="V88" i="1"/>
  <c r="S88" i="1"/>
  <c r="M88" i="1"/>
  <c r="Y87" i="1"/>
  <c r="V87" i="1"/>
  <c r="S87" i="1"/>
  <c r="M87" i="1"/>
  <c r="Y86" i="1"/>
  <c r="V86" i="1"/>
  <c r="S86" i="1"/>
  <c r="M86" i="1"/>
  <c r="Y85" i="1"/>
  <c r="V85" i="1"/>
  <c r="S85" i="1"/>
  <c r="M85" i="1"/>
  <c r="Y84" i="1"/>
  <c r="V84" i="1"/>
  <c r="S84" i="1"/>
  <c r="M84" i="1"/>
  <c r="Y83" i="1"/>
  <c r="V83" i="1"/>
  <c r="S83" i="1"/>
  <c r="M83" i="1"/>
  <c r="Z82" i="1"/>
  <c r="X82" i="1"/>
  <c r="W82" i="1"/>
  <c r="AA81" i="1"/>
  <c r="Z81" i="1"/>
  <c r="Y81" i="1"/>
  <c r="X81" i="1"/>
  <c r="W81" i="1"/>
  <c r="V81" i="1"/>
  <c r="U81" i="1"/>
  <c r="T81" i="1"/>
  <c r="S81" i="1"/>
  <c r="R81" i="1"/>
  <c r="P81" i="1"/>
  <c r="O81" i="1"/>
  <c r="N81" i="1"/>
  <c r="M81" i="1"/>
  <c r="L81" i="1"/>
  <c r="J81" i="1"/>
  <c r="Y80" i="1"/>
  <c r="V80" i="1"/>
  <c r="S80" i="1"/>
  <c r="M80" i="1"/>
  <c r="Y79" i="1"/>
  <c r="V79" i="1"/>
  <c r="S79" i="1"/>
  <c r="M79" i="1"/>
  <c r="Y78" i="1"/>
  <c r="V78" i="1"/>
  <c r="S78" i="1"/>
  <c r="M78" i="1"/>
  <c r="Y77" i="1"/>
  <c r="V77" i="1"/>
  <c r="S77" i="1"/>
  <c r="M77" i="1"/>
  <c r="Y76" i="1"/>
  <c r="V76" i="1"/>
  <c r="S76" i="1"/>
  <c r="M76" i="1"/>
  <c r="Y75" i="1"/>
  <c r="V75" i="1"/>
  <c r="S75" i="1"/>
  <c r="M75" i="1"/>
  <c r="Y74" i="1"/>
  <c r="V74" i="1"/>
  <c r="S74" i="1"/>
  <c r="M74" i="1"/>
  <c r="Y73" i="1"/>
  <c r="V73" i="1"/>
  <c r="S73" i="1"/>
  <c r="M73" i="1"/>
  <c r="Z72" i="1"/>
  <c r="X72" i="1"/>
  <c r="W72" i="1"/>
  <c r="AA71" i="1"/>
  <c r="Z71" i="1"/>
  <c r="Y71" i="1"/>
  <c r="X71" i="1"/>
  <c r="W71" i="1"/>
  <c r="V71" i="1"/>
  <c r="U71" i="1"/>
  <c r="T71" i="1"/>
  <c r="S71" i="1"/>
  <c r="R71" i="1"/>
  <c r="P71" i="1"/>
  <c r="O71" i="1"/>
  <c r="N71" i="1"/>
  <c r="M71" i="1"/>
  <c r="L71" i="1"/>
  <c r="J71" i="1"/>
  <c r="Y70" i="1"/>
  <c r="V70" i="1"/>
  <c r="S70" i="1"/>
  <c r="M70" i="1"/>
  <c r="Y69" i="1"/>
  <c r="V69" i="1"/>
  <c r="S69" i="1"/>
  <c r="M69" i="1"/>
  <c r="Z68" i="1"/>
  <c r="X68" i="1"/>
  <c r="W68" i="1"/>
  <c r="AA67" i="1"/>
  <c r="Z67" i="1"/>
  <c r="Y67" i="1"/>
  <c r="X67" i="1"/>
  <c r="W67" i="1"/>
  <c r="V67" i="1"/>
  <c r="U67" i="1"/>
  <c r="T67" i="1"/>
  <c r="S67" i="1"/>
  <c r="R67" i="1"/>
  <c r="P67" i="1"/>
  <c r="O67" i="1"/>
  <c r="N67" i="1"/>
  <c r="M67" i="1"/>
  <c r="L67" i="1"/>
  <c r="J67" i="1"/>
  <c r="Y66" i="1"/>
  <c r="V66" i="1"/>
  <c r="S66" i="1"/>
  <c r="M66" i="1"/>
  <c r="Y65" i="1"/>
  <c r="V65" i="1"/>
  <c r="S65" i="1"/>
  <c r="M65" i="1"/>
  <c r="Z64" i="1"/>
  <c r="X64" i="1"/>
  <c r="W64" i="1"/>
  <c r="AA63" i="1"/>
  <c r="Z63" i="1"/>
  <c r="Y63" i="1"/>
  <c r="X63" i="1"/>
  <c r="W63" i="1"/>
  <c r="V63" i="1"/>
  <c r="U63" i="1"/>
  <c r="T63" i="1"/>
  <c r="S63" i="1"/>
  <c r="R63" i="1"/>
  <c r="P63" i="1"/>
  <c r="O63" i="1"/>
  <c r="N63" i="1"/>
  <c r="M63" i="1"/>
  <c r="L63" i="1"/>
  <c r="J63" i="1"/>
  <c r="Y62" i="1"/>
  <c r="V62" i="1"/>
  <c r="S62" i="1"/>
  <c r="M62" i="1"/>
  <c r="Y61" i="1"/>
  <c r="V61" i="1"/>
  <c r="S61" i="1"/>
  <c r="M61" i="1"/>
  <c r="AA60" i="1"/>
  <c r="Z60" i="1"/>
  <c r="Y60" i="1"/>
  <c r="X60" i="1"/>
  <c r="W60" i="1"/>
  <c r="V60" i="1"/>
  <c r="U60" i="1"/>
  <c r="T60" i="1"/>
  <c r="S60" i="1"/>
  <c r="R60" i="1"/>
  <c r="P60" i="1"/>
  <c r="O60" i="1"/>
  <c r="N60" i="1"/>
  <c r="M60" i="1"/>
  <c r="L60" i="1"/>
  <c r="J60" i="1"/>
  <c r="AA59" i="1"/>
  <c r="Z59" i="1"/>
  <c r="Y59" i="1"/>
  <c r="U59" i="1"/>
  <c r="T59" i="1"/>
  <c r="S59" i="1"/>
  <c r="O59" i="1"/>
  <c r="N59" i="1"/>
  <c r="M59" i="1"/>
  <c r="AA58" i="1"/>
  <c r="Z58" i="1"/>
  <c r="Y58" i="1"/>
  <c r="U58" i="1"/>
  <c r="T58" i="1"/>
  <c r="S58" i="1"/>
  <c r="O58" i="1"/>
  <c r="N58" i="1"/>
  <c r="M58" i="1"/>
  <c r="AA57" i="1"/>
  <c r="Z57" i="1"/>
  <c r="Y57" i="1"/>
  <c r="U57" i="1"/>
  <c r="T57" i="1"/>
  <c r="S57" i="1"/>
  <c r="O57" i="1"/>
  <c r="N57" i="1"/>
  <c r="M57" i="1"/>
  <c r="AA56" i="1"/>
  <c r="Z56" i="1"/>
  <c r="Y56" i="1"/>
  <c r="U56" i="1"/>
  <c r="T56" i="1"/>
  <c r="S56" i="1"/>
  <c r="O56" i="1"/>
  <c r="N56" i="1"/>
  <c r="M56" i="1"/>
  <c r="AA55" i="1"/>
  <c r="Z55" i="1"/>
  <c r="Y55" i="1"/>
  <c r="U55" i="1"/>
  <c r="T55" i="1"/>
  <c r="S55" i="1"/>
  <c r="O55" i="1"/>
  <c r="N55" i="1"/>
  <c r="M55" i="1"/>
  <c r="Y54" i="1"/>
  <c r="V54" i="1"/>
  <c r="S54" i="1"/>
  <c r="M54" i="1"/>
  <c r="Y53" i="1"/>
  <c r="V53" i="1"/>
  <c r="S53" i="1"/>
  <c r="M53" i="1"/>
  <c r="Y52" i="1"/>
  <c r="V52" i="1"/>
  <c r="S52" i="1"/>
  <c r="M52" i="1"/>
  <c r="AA51" i="1"/>
  <c r="Z51" i="1"/>
  <c r="Y51" i="1"/>
  <c r="X51" i="1"/>
  <c r="W51" i="1"/>
  <c r="V51" i="1"/>
  <c r="U51" i="1"/>
  <c r="T51" i="1"/>
  <c r="S51" i="1"/>
  <c r="R51" i="1"/>
  <c r="P51" i="1"/>
  <c r="O51" i="1"/>
  <c r="N51" i="1"/>
  <c r="M51" i="1"/>
  <c r="L51" i="1"/>
  <c r="J51" i="1"/>
  <c r="AA50" i="1"/>
  <c r="Z50" i="1"/>
  <c r="Y50" i="1"/>
  <c r="U50" i="1"/>
  <c r="T50" i="1"/>
  <c r="S50" i="1"/>
  <c r="O50" i="1"/>
  <c r="N50" i="1"/>
  <c r="M50" i="1"/>
  <c r="Y49" i="1"/>
  <c r="V49" i="1"/>
  <c r="S49" i="1"/>
  <c r="M49" i="1"/>
  <c r="Y48" i="1"/>
  <c r="V48" i="1"/>
  <c r="S48" i="1"/>
  <c r="M48" i="1"/>
  <c r="Y47" i="1"/>
  <c r="V47" i="1"/>
  <c r="S47" i="1"/>
  <c r="M47" i="1"/>
  <c r="Y46" i="1"/>
  <c r="V46" i="1"/>
  <c r="S46" i="1"/>
  <c r="M46" i="1"/>
  <c r="Y45" i="1"/>
  <c r="V45" i="1"/>
  <c r="S45" i="1"/>
  <c r="M45" i="1"/>
  <c r="Y44" i="1"/>
  <c r="V44" i="1"/>
  <c r="S44" i="1"/>
  <c r="M44" i="1"/>
  <c r="Y43" i="1"/>
  <c r="V43" i="1"/>
  <c r="S43" i="1"/>
  <c r="M43" i="1"/>
  <c r="Y42" i="1"/>
  <c r="V42" i="1"/>
  <c r="S42" i="1"/>
  <c r="M42" i="1"/>
  <c r="Z41" i="1"/>
  <c r="X41" i="1"/>
  <c r="W41" i="1"/>
  <c r="AA40" i="1"/>
  <c r="Z40" i="1"/>
  <c r="Y40" i="1"/>
  <c r="X40" i="1"/>
  <c r="W40" i="1"/>
  <c r="V40" i="1"/>
  <c r="U40" i="1"/>
  <c r="T40" i="1"/>
  <c r="S40" i="1"/>
  <c r="R40" i="1"/>
  <c r="P40" i="1"/>
  <c r="O40" i="1"/>
  <c r="N40" i="1"/>
  <c r="M40" i="1"/>
  <c r="L40" i="1"/>
  <c r="J40" i="1"/>
  <c r="Y39" i="1"/>
  <c r="V39" i="1"/>
  <c r="S39" i="1"/>
  <c r="M39" i="1"/>
  <c r="Y38" i="1"/>
  <c r="V38" i="1"/>
  <c r="S38" i="1"/>
  <c r="M38" i="1"/>
  <c r="Y37" i="1"/>
  <c r="V37" i="1"/>
  <c r="S37" i="1"/>
  <c r="M37" i="1"/>
  <c r="Y36" i="1"/>
  <c r="V36" i="1"/>
  <c r="S36" i="1"/>
  <c r="M36" i="1"/>
  <c r="AA35" i="1"/>
  <c r="Z35" i="1"/>
  <c r="Y35" i="1"/>
  <c r="X35" i="1"/>
  <c r="W35" i="1"/>
  <c r="V35" i="1"/>
  <c r="U35" i="1"/>
  <c r="T35" i="1"/>
  <c r="S35" i="1"/>
  <c r="R35" i="1"/>
  <c r="P35" i="1"/>
  <c r="O35" i="1"/>
  <c r="N35" i="1"/>
  <c r="M35" i="1"/>
  <c r="L35" i="1"/>
  <c r="J35" i="1"/>
  <c r="Y34" i="1"/>
  <c r="V34" i="1"/>
  <c r="S34" i="1"/>
  <c r="M34" i="1"/>
  <c r="Y33" i="1"/>
  <c r="V33" i="1"/>
  <c r="S33" i="1"/>
  <c r="M33" i="1"/>
  <c r="Y32" i="1"/>
  <c r="V32" i="1"/>
  <c r="S32" i="1"/>
  <c r="M32" i="1"/>
  <c r="Y31" i="1"/>
  <c r="V31" i="1"/>
  <c r="S31" i="1"/>
  <c r="M31" i="1"/>
  <c r="AA30" i="1"/>
  <c r="Z30" i="1"/>
  <c r="Y30" i="1"/>
  <c r="X30" i="1"/>
  <c r="W30" i="1"/>
  <c r="V30" i="1"/>
  <c r="U30" i="1"/>
  <c r="T30" i="1"/>
  <c r="S30" i="1"/>
  <c r="R30" i="1"/>
  <c r="P30" i="1"/>
  <c r="O30" i="1"/>
  <c r="N30" i="1"/>
  <c r="M30" i="1"/>
  <c r="L30" i="1"/>
  <c r="J30" i="1"/>
  <c r="Y29" i="1"/>
  <c r="V29" i="1"/>
  <c r="S29" i="1"/>
  <c r="M29" i="1"/>
  <c r="Y28" i="1"/>
  <c r="V28" i="1"/>
  <c r="S28" i="1"/>
  <c r="M28" i="1"/>
  <c r="Y27" i="1"/>
  <c r="V27" i="1"/>
  <c r="S27" i="1"/>
  <c r="M27" i="1"/>
  <c r="Y26" i="1"/>
  <c r="V26" i="1"/>
  <c r="S26" i="1"/>
  <c r="M26" i="1"/>
  <c r="AA25" i="1"/>
  <c r="Z25" i="1"/>
  <c r="Y25" i="1"/>
  <c r="X25" i="1"/>
  <c r="W25" i="1"/>
  <c r="V25" i="1"/>
  <c r="U25" i="1"/>
  <c r="T25" i="1"/>
  <c r="S25" i="1"/>
  <c r="R25" i="1"/>
  <c r="P25" i="1"/>
  <c r="O25" i="1"/>
  <c r="N25" i="1"/>
  <c r="M25" i="1"/>
  <c r="L25" i="1"/>
  <c r="J25" i="1"/>
  <c r="AA24" i="1"/>
  <c r="Z24" i="1"/>
  <c r="Y24" i="1"/>
  <c r="U24" i="1"/>
  <c r="T24" i="1"/>
  <c r="S24" i="1"/>
  <c r="O24" i="1"/>
  <c r="N24" i="1"/>
  <c r="M24" i="1"/>
  <c r="Y23" i="1"/>
  <c r="V23" i="1"/>
  <c r="S23" i="1"/>
  <c r="M23" i="1"/>
  <c r="Y22" i="1"/>
  <c r="V22" i="1"/>
  <c r="S22" i="1"/>
  <c r="M22" i="1"/>
  <c r="Y21" i="1"/>
  <c r="V21" i="1"/>
  <c r="S21" i="1"/>
  <c r="M21" i="1"/>
  <c r="Y20" i="1"/>
  <c r="V20" i="1"/>
  <c r="S20" i="1"/>
  <c r="M20" i="1"/>
  <c r="Y19" i="1"/>
  <c r="V19" i="1"/>
  <c r="S19" i="1"/>
  <c r="M19" i="1"/>
  <c r="AA18" i="1"/>
  <c r="Z18" i="1"/>
  <c r="Y18" i="1"/>
  <c r="X18" i="1"/>
  <c r="W18" i="1"/>
  <c r="V18" i="1"/>
  <c r="U18" i="1"/>
  <c r="T18" i="1"/>
  <c r="S18" i="1"/>
  <c r="R18" i="1"/>
  <c r="P18" i="1"/>
  <c r="O18" i="1"/>
  <c r="N18" i="1"/>
  <c r="M18" i="1"/>
  <c r="L18" i="1"/>
  <c r="J18" i="1"/>
  <c r="AA17" i="1"/>
  <c r="Z17" i="1"/>
  <c r="Y17" i="1"/>
  <c r="U17" i="1"/>
  <c r="T17" i="1"/>
  <c r="S17" i="1"/>
  <c r="O17" i="1"/>
  <c r="N17" i="1"/>
  <c r="M17" i="1"/>
  <c r="AA16" i="1"/>
  <c r="Z16" i="1"/>
  <c r="Y16" i="1"/>
  <c r="U16" i="1"/>
  <c r="T16" i="1"/>
  <c r="S16" i="1"/>
  <c r="O16" i="1"/>
  <c r="N16" i="1"/>
  <c r="M16" i="1"/>
  <c r="Y15" i="1"/>
  <c r="V15" i="1"/>
  <c r="S15" i="1"/>
  <c r="M15" i="1"/>
  <c r="AA14" i="1"/>
  <c r="Z14" i="1"/>
  <c r="Y14" i="1"/>
  <c r="X14" i="1"/>
  <c r="W14" i="1"/>
  <c r="V14" i="1"/>
  <c r="U14" i="1"/>
  <c r="T14" i="1"/>
  <c r="S14" i="1"/>
  <c r="R14" i="1"/>
  <c r="P14" i="1"/>
  <c r="O14" i="1"/>
  <c r="N14" i="1"/>
  <c r="M14" i="1"/>
  <c r="L14" i="1"/>
  <c r="J14" i="1"/>
  <c r="AA13" i="1"/>
  <c r="Z13" i="1"/>
  <c r="Y13" i="1"/>
  <c r="U13" i="1"/>
  <c r="T13" i="1"/>
  <c r="S13" i="1"/>
  <c r="O13" i="1"/>
  <c r="N13" i="1"/>
  <c r="M13" i="1"/>
  <c r="AA12" i="1"/>
  <c r="Z12" i="1"/>
  <c r="Y12" i="1"/>
  <c r="U12" i="1"/>
  <c r="T12" i="1"/>
  <c r="S12" i="1"/>
  <c r="O12" i="1"/>
  <c r="N12" i="1"/>
  <c r="M12" i="1"/>
  <c r="AA11" i="1"/>
  <c r="Z11" i="1"/>
  <c r="Y11" i="1"/>
  <c r="U11" i="1"/>
  <c r="T11" i="1"/>
  <c r="S11" i="1"/>
  <c r="O11" i="1"/>
  <c r="N11" i="1"/>
  <c r="M11" i="1"/>
  <c r="AA10" i="1"/>
  <c r="Z10" i="1"/>
  <c r="Y10" i="1"/>
  <c r="U10" i="1"/>
  <c r="T10" i="1"/>
  <c r="S10" i="1"/>
  <c r="O10" i="1"/>
  <c r="N10" i="1"/>
  <c r="M10" i="1"/>
  <c r="AA9" i="1"/>
  <c r="Z9" i="1"/>
  <c r="Y9" i="1"/>
  <c r="U9" i="1"/>
  <c r="T9" i="1"/>
  <c r="S9" i="1"/>
  <c r="O9" i="1"/>
  <c r="N9" i="1"/>
  <c r="M9" i="1"/>
  <c r="AA8" i="1"/>
  <c r="Z8" i="1"/>
  <c r="Y8" i="1"/>
  <c r="U8" i="1"/>
  <c r="T8" i="1"/>
  <c r="S8" i="1"/>
  <c r="O8" i="1"/>
  <c r="N8" i="1"/>
  <c r="M8" i="1"/>
  <c r="O131" i="3" l="1"/>
  <c r="M99" i="3"/>
  <c r="O99" i="3" s="1"/>
  <c r="L99" i="3"/>
  <c r="S324" i="3"/>
  <c r="R324" i="3"/>
  <c r="X324" i="3" s="1"/>
  <c r="V324" i="3"/>
  <c r="M178" i="3"/>
  <c r="O178" i="3" s="1"/>
  <c r="L178" i="3"/>
  <c r="U227" i="3"/>
  <c r="Y227" i="3"/>
  <c r="AA227" i="3" s="1"/>
  <c r="S55" i="3"/>
  <c r="R55" i="3"/>
  <c r="X55" i="3" s="1"/>
  <c r="V55" i="3"/>
  <c r="Y99" i="3"/>
  <c r="AA99" i="3" s="1"/>
  <c r="U99" i="3"/>
  <c r="R384" i="3"/>
  <c r="X384" i="3" s="1"/>
  <c r="S384" i="3"/>
  <c r="V384" i="3"/>
  <c r="S398" i="3"/>
  <c r="V398" i="3"/>
  <c r="R398" i="3"/>
  <c r="X398" i="3" s="1"/>
  <c r="V317" i="3"/>
  <c r="S317" i="3"/>
  <c r="R317" i="3"/>
  <c r="X317" i="3" s="1"/>
  <c r="U377" i="3"/>
  <c r="Y377" i="3"/>
  <c r="AA377" i="3" s="1"/>
  <c r="U188" i="3"/>
  <c r="Y188" i="3"/>
  <c r="AA188" i="3" s="1"/>
  <c r="S67" i="3"/>
  <c r="R67" i="3"/>
  <c r="X67" i="3" s="1"/>
  <c r="V67" i="3"/>
  <c r="U71" i="3"/>
  <c r="Y71" i="3"/>
  <c r="AA71" i="3" s="1"/>
  <c r="Z425" i="3"/>
  <c r="U24" i="3"/>
  <c r="V126" i="3"/>
  <c r="S126" i="3"/>
  <c r="R126" i="3"/>
  <c r="X126" i="3" s="1"/>
  <c r="L40" i="3"/>
  <c r="M40" i="3"/>
  <c r="O40" i="3" s="1"/>
  <c r="U178" i="3"/>
  <c r="Y178" i="3"/>
  <c r="AA178" i="3" s="1"/>
  <c r="V116" i="3"/>
  <c r="S116" i="3"/>
  <c r="R116" i="3"/>
  <c r="X116" i="3" s="1"/>
  <c r="M54" i="3"/>
  <c r="O55" i="3"/>
  <c r="O54" i="3" s="1"/>
  <c r="M420" i="3"/>
  <c r="M419" i="3" s="1"/>
  <c r="M402" i="3" s="1"/>
  <c r="M401" i="3" s="1"/>
  <c r="O421" i="3"/>
  <c r="O420" i="3" s="1"/>
  <c r="O419" i="3" s="1"/>
  <c r="S310" i="3"/>
  <c r="R310" i="3"/>
  <c r="X310" i="3" s="1"/>
  <c r="V310" i="3"/>
  <c r="V238" i="3"/>
  <c r="S238" i="3"/>
  <c r="R238" i="3"/>
  <c r="X238" i="3" s="1"/>
  <c r="U396" i="3"/>
  <c r="Y396" i="3"/>
  <c r="AA396" i="3" s="1"/>
  <c r="S234" i="3"/>
  <c r="V234" i="3"/>
  <c r="R234" i="3"/>
  <c r="X234" i="3" s="1"/>
  <c r="V230" i="3"/>
  <c r="R230" i="3"/>
  <c r="X230" i="3" s="1"/>
  <c r="S230" i="3"/>
  <c r="Z129" i="3"/>
  <c r="O317" i="3"/>
  <c r="U162" i="3"/>
  <c r="Y162" i="3"/>
  <c r="AA162" i="3" s="1"/>
  <c r="AA425" i="3"/>
  <c r="V183" i="3"/>
  <c r="S183" i="3"/>
  <c r="R183" i="3"/>
  <c r="X183" i="3" s="1"/>
  <c r="S13" i="3"/>
  <c r="U14" i="3"/>
  <c r="U13" i="3" s="1"/>
  <c r="Y14" i="3"/>
  <c r="M134" i="3"/>
  <c r="O134" i="3" s="1"/>
  <c r="L134" i="3"/>
  <c r="M361" i="3"/>
  <c r="M360" i="3" s="1"/>
  <c r="O362" i="3"/>
  <c r="O361" i="3" s="1"/>
  <c r="O360" i="3" s="1"/>
  <c r="R202" i="3"/>
  <c r="X202" i="3" s="1"/>
  <c r="V202" i="3"/>
  <c r="S202" i="3"/>
  <c r="S109" i="3"/>
  <c r="V109" i="3"/>
  <c r="R109" i="3"/>
  <c r="X109" i="3" s="1"/>
  <c r="S347" i="3"/>
  <c r="R347" i="3"/>
  <c r="X347" i="3" s="1"/>
  <c r="V347" i="3"/>
  <c r="O301" i="3"/>
  <c r="O300" i="3" s="1"/>
  <c r="M300" i="3"/>
  <c r="S220" i="3"/>
  <c r="V220" i="3"/>
  <c r="R220" i="3"/>
  <c r="X220" i="3" s="1"/>
  <c r="M139" i="3"/>
  <c r="O139" i="3" s="1"/>
  <c r="L139" i="3"/>
  <c r="R207" i="3"/>
  <c r="X207" i="3" s="1"/>
  <c r="V207" i="3"/>
  <c r="S207" i="3"/>
  <c r="S341" i="3"/>
  <c r="R341" i="3"/>
  <c r="X341" i="3" s="1"/>
  <c r="V341" i="3"/>
  <c r="V80" i="3"/>
  <c r="S80" i="3"/>
  <c r="R80" i="3"/>
  <c r="X80" i="3" s="1"/>
  <c r="S224" i="3"/>
  <c r="R224" i="3"/>
  <c r="X224" i="3" s="1"/>
  <c r="V224" i="3"/>
  <c r="U144" i="3"/>
  <c r="Y144" i="3"/>
  <c r="AA144" i="3" s="1"/>
  <c r="Y46" i="3"/>
  <c r="S45" i="3"/>
  <c r="U46" i="3"/>
  <c r="U45" i="3" s="1"/>
  <c r="T129" i="3"/>
  <c r="Y104" i="3"/>
  <c r="AA104" i="3" s="1"/>
  <c r="U104" i="3"/>
  <c r="Y88" i="3"/>
  <c r="AA88" i="3" s="1"/>
  <c r="U88" i="3"/>
  <c r="S58" i="3"/>
  <c r="R58" i="3"/>
  <c r="X58" i="3" s="1"/>
  <c r="V58" i="3"/>
  <c r="O18" i="3"/>
  <c r="O17" i="3" s="1"/>
  <c r="M17" i="3"/>
  <c r="Y415" i="3"/>
  <c r="S414" i="3"/>
  <c r="S410" i="3" s="1"/>
  <c r="U415" i="3"/>
  <c r="U414" i="3" s="1"/>
  <c r="U410" i="3" s="1"/>
  <c r="U402" i="3" s="1"/>
  <c r="U401" i="3" s="1"/>
  <c r="U241" i="3"/>
  <c r="Y241" i="3"/>
  <c r="AA241" i="3" s="1"/>
  <c r="R174" i="3"/>
  <c r="X174" i="3" s="1"/>
  <c r="V174" i="3"/>
  <c r="S174" i="3"/>
  <c r="Y217" i="3"/>
  <c r="AA217" i="3" s="1"/>
  <c r="U217" i="3"/>
  <c r="U131" i="3"/>
  <c r="Y131" i="3"/>
  <c r="M94" i="3"/>
  <c r="L94" i="3"/>
  <c r="V152" i="3"/>
  <c r="S152" i="3"/>
  <c r="R152" i="3"/>
  <c r="X152" i="3" s="1"/>
  <c r="U134" i="3"/>
  <c r="Y134" i="3"/>
  <c r="AA134" i="3" s="1"/>
  <c r="U351" i="3"/>
  <c r="Y351" i="3"/>
  <c r="AA351" i="3" s="1"/>
  <c r="S213" i="3"/>
  <c r="R213" i="3"/>
  <c r="X213" i="3" s="1"/>
  <c r="V213" i="3"/>
  <c r="R192" i="3"/>
  <c r="X192" i="3" s="1"/>
  <c r="V192" i="3"/>
  <c r="S192" i="3"/>
  <c r="U76" i="3"/>
  <c r="Y76" i="3"/>
  <c r="AA76" i="3" s="1"/>
  <c r="R387" i="3"/>
  <c r="X387" i="3" s="1"/>
  <c r="V387" i="3"/>
  <c r="S387" i="3"/>
  <c r="S368" i="3"/>
  <c r="V368" i="3"/>
  <c r="R368" i="3"/>
  <c r="X368" i="3" s="1"/>
  <c r="V304" i="3"/>
  <c r="S304" i="3"/>
  <c r="R304" i="3"/>
  <c r="X304" i="3" s="1"/>
  <c r="R197" i="3"/>
  <c r="X197" i="3" s="1"/>
  <c r="V197" i="3"/>
  <c r="S197" i="3"/>
  <c r="M230" i="3"/>
  <c r="O230" i="3" s="1"/>
  <c r="L230" i="3"/>
  <c r="V157" i="3"/>
  <c r="S157" i="3"/>
  <c r="R157" i="3"/>
  <c r="X157" i="3" s="1"/>
  <c r="U334" i="3"/>
  <c r="Y334" i="3"/>
  <c r="AA334" i="3" s="1"/>
  <c r="V91" i="3"/>
  <c r="R91" i="3"/>
  <c r="X91" i="3" s="1"/>
  <c r="S91" i="3"/>
  <c r="N9" i="3"/>
  <c r="N8" i="3" s="1"/>
  <c r="N428" i="3" s="1"/>
  <c r="L35" i="3"/>
  <c r="M35" i="3"/>
  <c r="U421" i="3"/>
  <c r="U420" i="3" s="1"/>
  <c r="U419" i="3" s="1"/>
  <c r="Y421" i="3"/>
  <c r="S420" i="3"/>
  <c r="S419" i="3" s="1"/>
  <c r="U380" i="3"/>
  <c r="Y380" i="3"/>
  <c r="AA380" i="3" s="1"/>
  <c r="V301" i="3"/>
  <c r="S301" i="3"/>
  <c r="R301" i="3"/>
  <c r="X301" i="3" s="1"/>
  <c r="U313" i="3"/>
  <c r="Y313" i="3"/>
  <c r="AA313" i="3" s="1"/>
  <c r="S94" i="3"/>
  <c r="R94" i="3"/>
  <c r="X94" i="3" s="1"/>
  <c r="V94" i="3"/>
  <c r="V170" i="3"/>
  <c r="S170" i="3"/>
  <c r="R170" i="3"/>
  <c r="X170" i="3" s="1"/>
  <c r="S210" i="3"/>
  <c r="R210" i="3"/>
  <c r="X210" i="3" s="1"/>
  <c r="V210" i="3"/>
  <c r="R148" i="3"/>
  <c r="X148" i="3" s="1"/>
  <c r="V148" i="3"/>
  <c r="S148" i="3"/>
  <c r="U82" i="3"/>
  <c r="Y82" i="3"/>
  <c r="AA82" i="3" s="1"/>
  <c r="Z16" i="3"/>
  <c r="Z12" i="3" s="1"/>
  <c r="Z11" i="3" s="1"/>
  <c r="Z10" i="3" s="1"/>
  <c r="M45" i="3"/>
  <c r="O46" i="3"/>
  <c r="O45" i="3" s="1"/>
  <c r="Y331" i="3"/>
  <c r="AA331" i="3" s="1"/>
  <c r="U331" i="3"/>
  <c r="S344" i="3"/>
  <c r="R344" i="3"/>
  <c r="X344" i="3" s="1"/>
  <c r="V344" i="3"/>
  <c r="Z52" i="3"/>
  <c r="Z51" i="3" s="1"/>
  <c r="Z50" i="3" s="1"/>
  <c r="S321" i="3"/>
  <c r="R321" i="3"/>
  <c r="X321" i="3" s="1"/>
  <c r="V321" i="3"/>
  <c r="R390" i="3"/>
  <c r="X390" i="3" s="1"/>
  <c r="V390" i="3"/>
  <c r="S390" i="3"/>
  <c r="L347" i="3"/>
  <c r="M347" i="3"/>
  <c r="O347" i="3" s="1"/>
  <c r="AA25" i="3"/>
  <c r="AA24" i="3" s="1"/>
  <c r="Y24" i="3"/>
  <c r="S62" i="3"/>
  <c r="R62" i="3"/>
  <c r="X62" i="3" s="1"/>
  <c r="V62" i="3"/>
  <c r="AA405" i="3"/>
  <c r="AA404" i="3" s="1"/>
  <c r="AA403" i="3" s="1"/>
  <c r="Z404" i="3"/>
  <c r="Z403" i="3" s="1"/>
  <c r="Z402" i="3" s="1"/>
  <c r="Z401" i="3" s="1"/>
  <c r="S394" i="3"/>
  <c r="V394" i="3"/>
  <c r="R394" i="3"/>
  <c r="X394" i="3" s="1"/>
  <c r="M183" i="3"/>
  <c r="O183" i="3" s="1"/>
  <c r="L183" i="3"/>
  <c r="M393" i="3"/>
  <c r="O394" i="3"/>
  <c r="O393" i="3" s="1"/>
  <c r="T9" i="3"/>
  <c r="T8" i="3" s="1"/>
  <c r="T428" i="3" s="1"/>
  <c r="V139" i="3"/>
  <c r="S139" i="3"/>
  <c r="R139" i="3"/>
  <c r="X139" i="3" s="1"/>
  <c r="V356" i="3"/>
  <c r="S356" i="3"/>
  <c r="R356" i="3"/>
  <c r="X356" i="3" s="1"/>
  <c r="O410" i="3"/>
  <c r="O402" i="3" s="1"/>
  <c r="O401" i="3" s="1"/>
  <c r="U338" i="3"/>
  <c r="Y338" i="3"/>
  <c r="AA338" i="3" s="1"/>
  <c r="U270" i="3"/>
  <c r="Y270" i="3"/>
  <c r="AA270" i="3" s="1"/>
  <c r="M157" i="3"/>
  <c r="O157" i="3" s="1"/>
  <c r="L157" i="3"/>
  <c r="R166" i="3"/>
  <c r="X166" i="3" s="1"/>
  <c r="V166" i="3"/>
  <c r="S166" i="3"/>
  <c r="T52" i="3"/>
  <c r="T51" i="3" s="1"/>
  <c r="T50" i="3" s="1"/>
  <c r="R18" i="3"/>
  <c r="X18" i="3" s="1"/>
  <c r="V18" i="3"/>
  <c r="S18" i="3"/>
  <c r="U60" i="3"/>
  <c r="Y60" i="3"/>
  <c r="AA60" i="3" s="1"/>
  <c r="O85" i="3"/>
  <c r="O84" i="3" s="1"/>
  <c r="M84" i="3"/>
  <c r="V85" i="3"/>
  <c r="S85" i="3"/>
  <c r="R85" i="3"/>
  <c r="X85" i="3" s="1"/>
  <c r="Y210" i="3" l="1"/>
  <c r="AA210" i="3" s="1"/>
  <c r="U210" i="3"/>
  <c r="AA421" i="3"/>
  <c r="AA420" i="3" s="1"/>
  <c r="AA419" i="3" s="1"/>
  <c r="AA402" i="3" s="1"/>
  <c r="AA401" i="3" s="1"/>
  <c r="Y420" i="3"/>
  <c r="Y419" i="3" s="1"/>
  <c r="AA415" i="3"/>
  <c r="AA414" i="3" s="1"/>
  <c r="AA410" i="3" s="1"/>
  <c r="Y414" i="3"/>
  <c r="Y410" i="3" s="1"/>
  <c r="Y402" i="3" s="1"/>
  <c r="Y401" i="3" s="1"/>
  <c r="Y109" i="3"/>
  <c r="AA109" i="3" s="1"/>
  <c r="U109" i="3"/>
  <c r="Y344" i="3"/>
  <c r="AA344" i="3" s="1"/>
  <c r="U344" i="3"/>
  <c r="U170" i="3"/>
  <c r="Y170" i="3"/>
  <c r="AA170" i="3" s="1"/>
  <c r="S300" i="3"/>
  <c r="U301" i="3"/>
  <c r="Y301" i="3"/>
  <c r="Y174" i="3"/>
  <c r="AA174" i="3" s="1"/>
  <c r="U174" i="3"/>
  <c r="M16" i="3"/>
  <c r="M12" i="3" s="1"/>
  <c r="M11" i="3" s="1"/>
  <c r="M10" i="3" s="1"/>
  <c r="Y207" i="3"/>
  <c r="AA207" i="3" s="1"/>
  <c r="U207" i="3"/>
  <c r="Y202" i="3"/>
  <c r="AA202" i="3" s="1"/>
  <c r="U202" i="3"/>
  <c r="M316" i="3"/>
  <c r="Y234" i="3"/>
  <c r="AA234" i="3" s="1"/>
  <c r="U234" i="3"/>
  <c r="Y310" i="3"/>
  <c r="AA310" i="3" s="1"/>
  <c r="U310" i="3"/>
  <c r="Y55" i="3"/>
  <c r="U55" i="3"/>
  <c r="S54" i="3"/>
  <c r="Y356" i="3"/>
  <c r="AA356" i="3" s="1"/>
  <c r="U356" i="3"/>
  <c r="Y148" i="3"/>
  <c r="AA148" i="3" s="1"/>
  <c r="U148" i="3"/>
  <c r="U130" i="3" s="1"/>
  <c r="O35" i="3"/>
  <c r="O24" i="3" s="1"/>
  <c r="M24" i="3"/>
  <c r="Y213" i="3"/>
  <c r="AA213" i="3" s="1"/>
  <c r="U213" i="3"/>
  <c r="O16" i="3"/>
  <c r="O12" i="3" s="1"/>
  <c r="O11" i="3" s="1"/>
  <c r="O10" i="3" s="1"/>
  <c r="Y224" i="3"/>
  <c r="AA224" i="3" s="1"/>
  <c r="U224" i="3"/>
  <c r="S12" i="3"/>
  <c r="S11" i="3" s="1"/>
  <c r="S10" i="3" s="1"/>
  <c r="O316" i="3"/>
  <c r="Y384" i="3"/>
  <c r="S383" i="3"/>
  <c r="U384" i="3"/>
  <c r="U383" i="3" s="1"/>
  <c r="O130" i="3"/>
  <c r="O129" i="3" s="1"/>
  <c r="Y166" i="3"/>
  <c r="AA166" i="3" s="1"/>
  <c r="U166" i="3"/>
  <c r="Y390" i="3"/>
  <c r="AA390" i="3" s="1"/>
  <c r="U390" i="3"/>
  <c r="U220" i="3"/>
  <c r="Y220" i="3"/>
  <c r="AA220" i="3" s="1"/>
  <c r="Y324" i="3"/>
  <c r="AA324" i="3" s="1"/>
  <c r="U324" i="3"/>
  <c r="Y18" i="3"/>
  <c r="S17" i="3"/>
  <c r="S16" i="3" s="1"/>
  <c r="U18" i="3"/>
  <c r="U17" i="3" s="1"/>
  <c r="U16" i="3" s="1"/>
  <c r="U12" i="3" s="1"/>
  <c r="U11" i="3" s="1"/>
  <c r="U10" i="3" s="1"/>
  <c r="Y62" i="3"/>
  <c r="AA62" i="3" s="1"/>
  <c r="U62" i="3"/>
  <c r="U157" i="3"/>
  <c r="Y157" i="3"/>
  <c r="AA157" i="3" s="1"/>
  <c r="U304" i="3"/>
  <c r="Y304" i="3"/>
  <c r="AA304" i="3" s="1"/>
  <c r="M93" i="3"/>
  <c r="O94" i="3"/>
  <c r="O93" i="3" s="1"/>
  <c r="O53" i="3" s="1"/>
  <c r="O52" i="3" s="1"/>
  <c r="O51" i="3" s="1"/>
  <c r="O50" i="3" s="1"/>
  <c r="S84" i="3"/>
  <c r="Y85" i="3"/>
  <c r="U85" i="3"/>
  <c r="AA131" i="3"/>
  <c r="Y80" i="3"/>
  <c r="AA80" i="3" s="1"/>
  <c r="U80" i="3"/>
  <c r="U183" i="3"/>
  <c r="Y183" i="3"/>
  <c r="AA183" i="3" s="1"/>
  <c r="Y230" i="3"/>
  <c r="AA230" i="3" s="1"/>
  <c r="U230" i="3"/>
  <c r="S316" i="3"/>
  <c r="Y317" i="3"/>
  <c r="U317" i="3"/>
  <c r="U316" i="3" s="1"/>
  <c r="M130" i="3"/>
  <c r="M129" i="3" s="1"/>
  <c r="Y197" i="3"/>
  <c r="AA197" i="3" s="1"/>
  <c r="U197" i="3"/>
  <c r="Y368" i="3"/>
  <c r="S361" i="3"/>
  <c r="S360" i="3" s="1"/>
  <c r="U368" i="3"/>
  <c r="U361" i="3" s="1"/>
  <c r="U360" i="3" s="1"/>
  <c r="S402" i="3"/>
  <c r="S401" i="3" s="1"/>
  <c r="U116" i="3"/>
  <c r="Y116" i="3"/>
  <c r="AA116" i="3" s="1"/>
  <c r="Y387" i="3"/>
  <c r="AA387" i="3" s="1"/>
  <c r="U387" i="3"/>
  <c r="U152" i="3"/>
  <c r="Y152" i="3"/>
  <c r="AA152" i="3" s="1"/>
  <c r="U341" i="3"/>
  <c r="Y341" i="3"/>
  <c r="AA341" i="3" s="1"/>
  <c r="Y13" i="3"/>
  <c r="AA14" i="3"/>
  <c r="AA13" i="3" s="1"/>
  <c r="Y398" i="3"/>
  <c r="AA398" i="3" s="1"/>
  <c r="U398" i="3"/>
  <c r="U139" i="3"/>
  <c r="Y139" i="3"/>
  <c r="AA139" i="3" s="1"/>
  <c r="Y321" i="3"/>
  <c r="AA321" i="3" s="1"/>
  <c r="U321" i="3"/>
  <c r="Y94" i="3"/>
  <c r="S93" i="3"/>
  <c r="U94" i="3"/>
  <c r="Y91" i="3"/>
  <c r="AA91" i="3" s="1"/>
  <c r="U91" i="3"/>
  <c r="Y192" i="3"/>
  <c r="AA192" i="3" s="1"/>
  <c r="U192" i="3"/>
  <c r="Y58" i="3"/>
  <c r="AA58" i="3" s="1"/>
  <c r="U58" i="3"/>
  <c r="AA46" i="3"/>
  <c r="AA45" i="3" s="1"/>
  <c r="Y45" i="3"/>
  <c r="U347" i="3"/>
  <c r="Y347" i="3"/>
  <c r="AA347" i="3" s="1"/>
  <c r="Y238" i="3"/>
  <c r="AA238" i="3" s="1"/>
  <c r="U238" i="3"/>
  <c r="M53" i="3"/>
  <c r="Y394" i="3"/>
  <c r="S393" i="3"/>
  <c r="U394" i="3"/>
  <c r="U393" i="3" s="1"/>
  <c r="Z9" i="3"/>
  <c r="Z8" i="3" s="1"/>
  <c r="Z428" i="3" s="1"/>
  <c r="S130" i="3"/>
  <c r="S129" i="3" s="1"/>
  <c r="U126" i="3"/>
  <c r="Y126" i="3"/>
  <c r="AA126" i="3" s="1"/>
  <c r="Y67" i="3"/>
  <c r="AA67" i="3" s="1"/>
  <c r="U67" i="3"/>
  <c r="M52" i="3" l="1"/>
  <c r="M51" i="3" s="1"/>
  <c r="M50" i="3" s="1"/>
  <c r="M9" i="3" s="1"/>
  <c r="M8" i="3" s="1"/>
  <c r="M428" i="3" s="1"/>
  <c r="O428" i="3" s="1"/>
  <c r="U84" i="3"/>
  <c r="U54" i="3"/>
  <c r="AA85" i="3"/>
  <c r="AA84" i="3" s="1"/>
  <c r="Y84" i="3"/>
  <c r="Y383" i="3"/>
  <c r="AA384" i="3"/>
  <c r="AA383" i="3" s="1"/>
  <c r="AA55" i="3"/>
  <c r="AA54" i="3" s="1"/>
  <c r="Y54" i="3"/>
  <c r="AA394" i="3"/>
  <c r="AA393" i="3" s="1"/>
  <c r="Y393" i="3"/>
  <c r="S9" i="3"/>
  <c r="S8" i="3" s="1"/>
  <c r="S428" i="3" s="1"/>
  <c r="U428" i="3" s="1"/>
  <c r="AA94" i="3"/>
  <c r="AA93" i="3" s="1"/>
  <c r="Y93" i="3"/>
  <c r="AA130" i="3"/>
  <c r="S53" i="3"/>
  <c r="S52" i="3" s="1"/>
  <c r="S51" i="3" s="1"/>
  <c r="S50" i="3" s="1"/>
  <c r="AA301" i="3"/>
  <c r="AA300" i="3" s="1"/>
  <c r="Y300" i="3"/>
  <c r="AA368" i="3"/>
  <c r="AA361" i="3" s="1"/>
  <c r="AA360" i="3" s="1"/>
  <c r="Y361" i="3"/>
  <c r="U300" i="3"/>
  <c r="U129" i="3" s="1"/>
  <c r="U93" i="3"/>
  <c r="AA317" i="3"/>
  <c r="AA316" i="3" s="1"/>
  <c r="Y316" i="3"/>
  <c r="Y17" i="3"/>
  <c r="Y16" i="3" s="1"/>
  <c r="Y12" i="3" s="1"/>
  <c r="Y11" i="3" s="1"/>
  <c r="Y10" i="3" s="1"/>
  <c r="AA18" i="3"/>
  <c r="AA17" i="3" s="1"/>
  <c r="AA16" i="3" s="1"/>
  <c r="AA12" i="3" s="1"/>
  <c r="AA11" i="3" s="1"/>
  <c r="AA10" i="3" s="1"/>
  <c r="Y130" i="3"/>
  <c r="Y129" i="3" s="1"/>
  <c r="O9" i="3"/>
  <c r="O8" i="3" s="1"/>
  <c r="U53" i="3" l="1"/>
  <c r="U52" i="3" s="1"/>
  <c r="U51" i="3" s="1"/>
  <c r="U50" i="3" s="1"/>
  <c r="U9" i="3" s="1"/>
  <c r="U8" i="3" s="1"/>
  <c r="AA129" i="3"/>
  <c r="AA53" i="3"/>
  <c r="AA52" i="3" s="1"/>
  <c r="AA51" i="3" s="1"/>
  <c r="AA50" i="3" s="1"/>
  <c r="AA9" i="3" s="1"/>
  <c r="AA8" i="3" s="1"/>
  <c r="Y360" i="3"/>
  <c r="Y53" i="3"/>
  <c r="Y52" i="3" s="1"/>
  <c r="Y51" i="3" s="1"/>
  <c r="Y50" i="3" s="1"/>
  <c r="Y9" i="3" s="1"/>
  <c r="Y8" i="3" s="1"/>
  <c r="Y428" i="3" s="1"/>
  <c r="AA428" i="3" s="1"/>
</calcChain>
</file>

<file path=xl/sharedStrings.xml><?xml version="1.0" encoding="utf-8"?>
<sst xmlns="http://schemas.openxmlformats.org/spreadsheetml/2006/main" count="9313" uniqueCount="1883">
  <si>
    <t>Указать название организации (на бланке организации)</t>
  </si>
  <si>
    <t>{"tkp_id":null,"is_full":true,"with_vat":true,"price_type":"c4c5aea1-b5cd-11e8-80e5-005056881952","estimate_id":5132304,"estimate_version_id":6776104,"tkp_form_id":null,"fill_recommended_prices":true}</t>
  </si>
  <si>
    <t>5</t>
  </si>
  <si>
    <t>r6B+UUt29XxJz9ywIk+81nddLXwrBu1xgbVb3xq8NYA/NOX7Ue0NunCO2BAE7npoSDYd6bXb1PvDZg3lzGihWRjrV+fhP9UrhiA8m4fpvrjPMVcfbIWLHL/FYxYdcnWBgBThBLOfnRoBXxEwdlWBjO4+xskMX5l9o/rC2X/Dr8U=</t>
  </si>
  <si>
    <t>ТЕХНИКО-КОММЕРЧЕСКОЕ ПРЕДЛОЖЕНИЕ (ТКП)</t>
  </si>
  <si>
    <t>г. Москва, Волоколамское ш., Покровское, вл. 71/14, СОШ 1, 850 мест</t>
  </si>
  <si>
    <t>Стоимость, указанная в предложении, включает в себя все необходимые затраты на выполнение полного комплекса работ, с НДС</t>
  </si>
  <si>
    <t>Предельная стоимость производства работ (ПСПР)</t>
  </si>
  <si>
    <t>Заполните : Название компании</t>
  </si>
  <si>
    <t>Заполните : ИНН</t>
  </si>
  <si>
    <t>eF7s/etyXMeV5w3fSoU/2SSqnn3KfVCEP4gwhCmaQBWxgfY70+xwFIDCjGIs2a+snul5JjpCRx9GHks+tl4dLEt+5vBlnqAo0aIkirqFXbfQV/Jm7jqALGTm/q9Ve23A3XY3IQAEyfVbufda/8xcK/O/fuPF//Kj6Tee+sZzkx99Y+sb/2nyg7+fHtbfef7vf/CDrW9M/+Fk+oP5N77x4+UP6M//651vnPzwued++Pydbzz1t/oL87foT8+/u3Xn/C+7s/jb7pz/dfXP/vj8x+qvqz9VX1R3q8+qu7NXZr/oVV/VX9zTH7+qHlT3e9Wj2UvVJ4svzU/9RP/3Qe+b5gd71cfVl/VvfeH8yW/V/97JD3/4wumzz09enP+jT4f1d6c/fvHZ5/T3Dn74n4enjxn8/IvPvvhfdv/+2eX3/nHrSdrnz5799zza/3rnjv6b/uOPvq//7jurP6Q/e/bH3z/Tn9fffPGFv5/W3/zPz774H77/nyYvPvndH73w7Mn0+7U55vvmw0lyoibTSdg/Vien/TCc5v08mKp+EKhApXkeFioyP1f/+SX10gYVxlEcJE/+3n+avvDjZ3/4/PJn0ixLw8XPGPPPfvjCcxcYzp79wQ++/8LUPA3T50+np9+vLf3xyvp/tA3FdzYZCv0A88bBZskzm1jy42f/PfMFsJmys4kpG72NH1W/q/5H9X71dvVO9Ye++VC9p//vd9Ufq/+lP35Yf+d3veoD/Y3fVb+t3tVf/l5/Zv7E7/Rb+ZH+gQ/s71z01FF0WVifDHqa4tHsZR0pdGzZ6lW/rh7p2PFIf/2ojiEP6997pOPI7GeDLQOof08HlEfVveXv6O/eq74c9LJQP9L/V5jorz/U+P+7F271chX0qofV/dnLs1es9PFTR/Fl0X84e0Xb/0Db98jYN/vFVm/26jLs6nCpQ+nsTQ3Xq77WxPerT2vP/Fl/ZkLpg5r7i+rL2S9nP9U/f3/2ivlZ7ZX71cf1nzOfmsh9X/+pj2ev64+fmn9t9ob59jyyv1R/fKM3D9v39G99XTv+q8U/on9w+Y1HOog/6tUuf6i/+aX+iS/0v3C3Z/4SHfEfzV7R9r/c08/cb6sPrc5OnjpKLsvZHyxceF877BcL1xqvPzkCc1c/qjPVPeOw+kfuPUGpX6cP9BOmXzXrC3VTPTVSl0X5T9rI5YA90Jbf7z1lBmQtdy/HcP6NBzaKsXrq4GpRvK053reZWqqnji7N1PdrV96fvaSfHBN+9Efbk6+eejq7LBPfMc+xiSyfmYhqHPlh9UeblTfUUzcuzUrzkJoX8X4dah57WB8LVDajt9VT25dm9Dv16NdG68f0rrbyQfV5HTI9bv6Oeuo7V9BiHetemr2pP/5Uf0snIZvpO+qpnUsz/XfVp1oumMj8cGAz7hn11DOXZpz26+y/z14b1A/qy4tka/Xhrnpq9zLNrL7sm9TWq35V/cFm379RT/2bS7PvD1qo/Fw/nIskNTfVZuVQPTW8NCv/Zx2ltFzVb8yr1ccDv+y5mT713fSyTH3PxE2Tn/SLc1dLnzdMkrpz53kjCc3MXNv/6ePx1gpwaY7+UNv/x1r1v2+Ppd+9NNNoz8Ct9Klbl2aqbZ5RG+23eS99av8v+rnduzyPNz23+5dm2jzC2mc/W9rB0OM8Sp8aXRoB7c0bp0/d/ot+iseX5ujGp/j2pZlGewYO0qcOLs1UZvQt06cO/6Kf2/LyPN703B5emmmtRN+j9KmjTQhe/OGLkx9cALjzjecnz03nfy0f4snVQITmOypXAjA/+vGPXjg0v7en/8oXnp38YOf/+/fP/ug5/bdZEM/WEL9dHu19cy+3ru/tCdtbPvfC+PkXUCP37UbuCxs5NltIiI3GW9dX1qzLCBkrX9xo2Eu7R0tBW2lDfmg38FDQQHi4jZeuHzqG+0jGwv/w7Onp9PnN3vV/a/fpvxW3mDb0/85u5r8TNxN+AIzHrv87xwPw9NNkQ/+u/ltOp+PJi/9Bf0+bnR6fRMfHk6A/Tc5UP8mDs36eZ2f9SRIHk1gl4enpZP6TL/zwP88/Keb/WQFPfzBdPRysFBgOetWv64RnNovu13t1Zo+yemD5fr/eU3pg+3Gzb/srq6fyp4Y57CnUKf+o/2AYw85oIYUWW3tKOfKoEF9C56O9hPvF1r4Lal8IStGh4FfWMI2KrZGLaSTEhL+VGyb0Yqt0sZUybFFAY6M9gIfF1qEL6FAIKKQBkR6+o2LryMVzJMBjgNI7T6aIdb4fT09efNYyzdMp4u+fO57axupikghtRE8XVqIoTYI4iJJ4HWuer/UQwBaafPn9H9UJs9HI1GbiDaaJ62+0x4lYnjWVAOtVKqs8WlcGmGqORY2GdZ9ou3hqyKS5kCndOC1kyjAwqdKeKbkA66kQAKBFon1t9b7D6n2u1YpuNSncjLTRI4fRI67R+KO/YTLTxpcO40um8ReyVYPxtGfkUFt86LD4kGsxHq4Z6UgbfOQw+Ihj8GPRWzjfODJOGHitTpxuho0kpZxBZLPyBtdK/NVDs069gFxXIOhE8/Xs1brMsfpYZ5vPTDn7K/MyQv371tK57TB4asiF6TjphPaEw7a+g4xjN3mfbbKim0wKJyOHxSO2xfgDv2musVteci2XTjR2cw/Z5uJBmpNl7NYesaztMsW4koy9OWJpt3J6GTaTmGRcaYZpJ/7WEdOMaa36tPpMp5SH9brg5z1Tz19Pah6sJ6FvWrOQ9UHaDkOdhpiwHaehyJGGuNZ3kIbsJu+zTVZ0k0nxZuSweMS2GH8hNk1DdstLruXSachu7iHbXDyQc9KQ3dojlrXG3MW710EaciUiezvb0vLU6WfYUHIiGiQ2S29wLcXfPDQV/br6SmeYV+oeqa8WnRd1BjJ9Am/U+1pf1/VA900XWL389ql7/hPpxMNE6zjxxFt7Ybq1pwJHAuJSdJCA4q19bfq+w/R9tumKbjop4oy05SNt+chh+YhtOf5abJqQ4q1SE5QOgpJLIJ2Y4q1Dbfahw+xDttl4iOckqHjrSFt95LD6iGV1/bzc6S5RuVJV7LU9c3ocNpWRquy23uDair+VaLL602oL6PPl1s8qWdlM3w5jnZCY5neckBJHIuJa30Eispu8zzZZ0U0mRZSRw+IR22L8Ed808dgtL7mWSyccu7mHbHPxEM1JNHZrj1jWGnOzO6u88re+RPOff/jCf7QgcLKMK88kXoTC6XDMUlaSGWSuRMM0dj1Qu9wKZpn3dH6pe6SrP2/16rW2h0985+5isvSptSbBTJtmr/fMMRmzl02rhA11m4u6HtWd42KO/Hnx+8/+GHmMbBZ+h2uhIlnItG6Ha12KWffcdPLjv38BeloeWhebn+EamGEGTv/hR9Pnf2wz8Pk1A8NBEAQ2E3e5Jq4nPYeJdSAGDMyU1YNDrnnhempz2Gc0RJ0nWFl5+MzOwcHo4JsHo6P973xzLuHUt0y31NAcRBR9a8s+a7nJxgKTxwrLmbLXByDO1MD+iHyXbSyYP1bGIi7Xrrs+d/d35y62mXyLbTKYRTbT+nP7Ncm1oZthj80ApgeG4p8bro2+9sQQuBD22QiKiAA/Ptqr15dmXZgAcK0F88mPWowzJRRnxmwkMAP9qKUYc5ttaE4wFHH1eBVfbrvfzQO2uZS0yXpU5raP/bGl5Np/Ycbos58fV27748oh23wwfRKnj/qRObTHlCOWpbUEzCfHaX5W9MP8LOkn2VnaLyZF3E9UPE1PTrI8T07mMM6J5XOL58cCyJtcuqaXisaIwtmmoB4myjTUxnFDkmNdV/jGBp6hPtGlbyapX5qDH83pkZ/UvdefmT26nunan/23xQT2Xu/GcM9Gvy1Jr3D6TaeEghTrad5DgU8dZ/+9PkvzoY3mGUma9QzvoSHMM20Yu5IY6wnVg7HxXFQQ48J81cNBmrOuwwUOBXZTlI4Q/tqYWi0nWMooCC2ElHuSJUlNCBjw3AAdz7EoGfWtQ8i8YzluHstSjFj/7+86rrHV/2cNQk+bh8oNqYJ1yG72jK223uDaim+ooVrJtmdsKWl6VH1hA9kO06eGXJiOd5Czrb3ItYvMJUjoBPjcb76LnG3tO8zeZ5ut6Gbjc756JznbGjmsHrGtxh9+fmSdryBlW6XD+pJrvfSOcrZ16DD5kG0yHsSJywL1rnK2deSw+Ihlcf2M3OkyDblm/fYzyJbWh05/w8ayEpFrV5lpLf42tp+K6tOuTQvIA9MCoj/+1PQhPpjfrzO/I8Oxr5zpdMUE7jhdOQ6HYVvfQapyHP3CNlnRTSbFoJHD4hHbYvyl2DRFOY5t4VounZ4ch7KwzcUDOyc1OY5cYVn7WFoyAb6jgqfIvSZtPzhmCQEfs9JiyVPkntXd4JoLblejuemd+tIl09pxl5ST5l2JpklxLbU99tc8nL2hf/h+9cWTFxeZFWtTS/Ww/hsfO1RW/9gX9R+cXza0vLtmVeprbofamq92LzohZ6/O7++ZX3L0xeIv+nz+Q/N/u/6e+cHZz+oLfu71zCZqrz7G9MvZzwe9MKpvjHpoG6Vt7iitJ6VW6rWqX2vI+Tr/n+f3P2nPvLkYn19Vf1jcQ7Jc/P+irlx7aJb/zQVi/9MG+B0uoCIBInDmRpKHejgG+h+2mbrDNRXcq8cX8J21X0wDwZ13wpq8u/aLaSJlExsxMB4kmc3AIdfAy6v+Krb2okD/CvWvSP+KF1UaubcajIsJZlZ6NVhYxIWzHIxrLZhbieVg+aocLHeXg3FNBvPrZjOh5W5Ffm3oZthjM4DZhzEfWpZt5NeeGAJ3ORgXQRER4MdHe/X60qwL0yOutWCKgbd8gMBT6sBT6sBT6sBT6sBTQoFnzEYEkxStPMwTdG6zLW2/Pixf1Yc5X9YDtrmU1Mp6dpbbad5gU3LtF64Py6894Xp3fRjXfDChEmfb+pE5tAeZI5al9czvLE3COD7rJ6dZqD+cxv0iPlb95CQ+PomLyUmULF5S5zz8uUmb9WGRr0KsoFGieLYZu4eKMmu3cdyQ5CCUSKDT+Q8Xdx//wkyaX529Pr+04yd1Kdj8Bsj5+eT1D/20nhubn7Chb0uiKxwdn0LaKHYkKdbTvoeCMLv8ovrERvKMJIlIaViSDOzXAuxKoqznUw8KOl1Ng2SwaAq9MF8VJOmsQiwdRNbZ+E1ROkL4a2O2tZxzFYuqosI975KkJsQMeLqAjudYlIz64iFk3rEcN49lKUZcS7LjSXR6nEym/SDOon4SR6f9PEtO+vGJ/tG8ODmOTxdPeaeSzF5HFnnPmbS5AsPrWpJJchBiEirJLlyttyrbv7BzYZRYvTnxar0FYo58/Gr25uyXs5/PL+3+c/WJObTL7JPUOySfzw/Id6xHb0s6SuGO2lDASVIQgjFJwJkr1+ebWF/YL7F/RpJKRMzZ6/wlMaj5BIFw7jtIgnSn45JBai/1F8UjBM0WhVwUzJP//L826j1RakLs4As514CORdGobx6C5ldyzYNZihHPDzE9i2JVRHl/enaspV9RHPfz06nqH2cnqsjOzor0bHKneyVnnXQ+HYVUV2B4nSs5QQ5CUEKV3AemXGX203lZykOnrPtiVVLzYC7nrBU09e+kqtcPo8BZfiLpIIU7aFMFJ0hBiMJtKzhBqi4VnCAGNY8gEG4FJwjSmYILw2wQJDa+m6J8hGjZpoQLF1k/dEs4SWpC8GBLOPeIjkXZqO8ewtag4RpHsxQjnlcjT4tUneSx/s0w6SfB6XG/mARFX51Nw9Pw5KwIJ4sR71TDWQf/6SiiugLD61zDCXIQohKq4T40ZbN1tbM5hsGIsNnL1b3vz+WYCq7p/7eO17Ykp8I5N5VighSEaEqQYo5aW0kQEfUVDJQ9DexKolCzAACSDrK8sIEMJUE6U2BR6jqx7KYoHyHWtanAokXOjtwKTJKaEDPYCsw9omNRNuq7h7A1KLDG0SzFiOdHmKksD8+CtH+iguN+EoVRP09OT/snk9PTMD09USo6vtO9AlM2VzwdxVRXYHidKzBBDkJUQhXYO+fLYHXDUvWlqUlbHKP9hrkM76XZm3XrmWnX+nwhzaqH/VBZX+JtSX6F82+qzAQpCFEWV2azn7kWxgRJRKSZCuxztF1JEmp2ADjSLB/kubXqeCiJ0p02S5zSTBKPEATblGbxIpnHbmkmSU0IGnxp5hrQsSga9d1D0BqUWeNglmLEq7PMkjt+6dXyITLWifvTUeLF7P5q+kWnvjUD3OBau/6EdXyIzLz//WfVg7rv/m5vsaH1cPZq3SCvvzX7ybyk7Ddaj71rQ9+OkqeGXPxuj5SJ1NZeHOhf+r+J42JHNklCJ8G7nOrjZbT5+9r8fW3+vsP8fbb5im4+3uVkjprR1o+09SNt/chh/YhtPf4a8eN03UypKUpNUWqK0kFRcimEj6DRph9q0w+16YcO0w/ZpuMpgtggZ46j0ZYfacuPtOVHDsuPWJbXz87cchOIOjuaxnVwWqS8EPAFxa0eTZO4yotucM1dD/obHk1DyXjzMuh6b+du9aX+P1NkYy7iqhNfr854L9UfXzbFO1/XF0jqH5qfLKP/YO+7z0/+/myx1vBhPwzVIFx89VbUX5zbdyFFMh21nlNaOR3GZuF3uBYqkoWAddU/PSlI7i3aER+YmqlajDwy91DP71D7YjG4H9fn9Zj/bzwchgu6PssROxyGayDYd4+vdrgPh+GauJ6lNzwcJksHqaPEh2ngpR0OE6Vbe5E5nzfXv4r5+QyR8h0Mw0YE8xr9YJgoKmLXwTBsa8HMRjsYJlLLg2Ei55Hht9gmg9lts/nMcu1HXRu6GfbYDGDiYcxkFuc1aMOfGALnwTBsBEVEgB8f7dXrS7MuTGC41oLpBV5AA4JOqYNOGZmTnnP9Cwk6YzYemJxoh8J4As5ttqWtHwqzCja33S/qAdtcSkplPTfLdUlvoCm59sseCrMKMrf9QeaQbT6YTIlzXv3IHNoDzBHLUmPqJI2mYRJm/SJJs36SnMb9PJxE/SKcTCdhrNLTYhGDnDPg5ybt7ri7j2iNUholimebK3uoKPNlG8cNSQ7CZhM6kQb7Vnynv9bLxL1vzs9lNZPsLXOe6tf132W+V8/qtnqL00m/qk9XXXxv9rPZq/V3vza3as9+WR8d++XsF/Uy9dezlwbfWsyzP51v+JtqALMy/diUff4DkZmym67oN+szTutJ/k8W/84D2zhtS46TwscJnyXbKHYkKQibfIQpMNQ+I0glUiXgaJ8RxKBuUwIQnrm1IEhnBQJhEA1i66LmTVE+QtBuY364nCWmi03l1D1TlKQmBA94goOP6FiUjfruIWze0Rw3j2YpRrxonwmnSn+7f5wWUT8Mp3k/D6aqHwQqUGmeh4VaiKxOpaSjjCCjugLD61xKCnIQohJNSr5WL9v/ot52qU+xuatF2JePn1TzQfV+L1Oz15Ng9nqwlZjag1714Xx3xvzBR/WS/1fzG23qw2/qgwhtLtqWdJHCXbSpihOkIARigoozey6fDHqOi2oleWT02yCxhpJdSRJqGgE4YpW5DiOUJOlMwyXpIHMUeUriEYJlmxIuWyT9zC3hJKkJkYMt4ZwDOhZFo756CFqDgmsczFKMuFZw07PJaRRPzvpnx8en5sCbqD8Jj7N+cBIX+UmUTOP4MhYDrcHq6ch/DrbFFRhe5wpOkIMQlFAF9xutu76evWx01+yN6n5vVWTzYNGC8wtThTEvkjErbK/M3li24NyrD7Yxy4Mv1wt8n5uFN6326t8Noy11LYyC4Fqk7Js325KeUrincCGnnfXr6l0nuA1yRxKSEK0JOs9VsCIIIiLwHNV3u5Ig1CQDYISpqdBxLNIJonQm8MJYDZRjkU6SjxBM21R4+UIUuO/5EaUmxAy2wnOP6FiUjfr2IWwNEq9xNEsx4vl+7+T07HiaTvqT47DoJ2F03J8kx2k/TdRxenxWFGGW3Ole4iU2VzwdFVRXYHidSzxBDkJUQiXeE4t035+fcVPrlvuzn9bi7nPzvflhN8FWGpivYtcJhILoCkfHNZuNYkeSghBgCaKsYfFNkEdEmyUDu6LZlSShpgeEI8m0OHO0WAuidCbOsmBQWEfqpigeIQq2qc0W90dE7rtARKkJoYOtzZwDOhZFo757CFqDNGsczFKM2Ggzn+Rqt8nMviMa+87HjtNoHe6Sm8y45q5Hin/xTWZcRyWYo1poMuNaqEgWAtYt28SiQWCvGdnhmroeqcXaxLgGgpX4uGJzt4lxTaTUtAMG6tCibPYNufZdWpdYHG7txZH+FetfybxhIw58XWJsRDAxtdslxrYWTE20LrE4WHaJxc7LJm6xTQbTUxsiVpNcG7oZ9tgMYObgd4lpw58YAmeXGBtBERHgx0d79frSrDVrR2xrwewCzwGAoFPqoFPqoFPqoFNCQWfMxgNzU3tdYmxLW+8SWwWb2+4X9YBtLiWjsp6bxdTKH2hKrv2yXWKrIHPbH2QO2eaDyZTYJaYfmUN7gDliWXpldw1cp6XEvksCLJQoXte7BpIchPUydCbc5q6BJLrC0fGZo41iR5KCsPRHmFT6dw0kebrdNZAkoa5cAhxhnA+y3F7SIYlyBXYNRPEIUbCNCddy2rW45yZ231okSk0IHfCMAR7QsSga9d1D0Py7Bs2DWYoRX92aXeceQ0R1BYbXuTQT5CAEJVSaXWLNrqSnFO6pTZWcIAUhHBOUnGt7QBBERMK5inIlQahZBMDQ+s212yAI0pl+85TkivIRYmWbAm5xTU7svvRIlJoQMdgCzlOSK8pGffcQtgYF1ziapRjx1e2bjxxdV4t9cYIrMLzOFZwgByEqoQruMvrmJV2kcBdtKt0EKQiBmCDdGhbhBHlEFJyzb16ShJpGEA41iByVu5IknWk4d9+8KB4hWLYp4Rb36cTuy5FEqQmRgy3h3H3zomjUVw9Ba1BwjYNZihFf3UM0HVcSPR0nVFdgeJ0rOEEOQlCiKbh/hYdoSo6TwsdpUxkpSEFIBgQZiRyiKUklIyZtGLuSGNR0BkC4K48FOTrTkZ4zNEX5CDG7TSGZLLRH4haSktSE2MEWkp4zNEXZqK8ewtagJBtHsxQj7rYHzLG6p7xwF+4QveweMKa566HiX34PGNNRCeaoNnrAmBYqkoWAdY/1gEXWdasdrqnroVquB4xpIFhnT1Br7h4wpomUinXAwFi5jsLkGnh5TWDp1l6c6V+5/rW4tSf2XhXGRgQzU8tNYFxrwdxEbAJbXRUWu68KY5sM5qc2ZKwmuTZ0M+yxGcDUsUET2OqqsNh/VRgbQRER4MdHe/X60qw1a0dsa8H0As8CgKBT6qBT6qBT6qBTQkFnzMYDk1OLTWBcS9tvAltdFeZ+UQ/Y5lJSKuu5Wc6tvIGm5Nov3AS2uirMH2QO2eaDyZTaBKauH9oDzBHL0iu7yxG7msBSGiWK1/kuhyAHYcUMnQr/693lEBwnhY8TPs+1UexIUhBWKglTYGiXQ5Cqy10OQQzqUisA4ZlbC4JciW0OST5C0G5jfricJS4ul4rdV4WJUhOCBzzBwUd0LMpGffcQNu9ojptHsxQjvrpNa7Grac1354bVFRhe51JSkIMQlVApeZlNa4KeUrinNhVzghSEeEwQc679DEEQEf3mbFoTBKFmEQAjiwdZ5pBwgiTdSThP15okHyFYtinhFrdLxe6rwkSpCSGDL+E8XWuSbNSXD2FrkHCNo1mKEV/dI6FiV12L704Nu5qF8DqXcIIchKiESrhWj4QSRFc4+qaaTJCCEGAJmqyhG02QR0SauY+EEiShpgeAIyyCQZKlNpShJEpn4sxzJJQkHiEKtqnNFtdCxe5LvkSpCaGDrc08R0JJolHfPQStQZo1DmYpRlxLs7OTk/QsOz7p59nJST8pTsL+cTI56Z+lkyiaHB/nebaoUehUmiU2VzwdF1RXYHidSzNBDkJQ4ksz16ECC4mWABJN0AUKd8GmEk2QghBn25NogjwiEs19YIAgCTVNIBxKDfLccWKAIEpnEk2lA7sCvSmKR4iGbUq0xfVQsfuuL1FqQuhgSzTngI5F0ajvHoLWINEaB7MUI9b/+7vHxImB/1ufFGu37ysZfN+G+3TiOKQ0SJIojfN8Hbejzq9oUNjMvcE1dz12bNj59Ye12rC7vUWj1ldA61aaquV+ZS9cFJwtNymrt/qhNQluc8kTjJzWylX9evbGohDvz1o33p+9omnfXBTy/ar6w9wLpoRu9t/mBVr6px72bgz3+tU71f+0AX6HC6hIgAjcb+oWvbpScV60WDeG/fNrvzfNYSqfVxWuvjm/df3O87WGfmDGWyvqx/aqjSP0E2LqHD+oT966bx6dRS2kVuKmEvJBvcG9OJhrvrn9WXVPe9eUudUyr65K/Hl1d6HO75t/8MPqrepP1fvVb6t39Wf/v+r9vv7PF7NX6yfvQf1Y6t/9TW+rpx/Ue2aUev3eojbyjerzrV4aBLPX9QdTsvnQNig73EFZz1piPW9cA8G2Aop6dfW8cU2kFOgDBqo4sU/Fh1wDRXre1s0OHH0aN9lWg4mW3sYWBmniamNjWwsmWkobm83AW2wDwdRKkuToQ7DHthpMi/Q2NZuZ+2wzFdHMTR6BEdtKMNqz5yeu4R+zLQbDP62rzPP+32Zb2nJXmc24A7ZxlBTV5sCXXItlusZsJh6yTQTzE6kzzGbhEctCY+JxmKR6Kpz08+g00zPe07R/rOK0r786OZ7kRTSJF2nLObv1zPXZM9zQNceNaZwoYNdbDZIchMU1dJIM9oRd6LN6bC4t3xi2KB1+bB6++Pfm0/Gvnzx/+YPq/XrL5IPqw16mnNOmbcmRUvhI4XNeG8WOJAVhWZMwSUS6wiSpZPZFbBi7khjUhVkAwjP7FATpbEskiV2HKIviEaI2af7l3xJJFufuJu5DlEWpCbGDPeVwDuhYFI365iFo/i2R5sEsxYjnBcUnJ9NJcDLt58XxpJ9M87P+JMknfZVM0tNpchzG8SKsdiomI5eYVFRnYICdi0lBDkJYoonJppLiTM1LihNvvYokusLRN1VnghSECEtQZ/56FUkeEV3m6vaSBKHmBwAjDCMd8RzaTBClM21WKEft901RPEIQbFObqUU6dx/tJkpNiBxsbeYc0LEoGvXdQ9AatFnjYJZixLU2O4nOwtPwJOiHJydRPzk+1YpuGqj+9CycpoXWeHl0fKd7bRa7tJmj883tDAywc20myEEIS3xt1lBTjGg0QRco3AWbajRBCkKkbU+jCfKIaLRgYK3D3ZUEoeYJACOJsoG5dugiyVCSpDOJlhaD2Frwd1MUjxAL25RoixbuxN2QL0pNCBxsieYc0LEoGvXVQ9AaJFrjYJZixLVEi6JjNT1LJv0gTdXyvrLT4nJvkU3c9caO8mq3MzDAziWaIAchLKES7d15PXKv+uT8dCX9y+x4flGXq5pDlt6Y737+unq3Pixpfonsb6yLHNuS/Arn31SfCVIQwixBn7nKYAVBRIRZ6Fo8EwShZgcAQ+XZIE9sJENJks6EWRRkrtMuRfkIIbBNZbZoD0rcvV6i1ISQwVZm7hEdi7JRXz6ErUGaNY5mKUZcN3v942PJ3Cm+fjw9efHZHz5vcQNDe1nH9WkV2CnrlrZIFeuUrh4vt6kUObVs87LaeoNr6/rj5XErKJm8t3s9nL1h7u+qDy/vzV6r7s5erztsXqpLkO7Z0LZV8NSQi3chILr5NouH9Z1CKrQHP7b1Cd16uPi2NnnfYfI+22RFNxktxq0tHjksHrEtxl8BfoCtb39xWF5yLb9QlN1gOe3ROHSYe8g2Fw/hpBrt2tojh7VHLGsfi+LG6I76jV13cyhHvfkcIQ2dDscsZSWhgWMX/wbX2PVAvWGnMZqF7FdLPpi93pu9bGqs14uj60rnB+Z3vjDbNIuLKD+3uWKb64r1qH9lW4+5gIoEiMAt2orDgf6HbabucE0FW7TwlQhHdTXXvvVFBsF+XK6J6/l1w37cxH7EwZBrnkg37oUcZbmBUkVbeyrWv5L5RXAqNPMt1+2TbDwwX9HbdlWeJamrb5dtLpi0KH2739bOW14/OXeyzeRbbJPB1LXZBGOx1KLCa0M3wx6bAcw5jGnG3HBt9LUnhsCFsM9GUEQE+PHRXr2+NOvCrINrLZhY4PUqIOKUOuKUOuKUUMQZs9HAnERrEvZFm9tsU1vuEv72eBVpbrvf0gO2uZRUynpoFkuA/ihTcu2X6SK+EGFu+yPMIdt8MJUSZ6/6kTm0R5cjlqW1qadFGqbToh8lwUk/OStO+rlKj/txfjw9SeKzIjpZPEvOee1zkzZ3t+OBY+fq6UV9DsyIwtlmwB4myizYxnFDkoOwrYNOkN+qvtJTVzMfrrtAFs3D+ss/1+3Cv7hw9+Rq0myj35akVzg9PmW0UexIUhA2qQizyZ+55pOCJDIb2zaMXUkM6s4aABHZIIaSEJ3taDvPkxKlIwS+NqZXy0lWNN8Bnf/XRr0nSk0IFfD8AB3PsSgZ9Z1DyPy72c1jWYoRz0+Xj5T+6bOwP8lNUWKWJ/3JJDvun0zD9CQJorNsOQvpUIpZA9XTi6ugCI7A4DqXYoIchIiESrH/bbbA6x0IrbSWB6sk1Qc2tm1JNoWzbSq0BCkI0ZMgtBwyS5BDRmYNAmsBya4kCTXqAxxqECTWXsahJEhnaivLwkw5FZckISG+tam4FqdpKPfRKKLUhJjBVly+MR2L0lHfP4SuQXU1jmcpRlyrriIr4iDIw36SZ2f95CQ96+fxsVZoYXKWn8RBfnKyUCQdqi5r5H1aJVRHYHCdqy5BDkJUQlXX+TF7n184Zs+9+NX7ZvVFfUza54+fnPetxbF3qz9Vt4jMXjbH9T2ojy3XP/dJ/d0vqrs2721Lek/h3ttU1wlSEGI0ruugo+8kqWRUng1jVxKDmmIACGehhyBGZwIvynM1MFvWFwFvigISImmb+i5Z6IHEre8kqQmxg63vPEM6FoWjvnsIXIO8axzOUox40SLSZZOIY7VMeQmjdULp9hCrurzBtXL9odq8MeQPWmF9Wi90zc8Ynp9DZ045eWlxeUt98MnHWji9Mntjq67NfeLg4Uf17xnJ9enq1hdzpYsFe1upp4Zc9I6bRlJHPORan9Ctx2st5k0jdpP32SYrusl4fUXdNGK3eMS2GH89+CF3XrNlt7zkWi7dNGI395BtLh7SiWU3ddOI3dojlrX1c3Gnm4TkqqVJvXZfuIRPPCW5mkSYduJvHSsp9epbxv5cH8j1xuz1xW1l1f3Zz+eXk7n6PFKda5hEHeeazJFruNZ3kGvsJu+zTVZ0k0lBZeSweMS2GH/qN801dstLruXSucZu7iHbXDxac3KN3dojlrWPrep1kGtc2cZxQNPC8sTpZ9hQcrYZKJulN7iW4m8eM998WL1T/cpm8rbKdFJhmt1xUsm39sIi2tpL8tx0M+WOHMOF6SDH5Fv7hmDfEOy7CPbZBIpOQIotIw0wMgAjAzByAYzYAPh7sGkGyrdKA1IakNIFUnJBpBNSvnVorD801h+6rD9kW49HeE5+yreOjPFHxvgjl/FHLOO7nRq5E1butV05HQ+bykhYrikS01b8VUVT1gf1Kt0bNiu3Va6zFNPSjrNUobNUGOoPkStBcTk6SFCFTlDa+H2X8fts4xXdeFJcGWnbR8b2kcv2Edt2/FnfNC0VOi1phtLFUHIZpDNSoTOSNvzQZfgh23A8fnOSUaGTkbb7yGX3Ecvu7vOQKxMVXutTp9dhY1mZyJWLmNbi7yclF31qKmnOb6tcldtU9+afftqrz9Q3p7P+TH98ZK7R/Hp+YMvsDf3nzL2aNsxtVehkxkTtNpmlwdZeGutf2dZepnNabn7pBFeYJBdk5kPhSHJcPvkkp6H2NdS+htrXUPu5+aUTX2GSn4bad0Hts6EUHYoUx0aaaaSZRppppJlGufmlE2JhkqJmGrmYRmwm/KXbMClqtlKzlZqt1Gxlbn7pRFmYZKnZShdbyWUTTpYa6FADHWqgQw10mJtfOoEWJolqoEMX0CEbCE8+jCSqeY40z5HmOdI8R7n5pRNrYZKr5jly8RyxeAzQIgoaLPFD01YZ1pFjU8fJb0ESqSyM4c2wVo5NWyVY554Y19z1xCNxcNpX9QlpD/QXX51vjM1TrueYtK/rL+7r33rd5OH6r3uwvELaJOR5Ie3yx82y6EP9W6/Nu9Ln31xeXm2+qGtsF0UjPx+YP/CoFwb1bdL2hM516Xqua+kANrO72Ks+qy/3eTB7Wfvz4blXtKIxd2l/bb5TV7poYXNv9sbC01/NNyBnbz5WIzM/vO71RRnMZ/p3X1qVxTxa1h2bEdJDU1/2+OrslwObn77D9ZMi+Qnw0cIBLxm4z+b3nW/1qg/6UVA/NvqTcKv3z6/9vj7nzXwr0p9k+sF43sa1w+VKMS5ClbHj+HmugeAJO4SCYeepb1wT12XIhqe+FUEwsPd7cQ28tHPfUi3W02h+ApNO0Z4z39hoYLqln/kW57nrxDe2sWC+pZ34lgbLE9/mLraZfIttMphzN5vpLUqn0+Da0M2wx2YAkxxjNrc4j0kb/sQQOE98YyMoIgL8+GivXl+atT4xY1sLZhW4/hyINaWONSUUa8ZsLDAX0U57c8eZ22xDWz/rbRVjbrvfzwO2uZQEynpcFrX8/vhScu2XPettFVtu+2PLIdt8MIUSp+X6kTm0x5UjlqXG1NOz5DTPwkk/D9W0nwRp2s9PTsL+NI6Ls/gsPinOpnMY53T8uUk7ra6PTcldk/KQRoni2SbuHirK5N3GcUOSY11d+EYHnNW/fz6BP5+bf7k4a6T6Uz23fE3/+skTs8j5yXDzg8E/qN6u3ulXH1YfVW/pv+63+uMfq49svtmW9I3CfYNPO5eLCHr6edfMyc3Ee3EJ71e10+7WF/Henb1Zn5muf8zMvF+e/cKGvyOJv64hPPiE2ekX1Sc2kmckSWT6XgepDWRXEmQ9T3tA0MlumCSho+tsKInSWfdrMUitk/mbonSEuNrGzG05fwvnvZKp+9RuUWpCyICnHuh4jkXJqG8eQuYdy3HzWJZixLXWOz4+mU7O4qKvkuTEHIFy1p+kgeon4XF+Gh5PTmO1eIc71XrWUPV0GlFdgeF1rvUEOQgxCdV6v1nbi7lrDh+Z6xizF/Nyva7+i6W4e1cLOSPq3q7e07/eP5eE71fvVH/QHz8yP/P/6i8+7N0aq7BXvWVz0rakkxTuJFz02Sh2JCkIgbgN7SZIIqLdgkG0aLu8oN4EUag5BACJIpMOCxvKUBKlM/WW54PcuoZxUxSPECrblG+L82NT91nAotSEqMGWb84BHYuiUd89BK1BvzUOZilGXJ9bsrVKA+Zp7rBEJhp834b7dJo4cZMkyC4c09JRkYzrNBOuueCGHSqxbEUy9YLRZ4vmvgfmNLm5zDLVMea3X66PhHtzoa/qa/fmp46ZexgeLEtqHsz+e12iOv8NI+BWlS/VvV64+Gscjehc7ySYd2j1LjYLv8O1UJEsBKw7rzQZLEpNVnUlNsN3uIaDm34EwecqJWEaCG7f4TrOU0rCNJGyEwYYGKfRILEZOOQaKFJKclEfO44DZlsNZhx6lUjisvW7bFvBfEMpErEZeIttIJhhSMoUfQT22FaDkZ9eBGIzc59tpiKauckjMGJbCcZ6tkx3XtnBthgM/rTaDefbf5ttZ8ulGzbjDtjGUdJTm8Neci2WKc2wmXjINhHMTaTyC5uFRywL63GfFifRaaT6kyCb9JMgTvp5GgT9KAjSaXiST4pkkROcUzzPhJc9zQtdE72UxokCdr4YL8hBWGFCZ4ofrKZ4d91TvLuzN79vpnjaouqh6VO0kW9LkiucHJ9j2Sh2JCkIa2UtTLgEQUQW2B0lWbuSINQlPgAjLvLBImhfmL8JknS2up6kg8xaxXJTFI8Q+0hzmIbV9XSxIJu6V9clqQkRgy3bnQM6FkWjvnoIWsPqeuNglmLEpjzCJ7XaXU2PXSLLcShFkCRRruJoHe+yV9OZ5oJrHahGuqqr6UzvJJh32lhNZ1qoSBYC1s0Pyh0sltADay3YDtdacFmlBUXHNBBcRaEoNecSOtNEyhoFYmCS28XkkGvgJS+hc60G00yrS+hcW8Eks/kSOtdAMK2Q5Cf6COyxrQbDfVtL6FwzFdHMTR6BEdtKMNaztbh7CZ1rMRj8W1tC59rZyRI61zhKempz2EuuxV0uoXNNBHNTC0voHAuv7BJ67FxCzwIaJwrY9RK6JAdhGQmdHra4hC5JrnByfGJlo9iRpCAsiG0+4ZIE6XQJXRKEuo6HYKTRoLDP3yRJrsASuigeIfaR5jD+JfQsmK+6Zu4zYkSpCRGDLdvdS+iiaNRXD0HzL6E3D2YpRrwsUF8uapjHucMK9cSluiIXb12Qn63zdrSmHjquc7/BtRdc/UBVk3VR3XzrzerP8yXy+u6ZxWL4Xf2TD588+8FIKrNAfl//4cUJjebQwSScn5VQn76YGrH10OaGba4bEswNLayecy1UJAsB6y6cemjW0ecnG9ZHHtqs3+FaD66wtCDumAaCCyoU0eZaTeeaSFmuAAxUcW6PJUOugZe7ms62Gkww9NX0XCnXcjrbWDC/bLyczjYQTCgkKYo+A3tsq8H439JyOttMRTRzk0dgxLYSDPZsXe5cTmdbDEZ/2nK6+/W/zTa0i/V0tnGUBNXmuJdciztcT2ebCGanzdfTWRYaEydhmKQqKfppeKL6SZJn/WN1kvXPjrPT4DTMVZoungznnM4zxWXP65zr6QmNEwXsfD1dkIOwpoTODD9cnl7Xm/2kPnJ/fsL+V9Wjvp6HmN/5aT0DnM//Zq+aI+YXq+vVe6Gyvvjbkj5QuA/wSZcqeq65644kDGG5jDAHc50CI0kitMKe20B2JUGoy3wAhrYpzQaJdc1yKMnS2Rp7OgjtR/iJ0hHCIWle07DEnixWZRP3ErskNSFmsKW8azzHomTUVw8ha1hhbxzLUox4foTfWR5Nj5Okf5ycRP0kLE76x5P4rB9EocqjLFTH6jJEmuuAmMxdse9wBgbYuUgT5CBEJVykzdfd7/Zm/7360miv2cvVvVqEhUFwzfxSNs5tSU6Fc+JCzEaxI0lBiKYEBeZaBRcEERJgjhIHQRBqFgAwVKGDm2NRXZCkM/kVmiUt60jdFOUjhLo2BdiisyxztwmKUhNCBluAuUd0LMpGffkQtgYJ1jiapRhxLcGS8CwLsuOin4XTTP9sEPbz9CzqZ5OzqDhN1Zm6hBszEmdXYeasr3U5AwPsXIIJchDiEirB3l0sjN3tmXpS0+BWPTL3KNYLYxduq1wukeVGm9UrS3U1qqs6QtAVCnfFpipNkIIQcgkqzZQPfzLo2UflGUkeGbFmw9iVxKBmCwDCU/4gCNKdUgsGiaNOQhKPEBDbFGr5IrXnbqEmSU2IGnyh5hrQsSga9c1D0Bp0WuNglmLEtU7L0zw6yU6z/nGcBf0knZ71i5PkuB8XcVCcFZNJPF1sw3eq01yVqrmzMtflDAywa50myUEIS6hOu3jfRfWr6nfVR+b2iv7yEovqLf3ZR7VCszFvSzIrnHlDQSZJQQitBEHm2riUJBGRYu7rKyRRqEkBANEWDSL7dU5DSZQOBZmzclWUjxD6WlRk+aKjJHe3B4lSE8LGBorMWYgoykZ9+xA2vyRrHs1SjNj0B23NGzQ6bAtSLrHlL5LL1zG7awtKbPbe4Nq7HjWuaFtQGp53BeXuriCuFxLMCy10BXEtVCQLAeusXUH1BRV1V5A13O1wrQcLxQnCzrEfyjUQrAvH9Zq7K4hr4no22LAryH1NBdfAy+0KYlsN5hd6V1ARRa6uILaxYHrZuCuIbSCYT0gKFH0G9thWg/G/pa4gtpmKaOYmj8CIbSUY7Nly3C3GuRaD0Z/WFeR+/W+zDe2iK4htHCVBtTnuJdfiDruC2CaC2WnzriCWhcZErDjVQDindJ6JLXta5+oKyhMaJwrY+Sq6IAdhKQmdGIp0BUn6QOE+wCddaeLuCpKEIaySEeZgzsV1QRKRxXVXV5AkCHVxD8BIwizJB4mVZSjJ0tnaurMrSJSOEA5J85qGlfVFJ0nu7goSpSbEDLaUd3YFiZJRXz2ErGFdvXEsSzHiq9sVpJxdQbm/PtfiDAywc5EmyEGISrhIY3YFSXIqnBMXYjaKHUkKQjQlKDDXKrggiJAAs5eaSoJQswCA4bk7TJKkM/nl6QoS5SOEujYF2KKPJHd3BYlSE0IGW4B5uoJE2agvH8LWIMEaR7MUI766XUHK2RWU+0tvLc7AADuXYIIchLiESjDJriBJVyjcFZuqNEEKQsglqDR/V5Akj4xYs2HsSmJQswUA4Sl/EATpTqk5u4JE8QgBsU2htmgkyd1dQaLUhKjBF2rOriBRNOqbh6A16LTGwSzFiLu95TV1KK/CWWEb53kcX7jE9rJLT7n2gqVCqHK65NJTrhcSzAstlJ5yLVQkCwHr5te5Lk6hV9btqh2usWDxEUG9OdbYuAaCtUYEOeasNOWauB70N6w0zZRDaXHtu9xCU7bVYDZptdCUbSyYTDYuNGUbCGYPksxEn4E9ttVgtG+p0JRtpiKauckjMGJbCcZ6tuZ2FpqyLQaDf2uFpmxDuyg0ZRtHyU9tjnvJtbjDQlO2iWB22rzQlGWhMRHrIzQQzgmcZ/rKnsS5Ck0LZ0GtnRMF7HoBXZKDsF6ETgNbOa5BklnhzPiUykaxI0lBWPMizLVcFaWSJCJr5O7jGiRRqKt1AEhYDKLIflqDJEmHC+XuiZ4kHyHykaYw/pXyIpovrs7/a6PeE6UmRA22avec1iDKRn35EDb/UnnzaJZixFe3pCF1VpUWCdUZGGDnikyQgxCXUEUmWdIg6QqFu2JToSZIQQi5BKHmL2mQ5BGRa/aSBkkMarYAINzr7IIcHQo1V0WDKB4hHrap0xb9IoW790eUmhA0NtBprooGUTTqi4egNci0xsEsxYivbvNP6qw8LZxluC5nYICdyzRBDkJYQmUau/lHklPhnJtqMEEKQjglaDBXYYIgiIz4cjT/SIJQswCAkUeDRRi/oL8EQbrTX+7eH1E+QqRrU4AtukUKd++PKDUhYvAFmLv3R5SN+u4hbA0KrHE0SzHiq3tGTuo8ab5wFti6nIEBdq7ABDkIcQlXYAJn5Ej6QOE+wNVZqtxn5EjCEEIuQaQ5dzQFSYRUmrVQd1cShJopAIw8jxwkQ0mSzmSa84QcUTpCMGxTpC1aRQp3348oNSFisEWa84QcUTLqi4eQNUi0xrEsxYi7bfvJHKIrDJyFcUmUqzhZ57vsvh+2wevR4i+78YfthgRzQwudP2wTFclEwLx564/29M8Hi/PmA2t422GbDBaFEyScY52NbSFYBE6RZq4OILaN6wlgwxagMMnti3xDtoWX2wTENxtMLq12AfGtBXPLxm1AfAvBZEKSnehjsMc3Gwz+LTUC8e1URDs3eQpGfDPBqM+W4c6SQr7JYBporReIb2kXzUB86yipqs2hL9kmd9gOxLcRzFOb9wPxTDQ2BqdpkSp13J/madxPJknQn0zUtD89ySf52XFaTJPjOYVzaueZ2LKnd66GoDBwFuPaQVHCrpfVRUEIS0noBHGjdfXI/vZvizpB4U7A516pcq6ri8IQlskIszLXwrooSqcr66Ik1BU+hCOLo2xg7xUSZelscT0bJPYKCFk8QkgkTXP8q+uaab4ku/jEBr4nC06IHGxl7xrTsSwa9f1D0Pwr7Mh4lnLQV7cSNXM2DIVBQvUGRti9YhMEIYQnXLExa1FFQRUOiqsyG8aOKAYhqhL0mHOVXJBESI7Zy1FFSajpAOFIo0HhWnQXROlMjXkqUmUBCQGvVT2WLPO3uytIFpwQOdh6zFOVKgtHfQURuCZF1jyipRz01W3hzpy9QWHgrNN1eQMj7F6RCYIQAhSqyCSbuEV9oXBfbCzaBDEIoZcg2vxt3KJAMtrNxrErykFNGwiFp1pCkKQ74eZs5ZblI4TFVnVbuszy7mYiWXBC8ODrNmc7tywb9f1D2JpkW/OAlnLQ3VarWrcmtAzL7HRpEsRBnGbrdJdfq8o0GCwvQmXUpdeqMt2QYG5opVaVaaIimQiYN69VHfTCgf6He3psIv1JNtBj83z1x+rX1R/NOJgx+NIMT6+6N3uj+lh/+qD6yvz07FX923fNiBidPHtj9npv9jMz4Ppn9Yhqwax/f7ExPftlb+fvX/jhyQ9/0CuSoP78Rz+YPN/TMerkPw5sftph+wkslSKoSOfSH9NCsDKKIAs9BbJMGylVR4CFmRpEymbhkG2hSIHshcw4fGbn4GB0sMiN5dHeN7WWyb9l4pcx3eTHrcCaIm/yycCUR6+h1Tk3cRfRcs0Fkx6liPbbxnvX507/7sLPNqtv8a0GM18bStnAXBt6MPb4GGDmohfaLmw3Zl97ciBcFPt8CkWkgJ8j49nrK8PWDB7xDQazDDzdAAJPCQaeMZ8KzEy0ml1P0LnNN7Xlot1vj88Dzm3Pm3rAt5iSUlmPzGr+5g82JRtBprD3YqBZDoCL4JBPAKZWUtnvt41Hr6+MWjP2iGfsPLgXkyyfBP3T07Okn5yGef/4NAv60yKL0tPsOJkGCx7nbNmzXMCdMdvX7vSc2dG/6sJE+brfuhAEIazRoXPuD8wcq56ofVxPmx9VX31/McF+L3acmiHKqHBGwmz1j/UezKNFafNimWBZ+OyeXfZs/Dui/ITlSMIs1F0QLIgisosRDawT6l1REuo6KsARpmpgvwVhKIrS2UZGPAgKG95NWTxCjGxjdraao+XLZW/3eRuy4ITAAU8s0DEdy6JRXz8ErWkbo3k8SznobrcxrEOqJVnhpbtwk/Dlb2MwDQYXc1BJdenbGEw3JJgbWtnGYJqoSCYC5vm2Md6vR8PI4/v6vw+q+/r3q8/qLY0H5h6t2S9nP9e/pUfnk7VrtR6sJGWQRL2do4PRjVuj7e/2Do8Obox6ZjvkUzPWZoy/1EP7Zq/3zbpwyMjRV3rmAeidf/2txTce6Z/+qv4HtCFfL8x4tf6pV2pLH9X7J5/op6P6ut5DWfxQrXNfMn/Fp9WXpiBpQTF7c/YT/fmD+q82f4exvy5bqh+5e/rP3tV/3QNj8JO9gfV+zWMGmX/9gf7rXnftxjCHG1wnI+hg524M00JwzQuXt77dGKaNlKUjwMK8CAeZNQIP2SZe3nZMGCxXRQv/dgyXDEzdbW/HcM0Fkzd1O6Y4344pPNsxXKvBDN6G4Dcw14YejD0+BpiBN9mOKa49ORCe7RguhSJSwM+R8ez1lWEXt2O4BoNpBp41AYGnBAPPmE8FpqY2t2O4pgpsxxTn2zHON/WAbzElp7IemdU81B9sSjaC9HZMce3JAfBsx3AJwNRK3o4prq+MurgdwzHWWHs6DYNJNj3pnxynYT/Jorifn0zTfpCr4+nkLIsSNZnzOGf9nmUP7szftR0TOo6dcWGifJ1vx0iCEJYa0bWD3+sJ2af1pP9+vWagZ1xfmDmiDW5bFE7hcITp9tsXJtB1i8z6BPqudwIdVu/Y/LEj6g/C8iphPurcl5FEEdmXCVz7MpIk62nYQ4JOb8MsH8SJ/RB0UZbONmbc53aK4hGiZRvztOVsLQwWC/nzT2zge7LghMgBTzHQMR3LolHfPwStYWMGGM9SDlr/7+/+8TER49RqP56evPjsD5+3OIIl1ayxVcu00MMZZdE6p2uLxm0tRYGd79JYzb3BNnf9MfM4F9RZvzE6q95zeWIxfPbmVq8WXV8b0dXXv3VP65IvrD/26uoHF9sDNmat0cKnhmzwC0HTTb5ZzFwshkZb+kOuP0SJK1JySRI6CT7rNObvG/P3jfn7LvP3+eYruvn4lFNbPzLWj4z1I5f1I771+AvED9OLZa1oqzQUpYuiZFNcWLFooKA9PofG9ENj+qHL9EO+6Xh6IK5WaMuPjOVHxvIjl+VHPMuN6Yv31gD8rS/htVmSYP7rOOLCREQbh54nJkmQXegc7aQoIRok9oWUG2x7wR0NNN9ZaxKaE53Z/P161cQ3L1h4aHr4zKZvfeDF/Hv3euFiM7v63OaHbbYf1tOGYFEC10RFMhEwT3tSO332kqkF+Ky6W325uA0ktkr8Hbbh4L4HYTnDtb3OtRDcw8BXKTzb61wbKVsBgIVxGtnrm4ZsC0V219EZ6E2+2WCKoW+dJ3Hh3DlnWwtmGMrOuc3CW3wLwZxCmkmgj8Ee32wwBdCnDTY79/l2KqKdmzwFI76ZYNSXWIrimgymAdpWtjsI3OZb2vJOts26A751lFTV5tCXbJNldqltNh7ybQTzFGlmZzPxiGeisXGqirPjs+mkfzoJjvvJpDjp5yrN+tHZNEyKYhKeZV3vPs//65rmKRooSmibCnrAKNNBG8gNUZD1fO4bIXCe+Ju6VPhhXVP8oPqiV/1a/+djM3HUk5IHeiZSz/eiIjDzwC9tyNuiyApHxudbNowdUQzClhA++5r9bPaKDeUZURShzWTrcsquKAl1MwvgiNNBlNhIhqIknW0lp4Fn2icJSAh9pOlM02ayWm4+Ks9msiQ4IXKwFbx7VMeycNQ3EIFr2k5uHtFSDnq+lTyZJFEcn/VP0jjsJ3F61p+os+P+NI7y9Cw+C+LjxePeqTZz3vsROk6kcHsDI+xemwmCEAIUqs3eMwvvg169ZP9gftr0R1qovV43Yd2tvjBn6i1km413W5RX4bwbCzNBDEJ4xYVZ9TC2kTwjSiKiy8wmhA1lVxSFmhYAkDiLB1Fm3a0YirJ0Js1UFMYD+wEuN2UJCaGvVW2WLTO556Q8UXBC8GBrM8+wjmXpqG8hQtckzpqHtJSD7vIQhsgjtxwdJ4uzsuN1vkuveGDaux42/uIrHph+SDA/tFLxwDRRkUwEzFscw9Cv7i9KHeyn4e2wLQY3vSiazlXqwLQQ3OMiaTVnqQPTRsr+EWKh+yoProWXXerANRvMLS2XOnCtBVNLC6UOXAvBZELSn+hjsMc3G4z9rZU6cO1URDs3eQpGfDPBqM8W455lUq7JYBposdSBa2k3pQ5c6yipqs2hL9kmd1rqwLURzFNtlDpwTLyyy+meivbIUZnvAkUJO19OlwQhrCmhE8SNl9MleRXOi8+ybBg7ohiEFTHK1MuxnC5J0vFyuiQKdSEPAVHRQCVWlqEoy9VYThclJIQ+0nSmYTk9Chdrr/NPbOB7suCE4MFW8N7ldFE66luI0DUspwNDWspBX906VM/iexRTvYERdi/OBEEIEQoVZ23UoUoiKxx5Y30miEEIsbg+c9ehSqKICDRnHaokCTUzABxhMsgdK+2SJJ2pM18dqiggIfS1Ks7iZSaPPeJMEpwQOdjizFeHKgpHfQMRuCZt1jyipRy0OdZoa57VOjzkIXaqLuXijFQWJtE6Z2clD8pm7w22vevR4+qUPPxR/6D5+itz2L+5DeBhXf1gRNmD+kQCtAqC65oEc00bVRBcExXJRMC8f37t9/X1EzYzd9hmgptguL5zlj5wLQT3vHDZ5il94NpI2U8CLFRxPnAtlzEtvOTSB7bZYI6hlz6o1Fn5wDYWzDCbVz6wLQRzCkmNok/BHt9sMN63VfnAtlMR7dzkKRjxzQSDPluae4Q512QwC9AqH5wx4Dbf0E4KH9jWURJVmyNfsk3usvCBbSOYpVoofGCZWEuUkyycTE/i/qk6K/phOM37eWCOsA1UoNI8Dwu1SF/O+Z1nosue47kLH9yF+1ZQlLD7tXVBEMICEzpN/EDP1j6t52x/ro/aV/NrBT+oz7F9tLpa7r/XS+/16bbz2d7stXrO+Ivqk+quzRHboo5QuCPwGVf1T64DfpdT4ru9+mqCxVy4vq3gm3U7wKfmaobZy736ErwH2pX355fg9fRPf1rf6mic+Un16M6d52c/09/UM+jeP//8f0Rpr/pt9fG3ev25422e3BH1JGHpro1JoSCJyJq/pyhDEIW65AiAKJUMkqSwsQxFWTpb9leuu6huyvIRgjJpntW06r9sh4s8HY6i4ITQwZ5aOAd1LMtGfQMRtqZF/+YBLeWgV3cZLB5npyps+S4Da3TVctB3mXaUpeucrkX/tu8ysJp7g23u+mO2+V0GtmX/Wr18oaXLG0bFncuZR9U9G46WbvlTQzZTx9cURMXWXhibD4n5oMyHNDYfzGeZ+ZAXrvDIRUzoiPBcdXF/gebaN1z7hmvfcO0brn3DtW+49l1c+3wuRedC57eLiw001shgjQzWyGCNDNbIYI0M1siFNeJj4a8ZP5jPbzzQeKXBKw1eafBKg1cavNLglS68ko0nfRWCZjo0TIeG6dAwHRqmQ8N0aJgOXUyHfCY87ZBWWRZ3JGikI4N0ZJCODNKRQToySEcG6ciFdMRDqh/DO6uE2tm+umfFZXGAvEVKxIVK09A5NJi5zPxqrLbZe4NtL7gHIpFg7/ZmL+vP9U/frz6tzwx4qe4uuV+vnJglgc97Zl1g7cLD+ttf11/c179VN6HM208WO+0Pqs96+ufMBvzd6uH8b9CffVX/5V8t//y8k+UL/aeMFZ/Ve/YP9A/O/4HZz4zpLgXAdfZ6YhTcqeeaqEgmAuYtziv459d+34sGgbLeFrjDNhfcvGlhcYZrIbhXQ1p0ce3Yc22kbIQAFkah61oGroGXvGHPNhtMXvQN+zBSoXPLnm0umLw237JnWwimK9LUCX0O9vhmg4GfPh2y2bnPt1MR7dzkKRjxzQSjPntdzb1lzzYZTAO0LXtPFLjNN7WTTXu2dZRc1ebYl2yTu9y0Z9sIZirSdNJm4hHPxNrGYnJcBEHcV8dJ3E+KSdbPjydRP0/SNMoDlZxm0zmFc/L43KTdTft6QuacQkY0UJTQNs30gFGmmjaQG6IghP0hdA76Tr0T/9gk79Hsp/Pa7Pn88E/1VPA1/esn9YzPzCTvnpdvf22mrB9Ub1fv9KsPq4+qt6r3q9/qj3+sPrK5Z1vUPQp3Dz4l82ymS7IQdsQI87Uvqk9sKM+IogjtplunnruiJNStPIQjyp3zP0GSzrbS00FkXcW4KYtHiJSk6U/DTnocLTZe55/YwPdkwQlxg634XWM6lkWjvn0IWsNGOjCepRz0vPqyUJnKg2l/epKk/eS4yPtFPk37J3F+lkSTvDg9O73TvZBznmwQJ1RvYITdCzlBEEJ4woXccg3/gVZw92cvm+V6I9EeW9DvfXf6wuS5Se+5yQuT//v/fvb78z2AcjfUj10Q7JuvTC3ifMvBbCuc68APjPbrVe+Zpf+6Wc/UKNa/FRfZ7PX6Q95zaaVtUW8q3Ju47qv3Wh6YAtZ37LsjS2fuzZ25ctHDJ1z0ne+kQaT/70D76s7u9jN37jyfBsE/xHEwe72o/bVlSj3N5owR1PrTe/XhFF/Wrre4ckfUlYT0QZCdzm0CQRIh1Wk/QHpXFIWa+ACQKBrkhTWJD0VROtOdKnDXcIoCEkJ7q8ozWSqVxKM8JcEJoYOtPMMgjwepa7lZko76DiJ0TeKzeUhLOehafJ5ERRxF4XH/tIhP+kkSJf1cK4X+NDwuiuMsTLNpU5GnhPh0HvAQp1RvYITdi09BEEKEQsXnPz1WEXK3V/3P6n712fxQB62Tqg934vj7RisGyULr6N//uP5dU4ryqH8ugGze2Bb1hsK9gYtHG8aOKAYh+hKEm3u9UBBFRLkFg0X/40XlJohCzRoASFgMAjvKUBSlM+WW6KGyiuybsnyEsNiqcEuXWT71CDdJcELoYAs356COZdmoLyDC1iTbmge0lIOuZVt6lgfp2WnQP4uCs35ykhb9/LQo+ifTaRKk8dkkSBZBtlPZljhlm6MO2u0NjLB72SYIQohPqGz7zVq18F3TZGy6jufVwi+bE7mWy4C96t3qrXqP9+3qPf3r/cXq4a1xX4W96i2bQ7ZFHaJwh2ys3AQxCOG3FeUmiCKk3BbXZF9UboIo1MQBgMSDyHFWqiRIZ7otzwe5a8FNko8QF1vVbfkyzece3SYJTggcbN3mHNSxLBv19UPYmnRb84CWctBdXgobu3dvE2+9YVGs8112JxfX3vWg8ddOLqCTi+vsBHN2G51cXBMVyUTAvOqd6o99defO84uWrp453cjUWtbj/qA3P5PV1eHFxQBr/Qk60rV1y7UQLO3H5aGnw4trI6VqHrBQJTbzhmzzLrm/i202mNJa7u9imwumtM37u9gWgkmMpHrR52CPbzaYDtrq72LbqYh2bvIUjPhmgjGfPQVw93exTQaTQIv9XWxTO+nvYltHyVRtjn3JNrnL/i62jWCmaqG/i2XilV3i99xGm3iLpC+CooSdL/FLghCWstCZqfwSv6RDFO4QfGpmw9gRxSCs1BGmZs4lfkmUjpf4JVGoa4wASG5fpxqKclyFFX5RPkJYJM11Glb4k2XzT+Jp5hIFJ8QNtrz3rPCLslHfPoStYYUfGNBSDvrqFtR67qlNEqo3MMLuZZsgCCE+obJNuKBW0hsK98bGmk0QgxB7W9FsgihCms1VUCuJQs0aAIi5qN0GMhQF6Uy0ecppRfkIQbFV0bZsmkk8fVCi4ITAwRZtnnJaUTbq64ewNYm25gEt5aCv7llKnmtuE29xsc0bGGH3ok0QhBCfUNHW9VlKku5RuHs2VnGCGIRg3IqKE0QRUXHOY5QkSahZBOCIo8TGMRTl6EzDuQ9REsUjhMhWJdyygSbxdESJghOiBlvCuQ9REkWjvnsIWpOCax7PUg56fohSUiSTVAX9PJtm/UQrv/4k0n8gPZ3E+v+03ssXG/2dKjhnQ1TiLTO2eQMj7F7BCYIQwhOq4D5Y1cfe9dXS3p29udgaDc05PnmgP4Sh5/QjSTco3A24UluefrS4ffKx6mT4PKRyVwVRGAUHPT2v6j3ppa1e9f/Ui5afmHXOXv3vfGr08FwJf6y/NBdfzr/8pv777/eWt2Gaf/+90BpFdkT9TEgKBCnprK8VJBFSkq6jkSRRqOkMAFHZILNm5qEoSWdiMgpUMQiUjfCmLCEhYLeqJ5eNPYmnU0sUnBA62HoyjOPIXakpSUd9BxG6JknZPKSlHHS3vVrOZT7lrB1M9C+Vr/Nddq8W1971sPHXXi2gV4vr7ARzdhu9WlwTFclEwLx5i5YejZ+btixTRG5VMjtsi8ES/RZkI9dCsCKfJAddbVlcGynF7oiFibNaj2vhJXdmsc0GE1jLnVlsc8EEtnlnFttCMGWRVC76HOzxzQaDf1udWWw7FdHOTZ6CEd9MMOyzJb+7M4ttMpgHWuzMYpvaSWcW2zpKsmpz7Eu2yV12ZrFtBDNVC51ZLBNrG6F9CUPhnEB6ZtDsSaSzM0tFNFCUsPO9BkkQwtIVOg/tulpE0j0Kdw8+LfPcvCXJQlisI0zYnCUjkihCC/2OkhFJEuoaI8CR5/kgtZEMRUk6W+d3F42I4hEiJWn607DIr5a9PcrTrCUKTogbbMXvLhoRRaO+fQhawwo/MJ6lHHQt5OLJSZFP47SvTk5VP5mcZP0iDNN+XmQn4clJeHyaTu50L+ScvVqLc4YI3sAIuxdygiCE8IQLOe7NW1q42S9+Wl7MlYZJHtR3R/1fWt5ZLubS//ijWht+WZdLmH/6rtm++HTx7U+qu/O/Kw2Ca+ZXaF3y3Bb1ucJ9jqvDFipUGm7sMj77h7SuXSnMQW7+u7q29D9r9onm+zzVF71oUejy2ROtfNvTF6Y/fvbF3vZOHPeCxPy9H5Ib+HZEh4uQyAgC2LljIUgipH9dhS6SKNQUjICofJCkVpahKEtnEjjMg8JxtMRNWUJCmmlVBS+bpZSn+00UnBA82CrYewuYKB31LUTomoRw85CWctBX99ACX2GMs5bc5Q2MsHshLAhCiFCoEBY+tEDSGwr3Bi5RbRg7ohiE6EuQbu61S0EUEe3mPrRAEoWaNQCQOHPfAiaJ0pl08xxbIMpHCIutCrdlj5Ty9LyJghNCB1u4pe6CBUk06vuHoDWptubxLOWgr+4JobG75005y7Vd3sAIu1dtgiCE8ISqNvkTQiUdonCHbCzcBDEI0bcV4SaIIiTcXCeESqJQEwcAEkWDyI4yFEXpTLh5DgkV5SNExlaF27ITSXmay0TBCaGDLdw8h4SKslFfQIStSbk1D2gpB63/93ePCRYjyP7Wp9DabTVLbLRamRUu2rAowkCt03bUaBY5G82Y9q6HkE4bzeY9YV/q/3w1387VKuxhdddGuM0mTDBCWndX9WstNL6c/XL20/nes9nw/LlZ85u92qt+q3/3AxvEd9gQigSBAKz6vxabyW8u+sDioLe6qivOzKrl12Zfvd7gvVcr4vs1rtkBtjHusBnB1gGCFnTuvzItBDsFcInn6xhj2kgpwgcsLIJg4NouZVoo0jF2IcMNn9k5OBgdLHJcebT3zb0wDbb0h9B80FlOT+IMhMl4W4E16d3kM4JJi95eloSulvfv8q0Fsxalu+zbxnnX597/7sLNNqtv8a0Gc1cb0tfAXBt6MPb4GGCConegLWw3Zl97ciBcFPt8CkWkgJ8j49nrK8PWDB7xDQbTDTx/ACJQaSJQaSJQCUagMZ8PTFa0tjZ39LnNt7TlrrZvj88jz23PK3vAt5iSZFnPzmpm5o86JRtBpvPtYsRZDoCL4JBPAKZYUl/ct41Hr6+MWjP2iGessTZIgkkenpz002kQ67lwcdwvklj107MiPTue5mdJfDbncc57PQsB3LmvfTb5dJg6GwHtmChf5/sSkiCE1Td0+vzh4ryVVVucOfHkq9mrs5dMefOXZqZ5Ybbc++bytx5VH8/+m57OfTHf1zCl1u9Uv/rWYr/icPLCf5y++OKqCrvpX1qf+dWV1Y9sBtTn1n1Z/6P1TyzM+dQUCtfl2fPv19sqny6Ls/MsKqx9Hduig6bwQcMn0zaMHVEMwgIoYb5s1gQ+GfTsHYjPiAKJ7KBYo9uuKMe6MvBwtDAFlyTpbPckjh0VSjdl+Qjxu40p5HIiqacA88X2+Sc28D1ZcELwgGc/8KCOZdmo7x/C1rB7AgxoKQddq8t8Eqgwy1U/VirrJ6lS/cJ8ODmJT1SUBCfpZOGYTtWldflVq8uQ6guMr3t1KQhCiE6ounz3SeWGCsekPr64N//isV6w+uvRc88/++Mf/fCFF3/ce3r7cDja7x0kQW/3YOffWlRnfyU+1/cUPr+gK1cy9Ge1gHTsNmyLjoHCx2BjsSiIQYj3BLHo2lyRJJFRifZZ8K4oCTVPARxFoXWiSygKonQmFMM4LpwHAYoSEoJxq1IxXCqL0CMVJcEJoYMtFT3DOpalo76ECF2TWGwe0lIOuhaL4SSexpH+TXU8SftJMc36x8cneT/Kiml4HEZ5MVm80Z2KxdjmCy0WI6ovML7uxaIgCCE+oWJxdVSXa93RRrktSqlwyo3lmCAGIaYS5Jiz7lkSRUSPBfZQsCtKQk0FAEeUBYPIKi2Hoiid6bE4CZ2XaogCEsJdq3JseT5T6jlvSxScEDrYcsw9qmNZOOoriMA1qbHmES3loJeFz4v6h44Ln5WrKS1NvLzZOm9Hpc+Ok+tvsO0Fy8dQwVSXPtfHLq16ykwt9Bv18tW95Ubr7PX53RqPzCmnc4llo9pmUyUYFa3c2Wbid9gmKpKJgHnzYubBY1vWixJl110hO2zbwaoxgnBr2nRlGgqWf+GyzFOrzLWRUkYFWOjbKGVaKFKrfFHwOhe1uGaDqYNefhwFLmu/y7cWzByU8mObhbf4FoK5gqQ20cdgj282mAzopcU2O/f5diqinZs8BSO+mWDwZ0tv9+UWbJPBNECrAnYHgdt8S1uuArZZd8C3jpKq2hz6km2yTIWvzcZDvo1gniLV8NpMPOKZWAvqODw7TYKkH5wWsVlaT/v6D4R6bjc9Pjk5C8IoWjy6zombZybLnrw577ZIUxooStj9grkgCGEFCZ3/fXA+q5v9onfYr6sqzDm8ny0rHD6o3qv+334Qfv/xUorFgXDLI3nnc8Xq/vxHoiwIrsXWwLAt6h+F+wefptkwdkQxCOtlLc7YBIFEFtxd6327oijU5T4ApEjUIIutLENRls6W3ItgUFinuDdl+QjxkjQHalpxXx4plnqOiBMFJ0QQtux3DupYlo36BiJsTQvuzQNaykHPr7iIs/wkC1U/PD4J+0lwpvr5aVD0QzUpwmgaJCfF6Z3u9ZzziovUee6KyxsYYfd6ThCEEJ9QPfd7reQ+ra+1uN+rPqlV2Wf6Gw/cR8Xdr4/6tcFvi8IrHH5jsSaIQQi1uFib/Wz2ig3lGVEUEZkWDILChrIrikJNEgBIrgVnaq3xGIqidKbSQuf62E1ZQEIYbFWmLc8PSz0HwomCE2IHW6a5R3UsC0d9BRG4Jp3WPKKlHPSyMGL5wnZcGZG6pFgWuIDjIs2zYB24o8qIMHCVRnANBre7UCnlOBWuLik1R6YZFbU4DO4L+zVWdVXFY/fGfmF02MtPXjT1aN7EboTava36d7+ul9c+XbS6P3FhlvnL6n/hiXOAF//Go4W4e9385PxyK5t/t9n+TTD/tlGkwTVRkUwEzDs/cW5gjpfrRYNgcaTkBZXJtRncn8PVY9NSH9dQcFcO14ae4gyujZQdL8TCSLmKM7gWXnJxBttsMHvRizPiLHEWZ7CtBZPX5sUZbAvBbEVSvOhjsMc3G0wCbRVnsO1URDs3eQpGfDPB4M+W/27xzzYZTAO04gx3ELjNt7ST4gy2dZRU1ebQl2yTuyzOYNsI5qkWijNYJhobT5MoU1kW9uPoJO+H4XTan4RB1D8N0zScnATHx8UiOzjnjp7ZNHv+6CzOyCIaKErY+WK+JAhhFQudgX7w+GTTM8ucF2r8Vn/jc1OeUX3VK3ejMIwWF1LHNw7NDcmz1wtVn4lxfh0ycJefpMsU7jLKjG1+3fSgt+4/71T9LnTn9J07z9e3Ti9dm85d+w+FMndP9xY3T/9k7l+Xox0XUJsbpr1XUPdYF1BLDiBhAROfvro3PyRRRDY/wkGe2FB2RVGoK68ASBTrVJFbFz6Goizd7X4UrjvvbsoCEvIGaS7YsPuRLZsIM09bqCg4IXiwpz/uUR3LwlHfQQSuYfcDGNFSDroWttMiy4K8KPqp0j+bRPFxfzJJg35SnE3zPJlM89OzO90LW2eVSpZQvYERdi9sBUEIAQoVtqtjOpY7I6sDfY2oqv5Ua7LX9K+f1FrI7GwYnbYQul8bWfZB9Xb1Tr++4fCt6n0tft+q/lh9ZPPOtqh3FO4dXMPaMHZEMQjBGFdy7uM9JFFElJyjR3NXlISaRACOPBsU1nqcoShJZzJOB3urSr0pi0eIka2KuGSZ8hOPiJMEJ8QNtohzjelYFo369iFoTRKueTxLOehawmEXV3cu4WKnhEup3sAIu5dwgiCE8IRKuH96YqWq+p9az31Wr049MOdYfLgTx3VdcZA82TGGrVpti3pD4d7YWLIJYhBCbyuSTRBFSLIFiQ1lVxSFmjUAEDUI7AlwKErSmWZLgkHkaA8T5SNExVZF27KbKPO0h4mCEyIHW7Q5B3Usy0Z9/xC2JtXWPKClHHSt2rBLqztXbYlTtTmLsF3ewAi7V22CIIT4hKq236yVDt9194V93qverd6qF9jert7Tv95fnABwa9xXYa96y+aQbVGHKNwhGws3QQxC+G1FuAmiSAk3U753kWVXlIWaOQCScJDnqY1kKErSmXLL80Hu2jOV5CNExlaV27K/KPN0jImCE0IHW7k5B3Usy0Z9/xC2JuXWPKClHLSRbj5F1m5/WObSYrmzjDGJ0kSl63yX3h/GNXg9avy1P8zm3222fxPMv230h3FNVCQTAfPW+sNMR5N11rvDNnk95Iu3h3ENBfsCcB3oaQ/j2kipuQcsVKmrO4xr4CV3h7HNBnNXu91hbGvB1LV5dxjbQjBXkdQt+hjs8c0GU0Bb3WFsOxXRzk2eghHfTDD2s6W+uzuMbTKYBdrrDmNb2kl3GNs6SqZqc+hLtslddoexbQTzVAvdYSwTr+xafubuDsud</t>
  </si>
  <si>
    <t>JcV2UJSw87V8SRDCihU6/5Rfy5d0iMIdgs/GbBg7ohiEBTnCDM25li+J0vVaviQLdS0RIsmV4148SZKrsJYvykeIjKTZTsNafr7slsk9/U+i4ITQwRb4nrV8UTbq+4ewNazlAwNaykFf3drZzN3+tGhOJXgDI+xeuQmCEOITqtyEa2clvaFwb2ws2wQxCLG3FdkmiCIl2xIbyq4oCjVrACDRIEodtbOSJJ2pNk/trCgfISq2qtqWDTK5p+FJFJwQOdiqzVM7K8pGff8QtibV1jygpRx0rdoKdXqShmdRP1Gx/pCoon+cTLL+8clxPEmPU5UUCzHTqWpzdjzlzkpilzcwwu5VmyAIIT6hqu2dVRHHg9lPzek99TULn/cer+hYHiL03PwQocUqW/Xh8hygei3uXL/Nf7tnjhQK4iA42Ort1M7o3XomCHtHzz/74rM/mP6NdsIPe//+hel/6Y13e/M/Uh/nVH8IA3N4kM3B26IOVriDcSH417Ob1iSw4AASEhlBAj+MbCTPiJIIKeDQutq3K4pCzcAASDqIYleRiiBJZwo4DMJokLpWLiUJCTmmVQ28bDfKPf1jouCE0MHWwJ5hHcvSUd9BhK5JBTcPaSkHXavg42mWHmdnQf80j8J+EoVxfxIcq/5pclocB3ke5mcL1dupCnZ2kOXOqmyXNzDC7lWwIAghQqEq+IP1E5uMLKtPc1qK3bZPb5J0kMIdhKtYG8aOKAYhIBO0nHs5UxBFSMxZFdCuKAk1jwAccTFIHac3SZJ0puXcpzeJ4hHCZKtCbtl9lHvayUTBCXGDLeTcpzeJolHfPgStScU1j2cpB726fiy5s1JnHV4/Zh1jLdMKO26aBHEQ5ck6blfNZYmzuYxp8HoMkWkue1R9YdaL6nWmN+ff+PKxLrO6JaxewnpQVwKa35uLsq/MT9VCbfZLG/g2GzzBwFvp+mKaqEgmAubNu74GvXAriCPtfXMtWBzbjN5hGw3W/hP0nHNtjmkhWOqPyzRfwxfTRkoZPWBh6rwOjGugSMPXhUQ1fGbn4GB0sEhV5dHeN/fCItjSH8JvmQBh7Dc5ayuwpq2bfDww69Abw9I0dDeGca0F0w6lMezbxnnX547/7sLNNqtv8a0Gc08b2tXAXBt6MPb4GGAmoTePLWw3Zl97ciBcFPt8CkWkgJ8j49nrK8PWDB7xDQYTDTwBAIJPaYJPCQafMR8NzFC0ZjR34LnNt7TlZrRvj8+Dzm3P23rAt5iSWVmPzWpa5Q84JRtBpmHtYrBZDoCL4JBPAGZXUjvbt41Hr6+MWjP2iGessfYsmR4XaTrpH+v/mpskjvt5cHbcDwIVqFRPZAvVfaFNbp8IPq0jFA0T5et8g0EShLByhs58H7sb4lG91/BqXW/xSr2H8Ki6N99F+FR/8urs9fp0k4f1j35lLj57/Da0L80MWc9753/RvBNu9nqvrh75dPbq49/6oPp19T/6T86vq8+/eetvDrfOZ9X982m1fpWrP5tJt/lXZy+bP6g/Pqo+Xh6tMvtFL+yHW2r2063Hqn+qR339I/f1H70/59jqJVtx6Fpo3xYdOoUPHT4x1un8fASf+eELxz/s77xw9vcvvNhTRdEzJTvaO6+bAegFW6pXk5sbP/TU9M7zNh/siPqAsP6Jz7Pd95dJoojsmzgqYCQ51mWFhwOdtGeD1LryMRQF6WzTxH2aiygeIfS3MfFcTj/1xGG+yD7/xAa+JwtOCBrwnAkd07EsGvXlQ9AaNk2A8SzloGtdqqZFNk1y1T+ZnoX95Pg47ReTZNpXwfRURVF6dny6GPNOdak1ZmldGlJ9gfF1r0sFQQjBCdelF3XgvLZlvhOzPMJvseNSjrd7fzP8m6d7pf6Hpz9enev389WVvfVFvOavuK8/DbZidx23pKcU7ilcBq6qhOr+xlpd957+wQ/+/oVJ75kfTP+hp4KgN3vdfFxUXZszDL+ohbNR+3d7/Z4RyvXRFl/ZfLIj6hNChMdloXP7RZJERhUOAute164oCjU3ASCpVoaZ40wHSZSrIA0l8QjRt1VpGC6lROiRhpLghMAhIQ0l0aivH4LWJA2bx7OUg67raf7xMVXkFH8/np68+OwPn7d4gqH9XKov8mKqdUxXHY3bVoqgW5bSWI29wTZ2/RnzOBYUbR/WykKrLZuhWlhFTw3Z1l4Ic25zN4tyi+36eGsviXL9IUlcsY1LktBJ8P0QY/6+MX/fmL/vMn+fb76im49vhmjrR8b6kbF+5LJ+xLcef+r5gXWx6RpvlYaidFGUbIoLe2kNFLTH59CYfmhMP3SZfsg3HY/nxH00bfmRsfzIWH7ksvyIZ3n97NzpMjM5d8pir/kXSlo7yk2uCk+uufh7iman/1W3BC93te7X+yN63vtIT4PfWDTKWI/t79X/uW+fGuusFpusxqTsOqslpggt29qLAvMhNB8ipT/EOt1FifmgzIc0NB/Mb6SF/pCZn8vNB/Nn40D/RhyaD+bPxnH9QafKOAnNB/NlYr5UkflgvlTmy9R8mabmg/5L48x8mZkvM/NlHpsP5udM6o0Lk3oDk4QD81loPgvNZ1HsSsfcIegiHSdb+8bv+8bv+8bv+8bv+8bv+8bv+8bv+8bv+8bv+8bv+8bv+8bv+8bv+8bv+8bv+8bv+8bv+8bv+8bv+8bv+8bv+8bv+8bv+8bv+8bv+8bv+8bv+8bv+8bv+8bv+8bv+8bv+8bv+8bv+8bv+8bv+8bv+8bv+y6/7/P9ruh+JyWDkXH7yLh9ZNw+Mm4fGbePjNtHxu0j4/aRcfvIuH1k3D4ybh8Zt4+M20fG7SPj9pFx+8i4fWTcPjJuHxm3j4zbR8btI+P2kXH7yLh9ZNw+Mm4fGbePjNtHxu0j4/aRcfvIuH1k3D4ybh8Zt4+M20fG7SOX20d8t+OBdWMBlJiqs2yrNO4vjftL4/7SuL807i+N+0vj/tK4vzTuL437S+P+0ri/NO4vjftL4/7SuL807i+N+0vj/tK4vzTuL437S+P+0ri/NO4vjftL4/7SuL807i+N+0vj/tK4vzTuL437S+P+0ri/NO4vXe4v2e4XV27J1qHx+aHx+aHx+aHx+aHx+aHx+aHx+aHx+aHx+aHx+aHx+aHx+aHx+aHx+aHx+aHx+aHx+aHx+aHx+aHx+aHx+aHx+aHx+aHx+aHx+aHx+aHx+aHx+aHx+aHx+aHx+aHx+aHx+aHx+aHx+aHx+aHx+aHx+aHL54d8n+NCjSU5k60j4/Ij4/Ij4/Ij4/Ij4/Ij4/Ij4/Ij4/Ij4/Ij4/Ij4/Ij4/Ij4/Ij4/Ij4/Ij4/Ij4/Ij4/Ij4/Ij4/Ij4/Ij4/Ij4/Ij4/Ij4/Ij4/Ij4/Ij4/Ij4/Ij4/Ij4/Ij4/Ij4/Ij4/Ij4/Ij4/Ij4/Ij4/Ijl8uPeC5/TCt32BZVf7RRaMmceCly54ODGcvUyy57b7DtXReTG3ZF/WHZaz4/7nxxLVavrr36WmvkN+vSqq/mzVGrDaRlldeDXvVpfWb6J/oHXrdr6/v1+Uxzdb1lfmR+aM8n+rdNM9anpkKs90399d3qs7rga/FvbJltrt9UH9R/5m5djPal+Qffqt7RVn9U/a56Z2nA4FvLf8HAPKrLob6cHwjk3ABkun9dSAr2ZnFNVCQTmebtsM1bX9HfvAur4fYtrqFgqTtpl8/VjMW1kVIyDliYxImrG4tr4SV2YykzEU4XDRFF4u3GYuOByY7ejRXlzmYstrFgsiM2YxXJqhmrcJ45eYtvNZjyNls8WW15JteGHow9PgaYOhgLEMv+CG37kwPhbsZiUygiBfwcGc9eXxl2cS7MNRjMN/DuMRB7ShN7SjD2jPloYIaiNWM5485tvqHt92KtYs5tz8t6wLeYklhZT81qS94fb0o2gnAv1irWLAfA3YvFJgBzK3FCb56dlVEXZ8McY421x/r3i5PkpB9OToK+nm5H/bzIi358dhwHQXg2KZax0zlRfm7SZs2rZ/qpp8uKhony2abUHizKtNoGckMUhFB1hc63/7cpyDRz7UVhZj3r/okpWF02W5nqV3Mtdd2MVX++ONLt7epd/euj+iKL6o/Vh/ZboLZFPaJwj2w8vxTEIFSVEeahztPdJFFE6lGDQWwj2RUlodbDARxhHAwSVzmqIEpn5aip84YxUTxCYGxjVraam6ll+aLyzM8kwQmBA55QoGM6lkWjvn4IWlM5avN4lnLQtWqbTqbx6XER9tNC/4EkNtdaxNlxX50cR5MwzZMgm97pXrVZy0C1akupvsD4uldtgiCE4ISqtncX4uxuzzQs1fdVvKT12S9nP697lb65vFXs69mbWsBpTfetWqWFynOVhKQLFO6CjWWaIAYh2hJkWtN2gSCQiFhzzPF2RUmo2QLgSLJ8ELp2HwRROhNrmbt3SBKPEA9bFWvLE/gLz6UKouCE8MEWa64xHcuiUV8/BK1JrDWPZykHvTyLd6FSzDPdYc2J877Xwnn2cBSGUQY3EbVcdRLZ5+832PaCW3ConrKugi1qRJZLXw+MzDLC6mF9N9Sbiy975vaq87OL6uOKPp/fS/Vm/cW9ujH867rI5NN5h3ndOH1/fjzR/Mfr2660CV/VNSLLv6VuM6+/8+Xs51ohPJq90gtTc6qOVnHmhKRHvSjseSQd07sJ5t1WikqYJiqSiYB582L8P1cfb/X++bXfmwboYHnsr1UD7LBNBzcACQrS2XfOtBDcx6NIQnelCdNGyoYYYGEUBXbZOmRbKFJpcnFl1KnhuGaDqYteQZJHqbuEhGstmLkoJSQ2C2/xLQRzFUnroo/BHt9sMAnQy0Nsdu7z7VREOzd5CkZ8M8Gozxb+nkMDuCaDaYBWzuEOArf5lrZcz2Gz7oBvHSVVtTn0JdtkmVoNm42HfBvBPEWqxrCZeMQzsR7647N4GhWT/mQS5uaMsryfB9Pk8s7DjRa/7NPHKHCcwuYCRQm7Xs8XBSGsX6Hzzw/rJoPHZp3zvoH6W3WnwfwMMo21Ok11qzd701xSveiUULPXlXMiKOoOhbsDn43ZMHZEMQiLc5vPzERJOl3UFyWhrioCHFESOa59HoqidLaoH2UDpWx8N2X5CFGRNNPxr+prpvkq8OITG/ieLDghcLDFvXNQx7Js1BcQYfMv6yMDWspB16otT/PoJDvN+sdxFvSTdHrWL06S435cxEFxVkwm8XQx4ehUtbkW/aMgonoDI+xetQmCEOITqtp+s7Zkf7dX/ar6XfVR9Yfq/X7dFfp+XSr7zqJI1ga9LQqtcOiNtZkgBiHEErSZqzxWFEVEnAWDSNlQdkVRqMkBAFFqENhRhqIonamzMHAu2MsCEsJfq/IsWmbzyCPPJMEJsYMtz9yjOpaFo76CCFyTPmse0VIOutZnp1GSqHAy6WcqC1daLrjsVbXYqc8Sqjcwwu71mSAIIUCh+uzDRanGL9Y7mh7162M/Xp79tF5eq4/3fy+0v8HbotQKp8YFWuSs8t0RhSGE2lZkmiCKiEwL7Veo74qSUFMEwJEVUTxIbShDUZTOVJoa5MqGd1MWjxACW9VoyTKju0+ZkAUnBA62RnON6VgWjfr6IWhNCq15PEs56Pl5+ifqOA4S/ROnZ8f9pAiDfjFRx/3g+ER/I1dJnB3f6V6hJU6F5igTdnsDI+xeoQmCEMITqtA+MEeuzV4zFy1plTYvmtWi7IvFecmfz3vLPzDizMa7LcqrcF5cm9kwdkQxCMGVoMr8TUuiQELazLW/KUhCTQ4Ah3d/UxClM20W5oM4sfHdlOUjRL9WxVm6TOburiVZcEL8YIsz56COZdmoLyDC1qTOmge0lIM28synutptU3KviHkK6tI0zdb5LrlNiW3vetD4a5vSRe9us72bYN5toU2JbaIimQiYN29T+ri+VfSL2atosxIbACxbJyhHZ0kc00KwSp0iBV3NSmwbKRXggIXKniyHbPsut1WJbzaYvlptVeJbC2avjVuV+BaC+YokcNHHYI9vNpgIWmpV4tupiHZu8hSM+GaCMZ+t9j2b5VyTwSTQWqsS39KcYClz6A/41lESVZtDX7JN7rBViW8jmKc2b1XimWhsPE6OgygMJv18cpb0kzRJ+8fhpOifnUzSkzBOgmwymVM4J4+e2TN7AulsVQo9JcA2UJSw8yV7SRDCohU6B71Y9Pr9+QSwZ76tp5/z+1Ze1jPN+cSxrq74RH/xqrn4sJ4yflLfe1hft2L+xBeLOeniXhebm7ZF3aRwN+EzNRvGjigGYaWOMF9z1l9Ioois8QcD+xHFu6Io1DVGACR3nVUhCtLZEn/unimK8hGiJWkG1LDEHy47XkJPC5MoOCFwsEW/c1DHsmzU1w9ha1jiBwa0lIO+ugUYsbuFKYyo3sAIu1dzgiCE+ISquY0LMCR5Fc67sSwTxCBEV4IsayjAkAQSEWfOAgxJEmpyADhUng0SG8lQlKQzceapvxDlIwS/VsXZst0l9DQwiYITwgdbnHnqL0TZqO8fwtYkzpoHtJSDvrr9S7G7WiNMqN7ACLsXZ4IghPiEirOW+pckqRVOjUs0X/+SJAwh0hKEmnv9TBBFSKI5+pckSagpAuEoosia7YaiJJ1JNHf7kigeIQK2qtCW7S6hp31JFJwQN9gKzd2+JIpGffsQtCaB1jyepRz01T22MXa3L4WecmG7NzDC7gWaIAghPOECTfbYRkl3KNwduHKzYeyIYhBiL0GzuWpUJUmEJJtrVU2QhJo0AA7fqpogSWeSzXNqoygfISi2qtmWTTChp6tJFJwQN9iazXNqoygb9f1D2JpEW/OAlnLQ3XY1uWWYq/YuVVmm0nid77K7mrj2rgeNv3Y1XfTuNtu7CebdNrqauCYqkomAeebepdWYz97Q3jbbmw8HprvJdDUp68LTDhsArHBvQzEyLQQL2ilK0NnVxLWRUiwOWKjiQWEzcMg28JLbmthmg/mr3bYmtrVg+tq8rYltIZiwSAoXfQz2+GaDmaCttia2nYpo5yZPwYhvJhj02XLfU+DINRnMAu21NbEt7aStiW0dJVO1OfQl2+Qu25rYNoJ5qoW2JpaJxsbjQBVhkE/7aXoy7ScTlfaLLFX9kyJKpslJcJwfL14y5+zRM31mzyCdbU2RqyzYAYoSdr6ULwlCWLXaZBJafaLnnV/rSeej+UL+otGp+lPdp/Sa/vUT/eul+W/r7y0qMeoTGj6o3q7e6Vcf1hcAvF/9Vn/8Y/XRVi8OXAUB26IuU7jL8Gmbr1BDEoaweEeYwjkLNSRRZFb9bRy7ohzUNUeEIsis0/6hKEhnS/7ZQFmnuzdl8QixkzQfaljxj5Y9MZGnyUkUnBA02FOAfBArG9pYFo368iFoDQv+wHiWctBX95qmxN3jFEVUb2CE3Us7QRBCeEKlXTvXNElCKxwaF2c2jB1RDEKEbUWWCaKIyDL3NU2SKNTkAICE8SDJrChDUZTOtJnvmiZRQEL4a1WdLZtiIk+Xkyg4IXaw1ZnvmiZROOoriMA16bPmES3loK9uD3ribnNa9AQQvIERdq/PBEEIAQrVZxv3oEvyKpx3Y2kmiEEIrwRp1tCDLgkkItCc1bKSJNTkAHCoYhA5SikkSbqTZ+4edFE+QvBrVZ0tO2IiT4eTKDghfPDVmbsHXZSN+v4hbE3irHlASznobqtllVNuuaqB53zJOt9lV8ty7QWLj1C19C+0Wpbr3QTzbhvVslwTFclEwLzl8f/LKtl/fu33nhpZrtlguRRBLrpqZLkWgtVRFP3nrJHl2kipPAIsjNLAdfMm18JLLpJlmw2mrXaLZNnWgllr8yJZtoVgniIJW/Qx2OObDSaAtopk2XYqop2bPAUjvplg1GerfM8KLNdkMA20VyTLtrSTIlm2dZRU1ebQl2yTuyySZdsI5qkWimRZJl7ZlXrlKZL1VwNfAEUJu1+pFwQhLFahc8/NV+oFeRXOi0+1bBg7ohiEpTbC1KtppV4QqOOVekES6kohwBHl6SB1TegEUa7EUr0kHyH6kWY03pVdw7Rc2c09S/WS4IT4wRbxvqV6STbqC4iweQd0jAxoKQddq7NMJcdTdZr31UkY95OkCPqTdBL2z46LkyyY6t89Vne6V2fOOtfYX/Vr8QZG2Lk6kwQhxCdUnVnqXO/pTz+dHxj7afVg9nJ9bKy5nOlBffUS43Ims9D/jer/1D9pfuOh+boXBj1Tp+kpn5X0pcJ9uanyk8QgRG6C8nOWz0qiiGg+9/VNkijUnAOAxMUgcJRnSJJ0pvk89zeJ8hFiapuaL162wsSe1iZRcELkYGs+z/1NomzU9w9ha9B8wICWctBXt21duWtn44jqDYywe80nCEKIT6jmuwpt65IuU7jLcGnna1uXhCGE6VYEniCKiMBzLOlJclCzC0ChlrfHXBR3giCdiTt327ooHiF2tqrtlm00sacxShScEDT42s7Zti6KRn35ELQmadc8nqUcdLeVt6lTrCUOviQJ8jTK1/kuu/KWay9Y0bSJ1voXUHnL9W6CebeNyluuiYpkImDevOBWD+3P5+uh1X1zQq0pG822er36FNv6R+719TPyCxvMDhsGrMwiKEdXPS7XQrAQiyAI3fW4XBspRU6AhXE6yGwGDtkGXnI5LttsMJe1W47LthZMZZuX47ItBJMXSeyij8Ee32wwK7RVjsu2UxHt3OQpGPHNBIM+W/l7FnW5JoNZoL1yXLalnZTjsq2jZKo2h75km9xlOS7bRjBPtVCOyzKxHnro1hND4ZxJeqbS7Nmksxw3dtUdO0BRwu4X/wVBCAtY6IRU+vo5SXco3B349MyGsSOKQVida2NiJkgis6LvKtOVJKEuKwIcSTCIXfM8QZLOFvU918+J8hGCImmi07Sqv7ytLPZcPycKTogbbG3vuX5OlI36/iFsTcv6zQNaykFf3dNoU0+Vrqtm2ekNjLB70SYIQohPqGhr5zRaSWiFQ28szQQxCCGWIM3c1RaCKCLazH0arSQKNTkAIMUgdB1GK0nSmTjzHUYrCkiIfq2qs2XLTezpoRIFJ4QOtjrzHUYrCkd9AxG4JnnWPKKlHHQtz06jJFHhZNLPVBaupFxw2WtqzoLaxFVe7PQGRti5PJMEIQQoVJ59uKjc+EVv9pPqvvmi1mp1C9XX9e/8tF5cq0tm3wvtb/C2KLXCqXF95quJlYQhhNo2VJokiohKCwe5jWRXlISaIhCOONIxz4YyFEXpTKWpQa5seDdl8QghsE2NlixbZBJPz5MoOCFwsDWaa0zHsmjU1w9Ba1BowHiWctBX9xCidJA4FVpE9QZG2L1CEwQhhCdUoW18CJEkr8J5cW1mw9gRxSAEV4IqaziESBJISJs5djclSajJAeDw7G5KknQmzTxnEInyEYJfq9ps2eOSeHqWRMEJ4YOtzTxnEImyUd8/hK1JnDUPaCkH3W3TUuaUW4mXr1jnu+ymJa6960Hjr01LF727zfZugnm3jaYlromKZCJg3uKWgFWnUq+/aPZfXCMwe9UGsMMGAGvWCcLRVQ/HtRAsUacoQWejEtdGSvk3YmGSDKzpcsi28JI7ldhmgwms3U4ltrVg/tq8U4ltIZixSBIXfQz2+GaDqaCtTiW2nYpo5yZPwYhvJhj12XrfvVvONhlMA+11KrEt7aRTiW0dJVW1OfQl2+QuO5XYNoJ5qoVOJZaJV3bNPnN3KiX+EuALoChh92v2giCEZSt0Frr5mr0gr8J58UmXDWNHFIOw6EaYejWt2QsCdbxmL0hCXTNEOFQ+yBMbylAU5Uos2kvyEaIfaUbTtGi/7GBJPC1JouCE+MEW8b5Fe0k26guIsDUt2jcPaCkHfXVrXjN3S1LirwC2eAMj7F6dCYIQ4hOqztqqeRWkVjg1rtG8Na+CMIRIS1Bq7ppXQRQhjeaqeRUkoaYIgEOFRe5cdBdE6UyjeWpeJfEIIbBVibbsYkk8fUmi4ITAwZZonppXSTTq64egNSm05vEs5aCv7tVOmbsrSfkrgC3ewAg7V2iSIITwhCq0K321k6QvFe5LXPfZMHZEMQiBuw3FJ4kiovjcVztJolBzDgAShc7rPCVJOlN8nqudRPkIMbVNyaeWbTHK0+YkCk6IHGzJ57naSZSN+v4hbA2aDxjQUg766p7umLn7nIw1NG9ghN1rPkEQQnxCNZ/06Y6S7lC4OzaWbYIYhOBLkG2ualZJEhHV5txLlSShJg2Ew7OXKonSmWrzHO8oykeIiq2qtmW/jPI0QImCEwIHW7V5jncUZaO+gAhbk2prHtBSDrrbBqjcqcMSJ1+YRWm2znfZDVBce9eDxl8boC56d5vt3QTzbhsNUFwTFclEwLxl45PNzB22mWDBexvCkGkhWN9OEXzONieujZTaccDCOLfvHQ/ZBl5ylxPbbDBLtdvlxLYWTFKbdzmxLQTTEknHoo/BHt9sMN631eXEtlMR7dzkKRjxzQSDPlvUe1ZiuSaDWaC9Lie2pZ10ObGto2SqNoe+ZJvcZZcT20YwT7XQ5cQy8cqu2OfuLiflriq2gqKE3a/YC4IQ1qbQqab4ir2gOxTuDnziZcPYEcUgLLy1MTETJOl4xV6QhLpgCHAk0SB1zfMESa7Egr0kHyEokiY6TQv2y14Z5Wl+EgUnxA22tvct2EuyUd8/hK1pwb55QEs56KtbWpu7m5+Uu9DY4Q2MsHvRJghCiE+oaLvapbWCvlS4LzdWfIIYhMhNUHzu0lpBFBHJ5ymtFUSh5hwARA1yqwwfioJ0Jvl8lbWSfISQ2qrkWzbfKE8zlSg4IXCwJZ+vslaSjfr6IWxNkq95QEs56Kvb7567u6lSd52xwxsYYeeSTxKEEJ9QyddSv7sktcKpcXEWBc6Ckh1RGkKobUOjSaKIaDRnw7skCTVHIBxxkbrqLyRROhNp7oZ3UTxCDGxTo6XLZpnU0/0kCk4IHGyN5m54F0Wjvn4IWoNEA8azlIPW//s7Q57MwY1A+VufFGu3rLaw0WoJFtpp0ySIg6iI1mk7KqpN7Ffl3WDbC1YvoQrq17M3Zi9pjXSvXuy6V6ulB9X9xwtrN6mLnR9P/2j2s7Xa3fv16lv9p7+eL6/pv+F18636H36wXlUbeQpouZ5MME+2UUDLNVGRTATMmxfQxlo+PuhFekZrvy1oh20wWFVF0IauHVuuhWARFUXyOUtpuTZSCpQAC/XM275bPGRbKFJLeyHpDZ/ZOTgYHSzSXnm0902tUqIt/SE2H5JvmShhIEwS3AqsefAmnxHMY/TC2zgqnIW3bGvBREYpvP22cd71ufe/u3CzzepbfKvBdNaGGDYw14YejD0+BphL6MW5C9uN2deeHAgXxT6fQhEp4OfIePb6yrA1g0d8g8F0A88ogAhUmghUmghUghFozOcDkxWt4tcdfW7zLW254vfb4/PIc9vzyh7wLaYkWdazs5qs+aNOyUaQqQq+GHGWA+AiOOQTgCmWVDP8bePR6yuj1ow94hlbq/FQnWWnSdyPi2nYT+I07U+K06IfHU/j0yQMTvRXcx7nVNizNsCdDtulnZ4QRzRMlK/7PQlBEMJ6HDqj/t96RqunudWXdZlwXUP85N7E3dmbNtBtUVCFg+KzyTlrXRy9Yn1N872sv/npctvlY7NYMP/0D9WH1fv646+rt6uPetWvqreqf9Lfert6t3qnN97W09K979lcsyPqGsLSJGHe6t7TEEQR2dOwTsB3RTmoS6oARaiC3L4WNxRF6WxHI4qdZSeifIQQ2sYsbjWXW54kkXqOBhEFJ8QNeAICD+pYlo36AiJsTXsazQNaykHXAi+dTPLj+LjoZ2mc9JPgrOhP1In+EEThyTTWf9FyitypwLNGLS3wYqovML7uBZ4gCCE6oQLvT6ZEeH7hbn2ESPXl7M3ZS1rcmeuv5hsXt74dVw/rTyM1ez1Svt0LQXiFw+Oiz4axI4pBCLS4QDNbUjaUZ0RRRARaYD+4Z1eUhJohAI4oSgeRFWUoitKZRIuzQaBsfDdl+QhBsFWJFi8zeuyRaJLghMjBlmjOQR3LslFfQIStSaI1D2gpBz2XaGd5kJ6dBv2zKDjrJydp0c9Pi6J/Mp0mQRqfTYJkEWM7lWjWqKUlWkL2BcTXvUQTBCFEJ1SiXWwFM1/WBS7z/q+78/oVI9l61bvVW9WH1UfV29V7+tf7Sw037quwV71lc8i2qEMU7pCNZZsgBiH44rLNs64miCIk21z9XJIo1LQBgIRhPAjtLENRls6EW54PctfamiQfITS2KtySZZ5PPMJNEpwQO9jCzTmoY1k26huIsDUJt+YBLeWguz12137xuNZiyoMXZxdOFb70AmGmvesx468FwlxPJpgnWykQZpqoSCYC5sEFwkyDwYotgiB0FggzLQRrrnCd5ysQZtpIqV0CLPQVCDMtvMQC4dTUBmfmQ74sz1P+AmEuI5jIWi4Q5loLJjJqgbA6LxBWngJhrtVgOmtD/hqYa0MPxh4fA8wlmxQIq2tPDoSnQJhLoYgU8HNkPHt9ZdiawSO+wWC6gecQQAQqTQQqTQQqwQg05vOByarFAmGupQIFwuq8QNj5yh7wLaYkWdazs5qd+aNOyUaQLhBW154cAE+BMJcATLHkAmF1fWXUmrFHPGOv7OZEGDgrhFMaJwrY/e6EIAhhCQ6dUnewOyHoEIU7BJ922jB2RDEIK4yEyah7d0IQpevdCUEU6tooAOLfnRBkuRK7E5J8hNDYxvRsNUlbHkmbes4YFgUnxA54ZgEP6liWjfoGImxNuxPNA1rKQV/dyl+t3FylvxnZGRBg98pNEIQQnlDl1nLpryC8wuE3VmmCGIRIi6s0T+mvIIqQSrNWnu2KklBTBMDhLf0VROlMo/lKfyX5CEGwVY2WLVN65tFokuCEyMHWaL7SX0k26guIsDVptOYBLeWga402DY/jODnJ+ifqJNR6Lon6k0SF/bNJEhXqJJucpYu3uVuNZg1bWqM5Tkh2OwMD7F6jCYIQwhOq0Sz9969VD+rbG3626Ek/3Dk4eHp71Ps3T+9/599uj54+7D1961ZvfHQwHpU7PZsXtkW9oHAvbCzWBDEIIRcXa54lNUEUEbFmXYbfFeWgZgqAwlcsIkjSmVJL3dc3iPIRQmGrSm152n/qub5BFJwQNthKLYwGynqc9ViWjfr+IWxNSq15QEs56I5rfZ03p2aBHTBIojArimQd8LKrfbn2guVRqHj6F1Dty/VkgnmyjWpfromKZCJgHlrtyzUYLL8iqEFXtS/XQrCAiiDy3NW+XBsphUiAhR4Bx7VQpNr34lqnS5exzQazU7sFvGxrwdxEKeC1WXiLbyGYjUj6FX0M9vhmg6GfXpxrs3Ofb6ci2rnJUzDimwlGfbaYd1/FxjYZTAPt1dGyLW25jtZm3QHfOkqqanPoS7bJMjWyNhsP+TaCeYpUBWsz8YhnorHx7FQVxVTPD88mx6f95Hh60j+OwrifF0VwOk1TdXqm5hTOuaFncsyfH7pniBGNFEXsfH1eEoSwKIVOMS+uz9dzvi/1PNNc5vfSYo1eT/xeXVzXvL58X/2f6t3q7eXBsfWly+enzNYzxfE4zr7Xs7lrW9RdCncXPkmzYeyIYhBW5AhTN+dCviSKzEK+65Y/SRLqUiLCEatsEDuu+ZNk6Wwx33MorigfIW6SJkMNi/nZ8gzVzHMorig4IXSw9b9nMV+UjfoGImwNi/nAgJZy0Fe4NNb8xyXsEqo7MMTuhZ0gCCFAocKu3eJYSXiFw28s0wQxCLEWl2nu4lhJFBGZ5iyOlSShJgmAw1ccK4nSmUrzFMeK8hGCYKsqbXkaV+Y5Xk0UnBA52CrNUxwrykZ9ARG2JpXWPKClHPQVbj0PB7FTpTn6uTzugBC7V2mCIIQAhao0+eZzSYco3CEbKzdBDEL8xZWbZ4FNEEVIubmazyVRqJkDAPE2n0uydKbdPM3nonyE0Niqdlv2Kmee5nNRcELsYGs3T/O5KBv1DUTYmrRb84CWctAdl8u618wc9cBBEheB6ctfA7z0clmmvWCBEiqm/iWUyzI9mWCebKVclmmiIpkImFd7++GgP3uz98+v/T7S81vrNsQO22KwcoqgCZ31skwLwUIpXOr56mWZNlKKkAAL4zAZKJuFQ7aFl10vyzUbTE8t18tyrQWTUwv1slwLwXREErDoY7DHNxuM/a3Vy3LtVEQ7N3kKRnwzwajPVvOeelmuyWAaaLFelmtpN/WyXOsoqarNoS/ZJndaL8u1EcxTbdTLckyshVQ4maooOuuraTjpJ8dp2C+OJ2E/S7OTYBIGeRqfzimck0PP7Jg/QXTWy+bOymA7KYrY+YK9JAhhVQqdY15csNf/eaTnk3q619f/eTB7eVEn+7Keez6qp4Z1lewnevL3avWxqccwk0wzlTRT0Uf1HPWLegJ5r55KPtA/vfP/GY8ODnvHkx9Pe9V7ZqY6+5nZCqi+tDlxW9SJCnciPnezYeyIYhAW6ggTOucivySK1CK/jWRXlIS6wghwxOEgUTaSoShJZyv8YRINCsdMUhSQEExJM6SGJf48WKwIzz+xge/JghMiB3tS4B7VsSwc9Q1E4BrW+IERLeWg5+1RhVLT+CTuhyo/7ofhNO/nwWnRDwIVqDTPw0ItRFC3cs+5I5BHVHdgiN3LPUEQQoRC5d67RpJpsadlntkueKjV2Uu1Urt7ruw+rPukvp69qb9hBGGoAvcCvyS/wvk3VmqCGIR4S1BqZrPgk0HPPi7PiAKJ6DWXWhPkoOYKgMKzmi9J0play5yr/qJ4hEjYqlZb9sfknoYnUXBC7GBrNdeYjmXRqG8fgtak1JrHs5SDvsL9TpG7kjZPqO7AELtXaoIghPiEKrV2+50k4RUOv7FME8QghFpcprn7nSRRRASas99JkoSaJACOIhnEykYyFCXpTKJ52p1E+QgxsFWNtuyOyT3tTqLghMDB1miedidRNur7h7A1ibTmAS3loGuRdhzmkzQtTvpK6T+QTOLjfmG62PMknp5Nizg4i0/uXIJIS5wizVlB7HIHhti9SBMEIQQoVKRZThv6pHpQfT17eb6oNntzIdXOTxBafP2nemf0Nf3rJ7Y1uLo094Pq7eqdft0h9Vb1fvVb/fGP1UdbvThw7dNtizpQ4Q7cWOgJYhDiNS70PDungigiQs95/pAkCTXRABwqTV0n0UqSdCb0nAfV3JTlI8TRVoXespUm9/RGiYITAgdb6HlOHxJlo75/CFuT0Gse0FIOuuPeKPf6mr/EL1sHvOzeKK6961Hjr71RXE8mmCfb6I3imqhIJgLmLXqj/H1RXGvBCnmCGHT1RXEtBAviKRrP2RfFtZFSbA5Y6NtJZVp4yX1RbLPB1NRuXxTbWjAxbd4XxbYQTEUk8Yo+Bnt8s8G431ZfFNtORbRzk6dgxDcTjPpsJe/ui2KbDKaB9vqi2JZ20hfFto6Sqtoc+pJtcpd9UWwbwTzVQl8Uy0RjI3bPnKFwTgw9M2P+5NDZF1X464YvkKKIna/sS4IQVqTQ+aXQPb+SXlC4F/CJlw1jRxSDsMpGmJE5l+clUWSW520cu6Ic1MVBgMIzvZMk6Wxx3nPPrygfIRSS5jcNi/PFsgem8HQ1iYITwgZb0nsW50XZqO8fwtawOA8MaCkHfYVLZWN3U1MRUd2BIXav1QRBCAEK1WrtlspKwiscfmOJJohBiLW4RHOXykqiiEg0Z6msJAk1SQAcnlJZSZLORJqnVFaUjxADWxVpy/aXwtPOJApOCBxskeYplRVlo75/CFuTSGse0FIO+gp3nsfufqYioboDQ+xepAmCEAIUKtJa7zyX5Fc4/8Y6TRCDEG5xndbUeS4JJKLWXAtqghzUXAFQ+BbUBEk602ruznNRPEIkbFWqLZtgCk9Xkyg4IXawpZq781wUjfr2IWhNSq15PEs56Ct8h1Psbmoq/KW/NuEKIXav1ARBCPEJVWrydzhJOkThDtlYugliEMIvQbq5d0EFUUREm/sOJ0kUauYAQJJsEGZWlKEoSmfCzXOFkygfITK2qtyWXS2Fp01JFJwQOtjKzXOFkygb9QVE2JqkW/OAlnLQHbcpucWYv+IuXwe87DYlrr3rUeOvbUpcTyaYJ9toU+KaqEgmAuZBbUpca8GCdYIcdLUpcS0E69NxledpU+LaSKn9Biz0LbsxLbzkNiW22WBqardNiW0tmJg2b1NiWwimIpJ4RR+DPb7ZYNxvq02Jbaci2rnJUzDimwlGfbaSd7cpsU0G00B7bUpsSztpU2JbR0lVbQ59yTa5yzYlto1gnmqhTYll4tVdq0+cbUpx4K8EvkCKIna9Vi8KQliRQueX4mv1og5RuEPwOZgNY0cUg7DgRpicudbqRVG6XasXRaEuFQIgnrV6UZQrsFYvy0eIjKTpjn+tXjPNl3YXn9jA92TBCaGDrfDda/WybNQXEGHzr9UjA1rKQV/hrqXE2bUUBxHZHRBi99JNEIQQoFDp1mrXkii8wuE3lmmCGIRYi8s0Z9eSKIqQTIttJLuiJNQkAXC4u5ZESToTae6uJVk+QgxsVaRFy5zu7lqSBScEDrZIc3ctybJR3z+ErUmkNQ9oKQc971o6VUUxPcn6Z5Pj035ijoc9jsK4nxdFcDpNU3V6pu5cgkhzdS3FQUJ1B4bYvUgTBCEEKFSkWQ74/7pWbQ+0FDPNSvPOpdnLs1cX16SvnxJU/Z/q3ert6kP9693qne8bMXd+GUCt8sbjOPtez+aubVF3KdxdG8s6QQxCdMZlnWf1TRBFRNa5jvMXJaGmFYDDfZy/KElnsi6KXSUZsnyEqNmqrEuWKsDd4SQLTggcbFnnPjFIlo36/iFsTbKueUBLOeiO62SVU6g5C4GTMIvSZB3wkutk2faCxUmozvrLr5NlezLBPNlCnSzbREUyETBvXierva19+s+v/d6UeWY2k3fYJoNlUwRF6CiWZVsIVklRhJ6rWJZtI6UCCbAwCotBYbNwyLbwcotl+WaD+anVYlm+tWB22rhYlm8hmI9IChZ9DPb4ZoPBv6ViWb6dimjnJk/BiG8mGPXZct5ZLMs3GUwDrRXL8i3toliWbx0lVbU59CXb5A6LZfk2gnlq82JZnom1Og3VWXaaxP24mIb9JE7T/qQ4LfrR8TQ+TcLgRH81p3DODj3TY/4M0V0s6ywLtpOiiN0v5guCEJal0Emm5Uz/n+hPHy5OJqvX622g26KgCgfFJ1g2jB1RDMJqGmHS5V6GF0QRWYa3zh53RTmoi4AARRIX9u2EoSjJlViEl+QjRDvSFKZpET5frtnmnkV4SXBC2GCrduegjmXZqO8fwta0CN88oKUc9BUugFXuAtjQWQ/scgeG2LkckwQhBChUjrVbACsJr3D4TSWaJAYh1uISzV0AK4kiItGcBbCSJNQkAXCkalBYt1OGoiSdiTRPAawoHyEGtinSwmVTS+jpUhIFJwQOtkjzFMCKslHfP4StQaQBA1rKQV/hY/uVuwA2jKjuwBC7F2mCIIQAhYq0to/tF+VXOP/GOk0QgxBucZ3WcGy/KJCIWrMf2y/KQc0VAIWnJEKSpDOt5jy2XxaPEAlblWrL1pbQ06skCk6IHWyp5jy2XxaN+vYhaE1KrXk8SznoK3wUkHIe2x+bmhaaOzDE7pWaIAghPqFKTf4oIEmHKNwhG0s3QQxC+CVIN+cuqCSKiGhzHwUkiULNHABIHA2K3IoyFEXpTLh5jgIS5SNExlaV27J7JfS0I4mCE0IHW7l5jgISZaO+gAhbk3RrHtBSDrrjdqTUKcb8RXVqHfCy25G49q5Hjb+2I3E9mWCebKMdiWuiIpkImIe3I3FNBgvTCZrQ1Y7EtRCsQ8elnqcdiWsjpcYbsNC39sa08JLbkdhmg/mp3XYktrVgdtq8HYltIZiPSAoWfQz2+GaDwb+tdiS2nYpo5yZPwYhvJhj12XLe3Y7ENhlMA+21I7Et7aQdiW0dJVW1OfQl2+Qu25HYNoJ5qoV2JJaJV3fBPnW3I4X+cuALpChi9wv2giCEZSl0ktnBgr2gQxTuEHwiZsPYEcUgrLoRJmfuBXtBlK4X7AVRqOuFAIh3wV4Q5Uos2EvyESIjabrTtGC/7HQJPa1LouCE0MFW+L4Fe0k26guIsDUt2DcPaCkHfYWrYlN361LkLxK2uAND7Fy6SYIQAhQq3VqvipXkVzj/pkpNEoMQbglKraEqVhJIRK85qmIlOai5AqDwrMxLknSm1dxVsaJ4hEjYplSLlv0ukaeBSRScEDvYUs1dFSuKRn37ELQGpQaMZykHfYWbzFN3/1IUUd2BIXav1ARBCPEJVWrtNplLwiscfmOZJohBCLW4THM3mUuiiAg0Z5O5JAk1SQAcniZzSZLOJJqnyVyUjxADW9Voy06XyNO5JApOCBxsjeZpMhdlo75/CFuTSGse0FIOuhZp0/A4jpOTrH+iTsJ+cpJE/Umiwv7ZJIkKdZJNztLF29ytSHO2LkUJ1R0YYvciTRCEEKBQkWY5mHH9GqXDnYODp7dHvX/z9P53/u326OnD3tO3bvXGRwfjUbnTs3lhW9QLCvfCxmpNEIMQdHG15t7+lEQRUWuu5TRBDmquACh8y2mCJJ1ptdRdESvKRwiFrWq1ZWtL5OlVEgUnhA22VvNcnSTKRn3/ELYmrdY8oKUcdMe9SplTffkr7tJ1wMvuVeLaux41/tqrxPVkgnmyjV4lromKZCJgHt6rxDUZrFon6EFXrxLXQrBInSDz3L1KXBspBeCAhT4Jx7TwknuV2GaD+andXiW2tWB22rxXiW0hmI9IChZ9DPb4ZoPBv61eJbadimjnJk/BiG8mGPXZct7dq8Q2GUwD7fUqsS3tpFeJbR0lVbU59CXb5C57ldg2gnmqhV4llonGRuxyXUPhnB16psf8GaKzVyny1/9eIEURu1+hFwQhLEuhk8yLK/T1PORLPdN8WNe5zlfp9dTvVf0bZiq4voBf/Z/q3ert6kP9693qne+b2WH1sZmF1rcumbnieBxn33Mt5Qu6S+HuwqdpNowdUQzCmhxh6uZeyhdEkVnKt19ctCtKQl1MBDjiQg1y64R6KIrS2Wq+5w4mUT5C2CTNhZpW85d9L5GnkUkUnBA52PLft5ovyUZ9ARG2ptX85gEt5aCvcHls5m5kiv3VwhZ3YIid6zpJEEKAQnVdu+WxkvAKh99UpUliEGItrtLc5bGSKCIqzVkeK0lCTRIAh6c8VpKkM5HmKY8V5SPEwDZFWrxseYk9LUyi4ITAwRZpnvJYUTbq+4ewNYg0YEBLOegr3G2euXuY4ojqDgyxe5EmCEIIUKhIa73bXJJf4fwb6zRBDEK4xXVaU7e5JJCIWnOUx0pyUHMFQOGprZAk6UyrubvNRfEIkbBVqbZsfIk9nUyi4ITYwZZq7m5zUTTq24egNSm15vEs5aCv8JGOmbuRKU6o7sAQu1dqgiCE+IQqNfkjHSUdonCHbCzdBDEI4Zcg3ZwboZIoIqLNfaSjJAo1cwAgviMdJVE6E26eIx1F+QiRsVXltmyDiT19TaLghNDBVm6eIx1F2agvIMLWJN2aB7SUg9b/+ztDvii+NIrsb30SreU+J+tut5Zmyo6bJkEcRMWFK6c66nLKB9a5/A22vesxZMMupw+0ovrUbFY+pq0cjUdaU71T/eq8e2neg1T/ifn3fr/8Xe9eJpM7wbjb6EnimqhIJgLmzcsDtYcfKw/8WH/js/kqpVmfvDcfrYeDXjQIzJEU8SAIrYsuO2wusISdIPpcjUtcC8GKdVzLeRqXuDZSqsEBC1WhA0xqM3HINlGkc+lCLhs+s3NwMDpYZLPyaO+bWn2kW/pD9i0TPoz9Jq1tBdbMdpOPB2YmeodTVrhq8b/LtxbMTJQOp28b512fO/67CzfbrL7FtxrMT23oWwNzbejB2ONjgOmG3gW1sN2Yfe3JgXBR7PMpFJECfo6MZ6+vDFszeMQ3GEw18CQBCD6lCT4lGHzGfDQwR9G6qtyB5zbf0pa7qr49Pg86tz1v6wHfYkpuZT02q5mXP+CUbASZzquLwWY5AC6CQz4BmF1JfVnfNh69vjJqzdgjnrG1Vg/VWXaaxP24mIb9JE7T/qQ4LfrR8TQ+TcLgRH8153HOaz0Tffbc1j5b1LNbRyeaixMF7H7jQRCEsLyGTo8tJ6j9RH/6cFE5UheJ2EC3RUEVDrrRZHP2muYzmyufLsthVp1lveoP1YfV+/rjr6u3q4961a+qt6p/Wrah9cbbcdDb+57NNTuiriGsNBLmq+5NCkEUkU0KZePYFeWgLpACFFGRpfaC5qEoSmc7FJ5eLVE+QghtYwa3mselywXt1DOXkwQnxA148gEP6liWjfoCImxNOxTNA1rKQdcKL0/z6CQ7zfrHcRb0k3R61i9OkmP9R+OgOCsmk3i6mOh0q/CsS59a4WVUZ2CA3Ss8QRBCeEIV3sXSEi1lfld9pJXN+/3qHfMf/cVb+rOP6uZ6G/S2KLTCoXG1Z8PYEcUgRNhWlJkgiogy85SPCKJQcwMAkheDKHfV/QqidCbOwsB9+pooICH8tarOsmUyzzzqTBKcEDvY6sw9qmNZOOoriMA1ybPmES3loDs+GNcairTgcpwUUOPFebaOd+kFI0x7wQ05VC91XzDC5E4w7lYKRpgmKpKJgHn2Nby1A6NIJSNMMnAfjyD0nCUjTAvB7Thcv/lKRpg2Ura1AAu9JSNMEy+xZKTY2ouTYLlrm/tLRrh4YG5quWSEay2Ym6glI/l5yYjz6J1bfKvBDNWGpDUw14YejD0+BphwNikZya89ORCekhEuhSJSwM+R8ez1lWFrBo/4BoOpBp4XAMGnNMGnBIPPmI8G5qgWS0a4luYESxGfj8+Dzm3P23rAt5iSW1mPzWqu5Q84JRtBumQkv/bkAHhKRrgEYHYll4zk11dGrRl7xDO21rRQe4Thcc5sPVN79uzWWTJS0DhRwO43FARBCCtq6AS5g15VQYco3CH4tNSGsSOKQVgwJMxB3ZsNgihdbzYIolBXOgEQ72aDIEpnmw2+XlVJPkJkbGNitpqeFcuV6cIzRZMEJ4QOeE4BD+pYlo36AiJsTVsNzQNaykFf4VrfwlUJkjhOx3M7AwPsXLhJghDCEyrc+LW+kqAKB8UFmW2f4AKrZevAV/77O61lHyv/jXrfszlrR9RZhNjdhuyTRBGRfcrGsSvKQU05AIWv+lcSpTPN56n+FeUjBNU2NV+yPDM28RwCLApOiBtszeep/hVlo76ACFuD5gMGtJSDNueTbM33/zs8lySyjq1Wc6EHMyouXC/dWZlJYrP3BttecBMPFWPMMpPV5czzApPf6N95d6un/7bfVB/Mvxe5K0246AmG3kalCddERTIRMI90NEk4CGLr67HDBgJ3/Qgqz1VgwrUQ3LzDxZunwIRrI2UTDLAwKwaho76Ea+Hl1Zckkakvic2HZLHPm4TeIhM2I5iZ6EUmaey+eZltLZiZiEUmSbgqMpm72Wb1Lb7VYH5qQ9camGtDD8YeHwPMNRsUmWjbnxwId5EJm0IRKeDnyHj2+sqwNYNHfIPBdANPDoAIVJoIVJoIVIIRaMznA5MVrdLEHX1u8y1tv9JkFXlue17ZA77FlCTLenZW0y5/1CnZCMKVJquIsxwAd6UJmwBMsdRKE/3srIxaM/aIZ+yV3bCIAlelSRLROFHA7jcsBEEIa2voHHmDDQtBUIWDbjTdFDqcRNI1hGVGwsTVvT0hiCKyPWGdge+KclBXRwGKUOWD2IoyFEW5EtsTknyEENrGNG41mVtelJJ4Lr4RBSfEDXgGAg/qWJaN+gIibE3bE80DWspB1wovyYOz4iRJ+0mu4n6S6T8wOYmDfpwEp1k0PQuSePE2d6vwXCUpMdUZGGD3Ck8QhBCeUIXnvUbarAhoVWS2Q16rHulvP3F9ofmR+eXS1/T/x0HgubdQ0isK9wouB20YO6IYhBCMSzf3/dKSKCLSzXm/tCQJNXcAHDoNZom1c2QoitKZeMviQegSb5J8hOjYqniLl7k+9og3SXBC5GCLN+egjmXZqC8gwtYk3poHtJSDvrqNYJEjAmvxllCdgQF2L94EQQjhCRVv8o1gkg5RuEM21m2CGIToi+s2z5KbIIqQbnM1gkmiUPMGABKGgzxLbChDUZTOhJunEUyUjxAZWxVuyzvuEs+lhaLghNDBFm6eRjBRNuoLiLA1CbfmAS3loLs9cy5y7ZQqD16c5+t4l14MzLR3PWb8JRYDM9ETDL2VYmCmiYpkImAe8dg5XzkwEwmszyJIPGc5MNNCsMIKV26+cmCmjZRKJcBCXzkw08JLLAc2NxQmy0vCEv8NhWw8MC21XAnMtRZMS9RK4PMbChPPDYVsq8Hk1IaYNTDXhh6MPT4GmGg2qQQ+v6EwabihkE2hiBTwc2Q8e31l2JrBI77BYKaBZwRA8ClN8CnB4DPmo4EpqsUiYK6lAkXA5zcUut/WA77FlNTKemxW0yx/wCnZCNJFwOc3FPqDzSGfAMyu5CJgc0OhPdAc8Yy9ursMobMIOKVxooDd7zIIghDW0tC5cQe7DIIOUbhD8OmoDWNHFIOwVEiYgrp3GQRRut5lEEShLnICIN5dBkGUK7HLIMlHiIxtTMxW07PlPXWJ5+JBUXBC6IDnFPCgjmXZqC8gwta0y9A8oKUc9BXu3gqdtb0Z1RkYYPfCTRCEEJ5Q4bZB95YgqMJBcUF2qcfNCTqLELtbkX2CKCKyzxpxdkU5qCkHoPD2cwmidKb5fP1cknyEoNqq5ltefpd4rjMUBSfEDbbm8/VzSbJRX0CErUnzNQ9oKQfdcWWJS8X5b7Uo1vEuvbKEaS+4eYeKsEupLGGiJxh6K5UlTBMVyUTAPNIxc9EgiLOeHirzSWwj22GTgdt+BJnnLDBhWgju3uHqzVdgwrSRsgsGWOg4kWTItu8Sy0vMbYYqMB/C5Tav/0pDNiOYoFquMeFaCyYoao3J+ZWGiedKQ7bVYJpqQ9YamGtDD8YeHwNMOZvUmJxfaZg0XGnIplBECvg5Mp69vjJszeAR32Aw2cBzAyAClSYClSYClWAEGvP5wFTVYqEJ11KBQpPzew3dr+wB32JKimU9O6tZlz/qlGwE6UKT83sN/RHnkE8AplhyoYm519AebY54xl7d/YrIWWhS0DhRwO73KwRBCEtr6FR5g/0KQVCFg24065Q6bU7QNYRVRsK01b07IYjS6e6EIAd1cRSgcJzZNBTluBJbE5J8hPjZxhxuNZNbXpaXeG4/FAUnBA14+gEP6liWjfr2IWxNWxPNA1rKQV/ho+YiVzmKCqjOwAA7l3eSIITwhMq7jo6ak/SKwr2Ca0Ebxo4oBiEE47rNfdScJIqIbnMeNSdJQs0dEEdgBRmKgnQm3TwHzYnyEWJjm9JNLe+8U55LDEXBCXGDLd08B82JslFfP4StQboBA1rKQV/hFrDIddCc8t13YXUGBti9dBMEIYQnVLrJt4BJOkThDtlYtQliEKIvrtrcq22SKEKqzdUCJolCzRsQSGAnGYqSdKbbPB1gonyEwNiqbguXad5zXZ8oOCFysHWbpwNMlI36/iFsTbqteUBLOeiOq4FdSizy4RXBOt5lVwNz7QXLrFAhdRnVwFz0BENvoxqYa6IimQiYRzxnDqkH5rKBJVoEqeeqB+ZaCBZZ4QrOUw/MtZFSrARY6KwH5tp3efXAylw8rZbXvqrIWwrMxgOzU7ulwGxrwexELAVW0aoUWDnvg7rFtxrMUW1oWgNzbejB2ONjgPlmg1JgbfuTA+EuBWZTKCIF/BwZz15fGbZm8IhvMJhn4IkBEHxKE3xKMPiM+WhggmqvCphtaftVwKugc9vzth7wLaYkVtZjs5pt+QNOyUYQrgJeBZvlALirgNkEYHalVgHrZ2dl1JqxRzxjr+5eQ+yqAlYxjRMF7H6vQRCEsKSGTpE72GsQdIjCHYLPSm0YO6IYhBVDwgTUvdcgiNL1XoMgCnWtEwJx7zUIklyJvQZJPkJgbGNetpqdLe+uU57LCEXBCZEDnlLAgzqWZaO+fwhb015D84CWctBXuHsrdpb3JlRnYIDd6zZBEEJ4QnUbv3tLElThoLgeu8zT5iSdRYjdrag+QRQR1WeNOLuiHNSUA1A4+7kkOToTfJ5+LlE+QkRtVfAt77xTnksMRcEJQYMt+Dz9XKJs1LcPYWsSfM0DWspBd1xcktjwtIRTXrxwHe/Si0uY9oIbd6gCu5TiEiZ6gqG3UlzCNFGRTATMoxeXRNFWT4e+sLCR7bDJwC0/gsZzlpYwLQR37nDp5istYdpI2QEDLEzTQWQ9eGXItvASi0vMXYZqeZ2Y8t9lyMYDs1PLxSVca8HsRC0uOb/LUHnuMmRbDeaoNjStgbk29GDs8THAfLNJccn5XYaq4S5DNoUiUsDPkfHs9ZVhawaP+AaDmQaeGADBpzTBpwSDz5iPBqaoFotLuJYKFJec32XoflsP+BZTUivrsVnNtvwBp2QjSBeXnN9l6A82h3wCMLuSi0vMXYb2QHPEM/bqblIkzuKSlMaJAna/SSEIQlhSQ6fIG2xSCIIqHHSz2WZnmxSCziKsNxImsO5NCkGUTjcpBDmoy6QARRhHg4XJF6fDgihXYp9Cko8QVNuY061mdstb85TnGkRRcELcgKcj8KCOZdmoLyDC1rRP0TygpRz0FS4oTpyFKRnVGRhg95pPEIQQnlDN10FBsaBDFO4QXBvaMHZEMQjRtxXVJogioto8BcWCKNS8AYAUgyJx1ZcIknSm23wFxZJ8hMDYqm5b3nynPFcZioITIgdbt/kKiiXZqO8fwtak25oHtJSD7ri+xBpStRLzXmRRROt4l15fwrQX3LtDhdSl1Jcw0RMMvZX6EqaJimQiYB71KsOm6hImF7jnR5B5zuoSpoXg1h2u3nzVJUwbKVtggIW+6hKmhZdYXWKuMkzNVYbp8iIx5b/KkM0IJqiWS0y41oIJilpicn6VofJcZci2GkxTbchaA3Nt6MHY42OAKWeTEpPzqwxVw1WGbApFpICfI+PZ6yvD1gwe8Q0G0w08NwAiUGkiUGkiUAlGoDGfD0xWLdaZcC0VqDM5v8rQ/coe8C2mJFnWs7OadfmjTslGkK4zOb/K0B9xDvkEYIol15mYqwzt0eaIZ+zV3XNQzjqTgsaJAna/5yAIQlhaQ6fKHew5CDpE4Q7BZ6c2jB1RDMLKIWEy6t5zEETpes9BEIW65gmA+PYcBEmuxJ6DJB8hMLYxOVtN0ZZX2inPHYWi4ITIAc8r4EEdy7JR3z+ErWnPoXlASznoK3xHoXLViqQB1RkYYOe6TRKEEJ5Q3dbRHYWSXlG4VzYVb5IYhBCMizf3HYWSKELiLbaR7IqSUHMHwBEWgzxPbChDUZTOxJvnlkJRPkJ0bFO8pctL7VLPLYWi4ITIwRZvnlsKRdmoLyDC1iDegAEt5aCvcHOXct1SmHqv/rE5AwPsXrwJghDCEyre+M1dkqAKB8X1mP0okbv1wuKnSCfXW9U/Pd7JFfT2vmdzzY6oawiRGtd47gU6SRQRjedo5ZLkoCYYgMLXyiWJ0pnC87RyifIRQmirCm95/V3quc9QFJwQN9gKz9PKJcpGfQERtiaF1zygpRy0/t/fbc3T5N/6FFzLpcHWgKS1W+TBjIp0HbOz0mBls/cG216w5gqVXu2UBus/0DNLNLNXzV9g/jt7SX92v7FKmOuFBPNCG1XCXBMVyUTAPFKVcDgIYmsU3GEDgfVaBMHnKg/mWghWXOE6zlMezLWRUrkEWBiF6cC1hco18fLqg1NztWGamA9qUZ2X+u83ZDOCWYpeH6yC3FkfzLYWzFLE+uD0/H7D1HO/IdtqMFe1oXENzLWhB2OPjwEmmw3qg9Pz+w3ThvsN2RSKSAE/R8az11eGrRk84hsM5ht4ogBEoNJEoNJEoBKMQGM+H5itaPXB7uhzm29p+/XB6fklh+5X9oBvMSXLsp6d1RTMH3VKNoJwfXB6fsmhP+Ic8gnAFEutD07NJYf2aHPEM/bqblWkrvrgNKZxooDdb1UIghDW2dD58gZbFYKgCgfdaL4ptVUh6BrCkiNh5ureqhBE6XSrQpCDulIKUCRxNHAWowiiXImtCkk+QghtYxq3mswtb89LPdchioIT4gY8A4EHdSzLRn0BEbamrYrmAS3loOcdYJNJfhwfF/0sjZN+EpwV/Yk60R+CKDyZxvovWs6Ru1V41gisFV5CdQYG2L3CEwQhhCdU4XkriRcNXt+Oq4e9ec3w7PVI9TwbHILwCofHVZ8NY0cUgxBpcYXmKRgWRBFRaO6CYUESaooAONJkUNh3b4eiKJ1pNF/BsCQfIQi2qtGWF96lnhsMRcEJkYOt0XwFw5Js1BcQYWvSaM0DWspBX+Eu/dRZMKzIzoAAu9dogiCE8IRqNPkufUmHKNwhG+s2QQxC9MV1m2dlTRBFSLe5uvQlUah5AwCJo0GSWiPgUBSlM+HmadMX5SNExlaFm1rmec+FfaLghNDBFm6eNn1RNuoLiLA1CbfmAS3loDs+Gjiz4Wkplnrw4iJex7v0+l+mvesx4y+8/pfphQTzQiv1v0wTFclEwDziLdS+CmAmEliRRVB7zgpgpoVgTRUu4nwVwEwbKbVJgIXeCmCmiZdYAZyZ4t98WXqX+ot/uXhgimq5+JdrLZiiqMW/6Xnxr/MmqFt8q8FE1YawNTDXhh6MPT4GmGk2Kf5Nrz05EJ7iXy6FIlLAz5Hx7PWVYWsGj/gGg6kGnh0Awac0wacEg8+YjwbmqBbrfrmWCtT9pud1v8639YBvMSW3sh6b1ZTLH3BKNoJ03W967ckB8NT9cgnA7Equ+02vr4xaM/aIZ+zV3XHInHW/GY0TBex+x0EQhLCuhs6TO9hxEHSIwh2Cz0dtGDuiGOuiwINBmIO6dxwEUbrecRBEoS54AiDeHQdBlCux4yDJR4iMbUzMVtOz5d11qecyQlFwQuiA5xTwoI5l2agvIMLmHdAxMqClHPQVbtjKnOW8/osrLM7AALsXboIghPCECrcNGrYEQRUOigsy2wbBBVbLnoGvh+t3Wss+1sMV9b5nc9aOqLMIsbsV2SeIIiL7XC1cghzUlANQeFu4BFE603y+Fi5JPkJQbVXz5UuJ4LmzTxScEDfYms/XwiXJRn0BEbYmzdc8oKUcdMdVJtbrx7SKK7x4yTrepVeZMO0FN+9QEXbZVSZMLySYF1qpMmGaqEgmAuYRq0yab6PmkoE7gATF5yw2YVoIbuThQs5XbMK0kbIhhlgYxGoQWoPjkG3j5VWbZOYq6mx5EWxa+KtNuHhgqmq52oRrLZiqqNUmxXm1ifMuqVt8q8GE1YbANTDXhh6MPT4GmHE2qTYprj05EJ5qEy6FIlLAz5Hx7PWVYWsGj/gGg7kGniUAwac0wacEg8+YjwYmqRarTbiWClSbFOfVJs639YBvMSW5sh6b1dTLH3BKNoJ0tUlx7ckB8FSbcAnA7EquNimur4xaM/aIZ+zV3bTIXdUmWUDjRAE737SQBCGsr6HzZf6mhSSowkE3m292tWkh6SzC4iNhCuvctJBE6XLTQpJjPV17OND5cBRkwSC21iQORVmuwq6FKB8hqrYxqVtO7bLlpXmZ5xZEUXBC4IDnI/CgjmXZqG8gwtawawEMaCkHfYVLjHNXpUrmvzDI4gwMsHvRJwhCCE+o6JMvMZZ0iMIdgotDG8aOKAYh+rYi2wRRRGSbu8RYEoWaNwCQUKlBlGU2lqEoS2fKzVNjLMpHCI2tKrflZXiZ53ZDUXBC7GArN0+NsSgb9Q1E2JqUW/OAlnLQHdebWBcatRaLvHhqHe+y60249oLbd6iUuuR6E64XEswLbdSbcE1UJBMB80i3GjZXm3C5wB1AguZzVZtwLQQ38nAp56k24dpI2RBDLPRVm3BtvMRqE3O7YWZuN8yWd4tl/tsN2Yxgtmq35IRtLZitiCUn2fnthpnndkO21WDOakPjGphrQw/GHh8DTDoblJxk57cbZg23G7IpFJECfo6MZ6+vDFszeMQ3GEw48EQBiECliUCliUAlGIHGfD4wXbVXd8K2tP26k+z8dkP3K3vAt5iSZlnPzmoK5o86JRtBuO4kO7/d0B9xDvkEYIql1p1k5nZDe7Q54hl7dbcgCmfdSUzjRAG734IQBCGss6Hz5g62IAQdonCH4PNTG8aOKAZhGZEwHXVvQQiidL0FIYhCXQAFQPxbEIIsV2ILQpKPEBrbmJ6tJmnLS+4yz62FouCE2AHPLOBBHcuyUd9AhK1pC6J5QEs56Ct8a2HhLB5JyM6AALtXboIghPCEKrd2by2UhFc4/MYqTRCDEGlxlea+tVASRUilxTaSXVESaooAOOIwGCiV2FiGoiydiTTPtYWifIQo2KpIW95yl3muLRQFJ4QOtkjzXFsoykZ9AxG2JpHWPKClHPQVbusqXNcWZorqDAywe5EmCEIIT6hI26CtSxBU4aC4ILMfI3K3XkL8FOnheqv6p8d7uILe3vdsrtkRdQ0hUuMiz7MUJ4giIvKsk8BdUQ5qgkEovE1cgiydSTxfE5ckHyGGtirxlvfhZZ4LDkXBCYGDLfF8TVySbNQ3EGFrknjNA1rKQXdbCmy/tE2LttSLd+H+xksvBWbaux4z/sJLgZleSDAvtFIKzDRRkUwEzKMfPRdnPT1u5hPrTGeHzQZWZxFEn7McmGkhWF+FazlfOTDTRkqdEmBhYC8XGbLtu8RSYHPNYba8aSzzX3PIxgMTVctVwFxrwURFrQI+v+Yw81xzyLYaTFdtyFsDc23owdjjY4D5ZpMq4PNrDrOGaw7ZFIpIAT9HxrPXV4atGTziGwzmGXiOAASf0gSfEgw+Yz4amKBaLADmWipQAHx+zaH7bT3gW0xJrKzHZjXx8gecko0gXQB8fs2hP9gc8gnA7EouADbXHNoDzRHP2Cu7QxE7FJ2e7GY0ThSw+x0KQRDC6ho6W95gh0IQVOGgm802Ozt4TtBZ65LC4yzC9NW9ZyGI0umehSAHdcUUoAjsBXhDUY4rsV8hyUeIqG1M6FbTuuVtepnnekRRcELQgOci8KCOZdmobx/C5h3QMTKgpRz01e34ih1hSws+/71BFmdggN0LPkEQQnhCBV8HHV+CDlG4Q3BhaMPYEcUgRN9WJJsgiohk83R8CaJQ8wYEEthJhqIknek2X7+XJB8hMLaq25Y34mWeKw5FwQmRg63bfP1ekmzU9w9ha9JtzQNaykF3XGfiWnorvHjZOt6l15kw7QU37lAhddl1JkwvJJgXWqkzYZqoSCYC5lGPnGuuMmGSgbt/BM3nrDJhWghu4uFSzldlwrSRshkGWOiuMmHad3lVJrm53jAPzYdoudvrv+OQzQjmqpZLTbjWgrmKWmpyfsdh5rnjkG01mLHaULgG5trQg7HHxwBTzialJud3HGYNdxyyKRSRAn6OjGevrwxbM3jENxhMNvA0AYhApYlApYlAJRiBxnw+MFW1WG/CtVSg3uT8okP3K3vAt5iSYlnPzmoC5o86JRtBut7k/KJDf8Q55BOAKZZcb2IuOrRHmyOesVd3+yF01ZssFjhgThSw8+0HSRDCKhs6a5bffpB0iMIdgs9ObRg7ohiERUTCVNS5/SCJ0vH2gyTKes71oOBTW+f2gyTJVdh+EOUjBMY2JmfLKVq+vNou99xVKApOiBzwvAIe1LEsG/X9Q9gath+AAS3loK/ucXNatznKRnL/9T82Z0CA3es2QRBCeEJ1W7vHzUnCKxx+Y40miEGItLhGcx83J4kipNGsezO7oiTUFAFxBFaQoShIZwrNc9acKB8hBLaq0JZX2OWeOwlFwQlxg63QPGfNibJRXz+ErUmhNQ9oKQd9hTu5QtdZc3lEdQYG2L1CEwQhhCdUofE7uSRBFQ6Kq7HuzpqTdA0hUuMKz7MKJ4giovCsM8BdUQ5qggEonH1bkhydyTtP35YoHyF+tirvoqUa8FzMJwpOCBpseefp2xJlo759CFuTvGse0FIOWv/v7x5/XY1s+1ufjmu5INi1xhZ7eKMiX+ftqCA4dBTq3WAbDNZXwQrsQhnv3fNy3yfF2OyN6uHWukB71Ney5r7+Ez/VOqb+kZ7+W+7Wf8W96pH+/JH51su96mv9+X0tdUzx6kvVg/qfqLdN9U983tMfPlnbZjXfnpcfm+98Ofv5oKf/+KNeFNSrdIti5HuzN7SGmhc0fz7/gcT8/n0NZP7xezb3b7Pdn2Dub6MUmWuiIpkImLesMg4Hgf3cxx22rWC9F0FLuoqLuRaCFVu4RPQUF3NtpFQ+IRamOnQlNhOHbBMvsb7Y3GWdK/MhNR+yRYlfHnuLjNmgYP6jFxnnmUvjfJdvLZj/iEXGebwqMs6dl1Ld4lsNJsE2ZLSBuTb0YOzxMcBkskGRsbb9yYFwFxmzKRSRAn6OjGevrwxbM3jENxhMOvBcBAhDpQlDpQlDpQlDJRiGxnxIMG/RKo3dIeg239L2K41X4ee257094FtMybesB2g11fOHnpKNIFxpvAo7ywFwVxqzCcA8S6001s/Oyqg1Y494xtY6Nzb7JUXcz4PktJ+odNKfBMfTfnwcBUVyfBpnZ4uHyjmP9qwssOfSzkrjhMaJAna/HyIIsi5CfAO0yWwc3RERRFU4KmFaidH2ysODo+8eHh30nv7u3zx9uPNdG/6OKD5hAZMwU3XvegiiiOx6OPZVd0VJqCuvAEcSRdkgT20sQ1GWzvY+8kHq2vqQxCOEyjbmbKuZ2/LSvdxzi6IoOCFywNMNdEzHsmjU9w9Ba9r5aB7PUg66FnJnJ+FpGiVFP03yuJ+kedLPo2nRPz0JTovT4DiYBqd3LkHIubZFFNUZGGD3Qk4QhBCdUCH3odl/mAua9YNSalHz/eXBKovtkEX9xyMtf8xJvl/MD/nQn81/o/7hMJi9bn4FW7nNR9uiPlK4j3AFaMPYEcUgxGOCknPuOQiSCAk564RwV5SEmkgQjiwfxK77sCVZOhNyaero97spy0eIla0queXdernnskRRcELkYCs556COZdmobyDC1iTlmge0lIOupdxxfDwJ8zDox2E67SdhmPeLYHrcP5lGxak6yeMgWwx6t1LOOpfWUi6lOgMD7F7KCYIQwhMq5T4wZST1DQtfzn5R95HN3pz9dC7R6k4yI86qD6r3rOsG26K4CsfdWJUJYhBiK0GVmaqVTwY9ez/fM6JAMuLMxrErykFNDAhFaI1vQ1GOzmRZqAb2W5FuyvIR4l6rsixdZnHPdX+i4ITQwZZlzkEdy7JR3z6ErUmWNQ9oKQddy7I8zaOT7DTrH8dZoCXc9KxfnCTH/biIg+KsmEzi6aJioFtZlticoWVZRnUGBti9LBMEIYQnVJZdPJSpvtrqo+oP1fv96h3zH/3FW/qzj2qFZoPeFoVWOPTG4kwQgxBhCeLMvfkpiCIiy4JBpGwou6Io1NwAgCTBQMVWlKEoSnfiLAjcnV+SgITw16o6W17wlHtu7BIFJ8QOvjpzjupYFo76CiJwTfKseURLOWjT+rU1VyVddny51sN8N1xERbGO2V3Hl3U36Abb4PXo8a+r4+vR7JVeFC4au1rp/GIOQ4INQyudX0wTFclEwDyk84tp63pqEOz8YloIVtDjStHX+cW0kVKJjlgYxY6ljiHbxEvs/Cq29uLCXC9RmOsliuXh7nnu7/zigoJ5kN75FQZp5m794poLJkJq61d+3vrlvJ/qFt9qMBu2oaMNzLWhB2OPjwFmk01av/JrTw6Ep/WLS6GIFPBzZDx7fWXYmsEjvsFg1oEnI0AcKk0cKk0cKk0cKsE4NOZDgomL1vrliUG3+abmBFMR94/P489tz4t7wLeYknFZT9BqruePPSUbQbr3K7/25AB4er+4BGCmJfd+5ddXRq0Ze8Qztla6UHmx4XHOqD1LC+xZtbP3q6BxooDdb2gIghBW9Daal6O9X4KoCkclTCwxWrT3SxCfsIRJmKu6tz8EUUS2P9y9X4Ik1KVXgCNNYjVQ1iWEoShLZ9sfnt4vSTxCqGxj0raauhXLpXLP</t>
  </si>
  <si>
    <t>9YCi4ITIAc830DEdy6JR3z8ErWnro3k8SznoK9z7Fbt6vwrfHRxWZ2CAnQs5SRBCdEKF3KX0fkn6SOE+whWgDWNHFIMQjwlKzrXrIEkiJOQcBcaSJNREgnDE6UD/srEMRVk6E3Ke3i9RPkKsbFPJFcsLpwrPDWKi4ITIwVZynt4vUTbqG4iwNUg5YEBLOegr3PsVu3q/Ct9lHVZnYIDdSzlBEEJ4QqXcpr1fkrgKx91YlQliEGIrQZU19H5JAsmIMxvHrigHNTEAFK6jlSQxOlNlntYvUT5C2GtVlS0vmSo8t4aJghMiB1uVeVq/RNmoLx/C1qTKmge0lIOe75RCd8B2r8oSmzO0KouozsAAu1dlgiCE8ISqsoutX+ZLLdLuVff1b71c3/T6i/k9r73q3eqt6sPqo+rt6j396/3lxa/jvgp71Vs2h2yLOkThDtlYtwliEKIvQbc590UlUUQUW+CYzu+KolDzBgAS5gOVWiPgUBSlM+HmvLv9piwfITK2KtyW10cVnvvARMEJoYMt3JyDOpZlo76ACFuTcGse0FIOetEUZh7mLpvCXJIs9mDGQbCO2V1TmHVl7wbb4PXg8a+vKSxZNIWlbTSFcYchwYahjaYwromKZCJgHtAUxrV1PTPINYVxLQRr63Gd6GkK49q4noM2bArLskHhWrhjWnh5PWGFuQ2sMLeBFeY2sGJ5DU/hvw2MDQqmQUZPWJS7+t6/yzcXzIPEnrDi/DqwwnMdGNtqMBm2oaINzLWhB2OPjwEmkw16worz68CKhuvA2BSKSAE/R8az11eGrRk84hsMJh14KgLEodLEodLEodLEoRKMQ2M+JJi3iD1h7hh0m29q+z1hxfl9YO4X94BvMSXhsp6g1VTPH3tKNoJwT1hxfh+YP+4c8gnATEvtCSvMfWD2mHPEM7YWulDZseFxTqg9KwvsSbWrJ6xIaJwoYPc7HYIg6yrEN0CbTMvBnjBJVIWjEuaVGC3YEyaJT1jAJExV3Xsfgigiex/OnjBJEurKK8CRBlrf2PuBh6Is3e19OHvCRPEIobKNSdtq6ra8P6rw3AcmCk6IHPB8Ax3TsSwa9f1D0Jp2PprHs5SDvsI9YYmzJ0xRnYEBdi/kBEEI0QkVcpfTEyboI4X7CFeANowdUQxCPCYoOeemgyCJkJBzFR4LklATCcCRq0GmXHsYgiid6ThfS5gkHyFUtirklrdHFZ7rwETBCYGDLeR8LWGSbNQXEGFrUnLNA1rKQV/hlrDE2RKWUp2BAXav5ARBCOEJVXIbt4QJ4iocd2NRJohBiK0EUdbUEiYIJKPNbBy7ohzUxABQKGXDGIpidKbKfC1hknyEsNeqKlteHlV4bgMTBSdEDrYq87WESbJRXz6ErUmVNQ9oKQd9hW8DS5wtYRnVGRhg96pMEIQQnlBV1s5tYJLQCofeWJsJYhAiLEGbubc+BVFEVJn7NjBJFGpuAEDCYpAUNpKhKEl32sxzGZgoICH6tSrOlldHFZ7LwETBCaGDL848l4GJwlHfQASuSZ01j2gpB73o+9I6qNO+L2tw1brLdzh7HITrmN31fVmF4g22wevR419X35dp54p8/V51Y9hWsGgNy5HOL+ZAJNhA0Dq/qneNM416Ne56sHD0m7NfaoaX5xvCr2iyxz23cLcZlvk+8ecDG+h32KCKBIpAAv1jTFvXU4xg/xjTQrAOHxecvv4xpo2UcnbEwjQZBFY3DtkmXmIDWbG1l+i8qT+E5sPyMp/Cf6kYGxTMp/QGskIl7v4xrrVgPqX2j53fKVZ47hRjWw0m1TbkuIG5NvRg7PExwJS0Sf/Y+Z1iRcOdYmwKRaSAnyPj2esrw9YMHvENBpMOPKcBwlBpwlBpwlBpwlAJhqExHxLMW7T+MXcIus23NCdYinh/fB5+bnve2wO+xZR8y3qAVjNGf+gp2QjS7WPnV4r5w84hnwDMs+T2MXOlmD3kHPGMrXUuVKFseJzzcs8CBXtu7mwfK2icKGD3uyKCIIR1wY1m92j7mCCqwlEJ00qMFm0fE8QnLIQSZqruPRRBFJE9FHf7mCAJdQEX4Ei0Yc4rxSRZOttE8bSPSeIRQmUbc7bVzG15BVXhuVJMFJwQOeDpBjqmY1k06vuHoDVtoDSPZykHfYXbx5SjfSwJfJdyWJ2BAXYt5ERBCNEJFXKX0T4m6iOF+whXgDaMHVEMQjwmKDnHnoMoiZCQsxcpi5JQEwnCkQeDJLILOVGWzoScu39Mlo8QK1tUcmbhtM78i09s4Huy4ITIwVZy7v4xWTbqG4iw+aUcMqClHPQV7h9Tjv6xJPDd5GF1BgbYvZQTBCGEJ1TKbdg/JoqrcNyNVZkgBiG2ElSZv39MFEhGnNk4dkU5qIkBoYiss5ehKEdnsszdQCbLR4h7rcqycJnF3XeKyYITQgdblrkbyGTZqG8fwtYky5oHtJSDvsINZMrRQJYsCuUIzsAAu5dlgiCE8ITKslYayEShFQ69sTgTxCBEWII4c21+iqKIyDJnA5koCjU3ACCJqUy2ogxFUboTZ+4OMllAQvhrVZ1Fy2TuvjhMFpwQO/jqzN1BJgtHfQURuCZ51jyipRz0ooNMh4hOO8is0lsLr9iLGa1jdtdBZo2hN9gGr0ePf10dZKZBLFq0hyWtdpKxByTBBuTKdJKxQRUJFIFs7CRj27qeasQ6ydgWghX5uPJ0d5KxbVzPaRt2kuW5fTdjyDbw0vrIkiAx3WPKfEjNh8UFQNpeXx8ZHxTMqvQ+sjBMlauRjG8umFZpjWT6H102ki38bLP6Ft9qMLe2ocoNzLWhB2OPjwFmJH4jmbH9yYFwNpLxKRSRAn6OjGevrwxbM3jENxjMOfDUBohDpYlDpYlDpYlDJRiHxnxIMG3RGsk8Meg239TWO8nO489tz4t7wLeYkm9ZT9Bq5uiPPSUbQbaT7DzuLAfA2UnGJwAzLbGTzDw7K6PWjD3iGVvrXKhY2fA45+eehQr2HN3RSaajFY0TBex+e0QQZF2F+AZok1k+1kkmiqpwVMK0EqPFOslE8QkLooSZqnszRRBFZDPF1UkmSkJdyAU4ElWEA+vC5VAUpbO9FGcjmSweIVK2MWdbzdyS5bq7+x4yWXBC4ICnG+iYjmXRqK8fgta0j9I8nqUc9BVuJEudjWSK6gwMsHsdJwhCiE6ojrucRjJBHyncR7gAtGHsiGIQ4jFByDm3HARJhHScq1pZkISaSACOIhuErh0MQZLOZJyvjUySjxApW9Vxapn33deQyYIT4gZbx/nayCTZqO8fwtYk5JoHtJSDvsJtZKmzjSylOgMD7F7ICYIQwhMq5DZuIxPEVTjuxppMEIMQWwmarKmNTBBIRprZOHZFOaiJAaBICxvGUBSjM1Xm6yKT5COEvVZVWbpM4u5ryGTBCZGDrcp8XWSSbNSXD2FrUmXNA1rKQc+3Sc/yID07DfpnUXDWT07Sop+fFoX+2an+l+OzSZAsomu3qiyxOUOrMv+tHxZnYIDdqzJBEEJ4QlXZxS4y86UWafeq+/q3Xq7uzuttjULrVe9Wb1UfVh9Vb1fv6V/vL9bebo37KuxVb9kcsi3qEIU7ZGPdJohBiL4E3ebeFBVEEVFsgWM6vyuKQs0bAEgYD6LEijIURelMuOX5IHdti0ryESJjq8ItW+Z59xVlsuCE0MEWbs5BHcuyUV9AhK1JuDUPaCkHvegvM2PaZX9ZZsPUksx/1nu8jtldf5l1FnGDbfB68PjX11+WLJrG0pb7y5gDkmADcoX6y5igigSKQAL9ZUxb1zONYH8Z08J17SnaX8a0kVLvDliY6MjoOk6KaeElNpiZi8pCc1FZaC4qC6NlY4f3ojI+KJhWGQ1mcZG7G8y45oJ5ldpglp83mLlvKuNbDSbXNlS5gbk29GDs8THAlLRJg1l+7cmB8DSYcSkUkQJ+joxnr68MWzN4xDcYTDrw1AaIQ6WJQ6WJQ6WJQyUYh8Z8SDBvERvM3DHoNt9UgQaz/LzBzH1VGd9iSsJlPUGrqaM/9pRsBOkGs/zakwPgaTDjEoCZltxgll9fGbVm7BHP2FroQkXMhsc5QfesVLAn6c4Gs4LGiQJ2v3MiCEJYH9xomo82mAmiKhyVMK/EaNEGM0F8woIoYarq3ksRRBHZS3E3mAmSUFdyAY44DbNBmthYhqIs3e2luDvMJPEIobKNSdtq6lYsV97dV5XJghMiBzzfQMd0LItGff8QtKadlObxLOWgr3CHWebqMAv9l31YnIEBdi7kJEEI0QkVcpfSYSbpI4X7CFeANowdUQxCPCYoOdemgySJkJBzFDJLklATCcChwkEQOvYwJFE603GeFjNRPkKobFPIhcuLrULPTWWi4ITAwRZynhYzUTbqC4iwNSg5YEBLOegr3GKWuVrMQv/9IBZnYIDdKzlBEEJ4QpXcpi1mkrgKx91YlAliEGIrQZQ1tJhJAsloMxvHrigHNTEAFPaD54eiGJ2pMk+LmSgfIey1qsqW91qFnovKRMEJkYOtyjwtZqJs1JcPYWtSZc0DWspBX+GLyjJXi1kYUZ2BAXavygRBCOEJVWXtXFQmCa1w6I21mSAGIcIStJlz61MSRUSVuS8qk0Sh5gYAJAwHqrCiDEVRuhNnnovKRAEJ4a9Vdba81ir0XFQmCk6IHXx15rmoTBSO+goicE3yrHlESznoRSOZiaJdNpJZV/G18Iq9mMk6ZneNZNbOtxtsg9ejx7+uRjLTFRZ5GsjMBqr+xs+q+728biNr7B/jjkOCjcPV6R/jgioSKALZ3D/GtXU9w8j1j3EtBOvwccHp6R/j2rieyjbsH4uSdJBadzGGbBMvr4EsNDeUheaGstDcUBYubwYK/TeUsUHBdMpoIAuyxNlAxjYXzKfEBrLw/Iay0HNDGdtqMKm2IccNzLWhB2OPjwHmpA0ayMLzG8rChhvK2BSKSAE/R8az11eGrRk84hsMZh14TgPEodLEodLEodLEoRKMQ2M+JJi4iA1k7hh0m29q+w1k4fkNZe4X94BvMSXjsp6g1ZTRH3tKNoJwA1l4fkOZP+4c8gnATEttIAvNDWX2mHPEM7ZWulCNsuFxTsw9KxTsybmrgcykJgonCtj9voggyLoK8Q3QJtN7sIFMElXhqISJJUYLNpBJ4hNWQglzVfcuiiCKyC6Ks4FMkoS6ggtwpEkYOQ9PkWTpbBfF3UAmikcIlW1M2lZTt+WVVqHnijJRcELkgOcb6JiOZdGo7x+C1rSD0jyepRz0FW4gy50NZIrqDAyweyEnCEKITqiQu5wGMkEfKdxHuAK0YeyIYhDiMUHJOXcdBEmEhJyrTFmQhJpIAI4o04GxcG1iCLJ0JuR8HWSSfIRY2aqSW95pFXouKRMFJ0QOtpLzdZBJslHfQIStSco1D2gpB32FO8hyZwdZSnUGBti9lBMEIYQnVMpt3EEmiKtw3I1VmSAGIbYSVFlTB5kgkIw4s3HsinJQEwNCkVrF8lCUozNZ5mshk+QjxL1WZdnyUqvQc0uZKDghdLBlma+FTJKN+vYhbE2yrHlASznoK9xCljtbyPw3f1icgQF2L8sEQQjhCZVlLbWQCUIrHHpjcSaIQYiwBHHm3vwURBGRZZ4WMkEUam4AQNJwkCrX5qcgSnfizNdCJglICH+tqrPlzVWh5yoyUXBC7OCrM18LmSQc9RVE4JrkWfOIlnLQixYyo766bCErbJhaeOVeTLWO2V0LmTWG3mAbvB49/nW1kJkrxqLFBWNJu61kzPFIsPG4Qq1kTFBFAkUggVYypq3rmUawlYxpIViRjwtPXysZ00ZKYTtgobkl1LXax7TwEjvJzFVkkbmKLDJXkUXLK4BC/1VkbFAwqzI6yeIwcneScc0F0yq1k+z8KrLQcxUZ22owt7ahyg3MtaEHY4+PAaakTTrJzq8iCxuuImNTKCIF/BwZz15fGbZm8IhvMJh04KkNEIdKE4dKE4dKE4dKMA6N+ZBg3iJ2krlj0G2+qTnBVMT94/P4c9vz4h7wLaYkXNYTtJo5+mNPyUaQ7iQ7v4rMH3cO+QRgpiV3kpmryOwx54hnbC10oWJlw+Ocn3sWKthzdGcnWUHjRAG73x4RBCGsD240y0c7yQRRFY5KmFditGgnmSA+YUGUMFV1b6YIoohsprg7yQRJqAu5AEeShrnzKjJJls42UzydZJJ4hFDZxqRtNXVbXl0Veq4iEwUnRA54voGO6VgWjfr+IWhNGynN41nKQc+F3FkepGenQf8sCs76yUla9PPTouifTKdJkMZnkyBZhNhuhZyjkyzy3+ZhcwYE2LmQkwQhRCdUyF2sczFfVg/0F/f1b71c3Z1vCZhS5F71bvVW9WH1UfV29Z7+9f6izezWuK/CXvWWzSHbog5RuENwuWfD2BHFIATfNmSbJIqIbAscfSu7oijUvAGAhPEgjqwSdCiK0p1sywe5Q7eJ8hEiY5u6LVpeVBV5bh4TBSeEDr5ucw3qWJaN+gIibA3CDRjQUg76Ch8BULj6xiL/hR8WZ2CA3Qs3QRBCeEKF26UcASDpI4X7aGMtJ4hBCMgELeeqFpEkEZFyziMAJEmoiQTgKLJBFjiKTyRROlNynhMARPkIobJVJbe83Cry3FYmCk4IHGwl5zkBQJSN+gIibE1KrnlASznoK3wCQOFqNYsiqjMwwO6VnCAIITyhSm7TEwAkcRWOu7EoE8QgxFaCKGs4AUASSEab2Th2RTmoiQGgUIUNYyiK0Zkq8xwAIMpHCHutqrLlnVaR55YyUXBC5GCrMs8BAKJs1JcPYWtSZc0DWspBLzrMDHeHHWaJde1U663Yi5muY3bXYWaNoDfYBq8Hj399HWbJosMsbbXDjDseCTYeV6fDjAuqSKAIZHOHGdfW9UQj12HGtRCs1CfoTXeHGdfG9ZS2YYdZmA1UYrNwyLbw8jrMInNXWWTuKovMXWXR8o6gyH9XGRsUzKqMDjPluauMbS6YVokdZtH5XWWR564yttVgbm1DlBuYa0MPxh4fA0xJG3SYRed3lUUNd5WxKRSRAn6OjGevrwxbM3jENxhMOvDMBohDpYlDpYlDpYlDJRiHxnxIMG8RO8zcMeg239T2O8yi87vK3C/uAd9iSsJlPUGrmaM/9pRsBOEOs+j8rjJ/3DnkE4CZltphFpm7yuwx54hn7JXdFUkCV4dZlNA4UcDud0UEQdZViG+AwFn+xrsigrgKx8XnljaMHVEMwtomYdrZtCsiCNTproggB3VhFqFw1aoIYlyJXRFJPkLYa2MCtpqGLe+pijz3jomCEyIHPHeAB3Usy0Z9+RC2pl2R5gEt5aCv7rHIWpVZw5ZWZYrqDAywe1UmCEIIT6gqa+dYZElohUNvrM0EMQgRlqDN3C1hgigiqsx9LLIkCjU3ACDJIM6tJENRku60medUZFFAQvRrVZwtb56KPFeJiYITQgdfnHlORRaFo76BCFyTOmse0VIO+uqeyqTVmXVtUKuzlOoMDLB7dSYIQohPqDrDzimyoW6LoiocFddkIC14KpMkPiEgt6LlBFFEtJzzVCZJEmoiQTjiNB84F9oEWToTc+5TmUTxCKGyVSm3vK0q8lw/JgpOiBxsKec+lUkUjfr+IWhNQq55PEs56Kvb3K+FXGJzhhZyGdUZGGD3Qk4QhBCdUCF3Oc39gj5SuI9wBWjD2BHFIMRjgpJzFuoKkggJOddmqSAJNZEgHMUgKqwhcSiK0pmO8zX3S/IRQmWrQm55r1XkualMFJwQONhCztfcL8lGfQERtiYl1zygpRy0aSP7x8ckjFOq/Xh68uKzP3ze4giWUnPthfrPes/WOV19ZG5rKfrrvJXMau4Ntrnrj5nHuaDK+l/Vg7rpa15Rdr/uR6o+No1Kszd6po6p/rA4CfN107RU//iDVbeZDVDrqPypIZvyQoh0Y24WIRc9IebWoTgyH0xjSJzrD0noipBcpoTOhBfaGpB9A7JvQPYNyL4B2XeB7PNBFB0Er7fVHCPDMTIcI8MxMhwjF8eIz4G/S/yIvSj2N9fJaJ7S8JSGp3TxlGyeCyXcDTy0h+vQQBwaiEMDcWggDl0Qh3wIPHsQC7k1w5FhODIMR4bhyDAcuRiOeAyPzYUNSmcd1pGzdLvwUhTOkcCMZWZF85nN3htse9dTxob91X+ovph35s7re/wpcMM+6epeLzLLGF/qv9i1McX0ynrSaaXL2Wbid9gmKpKJgHnL/uR/fu33dYtyT49UpD/JjI+/Nr3ts1cG1Wf1od5v2Fh22CzrMxzB/mWmhWAfGGW5w92/zLRxPTFv2L+cqcQebIZsCy+vfzk2l2PG4bJbsPB3LXPxwExF71qOVOhuWuZaC6YqatNycd607LzA4hbfajBhbTbBWS3+FNeGHow9PgaYYRhzmlXzYHHtyYHwNC1zKRSRAn6OjGevrwy7OHnhGgxmGngdDQg+pQk+JRh8xnw0MEXRWpXdgec231KBTuXivFPZ+bYe8C2mpFbWY7NanPQHnJKNIN2pXFx7cgA8ncpcAjC7Eie45tlZGXVxMssx1lh7nBwHURhM+vnkLOknaZL2j8NJ0T87maQnYZwE2WQy53HOc5+btLtZX//Xhvl0EvtvJbiAifLZZsQeLMqs2AZyQxSEsAGFTpcvtsQsducdNynNt+o/0V+8ahab69nwJ/Vac33Wl/kTX9Qz53v1uVgPXPNiSTcp3E345NSGsSOKQdh1I8xLnYWXkigi+/Xue5UkUdYTsQcFneeGYTwI7SxDUZbOduxzdxeNKB8hYLYxXVtO2uLlPTyx52IlUXBC7IBnGvCgjmXZqG8gwtawYw8MaCkHXcu5JI5VEk5UPzybTPthOC36eTDN+kGgApXmeViopg19CTnn2NWPQ6ovML7u5ZwgCCE6oXLuncf3Pu5pGfbp/MjYT02xQH1wrNFyD2qlttByD2r1Z37jF+bj8ttv1fsoD8zeRr0z8uaWOcbm0eyXs5/Xh9nUp6L+RuvAN/WfN30r5z90d6Em51//Jvxm9U71XqgnZAdP3+oVQRDbXL0t6mqFuxqXhMuzYgfLcotaAt/Xjntl9mqveu9xR6Cj8cTm1afGvauTdmutbUppf1qf//vKQmIvt6mWB9TqH3nQe/r5F6f/ftKrPlycwbva1bowiPUBw0bkv9Lr97SkNz9lbktdjpUeQTN6tiHbER0yQgprRf4KogjJX+t7tCtKQs29AEcUpQP7MW1DUZTOxG9kTiW38d2U5SOkl1bF7/LqothzF5UoOCFysMWvc1DHsmzUFxBhaxK/zQNaykHX5ar6Ty+W7I2m7bA2xyVvIx9tGK7TdlSbk7tqc7j2gludqDp9t7o7FzELkfNIS5mvLMWrH2rJ8atFic2jJyTRqnAHrb/hkicYeRv1N1wTFclEwLzqD7V779bNWw+edP1jNVPANQJcJHBzlKD3XGU4XAvBPU5cxnnKcLg2UvYKAQujQg2UtetuyDbxEutwYlOHkyy2wuPIW4fDxgOzEr0OJ4lyZx0O21owLRHrcOJoVYcTO+9LusW3GkxObWhbA3Nt6MHY42OAmWaDOhxt+5MD4a7DYVMoIgX8HBnPXl8ZtmbwiG8wmGrgCQIQfEoTfEow+Iz5aGCOotXhuAPPbb6l7dfhrILObc/besC3mJJbWY/NatblDzglG0G4DmcVbJYD4K7DYROA2ZVah6OfnZVRa8Ye8Yw11p7Fx9FJoYJ+HuVFP5mchv0im+gPsTo5zYpsejxZ5F/nnNYzyefOa511ODENE+XrfuNGEISwsoZOjZ/YuPmo3kR4ubeoxDl4+pZZiV/MeT+o/lj9ofp/qrfNp79aLM8vDsno6T//pfl79B9eNId+bmbci7aX6ote9XD2hp5k/2L2S5vbtkXdpnC34ZNWG8aOKAZheZEwUXVvTAiiCG1MhJkNZVcUhbowCoCoYBAl1rLMoShKZzsTcZoOUutY3ZQFJATQNqZvq0lcvFzJ9twCJwpOiB3wzAMf1bEsHPUVROCa9iaaR7SUg56fbnuWB+nZadA/i4KzfnKSFv38tCj6J9NpEqTx2SRIFmG2U31nlbFa3yVUX2B83es7QRBCeEL13cU6a3t9dV17Ub1bvVV9qGXg29V7+tf7i5LsW+O+0hLvLZtDtkUdonCHbKzcBDEI0bcV5SaIIqXclA1lVxSFmjYAkCQZxLE1BQ5FUTpTbnk+yF01JZJ8hMjYqnBbXjEUe+6MEgUnhA62cHMO6liWjfoCImxNuq15QEs5aCPcfHqs3RqS2EanlZjy0RX5Ot2l15Aw7QW36VAhdRk1JEzyBCNvpYaEaaIimQiYt3b+zoWikfl5LouDXaxvxg4bBtzSI0g7Z/UI00JwZw5XbL7qEaaNlB0uxMIgzQdBarNxyLbxEstHUlM+srz0PVb+8hEuHpiQWi4f4VoLZiRq+Yg6Lx9xXl10i281mJfakLEG5trQg7HHxwCTzCblI+rakwPhKR/hUigiBfwcGc9eXxm2ZvCIbzCYa+C5ABB8ShN8SjD4jPloYJJqsXyEa6lA+Yg6Lx9xvq0HfIspyZX12KwmWP6AU7IRpMtH1LUnB8BTPsIlALMruXxEXV8ZtWbsEc/YK7u94DgEVE9qUxomytf99oIgCGERDZ0Vd7C9IOgQhTsEn4naMHZEMQhrhIQ5qHt7QRCl6+0FQRTq6iYAEqbBIApclSGCLFdif0GSjxAa25iYraZny7vVYs9deaLghNgBzyngQR3LslHfQIStaX+heUBLOeirW/cbO+tCMqovML7uhZsgCCE6ocLtytT9CrpN4W7bWN4JYhBCdCvyThBFSt5ZSy52RVGoyQUACfNwoFzVI4Ionak7b92vJCAhgLYq75YXrsWeG/REwQmxgy3vvHW/knDUVxCBa9J3zSNaykF3Wz+S2Oi0YvPeclS4T7HGjKUoMax+hGkvuE+HCq7LqB9hkicYeSv1I0wTFclEwDygfiSKTP1IPAhC6wrMDhsG3NMjiDtn/QjTwnXdJlo/wrSRssWFWJjYz9kasg28xOIRc19lEiz3b3N/8QgXD8xGLRePcK0F0xG1eCQ/Lx7JPcUjXKvBpNSGiDUw14YejD0+BphhNikeya89ORCe4hEuhSJSwM+R8ez1lWFrBo/4BoOJBp4JAMGnNMGnBIPPmI8GZqgWi0e4lgoUj+TnxSPOt/WAbzEls7Iem9Xsyh9wSjaCdPFIfu3JAfAUj3AJwOxKLh7Jr6+MWjP2iGfsld2DcFzqqGe0BQ0T5et+D0IQhLCEhk6Jr8wehKDbFO42fLJqw9gRxSCsIxKmqe49CEGUrvcgBFGoC6AASBQXA9cWhCDJ1diCkAQkxM82Zm+rOVyxXLD23OUqCk4IHfDEAx/VsSwc9Q1E4Jq2IJpHtJSDvrq1wYmrxCTx3o9k8wXG17m8kwQhhCdU3snXBks6ROEO2VS4SWIQom8bwk0SRUq4KRvKrigKNW0AIFEYDqwkQ1GSzoSbpzJYlI8QGNvUbcny5r/Ec5WjKDghcrB1m6cyWJSN+v4hbA2yDRjQUg7a3GazNZcrHd5iY41HWpB57+wJo3XKzipIrALyBttecLMO1VObV5CYYoZajn1Z/0X34EoSrgcSzANtVJJwTVQkEwHznqgY2fLVi3BNBrfxCHrOVS/CtRDcjcNlmqdehGsjZVcLsLAo3MeNcE28vIqRJDIVI/Fi0zYJvRUjbDww+zAqRtLEWTHCthZMP8SKkSRcVYwkznvubvGtBpNQG9rVwFwbejD2+BhgJtmgYkTb/uRAuCtG2BSKSAE/R8az11eGrRk84hsMphp4AgAEn9IEnxIMPmM+GpijiBUjzsBzm29p+xUjq6Bz2/O2HvAtpuRW1mOzmlX5A07JRhCuGFkFm+UAuCtG2ARgdqVWjOhnZ2XUmrFHPGPnr2N+GkyzpH98FkerW1mP125lNTzOuatnEs+dv7oqRpKIhonydb+lIAhCWDlDp8BPVIzcree2D8y8dXnX/YN6u8HsLvzCfFxebv/b+j7785r+BxdnwtWvTRFJ9cmibmReQ1L/4ffqi0lX/8Rv9Os6t2L2uv7up71gK0z7+kPeq5fFdc7S06mtXvUrc6W9+TM2z2+Lel7hnsfntTaMHVEMwgokYa7r3rsQRBHau4htJLuiJNSlU4AjKopBElprEIeiLJ1tXgQOUXhTFo8QgduY/61mgdFyqdtzb6koOCFywFMXdEzHsmjU9w9Ba9q6aB7PUg766lacKGfFSUz1BcbXvTwUBCEEJ1QedlBxIugQhTtkY9UmiEGIva2oNkEUIdXmrDgRRKGmDQAkTIpB5jqNTpKlM9nmqzmR5COExlZ12/JSu8RzTaEoOCF2sHWbr+ZEko36BiJsTcKteUBLOWhTc/KPj2V6pzL78fTkxWd/+LzFESxhZp0Ua1GWeDnjdU5X1YnbWoreOi88sZp7g23u+mPmcS6oqv5kVsRmL5k1sXpt7F71aH4sxqemvET/+qrWWPU62lbv/HuzN2av9+pltroby/y2DVWLquSpIZv3QrB0A28WKxcb48psjJvzFJTZIlfmWg5lvkzNl6n5MjVfZubLzPxwZr7ME1c45WIndGx8m8Kw7hvWfcO6b1j3Deu+Yd03rPuGdd+w7hvWfcO6b1j3Xaz7fFZFZ8U3NDTqyKCODOrIoI4M6sigjgzqyKCODOrIoI4M6sigjlyoIz4q/vryk8Ril1WZXVbTnK/Mfqsydzwo82VqvkzNl6n5MjNfZuaHM/OlA7lkI1/YaWtApj3Fh4bz0HAeGs5Dw3loOA8N56HhPDSch4bz0HAeGs5DF+chnxNPe8QtOY15ZDCPDOaRwTwymEcG88hgHhnMI4N5ZDCPDOaRwTxyYR7xMB/Ll4a2s1JT570AifJSKOdgYcYyM76x22bvDba960lww1LTX+vcbWpK7y1WT+7W/70/T/vzxZTX9bceLbbUPl9L87351trs54OeEQk91aseVg97s5f1X6D/3vv6m2Y37aXqQf3H6zUZIy+MePhkbQ2n/rbtn31g8+A224Pr+VSyVJVpoiKZCJhX/W/t2bt1//z9xYKZV771qo/1j392vhl6b3U+WjjQtttwd9i4YO0RYRHJWebKtBAsIcLXhnxlrkwbKaU4gIWRGiwsubjkw7TwEqtcjVxPMvMhX1ab+W/WYzOC2Y9e6hoGQeiudeWaC+Y/aq3r+dV6iedqPbbVYBbcbB64Wi0zN125Mfb4GGAqYszrVuVn51frJQ1X67EpFJECfo6MZ6+vDLs49eIaDOYbeOERCEGlCUGlCUElGILGfD4wW9EKXj3h5zbfVIGK1/ML9tzv7AHfYkqaZT08qzVdf9gp2QjSFa/nF+z5Q84hnwBMssTptXl2VkZdnCdzjK3VfKjOstMk7sfFNOwncZr2J8Vp0Y+Op/FpEgYn+qs5j3MK/dyk3ZIGM0F1TaRTGibKZ5tse7AoE24byA1REMK+HToTr2doeg52PkOb/UR/+tAUsupvf+UpMBUEVTjoRrPR2Wt1ue/d6tNlKe/Hy6raXvWH6sPqff3x19Xb1Uem3vat6p/0t96u3q3e6Y2346C39z2ba3ZEXUPYwiTMXN3lD4IoIuUPysaxK8pB3XkFKMIoG0RWlKEoSmelD1HsLlmV5COE0DamcavJ3PLetsRzEZ8oOCFuwDMQeFDHsmzUFxBhayp9aB7QUg66FnhJHpwVJ0naT3IV95NM/4HJSRz04yQ4zaLpWZDEi7e5U4HnqlnNqL7A+LoXeIIghOiECrw/mZ6juofJHFRbV6i+aTqXTI3q9+tuoq/rjY/Xqkf1hslL89X3+Qp99bn5iUhd0/8fB0FgtllsXtkW9YrCvYKrQRvGjigGIQLjym32s9krNpRnRFFElJu73UiQhJo6AA7HTVFDUY7OhFumY7xLuEnyEUJjq8JteSFb4rliTxScEDbYws05qGNZNurbh7A1CbfmAS3loK9qs5ERbq66Vu8lDTZfYHzdCzdBEEJ0QoVbB81Ggg5RuEM21myCGITgi2s2z2qbIIqQZnM2GwmiUNMGABIPcmeHuCBJZ7LN12okyUcIjK3KtnyZ5T3Xy4mCEyIHW7b5Wo0k2ajvH8LWJNuaB7SUg+7yYuTYuYJWeOiSIFinu/RaY6a9YJUVqqP+kmuNmR5MMA+2UmvMNFGRTATMI9caz14zxznpYfvZcu8XqzZmAoPVXwQV6aw2ZloI1m/h4tBXbcy0kVIGBVjoqzZmWnh51cYqML2C4bLKr/AXGnPxwNTXdqEx11ww+VELjYvzQmPnLUm3+FaDKbANxWxgrg09GHt8DDAPbVJoXFx7ciA8hcZcCkWkgJ8j49nrK8PWDB7xDQZTDTztAKJPaaJPCUafMR8NzFFt1hhzTRWoMS7Oa4ydr+sB32JKcmU9N6vJnD/ilGwE6Rrj4tqTA+CpMeYSgPmVXGNcXF8ZtWbsEc/YK7uT4ZiQPq1DFA0T5et8J0MShLBgh87A5XcyJB2icIfgs1Ubxo4oBmE9kjAHde5kSKJ0vJMhibKecj0o6JzWs5MhSXIVdjJE+QiBsY152XJ2ppb3uinPRX2i4ITIAU8p4EEdy7JR3z+ErWEnAxjQUg766raGRa59D+W788HqC4yve9kmCEKITqhs47eGSYIqHBSXY7bWsAuslh0DX7fY77SSfaxbLOp9z+asHVFnEUJ3K6JPEEVE9Ckbx64oBzXjABS+ZjFJlM4kn6dZTJSPEFRblXzhUiF4broTBSfEDbbk8zSLibJRX0CErUnyNQ9oKQfdbfFKbKPTIi7y0oXrdJddvMK1F9y5QzXYX3DxCteDCebBNopXuCYqkomAeeTiFfdBefW10DbcHTYuuJ9IUJCu0hWuheC2IC4MPaUrXBspu2uAhSocpKnNwiHbwkssXYlN6UpiPqjFDrKKvPUrbEYw+7Vcv8I2F8x/xPoVFa3qV5TzzqVbfKvBLNiGaDYw14YejD0+BpiKNqhf0bY/ORDu+hU2hSJSwM+R8ez1lWFrBo/4BoP5Bp55ACGoNCGoNCGoBEPQmM8HZqsWi1jYprZfxLIKPbc97+wB32JKmmU9PKtJnT/slGwE4SKWVchZDoC7iIVNACZZahGLfnZWRq0Ze8Qz1lh7HOaTNC1O+kodF/1kEh/3i+PpST9P4unZtIiDs/hkzuOcQnvWELjTaGcRS0zDRPm63w0RBCEs3KEz8Yu7IdUneir+9XxCZmZhi0qVxzYF5l//qd4zeE3/+smT56vMp25fm+tuPqjert7p13Uvb1XvV7/VH/9YfbTViwPXavu2qAMV7sDNZrlPzGNtnDuinISFTsL01r1BIogiskESDqylJLuiJNQVWoCjiAZF7qqKEUTpbIskjAbKyndTlo8QaduY7a3mfMub55TnKkFRcELkgCcq8KCOZdmoLyDC1rRF0jygpRz0vJh5MsmPY/1jWRon/SQ4K/oTdaI/BFF4Mo3VWbacSneqA61yV+vAhOoLjK97HSgIQohOqA70nqe3qFX+dlw97M1Pzpu9Hs03XWzw26LwCofHNZwNY0cUgxBocYnmPjZPEkVEojmPzZMkoWYIgCNUg6RwSTRBlM4kmufkPFE+QhBsVaIly4yeeCSaJDghcrAlmufkPFE26guIsDVJtOYBLeWgr26/mbvmRZF9AfF1L9EEQQjRCZVoHfSbCTpE4Q7ZWLYJYhCCLy7bPCtrgihCss3ZbyaIQk0bAEg2yOx9xUNRks5km6/fTJKPEBhblW1qmeU9Vw+KghMiB1u2+frNJNmo7x/C1iTbmge0lIPutvg4sdFpIZZ66aJ1uksvPmbaux4y/hUXHzM9mGAebKX4mGmiIpkImEcuPvadnOcrP2YCg+VgBBXpLD9mWggWdOHi0Fd+zLSRUhcFWOgrP2ZaeInlx+aKbrW8H1el/spjLh6Y+tquPOaaCyY/auVxel557Lw56xbfajAFtqGYDcy1oQdjj48B5qFNKo/Ta08OhKfymEuhiBTwc2Q8e31l2JrBI77BYKqBpx1A9ClN9CnB6DPmo4E5qs2iY66pAkXH6XnRsfN1PeBbTEmurOdmNZnzR5ySjSBddJxee3IAPEXHXAIwv5KLjtPrK6PWjD3iGXtldzISZ9FxRsNE+brfyRAEISzYoTPwDnYyBB2icIfgs1Ubxo4oxroo8GAQ5qDunQxBlK53MgRRqCupAIhvJ0OQ5ErsZEjyEQJjG/Oy1exsedOf8lzdKApOiBzwlAIe1LEsG/X9Q9i8AzpGBrSUg766vWKJs0bYdx+S1RcYX/eyTRCEEJ1Q2XYFe8UEHahwB24s8wQxCMG6FZkniCIi89ytYIIk1CwDcHhbwQRROpN5vlYwST5CIG1V5i1vBlSeqx5FwQmRgy3zfK1gkmzUFxBha5J5zQNaykF3W7CibHRauBVeunid7tILVpj2grt1qO76Sy5YYXowwTzYSsEK00RFMhEwr+2ClTizAe+wgcFdRIKKdBasMC0ENwMp4tBdsMK0kbKnBlgYZ4PUpfqYFl5ewUpqrnpMl5etKf9Vj2w8MPW1XbDCNRdMftSClfOrHpXnqke21WAKbEMxG5hrQw/GHh8DzEObFKycX/WoGq56ZFMoIgX8HBnPXl8ZtmbwiG8wmGrgaQcQfUoTfUow+oz5aGCOarNghWuqQMHK+VWP7tf1gG8xJbmynpvVZM4fcUo2gnTByvlVj/5oc8gnAPMruWDFXPVojzRHPGNrFQ8dNm94nFNnz9oBd/rsKlhJ/fcnXcBE+Trf+ZAEISzYoTNw/p1BkqAKB91oFtrZnUGSziKsZhJmsM59EEkUkX0QZePYFeVYz9YeDnQ6HOa5vVtuKErS2SaI58ogUT5CTG1jSrec2KXLSwVTzy2RouCEsAHPRuBBHcuyUd8/hK1hEwQY0FIO+uqWKCtXrUvqvz7J4guMr3vFJwhCiE6o4pMvUZZ0iMIdgitDG8aOKAYh+Lai2QRRRDSbu0RZEoWaNgAQNUjt598PRUk6k22eEmVRPkJgbFW2LS8GTD03PYqCEyIHW7Z5SpRF2ajvH8LWJNuaB7SUg+62dsXaEqeFWOSlS9bpLrt2hWsvuHGH6qi/4NoVrgcTzINt1K5wTVQkEwHzyLUr3pseXZUrXFxwO5GgIV2VK1wLwV1BXBp6Kle4NlI21wALPZUrXAsvsXLF3PSYmpse0+U1a6n/pkc2I5j9Wi5fYZsL5j9i+Up6ftNj6rnpkW01mAXbEM0G5trQg7HHxwBT0QblK+n5TY9pw02PbApFpICfI+PZ6yvD1gwe8Q0G8w088wBCUGlCUGlCUAmGoDGfD8xWLdawsE1tv4YlPb/p0f3OHvAtpqRZ1sOzmtT5w07JRhCuYUnPb3r0h5xDPgGYZKk1LKm56dEebo54xl7ZHY3UWcMS0zBRvu53NARBCAt36Ey8gx0NQYco3CH4rNWGsSOKQViXJMxG3Tsagihd72gIolBXVAEQ346GIMmV2NGQ5CMExjYmZ6sp2vIev9RzMaMoOCFywPMKeFDHsmzU9w9ha9rRaB7QUg766l7MmDoLURKyLyC+7mWbIAghOqGyrd2LGf//5b1bkyXHcef5Vcr0RHVVluUlIi8yw0Ojp4lpCt3VqNPNqpPTY2Mnz0WCLQnIQGhnd9ZoxqskLmdFjUY7I6MuXElrNvMyZiBBiCAJgl9gH6q+wnySjchzqUZWROQ//KRnnDMjGQ+6q6u6/z9Pz3D3cM8MTniJw++dojFieCy0eIpmP5iRE4UpRctMJG+xkvhGCIAjSc6VLBPKE1aU0VI0x8GMrHwei+CgKdr2HL/ccTAjK7jHykFO0RwHM7Ky+d6ACFtfitZ/QSd80If7dFhuO5gxl762wPjGT9EYQTxWJzRF2+PpMEZQiYPi6Zjp6bDvKT69e/hz5FGwv7j5z68/ChafPL0ymeYxq2k8Fmo8xXPswjGisKR40sTxFiuHb3wBKFzPgjGSjJbfuZ4F4+TzWEEHze+2B/7ljhMcWcE9lg1yfud6FoyTzff+Q9j68rv+Czrhg1b/969fywd02vavXHncsEPGxgFHlcHlDtosKbq0Iw0ZZ9YhY6Le7hKy55Dx39/8Sg8ZqyykHTw1zvjeGywedoR486Ljn52k6m/W23XWlI9oMoGZbJCpYqJE6SURkNe9sO6J4rsR4uRcCTWxPSazgSNdHumidYSYqBAcysKzQNcIMVGjz2wToDCV50KaFD4hKww4QqxPa8y356Xl7tMayXhgWPOfHlb/rH14mKoWjGu+w8N3hzXmjsMayarB6DZEcqxhHjxxYDylY4ARZ5/h4bvDGvOewxrJFNKTAvYjbdnTnbCO4Au6YDDSwBUGsPhM9OIzARef53Q0MET5zQ3bF5536EoZxobvzmq0362XdMU+oZXkNruyzb3gTMgI3GPDd2c1uhebF3QCMLp6jw3rsxrNC81Lmlitdqnu+mqxmkfzfDmLRLxcRtWqaKJlKWelbOK5EJtIZi2KHbsE1MLYOjZc+GGifOM3NxhBPLbm0Nr6x68XYD/X0yeq0tLb+zf/vK3D2qpLFcQ/0A2Pm091jfwPt99pj/n5ZVtT/+r22/9GR5bXOwMf3/y6/dJnunVistQjVktJ3FJ4vWrCeMyK0U0WHBgepam9k8GIwtLJsA+rMJL47qUCHMV5nkkTyRNWktF6GUVyXhj5vsLL57FgDlGu7Yq27ZF/ueMMR1Zwj4UDrjTgi/qcl833/kPYnBf0OXJBJ3zQh/sUWGEdJ3YddGS0BcY3fjrHCOKxOqHp3AhPgTEaROIG2TtrY8TwWHwHydoYUZiyNmMR+BYriW/UADjSc2ntTzCSjJa1uR4C4+TzWBcHzdq2J/jljiMZWcE9Fg5y1uZ6CIyTzff+Q9j6srb+Czrhgx73tXbGVy2pPKxy0IlYdumCT5wQ9YI9OTSNOqqJE6LJBGayQSZOiBKll0RAnt/Eyac3vzi5+Y8qS/7LzgvsUmPV85jMCfYEPZJF6/QJUSHY2sNzQNf0CVGjT4sMUCiTc3NP5glZYbjpk0IfvVhsDz/L3UcvkvHAEDfw9AlVLRjjfKdP7k5ezB0nL5JVg5FuiMRYwzx44sB4SscAo88+0yd3Jy/mPScvkimkJwXsR9qypzthHcEXdMFgpIGrC2DxmejFZwIuPs/paGCIGnD6hKqUYfrk7uBF+916SVfsE1pJbrMr2dwLzoSMwD19cnfwonuxeUEnAKOr9/SJPnjRvNC8pIk92HZFaZs+KWI/TJRv9HYFJ4jHthxaZ/O3KzgNInGD4CWqCeMxK4bHrqNHBWptV3CijNuu4CTpRlwHCVzQnie2gpaT5BDaFax8HuviEFXZtjYrtmftFY7DE1nBPRYOuKCAL+pzXjbf+w9h62lXABd0wgd9uDPDpW3IpHCfSGSwBcY3ftbGCOKxOqFZW8CZYU5LSdxSe6dzjBgeq/Ig6RwjClM6l5lI3mIl8Q0nAEciz0VlOWGHE2W0fM4xNMzK57FiDprPbQ/hKxynKrKCe6wc5HzOMTTMyuZ7AyJsfflc/wWd8EGPO35i3D5UGVrqpMu7dKHHT6h6waYcmmAd0/gJ1WQCM9kQ4ydUidJLIiBvoPET2/mJVE6wKeiRLdrGT6gKwd4engQ6xk+oGn16ZIBCx/mJVIUBx0/0+YmF2HSAC/fRiWQ8MMQNO35CVgvGOM/xk+Lu5MTCcXIiWTUY6YZIjDXMgycOjKd0DDD67DF+UtydnFj0nJxIppCeFLAfacue7oR1BF/QBYORBq4ugMVnohefCbj4PKejgSFquPETstLhx0+KuzMT7XfrJV2xT2gluc2uZHMvOBMyAvP4SXF3ZqJ7sXlBJwCjq+/4SaHPTDQvNC9pYg+2kVFZx08yP0yUb/xGBiOIx7YcWmeHbGQwWkrilsJrVxPGY1YMj+1Ij9LU3shgRBm5kcFI4ruPCnC4TurhRDmIRgYnn8eKOUS9tqvatmfvFY7DFFnBPVYOuNSAL+pzXjbfGxBh62tk9F/QCR/04Y4TV9bBFOFrC4xv/HyOEcRjdULzuRHGiRkNInGD7J22MWJ4LL6DpG2MKExpm22cmJHEN2oAHNl5YW1QMJKMlrW5xok5+TzWxUGztu1xfIXjfEVWcI+Fg5y1ucaJOdl87z+ErS9r67+gEz7o7fk7m4uqk7ERz98xn6GpEjPpwM2Sqos70jxKbp1HIertriF7zqP8k54J2ex56emQn918vt4Z+/ndCIPKstpttM3Uwl+2cwvbIZJkM0Ry80sT5yMyp8A4BxkiIUqUXhIBeearQRklcZyjQ6UFG3weiZ91lISoEOzT4fmca5SEqNGn3wUodJyjQ1UYcJQk16Mk+jCdYnueRSHd8yRURjBG+c+TJGme2wdKqHLBIOU7UCLvBkqsB/m9TVcNhqohUl0N8+CJA+MpHQOMRPsMlMgHX7wQjoESKoX0pID9SFv2dCesI/iCLhiMN3C9ACxBE70ETfQSNAGXoOd0PjBa+U2VOJafd+hSGcZK5N1YifWevaQr9gmzJOfZlWLuZWdCRuAeK5EPvngBHGMlVAIwyHqPlcjTnaiO2Jc0sVrtrEqqrBJZFMtFo4rf2TyaZfNVtJCprJLVosnE5jawFrqOyp9c7FrnSnI/ThRw/D4EI4jHfhtaL/9EV2e3f6rKrk9O1kMguv+gfqv7Dz/cjZp8fvNTVRR/evsnm3bFpydtPffJzW92FduPb/7m5Evqmz5puxofnZ3c/pmq3vRfqL/W9jjOTu491tF+3+1326/+Vv35z2//fD2ecvvvT/STI7+9/db57276HXel+aZs3xTtv20ZvqeEtD/1k5u/a0dafnLzDyeF1FSfmS7VI9ZLJfFLhdfTJozHrBgeG50ehfKv2kml37aO8Svz2NGXWbFYuiW2Xgkjh+9eLUDhqsAZSUbrlWTivDA+lPQVXj6PtXuIAnJXRubbrXXHways4B5LCFz7wBf1OS+b7/2HsPX1Svov6IQPuk0tV/N5viqaeVQW83kkqnkSNUL9wCqfpemsacqyCJJa2kZcCl9jYIDjp5aMIB7Lk19quUnL1oPHv1Fppc7WPtKzy7c/uv3z2x/oQWX9ZzJ+IOIH8Vke699l1pyN0QYSt8HeORsjhseC65Gz6UbMx+cn5uvyZVagUbM1Rg7faAFQZKlxb+wJK8douZrMzzeR7H6uxsnnsRgOmqttj+4rHGcxsoJ7LB3kXM16UZ/zsvnefQhbX67Wf0EnfNBtrpamjVyuxDyK81xGSbIsozJeVFEcy1jmZZlUcpPDjJurZSZjqFyt9DUGBjh+rsYI4rE8obna39x8qjf09PNgn6oMrZ3FUP/7dTus8Zv1H65HkbfzMkl6JvXWmvqKMZQ+YjWBxE2wd6rGiOGx3nqkatY5FEYSnhzNOn/MSOIbJwCOtDivKmlCecKKMlqilsXVubBNIHMCeiyFg2Zq2+P6Csf5i6zgHisHOVOzX9XnvHC+tyAC15eq9V/RCR/0uG/AS2w92MqBJ+J750sGHzkm6gXnuNDciX/kmMgpMM5BRo6JEqWXREDecCPHjsMTqbTgCNgQqR5RITjE5ZPC2UeOiRp9ZqEAhem5lCaBT8gCw00cl/rsxDLRH6n+yLYzf+5TFMmgYJwaeuyYKhcMVL5jx3fHKBaOYxTJqsFwNUR+q2EePHFgPKVjgNFon7Hju2MUi55jFMkU0pMC9iNt2dOdsI7gC7pgMObARQKwDk30OjTR69BEr0MTcB16TocEw9aQs8dUqaWHVMT8z+/Wn3ccN+4lXbFPvCV50K4Gc689EzIC9+zx3YmK7nXnBZ0AjLTes8f6REXzmvOSJrbN6mUyb6RYRDOxWkViqerfppyXkVwuq+Vslpbllsda8TpKfnLVa5s9Lt0HFd3jRAFHbzpwgnjstMGF883Husdw0k6CfrR+mXtbqP1MtxraiZEkfpDIB22rwYT8iBVZ4sh4gWrCeMyK4bFViFeet39mm9vlROHpMpg43mLl6IZUBwdaxmbnwsTxhJVjtAZDGVsysa/w8nmsekPUX9sqrNyer1c6DkxkBfdYNODSAb6oz3nZfO8+hK2nvQBc0Akf9AFPgiS2qd0y8TUGBjh+UsYI4rE8oUkZxyQIpwkkboK9kzRGDI/1Fk/SrO0BThKeHM02CcJJ4hsnAI70vIylieQJK8loeZprEIQV0GMlHDRR2x6cVzpOQmQF91g4yImaaxCEFc73DkTg+jK1/is64YNuMzWxjPOiiWU0W8SLSMhSRlWzbKJmsWqqvFT/xDxIpmaZ2S1TX2NggONnaowgHusTmqndf76q3UL7/OaT2z9dvzh481yV1M9VCfdzVZzsEmffO0VjxPBYaT1StJ7nqjiBeDI1E8dbrBy+UQKgyIQJ4wkrxmhJmqgs5zV+hZfPYw0cNEdLtxHdcTwfK7jHykHO0awX9Tkvm+/Nh7D1pWj9F3TCB33Ab1dKzD0AlaJlvsbAAMdP0RhBPJYnvxTtf863K3FeKolfqr0zSkYMj7jgkVFCb1fixBo1r2Tk8A1tAIV92JgTZLTM0vFyJVY+j6V70Mxye9pU6Tg+jBXcYwUhZ5aOlyuxsvnefghbX2bZf0EnfNDbgyg24DphHPMgitSEq3JH4cDN0qSLO9JTYZYTat8k6+2uIXs+FfafVXL2Z+15Xu2DX79t076fqkzqW+uHjj5vk7R1lNZt1R9t0i37w2En+vVJJ/qvU3/Hr9rTYD8xmeAR2QQCM8EQD4xRJUoviYA88wNjP7/9ocqhPr/5hTLzD9TV+Y6y/ed6XFEn6x+3b7D6Z5W9by8d9tgYlRkc4fdIEa19YaJCcP7eI9uzPzZG1egzxg4ozIpzIUwKn5AVBnxuTOqnxfRxFWWxeVSjFM5HxsiMYBCjPDJWJdZHxshywSjm+chYKXaPjJXWI6/epqsGY9kQubCGefDEgfGUjgHGoz0eGVPav3gh7I+MkSmkJwXsR9qypzthHcEXdMFgvIELCmAJmuglaKKXoAm4BD2n84HRyvdpMevy8w5d6vBPi+2Wnncc9+wlXbFPmCU5z65Wcy87EzIC89NiuyVnewHsT4uRCcAg6/u0mPKdnaiO2Jc0sW1KDw0xax5rJezYGiBXw9anxaQfJwo4fi+FEcRjQw4tqAd5WowRWeLIeHVqwnjMiuGxo4gXnI6nxRhRRu1DMHL4boQCFOYtiiesGKN1IVwPi3HyeSx6Q1Reu/pLbjetHacFsoJ7rBlw0QBf1Oe8bL43H8LW14Xov6ATPug2J5unq2SRzOMomc/TSDQLEZXLWEbLVbLMK5FnZdq8CpCT2XoUua8xMMDxczJGEI/lCc3JvI94gEaRGW0gcRvsnaQxYngsuHiS1juKzAg0aqrGyOEbLQCKNDZyPGHlGC1Xy6rzIjPxfYWXz2MxHDRX257eVDqO42IF91g6yLma9aI+52XzvfsQtr5crf+CTvig21wtmVWLdJ4nUZlmKq9LMxk1SVVGy6qIk0WzKKRYvgqQqxk9QOVqzvMuTMbAAMfP1RhBPJYnOFdrR4y/o0dIfqyztNvv3n7v5Ob/VYnaL9uh5PVsys8308CpjOPb7yfp+vNcWrKCR6xWkLgV9s7WGDE8llyPbM06w8FIwpOmWZ/tZyTxDRUAh1Ag5ubIE1aU0XI1x7YaJ57HWjhoqrY9vKl0nMbFCu6xbpBTNceuGiea7+2HoPVlav3Xc8IH3c72fvO10G7Nxb6xnH/47vvvGSxBSMVsOZjzIIs07WLaZnrtWn3Sq+1Yr1Hsm2SxXR9zGBZOodZTu7/Wz2iZxKp0qPy9J2TF95Y6u+T9VrrN1F919lRm1qWNCiH8IfApCq38mVb+zKb8GV259FeOT08o4Rda+IVN+AVdOO7q9NV0M6ZVnU1sABMywL2Rmx4AP395oVW/sKl+QVeNL92ekzZK9Est+qVN9Eua6NZZXo0Zf6xTNJVTfma1OayWFIGsD5UQ5eI3JhqD/ktbrP9mM/fyyUnbatG1+3f0A8W/3Z499DP9bbff19+4HpVpv7yLXuobTKAqflU6fhFpR45flT7tpMpVEItT/VGqj0SojzTWH7ktsFHpRghsCumZRnqmkZ5ppGca6ZlGemZDekZHkv5IXqvYhSa60EQXmuhCE11oogtNdGEjuqAT4XfcvqGw0odcKLKJJptosokmm2iyiY1sQibjjpEK54XGeaFxXmicFxrnhcZ5YcN5QcfB4w4leCqal5rmpaZ5qWleapqXmualjeYljea1Pb4Rn9nM2s9/Y+J4KKrEzBGrAjXPlDXA8DrgQ5v603qUH1VvN+Ds+dCmKvBufq7nTO/eoGENp/9w8+Ob/7B9R8ZrofWjzdf+0/ZPXS/JoHJ3QxHjk5pUidJLIiDv9tutnb+lX078i80bVP779/5Tcq5uTf02k1T9wvic+mMyQ3cHju/JS6pC8FkWn91465OXVI3dkLznk5dlVZxLk8InZIUsT16iW61focsGo4v/w5RFUlqfpSSrBYOLz7OUJoVv0xWC4cSreEHd4CldNhgN/KsSk85ndJ3SU+c+XnBBlwmu+gw9F7JkMAz4PdJoXwTeoSsd+IlGk7pLujqfUDXkpZ+QJfM8rWjS+IKuEYxTXoWeSeJLmsQ2XU3kqliILMqqZRKJLM+jWbWoorRZZguRxHP1uzWFtbb7+mzIKap1fWev8DI/UJTQVAU6wHwqQRPIm6wgHqMDaIn4X7uvXTy5/RP1y882b2bUg1U/MoE+YgWVOChecJkwHrNieEw8eNRcv7r52ITyZVYUllEpaeJ4i5XDd1IDoBCitFdwjCijDUqlmb3U4+TzWO68SpieSalq+9a8yvEaRFZwj3WDnLVbL+pzXjbfGxBh6xmVAi7ohA+6TcfKvEznxaKImqyII5EvV1E1F4360SyuVtVsli03lcSo6VhqTcekrzUwwvHTMUYQj/UJTcf+Y/eN1yc3/+Hm/775x5u/v/m76ObH+j/qN3+hfvWP7fOJJuhHrNASh8ZTs837JD87N7zzWx/d92v1pZ+eb17erV9S2B7e1/Yx1q8sNNnhMasdPNboQXI7RhSW3C4+T6QJ5S1WFN/oAoAkmTjPUyPLE1aW0fK7JHbs5XMCeiyggyZ42xcSVI43TLCCeywe5ATPflWf88L53oMIXF+G139FJ3zQOsVzZW7DDknYczbLsP+aL0m7fMGHJIh6wa4WmnKNPyRB5BYY9yBDEkSJ0ksiIG+fIQkiA9gu80jqrEMSRIVgdwzP1VxDEkSNPp0nQKFrSIKoMPSQBFU2GF0GHpKgqgWDywBDElSFYDjxSkBRN3hKlw1Gg8GGJKg6pafOfbzggi4TXPXJ2bgjF6dKBsPAgEMSVKXjDElQ1fmEqiEv/YQsedQhCapGME4NMSRBkdimeqsyzleLOFql8SoS87yKykVVRfPlUsR5tprFYnOTWWs7R3FLru/sQxKWcX4bKEo4/q48I4jHphJaIt7flde/bU9D0iXit9vC5N+vDyk/ufmbm79QheI/3vz1zd+q//3d5g00bz+PZHJy8xcmgzxiNYjEDYIXZiaMx6wYHntmHrWZfcOdEWXsDXdGFN/NPgDEveHOyDLahntZnpe2spCTz2Np9Cp3+vbbq+3ubOXYb+cE91g7yBm+9aI+52XzvQMRtr7t9v4LOuGDblO3ZdJkmZgX0VzOE/W9Io1mQibRaibSSs6L2Srf3M2jpm62zXkZOwd5TdbACMdO3VhBPNYnNHUzzLfq9zvroYE/W0+3nrx4fHn58NHFyb98+OxfTB9dPHxx8vDtt0+ev7x8fjF5fGKywiNWK0jcCnvma6wYHmvuAPkaKwpLvpaaN7TfYiXxDRYIRyqy88LI8oSVZbR0Lbfu4vPyeSyHA6Zrimkd3Te/MIE/5QX3WDrI6Zp+C2xpYnvOy+Z7ByJs7nQNuaATPuhxpyMyawKWOfngNzSNNB1B1gu2s9D8aezpCDK3wLgHmI4gS5ReEgF59OkIMgPYJ/PI6CzTEWSFYFsMT9Ts0xFkjT4tJ0ChfTqCrDDsdARdNhhdBp2OoKsFg8ve0xF0hWA48co/UTd4SpcNRoOBpiPoOqWnzn284IIuE1z1ycm4dTqCLhkMA4NNR9CVjjEdQVfnE6qGvPQTsuQRpyPoGsE4tf90BE2i1rhayKpaqvpuNWsWkWiW86hJkywqqypeLPNcLlZyTWGt7RzFLbm+s01HyFj6gaKE42+xM4J47CmhJeL9Lfa2QPy1fqBv83Zfvc2uqsTvqj/QVWN3B/7mv938zc1fq/rxr9V/f7w+ePGn6m/7dfv2CV0xPn+eFVe2vXhGc0ncXHjZZsJ4zIrhsaHmUbnZ9+IZUVj24hPrXjwjie9OIMKRifzcMjrByjLaXrz9XRS8fB7rplct1LcXL7dbt/ZHFXnBPZYOcvrv2ovnZPO9AxG2vr34/gs64YM+3KnXzDE64R7vNVgDIxw/r2ME8Vif0LyOfeqV1SASN8jemRsjhsfyO0jmxojCkrlZp15ZUXwDBwDimnplZRktdbNPvfLyeSyNg6ZuxTbS2w9c5AX3WDvIqZt96pWXzfcORNj6Urf+Czrhgx53jEJYkzHrVG9WybwqunzBxyiIesG+F5pLjT9GQeQWGPcgYxREidJLIiCvvRCf6ckJPTFhrkQfk+WCvTOP7M06MUFUCLbK8KTMNTFB1OjThgIUFvJcmAQ+IQsMPTBBlQ3GkYEHJqhqwTAywMAEVSEYOLwyTdQNntJlg+v+YAMTVJ3SU+c+XnBBlwku+uS02zEwQZUMRoEBByaoSscZmKCq84lUQ176CVnyqAMTVI1gnBpiYIIiUWvEXheoKaxVnKOMJVdy1oGJxDrybwZFCUffWOcE8dg9QovBQV7yzAotcWi8zDJhPGbF8NgA8yi/rJvnnCgjb55zovhu3QEgiVrrjBtAT1hJRts6d7yhmRfQY/Xzqmh69s6T7RNrieMRRFZwj6WDnMQ73tDMC+d7ByJwPZvnwBWd8EG36dlcLhdVXFZRs5RSz0iUUblosihepWU+SxdNM5Ovxk/PrHMP+ubzswZGOH56xgjisUCh6ZlhnvXjm09vfnv77TZf++j2R5vhhrsZ1c3v/6mdav2e+t+fqP99a/3t6mubKdff3nx+cvOTm7+++XHUjkr8hcrz/kp9/j83/3h2ksW2xOIRqwElbsC9Uz1GDI/1epBUjxGFJdUTtglXThLfOANwZFl1nplInrCSjJfp2UYhv8LL57GODproZdu0wH7WGi+4x8JBT/Ts862sbL73H8LWl+f1X9AJH/S4QxLSmrlJG59IyjzJu3yhhySoesFeF5p4jT4kQeUWGPcQQxJUidJLIiBv/V6JzXjT/dSOKBPsk3mkbLbhCKpCsC2GZ2KO4QiqRp+WE6JQlOaV4glZYeDpCLJsMIAMOx1BVgvGj/2nI8gKwYjhlWKibvCULhtc8IeajiDrlJ469/GCC7pMcNUn59uObVWqZDAMDDcdQVY6ynQEWZ1PqBry0k/IksecjiBrBOPUANMRJIltRgodl60prOWbo34ll3D26QjrJL8ZFCUcf/udEcRj2witAg1vbP4T9cvP9FHP6svtXroJ9BErqMRB8ZpqPXiuitsfnJ/01FeMaB47YB51mH3rnBGFZetcmjjeYuXw3bgDKAoR294RyEky2sa548UQrHweK6BXVdO3cb59GC1xPF3ICu6xbJATeetFfc7L5nv/IWx9G+f9F3TCB32486vSMSBhHdS1WQMjHD9DYwTxWJ/QDG2g+VVGaIlD49maCeMxK4bHEjtIZsaIwpKZOeZXGVF8gwMAkqbnqRnlCSvKaNmZc4CVE9Bj+Rs0Pau20dx+5BkvuMfaQU7PnAOsnHC+tyAC15ef9V/RCR/0uIMNuS3jSq0Dui2f/ektTK5PJgUNNlD1gm0qNGEafbCByi0w7iEGG6gSpZdEQJ57440qE2xxeaRttsEGqkKwo4VnY47BBqpGn24RotA+2EBVGHiwgSwbDCDDDjaQ1YLxY//BBrJCMGJ45ZioGzylywYX/KEGG8g6pafOfbzggi4TXPXJCbc93SZLBsPAcIMNZKWjDDaQ1fmEqiEv/YQseczBBrJGME4NMNhAktimetAL/DSFtXxz1K/kEs462JBmfqAo4ejb5pwgHvtGaBXI/z5lToNI3CB47WXCeMyK4bEt5lGbWbfUOVFG3lLnRPHdzwNAXFvqnCijbak7XqfMyuexMnpVOz076un2wbLU8aQgK7jH0kFO8B2vU2Zl870BEbaeDXXggk74oNvMDTvBevTMzTrwsHk9vIc1MMLxMzdGEI/1Cc3cDCOp3SPMXjy+vHz46OLkXz589i+mjy4evjh5+PbbJ89fXj6/mDw+MVnhEasVJG6FvdM1RgyPNXeQdI0RhSVdS22vdeAk8Q0WAEdWxNZzyzhRRsvWcscePiefx2o4aLa2PeYqdZxbxgrusXKQszXHex1Y2XxvQIStL1vrv6ATPuhxxx8Ka/7lHr8tu3zBxx+IesFmFpo+jT/+QOQWGPcg4w9EidJLIiCvZ/yBKBNshHnkbNbxB6JCsO+Fp2Ku8QeiRp+eEqLQMf5AVBh6/IEqGwwgA48/UNWC8WOA8QeqQjBieKWYqBs8pcsGF/zBxh+oOqWnzn284IIuE1z1yfm2Y/yBKhkMAwOOP1CVjjP+QFXnE6qGvPQTsuRRxx+oGsE4NcT4A0Wi1ogdPa0prOWbo34ll3D28Qf3jP49UJRw/E10RhCPbSO0CjS8Vvm3bXH3afsKhG9tNtJVIfhd9Qe6MOzusd/8t5u/uflrVSL+tfrvj9tHC+9ewdwWhc+fZ8WVbbed0VwSNxdemZkwHrNieOyZeVRu9t12RhSW3fbEutvOSOK72QdwpGlqGfN4wooy2m6742UQrHwey6ZXKdS32759Ni11PG3ICu6xcpCzf9duOyeb7w2IsPXttvdf0Akf9OFOtRb22YjMPb5rsAZGOHpaxwnisT6haR3/VCunQSRukH0TN04Mj+V3iMSNE4UlcbNPtXKi+AYOAMQ11cqJMlrm5phqZeXzWBmHzNyy7bFYmeOgM1Zwj6WDnLk5plpZ2XxvQIStJ3MDLuiED1r937/+5msZizU1+8Zy/uG7779nMAQpMzP2ZlVOlpo5cxFncZbaX2cLq/VJt+5GJoxy3yTL7bqZw7hgUvVfbj5tByJUSqXypk9Obr+l0qif6nGI2x9uzhGzzE+8PjOhvsEEqjKq9PeekGnvLZV23P1WysnLp19Si192pj4q9SGkbX2kkgh/ErgR0Mp/puU/0/Kf2eQ/o8uX/vLRHkGr/kKrv9DqL2zqL+jq8buGvjZriommmGiKiY1iQqa410TqofBznxda+gst/YVN+gu6dDwmeLWXWuUvtfKXWvlLm/KXNOWt77zaBbV/5YpyQ44FpvaOUibMHOvjrMrMegUwucQYp3Wb9L5J1gsOeaBB7u9vfqXj2u237QOBn+g9g05IO7n9tvqa+slPbn7eHsf5LRUs9be22wzqO9SPfH7zcWdb4vPN32T8J9ajhT87SdXfrf6Zz20vGKcarhtnGOcKqRKll0RA3s1Pbv4xUtXqyZeUTfUl/Nbtd05uftFuB/1w87bzLFY5svpPcaJTl4/1n7WdwE9uf9T+gSyNK8djMiU4oOKxR2IbS6QqBOdR8K0Px1giVaPPrAegsCrS88qk8AlZYeCxRLJsMID5jyWmhX0skawWjF/7jyWSFYIRy6tOQd3gKV02GC/8ixKTzmd0ndJT5z5ecEGXCa765O0t+1giWTIYBvzGEu2LwDt0paOMJZLV+YSqIS/9hCx5zLFEskYwTnnVjSaJL2kStcayShfVqlxEq9VM75jqE4OLRRqlqrCc5fNKlNlmmbWWj1+fDdu/Xv/XVkTmfqAooanQdID5FJsmkDdZQTy6NGgV+uPXa9DfqHLw47ZW+fPbP13PHH6mfvvntz/Qv1H14o9Onn/w/ofL+Ycn/2I5f/+DTf/68uHbJ1UcZyaDPGI1iMQN4lG66er60/WJW1+srdvKWltpszv9S202ZZSH7324/IPZyc0/3H5H/ejndz90cvN3N//xTP9Yt9Z/9eq9th5//cHAX7f/4qaG/6n6V/SXd18w7nif6dPB9Fe/cxKdrKdB20kDdUnUv6AvivrXf3zzt8ZV+jHrtfHorHkUnPamPCMKU1PeeMO8xUri2xIEONIqOS8LE8oTVpTRevJpmp/nRsCv8AJ6LPdeJVxfUz7f9nBzR1OeE9xj6SBXLUkmzzcQ9+sWTjjfWxCB6+vK91/RCR/0oc5Tpu2vbflo6WsNjHD8fJQRxGOBQvPREeYpGQ0icYPg+agJ4zErhsf6O0jqxojClLpZ5ykZUXwDBwCSCHleZUaWJ6wsoyVvroFKTj6PpXHQ3K3cRvrSkbtxgnusHeTczTVQycnmewcibH2pW/8FnfBBj/niqdSejInYxifSXEj76/MxuT5JFjRhQtUL9uvQXOr4JkyohhOY4YaYMKFKlF4SAXmtsfWj4z84cb/EiqoY7Bt6ZIC2aRGqQrBNiCd2jmkRqkafFhyi0P4SK6rCwNMiZNlgMBp2WoSsFoxF+0+LkBWC0ccrXUXd4CldNrj2DzUtQtYpPXXu4wUXdJngqk/O3e3TImTJYBgYblqErHSUaRGyOp9QNeSln5AljzktQtYIxqkBpkVIEg92d97xyIFI/UBRwtF35zlBPLag0IqSf3ee0yASNwhehpkwHrNieOywedRm1t15TpSRd+c5UXz3BgEQ19sOOFEOYXOelc9jZfSqdno250W62ctd/8IE/pQX3GPpICf4js15VjbfGxBh69mcBy7ohA/6cOd8XVv5wtcaGOH4mRsjiMf6hGZu/HO+nAaRuEHwzG075/s/3FQv55XwiCCDJJ+MKEzJp/H2eIuVxDf0ARxCnAsjyRNWktFST9dQLyugx9o+aO4ptqmKcOSenOAeKwc593QN9bLC+d6BCFxf8tl/RSd80ONOhhhXIpVMSjNd+wYVkcguXfC5EKJesDOH5oJHOBdCNJzADDfIXAhRovSSCMhbz4Wc6xeIpKoszc7jxPh6icdkyWCL0CP/sw6GEBWCHUE8rXMNhhA1+nTbAIWFyC3vB39ClsgyGXIvrD358uPLy4vLTWBbv/ZO5PqNd8Xv6gVC69cR7iw2Brmv0PHAoOU/QZLFuX2ChKoWjFo+EyRvaOOdrg3/+xszm1S/TVcNxq4hcl0N8+CJA+MpHQOMJP5TJhvtWvaDL14IG8UzOoX0pID9SFv2dCesI/iCLhgMNXDBACw+E734TMDF5zkdDYxRflMr9oXnHbrSgadW3nh+t+i847hbL+mKfWIryW12RZh7wZmQEXgmW+4vNtsLYCN4QScAo6vX3Msb2qKnO1EdsS9pYrXa5SyvsrzKo6KR80ikYhaViySJyplU60HS5CLb8FhLXkfNTy17zYWkKnxzP0yUb/wuCiOIx04bWjkP0UV59mgSTU5iWcTR1GSUR6xGkbhRPErOzo7CZ+1Jd7rkb6v/n7UdEVX3R+o/n7bvw1xPC336eifk7m9of/vzm19ri/7s9ofqa5+3X9VtmT/dtGl+9npXRW9T/Lw9Ce9XN586+jZf6l6g3zU1cU4GbuGov1r/oW7g3P7ZWmXbSitivXOn+zjGu/wxqx947MZ61PH2Pg4jysh9HEYS311kgCNNs/OqECaWJ6wso3VyHE+WcOJ5RJchattdhbt9lYdwvJyFFdxj5YDLMvSaPudF873/ELS+Lk7/9ZzwQR/u8Lf1UBVR+NoC4xs/9WUE8Vic0NR3hNFvRoNI3CB42mvCeMyK4bH2DpK1MaIwZW3W0W9GFN+wAYAkSXJe2d6qx8kyWtrmmv3m5PNYGgfN24ptnC8ceRsnuMfaQc7bXLPfnGy+dyDC1pe49V/QCR/0+qQ7zS5euVOzQY+6EyZMlZNZ3j/TYmZp1cW0zeEMe9CdUeybZLFdH9v/mLu/1btIKqH66OafXx+2+fz2T3Uadfv9k3bX6zd6Q6lN</t>
  </si>
  <si>
    <t>vn51+ycq3/qlCUtlT+XvPSGzjXyondDn2clEf+jj7WRhWw+pOMIfB++hrE+2E/pQO8XwTDM8szE8ozNIfwa8i9Iebyf0yXYK4UIjXNgQLugI+C1DX5U3LVt9vJ1CmWiUiQ1lQkbhPuhO6DPulP4XWv8Lm/4XdP14WPDsx7Wn3Ql90J2S/1LLf2mT/5Imv3WltXwdMEY68k5Ye2+ViyFLrJcAk0qKdFq1Se2bZLXg2A411LUTpJ/cfrvtoXy86bnshk0/Wm8X6D6K+vpHJzd/cfutm8/WcbDtvHx8dqI3JNQf//r239/+SP+gCf8RGb8bQDgHR4kSpZdEQN52cFSfTGf0psdkreAYj8eehXVilKgQnMbBtyJcE6NEjT5TLYDCLD23zYsSBYabF5Xxdlqrco+KUsnAQOM/KlpmhX1UlKoWjDW+o6LV3aho5RgVpaoGY85+FchuQ6Z68MSB8ZSOAcYOQuWxm96qHnzxQjhGRakU0pMC9iNt2dOdsPvFBlUwGGPgvS1g3ZmA685zOhUYl/ymRO1rzjt0pQxTotXdlKj1Rr2kK/aJpySP2e0VuteaCRmBe0q0evDFC+CYEqUSgIHVsyrVvrMTdb8MpYhtc+5yWczLfBWJomjUR1NFVSlXUTyTadlk6aoo52sea4X69dmQrXJhe9jwoVqa/CBROlMt64DyqWdNIG+ygnh0g9BS98d6mLCd+fvOthv+Wfsbfbz3p+sBRj2n+MUnLD+/+dXJiYn/ESu/xPk9CkmnCXqM8PBrzfIbJy8ev/Xy7YeXJ3kc336//Uik/ks+Oztpx0C3f/tHJw+fqz9+mOsoXMUn/9//Gd38Y5RIxxs0Tu7en2GZu+Q0uEcXboBqmJOEpYFvvCJvsXJ0swAHx/6VNSfIaK17+8QlK57HWj1EibgtFGW8afSuf2ECf8oL7rFmwNUNek2f86L53nwIWk/jHrieEz7o8d6bIWwTlDJxsIkk77KFbWBQ1YKbSWhWF6qBQcUXGP4QDQyqROklEZD32psvssyk9TFZK7i5NETKRlQIbhR5pGL2BgZVo8+GC6BQpVnGAv8JWWDABka62UiUibOBQSYDA82wDQyyWjDWeDYwZLJrYKzNbFL9Nl01GHOGyE41zIMnDoyndAwwduzRwFDav3gh7A0MMoX0pID9SFv2dCfsXgODLBiMMXCKD6w7E3DdeU6nAuPScA0MstLhGxi79eYdx416SVfsE09JHrOrmdxrzYSMwNzA2K0z2wtgb2CQCcDA6tvAUL6zE3WvgUESe6ANjNTawEj9IFG68RsYjCAem2JoqTt8A4ORX+L8HoXksTcwGA3usRk5RDXMSDJqA4ORw3cPFaBwVNaMIIfQwODE81irhygRd4Xi9pQS6Th2hhXcY82Aqxv0mj7nRfO9+RC0vgZG//Wc8EHrJw/P1mFgtCcxMttpMlKYKdcH31dll3KkVkZuUvsmWS24rYTmd6RWhsp0fnGifuRXt99dv+DqLgXSDyr+vH0t+OavWT+7+Ns2UfqOyRSPyKYQmCkGaWsQJUoviYC8//69/5Sex+Z3Oz8mywR3m4bI4YgKwZ0jj9zM0dEgavTZgQEUVvm5NAl8QhbI0tFAY+9X6LLBcOLfrkhEVdn7FVS5YEDx6VeYFL5NVwgGEa/EE/WDp3TZ4ILv34sw6XxG1yk9de7jBRd0meCqz5GFUyWDYcCvgeBYBd6hSx24g2BSd0lX5xOrhrz2E7Jknu6ASeMLukYwUnnt/5skvqRJ1BpXWTWTVVpGWZKsoiRZLqOqikW0SPI8mc3jpqk24cFazjnqWmJJZz3cXeZ+mCjf+Pv+jCAee0loXfiTdcGmx9W+UM7drF/k3O5u6zf+tfVf+7rrv7r5y5ufnHzjjVTqne2Tyft//N7izfdnHyxOJn/8R8sPvvzue0uTZR6xWkbilsFrsJu/MFW+N590CujbH66/9FH7cnBlzk3d/Fn7AulP9Iumd6dlfdweF7o5CutXrXlfN7O6Cu3LxfVfsCvYt29YVP/IP6q/bvO+6fVPtaeSniRp22tQn+tug/4nTI2ETf/grD3U6/Puy7d/of6tzguJdnsDeoJxM8n40frlRPowMNu/02lYGAPEY1Z/8Nh8HKLYZSQZtWHByOG7ZwpQOApnRpBDaFhw4nkEGa+6sa9hsX0nsnS845oV3GPN4CiVONF8bz4Era9h0X89J3zQ7asSz3apn05sR2tcCBOrynBdr4XMMtFlHaVtYZnDeZOsFtxxQtPTv1Ppxs9VYvHR5vXTOklpT1zxamasD33fnSuiky+drXzenvHxyUl2lp60Mxr63/j13cEu61NLPm8TsF+0mdpH7cuv1Q//uv3n9Pmo+u9dS/js7oxTk00fkW0qMJsO0v8gSpReEonyHpPlgTtgQ6SCRIXghpdHiufoexA1+uwlAQpzeV6YBD4hCwzd96DKBqMRoe+RJva2B1UtGJB82h76MY3i7jEN68uV36arBgOTV0qLusZTumxw7fdvhdyNSxcPvmh4x2MZVArpSQH7jbbs6U7Y/ZYJVTAYMDjqAKpkMIJ4tkysC8g7dKUDd0z0MxfF3TMX1sXjkq7YJ/IN6Q4TsmSeLsr9RWNrcMczFlQCMCp69Vj0MxbF6U7U/W4LRez6tfzrN/Nvo6O10hzk1fzG5FOVmM43LWf2U1thjT5VZmJU+SZZZfcm3P9d/H+l6ra2wGs7HJsDIzd77e1O9091sXj7w7P23M/b797+aftNv9lux3++65ToL3y22SfXO/tt8fmZiV+Vgfql/VQjjPzSflnZduKo+rsJDaAfX57Wb+m3iH5GFy39ReMrUvtafovmC7pm/HaBw5ZR+8SmfULWzv3ifYvgF3TB+CrvGa7aN+1b9L6k6W2949UYUcr6kF/llA2/jGaoOGXdBCXqxG+9Q4lUJ19qm9e6F/2L9qm3H6i/85Obz/RPG31PhbFKhzGihUYOY3l8pj70sTN5oT6KXH2U1iYTlWmE0KZAnmmQZxrkmQZ5ZgN5RgeR/iBeK9qF5rjQHBea40JzXNg4Lugc+H24bwhUPBPNM9E8E80zsfFMyDzcYVFBvNAQLzTECw3xwgbxgg6BhxpKqFQMLzXDS83wUjO8tDG8pDFoiM32EHv4tAXQPHYKL6zGh3X6BlDb409Upfiti4bQv1Sh77vtBFMbF9s+3qZfp2Lipo/3SfvH6xks3dP71c2nJq5HiktFPyrc2NEvsUQ6sv4xIp1Z9DO6aOkv2mvxubBpvqBrxm+DvSOYWfuErJ09WpkFv6ALxldxUmQy631J06sFbxx6hChkjUOuV9JkGfwo7pBxyDwT+CZZK34LopHon9pq7Vvr0ZT1WMq68jpRBdd32wkVVdKZKFTcSXTcIaKMHXdsFRZZ/xhxx1ZNkUVLf9FeS8uFTfMFXTPu9HvHHVuVRNXOHndsFRFZML5uk+KOrfoh6X1t83CEocpN8LGGn9RFIGKrxTGhlNhjE/smWSw4uEIKPq+Fm/aZEL3F+HF77PQvtk+F/Gx7IHU72Lh+oEXvM+qXZJlAH5FBu4s745gjVaL0kkiU95gsD5xawccczW/y+DJZIDijMsiUI1VjN/TtOeWYWg4FocoLPONIlg0GB8KMY5La30VNlguGCM8hxzzdDTnm1vc4vU1XDcYKr+Qe9Y2ndNngyk/I6bfzSnn64IuGtw85kimkJwXsN9qypzth95N8qmAwXDAMOZIlgwHEc8jRvoK8Q5c6/JTjbvV4x7F6XNIV+0S+If1hQpbMPOW4WzW2BrdPOZIJwLjoWflpX9mJul/5UcSupxxfk8y/72iUr8q+zCnffuworNO78kttRR9RKr7/gtZ9f68Ktp+37ydoK7+/vfn7m5+YNKv6LdNbjEThY28xCtsWI1V/NxcB9OMLy2aL0Sz6GV209BeNryXrLUaz5gu6ZtzF4YBj22I0a5+QtbNvMZoFv6ALxpdoz0Cz3mI0631J0/vaFuMIIca6tyic0lOrqWGlhCBj3VskisXvQTTMtHHlJIlufnly+3+tH9E2SVZRRugoQ9Q9dpSRtihD1T9GlDGLfkYXLf1Fey0kFzbNF3TNuIfvHWXM2idk7exRxiz4BV0wvkqTooxZ70uaXi14U6KPEmWscUY6xWdWY8NaSXHGfJb1m2S5+H2IRpq/0vPpdy8CMQzDmwhU4JE68BAxxg48uS3wUPWPEXjMop/RRUt/0V5ry4VN8wVdM+7wewces/YJWTt74DELfkEXjC/cpMBj1vuSpve1wDPSBIV7hC93MsDPDA81Q7EOPur/baUOUS/YGiNGn5PNi6L020K/e/v9dnSifV/mj1Rksg+RE1m6izjnpARRovSSCMh7/Zxv48P7j8lawT4YPjZhfTsUVSHY9hpmboKo0ad7hChMzjdvB+wofEJWGHp0giobjAr+oxOp4/VQZLVgYPCdnMjvJiesL5R8m64aDA9eST3qGk/pssFIQMjldz3Q/MEXDe+YnKBSSE8K2G+0ZU93wu4n91TBYMTgmJygSgZDiN/khH0BeYeulGFwIr8bnLAuHpd0xT6hb0h3mJAlcw9O5A++aHDH4ASVAIyKngWf9pWdqPsFH0Xs5vVQWvMmyvBvOGYm/arYc77eSgR48cZ5apT6Jlkqvu+ClnqdyYl/uPnxzX8waVb1XKG3FonCx95aLPWLMKxPBlMhugkJAIEvL5v9xVK/+cL6eDBVufRXji8r603GUr/qwvqMMFU47vFwADICTDTAxAYwIQOwbzeW+mUW1qeFqarxtdszBK33HEv99grrI8MU0a2zvBorAFn3G52vrBIhXl2RWsS+SRaL35JoEPpJu734Q5NMFXf0GwWpWseOO5WOO7Et7lAhxog7lY47ZuXP6Mqlv3KvteRCC7+wCb+gC8edfO+4U+m4YwaYkAHY406l445Z9Qu6anzJJsWdSscds+iXNNGv358jdbwyR7+rciJUVrtjQknB5zwR1ghElAvuZ6Lh57+2xwR+74uHoPxUH/yme2B3p79/3h7E8q3tIXXrh4ZPvnT7Z6/9vK6iovbgvB/pk/X03/Sb9ui5X2/eg9EeqqJ+pP21PqzutW+9/ZO28fZJ23jbHffy2c32yDr1l//u5vD6tiNnsuojslW7UYaz8UaUKL0kAvK2jbfkXP3DZ+v+27ky8XtfcIrtu0w+b73i2ze/VddS/enr7rL+UntuTnt2zmdmh/n0C43Tc5N1HpOtA27cDtHqIyoE92mHafURNfrsdwIKyyo5L4RJ4hOyxNC9PqpsMB4Sen25sPf6qGrBoOjb66vuen2Vo9dHVQ3GRq9qB3WNp3TZYPAh1De7bfvqwRcN7+j1USmkJwXsN9qypzth98scqmAwZHD0+qiSwRji2euzLiDv0JUy9Pqqu16fdfG4pCv2iX1DusOELJm711c9+KLBHb0+KgEYFT0LXu0rO1H3a12KWFXs/h+jVLfGrPOhqtwdokUC766OVN1S5YIR/H/S6pZqVTDBGKK6pUqUXhIBeeNXt607rH/49eNq1Zc+shS7VGOBmcsAxS5VIZioDFLsUjX6BHxAoavYpUoMXOySZYPhcdhil6wWjJGexW4R74rdIrYXu2TVYKhkKnbJssFYtEexW8QPvmh4e7FLppCeFLDfaMue7oTdK3bJgsGQwVDskiWDMWS4YpesdPhid7d4vONYPC7pin1i35DuMCFLZi52d4vG1uD2YpdMAEZF32JX+cpO1L1ilyS2HWw9u0s/rGXvgFNFtro3cejPJPwm6IGniozWfpOstns7DjBWpM+5UYXlp9Cj84U+fIAqfuQ5o8J2+ABZfzclAfTjC8x6xMgi+hldtPQXja8p7XSRRfMFXTPu5nDgsQwWWbRPyNq5Z4osgl/QBeNrtWfAaceJLHpf0vS+tvU32iCR9QVhReokSK0Wx4TS4o1t7vZNslywfkQDzn+++ej2B+0RppuTST9rz1z7vD2Q9NP1Rujtj9odsZObX+y++ZPdHpk+y/Q7m7219rC2f24fztC7cL88+dKJ+o3ef2s37P7q5i9vfmL0v0dkc3SDAOceKVGi9JIIyOvskX7hSfyT2+8qY6vr0h6WtzW6PjYi1Vvbetv6Rya8x2Q8sEQdYleTqBCsSIfZ1SRq9KnsEIVFmZ5Ly1EHVI0s25r3AtWTLz++vLy4/NK6rtskj/qo4ELoD/m7ut+iIdpyzzwZ+xU6Ixi3/PdAc3meCZPY36eLBWOX7xbo3akIheNUBLJqMITtV3WsCTTMgycOjKd0DDD0EIqP3e7G3SkJRc8pCWQK6UkB+5G27OlO2P1qhCoYjDfwliiwAE30AjTRC9AEXICe0/nAaOW3f2pdfN6hC2XYPr07UMF+x17SFfsEWZLrrNU/71t0JmQE7u3UuwMW3AvOCzoBGGA9q1vtOztR96tbilitNo7zbLFcLaLFIq+iJFnOojJeJVEcy1jmZZlUchODrYXv1zeOZGCkFL/W8jfzQ0TZTCWyA8mnTDaBvMkK0s08XNcGLKB/0o6lfEeXWj9v69+ftUMnv2lnTdo5IVWHqWq4nTb5SJfSP1vv7P5iXWpvK7TsLL39fhXHt99PExGrP/vMZJ5HrOaRuHnwatWE8ZgVo5shODDwqvT2z2yH73GidJMBB4pH+WrieIuVoxt5HRxoiVuluYnjCSvHvRLYAeJVBt+7RrI4l7b5Hk5AjyVyiAJtV6ZlOtXQWVPmKNU4wT1WDbi2wK/qc1443/sPgXNe0efIFZ3wQbfZ21zmSZVUcRQ3eRmJshFRk8d5tKyKuVysRFkkq1fjZm/GBFVlb8LXDhjb+NkbI4jH0oRmb/+gD1O+/c7tn/4bXdS3TY/1XLB+YbCQuh3yq3bAW5QPzC8he8SKLHHkvTMyRgyPtRXPyNanY5+fmDPlL7MCjZqXMXL4xgWAIi31nuJ9kCesIOMlZueJcQ3/Ci+ex9o3aFomtkFcONIyTnCPpYOellmu6XNeNN+bD0HrS8r6r+eED7pNylarYhaXWRotc7HSCVypErhlHnJLLTPZQSVl0tcOGNv4SRkjiMfChCZlektNT5C08wu/vfmonUf59OYXejvt9ke3f6J+3T4G2G6npXF883GbvH2Wnp2s38t282l71t2n67/HZJNHrDaRuE32ztoYMTyWXo+szTrdwUgyarrGyOEbMQAK/fxbWplQnrCijJawOZ6T48TzWBcHTdjkNsBLR8LGCe6xapATNsdjS5xovrcfgtaXsPVfzwkf9N0h89nmslpzssGeKREmRpWM5U7GEOcyZsYNoTfJUvE5ezST6rwqfTsYqkd1f3j7fZN6lRjl+qESIsLYD5UUthWOql/468fHLDYPlZhFP6OLlv6i8cmK9UMlZs0XdM24s9OX0s3slln7hKyd/aESs+AXdMH4Yu05drN+qMSs9yVNb7sSbrxjhGhjnadxvtJdCqutYaWEeHNeGTP1N8lq8bsQDTmeTzDqEzqo4scONqUt2FD1jxFszKKf0UVLf9Fe68mFTfMFXTPu5nsHG7P2CVk7e7AxC35BF4yv1aRgY9b7kqb3tR3MkZ5gFI4RTufb3CV8GtRQTzC28cbxBCNRbnfV/h/lCUaiObpBgPMJRqJE6SURkGd6y5tJ8mOy5O4uFONTiUSF4HMeHvvRjqcSiRq7cXPPpxKd71ojSgz4UKI+OaeM9UeyfSaodD+USGUEQ9GwDyVSxYLhyPehxPLuocTS8VAiVTUYlfYrJHa79OWDJw6Mp3QMMJoQ6ondM0Llgy9eCMdDiVQK6UkB+5G27OlO2P0CgyoYDDdwwwNYgCZ6AZroBWgCLkDP6XxgsBruoUSqUIaHEsu7hxKtd+wlXbFPjCW5zq6V5F50JmQE7ocSywdfvACOhxKpBGCA9SxYte/sRN0vWClitVpsBF7zWGvZr8+GmqBq61lrRVv5IaJspqrXgeRT+ZpA3mQF8ZgUQGvi0R9KZDSPxM3jUYD+E/UtOYyk3STCQYrXrY7nFhlRRh24YuToBmcHB1oE259bZOQYbdrK+dwiJ6DHKjpEDber5KrtfI71cJunvOAeqwZcfuBX9TkvnO/9h8A5r+hz5IpO+KAP77nFdYJn3Px8KEvXe4qNdsDYRk/wOEE8liY0wRviuUVOZIkj40mbCeMxK4bH2opnZH3PLXICjZmXcXL4xgWAwv7cIifIeImZ9blFVjyPtW/ItKyMN0G8tB7D8JQX3GPpoKdl1ucWWdF8bz4ErScpA67nhA/68J5bXCdlmckOKilzv8vbYAeMbfykjBHEY2FCk7JRnlvktInEbbJ31saI4bH0emRttvkPTpJR0zVGDt+IAVC4Zkk4UUZL2OzPLbLieayLgyZsyTbAJ46EjRPcY9UgJ2z25xZZ0XxvPwStL2Hrv54TPui75xbHe5JEmhhVMpY6GeEToAd8jsT2EAlVate9xn6IpEx/7wlZ/MgPkZT6JINS2BY4KoTwh8AHMdZPkijlz2zKn9GVS3/l+ABG+ziJEn5hE35BF457PX1NXc95lfrl8xaACRmA+8ESpfqFTfULump8/fYc1mmfLlGiX9pEv6SJfm2F1EvNCI+YSNs4Tpk59VdWo2MyCYHovDJvYrxJ1tpdzvd8uuQvb3/Yjsz84uTms9vvtqfJf2v9KL0q5fVjJDe/VAX9+oGTz9qOy0laqO81Uj0iU3XXd8aHRKgSpZdEorzHZHnd9H7vB0LsgzVUieCQrUelb38ihKqxG/X2fCJEmNQ9IatjeRgELeK+QpcNxgH/5zvSuKhsen+frhcMCJ6PeJTZ7hGP0vrO6LfpqsHQ4JXmo87xlC4bXPsJif12wrrMHnzR8PZHOsgU0pMC9htt2dOdsPv5PVUwGDA49oKoksEA4veUhmsJeYeudfgHNXbLxzuO5eOSrtgn9A3pEBOyZOYHM3bLxtbg9gczyARgZPSs9bSv7ETdL/MoYvWO49ldBjLS2wSkdTBPuBjyxGpwTCal1Eti25sEqGLBgI7Wev/UbjN+a92/fb3au/32+vUAH99+6/a7N79oi79f6qcF7peBtz88O9GvIjCBPiKDginAIOUfUaL0kkiU95gsD4zmHuWfrfgjCgRj9zDFH1GjTwQEFKbGB+OekOWFrv6ossHQ4F/9JUla2Is/qlwwRPgWf+Ku+LO+m/5tumowVnAVf1TZ4Mq/T/EnHnzR8I7ij0ohPSlgv9GWPd0Ju1/8UQWD4YKj+KNKBgOIX/HnWEHeoUtlqP3EXe1nXT0u6Yp9It+Q/jAhS+au/cSDLxrcUftRCcC46F37idOdqPu1H0XsetpkPXDyh+8uFsv3Hqn66HlbHmmCvJmnTTOLo6VYyUiU8Soqy2IVzUQWzzIpksVitv7OXbmYyg788mvLnS99kX/9L8JBy9j5nFZnUynNr9abmt9ToMm71kBR28vbXWMhQtxTNVZdndU2rJoJq7sOQ1i4+yqqhw+rs4cPbVwPHzKAvVZC2V3U3oofxEWTWPuo2UUrx12bCvuLkbs+CCF4+qDSXVt011TdXSeDdHs6mdKtvcziZBTlr20whfOixOxBievhkVTYX3c6iguZRddk0aP4j1m0diyC6oPwHXOKM01cc6ypkGF9xyy6JosexXfMorVTEVS/toUazneys2mSqwhmfjfbNHHNlqXi3iz0uD6UndVKfG0RX5PFj+JLmYpjSr0KZmb52t0I+tvCMLRXmUcVp4mrhZUK+3jlKN5kFl2TRY/iRWbR2r0Iql/b8b/XKUzBDdY1C7yRbSnlnydiPbaYnKe2Gv6rehvSwWhv34K7rq+h4L602X8A9F+R9Qtv/bjyS0D5NVm59FFOX4U27yMFUKZklO6a1I/i60QvAP01WT+4M0tZm5RRT7fC7q9MFMHtylTOmrxcVVFSrkQkilUeVbMqi4TMlvl8XpSlmL/qBL7uovX1mfUZs2EWru3ytT4XT1085wIm/UyB2sB4q/Wi73+7yV53nbIhr7c7zw6gHCvOpqktAcpd9DK23qyjJEDFWW0RXpOFj5IEFSqLtijXOTZB+kFk0ZaNb91TcwDZOxejOJFlW5ssehQHsu1Zk1S/5jt6LQqaRZe9K/JXE9cLn1PH8X1jZNH9+q/I+oW3flz5JaD8mqxc+iinr0LbsN6PMiWjjJFF9+uvyfpZs+jydCvs/spEEawVZ6tcJFm2isSiSNTHIouqrJGRmGfNPKtm81RsmA4gi66gLNrZ9LlvCtQGobLoqtddp2zIrYs0s3TRiNkyirMijUSWLqKyEPMom6tvLat5ky2yQ3GRNEZcJHX2dkz2wmwQyEXSuN9F2JDXfYtVmskqLaPlqlE+VVVNVC6WMmqKuayK1arKV/dmR4K5SAK5iLOFY7IXZoNQLpIALsKFvE6Bl1Uu52Wm/jBRdXu8aFTdHleRXC2TRTJfVcksPxgXSSEXcfZjTPbCbBDKRVLARbiQ1zt6siiTVZxHcxk3kUiTNCpVaIrms8UiyRdzKdPmYFwkg1zE2XYx2QuzQSgXyQAX4ULe7eiJrg90DQHtCZDs0G7EpPJsmsXqf+q/wtIo19WkwwphB3UUQK0AagVQWwBqMsAYGzQK4OHDTE9+ZfpXFga9CUiAeG2/Rqe1Ifdr0v4d9K9q73cw2qcaRtivAfRfkfULb/248ktA+TVZufRRTl+stot2P8qUjDLCfg2gvybr59yvSeXpVtj9lYkiWCue5ekyEUkRVSIvIiFU4V4mszRSedRylmQyX1SHk0bnUI6U+5kCtUGoHCnvddcpG/Km0kqWUn05avIq3b1+VLreAR/ORQrIRdx9F4O9MBuEcpECcBEu5NZFlqvZIs1mq2jVNAu9t5NGs6QponieVeU8FcssO5xVpIRcxL0BbrAXZoNQLtLfpJiyIa8DzWyxapb5LJo1SRWJJG2imWjyKBeyyZtVVSWFOBgXgRoDqXuX3LTqQjYI5SJAY4ANWftIwMIo69/x/mrmPGglT7vsYxZGgP4rsn7hrR9XfgkovyYr795E/dn4Hk40AVCmZJQRCiNAf03Wz1kYZfHpVti9wogk+NjiVQa1oDLnwQP3TYHaIFC8yoAWFBvy0WW9GdSCylz9GKO9MBuEchGgBcWGfHS1cwa1oDLnewJN9sJsEMpFgBYUG/LR7cBlAnIR4WsvzAahXKT/MZkpG3Lowqh/s/yrmXSyB53wBfRfkfULb/248ktA+TVZefcm6s/G93CiCYAyJaOMURj166/J+lkLI3m6FXa/MKIIPrp4BXWMdLrmYwrUBqHiFdAxYkM+vsII6hhlrvaJ0V6YDUK5CNAxYkM+vu0VqGOUudon5lsKskEoFwE6RmzIrYus5vN8VTTzqCzm80hU8yRqxGwerfJZms6apiyL8mBcBOoYZa72idFemA1CuQjQMWJD3p49sLni6p8JMlpnvM7Csu0YC5HmWVl2ocesiET/tukVWb/w1o8rvwSUX5OVd++e/jR8KG+ZkjWPUPoANq/J+vlKH5POhw9JQrXSJhG5WqtEVKYLlftWizxqZJZH6nfzZlZW6Sw7mF1cAe3iCsuWps0UqA0CRSIB7OKyIa/z2fl8OYvny6ismlkklqV+m2w5i6SY5YulaJIsKw7GRaC3xwjpay/MBqFcpH8TZ8qG3LrIPF3pR5TiKJnP00g0C+VYy1hGy1WyzFVVnZWH8ziSgKpiYSkR7fbCbBDKRYCqmA15/XKhtJHLlZhFcZ7Lbd9oUR1ku1BAJY+w5P92e2E2COUiQMnDhrx+Yk2T33s+vmsJ6CkpkiHaR9ak5X3S0v1UOP62O0g/ns22j6lZRNdk0d38FRKNprCbR9MsovVrXQmqXyuYQ7+BU/ZXFl+VzifIHYdojFBHA/qvyPqFt35c+SWg/JqsXPoop69Cm+UYQJmSUUYorwH9NVk/X3n9hjLq6VbY/ZWJIrhVvKjyJF9WUSrieSRW1TwqZd5EWdks5yJbVem8enUg2Y9MkexHh20fU6A2CJT9SGCejg153RNIpfruVRLNSp1MF6WIZrOiiebLJJ+LOF0VycH0BCS0EyOd7zcw2QuzQSgXAXZi2JBbF6mKKovjMomEPtJHzPNVVGaNcqdErMp5FpeqDDsYF4Hm6aTwtRdmg1AuAszTsSF/c3ts2dkBVFG5BV464dMu/LhVlFl0TRY9ShVlFq1PeiKo1rJDv71XFhbfyZ1A+BwdpN/Xd8yia7LoUXzHLFo7FUG1li1D+055Nk2q9GwqSvUrKSwvgpauASD1GdaVyrNaM9SaobYx1GSGUTyr1Gf0KIiHDzWF+oIFQzshgeMg1qlK+VqSqI/U5mbOx87zsOeIKfm1ll/b5Ndk+aN4mD4zU+vXpz1ZfYtCcAi+lcdnU7XMTvPibFooFyv1/5S/Vdrn4kJ/VBafs2zRb5Dx9xNBhJ4+p7BqhVUrrFph1aX+n/LDSvuiwqptWDUZawxfzPX71XJ9LFmuD1QotFOW7Yd20qr11LhoP8142p0JfK9l+qH3vPP+J6y/mlv29WORyiLJgj5NA+i/IusX3vpx5ZeA8muycumjnL7mbcpnAGVKRumub/0ovk70AtBfk/Vz7nnn8elW2L2ViSRYK16sxKIskllUJnIZiTjPo3I+T6JlllWrbJXNq9XyVSfMhtqtyqHXDOTWKTuzKVAbBNqtyvtbNFM25PX0YTNfzlZZFUkh5nrzcxXN8lhGImnKRdLMFpnuBR+Ii0BtkdzSI7DbC7NBKBcB2iJsyNs5+M3KHeoVs+brLKzQQsRF0P593r8LfUXWz5vL9Cu/Jivv3j39AXQob5mSNY+RtPTbvCbr50taTDpVskIR2hb8y2qeLlIZzeJipqKWHo3O4zhK4zhfJvNyVomDObklhx79zXM/U6A2CBWJgEd/2ZADvarCfF0te1p6BrOUWWq9F8eIPP1PVl6R9fNGnn7l12Tl3bulfxUcylumZM1jRJ5+m9dk/aNHHorQY4s8BXRmWGHdMTCbArVBoMhT9O/qTNmQtzVQEvicDfOFdld+hfXmHCEUFf2V6xVZP2soApRfk5V3b5/+ZXEob5mSNY8QigCb12T9Y4ciklCtdJYkIpeiivJkLiMhyiJq5LyIVk2xiBdJKfO8enUooQiaL9Sv3PAxBWqDUKGov1afsiGvd2xXZbpshIgaocdVk2oeNbNsFcVpIsu0SGQjD8dFoDq5sBeNFnthNgjlIkCdzIbcuohIVkVcNFVUJMtCfW+cqMxmlUbFbJVWi1yu5OH0fQro/UeFNbe32QuzQSgX6a+7pmzIrYuUeZnOi4VaZ7IijkS+XEXVXDRRVmVxtapms2x5MM86lFDNU7q7pAZ7YTYI5CIlUPOwIeua52x9eOXBlDqlO6cK+t6jsj95vSLrF976ceWXgPJrsvLuXdOfdg/lLVOy5hFKHcDmNVn/2KUOSeixlTolVOqUws8UqA1CRSCg1GFDPrpSp4RKndKd95veEwXZIJSLAKUOG/LRlTolVOqU7rzfYC/MBqFcBCh12JAPqWtcWZP1rCyzLOi8UtVfbFyR9Qtv/bjyS0D5NVl5927pz6WG8pYpWfMI+Stg85qsf+z8lST02HZQqhSJPJU1lTebArVBoMhT9ZdZUzbko0tOKqjEqYSvvTAbhHIRoMRhQz66EqeCSpzKmu/b7IXZIJSLACUOG/LRbZRUUIlTWfN9m70wG4RyEaDEYUM+pBInid1DWPY3IoxQ4yhxvZfpik4gvAlw7ZeI9mu69u4t059zD+UyU7roEQodxOw1nWDsUoemVEuNF3mVS9lEyzLPIjETcTSbyWW0nJezctXk1VI0rw4kBCUxVOyob/MzBmqFQEFI8fT66pQP+uiS2SSGCh71bb4Ww6wQzE2AkocP+ujK4iSGih71bb4Ww6wQzE2AsocPOlBS+8buovcf1qAueWGm35w+FnT2HiG4ohMIbwJc+yWi/ZquvXsz9Wdde7jSBIGZ0mFGSYL7CWo6AV8S/Ia26+lOmiEdpmjWohNRzYpyFkeLxUpEQhXjUbMo4mhZFWm+KBqxjO+9vixcAIO2ZNS3+RkDtUKwAAZsyvBBBw9g/UfJqEteOemDTlQiBFd0AuYA1q/9mq69ezP1r5h7uNIEgZnSYUYJYP0ENZ2AN4BVpztphgBG0axFL5ZJPCuW82je5EkkijSLyvkyj+JSNsvZqkiFnL06lACWQOP/6tv8jIFaIVQAS/r3Hqd80O1Tzy161w+6poBe50myRPse1iRJ9Ut+9VulU2GzgvNQmCK13rvd1QdiwReg9o2rGqDWALUNoKYDdBcfCABef9bvVtUA+rN9obQFoX0RMIGh3Q5aM4R6f6plNbEe6Nq+yCZsJyvpPwflik7AmxsB2q/p2qWPdvLKZFmFqKLHyIEAs9d0Ar4cyLbYUJRqqUtZrZrVchYtZnETidn6PKgiSldLVdpVs2RVHFDmA52lrL7NzxioFYJlPsBpynzQ66xnNhNplq2ieZ6pLCnLV9FMrppomaVlvspWcdYczCuBkgQ6T1l9m6/FMCsEc5P+fckpH3SgHR7LpbUUgptGTND3uitxvdfpik7AnK30a7+ma+/eNP1hcyiXmdJFj5Kt9Ju9phOMn61QlB5dGEqhN7irb/MzBmqFUGEoBd7hzgd9fEltCp1cmqTWDN9mMcwKwdykvwCb8kFvXuihuQ9nj0VfBjOtfuxTpF3aUbOWtL8IuaIT8GYtgPZruvbuzdMfPodymSld9BhZC2D2mk4wetZCUqqlVvMimS3nWbSQqypKkmUZlbFuMcQylnlZJpW811UIF46w4jm115FGY6BWCBaOkOKZDXrXXbqXvXZNATU0SJZYd5dSfZxfpj+E/mhPlNTH/iW5/lWhP0rLOX9J6jzbsAh70J8mqzVZrcnqpD1sUp/8p8lqTVbbyGo62Sj9qLQ9zi9rP0X7uT6Ksj3/T+Opz6L9tAC2B1YSCDXiZrDrsLpVmf0h9krm9080HzWTyvob2Vd0At5MCtB+TdcufbSTVzrz4kUWPUYmBZi9phOMnkmRlLZSq1lTxXEWyUZkkR49jMpmlkalyPO0jKVYFMtXh5JJZSmUSWWpnzFQK4TKpDLkuSs26HXCXclClrF+KEvkkWiqMqpKlXXNs3Il0llZLVaLw3ET7LmrTPhaDLNCMDdBnrtig27dZJ5WWZomTbSosnkkRCqiMo3jaJk0VdUUSV4sD2c3OcOeu8pyX4thVgjmJshzV2zQrZvkqzLOV4s4WqXxKhLzvIrKRVVF8+VSxHm2msWiOBw3wZ5uyOyvX7BYDLNCMDdBnm5ggz6o3rdwJldV1aUctfYR/YnsFZ1AeBPg2i8R7dd07d2bpj8JH8plpnTRY9Q+gNlrOsHotQ9J6dGFIYHVPsJZBtw3BmqFUGFIILUPG/TxJbUCq32E8LUYZoVgboLUPmzQx7eTIrDaRzjLAJPFMCsEcxOk9mGDXu+kiErMchlHZaHfT6HcK5ql6gfyxSxT/6+cqjyYl7omAqt9hLMMMFkMs0IwN0FqHzbog6p9pOOFXrGQYZ/glv2J7BWdQHgT4NovEe3XdO3dm6Y/CR/KZaZ00WPUPoDZazrB6LUPSenRZSsSq32ktQwwGwO1QqgwJJHahw16PT0zm1flMssjOV/ISMzmRVQlSR6VVTFP5vOkWeSHM/crsdpHCl+LYVYI5iZI7cMGfXwlssRqH2ktA2wWw6wQzE2Q2ocN+vg23CRW+0hrGWCzGGaFYG6C1D5s0O3YpiZfg4eagXtj5wT9j4kpF6hs1kiqKoll1xrj1kj9BFd0AuFNgGu/RLRf07V3b67+ZH0PV5ogMFM6zCi1Uz9BTSfgq53e0HY93UkzVFEUzVp0LOJZqZKhKF+qfFrMqyaqRCajfFXlq2ZZrkS2enUoAS3H3nKVW0tKszFQK4QKaHl/xT/lg27dpJzFMilKGWVSFpHIpYz0G8+j+Tyby1TE83xWHY6bYA/Z5tbnTW0Ww6wQzE2Qh2zZoNeD/7NsmaXqD2Uzy1VhviyippmXUVpUKptO0rKaxYfjJtieTG7dnrBZDLNCMDdB9mTYoLfp8aZDFCo9tlxq4aQO+7byvH+T5IpOILwJcO2XiPZruvbuTdSfdw3lMlO66DHSXcDsNZ2AL901CdVPrVGUaqkiS1YLEYsoXlSZDmF5pH4gUUvVspnPV3GSpofTsc6xzb3cus9lNgZqhWBhCdncY4NetwqyopwXiYySZp5EIl7JqFzEVZTIWZWky1ilyIvDcRNscy+37nPZLIZZIZibIJt7bNDb7CXZZLGHlb4UjjHSvCziLvao6UvRX8Re0QmENwGu/RLRfk3X3r2L+uPoUC4zpYseI30BzF7TCUZPX0hKtdSFSAtZFEmUpaqgSpLlMpolcRotVDxMZvO4aarD6U0WWFVdWAtMszFQK4SKSwVSVbNBr99wVhVFXFZVlEv1vSLNmmg2y2NVi6+WZSlmy3JxOFu5BTbpUAhfi2FWCOYm/RXZlA/6+CYdCqwYKqx1gc1imBWCuQlSDLFBH9+kQ4EVQ4Vj4NlsMcwKwdwEKYbYoA9qyrt0jJHmQtrfxjRG7VP2J7JXdALhTYBrv0S0X9O1d2+a/iR8KJeZ0kWPUfsAZq/pBKPXPiSlRxeGSqz2Ka1lgNkYqBVChaESqX3YoI8vqS2x2qcUvhbDrBDMTZDahw16/eiiXMzzZJVGQmbqQ8gqasSsiJp5k83yJpeiSg/HTbDap7SWATaLYVYI5iZI7cMG3bpJsyzypljF0aJME1VOJ1k0ixsZLcSiauKyTMrV4ZxdXGK1T+kYeDZbDLNCMDdBah826F0jSKzJQzWC3th5Qf9kq/KBymyO9Qtdy7AH9gEEV3QC4U2Aa79EtF/TtXfvrv5sfQ9XmiAwUzrMKMVTP0FNJ+Arnt7Qdj3dSTOUURTNWvRKLJsqz2dRo/6r+whNVMar5jBfN19hY96Vpaa0GQO1QqiIVvWX/FM+6NZN5LIqlqKUqsZaqejXNHlUzcQykvFyIdM0XzWL/HDcBBvzrpxn7poshlkhmJsgY95s0G3is37+vusIXVtA77UnmWJ9LEGVnU1FWqoPYTv0urJsOmzMgD+MBLHggWp9+oACqDVAbQOo6QDdIAUBwHFqc8hApQ8T0ATq04Kgv4vC0CbXwT1MnKmP4myaxvoj0R+pVB+Zcr1U6A+pP/JEf+g/0CdipIX+vlJ/6J/NYvUHWaI/9M9mWfuh3DYTif7QvxX6tzLVH/q3Uv8217/Nc/2h/tKs0L8t9G/1gRtZmekP/X36NsgqfRvE+oaI9a8S/St9HrxIM9utYTlGa3NV8N1v6CJ43xrirNaWr7Xla235Wlu+1pavteVrbflaW77Wlq+15Wtt+VpbvtaWr7Xla235Wlu+1pavteVrbflaW77Wlq+15Wtt+VpbvtaWr7Xla235Wlu+1pavteVrbflaW77Wlq+15Wtt+VpbvtaWr7Xla5vla7rlx7mnhT4URJnv4UNte/WZtJ/Kguoz03e8tr/6lO2nugL6s/3T9lgRfRHUZ9l+tn+Pvg7qM2k/279HXwr9qVcOfTH0Z/sV0X5FXQ/92X5Ftl/J26+oa6I/9b+ir4r+bL/SHmSiL4z+bL+/XZn0tVErU9yuUnH766T9ddL+2nKB2nWNcIVeW7GC7wZU/VutKjESTsqwL8YCCK7oBMKbANd+iWi/pmuXPtrpEXCXbvbDTOkwY+wGAAQ1nYB1N6ASpztphmWKornd31Z/Xs3FPNIjhHpcLI3KqqyibNVkcZysZlWy8bJDKPMkVuZJP2OgVghW5vUflDjlg14PlM6W2aKpkiiv1A+ITHfWsqKJ5LxJZ0leiviA3rBWYd2yKve1GGaFYG6CdMvYoDsvu9GJQYi8x3Kprc2fNEnSIuxLbar+9tUVnYA5v+nXfk3X3r2J+gPqUC4zpYseJY/pN3tNJ+DLY0xCdfZCUdoWWc0qW6bVLJrNknJ3fqo4yF5GGkO9DPVtfsZArRAoLCmeXl+d8kGvX1mTl+m8WBRRkxUq08mXq0glPk2UVSoDWlWzWbY8mIe+0xiaHFTf5msxzArB3ASYHOSDXj9clwohk9ksKmSR7FwqPtDVBJocVN/mazHMCsHcpL+Cn/JBr7tdc6kKJKG+Y7FqIlElcVTNZBPFzVx9oZRCZceH4yZQLaS+zddimBWCuQlQC/FBH9LjMGnsSK7yPA/6JiMlrvc6XdEJhDcBrv0S0X5N1969afqT8KFcZkoXPULtg5i9phOMXfvQlLY7t6KJ0ySeReVsJVRmI/KoSWZVtJrP8nmSibiYHczb7JVOKAwljjLAZAzUCqHCUILUPmzQx5etJFjtkzjKALPFMCsEcxOk9mGDPr7aJ8FqHz2R72cxzArB3ASpfdigj2/DLcFqn8RRBpgthlkhmJsgtQ8b9EHVPoktucplUcg861KOWvsk/YnsFZ1AeBPg2i8R7dd07d2bpj8JH8plpnTRY9Q+gNlrOsHotQ9JaVv7xFJlM+UyyvP5MhIz/SrPIpfRvErFUszjpmw2MAcQhlKs9kltZYDFGKgVQoWhFKl92KCPr++TYrVPaisDrBbDrBDMTZDahw36+ErkFKt9dPz3sxhmhWBugtQ+bNAHldSmttR9TRn00W0lrvc6XdEJhDcBrv0S0X5N1969afqzq6FcZkoXPUZSC5i9phOMntSSlB5fGIJeNdK+Ud/HGKgVgoWh/gJsygfdukkhRbOUizKS8ySLhKjiaJbPkmjVVPMiXqo/beTBuEmG1T6ZuwwwWAyzQig3yZDahw36+ErkDKt9MncZYLAYZoVgboLUPmzQB5XUZsJCKURc5mnQJxCVuN7rdEUnEN4EuPZLRPs1XXv3punProZymSld9BhJLWD2mk4welJLUnp0DcMMaxhmtgzfYgzUCsHCUH8BNuWDPr6d2gyrfTL7GwctFsOsEMxNkNqHDfr4plQEVvsI+/uwLRbDrBDKTQRS+7BBH99OisBqH2ErA6wWw6wQzE2Q2ocN+qBqH+FOrqou5ai1j+hPZK/oBMKbANd+iWi/pmvv3jT9SfhQLjOlix6j9gHMXtMJRq99SEqPLwxhtY9wlwH3jIFaIVgYQmofNugjTGqx2ke4ywCDxTArBHMTpPZhgz6+vo/Eah/pLgMMFsOsEMpNJFL7sEEf34abxGof6S4DDBbDrBDMTZDahw36oGofaU+ukiIN/HSy7E9kr+gEwpsA136JaL+ma+/eNP1J+FAuM6WLHqP2Acxe0wlGr31ISo8vDGG1j7SXAUZjoFYIFoaQ2ocN+giTWqz2kfYywGIxzArB3ASpfdigj69EzrHaJ7eXARaLYVYI5SY5UvuwQW9fP7pJqvTFD/H60Td2TtB/NItyAefRLFXatcaoyS9AcEUnEN4EuPZLRPs1XXv35urPwvZwpQkCM6XDjJEUAwQ1nYAvKX5D2/V0J+1+ekzSrEXLRK6KhciirFomkcjyPJpViypKm2W2EEk8V797dTABDdulyS0bFjZjoFYIFtCQXRo26NZN8tmsbLKmioo8E5GIV1U0k3P1EafJfJmpv+hw3s6f5hnmJs4TVUwWw6wQzE0yxE24oNduAh2Pfihugj3Amgtvi0FWCOYm/RtDUz7oQHu+d+lw/xEW6pJLB70+2cmWAYySDvcTXNEJhDcBrv0S0X5N1969mfrzrz1caYLATOkwo6TD/QQ1nYA3HZanO2mGdJii+fgCGLZbnFs2Tm3GQK0QLIAhu8Vs0EeYDheYmxTeFoOsEMxNCsRNuKBbN1kmTZaJeRHN5VxVWHORRjMhk2g1E2kl58VspbchD8VNsKZCbtlft1sMs0IwN0GaCmzQgdJh86UtHO//Laoq7Ptciv5d/Ss6gfAmwLVfItqv6dq7N01/njWUy0zposdIbwGz13QCvvTWJFSfYUxRqqWuFrKqlmotWs2aRSSa5Txq0iSLyqqKF8s8l4vVxocOIAwV2B5vYdnutBkDtUKoMFQge7xs0MeX1BbY5l0hfC2GWSGYmyCbd2zQx1ciF1iJXFiqRYfFICsEcxOkRGaDPqyk1joPlFWx3kKxxfdRktr+4uOKTiC8CXDtl4j2a7r27k3Tn10N5TJTuuhRktp+s9d0gvGTWopSLbVIZkuZpqtILpOZymzyJKqaWaIiWDGPZ0lc5tni1aGEoRKbxCutGb7ZGKgVQoWhsr8Am/JBr2ufSsplNs+iRJbNdmpvUR3mwGaJ1T6ltQywWQyzQjA3QWofNujjq31KrPYpha/FMCsEcxOk9mGDXr/LMilneV7NIynVD4hZ1qiVR9XUpciWq2WVxatsfjhugtU+pbUMsFkMs0IwN0FqHzbog6p9SndyFfaZxrI/kb2iEwhvAlz7JaL9mq69e9P0J+FDucyULnqM2gcwe00nGL32ISk9ur5yhdU+lbsMMDyQg1khVBiqkNqHDfr4ktoKq30qdxlgsBhmhWBugtQ+bNDHVyJXWO1TCV+LYVYI5iZI7cMGfXx9nwqrfSp3GWC6sSArBHMTpPZhgz6o2qdyJ1dh3+Nf9SeyV3QC4U2Aa79EtF/TtXdvmv4kfCiXmdJFj1H7AGav6QSj1z4kpccWhrIYqn3Ut/kZA7VCoDCkeHp9dcoHfXS1TxZDtY/6Nm+LQVYI5iZA7cMHfXSjkVkM1T7q23wthlkhmJsAtQ8f9CEltVlsTd3bt9YEndBX4nqv0xWdQHgT4NovEe3XdO3dm6Y/uxrKZaZ00SMktYjZazrB2EktTamWir2K41DCEPSgmPo2P2OgVggWhvoLsCkf9PEltQlW+yTuF7HRh9UDuUmC1D5s0Ee3oZ8lWO2TWMsAm8UwKwRzE6T2YYM+vp2UBKt9EuFrMcwKwdwEqX3YoA+q9kncyZXsUo5a+yT9iewVnUB4E+DaLxHt13Tt3ZumPwkfymWmdNFj1D6A2Ws6wei1D0np8YUhrPZJ3GXAPWOgVggWhpDahw36+JLaFKt9UncZYLAYZoVQbpIitQ8b9PGVyClW+6TuMsB0Y0FWCOYmSO3DBn10E7RZitU+Ok30sxhmhWBugtQ+bNAHVfuk7uQq6EPsSlzvdbqiEwhvAlz7JaL9mq69e9P0J+FDucyULnqM2gcwe00nGL32ISltk1qoB30oYQirfVJ3GWB6UBeyQrAwhNQ+bNDHl9RmWO2TucsA+oO6gdwkQ2ofNujjK5EzrPbJ3GUA/bH/UG6C1D5s0Me34ZZhtU8mfC2GWSGYmyC1Dxv0NzdnmJVr8ORV2DPMsqz/PfXKBaTZGpsjK8LOxgEEV3QC4U2Aa79EtF/TtXdvrv5kfQ9XmiAwUzrMGLUTQFDTCfhqpze0XU930u5XUSTNWjQ2QnUoAQ16MlF9m58xUCsEC2j9Ff+UD7p1kzIv03mxKKImK+JI5MtVVM1Fo340i6tVNZtly/Jw3AQ6tEF9m6/FMCsEcxPg0AY+6EB7vnd5Tv9Wg7rkzrMIyqAv9UEIrugEzHlOv/ZruvbuzdQfWPdwpQkCM6XDjJLn9BPUdALePKc83Ukz5DkUzcdXuFdYAKv8jIFaIVgAq3q9dsoHfXzpsMB2i4Vl49RuMcwKodxEILvFbNB6f+dsfUR90H0d0X8ct7r07qOtw879AgRXdALefAfQfk3X3r2p+gPsHq40QWCmdJgx8h2AoKYTsOY7IjndSbuf75A0H18gw/pZwtLasRkDtUKwQIb0s9igWzcRZbxS1XweiVJmkSjUD8zmWRyp+Lko0uUqFtnhzPIJ6Gx69W2+FsOsEMxNgLPp+aCPr3oSWNtTCF+LYVYI5iZI25MNOvT2n+jv7KhLLh30WRn0vXYIwRWdQHgT4NovEe3XdO3dm6k//9rDlSYIzJQOM0o63E9Q0wl402Hd5txIM6TDFM3HF8CwNqfI/YyBWiFYAEPanGzQR1g1YW1O4er4GS2GWSGYmyBtTjbo4HlOf2dHXXJ3l+Tekevj5jn9BFd0AuY8p1/7NV1792bqD6x7uNIEgZnSYUbJc/oJajoBb56j25zC1uYkaT6+AIa1OYW743fPGKgVggUwpM3JBn18234Sa3NKd8fPYDHMCqHcRCJtTjbo46uaZIK5iaujYrQYZoVgbtLf+pryQYdOh2V/C0VdclcLJaviLv2o6TBAcEUnEN4EuPZLRPs1XXv3ZurPv/ZwpQkCM6XDjJEOAwQ1nYA1HZbp6U7a/XSYpPn4AhjW3pSuTp/BGKgVggUwpL3JBn18VZPE2ptS+FoMs0IwN0Ham2zQwfOc/o6OuuTSSZ906cfNc/oJrugEzHlOv/ZruvbuzdQfWPdwpQkCM6XDjJLn9BPUdALePEe3NzfSDHkORfPxBTCsvSlzP2OgVggWwJD2Jhv0EabDWHtTOjt9JothVgjmJkh7kw06eJ7T39FRl9zZHanSLv24eU4/wRWdgDnP6dd+TdfevZn6A+serjRBYKZ0mFHynH6Cmk7Am+fo9qa0tTdJmo8vgGHtTens9N03BmqFYAEMaW+yQR9fezPH2pu5s9NnshhmhVBukiPtTTbo46uacqy9mTs7fSaLYVYI5iZIe5MNevOwr+YO+rBv3t/ZUZfe1SVJq7AvugYIrugEwpsA136JaL+ma+/eVP152B6uNEFgpnSYMdJigKCmE7Cmxbluc+a2NidJ8/EFMqzNmbsfaDS8oBOzQrBAhrQ52aCP71XYOdbmzIWvxTArBHMTpM3JBn18RXYuMTeR3haDrBDMTfpbYFM+6NC7xHl/K0VdcncrJevSj5sO9xNc0QmENwGu/RLRfk3X3r2Z+vOvPVxpgsBM6TCjpMP9BDWdgDcdzk930gzpMEXz8QUwrM2Zuzt+94yBWiFYAEPanGzQR1g1YQcI5e7OisFimBWCuUl/C2zKBx08z+lvpahL7m6lhD27ASC4ohMw5zn92q/p2rs3U39g3cOVJgjMlA4zSp7TT1DTCXjznOp0J82Q51A0H10AK7A2Z+Hu+NGPMTDdc73w+993BdLmZIM+vnS4wNqchbvjZ7AYZoVgboK0OdmgQ+c5RX9HR11yV3ckC/wuY4Dgik7Am+cA2q/p2rs3U39g3cOVJgjMlA4zRp4DENR0AtY8p9DtzcLW3iRpPr4AhrU3C/cDjfQXcZruuV74Ae47pL3JBn187c0Ca28WwttikBWCuQnS3mSDPsKqCWtvFtLXYpgVgrkJ0t5kgw6eDvd3dNQld3dHwk77AQRXdALhTYBrv0S0X9O1d2+m/vxrD1eaIDBTOswo6XA/QU0n4E2HdXtzI82QDlM0H18Aw9qbhbvTRx98M91zvfAD3HdIe5MN+girJqy9Wbg7ffSJplBugrQ32aCD5zn9HR11yd3dkbBHtgIEV3QC5jynX/s1XXv3ZuoPrHu40gSBmdJhRslz+glqOgFvnqPbmxtphjyHovnoAliJtTdLd6ePfnqp6Z7rhd//viuR9iYb9PFt+5VYe7N0d/pMFoOsEMxNkPYmG/TxVU1lirmJu6NCP+Q2lJv0t76mfND6YV9NnmzeDaDcMexTv2V/T0X5gPuRsbBnmgEEV3QC4U2Aa79EtF/TtXfvrv6EbA9XmiAwUzrMGPkxQFDTCVjz4zI73Um7nx+TNLeJT6YjXpVFZSwWkZD5TAW+ZhllTRpXollkxap6dTARDet3lsLPGKgVgkU0pN/JBt26yWqeLPJUVFEuyiwSeSmiMl1W0WIeL6pF3MTL+IASH6zfWUpfi2FWCOYmSL+TDbp1E5VHz5IyiaMsyZeRSJIyquJlo0qutFrIeZnFRX44boK9QrR0tViMFsOsEMxN+nthUz7o1k3KvEznxaKImqyIlUstV1E1F41KrbO4WlWzWbYsD8dNsOZT6erDGC2GWSGYmyDNJzbozTuT9EUPWz3191bUpXf1VtIq7EmJAMEVnUB4E+DaLxHt13Tt3ZuqP13fw5UmCMyUDjNK9dRPUNMJeKsn/SrR0vYqUZLm46uesFeJlq5Wi8EYqBWCBbL+ntiUD/r4qqcKa0JVrn6M0WKYFUK5SYU0odigj696qrAmVOXqxxgthlkhmJsgTSg26ONraVdYE6py9WPM6y9khWBugjSh2KA31ZMuL4JWT1X/dru69M7neeK4a4VRqyeA4IpOILwJcO2XiPZruvbuTdWfru/hShMEZkqHGaN6AghqOgFr9VTp3lNl6z2RNB9d9VRhvadK+BkDtUKwQIb0ntigj7B6wnpPlfS1GGaFYG6C9J7YoI+wesJ6T1XuazHMCsHcBOk9sUEfX++pwnpPlasNY7QYZoVgboL0ntigN9WTimmBq6f+7XZ16Z3P9cRhj+sFCK7oBMKbANd+iWi/pmvv3lT96foerjRBYKZ0mFGqp36Cmk7AWz3p3lNl6z2RNB9f9YT1nipXG8ZgDNQKwQIZ0ntigz666knEUO9JfZuvxTArBHITxdPvJnzQR1c9iRjqPalv87UYZoVgbgL0nvigj656EjHUe1Lf5msxzArB3AToPfFBf/MwTjtUGL1WUJfevXWddq0wZvWEEFzRCYQ3Aa79EtF+Tdfevan60/U9XGmCwEzpMCNUTwhBTSfgrJ7Uv326k3aveqJpPrbqScRQ70l9m58xUCsEC2RA74kP+girJ6j3pL7N12KYFYK5CdB74oM+wuoJ6j2pb/O1GGaFYG4C9J74oI9uck/EUO9JfZuvxTArBHMToPfEB72pnvRiEbZ66t9uV5fevXUd9HBMhOCKTiC8CXDtl4j2a7r27k3Vn67v4UoTBGZKhxmleuonqOkEvNVTebqTZqieKJqPr3qCek/q2/yMgVohWCADek980MdXPSVY7ylxt2EMFsOsEMpNEqT3xAZ9fNVTgvWeEncbxmAxzArB3ATpPbFBH1/vKcF6T4m7DWOwGGaFYG6C9J7YoDfVk86oglZPSf92u7r07q3roEfuIgRXdALhTYBrv0S0X9O1d2+q/nR9D1eaIDBTOswY1RNAUNMJWKunRPeeElvviaT56KqnBOs9JcLPGKgVggUypPfEBn2E1RPWe9KvUvazGGaFYG6C9J7YoI+wesJ6T0nuazHMCsHcBOk9sUEfYfWE9Z4SdxvGYDHMCsHcBOk9sUFvqiftBWGrp/7tdnXp3VvXQQ/yRgiu6ATCmwDXfolov6Zr795U/en6Hq40QWCmdJhRqqd+gppOwFs96d5TYus9kTQfX/WE9Z4SdxvGdFgxZIVggQzpPbFBH9+sTYr1nlJ3G4Z+9HkgN0mR3hMb9PEV2SnWe0rdbRiDxTArBHMTpPfEBn18RXaK9Z5SdxvGYDHMCsHcBOk9sUFvqiedegStntL+7XZ16d1b10HPfUcIrugEwpsA136JaL+ma+/eVP3p+h6uNEFgpnSYMaongKCmE7BWT6nuPaW23hNJ8/EFMqz3pO9pH2OgVggWyJDeExv08e0Wp1jvSV9KP4thVgjmJkjviQ36+PZiUqz3pAOTn8UwKwRzE6T3xAZ9hEU21ntK3W0Yg8UwKwRzE6T3xAatq6fWVdKuH3RN8Y3l/MN333+PwRKTl0+/pBCrs6nIUv0h9UepPkRis4d7E9t8LP2ZIfmFqPD8V6PUGqXWKLVGqTVKbUOp6SjdLBhCgRNhTaLz3epMfSoW/Snbz1J/WnD0T1B4NNCmxA19cLNC7r0h1Srk3kMPevQYQnBFJxDeBLj2S0T7NV279NFOX9F2a3s/zJQOM0oh309Q0wl4C/nqdCfNsExRNLeFvGjiNIlnUTlbCRVYRR41yayKVvNZPk9UclbMZq8OJafKsP5W5m71mM7NgawQKqfKkP4WG3TrJiLLpEhmMkpWs2WUJCr1KuNlEcWxjGVelkkl76Vc4dwE629l7laPwWKYFYK5CdLfYoNuU++z9dzXIeQ9WX8bR7mAs42TBH3tNUJwRSfgzXsA7dd07d2bqz/Q7uFKEwRmSocZI+8BCGo6AWvek6WnO2n38x6S5nYvKWvSeSXjqEzLKhKzRRJVxUx9ZHK+KKpi2cwOKKBlWEBzdnPuGwO1QrCA1t92m/JBH9/4V4b1uTLhazHMCsHcBOlzsUFrPwma5/S3b9Qlly76quzSj5vn9BNc0QmY85x+7dd07d2bqT+w7uFKEwRmSocZJc/pJ6jpBLx5jjzdSTPkORTNxxfAsNZqlvsZA7VCsACGtFbZoI8wHcZaq5mzy2iyGGaFYG6CtFbZoIPnOf1PMKlL7uzW3T8Ke9w8p5/gik7AnOf0a7+ma+/eTP2BdQ9XmiAwUzrMKHlOP0FNJ+DNc/TjfJntcT6S5uMLYNjjfJmzqXffGKgVggWw/u7rlA/6+NJhgbU7hbPzZ7IYZoVQbiKQdicb9OYBHH3Rg/avRH83T116ZzcvSbtWGDXfAQiu6AS8+Q6g/ZquvXtT9QfYPVxpgsBM6TBj5DsAQU0nYM13RHK6k3Y/3yFp1qKTolzEy0JEzSpLd1355jAHMkSKBTJ3M++eMVArBAtk/V3XKR/0EeY7WJtTuDt+BothVgjmJkibkw16NzKfdf2gawpoIptkifXIvNCD8kLPzUs9Ny9z/aF/m+vf5vq3uf5toX9b6G8u9G9LYTOZcJoMPwwCAseD2nqqXuhZeqFH66UerVe0taatNW2taWtNW2vaWtPWmra20dZ02m70g2jhALgZvBftsL1ox+9lO36vgPVn+5W8/UrefiVvv1K0Xynanyrar1jA9d9KIW/R1+TBR9VEf9dKrXrSSRn2TWUAwRWdQHgT4NovEe3XdO3SRzt9Bd3Fkn6YKR1mlFS/n6CmE/Cm+rqFu5FmWKYomrVomchVsRBZlFXLJBJZnkezalFFabPMFiKJ5+p3rw4mh8NauCL3MwZqhWA5HNLCZYNej+iX8aqaizwSpcwiUagfmM2zOMpEvCjS5SpuHxE4FDfBWrjC2c00WQyzQjA3QVq4bNBHWBGWmJs4u0Ymi2FWCOYm/e29KR906E6/6G8TqUvuahOJOO7Sj5sO9xNc0QmENwGu/RLRfk3X3r2Z+vOvPVxpgsBM6TCjpMP9BDWdgDcd1k+sbqQZ0mGK5qMLYBJr4UpXN9NgDNQKoQKYRFq4bNDHVzVJ7IlV6eoWGS2GWSGYm/S39aZ80KHzHNnfHlKX3NUeEnHYJ1QBgis6AW+eA2i/pmvv3kz9gXUPV5ogMFM6zBh5DkBQ0wlY8xypn1DdSLuf55A0a9FNUs7yvJpHUjZ6rC1roqpZzqNSZMvVssriVTZ/dTABDGvdSlcX02AM1ArBAhjSumWDXqfDs1nZZOrbijwTkX6ZXjSTc/URp8l8malImMjDcRPsCVUpfC2GWSGYmyBPqLJBH2HVhL2JVUpvi0FWCOYm/a2vKR908HS4v4WiLrmrhSLitEs/bjrcT3BFJxDeBLj2S0T7NV1792bqz7/2cKUJAjOlw4ySDvcT1HQC3nQ4P91JM6TDFM3HF8Cw9qZ0dfoMxkCtECyAIe1NNugjrJqw9qZ0dfqMFsOsEMxNkPYmG3TwPKe/o6Muubs7Yp/mHCXP6Se4ohMw5zn92q/p2rs3U39g3cOVJgjMlA4zSp7TT1DTCXjzHN3e3Egz5DkUzUfXt8qx9mbu7vTdMwZqhVABLEfam2zQx5cO51h7M3d3+gwWw6wQzE2Q9iYbdOg8J+/v6KhL7u6O3DuFftQ8ByC4ohPw5jmA9mu69u7N1B9Y93ClCQIzpcOMkecABDWdgDXPyXV7M7e1N0majy+AYe3N3N3pu2cM1ArBAhjS3mSDPr72Zo61N3PhbTHICsHcBGlvskEfYdWEtTdz6WsxzArB3ARpb7JBf3NzPsWhnMuV93d4lAu4uiVZYj9NbZT0uJ/gik4gvAlw7ZeI9mu69u7N1Z+P7eFKEwRmSocZJT3uJ6jpBLzpsW53bqQZ0mOKZi16KfKiWqzm0TxfzlTwWy6jalU00bKUs1I28bx9I8ihBDSs3Zm7On8GY6BWCBbQkHYnG/QRVlFYuzN3P9hosBhmhWBugrQ72aCDbwP2d3jUJXd3S8K+3AQguKITMOc5/dqv6dq7N1N/YN3DlSYIzJQOM0qe009Q0wl48xzd7txIM+Q5FM1HF8AKrN1ZuDt/9CfzTfdcL/z+912BtDvZoI8vHS6wdmfh7vwZLIZZIZibIO1ONujQeU7R3+FRl9zdLcm79KPmOQDBFZ2AN88BtF/TtXdvpv7AuocrTRCYKR1mjDwHIKjpBKx5TqHbnYWt3UnSfHwBDGt3Fu7O3z1joFYIFsCQdicb9BGmw1i7sxC+FsOsEMxNkHYnG/S2j7VZxoP3sYr+rp5yAemwRpaEPZcLILiiEzDnPf3ar+nauzdXf6Ddw5UmCMyUDjNK3tNPUNMJePMe/fLajTRD3kPRrEXPqqTKKpFFsVw0alWbzaNZNl9FC5nKKlktmky/x/BQAhr28toi9zMGaoVgAa2/+zrlg27dZDWf5yonmkdlMZ9HoponUSPUD6zyWZrOmqYsiwNyE6zdWbg7f6aTzCArBHMTpN3JBt26SZo2crkS8yjOc6mPPimjMl5Uh3nqTYG1Owt3589gMcwKwdwEaXeyQQffBuzv8KhL7u6WhB3rAgiu6ATCmwDXfolov6Zr795M/fnXHq40QWCmdJhR0uF+gppOwJsO63bnRpohHaZo1qKlTOaNFItoJlaqyF+q9awp52Ukl8tqOZulZZkmrw4lgJVYu7N0d/4MoyuYFUIFsBJpd7JBH1+eU2LtztLd+TNYDLNCMDdB2p1s0K2biGWcF00so9kiXkRCllK/8aKJmsWqqfJS/RPzA3KTFHMTd4fFYDHMCsHcpL8VNuWDPr49mBLrPZXuNozBYpgVgrkJ0ntig942Fao1ePCmQtnfYlEuIBzWyNKwr8YGCK7oBMKbANd+iWi/pmvv3lz9afserjRBYKZ0mDGqKICgphOwVlGlON1Ju19FkTQfXxWFPe1ZSj9joFYIFtD6W2FTPujWTebpKlkk8zhK5vM0Es1CROVSpUzLVbLMK5FnZdocjptgvafS2YYxWQyzQjA3QXpPbNCtmySzapHO8yQq00y5VJrJqEmqMlpWRZwsmkUhxfJw3ATrPZXONozJYpgVgrkJ0ntig27T49ZX7s3odW0BnZ5NMsX6kPSyOpvKzGoBZ1slTbsWsOYxEAaeyqyPPFfaa5v2mq69m8FA2uEkZnOAeakPIbeJ139OUd+uPqE9qorP1Eeu3CpO9UepPhKhPtJYf+Q2V3NtgWcp/lpJiM/X1RRUraFqDVVrqFpD1RqqtkHVdKhRfFBB6c9ce6LC0p+l/lRg6jON208zWuvBBDYNt7lgoTYFTDhfFZVlYzVWi3ieKbvYrtQYxX/VvzV8RScQ3gS49ktE+zVdu/TRTl7ZzCsWWfQYRT5g9ppOwFfkWxYbktK2tIfe5nMgyXiF7VVXlm1bmzFQK4RKxitkr5oNunWTMi/TebEooiYr4kjky1VUzUWjfjSLq1U1m2XLw2lpVNgOUCV9LYZZIZibIDtAbNCBBsEsl9ZSma4pk7RLOW620l9bX9EJmLOVfu3XdO3dm6Y/bA7lMlO66FGylX6z13SC8bMVitK2NIKe2TqUMFRhYchSJ9qMgVohWBjqH0Kc8kGvH/5NmiwT8yKay7nKbOYijWZCJtFqJtJKzovZSh8WcBhuImNonEt9m6/FMCsEchPF0+8mfNCHlK3I2Jm6J0EPH1Lieq/TFZ2ANVtBtF/TtXdvmv6wOZTLTOmiR8hWELPXdIKxsxWaUi11tZBVtVRr0WrWLCKhz0Zr0iSLyqqKF8s8l4vVxocOIQxBRbP6Nj9joFYIFoaAopkP+uiSWhlD/XD1bb4Ww6wQzE36C7ApH/RhZSvW1D2rZF4FfZhOieu9Tld0AuZspV/7NV1796bpD5tDucyULnqUbKXf7DWdYPxshaL02Lb4ZYIVzYm1fjQbA7VCqDCUIEUzG/R6yFMuF1VcVlGzlFJnNqUKWU0Wxau0zGfpomlm8nDcBGoYqm/ztRhmhWBu0l+ATfmgDypb0UcWmSlFUuZJ0DeAKnG91+mKTsCbrQDar+nauzdNf9gcymWmdNFjZCuA2Ws6wejZCkmplooNLxxKGMKK5sRaP5qNgVohWBhCimY26CNMaqGGofo2X4thVgjmJv0F2JQP+qCyldSaureUYfdW0v7i44pOwJutANqv6dq7N01/2BzKZaZ00WNkK4DZazrB6NkKSenRbfGnWNGcWutHszFQK4QKQylSNLNBH9/cSoo1DPWl9LMYZoVgbtJfgE35oA8rW3Gn7kGfCVLieq/TFZ2AOVvp135N1969afrD5lAuM6WLHiVb6Td7TScYP1uhKNVSseGFQwlDWNGcuutHw3MPmBWChSGkaGaDPr6kNsMahpk7wzdYDLNCKDfJ+guwKR/0+j0OGr3rB11TQM9vkyzRPnQvs0y/xkG/y0FImxVSsxU2z2vj2/4QCx6d2gfsNUCtAWobQE0H6EYmCAANTpuH6TWA/mxf62BBaF/4QGDQEJvXOhzUQ/MyE7YbS7dYy7CD3Vn/a86u6ATCmwDXfolov6Zrlz7aySuTZRWiih4jQQbMXtMJRk+QSUrbrlKVLqpVuYhWq5kOf3oQolikUapWqFk+r0SZbfz/EDIf6EVn6tv8jIFaIVjmA7zojA/6CBNk6PQU9W2+FsOsEMxNgNNT+KAPajtPWF6xr8oAlX/JsM1H0X9IwBWdQHgT4NovEe3XdO3dm6Y/bA7lMlO66DGyFcDsNZ1g9GyFpPTowpBIoTAkLHWizRioFUKFIQGcWsAHfXxJrYCOQlbf5msxzArB3KS/AJvyQQfKVt7YXfT+1qu65NJMvz6zIZFd+nGzmH6CKzoBcxbTr/2arr17M/WH0z1caYLATOkwo2Q3/QQ1nYAvu3lD2/V0J82Q51A0a9HLWV5leZVHRSPnkUjFTAW7JInKmZQiT5pcZAdzSoEShAUwywaFzRioFYIFMGRXhg36CNNh7MkBYWn12y2GWSGYm/RPYkz5oL+5e/286DpC1xZQq4xkinXfUuiWpUz0h+5gysJmC/fr0O1n3HdDFQSER6t181LovqWiqDVFbaOo6RSjdDBF27tUGPqz7WZaQPT3Ukhe62PqBSdEH/Mu1+6fL1HLTuWizIKeCIYQXNEJhDcBrv0S0X5N1y59tNNXsN1i3g8zpcOMkmv3E9R0At5cuzrdSTMsUxTNWrQsl8W8zFUQLYpGfTRVVJVyFcUzmZZNlq6Kcv7qUJIoCZ2rrL7NzxioFUIlUbJ//3vKBx16s0j2T76pS+48Ljjw2wEAgis6AW8AA7Rf07V3b6b+FXMPV5ogMFM6zBgBDCCo6QSsAUwmpztp9wMYSfPxBTCsKSYt/SGbMVArBAtgSFOMDVrvApytT2MKUYlZLrEw025e2hP2kSvZ3526ohMwB6x+7dd07d2bp3+FHMplpnTRowSmfrPXdAK+wGQSqsMRRamWusqqmazSMsqSZBUlyXIZVVUsokWS58lsHjdNde8ozHDhCOtdyNzPGKgVgoUjpHfBBt1uSp+92j5Kc1gPOkjXVnyWCesdOkpY6m8mXNEJmMNSv/ZruvbuTdS/Pg7lMlO66FHCUr/ZazoBX1jS9VJxupNmCFAUzet22LojlmyWmQ+CtcRkZVt6nT2XDB/XgAhwp1r3wCyya7rsUZpeFtn6Tyi6X2txhfOgXB+0nOt+al6oj0KfxVxaA7p7ixzf14GofL0q18cr57qpqlBqjVLbUGo6yiielrfnKedtY1XBqM+iPXnZgtP6JoFHA+XBPTCxeFvu3o7HB+ohAm9vM8uu6bLH8Syz7NbnCLrb7cPgHmRbr3LXjmiW4eU+RODtQba1iSx7HA+yrkEk3a9FwcOq43LXZmomYutVGKOOy/u3g6/oBMKbANd+iWi/pmuXPtrJK49lvaGKHqOOA8xe0wlY67g8Pd1JMyw7FM27scY0fAoubOHL8oLFDRg+BwQR4B61CV9m2TVd9jjhyyy7TbcJug+jiLO9xycXTqQ0sAfZ3t5Dlj2OB1nf2EPSrYXfe+/66B6U2zxIOpHwd7BABN4eZJZd02WP40Fm2a1vEXS/5kEH</t>
  </si>
  <si>
    <t>lkLnTpqwzx/m/S2sKzqB8CbAtV8i2q/p2qWPdvLKY1lvqKJHSaH7zV7TCXhT6Px0J82w7FA0b1ohZ3f3a8D4VerNa+tOorPTI0LvW5d6t9q6nUjVPk4kK9vNafumIkX9YeTU+mmzIrZ5lLPhI0LvTetnzCzaa7r2cTyqfbLMIr71OIL61qM2IfnAUiRn30bYH/MbJUXqf9bnik7AnCL1a7+ma5c+2slLkWXtoYoeJUXqN3tNJ+BNkfTjYRtphnWHojnMcz/mlaZw9fdE4PO0iv7ns67oBLwrDaD9mq5d+mgfeKUhix5jpQHMXtMJWFeaIj7dSbu/0pA0b98un9w7FKnrQFDWRvGhTeJc2LrxhbM9LPHuGESAO9Q6Z7bIrumyR0mXLbLbooygWwvfrPeh8uTdU6tFf8NSRTVn80+m1qszSlTrJ7iiEzBHtX7t13Tt0kc7fUXaPq4AwEzpMKNEu36Cmk7AG+10976wde9JmrXoOM6zxXK1iBaLvNLPisyiMl4lURzLWOZlmVRys2DZV7Cvz0Z6TKjAzpEsnC3o+8ZArWC853rhB7jvkHMk2aBbN5nLPKmSKo7iJi8jUTYiavI4j5ZVMZeLlSiLZHU4boK9yrUQvhbDrBDMTfqffJzyQa8fOlwVs7jM0miZi/bJs1K51DI/0NUEO260kL4Ww6wQzE36X/M55YO+GxnL8q4ndI0BpfokW2xqLNu774rcSR94XMMiu6bLHqfGsr7ajqRbC6+q4C5U2lzI2bKT+MOIEIG3C5ll13TZ47iQWXbrXATdB1Wm958ao0KRs2snw75cCiC4ohMIbwJc+yWi/ZquXfpop69IuwDfDzOlw4xSpvcT1HQC3jK9PN1JMyxTFM3HV6ZjBygXzl7gfWOgVgiWWPc3bad80MdXppfYSzRL5xOVJothVgjlJmV/x23KB318ZXqJnbNduhs1BothVgjmJv0vWJzyQd+V6eFrrFK/V6G0Pd5Vune+8e46hIHnMutCq9QvUrBor+naR6m2yvbFCRbx7WsUCOpbl1qr10VJiJrLsn6498/DjhCW/R2AKzqB8CbAtV8i2q/p2qWPdvJKZFl6qKLHqKEAs9d0AtYaqsxOd9IMyw5F8+ZVd9u5nlDbPZalR7iI8rCHXpT9XaUrOgHz0tOv/ZquXfpoH3rpoYoeZenpN3tNJ+BdesTpTpph6aFo3r3r7pu/c/ba3/k7v/c7X07UV77wl61/5Oy1v2X7lW98+L9/bfkNRf47q/ff+1D/d/7+197/QP9i9sEfNPpv+3L6ZanKPFWx/M57s6/rf+DFu19ffuPk2fLfnly+//XZe+pf+8a7/079QZKe/c4fv7dYfvC1d9/T3/fe++o/6sdmX3v3D97Tfqn/2j98/4N3/536t2ZfU9/xteXqQ/Xj/+vygw/fnbdfmatvW36gvvZvP5j90Yvl/6Z+5sMP/nip/pZGIS4/aLU273/44ftfX/9Kf3GiKbb/4JkBIW7/T9UfZ7+zeHf2B++/p/8tyk+3gkk/+cG7f/CHxB/98P0/ovyg+snVu19rQfV/tX+qb/jG+19Tl1/7wuKR9We1Y8w++PD+N2x9QTvDH3+9WX7w5fc/UG62diD9q0fvL/S/8tbyveUHysjq+/7og/c/XNcR+ru+9v78f1kq99t+eam1rG8q9cV33/tDtZJ9qMX//yf/BLk=</t>
  </si>
  <si>
    <t>object_element_guid</t>
  </si>
  <si>
    <t>id</t>
  </si>
  <si>
    <t>zeroParent_id</t>
  </si>
  <si>
    <t>material_guid</t>
  </si>
  <si>
    <t>work_guid</t>
  </si>
  <si>
    <t>hwd_guid</t>
  </si>
  <si>
    <t>cost_item_guid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</si>
  <si>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</si>
  <si>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</si>
  <si>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</si>
  <si>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</si>
  <si>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</si>
  <si>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</si>
  <si>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</si>
  <si>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</si>
  <si>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</si>
  <si>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Цена, руб. с НДС</t>
  </si>
  <si>
    <t>Материалы/
оборудование</t>
  </si>
  <si>
    <t>СМР, ПНР</t>
  </si>
  <si>
    <t>Стоимость, руб с НДС</t>
  </si>
  <si>
    <t>Общая стоимость,
руб. с НДС</t>
  </si>
  <si>
    <t>1. Встроенное и Встроенно-пристроенное СКБ</t>
  </si>
  <si>
    <t>6bc2bba0-e4f5-480f-887f-a430a3541dda</t>
  </si>
  <si>
    <t>1.1</t>
  </si>
  <si>
    <t>6</t>
  </si>
  <si>
    <t>Затраты на строительство</t>
  </si>
  <si>
    <t>1.1.1</t>
  </si>
  <si>
    <t>6.2</t>
  </si>
  <si>
    <t>СМР корпуса без отделки</t>
  </si>
  <si>
    <t>1.1.1.1</t>
  </si>
  <si>
    <t>6.2.2</t>
  </si>
  <si>
    <t>СМР надземной части корпуса (без отделки)</t>
  </si>
  <si>
    <t>1.1.1.1.1</t>
  </si>
  <si>
    <t>6.2.2.4</t>
  </si>
  <si>
    <t>Внутренние стены и перегородки</t>
  </si>
  <si>
    <t>1.1.1.1.1.1</t>
  </si>
  <si>
    <t>6.2.2.4.1</t>
  </si>
  <si>
    <t>Устройство стен</t>
  </si>
  <si>
    <t>1.1.1.1.1.1.1</t>
  </si>
  <si>
    <t>6.2.2.4.1.7.1</t>
  </si>
  <si>
    <t>Монтаж, демонтаж, аренда строительных лесов</t>
  </si>
  <si>
    <t>м2</t>
  </si>
  <si>
    <t>b834d9d5-d82e-4a35-aecd-d355084311b3</t>
  </si>
  <si>
    <t>726efd05-6e17-4385-bac1-0ec0b1a3a118</t>
  </si>
  <si>
    <t>0ed13e26-7903-4b3b-80e2-92ed86dbdc43</t>
  </si>
  <si>
    <t>1.1.1.1.1.1.1.1</t>
  </si>
  <si>
    <t>Материал для загрузки объемов BIM</t>
  </si>
  <si>
    <t>элем</t>
  </si>
  <si>
    <t>264030249.1743487</t>
  </si>
  <si>
    <t>19923873.1743487</t>
  </si>
  <si>
    <t>78ab68f9-18f4-47f6-9a93-453e6cc7884c</t>
  </si>
  <si>
    <t>1.1.1.1.1.2</t>
  </si>
  <si>
    <t>6.2.2.4.2</t>
  </si>
  <si>
    <t>Устройство перегородок</t>
  </si>
  <si>
    <t>1.1.1.1.1.2.1</t>
  </si>
  <si>
    <t>6.2.2.4.2.1</t>
  </si>
  <si>
    <t>Устройство перегородок из кирпича и блоков</t>
  </si>
  <si>
    <t>1.1.1.1.1.2.1.1</t>
  </si>
  <si>
    <t>6.2.2.4.2.1.1.2</t>
  </si>
  <si>
    <t>Кладка перегородок из кирпича без устройства перемычек, включая армирование, крепление к стенам, заделку примыканий, зачеканку швов / толщ. 120 мм</t>
  </si>
  <si>
    <t>Выгружается из БО по объектам BIM-КЦ</t>
  </si>
  <si>
    <t>пом. 1.030</t>
  </si>
  <si>
    <t>8f7d365e-38c4-48f1-99bd-115dc592647b</t>
  </si>
  <si>
    <t>6687ec1f-6ef6-434f-b995-cdd898f7c555</t>
  </si>
  <si>
    <t>1.1.1.1.1.2.1.1.1</t>
  </si>
  <si>
    <t xml:space="preserve">Смесь сухая цементно-песчаная </t>
  </si>
  <si>
    <t>кг</t>
  </si>
  <si>
    <t>264030253.1129228</t>
  </si>
  <si>
    <t>18539953.1129228</t>
  </si>
  <si>
    <t>3f64133f-4d71-4dd3-93b5-4c3bc39ac247</t>
  </si>
  <si>
    <t>1.1.1.1.1.2.1.1.2</t>
  </si>
  <si>
    <t>Материалы для примыкания / уплотняющий жгут, клей на м2</t>
  </si>
  <si>
    <t>комплект</t>
  </si>
  <si>
    <t>264030253.1125465</t>
  </si>
  <si>
    <t>18539953.1125465</t>
  </si>
  <si>
    <t>ba2db4ae-0372-432d-874c-3cbc389cb3d3</t>
  </si>
  <si>
    <t>1.1.1.1.1.2.1.1.3</t>
  </si>
  <si>
    <t>Прочие материалы для кладки /  из кирпича / 65 -120мм</t>
  </si>
  <si>
    <t>264030253.1125487</t>
  </si>
  <si>
    <t>18539953.1125487</t>
  </si>
  <si>
    <t>4f235928-efbf-499b-8de5-b7c597ff96fa</t>
  </si>
  <si>
    <t>1.1.1.1.1.2.1.1.4</t>
  </si>
  <si>
    <t>Сетка эл/св_ / 50*50*4</t>
  </si>
  <si>
    <t>264030253.55158</t>
  </si>
  <si>
    <t>18539953.55158</t>
  </si>
  <si>
    <t>1e965c83-b714-40db-9a09-5fe1d1cf91a6</t>
  </si>
  <si>
    <t>1.1.1.1.1.2.1.1.5</t>
  </si>
  <si>
    <t>Кирпич полнотелый рядовой_ / м-150</t>
  </si>
  <si>
    <t>шт</t>
  </si>
  <si>
    <t>264030253.54588</t>
  </si>
  <si>
    <t>18539953.54588</t>
  </si>
  <si>
    <t>75781f06-c50b-4212-84dd-cadd16dc552b</t>
  </si>
  <si>
    <t>1.1.1.1.1.2.2</t>
  </si>
  <si>
    <t>6.2.2.4.2.4</t>
  </si>
  <si>
    <t>Устройство перегородок и зашивка коммуникаций ГКЛ</t>
  </si>
  <si>
    <t>1.1.1.1.1.2.2.1</t>
  </si>
  <si>
    <t>6.2.2.4.2.4.1.3</t>
  </si>
  <si>
    <t>Устройство перегородок на металлическом каркасе по системе Knauf / С-115.1 / А2-16</t>
  </si>
  <si>
    <t>Зашивка вентиляционных коробов в пом. 1.030</t>
  </si>
  <si>
    <t>09081587-04d0-4a7e-b27a-26e6c1596cec</t>
  </si>
  <si>
    <t>5f0da678-df96-489e-bd05-e5f79b4d6b88</t>
  </si>
  <si>
    <t>1.1.1.1.1.2.2.1.1</t>
  </si>
  <si>
    <t>Прочие материалы для перегородок из ГКЛ (лента, шпатлевка, грунтовка, шуруп, дюбель и пр.) / двойной каркас / 2 слоя облицовки</t>
  </si>
  <si>
    <t>264030256.1521788</t>
  </si>
  <si>
    <t>18541173.1521788</t>
  </si>
  <si>
    <t>a62e1417-9467-44d3-81a2-91aea1356d96</t>
  </si>
  <si>
    <t>1.1.1.1.1.2.2.1.2</t>
  </si>
  <si>
    <t>Профиль направляющий ПН 75х40х0,4мм Сталь оцинкованная</t>
  </si>
  <si>
    <t>пог. м</t>
  </si>
  <si>
    <t>264030256.19444</t>
  </si>
  <si>
    <t>18541173.19444</t>
  </si>
  <si>
    <t>1e1e5aea-b692-11e8-80e5-005056881952</t>
  </si>
  <si>
    <t>1.1.1.1.1.2.2.1.3</t>
  </si>
  <si>
    <t>Гипсовые строительные плиты_ / влагостойкий / 12,5*1200*2500</t>
  </si>
  <si>
    <t>ГВЛ влагостойкий</t>
  </si>
  <si>
    <t>264030256.54553</t>
  </si>
  <si>
    <t>18541173.54553</t>
  </si>
  <si>
    <t>efad23af-fbbd-4322-a1b7-0c398c24e336</t>
  </si>
  <si>
    <t>1.1.1.1.1.2.2.1.4</t>
  </si>
  <si>
    <t>Профиль_/стоечный/50*50*0,60/3м</t>
  </si>
  <si>
    <t>264030256.54565</t>
  </si>
  <si>
    <t>18541173.54565</t>
  </si>
  <si>
    <t>aadfbe6a-ab19-412b-a4b6-645b6bf99174</t>
  </si>
  <si>
    <t>1.1.1.1.1.2.2.2</t>
  </si>
  <si>
    <t>пом. 2.033</t>
  </si>
  <si>
    <t>1.1.1.1.1.2.2.2.1</t>
  </si>
  <si>
    <t>264030362.54565</t>
  </si>
  <si>
    <t>19932232.54565</t>
  </si>
  <si>
    <t>1.1.1.1.1.2.2.2.2</t>
  </si>
  <si>
    <t>264030362.54553</t>
  </si>
  <si>
    <t>19932232.54553</t>
  </si>
  <si>
    <t>1.1.1.1.1.2.2.2.3</t>
  </si>
  <si>
    <t>264030362.19444</t>
  </si>
  <si>
    <t>19932232.19444</t>
  </si>
  <si>
    <t>1.1.1.1.1.2.2.2.4</t>
  </si>
  <si>
    <t>264030362.1521788</t>
  </si>
  <si>
    <t>19932232.1521788</t>
  </si>
  <si>
    <t>1.1.1.1.1.2.2.3</t>
  </si>
  <si>
    <t>пом. 2.022</t>
  </si>
  <si>
    <t>1.1.1.1.1.2.2.3.1</t>
  </si>
  <si>
    <t>264030363.1521788</t>
  </si>
  <si>
    <t>19932231.1521788</t>
  </si>
  <si>
    <t>1.1.1.1.1.2.2.3.2</t>
  </si>
  <si>
    <t>264030363.54553</t>
  </si>
  <si>
    <t>19932231.54553</t>
  </si>
  <si>
    <t>1.1.1.1.1.2.2.3.3</t>
  </si>
  <si>
    <t>264030363.54565</t>
  </si>
  <si>
    <t>19932231.54565</t>
  </si>
  <si>
    <t>1.1.1.1.1.2.2.3.4</t>
  </si>
  <si>
    <t>Профиль_/направляющий/50*40*0,60/3м</t>
  </si>
  <si>
    <t>264030363.54570</t>
  </si>
  <si>
    <t>19932231.54570</t>
  </si>
  <si>
    <t>fcc6f7bc-87cc-49c1-b4ac-f6a22abb8878</t>
  </si>
  <si>
    <t>1.1.1.1.1.2.2.4</t>
  </si>
  <si>
    <t>6.2.2.4.2.4.2.9</t>
  </si>
  <si>
    <t>Облицовка стен по системе Knauf / С-665 / в 1 слой / А-12</t>
  </si>
  <si>
    <t>Галерея пом. № 2.058 и пом. №1.007
применительно как Панели перфорированные звукопоглощающие
САУНДЛАЙН-Акустика НГ , цвет - белый, 600х600 мм</t>
  </si>
  <si>
    <t>f3c41b44-b14f-42a7-8846-00f749fb5e6c</t>
  </si>
  <si>
    <t>70a8166b-84d9-4b65-a53a-b2cce2704a50</t>
  </si>
  <si>
    <t>1.1.1.1.1.2.2.4._</t>
  </si>
  <si>
    <t>1.1.1.1.1.2.2.4.1</t>
  </si>
  <si>
    <t>Прочие материалы для облицовки стен из ГКЛ (лента, шпатлевка, грунтовка, шуруп, дюбель и пр.)_ / 1 слой ГКЛ / профиль ПН/ПС 75 мм</t>
  </si>
  <si>
    <t>264030258.1277440</t>
  </si>
  <si>
    <t>16084977.1277440</t>
  </si>
  <si>
    <t>b1463634-82d7-49d6-b536-2d7cba892a32</t>
  </si>
  <si>
    <t>1.1.1.1.1.2.2.4.1._</t>
  </si>
  <si>
    <t>204426388.1277440</t>
  </si>
  <si>
    <t>1.1.1.1.1.2.2.4.2</t>
  </si>
  <si>
    <t>Профиль_/стоечный/75*50*0,40/3м</t>
  </si>
  <si>
    <t>264030258.54567</t>
  </si>
  <si>
    <t>16084977.54567</t>
  </si>
  <si>
    <t>accea0ce-89ba-4e8f-a48a-54a6de4b1337</t>
  </si>
  <si>
    <t>1.1.1.1.1.2.2.4.2._</t>
  </si>
  <si>
    <t>204426388.54567</t>
  </si>
  <si>
    <t>1.1.1.1.1.2.2.4.3</t>
  </si>
  <si>
    <t>Профиль_/направляющий/50*50*0,40/3м</t>
  </si>
  <si>
    <t>264030258.54566</t>
  </si>
  <si>
    <t>16084977.54566</t>
  </si>
  <si>
    <t>c2f1d1c0-1cc2-4bd4-8e05-ef1e6946382b</t>
  </si>
  <si>
    <t>1.1.1.1.1.2.2.4.3._</t>
  </si>
  <si>
    <t>204426388.54566</t>
  </si>
  <si>
    <t>1.1.1.1.1.2.2.4.4</t>
  </si>
  <si>
    <t>Лист гипсоволокнистый ГВЛ 12,5мм Г1</t>
  </si>
  <si>
    <t>264030258.7351</t>
  </si>
  <si>
    <t>16084977.7351</t>
  </si>
  <si>
    <t>22b5ef4a-0665-11e8-80d9-005056881952</t>
  </si>
  <si>
    <t>1.1.1.1.1.2.2.4.4._</t>
  </si>
  <si>
    <t>204426388.7351</t>
  </si>
  <si>
    <t>1.1.1.1.1.3</t>
  </si>
  <si>
    <t>6.2.2.4.3</t>
  </si>
  <si>
    <t>Устройство перемычек и фахверков</t>
  </si>
  <si>
    <t>1.1.1.1.1.3.1</t>
  </si>
  <si>
    <t>6.2.2.4.3.2.1</t>
  </si>
  <si>
    <t>Устройство перемычек металлических с огрунтовкой и окраской</t>
  </si>
  <si>
    <t>т</t>
  </si>
  <si>
    <t>96f3ac31-40e6-4822-821a-d3fdf3ec03db</t>
  </si>
  <si>
    <t>fa0903b4-76cb-4cff-8585-505068457eb5</t>
  </si>
  <si>
    <t>1.1.1.1.1.3.1.1</t>
  </si>
  <si>
    <t>Анкерный стержень для перемычек</t>
  </si>
  <si>
    <t>264030261.1541478</t>
  </si>
  <si>
    <t>19930594.1541478</t>
  </si>
  <si>
    <t>2d9616e9-240c-4f9c-856b-38bec43f92c9</t>
  </si>
  <si>
    <t>1.1.1.1.1.3.1.2</t>
  </si>
  <si>
    <t>Швеллер_ / 14П</t>
  </si>
  <si>
    <t>264030261.1511813</t>
  </si>
  <si>
    <t>19930594.1511813</t>
  </si>
  <si>
    <t>f25d96f1-a8c2-4784-aa7b-ce16c402f718</t>
  </si>
  <si>
    <t>1.1.1.1.1.3.1.3</t>
  </si>
  <si>
    <t>Прочий материал для перемычек (клей, грунт) / для полосы или уголка</t>
  </si>
  <si>
    <t>264030261.1125500</t>
  </si>
  <si>
    <t>19930594.1125500</t>
  </si>
  <si>
    <t>97930081-487f-4c6f-83bb-314f8c308cc2</t>
  </si>
  <si>
    <t>1.1.2</t>
  </si>
  <si>
    <t>6.3</t>
  </si>
  <si>
    <t>Отделка, столярные работы, мебель и оборудование</t>
  </si>
  <si>
    <t>1.1.2.1</t>
  </si>
  <si>
    <t>6.3.1</t>
  </si>
  <si>
    <t>Отделка нежилых помещений</t>
  </si>
  <si>
    <t>1.1.2.1.1</t>
  </si>
  <si>
    <t>6.3.1.5</t>
  </si>
  <si>
    <t>Отделка СКБ</t>
  </si>
  <si>
    <t>1.1.2.1.1.1</t>
  </si>
  <si>
    <t>6.3.1.5.1</t>
  </si>
  <si>
    <t>Полы</t>
  </si>
  <si>
    <t>1.1.2.1.1.1.1</t>
  </si>
  <si>
    <t>6.3.1.5.1.1</t>
  </si>
  <si>
    <t xml:space="preserve">Подготовка полов под финишное покрытие </t>
  </si>
  <si>
    <t>1.1.2.1.1.1.1.1</t>
  </si>
  <si>
    <t>6.3.1.5.1.1.3.1</t>
  </si>
  <si>
    <t xml:space="preserve">Устройство наливных полов с огрунтовкой поверхности и проклейкой демпферной лентой / толщ. до 10 мм </t>
  </si>
  <si>
    <t>Вне зависимости от способа выполнения работ механизировано или в ручную.</t>
  </si>
  <si>
    <t xml:space="preserve">спорт залы, П-20 и П-21, №1.030 и 2.037 
</t>
  </si>
  <si>
    <t>b30e711e-fd2e-4402-9c1c-fd9dc1b88c63</t>
  </si>
  <si>
    <t>406d96a2-5db4-4f45-9273-4d1b12717a82</t>
  </si>
  <si>
    <t>8a7cac49-151b-40fd-a08b-5e72f8ff4034</t>
  </si>
  <si>
    <t>1.1.2.1.1.1.1.1.1</t>
  </si>
  <si>
    <t>Наливной пол_ / Унифицированный по ПИК-СТАНДАРТ</t>
  </si>
  <si>
    <t>10 мм самовыравнивающаяся смесь</t>
  </si>
  <si>
    <t>204257133.843695</t>
  </si>
  <si>
    <t>16078328.843695</t>
  </si>
  <si>
    <t>df4d871a-815e-4066-8cc1-e339f3f3c9fe</t>
  </si>
  <si>
    <t>1.1.2.1.1.1.1.1.2</t>
  </si>
  <si>
    <t>Грунтовка универсальный ЛАСТИМИН_ / УНКОНТ ЛЮКС LP51 А</t>
  </si>
  <si>
    <t>204257133.1139608</t>
  </si>
  <si>
    <t>16078328.1139608</t>
  </si>
  <si>
    <t>bbceaf39-544c-478f-a605-41b8d1bad350</t>
  </si>
  <si>
    <t>1.1.2.1.1.1.1.2</t>
  </si>
  <si>
    <t>6.3.1.5.1.1.6.3</t>
  </si>
  <si>
    <t>Устройство разделительного слоя / из пленки полиэтиленовой / в 1 слой</t>
  </si>
  <si>
    <t>спорт. зал №1.030</t>
  </si>
  <si>
    <t>672f52f6-b26d-4fee-8a2b-3f641d01bb01</t>
  </si>
  <si>
    <t>91058521-be9a-4628-9277-514b8aa56189</t>
  </si>
  <si>
    <t>1.1.2.1.1.1.1.2._</t>
  </si>
  <si>
    <t>1.1.2.1.1.1.1.2.1</t>
  </si>
  <si>
    <t>Пленка полиэтиленовая_/200мкр</t>
  </si>
  <si>
    <t>264030268.55069</t>
  </si>
  <si>
    <t>16077965.55069</t>
  </si>
  <si>
    <t>1e9c2d25-a07a-4034-8600-2006e1c8a943</t>
  </si>
  <si>
    <t>1.1.2.1.1.1.1.2.1._</t>
  </si>
  <si>
    <t>204244071.55069</t>
  </si>
  <si>
    <t>1.1.2.1.1.1.1.3</t>
  </si>
  <si>
    <t>пом. №1.007</t>
  </si>
  <si>
    <t>1.1.2.1.1.1.1.3._</t>
  </si>
  <si>
    <t>1.1.2.1.1.1.1.3.1</t>
  </si>
  <si>
    <t>264030364.55069</t>
  </si>
  <si>
    <t>16088187.55069</t>
  </si>
  <si>
    <t>1.1.2.1.1.1.1.3.1._</t>
  </si>
  <si>
    <t>204428532.55069</t>
  </si>
  <si>
    <t>1.1.2.1.1.1.1.4</t>
  </si>
  <si>
    <t>6.3.1.5.1.1.11.3</t>
  </si>
  <si>
    <t>Устройство стяжки СКБ / армированная сеткой от 41 мм до 60мм</t>
  </si>
  <si>
    <t>спорт зал №2.037 П-21</t>
  </si>
  <si>
    <t>ab62b66c-87c5-4996-bbcc-d9044c8dc3c3</t>
  </si>
  <si>
    <t>52f6b76b-892a-4180-890e-fe6cef6a41a6</t>
  </si>
  <si>
    <t>1.1.2.1.1.1.1.4._</t>
  </si>
  <si>
    <t>1.1.2.1.1.1.1.4.1</t>
  </si>
  <si>
    <t>Смесь цементно-песчаная сухая_/М150</t>
  </si>
  <si>
    <t>59 мм</t>
  </si>
  <si>
    <t>264030270.54611</t>
  </si>
  <si>
    <t>16078058.54611</t>
  </si>
  <si>
    <t>a1146549-61c5-4487-b5c7-fb7d0d185669</t>
  </si>
  <si>
    <t>1.1.2.1.1.1.1.4.1._</t>
  </si>
  <si>
    <t>204257137.54611</t>
  </si>
  <si>
    <t>1.1.2.1.1.1.1.4.2</t>
  </si>
  <si>
    <t>Сетка эл/св_/100*100*5</t>
  </si>
  <si>
    <t>264030270.55156</t>
  </si>
  <si>
    <t>16078058.55156</t>
  </si>
  <si>
    <t>bf82eb44-b4c2-419c-ba3f-021582715b59</t>
  </si>
  <si>
    <t>1.1.2.1.1.1.1.4.2._</t>
  </si>
  <si>
    <t>204257137.55156</t>
  </si>
  <si>
    <t>1.1.2.1.1.1.1.4.3</t>
  </si>
  <si>
    <t>Лента кромочная демпферная_/8*100мм/20м</t>
  </si>
  <si>
    <t>264030270.55045</t>
  </si>
  <si>
    <t>16078058.55045</t>
  </si>
  <si>
    <t>41f707b9-71e7-4101-86f2-7af29d65f5fe</t>
  </si>
  <si>
    <t>1.1.2.1.1.1.1.4.3._</t>
  </si>
  <si>
    <t>204257137.55045</t>
  </si>
  <si>
    <t>1.1.2.1.1.1.1.4.4</t>
  </si>
  <si>
    <t>Грунтовка БЕТОН-КОНТАКТ_/</t>
  </si>
  <si>
    <t>264030270.54633</t>
  </si>
  <si>
    <t>16078058.54633</t>
  </si>
  <si>
    <t>8682c7d7-b370-46ef-9c4b-39309f9aa3e8</t>
  </si>
  <si>
    <t>1.1.2.1.1.1.1.4.4._</t>
  </si>
  <si>
    <t>204257137.54633</t>
  </si>
  <si>
    <t>1.1.2.1.1.1.1.5</t>
  </si>
  <si>
    <t>6.3.1.5.1.1.11.4</t>
  </si>
  <si>
    <t>Устройство стяжки СКБ / армированная сеткой от 61мм до 80мм</t>
  </si>
  <si>
    <t>спорт зал №1.030 П-20</t>
  </si>
  <si>
    <t>69309f48-e9fb-4ccc-8a31-9b4745ed871a</t>
  </si>
  <si>
    <t>23adf7dc-e836-4d8a-ab74-26a79242b402</t>
  </si>
  <si>
    <t>1.1.2.1.1.1.1.5._</t>
  </si>
  <si>
    <t>1.1.2.1.1.1.1.5.1</t>
  </si>
  <si>
    <t>64 мм</t>
  </si>
  <si>
    <t>264030271.54611</t>
  </si>
  <si>
    <t>16078057.54611</t>
  </si>
  <si>
    <t>1.1.2.1.1.1.1.5.1._</t>
  </si>
  <si>
    <t>204257138.54611</t>
  </si>
  <si>
    <t>1.1.2.1.1.1.1.5.2</t>
  </si>
  <si>
    <t>264030271.55156</t>
  </si>
  <si>
    <t>16078057.55156</t>
  </si>
  <si>
    <t>1.1.2.1.1.1.1.5.2._</t>
  </si>
  <si>
    <t>204257138.55156</t>
  </si>
  <si>
    <t>1.1.2.1.1.1.1.5.3</t>
  </si>
  <si>
    <t>264030271.55045</t>
  </si>
  <si>
    <t>16078057.55045</t>
  </si>
  <si>
    <t>1.1.2.1.1.1.1.5.3._</t>
  </si>
  <si>
    <t>204257138.55045</t>
  </si>
  <si>
    <t>1.1.2.1.1.1.1.6</t>
  </si>
  <si>
    <t>пом №2.058</t>
  </si>
  <si>
    <t>1.1.2.1.1.1.1.6._</t>
  </si>
  <si>
    <t>1.1.2.1.1.1.1.6.1</t>
  </si>
  <si>
    <t>264030365.54633</t>
  </si>
  <si>
    <t>16080100.54633</t>
  </si>
  <si>
    <t>1.1.2.1.1.1.1.6.1._</t>
  </si>
  <si>
    <t>204388331.54633</t>
  </si>
  <si>
    <t>1.1.2.1.1.1.1.6.2</t>
  </si>
  <si>
    <t>264030365.55045</t>
  </si>
  <si>
    <t>16080100.55045</t>
  </si>
  <si>
    <t>1.1.2.1.1.1.1.6.2._</t>
  </si>
  <si>
    <t>204388331.55045</t>
  </si>
  <si>
    <t>1.1.2.1.1.1.1.6.3</t>
  </si>
  <si>
    <t>264030365.55156</t>
  </si>
  <si>
    <t>16080100.55156</t>
  </si>
  <si>
    <t>1.1.2.1.1.1.1.6.3._</t>
  </si>
  <si>
    <t>204388331.55156</t>
  </si>
  <si>
    <t>1.1.2.1.1.1.1.6.4</t>
  </si>
  <si>
    <t>65 мм</t>
  </si>
  <si>
    <t>264030365.54611</t>
  </si>
  <si>
    <t>16080100.54611</t>
  </si>
  <si>
    <t>1.1.2.1.1.1.1.6.4._</t>
  </si>
  <si>
    <t>204388331.54611</t>
  </si>
  <si>
    <t>1.1.2.1.1.1.1.7</t>
  </si>
  <si>
    <t>помещ. №1.007</t>
  </si>
  <si>
    <t>1.1.2.1.1.1.1.7._</t>
  </si>
  <si>
    <t>1.1.2.1.1.1.1.7.1</t>
  </si>
  <si>
    <t>Смесь цементно-песчаная сухая_/М200</t>
  </si>
  <si>
    <t>65мм</t>
  </si>
  <si>
    <t>264030366.54612</t>
  </si>
  <si>
    <t>16088189.54612</t>
  </si>
  <si>
    <t>0d69655b-e863-4a40-aa5e-ec8a8fb69e4b</t>
  </si>
  <si>
    <t>1.1.2.1.1.1.1.7.1._</t>
  </si>
  <si>
    <t>204428534.54612</t>
  </si>
  <si>
    <t>1.1.2.1.1.1.1.7.2</t>
  </si>
  <si>
    <t>264030366.55156</t>
  </si>
  <si>
    <t>16088189.55156</t>
  </si>
  <si>
    <t>1.1.2.1.1.1.1.7.2._</t>
  </si>
  <si>
    <t>204428534.55156</t>
  </si>
  <si>
    <t>1.1.2.1.1.1.1.7.3</t>
  </si>
  <si>
    <t>264030366.55045</t>
  </si>
  <si>
    <t>16088189.55045</t>
  </si>
  <si>
    <t>1.1.2.1.1.1.1.7.3._</t>
  </si>
  <si>
    <t>204428534.55045</t>
  </si>
  <si>
    <t>1.1.2.1.1.1.1.8</t>
  </si>
  <si>
    <t>пом. 1.030 и 2.037. 
РВР сколов выбоин и усадочных швов ремсмесью Eurocol 940 Europlan quick.</t>
  </si>
  <si>
    <t>1.1.2.1.1.1.1.8.1</t>
  </si>
  <si>
    <t>Пескобетон_ / М350</t>
  </si>
  <si>
    <t xml:space="preserve">Ремонтная смесь Eurocol 940 Europlan quick </t>
  </si>
  <si>
    <t>264030367.718970</t>
  </si>
  <si>
    <t>19924641.718970</t>
  </si>
  <si>
    <t>149a78a0-ddf4-4d18-bd70-e9726d7b4e01</t>
  </si>
  <si>
    <t>1.1.2.1.1.1.1.9</t>
  </si>
  <si>
    <t>пом. 1.030 и 2.037. 
Нанесение изолирующей грунтовки Eurocol 042 EUROBLOCK TURBO в два слоя  (крест на крест) на основе полиуретанового преполимера для изоляции остаточной влаги в цементных основаниях.</t>
  </si>
  <si>
    <t>1.1.2.1.1.1.1.9.1</t>
  </si>
  <si>
    <t>Жидкое стекло</t>
  </si>
  <si>
    <t>Изолирующая грунтовка Eurocol 042 EUROBLOCK TURBO 1К</t>
  </si>
  <si>
    <t>264030368.1133907</t>
  </si>
  <si>
    <t>19925077.1133907</t>
  </si>
  <si>
    <t>de10a7ec-cb61-4723-8ce6-085beaf7245a</t>
  </si>
  <si>
    <t>1.1.2.1.1.1.2</t>
  </si>
  <si>
    <t>6.3.1.5.1.2</t>
  </si>
  <si>
    <t>Гидроизоляция, тепло-звукоизоляция, утепление</t>
  </si>
  <si>
    <t>1.1.2.1.1.1.2.1</t>
  </si>
  <si>
    <t>6.3.1.5.1.2.4.1</t>
  </si>
  <si>
    <t>Устройство тепло-звукоизоляции полов / минвата / в 1 слой</t>
  </si>
  <si>
    <t>спорт зал №1.030</t>
  </si>
  <si>
    <t>af86ab82-d73d-4a1e-bbf7-c759e5f4c78d</t>
  </si>
  <si>
    <t>712c77f6-f7c6-46fe-bc4a-fb39db44eb02</t>
  </si>
  <si>
    <t>1.1.2.1.1.1.2.1._</t>
  </si>
  <si>
    <t>1.1.2.1.1.1.2.1.1</t>
  </si>
  <si>
    <t>Герметик Вибросил / 290 мл</t>
  </si>
  <si>
    <t>264030274.644461</t>
  </si>
  <si>
    <t>16077964.644461</t>
  </si>
  <si>
    <t>e59fbfea-da0b-4a9c-8567-2fe1499a1f7a</t>
  </si>
  <si>
    <t>1.1.2.1.1.1.2.1.1._</t>
  </si>
  <si>
    <t>204244074.644461</t>
  </si>
  <si>
    <t>1.1.2.1.1.1.2.1.2</t>
  </si>
  <si>
    <t xml:space="preserve">Мин. плита Техноакустик </t>
  </si>
  <si>
    <t>м3</t>
  </si>
  <si>
    <t>264030274.707289</t>
  </si>
  <si>
    <t>16077964.707289</t>
  </si>
  <si>
    <t>2aa4233f-c631-436f-a5fb-e3286f3f03b3</t>
  </si>
  <si>
    <t>1.1.2.1.1.1.2.1.2._</t>
  </si>
  <si>
    <t>204244074.707289</t>
  </si>
  <si>
    <t>1.1.2.1.1.1.2.2</t>
  </si>
  <si>
    <t>пом.-е №1.007</t>
  </si>
  <si>
    <t>1.1.2.1.1.1.2.2._</t>
  </si>
  <si>
    <t>1.1.2.1.1.1.2.2.1</t>
  </si>
  <si>
    <t>264030369.707289</t>
  </si>
  <si>
    <t>16088188.707289</t>
  </si>
  <si>
    <t>1.1.2.1.1.1.2.2.1._</t>
  </si>
  <si>
    <t>204428533.707289</t>
  </si>
  <si>
    <t>1.1.2.1.1.1.2.2.2</t>
  </si>
  <si>
    <t>264030369.644461</t>
  </si>
  <si>
    <t>16088188.644461</t>
  </si>
  <si>
    <t>1.1.2.1.1.1.2.2.2._</t>
  </si>
  <si>
    <t>204428533.644461</t>
  </si>
  <si>
    <t>1.1.2.1.1.1.2.3</t>
  </si>
  <si>
    <t>6.3.1.5.1.2.4.5</t>
  </si>
  <si>
    <t>Устройство тепло-звукоизоляции полов / Рулонный материал / в 1 слой</t>
  </si>
  <si>
    <t>№2.037</t>
  </si>
  <si>
    <t>9e39c19a-3e5a-48a9-81d4-c19cd118ebe6</t>
  </si>
  <si>
    <t>df4f9fc0-265b-42df-a3b8-2eeb21d35d10</t>
  </si>
  <si>
    <t>1.1.2.1.1.1.2.3._</t>
  </si>
  <si>
    <t>1.1.2.1.1.1.2.3.1</t>
  </si>
  <si>
    <t>Подложка 5мм Пенополиэтилен / фольга</t>
  </si>
  <si>
    <t>Звукоизоляция пола рулонная (индекс снижения ударного
шума ≥26 Дб) - 5мм</t>
  </si>
  <si>
    <t>264030275.27127</t>
  </si>
  <si>
    <t>16078329.27127</t>
  </si>
  <si>
    <t>9c71aec3-d5f9-11e8-80e6-005056881952</t>
  </si>
  <si>
    <t>1.1.2.1.1.1.2.3.1._</t>
  </si>
  <si>
    <t>204257142.27127</t>
  </si>
  <si>
    <t>1.1.2.1.1.1.3</t>
  </si>
  <si>
    <t>6.3.1.5.1.3</t>
  </si>
  <si>
    <t>Устройство покрытия полов</t>
  </si>
  <si>
    <t>1.1.2.1.1.1.3.1</t>
  </si>
  <si>
    <t>6.3.1.5.1.3.1.1</t>
  </si>
  <si>
    <t>Устройство покрытия пола с предварительной огрунтовкой поверхности / из керамогранитной плитки с затиркой швов</t>
  </si>
  <si>
    <t>пом.№ 2.058</t>
  </si>
  <si>
    <t>ba238fec-d7fc-420d-944a-4b6d4b8cbc4b</t>
  </si>
  <si>
    <t>f56b84ba-3593-441c-a94c-fbcf59225a06</t>
  </si>
  <si>
    <t>1.1.2.1.1.1.3.1._</t>
  </si>
  <si>
    <t>1.1.2.1.1.1.3.1.1</t>
  </si>
  <si>
    <t>Клей плиточный/ Унифицированный по ПИК-СТАНДАРТ</t>
  </si>
  <si>
    <t>5мм</t>
  </si>
  <si>
    <t>264030278.54632</t>
  </si>
  <si>
    <t>16080908.54632</t>
  </si>
  <si>
    <t>29ab9003-5b43-49a7-8ba2-846628054d7e</t>
  </si>
  <si>
    <t>1.1.2.1.1.1.3.1.1._</t>
  </si>
  <si>
    <t>204395661.54632</t>
  </si>
  <si>
    <t>1.1.2.1.1.1.3.1.2</t>
  </si>
  <si>
    <t>Керамический гранит Kerama marazzi_ / SG166200N/напольный/ Про Матрикс / 397х397х8 мм</t>
  </si>
  <si>
    <t>прим Керамогранит Kerama Marazzi Про матрикс DD602020R\GCF
600x330х9 мм, серый светлый</t>
  </si>
  <si>
    <t>264030278.720766</t>
  </si>
  <si>
    <t>16080908.720766</t>
  </si>
  <si>
    <t>9957580e-ec46-4b98-98e6-c38f42a89dfd</t>
  </si>
  <si>
    <t>1.1.2.1.1.1.3.1.2._</t>
  </si>
  <si>
    <t>204395661.720766</t>
  </si>
  <si>
    <t>1.1.2.1.1.1.3.1.3</t>
  </si>
  <si>
    <t>Затирка Цезерит СE33_/04 серебристо-серый</t>
  </si>
  <si>
    <t>264030278.54637</t>
  </si>
  <si>
    <t>16080908.54637</t>
  </si>
  <si>
    <t>c293221b-d93c-4424-8200-e1b99b7167e3</t>
  </si>
  <si>
    <t>1.1.2.1.1.1.3.1.3._</t>
  </si>
  <si>
    <t>204395661.54637</t>
  </si>
  <si>
    <t>1.1.2.1.1.1.3.1.4</t>
  </si>
  <si>
    <t>Грунтовка универсальный ЛАСТИМИН_ / LP-51 А</t>
  </si>
  <si>
    <t>264030278.54634</t>
  </si>
  <si>
    <t>16080908.54634</t>
  </si>
  <si>
    <t>6f806fd0-f20f-4c69-8d99-cee4063fa047</t>
  </si>
  <si>
    <t>1.1.2.1.1.1.3.1.4._</t>
  </si>
  <si>
    <t>204395661.54634</t>
  </si>
  <si>
    <t>1.1.2.1.1.1.3.2</t>
  </si>
  <si>
    <t>КР-5
пом. галереи №2.058</t>
  </si>
  <si>
    <t>1.1.2.1.1.1.3.2._</t>
  </si>
  <si>
    <t>1.1.2.1.1.1.3.2.1</t>
  </si>
  <si>
    <t>264030370.54634</t>
  </si>
  <si>
    <t>16080909.54634</t>
  </si>
  <si>
    <t>1.1.2.1.1.1.3.2.1._</t>
  </si>
  <si>
    <t>204395699.54634</t>
  </si>
  <si>
    <t>1.1.2.1.1.1.3.2.2</t>
  </si>
  <si>
    <t>264030370.54637</t>
  </si>
  <si>
    <t>16080909.54637</t>
  </si>
  <si>
    <t>1.1.2.1.1.1.3.2.2._</t>
  </si>
  <si>
    <t>204395699.54637</t>
  </si>
  <si>
    <t>1.1.2.1.1.1.3.2.3</t>
  </si>
  <si>
    <t>264030370.54632</t>
  </si>
  <si>
    <t>16080909.54632</t>
  </si>
  <si>
    <t>1.1.2.1.1.1.3.2.3._</t>
  </si>
  <si>
    <t>204395699.54632</t>
  </si>
  <si>
    <t>1.1.2.1.1.1.3.2.4</t>
  </si>
  <si>
    <t>Плитка керамогранитная_ / 130х800х11 мм</t>
  </si>
  <si>
    <t>применительно Керамогранит Kerama Marazzi SG502120R 200 х800х11 мм, Фрегат медовый бежевый (не ниже КМ1)</t>
  </si>
  <si>
    <t>264030370.1137906</t>
  </si>
  <si>
    <t>16080909.1137906</t>
  </si>
  <si>
    <t>9494a650-87e7-4322-a2a7-6da3a3ab7188</t>
  </si>
  <si>
    <t>1.1.2.1.1.1.3.2.4._</t>
  </si>
  <si>
    <t>204395699.1137906</t>
  </si>
  <si>
    <t>1.1.2.1.1.1.3.3</t>
  </si>
  <si>
    <t>помещ №1.007</t>
  </si>
  <si>
    <t>1.1.2.1.1.1.3.3._</t>
  </si>
  <si>
    <t>1.1.2.1.1.1.3.3.1</t>
  </si>
  <si>
    <t>264030371.54632</t>
  </si>
  <si>
    <t>16087569.54632</t>
  </si>
  <si>
    <t>1.1.2.1.1.1.3.3.1._</t>
  </si>
  <si>
    <t>204420458.54632</t>
  </si>
  <si>
    <t>1.1.2.1.1.1.3.3.2</t>
  </si>
  <si>
    <t>Керамический гранит Kerama marazzi_ / Серый светлый / SG614800R/Напольный/Королевская дорога / 600*600*11</t>
  </si>
  <si>
    <t>применительно Керамогранит Kerama Marazzi Про матрикс DD602020R 600x600 х9
мм, серый светлый, Крестик 2мм, затирка Ceresit CE33 04
Серебристо-серый</t>
  </si>
  <si>
    <t>264030371.720769</t>
  </si>
  <si>
    <t>16087569.720769</t>
  </si>
  <si>
    <t>3ac98e36-5cd5-4ac7-9116-897c1cc1bd6a</t>
  </si>
  <si>
    <t>1.1.2.1.1.1.3.3.2._</t>
  </si>
  <si>
    <t>204420458.720769</t>
  </si>
  <si>
    <t>1.1.2.1.1.1.3.3.3</t>
  </si>
  <si>
    <t>264030371.54637</t>
  </si>
  <si>
    <t>16087569.54637</t>
  </si>
  <si>
    <t>1.1.2.1.1.1.3.3.3._</t>
  </si>
  <si>
    <t>204420458.54637</t>
  </si>
  <si>
    <t>1.1.2.1.1.1.3.3.4</t>
  </si>
  <si>
    <t>264030371.54634</t>
  </si>
  <si>
    <t>16087569.54634</t>
  </si>
  <si>
    <t>1.1.2.1.1.1.3.3.4._</t>
  </si>
  <si>
    <t>204420458.54634</t>
  </si>
  <si>
    <t>1.1.2.1.1.1.3.4</t>
  </si>
  <si>
    <t>6.3.1.5.1.3.2.1</t>
  </si>
  <si>
    <t>Устройство покрытия пола из линолеума</t>
  </si>
  <si>
    <t>Включая защиту ДВП</t>
  </si>
  <si>
    <t>помещения №1.030 и №2.037 спортивные залы</t>
  </si>
  <si>
    <t>51b31787-2db2-4031-aade-329f900ef9b7</t>
  </si>
  <si>
    <t>b58ad002-5dea-4a06-b953-f640911ed5b2</t>
  </si>
  <si>
    <t>1.1.2.1.1.1.3.4.1</t>
  </si>
  <si>
    <t>Сварочный шнур для линолеума (для объектов СКБ)_ / Tarkett / Сварочный шнур для спортивного линолеума желтого для детского сада / 87298</t>
  </si>
  <si>
    <t>204199105.765919</t>
  </si>
  <si>
    <t>16075343.765919</t>
  </si>
  <si>
    <t>040a81cc-6e03-4c9b-9435-6f96fbe8f43f</t>
  </si>
  <si>
    <t>1.1.2.1.1.1.3.4.2</t>
  </si>
  <si>
    <t>Линолеум (для объектов СКБ)_ / 4 мм  / серый / Omnisports ACTION R40 GREY / Tarkett / - / Спортивный линолеум для школы</t>
  </si>
  <si>
    <t>204199105.1757616</t>
  </si>
  <si>
    <t>16075343.1757616</t>
  </si>
  <si>
    <t>8a051785-3557-4655-9655-cc3c5240c6a9</t>
  </si>
  <si>
    <t>1.1.2.1.1.1.3.4.3</t>
  </si>
  <si>
    <t>Клей для линолеума</t>
  </si>
  <si>
    <t>204199105.702694</t>
  </si>
  <si>
    <t>16075343.702694</t>
  </si>
  <si>
    <t>1a3e3255-5ba6-49e7-bbc8-279e1b1289a0</t>
  </si>
  <si>
    <t>1.1.2.1.1.1.3.5</t>
  </si>
  <si>
    <t>6.3.1.5.1.3.8.1</t>
  </si>
  <si>
    <t>Установка стыковочных профилей</t>
  </si>
  <si>
    <t>пом. спорт залов</t>
  </si>
  <si>
    <t>76703cd4-c8ff-4e22-abbd-2d5e394281cf</t>
  </si>
  <si>
    <t>d8cca10c-4815-473b-a7ff-575551ece3f3</t>
  </si>
  <si>
    <t>1.1.2.1.1.1.3.5._</t>
  </si>
  <si>
    <t>1.1.2.1.1.1.3.5.1</t>
  </si>
  <si>
    <t>Профиль T-образный ПМЮ-01_ / серебро матовое / 2700*30</t>
  </si>
  <si>
    <t>264030280.54698</t>
  </si>
  <si>
    <t>16076862.54698</t>
  </si>
  <si>
    <t>431fd404-0d93-4656-9911-5bebccf01228</t>
  </si>
  <si>
    <t>1.1.2.1.1.1.3.5.1._</t>
  </si>
  <si>
    <t>204199107.54698</t>
  </si>
  <si>
    <t>1.1.2.1.1.1.3.5.2</t>
  </si>
  <si>
    <t>Жидкие гвозди универсальные_/</t>
  </si>
  <si>
    <t>264030280.54854</t>
  </si>
  <si>
    <t>16076862.54854</t>
  </si>
  <si>
    <t>3378c715-1bc1-40f5-8d09-15a912e04c9d</t>
  </si>
  <si>
    <t>1.1.2.1.1.1.3.5.2._</t>
  </si>
  <si>
    <t>204199107.54854</t>
  </si>
  <si>
    <t>1.1.2.1.1.1.3.6</t>
  </si>
  <si>
    <t>6.3.1.5.1.3.10.1</t>
  </si>
  <si>
    <t>Устройство плинтуса из керамогранитной плитки с затиркой швов, с предварительной огрунтовкой поверхности</t>
  </si>
  <si>
    <t>помещ. № 2.058</t>
  </si>
  <si>
    <t>7c078883-0b0a-4435-9703-ce38f86f609d</t>
  </si>
  <si>
    <t>b85c85d4-a58d-4d1f-9fee-8d36cd9ba4e9</t>
  </si>
  <si>
    <t>1.1.2.1.1.1.3.6._</t>
  </si>
  <si>
    <t>1.1.2.1.1.1.3.6.1</t>
  </si>
  <si>
    <t>Плинтус керамогранитный Дайсен SG211200R/3BT 600х95мм светло-серый</t>
  </si>
  <si>
    <t>прим. Плинтус из керамогранита Kerama Marazzi Про матрикс
DD602200R/6BT 600x95 х9 мм, цвет светло-серый, Крестик 2мм,
затирка Ceresit CE33 04 Серебристо-серый</t>
  </si>
  <si>
    <t>264030282.1747282</t>
  </si>
  <si>
    <t>16082192.1747282</t>
  </si>
  <si>
    <t>d4275771-32c8-11ee-a102-d1661ac0bb93</t>
  </si>
  <si>
    <t>1.1.2.1.1.1.3.6.1._</t>
  </si>
  <si>
    <t>204396870.1747282</t>
  </si>
  <si>
    <t>1.1.2.1.1.1.3.6.2</t>
  </si>
  <si>
    <t>Клей плиточный/Унифицированный по ПИК-СТАНДАРТ</t>
  </si>
  <si>
    <t>264030282.54629</t>
  </si>
  <si>
    <t>16082192.54629</t>
  </si>
  <si>
    <t>e9770899-65c8-423b-aa60-49fe884ae8df</t>
  </si>
  <si>
    <t>1.1.2.1.1.1.3.6.2._</t>
  </si>
  <si>
    <t>204396870.54629</t>
  </si>
  <si>
    <t>1.1.2.1.1.1.3.6.3</t>
  </si>
  <si>
    <t>264030282.54637</t>
  </si>
  <si>
    <t>16082192.54637</t>
  </si>
  <si>
    <t>1.1.2.1.1.1.3.6.3._</t>
  </si>
  <si>
    <t>204396870.54637</t>
  </si>
  <si>
    <t>1.1.2.1.1.1.3.6.4</t>
  </si>
  <si>
    <t>264030282.54634</t>
  </si>
  <si>
    <t>16082192.54634</t>
  </si>
  <si>
    <t>1.1.2.1.1.1.3.6.4._</t>
  </si>
  <si>
    <t>204396870.54634</t>
  </si>
  <si>
    <t>1.1.2.1.1.1.3.7</t>
  </si>
  <si>
    <t>1.1.2.1.1.1.3.7._</t>
  </si>
  <si>
    <t>1.1.2.1.1.1.3.7.1</t>
  </si>
  <si>
    <t>264030372.54634</t>
  </si>
  <si>
    <t>16087853.54634</t>
  </si>
  <si>
    <t>1.1.2.1.1.1.3.7.1._</t>
  </si>
  <si>
    <t>204426456.54634</t>
  </si>
  <si>
    <t>1.1.2.1.1.1.3.7.2</t>
  </si>
  <si>
    <t>264030372.54637</t>
  </si>
  <si>
    <t>16087853.54637</t>
  </si>
  <si>
    <t>1.1.2.1.1.1.3.7.2._</t>
  </si>
  <si>
    <t>204426456.54637</t>
  </si>
  <si>
    <t>1.1.2.1.1.1.3.7.3</t>
  </si>
  <si>
    <t>Керамический гранит Kerama marazzi_ / Светлый серый /  DD600300R, Estima LF01 UnitileVento grey PG  / 600х600х10мм</t>
  </si>
  <si>
    <t>264030372.1275875</t>
  </si>
  <si>
    <t>16087853.1275875</t>
  </si>
  <si>
    <t>95dc61f2-4532-4459-b4a7-bcb3a6b65492</t>
  </si>
  <si>
    <t>1.1.2.1.1.1.3.7.3._</t>
  </si>
  <si>
    <t>204426456.1275875</t>
  </si>
  <si>
    <t>1.1.2.1.1.1.3.7.4</t>
  </si>
  <si>
    <t>Плиточный клей_ / Унифицированный по ПИК-СТАНДАРТ</t>
  </si>
  <si>
    <t>264030372.1570753</t>
  </si>
  <si>
    <t>16087853.1570753</t>
  </si>
  <si>
    <t>be76b7f0-d821-4213-a0b5-d4d9b08818f1</t>
  </si>
  <si>
    <t>1.1.2.1.1.1.3.7.4._</t>
  </si>
  <si>
    <t>204426456.1570753</t>
  </si>
  <si>
    <t>1.1.2.1.1.1.3.8</t>
  </si>
  <si>
    <t>6.3.1.5.1.3.14.1</t>
  </si>
  <si>
    <t>Устройство покрытия пола из кварцвинила / на клею</t>
  </si>
  <si>
    <t>пом. 1,032 и 2.033</t>
  </si>
  <si>
    <t>d2a8c4cc-9752-499d-bcd0-96d63d6d3e47</t>
  </si>
  <si>
    <t>0f62f3eb-5d66-4427-b2d6-a309be9c6e5c</t>
  </si>
  <si>
    <t>1.1.2.1.1.1.3.8.1</t>
  </si>
  <si>
    <t>Клей полиуретановый двухкомпонентный Для напольных модульных ПВХ-покрытий(LVT,кварц-винил), жизнеспособность 1-1,5ч, Светло-бежевый, 4,31кг</t>
  </si>
  <si>
    <t xml:space="preserve">"Клей Forbo-Erfurt 599 расход 0,5 кг/м2
</t>
  </si>
  <si>
    <t>264030284.1579985</t>
  </si>
  <si>
    <t>19936864.1579985</t>
  </si>
  <si>
    <t>f4eb966a-beb9-11eb-80fb-005056881952</t>
  </si>
  <si>
    <t>1.1.2.1.1.1.3.8.2</t>
  </si>
  <si>
    <t>Кварц-виниловая плитка / SPC VIVA Series с защитным слоем 0,3мм</t>
  </si>
  <si>
    <t>Плитка ПВХ Allura Flex 500 х500 мм, текстура - бетон</t>
  </si>
  <si>
    <t>264030284.1745760</t>
  </si>
  <si>
    <t>19936864.1745760</t>
  </si>
  <si>
    <t>5e97e485-cef1-4bb6-9a4e-50ed5226fbd6</t>
  </si>
  <si>
    <t>1.1.2.1.1.2</t>
  </si>
  <si>
    <t>6.3.1.5.2</t>
  </si>
  <si>
    <t>Стены</t>
  </si>
  <si>
    <t>1.1.2.1.1.2.1</t>
  </si>
  <si>
    <t>6.3.1.5.2.1</t>
  </si>
  <si>
    <t>Черновые работы по поверхности стен</t>
  </si>
  <si>
    <t>1.1.2.1.1.2.1.1</t>
  </si>
  <si>
    <t>6.3.1.5.2.1.1.1</t>
  </si>
  <si>
    <t>Оклейка швов сопряжения бетонных и других поверхностей стен, перегородок (газобетон, ПГП, панели АКОТЕК и др.) стеклохолстом</t>
  </si>
  <si>
    <t>376b0b05-e1f7-4eb4-858c-54cfc94012c5</t>
  </si>
  <si>
    <t>7942ddbf-4120-45ca-9456-f48a3ec42d9b</t>
  </si>
  <si>
    <t>1.1.2.1.1.2.1.1.1</t>
  </si>
  <si>
    <t>Штукатурка цементная, сухая, ТАНИЛИТ_/РС15</t>
  </si>
  <si>
    <t>264030288.54614</t>
  </si>
  <si>
    <t>18537797.54614</t>
  </si>
  <si>
    <t>b0309c4c-1ac0-4232-8989-3fb3001fa915</t>
  </si>
  <si>
    <t>1.1.2.1.1.2.1.1.2</t>
  </si>
  <si>
    <t>Лента армирующая ( серпянка)_/150мм</t>
  </si>
  <si>
    <t>264030288.55040</t>
  </si>
  <si>
    <t>18537797.55040</t>
  </si>
  <si>
    <t>eae3db91-694c-4324-837b-5cb2a168407e</t>
  </si>
  <si>
    <t>1.1.2.1.1.2.1.2</t>
  </si>
  <si>
    <t>6.3.1.5.2.1.2.3</t>
  </si>
  <si>
    <t>Штукатурка стен сухими смесями с установкой маяков с предварительной огрунтовкой / толщ. от 16,5 мм до 21 мм</t>
  </si>
  <si>
    <t>по жб, №1.030 и 2.037</t>
  </si>
  <si>
    <t>c5aa8ee2-e574-43a3-844b-653c022bb54c</t>
  </si>
  <si>
    <t>a4be7dcf-ce5e-4104-94f3-5ba02bfd9c0c</t>
  </si>
  <si>
    <t>1.1.2.1.1.2.1.2._</t>
  </si>
  <si>
    <t>1.1.2.1.1.2.1.2.1</t>
  </si>
  <si>
    <t>Сетка стеклотканевая 200г/м2, ячейка 5х5мм</t>
  </si>
  <si>
    <t>264030290.17342</t>
  </si>
  <si>
    <t>16077164.17342</t>
  </si>
  <si>
    <t>1bf3e29a-aa18-11e8-80e4-005056881952</t>
  </si>
  <si>
    <t>1.1.2.1.1.2.1.2.1._</t>
  </si>
  <si>
    <t>204211275.17342</t>
  </si>
  <si>
    <t>1.1.2.1.1.2.1.2.2</t>
  </si>
  <si>
    <t>264030290.54633</t>
  </si>
  <si>
    <t>16077164.54633</t>
  </si>
  <si>
    <t>1.1.2.1.1.2.1.2.2._</t>
  </si>
  <si>
    <t>204211275.54633</t>
  </si>
  <si>
    <t>1.1.2.1.1.2.1.2.3</t>
  </si>
  <si>
    <t>Смесь цементно-песчаная М100</t>
  </si>
  <si>
    <t>20мм</t>
  </si>
  <si>
    <t>264030290.12403</t>
  </si>
  <si>
    <t>16077164.12403</t>
  </si>
  <si>
    <t>d24451aa-7571-11e8-80e0-005056881952</t>
  </si>
  <si>
    <t>1.1.2.1.1.2.1.2.3._</t>
  </si>
  <si>
    <t>204211275.12403</t>
  </si>
  <si>
    <t>1.1.2.1.1.2.1.2.4</t>
  </si>
  <si>
    <t>Профиль маячковый_/ПМ10</t>
  </si>
  <si>
    <t>264030290.55030</t>
  </si>
  <si>
    <t>16077164.55030</t>
  </si>
  <si>
    <t>2c5b3048-8dfb-4910-9a5b-0bcdfb85437b</t>
  </si>
  <si>
    <t>1.1.2.1.1.2.1.2.4._</t>
  </si>
  <si>
    <t>204211275.55030</t>
  </si>
  <si>
    <t>1.1.2.1.1.2.1.3</t>
  </si>
  <si>
    <t>по блоку, №1.030 и 2.037</t>
  </si>
  <si>
    <t>1.1.2.1.1.2.1.3._</t>
  </si>
  <si>
    <t>1.1.2.1.1.2.1.3.1</t>
  </si>
  <si>
    <t>Грунтовка _ /  универсальная глубокого проникновения</t>
  </si>
  <si>
    <t>264030373.1751832</t>
  </si>
  <si>
    <t>16077288.1751832</t>
  </si>
  <si>
    <t>b4b0210a-8af4-4646-b1a9-fca6c13407aa</t>
  </si>
  <si>
    <t>1.1.2.1.1.2.1.3.1._</t>
  </si>
  <si>
    <t>204216667.1751832</t>
  </si>
  <si>
    <t>1.1.2.1.1.2.1.3.2</t>
  </si>
  <si>
    <t>264030373.55030</t>
  </si>
  <si>
    <t>16077288.55030</t>
  </si>
  <si>
    <t>1.1.2.1.1.2.1.3.2._</t>
  </si>
  <si>
    <t>204216667.55030</t>
  </si>
  <si>
    <t>1.1.2.1.1.2.1.3.3</t>
  </si>
  <si>
    <t>264030373.12403</t>
  </si>
  <si>
    <t>16077288.12403</t>
  </si>
  <si>
    <t>1.1.2.1.1.2.1.3.3._</t>
  </si>
  <si>
    <t>204216667.12403</t>
  </si>
  <si>
    <t>1.1.2.1.1.2.1.3.4</t>
  </si>
  <si>
    <t>264030373.17342</t>
  </si>
  <si>
    <t>16077288.17342</t>
  </si>
  <si>
    <t>1.1.2.1.1.2.1.3.4._</t>
  </si>
  <si>
    <t>204216667.17342</t>
  </si>
  <si>
    <t>1.1.2.1.1.2.1.4</t>
  </si>
  <si>
    <t>жб стены. пом. № 2.058</t>
  </si>
  <si>
    <t>1.1.2.1.1.2.1.4._</t>
  </si>
  <si>
    <t>1.1.2.1.1.2.1.4.1</t>
  </si>
  <si>
    <t>Штукатурка гипсовая_ / Унифицированная по ПИК-СТАНДАРТ, 30кг</t>
  </si>
  <si>
    <t>264030374.54616</t>
  </si>
  <si>
    <t>16081379.54616</t>
  </si>
  <si>
    <t>b059108e-66ce-4a56-9765-c924e4c0b8b7</t>
  </si>
  <si>
    <t>1.1.2.1.1.2.1.4.1._</t>
  </si>
  <si>
    <t>206577563.54616</t>
  </si>
  <si>
    <t>1.1.2.1.1.2.1.4.2</t>
  </si>
  <si>
    <t>264030374.54633</t>
  </si>
  <si>
    <t>16081379.54633</t>
  </si>
  <si>
    <t>1.1.2.1.1.2.1.4.2._</t>
  </si>
  <si>
    <t>206577563.54633</t>
  </si>
  <si>
    <t>1.1.2.1.1.2.1.4.3</t>
  </si>
  <si>
    <t>264030374.55030</t>
  </si>
  <si>
    <t>16081379.55030</t>
  </si>
  <si>
    <t>1.1.2.1.1.2.1.4.3._</t>
  </si>
  <si>
    <t>206577563.55030</t>
  </si>
  <si>
    <t>1.1.2.1.1.2.1.5</t>
  </si>
  <si>
    <t>блок пом.№2.058</t>
  </si>
  <si>
    <t>1.1.2.1.1.2.1.5._</t>
  </si>
  <si>
    <t>1.1.2.1.1.2.1.5.1</t>
  </si>
  <si>
    <t>264030375.55030</t>
  </si>
  <si>
    <t>16081378.55030</t>
  </si>
  <si>
    <t>1.1.2.1.1.2.1.5.1._</t>
  </si>
  <si>
    <t>206577564.55030</t>
  </si>
  <si>
    <t>1.1.2.1.1.2.1.5.2</t>
  </si>
  <si>
    <t>Грунтовка водно-дисперсионная глубокого проникновения "Эконом" 10 кг_/</t>
  </si>
  <si>
    <t>264030375.54744</t>
  </si>
  <si>
    <t>16081378.54744</t>
  </si>
  <si>
    <t>754be5d8-5c13-4490-a6a1-fb9c70e54bb5</t>
  </si>
  <si>
    <t>1.1.2.1.1.2.1.5.2._</t>
  </si>
  <si>
    <t>206577564.54744</t>
  </si>
  <si>
    <t>1.1.2.1.1.2.1.5.3</t>
  </si>
  <si>
    <t>264030375.54616</t>
  </si>
  <si>
    <t>16081378.54616</t>
  </si>
  <si>
    <t>1.1.2.1.1.2.1.5.3._</t>
  </si>
  <si>
    <t>206577564.54616</t>
  </si>
  <si>
    <t>1.1.2.1.1.2.1.6</t>
  </si>
  <si>
    <t>помещение №1.007,  жб пов-ть</t>
  </si>
  <si>
    <t>1.1.2.1.1.2.1.6._</t>
  </si>
  <si>
    <t>1.1.2.1.1.2.1.6.1</t>
  </si>
  <si>
    <t>264030376.17342</t>
  </si>
  <si>
    <t>16086783.17342</t>
  </si>
  <si>
    <t>1.1.2.1.1.2.1.6.1._</t>
  </si>
  <si>
    <t>204408628.17342</t>
  </si>
  <si>
    <t>1.1.2.1.1.2.1.6.2</t>
  </si>
  <si>
    <t>264030376.54633</t>
  </si>
  <si>
    <t>16086783.54633</t>
  </si>
  <si>
    <t>1.1.2.1.1.2.1.6.2._</t>
  </si>
  <si>
    <t>204408628.54633</t>
  </si>
  <si>
    <t>1.1.2.1.1.2.1.6.3</t>
  </si>
  <si>
    <t>264030376.12403</t>
  </si>
  <si>
    <t>16086783.12403</t>
  </si>
  <si>
    <t>1.1.2.1.1.2.1.6.3._</t>
  </si>
  <si>
    <t>204408628.12403</t>
  </si>
  <si>
    <t>1.1.2.1.1.2.1.6.4</t>
  </si>
  <si>
    <t>264030376.55030</t>
  </si>
  <si>
    <t>16086783.55030</t>
  </si>
  <si>
    <t>1.1.2.1.1.2.1.6.4._</t>
  </si>
  <si>
    <t>204408628.55030</t>
  </si>
  <si>
    <t>1.1.2.1.1.2.1.7</t>
  </si>
  <si>
    <t>пом. №1.007 - по блоку</t>
  </si>
  <si>
    <t>1.1.2.1.1.2.1.7._</t>
  </si>
  <si>
    <t>1.1.2.1.1.2.1.7.1</t>
  </si>
  <si>
    <t>264030377.55030</t>
  </si>
  <si>
    <t>16086782.55030</t>
  </si>
  <si>
    <t>1.1.2.1.1.2.1.7.1._</t>
  </si>
  <si>
    <t>204408629.55030</t>
  </si>
  <si>
    <t>1.1.2.1.1.2.1.7.2</t>
  </si>
  <si>
    <t>264030377.12403</t>
  </si>
  <si>
    <t>16086782.12403</t>
  </si>
  <si>
    <t>1.1.2.1.1.2.1.7.2._</t>
  </si>
  <si>
    <t>204408629.12403</t>
  </si>
  <si>
    <t>1.1.2.1.1.2.1.7.3</t>
  </si>
  <si>
    <t>264030377.54744</t>
  </si>
  <si>
    <t>16086782.54744</t>
  </si>
  <si>
    <t>1.1.2.1.1.2.1.7.3._</t>
  </si>
  <si>
    <t>204408629.54744</t>
  </si>
  <si>
    <t>1.1.2.1.1.2.1.7.4</t>
  </si>
  <si>
    <t>264030377.17342</t>
  </si>
  <si>
    <t>16086782.17342</t>
  </si>
  <si>
    <t>1.1.2.1.1.2.1.7.4._</t>
  </si>
  <si>
    <t>204408629.17342</t>
  </si>
  <si>
    <t>1.1.2.1.1.2.1.8</t>
  </si>
  <si>
    <t>№1.007</t>
  </si>
  <si>
    <t>1.1.2.1.1.2.1.8._</t>
  </si>
  <si>
    <t>1.1.2.1.1.2.1.8.1</t>
  </si>
  <si>
    <t>264030378.17342</t>
  </si>
  <si>
    <t>16087273.17342</t>
  </si>
  <si>
    <t>1.1.2.1.1.2.1.8.1._</t>
  </si>
  <si>
    <t>204417267.17342</t>
  </si>
  <si>
    <t>1.1.2.1.1.2.1.8.2</t>
  </si>
  <si>
    <t>264030378.54744</t>
  </si>
  <si>
    <t>16087273.54744</t>
  </si>
  <si>
    <t>1.1.2.1.1.2.1.8.2._</t>
  </si>
  <si>
    <t>204417267.54744</t>
  </si>
  <si>
    <t>1.1.2.1.1.2.1.8.3</t>
  </si>
  <si>
    <t>20 мм</t>
  </si>
  <si>
    <t>264030378.12403</t>
  </si>
  <si>
    <t>16087273.12403</t>
  </si>
  <si>
    <t>1.1.2.1.1.2.1.8.3._</t>
  </si>
  <si>
    <t>204417267.12403</t>
  </si>
  <si>
    <t>1.1.2.1.1.2.1.9</t>
  </si>
  <si>
    <t>6.3.1.5.2.1.4.2</t>
  </si>
  <si>
    <t>Выравнивание стен с предварительной огрунтовкой / по оштукатуренной поверхности / толщ. 2 мм</t>
  </si>
  <si>
    <t>№1.030 и 2.0037</t>
  </si>
  <si>
    <t>110a99a0-6a0d-45b9-b62a-cc3e037ec5cf</t>
  </si>
  <si>
    <t>d4ebd7f1-3692-4517-9566-1d8cb406007d</t>
  </si>
  <si>
    <t>1.1.2.1.1.2.1.9.1</t>
  </si>
  <si>
    <t>Шпатлевка цементная</t>
  </si>
  <si>
    <t>Шпаклевка фасадная белая ОСНОВИТ БАЗСИЛК PC30 MW</t>
  </si>
  <si>
    <t>264030292.1272014</t>
  </si>
  <si>
    <t>16077289.1272014</t>
  </si>
  <si>
    <t>515f7d43-39e1-4366-a9d9-2be3d410ca9d</t>
  </si>
  <si>
    <t>1.1.2.1.1.2.1.9.2</t>
  </si>
  <si>
    <t>Уголок малярный_ / L=3м /25х25 мм</t>
  </si>
  <si>
    <t>264030292.18405</t>
  </si>
  <si>
    <t>16077289.18405</t>
  </si>
  <si>
    <t>6aa8b3b9-7634-40f9-a5c9-a021ce35f715</t>
  </si>
  <si>
    <t>1.1.2.1.1.2.1.9.3</t>
  </si>
  <si>
    <t>264030292.54634</t>
  </si>
  <si>
    <t>16077289.54634</t>
  </si>
  <si>
    <t>1.1.2.1.1.2.1.10</t>
  </si>
  <si>
    <t>1.1.2.1.1.2.1.10.1</t>
  </si>
  <si>
    <t>264030379.54634</t>
  </si>
  <si>
    <t>16077336.54634</t>
  </si>
  <si>
    <t>1.1.2.1.1.2.1.10.2</t>
  </si>
  <si>
    <t>264030379.18405</t>
  </si>
  <si>
    <t>16077336.18405</t>
  </si>
  <si>
    <t>1.1.2.1.1.2.1.10.3</t>
  </si>
  <si>
    <t xml:space="preserve">Шпатлевка финишная TERRACO HANDYCOAT ALL PURPOSE </t>
  </si>
  <si>
    <t>264030379.1276350</t>
  </si>
  <si>
    <t>16077336.1276350</t>
  </si>
  <si>
    <t>e1b334c7-c5c1-4c42-a451-fa4295c7af60</t>
  </si>
  <si>
    <t>1.1.2.1.1.2.1.11</t>
  </si>
  <si>
    <t>1.1.2.1.1.2.1.11._</t>
  </si>
  <si>
    <t>1.1.2.1.1.2.1.11.1</t>
  </si>
  <si>
    <t xml:space="preserve">Шпатлевка полимерная суперфинишная ЭЛИСИЛК_/белая/ PP37W </t>
  </si>
  <si>
    <t>264030380.54623</t>
  </si>
  <si>
    <t>16077337.54623</t>
  </si>
  <si>
    <t>fd599ec7-fabd-4bec-b213-8990de665df5</t>
  </si>
  <si>
    <t>1.1.2.1.1.2.1.11.1._</t>
  </si>
  <si>
    <t>204217994.54623</t>
  </si>
  <si>
    <t>1.1.2.1.1.2.1.11.2</t>
  </si>
  <si>
    <t>264030380.18405</t>
  </si>
  <si>
    <t>16077337.18405</t>
  </si>
  <si>
    <t>1.1.2.1.1.2.1.11.2._</t>
  </si>
  <si>
    <t>204217994.18405</t>
  </si>
  <si>
    <t>1.1.2.1.1.2.1.11.3</t>
  </si>
  <si>
    <t>264030380.54634</t>
  </si>
  <si>
    <t>16077337.54634</t>
  </si>
  <si>
    <t>1.1.2.1.1.2.1.11.3._</t>
  </si>
  <si>
    <t>204217994.54634</t>
  </si>
  <si>
    <t>1.1.2.1.1.2.1.12</t>
  </si>
  <si>
    <t>пом.-я №2.058</t>
  </si>
  <si>
    <t>1.1.2.1.1.2.1.12._</t>
  </si>
  <si>
    <t>1.1.2.1.1.2.1.12.1</t>
  </si>
  <si>
    <t>Грунтовка водно-дисперсионная глубокого проникновения EXPORT base Маршалл</t>
  </si>
  <si>
    <t>264030381.1276361</t>
  </si>
  <si>
    <t>16081445.1276361</t>
  </si>
  <si>
    <t>71ae522f-5e1a-4b61-9ba1-767c0a10863d</t>
  </si>
  <si>
    <t>1.1.2.1.1.2.1.12.1._</t>
  </si>
  <si>
    <t>204390266.1276361</t>
  </si>
  <si>
    <t>1.1.2.1.1.2.1.12.2</t>
  </si>
  <si>
    <t>Лента армированная Серпянка 150мм</t>
  </si>
  <si>
    <t>264030381.7431</t>
  </si>
  <si>
    <t>16081445.7431</t>
  </si>
  <si>
    <t>f955e3c3-158b-11e8-80d9-005056881952</t>
  </si>
  <si>
    <t>1.1.2.1.1.2.1.12.2._</t>
  </si>
  <si>
    <t>204390266.7431</t>
  </si>
  <si>
    <t>1.1.2.1.1.2.1.12.3</t>
  </si>
  <si>
    <t>264030381.18405</t>
  </si>
  <si>
    <t>16081445.18405</t>
  </si>
  <si>
    <t>1.1.2.1.1.2.1.12.3._</t>
  </si>
  <si>
    <t>204390266.18405</t>
  </si>
  <si>
    <t>1.1.2.1.1.2.1.12.4</t>
  </si>
  <si>
    <t>Шпатлевка гипсовая_ / белая / Унифицированная по ПИК-СТАНДАРТ, 30кг</t>
  </si>
  <si>
    <t>264030381.54621</t>
  </si>
  <si>
    <t>16081445.54621</t>
  </si>
  <si>
    <t>b18a669c-55b9-4a3b-9bec-843efe930f3c</t>
  </si>
  <si>
    <t>1.1.2.1.1.2.1.12.4._</t>
  </si>
  <si>
    <t>204390266.54621</t>
  </si>
  <si>
    <t>1.1.2.1.1.2.1.13</t>
  </si>
  <si>
    <t>пом.№2.058</t>
  </si>
  <si>
    <t>1.1.2.1.1.2.1.13._</t>
  </si>
  <si>
    <t>1.1.2.1.1.2.1.13.1</t>
  </si>
  <si>
    <t>264030382.1276350</t>
  </si>
  <si>
    <t>16081650.1276350</t>
  </si>
  <si>
    <t>1.1.2.1.1.2.1.13.1._</t>
  </si>
  <si>
    <t>204390267.1276350</t>
  </si>
  <si>
    <t>1.1.2.1.1.2.1.13.2</t>
  </si>
  <si>
    <t>264030382.18405</t>
  </si>
  <si>
    <t>16081650.18405</t>
  </si>
  <si>
    <t>1.1.2.1.1.2.1.13.2._</t>
  </si>
  <si>
    <t>204390267.18405</t>
  </si>
  <si>
    <t>1.1.2.1.1.2.1.13.3</t>
  </si>
  <si>
    <t>264030382.7431</t>
  </si>
  <si>
    <t>16081650.7431</t>
  </si>
  <si>
    <t>1.1.2.1.1.2.1.13.3._</t>
  </si>
  <si>
    <t>204390267.7431</t>
  </si>
  <si>
    <t>1.1.2.1.1.2.1.13.4</t>
  </si>
  <si>
    <t>264030382.54634</t>
  </si>
  <si>
    <t>16081650.54634</t>
  </si>
  <si>
    <t>1.1.2.1.1.2.1.13.4._</t>
  </si>
  <si>
    <t>204390267.54634</t>
  </si>
  <si>
    <t>1.1.2.1.1.2.1.14</t>
  </si>
  <si>
    <t>1.1.2.1.1.2.1.14._</t>
  </si>
  <si>
    <t>1.1.2.1.1.2.1.14.1</t>
  </si>
  <si>
    <t>264030383.54634</t>
  </si>
  <si>
    <t>16081685.54634</t>
  </si>
  <si>
    <t>1.1.2.1.1.2.1.14.1._</t>
  </si>
  <si>
    <t>204390268.54634</t>
  </si>
  <si>
    <t>1.1.2.1.1.2.1.14.2</t>
  </si>
  <si>
    <t>264030383.18405</t>
  </si>
  <si>
    <t>16081685.18405</t>
  </si>
  <si>
    <t>1.1.2.1.1.2.1.14.2._</t>
  </si>
  <si>
    <t>204390268.18405</t>
  </si>
  <si>
    <t>1.1.2.1.1.2.1.14.3</t>
  </si>
  <si>
    <t>264030383.54623</t>
  </si>
  <si>
    <t>16081685.54623</t>
  </si>
  <si>
    <t>1.1.2.1.1.2.1.14.3._</t>
  </si>
  <si>
    <t>204390268.54623</t>
  </si>
  <si>
    <t>1.1.2.1.1.2.1.15</t>
  </si>
  <si>
    <t>1.1.2.1.1.2.1.15._</t>
  </si>
  <si>
    <t>1.1.2.1.1.2.1.15.1</t>
  </si>
  <si>
    <t>264030384.1272014</t>
  </si>
  <si>
    <t>16086874.1272014</t>
  </si>
  <si>
    <t>1.1.2.1.1.2.1.15.1._</t>
  </si>
  <si>
    <t>204417264.1272014</t>
  </si>
  <si>
    <t>1.1.2.1.1.2.1.15.2</t>
  </si>
  <si>
    <t>264030384.18405</t>
  </si>
  <si>
    <t>16086874.18405</t>
  </si>
  <si>
    <t>1.1.2.1.1.2.1.15.2._</t>
  </si>
  <si>
    <t>204417264.18405</t>
  </si>
  <si>
    <t>1.1.2.1.1.2.1.15.3</t>
  </si>
  <si>
    <t>264030384.7431</t>
  </si>
  <si>
    <t>16086874.7431</t>
  </si>
  <si>
    <t>1.1.2.1.1.2.1.15.3._</t>
  </si>
  <si>
    <t>204417264.7431</t>
  </si>
  <si>
    <t>1.1.2.1.1.2.1.15.4</t>
  </si>
  <si>
    <t>264030384.54634</t>
  </si>
  <si>
    <t>16086874.54634</t>
  </si>
  <si>
    <t>1.1.2.1.1.2.1.15.4._</t>
  </si>
  <si>
    <t>204417264.54634</t>
  </si>
  <si>
    <t>1.1.2.1.1.2.1.16</t>
  </si>
  <si>
    <t>1.1.2.1.1.2.1.16._</t>
  </si>
  <si>
    <t>1.1.2.1.1.2.1.16.1</t>
  </si>
  <si>
    <t>264030385.54634</t>
  </si>
  <si>
    <t>16086875.54634</t>
  </si>
  <si>
    <t>1.1.2.1.1.2.1.16.1._</t>
  </si>
  <si>
    <t>204417265.54634</t>
  </si>
  <si>
    <t>1.1.2.1.1.2.1.16.2</t>
  </si>
  <si>
    <t>264030385.7431</t>
  </si>
  <si>
    <t>16086875.7431</t>
  </si>
  <si>
    <t>1.1.2.1.1.2.1.16.2._</t>
  </si>
  <si>
    <t>204417265.7431</t>
  </si>
  <si>
    <t>1.1.2.1.1.2.1.16.3</t>
  </si>
  <si>
    <t>264030385.18405</t>
  </si>
  <si>
    <t>16086875.18405</t>
  </si>
  <si>
    <t>1.1.2.1.1.2.1.16.3._</t>
  </si>
  <si>
    <t>204417265.18405</t>
  </si>
  <si>
    <t>1.1.2.1.1.2.1.16.4</t>
  </si>
  <si>
    <t>264030385.1276350</t>
  </si>
  <si>
    <t>16086875.1276350</t>
  </si>
  <si>
    <t>1.1.2.1.1.2.1.16.4._</t>
  </si>
  <si>
    <t>204417265.1276350</t>
  </si>
  <si>
    <t>1.1.2.1.1.2.1.17</t>
  </si>
  <si>
    <t>1.1.2.1.1.2.1.17._</t>
  </si>
  <si>
    <t>1.1.2.1.1.2.1.17.1</t>
  </si>
  <si>
    <t>264030386.54623</t>
  </si>
  <si>
    <t>16087151.54623</t>
  </si>
  <si>
    <t>1.1.2.1.1.2.1.17.1._</t>
  </si>
  <si>
    <t>204417266.54623</t>
  </si>
  <si>
    <t>1.1.2.1.1.2.1.17.2</t>
  </si>
  <si>
    <t>264030386.18405</t>
  </si>
  <si>
    <t>16087151.18405</t>
  </si>
  <si>
    <t>1.1.2.1.1.2.1.17.2._</t>
  </si>
  <si>
    <t>204417266.18405</t>
  </si>
  <si>
    <t>1.1.2.1.1.2.1.17.3</t>
  </si>
  <si>
    <t>264030386.7431</t>
  </si>
  <si>
    <t>16087151.7431</t>
  </si>
  <si>
    <t>1.1.2.1.1.2.1.17.3._</t>
  </si>
  <si>
    <t>204417266.7431</t>
  </si>
  <si>
    <t>1.1.2.1.1.2.1.17.4</t>
  </si>
  <si>
    <t>264030386.54634</t>
  </si>
  <si>
    <t>16087151.54634</t>
  </si>
  <si>
    <t>1.1.2.1.1.2.1.17.4._</t>
  </si>
  <si>
    <t>204417266.54634</t>
  </si>
  <si>
    <t>1.1.2.1.1.2.1.18</t>
  </si>
  <si>
    <t>6.3.1.5.2.1.8.1</t>
  </si>
  <si>
    <t>Подготовка поверхности СКБ / потолка / ЖБ / 5 мм</t>
  </si>
  <si>
    <t>Шпаклевка базовая в пом. 2.022, 3.019</t>
  </si>
  <si>
    <t>d8ade7bb-05e7-4786-90a0-891f405ecdf1</t>
  </si>
  <si>
    <t>96e58c96-c5e3-4872-b6e0-948a4863b92f</t>
  </si>
  <si>
    <t>1.1.2.1.1.2.1.18.1</t>
  </si>
  <si>
    <t>264030294.1272014</t>
  </si>
  <si>
    <t>19916869.1272014</t>
  </si>
  <si>
    <t>1.1.2.1.1.2.1.18.2</t>
  </si>
  <si>
    <t>264030294.54633</t>
  </si>
  <si>
    <t>19916869.54633</t>
  </si>
  <si>
    <t>1.1.2.1.1.2.1.19</t>
  </si>
  <si>
    <t>Шпаклевка финишная в пом. 2.022, 3.019</t>
  </si>
  <si>
    <t>1.1.2.1.1.2.1.19.1</t>
  </si>
  <si>
    <t>264030387.54634</t>
  </si>
  <si>
    <t>19916876.54634</t>
  </si>
  <si>
    <t>1.1.2.1.1.2.1.19.2</t>
  </si>
  <si>
    <t>Шпаклевка цементная финишная белая ОСНОВИТ БЕЛСИЛК PC32 W</t>
  </si>
  <si>
    <t>264030387.1272014</t>
  </si>
  <si>
    <t>19916876.1272014</t>
  </si>
  <si>
    <t>1.1.2.1.1.2.1.20</t>
  </si>
  <si>
    <t>6.3.1.5.2.1.8.4</t>
  </si>
  <si>
    <t>Подготовка поверхности СКБ / стен / ГКЛ, ПГП / 2мм</t>
  </si>
  <si>
    <t>Шпаклевка базовая в пом. 1.030</t>
  </si>
  <si>
    <t>fa1c67dc-3027-4791-83d8-da340ce63151</t>
  </si>
  <si>
    <t>207d32dd-c8b8-468d-95bb-104bba9e15df</t>
  </si>
  <si>
    <t>1.1.2.1.1.2.1.20.1</t>
  </si>
  <si>
    <t>264030295.1272014</t>
  </si>
  <si>
    <t>19916865.1272014</t>
  </si>
  <si>
    <t>1.1.2.1.1.2.1.20.2</t>
  </si>
  <si>
    <t>Уголок малярный_/перфорированный/25*25*3000мм</t>
  </si>
  <si>
    <t>264030295.55026</t>
  </si>
  <si>
    <t>19916865.55026</t>
  </si>
  <si>
    <t>480f9c46-4853-47e1-ac30-340d72ef0430</t>
  </si>
  <si>
    <t>1.1.2.1.1.2.1.20.3</t>
  </si>
  <si>
    <t>264030295.54634</t>
  </si>
  <si>
    <t>19916865.54634</t>
  </si>
  <si>
    <t>1.1.2.1.1.2.1.21</t>
  </si>
  <si>
    <t>Шпаклевка финишная в пом. 1.030</t>
  </si>
  <si>
    <t>1.1.2.1.1.2.1.21.1</t>
  </si>
  <si>
    <t>264030388.54634</t>
  </si>
  <si>
    <t>19916872.54634</t>
  </si>
  <si>
    <t>1.1.2.1.1.2.1.21.2</t>
  </si>
  <si>
    <t>264030388.1272014</t>
  </si>
  <si>
    <t>19916872.1272014</t>
  </si>
  <si>
    <t>1.1.2.1.1.2.1.22</t>
  </si>
  <si>
    <t>Шпаклевка базовая в пом. 2.037 и 2.033</t>
  </si>
  <si>
    <t>1.1.2.1.1.2.1.22.1</t>
  </si>
  <si>
    <t>264030389.1272014</t>
  </si>
  <si>
    <t>19916870.1272014</t>
  </si>
  <si>
    <t>1.1.2.1.1.2.1.22.2</t>
  </si>
  <si>
    <t>264030389.55026</t>
  </si>
  <si>
    <t>19916870.55026</t>
  </si>
  <si>
    <t>1.1.2.1.1.2.1.22.3</t>
  </si>
  <si>
    <t>264030389.54634</t>
  </si>
  <si>
    <t>19916870.54634</t>
  </si>
  <si>
    <t>1.1.2.1.1.2.1.23</t>
  </si>
  <si>
    <t>Шпаклевка финишная в пом. 2.037 и 2.033</t>
  </si>
  <si>
    <t>1.1.2.1.1.2.1.23.1</t>
  </si>
  <si>
    <t>264030390.54634</t>
  </si>
  <si>
    <t>19916877.54634</t>
  </si>
  <si>
    <t>1.1.2.1.1.2.1.23.2</t>
  </si>
  <si>
    <t>264030390.1272014</t>
  </si>
  <si>
    <t>19916877.1272014</t>
  </si>
  <si>
    <t>1.1.2.1.1.2.1.24</t>
  </si>
  <si>
    <t>1.1.2.1.1.2.1.24.1</t>
  </si>
  <si>
    <t>264030391.1272014</t>
  </si>
  <si>
    <t>19916874.1272014</t>
  </si>
  <si>
    <t>1.1.2.1.1.2.1.24.2</t>
  </si>
  <si>
    <t>264030391.54634</t>
  </si>
  <si>
    <t>19916874.54634</t>
  </si>
  <si>
    <t>1.1.2.1.1.2.1.25</t>
  </si>
  <si>
    <t>1.1.2.1.1.2.1.25.1</t>
  </si>
  <si>
    <t>264030392.54634</t>
  </si>
  <si>
    <t>19916867.54634</t>
  </si>
  <si>
    <t>1.1.2.1.1.2.1.25.2</t>
  </si>
  <si>
    <t>264030392.55026</t>
  </si>
  <si>
    <t>19916867.55026</t>
  </si>
  <si>
    <t>1.1.2.1.1.2.1.25.3</t>
  </si>
  <si>
    <t>264030392.1272014</t>
  </si>
  <si>
    <t>19916867.1272014</t>
  </si>
  <si>
    <t>1.1.2.1.1.2.1.26</t>
  </si>
  <si>
    <t>6.3.1.5.2.1.8.5</t>
  </si>
  <si>
    <t>Подготовка поверхности СКБ / стен / по штукатурке / 2мм</t>
  </si>
  <si>
    <t>2d82ee91-3b80-41a0-9d47-bde670b317cb</t>
  </si>
  <si>
    <t>235f7698-b192-4ccd-97e9-3a61b0165ad1</t>
  </si>
  <si>
    <t>1.1.2.1.1.2.1.26.1</t>
  </si>
  <si>
    <t>264030296.1272014</t>
  </si>
  <si>
    <t>19916866.1272014</t>
  </si>
  <si>
    <t>1.1.2.1.1.2.1.26.2</t>
  </si>
  <si>
    <t>264030296.18405</t>
  </si>
  <si>
    <t>19916866.18405</t>
  </si>
  <si>
    <t>1.1.2.1.1.2.1.26.3</t>
  </si>
  <si>
    <t>264030296.54634</t>
  </si>
  <si>
    <t>19916866.54634</t>
  </si>
  <si>
    <t>1.1.2.1.1.2.1.27</t>
  </si>
  <si>
    <t>1.1.2.1.1.2.1.27.1</t>
  </si>
  <si>
    <t>264030393.54634</t>
  </si>
  <si>
    <t>19916873.54634</t>
  </si>
  <si>
    <t>1.1.2.1.1.2.1.27.2</t>
  </si>
  <si>
    <t>264030393.1272014</t>
  </si>
  <si>
    <t>19916873.1272014</t>
  </si>
  <si>
    <t>1.1.2.1.1.2.1.28</t>
  </si>
  <si>
    <t>1.1.2.1.1.2.1.28.1</t>
  </si>
  <si>
    <t>264030394.1272014</t>
  </si>
  <si>
    <t>19916875.1272014</t>
  </si>
  <si>
    <t>1.1.2.1.1.2.1.28.2</t>
  </si>
  <si>
    <t>264030394.54634</t>
  </si>
  <si>
    <t>19916875.54634</t>
  </si>
  <si>
    <t>1.1.2.1.1.2.1.29</t>
  </si>
  <si>
    <t>1.1.2.1.1.2.1.29.1</t>
  </si>
  <si>
    <t>264030395.54634</t>
  </si>
  <si>
    <t>19916868.54634</t>
  </si>
  <si>
    <t>1.1.2.1.1.2.1.29.2</t>
  </si>
  <si>
    <t>264030395.18405</t>
  </si>
  <si>
    <t>19916868.18405</t>
  </si>
  <si>
    <t>1.1.2.1.1.2.1.29.3</t>
  </si>
  <si>
    <t>264030395.1272014</t>
  </si>
  <si>
    <t>19916868.1272014</t>
  </si>
  <si>
    <t>1.1.2.1.1.2.1.30</t>
  </si>
  <si>
    <t>1.1.2.1.1.2.1.30.1</t>
  </si>
  <si>
    <t>264030396.1272014</t>
  </si>
  <si>
    <t>19916878.1272014</t>
  </si>
  <si>
    <t>1.1.2.1.1.2.1.30.2</t>
  </si>
  <si>
    <t>264030396.54634</t>
  </si>
  <si>
    <t>19916878.54634</t>
  </si>
  <si>
    <t>1.1.2.1.1.2.1.31</t>
  </si>
  <si>
    <t>1.1.2.1.1.2.1.31.1</t>
  </si>
  <si>
    <t>264030397.54634</t>
  </si>
  <si>
    <t>19916871.54634</t>
  </si>
  <si>
    <t>1.1.2.1.1.2.1.31.2</t>
  </si>
  <si>
    <t>264030397.18405</t>
  </si>
  <si>
    <t>19916871.18405</t>
  </si>
  <si>
    <t>1.1.2.1.1.2.1.31.3</t>
  </si>
  <si>
    <t>264030397.1272014</t>
  </si>
  <si>
    <t>19916871.1272014</t>
  </si>
  <si>
    <t>1.1.2.1.1.2.1.32</t>
  </si>
  <si>
    <t>6.3.1.5.2.1.10.1</t>
  </si>
  <si>
    <t>Штукатурка стен цементным, цементно-песчаным раствором с предварительной огрунтовкой / толщ. до 20 мм / высотой до 4 метров</t>
  </si>
  <si>
    <t>e388f40d-4345-407c-81b7-1708677a4264</t>
  </si>
  <si>
    <t>717f7355-64c8-4161-814c-7a062cbe592c</t>
  </si>
  <si>
    <t>1.1.2.1.1.2.1.32.1</t>
  </si>
  <si>
    <t>Штукатурка цементная</t>
  </si>
  <si>
    <t>Штукатурка цементная STRUKTUR AKVATEK</t>
  </si>
  <si>
    <t>264030298.726518</t>
  </si>
  <si>
    <t>18538440.726518</t>
  </si>
  <si>
    <t>6340f993-804d-456a-a0be-3b2094bd37f9</t>
  </si>
  <si>
    <t>1.1.2.1.1.2.1.32.2</t>
  </si>
  <si>
    <t>Сетка штукатурная_ / сварная оцинкованная / 10х10х0,8</t>
  </si>
  <si>
    <t>264030298.719026</t>
  </si>
  <si>
    <t>18538440.719026</t>
  </si>
  <si>
    <t>fc1d6249-6483-4684-82e9-dc0d9d0b0e0d</t>
  </si>
  <si>
    <t>1.1.2.1.1.2.1.32.3</t>
  </si>
  <si>
    <t>Профиль маячковый_/ПМ6</t>
  </si>
  <si>
    <t>264030298.55029</t>
  </si>
  <si>
    <t>18538440.55029</t>
  </si>
  <si>
    <t>b3ba1810-316e-4118-90eb-ce29d5c83076</t>
  </si>
  <si>
    <t>1.1.2.1.1.2.1.32.4</t>
  </si>
  <si>
    <t>264030298.54633</t>
  </si>
  <si>
    <t>18538440.54633</t>
  </si>
  <si>
    <t>1.1.2.1.1.2.1.33</t>
  </si>
  <si>
    <t>6.3.1.5.2.1.10.2</t>
  </si>
  <si>
    <t>Штукатурка стен цементным, цементно-песчаным раствором с предварительной огрунтовкой / толщ. от 21 до 40 мм / высотой до 4 метров</t>
  </si>
  <si>
    <t>e4f57127-f115-40dc-b6d0-d9a56d151517</t>
  </si>
  <si>
    <t>acc164cf-7b33-4903-b102-0aeda99aeeb4</t>
  </si>
  <si>
    <t>1.1.2.1.1.2.1.33.1</t>
  </si>
  <si>
    <t>264030299.726518</t>
  </si>
  <si>
    <t>18538442.726518</t>
  </si>
  <si>
    <t>1.1.2.1.1.2.1.33.2</t>
  </si>
  <si>
    <t>264030299.719026</t>
  </si>
  <si>
    <t>18538442.719026</t>
  </si>
  <si>
    <t>1.1.2.1.1.2.1.33.3</t>
  </si>
  <si>
    <t>264030299.55029</t>
  </si>
  <si>
    <t>18538442.55029</t>
  </si>
  <si>
    <t>1.1.2.1.1.2.1.33.4</t>
  </si>
  <si>
    <t>264030299.54634</t>
  </si>
  <si>
    <t>18538442.54634</t>
  </si>
  <si>
    <t>1.1.2.1.1.2.1.34</t>
  </si>
  <si>
    <t>6.3.1.5.2.1.10.3</t>
  </si>
  <si>
    <t>Штукатурка стен цементным, цементно-песчаным раствором с предварительной огрунтовкой / толщ. от 41 до 60 мм / высотой до 4 метров</t>
  </si>
  <si>
    <t>f9abd9c1-4ba2-4f41-a233-12cca08a8f14</t>
  </si>
  <si>
    <t>65ef339a-c59a-4ac0-ae35-bbf4a3ce13da</t>
  </si>
  <si>
    <t>1.1.2.1.1.2.1.34.1</t>
  </si>
  <si>
    <t>264030300.726518</t>
  </si>
  <si>
    <t>18538439.726518</t>
  </si>
  <si>
    <t>1.1.2.1.1.2.1.34.2</t>
  </si>
  <si>
    <t>264030300.719026</t>
  </si>
  <si>
    <t>18538439.719026</t>
  </si>
  <si>
    <t>1.1.2.1.1.2.1.34.3</t>
  </si>
  <si>
    <t>264030300.55029</t>
  </si>
  <si>
    <t>18538439.55029</t>
  </si>
  <si>
    <t>1.1.2.1.1.2.1.34.4</t>
  </si>
  <si>
    <t>264030300.54633</t>
  </si>
  <si>
    <t>18538439.54633</t>
  </si>
  <si>
    <t>1.1.2.1.1.2.1.35</t>
  </si>
  <si>
    <t>6.3.1.5.2.1.10.4</t>
  </si>
  <si>
    <t>Штукатурка стен цементным, цементно-песчаным раствором с предварительной огрунтовкой / толщ. до 20 мм / высотой от 4,01 до 8 метров</t>
  </si>
  <si>
    <t>Леса применяются отдельной расценкой.</t>
  </si>
  <si>
    <t>56324057-bf2c-4551-8cad-64eee6a69934</t>
  </si>
  <si>
    <t>a8ad6d3b-7d53-43f4-a18f-4f0812fe8c74</t>
  </si>
  <si>
    <t>1.1.2.1.1.2.1.35.1</t>
  </si>
  <si>
    <t>264030301.726518</t>
  </si>
  <si>
    <t>18538441.726518</t>
  </si>
  <si>
    <t>1.1.2.1.1.2.1.35.2</t>
  </si>
  <si>
    <t>264030301.719026</t>
  </si>
  <si>
    <t>18538441.719026</t>
  </si>
  <si>
    <t>1.1.2.1.1.2.1.35.3</t>
  </si>
  <si>
    <t>264030301.55029</t>
  </si>
  <si>
    <t>18538441.55029</t>
  </si>
  <si>
    <t>1.1.2.1.1.2.1.35.4</t>
  </si>
  <si>
    <t>264030301.54633</t>
  </si>
  <si>
    <t>18538441.54633</t>
  </si>
  <si>
    <t>1.1.2.1.1.2.1.36</t>
  </si>
  <si>
    <t>6.3.1.5.2.1.10.5</t>
  </si>
  <si>
    <t>Штукатурка стен цементным, цементно-песчаным раствором с предварительной огрунтовкой / толщ. от 21 до 40 мм / высотой от 4,01 до 8 метров</t>
  </si>
  <si>
    <t>8bf6a8a2-6644-4f01-93be-2d8656ddd398</t>
  </si>
  <si>
    <t>021b202b-78b5-4d45-af3a-c2baaf384e72</t>
  </si>
  <si>
    <t>1.1.2.1.1.2.1.36.1</t>
  </si>
  <si>
    <t>264030302.726518</t>
  </si>
  <si>
    <t>18538438.726518</t>
  </si>
  <si>
    <t>1.1.2.1.1.2.1.36.2</t>
  </si>
  <si>
    <t>264030302.719026</t>
  </si>
  <si>
    <t>18538438.719026</t>
  </si>
  <si>
    <t>1.1.2.1.1.2.1.36.3</t>
  </si>
  <si>
    <t>264030302.55029</t>
  </si>
  <si>
    <t>18538438.55029</t>
  </si>
  <si>
    <t>1.1.2.1.1.2.1.36.4</t>
  </si>
  <si>
    <t>264030302.54634</t>
  </si>
  <si>
    <t>18538438.54634</t>
  </si>
  <si>
    <t>1.1.2.1.1.2.1.37</t>
  </si>
  <si>
    <t>6.3.1.5.2.1.10.6</t>
  </si>
  <si>
    <t>Штукатурка стен цементным, цементно-песчаным раствором с предварительной огрунтовкой / толщ. от 41 до 60 мм / высотой от 4,01 до 8 метров</t>
  </si>
  <si>
    <t>3a30428a-c52f-48df-83be-d855042bd764</t>
  </si>
  <si>
    <t>496b7d77-add8-4159-8613-3b3f4a836199</t>
  </si>
  <si>
    <t>1.1.2.1.1.2.1.37.1</t>
  </si>
  <si>
    <t>264030303.726518</t>
  </si>
  <si>
    <t>18539039.726518</t>
  </si>
  <si>
    <t>1.1.2.1.1.2.1.37.2</t>
  </si>
  <si>
    <t>264030303.719026</t>
  </si>
  <si>
    <t>18539039.719026</t>
  </si>
  <si>
    <t>1.1.2.1.1.2.1.37.3</t>
  </si>
  <si>
    <t>264030303.55029</t>
  </si>
  <si>
    <t>18539039.55029</t>
  </si>
  <si>
    <t>1.1.2.1.1.2.1.37.4</t>
  </si>
  <si>
    <t>264030303.54633</t>
  </si>
  <si>
    <t>18539039.54633</t>
  </si>
  <si>
    <t>1.1.2.1.1.2.1.38</t>
  </si>
  <si>
    <t>6.3.1.5.2.1.10.7</t>
  </si>
  <si>
    <t>Штукатурка стен цементным, цементно-песчаным раствором с предварительной огрунтовкой / толщ. до 20 мм / высотой свыше 8,01 метров</t>
  </si>
  <si>
    <t>40ad05de-5812-4313-8fb7-23c932a39730</t>
  </si>
  <si>
    <t>f0a929ee-8185-43cd-87e4-c1434fa279f8</t>
  </si>
  <si>
    <t>1.1.2.1.1.2.1.38.1</t>
  </si>
  <si>
    <t>264030304.726518</t>
  </si>
  <si>
    <t>18539040.726518</t>
  </si>
  <si>
    <t>1.1.2.1.1.2.1.38.2</t>
  </si>
  <si>
    <t>264030304.719026</t>
  </si>
  <si>
    <t>18539040.719026</t>
  </si>
  <si>
    <t>1.1.2.1.1.2.1.38.3</t>
  </si>
  <si>
    <t>264030304.55029</t>
  </si>
  <si>
    <t>18539040.55029</t>
  </si>
  <si>
    <t>1.1.2.1.1.2.1.38.4</t>
  </si>
  <si>
    <t>264030304.54633</t>
  </si>
  <si>
    <t>18539040.54633</t>
  </si>
  <si>
    <t>1.1.2.1.1.2.1.39</t>
  </si>
  <si>
    <t>6.3.1.5.2.1.10.8</t>
  </si>
  <si>
    <t>Штукатурка стен цементным, цементно-песчаным раствором с предварительной огрунтовкой / толщ. от 21 до 40 мм / высотой свыше 8,01 метров</t>
  </si>
  <si>
    <t>7f02f3da-e197-4d81-9a33-eaa236a4461f</t>
  </si>
  <si>
    <t>f2eebc4a-92bd-4780-9269-77a72177cc8a</t>
  </si>
  <si>
    <t>1.1.2.1.1.2.1.39.1</t>
  </si>
  <si>
    <t>264030305.726518</t>
  </si>
  <si>
    <t>18539041.726518</t>
  </si>
  <si>
    <t>1.1.2.1.1.2.1.39.2</t>
  </si>
  <si>
    <t>264030305.54634</t>
  </si>
  <si>
    <t>18539041.54634</t>
  </si>
  <si>
    <t>1.1.2.1.1.2.1.39.3</t>
  </si>
  <si>
    <t>264030305.719026</t>
  </si>
  <si>
    <t>18539041.719026</t>
  </si>
  <si>
    <t>1.1.2.1.1.2.1.39.4</t>
  </si>
  <si>
    <t>264030305.55029</t>
  </si>
  <si>
    <t>18539041.55029</t>
  </si>
  <si>
    <t>1.1.2.1.1.2.1.40</t>
  </si>
  <si>
    <t>6.3.1.5.2.1.10.9</t>
  </si>
  <si>
    <t>Штукатурка стен цементным, цементно-песчаным раствором с предварительной огрунтовкой / толщ. от 41 до 60 мм / высотой свыше 8,01 метров</t>
  </si>
  <si>
    <t>96e4bf03-e91e-4617-8479-5c66dad1d822</t>
  </si>
  <si>
    <t>fdbf247d-a496-43c6-aa28-5832e989b398</t>
  </si>
  <si>
    <t>1.1.2.1.1.2.1.40.1</t>
  </si>
  <si>
    <t>264030306.55029</t>
  </si>
  <si>
    <t>18539042.55029</t>
  </si>
  <si>
    <t>1.1.2.1.1.2.1.40.2</t>
  </si>
  <si>
    <t>264030306.54633</t>
  </si>
  <si>
    <t>18539042.54633</t>
  </si>
  <si>
    <t>1.1.2.1.1.2.1.40.3</t>
  </si>
  <si>
    <t>264030306.726518</t>
  </si>
  <si>
    <t>18539042.726518</t>
  </si>
  <si>
    <t>1.1.2.1.1.2.1.40.4</t>
  </si>
  <si>
    <t>264030306.719026</t>
  </si>
  <si>
    <t>18539042.719026</t>
  </si>
  <si>
    <t>1.1.2.1.1.2.2</t>
  </si>
  <si>
    <t>6.3.1.5.2.2</t>
  </si>
  <si>
    <t>Чистовые работы по поверхности стен</t>
  </si>
  <si>
    <t>1.1.2.1.1.2.2.1</t>
  </si>
  <si>
    <t>6.3.1.5.2.2.3.1</t>
  </si>
  <si>
    <t>Окраска поверхности стен с предварительной огрунтовкой / в 2 слоя</t>
  </si>
  <si>
    <t>пом. №1.030 и 2.037 спорт.залы</t>
  </si>
  <si>
    <t>4e3bc906-0db6-44b9-a51f-3faacce2570c</t>
  </si>
  <si>
    <t>06e17c10-70e2-43fc-bd7c-7ca0ad9465c8</t>
  </si>
  <si>
    <t>1.1.2.1.1.2.2.1.1</t>
  </si>
  <si>
    <t>264030309.1751832</t>
  </si>
  <si>
    <t>16076863.1751832</t>
  </si>
  <si>
    <t>1.1.2.1.1.2.2.1.2</t>
  </si>
  <si>
    <t>Краска водно-дисперсионная интерьерная Акриловая, моющаяся Глянцевая, матовая, Г1(КМ1), RAL 9003</t>
  </si>
  <si>
    <t>прим. по проекту Матовая водно-дисперсионная краска для высококачественной отделки Antega Строитель моющаяся, цвет - белый RAL 9003, КМ1</t>
  </si>
  <si>
    <t>264030309.44169</t>
  </si>
  <si>
    <t>16076863.44169</t>
  </si>
  <si>
    <t>433541a5-1fae-11e9-80e7-005056881952</t>
  </si>
  <si>
    <t>1.1.2.1.1.2.2.2</t>
  </si>
  <si>
    <t>6.3.1.5.2.2.8.1</t>
  </si>
  <si>
    <t>Лакокрасочные работы СКБ / окраска стен / в 2 слоя</t>
  </si>
  <si>
    <t>Остатки окраски стен пом. 1.030</t>
  </si>
  <si>
    <t>4c24ca93-b856-4913-a3fe-bc768660074c</t>
  </si>
  <si>
    <t>923030ab-0b8a-4717-9906-e76b6d6d03d6</t>
  </si>
  <si>
    <t>1.1.2.1.1.2.2.2.1</t>
  </si>
  <si>
    <t>Краска Текс  /  RAL9003 / ПРОФИ ПБ, КМ1 / 1 класс стойкости к мытью</t>
  </si>
  <si>
    <t>264030311.1275333</t>
  </si>
  <si>
    <t>19934100.1275333</t>
  </si>
  <si>
    <t>f3b2c950-8289-4ad1-97a1-935cd797eba2</t>
  </si>
  <si>
    <t>1.1.2.1.1.2.2.2.2</t>
  </si>
  <si>
    <t>264030311.54634</t>
  </si>
  <si>
    <t>19934100.54634</t>
  </si>
  <si>
    <t>1.1.2.1.1.2.2.3</t>
  </si>
  <si>
    <t>Окраска стен пом. 2.037 и 2.033</t>
  </si>
  <si>
    <t>1.1.2.1.1.2.2.3.1</t>
  </si>
  <si>
    <t>264030398.54634</t>
  </si>
  <si>
    <t>19934099.54634</t>
  </si>
  <si>
    <t>1.1.2.1.1.2.2.3.2</t>
  </si>
  <si>
    <t>264030398.1275333</t>
  </si>
  <si>
    <t>19934099.1275333</t>
  </si>
  <si>
    <t>1.1.2.1.1.2.2.4</t>
  </si>
  <si>
    <t>Окраска стен пом. 2.022 и 3.019</t>
  </si>
  <si>
    <t>1.1.2.1.1.2.2.4.1</t>
  </si>
  <si>
    <t>264030399.1275333</t>
  </si>
  <si>
    <t>19934098.1275333</t>
  </si>
  <si>
    <t>1.1.2.1.1.2.2.4.2</t>
  </si>
  <si>
    <t>264030399.54634</t>
  </si>
  <si>
    <t>19934098.54634</t>
  </si>
  <si>
    <t>1.1.2.1.1.2.2.5</t>
  </si>
  <si>
    <t>6.3.1.5.2.2.8.2</t>
  </si>
  <si>
    <t>Лакокрасочные работы СКБ / окраска потолков / в 2 слоя</t>
  </si>
  <si>
    <t>пом. 2.022, 3.019</t>
  </si>
  <si>
    <t>55dcd11a-c570-4894-be4e-3c3874402761</t>
  </si>
  <si>
    <t>b249bec2-6731-4ed1-8b9c-ec1880ca16fd</t>
  </si>
  <si>
    <t>1.1.2.1.1.2.2.5.1</t>
  </si>
  <si>
    <t>Краска акриловая интерьерная Для стен и потолков Влагостойкая Матовая Г1, расход 0,16-0,18 кг/м2, Белая</t>
  </si>
  <si>
    <t>264030312.711072</t>
  </si>
  <si>
    <t>19918753.711072</t>
  </si>
  <si>
    <t>178d0e74-bf32-11e9-80eb-005056881952</t>
  </si>
  <si>
    <t>1.1.2.1.1.2.2.5.2</t>
  </si>
  <si>
    <t>264030312.54634</t>
  </si>
  <si>
    <t>19918753.54634</t>
  </si>
  <si>
    <t>1.1.2.1.1.2.3</t>
  </si>
  <si>
    <t>6.3.1.5.2.3</t>
  </si>
  <si>
    <t>Устройство подоконников, оконных откосов</t>
  </si>
  <si>
    <t>1.1.2.1.1.2.3.1</t>
  </si>
  <si>
    <t>6.3.1.5.2.3.2.1</t>
  </si>
  <si>
    <t>Выравнивание поверхностей откосов толщ. до 5 мм с предварительной огрунтовкой поверхности</t>
  </si>
  <si>
    <t>Шпаклевка оконных откосов базовая в пом. 1.030</t>
  </si>
  <si>
    <t>1bd78791-ea55-4aed-83db-0bd34db05925</t>
  </si>
  <si>
    <t>f9b8ac25-8b08-4829-b5d2-9adcab5c69cb</t>
  </si>
  <si>
    <t>1.1.2.1.1.2.3.1.1</t>
  </si>
  <si>
    <t>264030315.1272014</t>
  </si>
  <si>
    <t>18541176.1272014</t>
  </si>
  <si>
    <t>1.1.2.1.1.2.3.1.2</t>
  </si>
  <si>
    <t>264030315.55026</t>
  </si>
  <si>
    <t>18541176.55026</t>
  </si>
  <si>
    <t>1.1.2.1.1.2.3.1.3</t>
  </si>
  <si>
    <t>264030315.54634</t>
  </si>
  <si>
    <t>18541176.54634</t>
  </si>
  <si>
    <t>1.1.2.1.1.2.3.2</t>
  </si>
  <si>
    <t>Шпаклевка оконных откосов финишная в пом. 1.030</t>
  </si>
  <si>
    <t>1.1.2.1.1.2.3.2.1</t>
  </si>
  <si>
    <t>264030400.54634</t>
  </si>
  <si>
    <t>18541177.54634</t>
  </si>
  <si>
    <t>1.1.2.1.1.2.3.2.2</t>
  </si>
  <si>
    <t>264030400.1272014</t>
  </si>
  <si>
    <t>18541177.1272014</t>
  </si>
  <si>
    <t>1.1.2.1.1.2.3.3</t>
  </si>
  <si>
    <t>Шпаклевка оконных откосов базовая в пом. 2.022</t>
  </si>
  <si>
    <t>1.1.2.1.1.2.3.3.1</t>
  </si>
  <si>
    <t>Шпаклевка базовая</t>
  </si>
  <si>
    <t>264030401.54621</t>
  </si>
  <si>
    <t>19923298.54621</t>
  </si>
  <si>
    <t>1.1.2.1.1.2.3.3.2</t>
  </si>
  <si>
    <t>264030401.18405</t>
  </si>
  <si>
    <t>19923298.18405</t>
  </si>
  <si>
    <t>1.1.2.1.1.2.3.3.3</t>
  </si>
  <si>
    <t>264030401.54634</t>
  </si>
  <si>
    <t>19923298.54634</t>
  </si>
  <si>
    <t>1.1.2.1.1.2.3.4</t>
  </si>
  <si>
    <t>Шпаклевка оконных откосов финишная в пом. 2.022</t>
  </si>
  <si>
    <t>1.1.2.1.1.2.3.4.1</t>
  </si>
  <si>
    <t>264030402.54634</t>
  </si>
  <si>
    <t>19923299.54634</t>
  </si>
  <si>
    <t>1.1.2.1.1.2.3.4.2</t>
  </si>
  <si>
    <t>264030402.54621</t>
  </si>
  <si>
    <t>19923299.54621</t>
  </si>
  <si>
    <t>1.1.2.1.1.2.3.5</t>
  </si>
  <si>
    <t>Шпаклевка оконных откосов финишная в пом. 2.037</t>
  </si>
  <si>
    <t>1.1.2.1.1.2.3.5.1</t>
  </si>
  <si>
    <t>264030403.1272014</t>
  </si>
  <si>
    <t>19934299.1272014</t>
  </si>
  <si>
    <t>1.1.2.1.1.2.3.5.2</t>
  </si>
  <si>
    <t>264030403.54634</t>
  </si>
  <si>
    <t>19934299.54634</t>
  </si>
  <si>
    <t>1.1.2.1.1.2.3.6</t>
  </si>
  <si>
    <t>Шпаклевка оконных откосов базовая в пом. 2.037</t>
  </si>
  <si>
    <t>1.1.2.1.1.2.3.6.1</t>
  </si>
  <si>
    <t>264030404.54634</t>
  </si>
  <si>
    <t>19934297.54634</t>
  </si>
  <si>
    <t>1.1.2.1.1.2.3.6.2</t>
  </si>
  <si>
    <t>264030404.18405</t>
  </si>
  <si>
    <t>19934297.18405</t>
  </si>
  <si>
    <t>1.1.2.1.1.2.3.6.3</t>
  </si>
  <si>
    <t>264030404.1272014</t>
  </si>
  <si>
    <t>19934297.1272014</t>
  </si>
  <si>
    <t>1.1.2.1.1.2.3.7</t>
  </si>
  <si>
    <t>6.3.1.5.2.3.3.1</t>
  </si>
  <si>
    <t>Окраска поверхности откосов с предварительной огрунтовкой поверхности / в 2 слоя</t>
  </si>
  <si>
    <t>Окраска оконных откосов в пом. 1.030</t>
  </si>
  <si>
    <t>a655afc0-8bbc-486f-8672-9267401735db</t>
  </si>
  <si>
    <t>da736aa2-72e0-488c-9852-5241239c0b93</t>
  </si>
  <si>
    <t>1.1.2.1.1.2.3.7.1</t>
  </si>
  <si>
    <t>Краска для влажных помещений Стройтекс_/белая гл/мат</t>
  </si>
  <si>
    <t>264030317.54741</t>
  </si>
  <si>
    <t>18541174.54741</t>
  </si>
  <si>
    <t>e4679dfc-c6ea-40ee-9f7b-e85a85b0c443</t>
  </si>
  <si>
    <t>1.1.2.1.1.2.3.7.2</t>
  </si>
  <si>
    <t>264030317.54634</t>
  </si>
  <si>
    <t>18541174.54634</t>
  </si>
  <si>
    <t>1.1.2.1.1.2.3.8</t>
  </si>
  <si>
    <t>Окраска оконных откосов из ГЛВ в пом. 2.022</t>
  </si>
  <si>
    <t>1.1.2.1.1.2.3.8.1</t>
  </si>
  <si>
    <t>264030405.54634</t>
  </si>
  <si>
    <t>19919222.54634</t>
  </si>
  <si>
    <t>1.1.2.1.1.2.3.8.2</t>
  </si>
  <si>
    <t>264030405.54741</t>
  </si>
  <si>
    <t>19919222.54741</t>
  </si>
  <si>
    <t>1.1.2.1.1.2.3.9</t>
  </si>
  <si>
    <t>Окраска оконных откосов из ГЛВ в пом. 2.037</t>
  </si>
  <si>
    <t>1.1.2.1.1.2.3.9.1</t>
  </si>
  <si>
    <t>264030406.54741</t>
  </si>
  <si>
    <t>19919224.54741</t>
  </si>
  <si>
    <t>1.1.2.1.1.2.3.9.2</t>
  </si>
  <si>
    <t>264030406.54634</t>
  </si>
  <si>
    <t>19919224.54634</t>
  </si>
  <si>
    <t>1.1.2.1.1.2.3.10</t>
  </si>
  <si>
    <t>6.3.1.5.2.3.6.1</t>
  </si>
  <si>
    <t>Устройство подоконника из ГВЛВ / в 1 слой</t>
  </si>
  <si>
    <t>Устройство оконных откосов из ГЛВ в пом. 1.030</t>
  </si>
  <si>
    <t>2e4eb505-83a0-4ba2-8f31-865dbb0628ca</t>
  </si>
  <si>
    <t>40436b9b-09d5-41f1-a842-790a913c048d</t>
  </si>
  <si>
    <t>1.1.2.1.1.2.3.10.1</t>
  </si>
  <si>
    <t>Прочие материалы для облицовки стен из ГКЛ (лента, шпатлевка, грунтовка, шуруп, дюбель и пр.)_ / 1 слой ГВЛ / профиль ПН/ПС 75 мм</t>
  </si>
  <si>
    <t>264030319.1571306</t>
  </si>
  <si>
    <t>18541175.1571306</t>
  </si>
  <si>
    <t>a9193943-05db-4cac-a3cf-d52591fdb348</t>
  </si>
  <si>
    <t>1.1.2.1.1.2.3.10.2</t>
  </si>
  <si>
    <t>264030319.54570</t>
  </si>
  <si>
    <t>18541175.54570</t>
  </si>
  <si>
    <t>1.1.2.1.1.2.3.10.3</t>
  </si>
  <si>
    <t>Лист гипсоволокнистый ГВЛВ 12,5мм Г1</t>
  </si>
  <si>
    <t>264030319.7352</t>
  </si>
  <si>
    <t>18541175.7352</t>
  </si>
  <si>
    <t>22b5ef4c-0665-11e8-80d9-005056881952</t>
  </si>
  <si>
    <t>1.1.2.1.1.2.3.11</t>
  </si>
  <si>
    <t>Устройство оконных откосов из ГЛВ в пом. 2.022</t>
  </si>
  <si>
    <t>1.1.2.1.1.2.3.11.1</t>
  </si>
  <si>
    <t>Угол пластиковый_/10*15*2,5м</t>
  </si>
  <si>
    <t>264030407.55028</t>
  </si>
  <si>
    <t>19918751.55028</t>
  </si>
  <si>
    <t>551cb54d-a4ff-4e4c-b8c8-5ee9eaa28821</t>
  </si>
  <si>
    <t>1.1.2.1.1.2.3.11.2</t>
  </si>
  <si>
    <t>264030407.7352</t>
  </si>
  <si>
    <t>19918751.7352</t>
  </si>
  <si>
    <t>1.1.2.1.1.2.3.11.3</t>
  </si>
  <si>
    <t>Профиль_/стоечный/50*50*0,40/3м</t>
  </si>
  <si>
    <t>264030407.54564</t>
  </si>
  <si>
    <t>19918751.54564</t>
  </si>
  <si>
    <t>4e067b05-ad0d-4585-9beb-bdfb968030c2</t>
  </si>
  <si>
    <t>1.1.2.1.1.2.3.11.4</t>
  </si>
  <si>
    <t>264030407.1571306</t>
  </si>
  <si>
    <t>19918751.1571306</t>
  </si>
  <si>
    <t>1.1.2.1.1.2.3.12</t>
  </si>
  <si>
    <t>6.3.1.5.2.3.9.1</t>
  </si>
  <si>
    <t>Зашивка приборов отопления / ГВЛВ / в 1 слой на каркасе</t>
  </si>
  <si>
    <t>Устройство дымозащитного ограждения в пом. 2.022</t>
  </si>
  <si>
    <t>b7675009-5c31-40f5-bb35-e4c17c31972a</t>
  </si>
  <si>
    <t>d39ac62b-c48c-41cf-b101-941ac02c6231</t>
  </si>
  <si>
    <t>1.1.2.1.1.2.3.12.1</t>
  </si>
  <si>
    <t>264030321.55028</t>
  </si>
  <si>
    <t>19917608.55028</t>
  </si>
  <si>
    <t>1.1.2.1.1.2.3.12.2</t>
  </si>
  <si>
    <t>264030321.54566</t>
  </si>
  <si>
    <t>19917608.54566</t>
  </si>
  <si>
    <t>1.1.2.1.1.2.3.12.3</t>
  </si>
  <si>
    <t>Плита Кнауф Файерборд_ / 2500х1200х12.5 м</t>
  </si>
  <si>
    <t>264030321.1523192</t>
  </si>
  <si>
    <t>19917608.1523192</t>
  </si>
  <si>
    <t>1a9d2c61-823f-4235-b198-e9701dbd754e</t>
  </si>
  <si>
    <t>1.1.2.1.1.3</t>
  </si>
  <si>
    <t>6.3.1.5.3</t>
  </si>
  <si>
    <t>Потолки</t>
  </si>
  <si>
    <t>1.1.2.1.1.3.1</t>
  </si>
  <si>
    <t>6.3.1.5.3.1</t>
  </si>
  <si>
    <t>Черновые работы по поверхности потолков</t>
  </si>
  <si>
    <t>1.1.2.1.1.3.1.1</t>
  </si>
  <si>
    <t>6.3.1.5.3.1.6.1</t>
  </si>
  <si>
    <t>спорт залы №1.030 и 2.037</t>
  </si>
  <si>
    <t>d89f0cdd-97a2-4d68-95d2-a137bc57c6ad</t>
  </si>
  <si>
    <t>1.1.2.1.1.3.1.1._</t>
  </si>
  <si>
    <t>1.1.2.1.1.3.1.1.1</t>
  </si>
  <si>
    <t>264030325.1272014</t>
  </si>
  <si>
    <t>16077787.1272014</t>
  </si>
  <si>
    <t>1.1.2.1.1.3.1.1.1._</t>
  </si>
  <si>
    <t>204236308.1272014</t>
  </si>
  <si>
    <t>1.1.2.1.1.3.1.1.2</t>
  </si>
  <si>
    <t>прим. грунтовка глуб. проникновения</t>
  </si>
  <si>
    <t>264030325.54633</t>
  </si>
  <si>
    <t>16077787.54633</t>
  </si>
  <si>
    <t>1.1.2.1.1.3.1.1.2._</t>
  </si>
  <si>
    <t>204236308.54633</t>
  </si>
  <si>
    <t>1.1.2.1.1.3.1.2</t>
  </si>
  <si>
    <t>1.1.2.1.1.3.1.2._</t>
  </si>
  <si>
    <t>1.1.2.1.1.3.1.2.1</t>
  </si>
  <si>
    <t>264030408.54634</t>
  </si>
  <si>
    <t>16077788.54634</t>
  </si>
  <si>
    <t>1.1.2.1.1.3.1.2.1._</t>
  </si>
  <si>
    <t>204236312.54634</t>
  </si>
  <si>
    <t>1.1.2.1.1.3.1.2.2</t>
  </si>
  <si>
    <t>264030408.1276350</t>
  </si>
  <si>
    <t>16077788.1276350</t>
  </si>
  <si>
    <t>1.1.2.1.1.3.1.2.2._</t>
  </si>
  <si>
    <t>204236312.1276350</t>
  </si>
  <si>
    <t>1.1.2.1.1.3.1.3</t>
  </si>
  <si>
    <t>1.1.2.1.1.3.1.3._</t>
  </si>
  <si>
    <t>1.1.2.1.1.3.1.3.1</t>
  </si>
  <si>
    <t>264030409.54623</t>
  </si>
  <si>
    <t>16077789.54623</t>
  </si>
  <si>
    <t>1.1.2.1.1.3.1.3.1._</t>
  </si>
  <si>
    <t>204236313.54623</t>
  </si>
  <si>
    <t>1.1.2.1.1.3.1.3.2</t>
  </si>
  <si>
    <t>264030409.54634</t>
  </si>
  <si>
    <t>16077789.54634</t>
  </si>
  <si>
    <t>1.1.2.1.1.3.1.3.2._</t>
  </si>
  <si>
    <t>204236313.54634</t>
  </si>
  <si>
    <t>1.1.2.1.1.3.1.4</t>
  </si>
  <si>
    <t>пом № 2.058</t>
  </si>
  <si>
    <t>1.1.2.1.1.3.1.4._</t>
  </si>
  <si>
    <t>1.1.2.1.1.3.1.4.1</t>
  </si>
  <si>
    <t>264030410.54633</t>
  </si>
  <si>
    <t>16082313.54633</t>
  </si>
  <si>
    <t>1.1.2.1.1.3.1.4.1._</t>
  </si>
  <si>
    <t>204395697.54633</t>
  </si>
  <si>
    <t>1.1.2.1.1.3.1.4.2</t>
  </si>
  <si>
    <t>264030410.54622</t>
  </si>
  <si>
    <t>16082313.54622</t>
  </si>
  <si>
    <t>c5ed9089-be55-4be8-8db3-0f286a2dbba5</t>
  </si>
  <si>
    <t>1.1.2.1.1.3.1.4.2._</t>
  </si>
  <si>
    <t>204395697.54622</t>
  </si>
  <si>
    <t>1.1.2.1.1.3.1.5</t>
  </si>
  <si>
    <t>1.1.2.1.1.3.1.5._</t>
  </si>
  <si>
    <t>1.1.2.1.1.3.1.5.1</t>
  </si>
  <si>
    <t>264030411.1272014</t>
  </si>
  <si>
    <t>16087382.1272014</t>
  </si>
  <si>
    <t>1.1.2.1.1.3.1.5.1._</t>
  </si>
  <si>
    <t>204418616.1272014</t>
  </si>
  <si>
    <t>1.1.2.1.1.3.1.5.2</t>
  </si>
  <si>
    <t>264030411.54633</t>
  </si>
  <si>
    <t>16087382.54633</t>
  </si>
  <si>
    <t>1.1.2.1.1.3.1.5.2._</t>
  </si>
  <si>
    <t>204418616.54633</t>
  </si>
  <si>
    <t>1.1.2.1.1.3.1.6</t>
  </si>
  <si>
    <t>1.1.2.1.1.3.1.6._</t>
  </si>
  <si>
    <t>1.1.2.1.1.3.1.6.1</t>
  </si>
  <si>
    <t>264030412.54634</t>
  </si>
  <si>
    <t>16087383.54634</t>
  </si>
  <si>
    <t>1.1.2.1.1.3.1.6.1._</t>
  </si>
  <si>
    <t>204418617.54634</t>
  </si>
  <si>
    <t>1.1.2.1.1.3.1.6.2</t>
  </si>
  <si>
    <t>264030412.1276350</t>
  </si>
  <si>
    <t>16087383.1276350</t>
  </si>
  <si>
    <t>1.1.2.1.1.3.1.6.2._</t>
  </si>
  <si>
    <t>204418617.1276350</t>
  </si>
  <si>
    <t>1.1.2.1.1.3.1.7</t>
  </si>
  <si>
    <t>1.1.2.1.1.3.1.7._</t>
  </si>
  <si>
    <t>1.1.2.1.1.3.1.7.1</t>
  </si>
  <si>
    <t>264030413.54623</t>
  </si>
  <si>
    <t>16087384.54623</t>
  </si>
  <si>
    <t>1.1.2.1.1.3.1.7.1._</t>
  </si>
  <si>
    <t>204418618.54623</t>
  </si>
  <si>
    <t>1.1.2.1.1.3.1.7.2</t>
  </si>
  <si>
    <t>264030413.54634</t>
  </si>
  <si>
    <t>16087384.54634</t>
  </si>
  <si>
    <t>1.1.2.1.1.3.1.7.2._</t>
  </si>
  <si>
    <t>204418618.54634</t>
  </si>
  <si>
    <t>1.1.2.1.1.3.2</t>
  </si>
  <si>
    <t>6.3.1.5.3.2</t>
  </si>
  <si>
    <t>Чистовые работы по поверхности потолков</t>
  </si>
  <si>
    <t>1.1.2.1.1.3.2.1</t>
  </si>
  <si>
    <t>6.3.1.5.3.2.1.1</t>
  </si>
  <si>
    <t>Окраска поверхностей потолков с предварительной огрунтовкой поверхностей / в 2 слоя</t>
  </si>
  <si>
    <t>ПТ-2.2 (спорт залы №1.030, 2.037 и галерея, 2.058)</t>
  </si>
  <si>
    <t>478a6ca3-0d25-4222-a9b0-4491b9343f07</t>
  </si>
  <si>
    <t>e8137cae-2b7d-4e33-9b8f-0ac63510ca78</t>
  </si>
  <si>
    <t>1.1.2.1.1.3.2.1._</t>
  </si>
  <si>
    <t>1.1.2.1.1.3.2.1.1</t>
  </si>
  <si>
    <t>Краска негорючая моющаяся Protect Decor_ / RAL 9003</t>
  </si>
  <si>
    <t>применительно огнестойкая Antega Строитель НГ, окраска по
подготовленной бетонной поверхности, цвет - белый RAL
9003, КМ0</t>
  </si>
  <si>
    <t>264030328.758336</t>
  </si>
  <si>
    <t>16082938.758336</t>
  </si>
  <si>
    <t>892d9f8d-ffaf-4ce8-87d2-2326a6c94834</t>
  </si>
  <si>
    <t>1.1.2.1.1.3.2.1.1._</t>
  </si>
  <si>
    <t>204395683.758336</t>
  </si>
  <si>
    <t>1.1.2.1.1.3.2.1.2</t>
  </si>
  <si>
    <t>264030328.54634</t>
  </si>
  <si>
    <t>16082938.54634</t>
  </si>
  <si>
    <t>1.1.2.1.1.3.2.1.2._</t>
  </si>
  <si>
    <t>204395683.54634</t>
  </si>
  <si>
    <t>1.1.2.1.1.3.2.2</t>
  </si>
  <si>
    <t>1.1.2.1.1.3.2.2._</t>
  </si>
  <si>
    <t>1.1.2.1.1.3.2.2.1</t>
  </si>
  <si>
    <t>264030414.54634</t>
  </si>
  <si>
    <t>16088066.54634</t>
  </si>
  <si>
    <t>1.1.2.1.1.3.2.2.1._</t>
  </si>
  <si>
    <t>204426457.54634</t>
  </si>
  <si>
    <t>1.1.2.1.1.3.2.2.2</t>
  </si>
  <si>
    <t>прим огнестойкая Antega Строитель НГ, окраска по
подготовленной бетонной поверхности, цвет - белый RAL
9003, КМ0</t>
  </si>
  <si>
    <t>264030414.758336</t>
  </si>
  <si>
    <t>16088066.758336</t>
  </si>
  <si>
    <t>1.1.2.1.1.3.2.2.2._</t>
  </si>
  <si>
    <t>204426457.758336</t>
  </si>
  <si>
    <t>1.1.2.1.1.3.2.3</t>
  </si>
  <si>
    <t>1.1.2.1.1.3.2.3.1</t>
  </si>
  <si>
    <t>Краска негорючая моющаяся Protect Decor_ / NCS-S 0570-Y</t>
  </si>
  <si>
    <t>Окраска матовой водно-дисперсионной краской для высококачественной отделки Antega Строитель (моющаяся) окраска по подготовленной бетонной поверхности, цвет серый шелк RAL 7044, КМ1</t>
  </si>
  <si>
    <t>264030415.1276375</t>
  </si>
  <si>
    <t>19923616.1276375</t>
  </si>
  <si>
    <t>ea693696-7b5c-424a-8d11-8a55461b6431</t>
  </si>
  <si>
    <t>1.1.2.1.1.3.2.3.2</t>
  </si>
  <si>
    <t>264030415.54634</t>
  </si>
  <si>
    <t>19923616.54634</t>
  </si>
  <si>
    <t>1.1.2.1.1.4</t>
  </si>
  <si>
    <t>6.3.1.5.4</t>
  </si>
  <si>
    <t>Монтаж потолочных конструкций</t>
  </si>
  <si>
    <t>1.1.2.1.1.4.1</t>
  </si>
  <si>
    <t>6.3.1.5.4.1.2</t>
  </si>
  <si>
    <t>Монтаж подвесного потолка / типа Армстронг, Грильято</t>
  </si>
  <si>
    <t>пом. 1.032</t>
  </si>
  <si>
    <t>2666ca34-b663-41c7-b8b7-caa2f71855b8</t>
  </si>
  <si>
    <t>fd6369e7-760a-4bf3-8c56-a6af236cf5cf</t>
  </si>
  <si>
    <t>1.1.2.1.1.4.1.1</t>
  </si>
  <si>
    <t xml:space="preserve">Кассетный металический потолок  </t>
  </si>
  <si>
    <t>Кассетный металлический потолок Albes TEGULAR 600х600х15 мм, кассета AP600A6/90 ̊-Т-15, цвет - белый RAL 9003, КМ1</t>
  </si>
  <si>
    <t>264030331.847703</t>
  </si>
  <si>
    <t>16083552.847703</t>
  </si>
  <si>
    <t>58e7c86f-477b-47b9-985f-0a528b32f78c</t>
  </si>
  <si>
    <t>1.1.2.1.1.4.2</t>
  </si>
  <si>
    <t>1.1.2.1.1.4.2.1</t>
  </si>
  <si>
    <t>264030416.847703</t>
  </si>
  <si>
    <t>16083553.847703</t>
  </si>
  <si>
    <t>1.1.2.1.1.4.3</t>
  </si>
  <si>
    <t>6.3.1.5.4.1.6</t>
  </si>
  <si>
    <t>Монтаж подвесного потолка / из акустических древесных плит</t>
  </si>
  <si>
    <t>№2.058</t>
  </si>
  <si>
    <t>02ccbed5-7053-493a-986b-1937e518bff9</t>
  </si>
  <si>
    <t>302f0025-952c-42f6-81ea-971ddd08be3f</t>
  </si>
  <si>
    <t>1.1.2.1.1.4.3._</t>
  </si>
  <si>
    <t>1.1.2.1.1.4.3.1</t>
  </si>
  <si>
    <t>Плита древесноволокнистая ДВП s=25мм SoundBoard SuperFine</t>
  </si>
  <si>
    <t>Акустические подвесные панели из менерального
стекловолокна горизонтальные Техносоло НГ 1200х1200 мм,
цвет - белый, КМ1, с окраской запотолочного пространства
цвет - белый RAL 9003, КМ0</t>
  </si>
  <si>
    <t>264030332.1747145</t>
  </si>
  <si>
    <t>16084347.1747145</t>
  </si>
  <si>
    <t>f39a5928-311f-11ee-9904-d1661ac0bb93</t>
  </si>
  <si>
    <t>1.1.2.1.1.4.3.1._</t>
  </si>
  <si>
    <t>204395698.1747145</t>
  </si>
  <si>
    <t>1.1.2.1.1.4.4</t>
  </si>
  <si>
    <t>6.3.1.5.4.2.1</t>
  </si>
  <si>
    <t>Надбавка за монтаж подвесного потолка при высоте более 3,2 м, включая использование лесов и подмостей</t>
  </si>
  <si>
    <t>11bf38a8-1e54-4d46-8d49-39254e318eaa</t>
  </si>
  <si>
    <t>9ed057e5-7f60-48cb-ae6a-bf5b2768c125</t>
  </si>
  <si>
    <t>1.2</t>
  </si>
  <si>
    <t>12</t>
  </si>
  <si>
    <t>Дополнительные работы, неучтенные основным проектом</t>
  </si>
  <si>
    <t>1.2.1</t>
  </si>
  <si>
    <t>12.1</t>
  </si>
  <si>
    <t>Дополнительные работы, неучтенные основным проектом (невозмещаемые)</t>
  </si>
  <si>
    <t>1.2.1.1</t>
  </si>
  <si>
    <t>12.1.6</t>
  </si>
  <si>
    <t>1.2.1.1.1</t>
  </si>
  <si>
    <t>12.1.6.5</t>
  </si>
  <si>
    <t>Уборка и вывоз мусора</t>
  </si>
  <si>
    <t>1.2.1.1.1.1</t>
  </si>
  <si>
    <t>12.1.6.5.1.1</t>
  </si>
  <si>
    <t>Уборка мусора с погрузкой в контейнеры, тн</t>
  </si>
  <si>
    <t>d8cc47b3-c930-43f5-9350-96ce511b7c92</t>
  </si>
  <si>
    <t>83eb97c3-7fa6-485c-8a5e-66643301f7f9</t>
  </si>
  <si>
    <t>43208d3c-f276-4d19-80eb-e1ae8df17cbf</t>
  </si>
  <si>
    <t>1.2.1.2</t>
  </si>
  <si>
    <t>12.1.21</t>
  </si>
  <si>
    <t>Отделка МОП</t>
  </si>
  <si>
    <t>1.2.1.2.1</t>
  </si>
  <si>
    <t>12.1.21.1</t>
  </si>
  <si>
    <t>МОП 1-й этаж</t>
  </si>
  <si>
    <t>1.2.1.2.1.1</t>
  </si>
  <si>
    <t>12.1.21.1.8</t>
  </si>
  <si>
    <t>Демонтажные работы</t>
  </si>
  <si>
    <t>1.2.1.2.1.1.1</t>
  </si>
  <si>
    <t>12.1.21.1.8.8.1</t>
  </si>
  <si>
    <t>Демонтаж полусухой стяжки</t>
  </si>
  <si>
    <t>пом. 2.037</t>
  </si>
  <si>
    <t>eedde40a-97e1-4bee-a01e-35698a9d26d4</t>
  </si>
  <si>
    <t>ae703eb1-ffd1-4dba-87ca-45e90eb3672f</t>
  </si>
  <si>
    <t>1.2.1.3</t>
  </si>
  <si>
    <t>12.1.23</t>
  </si>
  <si>
    <t>1.2.1.3.1</t>
  </si>
  <si>
    <t>12.1.23.1</t>
  </si>
  <si>
    <t>1.2.1.3.1.1</t>
  </si>
  <si>
    <t>12.1.23.1.14.1</t>
  </si>
  <si>
    <t>Шлифование бетонных поверхностей (шлифовка -снятие наплывов и швов, снятие цементного молочка) / пол</t>
  </si>
  <si>
    <t>пом. 1.030, 2.037. 
Шлифовка и обеспыливание пылесосом поверхности стяжки.</t>
  </si>
  <si>
    <t>56aa97f0-94e1-4c5b-8a19-7ddf13703e44</t>
  </si>
  <si>
    <t>1f9977c0-99b4-4af1-817a-f14bb0cf04e9</t>
  </si>
  <si>
    <t>1.2.1.3.1.2</t>
  </si>
  <si>
    <t>пом. 1.030, 2.037. 
Шлифовка и обеспыливание пылесосом поверхности наливного пола.</t>
  </si>
  <si>
    <t>1.2.1.3.2</t>
  </si>
  <si>
    <t>12.1.23.10</t>
  </si>
  <si>
    <t>Прочие работы</t>
  </si>
  <si>
    <t>1.2.1.3.2.1</t>
  </si>
  <si>
    <t>12.1.23.10.3.1</t>
  </si>
  <si>
    <t>Защитные мероприятия по защите пола от повреждений ( доска ДВП)</t>
  </si>
  <si>
    <t>пом. 1.030, пом. 2.037 укладка ДВП в 2 слоя</t>
  </si>
  <si>
    <t>95c5e766-de29-4bb5-a9a9-52d479ca5b32</t>
  </si>
  <si>
    <t>c0f03fff-6200-4ebd-a56d-5993b9403c6c</t>
  </si>
  <si>
    <t>1.2.1.3.2.1.1</t>
  </si>
  <si>
    <t>Плита древесноволокнистая в размер ДВП 3,2х900х2140мм</t>
  </si>
  <si>
    <t>264030352.1522697</t>
  </si>
  <si>
    <t>19907757.1522697</t>
  </si>
  <si>
    <t>0063defd-dd69-11ea-80f1-005056881952</t>
  </si>
  <si>
    <t>1.2.1.3.2.1.2</t>
  </si>
  <si>
    <t>Скотч_/простой 45 мк /48*66</t>
  </si>
  <si>
    <t>264030352.55037</t>
  </si>
  <si>
    <t>19907757.55037</t>
  </si>
  <si>
    <t>c5619190-0b68-48b4-b606-e97c5df4871f</t>
  </si>
  <si>
    <t>1.2.1.3.2.1.3</t>
  </si>
  <si>
    <t>Пленка пароизоляционная 200г/м2, Полиэтилен</t>
  </si>
  <si>
    <t>264030352.31278</t>
  </si>
  <si>
    <t>19907757.31278</t>
  </si>
  <si>
    <t>ff7a0832-e64f-11e8-80e6-005056881952</t>
  </si>
  <si>
    <t>1.2.1.4</t>
  </si>
  <si>
    <t>12.1.36</t>
  </si>
  <si>
    <t>Отделка кладовых</t>
  </si>
  <si>
    <t>1.2.1.4.1</t>
  </si>
  <si>
    <t>12.1.36.99</t>
  </si>
  <si>
    <t>1.2.1.4.1.1</t>
  </si>
  <si>
    <t>12.1.36.99.3.1</t>
  </si>
  <si>
    <t>пом. 1.030, 2.037</t>
  </si>
  <si>
    <t>5f4d94bb-d67e-4f67-9326-2a06afb55195</t>
  </si>
  <si>
    <t>1.2.1.4.1.1.1</t>
  </si>
  <si>
    <t>Укладка ДВП в 2 слоя</t>
  </si>
  <si>
    <t>264030356.1522697</t>
  </si>
  <si>
    <t>19925871.1522697</t>
  </si>
  <si>
    <t>1.2.1.4.1.1.2</t>
  </si>
  <si>
    <t>264030356.55037</t>
  </si>
  <si>
    <t>19925871.55037</t>
  </si>
  <si>
    <t>1.2.1.4.1.1.3</t>
  </si>
  <si>
    <t>264030356.31278</t>
  </si>
  <si>
    <t>19925871.31278</t>
  </si>
  <si>
    <t>1.2.1.5</t>
  </si>
  <si>
    <t>12.1.99</t>
  </si>
  <si>
    <t>1.2.1.5.1</t>
  </si>
  <si>
    <t>12.1.99.9.3</t>
  </si>
  <si>
    <t>Вывоз мусора контейнером / 27 м3</t>
  </si>
  <si>
    <t>4c460a68-ad51-4679-bb08-41fa918ec098</t>
  </si>
  <si>
    <t>14ee892c-eb42-48f2-85ca-dd171dbe33b9</t>
  </si>
  <si>
    <t>1.2.1.5.2</t>
  </si>
  <si>
    <t>12.1.99.10.1</t>
  </si>
  <si>
    <t>da23f5f4-faf5-4dd1-97a7-e7609ceb23af</t>
  </si>
  <si>
    <t>Общая стоимость работ, руб. с НДС</t>
  </si>
  <si>
    <t>eF7s/XtzHMeV5w+/lY6J2AgbQPXWLeuiiP2DhCBM0wS6iereeWaHE44G0NifYi3Zjyzvzu7GRIi6+LLyWvJ19OhimZq9/bO/oCjSokiKegvVb2FeyZNZXdUgGplZ55yuk40Z2zOEQAAkz+dk1TnfzDwn87/+xev/+Qezv3jhL16Z/uAvdv7iP06/96PZuPrKqz/63vd2/mL2dyez7y2+8Bc/bH5Afv5fb//FyfdfeeX7r97+ixf+Rv5G/S3y0/Ov7tw+/8tu13/b7fO/rvrZH57/WPX78h/Lx+W98svy3vzN+c975dfVb+7Lj1+Xj8qHvfLZ/I3yi/q36qd+LP/7qPct9YO98vPySfWtx8af/Hb17518//uvnb786vT1xT96Lai+Ovvh6y+/Ir929P3/NDh9zuBXX3/59f+8/6OXm6/9/c5F2lfPXv73NNr/evu2/Jv+ww++K//u28s/JD97+YffPZOfV198/bUfzaov/qeXX/9/vvsfp69f/OoPXnv5ZPbdyhz1dfXhJD4R09k08I7FyakXBLPMy/yZ8Hxf+CLJsiAXofq56s831I0NIojCyI8vfu8/zl774cvff7X5mSRNk6D+GWX+2fdfe+USw9nL3/ved1+bqadh9urp7PS7laU/XFr/97qheHGdoZAPMG0cdJa8tI4lP3z53xNfAJ0pe+uYstbb+Fn52/J/lp+UH5Qflr/31IfyY/l/vy3/UP5v+fFu9ZXf9spP5Rd+W/6m/Ej+9nfyM/Unfivfys/kD3yqf+fCFybhprC+6PckxbP5HRkpZGzZ6ZW/Kp/J2PFM/v5ZFUOeVt97JuPI/Kf9HQUovycDyrPyfvMd+dX75ZN+Lw3kI/2vg1j+/q7E/z+9YKeXCb9XPi0fzu/M39TSRy9Mok3R352/Ke1/JO17puyb/3ynN3+rCbsyXMpQOn9PwvXKbyTxw/JB5Zk/ys9UKH1UcT8un8x/Mf+J/PmH8zfVz0qvPCw/r/6c+lRF7ofyT30+f0d+fKD+tfm76suLyP5G9fHd3iJs35ff+qZy/Nf1PyJ/sPnCMxnEn/Uqlz+VX3wif+Kx/Bfu9dRfIiP+s/mb0v47PfnM/aa8q3V2/MIk3pSzP61d+FA67Oe1a5XXL47AwtXPqkx1Xzms+pH7Fyjl6/SpfMLkq6Z9oW6IF4ZiU5T/II1sBuyRtPxh7wU1ICu5uxnDxRce6ShG4oWjq0XxgeT4RGdqIV6YbMzUTypXPpy/IZ8cFX7kR92TL164lm7KxA/Vc6wiy5cqoipH3i3/oLPyunjh+sasVA+pehEfVqHmuYf1uUClM3pXvLC7MaM/rEa/Mlo+pveklY/Kr6qQaXHzi+KFF6+gxTLWvTF/T378ifySTEI60/fEC3sbM/235QMpF1RkftrXGfeSeOGljRkn/Tr/7/O3+9WDeqdOtlof7osX9jdpZvnEU6mtV/6y/L3Ovr8UL/zlxuz7vRQqP5MPZ52kFqbqrByIFwYbs/J/VVFKylX5xrxVft63y54byQvfSTZl6scqbqr8JF+ce1L6vKuS1O3brypJqGbm0v4Hz8dbLcDGHH1X2v+HSvV/oo+l39mYabhn4Gbyws2NmaqbZ1RG220+SF44/Gf93B5szuNtz+3hxkxbRFj97GdHOhj0OA+TF4YbI8C9eaPkhVv/rJ/i0cYc3foU39qYabhn4Ch54WhjphKjb5G8MP5n/dwWm/N423M73phpnUTfSfLCZB2C17//+vR7lwBu/8Wr01dmi7+WDnFxNRBC82IcZgwwP/jhD14bq+8dyL/ytZen39v7//7o5R+8Iv82DeLZCuK/KSYH3zrItOt7B8z2Fq+8Nnr1NaiRh3ojD5mNHKktJIiNylvbS2tWZQSPla+vNeyF3qMFo624IR/rDRwzGggebuWl7bFhuCc8Fv4/L5+ezl5d713/a71P/5rdYtzQ/zu9mf+O3UzwA6A8tv3vDA/AtWvrGbpW6v2wkitPykfztxcLnFUhwrPzfbZHizWnal20fCw/Nl+XX3q7qmJ4uvhD8/e0cHGYvyAf8XxTgO/rrLoeR/6mDPqk9vdPFgv59xZ6cX5HfumNc/Wo9+buBu1+UN7rfetffbtX7ed8rTZWdRa+uDkLdeb8pTRHPn4bs6n8peHx21jNxK+VCK2es68vbu8+qn7zVvmN2lxUX3z8nGqtt7zVftn9asNY7Zc8WWyHz39heFQ3xqge1dbHdFPWGR7TQD2mm7Kp/JXhMd1YDYzxMa0evmqGpSJn/ah+XtfV1fUv87fmv+ip6rrqAVapSz6kvW8tHvNF1V4TgR89H4HvaXXE7gbdIJ/kbzV0gNC7KTsNz3SonulN2VT+2vBMR5sy6G6V4B/3VKi9WFGkBFXzcKu6iTdVac2b1fceVAtO2j3T3Q2yVNVjfcNjuCmrDI9hpB7DTdlU/sbwGMabMujXz8fF8iv533fLr9Si1eLpFD2V2A1lJRs0G5TUN2Wd4clTpX0bs2nP8OCJDdlTfnB5ythTJRffVLWuD6sSh68XOVmVZv63qpZShUKZAuUzKlN2M/695gvfrso9ny3qE+Uj/G4tU1Uo/VKK1Sfzn1cFPUotPL30LxknWRtzkYlT7TKoypm2539Thhuef6Ge/03ZVP7O8AJsbAPpV/LhfiCf0ed3A6qi4cWUX+0LPGwqkR9rCo+liJXP+Fvyjz5XmVbF76fVSzO/1FIif+CpvpR1d4N+uK/88JwXvEqSa+ocDU/5pgw3POWJeso3ZVP5D4anfJ29sLUM0k/dqtK/byrpWzdPqUWEL6qfe6YKhe/3agGslhkXfVNVyXNV+W8rv9zdICskJm/KOMPTmqqndVM2lR8YntaNLYCvLMfeLf+gLwDd3aCN1dJrFflVkfI9wELApkw1PHOZeuY2ZVP5oeGZ29iexO+lXn13/uZzGVCJgjs9GTo/VAUaH8j/GFarqlUBtcD1M/mld5rGnIVQlqHUe65Xqoqy/2oRVau/oqXPdHeDHnlO76tnu3dJIqiv/iudJNJK+Bc3h2J4A9Qm2MZsKj/SvwHxxrZFnnsDLj2cjVhQVVVS26qnvHoa1PP9fMOZ+hPNlO5JpRwWvTGhF/UqYbEImxffh3pWVT1CqqBe9JbNgg/V06X+tecnn+rfVCZVL9uXK3JEftPwJm3Osytv0qrN1dcq5+jfm40Zrn9vYrV7tzGbyo8N783G9mn+dyWgFxtv5+r6uX26e/JRrlND1elatadWIVWN/+U/q5uALjb4H8jX4j1txKWtVW/Oac/1zKin395C8+LmDDW8AmpncGM26ZtL5SuwsW2d3yyW8xap44t62/qN8+QBaOPd3aD5D2TkVU+hVPJ1LP7C8BhuykTDY6g28zZmk35OJh/DaGMGLWq+rUrEpkOePffnv1UpDxl9ZYyW2v7bda/sg+oZrpb31ELwW/N3quW9J4si9Pqgh6961fzhJ1UkrsO6eg2USaEfxOohk/8V9X+T2iSTbtmYPyurvPNJ7rlQafui9O2iolp69GH5ZV1UrQV8cXOAagy827dfVWNQ/zf1DK+a2rDcmKHlp4ZXLd6UQXflQ/+Ves1goX1Tdson8k61W2NYp3xxc6YZnjO1PbkxmwynLcSx2JRBv65EbCVhF8ehVBvjMgw/qrRGNR2cv6FO3fgf/fKDfvn7/nPnwCzk9PwXOwsx/KS/05t5r0xf/p7hKd0UpeFRUDt1G7NJ3wIjH4WNbaqoEwGeL3lWRy1Vq3A/Lp91M/6bQjOMv9rD2phN5WeG8d/YNoU6F6naj6wOkWoOCOotTgyr57/nk97Fo2IY6E0xGAZabf9gbfrb6m86nY2mr/8/8mvSwuT4JDw+nvreLD4TXpz5Z16WpWfeNI78aSTi4PR0uvjJ177/nxaf5Iv/LNlm35ste1GehwN33AXy9ftVPft71qxqqHF6pPm691yN88qPq2PitGXa17IXBvBNC6hT/l7+wSACO6ODjr185yD2A33bHhNfjOfD9fwc5juHJqhDJiiBhwJ3CCmmYb4zNDENmZjgb+Wa/YP5TmFiK3jYQh/HhnsAx/nO2AQ0ZgIKcECoh2+S70xMPBMGHgWU3L6YIlb5fjg7ef1lTf6TKeJHrxzPdGN1OUkEOqJr+q24MIn9yA/jaBVrkZrlEIAtVPnyuz+oEmarkYnOxOtEE1ffaIsTYXlWVeGsHoq5zKOPFmpXKt/FkZDaNfXd/IUBkeZSpjTjdJApA3/nQPj6TEkFWE2FAABcJDqUVh8arD6kWi3wVqPCzVAaPTQYPaQaDX/010xm0vjCYHxBNP5StmoxHveMjKXFY4PFY6rF8HBNSEfS4InB4AnF4OeiN3O+MWScQL+L3VgdG90MNhKVcvqhzsrrVCvhrx4061Tn1VRrvjLRfDN/qzpVuVniV1vd1anF8vv6deDAf2FAhXGcdAxTM7L1DjKOYeJFNlngTUaFk6HB4iHZYvgDv26uMUyaqJZzJxrDlIhsLjxIU7KMYcJDstZlijElGX2dSGO3MHoZbCYyyZjSDNFO+FuHTDOqyvZB+WVV/vR1ta2uVn6bzfSLSehb2iykfZB2g0CmISKs4zQUGtIQ1XoHaUhv8iHZZIE3GRVvhgaLh2SL4S/EumlIb3lBtZw7DenNHZPNhQdyShrSWzshWavMrd89B2nIlIj0lWKN5YnRz2BD0YmoH+ssvU61FP7mQVPRr8qvZYZ5syo2+LredKwykNpgfLe3qIx/WNc9VrVjMvsY5z+hTDxENMeJJ9o5CJKdg1gYEhCVwkECinYOpemHBtMPyaYLvOmoiDOUlg+l5UOD5UOy5fDXYt2EFO0UkqAwEBRUAu7EFO2Mpdljg9ljstnwEE9JUNHORFo9MVg9IVldPS+33SUqU6qKrLanRo+DTSWkKr2t16m2wt9KaLL6x+UW0FfN1s8yWelM3w0imZCI5jtOSLEhEVGtd5CI9CYfkk0WeJNREWVosHhIthj+iK+bePSWF1TLuROO3twx2Vx4iKYkGr21E5K1ytz09jKv/I0t0fyn77/2HzQIlCxjyjOxFSE3OhxmKSnJ9FNToiEauxqoTW4FZpmPl3W4f9zpVWttTy985V49WXqgrUlo2ofVeWZ3VLeuDnWXiroa1Y3jom4Yfv27L/8Q8hjpLHyRaqFAWUi0bo9qXQKz7pXZ9Ic/eg30tDzVLja/RDUwhRk4+7sfzF79oc7AV1cMDPq+7+tM3KeamMFM/I/f/96PQC+czri/pBq3mpENxlVZAuC9VGiHd0A1L1jNuwb7lMCpkhhJMgxe2js6Gh5962g4OXzxWwt9KSdRt2//64G6lDn89o6+yOEGGQuY2ZZYRj2xOgBRKvr65/c7ZGOByW1pLMTl0nXbC3d/Z+Finck3ySYDU9x6E5GF/ZJka2BmOCAzxEgGuOZcGC6N3rowBCaEQzKCQCKAHx/p1e3GrEuzE6q1wGT3gw7jTAGKMyMyEjA9/qCjGHOLbCgwSf4A+oCMlvHllvndPCKbi0mbpEdlYfvIHlsKqv2XprM2++lx5ZY9rozJ5gPTJ3JuKx+ZsT6mTEiWVvo0mx4n2VnuBdlZ7MXpWeLl0zzyYhHNkpOTNMvikwWMcdb7Sv38aABpM1/T3FfgGKFwuvmxhQkzR9ZxXOfkWNUVtrEBT58v3Fi4PNRHHQr1RXVqwpdqA/H8yCs1u77fuz440NHvctILOP2681VGitU0b6GAz2vn/706VeSpjuYlTprVDG+hQUyCdRj7nBir+d+CseZEmRFiVRVYINaeUDNiXJp0WzhQE+9VON8gI2+w0iFieBfzw2aWKJQMkmpOmGeKnNSIqAee4EDHc8RKhn3rIGTWsRy1j2XBRiz/97eOq5jl/2mD0DX1UJkhhb8K6WZXXmvrdaqt8C1LqODT7cprisaelY91ILtB8sKACuN4jz7dOQhN+/RUghhPAJ/ALvbp051Dg9mHZLMF3mz4xLXaq093hgarh2Sr4Q8/PbIulsHSncJgfUG1nnvPPt0ZG0wek02GB3Hk2ka1b5/uTAwWT0gWV8/IbZdpyLR0oT8sp7E+MPobbCwpEZn27YnWwt/G7lORukz4S9Vko85Z+6Y66v5eVe38uZz3Plucs62D3Q1Sma6IwI7Tlf6K6gOy9Q5Sld7kQ7LJAm8yKgYNDRYPyRbDX4p1U5Te8oJqOXd60ps7JpsLD+yU1KS3dkKy9rm0pAK8o5Ky0Lywrj+ap4EAH2TTYVFZaJ7VXaeaC9xzh+amD6sj71XzzD1UTlr0fao20JXU9txf83T+bnWZxOPqasLmconqSH1Vrfa0vHDPe/lQ/tjj6g9+01yovThrsCmmlj/3dGexZF/3ms7fqm/sru6Ke1z/RV8tfmjxb1dfUz84/2l1P+L9+g4AdaHFk/nP+r0g9HvVGeSaUdqljtJqUuqkIq78lYRcbFb8UWI9lJ6/o5xZjc8vy9/Xh2VfuDGyfKr2MDw5zv9LB/giFVCgACFw6vzQp3I4+n6kXd7ao5oKLDiA70IYq+uIBgLLBxAbC+bqOqKJwMKBNTcNiMZhygQg3ov69bGgl7YDiAZurr4u3zkIffkrkL9C+Suq62Aya70dFROY9vH1dkEe5caCO6q1wMSPLLjLlgV3mbngjmoyMPmvN01rtlKyrYGZ4YDMAEyNhMlaUxiTbV0YAnPBHRVBIBHAj4/06nZj1qW5G9VaYP4D70cBAk8hA08hA08hA08hA08BCjwjMiIwg+IK8CxB5xbZUmAiRVTgZcsKPOPLekQ2F5NaSc9Os9dnDTYF1X7mCrxs64LrzRV4VPOBCRW5FCAfmbE+yExIllbT0rMkDqLozItP00B+OI28PDoWXnwSHZ9E+fQkjOuX1LhI8Mq0ywq80FaDl+MooXi65QQLFWZJQcdxnZMDUb8BXWu4W10jcEdd03enusNJLQXMf1wV2y1uDlgcT1/90OK2AfUTOvRdTnQBR4fPb3UUe5wUq2nfQoGY+j7WX9L2EicJS/FdHPczoUPZ50RxV4DHCLEqCiwQ0Dl34sf9urH50qSbkcRZDV7SD7VLCjdY6RAxvIspYzNxzOu6rdw8eeSkRgQ+8JwHOp4jVjLsiwchs47lqH0sCzbiSlceT8PT43g68/woDb04Ck+9LI1PvOhE/miWnxxHp/VT7lRX6iv1QutZqTpXwPBc60pODkRMgurKld4OdUBc3d1xaW9Iyclq++etapNJHVv69fy9xU3R6oa7P5ZfqIPndqq70KUo/WpxyYNhxX+X01EC7qg1VSgnBSIYo1To4vrLJ4ttLh3VS5xULIpU3w7CieFMjXJCYJMiZCSMO0CcIO7EaNxP9B0hrHiIyN+hGg39hYJZ/FdHfcBKjQiAdDVqGtARKxr2zYOg2eVo+2AWbMSL04TPwkjkYebNzo6lfs3zYy87nQnvOD0ReXp2lidn09vu5ah25nwtDLCugOE5l6OMHIigBJWj6sbUZ/OfLKqXnhq16eNl5dWjhSbVFlpV30lEzwtC31ilxOkgAXfQujKUkQIRhbuWoYxULmUoI4Y7GcoIgU2GkJEwy1BGEGcyNAjSvh/r+G6w8iFCfpc6NKilS2DWoZzUiAhI1qHmER2xsmHfPQhbixBtHc2CjXhReT/LE3GSRfKbQezF/umxl0/93BNns+A0ODnLg2k94k6FqHbwr4Uh1hUwPOdClJEDEZWgQvSuKhGvKvvVuSlKSc7vlPe/u9CUwt+S/68dr11OTgHnXFdPMlIgoilCTxrqyjlBWCSk3xf6NLDPieJORjJCYFMZYDSSfprlOpABJ4gzGRkmpnMSb7DyIQJ2lzIyrIVHaJaRnNSIwEeWkeYRHbGyYd89CFuLjGwdzYKNeHFwokiz4MxPvBPhH3txGIReFp+eeifT09MgOT0RIjy+7V5GCp0rroUR1hUwPOcykpEDEZWgMvLD8wXJqsOwfKLqNOubBd5V94O+MX+v6hVV/ZVf1fqyfOoFQvsS73LyCzj/uvKSkQIRZeHycv5T0xIlIwmLvhS+fqK5z0niTl4yQmBTHGAwkjTrZ5m2nWDAieJOYMZGfcmJh4jkXerLqFYkkVlfclIjIh9dX5oGdMSKhn33IGgt8rJ1MAs24uUJivFtu37s+Ogq7RLKtTC2Yupvsd/hP7pKm8auU61dfcIcH121OHXjp+Wj6rSPe716f/Tp/K3qWA75pfmPF2WWv5ai8iMd+m4YvzCg4rs9yCoUOweRL3/J/8b6htYDMkmMJ4G3L1aHWknzD6X5h9L8Q4P5h2TzBd58ePuiOuBKWj+U1g+l9UOD9UOy9fDXiB6nqy5pSVFIikJSFAaKgkrBfPCVNH0sTR9L08cG08dk0+EpAtn5qg7BkpZPpOUTafnEYPmEZHn17CwsV4HI2YFYpuMaQ2GFAF883+mBWLGpWu061dzVoL/mgViYjLdoDah22e6VT+T/qZotdcFilfh6VcZ7o/p4R9WCfVNdDCx/aHGelfyDve+8Ov3RWb1gctcLAtEP6t+9H3r1aaGXUiTRUas5pZMzqXQWvki1UKAsBFhX/sNFQXK/7jN+pErwKjHyTA5ifTfm43pwP69OCVP/33okFRV0dZbDdiQV1UDggRrwJRvzkVRUE4Enaay5FkM0blVCrHkkVZr0E0MlGNHAjR1JFSY7B6E6sjyTv/LFqTChsB1HRUYEJl38cVRhmEem46jI1gLTLu44qlA0x1GFxlsUbpJNBqbe9SZbzcKU2BqYGQ7IDMCsSJhm1afESMMvDIHxOCoygkAigB8f6dXtxqxLsyuqtcDcB17dAwSdQgadIlSH32fyFyTojMh4wMyJO4rKEnBukS0FJlD4UVTLYHPL/KIekc3FpFTSc9MsmloDTUG1n/coqmWQuWUPMmOy+cBkipyQy0dmrA8wE5KlytRpEs6COEi9PE5SL45PIy8LpqGXB9PZNIhEcprXMcg4PX9l2m1Ng/nU6jDBUULxdBN5CxVmMq/juM7JgdgJg87ygT1atgOxqzXs3rcWR1WrFYAddcT0N9Xfpb5WTTl3evWBzV9XB07XX5v/dP5W9dVv5PcfzH9Rnab9ZP7zag39m/kb/W/XiwAPFiUVqt5CLZs/t56w+IFQrSeoYwzeq459rlYgflz/O49047TLOU4CPk7wKbyOYo+TArEDiZifg1rFGKlY6jAMrWKMGO6KMBghsBvBgJGwLBAwgjgrwQj8sB9pl41vsPIhMk8Xk9xmqpvU2/aJebrLSY2IgOBZGnxER6xs2HcPwmYdzVH7aBZsxHWrWDAT8svecZKHXhDMMi/zZ8LzfeGLJMuCXNRK0akeNhRqpFhXwPCc62FGDkRUwunht6uNkZ9XG1vV2Vn3pJJ88vz5WJ+Wn/RSMX8n9ufv+Duxqu7olXcX+1/qDz6rNlW+XtxUVh25VZ3hqnPRLqeLBNxF60pRRgpEIEZIUbWr9UW/Z7hFnZOHR4T2Y20o2eckcadDGSGwuRAwGJFITee4cpI4E6Jx0k8NtcCceIiI36UOTWvlkpp1KCc1IvyRdahxQEesaNhXD4LWIkNbB7NgI65k6OxsehpG0zPv7Pj4VB2zFXrT4Dj1/JMoz07CeBZF9YA7laHaYHUttN+DoHEFDM+5DGXkQAQlqAz9tRSP38zvKPE4f7d82FvWYj2q281+rop1FrVUaq3zzfm7TbvZ/eo4LbVQe6daav1KLYFKyVp9Nwh3xFYQ+v5WKPTbaLucnhJwT8HVqHTWr8qPjOA6yD1OSES0RohVU10TIwiLSjUUae5zgrgTqYwQ2EwJGIsgUdVohuVSRhRnKjWIRF8Ylks5+RAZoUuZmtXKxnxZHSs1IvCRZap5REesbNi3D8LWolNbR7NgI16UD0xPz45nydSbHge5FwfhsTeNjxMvicVxcnyW50Ea33avU2OdK66FOdYVMDznOpWRAxGVoDr1wnLpdxcna1Xi6+H8J5VC/Up9bXHElr+T+Op3kenwVkZ0AUeHC08dxR4nBSLAIpRlyzIoIw+LwIz7ekWzz0niTmEyQmBzHGQw4lQqTMOZCIwozhRm6vdz7eN2gxUPEcq7FJj1JUih+UIrVmpE/CMLTOOAjljRsO8eBK1FX7YOZsFGrASmTTd22xWq32CPbPcjREm4CrfhrlCquauR4l98VyjVUTHMUR10hVItFCgLAdY1fZ1h39eXIO1RTV2N1Gx9nVQDgd0pcNlp7uukmghsS1lPT1KNwzShALwn457Q2Teg2rexts4o2DmIQvkrkr/iRYdV5NvaOsmIwKzZbVsn2Vpg3sS1dUZ+09YZGW9Cukk2GZg7u1DYkmRrYGY4IDMA0xq9rVMafmEIjG2dZASBRAA/PtKr241ZK9YOydYCUx94ggIIOoUMOoUMOoUMOgUo6IzIeMDE2V1bJ9lSYP6Et3Uug80t84t6RDYXk1FJz00977MHmoJqP29b5zLI3LIHmTHZfGAyRbZ1ykdmrA8wE5KlV3ZfxnT2UmS7/EVDCcVzvS/DyYFYzINO07vcl+FEF3B0+LRWR7HHSYFYl0TMeO37Mpw8bvdlOEmc7ctwQmDXhgGDEURZP830lT+cKFdgX4YVDxHKu5g1NnPH+hK2yHylHis1Iv6Bpz3gAR2xomHfPQiafV+mfTALNuKrW59u3MUJsa6A4TnXl4wciKAE1ZcbrE/n9JSAe2pdOcpIgQjHCDlq2oBhBGHRoaYCdE4QdzKUEQKbCgFjIUWoad+HEcSZCLWUn7PyIQJ+lyq0vsMtMt/Ix0qNCHtkFWopP2dlw757ELYWGdo6mgUb8dU9rSM0tEnW5RMIV8DwnMtQRg5EVILK0E2c1sHpIgF30br6k5ECEYgR+rNlOZSRh0WGGk/r4CRxp0MZIbC5EDIYoh8aqtQ5SZwJUfNpHax4iIjfpQ6tL3uLzDf3sVIjwh9Zh5pP62BFw756ELQWGdo6mAUb8dU9RNlwX961KMa6AobnXIYyciCCEk6G/gkeosw5TgI+TutqYUYKRDJAaGHIIcqcVDyKWIexz4nhTg4zQmBzMmAkzNX4jBzOxLDlDGVWPkTi6VINx7WAis1qmJMaEQDJathyhjIrG/bVg7C1yOHW0SzYiN02bRrWWYUV7tIt3Ztu2iSauxoq/uU3bRIdFcMc1UXTJtFCgbIQYN1zTZuhdgVxj2rqaqjma9okGgjsPUFITnPTJtFEYNPJmnKSaBymxQTgvUiYjjimGri5rs1k5yBK5a9M/qrvxYusl3GSEYFps+OuTaq1wMSJ7NpcXsYZmS/jJJsMTJ5daGxJsjUwMxyQGYB5bY2uzeVlnJH9Mk4ygkAigB8f6dXtxqwVa4dka4G5DzxFAQSdQgadQgadQgadAhR0RmQ8YObssGuTaikwgSK6NpeXcZpf1COyuZiUSnpumomfNdAUVPuZuzaXl3Hag8yYbD4wmWK7NsX2WB9gJiRLr+w+UmTq2kxwlFA85/tIjByI5TzoPP1Pdx+JcZwEfJzgk3AdxR4nBWIZFTE/B+0jMVK53EdixHC3j8QIgV3MBoyEZYGAEeRKbCRx8iEyTxeT3GaqW1/fGJkv42SlRkRA8CwNPqIjVjbsuwdhs47mqH00Czbiq9tlGpm6TG0XQmldAcNzrocZORBRCaqHN9llyugpAffUuoqUkQIRjxGK1LRjxAjCIkKNXaaMIO5kKCMENhUCxiKN+mlq0KGMJO50qKXNlJMPEfG71KH1/Y2R+TJOVmpE3KPrUEubKScb9uWDsLXo0NbRLNiIr+5pepGp/Ml24ZNekoPwnOtQRg5EVILq0E5P02NEF3D0dYUlIwUiwCKEZUv7KCMPi740n6bHSOJOYDJCYHMcYDCC3O/HaaJDGXCiOFOYltP0OPEQobxLgVlfvBiZr9FkpUbEP7LAtJymx4mGffcgaC36snUwCzbiSl+enZwkZ+nxiZelJydenJ8E3nE8PfHOkmkYTo+Psyytw6pTfRnrXHEtyrGugOE515eMHIigRNeXpqNMap0ZA3QmowsE3AXr6kxGCkSc7U5nMvKw6EzzMSWMJO50JiMENtdBBkOIfpZlOpQBJ4oznSmSvl5G32DFQ4T0LnVmfQFjZL5Nk5UaEf/IOtM4oCNWNOy7B0Fr0Zmtg1mwEcv//e1zCkvB/41NT3bbqKlXkrHtdpNQZKuwjho1w36uM/c61dzVyLFmo+bvV6ol7/XqvsqvAZ2WSSKaze9eUJdgNjve5fteoM3ju1TyGEaO67wsfzV/ty5N/aOUvg/nb0ra9+rS1l+Wv194QRWVzv/bomRR/tTT3vXBgVd+WP4vHeCLVECBAoTA/brqqK1qdxdlvFUf5z+9/TvVyymyRZ3t8ouqNzG9ffvVahrwSI23nBQ8V/igHCGfEFX5+2l1ZOFD9ejU1cFyMqFqgx9V1RL1iYaLSokvy/vSu6rws1KqVZ3uz8p79QTjofoH75bvl/9YflL+pvxIfvb/Kz/x5H8ez9+qnrxH1WMpv/vr3k5PPqj31Sj1vF5dLfxu+dVOL/H9+TvygypifqoblD3qoKzmLLYWVaqBwEYbjAA3tahSTVxV1ywtqlTjVjP3mi2qWs8NqMZtrD01DnYO4lD+iuSv+n6/2HqpKBkRKBbw7amBn8Sm9lSytUC5gGtPjZeXisbmS0XJJgMlQxcTDUmyNTAzHJAZgMmf3p4aLy8Vje2XipIRBBIB/PhIr243Zq1YOyRbC8x74HkaIOgUMugUMugUMugUoKAzIuMBsyauPdUScG6RLQUmT3h76jLY3DK/qEdkczHplPTc1NNfe6ApqPbztqcug8wte5AZk80HJlNke6p8ZMb6ADMhWapMPQ7iJEqi2MvC09SL89PEOxZR4snfnRxPszycRnWuNS4rWBZZqEsLhvbU2Hb/lYYSiqdbgLBQYRYhdBzXOTkQa5rQ1Qlge+qlls/nFjH4e1TrBoDnFkDqf2+xDvLNxRsDPi0/qbbbPi3v9lJhnK/uco6UgI8UfLFBR7HHSYFYTUbMziENqpxUPHtqOox9TgxnG2qcENhFfcBIGJYHGCGcbaXFkenIf1Y8RNrpYobbzHPrOzNj8wWorNSI4AeeooEHdMSKhn3rIGj2rbT2wSzYiBctAScns6l/MvOy/HjqxbPszJvG2dQT8TQ5ncXHQRTVecGpFtYuVF+ryzMQroDhOdfCjByIoITTwm0tAalYtATE1lItTnQBR19XXDJSIOIrQlzaS7U4eVhkpanllBPEnbBkhMCmOMBYGIQlI4QzYZkLQ+vJDVY8RAzvUljWt2DG5jtNWakRgY8sLI0DOmJFw751ELQWYdk6mAUbcSUsT8Kz4DQ48b3g5CT04uNTKUdnvvBmZ8EsyaVAzcLj2+6FZaRzxbU4wroChudcWDJyIIISXVi29AJABCajCwTcBesKTEYKRJztTmAy8rAITL+vLT3f5wRxJzAZIbCpDjIWOogBJ4QzgZnk/UhbpXuDFQ8Ry7sUmPX9lrH5slJWakTgIwtM44COWNGwbx0ErUVgtg5mwUZcCcwwPBazs3jq+UkimotNT/OVi02dC8xY54prcYx1BQzPucBk5EAEJajA/GjRQtArvzg/XU/+Unvlj6sKc3XI3ruLffNflR9Vh+WpfXH5e+360i4nv4Dzr6suGSkQQRahLk2V64wgLLIyMK1bMoK4k5WMENgEBxgLg6xkhHAmK0M/NZ3WzMqHCOFd6sr6osjYfO0nKzUi5JF1pXlER6xs2PcOwtYiLFtHs2AjrrpL//45MWKUjj+cnbz+8vdf1biBoBwNi5LCSpmvUpraSs2mYuRgYltAvU61dfXxsrgVKPms938+nb+rbvisbhDpzd8u783fqZr63qiK7+7r0HZj8cKAincpIJr51ouHi86pxBD8qNbHeOvhhenK5EODyYdkkwXeZHgxurR4aLB4SLYY/grQA+yix0VveUG1/FLDQovluEdjbDB3TDYXHsKRPQrS2onB2gnJ2ueiuDLa0QEHpguy4sSGkARGh8MsJSWhvqEA5DrV2NVAvebhBtAspL98+tH8nd78juouWG0LqGr8H6nvPFabZPVV1V/pXLFLdcVq1L+6px0QAQUKEAJXn2QQ9OU/rDN1j2rq6tRi7TMATH0FRPuAzYyYBRLjEQBEE4FdjGsufRCNw/QsArwX6498GVDN29whAOnOQZzJX/VVsXFiPQCAigdMpvgDAESWxonxBACqucCMijwBIFmeAGC8H+km2WRgXl1v9tOsAyVbAzPDAZkBmBAJc6CmOTfZujAE5hMAqAgCiQB+fKRXtxuzLk2JqNYCsx54MQ0QcQoZcQoZcQpQxBmR0YAJE9f9b4s2t8imAhMnov0/Wbb/G9/SI7K5mFRKemia9UlrlCmo9jO3/ydbF1xvbv+nmg9MpciptXxkxvroMiFZWpl6midBMsu9MPZPvPgsP/EykRx7UXY8O4mjszw8qZ8l46T7lWmXhQNR37AteC1OcYxQON303MKEmaLrOK5zciD2nKCz9/fLr+W8Wk3Wq+6muqdf/vaPVRf/zy/dTr2c0evodznpBZwePp/VUexxUqwmfAsFYqr7U9Nkl5GEp2pAh7HPieGuZoARArt3CRgJbRnKgBPCWc2AbxCQN1jpENG7izliM1Osb2KLzffqsVIj4h14kgMdzxErGfadg5BZx3LUPpYFG/Hi1pNQyJ8+C7xppopW0yz2ptP02DuZBclJ7IdnaTOVcqgntYHqWpxhHQGDc64nGTkQEQmqJ/+PKjKo9nikXGwObYrLT3Vsu5xsAs62rlpkpEBET4RaNGhFRg4erdj3tSU6+5wk7uQiIwQ2dQEGQ/T9WNtuPOAEcSYZ0zRIhVE2chIignSXsrG+YC0235bHSo0IfGTZaBvTESsd9v2D0LVIx9bxLNiIK+mYp3nk+1ngxVl65sUnyZmXRcdSZgbxWXYS+dnJSS2rHEpHQzVqjnUEDM65dGTkQEQlqHQ8P4f0q0vnkJqXIXvfKh9X50h+9fzRot+uzwVd/qmqE2p+R51n+qi6UEP+3BfVVx+X93Te2+X0noB7b11xykiBiNFwcQo7G5SRikeq6jD2OTHc6VRGCGyeBIyEsW6IEcOZSg2zTPRVBcRlwBusgIh00KVIrW9ni81X7bFSIwIgWaRahnTECod99yBwLRq1dTgLNuK6HcplQ5R+3VJYj/pPwlVC7lYorUS+TrVy9aFavwnq91ImPqiWHBcnyS+O61TnKb1R341WHbH0uVR/b87f3anq0C8cL/+s+p7SjQ+Wl6qpG9M02LvCf2FARXfbICUCfTwkWx/jrYeX7lQNUgaTD8kmC7zJ8HId1SBlsHhIthj+etBDblUCaLC8oFrO3CBlMHdMNhce0pFVXKpBymDthGRt9VzcdpOQDKVZwnos9+UbbtlTkqEhimon/K0jJaVedYnnH6uj/96dv1NfBlo+nP9scfenoadJBDLXEIkc5xqD9iZb7yDXGKrOySYLvMmooDI0WDwkWwx/6tfNNQYtT7WcO9cYyoXJ5sKjNSXX6K2dkKx9bmnSQa4xZZvQanls9DPYUHS26QudpdeplsLfPGK+uVt+WP5SZ/KuCGVSIZrtOKlEOwdBmO8cRIkvP+SRIcdQYRzkmGjnUBEcKoJDE8EhmUDgCVCxZSgBhgpgqACGJoAhGQD+HqybgaKdQoEUCqQwgRRUEO6EFO2MlfVjZf3YZP2YbD08wlPyU7QzUcZPlPETk/ETkvFup0bmhBVZbRdGx4NNJSQs0xSJaCv8VYWmrE+rVbp3dVbuikhmKaKljrNUvHOQyV/G9ESlcJCe4p1DafqhMS9RTRd401ExZSgtH0rLh8aERLUc/pSvm5DinUISFMZMRCTgzkTxzliaPTamIKrZ8KhNSUHxzkRaPTHmHorV7nOPKfvEVusTo8/BxpKyjyn/EK2Fv5mY/PNAlQCd30O8rBMq7y8+fdCrbuxQpyf/VH58pi5I/mZxINH8Xfnn1I3JOsxdEcsERkR1nMDEzoHIdg7UJCsJ5a905yAN5K9EJjb5tcy0tkelc5DYxM6hRDpUsy6JdCiRDiXSoUQ6lEiHBqRDMpLAI6Ei2FASDSXRUE3DJNFQEg0l0VASDSXR0EA0JBPBX7d1E6HYKSRZoeZlkqyQZIUkKyRZIckKA1lBJeNOkGJnLHHGaqImccYSZyxxxhJnLHHGBpwxGQeeciiJU+xMJM1EzdwkzUTSTCTNRNJMJM3EQDMh0SicOvIpKPaDAJdZ1ZRXhR7Cj0ORBhF406uTowCXSdW890U0dzXZcBwG+HV16t8j+ZuvzzfAFmnWcvTfN9VvHspvvaNyb/XXPaoqNr6p/oG66rf5cbX8+VR+6+3FYQaLLz6pDjF4s/pNVRBcF4f8rK/+wLNe4PeqOxB0Lt2lunQ1w3V0qKDaReyVX1bXhT2a35H+fHruFalipC+Vz6qbHz5XYub+/N3a018vNhrn7z1XC7M4kPGdutzlS/ndN5blL8+aImk1QnJoqrtv35r/oq/z04tUPwmUnwA+qh3whoJTfnpS1ft86oV+9djIT4Kd3j+9/bvq7EL1pVB+ksoH41Ud1x6Va7UqcO2DDE1XQlANBB7MhKhuNp5kSDVxtXqZ5SRDqnGr6mjNkwxz3+/rO+eoBm7sLEMhZw0iXZwqJtWD5RxDMhpQC+DPMYyyzHSKIdlYoBjAnWIoRHOK4cLFOpNvkk0GCoL1pp51/bYQWwMzwwGZAZiBCRPM+owxafiFITCeYkhGEEgE8OMjvbrdmHVpvki1FpjywEXwgFhTyFhTgGLNiIwFTJS4EwzNceYW2VBguoSfX7iMMbfM7+cR2VxMAiU9LnVDgT2+FFT7ec8vXMaWW/bYMiabD0yhyBUD+ciM9XFlQrJUmXp6Fp9maTD1skDMvNhPEi87OQm8WRTlZ9FZdJKfzRYwxrWCV6bdNA0/t15gWjFIcJRQPN2qgoUKs7Kg47jOybGqLmyjA1xy+OR8deF84eBJffRM+Y/VxPdt+evHF6a4i9MOFyfxf1p+UH7olXfLz8r35V/3G/nxD+VnOt/scvpGwH0DnxM3KxxybnxPLRioVYH6zvGvK6fdq+4dvzd/r7qkQP6YWha4M/+5Dn+PE39VQ1jwEVPnx+UXOpKXOEl4Ooj7iQ5knxPEWQ8xJ8Sq2LBAQGfsQRwHhv69ASeKsz7ivJ9oVyRusNIhkkMX089mEposuk6F+Th9VmpE3APPn6DjOWIlw755EDLrWI7ax7JgI64E6/HxyWx6FuWeiOMTdSLOmTdNfOHFwXF2GhxPTyNRv8NOBas2VF0ThrMiza6A4TkXrIwciJgEFay/XtntuqfOolmIMbXbdafaufh5o1A/kmpUKdMPyo/lr0/Ode0n5Yfl7+XHz9TP/L/yN3d7N0ci6JXv65y0y+kkAXcSXLnqKPY4KRCBuAsBykjCIkD9fqif3u9zoriToIwQ2EQIGI0wVDk916EMOFGcSdAs62faVdIbrHiIeN+lBq0PdhbmQ7pZqRGhj6xBjQM6YkXDvnsQtBYR2jqYBRtxdYzNzjKXqafZYSWVQWbaz5W8dIW5o0oq49E2RHOBG6dQlairpKoW7r6sOz0fqfMRF0pRlVCpb9+pDjl8r5aI1X2ji3P01B0vj5q6q0fz/17VLi++oTTosjyqvN8L6r/GdCoB0TsxzDu4oiidhS9SLRQoCwHWnZcj9et6pGXxkc7wParhwM1XhGY11RsRDQRuo8KlqKXeiGgicAN1TYlJNA6zXQrwntZzA6pxm6s1qm8vFJm1zoiKBcyU+Dqj2HRbyXfItgIzJbLMKFuWGRnPjL5JNhmYLbvQ2JJka2BmOCAzAHPaGmVG2daFITCXGVERBBIB/PhIr243Zq1YOyRbC8x04CkKIMwUoDAzIiMBcyOuxMgYYm6R7QQmSESFUbasMDK+mkdkczEpk/SkNHM9a2gpqPYzVxhlWxdcb64wopoPTJ7YCqNse6wPKROSpdWTMstPwtNQeFM/nXryp2MvS3zfC30/mQUn2TSP61RlnENbVhSo82hThVGOo4Ti6WbbFirMjFvHcZ2TA7GAB52Kf7qcQ98zz6Hvzd/7rkoU0qLyqeoQ1pHvcpILODl8Equj2OOkQCxFdjCjZQRh2YQx1B7uc4K424JhhMAuAwPGwjCPZoRwtvkSJ/1UW252gxUPEbu7mBg208P62HlhvkWAlRoR8cAzG/CAjljRsG8dBK1l86V1MAs2YlUCZBOK3W62aHcvriW+BS6Cn57paLOFai5w+Qiq8K7oZgvVOzHMOx1stlAtFCgLAdYtDtXu1zssvrbacY9qLXDdaX09SjUQuIqE0ZmmHRaqicAFpPUUJNU4zHIRwHt6ZUg1bmM7LEmwWPpMfNsOCxkLmB673GEh2wpMj7gdlsRvdlgWHtaZfJNsMjBFdiGkJcnWwMxwQGYAJjL6Dos0/MIQGHdYyAgCiQB+fKRXtxuzVqwdkq0FZjrwPAQQZgpQmBmRkYC5sasdFrKdwAQJ32FZhpdb5lfziGwuJmWSnpR6QmcPLQXVft4dlmVYuWUPK2Oy+cDkidxhkY/MWB9SJiRLr+wOi+EYtWtJgKOE4rneYeHkQKzSQeffHe6wcJILODl85qqj2OOkQKw3djCjZQRxusPCCeJsh4UTArvWCxgLwzyaEeIK7LCw4iFidxcTw2Z6GCwW5Rf/1VEfsFIjIh54ZgMe0BErGvatg6DZd1jaB7NgI27aW5q1I/U4O+xviXW015LQQhum/iqtoy2XwLBFdJ1qL3BBCar5tHsu6kvvlX9c7KBU15jVeyX35E8+vXiCjxKEav/kofzD9SHA6lzbOFiceFMd8JsoqfhU54ZdqhtimBu62FwhWihQFgKsu3SwrtpmWRyeW52qq7N+j2o9cAmqA2lKNBC4oISRnMbNFqKJwLWkNcUk0TjMyhHAewaRSDRuc5st0c6BzIwHiZC/knpFNLRuvFARgUkSv/GSCWHceaEaC8ySyJ2XcLnzEpp3XqgmAxNlFwJbkmwNzAwHZAZglltj5yXcujAE5p0XKoJAIoAfH+nV7casFWuHZGuBaQ88PwHEnELGnELGnELGnAIUc0ZkPGDSxO3CmOPNLbKhwNSJ2IYJl9swxvf0iGwuJpmSHptm1meNMwXVfuZtmHDrguvN2zBU84GpFLsNE26P9fFlQrJUmToNgjgRce4lwYnw4jhLvWNxknpnx+mpfxpkIknqZ8k4mbasLVAn1KZtmAhHCcXTTbstVJipt47jOicHYikPOiW/2xz+2pv/uLpOZ3F7ztflM09OANV3flJNvRcT7/lb6vqYelOm/DgQ2ki8y+kDAfcBfLYr8p5p0WCPEwaxSomY/JrOH+MkYdqY0bb+7XOCuNuYYYTALhEDxsIw52aEcLYxk/QD/dG3rHSIYN7FtLGZPEb1Un5knkByUiMiHnjeAx3PESsZ9p2DkLVsy7SOZcFGvDj69iwLZ8dx7B3HJ6EXB/mJdzyNzjw/DEQWpoE4FpsQmFoZfS2Jsa6A4TkXmIwciJgEF5iLzZp7vfl/L58o3Ti/U96vBGTg+1vql9Bx7nJyCjgnXETqKPY4KRCxFKEeTVsnjCBM4tFQ1cMI4k48MkJgExlgLAzikRHCmXgM1IKk9km7wcqHCNVdyse4lhyxWT5yUiNCHlk+mkd0xMqGfe8gbC0CsnU0CzbiSkDGwVnqp8e5lwazVP6sH3hZchZ66fQszE8TcSY2cNlXbOqzFlhXwPCcC0hGDkRUggrIj+olyXs9VQCuWn7LZ+p26mpJ8tId4M3iZKaUZbWmV5WPmwqCGF0h4K5YV2MyUiACLkJjqnr/L/o9/ai8xMnDIzV1GPucGO6EJiMENuEBRsIgNBkh3AlNvx9r8W6w4iEiepc6U9TKxHxVNCs1IuzRdaZpQEesaNi3DoLWIjNbB7NgI65kZpZk4Ul6mnrHUep7cTI78/KT+NiL8sjPz/LpNJrVAdWpzIx1rriWJFhXwPCcy0xGDkRQgsrMy1d0lb8sf1t+pi7c8pp7t8r35WefVQJTx7zLySzgzOvqSUYKRGBF6EnjjjcjCYuSNN+4xYniTk0yQmDzGmQ0dBADTgiHatJ0nMUNVj5E5O5STtaXhCbmC19ZqRFRbw05aRrRESsb9r2DsLXoydbRLNiIVTvizqIjzGEXotBBXksMV4rVkMEqpLsuxFhn73Wqvasx44p2ISbBeRNiZmlCJHohhnmhiyZEooUCZSHAOm0TYnWbVtWEqA12e1TrV2M0XxMi0UBgPwVcbFqaEIkmAjsp1hSRRONWExVPEyLRuM01IWY7B0m+c5D6dTNQam1ApOIB8yO+ATEPQ2MDItVYYIJENiCmywZE4y2hN8kmA3NkF5pakmwNzAwHZAZghlujATHdujAE5gZEKoJAIoAfH+nV7casFWuHZGuBKQ88JQHEm0LGm0LGmwIUb0ZkNGCyxDUfmmPNLbKhwJSJaD5Ml82Hxnf0iGwuJomSHplmjmeNMQXVfubmw3TrguvNzYdU84FpFNt8mG6P9bFlQrJUmQqrI1cwxjm0ZSWBOo82NR9mOEoonm62baHCzLh1HNc5ORArd9CZOE/zIaMPBNwH8FluEluaDxlhEIuSiEmvcSuGkYRlK8bYfMgI4m4jhhECuyAMGAvDXJsRwtlGjLn5kJMOEcy7mDI2E8esXrg338zMSo2IeOA5D3Q8R6xk2HcOQtayCdM6lgUb8dVtPhSm5sMc6woYnnOByciBiElwgUltPmTkFHBOuIjUUexxUiBiKUI9mrZMGEGYxKOhJpwRxJ14ZITAJjLAWBjEIyOEM/Foaz7k5EOE6i7lY33RZ2K+tZWVGhHyyPLR1nzIyYZ97yBsLQKydTQLNuKr23woDM2HqY91BQzPtYDk5EBEJaiA5Gw+5HSFgLtiTY3JSYEIuAiNaW8+5OThkZo6jH1ODGdCkxMCm/AAI6EXmpwQ7oSmsfmQFQ8R0TvUmam/UCap+XpTVmpE2KPrTGPzISsa9q2DoNllZvtgFmzESmfa5GO3ReKJDu5aar+YR6zCbbpInGovsAAOKvw2XCRO9UIM80IHReJUCwXKQoB1lZ57Wl9PI7R7tntUY4EFcgjxaVjgpBoILHNDqEljTTjVRGCB25pKkWjcaj5iqQmnGrexmvA03DlII/krlr/Eok4zDWx14WREYErstC6cbCwwJ+LqwtOgqQtPjdfr3SSbDEyLXahnSbI1MDMckBmASY1eFy4NvzAExrpwMoJAIoAfH+nV7casFWuHZGuBaQ88+QDEnELGnELGnELGnAIUc0ZkPGDS7Kw2nGwoMHXCa8OXseaW+T09IpuLSaakx6aZ0lnjTEG1n7c2fBljbtljzJhsPjCVImvD5SMz1seXCcnSShKCeq0VjHHqbFk4oE6fDbXhaYijhOI533lh5ECs00En4J2cx8PJLODM8MmsjmKPkwKx1oiY5ZqKwDlJWDZXzOfxcKK422BhhMAu9UJGQwcx4IRwuMFiPI+HlQ8RubuYIzYzxbBelDdfY8pKjYh64EkOfERHrGzY9w7C1rLF0jqaBRvx1a3kSQyl4GmEdQUMz7meZORARCWonmSt5GF0hYC7Yl2ZyUiBCLgImdlSycPIwyI2DZU8jBjuhCYjBDbhAUbCIDQZIRwKTWMlDyceIqJ3qTPrG/JS822HrNSIsLeGzjRW8nCiYd86CFqLzGwdzIKN+Op2HCamgvEY6woYnnOZyciBCEpQmUnuOOTkFHDOdTUkIwUimCI0pKkghxGERzwaOg45QdzJR0YIbCIDjIVBPjJCuJOP5o5DVj5EqO5SP9YX5KXm6w5ZqREhj64fzR2HrGzY9w7C1iIgW0ezYCO+umeiJYZ7aFKBdQUMz7mAZORARCW4gGQ4E43TBwLuA7i4TIT5TDROGETARWhM43Y4IwmTyNTW1+9zgrgTmYwQ2GQHGAuDyGSEcCYyjWeisdIhgnmXErO+HC8133TISo2IeGSJaTwTjZUM+85ByFoEZutYFmzEbnsNtcN5LU2scMkq3MZ7DYn2rkaKf+a9hkQvxDAvdNFrSLRQoCwEWLfoNZR+/lm/vorG174Je1SLgZ0XCO1pWt8kGgjsncBISmPDIdFEYNfEmmKRaNxqUuJpOCQat7mGw3TnIM3kr7xu/EmszYZUPGBO7LbZkGosMCkimw2TZbOh8fK8m2STgXmxC/UsSbYGZoYDMgMwq63RbJhsXRgCc7MhFUEgEcCPj/TqdmPWirVDsrXAlAeefADiTSHjTSHjTQGKNyMyGjBZdtdoSDUUmDIRjYbJstHQ+I4ekc3FJFHSI9PM56wxpqDaz9xomGxdcL250ZBqPjCNYhsNk+2xPrZMSJYqU/3TJE+EOPZmWRJ58TT2velUzLzZSTbNzo6TfBYfL2CM82bLqgF17mxqNLRdtaOhhOI533Bh5ECs0UFn32ttuIT6SLzL6QMB9wF8ZpsI834LI8tq8rewIOa8xv0WRhK3+y2MIO72WxghsGu/gLEwTLUZIZztt6T92FDSw0mHiOVdzBibeWNar9GbLzBlpUZEPPCUBzqeI1Yy7DsHIbOO5ah9LAs24qtbEZ6aGg8zrCtgeM71JSMHIibB9SW1IpyRU8A54RpSR7HHSYGIpQj1aNoxYQRhEo+GinBGEHfikRECm8gAY2EQj4wQzsSjrSKckw8RqruUj/W1d6n5CkNWakTII8tHW0U4Jxv2vYOwtQjI1tEs2Iiv7skVqamlMMe6AobnXEAyciCiElRAsp5cwegKAXfFuhqTkQIRcBEas+XkCkYeHqmpw9jnxHAnNBkhsAkPMBIGockI4U5omk+u4MRDRPQudWZ9O15qvuuQlRoR9ug603xyBSca9q2DoLXIzNbBLNiI3daFa7errmW+FS5dhdt0XTjVXmD9G1T4bbgunOqFGOaFDurCqRYKlIUA6xZ14f1e0Jf/cE+OTCg/SftyZF4t/1D+qvyDGgU1Ak/U4PTK+/N3y8/lp4/Kr9VPz9+S376nxkPp+vm783d685+q4ZY/K8dTCnz5/bpKYf6L3t6PXvv+yfe/18tjv/r8B9+bvtqTwenkP/R1btqjuglYmYeQvYalVaqBwPo6hI41FqNTTQRW1q2nUanGrWbCNYvRU9EPhc7AAdXAjRWkZ8GiMDTzbYXoZCxgEsYXoksVEJsq0cnWAtMwrhI985tK9Mx4M99NssnATNyFYJckWwMzwwGZAZhH6ZXo0vALQ2CsRCcjCCQC+PGRXt1uzFqxdki2FpjvwPMdQKApQIFmREYCZkhcBbolyNwiWwpMlPAS9GWAuWV+OY/I5mJSJ+lZqaeO9uBSUO3nLUFfBpZb9sAyJpsPTKDIEnT5yIz1QWVCsnQRxvNpmk197/T0LPbi0yDzjk9T35vlaZicpsfxzK9hjFN0ywIFdZpuKEHP7Df6XKKE4rne4eHkQKwHQif6n6qpXTU//Lyaqz8rv/5uPav/ODIc6cOJKOCIiDnyH6qdqmd1dX29NNHU3pvntD0d/h4nPmLtEzH3NRWlc5KwbPaE+vrCfU4QZ9s9nBDYhWfAWASJ6OsvKBpwkjjb84n6fq6ju8FKhwjxXcwgm3lksNglyMxXqLJSI8IeeAoEHc8RKxn2xYOQ2Xd82seyYCN2u+OjHc5rWWiFy1bhNr7jQ7QXuM4EFYKb3vEheiGGeaGLHR+ihQJlIcA6247PJ9VYKEn/UP73UflQfr/8str9eaRutZz/Yv4z+S05Nl+sXHL5aKmD/Tjs7U2OhtdvDne/0xtPjq4Pe2rn6IEaaTXCT+TAvtfrfauqCVMa+s2eGv7e+e+/XX/hmfzpr6t/QBryTW3GW9VPvVlZ+qzaavpCPhvlN9V2U/1DlTh/Q/0VD8onqtasppi/N/+x/PxR9Verv0PZX1WkVQ/cffln78m/7pEy+GJPbbW19ZxB6l9/JP+6dwwbV8TRBi7kIcS7aeOKaCBwWQ6uyS0bV0QTgetxa6ptonGY1TeA97I86KfaxDCgWri5nauoXlAOrTtXVCygmOh454pqLVBOIHeuwuXOlfHCw5tkk4GKoot5hyTZGpgZDsgMQD2wxs5VuHVhCMw7V1QEgUQAPz7Sq9uNWSvWDsnWAhMeeNoGCDQFKNCMyEjAFNnhzhXVUmCmROxchcudK+PLeUQ2F5M7Sc9KMwW2BpeCaj/zzlW4dcH15p0rqvnABIrduQq3x/qgMiFZqkw9nQX+NJ2deCfHSeDFaRh52cks8fxMHM+mZ2kYi+kCxrjUYFlooS43mHauIhwlFM/5zhUjB2JZE7pg8Ts5D3xQrTQ8rBYq5ETvsZqa6th2OdkEnA0xyf/g0rS96rlanbbfs07bg/JDnTv2ON2BWMtFzIKNW1iMJCxbWL5pC4sRxN0WFiMEdiUdMBZBmvWjWNs4MOBEcbaH5RsU5w1WOkSw72Iu2cwo6ztaM/OFu6zUiLgHngxBx3PESoZ98yBkLXtYrWNZsBHL//3t3z+nvYwK84ezk9df/v6rGi+QBKY2LVzLYgtmmIarmKbdLLOxGN14vqGltfY61drVJ8ziWqA6/LVSh9X21IWdg/l7O71KKn6jpKInv3VfyqnH2h97a/mD9V6KDnk3i18YULEvRUoz93qBcrE8K3YOsmznIA8M0ZFKEeMp4LNjZfqhNP1Qmn5oMP2QbLrAmw6fGUvLh9LyobR8aLB8SLYc/srQY/JisU3sFJKgMBAUVIJLqyktBLhHZizNHkuzxwazx2Sz4WkAuZAirZ5IqyfS6onB6gnJamV2/Y4q4//GltS6rNAITQsmwgoRG10Ps5WY0Pqx3tzrVHOB2ynQjKYt0GhPZWov/Jtl++eieuOp6v5Ue+DV0S6Lr93vBfXefvmVzg27VDesZgfGCg2ihQJlIcA66Ufp8vkbqjDiy/Je+aS+sSnSivc9qt3ArRfEKoup1oBoIHAjBb54Yqk1IJoI3EFZc1mEaBxmvwTgPa3nBlTjNldmkEgdm9Y7gMJaakBFA2ZFfKlBHOXGSgOqscC0iKw0EMtKA+ONkjfJJgNT43qTnmZdSGwNzAwHZAZgXiNMeZoNQbF1YQjMlQZUBIFEAD8+0qvbjVmXZjxUa4HpDry4Bog1hYw1BSjWjMhYwCSJqzYwx5lbZEOBqRJRbCCWxQbG9/OIbC4meZIel2at0hpfCqr9zMUGYuuC683FBlTzgSkUOUeWj8xYH1cmJEuVqTORnx2fzabe6dQ/9uJpfuJlIkm98GwWxHk+Dc5S18UG1X91lNeyBEcJxdPNry1UmDm2juM6Jwdi/wk6+f51VY7+tKpbf1Q+7pW/kv/5XM3G5VzvkZzgVZPoMPfV5PqJjniXk1jAieGzWB3FHicFYgcNPqed/3T+po7kJU4SpsoBbUjY5wRxVznACIHdv4SMhQ5iwAnhrGYg8c1VA5x8iKjdxbywmR0m9U6z+T5fVmpEzANPbOAjOmJlw753EDbraI7aR7NgI17UDEyncRhFZ95JEgVeHCVn3lScHXuzKMySs+jMj47r59ypljTUFtguqNK6AobnXEsyciCiElRLfqx2X/q9at/m0eJw/c+ksHynaky8Vz5WR3LWMlOHu8uJK+C46wpJRgpEUIULyfJppAN5iROERUeqjSgdyT4niTshyQiBTWiAwTAISUYIZ0JShEHU1x8hdYMVEBGzu1SS9Y2Qmfl2T1ZqRNAjK0nLkI5Y4bBvHgSuRUq2DmfBRuzyGBXDkVrXMvvlU/kq3KaLdIjmrsaKf+5FOkQ3xDA3dFGkQ7RQoCwEWFcfo+KVD+vqHD/VGbxHNRi4XYkRoIbqHKKBwI1HlLA0VecQTQRuOa6pGInGYTYYAd4zKEGicZurzsl3DnK/3jHPrNU5VDRgOuy2OodqLDAfIqtzsmV1jvH6yJtkk4E5sQvtLEm2BmaGAzIDMKGtUZ2TbV0YAnN1DhVBIBHAj4/06nZj1oq1Q7K1wHQHnnoAYk0hY00BijUjMhYwSXZXnUM1FJgqEdU52bI6x/h+HpHNxSRP0uPSTOOs8aWg2s9cnZNtXXC9uTqHaj4whWKrc7LtsT6uTEiWXtkdFWNnS46jhOI531Fh5ECszkFn3WvvqDDiCjgufO6qo9jjpEAsLmImtIYdFUYQxzsqjCTudlQYIbDruoDBMMyjGSGuxo4KJyAiZncxK2zmhvXdtZn5ImJWakTQA09rEEM6YoXDvnkQuJYdldbhLNiIr26ht2n/JfexroDhuZaSnByIsASVkh0UenMSCzjxmmqSkwIRWOFq0ljozUnCIidNhd6cIM7UJCcENqdBxkIHMeCEcKYmLYXerHyIqN2hmMz9hfrIzdflslIjYh5ZTFoKvVnZsO8dhM2uJdtHs2AjVgfE7SxSscOjdLQLDNfywAIZpmIV0lmVjtCZe51q7mrIuDpVOn+QP6h+/7W6YUZdQfO0KthRIvJRdfILsHCH6pkY5pkOCneoFgqUhQDr/unt31U3Hums3KNaCdy+hMtRU7UO1UDgRiRcZZqrdagmArcg19SPROMwG44A7xl0IdG4jVXr5OFi9zwPbJU6ZCxgSsRX6ojEVKhDthWYEnGFOnnQFOrkxusYb5JNBqbFLlS0JNkamBkOyAzABEYv1JGGXxgCY6EOGUEgEcCPj/TqdmPWirVDsrXATAeehADCTAEKMyMyEjA34op0jCHmFtlOYIKE1+gsw8st86t5RDYXkzJJT0ozmbOGloJqP2+NzjKs3LKHlTHZfGDyRNboyEdmrA8pE5KllbY6SYPp7CTyTsVZ7gXBLPMyX52s7gtfJFkW5KLOrsbJsmXJgDphNtTo5CGOEoqnm1ZbqDBTax3HdU4OxBIddM79qZz6PqgmwH+srq0Ri2uBP60OV3+2vBz2v1f7LtWR64up8/ztagL+8/KL8p7OD7ucfhBwP8Dnr+U/mA6db5YX7vWqW37qdYXq4p9vVd1AD9QlR/M7veoW20fSkw8Xt9j25E8/qC5lVr78onx2+/ar85/KLz6Vf9c//ex/hkmv/E35+bd73sLvOkfucToSsfrZwRSbEYRlw8dYP8RJ4m7HhxECu/IMGAzDzJ4RwtmOjzDdQHmDFQ+RTbqYqjYT1rDeIjDfMstKjQh54LkWeEBHrGjYtw6C1rLf0zqYBRvx8kKg+jk2atiOLwQy7PhEVsxkFdO049P1hUBaa69TrV19wta/EEi351PJrcdSa72rVOe5/npW3tfR7ObRCwMqkdu7fvJ45yDPdw4CP1Yf1GdBpD4k8kMYqA+JISZS+WI8H3zSXd0CJKEOJdShgjpUUIcK6lBBHSqoQxPUIRlK4KHgU3F1P5BkGkqmoWIaKqahYhoqpqFiGpqYhmQm+LtFD96LVb94p5BshWIrFFuh2ArFVii2wsRWUNmY7xSSQGMJNFZAYwU0VkBjBTRWQGMT0JgMBM8xyHUgdduQ5JlInonimSieieKZKJ6J4pmYeCYknurpu71Mnc6KJ4wrQbEVwnyRNsxWYh7tG45+vk41F7hLxJFI7/Xmd+Tn8qcflg+qs0zeqBq0HlYrOmqt4queWrBYudS4+vI31W8eym9VfVyLDq66nOJR+WVP/pyqsrhXPl38DfKzr6u//Ovmzy+awR7LP6Ws+LIqzHgkf3DxD8x/qkw3ZXqir1eTIGM5BtFCgbIQYF19jso/vf27Xtj3hbb9c49qLXCzqoM1I6KBwK0n1FqQqSyDaCJw12nNRR6icZg9JoD3DIs3ROM2V5YhpHyXUj1P5a+s3juNrSUaVERg4sWXaAShCIxFGlRrgakXWaQRL4s0YnORBtVkYPpdb9LXrHnFWwMzwwGZIUYywHV1s5sab10YAnORBhVBIBHAj4/06nZj1qU5GtVaYN4DLxwCgk4hg04hg04hg04BCjojMh4wa+IKNiwB5xbZUmDyRJRsxMuSDeOLekQ2F5NOSc9Nsx5rDTQF1X7mko1464LrzSUbVPOByRQ5VZePzFgfYCYkSytT8+lx7vuRJ47jyIvzaeplx9PQy+IkCTNfxKfpbAFjnKK/Mu22ZMM4872WCxwlFE83mbdQYSb0Oo7rnByITTboTP/Dqg7juan0s/lPFm0Oi1n4P1YT7rflrx9X82o1X7933gnxjVoY+LT8oPzQK++Wn5Xvl5+Uv5Ef/1B+pvPOLqd3BNw78JmvpZSCEQWxr4iYFj8uv9CRvMRJwlRLoZ3g73OCuCulYITAbuoCxsIwG2eEcFZKkfRD7UrXDVY6RJDvYj7ZzCpFvfluvkWXlRoR8cATIuh4jljJsO8chKylkKJ1LAs24kWtcC5Skfkzb3YSJ158nGdens0S7yTKzuJwmuWnZ6e33QtPbdK4lidYV8DwnAtPRg5ETIILz2Zn55FUnA/nd9QmjpKUz23z9L4ze236yrT3yvS16X/5Ly9/d7EzVOwH8pHz/UP1O1U6u9iIUptN57r1U6VVe+XHakOo6tNVJbXVt6I8nb9Tfch6JnG3y+lMAXcmXKdWG3CPVLX1h/ots8aXBwtfLj309IKHXnwx8UP5f0fSVbf3d1+6ffvVxPf/Lor8+Tt55a4dVZisduyU/pef3q+O0XlSeV7jyT1OTyKSBkImm3aPGEGYVLL+toN9ThJ3MpkRApuyAYNhkMmMEM5ksvDNJcecfIik1KVQrq+fzM2XibJSI2IeWSgHfhb1E0PRMScc9sWDwLVo5dbhLNiIK618EuZRGAbH3mkenXhxHMZeJsWNNwuO8/w4DZJ0Vj/oTrVypHPFtdx+G5bGFTA851qZkQMRlqBa+R+eK2u61yv/V/mw/HJx/IzUdeXdvSj6rpK2flxrM/n9z6vvqnqqZ965YNM5Y5fTGQLuDLjW1VHscVIgYi5CZxqXYxlJWISm3w+FjmSfk8Sd0GSEwOY7yGDoIAacEM6EZiwfNO2M5gYrHiKgd6kz67spc/NVo6zUiJhH1pnGAR2xomHfOghai8psHcyCjbhSmclZ5idnp753FvpnXnyS5F52mufeyWwW+0l0NvXjOjU4VZmxzhXXcts9MlpXwPCcq0xGDkRQgqrMX69U6N9TJw6oIwgWFfp31FGHzSJrr/yofL/a8f+g/Fj++qRem7058kTQK9/X+WOX0x8C7o91hSYjBSLodiE0GUmYhKYq8bxMss9J4k5oMkJgUx5kMHQQA04IZ0Izy/qZYUGTEw8R07sUmlmtTcw3dLJSI2IeWWgaB3TEioZ96yBoLUKzdTALNmKXN9pHps383AIXpf4q3KbbPYnmrkaKP7d7Ato9ib6OYb7uot2TaKFAWQiwrvyw/IMnbt9+te777KmD2VShcDXqj3qL07lNbaBEitU8wNcGSjRwVdJytoESTQR2sqypU4nGYfpWAN4z6E+icRtrAw18X53eoo5r8UP1Iaq7snJrKygVE5iUO24FpVoLTMvIVtB82QpqvKXuJtlkYGruQsBLkq2BmeGAzABMeWu0guZbF4bA3ApKRRBIBPDjI7263Zi1Yu2QbC0w94HnP4DAU6jAU6jAU6jAU8ACz4iMCMyeHbaDUi0FJlFEO2i+bAc1vqxHZHMxaZX07DRTS2uwKaj2M7eD5lsXXG9uB6WaD0yo2HbQfHusDzITkqVXdg8oNLSDBvVbDcaE8rneBGIFQawYQtcC2HeBWB0i4A6BT4d1GHusGIg1UcR82LQPxIridiOIFcXZThArxapesFCsNxVnpbgCe0G8fIjQ3sVcsp5RqklBtYFQf6IDP+AFR8Q+8HwIPKgjXjbsuwdhs28IQQa04IO+uiXuoWEHSc6Isb6A8bkXnowgiOgEFZ68Re6s3hBwb6ytOhkxEJG3E9XJiMKkOg117qwoDlUnIwU280GGQ0cxYKVwpjrNpe68fIi43qnqDBqRYr59lBccEfvIqtNc7s7Lhn33IGxtqrN9QAs+6Kt7+l1oaKwM/BDrCxife9XJCIKITlDV6fj8O1b3CLh71pahjBiIUNyJDGVEYZGhptPvWEkcqlBGCmwmBIyGSYUyUjhTocYD8HjxEGG+UxEaNprFfJsgLzgi8pFFqPEQPF407JsHQWvToO3jWfBBLw7Ci/N4mgjfy9JZ6sVSu3rTUP6B5HQayf+TijWrA6tTDRrrfCE1aIT1BYzPvQZlBEEEJ6gG/XRZ1n7PVgJ/b/5evb8eqOPYMl9+CALzGXasbhBwN8C1ZnOIXX3l9XNNBeBj7Yp94YdB6B/15Lywd9FLO73yf1Trxl+opeZe9e88UIp+oeU/l79Vt20vfvst+fc/7DVXcKt//+NAG0P2WP2MSAkIMWyojGclYdLChjPuWFEcimFGCmxKBgyHSQwzUjgTw6Ev8r4vdIQ3eAkRKadTPRw1+imy6GFOcETwI+vhIIpC0wXbvHTY9w9C1yaJ24e04IN22yBqWmiNrXTBKt2GO0TJ9q4GjT+3iLa3iJKdHcOc3UGPKNlEgTIRYN6iN1SOxs9UP6hqw9AqsT2yxcCmmC5kL9FCYE8LSs4aOkLJNgK7WdbVqUTrMM0rAP+Z9CfRug02hQrVCpqoD6n6UF/VJ0lsXaF0UGAq7rYtlG4uMBnj+kKlOU1jaO1nndU36VYDU3IXGl7BbA0sGAd0jBiJgW7aUrZfHAhjfyidQiApwM+R8uz20rAVg4d0g4HpEDwRAsShQsWhQsWhQsWhAhiHRnRIYEbtrkuUbiowscLbRM/jzy3Li3tEtxiTbElP0HKaaY89BRmBt1n0PO40A2BsF6UTADMtsl9UPTtLo1aMndCMrawF7XUpHuOk3rKqQZ3YG1tGBQ4Tyud+/4oRBLGYCF0bcF5DxegeAXcPfKpsvkSUlQWxfIqYRJsLqRhRmDaPTIVUjCQO944YKbBr14DRMM3dGSmc7R1ZCqk48RCxvotJ53LqKZpdBvNlorzgiMgHni9Bx3TEi4Z98yBobbtG7eNZ8EFXQjSanuTZLEo8cXIqvHh6knp5ECRelqcnwclJcHyaTG+7F6La/CGFaIL1BYzPvRBlBEEEJ7gQpd4pKoWn/k7L5srRJIgzv7oW819Leaq5clT+488qbfukKiFS//Q9tSX2oP7yF+W9xd+V+P6W+hVoZzG7rD4XcJ/D1W0HVVstl5Eqn/1dUtVz5epUUvs1pDvyn1V7j4u9w/JxL6yLv7680GG8O3tt9sOXX+/t7kVRT86Q5d97F91XvMc6XIg0hhDwxl0wRhIm/W4s/mJEcSjgGSmwMgIwHCYBz0jhTMAHmZ8bzhy6wUuISJOdavik0Xzme055wRHBj6zhbRed8tJh3z8IXZuMbx/Sgg/66p4EYy4VS7G+gPG5l/GMIIj4BJXx3CfBMHpDwL0BF9g6jD1WDETsRQhP88oxIwqL8rScBMOI4lB5MlJgMx9kOHQUA1YKZ8rTdhIMJx8irneqO9NGpJjvPeUFR8Q+su5MzB0HnGjYVw+C1iY628ez4IO+uudeR8Ym3AzrCxife9HJCIIITlDR6eDca0aHCLhD1tadjBiI2NuJ7mREYdKdxnOvGVEc6k5GCmzygwyHjmLASuFMd9rOvebkQ4T2TnVn1ugU8zWovOCI2EfWnbZzrznZsO8ehK1NeLYPaMEHLf/3t88pLqUn/8YmMLttfTVJy1xP68dBnqvijhVaR62vhitgrpPtXQ0hTltfF12qT+R/vl4UA0gZ+bS8pyPcJRPGMEJcv2n5K6mUnsx/Mf/JonJBbZf/TK25zt/qlb+R3/1UB/EiGUKgICAAy47UuhThvbozNfJ7y1tLo1StGn+jqjKq8oD7laR/WOGq+gEd4x6ZcTWoM/awEi1c1amsPaxEG4GtNuuKT6J1mLYagP9y3+9rF/wGZAs318caqMtNA3W5aRA2rWPWi03pjMCUim9hjQPTASHfoVsLzKnYDtb8vIPVfLcp3WpgZu1CmCuYrYEF44COAUyf63Sw5lsXB8LSwUqlEEgK8HOkPLu9NGzF4CHdYGAyBM9uABGoUBGoUBGoAEagEZ0PmEpxzavm6HOLbikwoWJ6V/Pz3lXzJad0izFJlvTsLOeN9qhTkBG4e1fzrYsDYOldpRIAUyy6dzXfXhq1</t>
  </si>
  <si>
    <t>YuyEZqyy1o/9aRacnHjJzI/kTD0/9vI4El5ylidnx7PsLI7OFjzGWbllmYI6Mzf1rgY+DhPKp5u/W7Awc3gdyHVWEMTaIHRyf7c+n2rZsqpOiPp6/tb8DVW6/0TNgy/N5Xvfar71rPx8/t/kZPPxYttItRF8WP7y2/V20Hj62n+Yvf76ssOg7V9anZdWXQPPdAZU55Q+qf7R6idqcx6oIviq9WDx9WrX6kHTeJClYa7tWNplHTQBHzT4VF+HsceKgVieRczm1YrFF/2evjv4JVYglg0qbXTbZ+VwtzvFSbGqbywUHSwkcJI426GKIkMV3g1ePkQW6mIi3EyHg+Yiz8ByMysrOCIEgudw4EEd8bJh3z8IW8sOFWBACz7oSiNnU18EaSa8SIjUixMhvFx9ODmJTkQY+yfJtHaMU41saKutOyYRvoDxudfIjCCI6ATVyB9d1J9Q+RtXh+73Fr95rluz+v3wlVdf/uEPvv/a6z/sXdsdD4aHvaPY7+0f7f21Rjt7Swm9um/z1SV1vBTTP61ksGFHZ5d1DAR8DNaWvIwYiHiPkLymDSxOEh6tq5/L77OSOFS7jBTYbAsYjTyXatckdxlRnMndIIpyw0rwDV5CRErpVPA2d4gGlkthWcERAZAseC3DOuKlw76EELo2yds+pAUfdCV5g2k0i0L5TXE8Tbw4n6Xe8fFJ5oVpPguOgzDLp/Ub7VTyRjpfSMkbYn0B43MveRlBEPEJKnmXRxqa1oB1lLuslAJOubaoZMRAxFSEqDSW+HOisKhKXx8K9llJHKpKRgpsQgOMRpj6/VAr8wesKM5UZRQHxkutWAERQbtTUdlcChpYLnllBUcEQLKoNI/qiBcO+wpC4No0ZfuIFnzQTaF/HUEdF/prh1iqxkhPW7U1hJm/Suuo0D8zFfpT7QWWI0JFX1XoXx1Rt2wBVZX/71YLifebjfv5O4u7rZ6pE60XMlFHtUumimFUuOJ+nYkvkk0UKBMB5i1K9/vPlUDUBfmmu7r2yLYDqxAR4rNtE59oKLCcEC4tLZX5VBuBhYTrikaidavZaM3K/CDsJzoDB2QDN1iYH6uafFFXxAaRtSafjAfMfvia/ND3jTX5ZGuB6Q9Zkx9Ey5r8wHjr5k261cAk2IWIVjBbAwvGAR0DmPXWqMmXtl8cCHNNPplCICnAz5Hy7PbSsBWDh3SDgdkQPBMBBJ9CBZ8CGHxGdDRg/sSV45sDzy26pcAsiijHXwadW5a39YhuMSazkh6b5ezOHnAKMgJzOf4y2DQDYC7HJxMAsyu2HF8+O0ujVoyd0IytZjVRcHYa+7Hnn+aR2qNJPDnzDuT0enZ8cnLmB2FYvwbGubNlMYE6fzaW48c4TCifbpZtwcLMtHUg11lBVpWHbXyAU/BPzyfW85/3xl5VYqSOjf+yKff5tPy4/H89P/ju83VF9QmgzQnyi+l6+XDxI2Hq+1uRNmbvsvpHwP0DnynrMPZYMRALlh1OmhmBWPZtTAuu+6woDjduGCmwq8aQ4Yj6oTaFDVhJnO3b5H4/11Y73eDlQ8T8Lmacy3ln3CzyW240ZgVHREHwZAk8qCNeNuz7B2Fr27VpH9CCD3pxp1SUZidpILzg+CTwYv9MeNmpn3uBmOZBOPPjk/z0tntFGup8IRWpwPoCxudekTKCIKITVJH+TmrRB9U9Ug975ReVrvxSfuGR+XjQh9Xp9Dr4XVZ4AYdfW24yYiACLVxuzn86f1OH8hIrCovQ9Pv6Vvl9VhSHQpORApvoAMMhw3YU60gGrCTOhGZgXPC8wQuIiOWdKs3mssvAcnkpKzgiAJKVpnlUR7xw2DcQAtcmNdtHtOCDbgqEmhfWcYWQdsNaqsnEihuu4jqqEAp8Y4kQ0WDg7ihUDRrOAq3Kw9VBmUoI1keAPtZffVlVF31V/yH528dKSt65eDnls8XhIEpr3t+pvvtNtcb5oD5C5MIlm+ovq/6FC8fX1//Gs1qfvqN+cnEhps6/u2T/xjD/dlKsRDRRoEwEmHd+zmhfHSraC/u+0B6sske2GbgtCxfAreutREOBm6xweWsrUiLaCNxeXVe3Eq3DbKUC/Kf13YBs3QYrlFJVoZSpD7n8EPpNuUBir1WiggLzML5WKUpjc60S1VpgIsbWKiXntUrGSyJv0q0GZuMu9LyC2RpYMA7oGMCkt06tUrJ1cSAstUpUCoGkAD9HyrPbS8NWDB7SDQYmRfCkCBCGChWGChWGChWGCmAYGtEhgQkVV7VkDkG36JYC0yqmaik5r1oyvrdHdIsxqZb0AC2nnPbQU5ARuKuWkq2LA2CpWqISAPMsumop2V4atWLshGassvY0DlORpoEXhSeZFwSzmTcN/NA7DZIkmJ74x8d5ndOM83nLCgd1Tm+sWkpxmFA+3czfgoWZ/etArrOCINYVoasCnz6/AGCZ+S8qmH4jv/CVqlsqv+4V+2Egc4p/pJJKdH3cS3x//k4uqpOT5M+o2fubqgum9VZjTpcJuMsws2i1kqGaflb9Z10+udf7zuy16SvT3sH0tel/+S8v9xY1Y3XlV/VXPp7fuX371RdfTPywcW2ycO3f5aIn3VsdTLXTm/944V+To3d65Ydq3WWxblI+7oXVn5N/94XVmnu93dlrsx++/Hpvdy+Ken6sDqrCXku9xzqAq8rJMoDwJQXLnhojCsueWtDPYh3KPiuKwz01Rgrsij5gOExrGIwU7vbTctPlvzd4ARF5r4v593IW3lwAHFgudGYFRwQ/8NQRPqojXjjs2weBs47oCDKiBR90JctneZr6WZ57iZA/G4fRsTedJr4X52ezLIuns+z07LZ7WW4q3cqwvoDxuZfljCCI8ASV5ctDnJq9tuXR+0oSlv9YKcq35a8fV0pO7ZUplVnL9G+UqPy0/KD80Kuuen6//ERK9/fLP5Sf6byzy+odAfcOXIHrMPZYMRChGK5DLYc/MaKw6FDDge37rCQOZSgjBTYRQkZDRzFgpXAmQ2Wy0m5Z3+DFQ0T5TkVocxlwYLndmRUcEfnIItQ0piNeNOybB0Frk6Dt41nwQVcS9CTMozAMjr3TPDrx4jiMvSz0fW8WHOf5cRok6WwTK8ORzhdSguZYX8D43EtQRhBEcIJK0H+4sE5Y/i+pR7+s1gYfqROO7u5FUdUs4McXG1lha4a7rN4QcG+sLTkZMRCBtxPJyYjCJDn9WIeyz4riUHMyUmAzH2Q4dBQDVgpnmjP2+6GpZ5WTDxHXOxWdeSNSLHcYs4IjYh9ZdBoHdcTLhn33IGxtqrN9QAs+6Ep1JmeZn5yd+t5Z6J958UmSe9mpFKwns1nsJ9HZ1I/rLOFUdWozyLUg9LG+gPE5V52cIIjoBFWdv15pBrhnblb9qld+VL5fLXB+UH4sf31SH6xyc+SJoFe+r3PILqtDBNwh6wpPTgxE8O1CeHKicAnPuunqkvLkZHGnPDkpsNkPMh46igErhTPlmWX9zLDnzsqHiO1dKs+wuVkytFwVygqOCH5k5Wkc1BEvG/bdg7C1KE/AgBZ80Ep62hRltx2r2smE1JKGW6Equii9RLfxjlWqwasx488dqzr/7pL9G8P820XHKtVEgTIRYN5Kx6rqsdS+Zntkk1cDPnvDKtXQVS3L2bBKtRHYWbOuPiVat5r/eBpWqdZtrmE1DFWbaqQ+qMP1w+Z86zCwNqySQYFpuNuGVbK1wDyMbFgNg2XDami8UvIm3WpgMu5CvCuYrYEF44COAcx5azSsStsvDoS5YZVMIZAU4OdIeXZ7adiKwUO6wcCkCJ4BAcJQocJQocJQocJQAQxDIzokMKF217BKthSYVhENq8vwc8vy3h7RLcakWtIDtJxg2kNPQUZgblhdhp1mAMwNq2QCYJ7FNqzKZ2dp1IqxE5qxV3aDKDU1rIYhDhPK536DiBEEsYgIXRRwsEHE6BABdwh8iqzD2GPFQKyRIqbN5g0iRhTnG0SMLA43iBgpsIvUkPHQUQxYKa7EBhEnHyK2dzHHXM40mztzQ8styKzgiOAHnh6BB3XEy4Z99yBsbRtE7QNa8EFf3YL41NSTWV8OgvAFjM+98mQEQUQnqPJkLojn9IaAe2Nt2cmIgYi8nchORhQu2RnrUPZZURyqTkYKbOaDDIeOYsBK4Ux1WgriWfkQcb1T1Rk1IsVygTArOCL2kVWnpSCelQ377kHY2lRn+4AWfNCV6szF6UkSnIVeLCL5IRa5dxxPU+/45DiaJseJiPNajjlVnZHOF1J1xlhfwPjcq05GEER0gqrOD5eVTY/mP1EHulUXOn3Ve77MqTlX7pXFuXL1Kmd5tzkarloLPdefi2/31ClzEtk/2untVc7o3XzJD3qTV19+/eXvzf6tdML3e//+tdl/7o32e4s/Up3wV30IfHWenM7Bu6wOFnAHw4Xsn4/zW5HwjAOISGMICf9UO1V+iZWEScEH2v2mfVYUhwqekQKrIiDDoaMYsFI4U/CBH4T9xLRyzEmIyJKdavjm3s7QchErKzgi+JE1vGVYR7x02PcPQtem4tuHtOCDrlT88SxNjtMz3zvNwsCLwyDypv6x8E7j0/zYz7IgO6tVu1MVH+t8IVW8wPoCxudexTOCIOITVMV/unqMn5KV1RF/jVjv+kg/TgcJuIPgKlyHsceKgQjHCC1qXk5mRGESo9rFoH1WEodalJECmwsho6GjGLBSONOi5iP9WPEQgb5TIdrc6hla7mllBUdEPrIQNR/px4qGffMgaG0qtH08Cz7o5S2t8e2lunR4S6t2jKXQTCy4YRav4rrqeY2NPa9Eg1djCE/P67PysVqxq1b63lt84clzza9Vp2q1iPioqoVV31vIyq/VT1VSc/4LHfguGTyGgXfSjEo0UaBMBJi3aEbt94IdPwql99X9qZF2w2SPbDSw8wahSI2ro0QLgW0zcKFp60Ml2ghsmFlXQhKtwzTHAPyXCL1SH5AN3GArqro7Ncyazi/7jalkPGBOxDegJklgbkClWgtMitgG1PMbU0PLjalkq4GZsQtlrWC2BhaMAzoGMM+t04B6fmNq2HJjKplCICnAz5Hy7PbSsBWDh3SDgWkQPD0BBJ9CBZ8CGHxGdDRg/sS1nZoDzy26pcAsimk7Pb8n1fy2HtEtxmRW0mOznPTZA05BRuBuOz2/J9UebMZ0AmB2RbedqntS9YFmQjNWWXsWz47zJJl6x/K/6vKmYy/zz4493xe+SOQ0Oxd1/jXOqC1rDNRZtbHtNMVhQvl0c28LFmb+rQO5zgqCWNeDzsufu5DpWbWX81ZVj/NmtUfzrLy/2KV5ID95a/5OdSTU0+pHv1Z3pT5/geoTNX+Xs/LFX7ToVJ2/06uqix7M33r+S5+Wvyr/p3dx9l9+9a2b/3a8cz7n984n/fJVLv+olgTUvzq/o/6g/Pis/Lw5j2r+817gBTti/pOd56rDymee/JGH8o8+XHDs9OKdKDBtZOyyDp2ADx182i7T+fkIvvT9146/7+29dvaj117viTzvqZIu6Z131AD0/B3Rq8jVNVty4nz7VZ0P9lh9sCp9LD6ArwKYrzzlRGHZlzJVSDFyONyVYqTAro0DxiLtJ9rVpQEriLONKd944SkrHiKBdTF9Xk6im+sxQ8uFp6zgiNAHnvlBx3TEi4Z9+SBo1vEcQcaz4IOu1LWY5ekszoR3MjsLvPj4OPHyaTzzhD87FWGYnB2f1mPuVF1rY5ZU1/Z7tzS+gPG5V9eMIIjgBFfXl9XsogJqsdvVnN5a72oVo93evx3822u9Qv7Dsx8uj3T92eLMV6lhn6pKevVXPJSf+juRpVuB0VMC7im4mF3WklVdyNUcoXfte9/70WvT3kvfm/1dT/h+b/6O+lj3Fqjjax9X8l/NWe71vJ6S+9UBOl/rfLLH6hNEhIeLW/MWFyMJj7bt+9r9xH1WFIfylpECm2EBw5FIfZtq5xsDVpSrIHA58RA5pFOB21y+GVouU2UFR4Q/DoHLiYZ9/SBobQK3fTwLPuiq8urvn9N2Rgn7w9nJ6y9//1WNJwgK1qRdcyumWMU0VVyZbcXI0qboSmvsdbKxq8+YxbFA6Xm30kdSM+oMlfIwf2FAtvZSmDObu16UW5RORP7OQeSrD0Fiim1UkhhPAt+bUuYfKvMPlfmHJvMP6eYLvPnwjSlp/VBZP1TWD03WD+nWw596emBdbIBLikJRFCaKgkxxaV+zhQL3+IyV6WNl+thk+phuOjyeI/c0peUTZflEWT4xWT6hWV49O7ddZibTrmVkv98nMToebC0pN5lqganmwt9TaHb631X7frPD+LDaq5Kz92dyMv9u3RSmvXemV/3noX6CvysBZVajUrrOasGO/KCupYhy+SFWn8WZ/CDUpRVClQsm6rMkkR9SX31QP5KqH8nUlRaZ+ixXP5LLHw79UH1QnwW++hCpD+q3ofqtuv8iVDWIocqmofp3w0j+BWEcqA/qt+ofD4X6rRDyQ6J+LlGfqX88TNVnmfosU5/l6rNcGNIxeQhcpONg51D5/VD5/VD5/VD5/VD5/VD5/VD5/VD5/VD5/VD5/VD5/VD5/VD5/VD5/VD5/VD5/VD5/VD5/VD5/VD5/VD5/VD5/VD5/VD5/VD5/VD5/VD5/VD5/VD5/VD5/VD5/VD5/VD5/VD5/VD5/VD5/VD5/VD5/dDk90O63wXe76hkMFRuHyq3D5Xbh8rtQ+X2oXL7ULl9qNw+VG4fKrcPlduHyu1D5fahcvtQuX2o3D5Ubh8qtw+V24fK7UPl9qFy+1C5fajcPlRuHyq3D5Xbh8rtQ+X2oXL7ULl9qNw+VG4fKrcPlduHyu1D5fahcvtQuX1ocvuQ7nZ4YF1bAAU7hXJ/odxfKPcXyv2Fcn+h3F8o9xfK/YVyf6HcXyj3F8r9hXJ/odxfKPcXyv2Fcn+h3F8o9xfK/YVyf6HcXyj3F8r9hXJ/odxfKPcXyv2Fcn+h3F8o9xfK/YVyf6HcXyj3F8r9hXJ/odxfmNxfkN3PrtyCnbHy+Vj5fKx8PlY+Hyufj5XPx8rnY+XzsfL5WPl8rHw+Vj4fK5+Plc/Hyudj5fOx8vlY+XysfD5WPh8rn4+Vz8fK52Pl87Hy+Vj5fKx8PlY+Hyufj5XPx8rnY+XzsfL5WPl8rHw+Vj4fK5+Plc/HJp+P6T6HCzWS5Ax2JsrlE+XyiXL5RLl8olw+US6fKJdPlMsnyuUT5fKJcvlEuXyiXD5RLp8ol0+UyyfK5RPl8oly+US5fKJcPlEunyiXT5TLJ8rlE+XyiXL5RLl8olw+US6fKJdPlMsnyuUT5fKJcvlEuXyiXD5RLp+YXD6hufw5reywga76qKOQkjmwUmTGBwdmLFEvm+y9TrYX2CUAFcy/b85VWFwNUd/r2Kvq4L6RGvm9qszt60Ub3XIbrKm4e9QrH1T3S3whf+AdvbZ+WJ2ltlDXO+pHFgdsfSG/rdr2Hqhqvd635O/vlV9WxXf1v7GjNut+XX5a/Zl7VWHgE/UPvl9+KK3+rPxt+WFjQP/bzb+gYJ5VpWlPFod3mbYxqe5fFZKMXXxUEwXKRKJ5e2TzVlf01+/Xa7k+kmoosO0AtVdpatuj2ghsOFhzE5Jq3aoMXbNtL45iU98e1cLN9e1FaoIdRXXrTGS/OJKMB0zF+L69MDO27ZGNBaZiZNtedH5vZGS5N5JsNTAhr7e002zIRuryNjPGAR0DmNgIyyNNJ010fm9k1HJvJJlCICnAz5Hy7PbSsMszdarBwGwI3tsGxJ5CxZ4CGHtGdDRg/sS17Rnjzi26ocAkiujai84vizS/rEd0izGJlfTUNAUDLfGmICMwd+1F55dF2mPNmE4AzK3I5Qb17CyNujxXpxirrD2W389P4hMvmJ74XhxGoZflWe5FZ8eR7wdn07yJncZp/CvTLuuKLZNjOZkPcZhQPt2E34KFmfTrQK6zgiBqwqCrAf9HFb2qlYC6+LVaE/ixKgpu2vJUhfGOmm2rtr3q8/pwxQ/Kj+Svz6orfco/lHf19/ntsnpEwD2y9uyXEQNR84aYJRvPWeREYan59fV3Luyzkrgr+eWkWBUOFgrorDyI/H6sjeMDVhRnJb+J8b5IVjxEeO9ibrmcYTbXC0aW+yJZwRHhDzwtgo7piBcN+/pB0FpKfgHjWfBBV9pzNp1Fp8d54CW5/ANxpC75idJjT5wch9MgyWI/nd12rz1DnS+k9oywvoDxudeejCCI4ATVnh/VEvNeT7W2Vff3vCFV5i/mP6u62r7V3BL5zfw9KUOlMv12pTUDYblah9MFAu6CtcUmIwYi2iLEZtuWDCMQi+Q0zFT3WUkcSk5GCmzOA4xGnGb9wLQTxIjiTHKmxi4zVjxEVO9UcjZ3C0aWyyJZwRFBkCw5TWM64kXDvn4QtDbJ2T6eBR90c753rbXUM+2wOskkKmMbbe6v0jqqTgr1KynXyfauRpA1q5O065F1LVGzCPlISUUlDp9W9/29V/+2p24kPD9vrDpi7KvFXYPvVb+5Xx2D8E1VjPRgcZ5CdUzAw8WRYosfr24wlCZ8XdUSNX9LdahC9ZUn859JlfNs/mYvSNRJWFKJqlPNnvXCoGeRpUTvxjDvdlJ8RDRRoEwEmLdo2vhj+flO75/e/p1q9/ebg8S1CmCPbDpwKxahgk2nLFAtBO6oYmStuSKJaCNwM3VdwUq0DrNxCvCf1ncDsnUbrEYSqhpJdQRFqkEoao70jWJ7XRIVFJiE8XVJWZiYC5Oo1gKzMLYwKT4vTDJex3eTbjUwF3eh5BXM1sCCcUDHiJEYhGKBeOviQFgKk6gUAkkBfo6UZ7eXhq0YPKQbDMyG4OkQIAwVKgwVKgwVKgwVwDA0okMCEyquRMkcgm7RLQWmVUyNUnxeo2R8b4/oFmNSLekBWk437aGnICNw1yjFWxcHwFKjRCUA5ll0jVK8vTRqxdgJzdjqkTk+i2ZhPvWm0yBT5yRmXubP4s2dLB5ae/QFDhPKp5v2W7AwU38dyHVWEMSKInRN4G7VIPTcSsCi56f6UtUltDgFMfT95anUO735e/OfLLucxPwdYZmcM7pDwN0BnyHrMPZYMRDLpV3MlhlJHG8WMZI43CxipMCuVgNGwzRHZ6Rwtk8Upn0hdHw3ePkQYb2L6eVyktlcHBpZLoJlBUdEPvDMCDyoI1427LsHYWvbKWof0IIPuhKdWZKFJ+lp6h1Hqe/FyezMy0/iYy/KIz8/y6fTaFaHVqei07SPlGB9AeNzLzoZQRDRCSo6f72yC3SvV/6y/G35Wfn78hOvakj/pKqD/7CugNdB77JCCzj02tKSEQMRYBHS0lz7zojCoi39fn0x9mVxyYjiUFwyUmATHGQ4dBQDVgpn4jLwzYddswIi4nen6jJpxIjlWlRWcETwI6tL86iOeOGwbx8Erk1eto9owQddycvTMI5FMJ16qUiDpRT1N72mqS37kfLSereNzhcwPvfykhEEEZ6g8vJuXbz089Vuy2dedWDSnflPqsXN6nqXjwP9+7vLSi3g1HB9GRpr9/dYYRCBthOVyYjCojKDfqYj2WclcSgyGSmwaQ4wGiaRyUjhTGSKfiZ0eDd48RAxvFOJ2VwwF1kuDGQFR0Q+ssQ0jemIFw375kHQ2gRm+3gWfNCLq1ROxHHkx/InTs+OvTgPfC+fimPPPz6RX8hEHKXHt90LzFjnCykwM6wvYHzuBSYjCCI4QQXmp+qszfnb6p5AKTIXVfBSUz6uD8r/anFsx6dKW+p4d1l5BZwXLi11GHusGIjQihCVbZ2UjEBM0tK0Oc5I4lBaMlJgExxgNEzSkpHCmbQMsr6+RO0GLx8ifHeqLZu73SLLXX2s4IgASNaWxkEd8bJh3z0IW5u4bB/Qgg9aqUubaOy2bdK0Hplb6KI0WqXbeNsk0d7VkPHntsnL3t0lezeGebeTtkmiiQJlIsC8Rdvk59Wd3o/nb8GbJ4kAq7GfsXmSaCGw1wOjZM3Nk0QbV3UqU/Mk0TpMRwfAfybtSbRuc82TsbpETd13FsTqUPd4ebBybm+epIICU3HHzZNUa4G5GNs8mZ83T+aW5kmq1cCM3IWAVzBbAwvGAR0DmPrWaZ7Mty4OhKV5kkohkBTg50h5dntp2IrBQ7rBwGwIngUBwlChwlChwlChwlABDEMjOiQwoXbYPEm1FJhWMc2T+XnzpPG9PaJbjEm1pAdoOcm0h56CjMDdPJlvXRwAS/MklQCYZ9HNk/n20qgVYyc0Y5W1x/GxHwb+1MumZ7EXJ3HiHQfT3Ds7mSYnQRT76XS64DFO6S1rGtRpval5MvZxmFA+5/tAnCCIhUToysDlOvbvLqblPfXl8lF9e9sdOf9fTOeriqMv5G/eUtcoVxP5L6pblKvL29SfeFyvFNS3xOnctMvqJgF3E3z+rMPYY8VArJ4iZtHGmiROFJaNI7+vv1JgnxXF3c4RJ8WqnLBQrDl756RwtnOUmQvfWfkQAb+LiWcz/ZQTh8VGw+ITHfgBLzgi9oHnTOBBHfGyYd89CFvLzhFgQAs+6KtblhSZ2irr+ysQvoDxuZejjCCI6ASVo2uXJXHyCjjv2rqSEQMRWxG6sqUsiROIRV0ay5I4SRyKS0YKbIIDjIZJXDJSOBOXlrIkVj5E+O5UXAaNFrHcWssKjgiAZHFpKUtiZcO+exC2NnHZPqAFH/TVbaqMTEVMcYj1BYzPvbhkBEFEJ6i47KipkpNawKnhEtPWVMkJg4izCKFpXsBkRGGSmIamSk4ShxKTkQKb5gCjYZKYjBTOJKa5qZIVDxHDO1WYzQ2HseXGSlZwROQjK0xzUyUrGvbNg6C1Ccz28Sz4oK/uScSRqakyjrC+gPG5F5iMIIjgBBeYvCcRc7pDwN0BV546jD1WDETkRWhOU+k5JwmT5DStajKSOJScjBTYxAcYDZPkZKRwJjktJxGz8iHCeqeas7niMLZcWckKjoh8ZM1pOYmYlQ377kHY2kRn+4AWfNBumy1NMjK20sWrdJtutqTauxoy/txsedm7u2TvxjDvdtFsSTVRoEwEmKeup1yO+fxd6W21Pf60r5ouVbOl0C787ZEBgO0lXSheooXA3hCMkjU2W1JtBHaFrKtRidZhOkAA/jNpT6J1G2y2VDdVxuqmyjitG5xi+yWVZEZgFu62z5JsLTANI/ss4/NLKmPLJZVkq4HJuAvtrmC2BhaMAzpGjMTANzzF55dUxi2XVJIpBJIC/Bwpz24vDVsxeEg3GJgIwRMgQAQqVAQqVAQqgBFoROcDptHuWizJlgKTKaLFMj6/n9L8yh7RLcYkWNKzs5xa2qNOQUZgbrGMz++ntEecMZ0AmGKxLZaxup9SH20mNGOVtce+yAM/m3lJcjLz4qlIvDxNhHeSh/EsPvGPs+P6hTVO5C0rGdTJvLHFUuAwoXzud4UYQRDLh+usB5RflI/kNP5ONT+Xk/u66bL8x6pn8m3568fy1xuLb8uv1UVJ1Rk+n5YflB965d3qfqFPyt/Ij38oP9vpRb6pNmaX1WUC7jL4DNpas8QIg1hFRcymzTVLjCg8G0g6jn1WDofbR4wU2CVswFiYpvCMFM62j9K+0B6IcIMXDxH+u5iBLuehzbWHseUeS1ZwRNwDT54uzTP69c2Nl+dDnGjYNw+C1rZ51D6eBR/01b3GMjb2WyZYX8D43GtTRhBEcIJq026useSEFnBouLrUYeyxYiDiaye6khGFRVear7HkRHEoLRkpsAkOMhw6igErhTNpabvGkhUQEb87FZfNpYex5RpLVnBE8COLS9s1lqxw2LcPAtcmL9tHtOCDvrrHecTGjssU6wsYn3t5yQiCCE9Qebn+cR6MvALOu7ayZMRABFeEsmw7zoMRiEVfmgvfGUkcyktGCmyCA4yGSV4yUriTl5bjPDj5EOG7U3XZ3HgYW26wZAVHBEC6urQc58HJhn33IGxt4rJ9QAs+aLeF70JHJ+ViZqUTq3QbL3wn2gustYOqvX+phe9E78Yw73ZS+E40UaBMBJjXXDDUFLz/09u/s5W7E80GVvkh5K6x3J1o4aqGZS13J9oIrNBbV5kSrcNU4wH8Z1KcROs2WO6e7xwEQl0wJIKm2DSzl7tTGYG5t+Nyd6q1wOSLLXfPzsvdjbcu3qRbDUzBXSh2BbM1sGAc0DGAuW6dcvds6+JAWMrdqRQCSQF+jpRnt5eGrRg8pBsMTITgaQ8gAhUqAhUqAhXACDSi8wHTaIfl7lRLgckUU+6enZe7G1/ZI7rFmARLenaWE0p71CnICNzl7tnWxQGwlLtTCYApFl3unm0vjVoxdkIz9sru+QhjuXuOw4Tyud/zYQRBLBpCVwHW3/Nh5BVwXvikV4exx4qBWPJETILb9nwYgRzv+TCSONzzYaTArjsDRsM0A2ekuBJ7Ppx8iPDdxQxyOY/Mmy0CyxW1rOCIAAie/IAHdcTLhn33IGxtez7tA1rwQVfiMhXx8UycZp44CSIvjnPfmybTwDs7zk9Sfya/eyxuuxeX2nXha3L6i/UFjM+5uOQEQUQnqLjU1Kvfl58+WBzi/qB8NL9THeWubqx8VN1HSbixUu0Y/UX5f6ufVN94qn7fC/yeqre2lMFz+lLAfbmucOXEQMRthHA1lsFzorBIVvOdlpwo7jQrJwU2b0KGQ0cxYKVwplktd1qy8iGyQpeaVTRXIArLnZas4IjYR9asljstWdmw7x6ErUWzAga04IO+uud/CFMRvLBfwaTxBYzPvWZlBEFEJ6hmvQrnf3C6TMBdBpemtvM/OGEQQboTgcqIwiJQDSuqnBwO1SkjBTZDAsbCpE4ZKZypU/P5H6x4iPDfqThtrlAUljsxWcERcY8uTo3nf7CiYd88CFqbNm0fz4IP2m0NfaKjk2oztNIlq3SbrqGn2gss4FtHLP4LqKGnejeGebeLGnqqiQJlIsC8Rem8HNqfLRaky4fq2HhVAJ7u9HrV0fLVj9z35DPycx3MHhkGWFCIkL6mynqqhcCSQISiNVfWU20EFgOuq1aJ1mEK/wD+M6lQonWbq6wXkSqqj9UHdaS8SOriVhFay+vJoMC03G15PdlaYF5GlteLcFleL4yXO96kWw3Mzl1oeQWzNbBgHNAxgGlwjfJ6afvFgTCX15MpBJIC/Bwpz24vDVsxeEg3GJgNwRMiQBgqVBgqVBgqVBgqgGFoRIcEJtTuauzJlgLTKqLGfhl+blne2yO6xZhUS3qAlhNOe+gpyAjMNfbLsNMMgLnGnkwAzLPYGnv57CyNWjF2QjO2emRA98MpHuP03rK+QZ3im2rsRYTDhPK531JiBEGsKUJXCbgvGuZ0h4C7Az5n1mHssWIgFky7mC0zkvDsE5lq7zlJHO4UMVJg16sBo2GaozNSONspslw0zMqHCOtdTC+Xk8zmXlphuWiYFRwR+cAzI/CgjnjZsO8ehK1tr6h9QAs+6Kt7VnxirL2Psb6A8bkXnYwgiOgEFZ3dnBXPCS3g0GtLS0YMRIBFSEtzDRIjCou2NJ8Vz4niUFwyUmATHGQ4dBQDVgpn4tJ2VjwrICJ+d6ou40aMWC7FZQVHBD+yurSdFc8Kh337IHBt8rJ9RAs+6EpenoZxLILp1EtFGiylqL/pNc1I5wspLwXWFzA+9/KSEQQRnqDy8m5dzvTz3vzH5UP1m0prVo2d31Tf+Um1uFkVwn8c6N/fXVZqAaeG60trpTsjDCLQdqIyGVFYVGbQ156ftM9K4lBkMlJg0xxgNEwik5HCmcgU/Uzo8G7w4iFieKcSs7kbUVjuumQFR0Q+ssQ0jemIFw375kHQ2gRm+3gWfNBX92C6pB/rfCEFZoL1BYzPvcBkBEEEJ6jAXPtgOk5eAeeFS0sdxh4rBiK0IkRly8F0nEBM0tK0Oc5I4lBaMlJgExxgNEzSkpHCmbS0HEzHyocI351qy+ZiRGG56pIVHBEAydrScjAdKxv23YOwtYnL9gEt+KDdNlKmOjopF1MrXbpKt/FGSqK9qyHjz42Ul727S/ZuDPNuJ42URBMFykSAefUdRMvuyZ5Xn6BSX1I0f0sHsEcGWI39jM2TRAuBvR4YJWtuniTaCOzyWFejEq3DdHQA/GfSnkTrNtg8mamWSXU3UaLuJkqam0FEam+epIICU3HHzZNUa4G5GNs8mZ43TxrvarxJtxqYkbsQ8Apma2DBOKBjAFPfOs2T6dbFgbA0T1IpBJIC/Bwpz24vDVsxeEg3GJgNwbMgQBgqVBgqVBgqVBgqgGFoRIcEJtQOmyeplgLTKqZ5Mj1vnjS+t0d0izGplvQALSeZ9tBTkBG4myfTrYsDYGmepBIA8yy6eTLdXhq1YuyEZuyV3QdKjc2TGQ4Tyud+H4gRBLGQCF0ZWH8fiJFXwHnhE2Edxh4rBmIZFDEdbtsHYgRyvA/ESOJwH4iRArsWDRgN01yckeJK7ANx8iHCdxfTyOVkMmu2DSyX3bKCIwIgeAYEHtQRLxv23YOwte0DtQ9owQd9davYU2OTZI71BYzPvbhkBEFEJ6i47KqKnZFawKnhEtNaxc4Ig4izCKFprmJnRGGSmKYqdkYShxKTkQKb5gCjYZKYjBTOJKalip0TDxHDO1WYzY2JwnIFJis4IvKRFaalip0TDfvmQdDaBGb7eBZ80Ff3BszU1CaZ+FhfwPicC0xOEERwggrMK30DJqcvBdyXcNmqw9hjxUCE7S4EKycKi2A134DJieJOsXJSYPMmZDh0FANWCmeK1XIDJisfIit0KVmT5sLExHIDJis4IvaRJavlBkxWNuy7B2Fr0ayAAS34oK/uccWpqfMysd+4pPEFjM+9ZmUEQUQnqGblPq6Y0x0C7o61ZScjBiL0ImSnqT6dk4RFdRp34jlJHIpORgps4gOMhkl0MlI4E52W44pZ+RBhvVPR2dyEmFhutmQFR0Q+sui0HFfMyoZ99yBsbaKzfUALPmi3HZnarTMpI0MrXbZKt+mOTKq9qyHjzx2Zl727S/ZuDPNuFx2ZVBMFykSAeU0nps7MPbKZwE6TLnQt0UJgmwhGrxr7Lqk2AhtE1lWiROswzSAA/5kUJtG6zfVdJurSykRdWpmIutcpsd9XSWYE5tpuWy7J1gKTLbLlMjm/rzKx3FdJthqYcrtQ6Apma2DBOKBjAHPbGi2Xyfl9lUnLfZVkCoGkAD9HyrPbS8NWDB7SDQYmQvA0BxCBChWBChWBCmAEGtH5gGm0u25LsqXAZIrotkzOr6o0v7JHdIsxCZb07CwnkPaoU5ARmLstk/OrKu0RZ0wnAKZYbLdloq6q1EebCc3YK7v3k5m6LZMIhwnlc7/3wwiCWCSEzvrZ934Y3SHg7oDPgXUYe6wYiBXQLubIjCSO934YSRzu/TBSYNefAaNhmpkzUlyJvR9OPkRY72JmuZxfNjcbJparKlnBEZEPPCkCD+qIlw377kHY2vZ+2ge04IO+ukXymakLM4mxvoDxuRedjCCI6AQVnVe7SJ7RlwLuy7UVKyMGIm4jFKu5SJ4RhUWyWorkGVEcalZGCmzehAyHjmLASuFMs9qK5Dn5EFmhU83aXJeYWC7AZAVHxD6yZrUVyXOyYd89CFubZm0f0IIP+uqeHJIZGzsF1hcwPvealREEEZ2gmrWjk0M4qQWcGq4uQ99YXLXHSoMItJ2ITEYUFpFpPDqEk8ShxmSkwOY5wGiYNCYjhTONaT46hBUPEcQ7lZjNhYmJ5QJMVnBE5CNLTPPRIaxo2DcPgtamMNvHs+CDlv/7W0UeL8CVwvobm5LstkI+19FKDZlYaMM8XKV1VCEf69dpr5PtXY0ga1bI/2r+7vwNKfLuV8uN9yu596h8+HyV/DpF7ovLb57Nf7pSiP+wWv+s/vQ3iwVO+Te8o75U/cOPVkvkQ1s1PNGTMcyTnVTDE00UKBMB5i2q4SOpfx/1Qjkhj0x18USDgeWACHFr3PMnWggs6MNoVnNdPNFGYCnfumqUaB2mbA/gv1TE+mqIAdnCDdbGp6osXl1MlORNZWpir42nMgKzLL42Pgpzc2081VpgmsXWxifntfHG2xpv0q0GJtsupLqC2RpYMA7oGMBMt05tfLJ1cSAstfFUCoGkAD9HyrPbS8NWDB7SDQYmQ/B8BxCBChWBChWBCmAEGtH5gKkUVxtvjj636JYCEyqmNj45r403vrJHdIsxSZb07CynkvaoU5ARuGvjk62LA2CpjacSAFMsujY+2V4atWLshGZsNVcIxFl6GkdelM8CL46SxJvmp7kXHs+i0zjwT+TvFjzGibpl5YI6WTfWxtsuXNJgQvl0U3oLFmZarwO5zgqCWC2Ezvf/j5xvy0l4+aQqg69q5C9u/dybv6cD3WUFFXBQ+Fx3wVoV/y9Z35Z8d+QXHzS7Wp+rpYzFp78v75afyI+/Kj8oP+uVvyzfL/9BfumD8qPyw95oV06aD/5K55o9VtesigiLaxCzavOWESMKy5aRdnlgn5XD4YYRIwV22RowFoHwDXWpA1YUZ7tGYWSuTOLkQySCLuaiyxlp2mwzWC7JZQVHRD/wNAo8qCNeNuwLCGGzDugIMqAFH3QlU5PpNDuOjnMvTaLYi/2z3JuKE/nBD4OTWST/omai71SmaqOWlKm2+520voDxuZepjCCI6ASVqf+oCuFV12b5uDpzqXwyf2/+hpSo6rLMxebQzX8TlU+rT0MxfycUth0iRngBh4dLVx3GHisGItDCZaba9tOhvMSKwiIzfX3t4j4riUOhyUiBzXOA0QjDpB9qB2TAiuJMaEZp3xc6vhu8fIhQ3qnQbO5aTCyXZ7KCI+IfWWgaB3XEy4Z9ASFsbUKzfUALPuiF0DzL/OTs1PfOQv/Mi0+S3MtO89w7mc1iP4nOpn5cZwqnQlMbtaTQzNG+APG5F5qMIIjoBBWal9s21W+rUqhFr+a9RaWTEp698qPy/fJu+Vn5Qfmx/PVJo0RHngh65fs6h+yyOkTAHbK2+GTEQARfuPi0rHEyojCJT2PvJSOKQ/XJSIFNfoDhCIKoH+hHZMDK4kx+Zlk/M61zcvIhAnyn8rO5iTGx3KzJCo6IgGT5aRzUES8b9g2EsLXJz/YBLfig3Z4YH2jH9FqQ2m9hylfxNl0QT7UXWKMHFYT/AgriqZ6MYZ7soiCeaqJAmQgwD1oQTzUYWAOIkLWmgniqhauKlbMgnmojsH5vTRlKtQ5Tqwfwn6Ugnmrh5gri02BHfgjVh6guR019a0E8mRGYZrstiCdbC0yzyIL41F8WxKfGGxpv0q0GJtsuxLmC2RpYMA7oGMBMt0ZBvLT94kCYC+LJFAJJAX6OlGe3l4atGDykGwxMhuAZDiACFSoCFSoCFcAINKLzAVNpdwXxZEuBCRVREL+MPLcsr+wR3WJMkiU9O83csSXqFGQE5oL4ZcRpBsBcEE8mAKZYbEG8fHaWRq0YO6EZe2U3gALfVBGf2i+wu8QJBXS+A8QJglgghE74+XeAOB0i4A6BT4p1GHusGIj1T8RU2bgDxInieAeIE8XdDhAnBXb9GTAc1h0gTparsAPEyocI8F1MMpdTzeaK2dRyZzArOCICgudH4EEd8bJh30AIW8sOEGBACz7oq1vpLvWnodQ9DdHOAAG615+MIIjwBNWf3Za6c8ILOPzaWpMRAxFp4VrTXOrOicKkNSMdyT4riUOpyUiBTXSA0bCVunOiOFOallJ3Vj5EKO9UaYaNMLHcgssKjoh/ZKVpKXVnZcO+gBC2NqXZPqAFH3SlNGfBcRTFJ6l3Ik4CqUrj0JvGIvDOpnGYi5N0epbUb7NbpakNW1JpRlhnwADdK01GEER4gipNzdkfb5ePqpuFflqfhzHeOzq6tjvs/eW1wxf/end4bdy7dvNmbzQ5Gg2LvZ7OC7usXhBwL6wtORkxECEXLjkty5uMKCyS03AbJieHQ8HJSIHNd4CxsJUfMZI405uJ+XYhVj5EQO9UbzYXKKaWGzFZwRHBj6w3g7AvtFdHjHjZsO8fhK1Nb7YPaMEH7bi23bRXHtvwMn8Vb+O17UR7V2PGn2vbqZ6MYZ7spLadaKJAmQgwD1zbTjQYWM6HULTG2naihcCCPIRQtdS2E20EluKtK0KJ1mHK7gD+0/puQLZug3XtQpW0J+pD2lSVxva6diojMMV2XNdOtRaYYrF17fF5XbvxUsWbdKuBibYLYa5gtgYWjAM6RozEIFSZxlsXB8JS106lEEgK8HOkPLu9NGzF4CHdYGAiBM9uABGoUBGoUBGoAEagEZ0PmEY7rGunWgpMppi69vi8rt34yh7RLcYkWNKzs5w32qNOQUbgrmuPty4OgKWunUoATLHouvZ4e2nUirETmrHK2rNTkeczOVM/mx6fevHx7MQ7DoPIy/LcP50liTg9Ewse4yzdskxBnqkb69oFjhMK6H63hxEEsTgInexf3u2pZt9P5Ixf3fr7Rr3jI6fgb1WX/b5xaTOo/L/lR+UHzRHo31U55vy89GrOPhpF6V+ZtoUY3SXg7oJPl3UYe6wYiJVRxCTavC3EiMKzLWS6DpiTxOHGECMFdmEaMBqmuTsjhbNNIcvB7qx8iLjfxdxzOQNt7o9NLfcBs4IjQh942oTZFOJkw757ELa2TaH2AS34oK9wuXtgLHdPsM6AAbqXpYwgiPAElaUdl7szwgs4/NoikxEDEWnhItNS7s6IwiIyzeXujCQORSYjBTbRQUZDRzFgpXAmMm2V7px8iCjeqchMGk1iudOWFRwR+sgi01bpzsmGffcgbG0is31ACz7oK3ymR2CsdE/RzgABuheZjCCI8AQVmQ7O9GB0iIA7ZG3hyYiBiL5w4WlZ3WREYRKexjM9GFEcKk9GCmz2gwyHjmLASuFMedpO8+DkQ4T2TpVnc81harm3khUcEfvIytN2mgcnG/bdg7C1Kc/2AS34oB3XvJsWLG23JUVZsIq38Zp3or3AUjyoFPyXUPNO9GQM82QnNe9EEwXKRIB5lbef9r35e71/evt3oZyba3eA9sgWA2v9EIrWWPROtHBVrLIWvRNtBNbpratAidZhavIA/jMpS6J1Gyx6z3cOAplI5Qd1rHsWNnWnmb3ynQoKTLQdV75TrQUmWmzle3Ze+W68S/Em3Wpguu1CniuYrYEF44COAcx161S+Z1sXB8JS+U6lEEgK8HOkPLu9NGzF4CHdYGA2BM9xAGGoUGGoUGGoUGGoAIahER0SmFA7LH+nWgpMq5jy9+y8/N343h7RLcakWtIDtJxC2kNPQUbgLn/Pti4OgKX8nUoAzLPo8vdse2nUirETmrGVvA2mMxGGZ56YBVMvPk4CLz+eBl6apCf+NPCzJDpd8Bgn7JYVC/Kk3Vj+nuM4oYDut4AYQRDrhNB5/+UtIPmfZ3KOL6fgnvzPo/mduuz9TvlIfuPrpuj9Czkhf6v8XBUoqYm/mt6r5YFn1brB42pSf7+a3j+SP733/xkNj8a94+kPZ73yY7V6MP+p2lwqn+icuMvqRAF3Inw+rcPYY8VALJ0iJtnmbSNGFK5tIx3JPiuJw10jRgrsyjVkNHQUA1YKZ7tGQRz2c9O2EScgIh10MS9dzk6bW2NTyzXArOCI2AeeUsFHdcQLh337IHBt+0btI1rwQS+6NXMhZtFJ5AUiO/aCYJZ5mX+ae74vfJFkWZCLWsa5lauGXaZ6RxHhDBigc7nKCYKIT1C5+pGSlFKsSpmqtqCeSnX5RqU0750r07tV2+Y38/fkF5SgDYRv3jTi5Bdw/nWVJicGItoilKbagPqi39OPy0usQCx606A2OTncqU1OCmy+A4yFQW1yUjhTm6mxA5MVDxHLu9SamV8rk8xyvy0rOCL6kbWmaUxHvGjYNw+C1qI0AeNZ8EFf4QbM0FQbn1kvX9I5AwboXmkygiCiE1RpdtuAyQkv4PBry0xGDESghctMcwMmJwqLwDQ2YHKSOJSYjBTYRAcZDR3FgJXCmcS0NGCy8iGieKcas7kDMbNcaskKjgh9ZI1pacBkZcO+exC2NpHZPqAFH3QlMo+DbJok+YknhPwD8TQ69nJ1LEgWR7OzWR75Z9HJ7Q2IzFjnDCkyQ6wzYIDuRSYjCCI8QUWm5vC5L8pH5TfzO4tFzfl7tdQ8P1Cu/v0/Vjvrb8tfP9atgVbl9p+WH5QfelXP5vvlJ+Vv5Mc/lJ/t9CLftM+7y+pAAXfg2kKVEQMRreFC1bzzzonCIlSNx9FxkjgUqowU2GQJGA2TUGWkcCZUjSeX3eDlQ2SCToVqc4ViZrkTkxUcEfrIQtVyHB0rG/bdg7C1CdX2AS34oB33a2pXL6T0jKx44Srepvs1qfauxow/92tSPRnDPNlFvybVRIEyEWBe3a9p79WkWgvsTkGIWVOvJtVCYGsJRqMaezWpNgKbStZVn0TrMA0kAP+ZVCXRus31amax6tBUtxRl6pairLkjJIusvZpkUGCS7bZXk2wtMMkiezWzaNmrmRkvZ7xJtxqYaruQ5gpma2DBOKBjAPPcGr2a0vaLA2Hu1SRTCCQF+DlSnt1eGrZi8JBuMDAbguc3gDBUqDBUqDBUqDBUAMPQiA4JTKjd9WqSLQWmVUSv5jL83LK8t0d0izGplvQALaeP9tBTkBGYezWXYacZAHOvJpkAmGexvZry2VkatWLshGasshZ2qbDiMU7WLasV5Am7qVczi3GcUED3u0WMIKsixDZAwDn/5d2iS3cRjWVqubY77P3ltcMX/3p3eG3cu3bzZm80ORoNi72ezgu7rF4QcC/AJ8M6jD1WDMS6J2KWbN7yYUTh2fLRceyzcjjc8GGkwC46A8bCNDVnpHC24ZP45up3Tj5EMO9iVrmcW8bN/oDlFlxWcETgA0+IMBs+nGzYdw/C1rbh0z6gBR/0FS5/j4yNlgLrDBige63JCIIIT1Ct2XH5OyO8gMOvLTEZMRCRFi4xLeXvjCgsEtNc/s5I4lBkMlJgEx1kNHQUA1YKZyLTVv7OyYeI4p2KzOZOxMxyySUrOCL0kUWmrfydkw377kHY2kRm+4AWfNBX+DSPyNhjmWCdAQN0LzIZQRDhCSoyuz/Ng5FfwPnX1pmMGIhgC9eZrad5MAKxqE3TgiYjh0OtyUiBzXeAsTBpTUYKZ1rTcpoHJx4ilncqNZubETPLVZes4IjoR5aaltM8ONGwbx4ErU1pto9nwQd9hW+6jIyNlvbLlzTOgAG6V5qMIIjoBFWa/DddcjpEwB2ytvRkxEAEX4T0NO+iM6KwiE7zTZecKA51JyMFNvtBhkNHMWClcKY7LTddsvIhQnunwrO5GDGz3HTJCo6IfWThabnpkpUN++5B2NqUZ/uAFnzQjjsnTVrSfjVItIq38c5Jor2rMePPnZNUT8YwT3bSOUk0UaBMBJgH65wkWrsa1Rk7J4kWrgpV1s5Joo3AFo911SfROkw7B8B/JlVJtG6DnZPqlstc3XKZB023kv2CSzIjML923DRJtRaYX7FNk+cXXGaWCy7JVgOzbBeqXMFsDSwYB3QMYIpbp2ny/ILLrOWCSzKFQFKAnyPl2e2lYSsGD+kGAxMheGoDiECFikCFikAFMAKN6HzANNphvyTVUmAyxfRLnt9taX5lj+gWYxIs6dlZThrtUacgI3D3S57fbWmPOGM6ATDFovsl1d2W+mgzoRl7dTd9YmO/ZI7jhAK63/RhBEGsDEJn+g42fRgdIuAOgc+GdRh7rBiIhU/ENNm86cOI4nrThxHF4aYPIwV24RkyHDqKASvFldj04eRDhPYuppfLSWZzq2FmuaeSFRwR+8AzI/CgjnjZsO8ehK1t06d9QAs+6CvcPWnYcrkW1BeYYpwBAnSuPDlBEOEJqjy77Z7khBdw+HVVJicGItLCVaa5e5IThUllRjqSfVYSdyKTkwKb6CCjoaMYsFI4E5mW7klWPkQU71Jk5s2FhrnlgkpWcEToI4tMS/ckKxv23YOwtYhMwIAWfNCL7slTkeezk9Q7mx6ferE6uv04DCIvy3P/dJYk4vRM3N6AyNSmECky7TcpaZwBA3QvMhlBEOEJKjI1lwd9U6nOR1JKqqbJRQfl/M78LfkNteK5elpc+X/Lj8oPyrvy10flh99VYvT8oqFKpY5GUfpXPZ27dlndJeDuWluWMmIgYjNclpoXPzlRWGSp8aogThKHspSRApsaAaNhkqWMFM5kaRgZOy1Z+RBxv1NZ2lyBmFvutGQFR4Q+siy1nBzHyoZ99yBsbbK0fUALPmjHBe9ChyeFZmjFi1fxNl3wTrUXWIoH1Yn/AgreqZ6MYZ7souCdaqJAmQgwb1HwLr0tffpPb/9O1WunOpP3yCYDi/0QitZU9U61EFiuhxGqxqp3qo3AQr11JSjROkxRHsB/JmlJtG5zVe95pAre1aVBubo0KE/qwtM8tJa+k0GBmbbb0neytcBMiyx9z8Nl6XtuvCjxJt1qYL7tQp8rmK2BBeOAjgFMdmuUvkvbLw6EufSdTCGQFODnSHl2e2nYisFDusHAbAie5ADCUKHCUKHCUKHCUAEMQyM6JDChdlf/TrYUmFYR9e/L8HPL8t4e0S3GpFrSA7ScQ9pDT0FGYK5/X4adZgDM9e9kAmCexda/y2dnadSKsROasdWcIRBn6WkceVE+C7w4ShJvmp/mXng8i07jwD+Rv1vwGGfsliUL8qzdVP+eRzhOKKD7DSJGEMRCIXTir7kv6Mfy06f1qZvVHpAOdJcVVMBB4ZNeHcYeKwZifRMxETZv7TCisGztaGPePiuHw40dRgrs4jJgLEyzb0aKK7Gxw8mHiNddTByX08eo2QewXDnLCo4IfOA5D3hQR7xs2HcPwta2sdM+oAUf9BUuahfGovYY6wwYoHs5yQiCCE9QOdlxUTsjvIDDry0xGTEQkRYuMS1F7YwoLBLTXNTOSOJQZDJSYBMdZDR0FANWCmci01bUzsmHiOKdiszmmsLccu8kKzgi9JFFpq2onZMN++5B2NpEZvuAFnzQV/hKIGEsahdYZ8AA3YtMRhBEeIKKzM6vBOLkF3D+tXUmIwYi2MJ1ZtuVQJxALGrTcCUQJ4dDrclIgc13gLEwaU1GCmda03wlECseIpZ3KjWbywpzy+2TrOCI6EeWmuYrgVjRsG8eBK1NabaPZ8EHfYVPhxOmK4HyBOsMGKB7pckIgohOUKXJfzocp0ME3CFrS09GDETwRUhP8y46IwqL6DSfDseJ4lB3MlJgsx9kOHQUA1YKZ7rTcjocKx8itHcqPJu7C3PLXZSs4IjYRxaeltPhWNmw7x6ErU15tg9owQftuEMy0eFJLZla8cQq3sY7JIn2rsaMP3dIUj0ZwzzZSYck0USBMhFgHqJDkmjyamhn7JAkWghs6IArVVuHJNFGYCvHuhKUaB2mbQPgP5O0JFq3wQ7JTPVF5jsHoe+rD83VHHlq75CkggIzbccdklRrgZkW2yGZnndIGi9EvEm3Gphvu9DnCmZrYME4oGMAk906HZLp1sWBsHRIUikEkgL8HCnPbi8NWzF4SDcYmA3BkxxAGCpUGCpUGCpUGCqAYWhEhwQm1A47JKmWAtMqpkMyPe+QNL63R3SLMamW9AAt55D20FOQEbg7JNOtiwNg6ZCkEgDzLLpDMt1eGrVi7IRm7NXdA0qMHZL2m5AucUIB3e8BMYIgFgqhE38He0CMDhFwh8AnxzqMPVYMxDooYsJs3gNiRFkVARYU+MzasgfEiOJwD4iRArsODRkOHcWAleJK7AFx8iFCexdzzOVMM2u2DCxX0bKCI2IfeHoEHtQRLxv23YOwte0BtQ9owQd9hevcE2MzZY51BgzQvfJkBEGEJ6jy7L7OnZFfwPnXFpqMGIhgixCabXXujEAsctNU587I4VBrMlJg8x1gLExak5HCmda01Llz4iFieadSs7m7MLdcRskKjoh+ZKlpqXPnRMO+eRC0NqXZPp4FH/QVPrYjMXRUhvWTgXAGDNC10mQFQUQnqNLs9NgOVngBh19TZrJiIAItXGYaj+1gRWERmKZjO1hJnElMVgpsooOMho5iwErhTGKaj+3g5UNE8Q41pip0qDRJ/YkO/IAXHBH6yBrTfGwHLxv23YOw2UUmZEALPuhKZM6C4yiKT1LvRJwEXnwSh940FoF3No3DXJyk07OkfpvdisxY5wwpMu03IGmcAQN0LzIZQRDhCSoyNUcNr142Od47Orq2O+z95bXDF/96d3ht3Lt282ZvNDkaDYu9ns4Lu6xeEHAvrK02GTEQIReuNo2756woLGpTv5zJyuFQazJSYPMdYCxMWpORwpnWTHzTeiYvHyKYd6o1g0aamC+Y5AVHBD6y1jRfMMnLhn33IGxtWrN9QAs+aMftk9pyU6keQytesoq34fZJsr2rMeNPvn2S7MkY5skO2ifJJgqUiQDzwO2TZJOBDSMIPWtonyRbCOz2QMhUY/sk2UZgn8e6EpRoHaanA+A/k7QkWrex9snQj1TTZKw+CPWhvtlNktjaJ+mgwEzbafsk3VpgpsW1T0pzmvbJ2s06q2/SrQbm2y70uYLZGlgwDugYwGRHb59Utl8cCGP7JJ1CICnAz5Hy7PbSsBWDh3SDgdkQPMkBhKFChaFChaFChaECGIZGdEhgQu2sfZJuKTCtwtsnz8PPLct7e0S3GJNqSQ/Qcg5pDz0FGYG3ffI87DQDYGyfpBMA8yyyfVI9O0ujVoyd0IxV1p6dijyfyVn72fT41IuPZyfecRhEXpbn/uksScTpmVjwGGfsliUL8qzd0D4pgxWOEwrofteHEQSxUAid+F/e9anmhk/k7P9pVbu+2PmR0/G35DfU9Hx1U6j8v+VH5QflXfnro/LD76ocU36uVgaquynV/H00itK/Mm0PMbpLwN0FnzrrMPZYMRCrpIjptHl7iBGFZ3uor13f3WclcbhBxEiBXaQGjIZpFs9I4WyDyHxRJS8fIu53MQFdTkOjZj/BfFElLzgi9IHnTpgNIk427LsHYWvbIGof0IIP+gpXvKeG3ko5fcY6AwboXpYygiDCE1SWdlzxzggv4PBri0xGDESkhYtMS8U7IwqLyDRXvDOSOBSZjBTYRAcZDR3FgJXCmci0Vbxz8iGieKciM240ifmiSl5wROgji0xbxTsnG/bdg7C1icz2AS34oK/wAR6psa1SYJ0BA3QvMhlBEOEJKjK7PsCDlV/A+dfWmYwYiGAL15ktB3iwArGoTVPFOyOHQ63JSIHNd4CxMGlNRgpnWtN4gAcvHiKWdyo1RaNMzBdV8oIjoh9ZahoP8OBFw755ELQ2pdk+ngUf9BU+pDg19lYmWGfAAN0rTUYQRHSCKk32Q4pZHSLgDllbejJiIIIvQnqa99EZUVhEp/GQYlYUh7qTkQKb/SDDoaMYsFI4053mQ4p5+RChvVPhmTRCxXxRJS84IvaRhaf5kGJeNuy7B2FrU57tA1rwQcv//e1zoVMJyr+xKcyOOy+1xRJSW6YW3DC/dC+no87LTF9xep1s72oMWbPz8lMpCR+o3e7nxKGhGVKKwg/LX553VC76Iqs/sfja75rvWjfDidwxjLuTPkmiiQJlIsC8RXms9PBz5bGfyy98uVgmVgvE9xej9bTfC/t+GO70or6vQtJlrj0y12r0ZmymJFoI7P2Ai1FbMyXRRmDXx7oqk2gdpsMD4D+Ry/CX6EwckE3cYEdlpvoo86aByXoNJR0PmDfxfZRpbjpZ5Dt0a4F5E9tHmZ73UZqvoaRbDcyeXahvBbM1sGAc0DGAyXCdPsp06+JAWPooqRQCSQF+jpRnt5eGrRg8pBsMTITgKQwg+BQq+BTA4DOiowEzKK570hx4btEtBeZRTPdket49ab58km4xJreSHpvlvNAecAoyAnf3ZLp1cQAs3ZNUAmB2RXdPpttLo1aMndCMrWYSgThLT+PIi/JZ4MVRknjT/DT3wuNZdBoH/on83YLHOOu2LEOQZ97G7knbfUgaTiigbn5u4cLM0XUg11lBEIt/0Mm75szMH8tPn9aFRVUNkQ50lxVUwEHXmgrP35Z8au/qQVMttez77JW/L++Wn8iPvyo/KD/rlb8s3y//oWkS7Y12I7938Fc61+yxugaxDoqYTZv3gBhRVgWDBQU+7RY6jn1WDocbQIwU2EVowFiEeWq4iWPAiuJsF8jWTsnJh0gEXcxDl7PRrNk0MF9VyQuOiH7gKRR4UEe8bNgXEMLWtgvUPqAFH3SlU7MkC0/S09Q7jlLfi5PZmZefxMfyj0Z+fpZPp9Gsjq9udap2eVnq1BzrDBige53KCIIIT1Cdern+SAqy35afSX32iVd+qP4jf/O+/Oyz6gAPHfQuK7SAQ8M1qw5jjxUDEWE70ZeMKCz60lJjxIjiUGIyUmAzHGA4srwfZtrNygErijOJGfiWM905ARFBvFONmTeSxHxHJS84IgKSNaZ5VEe8cNhXEALXJjLbR7Tgg3Z8qLs2FF0LA9+CF2XpKt6mS4uo9gI3R6Gqz3lpEZU7hnF3UVpENVGgTASYp19PXTlaD1NcRCUD7qki5KqpuIhqIXBrFK5CLcVFVBuBm6JrykuqdZgNUID/bMVFVBM3V1wUBDvyQ1jv7we+tbiIjAfMnN0WF5GtBWZOZHFR4C+LiwLjdYg36VYD82cXglvBbA0sGAd0DGA6XKO4SNp+cSDMxUVkCoGkAD9HyrPbS8NWDB7SDQYmQvCsBRB8ChV8CmDwGdHRgBm0u+IisqXAPIooLloGnVuWt/WIbjEmt5Iem2Ym2BJwCjICc3HRMtg0A2AuLiITALMrtrhIPjtLo1aMndCMrRQ3qM1H8Rjn3ZaFB/Lc21RcFNhvjLvECQV0vmnDCYJY74NO3/mbxjkdIuAOgU+adRh7rBiI5UzEDNm4ocOJ4nhDhxPF3YYOJwV2NRkwHLYNHU4UZxs6ls5xVj5EfO9iermcZDZXugaWO3pZwREBEDwzAg/qiJcN+wJC2Fq2cwADWvBBX+Ha9txUMxSEWGfAAN3LT0YQRHiCyk96bTsnqICDwmWlbi/mEqtme8ZW7v5bqcifK3cPe4Zqd05nIWJ3J+KVEYVFvAodxz4rh0PlykiBTZyAsbBVu3OiOFOulmp3Vj5EauhUuYaN0LHcY8sKjoh+ZOVqqXZnZcO+gBC2NuXaPqAFH7Q682hnUSni8KyjUDu2UpNGFswwF6uYzgqSYp2918n2AjdUoZKSWJBUfUkqsboU6dfyOx/t9OTf9uvy08XXQktNEhE9hqF3UpNENFGgTASYhzruKOhL63RAe2Qg4A4sQqsaS5GIFgI3UuES1FaKRLQRuIW6rrwkWofZLgX4L837gakSiWjhBiuRYlWJJNSH5rL2ILKXI1EZgXkTX46URKYL279DtxaYN7HlSNF5OZLxQsSbdKuB2bML1a1gtgYWjAM6BjATrlOOFG1dHAhLORKVQiApwM+R8uz20rAVg4d0g4HJEDx1AUSgQkWgQkWgAhiBRnQ+YCrF1SSZo88tuqXAhIqpSYrOa5KMr+wR3WJMkiU9O8tJoT3qFGQE7pqkaOviAFhqkqgEwBSLrkmKtpdGrRg7oRlbzSVA03DFY5x6W9YgyNNvY01SjOOEAuom6RYuzERdB3KdFWRVf9gGCDiDX2NTiBFUwEHXmgwzHXjE6RrEIihiWm3eAmJEYdkC0q4P7LNyONwCYqTArkADxiIQWT/SDsiAFeVKbAFx8iESQReT0eWUtLkJNrBc7csKjoh+4HkUeFBHvGzYFxDC1rYF1D6gBR90pVPjzD/LT+LEizMReXEq/8D0JPK9KPZP03B25sdR/Ta71anasCV1qsA6AwboXqcygiDCE1Sn/qPaZZLK7Fn5WPWrq0r59+ZvLGrlqxOOpLZTW05vl8/kly/c+6t+RP1EKLbk/0e+b7nwl9MrAu4VuKjVYeyxYiBCMFyAzn86f1OH8hIrCosA9fVFL/usJA4lKCMFNgMCRkMm8zTOdCgDVhRnEjSN+vp+thu8fIgY36kEba6IDSxX/rKCI+IfWYIaB3XEy4Z9ASFsbRK0fUALPuir274ZGvKIlKAJ1hkwQPcSlBEEEZ6gEtRB+yajQwTcIWurT0YMRPSFq0/L8icjCpP6NLZvMqI4lJ+MFNjsBxiOIOhnaaxDGbCiOJOftvZNTj5EfO9Ufjb3xAaWi39ZwREBkCw/be2bnGzYFxDC1iY/2we04IN2expnaNp7Ty14UZat4m28+J1o72rM+OdY/E5Ej2HonRS/E00UKBMB5iEP5LSVvxORgBV/CKFqLH8nWgis2YPrT1v5O9FGYLXeusKSaB2mMg/gP1v5O9HCDZa/q1t+g+aizcB+yy8ZD5g0O658p1oLTJrYyvfzW34Dyy2/ZKuBqbMLqa1gtgYWjAM6BjANrlP5fn7Lb9Byyy+ZQiApwM+R8uz20rAVg4d0g4F5EDxfAQSfQgWfAhh8RnQ0YALtsOidaikwjWKK3s9v+TW/rUd0izGplfTYLCeB9oBTkBG4i97Pb/m1B5sxnQCYXdFF7+qWX32gmdCMvbo7OYGx6D3DcUIB3e/kMIIgVvqgM3cHOzmMDhFwh8AnyzqMPVYMxEImYoJs3slhRFkVARYU+EzaspPDiOJwJ4eRAruQDBgO604OI8qV2Mnh5EPE9y6ml8tJZnPXa2C5vJcVHBEAwTMj8KCOeNmwLyCErW0np31ACz7oK9xzGRhr2XOsM2CA7uUnIwgiPEHl5xo9l4ygAg4Kl5UbPYiT0VmI2N2JeGVEYRGv2oizz8rhULkyUmATJ2AsrF2YjCjOlKutC5OTD5EaOlWuzQWygeVKYFZwRPQjK1dbFyYnG/YFhLC1Kdf2AS34oB3XIBm0aH0wpwkvX8XbdA0S1V7gRipUSm6iBomKHsPQu6hBopooUCYCzEMdwBn2/SjtyaFSn0Q6sj0yGXALFiFWTaVIVAuBO6lwDWopRaLaCNxDXVNfUq3D7JcC/Gc4q2lAtm9zhUihuhE4DNWHqC4ICO3XApMZgemz22oksrXA9ImsRgrPrwUOLdcCk60GJtEuRLeC2RpYMA7oGMCEuEY1Unh+LXDYci0wmUIgKcDPkfLs9tKwFYOHdIOBqRA8cwFEoEJFoEJFoAIYgUZ0PmAi7a4kiWwpMJ0iSpLC87uBza/sEd1iTIolPTvNnLAl6hRkBOaSpPD8bmB7xBnTCYApFluSFKq7gfXRZkIz9uruCYWmkqTQflPdJU4ooPM9IU4QxMIfdCJP3xPiBBVw0LXmxEzncHK6BrEGiphUG3eAOFFc7gBxcrjbAeKkwC5AA8bCcJrdgJXjKmz/sPIhskAXM9HlfLS5cDa03CDMCo4IfeBJFHhQR7xs2LcPwtay/QMY0IIP+gofwhmaCpfqTSSEM2CA7kUqIwgiPEFFqqNDODm9IuBegStaHcYeKwYiBMPVp/kQTk4UFvVpPISTk8Sh/mSkwGZA0Gj42uEYsII4E6CWIzhZ+RARvlMB2twbG1ouAmYFR0Q/sgC1HMHJyoZ9/SBsbQK0fUALPugr3LgZmo7gDCOsM2CA7gUoIwgiPEEFKH/jJqdDBNwha2tPRgxE9IVrT8vKJyMKk/Y0NW5yojgUn4wU2OwHGg5fPx4DVhJn6tPSt8nKhwjvnarPqBErlqtxWcER8Y+sPi19m6xs2PcPwtamPtsHtOCDdlz9btKTsQ0v91fxNl79TrR3NWb8c6x+J6LHMPROqt+JJgqUiQDzkCdwgurfiWzAoj+EYDXWvxMtBJbtwXWorf6daCOwYG9dgUm0DlOcB/Cfuf6daN8G69+FKn1vLoAPY3vpOxUPmDs7Ln2nWgvMndjS9/i89N14p+JNutXADNqF4lYwWwMLxgEdI0ZiEApR462LA2EpfadSCCQF+DlSnt1eGrZi8JBuMDALgqctgOBTqOBTAIPPiI4GTJ8dVr1TLQUmUUzVe3xe9W58W4/oFmMSK+mxWc4F7QGnICNwV73HWxcHwFL1TiUAZld01Xu8vTRqxdgJzdiru58TGaveBY4TCuh+P4cRBLHgB53AO9jPYXSIgDsEPmfWYeyxYiDWMxHTY/N+DiOK6/0cRhSH+zmMFNj1ZNBwmPdzGEmuxH4OJx8ivHcxu1zOMZv7X0PLhb6s4Ij4B54YgQd1xMuGff8gbG37Oe0DWvBBX+Gey8hYzp5gnQEDdK8+GUEQ4QmqPtfouWQEFXBQuKrc5DmcnM5CxO5OtCsjCot21UacfVYOh8KVkQKbOAFjYe7CZORwJlttXZicfIi80Klsbe6NDS0XAbOCI0IfWbbaujA52bBvH4StTba2D2jBB+24DCnW4UkhmlrxglW8jZchEe0FbqJCdeRGypCI6DEMvZMyJKKJAmUiwDx8GZJqhJGhrz5z97KiJZIBt18RStVYhES0ELiLChegtiIkoo3A/dN1xSXROsxeKcB/SdIPM52FA7KFGyxDUvcBh82VnKH9PmAyHjB3dlyGRLUWmDuxZUjn9wGHlvuAyVYDM2gXilvBbA0sGAd0DGA2XKcM6fw+4LDlPmAyhUBSgJ8j5dntpWErBg/pBgPzIHjaAgg+hQo+BTD4jOhowATaYRkS1VJgGsWUIZ3fB2x+W4/oFmNSK+mxWc4F7QGnICNwlyGd3wdsDzZjOgEwu6LLkNR9wPpAM6EZe3U3gmJjGZL1drrLnFBA9xtBjCCIBT/oBH6NjSBGUAEHXW8u7GwjiNFZiNVQxPTavBHEiOJ0I4iRw+FGECMFdikaMBZBFPZFokMZsKJcib0gTj5EauhiZrqcnzY3z4aWq4RZwRHRDzypAg/qiJcN+wJC2Nr2gtoHtOCDvsIF9LGxhCnHOgMG6F65MoIgwhNUuToooGd0iIA7BK5wdRh7rBiI6NuJ9mREYdGelgJ6RhSH8pORApv9AMOR9/PYVInESOJMfdoK6Dn5EOG9U/XZ3B4bWq4DZgVHxD+y+rQV0HOyYd8/CFub+mwf0IIP2nElktDhXQsj34oXruJtuhKJai9wHxUqBzdRiURFj2HoXVQiUU0UKBMB5mGvA26pQ6JyAfdfEWLVVIdEtRC4jQrXoJY6JKqNwA3UNcUl1TrMZinAf5Y6JKqFm6tDitR1wJG6DjhqLuOM7NcBkxmB6bPbYiSytcD0iSxGis6vA44s1wGTrQYm0S5Et4LZGlgwDugYwIS4RjFSdH4dcNRyHTCZQiApwM+R8uz20rAVg4d0g4HJEDxzAUSgQkWgQkWgAhiBRnQ+YCrtriKJbCkwoSIqkqLz64DNr+wR3WJMkiU9O82csCXqFGQE5oqk6Pw6YHvEGdMJgCkWW5EUqeuA9dFmQjP26u7rCFNFUmS9du4yJxTQ+b4OJwhi4Q86keff1+F0iIA7BD531mHssWIg1jURU2Xjvg4niuN9HU4Ud/s6nBTYdWXAcFj2dThJrsK+DisfIrx3McVcTjSba2Ejyz2/rOCI+AeeHYEHdcTLhn3/IGwt+zqAAS34oK/wPb/CVFUUhVhnwADdq09GEER4gqpPR/f8cnpFwL2ytgRlxECEYLgENd/zy4nCJEEjHck+K4lDBcpIgc2AgNEI8n6WxTqUASuKMwlquemXlQ8R4zuVoM3FsJHlpl9WcET8I0tQy02/rGzYFxDC1iZB2we04IO+wi2ZwnTTbxRhnQEDdC9BGUEQ4QkqQektmZygAg4KV5X644nuVYu8DyD9l++X//B8/6XfO/grnWv2WF2DiNRwpWpZLGVEYVGq2inuPiuHQ53KSIFNk4CxsDVgcqI406mWBkxWPkQi6FSnNlfIRpY7gVnBEdGPrFMtDZisbNgXEMLWplPbB7Tgg5b/+9udRbL/G5sO7bgUXhuQpAKNLZhhnqxiOiuFFzp7r5PtXY0dV6IUXv6Bnloum7+l/gL13/kb8rOH7VXxRC/EMC90UhVPNFGgTASYh6qKD/q+vihnjwwErABEyFZjOTzRQmANH1yN2srhiTYCq/fWVZpE6zCVegD/hUHSN262E03cYD28uh44StSHtKlGtd8RTGYE5lB8PbzwM3M9PNVaYA7F1sOf3xEcWe4IJlsNzKRdKHAFszWwYBzQMWIkBqE69fyO4KjljmAyhUBSgJ8j5dntpWErBg/pBgOzIXgaA4hA</t>
  </si>
  <si>
    <t>hYpAhYpABTACjeh8wFyKq4c3R59bdEuBGRVTD39+UbD5lT2iW4zJsqRnZzlBtEedgozAXQ9/flGwPeKM6QTAFIuuh1cXBeujzYRmbDWZAE3JFY9xGm5ZjyBPxY318ALHCQXUTdgtXJhJuw7kOisIYhUQOptfYzuIEVTAQdeaDXNtBzG6BrEgiphXm7eDGFGcbgcxcjjcDmKkwK5GA8YijsK+sWyJEeVKbAdx8iESQReT0eWUtLmBNrJcKcwKjoh+4HkUeFBHvGzYFxDC1rYd1D6gBR/0om9zOs2Oo+PcS5Mo9mL/LPem4kR+8MPgZBbJv6iZ6bvVqdo8InVqgnUGDNC9TmUEQYQnqE61Vs7XbZn/Jiqf9hY18vN3QtGzbCIxwgs4PFy76jD2WDEQkRauMy0F8owoLDrTXCDPSOJQaTJSYBMdYDSSuJ/r9/kHrCjOlKatQJ6TDxHKO1WazaWxkeUWYFZwRPwjK01bgTwnG/YFhLC1Kc32AS34oK/wCSGJsUA+RTsDBOheaTKCIMITVGk6OCGE0SEC7pC11ScjBiL6wtWnZZWTEYVJfRpPCGFEcSg/GSmw2Q8wHFHYjxNtHB+wojiTn7YjQjj5EPG9U/mZNmrFcjkuKzgiAJLlp+2IEE427AsIYWuTn+0DWvBBOz76PdXhSUFpv1cpWsXbeL070V5glR5UD2663p3ohRjmhU7q3YkmCpSJAPP0O/wrF27CKt6JSMAaP4RmNVa8Ey1claOsFe9EG4H1eetqTKJ1mFo8gP+sFe9EEzdY8Z7vHISx35SaZvZidyoeMIF2XOxOtRaYQLHF7tl5sbvxNsWbdKuBabQL2a1gtgYWjAM6BjAPrlPsnm1dHAhLsTuVQiApwM+R8uz20rAVg4d0g4GJEDx3AQSfQgWfAhh8RnQ0YAbtsM6daikwj2Lq3LPzOnfj23pEtxiTW0mPzXJCaA84BRmBu84927o4AJY6dyoBMLui69yz7aVRK8ZOaMZe3V2d1FjnnuM4oYDud3UYQRCrftBZvINdHUaHCLhD4LNlHcYeKwZiURMxQzbv6jCiuN7VYURxuKvDSIFdVAYMh3VXhxHlSuzqcPIh4nsX08vlJLO5/zWyXOjLCo4IgOCZEXhQR7xs2BcQwta2q9M+oAUf9BVus0xN5euxj3UGDNC5/OQEQYQnqPykt1lyggo4KFxW6jZhLrFq9mVsnZe/lYr8uc7LsPdXOmftsToLEbu7EK+cKCziVRtx9lk53ClXTgps4gSMha3xkhPFmXK1NF6y8iFSQ5fKNfZroRNb7sdlBUdEP7JytTResrJhX0AIW4tyBQxowQftuB5Ju+Qrtaj9RqZ4FW/T9UhUe4EbqVApueF6JKoXYpgXuqhHopooUCYCzEPWI4V9Pwx3ejIKBrmObI9MBtyNRehWU1kS1ULgpipcjlrKkqg2ArdT15WaROswW6cQ//mR6Afa0D0g27i5uqQ4VHVJzZXwcWCtSyLjARNpt3VJZGuBiRRZlxQHy7qk2Hgf40261cB02oX8VjBbAwvGAR0DmA/XqEuStl8cCHNdEplCICnAz5Hy7PbSsBWDh3SDgZkQPIcBBJ9CBZ8CGHxGdDRgCu2uLolsKTCRIuqSlkHnluVtPaJbjEmupMdmOTG0B5yCjMBcl7QMNs0AmOuSyATA7IqtS5LPztKoFWMnNGOv7sZQZqpLqivQwZxQQPcbQ4wgiNU/6Gx+jY0hRlABB11vNuxsY4jRWYilUcQE27wxxIjidGOIkcPhxhAjBXZdGjIWfur362NWLs/qGVmuxM4QJx8iN3QxNV1OUJuLZ2PLTcKs4IjwB55VgQd1xMuGfQMhbG07Q+0DWvBBX+GS+sxY0xRhnQEDdC9dGUEQ4QkqXflL6jkdIuAOgUtcHcYeKwYi+nYiPhlRWMSnuaSeE8Wh/mSkwGY/wHAEQvTDNNWxDFhZnOlPS009Kx8iwHeqP5sLZWPLDcGs4IgISNaflpp6VjbsGwhha9Of7QNa8EE7rkzSlllIRRlb8cQq3sYrk4j2rsaMf+aVSUQvxDAvdFKZRDRRoEwEmIe6GRhQl0TkAu7GIpSrsS6JaCFwUxUuSG11SUQbgdup6ypNonWYrVOI/6x1SUQbN1iXpG4IjtUNwXFzP2dsvyGYzAjMpR0XJ1GtBeZSbHHS+Q3BseWGYLLVwIzahQJXMFsDC8YBHSNGYhDqBc5vCI5bbggmUwgkBfg5Up7dXhq2YvCQbjAwHYKnMYAIVKgIVKgIVAAj0IjOB0ymHVYoUS0FplRMhdL5DcHmV/aIbjEmzZKeneUE0R51CjICd4XS+Q3B9ogzphMAUyy6QkndEKyPNhOasVd3myc3VigJHCcU0P02DyMIYhUQOqt3sM3D6BABdwh89qzD2GPFQCxyIibL5m0eRhTX2zyMKA63eRgpsIvMgOGwb/MwslyJbR5OPkSA72KSuZxqNhfFxpabf1nBEREQPD8CD+qIlw37BkLY2rZ52ge04IO+wjf/5sYyowTtDBCge/3JCIIIT1D92e3Nv5zwAg6/ttZkxEBEWrjWNN/8y4nCpDUjHck+K4lDqclIgU10gNGIAr8vRKxjGbCyOJOalqt/WfkQsbxTqdncFBtbrv5lBUcEQLLUtFz9y8qGfQMhbG1Ss31ACz7oK9yMmZuu/o1TrDNggO6lJiMIIjxBpeYazZiMoAIOCpeV+qOJ7lXLuQ8gnZfvl//wfOel3zv4K51r9lhdg4jUcKlqWRZlRGGRqtqp7D4rh0OhykiBTZOQsbC2XjKyOBOqttZLTj5EJuhUqDZ3ysaWS4JZwRHhjyxUba2XnGzYNxDC1iZU2we04IN2W/quv/hUSk/7PUyX7kDeeOk70V5goR5UOW669J3ohRjmhU5K34kmCpSJAPPwh3JGaU+Om/pEO1/bI7MB6/0Q0tVY/k60cFWVspa/E20E1uqtqzaJ1mHq8gD+8/XlUQOyfRssfVdXBYvmts7YflUwGQ+YRjuueqdaC0yj2Kr386uCY8tVwWSrgcm0C/GtYLYGFowDOgYwG65T9X5+VXDcclUwmUIgKcDPkfLs9tKwFYOHdIOBWRA8gwEEn0IFnwIYfEZ0NGD67LDgnWopMIliCt7Prwo2v61HdIsxiZX02CynhfaAU5ARuAvez68KtgebMZ0AmF3RBe/qqmB9oJnQjL2yu0CRQdHJqXiO44QCut8FYgRBrP1B5/Jr7AIxggo46HpzYWdHcjI6C7Ewiphcm/eFGFGc7gsxcjjcF2KkwK5KA8bC1xecDlg5rsSeECcfIi90MS1dTk6bG2ljyxXDrOCI0AeeUYEHdcTLhn37IGxte0LtA1rwQV/dPs3IELauyUk11hkwQOeylRMEEZ6gspW/T5PTIQLuELi81WHssWIgom8XwpMThUV4mvs0OVHcaU9OCmz2Aw2Hrx+PASuJM/Vp6dJk5UOE9y7Vp2hulRWWa4JZwRHxj6w+LV2arGzY9w/C1qI+AQNa8EE7rkgyLIMK+w1M6SrepiuSqPYCN1GhcnDDFUlUL8QwL3RRkUQ1UaBMBJiHPYyztR6JSgbciUUoV1M9EtVC4IYqXJBa6pGoNgK3UtdVmkTrMNumAP8Z65Go9m2uHkmoK4JFpD7EdV2AsN8TTGYEZtJui5LI1gIzKbIoSZzfEyws9wSTrQbm0y70t4LZGlgwDugYwIS4RlGSOL8nWLTcE0ymEEgK8HOkPLu9NGzF4CHdYGAqBE9iABGoUBGoUBGoAEagEZ0PmEi7q0wiWwpMp4jKJHF+WbD5lT2iW4xJsaRnZzk9tEedgozAXJkkzi8LtkecMZ0AmGKxlUlCXRasjzYTmrFXd4snMFUmiRDHCQV0v8XDCIJYA4TO6R1s8TA6RMAdAp876zD2WDEQS5yIibJ5i4cRxfUWDyOKwy0eRgrsEjNoOMxbPIwkV2KLh5MPEd67mGIuJ5rN9bDCct8vKzgi/oFnR+BBHfGyYd8/CFvbFk/7gBZ80Ff3IE6pPrVrx1J9RmhngADdq09GEER4gqrPbg/i5IQXcPi1lSYjBiLSwpWm+SBOThQmpand/9pnJXEoNBkpsIkONBq+djgGrCDOdKblFE5WPkQg71RnNtfACsu9vqzgiOhH1pmWUzhZ2bCvH4StTWe2D2jBB32F+y8D0ymc9aHCCGfAAN3rTEYQRHiC6kx6/yUnqICDwjWlu1M4OV2DiNRwnWpZEWVEYdGp2nnsPiuHQ5XKSIFNk4CxMHZbcnI4E6mWbktWPkQW6FSkxo2msVyCywqOCH1kkWrptmRlw759ELY2kdo+oAUftPzf3z7/uirx+Tc2NdpxAbxpvVNYeMM8W+V1VAAfGEo/r5MNXo0ia1bA/59LZev3zsvbL0rK+bvl051VmfnMk+LsofwTP5FqrPqRnvxb7lV/xf3ymfz8mfrSnV75jfz8oRRsqlj7jfJR9U9UG/HyJ77qyQ9frGzcqy8vyu3VV57Mf9bvyT/+rBf61YppXXx/f/6uVIKLAv6vFj8Qq+8/lEDqH7+vc/8u2f0xzP2dlN4TTRQoEwHmNVX1Qd/Xn4i7R7YVWEGIUMTGYnqihcAaQLjQtRXTE20EVv+tK2KJ1mEq/SD+S2RgjXUmDsgmbrCePlGl9Kn6kKkPeVPSKuxF9VRQYHbGF9VnqUmBfYduLTA7Y4vqxXlRvfFix5t0q4EpuguRr2C2BhaMAzoGMNWtU1Qvti4OhKWonkohkBTg50h5dntp2IrBQ7rBwJQInikBwlChwlChwlChwlABDEMjOiQwq+Iq680h6BbdUmBuxVTWi/PKeuN7e0S3GJNvSQ/QciJqDz0FGYG7sl5sXRwAS2U9lQCYZ9GV9WJ7adSKsROasZUKj9SeVB55mR+ferFIpt7UP5550XHo5/HxaZSe1Q+VcZZvWfcgz/SNlfUJjhMKqFsPsHBh1gR0INdZQRCrjWutFUB3nRhRBRwVMemF0faK8dHkO+PJUe/ad/7ttfHed3T4e6z4iOVVxDzavLPEiMKys2TYu95nJXG4t8RIgV3dBoxGHIZpP0t0LANWFmf7S1k/MW0vceIhAn4XM8/l/LO5uFZYbiJmBUfEP/CkCTqmI1407PsHQWvbXWofz4IPupKjZyfBaRLGuZfEWeTFSRZ7WTjLvdMT/zQ/9Y/9mX96ewNy1LT1lGKdAQN0L0cZQRDRCSpH76o9noUsWz18qZJm320Oa6q3nOpKoWdSxKmT2h8vDg6Sny2+Uf1w4M/fUb/8He29CrusPhJwH8F1rA5jjxUDEY8RetS4r8NIwiRHtdPafVYSh3KUkQKbDiGjkWb9qC6WuCxHGVmcydEkMfQa3+DlQ0T8TvVocz+tsFw4zAqOiH9kPWoc1BEvG/YNhLC1CdL2AS34oCtBehwdT4Ms8L0oSGZeHASZl/uzY+9kFuan4iSL/LQedLeCVLuuIQWp7e4nrTNggO4FKSMIIjxBBemnquCougfoyfznVffn/L35TxZCs+r/VBKz/LT8WLv6scuKK+C4a2tLRgxEbEVoS1Xf9EW/p+/CfYkViEdi6jj2WTkcCkxGCmx6g4xFoI3SA1YOZ+IyEP1UG81u8PIhonen4jJrtIjlal1WcEQAJItL46COeNmwbx+ErU1ctg9owQddicssycKT9DT1jqPUl0J0dublJ/GxF+WRn5/l02k0q4OrW3EZ65whxWWOdQYM0L24ZARBhCeouLx8rF11jeRn5e/LT7zyQ/Uf+Zv35WefVTpTB73LCi3g0GtLTEYMRIRFSEzzdjojCou49Puh0KHss6I41JeMFNgMBxiO2O+LSDsgA1YUdxLT9839mpyAiCDeqcZsLlMUltsxWcEREZCuMY2jOuKFw76CELg2kdk+ogUftGrY3FloK5d9moa1ycR2D1OY56uY7vo0tfuL18kGr0aPP60+zWfzN3thULdjdtGvSR2GGDYMXfRrUk0UKBMB5gH6Nam2rqYGvn5NqoXAzhK43rX0a1JtXBWzPP2aVOtWM+S6/ZphZFhOGpBN3Fy/ZhLsyA/qEqREXYKUNFeQJL61X5MMCszS+H7NwE9SY8Mm2VxgmkY2bCb+smEzMd7xeJNuNTBXd6HyFczWwIJxQMcA5ro1Gjal7RcHwtywSaYQSArwc6Q8u700bMXgId1gYE4ET5UAcahQcahQcahQcagAxqERHRKYVnENm5YYdItuKjC7Ijo2l/HnluXFPaJbjMm4pCeomYm2xJ6CjMDcsbmMO80AmDs2yQTATIvt2JTPztKoFWMnNGMrHQ4qp1c8xvm+ZeGDPOc3dWwmtjufNJxQQN3KgIULszqgA7nOCoJYb1xr1QDYscmJKuCoiGkvjBbYscmJj1hgRcykjVtMnCgsW0zGjk1OEnc7TJwU2OVtwGgkcST6QrtMM2BlcbbFZO7YZMVDBPwupp7LCWhQb0cklqt4WcER8Q88a4KO6YgXDfv+QdBatpcA41nwQV/hjs3I1LGZhFhnwADdy1FGEER0gsrRjXRscvpIwH0E17E6jD1WDEQ8RuhR484OIwmTHDUU1HOSOJSjjBTYdAgZjSjpy186lgErizM5aunYZOVDRPxO9WhzuWNiua2TFRwR/8h61NKxycqGfQMhbG2CtH1ACz7oK9yxGZk6NpMI6wwYoHtBygiCCE9QQbpuxyYnroDjrq0tGTEQsRWhLVs6NjmBeCSmjmOflcOhwGSkwKY3wFiYDqfjxHCmLS0Nm6x8iODdqbZsLnRMLDd0soIj4h9ZW1oaNlnZsC8fhK1NW7YPaMEHvdh7B90a715bxjpnSG0ZY50BA3SvLRlBEOEJqi0vN2yq30qpeb98KL91p7ob/ueLm+F75Ufl++Xd8rPyg/Jj+euT5qr4kSeCXvm+ziG7rA4RcIesrT4ZMRDRF6E+zTvtjCgsutM3LErss6I4lJ6MFNjsBxiOIOuLRBvHB6wozuRnlvUz01Y7Jx8ivncqP5urGhPL3Zus4IgASJafxkEd8bJhX0AIW5v8bB/Qgg+6buVUD7PLVk5tQJLCUlgwI99fxXTXyqldZb1ONng1ePzptXLGdStn0kkrJ3EYYtgwdNLKSTRRoEwEmAdp5STaupoZGFs5iRYCe07gatfWykm0Edhssq6MJVqHaSwB+C9N+7lpcZRo4QY7OdXNm4m6eTNRN28mzZV3if3mTTIoMEkTOjnDzHSWxnfo5gKzNLaT8/zqzcRy9SbZamCq7kLjK5itgQXjgI4BTHXrdHKeX72ZtFy9SaYQSArwc6Q8u700bMXgId1gYEoET5QAcahQcahQcahQcagAxqERHRKYVZGdnOYYdItuKjC5Yjo5z+/eNL+4R3SLMQmX9AQtJ6L22FOQEbg7Oc/v3rTHnTGdAJhp0Z2c6u5NfcyZ0IytZDiozF7xGKf7lnUP8pTf2MmZ4DihgLqFAQsXZnFAB3KdFQSx2rjWogG0k5MRVcBREbNeGC20k5MRH7G8iphIm/eXGFFY9pfMnZyMJA63lxgpsKvbgNFIfKnSMm2fzICVxd3+krmTkxMPEfC7mHouJ6DNXY2J5e5NVnBE/APPmqBjOuJFw75/ELS23aX28Sz4oK9wJ2ds7ORMsc6AAbqXo4wgiOgElaOb6eRk9JGA+wiuY3UYe6wYiHiM0KPGjR1GEiY5aiq0ZyRxKEcZKbDpEDAameinwrSfxIjiTI3aGjk5+RABv1M52tzUmFiu3mQFR4Q/shy1NXJysmFfQAhbmx5tH9CCD/oKN3LGxkbODOsMGKB7PcoIgghPUD26diMnI66A464tLRkxELEVIS3bGjkZgXgUpo5jn5XDob5kpMCmN8BYCKHDGLBiONOWtkZOTj5E8O5UWzYXNSaWmzdZwRHxj6wtbY2cnGzYlw/C1qYt2we04IO+wjdvxsZGzhzrDBige23JCIIIT1Bt2c3Nm5zQAg69tsJkxEBEWITCNG+mM6KwaEvzzZucKA7lJSMFNsMBhiPI+3GuIxmwkrhTmJaLN1kBETG8U4nZXNOYWC7eZAVHBEC6xLRcvMkKh30DIXBtGrN9RAs+6LpbU6o5p92aQod5LUxtV41EfrCK6a5bM9YZfJ1s8Gr0+NPq1lRNmKGtS7Nq59zx64bODNCvSR2IGDYQuH7N8iPlTKXBlbse1Y5+b/4LyXBnUWLwpiR73nO1u9WwLCoPvurrQF8kgwoUKASyveuTautqiuHr+qRaCOxPgctmS9cn1cZVTczT9Um1bjXTrtn1GSRx39cO8oBs4ubaPlN1gWeqLvBM1QWeaXNxXmq/wJMMCsz2+LbPXMTGrk+ytcBsj+z6TM/v70wt93eSrQam/C4mCwpma2DBOKBjABPmGl2f6fn9nWnL/Z1kCoGkAD9HyrPbS8NWDB7SDQamRPCMCxCGChWGChWGChWGCmAYGtEhgVkV1/VpDkG36JYCcyui6TM9v77T/N4e0S3G5FvSA9TMZ1tCT0FGYG76TM+v77SHnTGdAJhnsU2fqbq+Ux9yJjRjKxUOqshXPMZVA8vyCXnlwNT0mdouj9JwQgF16wsWLswagw7kOisIYtVyrbUHYNMnJ6qAoyImvTBaYNMnJz5imRYxjzbuU3GisOxTGZs+OUncbVNxUmAXyQGjEUvDjNd3crI426gyN32y4iECfhczz+X8s7nuMbVc38kKjoh/4EkTdExHvGjY9w+C1rJJBRjPgg/6Cjd9ClPTZxpinQEDdC9HGUEQ0QkqRzfS9MnpIwH3EVzH6jD2WDEQ8RihR437OowkTHLUUJTPSeJQjjJSYNMhZDQyvx+HJjnKyOJMjlq6Pln5EBG/Uz3a3PaYWq7vZAVHxD+yHrV0fbKyYd9ACFubIG0f0IIP+gp3fQpT12caYZ0BA3QvSBlBEOEJKkjX7frkxBVw3LW1JSMGIrYitGVL1ycnEI/E1HHss3I4FJiMFNj0BhmLUDuTHLByOBOXlrZPVj5E9O5UXDbXPaaW+ztZwREBkCwuLW2frGzYtw/C1iYu2we04IO+wm2fwtT2mcZYZ8AA3YtLRhBEeIKKy27aPjmhBRx6bYnJiIGIsAiJad5OZ0RhEZfmtk9OFIf6kpECm+EAwxGrfgLtgAxYUdxJTEvfJysgIoh3qjGbOx1TyyWdrOCICEjXmJa+T1Y47CsIgWsTme0jWvBB132fMkQ47fvUTiCkfBRWzHAV013fp9AZfJ1s8Gr0+NPq+1RtnWHd1Bl33P9JHJAYNiBXqP+TCCpQoBBIQP8n0dbVVMPY/0m0ENipAtfPtv5Poo3AHpV1hTHROkw/CsB/Wabf9xqQDdxg96e69DNVl36m6tLPtLlsL7Vf+kkGBeZ8fPdnECTC3P5JNReY9LHtn+eXfqaWSz/JVgMzfxdzBgWzNbBgHNAxgPlynfbP80s/05ZLP8kUAkkBfo6UZ7eXhq0YPKQbDMyI4IkXIA4VKg4VKg4VKg4VwDg0okMCkyqu/dMSg27RTQXmVkz/5/mln+YX94huMSbfkp6g5bzWHnsKMgJ3/+f5pZ/2uDOmEwAzLbr/U136qY85E5qxlQoHFecrHuPqgWUZhbyCYOz/THCcUEDdOoOFC7PWoAO5zgqCWL1caw0C2v/JiCrgqIhJL4wW2v/JiI9YrkXMo80bVowoLBtW5v5PRhKH+1WMFNjFcsBoxCIP+trF4QErirP9Kkv7JyceIt53MfNczj+bOyJTy52frOCI8AeeNEHHdMSLhn39IGhte1Xt41nwQV/h9s/E2P5pv3BK4wwYoHs1ygiCiE5QNbqZ9k9GHwm4j+AyVoexx4qBiMcIOWrc1mEkYVKjpup8RhKHapSRApsOAaORp/3AtJvESOJMjNqaPzn5EPG+UzXa3BCZWq78ZAVHRD+yGrU1f3KyYd8/CFubHG0f0IIP+go3fybG5s8M6wwYoHs5ygiCCE9QObp28ycjroDjrq0sGTEQsRWhLNuaPxmBeASmjmOflcOhvGSkwKY3wFjUl7lc1paMGM60pa33k5MPEbw71ZbNDZGp5cpPVnBE/CNrS1vvJycb9uWDsLVpy/YBLfigFxvvZ5mfnJ363lnon3nxSZJ72Wmey5+dxX4SnU39uM4RbrVlrHOG1JY51hkwQPfakhEEEZ6g2vJy76f6rZSa98uH8lt3ynuL+nKlM3vlR+X75d3ys/KD8mP565N6HfTmyBNBr3xf55BdVocIuEPWVp+MGIjoi1Cf5m12RhQW3ekbFiX2WVEcSk9GCmz2AwxHEPXDWDsgA1YUZ/Izy/qZaaOdkw8R3zuVn83lkanlOlBWcEQAJMtP46COeNmwLyCErU1+tg9owQddd4WqMXXZFZrqMK+Fmf3mkmgV011XqHYudJ1s8Grw+NPrCo3rVs+k265Q6oDEsAG5Ol2hVFCBAoVAtneFUm1dzTR8XaFUC1cVNGdXKNVGYOfKmrKYat1qxl2zKzSWcVtbszMgW7i5ttBMXQqaqUtBM3UpaNbcxpfZLwUlgwKTPqEtNMozY1so2Vxg1ke2hWbnt4JmlltByVYDU38XcwYFszWwYBzQMYAJc4220Oz8VtCs5VZQMoVAUoCfI+XZ7aVhKwYP6QYDUyJ44gWIQ4WKQ4WKQ4WKQwUwDo3okMCsimwLNcegW3RTgckV0RaanV8Lan5xj+gWYxIu6QlqJrYtsacgIzC3hWbn14La486YTgDMtNi20ExdC6qPOROasZUMBxXtKx7j8oFlHYW8hGBqC83sl1Jd4oQC6hYaLFyYxQYdyHVWEMTq5VqLEMC2UE5UAUdFzHphtMC2UE58xHItYiJt3K/iRGHZrzK2hXKSuNuu4qTArpYDRiNKgrSfxDqWASuLu/0qY18oKx4i4Hcx9VxOQJtrJDPLtaCs4Ij4B541Qcd0xIuGff8gaC27VYDxLPigr3BfaGrqC81CrDNggO7lKCMIIjpB5ehG+kI5fSTgPoLrWB3GHisGIh4j9KhxY4eRhEmOGgr3OUkcylFGCmw6BIyGCPp+YNpPYkRxpkYtjaGsfIiA36kcbS6RzCy3grKCI8IfWY5aGkNZ2bAvIIStTY+2D2jBB32FG0NTU2NoFmGdAQN0r0cZQRDhCapH120M5cQVcNy1pSUjBiK2IqRlS2MoJxCPwtRx7LNyONSXjBTY9AYYC/31KANWDGfa0tIYysqHCN6dasvmDsnMcikoKzgi/pG1paUxlJUN+/JB2Nq0ZfuAFnzQV/hS0NTUGJrFWGfAAN1rS0YQRHiCastuLgXlhBZw6LUVJiMGIsIiFKZ5M50RhUVbmi8F5URxKC8ZKbAZDjAcQdAXuXZABqwo7iSm5VJQVkBEEO9UYzZXSGaWS0FZwRERkK4xLZeCssJhX0EIXJvIbB/Rgg+6bv9UucBl+6d2R0XKR2HFjFcx3bV/avtVr5MNXo0ef1rtn6qXM7S0faotefmFn5YPe1nV/Nne9Ukchxg2Dleo65MIKlCgEEhA1yfR1tUMw9j1SbQQ2J8Cl822rk+ijcDGlHX1MNE6TBMKwH9hnPSTSGfigGziBts+1W2gmboNNFO3gWbNLXyZ/TZQMigw2RPaPv00Nrd9Us0FZnts2+f5baCZ5TZQstXAlN/FZEHBbA0sGAd0DGDGXKft8/w20KzlNlAyhUBSgJ8j5dntpWErBg/pBgNzInjGBYhDhYpDhYpDhYpDBTAOjeiQwLSKbPs0x6BbdFOB2RXT9nl+G6j5xT2iW4zJuKQnaDmhtceegozA3fZ5fhuoPe6M6QTATItu+1S3gepjzoRmbKXDQTX5ise4bGBZPyEvHRjbPhMcJxRQt8Bg4cIsMuhArrOCIJYt11p8gLZ9MqIKOCpi2gujhbZ9MuIj1mkRM2nzThUjCstOlbntk5HE4UYVIwV2lRwwGkkchOaDmxhZnO1UWdo+OfEQAb+LqedyAtpcH5lZrgNlBUfEP/CsCTqmI1407PsHQWvbpWofz4IP+gq3fWbGts8U6wwYoHs5ygiCiE5QObqZtk9GHwm4j+A6Voexx4qBiMcIPWrc2WEkYZKjprJ8RhKHcpSRApsOAaMRpjK856YNJUYWZ3LU1vfJyYeI+J3q0eb+yMxyISgrOCL+kfWore+Tkw37BkLY2gRp+4AWfNBXuO8zM/Z9ZlhnwADdC1JGEER4ggrStfs+GXEFHHdtbcmIgYitCG3Z1vfJCMQjMXUc+6wcDgUmIwU2vUHGItFOXAasHM7Epa3xk5MPEb07FZfNBZKZ5UZQVnBEACSLS1vjJycb9u2DsLWJy/YBLfigr3DjZ2Zs/MyxzoABuheXjCCI8AQVlx01fjJCCzj02hKTEQMRYRES07ydzojCIi4tjZ+MKA71JSMFNsMBhiMJ+okwbaczoriTmLbGT05ARBDvVGM2t0Rmlms/WcEREZCuMW2Nn5xw2FcQAtcmMttHtOCDrhs/VQB12fiZ6zCvhbn9ahKxiumu8VMbQ6+TDV6NHn9ajZ/qOs+wvswz7rQBlDoeMWw8rk4DKBVUoEAhkO0NoFRbVzMNXwMo1UJgpwpcPlsaQKk2rmpjngZQqnWrCXfNBlB1X7hhRZVq4eb6P3N17Weurv3M1bWfeXPdXm6/9pMMCsz5hP7PKAiN/Z9kc4FJH9n/mZ9f+5lbrv0kWw3M/F3MGRTM1sCCcUDHACbMNfo/8/NrP/OWaz/JFAJJAX6OlGe3l4atGDykGwxMieCJFyAOFSoOFSoOFSoOFcA4NKJDArMqsv/THINu0U0FJldE/2d+fu2n+cU9oluMSbikJ6iZ17bEnoKMwNz/mZ9f+2mPO2M6ATDTYvs/c3Xtpz7mTGjGVjIcVJyveIyrB5ZlFPIKgqn/M7dfOnWJEwqoW2ewcGHWGnQg11lBEKuXa61BAPs/OVEFHBUx64XRAvs/OfERy7WIibRxw4oThWXDytj/yUnibr+KkwK7WA4YjTgJMuO1n5wszjaszP2frHiIgN/F1HM5AW2uicwt136ygiPiH3jWBB3TES8a9v2DoLVsVgHGs+CDXsjRs8xPzk597yz0z7z4JMm97DTPvZPZLPaT6Gzqx3WicCtHtcuOUo6GaGeAAN3LUUYQRHSCytHLFVHqt+Uj+ZuH8lt3ynuLbRdVet8rPyrfL++Wn5UflB/LX5/UzaE3R54IeuX7OofssjpEwB0CF606jD1WDETw7UR8MqKwiE/f0Ke1z4riUH0yUmCzH2A4gqgfhdrpwIAVxZ34zPqZSX1y8iHie6fqs7kUMrfc8skKjgiAdPVpGtQRLxv2BYSwtcnP9gEt+KCv8PEjuanbs25eRzgDBuhefjKCIMITVH5u5PgRTh8JuI/WVqSMGIiAjFCkxroiRhIWQWo8foSTxKEeZaTApkPAaORpP/W1j9aAFcWZHrWcPsLKhwj4nerR5iLJ3HIzKCs4IvyR9ajl9BFWNuwLCGFr06PtA1rwQV/h00dyU4NoHmOdAQN0r0cZQRDhCapH1z19hBNXwHHXlpaMGIjYipCWLaePcALxKEwdxz4rh0N9yUiBTW+AsRC5DmPAiuFMW1oOH2HlQwTvTrVlc39kbrkRlBUcEf/I2tJy+AgrG/blg7C1acv2AS34oOu+UMXtsC801q5jS9UorJjJKqa7vlBtBL1ONng1ePzp9YXGdV9o0m1fKHE8Yth4XKG+UCKoQIFCIAF9oURbVxMNY18o0UJgBwtCNVv6Qok2AltX1lXEROtWE+6afaFB2hexzsIB2cIN9oWqe0FzdS9oru4FzZv7+HL7vaBkUGDOJ/SFCsu9oGRzgUkf2xd6fi9obrkXlGw1MPN3MWVQMFsDC8YBHQOYMNfpCz2/FzRvuReUTCGQFODnSHl2e2nYisFDusHAlAiedwHiUKHiUKHiUKHiUAGMQyM6JDCrIvtCzTHoFt1UYHLF9IWe3wtqfnGP6BZjEi7pCVrOa+2xpyAjcPeFnt8Lao87YzoBMNOi+0LVvaD6mDOhGausha0kKB7j6oFlGYW8gmDsC01wnFBA3TqDhQuz1qADuc4Kgli8hK5BrL3zxIgr4Ljwma8OY48VA7HyipgUt+08MQI53Xli5HC488RIgV38hoyFqaqJEeNK7Dxx8iGCdxfTyOVksrkTMrfc8ckKjoh/4BkQeFBHvGzYlw/CZh3QEWRACz7oq3vsvdSW2rAltWWKdQYM0L22ZARBhCeotuzm2HtOaAGHXlthMmIgIixCYZobORlRWLSl+dh7ThSH8pKRApvhAMMR96NMOx4DVhJ3CtNy6j0rICKGdyoxm1sec8u1nazgiABIl5iWU+9Z4bBvIASuTWO2j2jBB311z7WTGjPSOUNqzAzrDBige43JCIKIT1CNCTvpTYe6y4oq4KhwZQmkhZ5rx4iPCMidKFJGFBZFaj7XjpHEoSBlpMCmQ8hoREnWNy56MrI4k6SWc+048RABv1NB2twMmVuu+mQFR8Q/siC1nGvHiYZ9/yBobXK0fTwLPuire7CIlKOxzhlSjuZYZ8AA3ctRRhBEdILK0c0cLMLoIwH3EVzH6jD2WDEQ8RihR42F6YwkTHLUtP3OSOJQjjJSYNMhZDTyftM6dlmNMqI4U6O2g0U4+RABv1M52twhmVtuBWUFR4Q/shy1HSzCyYZ9ASFsbXq0fUALPmjV/Pn3zwkxo+D84ezk9Ze//6rGESS9qd9dj3z7zSXpKqep+9NsLUZFnjeAas29TjZ39TGzOBeoFf93+ahq1VxUWj6sugjLz1V74fzdnqrvqz7UJyK/o1oNqx9/tOwR1QHuSsAXBmTKSyHSjLlehKx6pSI/2DlQ9+MeKJMOosBXHyJ9hKQzxXgmeAG6AjlUIIcK5FDZcahADk0gh3QQgQeB16FLjqHiGCqOoTJjqDiGJo4hnQP+LtEjdtUEo3gKxVMocwrFU5h4CjLPpdaGFh7cwzVWEGMFMVY2jBXE2AQxpkPAsweywUEyTBTDRDFMlAkTxTAxMUxoDM/N6BWKs3MRQkNLg0S2UuTGkYAZS8yK6jOdvdfJ9q6mjDVPRfh9+XjRT7+oGLOnwDVPNyjv90K1GPNE/sX6TUKyV1aTTidnE+hMfJFsokCZCDCvOVXgn97+XXWwQE+OVCg/SZWPv1EnUszf7JdfVpc7vKtj2SOzrM5w2E4dIFsI7I/ELNqYTh0g27i6JMNy6gDZulXZsOapA6mI9aFwQLZwY6cORH6oRHS06PFV2dZy1gAdD5hH8WcNhCIwHTVAtxaYSHFHDUhzmqMGajfrrL5JtxqYTtebftVLU9LKrYEF44COAcx/hBlX3fKrbL84EMajBugUAkkBfo6UZ7eXhl2eWlENBuZB8CofIPgUKvgUwOAzoqMBEyjugAFz4LlFtxSYRuHnC5wHnVuWt/WIbjEmtZIem3rptC3gFGQE3vMFzoNNMwDG8wXoBMDsipx+q2dnadTlqTbFWGXtcXzsh4E/9bLpWezFSZx4x8E0985OpslJEMV+Op0ueIyz8Fem3RZEVP/VYcq5eIjDhPLp5usWLMycXQdynRUEsT0GncxfbgGrKyAM9/0tyiG+kL95Sy2FV3P1L6qV8Or8QPUnHlfz+vvVWXuPjLN2RjcJuJvgU2cdxh4rBmJPEDFrNpXosqKw1EQYb/9jRXFWFMFKgd2TBQxHEET9QD8iA1YWZ1URmbFrjJcPEfa7mHQup571bXH1JzrwA15wRAQEz5fAgzriZcO+gRA2e1UEZEALPuhKlMZRJOJgKrzgbDrzgmCWe5k/Sz3fF75IsizIRa3WnIpS7UqyFKUR1hcwPveilBEEEZ2govTD5/eX7ksx+WBxmPYDVZBRHamtFOmjSm/WivRRpWHVN36uPjZffr/aq3qk9o+q3af3dtQRWs/mv5j/rDpIqzov+tdSzb4n/7zq0zr/oXu1Jl78/tfBt8oPy48DOa08unazl/u1Sy8LW0ZXC7ir4cK2OUW735S0VEL+oXTcm/O3euXHzzsCOhoXNggfKPcuzyCvZgyq6Pon1cnob9YThWYrsDm6W/7Io961V1+f/ftpr7xbn06+3Dm8NIjV0etqqvJmz+vJiYn6KXUzeTNWcgTV6OmGbI91yBAprBMRz4jCJOK179E+K4lDDc9IgVUQgNEIw6RvuMGbFcWZhA/VrRM6vhu8fIgk2amEjxrFZ74xkRccEf/IEt44qCNeNuwLCGFrk/DtA1rwQVeFzTvL+KmUucMqLpNIj220QbBK66iKKzNWcRHtXQ0ha1ZxfVTeW0ixWqo9k4Lsa02Z810pnH5ZF2M9uyDsliVe4EotInkMI++kUotookCZCDCv/H3l3ntVs+Kji65/rrqu/ZoYMhJwoxqhWo0FW0QLgfvNcDFqK9gi2gjcaV5XZhKtw+wqA/wX5qIvtD2wA7KJG6zYEqpiK2mKJmJ7xRYVD5gz8RVbcZiZK7ao1gKTJrZiKz6v2DLe1neTbjUwdXahvBXM1sCCcUDHiJEYhCKKeOviQFgqtqgUAkkBfo6UZ7eXhq0YPKQbDEyE4OkLIPgUKvgUwOAzoqMBMyiuYssceG7RLQXmUUzFVnxesWV8W4/oFmNyK+mxWc4J7QGnICNwV2zFWxcHwFKxRSUAZld0xVa8vTRqxdgJzVhl7Vl0HJ7kwveyMMu9eHoaeHk6lR8icXKa5unseOp+c8zcPSVwmFA+3dzcgoWZn+tArrOCINb9oBP3C5tjn1UbNXd6dc3W0bWbarejnpF/Wv6h/H35P8oP1Ke/rLdA6iNrevLPP1F/j/zDdZPzV2o9oG7fKh/3yqfzd+dvzn8+/4XObbusbhNwt8Gn1DqMPVYMxOInYhpt3vxhRGHa/AlSHco+K4rD3R9GCuziM2A4hN8P41yHMmBFcbb7EyVJP9E+cTd4ARFpoItJ6HIqKprdAvNdpbzgiAgInj/BR3XEC4d9BSFwbfs/7SNa8EEvzv0+y/zk7NT3zkL/zItPktzLTvPcO5nNYj+JzqZ+XCcLpyrVtDuUYH0B43OvUhlBEOEJqlIv9xXo+wmqKp3yo/L98q4Usx+UH8tfn9QtCDdHnpBC9X2dQ3ZZHSLgDllbfzJiIKJvJ/qTEYVLfwodyj4rikP9yUiBTX6A4YjjfhRpE/mAFcWZ/syyfmaqPuLkQ8T3TuVn0ogV882GvOCIAEiWn8ZBHfGyYV9ACFub+mwf0IIPWslPm6rsttoo0tFJPZna6PJslW7j1UZEe4FbplA5uIlqIyJ5DCPvpNqIaKJAmQgwb+VMr0vlRYszourDorRvxh4ZBri9ihCoxjojooXAXVK47rTVGRFtBO6PrisoidZh9kIh/vOTrF/nmctKkWjjBguNMlVolDd7/am90IiKB0yXHRcaUa0F5ktsoVF6XmhkvDjvJt1qYNbsQmQrmK2BBeOAjgFMgesUGqVbFwfCUmhEpRBICvBzpDy7vTRsxeAh3WBgJgTPVADBp1DBpwAGnxEdDZhCOyw0oloKTKSYQqP0vNDI+LYe0S3GJFfSY7Oc/tkDTkFG4C40SrcuDoCl0IhKAMyu6EKjdHtp1IqxE5qxV3YLx3DssZxyW+8Nu4wJ5XO/hcMIgljig87ZHWzhMDpEwB0CnyfrMPZYMRArmIgZsnkLhxFlVQNYUOBTacsWDiOKwy0cRgrsCjJgOILE74e+qYaIkeVK7OFw8iECfBfTy+UkM2uW/M03tfKCIyIgeGYEHtQRLxv2DYSwte3htA9owQd9devcI2MFUY71BYzPvfxkBEFEJ6j8vDJ17oxuE3C3rS1SGTEQIboTkcqIwiVStVP4fVYUhyKVkQKbIgHDEWRBX2gHZMCK4kyjWuvcOQERaaBTkZo3msZ8fysvOCICkkWqtc6dEw77CkLg2lRq+4gWfNBuK41iHd21qD7SykRnvqUAZixGT4Iqjaj2AvdMobJxA5VGVPIYRt5FpRHVRIEyEWAeoNIoDFWlUdT3A+060h4ZBri/ipCopkojqoXAbVK48rRUGlFtBG6QrikpqdZhNkMh/ov1JwsOyAZurswoUHc5B2G90x/41jIjMh4wV3ZbZkS2FpgskWVGgb8sM1q4WWf1TbrVwJTZhcRWMFsDC8YBHQOY/9YoM5K2XxwIc5kRmUIgKcDPkfLs9tKwFYOHdIOBaRA8TwEEn0IFnwIYfEZ0NGD+7K7MiGwpMIsiyoyWQeeW5W09oluMyaykx6aZ+7UEnIKMwFxmtAw2zQCYy4zIBMDsii0zks/O0qgVYyc0Y6/sPo/hSmE53w5wmFA+5/s8nCCIBT7ohP2q7PNwuk3A3QafSusw9lgxEKuciEm0cZ+HE8XxPg8nirt9Hk4K7CIzYDjC6P9f3rs1R5Jc+Z1fBTZPVAEBi4t7XMZMD1WlYgtUVwGNAArIVMtkeR3Rluwea/asdrVGs+Z1yKV2yKFGEo1zoYazZtKLzJp9EZtks/kF9gH4Cvok6x55QVWkX/5+Mk9EpmYkZlehgKr/77iHn3P8HA+vTi1lHk6SvSjzsAIGeIFd5KDrTDRZFgUSx33orOABCyCcPuGjesELF/oEInCeMg8wojUf9P72wgtbM1KShtoC4+s+SGUECVie0CCVvxee0yASN8jW4ScjRsDqu5PwkxGFK/yUJpQ3WFE6DD8ZKUKdHzAcaZKcGsfjjJWks/DT0QnPyhewvO80+lzdnps4rkNmBQ9Y/8jRp6MTnpUt9PlD2HzBp39Aaz5ofZfaySLo6vAONeN6pMLKzEWp7NOi7KzXyBgGPyHrBQunaFS4fa+RbntpgsrfNX/RR3jPEdECArPATnqOiBJlkERA3mu9RSfOziKiZLCkGhCVWjuLiArByigebLo6i4gawZrotlEkUV1I/ROwX1XZX2FEldhjb5HQvUVyVd7P3L1FVDzQNxJ6i3Jh7y2iqgWdY2hvUfbQW2S9A/ZNumrQRe4istYwj84cGM/pGKCf26a3KHv0+kA4eouoFDKQAp5H2rLHa2Etwed0waAjhNMTYPGp9eJTg4vPBR0N9KCBvUXWhectulLQj4b0FmUPvUXWp/WSrjjEt5KmzTrncy84NRmBu7coe/T6ADh6i6gEoHcN7i3KjteiWmKvaWIXj2M5jWeFiMbzLF3fWD5u3ViueayZtWOLgZpdW3uLRBgmymfKwR1YIXm4CeQJK0g78nCND5igv9Zb9GGTeX+ms+q7j9SXf3ykfqNLOrqC8+/1593vF1/+q7vfqf88nE35bDNPv/upbje6+3jZYbToNmp++G+aS7vX/8R/SE6OFiruv6e++slRfJLkkfooj5rSg/JZKtk7Obr7S/Vv6Q4mW8LPaHmJWx7Puk0Yz1gxAvZHAzJxe32IEYWpPmRchd9gJemwPMRIEbo9DYxGWlWnIilNLGesLJ0ViGJLaPsVXrwAP7KLLHady4pVOcFx9zcreMD6Bydg6Jhe8KKFPn8Imq885B/Pmg96f3uTpLU3SYbaAuPrPshlBAlYnNAgt4PeJEaDSNwgW8eejBgBa+9OYk9GFKbY09qbxIjSYfDJSBHq/IDhSER1Wtje08nJ0lnw6epO4uQLWOB3Gn2uLoZNHFf9soIHrIDk6NPVncTJFvoEImy+8NM/oDUftO5O+uYr8Yo1vvzGbPL+V999x2AIUnhp3KBQoWXu5MzanLb+JLvakKjxoUXJKPcJWW57mjmMC8aG/6B3J+8/0PuTzT7lR3dfLF6184luRFL/+30TKTZ7midHD1+7/9H9946aLc/mDKX+YxOqCg3zPz4j824slnbg7dbKZZNCcfI8S/VbUFLdrpDqa5cy/dtM/zbTvxX6t0L/Vuhvlvq3Mrctp1RsEY6Nl4w06wvN+kKzvtCsLzTrC836QrO+0KwvNOsLzfpCs77QrC9srC/orDKcFS8uKdRzjXquUc816rlGPdeo5xr1XKOea9RzjXquUc816rkN9ZyOij++dCexrHgXJ7VGrjVyrZFrjVxr5Foj1xq51si1Rq41cm1DrsnIG1VPD3LYLL7SnFea80pzXmnOK815pTmvNOeV5rzSnFea80pzXtk4r+icuNsLLI8qzGuNea0xrzXmtca81pjXGvNaY15rzGuNea0xrzXmtQ3zmob5ir/UtJ01JVvvfVmepbZRSOtgYWKJHl/rNul9QtbbdoJbNiX/VPlu3X380XIP6MPmv58u3P5iS+h76ktfLMubv2m5+aNFmfP+h6dHOkg4kkd3n999fnT/LfUXqL/3U/VFXdn84O6z5sebnSUdXujg4ePWTlTzZdM/+5nJgk/JFmz7U86mZqJEGSQRkHf335RlP2zeevHpctvPGb4d3f1KffuvHwrTH63fuZicKu0m3GdkXLAPLGArzNoQTVQItnPhO1yuhmiiRrCRa9utK6K6kKYtwH6pPBXSpPCMrLDHfmidTCSVzjLiVV+i+15XMiPom8ObopM4Tuxd0VS5oHcO7Yp+uNg1cVzsSlYN+ujtstT1Xp6+Z9GO8ZyOATpKQta5blR8uNg18VzsSqaQgRTwPNKWPV4L20wMqYJBbwhviwJLUK2XoFovQTW4BF3Q+UBfGtYa7Vh+3qJLBV1qSG/0w/Wu9mf2kq44xM2SJs96x9m97NRkBO7e6IfrXd1LzhWdAHSygcm/njtrUZtZPEVsk2skcl5MRRZl1SyJRJbn0aiaVlE6nmVTkcQT9bsFjzXB//pot20jOn22pfnOu8Y2MVE+01aAAytkO8AE8oQVJKCqiO4TNPmjyhAf8sf776tffq5bntWXf+9oRWYElTjoVrny/XebxvAP7z5ZNX3/atV/fXT3d3d/f/e36vOndz+7+6XuzP7J3X9WX/rZ3V/f/fzo4mkWHz2/MZnmGatpAgqsAXm1vcWEEaUdMDhQ8ARcmjjeYOXosL+EkSK0ug2MRZIWp6lxQM5YUTprL0kze3MzJ1+AI9hFMrpOSVe3hiaOa2BZwQNWPziPggf1gpct9AFE2HztJf4BrfmgmzBVlPG8mog8EqXMIlGoHxhNsjjKRDwt0tk8Ftnyae40TLV1N1ehtsD4ug9TGUECVic0TP0HfcauObOnX+Hd9DL/WJ/U093M/7o5PfeHprj03bsvmqLUB4sKx6IKcvcb/R2pfKT+fxbHsS5lmazylNUqErcKHtOaMJ6xYgSswHj8ef+D+2+bUL7MisISf9qP1zGSdBiBMlKEOkBgNCz3FJ6xcnQWfhbKU9nCT06+gAV+p+Hn6jrQxHHBKyt4wOJHDj+tg3rByxb69CFsvvDTP6A1H/S+Hq7T4afRhzzO0jjUFhhf5+EnJ0jA6oSGn/yH6zgNInGDbBt5cmIELL545Gnf+eREYYo8bYfrOFG6Cz05KUKdHzAc2Wlpe68DJ0lnwafjaB0rX8DyvsvgM42XsUrquASVFTxg/SMHn46jdaxsoc8fwuYJPoEBrfmgdfTpCip321tv2c1MXXfqiDhu0/XdW0/VC/btodHgAffWUy0oMAvuoreeKlEGSQTkBffW339Xv0pODdsPVt0EUHc9FRjsJwyIhW3d9VSFYEcgHuI6uuupGsFWwG1jV6K6kLY/wH6O7nqqwv6669NUN9Zny67WNHE21pPxQMe848Z6slzQNQc21qfJurE+td7R9yZdNeigdxHPa5hHZw6M53QM0Etu0VivtL8+EPbGejKFDKSA55G27PFaWEvwOV0w6AjhpAhYfWq9+tTg6nNBRwM96A576slSQUca0FO/XnXecjyul3TFIc6VNG/WqaZ7xanJCMw99evVZjUA9p56MgHoX0N76tXcWYtqib2mid3bapElXVbpfRqGifJ1Xy1iBAnYTkT3BzqoFjEaROIGwXNpE8YzVoyA3dKADNleLWJE6bpaxIjSYbWIkSJ0txoYDle1iJFkL6pFnHwBy/susst1jrm6VTR1XBPLCh6w/sGJETyoF7xsoc8fwuarFvkHtOaD3t8Dnam1tpSF2gLj6z74ZAQJWJ3Q4JN+oJMTVOKgeFBpOtC5wWqoyrjOeP5HFY+/csYzPboxGesZq7EClu6dhK6MKCyhqzRxvMHK0WHcykgR6jeBsXAd8eRE6SxwdRzxZOULcA07DVyzVZzjuI+VFTxg9SMHro4jnqxsoQ8gwuYLXP0DWvNBd9vmlJnoVCgqnHRJm673Niei3vaS8Y+4zYloQYFZcCdtTkSJMkgiIC+4zcn+CtH0NE6N6eAzMi5Y2w2Ig61NTkSFYIkWD29dTU5EjWBtdtvQlagupA4L2E8mp3luUnhGVthjk5PUTU65/ihWvQbC3elEZQR98647nahyQe8c2ukkHjqdrDf+vUlXDfroXYT0GubRmQPjOR1DBGIQeg/Eo9cHwtHpRKWQgRTwPNKWPV4Lawk+pwsGvSGcFwFLUK2XoFovQTW4BF3Q+UBfust2J6pU0KWGtDuJh3Yn6zN7SVcc4mZJk2edcrqXnZqMwN3uJB69PgCOdicqAehkg9udxPFaVEvsNU2sVjtOylGeV5NIynEViVE2jqrxbBKVIpvNZ1UWz7PJgsea4Dt2OKhJvrXdSYZhonzdV5wYQQK2FdF9gs2K093Hd5+pJP9bqxxx2dP0SuFl8ft/aOoy31X/+/7r72xaJJZ/0NeU/eLuZ3c/j5oOqZ/c/e3dX6nP/3L3y5OjLLZVNJ6yGlDiBtwuB38tyzZxPmPlDNiGDUi+7UUoRhSWIlRyamzXeYOVpMMyFCNF6C44MBpVelqVtv4pRpTOylBJeiqNfF/h5QvwF7vIWdeZ6+re09RxkS0reMD6B6db8KBe8LKFPoAIm68M5R/Qmg960bw/GpXjTH1bkWciEvG8ikZyoj7iNJnMMjkvVhsCnUaztv6pPNQWGF/30SwjSMDqhEazzjeNLnvz/2l29/nR4p2i999LF4UtE/xTVniJw+ORqAnjGStGwEKLB5r2F4pyorAEmtYXinKSdBhoMlKE+jlgNBJ5KipboMmI0lmg6XinKCtfwFK+00AzX8UluSPQ5AQPWP/IgabjnaKsbKEPIMLmCzT9A1rzQe/vKVF7d1QRbAuIr/tAkxEkYHVCA80OTokyGkTiBtk6+GTECFh88eDTscvJiMIUfFpPiTKidBh9MlKEOj9gOIrTQlQmkjNWks6CT9cpUU6+gOV9p8FnsYpVHNf8soIHrH/k4NN1SpSTLfT5Q9h8wad/QGs+6G6b7YWJToWTrtuiRJy26XpvtifqbS8Z/4ib7YkWFJgFd9JsT5QogyQC8oKb7V3vFHW12xOBwQbDgFjY2m5PVNgOc1nb7Ykawd7AbWNXorqQPkDAfq52e6LCHtvtq5PnWRav2lxLd6c9FQ90zLvutKfKBV1zaKd9+dBpb7198k26atBB7yKe1zCPzhwYz+kYoJfcptO+fPT6QDg67akUMpACnkfassdrYS3B53TBoCOEkyJg9an16lODq88FHQ30oLtssqdKBR1pSJN9+dBkb31cL+mKQ5wrad6sU033ilOTEbib7MtHrw+Ao8meSgD61+Am+/J4Laol9pomdm+rRcLaZF+FYaJ83VeLGEECthPR/YEOqkWMBpG4QfBc2oTxjBUjYLc0IEO2V4sYUbquFjGidFgtYqQI3a0GhsNVLWIk2YtqESdfwPK+i+xynWOubstNHdcfs4IHrH9wYgQP6gUvW+jzh7D5qkX+Aa35oPf3hKew9cQvb9AKsAXG13nwyQkSsDqhwef+nfDkNKDEDbhtsMqJEbBY7yJY5URhCVatBzg5SbqLVTkpQn0lMBquA5ycKJ0Fq44DnKx8Ae5gl8FqtrpdN3Ncl8wKHrD+kYNVxwFOVrbQBxBh8wSrwIDWfNDdtjZJE50KP93XRmVtur5bm6h620vGP97WJqoFBWbBXbQ2USXKIImAvF23NmWFCfgZGRis6AbEwrbWJqpCsDAbEuJaW5uoGsGK7LbBK1FdSPUVsF9WnOa2mJSosL/Wpkxfl5ytLizN3Nclk/FAx7zj1iayXNA1B7Y2ZQ/XJWeO65LJqkEHvYt4XsM8OnNgPKdjgF5yi9am7OG65MxzXTKZQgZSwPNIW/Z4Lawl+JwuGHSEcFIErD61Xn1qcPW5oKOBHnSHrU1kqaAjDWhtyh6uS7Y/rpd0xSHOlTRv1qmme8WpyQjMrU3Zw3XJ7tXmik4A+tfQ1qZMX5dsXmmuaWKbHAO6JETzWBN7x84GNbm3tTZlaRgmytd9dYkRJGA7Ed0foN9YxwkqcdCtcuTObqzjNFbAXmtAfm2vNTGisNSapInjDVaODitNjBShG93AWCRlaT67esZK0lmhyXFhHStfgGfYRWK6Tk9XF/NmjpuWWcEDFj84p4IH9YKXLfT5Q9h8hSb/gNZ80Pvbki+tXVFZqC0wvu7jVkaQgNUJjVv5W/I5DSJxg+DxrQnjGStGwOK7k8iTEYUl8rS35HOidBh8MlKEOj9gOORpLo3L+BkrSWfBp6Mln5UvYHnfafC5ulw3c9yWzAoesP6Rg09HSz4rW+jzh7D5gk//gNZ80N12OeUmOhVOCiedaNP13uVE1NteMv4RdzkRLSgwC+6ky4koUQZJBOQFdzk5b0u29jgRccHSbkAkbO1xIioEK7R4gOvqcSJqBEuz20auRHUhZVjAfq4eJ6LCHnuc9G3Jmb4tOVtdVZq5b0smM4K+edeNTlS5oHcObXR6uC05c9yWTFYN+uhdhPQa5tGZA+M5HUMEYhBaDx5uS848tyWTKWQgBTyPtGWP18Jags/pgkFvCOdFwBJU6yWo1ktQDS5BF3Q+0JfustuJKhV0qSHdTg+3Jduf2Uu64hA3S5o865TTvezUZATubqeH25LdS84VnQB0ssHdTvq2ZPNyc00Tu7dVo9za7STDMFG+7qtGjCAB24roPkEHVSNGg0jcIHhObcJ4xooRsGsakCvbq0aMKF1XjRhROqwaMVKE7loDw+GqGjGS7EXViJMvYHnfRYq5TjRXd+FmjsuNWcED1j84O4IH9YKXLfT5Q9h8VSP/gNZ80Pt7uXFubVnKg20B8XUffDKCBKxOaPC528uNOeElDr91oMmIEbDQ4oGm/XJjThSmQDMzkbzBStJhnMlIEerngNFIklMly4RyxorSWaDpuNyYlS9gKd9poLm6CzdzXG7MCh6w/pEDTcflxqxsoQ8gwuYLNP0DWvNB7++Zztx2ufGywSLAFhhf94EmI0jA6oQGmluc6WQElTgoHlSaznR+V/HpndxPkAOcP7n7z68e4IyPnt+YTPOM1TQBCzUeqDp2RBlRWAJVaeJ4g5WjwzCVkSLUSwJj4TrByUjSWZTqOsHJyRfgB3Yapa4uzc0ctyCzggcsfuQo1XWCk5Mt9PlD2HxRqn9Aaz5o9X//6pWoRgef/9IVje62qb4w0ao41HU7VJYUbdqOmuoza1M9US/YsIeGkX9391vdVK9iqabR2tjTvtFIv9uW+eWL7D86StXfrLdOrYEr0WQCM9lOuuiJEmWQREBee2DdHfQPLfPJaZwZF9FnZDawSTAg6LW2zBMVtuNZ1pZ5okawv2/bOJWoLqSXD7BfKk+FNCk8IyvssWVe33gsVneOZu4bj8l4oNMN75ZX/6y9WZ6qFvS6oc3yDxceZ44Lj8mqQd+7i9Bdwzw6c2A8p2OA/nCbZvmHC48zz4XHZAoZSAHPI23Z47WwluBzumDQD8L5D7D41HrxqcHF54KOBjrQsD55+8LzFl0p6EZD2uQf7ju2P62XdMUhrpU0bdZJpXvBqckI3G3yD/cduxebKzoB6F2D2+T1fcfmheaaJlarnYm8qKbzSTTJZ6NIxLNZVM2LcTQr5aiU43gixNKTWVN2xx4GNW23tslXYZgonym5d2CFJPgmkCesIAEbh2jm//NX08NPdJ+SygN1CeXuf6yyxCYnVOn6D3VR6e4zncH//f23m0vmftNk/L+9/9a/1p7l1erLx3e/a770uS5PmSz1lNVSErcUnk2bMJ6xYgRsmAYkzvZqESMKS7XI3tbESNJhvYiRInS/GhiN4jRfNt9u5uuMJJ3Vi4rktDDyfYWXL2DZ30XSuU49V9fmZo57kFnBA5Y/OF+CB/WCly30+UPYfPUi/4DWfND7e3azsLXPizjUFhhf50EpJ0jA6oQGpfxnNzkNInGDbBt7cmIELL67iD05UZhiT2Mq+wYrSXexJydFqO8DRiM9lbZaESdJZ7Gn4+gmK1/A6r7L2FOsbsEVjmuNWcEDlj9y7Ok4usnKFvr8IWye2BMY0JoPutsXfhp3clU06b7eSbbp+u5NouptLxn/iHqTqCYTmMl20ZtElSiDJALywnqTPrv79dHdf1Cx/k9br/ZMjbnbMzInWJ8NCHltfUpUhWCZFY9kHX1KVI1ggXXbGJWoLqSYCthPJqd5blJ4RlbYX5+S0NcXi9UFosJ9fTEZD3TAu+1TIqsFPXBgn5J4uL1YOG4vJqsG/fAuwnYN8+jMgfGcjgH6xi36lMTD7cXCc3sxmUIGUsDzSFv2eC2sJficLhj0g3DuAyw+tV58anDxuaCjgQ50d31KZKWgGw3oUxIPlxfbn9ZLuuIQ10qaNuuE0r3g1GQE5j4l8XB5sXuxuaITgN41tE9J6MuLzQvNNU3s3paESlufkkjDMFG+7ktCjCABm4boLkAHJSFGg0jcIHgCbcJ4xooRsCcakB/bS0KMKB2XhBhJOiwJMVKEbkkDoyFPE2tazkiyFyUhTr6A1X0XueU6w1zdVyscFxCzggcsf3BaBA/qBS9b6POHsPlKQv4Brfmg97dHvrS2I2WhtsD4uo89GUECVic09uyxR57TUhK31NZBKSNGwKq8k6CUEYUpKM1MJG+wknQYlDJShDpFYDQSeSoqY4PAGStKZ1Gpo0melS9g3d9pVLq6yFY4biZmBQ9Y/8hRqaNJnpUt9AFE2HxRqX9Aaz7obhuVKhOdijOFky5v0/XeqETU214y/jE1KhFNJjCT7aRRiShRBkkE5O2oUcl2BzGVEyzQBsS81kYlokKwzoqHsq5GJaJGsMK6bZBKVBdSTQXs57iDmKqwx0YlfQexyFe9Au7rh8l4oAPecaMSVS3ogUMblR5uHxaO24fJqkE/vIuwXcM8OnNgPKdjiEAMQu/Aw+3DwnP7MJlCBlLA80hb9ngtrCX4nC4Y9INw7gMsPrVefGpw8bmgo4EOdIeNSlSloBsNaVR6uHfY/rRe0hWHuFbStFknlO4FpyYjcDcqPdw77F5srugEoHcNblTS9w6bF5prmti9LRZV1kYlGYaJ8nVfLGIECdg0RHcB+iwWMVpK4pbCM2sTxjNWjIDN0oDE2V4sYkTpuFjESNJhsYiRInSvGhgN1z1xnCh7USzi5AtY93eRda5zz9X9tcJxITEreMD6BydM8KBe8LKFPoAIm69Y5B/Qmg96f9vnK2sLUx5qC4yv+6iUESRgdUKj0g7a5xkNInGDbB18MmIELL47CT4ZUZiCT1v7PCNJh8EnI0Wo7wNGIzstrMUiRpLOYk9X+zwnX8DqvtPYc3WlrXDcUcwKHrD8kWNPV/s8J1vo84ew+WJP/4DWfNCr29+Wg6pDyg5vfzPfQ63Cy8KBmyVVG7ejzqXc2rlE1NteQ7bsXPoH3T203H/UfUQf3X2x2KX85KHZRcWKzZbmsr/lp02Hy6rdKFm2G939xsT5lMwpMM6dtBsRJcogiYA882hQmo4ct7hRacFia0D4am06IioEa6Z4VOpqOiJqBKul28abRHUhlVHAfo5b3KgKe2w6KnXTkb7KTa5uUxKFu/OIygh60PDOoyTNc3vrEVUu6EJDW4+Kh9Yj6yW3b9JVg450F4G4hnl05sB4TscA/eQ2rUfFo9cHwtF6RKWQgRTwPNKWPV4Lawk+pwsGvSGczQBLUK2XoFovQTW4BF3Q+UBfGtZ/5Fh+3qJLBV1qSANS8dCAZH1mL+mKQ9wsafKsE0X3slOTEbgbkIpHrw+AowGJSgA62eAGpOJ4Laol9pomVqsdVUmVVSKLYjkdq9R8NIlG2WQeTWUqq2Q+Hau1YcFjTcMd+xLkVNzageS+uW6DEwU0JewOrpCk3QTyhBUkYDcQzeZ/oXPH+z9XSeGnR4t2IV3jUb/VNZ4frZuSvrj7lUrZP7v//rIk9NlRk21+evf7dT7587u/PvqS+qZPm8rRhydH9z9QuaX+C/XXmjrSydHG8aTm++6/03z1D+rPP7n/i0Uj0/2/P9InoP5w/8HpP1nWlB42DpabCssthT80DN9VQpqf+sXd3zbNT7+4+/ujQmqqz01D9ZR1qCQ+VHi2b8J4xooRsA0bkMb/tulp+0MzMX5rblD7MitWO1ZxYAXk/iaON1g5OqxHMVKE7ocDY+HaR2Ak6awelYnTwhgxfIWXL8AD7SINXifD5ap84bjcnBU8YCGEMzh4UC942UKfP4TNV4/yD2jNB90EyPPJJJ8X40lUFpNJJKpJEo2F+oF5PkrT0XhclkUvAbKtGaoKNQYG2H2AzAgSsDyFBcjL4HLRaP97FRzrmPND3at//+P7v7j/oW7M138m40cifhSf5LH+XWaNPBltIHEbbB15MmIELLgBkacudn18emQely+zAnUaczJydBhzMlKE+jxgLLLUuE95xsrRWcQp89MiN/F9hZcvYEnfacS5uv5WOO4zZgUPWADJEad1UC942UKfPoTNF3H6B7Tmg24izjQdy9lcTKI4z2WUJLMyKuNpFcWxjGVelkkll5FYtxFnZjLG40y6L9gzGAMD7Dzi5AQJWJ7QiPOv7z7Tm6v6FOdnKs5sunbU/37XtPX8fvGHi9b7VWdVkp5Ivc2pvmIMCJ6ymkDiJtg24OTECFhvAwJOW8cSJwlPpGnrt+ck6S7W5KQI9XbAaKTFaVVJE8oZK0pn4WYWV6fC0nHPChiwoO8y3pSrK2+l4w5jVvCA9Y8cb9pH9YIXLvQRROA8AScwojUfdLfvBk0sVX3pvudp447mvlvsqXrBzkA0AmRvsadyCoxzFy32VIkySCIgb3ct9o4LiKm0YFPhLgJWokKwLTAkELW22FM1tsNMnhZ7qrqQ3j/AfumplCaBZ2SB/XXYS33/sMz0h9AfctnjKt03EZNBQS+64zZ7slzQjQa22cuHq4il4ypismrQme4i+tYwj84cGM/pGKCv3KLNXj5cRSw9VxGTKWQgBTyPtGWP18Jags/pgkGPCKcwwDpU63Wo1utQrdehGlyHLuiQoFPdYa89WSroWwN67eXDrcT2B/eSrjjE35Jm0DpDdK89NRmBuddePtxK7F53rugEoKcN7bWX+lZi85pzTRPb5BwymYylmEYjMZ9HYqay83E5KSM5m1Wz0SgtyxWPNR93bEiQc3Jbr71MwzhRwO4LO4wgAfuAcFp/97Gu4xw1nc8fLi7haNLIj3Q5p+ktSuJHiXzUlHNMyE9ZkSWOjKfPJoxnrBgBG5l4Xnz/A1ufOicKTyXHxPEGK0eHdRxGitBNZGAsslNh4jhj5eisiFPGlnjyK7x8AWv3LrLIdS65uqNWOi4dZgUPWPrgBAge1AtettCnD2HzlXD8A1rzQe9xz1Bi61KXWagxMMDuQ0tGkIDlCQ0tWXqGGE0gcRNsHWoyYgSst3ioaS/BMJLwRJrWniFGkg5jTUaKUG8HjEZ6WsbSRHLGStJZtOlsGeIEDFjPdxpuri6flY7bhFnBA5Y/crjpbBnihAt9AhE4X7zpH9GaD7qJN8UszotxLKPRNJ5GQpYyqsazcTSezsdVXqp/YtJLvJmZjKHiTRFqDAyw+3iTESRgfULjzc1Tkc125hd3n97/+eLF8MvTkFKfhhTu05Cc7BJn3zrQZMQIWGkDAk3PaUhOIJ5408TxBitHh9EmI0WorwPGIhMmjDNWjM5CTVFZ7kb+Ci9fwEq+00hTrOISx1W4rOAB6x850rQO6gUvW+jDh7D5Ak3/gNZ80Hv8frrEXI9RgaYMNQYG2H2gyQgSsDyFBZr/ON9PxzlUEh+qreNiRowAvxAQF0Pvp+PE6jQ6ZuToMDpmpAh10MBYOJrwGUE6i48dr6dj5QtwQDuNj1c3O0rHVZ2s4AHrIDk+dryejpUt9PFD2HzxsX9Aaz7o1XVJS3Ad9nZ5XVJqwlURcO7AzdKkjdvRWU7LnfZPyHrba8iWZzn/swoxf9Dcndkc1/xDE7z+SsWDHyyOCn7RhJqLWEMX6n+8DBrtRzqP9AvojvRfp/6O3zb3x39qMsFTsgkEZoKdHPMkSpRBEgF55mOen9z/SEWCX9z9Wpn5h2p0vq1s/4Vu49Upx8fNOwD/h8pBVkMHHvYkMoNHWwICXWunAVEheC4lIGZ1HPYkagQPpGwbjxLVhRw+AeyXFadCmBSekRX2eNqz0Gc89aVKslodsMrdBz2pjKCLpRz0rBL7QU+qXNDHhh70zB8OelqvjXyTrhr0tLuI1DXMozMHxnM6BugttznomT96fSAcBz2pFDKQAp5H2rLHa2Etwed0waA3hNMdYAmq9RJU6yWoBpegCzof6EtDz3hal5+36FJBlxpyxjN/OONpfWYv6YpD3Cxp8qwzSfeyU5MRuM945o9eHwDHGU8qAehkg8945sdrUS2x1zSxTcIBNe1rHmue7ti4IOfq1jOeznujNjlRQFNG7+AKyepNIE9YQQK2C9F0fydnPBmRJY6M584mjGesGG3n78DA02HHGU9GlE5rPYwcHdZ6GClCN5uBsTBvA52xYnRW6XEd8eTkC1i6d5E/rrPIYlUYcNzMywoesPLBqQ88qBe8bKEPH8LmHNALZEBrPugmspyk82SaTOIomUzSSIynIipnsYxm82SWVyLPynT8dg+Rpa0OVIYaAwPsPrJkBAlYntDIMvgiIqj1ntEGErfB1qEmI0bAgouHmt7We0agTgNORo4OA05GilCfB4xFGhtH44yVo7OIM6tOi8zE9xVevoAlfacR5+qmROm4+pIVPGABJEec1kG94GULffoQNl/E6R/Qmg+6iTiTUTVNJ3kSlWmmotM0k9E4qcpoVhVxMh1PCylmb/cQcRpngIo4q1BjYIDdR5yMIAHLExxxNi3139bNRj/Xseb9d+6/e3T3/6pw8zdNE/6ii+mTZfd7KuP4/ntJuvg8lZbY5imrFSRuha1jTkaMgCU3IOa0dvswkvAEm9b3ijCSdBhuMlKEOjxgNIQajlKYUM5YUTqLOB1bnJx4ASv6TgPO1UWJ0nHzJSt4wOpHDjgdO5ycaKGPH4Lmizf941nzQTe97N98JUCxRpTfmE3e/+q77xgsQQgoLZFk7rxuKU3bmLYedrvWkCBx1cZuFPuELLY9xxyGhQPBRZf67/TJSpPYp0rsH5+RFW8sdXbJ2610iz7SPDl5npWZZWkjQ4hwCLwvRyt/oZW/sCl/QVcuw5Xj/ThK+LkWfm4Tfk4Xjk91+mq6aPxTALUNoCYDbDRxeQDC5suVVn1lU31FV40v3YG9W0r0tRZ9bRN9TRPdTJa3u/Q/tr6sPHHKz6w2h9WSPJDtEBVVLv5goj7ovzZbDr9fdlJ9etSUvfQOxLf1awD+sLoh7yP9bfff09+4aL5qvrz2XuobTKDKfyXafxFpu/Zf+tarXOoPfRii0O6s0PdfFfqARGnuRH5Op+vCsaXKsSmkFxrphUZ6oZFeaKQXNqQXdCQZjhS0ip1ronNNdK6JzjXRuSY610TnNqJzOhH+xG3tCvVlR4qs1mS1Jqs1Wa3JahtZTSZj95Gp8pEK50rjXGmcK41zpXGubDhXdBzc75CcZ6qcp6K51jTXmuZa01xrmmsbzTWN5pWdSg3V0Rll7bFszjV1UkjrmGBiiZ7Vft0sVW/b3Wx5RFmld3ef6L7lh7feWJ3p39/9/O4vV++1ecWxfrj82n9a/anrxTZU7rYjYjyXTJUogyQC8u6/1dj5A/1y918v33r0P7/7n5JTpUO/gShVvzC+leEZmaG9/8Z3zpiqEDwbFVJRsJ4zpmoED0VtWSugqmuHC1ueMzba7oysrr8zxrm+TDYXy7N9eeo8XkzGA71j+PHiIimtp4vJakH3GHi6OE/Xp4tz6/Uqb9JVg05yu4RsVTTJ00dnDozndAzQ5xEyr9VRP6X99YGwny4mU8hACngeacser4VtplNUwaAPhOtPwOJT68Wn</t>
  </si>
  <si>
    <t>BhefCzoa6DzDDhbbF5636EpBFxpwrni96LzleFov6YpD3Cpp2qyqep4FpyYjMJ8rXi82qwGwnysmE4DeNTC91nNnLWozgaaIbRKGRM6LqciirJolkcjyPBpV0ypKx7NsKpJ4on634LHm1l8f7bIXr8mvrRl2FoaJ8pmycAdWSCZuAnnCChLQuIGm6P+t/arao/vvq19+vnybrW7O+7EJ9CkrqMRB8YTXhPGMFSOg3yQg5/3t3ccmlC+zorC020kTxxusHN0123FShHb7AGNhS7QZKTrrs0sza6MdK1/Aer2LbHGdM65ue8od93exggcsfHCiAw/qBS9b6LOHsHk67YABrfmgm2iyzMt0UkyLaJwVcSTy2TyqJmKsfjSLq3k1GmWz5dLaaTRpDJpVNClCbYHxdR9NMoIErE5oNPkf2pccHN395d1/vPvl3d/d/W1093P9H/Wbn6hf/bI5aGyCfsoKLXFoPLJcvnz381PDNQ/65tzfqS/96nR5X4N+o2tzd25TBlu839Vkh2esdghYoXcSmjKisISm8aneWtxEeYMVpcPolJEi1EMiw2GiOGOl6Cw6TWL7ORBWwAAHsNPwdHVHVO649IsVPGDxI4en9lG94IULffoQOF986h/Rmg9aB6iuuHO3HUK2iFM66ERctul67xAi6m2vGQfXIUTkFhj3TjqEiBJlkERA3jYdQkQGsDoaEJJaO4SICsEiJx5pujqEiBrB8ua2ISRRXUgpE7CfLTQkquuxQyjXHULFqkgv3R1CVDzQO+64Q4iqFnSPoR1C8qFDyHoP05t01aCT3EVQrWEenTkwntMxQJ+3TYeQfPT6QDg6hKgUMpACnkfassdrYS3B53TBoA+EMxNg8an14lODi88FHQ10njvsEKIqBV1oSIeQfOgQsj6tl3TFIW6VNG3W2Z57wanJCNwdQvLR6wPg6BCiEoDeNbhDSB6vRbXEXtPENsH2vIzz+TSO5mk8j8Qkr6JyWlXRZDYTcZ7NR7FYPrDW3NqxuUDNr60dQnkYJsrXfU2HESRgSw9N0TdrOvq3zcWDOkX/VpMY/nv1DT/SNwj+9d1PVKL+y7uf3f2N+t/fLl/h9eZFJJOju5+YDPKU1SASNwieGJswnrFiBOxYBuTG9nINI0rX5RpGlA7LNYwUoRvGyHCYKM5YKTor15TlaWmr1nDyBSztu0gs1+llvtrbd1xxxwoesPbBORE8qBe8bKHPHsLmK9b4B7Tmg24Cz1kyzjIxKaKJnCTqe0UajYRMovlIpJWcFKN5vnyaOw08baWdItQWGF/3gScjSMDqhAaehtZ0fUmBbpj5waIx/ejq2eXl46fnR//88Yt/Nnh6/vjq6PGbbx5dXF9enNfPjkxWeMpqBYlbYetokxEjYMXdSbTJiMISbaan0kTyBitJh8EmI0WowwNGwxZsMlJ0FmzmjtYgTr6A5Xynwebq0qTccQsWK3jA0kcONvVLzEsT2wUvW+izh7D5gk3/gNZ80N12BmUmOhU+lk66qk3Xe2cQUS9Y9ESjv+47g4jcAuPeSWcQUaIMkgjI26YziMgAVkUD4lFrZxBRIVjcxMNMV2cQUSNY1tw2gCSqCylhAvazBYZEdT12BlX6HZzxqjhfujuDqHigd9xxZxBVLegeQzuDyofOIOstSm/SVYNOchcxtYZ5dObAeE7HAH3eNp1B5aPXB8LRGUSlkIEU8DzSlj1eC2sJPqcLBn0gnJgAi0+tF58aXHwu6Gig89xhZxBVKehCQzqDyofOIOvTeklXHOJWSdNmne25F5yajMDdGVQ+en0AHJ1BVALQuwZ3BpXHa1Etsdc0sVrtfCqraqby6/loPI3EeDaJxmmSRWVVxdNZnsvpXC54rLm1Y3OBml9bO4OqMEyUr/sCDSNIwI4emqJvFmiaBP13+ij08qX6ukijsvTvqD/QWXu7fnP33+/++u5nKn//mfrvzxd3T/9K/W2/a147pDP2i4usuLFVchjNJXFz4WmzCeMZK0bAdmZA5myv5DCisFRyEmslh5Gkw0oOI0XobjIwGraEnZGis0qO6x1EnHwB6/4uss517rm6HC53XPbHCh6w9MEJU0glh5Mt9NlD2HyVHP+A1nzQ+9uvntnahoo41BYYX+dRKSdIwOqERqX8/eqcBpG4QbaNOzkxAhbfXcSdnCgscae9X50TpbvAk5Mi1Pkhw2GiOGOl6CzwdPSrs/IFLO27DDyLeBmnLH5hAn/OCx6w9pEDT0e/Oitb6LOHsHkCT2BAaz7obluIhIlOhZKuS9REErfp+m4houoFq6NoJNh5CxGVW2Dcu2ghokqUQRIBec1AfK67hnS3kDmLfkaWC1ZKA2JPW7cQVSFY8MRDSke3EFUjWOrcNlYkqgspawL2s8WARHX9dQsV+hbfIlsW7IvE2S1ExgMd4W67hchqQU8Y2C1UJOtuoYWZTarfpKsG/eEuwmcN8+jMgfGcjgG6ty26hZT21wfC3i1EppCBFPA80pY9XgtrCT6nCwZ9IJyDAItPrRefGlx8LuhooPPcXbcQWSnoQgO6hdaLzluOp/WSrjjErZKmzTqxcy84NRmBuVtovdisBsDeLUQmAL1raLeQmjtrUS2x1zSxTZgIvadX81jTaMc+AjWVtnULFWkYJsrXfV2GESRg8w7NxndzNwQntMSh8TzXhPGMFSNg/zEg/7XXXhhRuq69MKJ0WHthpAjd/0WGw0RxxkrRWe3FdbUDK2DA+r2L7HGdQ6arvXrHjdWs4AGLH5z44KN6wQsX+vQhcL7qi39Eaz7oJrycyNm0issqGs+k1C1CZVROx1kUz9MyH6XT8Xgk3+4+vDTuB6vwMgu1BcbXfXjJCBKwPKHhpaEZ/eO7z+7+cP+tJt788P7Hy96ehwbz5e//oWlJ/6763/fV/z5YfLv62rJF/Q93Xxzd/eLuZ3c/j5pOoZ+oOPWv1Od/ufvlyVEW2wKjp6wGlLgBtw5VGTECVuudhKqMKCyhqrC1p3OSdBipMlKE+kpgNGyRKiNFd5GqrZP5K7x8AZ5gp4Hq6kbVwnFFLit4wNJHD1Tt7emsbKHPHsLmi1P9A1rzQXfbJSRNdCryFE66pE3Xe5cQUW97yTi4LiEit8C4d9IlRJQogyQC8hYvFYot7xKiygQrowEhp7U7iKgQLHDikaSrO4ioESxtbhsjEtWFlDEB+9liP6K6HruDpO4OylcFeuHuDqLigQ5wx91BVLWgBwztDhIP3UHWe1HfpKsG/eAuwmYN8+jMgfGcjiECMQgFe/Ho9YFwdAdRKWQgBTyPtGWP18Jags/pgkEfCOcewOJT68WnBhefCzoa6Dx32B1EVQq60JDuIPHQHWR9Wi/pikPcKmnarBM694JTkxG4u4PEo9cHwNEdRCUAvWtwd5A4Xotqib2miW1ygkTOi6nIoqyaJZHI8jwaVdMqSsezbKqS7on63YLHmj479g+oKbS1O0iGYaJ83ZdvGEECNu3QLNxw2cP31S8/V//TLUNNLcYE+pQVVOKgeE67OPly9+n9D0+PPPktI1rA/mNAHmwvvTCisJRepInjDVaODgsvjBShm7/AWNiSb0aKzgovjvcCsfIFrOG7yCDXeaRc7dM7bqxmBQ9Y+ODkBx7UC1620GcPYfMVXvwDWvNB72//ubQ2COWhtsD4uo8wGUECVic0wtxR/zkjtMSh8WjThPGMFSNggd1JZMmIwhJZOvrPGVE6DC4ZKUIdHDIcJoozVorOgktn/zknYMD6vdPocnW3aeG4rJYVPGDxI0eXzv5zTrjQpw+B84WX/hGt+aC77evJTXQqYCycdGmbrve+HqJesJ6Jxnvd9/UQuQXGvZO+HqJEGSQRkOfZ9yTKBGuaAVGnta+HqBAsTeLBpKuvh6gRLEpuGyUS1YUUIAH72aI/oroe+3pK3ddTrUrrhbuvh4oHOsAd9/VQ1YIeMLSvp3jo67HeavomXTXoB3cRN2uYR2cOjOd0DNCtbdPXUzx6fSAcfT1UChlIAc8jbdnjtbCW4HO6YNAHwskHsPjUevGpwcXngo4GOs8d9vVQlYIuNKSvp3jo67E+rZd0xSFulTRt1gmde8GpyQjcfT3Fo9cHwNHXQyUAvWtwX09xvBbVEntNE9sE29ALdDWPNX127B9QU2hrX08ZhonydV91YQQJ2LVDs/AObmNgNIjEDYLnviaMZ6wYAZuSAbmxvSLDiNKOARwoeBLtqMgwonRYkWGkCN0TRobDRHHGStFZRcZ1GwMnX8DSvovEcp1elqvte8c11KzgAWsfnBPBg3rByxb67CFsvnqMf0BrPugm8Jwl4ywTkyKayEmivlek0UjIJJqPRFrJSTGa58unudPA09buU4XaAuPrPvBkBAlYndDA09BQ3r599urZ5eXjp+dH//zxi382eHr++Oro8ZtvHl1cX16c18+OTFZ4ymoFiVth62iTESNgxd1JtMmIwhJtptaX+jCSdBhsMlKEOjxgNGzBJiNFZ8Fm7uj+4eQLWM53GmyurigtHHfOsoIHLH3kYNP1Uh9OttBnD2HzBZv+Aa35oLtt/jFuzz7OlnmFjS5r0/Xd/EPVCxY90eiv8+YfKrfAuHfR/EOVKIMkAvLczT9UmWDhMyDktDX/UBWC9Us8knQ0/1A1gpXLLWNEqrqQKiVgP0vsR1XXX/NPmZyoj3RZfy9jZ/MPGQ90gLtt/iGrBT1gYPNPGa+bf0rrfaRv0lWDfnAXYbOGeXTmwHhOxwDd2hbNP0r76wNhb/4hU8hACngeacser4W1BJ/TBYM+EM49gMWn1otPDS4+F3Q00HnurvmHrBR0oQHNP+tF5y3H03pJVxziVknTZpXQeRacmozA3PyzXmxWA2Bv/iETgN41tPlHzZ21qJbYa5pYrXY+lVU1Uyn0fDSe6vfiTqJxmmRRWVXxdJbncjqXCx5r+uzYP6Cm0Lbmn9J9s9kGJsrXeQ2GEyRg0w7Nwg13MvyhSa4/a95/88GyDqMS8e+oP9CJebtEc/ff7/767mcqRf+Z+u/Pm3PZD/c3NEn5xUVW3ByZzPWU1VwSNxeeGZswnrFiBOxYBmTO1mINJwpLscbytu03WEm6K9ZwUoRuGAOjYUvYGSk6K9Y4XgTEyhew7u8i61znnslyb790XDnNCh6w9MEJU0CxhpUt9NlD2DzFGmBAaz7o/W1JL2ydQWUaaguMr/uolBEkYHVCo1L+lnROg0jcIFvHnYwYAYvvTuJORhSWuNPeks6J0mHgyUgR6vyQ4TBRnLFSdBZ4OlrSWfkClvadBp6rG01Lxx21rOABax858HS0pLOyhT57CJsv8PQPaM0Hrf7vX33zlZDLGll+YzZ5/6vvvmMwBCmwtAWVmYMzS/M2p61fyK42JF58aBkyyn1CltueZg7jglHhf737rGkIUjGhCvw+Pbr/QMWBv9LtQPc/Wl4Ca+kferVnSH2DCVSFhNkfn5FpN5ZKO+52K+Wym0DoboJCfVTmMt5zOokIJ8HLNVr+Cy3/hZb/wib/BV2+DJeP12qU+nOt/lyrP7epP6erx58a+tq8rAkLXRMu1IeFoiZTbJT6PBRh0+dKS7/S0q9s0q/o0nGfEFjmU8qvtfJrrfzapvyapryZO2+vndq/dHm5XTbFptZ6nnBSlFb7Y2KJHk6rNul9QtbbXva3bIr9u7vfaq92/y17O+ynesuj5dCO7r+lvqZ+8tO7T5qb1D9QrlJ/a7NLor5D/cgXdx+3dlW+WP5Nxn9i0Vj70VGq/m71z3xhu9uDari2l+HsqiVKlEESAXl3v7j7ZZSepkdfUjbVQ/jB/beP7n7d7Gb9aHnRSKabF9R/iiMduHys/6ypw356/+PmD2RpXDeekSnBhqSALR5rUy5RIdhXhO/cuJpyiRrBjqJtt2SI6kK6hwD72bZaiOp6bMrVN22Wq8vuSvdNm2Q80AGHN+WmhaMpl6oW9MChTbkPN22Wjps2yapBP7xd7rXen9IX39kxntMxRCAGHjmv++QebtosPTdtkilkIAU8j7Rlj9fCNrMuqmDQB8JbfcDiU+vFpwYXnws6Gug8w5py7QvPW3SloAsNacp9uGnT/rRe0hWHuFXStFnvn7oXnJqMwN2U+3DTpnuxuaITgN41MFvXc2ctajNHp4htwsQqnVbzchrN5yO9Yz0ro7KYplGqEvtRPqlEmS1dgDV9//pot+0P1qRYJfEyDBPlMyX6DqyQZN8E8oQVJKBGhu4C/PzVPYDfq3T84yZX/Iv7P1903H6ufvsX9z/Uv1H5+o+PLt579/3Z5P2jfzabvPvesv3h8vGbR1UcZyaDPGU1iMQNEpA6692NzxaXjb6+t9HsbGgrLWsDv9FmU0Z5/M77sz8ZHd39/f231Y9+8fBDR3d/e/cfTvSPtfda3n77nWY/5NVjyb9r/sXlHsqv1L+iv7z+grHecKIvRtVf/fZRdLTohW4aVdSQqH9BD4r6139+9zdGB/qMdWwC6poBCb+9p4MRhamnw/jAvMFK0mFLByNFaFkZGQ0TxRkrRWctHWman+bG8/Vf4QUM8Fe7yJbXOfPqEsrScasoK3jA2gcnehs7i5k8zXIT3AUvXOjTh8D5mjr8I1rzQe9rN7H+r63xIw+1BcbXfTjNCBKwPKHhdAfdxIwGkbhB8HDahPGMFSNg9d1J5MmIwhR5WruJGVE6DD0ZKUKdHzIcJoozVorOQk9XNzEnX8DSvtPIc3U/Zem4cZQVPGDtI0eerm5iTrbQZw9h8wWe/gGt+aC7fOdgag0lCwedSESbrvf2KqJesKyLRoIH2F5FNJzADLeT9iqiRBkkEZDXGFu/teKHR573FxIVg2XigPjV2ipFVAhWe/Gw1NUqRdQI1nm3jTeJ6kJquoD9bHEkUV2PrVL68tJydX9g6b68lIwHOtMdt0pR1YLeNLRV6uHy0tJxeSlZNehTdxGCa5hHZw6M53QM0MNt0yr1cHlp6bm8lEwhAyngeaQte7wW1hJ8ThcM+kA4jwEWn1ovPjW4+FzQ0UDnucNWKapS0IWGtEo9XF5qf1ov6YpD3Cpp2qyTQ/eCU5MRuFulHi4vdS82V3QC0LsGt0rpy0vNC801Teze1nbs553c92ltYKJ83dd2GEECNgDRjL6D2g6jQSRuEDwNNmE8Y8UI2N8MyI3ttR1GlHYM4EDBk2hHbYcRpcPaDiNF6P4yMhwmijNWir2o7XDyBSztu0gs1+nl6q7L0nF5KSt4wNoH50TwoF7wsoU+ewibr7bjH9CaD3p/e/TtlaAq1BYYX/eBJyNIwOqEBp4d9OgzGkTiBsEDz1WP/v96HfmMIxHgP3YSOzOiMMXOxsfjDVaSDkNnRopQ942MhonijJWis9DZ2ZHPCRjgnXYaO6+u7iwdd7GyggesfeTY2dmRzwkX+vQhcL7g2T+iNR90t41RRq/wOKtiJ51s0/XdGEXVCxZx0Wj28BqjqIYTmOF20RhFlSiDJALyFo1Rp/r1UWl6cpSdxkllkvyMLBmsCgdEsLbOKKpCsLiLB6aOziiqRrCsu2XISVUXUsIF7FeI3HLxxhlZYn/tUZW+3rVa3bBYua93JeOBLjW8PSqLc2t7FFkt6FMD26Oqh+tdK8f1rmTVoGfdRSSuYR6dOTCe0zFAP7dFe1T1cL1r5bnelUwhAyngeaQte7wW1hJ8ThcMOkI4nQEWn1ovPjW4+FzQ0UAPGtYeZV943qIrBf1oQHtU9XC9q/1pvaQrDvGtpGmzShE9C05NRmBuj6oernd1LzZXdALQu4a2R1X6elfzQnNNE6vVzkZ5leVVHhVjOYlEKkZROU2SqBxJKfJknItsyWNNyB07EtSk3NYeVbkvFdvARPk6r1JxggTsA6J5/S6qVC+e1lF9FMsijgYmozxlNYrEjRKQELf2Oz5v7sDVGxLN3sRHTcXp93dfROo/nzXval40k332aqXp4W9ofvvJ3e+0RT+6/5H62hfNV3XZ68+XZbCPXq1a6U2UT5o7cn9795mjLval9gD9E1OR7GjHJTL1V+s/1AWy+x8sVDalyiIWYlEnMz7lz1jnQcBeccAug7VOxonSbZ2Mk6S7OhknRehOPTAaaZqdVoUwsZyxsnRWLYutV+Gy4gX4yF1k6Os8fXVzauW4CpcVPGD9g5NLdEwveNFCnz8EzVMpA8az5oPe3/MN1kvLqjTUFhhf9wE8I0jA4oQG8PznGzgNInGD4MG7CeMZK0bA2ruT2JMRhSn2tJ1v4ETpMPhkpAh1fsBwJElyWpnP452xsnQWfDpOObDyBSzwO40+V9enVo77cFnBA1ZAcvTpOOXAyhb6BCJsvvDTP6A1H/TiPlzNLt52B5g7vRBXmDBVZJk5MLO0amPaOrZ2ex2uUewTstj2HNv+Mty/0Tt6Kiz88O5/vNqW9cX9n+tg8P57R80O5O/15l4TQv72/vsqavyNCUvFgPrqWypbx1ffVvrq2yrXH+XJcxHb7r8l44hwHLyetbj/ttL33yqGF5rhhY3hBZ1BhjPgFa3mEtxKX4KrEM41wrkN4ZyOgD8y9FV5WT7XN+EqlFqj1DaUmozCfR2u0n+l9V9p/Vc2/Vd0/bhbCKyNNnfiVvpOXCX/Wsu/tsm/pslvptJCvnYYHV2MK6x1UOFiyBLrEGBSSZ7O9sLyJ2S1bYewZXNy29U1vcaf3n+rqWd9vKx/rduSP1xseuialvr6h0d3P7n/4O7zhR9sqmAfnxzpbRX1x7+7//f3P9Y/aMJ/SsZvOxDOFmOiRBkkEZC3ajHWN9gaZ9MzslawpSpg58XaW0xUCHZG4Rsqrt5iokawJ2rbnRKiupD+J8B+WXpq6ywmCuyxs1iu+vrc19OSyUA3GN5UXGaFvamYqhb0hKFNxQ/X01aO62nJqkGPuF1+tN4u0rdF2jGe0zFEIAYeya77/B6up60819OSKWQgBTyPtGWP18I2UyGqYNADwjtvwLpTg+vOBZ0K9Jph/cT2NectulLQd4b0Ez/cTGt/UC/pikP8KWnGrHcy3WtNTUbg7id+uJnWvc5c0QlAxxqYM+u5sxa1mSRTxDYZQTkrJmU+j0RRjNXHuIqqUs6jeCTTcpyl86KcLHis+fPXR7tsRxC2Q7Mqi5ZhkCidKdN2QIVk2yaQJ6wgAbUqNBH/uW47bbpDv73qOPi8+c2HKvP+bNHqqjtaXz8p/MXdb4+OTPxPWfklzh+Q5jpN4DHC46+NZ984unr2xvWbjy+P8ji+/17zkUj9l3x+ctQ0DK/+9g+PHl+oP36cay9cxUf/3/8d3f0ySqTjXTZHD2+ysXXoMho8oEa4i1ydkYSlScI4Im+wcnTYIcFIEVqfBcbCsT/ACNJZe4SjN5cTL8Dj7CLRXae7q3tIK8fNsqzgASsfnKOhY3rBixb68CFovuYI/3jWfNDdvcVGWHttcwebSPI2W89FIqJacEsMjU17KxIR8QWGv5MiEVGiDJIIyHvlPTRZZtL6jKwV3CLbReBJVAhudwUElI4iEVEjuNG1bbBIVBeyqQXYTwWBlUngGVlgj0WiYrVZm7uLRFQy0A3uuEhEVQt6wtAiUf5QJLLePPomXTXoEXcRO2uYR2cOjOd0DNCzbVMkyh+9PhCOIhGVQgZSwPNIW/Z4Lawl+JwuGPSAcAICrDs1uO5c0KlAr7nDIhFVKeg7Q4pE+UORyPqgXtIVh/hT0oxZZ3TutaYmI3AXifJHrw+Ao0hEJQAda3CRKD9ei2qJvaaJ3dMikfVGrqoIg0Tpui8SMYIEbNmhifjui0SM/BLnD0hzD71IxGjwdpTiMPgucnVGkk6LRIwcHRaJGClC96mBsXDsDzCC7EORiBMvwOPsItFdp7vFqqjguIuaFTxg5YNzNHRML3jRQh8+BM05nhfIeNZ80PoE7cnCmXV2osi4Ya7CXNddaFmWthk7KhYZM48nZLXg1hgao5KKRSpa+/WR+pHf3n9n8cq8hzBOH7f9pLkGYfnXLE7g/qEJ9r5tMsVTsikEZoqdFI6IEmWQREDe//zuf0pPY/Pb4p+RZYI7ZruIQ4kKwd2vgPjSUTMiagT3vbaNHYnqQva4APsZbXdGVtdjwahabdyW7oIRlQx0heEFo0RUlb1iRJULusPQilH5UDGy3mf6Jl016BZ3EUhrmEdnDozndAzQpW1TMSofvT4QjooRlUIGUsDzSFv2eC2sJficLhj0f3A2Aiw8NbjwXNCpQJ8ZVjFyLDpv0aWCrjOkZFQ+lIysT+olXXGIOyVNmXV+515sajICd8mofPT6ADhKRlQC0LUGl4zK47Wolthrmlitdp5VI1mlZZQlyTxKktksqqpYRNMkz5PRJB6Pq6UXs2bRju0EWiZtLRlVYZAonSnfdkCF5NwmkCesIAEbeGg6/otFnqz7MF/Lou8Wb+RvCiP6padN2t3cW/BXdz+9+8XRN/5pKnVR5Kh+98/emT55d/Te9Kj+sz+dvfflr74zM1nmKatlJG4ZPPW9+4lpw+Hu09a+xf2PFl/6sLnlQZlzuV3xeXMTwKf6xoD1pYwfN/dqL29c/G1j3lfNrEahuSVC/wXrfZLVS2bVP/JL9dctLw5Y/FRzffdRkjZlKvW5KFTpf8JUg1qWnk6auyO/aN+i8Gv1b7XeZrbektGtucsW3Q8XbzbTd07a/p1Wrcvou5+xzoeAHd9d7DEwknRa62Lk6LDWxUgRut0OjIVtX4ORYh8KXZx4AX5yF/n5Oktf3QFdOW71ZgUPWPbg1BId0wtetNAnD0HzFbr841nzQTevij1ZR686Mu+s4CVMrI/FcuBtrBv3l3dS8LJ0oT0hqwV39tAI+29VxPSJio0+XF4ioOOs5vavoDJYE4J9tr7jSsePOuD6orlv6tOj7CQ9ajqU9L/xu4dLxhY3aH3RxJC/boLND5srDNQP/6755/RN4vrvXUj4/OE2cJNNn5JtKjCb7qByRpYogyQS5T0jywN3DLePZskKwd2/gCjVWjEjawS3/baLQMnqQrb4APvl8rQwCTwjC2QpmqEBxlfoskFfSaiIpYmtIEZXC7rLsIKYkrMqiKlfWgtidNWg2wwKuNGp8ZwuG/RM9AKYkvbodcNbC2B0ChlIAc8bbdnjtbCW4HO6YNCd7T5LoUsG/Vtgdcu6gLxFVwp6Oby49bB4vOVYPC7pikM83y6nQ02WzFvMelg0Vga3FrPoBKBXDCxm6bmyFtUSe00Tu7g0ZXFvyso7WvPgnVycYgyNVQKcONXb7zeHNYbkwIlR5ROyyvZDuP1NKX+lssom/WxKSMurlZfFjKaU8Cudyt7/6KS5Ifv+O/d/3nzT71f1ji/WpSj9hc+XhQhdOmlS489N/CpJTf74jGyEbq9UEbFln5Cuvx3QAPrx5am5Q8Um+gVdtAwXja9I+tIUm+Zzumb8cYHdllF7bdNek7UzX4tiE3xFF4yv8oHuSt+DYtN7TdPbzI63u/BSlm4KxeOUbT8SDasM81PWLVqiTvzR2xdPdfSlpjtAF/t/3ZxI/aH6Oz+9+1z/tHHuKTeWajdGtFDXbizT94Hl6iOJ9UelPlJpc21Upi5cW6YvBcvVhwJ5oUFe2EBe0EFkOEjQinauOc41x7nmONcc5zaOczoH/hxu7QIzfT1Yrj4UT615ahtPTeZhd4uZviMsVx8K4kpDXNkgrugQuKshucpMXxSWqw/FcK0Zrm0M1zQGDbHcHmJ3n1YHmjmFF1bjwzpDHajlWB9ZKf7ooi70p8r1fadpEWv8YlNlXFYTlU9cVhk/bf540eSmK46/vfvMxKW8X6a9HxGua+8nbJ6Oqr8LT2cW/YIuWoaLDlp8zm2az+ma8cdgaw9m1l6TtbN7K7PgK7pgfBUneSaz3muaXi14OaE78EJWPySc0kurqWGl4X7oVJq0PiFrxR9B1BP9Q5OtfbBonFk0zSwyryOVcH2n6Z9RKZ2JQvkdof0OEaVrv2PNsKj6u/A71myKKlqGiw5aWs5tms/pmvFJv7XfsWZJRO3sfseaEVEF4+s2ye9Ysx+K3lc2Dzto+Vw6H6v7kS4CEVstjgml+B6b2CdksWDjCsn5vOJumkM3eovx4/sP7r9z9+vVsZuPjppf/X7Rdrk4MaT3GfUL7EygT8mg7cWdswmTKFEGSSTKe0aWB3at4E2Y5jfUfJksEOxR2U0PJlEj2J2ybQ8mUV3bMW/Zg5kaD/WekeX13YFJlQ26LkIHZpJa32JPlws6sNAWTPnQgmm9YOdNumrQkwWlHujceE6XDfolQsax7qaSj143vKMFk0ohAyngeaMte7wWtpmCUAWDzoyjBZMqGXRvgS2Y9hXkLbpU0MuF9GDKhx5M6+pxSVcc4vl2OR9qsmTuHkz56HWDO3owqQSgXwzMS/VcWYvazEspYhc9mK9I5t8VTU3yVVKaO+XbL4WGdQbnpaktJSVKxXeH0Kz071Q6+UnzeoomL/2bu7+7+4VJs8ouc70BShTe9QZoYdsApepvxyKAfnxhWW6AmkW/oIuW4aLxtWSxAWrWfE7XjE9x2OHYNkDN2muydvYNULPgK7pgfIkOdDSLDVCz3mua3lc2QDtwMdadT9f7qzORWk0NKyU4GevOJ1Es/gyibqbxK0dJdPebo/v/Z3G83SRZeZlCexmi7q69TGnzMlT9XXgZs+gXdNEyXHTQQnJu03xO14zP8K29jFl7TdbO7mXMgq/ogvFVmuRlzHqvaXpf2YjuxMtY/Yzz5Y4isxob1kryM6fGbesnZLn4c4h6mr/S3fMPL1ExtOqbCJTjKbXjIWJ07Xgqm+Oh6u/C8ZhFv6CLluGig9aWc5vmc7pmfMJv7XjM2muydnbHYxZ8RReML9wkx2PWe03T+4rj6ai/w91gWDkZ4BPNu+rwWDgf9f9sqQ5RL1gaI3qfo+VLtvTLYr9z/72msaN5XeqPlWeyt7gTWdqLOGcfB1GiDJIIyGsM/PnpUXoaZ8aXGj0jawXrYHhTh/3NWkSFYNlrN10dRI1gvWvbrg6iurY73rKrI0lOZW5SeEZW2HdjB1U26LPCGztS16u1qGpBtxXa11E99HVYXxX6Jl016LyCUg50ajynywb9FCHTWFdoq0evG97R10GlkIEU8LzRlj1eC9tMPaiCQX/G0ddBlQw6uLC+DvsC8hZdKejmQto6qoe2DuvicUlXHOL6djkdarJk7raO6tHrBne0dVAJQK8YmI7qubIWtZmOUsQuX62lNS+9DP92aGbS/1gkzleDiR5eWnKaGqU+IUttP4vbb4O2+jr+/u7nd39p0vxUaf7jM7Lwjjc+k0S/RMR2qpoM0Q5IAAh8eVnsfirlL2zKX9CVy3Dl+LLSbIEq4ec24ed04fiMhx2QZR9UAdQ2gJoMwL0ZqlRf2VRf0VXja3egC2p2RJXoa5voa5roZrK83ZUDsu2GJolTeh+v/UgtYp+QxeKPJOqEftFsfv7IJFP5Hf02RqrWrv1Oqv1OZvM7VIgu/E6q/Y5Z+Qu6chmuPGgtOdfCz23Cz+nC8Um+td9Jtd8xA9RkAHa/k2q/Y1Z9RVeNL9kkv5Nqv2MWfU0T/erz2VE9LrNX45Zv9LUhVFa7Y0JJzuc0EVYPRJQL7mei7ue/NXdYfvf1621+pW8l1BU63Rly/71Fhe6j5nD18gbFxYHroy/d/+CVn9dZVNTc6vhjfe2j/pt+39yL+LvlO0Sa63LUjzS/1jcpvvKt999vyoKfNmXB9UU+n9+t7lNUf/k/OdJXMC/rhSarPiVbte1lGMuCVIkySCIgb1UWTE7VP3yyqA6eKhO/89qkWL0H5otmVnzr7g9qLNWfvjpdFl9qbkRqbkX63DxhPnutrHtqss4zsnXAjdsdFCKpCsF92p0UIqkawR3aLQuRVHUhu7GA/coqOS2ESeIZWWLPlUiybNBbEyqRubBWIslqQZcdWIlM0nUlUgVL1kokWTXouYNyMXRqPKfLBl0jIftaFRWS9NHrhrdXIskUMpACnjfassdrYZtJGFUw6NAYKpFkyaCHC6xEWheQt+hKQT8XUIlcLx5vORaPS7riEN+3y+lQkyUzVyLXi8bK4PZKJJkA9IqB6bieK2tRm5k4RaxKxf+vTnJvo2iVe2cO0SKB9367yr2JckEP/o819yZaFQwwdpJ7EyXKIImAvO5z72Y6LH741WuS1Zc+tKXiRGOBkcsuUnGiQjBQ2U0qTtQIhijbpuJEdSHhCGA/ZypOlNh3Kk6VDTrvHafiVLWgBw9NxbOHVDxzpOJU1aAj50rFqbJBT7lNKp49et3wjlScSiEDKeB5oy17vBa2mYpTBYMOjSMVp0oGPdwOU3GqUtDPhaTi2UMqbl08LumKQ3zfLqdDTZbMnYpnj143uCMVpxKAXjE4Fc+O16I2U3GK2KYp+OQh/LAm5TvsyLJl5cKhP5PwG8h33JFlnNxPyGrxbhU0L/+Fvl9Jpb2fQS9FSPSlF1TxXfdo2S69IOtvhySAfnyBWbZn2S69IIuW4aLxNWXRmWW79IKsGZ/msOOxNWXZLr2gamfvx7JdekEWjK/VgQ5n0Yplu/SCpPeVjcnOmrCsr37Tj5aDILVaHBNK8ze2nuUnZLlg/og6nP989+H9D5urc5c34n7e3PX3RXMR7meLbdr7Hzf7dUd3v15/86frHTx9h+63lzt/zSWB/6M52KL3CH9z9KUj9Ru9O9hsJ/7V3U/vfmGcf0/J5mg7Ac4dXKJEGSQRkNfawX3tHQtH999Rxlbj0lzSuDK6vq4k1RvvelP9xya8Z2Q8MEXdxZ4rUSGYke5mz5WoEcxFt91zJaoLyTsR+xVleiotV2xQNbJsum640bMvP7u8PL/80iLrXIa2zQXahf4o/4muVWmIJhmNjavdV+iMoFcN36HN5WkmTGL/BV0s6FlDN2gfbuNIHLdxkFWDDna7nGhBoGEenTkwntMxQMdISI3Wey8Pt3Mknts5yBQykAKeR9qyx2thm7kSVTDoDeENW2ABqvUCVOsFqAYXoAs6H+hLw3Z3rYvPW3ShoEMN2dx9uMjD/sRe0hWHOFnS1Fmov/AtOjUZgXuz9+FiD/eCc0UnAB1sYO6t585a1GbuTRGr1cZxnk1n82k0neZVlCSzUVTG8ySKYxnLvCyTSi59sDUt//pyIhkYKam5NTnPwxBRNlMC70AKSeJNIE9YQdqRh2tswPT+F01Lz7d1IvhJk51/1DTs/L7p02l6rFSWqHL1plPnQ53of7TYd/71YiNglT9mJ+n996o4vv9emohY/dnnJvM8ZTWPxM2D59ImjGesGO0IwYGB58z3P7BdScmJ0g4GHCgBybWJ4w1Wjnas4ODYNgFnpGjHDw4KNFGv0tzEccbKsZHIO0CCkvmNmSaLU2nroeIEDFjod5FmrpPNXAdMOvbLHQknJ3jA2gdnSPioXvDChT5/CJxzRC+QEa35oJsYdCLzpEqqOIrHeRmJciyicR7n0awqJnI6F2WRzN/uNgY1bh+rGNR54YTJDhhb9zEoI0jA0oTGoH+vL0q///b9n/9rvTXRFJYWneH6ddtC6pLTb5sWf1E+yo3+5ikrssSRt44rGTEC1lY8rmxqSx+fHpnj/S+zAnUaXTJydBhdMlKEejdgLNLSvCNyxgrSXXh5aj5o9xVevIAVfKfBZbEKRQpHcMkJHrAA0oNLy5he8KKFPnwImi+09I9nzQfdhJbzeTGKyyyNZrmY6zC0VGHoLO9zezMz2UGFls4rZUx2wNi6Dy0ZQQIWJjS01Nubuteo6XT5w92HTefSZ3e/1lub9z++/776dXOctdnaTOP47uMmBP08PTlavP3w7rPmvsvPFn+PySZPWW0icZtsHXsyYgQsvQGxp7UPiJGk06CTkaPDoJORItTvAWOhz3umlQnljBWls7DTcS6UEy9gdd9p2FmuwpTSEXZyggesfeSw03FMjxMt9PFD0Hxhp388az7o5b0K6uez5bBaI8udnaESJkYVUlZOxj5umM2Mm3NPyFLxcyVoPNi6VmHVCK1b0390/z2TehXeVfoQFRGh40NUqbmf6zldvwjXjzfuLA5RWUS/oIuW4aLxXp3mEJVF8zldMz7Z6UvpohvQor0ma+c+RGURfEUXjC/WgY1czSEqi95rmt5mJVzOjg68ja1DK42d2oXV1rBSgr85rYyR+hOyWvwpRF1O2IndVN/mQxXftbNJLM6GrL8LZ2MW/YIuWoaLDlpPzm2az+ma8Wm+tbMxa6/J2tmdjVnwFV0wvlaTnI1Z7zVN7yv7sB2d2BX2puA0cRLAN8ft6sRu42/sJ3apctur9v8iJ3ap5mg7AcYTu1SJMkgiIM/0zkWT5Gdkye1dKL5TuFSF4MmhgF11+ylcqkbw0NCWO+ZUdW2vvuUpXNebD6kS+zuEm+o7wNJMf4jlGbg0cR7CJTOCjnKnh3DJYkFnGXgIN03Wh3AXVjapfpOuGvSZ26U5qxpCmjw6c2A8p2OAvo6Q7azOxCntrw+E/RAumUIGUsDzSFv2eC1sM/2hCgadIVyOARagWi9AtV6AanABuqDzga50Z4dwyUJBfxpwCHe98LzleGIv6YpDfCxp6qwKXZ5FpyYjMB/CXS84qwGwH8IlE4AONjCd1nNnLWoznaaI1WqxwxKax5ppf320qy61Jtu25ttpGCLKZsrJHUghebkJ5AkrSEAfA5qxd30Il9M8EjdPQHr8D8R3VnGSBvR14Fm1/ZwuJ0qXTW2cHN01tXFStEMMBwWaylvP6XJydNbR5jqnywoY4At2kYmu89F02QOVWq/zes4LHrD2wUkUPqoXvHChzx8C5+lqA0a05oPev3O6izA1NdlBhalZqB0wtu7DVEaQgKUJDVN3cU6XE1niyHjoacJ4xooRsLbicaXvnC4nUKfRJSNHh9ElI0WodwPGwn5OlxOku/DSek6XFS9gBd9pcJmtQhHrBTXPecEDFkB6cGk9p8uKFvrwIWi+0NI/njUf9P6d012ElpnJDiq0FKF2wNi6Dy0ZQQIWJjS07OScLqdNJG6TrWNPRoyApTcg9rR2CjGSdBp0MnJ0GHQyUoT6PWAsnN1JjCidhZ32c7qseAGr+07DTrEKU4Qj7OQED1j7yGGn/ZwuK1ro44eg+cJO/3jWfNAP53S7OzklTYwqpJRORvu1krDOkGix6WO3HpoiSsVPk8DxYNihKakPTRHFd31oSt8Fkxa2BY4KIcIh8Nae5cmp/OSFTfkLunIZrhxv6Vkcn8pPzm3Cz+nC8VlPX1OXnYP6+g4LQE0GYD9IlZ9c2VRf0VXj63dg+9fiNFV+cm0TfU0T/coKqZeaDo5USWuDV+7UX1mNjskkOKLTyrwV84Sstb2cb3ma6qf3P2qasH59dPf5/Xfuv6X80AeLV0d8cfd7fWzq7jd3v18esPq8qX4dpYX6XiPVUzJVe33nPBRFlCiDJBLlPSPLa4f3Wx+AcrRqESWCbdsB+xWOE1BEjWDH9rZ7EUR1Id3ZgP2ESd0ZWR3L4Sc0xfwKXTbopcLPM6VxUdn0/gu6XtBdhR5pyh+ONFnfpv8mXTXouIKSEHRyPKfLBj0TIe1YnyjIH71ueMcRJiqFDKSA54227PFa2Gb2QRUMujOOnSqqZNC9hZ1Kci0hb9G1gm4u5GBS/nAwybp8XNIVh7i+XU6ImiyZ+yBS/uh1gzsOIlEJQM8YmInqubIWtZmEUsTq/dCThwhE6+4kETVW/lQi6nwveJ5YDY7JpCSiSWx9rwdRLOjQ0Uz0H5pN0A8WNfJXc9H7by1e1vHx/Qf337n7dZOa/kafjtlMUu9/dHKkXwxiAn1KBgVDgJ0kp0SJMkgiUd4zsjzQmwckp7bUlCgQ9N27SU2JGkGfvW1qSlQX4p8B+6WlSd4ZWV7fuSlVNui4wnPTJEkLe2pKlQs6sNDUtHhITa23cbxJVw16Mq7UlCob9EvbpKbFo9cN70hNqRQykAKeN9qyx2thm6kpVTDozDhSU6pk0L2FpaaOFeQtulTQy4VkpsVDZmpdPS7pikM83y7nQ02WzJ2ZFo9eN7gjM6USgH4xODMtjteiNjNTithFp86iWefffHU6nb3zVGVvF03ypgny8SQdj0dxNBNzGYkynkdlWcyjkcjiUSZFMp2OFt+5TmZ1mfY1+NnXZuu59Dr/4l+EndamRa6ff2lQnQxEbH4N58B8E4Emb1sDRW2Gt73GQoT4TNVYw+pkaMMaMmG112EIC5++iurx4+rk8WMb1+PHDGCvJHj2KWpvY9jJFE3ik4E0v2dqUDme2lTYX6LenoMQQuAcVLqHFt1Dqu72JIN0B04ypfvxY4twNQUJyl/Z/upvFlkWucT1quFU2F+N3MkUsixhZNGdzB/b+kRSvRdzxxziDBLXe7VSIfudO2bRQ7LoTuaOWbSeVATVr2zw9jd3spNBkqsoS1rmUOoE2+gj73YOZSdDJX5oET8ki+9kLmXKjyn1KmQyy9fTjaC/SQz7nlXCMpsyJ5C9NbWT2WQWPSSL7mQWmUXr6UVQrWUvVW/UMVNwg3XBAm9kW1L5i0QsWj6TU+t7e17qbUgHo724DO66voKCz6Xl/gOg/4asXwTrx5VfAspvycpliHL6KrR8OzCAMiCjtNckP0roJLoC9A/J+sGdWcrapIx6vBK2uTJRBDcrUzka5+W8ipJyLiJRzPOoGlVZJGQ2yyeToizF5O2W42svWl8fWc/n7WbhWi1fshkwNXjOBUyGmQK1gfFR86Jv/7hJ73QdsCEvtjtP9iAdK04GqS0Ayl30MrY+rJ0EQMXJ0CJ8SBbeSRBUqCjaolzH2ATpexFFl5ZJ5CoGpNJeuehkEplFD8miO5lAZtF6ZhFUvzJ39FrUaxRdelfkl84rnVPHVZ9dRNF+/Tdk/SJYP678ElB+S1YuQ5TTV6GVW/ejDMgoXUTRfv1Dsn7WKLo8XgnbXJkogrXibJ6LJMvmkZgWifqYZlGVjWUkJtl4klWjSSqWTHsQRVdQFO0s+myaArVBX1F05Z2uAzbkZoqMR+l0LEazKM6KNBJZOo3KQkyibKK+tawm42ya7csUSWNkijhv7DTaC7NBT1Mkjf1ThA15UbeYp5ms0jKazcdqTlXVOCqnMxmNi4msivm8yucbvSO9TZEEmiLOEo7JXpgN+poiCTBFuJAXIfCsyuWkzNQfJipvj6djlbfHVSTns2SaTOZVMsr3Zoqk0BRx1mNM9sJs0NcUSYEpwoW82NGTRZnM4zyayHgciTRJo1K5pmgymk6TfDqRMh3vzRTJoCniLLuY7IXZoK8pkgFThAt5vaMn2nOgbQhoT4Bkh2YjJpUngyxW/5O6HdFiBeG0Qr+NOgpgqACGCmBoARiSAbrYoFEAjx9nuvMrk02ToWW/hgTxyn6NDmv73K9J/TvoL52vSko3X+3X5X4NoP+GrF8E68eVXwLKb8nKZYhy+mK1WrT9KAMySgf7NYD+IVk/535NKo9XwjZXJopgrXiUp7NEJEVUibyIhFCJe5mM0kjFUbNRksl8Wu1PGJ1DMVIeZgrUBn3FSLl3ug7YkJeZVjKT6svROK/S9atbpesWgP6mSAFNEXfdxWAvzAZ9TZECmCJcyM0Umc1H0zQbzaP5eDzVeztpNErGRRRPsqqcpGKWZfuzipTQFHFvgBvshdmgryniL1IM2JAXjmY0nY9n+SgajZMqEkk6jkZinEe5kON8PK+qpBB7M0WgwkDq3iU3rbqQDfqaIkBhgA1Zz5EeE6PMv+P9MnPteGd52mbvMjEC9N+Q9Ytg/bjyS0D5LVl5+yHyR+NbTKIaQBmQUTpIjAD9Q7J+zsQoi49XwjYSI5LgQ/NXGVSCylz1GIMpUBv05K8yoATFhnxwUW8GlaAyVz3GaC/MBn1NEaAExYZ8cLlzBpWgMlc9xmgvzAZ9TRGgBMWGfHA7cJmApogItRdmg76miP+YzIANue/EyL9Z/jKTTvZeO3wB/Tdk/SJYP678ElB+S1befoj80fgWk6gGUAZklC4SI7/+IVk/a2Ikj1fCNhMjiuCD81dQxUiHayGmQG3Ql78CKkZsyIeXGEEVo8xVPjHaC7NBX1MEqBixIR/e9gpUMcpc5RPzIwXZoK8pAlSM2JCbKTKfTPJ5MZ5EZTGZRKKaJNFYjCbRPB+l6Wg8Lsui3JspAlWMMlf5xGgvzAZ9TRGgYsSGvLoZYTni6p/ptbVO+DfPXwr3mYmybYsuEyVA/w1ZvwjWjyu/BJTfkpW3Hyp/dL7FJKoBlAEZpYNECdA/JOvnTJREfLwStpEokQRrxeNE5GqFE1GZTlXEXE3zaCyzPFK/m4xHZZWOsr3Z+xVQBUm4T/RsmAK1QU/+SwAVJDbkRRQ8mcxG8WQWldV4FIlZqd9BW44iKUb5dCbGSZYVezNFoAqScJVTjPbCbNDXFAEqSGzIzRSZpHN9sCmOkskkjcR4qibWLJbRbJ7McpWLZ+X+HGISUAVJuE/0GOyF2aCvKQJUkNiQF68kSsdyNhejKM5zuao2Tau9LDIKqIIkRKi9MBv0NUWAChIb8uKcmybfOFXftgR0topkiOagm8gt6NKJjr8jD9KPR7XN4TaL6CFZdDuOhUTDoeziQJtFtH4ZLEH1K2l23+/tFP697ZfCtbedOq7e6CLN9uu/IesXwfpx5ZeA8luychminL4KrZZjP8qAjNJFmu3XPyTrZ02z8+OVsM2ViSK4UTyt8iSfVVEq4kkk5tUkKmU+jrJyPJuIbF6lk+rtfYl+oGKTcJ7V2TQFaoO+oh+g2MSGvKgkpFJ99zyJRqUOpotSRKNRMY4msySfiDidF8neVBIEVGwSzrM6JnthNuhrigDFJjbkZopURZXFcZlEQl8EJCb5PCqzsZpOiZiXkywuVRq2N1MEKjYJV+XFaC/MBn1NEaDYxIb8zdVlZyf9Z1HScpePdO5TBxwtgfTjQUuTRVlED8miu8iiLKL1/VAE1Vp23+/8lZYHRzp3uQO67yD9oXPHEuKSRXcyd8yi9aQiqNayZd9zR9/lk1YngyzXLyuqMstUcu6G5/2+qUjqK30Uw1AzDG0MQzJDJzOrudkn1bchagr1acHQk5DAsRfrlDgZlOp/1knm3E/P+717TIkfKvFD6+yiiu9kdgk1o0r9YZ9VFP17MavkyUCWJwO9fiknPciLk0GRqP/larapr5U27yicwPjbjCC+0NkmT4YKaqgXNAU1VFBDBTVUUEMFNbRADclQncxC/Ro2RfX4cbPCKS71oa9hUGTqQ19rVuo/sMDpaUygeyW673ufW/qPHLyU0swYi1QWSdbruRtA/w1ZvwjWjyu/BJTfkpXLEOX01W6ZMgMoAzJKe23zo4ROoitA/5Csn3OfW8rjlbDNlYkiWCuezsW0LJJRVCZyFok4z6NyMkmiWZZV82yeTar57O2Wg+1rh0pC525kHmYK1AY97VBJf1lmwIa86DgcT2ajeVZFUoiJ3vCcR6M8lpFIxuU0GY+mmd652JMpApVCpKUuYLcXZoO+pghQCmFDXnXML1fuvl9GK/17/i+le8+/1455QP8NWT9viONXfktW3n6o/H51i0lUAygDMkoXIY5f/5CsnzXEKY9XwjZDHIrgZoNgVk3SaSqjUVyMlK/TTdR5HEdpHOezZFKOKrE3N8NIqAgn3RUpQ1cfZoO+/BdQhGND7vlVGLn/cMvL3P22MfvGcQf+CtB/Q9bP6q8A5bdk5e2HyL9IbjGJagBlQEbpwF8B+odk/Zz+Ko+PV8I2/BVJ8KH5qxw64ZW7X5i3YQrUBj35qxw44cWGvMq3kj25/SP3n2V6mTsrhkVsfXa7cGB+/Tdk/bwOzK/8lqy8/VT5V80tJlENoAzIKF04ML/+IVk/qwNLj1fCNh0YRbBWPEoSkUtRRXkykZEQZRGN5aSI5uNiGk+TUuZ59fa+ODDocGHuLE5vmgK1QV8ODDhcyIa82FOel+lsLEQ0FrqJNqkm0XiUzaM4TWSZFokcy/2ZItDhwlyE2guzQV9TBDhcyIbcTBGRzIu4GFdRkcwK9b1xouKheRoVo3laTXM5l/tTmcolNEVkqL0wG/Q1RfyF1AEbcjNFyrxMJ8VUrTNZEUcin82jaiLGUVZlcTWvRqNstjcnMHKoeJnnofbCbNDXFAGKl2zIOlM6WVzE2WuC5K/OvcydB5WKXg+XAvpvyPpFsH5c+SWg/JasvP0w+aPyLSZRDaAMyChdJEh+/UOyftYEqTheCdtMkCiCDy5Bgk4O5s7i3KYpUBv05bf8BdQBG/LhJUhQ0VKzhdkLs0FfUwQoWrIhH1yCpMI4YIoUzhNwJnthNuhpihT+staADbnnunbhr5G8LNw1EvuRlQ6iXkD/DVm/CNaPK78ElN+SlbcfIn+otcUkqgGUARmlg6gX0D8k6+eMeovkeCVsI+olCT603ZoihfyVq0JiMAVqg778lb+KNWBDPryQBqocFe5bvgz2wmzQ1xQBKkdsyAeXGBVQ5UjfTRBmL8wGfU0RoHLEhnxw2ysFVDkqZKi9MBv0NUWAyhEbct+Jkb8k8rJwlUQyxynqLhIjv/4bsn4RrB9XfgkovyUrbz9E/mh8i0lUAygDMkoXiZFf/5CsnzUxyo9XwjYTI4pgrTie5lUu5TialXkWiZGIo9FIzqLZpByV83FezcT47X3xV9ABy8JVGTGYArVBX/7KX70asCEfXtQLVYwK9y1fBnthNuhrigAVIzbkw8udoYpRUYXaC7NBX1MEqBixIfcc9Zb+UsjL0n1gpmizdxn1AvpvyPpFsH5c+SWg/JasvP0Q+UOtLSZRDaAMyCgdRL2A/iFZP2fUW8bHK2EbUS9JsFaciGpUlKM4mk7nIhIqQY/G0yKOZlWR5tNiLGbxxqvd+vJXJXTMrXRXRjZMgdqgJ39V+qtXAzbkvv2VvxTysnSXQnp9jQig/4asn9df+ZXfkpW3HyL/IrnFJKoBlAEZpQt/5dc/JOtn9Vfp8UrYpr+iCNaKp7MkHhWzSTQZ50kkijSLysksj+JSjmejeZEKOXp7X/wVVJss3YU6wzs1MBv05a+A2iQbcnMsuwFvz4G2IaA3m5Ls0LyOtpQng7I8GVSWF/qXwmGBtEitD2x7wYE48DWnee2sEj9U4ocW8UOy+PZqA4mHF5zF62VL/XrZUr9e1iJfvwKZoL/Z3Fno7/sFsqW/cPeylE7GXt9WA+i/IevnDYv8ym/JymWIcvr6tFqn/SgDMkoXYZFf/5CsnzUskscrYZsrE0WwVjyT1Xw8n42i6SgeR2K0uDGriNL5TKV61SiZF/sTFkFnMMs8zBSoDfoKi/y11gEb8iIkGo1EmmXzaJJnKoTK8nk0kvNxNMvSMp9n8zgb780LjUqovlm6T34Z7IXZoK8pAtQ32ZD73unxF+5elu7Cnf1W3i5CGr/+G7J+3pDGr/yWrLz9EPn96BaTqAZQBmSULkIav/4hWT9rSFMer4RthjQUwQfnr6BKelmFmQK1QV/+CqiksyEfXNRbQWcvK3cdz2AvzAY9TZHKX2sdsCEv3zyiqfvcran8BbyXlfPiwKLXM5iA/huyftbQBlB+S1befpj8/nSLSVQDKAMySgehDaB/SNbPGdpUyfFK2EZoQxKsFVeTIhnNJlk0lfMqSpJZGZWxrmbEMpZ5WSaV3Chg9Oa3Ushvuep5BlOgNujLb/lrrgM25HURayO8bRsCqp+Q7NAUsSp9S2d1MkhioT/0rxJ9UWyS69tiE/2RW2zjfm0lfuoBIsRXo6a8Ven7O6uTocYaaqyhxhpqrKHGGtqwhmSsLgpfVXOxp746VoPpz+bXSXOlbJI3F8smzaeZTt8KSsDTfMsOsb7rYpX/zOPLSjgZe20XAvTfkPXzRlp+5bdk5TJEOX3JWy39fpQBGaWLSMuvf0jWzxppieOVsM2ViSK4UVyNxlUcZ5EciyzSTY9ROR6lUSnyPC1jKabF7O19ibSgQ8iVDDMFaoO+Ii1/GXfAhrwIxitZyDLWJ75EHolxVUZVqaKySVbORToqq+l8ujdTBCqdVnmovTAb9DVFgNIpG3IzRSZplaVpMo6mVTaJhEhFVKZxHM2ScVWNiyQvZnuzFV1BpdPKXUc02AuzQV9TBCidsiE3UySfl3E+n8bRPI3nkZjkVVROqyqazGYizrP5KBbF3kwR6Gho5X6zpsFemA36miL+4tqADbnn6nrlr9S8rJyVmn5vBwL035D1i2D9uPJLQPktWXn7IfJH41tMohpAGZBRukiM/PqHZP2siVF1vBK2mRhRBB+av0piqHaqvi3MGKgVevJYisc7Ywd80AcX+SYxdD40iZ2nJU0Ww6zQ2zTx19YGfNAHt82SxFBFS31bqMUwK/Q2TYCaFh/0YqtFVGKUyzgqC/2WDDW9olGqfiCfjjL1/9SkKvfm3bNJDJ3eU98WajHMCr1NE+D8Hh90z4lSEvt3z9WQCyd9r/cEIQQ3dAIRTIBrv0S039K1tx8mf4y+xVSqEZgBHaaDhAkhGNIJOFMmpep4LW0jaaJpPrw4B6onqW8LMwZqhd4cGFBR4oNeNO6MJlU5y/JITqYyEqNJEVVJkkdlVUySySQZT/O96UtOYqimpL4t1GKYFXqbJkBViQ/6AJNrqK6kvi3UYpgVepsmQGWJD/oAt+qg2pL6tlCLYVbobZoA1SU+6KZjVJMvwPvuw0ti/1a7mgKWretYJFWlgxdb4NhJFuUnuKETiGACXPslov2Wrr39cPnD9i2mUo3ADOgwnWRRfoIhnYA3i6qO19IMWRRFsxYdi3hUqmAoymcqnhaTahxVIpNRPq/y+XhWzkU2f3tfHFqC1Z4SSxnGZgzUCn05tASpPbFBN9OkHMUyKUoZZVIWkciljPSb2qPJJJvIVMSTfFTtzzTBak+JpQxjtxhmhd6mCVJ7YoNeHD4YZbMsVX8ox6NcJeazIhqPJ2WUFpWKppO0rEbx/kwTrPaUWMowdothVuhtmiC1JzboVXi8rC31Hh4n/hKLmgLOwzilvRWli/AYILihE4hgAlz7JaL9lq69/XD547EtplKNwAzoMF2ExwDBkE7AGh4n2fFa2mZ4TNKsRYssmU9FLKJ4WmXa+eWRWv8StcjNxpPJPE7SdH+q5Al0uaL6tjBjoFbozaH5S2MDPuhFkSErykmRyCgZT5JIxHMZldO4ihI5qpJ0Fqvgero/0wSrRSUy1GKYFXqbJkgtig16Ffcky/i3/8DHX3NRcyB3miNtm6PbwMdPcEMnYA58/Npv6drbT5ff024xlWoEZkCH6STw8RMM6QS8gU9+vJZmCHwomrXoqUgLWRRJlKUqiUuS2SwaJXEaTZM8T0aTeDyu9qcemmD10MRVGjQYA7VCbx4NqYeyQS/e+lYVRVxWVZRL9b0izcbRaJTHKv+fz8pSjGbldL4/0wSrhybOk2cmi2FW6G2aIPVQNujD665IoBdIqm8LtRhmhd6mib82NuCDPrzuihQrRqWuM0FGi2FW6GuapEgxig2675701F9jUUPuPt+zQd9p1gQQ3NAJRDABrv0S0X5L195+mPxh+hZTqUZgBnSYLrImgGBIJ2DNmtLkeC1tM2siaT48B4bVP1NLKdBmDNQKvTkwpP7JBn144XCKnb1L3cfQDBbDrNDbNPHXwgZ80IsjmnI6yZN5GgmZqQ8hq2gsRkU0noyzUT7OpajS/ZkmWPFJRwhhFsOs0Ns0QYpPbNDNNBnPinxczONoWqaJSsSTLBrFYxlNxbQax2WZlPNkf6YJVnzSQxlmMcwKvU0TpPjEBr0uPokFee/Fp9S/367mgHvvutdrExGCGzqBCCbAtV8i2m/p2ttPlz9u32Iq1QjMgA7TSRrlJxjSCXjTKF18WkozpFEUzVr0XMzGVZ6PorH6r65AjKMyno/38p38SYoVn1J3HcZwWxxmhd48GlJ8YoNupomcVcVMlFLlWHPl/cbjPKpGYhbJeDaVaZrPx9N8f6YJVnxK3XUYg8UwK/Q2TZDiExt0E/gs3hbQnghtW0DXAJBM0dzfkGTxySCL9UdiuaghSd3FFfzoFMSCO6rmpgYNMNQAQxvAkA7QdlIQAOynFncyaIDHjzWB+rQgaKdFYWiC695nmL4FJNPXg2T6ehChfyVK9SFT/VGoj1z/KtdXhhSx/tDfUuhvKfVdIqX+VaW/pVLfnMap/tC/SmL9kekP/dtU/1bl++pD/1bP7FT/u2mm/oJUJPpD/1b/46nUv5VSfeT6+3L9K/2P61tZBrqjbqCNOkgr/atKWh6NzF1Q6vcSE235obb8UFt+qC0/1JYfassPteWH2vJDbfmhtvxQW36oLT/Ulh9qyw+15Yfa8kNt+aG2/FBbfqgtP9SWH2rLD7Xlh9ryQ235obb8UFt+qC0/1JYfassPteWH2vJDbfmhtvxQW36oLT/Ulh9qyw+15Yc2yw/plu/mmW5uUcmaO1ay5o4V0fxaGUB9KvPrz0J/5s2v8+bulSJuPpvvLJrvLJubWcrm11XznZX+KT0S+rP5dRI3n1nz2Xwlbb6Siuaz+UqzxqSNHj0m6lMkzWfzlUaVHhf9KfVn3nx/3vy6UaUHR32Wza/L5tdV82vLADXrGmGEXlmxet8NyPx1pJfqm5yUvV4WgxDc0AlEMAGu/RLRfkvXLkO00z3gKtwEYAZ0mC52AwCCIZ2AdTcg00XVzFZUJWlu9rfVn1cTMYl086FuNEujsiqrKJuPVTSXzEdVspxle5DmZVhRNXPVFw3GQK3QV5qXIUVVNuhFK+polk3HVRLllfoBkenKWlaMIzkZp6MkL0W8R++Dy7CiauY+t2awGGaF3qYJUlRlg269mkcHBv3GPf7aoZoCwmWNauNEUrdxj5/ghk7AHPf4td/StbcfLr+j3WIq1QjMgA7TSdzjJxjSCXjjHv2C06U0Q9xD0dykZ+N5NkurUTQaJeX6ilqxn1WQDKvrZzLMGKgVenNoSF2fDXrxap68TCfFtIjGWaFipHw2j1TINI6ySsVO82o0ymb7c0Q9w15wmuWhFsOs0Ns08Zd4B3zQiwN9qRAyGY2iQhbJekrFe7qaYDXVzFleNFkMs0Jv0wSpqbJBL+pkE6lSK6G+YzofR6JK4qgayXEUjyfqC6UUKq7en2mC1VQzZ3nRZDHMCr1NE6Smygbd9xGczH9OTQ25q4qXFVmbvtusyU9wQycQwQS49ktE+y1de/th8ofpW0ylGoEZ0GE6yZr8BEM6AW/WpF9oupRmyJoompvdYjGO0yQeReVoLlRMJPJonIyqaD4Z5ROVjMXFaH/e9y+wM6TCfa/chjFQK/TlwARyhpQN+vDiHIG90FS4j60ZLIZZobdp4i+FDfigDy9rEljtSbjKMEaLYVbobZogtSc26MPbqhNY7Um4z7YZLIZZobdpgtSe2KD7zpqEf3tdDblw0vd74gYguKETiGACXPslov2Wrr39MPnD9C2mUo3ADOgwXWRNAMGQTsCaNQlda1pK28yaSJqbrCmWKg4qZ1GeT2aRGOmXnRa5jCZVKmZiEo/L8RJrHxwYVmsSMswYqBV6c2BIrYkN+vBqTQKrNQlX2cVoMcwKvU0TpNbEBn2AyTVWaxKusovRYpgVepsmSK2JDbr3cNhfQlFD7r4jrt9b0QCCGzqBCCbAtV8i2m/p2tsPkz/+2mIq1QjMgA7TSTjsJxjSCXjD4fJ4Lc0QDlM0H54Dw95XKtwVFcOVPpgVenNg/tLXgA+6mSaFFOOZnJaRnCRZJEQVR6N8lETzcTUp4pn607Hcm2kisVqTdJddDBbDrNDXNJFIrYkN+vCSa4nVmqS77GKwGGaF3qYJUmtig+47HJb+EooacncJxX4SuItwGCC4oROIYAJc+yWi/Zauvf0w+eOvLaZSjcAM6DBdhMMAwZBOwBoOy/R4LW0zHCZpPrjypsTKm9Jd6dswBmqF3hwYUt5kgz683WGJva9UilCLYVbobZr4S18DPujD66mRWK1JylCLYVbobZogtSY26MPbg5FYrUm6yy4Gi2FW6G2aILUmNujesyZ/CUUNubuEUrTpu82a/AQ3dAIRTIBrv0S039K1tx8mf5i+xVSqEZgBHaaTrMlPMKQT8GZNxfFamiFromg+PAeGHaWT7orKhjFQK/TmwPylrwEf9AGGw1itSbrLLgaLYVbobZogtSY26MOrNeVYrSl3l10MFsOs0Nc0yZFaExv04W3V5VitKXeXXQwWw6zQ2zRBak1s0H1nTbl/e10NuXurut+3fQIEN3QCEUyAa79EtN/StbcfJn+YvsVUqhGYAR2mi6wJIBjSCVizplzXmpbSNrMmkubDc2BYrSl3l10MbzTErNCbA0NqTWzQBxgOY7WmXIRaDLNCb9MEqTWxQR9ecp1jtaZchloMs0Jv0wSpNbFBr14Kuwy79OD3+lLY3F9SUVPAVVJJq7RtjW7DYz/BDZ1ABBPg2i8R7bd07e2Hyx+PbTGVagRmQIfpJDz2EwzpBLzhsb4abynNEB5TNGvRMpHzYiqyKKtmSSSyPI9G1bSK0vEsm4oknqjfvb03Dg07Wpe7KiwGY6BW6M2h+UthAz7oZprko1E5zsZVVOSZiEQ8r6KRnKiPOE0ms0z9RXt0Z0KO1Z5y9xsNDRbDrNDbNEFqT2zQi2kCXVq/L9MEqz3lrjKM2WKQFXqbJkjtiQ26793iwl9Seam+yUGfFVWbvtNwGCC4oROIYAJc+yWi/Zauvf0w+eOvLaZSjcAM6DBdhMMAwZBOwBoOF/HxWtpmOEzSfHAOrMDKnYW78rdhDNQKfTmwAil3skEfXjhcpNg0cVdYTBaDrNDbNPGXwgZ80M00mSXjLBOTIprIicqwJiKNRkIm0Xwk0kpOitFcN2/syzTBak+FuwxjsBhmhd6mCVJ7YoPuPRz2l1TUkAsXfRm36bsNh/0EN3QCEUyAa79EtN/StbcfJn/8tcVUqhGYAR2mk3DYTzCkE/CGw/o1jktphnCYolmLnk9lVc3UKjYfjaeRGM8m0ThNsqisqng6y3M5nS9n2T44MKzcWcgwY6BW6M2BIeVONugDDIexo3WFq6JitBhmhd6mib/0NeCDPsDkGqs1Fa6yi9likBV6myZIrYkNuvdw2F9CUUPuPL5TJm36bsNhP8ENnUAEE+DaLxHtt3Tt7YfJH39tMZVqBGZAh+kkHPYTDOkEvOGwfo1jYXuNI0mzFl0ko5lM03kkZ8lIxUR5ElXjUaJ8XzGJR0lc5tn07b1xYFh5s3BV+gzGQK3QmwNDypts0IusqZJylk2yKJHleNUpOK32s0m0xI7Wlc6KislimBX6mialv/Q14IM+vKypxGpNpbPsYrIYZoXepglSa2KDXrztMylHeV5NIinVD4hRNlYrj8rGS5HN5rMqi+fZZH+mCVZrKp1lF5PFMCv0Nk2QWhMbdN9ZU+kvoaghd5ZQ1LyxBYpdZE0AwQ2dQAQT4NovEe23dO3th8kfpm8xlWoEZkCH6SJrAgiGdALWrKnMjtfSNrMmkuaDq4KX2NG6UoQZA7VCbw7MX/oa8EEfYDiM1ZpKGWoxzAq9TROk1sQGfYDJNVZrKt1lF4PFMCv0Nk2QWhMb9OHVmkqs1lS6yy6mBwuyQm/TBKk1sUH3njX5t9fVkLu3qjfuD+42a/IT3NAJRDABrv0S0X5L195+mPxh+hZTqUZgBnSYTrImP8GQTsCbNelaU2mrNZE0H54Dw2pNpbvsYrgNHbNCbw4MqTWxQR9e1lRhtabKXXYxWQyyQl/TpEJqTWzQh9fIWWG1pspddjFYDLNCb9MEqTWxQfcdDlf+EooacncJxXwf/UlH4TBAcEMnEMEEuPZLRPstXXv7YfLHX1tMpRqBGdBhugiHAYIhnYA1HK70axyX0jbDYZJmLRp7Wcm+ODDsKF3lrqgYbkPHrNCbA/OXvgZ80AcYDmO1pkqEWgyzQm/TBKk1sUEfXhGhwmpNlQy1GGaF3qYJUmtigz68PZgKqzVV7rKL6cGCrNDbNEFqTWzQvWdN/hKKGnJ3CWXjmulusyY/wQ2dQAQT4NovEe23dO3th8kfpm8xlWoEZkCH6SRr8hMM6QS8WZO+MmwpzZA1UTQfngPDXttYuSsqG8ZArdCbA/OXvgZ80AcYDmO1pspddjFYDLNCb9MEqTWxQR9ccp3GUK1JfVuoxTAr9DRNFI9/mvBBH1y/bxpDtSb1baEWw6zQ2zQBak180D1nTWns315XQ+7eqt64ZrrLrAkhuKETiGACXPslov2Wrr39MPnD9C2mUo3ADOgwHWRNCMGQTsCZNSlVx2tpG1kTTXMTDkMV831xYFCtSX1bmDFQK/TmwIBaEx/0AYbDUK1JfVuoxTAr9DZNgFoTH/TBJddpDNWa1LeFWgyzQm/TBKg18UEf3FZdGkO1JvVtoRbDrNDbNAFqTXzQ31zeLFcuwFVy1uvNcmns325XU8C1dZ1WvXbsIQQ3dAIRTIBrv0S039K1tx8uf9i+xVSqEZgBHaaTLMpPMKQT8GZRxfFamiGLomjWorG2rX1xaFDtSX1bmDFQK/Tm0IDaEx90M03KvEwnxbSIxlkRRyKfzaNqIsbqR7O4mlejUTYr92eaQLUn9W2hFsOs0Ns0AWpPfNB97xYn/pLKS/VNDvqsLNr0ncY5AMENnYA3zgG039K1tx8mv2PdYirVCMyADtNFnAMQDOkErHFOEh+vpW3GOSTNB5e4J1i5M3FX/jaMgVqhLweWIOVONujDC4eTFJsm7gqLwWKYFXqbJv5S2IAPWu/vqB/W7rTXfZ3EX1pRQ+8qraRVrz3FCMENnYA53vFrv6Vrbz9Ufge7xVSqEZgBHaaTeMdPMKQT8MY72fFamiHeoWg+PEeGlT0TEWYM1Aq9OTKk7MkG3UwTUcZzlc3nkShlFolC/cBoksVRJuJpkc7mscj2pwswwcqeuqgbZjHMCr1NE6TsyQZ9gNkTVvZM8lCLYVbobZogZU826N63//yVHTXkripJVpZt+m7DYT/BDZ1ABBPg2i8R7bd07e2HyR9/bTGVagRmQIfpJBz2EwzpBLzhsC5zJrYyJ0nz4TkwrMyZuE+bbRgDtUJvDgwpc7JBH2DWhJU5E1fFz2gxzAq9TROkzMkG3Xeck/orOy/VNznpqzZ9p3EOQHBDJ+CNcwDtt3Tt7YfJ71i3mEo1AjOgw3QR5wAEQzoBa5yT6jJnaitzkjQfnANLsTJn6q74bRgDtUJfDixFypxs0Ie37ZdiZc7UXfEzWAyzQm/TBClzskEfXtaUYkfsUvdpM4PFMCv0Nk38pa8BH3Tv4bC/hKKGXLjoq7hN32047Ce4oROIYAJc+yWi/Zauvf0w+eOvLaZSjcAM6DCdhMN+giGdgDccFsdraYZwmKL58BwYVt7Uz0WIMVAr9ObAkPImG/QBZk1YeVOvOGEWw6zQ2zRBypts0L3HOf6KjhpyZ3Wk2ri6uts4x09wQycQwQS49ktE+y1de/th8jvWLaZSjcAM6DCdxDl+giGdgDfO0eXN1FbeJGk+PAeGlTdTZ6Vv0xioFXpzYEh5kw36AMNhrLyZOit9JothVuhtmiDlTTbovuOczF/ReZlmzupIlbbpO41zAIIbOgFvnANov6Vrbz9Mfse6xVSqEZgBHaaLOAcgGNIJWOOcTJc3M1t5k6T54BxYhpU3M2elb9MYqBX6cmAZUt5kgz688maGlTczZ6XPZDHMCr1NE6S8yQZ9eFlThpU3M2elz2QxzAq9TROkvMkGvTzsq7l7Peyb+Ss7auiFwwpp1e+rsAGCGzqBCCbAtV8i2m/p2tsPlT8O22Iq1QjMgA7TSVjsJxjSCXjDYl3mXEozhMUUzYfnyLAyZybDjIFaoTdHhpQ52aAP71XYGVbmzPJQi2FW6G2aIGVONugDTLILbJq4Kitmi0FW6G2a+EtgAz7o3neJ/aUUNeTuUkrWpu82HPYT3NAJRDABrv0S0X5L195+mPzx1xZTqUZgBnSYTsJhP8GQTsAbDpfHa2mGcJii+fAcGFbmzNwVvw1joFbozYEhZU426MPLmgR2UaJwV1YMFsOs0Nc0Ef4S2IAPuu84R/hLKWrI3aWUfu9uAAhu6AS8cQ6g/Zauvf0w+R3rFlOp</t>
  </si>
  <si>
    <t>RmAGdJgu4hyAYEgnYI1zRHK8lrYZ55A0H54Dw8qcwl3xo19jYHrmvPA7eO6QMicb9OGFwwIrcwp3xc9gMcwKvU0TpMzJBt17nOOv6KghF076ft9lDBDc0AmY4xy/9lu69vbD5HesW0ylGoEZ0GE6iXP8BEM6AW+co8ubS2mGOIei+fAcGFbeFDLMGKgVenNgSHmTDfrwypsCK2+KPNhikBV6myZIeZMN+gCzJqy8KVyVPqPFMCv0Nk2Q8iYbdO/hsL+io4bcXR3pt9sPILihE4hgAlz7JaL9lq69/TD5468tplKNwAzoMJ2Ew36CIZ2ANxzW5U1hK2+SNB+eA8PKm8Jd6aM3vpmeOS/8Dp47pLzJBn14WZPEypvSXemjdzT1NE0kUt5kg+47zpH+io4acnd1pN8rWwGCGzoBb5wDaL+la28/TH7HusVUqhGYAR2mizgHIBjSCVjjHKnLm9JW3iRpPjwHhpU3pbvSR7+91PTMeeF38Nwh5U026MPb9pNYeVO6K30mi0FW6G2aIOVNNujDy5okdiGiFKEWw6zQ2zTxl74GfND6sK8mT5bvBlB+q99Tv9JfU1FzQDrMkVb93mkGENzQCUQwAa79EtF+S9fefrr8AdkWU6lGYAZ0mE7iYz/BkE7AGx/L47U0Q3xM0dwEPpn2eFUWlbGYRkLmI+X4xrMoG6dxJcbTrJhXb++NR8PqnTIPMwZqhd48GlLvZINupsl8kkzzVFRRLsosEnkpojKdVdF0Ek+raTyOZ/EeBT5YvVO6Sn9Gi2FW6G2aIPVONuhmmqg4epSUSRxlST6LRJKUURXPxirlSqupnJRZXOT7M02wV4hKV4nFaDHMCr1NE38tbMAH3UyTMi/TSTEtonFWxGpKzeZRNRFjFVpncTWvRqNsVu7PNMGKT9JVhzFaDLNCb9MEKT6xQS/fmaQHvdfsKffXVl6qb3Jaod+bEgGCGzqBCCbAtV8i2m/p2tsPlT9c32Iq1QjMgA7TRfYEEAzpBKzZU65fJZrbXiVK0nxw2VOOvUo0d5VaDMZArdCXI8v9NbEBH/ThZU85VoTKXfUYo8UwK/Q2TZAiFBv04WVPOVaEyl31GKPFMCv0Nk2QIhQb9OGVtHOsCJWLUIthVuhtmiBFKDboZfak04t+syf/drsaeumwQhbHbSt0mz35CW7oBCKYANd+iWi/pWtvP1T+cH2LqVQjMAM6TCfZk59gSCfgzZ507WkpzZA9UTQfXvaE1Z7yPMwYqBV6c2RI7YkN+gCzJ6z2lLvKMEaLYVbobZogtSc26APMnrDaU+483mOyGGaF3qYJUntigz682lOO1Z5yVxnGaDHMCr1NE6T2xAa9zJ7E2z1nT4V/u/2l+ianFfq9rhcguKETiGACXPslov2Wrr39UPnD9S2mUo3ADOgwXWRPAMGQTsCaPRW69lTYak8kzQeXPRVY7alwHvPZNAZqhb4cWYHUntigDy97KrDaU+E8C2SyGGaF3qYJUntigz687KnAak+F8yyQyWKYFXqbJkjtiQ368LKnAqs9FSLUYpgVepsmSO2JDfqbe3LbYeHfbldDL51WSNtW6DZ78hPc0AlEMAGu/RLRfkvX3n6o/OH6FlOpRmAGdJhOsic/wZBOwJs96drTUpohe6JoPrzsCas9aTcdYgzUCr05MqT2xAZ9gNkTVnsq3GUYg8UwK/Q2TZDaExv0AWZPWO2pcJdhDBbDrNDbNEFqT2zQh9e5V2C1p8JdhjGtv5AVepsmSO2JDXqZPenFotfsqfRvt79U3+S0Qr+XYwIEN3QCEUyAa79EtN/StbcfKn+4vsVUqhGYAR2mi+wJIBjSCVizp1LXnkpb7Ymk+eCypxKrPZXuMozpnkjICn05shKpPbFBH172VGK1p9JdhjFYDLNCb9MEqT2xQR9e9lRitafSXYYxWAyzQm/TBKk9sUEfXu2pxGpPpQi1GGaF3qYJUntig15mTzqi6jd78m+3q6GXTiv0e+UuQHBDJxDBBLj2S0T7LV17+6Hyh+tbTKUagRnQYTrJnvwEQzoBb/aka09LaYbsiaL58LInrPZU5mHGQK3QmyNDak9s0AeYPWG1p9JdhjFYDLNCb9MEqT2xQR9g9oTVnkp3GcZgMcwKvU0TpPbEBn2A2RNWeyrdZRiDxTAr9DZNkNoTG/Qye9KzoNfsqfJvt79U3+S0Qr8XeQMEN3QCEUyAa79EtN/StbcfKn+4vsVUqhGYAR2mi+wJIBjSCVizp0rXnipb7Ymk+eCypwqrPVXuMozpsmLICn05sgqpPbFBH16vTYXVnip3GYZ+9Xlf0wSpPbFBH16SXWG1p8pdhjFYDLNCb9MEqT2xQR9ekl1htadKhFoMs0Jv0wSpPbFBL7MnHXr0mz35t9vV0EunFfq99x0guKETiGACXPslov2Wrr39UPnD9S2mUo3ADOgwnWRPfoIhnYA3e9K1p6U0Q/ZE0Xx4jgyrPVV5mDFQK/TmyJDaExv04e0WV1jtqXKXYQwWw6zQ2zRBak9s0Ae4F4PVnip3GcZgMcwKvU0TpPbEBn2ASTZWe6qqUIthVuhtmiC1JzZonT01UyVtz4O2Kb4xm7z/1XffYbBEff38SwP96ouBrqKpj0J9JLH+yMz2yGL3Jrb5WvoTQ/ALUeHxr0YZapShRhlqJUONMrShDOko7SgYQoEDYU3y+LFG0Z+i+Sz0p6LRn2Yc/V0UHg20THH7vrhZIXsfyJfqm5yUvV49hhDc0AlEMAGu/RLRfkvXLkO001e05dqOwAzoMB0k8gjBkE7AmcgrVcdraYZliqK5SeTFOE6TeBSVo7lQjlXk0TgZVdF8MsoniQrOitHo7T2JqfSJaCCmUt8WZgzUCj3FVIrHO2sHfNDNNBFZJkUyklEyH82iJFGhVxnPiiiOZSzzskwquRFy9TdNoPqW+rZQi2FW6G2aAPUtPugm9D5Z9H3tRdzjL+OoKSBc1kh6fe01QnBDJ2COe/zab+na2w+X39FuMZVqBGZAh+kk7vETDOkEvHGPOF5LM8Q9FM3NXlI2TieVjKMyLatIjKZJVBUj9ZHJybSoitl4tEcOTWIOTYYZA7VCbw7NX3Yb8EEfXPuX3jiDpkkeajHMCr1NE6DOxQet50mvcY6/fKOG3Fm+qco2fbdxjp/ghk7AHOf4td/StbcfJr9j3WIq1QjMgA7TSZzjJxjSCXjjnOJ4Lc0Q51A0H54Dg0qr6tvCjIFaoTcHBpRW+aAPMByGSqvq20Ithlmht2kClFb5oPuOcxL/CaaX6puc9P3WsQCCGzoBb5wDaL+la28/TH7HusVUqhGYAR2mizgHIBjSCVjjnCQ+XkvbjHNImg/OgSXQcT71bWHGQK3QlwNL/NXXAR/04YXDCVbuTJyVP5PFMCv0Nk2Qcicb9PIAjh70XutXib+ap4beWc1T86fXeMdPcEMnYI53/Npv6drbD5XfwW4xlWoEZkCH6STe8RMM6QS88U52vJZmiHcomrXopCin8awQ0Xiepeuq/Hg/GzIS6CSp+rYwY6BW6M2R+auuAz7oA4x3sDJnIkMthlmht2mClDnZoNct81l7HrRNAXVkkyyxaJlPdKN8qvvmU903n5bqI9O/zfRvM/1boX8r9G+F/mapfytzm8lyp8nwyyAgcNypLbrqE91Ln+rW+lS31ivaoaYdatqhph1q2qGmHWraoaYd2miHdNq294NoYQe4bLxPmmb7tGm/T5v2ewWsPrPmK1nzlaz5imi+IpqviOanZPMVC7j+uynkDfqCvPdWtcRftVKrnrMClPT6pjKE4IZOIIIJcO2XiPZbunYZop2+gq59iR9mQIfpJNT3EwzpBLyhvi7hJrYSLkmzFi0TOS+mIouyapZEIsvzaFRNqygdz7KpSOKJ+t3bexPDYSXcxFnN3DQGaoXeYjikhMsGvWjRL+N5NRF5JEqZRaJQPzCaZHGUiXhapLN5LLJ4f6YJVsJNnNVMk8UwK/Q2TZASLhv04WWEaQxNk9RZNTJZDLNCX9Mk9Zf3BnzQfVf6U3+ZSA25q0wk4rhN32k4DBDc0AlEMAGu/RLRfkvX3n6Y/PHXFlOpRmAGdJguwmGAYEgnYA2HU31iNbWdWCVpPjwHhpVwU1c102AM1Aq9OTCkhMsGfXhZU4qdWE1d1SKjxTAr9DZN/GW9AR9073GOvzykhlw46fs9oQoQ3NAJmOMcv/Zbuvb2w+R3rFtMpRqBGdBhOolz/ARDOgFvnKNPqC6lGeIcimYtepyUozyvJpGUY93Wlo2jajybRKXIZvNZlcXzbPL23jgwrHSrn4sQY6BW6M2BIaVbNuhFODwaleNMfVuRZyLSL9OLRnKiPuI0mcwy5QkTuT/TBDuhqlecMIthVuhtmiAnVNmgDzBrgt7EmqWuiorZYpAVepsm/tLXgA+693DYX0JRQ+4qoYg4bdN3Gw77CW7oBCKYANd+iWi/pWtvP0z++GuLqVQjMAM6TCfhsJ9gSCfgDYfL47U0QzhM0Xx4Dgwrb6auSp/BGKgVenNgSHmTDfrwsqYMK29mrkqf0WKYFfqaJhlS3mSD7jvOyfwVHTXk7uqIvZuzizgHILihE/DGOYD2W7r29sPkd6xbTKUagRnQYbqIcwCCIZ2ANc7JdHkzs5U3SZoPrm6VYeXNzF3p2zAGaoXeHBhS3mSDPrxwOMPKm5m70mewGGaF3qYJUt5kg+49zvFXdNSQCyf9xi303cY5foIbOgFznOPXfkvX3n6Y/I51i6lUIzADOkwncY6fYEgn4I1zdHlzKc0Q51A0H54Dw8qbmQwzBmqF3hwYUt5kgz688maGlTezPNhikBV6myZIeZMN+gCzJqy8mbkrfQaLYVbobZog5U026G8u76fYl3u5Mn+FR00B94kx+21qnYTHfoIbOoEIJsC1XyLab+na2w+XPx7bYirVCMyADtNJeOwnGNIJeMNjXe7MbOVOkmYteibyoprOJ9Ekn42U85vNompejKNZKUelHMcTITZe2NGfQ8PKnZmr8mcwBmqF3hwaUu5kgz68LEpg5U7hPthosBhmhb6miUDKnWzQfW8DCn+FRw25u1rS78tNAIIbOgFvnANov6Vrbz9Mfse6xVSqEZgBHaaLOAcgGNIJWOMcocudwlbuJGk+PAeGlTuFu/JHP5lveua88Dt47pByJxv04YXDAit3Cnflz2AxzAq9TROk3MkG3Xuc46/wqCEXTvq8Td9tnOMnuKETMMc5fu23dO3th8nvWLeYSjUCM6DDdBLn+AmGdALeOEeXO5fSDHEORfPhOTCs3ClkmDFQK/TmwJByJxv0AYbDWLlT5KEWw6zQ2zRByp1s0Ks61nIZ772OJfxVPTUFXFU9/TJA21LfSdzjJ7ihEzDHPX7tt3Tt7YfL72i3mEo1AjOgw3QS9/gJhnQC3rhHv7x2Kc0Q91A0a9GjKqmySmRRLKdjtaqNJtEom8yjqUxllcyn40yUb++NQ8NeXivcRT3D3UOYFXpzaP7q64APupkm88kkVzHRJCqLySQS1SSJxkL9wDwfpeloPC7LYo+mCVbuFO7Kn+kmM8gKvU0TpNzJBt1MkzQdy9lcTKI4z6W++qSMynha7eetNxIrd0p35c9gMcwKfU0TiZQ72aD73gaU/gqPGnJ3taTfti6A4IZOIIIJcO2XiPZbuvb2w+SPv7aYSjUCM6DDdBEOAwRDOgFrOCx1uVPayp0kzVq0lMlkLMU0Gom5SvJnaj0bl5MykrNZNRuN0rLU78XdFweGlTulu/JnaF3BrNCbA0PKnWzQBxjnYOVO6a78GSyGWaG3aYKUO9mgm2kiZnFejGMZjabxNBKylPqNF+NoPJ2Pq7xU/8Rkj6YJdgmkFKEWw6zQ2zTxl8IGfNCHtwcjsdqTlKEWw6zQ2zRBak9s0KuiQrUA772oIP0lFjUFXCUWfdegLXDsJIvyE9zQCUQwAa79EtF+S9fefrj8YfsWU6lGYAZ0mE6yKD/BkE7Am0Xlx2tphiyKovnwsijstKd0Vlg2jYFaoTeH5i+FDfigm2kySefJNJnEUTKZpJEYT0VUzlTINJsns7wSeVam4/2ZJljtSTrLMCaLYVbobZogtSc26GaaJKNqmk7yJCrTTE2pNJPROKnKaFYVcTIdTwspZvszTbDak3SWYUwWw6zQ2zRBak9s0E143MyVjR69ti2g27NJplhckp7rK8/LzGKB3FlWSdO2BaxxDISBhzKLK89zfYG5RfuQrr0dwUDa4SBmeYF53lxCbhGv/5yivll9ep9RqZpRudQfpfoo9AQrhP4o9FSLbVPNtQWuL7Tqd6qlaqopqKGGGmqooYYaaqihDWpIh+pmDqZ6Dioq/Vnqz6KZlQpMfxbNDDWjNTOYwKbhlgPW+6ZA7t+Xf6m+yUnZ70lSgOCGTiCCCXDtl4j2W7p2GaKdvuKtwgkAZkCH6WJTACAY0glYNwXy9HgtzbBMUTQ3mwLQe4D2JIzPsZpZ7iofGYyBWqGvMD5HamZs0M00KfMynRTTIhpnRRyJfDaPqokYqx/N4mpejUbZbH+KITlWM8tFqMUwK/Q2TZCaGRt03y1kub8UpIZcOuhFXLbpu41z/AQ3dALmOMev/Zauvf0w+R3rFlOpRmAGdJhO4hw/wZBOwBvnyOO1NEOcQ9HcpGPQObF9cWDYEcE8DzMGaoXeHJi/ZDfgg14cOE7GWSYmRTSRExUTTUQajYRMovlIpJWcFKO53rLal2mC1chyV7nIaDHMCr1NE6RGxgbde5zjL/2oIXffF9fvyVGA4IZOwBzn+LXf0rW3Hya/Y91iKtUIzIAO00mc4ycY0gl44xz9BtTc9gZUkmYtej6VVTVTq9h8NJ5GQt/kNk6TLCqrKp7O8lxO58tZtg8ODCvL5q4KpcEYqBV6c2BIWZYN+vDC4QI7Eli47z40WAyzQl/TpECOBLJB9x3nFP5TUGrInSeKkrhN32mcAxDc0Al44xxA+y1de/th8jvWLaZSjcAM6DBdxDkAwZBOwBrnFPpIYGE7EkjSfHAFiSLFHJiriGcwBmqF3hyYv9o64INeNLPK2bSKyyoaz6TUMVGpnN04i+J5WuajdDoej+T+TBOsvFk4T8eZLIZZobdpgpQ32aB7j3P8VTs15MJJ3++hHYDghk7AHOf4td/StbcfJr9j3WIq1QjMgA7TSZzjJxjSCXjjHP0G1KU0Q5xD0axFY00a++LAsFOohQwzBmqF3hyYv9o64IM+wHAYK28WeajFMCv0Nk2Q8iYbdO9xjr9qp4bcWbVL0jZ9t3GOn+CGTiCCCXDtl4j2W7r29sPkd6xbTKUagRnQYTqJc/wEQzoBb5yj33i6lGaIcyiaD68ggZ06LZxFvE1joFbozYH5q60DPujD688psPJm4az0mSyGWaG3aYKUN9mg+45zSn/V7qX6Jie9/cRcF3EOQHBDJ+CNcwDtt3Tt7YfJ71i3mEo1AjOgw3QR5wAEQzoBa5xTxsdraZtxDkmzFo01aeyJAysTyIGV7iLehjFQK/TlwEp/tXXAB3144XCJlTdLd6XPYDHMCr1NE6S8yQa9eLuGRm/Pg7YpoFP1JEssXoVQ6tcelPq1B5XttQel+3Aifu0axIL7qcVrD0r9ioNSv+LAAjCkA7R9FAQAu6nlKw7K5lUGZfMqAwtC8xoOAoOGWL5so/dXGZT+6pBaZYSTst8jfgDBDZ1ABBPg2i8R7bd07TJEO33FWq/dfpgBHaaT0NpPMKQT8IbWulS6lGZYpiiamxpYlU6reTmN5vORdpy64aOYplGq1rZRPqlEmS2fkH2ImbBSaSnDjIFaobeYCSmVskEfYGiNlUrLPNRimBV6myZIqZQNuvctRH91SA25u9Ii2vTdxjl+ghs6gQgmwLVfItpv6drbD5PfsW4xlWoEZkCH6STO8RMM6QS8cY4ulZa2UilJ8+E5MKxUWrqrhhvGQK3QmwNDSqVs0AcYDmOl0tJdNTRYDLNCb9MEKZWyQfcd51T+6tBL9U1O+n5fTQkQ3NAJeOMcQPstXXv7YfI71i2mUo3ADOgwXcQ5AMGQTsAa51S6VFrZSqUkzVr0bJRXWV7lUTGWk0ikYqScXZJE5UhKkSfjXGT7c19FhZVKK3fV0PD6PcwKfTmwCimVskEfXjhcYaXSyl01NFgMs0Jv0wQplbJBf3N9EYFoT4S2LaDyHMkUi1pppWulVa4/ypOBiG0F08pdq8PfugMB4d5qUTCtdMFUUQw1xdBGMaRTdFI1rZqqqcLQn/rF8DYQ/ecUkldqp3rB6bV2WvnLRWrZES7KrN9jpgDBDZ1ABBPg2i8R7bd07TJEO30FWy/mfpgBHaaTWNtPMKQT8Mbauna6lGZYpiiatWhZzopJmSsnWhRj9TGuoqqU8ygeybQcZ+m8KCdv700QhdVOKxlmDNQKvQVRSO2UDbr3zSJ/SVANee6gF4m9TasTB+YnuKETMDswv/Zbuvb2w+RfMbeYSjUCM6DDdOLA/ARDOgGvA9OXmy6lGRwYRfPhOTDsxc2Vu0K4YQzUCr05MH8pd8AHrXcBThb3cvWbiflLg2ronXd3Zqn12e3EkfkJbugEzI7Mr/2Wrr39UPlXzi2mUo3ADOgwnTgyP8GQTsDryPQLnCvbC5xJmrXoeVaNZJWWUZYk8yhJZrOoqmIRTZM8T0aTeDyuNq5T7c+RYWX7qgozBmqF3hwZUrZng262s0/eXh386etYhnGoRey80TXrtS1RifOO2w2dgNVxIdpv6drbD5F/pdzVlBnQRXfgoBCzD+kEnA5KqTpeS9twUDTNi0LaopaWLJeZ9/oqponYsvSK2Hlpb4Y3ekAE+KRqqmc22UO67C7KZTbZ+k8oul8pjvU4gzJdhM3VRxLrj0p9pNI2q1z16SzDd4QgquBZlelKbK4+FMpQowxtKEM6SjczLWuKsbowq2H0Z6U/LTjN3CTwaKC89xkobLPNWXHOip5nm1n2kC67m5lllt3MOYLuZuOx9xlkXa+EEwk/vgoRBM8g69pEld3NDLKvQRTdr3jBPcvjpItGbLxvvds8zl8JvaETiGACXPslov2Wrl2GaCevPJb1hiq6kzzOb/YhnYA3j5PHa2mGZYeied0QmfYfghc295U7wfAOIogAn1FL92WWPaTL7sZ9mWU34TZB934kcaVtBrlKiZlIe55BZtlDuuxuZpBZdjO3CLq18I0303c+gyrbDHJWcQT+ckWIIHgGmWUP6bK7mUFm2c3cIuh+ZQbtWQjtLACJXk8uKnHeeOiGTiCCCXDtl4j2W7p2GaKdvPJY1huq6E5CaL/Zh3QC3hC6Ol5LMyw7FM3LUsjJw/Pan/9KEr15bdtJTJyVHtHzvrXSPrRpH9K1d+LJlHb9ad1UJKnfi5g6SfWMymwzylnwET3vTSvtQ5v2IV17NzMqbWaUWXwz4wjqmxm1dMn7FSIlzrqNsB8Q7CJESvyHVm/oBLwhEqD9lq5dhmgnL0WWtYcquosQCTD7kE7AGiIl6fFammHdoWju58SQZaVx1fdEYl/2O1lp/Dfg3tAJmFcav/ZbunYZon3XKw1VdCcrjd/sQzoB70qTHa+lGVYaiubVu/CTjcuf2hMIitooc2gVONuq8ToAs3JlEq+OQQT4hFrGzLZqPFl2N+GytRpP0q2FL9f7vuLk1TEhheZ9wJVXk07K1Do6nXg1P8ENnYDZq/m139K1yxDt9BVpeVwBgRnQYTrxdn6CIZ2A19vp6v1SmmGZomjWouM4z6az+TSaTvNKnxUZRWU8T6I4lrHMyzKp5HLBsq9gXx91c0xIn9oEjgmpbwszBmoF4zPnhd/Bc+c/pT3gg26myUTmSZVUcRSP8zIS5VhE4zzOo1lVTOR0Lsoime/PNIGORatvC7UYZoXepglwLJoPenHocF6M4jJLo1kumpNnpZpSs3xPVxPoldLq20Ithlmht2niPyo74IN+aBnL8vZMaBsDCvVJtljkWKnlrXkicRbyZM/tGhbZQ7rsTnIsi+zmVAZBtxauj8b2PIUSyxRKnSU7iR9GhAiCp5BZ9pAuu5spZJbdTC6C7n1K01P/C3BfitRZtZO9vpYKIbihE4hgAlz7JaL9lq5dhminr0grBw/ADOgwXaTpAMGQTsCapqfJ8VqaYZmiaD64ND1NocA6ddYCN42BWqGvwDr1F20HfNCHl6anGTZNnCcqTRbDrNDbNPFX3AZ80IeXpqcCmyYi1GKYFXqbJv53Cw/4oB/S9D3IsfR7FVLb8S4tx2ECvLoOYeCxzDLR0i9SsGgf0rV3k201L06wiG9eo0BQ30yphXqdlPSRc1nWj9xJ028LYeqvANzQCUQwAa79EtF+S9cuQ7STVyLL0kMV3UkO5Tf7kE7Am0Plx2tphmWHonn5qrtVX09f2z2WpcdZk8l7vS5DifPOoxs6AfPS49d+S9cuQ7Tveumhiu5k6fGbfUgn4F16iuO1NMPSQ9G8ftfdN//o5JW/84/++I++nKivvPaXLX7k5JW/ZfWVb7z/f35t9g1F/kfzd995X/938u7X3n1P/2L03p+M9d/25fTLUqV5KmP5o3dGX9f/wNVXvz77xtGL2b89unz366N31L/2ja/+O/UHSXryR3/2znT23te++o7+vnfeVf9RPzb62lf/5B09L/Vf+2/efe+r/079W6Ovqe/42mz+vvrx/3323vtfnTRfmahvm72nvvZv3xv96dXs/1A/8/57fzZTf8tYIc7ea7SO333//Xe/vviV/mKtKVb/4IkBIW7+T+UfJ380/eroT959R/9blJ9uBJN+8r2v/sm/If7o++/+KeUH1U/Ov/q1BlT/V89P9Q3fePdravj1XJg+tf6snhij997f/IbVXNCT4c++Pp699+V331PTbDGB9K+evjvV/8obs3dm7ykjq+/70/fefX+RR+jv+tq7k/9tpqbf6sszrWXxUKkvfvWdf6NWsve1+P8fLRBVRw==</t>
  </si>
  <si>
    <t>Квалификационная и контактная информация</t>
  </si>
  <si>
    <t>А</t>
  </si>
  <si>
    <t>Наличие авансирования</t>
  </si>
  <si>
    <t>да (%) /нет</t>
  </si>
  <si>
    <t>Б</t>
  </si>
  <si>
    <t>Готовность приступить к работе по уведомлению</t>
  </si>
  <si>
    <t>да /нет</t>
  </si>
  <si>
    <t>В</t>
  </si>
  <si>
    <t>Готовность предоставить банковскую гарантию (при наличии аванса)</t>
  </si>
  <si>
    <t>да(банк) /нет</t>
  </si>
  <si>
    <t>Г</t>
  </si>
  <si>
    <t>Срок исполнения предмета тендера</t>
  </si>
  <si>
    <t>мес.</t>
  </si>
  <si>
    <t>Д</t>
  </si>
  <si>
    <t>Гарантийный срок 5 лет</t>
  </si>
  <si>
    <t>E</t>
  </si>
  <si>
    <t>Информация о посещении объекта (были/не были), вопросы по результатам посещения</t>
  </si>
  <si>
    <t>были/не были
да/нет</t>
  </si>
  <si>
    <t>Ж</t>
  </si>
  <si>
    <t>Виды работ, планируемые к выполнению субподрядными организациями</t>
  </si>
  <si>
    <t>вид работ-наименование</t>
  </si>
  <si>
    <t>З</t>
  </si>
  <si>
    <t>Готовность подписать договор в редакции Заказчика</t>
  </si>
  <si>
    <t>да/нет</t>
  </si>
  <si>
    <t>И</t>
  </si>
  <si>
    <t>Наличие СРО</t>
  </si>
  <si>
    <t>да (сумма) /нет</t>
  </si>
  <si>
    <t>К</t>
  </si>
  <si>
    <t>Опыт работы с ГК ПИК (при наличии текущих проектов- указать % реализации)</t>
  </si>
  <si>
    <t>объект/ вид работ/% выполнения</t>
  </si>
  <si>
    <t>Л</t>
  </si>
  <si>
    <t>Опыт реализации подобных видов работ за последние 2-3 года (указать не более 5 ключевых объектов и их заказчиков)</t>
  </si>
  <si>
    <t>объект/заказчик/год</t>
  </si>
  <si>
    <t>М</t>
  </si>
  <si>
    <t>Численность работающих всего / численность, планируемая для выполнения предмета тендера</t>
  </si>
  <si>
    <t>кол-во/кол-во</t>
  </si>
  <si>
    <t>Н</t>
  </si>
  <si>
    <t>Дата регистрации компании</t>
  </si>
  <si>
    <t>дд/мм/гг</t>
  </si>
  <si>
    <t>О</t>
  </si>
  <si>
    <t>Оборот за последние 3 года (указать оборот (выручку) по данным бухгалтерской отчетности за 2014/2015/2016 год)</t>
  </si>
  <si>
    <t>год-сумма/год-сумма/год-сумма (руб.без НДС)</t>
  </si>
  <si>
    <t>2015-
2016-
2017-</t>
  </si>
  <si>
    <t>П</t>
  </si>
  <si>
    <t>Сайт компании</t>
  </si>
  <si>
    <t>ссылка</t>
  </si>
  <si>
    <t>Р</t>
  </si>
  <si>
    <t>Генеральный директор : Ф.И.О. полностью, тел., e-mail</t>
  </si>
  <si>
    <t>С</t>
  </si>
  <si>
    <t>Контактное лицо: Ф.И.О. полностью, тел., e-mail</t>
  </si>
  <si>
    <t>Т</t>
  </si>
  <si>
    <t>Примечание к ТКП претендента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</si>
</sst>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5" x14ac:knownFonts="1">
    <font>
      <sz val="11"/>
      <color rgb="FF000000"/>
      <name val="Calibri"/>
    </font>
    <font>
      <b/>
      <sz val="11"/>
      <color rgb="FFFFFFFF"/>
      <name val="Times New Roman"/>
    </font>
    <font>
      <sz val="12"/>
      <color rgb="FF2F5487"/>
      <name val="Times New Roman"/>
    </font>
    <font>
      <b/>
      <sz val="16"/>
      <color rgb="FF000000"/>
      <name val="Times New Roman"/>
    </font>
    <font>
      <sz val="12"/>
      <color rgb="FF000000"/>
      <name val="Times New Roman"/>
    </font>
    <font>
      <sz val="16"/>
      <color rgb="FF000000"/>
      <name val="Times New Roman"/>
    </font>
    <font>
      <b/>
      <sz val="16"/>
      <color rgb="FFFFFFFF"/>
      <name val="Times New Roman"/>
    </font>
    <font>
      <b/>
      <sz val="13"/>
      <color rgb="FF000000"/>
      <name val="Times New Roman"/>
    </font>
    <font>
      <b/>
      <sz val="18"/>
      <color rgb="FF000000"/>
      <name val="Times New Roman"/>
    </font>
    <font>
      <sz val="14"/>
      <color rgb="FF000000"/>
      <name val="Times New Roman"/>
    </font>
    <font>
      <i/>
      <sz val="14"/>
      <color rgb="FF000000"/>
      <name val="Times New Roman"/>
    </font>
    <font>
      <sz val="14"/>
      <color rgb="FF800000"/>
      <name val="Times New Roman"/>
    </font>
    <font>
      <b/>
      <sz val="14"/>
      <color rgb="FF000000"/>
      <name val="Times New Roman"/>
    </font>
    <font>
      <b/>
      <sz val="14"/>
      <color rgb="FF800000"/>
      <name val="Times New Roman"/>
    </font>
    <font>
      <b/>
      <sz val="14"/>
      <color rgb="FFFF0000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BE6F1"/>
        <bgColor rgb="FF000000"/>
      </patternFill>
    </fill>
    <fill>
      <patternFill patternType="solid">
        <fgColor rgb="FFD9D9D8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FF8D5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left" vertical="center" wrapText="1"/>
    </xf>
    <xf numFmtId="0" fontId="0" fillId="2" borderId="0" xfId="0" applyFill="1" applyProtection="1"/>
    <xf numFmtId="0" fontId="4" fillId="0" borderId="0" xfId="0" applyFont="1" applyAlignment="1" applyProtection="1">
      <alignment horizontal="left" vertical="center"/>
    </xf>
    <xf numFmtId="0" fontId="4" fillId="0" borderId="7" xfId="0" applyFont="1" applyBorder="1" applyAlignment="1" applyProtection="1">
      <alignment horizontal="center" vertical="center" wrapText="1"/>
    </xf>
    <xf numFmtId="4" fontId="7" fillId="0" borderId="7" xfId="0" applyNumberFormat="1" applyFont="1" applyBorder="1" applyAlignment="1" applyProtection="1">
      <alignment horizontal="center" vertical="center"/>
    </xf>
    <xf numFmtId="0" fontId="0" fillId="4" borderId="2" xfId="0" applyFill="1" applyBorder="1" applyProtection="1"/>
    <xf numFmtId="4" fontId="7" fillId="4" borderId="7" xfId="0" applyNumberFormat="1" applyFont="1" applyFill="1" applyBorder="1" applyAlignment="1" applyProtection="1">
      <alignment horizontal="center" vertical="center"/>
    </xf>
    <xf numFmtId="4" fontId="4" fillId="0" borderId="0" xfId="0" applyNumberFormat="1" applyFont="1" applyAlignment="1" applyProtection="1">
      <alignment horizontal="left" vertical="center"/>
    </xf>
    <xf numFmtId="0" fontId="4" fillId="0" borderId="7" xfId="0" applyFont="1" applyBorder="1" applyAlignment="1" applyProtection="1">
      <alignment horizontal="left" vertical="center"/>
    </xf>
    <xf numFmtId="0" fontId="4" fillId="5" borderId="7" xfId="0" applyFont="1" applyFill="1" applyBorder="1" applyAlignment="1" applyProtection="1">
      <alignment horizontal="left" vertical="center"/>
    </xf>
    <xf numFmtId="0" fontId="0" fillId="5" borderId="2" xfId="0" applyFill="1" applyBorder="1" applyProtection="1"/>
    <xf numFmtId="4" fontId="7" fillId="5" borderId="7" xfId="0" applyNumberFormat="1" applyFont="1" applyFill="1" applyBorder="1" applyAlignment="1" applyProtection="1">
      <alignment horizontal="center" vertical="center"/>
    </xf>
    <xf numFmtId="0" fontId="9" fillId="0" borderId="7" xfId="0" applyFont="1" applyBorder="1" applyAlignment="1" applyProtection="1">
      <alignment horizontal="left" vertical="center" wrapText="1"/>
    </xf>
    <xf numFmtId="0" fontId="9" fillId="0" borderId="7" xfId="0" applyFont="1" applyBorder="1" applyAlignment="1" applyProtection="1">
      <alignment horizontal="center" vertical="center" wrapText="1"/>
    </xf>
    <xf numFmtId="164" fontId="9" fillId="0" borderId="7" xfId="0" applyNumberFormat="1" applyFont="1" applyBorder="1" applyAlignment="1" applyProtection="1">
      <alignment horizontal="center" vertical="center" wrapText="1"/>
    </xf>
    <xf numFmtId="4" fontId="9" fillId="0" borderId="7" xfId="0" applyNumberFormat="1" applyFont="1" applyBorder="1" applyAlignment="1" applyProtection="1">
      <alignment horizontal="center" vertical="center" wrapText="1"/>
    </xf>
    <xf numFmtId="4" fontId="9" fillId="3" borderId="7" xfId="0" applyNumberFormat="1" applyFont="1" applyFill="1" applyBorder="1" applyAlignment="1" applyProtection="1">
      <alignment horizontal="center" vertical="center" wrapText="1"/>
    </xf>
    <xf numFmtId="4" fontId="9" fillId="3" borderId="7" xfId="0" applyNumberFormat="1" applyFont="1" applyFill="1" applyBorder="1" applyAlignment="1" applyProtection="1">
      <alignment horizontal="center" vertical="center" wrapText="1"/>
      <protection locked="0"/>
    </xf>
    <xf numFmtId="0" fontId="9" fillId="5" borderId="7" xfId="0" applyFont="1" applyFill="1" applyBorder="1" applyAlignment="1" applyProtection="1">
      <alignment horizontal="left" vertical="center" wrapText="1"/>
    </xf>
    <xf numFmtId="0" fontId="9" fillId="5" borderId="7" xfId="0" applyFont="1" applyFill="1" applyBorder="1" applyAlignment="1" applyProtection="1">
      <alignment horizontal="center" vertical="center" wrapText="1"/>
    </xf>
    <xf numFmtId="164" fontId="9" fillId="5" borderId="7" xfId="0" applyNumberFormat="1" applyFont="1" applyFill="1" applyBorder="1" applyAlignment="1" applyProtection="1">
      <alignment horizontal="center" vertical="center" wrapText="1"/>
    </xf>
    <xf numFmtId="4" fontId="9" fillId="5" borderId="7" xfId="0" applyNumberFormat="1" applyFont="1" applyFill="1" applyBorder="1" applyAlignment="1" applyProtection="1">
      <alignment horizontal="center" vertical="center" wrapText="1"/>
    </xf>
    <xf numFmtId="0" fontId="10" fillId="0" borderId="7" xfId="0" applyFont="1" applyBorder="1" applyAlignment="1" applyProtection="1">
      <alignment horizontal="right" vertical="center" wrapText="1"/>
    </xf>
    <xf numFmtId="0" fontId="9" fillId="0" borderId="7" xfId="0" applyFont="1" applyBorder="1" applyAlignment="1" applyProtection="1">
      <alignment horizontal="center" vertical="center"/>
    </xf>
    <xf numFmtId="164" fontId="9" fillId="0" borderId="7" xfId="0" applyNumberFormat="1" applyFont="1" applyBorder="1" applyAlignment="1" applyProtection="1">
      <alignment horizontal="center" vertical="center"/>
    </xf>
    <xf numFmtId="164" fontId="11" fillId="0" borderId="7" xfId="0" applyNumberFormat="1" applyFont="1" applyBorder="1" applyAlignment="1" applyProtection="1">
      <alignment horizontal="center" vertical="center"/>
    </xf>
    <xf numFmtId="4" fontId="9" fillId="3" borderId="7" xfId="0" applyNumberFormat="1" applyFont="1" applyFill="1" applyBorder="1" applyAlignment="1" applyProtection="1">
      <alignment horizontal="center" vertical="center"/>
    </xf>
    <xf numFmtId="4" fontId="9" fillId="0" borderId="7" xfId="0" applyNumberFormat="1" applyFont="1" applyBorder="1" applyAlignment="1" applyProtection="1">
      <alignment horizontal="center" vertical="center"/>
    </xf>
    <xf numFmtId="4" fontId="9" fillId="3" borderId="7" xfId="0" applyNumberFormat="1" applyFont="1" applyFill="1" applyBorder="1" applyAlignment="1" applyProtection="1">
      <alignment horizontal="center" vertical="center"/>
      <protection locked="0"/>
    </xf>
    <xf numFmtId="0" fontId="10" fillId="5" borderId="7" xfId="0" applyFont="1" applyFill="1" applyBorder="1" applyAlignment="1" applyProtection="1">
      <alignment horizontal="right" vertical="center" wrapText="1"/>
    </xf>
    <xf numFmtId="0" fontId="9" fillId="5" borderId="7" xfId="0" applyFont="1" applyFill="1" applyBorder="1" applyAlignment="1" applyProtection="1">
      <alignment horizontal="center" vertical="center"/>
    </xf>
    <xf numFmtId="164" fontId="9" fillId="5" borderId="7" xfId="0" applyNumberFormat="1" applyFont="1" applyFill="1" applyBorder="1" applyAlignment="1" applyProtection="1">
      <alignment horizontal="center" vertical="center"/>
    </xf>
    <xf numFmtId="164" fontId="11" fillId="5" borderId="7" xfId="0" applyNumberFormat="1" applyFont="1" applyFill="1" applyBorder="1" applyAlignment="1" applyProtection="1">
      <alignment horizontal="center" vertical="center"/>
    </xf>
    <xf numFmtId="4" fontId="9" fillId="5" borderId="7" xfId="0" applyNumberFormat="1" applyFont="1" applyFill="1" applyBorder="1" applyAlignment="1" applyProtection="1">
      <alignment horizontal="center" vertical="center"/>
    </xf>
    <xf numFmtId="0" fontId="0" fillId="5" borderId="3" xfId="0" applyFill="1" applyBorder="1" applyProtection="1"/>
    <xf numFmtId="0" fontId="10" fillId="6" borderId="7" xfId="0" applyFont="1" applyFill="1" applyBorder="1" applyAlignment="1" applyProtection="1">
      <alignment horizontal="right" vertical="center" wrapText="1"/>
    </xf>
    <xf numFmtId="0" fontId="4" fillId="7" borderId="7" xfId="0" applyFont="1" applyFill="1" applyBorder="1" applyAlignment="1" applyProtection="1">
      <alignment horizontal="left" vertical="center"/>
    </xf>
    <xf numFmtId="0" fontId="9" fillId="7" borderId="7" xfId="0" applyFont="1" applyFill="1" applyBorder="1" applyAlignment="1" applyProtection="1">
      <alignment horizontal="left" vertical="center" wrapText="1"/>
    </xf>
    <xf numFmtId="0" fontId="9" fillId="7" borderId="7" xfId="0" applyFont="1" applyFill="1" applyBorder="1" applyAlignment="1" applyProtection="1">
      <alignment horizontal="center" vertical="center" wrapText="1"/>
    </xf>
    <xf numFmtId="164" fontId="9" fillId="7" borderId="7" xfId="0" applyNumberFormat="1" applyFont="1" applyFill="1" applyBorder="1" applyAlignment="1" applyProtection="1">
      <alignment horizontal="center" vertical="center" wrapText="1"/>
    </xf>
    <xf numFmtId="164" fontId="12" fillId="7" borderId="7" xfId="0" applyNumberFormat="1" applyFont="1" applyFill="1" applyBorder="1" applyAlignment="1" applyProtection="1">
      <alignment horizontal="center" vertical="center" wrapText="1"/>
    </xf>
    <xf numFmtId="4" fontId="9" fillId="7" borderId="7" xfId="0" applyNumberFormat="1" applyFont="1" applyFill="1" applyBorder="1" applyAlignment="1" applyProtection="1">
      <alignment horizontal="center" vertical="center" wrapText="1"/>
    </xf>
    <xf numFmtId="0" fontId="4" fillId="8" borderId="7" xfId="0" applyFont="1" applyFill="1" applyBorder="1" applyAlignment="1" applyProtection="1">
      <alignment horizontal="left" vertical="center"/>
    </xf>
    <xf numFmtId="0" fontId="9" fillId="8" borderId="7" xfId="0" applyFont="1" applyFill="1" applyBorder="1" applyAlignment="1" applyProtection="1">
      <alignment horizontal="left" vertical="center" wrapText="1"/>
    </xf>
    <xf numFmtId="0" fontId="9" fillId="8" borderId="7" xfId="0" applyFont="1" applyFill="1" applyBorder="1" applyAlignment="1" applyProtection="1">
      <alignment horizontal="center" vertical="center" wrapText="1"/>
    </xf>
    <xf numFmtId="164" fontId="9" fillId="8" borderId="7" xfId="0" applyNumberFormat="1" applyFont="1" applyFill="1" applyBorder="1" applyAlignment="1" applyProtection="1">
      <alignment horizontal="center" vertical="center" wrapText="1"/>
    </xf>
    <xf numFmtId="4" fontId="9" fillId="8" borderId="7" xfId="0" applyNumberFormat="1" applyFont="1" applyFill="1" applyBorder="1" applyAlignment="1" applyProtection="1">
      <alignment horizontal="center" vertical="center" wrapText="1"/>
    </xf>
    <xf numFmtId="0" fontId="10" fillId="7" borderId="7" xfId="0" applyFont="1" applyFill="1" applyBorder="1" applyAlignment="1" applyProtection="1">
      <alignment horizontal="right" vertical="center" wrapText="1"/>
    </xf>
    <xf numFmtId="0" fontId="9" fillId="7" borderId="7" xfId="0" applyFont="1" applyFill="1" applyBorder="1" applyAlignment="1" applyProtection="1">
      <alignment horizontal="center" vertical="center"/>
    </xf>
    <xf numFmtId="164" fontId="9" fillId="7" borderId="7" xfId="0" applyNumberFormat="1" applyFont="1" applyFill="1" applyBorder="1" applyAlignment="1" applyProtection="1">
      <alignment horizontal="center" vertical="center"/>
    </xf>
    <xf numFmtId="164" fontId="12" fillId="7" borderId="7" xfId="0" applyNumberFormat="1" applyFont="1" applyFill="1" applyBorder="1" applyAlignment="1" applyProtection="1">
      <alignment horizontal="center" vertical="center"/>
    </xf>
    <xf numFmtId="4" fontId="9" fillId="7" borderId="7" xfId="0" applyNumberFormat="1" applyFont="1" applyFill="1" applyBorder="1" applyAlignment="1" applyProtection="1">
      <alignment horizontal="center" vertical="center"/>
    </xf>
    <xf numFmtId="0" fontId="0" fillId="7" borderId="2" xfId="0" applyFill="1" applyBorder="1" applyProtection="1"/>
    <xf numFmtId="0" fontId="0" fillId="7" borderId="3" xfId="0" applyFill="1" applyBorder="1" applyProtection="1"/>
    <xf numFmtId="0" fontId="10" fillId="8" borderId="7" xfId="0" applyFont="1" applyFill="1" applyBorder="1" applyAlignment="1" applyProtection="1">
      <alignment horizontal="right" vertical="center" wrapText="1"/>
    </xf>
    <xf numFmtId="0" fontId="9" fillId="8" borderId="7" xfId="0" applyFont="1" applyFill="1" applyBorder="1" applyAlignment="1" applyProtection="1">
      <alignment horizontal="center" vertical="center"/>
    </xf>
    <xf numFmtId="164" fontId="9" fillId="8" borderId="7" xfId="0" applyNumberFormat="1" applyFont="1" applyFill="1" applyBorder="1" applyAlignment="1" applyProtection="1">
      <alignment horizontal="center" vertical="center"/>
    </xf>
    <xf numFmtId="4" fontId="9" fillId="8" borderId="7" xfId="0" applyNumberFormat="1" applyFont="1" applyFill="1" applyBorder="1" applyAlignment="1" applyProtection="1">
      <alignment horizontal="center" vertical="center"/>
    </xf>
    <xf numFmtId="0" fontId="0" fillId="8" borderId="2" xfId="0" applyFill="1" applyBorder="1" applyProtection="1"/>
    <xf numFmtId="0" fontId="0" fillId="8" borderId="3" xfId="0" applyFill="1" applyBorder="1" applyProtection="1"/>
    <xf numFmtId="164" fontId="13" fillId="7" borderId="7" xfId="0" applyNumberFormat="1" applyFont="1" applyFill="1" applyBorder="1" applyAlignment="1" applyProtection="1">
      <alignment horizontal="center" vertical="center"/>
    </xf>
    <xf numFmtId="164" fontId="11" fillId="8" borderId="7" xfId="0" applyNumberFormat="1" applyFont="1" applyFill="1" applyBorder="1" applyAlignment="1" applyProtection="1">
      <alignment horizontal="center" vertical="center"/>
    </xf>
    <xf numFmtId="164" fontId="14" fillId="0" borderId="7" xfId="0" applyNumberFormat="1" applyFont="1" applyBorder="1" applyAlignment="1" applyProtection="1">
      <alignment horizontal="center" vertical="center"/>
    </xf>
    <xf numFmtId="164" fontId="14" fillId="7" borderId="7" xfId="0" applyNumberFormat="1" applyFont="1" applyFill="1" applyBorder="1" applyAlignment="1" applyProtection="1">
      <alignment horizontal="center" vertical="center"/>
    </xf>
    <xf numFmtId="164" fontId="14" fillId="8" borderId="7" xfId="0" applyNumberFormat="1" applyFont="1" applyFill="1" applyBorder="1" applyAlignment="1" applyProtection="1">
      <alignment horizontal="center" vertical="center"/>
    </xf>
    <xf numFmtId="0" fontId="0" fillId="3" borderId="0" xfId="0" applyFill="1" applyProtection="1"/>
    <xf numFmtId="0" fontId="12" fillId="3" borderId="7" xfId="0" applyFont="1" applyFill="1" applyBorder="1" applyAlignment="1" applyProtection="1">
      <alignment horizontal="right" vertical="center"/>
    </xf>
    <xf numFmtId="4" fontId="12" fillId="3" borderId="7" xfId="0" applyNumberFormat="1" applyFont="1" applyFill="1" applyBorder="1" applyAlignment="1" applyProtection="1">
      <alignment horizontal="center" vertical="center"/>
    </xf>
    <xf numFmtId="0" fontId="4" fillId="0" borderId="7" xfId="0" applyFont="1" applyBorder="1" applyAlignment="1" applyProtection="1">
      <alignment horizontal="left" vertical="center" wrapText="1"/>
    </xf>
    <xf numFmtId="0" fontId="0" fillId="0" borderId="1" xfId="0" applyBorder="1" applyProtection="1"/>
    <xf numFmtId="0" fontId="0" fillId="0" borderId="2" xfId="0" applyBorder="1" applyProtection="1"/>
    <xf numFmtId="0" fontId="4" fillId="9" borderId="7" xfId="0" applyFont="1" applyFill="1" applyBorder="1" applyAlignment="1" applyProtection="1">
      <alignment horizontal="left" vertical="center"/>
    </xf>
    <xf numFmtId="0" fontId="9" fillId="9" borderId="7" xfId="0" applyFont="1" applyFill="1" applyBorder="1" applyAlignment="1" applyProtection="1">
      <alignment horizontal="center" vertical="center" wrapText="1"/>
    </xf>
    <xf numFmtId="164" fontId="9" fillId="9" borderId="7" xfId="0" applyNumberFormat="1" applyFont="1" applyFill="1" applyBorder="1" applyAlignment="1" applyProtection="1">
      <alignment horizontal="center" vertical="center" wrapText="1"/>
    </xf>
    <xf numFmtId="0" fontId="10" fillId="9" borderId="7" xfId="0" applyFont="1" applyFill="1" applyBorder="1" applyAlignment="1" applyProtection="1">
      <alignment horizontal="right" vertical="center" wrapText="1"/>
    </xf>
    <xf numFmtId="0" fontId="9" fillId="9" borderId="7" xfId="0" applyFont="1" applyFill="1" applyBorder="1" applyAlignment="1" applyProtection="1">
      <alignment horizontal="center" vertical="center"/>
    </xf>
    <xf numFmtId="164" fontId="9" fillId="9" borderId="7" xfId="0" applyNumberFormat="1" applyFont="1" applyFill="1" applyBorder="1" applyAlignment="1" applyProtection="1">
      <alignment horizontal="center" vertical="center"/>
    </xf>
    <xf numFmtId="164" fontId="11" fillId="9" borderId="7" xfId="0" applyNumberFormat="1" applyFont="1" applyFill="1" applyBorder="1" applyAlignment="1" applyProtection="1">
      <alignment horizontal="center" vertical="center"/>
    </xf>
    <xf numFmtId="0" fontId="4" fillId="10" borderId="7" xfId="0" applyFont="1" applyFill="1" applyBorder="1" applyAlignment="1" applyProtection="1">
      <alignment horizontal="left" vertical="center"/>
    </xf>
    <xf numFmtId="0" fontId="9" fillId="10" borderId="7" xfId="0" applyFont="1" applyFill="1" applyBorder="1" applyAlignment="1" applyProtection="1">
      <alignment horizontal="left" vertical="center" wrapText="1"/>
    </xf>
    <xf numFmtId="0" fontId="9" fillId="10" borderId="7" xfId="0" applyFont="1" applyFill="1" applyBorder="1" applyAlignment="1" applyProtection="1">
      <alignment horizontal="center" vertical="center" wrapText="1"/>
    </xf>
    <xf numFmtId="164" fontId="9" fillId="10" borderId="7" xfId="0" applyNumberFormat="1" applyFont="1" applyFill="1" applyBorder="1" applyAlignment="1" applyProtection="1">
      <alignment horizontal="center" vertical="center" wrapText="1"/>
    </xf>
    <xf numFmtId="0" fontId="10" fillId="10" borderId="7" xfId="0" applyFont="1" applyFill="1" applyBorder="1" applyAlignment="1" applyProtection="1">
      <alignment horizontal="right" vertical="center" wrapText="1"/>
    </xf>
    <xf numFmtId="0" fontId="9" fillId="10" borderId="7" xfId="0" applyFont="1" applyFill="1" applyBorder="1" applyAlignment="1" applyProtection="1">
      <alignment horizontal="center" vertical="center"/>
    </xf>
    <xf numFmtId="164" fontId="9" fillId="10" borderId="7" xfId="0" applyNumberFormat="1" applyFont="1" applyFill="1" applyBorder="1" applyAlignment="1" applyProtection="1">
      <alignment horizontal="center" vertical="center"/>
    </xf>
    <xf numFmtId="164" fontId="11" fillId="10" borderId="7" xfId="0" applyNumberFormat="1" applyFont="1" applyFill="1" applyBorder="1" applyAlignment="1" applyProtection="1">
      <alignment horizontal="center" vertical="center"/>
    </xf>
    <xf numFmtId="0" fontId="4" fillId="9" borderId="1" xfId="0" applyFont="1" applyFill="1" applyBorder="1" applyAlignment="1" applyProtection="1">
      <alignment horizontal="left" vertical="center"/>
    </xf>
    <xf numFmtId="4" fontId="9" fillId="0" borderId="3" xfId="0" applyNumberFormat="1" applyFont="1" applyBorder="1" applyAlignment="1" applyProtection="1">
      <alignment horizontal="center" vertical="center" wrapText="1"/>
    </xf>
    <xf numFmtId="4" fontId="9" fillId="3" borderId="3" xfId="0" applyNumberFormat="1" applyFont="1" applyFill="1" applyBorder="1" applyAlignment="1" applyProtection="1">
      <alignment horizontal="center" vertical="center"/>
    </xf>
    <xf numFmtId="0" fontId="10" fillId="0" borderId="4" xfId="0" applyFont="1" applyBorder="1" applyAlignment="1" applyProtection="1">
      <alignment horizontal="right" vertical="center" wrapText="1"/>
    </xf>
    <xf numFmtId="0" fontId="9" fillId="0" borderId="4" xfId="0" applyFont="1" applyBorder="1" applyAlignment="1" applyProtection="1">
      <alignment horizontal="center" vertical="center" wrapText="1"/>
    </xf>
    <xf numFmtId="0" fontId="9" fillId="0" borderId="4" xfId="0" applyFont="1" applyBorder="1" applyAlignment="1" applyProtection="1">
      <alignment horizontal="center" vertical="center"/>
    </xf>
    <xf numFmtId="164" fontId="9" fillId="0" borderId="4" xfId="0" applyNumberFormat="1" applyFont="1" applyBorder="1" applyAlignment="1" applyProtection="1">
      <alignment horizontal="center" vertical="center"/>
    </xf>
    <xf numFmtId="164" fontId="11" fillId="0" borderId="4" xfId="0" applyNumberFormat="1" applyFont="1" applyBorder="1" applyAlignment="1" applyProtection="1">
      <alignment horizontal="center" vertical="center"/>
    </xf>
    <xf numFmtId="0" fontId="9" fillId="9" borderId="6" xfId="0" applyFont="1" applyFill="1" applyBorder="1" applyAlignment="1" applyProtection="1">
      <alignment horizontal="left" vertical="center" wrapText="1"/>
    </xf>
    <xf numFmtId="0" fontId="9" fillId="9" borderId="6" xfId="0" applyFont="1" applyFill="1" applyBorder="1" applyAlignment="1" applyProtection="1">
      <alignment horizontal="center" vertical="center" wrapText="1"/>
    </xf>
    <xf numFmtId="164" fontId="9" fillId="9" borderId="6" xfId="0" applyNumberFormat="1" applyFont="1" applyFill="1" applyBorder="1" applyAlignment="1" applyProtection="1">
      <alignment horizontal="center" vertical="center" wrapText="1"/>
    </xf>
    <xf numFmtId="0" fontId="9" fillId="9" borderId="8" xfId="0" applyFont="1" applyFill="1" applyBorder="1" applyAlignment="1" applyProtection="1">
      <alignment horizontal="left" vertical="center" wrapText="1"/>
    </xf>
    <xf numFmtId="0" fontId="9" fillId="9" borderId="9" xfId="0" applyFont="1" applyFill="1" applyBorder="1" applyAlignment="1" applyProtection="1">
      <alignment horizontal="center" vertical="center" wrapText="1"/>
    </xf>
    <xf numFmtId="164" fontId="9" fillId="9" borderId="9" xfId="0" applyNumberFormat="1" applyFont="1" applyFill="1" applyBorder="1" applyAlignment="1" applyProtection="1">
      <alignment horizontal="center" vertical="center" wrapText="1"/>
    </xf>
    <xf numFmtId="164" fontId="9" fillId="9" borderId="10" xfId="0" applyNumberFormat="1" applyFont="1" applyFill="1" applyBorder="1" applyAlignment="1" applyProtection="1">
      <alignment horizontal="center" vertical="center" wrapText="1"/>
    </xf>
    <xf numFmtId="0" fontId="10" fillId="9" borderId="11" xfId="0" applyFont="1" applyFill="1" applyBorder="1" applyAlignment="1" applyProtection="1">
      <alignment horizontal="right" vertical="center" wrapText="1"/>
    </xf>
    <xf numFmtId="164" fontId="9" fillId="9" borderId="12" xfId="0" applyNumberFormat="1" applyFont="1" applyFill="1" applyBorder="1" applyAlignment="1" applyProtection="1">
      <alignment horizontal="center" vertical="center"/>
    </xf>
    <xf numFmtId="164" fontId="11" fillId="9" borderId="12" xfId="0" applyNumberFormat="1" applyFont="1" applyFill="1" applyBorder="1" applyAlignment="1" applyProtection="1">
      <alignment horizontal="center" vertical="center"/>
    </xf>
    <xf numFmtId="0" fontId="9" fillId="9" borderId="11" xfId="0" applyFont="1" applyFill="1" applyBorder="1" applyAlignment="1" applyProtection="1">
      <alignment horizontal="left" vertical="center" wrapText="1"/>
    </xf>
    <xf numFmtId="164" fontId="9" fillId="9" borderId="12" xfId="0" applyNumberFormat="1" applyFont="1" applyFill="1" applyBorder="1" applyAlignment="1" applyProtection="1">
      <alignment horizontal="center" vertical="center" wrapText="1"/>
    </xf>
    <xf numFmtId="0" fontId="10" fillId="9" borderId="13" xfId="0" applyFont="1" applyFill="1" applyBorder="1" applyAlignment="1" applyProtection="1">
      <alignment horizontal="right" vertical="center" wrapText="1"/>
    </xf>
    <xf numFmtId="0" fontId="9" fillId="9" borderId="14" xfId="0" applyFont="1" applyFill="1" applyBorder="1" applyAlignment="1" applyProtection="1">
      <alignment horizontal="center" vertical="center" wrapText="1"/>
    </xf>
    <xf numFmtId="0" fontId="9" fillId="9" borderId="14" xfId="0" applyFont="1" applyFill="1" applyBorder="1" applyAlignment="1" applyProtection="1">
      <alignment horizontal="center" vertical="center"/>
    </xf>
    <xf numFmtId="164" fontId="9" fillId="9" borderId="14" xfId="0" applyNumberFormat="1" applyFont="1" applyFill="1" applyBorder="1" applyAlignment="1" applyProtection="1">
      <alignment horizontal="center" vertical="center"/>
    </xf>
    <xf numFmtId="164" fontId="9" fillId="9" borderId="15" xfId="0" applyNumberFormat="1" applyFont="1" applyFill="1" applyBorder="1" applyAlignment="1" applyProtection="1">
      <alignment horizontal="center" vertical="center"/>
    </xf>
    <xf numFmtId="0" fontId="3" fillId="5" borderId="1" xfId="0" applyFont="1" applyFill="1" applyBorder="1" applyAlignment="1" applyProtection="1">
      <alignment horizontal="left" vertical="center"/>
    </xf>
    <xf numFmtId="0" fontId="3" fillId="5" borderId="2" xfId="0" applyFont="1" applyFill="1" applyBorder="1" applyAlignment="1" applyProtection="1">
      <alignment horizontal="left" vertical="center"/>
    </xf>
    <xf numFmtId="0" fontId="3" fillId="5" borderId="3" xfId="0" applyFont="1" applyFill="1" applyBorder="1" applyAlignment="1" applyProtection="1">
      <alignment horizontal="left" vertical="center"/>
    </xf>
    <xf numFmtId="0" fontId="3" fillId="0" borderId="1" xfId="0" applyFont="1" applyBorder="1" applyAlignment="1" applyProtection="1">
      <alignment horizontal="left" vertical="center"/>
    </xf>
    <xf numFmtId="0" fontId="3" fillId="0" borderId="2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left" vertical="center"/>
    </xf>
    <xf numFmtId="0" fontId="4" fillId="0" borderId="1" xfId="0" applyFont="1" applyBorder="1" applyAlignment="1" applyProtection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</xf>
    <xf numFmtId="0" fontId="4" fillId="0" borderId="4" xfId="0" applyFont="1" applyBorder="1" applyAlignment="1" applyProtection="1">
      <alignment horizontal="center" vertical="center" wrapText="1"/>
    </xf>
    <xf numFmtId="0" fontId="4" fillId="0" borderId="6" xfId="0" applyFont="1" applyBorder="1" applyAlignment="1" applyProtection="1">
      <alignment horizontal="center" vertical="center" wrapText="1"/>
    </xf>
    <xf numFmtId="0" fontId="8" fillId="4" borderId="1" xfId="0" applyFont="1" applyFill="1" applyBorder="1" applyAlignment="1" applyProtection="1">
      <alignment horizontal="left" vertical="center"/>
    </xf>
    <xf numFmtId="0" fontId="8" fillId="4" borderId="2" xfId="0" applyFont="1" applyFill="1" applyBorder="1" applyAlignment="1" applyProtection="1">
      <alignment horizontal="left" vertical="center"/>
    </xf>
    <xf numFmtId="0" fontId="8" fillId="4" borderId="3" xfId="0" applyFont="1" applyFill="1" applyBorder="1" applyAlignment="1" applyProtection="1">
      <alignment horizontal="left" vertical="center"/>
    </xf>
    <xf numFmtId="0" fontId="3" fillId="0" borderId="0" xfId="0" applyFont="1" applyAlignment="1" applyProtection="1">
      <alignment horizontal="center" vertical="center"/>
    </xf>
    <xf numFmtId="0" fontId="6" fillId="2" borderId="0" xfId="0" applyFont="1" applyFill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</xf>
    <xf numFmtId="0" fontId="5" fillId="3" borderId="2" xfId="0" applyFont="1" applyFill="1" applyBorder="1" applyAlignment="1" applyProtection="1">
      <alignment horizontal="center" vertical="center"/>
    </xf>
    <xf numFmtId="0" fontId="5" fillId="3" borderId="3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85"/>
  <sheetViews>
    <sheetView zoomScale="55" zoomScaleNormal="55" workbookViewId="0">
      <pane xSplit="9" ySplit="7" topLeftCell="J452" activePane="bottomRight" state="frozen"/>
      <selection pane="topRight"/>
      <selection pane="bottomLeft"/>
      <selection pane="bottomRight" activeCell="AA585" sqref="AA585"/>
    </sheetView>
  </sheetViews>
  <sheetFormatPr defaultRowHeight="15" x14ac:dyDescent="0.25"/>
  <cols>
    <col min="1" max="1" width="20" customWidth="1"/>
    <col min="2" max="2" width="21.7109375" bestFit="1" customWidth="1"/>
    <col min="3" max="3" width="55.7109375" customWidth="1"/>
    <col min="4" max="5" width="38" customWidth="1"/>
    <col min="6" max="7" width="16.42578125" customWidth="1"/>
    <col min="8" max="8" width="16" customWidth="1"/>
    <col min="9" max="9" width="16.85546875" customWidth="1"/>
    <col min="10" max="10" width="16" customWidth="1"/>
    <col min="11" max="11" width="17" customWidth="1"/>
    <col min="12" max="12" width="17.7109375" customWidth="1"/>
    <col min="13" max="13" width="18" customWidth="1"/>
    <col min="14" max="14" width="18.85546875" customWidth="1"/>
    <col min="15" max="15" width="23.7109375" customWidth="1"/>
    <col min="16" max="16" width="16" customWidth="1"/>
    <col min="17" max="17" width="17" customWidth="1"/>
    <col min="18" max="18" width="17.7109375" customWidth="1"/>
    <col min="19" max="19" width="18" customWidth="1"/>
    <col min="20" max="20" width="18.85546875" customWidth="1"/>
    <col min="21" max="21" width="23.7109375" customWidth="1"/>
    <col min="22" max="35" width="9.140625" hidden="1"/>
  </cols>
  <sheetData>
    <row r="1" spans="1:35" ht="15" customHeight="1" x14ac:dyDescent="0.25">
      <c r="A1" s="1" t="s">
        <v>0</v>
      </c>
      <c r="B1" s="3"/>
      <c r="C1" s="3"/>
      <c r="D1" s="2" t="s">
        <v>1</v>
      </c>
      <c r="E1" s="2" t="s">
        <v>3</v>
      </c>
      <c r="F1" s="2" t="s">
        <v>2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3"/>
      <c r="M1" s="3"/>
      <c r="N1" s="3"/>
      <c r="O1" s="3"/>
      <c r="P1" s="3"/>
      <c r="Q1" s="3"/>
      <c r="R1" s="3"/>
      <c r="S1" s="3"/>
      <c r="T1" s="3"/>
      <c r="U1" s="3"/>
      <c r="AC1" s="4" t="s">
        <v>15</v>
      </c>
      <c r="AD1" s="4" t="s">
        <v>16</v>
      </c>
      <c r="AE1" s="4" t="s">
        <v>17</v>
      </c>
      <c r="AF1" s="4" t="s">
        <v>18</v>
      </c>
      <c r="AG1" s="4" t="s">
        <v>19</v>
      </c>
      <c r="AH1" s="4" t="s">
        <v>20</v>
      </c>
      <c r="AI1" s="4" t="s">
        <v>21</v>
      </c>
    </row>
    <row r="2" spans="1:35" ht="30.75" customHeight="1" x14ac:dyDescent="0.25">
      <c r="A2" s="126" t="s">
        <v>4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</row>
    <row r="3" spans="1:35" ht="15" customHeight="1" x14ac:dyDescent="0.25">
      <c r="A3" s="127" t="s">
        <v>5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</row>
    <row r="4" spans="1:35" ht="15" customHeight="1" x14ac:dyDescent="0.25">
      <c r="A4" s="128" t="s">
        <v>6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</row>
    <row r="5" spans="1:35" ht="40.700000000000003" customHeight="1" x14ac:dyDescent="0.25">
      <c r="A5" s="121" t="s">
        <v>22</v>
      </c>
      <c r="B5" s="121" t="s">
        <v>23</v>
      </c>
      <c r="C5" s="121" t="s">
        <v>24</v>
      </c>
      <c r="D5" s="121" t="s">
        <v>25</v>
      </c>
      <c r="E5" s="121" t="s">
        <v>26</v>
      </c>
      <c r="F5" s="121" t="s">
        <v>27</v>
      </c>
      <c r="G5" s="121" t="s">
        <v>28</v>
      </c>
      <c r="H5" s="121" t="s">
        <v>29</v>
      </c>
      <c r="I5" s="121" t="s">
        <v>30</v>
      </c>
      <c r="J5" s="129" t="s">
        <v>7</v>
      </c>
      <c r="K5" s="130"/>
      <c r="L5" s="130"/>
      <c r="M5" s="130"/>
      <c r="N5" s="130"/>
      <c r="O5" s="131"/>
      <c r="P5" s="132" t="s">
        <v>8</v>
      </c>
      <c r="Q5" s="133"/>
      <c r="R5" s="134"/>
      <c r="S5" s="132" t="s">
        <v>9</v>
      </c>
      <c r="T5" s="133"/>
      <c r="U5" s="134"/>
    </row>
    <row r="6" spans="1:35" ht="15.75" customHeight="1" x14ac:dyDescent="0.25">
      <c r="A6" s="135"/>
      <c r="B6" s="135"/>
      <c r="C6" s="135"/>
      <c r="D6" s="135"/>
      <c r="E6" s="135"/>
      <c r="F6" s="135"/>
      <c r="G6" s="135"/>
      <c r="H6" s="135"/>
      <c r="I6" s="135"/>
      <c r="J6" s="119" t="s">
        <v>31</v>
      </c>
      <c r="K6" s="120"/>
      <c r="L6" s="121" t="s">
        <v>31</v>
      </c>
      <c r="M6" s="119" t="s">
        <v>34</v>
      </c>
      <c r="N6" s="120"/>
      <c r="O6" s="121" t="s">
        <v>35</v>
      </c>
      <c r="P6" s="119" t="s">
        <v>31</v>
      </c>
      <c r="Q6" s="120"/>
      <c r="R6" s="121" t="s">
        <v>31</v>
      </c>
      <c r="S6" s="119" t="s">
        <v>34</v>
      </c>
      <c r="T6" s="120"/>
      <c r="U6" s="121" t="s">
        <v>35</v>
      </c>
    </row>
    <row r="7" spans="1:35" ht="31.35" customHeight="1" x14ac:dyDescent="0.25">
      <c r="A7" s="122"/>
      <c r="B7" s="122"/>
      <c r="C7" s="122"/>
      <c r="D7" s="122"/>
      <c r="E7" s="122"/>
      <c r="F7" s="122"/>
      <c r="G7" s="122"/>
      <c r="H7" s="122"/>
      <c r="I7" s="122"/>
      <c r="J7" s="5" t="s">
        <v>32</v>
      </c>
      <c r="K7" s="5" t="s">
        <v>33</v>
      </c>
      <c r="L7" s="122"/>
      <c r="M7" s="5" t="s">
        <v>32</v>
      </c>
      <c r="N7" s="5" t="s">
        <v>33</v>
      </c>
      <c r="O7" s="122"/>
      <c r="P7" s="5" t="s">
        <v>32</v>
      </c>
      <c r="Q7" s="5" t="s">
        <v>33</v>
      </c>
      <c r="R7" s="122"/>
      <c r="S7" s="5" t="s">
        <v>32</v>
      </c>
      <c r="T7" s="5" t="s">
        <v>33</v>
      </c>
      <c r="U7" s="122"/>
    </row>
    <row r="8" spans="1:35" ht="30" customHeight="1" x14ac:dyDescent="0.25">
      <c r="A8" s="123" t="s">
        <v>36</v>
      </c>
      <c r="B8" s="124"/>
      <c r="C8" s="124"/>
      <c r="D8" s="124"/>
      <c r="E8" s="124"/>
      <c r="F8" s="124"/>
      <c r="G8" s="124"/>
      <c r="H8" s="124"/>
      <c r="I8" s="125"/>
      <c r="J8" s="7"/>
      <c r="K8" s="7"/>
      <c r="L8" s="7"/>
      <c r="M8" s="8">
        <f>SUM(M9,M558)</f>
        <v>3711929.49</v>
      </c>
      <c r="N8" s="8">
        <f>SUM(N9,N558)</f>
        <v>9895753.8200000003</v>
      </c>
      <c r="O8" s="8">
        <f>SUM(O9,O558)</f>
        <v>13607683.310000001</v>
      </c>
      <c r="P8" s="7"/>
      <c r="Q8" s="7"/>
      <c r="R8" s="7"/>
      <c r="S8" s="8">
        <f>SUM(S9,S558)</f>
        <v>3676170.07</v>
      </c>
      <c r="T8" s="8">
        <f>SUM(T9,T558)</f>
        <v>9895753.8200000003</v>
      </c>
      <c r="U8" s="8">
        <f>SUM(U9,U558)</f>
        <v>13571923.890000001</v>
      </c>
      <c r="Y8" s="9">
        <f>SUM(Y9,Y558)</f>
        <v>3063475.11</v>
      </c>
      <c r="Z8" s="9">
        <f>SUM(Z9,Z558)</f>
        <v>8246461.5</v>
      </c>
      <c r="AA8" s="9" t="e">
        <f>SUM(AA9,AA558)</f>
        <v>#VALUE!</v>
      </c>
      <c r="AC8" s="4" t="s">
        <v>37</v>
      </c>
    </row>
    <row r="9" spans="1:35" ht="17.100000000000001" customHeight="1" x14ac:dyDescent="0.25">
      <c r="A9" s="10" t="s">
        <v>38</v>
      </c>
      <c r="B9" s="10" t="s">
        <v>39</v>
      </c>
      <c r="C9" s="116" t="s">
        <v>40</v>
      </c>
      <c r="D9" s="117"/>
      <c r="E9" s="117"/>
      <c r="F9" s="117"/>
      <c r="G9" s="117"/>
      <c r="H9" s="117"/>
      <c r="I9" s="118"/>
      <c r="M9" s="6">
        <f>SUM(M10,M55)</f>
        <v>3413922.79</v>
      </c>
      <c r="N9" s="6">
        <f>SUM(N10,N55)</f>
        <v>9101348.2699999996</v>
      </c>
      <c r="O9" s="6">
        <f>SUM(O10,O55)</f>
        <v>12515271.060000001</v>
      </c>
      <c r="S9" s="6">
        <f>SUM(S10,S55)</f>
        <v>3378163.37</v>
      </c>
      <c r="T9" s="6">
        <f>SUM(T10,T55)</f>
        <v>9101348.2699999996</v>
      </c>
      <c r="U9" s="6">
        <f>SUM(U10,U55)</f>
        <v>12479511.640000001</v>
      </c>
      <c r="Y9" s="9">
        <f>SUM(Y10,Y55)</f>
        <v>2815136.19</v>
      </c>
      <c r="Z9" s="9">
        <f>SUM(Z10,Z55)</f>
        <v>7584456.8700000001</v>
      </c>
      <c r="AA9" s="9" t="e">
        <f>SUM(AA10,AA55)</f>
        <v>#VALUE!</v>
      </c>
      <c r="AD9" s="4">
        <v>264030243</v>
      </c>
      <c r="AE9" s="4">
        <v>16075338</v>
      </c>
    </row>
    <row r="10" spans="1:35" ht="17.100000000000001" customHeight="1" x14ac:dyDescent="0.25">
      <c r="A10" s="10" t="s">
        <v>41</v>
      </c>
      <c r="B10" s="10" t="s">
        <v>42</v>
      </c>
      <c r="C10" s="116" t="s">
        <v>43</v>
      </c>
      <c r="D10" s="117"/>
      <c r="E10" s="117"/>
      <c r="F10" s="117"/>
      <c r="G10" s="117"/>
      <c r="H10" s="117"/>
      <c r="I10" s="118"/>
      <c r="M10" s="6">
        <f t="shared" ref="M10:O11" si="0">SUM(M11)</f>
        <v>554160.79</v>
      </c>
      <c r="N10" s="6">
        <f t="shared" si="0"/>
        <v>861847.08</v>
      </c>
      <c r="O10" s="6">
        <f t="shared" si="0"/>
        <v>1416007.87</v>
      </c>
      <c r="S10" s="6">
        <f t="shared" ref="S10:U11" si="1">SUM(S11)</f>
        <v>554160.79</v>
      </c>
      <c r="T10" s="6">
        <f t="shared" si="1"/>
        <v>861847.08</v>
      </c>
      <c r="U10" s="6">
        <f t="shared" si="1"/>
        <v>1416007.87</v>
      </c>
      <c r="Y10" s="9">
        <f t="shared" ref="Y10:AA11" si="2">SUM(Y11)</f>
        <v>461800.66</v>
      </c>
      <c r="Z10" s="9">
        <f t="shared" si="2"/>
        <v>718205.91</v>
      </c>
      <c r="AA10" s="9">
        <f t="shared" si="2"/>
        <v>1180006.57</v>
      </c>
      <c r="AD10" s="4">
        <v>264030244</v>
      </c>
      <c r="AE10" s="4">
        <v>16084976</v>
      </c>
    </row>
    <row r="11" spans="1:35" ht="17.100000000000001" customHeight="1" x14ac:dyDescent="0.25">
      <c r="A11" s="10" t="s">
        <v>44</v>
      </c>
      <c r="B11" s="10" t="s">
        <v>45</v>
      </c>
      <c r="C11" s="116" t="s">
        <v>46</v>
      </c>
      <c r="D11" s="117"/>
      <c r="E11" s="117"/>
      <c r="F11" s="117"/>
      <c r="G11" s="117"/>
      <c r="H11" s="117"/>
      <c r="I11" s="118"/>
      <c r="M11" s="6">
        <f t="shared" si="0"/>
        <v>554160.79</v>
      </c>
      <c r="N11" s="6">
        <f t="shared" si="0"/>
        <v>861847.08</v>
      </c>
      <c r="O11" s="6">
        <f t="shared" si="0"/>
        <v>1416007.87</v>
      </c>
      <c r="S11" s="6">
        <f t="shared" si="1"/>
        <v>554160.79</v>
      </c>
      <c r="T11" s="6">
        <f t="shared" si="1"/>
        <v>861847.08</v>
      </c>
      <c r="U11" s="6">
        <f t="shared" si="1"/>
        <v>1416007.87</v>
      </c>
      <c r="Y11" s="9">
        <f t="shared" si="2"/>
        <v>461800.66</v>
      </c>
      <c r="Z11" s="9">
        <f t="shared" si="2"/>
        <v>718205.91</v>
      </c>
      <c r="AA11" s="9">
        <f t="shared" si="2"/>
        <v>1180006.57</v>
      </c>
      <c r="AD11" s="4">
        <v>264030245</v>
      </c>
      <c r="AE11" s="4">
        <v>16084973</v>
      </c>
    </row>
    <row r="12" spans="1:35" ht="17.100000000000001" customHeight="1" x14ac:dyDescent="0.25">
      <c r="A12" s="10" t="s">
        <v>47</v>
      </c>
      <c r="B12" s="10" t="s">
        <v>48</v>
      </c>
      <c r="C12" s="116" t="s">
        <v>49</v>
      </c>
      <c r="D12" s="117"/>
      <c r="E12" s="117"/>
      <c r="F12" s="117"/>
      <c r="G12" s="117"/>
      <c r="H12" s="117"/>
      <c r="I12" s="118"/>
      <c r="M12" s="6">
        <f>SUM(M13,M16,M50)</f>
        <v>554160.79</v>
      </c>
      <c r="N12" s="6">
        <f>SUM(N13,N16,N50)</f>
        <v>861847.08</v>
      </c>
      <c r="O12" s="6">
        <f>SUM(O13,O16,O50)</f>
        <v>1416007.87</v>
      </c>
      <c r="S12" s="6">
        <f>SUM(S13,S16,S50)</f>
        <v>554160.79</v>
      </c>
      <c r="T12" s="6">
        <f>SUM(T13,T16,T50)</f>
        <v>861847.08</v>
      </c>
      <c r="U12" s="6">
        <f>SUM(U13,U16,U50)</f>
        <v>1416007.87</v>
      </c>
      <c r="Y12" s="9">
        <f>SUM(Y13,Y16,Y50)</f>
        <v>461800.66</v>
      </c>
      <c r="Z12" s="9">
        <f>SUM(Z13,Z16,Z50)</f>
        <v>718205.91</v>
      </c>
      <c r="AA12" s="9">
        <f>SUM(AA13,AA16,AA50)</f>
        <v>1180006.57</v>
      </c>
      <c r="AD12" s="4">
        <v>264030246</v>
      </c>
      <c r="AE12" s="4">
        <v>16084971</v>
      </c>
    </row>
    <row r="13" spans="1:35" ht="17.100000000000001" customHeight="1" x14ac:dyDescent="0.25">
      <c r="A13" s="11" t="s">
        <v>50</v>
      </c>
      <c r="B13" s="11" t="s">
        <v>51</v>
      </c>
      <c r="C13" s="113" t="s">
        <v>52</v>
      </c>
      <c r="D13" s="114"/>
      <c r="E13" s="114"/>
      <c r="F13" s="114"/>
      <c r="G13" s="114"/>
      <c r="H13" s="114"/>
      <c r="I13" s="115"/>
      <c r="J13" s="12"/>
      <c r="K13" s="12"/>
      <c r="L13" s="12"/>
      <c r="M13" s="13">
        <f>SUM(M14)</f>
        <v>0</v>
      </c>
      <c r="N13" s="13">
        <f>SUM(N14)</f>
        <v>282000</v>
      </c>
      <c r="O13" s="13">
        <f>SUM(O14)</f>
        <v>282000</v>
      </c>
      <c r="P13" s="12"/>
      <c r="Q13" s="12"/>
      <c r="R13" s="12"/>
      <c r="S13" s="13">
        <f>SUM(S14)</f>
        <v>0</v>
      </c>
      <c r="T13" s="13">
        <f>SUM(T14)</f>
        <v>282000</v>
      </c>
      <c r="U13" s="13">
        <f>SUM(U14)</f>
        <v>282000</v>
      </c>
      <c r="Y13" s="9">
        <f>SUM(Y14)</f>
        <v>0</v>
      </c>
      <c r="Z13" s="9">
        <f>SUM(Z14)</f>
        <v>235000</v>
      </c>
      <c r="AA13" s="9">
        <f>SUM(AA14)</f>
        <v>235000</v>
      </c>
      <c r="AD13" s="4">
        <v>264030247</v>
      </c>
      <c r="AE13" s="4">
        <v>19923875</v>
      </c>
    </row>
    <row r="14" spans="1:35" ht="37.5" x14ac:dyDescent="0.25">
      <c r="A14" s="11" t="s">
        <v>53</v>
      </c>
      <c r="B14" s="11" t="s">
        <v>54</v>
      </c>
      <c r="C14" s="20" t="s">
        <v>55</v>
      </c>
      <c r="D14" s="21"/>
      <c r="E14" s="21"/>
      <c r="F14" s="21" t="s">
        <v>56</v>
      </c>
      <c r="G14" s="22">
        <v>1</v>
      </c>
      <c r="H14" s="21"/>
      <c r="I14" s="22">
        <v>752</v>
      </c>
      <c r="J14" s="23">
        <f>IFERROR(ROUND(SUM(M15)/I14, 2),0)</f>
        <v>0</v>
      </c>
      <c r="K14" s="23">
        <v>375</v>
      </c>
      <c r="L14" s="23">
        <f>J14+ROUND(K14, 2)</f>
        <v>375</v>
      </c>
      <c r="M14" s="23">
        <f>ROUND(J14*I14, 2)</f>
        <v>0</v>
      </c>
      <c r="N14" s="23">
        <f>ROUND(I14*ROUND(K14, 2), 2)</f>
        <v>282000</v>
      </c>
      <c r="O14" s="23">
        <f>M14+N14</f>
        <v>282000</v>
      </c>
      <c r="P14" s="23">
        <f>IFERROR(ROUND(SUM(S15)/I14, 2),0)</f>
        <v>0</v>
      </c>
      <c r="Q14" s="23">
        <v>375</v>
      </c>
      <c r="R14" s="23">
        <f>P14+ROUND(Q14, 2)</f>
        <v>375</v>
      </c>
      <c r="S14" s="23">
        <f>ROUND(P14*I14, 2)</f>
        <v>0</v>
      </c>
      <c r="T14" s="23">
        <f>ROUND(I14*ROUND(Q14, 2), 2)</f>
        <v>282000</v>
      </c>
      <c r="U14" s="23">
        <f>S14+T14</f>
        <v>282000</v>
      </c>
      <c r="V14" s="9">
        <f>ROUND(P14 / 1.2, 2)</f>
        <v>0</v>
      </c>
      <c r="W14" s="9">
        <f>ROUND(Q14 / 1.2, 2)</f>
        <v>312.5</v>
      </c>
      <c r="X14" s="9">
        <f>ROUND(R14 / 1.2, 2)</f>
        <v>312.5</v>
      </c>
      <c r="Y14" s="9">
        <f>ROUND(S14 / 1.2, 2)</f>
        <v>0</v>
      </c>
      <c r="Z14" s="9">
        <f>ROUND(T14 / 1.2, 2)</f>
        <v>235000</v>
      </c>
      <c r="AA14" s="9">
        <f>Y14+Z14</f>
        <v>235000</v>
      </c>
      <c r="AD14" s="4">
        <v>264030249</v>
      </c>
      <c r="AE14" s="4">
        <v>19923873</v>
      </c>
      <c r="AG14" s="4" t="s">
        <v>57</v>
      </c>
      <c r="AH14" s="4" t="s">
        <v>58</v>
      </c>
      <c r="AI14" s="4" t="s">
        <v>59</v>
      </c>
    </row>
    <row r="15" spans="1:35" ht="18.75" x14ac:dyDescent="0.25">
      <c r="A15" s="11" t="s">
        <v>60</v>
      </c>
      <c r="B15" s="11"/>
      <c r="C15" s="31" t="s">
        <v>61</v>
      </c>
      <c r="D15" s="21"/>
      <c r="E15" s="21"/>
      <c r="F15" s="32" t="s">
        <v>62</v>
      </c>
      <c r="G15" s="33">
        <v>1</v>
      </c>
      <c r="H15" s="21"/>
      <c r="I15" s="34">
        <v>752</v>
      </c>
      <c r="J15" s="35">
        <v>0</v>
      </c>
      <c r="K15" s="12"/>
      <c r="L15" s="12"/>
      <c r="M15" s="35">
        <f>ROUND(ROUND(J15, 2)*I15, 2)</f>
        <v>0</v>
      </c>
      <c r="N15" s="12"/>
      <c r="O15" s="12"/>
      <c r="P15" s="35">
        <v>0</v>
      </c>
      <c r="Q15" s="12"/>
      <c r="R15" s="12"/>
      <c r="S15" s="35">
        <f>ROUND(ROUND(P15, 2)*I15, 2)</f>
        <v>0</v>
      </c>
      <c r="T15" s="12"/>
      <c r="U15" s="36"/>
      <c r="V15" s="9">
        <f>ROUND(ROUND(P15, 2)/1.2, 2)</f>
        <v>0</v>
      </c>
      <c r="Y15" s="9">
        <f>ROUND(S15 / 1.2, 2)</f>
        <v>0</v>
      </c>
      <c r="AD15" s="4" t="s">
        <v>63</v>
      </c>
      <c r="AE15" s="4" t="s">
        <v>64</v>
      </c>
      <c r="AF15" s="4" t="s">
        <v>65</v>
      </c>
    </row>
    <row r="16" spans="1:35" ht="17.100000000000001" customHeight="1" x14ac:dyDescent="0.25">
      <c r="A16" s="10" t="s">
        <v>66</v>
      </c>
      <c r="B16" s="10" t="s">
        <v>67</v>
      </c>
      <c r="C16" s="116" t="s">
        <v>68</v>
      </c>
      <c r="D16" s="117"/>
      <c r="E16" s="117"/>
      <c r="F16" s="117"/>
      <c r="G16" s="117"/>
      <c r="H16" s="117"/>
      <c r="I16" s="118"/>
      <c r="M16" s="6">
        <f>SUM(M17,M24)</f>
        <v>150521.32999999999</v>
      </c>
      <c r="N16" s="6">
        <f>SUM(N17,N24)</f>
        <v>291991.67999999999</v>
      </c>
      <c r="O16" s="6">
        <f>SUM(O17,O24)</f>
        <v>442513.01</v>
      </c>
      <c r="S16" s="6">
        <f>SUM(S17,S24)</f>
        <v>150521.32999999999</v>
      </c>
      <c r="T16" s="6">
        <f>SUM(T17,T24)</f>
        <v>291991.67999999999</v>
      </c>
      <c r="U16" s="6">
        <f>SUM(U17,U24)</f>
        <v>442513.01</v>
      </c>
      <c r="Y16" s="9">
        <f>SUM(Y17,Y24)</f>
        <v>125434.44</v>
      </c>
      <c r="Z16" s="9">
        <f>SUM(Z17,Z24)</f>
        <v>243326.41</v>
      </c>
      <c r="AA16" s="9">
        <f>SUM(AA17,AA24)</f>
        <v>368760.85</v>
      </c>
      <c r="AD16" s="4">
        <v>264030250</v>
      </c>
      <c r="AE16" s="4">
        <v>16084974</v>
      </c>
    </row>
    <row r="17" spans="1:35" ht="17.100000000000001" customHeight="1" x14ac:dyDescent="0.25">
      <c r="A17" s="11" t="s">
        <v>69</v>
      </c>
      <c r="B17" s="11" t="s">
        <v>70</v>
      </c>
      <c r="C17" s="113" t="s">
        <v>71</v>
      </c>
      <c r="D17" s="114"/>
      <c r="E17" s="114"/>
      <c r="F17" s="114"/>
      <c r="G17" s="114"/>
      <c r="H17" s="114"/>
      <c r="I17" s="115"/>
      <c r="J17" s="12"/>
      <c r="K17" s="12"/>
      <c r="L17" s="12"/>
      <c r="M17" s="13">
        <f>SUM(M18)</f>
        <v>24326.95</v>
      </c>
      <c r="N17" s="13">
        <f>SUM(N18)</f>
        <v>26118.33</v>
      </c>
      <c r="O17" s="13">
        <f>SUM(O18)</f>
        <v>50445.279999999999</v>
      </c>
      <c r="P17" s="12"/>
      <c r="Q17" s="12"/>
      <c r="R17" s="12"/>
      <c r="S17" s="13">
        <f>SUM(S18)</f>
        <v>24326.95</v>
      </c>
      <c r="T17" s="13">
        <f>SUM(T18)</f>
        <v>26118.33</v>
      </c>
      <c r="U17" s="13">
        <f>SUM(U18)</f>
        <v>50445.279999999999</v>
      </c>
      <c r="Y17" s="9">
        <f>SUM(Y18)</f>
        <v>20272.46</v>
      </c>
      <c r="Z17" s="9">
        <f>SUM(Z18)</f>
        <v>21765.279999999999</v>
      </c>
      <c r="AA17" s="9">
        <f>SUM(AA18)</f>
        <v>42037.74</v>
      </c>
      <c r="AD17" s="4">
        <v>264030251</v>
      </c>
      <c r="AE17" s="4">
        <v>18539951</v>
      </c>
    </row>
    <row r="18" spans="1:35" ht="75" x14ac:dyDescent="0.25">
      <c r="A18" s="11" t="s">
        <v>72</v>
      </c>
      <c r="B18" s="11" t="s">
        <v>73</v>
      </c>
      <c r="C18" s="20" t="s">
        <v>74</v>
      </c>
      <c r="D18" s="21" t="s">
        <v>75</v>
      </c>
      <c r="E18" s="21" t="s">
        <v>76</v>
      </c>
      <c r="F18" s="21" t="s">
        <v>56</v>
      </c>
      <c r="G18" s="22">
        <v>1</v>
      </c>
      <c r="H18" s="21"/>
      <c r="I18" s="22">
        <v>13.47</v>
      </c>
      <c r="J18" s="23">
        <f>IFERROR(ROUND(SUM(M19,M20,M21,M22,M23)/I18, 2),0)</f>
        <v>1806.01</v>
      </c>
      <c r="K18" s="23">
        <v>1939</v>
      </c>
      <c r="L18" s="23">
        <f>J18+ROUND(K18, 2)</f>
        <v>3745.01</v>
      </c>
      <c r="M18" s="23">
        <f>ROUND(J18*I18, 2)</f>
        <v>24326.95</v>
      </c>
      <c r="N18" s="23">
        <f>ROUND(I18*ROUND(K18, 2), 2)</f>
        <v>26118.33</v>
      </c>
      <c r="O18" s="23">
        <f>M18+N18</f>
        <v>50445.279999999999</v>
      </c>
      <c r="P18" s="23">
        <f>IFERROR(ROUND(SUM(S19,S20,S21,S22,S23)/I18, 2),0)</f>
        <v>1806.01</v>
      </c>
      <c r="Q18" s="23">
        <v>1939</v>
      </c>
      <c r="R18" s="23">
        <f>P18+ROUND(Q18, 2)</f>
        <v>3745.01</v>
      </c>
      <c r="S18" s="23">
        <f>ROUND(P18*I18, 2)</f>
        <v>24326.95</v>
      </c>
      <c r="T18" s="23">
        <f>ROUND(I18*ROUND(Q18, 2), 2)</f>
        <v>26118.33</v>
      </c>
      <c r="U18" s="23">
        <f>S18+T18</f>
        <v>50445.279999999999</v>
      </c>
      <c r="V18" s="9">
        <f>ROUND(P18 / 1.2, 2)</f>
        <v>1505.01</v>
      </c>
      <c r="W18" s="9">
        <f>ROUND(Q18 / 1.2, 2)</f>
        <v>1615.83</v>
      </c>
      <c r="X18" s="9">
        <f>ROUND(R18 / 1.2, 2)</f>
        <v>3120.84</v>
      </c>
      <c r="Y18" s="9">
        <f>ROUND(S18 / 1.2, 2)</f>
        <v>20272.46</v>
      </c>
      <c r="Z18" s="9">
        <f>ROUND(T18 / 1.2, 2)</f>
        <v>21765.279999999999</v>
      </c>
      <c r="AA18" s="9">
        <f>Y18+Z18</f>
        <v>42037.74</v>
      </c>
      <c r="AD18" s="4">
        <v>264030253</v>
      </c>
      <c r="AE18" s="4">
        <v>18539953</v>
      </c>
      <c r="AG18" s="4" t="s">
        <v>77</v>
      </c>
      <c r="AH18" s="4" t="s">
        <v>78</v>
      </c>
      <c r="AI18" s="4" t="s">
        <v>59</v>
      </c>
    </row>
    <row r="19" spans="1:35" ht="18.75" x14ac:dyDescent="0.25">
      <c r="A19" s="11" t="s">
        <v>79</v>
      </c>
      <c r="B19" s="11"/>
      <c r="C19" s="31" t="s">
        <v>80</v>
      </c>
      <c r="D19" s="21"/>
      <c r="E19" s="21"/>
      <c r="F19" s="32" t="s">
        <v>81</v>
      </c>
      <c r="G19" s="33">
        <v>44.85</v>
      </c>
      <c r="H19" s="21"/>
      <c r="I19" s="33">
        <v>604.13</v>
      </c>
      <c r="J19" s="35">
        <v>6.27</v>
      </c>
      <c r="K19" s="12"/>
      <c r="L19" s="12"/>
      <c r="M19" s="35">
        <f>ROUND(ROUND(J19, 2)*I19, 2)</f>
        <v>3787.9</v>
      </c>
      <c r="N19" s="12"/>
      <c r="O19" s="12"/>
      <c r="P19" s="35">
        <v>6.27</v>
      </c>
      <c r="Q19" s="12"/>
      <c r="R19" s="12"/>
      <c r="S19" s="35">
        <f>ROUND(ROUND(P19, 2)*I19, 2)</f>
        <v>3787.9</v>
      </c>
      <c r="T19" s="12"/>
      <c r="U19" s="36"/>
      <c r="V19" s="9">
        <f>ROUND(ROUND(P19, 2)/1.2, 2)</f>
        <v>5.23</v>
      </c>
      <c r="Y19" s="9">
        <f>ROUND(S19 / 1.2, 2)</f>
        <v>3156.58</v>
      </c>
      <c r="AD19" s="4" t="s">
        <v>82</v>
      </c>
      <c r="AE19" s="4" t="s">
        <v>83</v>
      </c>
      <c r="AF19" s="4" t="s">
        <v>84</v>
      </c>
    </row>
    <row r="20" spans="1:35" ht="37.5" x14ac:dyDescent="0.25">
      <c r="A20" s="11" t="s">
        <v>85</v>
      </c>
      <c r="B20" s="11"/>
      <c r="C20" s="31" t="s">
        <v>86</v>
      </c>
      <c r="D20" s="21"/>
      <c r="E20" s="21"/>
      <c r="F20" s="32" t="s">
        <v>87</v>
      </c>
      <c r="G20" s="33">
        <v>1</v>
      </c>
      <c r="H20" s="21"/>
      <c r="I20" s="33">
        <v>13.47</v>
      </c>
      <c r="J20" s="35">
        <v>64.599999999999994</v>
      </c>
      <c r="K20" s="12"/>
      <c r="L20" s="12"/>
      <c r="M20" s="35">
        <f>ROUND(ROUND(J20, 2)*I20, 2)</f>
        <v>870.16</v>
      </c>
      <c r="N20" s="12"/>
      <c r="O20" s="12"/>
      <c r="P20" s="35">
        <v>64.599999999999994</v>
      </c>
      <c r="Q20" s="12"/>
      <c r="R20" s="12"/>
      <c r="S20" s="35">
        <f>ROUND(ROUND(P20, 2)*I20, 2)</f>
        <v>870.16</v>
      </c>
      <c r="T20" s="12"/>
      <c r="U20" s="36"/>
      <c r="V20" s="9">
        <f>ROUND(ROUND(P20, 2)/1.2, 2)</f>
        <v>53.83</v>
      </c>
      <c r="Y20" s="9">
        <f>ROUND(S20 / 1.2, 2)</f>
        <v>725.13</v>
      </c>
      <c r="AD20" s="4" t="s">
        <v>88</v>
      </c>
      <c r="AE20" s="4" t="s">
        <v>89</v>
      </c>
      <c r="AF20" s="4" t="s">
        <v>90</v>
      </c>
    </row>
    <row r="21" spans="1:35" ht="37.5" x14ac:dyDescent="0.25">
      <c r="A21" s="11" t="s">
        <v>91</v>
      </c>
      <c r="B21" s="11"/>
      <c r="C21" s="31" t="s">
        <v>92</v>
      </c>
      <c r="D21" s="21"/>
      <c r="E21" s="21"/>
      <c r="F21" s="32" t="s">
        <v>87</v>
      </c>
      <c r="G21" s="33">
        <v>1</v>
      </c>
      <c r="H21" s="21"/>
      <c r="I21" s="33">
        <v>13.47</v>
      </c>
      <c r="J21" s="35">
        <v>117.04</v>
      </c>
      <c r="K21" s="12"/>
      <c r="L21" s="12"/>
      <c r="M21" s="35">
        <f>ROUND(ROUND(J21, 2)*I21, 2)</f>
        <v>1576.53</v>
      </c>
      <c r="N21" s="12"/>
      <c r="O21" s="12"/>
      <c r="P21" s="35">
        <v>117.04</v>
      </c>
      <c r="Q21" s="12"/>
      <c r="R21" s="12"/>
      <c r="S21" s="35">
        <f>ROUND(ROUND(P21, 2)*I21, 2)</f>
        <v>1576.53</v>
      </c>
      <c r="T21" s="12"/>
      <c r="U21" s="36"/>
      <c r="V21" s="9">
        <f>ROUND(ROUND(P21, 2)/1.2, 2)</f>
        <v>97.53</v>
      </c>
      <c r="Y21" s="9">
        <f>ROUND(S21 / 1.2, 2)</f>
        <v>1313.78</v>
      </c>
      <c r="AD21" s="4" t="s">
        <v>93</v>
      </c>
      <c r="AE21" s="4" t="s">
        <v>94</v>
      </c>
      <c r="AF21" s="4" t="s">
        <v>95</v>
      </c>
    </row>
    <row r="22" spans="1:35" ht="18.75" x14ac:dyDescent="0.25">
      <c r="A22" s="11" t="s">
        <v>96</v>
      </c>
      <c r="B22" s="11"/>
      <c r="C22" s="31" t="s">
        <v>97</v>
      </c>
      <c r="D22" s="21"/>
      <c r="E22" s="21"/>
      <c r="F22" s="32" t="s">
        <v>56</v>
      </c>
      <c r="G22" s="33">
        <v>0.504</v>
      </c>
      <c r="H22" s="21"/>
      <c r="I22" s="33">
        <v>6.7889999999999997</v>
      </c>
      <c r="J22" s="35">
        <v>265</v>
      </c>
      <c r="K22" s="12"/>
      <c r="L22" s="12"/>
      <c r="M22" s="35">
        <f>ROUND(ROUND(J22, 2)*I22, 2)</f>
        <v>1799.09</v>
      </c>
      <c r="N22" s="12"/>
      <c r="O22" s="12"/>
      <c r="P22" s="35">
        <v>265</v>
      </c>
      <c r="Q22" s="12"/>
      <c r="R22" s="12"/>
      <c r="S22" s="35">
        <f>ROUND(ROUND(P22, 2)*I22, 2)</f>
        <v>1799.09</v>
      </c>
      <c r="T22" s="12"/>
      <c r="U22" s="36"/>
      <c r="V22" s="9">
        <f>ROUND(ROUND(P22, 2)/1.2, 2)</f>
        <v>220.83</v>
      </c>
      <c r="Y22" s="9">
        <f>ROUND(S22 / 1.2, 2)</f>
        <v>1499.24</v>
      </c>
      <c r="AD22" s="4" t="s">
        <v>98</v>
      </c>
      <c r="AE22" s="4" t="s">
        <v>99</v>
      </c>
      <c r="AF22" s="4" t="s">
        <v>100</v>
      </c>
    </row>
    <row r="23" spans="1:35" ht="18.75" x14ac:dyDescent="0.25">
      <c r="A23" s="11" t="s">
        <v>101</v>
      </c>
      <c r="B23" s="11"/>
      <c r="C23" s="31" t="s">
        <v>102</v>
      </c>
      <c r="D23" s="21"/>
      <c r="E23" s="21"/>
      <c r="F23" s="32" t="s">
        <v>103</v>
      </c>
      <c r="G23" s="33">
        <v>50.4</v>
      </c>
      <c r="H23" s="21"/>
      <c r="I23" s="33">
        <v>678.88800000000003</v>
      </c>
      <c r="J23" s="35">
        <v>24</v>
      </c>
      <c r="K23" s="12"/>
      <c r="L23" s="12"/>
      <c r="M23" s="35">
        <f>ROUND(ROUND(J23, 2)*I23, 2)</f>
        <v>16293.31</v>
      </c>
      <c r="N23" s="12"/>
      <c r="O23" s="12"/>
      <c r="P23" s="35">
        <v>24</v>
      </c>
      <c r="Q23" s="12"/>
      <c r="R23" s="12"/>
      <c r="S23" s="35">
        <f>ROUND(ROUND(P23, 2)*I23, 2)</f>
        <v>16293.31</v>
      </c>
      <c r="T23" s="12"/>
      <c r="U23" s="36"/>
      <c r="V23" s="9">
        <f>ROUND(ROUND(P23, 2)/1.2, 2)</f>
        <v>20</v>
      </c>
      <c r="Y23" s="9">
        <f>ROUND(S23 / 1.2, 2)</f>
        <v>13577.76</v>
      </c>
      <c r="AD23" s="4" t="s">
        <v>104</v>
      </c>
      <c r="AE23" s="4" t="s">
        <v>105</v>
      </c>
      <c r="AF23" s="4" t="s">
        <v>106</v>
      </c>
    </row>
    <row r="24" spans="1:35" ht="17.100000000000001" customHeight="1" x14ac:dyDescent="0.25">
      <c r="A24" s="10" t="s">
        <v>107</v>
      </c>
      <c r="B24" s="10" t="s">
        <v>108</v>
      </c>
      <c r="C24" s="116" t="s">
        <v>109</v>
      </c>
      <c r="D24" s="117"/>
      <c r="E24" s="117"/>
      <c r="F24" s="117"/>
      <c r="G24" s="117"/>
      <c r="H24" s="117"/>
      <c r="I24" s="118"/>
      <c r="M24" s="6">
        <f>SUM(M25,M30,M35,M40)</f>
        <v>126194.38</v>
      </c>
      <c r="N24" s="6">
        <f>SUM(N25,N30,N35,N40)</f>
        <v>265873.34999999998</v>
      </c>
      <c r="O24" s="6">
        <f>SUM(O25,O30,O35,O40)</f>
        <v>392067.73</v>
      </c>
      <c r="S24" s="6">
        <f>SUM(S25,S30,S35,S40)</f>
        <v>126194.38</v>
      </c>
      <c r="T24" s="6">
        <f>SUM(T25,T30,T35,T40)</f>
        <v>265873.34999999998</v>
      </c>
      <c r="U24" s="6">
        <f>SUM(U25,U30,U35,U40)</f>
        <v>392067.73</v>
      </c>
      <c r="Y24" s="9">
        <f>SUM(Y25,Y30,Y35,Y40)</f>
        <v>105161.98</v>
      </c>
      <c r="Z24" s="9">
        <f>SUM(Z25,Z30,Z35,Z40)</f>
        <v>221561.13</v>
      </c>
      <c r="AA24" s="9">
        <f>SUM(AA25,AA30,AA35,AA40)</f>
        <v>326723.11</v>
      </c>
      <c r="AD24" s="4">
        <v>264030254</v>
      </c>
      <c r="AE24" s="4">
        <v>16084972</v>
      </c>
    </row>
    <row r="25" spans="1:35" ht="37.5" x14ac:dyDescent="0.25">
      <c r="A25" s="11" t="s">
        <v>110</v>
      </c>
      <c r="B25" s="11" t="s">
        <v>111</v>
      </c>
      <c r="C25" s="20" t="s">
        <v>112</v>
      </c>
      <c r="D25" s="21"/>
      <c r="E25" s="21" t="s">
        <v>113</v>
      </c>
      <c r="F25" s="21" t="s">
        <v>56</v>
      </c>
      <c r="G25" s="22">
        <v>1</v>
      </c>
      <c r="H25" s="21"/>
      <c r="I25" s="22">
        <v>76.67</v>
      </c>
      <c r="J25" s="23">
        <f>IFERROR(ROUND(SUM(M26,M27,M28,M29)/I25, 2),0)</f>
        <v>1018.25</v>
      </c>
      <c r="K25" s="23">
        <v>2293</v>
      </c>
      <c r="L25" s="23">
        <f>J25+ROUND(K25, 2)</f>
        <v>3311.25</v>
      </c>
      <c r="M25" s="23">
        <f>ROUND(J25*I25, 2)</f>
        <v>78069.23</v>
      </c>
      <c r="N25" s="23">
        <f>ROUND(I25*ROUND(K25, 2), 2)</f>
        <v>175804.31</v>
      </c>
      <c r="O25" s="23">
        <f>M25+N25</f>
        <v>253873.54</v>
      </c>
      <c r="P25" s="23">
        <f>IFERROR(ROUND(SUM(S26,S27,S28,S29)/I25, 2),0)</f>
        <v>1018.25</v>
      </c>
      <c r="Q25" s="23">
        <v>2293</v>
      </c>
      <c r="R25" s="23">
        <f>P25+ROUND(Q25, 2)</f>
        <v>3311.25</v>
      </c>
      <c r="S25" s="23">
        <f>ROUND(P25*I25, 2)</f>
        <v>78069.23</v>
      </c>
      <c r="T25" s="23">
        <f>ROUND(I25*ROUND(Q25, 2), 2)</f>
        <v>175804.31</v>
      </c>
      <c r="U25" s="23">
        <f>S25+T25</f>
        <v>253873.54</v>
      </c>
      <c r="V25" s="9">
        <f>ROUND(P25 / 1.2, 2)</f>
        <v>848.54</v>
      </c>
      <c r="W25" s="9">
        <f>ROUND(Q25 / 1.2, 2)</f>
        <v>1910.83</v>
      </c>
      <c r="X25" s="9">
        <f>ROUND(R25 / 1.2, 2)</f>
        <v>2759.38</v>
      </c>
      <c r="Y25" s="9">
        <f>ROUND(S25 / 1.2, 2)</f>
        <v>65057.69</v>
      </c>
      <c r="Z25" s="9">
        <f>ROUND(T25 / 1.2, 2)</f>
        <v>146503.59</v>
      </c>
      <c r="AA25" s="9">
        <f>Y25+Z25</f>
        <v>211561.28</v>
      </c>
      <c r="AD25" s="4">
        <v>264030256</v>
      </c>
      <c r="AE25" s="4">
        <v>18541173</v>
      </c>
      <c r="AG25" s="4" t="s">
        <v>114</v>
      </c>
      <c r="AH25" s="4" t="s">
        <v>115</v>
      </c>
      <c r="AI25" s="4" t="s">
        <v>59</v>
      </c>
    </row>
    <row r="26" spans="1:35" ht="75" x14ac:dyDescent="0.25">
      <c r="A26" s="11" t="s">
        <v>116</v>
      </c>
      <c r="B26" s="11"/>
      <c r="C26" s="31" t="s">
        <v>117</v>
      </c>
      <c r="D26" s="21"/>
      <c r="E26" s="21"/>
      <c r="F26" s="32" t="s">
        <v>87</v>
      </c>
      <c r="G26" s="33">
        <v>1</v>
      </c>
      <c r="H26" s="21"/>
      <c r="I26" s="33">
        <v>76.67</v>
      </c>
      <c r="J26" s="35">
        <v>102.33</v>
      </c>
      <c r="K26" s="12"/>
      <c r="L26" s="12"/>
      <c r="M26" s="35">
        <f>ROUND(ROUND(J26, 2)*I26, 2)</f>
        <v>7845.64</v>
      </c>
      <c r="N26" s="12"/>
      <c r="O26" s="12"/>
      <c r="P26" s="35">
        <v>102.33</v>
      </c>
      <c r="Q26" s="12"/>
      <c r="R26" s="12"/>
      <c r="S26" s="35">
        <f>ROUND(ROUND(P26, 2)*I26, 2)</f>
        <v>7845.64</v>
      </c>
      <c r="T26" s="12"/>
      <c r="U26" s="36"/>
      <c r="V26" s="9">
        <f>ROUND(ROUND(P26, 2)/1.2, 2)</f>
        <v>85.28</v>
      </c>
      <c r="Y26" s="9">
        <f t="shared" ref="Y26:Y40" si="3">ROUND(S26 / 1.2, 2)</f>
        <v>6538.03</v>
      </c>
      <c r="AD26" s="4" t="s">
        <v>118</v>
      </c>
      <c r="AE26" s="4" t="s">
        <v>119</v>
      </c>
      <c r="AF26" s="4" t="s">
        <v>120</v>
      </c>
    </row>
    <row r="27" spans="1:35" ht="37.5" x14ac:dyDescent="0.25">
      <c r="A27" s="11" t="s">
        <v>121</v>
      </c>
      <c r="B27" s="11"/>
      <c r="C27" s="31" t="s">
        <v>122</v>
      </c>
      <c r="D27" s="21"/>
      <c r="E27" s="21"/>
      <c r="F27" s="32" t="s">
        <v>123</v>
      </c>
      <c r="G27" s="33">
        <v>1.42</v>
      </c>
      <c r="H27" s="21"/>
      <c r="I27" s="34">
        <v>357.13</v>
      </c>
      <c r="J27" s="35">
        <v>46.7</v>
      </c>
      <c r="K27" s="12"/>
      <c r="L27" s="12"/>
      <c r="M27" s="35">
        <f>ROUND(ROUND(J27, 2)*I27, 2)</f>
        <v>16677.97</v>
      </c>
      <c r="N27" s="12"/>
      <c r="O27" s="12"/>
      <c r="P27" s="35">
        <v>46.7</v>
      </c>
      <c r="Q27" s="12"/>
      <c r="R27" s="12"/>
      <c r="S27" s="35">
        <f>ROUND(ROUND(P27, 2)*I27, 2)</f>
        <v>16677.97</v>
      </c>
      <c r="T27" s="12"/>
      <c r="U27" s="36"/>
      <c r="V27" s="9">
        <f>ROUND(ROUND(P27, 2)/1.2, 2)</f>
        <v>38.92</v>
      </c>
      <c r="Y27" s="9">
        <f t="shared" si="3"/>
        <v>13898.31</v>
      </c>
      <c r="AD27" s="4" t="s">
        <v>124</v>
      </c>
      <c r="AE27" s="4" t="s">
        <v>125</v>
      </c>
      <c r="AF27" s="4" t="s">
        <v>126</v>
      </c>
    </row>
    <row r="28" spans="1:35" ht="37.5" x14ac:dyDescent="0.25">
      <c r="A28" s="11" t="s">
        <v>127</v>
      </c>
      <c r="B28" s="11"/>
      <c r="C28" s="31" t="s">
        <v>128</v>
      </c>
      <c r="D28" s="21"/>
      <c r="E28" s="21" t="s">
        <v>129</v>
      </c>
      <c r="F28" s="32" t="s">
        <v>56</v>
      </c>
      <c r="G28" s="33">
        <v>2.1</v>
      </c>
      <c r="H28" s="21"/>
      <c r="I28" s="33">
        <v>161.00700000000001</v>
      </c>
      <c r="J28" s="35">
        <v>135.53</v>
      </c>
      <c r="K28" s="12"/>
      <c r="L28" s="12"/>
      <c r="M28" s="35">
        <f>ROUND(ROUND(J28, 2)*I28, 2)</f>
        <v>21821.279999999999</v>
      </c>
      <c r="N28" s="12"/>
      <c r="O28" s="12"/>
      <c r="P28" s="35">
        <v>135.53</v>
      </c>
      <c r="Q28" s="12"/>
      <c r="R28" s="12"/>
      <c r="S28" s="35">
        <f>ROUND(ROUND(P28, 2)*I28, 2)</f>
        <v>21821.279999999999</v>
      </c>
      <c r="T28" s="12"/>
      <c r="U28" s="36"/>
      <c r="V28" s="9">
        <f>ROUND(ROUND(P28, 2)/1.2, 2)</f>
        <v>112.94</v>
      </c>
      <c r="Y28" s="9">
        <f t="shared" si="3"/>
        <v>18184.400000000001</v>
      </c>
      <c r="AD28" s="4" t="s">
        <v>130</v>
      </c>
      <c r="AE28" s="4" t="s">
        <v>131</v>
      </c>
      <c r="AF28" s="4" t="s">
        <v>132</v>
      </c>
    </row>
    <row r="29" spans="1:35" ht="18.75" x14ac:dyDescent="0.25">
      <c r="A29" s="11" t="s">
        <v>133</v>
      </c>
      <c r="B29" s="11"/>
      <c r="C29" s="37" t="s">
        <v>134</v>
      </c>
      <c r="D29" s="21"/>
      <c r="E29" s="21"/>
      <c r="F29" s="32" t="s">
        <v>123</v>
      </c>
      <c r="G29" s="33">
        <v>4.07</v>
      </c>
      <c r="H29" s="21"/>
      <c r="I29" s="34">
        <v>447.00799999999998</v>
      </c>
      <c r="J29" s="35">
        <v>70.97</v>
      </c>
      <c r="K29" s="12"/>
      <c r="L29" s="12"/>
      <c r="M29" s="35">
        <f>ROUND(ROUND(J29, 2)*I29, 2)</f>
        <v>31724.16</v>
      </c>
      <c r="N29" s="12"/>
      <c r="O29" s="12"/>
      <c r="P29" s="35">
        <v>70.97</v>
      </c>
      <c r="Q29" s="12"/>
      <c r="R29" s="12"/>
      <c r="S29" s="35">
        <f>ROUND(ROUND(P29, 2)*I29, 2)</f>
        <v>31724.16</v>
      </c>
      <c r="T29" s="12"/>
      <c r="U29" s="36"/>
      <c r="V29" s="9">
        <f>ROUND(ROUND(P29, 2)/1.2, 2)</f>
        <v>59.14</v>
      </c>
      <c r="Y29" s="9">
        <f t="shared" si="3"/>
        <v>26436.799999999999</v>
      </c>
      <c r="AD29" s="4" t="s">
        <v>135</v>
      </c>
      <c r="AE29" s="4" t="s">
        <v>136</v>
      </c>
      <c r="AF29" s="4" t="s">
        <v>137</v>
      </c>
    </row>
    <row r="30" spans="1:35" ht="37.5" x14ac:dyDescent="0.25">
      <c r="A30" s="11" t="s">
        <v>138</v>
      </c>
      <c r="B30" s="11" t="s">
        <v>111</v>
      </c>
      <c r="C30" s="20" t="s">
        <v>112</v>
      </c>
      <c r="D30" s="21"/>
      <c r="E30" s="21" t="s">
        <v>139</v>
      </c>
      <c r="F30" s="21" t="s">
        <v>56</v>
      </c>
      <c r="G30" s="22">
        <v>1</v>
      </c>
      <c r="H30" s="21"/>
      <c r="I30" s="22">
        <v>4.1500000000000004</v>
      </c>
      <c r="J30" s="23">
        <f>IFERROR(ROUND(SUM(M31,M32,M33,M34)/I30, 2),0)</f>
        <v>2931.5</v>
      </c>
      <c r="K30" s="23">
        <v>2293</v>
      </c>
      <c r="L30" s="23">
        <f>J30+ROUND(K30, 2)</f>
        <v>5224.5</v>
      </c>
      <c r="M30" s="23">
        <f>ROUND(J30*I30, 2)</f>
        <v>12165.73</v>
      </c>
      <c r="N30" s="23">
        <f>ROUND(I30*ROUND(K30, 2), 2)</f>
        <v>9515.9500000000007</v>
      </c>
      <c r="O30" s="23">
        <f>M30+N30</f>
        <v>21681.68</v>
      </c>
      <c r="P30" s="23">
        <f>IFERROR(ROUND(SUM(S31,S32,S33,S34)/I30, 2),0)</f>
        <v>2931.5</v>
      </c>
      <c r="Q30" s="23">
        <v>2293</v>
      </c>
      <c r="R30" s="23">
        <f>P30+ROUND(Q30, 2)</f>
        <v>5224.5</v>
      </c>
      <c r="S30" s="23">
        <f>ROUND(P30*I30, 2)</f>
        <v>12165.73</v>
      </c>
      <c r="T30" s="23">
        <f>ROUND(I30*ROUND(Q30, 2), 2)</f>
        <v>9515.9500000000007</v>
      </c>
      <c r="U30" s="23">
        <f>S30+T30</f>
        <v>21681.68</v>
      </c>
      <c r="V30" s="9">
        <f>ROUND(P30 / 1.2, 2)</f>
        <v>2442.92</v>
      </c>
      <c r="W30" s="9">
        <f>ROUND(Q30 / 1.2, 2)</f>
        <v>1910.83</v>
      </c>
      <c r="X30" s="9">
        <f>ROUND(R30 / 1.2, 2)</f>
        <v>4353.75</v>
      </c>
      <c r="Y30" s="9">
        <f t="shared" si="3"/>
        <v>10138.11</v>
      </c>
      <c r="Z30" s="9">
        <f>ROUND(T30 / 1.2, 2)</f>
        <v>7929.96</v>
      </c>
      <c r="AA30" s="9">
        <f>Y30+Z30</f>
        <v>18068.07</v>
      </c>
      <c r="AD30" s="4">
        <v>264030362</v>
      </c>
      <c r="AE30" s="4">
        <v>19932232</v>
      </c>
      <c r="AG30" s="4" t="s">
        <v>114</v>
      </c>
      <c r="AH30" s="4" t="s">
        <v>115</v>
      </c>
      <c r="AI30" s="4" t="s">
        <v>59</v>
      </c>
    </row>
    <row r="31" spans="1:35" ht="18.75" x14ac:dyDescent="0.25">
      <c r="A31" s="11" t="s">
        <v>140</v>
      </c>
      <c r="B31" s="11"/>
      <c r="C31" s="37" t="s">
        <v>134</v>
      </c>
      <c r="D31" s="21"/>
      <c r="E31" s="21"/>
      <c r="F31" s="32" t="s">
        <v>123</v>
      </c>
      <c r="G31" s="33">
        <v>4.07</v>
      </c>
      <c r="H31" s="21"/>
      <c r="I31" s="34">
        <v>138.78700000000001</v>
      </c>
      <c r="J31" s="35">
        <v>70.97</v>
      </c>
      <c r="K31" s="12"/>
      <c r="L31" s="12"/>
      <c r="M31" s="35">
        <f>ROUND(ROUND(J31, 2)*I31, 2)</f>
        <v>9849.7099999999991</v>
      </c>
      <c r="N31" s="12"/>
      <c r="O31" s="12"/>
      <c r="P31" s="35">
        <v>70.97</v>
      </c>
      <c r="Q31" s="12"/>
      <c r="R31" s="12"/>
      <c r="S31" s="35">
        <f>ROUND(ROUND(P31, 2)*I31, 2)</f>
        <v>9849.7099999999991</v>
      </c>
      <c r="T31" s="12"/>
      <c r="U31" s="36"/>
      <c r="V31" s="9">
        <f>ROUND(ROUND(P31, 2)/1.2, 2)</f>
        <v>59.14</v>
      </c>
      <c r="Y31" s="9">
        <f t="shared" si="3"/>
        <v>8208.09</v>
      </c>
      <c r="AD31" s="4" t="s">
        <v>141</v>
      </c>
      <c r="AE31" s="4" t="s">
        <v>142</v>
      </c>
      <c r="AF31" s="4" t="s">
        <v>137</v>
      </c>
    </row>
    <row r="32" spans="1:35" ht="37.5" x14ac:dyDescent="0.25">
      <c r="A32" s="11" t="s">
        <v>143</v>
      </c>
      <c r="B32" s="11"/>
      <c r="C32" s="31" t="s">
        <v>128</v>
      </c>
      <c r="D32" s="21"/>
      <c r="E32" s="21"/>
      <c r="F32" s="32" t="s">
        <v>56</v>
      </c>
      <c r="G32" s="33">
        <v>2.1</v>
      </c>
      <c r="H32" s="21"/>
      <c r="I32" s="33">
        <v>8.7149999999999999</v>
      </c>
      <c r="J32" s="35">
        <v>135.53</v>
      </c>
      <c r="K32" s="12"/>
      <c r="L32" s="12"/>
      <c r="M32" s="35">
        <f>ROUND(ROUND(J32, 2)*I32, 2)</f>
        <v>1181.1400000000001</v>
      </c>
      <c r="N32" s="12"/>
      <c r="O32" s="12"/>
      <c r="P32" s="35">
        <v>135.53</v>
      </c>
      <c r="Q32" s="12"/>
      <c r="R32" s="12"/>
      <c r="S32" s="35">
        <f>ROUND(ROUND(P32, 2)*I32, 2)</f>
        <v>1181.1400000000001</v>
      </c>
      <c r="T32" s="12"/>
      <c r="U32" s="36"/>
      <c r="V32" s="9">
        <f>ROUND(ROUND(P32, 2)/1.2, 2)</f>
        <v>112.94</v>
      </c>
      <c r="Y32" s="9">
        <f t="shared" si="3"/>
        <v>984.28</v>
      </c>
      <c r="AD32" s="4" t="s">
        <v>144</v>
      </c>
      <c r="AE32" s="4" t="s">
        <v>145</v>
      </c>
      <c r="AF32" s="4" t="s">
        <v>132</v>
      </c>
    </row>
    <row r="33" spans="1:35" ht="37.5" x14ac:dyDescent="0.25">
      <c r="A33" s="11" t="s">
        <v>146</v>
      </c>
      <c r="B33" s="11"/>
      <c r="C33" s="31" t="s">
        <v>122</v>
      </c>
      <c r="D33" s="21"/>
      <c r="E33" s="21"/>
      <c r="F33" s="32" t="s">
        <v>123</v>
      </c>
      <c r="G33" s="33">
        <v>1.42</v>
      </c>
      <c r="H33" s="21"/>
      <c r="I33" s="34">
        <v>15.208</v>
      </c>
      <c r="J33" s="35">
        <v>46.7</v>
      </c>
      <c r="K33" s="12"/>
      <c r="L33" s="12"/>
      <c r="M33" s="35">
        <f>ROUND(ROUND(J33, 2)*I33, 2)</f>
        <v>710.21</v>
      </c>
      <c r="N33" s="12"/>
      <c r="O33" s="12"/>
      <c r="P33" s="35">
        <v>46.7</v>
      </c>
      <c r="Q33" s="12"/>
      <c r="R33" s="12"/>
      <c r="S33" s="35">
        <f>ROUND(ROUND(P33, 2)*I33, 2)</f>
        <v>710.21</v>
      </c>
      <c r="T33" s="12"/>
      <c r="U33" s="36"/>
      <c r="V33" s="9">
        <f>ROUND(ROUND(P33, 2)/1.2, 2)</f>
        <v>38.92</v>
      </c>
      <c r="Y33" s="9">
        <f t="shared" si="3"/>
        <v>591.84</v>
      </c>
      <c r="AD33" s="4" t="s">
        <v>147</v>
      </c>
      <c r="AE33" s="4" t="s">
        <v>148</v>
      </c>
      <c r="AF33" s="4" t="s">
        <v>126</v>
      </c>
    </row>
    <row r="34" spans="1:35" ht="75" x14ac:dyDescent="0.25">
      <c r="A34" s="11" t="s">
        <v>149</v>
      </c>
      <c r="B34" s="11"/>
      <c r="C34" s="31" t="s">
        <v>117</v>
      </c>
      <c r="D34" s="21"/>
      <c r="E34" s="21"/>
      <c r="F34" s="32" t="s">
        <v>87</v>
      </c>
      <c r="G34" s="33">
        <v>1</v>
      </c>
      <c r="H34" s="21"/>
      <c r="I34" s="33">
        <v>4.1500000000000004</v>
      </c>
      <c r="J34" s="35">
        <v>102.33</v>
      </c>
      <c r="K34" s="12"/>
      <c r="L34" s="12"/>
      <c r="M34" s="35">
        <f>ROUND(ROUND(J34, 2)*I34, 2)</f>
        <v>424.67</v>
      </c>
      <c r="N34" s="12"/>
      <c r="O34" s="12"/>
      <c r="P34" s="35">
        <v>102.33</v>
      </c>
      <c r="Q34" s="12"/>
      <c r="R34" s="12"/>
      <c r="S34" s="35">
        <f>ROUND(ROUND(P34, 2)*I34, 2)</f>
        <v>424.67</v>
      </c>
      <c r="T34" s="12"/>
      <c r="U34" s="36"/>
      <c r="V34" s="9">
        <f>ROUND(ROUND(P34, 2)/1.2, 2)</f>
        <v>85.28</v>
      </c>
      <c r="Y34" s="9">
        <f t="shared" si="3"/>
        <v>353.89</v>
      </c>
      <c r="AD34" s="4" t="s">
        <v>150</v>
      </c>
      <c r="AE34" s="4" t="s">
        <v>151</v>
      </c>
      <c r="AF34" s="4" t="s">
        <v>120</v>
      </c>
    </row>
    <row r="35" spans="1:35" ht="37.5" x14ac:dyDescent="0.25">
      <c r="A35" s="11" t="s">
        <v>152</v>
      </c>
      <c r="B35" s="11" t="s">
        <v>111</v>
      </c>
      <c r="C35" s="20" t="s">
        <v>112</v>
      </c>
      <c r="D35" s="21"/>
      <c r="E35" s="21" t="s">
        <v>153</v>
      </c>
      <c r="F35" s="21" t="s">
        <v>56</v>
      </c>
      <c r="G35" s="22">
        <v>1</v>
      </c>
      <c r="H35" s="21"/>
      <c r="I35" s="22">
        <v>35.130000000000003</v>
      </c>
      <c r="J35" s="23">
        <f>IFERROR(ROUND(SUM(M36,M37,M38,M39)/I35, 2),0)</f>
        <v>1023.61</v>
      </c>
      <c r="K35" s="23">
        <v>2293</v>
      </c>
      <c r="L35" s="23">
        <f>J35+ROUND(K35, 2)</f>
        <v>3316.61</v>
      </c>
      <c r="M35" s="23">
        <f>ROUND(J35*I35, 2)</f>
        <v>35959.42</v>
      </c>
      <c r="N35" s="23">
        <f>ROUND(I35*ROUND(K35, 2), 2)</f>
        <v>80553.09</v>
      </c>
      <c r="O35" s="23">
        <f>M35+N35</f>
        <v>116512.51</v>
      </c>
      <c r="P35" s="23">
        <f>IFERROR(ROUND(SUM(S36,S37,S38,S39)/I35, 2),0)</f>
        <v>1023.61</v>
      </c>
      <c r="Q35" s="23">
        <v>2293</v>
      </c>
      <c r="R35" s="23">
        <f>P35+ROUND(Q35, 2)</f>
        <v>3316.61</v>
      </c>
      <c r="S35" s="23">
        <f>ROUND(P35*I35, 2)</f>
        <v>35959.42</v>
      </c>
      <c r="T35" s="23">
        <f>ROUND(I35*ROUND(Q35, 2), 2)</f>
        <v>80553.09</v>
      </c>
      <c r="U35" s="23">
        <f>S35+T35</f>
        <v>116512.51</v>
      </c>
      <c r="V35" s="9">
        <f>ROUND(P35 / 1.2, 2)</f>
        <v>853.01</v>
      </c>
      <c r="W35" s="9">
        <f>ROUND(Q35 / 1.2, 2)</f>
        <v>1910.83</v>
      </c>
      <c r="X35" s="9">
        <f>ROUND(R35 / 1.2, 2)</f>
        <v>2763.84</v>
      </c>
      <c r="Y35" s="9">
        <f t="shared" si="3"/>
        <v>29966.18</v>
      </c>
      <c r="Z35" s="9">
        <f>ROUND(T35 / 1.2, 2)</f>
        <v>67127.58</v>
      </c>
      <c r="AA35" s="9">
        <f>Y35+Z35</f>
        <v>97093.759999999995</v>
      </c>
      <c r="AD35" s="4">
        <v>264030363</v>
      </c>
      <c r="AE35" s="4">
        <v>19932231</v>
      </c>
      <c r="AG35" s="4" t="s">
        <v>114</v>
      </c>
      <c r="AH35" s="4" t="s">
        <v>115</v>
      </c>
      <c r="AI35" s="4" t="s">
        <v>59</v>
      </c>
    </row>
    <row r="36" spans="1:35" ht="75" x14ac:dyDescent="0.25">
      <c r="A36" s="11" t="s">
        <v>154</v>
      </c>
      <c r="B36" s="11"/>
      <c r="C36" s="31" t="s">
        <v>117</v>
      </c>
      <c r="D36" s="21"/>
      <c r="E36" s="21"/>
      <c r="F36" s="32" t="s">
        <v>87</v>
      </c>
      <c r="G36" s="33">
        <v>1</v>
      </c>
      <c r="H36" s="21"/>
      <c r="I36" s="33">
        <v>35.130000000000003</v>
      </c>
      <c r="J36" s="35">
        <v>102.33</v>
      </c>
      <c r="K36" s="12"/>
      <c r="L36" s="12"/>
      <c r="M36" s="35">
        <f>ROUND(ROUND(J36, 2)*I36, 2)</f>
        <v>3594.85</v>
      </c>
      <c r="N36" s="12"/>
      <c r="O36" s="12"/>
      <c r="P36" s="35">
        <v>102.33</v>
      </c>
      <c r="Q36" s="12"/>
      <c r="R36" s="12"/>
      <c r="S36" s="35">
        <f>ROUND(ROUND(P36, 2)*I36, 2)</f>
        <v>3594.85</v>
      </c>
      <c r="T36" s="12"/>
      <c r="U36" s="36"/>
      <c r="V36" s="9">
        <f>ROUND(ROUND(P36, 2)/1.2, 2)</f>
        <v>85.28</v>
      </c>
      <c r="Y36" s="9">
        <f t="shared" si="3"/>
        <v>2995.71</v>
      </c>
      <c r="AD36" s="4" t="s">
        <v>155</v>
      </c>
      <c r="AE36" s="4" t="s">
        <v>156</v>
      </c>
      <c r="AF36" s="4" t="s">
        <v>120</v>
      </c>
    </row>
    <row r="37" spans="1:35" ht="37.5" x14ac:dyDescent="0.25">
      <c r="A37" s="11" t="s">
        <v>157</v>
      </c>
      <c r="B37" s="11"/>
      <c r="C37" s="31" t="s">
        <v>128</v>
      </c>
      <c r="D37" s="21"/>
      <c r="E37" s="21"/>
      <c r="F37" s="32" t="s">
        <v>56</v>
      </c>
      <c r="G37" s="33">
        <v>2.1</v>
      </c>
      <c r="H37" s="21"/>
      <c r="I37" s="33">
        <v>73.772999999999996</v>
      </c>
      <c r="J37" s="35">
        <v>135.53</v>
      </c>
      <c r="K37" s="12"/>
      <c r="L37" s="12"/>
      <c r="M37" s="35">
        <f>ROUND(ROUND(J37, 2)*I37, 2)</f>
        <v>9998.4500000000007</v>
      </c>
      <c r="N37" s="12"/>
      <c r="O37" s="12"/>
      <c r="P37" s="35">
        <v>135.53</v>
      </c>
      <c r="Q37" s="12"/>
      <c r="R37" s="12"/>
      <c r="S37" s="35">
        <f>ROUND(ROUND(P37, 2)*I37, 2)</f>
        <v>9998.4500000000007</v>
      </c>
      <c r="T37" s="12"/>
      <c r="U37" s="36"/>
      <c r="V37" s="9">
        <f>ROUND(ROUND(P37, 2)/1.2, 2)</f>
        <v>112.94</v>
      </c>
      <c r="Y37" s="9">
        <f t="shared" si="3"/>
        <v>8332.0400000000009</v>
      </c>
      <c r="AD37" s="4" t="s">
        <v>158</v>
      </c>
      <c r="AE37" s="4" t="s">
        <v>159</v>
      </c>
      <c r="AF37" s="4" t="s">
        <v>132</v>
      </c>
    </row>
    <row r="38" spans="1:35" ht="18.75" x14ac:dyDescent="0.25">
      <c r="A38" s="11" t="s">
        <v>160</v>
      </c>
      <c r="B38" s="11"/>
      <c r="C38" s="37" t="s">
        <v>134</v>
      </c>
      <c r="D38" s="21"/>
      <c r="E38" s="21"/>
      <c r="F38" s="32" t="s">
        <v>123</v>
      </c>
      <c r="G38" s="33">
        <v>4.07</v>
      </c>
      <c r="H38" s="21"/>
      <c r="I38" s="34">
        <v>190.476</v>
      </c>
      <c r="J38" s="35">
        <v>70.97</v>
      </c>
      <c r="K38" s="12"/>
      <c r="L38" s="12"/>
      <c r="M38" s="35">
        <f>ROUND(ROUND(J38, 2)*I38, 2)</f>
        <v>13518.08</v>
      </c>
      <c r="N38" s="12"/>
      <c r="O38" s="12"/>
      <c r="P38" s="35">
        <v>70.97</v>
      </c>
      <c r="Q38" s="12"/>
      <c r="R38" s="12"/>
      <c r="S38" s="35">
        <f>ROUND(ROUND(P38, 2)*I38, 2)</f>
        <v>13518.08</v>
      </c>
      <c r="T38" s="12"/>
      <c r="U38" s="36"/>
      <c r="V38" s="9">
        <f>ROUND(ROUND(P38, 2)/1.2, 2)</f>
        <v>59.14</v>
      </c>
      <c r="Y38" s="9">
        <f t="shared" si="3"/>
        <v>11265.07</v>
      </c>
      <c r="AD38" s="4" t="s">
        <v>161</v>
      </c>
      <c r="AE38" s="4" t="s">
        <v>162</v>
      </c>
      <c r="AF38" s="4" t="s">
        <v>137</v>
      </c>
    </row>
    <row r="39" spans="1:35" ht="18.75" x14ac:dyDescent="0.25">
      <c r="A39" s="11" t="s">
        <v>163</v>
      </c>
      <c r="B39" s="11"/>
      <c r="C39" s="37" t="s">
        <v>164</v>
      </c>
      <c r="D39" s="21"/>
      <c r="E39" s="21"/>
      <c r="F39" s="32" t="s">
        <v>123</v>
      </c>
      <c r="G39" s="33">
        <v>1.42</v>
      </c>
      <c r="H39" s="21"/>
      <c r="I39" s="34">
        <v>155.88800000000001</v>
      </c>
      <c r="J39" s="35">
        <v>56.76</v>
      </c>
      <c r="K39" s="12"/>
      <c r="L39" s="12"/>
      <c r="M39" s="35">
        <f>ROUND(ROUND(J39, 2)*I39, 2)</f>
        <v>8848.2000000000007</v>
      </c>
      <c r="N39" s="12"/>
      <c r="O39" s="12"/>
      <c r="P39" s="35">
        <v>56.76</v>
      </c>
      <c r="Q39" s="12"/>
      <c r="R39" s="12"/>
      <c r="S39" s="35">
        <f>ROUND(ROUND(P39, 2)*I39, 2)</f>
        <v>8848.2000000000007</v>
      </c>
      <c r="T39" s="12"/>
      <c r="U39" s="36"/>
      <c r="V39" s="9">
        <f>ROUND(ROUND(P39, 2)/1.2, 2)</f>
        <v>47.3</v>
      </c>
      <c r="Y39" s="9">
        <f t="shared" si="3"/>
        <v>7373.5</v>
      </c>
      <c r="AD39" s="4" t="s">
        <v>165</v>
      </c>
      <c r="AE39" s="4" t="s">
        <v>166</v>
      </c>
      <c r="AF39" s="4" t="s">
        <v>167</v>
      </c>
    </row>
    <row r="40" spans="1:35" ht="131.25" x14ac:dyDescent="0.25">
      <c r="A40" s="38" t="s">
        <v>168</v>
      </c>
      <c r="B40" s="38" t="s">
        <v>169</v>
      </c>
      <c r="C40" s="39" t="s">
        <v>170</v>
      </c>
      <c r="D40" s="40" t="s">
        <v>75</v>
      </c>
      <c r="E40" s="40" t="s">
        <v>171</v>
      </c>
      <c r="F40" s="40" t="s">
        <v>56</v>
      </c>
      <c r="G40" s="41">
        <v>1</v>
      </c>
      <c r="H40" s="40"/>
      <c r="I40" s="42">
        <v>0</v>
      </c>
      <c r="J40" s="43">
        <f>IFERROR(ROUND(SUM(M42,M44,M46,M48)/I40, 2),0)</f>
        <v>0</v>
      </c>
      <c r="K40" s="43">
        <v>1064</v>
      </c>
      <c r="L40" s="43">
        <f>J40+ROUND(K40, 2)</f>
        <v>1064</v>
      </c>
      <c r="M40" s="43">
        <f>ROUND(J40*I40, 2)</f>
        <v>0</v>
      </c>
      <c r="N40" s="43">
        <f>ROUND(I40*ROUND(K40, 2), 2)</f>
        <v>0</v>
      </c>
      <c r="O40" s="43">
        <f>M40+N40</f>
        <v>0</v>
      </c>
      <c r="P40" s="43">
        <f>IFERROR(ROUND(SUM(S42,S44,S46,S48)/I40, 2),0)</f>
        <v>0</v>
      </c>
      <c r="Q40" s="43">
        <v>1064</v>
      </c>
      <c r="R40" s="43">
        <f>P40+ROUND(Q40, 2)</f>
        <v>1064</v>
      </c>
      <c r="S40" s="43">
        <f>ROUND(P40*I40, 2)</f>
        <v>0</v>
      </c>
      <c r="T40" s="43">
        <f>ROUND(I40*ROUND(Q40, 2), 2)</f>
        <v>0</v>
      </c>
      <c r="U40" s="43">
        <f>S40+T40</f>
        <v>0</v>
      </c>
      <c r="V40" s="9">
        <f>ROUND(P40 / 1.2, 2)</f>
        <v>0</v>
      </c>
      <c r="W40" s="9">
        <f>ROUND(Q40 / 1.2, 2)</f>
        <v>886.67</v>
      </c>
      <c r="X40" s="9">
        <f>ROUND(R40 / 1.2, 2)</f>
        <v>886.67</v>
      </c>
      <c r="Y40" s="9">
        <f t="shared" si="3"/>
        <v>0</v>
      </c>
      <c r="Z40" s="9">
        <f>ROUND(T40 / 1.2, 2)</f>
        <v>0</v>
      </c>
      <c r="AA40" s="9">
        <f>Y40+Z40</f>
        <v>0</v>
      </c>
      <c r="AD40" s="4">
        <v>264030258</v>
      </c>
      <c r="AE40" s="4">
        <v>16084977</v>
      </c>
      <c r="AG40" s="4" t="s">
        <v>172</v>
      </c>
      <c r="AH40" s="4" t="s">
        <v>173</v>
      </c>
      <c r="AI40" s="4" t="s">
        <v>59</v>
      </c>
    </row>
    <row r="41" spans="1:35" ht="131.25" x14ac:dyDescent="0.25">
      <c r="A41" s="44" t="s">
        <v>174</v>
      </c>
      <c r="B41" s="44" t="s">
        <v>169</v>
      </c>
      <c r="C41" s="45" t="s">
        <v>170</v>
      </c>
      <c r="D41" s="46" t="s">
        <v>75</v>
      </c>
      <c r="E41" s="46" t="s">
        <v>171</v>
      </c>
      <c r="F41" s="46" t="s">
        <v>56</v>
      </c>
      <c r="G41" s="47">
        <v>1</v>
      </c>
      <c r="H41" s="46"/>
      <c r="I41" s="47">
        <v>534.4</v>
      </c>
      <c r="J41" s="48">
        <v>0</v>
      </c>
      <c r="K41" s="48">
        <v>1064</v>
      </c>
      <c r="L41" s="48"/>
      <c r="M41" s="48">
        <v>0</v>
      </c>
      <c r="N41" s="48"/>
      <c r="O41" s="48"/>
      <c r="P41" s="48">
        <v>0</v>
      </c>
      <c r="Q41" s="48">
        <v>1064</v>
      </c>
      <c r="R41" s="48"/>
      <c r="S41" s="48">
        <v>0</v>
      </c>
      <c r="T41" s="48"/>
      <c r="U41" s="48"/>
      <c r="V41" s="9"/>
      <c r="W41" s="9">
        <f>ROUND(Q41 / 1.2, 2)</f>
        <v>886.67</v>
      </c>
      <c r="X41" s="9" t="e">
        <f>ROUND(R41 / 1.2, 2)</f>
        <v>#VALUE!</v>
      </c>
      <c r="Y41" s="9"/>
      <c r="Z41" s="9" t="e">
        <f>ROUND(T41 / 1.2, 2)</f>
        <v>#VALUE!</v>
      </c>
      <c r="AA41" s="9"/>
      <c r="AD41" s="4">
        <v>204426388</v>
      </c>
      <c r="AE41" s="4">
        <v>16084977</v>
      </c>
      <c r="AG41" s="4" t="s">
        <v>172</v>
      </c>
      <c r="AH41" s="4" t="s">
        <v>173</v>
      </c>
      <c r="AI41" s="4"/>
    </row>
    <row r="42" spans="1:35" ht="75" x14ac:dyDescent="0.25">
      <c r="A42" s="38" t="s">
        <v>175</v>
      </c>
      <c r="B42" s="38"/>
      <c r="C42" s="49" t="s">
        <v>176</v>
      </c>
      <c r="D42" s="40"/>
      <c r="E42" s="40"/>
      <c r="F42" s="50" t="s">
        <v>87</v>
      </c>
      <c r="G42" s="51">
        <v>1</v>
      </c>
      <c r="H42" s="40"/>
      <c r="I42" s="52">
        <v>0</v>
      </c>
      <c r="J42" s="53">
        <v>43.7</v>
      </c>
      <c r="K42" s="54"/>
      <c r="L42" s="54"/>
      <c r="M42" s="53">
        <f t="shared" ref="M42:M49" si="4">ROUND(ROUND(J42, 2)*I42, 2)</f>
        <v>0</v>
      </c>
      <c r="N42" s="54"/>
      <c r="O42" s="54"/>
      <c r="P42" s="53">
        <v>43.7</v>
      </c>
      <c r="Q42" s="54"/>
      <c r="R42" s="54"/>
      <c r="S42" s="53">
        <f t="shared" ref="S42:S49" si="5">ROUND(ROUND(P42, 2)*I42, 2)</f>
        <v>0</v>
      </c>
      <c r="T42" s="54"/>
      <c r="U42" s="55"/>
      <c r="V42" s="9">
        <f t="shared" ref="V42:V49" si="6">ROUND(ROUND(P42, 2)/1.2, 2)</f>
        <v>36.42</v>
      </c>
      <c r="Y42" s="9">
        <f t="shared" ref="Y42:Y49" si="7">ROUND(S42 / 1.2, 2)</f>
        <v>0</v>
      </c>
      <c r="AD42" s="4" t="s">
        <v>177</v>
      </c>
      <c r="AE42" s="4" t="s">
        <v>178</v>
      </c>
      <c r="AF42" s="4" t="s">
        <v>179</v>
      </c>
    </row>
    <row r="43" spans="1:35" ht="75" x14ac:dyDescent="0.25">
      <c r="A43" s="44" t="s">
        <v>180</v>
      </c>
      <c r="B43" s="44"/>
      <c r="C43" s="56" t="s">
        <v>176</v>
      </c>
      <c r="D43" s="46"/>
      <c r="E43" s="46"/>
      <c r="F43" s="57" t="s">
        <v>87</v>
      </c>
      <c r="G43" s="58">
        <v>1</v>
      </c>
      <c r="H43" s="46"/>
      <c r="I43" s="58">
        <v>534.4</v>
      </c>
      <c r="J43" s="59">
        <v>43.7</v>
      </c>
      <c r="K43" s="60"/>
      <c r="L43" s="60"/>
      <c r="M43" s="59">
        <f t="shared" si="4"/>
        <v>23353.279999999999</v>
      </c>
      <c r="N43" s="60"/>
      <c r="O43" s="60"/>
      <c r="P43" s="59">
        <v>43.7</v>
      </c>
      <c r="Q43" s="60"/>
      <c r="R43" s="60"/>
      <c r="S43" s="59">
        <f t="shared" si="5"/>
        <v>23353.279999999999</v>
      </c>
      <c r="T43" s="60"/>
      <c r="U43" s="61"/>
      <c r="V43" s="9">
        <f t="shared" si="6"/>
        <v>36.42</v>
      </c>
      <c r="Y43" s="9">
        <f t="shared" si="7"/>
        <v>19461.07</v>
      </c>
      <c r="AD43" s="4" t="s">
        <v>181</v>
      </c>
      <c r="AE43" s="4" t="s">
        <v>178</v>
      </c>
      <c r="AF43" s="4" t="s">
        <v>179</v>
      </c>
    </row>
    <row r="44" spans="1:35" ht="18.75" x14ac:dyDescent="0.25">
      <c r="A44" s="38" t="s">
        <v>182</v>
      </c>
      <c r="B44" s="38"/>
      <c r="C44" s="49" t="s">
        <v>183</v>
      </c>
      <c r="D44" s="40"/>
      <c r="E44" s="40"/>
      <c r="F44" s="50" t="s">
        <v>123</v>
      </c>
      <c r="G44" s="51">
        <v>2.1</v>
      </c>
      <c r="H44" s="40"/>
      <c r="I44" s="52">
        <v>0</v>
      </c>
      <c r="J44" s="53">
        <v>95.07</v>
      </c>
      <c r="K44" s="54"/>
      <c r="L44" s="54"/>
      <c r="M44" s="53">
        <f t="shared" si="4"/>
        <v>0</v>
      </c>
      <c r="N44" s="54"/>
      <c r="O44" s="54"/>
      <c r="P44" s="53">
        <v>95.07</v>
      </c>
      <c r="Q44" s="54"/>
      <c r="R44" s="54"/>
      <c r="S44" s="53">
        <f t="shared" si="5"/>
        <v>0</v>
      </c>
      <c r="T44" s="54"/>
      <c r="U44" s="55"/>
      <c r="V44" s="9">
        <f t="shared" si="6"/>
        <v>79.23</v>
      </c>
      <c r="Y44" s="9">
        <f t="shared" si="7"/>
        <v>0</v>
      </c>
      <c r="AD44" s="4" t="s">
        <v>184</v>
      </c>
      <c r="AE44" s="4" t="s">
        <v>185</v>
      </c>
      <c r="AF44" s="4" t="s">
        <v>186</v>
      </c>
    </row>
    <row r="45" spans="1:35" ht="18.75" x14ac:dyDescent="0.25">
      <c r="A45" s="44" t="s">
        <v>187</v>
      </c>
      <c r="B45" s="44"/>
      <c r="C45" s="56" t="s">
        <v>183</v>
      </c>
      <c r="D45" s="46"/>
      <c r="E45" s="46"/>
      <c r="F45" s="57" t="s">
        <v>123</v>
      </c>
      <c r="G45" s="58">
        <v>2.1</v>
      </c>
      <c r="H45" s="46"/>
      <c r="I45" s="58">
        <v>1122.24</v>
      </c>
      <c r="J45" s="59">
        <v>95.07</v>
      </c>
      <c r="K45" s="60"/>
      <c r="L45" s="60"/>
      <c r="M45" s="59">
        <f t="shared" si="4"/>
        <v>106691.36</v>
      </c>
      <c r="N45" s="60"/>
      <c r="O45" s="60"/>
      <c r="P45" s="59">
        <v>95.07</v>
      </c>
      <c r="Q45" s="60"/>
      <c r="R45" s="60"/>
      <c r="S45" s="59">
        <f t="shared" si="5"/>
        <v>106691.36</v>
      </c>
      <c r="T45" s="60"/>
      <c r="U45" s="61"/>
      <c r="V45" s="9">
        <f t="shared" si="6"/>
        <v>79.23</v>
      </c>
      <c r="Y45" s="9">
        <f t="shared" si="7"/>
        <v>88909.47</v>
      </c>
      <c r="AD45" s="4" t="s">
        <v>188</v>
      </c>
      <c r="AE45" s="4" t="s">
        <v>185</v>
      </c>
      <c r="AF45" s="4" t="s">
        <v>186</v>
      </c>
    </row>
    <row r="46" spans="1:35" ht="18.75" x14ac:dyDescent="0.25">
      <c r="A46" s="38" t="s">
        <v>189</v>
      </c>
      <c r="B46" s="38"/>
      <c r="C46" s="49" t="s">
        <v>190</v>
      </c>
      <c r="D46" s="40"/>
      <c r="E46" s="40"/>
      <c r="F46" s="50" t="s">
        <v>123</v>
      </c>
      <c r="G46" s="51">
        <v>0.8</v>
      </c>
      <c r="H46" s="40"/>
      <c r="I46" s="52">
        <v>0</v>
      </c>
      <c r="J46" s="53">
        <v>69.39</v>
      </c>
      <c r="K46" s="54"/>
      <c r="L46" s="54"/>
      <c r="M46" s="53">
        <f t="shared" si="4"/>
        <v>0</v>
      </c>
      <c r="N46" s="54"/>
      <c r="O46" s="54"/>
      <c r="P46" s="53">
        <v>69.39</v>
      </c>
      <c r="Q46" s="54"/>
      <c r="R46" s="54"/>
      <c r="S46" s="53">
        <f t="shared" si="5"/>
        <v>0</v>
      </c>
      <c r="T46" s="54"/>
      <c r="U46" s="55"/>
      <c r="V46" s="9">
        <f t="shared" si="6"/>
        <v>57.83</v>
      </c>
      <c r="Y46" s="9">
        <f t="shared" si="7"/>
        <v>0</v>
      </c>
      <c r="AD46" s="4" t="s">
        <v>191</v>
      </c>
      <c r="AE46" s="4" t="s">
        <v>192</v>
      </c>
      <c r="AF46" s="4" t="s">
        <v>193</v>
      </c>
    </row>
    <row r="47" spans="1:35" ht="18.75" x14ac:dyDescent="0.25">
      <c r="A47" s="44" t="s">
        <v>194</v>
      </c>
      <c r="B47" s="44"/>
      <c r="C47" s="56" t="s">
        <v>190</v>
      </c>
      <c r="D47" s="46"/>
      <c r="E47" s="46"/>
      <c r="F47" s="57" t="s">
        <v>123</v>
      </c>
      <c r="G47" s="58">
        <v>0.8</v>
      </c>
      <c r="H47" s="46"/>
      <c r="I47" s="58">
        <v>427.52</v>
      </c>
      <c r="J47" s="59">
        <v>69.39</v>
      </c>
      <c r="K47" s="60"/>
      <c r="L47" s="60"/>
      <c r="M47" s="59">
        <f t="shared" si="4"/>
        <v>29665.61</v>
      </c>
      <c r="N47" s="60"/>
      <c r="O47" s="60"/>
      <c r="P47" s="59">
        <v>69.39</v>
      </c>
      <c r="Q47" s="60"/>
      <c r="R47" s="60"/>
      <c r="S47" s="59">
        <f t="shared" si="5"/>
        <v>29665.61</v>
      </c>
      <c r="T47" s="60"/>
      <c r="U47" s="61"/>
      <c r="V47" s="9">
        <f t="shared" si="6"/>
        <v>57.83</v>
      </c>
      <c r="Y47" s="9">
        <f t="shared" si="7"/>
        <v>24721.34</v>
      </c>
      <c r="AD47" s="4" t="s">
        <v>195</v>
      </c>
      <c r="AE47" s="4" t="s">
        <v>192</v>
      </c>
      <c r="AF47" s="4" t="s">
        <v>193</v>
      </c>
    </row>
    <row r="48" spans="1:35" ht="18.75" x14ac:dyDescent="0.25">
      <c r="A48" s="38" t="s">
        <v>196</v>
      </c>
      <c r="B48" s="38"/>
      <c r="C48" s="49" t="s">
        <v>197</v>
      </c>
      <c r="D48" s="40"/>
      <c r="E48" s="40"/>
      <c r="F48" s="50" t="s">
        <v>56</v>
      </c>
      <c r="G48" s="51">
        <v>1.1000000000000001</v>
      </c>
      <c r="H48" s="40"/>
      <c r="I48" s="52">
        <v>0</v>
      </c>
      <c r="J48" s="53">
        <v>207.33</v>
      </c>
      <c r="K48" s="54"/>
      <c r="L48" s="54"/>
      <c r="M48" s="53">
        <f t="shared" si="4"/>
        <v>0</v>
      </c>
      <c r="N48" s="54"/>
      <c r="O48" s="54"/>
      <c r="P48" s="53">
        <v>207.33</v>
      </c>
      <c r="Q48" s="54"/>
      <c r="R48" s="54"/>
      <c r="S48" s="53">
        <f t="shared" si="5"/>
        <v>0</v>
      </c>
      <c r="T48" s="54"/>
      <c r="U48" s="55"/>
      <c r="V48" s="9">
        <f t="shared" si="6"/>
        <v>172.78</v>
      </c>
      <c r="Y48" s="9">
        <f t="shared" si="7"/>
        <v>0</v>
      </c>
      <c r="AD48" s="4" t="s">
        <v>198</v>
      </c>
      <c r="AE48" s="4" t="s">
        <v>199</v>
      </c>
      <c r="AF48" s="4" t="s">
        <v>200</v>
      </c>
    </row>
    <row r="49" spans="1:35" ht="18.75" x14ac:dyDescent="0.25">
      <c r="A49" s="44" t="s">
        <v>201</v>
      </c>
      <c r="B49" s="44"/>
      <c r="C49" s="56" t="s">
        <v>197</v>
      </c>
      <c r="D49" s="46"/>
      <c r="E49" s="46"/>
      <c r="F49" s="57" t="s">
        <v>56</v>
      </c>
      <c r="G49" s="58">
        <v>1.1000000000000001</v>
      </c>
      <c r="H49" s="46"/>
      <c r="I49" s="58">
        <v>587.84</v>
      </c>
      <c r="J49" s="59">
        <v>207.33</v>
      </c>
      <c r="K49" s="60"/>
      <c r="L49" s="60"/>
      <c r="M49" s="59">
        <f t="shared" si="4"/>
        <v>121876.87</v>
      </c>
      <c r="N49" s="60"/>
      <c r="O49" s="60"/>
      <c r="P49" s="59">
        <v>207.33</v>
      </c>
      <c r="Q49" s="60"/>
      <c r="R49" s="60"/>
      <c r="S49" s="59">
        <f t="shared" si="5"/>
        <v>121876.87</v>
      </c>
      <c r="T49" s="60"/>
      <c r="U49" s="61"/>
      <c r="V49" s="9">
        <f t="shared" si="6"/>
        <v>172.78</v>
      </c>
      <c r="Y49" s="9">
        <f t="shared" si="7"/>
        <v>101564.06</v>
      </c>
      <c r="AD49" s="4" t="s">
        <v>202</v>
      </c>
      <c r="AE49" s="4" t="s">
        <v>199</v>
      </c>
      <c r="AF49" s="4" t="s">
        <v>200</v>
      </c>
    </row>
    <row r="50" spans="1:35" ht="17.100000000000001" customHeight="1" x14ac:dyDescent="0.25">
      <c r="A50" s="11" t="s">
        <v>203</v>
      </c>
      <c r="B50" s="11" t="s">
        <v>204</v>
      </c>
      <c r="C50" s="113" t="s">
        <v>205</v>
      </c>
      <c r="D50" s="114"/>
      <c r="E50" s="114"/>
      <c r="F50" s="114"/>
      <c r="G50" s="114"/>
      <c r="H50" s="114"/>
      <c r="I50" s="115"/>
      <c r="J50" s="12"/>
      <c r="K50" s="12"/>
      <c r="L50" s="12"/>
      <c r="M50" s="13">
        <f>SUM(M51)</f>
        <v>403639.46</v>
      </c>
      <c r="N50" s="13">
        <f>SUM(N51)</f>
        <v>287855.40000000002</v>
      </c>
      <c r="O50" s="13">
        <f>SUM(O51)</f>
        <v>691494.86</v>
      </c>
      <c r="P50" s="12"/>
      <c r="Q50" s="12"/>
      <c r="R50" s="12"/>
      <c r="S50" s="13">
        <f>SUM(S51)</f>
        <v>403639.46</v>
      </c>
      <c r="T50" s="13">
        <f>SUM(T51)</f>
        <v>287855.40000000002</v>
      </c>
      <c r="U50" s="13">
        <f>SUM(U51)</f>
        <v>691494.86</v>
      </c>
      <c r="Y50" s="9">
        <f>SUM(Y51)</f>
        <v>336366.22</v>
      </c>
      <c r="Z50" s="9">
        <f>SUM(Z51)</f>
        <v>239879.5</v>
      </c>
      <c r="AA50" s="9">
        <f>SUM(AA51)</f>
        <v>576245.72</v>
      </c>
      <c r="AD50" s="4">
        <v>264030259</v>
      </c>
      <c r="AE50" s="4">
        <v>19930591</v>
      </c>
    </row>
    <row r="51" spans="1:35" ht="37.5" x14ac:dyDescent="0.25">
      <c r="A51" s="11" t="s">
        <v>206</v>
      </c>
      <c r="B51" s="11" t="s">
        <v>207</v>
      </c>
      <c r="C51" s="20" t="s">
        <v>208</v>
      </c>
      <c r="D51" s="21" t="s">
        <v>75</v>
      </c>
      <c r="E51" s="21" t="s">
        <v>76</v>
      </c>
      <c r="F51" s="21" t="s">
        <v>209</v>
      </c>
      <c r="G51" s="22">
        <v>1</v>
      </c>
      <c r="H51" s="21"/>
      <c r="I51" s="22">
        <v>4.9000000000000004</v>
      </c>
      <c r="J51" s="23">
        <f>IFERROR(ROUND(SUM(M52,M53,M54)/I51, 2),0)</f>
        <v>82375.399999999994</v>
      </c>
      <c r="K51" s="23">
        <v>58746</v>
      </c>
      <c r="L51" s="23">
        <f>J51+ROUND(K51, 2)</f>
        <v>141121.4</v>
      </c>
      <c r="M51" s="23">
        <f>ROUND(J51*I51, 2)</f>
        <v>403639.46</v>
      </c>
      <c r="N51" s="23">
        <f>ROUND(I51*ROUND(K51, 2), 2)</f>
        <v>287855.40000000002</v>
      </c>
      <c r="O51" s="23">
        <f>M51+N51</f>
        <v>691494.86</v>
      </c>
      <c r="P51" s="23">
        <f>IFERROR(ROUND(SUM(S52,S53,S54)/I51, 2),0)</f>
        <v>82375.399999999994</v>
      </c>
      <c r="Q51" s="23">
        <v>58746</v>
      </c>
      <c r="R51" s="23">
        <f>P51+ROUND(Q51, 2)</f>
        <v>141121.4</v>
      </c>
      <c r="S51" s="23">
        <f>ROUND(P51*I51, 2)</f>
        <v>403639.46</v>
      </c>
      <c r="T51" s="23">
        <f>ROUND(I51*ROUND(Q51, 2), 2)</f>
        <v>287855.40000000002</v>
      </c>
      <c r="U51" s="23">
        <f>S51+T51</f>
        <v>691494.86</v>
      </c>
      <c r="V51" s="9">
        <f>ROUND(P51 / 1.2, 2)</f>
        <v>68646.17</v>
      </c>
      <c r="W51" s="9">
        <f>ROUND(Q51 / 1.2, 2)</f>
        <v>48955</v>
      </c>
      <c r="X51" s="9">
        <f>ROUND(R51 / 1.2, 2)</f>
        <v>117601.17</v>
      </c>
      <c r="Y51" s="9">
        <f>ROUND(S51 / 1.2, 2)</f>
        <v>336366.22</v>
      </c>
      <c r="Z51" s="9">
        <f>ROUND(T51 / 1.2, 2)</f>
        <v>239879.5</v>
      </c>
      <c r="AA51" s="9">
        <f>Y51+Z51</f>
        <v>576245.72</v>
      </c>
      <c r="AD51" s="4">
        <v>264030261</v>
      </c>
      <c r="AE51" s="4">
        <v>19930594</v>
      </c>
      <c r="AG51" s="4" t="s">
        <v>210</v>
      </c>
      <c r="AH51" s="4" t="s">
        <v>211</v>
      </c>
      <c r="AI51" s="4" t="s">
        <v>59</v>
      </c>
    </row>
    <row r="52" spans="1:35" ht="18.75" x14ac:dyDescent="0.25">
      <c r="A52" s="11" t="s">
        <v>212</v>
      </c>
      <c r="B52" s="11"/>
      <c r="C52" s="31" t="s">
        <v>213</v>
      </c>
      <c r="D52" s="21"/>
      <c r="E52" s="21"/>
      <c r="F52" s="32" t="s">
        <v>103</v>
      </c>
      <c r="G52" s="33">
        <v>1</v>
      </c>
      <c r="H52" s="21"/>
      <c r="I52" s="34">
        <v>2</v>
      </c>
      <c r="J52" s="35">
        <v>0</v>
      </c>
      <c r="K52" s="12"/>
      <c r="L52" s="12"/>
      <c r="M52" s="35">
        <f>ROUND(ROUND(J52, 2)*I52, 2)</f>
        <v>0</v>
      </c>
      <c r="N52" s="12"/>
      <c r="O52" s="12"/>
      <c r="P52" s="35">
        <v>0</v>
      </c>
      <c r="Q52" s="12"/>
      <c r="R52" s="12"/>
      <c r="S52" s="35">
        <f>ROUND(ROUND(P52, 2)*I52, 2)</f>
        <v>0</v>
      </c>
      <c r="T52" s="12"/>
      <c r="U52" s="36"/>
      <c r="V52" s="9">
        <f>ROUND(ROUND(P52, 2)/1.2, 2)</f>
        <v>0</v>
      </c>
      <c r="Y52" s="9">
        <f>ROUND(S52 / 1.2, 2)</f>
        <v>0</v>
      </c>
      <c r="AD52" s="4" t="s">
        <v>214</v>
      </c>
      <c r="AE52" s="4" t="s">
        <v>215</v>
      </c>
      <c r="AF52" s="4" t="s">
        <v>216</v>
      </c>
    </row>
    <row r="53" spans="1:35" ht="18.75" x14ac:dyDescent="0.25">
      <c r="A53" s="11" t="s">
        <v>217</v>
      </c>
      <c r="B53" s="11"/>
      <c r="C53" s="31" t="s">
        <v>218</v>
      </c>
      <c r="D53" s="21"/>
      <c r="E53" s="21"/>
      <c r="F53" s="32" t="s">
        <v>209</v>
      </c>
      <c r="G53" s="33">
        <v>1.03</v>
      </c>
      <c r="H53" s="21"/>
      <c r="I53" s="34">
        <v>5.0469999999999997</v>
      </c>
      <c r="J53" s="35">
        <v>77175</v>
      </c>
      <c r="K53" s="12"/>
      <c r="L53" s="12"/>
      <c r="M53" s="35">
        <f>ROUND(ROUND(J53, 2)*I53, 2)</f>
        <v>389502.23</v>
      </c>
      <c r="N53" s="12"/>
      <c r="O53" s="12"/>
      <c r="P53" s="35">
        <v>77175</v>
      </c>
      <c r="Q53" s="12"/>
      <c r="R53" s="12"/>
      <c r="S53" s="35">
        <f>ROUND(ROUND(P53, 2)*I53, 2)</f>
        <v>389502.23</v>
      </c>
      <c r="T53" s="12"/>
      <c r="U53" s="36"/>
      <c r="V53" s="9">
        <f>ROUND(ROUND(P53, 2)/1.2, 2)</f>
        <v>64312.5</v>
      </c>
      <c r="Y53" s="9">
        <f>ROUND(S53 / 1.2, 2)</f>
        <v>324585.19</v>
      </c>
      <c r="AD53" s="4" t="s">
        <v>219</v>
      </c>
      <c r="AE53" s="4" t="s">
        <v>220</v>
      </c>
      <c r="AF53" s="4" t="s">
        <v>221</v>
      </c>
    </row>
    <row r="54" spans="1:35" ht="37.5" x14ac:dyDescent="0.25">
      <c r="A54" s="11" t="s">
        <v>222</v>
      </c>
      <c r="B54" s="11"/>
      <c r="C54" s="31" t="s">
        <v>223</v>
      </c>
      <c r="D54" s="21"/>
      <c r="E54" s="21"/>
      <c r="F54" s="32" t="s">
        <v>87</v>
      </c>
      <c r="G54" s="33">
        <v>1</v>
      </c>
      <c r="H54" s="21"/>
      <c r="I54" s="33">
        <v>4.9000000000000004</v>
      </c>
      <c r="J54" s="35">
        <v>2885.15</v>
      </c>
      <c r="K54" s="12"/>
      <c r="L54" s="12"/>
      <c r="M54" s="35">
        <f>ROUND(ROUND(J54, 2)*I54, 2)</f>
        <v>14137.24</v>
      </c>
      <c r="N54" s="12"/>
      <c r="O54" s="12"/>
      <c r="P54" s="35">
        <v>2885.15</v>
      </c>
      <c r="Q54" s="12"/>
      <c r="R54" s="12"/>
      <c r="S54" s="35">
        <f>ROUND(ROUND(P54, 2)*I54, 2)</f>
        <v>14137.24</v>
      </c>
      <c r="T54" s="12"/>
      <c r="U54" s="36"/>
      <c r="V54" s="9">
        <f>ROUND(ROUND(P54, 2)/1.2, 2)</f>
        <v>2404.29</v>
      </c>
      <c r="Y54" s="9">
        <f>ROUND(S54 / 1.2, 2)</f>
        <v>11781.03</v>
      </c>
      <c r="AD54" s="4" t="s">
        <v>224</v>
      </c>
      <c r="AE54" s="4" t="s">
        <v>225</v>
      </c>
      <c r="AF54" s="4" t="s">
        <v>226</v>
      </c>
    </row>
    <row r="55" spans="1:35" ht="17.100000000000001" customHeight="1" x14ac:dyDescent="0.25">
      <c r="A55" s="10" t="s">
        <v>227</v>
      </c>
      <c r="B55" s="10" t="s">
        <v>228</v>
      </c>
      <c r="C55" s="116" t="s">
        <v>229</v>
      </c>
      <c r="D55" s="117"/>
      <c r="E55" s="117"/>
      <c r="F55" s="117"/>
      <c r="G55" s="117"/>
      <c r="H55" s="117"/>
      <c r="I55" s="118"/>
      <c r="M55" s="6">
        <f t="shared" ref="M55:O56" si="8">SUM(M56)</f>
        <v>2859762</v>
      </c>
      <c r="N55" s="6">
        <f t="shared" si="8"/>
        <v>8239501.1900000004</v>
      </c>
      <c r="O55" s="6">
        <f t="shared" si="8"/>
        <v>11099263.189999999</v>
      </c>
      <c r="S55" s="6">
        <f t="shared" ref="S55:U56" si="9">SUM(S56)</f>
        <v>2824002.58</v>
      </c>
      <c r="T55" s="6">
        <f t="shared" si="9"/>
        <v>8239501.1900000004</v>
      </c>
      <c r="U55" s="6">
        <f t="shared" si="9"/>
        <v>11063503.77</v>
      </c>
      <c r="Y55" s="9">
        <f t="shared" ref="Y55:AA56" si="10">SUM(Y56)</f>
        <v>2353335.5299999998</v>
      </c>
      <c r="Z55" s="9">
        <f t="shared" si="10"/>
        <v>6866250.96</v>
      </c>
      <c r="AA55" s="9" t="e">
        <f t="shared" si="10"/>
        <v>#VALUE!</v>
      </c>
      <c r="AD55" s="4">
        <v>264030262</v>
      </c>
      <c r="AE55" s="4">
        <v>16075339</v>
      </c>
    </row>
    <row r="56" spans="1:35" ht="17.100000000000001" customHeight="1" x14ac:dyDescent="0.25">
      <c r="A56" s="10" t="s">
        <v>230</v>
      </c>
      <c r="B56" s="10" t="s">
        <v>231</v>
      </c>
      <c r="C56" s="116" t="s">
        <v>232</v>
      </c>
      <c r="D56" s="117"/>
      <c r="E56" s="117"/>
      <c r="F56" s="117"/>
      <c r="G56" s="117"/>
      <c r="H56" s="117"/>
      <c r="I56" s="118"/>
      <c r="M56" s="6">
        <f t="shared" si="8"/>
        <v>2859762</v>
      </c>
      <c r="N56" s="6">
        <f t="shared" si="8"/>
        <v>8239501.1900000004</v>
      </c>
      <c r="O56" s="6">
        <f t="shared" si="8"/>
        <v>11099263.189999999</v>
      </c>
      <c r="S56" s="6">
        <f t="shared" si="9"/>
        <v>2824002.58</v>
      </c>
      <c r="T56" s="6">
        <f t="shared" si="9"/>
        <v>8239501.1900000004</v>
      </c>
      <c r="U56" s="6">
        <f t="shared" si="9"/>
        <v>11063503.77</v>
      </c>
      <c r="Y56" s="9">
        <f t="shared" si="10"/>
        <v>2353335.5299999998</v>
      </c>
      <c r="Z56" s="9">
        <f t="shared" si="10"/>
        <v>6866250.96</v>
      </c>
      <c r="AA56" s="9" t="e">
        <f t="shared" si="10"/>
        <v>#VALUE!</v>
      </c>
      <c r="AD56" s="4">
        <v>264030263</v>
      </c>
      <c r="AE56" s="4">
        <v>16075340</v>
      </c>
    </row>
    <row r="57" spans="1:35" ht="17.100000000000001" customHeight="1" x14ac:dyDescent="0.25">
      <c r="A57" s="10" t="s">
        <v>233</v>
      </c>
      <c r="B57" s="10" t="s">
        <v>234</v>
      </c>
      <c r="C57" s="116" t="s">
        <v>235</v>
      </c>
      <c r="D57" s="117"/>
      <c r="E57" s="117"/>
      <c r="F57" s="117"/>
      <c r="G57" s="117"/>
      <c r="H57" s="117"/>
      <c r="I57" s="118"/>
      <c r="M57" s="6">
        <f>SUM(M58,M192,M488,M548)</f>
        <v>2859762</v>
      </c>
      <c r="N57" s="6">
        <f>SUM(N58,N192,N488,N548)</f>
        <v>8239501.1900000004</v>
      </c>
      <c r="O57" s="6">
        <f>SUM(O58,O192,O488,O548)</f>
        <v>11099263.189999999</v>
      </c>
      <c r="S57" s="6">
        <f>SUM(S58,S192,S488,S548)</f>
        <v>2824002.58</v>
      </c>
      <c r="T57" s="6">
        <f>SUM(T58,T192,T488,T548)</f>
        <v>8239501.1900000004</v>
      </c>
      <c r="U57" s="6">
        <f>SUM(U58,U192,U488,U548)</f>
        <v>11063503.77</v>
      </c>
      <c r="Y57" s="9">
        <f>SUM(Y58,Y192,Y488,Y548)</f>
        <v>2353335.5299999998</v>
      </c>
      <c r="Z57" s="9">
        <f>SUM(Z58,Z192,Z488,Z548)</f>
        <v>6866250.96</v>
      </c>
      <c r="AA57" s="9" t="e">
        <f>SUM(AA58,AA192,AA488,AA548)</f>
        <v>#VALUE!</v>
      </c>
      <c r="AD57" s="4">
        <v>264030264</v>
      </c>
      <c r="AE57" s="4">
        <v>16075341</v>
      </c>
    </row>
    <row r="58" spans="1:35" ht="17.100000000000001" customHeight="1" x14ac:dyDescent="0.25">
      <c r="A58" s="10" t="s">
        <v>236</v>
      </c>
      <c r="B58" s="10" t="s">
        <v>237</v>
      </c>
      <c r="C58" s="116" t="s">
        <v>238</v>
      </c>
      <c r="D58" s="117"/>
      <c r="E58" s="117"/>
      <c r="F58" s="117"/>
      <c r="G58" s="117"/>
      <c r="H58" s="117"/>
      <c r="I58" s="118"/>
      <c r="M58" s="6">
        <f>SUM(M59,M111,M128)</f>
        <v>1610325.73</v>
      </c>
      <c r="N58" s="6">
        <f>SUM(N59,N111,N128)</f>
        <v>1747035.56</v>
      </c>
      <c r="O58" s="6">
        <f>SUM(O59,O111,O128)</f>
        <v>3357361.29</v>
      </c>
      <c r="S58" s="6">
        <f>SUM(S59,S111,S128)</f>
        <v>1610325.73</v>
      </c>
      <c r="T58" s="6">
        <f>SUM(T59,T111,T128)</f>
        <v>1747035.56</v>
      </c>
      <c r="U58" s="6">
        <f>SUM(U59,U111,U128)</f>
        <v>3357361.29</v>
      </c>
      <c r="Y58" s="9">
        <f>SUM(Y59,Y111,Y128)</f>
        <v>1341938.1200000001</v>
      </c>
      <c r="Z58" s="9">
        <f>SUM(Z59,Z111,Z128)</f>
        <v>1455862.96</v>
      </c>
      <c r="AA58" s="9">
        <f>SUM(AA59,AA111,AA128)</f>
        <v>2797801.08</v>
      </c>
      <c r="AD58" s="4">
        <v>264030265</v>
      </c>
      <c r="AE58" s="4">
        <v>16075342</v>
      </c>
    </row>
    <row r="59" spans="1:35" ht="17.100000000000001" customHeight="1" x14ac:dyDescent="0.25">
      <c r="A59" s="10" t="s">
        <v>239</v>
      </c>
      <c r="B59" s="10" t="s">
        <v>240</v>
      </c>
      <c r="C59" s="116" t="s">
        <v>241</v>
      </c>
      <c r="D59" s="117"/>
      <c r="E59" s="117"/>
      <c r="F59" s="117"/>
      <c r="G59" s="117"/>
      <c r="H59" s="117"/>
      <c r="I59" s="118"/>
      <c r="M59" s="6">
        <f>SUM(M60,M63,M67,M71,M81,M89,M99,M107,M109)</f>
        <v>160259.85</v>
      </c>
      <c r="N59" s="6">
        <f>SUM(N60,N63,N67,N71,N81,N89,N99,N107,N109)</f>
        <v>1329999.46</v>
      </c>
      <c r="O59" s="6">
        <f>SUM(O60,O63,O67,O71,O81,O89,O99,O107,O109)</f>
        <v>1490259.31</v>
      </c>
      <c r="S59" s="6">
        <f>SUM(S60,S63,S67,S71,S81,S89,S99,S107,S109)</f>
        <v>160259.85</v>
      </c>
      <c r="T59" s="6">
        <f>SUM(T60,T63,T67,T71,T81,T89,T99,T107,T109)</f>
        <v>1329999.46</v>
      </c>
      <c r="U59" s="6">
        <f>SUM(U60,U63,U67,U71,U81,U89,U99,U107,U109)</f>
        <v>1490259.31</v>
      </c>
      <c r="Y59" s="9">
        <f>SUM(Y60,Y63,Y67,Y71,Y81,Y89,Y99,Y107,Y109)</f>
        <v>133549.88</v>
      </c>
      <c r="Z59" s="9">
        <f>SUM(Z60,Z63,Z67,Z71,Z81,Z89,Z99,Z107,Z109)</f>
        <v>1108332.8799999999</v>
      </c>
      <c r="AA59" s="9">
        <f>SUM(AA60,AA63,AA67,AA71,AA81,AA89,AA99,AA107,AA109)</f>
        <v>1241882.76</v>
      </c>
      <c r="AD59" s="4">
        <v>264030266</v>
      </c>
      <c r="AE59" s="4">
        <v>16077961</v>
      </c>
    </row>
    <row r="60" spans="1:35" ht="75" x14ac:dyDescent="0.25">
      <c r="A60" s="10" t="s">
        <v>242</v>
      </c>
      <c r="B60" s="10" t="s">
        <v>243</v>
      </c>
      <c r="C60" s="14" t="s">
        <v>244</v>
      </c>
      <c r="D60" s="15" t="s">
        <v>245</v>
      </c>
      <c r="E60" s="15" t="s">
        <v>246</v>
      </c>
      <c r="F60" s="15" t="s">
        <v>56</v>
      </c>
      <c r="G60" s="16">
        <v>1</v>
      </c>
      <c r="H60" s="15"/>
      <c r="I60" s="16">
        <v>900.7</v>
      </c>
      <c r="J60" s="17">
        <f>IFERROR(ROUND(SUM(M61,M62)/I60, 2),0)</f>
        <v>177.36</v>
      </c>
      <c r="K60" s="18">
        <v>388</v>
      </c>
      <c r="L60" s="17">
        <f>J60+ROUND(K60, 2)</f>
        <v>565.36</v>
      </c>
      <c r="M60" s="17">
        <f>ROUND(J60*I60, 2)</f>
        <v>159748.15</v>
      </c>
      <c r="N60" s="17">
        <f>ROUND(I60*ROUND(K60, 2), 2)</f>
        <v>349471.6</v>
      </c>
      <c r="O60" s="17">
        <f>M60+N60</f>
        <v>509219.75</v>
      </c>
      <c r="P60" s="17">
        <f>IFERROR(ROUND(SUM(S61,S62)/I60, 2),0)</f>
        <v>177.36</v>
      </c>
      <c r="Q60" s="19">
        <v>388</v>
      </c>
      <c r="R60" s="17">
        <f>P60+ROUND(Q60, 2)</f>
        <v>565.36</v>
      </c>
      <c r="S60" s="17">
        <f>ROUND(P60*I60, 2)</f>
        <v>159748.15</v>
      </c>
      <c r="T60" s="17">
        <f>ROUND(I60*ROUND(Q60, 2), 2)</f>
        <v>349471.6</v>
      </c>
      <c r="U60" s="17">
        <f>S60+T60</f>
        <v>509219.75</v>
      </c>
      <c r="V60" s="9">
        <f>ROUND(P60 / 1.2, 2)</f>
        <v>147.80000000000001</v>
      </c>
      <c r="W60" s="9">
        <f>ROUND(Q60 / 1.2, 2)</f>
        <v>323.33</v>
      </c>
      <c r="X60" s="9">
        <f>ROUND(R60 / 1.2, 2)</f>
        <v>471.13</v>
      </c>
      <c r="Y60" s="9">
        <f>ROUND(S60 / 1.2, 2)</f>
        <v>133123.46</v>
      </c>
      <c r="Z60" s="9">
        <f>ROUND(T60 / 1.2, 2)</f>
        <v>291226.33</v>
      </c>
      <c r="AA60" s="9">
        <f>Y60+Z60</f>
        <v>424349.79</v>
      </c>
      <c r="AD60" s="4">
        <v>204257133</v>
      </c>
      <c r="AE60" s="4">
        <v>16078328</v>
      </c>
      <c r="AG60" s="4" t="s">
        <v>247</v>
      </c>
      <c r="AH60" s="4" t="s">
        <v>248</v>
      </c>
      <c r="AI60" s="4" t="s">
        <v>249</v>
      </c>
    </row>
    <row r="61" spans="1:35" ht="37.5" x14ac:dyDescent="0.25">
      <c r="A61" s="10" t="s">
        <v>250</v>
      </c>
      <c r="B61" s="10"/>
      <c r="C61" s="37" t="s">
        <v>251</v>
      </c>
      <c r="D61" s="15"/>
      <c r="E61" s="15" t="s">
        <v>252</v>
      </c>
      <c r="F61" s="25" t="s">
        <v>81</v>
      </c>
      <c r="G61" s="26">
        <v>1.6</v>
      </c>
      <c r="H61" s="15"/>
      <c r="I61" s="27">
        <v>14411.2</v>
      </c>
      <c r="J61" s="28">
        <v>9.67</v>
      </c>
      <c r="M61" s="29">
        <f>ROUND(ROUND(J61, 2)*I61, 2)</f>
        <v>139356.29999999999</v>
      </c>
      <c r="P61" s="30">
        <v>9.67</v>
      </c>
      <c r="S61" s="29">
        <f>ROUND(ROUND(P61, 2)*I61, 2)</f>
        <v>139356.29999999999</v>
      </c>
      <c r="V61" s="9">
        <f>ROUND(ROUND(P61, 2)/1.2, 2)</f>
        <v>8.06</v>
      </c>
      <c r="Y61" s="9">
        <f>ROUND(S61 / 1.2, 2)</f>
        <v>116130.25</v>
      </c>
      <c r="AD61" s="4" t="s">
        <v>253</v>
      </c>
      <c r="AE61" s="4" t="s">
        <v>254</v>
      </c>
      <c r="AF61" s="4" t="s">
        <v>255</v>
      </c>
    </row>
    <row r="62" spans="1:35" ht="37.5" x14ac:dyDescent="0.25">
      <c r="A62" s="10" t="s">
        <v>256</v>
      </c>
      <c r="B62" s="10"/>
      <c r="C62" s="24" t="s">
        <v>257</v>
      </c>
      <c r="D62" s="15"/>
      <c r="E62" s="15"/>
      <c r="F62" s="25" t="s">
        <v>81</v>
      </c>
      <c r="G62" s="26">
        <v>0.255</v>
      </c>
      <c r="H62" s="15"/>
      <c r="I62" s="27">
        <v>229.679</v>
      </c>
      <c r="J62" s="28">
        <v>88.8</v>
      </c>
      <c r="M62" s="29">
        <f>ROUND(ROUND(J62, 2)*I62, 2)</f>
        <v>20395.5</v>
      </c>
      <c r="P62" s="30">
        <v>88.8</v>
      </c>
      <c r="S62" s="29">
        <f>ROUND(ROUND(P62, 2)*I62, 2)</f>
        <v>20395.5</v>
      </c>
      <c r="V62" s="9">
        <f>ROUND(ROUND(P62, 2)/1.2, 2)</f>
        <v>74</v>
      </c>
      <c r="Y62" s="9">
        <f>ROUND(S62 / 1.2, 2)</f>
        <v>16996.25</v>
      </c>
      <c r="AD62" s="4" t="s">
        <v>258</v>
      </c>
      <c r="AE62" s="4" t="s">
        <v>259</v>
      </c>
      <c r="AF62" s="4" t="s">
        <v>260</v>
      </c>
    </row>
    <row r="63" spans="1:35" ht="37.5" x14ac:dyDescent="0.25">
      <c r="A63" s="38" t="s">
        <v>261</v>
      </c>
      <c r="B63" s="38" t="s">
        <v>262</v>
      </c>
      <c r="C63" s="39" t="s">
        <v>263</v>
      </c>
      <c r="D63" s="40"/>
      <c r="E63" s="40" t="s">
        <v>264</v>
      </c>
      <c r="F63" s="40" t="s">
        <v>56</v>
      </c>
      <c r="G63" s="41">
        <v>1</v>
      </c>
      <c r="H63" s="40"/>
      <c r="I63" s="42">
        <v>0</v>
      </c>
      <c r="J63" s="43">
        <f>IFERROR(ROUND(SUM(M65)/I63, 2),0)</f>
        <v>0</v>
      </c>
      <c r="K63" s="43">
        <v>40</v>
      </c>
      <c r="L63" s="43">
        <f>J63+ROUND(K63, 2)</f>
        <v>40</v>
      </c>
      <c r="M63" s="43">
        <f>ROUND(J63*I63, 2)</f>
        <v>0</v>
      </c>
      <c r="N63" s="43">
        <f>ROUND(I63*ROUND(K63, 2), 2)</f>
        <v>0</v>
      </c>
      <c r="O63" s="43">
        <f>M63+N63</f>
        <v>0</v>
      </c>
      <c r="P63" s="43">
        <f>IFERROR(ROUND(SUM(S65)/I63, 2),0)</f>
        <v>0</v>
      </c>
      <c r="Q63" s="43">
        <v>40</v>
      </c>
      <c r="R63" s="43">
        <f>P63+ROUND(Q63, 2)</f>
        <v>40</v>
      </c>
      <c r="S63" s="43">
        <f>ROUND(P63*I63, 2)</f>
        <v>0</v>
      </c>
      <c r="T63" s="43">
        <f>ROUND(I63*ROUND(Q63, 2), 2)</f>
        <v>0</v>
      </c>
      <c r="U63" s="43">
        <f>S63+T63</f>
        <v>0</v>
      </c>
      <c r="V63" s="9">
        <f>ROUND(P63 / 1.2, 2)</f>
        <v>0</v>
      </c>
      <c r="W63" s="9">
        <f>ROUND(Q63 / 1.2, 2)</f>
        <v>33.33</v>
      </c>
      <c r="X63" s="9">
        <f>ROUND(R63 / 1.2, 2)</f>
        <v>33.33</v>
      </c>
      <c r="Y63" s="9">
        <f>ROUND(S63 / 1.2, 2)</f>
        <v>0</v>
      </c>
      <c r="Z63" s="9">
        <f>ROUND(T63 / 1.2, 2)</f>
        <v>0</v>
      </c>
      <c r="AA63" s="9">
        <f>Y63+Z63</f>
        <v>0</v>
      </c>
      <c r="AD63" s="4">
        <v>264030268</v>
      </c>
      <c r="AE63" s="4">
        <v>16077965</v>
      </c>
      <c r="AG63" s="4" t="s">
        <v>265</v>
      </c>
      <c r="AH63" s="4" t="s">
        <v>266</v>
      </c>
      <c r="AI63" s="4" t="s">
        <v>249</v>
      </c>
    </row>
    <row r="64" spans="1:35" ht="37.5" x14ac:dyDescent="0.25">
      <c r="A64" s="44" t="s">
        <v>267</v>
      </c>
      <c r="B64" s="44" t="s">
        <v>262</v>
      </c>
      <c r="C64" s="45" t="s">
        <v>263</v>
      </c>
      <c r="D64" s="46"/>
      <c r="E64" s="46" t="s">
        <v>264</v>
      </c>
      <c r="F64" s="46" t="s">
        <v>56</v>
      </c>
      <c r="G64" s="47">
        <v>1</v>
      </c>
      <c r="H64" s="46"/>
      <c r="I64" s="47">
        <v>362.4</v>
      </c>
      <c r="J64" s="48">
        <v>0</v>
      </c>
      <c r="K64" s="48">
        <v>40</v>
      </c>
      <c r="L64" s="48"/>
      <c r="M64" s="48">
        <v>0</v>
      </c>
      <c r="N64" s="48"/>
      <c r="O64" s="48"/>
      <c r="P64" s="48">
        <v>0</v>
      </c>
      <c r="Q64" s="48">
        <v>40</v>
      </c>
      <c r="R64" s="48"/>
      <c r="S64" s="48">
        <v>0</v>
      </c>
      <c r="T64" s="48"/>
      <c r="U64" s="48"/>
      <c r="V64" s="9"/>
      <c r="W64" s="9">
        <f>ROUND(Q64 / 1.2, 2)</f>
        <v>33.33</v>
      </c>
      <c r="X64" s="9" t="e">
        <f>ROUND(R64 / 1.2, 2)</f>
        <v>#VALUE!</v>
      </c>
      <c r="Y64" s="9"/>
      <c r="Z64" s="9" t="e">
        <f>ROUND(T64 / 1.2, 2)</f>
        <v>#VALUE!</v>
      </c>
      <c r="AA64" s="9"/>
      <c r="AD64" s="4">
        <v>204244071</v>
      </c>
      <c r="AE64" s="4">
        <v>16077965</v>
      </c>
      <c r="AG64" s="4" t="s">
        <v>265</v>
      </c>
      <c r="AH64" s="4" t="s">
        <v>266</v>
      </c>
      <c r="AI64" s="4"/>
    </row>
    <row r="65" spans="1:35" ht="18.75" x14ac:dyDescent="0.25">
      <c r="A65" s="38" t="s">
        <v>268</v>
      </c>
      <c r="B65" s="38"/>
      <c r="C65" s="49" t="s">
        <v>269</v>
      </c>
      <c r="D65" s="40"/>
      <c r="E65" s="40"/>
      <c r="F65" s="50" t="s">
        <v>56</v>
      </c>
      <c r="G65" s="51">
        <v>1.1000000000000001</v>
      </c>
      <c r="H65" s="40"/>
      <c r="I65" s="52">
        <v>0</v>
      </c>
      <c r="J65" s="53">
        <v>46.76</v>
      </c>
      <c r="K65" s="54"/>
      <c r="L65" s="54"/>
      <c r="M65" s="53">
        <f>ROUND(ROUND(J65, 2)*I65, 2)</f>
        <v>0</v>
      </c>
      <c r="N65" s="54"/>
      <c r="O65" s="54"/>
      <c r="P65" s="53">
        <v>46.76</v>
      </c>
      <c r="Q65" s="54"/>
      <c r="R65" s="54"/>
      <c r="S65" s="53">
        <f>ROUND(ROUND(P65, 2)*I65, 2)</f>
        <v>0</v>
      </c>
      <c r="T65" s="54"/>
      <c r="U65" s="55"/>
      <c r="V65" s="9">
        <f>ROUND(ROUND(P65, 2)/1.2, 2)</f>
        <v>38.97</v>
      </c>
      <c r="Y65" s="9">
        <f>ROUND(S65 / 1.2, 2)</f>
        <v>0</v>
      </c>
      <c r="AD65" s="4" t="s">
        <v>270</v>
      </c>
      <c r="AE65" s="4" t="s">
        <v>271</v>
      </c>
      <c r="AF65" s="4" t="s">
        <v>272</v>
      </c>
    </row>
    <row r="66" spans="1:35" ht="18.75" x14ac:dyDescent="0.25">
      <c r="A66" s="44" t="s">
        <v>273</v>
      </c>
      <c r="B66" s="44"/>
      <c r="C66" s="56" t="s">
        <v>269</v>
      </c>
      <c r="D66" s="46"/>
      <c r="E66" s="46"/>
      <c r="F66" s="57" t="s">
        <v>56</v>
      </c>
      <c r="G66" s="58">
        <v>1.1000000000000001</v>
      </c>
      <c r="H66" s="46"/>
      <c r="I66" s="58">
        <v>398.64</v>
      </c>
      <c r="J66" s="59">
        <v>46.76</v>
      </c>
      <c r="K66" s="60"/>
      <c r="L66" s="60"/>
      <c r="M66" s="59">
        <f>ROUND(ROUND(J66, 2)*I66, 2)</f>
        <v>18640.41</v>
      </c>
      <c r="N66" s="60"/>
      <c r="O66" s="60"/>
      <c r="P66" s="59">
        <v>46.76</v>
      </c>
      <c r="Q66" s="60"/>
      <c r="R66" s="60"/>
      <c r="S66" s="59">
        <f>ROUND(ROUND(P66, 2)*I66, 2)</f>
        <v>18640.41</v>
      </c>
      <c r="T66" s="60"/>
      <c r="U66" s="61"/>
      <c r="V66" s="9">
        <f>ROUND(ROUND(P66, 2)/1.2, 2)</f>
        <v>38.97</v>
      </c>
      <c r="Y66" s="9">
        <f>ROUND(S66 / 1.2, 2)</f>
        <v>15533.68</v>
      </c>
      <c r="AD66" s="4" t="s">
        <v>274</v>
      </c>
      <c r="AE66" s="4" t="s">
        <v>271</v>
      </c>
      <c r="AF66" s="4" t="s">
        <v>272</v>
      </c>
    </row>
    <row r="67" spans="1:35" ht="37.5" x14ac:dyDescent="0.25">
      <c r="A67" s="38" t="s">
        <v>275</v>
      </c>
      <c r="B67" s="38" t="s">
        <v>262</v>
      </c>
      <c r="C67" s="39" t="s">
        <v>263</v>
      </c>
      <c r="D67" s="40"/>
      <c r="E67" s="40" t="s">
        <v>276</v>
      </c>
      <c r="F67" s="40" t="s">
        <v>56</v>
      </c>
      <c r="G67" s="41">
        <v>1</v>
      </c>
      <c r="H67" s="40"/>
      <c r="I67" s="42">
        <v>0</v>
      </c>
      <c r="J67" s="43">
        <f>IFERROR(ROUND(SUM(M69)/I67, 2),0)</f>
        <v>0</v>
      </c>
      <c r="K67" s="43">
        <v>40</v>
      </c>
      <c r="L67" s="43">
        <f>J67+ROUND(K67, 2)</f>
        <v>40</v>
      </c>
      <c r="M67" s="43">
        <f>ROUND(J67*I67, 2)</f>
        <v>0</v>
      </c>
      <c r="N67" s="43">
        <f>ROUND(I67*ROUND(K67, 2), 2)</f>
        <v>0</v>
      </c>
      <c r="O67" s="43">
        <f>M67+N67</f>
        <v>0</v>
      </c>
      <c r="P67" s="43">
        <f>IFERROR(ROUND(SUM(S69)/I67, 2),0)</f>
        <v>0</v>
      </c>
      <c r="Q67" s="43">
        <v>40</v>
      </c>
      <c r="R67" s="43">
        <f>P67+ROUND(Q67, 2)</f>
        <v>40</v>
      </c>
      <c r="S67" s="43">
        <f>ROUND(P67*I67, 2)</f>
        <v>0</v>
      </c>
      <c r="T67" s="43">
        <f>ROUND(I67*ROUND(Q67, 2), 2)</f>
        <v>0</v>
      </c>
      <c r="U67" s="43">
        <f>S67+T67</f>
        <v>0</v>
      </c>
      <c r="V67" s="9">
        <f>ROUND(P67 / 1.2, 2)</f>
        <v>0</v>
      </c>
      <c r="W67" s="9">
        <f>ROUND(Q67 / 1.2, 2)</f>
        <v>33.33</v>
      </c>
      <c r="X67" s="9">
        <f>ROUND(R67 / 1.2, 2)</f>
        <v>33.33</v>
      </c>
      <c r="Y67" s="9">
        <f>ROUND(S67 / 1.2, 2)</f>
        <v>0</v>
      </c>
      <c r="Z67" s="9">
        <f>ROUND(T67 / 1.2, 2)</f>
        <v>0</v>
      </c>
      <c r="AA67" s="9">
        <f>Y67+Z67</f>
        <v>0</v>
      </c>
      <c r="AD67" s="4">
        <v>264030364</v>
      </c>
      <c r="AE67" s="4">
        <v>16088187</v>
      </c>
      <c r="AG67" s="4" t="s">
        <v>265</v>
      </c>
      <c r="AH67" s="4" t="s">
        <v>266</v>
      </c>
      <c r="AI67" s="4" t="s">
        <v>249</v>
      </c>
    </row>
    <row r="68" spans="1:35" ht="37.5" x14ac:dyDescent="0.25">
      <c r="A68" s="44" t="s">
        <v>277</v>
      </c>
      <c r="B68" s="44" t="s">
        <v>262</v>
      </c>
      <c r="C68" s="45" t="s">
        <v>263</v>
      </c>
      <c r="D68" s="46"/>
      <c r="E68" s="46" t="s">
        <v>276</v>
      </c>
      <c r="F68" s="46" t="s">
        <v>56</v>
      </c>
      <c r="G68" s="47">
        <v>1</v>
      </c>
      <c r="H68" s="46"/>
      <c r="I68" s="47">
        <v>148.1</v>
      </c>
      <c r="J68" s="48">
        <v>0</v>
      </c>
      <c r="K68" s="48">
        <v>40</v>
      </c>
      <c r="L68" s="48"/>
      <c r="M68" s="48">
        <v>0</v>
      </c>
      <c r="N68" s="48"/>
      <c r="O68" s="48"/>
      <c r="P68" s="48">
        <v>0</v>
      </c>
      <c r="Q68" s="48">
        <v>40</v>
      </c>
      <c r="R68" s="48"/>
      <c r="S68" s="48">
        <v>0</v>
      </c>
      <c r="T68" s="48"/>
      <c r="U68" s="48"/>
      <c r="V68" s="9"/>
      <c r="W68" s="9">
        <f>ROUND(Q68 / 1.2, 2)</f>
        <v>33.33</v>
      </c>
      <c r="X68" s="9" t="e">
        <f>ROUND(R68 / 1.2, 2)</f>
        <v>#VALUE!</v>
      </c>
      <c r="Y68" s="9"/>
      <c r="Z68" s="9" t="e">
        <f>ROUND(T68 / 1.2, 2)</f>
        <v>#VALUE!</v>
      </c>
      <c r="AA68" s="9"/>
      <c r="AD68" s="4">
        <v>204428532</v>
      </c>
      <c r="AE68" s="4">
        <v>16088187</v>
      </c>
      <c r="AG68" s="4" t="s">
        <v>265</v>
      </c>
      <c r="AH68" s="4" t="s">
        <v>266</v>
      </c>
      <c r="AI68" s="4"/>
    </row>
    <row r="69" spans="1:35" ht="18.75" x14ac:dyDescent="0.25">
      <c r="A69" s="38" t="s">
        <v>278</v>
      </c>
      <c r="B69" s="38"/>
      <c r="C69" s="49" t="s">
        <v>269</v>
      </c>
      <c r="D69" s="40"/>
      <c r="E69" s="40"/>
      <c r="F69" s="50" t="s">
        <v>56</v>
      </c>
      <c r="G69" s="51">
        <v>1.1000000000000001</v>
      </c>
      <c r="H69" s="40"/>
      <c r="I69" s="52">
        <v>0</v>
      </c>
      <c r="J69" s="53">
        <v>46.76</v>
      </c>
      <c r="K69" s="54"/>
      <c r="L69" s="54"/>
      <c r="M69" s="53">
        <f>ROUND(ROUND(J69, 2)*I69, 2)</f>
        <v>0</v>
      </c>
      <c r="N69" s="54"/>
      <c r="O69" s="54"/>
      <c r="P69" s="53">
        <v>46.76</v>
      </c>
      <c r="Q69" s="54"/>
      <c r="R69" s="54"/>
      <c r="S69" s="53">
        <f>ROUND(ROUND(P69, 2)*I69, 2)</f>
        <v>0</v>
      </c>
      <c r="T69" s="54"/>
      <c r="U69" s="55"/>
      <c r="V69" s="9">
        <f>ROUND(ROUND(P69, 2)/1.2, 2)</f>
        <v>38.97</v>
      </c>
      <c r="Y69" s="9">
        <f>ROUND(S69 / 1.2, 2)</f>
        <v>0</v>
      </c>
      <c r="AD69" s="4" t="s">
        <v>279</v>
      </c>
      <c r="AE69" s="4" t="s">
        <v>280</v>
      </c>
      <c r="AF69" s="4" t="s">
        <v>272</v>
      </c>
    </row>
    <row r="70" spans="1:35" ht="18.75" x14ac:dyDescent="0.25">
      <c r="A70" s="44" t="s">
        <v>281</v>
      </c>
      <c r="B70" s="44"/>
      <c r="C70" s="56" t="s">
        <v>269</v>
      </c>
      <c r="D70" s="46"/>
      <c r="E70" s="46"/>
      <c r="F70" s="57" t="s">
        <v>56</v>
      </c>
      <c r="G70" s="58">
        <v>1.1000000000000001</v>
      </c>
      <c r="H70" s="46"/>
      <c r="I70" s="58">
        <v>162.91</v>
      </c>
      <c r="J70" s="59">
        <v>46.76</v>
      </c>
      <c r="K70" s="60"/>
      <c r="L70" s="60"/>
      <c r="M70" s="59">
        <f>ROUND(ROUND(J70, 2)*I70, 2)</f>
        <v>7617.67</v>
      </c>
      <c r="N70" s="60"/>
      <c r="O70" s="60"/>
      <c r="P70" s="59">
        <v>46.76</v>
      </c>
      <c r="Q70" s="60"/>
      <c r="R70" s="60"/>
      <c r="S70" s="59">
        <f>ROUND(ROUND(P70, 2)*I70, 2)</f>
        <v>7617.67</v>
      </c>
      <c r="T70" s="60"/>
      <c r="U70" s="61"/>
      <c r="V70" s="9">
        <f>ROUND(ROUND(P70, 2)/1.2, 2)</f>
        <v>38.97</v>
      </c>
      <c r="Y70" s="9">
        <f>ROUND(S70 / 1.2, 2)</f>
        <v>6348.06</v>
      </c>
      <c r="AD70" s="4" t="s">
        <v>282</v>
      </c>
      <c r="AE70" s="4" t="s">
        <v>280</v>
      </c>
      <c r="AF70" s="4" t="s">
        <v>272</v>
      </c>
    </row>
    <row r="71" spans="1:35" ht="37.5" x14ac:dyDescent="0.25">
      <c r="A71" s="38" t="s">
        <v>283</v>
      </c>
      <c r="B71" s="38" t="s">
        <v>284</v>
      </c>
      <c r="C71" s="39" t="s">
        <v>285</v>
      </c>
      <c r="D71" s="40"/>
      <c r="E71" s="40" t="s">
        <v>286</v>
      </c>
      <c r="F71" s="40" t="s">
        <v>56</v>
      </c>
      <c r="G71" s="41">
        <v>1</v>
      </c>
      <c r="H71" s="40"/>
      <c r="I71" s="42">
        <v>0</v>
      </c>
      <c r="J71" s="43">
        <f>IFERROR(ROUND(SUM(M73,M75,M77,M79)/I71, 2),0)</f>
        <v>0</v>
      </c>
      <c r="K71" s="43">
        <v>855</v>
      </c>
      <c r="L71" s="43">
        <f>J71+ROUND(K71, 2)</f>
        <v>855</v>
      </c>
      <c r="M71" s="43">
        <f>ROUND(J71*I71, 2)</f>
        <v>0</v>
      </c>
      <c r="N71" s="43">
        <f>ROUND(I71*ROUND(K71, 2), 2)</f>
        <v>0</v>
      </c>
      <c r="O71" s="43">
        <f>M71+N71</f>
        <v>0</v>
      </c>
      <c r="P71" s="43">
        <f>IFERROR(ROUND(SUM(S73,S75,S77,S79)/I71, 2),0)</f>
        <v>0</v>
      </c>
      <c r="Q71" s="43">
        <v>855</v>
      </c>
      <c r="R71" s="43">
        <f>P71+ROUND(Q71, 2)</f>
        <v>855</v>
      </c>
      <c r="S71" s="43">
        <f>ROUND(P71*I71, 2)</f>
        <v>0</v>
      </c>
      <c r="T71" s="43">
        <f>ROUND(I71*ROUND(Q71, 2), 2)</f>
        <v>0</v>
      </c>
      <c r="U71" s="43">
        <f>S71+T71</f>
        <v>0</v>
      </c>
      <c r="V71" s="9">
        <f>ROUND(P71 / 1.2, 2)</f>
        <v>0</v>
      </c>
      <c r="W71" s="9">
        <f>ROUND(Q71 / 1.2, 2)</f>
        <v>712.5</v>
      </c>
      <c r="X71" s="9">
        <f>ROUND(R71 / 1.2, 2)</f>
        <v>712.5</v>
      </c>
      <c r="Y71" s="9">
        <f>ROUND(S71 / 1.2, 2)</f>
        <v>0</v>
      </c>
      <c r="Z71" s="9">
        <f>ROUND(T71 / 1.2, 2)</f>
        <v>0</v>
      </c>
      <c r="AA71" s="9">
        <f>Y71+Z71</f>
        <v>0</v>
      </c>
      <c r="AD71" s="4">
        <v>264030270</v>
      </c>
      <c r="AE71" s="4">
        <v>16078058</v>
      </c>
      <c r="AG71" s="4" t="s">
        <v>287</v>
      </c>
      <c r="AH71" s="4" t="s">
        <v>288</v>
      </c>
      <c r="AI71" s="4" t="s">
        <v>249</v>
      </c>
    </row>
    <row r="72" spans="1:35" ht="37.5" x14ac:dyDescent="0.25">
      <c r="A72" s="44" t="s">
        <v>289</v>
      </c>
      <c r="B72" s="44" t="s">
        <v>284</v>
      </c>
      <c r="C72" s="45" t="s">
        <v>285</v>
      </c>
      <c r="D72" s="46"/>
      <c r="E72" s="46" t="s">
        <v>286</v>
      </c>
      <c r="F72" s="46" t="s">
        <v>56</v>
      </c>
      <c r="G72" s="47">
        <v>1</v>
      </c>
      <c r="H72" s="46"/>
      <c r="I72" s="47">
        <v>538.29999999999995</v>
      </c>
      <c r="J72" s="48">
        <v>0</v>
      </c>
      <c r="K72" s="48">
        <v>855</v>
      </c>
      <c r="L72" s="48"/>
      <c r="M72" s="48">
        <v>0</v>
      </c>
      <c r="N72" s="48"/>
      <c r="O72" s="48"/>
      <c r="P72" s="48">
        <v>0</v>
      </c>
      <c r="Q72" s="48">
        <v>855</v>
      </c>
      <c r="R72" s="48"/>
      <c r="S72" s="48">
        <v>0</v>
      </c>
      <c r="T72" s="48"/>
      <c r="U72" s="48"/>
      <c r="V72" s="9"/>
      <c r="W72" s="9">
        <f>ROUND(Q72 / 1.2, 2)</f>
        <v>712.5</v>
      </c>
      <c r="X72" s="9" t="e">
        <f>ROUND(R72 / 1.2, 2)</f>
        <v>#VALUE!</v>
      </c>
      <c r="Y72" s="9"/>
      <c r="Z72" s="9" t="e">
        <f>ROUND(T72 / 1.2, 2)</f>
        <v>#VALUE!</v>
      </c>
      <c r="AA72" s="9"/>
      <c r="AD72" s="4">
        <v>204257137</v>
      </c>
      <c r="AE72" s="4">
        <v>16078058</v>
      </c>
      <c r="AG72" s="4" t="s">
        <v>287</v>
      </c>
      <c r="AH72" s="4" t="s">
        <v>288</v>
      </c>
      <c r="AI72" s="4"/>
    </row>
    <row r="73" spans="1:35" ht="18.75" x14ac:dyDescent="0.25">
      <c r="A73" s="38" t="s">
        <v>290</v>
      </c>
      <c r="B73" s="38"/>
      <c r="C73" s="49" t="s">
        <v>291</v>
      </c>
      <c r="D73" s="40"/>
      <c r="E73" s="40" t="s">
        <v>292</v>
      </c>
      <c r="F73" s="50" t="s">
        <v>81</v>
      </c>
      <c r="G73" s="51">
        <v>1.8</v>
      </c>
      <c r="H73" s="40"/>
      <c r="I73" s="62">
        <v>0</v>
      </c>
      <c r="J73" s="53">
        <v>6.17</v>
      </c>
      <c r="K73" s="54"/>
      <c r="L73" s="54"/>
      <c r="M73" s="53">
        <f t="shared" ref="M73:M80" si="11">ROUND(ROUND(J73, 2)*I73, 2)</f>
        <v>0</v>
      </c>
      <c r="N73" s="54"/>
      <c r="O73" s="54"/>
      <c r="P73" s="53">
        <v>6.17</v>
      </c>
      <c r="Q73" s="54"/>
      <c r="R73" s="54"/>
      <c r="S73" s="53">
        <f t="shared" ref="S73:S80" si="12">ROUND(ROUND(P73, 2)*I73, 2)</f>
        <v>0</v>
      </c>
      <c r="T73" s="54"/>
      <c r="U73" s="55"/>
      <c r="V73" s="9">
        <f t="shared" ref="V73:V80" si="13">ROUND(ROUND(P73, 2)/1.2, 2)</f>
        <v>5.14</v>
      </c>
      <c r="Y73" s="9">
        <f t="shared" ref="Y73:Y81" si="14">ROUND(S73 / 1.2, 2)</f>
        <v>0</v>
      </c>
      <c r="AD73" s="4" t="s">
        <v>293</v>
      </c>
      <c r="AE73" s="4" t="s">
        <v>294</v>
      </c>
      <c r="AF73" s="4" t="s">
        <v>295</v>
      </c>
    </row>
    <row r="74" spans="1:35" ht="18.75" x14ac:dyDescent="0.25">
      <c r="A74" s="44" t="s">
        <v>296</v>
      </c>
      <c r="B74" s="44"/>
      <c r="C74" s="56" t="s">
        <v>291</v>
      </c>
      <c r="D74" s="46"/>
      <c r="E74" s="46" t="s">
        <v>292</v>
      </c>
      <c r="F74" s="57" t="s">
        <v>81</v>
      </c>
      <c r="G74" s="58">
        <v>1.8</v>
      </c>
      <c r="H74" s="46"/>
      <c r="I74" s="63">
        <v>57167.46</v>
      </c>
      <c r="J74" s="59">
        <v>6.17</v>
      </c>
      <c r="K74" s="60"/>
      <c r="L74" s="60"/>
      <c r="M74" s="59">
        <f t="shared" si="11"/>
        <v>352723.23</v>
      </c>
      <c r="N74" s="60"/>
      <c r="O74" s="60"/>
      <c r="P74" s="59">
        <v>6.17</v>
      </c>
      <c r="Q74" s="60"/>
      <c r="R74" s="60"/>
      <c r="S74" s="59">
        <f t="shared" si="12"/>
        <v>352723.23</v>
      </c>
      <c r="T74" s="60"/>
      <c r="U74" s="61"/>
      <c r="V74" s="9">
        <f t="shared" si="13"/>
        <v>5.14</v>
      </c>
      <c r="Y74" s="9">
        <f t="shared" si="14"/>
        <v>293936.03000000003</v>
      </c>
      <c r="AD74" s="4" t="s">
        <v>297</v>
      </c>
      <c r="AE74" s="4" t="s">
        <v>294</v>
      </c>
      <c r="AF74" s="4" t="s">
        <v>295</v>
      </c>
    </row>
    <row r="75" spans="1:35" ht="18.75" x14ac:dyDescent="0.25">
      <c r="A75" s="38" t="s">
        <v>298</v>
      </c>
      <c r="B75" s="38"/>
      <c r="C75" s="49" t="s">
        <v>299</v>
      </c>
      <c r="D75" s="40"/>
      <c r="E75" s="40"/>
      <c r="F75" s="50" t="s">
        <v>56</v>
      </c>
      <c r="G75" s="51">
        <v>1.1000000000000001</v>
      </c>
      <c r="H75" s="40"/>
      <c r="I75" s="62">
        <v>0</v>
      </c>
      <c r="J75" s="53">
        <v>155.01</v>
      </c>
      <c r="K75" s="54"/>
      <c r="L75" s="54"/>
      <c r="M75" s="53">
        <f t="shared" si="11"/>
        <v>0</v>
      </c>
      <c r="N75" s="54"/>
      <c r="O75" s="54"/>
      <c r="P75" s="53">
        <v>155.01</v>
      </c>
      <c r="Q75" s="54"/>
      <c r="R75" s="54"/>
      <c r="S75" s="53">
        <f t="shared" si="12"/>
        <v>0</v>
      </c>
      <c r="T75" s="54"/>
      <c r="U75" s="55"/>
      <c r="V75" s="9">
        <f t="shared" si="13"/>
        <v>129.18</v>
      </c>
      <c r="Y75" s="9">
        <f t="shared" si="14"/>
        <v>0</v>
      </c>
      <c r="AD75" s="4" t="s">
        <v>300</v>
      </c>
      <c r="AE75" s="4" t="s">
        <v>301</v>
      </c>
      <c r="AF75" s="4" t="s">
        <v>302</v>
      </c>
    </row>
    <row r="76" spans="1:35" ht="18.75" x14ac:dyDescent="0.25">
      <c r="A76" s="44" t="s">
        <v>303</v>
      </c>
      <c r="B76" s="44"/>
      <c r="C76" s="56" t="s">
        <v>299</v>
      </c>
      <c r="D76" s="46"/>
      <c r="E76" s="46"/>
      <c r="F76" s="57" t="s">
        <v>56</v>
      </c>
      <c r="G76" s="58">
        <v>1.1000000000000001</v>
      </c>
      <c r="H76" s="46"/>
      <c r="I76" s="63">
        <v>592.13</v>
      </c>
      <c r="J76" s="59">
        <v>155.01</v>
      </c>
      <c r="K76" s="60"/>
      <c r="L76" s="60"/>
      <c r="M76" s="59">
        <f t="shared" si="11"/>
        <v>91786.07</v>
      </c>
      <c r="N76" s="60"/>
      <c r="O76" s="60"/>
      <c r="P76" s="59">
        <v>155.01</v>
      </c>
      <c r="Q76" s="60"/>
      <c r="R76" s="60"/>
      <c r="S76" s="59">
        <f t="shared" si="12"/>
        <v>91786.07</v>
      </c>
      <c r="T76" s="60"/>
      <c r="U76" s="61"/>
      <c r="V76" s="9">
        <f t="shared" si="13"/>
        <v>129.18</v>
      </c>
      <c r="Y76" s="9">
        <f t="shared" si="14"/>
        <v>76488.39</v>
      </c>
      <c r="AD76" s="4" t="s">
        <v>304</v>
      </c>
      <c r="AE76" s="4" t="s">
        <v>301</v>
      </c>
      <c r="AF76" s="4" t="s">
        <v>302</v>
      </c>
    </row>
    <row r="77" spans="1:35" ht="37.5" x14ac:dyDescent="0.25">
      <c r="A77" s="38" t="s">
        <v>305</v>
      </c>
      <c r="B77" s="38"/>
      <c r="C77" s="49" t="s">
        <v>306</v>
      </c>
      <c r="D77" s="40"/>
      <c r="E77" s="40"/>
      <c r="F77" s="50" t="s">
        <v>123</v>
      </c>
      <c r="G77" s="51">
        <v>1</v>
      </c>
      <c r="H77" s="40"/>
      <c r="I77" s="62">
        <v>0</v>
      </c>
      <c r="J77" s="53">
        <v>10.4</v>
      </c>
      <c r="K77" s="54"/>
      <c r="L77" s="54"/>
      <c r="M77" s="53">
        <f t="shared" si="11"/>
        <v>0</v>
      </c>
      <c r="N77" s="54"/>
      <c r="O77" s="54"/>
      <c r="P77" s="53">
        <v>10.4</v>
      </c>
      <c r="Q77" s="54"/>
      <c r="R77" s="54"/>
      <c r="S77" s="53">
        <f t="shared" si="12"/>
        <v>0</v>
      </c>
      <c r="T77" s="54"/>
      <c r="U77" s="55"/>
      <c r="V77" s="9">
        <f t="shared" si="13"/>
        <v>8.67</v>
      </c>
      <c r="Y77" s="9">
        <f t="shared" si="14"/>
        <v>0</v>
      </c>
      <c r="AD77" s="4" t="s">
        <v>307</v>
      </c>
      <c r="AE77" s="4" t="s">
        <v>308</v>
      </c>
      <c r="AF77" s="4" t="s">
        <v>309</v>
      </c>
    </row>
    <row r="78" spans="1:35" ht="37.5" x14ac:dyDescent="0.25">
      <c r="A78" s="44" t="s">
        <v>310</v>
      </c>
      <c r="B78" s="44"/>
      <c r="C78" s="56" t="s">
        <v>306</v>
      </c>
      <c r="D78" s="46"/>
      <c r="E78" s="46"/>
      <c r="F78" s="57" t="s">
        <v>123</v>
      </c>
      <c r="G78" s="58">
        <v>1</v>
      </c>
      <c r="H78" s="46"/>
      <c r="I78" s="63">
        <v>538.29999999999995</v>
      </c>
      <c r="J78" s="59">
        <v>10.4</v>
      </c>
      <c r="K78" s="60"/>
      <c r="L78" s="60"/>
      <c r="M78" s="59">
        <f t="shared" si="11"/>
        <v>5598.32</v>
      </c>
      <c r="N78" s="60"/>
      <c r="O78" s="60"/>
      <c r="P78" s="59">
        <v>10.4</v>
      </c>
      <c r="Q78" s="60"/>
      <c r="R78" s="60"/>
      <c r="S78" s="59">
        <f t="shared" si="12"/>
        <v>5598.32</v>
      </c>
      <c r="T78" s="60"/>
      <c r="U78" s="61"/>
      <c r="V78" s="9">
        <f t="shared" si="13"/>
        <v>8.67</v>
      </c>
      <c r="Y78" s="9">
        <f t="shared" si="14"/>
        <v>4665.2700000000004</v>
      </c>
      <c r="AD78" s="4" t="s">
        <v>311</v>
      </c>
      <c r="AE78" s="4" t="s">
        <v>308</v>
      </c>
      <c r="AF78" s="4" t="s">
        <v>309</v>
      </c>
    </row>
    <row r="79" spans="1:35" ht="18.75" x14ac:dyDescent="0.25">
      <c r="A79" s="38" t="s">
        <v>312</v>
      </c>
      <c r="B79" s="38"/>
      <c r="C79" s="49" t="s">
        <v>313</v>
      </c>
      <c r="D79" s="40"/>
      <c r="E79" s="40"/>
      <c r="F79" s="50" t="s">
        <v>81</v>
      </c>
      <c r="G79" s="51">
        <v>0.255</v>
      </c>
      <c r="H79" s="40"/>
      <c r="I79" s="52">
        <v>0</v>
      </c>
      <c r="J79" s="53">
        <v>100</v>
      </c>
      <c r="K79" s="54"/>
      <c r="L79" s="54"/>
      <c r="M79" s="53">
        <f t="shared" si="11"/>
        <v>0</v>
      </c>
      <c r="N79" s="54"/>
      <c r="O79" s="54"/>
      <c r="P79" s="53">
        <v>100</v>
      </c>
      <c r="Q79" s="54"/>
      <c r="R79" s="54"/>
      <c r="S79" s="53">
        <f t="shared" si="12"/>
        <v>0</v>
      </c>
      <c r="T79" s="54"/>
      <c r="U79" s="55"/>
      <c r="V79" s="9">
        <f t="shared" si="13"/>
        <v>83.33</v>
      </c>
      <c r="Y79" s="9">
        <f t="shared" si="14"/>
        <v>0</v>
      </c>
      <c r="AD79" s="4" t="s">
        <v>314</v>
      </c>
      <c r="AE79" s="4" t="s">
        <v>315</v>
      </c>
      <c r="AF79" s="4" t="s">
        <v>316</v>
      </c>
    </row>
    <row r="80" spans="1:35" ht="18.75" x14ac:dyDescent="0.25">
      <c r="A80" s="44" t="s">
        <v>317</v>
      </c>
      <c r="B80" s="44"/>
      <c r="C80" s="56" t="s">
        <v>313</v>
      </c>
      <c r="D80" s="46"/>
      <c r="E80" s="46"/>
      <c r="F80" s="57" t="s">
        <v>81</v>
      </c>
      <c r="G80" s="58">
        <v>0.255</v>
      </c>
      <c r="H80" s="46"/>
      <c r="I80" s="58">
        <v>137.267</v>
      </c>
      <c r="J80" s="59">
        <v>100</v>
      </c>
      <c r="K80" s="60"/>
      <c r="L80" s="60"/>
      <c r="M80" s="59">
        <f t="shared" si="11"/>
        <v>13726.7</v>
      </c>
      <c r="N80" s="60"/>
      <c r="O80" s="60"/>
      <c r="P80" s="59">
        <v>100</v>
      </c>
      <c r="Q80" s="60"/>
      <c r="R80" s="60"/>
      <c r="S80" s="59">
        <f t="shared" si="12"/>
        <v>13726.7</v>
      </c>
      <c r="T80" s="60"/>
      <c r="U80" s="61"/>
      <c r="V80" s="9">
        <f t="shared" si="13"/>
        <v>83.33</v>
      </c>
      <c r="Y80" s="9">
        <f t="shared" si="14"/>
        <v>11438.92</v>
      </c>
      <c r="AD80" s="4" t="s">
        <v>318</v>
      </c>
      <c r="AE80" s="4" t="s">
        <v>315</v>
      </c>
      <c r="AF80" s="4" t="s">
        <v>316</v>
      </c>
    </row>
    <row r="81" spans="1:35" ht="37.5" x14ac:dyDescent="0.25">
      <c r="A81" s="38" t="s">
        <v>319</v>
      </c>
      <c r="B81" s="38" t="s">
        <v>320</v>
      </c>
      <c r="C81" s="39" t="s">
        <v>321</v>
      </c>
      <c r="D81" s="40"/>
      <c r="E81" s="40" t="s">
        <v>322</v>
      </c>
      <c r="F81" s="40" t="s">
        <v>56</v>
      </c>
      <c r="G81" s="41">
        <v>1</v>
      </c>
      <c r="H81" s="40"/>
      <c r="I81" s="42">
        <v>0</v>
      </c>
      <c r="J81" s="43">
        <f>IFERROR(ROUND(SUM(M83,M85,M87)/I81, 2),0)</f>
        <v>0</v>
      </c>
      <c r="K81" s="43">
        <v>922</v>
      </c>
      <c r="L81" s="43">
        <f>J81+ROUND(K81, 2)</f>
        <v>922</v>
      </c>
      <c r="M81" s="43">
        <f>ROUND(J81*I81, 2)</f>
        <v>0</v>
      </c>
      <c r="N81" s="43">
        <f>ROUND(I81*ROUND(K81, 2), 2)</f>
        <v>0</v>
      </c>
      <c r="O81" s="43">
        <f>M81+N81</f>
        <v>0</v>
      </c>
      <c r="P81" s="43">
        <f>IFERROR(ROUND(SUM(S83,S85,S87)/I81, 2),0)</f>
        <v>0</v>
      </c>
      <c r="Q81" s="43">
        <v>922</v>
      </c>
      <c r="R81" s="43">
        <f>P81+ROUND(Q81, 2)</f>
        <v>922</v>
      </c>
      <c r="S81" s="43">
        <f>ROUND(P81*I81, 2)</f>
        <v>0</v>
      </c>
      <c r="T81" s="43">
        <f>ROUND(I81*ROUND(Q81, 2), 2)</f>
        <v>0</v>
      </c>
      <c r="U81" s="43">
        <f>S81+T81</f>
        <v>0</v>
      </c>
      <c r="V81" s="9">
        <f>ROUND(P81 / 1.2, 2)</f>
        <v>0</v>
      </c>
      <c r="W81" s="9">
        <f>ROUND(Q81 / 1.2, 2)</f>
        <v>768.33</v>
      </c>
      <c r="X81" s="9">
        <f>ROUND(R81 / 1.2, 2)</f>
        <v>768.33</v>
      </c>
      <c r="Y81" s="9">
        <f t="shared" si="14"/>
        <v>0</v>
      </c>
      <c r="Z81" s="9">
        <f>ROUND(T81 / 1.2, 2)</f>
        <v>0</v>
      </c>
      <c r="AA81" s="9">
        <f>Y81+Z81</f>
        <v>0</v>
      </c>
      <c r="AD81" s="4">
        <v>264030271</v>
      </c>
      <c r="AE81" s="4">
        <v>16078057</v>
      </c>
      <c r="AG81" s="4" t="s">
        <v>323</v>
      </c>
      <c r="AH81" s="4" t="s">
        <v>324</v>
      </c>
      <c r="AI81" s="4" t="s">
        <v>249</v>
      </c>
    </row>
    <row r="82" spans="1:35" ht="37.5" x14ac:dyDescent="0.25">
      <c r="A82" s="44" t="s">
        <v>325</v>
      </c>
      <c r="B82" s="44" t="s">
        <v>320</v>
      </c>
      <c r="C82" s="45" t="s">
        <v>321</v>
      </c>
      <c r="D82" s="46"/>
      <c r="E82" s="46" t="s">
        <v>322</v>
      </c>
      <c r="F82" s="46" t="s">
        <v>56</v>
      </c>
      <c r="G82" s="47">
        <v>1</v>
      </c>
      <c r="H82" s="46"/>
      <c r="I82" s="47">
        <v>362.4</v>
      </c>
      <c r="J82" s="48">
        <v>0</v>
      </c>
      <c r="K82" s="48">
        <v>922</v>
      </c>
      <c r="L82" s="48"/>
      <c r="M82" s="48">
        <v>0</v>
      </c>
      <c r="N82" s="48"/>
      <c r="O82" s="48"/>
      <c r="P82" s="48">
        <v>0</v>
      </c>
      <c r="Q82" s="48">
        <v>922</v>
      </c>
      <c r="R82" s="48"/>
      <c r="S82" s="48">
        <v>0</v>
      </c>
      <c r="T82" s="48"/>
      <c r="U82" s="48"/>
      <c r="V82" s="9"/>
      <c r="W82" s="9">
        <f>ROUND(Q82 / 1.2, 2)</f>
        <v>768.33</v>
      </c>
      <c r="X82" s="9" t="e">
        <f>ROUND(R82 / 1.2, 2)</f>
        <v>#VALUE!</v>
      </c>
      <c r="Y82" s="9"/>
      <c r="Z82" s="9" t="e">
        <f>ROUND(T82 / 1.2, 2)</f>
        <v>#VALUE!</v>
      </c>
      <c r="AA82" s="9"/>
      <c r="AD82" s="4">
        <v>204257138</v>
      </c>
      <c r="AE82" s="4">
        <v>16078057</v>
      </c>
      <c r="AG82" s="4" t="s">
        <v>323</v>
      </c>
      <c r="AH82" s="4" t="s">
        <v>324</v>
      </c>
      <c r="AI82" s="4"/>
    </row>
    <row r="83" spans="1:35" ht="18.75" x14ac:dyDescent="0.25">
      <c r="A83" s="38" t="s">
        <v>326</v>
      </c>
      <c r="B83" s="38"/>
      <c r="C83" s="49" t="s">
        <v>291</v>
      </c>
      <c r="D83" s="40"/>
      <c r="E83" s="40" t="s">
        <v>327</v>
      </c>
      <c r="F83" s="50" t="s">
        <v>81</v>
      </c>
      <c r="G83" s="51">
        <v>1.8</v>
      </c>
      <c r="H83" s="40"/>
      <c r="I83" s="62">
        <v>0</v>
      </c>
      <c r="J83" s="53">
        <v>6.17</v>
      </c>
      <c r="K83" s="54"/>
      <c r="L83" s="54"/>
      <c r="M83" s="53">
        <f t="shared" ref="M83:M88" si="15">ROUND(ROUND(J83, 2)*I83, 2)</f>
        <v>0</v>
      </c>
      <c r="N83" s="54"/>
      <c r="O83" s="54"/>
      <c r="P83" s="53">
        <v>6.17</v>
      </c>
      <c r="Q83" s="54"/>
      <c r="R83" s="54"/>
      <c r="S83" s="53">
        <f t="shared" ref="S83:S88" si="16">ROUND(ROUND(P83, 2)*I83, 2)</f>
        <v>0</v>
      </c>
      <c r="T83" s="54"/>
      <c r="U83" s="55"/>
      <c r="V83" s="9">
        <f t="shared" ref="V83:V88" si="17">ROUND(ROUND(P83, 2)/1.2, 2)</f>
        <v>5.14</v>
      </c>
      <c r="Y83" s="9">
        <f t="shared" ref="Y83:Y89" si="18">ROUND(S83 / 1.2, 2)</f>
        <v>0</v>
      </c>
      <c r="AD83" s="4" t="s">
        <v>328</v>
      </c>
      <c r="AE83" s="4" t="s">
        <v>329</v>
      </c>
      <c r="AF83" s="4" t="s">
        <v>295</v>
      </c>
    </row>
    <row r="84" spans="1:35" ht="18.75" x14ac:dyDescent="0.25">
      <c r="A84" s="44" t="s">
        <v>330</v>
      </c>
      <c r="B84" s="44"/>
      <c r="C84" s="56" t="s">
        <v>291</v>
      </c>
      <c r="D84" s="46"/>
      <c r="E84" s="46" t="s">
        <v>327</v>
      </c>
      <c r="F84" s="57" t="s">
        <v>81</v>
      </c>
      <c r="G84" s="58">
        <v>1.8</v>
      </c>
      <c r="H84" s="46"/>
      <c r="I84" s="63">
        <v>41748.480000000003</v>
      </c>
      <c r="J84" s="59">
        <v>6.17</v>
      </c>
      <c r="K84" s="60"/>
      <c r="L84" s="60"/>
      <c r="M84" s="59">
        <f t="shared" si="15"/>
        <v>257588.12</v>
      </c>
      <c r="N84" s="60"/>
      <c r="O84" s="60"/>
      <c r="P84" s="59">
        <v>6.17</v>
      </c>
      <c r="Q84" s="60"/>
      <c r="R84" s="60"/>
      <c r="S84" s="59">
        <f t="shared" si="16"/>
        <v>257588.12</v>
      </c>
      <c r="T84" s="60"/>
      <c r="U84" s="61"/>
      <c r="V84" s="9">
        <f t="shared" si="17"/>
        <v>5.14</v>
      </c>
      <c r="Y84" s="9">
        <f t="shared" si="18"/>
        <v>214656.77</v>
      </c>
      <c r="AD84" s="4" t="s">
        <v>331</v>
      </c>
      <c r="AE84" s="4" t="s">
        <v>329</v>
      </c>
      <c r="AF84" s="4" t="s">
        <v>295</v>
      </c>
    </row>
    <row r="85" spans="1:35" ht="18.75" x14ac:dyDescent="0.25">
      <c r="A85" s="38" t="s">
        <v>332</v>
      </c>
      <c r="B85" s="38"/>
      <c r="C85" s="49" t="s">
        <v>299</v>
      </c>
      <c r="D85" s="40"/>
      <c r="E85" s="40"/>
      <c r="F85" s="50" t="s">
        <v>56</v>
      </c>
      <c r="G85" s="51">
        <v>1.1000000000000001</v>
      </c>
      <c r="H85" s="40"/>
      <c r="I85" s="62">
        <v>0</v>
      </c>
      <c r="J85" s="53">
        <v>155.01</v>
      </c>
      <c r="K85" s="54"/>
      <c r="L85" s="54"/>
      <c r="M85" s="53">
        <f t="shared" si="15"/>
        <v>0</v>
      </c>
      <c r="N85" s="54"/>
      <c r="O85" s="54"/>
      <c r="P85" s="53">
        <v>155.01</v>
      </c>
      <c r="Q85" s="54"/>
      <c r="R85" s="54"/>
      <c r="S85" s="53">
        <f t="shared" si="16"/>
        <v>0</v>
      </c>
      <c r="T85" s="54"/>
      <c r="U85" s="55"/>
      <c r="V85" s="9">
        <f t="shared" si="17"/>
        <v>129.18</v>
      </c>
      <c r="Y85" s="9">
        <f t="shared" si="18"/>
        <v>0</v>
      </c>
      <c r="AD85" s="4" t="s">
        <v>333</v>
      </c>
      <c r="AE85" s="4" t="s">
        <v>334</v>
      </c>
      <c r="AF85" s="4" t="s">
        <v>302</v>
      </c>
    </row>
    <row r="86" spans="1:35" ht="18.75" x14ac:dyDescent="0.25">
      <c r="A86" s="44" t="s">
        <v>335</v>
      </c>
      <c r="B86" s="44"/>
      <c r="C86" s="56" t="s">
        <v>299</v>
      </c>
      <c r="D86" s="46"/>
      <c r="E86" s="46"/>
      <c r="F86" s="57" t="s">
        <v>56</v>
      </c>
      <c r="G86" s="58">
        <v>1.1000000000000001</v>
      </c>
      <c r="H86" s="46"/>
      <c r="I86" s="63">
        <v>398.64</v>
      </c>
      <c r="J86" s="59">
        <v>155.01</v>
      </c>
      <c r="K86" s="60"/>
      <c r="L86" s="60"/>
      <c r="M86" s="59">
        <f t="shared" si="15"/>
        <v>61793.19</v>
      </c>
      <c r="N86" s="60"/>
      <c r="O86" s="60"/>
      <c r="P86" s="59">
        <v>155.01</v>
      </c>
      <c r="Q86" s="60"/>
      <c r="R86" s="60"/>
      <c r="S86" s="59">
        <f t="shared" si="16"/>
        <v>61793.19</v>
      </c>
      <c r="T86" s="60"/>
      <c r="U86" s="61"/>
      <c r="V86" s="9">
        <f t="shared" si="17"/>
        <v>129.18</v>
      </c>
      <c r="Y86" s="9">
        <f t="shared" si="18"/>
        <v>51494.33</v>
      </c>
      <c r="AD86" s="4" t="s">
        <v>336</v>
      </c>
      <c r="AE86" s="4" t="s">
        <v>334</v>
      </c>
      <c r="AF86" s="4" t="s">
        <v>302</v>
      </c>
    </row>
    <row r="87" spans="1:35" ht="37.5" x14ac:dyDescent="0.25">
      <c r="A87" s="38" t="s">
        <v>337</v>
      </c>
      <c r="B87" s="38"/>
      <c r="C87" s="49" t="s">
        <v>306</v>
      </c>
      <c r="D87" s="40"/>
      <c r="E87" s="40"/>
      <c r="F87" s="50" t="s">
        <v>123</v>
      </c>
      <c r="G87" s="51">
        <v>1</v>
      </c>
      <c r="H87" s="40"/>
      <c r="I87" s="62">
        <v>0</v>
      </c>
      <c r="J87" s="53">
        <v>10.4</v>
      </c>
      <c r="K87" s="54"/>
      <c r="L87" s="54"/>
      <c r="M87" s="53">
        <f t="shared" si="15"/>
        <v>0</v>
      </c>
      <c r="N87" s="54"/>
      <c r="O87" s="54"/>
      <c r="P87" s="53">
        <v>10.4</v>
      </c>
      <c r="Q87" s="54"/>
      <c r="R87" s="54"/>
      <c r="S87" s="53">
        <f t="shared" si="16"/>
        <v>0</v>
      </c>
      <c r="T87" s="54"/>
      <c r="U87" s="55"/>
      <c r="V87" s="9">
        <f t="shared" si="17"/>
        <v>8.67</v>
      </c>
      <c r="Y87" s="9">
        <f t="shared" si="18"/>
        <v>0</v>
      </c>
      <c r="AD87" s="4" t="s">
        <v>338</v>
      </c>
      <c r="AE87" s="4" t="s">
        <v>339</v>
      </c>
      <c r="AF87" s="4" t="s">
        <v>309</v>
      </c>
    </row>
    <row r="88" spans="1:35" ht="37.5" x14ac:dyDescent="0.25">
      <c r="A88" s="44" t="s">
        <v>340</v>
      </c>
      <c r="B88" s="44"/>
      <c r="C88" s="56" t="s">
        <v>306</v>
      </c>
      <c r="D88" s="46"/>
      <c r="E88" s="46"/>
      <c r="F88" s="57" t="s">
        <v>123</v>
      </c>
      <c r="G88" s="58">
        <v>1</v>
      </c>
      <c r="H88" s="46"/>
      <c r="I88" s="63">
        <v>362.4</v>
      </c>
      <c r="J88" s="59">
        <v>10.4</v>
      </c>
      <c r="K88" s="60"/>
      <c r="L88" s="60"/>
      <c r="M88" s="59">
        <f t="shared" si="15"/>
        <v>3768.96</v>
      </c>
      <c r="N88" s="60"/>
      <c r="O88" s="60"/>
      <c r="P88" s="59">
        <v>10.4</v>
      </c>
      <c r="Q88" s="60"/>
      <c r="R88" s="60"/>
      <c r="S88" s="59">
        <f t="shared" si="16"/>
        <v>3768.96</v>
      </c>
      <c r="T88" s="60"/>
      <c r="U88" s="61"/>
      <c r="V88" s="9">
        <f t="shared" si="17"/>
        <v>8.67</v>
      </c>
      <c r="Y88" s="9">
        <f t="shared" si="18"/>
        <v>3140.8</v>
      </c>
      <c r="AD88" s="4" t="s">
        <v>341</v>
      </c>
      <c r="AE88" s="4" t="s">
        <v>339</v>
      </c>
      <c r="AF88" s="4" t="s">
        <v>309</v>
      </c>
    </row>
    <row r="89" spans="1:35" ht="37.5" x14ac:dyDescent="0.25">
      <c r="A89" s="38" t="s">
        <v>342</v>
      </c>
      <c r="B89" s="38" t="s">
        <v>320</v>
      </c>
      <c r="C89" s="39" t="s">
        <v>321</v>
      </c>
      <c r="D89" s="40"/>
      <c r="E89" s="40" t="s">
        <v>343</v>
      </c>
      <c r="F89" s="40" t="s">
        <v>56</v>
      </c>
      <c r="G89" s="41">
        <v>1</v>
      </c>
      <c r="H89" s="40"/>
      <c r="I89" s="42">
        <v>0</v>
      </c>
      <c r="J89" s="43">
        <f>IFERROR(ROUND(SUM(M91,M93,M95,M97)/I89, 2),0)</f>
        <v>0</v>
      </c>
      <c r="K89" s="43">
        <v>922</v>
      </c>
      <c r="L89" s="43">
        <f>J89+ROUND(K89, 2)</f>
        <v>922</v>
      </c>
      <c r="M89" s="43">
        <f>ROUND(J89*I89, 2)</f>
        <v>0</v>
      </c>
      <c r="N89" s="43">
        <f>ROUND(I89*ROUND(K89, 2), 2)</f>
        <v>0</v>
      </c>
      <c r="O89" s="43">
        <f>M89+N89</f>
        <v>0</v>
      </c>
      <c r="P89" s="43">
        <f>IFERROR(ROUND(SUM(S91,S93,S95,S97)/I89, 2),0)</f>
        <v>0</v>
      </c>
      <c r="Q89" s="43">
        <v>922</v>
      </c>
      <c r="R89" s="43">
        <f>P89+ROUND(Q89, 2)</f>
        <v>922</v>
      </c>
      <c r="S89" s="43">
        <f>ROUND(P89*I89, 2)</f>
        <v>0</v>
      </c>
      <c r="T89" s="43">
        <f>ROUND(I89*ROUND(Q89, 2), 2)</f>
        <v>0</v>
      </c>
      <c r="U89" s="43">
        <f>S89+T89</f>
        <v>0</v>
      </c>
      <c r="V89" s="9">
        <f>ROUND(P89 / 1.2, 2)</f>
        <v>0</v>
      </c>
      <c r="W89" s="9">
        <f>ROUND(Q89 / 1.2, 2)</f>
        <v>768.33</v>
      </c>
      <c r="X89" s="9">
        <f>ROUND(R89 / 1.2, 2)</f>
        <v>768.33</v>
      </c>
      <c r="Y89" s="9">
        <f t="shared" si="18"/>
        <v>0</v>
      </c>
      <c r="Z89" s="9">
        <f>ROUND(T89 / 1.2, 2)</f>
        <v>0</v>
      </c>
      <c r="AA89" s="9">
        <f>Y89+Z89</f>
        <v>0</v>
      </c>
      <c r="AD89" s="4">
        <v>264030365</v>
      </c>
      <c r="AE89" s="4">
        <v>16080100</v>
      </c>
      <c r="AG89" s="4" t="s">
        <v>323</v>
      </c>
      <c r="AH89" s="4" t="s">
        <v>324</v>
      </c>
      <c r="AI89" s="4" t="s">
        <v>249</v>
      </c>
    </row>
    <row r="90" spans="1:35" ht="37.5" x14ac:dyDescent="0.25">
      <c r="A90" s="44" t="s">
        <v>344</v>
      </c>
      <c r="B90" s="44" t="s">
        <v>320</v>
      </c>
      <c r="C90" s="45" t="s">
        <v>321</v>
      </c>
      <c r="D90" s="46"/>
      <c r="E90" s="46" t="s">
        <v>343</v>
      </c>
      <c r="F90" s="46" t="s">
        <v>56</v>
      </c>
      <c r="G90" s="47">
        <v>1</v>
      </c>
      <c r="H90" s="46"/>
      <c r="I90" s="47">
        <v>75.400000000000006</v>
      </c>
      <c r="J90" s="48">
        <v>0</v>
      </c>
      <c r="K90" s="48">
        <v>922</v>
      </c>
      <c r="L90" s="48"/>
      <c r="M90" s="48">
        <v>0</v>
      </c>
      <c r="N90" s="48"/>
      <c r="O90" s="48"/>
      <c r="P90" s="48">
        <v>0</v>
      </c>
      <c r="Q90" s="48">
        <v>922</v>
      </c>
      <c r="R90" s="48"/>
      <c r="S90" s="48">
        <v>0</v>
      </c>
      <c r="T90" s="48"/>
      <c r="U90" s="48"/>
      <c r="V90" s="9"/>
      <c r="W90" s="9">
        <f>ROUND(Q90 / 1.2, 2)</f>
        <v>768.33</v>
      </c>
      <c r="X90" s="9" t="e">
        <f>ROUND(R90 / 1.2, 2)</f>
        <v>#VALUE!</v>
      </c>
      <c r="Y90" s="9"/>
      <c r="Z90" s="9" t="e">
        <f>ROUND(T90 / 1.2, 2)</f>
        <v>#VALUE!</v>
      </c>
      <c r="AA90" s="9"/>
      <c r="AD90" s="4">
        <v>204388331</v>
      </c>
      <c r="AE90" s="4">
        <v>16080100</v>
      </c>
      <c r="AG90" s="4" t="s">
        <v>323</v>
      </c>
      <c r="AH90" s="4" t="s">
        <v>324</v>
      </c>
      <c r="AI90" s="4"/>
    </row>
    <row r="91" spans="1:35" ht="18.75" x14ac:dyDescent="0.25">
      <c r="A91" s="38" t="s">
        <v>345</v>
      </c>
      <c r="B91" s="38"/>
      <c r="C91" s="49" t="s">
        <v>313</v>
      </c>
      <c r="D91" s="40"/>
      <c r="E91" s="40"/>
      <c r="F91" s="50" t="s">
        <v>81</v>
      </c>
      <c r="G91" s="51">
        <v>0.255</v>
      </c>
      <c r="H91" s="40"/>
      <c r="I91" s="52">
        <v>0</v>
      </c>
      <c r="J91" s="53">
        <v>100</v>
      </c>
      <c r="K91" s="54"/>
      <c r="L91" s="54"/>
      <c r="M91" s="53">
        <f t="shared" ref="M91:M98" si="19">ROUND(ROUND(J91, 2)*I91, 2)</f>
        <v>0</v>
      </c>
      <c r="N91" s="54"/>
      <c r="O91" s="54"/>
      <c r="P91" s="53">
        <v>100</v>
      </c>
      <c r="Q91" s="54"/>
      <c r="R91" s="54"/>
      <c r="S91" s="53">
        <f t="shared" ref="S91:S98" si="20">ROUND(ROUND(P91, 2)*I91, 2)</f>
        <v>0</v>
      </c>
      <c r="T91" s="54"/>
      <c r="U91" s="55"/>
      <c r="V91" s="9">
        <f t="shared" ref="V91:V98" si="21">ROUND(ROUND(P91, 2)/1.2, 2)</f>
        <v>83.33</v>
      </c>
      <c r="Y91" s="9">
        <f t="shared" ref="Y91:Y99" si="22">ROUND(S91 / 1.2, 2)</f>
        <v>0</v>
      </c>
      <c r="AD91" s="4" t="s">
        <v>346</v>
      </c>
      <c r="AE91" s="4" t="s">
        <v>347</v>
      </c>
      <c r="AF91" s="4" t="s">
        <v>316</v>
      </c>
    </row>
    <row r="92" spans="1:35" ht="18.75" x14ac:dyDescent="0.25">
      <c r="A92" s="44" t="s">
        <v>348</v>
      </c>
      <c r="B92" s="44"/>
      <c r="C92" s="56" t="s">
        <v>313</v>
      </c>
      <c r="D92" s="46"/>
      <c r="E92" s="46"/>
      <c r="F92" s="57" t="s">
        <v>81</v>
      </c>
      <c r="G92" s="58">
        <v>0.255</v>
      </c>
      <c r="H92" s="46"/>
      <c r="I92" s="58">
        <v>19.227</v>
      </c>
      <c r="J92" s="59">
        <v>100</v>
      </c>
      <c r="K92" s="60"/>
      <c r="L92" s="60"/>
      <c r="M92" s="59">
        <f t="shared" si="19"/>
        <v>1922.7</v>
      </c>
      <c r="N92" s="60"/>
      <c r="O92" s="60"/>
      <c r="P92" s="59">
        <v>100</v>
      </c>
      <c r="Q92" s="60"/>
      <c r="R92" s="60"/>
      <c r="S92" s="59">
        <f t="shared" si="20"/>
        <v>1922.7</v>
      </c>
      <c r="T92" s="60"/>
      <c r="U92" s="61"/>
      <c r="V92" s="9">
        <f t="shared" si="21"/>
        <v>83.33</v>
      </c>
      <c r="Y92" s="9">
        <f t="shared" si="22"/>
        <v>1602.25</v>
      </c>
      <c r="AD92" s="4" t="s">
        <v>349</v>
      </c>
      <c r="AE92" s="4" t="s">
        <v>347</v>
      </c>
      <c r="AF92" s="4" t="s">
        <v>316</v>
      </c>
    </row>
    <row r="93" spans="1:35" ht="37.5" x14ac:dyDescent="0.25">
      <c r="A93" s="38" t="s">
        <v>350</v>
      </c>
      <c r="B93" s="38"/>
      <c r="C93" s="49" t="s">
        <v>306</v>
      </c>
      <c r="D93" s="40"/>
      <c r="E93" s="40"/>
      <c r="F93" s="50" t="s">
        <v>123</v>
      </c>
      <c r="G93" s="51">
        <v>1</v>
      </c>
      <c r="H93" s="40"/>
      <c r="I93" s="62">
        <v>0</v>
      </c>
      <c r="J93" s="53">
        <v>10.4</v>
      </c>
      <c r="K93" s="54"/>
      <c r="L93" s="54"/>
      <c r="M93" s="53">
        <f t="shared" si="19"/>
        <v>0</v>
      </c>
      <c r="N93" s="54"/>
      <c r="O93" s="54"/>
      <c r="P93" s="53">
        <v>10.4</v>
      </c>
      <c r="Q93" s="54"/>
      <c r="R93" s="54"/>
      <c r="S93" s="53">
        <f t="shared" si="20"/>
        <v>0</v>
      </c>
      <c r="T93" s="54"/>
      <c r="U93" s="55"/>
      <c r="V93" s="9">
        <f t="shared" si="21"/>
        <v>8.67</v>
      </c>
      <c r="Y93" s="9">
        <f t="shared" si="22"/>
        <v>0</v>
      </c>
      <c r="AD93" s="4" t="s">
        <v>351</v>
      </c>
      <c r="AE93" s="4" t="s">
        <v>352</v>
      </c>
      <c r="AF93" s="4" t="s">
        <v>309</v>
      </c>
    </row>
    <row r="94" spans="1:35" ht="37.5" x14ac:dyDescent="0.25">
      <c r="A94" s="44" t="s">
        <v>353</v>
      </c>
      <c r="B94" s="44"/>
      <c r="C94" s="56" t="s">
        <v>306</v>
      </c>
      <c r="D94" s="46"/>
      <c r="E94" s="46"/>
      <c r="F94" s="57" t="s">
        <v>123</v>
      </c>
      <c r="G94" s="58">
        <v>1</v>
      </c>
      <c r="H94" s="46"/>
      <c r="I94" s="63">
        <v>75.400000000000006</v>
      </c>
      <c r="J94" s="59">
        <v>10.4</v>
      </c>
      <c r="K94" s="60"/>
      <c r="L94" s="60"/>
      <c r="M94" s="59">
        <f t="shared" si="19"/>
        <v>784.16</v>
      </c>
      <c r="N94" s="60"/>
      <c r="O94" s="60"/>
      <c r="P94" s="59">
        <v>10.4</v>
      </c>
      <c r="Q94" s="60"/>
      <c r="R94" s="60"/>
      <c r="S94" s="59">
        <f t="shared" si="20"/>
        <v>784.16</v>
      </c>
      <c r="T94" s="60"/>
      <c r="U94" s="61"/>
      <c r="V94" s="9">
        <f t="shared" si="21"/>
        <v>8.67</v>
      </c>
      <c r="Y94" s="9">
        <f t="shared" si="22"/>
        <v>653.47</v>
      </c>
      <c r="AD94" s="4" t="s">
        <v>354</v>
      </c>
      <c r="AE94" s="4" t="s">
        <v>352</v>
      </c>
      <c r="AF94" s="4" t="s">
        <v>309</v>
      </c>
    </row>
    <row r="95" spans="1:35" ht="18.75" x14ac:dyDescent="0.25">
      <c r="A95" s="38" t="s">
        <v>355</v>
      </c>
      <c r="B95" s="38"/>
      <c r="C95" s="49" t="s">
        <v>299</v>
      </c>
      <c r="D95" s="40"/>
      <c r="E95" s="40"/>
      <c r="F95" s="50" t="s">
        <v>56</v>
      </c>
      <c r="G95" s="51">
        <v>1.1000000000000001</v>
      </c>
      <c r="H95" s="40"/>
      <c r="I95" s="62">
        <v>0</v>
      </c>
      <c r="J95" s="53">
        <v>155.01</v>
      </c>
      <c r="K95" s="54"/>
      <c r="L95" s="54"/>
      <c r="M95" s="53">
        <f t="shared" si="19"/>
        <v>0</v>
      </c>
      <c r="N95" s="54"/>
      <c r="O95" s="54"/>
      <c r="P95" s="53">
        <v>155.01</v>
      </c>
      <c r="Q95" s="54"/>
      <c r="R95" s="54"/>
      <c r="S95" s="53">
        <f t="shared" si="20"/>
        <v>0</v>
      </c>
      <c r="T95" s="54"/>
      <c r="U95" s="55"/>
      <c r="V95" s="9">
        <f t="shared" si="21"/>
        <v>129.18</v>
      </c>
      <c r="Y95" s="9">
        <f t="shared" si="22"/>
        <v>0</v>
      </c>
      <c r="AD95" s="4" t="s">
        <v>356</v>
      </c>
      <c r="AE95" s="4" t="s">
        <v>357</v>
      </c>
      <c r="AF95" s="4" t="s">
        <v>302</v>
      </c>
    </row>
    <row r="96" spans="1:35" ht="18.75" x14ac:dyDescent="0.25">
      <c r="A96" s="44" t="s">
        <v>358</v>
      </c>
      <c r="B96" s="44"/>
      <c r="C96" s="56" t="s">
        <v>299</v>
      </c>
      <c r="D96" s="46"/>
      <c r="E96" s="46"/>
      <c r="F96" s="57" t="s">
        <v>56</v>
      </c>
      <c r="G96" s="58">
        <v>1.1000000000000001</v>
      </c>
      <c r="H96" s="46"/>
      <c r="I96" s="63">
        <v>82.94</v>
      </c>
      <c r="J96" s="59">
        <v>155.01</v>
      </c>
      <c r="K96" s="60"/>
      <c r="L96" s="60"/>
      <c r="M96" s="59">
        <f t="shared" si="19"/>
        <v>12856.53</v>
      </c>
      <c r="N96" s="60"/>
      <c r="O96" s="60"/>
      <c r="P96" s="59">
        <v>155.01</v>
      </c>
      <c r="Q96" s="60"/>
      <c r="R96" s="60"/>
      <c r="S96" s="59">
        <f t="shared" si="20"/>
        <v>12856.53</v>
      </c>
      <c r="T96" s="60"/>
      <c r="U96" s="61"/>
      <c r="V96" s="9">
        <f t="shared" si="21"/>
        <v>129.18</v>
      </c>
      <c r="Y96" s="9">
        <f t="shared" si="22"/>
        <v>10713.78</v>
      </c>
      <c r="AD96" s="4" t="s">
        <v>359</v>
      </c>
      <c r="AE96" s="4" t="s">
        <v>357</v>
      </c>
      <c r="AF96" s="4" t="s">
        <v>302</v>
      </c>
    </row>
    <row r="97" spans="1:35" ht="18.75" x14ac:dyDescent="0.25">
      <c r="A97" s="38" t="s">
        <v>360</v>
      </c>
      <c r="B97" s="38"/>
      <c r="C97" s="49" t="s">
        <v>291</v>
      </c>
      <c r="D97" s="40"/>
      <c r="E97" s="40" t="s">
        <v>361</v>
      </c>
      <c r="F97" s="50" t="s">
        <v>81</v>
      </c>
      <c r="G97" s="51">
        <v>1.8</v>
      </c>
      <c r="H97" s="40"/>
      <c r="I97" s="62">
        <v>0</v>
      </c>
      <c r="J97" s="53">
        <v>6.17</v>
      </c>
      <c r="K97" s="54"/>
      <c r="L97" s="54"/>
      <c r="M97" s="53">
        <f t="shared" si="19"/>
        <v>0</v>
      </c>
      <c r="N97" s="54"/>
      <c r="O97" s="54"/>
      <c r="P97" s="53">
        <v>6.17</v>
      </c>
      <c r="Q97" s="54"/>
      <c r="R97" s="54"/>
      <c r="S97" s="53">
        <f t="shared" si="20"/>
        <v>0</v>
      </c>
      <c r="T97" s="54"/>
      <c r="U97" s="55"/>
      <c r="V97" s="9">
        <f t="shared" si="21"/>
        <v>5.14</v>
      </c>
      <c r="Y97" s="9">
        <f t="shared" si="22"/>
        <v>0</v>
      </c>
      <c r="AD97" s="4" t="s">
        <v>362</v>
      </c>
      <c r="AE97" s="4" t="s">
        <v>363</v>
      </c>
      <c r="AF97" s="4" t="s">
        <v>295</v>
      </c>
    </row>
    <row r="98" spans="1:35" ht="18.75" x14ac:dyDescent="0.25">
      <c r="A98" s="44" t="s">
        <v>364</v>
      </c>
      <c r="B98" s="44"/>
      <c r="C98" s="56" t="s">
        <v>291</v>
      </c>
      <c r="D98" s="46"/>
      <c r="E98" s="46" t="s">
        <v>361</v>
      </c>
      <c r="F98" s="57" t="s">
        <v>81</v>
      </c>
      <c r="G98" s="58">
        <v>1.8</v>
      </c>
      <c r="H98" s="46"/>
      <c r="I98" s="63">
        <v>8821.7999999999993</v>
      </c>
      <c r="J98" s="59">
        <v>6.17</v>
      </c>
      <c r="K98" s="60"/>
      <c r="L98" s="60"/>
      <c r="M98" s="59">
        <f t="shared" si="19"/>
        <v>54430.51</v>
      </c>
      <c r="N98" s="60"/>
      <c r="O98" s="60"/>
      <c r="P98" s="59">
        <v>6.17</v>
      </c>
      <c r="Q98" s="60"/>
      <c r="R98" s="60"/>
      <c r="S98" s="59">
        <f t="shared" si="20"/>
        <v>54430.51</v>
      </c>
      <c r="T98" s="60"/>
      <c r="U98" s="61"/>
      <c r="V98" s="9">
        <f t="shared" si="21"/>
        <v>5.14</v>
      </c>
      <c r="Y98" s="9">
        <f t="shared" si="22"/>
        <v>45358.76</v>
      </c>
      <c r="AD98" s="4" t="s">
        <v>365</v>
      </c>
      <c r="AE98" s="4" t="s">
        <v>363</v>
      </c>
      <c r="AF98" s="4" t="s">
        <v>295</v>
      </c>
    </row>
    <row r="99" spans="1:35" ht="37.5" x14ac:dyDescent="0.25">
      <c r="A99" s="38" t="s">
        <v>366</v>
      </c>
      <c r="B99" s="38" t="s">
        <v>320</v>
      </c>
      <c r="C99" s="39" t="s">
        <v>321</v>
      </c>
      <c r="D99" s="40"/>
      <c r="E99" s="40" t="s">
        <v>367</v>
      </c>
      <c r="F99" s="40" t="s">
        <v>56</v>
      </c>
      <c r="G99" s="41">
        <v>1</v>
      </c>
      <c r="H99" s="40"/>
      <c r="I99" s="42">
        <v>0</v>
      </c>
      <c r="J99" s="43">
        <f>IFERROR(ROUND(SUM(M101,M103,M105)/I99, 2),0)</f>
        <v>0</v>
      </c>
      <c r="K99" s="43">
        <v>922</v>
      </c>
      <c r="L99" s="43">
        <f>J99+ROUND(K99, 2)</f>
        <v>922</v>
      </c>
      <c r="M99" s="43">
        <f>ROUND(J99*I99, 2)</f>
        <v>0</v>
      </c>
      <c r="N99" s="43">
        <f>ROUND(I99*ROUND(K99, 2), 2)</f>
        <v>0</v>
      </c>
      <c r="O99" s="43">
        <f>M99+N99</f>
        <v>0</v>
      </c>
      <c r="P99" s="43">
        <f>IFERROR(ROUND(SUM(S101,S103,S105)/I99, 2),0)</f>
        <v>0</v>
      </c>
      <c r="Q99" s="43">
        <v>922</v>
      </c>
      <c r="R99" s="43">
        <f>P99+ROUND(Q99, 2)</f>
        <v>922</v>
      </c>
      <c r="S99" s="43">
        <f>ROUND(P99*I99, 2)</f>
        <v>0</v>
      </c>
      <c r="T99" s="43">
        <f>ROUND(I99*ROUND(Q99, 2), 2)</f>
        <v>0</v>
      </c>
      <c r="U99" s="43">
        <f>S99+T99</f>
        <v>0</v>
      </c>
      <c r="V99" s="9">
        <f>ROUND(P99 / 1.2, 2)</f>
        <v>0</v>
      </c>
      <c r="W99" s="9">
        <f>ROUND(Q99 / 1.2, 2)</f>
        <v>768.33</v>
      </c>
      <c r="X99" s="9">
        <f>ROUND(R99 / 1.2, 2)</f>
        <v>768.33</v>
      </c>
      <c r="Y99" s="9">
        <f t="shared" si="22"/>
        <v>0</v>
      </c>
      <c r="Z99" s="9">
        <f>ROUND(T99 / 1.2, 2)</f>
        <v>0</v>
      </c>
      <c r="AA99" s="9">
        <f>Y99+Z99</f>
        <v>0</v>
      </c>
      <c r="AD99" s="4">
        <v>264030366</v>
      </c>
      <c r="AE99" s="4">
        <v>16088189</v>
      </c>
      <c r="AG99" s="4" t="s">
        <v>323</v>
      </c>
      <c r="AH99" s="4" t="s">
        <v>324</v>
      </c>
      <c r="AI99" s="4" t="s">
        <v>249</v>
      </c>
    </row>
    <row r="100" spans="1:35" ht="37.5" x14ac:dyDescent="0.25">
      <c r="A100" s="44" t="s">
        <v>368</v>
      </c>
      <c r="B100" s="44" t="s">
        <v>320</v>
      </c>
      <c r="C100" s="45" t="s">
        <v>321</v>
      </c>
      <c r="D100" s="46"/>
      <c r="E100" s="46" t="s">
        <v>367</v>
      </c>
      <c r="F100" s="46" t="s">
        <v>56</v>
      </c>
      <c r="G100" s="47">
        <v>1</v>
      </c>
      <c r="H100" s="46"/>
      <c r="I100" s="47">
        <v>148.1</v>
      </c>
      <c r="J100" s="48">
        <v>0</v>
      </c>
      <c r="K100" s="48">
        <v>922</v>
      </c>
      <c r="L100" s="48"/>
      <c r="M100" s="48">
        <v>0</v>
      </c>
      <c r="N100" s="48"/>
      <c r="O100" s="48"/>
      <c r="P100" s="48">
        <v>0</v>
      </c>
      <c r="Q100" s="48">
        <v>922</v>
      </c>
      <c r="R100" s="48"/>
      <c r="S100" s="48">
        <v>0</v>
      </c>
      <c r="T100" s="48"/>
      <c r="U100" s="48"/>
      <c r="V100" s="9"/>
      <c r="W100" s="9">
        <f>ROUND(Q100 / 1.2, 2)</f>
        <v>768.33</v>
      </c>
      <c r="X100" s="9" t="e">
        <f>ROUND(R100 / 1.2, 2)</f>
        <v>#VALUE!</v>
      </c>
      <c r="Y100" s="9"/>
      <c r="Z100" s="9" t="e">
        <f>ROUND(T100 / 1.2, 2)</f>
        <v>#VALUE!</v>
      </c>
      <c r="AA100" s="9"/>
      <c r="AD100" s="4">
        <v>204428534</v>
      </c>
      <c r="AE100" s="4">
        <v>16088189</v>
      </c>
      <c r="AG100" s="4" t="s">
        <v>323</v>
      </c>
      <c r="AH100" s="4" t="s">
        <v>324</v>
      </c>
      <c r="AI100" s="4"/>
    </row>
    <row r="101" spans="1:35" ht="18.75" x14ac:dyDescent="0.25">
      <c r="A101" s="38" t="s">
        <v>369</v>
      </c>
      <c r="B101" s="38"/>
      <c r="C101" s="49" t="s">
        <v>370</v>
      </c>
      <c r="D101" s="40"/>
      <c r="E101" s="40" t="s">
        <v>371</v>
      </c>
      <c r="F101" s="50" t="s">
        <v>81</v>
      </c>
      <c r="G101" s="51">
        <v>1.8</v>
      </c>
      <c r="H101" s="40"/>
      <c r="I101" s="62">
        <v>0</v>
      </c>
      <c r="J101" s="53">
        <v>7.41</v>
      </c>
      <c r="K101" s="54"/>
      <c r="L101" s="54"/>
      <c r="M101" s="53">
        <f t="shared" ref="M101:M106" si="23">ROUND(ROUND(J101, 2)*I101, 2)</f>
        <v>0</v>
      </c>
      <c r="N101" s="54"/>
      <c r="O101" s="54"/>
      <c r="P101" s="53">
        <v>7.41</v>
      </c>
      <c r="Q101" s="54"/>
      <c r="R101" s="54"/>
      <c r="S101" s="53">
        <f t="shared" ref="S101:S106" si="24">ROUND(ROUND(P101, 2)*I101, 2)</f>
        <v>0</v>
      </c>
      <c r="T101" s="54"/>
      <c r="U101" s="55"/>
      <c r="V101" s="9">
        <f t="shared" ref="V101:V106" si="25">ROUND(ROUND(P101, 2)/1.2, 2)</f>
        <v>6.18</v>
      </c>
      <c r="Y101" s="9">
        <f t="shared" ref="Y101:Y110" si="26">ROUND(S101 / 1.2, 2)</f>
        <v>0</v>
      </c>
      <c r="AD101" s="4" t="s">
        <v>372</v>
      </c>
      <c r="AE101" s="4" t="s">
        <v>373</v>
      </c>
      <c r="AF101" s="4" t="s">
        <v>374</v>
      </c>
    </row>
    <row r="102" spans="1:35" ht="18.75" x14ac:dyDescent="0.25">
      <c r="A102" s="44" t="s">
        <v>375</v>
      </c>
      <c r="B102" s="44"/>
      <c r="C102" s="56" t="s">
        <v>370</v>
      </c>
      <c r="D102" s="46"/>
      <c r="E102" s="46" t="s">
        <v>371</v>
      </c>
      <c r="F102" s="57" t="s">
        <v>81</v>
      </c>
      <c r="G102" s="58">
        <v>1.8</v>
      </c>
      <c r="H102" s="46"/>
      <c r="I102" s="63">
        <v>17327.7</v>
      </c>
      <c r="J102" s="59">
        <v>7.41</v>
      </c>
      <c r="K102" s="60"/>
      <c r="L102" s="60"/>
      <c r="M102" s="59">
        <f t="shared" si="23"/>
        <v>128398.26</v>
      </c>
      <c r="N102" s="60"/>
      <c r="O102" s="60"/>
      <c r="P102" s="59">
        <v>7.41</v>
      </c>
      <c r="Q102" s="60"/>
      <c r="R102" s="60"/>
      <c r="S102" s="59">
        <f t="shared" si="24"/>
        <v>128398.26</v>
      </c>
      <c r="T102" s="60"/>
      <c r="U102" s="61"/>
      <c r="V102" s="9">
        <f t="shared" si="25"/>
        <v>6.18</v>
      </c>
      <c r="Y102" s="9">
        <f t="shared" si="26"/>
        <v>106998.55</v>
      </c>
      <c r="AD102" s="4" t="s">
        <v>376</v>
      </c>
      <c r="AE102" s="4" t="s">
        <v>373</v>
      </c>
      <c r="AF102" s="4" t="s">
        <v>374</v>
      </c>
    </row>
    <row r="103" spans="1:35" ht="18.75" x14ac:dyDescent="0.25">
      <c r="A103" s="38" t="s">
        <v>377</v>
      </c>
      <c r="B103" s="38"/>
      <c r="C103" s="49" t="s">
        <v>299</v>
      </c>
      <c r="D103" s="40"/>
      <c r="E103" s="40"/>
      <c r="F103" s="50" t="s">
        <v>56</v>
      </c>
      <c r="G103" s="51">
        <v>1.1000000000000001</v>
      </c>
      <c r="H103" s="40"/>
      <c r="I103" s="62">
        <v>0</v>
      </c>
      <c r="J103" s="53">
        <v>155.01</v>
      </c>
      <c r="K103" s="54"/>
      <c r="L103" s="54"/>
      <c r="M103" s="53">
        <f t="shared" si="23"/>
        <v>0</v>
      </c>
      <c r="N103" s="54"/>
      <c r="O103" s="54"/>
      <c r="P103" s="53">
        <v>155.01</v>
      </c>
      <c r="Q103" s="54"/>
      <c r="R103" s="54"/>
      <c r="S103" s="53">
        <f t="shared" si="24"/>
        <v>0</v>
      </c>
      <c r="T103" s="54"/>
      <c r="U103" s="55"/>
      <c r="V103" s="9">
        <f t="shared" si="25"/>
        <v>129.18</v>
      </c>
      <c r="Y103" s="9">
        <f t="shared" si="26"/>
        <v>0</v>
      </c>
      <c r="AD103" s="4" t="s">
        <v>378</v>
      </c>
      <c r="AE103" s="4" t="s">
        <v>379</v>
      </c>
      <c r="AF103" s="4" t="s">
        <v>302</v>
      </c>
    </row>
    <row r="104" spans="1:35" ht="18.75" x14ac:dyDescent="0.25">
      <c r="A104" s="44" t="s">
        <v>380</v>
      </c>
      <c r="B104" s="44"/>
      <c r="C104" s="56" t="s">
        <v>299</v>
      </c>
      <c r="D104" s="46"/>
      <c r="E104" s="46"/>
      <c r="F104" s="57" t="s">
        <v>56</v>
      </c>
      <c r="G104" s="58">
        <v>1.1000000000000001</v>
      </c>
      <c r="H104" s="46"/>
      <c r="I104" s="63">
        <v>162.91</v>
      </c>
      <c r="J104" s="59">
        <v>155.01</v>
      </c>
      <c r="K104" s="60"/>
      <c r="L104" s="60"/>
      <c r="M104" s="59">
        <f t="shared" si="23"/>
        <v>25252.68</v>
      </c>
      <c r="N104" s="60"/>
      <c r="O104" s="60"/>
      <c r="P104" s="59">
        <v>155.01</v>
      </c>
      <c r="Q104" s="60"/>
      <c r="R104" s="60"/>
      <c r="S104" s="59">
        <f t="shared" si="24"/>
        <v>25252.68</v>
      </c>
      <c r="T104" s="60"/>
      <c r="U104" s="61"/>
      <c r="V104" s="9">
        <f t="shared" si="25"/>
        <v>129.18</v>
      </c>
      <c r="Y104" s="9">
        <f t="shared" si="26"/>
        <v>21043.9</v>
      </c>
      <c r="AD104" s="4" t="s">
        <v>381</v>
      </c>
      <c r="AE104" s="4" t="s">
        <v>379</v>
      </c>
      <c r="AF104" s="4" t="s">
        <v>302</v>
      </c>
    </row>
    <row r="105" spans="1:35" ht="37.5" x14ac:dyDescent="0.25">
      <c r="A105" s="38" t="s">
        <v>382</v>
      </c>
      <c r="B105" s="38"/>
      <c r="C105" s="49" t="s">
        <v>306</v>
      </c>
      <c r="D105" s="40"/>
      <c r="E105" s="40"/>
      <c r="F105" s="50" t="s">
        <v>123</v>
      </c>
      <c r="G105" s="51">
        <v>1</v>
      </c>
      <c r="H105" s="40"/>
      <c r="I105" s="62">
        <v>0</v>
      </c>
      <c r="J105" s="53">
        <v>10.4</v>
      </c>
      <c r="K105" s="54"/>
      <c r="L105" s="54"/>
      <c r="M105" s="53">
        <f t="shared" si="23"/>
        <v>0</v>
      </c>
      <c r="N105" s="54"/>
      <c r="O105" s="54"/>
      <c r="P105" s="53">
        <v>10.4</v>
      </c>
      <c r="Q105" s="54"/>
      <c r="R105" s="54"/>
      <c r="S105" s="53">
        <f t="shared" si="24"/>
        <v>0</v>
      </c>
      <c r="T105" s="54"/>
      <c r="U105" s="55"/>
      <c r="V105" s="9">
        <f t="shared" si="25"/>
        <v>8.67</v>
      </c>
      <c r="Y105" s="9">
        <f t="shared" si="26"/>
        <v>0</v>
      </c>
      <c r="AD105" s="4" t="s">
        <v>383</v>
      </c>
      <c r="AE105" s="4" t="s">
        <v>384</v>
      </c>
      <c r="AF105" s="4" t="s">
        <v>309</v>
      </c>
    </row>
    <row r="106" spans="1:35" ht="37.5" x14ac:dyDescent="0.25">
      <c r="A106" s="44" t="s">
        <v>385</v>
      </c>
      <c r="B106" s="44"/>
      <c r="C106" s="56" t="s">
        <v>306</v>
      </c>
      <c r="D106" s="46"/>
      <c r="E106" s="46"/>
      <c r="F106" s="57" t="s">
        <v>123</v>
      </c>
      <c r="G106" s="58">
        <v>1</v>
      </c>
      <c r="H106" s="46"/>
      <c r="I106" s="63">
        <v>148.1</v>
      </c>
      <c r="J106" s="59">
        <v>10.4</v>
      </c>
      <c r="K106" s="60"/>
      <c r="L106" s="60"/>
      <c r="M106" s="59">
        <f t="shared" si="23"/>
        <v>1540.24</v>
      </c>
      <c r="N106" s="60"/>
      <c r="O106" s="60"/>
      <c r="P106" s="59">
        <v>10.4</v>
      </c>
      <c r="Q106" s="60"/>
      <c r="R106" s="60"/>
      <c r="S106" s="59">
        <f t="shared" si="24"/>
        <v>1540.24</v>
      </c>
      <c r="T106" s="60"/>
      <c r="U106" s="61"/>
      <c r="V106" s="9">
        <f t="shared" si="25"/>
        <v>8.67</v>
      </c>
      <c r="Y106" s="9">
        <f t="shared" si="26"/>
        <v>1283.53</v>
      </c>
      <c r="AD106" s="4" t="s">
        <v>386</v>
      </c>
      <c r="AE106" s="4" t="s">
        <v>384</v>
      </c>
      <c r="AF106" s="4" t="s">
        <v>309</v>
      </c>
    </row>
    <row r="107" spans="1:35" ht="75" x14ac:dyDescent="0.25">
      <c r="A107" s="11" t="s">
        <v>387</v>
      </c>
      <c r="B107" s="11" t="s">
        <v>320</v>
      </c>
      <c r="C107" s="20" t="s">
        <v>321</v>
      </c>
      <c r="D107" s="21"/>
      <c r="E107" s="21" t="s">
        <v>388</v>
      </c>
      <c r="F107" s="21" t="s">
        <v>56</v>
      </c>
      <c r="G107" s="22">
        <v>1</v>
      </c>
      <c r="H107" s="21"/>
      <c r="I107" s="22">
        <v>75.25</v>
      </c>
      <c r="J107" s="23">
        <f>IFERROR(ROUND(SUM(M108)/I107, 2),0)</f>
        <v>6.8</v>
      </c>
      <c r="K107" s="23">
        <v>1014</v>
      </c>
      <c r="L107" s="23">
        <f>J107+ROUND(K107, 2)</f>
        <v>1020.8</v>
      </c>
      <c r="M107" s="23">
        <f>ROUND(J107*I107, 2)</f>
        <v>511.7</v>
      </c>
      <c r="N107" s="23">
        <f>ROUND(I107*ROUND(K107, 2), 2)</f>
        <v>76303.5</v>
      </c>
      <c r="O107" s="23">
        <f>M107+N107</f>
        <v>76815.199999999997</v>
      </c>
      <c r="P107" s="23">
        <f>IFERROR(ROUND(SUM(S108)/I107, 2),0)</f>
        <v>6.8</v>
      </c>
      <c r="Q107" s="23">
        <v>1014</v>
      </c>
      <c r="R107" s="23">
        <f>P107+ROUND(Q107, 2)</f>
        <v>1020.8</v>
      </c>
      <c r="S107" s="23">
        <f>ROUND(P107*I107, 2)</f>
        <v>511.7</v>
      </c>
      <c r="T107" s="23">
        <f>ROUND(I107*ROUND(Q107, 2), 2)</f>
        <v>76303.5</v>
      </c>
      <c r="U107" s="23">
        <f>S107+T107</f>
        <v>76815.199999999997</v>
      </c>
      <c r="V107" s="9">
        <f>ROUND(P107 / 1.2, 2)</f>
        <v>5.67</v>
      </c>
      <c r="W107" s="9">
        <f>ROUND(Q107 / 1.2, 2)</f>
        <v>845</v>
      </c>
      <c r="X107" s="9">
        <f>ROUND(R107 / 1.2, 2)</f>
        <v>850.67</v>
      </c>
      <c r="Y107" s="9">
        <f t="shared" si="26"/>
        <v>426.42</v>
      </c>
      <c r="Z107" s="9">
        <f>ROUND(T107 / 1.2, 2)</f>
        <v>63586.25</v>
      </c>
      <c r="AA107" s="9">
        <f>Y107+Z107</f>
        <v>64012.67</v>
      </c>
      <c r="AD107" s="4">
        <v>264030367</v>
      </c>
      <c r="AE107" s="4">
        <v>19924641</v>
      </c>
      <c r="AG107" s="4" t="s">
        <v>323</v>
      </c>
      <c r="AH107" s="4" t="s">
        <v>324</v>
      </c>
      <c r="AI107" s="4" t="s">
        <v>249</v>
      </c>
    </row>
    <row r="108" spans="1:35" ht="37.5" x14ac:dyDescent="0.25">
      <c r="A108" s="11" t="s">
        <v>389</v>
      </c>
      <c r="B108" s="11"/>
      <c r="C108" s="31" t="s">
        <v>390</v>
      </c>
      <c r="D108" s="21"/>
      <c r="E108" s="21" t="s">
        <v>391</v>
      </c>
      <c r="F108" s="32" t="s">
        <v>81</v>
      </c>
      <c r="G108" s="33">
        <v>2.2000000000000002</v>
      </c>
      <c r="H108" s="21"/>
      <c r="I108" s="34">
        <v>165.55</v>
      </c>
      <c r="J108" s="35">
        <v>3.09</v>
      </c>
      <c r="K108" s="12"/>
      <c r="L108" s="12"/>
      <c r="M108" s="35">
        <f>ROUND(ROUND(J108, 2)*I108, 2)</f>
        <v>511.55</v>
      </c>
      <c r="N108" s="12"/>
      <c r="O108" s="12"/>
      <c r="P108" s="35">
        <v>3.09</v>
      </c>
      <c r="Q108" s="12"/>
      <c r="R108" s="12"/>
      <c r="S108" s="35">
        <f>ROUND(ROUND(P108, 2)*I108, 2)</f>
        <v>511.55</v>
      </c>
      <c r="T108" s="12"/>
      <c r="U108" s="36"/>
      <c r="V108" s="9">
        <f>ROUND(ROUND(P108, 2)/1.2, 2)</f>
        <v>2.58</v>
      </c>
      <c r="Y108" s="9">
        <f t="shared" si="26"/>
        <v>426.29</v>
      </c>
      <c r="AD108" s="4" t="s">
        <v>392</v>
      </c>
      <c r="AE108" s="4" t="s">
        <v>393</v>
      </c>
      <c r="AF108" s="4" t="s">
        <v>394</v>
      </c>
    </row>
    <row r="109" spans="1:35" ht="168.75" x14ac:dyDescent="0.25">
      <c r="A109" s="11" t="s">
        <v>395</v>
      </c>
      <c r="B109" s="11" t="s">
        <v>320</v>
      </c>
      <c r="C109" s="20" t="s">
        <v>321</v>
      </c>
      <c r="D109" s="21"/>
      <c r="E109" s="21" t="s">
        <v>396</v>
      </c>
      <c r="F109" s="21" t="s">
        <v>56</v>
      </c>
      <c r="G109" s="22">
        <v>1</v>
      </c>
      <c r="H109" s="21"/>
      <c r="I109" s="22">
        <v>891.74</v>
      </c>
      <c r="J109" s="23">
        <f>IFERROR(ROUND(SUM(M110)/I109, 2),0)</f>
        <v>0</v>
      </c>
      <c r="K109" s="23">
        <v>1014</v>
      </c>
      <c r="L109" s="23">
        <f>J109+ROUND(K109, 2)</f>
        <v>1014</v>
      </c>
      <c r="M109" s="23">
        <f>ROUND(J109*I109, 2)</f>
        <v>0</v>
      </c>
      <c r="N109" s="23">
        <f>ROUND(I109*ROUND(K109, 2), 2)</f>
        <v>904224.36</v>
      </c>
      <c r="O109" s="23">
        <f>M109+N109</f>
        <v>904224.36</v>
      </c>
      <c r="P109" s="23">
        <f>IFERROR(ROUND(SUM(S110)/I109, 2),0)</f>
        <v>0</v>
      </c>
      <c r="Q109" s="23">
        <v>1014</v>
      </c>
      <c r="R109" s="23">
        <f>P109+ROUND(Q109, 2)</f>
        <v>1014</v>
      </c>
      <c r="S109" s="23">
        <f>ROUND(P109*I109, 2)</f>
        <v>0</v>
      </c>
      <c r="T109" s="23">
        <f>ROUND(I109*ROUND(Q109, 2), 2)</f>
        <v>904224.36</v>
      </c>
      <c r="U109" s="23">
        <f>S109+T109</f>
        <v>904224.36</v>
      </c>
      <c r="V109" s="9">
        <f>ROUND(P109 / 1.2, 2)</f>
        <v>0</v>
      </c>
      <c r="W109" s="9">
        <f>ROUND(Q109 / 1.2, 2)</f>
        <v>845</v>
      </c>
      <c r="X109" s="9">
        <f>ROUND(R109 / 1.2, 2)</f>
        <v>845</v>
      </c>
      <c r="Y109" s="9">
        <f t="shared" si="26"/>
        <v>0</v>
      </c>
      <c r="Z109" s="9">
        <f>ROUND(T109 / 1.2, 2)</f>
        <v>753520.3</v>
      </c>
      <c r="AA109" s="9">
        <f>Y109+Z109</f>
        <v>753520.3</v>
      </c>
      <c r="AD109" s="4">
        <v>264030368</v>
      </c>
      <c r="AE109" s="4">
        <v>19925077</v>
      </c>
      <c r="AG109" s="4" t="s">
        <v>323</v>
      </c>
      <c r="AH109" s="4" t="s">
        <v>324</v>
      </c>
      <c r="AI109" s="4" t="s">
        <v>249</v>
      </c>
    </row>
    <row r="110" spans="1:35" ht="56.25" x14ac:dyDescent="0.25">
      <c r="A110" s="11" t="s">
        <v>397</v>
      </c>
      <c r="B110" s="11"/>
      <c r="C110" s="31" t="s">
        <v>398</v>
      </c>
      <c r="D110" s="21"/>
      <c r="E110" s="21" t="s">
        <v>399</v>
      </c>
      <c r="F110" s="32" t="s">
        <v>81</v>
      </c>
      <c r="G110" s="33">
        <v>0.2</v>
      </c>
      <c r="H110" s="21"/>
      <c r="I110" s="33">
        <v>178.34800000000001</v>
      </c>
      <c r="J110" s="35">
        <v>0</v>
      </c>
      <c r="K110" s="12"/>
      <c r="L110" s="12"/>
      <c r="M110" s="35">
        <f>ROUND(ROUND(J110, 2)*I110, 2)</f>
        <v>0</v>
      </c>
      <c r="N110" s="12"/>
      <c r="O110" s="12"/>
      <c r="P110" s="35">
        <v>0</v>
      </c>
      <c r="Q110" s="12"/>
      <c r="R110" s="12"/>
      <c r="S110" s="35">
        <f>ROUND(ROUND(P110, 2)*I110, 2)</f>
        <v>0</v>
      </c>
      <c r="T110" s="12"/>
      <c r="U110" s="36"/>
      <c r="V110" s="9">
        <f>ROUND(ROUND(P110, 2)/1.2, 2)</f>
        <v>0</v>
      </c>
      <c r="Y110" s="9">
        <f t="shared" si="26"/>
        <v>0</v>
      </c>
      <c r="AD110" s="4" t="s">
        <v>400</v>
      </c>
      <c r="AE110" s="4" t="s">
        <v>401</v>
      </c>
      <c r="AF110" s="4" t="s">
        <v>402</v>
      </c>
    </row>
    <row r="111" spans="1:35" ht="17.100000000000001" customHeight="1" x14ac:dyDescent="0.25">
      <c r="A111" s="10" t="s">
        <v>403</v>
      </c>
      <c r="B111" s="10" t="s">
        <v>404</v>
      </c>
      <c r="C111" s="116" t="s">
        <v>405</v>
      </c>
      <c r="D111" s="117"/>
      <c r="E111" s="117"/>
      <c r="F111" s="117"/>
      <c r="G111" s="117"/>
      <c r="H111" s="117"/>
      <c r="I111" s="118"/>
      <c r="M111" s="6">
        <f>SUM(M112,M118,M124)</f>
        <v>0</v>
      </c>
      <c r="N111" s="6">
        <f>SUM(N112,N118,N124)</f>
        <v>0</v>
      </c>
      <c r="O111" s="6">
        <f>SUM(O112,O118,O124)</f>
        <v>0</v>
      </c>
      <c r="S111" s="6">
        <f>SUM(S112,S118,S124)</f>
        <v>0</v>
      </c>
      <c r="T111" s="6">
        <f>SUM(T112,T118,T124)</f>
        <v>0</v>
      </c>
      <c r="U111" s="6">
        <f>SUM(U112,U118,U124)</f>
        <v>0</v>
      </c>
      <c r="Y111" s="9">
        <f>SUM(Y112,Y118,Y124)</f>
        <v>0</v>
      </c>
      <c r="Z111" s="9">
        <f>SUM(Z112,Z118,Z124)</f>
        <v>0</v>
      </c>
      <c r="AA111" s="9">
        <f>SUM(AA112,AA118,AA124)</f>
        <v>0</v>
      </c>
      <c r="AD111" s="4">
        <v>264030272</v>
      </c>
      <c r="AE111" s="4">
        <v>16077960</v>
      </c>
    </row>
    <row r="112" spans="1:35" ht="37.5" x14ac:dyDescent="0.25">
      <c r="A112" s="38" t="s">
        <v>406</v>
      </c>
      <c r="B112" s="38" t="s">
        <v>407</v>
      </c>
      <c r="C112" s="39" t="s">
        <v>408</v>
      </c>
      <c r="D112" s="40"/>
      <c r="E112" s="40" t="s">
        <v>409</v>
      </c>
      <c r="F112" s="40" t="s">
        <v>56</v>
      </c>
      <c r="G112" s="41">
        <v>1</v>
      </c>
      <c r="H112" s="40"/>
      <c r="I112" s="42">
        <v>0</v>
      </c>
      <c r="J112" s="43">
        <f>IFERROR(ROUND(SUM(M114,M116)/I112, 2),0)</f>
        <v>0</v>
      </c>
      <c r="K112" s="43">
        <v>439</v>
      </c>
      <c r="L112" s="43">
        <f>J112+ROUND(K112, 2)</f>
        <v>439</v>
      </c>
      <c r="M112" s="43">
        <f>ROUND(J112*I112, 2)</f>
        <v>0</v>
      </c>
      <c r="N112" s="43">
        <f>ROUND(I112*ROUND(K112, 2), 2)</f>
        <v>0</v>
      </c>
      <c r="O112" s="43">
        <f>M112+N112</f>
        <v>0</v>
      </c>
      <c r="P112" s="43">
        <f>IFERROR(ROUND(SUM(S114,S116)/I112, 2),0)</f>
        <v>0</v>
      </c>
      <c r="Q112" s="43">
        <v>439</v>
      </c>
      <c r="R112" s="43">
        <f>P112+ROUND(Q112, 2)</f>
        <v>439</v>
      </c>
      <c r="S112" s="43">
        <f>ROUND(P112*I112, 2)</f>
        <v>0</v>
      </c>
      <c r="T112" s="43">
        <f>ROUND(I112*ROUND(Q112, 2), 2)</f>
        <v>0</v>
      </c>
      <c r="U112" s="43">
        <f>S112+T112</f>
        <v>0</v>
      </c>
      <c r="V112" s="9">
        <f>ROUND(P112 / 1.2, 2)</f>
        <v>0</v>
      </c>
      <c r="W112" s="9">
        <f>ROUND(Q112 / 1.2, 2)</f>
        <v>365.83</v>
      </c>
      <c r="X112" s="9">
        <f>ROUND(R112 / 1.2, 2)</f>
        <v>365.83</v>
      </c>
      <c r="Y112" s="9">
        <f>ROUND(S112 / 1.2, 2)</f>
        <v>0</v>
      </c>
      <c r="Z112" s="9">
        <f>ROUND(T112 / 1.2, 2)</f>
        <v>0</v>
      </c>
      <c r="AA112" s="9">
        <f>Y112+Z112</f>
        <v>0</v>
      </c>
      <c r="AD112" s="4">
        <v>264030274</v>
      </c>
      <c r="AE112" s="4">
        <v>16077964</v>
      </c>
      <c r="AG112" s="4" t="s">
        <v>410</v>
      </c>
      <c r="AH112" s="4" t="s">
        <v>411</v>
      </c>
      <c r="AI112" s="4" t="s">
        <v>249</v>
      </c>
    </row>
    <row r="113" spans="1:35" ht="37.5" x14ac:dyDescent="0.25">
      <c r="A113" s="44" t="s">
        <v>412</v>
      </c>
      <c r="B113" s="44" t="s">
        <v>407</v>
      </c>
      <c r="C113" s="45" t="s">
        <v>408</v>
      </c>
      <c r="D113" s="46"/>
      <c r="E113" s="46" t="s">
        <v>409</v>
      </c>
      <c r="F113" s="46" t="s">
        <v>56</v>
      </c>
      <c r="G113" s="47">
        <v>1</v>
      </c>
      <c r="H113" s="46"/>
      <c r="I113" s="47">
        <v>362.4</v>
      </c>
      <c r="J113" s="48">
        <v>0</v>
      </c>
      <c r="K113" s="48">
        <v>439</v>
      </c>
      <c r="L113" s="48"/>
      <c r="M113" s="48">
        <v>0</v>
      </c>
      <c r="N113" s="48"/>
      <c r="O113" s="48"/>
      <c r="P113" s="48">
        <v>0</v>
      </c>
      <c r="Q113" s="48">
        <v>439</v>
      </c>
      <c r="R113" s="48"/>
      <c r="S113" s="48">
        <v>0</v>
      </c>
      <c r="T113" s="48"/>
      <c r="U113" s="48"/>
      <c r="V113" s="9"/>
      <c r="W113" s="9">
        <f>ROUND(Q113 / 1.2, 2)</f>
        <v>365.83</v>
      </c>
      <c r="X113" s="9" t="e">
        <f>ROUND(R113 / 1.2, 2)</f>
        <v>#VALUE!</v>
      </c>
      <c r="Y113" s="9"/>
      <c r="Z113" s="9" t="e">
        <f>ROUND(T113 / 1.2, 2)</f>
        <v>#VALUE!</v>
      </c>
      <c r="AA113" s="9"/>
      <c r="AD113" s="4">
        <v>204244074</v>
      </c>
      <c r="AE113" s="4">
        <v>16077964</v>
      </c>
      <c r="AG113" s="4" t="s">
        <v>410</v>
      </c>
      <c r="AH113" s="4" t="s">
        <v>411</v>
      </c>
      <c r="AI113" s="4"/>
    </row>
    <row r="114" spans="1:35" ht="18.75" x14ac:dyDescent="0.25">
      <c r="A114" s="38" t="s">
        <v>413</v>
      </c>
      <c r="B114" s="38"/>
      <c r="C114" s="49" t="s">
        <v>414</v>
      </c>
      <c r="D114" s="40"/>
      <c r="E114" s="40"/>
      <c r="F114" s="50" t="s">
        <v>103</v>
      </c>
      <c r="G114" s="51">
        <v>0.1</v>
      </c>
      <c r="H114" s="40"/>
      <c r="I114" s="62">
        <v>0</v>
      </c>
      <c r="J114" s="53">
        <v>600</v>
      </c>
      <c r="K114" s="54"/>
      <c r="L114" s="54"/>
      <c r="M114" s="53">
        <f>ROUND(ROUND(J114, 2)*I114, 2)</f>
        <v>0</v>
      </c>
      <c r="N114" s="54"/>
      <c r="O114" s="54"/>
      <c r="P114" s="53">
        <v>600</v>
      </c>
      <c r="Q114" s="54"/>
      <c r="R114" s="54"/>
      <c r="S114" s="53">
        <f>ROUND(ROUND(P114, 2)*I114, 2)</f>
        <v>0</v>
      </c>
      <c r="T114" s="54"/>
      <c r="U114" s="55"/>
      <c r="V114" s="9">
        <f>ROUND(ROUND(P114, 2)/1.2, 2)</f>
        <v>500</v>
      </c>
      <c r="Y114" s="9">
        <f>ROUND(S114 / 1.2, 2)</f>
        <v>0</v>
      </c>
      <c r="AD114" s="4" t="s">
        <v>415</v>
      </c>
      <c r="AE114" s="4" t="s">
        <v>416</v>
      </c>
      <c r="AF114" s="4" t="s">
        <v>417</v>
      </c>
    </row>
    <row r="115" spans="1:35" ht="18.75" x14ac:dyDescent="0.25">
      <c r="A115" s="44" t="s">
        <v>418</v>
      </c>
      <c r="B115" s="44"/>
      <c r="C115" s="56" t="s">
        <v>414</v>
      </c>
      <c r="D115" s="46"/>
      <c r="E115" s="46"/>
      <c r="F115" s="57" t="s">
        <v>103</v>
      </c>
      <c r="G115" s="58">
        <v>0.1</v>
      </c>
      <c r="H115" s="46"/>
      <c r="I115" s="63">
        <v>36.24</v>
      </c>
      <c r="J115" s="59">
        <v>600</v>
      </c>
      <c r="K115" s="60"/>
      <c r="L115" s="60"/>
      <c r="M115" s="59">
        <f>ROUND(ROUND(J115, 2)*I115, 2)</f>
        <v>21744</v>
      </c>
      <c r="N115" s="60"/>
      <c r="O115" s="60"/>
      <c r="P115" s="59">
        <v>600</v>
      </c>
      <c r="Q115" s="60"/>
      <c r="R115" s="60"/>
      <c r="S115" s="59">
        <f>ROUND(ROUND(P115, 2)*I115, 2)</f>
        <v>21744</v>
      </c>
      <c r="T115" s="60"/>
      <c r="U115" s="61"/>
      <c r="V115" s="9">
        <f>ROUND(ROUND(P115, 2)/1.2, 2)</f>
        <v>500</v>
      </c>
      <c r="Y115" s="9">
        <f>ROUND(S115 / 1.2, 2)</f>
        <v>18120</v>
      </c>
      <c r="AD115" s="4" t="s">
        <v>419</v>
      </c>
      <c r="AE115" s="4" t="s">
        <v>416</v>
      </c>
      <c r="AF115" s="4" t="s">
        <v>417</v>
      </c>
    </row>
    <row r="116" spans="1:35" ht="18.75" x14ac:dyDescent="0.25">
      <c r="A116" s="38" t="s">
        <v>420</v>
      </c>
      <c r="B116" s="38"/>
      <c r="C116" s="49" t="s">
        <v>421</v>
      </c>
      <c r="D116" s="40"/>
      <c r="E116" s="40"/>
      <c r="F116" s="50" t="s">
        <v>422</v>
      </c>
      <c r="G116" s="51">
        <v>1.03</v>
      </c>
      <c r="H116" s="40"/>
      <c r="I116" s="62">
        <v>0</v>
      </c>
      <c r="J116" s="53">
        <v>5213.5</v>
      </c>
      <c r="K116" s="54"/>
      <c r="L116" s="54"/>
      <c r="M116" s="53">
        <f>ROUND(ROUND(J116, 2)*I116, 2)</f>
        <v>0</v>
      </c>
      <c r="N116" s="54"/>
      <c r="O116" s="54"/>
      <c r="P116" s="53">
        <v>5213.5</v>
      </c>
      <c r="Q116" s="54"/>
      <c r="R116" s="54"/>
      <c r="S116" s="53">
        <f>ROUND(ROUND(P116, 2)*I116, 2)</f>
        <v>0</v>
      </c>
      <c r="T116" s="54"/>
      <c r="U116" s="55"/>
      <c r="V116" s="9">
        <f>ROUND(ROUND(P116, 2)/1.2, 2)</f>
        <v>4344.58</v>
      </c>
      <c r="Y116" s="9">
        <f>ROUND(S116 / 1.2, 2)</f>
        <v>0</v>
      </c>
      <c r="AD116" s="4" t="s">
        <v>423</v>
      </c>
      <c r="AE116" s="4" t="s">
        <v>424</v>
      </c>
      <c r="AF116" s="4" t="s">
        <v>425</v>
      </c>
    </row>
    <row r="117" spans="1:35" ht="18.75" x14ac:dyDescent="0.25">
      <c r="A117" s="44" t="s">
        <v>426</v>
      </c>
      <c r="B117" s="44"/>
      <c r="C117" s="56" t="s">
        <v>421</v>
      </c>
      <c r="D117" s="46"/>
      <c r="E117" s="46"/>
      <c r="F117" s="57" t="s">
        <v>422</v>
      </c>
      <c r="G117" s="58">
        <v>1.03</v>
      </c>
      <c r="H117" s="46"/>
      <c r="I117" s="63">
        <v>373.27199999999999</v>
      </c>
      <c r="J117" s="59">
        <v>5213.5</v>
      </c>
      <c r="K117" s="60"/>
      <c r="L117" s="60"/>
      <c r="M117" s="59">
        <f>ROUND(ROUND(J117, 2)*I117, 2)</f>
        <v>1946053.57</v>
      </c>
      <c r="N117" s="60"/>
      <c r="O117" s="60"/>
      <c r="P117" s="59">
        <v>5213.5</v>
      </c>
      <c r="Q117" s="60"/>
      <c r="R117" s="60"/>
      <c r="S117" s="59">
        <f>ROUND(ROUND(P117, 2)*I117, 2)</f>
        <v>1946053.57</v>
      </c>
      <c r="T117" s="60"/>
      <c r="U117" s="61"/>
      <c r="V117" s="9">
        <f>ROUND(ROUND(P117, 2)/1.2, 2)</f>
        <v>4344.58</v>
      </c>
      <c r="Y117" s="9">
        <f>ROUND(S117 / 1.2, 2)</f>
        <v>1621711.31</v>
      </c>
      <c r="AD117" s="4" t="s">
        <v>427</v>
      </c>
      <c r="AE117" s="4" t="s">
        <v>424</v>
      </c>
      <c r="AF117" s="4" t="s">
        <v>425</v>
      </c>
    </row>
    <row r="118" spans="1:35" ht="37.5" x14ac:dyDescent="0.25">
      <c r="A118" s="38" t="s">
        <v>428</v>
      </c>
      <c r="B118" s="38" t="s">
        <v>407</v>
      </c>
      <c r="C118" s="39" t="s">
        <v>408</v>
      </c>
      <c r="D118" s="40"/>
      <c r="E118" s="40" t="s">
        <v>429</v>
      </c>
      <c r="F118" s="40" t="s">
        <v>56</v>
      </c>
      <c r="G118" s="41">
        <v>1</v>
      </c>
      <c r="H118" s="40"/>
      <c r="I118" s="42">
        <v>0</v>
      </c>
      <c r="J118" s="43">
        <f>IFERROR(ROUND(SUM(M120,M122)/I118, 2),0)</f>
        <v>0</v>
      </c>
      <c r="K118" s="43">
        <v>439</v>
      </c>
      <c r="L118" s="43">
        <f>J118+ROUND(K118, 2)</f>
        <v>439</v>
      </c>
      <c r="M118" s="43">
        <f>ROUND(J118*I118, 2)</f>
        <v>0</v>
      </c>
      <c r="N118" s="43">
        <f>ROUND(I118*ROUND(K118, 2), 2)</f>
        <v>0</v>
      </c>
      <c r="O118" s="43">
        <f>M118+N118</f>
        <v>0</v>
      </c>
      <c r="P118" s="43">
        <f>IFERROR(ROUND(SUM(S120,S122)/I118, 2),0)</f>
        <v>0</v>
      </c>
      <c r="Q118" s="43">
        <v>439</v>
      </c>
      <c r="R118" s="43">
        <f>P118+ROUND(Q118, 2)</f>
        <v>439</v>
      </c>
      <c r="S118" s="43">
        <f>ROUND(P118*I118, 2)</f>
        <v>0</v>
      </c>
      <c r="T118" s="43">
        <f>ROUND(I118*ROUND(Q118, 2), 2)</f>
        <v>0</v>
      </c>
      <c r="U118" s="43">
        <f>S118+T118</f>
        <v>0</v>
      </c>
      <c r="V118" s="9">
        <f>ROUND(P118 / 1.2, 2)</f>
        <v>0</v>
      </c>
      <c r="W118" s="9">
        <f>ROUND(Q118 / 1.2, 2)</f>
        <v>365.83</v>
      </c>
      <c r="X118" s="9">
        <f>ROUND(R118 / 1.2, 2)</f>
        <v>365.83</v>
      </c>
      <c r="Y118" s="9">
        <f>ROUND(S118 / 1.2, 2)</f>
        <v>0</v>
      </c>
      <c r="Z118" s="9">
        <f>ROUND(T118 / 1.2, 2)</f>
        <v>0</v>
      </c>
      <c r="AA118" s="9">
        <f>Y118+Z118</f>
        <v>0</v>
      </c>
      <c r="AD118" s="4">
        <v>264030369</v>
      </c>
      <c r="AE118" s="4">
        <v>16088188</v>
      </c>
      <c r="AG118" s="4" t="s">
        <v>410</v>
      </c>
      <c r="AH118" s="4" t="s">
        <v>411</v>
      </c>
      <c r="AI118" s="4" t="s">
        <v>249</v>
      </c>
    </row>
    <row r="119" spans="1:35" ht="37.5" x14ac:dyDescent="0.25">
      <c r="A119" s="44" t="s">
        <v>430</v>
      </c>
      <c r="B119" s="44" t="s">
        <v>407</v>
      </c>
      <c r="C119" s="45" t="s">
        <v>408</v>
      </c>
      <c r="D119" s="46"/>
      <c r="E119" s="46" t="s">
        <v>429</v>
      </c>
      <c r="F119" s="46" t="s">
        <v>56</v>
      </c>
      <c r="G119" s="47">
        <v>1</v>
      </c>
      <c r="H119" s="46"/>
      <c r="I119" s="47">
        <v>148.1</v>
      </c>
      <c r="J119" s="48">
        <v>0</v>
      </c>
      <c r="K119" s="48">
        <v>439</v>
      </c>
      <c r="L119" s="48"/>
      <c r="M119" s="48">
        <v>0</v>
      </c>
      <c r="N119" s="48"/>
      <c r="O119" s="48"/>
      <c r="P119" s="48">
        <v>0</v>
      </c>
      <c r="Q119" s="48">
        <v>439</v>
      </c>
      <c r="R119" s="48"/>
      <c r="S119" s="48">
        <v>0</v>
      </c>
      <c r="T119" s="48"/>
      <c r="U119" s="48"/>
      <c r="V119" s="9"/>
      <c r="W119" s="9">
        <f>ROUND(Q119 / 1.2, 2)</f>
        <v>365.83</v>
      </c>
      <c r="X119" s="9" t="e">
        <f>ROUND(R119 / 1.2, 2)</f>
        <v>#VALUE!</v>
      </c>
      <c r="Y119" s="9"/>
      <c r="Z119" s="9" t="e">
        <f>ROUND(T119 / 1.2, 2)</f>
        <v>#VALUE!</v>
      </c>
      <c r="AA119" s="9"/>
      <c r="AD119" s="4">
        <v>204428533</v>
      </c>
      <c r="AE119" s="4">
        <v>16088188</v>
      </c>
      <c r="AG119" s="4" t="s">
        <v>410</v>
      </c>
      <c r="AH119" s="4" t="s">
        <v>411</v>
      </c>
      <c r="AI119" s="4"/>
    </row>
    <row r="120" spans="1:35" ht="18.75" x14ac:dyDescent="0.25">
      <c r="A120" s="38" t="s">
        <v>431</v>
      </c>
      <c r="B120" s="38"/>
      <c r="C120" s="49" t="s">
        <v>421</v>
      </c>
      <c r="D120" s="40"/>
      <c r="E120" s="40"/>
      <c r="F120" s="50" t="s">
        <v>422</v>
      </c>
      <c r="G120" s="51">
        <v>1.03</v>
      </c>
      <c r="H120" s="40"/>
      <c r="I120" s="62">
        <v>0</v>
      </c>
      <c r="J120" s="53">
        <v>5213.5</v>
      </c>
      <c r="K120" s="54"/>
      <c r="L120" s="54"/>
      <c r="M120" s="53">
        <f>ROUND(ROUND(J120, 2)*I120, 2)</f>
        <v>0</v>
      </c>
      <c r="N120" s="54"/>
      <c r="O120" s="54"/>
      <c r="P120" s="53">
        <v>5213.5</v>
      </c>
      <c r="Q120" s="54"/>
      <c r="R120" s="54"/>
      <c r="S120" s="53">
        <f>ROUND(ROUND(P120, 2)*I120, 2)</f>
        <v>0</v>
      </c>
      <c r="T120" s="54"/>
      <c r="U120" s="55"/>
      <c r="V120" s="9">
        <f>ROUND(ROUND(P120, 2)/1.2, 2)</f>
        <v>4344.58</v>
      </c>
      <c r="Y120" s="9">
        <f>ROUND(S120 / 1.2, 2)</f>
        <v>0</v>
      </c>
      <c r="AD120" s="4" t="s">
        <v>432</v>
      </c>
      <c r="AE120" s="4" t="s">
        <v>433</v>
      </c>
      <c r="AF120" s="4" t="s">
        <v>425</v>
      </c>
    </row>
    <row r="121" spans="1:35" ht="18.75" x14ac:dyDescent="0.25">
      <c r="A121" s="44" t="s">
        <v>434</v>
      </c>
      <c r="B121" s="44"/>
      <c r="C121" s="56" t="s">
        <v>421</v>
      </c>
      <c r="D121" s="46"/>
      <c r="E121" s="46"/>
      <c r="F121" s="57" t="s">
        <v>422</v>
      </c>
      <c r="G121" s="58">
        <v>1.03</v>
      </c>
      <c r="H121" s="46"/>
      <c r="I121" s="63">
        <v>152.54300000000001</v>
      </c>
      <c r="J121" s="59">
        <v>5213.5</v>
      </c>
      <c r="K121" s="60"/>
      <c r="L121" s="60"/>
      <c r="M121" s="59">
        <f>ROUND(ROUND(J121, 2)*I121, 2)</f>
        <v>795282.93</v>
      </c>
      <c r="N121" s="60"/>
      <c r="O121" s="60"/>
      <c r="P121" s="59">
        <v>5213.5</v>
      </c>
      <c r="Q121" s="60"/>
      <c r="R121" s="60"/>
      <c r="S121" s="59">
        <f>ROUND(ROUND(P121, 2)*I121, 2)</f>
        <v>795282.93</v>
      </c>
      <c r="T121" s="60"/>
      <c r="U121" s="61"/>
      <c r="V121" s="9">
        <f>ROUND(ROUND(P121, 2)/1.2, 2)</f>
        <v>4344.58</v>
      </c>
      <c r="Y121" s="9">
        <f>ROUND(S121 / 1.2, 2)</f>
        <v>662735.78</v>
      </c>
      <c r="AD121" s="4" t="s">
        <v>435</v>
      </c>
      <c r="AE121" s="4" t="s">
        <v>433</v>
      </c>
      <c r="AF121" s="4" t="s">
        <v>425</v>
      </c>
    </row>
    <row r="122" spans="1:35" ht="18.75" x14ac:dyDescent="0.25">
      <c r="A122" s="38" t="s">
        <v>436</v>
      </c>
      <c r="B122" s="38"/>
      <c r="C122" s="49" t="s">
        <v>414</v>
      </c>
      <c r="D122" s="40"/>
      <c r="E122" s="40"/>
      <c r="F122" s="50" t="s">
        <v>103</v>
      </c>
      <c r="G122" s="51">
        <v>0.1</v>
      </c>
      <c r="H122" s="40"/>
      <c r="I122" s="62">
        <v>0</v>
      </c>
      <c r="J122" s="53">
        <v>600</v>
      </c>
      <c r="K122" s="54"/>
      <c r="L122" s="54"/>
      <c r="M122" s="53">
        <f>ROUND(ROUND(J122, 2)*I122, 2)</f>
        <v>0</v>
      </c>
      <c r="N122" s="54"/>
      <c r="O122" s="54"/>
      <c r="P122" s="53">
        <v>600</v>
      </c>
      <c r="Q122" s="54"/>
      <c r="R122" s="54"/>
      <c r="S122" s="53">
        <f>ROUND(ROUND(P122, 2)*I122, 2)</f>
        <v>0</v>
      </c>
      <c r="T122" s="54"/>
      <c r="U122" s="55"/>
      <c r="V122" s="9">
        <f>ROUND(ROUND(P122, 2)/1.2, 2)</f>
        <v>500</v>
      </c>
      <c r="Y122" s="9">
        <f>ROUND(S122 / 1.2, 2)</f>
        <v>0</v>
      </c>
      <c r="AD122" s="4" t="s">
        <v>437</v>
      </c>
      <c r="AE122" s="4" t="s">
        <v>438</v>
      </c>
      <c r="AF122" s="4" t="s">
        <v>417</v>
      </c>
    </row>
    <row r="123" spans="1:35" ht="18.75" x14ac:dyDescent="0.25">
      <c r="A123" s="44" t="s">
        <v>439</v>
      </c>
      <c r="B123" s="44"/>
      <c r="C123" s="56" t="s">
        <v>414</v>
      </c>
      <c r="D123" s="46"/>
      <c r="E123" s="46"/>
      <c r="F123" s="57" t="s">
        <v>103</v>
      </c>
      <c r="G123" s="58">
        <v>0.1</v>
      </c>
      <c r="H123" s="46"/>
      <c r="I123" s="63">
        <v>14.81</v>
      </c>
      <c r="J123" s="59">
        <v>600</v>
      </c>
      <c r="K123" s="60"/>
      <c r="L123" s="60"/>
      <c r="M123" s="59">
        <f>ROUND(ROUND(J123, 2)*I123, 2)</f>
        <v>8886</v>
      </c>
      <c r="N123" s="60"/>
      <c r="O123" s="60"/>
      <c r="P123" s="59">
        <v>600</v>
      </c>
      <c r="Q123" s="60"/>
      <c r="R123" s="60"/>
      <c r="S123" s="59">
        <f>ROUND(ROUND(P123, 2)*I123, 2)</f>
        <v>8886</v>
      </c>
      <c r="T123" s="60"/>
      <c r="U123" s="61"/>
      <c r="V123" s="9">
        <f>ROUND(ROUND(P123, 2)/1.2, 2)</f>
        <v>500</v>
      </c>
      <c r="Y123" s="9">
        <f>ROUND(S123 / 1.2, 2)</f>
        <v>7405</v>
      </c>
      <c r="AD123" s="4" t="s">
        <v>440</v>
      </c>
      <c r="AE123" s="4" t="s">
        <v>438</v>
      </c>
      <c r="AF123" s="4" t="s">
        <v>417</v>
      </c>
    </row>
    <row r="124" spans="1:35" ht="37.5" x14ac:dyDescent="0.25">
      <c r="A124" s="38" t="s">
        <v>441</v>
      </c>
      <c r="B124" s="38" t="s">
        <v>442</v>
      </c>
      <c r="C124" s="39" t="s">
        <v>443</v>
      </c>
      <c r="D124" s="40"/>
      <c r="E124" s="40" t="s">
        <v>444</v>
      </c>
      <c r="F124" s="40" t="s">
        <v>56</v>
      </c>
      <c r="G124" s="41">
        <v>1</v>
      </c>
      <c r="H124" s="40"/>
      <c r="I124" s="42">
        <v>0</v>
      </c>
      <c r="J124" s="43">
        <f>IFERROR(ROUND(SUM(M126)/I124, 2),0)</f>
        <v>0</v>
      </c>
      <c r="K124" s="43">
        <v>56</v>
      </c>
      <c r="L124" s="43">
        <f>J124+ROUND(K124, 2)</f>
        <v>56</v>
      </c>
      <c r="M124" s="43">
        <f>ROUND(J124*I124, 2)</f>
        <v>0</v>
      </c>
      <c r="N124" s="43">
        <f>ROUND(I124*ROUND(K124, 2), 2)</f>
        <v>0</v>
      </c>
      <c r="O124" s="43">
        <f>M124+N124</f>
        <v>0</v>
      </c>
      <c r="P124" s="43">
        <f>IFERROR(ROUND(SUM(S126)/I124, 2),0)</f>
        <v>0</v>
      </c>
      <c r="Q124" s="43">
        <v>56</v>
      </c>
      <c r="R124" s="43">
        <f>P124+ROUND(Q124, 2)</f>
        <v>56</v>
      </c>
      <c r="S124" s="43">
        <f>ROUND(P124*I124, 2)</f>
        <v>0</v>
      </c>
      <c r="T124" s="43">
        <f>ROUND(I124*ROUND(Q124, 2), 2)</f>
        <v>0</v>
      </c>
      <c r="U124" s="43">
        <f>S124+T124</f>
        <v>0</v>
      </c>
      <c r="V124" s="9">
        <f>ROUND(P124 / 1.2, 2)</f>
        <v>0</v>
      </c>
      <c r="W124" s="9">
        <f>ROUND(Q124 / 1.2, 2)</f>
        <v>46.67</v>
      </c>
      <c r="X124" s="9">
        <f>ROUND(R124 / 1.2, 2)</f>
        <v>46.67</v>
      </c>
      <c r="Y124" s="9">
        <f>ROUND(S124 / 1.2, 2)</f>
        <v>0</v>
      </c>
      <c r="Z124" s="9">
        <f>ROUND(T124 / 1.2, 2)</f>
        <v>0</v>
      </c>
      <c r="AA124" s="9">
        <f>Y124+Z124</f>
        <v>0</v>
      </c>
      <c r="AD124" s="4">
        <v>264030275</v>
      </c>
      <c r="AE124" s="4">
        <v>16078329</v>
      </c>
      <c r="AG124" s="4" t="s">
        <v>445</v>
      </c>
      <c r="AH124" s="4" t="s">
        <v>446</v>
      </c>
      <c r="AI124" s="4" t="s">
        <v>249</v>
      </c>
    </row>
    <row r="125" spans="1:35" ht="37.5" x14ac:dyDescent="0.25">
      <c r="A125" s="44" t="s">
        <v>447</v>
      </c>
      <c r="B125" s="44" t="s">
        <v>442</v>
      </c>
      <c r="C125" s="45" t="s">
        <v>443</v>
      </c>
      <c r="D125" s="46"/>
      <c r="E125" s="46" t="s">
        <v>444</v>
      </c>
      <c r="F125" s="46" t="s">
        <v>56</v>
      </c>
      <c r="G125" s="47">
        <v>1</v>
      </c>
      <c r="H125" s="46"/>
      <c r="I125" s="47">
        <v>538.29999999999995</v>
      </c>
      <c r="J125" s="48">
        <v>0</v>
      </c>
      <c r="K125" s="48">
        <v>56</v>
      </c>
      <c r="L125" s="48"/>
      <c r="M125" s="48">
        <v>0</v>
      </c>
      <c r="N125" s="48"/>
      <c r="O125" s="48"/>
      <c r="P125" s="48">
        <v>0</v>
      </c>
      <c r="Q125" s="48">
        <v>56</v>
      </c>
      <c r="R125" s="48"/>
      <c r="S125" s="48">
        <v>0</v>
      </c>
      <c r="T125" s="48"/>
      <c r="U125" s="48"/>
      <c r="V125" s="9"/>
      <c r="W125" s="9">
        <f>ROUND(Q125 / 1.2, 2)</f>
        <v>46.67</v>
      </c>
      <c r="X125" s="9" t="e">
        <f>ROUND(R125 / 1.2, 2)</f>
        <v>#VALUE!</v>
      </c>
      <c r="Y125" s="9"/>
      <c r="Z125" s="9" t="e">
        <f>ROUND(T125 / 1.2, 2)</f>
        <v>#VALUE!</v>
      </c>
      <c r="AA125" s="9"/>
      <c r="AD125" s="4">
        <v>204257142</v>
      </c>
      <c r="AE125" s="4">
        <v>16078329</v>
      </c>
      <c r="AG125" s="4" t="s">
        <v>445</v>
      </c>
      <c r="AH125" s="4" t="s">
        <v>446</v>
      </c>
      <c r="AI125" s="4"/>
    </row>
    <row r="126" spans="1:35" ht="56.25" x14ac:dyDescent="0.25">
      <c r="A126" s="38" t="s">
        <v>448</v>
      </c>
      <c r="B126" s="38"/>
      <c r="C126" s="49" t="s">
        <v>449</v>
      </c>
      <c r="D126" s="40"/>
      <c r="E126" s="40" t="s">
        <v>450</v>
      </c>
      <c r="F126" s="50" t="s">
        <v>56</v>
      </c>
      <c r="G126" s="51">
        <v>1.03</v>
      </c>
      <c r="H126" s="40"/>
      <c r="I126" s="52">
        <v>0</v>
      </c>
      <c r="J126" s="53">
        <v>54</v>
      </c>
      <c r="K126" s="54"/>
      <c r="L126" s="54"/>
      <c r="M126" s="53">
        <f>ROUND(ROUND(J126, 2)*I126, 2)</f>
        <v>0</v>
      </c>
      <c r="N126" s="54"/>
      <c r="O126" s="54"/>
      <c r="P126" s="53">
        <v>54</v>
      </c>
      <c r="Q126" s="54"/>
      <c r="R126" s="54"/>
      <c r="S126" s="53">
        <f>ROUND(ROUND(P126, 2)*I126, 2)</f>
        <v>0</v>
      </c>
      <c r="T126" s="54"/>
      <c r="U126" s="55"/>
      <c r="V126" s="9">
        <f>ROUND(ROUND(P126, 2)/1.2, 2)</f>
        <v>45</v>
      </c>
      <c r="Y126" s="9">
        <f>ROUND(S126 / 1.2, 2)</f>
        <v>0</v>
      </c>
      <c r="AD126" s="4" t="s">
        <v>451</v>
      </c>
      <c r="AE126" s="4" t="s">
        <v>452</v>
      </c>
      <c r="AF126" s="4" t="s">
        <v>453</v>
      </c>
    </row>
    <row r="127" spans="1:35" ht="56.25" x14ac:dyDescent="0.25">
      <c r="A127" s="44" t="s">
        <v>454</v>
      </c>
      <c r="B127" s="44"/>
      <c r="C127" s="56" t="s">
        <v>449</v>
      </c>
      <c r="D127" s="46"/>
      <c r="E127" s="46" t="s">
        <v>450</v>
      </c>
      <c r="F127" s="57" t="s">
        <v>56</v>
      </c>
      <c r="G127" s="58">
        <v>1.03</v>
      </c>
      <c r="H127" s="46"/>
      <c r="I127" s="58">
        <v>554.44899999999996</v>
      </c>
      <c r="J127" s="59">
        <v>54</v>
      </c>
      <c r="K127" s="60"/>
      <c r="L127" s="60"/>
      <c r="M127" s="59">
        <f>ROUND(ROUND(J127, 2)*I127, 2)</f>
        <v>29940.25</v>
      </c>
      <c r="N127" s="60"/>
      <c r="O127" s="60"/>
      <c r="P127" s="59">
        <v>54</v>
      </c>
      <c r="Q127" s="60"/>
      <c r="R127" s="60"/>
      <c r="S127" s="59">
        <f>ROUND(ROUND(P127, 2)*I127, 2)</f>
        <v>29940.25</v>
      </c>
      <c r="T127" s="60"/>
      <c r="U127" s="61"/>
      <c r="V127" s="9">
        <f>ROUND(ROUND(P127, 2)/1.2, 2)</f>
        <v>45</v>
      </c>
      <c r="Y127" s="9">
        <f>ROUND(S127 / 1.2, 2)</f>
        <v>24950.21</v>
      </c>
      <c r="AD127" s="4" t="s">
        <v>455</v>
      </c>
      <c r="AE127" s="4" t="s">
        <v>452</v>
      </c>
      <c r="AF127" s="4" t="s">
        <v>453</v>
      </c>
    </row>
    <row r="128" spans="1:35" ht="17.100000000000001" customHeight="1" x14ac:dyDescent="0.25">
      <c r="A128" s="10" t="s">
        <v>456</v>
      </c>
      <c r="B128" s="10" t="s">
        <v>457</v>
      </c>
      <c r="C128" s="116" t="s">
        <v>458</v>
      </c>
      <c r="D128" s="117"/>
      <c r="E128" s="117"/>
      <c r="F128" s="117"/>
      <c r="G128" s="117"/>
      <c r="H128" s="117"/>
      <c r="I128" s="118"/>
      <c r="M128" s="6">
        <f>SUM(M129,M139,M149,M159,M163,M169,M179,M189)</f>
        <v>1450065.88</v>
      </c>
      <c r="N128" s="6">
        <f>SUM(N129,N139,N149,N159,N163,N169,N179,N189)</f>
        <v>417036.1</v>
      </c>
      <c r="O128" s="6">
        <f>SUM(O129,O139,O149,O159,O163,O169,O179,O189)</f>
        <v>1867101.98</v>
      </c>
      <c r="S128" s="6">
        <f>SUM(S129,S139,S149,S159,S163,S169,S179,S189)</f>
        <v>1450065.88</v>
      </c>
      <c r="T128" s="6">
        <f>SUM(T129,T139,T149,T159,T163,T169,T179,T189)</f>
        <v>417036.1</v>
      </c>
      <c r="U128" s="6">
        <f>SUM(U129,U139,U149,U159,U163,U169,U179,U189)</f>
        <v>1867101.98</v>
      </c>
      <c r="Y128" s="9">
        <f>SUM(Y129,Y139,Y149,Y159,Y163,Y169,Y179,Y189)</f>
        <v>1208388.24</v>
      </c>
      <c r="Z128" s="9">
        <f>SUM(Z129,Z139,Z149,Z159,Z163,Z169,Z179,Z189)</f>
        <v>347530.08</v>
      </c>
      <c r="AA128" s="9">
        <f>SUM(AA129,AA139,AA149,AA159,AA163,AA169,AA179,AA189)</f>
        <v>1555918.32</v>
      </c>
      <c r="AD128" s="4">
        <v>264030276</v>
      </c>
      <c r="AE128" s="4">
        <v>16075337</v>
      </c>
    </row>
    <row r="129" spans="1:35" ht="75" x14ac:dyDescent="0.25">
      <c r="A129" s="38" t="s">
        <v>459</v>
      </c>
      <c r="B129" s="38" t="s">
        <v>460</v>
      </c>
      <c r="C129" s="39" t="s">
        <v>461</v>
      </c>
      <c r="D129" s="40"/>
      <c r="E129" s="40" t="s">
        <v>462</v>
      </c>
      <c r="F129" s="40" t="s">
        <v>56</v>
      </c>
      <c r="G129" s="41">
        <v>1</v>
      </c>
      <c r="H129" s="40"/>
      <c r="I129" s="42">
        <v>0</v>
      </c>
      <c r="J129" s="43">
        <f>IFERROR(ROUND(SUM(M131,M133,M135,M137)/I129, 2),0)</f>
        <v>0</v>
      </c>
      <c r="K129" s="43">
        <v>1251</v>
      </c>
      <c r="L129" s="43">
        <f>J129+ROUND(K129, 2)</f>
        <v>1251</v>
      </c>
      <c r="M129" s="43">
        <f>ROUND(J129*I129, 2)</f>
        <v>0</v>
      </c>
      <c r="N129" s="43">
        <f>ROUND(I129*ROUND(K129, 2), 2)</f>
        <v>0</v>
      </c>
      <c r="O129" s="43">
        <f>M129+N129</f>
        <v>0</v>
      </c>
      <c r="P129" s="43">
        <f>IFERROR(ROUND(SUM(S131,S133,S135,S137)/I129, 2),0)</f>
        <v>0</v>
      </c>
      <c r="Q129" s="43">
        <v>1251</v>
      </c>
      <c r="R129" s="43">
        <f>P129+ROUND(Q129, 2)</f>
        <v>1251</v>
      </c>
      <c r="S129" s="43">
        <f>ROUND(P129*I129, 2)</f>
        <v>0</v>
      </c>
      <c r="T129" s="43">
        <f>ROUND(I129*ROUND(Q129, 2), 2)</f>
        <v>0</v>
      </c>
      <c r="U129" s="43">
        <f>S129+T129</f>
        <v>0</v>
      </c>
      <c r="V129" s="9">
        <f>ROUND(P129 / 1.2, 2)</f>
        <v>0</v>
      </c>
      <c r="W129" s="9">
        <f>ROUND(Q129 / 1.2, 2)</f>
        <v>1042.5</v>
      </c>
      <c r="X129" s="9">
        <f>ROUND(R129 / 1.2, 2)</f>
        <v>1042.5</v>
      </c>
      <c r="Y129" s="9">
        <f>ROUND(S129 / 1.2, 2)</f>
        <v>0</v>
      </c>
      <c r="Z129" s="9">
        <f>ROUND(T129 / 1.2, 2)</f>
        <v>0</v>
      </c>
      <c r="AA129" s="9">
        <f>Y129+Z129</f>
        <v>0</v>
      </c>
      <c r="AD129" s="4">
        <v>264030278</v>
      </c>
      <c r="AE129" s="4">
        <v>16080908</v>
      </c>
      <c r="AG129" s="4" t="s">
        <v>463</v>
      </c>
      <c r="AH129" s="4" t="s">
        <v>464</v>
      </c>
      <c r="AI129" s="4" t="s">
        <v>249</v>
      </c>
    </row>
    <row r="130" spans="1:35" ht="75" x14ac:dyDescent="0.25">
      <c r="A130" s="44" t="s">
        <v>465</v>
      </c>
      <c r="B130" s="44" t="s">
        <v>460</v>
      </c>
      <c r="C130" s="45" t="s">
        <v>461</v>
      </c>
      <c r="D130" s="46"/>
      <c r="E130" s="46" t="s">
        <v>462</v>
      </c>
      <c r="F130" s="46" t="s">
        <v>56</v>
      </c>
      <c r="G130" s="47">
        <v>1</v>
      </c>
      <c r="H130" s="46"/>
      <c r="I130" s="47">
        <v>21.4</v>
      </c>
      <c r="J130" s="48">
        <v>0</v>
      </c>
      <c r="K130" s="48">
        <v>1251</v>
      </c>
      <c r="L130" s="48"/>
      <c r="M130" s="48">
        <v>0</v>
      </c>
      <c r="N130" s="48"/>
      <c r="O130" s="48"/>
      <c r="P130" s="48">
        <v>0</v>
      </c>
      <c r="Q130" s="48">
        <v>1251</v>
      </c>
      <c r="R130" s="48"/>
      <c r="S130" s="48">
        <v>0</v>
      </c>
      <c r="T130" s="48"/>
      <c r="U130" s="48"/>
      <c r="V130" s="9"/>
      <c r="W130" s="9">
        <f>ROUND(Q130 / 1.2, 2)</f>
        <v>1042.5</v>
      </c>
      <c r="X130" s="9" t="e">
        <f>ROUND(R130 / 1.2, 2)</f>
        <v>#VALUE!</v>
      </c>
      <c r="Y130" s="9"/>
      <c r="Z130" s="9" t="e">
        <f>ROUND(T130 / 1.2, 2)</f>
        <v>#VALUE!</v>
      </c>
      <c r="AA130" s="9"/>
      <c r="AD130" s="4">
        <v>204395661</v>
      </c>
      <c r="AE130" s="4">
        <v>16080908</v>
      </c>
      <c r="AG130" s="4" t="s">
        <v>463</v>
      </c>
      <c r="AH130" s="4" t="s">
        <v>464</v>
      </c>
      <c r="AI130" s="4"/>
    </row>
    <row r="131" spans="1:35" ht="37.5" x14ac:dyDescent="0.25">
      <c r="A131" s="38" t="s">
        <v>466</v>
      </c>
      <c r="B131" s="38"/>
      <c r="C131" s="49" t="s">
        <v>467</v>
      </c>
      <c r="D131" s="40"/>
      <c r="E131" s="40" t="s">
        <v>468</v>
      </c>
      <c r="F131" s="50" t="s">
        <v>81</v>
      </c>
      <c r="G131" s="51">
        <v>1.2</v>
      </c>
      <c r="H131" s="40"/>
      <c r="I131" s="62">
        <v>0</v>
      </c>
      <c r="J131" s="53">
        <v>6.28</v>
      </c>
      <c r="K131" s="54"/>
      <c r="L131" s="54"/>
      <c r="M131" s="53">
        <f t="shared" ref="M131:M138" si="27">ROUND(ROUND(J131, 2)*I131, 2)</f>
        <v>0</v>
      </c>
      <c r="N131" s="54"/>
      <c r="O131" s="54"/>
      <c r="P131" s="53">
        <v>6.28</v>
      </c>
      <c r="Q131" s="54"/>
      <c r="R131" s="54"/>
      <c r="S131" s="53">
        <f t="shared" ref="S131:S138" si="28">ROUND(ROUND(P131, 2)*I131, 2)</f>
        <v>0</v>
      </c>
      <c r="T131" s="54"/>
      <c r="U131" s="55"/>
      <c r="V131" s="9">
        <f t="shared" ref="V131:V138" si="29">ROUND(ROUND(P131, 2)/1.2, 2)</f>
        <v>5.23</v>
      </c>
      <c r="Y131" s="9">
        <f t="shared" ref="Y131:Y139" si="30">ROUND(S131 / 1.2, 2)</f>
        <v>0</v>
      </c>
      <c r="AD131" s="4" t="s">
        <v>469</v>
      </c>
      <c r="AE131" s="4" t="s">
        <v>470</v>
      </c>
      <c r="AF131" s="4" t="s">
        <v>471</v>
      </c>
    </row>
    <row r="132" spans="1:35" ht="37.5" x14ac:dyDescent="0.25">
      <c r="A132" s="44" t="s">
        <v>472</v>
      </c>
      <c r="B132" s="44"/>
      <c r="C132" s="56" t="s">
        <v>467</v>
      </c>
      <c r="D132" s="46"/>
      <c r="E132" s="46" t="s">
        <v>468</v>
      </c>
      <c r="F132" s="57" t="s">
        <v>81</v>
      </c>
      <c r="G132" s="58">
        <v>1.2</v>
      </c>
      <c r="H132" s="46"/>
      <c r="I132" s="63">
        <v>128.4</v>
      </c>
      <c r="J132" s="59">
        <v>6.28</v>
      </c>
      <c r="K132" s="60"/>
      <c r="L132" s="60"/>
      <c r="M132" s="59">
        <f t="shared" si="27"/>
        <v>806.35</v>
      </c>
      <c r="N132" s="60"/>
      <c r="O132" s="60"/>
      <c r="P132" s="59">
        <v>6.28</v>
      </c>
      <c r="Q132" s="60"/>
      <c r="R132" s="60"/>
      <c r="S132" s="59">
        <f t="shared" si="28"/>
        <v>806.35</v>
      </c>
      <c r="T132" s="60"/>
      <c r="U132" s="61"/>
      <c r="V132" s="9">
        <f t="shared" si="29"/>
        <v>5.23</v>
      </c>
      <c r="Y132" s="9">
        <f t="shared" si="30"/>
        <v>671.96</v>
      </c>
      <c r="AD132" s="4" t="s">
        <v>473</v>
      </c>
      <c r="AE132" s="4" t="s">
        <v>470</v>
      </c>
      <c r="AF132" s="4" t="s">
        <v>471</v>
      </c>
    </row>
    <row r="133" spans="1:35" ht="75" x14ac:dyDescent="0.25">
      <c r="A133" s="38" t="s">
        <v>474</v>
      </c>
      <c r="B133" s="38"/>
      <c r="C133" s="49" t="s">
        <v>475</v>
      </c>
      <c r="D133" s="40"/>
      <c r="E133" s="40" t="s">
        <v>476</v>
      </c>
      <c r="F133" s="50" t="s">
        <v>56</v>
      </c>
      <c r="G133" s="51">
        <v>1.07</v>
      </c>
      <c r="H133" s="40"/>
      <c r="I133" s="62">
        <v>0</v>
      </c>
      <c r="J133" s="53">
        <v>504</v>
      </c>
      <c r="K133" s="54"/>
      <c r="L133" s="54"/>
      <c r="M133" s="53">
        <f t="shared" si="27"/>
        <v>0</v>
      </c>
      <c r="N133" s="54"/>
      <c r="O133" s="54"/>
      <c r="P133" s="53">
        <v>1083.5999999999999</v>
      </c>
      <c r="Q133" s="54"/>
      <c r="R133" s="54"/>
      <c r="S133" s="53">
        <f t="shared" si="28"/>
        <v>0</v>
      </c>
      <c r="T133" s="54"/>
      <c r="U133" s="55"/>
      <c r="V133" s="9">
        <f t="shared" si="29"/>
        <v>903</v>
      </c>
      <c r="Y133" s="9">
        <f t="shared" si="30"/>
        <v>0</v>
      </c>
      <c r="AD133" s="4" t="s">
        <v>477</v>
      </c>
      <c r="AE133" s="4" t="s">
        <v>478</v>
      </c>
      <c r="AF133" s="4" t="s">
        <v>479</v>
      </c>
    </row>
    <row r="134" spans="1:35" ht="75" x14ac:dyDescent="0.25">
      <c r="A134" s="44" t="s">
        <v>480</v>
      </c>
      <c r="B134" s="44"/>
      <c r="C134" s="56" t="s">
        <v>475</v>
      </c>
      <c r="D134" s="46"/>
      <c r="E134" s="46" t="s">
        <v>476</v>
      </c>
      <c r="F134" s="57" t="s">
        <v>56</v>
      </c>
      <c r="G134" s="58">
        <v>1.07</v>
      </c>
      <c r="H134" s="46"/>
      <c r="I134" s="63">
        <v>22.898</v>
      </c>
      <c r="J134" s="59">
        <v>504</v>
      </c>
      <c r="K134" s="60"/>
      <c r="L134" s="60"/>
      <c r="M134" s="59">
        <f t="shared" si="27"/>
        <v>11540.59</v>
      </c>
      <c r="N134" s="60"/>
      <c r="O134" s="60"/>
      <c r="P134" s="59">
        <v>1083.5999999999999</v>
      </c>
      <c r="Q134" s="60"/>
      <c r="R134" s="60"/>
      <c r="S134" s="59">
        <f t="shared" si="28"/>
        <v>24812.27</v>
      </c>
      <c r="T134" s="60"/>
      <c r="U134" s="61"/>
      <c r="V134" s="9">
        <f t="shared" si="29"/>
        <v>903</v>
      </c>
      <c r="Y134" s="9">
        <f t="shared" si="30"/>
        <v>20676.89</v>
      </c>
      <c r="AD134" s="4" t="s">
        <v>481</v>
      </c>
      <c r="AE134" s="4" t="s">
        <v>478</v>
      </c>
      <c r="AF134" s="4" t="s">
        <v>479</v>
      </c>
    </row>
    <row r="135" spans="1:35" ht="37.5" x14ac:dyDescent="0.25">
      <c r="A135" s="38" t="s">
        <v>482</v>
      </c>
      <c r="B135" s="38"/>
      <c r="C135" s="49" t="s">
        <v>483</v>
      </c>
      <c r="D135" s="40"/>
      <c r="E135" s="40"/>
      <c r="F135" s="50" t="s">
        <v>81</v>
      </c>
      <c r="G135" s="51">
        <v>0.25</v>
      </c>
      <c r="H135" s="40"/>
      <c r="I135" s="62">
        <v>0</v>
      </c>
      <c r="J135" s="53">
        <v>40.270000000000003</v>
      </c>
      <c r="K135" s="54"/>
      <c r="L135" s="54"/>
      <c r="M135" s="53">
        <f t="shared" si="27"/>
        <v>0</v>
      </c>
      <c r="N135" s="54"/>
      <c r="O135" s="54"/>
      <c r="P135" s="53">
        <v>40.270000000000003</v>
      </c>
      <c r="Q135" s="54"/>
      <c r="R135" s="54"/>
      <c r="S135" s="53">
        <f t="shared" si="28"/>
        <v>0</v>
      </c>
      <c r="T135" s="54"/>
      <c r="U135" s="55"/>
      <c r="V135" s="9">
        <f t="shared" si="29"/>
        <v>33.56</v>
      </c>
      <c r="Y135" s="9">
        <f t="shared" si="30"/>
        <v>0</v>
      </c>
      <c r="AD135" s="4" t="s">
        <v>484</v>
      </c>
      <c r="AE135" s="4" t="s">
        <v>485</v>
      </c>
      <c r="AF135" s="4" t="s">
        <v>486</v>
      </c>
    </row>
    <row r="136" spans="1:35" ht="37.5" x14ac:dyDescent="0.25">
      <c r="A136" s="44" t="s">
        <v>487</v>
      </c>
      <c r="B136" s="44"/>
      <c r="C136" s="56" t="s">
        <v>483</v>
      </c>
      <c r="D136" s="46"/>
      <c r="E136" s="46"/>
      <c r="F136" s="57" t="s">
        <v>81</v>
      </c>
      <c r="G136" s="58">
        <v>0.25</v>
      </c>
      <c r="H136" s="46"/>
      <c r="I136" s="63">
        <v>19.024999999999999</v>
      </c>
      <c r="J136" s="59">
        <v>40.270000000000003</v>
      </c>
      <c r="K136" s="60"/>
      <c r="L136" s="60"/>
      <c r="M136" s="59">
        <f t="shared" si="27"/>
        <v>766.14</v>
      </c>
      <c r="N136" s="60"/>
      <c r="O136" s="60"/>
      <c r="P136" s="59">
        <v>40.270000000000003</v>
      </c>
      <c r="Q136" s="60"/>
      <c r="R136" s="60"/>
      <c r="S136" s="59">
        <f t="shared" si="28"/>
        <v>766.14</v>
      </c>
      <c r="T136" s="60"/>
      <c r="U136" s="61"/>
      <c r="V136" s="9">
        <f t="shared" si="29"/>
        <v>33.56</v>
      </c>
      <c r="Y136" s="9">
        <f t="shared" si="30"/>
        <v>638.45000000000005</v>
      </c>
      <c r="AD136" s="4" t="s">
        <v>488</v>
      </c>
      <c r="AE136" s="4" t="s">
        <v>485</v>
      </c>
      <c r="AF136" s="4" t="s">
        <v>486</v>
      </c>
    </row>
    <row r="137" spans="1:35" ht="37.5" x14ac:dyDescent="0.25">
      <c r="A137" s="38" t="s">
        <v>489</v>
      </c>
      <c r="B137" s="38"/>
      <c r="C137" s="49" t="s">
        <v>490</v>
      </c>
      <c r="D137" s="40"/>
      <c r="E137" s="40"/>
      <c r="F137" s="50" t="s">
        <v>81</v>
      </c>
      <c r="G137" s="51">
        <v>0.15</v>
      </c>
      <c r="H137" s="40"/>
      <c r="I137" s="52">
        <v>0</v>
      </c>
      <c r="J137" s="53">
        <v>88.8</v>
      </c>
      <c r="K137" s="54"/>
      <c r="L137" s="54"/>
      <c r="M137" s="53">
        <f t="shared" si="27"/>
        <v>0</v>
      </c>
      <c r="N137" s="54"/>
      <c r="O137" s="54"/>
      <c r="P137" s="53">
        <v>88.8</v>
      </c>
      <c r="Q137" s="54"/>
      <c r="R137" s="54"/>
      <c r="S137" s="53">
        <f t="shared" si="28"/>
        <v>0</v>
      </c>
      <c r="T137" s="54"/>
      <c r="U137" s="55"/>
      <c r="V137" s="9">
        <f t="shared" si="29"/>
        <v>74</v>
      </c>
      <c r="Y137" s="9">
        <f t="shared" si="30"/>
        <v>0</v>
      </c>
      <c r="AD137" s="4" t="s">
        <v>491</v>
      </c>
      <c r="AE137" s="4" t="s">
        <v>492</v>
      </c>
      <c r="AF137" s="4" t="s">
        <v>493</v>
      </c>
    </row>
    <row r="138" spans="1:35" ht="37.5" x14ac:dyDescent="0.25">
      <c r="A138" s="44" t="s">
        <v>494</v>
      </c>
      <c r="B138" s="44"/>
      <c r="C138" s="56" t="s">
        <v>490</v>
      </c>
      <c r="D138" s="46"/>
      <c r="E138" s="46"/>
      <c r="F138" s="57" t="s">
        <v>81</v>
      </c>
      <c r="G138" s="58">
        <v>0.15</v>
      </c>
      <c r="H138" s="46"/>
      <c r="I138" s="58">
        <v>3.21</v>
      </c>
      <c r="J138" s="59">
        <v>88.8</v>
      </c>
      <c r="K138" s="60"/>
      <c r="L138" s="60"/>
      <c r="M138" s="59">
        <f t="shared" si="27"/>
        <v>285.05</v>
      </c>
      <c r="N138" s="60"/>
      <c r="O138" s="60"/>
      <c r="P138" s="59">
        <v>88.8</v>
      </c>
      <c r="Q138" s="60"/>
      <c r="R138" s="60"/>
      <c r="S138" s="59">
        <f t="shared" si="28"/>
        <v>285.05</v>
      </c>
      <c r="T138" s="60"/>
      <c r="U138" s="61"/>
      <c r="V138" s="9">
        <f t="shared" si="29"/>
        <v>74</v>
      </c>
      <c r="Y138" s="9">
        <f t="shared" si="30"/>
        <v>237.54</v>
      </c>
      <c r="AD138" s="4" t="s">
        <v>495</v>
      </c>
      <c r="AE138" s="4" t="s">
        <v>492</v>
      </c>
      <c r="AF138" s="4" t="s">
        <v>493</v>
      </c>
    </row>
    <row r="139" spans="1:35" ht="75" x14ac:dyDescent="0.25">
      <c r="A139" s="38" t="s">
        <v>496</v>
      </c>
      <c r="B139" s="38" t="s">
        <v>460</v>
      </c>
      <c r="C139" s="39" t="s">
        <v>461</v>
      </c>
      <c r="D139" s="40"/>
      <c r="E139" s="40" t="s">
        <v>497</v>
      </c>
      <c r="F139" s="40" t="s">
        <v>56</v>
      </c>
      <c r="G139" s="41">
        <v>1</v>
      </c>
      <c r="H139" s="40"/>
      <c r="I139" s="42">
        <v>0</v>
      </c>
      <c r="J139" s="43">
        <f>IFERROR(ROUND(SUM(M141,M143,M145,M147)/I139, 2),0)</f>
        <v>0</v>
      </c>
      <c r="K139" s="43">
        <v>1251</v>
      </c>
      <c r="L139" s="43">
        <f>J139+ROUND(K139, 2)</f>
        <v>1251</v>
      </c>
      <c r="M139" s="43">
        <f>ROUND(J139*I139, 2)</f>
        <v>0</v>
      </c>
      <c r="N139" s="43">
        <f>ROUND(I139*ROUND(K139, 2), 2)</f>
        <v>0</v>
      </c>
      <c r="O139" s="43">
        <f>M139+N139</f>
        <v>0</v>
      </c>
      <c r="P139" s="43">
        <f>IFERROR(ROUND(SUM(S141,S143,S145,S147)/I139, 2),0)</f>
        <v>0</v>
      </c>
      <c r="Q139" s="43">
        <v>1251</v>
      </c>
      <c r="R139" s="43">
        <f>P139+ROUND(Q139, 2)</f>
        <v>1251</v>
      </c>
      <c r="S139" s="43">
        <f>ROUND(P139*I139, 2)</f>
        <v>0</v>
      </c>
      <c r="T139" s="43">
        <f>ROUND(I139*ROUND(Q139, 2), 2)</f>
        <v>0</v>
      </c>
      <c r="U139" s="43">
        <f>S139+T139</f>
        <v>0</v>
      </c>
      <c r="V139" s="9">
        <f>ROUND(P139 / 1.2, 2)</f>
        <v>0</v>
      </c>
      <c r="W139" s="9">
        <f>ROUND(Q139 / 1.2, 2)</f>
        <v>1042.5</v>
      </c>
      <c r="X139" s="9">
        <f>ROUND(R139 / 1.2, 2)</f>
        <v>1042.5</v>
      </c>
      <c r="Y139" s="9">
        <f t="shared" si="30"/>
        <v>0</v>
      </c>
      <c r="Z139" s="9">
        <f>ROUND(T139 / 1.2, 2)</f>
        <v>0</v>
      </c>
      <c r="AA139" s="9">
        <f>Y139+Z139</f>
        <v>0</v>
      </c>
      <c r="AD139" s="4">
        <v>264030370</v>
      </c>
      <c r="AE139" s="4">
        <v>16080909</v>
      </c>
      <c r="AG139" s="4" t="s">
        <v>463</v>
      </c>
      <c r="AH139" s="4" t="s">
        <v>464</v>
      </c>
      <c r="AI139" s="4" t="s">
        <v>249</v>
      </c>
    </row>
    <row r="140" spans="1:35" ht="75" x14ac:dyDescent="0.25">
      <c r="A140" s="44" t="s">
        <v>498</v>
      </c>
      <c r="B140" s="44" t="s">
        <v>460</v>
      </c>
      <c r="C140" s="45" t="s">
        <v>461</v>
      </c>
      <c r="D140" s="46"/>
      <c r="E140" s="46" t="s">
        <v>497</v>
      </c>
      <c r="F140" s="46" t="s">
        <v>56</v>
      </c>
      <c r="G140" s="47">
        <v>1</v>
      </c>
      <c r="H140" s="46"/>
      <c r="I140" s="47">
        <v>54</v>
      </c>
      <c r="J140" s="48">
        <v>0</v>
      </c>
      <c r="K140" s="48">
        <v>1251</v>
      </c>
      <c r="L140" s="48"/>
      <c r="M140" s="48">
        <v>0</v>
      </c>
      <c r="N140" s="48"/>
      <c r="O140" s="48"/>
      <c r="P140" s="48">
        <v>0</v>
      </c>
      <c r="Q140" s="48">
        <v>1251</v>
      </c>
      <c r="R140" s="48"/>
      <c r="S140" s="48">
        <v>0</v>
      </c>
      <c r="T140" s="48"/>
      <c r="U140" s="48"/>
      <c r="V140" s="9"/>
      <c r="W140" s="9">
        <f>ROUND(Q140 / 1.2, 2)</f>
        <v>1042.5</v>
      </c>
      <c r="X140" s="9" t="e">
        <f>ROUND(R140 / 1.2, 2)</f>
        <v>#VALUE!</v>
      </c>
      <c r="Y140" s="9"/>
      <c r="Z140" s="9" t="e">
        <f>ROUND(T140 / 1.2, 2)</f>
        <v>#VALUE!</v>
      </c>
      <c r="AA140" s="9"/>
      <c r="AD140" s="4">
        <v>204395699</v>
      </c>
      <c r="AE140" s="4">
        <v>16080909</v>
      </c>
      <c r="AG140" s="4" t="s">
        <v>463</v>
      </c>
      <c r="AH140" s="4" t="s">
        <v>464</v>
      </c>
      <c r="AI140" s="4"/>
    </row>
    <row r="141" spans="1:35" ht="37.5" x14ac:dyDescent="0.25">
      <c r="A141" s="38" t="s">
        <v>499</v>
      </c>
      <c r="B141" s="38"/>
      <c r="C141" s="49" t="s">
        <v>490</v>
      </c>
      <c r="D141" s="40"/>
      <c r="E141" s="40"/>
      <c r="F141" s="50" t="s">
        <v>81</v>
      </c>
      <c r="G141" s="51">
        <v>0.15</v>
      </c>
      <c r="H141" s="40"/>
      <c r="I141" s="52">
        <v>0</v>
      </c>
      <c r="J141" s="53">
        <v>88.8</v>
      </c>
      <c r="K141" s="54"/>
      <c r="L141" s="54"/>
      <c r="M141" s="53">
        <f t="shared" ref="M141:M148" si="31">ROUND(ROUND(J141, 2)*I141, 2)</f>
        <v>0</v>
      </c>
      <c r="N141" s="54"/>
      <c r="O141" s="54"/>
      <c r="P141" s="53">
        <v>88.8</v>
      </c>
      <c r="Q141" s="54"/>
      <c r="R141" s="54"/>
      <c r="S141" s="53">
        <f t="shared" ref="S141:S148" si="32">ROUND(ROUND(P141, 2)*I141, 2)</f>
        <v>0</v>
      </c>
      <c r="T141" s="54"/>
      <c r="U141" s="55"/>
      <c r="V141" s="9">
        <f t="shared" ref="V141:V148" si="33">ROUND(ROUND(P141, 2)/1.2, 2)</f>
        <v>74</v>
      </c>
      <c r="Y141" s="9">
        <f t="shared" ref="Y141:Y149" si="34">ROUND(S141 / 1.2, 2)</f>
        <v>0</v>
      </c>
      <c r="AD141" s="4" t="s">
        <v>500</v>
      </c>
      <c r="AE141" s="4" t="s">
        <v>501</v>
      </c>
      <c r="AF141" s="4" t="s">
        <v>493</v>
      </c>
    </row>
    <row r="142" spans="1:35" ht="37.5" x14ac:dyDescent="0.25">
      <c r="A142" s="44" t="s">
        <v>502</v>
      </c>
      <c r="B142" s="44"/>
      <c r="C142" s="56" t="s">
        <v>490</v>
      </c>
      <c r="D142" s="46"/>
      <c r="E142" s="46"/>
      <c r="F142" s="57" t="s">
        <v>81</v>
      </c>
      <c r="G142" s="58">
        <v>0.15</v>
      </c>
      <c r="H142" s="46"/>
      <c r="I142" s="58">
        <v>8.1</v>
      </c>
      <c r="J142" s="59">
        <v>88.8</v>
      </c>
      <c r="K142" s="60"/>
      <c r="L142" s="60"/>
      <c r="M142" s="59">
        <f t="shared" si="31"/>
        <v>719.28</v>
      </c>
      <c r="N142" s="60"/>
      <c r="O142" s="60"/>
      <c r="P142" s="59">
        <v>88.8</v>
      </c>
      <c r="Q142" s="60"/>
      <c r="R142" s="60"/>
      <c r="S142" s="59">
        <f t="shared" si="32"/>
        <v>719.28</v>
      </c>
      <c r="T142" s="60"/>
      <c r="U142" s="61"/>
      <c r="V142" s="9">
        <f t="shared" si="33"/>
        <v>74</v>
      </c>
      <c r="Y142" s="9">
        <f t="shared" si="34"/>
        <v>599.4</v>
      </c>
      <c r="AD142" s="4" t="s">
        <v>503</v>
      </c>
      <c r="AE142" s="4" t="s">
        <v>501</v>
      </c>
      <c r="AF142" s="4" t="s">
        <v>493</v>
      </c>
    </row>
    <row r="143" spans="1:35" ht="37.5" x14ac:dyDescent="0.25">
      <c r="A143" s="38" t="s">
        <v>504</v>
      </c>
      <c r="B143" s="38"/>
      <c r="C143" s="49" t="s">
        <v>483</v>
      </c>
      <c r="D143" s="40"/>
      <c r="E143" s="40"/>
      <c r="F143" s="50" t="s">
        <v>81</v>
      </c>
      <c r="G143" s="51">
        <v>0.25</v>
      </c>
      <c r="H143" s="40"/>
      <c r="I143" s="62">
        <v>0</v>
      </c>
      <c r="J143" s="53">
        <v>40.270000000000003</v>
      </c>
      <c r="K143" s="54"/>
      <c r="L143" s="54"/>
      <c r="M143" s="53">
        <f t="shared" si="31"/>
        <v>0</v>
      </c>
      <c r="N143" s="54"/>
      <c r="O143" s="54"/>
      <c r="P143" s="53">
        <v>40.270000000000003</v>
      </c>
      <c r="Q143" s="54"/>
      <c r="R143" s="54"/>
      <c r="S143" s="53">
        <f t="shared" si="32"/>
        <v>0</v>
      </c>
      <c r="T143" s="54"/>
      <c r="U143" s="55"/>
      <c r="V143" s="9">
        <f t="shared" si="33"/>
        <v>33.56</v>
      </c>
      <c r="Y143" s="9">
        <f t="shared" si="34"/>
        <v>0</v>
      </c>
      <c r="AD143" s="4" t="s">
        <v>505</v>
      </c>
      <c r="AE143" s="4" t="s">
        <v>506</v>
      </c>
      <c r="AF143" s="4" t="s">
        <v>486</v>
      </c>
    </row>
    <row r="144" spans="1:35" ht="37.5" x14ac:dyDescent="0.25">
      <c r="A144" s="44" t="s">
        <v>507</v>
      </c>
      <c r="B144" s="44"/>
      <c r="C144" s="56" t="s">
        <v>483</v>
      </c>
      <c r="D144" s="46"/>
      <c r="E144" s="46"/>
      <c r="F144" s="57" t="s">
        <v>81</v>
      </c>
      <c r="G144" s="58">
        <v>0.25</v>
      </c>
      <c r="H144" s="46"/>
      <c r="I144" s="63">
        <v>13.5</v>
      </c>
      <c r="J144" s="59">
        <v>40.270000000000003</v>
      </c>
      <c r="K144" s="60"/>
      <c r="L144" s="60"/>
      <c r="M144" s="59">
        <f t="shared" si="31"/>
        <v>543.65</v>
      </c>
      <c r="N144" s="60"/>
      <c r="O144" s="60"/>
      <c r="P144" s="59">
        <v>40.270000000000003</v>
      </c>
      <c r="Q144" s="60"/>
      <c r="R144" s="60"/>
      <c r="S144" s="59">
        <f t="shared" si="32"/>
        <v>543.65</v>
      </c>
      <c r="T144" s="60"/>
      <c r="U144" s="61"/>
      <c r="V144" s="9">
        <f t="shared" si="33"/>
        <v>33.56</v>
      </c>
      <c r="Y144" s="9">
        <f t="shared" si="34"/>
        <v>453.04</v>
      </c>
      <c r="AD144" s="4" t="s">
        <v>508</v>
      </c>
      <c r="AE144" s="4" t="s">
        <v>506</v>
      </c>
      <c r="AF144" s="4" t="s">
        <v>486</v>
      </c>
    </row>
    <row r="145" spans="1:35" ht="37.5" x14ac:dyDescent="0.25">
      <c r="A145" s="38" t="s">
        <v>509</v>
      </c>
      <c r="B145" s="38"/>
      <c r="C145" s="49" t="s">
        <v>467</v>
      </c>
      <c r="D145" s="40"/>
      <c r="E145" s="40"/>
      <c r="F145" s="50" t="s">
        <v>81</v>
      </c>
      <c r="G145" s="51">
        <v>1.2</v>
      </c>
      <c r="H145" s="40"/>
      <c r="I145" s="62">
        <v>0</v>
      </c>
      <c r="J145" s="53">
        <v>6.28</v>
      </c>
      <c r="K145" s="54"/>
      <c r="L145" s="54"/>
      <c r="M145" s="53">
        <f t="shared" si="31"/>
        <v>0</v>
      </c>
      <c r="N145" s="54"/>
      <c r="O145" s="54"/>
      <c r="P145" s="53">
        <v>6.28</v>
      </c>
      <c r="Q145" s="54"/>
      <c r="R145" s="54"/>
      <c r="S145" s="53">
        <f t="shared" si="32"/>
        <v>0</v>
      </c>
      <c r="T145" s="54"/>
      <c r="U145" s="55"/>
      <c r="V145" s="9">
        <f t="shared" si="33"/>
        <v>5.23</v>
      </c>
      <c r="Y145" s="9">
        <f t="shared" si="34"/>
        <v>0</v>
      </c>
      <c r="AD145" s="4" t="s">
        <v>510</v>
      </c>
      <c r="AE145" s="4" t="s">
        <v>511</v>
      </c>
      <c r="AF145" s="4" t="s">
        <v>471</v>
      </c>
    </row>
    <row r="146" spans="1:35" ht="37.5" x14ac:dyDescent="0.25">
      <c r="A146" s="44" t="s">
        <v>512</v>
      </c>
      <c r="B146" s="44"/>
      <c r="C146" s="56" t="s">
        <v>467</v>
      </c>
      <c r="D146" s="46"/>
      <c r="E146" s="46"/>
      <c r="F146" s="57" t="s">
        <v>81</v>
      </c>
      <c r="G146" s="58">
        <v>1.2</v>
      </c>
      <c r="H146" s="46"/>
      <c r="I146" s="63">
        <v>324</v>
      </c>
      <c r="J146" s="59">
        <v>6.28</v>
      </c>
      <c r="K146" s="60"/>
      <c r="L146" s="60"/>
      <c r="M146" s="59">
        <f t="shared" si="31"/>
        <v>2034.72</v>
      </c>
      <c r="N146" s="60"/>
      <c r="O146" s="60"/>
      <c r="P146" s="59">
        <v>6.28</v>
      </c>
      <c r="Q146" s="60"/>
      <c r="R146" s="60"/>
      <c r="S146" s="59">
        <f t="shared" si="32"/>
        <v>2034.72</v>
      </c>
      <c r="T146" s="60"/>
      <c r="U146" s="61"/>
      <c r="V146" s="9">
        <f t="shared" si="33"/>
        <v>5.23</v>
      </c>
      <c r="Y146" s="9">
        <f t="shared" si="34"/>
        <v>1695.6</v>
      </c>
      <c r="AD146" s="4" t="s">
        <v>513</v>
      </c>
      <c r="AE146" s="4" t="s">
        <v>511</v>
      </c>
      <c r="AF146" s="4" t="s">
        <v>471</v>
      </c>
    </row>
    <row r="147" spans="1:35" ht="93.75" x14ac:dyDescent="0.25">
      <c r="A147" s="38" t="s">
        <v>514</v>
      </c>
      <c r="B147" s="38"/>
      <c r="C147" s="49" t="s">
        <v>515</v>
      </c>
      <c r="D147" s="40"/>
      <c r="E147" s="40" t="s">
        <v>516</v>
      </c>
      <c r="F147" s="50" t="s">
        <v>56</v>
      </c>
      <c r="G147" s="51">
        <v>1.07</v>
      </c>
      <c r="H147" s="40"/>
      <c r="I147" s="62">
        <v>0</v>
      </c>
      <c r="J147" s="53">
        <v>2059.0500000000002</v>
      </c>
      <c r="K147" s="54"/>
      <c r="L147" s="54"/>
      <c r="M147" s="53">
        <f t="shared" si="31"/>
        <v>0</v>
      </c>
      <c r="N147" s="54"/>
      <c r="O147" s="54"/>
      <c r="P147" s="53">
        <v>1332</v>
      </c>
      <c r="Q147" s="54"/>
      <c r="R147" s="54"/>
      <c r="S147" s="53">
        <f t="shared" si="32"/>
        <v>0</v>
      </c>
      <c r="T147" s="54"/>
      <c r="U147" s="55"/>
      <c r="V147" s="9">
        <f t="shared" si="33"/>
        <v>1110</v>
      </c>
      <c r="Y147" s="9">
        <f t="shared" si="34"/>
        <v>0</v>
      </c>
      <c r="AD147" s="4" t="s">
        <v>517</v>
      </c>
      <c r="AE147" s="4" t="s">
        <v>518</v>
      </c>
      <c r="AF147" s="4" t="s">
        <v>519</v>
      </c>
    </row>
    <row r="148" spans="1:35" ht="93.75" x14ac:dyDescent="0.25">
      <c r="A148" s="44" t="s">
        <v>520</v>
      </c>
      <c r="B148" s="44"/>
      <c r="C148" s="56" t="s">
        <v>515</v>
      </c>
      <c r="D148" s="46"/>
      <c r="E148" s="46" t="s">
        <v>516</v>
      </c>
      <c r="F148" s="57" t="s">
        <v>56</v>
      </c>
      <c r="G148" s="58">
        <v>1.07</v>
      </c>
      <c r="H148" s="46"/>
      <c r="I148" s="63">
        <v>57.78</v>
      </c>
      <c r="J148" s="59">
        <v>2059.0500000000002</v>
      </c>
      <c r="K148" s="60"/>
      <c r="L148" s="60"/>
      <c r="M148" s="59">
        <f t="shared" si="31"/>
        <v>118971.91</v>
      </c>
      <c r="N148" s="60"/>
      <c r="O148" s="60"/>
      <c r="P148" s="59">
        <v>1332</v>
      </c>
      <c r="Q148" s="60"/>
      <c r="R148" s="60"/>
      <c r="S148" s="59">
        <f t="shared" si="32"/>
        <v>76962.960000000006</v>
      </c>
      <c r="T148" s="60"/>
      <c r="U148" s="61"/>
      <c r="V148" s="9">
        <f t="shared" si="33"/>
        <v>1110</v>
      </c>
      <c r="Y148" s="9">
        <f t="shared" si="34"/>
        <v>64135.8</v>
      </c>
      <c r="AD148" s="4" t="s">
        <v>521</v>
      </c>
      <c r="AE148" s="4" t="s">
        <v>518</v>
      </c>
      <c r="AF148" s="4" t="s">
        <v>519</v>
      </c>
    </row>
    <row r="149" spans="1:35" ht="75" x14ac:dyDescent="0.25">
      <c r="A149" s="38" t="s">
        <v>522</v>
      </c>
      <c r="B149" s="38" t="s">
        <v>460</v>
      </c>
      <c r="C149" s="39" t="s">
        <v>461</v>
      </c>
      <c r="D149" s="40"/>
      <c r="E149" s="40" t="s">
        <v>523</v>
      </c>
      <c r="F149" s="40" t="s">
        <v>56</v>
      </c>
      <c r="G149" s="41">
        <v>1</v>
      </c>
      <c r="H149" s="40"/>
      <c r="I149" s="42">
        <v>0</v>
      </c>
      <c r="J149" s="43">
        <f>IFERROR(ROUND(SUM(M151,M153,M155,M157)/I149, 2),0)</f>
        <v>0</v>
      </c>
      <c r="K149" s="43">
        <v>1251</v>
      </c>
      <c r="L149" s="43">
        <f>J149+ROUND(K149, 2)</f>
        <v>1251</v>
      </c>
      <c r="M149" s="43">
        <f>ROUND(J149*I149, 2)</f>
        <v>0</v>
      </c>
      <c r="N149" s="43">
        <f>ROUND(I149*ROUND(K149, 2), 2)</f>
        <v>0</v>
      </c>
      <c r="O149" s="43">
        <f>M149+N149</f>
        <v>0</v>
      </c>
      <c r="P149" s="43">
        <f>IFERROR(ROUND(SUM(S151,S153,S155,S157)/I149, 2),0)</f>
        <v>0</v>
      </c>
      <c r="Q149" s="43">
        <v>1251</v>
      </c>
      <c r="R149" s="43">
        <f>P149+ROUND(Q149, 2)</f>
        <v>1251</v>
      </c>
      <c r="S149" s="43">
        <f>ROUND(P149*I149, 2)</f>
        <v>0</v>
      </c>
      <c r="T149" s="43">
        <f>ROUND(I149*ROUND(Q149, 2), 2)</f>
        <v>0</v>
      </c>
      <c r="U149" s="43">
        <f>S149+T149</f>
        <v>0</v>
      </c>
      <c r="V149" s="9">
        <f>ROUND(P149 / 1.2, 2)</f>
        <v>0</v>
      </c>
      <c r="W149" s="9">
        <f>ROUND(Q149 / 1.2, 2)</f>
        <v>1042.5</v>
      </c>
      <c r="X149" s="9">
        <f>ROUND(R149 / 1.2, 2)</f>
        <v>1042.5</v>
      </c>
      <c r="Y149" s="9">
        <f t="shared" si="34"/>
        <v>0</v>
      </c>
      <c r="Z149" s="9">
        <f>ROUND(T149 / 1.2, 2)</f>
        <v>0</v>
      </c>
      <c r="AA149" s="9">
        <f>Y149+Z149</f>
        <v>0</v>
      </c>
      <c r="AD149" s="4">
        <v>264030371</v>
      </c>
      <c r="AE149" s="4">
        <v>16087569</v>
      </c>
      <c r="AG149" s="4" t="s">
        <v>463</v>
      </c>
      <c r="AH149" s="4" t="s">
        <v>464</v>
      </c>
      <c r="AI149" s="4" t="s">
        <v>249</v>
      </c>
    </row>
    <row r="150" spans="1:35" ht="75" x14ac:dyDescent="0.25">
      <c r="A150" s="44" t="s">
        <v>524</v>
      </c>
      <c r="B150" s="44" t="s">
        <v>460</v>
      </c>
      <c r="C150" s="45" t="s">
        <v>461</v>
      </c>
      <c r="D150" s="46"/>
      <c r="E150" s="46" t="s">
        <v>523</v>
      </c>
      <c r="F150" s="46" t="s">
        <v>56</v>
      </c>
      <c r="G150" s="47">
        <v>1</v>
      </c>
      <c r="H150" s="46"/>
      <c r="I150" s="47">
        <v>148.1</v>
      </c>
      <c r="J150" s="48">
        <v>0</v>
      </c>
      <c r="K150" s="48">
        <v>1251</v>
      </c>
      <c r="L150" s="48"/>
      <c r="M150" s="48">
        <v>0</v>
      </c>
      <c r="N150" s="48"/>
      <c r="O150" s="48"/>
      <c r="P150" s="48">
        <v>0</v>
      </c>
      <c r="Q150" s="48">
        <v>1251</v>
      </c>
      <c r="R150" s="48"/>
      <c r="S150" s="48">
        <v>0</v>
      </c>
      <c r="T150" s="48"/>
      <c r="U150" s="48"/>
      <c r="V150" s="9"/>
      <c r="W150" s="9">
        <f>ROUND(Q150 / 1.2, 2)</f>
        <v>1042.5</v>
      </c>
      <c r="X150" s="9" t="e">
        <f>ROUND(R150 / 1.2, 2)</f>
        <v>#VALUE!</v>
      </c>
      <c r="Y150" s="9"/>
      <c r="Z150" s="9" t="e">
        <f>ROUND(T150 / 1.2, 2)</f>
        <v>#VALUE!</v>
      </c>
      <c r="AA150" s="9"/>
      <c r="AD150" s="4">
        <v>204420458</v>
      </c>
      <c r="AE150" s="4">
        <v>16087569</v>
      </c>
      <c r="AG150" s="4" t="s">
        <v>463</v>
      </c>
      <c r="AH150" s="4" t="s">
        <v>464</v>
      </c>
      <c r="AI150" s="4"/>
    </row>
    <row r="151" spans="1:35" ht="37.5" x14ac:dyDescent="0.25">
      <c r="A151" s="38" t="s">
        <v>525</v>
      </c>
      <c r="B151" s="38"/>
      <c r="C151" s="49" t="s">
        <v>467</v>
      </c>
      <c r="D151" s="40"/>
      <c r="E151" s="40" t="s">
        <v>468</v>
      </c>
      <c r="F151" s="50" t="s">
        <v>81</v>
      </c>
      <c r="G151" s="51">
        <v>1.2</v>
      </c>
      <c r="H151" s="40"/>
      <c r="I151" s="62">
        <v>0</v>
      </c>
      <c r="J151" s="53">
        <v>6.28</v>
      </c>
      <c r="K151" s="54"/>
      <c r="L151" s="54"/>
      <c r="M151" s="53">
        <f t="shared" ref="M151:M158" si="35">ROUND(ROUND(J151, 2)*I151, 2)</f>
        <v>0</v>
      </c>
      <c r="N151" s="54"/>
      <c r="O151" s="54"/>
      <c r="P151" s="53">
        <v>6.28</v>
      </c>
      <c r="Q151" s="54"/>
      <c r="R151" s="54"/>
      <c r="S151" s="53">
        <f t="shared" ref="S151:S158" si="36">ROUND(ROUND(P151, 2)*I151, 2)</f>
        <v>0</v>
      </c>
      <c r="T151" s="54"/>
      <c r="U151" s="55"/>
      <c r="V151" s="9">
        <f t="shared" ref="V151:V158" si="37">ROUND(ROUND(P151, 2)/1.2, 2)</f>
        <v>5.23</v>
      </c>
      <c r="Y151" s="9">
        <f t="shared" ref="Y151:Y163" si="38">ROUND(S151 / 1.2, 2)</f>
        <v>0</v>
      </c>
      <c r="AD151" s="4" t="s">
        <v>526</v>
      </c>
      <c r="AE151" s="4" t="s">
        <v>527</v>
      </c>
      <c r="AF151" s="4" t="s">
        <v>471</v>
      </c>
    </row>
    <row r="152" spans="1:35" ht="37.5" x14ac:dyDescent="0.25">
      <c r="A152" s="44" t="s">
        <v>528</v>
      </c>
      <c r="B152" s="44"/>
      <c r="C152" s="56" t="s">
        <v>467</v>
      </c>
      <c r="D152" s="46"/>
      <c r="E152" s="46" t="s">
        <v>468</v>
      </c>
      <c r="F152" s="57" t="s">
        <v>81</v>
      </c>
      <c r="G152" s="58">
        <v>1.2</v>
      </c>
      <c r="H152" s="46"/>
      <c r="I152" s="63">
        <v>888.6</v>
      </c>
      <c r="J152" s="59">
        <v>6.28</v>
      </c>
      <c r="K152" s="60"/>
      <c r="L152" s="60"/>
      <c r="M152" s="59">
        <f t="shared" si="35"/>
        <v>5580.41</v>
      </c>
      <c r="N152" s="60"/>
      <c r="O152" s="60"/>
      <c r="P152" s="59">
        <v>6.28</v>
      </c>
      <c r="Q152" s="60"/>
      <c r="R152" s="60"/>
      <c r="S152" s="59">
        <f t="shared" si="36"/>
        <v>5580.41</v>
      </c>
      <c r="T152" s="60"/>
      <c r="U152" s="61"/>
      <c r="V152" s="9">
        <f t="shared" si="37"/>
        <v>5.23</v>
      </c>
      <c r="Y152" s="9">
        <f t="shared" si="38"/>
        <v>4650.34</v>
      </c>
      <c r="AD152" s="4" t="s">
        <v>529</v>
      </c>
      <c r="AE152" s="4" t="s">
        <v>527</v>
      </c>
      <c r="AF152" s="4" t="s">
        <v>471</v>
      </c>
    </row>
    <row r="153" spans="1:35" ht="112.5" x14ac:dyDescent="0.25">
      <c r="A153" s="38" t="s">
        <v>530</v>
      </c>
      <c r="B153" s="38"/>
      <c r="C153" s="49" t="s">
        <v>531</v>
      </c>
      <c r="D153" s="40"/>
      <c r="E153" s="40" t="s">
        <v>532</v>
      </c>
      <c r="F153" s="50" t="s">
        <v>56</v>
      </c>
      <c r="G153" s="51">
        <v>1.07</v>
      </c>
      <c r="H153" s="40"/>
      <c r="I153" s="62">
        <v>0</v>
      </c>
      <c r="J153" s="53">
        <v>1809.15</v>
      </c>
      <c r="K153" s="54"/>
      <c r="L153" s="54"/>
      <c r="M153" s="53">
        <f t="shared" si="35"/>
        <v>0</v>
      </c>
      <c r="N153" s="54"/>
      <c r="O153" s="54"/>
      <c r="P153" s="53">
        <v>1083.5999999999999</v>
      </c>
      <c r="Q153" s="54"/>
      <c r="R153" s="54"/>
      <c r="S153" s="53">
        <f t="shared" si="36"/>
        <v>0</v>
      </c>
      <c r="T153" s="54"/>
      <c r="U153" s="55"/>
      <c r="V153" s="9">
        <f t="shared" si="37"/>
        <v>903</v>
      </c>
      <c r="Y153" s="9">
        <f t="shared" si="38"/>
        <v>0</v>
      </c>
      <c r="AD153" s="4" t="s">
        <v>533</v>
      </c>
      <c r="AE153" s="4" t="s">
        <v>534</v>
      </c>
      <c r="AF153" s="4" t="s">
        <v>535</v>
      </c>
    </row>
    <row r="154" spans="1:35" ht="112.5" x14ac:dyDescent="0.25">
      <c r="A154" s="44" t="s">
        <v>536</v>
      </c>
      <c r="B154" s="44"/>
      <c r="C154" s="56" t="s">
        <v>531</v>
      </c>
      <c r="D154" s="46"/>
      <c r="E154" s="46" t="s">
        <v>532</v>
      </c>
      <c r="F154" s="57" t="s">
        <v>56</v>
      </c>
      <c r="G154" s="58">
        <v>1.07</v>
      </c>
      <c r="H154" s="46"/>
      <c r="I154" s="63">
        <v>158.46700000000001</v>
      </c>
      <c r="J154" s="59">
        <v>1809.15</v>
      </c>
      <c r="K154" s="60"/>
      <c r="L154" s="60"/>
      <c r="M154" s="59">
        <f t="shared" si="35"/>
        <v>286690.57</v>
      </c>
      <c r="N154" s="60"/>
      <c r="O154" s="60"/>
      <c r="P154" s="59">
        <v>1083.5999999999999</v>
      </c>
      <c r="Q154" s="60"/>
      <c r="R154" s="60"/>
      <c r="S154" s="59">
        <f t="shared" si="36"/>
        <v>171714.84</v>
      </c>
      <c r="T154" s="60"/>
      <c r="U154" s="61"/>
      <c r="V154" s="9">
        <f t="shared" si="37"/>
        <v>903</v>
      </c>
      <c r="Y154" s="9">
        <f t="shared" si="38"/>
        <v>143095.70000000001</v>
      </c>
      <c r="AD154" s="4" t="s">
        <v>537</v>
      </c>
      <c r="AE154" s="4" t="s">
        <v>534</v>
      </c>
      <c r="AF154" s="4" t="s">
        <v>535</v>
      </c>
    </row>
    <row r="155" spans="1:35" ht="37.5" x14ac:dyDescent="0.25">
      <c r="A155" s="38" t="s">
        <v>538</v>
      </c>
      <c r="B155" s="38"/>
      <c r="C155" s="49" t="s">
        <v>483</v>
      </c>
      <c r="D155" s="40"/>
      <c r="E155" s="40"/>
      <c r="F155" s="50" t="s">
        <v>81</v>
      </c>
      <c r="G155" s="51">
        <v>0.25</v>
      </c>
      <c r="H155" s="40"/>
      <c r="I155" s="62">
        <v>0</v>
      </c>
      <c r="J155" s="53">
        <v>40.270000000000003</v>
      </c>
      <c r="K155" s="54"/>
      <c r="L155" s="54"/>
      <c r="M155" s="53">
        <f t="shared" si="35"/>
        <v>0</v>
      </c>
      <c r="N155" s="54"/>
      <c r="O155" s="54"/>
      <c r="P155" s="53">
        <v>6</v>
      </c>
      <c r="Q155" s="54"/>
      <c r="R155" s="54"/>
      <c r="S155" s="53">
        <f t="shared" si="36"/>
        <v>0</v>
      </c>
      <c r="T155" s="54"/>
      <c r="U155" s="55"/>
      <c r="V155" s="9">
        <f t="shared" si="37"/>
        <v>5</v>
      </c>
      <c r="Y155" s="9">
        <f t="shared" si="38"/>
        <v>0</v>
      </c>
      <c r="AD155" s="4" t="s">
        <v>539</v>
      </c>
      <c r="AE155" s="4" t="s">
        <v>540</v>
      </c>
      <c r="AF155" s="4" t="s">
        <v>486</v>
      </c>
    </row>
    <row r="156" spans="1:35" ht="37.5" x14ac:dyDescent="0.25">
      <c r="A156" s="44" t="s">
        <v>541</v>
      </c>
      <c r="B156" s="44"/>
      <c r="C156" s="56" t="s">
        <v>483</v>
      </c>
      <c r="D156" s="46"/>
      <c r="E156" s="46"/>
      <c r="F156" s="57" t="s">
        <v>81</v>
      </c>
      <c r="G156" s="58">
        <v>0.25</v>
      </c>
      <c r="H156" s="46"/>
      <c r="I156" s="63">
        <v>37.024999999999999</v>
      </c>
      <c r="J156" s="59">
        <v>40.270000000000003</v>
      </c>
      <c r="K156" s="60"/>
      <c r="L156" s="60"/>
      <c r="M156" s="59">
        <f t="shared" si="35"/>
        <v>1491</v>
      </c>
      <c r="N156" s="60"/>
      <c r="O156" s="60"/>
      <c r="P156" s="59">
        <v>6</v>
      </c>
      <c r="Q156" s="60"/>
      <c r="R156" s="60"/>
      <c r="S156" s="59">
        <f t="shared" si="36"/>
        <v>222.15</v>
      </c>
      <c r="T156" s="60"/>
      <c r="U156" s="61"/>
      <c r="V156" s="9">
        <f t="shared" si="37"/>
        <v>5</v>
      </c>
      <c r="Y156" s="9">
        <f t="shared" si="38"/>
        <v>185.13</v>
      </c>
      <c r="AD156" s="4" t="s">
        <v>542</v>
      </c>
      <c r="AE156" s="4" t="s">
        <v>540</v>
      </c>
      <c r="AF156" s="4" t="s">
        <v>486</v>
      </c>
    </row>
    <row r="157" spans="1:35" ht="37.5" x14ac:dyDescent="0.25">
      <c r="A157" s="38" t="s">
        <v>543</v>
      </c>
      <c r="B157" s="38"/>
      <c r="C157" s="49" t="s">
        <v>490</v>
      </c>
      <c r="D157" s="40"/>
      <c r="E157" s="40"/>
      <c r="F157" s="50" t="s">
        <v>81</v>
      </c>
      <c r="G157" s="51">
        <v>0.15</v>
      </c>
      <c r="H157" s="40"/>
      <c r="I157" s="52">
        <v>0</v>
      </c>
      <c r="J157" s="53">
        <v>88.8</v>
      </c>
      <c r="K157" s="54"/>
      <c r="L157" s="54"/>
      <c r="M157" s="53">
        <f t="shared" si="35"/>
        <v>0</v>
      </c>
      <c r="N157" s="54"/>
      <c r="O157" s="54"/>
      <c r="P157" s="53">
        <v>88.8</v>
      </c>
      <c r="Q157" s="54"/>
      <c r="R157" s="54"/>
      <c r="S157" s="53">
        <f t="shared" si="36"/>
        <v>0</v>
      </c>
      <c r="T157" s="54"/>
      <c r="U157" s="55"/>
      <c r="V157" s="9">
        <f t="shared" si="37"/>
        <v>74</v>
      </c>
      <c r="Y157" s="9">
        <f t="shared" si="38"/>
        <v>0</v>
      </c>
      <c r="AD157" s="4" t="s">
        <v>544</v>
      </c>
      <c r="AE157" s="4" t="s">
        <v>545</v>
      </c>
      <c r="AF157" s="4" t="s">
        <v>493</v>
      </c>
    </row>
    <row r="158" spans="1:35" ht="37.5" x14ac:dyDescent="0.25">
      <c r="A158" s="44" t="s">
        <v>546</v>
      </c>
      <c r="B158" s="44"/>
      <c r="C158" s="56" t="s">
        <v>490</v>
      </c>
      <c r="D158" s="46"/>
      <c r="E158" s="46"/>
      <c r="F158" s="57" t="s">
        <v>81</v>
      </c>
      <c r="G158" s="58">
        <v>0.15</v>
      </c>
      <c r="H158" s="46"/>
      <c r="I158" s="58">
        <v>22.215</v>
      </c>
      <c r="J158" s="59">
        <v>88.8</v>
      </c>
      <c r="K158" s="60"/>
      <c r="L158" s="60"/>
      <c r="M158" s="59">
        <f t="shared" si="35"/>
        <v>1972.69</v>
      </c>
      <c r="N158" s="60"/>
      <c r="O158" s="60"/>
      <c r="P158" s="59">
        <v>88.8</v>
      </c>
      <c r="Q158" s="60"/>
      <c r="R158" s="60"/>
      <c r="S158" s="59">
        <f t="shared" si="36"/>
        <v>1972.69</v>
      </c>
      <c r="T158" s="60"/>
      <c r="U158" s="61"/>
      <c r="V158" s="9">
        <f t="shared" si="37"/>
        <v>74</v>
      </c>
      <c r="Y158" s="9">
        <f t="shared" si="38"/>
        <v>1643.91</v>
      </c>
      <c r="AD158" s="4" t="s">
        <v>547</v>
      </c>
      <c r="AE158" s="4" t="s">
        <v>545</v>
      </c>
      <c r="AF158" s="4" t="s">
        <v>493</v>
      </c>
    </row>
    <row r="159" spans="1:35" ht="37.5" x14ac:dyDescent="0.25">
      <c r="A159" s="10" t="s">
        <v>548</v>
      </c>
      <c r="B159" s="10" t="s">
        <v>549</v>
      </c>
      <c r="C159" s="14" t="s">
        <v>550</v>
      </c>
      <c r="D159" s="15" t="s">
        <v>551</v>
      </c>
      <c r="E159" s="15" t="s">
        <v>552</v>
      </c>
      <c r="F159" s="15" t="s">
        <v>56</v>
      </c>
      <c r="G159" s="16">
        <v>1</v>
      </c>
      <c r="H159" s="15"/>
      <c r="I159" s="16">
        <v>900.7</v>
      </c>
      <c r="J159" s="17">
        <f>IFERROR(ROUND(SUM(M160,M161,M162)/I159, 2),0)</f>
        <v>1608.47</v>
      </c>
      <c r="K159" s="18">
        <v>412</v>
      </c>
      <c r="L159" s="17">
        <f>J159+ROUND(K159, 2)</f>
        <v>2020.47</v>
      </c>
      <c r="M159" s="17">
        <f>ROUND(J159*I159, 2)</f>
        <v>1448748.93</v>
      </c>
      <c r="N159" s="17">
        <f>ROUND(I159*ROUND(K159, 2), 2)</f>
        <v>371088.4</v>
      </c>
      <c r="O159" s="17">
        <f>M159+N159</f>
        <v>1819837.33</v>
      </c>
      <c r="P159" s="17">
        <f>IFERROR(ROUND(SUM(S160,S161,S162)/I159, 2),0)</f>
        <v>1608.47</v>
      </c>
      <c r="Q159" s="19">
        <v>412</v>
      </c>
      <c r="R159" s="17">
        <f>P159+ROUND(Q159, 2)</f>
        <v>2020.47</v>
      </c>
      <c r="S159" s="17">
        <f>ROUND(P159*I159, 2)</f>
        <v>1448748.93</v>
      </c>
      <c r="T159" s="17">
        <f>ROUND(I159*ROUND(Q159, 2), 2)</f>
        <v>371088.4</v>
      </c>
      <c r="U159" s="17">
        <f>S159+T159</f>
        <v>1819837.33</v>
      </c>
      <c r="V159" s="9">
        <f>ROUND(P159 / 1.2, 2)</f>
        <v>1340.39</v>
      </c>
      <c r="W159" s="9">
        <f>ROUND(Q159 / 1.2, 2)</f>
        <v>343.33</v>
      </c>
      <c r="X159" s="9">
        <f>ROUND(R159 / 1.2, 2)</f>
        <v>1683.73</v>
      </c>
      <c r="Y159" s="9">
        <f t="shared" si="38"/>
        <v>1207290.78</v>
      </c>
      <c r="Z159" s="9">
        <f>ROUND(T159 / 1.2, 2)</f>
        <v>309240.33</v>
      </c>
      <c r="AA159" s="9">
        <f>Y159+Z159</f>
        <v>1516531.11</v>
      </c>
      <c r="AD159" s="4">
        <v>204199105</v>
      </c>
      <c r="AE159" s="4">
        <v>16075343</v>
      </c>
      <c r="AG159" s="4" t="s">
        <v>553</v>
      </c>
      <c r="AH159" s="4" t="s">
        <v>554</v>
      </c>
      <c r="AI159" s="4" t="s">
        <v>249</v>
      </c>
    </row>
    <row r="160" spans="1:35" ht="75" x14ac:dyDescent="0.25">
      <c r="A160" s="10" t="s">
        <v>555</v>
      </c>
      <c r="B160" s="10"/>
      <c r="C160" s="24" t="s">
        <v>556</v>
      </c>
      <c r="D160" s="15"/>
      <c r="E160" s="15"/>
      <c r="F160" s="25" t="s">
        <v>123</v>
      </c>
      <c r="G160" s="26">
        <v>1</v>
      </c>
      <c r="H160" s="15"/>
      <c r="I160" s="27">
        <v>900.7</v>
      </c>
      <c r="J160" s="28">
        <v>33.25</v>
      </c>
      <c r="M160" s="29">
        <f>ROUND(ROUND(J160, 2)*I160, 2)</f>
        <v>29948.28</v>
      </c>
      <c r="P160" s="30">
        <v>33.25</v>
      </c>
      <c r="S160" s="29">
        <f>ROUND(ROUND(P160, 2)*I160, 2)</f>
        <v>29948.28</v>
      </c>
      <c r="V160" s="9">
        <f>ROUND(ROUND(P160, 2)/1.2, 2)</f>
        <v>27.71</v>
      </c>
      <c r="Y160" s="9">
        <f t="shared" si="38"/>
        <v>24956.9</v>
      </c>
      <c r="AD160" s="4" t="s">
        <v>557</v>
      </c>
      <c r="AE160" s="4" t="s">
        <v>558</v>
      </c>
      <c r="AF160" s="4" t="s">
        <v>559</v>
      </c>
    </row>
    <row r="161" spans="1:35" ht="75" x14ac:dyDescent="0.25">
      <c r="A161" s="10" t="s">
        <v>560</v>
      </c>
      <c r="B161" s="10"/>
      <c r="C161" s="24" t="s">
        <v>561</v>
      </c>
      <c r="D161" s="15"/>
      <c r="E161" s="15"/>
      <c r="F161" s="25" t="s">
        <v>56</v>
      </c>
      <c r="G161" s="26">
        <v>1.1000000000000001</v>
      </c>
      <c r="H161" s="15"/>
      <c r="I161" s="27">
        <v>990.77</v>
      </c>
      <c r="J161" s="28">
        <v>1339</v>
      </c>
      <c r="M161" s="29">
        <f>ROUND(ROUND(J161, 2)*I161, 2)</f>
        <v>1326641.03</v>
      </c>
      <c r="P161" s="30">
        <v>1339</v>
      </c>
      <c r="S161" s="29">
        <f>ROUND(ROUND(P161, 2)*I161, 2)</f>
        <v>1326641.03</v>
      </c>
      <c r="V161" s="9">
        <f>ROUND(ROUND(P161, 2)/1.2, 2)</f>
        <v>1115.83</v>
      </c>
      <c r="Y161" s="9">
        <f t="shared" si="38"/>
        <v>1105534.19</v>
      </c>
      <c r="AD161" s="4" t="s">
        <v>562</v>
      </c>
      <c r="AE161" s="4" t="s">
        <v>563</v>
      </c>
      <c r="AF161" s="4" t="s">
        <v>564</v>
      </c>
    </row>
    <row r="162" spans="1:35" ht="18.75" x14ac:dyDescent="0.25">
      <c r="A162" s="10" t="s">
        <v>565</v>
      </c>
      <c r="B162" s="10"/>
      <c r="C162" s="24" t="s">
        <v>566</v>
      </c>
      <c r="D162" s="15"/>
      <c r="E162" s="15"/>
      <c r="F162" s="25" t="s">
        <v>81</v>
      </c>
      <c r="G162" s="26">
        <v>0.3</v>
      </c>
      <c r="H162" s="15"/>
      <c r="I162" s="26">
        <v>270.20999999999998</v>
      </c>
      <c r="J162" s="28">
        <v>341.05</v>
      </c>
      <c r="M162" s="29">
        <f>ROUND(ROUND(J162, 2)*I162, 2)</f>
        <v>92155.12</v>
      </c>
      <c r="P162" s="30">
        <v>341.05</v>
      </c>
      <c r="S162" s="29">
        <f>ROUND(ROUND(P162, 2)*I162, 2)</f>
        <v>92155.12</v>
      </c>
      <c r="V162" s="9">
        <f>ROUND(ROUND(P162, 2)/1.2, 2)</f>
        <v>284.20999999999998</v>
      </c>
      <c r="Y162" s="9">
        <f t="shared" si="38"/>
        <v>76795.929999999993</v>
      </c>
      <c r="AD162" s="4" t="s">
        <v>567</v>
      </c>
      <c r="AE162" s="4" t="s">
        <v>568</v>
      </c>
      <c r="AF162" s="4" t="s">
        <v>569</v>
      </c>
    </row>
    <row r="163" spans="1:35" ht="18.75" x14ac:dyDescent="0.25">
      <c r="A163" s="38" t="s">
        <v>570</v>
      </c>
      <c r="B163" s="38" t="s">
        <v>571</v>
      </c>
      <c r="C163" s="39" t="s">
        <v>572</v>
      </c>
      <c r="D163" s="40"/>
      <c r="E163" s="40" t="s">
        <v>573</v>
      </c>
      <c r="F163" s="40" t="s">
        <v>123</v>
      </c>
      <c r="G163" s="41">
        <v>1</v>
      </c>
      <c r="H163" s="40"/>
      <c r="I163" s="42">
        <v>12.6</v>
      </c>
      <c r="J163" s="43">
        <f>IFERROR(ROUND(SUM(M165,M167)/I163, 2),0)</f>
        <v>104.52</v>
      </c>
      <c r="K163" s="43">
        <v>200</v>
      </c>
      <c r="L163" s="43">
        <f>J163+ROUND(K163, 2)</f>
        <v>304.52</v>
      </c>
      <c r="M163" s="43">
        <f>ROUND(J163*I163, 2)</f>
        <v>1316.95</v>
      </c>
      <c r="N163" s="43">
        <f>ROUND(I163*ROUND(K163, 2), 2)</f>
        <v>2520</v>
      </c>
      <c r="O163" s="43">
        <f>M163+N163</f>
        <v>3836.95</v>
      </c>
      <c r="P163" s="43">
        <f>IFERROR(ROUND(SUM(S165,S167)/I163, 2),0)</f>
        <v>104.52</v>
      </c>
      <c r="Q163" s="43">
        <v>200</v>
      </c>
      <c r="R163" s="43">
        <f>P163+ROUND(Q163, 2)</f>
        <v>304.52</v>
      </c>
      <c r="S163" s="43">
        <f>ROUND(P163*I163, 2)</f>
        <v>1316.95</v>
      </c>
      <c r="T163" s="43">
        <f>ROUND(I163*ROUND(Q163, 2), 2)</f>
        <v>2520</v>
      </c>
      <c r="U163" s="43">
        <f>S163+T163</f>
        <v>3836.95</v>
      </c>
      <c r="V163" s="9">
        <f>ROUND(P163 / 1.2, 2)</f>
        <v>87.1</v>
      </c>
      <c r="W163" s="9">
        <f>ROUND(Q163 / 1.2, 2)</f>
        <v>166.67</v>
      </c>
      <c r="X163" s="9">
        <f>ROUND(R163 / 1.2, 2)</f>
        <v>253.77</v>
      </c>
      <c r="Y163" s="9">
        <f t="shared" si="38"/>
        <v>1097.46</v>
      </c>
      <c r="Z163" s="9">
        <f>ROUND(T163 / 1.2, 2)</f>
        <v>2100</v>
      </c>
      <c r="AA163" s="9">
        <f>Y163+Z163</f>
        <v>3197.46</v>
      </c>
      <c r="AD163" s="4">
        <v>264030280</v>
      </c>
      <c r="AE163" s="4">
        <v>16076862</v>
      </c>
      <c r="AG163" s="4" t="s">
        <v>574</v>
      </c>
      <c r="AH163" s="4" t="s">
        <v>575</v>
      </c>
      <c r="AI163" s="4" t="s">
        <v>249</v>
      </c>
    </row>
    <row r="164" spans="1:35" ht="18.75" x14ac:dyDescent="0.25">
      <c r="A164" s="44" t="s">
        <v>576</v>
      </c>
      <c r="B164" s="44" t="s">
        <v>571</v>
      </c>
      <c r="C164" s="45" t="s">
        <v>572</v>
      </c>
      <c r="D164" s="46"/>
      <c r="E164" s="46" t="s">
        <v>573</v>
      </c>
      <c r="F164" s="46" t="s">
        <v>123</v>
      </c>
      <c r="G164" s="47">
        <v>1</v>
      </c>
      <c r="H164" s="46"/>
      <c r="I164" s="47">
        <v>900.7</v>
      </c>
      <c r="J164" s="48">
        <v>0</v>
      </c>
      <c r="K164" s="48">
        <v>200</v>
      </c>
      <c r="L164" s="48"/>
      <c r="M164" s="48">
        <v>0</v>
      </c>
      <c r="N164" s="48"/>
      <c r="O164" s="48"/>
      <c r="P164" s="48">
        <v>0</v>
      </c>
      <c r="Q164" s="48">
        <v>200</v>
      </c>
      <c r="R164" s="48"/>
      <c r="S164" s="48">
        <v>0</v>
      </c>
      <c r="T164" s="48"/>
      <c r="U164" s="48"/>
      <c r="V164" s="9"/>
      <c r="W164" s="9">
        <f>ROUND(Q164 / 1.2, 2)</f>
        <v>166.67</v>
      </c>
      <c r="X164" s="9" t="e">
        <f>ROUND(R164 / 1.2, 2)</f>
        <v>#VALUE!</v>
      </c>
      <c r="Y164" s="9"/>
      <c r="Z164" s="9" t="e">
        <f>ROUND(T164 / 1.2, 2)</f>
        <v>#VALUE!</v>
      </c>
      <c r="AA164" s="9"/>
      <c r="AD164" s="4">
        <v>204199107</v>
      </c>
      <c r="AE164" s="4">
        <v>16076862</v>
      </c>
      <c r="AG164" s="4" t="s">
        <v>574</v>
      </c>
      <c r="AH164" s="4" t="s">
        <v>575</v>
      </c>
      <c r="AI164" s="4"/>
    </row>
    <row r="165" spans="1:35" ht="37.5" x14ac:dyDescent="0.25">
      <c r="A165" s="38" t="s">
        <v>577</v>
      </c>
      <c r="B165" s="38"/>
      <c r="C165" s="49" t="s">
        <v>578</v>
      </c>
      <c r="D165" s="40"/>
      <c r="E165" s="40"/>
      <c r="F165" s="50" t="s">
        <v>123</v>
      </c>
      <c r="G165" s="51">
        <v>1.05</v>
      </c>
      <c r="H165" s="40"/>
      <c r="I165" s="62">
        <v>13.23</v>
      </c>
      <c r="J165" s="53">
        <v>90.97</v>
      </c>
      <c r="K165" s="54"/>
      <c r="L165" s="54"/>
      <c r="M165" s="53">
        <f>ROUND(ROUND(J165, 2)*I165, 2)</f>
        <v>1203.53</v>
      </c>
      <c r="N165" s="54"/>
      <c r="O165" s="54"/>
      <c r="P165" s="53">
        <v>90.97</v>
      </c>
      <c r="Q165" s="54"/>
      <c r="R165" s="54"/>
      <c r="S165" s="53">
        <f>ROUND(ROUND(P165, 2)*I165, 2)</f>
        <v>1203.53</v>
      </c>
      <c r="T165" s="54"/>
      <c r="U165" s="55"/>
      <c r="V165" s="9">
        <f>ROUND(ROUND(P165, 2)/1.2, 2)</f>
        <v>75.81</v>
      </c>
      <c r="Y165" s="9">
        <f>ROUND(S165 / 1.2, 2)</f>
        <v>1002.94</v>
      </c>
      <c r="AD165" s="4" t="s">
        <v>579</v>
      </c>
      <c r="AE165" s="4" t="s">
        <v>580</v>
      </c>
      <c r="AF165" s="4" t="s">
        <v>581</v>
      </c>
    </row>
    <row r="166" spans="1:35" ht="37.5" x14ac:dyDescent="0.25">
      <c r="A166" s="44" t="s">
        <v>582</v>
      </c>
      <c r="B166" s="44"/>
      <c r="C166" s="56" t="s">
        <v>578</v>
      </c>
      <c r="D166" s="46"/>
      <c r="E166" s="46"/>
      <c r="F166" s="57" t="s">
        <v>123</v>
      </c>
      <c r="G166" s="58">
        <v>1.05</v>
      </c>
      <c r="H166" s="46"/>
      <c r="I166" s="63">
        <v>945.73500000000001</v>
      </c>
      <c r="J166" s="59">
        <v>90.97</v>
      </c>
      <c r="K166" s="60"/>
      <c r="L166" s="60"/>
      <c r="M166" s="59">
        <f>ROUND(ROUND(J166, 2)*I166, 2)</f>
        <v>86033.51</v>
      </c>
      <c r="N166" s="60"/>
      <c r="O166" s="60"/>
      <c r="P166" s="59">
        <v>90.97</v>
      </c>
      <c r="Q166" s="60"/>
      <c r="R166" s="60"/>
      <c r="S166" s="59">
        <f>ROUND(ROUND(P166, 2)*I166, 2)</f>
        <v>86033.51</v>
      </c>
      <c r="T166" s="60"/>
      <c r="U166" s="61"/>
      <c r="V166" s="9">
        <f>ROUND(ROUND(P166, 2)/1.2, 2)</f>
        <v>75.81</v>
      </c>
      <c r="Y166" s="9">
        <f>ROUND(S166 / 1.2, 2)</f>
        <v>71694.59</v>
      </c>
      <c r="AD166" s="4" t="s">
        <v>583</v>
      </c>
      <c r="AE166" s="4" t="s">
        <v>580</v>
      </c>
      <c r="AF166" s="4" t="s">
        <v>581</v>
      </c>
    </row>
    <row r="167" spans="1:35" ht="18.75" x14ac:dyDescent="0.25">
      <c r="A167" s="38" t="s">
        <v>584</v>
      </c>
      <c r="B167" s="38"/>
      <c r="C167" s="49" t="s">
        <v>585</v>
      </c>
      <c r="D167" s="40"/>
      <c r="E167" s="40"/>
      <c r="F167" s="50" t="s">
        <v>103</v>
      </c>
      <c r="G167" s="65">
        <v>0.09</v>
      </c>
      <c r="H167" s="40"/>
      <c r="I167" s="52">
        <v>1.1339999999999999</v>
      </c>
      <c r="J167" s="53">
        <v>100</v>
      </c>
      <c r="K167" s="54"/>
      <c r="L167" s="54"/>
      <c r="M167" s="53">
        <f>ROUND(ROUND(J167, 2)*I167, 2)</f>
        <v>113.4</v>
      </c>
      <c r="N167" s="54"/>
      <c r="O167" s="54"/>
      <c r="P167" s="53">
        <v>100</v>
      </c>
      <c r="Q167" s="54"/>
      <c r="R167" s="54"/>
      <c r="S167" s="53">
        <f>ROUND(ROUND(P167, 2)*I167, 2)</f>
        <v>113.4</v>
      </c>
      <c r="T167" s="54"/>
      <c r="U167" s="55"/>
      <c r="V167" s="9">
        <f>ROUND(ROUND(P167, 2)/1.2, 2)</f>
        <v>83.33</v>
      </c>
      <c r="Y167" s="9">
        <f>ROUND(S167 / 1.2, 2)</f>
        <v>94.5</v>
      </c>
      <c r="AD167" s="4" t="s">
        <v>586</v>
      </c>
      <c r="AE167" s="4" t="s">
        <v>587</v>
      </c>
      <c r="AF167" s="4" t="s">
        <v>588</v>
      </c>
    </row>
    <row r="168" spans="1:35" ht="18.75" x14ac:dyDescent="0.25">
      <c r="A168" s="44" t="s">
        <v>589</v>
      </c>
      <c r="B168" s="44"/>
      <c r="C168" s="56" t="s">
        <v>585</v>
      </c>
      <c r="D168" s="46"/>
      <c r="E168" s="46"/>
      <c r="F168" s="57" t="s">
        <v>103</v>
      </c>
      <c r="G168" s="66">
        <v>0.09</v>
      </c>
      <c r="H168" s="46"/>
      <c r="I168" s="58">
        <v>81.063000000000002</v>
      </c>
      <c r="J168" s="59">
        <v>100</v>
      </c>
      <c r="K168" s="60"/>
      <c r="L168" s="60"/>
      <c r="M168" s="59">
        <f>ROUND(ROUND(J168, 2)*I168, 2)</f>
        <v>8106.3</v>
      </c>
      <c r="N168" s="60"/>
      <c r="O168" s="60"/>
      <c r="P168" s="59">
        <v>100</v>
      </c>
      <c r="Q168" s="60"/>
      <c r="R168" s="60"/>
      <c r="S168" s="59">
        <f>ROUND(ROUND(P168, 2)*I168, 2)</f>
        <v>8106.3</v>
      </c>
      <c r="T168" s="60"/>
      <c r="U168" s="61"/>
      <c r="V168" s="9">
        <f>ROUND(ROUND(P168, 2)/1.2, 2)</f>
        <v>83.33</v>
      </c>
      <c r="Y168" s="9">
        <f>ROUND(S168 / 1.2, 2)</f>
        <v>6755.25</v>
      </c>
      <c r="AD168" s="4" t="s">
        <v>590</v>
      </c>
      <c r="AE168" s="4" t="s">
        <v>587</v>
      </c>
      <c r="AF168" s="4" t="s">
        <v>588</v>
      </c>
    </row>
    <row r="169" spans="1:35" ht="56.25" x14ac:dyDescent="0.25">
      <c r="A169" s="38" t="s">
        <v>591</v>
      </c>
      <c r="B169" s="38" t="s">
        <v>592</v>
      </c>
      <c r="C169" s="39" t="s">
        <v>593</v>
      </c>
      <c r="D169" s="40"/>
      <c r="E169" s="40" t="s">
        <v>594</v>
      </c>
      <c r="F169" s="40" t="s">
        <v>123</v>
      </c>
      <c r="G169" s="41">
        <v>1</v>
      </c>
      <c r="H169" s="40"/>
      <c r="I169" s="42">
        <v>0</v>
      </c>
      <c r="J169" s="43">
        <f>IFERROR(ROUND(SUM(M171,M173,M175,M177)/I169, 2),0)</f>
        <v>0</v>
      </c>
      <c r="K169" s="43">
        <v>374</v>
      </c>
      <c r="L169" s="43">
        <f>J169+ROUND(K169, 2)</f>
        <v>374</v>
      </c>
      <c r="M169" s="43">
        <f>ROUND(J169*I169, 2)</f>
        <v>0</v>
      </c>
      <c r="N169" s="43">
        <f>ROUND(I169*ROUND(K169, 2), 2)</f>
        <v>0</v>
      </c>
      <c r="O169" s="43">
        <f>M169+N169</f>
        <v>0</v>
      </c>
      <c r="P169" s="43">
        <f>IFERROR(ROUND(SUM(S171,S173,S175,S177)/I169, 2),0)</f>
        <v>0</v>
      </c>
      <c r="Q169" s="43">
        <v>374</v>
      </c>
      <c r="R169" s="43">
        <f>P169+ROUND(Q169, 2)</f>
        <v>374</v>
      </c>
      <c r="S169" s="43">
        <f>ROUND(P169*I169, 2)</f>
        <v>0</v>
      </c>
      <c r="T169" s="43">
        <f>ROUND(I169*ROUND(Q169, 2), 2)</f>
        <v>0</v>
      </c>
      <c r="U169" s="43">
        <f>S169+T169</f>
        <v>0</v>
      </c>
      <c r="V169" s="9">
        <f>ROUND(P169 / 1.2, 2)</f>
        <v>0</v>
      </c>
      <c r="W169" s="9">
        <f>ROUND(Q169 / 1.2, 2)</f>
        <v>311.67</v>
      </c>
      <c r="X169" s="9">
        <f>ROUND(R169 / 1.2, 2)</f>
        <v>311.67</v>
      </c>
      <c r="Y169" s="9">
        <f>ROUND(S169 / 1.2, 2)</f>
        <v>0</v>
      </c>
      <c r="Z169" s="9">
        <f>ROUND(T169 / 1.2, 2)</f>
        <v>0</v>
      </c>
      <c r="AA169" s="9">
        <f>Y169+Z169</f>
        <v>0</v>
      </c>
      <c r="AD169" s="4">
        <v>264030282</v>
      </c>
      <c r="AE169" s="4">
        <v>16082192</v>
      </c>
      <c r="AG169" s="4" t="s">
        <v>595</v>
      </c>
      <c r="AH169" s="4" t="s">
        <v>596</v>
      </c>
      <c r="AI169" s="4" t="s">
        <v>249</v>
      </c>
    </row>
    <row r="170" spans="1:35" ht="56.25" x14ac:dyDescent="0.25">
      <c r="A170" s="44" t="s">
        <v>597</v>
      </c>
      <c r="B170" s="44" t="s">
        <v>592</v>
      </c>
      <c r="C170" s="45" t="s">
        <v>593</v>
      </c>
      <c r="D170" s="46"/>
      <c r="E170" s="46" t="s">
        <v>594</v>
      </c>
      <c r="F170" s="46" t="s">
        <v>123</v>
      </c>
      <c r="G170" s="47">
        <v>1</v>
      </c>
      <c r="H170" s="46"/>
      <c r="I170" s="47">
        <v>125.7</v>
      </c>
      <c r="J170" s="48">
        <v>0</v>
      </c>
      <c r="K170" s="48">
        <v>374</v>
      </c>
      <c r="L170" s="48"/>
      <c r="M170" s="48">
        <v>0</v>
      </c>
      <c r="N170" s="48"/>
      <c r="O170" s="48"/>
      <c r="P170" s="48">
        <v>0</v>
      </c>
      <c r="Q170" s="48">
        <v>374</v>
      </c>
      <c r="R170" s="48"/>
      <c r="S170" s="48">
        <v>0</v>
      </c>
      <c r="T170" s="48"/>
      <c r="U170" s="48"/>
      <c r="V170" s="9"/>
      <c r="W170" s="9">
        <f>ROUND(Q170 / 1.2, 2)</f>
        <v>311.67</v>
      </c>
      <c r="X170" s="9" t="e">
        <f>ROUND(R170 / 1.2, 2)</f>
        <v>#VALUE!</v>
      </c>
      <c r="Y170" s="9"/>
      <c r="Z170" s="9" t="e">
        <f>ROUND(T170 / 1.2, 2)</f>
        <v>#VALUE!</v>
      </c>
      <c r="AA170" s="9"/>
      <c r="AD170" s="4">
        <v>204396870</v>
      </c>
      <c r="AE170" s="4">
        <v>16082192</v>
      </c>
      <c r="AG170" s="4" t="s">
        <v>595</v>
      </c>
      <c r="AH170" s="4" t="s">
        <v>596</v>
      </c>
      <c r="AI170" s="4"/>
    </row>
    <row r="171" spans="1:35" ht="150" x14ac:dyDescent="0.25">
      <c r="A171" s="38" t="s">
        <v>598</v>
      </c>
      <c r="B171" s="38"/>
      <c r="C171" s="49" t="s">
        <v>599</v>
      </c>
      <c r="D171" s="40"/>
      <c r="E171" s="40" t="s">
        <v>600</v>
      </c>
      <c r="F171" s="50" t="s">
        <v>103</v>
      </c>
      <c r="G171" s="51">
        <v>1.84</v>
      </c>
      <c r="H171" s="40"/>
      <c r="I171" s="52">
        <v>0</v>
      </c>
      <c r="J171" s="53">
        <v>196</v>
      </c>
      <c r="K171" s="54"/>
      <c r="L171" s="54"/>
      <c r="M171" s="53">
        <f t="shared" ref="M171:M178" si="39">ROUND(ROUND(J171, 2)*I171, 2)</f>
        <v>0</v>
      </c>
      <c r="N171" s="54"/>
      <c r="O171" s="54"/>
      <c r="P171" s="53">
        <v>196</v>
      </c>
      <c r="Q171" s="54"/>
      <c r="R171" s="54"/>
      <c r="S171" s="53">
        <f t="shared" ref="S171:S178" si="40">ROUND(ROUND(P171, 2)*I171, 2)</f>
        <v>0</v>
      </c>
      <c r="T171" s="54"/>
      <c r="U171" s="55"/>
      <c r="V171" s="9">
        <f t="shared" ref="V171:V178" si="41">ROUND(ROUND(P171, 2)/1.2, 2)</f>
        <v>163.33000000000001</v>
      </c>
      <c r="Y171" s="9">
        <f t="shared" ref="Y171:Y179" si="42">ROUND(S171 / 1.2, 2)</f>
        <v>0</v>
      </c>
      <c r="AD171" s="4" t="s">
        <v>601</v>
      </c>
      <c r="AE171" s="4" t="s">
        <v>602</v>
      </c>
      <c r="AF171" s="4" t="s">
        <v>603</v>
      </c>
    </row>
    <row r="172" spans="1:35" ht="150" x14ac:dyDescent="0.25">
      <c r="A172" s="44" t="s">
        <v>604</v>
      </c>
      <c r="B172" s="44"/>
      <c r="C172" s="56" t="s">
        <v>599</v>
      </c>
      <c r="D172" s="46"/>
      <c r="E172" s="46" t="s">
        <v>600</v>
      </c>
      <c r="F172" s="57" t="s">
        <v>103</v>
      </c>
      <c r="G172" s="58">
        <v>1.84</v>
      </c>
      <c r="H172" s="46"/>
      <c r="I172" s="58">
        <v>231.28800000000001</v>
      </c>
      <c r="J172" s="59">
        <v>196</v>
      </c>
      <c r="K172" s="60"/>
      <c r="L172" s="60"/>
      <c r="M172" s="59">
        <f t="shared" si="39"/>
        <v>45332.45</v>
      </c>
      <c r="N172" s="60"/>
      <c r="O172" s="60"/>
      <c r="P172" s="59">
        <v>196</v>
      </c>
      <c r="Q172" s="60"/>
      <c r="R172" s="60"/>
      <c r="S172" s="59">
        <f t="shared" si="40"/>
        <v>45332.45</v>
      </c>
      <c r="T172" s="60"/>
      <c r="U172" s="61"/>
      <c r="V172" s="9">
        <f t="shared" si="41"/>
        <v>163.33000000000001</v>
      </c>
      <c r="Y172" s="9">
        <f t="shared" si="42"/>
        <v>37777.040000000001</v>
      </c>
      <c r="AD172" s="4" t="s">
        <v>605</v>
      </c>
      <c r="AE172" s="4" t="s">
        <v>602</v>
      </c>
      <c r="AF172" s="4" t="s">
        <v>603</v>
      </c>
    </row>
    <row r="173" spans="1:35" ht="37.5" x14ac:dyDescent="0.25">
      <c r="A173" s="38" t="s">
        <v>606</v>
      </c>
      <c r="B173" s="38"/>
      <c r="C173" s="49" t="s">
        <v>607</v>
      </c>
      <c r="D173" s="40"/>
      <c r="E173" s="40"/>
      <c r="F173" s="50" t="s">
        <v>81</v>
      </c>
      <c r="G173" s="51">
        <v>0.7</v>
      </c>
      <c r="H173" s="40"/>
      <c r="I173" s="62">
        <v>0</v>
      </c>
      <c r="J173" s="53">
        <v>6.28</v>
      </c>
      <c r="K173" s="54"/>
      <c r="L173" s="54"/>
      <c r="M173" s="53">
        <f t="shared" si="39"/>
        <v>0</v>
      </c>
      <c r="N173" s="54"/>
      <c r="O173" s="54"/>
      <c r="P173" s="53">
        <v>6.28</v>
      </c>
      <c r="Q173" s="54"/>
      <c r="R173" s="54"/>
      <c r="S173" s="53">
        <f t="shared" si="40"/>
        <v>0</v>
      </c>
      <c r="T173" s="54"/>
      <c r="U173" s="55"/>
      <c r="V173" s="9">
        <f t="shared" si="41"/>
        <v>5.23</v>
      </c>
      <c r="Y173" s="9">
        <f t="shared" si="42"/>
        <v>0</v>
      </c>
      <c r="AD173" s="4" t="s">
        <v>608</v>
      </c>
      <c r="AE173" s="4" t="s">
        <v>609</v>
      </c>
      <c r="AF173" s="4" t="s">
        <v>610</v>
      </c>
    </row>
    <row r="174" spans="1:35" ht="37.5" x14ac:dyDescent="0.25">
      <c r="A174" s="44" t="s">
        <v>611</v>
      </c>
      <c r="B174" s="44"/>
      <c r="C174" s="56" t="s">
        <v>607</v>
      </c>
      <c r="D174" s="46"/>
      <c r="E174" s="46"/>
      <c r="F174" s="57" t="s">
        <v>81</v>
      </c>
      <c r="G174" s="58">
        <v>0.7</v>
      </c>
      <c r="H174" s="46"/>
      <c r="I174" s="63">
        <v>87.99</v>
      </c>
      <c r="J174" s="59">
        <v>6.28</v>
      </c>
      <c r="K174" s="60"/>
      <c r="L174" s="60"/>
      <c r="M174" s="59">
        <f t="shared" si="39"/>
        <v>552.58000000000004</v>
      </c>
      <c r="N174" s="60"/>
      <c r="O174" s="60"/>
      <c r="P174" s="59">
        <v>6.28</v>
      </c>
      <c r="Q174" s="60"/>
      <c r="R174" s="60"/>
      <c r="S174" s="59">
        <f t="shared" si="40"/>
        <v>552.58000000000004</v>
      </c>
      <c r="T174" s="60"/>
      <c r="U174" s="61"/>
      <c r="V174" s="9">
        <f t="shared" si="41"/>
        <v>5.23</v>
      </c>
      <c r="Y174" s="9">
        <f t="shared" si="42"/>
        <v>460.48</v>
      </c>
      <c r="AD174" s="4" t="s">
        <v>612</v>
      </c>
      <c r="AE174" s="4" t="s">
        <v>609</v>
      </c>
      <c r="AF174" s="4" t="s">
        <v>610</v>
      </c>
    </row>
    <row r="175" spans="1:35" ht="37.5" x14ac:dyDescent="0.25">
      <c r="A175" s="38" t="s">
        <v>613</v>
      </c>
      <c r="B175" s="38"/>
      <c r="C175" s="49" t="s">
        <v>483</v>
      </c>
      <c r="D175" s="40"/>
      <c r="E175" s="40"/>
      <c r="F175" s="50" t="s">
        <v>81</v>
      </c>
      <c r="G175" s="51">
        <v>0.04</v>
      </c>
      <c r="H175" s="40"/>
      <c r="I175" s="52">
        <v>0</v>
      </c>
      <c r="J175" s="53">
        <v>40.270000000000003</v>
      </c>
      <c r="K175" s="54"/>
      <c r="L175" s="54"/>
      <c r="M175" s="53">
        <f t="shared" si="39"/>
        <v>0</v>
      </c>
      <c r="N175" s="54"/>
      <c r="O175" s="54"/>
      <c r="P175" s="53">
        <v>40.270000000000003</v>
      </c>
      <c r="Q175" s="54"/>
      <c r="R175" s="54"/>
      <c r="S175" s="53">
        <f t="shared" si="40"/>
        <v>0</v>
      </c>
      <c r="T175" s="54"/>
      <c r="U175" s="55"/>
      <c r="V175" s="9">
        <f t="shared" si="41"/>
        <v>33.56</v>
      </c>
      <c r="Y175" s="9">
        <f t="shared" si="42"/>
        <v>0</v>
      </c>
      <c r="AD175" s="4" t="s">
        <v>614</v>
      </c>
      <c r="AE175" s="4" t="s">
        <v>615</v>
      </c>
      <c r="AF175" s="4" t="s">
        <v>486</v>
      </c>
    </row>
    <row r="176" spans="1:35" ht="37.5" x14ac:dyDescent="0.25">
      <c r="A176" s="44" t="s">
        <v>616</v>
      </c>
      <c r="B176" s="44"/>
      <c r="C176" s="56" t="s">
        <v>483</v>
      </c>
      <c r="D176" s="46"/>
      <c r="E176" s="46"/>
      <c r="F176" s="57" t="s">
        <v>81</v>
      </c>
      <c r="G176" s="58">
        <v>0.04</v>
      </c>
      <c r="H176" s="46"/>
      <c r="I176" s="58">
        <v>5.0279999999999996</v>
      </c>
      <c r="J176" s="59">
        <v>40.270000000000003</v>
      </c>
      <c r="K176" s="60"/>
      <c r="L176" s="60"/>
      <c r="M176" s="59">
        <f t="shared" si="39"/>
        <v>202.48</v>
      </c>
      <c r="N176" s="60"/>
      <c r="O176" s="60"/>
      <c r="P176" s="59">
        <v>40.270000000000003</v>
      </c>
      <c r="Q176" s="60"/>
      <c r="R176" s="60"/>
      <c r="S176" s="59">
        <f t="shared" si="40"/>
        <v>202.48</v>
      </c>
      <c r="T176" s="60"/>
      <c r="U176" s="61"/>
      <c r="V176" s="9">
        <f t="shared" si="41"/>
        <v>33.56</v>
      </c>
      <c r="Y176" s="9">
        <f t="shared" si="42"/>
        <v>168.73</v>
      </c>
      <c r="AD176" s="4" t="s">
        <v>617</v>
      </c>
      <c r="AE176" s="4" t="s">
        <v>615</v>
      </c>
      <c r="AF176" s="4" t="s">
        <v>486</v>
      </c>
    </row>
    <row r="177" spans="1:35" ht="37.5" x14ac:dyDescent="0.25">
      <c r="A177" s="38" t="s">
        <v>618</v>
      </c>
      <c r="B177" s="38"/>
      <c r="C177" s="49" t="s">
        <v>490</v>
      </c>
      <c r="D177" s="40"/>
      <c r="E177" s="40"/>
      <c r="F177" s="50" t="s">
        <v>81</v>
      </c>
      <c r="G177" s="51">
        <v>1.4999999999999999E-2</v>
      </c>
      <c r="H177" s="40"/>
      <c r="I177" s="52">
        <v>0</v>
      </c>
      <c r="J177" s="53">
        <v>88.8</v>
      </c>
      <c r="K177" s="54"/>
      <c r="L177" s="54"/>
      <c r="M177" s="53">
        <f t="shared" si="39"/>
        <v>0</v>
      </c>
      <c r="N177" s="54"/>
      <c r="O177" s="54"/>
      <c r="P177" s="53">
        <v>88.8</v>
      </c>
      <c r="Q177" s="54"/>
      <c r="R177" s="54"/>
      <c r="S177" s="53">
        <f t="shared" si="40"/>
        <v>0</v>
      </c>
      <c r="T177" s="54"/>
      <c r="U177" s="55"/>
      <c r="V177" s="9">
        <f t="shared" si="41"/>
        <v>74</v>
      </c>
      <c r="Y177" s="9">
        <f t="shared" si="42"/>
        <v>0</v>
      </c>
      <c r="AD177" s="4" t="s">
        <v>619</v>
      </c>
      <c r="AE177" s="4" t="s">
        <v>620</v>
      </c>
      <c r="AF177" s="4" t="s">
        <v>493</v>
      </c>
    </row>
    <row r="178" spans="1:35" ht="37.5" x14ac:dyDescent="0.25">
      <c r="A178" s="44" t="s">
        <v>621</v>
      </c>
      <c r="B178" s="44"/>
      <c r="C178" s="56" t="s">
        <v>490</v>
      </c>
      <c r="D178" s="46"/>
      <c r="E178" s="46"/>
      <c r="F178" s="57" t="s">
        <v>81</v>
      </c>
      <c r="G178" s="58">
        <v>1.4999999999999999E-2</v>
      </c>
      <c r="H178" s="46"/>
      <c r="I178" s="58">
        <v>1.8859999999999999</v>
      </c>
      <c r="J178" s="59">
        <v>88.8</v>
      </c>
      <c r="K178" s="60"/>
      <c r="L178" s="60"/>
      <c r="M178" s="59">
        <f t="shared" si="39"/>
        <v>167.48</v>
      </c>
      <c r="N178" s="60"/>
      <c r="O178" s="60"/>
      <c r="P178" s="59">
        <v>88.8</v>
      </c>
      <c r="Q178" s="60"/>
      <c r="R178" s="60"/>
      <c r="S178" s="59">
        <f t="shared" si="40"/>
        <v>167.48</v>
      </c>
      <c r="T178" s="60"/>
      <c r="U178" s="61"/>
      <c r="V178" s="9">
        <f t="shared" si="41"/>
        <v>74</v>
      </c>
      <c r="Y178" s="9">
        <f t="shared" si="42"/>
        <v>139.57</v>
      </c>
      <c r="AD178" s="4" t="s">
        <v>622</v>
      </c>
      <c r="AE178" s="4" t="s">
        <v>620</v>
      </c>
      <c r="AF178" s="4" t="s">
        <v>493</v>
      </c>
    </row>
    <row r="179" spans="1:35" ht="56.25" x14ac:dyDescent="0.25">
      <c r="A179" s="38" t="s">
        <v>623</v>
      </c>
      <c r="B179" s="38" t="s">
        <v>592</v>
      </c>
      <c r="C179" s="39" t="s">
        <v>593</v>
      </c>
      <c r="D179" s="40"/>
      <c r="E179" s="40" t="s">
        <v>367</v>
      </c>
      <c r="F179" s="40" t="s">
        <v>123</v>
      </c>
      <c r="G179" s="41">
        <v>1</v>
      </c>
      <c r="H179" s="40"/>
      <c r="I179" s="42">
        <v>0</v>
      </c>
      <c r="J179" s="43">
        <f>IFERROR(ROUND(SUM(M181,M183,M185,M187)/I179, 2),0)</f>
        <v>0</v>
      </c>
      <c r="K179" s="43">
        <v>374</v>
      </c>
      <c r="L179" s="43">
        <f>J179+ROUND(K179, 2)</f>
        <v>374</v>
      </c>
      <c r="M179" s="43">
        <f>ROUND(J179*I179, 2)</f>
        <v>0</v>
      </c>
      <c r="N179" s="43">
        <f>ROUND(I179*ROUND(K179, 2), 2)</f>
        <v>0</v>
      </c>
      <c r="O179" s="43">
        <f>M179+N179</f>
        <v>0</v>
      </c>
      <c r="P179" s="43">
        <f>IFERROR(ROUND(SUM(S181,S183,S185,S187)/I179, 2),0)</f>
        <v>0</v>
      </c>
      <c r="Q179" s="43">
        <v>374</v>
      </c>
      <c r="R179" s="43">
        <f>P179+ROUND(Q179, 2)</f>
        <v>374</v>
      </c>
      <c r="S179" s="43">
        <f>ROUND(P179*I179, 2)</f>
        <v>0</v>
      </c>
      <c r="T179" s="43">
        <f>ROUND(I179*ROUND(Q179, 2), 2)</f>
        <v>0</v>
      </c>
      <c r="U179" s="43">
        <f>S179+T179</f>
        <v>0</v>
      </c>
      <c r="V179" s="9">
        <f>ROUND(P179 / 1.2, 2)</f>
        <v>0</v>
      </c>
      <c r="W179" s="9">
        <f>ROUND(Q179 / 1.2, 2)</f>
        <v>311.67</v>
      </c>
      <c r="X179" s="9">
        <f>ROUND(R179 / 1.2, 2)</f>
        <v>311.67</v>
      </c>
      <c r="Y179" s="9">
        <f t="shared" si="42"/>
        <v>0</v>
      </c>
      <c r="Z179" s="9">
        <f>ROUND(T179 / 1.2, 2)</f>
        <v>0</v>
      </c>
      <c r="AA179" s="9">
        <f>Y179+Z179</f>
        <v>0</v>
      </c>
      <c r="AD179" s="4">
        <v>264030372</v>
      </c>
      <c r="AE179" s="4">
        <v>16087853</v>
      </c>
      <c r="AG179" s="4" t="s">
        <v>595</v>
      </c>
      <c r="AH179" s="4" t="s">
        <v>596</v>
      </c>
      <c r="AI179" s="4" t="s">
        <v>249</v>
      </c>
    </row>
    <row r="180" spans="1:35" ht="56.25" x14ac:dyDescent="0.25">
      <c r="A180" s="44" t="s">
        <v>624</v>
      </c>
      <c r="B180" s="44" t="s">
        <v>592</v>
      </c>
      <c r="C180" s="45" t="s">
        <v>593</v>
      </c>
      <c r="D180" s="46"/>
      <c r="E180" s="46" t="s">
        <v>367</v>
      </c>
      <c r="F180" s="46" t="s">
        <v>123</v>
      </c>
      <c r="G180" s="47">
        <v>1</v>
      </c>
      <c r="H180" s="46"/>
      <c r="I180" s="47">
        <v>56.7</v>
      </c>
      <c r="J180" s="48">
        <v>0</v>
      </c>
      <c r="K180" s="48">
        <v>374</v>
      </c>
      <c r="L180" s="48"/>
      <c r="M180" s="48">
        <v>0</v>
      </c>
      <c r="N180" s="48"/>
      <c r="O180" s="48"/>
      <c r="P180" s="48">
        <v>0</v>
      </c>
      <c r="Q180" s="48">
        <v>374</v>
      </c>
      <c r="R180" s="48"/>
      <c r="S180" s="48">
        <v>0</v>
      </c>
      <c r="T180" s="48"/>
      <c r="U180" s="48"/>
      <c r="V180" s="9"/>
      <c r="W180" s="9">
        <f>ROUND(Q180 / 1.2, 2)</f>
        <v>311.67</v>
      </c>
      <c r="X180" s="9" t="e">
        <f>ROUND(R180 / 1.2, 2)</f>
        <v>#VALUE!</v>
      </c>
      <c r="Y180" s="9"/>
      <c r="Z180" s="9" t="e">
        <f>ROUND(T180 / 1.2, 2)</f>
        <v>#VALUE!</v>
      </c>
      <c r="AA180" s="9"/>
      <c r="AD180" s="4">
        <v>204426456</v>
      </c>
      <c r="AE180" s="4">
        <v>16087853</v>
      </c>
      <c r="AG180" s="4" t="s">
        <v>595</v>
      </c>
      <c r="AH180" s="4" t="s">
        <v>596</v>
      </c>
      <c r="AI180" s="4"/>
    </row>
    <row r="181" spans="1:35" ht="37.5" x14ac:dyDescent="0.25">
      <c r="A181" s="38" t="s">
        <v>625</v>
      </c>
      <c r="B181" s="38"/>
      <c r="C181" s="49" t="s">
        <v>490</v>
      </c>
      <c r="D181" s="40"/>
      <c r="E181" s="40"/>
      <c r="F181" s="50" t="s">
        <v>81</v>
      </c>
      <c r="G181" s="51">
        <v>1.4999999999999999E-2</v>
      </c>
      <c r="H181" s="40"/>
      <c r="I181" s="52">
        <v>0</v>
      </c>
      <c r="J181" s="53">
        <v>88.8</v>
      </c>
      <c r="K181" s="54"/>
      <c r="L181" s="54"/>
      <c r="M181" s="53">
        <f t="shared" ref="M181:M188" si="43">ROUND(ROUND(J181, 2)*I181, 2)</f>
        <v>0</v>
      </c>
      <c r="N181" s="54"/>
      <c r="O181" s="54"/>
      <c r="P181" s="53">
        <v>88.8</v>
      </c>
      <c r="Q181" s="54"/>
      <c r="R181" s="54"/>
      <c r="S181" s="53">
        <f t="shared" ref="S181:S188" si="44">ROUND(ROUND(P181, 2)*I181, 2)</f>
        <v>0</v>
      </c>
      <c r="T181" s="54"/>
      <c r="U181" s="55"/>
      <c r="V181" s="9">
        <f t="shared" ref="V181:V188" si="45">ROUND(ROUND(P181, 2)/1.2, 2)</f>
        <v>74</v>
      </c>
      <c r="Y181" s="9">
        <f t="shared" ref="Y181:Y191" si="46">ROUND(S181 / 1.2, 2)</f>
        <v>0</v>
      </c>
      <c r="AD181" s="4" t="s">
        <v>626</v>
      </c>
      <c r="AE181" s="4" t="s">
        <v>627</v>
      </c>
      <c r="AF181" s="4" t="s">
        <v>493</v>
      </c>
    </row>
    <row r="182" spans="1:35" ht="37.5" x14ac:dyDescent="0.25">
      <c r="A182" s="44" t="s">
        <v>628</v>
      </c>
      <c r="B182" s="44"/>
      <c r="C182" s="56" t="s">
        <v>490</v>
      </c>
      <c r="D182" s="46"/>
      <c r="E182" s="46"/>
      <c r="F182" s="57" t="s">
        <v>81</v>
      </c>
      <c r="G182" s="58">
        <v>1.4999999999999999E-2</v>
      </c>
      <c r="H182" s="46"/>
      <c r="I182" s="58">
        <v>0.85099999999999998</v>
      </c>
      <c r="J182" s="59">
        <v>88.8</v>
      </c>
      <c r="K182" s="60"/>
      <c r="L182" s="60"/>
      <c r="M182" s="59">
        <f t="shared" si="43"/>
        <v>75.569999999999993</v>
      </c>
      <c r="N182" s="60"/>
      <c r="O182" s="60"/>
      <c r="P182" s="59">
        <v>88.8</v>
      </c>
      <c r="Q182" s="60"/>
      <c r="R182" s="60"/>
      <c r="S182" s="59">
        <f t="shared" si="44"/>
        <v>75.569999999999993</v>
      </c>
      <c r="T182" s="60"/>
      <c r="U182" s="61"/>
      <c r="V182" s="9">
        <f t="shared" si="45"/>
        <v>74</v>
      </c>
      <c r="Y182" s="9">
        <f t="shared" si="46"/>
        <v>62.98</v>
      </c>
      <c r="AD182" s="4" t="s">
        <v>629</v>
      </c>
      <c r="AE182" s="4" t="s">
        <v>627</v>
      </c>
      <c r="AF182" s="4" t="s">
        <v>493</v>
      </c>
    </row>
    <row r="183" spans="1:35" ht="37.5" x14ac:dyDescent="0.25">
      <c r="A183" s="38" t="s">
        <v>630</v>
      </c>
      <c r="B183" s="38"/>
      <c r="C183" s="49" t="s">
        <v>483</v>
      </c>
      <c r="D183" s="40"/>
      <c r="E183" s="40"/>
      <c r="F183" s="50" t="s">
        <v>81</v>
      </c>
      <c r="G183" s="51">
        <v>0.04</v>
      </c>
      <c r="H183" s="40"/>
      <c r="I183" s="52">
        <v>0</v>
      </c>
      <c r="J183" s="53">
        <v>40.270000000000003</v>
      </c>
      <c r="K183" s="54"/>
      <c r="L183" s="54"/>
      <c r="M183" s="53">
        <f t="shared" si="43"/>
        <v>0</v>
      </c>
      <c r="N183" s="54"/>
      <c r="O183" s="54"/>
      <c r="P183" s="53">
        <v>40.270000000000003</v>
      </c>
      <c r="Q183" s="54"/>
      <c r="R183" s="54"/>
      <c r="S183" s="53">
        <f t="shared" si="44"/>
        <v>0</v>
      </c>
      <c r="T183" s="54"/>
      <c r="U183" s="55"/>
      <c r="V183" s="9">
        <f t="shared" si="45"/>
        <v>33.56</v>
      </c>
      <c r="Y183" s="9">
        <f t="shared" si="46"/>
        <v>0</v>
      </c>
      <c r="AD183" s="4" t="s">
        <v>631</v>
      </c>
      <c r="AE183" s="4" t="s">
        <v>632</v>
      </c>
      <c r="AF183" s="4" t="s">
        <v>486</v>
      </c>
    </row>
    <row r="184" spans="1:35" ht="37.5" x14ac:dyDescent="0.25">
      <c r="A184" s="44" t="s">
        <v>633</v>
      </c>
      <c r="B184" s="44"/>
      <c r="C184" s="56" t="s">
        <v>483</v>
      </c>
      <c r="D184" s="46"/>
      <c r="E184" s="46"/>
      <c r="F184" s="57" t="s">
        <v>81</v>
      </c>
      <c r="G184" s="58">
        <v>0.04</v>
      </c>
      <c r="H184" s="46"/>
      <c r="I184" s="58">
        <v>2.2679999999999998</v>
      </c>
      <c r="J184" s="59">
        <v>40.270000000000003</v>
      </c>
      <c r="K184" s="60"/>
      <c r="L184" s="60"/>
      <c r="M184" s="59">
        <f t="shared" si="43"/>
        <v>91.33</v>
      </c>
      <c r="N184" s="60"/>
      <c r="O184" s="60"/>
      <c r="P184" s="59">
        <v>40.270000000000003</v>
      </c>
      <c r="Q184" s="60"/>
      <c r="R184" s="60"/>
      <c r="S184" s="59">
        <f t="shared" si="44"/>
        <v>91.33</v>
      </c>
      <c r="T184" s="60"/>
      <c r="U184" s="61"/>
      <c r="V184" s="9">
        <f t="shared" si="45"/>
        <v>33.56</v>
      </c>
      <c r="Y184" s="9">
        <f t="shared" si="46"/>
        <v>76.11</v>
      </c>
      <c r="AD184" s="4" t="s">
        <v>634</v>
      </c>
      <c r="AE184" s="4" t="s">
        <v>632</v>
      </c>
      <c r="AF184" s="4" t="s">
        <v>486</v>
      </c>
    </row>
    <row r="185" spans="1:35" ht="150" x14ac:dyDescent="0.25">
      <c r="A185" s="38" t="s">
        <v>635</v>
      </c>
      <c r="B185" s="38"/>
      <c r="C185" s="49" t="s">
        <v>636</v>
      </c>
      <c r="D185" s="40"/>
      <c r="E185" s="40" t="s">
        <v>600</v>
      </c>
      <c r="F185" s="50" t="s">
        <v>56</v>
      </c>
      <c r="G185" s="51">
        <v>0.11</v>
      </c>
      <c r="H185" s="40"/>
      <c r="I185" s="52">
        <v>0</v>
      </c>
      <c r="J185" s="53">
        <v>1012.6</v>
      </c>
      <c r="K185" s="54"/>
      <c r="L185" s="54"/>
      <c r="M185" s="53">
        <f t="shared" si="43"/>
        <v>0</v>
      </c>
      <c r="N185" s="54"/>
      <c r="O185" s="54"/>
      <c r="P185" s="53">
        <v>1012.6</v>
      </c>
      <c r="Q185" s="54"/>
      <c r="R185" s="54"/>
      <c r="S185" s="53">
        <f t="shared" si="44"/>
        <v>0</v>
      </c>
      <c r="T185" s="54"/>
      <c r="U185" s="55"/>
      <c r="V185" s="9">
        <f t="shared" si="45"/>
        <v>843.83</v>
      </c>
      <c r="Y185" s="9">
        <f t="shared" si="46"/>
        <v>0</v>
      </c>
      <c r="AD185" s="4" t="s">
        <v>637</v>
      </c>
      <c r="AE185" s="4" t="s">
        <v>638</v>
      </c>
      <c r="AF185" s="4" t="s">
        <v>639</v>
      </c>
    </row>
    <row r="186" spans="1:35" ht="150" x14ac:dyDescent="0.25">
      <c r="A186" s="44" t="s">
        <v>640</v>
      </c>
      <c r="B186" s="44"/>
      <c r="C186" s="56" t="s">
        <v>636</v>
      </c>
      <c r="D186" s="46"/>
      <c r="E186" s="46" t="s">
        <v>600</v>
      </c>
      <c r="F186" s="57" t="s">
        <v>56</v>
      </c>
      <c r="G186" s="58">
        <v>0.11</v>
      </c>
      <c r="H186" s="46"/>
      <c r="I186" s="58">
        <v>6.2370000000000001</v>
      </c>
      <c r="J186" s="59">
        <v>1012.6</v>
      </c>
      <c r="K186" s="60"/>
      <c r="L186" s="60"/>
      <c r="M186" s="59">
        <f t="shared" si="43"/>
        <v>6315.59</v>
      </c>
      <c r="N186" s="60"/>
      <c r="O186" s="60"/>
      <c r="P186" s="59">
        <v>1012.6</v>
      </c>
      <c r="Q186" s="60"/>
      <c r="R186" s="60"/>
      <c r="S186" s="59">
        <f t="shared" si="44"/>
        <v>6315.59</v>
      </c>
      <c r="T186" s="60"/>
      <c r="U186" s="61"/>
      <c r="V186" s="9">
        <f t="shared" si="45"/>
        <v>843.83</v>
      </c>
      <c r="Y186" s="9">
        <f t="shared" si="46"/>
        <v>5262.99</v>
      </c>
      <c r="AD186" s="4" t="s">
        <v>641</v>
      </c>
      <c r="AE186" s="4" t="s">
        <v>638</v>
      </c>
      <c r="AF186" s="4" t="s">
        <v>639</v>
      </c>
    </row>
    <row r="187" spans="1:35" ht="37.5" x14ac:dyDescent="0.25">
      <c r="A187" s="38" t="s">
        <v>642</v>
      </c>
      <c r="B187" s="38"/>
      <c r="C187" s="49" t="s">
        <v>643</v>
      </c>
      <c r="D187" s="40"/>
      <c r="E187" s="40"/>
      <c r="F187" s="50" t="s">
        <v>81</v>
      </c>
      <c r="G187" s="51">
        <v>0.7</v>
      </c>
      <c r="H187" s="40"/>
      <c r="I187" s="62">
        <v>0</v>
      </c>
      <c r="J187" s="53">
        <v>6.28</v>
      </c>
      <c r="K187" s="54"/>
      <c r="L187" s="54"/>
      <c r="M187" s="53">
        <f t="shared" si="43"/>
        <v>0</v>
      </c>
      <c r="N187" s="54"/>
      <c r="O187" s="54"/>
      <c r="P187" s="53">
        <v>6.28</v>
      </c>
      <c r="Q187" s="54"/>
      <c r="R187" s="54"/>
      <c r="S187" s="53">
        <f t="shared" si="44"/>
        <v>0</v>
      </c>
      <c r="T187" s="54"/>
      <c r="U187" s="55"/>
      <c r="V187" s="9">
        <f t="shared" si="45"/>
        <v>5.23</v>
      </c>
      <c r="Y187" s="9">
        <f t="shared" si="46"/>
        <v>0</v>
      </c>
      <c r="AD187" s="4" t="s">
        <v>644</v>
      </c>
      <c r="AE187" s="4" t="s">
        <v>645</v>
      </c>
      <c r="AF187" s="4" t="s">
        <v>646</v>
      </c>
    </row>
    <row r="188" spans="1:35" ht="37.5" x14ac:dyDescent="0.25">
      <c r="A188" s="44" t="s">
        <v>647</v>
      </c>
      <c r="B188" s="44"/>
      <c r="C188" s="56" t="s">
        <v>643</v>
      </c>
      <c r="D188" s="46"/>
      <c r="E188" s="46"/>
      <c r="F188" s="57" t="s">
        <v>81</v>
      </c>
      <c r="G188" s="58">
        <v>0.7</v>
      </c>
      <c r="H188" s="46"/>
      <c r="I188" s="63">
        <v>39.69</v>
      </c>
      <c r="J188" s="59">
        <v>6.28</v>
      </c>
      <c r="K188" s="60"/>
      <c r="L188" s="60"/>
      <c r="M188" s="59">
        <f t="shared" si="43"/>
        <v>249.25</v>
      </c>
      <c r="N188" s="60"/>
      <c r="O188" s="60"/>
      <c r="P188" s="59">
        <v>6.28</v>
      </c>
      <c r="Q188" s="60"/>
      <c r="R188" s="60"/>
      <c r="S188" s="59">
        <f t="shared" si="44"/>
        <v>249.25</v>
      </c>
      <c r="T188" s="60"/>
      <c r="U188" s="61"/>
      <c r="V188" s="9">
        <f t="shared" si="45"/>
        <v>5.23</v>
      </c>
      <c r="Y188" s="9">
        <f t="shared" si="46"/>
        <v>207.71</v>
      </c>
      <c r="AD188" s="4" t="s">
        <v>648</v>
      </c>
      <c r="AE188" s="4" t="s">
        <v>645</v>
      </c>
      <c r="AF188" s="4" t="s">
        <v>646</v>
      </c>
    </row>
    <row r="189" spans="1:35" ht="37.5" x14ac:dyDescent="0.25">
      <c r="A189" s="11" t="s">
        <v>649</v>
      </c>
      <c r="B189" s="11" t="s">
        <v>650</v>
      </c>
      <c r="C189" s="20" t="s">
        <v>651</v>
      </c>
      <c r="D189" s="21"/>
      <c r="E189" s="21" t="s">
        <v>652</v>
      </c>
      <c r="F189" s="21" t="s">
        <v>56</v>
      </c>
      <c r="G189" s="22">
        <v>1</v>
      </c>
      <c r="H189" s="21"/>
      <c r="I189" s="22">
        <v>65.7</v>
      </c>
      <c r="J189" s="23">
        <f>IFERROR(ROUND(SUM(M190,M191)/I189, 2),0)</f>
        <v>0</v>
      </c>
      <c r="K189" s="23">
        <v>661</v>
      </c>
      <c r="L189" s="23">
        <f>J189+ROUND(K189, 2)</f>
        <v>661</v>
      </c>
      <c r="M189" s="23">
        <f>ROUND(J189*I189, 2)</f>
        <v>0</v>
      </c>
      <c r="N189" s="23">
        <f>ROUND(I189*ROUND(K189, 2), 2)</f>
        <v>43427.7</v>
      </c>
      <c r="O189" s="23">
        <f>M189+N189</f>
        <v>43427.7</v>
      </c>
      <c r="P189" s="23">
        <f>IFERROR(ROUND(SUM(S190,S191)/I189, 2),0)</f>
        <v>0</v>
      </c>
      <c r="Q189" s="23">
        <v>661</v>
      </c>
      <c r="R189" s="23">
        <f>P189+ROUND(Q189, 2)</f>
        <v>661</v>
      </c>
      <c r="S189" s="23">
        <f>ROUND(P189*I189, 2)</f>
        <v>0</v>
      </c>
      <c r="T189" s="23">
        <f>ROUND(I189*ROUND(Q189, 2), 2)</f>
        <v>43427.7</v>
      </c>
      <c r="U189" s="23">
        <f>S189+T189</f>
        <v>43427.7</v>
      </c>
      <c r="V189" s="9">
        <f>ROUND(P189 / 1.2, 2)</f>
        <v>0</v>
      </c>
      <c r="W189" s="9">
        <f>ROUND(Q189 / 1.2, 2)</f>
        <v>550.83000000000004</v>
      </c>
      <c r="X189" s="9">
        <f>ROUND(R189 / 1.2, 2)</f>
        <v>550.83000000000004</v>
      </c>
      <c r="Y189" s="9">
        <f t="shared" si="46"/>
        <v>0</v>
      </c>
      <c r="Z189" s="9">
        <f>ROUND(T189 / 1.2, 2)</f>
        <v>36189.75</v>
      </c>
      <c r="AA189" s="9">
        <f>Y189+Z189</f>
        <v>36189.75</v>
      </c>
      <c r="AD189" s="4">
        <v>264030284</v>
      </c>
      <c r="AE189" s="4">
        <v>19936864</v>
      </c>
      <c r="AG189" s="4" t="s">
        <v>653</v>
      </c>
      <c r="AH189" s="4" t="s">
        <v>654</v>
      </c>
      <c r="AI189" s="4" t="s">
        <v>249</v>
      </c>
    </row>
    <row r="190" spans="1:35" ht="93.75" x14ac:dyDescent="0.25">
      <c r="A190" s="11" t="s">
        <v>655</v>
      </c>
      <c r="B190" s="11"/>
      <c r="C190" s="31" t="s">
        <v>656</v>
      </c>
      <c r="D190" s="21"/>
      <c r="E190" s="21" t="s">
        <v>657</v>
      </c>
      <c r="F190" s="32" t="s">
        <v>103</v>
      </c>
      <c r="G190" s="33">
        <v>1</v>
      </c>
      <c r="H190" s="21"/>
      <c r="I190" s="34">
        <v>7.62</v>
      </c>
      <c r="J190" s="35">
        <v>0</v>
      </c>
      <c r="K190" s="12"/>
      <c r="L190" s="12"/>
      <c r="M190" s="35">
        <f>ROUND(ROUND(J190, 2)*I190, 2)</f>
        <v>0</v>
      </c>
      <c r="N190" s="12"/>
      <c r="O190" s="12"/>
      <c r="P190" s="35">
        <v>0</v>
      </c>
      <c r="Q190" s="12"/>
      <c r="R190" s="12"/>
      <c r="S190" s="35">
        <f>ROUND(ROUND(P190, 2)*I190, 2)</f>
        <v>0</v>
      </c>
      <c r="T190" s="12"/>
      <c r="U190" s="36"/>
      <c r="V190" s="9">
        <f>ROUND(ROUND(P190, 2)/1.2, 2)</f>
        <v>0</v>
      </c>
      <c r="Y190" s="9">
        <f t="shared" si="46"/>
        <v>0</v>
      </c>
      <c r="AD190" s="4" t="s">
        <v>658</v>
      </c>
      <c r="AE190" s="4" t="s">
        <v>659</v>
      </c>
      <c r="AF190" s="4" t="s">
        <v>660</v>
      </c>
    </row>
    <row r="191" spans="1:35" ht="37.5" x14ac:dyDescent="0.25">
      <c r="A191" s="11" t="s">
        <v>661</v>
      </c>
      <c r="B191" s="11"/>
      <c r="C191" s="31" t="s">
        <v>662</v>
      </c>
      <c r="D191" s="21"/>
      <c r="E191" s="21" t="s">
        <v>663</v>
      </c>
      <c r="F191" s="32" t="s">
        <v>56</v>
      </c>
      <c r="G191" s="33">
        <v>1.03</v>
      </c>
      <c r="H191" s="21"/>
      <c r="I191" s="34">
        <v>67.671000000000006</v>
      </c>
      <c r="J191" s="35">
        <v>0</v>
      </c>
      <c r="K191" s="12"/>
      <c r="L191" s="12"/>
      <c r="M191" s="35">
        <f>ROUND(ROUND(J191, 2)*I191, 2)</f>
        <v>0</v>
      </c>
      <c r="N191" s="12"/>
      <c r="O191" s="12"/>
      <c r="P191" s="35">
        <v>0</v>
      </c>
      <c r="Q191" s="12"/>
      <c r="R191" s="12"/>
      <c r="S191" s="35">
        <f>ROUND(ROUND(P191, 2)*I191, 2)</f>
        <v>0</v>
      </c>
      <c r="T191" s="12"/>
      <c r="U191" s="36"/>
      <c r="V191" s="9">
        <f>ROUND(ROUND(P191, 2)/1.2, 2)</f>
        <v>0</v>
      </c>
      <c r="Y191" s="9">
        <f t="shared" si="46"/>
        <v>0</v>
      </c>
      <c r="AD191" s="4" t="s">
        <v>664</v>
      </c>
      <c r="AE191" s="4" t="s">
        <v>665</v>
      </c>
      <c r="AF191" s="4" t="s">
        <v>666</v>
      </c>
    </row>
    <row r="192" spans="1:35" ht="17.100000000000001" customHeight="1" x14ac:dyDescent="0.25">
      <c r="A192" s="10" t="s">
        <v>667</v>
      </c>
      <c r="B192" s="10" t="s">
        <v>668</v>
      </c>
      <c r="C192" s="116" t="s">
        <v>669</v>
      </c>
      <c r="D192" s="117"/>
      <c r="E192" s="117"/>
      <c r="F192" s="117"/>
      <c r="G192" s="117"/>
      <c r="H192" s="117"/>
      <c r="I192" s="118"/>
      <c r="M192" s="6">
        <f>SUM(M193,M428,M444)</f>
        <v>1239491.82</v>
      </c>
      <c r="N192" s="6">
        <f>SUM(N193,N428,N444)</f>
        <v>6201071.5499999998</v>
      </c>
      <c r="O192" s="6">
        <f>SUM(O193,O428,O444)</f>
        <v>7440563.3700000001</v>
      </c>
      <c r="S192" s="6">
        <f>SUM(S193,S428,S444)</f>
        <v>1203732.3999999999</v>
      </c>
      <c r="T192" s="6">
        <f>SUM(T193,T428,T444)</f>
        <v>6201071.5499999998</v>
      </c>
      <c r="U192" s="6">
        <f>SUM(U193,U428,U444)</f>
        <v>7404803.9500000002</v>
      </c>
      <c r="Y192" s="9">
        <f>SUM(Y193,Y428,Y444)</f>
        <v>1003110.37</v>
      </c>
      <c r="Z192" s="9">
        <f>SUM(Z193,Z428,Z444)</f>
        <v>5167559.5999999996</v>
      </c>
      <c r="AA192" s="9">
        <f>SUM(AA193,AA428,AA444)</f>
        <v>6170669.9699999997</v>
      </c>
      <c r="AD192" s="4">
        <v>264030285</v>
      </c>
      <c r="AE192" s="4">
        <v>16076852</v>
      </c>
    </row>
    <row r="193" spans="1:35" ht="17.100000000000001" customHeight="1" x14ac:dyDescent="0.25">
      <c r="A193" s="10" t="s">
        <v>670</v>
      </c>
      <c r="B193" s="10" t="s">
        <v>671</v>
      </c>
      <c r="C193" s="116" t="s">
        <v>672</v>
      </c>
      <c r="D193" s="117"/>
      <c r="E193" s="117"/>
      <c r="F193" s="117"/>
      <c r="G193" s="117"/>
      <c r="H193" s="117"/>
      <c r="I193" s="118"/>
      <c r="M193" s="6">
        <f>SUM(M194,M197,M207,M217,M225,M233,M243,M253,M261,M265,M269,M277,M287,M297,M305,M315,M325,M335,M338,M341,M345,M348,M352,M355,M358,M362,M366,M369,M372,M376,M379,M383,M388,M393,M398,M403,M408,M413,M418,M423)</f>
        <v>936217.76</v>
      </c>
      <c r="N193" s="6">
        <f>SUM(N194,N197,N207,N217,N225,N233,N243,N253,N261,N265,N269,N277,N287,N297,N305,N315,N325,N335,N338,N341,N345,N348,N352,N355,N358,N362,N366,N369,N372,N376,N379,N383,N388,N393,N398,N403,N408,N413,N418,N423)</f>
        <v>4013200.7</v>
      </c>
      <c r="O193" s="6">
        <f>SUM(O194,O197,O207,O217,O225,O233,O243,O253,O261,O265,O269,O277,O287,O297,O305,O315,O325,O335,O338,O341,O345,O348,O352,O355,O358,O362,O366,O369,O372,O376,O379,O383,O388,O393,O398,O403,O408,O413,O418,O423)</f>
        <v>4949418.46</v>
      </c>
      <c r="S193" s="6">
        <f>SUM(S194,S197,S207,S217,S225,S233,S243,S253,S261,S265,S269,S277,S287,S297,S305,S315,S325,S335,S338,S341,S345,S348,S352,S355,S358,S362,S366,S369,S372,S376,S379,S383,S388,S393,S398,S403,S408,S413,S418,S423)</f>
        <v>900458.34</v>
      </c>
      <c r="T193" s="6">
        <f>SUM(T194,T197,T207,T217,T225,T233,T243,T253,T261,T265,T269,T277,T287,T297,T305,T315,T325,T335,T338,T341,T345,T348,T352,T355,T358,T362,T366,T369,T372,T376,T379,T383,T388,T393,T398,T403,T408,T413,T418,T423)</f>
        <v>4013200.7</v>
      </c>
      <c r="U193" s="6">
        <f>SUM(U194,U197,U207,U217,U225,U233,U243,U253,U261,U265,U269,U277,U287,U297,U305,U315,U325,U335,U338,U341,U345,U348,U352,U355,U358,U362,U366,U369,U372,U376,U379,U383,U388,U393,U398,U403,U408,U413,U418,U423)</f>
        <v>4913659.04</v>
      </c>
      <c r="Y193" s="9">
        <f>SUM(Y194,Y197,Y207,Y217,Y225,Y233,Y243,Y253,Y261,Y265,Y269,Y277,Y287,Y297,Y305,Y315,Y325,Y335,Y338,Y341,Y345,Y348,Y352,Y355,Y358,Y362,Y366,Y369,Y372,Y376,Y379,Y383,Y388,Y393,Y398,Y403,Y408,Y413,Y418,Y423)</f>
        <v>750381.96</v>
      </c>
      <c r="Z193" s="9">
        <f>SUM(Z194,Z197,Z207,Z217,Z225,Z233,Z243,Z253,Z261,Z265,Z269,Z277,Z287,Z297,Z305,Z315,Z325,Z335,Z338,Z341,Z345,Z348,Z352,Z355,Z358,Z362,Z366,Z369,Z372,Z376,Z379,Z383,Z388,Z393,Z398,Z403,Z408,Z413,Z418,Z423)</f>
        <v>3344333.9</v>
      </c>
      <c r="AA193" s="9">
        <f>SUM(AA194,AA197,AA207,AA217,AA225,AA233,AA243,AA253,AA261,AA265,AA269,AA277,AA287,AA297,AA305,AA315,AA325,AA335,AA338,AA341,AA345,AA348,AA352,AA355,AA358,AA362,AA366,AA369,AA372,AA376,AA379,AA383,AA388,AA393,AA398,AA403,AA408,AA413,AA418,AA423)</f>
        <v>4094715.86</v>
      </c>
      <c r="AD193" s="4">
        <v>264030286</v>
      </c>
      <c r="AE193" s="4">
        <v>16077161</v>
      </c>
    </row>
    <row r="194" spans="1:35" ht="75" x14ac:dyDescent="0.25">
      <c r="A194" s="11" t="s">
        <v>673</v>
      </c>
      <c r="B194" s="11" t="s">
        <v>674</v>
      </c>
      <c r="C194" s="20" t="s">
        <v>675</v>
      </c>
      <c r="D194" s="21"/>
      <c r="E194" s="21"/>
      <c r="F194" s="21" t="s">
        <v>123</v>
      </c>
      <c r="G194" s="22">
        <v>1</v>
      </c>
      <c r="H194" s="21"/>
      <c r="I194" s="22">
        <v>434.7</v>
      </c>
      <c r="J194" s="23">
        <f>IFERROR(ROUND(SUM(M195,M196)/I194, 2),0)</f>
        <v>9.74</v>
      </c>
      <c r="K194" s="23">
        <v>28</v>
      </c>
      <c r="L194" s="23">
        <f>J194+ROUND(K194, 2)</f>
        <v>37.74</v>
      </c>
      <c r="M194" s="23">
        <f>ROUND(J194*I194, 2)</f>
        <v>4233.9799999999996</v>
      </c>
      <c r="N194" s="23">
        <f>ROUND(I194*ROUND(K194, 2), 2)</f>
        <v>12171.6</v>
      </c>
      <c r="O194" s="23">
        <f>M194+N194</f>
        <v>16405.580000000002</v>
      </c>
      <c r="P194" s="23">
        <f>IFERROR(ROUND(SUM(S195,S196)/I194, 2),0)</f>
        <v>9.74</v>
      </c>
      <c r="Q194" s="23">
        <v>28</v>
      </c>
      <c r="R194" s="23">
        <f>P194+ROUND(Q194, 2)</f>
        <v>37.74</v>
      </c>
      <c r="S194" s="23">
        <f>ROUND(P194*I194, 2)</f>
        <v>4233.9799999999996</v>
      </c>
      <c r="T194" s="23">
        <f>ROUND(I194*ROUND(Q194, 2), 2)</f>
        <v>12171.6</v>
      </c>
      <c r="U194" s="23">
        <f>S194+T194</f>
        <v>16405.580000000002</v>
      </c>
      <c r="V194" s="9">
        <f>ROUND(P194 / 1.2, 2)</f>
        <v>8.1199999999999992</v>
      </c>
      <c r="W194" s="9">
        <f>ROUND(Q194 / 1.2, 2)</f>
        <v>23.33</v>
      </c>
      <c r="X194" s="9">
        <f>ROUND(R194 / 1.2, 2)</f>
        <v>31.45</v>
      </c>
      <c r="Y194" s="9">
        <f>ROUND(S194 / 1.2, 2)</f>
        <v>3528.32</v>
      </c>
      <c r="Z194" s="9">
        <f>ROUND(T194 / 1.2, 2)</f>
        <v>10143</v>
      </c>
      <c r="AA194" s="9">
        <f>Y194+Z194</f>
        <v>13671.32</v>
      </c>
      <c r="AD194" s="4">
        <v>264030288</v>
      </c>
      <c r="AE194" s="4">
        <v>18537797</v>
      </c>
      <c r="AG194" s="4" t="s">
        <v>676</v>
      </c>
      <c r="AH194" s="4" t="s">
        <v>677</v>
      </c>
      <c r="AI194" s="4" t="s">
        <v>249</v>
      </c>
    </row>
    <row r="195" spans="1:35" ht="37.5" x14ac:dyDescent="0.25">
      <c r="A195" s="11" t="s">
        <v>678</v>
      </c>
      <c r="B195" s="11"/>
      <c r="C195" s="31" t="s">
        <v>679</v>
      </c>
      <c r="D195" s="21"/>
      <c r="E195" s="21"/>
      <c r="F195" s="32" t="s">
        <v>81</v>
      </c>
      <c r="G195" s="33">
        <v>0.3</v>
      </c>
      <c r="H195" s="21"/>
      <c r="I195" s="34">
        <v>130.41</v>
      </c>
      <c r="J195" s="35">
        <v>6.8</v>
      </c>
      <c r="K195" s="12"/>
      <c r="L195" s="12"/>
      <c r="M195" s="35">
        <f>ROUND(ROUND(J195, 2)*I195, 2)</f>
        <v>886.79</v>
      </c>
      <c r="N195" s="12"/>
      <c r="O195" s="12"/>
      <c r="P195" s="35">
        <v>6.8</v>
      </c>
      <c r="Q195" s="12"/>
      <c r="R195" s="12"/>
      <c r="S195" s="35">
        <f>ROUND(ROUND(P195, 2)*I195, 2)</f>
        <v>886.79</v>
      </c>
      <c r="T195" s="12"/>
      <c r="U195" s="36"/>
      <c r="V195" s="9">
        <f>ROUND(ROUND(P195, 2)/1.2, 2)</f>
        <v>5.67</v>
      </c>
      <c r="Y195" s="9">
        <f>ROUND(S195 / 1.2, 2)</f>
        <v>738.99</v>
      </c>
      <c r="AD195" s="4" t="s">
        <v>680</v>
      </c>
      <c r="AE195" s="4" t="s">
        <v>681</v>
      </c>
      <c r="AF195" s="4" t="s">
        <v>682</v>
      </c>
    </row>
    <row r="196" spans="1:35" ht="18.75" x14ac:dyDescent="0.25">
      <c r="A196" s="11" t="s">
        <v>683</v>
      </c>
      <c r="B196" s="11"/>
      <c r="C196" s="31" t="s">
        <v>684</v>
      </c>
      <c r="D196" s="21"/>
      <c r="E196" s="21"/>
      <c r="F196" s="32" t="s">
        <v>123</v>
      </c>
      <c r="G196" s="33">
        <v>1.1000000000000001</v>
      </c>
      <c r="H196" s="21"/>
      <c r="I196" s="34">
        <v>478.17</v>
      </c>
      <c r="J196" s="35">
        <v>7</v>
      </c>
      <c r="K196" s="12"/>
      <c r="L196" s="12"/>
      <c r="M196" s="35">
        <f>ROUND(ROUND(J196, 2)*I196, 2)</f>
        <v>3347.19</v>
      </c>
      <c r="N196" s="12"/>
      <c r="O196" s="12"/>
      <c r="P196" s="35">
        <v>7</v>
      </c>
      <c r="Q196" s="12"/>
      <c r="R196" s="12"/>
      <c r="S196" s="35">
        <f>ROUND(ROUND(P196, 2)*I196, 2)</f>
        <v>3347.19</v>
      </c>
      <c r="T196" s="12"/>
      <c r="U196" s="36"/>
      <c r="V196" s="9">
        <f>ROUND(ROUND(P196, 2)/1.2, 2)</f>
        <v>5.83</v>
      </c>
      <c r="Y196" s="9">
        <f>ROUND(S196 / 1.2, 2)</f>
        <v>2789.33</v>
      </c>
      <c r="AD196" s="4" t="s">
        <v>685</v>
      </c>
      <c r="AE196" s="4" t="s">
        <v>686</v>
      </c>
      <c r="AF196" s="4" t="s">
        <v>687</v>
      </c>
    </row>
    <row r="197" spans="1:35" ht="56.25" x14ac:dyDescent="0.25">
      <c r="A197" s="38" t="s">
        <v>688</v>
      </c>
      <c r="B197" s="38" t="s">
        <v>689</v>
      </c>
      <c r="C197" s="39" t="s">
        <v>690</v>
      </c>
      <c r="D197" s="40"/>
      <c r="E197" s="40" t="s">
        <v>691</v>
      </c>
      <c r="F197" s="40" t="s">
        <v>56</v>
      </c>
      <c r="G197" s="41">
        <v>1</v>
      </c>
      <c r="H197" s="40"/>
      <c r="I197" s="42">
        <v>0</v>
      </c>
      <c r="J197" s="43">
        <f>IFERROR(ROUND(SUM(M199,M201,M203,M205)/I197, 2),0)</f>
        <v>0</v>
      </c>
      <c r="K197" s="43">
        <v>826</v>
      </c>
      <c r="L197" s="43">
        <f>J197+ROUND(K197, 2)</f>
        <v>826</v>
      </c>
      <c r="M197" s="43">
        <f>ROUND(J197*I197, 2)</f>
        <v>0</v>
      </c>
      <c r="N197" s="43">
        <f>ROUND(I197*ROUND(K197, 2), 2)</f>
        <v>0</v>
      </c>
      <c r="O197" s="43">
        <f>M197+N197</f>
        <v>0</v>
      </c>
      <c r="P197" s="43">
        <f>IFERROR(ROUND(SUM(S199,S201,S203,S205)/I197, 2),0)</f>
        <v>0</v>
      </c>
      <c r="Q197" s="43">
        <v>826</v>
      </c>
      <c r="R197" s="43">
        <f>P197+ROUND(Q197, 2)</f>
        <v>826</v>
      </c>
      <c r="S197" s="43">
        <f>ROUND(P197*I197, 2)</f>
        <v>0</v>
      </c>
      <c r="T197" s="43">
        <f>ROUND(I197*ROUND(Q197, 2), 2)</f>
        <v>0</v>
      </c>
      <c r="U197" s="43">
        <f>S197+T197</f>
        <v>0</v>
      </c>
      <c r="V197" s="9">
        <f>ROUND(P197 / 1.2, 2)</f>
        <v>0</v>
      </c>
      <c r="W197" s="9">
        <f>ROUND(Q197 / 1.2, 2)</f>
        <v>688.33</v>
      </c>
      <c r="X197" s="9">
        <f>ROUND(R197 / 1.2, 2)</f>
        <v>688.33</v>
      </c>
      <c r="Y197" s="9">
        <f>ROUND(S197 / 1.2, 2)</f>
        <v>0</v>
      </c>
      <c r="Z197" s="9">
        <f>ROUND(T197 / 1.2, 2)</f>
        <v>0</v>
      </c>
      <c r="AA197" s="9">
        <f>Y197+Z197</f>
        <v>0</v>
      </c>
      <c r="AD197" s="4">
        <v>264030290</v>
      </c>
      <c r="AE197" s="4">
        <v>16077164</v>
      </c>
      <c r="AG197" s="4" t="s">
        <v>692</v>
      </c>
      <c r="AH197" s="4" t="s">
        <v>693</v>
      </c>
      <c r="AI197" s="4" t="s">
        <v>249</v>
      </c>
    </row>
    <row r="198" spans="1:35" ht="56.25" x14ac:dyDescent="0.25">
      <c r="A198" s="44" t="s">
        <v>694</v>
      </c>
      <c r="B198" s="44" t="s">
        <v>689</v>
      </c>
      <c r="C198" s="45" t="s">
        <v>690</v>
      </c>
      <c r="D198" s="46"/>
      <c r="E198" s="46" t="s">
        <v>691</v>
      </c>
      <c r="F198" s="46" t="s">
        <v>56</v>
      </c>
      <c r="G198" s="47">
        <v>1</v>
      </c>
      <c r="H198" s="46"/>
      <c r="I198" s="47">
        <v>220.1</v>
      </c>
      <c r="J198" s="48">
        <v>0</v>
      </c>
      <c r="K198" s="48">
        <v>826</v>
      </c>
      <c r="L198" s="48"/>
      <c r="M198" s="48">
        <v>0</v>
      </c>
      <c r="N198" s="48"/>
      <c r="O198" s="48"/>
      <c r="P198" s="48">
        <v>0</v>
      </c>
      <c r="Q198" s="48">
        <v>826</v>
      </c>
      <c r="R198" s="48"/>
      <c r="S198" s="48">
        <v>0</v>
      </c>
      <c r="T198" s="48"/>
      <c r="U198" s="48"/>
      <c r="V198" s="9"/>
      <c r="W198" s="9">
        <f>ROUND(Q198 / 1.2, 2)</f>
        <v>688.33</v>
      </c>
      <c r="X198" s="9" t="e">
        <f>ROUND(R198 / 1.2, 2)</f>
        <v>#VALUE!</v>
      </c>
      <c r="Y198" s="9"/>
      <c r="Z198" s="9" t="e">
        <f>ROUND(T198 / 1.2, 2)</f>
        <v>#VALUE!</v>
      </c>
      <c r="AA198" s="9"/>
      <c r="AD198" s="4">
        <v>204211275</v>
      </c>
      <c r="AE198" s="4">
        <v>16077164</v>
      </c>
      <c r="AG198" s="4" t="s">
        <v>692</v>
      </c>
      <c r="AH198" s="4" t="s">
        <v>693</v>
      </c>
      <c r="AI198" s="4"/>
    </row>
    <row r="199" spans="1:35" ht="37.5" x14ac:dyDescent="0.25">
      <c r="A199" s="38" t="s">
        <v>695</v>
      </c>
      <c r="B199" s="38"/>
      <c r="C199" s="49" t="s">
        <v>696</v>
      </c>
      <c r="D199" s="40"/>
      <c r="E199" s="40"/>
      <c r="F199" s="50" t="s">
        <v>56</v>
      </c>
      <c r="G199" s="51">
        <v>1.1000000000000001</v>
      </c>
      <c r="H199" s="40"/>
      <c r="I199" s="52">
        <v>0</v>
      </c>
      <c r="J199" s="53">
        <v>27.55</v>
      </c>
      <c r="K199" s="54"/>
      <c r="L199" s="54"/>
      <c r="M199" s="53">
        <f t="shared" ref="M199:M206" si="47">ROUND(ROUND(J199, 2)*I199, 2)</f>
        <v>0</v>
      </c>
      <c r="N199" s="54"/>
      <c r="O199" s="54"/>
      <c r="P199" s="53">
        <v>27.55</v>
      </c>
      <c r="Q199" s="54"/>
      <c r="R199" s="54"/>
      <c r="S199" s="53">
        <f t="shared" ref="S199:S206" si="48">ROUND(ROUND(P199, 2)*I199, 2)</f>
        <v>0</v>
      </c>
      <c r="T199" s="54"/>
      <c r="U199" s="55"/>
      <c r="V199" s="9">
        <f t="shared" ref="V199:V206" si="49">ROUND(ROUND(P199, 2)/1.2, 2)</f>
        <v>22.96</v>
      </c>
      <c r="Y199" s="9">
        <f t="shared" ref="Y199:Y207" si="50">ROUND(S199 / 1.2, 2)</f>
        <v>0</v>
      </c>
      <c r="AD199" s="4" t="s">
        <v>697</v>
      </c>
      <c r="AE199" s="4" t="s">
        <v>698</v>
      </c>
      <c r="AF199" s="4" t="s">
        <v>699</v>
      </c>
    </row>
    <row r="200" spans="1:35" ht="37.5" x14ac:dyDescent="0.25">
      <c r="A200" s="44" t="s">
        <v>700</v>
      </c>
      <c r="B200" s="44"/>
      <c r="C200" s="56" t="s">
        <v>696</v>
      </c>
      <c r="D200" s="46"/>
      <c r="E200" s="46"/>
      <c r="F200" s="57" t="s">
        <v>56</v>
      </c>
      <c r="G200" s="58">
        <v>1.1000000000000001</v>
      </c>
      <c r="H200" s="46"/>
      <c r="I200" s="58">
        <v>242.11</v>
      </c>
      <c r="J200" s="59">
        <v>27.55</v>
      </c>
      <c r="K200" s="60"/>
      <c r="L200" s="60"/>
      <c r="M200" s="59">
        <f t="shared" si="47"/>
        <v>6670.13</v>
      </c>
      <c r="N200" s="60"/>
      <c r="O200" s="60"/>
      <c r="P200" s="59">
        <v>27.55</v>
      </c>
      <c r="Q200" s="60"/>
      <c r="R200" s="60"/>
      <c r="S200" s="59">
        <f t="shared" si="48"/>
        <v>6670.13</v>
      </c>
      <c r="T200" s="60"/>
      <c r="U200" s="61"/>
      <c r="V200" s="9">
        <f t="shared" si="49"/>
        <v>22.96</v>
      </c>
      <c r="Y200" s="9">
        <f t="shared" si="50"/>
        <v>5558.44</v>
      </c>
      <c r="AD200" s="4" t="s">
        <v>701</v>
      </c>
      <c r="AE200" s="4" t="s">
        <v>698</v>
      </c>
      <c r="AF200" s="4" t="s">
        <v>699</v>
      </c>
    </row>
    <row r="201" spans="1:35" ht="18.75" x14ac:dyDescent="0.25">
      <c r="A201" s="38" t="s">
        <v>702</v>
      </c>
      <c r="B201" s="38"/>
      <c r="C201" s="49" t="s">
        <v>313</v>
      </c>
      <c r="D201" s="40"/>
      <c r="E201" s="40"/>
      <c r="F201" s="50" t="s">
        <v>81</v>
      </c>
      <c r="G201" s="51">
        <v>0.25</v>
      </c>
      <c r="H201" s="40"/>
      <c r="I201" s="52">
        <v>0</v>
      </c>
      <c r="J201" s="53">
        <v>100</v>
      </c>
      <c r="K201" s="54"/>
      <c r="L201" s="54"/>
      <c r="M201" s="53">
        <f t="shared" si="47"/>
        <v>0</v>
      </c>
      <c r="N201" s="54"/>
      <c r="O201" s="54"/>
      <c r="P201" s="53">
        <v>100</v>
      </c>
      <c r="Q201" s="54"/>
      <c r="R201" s="54"/>
      <c r="S201" s="53">
        <f t="shared" si="48"/>
        <v>0</v>
      </c>
      <c r="T201" s="54"/>
      <c r="U201" s="55"/>
      <c r="V201" s="9">
        <f t="shared" si="49"/>
        <v>83.33</v>
      </c>
      <c r="Y201" s="9">
        <f t="shared" si="50"/>
        <v>0</v>
      </c>
      <c r="AD201" s="4" t="s">
        <v>703</v>
      </c>
      <c r="AE201" s="4" t="s">
        <v>704</v>
      </c>
      <c r="AF201" s="4" t="s">
        <v>316</v>
      </c>
    </row>
    <row r="202" spans="1:35" ht="18.75" x14ac:dyDescent="0.25">
      <c r="A202" s="44" t="s">
        <v>705</v>
      </c>
      <c r="B202" s="44"/>
      <c r="C202" s="56" t="s">
        <v>313</v>
      </c>
      <c r="D202" s="46"/>
      <c r="E202" s="46"/>
      <c r="F202" s="57" t="s">
        <v>81</v>
      </c>
      <c r="G202" s="58">
        <v>0.25</v>
      </c>
      <c r="H202" s="46"/>
      <c r="I202" s="58">
        <v>55.024999999999999</v>
      </c>
      <c r="J202" s="59">
        <v>100</v>
      </c>
      <c r="K202" s="60"/>
      <c r="L202" s="60"/>
      <c r="M202" s="59">
        <f t="shared" si="47"/>
        <v>5502.5</v>
      </c>
      <c r="N202" s="60"/>
      <c r="O202" s="60"/>
      <c r="P202" s="59">
        <v>100</v>
      </c>
      <c r="Q202" s="60"/>
      <c r="R202" s="60"/>
      <c r="S202" s="59">
        <f t="shared" si="48"/>
        <v>5502.5</v>
      </c>
      <c r="T202" s="60"/>
      <c r="U202" s="61"/>
      <c r="V202" s="9">
        <f t="shared" si="49"/>
        <v>83.33</v>
      </c>
      <c r="Y202" s="9">
        <f t="shared" si="50"/>
        <v>4585.42</v>
      </c>
      <c r="AD202" s="4" t="s">
        <v>706</v>
      </c>
      <c r="AE202" s="4" t="s">
        <v>704</v>
      </c>
      <c r="AF202" s="4" t="s">
        <v>316</v>
      </c>
    </row>
    <row r="203" spans="1:35" ht="18.75" x14ac:dyDescent="0.25">
      <c r="A203" s="38" t="s">
        <v>707</v>
      </c>
      <c r="B203" s="38"/>
      <c r="C203" s="49" t="s">
        <v>708</v>
      </c>
      <c r="D203" s="40"/>
      <c r="E203" s="40" t="s">
        <v>709</v>
      </c>
      <c r="F203" s="50" t="s">
        <v>81</v>
      </c>
      <c r="G203" s="51">
        <v>1.8</v>
      </c>
      <c r="H203" s="40"/>
      <c r="I203" s="62">
        <v>0</v>
      </c>
      <c r="J203" s="53">
        <v>5.85</v>
      </c>
      <c r="K203" s="54"/>
      <c r="L203" s="54"/>
      <c r="M203" s="53">
        <f t="shared" si="47"/>
        <v>0</v>
      </c>
      <c r="N203" s="54"/>
      <c r="O203" s="54"/>
      <c r="P203" s="53">
        <v>5.85</v>
      </c>
      <c r="Q203" s="54"/>
      <c r="R203" s="54"/>
      <c r="S203" s="53">
        <f t="shared" si="48"/>
        <v>0</v>
      </c>
      <c r="T203" s="54"/>
      <c r="U203" s="55"/>
      <c r="V203" s="9">
        <f t="shared" si="49"/>
        <v>4.88</v>
      </c>
      <c r="Y203" s="9">
        <f t="shared" si="50"/>
        <v>0</v>
      </c>
      <c r="AD203" s="4" t="s">
        <v>710</v>
      </c>
      <c r="AE203" s="4" t="s">
        <v>711</v>
      </c>
      <c r="AF203" s="4" t="s">
        <v>712</v>
      </c>
    </row>
    <row r="204" spans="1:35" ht="18.75" x14ac:dyDescent="0.25">
      <c r="A204" s="44" t="s">
        <v>713</v>
      </c>
      <c r="B204" s="44"/>
      <c r="C204" s="56" t="s">
        <v>708</v>
      </c>
      <c r="D204" s="46"/>
      <c r="E204" s="46" t="s">
        <v>709</v>
      </c>
      <c r="F204" s="57" t="s">
        <v>81</v>
      </c>
      <c r="G204" s="58">
        <v>1.8</v>
      </c>
      <c r="H204" s="46"/>
      <c r="I204" s="63">
        <v>7923.6</v>
      </c>
      <c r="J204" s="59">
        <v>5.85</v>
      </c>
      <c r="K204" s="60"/>
      <c r="L204" s="60"/>
      <c r="M204" s="59">
        <f t="shared" si="47"/>
        <v>46353.06</v>
      </c>
      <c r="N204" s="60"/>
      <c r="O204" s="60"/>
      <c r="P204" s="59">
        <v>5.85</v>
      </c>
      <c r="Q204" s="60"/>
      <c r="R204" s="60"/>
      <c r="S204" s="59">
        <f t="shared" si="48"/>
        <v>46353.06</v>
      </c>
      <c r="T204" s="60"/>
      <c r="U204" s="61"/>
      <c r="V204" s="9">
        <f t="shared" si="49"/>
        <v>4.88</v>
      </c>
      <c r="Y204" s="9">
        <f t="shared" si="50"/>
        <v>38627.550000000003</v>
      </c>
      <c r="AD204" s="4" t="s">
        <v>714</v>
      </c>
      <c r="AE204" s="4" t="s">
        <v>711</v>
      </c>
      <c r="AF204" s="4" t="s">
        <v>712</v>
      </c>
    </row>
    <row r="205" spans="1:35" ht="18.75" x14ac:dyDescent="0.25">
      <c r="A205" s="38" t="s">
        <v>715</v>
      </c>
      <c r="B205" s="38"/>
      <c r="C205" s="49" t="s">
        <v>716</v>
      </c>
      <c r="D205" s="40"/>
      <c r="E205" s="40"/>
      <c r="F205" s="50" t="s">
        <v>123</v>
      </c>
      <c r="G205" s="51">
        <v>1.1000000000000001</v>
      </c>
      <c r="H205" s="40"/>
      <c r="I205" s="62">
        <v>0</v>
      </c>
      <c r="J205" s="53">
        <v>18.34</v>
      </c>
      <c r="K205" s="54"/>
      <c r="L205" s="54"/>
      <c r="M205" s="53">
        <f t="shared" si="47"/>
        <v>0</v>
      </c>
      <c r="N205" s="54"/>
      <c r="O205" s="54"/>
      <c r="P205" s="53">
        <v>18.34</v>
      </c>
      <c r="Q205" s="54"/>
      <c r="R205" s="54"/>
      <c r="S205" s="53">
        <f t="shared" si="48"/>
        <v>0</v>
      </c>
      <c r="T205" s="54"/>
      <c r="U205" s="55"/>
      <c r="V205" s="9">
        <f t="shared" si="49"/>
        <v>15.28</v>
      </c>
      <c r="Y205" s="9">
        <f t="shared" si="50"/>
        <v>0</v>
      </c>
      <c r="AD205" s="4" t="s">
        <v>717</v>
      </c>
      <c r="AE205" s="4" t="s">
        <v>718</v>
      </c>
      <c r="AF205" s="4" t="s">
        <v>719</v>
      </c>
    </row>
    <row r="206" spans="1:35" ht="18.75" x14ac:dyDescent="0.25">
      <c r="A206" s="44" t="s">
        <v>720</v>
      </c>
      <c r="B206" s="44"/>
      <c r="C206" s="56" t="s">
        <v>716</v>
      </c>
      <c r="D206" s="46"/>
      <c r="E206" s="46"/>
      <c r="F206" s="57" t="s">
        <v>123</v>
      </c>
      <c r="G206" s="58">
        <v>1.1000000000000001</v>
      </c>
      <c r="H206" s="46"/>
      <c r="I206" s="63">
        <v>242.11</v>
      </c>
      <c r="J206" s="59">
        <v>18.34</v>
      </c>
      <c r="K206" s="60"/>
      <c r="L206" s="60"/>
      <c r="M206" s="59">
        <f t="shared" si="47"/>
        <v>4440.3</v>
      </c>
      <c r="N206" s="60"/>
      <c r="O206" s="60"/>
      <c r="P206" s="59">
        <v>18.34</v>
      </c>
      <c r="Q206" s="60"/>
      <c r="R206" s="60"/>
      <c r="S206" s="59">
        <f t="shared" si="48"/>
        <v>4440.3</v>
      </c>
      <c r="T206" s="60"/>
      <c r="U206" s="61"/>
      <c r="V206" s="9">
        <f t="shared" si="49"/>
        <v>15.28</v>
      </c>
      <c r="Y206" s="9">
        <f t="shared" si="50"/>
        <v>3700.25</v>
      </c>
      <c r="AD206" s="4" t="s">
        <v>721</v>
      </c>
      <c r="AE206" s="4" t="s">
        <v>718</v>
      </c>
      <c r="AF206" s="4" t="s">
        <v>719</v>
      </c>
    </row>
    <row r="207" spans="1:35" ht="56.25" x14ac:dyDescent="0.25">
      <c r="A207" s="38" t="s">
        <v>722</v>
      </c>
      <c r="B207" s="38" t="s">
        <v>689</v>
      </c>
      <c r="C207" s="39" t="s">
        <v>690</v>
      </c>
      <c r="D207" s="40"/>
      <c r="E207" s="40" t="s">
        <v>723</v>
      </c>
      <c r="F207" s="40" t="s">
        <v>56</v>
      </c>
      <c r="G207" s="41">
        <v>1</v>
      </c>
      <c r="H207" s="40"/>
      <c r="I207" s="42">
        <v>0</v>
      </c>
      <c r="J207" s="43">
        <f>IFERROR(ROUND(SUM(M209,M211,M213,M215)/I207, 2),0)</f>
        <v>0</v>
      </c>
      <c r="K207" s="43">
        <v>826</v>
      </c>
      <c r="L207" s="43">
        <f>J207+ROUND(K207, 2)</f>
        <v>826</v>
      </c>
      <c r="M207" s="43">
        <f>ROUND(J207*I207, 2)</f>
        <v>0</v>
      </c>
      <c r="N207" s="43">
        <f>ROUND(I207*ROUND(K207, 2), 2)</f>
        <v>0</v>
      </c>
      <c r="O207" s="43">
        <f>M207+N207</f>
        <v>0</v>
      </c>
      <c r="P207" s="43">
        <f>IFERROR(ROUND(SUM(S209,S211,S213,S215)/I207, 2),0)</f>
        <v>0</v>
      </c>
      <c r="Q207" s="43">
        <v>826</v>
      </c>
      <c r="R207" s="43">
        <f>P207+ROUND(Q207, 2)</f>
        <v>826</v>
      </c>
      <c r="S207" s="43">
        <f>ROUND(P207*I207, 2)</f>
        <v>0</v>
      </c>
      <c r="T207" s="43">
        <f>ROUND(I207*ROUND(Q207, 2), 2)</f>
        <v>0</v>
      </c>
      <c r="U207" s="43">
        <f>S207+T207</f>
        <v>0</v>
      </c>
      <c r="V207" s="9">
        <f>ROUND(P207 / 1.2, 2)</f>
        <v>0</v>
      </c>
      <c r="W207" s="9">
        <f>ROUND(Q207 / 1.2, 2)</f>
        <v>688.33</v>
      </c>
      <c r="X207" s="9">
        <f>ROUND(R207 / 1.2, 2)</f>
        <v>688.33</v>
      </c>
      <c r="Y207" s="9">
        <f t="shared" si="50"/>
        <v>0</v>
      </c>
      <c r="Z207" s="9">
        <f>ROUND(T207 / 1.2, 2)</f>
        <v>0</v>
      </c>
      <c r="AA207" s="9">
        <f>Y207+Z207</f>
        <v>0</v>
      </c>
      <c r="AD207" s="4">
        <v>264030373</v>
      </c>
      <c r="AE207" s="4">
        <v>16077288</v>
      </c>
      <c r="AG207" s="4" t="s">
        <v>692</v>
      </c>
      <c r="AH207" s="4" t="s">
        <v>693</v>
      </c>
      <c r="AI207" s="4" t="s">
        <v>249</v>
      </c>
    </row>
    <row r="208" spans="1:35" ht="56.25" x14ac:dyDescent="0.25">
      <c r="A208" s="44" t="s">
        <v>724</v>
      </c>
      <c r="B208" s="44" t="s">
        <v>689</v>
      </c>
      <c r="C208" s="45" t="s">
        <v>690</v>
      </c>
      <c r="D208" s="46"/>
      <c r="E208" s="46" t="s">
        <v>723</v>
      </c>
      <c r="F208" s="46" t="s">
        <v>56</v>
      </c>
      <c r="G208" s="47">
        <v>1</v>
      </c>
      <c r="H208" s="46"/>
      <c r="I208" s="47">
        <v>534</v>
      </c>
      <c r="J208" s="48">
        <v>0</v>
      </c>
      <c r="K208" s="48">
        <v>826</v>
      </c>
      <c r="L208" s="48"/>
      <c r="M208" s="48">
        <v>0</v>
      </c>
      <c r="N208" s="48"/>
      <c r="O208" s="48"/>
      <c r="P208" s="48">
        <v>0</v>
      </c>
      <c r="Q208" s="48">
        <v>826</v>
      </c>
      <c r="R208" s="48"/>
      <c r="S208" s="48">
        <v>0</v>
      </c>
      <c r="T208" s="48"/>
      <c r="U208" s="48"/>
      <c r="V208" s="9"/>
      <c r="W208" s="9">
        <f>ROUND(Q208 / 1.2, 2)</f>
        <v>688.33</v>
      </c>
      <c r="X208" s="9" t="e">
        <f>ROUND(R208 / 1.2, 2)</f>
        <v>#VALUE!</v>
      </c>
      <c r="Y208" s="9"/>
      <c r="Z208" s="9" t="e">
        <f>ROUND(T208 / 1.2, 2)</f>
        <v>#VALUE!</v>
      </c>
      <c r="AA208" s="9"/>
      <c r="AD208" s="4">
        <v>204216667</v>
      </c>
      <c r="AE208" s="4">
        <v>16077288</v>
      </c>
      <c r="AG208" s="4" t="s">
        <v>692</v>
      </c>
      <c r="AH208" s="4" t="s">
        <v>693</v>
      </c>
      <c r="AI208" s="4"/>
    </row>
    <row r="209" spans="1:35" ht="37.5" x14ac:dyDescent="0.25">
      <c r="A209" s="38" t="s">
        <v>725</v>
      </c>
      <c r="B209" s="38"/>
      <c r="C209" s="49" t="s">
        <v>726</v>
      </c>
      <c r="D209" s="40"/>
      <c r="E209" s="40"/>
      <c r="F209" s="50" t="s">
        <v>81</v>
      </c>
      <c r="G209" s="51">
        <v>0.15</v>
      </c>
      <c r="H209" s="40"/>
      <c r="I209" s="52">
        <v>0</v>
      </c>
      <c r="J209" s="53">
        <v>80</v>
      </c>
      <c r="K209" s="54"/>
      <c r="L209" s="54"/>
      <c r="M209" s="53">
        <f t="shared" ref="M209:M216" si="51">ROUND(ROUND(J209, 2)*I209, 2)</f>
        <v>0</v>
      </c>
      <c r="N209" s="54"/>
      <c r="O209" s="54"/>
      <c r="P209" s="53">
        <v>80</v>
      </c>
      <c r="Q209" s="54"/>
      <c r="R209" s="54"/>
      <c r="S209" s="53">
        <f t="shared" ref="S209:S216" si="52">ROUND(ROUND(P209, 2)*I209, 2)</f>
        <v>0</v>
      </c>
      <c r="T209" s="54"/>
      <c r="U209" s="55"/>
      <c r="V209" s="9">
        <f t="shared" ref="V209:V216" si="53">ROUND(ROUND(P209, 2)/1.2, 2)</f>
        <v>66.67</v>
      </c>
      <c r="Y209" s="9">
        <f t="shared" ref="Y209:Y217" si="54">ROUND(S209 / 1.2, 2)</f>
        <v>0</v>
      </c>
      <c r="AD209" s="4" t="s">
        <v>727</v>
      </c>
      <c r="AE209" s="4" t="s">
        <v>728</v>
      </c>
      <c r="AF209" s="4" t="s">
        <v>729</v>
      </c>
    </row>
    <row r="210" spans="1:35" ht="37.5" x14ac:dyDescent="0.25">
      <c r="A210" s="44" t="s">
        <v>730</v>
      </c>
      <c r="B210" s="44"/>
      <c r="C210" s="56" t="s">
        <v>726</v>
      </c>
      <c r="D210" s="46"/>
      <c r="E210" s="46"/>
      <c r="F210" s="57" t="s">
        <v>81</v>
      </c>
      <c r="G210" s="58">
        <v>0.15</v>
      </c>
      <c r="H210" s="46"/>
      <c r="I210" s="58">
        <v>80.099999999999994</v>
      </c>
      <c r="J210" s="59">
        <v>80</v>
      </c>
      <c r="K210" s="60"/>
      <c r="L210" s="60"/>
      <c r="M210" s="59">
        <f t="shared" si="51"/>
        <v>6408</v>
      </c>
      <c r="N210" s="60"/>
      <c r="O210" s="60"/>
      <c r="P210" s="59">
        <v>80</v>
      </c>
      <c r="Q210" s="60"/>
      <c r="R210" s="60"/>
      <c r="S210" s="59">
        <f t="shared" si="52"/>
        <v>6408</v>
      </c>
      <c r="T210" s="60"/>
      <c r="U210" s="61"/>
      <c r="V210" s="9">
        <f t="shared" si="53"/>
        <v>66.67</v>
      </c>
      <c r="Y210" s="9">
        <f t="shared" si="54"/>
        <v>5340</v>
      </c>
      <c r="AD210" s="4" t="s">
        <v>731</v>
      </c>
      <c r="AE210" s="4" t="s">
        <v>728</v>
      </c>
      <c r="AF210" s="4" t="s">
        <v>729</v>
      </c>
    </row>
    <row r="211" spans="1:35" ht="18.75" x14ac:dyDescent="0.25">
      <c r="A211" s="38" t="s">
        <v>732</v>
      </c>
      <c r="B211" s="38"/>
      <c r="C211" s="49" t="s">
        <v>716</v>
      </c>
      <c r="D211" s="40"/>
      <c r="E211" s="40"/>
      <c r="F211" s="50" t="s">
        <v>123</v>
      </c>
      <c r="G211" s="51">
        <v>1.1000000000000001</v>
      </c>
      <c r="H211" s="40"/>
      <c r="I211" s="62">
        <v>0</v>
      </c>
      <c r="J211" s="53">
        <v>18.34</v>
      </c>
      <c r="K211" s="54"/>
      <c r="L211" s="54"/>
      <c r="M211" s="53">
        <f t="shared" si="51"/>
        <v>0</v>
      </c>
      <c r="N211" s="54"/>
      <c r="O211" s="54"/>
      <c r="P211" s="53">
        <v>18.34</v>
      </c>
      <c r="Q211" s="54"/>
      <c r="R211" s="54"/>
      <c r="S211" s="53">
        <f t="shared" si="52"/>
        <v>0</v>
      </c>
      <c r="T211" s="54"/>
      <c r="U211" s="55"/>
      <c r="V211" s="9">
        <f t="shared" si="53"/>
        <v>15.28</v>
      </c>
      <c r="Y211" s="9">
        <f t="shared" si="54"/>
        <v>0</v>
      </c>
      <c r="AD211" s="4" t="s">
        <v>733</v>
      </c>
      <c r="AE211" s="4" t="s">
        <v>734</v>
      </c>
      <c r="AF211" s="4" t="s">
        <v>719</v>
      </c>
    </row>
    <row r="212" spans="1:35" ht="18.75" x14ac:dyDescent="0.25">
      <c r="A212" s="44" t="s">
        <v>735</v>
      </c>
      <c r="B212" s="44"/>
      <c r="C212" s="56" t="s">
        <v>716</v>
      </c>
      <c r="D212" s="46"/>
      <c r="E212" s="46"/>
      <c r="F212" s="57" t="s">
        <v>123</v>
      </c>
      <c r="G212" s="58">
        <v>1.1000000000000001</v>
      </c>
      <c r="H212" s="46"/>
      <c r="I212" s="63">
        <v>587.4</v>
      </c>
      <c r="J212" s="59">
        <v>18.34</v>
      </c>
      <c r="K212" s="60"/>
      <c r="L212" s="60"/>
      <c r="M212" s="59">
        <f t="shared" si="51"/>
        <v>10772.92</v>
      </c>
      <c r="N212" s="60"/>
      <c r="O212" s="60"/>
      <c r="P212" s="59">
        <v>18.34</v>
      </c>
      <c r="Q212" s="60"/>
      <c r="R212" s="60"/>
      <c r="S212" s="59">
        <f t="shared" si="52"/>
        <v>10772.92</v>
      </c>
      <c r="T212" s="60"/>
      <c r="U212" s="61"/>
      <c r="V212" s="9">
        <f t="shared" si="53"/>
        <v>15.28</v>
      </c>
      <c r="Y212" s="9">
        <f t="shared" si="54"/>
        <v>8977.43</v>
      </c>
      <c r="AD212" s="4" t="s">
        <v>736</v>
      </c>
      <c r="AE212" s="4" t="s">
        <v>734</v>
      </c>
      <c r="AF212" s="4" t="s">
        <v>719</v>
      </c>
    </row>
    <row r="213" spans="1:35" ht="18.75" x14ac:dyDescent="0.25">
      <c r="A213" s="38" t="s">
        <v>737</v>
      </c>
      <c r="B213" s="38"/>
      <c r="C213" s="49" t="s">
        <v>708</v>
      </c>
      <c r="D213" s="40"/>
      <c r="E213" s="40" t="s">
        <v>709</v>
      </c>
      <c r="F213" s="50" t="s">
        <v>81</v>
      </c>
      <c r="G213" s="51">
        <v>1.8</v>
      </c>
      <c r="H213" s="40"/>
      <c r="I213" s="62">
        <v>0</v>
      </c>
      <c r="J213" s="53">
        <v>5.85</v>
      </c>
      <c r="K213" s="54"/>
      <c r="L213" s="54"/>
      <c r="M213" s="53">
        <f t="shared" si="51"/>
        <v>0</v>
      </c>
      <c r="N213" s="54"/>
      <c r="O213" s="54"/>
      <c r="P213" s="53">
        <v>5.85</v>
      </c>
      <c r="Q213" s="54"/>
      <c r="R213" s="54"/>
      <c r="S213" s="53">
        <f t="shared" si="52"/>
        <v>0</v>
      </c>
      <c r="T213" s="54"/>
      <c r="U213" s="55"/>
      <c r="V213" s="9">
        <f t="shared" si="53"/>
        <v>4.88</v>
      </c>
      <c r="Y213" s="9">
        <f t="shared" si="54"/>
        <v>0</v>
      </c>
      <c r="AD213" s="4" t="s">
        <v>738</v>
      </c>
      <c r="AE213" s="4" t="s">
        <v>739</v>
      </c>
      <c r="AF213" s="4" t="s">
        <v>712</v>
      </c>
    </row>
    <row r="214" spans="1:35" ht="18.75" x14ac:dyDescent="0.25">
      <c r="A214" s="44" t="s">
        <v>740</v>
      </c>
      <c r="B214" s="44"/>
      <c r="C214" s="56" t="s">
        <v>708</v>
      </c>
      <c r="D214" s="46"/>
      <c r="E214" s="46" t="s">
        <v>709</v>
      </c>
      <c r="F214" s="57" t="s">
        <v>81</v>
      </c>
      <c r="G214" s="58">
        <v>1.8</v>
      </c>
      <c r="H214" s="46"/>
      <c r="I214" s="63">
        <v>19224</v>
      </c>
      <c r="J214" s="59">
        <v>5.85</v>
      </c>
      <c r="K214" s="60"/>
      <c r="L214" s="60"/>
      <c r="M214" s="59">
        <f t="shared" si="51"/>
        <v>112460.4</v>
      </c>
      <c r="N214" s="60"/>
      <c r="O214" s="60"/>
      <c r="P214" s="59">
        <v>5.85</v>
      </c>
      <c r="Q214" s="60"/>
      <c r="R214" s="60"/>
      <c r="S214" s="59">
        <f t="shared" si="52"/>
        <v>112460.4</v>
      </c>
      <c r="T214" s="60"/>
      <c r="U214" s="61"/>
      <c r="V214" s="9">
        <f t="shared" si="53"/>
        <v>4.88</v>
      </c>
      <c r="Y214" s="9">
        <f t="shared" si="54"/>
        <v>93717</v>
      </c>
      <c r="AD214" s="4" t="s">
        <v>741</v>
      </c>
      <c r="AE214" s="4" t="s">
        <v>739</v>
      </c>
      <c r="AF214" s="4" t="s">
        <v>712</v>
      </c>
    </row>
    <row r="215" spans="1:35" ht="37.5" x14ac:dyDescent="0.25">
      <c r="A215" s="38" t="s">
        <v>742</v>
      </c>
      <c r="B215" s="38"/>
      <c r="C215" s="49" t="s">
        <v>696</v>
      </c>
      <c r="D215" s="40"/>
      <c r="E215" s="40"/>
      <c r="F215" s="50" t="s">
        <v>56</v>
      </c>
      <c r="G215" s="51">
        <v>1.1000000000000001</v>
      </c>
      <c r="H215" s="40"/>
      <c r="I215" s="52">
        <v>0</v>
      </c>
      <c r="J215" s="53">
        <v>27.55</v>
      </c>
      <c r="K215" s="54"/>
      <c r="L215" s="54"/>
      <c r="M215" s="53">
        <f t="shared" si="51"/>
        <v>0</v>
      </c>
      <c r="N215" s="54"/>
      <c r="O215" s="54"/>
      <c r="P215" s="53">
        <v>27.55</v>
      </c>
      <c r="Q215" s="54"/>
      <c r="R215" s="54"/>
      <c r="S215" s="53">
        <f t="shared" si="52"/>
        <v>0</v>
      </c>
      <c r="T215" s="54"/>
      <c r="U215" s="55"/>
      <c r="V215" s="9">
        <f t="shared" si="53"/>
        <v>22.96</v>
      </c>
      <c r="Y215" s="9">
        <f t="shared" si="54"/>
        <v>0</v>
      </c>
      <c r="AD215" s="4" t="s">
        <v>743</v>
      </c>
      <c r="AE215" s="4" t="s">
        <v>744</v>
      </c>
      <c r="AF215" s="4" t="s">
        <v>699</v>
      </c>
    </row>
    <row r="216" spans="1:35" ht="37.5" x14ac:dyDescent="0.25">
      <c r="A216" s="44" t="s">
        <v>745</v>
      </c>
      <c r="B216" s="44"/>
      <c r="C216" s="56" t="s">
        <v>696</v>
      </c>
      <c r="D216" s="46"/>
      <c r="E216" s="46"/>
      <c r="F216" s="57" t="s">
        <v>56</v>
      </c>
      <c r="G216" s="58">
        <v>1.1000000000000001</v>
      </c>
      <c r="H216" s="46"/>
      <c r="I216" s="58">
        <v>587.4</v>
      </c>
      <c r="J216" s="59">
        <v>27.55</v>
      </c>
      <c r="K216" s="60"/>
      <c r="L216" s="60"/>
      <c r="M216" s="59">
        <f t="shared" si="51"/>
        <v>16182.87</v>
      </c>
      <c r="N216" s="60"/>
      <c r="O216" s="60"/>
      <c r="P216" s="59">
        <v>27.55</v>
      </c>
      <c r="Q216" s="60"/>
      <c r="R216" s="60"/>
      <c r="S216" s="59">
        <f t="shared" si="52"/>
        <v>16182.87</v>
      </c>
      <c r="T216" s="60"/>
      <c r="U216" s="61"/>
      <c r="V216" s="9">
        <f t="shared" si="53"/>
        <v>22.96</v>
      </c>
      <c r="Y216" s="9">
        <f t="shared" si="54"/>
        <v>13485.73</v>
      </c>
      <c r="AD216" s="4" t="s">
        <v>746</v>
      </c>
      <c r="AE216" s="4" t="s">
        <v>744</v>
      </c>
      <c r="AF216" s="4" t="s">
        <v>699</v>
      </c>
    </row>
    <row r="217" spans="1:35" ht="56.25" x14ac:dyDescent="0.25">
      <c r="A217" s="38" t="s">
        <v>747</v>
      </c>
      <c r="B217" s="38" t="s">
        <v>689</v>
      </c>
      <c r="C217" s="39" t="s">
        <v>690</v>
      </c>
      <c r="D217" s="40"/>
      <c r="E217" s="40" t="s">
        <v>748</v>
      </c>
      <c r="F217" s="40" t="s">
        <v>56</v>
      </c>
      <c r="G217" s="41">
        <v>1</v>
      </c>
      <c r="H217" s="40"/>
      <c r="I217" s="42">
        <v>0</v>
      </c>
      <c r="J217" s="43">
        <f>IFERROR(ROUND(SUM(M219,M221,M223)/I217, 2),0)</f>
        <v>0</v>
      </c>
      <c r="K217" s="43">
        <v>826</v>
      </c>
      <c r="L217" s="43">
        <f>J217+ROUND(K217, 2)</f>
        <v>826</v>
      </c>
      <c r="M217" s="43">
        <f>ROUND(J217*I217, 2)</f>
        <v>0</v>
      </c>
      <c r="N217" s="43">
        <f>ROUND(I217*ROUND(K217, 2), 2)</f>
        <v>0</v>
      </c>
      <c r="O217" s="43">
        <f>M217+N217</f>
        <v>0</v>
      </c>
      <c r="P217" s="43">
        <f>IFERROR(ROUND(SUM(S219,S221,S223)/I217, 2),0)</f>
        <v>0</v>
      </c>
      <c r="Q217" s="43">
        <v>826</v>
      </c>
      <c r="R217" s="43">
        <f>P217+ROUND(Q217, 2)</f>
        <v>826</v>
      </c>
      <c r="S217" s="43">
        <f>ROUND(P217*I217, 2)</f>
        <v>0</v>
      </c>
      <c r="T217" s="43">
        <f>ROUND(I217*ROUND(Q217, 2), 2)</f>
        <v>0</v>
      </c>
      <c r="U217" s="43">
        <f>S217+T217</f>
        <v>0</v>
      </c>
      <c r="V217" s="9">
        <f>ROUND(P217 / 1.2, 2)</f>
        <v>0</v>
      </c>
      <c r="W217" s="9">
        <f>ROUND(Q217 / 1.2, 2)</f>
        <v>688.33</v>
      </c>
      <c r="X217" s="9">
        <f>ROUND(R217 / 1.2, 2)</f>
        <v>688.33</v>
      </c>
      <c r="Y217" s="9">
        <f t="shared" si="54"/>
        <v>0</v>
      </c>
      <c r="Z217" s="9">
        <f>ROUND(T217 / 1.2, 2)</f>
        <v>0</v>
      </c>
      <c r="AA217" s="9">
        <f>Y217+Z217</f>
        <v>0</v>
      </c>
      <c r="AD217" s="4">
        <v>264030374</v>
      </c>
      <c r="AE217" s="4">
        <v>16081379</v>
      </c>
      <c r="AG217" s="4" t="s">
        <v>692</v>
      </c>
      <c r="AH217" s="4" t="s">
        <v>693</v>
      </c>
      <c r="AI217" s="4" t="s">
        <v>249</v>
      </c>
    </row>
    <row r="218" spans="1:35" ht="56.25" x14ac:dyDescent="0.25">
      <c r="A218" s="44" t="s">
        <v>749</v>
      </c>
      <c r="B218" s="44" t="s">
        <v>689</v>
      </c>
      <c r="C218" s="45" t="s">
        <v>690</v>
      </c>
      <c r="D218" s="46"/>
      <c r="E218" s="46" t="s">
        <v>748</v>
      </c>
      <c r="F218" s="46" t="s">
        <v>56</v>
      </c>
      <c r="G218" s="47">
        <v>1</v>
      </c>
      <c r="H218" s="46"/>
      <c r="I218" s="47">
        <v>53.9</v>
      </c>
      <c r="J218" s="48">
        <v>0</v>
      </c>
      <c r="K218" s="48">
        <v>826</v>
      </c>
      <c r="L218" s="48"/>
      <c r="M218" s="48">
        <v>0</v>
      </c>
      <c r="N218" s="48"/>
      <c r="O218" s="48"/>
      <c r="P218" s="48">
        <v>0</v>
      </c>
      <c r="Q218" s="48">
        <v>826</v>
      </c>
      <c r="R218" s="48"/>
      <c r="S218" s="48">
        <v>0</v>
      </c>
      <c r="T218" s="48"/>
      <c r="U218" s="48"/>
      <c r="V218" s="9"/>
      <c r="W218" s="9">
        <f>ROUND(Q218 / 1.2, 2)</f>
        <v>688.33</v>
      </c>
      <c r="X218" s="9" t="e">
        <f>ROUND(R218 / 1.2, 2)</f>
        <v>#VALUE!</v>
      </c>
      <c r="Y218" s="9"/>
      <c r="Z218" s="9" t="e">
        <f>ROUND(T218 / 1.2, 2)</f>
        <v>#VALUE!</v>
      </c>
      <c r="AA218" s="9"/>
      <c r="AD218" s="4">
        <v>206577563</v>
      </c>
      <c r="AE218" s="4">
        <v>16081379</v>
      </c>
      <c r="AG218" s="4" t="s">
        <v>692</v>
      </c>
      <c r="AH218" s="4" t="s">
        <v>693</v>
      </c>
      <c r="AI218" s="4"/>
    </row>
    <row r="219" spans="1:35" ht="56.25" x14ac:dyDescent="0.25">
      <c r="A219" s="38" t="s">
        <v>750</v>
      </c>
      <c r="B219" s="38"/>
      <c r="C219" s="49" t="s">
        <v>751</v>
      </c>
      <c r="D219" s="40"/>
      <c r="E219" s="40" t="s">
        <v>709</v>
      </c>
      <c r="F219" s="50" t="s">
        <v>81</v>
      </c>
      <c r="G219" s="51">
        <v>1</v>
      </c>
      <c r="H219" s="40"/>
      <c r="I219" s="62">
        <v>0</v>
      </c>
      <c r="J219" s="53">
        <v>7.59</v>
      </c>
      <c r="K219" s="54"/>
      <c r="L219" s="54"/>
      <c r="M219" s="53">
        <f t="shared" ref="M219:M224" si="55">ROUND(ROUND(J219, 2)*I219, 2)</f>
        <v>0</v>
      </c>
      <c r="N219" s="54"/>
      <c r="O219" s="54"/>
      <c r="P219" s="53">
        <v>8.35</v>
      </c>
      <c r="Q219" s="54"/>
      <c r="R219" s="54"/>
      <c r="S219" s="53">
        <f t="shared" ref="S219:S224" si="56">ROUND(ROUND(P219, 2)*I219, 2)</f>
        <v>0</v>
      </c>
      <c r="T219" s="54"/>
      <c r="U219" s="55"/>
      <c r="V219" s="9">
        <f t="shared" ref="V219:V224" si="57">ROUND(ROUND(P219, 2)/1.2, 2)</f>
        <v>6.96</v>
      </c>
      <c r="Y219" s="9">
        <f t="shared" ref="Y219:Y225" si="58">ROUND(S219 / 1.2, 2)</f>
        <v>0</v>
      </c>
      <c r="AD219" s="4" t="s">
        <v>752</v>
      </c>
      <c r="AE219" s="4" t="s">
        <v>753</v>
      </c>
      <c r="AF219" s="4" t="s">
        <v>754</v>
      </c>
    </row>
    <row r="220" spans="1:35" ht="56.25" x14ac:dyDescent="0.25">
      <c r="A220" s="44" t="s">
        <v>755</v>
      </c>
      <c r="B220" s="44"/>
      <c r="C220" s="56" t="s">
        <v>751</v>
      </c>
      <c r="D220" s="46"/>
      <c r="E220" s="46" t="s">
        <v>709</v>
      </c>
      <c r="F220" s="57" t="s">
        <v>81</v>
      </c>
      <c r="G220" s="58">
        <v>1</v>
      </c>
      <c r="H220" s="46"/>
      <c r="I220" s="63">
        <v>1078</v>
      </c>
      <c r="J220" s="59">
        <v>7.59</v>
      </c>
      <c r="K220" s="60"/>
      <c r="L220" s="60"/>
      <c r="M220" s="59">
        <f t="shared" si="55"/>
        <v>8182.02</v>
      </c>
      <c r="N220" s="60"/>
      <c r="O220" s="60"/>
      <c r="P220" s="59">
        <v>8.35</v>
      </c>
      <c r="Q220" s="60"/>
      <c r="R220" s="60"/>
      <c r="S220" s="59">
        <f t="shared" si="56"/>
        <v>9001.2999999999993</v>
      </c>
      <c r="T220" s="60"/>
      <c r="U220" s="61"/>
      <c r="V220" s="9">
        <f t="shared" si="57"/>
        <v>6.96</v>
      </c>
      <c r="Y220" s="9">
        <f t="shared" si="58"/>
        <v>7501.08</v>
      </c>
      <c r="AD220" s="4" t="s">
        <v>756</v>
      </c>
      <c r="AE220" s="4" t="s">
        <v>753</v>
      </c>
      <c r="AF220" s="4" t="s">
        <v>754</v>
      </c>
    </row>
    <row r="221" spans="1:35" ht="18.75" x14ac:dyDescent="0.25">
      <c r="A221" s="38" t="s">
        <v>757</v>
      </c>
      <c r="B221" s="38"/>
      <c r="C221" s="49" t="s">
        <v>313</v>
      </c>
      <c r="D221" s="40"/>
      <c r="E221" s="40"/>
      <c r="F221" s="50" t="s">
        <v>81</v>
      </c>
      <c r="G221" s="51">
        <v>0.25</v>
      </c>
      <c r="H221" s="40"/>
      <c r="I221" s="52">
        <v>0</v>
      </c>
      <c r="J221" s="53">
        <v>100</v>
      </c>
      <c r="K221" s="54"/>
      <c r="L221" s="54"/>
      <c r="M221" s="53">
        <f t="shared" si="55"/>
        <v>0</v>
      </c>
      <c r="N221" s="54"/>
      <c r="O221" s="54"/>
      <c r="P221" s="53">
        <v>100</v>
      </c>
      <c r="Q221" s="54"/>
      <c r="R221" s="54"/>
      <c r="S221" s="53">
        <f t="shared" si="56"/>
        <v>0</v>
      </c>
      <c r="T221" s="54"/>
      <c r="U221" s="55"/>
      <c r="V221" s="9">
        <f t="shared" si="57"/>
        <v>83.33</v>
      </c>
      <c r="Y221" s="9">
        <f t="shared" si="58"/>
        <v>0</v>
      </c>
      <c r="AD221" s="4" t="s">
        <v>758</v>
      </c>
      <c r="AE221" s="4" t="s">
        <v>759</v>
      </c>
      <c r="AF221" s="4" t="s">
        <v>316</v>
      </c>
    </row>
    <row r="222" spans="1:35" ht="18.75" x14ac:dyDescent="0.25">
      <c r="A222" s="44" t="s">
        <v>760</v>
      </c>
      <c r="B222" s="44"/>
      <c r="C222" s="56" t="s">
        <v>313</v>
      </c>
      <c r="D222" s="46"/>
      <c r="E222" s="46"/>
      <c r="F222" s="57" t="s">
        <v>81</v>
      </c>
      <c r="G222" s="58">
        <v>0.25</v>
      </c>
      <c r="H222" s="46"/>
      <c r="I222" s="58">
        <v>13.475</v>
      </c>
      <c r="J222" s="59">
        <v>100</v>
      </c>
      <c r="K222" s="60"/>
      <c r="L222" s="60"/>
      <c r="M222" s="59">
        <f t="shared" si="55"/>
        <v>1347.5</v>
      </c>
      <c r="N222" s="60"/>
      <c r="O222" s="60"/>
      <c r="P222" s="59">
        <v>100</v>
      </c>
      <c r="Q222" s="60"/>
      <c r="R222" s="60"/>
      <c r="S222" s="59">
        <f t="shared" si="56"/>
        <v>1347.5</v>
      </c>
      <c r="T222" s="60"/>
      <c r="U222" s="61"/>
      <c r="V222" s="9">
        <f t="shared" si="57"/>
        <v>83.33</v>
      </c>
      <c r="Y222" s="9">
        <f t="shared" si="58"/>
        <v>1122.92</v>
      </c>
      <c r="AD222" s="4" t="s">
        <v>761</v>
      </c>
      <c r="AE222" s="4" t="s">
        <v>759</v>
      </c>
      <c r="AF222" s="4" t="s">
        <v>316</v>
      </c>
    </row>
    <row r="223" spans="1:35" ht="18.75" x14ac:dyDescent="0.25">
      <c r="A223" s="38" t="s">
        <v>762</v>
      </c>
      <c r="B223" s="38"/>
      <c r="C223" s="49" t="s">
        <v>716</v>
      </c>
      <c r="D223" s="40"/>
      <c r="E223" s="40"/>
      <c r="F223" s="50" t="s">
        <v>123</v>
      </c>
      <c r="G223" s="51">
        <v>1.1000000000000001</v>
      </c>
      <c r="H223" s="40"/>
      <c r="I223" s="62">
        <v>0</v>
      </c>
      <c r="J223" s="53">
        <v>18.34</v>
      </c>
      <c r="K223" s="54"/>
      <c r="L223" s="54"/>
      <c r="M223" s="53">
        <f t="shared" si="55"/>
        <v>0</v>
      </c>
      <c r="N223" s="54"/>
      <c r="O223" s="54"/>
      <c r="P223" s="53">
        <v>18.34</v>
      </c>
      <c r="Q223" s="54"/>
      <c r="R223" s="54"/>
      <c r="S223" s="53">
        <f t="shared" si="56"/>
        <v>0</v>
      </c>
      <c r="T223" s="54"/>
      <c r="U223" s="55"/>
      <c r="V223" s="9">
        <f t="shared" si="57"/>
        <v>15.28</v>
      </c>
      <c r="Y223" s="9">
        <f t="shared" si="58"/>
        <v>0</v>
      </c>
      <c r="AD223" s="4" t="s">
        <v>763</v>
      </c>
      <c r="AE223" s="4" t="s">
        <v>764</v>
      </c>
      <c r="AF223" s="4" t="s">
        <v>719</v>
      </c>
    </row>
    <row r="224" spans="1:35" ht="18.75" x14ac:dyDescent="0.25">
      <c r="A224" s="44" t="s">
        <v>765</v>
      </c>
      <c r="B224" s="44"/>
      <c r="C224" s="56" t="s">
        <v>716</v>
      </c>
      <c r="D224" s="46"/>
      <c r="E224" s="46"/>
      <c r="F224" s="57" t="s">
        <v>123</v>
      </c>
      <c r="G224" s="58">
        <v>1.1000000000000001</v>
      </c>
      <c r="H224" s="46"/>
      <c r="I224" s="63">
        <v>59.29</v>
      </c>
      <c r="J224" s="59">
        <v>18.34</v>
      </c>
      <c r="K224" s="60"/>
      <c r="L224" s="60"/>
      <c r="M224" s="59">
        <f t="shared" si="55"/>
        <v>1087.3800000000001</v>
      </c>
      <c r="N224" s="60"/>
      <c r="O224" s="60"/>
      <c r="P224" s="59">
        <v>18.34</v>
      </c>
      <c r="Q224" s="60"/>
      <c r="R224" s="60"/>
      <c r="S224" s="59">
        <f t="shared" si="56"/>
        <v>1087.3800000000001</v>
      </c>
      <c r="T224" s="60"/>
      <c r="U224" s="61"/>
      <c r="V224" s="9">
        <f t="shared" si="57"/>
        <v>15.28</v>
      </c>
      <c r="Y224" s="9">
        <f t="shared" si="58"/>
        <v>906.15</v>
      </c>
      <c r="AD224" s="4" t="s">
        <v>766</v>
      </c>
      <c r="AE224" s="4" t="s">
        <v>764</v>
      </c>
      <c r="AF224" s="4" t="s">
        <v>719</v>
      </c>
    </row>
    <row r="225" spans="1:35" ht="56.25" x14ac:dyDescent="0.25">
      <c r="A225" s="38" t="s">
        <v>767</v>
      </c>
      <c r="B225" s="38" t="s">
        <v>689</v>
      </c>
      <c r="C225" s="39" t="s">
        <v>690</v>
      </c>
      <c r="D225" s="40"/>
      <c r="E225" s="40" t="s">
        <v>768</v>
      </c>
      <c r="F225" s="40" t="s">
        <v>56</v>
      </c>
      <c r="G225" s="41">
        <v>1</v>
      </c>
      <c r="H225" s="40"/>
      <c r="I225" s="42">
        <v>0</v>
      </c>
      <c r="J225" s="43">
        <f>IFERROR(ROUND(SUM(M227,M229,M231)/I225, 2),0)</f>
        <v>0</v>
      </c>
      <c r="K225" s="43">
        <v>826</v>
      </c>
      <c r="L225" s="43">
        <f>J225+ROUND(K225, 2)</f>
        <v>826</v>
      </c>
      <c r="M225" s="43">
        <f>ROUND(J225*I225, 2)</f>
        <v>0</v>
      </c>
      <c r="N225" s="43">
        <f>ROUND(I225*ROUND(K225, 2), 2)</f>
        <v>0</v>
      </c>
      <c r="O225" s="43">
        <f>M225+N225</f>
        <v>0</v>
      </c>
      <c r="P225" s="43">
        <f>IFERROR(ROUND(SUM(S227,S229,S231)/I225, 2),0)</f>
        <v>0</v>
      </c>
      <c r="Q225" s="43">
        <v>826</v>
      </c>
      <c r="R225" s="43">
        <f>P225+ROUND(Q225, 2)</f>
        <v>826</v>
      </c>
      <c r="S225" s="43">
        <f>ROUND(P225*I225, 2)</f>
        <v>0</v>
      </c>
      <c r="T225" s="43">
        <f>ROUND(I225*ROUND(Q225, 2), 2)</f>
        <v>0</v>
      </c>
      <c r="U225" s="43">
        <f>S225+T225</f>
        <v>0</v>
      </c>
      <c r="V225" s="9">
        <f>ROUND(P225 / 1.2, 2)</f>
        <v>0</v>
      </c>
      <c r="W225" s="9">
        <f>ROUND(Q225 / 1.2, 2)</f>
        <v>688.33</v>
      </c>
      <c r="X225" s="9">
        <f>ROUND(R225 / 1.2, 2)</f>
        <v>688.33</v>
      </c>
      <c r="Y225" s="9">
        <f t="shared" si="58"/>
        <v>0</v>
      </c>
      <c r="Z225" s="9">
        <f>ROUND(T225 / 1.2, 2)</f>
        <v>0</v>
      </c>
      <c r="AA225" s="9">
        <f>Y225+Z225</f>
        <v>0</v>
      </c>
      <c r="AD225" s="4">
        <v>264030375</v>
      </c>
      <c r="AE225" s="4">
        <v>16081378</v>
      </c>
      <c r="AG225" s="4" t="s">
        <v>692</v>
      </c>
      <c r="AH225" s="4" t="s">
        <v>693</v>
      </c>
      <c r="AI225" s="4" t="s">
        <v>249</v>
      </c>
    </row>
    <row r="226" spans="1:35" ht="56.25" x14ac:dyDescent="0.25">
      <c r="A226" s="44" t="s">
        <v>769</v>
      </c>
      <c r="B226" s="44" t="s">
        <v>689</v>
      </c>
      <c r="C226" s="45" t="s">
        <v>690</v>
      </c>
      <c r="D226" s="46"/>
      <c r="E226" s="46" t="s">
        <v>768</v>
      </c>
      <c r="F226" s="46" t="s">
        <v>56</v>
      </c>
      <c r="G226" s="47">
        <v>1</v>
      </c>
      <c r="H226" s="46"/>
      <c r="I226" s="47">
        <v>260.60000000000002</v>
      </c>
      <c r="J226" s="48">
        <v>0</v>
      </c>
      <c r="K226" s="48">
        <v>826</v>
      </c>
      <c r="L226" s="48"/>
      <c r="M226" s="48">
        <v>0</v>
      </c>
      <c r="N226" s="48"/>
      <c r="O226" s="48"/>
      <c r="P226" s="48">
        <v>0</v>
      </c>
      <c r="Q226" s="48">
        <v>826</v>
      </c>
      <c r="R226" s="48"/>
      <c r="S226" s="48">
        <v>0</v>
      </c>
      <c r="T226" s="48"/>
      <c r="U226" s="48"/>
      <c r="V226" s="9"/>
      <c r="W226" s="9">
        <f>ROUND(Q226 / 1.2, 2)</f>
        <v>688.33</v>
      </c>
      <c r="X226" s="9" t="e">
        <f>ROUND(R226 / 1.2, 2)</f>
        <v>#VALUE!</v>
      </c>
      <c r="Y226" s="9"/>
      <c r="Z226" s="9" t="e">
        <f>ROUND(T226 / 1.2, 2)</f>
        <v>#VALUE!</v>
      </c>
      <c r="AA226" s="9"/>
      <c r="AD226" s="4">
        <v>206577564</v>
      </c>
      <c r="AE226" s="4">
        <v>16081378</v>
      </c>
      <c r="AG226" s="4" t="s">
        <v>692</v>
      </c>
      <c r="AH226" s="4" t="s">
        <v>693</v>
      </c>
      <c r="AI226" s="4"/>
    </row>
    <row r="227" spans="1:35" ht="18.75" x14ac:dyDescent="0.25">
      <c r="A227" s="38" t="s">
        <v>770</v>
      </c>
      <c r="B227" s="38"/>
      <c r="C227" s="49" t="s">
        <v>716</v>
      </c>
      <c r="D227" s="40"/>
      <c r="E227" s="40"/>
      <c r="F227" s="50" t="s">
        <v>123</v>
      </c>
      <c r="G227" s="51">
        <v>1.1000000000000001</v>
      </c>
      <c r="H227" s="40"/>
      <c r="I227" s="62">
        <v>0</v>
      </c>
      <c r="J227" s="53">
        <v>18.34</v>
      </c>
      <c r="K227" s="54"/>
      <c r="L227" s="54"/>
      <c r="M227" s="53">
        <f t="shared" ref="M227:M232" si="59">ROUND(ROUND(J227, 2)*I227, 2)</f>
        <v>0</v>
      </c>
      <c r="N227" s="54"/>
      <c r="O227" s="54"/>
      <c r="P227" s="53">
        <v>18.34</v>
      </c>
      <c r="Q227" s="54"/>
      <c r="R227" s="54"/>
      <c r="S227" s="53">
        <f t="shared" ref="S227:S232" si="60">ROUND(ROUND(P227, 2)*I227, 2)</f>
        <v>0</v>
      </c>
      <c r="T227" s="54"/>
      <c r="U227" s="55"/>
      <c r="V227" s="9">
        <f t="shared" ref="V227:V232" si="61">ROUND(ROUND(P227, 2)/1.2, 2)</f>
        <v>15.28</v>
      </c>
      <c r="Y227" s="9">
        <f t="shared" ref="Y227:Y233" si="62">ROUND(S227 / 1.2, 2)</f>
        <v>0</v>
      </c>
      <c r="AD227" s="4" t="s">
        <v>771</v>
      </c>
      <c r="AE227" s="4" t="s">
        <v>772</v>
      </c>
      <c r="AF227" s="4" t="s">
        <v>719</v>
      </c>
    </row>
    <row r="228" spans="1:35" ht="18.75" x14ac:dyDescent="0.25">
      <c r="A228" s="44" t="s">
        <v>773</v>
      </c>
      <c r="B228" s="44"/>
      <c r="C228" s="56" t="s">
        <v>716</v>
      </c>
      <c r="D228" s="46"/>
      <c r="E228" s="46"/>
      <c r="F228" s="57" t="s">
        <v>123</v>
      </c>
      <c r="G228" s="58">
        <v>1.1000000000000001</v>
      </c>
      <c r="H228" s="46"/>
      <c r="I228" s="63">
        <v>286.66000000000003</v>
      </c>
      <c r="J228" s="59">
        <v>18.34</v>
      </c>
      <c r="K228" s="60"/>
      <c r="L228" s="60"/>
      <c r="M228" s="59">
        <f t="shared" si="59"/>
        <v>5257.34</v>
      </c>
      <c r="N228" s="60"/>
      <c r="O228" s="60"/>
      <c r="P228" s="59">
        <v>18.34</v>
      </c>
      <c r="Q228" s="60"/>
      <c r="R228" s="60"/>
      <c r="S228" s="59">
        <f t="shared" si="60"/>
        <v>5257.34</v>
      </c>
      <c r="T228" s="60"/>
      <c r="U228" s="61"/>
      <c r="V228" s="9">
        <f t="shared" si="61"/>
        <v>15.28</v>
      </c>
      <c r="Y228" s="9">
        <f t="shared" si="62"/>
        <v>4381.12</v>
      </c>
      <c r="AD228" s="4" t="s">
        <v>774</v>
      </c>
      <c r="AE228" s="4" t="s">
        <v>772</v>
      </c>
      <c r="AF228" s="4" t="s">
        <v>719</v>
      </c>
    </row>
    <row r="229" spans="1:35" ht="37.5" x14ac:dyDescent="0.25">
      <c r="A229" s="38" t="s">
        <v>775</v>
      </c>
      <c r="B229" s="38"/>
      <c r="C229" s="49" t="s">
        <v>776</v>
      </c>
      <c r="D229" s="40"/>
      <c r="E229" s="40"/>
      <c r="F229" s="50" t="s">
        <v>81</v>
      </c>
      <c r="G229" s="51">
        <v>0.15</v>
      </c>
      <c r="H229" s="40"/>
      <c r="I229" s="62">
        <v>0</v>
      </c>
      <c r="J229" s="53">
        <v>80</v>
      </c>
      <c r="K229" s="54"/>
      <c r="L229" s="54"/>
      <c r="M229" s="53">
        <f t="shared" si="59"/>
        <v>0</v>
      </c>
      <c r="N229" s="54"/>
      <c r="O229" s="54"/>
      <c r="P229" s="53">
        <v>80</v>
      </c>
      <c r="Q229" s="54"/>
      <c r="R229" s="54"/>
      <c r="S229" s="53">
        <f t="shared" si="60"/>
        <v>0</v>
      </c>
      <c r="T229" s="54"/>
      <c r="U229" s="55"/>
      <c r="V229" s="9">
        <f t="shared" si="61"/>
        <v>66.67</v>
      </c>
      <c r="Y229" s="9">
        <f t="shared" si="62"/>
        <v>0</v>
      </c>
      <c r="AD229" s="4" t="s">
        <v>777</v>
      </c>
      <c r="AE229" s="4" t="s">
        <v>778</v>
      </c>
      <c r="AF229" s="4" t="s">
        <v>779</v>
      </c>
    </row>
    <row r="230" spans="1:35" ht="37.5" x14ac:dyDescent="0.25">
      <c r="A230" s="44" t="s">
        <v>780</v>
      </c>
      <c r="B230" s="44"/>
      <c r="C230" s="56" t="s">
        <v>776</v>
      </c>
      <c r="D230" s="46"/>
      <c r="E230" s="46"/>
      <c r="F230" s="57" t="s">
        <v>81</v>
      </c>
      <c r="G230" s="58">
        <v>0.15</v>
      </c>
      <c r="H230" s="46"/>
      <c r="I230" s="63">
        <v>39.090000000000003</v>
      </c>
      <c r="J230" s="59">
        <v>80</v>
      </c>
      <c r="K230" s="60"/>
      <c r="L230" s="60"/>
      <c r="M230" s="59">
        <f t="shared" si="59"/>
        <v>3127.2</v>
      </c>
      <c r="N230" s="60"/>
      <c r="O230" s="60"/>
      <c r="P230" s="59">
        <v>80</v>
      </c>
      <c r="Q230" s="60"/>
      <c r="R230" s="60"/>
      <c r="S230" s="59">
        <f t="shared" si="60"/>
        <v>3127.2</v>
      </c>
      <c r="T230" s="60"/>
      <c r="U230" s="61"/>
      <c r="V230" s="9">
        <f t="shared" si="61"/>
        <v>66.67</v>
      </c>
      <c r="Y230" s="9">
        <f t="shared" si="62"/>
        <v>2606</v>
      </c>
      <c r="AD230" s="4" t="s">
        <v>781</v>
      </c>
      <c r="AE230" s="4" t="s">
        <v>778</v>
      </c>
      <c r="AF230" s="4" t="s">
        <v>779</v>
      </c>
    </row>
    <row r="231" spans="1:35" ht="56.25" x14ac:dyDescent="0.25">
      <c r="A231" s="38" t="s">
        <v>782</v>
      </c>
      <c r="B231" s="38"/>
      <c r="C231" s="49" t="s">
        <v>751</v>
      </c>
      <c r="D231" s="40"/>
      <c r="E231" s="40" t="s">
        <v>709</v>
      </c>
      <c r="F231" s="50" t="s">
        <v>81</v>
      </c>
      <c r="G231" s="51">
        <v>1</v>
      </c>
      <c r="H231" s="40"/>
      <c r="I231" s="62">
        <v>0</v>
      </c>
      <c r="J231" s="53">
        <v>7.59</v>
      </c>
      <c r="K231" s="54"/>
      <c r="L231" s="54"/>
      <c r="M231" s="53">
        <f t="shared" si="59"/>
        <v>0</v>
      </c>
      <c r="N231" s="54"/>
      <c r="O231" s="54"/>
      <c r="P231" s="53">
        <v>8.35</v>
      </c>
      <c r="Q231" s="54"/>
      <c r="R231" s="54"/>
      <c r="S231" s="53">
        <f t="shared" si="60"/>
        <v>0</v>
      </c>
      <c r="T231" s="54"/>
      <c r="U231" s="55"/>
      <c r="V231" s="9">
        <f t="shared" si="61"/>
        <v>6.96</v>
      </c>
      <c r="Y231" s="9">
        <f t="shared" si="62"/>
        <v>0</v>
      </c>
      <c r="AD231" s="4" t="s">
        <v>783</v>
      </c>
      <c r="AE231" s="4" t="s">
        <v>784</v>
      </c>
      <c r="AF231" s="4" t="s">
        <v>754</v>
      </c>
    </row>
    <row r="232" spans="1:35" ht="56.25" x14ac:dyDescent="0.25">
      <c r="A232" s="44" t="s">
        <v>785</v>
      </c>
      <c r="B232" s="44"/>
      <c r="C232" s="56" t="s">
        <v>751</v>
      </c>
      <c r="D232" s="46"/>
      <c r="E232" s="46" t="s">
        <v>709</v>
      </c>
      <c r="F232" s="57" t="s">
        <v>81</v>
      </c>
      <c r="G232" s="58">
        <v>1</v>
      </c>
      <c r="H232" s="46"/>
      <c r="I232" s="63">
        <v>5212</v>
      </c>
      <c r="J232" s="59">
        <v>7.59</v>
      </c>
      <c r="K232" s="60"/>
      <c r="L232" s="60"/>
      <c r="M232" s="59">
        <f t="shared" si="59"/>
        <v>39559.08</v>
      </c>
      <c r="N232" s="60"/>
      <c r="O232" s="60"/>
      <c r="P232" s="59">
        <v>8.35</v>
      </c>
      <c r="Q232" s="60"/>
      <c r="R232" s="60"/>
      <c r="S232" s="59">
        <f t="shared" si="60"/>
        <v>43520.2</v>
      </c>
      <c r="T232" s="60"/>
      <c r="U232" s="61"/>
      <c r="V232" s="9">
        <f t="shared" si="61"/>
        <v>6.96</v>
      </c>
      <c r="Y232" s="9">
        <f t="shared" si="62"/>
        <v>36266.83</v>
      </c>
      <c r="AD232" s="4" t="s">
        <v>786</v>
      </c>
      <c r="AE232" s="4" t="s">
        <v>784</v>
      </c>
      <c r="AF232" s="4" t="s">
        <v>754</v>
      </c>
    </row>
    <row r="233" spans="1:35" ht="56.25" x14ac:dyDescent="0.25">
      <c r="A233" s="38" t="s">
        <v>787</v>
      </c>
      <c r="B233" s="38" t="s">
        <v>689</v>
      </c>
      <c r="C233" s="39" t="s">
        <v>690</v>
      </c>
      <c r="D233" s="40"/>
      <c r="E233" s="40" t="s">
        <v>788</v>
      </c>
      <c r="F233" s="40" t="s">
        <v>56</v>
      </c>
      <c r="G233" s="41">
        <v>1</v>
      </c>
      <c r="H233" s="40"/>
      <c r="I233" s="42">
        <v>0</v>
      </c>
      <c r="J233" s="43">
        <f>IFERROR(ROUND(SUM(M235,M237,M239,M241)/I233, 2),0)</f>
        <v>0</v>
      </c>
      <c r="K233" s="43">
        <v>826</v>
      </c>
      <c r="L233" s="43">
        <f>J233+ROUND(K233, 2)</f>
        <v>826</v>
      </c>
      <c r="M233" s="43">
        <f>ROUND(J233*I233, 2)</f>
        <v>0</v>
      </c>
      <c r="N233" s="43">
        <f>ROUND(I233*ROUND(K233, 2), 2)</f>
        <v>0</v>
      </c>
      <c r="O233" s="43">
        <f>M233+N233</f>
        <v>0</v>
      </c>
      <c r="P233" s="43">
        <f>IFERROR(ROUND(SUM(S235,S237,S239,S241)/I233, 2),0)</f>
        <v>0</v>
      </c>
      <c r="Q233" s="43">
        <v>826</v>
      </c>
      <c r="R233" s="43">
        <f>P233+ROUND(Q233, 2)</f>
        <v>826</v>
      </c>
      <c r="S233" s="43">
        <f>ROUND(P233*I233, 2)</f>
        <v>0</v>
      </c>
      <c r="T233" s="43">
        <f>ROUND(I233*ROUND(Q233, 2), 2)</f>
        <v>0</v>
      </c>
      <c r="U233" s="43">
        <f>S233+T233</f>
        <v>0</v>
      </c>
      <c r="V233" s="9">
        <f>ROUND(P233 / 1.2, 2)</f>
        <v>0</v>
      </c>
      <c r="W233" s="9">
        <f>ROUND(Q233 / 1.2, 2)</f>
        <v>688.33</v>
      </c>
      <c r="X233" s="9">
        <f>ROUND(R233 / 1.2, 2)</f>
        <v>688.33</v>
      </c>
      <c r="Y233" s="9">
        <f t="shared" si="62"/>
        <v>0</v>
      </c>
      <c r="Z233" s="9">
        <f>ROUND(T233 / 1.2, 2)</f>
        <v>0</v>
      </c>
      <c r="AA233" s="9">
        <f>Y233+Z233</f>
        <v>0</v>
      </c>
      <c r="AD233" s="4">
        <v>264030376</v>
      </c>
      <c r="AE233" s="4">
        <v>16086783</v>
      </c>
      <c r="AG233" s="4" t="s">
        <v>692</v>
      </c>
      <c r="AH233" s="4" t="s">
        <v>693</v>
      </c>
      <c r="AI233" s="4" t="s">
        <v>249</v>
      </c>
    </row>
    <row r="234" spans="1:35" ht="56.25" x14ac:dyDescent="0.25">
      <c r="A234" s="44" t="s">
        <v>789</v>
      </c>
      <c r="B234" s="44" t="s">
        <v>689</v>
      </c>
      <c r="C234" s="45" t="s">
        <v>690</v>
      </c>
      <c r="D234" s="46"/>
      <c r="E234" s="46" t="s">
        <v>788</v>
      </c>
      <c r="F234" s="46" t="s">
        <v>56</v>
      </c>
      <c r="G234" s="47">
        <v>1</v>
      </c>
      <c r="H234" s="46"/>
      <c r="I234" s="47">
        <v>36.700000000000003</v>
      </c>
      <c r="J234" s="48">
        <v>0</v>
      </c>
      <c r="K234" s="48">
        <v>826</v>
      </c>
      <c r="L234" s="48"/>
      <c r="M234" s="48">
        <v>0</v>
      </c>
      <c r="N234" s="48"/>
      <c r="O234" s="48"/>
      <c r="P234" s="48">
        <v>0</v>
      </c>
      <c r="Q234" s="48">
        <v>826</v>
      </c>
      <c r="R234" s="48"/>
      <c r="S234" s="48">
        <v>0</v>
      </c>
      <c r="T234" s="48"/>
      <c r="U234" s="48"/>
      <c r="V234" s="9"/>
      <c r="W234" s="9">
        <f>ROUND(Q234 / 1.2, 2)</f>
        <v>688.33</v>
      </c>
      <c r="X234" s="9" t="e">
        <f>ROUND(R234 / 1.2, 2)</f>
        <v>#VALUE!</v>
      </c>
      <c r="Y234" s="9"/>
      <c r="Z234" s="9" t="e">
        <f>ROUND(T234 / 1.2, 2)</f>
        <v>#VALUE!</v>
      </c>
      <c r="AA234" s="9"/>
      <c r="AD234" s="4">
        <v>204408628</v>
      </c>
      <c r="AE234" s="4">
        <v>16086783</v>
      </c>
      <c r="AG234" s="4" t="s">
        <v>692</v>
      </c>
      <c r="AH234" s="4" t="s">
        <v>693</v>
      </c>
      <c r="AI234" s="4"/>
    </row>
    <row r="235" spans="1:35" ht="37.5" x14ac:dyDescent="0.25">
      <c r="A235" s="38" t="s">
        <v>790</v>
      </c>
      <c r="B235" s="38"/>
      <c r="C235" s="49" t="s">
        <v>696</v>
      </c>
      <c r="D235" s="40"/>
      <c r="E235" s="40"/>
      <c r="F235" s="50" t="s">
        <v>56</v>
      </c>
      <c r="G235" s="51">
        <v>1.1000000000000001</v>
      </c>
      <c r="H235" s="40"/>
      <c r="I235" s="52">
        <v>0</v>
      </c>
      <c r="J235" s="53">
        <v>27.55</v>
      </c>
      <c r="K235" s="54"/>
      <c r="L235" s="54"/>
      <c r="M235" s="53">
        <f t="shared" ref="M235:M242" si="63">ROUND(ROUND(J235, 2)*I235, 2)</f>
        <v>0</v>
      </c>
      <c r="N235" s="54"/>
      <c r="O235" s="54"/>
      <c r="P235" s="53">
        <v>27.55</v>
      </c>
      <c r="Q235" s="54"/>
      <c r="R235" s="54"/>
      <c r="S235" s="53">
        <f t="shared" ref="S235:S242" si="64">ROUND(ROUND(P235, 2)*I235, 2)</f>
        <v>0</v>
      </c>
      <c r="T235" s="54"/>
      <c r="U235" s="55"/>
      <c r="V235" s="9">
        <f t="shared" ref="V235:V242" si="65">ROUND(ROUND(P235, 2)/1.2, 2)</f>
        <v>22.96</v>
      </c>
      <c r="Y235" s="9">
        <f t="shared" ref="Y235:Y243" si="66">ROUND(S235 / 1.2, 2)</f>
        <v>0</v>
      </c>
      <c r="AD235" s="4" t="s">
        <v>791</v>
      </c>
      <c r="AE235" s="4" t="s">
        <v>792</v>
      </c>
      <c r="AF235" s="4" t="s">
        <v>699</v>
      </c>
    </row>
    <row r="236" spans="1:35" ht="37.5" x14ac:dyDescent="0.25">
      <c r="A236" s="44" t="s">
        <v>793</v>
      </c>
      <c r="B236" s="44"/>
      <c r="C236" s="56" t="s">
        <v>696</v>
      </c>
      <c r="D236" s="46"/>
      <c r="E236" s="46"/>
      <c r="F236" s="57" t="s">
        <v>56</v>
      </c>
      <c r="G236" s="58">
        <v>1.1000000000000001</v>
      </c>
      <c r="H236" s="46"/>
      <c r="I236" s="58">
        <v>40.369999999999997</v>
      </c>
      <c r="J236" s="59">
        <v>27.55</v>
      </c>
      <c r="K236" s="60"/>
      <c r="L236" s="60"/>
      <c r="M236" s="59">
        <f t="shared" si="63"/>
        <v>1112.19</v>
      </c>
      <c r="N236" s="60"/>
      <c r="O236" s="60"/>
      <c r="P236" s="59">
        <v>27.55</v>
      </c>
      <c r="Q236" s="60"/>
      <c r="R236" s="60"/>
      <c r="S236" s="59">
        <f t="shared" si="64"/>
        <v>1112.19</v>
      </c>
      <c r="T236" s="60"/>
      <c r="U236" s="61"/>
      <c r="V236" s="9">
        <f t="shared" si="65"/>
        <v>22.96</v>
      </c>
      <c r="Y236" s="9">
        <f t="shared" si="66"/>
        <v>926.83</v>
      </c>
      <c r="AD236" s="4" t="s">
        <v>794</v>
      </c>
      <c r="AE236" s="4" t="s">
        <v>792</v>
      </c>
      <c r="AF236" s="4" t="s">
        <v>699</v>
      </c>
    </row>
    <row r="237" spans="1:35" ht="18.75" x14ac:dyDescent="0.25">
      <c r="A237" s="38" t="s">
        <v>795</v>
      </c>
      <c r="B237" s="38"/>
      <c r="C237" s="49" t="s">
        <v>313</v>
      </c>
      <c r="D237" s="40"/>
      <c r="E237" s="40"/>
      <c r="F237" s="50" t="s">
        <v>81</v>
      </c>
      <c r="G237" s="51">
        <v>0.25</v>
      </c>
      <c r="H237" s="40"/>
      <c r="I237" s="52">
        <v>0</v>
      </c>
      <c r="J237" s="53">
        <v>100</v>
      </c>
      <c r="K237" s="54"/>
      <c r="L237" s="54"/>
      <c r="M237" s="53">
        <f t="shared" si="63"/>
        <v>0</v>
      </c>
      <c r="N237" s="54"/>
      <c r="O237" s="54"/>
      <c r="P237" s="53">
        <v>100</v>
      </c>
      <c r="Q237" s="54"/>
      <c r="R237" s="54"/>
      <c r="S237" s="53">
        <f t="shared" si="64"/>
        <v>0</v>
      </c>
      <c r="T237" s="54"/>
      <c r="U237" s="55"/>
      <c r="V237" s="9">
        <f t="shared" si="65"/>
        <v>83.33</v>
      </c>
      <c r="Y237" s="9">
        <f t="shared" si="66"/>
        <v>0</v>
      </c>
      <c r="AD237" s="4" t="s">
        <v>796</v>
      </c>
      <c r="AE237" s="4" t="s">
        <v>797</v>
      </c>
      <c r="AF237" s="4" t="s">
        <v>316</v>
      </c>
    </row>
    <row r="238" spans="1:35" ht="18.75" x14ac:dyDescent="0.25">
      <c r="A238" s="44" t="s">
        <v>798</v>
      </c>
      <c r="B238" s="44"/>
      <c r="C238" s="56" t="s">
        <v>313</v>
      </c>
      <c r="D238" s="46"/>
      <c r="E238" s="46"/>
      <c r="F238" s="57" t="s">
        <v>81</v>
      </c>
      <c r="G238" s="58">
        <v>0.25</v>
      </c>
      <c r="H238" s="46"/>
      <c r="I238" s="58">
        <v>9.1750000000000007</v>
      </c>
      <c r="J238" s="59">
        <v>100</v>
      </c>
      <c r="K238" s="60"/>
      <c r="L238" s="60"/>
      <c r="M238" s="59">
        <f t="shared" si="63"/>
        <v>917.5</v>
      </c>
      <c r="N238" s="60"/>
      <c r="O238" s="60"/>
      <c r="P238" s="59">
        <v>100</v>
      </c>
      <c r="Q238" s="60"/>
      <c r="R238" s="60"/>
      <c r="S238" s="59">
        <f t="shared" si="64"/>
        <v>917.5</v>
      </c>
      <c r="T238" s="60"/>
      <c r="U238" s="61"/>
      <c r="V238" s="9">
        <f t="shared" si="65"/>
        <v>83.33</v>
      </c>
      <c r="Y238" s="9">
        <f t="shared" si="66"/>
        <v>764.58</v>
      </c>
      <c r="AD238" s="4" t="s">
        <v>799</v>
      </c>
      <c r="AE238" s="4" t="s">
        <v>797</v>
      </c>
      <c r="AF238" s="4" t="s">
        <v>316</v>
      </c>
    </row>
    <row r="239" spans="1:35" ht="18.75" x14ac:dyDescent="0.25">
      <c r="A239" s="38" t="s">
        <v>800</v>
      </c>
      <c r="B239" s="38"/>
      <c r="C239" s="49" t="s">
        <v>708</v>
      </c>
      <c r="D239" s="40"/>
      <c r="E239" s="40" t="s">
        <v>709</v>
      </c>
      <c r="F239" s="50" t="s">
        <v>81</v>
      </c>
      <c r="G239" s="51">
        <v>1.8</v>
      </c>
      <c r="H239" s="40"/>
      <c r="I239" s="62">
        <v>0</v>
      </c>
      <c r="J239" s="53">
        <v>5.85</v>
      </c>
      <c r="K239" s="54"/>
      <c r="L239" s="54"/>
      <c r="M239" s="53">
        <f t="shared" si="63"/>
        <v>0</v>
      </c>
      <c r="N239" s="54"/>
      <c r="O239" s="54"/>
      <c r="P239" s="53">
        <v>5.85</v>
      </c>
      <c r="Q239" s="54"/>
      <c r="R239" s="54"/>
      <c r="S239" s="53">
        <f t="shared" si="64"/>
        <v>0</v>
      </c>
      <c r="T239" s="54"/>
      <c r="U239" s="55"/>
      <c r="V239" s="9">
        <f t="shared" si="65"/>
        <v>4.88</v>
      </c>
      <c r="Y239" s="9">
        <f t="shared" si="66"/>
        <v>0</v>
      </c>
      <c r="AD239" s="4" t="s">
        <v>801</v>
      </c>
      <c r="AE239" s="4" t="s">
        <v>802</v>
      </c>
      <c r="AF239" s="4" t="s">
        <v>712</v>
      </c>
    </row>
    <row r="240" spans="1:35" ht="18.75" x14ac:dyDescent="0.25">
      <c r="A240" s="44" t="s">
        <v>803</v>
      </c>
      <c r="B240" s="44"/>
      <c r="C240" s="56" t="s">
        <v>708</v>
      </c>
      <c r="D240" s="46"/>
      <c r="E240" s="46" t="s">
        <v>709</v>
      </c>
      <c r="F240" s="57" t="s">
        <v>81</v>
      </c>
      <c r="G240" s="58">
        <v>1.8</v>
      </c>
      <c r="H240" s="46"/>
      <c r="I240" s="63">
        <v>1321.2</v>
      </c>
      <c r="J240" s="59">
        <v>5.85</v>
      </c>
      <c r="K240" s="60"/>
      <c r="L240" s="60"/>
      <c r="M240" s="59">
        <f t="shared" si="63"/>
        <v>7729.02</v>
      </c>
      <c r="N240" s="60"/>
      <c r="O240" s="60"/>
      <c r="P240" s="59">
        <v>5.85</v>
      </c>
      <c r="Q240" s="60"/>
      <c r="R240" s="60"/>
      <c r="S240" s="59">
        <f t="shared" si="64"/>
        <v>7729.02</v>
      </c>
      <c r="T240" s="60"/>
      <c r="U240" s="61"/>
      <c r="V240" s="9">
        <f t="shared" si="65"/>
        <v>4.88</v>
      </c>
      <c r="Y240" s="9">
        <f t="shared" si="66"/>
        <v>6440.85</v>
      </c>
      <c r="AD240" s="4" t="s">
        <v>804</v>
      </c>
      <c r="AE240" s="4" t="s">
        <v>802</v>
      </c>
      <c r="AF240" s="4" t="s">
        <v>712</v>
      </c>
    </row>
    <row r="241" spans="1:35" ht="18.75" x14ac:dyDescent="0.25">
      <c r="A241" s="38" t="s">
        <v>805</v>
      </c>
      <c r="B241" s="38"/>
      <c r="C241" s="49" t="s">
        <v>716</v>
      </c>
      <c r="D241" s="40"/>
      <c r="E241" s="40"/>
      <c r="F241" s="50" t="s">
        <v>123</v>
      </c>
      <c r="G241" s="51">
        <v>1.1000000000000001</v>
      </c>
      <c r="H241" s="40"/>
      <c r="I241" s="62">
        <v>0</v>
      </c>
      <c r="J241" s="53">
        <v>18.34</v>
      </c>
      <c r="K241" s="54"/>
      <c r="L241" s="54"/>
      <c r="M241" s="53">
        <f t="shared" si="63"/>
        <v>0</v>
      </c>
      <c r="N241" s="54"/>
      <c r="O241" s="54"/>
      <c r="P241" s="53">
        <v>18.34</v>
      </c>
      <c r="Q241" s="54"/>
      <c r="R241" s="54"/>
      <c r="S241" s="53">
        <f t="shared" si="64"/>
        <v>0</v>
      </c>
      <c r="T241" s="54"/>
      <c r="U241" s="55"/>
      <c r="V241" s="9">
        <f t="shared" si="65"/>
        <v>15.28</v>
      </c>
      <c r="Y241" s="9">
        <f t="shared" si="66"/>
        <v>0</v>
      </c>
      <c r="AD241" s="4" t="s">
        <v>806</v>
      </c>
      <c r="AE241" s="4" t="s">
        <v>807</v>
      </c>
      <c r="AF241" s="4" t="s">
        <v>719</v>
      </c>
    </row>
    <row r="242" spans="1:35" ht="18.75" x14ac:dyDescent="0.25">
      <c r="A242" s="44" t="s">
        <v>808</v>
      </c>
      <c r="B242" s="44"/>
      <c r="C242" s="56" t="s">
        <v>716</v>
      </c>
      <c r="D242" s="46"/>
      <c r="E242" s="46"/>
      <c r="F242" s="57" t="s">
        <v>123</v>
      </c>
      <c r="G242" s="58">
        <v>1.1000000000000001</v>
      </c>
      <c r="H242" s="46"/>
      <c r="I242" s="63">
        <v>40.369999999999997</v>
      </c>
      <c r="J242" s="59">
        <v>18.34</v>
      </c>
      <c r="K242" s="60"/>
      <c r="L242" s="60"/>
      <c r="M242" s="59">
        <f t="shared" si="63"/>
        <v>740.39</v>
      </c>
      <c r="N242" s="60"/>
      <c r="O242" s="60"/>
      <c r="P242" s="59">
        <v>18.34</v>
      </c>
      <c r="Q242" s="60"/>
      <c r="R242" s="60"/>
      <c r="S242" s="59">
        <f t="shared" si="64"/>
        <v>740.39</v>
      </c>
      <c r="T242" s="60"/>
      <c r="U242" s="61"/>
      <c r="V242" s="9">
        <f t="shared" si="65"/>
        <v>15.28</v>
      </c>
      <c r="Y242" s="9">
        <f t="shared" si="66"/>
        <v>616.99</v>
      </c>
      <c r="AD242" s="4" t="s">
        <v>809</v>
      </c>
      <c r="AE242" s="4" t="s">
        <v>807</v>
      </c>
      <c r="AF242" s="4" t="s">
        <v>719</v>
      </c>
    </row>
    <row r="243" spans="1:35" ht="56.25" x14ac:dyDescent="0.25">
      <c r="A243" s="38" t="s">
        <v>810</v>
      </c>
      <c r="B243" s="38" t="s">
        <v>689</v>
      </c>
      <c r="C243" s="39" t="s">
        <v>690</v>
      </c>
      <c r="D243" s="40"/>
      <c r="E243" s="40" t="s">
        <v>811</v>
      </c>
      <c r="F243" s="40" t="s">
        <v>56</v>
      </c>
      <c r="G243" s="41">
        <v>1</v>
      </c>
      <c r="H243" s="40"/>
      <c r="I243" s="42">
        <v>0</v>
      </c>
      <c r="J243" s="43">
        <f>IFERROR(ROUND(SUM(M245,M247,M249,M251)/I243, 2),0)</f>
        <v>0</v>
      </c>
      <c r="K243" s="43">
        <v>826</v>
      </c>
      <c r="L243" s="43">
        <f>J243+ROUND(K243, 2)</f>
        <v>826</v>
      </c>
      <c r="M243" s="43">
        <f>ROUND(J243*I243, 2)</f>
        <v>0</v>
      </c>
      <c r="N243" s="43">
        <f>ROUND(I243*ROUND(K243, 2), 2)</f>
        <v>0</v>
      </c>
      <c r="O243" s="43">
        <f>M243+N243</f>
        <v>0</v>
      </c>
      <c r="P243" s="43">
        <f>IFERROR(ROUND(SUM(S245,S247,S249,S251)/I243, 2),0)</f>
        <v>0</v>
      </c>
      <c r="Q243" s="43">
        <v>826</v>
      </c>
      <c r="R243" s="43">
        <f>P243+ROUND(Q243, 2)</f>
        <v>826</v>
      </c>
      <c r="S243" s="43">
        <f>ROUND(P243*I243, 2)</f>
        <v>0</v>
      </c>
      <c r="T243" s="43">
        <f>ROUND(I243*ROUND(Q243, 2), 2)</f>
        <v>0</v>
      </c>
      <c r="U243" s="43">
        <f>S243+T243</f>
        <v>0</v>
      </c>
      <c r="V243" s="9">
        <f>ROUND(P243 / 1.2, 2)</f>
        <v>0</v>
      </c>
      <c r="W243" s="9">
        <f>ROUND(Q243 / 1.2, 2)</f>
        <v>688.33</v>
      </c>
      <c r="X243" s="9">
        <f>ROUND(R243 / 1.2, 2)</f>
        <v>688.33</v>
      </c>
      <c r="Y243" s="9">
        <f t="shared" si="66"/>
        <v>0</v>
      </c>
      <c r="Z243" s="9">
        <f>ROUND(T243 / 1.2, 2)</f>
        <v>0</v>
      </c>
      <c r="AA243" s="9">
        <f>Y243+Z243</f>
        <v>0</v>
      </c>
      <c r="AD243" s="4">
        <v>264030377</v>
      </c>
      <c r="AE243" s="4">
        <v>16086782</v>
      </c>
      <c r="AG243" s="4" t="s">
        <v>692</v>
      </c>
      <c r="AH243" s="4" t="s">
        <v>693</v>
      </c>
      <c r="AI243" s="4" t="s">
        <v>249</v>
      </c>
    </row>
    <row r="244" spans="1:35" ht="56.25" x14ac:dyDescent="0.25">
      <c r="A244" s="44" t="s">
        <v>812</v>
      </c>
      <c r="B244" s="44" t="s">
        <v>689</v>
      </c>
      <c r="C244" s="45" t="s">
        <v>690</v>
      </c>
      <c r="D244" s="46"/>
      <c r="E244" s="46" t="s">
        <v>811</v>
      </c>
      <c r="F244" s="46" t="s">
        <v>56</v>
      </c>
      <c r="G244" s="47">
        <v>1</v>
      </c>
      <c r="H244" s="46"/>
      <c r="I244" s="47">
        <v>144.4</v>
      </c>
      <c r="J244" s="48">
        <v>0</v>
      </c>
      <c r="K244" s="48">
        <v>826</v>
      </c>
      <c r="L244" s="48"/>
      <c r="M244" s="48">
        <v>0</v>
      </c>
      <c r="N244" s="48"/>
      <c r="O244" s="48"/>
      <c r="P244" s="48">
        <v>0</v>
      </c>
      <c r="Q244" s="48">
        <v>826</v>
      </c>
      <c r="R244" s="48"/>
      <c r="S244" s="48">
        <v>0</v>
      </c>
      <c r="T244" s="48"/>
      <c r="U244" s="48"/>
      <c r="V244" s="9"/>
      <c r="W244" s="9">
        <f>ROUND(Q244 / 1.2, 2)</f>
        <v>688.33</v>
      </c>
      <c r="X244" s="9" t="e">
        <f>ROUND(R244 / 1.2, 2)</f>
        <v>#VALUE!</v>
      </c>
      <c r="Y244" s="9"/>
      <c r="Z244" s="9" t="e">
        <f>ROUND(T244 / 1.2, 2)</f>
        <v>#VALUE!</v>
      </c>
      <c r="AA244" s="9"/>
      <c r="AD244" s="4">
        <v>204408629</v>
      </c>
      <c r="AE244" s="4">
        <v>16086782</v>
      </c>
      <c r="AG244" s="4" t="s">
        <v>692</v>
      </c>
      <c r="AH244" s="4" t="s">
        <v>693</v>
      </c>
      <c r="AI244" s="4"/>
    </row>
    <row r="245" spans="1:35" ht="18.75" x14ac:dyDescent="0.25">
      <c r="A245" s="38" t="s">
        <v>813</v>
      </c>
      <c r="B245" s="38"/>
      <c r="C245" s="49" t="s">
        <v>716</v>
      </c>
      <c r="D245" s="40"/>
      <c r="E245" s="40"/>
      <c r="F245" s="50" t="s">
        <v>123</v>
      </c>
      <c r="G245" s="51">
        <v>1.1000000000000001</v>
      </c>
      <c r="H245" s="40"/>
      <c r="I245" s="62">
        <v>0</v>
      </c>
      <c r="J245" s="53">
        <v>18.34</v>
      </c>
      <c r="K245" s="54"/>
      <c r="L245" s="54"/>
      <c r="M245" s="53">
        <f t="shared" ref="M245:M252" si="67">ROUND(ROUND(J245, 2)*I245, 2)</f>
        <v>0</v>
      </c>
      <c r="N245" s="54"/>
      <c r="O245" s="54"/>
      <c r="P245" s="53">
        <v>18.34</v>
      </c>
      <c r="Q245" s="54"/>
      <c r="R245" s="54"/>
      <c r="S245" s="53">
        <f t="shared" ref="S245:S252" si="68">ROUND(ROUND(P245, 2)*I245, 2)</f>
        <v>0</v>
      </c>
      <c r="T245" s="54"/>
      <c r="U245" s="55"/>
      <c r="V245" s="9">
        <f t="shared" ref="V245:V252" si="69">ROUND(ROUND(P245, 2)/1.2, 2)</f>
        <v>15.28</v>
      </c>
      <c r="Y245" s="9">
        <f t="shared" ref="Y245:Y253" si="70">ROUND(S245 / 1.2, 2)</f>
        <v>0</v>
      </c>
      <c r="AD245" s="4" t="s">
        <v>814</v>
      </c>
      <c r="AE245" s="4" t="s">
        <v>815</v>
      </c>
      <c r="AF245" s="4" t="s">
        <v>719</v>
      </c>
    </row>
    <row r="246" spans="1:35" ht="18.75" x14ac:dyDescent="0.25">
      <c r="A246" s="44" t="s">
        <v>816</v>
      </c>
      <c r="B246" s="44"/>
      <c r="C246" s="56" t="s">
        <v>716</v>
      </c>
      <c r="D246" s="46"/>
      <c r="E246" s="46"/>
      <c r="F246" s="57" t="s">
        <v>123</v>
      </c>
      <c r="G246" s="58">
        <v>1.1000000000000001</v>
      </c>
      <c r="H246" s="46"/>
      <c r="I246" s="63">
        <v>158.84</v>
      </c>
      <c r="J246" s="59">
        <v>18.34</v>
      </c>
      <c r="K246" s="60"/>
      <c r="L246" s="60"/>
      <c r="M246" s="59">
        <f t="shared" si="67"/>
        <v>2913.13</v>
      </c>
      <c r="N246" s="60"/>
      <c r="O246" s="60"/>
      <c r="P246" s="59">
        <v>18.34</v>
      </c>
      <c r="Q246" s="60"/>
      <c r="R246" s="60"/>
      <c r="S246" s="59">
        <f t="shared" si="68"/>
        <v>2913.13</v>
      </c>
      <c r="T246" s="60"/>
      <c r="U246" s="61"/>
      <c r="V246" s="9">
        <f t="shared" si="69"/>
        <v>15.28</v>
      </c>
      <c r="Y246" s="9">
        <f t="shared" si="70"/>
        <v>2427.61</v>
      </c>
      <c r="AD246" s="4" t="s">
        <v>817</v>
      </c>
      <c r="AE246" s="4" t="s">
        <v>815</v>
      </c>
      <c r="AF246" s="4" t="s">
        <v>719</v>
      </c>
    </row>
    <row r="247" spans="1:35" ht="18.75" x14ac:dyDescent="0.25">
      <c r="A247" s="38" t="s">
        <v>818</v>
      </c>
      <c r="B247" s="38"/>
      <c r="C247" s="49" t="s">
        <v>708</v>
      </c>
      <c r="D247" s="40"/>
      <c r="E247" s="40" t="s">
        <v>709</v>
      </c>
      <c r="F247" s="50" t="s">
        <v>81</v>
      </c>
      <c r="G247" s="51">
        <v>1.8</v>
      </c>
      <c r="H247" s="40"/>
      <c r="I247" s="62">
        <v>0</v>
      </c>
      <c r="J247" s="53">
        <v>5.85</v>
      </c>
      <c r="K247" s="54"/>
      <c r="L247" s="54"/>
      <c r="M247" s="53">
        <f t="shared" si="67"/>
        <v>0</v>
      </c>
      <c r="N247" s="54"/>
      <c r="O247" s="54"/>
      <c r="P247" s="53">
        <v>5.85</v>
      </c>
      <c r="Q247" s="54"/>
      <c r="R247" s="54"/>
      <c r="S247" s="53">
        <f t="shared" si="68"/>
        <v>0</v>
      </c>
      <c r="T247" s="54"/>
      <c r="U247" s="55"/>
      <c r="V247" s="9">
        <f t="shared" si="69"/>
        <v>4.88</v>
      </c>
      <c r="Y247" s="9">
        <f t="shared" si="70"/>
        <v>0</v>
      </c>
      <c r="AD247" s="4" t="s">
        <v>819</v>
      </c>
      <c r="AE247" s="4" t="s">
        <v>820</v>
      </c>
      <c r="AF247" s="4" t="s">
        <v>712</v>
      </c>
    </row>
    <row r="248" spans="1:35" ht="18.75" x14ac:dyDescent="0.25">
      <c r="A248" s="44" t="s">
        <v>821</v>
      </c>
      <c r="B248" s="44"/>
      <c r="C248" s="56" t="s">
        <v>708</v>
      </c>
      <c r="D248" s="46"/>
      <c r="E248" s="46" t="s">
        <v>709</v>
      </c>
      <c r="F248" s="57" t="s">
        <v>81</v>
      </c>
      <c r="G248" s="58">
        <v>1.8</v>
      </c>
      <c r="H248" s="46"/>
      <c r="I248" s="63">
        <v>5198.3999999999996</v>
      </c>
      <c r="J248" s="59">
        <v>5.85</v>
      </c>
      <c r="K248" s="60"/>
      <c r="L248" s="60"/>
      <c r="M248" s="59">
        <f t="shared" si="67"/>
        <v>30410.639999999999</v>
      </c>
      <c r="N248" s="60"/>
      <c r="O248" s="60"/>
      <c r="P248" s="59">
        <v>5.85</v>
      </c>
      <c r="Q248" s="60"/>
      <c r="R248" s="60"/>
      <c r="S248" s="59">
        <f t="shared" si="68"/>
        <v>30410.639999999999</v>
      </c>
      <c r="T248" s="60"/>
      <c r="U248" s="61"/>
      <c r="V248" s="9">
        <f t="shared" si="69"/>
        <v>4.88</v>
      </c>
      <c r="Y248" s="9">
        <f t="shared" si="70"/>
        <v>25342.2</v>
      </c>
      <c r="AD248" s="4" t="s">
        <v>822</v>
      </c>
      <c r="AE248" s="4" t="s">
        <v>820</v>
      </c>
      <c r="AF248" s="4" t="s">
        <v>712</v>
      </c>
    </row>
    <row r="249" spans="1:35" ht="37.5" x14ac:dyDescent="0.25">
      <c r="A249" s="38" t="s">
        <v>823</v>
      </c>
      <c r="B249" s="38"/>
      <c r="C249" s="49" t="s">
        <v>776</v>
      </c>
      <c r="D249" s="40"/>
      <c r="E249" s="40"/>
      <c r="F249" s="50" t="s">
        <v>81</v>
      </c>
      <c r="G249" s="51">
        <v>0.15</v>
      </c>
      <c r="H249" s="40"/>
      <c r="I249" s="62">
        <v>0</v>
      </c>
      <c r="J249" s="53">
        <v>80</v>
      </c>
      <c r="K249" s="54"/>
      <c r="L249" s="54"/>
      <c r="M249" s="53">
        <f t="shared" si="67"/>
        <v>0</v>
      </c>
      <c r="N249" s="54"/>
      <c r="O249" s="54"/>
      <c r="P249" s="53">
        <v>80</v>
      </c>
      <c r="Q249" s="54"/>
      <c r="R249" s="54"/>
      <c r="S249" s="53">
        <f t="shared" si="68"/>
        <v>0</v>
      </c>
      <c r="T249" s="54"/>
      <c r="U249" s="55"/>
      <c r="V249" s="9">
        <f t="shared" si="69"/>
        <v>66.67</v>
      </c>
      <c r="Y249" s="9">
        <f t="shared" si="70"/>
        <v>0</v>
      </c>
      <c r="AD249" s="4" t="s">
        <v>824</v>
      </c>
      <c r="AE249" s="4" t="s">
        <v>825</v>
      </c>
      <c r="AF249" s="4" t="s">
        <v>779</v>
      </c>
    </row>
    <row r="250" spans="1:35" ht="37.5" x14ac:dyDescent="0.25">
      <c r="A250" s="44" t="s">
        <v>826</v>
      </c>
      <c r="B250" s="44"/>
      <c r="C250" s="56" t="s">
        <v>776</v>
      </c>
      <c r="D250" s="46"/>
      <c r="E250" s="46"/>
      <c r="F250" s="57" t="s">
        <v>81</v>
      </c>
      <c r="G250" s="58">
        <v>0.15</v>
      </c>
      <c r="H250" s="46"/>
      <c r="I250" s="63">
        <v>21.66</v>
      </c>
      <c r="J250" s="59">
        <v>80</v>
      </c>
      <c r="K250" s="60"/>
      <c r="L250" s="60"/>
      <c r="M250" s="59">
        <f t="shared" si="67"/>
        <v>1732.8</v>
      </c>
      <c r="N250" s="60"/>
      <c r="O250" s="60"/>
      <c r="P250" s="59">
        <v>80</v>
      </c>
      <c r="Q250" s="60"/>
      <c r="R250" s="60"/>
      <c r="S250" s="59">
        <f t="shared" si="68"/>
        <v>1732.8</v>
      </c>
      <c r="T250" s="60"/>
      <c r="U250" s="61"/>
      <c r="V250" s="9">
        <f t="shared" si="69"/>
        <v>66.67</v>
      </c>
      <c r="Y250" s="9">
        <f t="shared" si="70"/>
        <v>1444</v>
      </c>
      <c r="AD250" s="4" t="s">
        <v>827</v>
      </c>
      <c r="AE250" s="4" t="s">
        <v>825</v>
      </c>
      <c r="AF250" s="4" t="s">
        <v>779</v>
      </c>
    </row>
    <row r="251" spans="1:35" ht="37.5" x14ac:dyDescent="0.25">
      <c r="A251" s="38" t="s">
        <v>828</v>
      </c>
      <c r="B251" s="38"/>
      <c r="C251" s="49" t="s">
        <v>696</v>
      </c>
      <c r="D251" s="40"/>
      <c r="E251" s="40"/>
      <c r="F251" s="50" t="s">
        <v>56</v>
      </c>
      <c r="G251" s="51">
        <v>1.1000000000000001</v>
      </c>
      <c r="H251" s="40"/>
      <c r="I251" s="52">
        <v>0</v>
      </c>
      <c r="J251" s="53">
        <v>27.55</v>
      </c>
      <c r="K251" s="54"/>
      <c r="L251" s="54"/>
      <c r="M251" s="53">
        <f t="shared" si="67"/>
        <v>0</v>
      </c>
      <c r="N251" s="54"/>
      <c r="O251" s="54"/>
      <c r="P251" s="53">
        <v>27.55</v>
      </c>
      <c r="Q251" s="54"/>
      <c r="R251" s="54"/>
      <c r="S251" s="53">
        <f t="shared" si="68"/>
        <v>0</v>
      </c>
      <c r="T251" s="54"/>
      <c r="U251" s="55"/>
      <c r="V251" s="9">
        <f t="shared" si="69"/>
        <v>22.96</v>
      </c>
      <c r="Y251" s="9">
        <f t="shared" si="70"/>
        <v>0</v>
      </c>
      <c r="AD251" s="4" t="s">
        <v>829</v>
      </c>
      <c r="AE251" s="4" t="s">
        <v>830</v>
      </c>
      <c r="AF251" s="4" t="s">
        <v>699</v>
      </c>
    </row>
    <row r="252" spans="1:35" ht="37.5" x14ac:dyDescent="0.25">
      <c r="A252" s="44" t="s">
        <v>831</v>
      </c>
      <c r="B252" s="44"/>
      <c r="C252" s="56" t="s">
        <v>696</v>
      </c>
      <c r="D252" s="46"/>
      <c r="E252" s="46"/>
      <c r="F252" s="57" t="s">
        <v>56</v>
      </c>
      <c r="G252" s="58">
        <v>1.1000000000000001</v>
      </c>
      <c r="H252" s="46"/>
      <c r="I252" s="58">
        <v>158.84</v>
      </c>
      <c r="J252" s="59">
        <v>27.55</v>
      </c>
      <c r="K252" s="60"/>
      <c r="L252" s="60"/>
      <c r="M252" s="59">
        <f t="shared" si="67"/>
        <v>4376.04</v>
      </c>
      <c r="N252" s="60"/>
      <c r="O252" s="60"/>
      <c r="P252" s="59">
        <v>27.55</v>
      </c>
      <c r="Q252" s="60"/>
      <c r="R252" s="60"/>
      <c r="S252" s="59">
        <f t="shared" si="68"/>
        <v>4376.04</v>
      </c>
      <c r="T252" s="60"/>
      <c r="U252" s="61"/>
      <c r="V252" s="9">
        <f t="shared" si="69"/>
        <v>22.96</v>
      </c>
      <c r="Y252" s="9">
        <f t="shared" si="70"/>
        <v>3646.7</v>
      </c>
      <c r="AD252" s="4" t="s">
        <v>832</v>
      </c>
      <c r="AE252" s="4" t="s">
        <v>830</v>
      </c>
      <c r="AF252" s="4" t="s">
        <v>699</v>
      </c>
    </row>
    <row r="253" spans="1:35" ht="56.25" x14ac:dyDescent="0.25">
      <c r="A253" s="38" t="s">
        <v>833</v>
      </c>
      <c r="B253" s="38" t="s">
        <v>689</v>
      </c>
      <c r="C253" s="39" t="s">
        <v>690</v>
      </c>
      <c r="D253" s="40"/>
      <c r="E253" s="40" t="s">
        <v>834</v>
      </c>
      <c r="F253" s="40" t="s">
        <v>56</v>
      </c>
      <c r="G253" s="41">
        <v>1</v>
      </c>
      <c r="H253" s="40"/>
      <c r="I253" s="42">
        <v>0</v>
      </c>
      <c r="J253" s="43">
        <f>IFERROR(ROUND(SUM(M255,M257,M259)/I253, 2),0)</f>
        <v>0</v>
      </c>
      <c r="K253" s="43">
        <v>826</v>
      </c>
      <c r="L253" s="43">
        <f>J253+ROUND(K253, 2)</f>
        <v>826</v>
      </c>
      <c r="M253" s="43">
        <f>ROUND(J253*I253, 2)</f>
        <v>0</v>
      </c>
      <c r="N253" s="43">
        <f>ROUND(I253*ROUND(K253, 2), 2)</f>
        <v>0</v>
      </c>
      <c r="O253" s="43">
        <f>M253+N253</f>
        <v>0</v>
      </c>
      <c r="P253" s="43">
        <f>IFERROR(ROUND(SUM(S255,S257,S259)/I253, 2),0)</f>
        <v>0</v>
      </c>
      <c r="Q253" s="43">
        <v>826</v>
      </c>
      <c r="R253" s="43">
        <f>P253+ROUND(Q253, 2)</f>
        <v>826</v>
      </c>
      <c r="S253" s="43">
        <f>ROUND(P253*I253, 2)</f>
        <v>0</v>
      </c>
      <c r="T253" s="43">
        <f>ROUND(I253*ROUND(Q253, 2), 2)</f>
        <v>0</v>
      </c>
      <c r="U253" s="43">
        <f>S253+T253</f>
        <v>0</v>
      </c>
      <c r="V253" s="9">
        <f>ROUND(P253 / 1.2, 2)</f>
        <v>0</v>
      </c>
      <c r="W253" s="9">
        <f>ROUND(Q253 / 1.2, 2)</f>
        <v>688.33</v>
      </c>
      <c r="X253" s="9">
        <f>ROUND(R253 / 1.2, 2)</f>
        <v>688.33</v>
      </c>
      <c r="Y253" s="9">
        <f t="shared" si="70"/>
        <v>0</v>
      </c>
      <c r="Z253" s="9">
        <f>ROUND(T253 / 1.2, 2)</f>
        <v>0</v>
      </c>
      <c r="AA253" s="9">
        <f>Y253+Z253</f>
        <v>0</v>
      </c>
      <c r="AD253" s="4">
        <v>264030378</v>
      </c>
      <c r="AE253" s="4">
        <v>16087273</v>
      </c>
      <c r="AG253" s="4" t="s">
        <v>692</v>
      </c>
      <c r="AH253" s="4" t="s">
        <v>693</v>
      </c>
      <c r="AI253" s="4" t="s">
        <v>249</v>
      </c>
    </row>
    <row r="254" spans="1:35" ht="56.25" x14ac:dyDescent="0.25">
      <c r="A254" s="44" t="s">
        <v>835</v>
      </c>
      <c r="B254" s="44" t="s">
        <v>689</v>
      </c>
      <c r="C254" s="45" t="s">
        <v>690</v>
      </c>
      <c r="D254" s="46"/>
      <c r="E254" s="46" t="s">
        <v>834</v>
      </c>
      <c r="F254" s="46" t="s">
        <v>56</v>
      </c>
      <c r="G254" s="47">
        <v>1</v>
      </c>
      <c r="H254" s="46"/>
      <c r="I254" s="47">
        <v>38.799999999999997</v>
      </c>
      <c r="J254" s="48">
        <v>0</v>
      </c>
      <c r="K254" s="48">
        <v>826</v>
      </c>
      <c r="L254" s="48"/>
      <c r="M254" s="48">
        <v>0</v>
      </c>
      <c r="N254" s="48"/>
      <c r="O254" s="48"/>
      <c r="P254" s="48">
        <v>0</v>
      </c>
      <c r="Q254" s="48">
        <v>826</v>
      </c>
      <c r="R254" s="48"/>
      <c r="S254" s="48">
        <v>0</v>
      </c>
      <c r="T254" s="48"/>
      <c r="U254" s="48"/>
      <c r="V254" s="9"/>
      <c r="W254" s="9">
        <f>ROUND(Q254 / 1.2, 2)</f>
        <v>688.33</v>
      </c>
      <c r="X254" s="9" t="e">
        <f>ROUND(R254 / 1.2, 2)</f>
        <v>#VALUE!</v>
      </c>
      <c r="Y254" s="9"/>
      <c r="Z254" s="9" t="e">
        <f>ROUND(T254 / 1.2, 2)</f>
        <v>#VALUE!</v>
      </c>
      <c r="AA254" s="9"/>
      <c r="AD254" s="4">
        <v>204417267</v>
      </c>
      <c r="AE254" s="4">
        <v>16087273</v>
      </c>
      <c r="AG254" s="4" t="s">
        <v>692</v>
      </c>
      <c r="AH254" s="4" t="s">
        <v>693</v>
      </c>
      <c r="AI254" s="4"/>
    </row>
    <row r="255" spans="1:35" ht="37.5" x14ac:dyDescent="0.25">
      <c r="A255" s="38" t="s">
        <v>836</v>
      </c>
      <c r="B255" s="38"/>
      <c r="C255" s="49" t="s">
        <v>696</v>
      </c>
      <c r="D255" s="40"/>
      <c r="E255" s="40"/>
      <c r="F255" s="50" t="s">
        <v>56</v>
      </c>
      <c r="G255" s="51">
        <v>1.1000000000000001</v>
      </c>
      <c r="H255" s="40"/>
      <c r="I255" s="52">
        <v>0</v>
      </c>
      <c r="J255" s="53">
        <v>27.55</v>
      </c>
      <c r="K255" s="54"/>
      <c r="L255" s="54"/>
      <c r="M255" s="53">
        <f t="shared" ref="M255:M260" si="71">ROUND(ROUND(J255, 2)*I255, 2)</f>
        <v>0</v>
      </c>
      <c r="N255" s="54"/>
      <c r="O255" s="54"/>
      <c r="P255" s="53">
        <v>27.55</v>
      </c>
      <c r="Q255" s="54"/>
      <c r="R255" s="54"/>
      <c r="S255" s="53">
        <f t="shared" ref="S255:S260" si="72">ROUND(ROUND(P255, 2)*I255, 2)</f>
        <v>0</v>
      </c>
      <c r="T255" s="54"/>
      <c r="U255" s="55"/>
      <c r="V255" s="9">
        <f t="shared" ref="V255:V260" si="73">ROUND(ROUND(P255, 2)/1.2, 2)</f>
        <v>22.96</v>
      </c>
      <c r="Y255" s="9">
        <f t="shared" ref="Y255:Y269" si="74">ROUND(S255 / 1.2, 2)</f>
        <v>0</v>
      </c>
      <c r="AD255" s="4" t="s">
        <v>837</v>
      </c>
      <c r="AE255" s="4" t="s">
        <v>838</v>
      </c>
      <c r="AF255" s="4" t="s">
        <v>699</v>
      </c>
    </row>
    <row r="256" spans="1:35" ht="37.5" x14ac:dyDescent="0.25">
      <c r="A256" s="44" t="s">
        <v>839</v>
      </c>
      <c r="B256" s="44"/>
      <c r="C256" s="56" t="s">
        <v>696</v>
      </c>
      <c r="D256" s="46"/>
      <c r="E256" s="46"/>
      <c r="F256" s="57" t="s">
        <v>56</v>
      </c>
      <c r="G256" s="58">
        <v>1.1000000000000001</v>
      </c>
      <c r="H256" s="46"/>
      <c r="I256" s="58">
        <v>42.68</v>
      </c>
      <c r="J256" s="59">
        <v>27.55</v>
      </c>
      <c r="K256" s="60"/>
      <c r="L256" s="60"/>
      <c r="M256" s="59">
        <f t="shared" si="71"/>
        <v>1175.83</v>
      </c>
      <c r="N256" s="60"/>
      <c r="O256" s="60"/>
      <c r="P256" s="59">
        <v>27.55</v>
      </c>
      <c r="Q256" s="60"/>
      <c r="R256" s="60"/>
      <c r="S256" s="59">
        <f t="shared" si="72"/>
        <v>1175.83</v>
      </c>
      <c r="T256" s="60"/>
      <c r="U256" s="61"/>
      <c r="V256" s="9">
        <f t="shared" si="73"/>
        <v>22.96</v>
      </c>
      <c r="Y256" s="9">
        <f t="shared" si="74"/>
        <v>979.86</v>
      </c>
      <c r="AD256" s="4" t="s">
        <v>840</v>
      </c>
      <c r="AE256" s="4" t="s">
        <v>838</v>
      </c>
      <c r="AF256" s="4" t="s">
        <v>699</v>
      </c>
    </row>
    <row r="257" spans="1:35" ht="37.5" x14ac:dyDescent="0.25">
      <c r="A257" s="38" t="s">
        <v>841</v>
      </c>
      <c r="B257" s="38"/>
      <c r="C257" s="49" t="s">
        <v>776</v>
      </c>
      <c r="D257" s="40"/>
      <c r="E257" s="40"/>
      <c r="F257" s="50" t="s">
        <v>81</v>
      </c>
      <c r="G257" s="51">
        <v>0.15</v>
      </c>
      <c r="H257" s="40"/>
      <c r="I257" s="62">
        <v>0</v>
      </c>
      <c r="J257" s="53">
        <v>80</v>
      </c>
      <c r="K257" s="54"/>
      <c r="L257" s="54"/>
      <c r="M257" s="53">
        <f t="shared" si="71"/>
        <v>0</v>
      </c>
      <c r="N257" s="54"/>
      <c r="O257" s="54"/>
      <c r="P257" s="53">
        <v>80</v>
      </c>
      <c r="Q257" s="54"/>
      <c r="R257" s="54"/>
      <c r="S257" s="53">
        <f t="shared" si="72"/>
        <v>0</v>
      </c>
      <c r="T257" s="54"/>
      <c r="U257" s="55"/>
      <c r="V257" s="9">
        <f t="shared" si="73"/>
        <v>66.67</v>
      </c>
      <c r="Y257" s="9">
        <f t="shared" si="74"/>
        <v>0</v>
      </c>
      <c r="AD257" s="4" t="s">
        <v>842</v>
      </c>
      <c r="AE257" s="4" t="s">
        <v>843</v>
      </c>
      <c r="AF257" s="4" t="s">
        <v>779</v>
      </c>
    </row>
    <row r="258" spans="1:35" ht="37.5" x14ac:dyDescent="0.25">
      <c r="A258" s="44" t="s">
        <v>844</v>
      </c>
      <c r="B258" s="44"/>
      <c r="C258" s="56" t="s">
        <v>776</v>
      </c>
      <c r="D258" s="46"/>
      <c r="E258" s="46"/>
      <c r="F258" s="57" t="s">
        <v>81</v>
      </c>
      <c r="G258" s="58">
        <v>0.15</v>
      </c>
      <c r="H258" s="46"/>
      <c r="I258" s="63">
        <v>5.82</v>
      </c>
      <c r="J258" s="59">
        <v>80</v>
      </c>
      <c r="K258" s="60"/>
      <c r="L258" s="60"/>
      <c r="M258" s="59">
        <f t="shared" si="71"/>
        <v>465.6</v>
      </c>
      <c r="N258" s="60"/>
      <c r="O258" s="60"/>
      <c r="P258" s="59">
        <v>80</v>
      </c>
      <c r="Q258" s="60"/>
      <c r="R258" s="60"/>
      <c r="S258" s="59">
        <f t="shared" si="72"/>
        <v>465.6</v>
      </c>
      <c r="T258" s="60"/>
      <c r="U258" s="61"/>
      <c r="V258" s="9">
        <f t="shared" si="73"/>
        <v>66.67</v>
      </c>
      <c r="Y258" s="9">
        <f t="shared" si="74"/>
        <v>388</v>
      </c>
      <c r="AD258" s="4" t="s">
        <v>845</v>
      </c>
      <c r="AE258" s="4" t="s">
        <v>843</v>
      </c>
      <c r="AF258" s="4" t="s">
        <v>779</v>
      </c>
    </row>
    <row r="259" spans="1:35" ht="18.75" x14ac:dyDescent="0.25">
      <c r="A259" s="38" t="s">
        <v>846</v>
      </c>
      <c r="B259" s="38"/>
      <c r="C259" s="49" t="s">
        <v>708</v>
      </c>
      <c r="D259" s="40"/>
      <c r="E259" s="40" t="s">
        <v>847</v>
      </c>
      <c r="F259" s="50" t="s">
        <v>81</v>
      </c>
      <c r="G259" s="51">
        <v>1.8</v>
      </c>
      <c r="H259" s="40"/>
      <c r="I259" s="62">
        <v>0</v>
      </c>
      <c r="J259" s="53">
        <v>5.85</v>
      </c>
      <c r="K259" s="54"/>
      <c r="L259" s="54"/>
      <c r="M259" s="53">
        <f t="shared" si="71"/>
        <v>0</v>
      </c>
      <c r="N259" s="54"/>
      <c r="O259" s="54"/>
      <c r="P259" s="53">
        <v>5.85</v>
      </c>
      <c r="Q259" s="54"/>
      <c r="R259" s="54"/>
      <c r="S259" s="53">
        <f t="shared" si="72"/>
        <v>0</v>
      </c>
      <c r="T259" s="54"/>
      <c r="U259" s="55"/>
      <c r="V259" s="9">
        <f t="shared" si="73"/>
        <v>4.88</v>
      </c>
      <c r="Y259" s="9">
        <f t="shared" si="74"/>
        <v>0</v>
      </c>
      <c r="AD259" s="4" t="s">
        <v>848</v>
      </c>
      <c r="AE259" s="4" t="s">
        <v>849</v>
      </c>
      <c r="AF259" s="4" t="s">
        <v>712</v>
      </c>
    </row>
    <row r="260" spans="1:35" ht="18.75" x14ac:dyDescent="0.25">
      <c r="A260" s="44" t="s">
        <v>850</v>
      </c>
      <c r="B260" s="44"/>
      <c r="C260" s="56" t="s">
        <v>708</v>
      </c>
      <c r="D260" s="46"/>
      <c r="E260" s="46" t="s">
        <v>847</v>
      </c>
      <c r="F260" s="57" t="s">
        <v>81</v>
      </c>
      <c r="G260" s="58">
        <v>1.8</v>
      </c>
      <c r="H260" s="46"/>
      <c r="I260" s="63">
        <v>1396.8</v>
      </c>
      <c r="J260" s="59">
        <v>5.85</v>
      </c>
      <c r="K260" s="60"/>
      <c r="L260" s="60"/>
      <c r="M260" s="59">
        <f t="shared" si="71"/>
        <v>8171.28</v>
      </c>
      <c r="N260" s="60"/>
      <c r="O260" s="60"/>
      <c r="P260" s="59">
        <v>5.85</v>
      </c>
      <c r="Q260" s="60"/>
      <c r="R260" s="60"/>
      <c r="S260" s="59">
        <f t="shared" si="72"/>
        <v>8171.28</v>
      </c>
      <c r="T260" s="60"/>
      <c r="U260" s="61"/>
      <c r="V260" s="9">
        <f t="shared" si="73"/>
        <v>4.88</v>
      </c>
      <c r="Y260" s="9">
        <f t="shared" si="74"/>
        <v>6809.4</v>
      </c>
      <c r="AD260" s="4" t="s">
        <v>851</v>
      </c>
      <c r="AE260" s="4" t="s">
        <v>849</v>
      </c>
      <c r="AF260" s="4" t="s">
        <v>712</v>
      </c>
    </row>
    <row r="261" spans="1:35" ht="56.25" x14ac:dyDescent="0.25">
      <c r="A261" s="10" t="s">
        <v>852</v>
      </c>
      <c r="B261" s="10" t="s">
        <v>853</v>
      </c>
      <c r="C261" s="14" t="s">
        <v>854</v>
      </c>
      <c r="D261" s="15"/>
      <c r="E261" s="15" t="s">
        <v>855</v>
      </c>
      <c r="F261" s="15" t="s">
        <v>56</v>
      </c>
      <c r="G261" s="16">
        <v>1</v>
      </c>
      <c r="H261" s="15"/>
      <c r="I261" s="16">
        <v>754.1</v>
      </c>
      <c r="J261" s="17">
        <f>IFERROR(ROUND(SUM(M262,M263,M264)/I261, 2),0)</f>
        <v>70.430000000000007</v>
      </c>
      <c r="K261" s="18">
        <v>329</v>
      </c>
      <c r="L261" s="17">
        <f>J261+ROUND(K261, 2)</f>
        <v>399.43</v>
      </c>
      <c r="M261" s="17">
        <f>ROUND(J261*I261, 2)</f>
        <v>53111.26</v>
      </c>
      <c r="N261" s="17">
        <f>ROUND(I261*ROUND(K261, 2), 2)</f>
        <v>248098.9</v>
      </c>
      <c r="O261" s="17">
        <f>M261+N261</f>
        <v>301210.15999999997</v>
      </c>
      <c r="P261" s="17">
        <f>IFERROR(ROUND(SUM(S262,S263,S264)/I261, 2),0)</f>
        <v>70.430000000000007</v>
      </c>
      <c r="Q261" s="19">
        <v>329</v>
      </c>
      <c r="R261" s="17">
        <f>P261+ROUND(Q261, 2)</f>
        <v>399.43</v>
      </c>
      <c r="S261" s="17">
        <f>ROUND(P261*I261, 2)</f>
        <v>53111.26</v>
      </c>
      <c r="T261" s="17">
        <f>ROUND(I261*ROUND(Q261, 2), 2)</f>
        <v>248098.9</v>
      </c>
      <c r="U261" s="17">
        <f>S261+T261</f>
        <v>301210.15999999997</v>
      </c>
      <c r="V261" s="9">
        <f>ROUND(P261 / 1.2, 2)</f>
        <v>58.69</v>
      </c>
      <c r="W261" s="9">
        <f>ROUND(Q261 / 1.2, 2)</f>
        <v>274.17</v>
      </c>
      <c r="X261" s="9">
        <f>ROUND(R261 / 1.2, 2)</f>
        <v>332.86</v>
      </c>
      <c r="Y261" s="9">
        <f t="shared" si="74"/>
        <v>44259.38</v>
      </c>
      <c r="Z261" s="9">
        <f>ROUND(T261 / 1.2, 2)</f>
        <v>206749.08</v>
      </c>
      <c r="AA261" s="9">
        <f>Y261+Z261</f>
        <v>251008.46</v>
      </c>
      <c r="AD261" s="4">
        <v>264030292</v>
      </c>
      <c r="AE261" s="4">
        <v>16077289</v>
      </c>
      <c r="AG261" s="4" t="s">
        <v>856</v>
      </c>
      <c r="AH261" s="4" t="s">
        <v>857</v>
      </c>
      <c r="AI261" s="4" t="s">
        <v>249</v>
      </c>
    </row>
    <row r="262" spans="1:35" ht="56.25" x14ac:dyDescent="0.25">
      <c r="A262" s="10" t="s">
        <v>858</v>
      </c>
      <c r="B262" s="10"/>
      <c r="C262" s="24" t="s">
        <v>859</v>
      </c>
      <c r="D262" s="15"/>
      <c r="E262" s="15" t="s">
        <v>860</v>
      </c>
      <c r="F262" s="25" t="s">
        <v>81</v>
      </c>
      <c r="G262" s="26">
        <v>2</v>
      </c>
      <c r="H262" s="15"/>
      <c r="I262" s="26">
        <v>1508.2</v>
      </c>
      <c r="J262" s="28">
        <v>23</v>
      </c>
      <c r="M262" s="29">
        <f>ROUND(ROUND(J262, 2)*I262, 2)</f>
        <v>34688.6</v>
      </c>
      <c r="P262" s="30">
        <v>23</v>
      </c>
      <c r="S262" s="29">
        <f>ROUND(ROUND(P262, 2)*I262, 2)</f>
        <v>34688.6</v>
      </c>
      <c r="V262" s="9">
        <f>ROUND(ROUND(P262, 2)/1.2, 2)</f>
        <v>19.170000000000002</v>
      </c>
      <c r="Y262" s="9">
        <f t="shared" si="74"/>
        <v>28907.17</v>
      </c>
      <c r="AD262" s="4" t="s">
        <v>861</v>
      </c>
      <c r="AE262" s="4" t="s">
        <v>862</v>
      </c>
      <c r="AF262" s="4" t="s">
        <v>863</v>
      </c>
    </row>
    <row r="263" spans="1:35" ht="18.75" x14ac:dyDescent="0.25">
      <c r="A263" s="10" t="s">
        <v>864</v>
      </c>
      <c r="B263" s="10"/>
      <c r="C263" s="24" t="s">
        <v>865</v>
      </c>
      <c r="D263" s="15"/>
      <c r="E263" s="15"/>
      <c r="F263" s="25" t="s">
        <v>103</v>
      </c>
      <c r="G263" s="26">
        <v>0.3</v>
      </c>
      <c r="H263" s="15"/>
      <c r="I263" s="27">
        <v>226.23</v>
      </c>
      <c r="J263" s="28">
        <v>37.049999999999997</v>
      </c>
      <c r="M263" s="29">
        <f>ROUND(ROUND(J263, 2)*I263, 2)</f>
        <v>8381.82</v>
      </c>
      <c r="P263" s="30">
        <v>37.049999999999997</v>
      </c>
      <c r="S263" s="29">
        <f>ROUND(ROUND(P263, 2)*I263, 2)</f>
        <v>8381.82</v>
      </c>
      <c r="V263" s="9">
        <f>ROUND(ROUND(P263, 2)/1.2, 2)</f>
        <v>30.88</v>
      </c>
      <c r="Y263" s="9">
        <f t="shared" si="74"/>
        <v>6984.85</v>
      </c>
      <c r="AD263" s="4" t="s">
        <v>866</v>
      </c>
      <c r="AE263" s="4" t="s">
        <v>867</v>
      </c>
      <c r="AF263" s="4" t="s">
        <v>868</v>
      </c>
    </row>
    <row r="264" spans="1:35" ht="37.5" x14ac:dyDescent="0.25">
      <c r="A264" s="10" t="s">
        <v>869</v>
      </c>
      <c r="B264" s="10"/>
      <c r="C264" s="24" t="s">
        <v>490</v>
      </c>
      <c r="D264" s="15"/>
      <c r="E264" s="15"/>
      <c r="F264" s="25" t="s">
        <v>81</v>
      </c>
      <c r="G264" s="26">
        <v>0.15</v>
      </c>
      <c r="H264" s="15"/>
      <c r="I264" s="26">
        <v>113.11499999999999</v>
      </c>
      <c r="J264" s="28">
        <v>88.8</v>
      </c>
      <c r="M264" s="29">
        <f>ROUND(ROUND(J264, 2)*I264, 2)</f>
        <v>10044.61</v>
      </c>
      <c r="P264" s="30">
        <v>88.8</v>
      </c>
      <c r="S264" s="29">
        <f>ROUND(ROUND(P264, 2)*I264, 2)</f>
        <v>10044.61</v>
      </c>
      <c r="V264" s="9">
        <f>ROUND(ROUND(P264, 2)/1.2, 2)</f>
        <v>74</v>
      </c>
      <c r="Y264" s="9">
        <f t="shared" si="74"/>
        <v>8370.51</v>
      </c>
      <c r="AD264" s="4" t="s">
        <v>870</v>
      </c>
      <c r="AE264" s="4" t="s">
        <v>871</v>
      </c>
      <c r="AF264" s="4" t="s">
        <v>493</v>
      </c>
    </row>
    <row r="265" spans="1:35" ht="56.25" x14ac:dyDescent="0.25">
      <c r="A265" s="10" t="s">
        <v>872</v>
      </c>
      <c r="B265" s="10" t="s">
        <v>853</v>
      </c>
      <c r="C265" s="14" t="s">
        <v>854</v>
      </c>
      <c r="D265" s="15"/>
      <c r="E265" s="15" t="s">
        <v>855</v>
      </c>
      <c r="F265" s="15" t="s">
        <v>56</v>
      </c>
      <c r="G265" s="16">
        <v>1</v>
      </c>
      <c r="H265" s="15"/>
      <c r="I265" s="16">
        <v>754.1</v>
      </c>
      <c r="J265" s="17">
        <f>IFERROR(ROUND(SUM(M266,M267,M268)/I265, 2),0)</f>
        <v>84.43</v>
      </c>
      <c r="K265" s="18">
        <v>329</v>
      </c>
      <c r="L265" s="17">
        <f>J265+ROUND(K265, 2)</f>
        <v>413.43</v>
      </c>
      <c r="M265" s="17">
        <f>ROUND(J265*I265, 2)</f>
        <v>63668.66</v>
      </c>
      <c r="N265" s="17">
        <f>ROUND(I265*ROUND(K265, 2), 2)</f>
        <v>248098.9</v>
      </c>
      <c r="O265" s="17">
        <f>M265+N265</f>
        <v>311767.56</v>
      </c>
      <c r="P265" s="17">
        <f>IFERROR(ROUND(SUM(S266,S267,S268)/I265, 2),0)</f>
        <v>37.01</v>
      </c>
      <c r="Q265" s="19">
        <v>329</v>
      </c>
      <c r="R265" s="17">
        <f>P265+ROUND(Q265, 2)</f>
        <v>366.01</v>
      </c>
      <c r="S265" s="17">
        <f>ROUND(P265*I265, 2)</f>
        <v>27909.24</v>
      </c>
      <c r="T265" s="17">
        <f>ROUND(I265*ROUND(Q265, 2), 2)</f>
        <v>248098.9</v>
      </c>
      <c r="U265" s="17">
        <f>S265+T265</f>
        <v>276008.14</v>
      </c>
      <c r="V265" s="9">
        <f>ROUND(P265 / 1.2, 2)</f>
        <v>30.84</v>
      </c>
      <c r="W265" s="9">
        <f>ROUND(Q265 / 1.2, 2)</f>
        <v>274.17</v>
      </c>
      <c r="X265" s="9">
        <f>ROUND(R265 / 1.2, 2)</f>
        <v>305.01</v>
      </c>
      <c r="Y265" s="9">
        <f t="shared" si="74"/>
        <v>23257.7</v>
      </c>
      <c r="Z265" s="9">
        <f>ROUND(T265 / 1.2, 2)</f>
        <v>206749.08</v>
      </c>
      <c r="AA265" s="9">
        <f>Y265+Z265</f>
        <v>230006.78</v>
      </c>
      <c r="AD265" s="4">
        <v>264030379</v>
      </c>
      <c r="AE265" s="4">
        <v>16077336</v>
      </c>
      <c r="AG265" s="4" t="s">
        <v>856</v>
      </c>
      <c r="AH265" s="4" t="s">
        <v>857</v>
      </c>
      <c r="AI265" s="4" t="s">
        <v>249</v>
      </c>
    </row>
    <row r="266" spans="1:35" ht="37.5" x14ac:dyDescent="0.25">
      <c r="A266" s="10" t="s">
        <v>873</v>
      </c>
      <c r="B266" s="10"/>
      <c r="C266" s="24" t="s">
        <v>490</v>
      </c>
      <c r="D266" s="15"/>
      <c r="E266" s="15"/>
      <c r="F266" s="25" t="s">
        <v>81</v>
      </c>
      <c r="G266" s="26">
        <v>0.15</v>
      </c>
      <c r="H266" s="15"/>
      <c r="I266" s="26">
        <v>113.11499999999999</v>
      </c>
      <c r="J266" s="28">
        <v>88.8</v>
      </c>
      <c r="M266" s="29">
        <f>ROUND(ROUND(J266, 2)*I266, 2)</f>
        <v>10044.61</v>
      </c>
      <c r="P266" s="30">
        <v>88.8</v>
      </c>
      <c r="S266" s="29">
        <f>ROUND(ROUND(P266, 2)*I266, 2)</f>
        <v>10044.61</v>
      </c>
      <c r="V266" s="9">
        <f>ROUND(ROUND(P266, 2)/1.2, 2)</f>
        <v>74</v>
      </c>
      <c r="Y266" s="9">
        <f t="shared" si="74"/>
        <v>8370.51</v>
      </c>
      <c r="AD266" s="4" t="s">
        <v>874</v>
      </c>
      <c r="AE266" s="4" t="s">
        <v>875</v>
      </c>
      <c r="AF266" s="4" t="s">
        <v>493</v>
      </c>
    </row>
    <row r="267" spans="1:35" ht="18.75" x14ac:dyDescent="0.25">
      <c r="A267" s="10" t="s">
        <v>876</v>
      </c>
      <c r="B267" s="10"/>
      <c r="C267" s="24" t="s">
        <v>865</v>
      </c>
      <c r="D267" s="15"/>
      <c r="E267" s="15"/>
      <c r="F267" s="25" t="s">
        <v>103</v>
      </c>
      <c r="G267" s="26">
        <v>0.3</v>
      </c>
      <c r="H267" s="15"/>
      <c r="I267" s="27">
        <v>226.23</v>
      </c>
      <c r="J267" s="28">
        <v>37.049999999999997</v>
      </c>
      <c r="M267" s="29">
        <f>ROUND(ROUND(J267, 2)*I267, 2)</f>
        <v>8381.82</v>
      </c>
      <c r="P267" s="30">
        <v>37.049999999999997</v>
      </c>
      <c r="S267" s="29">
        <f>ROUND(ROUND(P267, 2)*I267, 2)</f>
        <v>8381.82</v>
      </c>
      <c r="V267" s="9">
        <f>ROUND(ROUND(P267, 2)/1.2, 2)</f>
        <v>30.88</v>
      </c>
      <c r="Y267" s="9">
        <f t="shared" si="74"/>
        <v>6984.85</v>
      </c>
      <c r="AD267" s="4" t="s">
        <v>877</v>
      </c>
      <c r="AE267" s="4" t="s">
        <v>878</v>
      </c>
      <c r="AF267" s="4" t="s">
        <v>868</v>
      </c>
    </row>
    <row r="268" spans="1:35" ht="37.5" x14ac:dyDescent="0.25">
      <c r="A268" s="10" t="s">
        <v>879</v>
      </c>
      <c r="B268" s="10"/>
      <c r="C268" s="24" t="s">
        <v>880</v>
      </c>
      <c r="D268" s="15"/>
      <c r="E268" s="15"/>
      <c r="F268" s="25" t="s">
        <v>81</v>
      </c>
      <c r="G268" s="26">
        <v>1</v>
      </c>
      <c r="H268" s="15"/>
      <c r="I268" s="26">
        <v>754.1</v>
      </c>
      <c r="J268" s="28">
        <v>60</v>
      </c>
      <c r="M268" s="29">
        <f>ROUND(ROUND(J268, 2)*I268, 2)</f>
        <v>45246</v>
      </c>
      <c r="P268" s="30">
        <v>12.58</v>
      </c>
      <c r="S268" s="29">
        <f>ROUND(ROUND(P268, 2)*I268, 2)</f>
        <v>9486.58</v>
      </c>
      <c r="V268" s="9">
        <f>ROUND(ROUND(P268, 2)/1.2, 2)</f>
        <v>10.48</v>
      </c>
      <c r="Y268" s="9">
        <f t="shared" si="74"/>
        <v>7905.48</v>
      </c>
      <c r="AD268" s="4" t="s">
        <v>881</v>
      </c>
      <c r="AE268" s="4" t="s">
        <v>882</v>
      </c>
      <c r="AF268" s="4" t="s">
        <v>883</v>
      </c>
    </row>
    <row r="269" spans="1:35" ht="56.25" x14ac:dyDescent="0.25">
      <c r="A269" s="38" t="s">
        <v>884</v>
      </c>
      <c r="B269" s="38" t="s">
        <v>853</v>
      </c>
      <c r="C269" s="39" t="s">
        <v>854</v>
      </c>
      <c r="D269" s="40"/>
      <c r="E269" s="40" t="s">
        <v>855</v>
      </c>
      <c r="F269" s="40" t="s">
        <v>56</v>
      </c>
      <c r="G269" s="41">
        <v>1</v>
      </c>
      <c r="H269" s="40"/>
      <c r="I269" s="42">
        <v>0</v>
      </c>
      <c r="J269" s="43">
        <f>IFERROR(ROUND(SUM(M271,M273,M275)/I269, 2),0)</f>
        <v>0</v>
      </c>
      <c r="K269" s="43">
        <v>329</v>
      </c>
      <c r="L269" s="43">
        <f>J269+ROUND(K269, 2)</f>
        <v>329</v>
      </c>
      <c r="M269" s="43">
        <f>ROUND(J269*I269, 2)</f>
        <v>0</v>
      </c>
      <c r="N269" s="43">
        <f>ROUND(I269*ROUND(K269, 2), 2)</f>
        <v>0</v>
      </c>
      <c r="O269" s="43">
        <f>M269+N269</f>
        <v>0</v>
      </c>
      <c r="P269" s="43">
        <f>IFERROR(ROUND(SUM(S271,S273,S275)/I269, 2),0)</f>
        <v>0</v>
      </c>
      <c r="Q269" s="43">
        <v>329</v>
      </c>
      <c r="R269" s="43">
        <f>P269+ROUND(Q269, 2)</f>
        <v>329</v>
      </c>
      <c r="S269" s="43">
        <f>ROUND(P269*I269, 2)</f>
        <v>0</v>
      </c>
      <c r="T269" s="43">
        <f>ROUND(I269*ROUND(Q269, 2), 2)</f>
        <v>0</v>
      </c>
      <c r="U269" s="43">
        <f>S269+T269</f>
        <v>0</v>
      </c>
      <c r="V269" s="9">
        <f>ROUND(P269 / 1.2, 2)</f>
        <v>0</v>
      </c>
      <c r="W269" s="9">
        <f>ROUND(Q269 / 1.2, 2)</f>
        <v>274.17</v>
      </c>
      <c r="X269" s="9">
        <f>ROUND(R269 / 1.2, 2)</f>
        <v>274.17</v>
      </c>
      <c r="Y269" s="9">
        <f t="shared" si="74"/>
        <v>0</v>
      </c>
      <c r="Z269" s="9">
        <f>ROUND(T269 / 1.2, 2)</f>
        <v>0</v>
      </c>
      <c r="AA269" s="9">
        <f>Y269+Z269</f>
        <v>0</v>
      </c>
      <c r="AD269" s="4">
        <v>264030380</v>
      </c>
      <c r="AE269" s="4">
        <v>16077337</v>
      </c>
      <c r="AG269" s="4" t="s">
        <v>856</v>
      </c>
      <c r="AH269" s="4" t="s">
        <v>857</v>
      </c>
      <c r="AI269" s="4" t="s">
        <v>249</v>
      </c>
    </row>
    <row r="270" spans="1:35" ht="56.25" x14ac:dyDescent="0.25">
      <c r="A270" s="44" t="s">
        <v>885</v>
      </c>
      <c r="B270" s="44" t="s">
        <v>853</v>
      </c>
      <c r="C270" s="45" t="s">
        <v>854</v>
      </c>
      <c r="D270" s="46"/>
      <c r="E270" s="46" t="s">
        <v>855</v>
      </c>
      <c r="F270" s="46" t="s">
        <v>56</v>
      </c>
      <c r="G270" s="47">
        <v>1</v>
      </c>
      <c r="H270" s="46"/>
      <c r="I270" s="47">
        <v>754.1</v>
      </c>
      <c r="J270" s="48">
        <v>0</v>
      </c>
      <c r="K270" s="48">
        <v>329</v>
      </c>
      <c r="L270" s="48"/>
      <c r="M270" s="48">
        <v>0</v>
      </c>
      <c r="N270" s="48"/>
      <c r="O270" s="48"/>
      <c r="P270" s="48">
        <v>0</v>
      </c>
      <c r="Q270" s="48">
        <v>329</v>
      </c>
      <c r="R270" s="48"/>
      <c r="S270" s="48">
        <v>0</v>
      </c>
      <c r="T270" s="48"/>
      <c r="U270" s="48"/>
      <c r="V270" s="9"/>
      <c r="W270" s="9">
        <f>ROUND(Q270 / 1.2, 2)</f>
        <v>274.17</v>
      </c>
      <c r="X270" s="9" t="e">
        <f>ROUND(R270 / 1.2, 2)</f>
        <v>#VALUE!</v>
      </c>
      <c r="Y270" s="9"/>
      <c r="Z270" s="9" t="e">
        <f>ROUND(T270 / 1.2, 2)</f>
        <v>#VALUE!</v>
      </c>
      <c r="AA270" s="9"/>
      <c r="AD270" s="4">
        <v>204217994</v>
      </c>
      <c r="AE270" s="4">
        <v>16077337</v>
      </c>
      <c r="AG270" s="4" t="s">
        <v>856</v>
      </c>
      <c r="AH270" s="4" t="s">
        <v>857</v>
      </c>
      <c r="AI270" s="4"/>
    </row>
    <row r="271" spans="1:35" ht="37.5" x14ac:dyDescent="0.25">
      <c r="A271" s="38" t="s">
        <v>886</v>
      </c>
      <c r="B271" s="38"/>
      <c r="C271" s="49" t="s">
        <v>887</v>
      </c>
      <c r="D271" s="40"/>
      <c r="E271" s="40"/>
      <c r="F271" s="50" t="s">
        <v>81</v>
      </c>
      <c r="G271" s="51">
        <v>1.8</v>
      </c>
      <c r="H271" s="40"/>
      <c r="I271" s="52">
        <v>0</v>
      </c>
      <c r="J271" s="53">
        <v>23</v>
      </c>
      <c r="K271" s="54"/>
      <c r="L271" s="54"/>
      <c r="M271" s="53">
        <f t="shared" ref="M271:M276" si="75">ROUND(ROUND(J271, 2)*I271, 2)</f>
        <v>0</v>
      </c>
      <c r="N271" s="54"/>
      <c r="O271" s="54"/>
      <c r="P271" s="53">
        <v>12.58</v>
      </c>
      <c r="Q271" s="54"/>
      <c r="R271" s="54"/>
      <c r="S271" s="53">
        <f t="shared" ref="S271:S276" si="76">ROUND(ROUND(P271, 2)*I271, 2)</f>
        <v>0</v>
      </c>
      <c r="T271" s="54"/>
      <c r="U271" s="55"/>
      <c r="V271" s="9">
        <f t="shared" ref="V271:V276" si="77">ROUND(ROUND(P271, 2)/1.2, 2)</f>
        <v>10.48</v>
      </c>
      <c r="Y271" s="9">
        <f t="shared" ref="Y271:Y277" si="78">ROUND(S271 / 1.2, 2)</f>
        <v>0</v>
      </c>
      <c r="AD271" s="4" t="s">
        <v>888</v>
      </c>
      <c r="AE271" s="4" t="s">
        <v>889</v>
      </c>
      <c r="AF271" s="4" t="s">
        <v>890</v>
      </c>
    </row>
    <row r="272" spans="1:35" ht="37.5" x14ac:dyDescent="0.25">
      <c r="A272" s="44" t="s">
        <v>891</v>
      </c>
      <c r="B272" s="44"/>
      <c r="C272" s="56" t="s">
        <v>887</v>
      </c>
      <c r="D272" s="46"/>
      <c r="E272" s="46"/>
      <c r="F272" s="57" t="s">
        <v>81</v>
      </c>
      <c r="G272" s="58">
        <v>1.8</v>
      </c>
      <c r="H272" s="46"/>
      <c r="I272" s="58">
        <v>1357.38</v>
      </c>
      <c r="J272" s="59">
        <v>23</v>
      </c>
      <c r="K272" s="60"/>
      <c r="L272" s="60"/>
      <c r="M272" s="59">
        <f t="shared" si="75"/>
        <v>31219.74</v>
      </c>
      <c r="N272" s="60"/>
      <c r="O272" s="60"/>
      <c r="P272" s="59">
        <v>12.58</v>
      </c>
      <c r="Q272" s="60"/>
      <c r="R272" s="60"/>
      <c r="S272" s="59">
        <f t="shared" si="76"/>
        <v>17075.84</v>
      </c>
      <c r="T272" s="60"/>
      <c r="U272" s="61"/>
      <c r="V272" s="9">
        <f t="shared" si="77"/>
        <v>10.48</v>
      </c>
      <c r="Y272" s="9">
        <f t="shared" si="78"/>
        <v>14229.87</v>
      </c>
      <c r="AD272" s="4" t="s">
        <v>892</v>
      </c>
      <c r="AE272" s="4" t="s">
        <v>889</v>
      </c>
      <c r="AF272" s="4" t="s">
        <v>890</v>
      </c>
    </row>
    <row r="273" spans="1:35" ht="18.75" x14ac:dyDescent="0.25">
      <c r="A273" s="38" t="s">
        <v>893</v>
      </c>
      <c r="B273" s="38"/>
      <c r="C273" s="49" t="s">
        <v>865</v>
      </c>
      <c r="D273" s="40"/>
      <c r="E273" s="40"/>
      <c r="F273" s="50" t="s">
        <v>103</v>
      </c>
      <c r="G273" s="51">
        <v>0.3</v>
      </c>
      <c r="H273" s="40"/>
      <c r="I273" s="62">
        <v>0</v>
      </c>
      <c r="J273" s="53">
        <v>37.049999999999997</v>
      </c>
      <c r="K273" s="54"/>
      <c r="L273" s="54"/>
      <c r="M273" s="53">
        <f t="shared" si="75"/>
        <v>0</v>
      </c>
      <c r="N273" s="54"/>
      <c r="O273" s="54"/>
      <c r="P273" s="53">
        <v>37.049999999999997</v>
      </c>
      <c r="Q273" s="54"/>
      <c r="R273" s="54"/>
      <c r="S273" s="53">
        <f t="shared" si="76"/>
        <v>0</v>
      </c>
      <c r="T273" s="54"/>
      <c r="U273" s="55"/>
      <c r="V273" s="9">
        <f t="shared" si="77"/>
        <v>30.88</v>
      </c>
      <c r="Y273" s="9">
        <f t="shared" si="78"/>
        <v>0</v>
      </c>
      <c r="AD273" s="4" t="s">
        <v>894</v>
      </c>
      <c r="AE273" s="4" t="s">
        <v>895</v>
      </c>
      <c r="AF273" s="4" t="s">
        <v>868</v>
      </c>
    </row>
    <row r="274" spans="1:35" ht="18.75" x14ac:dyDescent="0.25">
      <c r="A274" s="44" t="s">
        <v>896</v>
      </c>
      <c r="B274" s="44"/>
      <c r="C274" s="56" t="s">
        <v>865</v>
      </c>
      <c r="D274" s="46"/>
      <c r="E274" s="46"/>
      <c r="F274" s="57" t="s">
        <v>103</v>
      </c>
      <c r="G274" s="58">
        <v>0.3</v>
      </c>
      <c r="H274" s="46"/>
      <c r="I274" s="63">
        <v>226.23</v>
      </c>
      <c r="J274" s="59">
        <v>37.049999999999997</v>
      </c>
      <c r="K274" s="60"/>
      <c r="L274" s="60"/>
      <c r="M274" s="59">
        <f t="shared" si="75"/>
        <v>8381.82</v>
      </c>
      <c r="N274" s="60"/>
      <c r="O274" s="60"/>
      <c r="P274" s="59">
        <v>37.049999999999997</v>
      </c>
      <c r="Q274" s="60"/>
      <c r="R274" s="60"/>
      <c r="S274" s="59">
        <f t="shared" si="76"/>
        <v>8381.82</v>
      </c>
      <c r="T274" s="60"/>
      <c r="U274" s="61"/>
      <c r="V274" s="9">
        <f t="shared" si="77"/>
        <v>30.88</v>
      </c>
      <c r="Y274" s="9">
        <f t="shared" si="78"/>
        <v>6984.85</v>
      </c>
      <c r="AD274" s="4" t="s">
        <v>897</v>
      </c>
      <c r="AE274" s="4" t="s">
        <v>895</v>
      </c>
      <c r="AF274" s="4" t="s">
        <v>868</v>
      </c>
    </row>
    <row r="275" spans="1:35" ht="37.5" x14ac:dyDescent="0.25">
      <c r="A275" s="38" t="s">
        <v>898</v>
      </c>
      <c r="B275" s="38"/>
      <c r="C275" s="49" t="s">
        <v>490</v>
      </c>
      <c r="D275" s="40"/>
      <c r="E275" s="40"/>
      <c r="F275" s="50" t="s">
        <v>81</v>
      </c>
      <c r="G275" s="51">
        <v>0.15</v>
      </c>
      <c r="H275" s="40"/>
      <c r="I275" s="52">
        <v>0</v>
      </c>
      <c r="J275" s="53">
        <v>88.8</v>
      </c>
      <c r="K275" s="54"/>
      <c r="L275" s="54"/>
      <c r="M275" s="53">
        <f t="shared" si="75"/>
        <v>0</v>
      </c>
      <c r="N275" s="54"/>
      <c r="O275" s="54"/>
      <c r="P275" s="53">
        <v>88.8</v>
      </c>
      <c r="Q275" s="54"/>
      <c r="R275" s="54"/>
      <c r="S275" s="53">
        <f t="shared" si="76"/>
        <v>0</v>
      </c>
      <c r="T275" s="54"/>
      <c r="U275" s="55"/>
      <c r="V275" s="9">
        <f t="shared" si="77"/>
        <v>74</v>
      </c>
      <c r="Y275" s="9">
        <f t="shared" si="78"/>
        <v>0</v>
      </c>
      <c r="AD275" s="4" t="s">
        <v>899</v>
      </c>
      <c r="AE275" s="4" t="s">
        <v>900</v>
      </c>
      <c r="AF275" s="4" t="s">
        <v>493</v>
      </c>
    </row>
    <row r="276" spans="1:35" ht="37.5" x14ac:dyDescent="0.25">
      <c r="A276" s="44" t="s">
        <v>901</v>
      </c>
      <c r="B276" s="44"/>
      <c r="C276" s="56" t="s">
        <v>490</v>
      </c>
      <c r="D276" s="46"/>
      <c r="E276" s="46"/>
      <c r="F276" s="57" t="s">
        <v>81</v>
      </c>
      <c r="G276" s="58">
        <v>0.15</v>
      </c>
      <c r="H276" s="46"/>
      <c r="I276" s="58">
        <v>113.11499999999999</v>
      </c>
      <c r="J276" s="59">
        <v>88.8</v>
      </c>
      <c r="K276" s="60"/>
      <c r="L276" s="60"/>
      <c r="M276" s="59">
        <f t="shared" si="75"/>
        <v>10044.61</v>
      </c>
      <c r="N276" s="60"/>
      <c r="O276" s="60"/>
      <c r="P276" s="59">
        <v>88.8</v>
      </c>
      <c r="Q276" s="60"/>
      <c r="R276" s="60"/>
      <c r="S276" s="59">
        <f t="shared" si="76"/>
        <v>10044.61</v>
      </c>
      <c r="T276" s="60"/>
      <c r="U276" s="61"/>
      <c r="V276" s="9">
        <f t="shared" si="77"/>
        <v>74</v>
      </c>
      <c r="Y276" s="9">
        <f t="shared" si="78"/>
        <v>8370.51</v>
      </c>
      <c r="AD276" s="4" t="s">
        <v>902</v>
      </c>
      <c r="AE276" s="4" t="s">
        <v>900</v>
      </c>
      <c r="AF276" s="4" t="s">
        <v>493</v>
      </c>
    </row>
    <row r="277" spans="1:35" ht="56.25" x14ac:dyDescent="0.25">
      <c r="A277" s="38" t="s">
        <v>903</v>
      </c>
      <c r="B277" s="38" t="s">
        <v>853</v>
      </c>
      <c r="C277" s="39" t="s">
        <v>854</v>
      </c>
      <c r="D277" s="40"/>
      <c r="E277" s="40" t="s">
        <v>904</v>
      </c>
      <c r="F277" s="40" t="s">
        <v>56</v>
      </c>
      <c r="G277" s="41">
        <v>1</v>
      </c>
      <c r="H277" s="40"/>
      <c r="I277" s="42">
        <v>0</v>
      </c>
      <c r="J277" s="43">
        <f>IFERROR(ROUND(SUM(M279,M281,M283,M285)/I277, 2),0)</f>
        <v>0</v>
      </c>
      <c r="K277" s="43">
        <v>329</v>
      </c>
      <c r="L277" s="43">
        <f>J277+ROUND(K277, 2)</f>
        <v>329</v>
      </c>
      <c r="M277" s="43">
        <f>ROUND(J277*I277, 2)</f>
        <v>0</v>
      </c>
      <c r="N277" s="43">
        <f>ROUND(I277*ROUND(K277, 2), 2)</f>
        <v>0</v>
      </c>
      <c r="O277" s="43">
        <f>M277+N277</f>
        <v>0</v>
      </c>
      <c r="P277" s="43">
        <f>IFERROR(ROUND(SUM(S279,S281,S283,S285)/I277, 2),0)</f>
        <v>0</v>
      </c>
      <c r="Q277" s="43">
        <v>329</v>
      </c>
      <c r="R277" s="43">
        <f>P277+ROUND(Q277, 2)</f>
        <v>329</v>
      </c>
      <c r="S277" s="43">
        <f>ROUND(P277*I277, 2)</f>
        <v>0</v>
      </c>
      <c r="T277" s="43">
        <f>ROUND(I277*ROUND(Q277, 2), 2)</f>
        <v>0</v>
      </c>
      <c r="U277" s="43">
        <f>S277+T277</f>
        <v>0</v>
      </c>
      <c r="V277" s="9">
        <f>ROUND(P277 / 1.2, 2)</f>
        <v>0</v>
      </c>
      <c r="W277" s="9">
        <f>ROUND(Q277 / 1.2, 2)</f>
        <v>274.17</v>
      </c>
      <c r="X277" s="9">
        <f>ROUND(R277 / 1.2, 2)</f>
        <v>274.17</v>
      </c>
      <c r="Y277" s="9">
        <f t="shared" si="78"/>
        <v>0</v>
      </c>
      <c r="Z277" s="9">
        <f>ROUND(T277 / 1.2, 2)</f>
        <v>0</v>
      </c>
      <c r="AA277" s="9">
        <f>Y277+Z277</f>
        <v>0</v>
      </c>
      <c r="AD277" s="4">
        <v>264030381</v>
      </c>
      <c r="AE277" s="4">
        <v>16081445</v>
      </c>
      <c r="AG277" s="4" t="s">
        <v>856</v>
      </c>
      <c r="AH277" s="4" t="s">
        <v>857</v>
      </c>
      <c r="AI277" s="4" t="s">
        <v>249</v>
      </c>
    </row>
    <row r="278" spans="1:35" ht="56.25" x14ac:dyDescent="0.25">
      <c r="A278" s="44" t="s">
        <v>905</v>
      </c>
      <c r="B278" s="44" t="s">
        <v>853</v>
      </c>
      <c r="C278" s="45" t="s">
        <v>854</v>
      </c>
      <c r="D278" s="46"/>
      <c r="E278" s="46" t="s">
        <v>904</v>
      </c>
      <c r="F278" s="46" t="s">
        <v>56</v>
      </c>
      <c r="G278" s="47">
        <v>1</v>
      </c>
      <c r="H278" s="46"/>
      <c r="I278" s="47">
        <v>314.5</v>
      </c>
      <c r="J278" s="48">
        <v>0</v>
      </c>
      <c r="K278" s="48">
        <v>329</v>
      </c>
      <c r="L278" s="48"/>
      <c r="M278" s="48">
        <v>0</v>
      </c>
      <c r="N278" s="48"/>
      <c r="O278" s="48"/>
      <c r="P278" s="48">
        <v>0</v>
      </c>
      <c r="Q278" s="48">
        <v>329</v>
      </c>
      <c r="R278" s="48"/>
      <c r="S278" s="48">
        <v>0</v>
      </c>
      <c r="T278" s="48"/>
      <c r="U278" s="48"/>
      <c r="V278" s="9"/>
      <c r="W278" s="9">
        <f>ROUND(Q278 / 1.2, 2)</f>
        <v>274.17</v>
      </c>
      <c r="X278" s="9" t="e">
        <f>ROUND(R278 / 1.2, 2)</f>
        <v>#VALUE!</v>
      </c>
      <c r="Y278" s="9"/>
      <c r="Z278" s="9" t="e">
        <f>ROUND(T278 / 1.2, 2)</f>
        <v>#VALUE!</v>
      </c>
      <c r="AA278" s="9"/>
      <c r="AD278" s="4">
        <v>204390266</v>
      </c>
      <c r="AE278" s="4">
        <v>16081445</v>
      </c>
      <c r="AG278" s="4" t="s">
        <v>856</v>
      </c>
      <c r="AH278" s="4" t="s">
        <v>857</v>
      </c>
      <c r="AI278" s="4"/>
    </row>
    <row r="279" spans="1:35" ht="37.5" x14ac:dyDescent="0.25">
      <c r="A279" s="38" t="s">
        <v>906</v>
      </c>
      <c r="B279" s="38"/>
      <c r="C279" s="49" t="s">
        <v>907</v>
      </c>
      <c r="D279" s="40"/>
      <c r="E279" s="40"/>
      <c r="F279" s="50" t="s">
        <v>81</v>
      </c>
      <c r="G279" s="51">
        <v>0.1</v>
      </c>
      <c r="H279" s="40"/>
      <c r="I279" s="52">
        <v>0</v>
      </c>
      <c r="J279" s="53">
        <v>142.9</v>
      </c>
      <c r="K279" s="54"/>
      <c r="L279" s="54"/>
      <c r="M279" s="53">
        <f t="shared" ref="M279:M286" si="79">ROUND(ROUND(J279, 2)*I279, 2)</f>
        <v>0</v>
      </c>
      <c r="N279" s="54"/>
      <c r="O279" s="54"/>
      <c r="P279" s="53">
        <v>142.9</v>
      </c>
      <c r="Q279" s="54"/>
      <c r="R279" s="54"/>
      <c r="S279" s="53">
        <f t="shared" ref="S279:S286" si="80">ROUND(ROUND(P279, 2)*I279, 2)</f>
        <v>0</v>
      </c>
      <c r="T279" s="54"/>
      <c r="U279" s="55"/>
      <c r="V279" s="9">
        <f t="shared" ref="V279:V286" si="81">ROUND(ROUND(P279, 2)/1.2, 2)</f>
        <v>119.08</v>
      </c>
      <c r="Y279" s="9">
        <f t="shared" ref="Y279:Y287" si="82">ROUND(S279 / 1.2, 2)</f>
        <v>0</v>
      </c>
      <c r="AD279" s="4" t="s">
        <v>908</v>
      </c>
      <c r="AE279" s="4" t="s">
        <v>909</v>
      </c>
      <c r="AF279" s="4" t="s">
        <v>910</v>
      </c>
    </row>
    <row r="280" spans="1:35" ht="37.5" x14ac:dyDescent="0.25">
      <c r="A280" s="44" t="s">
        <v>911</v>
      </c>
      <c r="B280" s="44"/>
      <c r="C280" s="56" t="s">
        <v>907</v>
      </c>
      <c r="D280" s="46"/>
      <c r="E280" s="46"/>
      <c r="F280" s="57" t="s">
        <v>81</v>
      </c>
      <c r="G280" s="58">
        <v>0.1</v>
      </c>
      <c r="H280" s="46"/>
      <c r="I280" s="58">
        <v>31.45</v>
      </c>
      <c r="J280" s="59">
        <v>142.9</v>
      </c>
      <c r="K280" s="60"/>
      <c r="L280" s="60"/>
      <c r="M280" s="59">
        <f t="shared" si="79"/>
        <v>4494.21</v>
      </c>
      <c r="N280" s="60"/>
      <c r="O280" s="60"/>
      <c r="P280" s="59">
        <v>142.9</v>
      </c>
      <c r="Q280" s="60"/>
      <c r="R280" s="60"/>
      <c r="S280" s="59">
        <f t="shared" si="80"/>
        <v>4494.21</v>
      </c>
      <c r="T280" s="60"/>
      <c r="U280" s="61"/>
      <c r="V280" s="9">
        <f t="shared" si="81"/>
        <v>119.08</v>
      </c>
      <c r="Y280" s="9">
        <f t="shared" si="82"/>
        <v>3745.18</v>
      </c>
      <c r="AD280" s="4" t="s">
        <v>912</v>
      </c>
      <c r="AE280" s="4" t="s">
        <v>909</v>
      </c>
      <c r="AF280" s="4" t="s">
        <v>910</v>
      </c>
    </row>
    <row r="281" spans="1:35" ht="18.75" x14ac:dyDescent="0.25">
      <c r="A281" s="38" t="s">
        <v>913</v>
      </c>
      <c r="B281" s="38"/>
      <c r="C281" s="49" t="s">
        <v>914</v>
      </c>
      <c r="D281" s="40"/>
      <c r="E281" s="40"/>
      <c r="F281" s="50" t="s">
        <v>123</v>
      </c>
      <c r="G281" s="51">
        <v>1</v>
      </c>
      <c r="H281" s="40"/>
      <c r="I281" s="62">
        <v>0</v>
      </c>
      <c r="J281" s="53">
        <v>7</v>
      </c>
      <c r="K281" s="54"/>
      <c r="L281" s="54"/>
      <c r="M281" s="53">
        <f t="shared" si="79"/>
        <v>0</v>
      </c>
      <c r="N281" s="54"/>
      <c r="O281" s="54"/>
      <c r="P281" s="53">
        <v>7</v>
      </c>
      <c r="Q281" s="54"/>
      <c r="R281" s="54"/>
      <c r="S281" s="53">
        <f t="shared" si="80"/>
        <v>0</v>
      </c>
      <c r="T281" s="54"/>
      <c r="U281" s="55"/>
      <c r="V281" s="9">
        <f t="shared" si="81"/>
        <v>5.83</v>
      </c>
      <c r="Y281" s="9">
        <f t="shared" si="82"/>
        <v>0</v>
      </c>
      <c r="AD281" s="4" t="s">
        <v>915</v>
      </c>
      <c r="AE281" s="4" t="s">
        <v>916</v>
      </c>
      <c r="AF281" s="4" t="s">
        <v>917</v>
      </c>
    </row>
    <row r="282" spans="1:35" ht="18.75" x14ac:dyDescent="0.25">
      <c r="A282" s="44" t="s">
        <v>918</v>
      </c>
      <c r="B282" s="44"/>
      <c r="C282" s="56" t="s">
        <v>914</v>
      </c>
      <c r="D282" s="46"/>
      <c r="E282" s="46"/>
      <c r="F282" s="57" t="s">
        <v>123</v>
      </c>
      <c r="G282" s="58">
        <v>1</v>
      </c>
      <c r="H282" s="46"/>
      <c r="I282" s="63">
        <v>314.5</v>
      </c>
      <c r="J282" s="59">
        <v>7</v>
      </c>
      <c r="K282" s="60"/>
      <c r="L282" s="60"/>
      <c r="M282" s="59">
        <f t="shared" si="79"/>
        <v>2201.5</v>
      </c>
      <c r="N282" s="60"/>
      <c r="O282" s="60"/>
      <c r="P282" s="59">
        <v>7</v>
      </c>
      <c r="Q282" s="60"/>
      <c r="R282" s="60"/>
      <c r="S282" s="59">
        <f t="shared" si="80"/>
        <v>2201.5</v>
      </c>
      <c r="T282" s="60"/>
      <c r="U282" s="61"/>
      <c r="V282" s="9">
        <f t="shared" si="81"/>
        <v>5.83</v>
      </c>
      <c r="Y282" s="9">
        <f t="shared" si="82"/>
        <v>1834.58</v>
      </c>
      <c r="AD282" s="4" t="s">
        <v>919</v>
      </c>
      <c r="AE282" s="4" t="s">
        <v>916</v>
      </c>
      <c r="AF282" s="4" t="s">
        <v>917</v>
      </c>
    </row>
    <row r="283" spans="1:35" ht="18.75" x14ac:dyDescent="0.25">
      <c r="A283" s="38" t="s">
        <v>920</v>
      </c>
      <c r="B283" s="38"/>
      <c r="C283" s="49" t="s">
        <v>865</v>
      </c>
      <c r="D283" s="40"/>
      <c r="E283" s="40"/>
      <c r="F283" s="50" t="s">
        <v>103</v>
      </c>
      <c r="G283" s="51">
        <v>0.3</v>
      </c>
      <c r="H283" s="40"/>
      <c r="I283" s="62">
        <v>0</v>
      </c>
      <c r="J283" s="53">
        <v>37.049999999999997</v>
      </c>
      <c r="K283" s="54"/>
      <c r="L283" s="54"/>
      <c r="M283" s="53">
        <f t="shared" si="79"/>
        <v>0</v>
      </c>
      <c r="N283" s="54"/>
      <c r="O283" s="54"/>
      <c r="P283" s="53">
        <v>37.049999999999997</v>
      </c>
      <c r="Q283" s="54"/>
      <c r="R283" s="54"/>
      <c r="S283" s="53">
        <f t="shared" si="80"/>
        <v>0</v>
      </c>
      <c r="T283" s="54"/>
      <c r="U283" s="55"/>
      <c r="V283" s="9">
        <f t="shared" si="81"/>
        <v>30.88</v>
      </c>
      <c r="Y283" s="9">
        <f t="shared" si="82"/>
        <v>0</v>
      </c>
      <c r="AD283" s="4" t="s">
        <v>921</v>
      </c>
      <c r="AE283" s="4" t="s">
        <v>922</v>
      </c>
      <c r="AF283" s="4" t="s">
        <v>868</v>
      </c>
    </row>
    <row r="284" spans="1:35" ht="18.75" x14ac:dyDescent="0.25">
      <c r="A284" s="44" t="s">
        <v>923</v>
      </c>
      <c r="B284" s="44"/>
      <c r="C284" s="56" t="s">
        <v>865</v>
      </c>
      <c r="D284" s="46"/>
      <c r="E284" s="46"/>
      <c r="F284" s="57" t="s">
        <v>103</v>
      </c>
      <c r="G284" s="58">
        <v>0.3</v>
      </c>
      <c r="H284" s="46"/>
      <c r="I284" s="63">
        <v>94.35</v>
      </c>
      <c r="J284" s="59">
        <v>37.049999999999997</v>
      </c>
      <c r="K284" s="60"/>
      <c r="L284" s="60"/>
      <c r="M284" s="59">
        <f t="shared" si="79"/>
        <v>3495.67</v>
      </c>
      <c r="N284" s="60"/>
      <c r="O284" s="60"/>
      <c r="P284" s="59">
        <v>37.049999999999997</v>
      </c>
      <c r="Q284" s="60"/>
      <c r="R284" s="60"/>
      <c r="S284" s="59">
        <f t="shared" si="80"/>
        <v>3495.67</v>
      </c>
      <c r="T284" s="60"/>
      <c r="U284" s="61"/>
      <c r="V284" s="9">
        <f t="shared" si="81"/>
        <v>30.88</v>
      </c>
      <c r="Y284" s="9">
        <f t="shared" si="82"/>
        <v>2913.06</v>
      </c>
      <c r="AD284" s="4" t="s">
        <v>924</v>
      </c>
      <c r="AE284" s="4" t="s">
        <v>922</v>
      </c>
      <c r="AF284" s="4" t="s">
        <v>868</v>
      </c>
    </row>
    <row r="285" spans="1:35" ht="56.25" x14ac:dyDescent="0.25">
      <c r="A285" s="38" t="s">
        <v>925</v>
      </c>
      <c r="B285" s="38"/>
      <c r="C285" s="49" t="s">
        <v>926</v>
      </c>
      <c r="D285" s="40"/>
      <c r="E285" s="40"/>
      <c r="F285" s="50" t="s">
        <v>81</v>
      </c>
      <c r="G285" s="51">
        <v>1.8</v>
      </c>
      <c r="H285" s="40"/>
      <c r="I285" s="52">
        <v>0</v>
      </c>
      <c r="J285" s="53">
        <v>12.58</v>
      </c>
      <c r="K285" s="54"/>
      <c r="L285" s="54"/>
      <c r="M285" s="53">
        <f t="shared" si="79"/>
        <v>0</v>
      </c>
      <c r="N285" s="54"/>
      <c r="O285" s="54"/>
      <c r="P285" s="53">
        <v>12.58</v>
      </c>
      <c r="Q285" s="54"/>
      <c r="R285" s="54"/>
      <c r="S285" s="53">
        <f t="shared" si="80"/>
        <v>0</v>
      </c>
      <c r="T285" s="54"/>
      <c r="U285" s="55"/>
      <c r="V285" s="9">
        <f t="shared" si="81"/>
        <v>10.48</v>
      </c>
      <c r="Y285" s="9">
        <f t="shared" si="82"/>
        <v>0</v>
      </c>
      <c r="AD285" s="4" t="s">
        <v>927</v>
      </c>
      <c r="AE285" s="4" t="s">
        <v>928</v>
      </c>
      <c r="AF285" s="4" t="s">
        <v>929</v>
      </c>
    </row>
    <row r="286" spans="1:35" ht="56.25" x14ac:dyDescent="0.25">
      <c r="A286" s="44" t="s">
        <v>930</v>
      </c>
      <c r="B286" s="44"/>
      <c r="C286" s="56" t="s">
        <v>926</v>
      </c>
      <c r="D286" s="46"/>
      <c r="E286" s="46"/>
      <c r="F286" s="57" t="s">
        <v>81</v>
      </c>
      <c r="G286" s="58">
        <v>1.8</v>
      </c>
      <c r="H286" s="46"/>
      <c r="I286" s="58">
        <v>566.1</v>
      </c>
      <c r="J286" s="59">
        <v>12.58</v>
      </c>
      <c r="K286" s="60"/>
      <c r="L286" s="60"/>
      <c r="M286" s="59">
        <f t="shared" si="79"/>
        <v>7121.54</v>
      </c>
      <c r="N286" s="60"/>
      <c r="O286" s="60"/>
      <c r="P286" s="59">
        <v>12.58</v>
      </c>
      <c r="Q286" s="60"/>
      <c r="R286" s="60"/>
      <c r="S286" s="59">
        <f t="shared" si="80"/>
        <v>7121.54</v>
      </c>
      <c r="T286" s="60"/>
      <c r="U286" s="61"/>
      <c r="V286" s="9">
        <f t="shared" si="81"/>
        <v>10.48</v>
      </c>
      <c r="Y286" s="9">
        <f t="shared" si="82"/>
        <v>5934.62</v>
      </c>
      <c r="AD286" s="4" t="s">
        <v>931</v>
      </c>
      <c r="AE286" s="4" t="s">
        <v>928</v>
      </c>
      <c r="AF286" s="4" t="s">
        <v>929</v>
      </c>
    </row>
    <row r="287" spans="1:35" ht="56.25" x14ac:dyDescent="0.25">
      <c r="A287" s="38" t="s">
        <v>932</v>
      </c>
      <c r="B287" s="38" t="s">
        <v>853</v>
      </c>
      <c r="C287" s="39" t="s">
        <v>854</v>
      </c>
      <c r="D287" s="40"/>
      <c r="E287" s="40" t="s">
        <v>933</v>
      </c>
      <c r="F287" s="40" t="s">
        <v>56</v>
      </c>
      <c r="G287" s="41">
        <v>1</v>
      </c>
      <c r="H287" s="40"/>
      <c r="I287" s="42">
        <v>0</v>
      </c>
      <c r="J287" s="43">
        <f>IFERROR(ROUND(SUM(M289,M291,M293,M295)/I287, 2),0)</f>
        <v>0</v>
      </c>
      <c r="K287" s="43">
        <v>329</v>
      </c>
      <c r="L287" s="43">
        <f>J287+ROUND(K287, 2)</f>
        <v>329</v>
      </c>
      <c r="M287" s="43">
        <f>ROUND(J287*I287, 2)</f>
        <v>0</v>
      </c>
      <c r="N287" s="43">
        <f>ROUND(I287*ROUND(K287, 2), 2)</f>
        <v>0</v>
      </c>
      <c r="O287" s="43">
        <f>M287+N287</f>
        <v>0</v>
      </c>
      <c r="P287" s="43">
        <f>IFERROR(ROUND(SUM(S289,S291,S293,S295)/I287, 2),0)</f>
        <v>0</v>
      </c>
      <c r="Q287" s="43">
        <v>329</v>
      </c>
      <c r="R287" s="43">
        <f>P287+ROUND(Q287, 2)</f>
        <v>329</v>
      </c>
      <c r="S287" s="43">
        <f>ROUND(P287*I287, 2)</f>
        <v>0</v>
      </c>
      <c r="T287" s="43">
        <f>ROUND(I287*ROUND(Q287, 2), 2)</f>
        <v>0</v>
      </c>
      <c r="U287" s="43">
        <f>S287+T287</f>
        <v>0</v>
      </c>
      <c r="V287" s="9">
        <f>ROUND(P287 / 1.2, 2)</f>
        <v>0</v>
      </c>
      <c r="W287" s="9">
        <f>ROUND(Q287 / 1.2, 2)</f>
        <v>274.17</v>
      </c>
      <c r="X287" s="9">
        <f>ROUND(R287 / 1.2, 2)</f>
        <v>274.17</v>
      </c>
      <c r="Y287" s="9">
        <f t="shared" si="82"/>
        <v>0</v>
      </c>
      <c r="Z287" s="9">
        <f>ROUND(T287 / 1.2, 2)</f>
        <v>0</v>
      </c>
      <c r="AA287" s="9">
        <f>Y287+Z287</f>
        <v>0</v>
      </c>
      <c r="AD287" s="4">
        <v>264030382</v>
      </c>
      <c r="AE287" s="4">
        <v>16081650</v>
      </c>
      <c r="AG287" s="4" t="s">
        <v>856</v>
      </c>
      <c r="AH287" s="4" t="s">
        <v>857</v>
      </c>
      <c r="AI287" s="4" t="s">
        <v>249</v>
      </c>
    </row>
    <row r="288" spans="1:35" ht="56.25" x14ac:dyDescent="0.25">
      <c r="A288" s="44" t="s">
        <v>934</v>
      </c>
      <c r="B288" s="44" t="s">
        <v>853</v>
      </c>
      <c r="C288" s="45" t="s">
        <v>854</v>
      </c>
      <c r="D288" s="46"/>
      <c r="E288" s="46" t="s">
        <v>933</v>
      </c>
      <c r="F288" s="46" t="s">
        <v>56</v>
      </c>
      <c r="G288" s="47">
        <v>1</v>
      </c>
      <c r="H288" s="46"/>
      <c r="I288" s="47">
        <v>314.5</v>
      </c>
      <c r="J288" s="48">
        <v>0</v>
      </c>
      <c r="K288" s="48">
        <v>329</v>
      </c>
      <c r="L288" s="48"/>
      <c r="M288" s="48">
        <v>0</v>
      </c>
      <c r="N288" s="48"/>
      <c r="O288" s="48"/>
      <c r="P288" s="48">
        <v>0</v>
      </c>
      <c r="Q288" s="48">
        <v>329</v>
      </c>
      <c r="R288" s="48"/>
      <c r="S288" s="48">
        <v>0</v>
      </c>
      <c r="T288" s="48"/>
      <c r="U288" s="48"/>
      <c r="V288" s="9"/>
      <c r="W288" s="9">
        <f>ROUND(Q288 / 1.2, 2)</f>
        <v>274.17</v>
      </c>
      <c r="X288" s="9" t="e">
        <f>ROUND(R288 / 1.2, 2)</f>
        <v>#VALUE!</v>
      </c>
      <c r="Y288" s="9"/>
      <c r="Z288" s="9" t="e">
        <f>ROUND(T288 / 1.2, 2)</f>
        <v>#VALUE!</v>
      </c>
      <c r="AA288" s="9"/>
      <c r="AD288" s="4">
        <v>204390267</v>
      </c>
      <c r="AE288" s="4">
        <v>16081650</v>
      </c>
      <c r="AG288" s="4" t="s">
        <v>856</v>
      </c>
      <c r="AH288" s="4" t="s">
        <v>857</v>
      </c>
      <c r="AI288" s="4"/>
    </row>
    <row r="289" spans="1:35" ht="37.5" x14ac:dyDescent="0.25">
      <c r="A289" s="38" t="s">
        <v>935</v>
      </c>
      <c r="B289" s="38"/>
      <c r="C289" s="49" t="s">
        <v>880</v>
      </c>
      <c r="D289" s="40"/>
      <c r="E289" s="40"/>
      <c r="F289" s="50" t="s">
        <v>81</v>
      </c>
      <c r="G289" s="51">
        <v>1</v>
      </c>
      <c r="H289" s="40"/>
      <c r="I289" s="52">
        <v>0</v>
      </c>
      <c r="J289" s="53">
        <v>60</v>
      </c>
      <c r="K289" s="54"/>
      <c r="L289" s="54"/>
      <c r="M289" s="53">
        <f t="shared" ref="M289:M296" si="83">ROUND(ROUND(J289, 2)*I289, 2)</f>
        <v>0</v>
      </c>
      <c r="N289" s="54"/>
      <c r="O289" s="54"/>
      <c r="P289" s="53">
        <v>12.58</v>
      </c>
      <c r="Q289" s="54"/>
      <c r="R289" s="54"/>
      <c r="S289" s="53">
        <f t="shared" ref="S289:S296" si="84">ROUND(ROUND(P289, 2)*I289, 2)</f>
        <v>0</v>
      </c>
      <c r="T289" s="54"/>
      <c r="U289" s="55"/>
      <c r="V289" s="9">
        <f t="shared" ref="V289:V296" si="85">ROUND(ROUND(P289, 2)/1.2, 2)</f>
        <v>10.48</v>
      </c>
      <c r="Y289" s="9">
        <f t="shared" ref="Y289:Y297" si="86">ROUND(S289 / 1.2, 2)</f>
        <v>0</v>
      </c>
      <c r="AD289" s="4" t="s">
        <v>936</v>
      </c>
      <c r="AE289" s="4" t="s">
        <v>937</v>
      </c>
      <c r="AF289" s="4" t="s">
        <v>883</v>
      </c>
    </row>
    <row r="290" spans="1:35" ht="37.5" x14ac:dyDescent="0.25">
      <c r="A290" s="44" t="s">
        <v>938</v>
      </c>
      <c r="B290" s="44"/>
      <c r="C290" s="56" t="s">
        <v>880</v>
      </c>
      <c r="D290" s="46"/>
      <c r="E290" s="46"/>
      <c r="F290" s="57" t="s">
        <v>81</v>
      </c>
      <c r="G290" s="58">
        <v>1</v>
      </c>
      <c r="H290" s="46"/>
      <c r="I290" s="58">
        <v>314.5</v>
      </c>
      <c r="J290" s="59">
        <v>60</v>
      </c>
      <c r="K290" s="60"/>
      <c r="L290" s="60"/>
      <c r="M290" s="59">
        <f t="shared" si="83"/>
        <v>18870</v>
      </c>
      <c r="N290" s="60"/>
      <c r="O290" s="60"/>
      <c r="P290" s="59">
        <v>12.58</v>
      </c>
      <c r="Q290" s="60"/>
      <c r="R290" s="60"/>
      <c r="S290" s="59">
        <f t="shared" si="84"/>
        <v>3956.41</v>
      </c>
      <c r="T290" s="60"/>
      <c r="U290" s="61"/>
      <c r="V290" s="9">
        <f t="shared" si="85"/>
        <v>10.48</v>
      </c>
      <c r="Y290" s="9">
        <f t="shared" si="86"/>
        <v>3297.01</v>
      </c>
      <c r="AD290" s="4" t="s">
        <v>939</v>
      </c>
      <c r="AE290" s="4" t="s">
        <v>937</v>
      </c>
      <c r="AF290" s="4" t="s">
        <v>883</v>
      </c>
    </row>
    <row r="291" spans="1:35" ht="18.75" x14ac:dyDescent="0.25">
      <c r="A291" s="38" t="s">
        <v>940</v>
      </c>
      <c r="B291" s="38"/>
      <c r="C291" s="49" t="s">
        <v>865</v>
      </c>
      <c r="D291" s="40"/>
      <c r="E291" s="40"/>
      <c r="F291" s="50" t="s">
        <v>103</v>
      </c>
      <c r="G291" s="51">
        <v>0.3</v>
      </c>
      <c r="H291" s="40"/>
      <c r="I291" s="62">
        <v>0</v>
      </c>
      <c r="J291" s="53">
        <v>37.049999999999997</v>
      </c>
      <c r="K291" s="54"/>
      <c r="L291" s="54"/>
      <c r="M291" s="53">
        <f t="shared" si="83"/>
        <v>0</v>
      </c>
      <c r="N291" s="54"/>
      <c r="O291" s="54"/>
      <c r="P291" s="53">
        <v>37.049999999999997</v>
      </c>
      <c r="Q291" s="54"/>
      <c r="R291" s="54"/>
      <c r="S291" s="53">
        <f t="shared" si="84"/>
        <v>0</v>
      </c>
      <c r="T291" s="54"/>
      <c r="U291" s="55"/>
      <c r="V291" s="9">
        <f t="shared" si="85"/>
        <v>30.88</v>
      </c>
      <c r="Y291" s="9">
        <f t="shared" si="86"/>
        <v>0</v>
      </c>
      <c r="AD291" s="4" t="s">
        <v>941</v>
      </c>
      <c r="AE291" s="4" t="s">
        <v>942</v>
      </c>
      <c r="AF291" s="4" t="s">
        <v>868</v>
      </c>
    </row>
    <row r="292" spans="1:35" ht="18.75" x14ac:dyDescent="0.25">
      <c r="A292" s="44" t="s">
        <v>943</v>
      </c>
      <c r="B292" s="44"/>
      <c r="C292" s="56" t="s">
        <v>865</v>
      </c>
      <c r="D292" s="46"/>
      <c r="E292" s="46"/>
      <c r="F292" s="57" t="s">
        <v>103</v>
      </c>
      <c r="G292" s="58">
        <v>0.3</v>
      </c>
      <c r="H292" s="46"/>
      <c r="I292" s="63">
        <v>94.35</v>
      </c>
      <c r="J292" s="59">
        <v>37.049999999999997</v>
      </c>
      <c r="K292" s="60"/>
      <c r="L292" s="60"/>
      <c r="M292" s="59">
        <f t="shared" si="83"/>
        <v>3495.67</v>
      </c>
      <c r="N292" s="60"/>
      <c r="O292" s="60"/>
      <c r="P292" s="59">
        <v>37.049999999999997</v>
      </c>
      <c r="Q292" s="60"/>
      <c r="R292" s="60"/>
      <c r="S292" s="59">
        <f t="shared" si="84"/>
        <v>3495.67</v>
      </c>
      <c r="T292" s="60"/>
      <c r="U292" s="61"/>
      <c r="V292" s="9">
        <f t="shared" si="85"/>
        <v>30.88</v>
      </c>
      <c r="Y292" s="9">
        <f t="shared" si="86"/>
        <v>2913.06</v>
      </c>
      <c r="AD292" s="4" t="s">
        <v>944</v>
      </c>
      <c r="AE292" s="4" t="s">
        <v>942</v>
      </c>
      <c r="AF292" s="4" t="s">
        <v>868</v>
      </c>
    </row>
    <row r="293" spans="1:35" ht="18.75" x14ac:dyDescent="0.25">
      <c r="A293" s="38" t="s">
        <v>945</v>
      </c>
      <c r="B293" s="38"/>
      <c r="C293" s="49" t="s">
        <v>914</v>
      </c>
      <c r="D293" s="40"/>
      <c r="E293" s="40"/>
      <c r="F293" s="50" t="s">
        <v>123</v>
      </c>
      <c r="G293" s="51">
        <v>1</v>
      </c>
      <c r="H293" s="40"/>
      <c r="I293" s="62">
        <v>0</v>
      </c>
      <c r="J293" s="53">
        <v>7</v>
      </c>
      <c r="K293" s="54"/>
      <c r="L293" s="54"/>
      <c r="M293" s="53">
        <f t="shared" si="83"/>
        <v>0</v>
      </c>
      <c r="N293" s="54"/>
      <c r="O293" s="54"/>
      <c r="P293" s="53">
        <v>7</v>
      </c>
      <c r="Q293" s="54"/>
      <c r="R293" s="54"/>
      <c r="S293" s="53">
        <f t="shared" si="84"/>
        <v>0</v>
      </c>
      <c r="T293" s="54"/>
      <c r="U293" s="55"/>
      <c r="V293" s="9">
        <f t="shared" si="85"/>
        <v>5.83</v>
      </c>
      <c r="Y293" s="9">
        <f t="shared" si="86"/>
        <v>0</v>
      </c>
      <c r="AD293" s="4" t="s">
        <v>946</v>
      </c>
      <c r="AE293" s="4" t="s">
        <v>947</v>
      </c>
      <c r="AF293" s="4" t="s">
        <v>917</v>
      </c>
    </row>
    <row r="294" spans="1:35" ht="18.75" x14ac:dyDescent="0.25">
      <c r="A294" s="44" t="s">
        <v>948</v>
      </c>
      <c r="B294" s="44"/>
      <c r="C294" s="56" t="s">
        <v>914</v>
      </c>
      <c r="D294" s="46"/>
      <c r="E294" s="46"/>
      <c r="F294" s="57" t="s">
        <v>123</v>
      </c>
      <c r="G294" s="58">
        <v>1</v>
      </c>
      <c r="H294" s="46"/>
      <c r="I294" s="63">
        <v>314.5</v>
      </c>
      <c r="J294" s="59">
        <v>7</v>
      </c>
      <c r="K294" s="60"/>
      <c r="L294" s="60"/>
      <c r="M294" s="59">
        <f t="shared" si="83"/>
        <v>2201.5</v>
      </c>
      <c r="N294" s="60"/>
      <c r="O294" s="60"/>
      <c r="P294" s="59">
        <v>7</v>
      </c>
      <c r="Q294" s="60"/>
      <c r="R294" s="60"/>
      <c r="S294" s="59">
        <f t="shared" si="84"/>
        <v>2201.5</v>
      </c>
      <c r="T294" s="60"/>
      <c r="U294" s="61"/>
      <c r="V294" s="9">
        <f t="shared" si="85"/>
        <v>5.83</v>
      </c>
      <c r="Y294" s="9">
        <f t="shared" si="86"/>
        <v>1834.58</v>
      </c>
      <c r="AD294" s="4" t="s">
        <v>949</v>
      </c>
      <c r="AE294" s="4" t="s">
        <v>947</v>
      </c>
      <c r="AF294" s="4" t="s">
        <v>917</v>
      </c>
    </row>
    <row r="295" spans="1:35" ht="37.5" x14ac:dyDescent="0.25">
      <c r="A295" s="38" t="s">
        <v>950</v>
      </c>
      <c r="B295" s="38"/>
      <c r="C295" s="49" t="s">
        <v>490</v>
      </c>
      <c r="D295" s="40"/>
      <c r="E295" s="40"/>
      <c r="F295" s="50" t="s">
        <v>81</v>
      </c>
      <c r="G295" s="51">
        <v>0.15</v>
      </c>
      <c r="H295" s="40"/>
      <c r="I295" s="52">
        <v>0</v>
      </c>
      <c r="J295" s="53">
        <v>88.8</v>
      </c>
      <c r="K295" s="54"/>
      <c r="L295" s="54"/>
      <c r="M295" s="53">
        <f t="shared" si="83"/>
        <v>0</v>
      </c>
      <c r="N295" s="54"/>
      <c r="O295" s="54"/>
      <c r="P295" s="53">
        <v>88.8</v>
      </c>
      <c r="Q295" s="54"/>
      <c r="R295" s="54"/>
      <c r="S295" s="53">
        <f t="shared" si="84"/>
        <v>0</v>
      </c>
      <c r="T295" s="54"/>
      <c r="U295" s="55"/>
      <c r="V295" s="9">
        <f t="shared" si="85"/>
        <v>74</v>
      </c>
      <c r="Y295" s="9">
        <f t="shared" si="86"/>
        <v>0</v>
      </c>
      <c r="AD295" s="4" t="s">
        <v>951</v>
      </c>
      <c r="AE295" s="4" t="s">
        <v>952</v>
      </c>
      <c r="AF295" s="4" t="s">
        <v>493</v>
      </c>
    </row>
    <row r="296" spans="1:35" ht="37.5" x14ac:dyDescent="0.25">
      <c r="A296" s="44" t="s">
        <v>953</v>
      </c>
      <c r="B296" s="44"/>
      <c r="C296" s="56" t="s">
        <v>490</v>
      </c>
      <c r="D296" s="46"/>
      <c r="E296" s="46"/>
      <c r="F296" s="57" t="s">
        <v>81</v>
      </c>
      <c r="G296" s="58">
        <v>0.15</v>
      </c>
      <c r="H296" s="46"/>
      <c r="I296" s="58">
        <v>47.174999999999997</v>
      </c>
      <c r="J296" s="59">
        <v>88.8</v>
      </c>
      <c r="K296" s="60"/>
      <c r="L296" s="60"/>
      <c r="M296" s="59">
        <f t="shared" si="83"/>
        <v>4189.1400000000003</v>
      </c>
      <c r="N296" s="60"/>
      <c r="O296" s="60"/>
      <c r="P296" s="59">
        <v>88.8</v>
      </c>
      <c r="Q296" s="60"/>
      <c r="R296" s="60"/>
      <c r="S296" s="59">
        <f t="shared" si="84"/>
        <v>4189.1400000000003</v>
      </c>
      <c r="T296" s="60"/>
      <c r="U296" s="61"/>
      <c r="V296" s="9">
        <f t="shared" si="85"/>
        <v>74</v>
      </c>
      <c r="Y296" s="9">
        <f t="shared" si="86"/>
        <v>3490.95</v>
      </c>
      <c r="AD296" s="4" t="s">
        <v>954</v>
      </c>
      <c r="AE296" s="4" t="s">
        <v>952</v>
      </c>
      <c r="AF296" s="4" t="s">
        <v>493</v>
      </c>
    </row>
    <row r="297" spans="1:35" ht="56.25" x14ac:dyDescent="0.25">
      <c r="A297" s="38" t="s">
        <v>955</v>
      </c>
      <c r="B297" s="38" t="s">
        <v>853</v>
      </c>
      <c r="C297" s="39" t="s">
        <v>854</v>
      </c>
      <c r="D297" s="40"/>
      <c r="E297" s="40" t="s">
        <v>933</v>
      </c>
      <c r="F297" s="40" t="s">
        <v>56</v>
      </c>
      <c r="G297" s="41">
        <v>1</v>
      </c>
      <c r="H297" s="40"/>
      <c r="I297" s="42">
        <v>0</v>
      </c>
      <c r="J297" s="43">
        <f>IFERROR(ROUND(SUM(M299,M301,M303)/I297, 2),0)</f>
        <v>0</v>
      </c>
      <c r="K297" s="43">
        <v>329</v>
      </c>
      <c r="L297" s="43">
        <f>J297+ROUND(K297, 2)</f>
        <v>329</v>
      </c>
      <c r="M297" s="43">
        <f>ROUND(J297*I297, 2)</f>
        <v>0</v>
      </c>
      <c r="N297" s="43">
        <f>ROUND(I297*ROUND(K297, 2), 2)</f>
        <v>0</v>
      </c>
      <c r="O297" s="43">
        <f>M297+N297</f>
        <v>0</v>
      </c>
      <c r="P297" s="43">
        <f>IFERROR(ROUND(SUM(S299,S301,S303)/I297, 2),0)</f>
        <v>0</v>
      </c>
      <c r="Q297" s="43">
        <v>329</v>
      </c>
      <c r="R297" s="43">
        <f>P297+ROUND(Q297, 2)</f>
        <v>329</v>
      </c>
      <c r="S297" s="43">
        <f>ROUND(P297*I297, 2)</f>
        <v>0</v>
      </c>
      <c r="T297" s="43">
        <f>ROUND(I297*ROUND(Q297, 2), 2)</f>
        <v>0</v>
      </c>
      <c r="U297" s="43">
        <f>S297+T297</f>
        <v>0</v>
      </c>
      <c r="V297" s="9">
        <f>ROUND(P297 / 1.2, 2)</f>
        <v>0</v>
      </c>
      <c r="W297" s="9">
        <f>ROUND(Q297 / 1.2, 2)</f>
        <v>274.17</v>
      </c>
      <c r="X297" s="9">
        <f>ROUND(R297 / 1.2, 2)</f>
        <v>274.17</v>
      </c>
      <c r="Y297" s="9">
        <f t="shared" si="86"/>
        <v>0</v>
      </c>
      <c r="Z297" s="9">
        <f>ROUND(T297 / 1.2, 2)</f>
        <v>0</v>
      </c>
      <c r="AA297" s="9">
        <f>Y297+Z297</f>
        <v>0</v>
      </c>
      <c r="AD297" s="4">
        <v>264030383</v>
      </c>
      <c r="AE297" s="4">
        <v>16081685</v>
      </c>
      <c r="AG297" s="4" t="s">
        <v>856</v>
      </c>
      <c r="AH297" s="4" t="s">
        <v>857</v>
      </c>
      <c r="AI297" s="4" t="s">
        <v>249</v>
      </c>
    </row>
    <row r="298" spans="1:35" ht="56.25" x14ac:dyDescent="0.25">
      <c r="A298" s="44" t="s">
        <v>956</v>
      </c>
      <c r="B298" s="44" t="s">
        <v>853</v>
      </c>
      <c r="C298" s="45" t="s">
        <v>854</v>
      </c>
      <c r="D298" s="46"/>
      <c r="E298" s="46" t="s">
        <v>933</v>
      </c>
      <c r="F298" s="46" t="s">
        <v>56</v>
      </c>
      <c r="G298" s="47">
        <v>1</v>
      </c>
      <c r="H298" s="46"/>
      <c r="I298" s="47">
        <v>314.5</v>
      </c>
      <c r="J298" s="48">
        <v>0</v>
      </c>
      <c r="K298" s="48">
        <v>329</v>
      </c>
      <c r="L298" s="48"/>
      <c r="M298" s="48">
        <v>0</v>
      </c>
      <c r="N298" s="48"/>
      <c r="O298" s="48"/>
      <c r="P298" s="48">
        <v>0</v>
      </c>
      <c r="Q298" s="48">
        <v>329</v>
      </c>
      <c r="R298" s="48"/>
      <c r="S298" s="48">
        <v>0</v>
      </c>
      <c r="T298" s="48"/>
      <c r="U298" s="48"/>
      <c r="V298" s="9"/>
      <c r="W298" s="9">
        <f>ROUND(Q298 / 1.2, 2)</f>
        <v>274.17</v>
      </c>
      <c r="X298" s="9" t="e">
        <f>ROUND(R298 / 1.2, 2)</f>
        <v>#VALUE!</v>
      </c>
      <c r="Y298" s="9"/>
      <c r="Z298" s="9" t="e">
        <f>ROUND(T298 / 1.2, 2)</f>
        <v>#VALUE!</v>
      </c>
      <c r="AA298" s="9"/>
      <c r="AD298" s="4">
        <v>204390268</v>
      </c>
      <c r="AE298" s="4">
        <v>16081685</v>
      </c>
      <c r="AG298" s="4" t="s">
        <v>856</v>
      </c>
      <c r="AH298" s="4" t="s">
        <v>857</v>
      </c>
      <c r="AI298" s="4"/>
    </row>
    <row r="299" spans="1:35" ht="37.5" x14ac:dyDescent="0.25">
      <c r="A299" s="38" t="s">
        <v>957</v>
      </c>
      <c r="B299" s="38"/>
      <c r="C299" s="49" t="s">
        <v>490</v>
      </c>
      <c r="D299" s="40"/>
      <c r="E299" s="40"/>
      <c r="F299" s="50" t="s">
        <v>81</v>
      </c>
      <c r="G299" s="51">
        <v>0.15</v>
      </c>
      <c r="H299" s="40"/>
      <c r="I299" s="52">
        <v>0</v>
      </c>
      <c r="J299" s="53">
        <v>88.8</v>
      </c>
      <c r="K299" s="54"/>
      <c r="L299" s="54"/>
      <c r="M299" s="53">
        <f t="shared" ref="M299:M304" si="87">ROUND(ROUND(J299, 2)*I299, 2)</f>
        <v>0</v>
      </c>
      <c r="N299" s="54"/>
      <c r="O299" s="54"/>
      <c r="P299" s="53">
        <v>88.8</v>
      </c>
      <c r="Q299" s="54"/>
      <c r="R299" s="54"/>
      <c r="S299" s="53">
        <f t="shared" ref="S299:S304" si="88">ROUND(ROUND(P299, 2)*I299, 2)</f>
        <v>0</v>
      </c>
      <c r="T299" s="54"/>
      <c r="U299" s="55"/>
      <c r="V299" s="9">
        <f t="shared" ref="V299:V304" si="89">ROUND(ROUND(P299, 2)/1.2, 2)</f>
        <v>74</v>
      </c>
      <c r="Y299" s="9">
        <f t="shared" ref="Y299:Y305" si="90">ROUND(S299 / 1.2, 2)</f>
        <v>0</v>
      </c>
      <c r="AD299" s="4" t="s">
        <v>958</v>
      </c>
      <c r="AE299" s="4" t="s">
        <v>959</v>
      </c>
      <c r="AF299" s="4" t="s">
        <v>493</v>
      </c>
    </row>
    <row r="300" spans="1:35" ht="37.5" x14ac:dyDescent="0.25">
      <c r="A300" s="44" t="s">
        <v>960</v>
      </c>
      <c r="B300" s="44"/>
      <c r="C300" s="56" t="s">
        <v>490</v>
      </c>
      <c r="D300" s="46"/>
      <c r="E300" s="46"/>
      <c r="F300" s="57" t="s">
        <v>81</v>
      </c>
      <c r="G300" s="58">
        <v>0.15</v>
      </c>
      <c r="H300" s="46"/>
      <c r="I300" s="58">
        <v>47.174999999999997</v>
      </c>
      <c r="J300" s="59">
        <v>88.8</v>
      </c>
      <c r="K300" s="60"/>
      <c r="L300" s="60"/>
      <c r="M300" s="59">
        <f t="shared" si="87"/>
        <v>4189.1400000000003</v>
      </c>
      <c r="N300" s="60"/>
      <c r="O300" s="60"/>
      <c r="P300" s="59">
        <v>88.8</v>
      </c>
      <c r="Q300" s="60"/>
      <c r="R300" s="60"/>
      <c r="S300" s="59">
        <f t="shared" si="88"/>
        <v>4189.1400000000003</v>
      </c>
      <c r="T300" s="60"/>
      <c r="U300" s="61"/>
      <c r="V300" s="9">
        <f t="shared" si="89"/>
        <v>74</v>
      </c>
      <c r="Y300" s="9">
        <f t="shared" si="90"/>
        <v>3490.95</v>
      </c>
      <c r="AD300" s="4" t="s">
        <v>961</v>
      </c>
      <c r="AE300" s="4" t="s">
        <v>959</v>
      </c>
      <c r="AF300" s="4" t="s">
        <v>493</v>
      </c>
    </row>
    <row r="301" spans="1:35" ht="18.75" x14ac:dyDescent="0.25">
      <c r="A301" s="38" t="s">
        <v>962</v>
      </c>
      <c r="B301" s="38"/>
      <c r="C301" s="49" t="s">
        <v>865</v>
      </c>
      <c r="D301" s="40"/>
      <c r="E301" s="40"/>
      <c r="F301" s="50" t="s">
        <v>103</v>
      </c>
      <c r="G301" s="51">
        <v>0.3</v>
      </c>
      <c r="H301" s="40"/>
      <c r="I301" s="62">
        <v>0</v>
      </c>
      <c r="J301" s="53">
        <v>37.049999999999997</v>
      </c>
      <c r="K301" s="54"/>
      <c r="L301" s="54"/>
      <c r="M301" s="53">
        <f t="shared" si="87"/>
        <v>0</v>
      </c>
      <c r="N301" s="54"/>
      <c r="O301" s="54"/>
      <c r="P301" s="53">
        <v>37.049999999999997</v>
      </c>
      <c r="Q301" s="54"/>
      <c r="R301" s="54"/>
      <c r="S301" s="53">
        <f t="shared" si="88"/>
        <v>0</v>
      </c>
      <c r="T301" s="54"/>
      <c r="U301" s="55"/>
      <c r="V301" s="9">
        <f t="shared" si="89"/>
        <v>30.88</v>
      </c>
      <c r="Y301" s="9">
        <f t="shared" si="90"/>
        <v>0</v>
      </c>
      <c r="AD301" s="4" t="s">
        <v>963</v>
      </c>
      <c r="AE301" s="4" t="s">
        <v>964</v>
      </c>
      <c r="AF301" s="4" t="s">
        <v>868</v>
      </c>
    </row>
    <row r="302" spans="1:35" ht="18.75" x14ac:dyDescent="0.25">
      <c r="A302" s="44" t="s">
        <v>965</v>
      </c>
      <c r="B302" s="44"/>
      <c r="C302" s="56" t="s">
        <v>865</v>
      </c>
      <c r="D302" s="46"/>
      <c r="E302" s="46"/>
      <c r="F302" s="57" t="s">
        <v>103</v>
      </c>
      <c r="G302" s="58">
        <v>0.3</v>
      </c>
      <c r="H302" s="46"/>
      <c r="I302" s="63">
        <v>94.35</v>
      </c>
      <c r="J302" s="59">
        <v>37.049999999999997</v>
      </c>
      <c r="K302" s="60"/>
      <c r="L302" s="60"/>
      <c r="M302" s="59">
        <f t="shared" si="87"/>
        <v>3495.67</v>
      </c>
      <c r="N302" s="60"/>
      <c r="O302" s="60"/>
      <c r="P302" s="59">
        <v>37.049999999999997</v>
      </c>
      <c r="Q302" s="60"/>
      <c r="R302" s="60"/>
      <c r="S302" s="59">
        <f t="shared" si="88"/>
        <v>3495.67</v>
      </c>
      <c r="T302" s="60"/>
      <c r="U302" s="61"/>
      <c r="V302" s="9">
        <f t="shared" si="89"/>
        <v>30.88</v>
      </c>
      <c r="Y302" s="9">
        <f t="shared" si="90"/>
        <v>2913.06</v>
      </c>
      <c r="AD302" s="4" t="s">
        <v>966</v>
      </c>
      <c r="AE302" s="4" t="s">
        <v>964</v>
      </c>
      <c r="AF302" s="4" t="s">
        <v>868</v>
      </c>
    </row>
    <row r="303" spans="1:35" ht="37.5" x14ac:dyDescent="0.25">
      <c r="A303" s="38" t="s">
        <v>967</v>
      </c>
      <c r="B303" s="38"/>
      <c r="C303" s="49" t="s">
        <v>887</v>
      </c>
      <c r="D303" s="40"/>
      <c r="E303" s="40"/>
      <c r="F303" s="50" t="s">
        <v>81</v>
      </c>
      <c r="G303" s="51">
        <v>1.8</v>
      </c>
      <c r="H303" s="40"/>
      <c r="I303" s="52">
        <v>0</v>
      </c>
      <c r="J303" s="53">
        <v>23</v>
      </c>
      <c r="K303" s="54"/>
      <c r="L303" s="54"/>
      <c r="M303" s="53">
        <f t="shared" si="87"/>
        <v>0</v>
      </c>
      <c r="N303" s="54"/>
      <c r="O303" s="54"/>
      <c r="P303" s="53">
        <v>12.58</v>
      </c>
      <c r="Q303" s="54"/>
      <c r="R303" s="54"/>
      <c r="S303" s="53">
        <f t="shared" si="88"/>
        <v>0</v>
      </c>
      <c r="T303" s="54"/>
      <c r="U303" s="55"/>
      <c r="V303" s="9">
        <f t="shared" si="89"/>
        <v>10.48</v>
      </c>
      <c r="Y303" s="9">
        <f t="shared" si="90"/>
        <v>0</v>
      </c>
      <c r="AD303" s="4" t="s">
        <v>968</v>
      </c>
      <c r="AE303" s="4" t="s">
        <v>969</v>
      </c>
      <c r="AF303" s="4" t="s">
        <v>890</v>
      </c>
    </row>
    <row r="304" spans="1:35" ht="37.5" x14ac:dyDescent="0.25">
      <c r="A304" s="44" t="s">
        <v>970</v>
      </c>
      <c r="B304" s="44"/>
      <c r="C304" s="56" t="s">
        <v>887</v>
      </c>
      <c r="D304" s="46"/>
      <c r="E304" s="46"/>
      <c r="F304" s="57" t="s">
        <v>81</v>
      </c>
      <c r="G304" s="58">
        <v>1.8</v>
      </c>
      <c r="H304" s="46"/>
      <c r="I304" s="58">
        <v>566.1</v>
      </c>
      <c r="J304" s="59">
        <v>23</v>
      </c>
      <c r="K304" s="60"/>
      <c r="L304" s="60"/>
      <c r="M304" s="59">
        <f t="shared" si="87"/>
        <v>13020.3</v>
      </c>
      <c r="N304" s="60"/>
      <c r="O304" s="60"/>
      <c r="P304" s="59">
        <v>12.58</v>
      </c>
      <c r="Q304" s="60"/>
      <c r="R304" s="60"/>
      <c r="S304" s="59">
        <f t="shared" si="88"/>
        <v>7121.54</v>
      </c>
      <c r="T304" s="60"/>
      <c r="U304" s="61"/>
      <c r="V304" s="9">
        <f t="shared" si="89"/>
        <v>10.48</v>
      </c>
      <c r="Y304" s="9">
        <f t="shared" si="90"/>
        <v>5934.62</v>
      </c>
      <c r="AD304" s="4" t="s">
        <v>971</v>
      </c>
      <c r="AE304" s="4" t="s">
        <v>969</v>
      </c>
      <c r="AF304" s="4" t="s">
        <v>890</v>
      </c>
    </row>
    <row r="305" spans="1:35" ht="56.25" x14ac:dyDescent="0.25">
      <c r="A305" s="38" t="s">
        <v>972</v>
      </c>
      <c r="B305" s="38" t="s">
        <v>853</v>
      </c>
      <c r="C305" s="39" t="s">
        <v>854</v>
      </c>
      <c r="D305" s="40"/>
      <c r="E305" s="40" t="s">
        <v>367</v>
      </c>
      <c r="F305" s="40" t="s">
        <v>56</v>
      </c>
      <c r="G305" s="41">
        <v>1</v>
      </c>
      <c r="H305" s="40"/>
      <c r="I305" s="42">
        <v>0</v>
      </c>
      <c r="J305" s="43">
        <f>IFERROR(ROUND(SUM(M307,M309,M311,M313)/I305, 2),0)</f>
        <v>0</v>
      </c>
      <c r="K305" s="43">
        <v>329</v>
      </c>
      <c r="L305" s="43">
        <f>J305+ROUND(K305, 2)</f>
        <v>329</v>
      </c>
      <c r="M305" s="43">
        <f>ROUND(J305*I305, 2)</f>
        <v>0</v>
      </c>
      <c r="N305" s="43">
        <f>ROUND(I305*ROUND(K305, 2), 2)</f>
        <v>0</v>
      </c>
      <c r="O305" s="43">
        <f>M305+N305</f>
        <v>0</v>
      </c>
      <c r="P305" s="43">
        <f>IFERROR(ROUND(SUM(S307,S309,S311,S313)/I305, 2),0)</f>
        <v>0</v>
      </c>
      <c r="Q305" s="43">
        <v>329</v>
      </c>
      <c r="R305" s="43">
        <f>P305+ROUND(Q305, 2)</f>
        <v>329</v>
      </c>
      <c r="S305" s="43">
        <f>ROUND(P305*I305, 2)</f>
        <v>0</v>
      </c>
      <c r="T305" s="43">
        <f>ROUND(I305*ROUND(Q305, 2), 2)</f>
        <v>0</v>
      </c>
      <c r="U305" s="43">
        <f>S305+T305</f>
        <v>0</v>
      </c>
      <c r="V305" s="9">
        <f>ROUND(P305 / 1.2, 2)</f>
        <v>0</v>
      </c>
      <c r="W305" s="9">
        <f>ROUND(Q305 / 1.2, 2)</f>
        <v>274.17</v>
      </c>
      <c r="X305" s="9">
        <f>ROUND(R305 / 1.2, 2)</f>
        <v>274.17</v>
      </c>
      <c r="Y305" s="9">
        <f t="shared" si="90"/>
        <v>0</v>
      </c>
      <c r="Z305" s="9">
        <f>ROUND(T305 / 1.2, 2)</f>
        <v>0</v>
      </c>
      <c r="AA305" s="9">
        <f>Y305+Z305</f>
        <v>0</v>
      </c>
      <c r="AD305" s="4">
        <v>264030384</v>
      </c>
      <c r="AE305" s="4">
        <v>16086874</v>
      </c>
      <c r="AG305" s="4" t="s">
        <v>856</v>
      </c>
      <c r="AH305" s="4" t="s">
        <v>857</v>
      </c>
      <c r="AI305" s="4" t="s">
        <v>249</v>
      </c>
    </row>
    <row r="306" spans="1:35" ht="56.25" x14ac:dyDescent="0.25">
      <c r="A306" s="44" t="s">
        <v>973</v>
      </c>
      <c r="B306" s="44" t="s">
        <v>853</v>
      </c>
      <c r="C306" s="45" t="s">
        <v>854</v>
      </c>
      <c r="D306" s="46"/>
      <c r="E306" s="46" t="s">
        <v>367</v>
      </c>
      <c r="F306" s="46" t="s">
        <v>56</v>
      </c>
      <c r="G306" s="47">
        <v>1</v>
      </c>
      <c r="H306" s="46"/>
      <c r="I306" s="47">
        <v>219.9</v>
      </c>
      <c r="J306" s="48">
        <v>0</v>
      </c>
      <c r="K306" s="48">
        <v>329</v>
      </c>
      <c r="L306" s="48"/>
      <c r="M306" s="48">
        <v>0</v>
      </c>
      <c r="N306" s="48"/>
      <c r="O306" s="48"/>
      <c r="P306" s="48">
        <v>0</v>
      </c>
      <c r="Q306" s="48">
        <v>329</v>
      </c>
      <c r="R306" s="48"/>
      <c r="S306" s="48">
        <v>0</v>
      </c>
      <c r="T306" s="48"/>
      <c r="U306" s="48"/>
      <c r="V306" s="9"/>
      <c r="W306" s="9">
        <f>ROUND(Q306 / 1.2, 2)</f>
        <v>274.17</v>
      </c>
      <c r="X306" s="9" t="e">
        <f>ROUND(R306 / 1.2, 2)</f>
        <v>#VALUE!</v>
      </c>
      <c r="Y306" s="9"/>
      <c r="Z306" s="9" t="e">
        <f>ROUND(T306 / 1.2, 2)</f>
        <v>#VALUE!</v>
      </c>
      <c r="AA306" s="9"/>
      <c r="AD306" s="4">
        <v>204417264</v>
      </c>
      <c r="AE306" s="4">
        <v>16086874</v>
      </c>
      <c r="AG306" s="4" t="s">
        <v>856</v>
      </c>
      <c r="AH306" s="4" t="s">
        <v>857</v>
      </c>
      <c r="AI306" s="4"/>
    </row>
    <row r="307" spans="1:35" ht="18.75" x14ac:dyDescent="0.25">
      <c r="A307" s="38" t="s">
        <v>974</v>
      </c>
      <c r="B307" s="38"/>
      <c r="C307" s="49" t="s">
        <v>859</v>
      </c>
      <c r="D307" s="40"/>
      <c r="E307" s="40"/>
      <c r="F307" s="50" t="s">
        <v>81</v>
      </c>
      <c r="G307" s="51">
        <v>2</v>
      </c>
      <c r="H307" s="40"/>
      <c r="I307" s="52">
        <v>0</v>
      </c>
      <c r="J307" s="53">
        <v>23</v>
      </c>
      <c r="K307" s="54"/>
      <c r="L307" s="54"/>
      <c r="M307" s="53">
        <f t="shared" ref="M307:M314" si="91">ROUND(ROUND(J307, 2)*I307, 2)</f>
        <v>0</v>
      </c>
      <c r="N307" s="54"/>
      <c r="O307" s="54"/>
      <c r="P307" s="53">
        <v>23</v>
      </c>
      <c r="Q307" s="54"/>
      <c r="R307" s="54"/>
      <c r="S307" s="53">
        <f t="shared" ref="S307:S314" si="92">ROUND(ROUND(P307, 2)*I307, 2)</f>
        <v>0</v>
      </c>
      <c r="T307" s="54"/>
      <c r="U307" s="55"/>
      <c r="V307" s="9">
        <f t="shared" ref="V307:V314" si="93">ROUND(ROUND(P307, 2)/1.2, 2)</f>
        <v>19.170000000000002</v>
      </c>
      <c r="Y307" s="9">
        <f t="shared" ref="Y307:Y315" si="94">ROUND(S307 / 1.2, 2)</f>
        <v>0</v>
      </c>
      <c r="AD307" s="4" t="s">
        <v>975</v>
      </c>
      <c r="AE307" s="4" t="s">
        <v>976</v>
      </c>
      <c r="AF307" s="4" t="s">
        <v>863</v>
      </c>
    </row>
    <row r="308" spans="1:35" ht="18.75" x14ac:dyDescent="0.25">
      <c r="A308" s="44" t="s">
        <v>977</v>
      </c>
      <c r="B308" s="44"/>
      <c r="C308" s="56" t="s">
        <v>859</v>
      </c>
      <c r="D308" s="46"/>
      <c r="E308" s="46"/>
      <c r="F308" s="57" t="s">
        <v>81</v>
      </c>
      <c r="G308" s="58">
        <v>2</v>
      </c>
      <c r="H308" s="46"/>
      <c r="I308" s="58">
        <v>439.8</v>
      </c>
      <c r="J308" s="59">
        <v>23</v>
      </c>
      <c r="K308" s="60"/>
      <c r="L308" s="60"/>
      <c r="M308" s="59">
        <f t="shared" si="91"/>
        <v>10115.4</v>
      </c>
      <c r="N308" s="60"/>
      <c r="O308" s="60"/>
      <c r="P308" s="59">
        <v>23</v>
      </c>
      <c r="Q308" s="60"/>
      <c r="R308" s="60"/>
      <c r="S308" s="59">
        <f t="shared" si="92"/>
        <v>10115.4</v>
      </c>
      <c r="T308" s="60"/>
      <c r="U308" s="61"/>
      <c r="V308" s="9">
        <f t="shared" si="93"/>
        <v>19.170000000000002</v>
      </c>
      <c r="Y308" s="9">
        <f t="shared" si="94"/>
        <v>8429.5</v>
      </c>
      <c r="AD308" s="4" t="s">
        <v>978</v>
      </c>
      <c r="AE308" s="4" t="s">
        <v>976</v>
      </c>
      <c r="AF308" s="4" t="s">
        <v>863</v>
      </c>
    </row>
    <row r="309" spans="1:35" ht="18.75" x14ac:dyDescent="0.25">
      <c r="A309" s="38" t="s">
        <v>979</v>
      </c>
      <c r="B309" s="38"/>
      <c r="C309" s="49" t="s">
        <v>865</v>
      </c>
      <c r="D309" s="40"/>
      <c r="E309" s="40"/>
      <c r="F309" s="50" t="s">
        <v>103</v>
      </c>
      <c r="G309" s="51">
        <v>0.3</v>
      </c>
      <c r="H309" s="40"/>
      <c r="I309" s="62">
        <v>0</v>
      </c>
      <c r="J309" s="53">
        <v>37.049999999999997</v>
      </c>
      <c r="K309" s="54"/>
      <c r="L309" s="54"/>
      <c r="M309" s="53">
        <f t="shared" si="91"/>
        <v>0</v>
      </c>
      <c r="N309" s="54"/>
      <c r="O309" s="54"/>
      <c r="P309" s="53">
        <v>37.049999999999997</v>
      </c>
      <c r="Q309" s="54"/>
      <c r="R309" s="54"/>
      <c r="S309" s="53">
        <f t="shared" si="92"/>
        <v>0</v>
      </c>
      <c r="T309" s="54"/>
      <c r="U309" s="55"/>
      <c r="V309" s="9">
        <f t="shared" si="93"/>
        <v>30.88</v>
      </c>
      <c r="Y309" s="9">
        <f t="shared" si="94"/>
        <v>0</v>
      </c>
      <c r="AD309" s="4" t="s">
        <v>980</v>
      </c>
      <c r="AE309" s="4" t="s">
        <v>981</v>
      </c>
      <c r="AF309" s="4" t="s">
        <v>868</v>
      </c>
    </row>
    <row r="310" spans="1:35" ht="18.75" x14ac:dyDescent="0.25">
      <c r="A310" s="44" t="s">
        <v>982</v>
      </c>
      <c r="B310" s="44"/>
      <c r="C310" s="56" t="s">
        <v>865</v>
      </c>
      <c r="D310" s="46"/>
      <c r="E310" s="46"/>
      <c r="F310" s="57" t="s">
        <v>103</v>
      </c>
      <c r="G310" s="58">
        <v>0.3</v>
      </c>
      <c r="H310" s="46"/>
      <c r="I310" s="63">
        <v>65.97</v>
      </c>
      <c r="J310" s="59">
        <v>37.049999999999997</v>
      </c>
      <c r="K310" s="60"/>
      <c r="L310" s="60"/>
      <c r="M310" s="59">
        <f t="shared" si="91"/>
        <v>2444.19</v>
      </c>
      <c r="N310" s="60"/>
      <c r="O310" s="60"/>
      <c r="P310" s="59">
        <v>37.049999999999997</v>
      </c>
      <c r="Q310" s="60"/>
      <c r="R310" s="60"/>
      <c r="S310" s="59">
        <f t="shared" si="92"/>
        <v>2444.19</v>
      </c>
      <c r="T310" s="60"/>
      <c r="U310" s="61"/>
      <c r="V310" s="9">
        <f t="shared" si="93"/>
        <v>30.88</v>
      </c>
      <c r="Y310" s="9">
        <f t="shared" si="94"/>
        <v>2036.83</v>
      </c>
      <c r="AD310" s="4" t="s">
        <v>983</v>
      </c>
      <c r="AE310" s="4" t="s">
        <v>981</v>
      </c>
      <c r="AF310" s="4" t="s">
        <v>868</v>
      </c>
    </row>
    <row r="311" spans="1:35" ht="18.75" x14ac:dyDescent="0.25">
      <c r="A311" s="38" t="s">
        <v>984</v>
      </c>
      <c r="B311" s="38"/>
      <c r="C311" s="49" t="s">
        <v>914</v>
      </c>
      <c r="D311" s="40"/>
      <c r="E311" s="40"/>
      <c r="F311" s="50" t="s">
        <v>123</v>
      </c>
      <c r="G311" s="51">
        <v>1</v>
      </c>
      <c r="H311" s="40"/>
      <c r="I311" s="62">
        <v>0</v>
      </c>
      <c r="J311" s="53">
        <v>7</v>
      </c>
      <c r="K311" s="54"/>
      <c r="L311" s="54"/>
      <c r="M311" s="53">
        <f t="shared" si="91"/>
        <v>0</v>
      </c>
      <c r="N311" s="54"/>
      <c r="O311" s="54"/>
      <c r="P311" s="53">
        <v>7</v>
      </c>
      <c r="Q311" s="54"/>
      <c r="R311" s="54"/>
      <c r="S311" s="53">
        <f t="shared" si="92"/>
        <v>0</v>
      </c>
      <c r="T311" s="54"/>
      <c r="U311" s="55"/>
      <c r="V311" s="9">
        <f t="shared" si="93"/>
        <v>5.83</v>
      </c>
      <c r="Y311" s="9">
        <f t="shared" si="94"/>
        <v>0</v>
      </c>
      <c r="AD311" s="4" t="s">
        <v>985</v>
      </c>
      <c r="AE311" s="4" t="s">
        <v>986</v>
      </c>
      <c r="AF311" s="4" t="s">
        <v>917</v>
      </c>
    </row>
    <row r="312" spans="1:35" ht="18.75" x14ac:dyDescent="0.25">
      <c r="A312" s="44" t="s">
        <v>987</v>
      </c>
      <c r="B312" s="44"/>
      <c r="C312" s="56" t="s">
        <v>914</v>
      </c>
      <c r="D312" s="46"/>
      <c r="E312" s="46"/>
      <c r="F312" s="57" t="s">
        <v>123</v>
      </c>
      <c r="G312" s="58">
        <v>1</v>
      </c>
      <c r="H312" s="46"/>
      <c r="I312" s="63">
        <v>219.9</v>
      </c>
      <c r="J312" s="59">
        <v>7</v>
      </c>
      <c r="K312" s="60"/>
      <c r="L312" s="60"/>
      <c r="M312" s="59">
        <f t="shared" si="91"/>
        <v>1539.3</v>
      </c>
      <c r="N312" s="60"/>
      <c r="O312" s="60"/>
      <c r="P312" s="59">
        <v>7</v>
      </c>
      <c r="Q312" s="60"/>
      <c r="R312" s="60"/>
      <c r="S312" s="59">
        <f t="shared" si="92"/>
        <v>1539.3</v>
      </c>
      <c r="T312" s="60"/>
      <c r="U312" s="61"/>
      <c r="V312" s="9">
        <f t="shared" si="93"/>
        <v>5.83</v>
      </c>
      <c r="Y312" s="9">
        <f t="shared" si="94"/>
        <v>1282.75</v>
      </c>
      <c r="AD312" s="4" t="s">
        <v>988</v>
      </c>
      <c r="AE312" s="4" t="s">
        <v>986</v>
      </c>
      <c r="AF312" s="4" t="s">
        <v>917</v>
      </c>
    </row>
    <row r="313" spans="1:35" ht="37.5" x14ac:dyDescent="0.25">
      <c r="A313" s="38" t="s">
        <v>989</v>
      </c>
      <c r="B313" s="38"/>
      <c r="C313" s="49" t="s">
        <v>490</v>
      </c>
      <c r="D313" s="40"/>
      <c r="E313" s="40"/>
      <c r="F313" s="50" t="s">
        <v>81</v>
      </c>
      <c r="G313" s="51">
        <v>0.15</v>
      </c>
      <c r="H313" s="40"/>
      <c r="I313" s="52">
        <v>0</v>
      </c>
      <c r="J313" s="53">
        <v>88.8</v>
      </c>
      <c r="K313" s="54"/>
      <c r="L313" s="54"/>
      <c r="M313" s="53">
        <f t="shared" si="91"/>
        <v>0</v>
      </c>
      <c r="N313" s="54"/>
      <c r="O313" s="54"/>
      <c r="P313" s="53">
        <v>88.8</v>
      </c>
      <c r="Q313" s="54"/>
      <c r="R313" s="54"/>
      <c r="S313" s="53">
        <f t="shared" si="92"/>
        <v>0</v>
      </c>
      <c r="T313" s="54"/>
      <c r="U313" s="55"/>
      <c r="V313" s="9">
        <f t="shared" si="93"/>
        <v>74</v>
      </c>
      <c r="Y313" s="9">
        <f t="shared" si="94"/>
        <v>0</v>
      </c>
      <c r="AD313" s="4" t="s">
        <v>990</v>
      </c>
      <c r="AE313" s="4" t="s">
        <v>991</v>
      </c>
      <c r="AF313" s="4" t="s">
        <v>493</v>
      </c>
    </row>
    <row r="314" spans="1:35" ht="37.5" x14ac:dyDescent="0.25">
      <c r="A314" s="44" t="s">
        <v>992</v>
      </c>
      <c r="B314" s="44"/>
      <c r="C314" s="56" t="s">
        <v>490</v>
      </c>
      <c r="D314" s="46"/>
      <c r="E314" s="46"/>
      <c r="F314" s="57" t="s">
        <v>81</v>
      </c>
      <c r="G314" s="58">
        <v>0.15</v>
      </c>
      <c r="H314" s="46"/>
      <c r="I314" s="58">
        <v>32.984999999999999</v>
      </c>
      <c r="J314" s="59">
        <v>88.8</v>
      </c>
      <c r="K314" s="60"/>
      <c r="L314" s="60"/>
      <c r="M314" s="59">
        <f t="shared" si="91"/>
        <v>2929.07</v>
      </c>
      <c r="N314" s="60"/>
      <c r="O314" s="60"/>
      <c r="P314" s="59">
        <v>88.8</v>
      </c>
      <c r="Q314" s="60"/>
      <c r="R314" s="60"/>
      <c r="S314" s="59">
        <f t="shared" si="92"/>
        <v>2929.07</v>
      </c>
      <c r="T314" s="60"/>
      <c r="U314" s="61"/>
      <c r="V314" s="9">
        <f t="shared" si="93"/>
        <v>74</v>
      </c>
      <c r="Y314" s="9">
        <f t="shared" si="94"/>
        <v>2440.89</v>
      </c>
      <c r="AD314" s="4" t="s">
        <v>993</v>
      </c>
      <c r="AE314" s="4" t="s">
        <v>991</v>
      </c>
      <c r="AF314" s="4" t="s">
        <v>493</v>
      </c>
    </row>
    <row r="315" spans="1:35" ht="56.25" x14ac:dyDescent="0.25">
      <c r="A315" s="38" t="s">
        <v>994</v>
      </c>
      <c r="B315" s="38" t="s">
        <v>853</v>
      </c>
      <c r="C315" s="39" t="s">
        <v>854</v>
      </c>
      <c r="D315" s="40"/>
      <c r="E315" s="40" t="s">
        <v>367</v>
      </c>
      <c r="F315" s="40" t="s">
        <v>56</v>
      </c>
      <c r="G315" s="41">
        <v>1</v>
      </c>
      <c r="H315" s="40"/>
      <c r="I315" s="42">
        <v>0</v>
      </c>
      <c r="J315" s="43">
        <f>IFERROR(ROUND(SUM(M317,M319,M321,M323)/I315, 2),0)</f>
        <v>0</v>
      </c>
      <c r="K315" s="43">
        <v>329</v>
      </c>
      <c r="L315" s="43">
        <f>J315+ROUND(K315, 2)</f>
        <v>329</v>
      </c>
      <c r="M315" s="43">
        <f>ROUND(J315*I315, 2)</f>
        <v>0</v>
      </c>
      <c r="N315" s="43">
        <f>ROUND(I315*ROUND(K315, 2), 2)</f>
        <v>0</v>
      </c>
      <c r="O315" s="43">
        <f>M315+N315</f>
        <v>0</v>
      </c>
      <c r="P315" s="43">
        <f>IFERROR(ROUND(SUM(S317,S319,S321,S323)/I315, 2),0)</f>
        <v>0</v>
      </c>
      <c r="Q315" s="43">
        <v>329</v>
      </c>
      <c r="R315" s="43">
        <f>P315+ROUND(Q315, 2)</f>
        <v>329</v>
      </c>
      <c r="S315" s="43">
        <f>ROUND(P315*I315, 2)</f>
        <v>0</v>
      </c>
      <c r="T315" s="43">
        <f>ROUND(I315*ROUND(Q315, 2), 2)</f>
        <v>0</v>
      </c>
      <c r="U315" s="43">
        <f>S315+T315</f>
        <v>0</v>
      </c>
      <c r="V315" s="9">
        <f>ROUND(P315 / 1.2, 2)</f>
        <v>0</v>
      </c>
      <c r="W315" s="9">
        <f>ROUND(Q315 / 1.2, 2)</f>
        <v>274.17</v>
      </c>
      <c r="X315" s="9">
        <f>ROUND(R315 / 1.2, 2)</f>
        <v>274.17</v>
      </c>
      <c r="Y315" s="9">
        <f t="shared" si="94"/>
        <v>0</v>
      </c>
      <c r="Z315" s="9">
        <f>ROUND(T315 / 1.2, 2)</f>
        <v>0</v>
      </c>
      <c r="AA315" s="9">
        <f>Y315+Z315</f>
        <v>0</v>
      </c>
      <c r="AD315" s="4">
        <v>264030385</v>
      </c>
      <c r="AE315" s="4">
        <v>16086875</v>
      </c>
      <c r="AG315" s="4" t="s">
        <v>856</v>
      </c>
      <c r="AH315" s="4" t="s">
        <v>857</v>
      </c>
      <c r="AI315" s="4" t="s">
        <v>249</v>
      </c>
    </row>
    <row r="316" spans="1:35" ht="56.25" x14ac:dyDescent="0.25">
      <c r="A316" s="44" t="s">
        <v>995</v>
      </c>
      <c r="B316" s="44" t="s">
        <v>853</v>
      </c>
      <c r="C316" s="45" t="s">
        <v>854</v>
      </c>
      <c r="D316" s="46"/>
      <c r="E316" s="46" t="s">
        <v>367</v>
      </c>
      <c r="F316" s="46" t="s">
        <v>56</v>
      </c>
      <c r="G316" s="47">
        <v>1</v>
      </c>
      <c r="H316" s="46"/>
      <c r="I316" s="47">
        <v>219.9</v>
      </c>
      <c r="J316" s="48">
        <v>0</v>
      </c>
      <c r="K316" s="48">
        <v>329</v>
      </c>
      <c r="L316" s="48"/>
      <c r="M316" s="48">
        <v>0</v>
      </c>
      <c r="N316" s="48"/>
      <c r="O316" s="48"/>
      <c r="P316" s="48">
        <v>0</v>
      </c>
      <c r="Q316" s="48">
        <v>329</v>
      </c>
      <c r="R316" s="48"/>
      <c r="S316" s="48">
        <v>0</v>
      </c>
      <c r="T316" s="48"/>
      <c r="U316" s="48"/>
      <c r="V316" s="9"/>
      <c r="W316" s="9">
        <f>ROUND(Q316 / 1.2, 2)</f>
        <v>274.17</v>
      </c>
      <c r="X316" s="9" t="e">
        <f>ROUND(R316 / 1.2, 2)</f>
        <v>#VALUE!</v>
      </c>
      <c r="Y316" s="9"/>
      <c r="Z316" s="9" t="e">
        <f>ROUND(T316 / 1.2, 2)</f>
        <v>#VALUE!</v>
      </c>
      <c r="AA316" s="9"/>
      <c r="AD316" s="4">
        <v>204417265</v>
      </c>
      <c r="AE316" s="4">
        <v>16086875</v>
      </c>
      <c r="AG316" s="4" t="s">
        <v>856</v>
      </c>
      <c r="AH316" s="4" t="s">
        <v>857</v>
      </c>
      <c r="AI316" s="4"/>
    </row>
    <row r="317" spans="1:35" ht="37.5" x14ac:dyDescent="0.25">
      <c r="A317" s="38" t="s">
        <v>996</v>
      </c>
      <c r="B317" s="38"/>
      <c r="C317" s="49" t="s">
        <v>490</v>
      </c>
      <c r="D317" s="40"/>
      <c r="E317" s="40"/>
      <c r="F317" s="50" t="s">
        <v>81</v>
      </c>
      <c r="G317" s="51">
        <v>0.15</v>
      </c>
      <c r="H317" s="40"/>
      <c r="I317" s="52">
        <v>0</v>
      </c>
      <c r="J317" s="53">
        <v>88.8</v>
      </c>
      <c r="K317" s="54"/>
      <c r="L317" s="54"/>
      <c r="M317" s="53">
        <f t="shared" ref="M317:M324" si="95">ROUND(ROUND(J317, 2)*I317, 2)</f>
        <v>0</v>
      </c>
      <c r="N317" s="54"/>
      <c r="O317" s="54"/>
      <c r="P317" s="53">
        <v>88.8</v>
      </c>
      <c r="Q317" s="54"/>
      <c r="R317" s="54"/>
      <c r="S317" s="53">
        <f t="shared" ref="S317:S324" si="96">ROUND(ROUND(P317, 2)*I317, 2)</f>
        <v>0</v>
      </c>
      <c r="T317" s="54"/>
      <c r="U317" s="55"/>
      <c r="V317" s="9">
        <f t="shared" ref="V317:V324" si="97">ROUND(ROUND(P317, 2)/1.2, 2)</f>
        <v>74</v>
      </c>
      <c r="Y317" s="9">
        <f t="shared" ref="Y317:Y325" si="98">ROUND(S317 / 1.2, 2)</f>
        <v>0</v>
      </c>
      <c r="AD317" s="4" t="s">
        <v>997</v>
      </c>
      <c r="AE317" s="4" t="s">
        <v>998</v>
      </c>
      <c r="AF317" s="4" t="s">
        <v>493</v>
      </c>
    </row>
    <row r="318" spans="1:35" ht="37.5" x14ac:dyDescent="0.25">
      <c r="A318" s="44" t="s">
        <v>999</v>
      </c>
      <c r="B318" s="44"/>
      <c r="C318" s="56" t="s">
        <v>490</v>
      </c>
      <c r="D318" s="46"/>
      <c r="E318" s="46"/>
      <c r="F318" s="57" t="s">
        <v>81</v>
      </c>
      <c r="G318" s="58">
        <v>0.15</v>
      </c>
      <c r="H318" s="46"/>
      <c r="I318" s="58">
        <v>32.984999999999999</v>
      </c>
      <c r="J318" s="59">
        <v>88.8</v>
      </c>
      <c r="K318" s="60"/>
      <c r="L318" s="60"/>
      <c r="M318" s="59">
        <f t="shared" si="95"/>
        <v>2929.07</v>
      </c>
      <c r="N318" s="60"/>
      <c r="O318" s="60"/>
      <c r="P318" s="59">
        <v>88.8</v>
      </c>
      <c r="Q318" s="60"/>
      <c r="R318" s="60"/>
      <c r="S318" s="59">
        <f t="shared" si="96"/>
        <v>2929.07</v>
      </c>
      <c r="T318" s="60"/>
      <c r="U318" s="61"/>
      <c r="V318" s="9">
        <f t="shared" si="97"/>
        <v>74</v>
      </c>
      <c r="Y318" s="9">
        <f t="shared" si="98"/>
        <v>2440.89</v>
      </c>
      <c r="AD318" s="4" t="s">
        <v>1000</v>
      </c>
      <c r="AE318" s="4" t="s">
        <v>998</v>
      </c>
      <c r="AF318" s="4" t="s">
        <v>493</v>
      </c>
    </row>
    <row r="319" spans="1:35" ht="18.75" x14ac:dyDescent="0.25">
      <c r="A319" s="38" t="s">
        <v>1001</v>
      </c>
      <c r="B319" s="38"/>
      <c r="C319" s="49" t="s">
        <v>914</v>
      </c>
      <c r="D319" s="40"/>
      <c r="E319" s="40"/>
      <c r="F319" s="50" t="s">
        <v>123</v>
      </c>
      <c r="G319" s="51">
        <v>1</v>
      </c>
      <c r="H319" s="40"/>
      <c r="I319" s="62">
        <v>0</v>
      </c>
      <c r="J319" s="53">
        <v>7</v>
      </c>
      <c r="K319" s="54"/>
      <c r="L319" s="54"/>
      <c r="M319" s="53">
        <f t="shared" si="95"/>
        <v>0</v>
      </c>
      <c r="N319" s="54"/>
      <c r="O319" s="54"/>
      <c r="P319" s="53">
        <v>7</v>
      </c>
      <c r="Q319" s="54"/>
      <c r="R319" s="54"/>
      <c r="S319" s="53">
        <f t="shared" si="96"/>
        <v>0</v>
      </c>
      <c r="T319" s="54"/>
      <c r="U319" s="55"/>
      <c r="V319" s="9">
        <f t="shared" si="97"/>
        <v>5.83</v>
      </c>
      <c r="Y319" s="9">
        <f t="shared" si="98"/>
        <v>0</v>
      </c>
      <c r="AD319" s="4" t="s">
        <v>1002</v>
      </c>
      <c r="AE319" s="4" t="s">
        <v>1003</v>
      </c>
      <c r="AF319" s="4" t="s">
        <v>917</v>
      </c>
    </row>
    <row r="320" spans="1:35" ht="18.75" x14ac:dyDescent="0.25">
      <c r="A320" s="44" t="s">
        <v>1004</v>
      </c>
      <c r="B320" s="44"/>
      <c r="C320" s="56" t="s">
        <v>914</v>
      </c>
      <c r="D320" s="46"/>
      <c r="E320" s="46"/>
      <c r="F320" s="57" t="s">
        <v>123</v>
      </c>
      <c r="G320" s="58">
        <v>1</v>
      </c>
      <c r="H320" s="46"/>
      <c r="I320" s="63">
        <v>219.9</v>
      </c>
      <c r="J320" s="59">
        <v>7</v>
      </c>
      <c r="K320" s="60"/>
      <c r="L320" s="60"/>
      <c r="M320" s="59">
        <f t="shared" si="95"/>
        <v>1539.3</v>
      </c>
      <c r="N320" s="60"/>
      <c r="O320" s="60"/>
      <c r="P320" s="59">
        <v>7</v>
      </c>
      <c r="Q320" s="60"/>
      <c r="R320" s="60"/>
      <c r="S320" s="59">
        <f t="shared" si="96"/>
        <v>1539.3</v>
      </c>
      <c r="T320" s="60"/>
      <c r="U320" s="61"/>
      <c r="V320" s="9">
        <f t="shared" si="97"/>
        <v>5.83</v>
      </c>
      <c r="Y320" s="9">
        <f t="shared" si="98"/>
        <v>1282.75</v>
      </c>
      <c r="AD320" s="4" t="s">
        <v>1005</v>
      </c>
      <c r="AE320" s="4" t="s">
        <v>1003</v>
      </c>
      <c r="AF320" s="4" t="s">
        <v>917</v>
      </c>
    </row>
    <row r="321" spans="1:35" ht="18.75" x14ac:dyDescent="0.25">
      <c r="A321" s="38" t="s">
        <v>1006</v>
      </c>
      <c r="B321" s="38"/>
      <c r="C321" s="49" t="s">
        <v>865</v>
      </c>
      <c r="D321" s="40"/>
      <c r="E321" s="40"/>
      <c r="F321" s="50" t="s">
        <v>103</v>
      </c>
      <c r="G321" s="51">
        <v>0.3</v>
      </c>
      <c r="H321" s="40"/>
      <c r="I321" s="62">
        <v>0</v>
      </c>
      <c r="J321" s="53">
        <v>37.049999999999997</v>
      </c>
      <c r="K321" s="54"/>
      <c r="L321" s="54"/>
      <c r="M321" s="53">
        <f t="shared" si="95"/>
        <v>0</v>
      </c>
      <c r="N321" s="54"/>
      <c r="O321" s="54"/>
      <c r="P321" s="53">
        <v>37.049999999999997</v>
      </c>
      <c r="Q321" s="54"/>
      <c r="R321" s="54"/>
      <c r="S321" s="53">
        <f t="shared" si="96"/>
        <v>0</v>
      </c>
      <c r="T321" s="54"/>
      <c r="U321" s="55"/>
      <c r="V321" s="9">
        <f t="shared" si="97"/>
        <v>30.88</v>
      </c>
      <c r="Y321" s="9">
        <f t="shared" si="98"/>
        <v>0</v>
      </c>
      <c r="AD321" s="4" t="s">
        <v>1007</v>
      </c>
      <c r="AE321" s="4" t="s">
        <v>1008</v>
      </c>
      <c r="AF321" s="4" t="s">
        <v>868</v>
      </c>
    </row>
    <row r="322" spans="1:35" ht="18.75" x14ac:dyDescent="0.25">
      <c r="A322" s="44" t="s">
        <v>1009</v>
      </c>
      <c r="B322" s="44"/>
      <c r="C322" s="56" t="s">
        <v>865</v>
      </c>
      <c r="D322" s="46"/>
      <c r="E322" s="46"/>
      <c r="F322" s="57" t="s">
        <v>103</v>
      </c>
      <c r="G322" s="58">
        <v>0.3</v>
      </c>
      <c r="H322" s="46"/>
      <c r="I322" s="63">
        <v>65.97</v>
      </c>
      <c r="J322" s="59">
        <v>37.049999999999997</v>
      </c>
      <c r="K322" s="60"/>
      <c r="L322" s="60"/>
      <c r="M322" s="59">
        <f t="shared" si="95"/>
        <v>2444.19</v>
      </c>
      <c r="N322" s="60"/>
      <c r="O322" s="60"/>
      <c r="P322" s="59">
        <v>37.049999999999997</v>
      </c>
      <c r="Q322" s="60"/>
      <c r="R322" s="60"/>
      <c r="S322" s="59">
        <f t="shared" si="96"/>
        <v>2444.19</v>
      </c>
      <c r="T322" s="60"/>
      <c r="U322" s="61"/>
      <c r="V322" s="9">
        <f t="shared" si="97"/>
        <v>30.88</v>
      </c>
      <c r="Y322" s="9">
        <f t="shared" si="98"/>
        <v>2036.83</v>
      </c>
      <c r="AD322" s="4" t="s">
        <v>1010</v>
      </c>
      <c r="AE322" s="4" t="s">
        <v>1008</v>
      </c>
      <c r="AF322" s="4" t="s">
        <v>868</v>
      </c>
    </row>
    <row r="323" spans="1:35" ht="37.5" x14ac:dyDescent="0.25">
      <c r="A323" s="38" t="s">
        <v>1011</v>
      </c>
      <c r="B323" s="38"/>
      <c r="C323" s="49" t="s">
        <v>880</v>
      </c>
      <c r="D323" s="40"/>
      <c r="E323" s="40"/>
      <c r="F323" s="50" t="s">
        <v>81</v>
      </c>
      <c r="G323" s="51">
        <v>1</v>
      </c>
      <c r="H323" s="40"/>
      <c r="I323" s="52">
        <v>0</v>
      </c>
      <c r="J323" s="53">
        <v>60</v>
      </c>
      <c r="K323" s="54"/>
      <c r="L323" s="54"/>
      <c r="M323" s="53">
        <f t="shared" si="95"/>
        <v>0</v>
      </c>
      <c r="N323" s="54"/>
      <c r="O323" s="54"/>
      <c r="P323" s="53">
        <v>12.58</v>
      </c>
      <c r="Q323" s="54"/>
      <c r="R323" s="54"/>
      <c r="S323" s="53">
        <f t="shared" si="96"/>
        <v>0</v>
      </c>
      <c r="T323" s="54"/>
      <c r="U323" s="55"/>
      <c r="V323" s="9">
        <f t="shared" si="97"/>
        <v>10.48</v>
      </c>
      <c r="Y323" s="9">
        <f t="shared" si="98"/>
        <v>0</v>
      </c>
      <c r="AD323" s="4" t="s">
        <v>1012</v>
      </c>
      <c r="AE323" s="4" t="s">
        <v>1013</v>
      </c>
      <c r="AF323" s="4" t="s">
        <v>883</v>
      </c>
    </row>
    <row r="324" spans="1:35" ht="37.5" x14ac:dyDescent="0.25">
      <c r="A324" s="44" t="s">
        <v>1014</v>
      </c>
      <c r="B324" s="44"/>
      <c r="C324" s="56" t="s">
        <v>880</v>
      </c>
      <c r="D324" s="46"/>
      <c r="E324" s="46"/>
      <c r="F324" s="57" t="s">
        <v>81</v>
      </c>
      <c r="G324" s="58">
        <v>1</v>
      </c>
      <c r="H324" s="46"/>
      <c r="I324" s="58">
        <v>219.9</v>
      </c>
      <c r="J324" s="59">
        <v>60</v>
      </c>
      <c r="K324" s="60"/>
      <c r="L324" s="60"/>
      <c r="M324" s="59">
        <f t="shared" si="95"/>
        <v>13194</v>
      </c>
      <c r="N324" s="60"/>
      <c r="O324" s="60"/>
      <c r="P324" s="59">
        <v>12.58</v>
      </c>
      <c r="Q324" s="60"/>
      <c r="R324" s="60"/>
      <c r="S324" s="59">
        <f t="shared" si="96"/>
        <v>2766.34</v>
      </c>
      <c r="T324" s="60"/>
      <c r="U324" s="61"/>
      <c r="V324" s="9">
        <f t="shared" si="97"/>
        <v>10.48</v>
      </c>
      <c r="Y324" s="9">
        <f t="shared" si="98"/>
        <v>2305.2800000000002</v>
      </c>
      <c r="AD324" s="4" t="s">
        <v>1015</v>
      </c>
      <c r="AE324" s="4" t="s">
        <v>1013</v>
      </c>
      <c r="AF324" s="4" t="s">
        <v>883</v>
      </c>
    </row>
    <row r="325" spans="1:35" ht="56.25" x14ac:dyDescent="0.25">
      <c r="A325" s="38" t="s">
        <v>1016</v>
      </c>
      <c r="B325" s="38" t="s">
        <v>853</v>
      </c>
      <c r="C325" s="39" t="s">
        <v>854</v>
      </c>
      <c r="D325" s="40"/>
      <c r="E325" s="40" t="s">
        <v>367</v>
      </c>
      <c r="F325" s="40" t="s">
        <v>56</v>
      </c>
      <c r="G325" s="41">
        <v>1</v>
      </c>
      <c r="H325" s="40"/>
      <c r="I325" s="42">
        <v>0</v>
      </c>
      <c r="J325" s="43">
        <f>IFERROR(ROUND(SUM(M327,M329,M331,M333)/I325, 2),0)</f>
        <v>0</v>
      </c>
      <c r="K325" s="43">
        <v>329</v>
      </c>
      <c r="L325" s="43">
        <f>J325+ROUND(K325, 2)</f>
        <v>329</v>
      </c>
      <c r="M325" s="43">
        <f>ROUND(J325*I325, 2)</f>
        <v>0</v>
      </c>
      <c r="N325" s="43">
        <f>ROUND(I325*ROUND(K325, 2), 2)</f>
        <v>0</v>
      </c>
      <c r="O325" s="43">
        <f>M325+N325</f>
        <v>0</v>
      </c>
      <c r="P325" s="43">
        <f>IFERROR(ROUND(SUM(S327,S329,S331,S333)/I325, 2),0)</f>
        <v>0</v>
      </c>
      <c r="Q325" s="43">
        <v>329</v>
      </c>
      <c r="R325" s="43">
        <f>P325+ROUND(Q325, 2)</f>
        <v>329</v>
      </c>
      <c r="S325" s="43">
        <f>ROUND(P325*I325, 2)</f>
        <v>0</v>
      </c>
      <c r="T325" s="43">
        <f>ROUND(I325*ROUND(Q325, 2), 2)</f>
        <v>0</v>
      </c>
      <c r="U325" s="43">
        <f>S325+T325</f>
        <v>0</v>
      </c>
      <c r="V325" s="9">
        <f>ROUND(P325 / 1.2, 2)</f>
        <v>0</v>
      </c>
      <c r="W325" s="9">
        <f>ROUND(Q325 / 1.2, 2)</f>
        <v>274.17</v>
      </c>
      <c r="X325" s="9">
        <f>ROUND(R325 / 1.2, 2)</f>
        <v>274.17</v>
      </c>
      <c r="Y325" s="9">
        <f t="shared" si="98"/>
        <v>0</v>
      </c>
      <c r="Z325" s="9">
        <f>ROUND(T325 / 1.2, 2)</f>
        <v>0</v>
      </c>
      <c r="AA325" s="9">
        <f>Y325+Z325</f>
        <v>0</v>
      </c>
      <c r="AD325" s="4">
        <v>264030386</v>
      </c>
      <c r="AE325" s="4">
        <v>16087151</v>
      </c>
      <c r="AG325" s="4" t="s">
        <v>856</v>
      </c>
      <c r="AH325" s="4" t="s">
        <v>857</v>
      </c>
      <c r="AI325" s="4" t="s">
        <v>249</v>
      </c>
    </row>
    <row r="326" spans="1:35" ht="56.25" x14ac:dyDescent="0.25">
      <c r="A326" s="44" t="s">
        <v>1017</v>
      </c>
      <c r="B326" s="44" t="s">
        <v>853</v>
      </c>
      <c r="C326" s="45" t="s">
        <v>854</v>
      </c>
      <c r="D326" s="46"/>
      <c r="E326" s="46" t="s">
        <v>367</v>
      </c>
      <c r="F326" s="46" t="s">
        <v>56</v>
      </c>
      <c r="G326" s="47">
        <v>1</v>
      </c>
      <c r="H326" s="46"/>
      <c r="I326" s="47">
        <v>219.9</v>
      </c>
      <c r="J326" s="48">
        <v>0</v>
      </c>
      <c r="K326" s="48">
        <v>329</v>
      </c>
      <c r="L326" s="48"/>
      <c r="M326" s="48">
        <v>0</v>
      </c>
      <c r="N326" s="48"/>
      <c r="O326" s="48"/>
      <c r="P326" s="48">
        <v>0</v>
      </c>
      <c r="Q326" s="48">
        <v>329</v>
      </c>
      <c r="R326" s="48"/>
      <c r="S326" s="48">
        <v>0</v>
      </c>
      <c r="T326" s="48"/>
      <c r="U326" s="48"/>
      <c r="V326" s="9"/>
      <c r="W326" s="9">
        <f>ROUND(Q326 / 1.2, 2)</f>
        <v>274.17</v>
      </c>
      <c r="X326" s="9" t="e">
        <f>ROUND(R326 / 1.2, 2)</f>
        <v>#VALUE!</v>
      </c>
      <c r="Y326" s="9"/>
      <c r="Z326" s="9" t="e">
        <f>ROUND(T326 / 1.2, 2)</f>
        <v>#VALUE!</v>
      </c>
      <c r="AA326" s="9"/>
      <c r="AD326" s="4">
        <v>204417266</v>
      </c>
      <c r="AE326" s="4">
        <v>16087151</v>
      </c>
      <c r="AG326" s="4" t="s">
        <v>856</v>
      </c>
      <c r="AH326" s="4" t="s">
        <v>857</v>
      </c>
      <c r="AI326" s="4"/>
    </row>
    <row r="327" spans="1:35" ht="37.5" x14ac:dyDescent="0.25">
      <c r="A327" s="38" t="s">
        <v>1018</v>
      </c>
      <c r="B327" s="38"/>
      <c r="C327" s="49" t="s">
        <v>887</v>
      </c>
      <c r="D327" s="40"/>
      <c r="E327" s="40"/>
      <c r="F327" s="50" t="s">
        <v>81</v>
      </c>
      <c r="G327" s="51">
        <v>1.8</v>
      </c>
      <c r="H327" s="40"/>
      <c r="I327" s="52">
        <v>0</v>
      </c>
      <c r="J327" s="53">
        <v>23</v>
      </c>
      <c r="K327" s="54"/>
      <c r="L327" s="54"/>
      <c r="M327" s="53">
        <f t="shared" ref="M327:M334" si="99">ROUND(ROUND(J327, 2)*I327, 2)</f>
        <v>0</v>
      </c>
      <c r="N327" s="54"/>
      <c r="O327" s="54"/>
      <c r="P327" s="53">
        <v>12.58</v>
      </c>
      <c r="Q327" s="54"/>
      <c r="R327" s="54"/>
      <c r="S327" s="53">
        <f t="shared" ref="S327:S334" si="100">ROUND(ROUND(P327, 2)*I327, 2)</f>
        <v>0</v>
      </c>
      <c r="T327" s="54"/>
      <c r="U327" s="55"/>
      <c r="V327" s="9">
        <f t="shared" ref="V327:V334" si="101">ROUND(ROUND(P327, 2)/1.2, 2)</f>
        <v>10.48</v>
      </c>
      <c r="Y327" s="9">
        <f t="shared" ref="Y327:Y358" si="102">ROUND(S327 / 1.2, 2)</f>
        <v>0</v>
      </c>
      <c r="AD327" s="4" t="s">
        <v>1019</v>
      </c>
      <c r="AE327" s="4" t="s">
        <v>1020</v>
      </c>
      <c r="AF327" s="4" t="s">
        <v>890</v>
      </c>
    </row>
    <row r="328" spans="1:35" ht="37.5" x14ac:dyDescent="0.25">
      <c r="A328" s="44" t="s">
        <v>1021</v>
      </c>
      <c r="B328" s="44"/>
      <c r="C328" s="56" t="s">
        <v>887</v>
      </c>
      <c r="D328" s="46"/>
      <c r="E328" s="46"/>
      <c r="F328" s="57" t="s">
        <v>81</v>
      </c>
      <c r="G328" s="58">
        <v>1.8</v>
      </c>
      <c r="H328" s="46"/>
      <c r="I328" s="58">
        <v>395.82</v>
      </c>
      <c r="J328" s="59">
        <v>23</v>
      </c>
      <c r="K328" s="60"/>
      <c r="L328" s="60"/>
      <c r="M328" s="59">
        <f t="shared" si="99"/>
        <v>9103.86</v>
      </c>
      <c r="N328" s="60"/>
      <c r="O328" s="60"/>
      <c r="P328" s="59">
        <v>12.58</v>
      </c>
      <c r="Q328" s="60"/>
      <c r="R328" s="60"/>
      <c r="S328" s="59">
        <f t="shared" si="100"/>
        <v>4979.42</v>
      </c>
      <c r="T328" s="60"/>
      <c r="U328" s="61"/>
      <c r="V328" s="9">
        <f t="shared" si="101"/>
        <v>10.48</v>
      </c>
      <c r="Y328" s="9">
        <f t="shared" si="102"/>
        <v>4149.5200000000004</v>
      </c>
      <c r="AD328" s="4" t="s">
        <v>1022</v>
      </c>
      <c r="AE328" s="4" t="s">
        <v>1020</v>
      </c>
      <c r="AF328" s="4" t="s">
        <v>890</v>
      </c>
    </row>
    <row r="329" spans="1:35" ht="18.75" x14ac:dyDescent="0.25">
      <c r="A329" s="38" t="s">
        <v>1023</v>
      </c>
      <c r="B329" s="38"/>
      <c r="C329" s="49" t="s">
        <v>865</v>
      </c>
      <c r="D329" s="40"/>
      <c r="E329" s="40"/>
      <c r="F329" s="50" t="s">
        <v>103</v>
      </c>
      <c r="G329" s="51">
        <v>0.3</v>
      </c>
      <c r="H329" s="40"/>
      <c r="I329" s="62">
        <v>0</v>
      </c>
      <c r="J329" s="53">
        <v>37.049999999999997</v>
      </c>
      <c r="K329" s="54"/>
      <c r="L329" s="54"/>
      <c r="M329" s="53">
        <f t="shared" si="99"/>
        <v>0</v>
      </c>
      <c r="N329" s="54"/>
      <c r="O329" s="54"/>
      <c r="P329" s="53">
        <v>37.049999999999997</v>
      </c>
      <c r="Q329" s="54"/>
      <c r="R329" s="54"/>
      <c r="S329" s="53">
        <f t="shared" si="100"/>
        <v>0</v>
      </c>
      <c r="T329" s="54"/>
      <c r="U329" s="55"/>
      <c r="V329" s="9">
        <f t="shared" si="101"/>
        <v>30.88</v>
      </c>
      <c r="Y329" s="9">
        <f t="shared" si="102"/>
        <v>0</v>
      </c>
      <c r="AD329" s="4" t="s">
        <v>1024</v>
      </c>
      <c r="AE329" s="4" t="s">
        <v>1025</v>
      </c>
      <c r="AF329" s="4" t="s">
        <v>868</v>
      </c>
    </row>
    <row r="330" spans="1:35" ht="18.75" x14ac:dyDescent="0.25">
      <c r="A330" s="44" t="s">
        <v>1026</v>
      </c>
      <c r="B330" s="44"/>
      <c r="C330" s="56" t="s">
        <v>865</v>
      </c>
      <c r="D330" s="46"/>
      <c r="E330" s="46"/>
      <c r="F330" s="57" t="s">
        <v>103</v>
      </c>
      <c r="G330" s="58">
        <v>0.3</v>
      </c>
      <c r="H330" s="46"/>
      <c r="I330" s="63">
        <v>65.97</v>
      </c>
      <c r="J330" s="59">
        <v>37.049999999999997</v>
      </c>
      <c r="K330" s="60"/>
      <c r="L330" s="60"/>
      <c r="M330" s="59">
        <f t="shared" si="99"/>
        <v>2444.19</v>
      </c>
      <c r="N330" s="60"/>
      <c r="O330" s="60"/>
      <c r="P330" s="59">
        <v>37.049999999999997</v>
      </c>
      <c r="Q330" s="60"/>
      <c r="R330" s="60"/>
      <c r="S330" s="59">
        <f t="shared" si="100"/>
        <v>2444.19</v>
      </c>
      <c r="T330" s="60"/>
      <c r="U330" s="61"/>
      <c r="V330" s="9">
        <f t="shared" si="101"/>
        <v>30.88</v>
      </c>
      <c r="Y330" s="9">
        <f t="shared" si="102"/>
        <v>2036.83</v>
      </c>
      <c r="AD330" s="4" t="s">
        <v>1027</v>
      </c>
      <c r="AE330" s="4" t="s">
        <v>1025</v>
      </c>
      <c r="AF330" s="4" t="s">
        <v>868</v>
      </c>
    </row>
    <row r="331" spans="1:35" ht="18.75" x14ac:dyDescent="0.25">
      <c r="A331" s="38" t="s">
        <v>1028</v>
      </c>
      <c r="B331" s="38"/>
      <c r="C331" s="49" t="s">
        <v>914</v>
      </c>
      <c r="D331" s="40"/>
      <c r="E331" s="40"/>
      <c r="F331" s="50" t="s">
        <v>123</v>
      </c>
      <c r="G331" s="51">
        <v>1</v>
      </c>
      <c r="H331" s="40"/>
      <c r="I331" s="62">
        <v>0</v>
      </c>
      <c r="J331" s="53">
        <v>7</v>
      </c>
      <c r="K331" s="54"/>
      <c r="L331" s="54"/>
      <c r="M331" s="53">
        <f t="shared" si="99"/>
        <v>0</v>
      </c>
      <c r="N331" s="54"/>
      <c r="O331" s="54"/>
      <c r="P331" s="53">
        <v>7</v>
      </c>
      <c r="Q331" s="54"/>
      <c r="R331" s="54"/>
      <c r="S331" s="53">
        <f t="shared" si="100"/>
        <v>0</v>
      </c>
      <c r="T331" s="54"/>
      <c r="U331" s="55"/>
      <c r="V331" s="9">
        <f t="shared" si="101"/>
        <v>5.83</v>
      </c>
      <c r="Y331" s="9">
        <f t="shared" si="102"/>
        <v>0</v>
      </c>
      <c r="AD331" s="4" t="s">
        <v>1029</v>
      </c>
      <c r="AE331" s="4" t="s">
        <v>1030</v>
      </c>
      <c r="AF331" s="4" t="s">
        <v>917</v>
      </c>
    </row>
    <row r="332" spans="1:35" ht="18.75" x14ac:dyDescent="0.25">
      <c r="A332" s="44" t="s">
        <v>1031</v>
      </c>
      <c r="B332" s="44"/>
      <c r="C332" s="56" t="s">
        <v>914</v>
      </c>
      <c r="D332" s="46"/>
      <c r="E332" s="46"/>
      <c r="F332" s="57" t="s">
        <v>123</v>
      </c>
      <c r="G332" s="58">
        <v>1</v>
      </c>
      <c r="H332" s="46"/>
      <c r="I332" s="63">
        <v>219.9</v>
      </c>
      <c r="J332" s="59">
        <v>7</v>
      </c>
      <c r="K332" s="60"/>
      <c r="L332" s="60"/>
      <c r="M332" s="59">
        <f t="shared" si="99"/>
        <v>1539.3</v>
      </c>
      <c r="N332" s="60"/>
      <c r="O332" s="60"/>
      <c r="P332" s="59">
        <v>7</v>
      </c>
      <c r="Q332" s="60"/>
      <c r="R332" s="60"/>
      <c r="S332" s="59">
        <f t="shared" si="100"/>
        <v>1539.3</v>
      </c>
      <c r="T332" s="60"/>
      <c r="U332" s="61"/>
      <c r="V332" s="9">
        <f t="shared" si="101"/>
        <v>5.83</v>
      </c>
      <c r="Y332" s="9">
        <f t="shared" si="102"/>
        <v>1282.75</v>
      </c>
      <c r="AD332" s="4" t="s">
        <v>1032</v>
      </c>
      <c r="AE332" s="4" t="s">
        <v>1030</v>
      </c>
      <c r="AF332" s="4" t="s">
        <v>917</v>
      </c>
    </row>
    <row r="333" spans="1:35" ht="37.5" x14ac:dyDescent="0.25">
      <c r="A333" s="38" t="s">
        <v>1033</v>
      </c>
      <c r="B333" s="38"/>
      <c r="C333" s="49" t="s">
        <v>490</v>
      </c>
      <c r="D333" s="40"/>
      <c r="E333" s="40"/>
      <c r="F333" s="50" t="s">
        <v>81</v>
      </c>
      <c r="G333" s="51">
        <v>0.15</v>
      </c>
      <c r="H333" s="40"/>
      <c r="I333" s="52">
        <v>0</v>
      </c>
      <c r="J333" s="53">
        <v>88.8</v>
      </c>
      <c r="K333" s="54"/>
      <c r="L333" s="54"/>
      <c r="M333" s="53">
        <f t="shared" si="99"/>
        <v>0</v>
      </c>
      <c r="N333" s="54"/>
      <c r="O333" s="54"/>
      <c r="P333" s="53">
        <v>88.8</v>
      </c>
      <c r="Q333" s="54"/>
      <c r="R333" s="54"/>
      <c r="S333" s="53">
        <f t="shared" si="100"/>
        <v>0</v>
      </c>
      <c r="T333" s="54"/>
      <c r="U333" s="55"/>
      <c r="V333" s="9">
        <f t="shared" si="101"/>
        <v>74</v>
      </c>
      <c r="Y333" s="9">
        <f t="shared" si="102"/>
        <v>0</v>
      </c>
      <c r="AD333" s="4" t="s">
        <v>1034</v>
      </c>
      <c r="AE333" s="4" t="s">
        <v>1035</v>
      </c>
      <c r="AF333" s="4" t="s">
        <v>493</v>
      </c>
    </row>
    <row r="334" spans="1:35" ht="37.5" x14ac:dyDescent="0.25">
      <c r="A334" s="44" t="s">
        <v>1036</v>
      </c>
      <c r="B334" s="44"/>
      <c r="C334" s="56" t="s">
        <v>490</v>
      </c>
      <c r="D334" s="46"/>
      <c r="E334" s="46"/>
      <c r="F334" s="57" t="s">
        <v>81</v>
      </c>
      <c r="G334" s="58">
        <v>0.15</v>
      </c>
      <c r="H334" s="46"/>
      <c r="I334" s="58">
        <v>32.984999999999999</v>
      </c>
      <c r="J334" s="59">
        <v>88.8</v>
      </c>
      <c r="K334" s="60"/>
      <c r="L334" s="60"/>
      <c r="M334" s="59">
        <f t="shared" si="99"/>
        <v>2929.07</v>
      </c>
      <c r="N334" s="60"/>
      <c r="O334" s="60"/>
      <c r="P334" s="59">
        <v>88.8</v>
      </c>
      <c r="Q334" s="60"/>
      <c r="R334" s="60"/>
      <c r="S334" s="59">
        <f t="shared" si="100"/>
        <v>2929.07</v>
      </c>
      <c r="T334" s="60"/>
      <c r="U334" s="61"/>
      <c r="V334" s="9">
        <f t="shared" si="101"/>
        <v>74</v>
      </c>
      <c r="Y334" s="9">
        <f t="shared" si="102"/>
        <v>2440.89</v>
      </c>
      <c r="AD334" s="4" t="s">
        <v>1037</v>
      </c>
      <c r="AE334" s="4" t="s">
        <v>1035</v>
      </c>
      <c r="AF334" s="4" t="s">
        <v>493</v>
      </c>
    </row>
    <row r="335" spans="1:35" ht="37.5" x14ac:dyDescent="0.25">
      <c r="A335" s="11" t="s">
        <v>1038</v>
      </c>
      <c r="B335" s="11" t="s">
        <v>1039</v>
      </c>
      <c r="C335" s="20" t="s">
        <v>1040</v>
      </c>
      <c r="D335" s="21"/>
      <c r="E335" s="21" t="s">
        <v>1041</v>
      </c>
      <c r="F335" s="21" t="s">
        <v>56</v>
      </c>
      <c r="G335" s="22">
        <v>1</v>
      </c>
      <c r="H335" s="21"/>
      <c r="I335" s="22">
        <v>595.26</v>
      </c>
      <c r="J335" s="23">
        <f>IFERROR(ROUND(SUM(M336,M337)/I335, 2),0)</f>
        <v>130</v>
      </c>
      <c r="K335" s="23">
        <v>790</v>
      </c>
      <c r="L335" s="23">
        <f>J335+ROUND(K335, 2)</f>
        <v>920</v>
      </c>
      <c r="M335" s="23">
        <f>ROUND(J335*I335, 2)</f>
        <v>77383.8</v>
      </c>
      <c r="N335" s="23">
        <f>ROUND(I335*ROUND(K335, 2), 2)</f>
        <v>470255.4</v>
      </c>
      <c r="O335" s="23">
        <f>M335+N335</f>
        <v>547639.19999999995</v>
      </c>
      <c r="P335" s="23">
        <f>IFERROR(ROUND(SUM(S336,S337)/I335, 2),0)</f>
        <v>130</v>
      </c>
      <c r="Q335" s="23">
        <v>790</v>
      </c>
      <c r="R335" s="23">
        <f>P335+ROUND(Q335, 2)</f>
        <v>920</v>
      </c>
      <c r="S335" s="23">
        <f>ROUND(P335*I335, 2)</f>
        <v>77383.8</v>
      </c>
      <c r="T335" s="23">
        <f>ROUND(I335*ROUND(Q335, 2), 2)</f>
        <v>470255.4</v>
      </c>
      <c r="U335" s="23">
        <f>S335+T335</f>
        <v>547639.19999999995</v>
      </c>
      <c r="V335" s="9">
        <f>ROUND(P335 / 1.2, 2)</f>
        <v>108.33</v>
      </c>
      <c r="W335" s="9">
        <f>ROUND(Q335 / 1.2, 2)</f>
        <v>658.33</v>
      </c>
      <c r="X335" s="9">
        <f>ROUND(R335 / 1.2, 2)</f>
        <v>766.67</v>
      </c>
      <c r="Y335" s="9">
        <f t="shared" si="102"/>
        <v>64486.5</v>
      </c>
      <c r="Z335" s="9">
        <f>ROUND(T335 / 1.2, 2)</f>
        <v>391879.5</v>
      </c>
      <c r="AA335" s="9">
        <f>Y335+Z335</f>
        <v>456366</v>
      </c>
      <c r="AD335" s="4">
        <v>264030294</v>
      </c>
      <c r="AE335" s="4">
        <v>19916869</v>
      </c>
      <c r="AG335" s="4" t="s">
        <v>1042</v>
      </c>
      <c r="AH335" s="4" t="s">
        <v>1043</v>
      </c>
      <c r="AI335" s="4" t="s">
        <v>249</v>
      </c>
    </row>
    <row r="336" spans="1:35" ht="56.25" x14ac:dyDescent="0.25">
      <c r="A336" s="11" t="s">
        <v>1044</v>
      </c>
      <c r="B336" s="11"/>
      <c r="C336" s="31" t="s">
        <v>859</v>
      </c>
      <c r="D336" s="21"/>
      <c r="E336" s="21" t="s">
        <v>860</v>
      </c>
      <c r="F336" s="32" t="s">
        <v>81</v>
      </c>
      <c r="G336" s="33">
        <v>5</v>
      </c>
      <c r="H336" s="21"/>
      <c r="I336" s="33">
        <v>2976.3</v>
      </c>
      <c r="J336" s="35">
        <v>23</v>
      </c>
      <c r="K336" s="12"/>
      <c r="L336" s="12"/>
      <c r="M336" s="35">
        <f>ROUND(ROUND(J336, 2)*I336, 2)</f>
        <v>68454.899999999994</v>
      </c>
      <c r="N336" s="12"/>
      <c r="O336" s="12"/>
      <c r="P336" s="35">
        <v>23</v>
      </c>
      <c r="Q336" s="12"/>
      <c r="R336" s="12"/>
      <c r="S336" s="35">
        <f>ROUND(ROUND(P336, 2)*I336, 2)</f>
        <v>68454.899999999994</v>
      </c>
      <c r="T336" s="12"/>
      <c r="U336" s="36"/>
      <c r="V336" s="9">
        <f>ROUND(ROUND(P336, 2)/1.2, 2)</f>
        <v>19.170000000000002</v>
      </c>
      <c r="Y336" s="9">
        <f t="shared" si="102"/>
        <v>57045.75</v>
      </c>
      <c r="AD336" s="4" t="s">
        <v>1045</v>
      </c>
      <c r="AE336" s="4" t="s">
        <v>1046</v>
      </c>
      <c r="AF336" s="4" t="s">
        <v>863</v>
      </c>
    </row>
    <row r="337" spans="1:35" ht="18.75" x14ac:dyDescent="0.25">
      <c r="A337" s="11" t="s">
        <v>1047</v>
      </c>
      <c r="B337" s="11"/>
      <c r="C337" s="31" t="s">
        <v>313</v>
      </c>
      <c r="D337" s="21"/>
      <c r="E337" s="21"/>
      <c r="F337" s="32" t="s">
        <v>81</v>
      </c>
      <c r="G337" s="33">
        <v>0.15</v>
      </c>
      <c r="H337" s="21"/>
      <c r="I337" s="33">
        <v>89.289000000000001</v>
      </c>
      <c r="J337" s="35">
        <v>100</v>
      </c>
      <c r="K337" s="12"/>
      <c r="L337" s="12"/>
      <c r="M337" s="35">
        <f>ROUND(ROUND(J337, 2)*I337, 2)</f>
        <v>8928.9</v>
      </c>
      <c r="N337" s="12"/>
      <c r="O337" s="12"/>
      <c r="P337" s="35">
        <v>100</v>
      </c>
      <c r="Q337" s="12"/>
      <c r="R337" s="12"/>
      <c r="S337" s="35">
        <f>ROUND(ROUND(P337, 2)*I337, 2)</f>
        <v>8928.9</v>
      </c>
      <c r="T337" s="12"/>
      <c r="U337" s="36"/>
      <c r="V337" s="9">
        <f>ROUND(ROUND(P337, 2)/1.2, 2)</f>
        <v>83.33</v>
      </c>
      <c r="Y337" s="9">
        <f t="shared" si="102"/>
        <v>7440.75</v>
      </c>
      <c r="AD337" s="4" t="s">
        <v>1048</v>
      </c>
      <c r="AE337" s="4" t="s">
        <v>1049</v>
      </c>
      <c r="AF337" s="4" t="s">
        <v>316</v>
      </c>
    </row>
    <row r="338" spans="1:35" ht="37.5" x14ac:dyDescent="0.25">
      <c r="A338" s="11" t="s">
        <v>1050</v>
      </c>
      <c r="B338" s="11" t="s">
        <v>1039</v>
      </c>
      <c r="C338" s="20" t="s">
        <v>1040</v>
      </c>
      <c r="D338" s="21"/>
      <c r="E338" s="21" t="s">
        <v>1051</v>
      </c>
      <c r="F338" s="21" t="s">
        <v>56</v>
      </c>
      <c r="G338" s="22">
        <v>1</v>
      </c>
      <c r="H338" s="21"/>
      <c r="I338" s="22">
        <v>595.26</v>
      </c>
      <c r="J338" s="23">
        <f>IFERROR(ROUND(SUM(M339,M340)/I338, 2),0)</f>
        <v>128.32</v>
      </c>
      <c r="K338" s="23">
        <v>790</v>
      </c>
      <c r="L338" s="23">
        <f>J338+ROUND(K338, 2)</f>
        <v>918.32</v>
      </c>
      <c r="M338" s="23">
        <f>ROUND(J338*I338, 2)</f>
        <v>76383.759999999995</v>
      </c>
      <c r="N338" s="23">
        <f>ROUND(I338*ROUND(K338, 2), 2)</f>
        <v>470255.4</v>
      </c>
      <c r="O338" s="23">
        <f>M338+N338</f>
        <v>546639.16</v>
      </c>
      <c r="P338" s="23">
        <f>IFERROR(ROUND(SUM(S339,S340)/I338, 2),0)</f>
        <v>128.32</v>
      </c>
      <c r="Q338" s="23">
        <v>790</v>
      </c>
      <c r="R338" s="23">
        <f>P338+ROUND(Q338, 2)</f>
        <v>918.32</v>
      </c>
      <c r="S338" s="23">
        <f>ROUND(P338*I338, 2)</f>
        <v>76383.759999999995</v>
      </c>
      <c r="T338" s="23">
        <f>ROUND(I338*ROUND(Q338, 2), 2)</f>
        <v>470255.4</v>
      </c>
      <c r="U338" s="23">
        <f>S338+T338</f>
        <v>546639.16</v>
      </c>
      <c r="V338" s="9">
        <f>ROUND(P338 / 1.2, 2)</f>
        <v>106.93</v>
      </c>
      <c r="W338" s="9">
        <f>ROUND(Q338 / 1.2, 2)</f>
        <v>658.33</v>
      </c>
      <c r="X338" s="9">
        <f>ROUND(R338 / 1.2, 2)</f>
        <v>765.27</v>
      </c>
      <c r="Y338" s="9">
        <f t="shared" si="102"/>
        <v>63653.13</v>
      </c>
      <c r="Z338" s="9">
        <f>ROUND(T338 / 1.2, 2)</f>
        <v>391879.5</v>
      </c>
      <c r="AA338" s="9">
        <f>Y338+Z338</f>
        <v>455532.63</v>
      </c>
      <c r="AD338" s="4">
        <v>264030387</v>
      </c>
      <c r="AE338" s="4">
        <v>19916876</v>
      </c>
      <c r="AG338" s="4" t="s">
        <v>1042</v>
      </c>
      <c r="AH338" s="4" t="s">
        <v>1043</v>
      </c>
      <c r="AI338" s="4" t="s">
        <v>249</v>
      </c>
    </row>
    <row r="339" spans="1:35" ht="37.5" x14ac:dyDescent="0.25">
      <c r="A339" s="11" t="s">
        <v>1052</v>
      </c>
      <c r="B339" s="11"/>
      <c r="C339" s="31" t="s">
        <v>490</v>
      </c>
      <c r="D339" s="21"/>
      <c r="E339" s="21"/>
      <c r="F339" s="32" t="s">
        <v>81</v>
      </c>
      <c r="G339" s="33">
        <v>0.15</v>
      </c>
      <c r="H339" s="21"/>
      <c r="I339" s="33">
        <v>89.289000000000001</v>
      </c>
      <c r="J339" s="35">
        <v>88.8</v>
      </c>
      <c r="K339" s="12"/>
      <c r="L339" s="12"/>
      <c r="M339" s="35">
        <f>ROUND(ROUND(J339, 2)*I339, 2)</f>
        <v>7928.86</v>
      </c>
      <c r="N339" s="12"/>
      <c r="O339" s="12"/>
      <c r="P339" s="35">
        <v>88.8</v>
      </c>
      <c r="Q339" s="12"/>
      <c r="R339" s="12"/>
      <c r="S339" s="35">
        <f>ROUND(ROUND(P339, 2)*I339, 2)</f>
        <v>7928.86</v>
      </c>
      <c r="T339" s="12"/>
      <c r="U339" s="36"/>
      <c r="V339" s="9">
        <f>ROUND(ROUND(P339, 2)/1.2, 2)</f>
        <v>74</v>
      </c>
      <c r="Y339" s="9">
        <f t="shared" si="102"/>
        <v>6607.38</v>
      </c>
      <c r="AD339" s="4" t="s">
        <v>1053</v>
      </c>
      <c r="AE339" s="4" t="s">
        <v>1054</v>
      </c>
      <c r="AF339" s="4" t="s">
        <v>493</v>
      </c>
    </row>
    <row r="340" spans="1:35" ht="56.25" x14ac:dyDescent="0.25">
      <c r="A340" s="11" t="s">
        <v>1055</v>
      </c>
      <c r="B340" s="11"/>
      <c r="C340" s="31" t="s">
        <v>859</v>
      </c>
      <c r="D340" s="21"/>
      <c r="E340" s="21" t="s">
        <v>1056</v>
      </c>
      <c r="F340" s="32" t="s">
        <v>81</v>
      </c>
      <c r="G340" s="33">
        <v>5</v>
      </c>
      <c r="H340" s="21"/>
      <c r="I340" s="33">
        <v>2976.3</v>
      </c>
      <c r="J340" s="35">
        <v>23</v>
      </c>
      <c r="K340" s="12"/>
      <c r="L340" s="12"/>
      <c r="M340" s="35">
        <f>ROUND(ROUND(J340, 2)*I340, 2)</f>
        <v>68454.899999999994</v>
      </c>
      <c r="N340" s="12"/>
      <c r="O340" s="12"/>
      <c r="P340" s="35">
        <v>23</v>
      </c>
      <c r="Q340" s="12"/>
      <c r="R340" s="12"/>
      <c r="S340" s="35">
        <f>ROUND(ROUND(P340, 2)*I340, 2)</f>
        <v>68454.899999999994</v>
      </c>
      <c r="T340" s="12"/>
      <c r="U340" s="36"/>
      <c r="V340" s="9">
        <f>ROUND(ROUND(P340, 2)/1.2, 2)</f>
        <v>19.170000000000002</v>
      </c>
      <c r="Y340" s="9">
        <f t="shared" si="102"/>
        <v>57045.75</v>
      </c>
      <c r="AD340" s="4" t="s">
        <v>1057</v>
      </c>
      <c r="AE340" s="4" t="s">
        <v>1058</v>
      </c>
      <c r="AF340" s="4" t="s">
        <v>863</v>
      </c>
    </row>
    <row r="341" spans="1:35" ht="37.5" x14ac:dyDescent="0.25">
      <c r="A341" s="11" t="s">
        <v>1059</v>
      </c>
      <c r="B341" s="11" t="s">
        <v>1060</v>
      </c>
      <c r="C341" s="20" t="s">
        <v>1061</v>
      </c>
      <c r="D341" s="21"/>
      <c r="E341" s="21" t="s">
        <v>1062</v>
      </c>
      <c r="F341" s="21" t="s">
        <v>56</v>
      </c>
      <c r="G341" s="22">
        <v>1</v>
      </c>
      <c r="H341" s="21"/>
      <c r="I341" s="22">
        <v>79.16</v>
      </c>
      <c r="J341" s="23">
        <f>IFERROR(ROUND(SUM(M342,M343,M344)/I341, 2),0)</f>
        <v>81.25</v>
      </c>
      <c r="K341" s="23">
        <v>639</v>
      </c>
      <c r="L341" s="23">
        <f>J341+ROUND(K341, 2)</f>
        <v>720.25</v>
      </c>
      <c r="M341" s="23">
        <f>ROUND(J341*I341, 2)</f>
        <v>6431.75</v>
      </c>
      <c r="N341" s="23">
        <f>ROUND(I341*ROUND(K341, 2), 2)</f>
        <v>50583.24</v>
      </c>
      <c r="O341" s="23">
        <f>M341+N341</f>
        <v>57014.99</v>
      </c>
      <c r="P341" s="23">
        <f>IFERROR(ROUND(SUM(S342,S343,S344)/I341, 2),0)</f>
        <v>81.25</v>
      </c>
      <c r="Q341" s="23">
        <v>639</v>
      </c>
      <c r="R341" s="23">
        <f>P341+ROUND(Q341, 2)</f>
        <v>720.25</v>
      </c>
      <c r="S341" s="23">
        <f>ROUND(P341*I341, 2)</f>
        <v>6431.75</v>
      </c>
      <c r="T341" s="23">
        <f>ROUND(I341*ROUND(Q341, 2), 2)</f>
        <v>50583.24</v>
      </c>
      <c r="U341" s="23">
        <f>S341+T341</f>
        <v>57014.99</v>
      </c>
      <c r="V341" s="9">
        <f>ROUND(P341 / 1.2, 2)</f>
        <v>67.709999999999994</v>
      </c>
      <c r="W341" s="9">
        <f>ROUND(Q341 / 1.2, 2)</f>
        <v>532.5</v>
      </c>
      <c r="X341" s="9">
        <f>ROUND(R341 / 1.2, 2)</f>
        <v>600.21</v>
      </c>
      <c r="Y341" s="9">
        <f t="shared" si="102"/>
        <v>5359.79</v>
      </c>
      <c r="Z341" s="9">
        <f>ROUND(T341 / 1.2, 2)</f>
        <v>42152.7</v>
      </c>
      <c r="AA341" s="9">
        <f>Y341+Z341</f>
        <v>47512.49</v>
      </c>
      <c r="AD341" s="4">
        <v>264030295</v>
      </c>
      <c r="AE341" s="4">
        <v>19916865</v>
      </c>
      <c r="AG341" s="4" t="s">
        <v>1063</v>
      </c>
      <c r="AH341" s="4" t="s">
        <v>1064</v>
      </c>
      <c r="AI341" s="4" t="s">
        <v>249</v>
      </c>
    </row>
    <row r="342" spans="1:35" ht="56.25" x14ac:dyDescent="0.25">
      <c r="A342" s="11" t="s">
        <v>1065</v>
      </c>
      <c r="B342" s="11"/>
      <c r="C342" s="31" t="s">
        <v>859</v>
      </c>
      <c r="D342" s="21"/>
      <c r="E342" s="21" t="s">
        <v>860</v>
      </c>
      <c r="F342" s="32" t="s">
        <v>81</v>
      </c>
      <c r="G342" s="33">
        <v>2</v>
      </c>
      <c r="H342" s="21"/>
      <c r="I342" s="33">
        <v>158.32</v>
      </c>
      <c r="J342" s="35">
        <v>23</v>
      </c>
      <c r="K342" s="12"/>
      <c r="L342" s="12"/>
      <c r="M342" s="35">
        <f>ROUND(ROUND(J342, 2)*I342, 2)</f>
        <v>3641.36</v>
      </c>
      <c r="N342" s="12"/>
      <c r="O342" s="12"/>
      <c r="P342" s="35">
        <v>23</v>
      </c>
      <c r="Q342" s="12"/>
      <c r="R342" s="12"/>
      <c r="S342" s="35">
        <f>ROUND(ROUND(P342, 2)*I342, 2)</f>
        <v>3641.36</v>
      </c>
      <c r="T342" s="12"/>
      <c r="U342" s="36"/>
      <c r="V342" s="9">
        <f>ROUND(ROUND(P342, 2)/1.2, 2)</f>
        <v>19.170000000000002</v>
      </c>
      <c r="Y342" s="9">
        <f t="shared" si="102"/>
        <v>3034.47</v>
      </c>
      <c r="AD342" s="4" t="s">
        <v>1066</v>
      </c>
      <c r="AE342" s="4" t="s">
        <v>1067</v>
      </c>
      <c r="AF342" s="4" t="s">
        <v>863</v>
      </c>
    </row>
    <row r="343" spans="1:35" ht="56.25" x14ac:dyDescent="0.25">
      <c r="A343" s="11" t="s">
        <v>1068</v>
      </c>
      <c r="B343" s="11"/>
      <c r="C343" s="31" t="s">
        <v>1069</v>
      </c>
      <c r="D343" s="21"/>
      <c r="E343" s="21"/>
      <c r="F343" s="32" t="s">
        <v>103</v>
      </c>
      <c r="G343" s="33">
        <v>0.3</v>
      </c>
      <c r="H343" s="21"/>
      <c r="I343" s="33">
        <v>23.748000000000001</v>
      </c>
      <c r="J343" s="35">
        <v>73.099999999999994</v>
      </c>
      <c r="K343" s="12"/>
      <c r="L343" s="12"/>
      <c r="M343" s="35">
        <f>ROUND(ROUND(J343, 2)*I343, 2)</f>
        <v>1735.98</v>
      </c>
      <c r="N343" s="12"/>
      <c r="O343" s="12"/>
      <c r="P343" s="35">
        <v>73.099999999999994</v>
      </c>
      <c r="Q343" s="12"/>
      <c r="R343" s="12"/>
      <c r="S343" s="35">
        <f>ROUND(ROUND(P343, 2)*I343, 2)</f>
        <v>1735.98</v>
      </c>
      <c r="T343" s="12"/>
      <c r="U343" s="36"/>
      <c r="V343" s="9">
        <f>ROUND(ROUND(P343, 2)/1.2, 2)</f>
        <v>60.92</v>
      </c>
      <c r="Y343" s="9">
        <f t="shared" si="102"/>
        <v>1446.65</v>
      </c>
      <c r="AD343" s="4" t="s">
        <v>1070</v>
      </c>
      <c r="AE343" s="4" t="s">
        <v>1071</v>
      </c>
      <c r="AF343" s="4" t="s">
        <v>1072</v>
      </c>
    </row>
    <row r="344" spans="1:35" ht="37.5" x14ac:dyDescent="0.25">
      <c r="A344" s="11" t="s">
        <v>1073</v>
      </c>
      <c r="B344" s="11"/>
      <c r="C344" s="31" t="s">
        <v>490</v>
      </c>
      <c r="D344" s="21"/>
      <c r="E344" s="21"/>
      <c r="F344" s="32" t="s">
        <v>81</v>
      </c>
      <c r="G344" s="33">
        <v>0.15</v>
      </c>
      <c r="H344" s="21"/>
      <c r="I344" s="33">
        <v>11.874000000000001</v>
      </c>
      <c r="J344" s="35">
        <v>88.8</v>
      </c>
      <c r="K344" s="12"/>
      <c r="L344" s="12"/>
      <c r="M344" s="35">
        <f>ROUND(ROUND(J344, 2)*I344, 2)</f>
        <v>1054.4100000000001</v>
      </c>
      <c r="N344" s="12"/>
      <c r="O344" s="12"/>
      <c r="P344" s="35">
        <v>88.8</v>
      </c>
      <c r="Q344" s="12"/>
      <c r="R344" s="12"/>
      <c r="S344" s="35">
        <f>ROUND(ROUND(P344, 2)*I344, 2)</f>
        <v>1054.4100000000001</v>
      </c>
      <c r="T344" s="12"/>
      <c r="U344" s="36"/>
      <c r="V344" s="9">
        <f>ROUND(ROUND(P344, 2)/1.2, 2)</f>
        <v>74</v>
      </c>
      <c r="Y344" s="9">
        <f t="shared" si="102"/>
        <v>878.68</v>
      </c>
      <c r="AD344" s="4" t="s">
        <v>1074</v>
      </c>
      <c r="AE344" s="4" t="s">
        <v>1075</v>
      </c>
      <c r="AF344" s="4" t="s">
        <v>493</v>
      </c>
    </row>
    <row r="345" spans="1:35" ht="37.5" x14ac:dyDescent="0.25">
      <c r="A345" s="11" t="s">
        <v>1076</v>
      </c>
      <c r="B345" s="11" t="s">
        <v>1060</v>
      </c>
      <c r="C345" s="20" t="s">
        <v>1061</v>
      </c>
      <c r="D345" s="21"/>
      <c r="E345" s="21" t="s">
        <v>1077</v>
      </c>
      <c r="F345" s="21" t="s">
        <v>56</v>
      </c>
      <c r="G345" s="22">
        <v>1</v>
      </c>
      <c r="H345" s="21"/>
      <c r="I345" s="22">
        <v>79.16</v>
      </c>
      <c r="J345" s="23">
        <f>IFERROR(ROUND(SUM(M346,M347)/I345, 2),0)</f>
        <v>59.32</v>
      </c>
      <c r="K345" s="23">
        <v>639</v>
      </c>
      <c r="L345" s="23">
        <f>J345+ROUND(K345, 2)</f>
        <v>698.32</v>
      </c>
      <c r="M345" s="23">
        <f>ROUND(J345*I345, 2)</f>
        <v>4695.7700000000004</v>
      </c>
      <c r="N345" s="23">
        <f>ROUND(I345*ROUND(K345, 2), 2)</f>
        <v>50583.24</v>
      </c>
      <c r="O345" s="23">
        <f>M345+N345</f>
        <v>55279.01</v>
      </c>
      <c r="P345" s="23">
        <f>IFERROR(ROUND(SUM(S346,S347)/I345, 2),0)</f>
        <v>59.32</v>
      </c>
      <c r="Q345" s="23">
        <v>639</v>
      </c>
      <c r="R345" s="23">
        <f>P345+ROUND(Q345, 2)</f>
        <v>698.32</v>
      </c>
      <c r="S345" s="23">
        <f>ROUND(P345*I345, 2)</f>
        <v>4695.7700000000004</v>
      </c>
      <c r="T345" s="23">
        <f>ROUND(I345*ROUND(Q345, 2), 2)</f>
        <v>50583.24</v>
      </c>
      <c r="U345" s="23">
        <f>S345+T345</f>
        <v>55279.01</v>
      </c>
      <c r="V345" s="9">
        <f>ROUND(P345 / 1.2, 2)</f>
        <v>49.43</v>
      </c>
      <c r="W345" s="9">
        <f>ROUND(Q345 / 1.2, 2)</f>
        <v>532.5</v>
      </c>
      <c r="X345" s="9">
        <f>ROUND(R345 / 1.2, 2)</f>
        <v>581.92999999999995</v>
      </c>
      <c r="Y345" s="9">
        <f t="shared" si="102"/>
        <v>3913.14</v>
      </c>
      <c r="Z345" s="9">
        <f>ROUND(T345 / 1.2, 2)</f>
        <v>42152.7</v>
      </c>
      <c r="AA345" s="9">
        <f>Y345+Z345</f>
        <v>46065.84</v>
      </c>
      <c r="AD345" s="4">
        <v>264030388</v>
      </c>
      <c r="AE345" s="4">
        <v>19916872</v>
      </c>
      <c r="AG345" s="4" t="s">
        <v>1063</v>
      </c>
      <c r="AH345" s="4" t="s">
        <v>1064</v>
      </c>
      <c r="AI345" s="4" t="s">
        <v>249</v>
      </c>
    </row>
    <row r="346" spans="1:35" ht="37.5" x14ac:dyDescent="0.25">
      <c r="A346" s="11" t="s">
        <v>1078</v>
      </c>
      <c r="B346" s="11"/>
      <c r="C346" s="31" t="s">
        <v>490</v>
      </c>
      <c r="D346" s="21"/>
      <c r="E346" s="21"/>
      <c r="F346" s="32" t="s">
        <v>81</v>
      </c>
      <c r="G346" s="33">
        <v>0.15</v>
      </c>
      <c r="H346" s="21"/>
      <c r="I346" s="33">
        <v>11.874000000000001</v>
      </c>
      <c r="J346" s="35">
        <v>88.8</v>
      </c>
      <c r="K346" s="12"/>
      <c r="L346" s="12"/>
      <c r="M346" s="35">
        <f>ROUND(ROUND(J346, 2)*I346, 2)</f>
        <v>1054.4100000000001</v>
      </c>
      <c r="N346" s="12"/>
      <c r="O346" s="12"/>
      <c r="P346" s="35">
        <v>88.8</v>
      </c>
      <c r="Q346" s="12"/>
      <c r="R346" s="12"/>
      <c r="S346" s="35">
        <f>ROUND(ROUND(P346, 2)*I346, 2)</f>
        <v>1054.4100000000001</v>
      </c>
      <c r="T346" s="12"/>
      <c r="U346" s="36"/>
      <c r="V346" s="9">
        <f>ROUND(ROUND(P346, 2)/1.2, 2)</f>
        <v>74</v>
      </c>
      <c r="Y346" s="9">
        <f t="shared" si="102"/>
        <v>878.68</v>
      </c>
      <c r="AD346" s="4" t="s">
        <v>1079</v>
      </c>
      <c r="AE346" s="4" t="s">
        <v>1080</v>
      </c>
      <c r="AF346" s="4" t="s">
        <v>493</v>
      </c>
    </row>
    <row r="347" spans="1:35" ht="56.25" x14ac:dyDescent="0.25">
      <c r="A347" s="11" t="s">
        <v>1081</v>
      </c>
      <c r="B347" s="11"/>
      <c r="C347" s="31" t="s">
        <v>859</v>
      </c>
      <c r="D347" s="21"/>
      <c r="E347" s="21" t="s">
        <v>1056</v>
      </c>
      <c r="F347" s="32" t="s">
        <v>81</v>
      </c>
      <c r="G347" s="33">
        <v>2</v>
      </c>
      <c r="H347" s="21"/>
      <c r="I347" s="33">
        <v>158.32</v>
      </c>
      <c r="J347" s="35">
        <v>23</v>
      </c>
      <c r="K347" s="12"/>
      <c r="L347" s="12"/>
      <c r="M347" s="35">
        <f>ROUND(ROUND(J347, 2)*I347, 2)</f>
        <v>3641.36</v>
      </c>
      <c r="N347" s="12"/>
      <c r="O347" s="12"/>
      <c r="P347" s="35">
        <v>23</v>
      </c>
      <c r="Q347" s="12"/>
      <c r="R347" s="12"/>
      <c r="S347" s="35">
        <f>ROUND(ROUND(P347, 2)*I347, 2)</f>
        <v>3641.36</v>
      </c>
      <c r="T347" s="12"/>
      <c r="U347" s="36"/>
      <c r="V347" s="9">
        <f>ROUND(ROUND(P347, 2)/1.2, 2)</f>
        <v>19.170000000000002</v>
      </c>
      <c r="Y347" s="9">
        <f t="shared" si="102"/>
        <v>3034.47</v>
      </c>
      <c r="AD347" s="4" t="s">
        <v>1082</v>
      </c>
      <c r="AE347" s="4" t="s">
        <v>1083</v>
      </c>
      <c r="AF347" s="4" t="s">
        <v>863</v>
      </c>
    </row>
    <row r="348" spans="1:35" ht="37.5" x14ac:dyDescent="0.25">
      <c r="A348" s="11" t="s">
        <v>1084</v>
      </c>
      <c r="B348" s="11" t="s">
        <v>1060</v>
      </c>
      <c r="C348" s="20" t="s">
        <v>1061</v>
      </c>
      <c r="D348" s="21"/>
      <c r="E348" s="21" t="s">
        <v>1085</v>
      </c>
      <c r="F348" s="21" t="s">
        <v>56</v>
      </c>
      <c r="G348" s="22">
        <v>1</v>
      </c>
      <c r="H348" s="21"/>
      <c r="I348" s="22">
        <v>0.1</v>
      </c>
      <c r="J348" s="23">
        <f>IFERROR(ROUND(SUM(M349,M350,M351)/I348, 2),0)</f>
        <v>81.2</v>
      </c>
      <c r="K348" s="23">
        <v>639</v>
      </c>
      <c r="L348" s="23">
        <f>J348+ROUND(K348, 2)</f>
        <v>720.2</v>
      </c>
      <c r="M348" s="23">
        <f>ROUND(J348*I348, 2)</f>
        <v>8.1199999999999992</v>
      </c>
      <c r="N348" s="23">
        <f>ROUND(I348*ROUND(K348, 2), 2)</f>
        <v>63.9</v>
      </c>
      <c r="O348" s="23">
        <f>M348+N348</f>
        <v>72.02</v>
      </c>
      <c r="P348" s="23">
        <f>IFERROR(ROUND(SUM(S349,S350,S351)/I348, 2),0)</f>
        <v>81.2</v>
      </c>
      <c r="Q348" s="23">
        <v>639</v>
      </c>
      <c r="R348" s="23">
        <f>P348+ROUND(Q348, 2)</f>
        <v>720.2</v>
      </c>
      <c r="S348" s="23">
        <f>ROUND(P348*I348, 2)</f>
        <v>8.1199999999999992</v>
      </c>
      <c r="T348" s="23">
        <f>ROUND(I348*ROUND(Q348, 2), 2)</f>
        <v>63.9</v>
      </c>
      <c r="U348" s="23">
        <f>S348+T348</f>
        <v>72.02</v>
      </c>
      <c r="V348" s="9">
        <f>ROUND(P348 / 1.2, 2)</f>
        <v>67.67</v>
      </c>
      <c r="W348" s="9">
        <f>ROUND(Q348 / 1.2, 2)</f>
        <v>532.5</v>
      </c>
      <c r="X348" s="9">
        <f>ROUND(R348 / 1.2, 2)</f>
        <v>600.16999999999996</v>
      </c>
      <c r="Y348" s="9">
        <f t="shared" si="102"/>
        <v>6.77</v>
      </c>
      <c r="Z348" s="9">
        <f>ROUND(T348 / 1.2, 2)</f>
        <v>53.25</v>
      </c>
      <c r="AA348" s="9">
        <f>Y348+Z348</f>
        <v>60.02</v>
      </c>
      <c r="AD348" s="4">
        <v>264030389</v>
      </c>
      <c r="AE348" s="4">
        <v>19916870</v>
      </c>
      <c r="AG348" s="4" t="s">
        <v>1063</v>
      </c>
      <c r="AH348" s="4" t="s">
        <v>1064</v>
      </c>
      <c r="AI348" s="4" t="s">
        <v>249</v>
      </c>
    </row>
    <row r="349" spans="1:35" ht="56.25" x14ac:dyDescent="0.25">
      <c r="A349" s="11" t="s">
        <v>1086</v>
      </c>
      <c r="B349" s="11"/>
      <c r="C349" s="31" t="s">
        <v>859</v>
      </c>
      <c r="D349" s="21"/>
      <c r="E349" s="21" t="s">
        <v>860</v>
      </c>
      <c r="F349" s="32" t="s">
        <v>81</v>
      </c>
      <c r="G349" s="33">
        <v>2</v>
      </c>
      <c r="H349" s="21"/>
      <c r="I349" s="33">
        <v>0.2</v>
      </c>
      <c r="J349" s="35">
        <v>23</v>
      </c>
      <c r="K349" s="12"/>
      <c r="L349" s="12"/>
      <c r="M349" s="35">
        <f>ROUND(ROUND(J349, 2)*I349, 2)</f>
        <v>4.5999999999999996</v>
      </c>
      <c r="N349" s="12"/>
      <c r="O349" s="12"/>
      <c r="P349" s="35">
        <v>23</v>
      </c>
      <c r="Q349" s="12"/>
      <c r="R349" s="12"/>
      <c r="S349" s="35">
        <f>ROUND(ROUND(P349, 2)*I349, 2)</f>
        <v>4.5999999999999996</v>
      </c>
      <c r="T349" s="12"/>
      <c r="U349" s="36"/>
      <c r="V349" s="9">
        <f>ROUND(ROUND(P349, 2)/1.2, 2)</f>
        <v>19.170000000000002</v>
      </c>
      <c r="Y349" s="9">
        <f t="shared" si="102"/>
        <v>3.83</v>
      </c>
      <c r="AD349" s="4" t="s">
        <v>1087</v>
      </c>
      <c r="AE349" s="4" t="s">
        <v>1088</v>
      </c>
      <c r="AF349" s="4" t="s">
        <v>863</v>
      </c>
    </row>
    <row r="350" spans="1:35" ht="56.25" x14ac:dyDescent="0.25">
      <c r="A350" s="11" t="s">
        <v>1089</v>
      </c>
      <c r="B350" s="11"/>
      <c r="C350" s="31" t="s">
        <v>1069</v>
      </c>
      <c r="D350" s="21"/>
      <c r="E350" s="21"/>
      <c r="F350" s="32" t="s">
        <v>103</v>
      </c>
      <c r="G350" s="33">
        <v>0.3</v>
      </c>
      <c r="H350" s="21"/>
      <c r="I350" s="33">
        <v>0.03</v>
      </c>
      <c r="J350" s="35">
        <v>73.099999999999994</v>
      </c>
      <c r="K350" s="12"/>
      <c r="L350" s="12"/>
      <c r="M350" s="35">
        <f>ROUND(ROUND(J350, 2)*I350, 2)</f>
        <v>2.19</v>
      </c>
      <c r="N350" s="12"/>
      <c r="O350" s="12"/>
      <c r="P350" s="35">
        <v>73.099999999999994</v>
      </c>
      <c r="Q350" s="12"/>
      <c r="R350" s="12"/>
      <c r="S350" s="35">
        <f>ROUND(ROUND(P350, 2)*I350, 2)</f>
        <v>2.19</v>
      </c>
      <c r="T350" s="12"/>
      <c r="U350" s="36"/>
      <c r="V350" s="9">
        <f>ROUND(ROUND(P350, 2)/1.2, 2)</f>
        <v>60.92</v>
      </c>
      <c r="Y350" s="9">
        <f t="shared" si="102"/>
        <v>1.83</v>
      </c>
      <c r="AD350" s="4" t="s">
        <v>1090</v>
      </c>
      <c r="AE350" s="4" t="s">
        <v>1091</v>
      </c>
      <c r="AF350" s="4" t="s">
        <v>1072</v>
      </c>
    </row>
    <row r="351" spans="1:35" ht="37.5" x14ac:dyDescent="0.25">
      <c r="A351" s="11" t="s">
        <v>1092</v>
      </c>
      <c r="B351" s="11"/>
      <c r="C351" s="31" t="s">
        <v>490</v>
      </c>
      <c r="D351" s="21"/>
      <c r="E351" s="21"/>
      <c r="F351" s="32" t="s">
        <v>81</v>
      </c>
      <c r="G351" s="33">
        <v>0.15</v>
      </c>
      <c r="H351" s="21"/>
      <c r="I351" s="33">
        <v>1.4999999999999999E-2</v>
      </c>
      <c r="J351" s="35">
        <v>88.8</v>
      </c>
      <c r="K351" s="12"/>
      <c r="L351" s="12"/>
      <c r="M351" s="35">
        <f>ROUND(ROUND(J351, 2)*I351, 2)</f>
        <v>1.33</v>
      </c>
      <c r="N351" s="12"/>
      <c r="O351" s="12"/>
      <c r="P351" s="35">
        <v>88.8</v>
      </c>
      <c r="Q351" s="12"/>
      <c r="R351" s="12"/>
      <c r="S351" s="35">
        <f>ROUND(ROUND(P351, 2)*I351, 2)</f>
        <v>1.33</v>
      </c>
      <c r="T351" s="12"/>
      <c r="U351" s="36"/>
      <c r="V351" s="9">
        <f>ROUND(ROUND(P351, 2)/1.2, 2)</f>
        <v>74</v>
      </c>
      <c r="Y351" s="9">
        <f t="shared" si="102"/>
        <v>1.1100000000000001</v>
      </c>
      <c r="AD351" s="4" t="s">
        <v>1093</v>
      </c>
      <c r="AE351" s="4" t="s">
        <v>1094</v>
      </c>
      <c r="AF351" s="4" t="s">
        <v>493</v>
      </c>
    </row>
    <row r="352" spans="1:35" ht="37.5" x14ac:dyDescent="0.25">
      <c r="A352" s="11" t="s">
        <v>1095</v>
      </c>
      <c r="B352" s="11" t="s">
        <v>1060</v>
      </c>
      <c r="C352" s="20" t="s">
        <v>1061</v>
      </c>
      <c r="D352" s="21"/>
      <c r="E352" s="21" t="s">
        <v>1096</v>
      </c>
      <c r="F352" s="21" t="s">
        <v>56</v>
      </c>
      <c r="G352" s="22">
        <v>1</v>
      </c>
      <c r="H352" s="21"/>
      <c r="I352" s="22">
        <v>0.1</v>
      </c>
      <c r="J352" s="23">
        <f>IFERROR(ROUND(SUM(M353,M354)/I352, 2),0)</f>
        <v>59.3</v>
      </c>
      <c r="K352" s="23">
        <v>639</v>
      </c>
      <c r="L352" s="23">
        <f>J352+ROUND(K352, 2)</f>
        <v>698.3</v>
      </c>
      <c r="M352" s="23">
        <f>ROUND(J352*I352, 2)</f>
        <v>5.93</v>
      </c>
      <c r="N352" s="23">
        <f>ROUND(I352*ROUND(K352, 2), 2)</f>
        <v>63.9</v>
      </c>
      <c r="O352" s="23">
        <f>M352+N352</f>
        <v>69.83</v>
      </c>
      <c r="P352" s="23">
        <f>IFERROR(ROUND(SUM(S353,S354)/I352, 2),0)</f>
        <v>59.3</v>
      </c>
      <c r="Q352" s="23">
        <v>639</v>
      </c>
      <c r="R352" s="23">
        <f>P352+ROUND(Q352, 2)</f>
        <v>698.3</v>
      </c>
      <c r="S352" s="23">
        <f>ROUND(P352*I352, 2)</f>
        <v>5.93</v>
      </c>
      <c r="T352" s="23">
        <f>ROUND(I352*ROUND(Q352, 2), 2)</f>
        <v>63.9</v>
      </c>
      <c r="U352" s="23">
        <f>S352+T352</f>
        <v>69.83</v>
      </c>
      <c r="V352" s="9">
        <f>ROUND(P352 / 1.2, 2)</f>
        <v>49.42</v>
      </c>
      <c r="W352" s="9">
        <f>ROUND(Q352 / 1.2, 2)</f>
        <v>532.5</v>
      </c>
      <c r="X352" s="9">
        <f>ROUND(R352 / 1.2, 2)</f>
        <v>581.91999999999996</v>
      </c>
      <c r="Y352" s="9">
        <f t="shared" si="102"/>
        <v>4.9400000000000004</v>
      </c>
      <c r="Z352" s="9">
        <f>ROUND(T352 / 1.2, 2)</f>
        <v>53.25</v>
      </c>
      <c r="AA352" s="9">
        <f>Y352+Z352</f>
        <v>58.19</v>
      </c>
      <c r="AD352" s="4">
        <v>264030390</v>
      </c>
      <c r="AE352" s="4">
        <v>19916877</v>
      </c>
      <c r="AG352" s="4" t="s">
        <v>1063</v>
      </c>
      <c r="AH352" s="4" t="s">
        <v>1064</v>
      </c>
      <c r="AI352" s="4" t="s">
        <v>249</v>
      </c>
    </row>
    <row r="353" spans="1:35" ht="37.5" x14ac:dyDescent="0.25">
      <c r="A353" s="11" t="s">
        <v>1097</v>
      </c>
      <c r="B353" s="11"/>
      <c r="C353" s="31" t="s">
        <v>490</v>
      </c>
      <c r="D353" s="21"/>
      <c r="E353" s="21"/>
      <c r="F353" s="32" t="s">
        <v>81</v>
      </c>
      <c r="G353" s="33">
        <v>0.15</v>
      </c>
      <c r="H353" s="21"/>
      <c r="I353" s="33">
        <v>1.4999999999999999E-2</v>
      </c>
      <c r="J353" s="35">
        <v>88.8</v>
      </c>
      <c r="K353" s="12"/>
      <c r="L353" s="12"/>
      <c r="M353" s="35">
        <f>ROUND(ROUND(J353, 2)*I353, 2)</f>
        <v>1.33</v>
      </c>
      <c r="N353" s="12"/>
      <c r="O353" s="12"/>
      <c r="P353" s="35">
        <v>88.8</v>
      </c>
      <c r="Q353" s="12"/>
      <c r="R353" s="12"/>
      <c r="S353" s="35">
        <f>ROUND(ROUND(P353, 2)*I353, 2)</f>
        <v>1.33</v>
      </c>
      <c r="T353" s="12"/>
      <c r="U353" s="36"/>
      <c r="V353" s="9">
        <f>ROUND(ROUND(P353, 2)/1.2, 2)</f>
        <v>74</v>
      </c>
      <c r="Y353" s="9">
        <f t="shared" si="102"/>
        <v>1.1100000000000001</v>
      </c>
      <c r="AD353" s="4" t="s">
        <v>1098</v>
      </c>
      <c r="AE353" s="4" t="s">
        <v>1099</v>
      </c>
      <c r="AF353" s="4" t="s">
        <v>493</v>
      </c>
    </row>
    <row r="354" spans="1:35" ht="56.25" x14ac:dyDescent="0.25">
      <c r="A354" s="11" t="s">
        <v>1100</v>
      </c>
      <c r="B354" s="11"/>
      <c r="C354" s="31" t="s">
        <v>859</v>
      </c>
      <c r="D354" s="21"/>
      <c r="E354" s="21" t="s">
        <v>1056</v>
      </c>
      <c r="F354" s="32" t="s">
        <v>81</v>
      </c>
      <c r="G354" s="33">
        <v>2</v>
      </c>
      <c r="H354" s="21"/>
      <c r="I354" s="33">
        <v>0.2</v>
      </c>
      <c r="J354" s="35">
        <v>23</v>
      </c>
      <c r="K354" s="12"/>
      <c r="L354" s="12"/>
      <c r="M354" s="35">
        <f>ROUND(ROUND(J354, 2)*I354, 2)</f>
        <v>4.5999999999999996</v>
      </c>
      <c r="N354" s="12"/>
      <c r="O354" s="12"/>
      <c r="P354" s="35">
        <v>23</v>
      </c>
      <c r="Q354" s="12"/>
      <c r="R354" s="12"/>
      <c r="S354" s="35">
        <f>ROUND(ROUND(P354, 2)*I354, 2)</f>
        <v>4.5999999999999996</v>
      </c>
      <c r="T354" s="12"/>
      <c r="U354" s="36"/>
      <c r="V354" s="9">
        <f>ROUND(ROUND(P354, 2)/1.2, 2)</f>
        <v>19.170000000000002</v>
      </c>
      <c r="Y354" s="9">
        <f t="shared" si="102"/>
        <v>3.83</v>
      </c>
      <c r="AD354" s="4" t="s">
        <v>1101</v>
      </c>
      <c r="AE354" s="4" t="s">
        <v>1102</v>
      </c>
      <c r="AF354" s="4" t="s">
        <v>863</v>
      </c>
    </row>
    <row r="355" spans="1:35" ht="37.5" x14ac:dyDescent="0.25">
      <c r="A355" s="11" t="s">
        <v>1103</v>
      </c>
      <c r="B355" s="11" t="s">
        <v>1060</v>
      </c>
      <c r="C355" s="20" t="s">
        <v>1061</v>
      </c>
      <c r="D355" s="21"/>
      <c r="E355" s="21" t="s">
        <v>1051</v>
      </c>
      <c r="F355" s="21" t="s">
        <v>56</v>
      </c>
      <c r="G355" s="22">
        <v>1</v>
      </c>
      <c r="H355" s="21"/>
      <c r="I355" s="22">
        <v>66.28</v>
      </c>
      <c r="J355" s="23">
        <f>IFERROR(ROUND(SUM(M356,M357)/I355, 2),0)</f>
        <v>59.32</v>
      </c>
      <c r="K355" s="23">
        <v>639</v>
      </c>
      <c r="L355" s="23">
        <f>J355+ROUND(K355, 2)</f>
        <v>698.32</v>
      </c>
      <c r="M355" s="23">
        <f>ROUND(J355*I355, 2)</f>
        <v>3931.73</v>
      </c>
      <c r="N355" s="23">
        <f>ROUND(I355*ROUND(K355, 2), 2)</f>
        <v>42352.92</v>
      </c>
      <c r="O355" s="23">
        <f>M355+N355</f>
        <v>46284.65</v>
      </c>
      <c r="P355" s="23">
        <f>IFERROR(ROUND(SUM(S356,S357)/I355, 2),0)</f>
        <v>59.32</v>
      </c>
      <c r="Q355" s="23">
        <v>639</v>
      </c>
      <c r="R355" s="23">
        <f>P355+ROUND(Q355, 2)</f>
        <v>698.32</v>
      </c>
      <c r="S355" s="23">
        <f>ROUND(P355*I355, 2)</f>
        <v>3931.73</v>
      </c>
      <c r="T355" s="23">
        <f>ROUND(I355*ROUND(Q355, 2), 2)</f>
        <v>42352.92</v>
      </c>
      <c r="U355" s="23">
        <f>S355+T355</f>
        <v>46284.65</v>
      </c>
      <c r="V355" s="9">
        <f>ROUND(P355 / 1.2, 2)</f>
        <v>49.43</v>
      </c>
      <c r="W355" s="9">
        <f>ROUND(Q355 / 1.2, 2)</f>
        <v>532.5</v>
      </c>
      <c r="X355" s="9">
        <f>ROUND(R355 / 1.2, 2)</f>
        <v>581.92999999999995</v>
      </c>
      <c r="Y355" s="9">
        <f t="shared" si="102"/>
        <v>3276.44</v>
      </c>
      <c r="Z355" s="9">
        <f>ROUND(T355 / 1.2, 2)</f>
        <v>35294.1</v>
      </c>
      <c r="AA355" s="9">
        <f>Y355+Z355</f>
        <v>38570.54</v>
      </c>
      <c r="AD355" s="4">
        <v>264030391</v>
      </c>
      <c r="AE355" s="4">
        <v>19916874</v>
      </c>
      <c r="AG355" s="4" t="s">
        <v>1063</v>
      </c>
      <c r="AH355" s="4" t="s">
        <v>1064</v>
      </c>
      <c r="AI355" s="4" t="s">
        <v>249</v>
      </c>
    </row>
    <row r="356" spans="1:35" ht="56.25" x14ac:dyDescent="0.25">
      <c r="A356" s="11" t="s">
        <v>1104</v>
      </c>
      <c r="B356" s="11"/>
      <c r="C356" s="31" t="s">
        <v>859</v>
      </c>
      <c r="D356" s="21"/>
      <c r="E356" s="21" t="s">
        <v>1056</v>
      </c>
      <c r="F356" s="32" t="s">
        <v>81</v>
      </c>
      <c r="G356" s="33">
        <v>2</v>
      </c>
      <c r="H356" s="21"/>
      <c r="I356" s="33">
        <v>132.56</v>
      </c>
      <c r="J356" s="35">
        <v>23</v>
      </c>
      <c r="K356" s="12"/>
      <c r="L356" s="12"/>
      <c r="M356" s="35">
        <f>ROUND(ROUND(J356, 2)*I356, 2)</f>
        <v>3048.88</v>
      </c>
      <c r="N356" s="12"/>
      <c r="O356" s="12"/>
      <c r="P356" s="35">
        <v>23</v>
      </c>
      <c r="Q356" s="12"/>
      <c r="R356" s="12"/>
      <c r="S356" s="35">
        <f>ROUND(ROUND(P356, 2)*I356, 2)</f>
        <v>3048.88</v>
      </c>
      <c r="T356" s="12"/>
      <c r="U356" s="36"/>
      <c r="V356" s="9">
        <f>ROUND(ROUND(P356, 2)/1.2, 2)</f>
        <v>19.170000000000002</v>
      </c>
      <c r="Y356" s="9">
        <f t="shared" si="102"/>
        <v>2540.73</v>
      </c>
      <c r="AD356" s="4" t="s">
        <v>1105</v>
      </c>
      <c r="AE356" s="4" t="s">
        <v>1106</v>
      </c>
      <c r="AF356" s="4" t="s">
        <v>863</v>
      </c>
    </row>
    <row r="357" spans="1:35" ht="37.5" x14ac:dyDescent="0.25">
      <c r="A357" s="11" t="s">
        <v>1107</v>
      </c>
      <c r="B357" s="11"/>
      <c r="C357" s="31" t="s">
        <v>490</v>
      </c>
      <c r="D357" s="21"/>
      <c r="E357" s="21"/>
      <c r="F357" s="32" t="s">
        <v>81</v>
      </c>
      <c r="G357" s="33">
        <v>0.15</v>
      </c>
      <c r="H357" s="21"/>
      <c r="I357" s="33">
        <v>9.9420000000000002</v>
      </c>
      <c r="J357" s="35">
        <v>88.8</v>
      </c>
      <c r="K357" s="12"/>
      <c r="L357" s="12"/>
      <c r="M357" s="35">
        <f>ROUND(ROUND(J357, 2)*I357, 2)</f>
        <v>882.85</v>
      </c>
      <c r="N357" s="12"/>
      <c r="O357" s="12"/>
      <c r="P357" s="35">
        <v>88.8</v>
      </c>
      <c r="Q357" s="12"/>
      <c r="R357" s="12"/>
      <c r="S357" s="35">
        <f>ROUND(ROUND(P357, 2)*I357, 2)</f>
        <v>882.85</v>
      </c>
      <c r="T357" s="12"/>
      <c r="U357" s="36"/>
      <c r="V357" s="9">
        <f>ROUND(ROUND(P357, 2)/1.2, 2)</f>
        <v>74</v>
      </c>
      <c r="Y357" s="9">
        <f t="shared" si="102"/>
        <v>735.71</v>
      </c>
      <c r="AD357" s="4" t="s">
        <v>1108</v>
      </c>
      <c r="AE357" s="4" t="s">
        <v>1109</v>
      </c>
      <c r="AF357" s="4" t="s">
        <v>493</v>
      </c>
    </row>
    <row r="358" spans="1:35" ht="37.5" x14ac:dyDescent="0.25">
      <c r="A358" s="11" t="s">
        <v>1110</v>
      </c>
      <c r="B358" s="11" t="s">
        <v>1060</v>
      </c>
      <c r="C358" s="20" t="s">
        <v>1061</v>
      </c>
      <c r="D358" s="21"/>
      <c r="E358" s="21" t="s">
        <v>1041</v>
      </c>
      <c r="F358" s="21" t="s">
        <v>56</v>
      </c>
      <c r="G358" s="22">
        <v>1</v>
      </c>
      <c r="H358" s="21"/>
      <c r="I358" s="22">
        <v>66.28</v>
      </c>
      <c r="J358" s="23">
        <f>IFERROR(ROUND(SUM(M359,M360,M361)/I358, 2),0)</f>
        <v>81.25</v>
      </c>
      <c r="K358" s="23">
        <v>639</v>
      </c>
      <c r="L358" s="23">
        <f>J358+ROUND(K358, 2)</f>
        <v>720.25</v>
      </c>
      <c r="M358" s="23">
        <f>ROUND(J358*I358, 2)</f>
        <v>5385.25</v>
      </c>
      <c r="N358" s="23">
        <f>ROUND(I358*ROUND(K358, 2), 2)</f>
        <v>42352.92</v>
      </c>
      <c r="O358" s="23">
        <f>M358+N358</f>
        <v>47738.17</v>
      </c>
      <c r="P358" s="23">
        <f>IFERROR(ROUND(SUM(S359,S360,S361)/I358, 2),0)</f>
        <v>81.25</v>
      </c>
      <c r="Q358" s="23">
        <v>639</v>
      </c>
      <c r="R358" s="23">
        <f>P358+ROUND(Q358, 2)</f>
        <v>720.25</v>
      </c>
      <c r="S358" s="23">
        <f>ROUND(P358*I358, 2)</f>
        <v>5385.25</v>
      </c>
      <c r="T358" s="23">
        <f>ROUND(I358*ROUND(Q358, 2), 2)</f>
        <v>42352.92</v>
      </c>
      <c r="U358" s="23">
        <f>S358+T358</f>
        <v>47738.17</v>
      </c>
      <c r="V358" s="9">
        <f>ROUND(P358 / 1.2, 2)</f>
        <v>67.709999999999994</v>
      </c>
      <c r="W358" s="9">
        <f>ROUND(Q358 / 1.2, 2)</f>
        <v>532.5</v>
      </c>
      <c r="X358" s="9">
        <f>ROUND(R358 / 1.2, 2)</f>
        <v>600.21</v>
      </c>
      <c r="Y358" s="9">
        <f t="shared" si="102"/>
        <v>4487.71</v>
      </c>
      <c r="Z358" s="9">
        <f>ROUND(T358 / 1.2, 2)</f>
        <v>35294.1</v>
      </c>
      <c r="AA358" s="9">
        <f>Y358+Z358</f>
        <v>39781.81</v>
      </c>
      <c r="AD358" s="4">
        <v>264030392</v>
      </c>
      <c r="AE358" s="4">
        <v>19916867</v>
      </c>
      <c r="AG358" s="4" t="s">
        <v>1063</v>
      </c>
      <c r="AH358" s="4" t="s">
        <v>1064</v>
      </c>
      <c r="AI358" s="4" t="s">
        <v>249</v>
      </c>
    </row>
    <row r="359" spans="1:35" ht="37.5" x14ac:dyDescent="0.25">
      <c r="A359" s="11" t="s">
        <v>1111</v>
      </c>
      <c r="B359" s="11"/>
      <c r="C359" s="31" t="s">
        <v>490</v>
      </c>
      <c r="D359" s="21"/>
      <c r="E359" s="21"/>
      <c r="F359" s="32" t="s">
        <v>81</v>
      </c>
      <c r="G359" s="33">
        <v>0.15</v>
      </c>
      <c r="H359" s="21"/>
      <c r="I359" s="33">
        <v>9.9420000000000002</v>
      </c>
      <c r="J359" s="35">
        <v>88.8</v>
      </c>
      <c r="K359" s="12"/>
      <c r="L359" s="12"/>
      <c r="M359" s="35">
        <f>ROUND(ROUND(J359, 2)*I359, 2)</f>
        <v>882.85</v>
      </c>
      <c r="N359" s="12"/>
      <c r="O359" s="12"/>
      <c r="P359" s="35">
        <v>88.8</v>
      </c>
      <c r="Q359" s="12"/>
      <c r="R359" s="12"/>
      <c r="S359" s="35">
        <f>ROUND(ROUND(P359, 2)*I359, 2)</f>
        <v>882.85</v>
      </c>
      <c r="T359" s="12"/>
      <c r="U359" s="36"/>
      <c r="V359" s="9">
        <f>ROUND(ROUND(P359, 2)/1.2, 2)</f>
        <v>74</v>
      </c>
      <c r="Y359" s="9">
        <f t="shared" ref="Y359:Y390" si="103">ROUND(S359 / 1.2, 2)</f>
        <v>735.71</v>
      </c>
      <c r="AD359" s="4" t="s">
        <v>1112</v>
      </c>
      <c r="AE359" s="4" t="s">
        <v>1113</v>
      </c>
      <c r="AF359" s="4" t="s">
        <v>493</v>
      </c>
    </row>
    <row r="360" spans="1:35" ht="56.25" x14ac:dyDescent="0.25">
      <c r="A360" s="11" t="s">
        <v>1114</v>
      </c>
      <c r="B360" s="11"/>
      <c r="C360" s="31" t="s">
        <v>1069</v>
      </c>
      <c r="D360" s="21"/>
      <c r="E360" s="21"/>
      <c r="F360" s="32" t="s">
        <v>103</v>
      </c>
      <c r="G360" s="33">
        <v>0.3</v>
      </c>
      <c r="H360" s="21"/>
      <c r="I360" s="33">
        <v>19.884</v>
      </c>
      <c r="J360" s="35">
        <v>73.099999999999994</v>
      </c>
      <c r="K360" s="12"/>
      <c r="L360" s="12"/>
      <c r="M360" s="35">
        <f>ROUND(ROUND(J360, 2)*I360, 2)</f>
        <v>1453.52</v>
      </c>
      <c r="N360" s="12"/>
      <c r="O360" s="12"/>
      <c r="P360" s="35">
        <v>73.099999999999994</v>
      </c>
      <c r="Q360" s="12"/>
      <c r="R360" s="12"/>
      <c r="S360" s="35">
        <f>ROUND(ROUND(P360, 2)*I360, 2)</f>
        <v>1453.52</v>
      </c>
      <c r="T360" s="12"/>
      <c r="U360" s="36"/>
      <c r="V360" s="9">
        <f>ROUND(ROUND(P360, 2)/1.2, 2)</f>
        <v>60.92</v>
      </c>
      <c r="Y360" s="9">
        <f t="shared" si="103"/>
        <v>1211.27</v>
      </c>
      <c r="AD360" s="4" t="s">
        <v>1115</v>
      </c>
      <c r="AE360" s="4" t="s">
        <v>1116</v>
      </c>
      <c r="AF360" s="4" t="s">
        <v>1072</v>
      </c>
    </row>
    <row r="361" spans="1:35" ht="56.25" x14ac:dyDescent="0.25">
      <c r="A361" s="11" t="s">
        <v>1117</v>
      </c>
      <c r="B361" s="11"/>
      <c r="C361" s="31" t="s">
        <v>859</v>
      </c>
      <c r="D361" s="21"/>
      <c r="E361" s="21" t="s">
        <v>860</v>
      </c>
      <c r="F361" s="32" t="s">
        <v>81</v>
      </c>
      <c r="G361" s="33">
        <v>2</v>
      </c>
      <c r="H361" s="21"/>
      <c r="I361" s="33">
        <v>132.56</v>
      </c>
      <c r="J361" s="35">
        <v>23</v>
      </c>
      <c r="K361" s="12"/>
      <c r="L361" s="12"/>
      <c r="M361" s="35">
        <f>ROUND(ROUND(J361, 2)*I361, 2)</f>
        <v>3048.88</v>
      </c>
      <c r="N361" s="12"/>
      <c r="O361" s="12"/>
      <c r="P361" s="35">
        <v>23</v>
      </c>
      <c r="Q361" s="12"/>
      <c r="R361" s="12"/>
      <c r="S361" s="35">
        <f>ROUND(ROUND(P361, 2)*I361, 2)</f>
        <v>3048.88</v>
      </c>
      <c r="T361" s="12"/>
      <c r="U361" s="36"/>
      <c r="V361" s="9">
        <f>ROUND(ROUND(P361, 2)/1.2, 2)</f>
        <v>19.170000000000002</v>
      </c>
      <c r="Y361" s="9">
        <f t="shared" si="103"/>
        <v>2540.73</v>
      </c>
      <c r="AD361" s="4" t="s">
        <v>1118</v>
      </c>
      <c r="AE361" s="4" t="s">
        <v>1119</v>
      </c>
      <c r="AF361" s="4" t="s">
        <v>863</v>
      </c>
    </row>
    <row r="362" spans="1:35" ht="37.5" x14ac:dyDescent="0.25">
      <c r="A362" s="11" t="s">
        <v>1120</v>
      </c>
      <c r="B362" s="11" t="s">
        <v>1121</v>
      </c>
      <c r="C362" s="20" t="s">
        <v>1122</v>
      </c>
      <c r="D362" s="21"/>
      <c r="E362" s="21" t="s">
        <v>1062</v>
      </c>
      <c r="F362" s="21" t="s">
        <v>56</v>
      </c>
      <c r="G362" s="22">
        <v>1</v>
      </c>
      <c r="H362" s="21"/>
      <c r="I362" s="22">
        <v>216.42</v>
      </c>
      <c r="J362" s="23">
        <f>IFERROR(ROUND(SUM(M363,M364,M365)/I362, 2),0)</f>
        <v>81.25</v>
      </c>
      <c r="K362" s="23">
        <v>508</v>
      </c>
      <c r="L362" s="23">
        <f>J362+ROUND(K362, 2)</f>
        <v>589.25</v>
      </c>
      <c r="M362" s="23">
        <f>ROUND(J362*I362, 2)</f>
        <v>17584.13</v>
      </c>
      <c r="N362" s="23">
        <f>ROUND(I362*ROUND(K362, 2), 2)</f>
        <v>109941.36</v>
      </c>
      <c r="O362" s="23">
        <f>M362+N362</f>
        <v>127525.49</v>
      </c>
      <c r="P362" s="23">
        <f>IFERROR(ROUND(SUM(S363,S364,S365)/I362, 2),0)</f>
        <v>81.25</v>
      </c>
      <c r="Q362" s="23">
        <v>508</v>
      </c>
      <c r="R362" s="23">
        <f>P362+ROUND(Q362, 2)</f>
        <v>589.25</v>
      </c>
      <c r="S362" s="23">
        <f>ROUND(P362*I362, 2)</f>
        <v>17584.13</v>
      </c>
      <c r="T362" s="23">
        <f>ROUND(I362*ROUND(Q362, 2), 2)</f>
        <v>109941.36</v>
      </c>
      <c r="U362" s="23">
        <f>S362+T362</f>
        <v>127525.49</v>
      </c>
      <c r="V362" s="9">
        <f>ROUND(P362 / 1.2, 2)</f>
        <v>67.709999999999994</v>
      </c>
      <c r="W362" s="9">
        <f>ROUND(Q362 / 1.2, 2)</f>
        <v>423.33</v>
      </c>
      <c r="X362" s="9">
        <f>ROUND(R362 / 1.2, 2)</f>
        <v>491.04</v>
      </c>
      <c r="Y362" s="9">
        <f t="shared" si="103"/>
        <v>14653.44</v>
      </c>
      <c r="Z362" s="9">
        <f>ROUND(T362 / 1.2, 2)</f>
        <v>91617.8</v>
      </c>
      <c r="AA362" s="9">
        <f>Y362+Z362</f>
        <v>106271.24</v>
      </c>
      <c r="AD362" s="4">
        <v>264030296</v>
      </c>
      <c r="AE362" s="4">
        <v>19916866</v>
      </c>
      <c r="AG362" s="4" t="s">
        <v>1123</v>
      </c>
      <c r="AH362" s="4" t="s">
        <v>1124</v>
      </c>
      <c r="AI362" s="4" t="s">
        <v>249</v>
      </c>
    </row>
    <row r="363" spans="1:35" ht="56.25" x14ac:dyDescent="0.25">
      <c r="A363" s="11" t="s">
        <v>1125</v>
      </c>
      <c r="B363" s="11"/>
      <c r="C363" s="31" t="s">
        <v>859</v>
      </c>
      <c r="D363" s="21"/>
      <c r="E363" s="21" t="s">
        <v>860</v>
      </c>
      <c r="F363" s="32" t="s">
        <v>81</v>
      </c>
      <c r="G363" s="33">
        <v>2</v>
      </c>
      <c r="H363" s="21"/>
      <c r="I363" s="33">
        <v>432.84</v>
      </c>
      <c r="J363" s="35">
        <v>23</v>
      </c>
      <c r="K363" s="12"/>
      <c r="L363" s="12"/>
      <c r="M363" s="35">
        <f>ROUND(ROUND(J363, 2)*I363, 2)</f>
        <v>9955.32</v>
      </c>
      <c r="N363" s="12"/>
      <c r="O363" s="12"/>
      <c r="P363" s="35">
        <v>23</v>
      </c>
      <c r="Q363" s="12"/>
      <c r="R363" s="12"/>
      <c r="S363" s="35">
        <f>ROUND(ROUND(P363, 2)*I363, 2)</f>
        <v>9955.32</v>
      </c>
      <c r="T363" s="12"/>
      <c r="U363" s="36"/>
      <c r="V363" s="9">
        <f>ROUND(ROUND(P363, 2)/1.2, 2)</f>
        <v>19.170000000000002</v>
      </c>
      <c r="Y363" s="9">
        <f t="shared" si="103"/>
        <v>8296.1</v>
      </c>
      <c r="AD363" s="4" t="s">
        <v>1126</v>
      </c>
      <c r="AE363" s="4" t="s">
        <v>1127</v>
      </c>
      <c r="AF363" s="4" t="s">
        <v>863</v>
      </c>
    </row>
    <row r="364" spans="1:35" ht="18.75" x14ac:dyDescent="0.25">
      <c r="A364" s="11" t="s">
        <v>1128</v>
      </c>
      <c r="B364" s="11"/>
      <c r="C364" s="31" t="s">
        <v>865</v>
      </c>
      <c r="D364" s="21"/>
      <c r="E364" s="21"/>
      <c r="F364" s="32" t="s">
        <v>103</v>
      </c>
      <c r="G364" s="33">
        <v>0.3</v>
      </c>
      <c r="H364" s="21"/>
      <c r="I364" s="33">
        <v>64.926000000000002</v>
      </c>
      <c r="J364" s="35">
        <v>73.099999999999994</v>
      </c>
      <c r="K364" s="12"/>
      <c r="L364" s="12"/>
      <c r="M364" s="35">
        <f>ROUND(ROUND(J364, 2)*I364, 2)</f>
        <v>4746.09</v>
      </c>
      <c r="N364" s="12"/>
      <c r="O364" s="12"/>
      <c r="P364" s="35">
        <v>73.099999999999994</v>
      </c>
      <c r="Q364" s="12"/>
      <c r="R364" s="12"/>
      <c r="S364" s="35">
        <f>ROUND(ROUND(P364, 2)*I364, 2)</f>
        <v>4746.09</v>
      </c>
      <c r="T364" s="12"/>
      <c r="U364" s="36"/>
      <c r="V364" s="9">
        <f>ROUND(ROUND(P364, 2)/1.2, 2)</f>
        <v>60.92</v>
      </c>
      <c r="Y364" s="9">
        <f t="shared" si="103"/>
        <v>3955.08</v>
      </c>
      <c r="AD364" s="4" t="s">
        <v>1129</v>
      </c>
      <c r="AE364" s="4" t="s">
        <v>1130</v>
      </c>
      <c r="AF364" s="4" t="s">
        <v>868</v>
      </c>
    </row>
    <row r="365" spans="1:35" ht="37.5" x14ac:dyDescent="0.25">
      <c r="A365" s="11" t="s">
        <v>1131</v>
      </c>
      <c r="B365" s="11"/>
      <c r="C365" s="31" t="s">
        <v>490</v>
      </c>
      <c r="D365" s="21"/>
      <c r="E365" s="21"/>
      <c r="F365" s="32" t="s">
        <v>81</v>
      </c>
      <c r="G365" s="33">
        <v>0.15</v>
      </c>
      <c r="H365" s="21"/>
      <c r="I365" s="33">
        <v>32.463000000000001</v>
      </c>
      <c r="J365" s="35">
        <v>88.8</v>
      </c>
      <c r="K365" s="12"/>
      <c r="L365" s="12"/>
      <c r="M365" s="35">
        <f>ROUND(ROUND(J365, 2)*I365, 2)</f>
        <v>2882.71</v>
      </c>
      <c r="N365" s="12"/>
      <c r="O365" s="12"/>
      <c r="P365" s="35">
        <v>88.8</v>
      </c>
      <c r="Q365" s="12"/>
      <c r="R365" s="12"/>
      <c r="S365" s="35">
        <f>ROUND(ROUND(P365, 2)*I365, 2)</f>
        <v>2882.71</v>
      </c>
      <c r="T365" s="12"/>
      <c r="U365" s="36"/>
      <c r="V365" s="9">
        <f>ROUND(ROUND(P365, 2)/1.2, 2)</f>
        <v>74</v>
      </c>
      <c r="Y365" s="9">
        <f t="shared" si="103"/>
        <v>2402.2600000000002</v>
      </c>
      <c r="AD365" s="4" t="s">
        <v>1132</v>
      </c>
      <c r="AE365" s="4" t="s">
        <v>1133</v>
      </c>
      <c r="AF365" s="4" t="s">
        <v>493</v>
      </c>
    </row>
    <row r="366" spans="1:35" ht="37.5" x14ac:dyDescent="0.25">
      <c r="A366" s="11" t="s">
        <v>1134</v>
      </c>
      <c r="B366" s="11" t="s">
        <v>1121</v>
      </c>
      <c r="C366" s="20" t="s">
        <v>1122</v>
      </c>
      <c r="D366" s="21"/>
      <c r="E366" s="21" t="s">
        <v>1077</v>
      </c>
      <c r="F366" s="21" t="s">
        <v>56</v>
      </c>
      <c r="G366" s="22">
        <v>1</v>
      </c>
      <c r="H366" s="21"/>
      <c r="I366" s="22">
        <v>216.42</v>
      </c>
      <c r="J366" s="23">
        <f>IFERROR(ROUND(SUM(M367,M368)/I366, 2),0)</f>
        <v>59.32</v>
      </c>
      <c r="K366" s="23">
        <v>508</v>
      </c>
      <c r="L366" s="23">
        <f>J366+ROUND(K366, 2)</f>
        <v>567.32000000000005</v>
      </c>
      <c r="M366" s="23">
        <f>ROUND(J366*I366, 2)</f>
        <v>12838.03</v>
      </c>
      <c r="N366" s="23">
        <f>ROUND(I366*ROUND(K366, 2), 2)</f>
        <v>109941.36</v>
      </c>
      <c r="O366" s="23">
        <f>M366+N366</f>
        <v>122779.39</v>
      </c>
      <c r="P366" s="23">
        <f>IFERROR(ROUND(SUM(S367,S368)/I366, 2),0)</f>
        <v>59.32</v>
      </c>
      <c r="Q366" s="23">
        <v>508</v>
      </c>
      <c r="R366" s="23">
        <f>P366+ROUND(Q366, 2)</f>
        <v>567.32000000000005</v>
      </c>
      <c r="S366" s="23">
        <f>ROUND(P366*I366, 2)</f>
        <v>12838.03</v>
      </c>
      <c r="T366" s="23">
        <f>ROUND(I366*ROUND(Q366, 2), 2)</f>
        <v>109941.36</v>
      </c>
      <c r="U366" s="23">
        <f>S366+T366</f>
        <v>122779.39</v>
      </c>
      <c r="V366" s="9">
        <f>ROUND(P366 / 1.2, 2)</f>
        <v>49.43</v>
      </c>
      <c r="W366" s="9">
        <f>ROUND(Q366 / 1.2, 2)</f>
        <v>423.33</v>
      </c>
      <c r="X366" s="9">
        <f>ROUND(R366 / 1.2, 2)</f>
        <v>472.77</v>
      </c>
      <c r="Y366" s="9">
        <f t="shared" si="103"/>
        <v>10698.36</v>
      </c>
      <c r="Z366" s="9">
        <f>ROUND(T366 / 1.2, 2)</f>
        <v>91617.8</v>
      </c>
      <c r="AA366" s="9">
        <f>Y366+Z366</f>
        <v>102316.16</v>
      </c>
      <c r="AD366" s="4">
        <v>264030393</v>
      </c>
      <c r="AE366" s="4">
        <v>19916873</v>
      </c>
      <c r="AG366" s="4" t="s">
        <v>1123</v>
      </c>
      <c r="AH366" s="4" t="s">
        <v>1124</v>
      </c>
      <c r="AI366" s="4" t="s">
        <v>249</v>
      </c>
    </row>
    <row r="367" spans="1:35" ht="37.5" x14ac:dyDescent="0.25">
      <c r="A367" s="11" t="s">
        <v>1135</v>
      </c>
      <c r="B367" s="11"/>
      <c r="C367" s="31" t="s">
        <v>490</v>
      </c>
      <c r="D367" s="21"/>
      <c r="E367" s="21"/>
      <c r="F367" s="32" t="s">
        <v>81</v>
      </c>
      <c r="G367" s="33">
        <v>0.15</v>
      </c>
      <c r="H367" s="21"/>
      <c r="I367" s="33">
        <v>32.463000000000001</v>
      </c>
      <c r="J367" s="35">
        <v>88.8</v>
      </c>
      <c r="K367" s="12"/>
      <c r="L367" s="12"/>
      <c r="M367" s="35">
        <f>ROUND(ROUND(J367, 2)*I367, 2)</f>
        <v>2882.71</v>
      </c>
      <c r="N367" s="12"/>
      <c r="O367" s="12"/>
      <c r="P367" s="35">
        <v>88.8</v>
      </c>
      <c r="Q367" s="12"/>
      <c r="R367" s="12"/>
      <c r="S367" s="35">
        <f>ROUND(ROUND(P367, 2)*I367, 2)</f>
        <v>2882.71</v>
      </c>
      <c r="T367" s="12"/>
      <c r="U367" s="36"/>
      <c r="V367" s="9">
        <f>ROUND(ROUND(P367, 2)/1.2, 2)</f>
        <v>74</v>
      </c>
      <c r="Y367" s="9">
        <f t="shared" si="103"/>
        <v>2402.2600000000002</v>
      </c>
      <c r="AD367" s="4" t="s">
        <v>1136</v>
      </c>
      <c r="AE367" s="4" t="s">
        <v>1137</v>
      </c>
      <c r="AF367" s="4" t="s">
        <v>493</v>
      </c>
    </row>
    <row r="368" spans="1:35" ht="56.25" x14ac:dyDescent="0.25">
      <c r="A368" s="11" t="s">
        <v>1138</v>
      </c>
      <c r="B368" s="11"/>
      <c r="C368" s="31" t="s">
        <v>859</v>
      </c>
      <c r="D368" s="21"/>
      <c r="E368" s="21" t="s">
        <v>1056</v>
      </c>
      <c r="F368" s="32" t="s">
        <v>81</v>
      </c>
      <c r="G368" s="33">
        <v>2</v>
      </c>
      <c r="H368" s="21"/>
      <c r="I368" s="33">
        <v>432.84</v>
      </c>
      <c r="J368" s="35">
        <v>23</v>
      </c>
      <c r="K368" s="12"/>
      <c r="L368" s="12"/>
      <c r="M368" s="35">
        <f>ROUND(ROUND(J368, 2)*I368, 2)</f>
        <v>9955.32</v>
      </c>
      <c r="N368" s="12"/>
      <c r="O368" s="12"/>
      <c r="P368" s="35">
        <v>23</v>
      </c>
      <c r="Q368" s="12"/>
      <c r="R368" s="12"/>
      <c r="S368" s="35">
        <f>ROUND(ROUND(P368, 2)*I368, 2)</f>
        <v>9955.32</v>
      </c>
      <c r="T368" s="12"/>
      <c r="U368" s="36"/>
      <c r="V368" s="9">
        <f>ROUND(ROUND(P368, 2)/1.2, 2)</f>
        <v>19.170000000000002</v>
      </c>
      <c r="Y368" s="9">
        <f t="shared" si="103"/>
        <v>8296.1</v>
      </c>
      <c r="AD368" s="4" t="s">
        <v>1139</v>
      </c>
      <c r="AE368" s="4" t="s">
        <v>1140</v>
      </c>
      <c r="AF368" s="4" t="s">
        <v>863</v>
      </c>
    </row>
    <row r="369" spans="1:35" ht="37.5" x14ac:dyDescent="0.25">
      <c r="A369" s="11" t="s">
        <v>1141</v>
      </c>
      <c r="B369" s="11" t="s">
        <v>1121</v>
      </c>
      <c r="C369" s="20" t="s">
        <v>1122</v>
      </c>
      <c r="D369" s="21"/>
      <c r="E369" s="21" t="s">
        <v>1051</v>
      </c>
      <c r="F369" s="21" t="s">
        <v>56</v>
      </c>
      <c r="G369" s="22">
        <v>1</v>
      </c>
      <c r="H369" s="21"/>
      <c r="I369" s="22">
        <v>1035.18</v>
      </c>
      <c r="J369" s="23">
        <f>IFERROR(ROUND(SUM(M370,M371)/I369, 2),0)</f>
        <v>59.32</v>
      </c>
      <c r="K369" s="23">
        <v>508</v>
      </c>
      <c r="L369" s="23">
        <f>J369+ROUND(K369, 2)</f>
        <v>567.32000000000005</v>
      </c>
      <c r="M369" s="23">
        <f>ROUND(J369*I369, 2)</f>
        <v>61406.879999999997</v>
      </c>
      <c r="N369" s="23">
        <f>ROUND(I369*ROUND(K369, 2), 2)</f>
        <v>525871.43999999994</v>
      </c>
      <c r="O369" s="23">
        <f>M369+N369</f>
        <v>587278.31999999995</v>
      </c>
      <c r="P369" s="23">
        <f>IFERROR(ROUND(SUM(S370,S371)/I369, 2),0)</f>
        <v>59.32</v>
      </c>
      <c r="Q369" s="23">
        <v>508</v>
      </c>
      <c r="R369" s="23">
        <f>P369+ROUND(Q369, 2)</f>
        <v>567.32000000000005</v>
      </c>
      <c r="S369" s="23">
        <f>ROUND(P369*I369, 2)</f>
        <v>61406.879999999997</v>
      </c>
      <c r="T369" s="23">
        <f>ROUND(I369*ROUND(Q369, 2), 2)</f>
        <v>525871.43999999994</v>
      </c>
      <c r="U369" s="23">
        <f>S369+T369</f>
        <v>587278.31999999995</v>
      </c>
      <c r="V369" s="9">
        <f>ROUND(P369 / 1.2, 2)</f>
        <v>49.43</v>
      </c>
      <c r="W369" s="9">
        <f>ROUND(Q369 / 1.2, 2)</f>
        <v>423.33</v>
      </c>
      <c r="X369" s="9">
        <f>ROUND(R369 / 1.2, 2)</f>
        <v>472.77</v>
      </c>
      <c r="Y369" s="9">
        <f t="shared" si="103"/>
        <v>51172.4</v>
      </c>
      <c r="Z369" s="9">
        <f>ROUND(T369 / 1.2, 2)</f>
        <v>438226.2</v>
      </c>
      <c r="AA369" s="9">
        <f>Y369+Z369</f>
        <v>489398.6</v>
      </c>
      <c r="AD369" s="4">
        <v>264030394</v>
      </c>
      <c r="AE369" s="4">
        <v>19916875</v>
      </c>
      <c r="AG369" s="4" t="s">
        <v>1123</v>
      </c>
      <c r="AH369" s="4" t="s">
        <v>1124</v>
      </c>
      <c r="AI369" s="4" t="s">
        <v>249</v>
      </c>
    </row>
    <row r="370" spans="1:35" ht="56.25" x14ac:dyDescent="0.25">
      <c r="A370" s="11" t="s">
        <v>1142</v>
      </c>
      <c r="B370" s="11"/>
      <c r="C370" s="31" t="s">
        <v>859</v>
      </c>
      <c r="D370" s="21"/>
      <c r="E370" s="21" t="s">
        <v>1056</v>
      </c>
      <c r="F370" s="32" t="s">
        <v>81</v>
      </c>
      <c r="G370" s="33">
        <v>2</v>
      </c>
      <c r="H370" s="21"/>
      <c r="I370" s="33">
        <v>2070.36</v>
      </c>
      <c r="J370" s="35">
        <v>23</v>
      </c>
      <c r="K370" s="12"/>
      <c r="L370" s="12"/>
      <c r="M370" s="35">
        <f>ROUND(ROUND(J370, 2)*I370, 2)</f>
        <v>47618.28</v>
      </c>
      <c r="N370" s="12"/>
      <c r="O370" s="12"/>
      <c r="P370" s="35">
        <v>23</v>
      </c>
      <c r="Q370" s="12"/>
      <c r="R370" s="12"/>
      <c r="S370" s="35">
        <f>ROUND(ROUND(P370, 2)*I370, 2)</f>
        <v>47618.28</v>
      </c>
      <c r="T370" s="12"/>
      <c r="U370" s="36"/>
      <c r="V370" s="9">
        <f>ROUND(ROUND(P370, 2)/1.2, 2)</f>
        <v>19.170000000000002</v>
      </c>
      <c r="Y370" s="9">
        <f t="shared" si="103"/>
        <v>39681.9</v>
      </c>
      <c r="AD370" s="4" t="s">
        <v>1143</v>
      </c>
      <c r="AE370" s="4" t="s">
        <v>1144</v>
      </c>
      <c r="AF370" s="4" t="s">
        <v>863</v>
      </c>
    </row>
    <row r="371" spans="1:35" ht="37.5" x14ac:dyDescent="0.25">
      <c r="A371" s="11" t="s">
        <v>1145</v>
      </c>
      <c r="B371" s="11"/>
      <c r="C371" s="31" t="s">
        <v>490</v>
      </c>
      <c r="D371" s="21"/>
      <c r="E371" s="21"/>
      <c r="F371" s="32" t="s">
        <v>81</v>
      </c>
      <c r="G371" s="33">
        <v>0.15</v>
      </c>
      <c r="H371" s="21"/>
      <c r="I371" s="33">
        <v>155.27699999999999</v>
      </c>
      <c r="J371" s="35">
        <v>88.8</v>
      </c>
      <c r="K371" s="12"/>
      <c r="L371" s="12"/>
      <c r="M371" s="35">
        <f>ROUND(ROUND(J371, 2)*I371, 2)</f>
        <v>13788.6</v>
      </c>
      <c r="N371" s="12"/>
      <c r="O371" s="12"/>
      <c r="P371" s="35">
        <v>88.8</v>
      </c>
      <c r="Q371" s="12"/>
      <c r="R371" s="12"/>
      <c r="S371" s="35">
        <f>ROUND(ROUND(P371, 2)*I371, 2)</f>
        <v>13788.6</v>
      </c>
      <c r="T371" s="12"/>
      <c r="U371" s="36"/>
      <c r="V371" s="9">
        <f>ROUND(ROUND(P371, 2)/1.2, 2)</f>
        <v>74</v>
      </c>
      <c r="Y371" s="9">
        <f t="shared" si="103"/>
        <v>11490.5</v>
      </c>
      <c r="AD371" s="4" t="s">
        <v>1146</v>
      </c>
      <c r="AE371" s="4" t="s">
        <v>1147</v>
      </c>
      <c r="AF371" s="4" t="s">
        <v>493</v>
      </c>
    </row>
    <row r="372" spans="1:35" ht="37.5" x14ac:dyDescent="0.25">
      <c r="A372" s="11" t="s">
        <v>1148</v>
      </c>
      <c r="B372" s="11" t="s">
        <v>1121</v>
      </c>
      <c r="C372" s="20" t="s">
        <v>1122</v>
      </c>
      <c r="D372" s="21"/>
      <c r="E372" s="21" t="s">
        <v>1041</v>
      </c>
      <c r="F372" s="21" t="s">
        <v>56</v>
      </c>
      <c r="G372" s="22">
        <v>1</v>
      </c>
      <c r="H372" s="21"/>
      <c r="I372" s="22">
        <v>1035.18</v>
      </c>
      <c r="J372" s="23">
        <f>IFERROR(ROUND(SUM(M373,M374,M375)/I372, 2),0)</f>
        <v>81.25</v>
      </c>
      <c r="K372" s="23">
        <v>508</v>
      </c>
      <c r="L372" s="23">
        <f>J372+ROUND(K372, 2)</f>
        <v>589.25</v>
      </c>
      <c r="M372" s="23">
        <f>ROUND(J372*I372, 2)</f>
        <v>84108.38</v>
      </c>
      <c r="N372" s="23">
        <f>ROUND(I372*ROUND(K372, 2), 2)</f>
        <v>525871.43999999994</v>
      </c>
      <c r="O372" s="23">
        <f>M372+N372</f>
        <v>609979.81999999995</v>
      </c>
      <c r="P372" s="23">
        <f>IFERROR(ROUND(SUM(S373,S374,S375)/I372, 2),0)</f>
        <v>81.25</v>
      </c>
      <c r="Q372" s="23">
        <v>508</v>
      </c>
      <c r="R372" s="23">
        <f>P372+ROUND(Q372, 2)</f>
        <v>589.25</v>
      </c>
      <c r="S372" s="23">
        <f>ROUND(P372*I372, 2)</f>
        <v>84108.38</v>
      </c>
      <c r="T372" s="23">
        <f>ROUND(I372*ROUND(Q372, 2), 2)</f>
        <v>525871.43999999994</v>
      </c>
      <c r="U372" s="23">
        <f>S372+T372</f>
        <v>609979.81999999995</v>
      </c>
      <c r="V372" s="9">
        <f>ROUND(P372 / 1.2, 2)</f>
        <v>67.709999999999994</v>
      </c>
      <c r="W372" s="9">
        <f>ROUND(Q372 / 1.2, 2)</f>
        <v>423.33</v>
      </c>
      <c r="X372" s="9">
        <f>ROUND(R372 / 1.2, 2)</f>
        <v>491.04</v>
      </c>
      <c r="Y372" s="9">
        <f t="shared" si="103"/>
        <v>70090.320000000007</v>
      </c>
      <c r="Z372" s="9">
        <f>ROUND(T372 / 1.2, 2)</f>
        <v>438226.2</v>
      </c>
      <c r="AA372" s="9">
        <f>Y372+Z372</f>
        <v>508316.52</v>
      </c>
      <c r="AD372" s="4">
        <v>264030395</v>
      </c>
      <c r="AE372" s="4">
        <v>19916868</v>
      </c>
      <c r="AG372" s="4" t="s">
        <v>1123</v>
      </c>
      <c r="AH372" s="4" t="s">
        <v>1124</v>
      </c>
      <c r="AI372" s="4" t="s">
        <v>249</v>
      </c>
    </row>
    <row r="373" spans="1:35" ht="37.5" x14ac:dyDescent="0.25">
      <c r="A373" s="11" t="s">
        <v>1149</v>
      </c>
      <c r="B373" s="11"/>
      <c r="C373" s="31" t="s">
        <v>490</v>
      </c>
      <c r="D373" s="21"/>
      <c r="E373" s="21"/>
      <c r="F373" s="32" t="s">
        <v>81</v>
      </c>
      <c r="G373" s="33">
        <v>0.15</v>
      </c>
      <c r="H373" s="21"/>
      <c r="I373" s="33">
        <v>155.27699999999999</v>
      </c>
      <c r="J373" s="35">
        <v>88.8</v>
      </c>
      <c r="K373" s="12"/>
      <c r="L373" s="12"/>
      <c r="M373" s="35">
        <f>ROUND(ROUND(J373, 2)*I373, 2)</f>
        <v>13788.6</v>
      </c>
      <c r="N373" s="12"/>
      <c r="O373" s="12"/>
      <c r="P373" s="35">
        <v>88.8</v>
      </c>
      <c r="Q373" s="12"/>
      <c r="R373" s="12"/>
      <c r="S373" s="35">
        <f>ROUND(ROUND(P373, 2)*I373, 2)</f>
        <v>13788.6</v>
      </c>
      <c r="T373" s="12"/>
      <c r="U373" s="36"/>
      <c r="V373" s="9">
        <f>ROUND(ROUND(P373, 2)/1.2, 2)</f>
        <v>74</v>
      </c>
      <c r="Y373" s="9">
        <f t="shared" si="103"/>
        <v>11490.5</v>
      </c>
      <c r="AD373" s="4" t="s">
        <v>1150</v>
      </c>
      <c r="AE373" s="4" t="s">
        <v>1151</v>
      </c>
      <c r="AF373" s="4" t="s">
        <v>493</v>
      </c>
    </row>
    <row r="374" spans="1:35" ht="18.75" x14ac:dyDescent="0.25">
      <c r="A374" s="11" t="s">
        <v>1152</v>
      </c>
      <c r="B374" s="11"/>
      <c r="C374" s="31" t="s">
        <v>865</v>
      </c>
      <c r="D374" s="21"/>
      <c r="E374" s="21"/>
      <c r="F374" s="32" t="s">
        <v>103</v>
      </c>
      <c r="G374" s="33">
        <v>0.3</v>
      </c>
      <c r="H374" s="21"/>
      <c r="I374" s="33">
        <v>310.55399999999997</v>
      </c>
      <c r="J374" s="35">
        <v>73.099999999999994</v>
      </c>
      <c r="K374" s="12"/>
      <c r="L374" s="12"/>
      <c r="M374" s="35">
        <f>ROUND(ROUND(J374, 2)*I374, 2)</f>
        <v>22701.5</v>
      </c>
      <c r="N374" s="12"/>
      <c r="O374" s="12"/>
      <c r="P374" s="35">
        <v>73.099999999999994</v>
      </c>
      <c r="Q374" s="12"/>
      <c r="R374" s="12"/>
      <c r="S374" s="35">
        <f>ROUND(ROUND(P374, 2)*I374, 2)</f>
        <v>22701.5</v>
      </c>
      <c r="T374" s="12"/>
      <c r="U374" s="36"/>
      <c r="V374" s="9">
        <f>ROUND(ROUND(P374, 2)/1.2, 2)</f>
        <v>60.92</v>
      </c>
      <c r="Y374" s="9">
        <f t="shared" si="103"/>
        <v>18917.919999999998</v>
      </c>
      <c r="AD374" s="4" t="s">
        <v>1153</v>
      </c>
      <c r="AE374" s="4" t="s">
        <v>1154</v>
      </c>
      <c r="AF374" s="4" t="s">
        <v>868</v>
      </c>
    </row>
    <row r="375" spans="1:35" ht="56.25" x14ac:dyDescent="0.25">
      <c r="A375" s="11" t="s">
        <v>1155</v>
      </c>
      <c r="B375" s="11"/>
      <c r="C375" s="31" t="s">
        <v>859</v>
      </c>
      <c r="D375" s="21"/>
      <c r="E375" s="21" t="s">
        <v>860</v>
      </c>
      <c r="F375" s="32" t="s">
        <v>81</v>
      </c>
      <c r="G375" s="33">
        <v>2</v>
      </c>
      <c r="H375" s="21"/>
      <c r="I375" s="33">
        <v>2070.36</v>
      </c>
      <c r="J375" s="35">
        <v>23</v>
      </c>
      <c r="K375" s="12"/>
      <c r="L375" s="12"/>
      <c r="M375" s="35">
        <f>ROUND(ROUND(J375, 2)*I375, 2)</f>
        <v>47618.28</v>
      </c>
      <c r="N375" s="12"/>
      <c r="O375" s="12"/>
      <c r="P375" s="35">
        <v>23</v>
      </c>
      <c r="Q375" s="12"/>
      <c r="R375" s="12"/>
      <c r="S375" s="35">
        <f>ROUND(ROUND(P375, 2)*I375, 2)</f>
        <v>47618.28</v>
      </c>
      <c r="T375" s="12"/>
      <c r="U375" s="36"/>
      <c r="V375" s="9">
        <f>ROUND(ROUND(P375, 2)/1.2, 2)</f>
        <v>19.170000000000002</v>
      </c>
      <c r="Y375" s="9">
        <f t="shared" si="103"/>
        <v>39681.9</v>
      </c>
      <c r="AD375" s="4" t="s">
        <v>1156</v>
      </c>
      <c r="AE375" s="4" t="s">
        <v>1157</v>
      </c>
      <c r="AF375" s="4" t="s">
        <v>863</v>
      </c>
    </row>
    <row r="376" spans="1:35" ht="37.5" x14ac:dyDescent="0.25">
      <c r="A376" s="11" t="s">
        <v>1158</v>
      </c>
      <c r="B376" s="11" t="s">
        <v>1121</v>
      </c>
      <c r="C376" s="20" t="s">
        <v>1122</v>
      </c>
      <c r="D376" s="21"/>
      <c r="E376" s="21" t="s">
        <v>1096</v>
      </c>
      <c r="F376" s="21" t="s">
        <v>56</v>
      </c>
      <c r="G376" s="22">
        <v>1</v>
      </c>
      <c r="H376" s="21"/>
      <c r="I376" s="22">
        <v>0.1</v>
      </c>
      <c r="J376" s="23">
        <f>IFERROR(ROUND(SUM(M377,M378)/I376, 2),0)</f>
        <v>59.3</v>
      </c>
      <c r="K376" s="23">
        <v>508</v>
      </c>
      <c r="L376" s="23">
        <f>J376+ROUND(K376, 2)</f>
        <v>567.29999999999995</v>
      </c>
      <c r="M376" s="23">
        <f>ROUND(J376*I376, 2)</f>
        <v>5.93</v>
      </c>
      <c r="N376" s="23">
        <f>ROUND(I376*ROUND(K376, 2), 2)</f>
        <v>50.8</v>
      </c>
      <c r="O376" s="23">
        <f>M376+N376</f>
        <v>56.73</v>
      </c>
      <c r="P376" s="23">
        <f>IFERROR(ROUND(SUM(S377,S378)/I376, 2),0)</f>
        <v>59.3</v>
      </c>
      <c r="Q376" s="23">
        <v>508</v>
      </c>
      <c r="R376" s="23">
        <f>P376+ROUND(Q376, 2)</f>
        <v>567.29999999999995</v>
      </c>
      <c r="S376" s="23">
        <f>ROUND(P376*I376, 2)</f>
        <v>5.93</v>
      </c>
      <c r="T376" s="23">
        <f>ROUND(I376*ROUND(Q376, 2), 2)</f>
        <v>50.8</v>
      </c>
      <c r="U376" s="23">
        <f>S376+T376</f>
        <v>56.73</v>
      </c>
      <c r="V376" s="9">
        <f>ROUND(P376 / 1.2, 2)</f>
        <v>49.42</v>
      </c>
      <c r="W376" s="9">
        <f>ROUND(Q376 / 1.2, 2)</f>
        <v>423.33</v>
      </c>
      <c r="X376" s="9">
        <f>ROUND(R376 / 1.2, 2)</f>
        <v>472.75</v>
      </c>
      <c r="Y376" s="9">
        <f t="shared" si="103"/>
        <v>4.9400000000000004</v>
      </c>
      <c r="Z376" s="9">
        <f>ROUND(T376 / 1.2, 2)</f>
        <v>42.33</v>
      </c>
      <c r="AA376" s="9">
        <f>Y376+Z376</f>
        <v>47.27</v>
      </c>
      <c r="AD376" s="4">
        <v>264030396</v>
      </c>
      <c r="AE376" s="4">
        <v>19916878</v>
      </c>
      <c r="AG376" s="4" t="s">
        <v>1123</v>
      </c>
      <c r="AH376" s="4" t="s">
        <v>1124</v>
      </c>
      <c r="AI376" s="4" t="s">
        <v>249</v>
      </c>
    </row>
    <row r="377" spans="1:35" ht="56.25" x14ac:dyDescent="0.25">
      <c r="A377" s="11" t="s">
        <v>1159</v>
      </c>
      <c r="B377" s="11"/>
      <c r="C377" s="31" t="s">
        <v>859</v>
      </c>
      <c r="D377" s="21"/>
      <c r="E377" s="21" t="s">
        <v>1056</v>
      </c>
      <c r="F377" s="32" t="s">
        <v>81</v>
      </c>
      <c r="G377" s="33">
        <v>2</v>
      </c>
      <c r="H377" s="21"/>
      <c r="I377" s="33">
        <v>0.2</v>
      </c>
      <c r="J377" s="35">
        <v>23</v>
      </c>
      <c r="K377" s="12"/>
      <c r="L377" s="12"/>
      <c r="M377" s="35">
        <f>ROUND(ROUND(J377, 2)*I377, 2)</f>
        <v>4.5999999999999996</v>
      </c>
      <c r="N377" s="12"/>
      <c r="O377" s="12"/>
      <c r="P377" s="35">
        <v>23</v>
      </c>
      <c r="Q377" s="12"/>
      <c r="R377" s="12"/>
      <c r="S377" s="35">
        <f>ROUND(ROUND(P377, 2)*I377, 2)</f>
        <v>4.5999999999999996</v>
      </c>
      <c r="T377" s="12"/>
      <c r="U377" s="36"/>
      <c r="V377" s="9">
        <f>ROUND(ROUND(P377, 2)/1.2, 2)</f>
        <v>19.170000000000002</v>
      </c>
      <c r="Y377" s="9">
        <f t="shared" si="103"/>
        <v>3.83</v>
      </c>
      <c r="AD377" s="4" t="s">
        <v>1160</v>
      </c>
      <c r="AE377" s="4" t="s">
        <v>1161</v>
      </c>
      <c r="AF377" s="4" t="s">
        <v>863</v>
      </c>
    </row>
    <row r="378" spans="1:35" ht="37.5" x14ac:dyDescent="0.25">
      <c r="A378" s="11" t="s">
        <v>1162</v>
      </c>
      <c r="B378" s="11"/>
      <c r="C378" s="31" t="s">
        <v>490</v>
      </c>
      <c r="D378" s="21"/>
      <c r="E378" s="21"/>
      <c r="F378" s="32" t="s">
        <v>81</v>
      </c>
      <c r="G378" s="33">
        <v>0.15</v>
      </c>
      <c r="H378" s="21"/>
      <c r="I378" s="33">
        <v>1.4999999999999999E-2</v>
      </c>
      <c r="J378" s="35">
        <v>88.8</v>
      </c>
      <c r="K378" s="12"/>
      <c r="L378" s="12"/>
      <c r="M378" s="35">
        <f>ROUND(ROUND(J378, 2)*I378, 2)</f>
        <v>1.33</v>
      </c>
      <c r="N378" s="12"/>
      <c r="O378" s="12"/>
      <c r="P378" s="35">
        <v>88.8</v>
      </c>
      <c r="Q378" s="12"/>
      <c r="R378" s="12"/>
      <c r="S378" s="35">
        <f>ROUND(ROUND(P378, 2)*I378, 2)</f>
        <v>1.33</v>
      </c>
      <c r="T378" s="12"/>
      <c r="U378" s="36"/>
      <c r="V378" s="9">
        <f>ROUND(ROUND(P378, 2)/1.2, 2)</f>
        <v>74</v>
      </c>
      <c r="Y378" s="9">
        <f t="shared" si="103"/>
        <v>1.1100000000000001</v>
      </c>
      <c r="AD378" s="4" t="s">
        <v>1163</v>
      </c>
      <c r="AE378" s="4" t="s">
        <v>1164</v>
      </c>
      <c r="AF378" s="4" t="s">
        <v>493</v>
      </c>
    </row>
    <row r="379" spans="1:35" ht="37.5" x14ac:dyDescent="0.25">
      <c r="A379" s="11" t="s">
        <v>1165</v>
      </c>
      <c r="B379" s="11" t="s">
        <v>1121</v>
      </c>
      <c r="C379" s="20" t="s">
        <v>1122</v>
      </c>
      <c r="D379" s="21"/>
      <c r="E379" s="21" t="s">
        <v>1085</v>
      </c>
      <c r="F379" s="21" t="s">
        <v>56</v>
      </c>
      <c r="G379" s="22">
        <v>1</v>
      </c>
      <c r="H379" s="21"/>
      <c r="I379" s="22">
        <v>0.1</v>
      </c>
      <c r="J379" s="23">
        <f>IFERROR(ROUND(SUM(M380,M381,M382)/I379, 2),0)</f>
        <v>81.2</v>
      </c>
      <c r="K379" s="23">
        <v>508</v>
      </c>
      <c r="L379" s="23">
        <f>J379+ROUND(K379, 2)</f>
        <v>589.20000000000005</v>
      </c>
      <c r="M379" s="23">
        <f>ROUND(J379*I379, 2)</f>
        <v>8.1199999999999992</v>
      </c>
      <c r="N379" s="23">
        <f>ROUND(I379*ROUND(K379, 2), 2)</f>
        <v>50.8</v>
      </c>
      <c r="O379" s="23">
        <f>M379+N379</f>
        <v>58.92</v>
      </c>
      <c r="P379" s="23">
        <f>IFERROR(ROUND(SUM(S380,S381,S382)/I379, 2),0)</f>
        <v>81.2</v>
      </c>
      <c r="Q379" s="23">
        <v>508</v>
      </c>
      <c r="R379" s="23">
        <f>P379+ROUND(Q379, 2)</f>
        <v>589.20000000000005</v>
      </c>
      <c r="S379" s="23">
        <f>ROUND(P379*I379, 2)</f>
        <v>8.1199999999999992</v>
      </c>
      <c r="T379" s="23">
        <f>ROUND(I379*ROUND(Q379, 2), 2)</f>
        <v>50.8</v>
      </c>
      <c r="U379" s="23">
        <f>S379+T379</f>
        <v>58.92</v>
      </c>
      <c r="V379" s="9">
        <f>ROUND(P379 / 1.2, 2)</f>
        <v>67.67</v>
      </c>
      <c r="W379" s="9">
        <f>ROUND(Q379 / 1.2, 2)</f>
        <v>423.33</v>
      </c>
      <c r="X379" s="9">
        <f>ROUND(R379 / 1.2, 2)</f>
        <v>491</v>
      </c>
      <c r="Y379" s="9">
        <f t="shared" si="103"/>
        <v>6.77</v>
      </c>
      <c r="Z379" s="9">
        <f>ROUND(T379 / 1.2, 2)</f>
        <v>42.33</v>
      </c>
      <c r="AA379" s="9">
        <f>Y379+Z379</f>
        <v>49.1</v>
      </c>
      <c r="AD379" s="4">
        <v>264030397</v>
      </c>
      <c r="AE379" s="4">
        <v>19916871</v>
      </c>
      <c r="AG379" s="4" t="s">
        <v>1123</v>
      </c>
      <c r="AH379" s="4" t="s">
        <v>1124</v>
      </c>
      <c r="AI379" s="4" t="s">
        <v>249</v>
      </c>
    </row>
    <row r="380" spans="1:35" ht="37.5" x14ac:dyDescent="0.25">
      <c r="A380" s="11" t="s">
        <v>1166</v>
      </c>
      <c r="B380" s="11"/>
      <c r="C380" s="31" t="s">
        <v>490</v>
      </c>
      <c r="D380" s="21"/>
      <c r="E380" s="21"/>
      <c r="F380" s="32" t="s">
        <v>81</v>
      </c>
      <c r="G380" s="33">
        <v>0.15</v>
      </c>
      <c r="H380" s="21"/>
      <c r="I380" s="33">
        <v>1.4999999999999999E-2</v>
      </c>
      <c r="J380" s="35">
        <v>88.8</v>
      </c>
      <c r="K380" s="12"/>
      <c r="L380" s="12"/>
      <c r="M380" s="35">
        <f>ROUND(ROUND(J380, 2)*I380, 2)</f>
        <v>1.33</v>
      </c>
      <c r="N380" s="12"/>
      <c r="O380" s="12"/>
      <c r="P380" s="35">
        <v>88.8</v>
      </c>
      <c r="Q380" s="12"/>
      <c r="R380" s="12"/>
      <c r="S380" s="35">
        <f>ROUND(ROUND(P380, 2)*I380, 2)</f>
        <v>1.33</v>
      </c>
      <c r="T380" s="12"/>
      <c r="U380" s="36"/>
      <c r="V380" s="9">
        <f>ROUND(ROUND(P380, 2)/1.2, 2)</f>
        <v>74</v>
      </c>
      <c r="Y380" s="9">
        <f t="shared" si="103"/>
        <v>1.1100000000000001</v>
      </c>
      <c r="AD380" s="4" t="s">
        <v>1167</v>
      </c>
      <c r="AE380" s="4" t="s">
        <v>1168</v>
      </c>
      <c r="AF380" s="4" t="s">
        <v>493</v>
      </c>
    </row>
    <row r="381" spans="1:35" ht="18.75" x14ac:dyDescent="0.25">
      <c r="A381" s="11" t="s">
        <v>1169</v>
      </c>
      <c r="B381" s="11"/>
      <c r="C381" s="31" t="s">
        <v>865</v>
      </c>
      <c r="D381" s="21"/>
      <c r="E381" s="21"/>
      <c r="F381" s="32" t="s">
        <v>103</v>
      </c>
      <c r="G381" s="33">
        <v>0.3</v>
      </c>
      <c r="H381" s="21"/>
      <c r="I381" s="33">
        <v>0.03</v>
      </c>
      <c r="J381" s="35">
        <v>73.099999999999994</v>
      </c>
      <c r="K381" s="12"/>
      <c r="L381" s="12"/>
      <c r="M381" s="35">
        <f>ROUND(ROUND(J381, 2)*I381, 2)</f>
        <v>2.19</v>
      </c>
      <c r="N381" s="12"/>
      <c r="O381" s="12"/>
      <c r="P381" s="35">
        <v>73.099999999999994</v>
      </c>
      <c r="Q381" s="12"/>
      <c r="R381" s="12"/>
      <c r="S381" s="35">
        <f>ROUND(ROUND(P381, 2)*I381, 2)</f>
        <v>2.19</v>
      </c>
      <c r="T381" s="12"/>
      <c r="U381" s="36"/>
      <c r="V381" s="9">
        <f>ROUND(ROUND(P381, 2)/1.2, 2)</f>
        <v>60.92</v>
      </c>
      <c r="Y381" s="9">
        <f t="shared" si="103"/>
        <v>1.83</v>
      </c>
      <c r="AD381" s="4" t="s">
        <v>1170</v>
      </c>
      <c r="AE381" s="4" t="s">
        <v>1171</v>
      </c>
      <c r="AF381" s="4" t="s">
        <v>868</v>
      </c>
    </row>
    <row r="382" spans="1:35" ht="56.25" x14ac:dyDescent="0.25">
      <c r="A382" s="11" t="s">
        <v>1172</v>
      </c>
      <c r="B382" s="11"/>
      <c r="C382" s="31" t="s">
        <v>859</v>
      </c>
      <c r="D382" s="21"/>
      <c r="E382" s="21" t="s">
        <v>860</v>
      </c>
      <c r="F382" s="32" t="s">
        <v>81</v>
      </c>
      <c r="G382" s="33">
        <v>2</v>
      </c>
      <c r="H382" s="21"/>
      <c r="I382" s="33">
        <v>0.2</v>
      </c>
      <c r="J382" s="35">
        <v>23</v>
      </c>
      <c r="K382" s="12"/>
      <c r="L382" s="12"/>
      <c r="M382" s="35">
        <f>ROUND(ROUND(J382, 2)*I382, 2)</f>
        <v>4.5999999999999996</v>
      </c>
      <c r="N382" s="12"/>
      <c r="O382" s="12"/>
      <c r="P382" s="35">
        <v>23</v>
      </c>
      <c r="Q382" s="12"/>
      <c r="R382" s="12"/>
      <c r="S382" s="35">
        <f>ROUND(ROUND(P382, 2)*I382, 2)</f>
        <v>4.5999999999999996</v>
      </c>
      <c r="T382" s="12"/>
      <c r="U382" s="36"/>
      <c r="V382" s="9">
        <f>ROUND(ROUND(P382, 2)/1.2, 2)</f>
        <v>19.170000000000002</v>
      </c>
      <c r="Y382" s="9">
        <f t="shared" si="103"/>
        <v>3.83</v>
      </c>
      <c r="AD382" s="4" t="s">
        <v>1173</v>
      </c>
      <c r="AE382" s="4" t="s">
        <v>1174</v>
      </c>
      <c r="AF382" s="4" t="s">
        <v>863</v>
      </c>
    </row>
    <row r="383" spans="1:35" ht="75" x14ac:dyDescent="0.25">
      <c r="A383" s="11" t="s">
        <v>1175</v>
      </c>
      <c r="B383" s="11" t="s">
        <v>1176</v>
      </c>
      <c r="C383" s="20" t="s">
        <v>1177</v>
      </c>
      <c r="D383" s="21"/>
      <c r="E383" s="21" t="s">
        <v>76</v>
      </c>
      <c r="F383" s="21" t="s">
        <v>56</v>
      </c>
      <c r="G383" s="22">
        <v>1</v>
      </c>
      <c r="H383" s="21"/>
      <c r="I383" s="22">
        <v>162.13999999999999</v>
      </c>
      <c r="J383" s="23">
        <f>IFERROR(ROUND(SUM(M384,M385,M386,M387)/I383, 2),0)</f>
        <v>333</v>
      </c>
      <c r="K383" s="23">
        <v>873</v>
      </c>
      <c r="L383" s="23">
        <f>J383+ROUND(K383, 2)</f>
        <v>1206</v>
      </c>
      <c r="M383" s="23">
        <f>ROUND(J383*I383, 2)</f>
        <v>53992.62</v>
      </c>
      <c r="N383" s="23">
        <f>ROUND(I383*ROUND(K383, 2), 2)</f>
        <v>141548.22</v>
      </c>
      <c r="O383" s="23">
        <f>M383+N383</f>
        <v>195540.84</v>
      </c>
      <c r="P383" s="23">
        <f>IFERROR(ROUND(SUM(S384,S385,S386,S387)/I383, 2),0)</f>
        <v>333</v>
      </c>
      <c r="Q383" s="23">
        <v>873</v>
      </c>
      <c r="R383" s="23">
        <f>P383+ROUND(Q383, 2)</f>
        <v>1206</v>
      </c>
      <c r="S383" s="23">
        <f>ROUND(P383*I383, 2)</f>
        <v>53992.62</v>
      </c>
      <c r="T383" s="23">
        <f>ROUND(I383*ROUND(Q383, 2), 2)</f>
        <v>141548.22</v>
      </c>
      <c r="U383" s="23">
        <f>S383+T383</f>
        <v>195540.84</v>
      </c>
      <c r="V383" s="9">
        <f>ROUND(P383 / 1.2, 2)</f>
        <v>277.5</v>
      </c>
      <c r="W383" s="9">
        <f>ROUND(Q383 / 1.2, 2)</f>
        <v>727.5</v>
      </c>
      <c r="X383" s="9">
        <f>ROUND(R383 / 1.2, 2)</f>
        <v>1005</v>
      </c>
      <c r="Y383" s="9">
        <f t="shared" si="103"/>
        <v>44993.85</v>
      </c>
      <c r="Z383" s="9">
        <f>ROUND(T383 / 1.2, 2)</f>
        <v>117956.85</v>
      </c>
      <c r="AA383" s="9">
        <f>Y383+Z383</f>
        <v>162950.70000000001</v>
      </c>
      <c r="AD383" s="4">
        <v>264030298</v>
      </c>
      <c r="AE383" s="4">
        <v>18538440</v>
      </c>
      <c r="AG383" s="4" t="s">
        <v>1178</v>
      </c>
      <c r="AH383" s="4" t="s">
        <v>1179</v>
      </c>
      <c r="AI383" s="4" t="s">
        <v>249</v>
      </c>
    </row>
    <row r="384" spans="1:35" ht="37.5" x14ac:dyDescent="0.25">
      <c r="A384" s="11" t="s">
        <v>1180</v>
      </c>
      <c r="B384" s="11"/>
      <c r="C384" s="31" t="s">
        <v>1181</v>
      </c>
      <c r="D384" s="21"/>
      <c r="E384" s="21" t="s">
        <v>1182</v>
      </c>
      <c r="F384" s="32" t="s">
        <v>81</v>
      </c>
      <c r="G384" s="33">
        <v>1.3</v>
      </c>
      <c r="H384" s="21"/>
      <c r="I384" s="34">
        <v>4227.8599999999997</v>
      </c>
      <c r="J384" s="35">
        <v>8.6</v>
      </c>
      <c r="K384" s="12"/>
      <c r="L384" s="12"/>
      <c r="M384" s="35">
        <f>ROUND(ROUND(J384, 2)*I384, 2)</f>
        <v>36359.599999999999</v>
      </c>
      <c r="N384" s="12"/>
      <c r="O384" s="12"/>
      <c r="P384" s="35">
        <v>8.6</v>
      </c>
      <c r="Q384" s="12"/>
      <c r="R384" s="12"/>
      <c r="S384" s="35">
        <f>ROUND(ROUND(P384, 2)*I384, 2)</f>
        <v>36359.599999999999</v>
      </c>
      <c r="T384" s="12"/>
      <c r="U384" s="36"/>
      <c r="V384" s="9">
        <f>ROUND(ROUND(P384, 2)/1.2, 2)</f>
        <v>7.17</v>
      </c>
      <c r="Y384" s="9">
        <f t="shared" si="103"/>
        <v>30299.67</v>
      </c>
      <c r="AD384" s="4" t="s">
        <v>1183</v>
      </c>
      <c r="AE384" s="4" t="s">
        <v>1184</v>
      </c>
      <c r="AF384" s="4" t="s">
        <v>1185</v>
      </c>
    </row>
    <row r="385" spans="1:35" ht="37.5" x14ac:dyDescent="0.25">
      <c r="A385" s="11" t="s">
        <v>1186</v>
      </c>
      <c r="B385" s="11"/>
      <c r="C385" s="31" t="s">
        <v>1187</v>
      </c>
      <c r="D385" s="21"/>
      <c r="E385" s="21"/>
      <c r="F385" s="32" t="s">
        <v>56</v>
      </c>
      <c r="G385" s="33">
        <v>1.1000000000000001</v>
      </c>
      <c r="H385" s="21"/>
      <c r="I385" s="33">
        <v>178.35400000000001</v>
      </c>
      <c r="J385" s="35">
        <v>66.150000000000006</v>
      </c>
      <c r="K385" s="12"/>
      <c r="L385" s="12"/>
      <c r="M385" s="35">
        <f>ROUND(ROUND(J385, 2)*I385, 2)</f>
        <v>11798.12</v>
      </c>
      <c r="N385" s="12"/>
      <c r="O385" s="12"/>
      <c r="P385" s="35">
        <v>66.150000000000006</v>
      </c>
      <c r="Q385" s="12"/>
      <c r="R385" s="12"/>
      <c r="S385" s="35">
        <f>ROUND(ROUND(P385, 2)*I385, 2)</f>
        <v>11798.12</v>
      </c>
      <c r="T385" s="12"/>
      <c r="U385" s="36"/>
      <c r="V385" s="9">
        <f>ROUND(ROUND(P385, 2)/1.2, 2)</f>
        <v>55.13</v>
      </c>
      <c r="Y385" s="9">
        <f t="shared" si="103"/>
        <v>9831.77</v>
      </c>
      <c r="AD385" s="4" t="s">
        <v>1188</v>
      </c>
      <c r="AE385" s="4" t="s">
        <v>1189</v>
      </c>
      <c r="AF385" s="4" t="s">
        <v>1190</v>
      </c>
    </row>
    <row r="386" spans="1:35" ht="18.75" x14ac:dyDescent="0.25">
      <c r="A386" s="11" t="s">
        <v>1191</v>
      </c>
      <c r="B386" s="11"/>
      <c r="C386" s="31" t="s">
        <v>1192</v>
      </c>
      <c r="D386" s="21"/>
      <c r="E386" s="21"/>
      <c r="F386" s="32" t="s">
        <v>123</v>
      </c>
      <c r="G386" s="33">
        <v>1</v>
      </c>
      <c r="H386" s="21"/>
      <c r="I386" s="34">
        <v>113</v>
      </c>
      <c r="J386" s="35">
        <v>15.76</v>
      </c>
      <c r="K386" s="12"/>
      <c r="L386" s="12"/>
      <c r="M386" s="35">
        <f>ROUND(ROUND(J386, 2)*I386, 2)</f>
        <v>1780.88</v>
      </c>
      <c r="N386" s="12"/>
      <c r="O386" s="12"/>
      <c r="P386" s="35">
        <v>15.76</v>
      </c>
      <c r="Q386" s="12"/>
      <c r="R386" s="12"/>
      <c r="S386" s="35">
        <f>ROUND(ROUND(P386, 2)*I386, 2)</f>
        <v>1780.88</v>
      </c>
      <c r="T386" s="12"/>
      <c r="U386" s="36"/>
      <c r="V386" s="9">
        <f>ROUND(ROUND(P386, 2)/1.2, 2)</f>
        <v>13.13</v>
      </c>
      <c r="Y386" s="9">
        <f t="shared" si="103"/>
        <v>1484.07</v>
      </c>
      <c r="AD386" s="4" t="s">
        <v>1193</v>
      </c>
      <c r="AE386" s="4" t="s">
        <v>1194</v>
      </c>
      <c r="AF386" s="4" t="s">
        <v>1195</v>
      </c>
    </row>
    <row r="387" spans="1:35" ht="18.75" x14ac:dyDescent="0.25">
      <c r="A387" s="11" t="s">
        <v>1196</v>
      </c>
      <c r="B387" s="11"/>
      <c r="C387" s="31" t="s">
        <v>313</v>
      </c>
      <c r="D387" s="21"/>
      <c r="E387" s="21"/>
      <c r="F387" s="32" t="s">
        <v>81</v>
      </c>
      <c r="G387" s="33">
        <v>0.25</v>
      </c>
      <c r="H387" s="21"/>
      <c r="I387" s="33">
        <v>40.534999999999997</v>
      </c>
      <c r="J387" s="35">
        <v>100</v>
      </c>
      <c r="K387" s="12"/>
      <c r="L387" s="12"/>
      <c r="M387" s="35">
        <f>ROUND(ROUND(J387, 2)*I387, 2)</f>
        <v>4053.5</v>
      </c>
      <c r="N387" s="12"/>
      <c r="O387" s="12"/>
      <c r="P387" s="35">
        <v>100</v>
      </c>
      <c r="Q387" s="12"/>
      <c r="R387" s="12"/>
      <c r="S387" s="35">
        <f>ROUND(ROUND(P387, 2)*I387, 2)</f>
        <v>4053.5</v>
      </c>
      <c r="T387" s="12"/>
      <c r="U387" s="36"/>
      <c r="V387" s="9">
        <f>ROUND(ROUND(P387, 2)/1.2, 2)</f>
        <v>83.33</v>
      </c>
      <c r="Y387" s="9">
        <f t="shared" si="103"/>
        <v>3377.92</v>
      </c>
      <c r="AD387" s="4" t="s">
        <v>1197</v>
      </c>
      <c r="AE387" s="4" t="s">
        <v>1198</v>
      </c>
      <c r="AF387" s="4" t="s">
        <v>316</v>
      </c>
    </row>
    <row r="388" spans="1:35" ht="75" x14ac:dyDescent="0.25">
      <c r="A388" s="11" t="s">
        <v>1199</v>
      </c>
      <c r="B388" s="11" t="s">
        <v>1200</v>
      </c>
      <c r="C388" s="20" t="s">
        <v>1201</v>
      </c>
      <c r="D388" s="21"/>
      <c r="E388" s="21" t="s">
        <v>76</v>
      </c>
      <c r="F388" s="21" t="s">
        <v>56</v>
      </c>
      <c r="G388" s="22">
        <v>1</v>
      </c>
      <c r="H388" s="21"/>
      <c r="I388" s="22">
        <v>123.76</v>
      </c>
      <c r="J388" s="23">
        <f>IFERROR(ROUND(SUM(M389,M390,M391,M392)/I388, 2),0)</f>
        <v>544.24</v>
      </c>
      <c r="K388" s="23">
        <v>1067</v>
      </c>
      <c r="L388" s="23">
        <f>J388+ROUND(K388, 2)</f>
        <v>1611.24</v>
      </c>
      <c r="M388" s="23">
        <f>ROUND(J388*I388, 2)</f>
        <v>67355.14</v>
      </c>
      <c r="N388" s="23">
        <f>ROUND(I388*ROUND(K388, 2), 2)</f>
        <v>132051.92000000001</v>
      </c>
      <c r="O388" s="23">
        <f>M388+N388</f>
        <v>199407.06</v>
      </c>
      <c r="P388" s="23">
        <f>IFERROR(ROUND(SUM(S389,S390,S391,S392)/I388, 2),0)</f>
        <v>544.24</v>
      </c>
      <c r="Q388" s="23">
        <v>1067</v>
      </c>
      <c r="R388" s="23">
        <f>P388+ROUND(Q388, 2)</f>
        <v>1611.24</v>
      </c>
      <c r="S388" s="23">
        <f>ROUND(P388*I388, 2)</f>
        <v>67355.14</v>
      </c>
      <c r="T388" s="23">
        <f>ROUND(I388*ROUND(Q388, 2), 2)</f>
        <v>132051.92000000001</v>
      </c>
      <c r="U388" s="23">
        <f>S388+T388</f>
        <v>199407.06</v>
      </c>
      <c r="V388" s="9">
        <f>ROUND(P388 / 1.2, 2)</f>
        <v>453.53</v>
      </c>
      <c r="W388" s="9">
        <f>ROUND(Q388 / 1.2, 2)</f>
        <v>889.17</v>
      </c>
      <c r="X388" s="9">
        <f>ROUND(R388 / 1.2, 2)</f>
        <v>1342.7</v>
      </c>
      <c r="Y388" s="9">
        <f t="shared" si="103"/>
        <v>56129.279999999999</v>
      </c>
      <c r="Z388" s="9">
        <f>ROUND(T388 / 1.2, 2)</f>
        <v>110043.27</v>
      </c>
      <c r="AA388" s="9">
        <f>Y388+Z388</f>
        <v>166172.54999999999</v>
      </c>
      <c r="AD388" s="4">
        <v>264030299</v>
      </c>
      <c r="AE388" s="4">
        <v>18538442</v>
      </c>
      <c r="AG388" s="4" t="s">
        <v>1202</v>
      </c>
      <c r="AH388" s="4" t="s">
        <v>1203</v>
      </c>
      <c r="AI388" s="4" t="s">
        <v>249</v>
      </c>
    </row>
    <row r="389" spans="1:35" ht="37.5" x14ac:dyDescent="0.25">
      <c r="A389" s="11" t="s">
        <v>1204</v>
      </c>
      <c r="B389" s="11"/>
      <c r="C389" s="31" t="s">
        <v>1181</v>
      </c>
      <c r="D389" s="21"/>
      <c r="E389" s="21" t="s">
        <v>1182</v>
      </c>
      <c r="F389" s="32" t="s">
        <v>81</v>
      </c>
      <c r="G389" s="33">
        <v>1.3</v>
      </c>
      <c r="H389" s="21"/>
      <c r="I389" s="34">
        <v>6435.52</v>
      </c>
      <c r="J389" s="35">
        <v>8.6</v>
      </c>
      <c r="K389" s="12"/>
      <c r="L389" s="12"/>
      <c r="M389" s="35">
        <f>ROUND(ROUND(J389, 2)*I389, 2)</f>
        <v>55345.47</v>
      </c>
      <c r="N389" s="12"/>
      <c r="O389" s="12"/>
      <c r="P389" s="35">
        <v>8.6</v>
      </c>
      <c r="Q389" s="12"/>
      <c r="R389" s="12"/>
      <c r="S389" s="35">
        <f>ROUND(ROUND(P389, 2)*I389, 2)</f>
        <v>55345.47</v>
      </c>
      <c r="T389" s="12"/>
      <c r="U389" s="36"/>
      <c r="V389" s="9">
        <f>ROUND(ROUND(P389, 2)/1.2, 2)</f>
        <v>7.17</v>
      </c>
      <c r="Y389" s="9">
        <f t="shared" si="103"/>
        <v>46121.23</v>
      </c>
      <c r="AD389" s="4" t="s">
        <v>1205</v>
      </c>
      <c r="AE389" s="4" t="s">
        <v>1206</v>
      </c>
      <c r="AF389" s="4" t="s">
        <v>1185</v>
      </c>
    </row>
    <row r="390" spans="1:35" ht="37.5" x14ac:dyDescent="0.25">
      <c r="A390" s="11" t="s">
        <v>1207</v>
      </c>
      <c r="B390" s="11"/>
      <c r="C390" s="31" t="s">
        <v>1187</v>
      </c>
      <c r="D390" s="21"/>
      <c r="E390" s="21"/>
      <c r="F390" s="32" t="s">
        <v>56</v>
      </c>
      <c r="G390" s="33">
        <v>1.1000000000000001</v>
      </c>
      <c r="H390" s="21"/>
      <c r="I390" s="33">
        <v>136.136</v>
      </c>
      <c r="J390" s="35">
        <v>66.150000000000006</v>
      </c>
      <c r="K390" s="12"/>
      <c r="L390" s="12"/>
      <c r="M390" s="35">
        <f>ROUND(ROUND(J390, 2)*I390, 2)</f>
        <v>9005.4</v>
      </c>
      <c r="N390" s="12"/>
      <c r="O390" s="12"/>
      <c r="P390" s="35">
        <v>66.150000000000006</v>
      </c>
      <c r="Q390" s="12"/>
      <c r="R390" s="12"/>
      <c r="S390" s="35">
        <f>ROUND(ROUND(P390, 2)*I390, 2)</f>
        <v>9005.4</v>
      </c>
      <c r="T390" s="12"/>
      <c r="U390" s="36"/>
      <c r="V390" s="9">
        <f>ROUND(ROUND(P390, 2)/1.2, 2)</f>
        <v>55.13</v>
      </c>
      <c r="Y390" s="9">
        <f t="shared" si="103"/>
        <v>7504.5</v>
      </c>
      <c r="AD390" s="4" t="s">
        <v>1208</v>
      </c>
      <c r="AE390" s="4" t="s">
        <v>1209</v>
      </c>
      <c r="AF390" s="4" t="s">
        <v>1190</v>
      </c>
    </row>
    <row r="391" spans="1:35" ht="18.75" x14ac:dyDescent="0.25">
      <c r="A391" s="11" t="s">
        <v>1210</v>
      </c>
      <c r="B391" s="11"/>
      <c r="C391" s="31" t="s">
        <v>1192</v>
      </c>
      <c r="D391" s="21"/>
      <c r="E391" s="21"/>
      <c r="F391" s="32" t="s">
        <v>123</v>
      </c>
      <c r="G391" s="33">
        <v>1</v>
      </c>
      <c r="H391" s="21"/>
      <c r="I391" s="34">
        <v>86</v>
      </c>
      <c r="J391" s="35">
        <v>15.76</v>
      </c>
      <c r="K391" s="12"/>
      <c r="L391" s="12"/>
      <c r="M391" s="35">
        <f>ROUND(ROUND(J391, 2)*I391, 2)</f>
        <v>1355.36</v>
      </c>
      <c r="N391" s="12"/>
      <c r="O391" s="12"/>
      <c r="P391" s="35">
        <v>15.76</v>
      </c>
      <c r="Q391" s="12"/>
      <c r="R391" s="12"/>
      <c r="S391" s="35">
        <f>ROUND(ROUND(P391, 2)*I391, 2)</f>
        <v>1355.36</v>
      </c>
      <c r="T391" s="12"/>
      <c r="U391" s="36"/>
      <c r="V391" s="9">
        <f>ROUND(ROUND(P391, 2)/1.2, 2)</f>
        <v>13.13</v>
      </c>
      <c r="Y391" s="9">
        <f t="shared" ref="Y391:Y427" si="104">ROUND(S391 / 1.2, 2)</f>
        <v>1129.47</v>
      </c>
      <c r="AD391" s="4" t="s">
        <v>1211</v>
      </c>
      <c r="AE391" s="4" t="s">
        <v>1212</v>
      </c>
      <c r="AF391" s="4" t="s">
        <v>1195</v>
      </c>
    </row>
    <row r="392" spans="1:35" ht="37.5" x14ac:dyDescent="0.25">
      <c r="A392" s="11" t="s">
        <v>1213</v>
      </c>
      <c r="B392" s="11"/>
      <c r="C392" s="31" t="s">
        <v>490</v>
      </c>
      <c r="D392" s="21"/>
      <c r="E392" s="21"/>
      <c r="F392" s="32" t="s">
        <v>81</v>
      </c>
      <c r="G392" s="33">
        <v>0.15</v>
      </c>
      <c r="H392" s="21"/>
      <c r="I392" s="33">
        <v>18.564</v>
      </c>
      <c r="J392" s="35">
        <v>88.8</v>
      </c>
      <c r="K392" s="12"/>
      <c r="L392" s="12"/>
      <c r="M392" s="35">
        <f>ROUND(ROUND(J392, 2)*I392, 2)</f>
        <v>1648.48</v>
      </c>
      <c r="N392" s="12"/>
      <c r="O392" s="12"/>
      <c r="P392" s="35">
        <v>88.8</v>
      </c>
      <c r="Q392" s="12"/>
      <c r="R392" s="12"/>
      <c r="S392" s="35">
        <f>ROUND(ROUND(P392, 2)*I392, 2)</f>
        <v>1648.48</v>
      </c>
      <c r="T392" s="12"/>
      <c r="U392" s="36"/>
      <c r="V392" s="9">
        <f>ROUND(ROUND(P392, 2)/1.2, 2)</f>
        <v>74</v>
      </c>
      <c r="Y392" s="9">
        <f t="shared" si="104"/>
        <v>1373.73</v>
      </c>
      <c r="AD392" s="4" t="s">
        <v>1214</v>
      </c>
      <c r="AE392" s="4" t="s">
        <v>1215</v>
      </c>
      <c r="AF392" s="4" t="s">
        <v>493</v>
      </c>
    </row>
    <row r="393" spans="1:35" ht="75" x14ac:dyDescent="0.25">
      <c r="A393" s="11" t="s">
        <v>1216</v>
      </c>
      <c r="B393" s="11" t="s">
        <v>1217</v>
      </c>
      <c r="C393" s="20" t="s">
        <v>1218</v>
      </c>
      <c r="D393" s="21"/>
      <c r="E393" s="21" t="s">
        <v>76</v>
      </c>
      <c r="F393" s="21" t="s">
        <v>56</v>
      </c>
      <c r="G393" s="22">
        <v>1</v>
      </c>
      <c r="H393" s="21"/>
      <c r="I393" s="22">
        <v>77.959999999999994</v>
      </c>
      <c r="J393" s="23">
        <f>IFERROR(ROUND(SUM(M394,M395,M396,M397)/I393, 2),0)</f>
        <v>779.68</v>
      </c>
      <c r="K393" s="23">
        <v>1280</v>
      </c>
      <c r="L393" s="23">
        <f>J393+ROUND(K393, 2)</f>
        <v>2059.6799999999998</v>
      </c>
      <c r="M393" s="23">
        <f>ROUND(J393*I393, 2)</f>
        <v>60783.85</v>
      </c>
      <c r="N393" s="23">
        <f>ROUND(I393*ROUND(K393, 2), 2)</f>
        <v>99788.800000000003</v>
      </c>
      <c r="O393" s="23">
        <f>M393+N393</f>
        <v>160572.65</v>
      </c>
      <c r="P393" s="23">
        <f>IFERROR(ROUND(SUM(S394,S395,S396,S397)/I393, 2),0)</f>
        <v>779.68</v>
      </c>
      <c r="Q393" s="23">
        <v>1280</v>
      </c>
      <c r="R393" s="23">
        <f>P393+ROUND(Q393, 2)</f>
        <v>2059.6799999999998</v>
      </c>
      <c r="S393" s="23">
        <f>ROUND(P393*I393, 2)</f>
        <v>60783.85</v>
      </c>
      <c r="T393" s="23">
        <f>ROUND(I393*ROUND(Q393, 2), 2)</f>
        <v>99788.800000000003</v>
      </c>
      <c r="U393" s="23">
        <f>S393+T393</f>
        <v>160572.65</v>
      </c>
      <c r="V393" s="9">
        <f>ROUND(P393 / 1.2, 2)</f>
        <v>649.73</v>
      </c>
      <c r="W393" s="9">
        <f>ROUND(Q393 / 1.2, 2)</f>
        <v>1066.67</v>
      </c>
      <c r="X393" s="9">
        <f>ROUND(R393 / 1.2, 2)</f>
        <v>1716.4</v>
      </c>
      <c r="Y393" s="9">
        <f t="shared" si="104"/>
        <v>50653.21</v>
      </c>
      <c r="Z393" s="9">
        <f>ROUND(T393 / 1.2, 2)</f>
        <v>83157.33</v>
      </c>
      <c r="AA393" s="9">
        <f>Y393+Z393</f>
        <v>133810.54</v>
      </c>
      <c r="AD393" s="4">
        <v>264030300</v>
      </c>
      <c r="AE393" s="4">
        <v>18538439</v>
      </c>
      <c r="AG393" s="4" t="s">
        <v>1219</v>
      </c>
      <c r="AH393" s="4" t="s">
        <v>1220</v>
      </c>
      <c r="AI393" s="4" t="s">
        <v>249</v>
      </c>
    </row>
    <row r="394" spans="1:35" ht="37.5" x14ac:dyDescent="0.25">
      <c r="A394" s="11" t="s">
        <v>1221</v>
      </c>
      <c r="B394" s="11"/>
      <c r="C394" s="31" t="s">
        <v>1181</v>
      </c>
      <c r="D394" s="21"/>
      <c r="E394" s="21" t="s">
        <v>1182</v>
      </c>
      <c r="F394" s="32" t="s">
        <v>81</v>
      </c>
      <c r="G394" s="33">
        <v>1.3</v>
      </c>
      <c r="H394" s="21"/>
      <c r="I394" s="34">
        <v>6080.88</v>
      </c>
      <c r="J394" s="35">
        <v>8.6</v>
      </c>
      <c r="K394" s="12"/>
      <c r="L394" s="12"/>
      <c r="M394" s="35">
        <f>ROUND(ROUND(J394, 2)*I394, 2)</f>
        <v>52295.57</v>
      </c>
      <c r="N394" s="12"/>
      <c r="O394" s="12"/>
      <c r="P394" s="35">
        <v>8.6</v>
      </c>
      <c r="Q394" s="12"/>
      <c r="R394" s="12"/>
      <c r="S394" s="35">
        <f>ROUND(ROUND(P394, 2)*I394, 2)</f>
        <v>52295.57</v>
      </c>
      <c r="T394" s="12"/>
      <c r="U394" s="36"/>
      <c r="V394" s="9">
        <f>ROUND(ROUND(P394, 2)/1.2, 2)</f>
        <v>7.17</v>
      </c>
      <c r="Y394" s="9">
        <f t="shared" si="104"/>
        <v>43579.64</v>
      </c>
      <c r="AD394" s="4" t="s">
        <v>1222</v>
      </c>
      <c r="AE394" s="4" t="s">
        <v>1223</v>
      </c>
      <c r="AF394" s="4" t="s">
        <v>1185</v>
      </c>
    </row>
    <row r="395" spans="1:35" ht="37.5" x14ac:dyDescent="0.25">
      <c r="A395" s="11" t="s">
        <v>1224</v>
      </c>
      <c r="B395" s="11"/>
      <c r="C395" s="31" t="s">
        <v>1187</v>
      </c>
      <c r="D395" s="21"/>
      <c r="E395" s="21"/>
      <c r="F395" s="32" t="s">
        <v>56</v>
      </c>
      <c r="G395" s="33">
        <v>1.1000000000000001</v>
      </c>
      <c r="H395" s="21"/>
      <c r="I395" s="33">
        <v>85.756</v>
      </c>
      <c r="J395" s="35">
        <v>66.150000000000006</v>
      </c>
      <c r="K395" s="12"/>
      <c r="L395" s="12"/>
      <c r="M395" s="35">
        <f>ROUND(ROUND(J395, 2)*I395, 2)</f>
        <v>5672.76</v>
      </c>
      <c r="N395" s="12"/>
      <c r="O395" s="12"/>
      <c r="P395" s="35">
        <v>66.150000000000006</v>
      </c>
      <c r="Q395" s="12"/>
      <c r="R395" s="12"/>
      <c r="S395" s="35">
        <f>ROUND(ROUND(P395, 2)*I395, 2)</f>
        <v>5672.76</v>
      </c>
      <c r="T395" s="12"/>
      <c r="U395" s="36"/>
      <c r="V395" s="9">
        <f>ROUND(ROUND(P395, 2)/1.2, 2)</f>
        <v>55.13</v>
      </c>
      <c r="Y395" s="9">
        <f t="shared" si="104"/>
        <v>4727.3</v>
      </c>
      <c r="AD395" s="4" t="s">
        <v>1225</v>
      </c>
      <c r="AE395" s="4" t="s">
        <v>1226</v>
      </c>
      <c r="AF395" s="4" t="s">
        <v>1190</v>
      </c>
    </row>
    <row r="396" spans="1:35" ht="18.75" x14ac:dyDescent="0.25">
      <c r="A396" s="11" t="s">
        <v>1227</v>
      </c>
      <c r="B396" s="11"/>
      <c r="C396" s="31" t="s">
        <v>1192</v>
      </c>
      <c r="D396" s="21"/>
      <c r="E396" s="21"/>
      <c r="F396" s="32" t="s">
        <v>123</v>
      </c>
      <c r="G396" s="33">
        <v>1</v>
      </c>
      <c r="H396" s="21"/>
      <c r="I396" s="34">
        <v>55</v>
      </c>
      <c r="J396" s="35">
        <v>15.76</v>
      </c>
      <c r="K396" s="12"/>
      <c r="L396" s="12"/>
      <c r="M396" s="35">
        <f>ROUND(ROUND(J396, 2)*I396, 2)</f>
        <v>866.8</v>
      </c>
      <c r="N396" s="12"/>
      <c r="O396" s="12"/>
      <c r="P396" s="35">
        <v>15.76</v>
      </c>
      <c r="Q396" s="12"/>
      <c r="R396" s="12"/>
      <c r="S396" s="35">
        <f>ROUND(ROUND(P396, 2)*I396, 2)</f>
        <v>866.8</v>
      </c>
      <c r="T396" s="12"/>
      <c r="U396" s="36"/>
      <c r="V396" s="9">
        <f>ROUND(ROUND(P396, 2)/1.2, 2)</f>
        <v>13.13</v>
      </c>
      <c r="Y396" s="9">
        <f t="shared" si="104"/>
        <v>722.33</v>
      </c>
      <c r="AD396" s="4" t="s">
        <v>1228</v>
      </c>
      <c r="AE396" s="4" t="s">
        <v>1229</v>
      </c>
      <c r="AF396" s="4" t="s">
        <v>1195</v>
      </c>
    </row>
    <row r="397" spans="1:35" ht="18.75" x14ac:dyDescent="0.25">
      <c r="A397" s="11" t="s">
        <v>1230</v>
      </c>
      <c r="B397" s="11"/>
      <c r="C397" s="31" t="s">
        <v>313</v>
      </c>
      <c r="D397" s="21"/>
      <c r="E397" s="21"/>
      <c r="F397" s="32" t="s">
        <v>81</v>
      </c>
      <c r="G397" s="33">
        <v>0.25</v>
      </c>
      <c r="H397" s="21"/>
      <c r="I397" s="33">
        <v>19.489999999999998</v>
      </c>
      <c r="J397" s="35">
        <v>100</v>
      </c>
      <c r="K397" s="12"/>
      <c r="L397" s="12"/>
      <c r="M397" s="35">
        <f>ROUND(ROUND(J397, 2)*I397, 2)</f>
        <v>1949</v>
      </c>
      <c r="N397" s="12"/>
      <c r="O397" s="12"/>
      <c r="P397" s="35">
        <v>100</v>
      </c>
      <c r="Q397" s="12"/>
      <c r="R397" s="12"/>
      <c r="S397" s="35">
        <f>ROUND(ROUND(P397, 2)*I397, 2)</f>
        <v>1949</v>
      </c>
      <c r="T397" s="12"/>
      <c r="U397" s="36"/>
      <c r="V397" s="9">
        <f>ROUND(ROUND(P397, 2)/1.2, 2)</f>
        <v>83.33</v>
      </c>
      <c r="Y397" s="9">
        <f t="shared" si="104"/>
        <v>1624.17</v>
      </c>
      <c r="AD397" s="4" t="s">
        <v>1231</v>
      </c>
      <c r="AE397" s="4" t="s">
        <v>1232</v>
      </c>
      <c r="AF397" s="4" t="s">
        <v>316</v>
      </c>
    </row>
    <row r="398" spans="1:35" ht="75" x14ac:dyDescent="0.25">
      <c r="A398" s="11" t="s">
        <v>1233</v>
      </c>
      <c r="B398" s="11" t="s">
        <v>1234</v>
      </c>
      <c r="C398" s="20" t="s">
        <v>1235</v>
      </c>
      <c r="D398" s="21" t="s">
        <v>1236</v>
      </c>
      <c r="E398" s="21" t="s">
        <v>76</v>
      </c>
      <c r="F398" s="21" t="s">
        <v>56</v>
      </c>
      <c r="G398" s="22">
        <v>1</v>
      </c>
      <c r="H398" s="21"/>
      <c r="I398" s="22">
        <v>164.02</v>
      </c>
      <c r="J398" s="23">
        <f>IFERROR(ROUND(SUM(M399,M400,M401,M402)/I398, 2),0)</f>
        <v>333.66</v>
      </c>
      <c r="K398" s="23">
        <v>954</v>
      </c>
      <c r="L398" s="23">
        <f>J398+ROUND(K398, 2)</f>
        <v>1287.6600000000001</v>
      </c>
      <c r="M398" s="23">
        <f>ROUND(J398*I398, 2)</f>
        <v>54726.91</v>
      </c>
      <c r="N398" s="23">
        <f>ROUND(I398*ROUND(K398, 2), 2)</f>
        <v>156475.07999999999</v>
      </c>
      <c r="O398" s="23">
        <f>M398+N398</f>
        <v>211201.99</v>
      </c>
      <c r="P398" s="23">
        <f>IFERROR(ROUND(SUM(S399,S400,S401,S402)/I398, 2),0)</f>
        <v>333.66</v>
      </c>
      <c r="Q398" s="23">
        <v>954</v>
      </c>
      <c r="R398" s="23">
        <f>P398+ROUND(Q398, 2)</f>
        <v>1287.6600000000001</v>
      </c>
      <c r="S398" s="23">
        <f>ROUND(P398*I398, 2)</f>
        <v>54726.91</v>
      </c>
      <c r="T398" s="23">
        <f>ROUND(I398*ROUND(Q398, 2), 2)</f>
        <v>156475.07999999999</v>
      </c>
      <c r="U398" s="23">
        <f>S398+T398</f>
        <v>211201.99</v>
      </c>
      <c r="V398" s="9">
        <f>ROUND(P398 / 1.2, 2)</f>
        <v>278.05</v>
      </c>
      <c r="W398" s="9">
        <f>ROUND(Q398 / 1.2, 2)</f>
        <v>795</v>
      </c>
      <c r="X398" s="9">
        <f>ROUND(R398 / 1.2, 2)</f>
        <v>1073.05</v>
      </c>
      <c r="Y398" s="9">
        <f t="shared" si="104"/>
        <v>45605.760000000002</v>
      </c>
      <c r="Z398" s="9">
        <f>ROUND(T398 / 1.2, 2)</f>
        <v>130395.9</v>
      </c>
      <c r="AA398" s="9">
        <f>Y398+Z398</f>
        <v>176001.66</v>
      </c>
      <c r="AD398" s="4">
        <v>264030301</v>
      </c>
      <c r="AE398" s="4">
        <v>18538441</v>
      </c>
      <c r="AG398" s="4" t="s">
        <v>1237</v>
      </c>
      <c r="AH398" s="4" t="s">
        <v>1238</v>
      </c>
      <c r="AI398" s="4" t="s">
        <v>249</v>
      </c>
    </row>
    <row r="399" spans="1:35" ht="37.5" x14ac:dyDescent="0.25">
      <c r="A399" s="11" t="s">
        <v>1239</v>
      </c>
      <c r="B399" s="11"/>
      <c r="C399" s="31" t="s">
        <v>1181</v>
      </c>
      <c r="D399" s="21"/>
      <c r="E399" s="21" t="s">
        <v>1182</v>
      </c>
      <c r="F399" s="32" t="s">
        <v>81</v>
      </c>
      <c r="G399" s="33">
        <v>1.3</v>
      </c>
      <c r="H399" s="21"/>
      <c r="I399" s="34">
        <v>4264.5200000000004</v>
      </c>
      <c r="J399" s="35">
        <v>8.6</v>
      </c>
      <c r="K399" s="12"/>
      <c r="L399" s="12"/>
      <c r="M399" s="35">
        <f>ROUND(ROUND(J399, 2)*I399, 2)</f>
        <v>36674.870000000003</v>
      </c>
      <c r="N399" s="12"/>
      <c r="O399" s="12"/>
      <c r="P399" s="35">
        <v>8.6</v>
      </c>
      <c r="Q399" s="12"/>
      <c r="R399" s="12"/>
      <c r="S399" s="35">
        <f>ROUND(ROUND(P399, 2)*I399, 2)</f>
        <v>36674.870000000003</v>
      </c>
      <c r="T399" s="12"/>
      <c r="U399" s="36"/>
      <c r="V399" s="9">
        <f>ROUND(ROUND(P399, 2)/1.2, 2)</f>
        <v>7.17</v>
      </c>
      <c r="Y399" s="9">
        <f t="shared" si="104"/>
        <v>30562.39</v>
      </c>
      <c r="AD399" s="4" t="s">
        <v>1240</v>
      </c>
      <c r="AE399" s="4" t="s">
        <v>1241</v>
      </c>
      <c r="AF399" s="4" t="s">
        <v>1185</v>
      </c>
    </row>
    <row r="400" spans="1:35" ht="37.5" x14ac:dyDescent="0.25">
      <c r="A400" s="11" t="s">
        <v>1242</v>
      </c>
      <c r="B400" s="11"/>
      <c r="C400" s="31" t="s">
        <v>1187</v>
      </c>
      <c r="D400" s="21"/>
      <c r="E400" s="21"/>
      <c r="F400" s="32" t="s">
        <v>56</v>
      </c>
      <c r="G400" s="33">
        <v>1.1000000000000001</v>
      </c>
      <c r="H400" s="21"/>
      <c r="I400" s="33">
        <v>180.422</v>
      </c>
      <c r="J400" s="35">
        <v>66.150000000000006</v>
      </c>
      <c r="K400" s="12"/>
      <c r="L400" s="12"/>
      <c r="M400" s="35">
        <f>ROUND(ROUND(J400, 2)*I400, 2)</f>
        <v>11934.92</v>
      </c>
      <c r="N400" s="12"/>
      <c r="O400" s="12"/>
      <c r="P400" s="35">
        <v>66.150000000000006</v>
      </c>
      <c r="Q400" s="12"/>
      <c r="R400" s="12"/>
      <c r="S400" s="35">
        <f>ROUND(ROUND(P400, 2)*I400, 2)</f>
        <v>11934.92</v>
      </c>
      <c r="T400" s="12"/>
      <c r="U400" s="36"/>
      <c r="V400" s="9">
        <f>ROUND(ROUND(P400, 2)/1.2, 2)</f>
        <v>55.13</v>
      </c>
      <c r="Y400" s="9">
        <f t="shared" si="104"/>
        <v>9945.77</v>
      </c>
      <c r="AD400" s="4" t="s">
        <v>1243</v>
      </c>
      <c r="AE400" s="4" t="s">
        <v>1244</v>
      </c>
      <c r="AF400" s="4" t="s">
        <v>1190</v>
      </c>
    </row>
    <row r="401" spans="1:35" ht="18.75" x14ac:dyDescent="0.25">
      <c r="A401" s="11" t="s">
        <v>1245</v>
      </c>
      <c r="B401" s="11"/>
      <c r="C401" s="31" t="s">
        <v>1192</v>
      </c>
      <c r="D401" s="21"/>
      <c r="E401" s="21"/>
      <c r="F401" s="32" t="s">
        <v>123</v>
      </c>
      <c r="G401" s="33">
        <v>1</v>
      </c>
      <c r="H401" s="21"/>
      <c r="I401" s="34">
        <v>128</v>
      </c>
      <c r="J401" s="35">
        <v>15.76</v>
      </c>
      <c r="K401" s="12"/>
      <c r="L401" s="12"/>
      <c r="M401" s="35">
        <f>ROUND(ROUND(J401, 2)*I401, 2)</f>
        <v>2017.28</v>
      </c>
      <c r="N401" s="12"/>
      <c r="O401" s="12"/>
      <c r="P401" s="35">
        <v>15.76</v>
      </c>
      <c r="Q401" s="12"/>
      <c r="R401" s="12"/>
      <c r="S401" s="35">
        <f>ROUND(ROUND(P401, 2)*I401, 2)</f>
        <v>2017.28</v>
      </c>
      <c r="T401" s="12"/>
      <c r="U401" s="36"/>
      <c r="V401" s="9">
        <f>ROUND(ROUND(P401, 2)/1.2, 2)</f>
        <v>13.13</v>
      </c>
      <c r="Y401" s="9">
        <f t="shared" si="104"/>
        <v>1681.07</v>
      </c>
      <c r="AD401" s="4" t="s">
        <v>1246</v>
      </c>
      <c r="AE401" s="4" t="s">
        <v>1247</v>
      </c>
      <c r="AF401" s="4" t="s">
        <v>1195</v>
      </c>
    </row>
    <row r="402" spans="1:35" ht="18.75" x14ac:dyDescent="0.25">
      <c r="A402" s="11" t="s">
        <v>1248</v>
      </c>
      <c r="B402" s="11"/>
      <c r="C402" s="31" t="s">
        <v>313</v>
      </c>
      <c r="D402" s="21"/>
      <c r="E402" s="21"/>
      <c r="F402" s="32" t="s">
        <v>81</v>
      </c>
      <c r="G402" s="33">
        <v>0.25</v>
      </c>
      <c r="H402" s="21"/>
      <c r="I402" s="33">
        <v>41.005000000000003</v>
      </c>
      <c r="J402" s="35">
        <v>100</v>
      </c>
      <c r="K402" s="12"/>
      <c r="L402" s="12"/>
      <c r="M402" s="35">
        <f>ROUND(ROUND(J402, 2)*I402, 2)</f>
        <v>4100.5</v>
      </c>
      <c r="N402" s="12"/>
      <c r="O402" s="12"/>
      <c r="P402" s="35">
        <v>100</v>
      </c>
      <c r="Q402" s="12"/>
      <c r="R402" s="12"/>
      <c r="S402" s="35">
        <f>ROUND(ROUND(P402, 2)*I402, 2)</f>
        <v>4100.5</v>
      </c>
      <c r="T402" s="12"/>
      <c r="U402" s="36"/>
      <c r="V402" s="9">
        <f>ROUND(ROUND(P402, 2)/1.2, 2)</f>
        <v>83.33</v>
      </c>
      <c r="Y402" s="9">
        <f t="shared" si="104"/>
        <v>3417.08</v>
      </c>
      <c r="AD402" s="4" t="s">
        <v>1249</v>
      </c>
      <c r="AE402" s="4" t="s">
        <v>1250</v>
      </c>
      <c r="AF402" s="4" t="s">
        <v>316</v>
      </c>
    </row>
    <row r="403" spans="1:35" ht="75" x14ac:dyDescent="0.25">
      <c r="A403" s="11" t="s">
        <v>1251</v>
      </c>
      <c r="B403" s="11" t="s">
        <v>1252</v>
      </c>
      <c r="C403" s="20" t="s">
        <v>1253</v>
      </c>
      <c r="D403" s="21" t="s">
        <v>1236</v>
      </c>
      <c r="E403" s="21" t="s">
        <v>76</v>
      </c>
      <c r="F403" s="21" t="s">
        <v>56</v>
      </c>
      <c r="G403" s="22">
        <v>1</v>
      </c>
      <c r="H403" s="21"/>
      <c r="I403" s="22">
        <v>88.3</v>
      </c>
      <c r="J403" s="23">
        <f>IFERROR(ROUND(SUM(M404,M405,M406,M407)/I403, 2),0)</f>
        <v>545.6</v>
      </c>
      <c r="K403" s="23">
        <v>1165</v>
      </c>
      <c r="L403" s="23">
        <f>J403+ROUND(K403, 2)</f>
        <v>1710.6</v>
      </c>
      <c r="M403" s="23">
        <f>ROUND(J403*I403, 2)</f>
        <v>48176.480000000003</v>
      </c>
      <c r="N403" s="23">
        <f>ROUND(I403*ROUND(K403, 2), 2)</f>
        <v>102869.5</v>
      </c>
      <c r="O403" s="23">
        <f>M403+N403</f>
        <v>151045.98000000001</v>
      </c>
      <c r="P403" s="23">
        <f>IFERROR(ROUND(SUM(S404,S405,S406,S407)/I403, 2),0)</f>
        <v>545.6</v>
      </c>
      <c r="Q403" s="23">
        <v>1165</v>
      </c>
      <c r="R403" s="23">
        <f>P403+ROUND(Q403, 2)</f>
        <v>1710.6</v>
      </c>
      <c r="S403" s="23">
        <f>ROUND(P403*I403, 2)</f>
        <v>48176.480000000003</v>
      </c>
      <c r="T403" s="23">
        <f>ROUND(I403*ROUND(Q403, 2), 2)</f>
        <v>102869.5</v>
      </c>
      <c r="U403" s="23">
        <f>S403+T403</f>
        <v>151045.98000000001</v>
      </c>
      <c r="V403" s="9">
        <f>ROUND(P403 / 1.2, 2)</f>
        <v>454.67</v>
      </c>
      <c r="W403" s="9">
        <f>ROUND(Q403 / 1.2, 2)</f>
        <v>970.83</v>
      </c>
      <c r="X403" s="9">
        <f>ROUND(R403 / 1.2, 2)</f>
        <v>1425.5</v>
      </c>
      <c r="Y403" s="9">
        <f t="shared" si="104"/>
        <v>40147.07</v>
      </c>
      <c r="Z403" s="9">
        <f>ROUND(T403 / 1.2, 2)</f>
        <v>85724.58</v>
      </c>
      <c r="AA403" s="9">
        <f>Y403+Z403</f>
        <v>125871.65</v>
      </c>
      <c r="AD403" s="4">
        <v>264030302</v>
      </c>
      <c r="AE403" s="4">
        <v>18538438</v>
      </c>
      <c r="AG403" s="4" t="s">
        <v>1254</v>
      </c>
      <c r="AH403" s="4" t="s">
        <v>1255</v>
      </c>
      <c r="AI403" s="4" t="s">
        <v>249</v>
      </c>
    </row>
    <row r="404" spans="1:35" ht="37.5" x14ac:dyDescent="0.25">
      <c r="A404" s="11" t="s">
        <v>1256</v>
      </c>
      <c r="B404" s="11"/>
      <c r="C404" s="31" t="s">
        <v>1181</v>
      </c>
      <c r="D404" s="21"/>
      <c r="E404" s="21" t="s">
        <v>1182</v>
      </c>
      <c r="F404" s="32" t="s">
        <v>81</v>
      </c>
      <c r="G404" s="33">
        <v>1.3</v>
      </c>
      <c r="H404" s="21"/>
      <c r="I404" s="34">
        <v>4591.6000000000004</v>
      </c>
      <c r="J404" s="35">
        <v>8.6</v>
      </c>
      <c r="K404" s="12"/>
      <c r="L404" s="12"/>
      <c r="M404" s="35">
        <f>ROUND(ROUND(J404, 2)*I404, 2)</f>
        <v>39487.760000000002</v>
      </c>
      <c r="N404" s="12"/>
      <c r="O404" s="12"/>
      <c r="P404" s="35">
        <v>8.6</v>
      </c>
      <c r="Q404" s="12"/>
      <c r="R404" s="12"/>
      <c r="S404" s="35">
        <f>ROUND(ROUND(P404, 2)*I404, 2)</f>
        <v>39487.760000000002</v>
      </c>
      <c r="T404" s="12"/>
      <c r="U404" s="36"/>
      <c r="V404" s="9">
        <f>ROUND(ROUND(P404, 2)/1.2, 2)</f>
        <v>7.17</v>
      </c>
      <c r="Y404" s="9">
        <f t="shared" si="104"/>
        <v>32906.47</v>
      </c>
      <c r="AD404" s="4" t="s">
        <v>1257</v>
      </c>
      <c r="AE404" s="4" t="s">
        <v>1258</v>
      </c>
      <c r="AF404" s="4" t="s">
        <v>1185</v>
      </c>
    </row>
    <row r="405" spans="1:35" ht="37.5" x14ac:dyDescent="0.25">
      <c r="A405" s="11" t="s">
        <v>1259</v>
      </c>
      <c r="B405" s="11"/>
      <c r="C405" s="31" t="s">
        <v>1187</v>
      </c>
      <c r="D405" s="21"/>
      <c r="E405" s="21"/>
      <c r="F405" s="32" t="s">
        <v>56</v>
      </c>
      <c r="G405" s="33">
        <v>1.1000000000000001</v>
      </c>
      <c r="H405" s="21"/>
      <c r="I405" s="33">
        <v>97.13</v>
      </c>
      <c r="J405" s="35">
        <v>66.150000000000006</v>
      </c>
      <c r="K405" s="12"/>
      <c r="L405" s="12"/>
      <c r="M405" s="35">
        <f>ROUND(ROUND(J405, 2)*I405, 2)</f>
        <v>6425.15</v>
      </c>
      <c r="N405" s="12"/>
      <c r="O405" s="12"/>
      <c r="P405" s="35">
        <v>66.150000000000006</v>
      </c>
      <c r="Q405" s="12"/>
      <c r="R405" s="12"/>
      <c r="S405" s="35">
        <f>ROUND(ROUND(P405, 2)*I405, 2)</f>
        <v>6425.15</v>
      </c>
      <c r="T405" s="12"/>
      <c r="U405" s="36"/>
      <c r="V405" s="9">
        <f>ROUND(ROUND(P405, 2)/1.2, 2)</f>
        <v>55.13</v>
      </c>
      <c r="Y405" s="9">
        <f t="shared" si="104"/>
        <v>5354.29</v>
      </c>
      <c r="AD405" s="4" t="s">
        <v>1260</v>
      </c>
      <c r="AE405" s="4" t="s">
        <v>1261</v>
      </c>
      <c r="AF405" s="4" t="s">
        <v>1190</v>
      </c>
    </row>
    <row r="406" spans="1:35" ht="18.75" x14ac:dyDescent="0.25">
      <c r="A406" s="11" t="s">
        <v>1262</v>
      </c>
      <c r="B406" s="11"/>
      <c r="C406" s="31" t="s">
        <v>1192</v>
      </c>
      <c r="D406" s="21"/>
      <c r="E406" s="21"/>
      <c r="F406" s="32" t="s">
        <v>123</v>
      </c>
      <c r="G406" s="33">
        <v>1</v>
      </c>
      <c r="H406" s="21"/>
      <c r="I406" s="34">
        <v>69</v>
      </c>
      <c r="J406" s="35">
        <v>15.76</v>
      </c>
      <c r="K406" s="12"/>
      <c r="L406" s="12"/>
      <c r="M406" s="35">
        <f>ROUND(ROUND(J406, 2)*I406, 2)</f>
        <v>1087.44</v>
      </c>
      <c r="N406" s="12"/>
      <c r="O406" s="12"/>
      <c r="P406" s="35">
        <v>15.76</v>
      </c>
      <c r="Q406" s="12"/>
      <c r="R406" s="12"/>
      <c r="S406" s="35">
        <f>ROUND(ROUND(P406, 2)*I406, 2)</f>
        <v>1087.44</v>
      </c>
      <c r="T406" s="12"/>
      <c r="U406" s="36"/>
      <c r="V406" s="9">
        <f>ROUND(ROUND(P406, 2)/1.2, 2)</f>
        <v>13.13</v>
      </c>
      <c r="Y406" s="9">
        <f t="shared" si="104"/>
        <v>906.2</v>
      </c>
      <c r="AD406" s="4" t="s">
        <v>1263</v>
      </c>
      <c r="AE406" s="4" t="s">
        <v>1264</v>
      </c>
      <c r="AF406" s="4" t="s">
        <v>1195</v>
      </c>
    </row>
    <row r="407" spans="1:35" ht="37.5" x14ac:dyDescent="0.25">
      <c r="A407" s="11" t="s">
        <v>1265</v>
      </c>
      <c r="B407" s="11"/>
      <c r="C407" s="31" t="s">
        <v>490</v>
      </c>
      <c r="D407" s="21"/>
      <c r="E407" s="21"/>
      <c r="F407" s="32" t="s">
        <v>81</v>
      </c>
      <c r="G407" s="33">
        <v>0.15</v>
      </c>
      <c r="H407" s="21"/>
      <c r="I407" s="33">
        <v>13.244999999999999</v>
      </c>
      <c r="J407" s="35">
        <v>88.8</v>
      </c>
      <c r="K407" s="12"/>
      <c r="L407" s="12"/>
      <c r="M407" s="35">
        <f>ROUND(ROUND(J407, 2)*I407, 2)</f>
        <v>1176.1600000000001</v>
      </c>
      <c r="N407" s="12"/>
      <c r="O407" s="12"/>
      <c r="P407" s="35">
        <v>88.8</v>
      </c>
      <c r="Q407" s="12"/>
      <c r="R407" s="12"/>
      <c r="S407" s="35">
        <f>ROUND(ROUND(P407, 2)*I407, 2)</f>
        <v>1176.1600000000001</v>
      </c>
      <c r="T407" s="12"/>
      <c r="U407" s="36"/>
      <c r="V407" s="9">
        <f>ROUND(ROUND(P407, 2)/1.2, 2)</f>
        <v>74</v>
      </c>
      <c r="Y407" s="9">
        <f t="shared" si="104"/>
        <v>980.13</v>
      </c>
      <c r="AD407" s="4" t="s">
        <v>1266</v>
      </c>
      <c r="AE407" s="4" t="s">
        <v>1267</v>
      </c>
      <c r="AF407" s="4" t="s">
        <v>493</v>
      </c>
    </row>
    <row r="408" spans="1:35" ht="75" x14ac:dyDescent="0.25">
      <c r="A408" s="11" t="s">
        <v>1268</v>
      </c>
      <c r="B408" s="11" t="s">
        <v>1269</v>
      </c>
      <c r="C408" s="20" t="s">
        <v>1270</v>
      </c>
      <c r="D408" s="21" t="s">
        <v>1236</v>
      </c>
      <c r="E408" s="21" t="s">
        <v>76</v>
      </c>
      <c r="F408" s="21" t="s">
        <v>56</v>
      </c>
      <c r="G408" s="22">
        <v>1</v>
      </c>
      <c r="H408" s="21"/>
      <c r="I408" s="22">
        <v>46.38</v>
      </c>
      <c r="J408" s="23">
        <f>IFERROR(ROUND(SUM(M409,M410,M411,M412)/I408, 2),0)</f>
        <v>780.8</v>
      </c>
      <c r="K408" s="23">
        <v>1398</v>
      </c>
      <c r="L408" s="23">
        <f>J408+ROUND(K408, 2)</f>
        <v>2178.8000000000002</v>
      </c>
      <c r="M408" s="23">
        <f>ROUND(J408*I408, 2)</f>
        <v>36213.5</v>
      </c>
      <c r="N408" s="23">
        <f>ROUND(I408*ROUND(K408, 2), 2)</f>
        <v>64839.24</v>
      </c>
      <c r="O408" s="23">
        <f>M408+N408</f>
        <v>101052.74</v>
      </c>
      <c r="P408" s="23">
        <f>IFERROR(ROUND(SUM(S409,S410,S411,S412)/I408, 2),0)</f>
        <v>780.8</v>
      </c>
      <c r="Q408" s="23">
        <v>1398</v>
      </c>
      <c r="R408" s="23">
        <f>P408+ROUND(Q408, 2)</f>
        <v>2178.8000000000002</v>
      </c>
      <c r="S408" s="23">
        <f>ROUND(P408*I408, 2)</f>
        <v>36213.5</v>
      </c>
      <c r="T408" s="23">
        <f>ROUND(I408*ROUND(Q408, 2), 2)</f>
        <v>64839.24</v>
      </c>
      <c r="U408" s="23">
        <f>S408+T408</f>
        <v>101052.74</v>
      </c>
      <c r="V408" s="9">
        <f>ROUND(P408 / 1.2, 2)</f>
        <v>650.66999999999996</v>
      </c>
      <c r="W408" s="9">
        <f>ROUND(Q408 / 1.2, 2)</f>
        <v>1165</v>
      </c>
      <c r="X408" s="9">
        <f>ROUND(R408 / 1.2, 2)</f>
        <v>1815.67</v>
      </c>
      <c r="Y408" s="9">
        <f t="shared" si="104"/>
        <v>30177.919999999998</v>
      </c>
      <c r="Z408" s="9">
        <f>ROUND(T408 / 1.2, 2)</f>
        <v>54032.7</v>
      </c>
      <c r="AA408" s="9">
        <f>Y408+Z408</f>
        <v>84210.62</v>
      </c>
      <c r="AD408" s="4">
        <v>264030303</v>
      </c>
      <c r="AE408" s="4">
        <v>18539039</v>
      </c>
      <c r="AG408" s="4" t="s">
        <v>1271</v>
      </c>
      <c r="AH408" s="4" t="s">
        <v>1272</v>
      </c>
      <c r="AI408" s="4" t="s">
        <v>249</v>
      </c>
    </row>
    <row r="409" spans="1:35" ht="37.5" x14ac:dyDescent="0.25">
      <c r="A409" s="11" t="s">
        <v>1273</v>
      </c>
      <c r="B409" s="11"/>
      <c r="C409" s="31" t="s">
        <v>1181</v>
      </c>
      <c r="D409" s="21"/>
      <c r="E409" s="21" t="s">
        <v>1182</v>
      </c>
      <c r="F409" s="32" t="s">
        <v>81</v>
      </c>
      <c r="G409" s="33">
        <v>1.3</v>
      </c>
      <c r="H409" s="21"/>
      <c r="I409" s="34">
        <v>3617.64</v>
      </c>
      <c r="J409" s="35">
        <v>8.6</v>
      </c>
      <c r="K409" s="12"/>
      <c r="L409" s="12"/>
      <c r="M409" s="35">
        <f>ROUND(ROUND(J409, 2)*I409, 2)</f>
        <v>31111.7</v>
      </c>
      <c r="N409" s="12"/>
      <c r="O409" s="12"/>
      <c r="P409" s="35">
        <v>8.6</v>
      </c>
      <c r="Q409" s="12"/>
      <c r="R409" s="12"/>
      <c r="S409" s="35">
        <f>ROUND(ROUND(P409, 2)*I409, 2)</f>
        <v>31111.7</v>
      </c>
      <c r="T409" s="12"/>
      <c r="U409" s="36"/>
      <c r="V409" s="9">
        <f>ROUND(ROUND(P409, 2)/1.2, 2)</f>
        <v>7.17</v>
      </c>
      <c r="Y409" s="9">
        <f t="shared" si="104"/>
        <v>25926.42</v>
      </c>
      <c r="AD409" s="4" t="s">
        <v>1274</v>
      </c>
      <c r="AE409" s="4" t="s">
        <v>1275</v>
      </c>
      <c r="AF409" s="4" t="s">
        <v>1185</v>
      </c>
    </row>
    <row r="410" spans="1:35" ht="37.5" x14ac:dyDescent="0.25">
      <c r="A410" s="11" t="s">
        <v>1276</v>
      </c>
      <c r="B410" s="11"/>
      <c r="C410" s="31" t="s">
        <v>1187</v>
      </c>
      <c r="D410" s="21"/>
      <c r="E410" s="21"/>
      <c r="F410" s="32" t="s">
        <v>56</v>
      </c>
      <c r="G410" s="33">
        <v>1.1000000000000001</v>
      </c>
      <c r="H410" s="21"/>
      <c r="I410" s="33">
        <v>51.018000000000001</v>
      </c>
      <c r="J410" s="35">
        <v>66.150000000000006</v>
      </c>
      <c r="K410" s="12"/>
      <c r="L410" s="12"/>
      <c r="M410" s="35">
        <f>ROUND(ROUND(J410, 2)*I410, 2)</f>
        <v>3374.84</v>
      </c>
      <c r="N410" s="12"/>
      <c r="O410" s="12"/>
      <c r="P410" s="35">
        <v>66.150000000000006</v>
      </c>
      <c r="Q410" s="12"/>
      <c r="R410" s="12"/>
      <c r="S410" s="35">
        <f>ROUND(ROUND(P410, 2)*I410, 2)</f>
        <v>3374.84</v>
      </c>
      <c r="T410" s="12"/>
      <c r="U410" s="36"/>
      <c r="V410" s="9">
        <f>ROUND(ROUND(P410, 2)/1.2, 2)</f>
        <v>55.13</v>
      </c>
      <c r="Y410" s="9">
        <f t="shared" si="104"/>
        <v>2812.37</v>
      </c>
      <c r="AD410" s="4" t="s">
        <v>1277</v>
      </c>
      <c r="AE410" s="4" t="s">
        <v>1278</v>
      </c>
      <c r="AF410" s="4" t="s">
        <v>1190</v>
      </c>
    </row>
    <row r="411" spans="1:35" ht="18.75" x14ac:dyDescent="0.25">
      <c r="A411" s="11" t="s">
        <v>1279</v>
      </c>
      <c r="B411" s="11"/>
      <c r="C411" s="31" t="s">
        <v>1192</v>
      </c>
      <c r="D411" s="21"/>
      <c r="E411" s="21"/>
      <c r="F411" s="32" t="s">
        <v>123</v>
      </c>
      <c r="G411" s="33">
        <v>1</v>
      </c>
      <c r="H411" s="21"/>
      <c r="I411" s="34">
        <v>36</v>
      </c>
      <c r="J411" s="35">
        <v>15.76</v>
      </c>
      <c r="K411" s="12"/>
      <c r="L411" s="12"/>
      <c r="M411" s="35">
        <f>ROUND(ROUND(J411, 2)*I411, 2)</f>
        <v>567.36</v>
      </c>
      <c r="N411" s="12"/>
      <c r="O411" s="12"/>
      <c r="P411" s="35">
        <v>15.76</v>
      </c>
      <c r="Q411" s="12"/>
      <c r="R411" s="12"/>
      <c r="S411" s="35">
        <f>ROUND(ROUND(P411, 2)*I411, 2)</f>
        <v>567.36</v>
      </c>
      <c r="T411" s="12"/>
      <c r="U411" s="36"/>
      <c r="V411" s="9">
        <f>ROUND(ROUND(P411, 2)/1.2, 2)</f>
        <v>13.13</v>
      </c>
      <c r="Y411" s="9">
        <f t="shared" si="104"/>
        <v>472.8</v>
      </c>
      <c r="AD411" s="4" t="s">
        <v>1280</v>
      </c>
      <c r="AE411" s="4" t="s">
        <v>1281</v>
      </c>
      <c r="AF411" s="4" t="s">
        <v>1195</v>
      </c>
    </row>
    <row r="412" spans="1:35" ht="18.75" x14ac:dyDescent="0.25">
      <c r="A412" s="11" t="s">
        <v>1282</v>
      </c>
      <c r="B412" s="11"/>
      <c r="C412" s="31" t="s">
        <v>313</v>
      </c>
      <c r="D412" s="21"/>
      <c r="E412" s="21"/>
      <c r="F412" s="32" t="s">
        <v>81</v>
      </c>
      <c r="G412" s="33">
        <v>0.25</v>
      </c>
      <c r="H412" s="21"/>
      <c r="I412" s="33">
        <v>11.595000000000001</v>
      </c>
      <c r="J412" s="35">
        <v>100</v>
      </c>
      <c r="K412" s="12"/>
      <c r="L412" s="12"/>
      <c r="M412" s="35">
        <f>ROUND(ROUND(J412, 2)*I412, 2)</f>
        <v>1159.5</v>
      </c>
      <c r="N412" s="12"/>
      <c r="O412" s="12"/>
      <c r="P412" s="35">
        <v>100</v>
      </c>
      <c r="Q412" s="12"/>
      <c r="R412" s="12"/>
      <c r="S412" s="35">
        <f>ROUND(ROUND(P412, 2)*I412, 2)</f>
        <v>1159.5</v>
      </c>
      <c r="T412" s="12"/>
      <c r="U412" s="36"/>
      <c r="V412" s="9">
        <f>ROUND(ROUND(P412, 2)/1.2, 2)</f>
        <v>83.33</v>
      </c>
      <c r="Y412" s="9">
        <f t="shared" si="104"/>
        <v>966.25</v>
      </c>
      <c r="AD412" s="4" t="s">
        <v>1283</v>
      </c>
      <c r="AE412" s="4" t="s">
        <v>1284</v>
      </c>
      <c r="AF412" s="4" t="s">
        <v>316</v>
      </c>
    </row>
    <row r="413" spans="1:35" ht="75" x14ac:dyDescent="0.25">
      <c r="A413" s="11" t="s">
        <v>1285</v>
      </c>
      <c r="B413" s="11" t="s">
        <v>1286</v>
      </c>
      <c r="C413" s="20" t="s">
        <v>1287</v>
      </c>
      <c r="D413" s="21" t="s">
        <v>1236</v>
      </c>
      <c r="E413" s="21" t="s">
        <v>76</v>
      </c>
      <c r="F413" s="21" t="s">
        <v>56</v>
      </c>
      <c r="G413" s="22">
        <v>1</v>
      </c>
      <c r="H413" s="21"/>
      <c r="I413" s="22">
        <v>246.63</v>
      </c>
      <c r="J413" s="23">
        <f>IFERROR(ROUND(SUM(M414,M415,M416,M417)/I413, 2),0)</f>
        <v>331.72</v>
      </c>
      <c r="K413" s="23">
        <v>1074</v>
      </c>
      <c r="L413" s="23">
        <f>J413+ROUND(K413, 2)</f>
        <v>1405.72</v>
      </c>
      <c r="M413" s="23">
        <f>ROUND(J413*I413, 2)</f>
        <v>81812.100000000006</v>
      </c>
      <c r="N413" s="23">
        <f>ROUND(I413*ROUND(K413, 2), 2)</f>
        <v>264880.62</v>
      </c>
      <c r="O413" s="23">
        <f>M413+N413</f>
        <v>346692.72</v>
      </c>
      <c r="P413" s="23">
        <f>IFERROR(ROUND(SUM(S414,S415,S416,S417)/I413, 2),0)</f>
        <v>331.72</v>
      </c>
      <c r="Q413" s="23">
        <v>1074</v>
      </c>
      <c r="R413" s="23">
        <f>P413+ROUND(Q413, 2)</f>
        <v>1405.72</v>
      </c>
      <c r="S413" s="23">
        <f>ROUND(P413*I413, 2)</f>
        <v>81812.100000000006</v>
      </c>
      <c r="T413" s="23">
        <f>ROUND(I413*ROUND(Q413, 2), 2)</f>
        <v>264880.62</v>
      </c>
      <c r="U413" s="23">
        <f>S413+T413</f>
        <v>346692.72</v>
      </c>
      <c r="V413" s="9">
        <f>ROUND(P413 / 1.2, 2)</f>
        <v>276.43</v>
      </c>
      <c r="W413" s="9">
        <f>ROUND(Q413 / 1.2, 2)</f>
        <v>895</v>
      </c>
      <c r="X413" s="9">
        <f>ROUND(R413 / 1.2, 2)</f>
        <v>1171.43</v>
      </c>
      <c r="Y413" s="9">
        <f t="shared" si="104"/>
        <v>68176.75</v>
      </c>
      <c r="Z413" s="9">
        <f>ROUND(T413 / 1.2, 2)</f>
        <v>220733.85</v>
      </c>
      <c r="AA413" s="9">
        <f>Y413+Z413</f>
        <v>288910.59999999998</v>
      </c>
      <c r="AD413" s="4">
        <v>264030304</v>
      </c>
      <c r="AE413" s="4">
        <v>18539040</v>
      </c>
      <c r="AG413" s="4" t="s">
        <v>1288</v>
      </c>
      <c r="AH413" s="4" t="s">
        <v>1289</v>
      </c>
      <c r="AI413" s="4" t="s">
        <v>249</v>
      </c>
    </row>
    <row r="414" spans="1:35" ht="37.5" x14ac:dyDescent="0.25">
      <c r="A414" s="11" t="s">
        <v>1290</v>
      </c>
      <c r="B414" s="11"/>
      <c r="C414" s="31" t="s">
        <v>1181</v>
      </c>
      <c r="D414" s="21"/>
      <c r="E414" s="21" t="s">
        <v>1182</v>
      </c>
      <c r="F414" s="32" t="s">
        <v>81</v>
      </c>
      <c r="G414" s="33">
        <v>1.3</v>
      </c>
      <c r="H414" s="21"/>
      <c r="I414" s="34">
        <v>6412.38</v>
      </c>
      <c r="J414" s="35">
        <v>8.6</v>
      </c>
      <c r="K414" s="12"/>
      <c r="L414" s="12"/>
      <c r="M414" s="35">
        <f>ROUND(ROUND(J414, 2)*I414, 2)</f>
        <v>55146.47</v>
      </c>
      <c r="N414" s="12"/>
      <c r="O414" s="12"/>
      <c r="P414" s="35">
        <v>8.6</v>
      </c>
      <c r="Q414" s="12"/>
      <c r="R414" s="12"/>
      <c r="S414" s="35">
        <f>ROUND(ROUND(P414, 2)*I414, 2)</f>
        <v>55146.47</v>
      </c>
      <c r="T414" s="12"/>
      <c r="U414" s="36"/>
      <c r="V414" s="9">
        <f>ROUND(ROUND(P414, 2)/1.2, 2)</f>
        <v>7.17</v>
      </c>
      <c r="Y414" s="9">
        <f t="shared" si="104"/>
        <v>45955.39</v>
      </c>
      <c r="AD414" s="4" t="s">
        <v>1291</v>
      </c>
      <c r="AE414" s="4" t="s">
        <v>1292</v>
      </c>
      <c r="AF414" s="4" t="s">
        <v>1185</v>
      </c>
    </row>
    <row r="415" spans="1:35" ht="37.5" x14ac:dyDescent="0.25">
      <c r="A415" s="11" t="s">
        <v>1293</v>
      </c>
      <c r="B415" s="11"/>
      <c r="C415" s="31" t="s">
        <v>1187</v>
      </c>
      <c r="D415" s="21"/>
      <c r="E415" s="21"/>
      <c r="F415" s="32" t="s">
        <v>56</v>
      </c>
      <c r="G415" s="33">
        <v>1.1000000000000001</v>
      </c>
      <c r="H415" s="21"/>
      <c r="I415" s="33">
        <v>271.29300000000001</v>
      </c>
      <c r="J415" s="35">
        <v>66.150000000000006</v>
      </c>
      <c r="K415" s="12"/>
      <c r="L415" s="12"/>
      <c r="M415" s="35">
        <f>ROUND(ROUND(J415, 2)*I415, 2)</f>
        <v>17946.03</v>
      </c>
      <c r="N415" s="12"/>
      <c r="O415" s="12"/>
      <c r="P415" s="35">
        <v>66.150000000000006</v>
      </c>
      <c r="Q415" s="12"/>
      <c r="R415" s="12"/>
      <c r="S415" s="35">
        <f>ROUND(ROUND(P415, 2)*I415, 2)</f>
        <v>17946.03</v>
      </c>
      <c r="T415" s="12"/>
      <c r="U415" s="36"/>
      <c r="V415" s="9">
        <f>ROUND(ROUND(P415, 2)/1.2, 2)</f>
        <v>55.13</v>
      </c>
      <c r="Y415" s="9">
        <f t="shared" si="104"/>
        <v>14955.03</v>
      </c>
      <c r="AD415" s="4" t="s">
        <v>1294</v>
      </c>
      <c r="AE415" s="4" t="s">
        <v>1295</v>
      </c>
      <c r="AF415" s="4" t="s">
        <v>1190</v>
      </c>
    </row>
    <row r="416" spans="1:35" ht="18.75" x14ac:dyDescent="0.25">
      <c r="A416" s="11" t="s">
        <v>1296</v>
      </c>
      <c r="B416" s="11"/>
      <c r="C416" s="31" t="s">
        <v>1192</v>
      </c>
      <c r="D416" s="21"/>
      <c r="E416" s="21"/>
      <c r="F416" s="32" t="s">
        <v>123</v>
      </c>
      <c r="G416" s="33">
        <v>1</v>
      </c>
      <c r="H416" s="21"/>
      <c r="I416" s="34">
        <v>162</v>
      </c>
      <c r="J416" s="35">
        <v>15.76</v>
      </c>
      <c r="K416" s="12"/>
      <c r="L416" s="12"/>
      <c r="M416" s="35">
        <f>ROUND(ROUND(J416, 2)*I416, 2)</f>
        <v>2553.12</v>
      </c>
      <c r="N416" s="12"/>
      <c r="O416" s="12"/>
      <c r="P416" s="35">
        <v>15.76</v>
      </c>
      <c r="Q416" s="12"/>
      <c r="R416" s="12"/>
      <c r="S416" s="35">
        <f>ROUND(ROUND(P416, 2)*I416, 2)</f>
        <v>2553.12</v>
      </c>
      <c r="T416" s="12"/>
      <c r="U416" s="36"/>
      <c r="V416" s="9">
        <f>ROUND(ROUND(P416, 2)/1.2, 2)</f>
        <v>13.13</v>
      </c>
      <c r="Y416" s="9">
        <f t="shared" si="104"/>
        <v>2127.6</v>
      </c>
      <c r="AD416" s="4" t="s">
        <v>1297</v>
      </c>
      <c r="AE416" s="4" t="s">
        <v>1298</v>
      </c>
      <c r="AF416" s="4" t="s">
        <v>1195</v>
      </c>
    </row>
    <row r="417" spans="1:35" ht="18.75" x14ac:dyDescent="0.25">
      <c r="A417" s="11" t="s">
        <v>1299</v>
      </c>
      <c r="B417" s="11"/>
      <c r="C417" s="31" t="s">
        <v>313</v>
      </c>
      <c r="D417" s="21"/>
      <c r="E417" s="21"/>
      <c r="F417" s="32" t="s">
        <v>81</v>
      </c>
      <c r="G417" s="33">
        <v>0.25</v>
      </c>
      <c r="H417" s="21"/>
      <c r="I417" s="33">
        <v>61.658000000000001</v>
      </c>
      <c r="J417" s="35">
        <v>100</v>
      </c>
      <c r="K417" s="12"/>
      <c r="L417" s="12"/>
      <c r="M417" s="35">
        <f>ROUND(ROUND(J417, 2)*I417, 2)</f>
        <v>6165.8</v>
      </c>
      <c r="N417" s="12"/>
      <c r="O417" s="12"/>
      <c r="P417" s="35">
        <v>100</v>
      </c>
      <c r="Q417" s="12"/>
      <c r="R417" s="12"/>
      <c r="S417" s="35">
        <f>ROUND(ROUND(P417, 2)*I417, 2)</f>
        <v>6165.8</v>
      </c>
      <c r="T417" s="12"/>
      <c r="U417" s="36"/>
      <c r="V417" s="9">
        <f>ROUND(ROUND(P417, 2)/1.2, 2)</f>
        <v>83.33</v>
      </c>
      <c r="Y417" s="9">
        <f t="shared" si="104"/>
        <v>5138.17</v>
      </c>
      <c r="AD417" s="4" t="s">
        <v>1300</v>
      </c>
      <c r="AE417" s="4" t="s">
        <v>1301</v>
      </c>
      <c r="AF417" s="4" t="s">
        <v>316</v>
      </c>
    </row>
    <row r="418" spans="1:35" ht="75" x14ac:dyDescent="0.25">
      <c r="A418" s="11" t="s">
        <v>1302</v>
      </c>
      <c r="B418" s="11" t="s">
        <v>1303</v>
      </c>
      <c r="C418" s="20" t="s">
        <v>1304</v>
      </c>
      <c r="D418" s="21" t="s">
        <v>1236</v>
      </c>
      <c r="E418" s="21" t="s">
        <v>76</v>
      </c>
      <c r="F418" s="21" t="s">
        <v>56</v>
      </c>
      <c r="G418" s="22">
        <v>1</v>
      </c>
      <c r="H418" s="21"/>
      <c r="I418" s="22">
        <v>88.82</v>
      </c>
      <c r="J418" s="23">
        <f>IFERROR(ROUND(SUM(M419,M420,M421,M422)/I418, 2),0)</f>
        <v>543.75</v>
      </c>
      <c r="K418" s="23">
        <v>1312</v>
      </c>
      <c r="L418" s="23">
        <f>J418+ROUND(K418, 2)</f>
        <v>1855.75</v>
      </c>
      <c r="M418" s="23">
        <f>ROUND(J418*I418, 2)</f>
        <v>48295.88</v>
      </c>
      <c r="N418" s="23">
        <f>ROUND(I418*ROUND(K418, 2), 2)</f>
        <v>116531.84</v>
      </c>
      <c r="O418" s="23">
        <f>M418+N418</f>
        <v>164827.72</v>
      </c>
      <c r="P418" s="23">
        <f>IFERROR(ROUND(SUM(S419,S420,S421,S422)/I418, 2),0)</f>
        <v>543.75</v>
      </c>
      <c r="Q418" s="23">
        <v>1312</v>
      </c>
      <c r="R418" s="23">
        <f>P418+ROUND(Q418, 2)</f>
        <v>1855.75</v>
      </c>
      <c r="S418" s="23">
        <f>ROUND(P418*I418, 2)</f>
        <v>48295.88</v>
      </c>
      <c r="T418" s="23">
        <f>ROUND(I418*ROUND(Q418, 2), 2)</f>
        <v>116531.84</v>
      </c>
      <c r="U418" s="23">
        <f>S418+T418</f>
        <v>164827.72</v>
      </c>
      <c r="V418" s="9">
        <f>ROUND(P418 / 1.2, 2)</f>
        <v>453.13</v>
      </c>
      <c r="W418" s="9">
        <f>ROUND(Q418 / 1.2, 2)</f>
        <v>1093.33</v>
      </c>
      <c r="X418" s="9">
        <f>ROUND(R418 / 1.2, 2)</f>
        <v>1546.46</v>
      </c>
      <c r="Y418" s="9">
        <f t="shared" si="104"/>
        <v>40246.57</v>
      </c>
      <c r="Z418" s="9">
        <f>ROUND(T418 / 1.2, 2)</f>
        <v>97109.87</v>
      </c>
      <c r="AA418" s="9">
        <f>Y418+Z418</f>
        <v>137356.44</v>
      </c>
      <c r="AD418" s="4">
        <v>264030305</v>
      </c>
      <c r="AE418" s="4">
        <v>18539041</v>
      </c>
      <c r="AG418" s="4" t="s">
        <v>1305</v>
      </c>
      <c r="AH418" s="4" t="s">
        <v>1306</v>
      </c>
      <c r="AI418" s="4" t="s">
        <v>249</v>
      </c>
    </row>
    <row r="419" spans="1:35" ht="37.5" x14ac:dyDescent="0.25">
      <c r="A419" s="11" t="s">
        <v>1307</v>
      </c>
      <c r="B419" s="11"/>
      <c r="C419" s="31" t="s">
        <v>1181</v>
      </c>
      <c r="D419" s="21"/>
      <c r="E419" s="21" t="s">
        <v>1182</v>
      </c>
      <c r="F419" s="32" t="s">
        <v>81</v>
      </c>
      <c r="G419" s="33">
        <v>1.3</v>
      </c>
      <c r="H419" s="21"/>
      <c r="I419" s="34">
        <v>4618.6400000000003</v>
      </c>
      <c r="J419" s="35">
        <v>8.6</v>
      </c>
      <c r="K419" s="12"/>
      <c r="L419" s="12"/>
      <c r="M419" s="35">
        <f>ROUND(ROUND(J419, 2)*I419, 2)</f>
        <v>39720.300000000003</v>
      </c>
      <c r="N419" s="12"/>
      <c r="O419" s="12"/>
      <c r="P419" s="35">
        <v>8.6</v>
      </c>
      <c r="Q419" s="12"/>
      <c r="R419" s="12"/>
      <c r="S419" s="35">
        <f>ROUND(ROUND(P419, 2)*I419, 2)</f>
        <v>39720.300000000003</v>
      </c>
      <c r="T419" s="12"/>
      <c r="U419" s="36"/>
      <c r="V419" s="9">
        <f>ROUND(ROUND(P419, 2)/1.2, 2)</f>
        <v>7.17</v>
      </c>
      <c r="Y419" s="9">
        <f t="shared" si="104"/>
        <v>33100.25</v>
      </c>
      <c r="AD419" s="4" t="s">
        <v>1308</v>
      </c>
      <c r="AE419" s="4" t="s">
        <v>1309</v>
      </c>
      <c r="AF419" s="4" t="s">
        <v>1185</v>
      </c>
    </row>
    <row r="420" spans="1:35" ht="37.5" x14ac:dyDescent="0.25">
      <c r="A420" s="11" t="s">
        <v>1310</v>
      </c>
      <c r="B420" s="11"/>
      <c r="C420" s="31" t="s">
        <v>490</v>
      </c>
      <c r="D420" s="21"/>
      <c r="E420" s="21"/>
      <c r="F420" s="32" t="s">
        <v>81</v>
      </c>
      <c r="G420" s="33">
        <v>0.15</v>
      </c>
      <c r="H420" s="21"/>
      <c r="I420" s="33">
        <v>13.323</v>
      </c>
      <c r="J420" s="35">
        <v>88.8</v>
      </c>
      <c r="K420" s="12"/>
      <c r="L420" s="12"/>
      <c r="M420" s="35">
        <f>ROUND(ROUND(J420, 2)*I420, 2)</f>
        <v>1183.08</v>
      </c>
      <c r="N420" s="12"/>
      <c r="O420" s="12"/>
      <c r="P420" s="35">
        <v>88.8</v>
      </c>
      <c r="Q420" s="12"/>
      <c r="R420" s="12"/>
      <c r="S420" s="35">
        <f>ROUND(ROUND(P420, 2)*I420, 2)</f>
        <v>1183.08</v>
      </c>
      <c r="T420" s="12"/>
      <c r="U420" s="36"/>
      <c r="V420" s="9">
        <f>ROUND(ROUND(P420, 2)/1.2, 2)</f>
        <v>74</v>
      </c>
      <c r="Y420" s="9">
        <f t="shared" si="104"/>
        <v>985.9</v>
      </c>
      <c r="AD420" s="4" t="s">
        <v>1311</v>
      </c>
      <c r="AE420" s="4" t="s">
        <v>1312</v>
      </c>
      <c r="AF420" s="4" t="s">
        <v>493</v>
      </c>
    </row>
    <row r="421" spans="1:35" ht="37.5" x14ac:dyDescent="0.25">
      <c r="A421" s="11" t="s">
        <v>1313</v>
      </c>
      <c r="B421" s="11"/>
      <c r="C421" s="31" t="s">
        <v>1187</v>
      </c>
      <c r="D421" s="21"/>
      <c r="E421" s="21"/>
      <c r="F421" s="32" t="s">
        <v>56</v>
      </c>
      <c r="G421" s="33">
        <v>1.1000000000000001</v>
      </c>
      <c r="H421" s="21"/>
      <c r="I421" s="33">
        <v>97.701999999999998</v>
      </c>
      <c r="J421" s="35">
        <v>66.150000000000006</v>
      </c>
      <c r="K421" s="12"/>
      <c r="L421" s="12"/>
      <c r="M421" s="35">
        <f>ROUND(ROUND(J421, 2)*I421, 2)</f>
        <v>6462.99</v>
      </c>
      <c r="N421" s="12"/>
      <c r="O421" s="12"/>
      <c r="P421" s="35">
        <v>66.150000000000006</v>
      </c>
      <c r="Q421" s="12"/>
      <c r="R421" s="12"/>
      <c r="S421" s="35">
        <f>ROUND(ROUND(P421, 2)*I421, 2)</f>
        <v>6462.99</v>
      </c>
      <c r="T421" s="12"/>
      <c r="U421" s="36"/>
      <c r="V421" s="9">
        <f>ROUND(ROUND(P421, 2)/1.2, 2)</f>
        <v>55.13</v>
      </c>
      <c r="Y421" s="9">
        <f t="shared" si="104"/>
        <v>5385.83</v>
      </c>
      <c r="AD421" s="4" t="s">
        <v>1314</v>
      </c>
      <c r="AE421" s="4" t="s">
        <v>1315</v>
      </c>
      <c r="AF421" s="4" t="s">
        <v>1190</v>
      </c>
    </row>
    <row r="422" spans="1:35" ht="18.75" x14ac:dyDescent="0.25">
      <c r="A422" s="11" t="s">
        <v>1316</v>
      </c>
      <c r="B422" s="11"/>
      <c r="C422" s="31" t="s">
        <v>1192</v>
      </c>
      <c r="D422" s="21"/>
      <c r="E422" s="21"/>
      <c r="F422" s="32" t="s">
        <v>123</v>
      </c>
      <c r="G422" s="33">
        <v>1</v>
      </c>
      <c r="H422" s="21"/>
      <c r="I422" s="34">
        <v>59</v>
      </c>
      <c r="J422" s="35">
        <v>15.76</v>
      </c>
      <c r="K422" s="12"/>
      <c r="L422" s="12"/>
      <c r="M422" s="35">
        <f>ROUND(ROUND(J422, 2)*I422, 2)</f>
        <v>929.84</v>
      </c>
      <c r="N422" s="12"/>
      <c r="O422" s="12"/>
      <c r="P422" s="35">
        <v>15.76</v>
      </c>
      <c r="Q422" s="12"/>
      <c r="R422" s="12"/>
      <c r="S422" s="35">
        <f>ROUND(ROUND(P422, 2)*I422, 2)</f>
        <v>929.84</v>
      </c>
      <c r="T422" s="12"/>
      <c r="U422" s="36"/>
      <c r="V422" s="9">
        <f>ROUND(ROUND(P422, 2)/1.2, 2)</f>
        <v>13.13</v>
      </c>
      <c r="Y422" s="9">
        <f t="shared" si="104"/>
        <v>774.87</v>
      </c>
      <c r="AD422" s="4" t="s">
        <v>1317</v>
      </c>
      <c r="AE422" s="4" t="s">
        <v>1318</v>
      </c>
      <c r="AF422" s="4" t="s">
        <v>1195</v>
      </c>
    </row>
    <row r="423" spans="1:35" ht="75" x14ac:dyDescent="0.25">
      <c r="A423" s="11" t="s">
        <v>1319</v>
      </c>
      <c r="B423" s="11" t="s">
        <v>1320</v>
      </c>
      <c r="C423" s="20" t="s">
        <v>1321</v>
      </c>
      <c r="D423" s="21" t="s">
        <v>1236</v>
      </c>
      <c r="E423" s="21" t="s">
        <v>76</v>
      </c>
      <c r="F423" s="21" t="s">
        <v>56</v>
      </c>
      <c r="G423" s="22">
        <v>1</v>
      </c>
      <c r="H423" s="21"/>
      <c r="I423" s="22">
        <v>17.54</v>
      </c>
      <c r="J423" s="23">
        <f>IFERROR(ROUND(SUM(M424,M425,M426,M427)/I423, 2),0)</f>
        <v>779.35</v>
      </c>
      <c r="K423" s="23">
        <v>1574</v>
      </c>
      <c r="L423" s="23">
        <f>J423+ROUND(K423, 2)</f>
        <v>2353.35</v>
      </c>
      <c r="M423" s="23">
        <f>ROUND(J423*I423, 2)</f>
        <v>13669.8</v>
      </c>
      <c r="N423" s="23">
        <f>ROUND(I423*ROUND(K423, 2), 2)</f>
        <v>27607.96</v>
      </c>
      <c r="O423" s="23">
        <f>M423+N423</f>
        <v>41277.760000000002</v>
      </c>
      <c r="P423" s="23">
        <f>IFERROR(ROUND(SUM(S424,S425,S426,S427)/I423, 2),0)</f>
        <v>779.35</v>
      </c>
      <c r="Q423" s="23">
        <v>1574</v>
      </c>
      <c r="R423" s="23">
        <f>P423+ROUND(Q423, 2)</f>
        <v>2353.35</v>
      </c>
      <c r="S423" s="23">
        <f>ROUND(P423*I423, 2)</f>
        <v>13669.8</v>
      </c>
      <c r="T423" s="23">
        <f>ROUND(I423*ROUND(Q423, 2), 2)</f>
        <v>27607.96</v>
      </c>
      <c r="U423" s="23">
        <f>S423+T423</f>
        <v>41277.760000000002</v>
      </c>
      <c r="V423" s="9">
        <f>ROUND(P423 / 1.2, 2)</f>
        <v>649.46</v>
      </c>
      <c r="W423" s="9">
        <f>ROUND(Q423 / 1.2, 2)</f>
        <v>1311.67</v>
      </c>
      <c r="X423" s="9">
        <f>ROUND(R423 / 1.2, 2)</f>
        <v>1961.13</v>
      </c>
      <c r="Y423" s="9">
        <f t="shared" si="104"/>
        <v>11391.5</v>
      </c>
      <c r="Z423" s="9">
        <f>ROUND(T423 / 1.2, 2)</f>
        <v>23006.63</v>
      </c>
      <c r="AA423" s="9">
        <f>Y423+Z423</f>
        <v>34398.129999999997</v>
      </c>
      <c r="AD423" s="4">
        <v>264030306</v>
      </c>
      <c r="AE423" s="4">
        <v>18539042</v>
      </c>
      <c r="AG423" s="4" t="s">
        <v>1322</v>
      </c>
      <c r="AH423" s="4" t="s">
        <v>1323</v>
      </c>
      <c r="AI423" s="4" t="s">
        <v>249</v>
      </c>
    </row>
    <row r="424" spans="1:35" ht="18.75" x14ac:dyDescent="0.25">
      <c r="A424" s="11" t="s">
        <v>1324</v>
      </c>
      <c r="B424" s="11"/>
      <c r="C424" s="31" t="s">
        <v>1192</v>
      </c>
      <c r="D424" s="21"/>
      <c r="E424" s="21"/>
      <c r="F424" s="32" t="s">
        <v>123</v>
      </c>
      <c r="G424" s="33">
        <v>1</v>
      </c>
      <c r="H424" s="21"/>
      <c r="I424" s="34">
        <v>12</v>
      </c>
      <c r="J424" s="35">
        <v>15.76</v>
      </c>
      <c r="K424" s="12"/>
      <c r="L424" s="12"/>
      <c r="M424" s="35">
        <f>ROUND(ROUND(J424, 2)*I424, 2)</f>
        <v>189.12</v>
      </c>
      <c r="N424" s="12"/>
      <c r="O424" s="12"/>
      <c r="P424" s="35">
        <v>15.76</v>
      </c>
      <c r="Q424" s="12"/>
      <c r="R424" s="12"/>
      <c r="S424" s="35">
        <f>ROUND(ROUND(P424, 2)*I424, 2)</f>
        <v>189.12</v>
      </c>
      <c r="T424" s="12"/>
      <c r="U424" s="36"/>
      <c r="V424" s="9">
        <f>ROUND(ROUND(P424, 2)/1.2, 2)</f>
        <v>13.13</v>
      </c>
      <c r="Y424" s="9">
        <f t="shared" si="104"/>
        <v>157.6</v>
      </c>
      <c r="AD424" s="4" t="s">
        <v>1325</v>
      </c>
      <c r="AE424" s="4" t="s">
        <v>1326</v>
      </c>
      <c r="AF424" s="4" t="s">
        <v>1195</v>
      </c>
    </row>
    <row r="425" spans="1:35" ht="18.75" x14ac:dyDescent="0.25">
      <c r="A425" s="11" t="s">
        <v>1327</v>
      </c>
      <c r="B425" s="11"/>
      <c r="C425" s="31" t="s">
        <v>313</v>
      </c>
      <c r="D425" s="21"/>
      <c r="E425" s="21"/>
      <c r="F425" s="32" t="s">
        <v>81</v>
      </c>
      <c r="G425" s="33">
        <v>0.25</v>
      </c>
      <c r="H425" s="21"/>
      <c r="I425" s="33">
        <v>4.3849999999999998</v>
      </c>
      <c r="J425" s="35">
        <v>100</v>
      </c>
      <c r="K425" s="12"/>
      <c r="L425" s="12"/>
      <c r="M425" s="35">
        <f>ROUND(ROUND(J425, 2)*I425, 2)</f>
        <v>438.5</v>
      </c>
      <c r="N425" s="12"/>
      <c r="O425" s="12"/>
      <c r="P425" s="35">
        <v>100</v>
      </c>
      <c r="Q425" s="12"/>
      <c r="R425" s="12"/>
      <c r="S425" s="35">
        <f>ROUND(ROUND(P425, 2)*I425, 2)</f>
        <v>438.5</v>
      </c>
      <c r="T425" s="12"/>
      <c r="U425" s="36"/>
      <c r="V425" s="9">
        <f>ROUND(ROUND(P425, 2)/1.2, 2)</f>
        <v>83.33</v>
      </c>
      <c r="Y425" s="9">
        <f t="shared" si="104"/>
        <v>365.42</v>
      </c>
      <c r="AD425" s="4" t="s">
        <v>1328</v>
      </c>
      <c r="AE425" s="4" t="s">
        <v>1329</v>
      </c>
      <c r="AF425" s="4" t="s">
        <v>316</v>
      </c>
    </row>
    <row r="426" spans="1:35" ht="37.5" x14ac:dyDescent="0.25">
      <c r="A426" s="11" t="s">
        <v>1330</v>
      </c>
      <c r="B426" s="11"/>
      <c r="C426" s="31" t="s">
        <v>1181</v>
      </c>
      <c r="D426" s="21"/>
      <c r="E426" s="21" t="s">
        <v>1182</v>
      </c>
      <c r="F426" s="32" t="s">
        <v>81</v>
      </c>
      <c r="G426" s="33">
        <v>1.3</v>
      </c>
      <c r="H426" s="21"/>
      <c r="I426" s="34">
        <v>1368.12</v>
      </c>
      <c r="J426" s="35">
        <v>8.6</v>
      </c>
      <c r="K426" s="12"/>
      <c r="L426" s="12"/>
      <c r="M426" s="35">
        <f>ROUND(ROUND(J426, 2)*I426, 2)</f>
        <v>11765.83</v>
      </c>
      <c r="N426" s="12"/>
      <c r="O426" s="12"/>
      <c r="P426" s="35">
        <v>8.6</v>
      </c>
      <c r="Q426" s="12"/>
      <c r="R426" s="12"/>
      <c r="S426" s="35">
        <f>ROUND(ROUND(P426, 2)*I426, 2)</f>
        <v>11765.83</v>
      </c>
      <c r="T426" s="12"/>
      <c r="U426" s="36"/>
      <c r="V426" s="9">
        <f>ROUND(ROUND(P426, 2)/1.2, 2)</f>
        <v>7.17</v>
      </c>
      <c r="Y426" s="9">
        <f t="shared" si="104"/>
        <v>9804.86</v>
      </c>
      <c r="AD426" s="4" t="s">
        <v>1331</v>
      </c>
      <c r="AE426" s="4" t="s">
        <v>1332</v>
      </c>
      <c r="AF426" s="4" t="s">
        <v>1185</v>
      </c>
    </row>
    <row r="427" spans="1:35" ht="37.5" x14ac:dyDescent="0.25">
      <c r="A427" s="11" t="s">
        <v>1333</v>
      </c>
      <c r="B427" s="11"/>
      <c r="C427" s="31" t="s">
        <v>1187</v>
      </c>
      <c r="D427" s="21"/>
      <c r="E427" s="21"/>
      <c r="F427" s="32" t="s">
        <v>56</v>
      </c>
      <c r="G427" s="33">
        <v>1.1000000000000001</v>
      </c>
      <c r="H427" s="21"/>
      <c r="I427" s="33">
        <v>19.294</v>
      </c>
      <c r="J427" s="35">
        <v>66.150000000000006</v>
      </c>
      <c r="K427" s="12"/>
      <c r="L427" s="12"/>
      <c r="M427" s="35">
        <f>ROUND(ROUND(J427, 2)*I427, 2)</f>
        <v>1276.3</v>
      </c>
      <c r="N427" s="12"/>
      <c r="O427" s="12"/>
      <c r="P427" s="35">
        <v>66.150000000000006</v>
      </c>
      <c r="Q427" s="12"/>
      <c r="R427" s="12"/>
      <c r="S427" s="35">
        <f>ROUND(ROUND(P427, 2)*I427, 2)</f>
        <v>1276.3</v>
      </c>
      <c r="T427" s="12"/>
      <c r="U427" s="36"/>
      <c r="V427" s="9">
        <f>ROUND(ROUND(P427, 2)/1.2, 2)</f>
        <v>55.13</v>
      </c>
      <c r="Y427" s="9">
        <f t="shared" si="104"/>
        <v>1063.58</v>
      </c>
      <c r="AD427" s="4" t="s">
        <v>1334</v>
      </c>
      <c r="AE427" s="4" t="s">
        <v>1335</v>
      </c>
      <c r="AF427" s="4" t="s">
        <v>1190</v>
      </c>
    </row>
    <row r="428" spans="1:35" ht="17.100000000000001" customHeight="1" x14ac:dyDescent="0.25">
      <c r="A428" s="10" t="s">
        <v>1336</v>
      </c>
      <c r="B428" s="10" t="s">
        <v>1337</v>
      </c>
      <c r="C428" s="116" t="s">
        <v>1338</v>
      </c>
      <c r="D428" s="117"/>
      <c r="E428" s="117"/>
      <c r="F428" s="117"/>
      <c r="G428" s="117"/>
      <c r="H428" s="117"/>
      <c r="I428" s="118"/>
      <c r="M428" s="6">
        <f>SUM(M429,M432,M435,M438,M441)</f>
        <v>236942.68</v>
      </c>
      <c r="N428" s="6">
        <f>SUM(N429,N432,N435,N438,N441)</f>
        <v>1839496.86</v>
      </c>
      <c r="O428" s="6">
        <f>SUM(O429,O432,O435,O438,O441)</f>
        <v>2076439.54</v>
      </c>
      <c r="S428" s="6">
        <f>SUM(S429,S432,S435,S438,S441)</f>
        <v>236942.68</v>
      </c>
      <c r="T428" s="6">
        <f>SUM(T429,T432,T435,T438,T441)</f>
        <v>1839496.86</v>
      </c>
      <c r="U428" s="6">
        <f>SUM(U429,U432,U435,U438,U441)</f>
        <v>2076439.54</v>
      </c>
      <c r="Y428" s="9">
        <f>SUM(Y429,Y432,Y435,Y438,Y441)</f>
        <v>197452.24</v>
      </c>
      <c r="Z428" s="9">
        <f>SUM(Z429,Z432,Z435,Z438,Z441)</f>
        <v>1532914.04</v>
      </c>
      <c r="AA428" s="9">
        <f>SUM(AA429,AA432,AA435,AA438,AA441)</f>
        <v>1730366.28</v>
      </c>
      <c r="AD428" s="4">
        <v>264030307</v>
      </c>
      <c r="AE428" s="4">
        <v>16076860</v>
      </c>
    </row>
    <row r="429" spans="1:35" ht="37.5" x14ac:dyDescent="0.25">
      <c r="A429" s="10" t="s">
        <v>1339</v>
      </c>
      <c r="B429" s="10" t="s">
        <v>1340</v>
      </c>
      <c r="C429" s="14" t="s">
        <v>1341</v>
      </c>
      <c r="D429" s="15"/>
      <c r="E429" s="15" t="s">
        <v>1342</v>
      </c>
      <c r="F429" s="15" t="s">
        <v>56</v>
      </c>
      <c r="G429" s="16">
        <v>1</v>
      </c>
      <c r="H429" s="15"/>
      <c r="I429" s="16">
        <v>754.1</v>
      </c>
      <c r="J429" s="17">
        <f>IFERROR(ROUND(SUM(M430,M431)/I429, 2),0)</f>
        <v>18.329999999999998</v>
      </c>
      <c r="K429" s="18">
        <v>251</v>
      </c>
      <c r="L429" s="17">
        <f>J429+ROUND(K429, 2)</f>
        <v>269.33</v>
      </c>
      <c r="M429" s="17">
        <f>ROUND(J429*I429, 2)</f>
        <v>13822.65</v>
      </c>
      <c r="N429" s="17">
        <f>ROUND(I429*ROUND(K429, 2), 2)</f>
        <v>189279.1</v>
      </c>
      <c r="O429" s="17">
        <f>M429+N429</f>
        <v>203101.75</v>
      </c>
      <c r="P429" s="17">
        <f>IFERROR(ROUND(SUM(S430,S431)/I429, 2),0)</f>
        <v>18.329999999999998</v>
      </c>
      <c r="Q429" s="19">
        <v>251</v>
      </c>
      <c r="R429" s="17">
        <f>P429+ROUND(Q429, 2)</f>
        <v>269.33</v>
      </c>
      <c r="S429" s="17">
        <f>ROUND(P429*I429, 2)</f>
        <v>13822.65</v>
      </c>
      <c r="T429" s="17">
        <f>ROUND(I429*ROUND(Q429, 2), 2)</f>
        <v>189279.1</v>
      </c>
      <c r="U429" s="17">
        <f>S429+T429</f>
        <v>203101.75</v>
      </c>
      <c r="V429" s="9">
        <f>ROUND(P429 / 1.2, 2)</f>
        <v>15.28</v>
      </c>
      <c r="W429" s="9">
        <f>ROUND(Q429 / 1.2, 2)</f>
        <v>209.17</v>
      </c>
      <c r="X429" s="9">
        <f>ROUND(R429 / 1.2, 2)</f>
        <v>224.44</v>
      </c>
      <c r="Y429" s="9">
        <f>ROUND(S429 / 1.2, 2)</f>
        <v>11518.88</v>
      </c>
      <c r="Z429" s="9">
        <f>ROUND(T429 / 1.2, 2)</f>
        <v>157732.57999999999</v>
      </c>
      <c r="AA429" s="9">
        <f>Y429+Z429</f>
        <v>169251.46</v>
      </c>
      <c r="AD429" s="4">
        <v>264030309</v>
      </c>
      <c r="AE429" s="4">
        <v>16076863</v>
      </c>
      <c r="AG429" s="4" t="s">
        <v>1343</v>
      </c>
      <c r="AH429" s="4" t="s">
        <v>1344</v>
      </c>
      <c r="AI429" s="4" t="s">
        <v>249</v>
      </c>
    </row>
    <row r="430" spans="1:35" ht="37.5" x14ac:dyDescent="0.25">
      <c r="A430" s="10" t="s">
        <v>1345</v>
      </c>
      <c r="B430" s="10"/>
      <c r="C430" s="24" t="s">
        <v>726</v>
      </c>
      <c r="D430" s="15"/>
      <c r="E430" s="15"/>
      <c r="F430" s="25" t="s">
        <v>81</v>
      </c>
      <c r="G430" s="26">
        <v>0.15</v>
      </c>
      <c r="H430" s="15"/>
      <c r="I430" s="26">
        <v>113.11499999999999</v>
      </c>
      <c r="J430" s="28">
        <v>80</v>
      </c>
      <c r="M430" s="29">
        <f>ROUND(ROUND(J430, 2)*I430, 2)</f>
        <v>9049.2000000000007</v>
      </c>
      <c r="P430" s="30">
        <v>80</v>
      </c>
      <c r="S430" s="29">
        <f>ROUND(ROUND(P430, 2)*I430, 2)</f>
        <v>9049.2000000000007</v>
      </c>
      <c r="V430" s="9">
        <f>ROUND(ROUND(P430, 2)/1.2, 2)</f>
        <v>66.67</v>
      </c>
      <c r="Y430" s="9">
        <f t="shared" ref="Y430:Y443" si="105">ROUND(S430 / 1.2, 2)</f>
        <v>7541</v>
      </c>
      <c r="AD430" s="4" t="s">
        <v>1346</v>
      </c>
      <c r="AE430" s="4" t="s">
        <v>1347</v>
      </c>
      <c r="AF430" s="4" t="s">
        <v>729</v>
      </c>
    </row>
    <row r="431" spans="1:35" ht="112.5" x14ac:dyDescent="0.25">
      <c r="A431" s="10" t="s">
        <v>1348</v>
      </c>
      <c r="B431" s="10"/>
      <c r="C431" s="24" t="s">
        <v>1349</v>
      </c>
      <c r="D431" s="15"/>
      <c r="E431" s="15" t="s">
        <v>1350</v>
      </c>
      <c r="F431" s="25" t="s">
        <v>81</v>
      </c>
      <c r="G431" s="26">
        <v>0.3</v>
      </c>
      <c r="H431" s="15"/>
      <c r="I431" s="26">
        <v>226.23</v>
      </c>
      <c r="J431" s="28">
        <v>21.1</v>
      </c>
      <c r="M431" s="29">
        <f>ROUND(ROUND(J431, 2)*I431, 2)</f>
        <v>4773.45</v>
      </c>
      <c r="P431" s="30">
        <v>21.1</v>
      </c>
      <c r="S431" s="29">
        <f>ROUND(ROUND(P431, 2)*I431, 2)</f>
        <v>4773.45</v>
      </c>
      <c r="V431" s="9">
        <f>ROUND(ROUND(P431, 2)/1.2, 2)</f>
        <v>17.579999999999998</v>
      </c>
      <c r="Y431" s="9">
        <f t="shared" si="105"/>
        <v>3977.88</v>
      </c>
      <c r="AD431" s="4" t="s">
        <v>1351</v>
      </c>
      <c r="AE431" s="4" t="s">
        <v>1352</v>
      </c>
      <c r="AF431" s="4" t="s">
        <v>1353</v>
      </c>
    </row>
    <row r="432" spans="1:35" ht="37.5" x14ac:dyDescent="0.25">
      <c r="A432" s="11" t="s">
        <v>1354</v>
      </c>
      <c r="B432" s="11" t="s">
        <v>1355</v>
      </c>
      <c r="C432" s="20" t="s">
        <v>1356</v>
      </c>
      <c r="D432" s="21"/>
      <c r="E432" s="21" t="s">
        <v>1357</v>
      </c>
      <c r="F432" s="21" t="s">
        <v>56</v>
      </c>
      <c r="G432" s="22">
        <v>1</v>
      </c>
      <c r="H432" s="21"/>
      <c r="I432" s="22">
        <v>295.58</v>
      </c>
      <c r="J432" s="23">
        <f>IFERROR(ROUND(SUM(M433,M434)/I432, 2),0)</f>
        <v>75.650000000000006</v>
      </c>
      <c r="K432" s="23">
        <v>428</v>
      </c>
      <c r="L432" s="23">
        <f>J432+ROUND(K432, 2)</f>
        <v>503.65</v>
      </c>
      <c r="M432" s="23">
        <f>ROUND(J432*I432, 2)</f>
        <v>22360.63</v>
      </c>
      <c r="N432" s="23">
        <f>ROUND(I432*ROUND(K432, 2), 2)</f>
        <v>126508.24</v>
      </c>
      <c r="O432" s="23">
        <f>M432+N432</f>
        <v>148868.87</v>
      </c>
      <c r="P432" s="23">
        <f>IFERROR(ROUND(SUM(S433,S434)/I432, 2),0)</f>
        <v>75.650000000000006</v>
      </c>
      <c r="Q432" s="23">
        <v>428</v>
      </c>
      <c r="R432" s="23">
        <f>P432+ROUND(Q432, 2)</f>
        <v>503.65</v>
      </c>
      <c r="S432" s="23">
        <f>ROUND(P432*I432, 2)</f>
        <v>22360.63</v>
      </c>
      <c r="T432" s="23">
        <f>ROUND(I432*ROUND(Q432, 2), 2)</f>
        <v>126508.24</v>
      </c>
      <c r="U432" s="23">
        <f>S432+T432</f>
        <v>148868.87</v>
      </c>
      <c r="V432" s="9">
        <f>ROUND(P432 / 1.2, 2)</f>
        <v>63.04</v>
      </c>
      <c r="W432" s="9">
        <f>ROUND(Q432 / 1.2, 2)</f>
        <v>356.67</v>
      </c>
      <c r="X432" s="9">
        <f>ROUND(R432 / 1.2, 2)</f>
        <v>419.71</v>
      </c>
      <c r="Y432" s="9">
        <f t="shared" si="105"/>
        <v>18633.86</v>
      </c>
      <c r="Z432" s="9">
        <f>ROUND(T432 / 1.2, 2)</f>
        <v>105423.53</v>
      </c>
      <c r="AA432" s="9">
        <f>Y432+Z432</f>
        <v>124057.39</v>
      </c>
      <c r="AD432" s="4">
        <v>264030311</v>
      </c>
      <c r="AE432" s="4">
        <v>19934100</v>
      </c>
      <c r="AG432" s="4" t="s">
        <v>1358</v>
      </c>
      <c r="AH432" s="4" t="s">
        <v>1359</v>
      </c>
      <c r="AI432" s="4" t="s">
        <v>249</v>
      </c>
    </row>
    <row r="433" spans="1:35" ht="37.5" x14ac:dyDescent="0.25">
      <c r="A433" s="11" t="s">
        <v>1360</v>
      </c>
      <c r="B433" s="11"/>
      <c r="C433" s="31" t="s">
        <v>1361</v>
      </c>
      <c r="D433" s="21"/>
      <c r="E433" s="21"/>
      <c r="F433" s="32" t="s">
        <v>81</v>
      </c>
      <c r="G433" s="33">
        <v>0.17</v>
      </c>
      <c r="H433" s="21"/>
      <c r="I433" s="33">
        <v>50.249000000000002</v>
      </c>
      <c r="J433" s="35">
        <v>366.67</v>
      </c>
      <c r="K433" s="12"/>
      <c r="L433" s="12"/>
      <c r="M433" s="35">
        <f>ROUND(ROUND(J433, 2)*I433, 2)</f>
        <v>18424.8</v>
      </c>
      <c r="N433" s="12"/>
      <c r="O433" s="12"/>
      <c r="P433" s="35">
        <v>366.67</v>
      </c>
      <c r="Q433" s="12"/>
      <c r="R433" s="12"/>
      <c r="S433" s="35">
        <f>ROUND(ROUND(P433, 2)*I433, 2)</f>
        <v>18424.8</v>
      </c>
      <c r="T433" s="12"/>
      <c r="U433" s="36"/>
      <c r="V433" s="9">
        <f>ROUND(ROUND(P433, 2)/1.2, 2)</f>
        <v>305.56</v>
      </c>
      <c r="Y433" s="9">
        <f t="shared" si="105"/>
        <v>15354</v>
      </c>
      <c r="AD433" s="4" t="s">
        <v>1362</v>
      </c>
      <c r="AE433" s="4" t="s">
        <v>1363</v>
      </c>
      <c r="AF433" s="4" t="s">
        <v>1364</v>
      </c>
    </row>
    <row r="434" spans="1:35" ht="37.5" x14ac:dyDescent="0.25">
      <c r="A434" s="11" t="s">
        <v>1365</v>
      </c>
      <c r="B434" s="11"/>
      <c r="C434" s="31" t="s">
        <v>490</v>
      </c>
      <c r="D434" s="21"/>
      <c r="E434" s="21"/>
      <c r="F434" s="32" t="s">
        <v>81</v>
      </c>
      <c r="G434" s="33">
        <v>0.15</v>
      </c>
      <c r="H434" s="21"/>
      <c r="I434" s="33">
        <v>44.337000000000003</v>
      </c>
      <c r="J434" s="35">
        <v>88.8</v>
      </c>
      <c r="K434" s="12"/>
      <c r="L434" s="12"/>
      <c r="M434" s="35">
        <f>ROUND(ROUND(J434, 2)*I434, 2)</f>
        <v>3937.13</v>
      </c>
      <c r="N434" s="12"/>
      <c r="O434" s="12"/>
      <c r="P434" s="35">
        <v>88.8</v>
      </c>
      <c r="Q434" s="12"/>
      <c r="R434" s="12"/>
      <c r="S434" s="35">
        <f>ROUND(ROUND(P434, 2)*I434, 2)</f>
        <v>3937.13</v>
      </c>
      <c r="T434" s="12"/>
      <c r="U434" s="36"/>
      <c r="V434" s="9">
        <f>ROUND(ROUND(P434, 2)/1.2, 2)</f>
        <v>74</v>
      </c>
      <c r="Y434" s="9">
        <f t="shared" si="105"/>
        <v>3280.94</v>
      </c>
      <c r="AD434" s="4" t="s">
        <v>1366</v>
      </c>
      <c r="AE434" s="4" t="s">
        <v>1367</v>
      </c>
      <c r="AF434" s="4" t="s">
        <v>493</v>
      </c>
    </row>
    <row r="435" spans="1:35" ht="37.5" x14ac:dyDescent="0.25">
      <c r="A435" s="11" t="s">
        <v>1368</v>
      </c>
      <c r="B435" s="11" t="s">
        <v>1355</v>
      </c>
      <c r="C435" s="20" t="s">
        <v>1356</v>
      </c>
      <c r="D435" s="21"/>
      <c r="E435" s="21" t="s">
        <v>1369</v>
      </c>
      <c r="F435" s="21" t="s">
        <v>56</v>
      </c>
      <c r="G435" s="22">
        <v>1</v>
      </c>
      <c r="H435" s="21"/>
      <c r="I435" s="22">
        <v>1068.06</v>
      </c>
      <c r="J435" s="23">
        <f>IFERROR(ROUND(SUM(M436,M437)/I435, 2),0)</f>
        <v>75.650000000000006</v>
      </c>
      <c r="K435" s="23">
        <v>428</v>
      </c>
      <c r="L435" s="23">
        <f>J435+ROUND(K435, 2)</f>
        <v>503.65</v>
      </c>
      <c r="M435" s="23">
        <f>ROUND(J435*I435, 2)</f>
        <v>80798.740000000005</v>
      </c>
      <c r="N435" s="23">
        <f>ROUND(I435*ROUND(K435, 2), 2)</f>
        <v>457129.68</v>
      </c>
      <c r="O435" s="23">
        <f>M435+N435</f>
        <v>537928.42000000004</v>
      </c>
      <c r="P435" s="23">
        <f>IFERROR(ROUND(SUM(S436,S437)/I435, 2),0)</f>
        <v>75.650000000000006</v>
      </c>
      <c r="Q435" s="23">
        <v>428</v>
      </c>
      <c r="R435" s="23">
        <f>P435+ROUND(Q435, 2)</f>
        <v>503.65</v>
      </c>
      <c r="S435" s="23">
        <f>ROUND(P435*I435, 2)</f>
        <v>80798.740000000005</v>
      </c>
      <c r="T435" s="23">
        <f>ROUND(I435*ROUND(Q435, 2), 2)</f>
        <v>457129.68</v>
      </c>
      <c r="U435" s="23">
        <f>S435+T435</f>
        <v>537928.42000000004</v>
      </c>
      <c r="V435" s="9">
        <f>ROUND(P435 / 1.2, 2)</f>
        <v>63.04</v>
      </c>
      <c r="W435" s="9">
        <f>ROUND(Q435 / 1.2, 2)</f>
        <v>356.67</v>
      </c>
      <c r="X435" s="9">
        <f>ROUND(R435 / 1.2, 2)</f>
        <v>419.71</v>
      </c>
      <c r="Y435" s="9">
        <f t="shared" si="105"/>
        <v>67332.28</v>
      </c>
      <c r="Z435" s="9">
        <f>ROUND(T435 / 1.2, 2)</f>
        <v>380941.4</v>
      </c>
      <c r="AA435" s="9">
        <f>Y435+Z435</f>
        <v>448273.68</v>
      </c>
      <c r="AD435" s="4">
        <v>264030398</v>
      </c>
      <c r="AE435" s="4">
        <v>19934099</v>
      </c>
      <c r="AG435" s="4" t="s">
        <v>1358</v>
      </c>
      <c r="AH435" s="4" t="s">
        <v>1359</v>
      </c>
      <c r="AI435" s="4" t="s">
        <v>249</v>
      </c>
    </row>
    <row r="436" spans="1:35" ht="37.5" x14ac:dyDescent="0.25">
      <c r="A436" s="11" t="s">
        <v>1370</v>
      </c>
      <c r="B436" s="11"/>
      <c r="C436" s="31" t="s">
        <v>490</v>
      </c>
      <c r="D436" s="21"/>
      <c r="E436" s="21"/>
      <c r="F436" s="32" t="s">
        <v>81</v>
      </c>
      <c r="G436" s="33">
        <v>0.15</v>
      </c>
      <c r="H436" s="21"/>
      <c r="I436" s="33">
        <v>160.209</v>
      </c>
      <c r="J436" s="35">
        <v>88.8</v>
      </c>
      <c r="K436" s="12"/>
      <c r="L436" s="12"/>
      <c r="M436" s="35">
        <f>ROUND(ROUND(J436, 2)*I436, 2)</f>
        <v>14226.56</v>
      </c>
      <c r="N436" s="12"/>
      <c r="O436" s="12"/>
      <c r="P436" s="35">
        <v>88.8</v>
      </c>
      <c r="Q436" s="12"/>
      <c r="R436" s="12"/>
      <c r="S436" s="35">
        <f>ROUND(ROUND(P436, 2)*I436, 2)</f>
        <v>14226.56</v>
      </c>
      <c r="T436" s="12"/>
      <c r="U436" s="36"/>
      <c r="V436" s="9">
        <f>ROUND(ROUND(P436, 2)/1.2, 2)</f>
        <v>74</v>
      </c>
      <c r="Y436" s="9">
        <f t="shared" si="105"/>
        <v>11855.47</v>
      </c>
      <c r="AD436" s="4" t="s">
        <v>1371</v>
      </c>
      <c r="AE436" s="4" t="s">
        <v>1372</v>
      </c>
      <c r="AF436" s="4" t="s">
        <v>493</v>
      </c>
    </row>
    <row r="437" spans="1:35" ht="37.5" x14ac:dyDescent="0.25">
      <c r="A437" s="11" t="s">
        <v>1373</v>
      </c>
      <c r="B437" s="11"/>
      <c r="C437" s="31" t="s">
        <v>1361</v>
      </c>
      <c r="D437" s="21"/>
      <c r="E437" s="21"/>
      <c r="F437" s="32" t="s">
        <v>81</v>
      </c>
      <c r="G437" s="33">
        <v>0.17</v>
      </c>
      <c r="H437" s="21"/>
      <c r="I437" s="33">
        <v>181.57</v>
      </c>
      <c r="J437" s="35">
        <v>366.67</v>
      </c>
      <c r="K437" s="12"/>
      <c r="L437" s="12"/>
      <c r="M437" s="35">
        <f>ROUND(ROUND(J437, 2)*I437, 2)</f>
        <v>66576.27</v>
      </c>
      <c r="N437" s="12"/>
      <c r="O437" s="12"/>
      <c r="P437" s="35">
        <v>366.67</v>
      </c>
      <c r="Q437" s="12"/>
      <c r="R437" s="12"/>
      <c r="S437" s="35">
        <f>ROUND(ROUND(P437, 2)*I437, 2)</f>
        <v>66576.27</v>
      </c>
      <c r="T437" s="12"/>
      <c r="U437" s="36"/>
      <c r="V437" s="9">
        <f>ROUND(ROUND(P437, 2)/1.2, 2)</f>
        <v>305.56</v>
      </c>
      <c r="Y437" s="9">
        <f t="shared" si="105"/>
        <v>55480.23</v>
      </c>
      <c r="AD437" s="4" t="s">
        <v>1374</v>
      </c>
      <c r="AE437" s="4" t="s">
        <v>1375</v>
      </c>
      <c r="AF437" s="4" t="s">
        <v>1364</v>
      </c>
    </row>
    <row r="438" spans="1:35" ht="37.5" x14ac:dyDescent="0.25">
      <c r="A438" s="11" t="s">
        <v>1376</v>
      </c>
      <c r="B438" s="11" t="s">
        <v>1355</v>
      </c>
      <c r="C438" s="20" t="s">
        <v>1356</v>
      </c>
      <c r="D438" s="21"/>
      <c r="E438" s="21" t="s">
        <v>1377</v>
      </c>
      <c r="F438" s="21" t="s">
        <v>56</v>
      </c>
      <c r="G438" s="22">
        <v>1</v>
      </c>
      <c r="H438" s="21"/>
      <c r="I438" s="22">
        <v>1410</v>
      </c>
      <c r="J438" s="23">
        <f>IFERROR(ROUND(SUM(M439,M440)/I438, 2),0)</f>
        <v>75.650000000000006</v>
      </c>
      <c r="K438" s="23">
        <v>428</v>
      </c>
      <c r="L438" s="23">
        <f>J438+ROUND(K438, 2)</f>
        <v>503.65</v>
      </c>
      <c r="M438" s="23">
        <f>ROUND(J438*I438, 2)</f>
        <v>106666.5</v>
      </c>
      <c r="N438" s="23">
        <f>ROUND(I438*ROUND(K438, 2), 2)</f>
        <v>603480</v>
      </c>
      <c r="O438" s="23">
        <f>M438+N438</f>
        <v>710146.5</v>
      </c>
      <c r="P438" s="23">
        <f>IFERROR(ROUND(SUM(S439,S440)/I438, 2),0)</f>
        <v>75.650000000000006</v>
      </c>
      <c r="Q438" s="23">
        <v>428</v>
      </c>
      <c r="R438" s="23">
        <f>P438+ROUND(Q438, 2)</f>
        <v>503.65</v>
      </c>
      <c r="S438" s="23">
        <f>ROUND(P438*I438, 2)</f>
        <v>106666.5</v>
      </c>
      <c r="T438" s="23">
        <f>ROUND(I438*ROUND(Q438, 2), 2)</f>
        <v>603480</v>
      </c>
      <c r="U438" s="23">
        <f>S438+T438</f>
        <v>710146.5</v>
      </c>
      <c r="V438" s="9">
        <f>ROUND(P438 / 1.2, 2)</f>
        <v>63.04</v>
      </c>
      <c r="W438" s="9">
        <f>ROUND(Q438 / 1.2, 2)</f>
        <v>356.67</v>
      </c>
      <c r="X438" s="9">
        <f>ROUND(R438 / 1.2, 2)</f>
        <v>419.71</v>
      </c>
      <c r="Y438" s="9">
        <f t="shared" si="105"/>
        <v>88888.75</v>
      </c>
      <c r="Z438" s="9">
        <f>ROUND(T438 / 1.2, 2)</f>
        <v>502900</v>
      </c>
      <c r="AA438" s="9">
        <f>Y438+Z438</f>
        <v>591788.75</v>
      </c>
      <c r="AD438" s="4">
        <v>264030399</v>
      </c>
      <c r="AE438" s="4">
        <v>19934098</v>
      </c>
      <c r="AG438" s="4" t="s">
        <v>1358</v>
      </c>
      <c r="AH438" s="4" t="s">
        <v>1359</v>
      </c>
      <c r="AI438" s="4" t="s">
        <v>249</v>
      </c>
    </row>
    <row r="439" spans="1:35" ht="37.5" x14ac:dyDescent="0.25">
      <c r="A439" s="11" t="s">
        <v>1378</v>
      </c>
      <c r="B439" s="11"/>
      <c r="C439" s="31" t="s">
        <v>1361</v>
      </c>
      <c r="D439" s="21"/>
      <c r="E439" s="21"/>
      <c r="F439" s="32" t="s">
        <v>81</v>
      </c>
      <c r="G439" s="33">
        <v>0.17</v>
      </c>
      <c r="H439" s="21"/>
      <c r="I439" s="33">
        <v>239.7</v>
      </c>
      <c r="J439" s="35">
        <v>366.67</v>
      </c>
      <c r="K439" s="12"/>
      <c r="L439" s="12"/>
      <c r="M439" s="35">
        <f>ROUND(ROUND(J439, 2)*I439, 2)</f>
        <v>87890.8</v>
      </c>
      <c r="N439" s="12"/>
      <c r="O439" s="12"/>
      <c r="P439" s="35">
        <v>366.67</v>
      </c>
      <c r="Q439" s="12"/>
      <c r="R439" s="12"/>
      <c r="S439" s="35">
        <f>ROUND(ROUND(P439, 2)*I439, 2)</f>
        <v>87890.8</v>
      </c>
      <c r="T439" s="12"/>
      <c r="U439" s="36"/>
      <c r="V439" s="9">
        <f>ROUND(ROUND(P439, 2)/1.2, 2)</f>
        <v>305.56</v>
      </c>
      <c r="Y439" s="9">
        <f t="shared" si="105"/>
        <v>73242.33</v>
      </c>
      <c r="AD439" s="4" t="s">
        <v>1379</v>
      </c>
      <c r="AE439" s="4" t="s">
        <v>1380</v>
      </c>
      <c r="AF439" s="4" t="s">
        <v>1364</v>
      </c>
    </row>
    <row r="440" spans="1:35" ht="37.5" x14ac:dyDescent="0.25">
      <c r="A440" s="11" t="s">
        <v>1381</v>
      </c>
      <c r="B440" s="11"/>
      <c r="C440" s="31" t="s">
        <v>490</v>
      </c>
      <c r="D440" s="21"/>
      <c r="E440" s="21"/>
      <c r="F440" s="32" t="s">
        <v>81</v>
      </c>
      <c r="G440" s="33">
        <v>0.15</v>
      </c>
      <c r="H440" s="21"/>
      <c r="I440" s="33">
        <v>211.5</v>
      </c>
      <c r="J440" s="35">
        <v>88.8</v>
      </c>
      <c r="K440" s="12"/>
      <c r="L440" s="12"/>
      <c r="M440" s="35">
        <f>ROUND(ROUND(J440, 2)*I440, 2)</f>
        <v>18781.2</v>
      </c>
      <c r="N440" s="12"/>
      <c r="O440" s="12"/>
      <c r="P440" s="35">
        <v>88.8</v>
      </c>
      <c r="Q440" s="12"/>
      <c r="R440" s="12"/>
      <c r="S440" s="35">
        <f>ROUND(ROUND(P440, 2)*I440, 2)</f>
        <v>18781.2</v>
      </c>
      <c r="T440" s="12"/>
      <c r="U440" s="36"/>
      <c r="V440" s="9">
        <f>ROUND(ROUND(P440, 2)/1.2, 2)</f>
        <v>74</v>
      </c>
      <c r="Y440" s="9">
        <f t="shared" si="105"/>
        <v>15651</v>
      </c>
      <c r="AD440" s="4" t="s">
        <v>1382</v>
      </c>
      <c r="AE440" s="4" t="s">
        <v>1383</v>
      </c>
      <c r="AF440" s="4" t="s">
        <v>493</v>
      </c>
    </row>
    <row r="441" spans="1:35" ht="37.5" x14ac:dyDescent="0.25">
      <c r="A441" s="11" t="s">
        <v>1384</v>
      </c>
      <c r="B441" s="11" t="s">
        <v>1385</v>
      </c>
      <c r="C441" s="20" t="s">
        <v>1386</v>
      </c>
      <c r="D441" s="21"/>
      <c r="E441" s="21" t="s">
        <v>1387</v>
      </c>
      <c r="F441" s="21" t="s">
        <v>56</v>
      </c>
      <c r="G441" s="22">
        <v>1</v>
      </c>
      <c r="H441" s="21"/>
      <c r="I441" s="22">
        <v>998.06</v>
      </c>
      <c r="J441" s="23">
        <f>IFERROR(ROUND(SUM(M442,M443)/I441, 2),0)</f>
        <v>13.32</v>
      </c>
      <c r="K441" s="23">
        <v>464</v>
      </c>
      <c r="L441" s="23">
        <f>J441+ROUND(K441, 2)</f>
        <v>477.32</v>
      </c>
      <c r="M441" s="23">
        <f>ROUND(J441*I441, 2)</f>
        <v>13294.16</v>
      </c>
      <c r="N441" s="23">
        <f>ROUND(I441*ROUND(K441, 2), 2)</f>
        <v>463099.84</v>
      </c>
      <c r="O441" s="23">
        <f>M441+N441</f>
        <v>476394</v>
      </c>
      <c r="P441" s="23">
        <f>IFERROR(ROUND(SUM(S442,S443)/I441, 2),0)</f>
        <v>13.32</v>
      </c>
      <c r="Q441" s="23">
        <v>464</v>
      </c>
      <c r="R441" s="23">
        <f>P441+ROUND(Q441, 2)</f>
        <v>477.32</v>
      </c>
      <c r="S441" s="23">
        <f>ROUND(P441*I441, 2)</f>
        <v>13294.16</v>
      </c>
      <c r="T441" s="23">
        <f>ROUND(I441*ROUND(Q441, 2), 2)</f>
        <v>463099.84</v>
      </c>
      <c r="U441" s="23">
        <f>S441+T441</f>
        <v>476394</v>
      </c>
      <c r="V441" s="9">
        <f>ROUND(P441 / 1.2, 2)</f>
        <v>11.1</v>
      </c>
      <c r="W441" s="9">
        <f>ROUND(Q441 / 1.2, 2)</f>
        <v>386.67</v>
      </c>
      <c r="X441" s="9">
        <f>ROUND(R441 / 1.2, 2)</f>
        <v>397.77</v>
      </c>
      <c r="Y441" s="9">
        <f t="shared" si="105"/>
        <v>11078.47</v>
      </c>
      <c r="Z441" s="9">
        <f>ROUND(T441 / 1.2, 2)</f>
        <v>385916.53</v>
      </c>
      <c r="AA441" s="9">
        <f>Y441+Z441</f>
        <v>396995</v>
      </c>
      <c r="AD441" s="4">
        <v>264030312</v>
      </c>
      <c r="AE441" s="4">
        <v>19918753</v>
      </c>
      <c r="AG441" s="4" t="s">
        <v>1388</v>
      </c>
      <c r="AH441" s="4" t="s">
        <v>1389</v>
      </c>
      <c r="AI441" s="4" t="s">
        <v>249</v>
      </c>
    </row>
    <row r="442" spans="1:35" ht="56.25" x14ac:dyDescent="0.25">
      <c r="A442" s="11" t="s">
        <v>1390</v>
      </c>
      <c r="B442" s="11"/>
      <c r="C442" s="31" t="s">
        <v>1391</v>
      </c>
      <c r="D442" s="21"/>
      <c r="E442" s="21"/>
      <c r="F442" s="32" t="s">
        <v>81</v>
      </c>
      <c r="G442" s="33">
        <v>0.3</v>
      </c>
      <c r="H442" s="21"/>
      <c r="I442" s="33">
        <v>299.41800000000001</v>
      </c>
      <c r="J442" s="35">
        <v>0</v>
      </c>
      <c r="K442" s="12"/>
      <c r="L442" s="12"/>
      <c r="M442" s="35">
        <f>ROUND(ROUND(J442, 2)*I442, 2)</f>
        <v>0</v>
      </c>
      <c r="N442" s="12"/>
      <c r="O442" s="12"/>
      <c r="P442" s="35">
        <v>0</v>
      </c>
      <c r="Q442" s="12"/>
      <c r="R442" s="12"/>
      <c r="S442" s="35">
        <f>ROUND(ROUND(P442, 2)*I442, 2)</f>
        <v>0</v>
      </c>
      <c r="T442" s="12"/>
      <c r="U442" s="36"/>
      <c r="V442" s="9">
        <f>ROUND(ROUND(P442, 2)/1.2, 2)</f>
        <v>0</v>
      </c>
      <c r="Y442" s="9">
        <f t="shared" si="105"/>
        <v>0</v>
      </c>
      <c r="AD442" s="4" t="s">
        <v>1392</v>
      </c>
      <c r="AE442" s="4" t="s">
        <v>1393</v>
      </c>
      <c r="AF442" s="4" t="s">
        <v>1394</v>
      </c>
    </row>
    <row r="443" spans="1:35" ht="37.5" x14ac:dyDescent="0.25">
      <c r="A443" s="11" t="s">
        <v>1395</v>
      </c>
      <c r="B443" s="11"/>
      <c r="C443" s="31" t="s">
        <v>490</v>
      </c>
      <c r="D443" s="21"/>
      <c r="E443" s="21"/>
      <c r="F443" s="32" t="s">
        <v>81</v>
      </c>
      <c r="G443" s="33">
        <v>0.15</v>
      </c>
      <c r="H443" s="21"/>
      <c r="I443" s="33">
        <v>149.709</v>
      </c>
      <c r="J443" s="35">
        <v>88.8</v>
      </c>
      <c r="K443" s="12"/>
      <c r="L443" s="12"/>
      <c r="M443" s="35">
        <f>ROUND(ROUND(J443, 2)*I443, 2)</f>
        <v>13294.16</v>
      </c>
      <c r="N443" s="12"/>
      <c r="O443" s="12"/>
      <c r="P443" s="35">
        <v>88.8</v>
      </c>
      <c r="Q443" s="12"/>
      <c r="R443" s="12"/>
      <c r="S443" s="35">
        <f>ROUND(ROUND(P443, 2)*I443, 2)</f>
        <v>13294.16</v>
      </c>
      <c r="T443" s="12"/>
      <c r="U443" s="36"/>
      <c r="V443" s="9">
        <f>ROUND(ROUND(P443, 2)/1.2, 2)</f>
        <v>74</v>
      </c>
      <c r="Y443" s="9">
        <f t="shared" si="105"/>
        <v>11078.47</v>
      </c>
      <c r="AD443" s="4" t="s">
        <v>1396</v>
      </c>
      <c r="AE443" s="4" t="s">
        <v>1397</v>
      </c>
      <c r="AF443" s="4" t="s">
        <v>493</v>
      </c>
    </row>
    <row r="444" spans="1:35" ht="17.100000000000001" customHeight="1" x14ac:dyDescent="0.25">
      <c r="A444" s="11" t="s">
        <v>1398</v>
      </c>
      <c r="B444" s="11" t="s">
        <v>1399</v>
      </c>
      <c r="C444" s="113" t="s">
        <v>1400</v>
      </c>
      <c r="D444" s="114"/>
      <c r="E444" s="114"/>
      <c r="F444" s="114"/>
      <c r="G444" s="114"/>
      <c r="H444" s="114"/>
      <c r="I444" s="115"/>
      <c r="J444" s="12"/>
      <c r="K444" s="12"/>
      <c r="L444" s="12"/>
      <c r="M444" s="13">
        <f>SUM(M445,M449,M452,M456,M459,M462,M466,M469,M472,M475,M479,M484)</f>
        <v>66331.38</v>
      </c>
      <c r="N444" s="13">
        <f>SUM(N445,N449,N452,N456,N459,N462,N466,N469,N472,N475,N479,N484)</f>
        <v>348373.99</v>
      </c>
      <c r="O444" s="13">
        <f>SUM(O445,O449,O452,O456,O459,O462,O466,O469,O472,O475,O479,O484)</f>
        <v>414705.37</v>
      </c>
      <c r="P444" s="12"/>
      <c r="Q444" s="12"/>
      <c r="R444" s="12"/>
      <c r="S444" s="13">
        <f>SUM(S445,S449,S452,S456,S459,S462,S466,S469,S472,S475,S479,S484)</f>
        <v>66331.38</v>
      </c>
      <c r="T444" s="13">
        <f>SUM(T445,T449,T452,T456,T459,T462,T466,T469,T472,T475,T479,T484)</f>
        <v>348373.99</v>
      </c>
      <c r="U444" s="13">
        <f>SUM(U445,U449,U452,U456,U459,U462,U466,U469,U472,U475,U479,U484)</f>
        <v>414705.37</v>
      </c>
      <c r="Y444" s="9">
        <f>SUM(Y445,Y449,Y452,Y456,Y459,Y462,Y466,Y469,Y472,Y475,Y479,Y484)</f>
        <v>55276.17</v>
      </c>
      <c r="Z444" s="9">
        <f>SUM(Z445,Z449,Z452,Z456,Z459,Z462,Z466,Z469,Z472,Z475,Z479,Z484)</f>
        <v>290311.65999999997</v>
      </c>
      <c r="AA444" s="9">
        <f>SUM(AA445,AA449,AA452,AA456,AA459,AA462,AA466,AA469,AA472,AA475,AA479,AA484)</f>
        <v>345587.83</v>
      </c>
      <c r="AD444" s="4">
        <v>264030313</v>
      </c>
      <c r="AE444" s="4">
        <v>18541165</v>
      </c>
    </row>
    <row r="445" spans="1:35" ht="56.25" x14ac:dyDescent="0.25">
      <c r="A445" s="11" t="s">
        <v>1401</v>
      </c>
      <c r="B445" s="11" t="s">
        <v>1402</v>
      </c>
      <c r="C445" s="20" t="s">
        <v>1403</v>
      </c>
      <c r="D445" s="21"/>
      <c r="E445" s="21" t="s">
        <v>1404</v>
      </c>
      <c r="F445" s="21" t="s">
        <v>56</v>
      </c>
      <c r="G445" s="22">
        <v>1</v>
      </c>
      <c r="H445" s="21"/>
      <c r="I445" s="22">
        <v>25.45</v>
      </c>
      <c r="J445" s="23">
        <f>IFERROR(ROUND(SUM(M446,M447,M448)/I445, 2),0)</f>
        <v>151.59</v>
      </c>
      <c r="K445" s="23">
        <v>1001</v>
      </c>
      <c r="L445" s="23">
        <f>J445+ROUND(K445, 2)</f>
        <v>1152.5899999999999</v>
      </c>
      <c r="M445" s="23">
        <f>ROUND(J445*I445, 2)</f>
        <v>3857.97</v>
      </c>
      <c r="N445" s="23">
        <f>ROUND(I445*ROUND(K445, 2), 2)</f>
        <v>25475.45</v>
      </c>
      <c r="O445" s="23">
        <f>M445+N445</f>
        <v>29333.42</v>
      </c>
      <c r="P445" s="23">
        <f>IFERROR(ROUND(SUM(S446,S447,S448)/I445, 2),0)</f>
        <v>151.59</v>
      </c>
      <c r="Q445" s="23">
        <v>1001</v>
      </c>
      <c r="R445" s="23">
        <f>P445+ROUND(Q445, 2)</f>
        <v>1152.5899999999999</v>
      </c>
      <c r="S445" s="23">
        <f>ROUND(P445*I445, 2)</f>
        <v>3857.97</v>
      </c>
      <c r="T445" s="23">
        <f>ROUND(I445*ROUND(Q445, 2), 2)</f>
        <v>25475.45</v>
      </c>
      <c r="U445" s="23">
        <f>S445+T445</f>
        <v>29333.42</v>
      </c>
      <c r="V445" s="9">
        <f>ROUND(P445 / 1.2, 2)</f>
        <v>126.33</v>
      </c>
      <c r="W445" s="9">
        <f>ROUND(Q445 / 1.2, 2)</f>
        <v>834.17</v>
      </c>
      <c r="X445" s="9">
        <f>ROUND(R445 / 1.2, 2)</f>
        <v>960.49</v>
      </c>
      <c r="Y445" s="9">
        <f>ROUND(S445 / 1.2, 2)</f>
        <v>3214.98</v>
      </c>
      <c r="Z445" s="9">
        <f>ROUND(T445 / 1.2, 2)</f>
        <v>21229.54</v>
      </c>
      <c r="AA445" s="9">
        <f>Y445+Z445</f>
        <v>24444.52</v>
      </c>
      <c r="AD445" s="4">
        <v>264030315</v>
      </c>
      <c r="AE445" s="4">
        <v>18541176</v>
      </c>
      <c r="AG445" s="4" t="s">
        <v>1405</v>
      </c>
      <c r="AH445" s="4" t="s">
        <v>1406</v>
      </c>
      <c r="AI445" s="4" t="s">
        <v>249</v>
      </c>
    </row>
    <row r="446" spans="1:35" ht="56.25" x14ac:dyDescent="0.25">
      <c r="A446" s="11" t="s">
        <v>1407</v>
      </c>
      <c r="B446" s="11"/>
      <c r="C446" s="31" t="s">
        <v>859</v>
      </c>
      <c r="D446" s="21"/>
      <c r="E446" s="21" t="s">
        <v>860</v>
      </c>
      <c r="F446" s="32" t="s">
        <v>81</v>
      </c>
      <c r="G446" s="33">
        <v>5</v>
      </c>
      <c r="H446" s="21"/>
      <c r="I446" s="33">
        <v>127.25</v>
      </c>
      <c r="J446" s="35">
        <v>23</v>
      </c>
      <c r="K446" s="12"/>
      <c r="L446" s="12"/>
      <c r="M446" s="35">
        <f>ROUND(ROUND(J446, 2)*I446, 2)</f>
        <v>2926.75</v>
      </c>
      <c r="N446" s="12"/>
      <c r="O446" s="12"/>
      <c r="P446" s="35">
        <v>23</v>
      </c>
      <c r="Q446" s="12"/>
      <c r="R446" s="12"/>
      <c r="S446" s="35">
        <f>ROUND(ROUND(P446, 2)*I446, 2)</f>
        <v>2926.75</v>
      </c>
      <c r="T446" s="12"/>
      <c r="U446" s="36"/>
      <c r="V446" s="9">
        <f>ROUND(ROUND(P446, 2)/1.2, 2)</f>
        <v>19.170000000000002</v>
      </c>
      <c r="Y446" s="9">
        <f t="shared" ref="Y446:Y487" si="106">ROUND(S446 / 1.2, 2)</f>
        <v>2438.96</v>
      </c>
      <c r="AD446" s="4" t="s">
        <v>1408</v>
      </c>
      <c r="AE446" s="4" t="s">
        <v>1409</v>
      </c>
      <c r="AF446" s="4" t="s">
        <v>863</v>
      </c>
    </row>
    <row r="447" spans="1:35" ht="56.25" x14ac:dyDescent="0.25">
      <c r="A447" s="11" t="s">
        <v>1410</v>
      </c>
      <c r="B447" s="11"/>
      <c r="C447" s="31" t="s">
        <v>1069</v>
      </c>
      <c r="D447" s="21"/>
      <c r="E447" s="21"/>
      <c r="F447" s="32" t="s">
        <v>103</v>
      </c>
      <c r="G447" s="33">
        <v>0.3</v>
      </c>
      <c r="H447" s="21"/>
      <c r="I447" s="34">
        <v>8.1</v>
      </c>
      <c r="J447" s="35">
        <v>73.099999999999994</v>
      </c>
      <c r="K447" s="12"/>
      <c r="L447" s="12"/>
      <c r="M447" s="35">
        <f>ROUND(ROUND(J447, 2)*I447, 2)</f>
        <v>592.11</v>
      </c>
      <c r="N447" s="12"/>
      <c r="O447" s="12"/>
      <c r="P447" s="35">
        <v>73.099999999999994</v>
      </c>
      <c r="Q447" s="12"/>
      <c r="R447" s="12"/>
      <c r="S447" s="35">
        <f>ROUND(ROUND(P447, 2)*I447, 2)</f>
        <v>592.11</v>
      </c>
      <c r="T447" s="12"/>
      <c r="U447" s="36"/>
      <c r="V447" s="9">
        <f>ROUND(ROUND(P447, 2)/1.2, 2)</f>
        <v>60.92</v>
      </c>
      <c r="Y447" s="9">
        <f t="shared" si="106"/>
        <v>493.43</v>
      </c>
      <c r="AD447" s="4" t="s">
        <v>1411</v>
      </c>
      <c r="AE447" s="4" t="s">
        <v>1412</v>
      </c>
      <c r="AF447" s="4" t="s">
        <v>1072</v>
      </c>
    </row>
    <row r="448" spans="1:35" ht="37.5" x14ac:dyDescent="0.25">
      <c r="A448" s="11" t="s">
        <v>1413</v>
      </c>
      <c r="B448" s="11"/>
      <c r="C448" s="31" t="s">
        <v>490</v>
      </c>
      <c r="D448" s="21"/>
      <c r="E448" s="21"/>
      <c r="F448" s="32" t="s">
        <v>81</v>
      </c>
      <c r="G448" s="33">
        <v>0.15</v>
      </c>
      <c r="H448" s="21"/>
      <c r="I448" s="33">
        <v>3.8180000000000001</v>
      </c>
      <c r="J448" s="35">
        <v>88.8</v>
      </c>
      <c r="K448" s="12"/>
      <c r="L448" s="12"/>
      <c r="M448" s="35">
        <f>ROUND(ROUND(J448, 2)*I448, 2)</f>
        <v>339.04</v>
      </c>
      <c r="N448" s="12"/>
      <c r="O448" s="12"/>
      <c r="P448" s="35">
        <v>88.8</v>
      </c>
      <c r="Q448" s="12"/>
      <c r="R448" s="12"/>
      <c r="S448" s="35">
        <f>ROUND(ROUND(P448, 2)*I448, 2)</f>
        <v>339.04</v>
      </c>
      <c r="T448" s="12"/>
      <c r="U448" s="36"/>
      <c r="V448" s="9">
        <f>ROUND(ROUND(P448, 2)/1.2, 2)</f>
        <v>74</v>
      </c>
      <c r="Y448" s="9">
        <f t="shared" si="106"/>
        <v>282.52999999999997</v>
      </c>
      <c r="AD448" s="4" t="s">
        <v>1414</v>
      </c>
      <c r="AE448" s="4" t="s">
        <v>1415</v>
      </c>
      <c r="AF448" s="4" t="s">
        <v>493</v>
      </c>
    </row>
    <row r="449" spans="1:35" ht="56.25" x14ac:dyDescent="0.25">
      <c r="A449" s="11" t="s">
        <v>1416</v>
      </c>
      <c r="B449" s="11" t="s">
        <v>1402</v>
      </c>
      <c r="C449" s="20" t="s">
        <v>1403</v>
      </c>
      <c r="D449" s="21"/>
      <c r="E449" s="21" t="s">
        <v>1417</v>
      </c>
      <c r="F449" s="21" t="s">
        <v>56</v>
      </c>
      <c r="G449" s="22">
        <v>1</v>
      </c>
      <c r="H449" s="21"/>
      <c r="I449" s="22">
        <v>25.45</v>
      </c>
      <c r="J449" s="23">
        <f>IFERROR(ROUND(SUM(M450,M451)/I449, 2),0)</f>
        <v>128.32</v>
      </c>
      <c r="K449" s="23">
        <v>1001</v>
      </c>
      <c r="L449" s="23">
        <f>J449+ROUND(K449, 2)</f>
        <v>1129.32</v>
      </c>
      <c r="M449" s="23">
        <f>ROUND(J449*I449, 2)</f>
        <v>3265.74</v>
      </c>
      <c r="N449" s="23">
        <f>ROUND(I449*ROUND(K449, 2), 2)</f>
        <v>25475.45</v>
      </c>
      <c r="O449" s="23">
        <f>M449+N449</f>
        <v>28741.19</v>
      </c>
      <c r="P449" s="23">
        <f>IFERROR(ROUND(SUM(S450,S451)/I449, 2),0)</f>
        <v>128.32</v>
      </c>
      <c r="Q449" s="23">
        <v>1001</v>
      </c>
      <c r="R449" s="23">
        <f>P449+ROUND(Q449, 2)</f>
        <v>1129.32</v>
      </c>
      <c r="S449" s="23">
        <f>ROUND(P449*I449, 2)</f>
        <v>3265.74</v>
      </c>
      <c r="T449" s="23">
        <f>ROUND(I449*ROUND(Q449, 2), 2)</f>
        <v>25475.45</v>
      </c>
      <c r="U449" s="23">
        <f>S449+T449</f>
        <v>28741.19</v>
      </c>
      <c r="V449" s="9">
        <f>ROUND(P449 / 1.2, 2)</f>
        <v>106.93</v>
      </c>
      <c r="W449" s="9">
        <f>ROUND(Q449 / 1.2, 2)</f>
        <v>834.17</v>
      </c>
      <c r="X449" s="9">
        <f>ROUND(R449 / 1.2, 2)</f>
        <v>941.1</v>
      </c>
      <c r="Y449" s="9">
        <f t="shared" si="106"/>
        <v>2721.45</v>
      </c>
      <c r="Z449" s="9">
        <f>ROUND(T449 / 1.2, 2)</f>
        <v>21229.54</v>
      </c>
      <c r="AA449" s="9">
        <f>Y449+Z449</f>
        <v>23950.99</v>
      </c>
      <c r="AD449" s="4">
        <v>264030400</v>
      </c>
      <c r="AE449" s="4">
        <v>18541177</v>
      </c>
      <c r="AG449" s="4" t="s">
        <v>1405</v>
      </c>
      <c r="AH449" s="4" t="s">
        <v>1406</v>
      </c>
      <c r="AI449" s="4" t="s">
        <v>249</v>
      </c>
    </row>
    <row r="450" spans="1:35" ht="37.5" x14ac:dyDescent="0.25">
      <c r="A450" s="11" t="s">
        <v>1418</v>
      </c>
      <c r="B450" s="11"/>
      <c r="C450" s="31" t="s">
        <v>490</v>
      </c>
      <c r="D450" s="21"/>
      <c r="E450" s="21"/>
      <c r="F450" s="32" t="s">
        <v>81</v>
      </c>
      <c r="G450" s="33">
        <v>0.15</v>
      </c>
      <c r="H450" s="21"/>
      <c r="I450" s="33">
        <v>3.8180000000000001</v>
      </c>
      <c r="J450" s="35">
        <v>88.8</v>
      </c>
      <c r="K450" s="12"/>
      <c r="L450" s="12"/>
      <c r="M450" s="35">
        <f>ROUND(ROUND(J450, 2)*I450, 2)</f>
        <v>339.04</v>
      </c>
      <c r="N450" s="12"/>
      <c r="O450" s="12"/>
      <c r="P450" s="35">
        <v>88.8</v>
      </c>
      <c r="Q450" s="12"/>
      <c r="R450" s="12"/>
      <c r="S450" s="35">
        <f>ROUND(ROUND(P450, 2)*I450, 2)</f>
        <v>339.04</v>
      </c>
      <c r="T450" s="12"/>
      <c r="U450" s="36"/>
      <c r="V450" s="9">
        <f>ROUND(ROUND(P450, 2)/1.2, 2)</f>
        <v>74</v>
      </c>
      <c r="Y450" s="9">
        <f t="shared" si="106"/>
        <v>282.52999999999997</v>
      </c>
      <c r="AD450" s="4" t="s">
        <v>1419</v>
      </c>
      <c r="AE450" s="4" t="s">
        <v>1420</v>
      </c>
      <c r="AF450" s="4" t="s">
        <v>493</v>
      </c>
    </row>
    <row r="451" spans="1:35" ht="56.25" x14ac:dyDescent="0.25">
      <c r="A451" s="11" t="s">
        <v>1421</v>
      </c>
      <c r="B451" s="11"/>
      <c r="C451" s="31" t="s">
        <v>859</v>
      </c>
      <c r="D451" s="21"/>
      <c r="E451" s="21" t="s">
        <v>1056</v>
      </c>
      <c r="F451" s="32" t="s">
        <v>81</v>
      </c>
      <c r="G451" s="33">
        <v>5</v>
      </c>
      <c r="H451" s="21"/>
      <c r="I451" s="33">
        <v>127.25</v>
      </c>
      <c r="J451" s="35">
        <v>23</v>
      </c>
      <c r="K451" s="12"/>
      <c r="L451" s="12"/>
      <c r="M451" s="35">
        <f>ROUND(ROUND(J451, 2)*I451, 2)</f>
        <v>2926.75</v>
      </c>
      <c r="N451" s="12"/>
      <c r="O451" s="12"/>
      <c r="P451" s="35">
        <v>23</v>
      </c>
      <c r="Q451" s="12"/>
      <c r="R451" s="12"/>
      <c r="S451" s="35">
        <f>ROUND(ROUND(P451, 2)*I451, 2)</f>
        <v>2926.75</v>
      </c>
      <c r="T451" s="12"/>
      <c r="U451" s="36"/>
      <c r="V451" s="9">
        <f>ROUND(ROUND(P451, 2)/1.2, 2)</f>
        <v>19.170000000000002</v>
      </c>
      <c r="Y451" s="9">
        <f t="shared" si="106"/>
        <v>2438.96</v>
      </c>
      <c r="AD451" s="4" t="s">
        <v>1422</v>
      </c>
      <c r="AE451" s="4" t="s">
        <v>1423</v>
      </c>
      <c r="AF451" s="4" t="s">
        <v>863</v>
      </c>
    </row>
    <row r="452" spans="1:35" ht="56.25" x14ac:dyDescent="0.25">
      <c r="A452" s="11" t="s">
        <v>1424</v>
      </c>
      <c r="B452" s="11" t="s">
        <v>1402</v>
      </c>
      <c r="C452" s="20" t="s">
        <v>1403</v>
      </c>
      <c r="D452" s="21"/>
      <c r="E452" s="21" t="s">
        <v>1425</v>
      </c>
      <c r="F452" s="21" t="s">
        <v>56</v>
      </c>
      <c r="G452" s="22">
        <v>1</v>
      </c>
      <c r="H452" s="21"/>
      <c r="I452" s="22">
        <v>51.66</v>
      </c>
      <c r="J452" s="23">
        <f>IFERROR(ROUND(SUM(M453,M454,M455)/I452, 2),0)</f>
        <v>57.89</v>
      </c>
      <c r="K452" s="23">
        <v>1001</v>
      </c>
      <c r="L452" s="23">
        <f>J452+ROUND(K452, 2)</f>
        <v>1058.8900000000001</v>
      </c>
      <c r="M452" s="23">
        <f>ROUND(J452*I452, 2)</f>
        <v>2990.6</v>
      </c>
      <c r="N452" s="23">
        <f>ROUND(I452*ROUND(K452, 2), 2)</f>
        <v>51711.66</v>
      </c>
      <c r="O452" s="23">
        <f>M452+N452</f>
        <v>54702.26</v>
      </c>
      <c r="P452" s="23">
        <f>IFERROR(ROUND(SUM(S453,S454,S455)/I452, 2),0)</f>
        <v>57.89</v>
      </c>
      <c r="Q452" s="23">
        <v>1001</v>
      </c>
      <c r="R452" s="23">
        <f>P452+ROUND(Q452, 2)</f>
        <v>1058.8900000000001</v>
      </c>
      <c r="S452" s="23">
        <f>ROUND(P452*I452, 2)</f>
        <v>2990.6</v>
      </c>
      <c r="T452" s="23">
        <f>ROUND(I452*ROUND(Q452, 2), 2)</f>
        <v>51711.66</v>
      </c>
      <c r="U452" s="23">
        <f>S452+T452</f>
        <v>54702.26</v>
      </c>
      <c r="V452" s="9">
        <f>ROUND(P452 / 1.2, 2)</f>
        <v>48.24</v>
      </c>
      <c r="W452" s="9">
        <f>ROUND(Q452 / 1.2, 2)</f>
        <v>834.17</v>
      </c>
      <c r="X452" s="9">
        <f>ROUND(R452 / 1.2, 2)</f>
        <v>882.41</v>
      </c>
      <c r="Y452" s="9">
        <f t="shared" si="106"/>
        <v>2492.17</v>
      </c>
      <c r="Z452" s="9">
        <f>ROUND(T452 / 1.2, 2)</f>
        <v>43093.05</v>
      </c>
      <c r="AA452" s="9">
        <f>Y452+Z452</f>
        <v>45585.22</v>
      </c>
      <c r="AD452" s="4">
        <v>264030401</v>
      </c>
      <c r="AE452" s="4">
        <v>19923298</v>
      </c>
      <c r="AG452" s="4" t="s">
        <v>1405</v>
      </c>
      <c r="AH452" s="4" t="s">
        <v>1406</v>
      </c>
      <c r="AI452" s="4" t="s">
        <v>249</v>
      </c>
    </row>
    <row r="453" spans="1:35" ht="56.25" x14ac:dyDescent="0.25">
      <c r="A453" s="11" t="s">
        <v>1426</v>
      </c>
      <c r="B453" s="11"/>
      <c r="C453" s="37" t="s">
        <v>926</v>
      </c>
      <c r="D453" s="21"/>
      <c r="E453" s="21" t="s">
        <v>1427</v>
      </c>
      <c r="F453" s="32" t="s">
        <v>81</v>
      </c>
      <c r="G453" s="33">
        <v>1.8</v>
      </c>
      <c r="H453" s="21"/>
      <c r="I453" s="33">
        <v>92.988</v>
      </c>
      <c r="J453" s="35">
        <v>12.58</v>
      </c>
      <c r="K453" s="12"/>
      <c r="L453" s="12"/>
      <c r="M453" s="35">
        <f>ROUND(ROUND(J453, 2)*I453, 2)</f>
        <v>1169.79</v>
      </c>
      <c r="N453" s="12"/>
      <c r="O453" s="12"/>
      <c r="P453" s="35">
        <v>12.58</v>
      </c>
      <c r="Q453" s="12"/>
      <c r="R453" s="12"/>
      <c r="S453" s="35">
        <f>ROUND(ROUND(P453, 2)*I453, 2)</f>
        <v>1169.79</v>
      </c>
      <c r="T453" s="12"/>
      <c r="U453" s="36"/>
      <c r="V453" s="9">
        <f>ROUND(ROUND(P453, 2)/1.2, 2)</f>
        <v>10.48</v>
      </c>
      <c r="Y453" s="9">
        <f t="shared" si="106"/>
        <v>974.83</v>
      </c>
      <c r="AD453" s="4" t="s">
        <v>1428</v>
      </c>
      <c r="AE453" s="4" t="s">
        <v>1429</v>
      </c>
      <c r="AF453" s="4" t="s">
        <v>929</v>
      </c>
    </row>
    <row r="454" spans="1:35" ht="18.75" x14ac:dyDescent="0.25">
      <c r="A454" s="11" t="s">
        <v>1430</v>
      </c>
      <c r="B454" s="11"/>
      <c r="C454" s="31" t="s">
        <v>865</v>
      </c>
      <c r="D454" s="21"/>
      <c r="E454" s="21"/>
      <c r="F454" s="32" t="s">
        <v>103</v>
      </c>
      <c r="G454" s="33">
        <v>0.3</v>
      </c>
      <c r="H454" s="21"/>
      <c r="I454" s="33">
        <v>15.497999999999999</v>
      </c>
      <c r="J454" s="35">
        <v>73.099999999999994</v>
      </c>
      <c r="K454" s="12"/>
      <c r="L454" s="12"/>
      <c r="M454" s="35">
        <f>ROUND(ROUND(J454, 2)*I454, 2)</f>
        <v>1132.9000000000001</v>
      </c>
      <c r="N454" s="12"/>
      <c r="O454" s="12"/>
      <c r="P454" s="35">
        <v>73.099999999999994</v>
      </c>
      <c r="Q454" s="12"/>
      <c r="R454" s="12"/>
      <c r="S454" s="35">
        <f>ROUND(ROUND(P454, 2)*I454, 2)</f>
        <v>1132.9000000000001</v>
      </c>
      <c r="T454" s="12"/>
      <c r="U454" s="36"/>
      <c r="V454" s="9">
        <f>ROUND(ROUND(P454, 2)/1.2, 2)</f>
        <v>60.92</v>
      </c>
      <c r="Y454" s="9">
        <f t="shared" si="106"/>
        <v>944.08</v>
      </c>
      <c r="AD454" s="4" t="s">
        <v>1431</v>
      </c>
      <c r="AE454" s="4" t="s">
        <v>1432</v>
      </c>
      <c r="AF454" s="4" t="s">
        <v>868</v>
      </c>
    </row>
    <row r="455" spans="1:35" ht="37.5" x14ac:dyDescent="0.25">
      <c r="A455" s="11" t="s">
        <v>1433</v>
      </c>
      <c r="B455" s="11"/>
      <c r="C455" s="31" t="s">
        <v>490</v>
      </c>
      <c r="D455" s="21"/>
      <c r="E455" s="21"/>
      <c r="F455" s="32" t="s">
        <v>81</v>
      </c>
      <c r="G455" s="33">
        <v>0.15</v>
      </c>
      <c r="H455" s="21"/>
      <c r="I455" s="33">
        <v>7.7489999999999997</v>
      </c>
      <c r="J455" s="35">
        <v>88.8</v>
      </c>
      <c r="K455" s="12"/>
      <c r="L455" s="12"/>
      <c r="M455" s="35">
        <f>ROUND(ROUND(J455, 2)*I455, 2)</f>
        <v>688.11</v>
      </c>
      <c r="N455" s="12"/>
      <c r="O455" s="12"/>
      <c r="P455" s="35">
        <v>88.8</v>
      </c>
      <c r="Q455" s="12"/>
      <c r="R455" s="12"/>
      <c r="S455" s="35">
        <f>ROUND(ROUND(P455, 2)*I455, 2)</f>
        <v>688.11</v>
      </c>
      <c r="T455" s="12"/>
      <c r="U455" s="36"/>
      <c r="V455" s="9">
        <f>ROUND(ROUND(P455, 2)/1.2, 2)</f>
        <v>74</v>
      </c>
      <c r="Y455" s="9">
        <f t="shared" si="106"/>
        <v>573.42999999999995</v>
      </c>
      <c r="AD455" s="4" t="s">
        <v>1434</v>
      </c>
      <c r="AE455" s="4" t="s">
        <v>1435</v>
      </c>
      <c r="AF455" s="4" t="s">
        <v>493</v>
      </c>
    </row>
    <row r="456" spans="1:35" ht="56.25" x14ac:dyDescent="0.25">
      <c r="A456" s="11" t="s">
        <v>1436</v>
      </c>
      <c r="B456" s="11" t="s">
        <v>1402</v>
      </c>
      <c r="C456" s="20" t="s">
        <v>1403</v>
      </c>
      <c r="D456" s="21"/>
      <c r="E456" s="21" t="s">
        <v>1437</v>
      </c>
      <c r="F456" s="21" t="s">
        <v>56</v>
      </c>
      <c r="G456" s="22">
        <v>1</v>
      </c>
      <c r="H456" s="21"/>
      <c r="I456" s="22">
        <v>51.66</v>
      </c>
      <c r="J456" s="23">
        <f>IFERROR(ROUND(SUM(M457,M458)/I456, 2),0)</f>
        <v>35.96</v>
      </c>
      <c r="K456" s="23">
        <v>1001</v>
      </c>
      <c r="L456" s="23">
        <f>J456+ROUND(K456, 2)</f>
        <v>1036.96</v>
      </c>
      <c r="M456" s="23">
        <f>ROUND(J456*I456, 2)</f>
        <v>1857.69</v>
      </c>
      <c r="N456" s="23">
        <f>ROUND(I456*ROUND(K456, 2), 2)</f>
        <v>51711.66</v>
      </c>
      <c r="O456" s="23">
        <f>M456+N456</f>
        <v>53569.35</v>
      </c>
      <c r="P456" s="23">
        <f>IFERROR(ROUND(SUM(S457,S458)/I456, 2),0)</f>
        <v>35.96</v>
      </c>
      <c r="Q456" s="23">
        <v>1001</v>
      </c>
      <c r="R456" s="23">
        <f>P456+ROUND(Q456, 2)</f>
        <v>1036.96</v>
      </c>
      <c r="S456" s="23">
        <f>ROUND(P456*I456, 2)</f>
        <v>1857.69</v>
      </c>
      <c r="T456" s="23">
        <f>ROUND(I456*ROUND(Q456, 2), 2)</f>
        <v>51711.66</v>
      </c>
      <c r="U456" s="23">
        <f>S456+T456</f>
        <v>53569.35</v>
      </c>
      <c r="V456" s="9">
        <f>ROUND(P456 / 1.2, 2)</f>
        <v>29.97</v>
      </c>
      <c r="W456" s="9">
        <f>ROUND(Q456 / 1.2, 2)</f>
        <v>834.17</v>
      </c>
      <c r="X456" s="9">
        <f>ROUND(R456 / 1.2, 2)</f>
        <v>864.13</v>
      </c>
      <c r="Y456" s="9">
        <f t="shared" si="106"/>
        <v>1548.08</v>
      </c>
      <c r="Z456" s="9">
        <f>ROUND(T456 / 1.2, 2)</f>
        <v>43093.05</v>
      </c>
      <c r="AA456" s="9">
        <f>Y456+Z456</f>
        <v>44641.13</v>
      </c>
      <c r="AD456" s="4">
        <v>264030402</v>
      </c>
      <c r="AE456" s="4">
        <v>19923299</v>
      </c>
      <c r="AG456" s="4" t="s">
        <v>1405</v>
      </c>
      <c r="AH456" s="4" t="s">
        <v>1406</v>
      </c>
      <c r="AI456" s="4" t="s">
        <v>249</v>
      </c>
    </row>
    <row r="457" spans="1:35" ht="37.5" x14ac:dyDescent="0.25">
      <c r="A457" s="11" t="s">
        <v>1438</v>
      </c>
      <c r="B457" s="11"/>
      <c r="C457" s="31" t="s">
        <v>490</v>
      </c>
      <c r="D457" s="21"/>
      <c r="E457" s="21"/>
      <c r="F457" s="32" t="s">
        <v>81</v>
      </c>
      <c r="G457" s="33">
        <v>0.15</v>
      </c>
      <c r="H457" s="21"/>
      <c r="I457" s="33">
        <v>7.7489999999999997</v>
      </c>
      <c r="J457" s="35">
        <v>88.8</v>
      </c>
      <c r="K457" s="12"/>
      <c r="L457" s="12"/>
      <c r="M457" s="35">
        <f>ROUND(ROUND(J457, 2)*I457, 2)</f>
        <v>688.11</v>
      </c>
      <c r="N457" s="12"/>
      <c r="O457" s="12"/>
      <c r="P457" s="35">
        <v>88.8</v>
      </c>
      <c r="Q457" s="12"/>
      <c r="R457" s="12"/>
      <c r="S457" s="35">
        <f>ROUND(ROUND(P457, 2)*I457, 2)</f>
        <v>688.11</v>
      </c>
      <c r="T457" s="12"/>
      <c r="U457" s="36"/>
      <c r="V457" s="9">
        <f>ROUND(ROUND(P457, 2)/1.2, 2)</f>
        <v>74</v>
      </c>
      <c r="Y457" s="9">
        <f t="shared" si="106"/>
        <v>573.42999999999995</v>
      </c>
      <c r="AD457" s="4" t="s">
        <v>1439</v>
      </c>
      <c r="AE457" s="4" t="s">
        <v>1440</v>
      </c>
      <c r="AF457" s="4" t="s">
        <v>493</v>
      </c>
    </row>
    <row r="458" spans="1:35" ht="56.25" x14ac:dyDescent="0.25">
      <c r="A458" s="11" t="s">
        <v>1441</v>
      </c>
      <c r="B458" s="11"/>
      <c r="C458" s="37" t="s">
        <v>926</v>
      </c>
      <c r="D458" s="21"/>
      <c r="E458" s="21"/>
      <c r="F458" s="32" t="s">
        <v>81</v>
      </c>
      <c r="G458" s="33">
        <v>1.8</v>
      </c>
      <c r="H458" s="21"/>
      <c r="I458" s="33">
        <v>92.988</v>
      </c>
      <c r="J458" s="35">
        <v>12.58</v>
      </c>
      <c r="K458" s="12"/>
      <c r="L458" s="12"/>
      <c r="M458" s="35">
        <f>ROUND(ROUND(J458, 2)*I458, 2)</f>
        <v>1169.79</v>
      </c>
      <c r="N458" s="12"/>
      <c r="O458" s="12"/>
      <c r="P458" s="35">
        <v>12.58</v>
      </c>
      <c r="Q458" s="12"/>
      <c r="R458" s="12"/>
      <c r="S458" s="35">
        <f>ROUND(ROUND(P458, 2)*I458, 2)</f>
        <v>1169.79</v>
      </c>
      <c r="T458" s="12"/>
      <c r="U458" s="36"/>
      <c r="V458" s="9">
        <f>ROUND(ROUND(P458, 2)/1.2, 2)</f>
        <v>10.48</v>
      </c>
      <c r="Y458" s="9">
        <f t="shared" si="106"/>
        <v>974.83</v>
      </c>
      <c r="AD458" s="4" t="s">
        <v>1442</v>
      </c>
      <c r="AE458" s="4" t="s">
        <v>1443</v>
      </c>
      <c r="AF458" s="4" t="s">
        <v>929</v>
      </c>
    </row>
    <row r="459" spans="1:35" ht="56.25" x14ac:dyDescent="0.25">
      <c r="A459" s="11" t="s">
        <v>1444</v>
      </c>
      <c r="B459" s="11" t="s">
        <v>1402</v>
      </c>
      <c r="C459" s="20" t="s">
        <v>1403</v>
      </c>
      <c r="D459" s="21"/>
      <c r="E459" s="21" t="s">
        <v>1445</v>
      </c>
      <c r="F459" s="21" t="s">
        <v>56</v>
      </c>
      <c r="G459" s="22">
        <v>1</v>
      </c>
      <c r="H459" s="21"/>
      <c r="I459" s="22">
        <v>37.68</v>
      </c>
      <c r="J459" s="23">
        <f>IFERROR(ROUND(SUM(M460,M461)/I459, 2),0)</f>
        <v>128.32</v>
      </c>
      <c r="K459" s="23">
        <v>1001</v>
      </c>
      <c r="L459" s="23">
        <f>J459+ROUND(K459, 2)</f>
        <v>1129.32</v>
      </c>
      <c r="M459" s="23">
        <f>ROUND(J459*I459, 2)</f>
        <v>4835.1000000000004</v>
      </c>
      <c r="N459" s="23">
        <f>ROUND(I459*ROUND(K459, 2), 2)</f>
        <v>37717.68</v>
      </c>
      <c r="O459" s="23">
        <f>M459+N459</f>
        <v>42552.78</v>
      </c>
      <c r="P459" s="23">
        <f>IFERROR(ROUND(SUM(S460,S461)/I459, 2),0)</f>
        <v>128.32</v>
      </c>
      <c r="Q459" s="23">
        <v>1001</v>
      </c>
      <c r="R459" s="23">
        <f>P459+ROUND(Q459, 2)</f>
        <v>1129.32</v>
      </c>
      <c r="S459" s="23">
        <f>ROUND(P459*I459, 2)</f>
        <v>4835.1000000000004</v>
      </c>
      <c r="T459" s="23">
        <f>ROUND(I459*ROUND(Q459, 2), 2)</f>
        <v>37717.68</v>
      </c>
      <c r="U459" s="23">
        <f>S459+T459</f>
        <v>42552.78</v>
      </c>
      <c r="V459" s="9">
        <f>ROUND(P459 / 1.2, 2)</f>
        <v>106.93</v>
      </c>
      <c r="W459" s="9">
        <f>ROUND(Q459 / 1.2, 2)</f>
        <v>834.17</v>
      </c>
      <c r="X459" s="9">
        <f>ROUND(R459 / 1.2, 2)</f>
        <v>941.1</v>
      </c>
      <c r="Y459" s="9">
        <f t="shared" si="106"/>
        <v>4029.25</v>
      </c>
      <c r="Z459" s="9">
        <f>ROUND(T459 / 1.2, 2)</f>
        <v>31431.4</v>
      </c>
      <c r="AA459" s="9">
        <f>Y459+Z459</f>
        <v>35460.65</v>
      </c>
      <c r="AD459" s="4">
        <v>264030403</v>
      </c>
      <c r="AE459" s="4">
        <v>19934299</v>
      </c>
      <c r="AG459" s="4" t="s">
        <v>1405</v>
      </c>
      <c r="AH459" s="4" t="s">
        <v>1406</v>
      </c>
      <c r="AI459" s="4" t="s">
        <v>249</v>
      </c>
    </row>
    <row r="460" spans="1:35" ht="56.25" x14ac:dyDescent="0.25">
      <c r="A460" s="11" t="s">
        <v>1446</v>
      </c>
      <c r="B460" s="11"/>
      <c r="C460" s="31" t="s">
        <v>859</v>
      </c>
      <c r="D460" s="21"/>
      <c r="E460" s="21" t="s">
        <v>1056</v>
      </c>
      <c r="F460" s="32" t="s">
        <v>81</v>
      </c>
      <c r="G460" s="33">
        <v>5</v>
      </c>
      <c r="H460" s="21"/>
      <c r="I460" s="33">
        <v>188.4</v>
      </c>
      <c r="J460" s="35">
        <v>23</v>
      </c>
      <c r="K460" s="12"/>
      <c r="L460" s="12"/>
      <c r="M460" s="35">
        <f>ROUND(ROUND(J460, 2)*I460, 2)</f>
        <v>4333.2</v>
      </c>
      <c r="N460" s="12"/>
      <c r="O460" s="12"/>
      <c r="P460" s="35">
        <v>23</v>
      </c>
      <c r="Q460" s="12"/>
      <c r="R460" s="12"/>
      <c r="S460" s="35">
        <f>ROUND(ROUND(P460, 2)*I460, 2)</f>
        <v>4333.2</v>
      </c>
      <c r="T460" s="12"/>
      <c r="U460" s="36"/>
      <c r="V460" s="9">
        <f>ROUND(ROUND(P460, 2)/1.2, 2)</f>
        <v>19.170000000000002</v>
      </c>
      <c r="Y460" s="9">
        <f t="shared" si="106"/>
        <v>3611</v>
      </c>
      <c r="AD460" s="4" t="s">
        <v>1447</v>
      </c>
      <c r="AE460" s="4" t="s">
        <v>1448</v>
      </c>
      <c r="AF460" s="4" t="s">
        <v>863</v>
      </c>
    </row>
    <row r="461" spans="1:35" ht="37.5" x14ac:dyDescent="0.25">
      <c r="A461" s="11" t="s">
        <v>1449</v>
      </c>
      <c r="B461" s="11"/>
      <c r="C461" s="31" t="s">
        <v>490</v>
      </c>
      <c r="D461" s="21"/>
      <c r="E461" s="21"/>
      <c r="F461" s="32" t="s">
        <v>81</v>
      </c>
      <c r="G461" s="33">
        <v>0.15</v>
      </c>
      <c r="H461" s="21"/>
      <c r="I461" s="33">
        <v>5.6520000000000001</v>
      </c>
      <c r="J461" s="35">
        <v>88.8</v>
      </c>
      <c r="K461" s="12"/>
      <c r="L461" s="12"/>
      <c r="M461" s="35">
        <f>ROUND(ROUND(J461, 2)*I461, 2)</f>
        <v>501.9</v>
      </c>
      <c r="N461" s="12"/>
      <c r="O461" s="12"/>
      <c r="P461" s="35">
        <v>88.8</v>
      </c>
      <c r="Q461" s="12"/>
      <c r="R461" s="12"/>
      <c r="S461" s="35">
        <f>ROUND(ROUND(P461, 2)*I461, 2)</f>
        <v>501.9</v>
      </c>
      <c r="T461" s="12"/>
      <c r="U461" s="36"/>
      <c r="V461" s="9">
        <f>ROUND(ROUND(P461, 2)/1.2, 2)</f>
        <v>74</v>
      </c>
      <c r="Y461" s="9">
        <f t="shared" si="106"/>
        <v>418.25</v>
      </c>
      <c r="AD461" s="4" t="s">
        <v>1450</v>
      </c>
      <c r="AE461" s="4" t="s">
        <v>1451</v>
      </c>
      <c r="AF461" s="4" t="s">
        <v>493</v>
      </c>
    </row>
    <row r="462" spans="1:35" ht="56.25" x14ac:dyDescent="0.25">
      <c r="A462" s="11" t="s">
        <v>1452</v>
      </c>
      <c r="B462" s="11" t="s">
        <v>1402</v>
      </c>
      <c r="C462" s="20" t="s">
        <v>1403</v>
      </c>
      <c r="D462" s="21"/>
      <c r="E462" s="21" t="s">
        <v>1453</v>
      </c>
      <c r="F462" s="21" t="s">
        <v>56</v>
      </c>
      <c r="G462" s="22">
        <v>1</v>
      </c>
      <c r="H462" s="21"/>
      <c r="I462" s="22">
        <v>37.68</v>
      </c>
      <c r="J462" s="23">
        <f>IFERROR(ROUND(SUM(M463,M464,M465)/I462, 2),0)</f>
        <v>150.25</v>
      </c>
      <c r="K462" s="23">
        <v>1001</v>
      </c>
      <c r="L462" s="23">
        <f>J462+ROUND(K462, 2)</f>
        <v>1151.25</v>
      </c>
      <c r="M462" s="23">
        <f>ROUND(J462*I462, 2)</f>
        <v>5661.42</v>
      </c>
      <c r="N462" s="23">
        <f>ROUND(I462*ROUND(K462, 2), 2)</f>
        <v>37717.68</v>
      </c>
      <c r="O462" s="23">
        <f>M462+N462</f>
        <v>43379.1</v>
      </c>
      <c r="P462" s="23">
        <f>IFERROR(ROUND(SUM(S463,S464,S465)/I462, 2),0)</f>
        <v>150.25</v>
      </c>
      <c r="Q462" s="23">
        <v>1001</v>
      </c>
      <c r="R462" s="23">
        <f>P462+ROUND(Q462, 2)</f>
        <v>1151.25</v>
      </c>
      <c r="S462" s="23">
        <f>ROUND(P462*I462, 2)</f>
        <v>5661.42</v>
      </c>
      <c r="T462" s="23">
        <f>ROUND(I462*ROUND(Q462, 2), 2)</f>
        <v>37717.68</v>
      </c>
      <c r="U462" s="23">
        <f>S462+T462</f>
        <v>43379.1</v>
      </c>
      <c r="V462" s="9">
        <f>ROUND(P462 / 1.2, 2)</f>
        <v>125.21</v>
      </c>
      <c r="W462" s="9">
        <f>ROUND(Q462 / 1.2, 2)</f>
        <v>834.17</v>
      </c>
      <c r="X462" s="9">
        <f>ROUND(R462 / 1.2, 2)</f>
        <v>959.38</v>
      </c>
      <c r="Y462" s="9">
        <f t="shared" si="106"/>
        <v>4717.8500000000004</v>
      </c>
      <c r="Z462" s="9">
        <f>ROUND(T462 / 1.2, 2)</f>
        <v>31431.4</v>
      </c>
      <c r="AA462" s="9">
        <f>Y462+Z462</f>
        <v>36149.25</v>
      </c>
      <c r="AD462" s="4">
        <v>264030404</v>
      </c>
      <c r="AE462" s="4">
        <v>19934297</v>
      </c>
      <c r="AG462" s="4" t="s">
        <v>1405</v>
      </c>
      <c r="AH462" s="4" t="s">
        <v>1406</v>
      </c>
      <c r="AI462" s="4" t="s">
        <v>249</v>
      </c>
    </row>
    <row r="463" spans="1:35" ht="37.5" x14ac:dyDescent="0.25">
      <c r="A463" s="11" t="s">
        <v>1454</v>
      </c>
      <c r="B463" s="11"/>
      <c r="C463" s="31" t="s">
        <v>490</v>
      </c>
      <c r="D463" s="21"/>
      <c r="E463" s="21"/>
      <c r="F463" s="32" t="s">
        <v>81</v>
      </c>
      <c r="G463" s="33">
        <v>0.15</v>
      </c>
      <c r="H463" s="21"/>
      <c r="I463" s="33">
        <v>5.6520000000000001</v>
      </c>
      <c r="J463" s="35">
        <v>88.8</v>
      </c>
      <c r="K463" s="12"/>
      <c r="L463" s="12"/>
      <c r="M463" s="35">
        <f>ROUND(ROUND(J463, 2)*I463, 2)</f>
        <v>501.9</v>
      </c>
      <c r="N463" s="12"/>
      <c r="O463" s="12"/>
      <c r="P463" s="35">
        <v>88.8</v>
      </c>
      <c r="Q463" s="12"/>
      <c r="R463" s="12"/>
      <c r="S463" s="35">
        <f>ROUND(ROUND(P463, 2)*I463, 2)</f>
        <v>501.9</v>
      </c>
      <c r="T463" s="12"/>
      <c r="U463" s="36"/>
      <c r="V463" s="9">
        <f>ROUND(ROUND(P463, 2)/1.2, 2)</f>
        <v>74</v>
      </c>
      <c r="Y463" s="9">
        <f t="shared" si="106"/>
        <v>418.25</v>
      </c>
      <c r="AD463" s="4" t="s">
        <v>1455</v>
      </c>
      <c r="AE463" s="4" t="s">
        <v>1456</v>
      </c>
      <c r="AF463" s="4" t="s">
        <v>493</v>
      </c>
    </row>
    <row r="464" spans="1:35" ht="18.75" x14ac:dyDescent="0.25">
      <c r="A464" s="11" t="s">
        <v>1457</v>
      </c>
      <c r="B464" s="11"/>
      <c r="C464" s="31" t="s">
        <v>865</v>
      </c>
      <c r="D464" s="21"/>
      <c r="E464" s="21"/>
      <c r="F464" s="32" t="s">
        <v>103</v>
      </c>
      <c r="G464" s="33">
        <v>0.3</v>
      </c>
      <c r="H464" s="21"/>
      <c r="I464" s="33">
        <v>11.304</v>
      </c>
      <c r="J464" s="35">
        <v>73.099999999999994</v>
      </c>
      <c r="K464" s="12"/>
      <c r="L464" s="12"/>
      <c r="M464" s="35">
        <f>ROUND(ROUND(J464, 2)*I464, 2)</f>
        <v>826.32</v>
      </c>
      <c r="N464" s="12"/>
      <c r="O464" s="12"/>
      <c r="P464" s="35">
        <v>73.099999999999994</v>
      </c>
      <c r="Q464" s="12"/>
      <c r="R464" s="12"/>
      <c r="S464" s="35">
        <f>ROUND(ROUND(P464, 2)*I464, 2)</f>
        <v>826.32</v>
      </c>
      <c r="T464" s="12"/>
      <c r="U464" s="36"/>
      <c r="V464" s="9">
        <f>ROUND(ROUND(P464, 2)/1.2, 2)</f>
        <v>60.92</v>
      </c>
      <c r="Y464" s="9">
        <f t="shared" si="106"/>
        <v>688.6</v>
      </c>
      <c r="AD464" s="4" t="s">
        <v>1458</v>
      </c>
      <c r="AE464" s="4" t="s">
        <v>1459</v>
      </c>
      <c r="AF464" s="4" t="s">
        <v>868</v>
      </c>
    </row>
    <row r="465" spans="1:35" ht="56.25" x14ac:dyDescent="0.25">
      <c r="A465" s="11" t="s">
        <v>1460</v>
      </c>
      <c r="B465" s="11"/>
      <c r="C465" s="31" t="s">
        <v>859</v>
      </c>
      <c r="D465" s="21"/>
      <c r="E465" s="21" t="s">
        <v>860</v>
      </c>
      <c r="F465" s="32" t="s">
        <v>81</v>
      </c>
      <c r="G465" s="33">
        <v>5</v>
      </c>
      <c r="H465" s="21"/>
      <c r="I465" s="33">
        <v>188.4</v>
      </c>
      <c r="J465" s="35">
        <v>23</v>
      </c>
      <c r="K465" s="12"/>
      <c r="L465" s="12"/>
      <c r="M465" s="35">
        <f>ROUND(ROUND(J465, 2)*I465, 2)</f>
        <v>4333.2</v>
      </c>
      <c r="N465" s="12"/>
      <c r="O465" s="12"/>
      <c r="P465" s="35">
        <v>23</v>
      </c>
      <c r="Q465" s="12"/>
      <c r="R465" s="12"/>
      <c r="S465" s="35">
        <f>ROUND(ROUND(P465, 2)*I465, 2)</f>
        <v>4333.2</v>
      </c>
      <c r="T465" s="12"/>
      <c r="U465" s="36"/>
      <c r="V465" s="9">
        <f>ROUND(ROUND(P465, 2)/1.2, 2)</f>
        <v>19.170000000000002</v>
      </c>
      <c r="Y465" s="9">
        <f t="shared" si="106"/>
        <v>3611</v>
      </c>
      <c r="AD465" s="4" t="s">
        <v>1461</v>
      </c>
      <c r="AE465" s="4" t="s">
        <v>1462</v>
      </c>
      <c r="AF465" s="4" t="s">
        <v>863</v>
      </c>
    </row>
    <row r="466" spans="1:35" ht="56.25" x14ac:dyDescent="0.25">
      <c r="A466" s="11" t="s">
        <v>1463</v>
      </c>
      <c r="B466" s="11" t="s">
        <v>1464</v>
      </c>
      <c r="C466" s="20" t="s">
        <v>1465</v>
      </c>
      <c r="D466" s="21"/>
      <c r="E466" s="21" t="s">
        <v>1466</v>
      </c>
      <c r="F466" s="21" t="s">
        <v>56</v>
      </c>
      <c r="G466" s="22">
        <v>1</v>
      </c>
      <c r="H466" s="21"/>
      <c r="I466" s="22">
        <v>25.45</v>
      </c>
      <c r="J466" s="23">
        <f>IFERROR(ROUND(SUM(M467,M468)/I466, 2),0)</f>
        <v>30.41</v>
      </c>
      <c r="K466" s="23">
        <v>303</v>
      </c>
      <c r="L466" s="23">
        <f>J466+ROUND(K466, 2)</f>
        <v>333.41</v>
      </c>
      <c r="M466" s="23">
        <f>ROUND(J466*I466, 2)</f>
        <v>773.93</v>
      </c>
      <c r="N466" s="23">
        <f>ROUND(I466*ROUND(K466, 2), 2)</f>
        <v>7711.35</v>
      </c>
      <c r="O466" s="23">
        <f>M466+N466</f>
        <v>8485.2800000000007</v>
      </c>
      <c r="P466" s="23">
        <f>IFERROR(ROUND(SUM(S467,S468)/I466, 2),0)</f>
        <v>30.41</v>
      </c>
      <c r="Q466" s="23">
        <v>303</v>
      </c>
      <c r="R466" s="23">
        <f>P466+ROUND(Q466, 2)</f>
        <v>333.41</v>
      </c>
      <c r="S466" s="23">
        <f>ROUND(P466*I466, 2)</f>
        <v>773.93</v>
      </c>
      <c r="T466" s="23">
        <f>ROUND(I466*ROUND(Q466, 2), 2)</f>
        <v>7711.35</v>
      </c>
      <c r="U466" s="23">
        <f>S466+T466</f>
        <v>8485.2800000000007</v>
      </c>
      <c r="V466" s="9">
        <f>ROUND(P466 / 1.2, 2)</f>
        <v>25.34</v>
      </c>
      <c r="W466" s="9">
        <f>ROUND(Q466 / 1.2, 2)</f>
        <v>252.5</v>
      </c>
      <c r="X466" s="9">
        <f>ROUND(R466 / 1.2, 2)</f>
        <v>277.83999999999997</v>
      </c>
      <c r="Y466" s="9">
        <f t="shared" si="106"/>
        <v>644.94000000000005</v>
      </c>
      <c r="Z466" s="9">
        <f>ROUND(T466 / 1.2, 2)</f>
        <v>6426.13</v>
      </c>
      <c r="AA466" s="9">
        <f>Y466+Z466</f>
        <v>7071.07</v>
      </c>
      <c r="AD466" s="4">
        <v>264030317</v>
      </c>
      <c r="AE466" s="4">
        <v>18541174</v>
      </c>
      <c r="AG466" s="4" t="s">
        <v>1467</v>
      </c>
      <c r="AH466" s="4" t="s">
        <v>1468</v>
      </c>
      <c r="AI466" s="4" t="s">
        <v>249</v>
      </c>
    </row>
    <row r="467" spans="1:35" ht="37.5" x14ac:dyDescent="0.25">
      <c r="A467" s="11" t="s">
        <v>1469</v>
      </c>
      <c r="B467" s="11"/>
      <c r="C467" s="31" t="s">
        <v>1470</v>
      </c>
      <c r="D467" s="21"/>
      <c r="E467" s="21"/>
      <c r="F467" s="32" t="s">
        <v>81</v>
      </c>
      <c r="G467" s="33">
        <v>0.3</v>
      </c>
      <c r="H467" s="21"/>
      <c r="I467" s="33">
        <v>7.6349999999999998</v>
      </c>
      <c r="J467" s="35">
        <v>71.75</v>
      </c>
      <c r="K467" s="12"/>
      <c r="L467" s="12"/>
      <c r="M467" s="35">
        <f>ROUND(ROUND(J467, 2)*I467, 2)</f>
        <v>547.80999999999995</v>
      </c>
      <c r="N467" s="12"/>
      <c r="O467" s="12"/>
      <c r="P467" s="35">
        <v>71.75</v>
      </c>
      <c r="Q467" s="12"/>
      <c r="R467" s="12"/>
      <c r="S467" s="35">
        <f>ROUND(ROUND(P467, 2)*I467, 2)</f>
        <v>547.80999999999995</v>
      </c>
      <c r="T467" s="12"/>
      <c r="U467" s="36"/>
      <c r="V467" s="9">
        <f>ROUND(ROUND(P467, 2)/1.2, 2)</f>
        <v>59.79</v>
      </c>
      <c r="Y467" s="9">
        <f t="shared" si="106"/>
        <v>456.51</v>
      </c>
      <c r="AD467" s="4" t="s">
        <v>1471</v>
      </c>
      <c r="AE467" s="4" t="s">
        <v>1472</v>
      </c>
      <c r="AF467" s="4" t="s">
        <v>1473</v>
      </c>
    </row>
    <row r="468" spans="1:35" ht="37.5" x14ac:dyDescent="0.25">
      <c r="A468" s="11" t="s">
        <v>1474</v>
      </c>
      <c r="B468" s="11"/>
      <c r="C468" s="31" t="s">
        <v>490</v>
      </c>
      <c r="D468" s="21"/>
      <c r="E468" s="21"/>
      <c r="F468" s="32" t="s">
        <v>81</v>
      </c>
      <c r="G468" s="33">
        <v>0.1</v>
      </c>
      <c r="H468" s="21"/>
      <c r="I468" s="33">
        <v>2.5449999999999999</v>
      </c>
      <c r="J468" s="35">
        <v>88.8</v>
      </c>
      <c r="K468" s="12"/>
      <c r="L468" s="12"/>
      <c r="M468" s="35">
        <f>ROUND(ROUND(J468, 2)*I468, 2)</f>
        <v>226</v>
      </c>
      <c r="N468" s="12"/>
      <c r="O468" s="12"/>
      <c r="P468" s="35">
        <v>88.8</v>
      </c>
      <c r="Q468" s="12"/>
      <c r="R468" s="12"/>
      <c r="S468" s="35">
        <f>ROUND(ROUND(P468, 2)*I468, 2)</f>
        <v>226</v>
      </c>
      <c r="T468" s="12"/>
      <c r="U468" s="36"/>
      <c r="V468" s="9">
        <f>ROUND(ROUND(P468, 2)/1.2, 2)</f>
        <v>74</v>
      </c>
      <c r="Y468" s="9">
        <f t="shared" si="106"/>
        <v>188.33</v>
      </c>
      <c r="AD468" s="4" t="s">
        <v>1475</v>
      </c>
      <c r="AE468" s="4" t="s">
        <v>1476</v>
      </c>
      <c r="AF468" s="4" t="s">
        <v>493</v>
      </c>
    </row>
    <row r="469" spans="1:35" ht="56.25" x14ac:dyDescent="0.25">
      <c r="A469" s="11" t="s">
        <v>1477</v>
      </c>
      <c r="B469" s="11" t="s">
        <v>1464</v>
      </c>
      <c r="C469" s="20" t="s">
        <v>1465</v>
      </c>
      <c r="D469" s="21"/>
      <c r="E469" s="21" t="s">
        <v>1478</v>
      </c>
      <c r="F469" s="21" t="s">
        <v>56</v>
      </c>
      <c r="G469" s="22">
        <v>1</v>
      </c>
      <c r="H469" s="21"/>
      <c r="I469" s="22">
        <v>51.66</v>
      </c>
      <c r="J469" s="23">
        <f>IFERROR(ROUND(SUM(M470,M471)/I469, 2),0)</f>
        <v>30.4</v>
      </c>
      <c r="K469" s="23">
        <v>303</v>
      </c>
      <c r="L469" s="23">
        <f>J469+ROUND(K469, 2)</f>
        <v>333.4</v>
      </c>
      <c r="M469" s="23">
        <f>ROUND(J469*I469, 2)</f>
        <v>1570.46</v>
      </c>
      <c r="N469" s="23">
        <f>ROUND(I469*ROUND(K469, 2), 2)</f>
        <v>15652.98</v>
      </c>
      <c r="O469" s="23">
        <f>M469+N469</f>
        <v>17223.439999999999</v>
      </c>
      <c r="P469" s="23">
        <f>IFERROR(ROUND(SUM(S470,S471)/I469, 2),0)</f>
        <v>30.4</v>
      </c>
      <c r="Q469" s="23">
        <v>303</v>
      </c>
      <c r="R469" s="23">
        <f>P469+ROUND(Q469, 2)</f>
        <v>333.4</v>
      </c>
      <c r="S469" s="23">
        <f>ROUND(P469*I469, 2)</f>
        <v>1570.46</v>
      </c>
      <c r="T469" s="23">
        <f>ROUND(I469*ROUND(Q469, 2), 2)</f>
        <v>15652.98</v>
      </c>
      <c r="U469" s="23">
        <f>S469+T469</f>
        <v>17223.439999999999</v>
      </c>
      <c r="V469" s="9">
        <f>ROUND(P469 / 1.2, 2)</f>
        <v>25.33</v>
      </c>
      <c r="W469" s="9">
        <f>ROUND(Q469 / 1.2, 2)</f>
        <v>252.5</v>
      </c>
      <c r="X469" s="9">
        <f>ROUND(R469 / 1.2, 2)</f>
        <v>277.83</v>
      </c>
      <c r="Y469" s="9">
        <f t="shared" si="106"/>
        <v>1308.72</v>
      </c>
      <c r="Z469" s="9">
        <f>ROUND(T469 / 1.2, 2)</f>
        <v>13044.15</v>
      </c>
      <c r="AA469" s="9">
        <f>Y469+Z469</f>
        <v>14352.87</v>
      </c>
      <c r="AD469" s="4">
        <v>264030405</v>
      </c>
      <c r="AE469" s="4">
        <v>19919222</v>
      </c>
      <c r="AG469" s="4" t="s">
        <v>1467</v>
      </c>
      <c r="AH469" s="4" t="s">
        <v>1468</v>
      </c>
      <c r="AI469" s="4" t="s">
        <v>249</v>
      </c>
    </row>
    <row r="470" spans="1:35" ht="37.5" x14ac:dyDescent="0.25">
      <c r="A470" s="11" t="s">
        <v>1479</v>
      </c>
      <c r="B470" s="11"/>
      <c r="C470" s="31" t="s">
        <v>490</v>
      </c>
      <c r="D470" s="21"/>
      <c r="E470" s="21"/>
      <c r="F470" s="32" t="s">
        <v>81</v>
      </c>
      <c r="G470" s="33">
        <v>0.1</v>
      </c>
      <c r="H470" s="21"/>
      <c r="I470" s="33">
        <v>5.1660000000000004</v>
      </c>
      <c r="J470" s="35">
        <v>88.8</v>
      </c>
      <c r="K470" s="12"/>
      <c r="L470" s="12"/>
      <c r="M470" s="35">
        <f>ROUND(ROUND(J470, 2)*I470, 2)</f>
        <v>458.74</v>
      </c>
      <c r="N470" s="12"/>
      <c r="O470" s="12"/>
      <c r="P470" s="35">
        <v>88.8</v>
      </c>
      <c r="Q470" s="12"/>
      <c r="R470" s="12"/>
      <c r="S470" s="35">
        <f>ROUND(ROUND(P470, 2)*I470, 2)</f>
        <v>458.74</v>
      </c>
      <c r="T470" s="12"/>
      <c r="U470" s="36"/>
      <c r="V470" s="9">
        <f>ROUND(ROUND(P470, 2)/1.2, 2)</f>
        <v>74</v>
      </c>
      <c r="Y470" s="9">
        <f t="shared" si="106"/>
        <v>382.28</v>
      </c>
      <c r="AD470" s="4" t="s">
        <v>1480</v>
      </c>
      <c r="AE470" s="4" t="s">
        <v>1481</v>
      </c>
      <c r="AF470" s="4" t="s">
        <v>493</v>
      </c>
    </row>
    <row r="471" spans="1:35" ht="37.5" x14ac:dyDescent="0.25">
      <c r="A471" s="11" t="s">
        <v>1482</v>
      </c>
      <c r="B471" s="11"/>
      <c r="C471" s="31" t="s">
        <v>1470</v>
      </c>
      <c r="D471" s="21"/>
      <c r="E471" s="21"/>
      <c r="F471" s="32" t="s">
        <v>81</v>
      </c>
      <c r="G471" s="33">
        <v>0.3</v>
      </c>
      <c r="H471" s="21"/>
      <c r="I471" s="33">
        <v>15.497999999999999</v>
      </c>
      <c r="J471" s="35">
        <v>71.75</v>
      </c>
      <c r="K471" s="12"/>
      <c r="L471" s="12"/>
      <c r="M471" s="35">
        <f>ROUND(ROUND(J471, 2)*I471, 2)</f>
        <v>1111.98</v>
      </c>
      <c r="N471" s="12"/>
      <c r="O471" s="12"/>
      <c r="P471" s="35">
        <v>71.75</v>
      </c>
      <c r="Q471" s="12"/>
      <c r="R471" s="12"/>
      <c r="S471" s="35">
        <f>ROUND(ROUND(P471, 2)*I471, 2)</f>
        <v>1111.98</v>
      </c>
      <c r="T471" s="12"/>
      <c r="U471" s="36"/>
      <c r="V471" s="9">
        <f>ROUND(ROUND(P471, 2)/1.2, 2)</f>
        <v>59.79</v>
      </c>
      <c r="Y471" s="9">
        <f t="shared" si="106"/>
        <v>926.65</v>
      </c>
      <c r="AD471" s="4" t="s">
        <v>1483</v>
      </c>
      <c r="AE471" s="4" t="s">
        <v>1484</v>
      </c>
      <c r="AF471" s="4" t="s">
        <v>1473</v>
      </c>
    </row>
    <row r="472" spans="1:35" ht="56.25" x14ac:dyDescent="0.25">
      <c r="A472" s="11" t="s">
        <v>1485</v>
      </c>
      <c r="B472" s="11" t="s">
        <v>1464</v>
      </c>
      <c r="C472" s="20" t="s">
        <v>1465</v>
      </c>
      <c r="D472" s="21"/>
      <c r="E472" s="21" t="s">
        <v>1486</v>
      </c>
      <c r="F472" s="21" t="s">
        <v>56</v>
      </c>
      <c r="G472" s="22">
        <v>1</v>
      </c>
      <c r="H472" s="21"/>
      <c r="I472" s="22">
        <v>37.68</v>
      </c>
      <c r="J472" s="23">
        <f>IFERROR(ROUND(SUM(M473,M474)/I472, 2),0)</f>
        <v>30.4</v>
      </c>
      <c r="K472" s="23">
        <v>303</v>
      </c>
      <c r="L472" s="23">
        <f>J472+ROUND(K472, 2)</f>
        <v>333.4</v>
      </c>
      <c r="M472" s="23">
        <f>ROUND(J472*I472, 2)</f>
        <v>1145.47</v>
      </c>
      <c r="N472" s="23">
        <f>ROUND(I472*ROUND(K472, 2), 2)</f>
        <v>11417.04</v>
      </c>
      <c r="O472" s="23">
        <f>M472+N472</f>
        <v>12562.51</v>
      </c>
      <c r="P472" s="23">
        <f>IFERROR(ROUND(SUM(S473,S474)/I472, 2),0)</f>
        <v>30.4</v>
      </c>
      <c r="Q472" s="23">
        <v>303</v>
      </c>
      <c r="R472" s="23">
        <f>P472+ROUND(Q472, 2)</f>
        <v>333.4</v>
      </c>
      <c r="S472" s="23">
        <f>ROUND(P472*I472, 2)</f>
        <v>1145.47</v>
      </c>
      <c r="T472" s="23">
        <f>ROUND(I472*ROUND(Q472, 2), 2)</f>
        <v>11417.04</v>
      </c>
      <c r="U472" s="23">
        <f>S472+T472</f>
        <v>12562.51</v>
      </c>
      <c r="V472" s="9">
        <f>ROUND(P472 / 1.2, 2)</f>
        <v>25.33</v>
      </c>
      <c r="W472" s="9">
        <f>ROUND(Q472 / 1.2, 2)</f>
        <v>252.5</v>
      </c>
      <c r="X472" s="9">
        <f>ROUND(R472 / 1.2, 2)</f>
        <v>277.83</v>
      </c>
      <c r="Y472" s="9">
        <f t="shared" si="106"/>
        <v>954.56</v>
      </c>
      <c r="Z472" s="9">
        <f>ROUND(T472 / 1.2, 2)</f>
        <v>9514.2000000000007</v>
      </c>
      <c r="AA472" s="9">
        <f>Y472+Z472</f>
        <v>10468.76</v>
      </c>
      <c r="AD472" s="4">
        <v>264030406</v>
      </c>
      <c r="AE472" s="4">
        <v>19919224</v>
      </c>
      <c r="AG472" s="4" t="s">
        <v>1467</v>
      </c>
      <c r="AH472" s="4" t="s">
        <v>1468</v>
      </c>
      <c r="AI472" s="4" t="s">
        <v>249</v>
      </c>
    </row>
    <row r="473" spans="1:35" ht="37.5" x14ac:dyDescent="0.25">
      <c r="A473" s="11" t="s">
        <v>1487</v>
      </c>
      <c r="B473" s="11"/>
      <c r="C473" s="31" t="s">
        <v>1470</v>
      </c>
      <c r="D473" s="21"/>
      <c r="E473" s="21"/>
      <c r="F473" s="32" t="s">
        <v>81</v>
      </c>
      <c r="G473" s="33">
        <v>0.3</v>
      </c>
      <c r="H473" s="21"/>
      <c r="I473" s="33">
        <v>11.304</v>
      </c>
      <c r="J473" s="35">
        <v>71.75</v>
      </c>
      <c r="K473" s="12"/>
      <c r="L473" s="12"/>
      <c r="M473" s="35">
        <f>ROUND(ROUND(J473, 2)*I473, 2)</f>
        <v>811.06</v>
      </c>
      <c r="N473" s="12"/>
      <c r="O473" s="12"/>
      <c r="P473" s="35">
        <v>71.75</v>
      </c>
      <c r="Q473" s="12"/>
      <c r="R473" s="12"/>
      <c r="S473" s="35">
        <f>ROUND(ROUND(P473, 2)*I473, 2)</f>
        <v>811.06</v>
      </c>
      <c r="T473" s="12"/>
      <c r="U473" s="36"/>
      <c r="V473" s="9">
        <f>ROUND(ROUND(P473, 2)/1.2, 2)</f>
        <v>59.79</v>
      </c>
      <c r="Y473" s="9">
        <f t="shared" si="106"/>
        <v>675.88</v>
      </c>
      <c r="AD473" s="4" t="s">
        <v>1488</v>
      </c>
      <c r="AE473" s="4" t="s">
        <v>1489</v>
      </c>
      <c r="AF473" s="4" t="s">
        <v>1473</v>
      </c>
    </row>
    <row r="474" spans="1:35" ht="37.5" x14ac:dyDescent="0.25">
      <c r="A474" s="11" t="s">
        <v>1490</v>
      </c>
      <c r="B474" s="11"/>
      <c r="C474" s="31" t="s">
        <v>490</v>
      </c>
      <c r="D474" s="21"/>
      <c r="E474" s="21"/>
      <c r="F474" s="32" t="s">
        <v>81</v>
      </c>
      <c r="G474" s="33">
        <v>0.1</v>
      </c>
      <c r="H474" s="21"/>
      <c r="I474" s="33">
        <v>3.7679999999999998</v>
      </c>
      <c r="J474" s="35">
        <v>88.8</v>
      </c>
      <c r="K474" s="12"/>
      <c r="L474" s="12"/>
      <c r="M474" s="35">
        <f>ROUND(ROUND(J474, 2)*I474, 2)</f>
        <v>334.6</v>
      </c>
      <c r="N474" s="12"/>
      <c r="O474" s="12"/>
      <c r="P474" s="35">
        <v>88.8</v>
      </c>
      <c r="Q474" s="12"/>
      <c r="R474" s="12"/>
      <c r="S474" s="35">
        <f>ROUND(ROUND(P474, 2)*I474, 2)</f>
        <v>334.6</v>
      </c>
      <c r="T474" s="12"/>
      <c r="U474" s="36"/>
      <c r="V474" s="9">
        <f>ROUND(ROUND(P474, 2)/1.2, 2)</f>
        <v>74</v>
      </c>
      <c r="Y474" s="9">
        <f t="shared" si="106"/>
        <v>278.83</v>
      </c>
      <c r="AD474" s="4" t="s">
        <v>1491</v>
      </c>
      <c r="AE474" s="4" t="s">
        <v>1492</v>
      </c>
      <c r="AF474" s="4" t="s">
        <v>493</v>
      </c>
    </row>
    <row r="475" spans="1:35" ht="37.5" x14ac:dyDescent="0.25">
      <c r="A475" s="11" t="s">
        <v>1493</v>
      </c>
      <c r="B475" s="11" t="s">
        <v>1494</v>
      </c>
      <c r="C475" s="20" t="s">
        <v>1495</v>
      </c>
      <c r="D475" s="21"/>
      <c r="E475" s="21" t="s">
        <v>1496</v>
      </c>
      <c r="F475" s="21" t="s">
        <v>56</v>
      </c>
      <c r="G475" s="22">
        <v>1</v>
      </c>
      <c r="H475" s="21"/>
      <c r="I475" s="22">
        <v>25.45</v>
      </c>
      <c r="J475" s="23">
        <f>IFERROR(ROUND(SUM(M476,M477,M478)/I475, 2),0)</f>
        <v>1088.79</v>
      </c>
      <c r="K475" s="23">
        <v>1266</v>
      </c>
      <c r="L475" s="23">
        <f>J475+ROUND(K475, 2)</f>
        <v>2354.79</v>
      </c>
      <c r="M475" s="23">
        <f>ROUND(J475*I475, 2)</f>
        <v>27709.71</v>
      </c>
      <c r="N475" s="23">
        <f>ROUND(I475*ROUND(K475, 2), 2)</f>
        <v>32219.7</v>
      </c>
      <c r="O475" s="23">
        <f>M475+N475</f>
        <v>59929.41</v>
      </c>
      <c r="P475" s="23">
        <f>IFERROR(ROUND(SUM(S476,S477,S478)/I475, 2),0)</f>
        <v>1088.79</v>
      </c>
      <c r="Q475" s="23">
        <v>1266</v>
      </c>
      <c r="R475" s="23">
        <f>P475+ROUND(Q475, 2)</f>
        <v>2354.79</v>
      </c>
      <c r="S475" s="23">
        <f>ROUND(P475*I475, 2)</f>
        <v>27709.71</v>
      </c>
      <c r="T475" s="23">
        <f>ROUND(I475*ROUND(Q475, 2), 2)</f>
        <v>32219.7</v>
      </c>
      <c r="U475" s="23">
        <f>S475+T475</f>
        <v>59929.41</v>
      </c>
      <c r="V475" s="9">
        <f>ROUND(P475 / 1.2, 2)</f>
        <v>907.33</v>
      </c>
      <c r="W475" s="9">
        <f>ROUND(Q475 / 1.2, 2)</f>
        <v>1055</v>
      </c>
      <c r="X475" s="9">
        <f>ROUND(R475 / 1.2, 2)</f>
        <v>1962.33</v>
      </c>
      <c r="Y475" s="9">
        <f t="shared" si="106"/>
        <v>23091.43</v>
      </c>
      <c r="Z475" s="9">
        <f>ROUND(T475 / 1.2, 2)</f>
        <v>26849.75</v>
      </c>
      <c r="AA475" s="9">
        <f>Y475+Z475</f>
        <v>49941.18</v>
      </c>
      <c r="AD475" s="4">
        <v>264030319</v>
      </c>
      <c r="AE475" s="4">
        <v>18541175</v>
      </c>
      <c r="AG475" s="4" t="s">
        <v>1497</v>
      </c>
      <c r="AH475" s="4" t="s">
        <v>1498</v>
      </c>
      <c r="AI475" s="4" t="s">
        <v>249</v>
      </c>
    </row>
    <row r="476" spans="1:35" ht="75" x14ac:dyDescent="0.25">
      <c r="A476" s="11" t="s">
        <v>1499</v>
      </c>
      <c r="B476" s="11"/>
      <c r="C476" s="31" t="s">
        <v>1500</v>
      </c>
      <c r="D476" s="21"/>
      <c r="E476" s="21"/>
      <c r="F476" s="32" t="s">
        <v>87</v>
      </c>
      <c r="G476" s="33">
        <v>1</v>
      </c>
      <c r="H476" s="21"/>
      <c r="I476" s="33">
        <v>25.45</v>
      </c>
      <c r="J476" s="35">
        <v>34.770000000000003</v>
      </c>
      <c r="K476" s="12"/>
      <c r="L476" s="12"/>
      <c r="M476" s="35">
        <f>ROUND(ROUND(J476, 2)*I476, 2)</f>
        <v>884.9</v>
      </c>
      <c r="N476" s="12"/>
      <c r="O476" s="12"/>
      <c r="P476" s="35">
        <v>34.770000000000003</v>
      </c>
      <c r="Q476" s="12"/>
      <c r="R476" s="12"/>
      <c r="S476" s="35">
        <f>ROUND(ROUND(P476, 2)*I476, 2)</f>
        <v>884.9</v>
      </c>
      <c r="T476" s="12"/>
      <c r="U476" s="36"/>
      <c r="V476" s="9">
        <f>ROUND(ROUND(P476, 2)/1.2, 2)</f>
        <v>28.98</v>
      </c>
      <c r="Y476" s="9">
        <f t="shared" si="106"/>
        <v>737.42</v>
      </c>
      <c r="AD476" s="4" t="s">
        <v>1501</v>
      </c>
      <c r="AE476" s="4" t="s">
        <v>1502</v>
      </c>
      <c r="AF476" s="4" t="s">
        <v>1503</v>
      </c>
    </row>
    <row r="477" spans="1:35" ht="18.75" x14ac:dyDescent="0.25">
      <c r="A477" s="11" t="s">
        <v>1504</v>
      </c>
      <c r="B477" s="11"/>
      <c r="C477" s="37" t="s">
        <v>164</v>
      </c>
      <c r="D477" s="21"/>
      <c r="E477" s="21"/>
      <c r="F477" s="32" t="s">
        <v>123</v>
      </c>
      <c r="G477" s="33">
        <v>1</v>
      </c>
      <c r="H477" s="21"/>
      <c r="I477" s="34">
        <v>320</v>
      </c>
      <c r="J477" s="35">
        <v>56.76</v>
      </c>
      <c r="K477" s="12"/>
      <c r="L477" s="12"/>
      <c r="M477" s="35">
        <f>ROUND(ROUND(J477, 2)*I477, 2)</f>
        <v>18163.2</v>
      </c>
      <c r="N477" s="12"/>
      <c r="O477" s="12"/>
      <c r="P477" s="35">
        <v>56.76</v>
      </c>
      <c r="Q477" s="12"/>
      <c r="R477" s="12"/>
      <c r="S477" s="35">
        <f>ROUND(ROUND(P477, 2)*I477, 2)</f>
        <v>18163.2</v>
      </c>
      <c r="T477" s="12"/>
      <c r="U477" s="36"/>
      <c r="V477" s="9">
        <f>ROUND(ROUND(P477, 2)/1.2, 2)</f>
        <v>47.3</v>
      </c>
      <c r="Y477" s="9">
        <f t="shared" si="106"/>
        <v>15136</v>
      </c>
      <c r="AD477" s="4" t="s">
        <v>1505</v>
      </c>
      <c r="AE477" s="4" t="s">
        <v>1506</v>
      </c>
      <c r="AF477" s="4" t="s">
        <v>167</v>
      </c>
    </row>
    <row r="478" spans="1:35" ht="18.75" x14ac:dyDescent="0.25">
      <c r="A478" s="11" t="s">
        <v>1507</v>
      </c>
      <c r="B478" s="11"/>
      <c r="C478" s="37" t="s">
        <v>1508</v>
      </c>
      <c r="D478" s="21"/>
      <c r="E478" s="21"/>
      <c r="F478" s="32" t="s">
        <v>56</v>
      </c>
      <c r="G478" s="33">
        <v>1.1000000000000001</v>
      </c>
      <c r="H478" s="21"/>
      <c r="I478" s="33">
        <v>27.995000000000001</v>
      </c>
      <c r="J478" s="35">
        <v>309.39999999999998</v>
      </c>
      <c r="K478" s="12"/>
      <c r="L478" s="12"/>
      <c r="M478" s="35">
        <f>ROUND(ROUND(J478, 2)*I478, 2)</f>
        <v>8661.65</v>
      </c>
      <c r="N478" s="12"/>
      <c r="O478" s="12"/>
      <c r="P478" s="35">
        <v>309.39999999999998</v>
      </c>
      <c r="Q478" s="12"/>
      <c r="R478" s="12"/>
      <c r="S478" s="35">
        <f>ROUND(ROUND(P478, 2)*I478, 2)</f>
        <v>8661.65</v>
      </c>
      <c r="T478" s="12"/>
      <c r="U478" s="36"/>
      <c r="V478" s="9">
        <f>ROUND(ROUND(P478, 2)/1.2, 2)</f>
        <v>257.83</v>
      </c>
      <c r="Y478" s="9">
        <f t="shared" si="106"/>
        <v>7218.04</v>
      </c>
      <c r="AD478" s="4" t="s">
        <v>1509</v>
      </c>
      <c r="AE478" s="4" t="s">
        <v>1510</v>
      </c>
      <c r="AF478" s="4" t="s">
        <v>1511</v>
      </c>
    </row>
    <row r="479" spans="1:35" ht="37.5" x14ac:dyDescent="0.25">
      <c r="A479" s="11" t="s">
        <v>1512</v>
      </c>
      <c r="B479" s="11" t="s">
        <v>1494</v>
      </c>
      <c r="C479" s="20" t="s">
        <v>1495</v>
      </c>
      <c r="D479" s="21"/>
      <c r="E479" s="21" t="s">
        <v>1513</v>
      </c>
      <c r="F479" s="21" t="s">
        <v>56</v>
      </c>
      <c r="G479" s="22">
        <v>1</v>
      </c>
      <c r="H479" s="21"/>
      <c r="I479" s="22">
        <v>2.5499999999999998</v>
      </c>
      <c r="J479" s="23">
        <f>IFERROR(ROUND(SUM(M480,M481,M482,M483)/I479, 2),0)</f>
        <v>1144.18</v>
      </c>
      <c r="K479" s="23">
        <v>1266</v>
      </c>
      <c r="L479" s="23">
        <f>J479+ROUND(K479, 2)</f>
        <v>2410.1799999999998</v>
      </c>
      <c r="M479" s="23">
        <f>ROUND(J479*I479, 2)</f>
        <v>2917.66</v>
      </c>
      <c r="N479" s="23">
        <f>ROUND(I479*ROUND(K479, 2), 2)</f>
        <v>3228.3</v>
      </c>
      <c r="O479" s="23">
        <f>M479+N479</f>
        <v>6145.96</v>
      </c>
      <c r="P479" s="23">
        <f>IFERROR(ROUND(SUM(S480,S481,S482,S483)/I479, 2),0)</f>
        <v>1144.18</v>
      </c>
      <c r="Q479" s="23">
        <v>1266</v>
      </c>
      <c r="R479" s="23">
        <f>P479+ROUND(Q479, 2)</f>
        <v>2410.1799999999998</v>
      </c>
      <c r="S479" s="23">
        <f>ROUND(P479*I479, 2)</f>
        <v>2917.66</v>
      </c>
      <c r="T479" s="23">
        <f>ROUND(I479*ROUND(Q479, 2), 2)</f>
        <v>3228.3</v>
      </c>
      <c r="U479" s="23">
        <f>S479+T479</f>
        <v>6145.96</v>
      </c>
      <c r="V479" s="9">
        <f>ROUND(P479 / 1.2, 2)</f>
        <v>953.48</v>
      </c>
      <c r="W479" s="9">
        <f>ROUND(Q479 / 1.2, 2)</f>
        <v>1055</v>
      </c>
      <c r="X479" s="9">
        <f>ROUND(R479 / 1.2, 2)</f>
        <v>2008.48</v>
      </c>
      <c r="Y479" s="9">
        <f t="shared" si="106"/>
        <v>2431.38</v>
      </c>
      <c r="Z479" s="9">
        <f>ROUND(T479 / 1.2, 2)</f>
        <v>2690.25</v>
      </c>
      <c r="AA479" s="9">
        <f>Y479+Z479</f>
        <v>5121.63</v>
      </c>
      <c r="AD479" s="4">
        <v>264030407</v>
      </c>
      <c r="AE479" s="4">
        <v>19918751</v>
      </c>
      <c r="AG479" s="4" t="s">
        <v>1497</v>
      </c>
      <c r="AH479" s="4" t="s">
        <v>1498</v>
      </c>
      <c r="AI479" s="4" t="s">
        <v>249</v>
      </c>
    </row>
    <row r="480" spans="1:35" ht="18.75" x14ac:dyDescent="0.25">
      <c r="A480" s="11" t="s">
        <v>1514</v>
      </c>
      <c r="B480" s="11"/>
      <c r="C480" s="31" t="s">
        <v>1515</v>
      </c>
      <c r="D480" s="21"/>
      <c r="E480" s="21"/>
      <c r="F480" s="32" t="s">
        <v>103</v>
      </c>
      <c r="G480" s="33">
        <v>1</v>
      </c>
      <c r="H480" s="21"/>
      <c r="I480" s="34">
        <v>3.4</v>
      </c>
      <c r="J480" s="35">
        <v>80</v>
      </c>
      <c r="K480" s="12"/>
      <c r="L480" s="12"/>
      <c r="M480" s="35">
        <f>ROUND(ROUND(J480, 2)*I480, 2)</f>
        <v>272</v>
      </c>
      <c r="N480" s="12"/>
      <c r="O480" s="12"/>
      <c r="P480" s="35">
        <v>80</v>
      </c>
      <c r="Q480" s="12"/>
      <c r="R480" s="12"/>
      <c r="S480" s="35">
        <f>ROUND(ROUND(P480, 2)*I480, 2)</f>
        <v>272</v>
      </c>
      <c r="T480" s="12"/>
      <c r="U480" s="36"/>
      <c r="V480" s="9">
        <f>ROUND(ROUND(P480, 2)/1.2, 2)</f>
        <v>66.67</v>
      </c>
      <c r="Y480" s="9">
        <f t="shared" si="106"/>
        <v>226.67</v>
      </c>
      <c r="AD480" s="4" t="s">
        <v>1516</v>
      </c>
      <c r="AE480" s="4" t="s">
        <v>1517</v>
      </c>
      <c r="AF480" s="4" t="s">
        <v>1518</v>
      </c>
    </row>
    <row r="481" spans="1:35" ht="18.75" x14ac:dyDescent="0.25">
      <c r="A481" s="11" t="s">
        <v>1519</v>
      </c>
      <c r="B481" s="11"/>
      <c r="C481" s="37" t="s">
        <v>1508</v>
      </c>
      <c r="D481" s="21"/>
      <c r="E481" s="21"/>
      <c r="F481" s="32" t="s">
        <v>56</v>
      </c>
      <c r="G481" s="33">
        <v>1.1000000000000001</v>
      </c>
      <c r="H481" s="21"/>
      <c r="I481" s="33">
        <v>2.8050000000000002</v>
      </c>
      <c r="J481" s="35">
        <v>309.39999999999998</v>
      </c>
      <c r="K481" s="12"/>
      <c r="L481" s="12"/>
      <c r="M481" s="35">
        <f>ROUND(ROUND(J481, 2)*I481, 2)</f>
        <v>867.87</v>
      </c>
      <c r="N481" s="12"/>
      <c r="O481" s="12"/>
      <c r="P481" s="35">
        <v>309.39999999999998</v>
      </c>
      <c r="Q481" s="12"/>
      <c r="R481" s="12"/>
      <c r="S481" s="35">
        <f>ROUND(ROUND(P481, 2)*I481, 2)</f>
        <v>867.87</v>
      </c>
      <c r="T481" s="12"/>
      <c r="U481" s="36"/>
      <c r="V481" s="9">
        <f>ROUND(ROUND(P481, 2)/1.2, 2)</f>
        <v>257.83</v>
      </c>
      <c r="Y481" s="9">
        <f t="shared" si="106"/>
        <v>723.23</v>
      </c>
      <c r="AD481" s="4" t="s">
        <v>1520</v>
      </c>
      <c r="AE481" s="4" t="s">
        <v>1521</v>
      </c>
      <c r="AF481" s="4" t="s">
        <v>1511</v>
      </c>
    </row>
    <row r="482" spans="1:35" ht="18.75" x14ac:dyDescent="0.25">
      <c r="A482" s="11" t="s">
        <v>1522</v>
      </c>
      <c r="B482" s="11"/>
      <c r="C482" s="31" t="s">
        <v>1523</v>
      </c>
      <c r="D482" s="21"/>
      <c r="E482" s="21"/>
      <c r="F482" s="32" t="s">
        <v>123</v>
      </c>
      <c r="G482" s="33">
        <v>1</v>
      </c>
      <c r="H482" s="21"/>
      <c r="I482" s="34">
        <v>34</v>
      </c>
      <c r="J482" s="35">
        <v>49.68</v>
      </c>
      <c r="K482" s="12"/>
      <c r="L482" s="12"/>
      <c r="M482" s="35">
        <f>ROUND(ROUND(J482, 2)*I482, 2)</f>
        <v>1689.12</v>
      </c>
      <c r="N482" s="12"/>
      <c r="O482" s="12"/>
      <c r="P482" s="35">
        <v>49.68</v>
      </c>
      <c r="Q482" s="12"/>
      <c r="R482" s="12"/>
      <c r="S482" s="35">
        <f>ROUND(ROUND(P482, 2)*I482, 2)</f>
        <v>1689.12</v>
      </c>
      <c r="T482" s="12"/>
      <c r="U482" s="36"/>
      <c r="V482" s="9">
        <f>ROUND(ROUND(P482, 2)/1.2, 2)</f>
        <v>41.4</v>
      </c>
      <c r="Y482" s="9">
        <f t="shared" si="106"/>
        <v>1407.6</v>
      </c>
      <c r="AD482" s="4" t="s">
        <v>1524</v>
      </c>
      <c r="AE482" s="4" t="s">
        <v>1525</v>
      </c>
      <c r="AF482" s="4" t="s">
        <v>1526</v>
      </c>
    </row>
    <row r="483" spans="1:35" ht="75" x14ac:dyDescent="0.25">
      <c r="A483" s="11" t="s">
        <v>1527</v>
      </c>
      <c r="B483" s="11"/>
      <c r="C483" s="31" t="s">
        <v>1500</v>
      </c>
      <c r="D483" s="21"/>
      <c r="E483" s="21"/>
      <c r="F483" s="32" t="s">
        <v>87</v>
      </c>
      <c r="G483" s="33">
        <v>1</v>
      </c>
      <c r="H483" s="21"/>
      <c r="I483" s="33">
        <v>2.5499999999999998</v>
      </c>
      <c r="J483" s="35">
        <v>34.770000000000003</v>
      </c>
      <c r="K483" s="12"/>
      <c r="L483" s="12"/>
      <c r="M483" s="35">
        <f>ROUND(ROUND(J483, 2)*I483, 2)</f>
        <v>88.66</v>
      </c>
      <c r="N483" s="12"/>
      <c r="O483" s="12"/>
      <c r="P483" s="35">
        <v>34.770000000000003</v>
      </c>
      <c r="Q483" s="12"/>
      <c r="R483" s="12"/>
      <c r="S483" s="35">
        <f>ROUND(ROUND(P483, 2)*I483, 2)</f>
        <v>88.66</v>
      </c>
      <c r="T483" s="12"/>
      <c r="U483" s="36"/>
      <c r="V483" s="9">
        <f>ROUND(ROUND(P483, 2)/1.2, 2)</f>
        <v>28.98</v>
      </c>
      <c r="Y483" s="9">
        <f t="shared" si="106"/>
        <v>73.88</v>
      </c>
      <c r="AD483" s="4" t="s">
        <v>1528</v>
      </c>
      <c r="AE483" s="4" t="s">
        <v>1529</v>
      </c>
      <c r="AF483" s="4" t="s">
        <v>1503</v>
      </c>
    </row>
    <row r="484" spans="1:35" ht="37.5" x14ac:dyDescent="0.25">
      <c r="A484" s="11" t="s">
        <v>1530</v>
      </c>
      <c r="B484" s="11" t="s">
        <v>1531</v>
      </c>
      <c r="C484" s="20" t="s">
        <v>1532</v>
      </c>
      <c r="D484" s="21"/>
      <c r="E484" s="21" t="s">
        <v>1533</v>
      </c>
      <c r="F484" s="21" t="s">
        <v>56</v>
      </c>
      <c r="G484" s="22">
        <v>1</v>
      </c>
      <c r="H484" s="21"/>
      <c r="I484" s="22">
        <v>37.44</v>
      </c>
      <c r="J484" s="23">
        <f>IFERROR(ROUND(SUM(M485,M486,M487)/I484, 2),0)</f>
        <v>260.3</v>
      </c>
      <c r="K484" s="23">
        <v>1291</v>
      </c>
      <c r="L484" s="23">
        <f>J484+ROUND(K484, 2)</f>
        <v>1551.3</v>
      </c>
      <c r="M484" s="23">
        <f>ROUND(J484*I484, 2)</f>
        <v>9745.6299999999992</v>
      </c>
      <c r="N484" s="23">
        <f>ROUND(I484*ROUND(K484, 2), 2)</f>
        <v>48335.040000000001</v>
      </c>
      <c r="O484" s="23">
        <f>M484+N484</f>
        <v>58080.67</v>
      </c>
      <c r="P484" s="23">
        <f>IFERROR(ROUND(SUM(S485,S486,S487)/I484, 2),0)</f>
        <v>260.3</v>
      </c>
      <c r="Q484" s="23">
        <v>1291</v>
      </c>
      <c r="R484" s="23">
        <f>P484+ROUND(Q484, 2)</f>
        <v>1551.3</v>
      </c>
      <c r="S484" s="23">
        <f>ROUND(P484*I484, 2)</f>
        <v>9745.6299999999992</v>
      </c>
      <c r="T484" s="23">
        <f>ROUND(I484*ROUND(Q484, 2), 2)</f>
        <v>48335.040000000001</v>
      </c>
      <c r="U484" s="23">
        <f>S484+T484</f>
        <v>58080.67</v>
      </c>
      <c r="V484" s="9">
        <f>ROUND(P484 / 1.2, 2)</f>
        <v>216.92</v>
      </c>
      <c r="W484" s="9">
        <f>ROUND(Q484 / 1.2, 2)</f>
        <v>1075.83</v>
      </c>
      <c r="X484" s="9">
        <f>ROUND(R484 / 1.2, 2)</f>
        <v>1292.75</v>
      </c>
      <c r="Y484" s="9">
        <f t="shared" si="106"/>
        <v>8121.36</v>
      </c>
      <c r="Z484" s="9">
        <f>ROUND(T484 / 1.2, 2)</f>
        <v>40279.199999999997</v>
      </c>
      <c r="AA484" s="9">
        <f>Y484+Z484</f>
        <v>48400.56</v>
      </c>
      <c r="AD484" s="4">
        <v>264030321</v>
      </c>
      <c r="AE484" s="4">
        <v>19917608</v>
      </c>
      <c r="AG484" s="4" t="s">
        <v>1534</v>
      </c>
      <c r="AH484" s="4" t="s">
        <v>1535</v>
      </c>
      <c r="AI484" s="4" t="s">
        <v>249</v>
      </c>
    </row>
    <row r="485" spans="1:35" ht="18.75" x14ac:dyDescent="0.25">
      <c r="A485" s="11" t="s">
        <v>1536</v>
      </c>
      <c r="B485" s="11"/>
      <c r="C485" s="31" t="s">
        <v>1515</v>
      </c>
      <c r="D485" s="21"/>
      <c r="E485" s="21"/>
      <c r="F485" s="32" t="s">
        <v>103</v>
      </c>
      <c r="G485" s="33">
        <v>1</v>
      </c>
      <c r="H485" s="21"/>
      <c r="I485" s="34">
        <v>22</v>
      </c>
      <c r="J485" s="35">
        <v>80</v>
      </c>
      <c r="K485" s="12"/>
      <c r="L485" s="12"/>
      <c r="M485" s="35">
        <f>ROUND(ROUND(J485, 2)*I485, 2)</f>
        <v>1760</v>
      </c>
      <c r="N485" s="12"/>
      <c r="O485" s="12"/>
      <c r="P485" s="35">
        <v>80</v>
      </c>
      <c r="Q485" s="12"/>
      <c r="R485" s="12"/>
      <c r="S485" s="35">
        <f>ROUND(ROUND(P485, 2)*I485, 2)</f>
        <v>1760</v>
      </c>
      <c r="T485" s="12"/>
      <c r="U485" s="36"/>
      <c r="V485" s="9">
        <f>ROUND(ROUND(P485, 2)/1.2, 2)</f>
        <v>66.67</v>
      </c>
      <c r="Y485" s="9">
        <f t="shared" si="106"/>
        <v>1466.67</v>
      </c>
      <c r="AD485" s="4" t="s">
        <v>1537</v>
      </c>
      <c r="AE485" s="4" t="s">
        <v>1538</v>
      </c>
      <c r="AF485" s="4" t="s">
        <v>1518</v>
      </c>
    </row>
    <row r="486" spans="1:35" ht="18.75" x14ac:dyDescent="0.25">
      <c r="A486" s="11" t="s">
        <v>1539</v>
      </c>
      <c r="B486" s="11"/>
      <c r="C486" s="31" t="s">
        <v>190</v>
      </c>
      <c r="D486" s="21"/>
      <c r="E486" s="21"/>
      <c r="F486" s="32" t="s">
        <v>123</v>
      </c>
      <c r="G486" s="33">
        <v>1</v>
      </c>
      <c r="H486" s="21"/>
      <c r="I486" s="34">
        <v>201</v>
      </c>
      <c r="J486" s="35">
        <v>39.729999999999997</v>
      </c>
      <c r="K486" s="12"/>
      <c r="L486" s="12"/>
      <c r="M486" s="35">
        <f>ROUND(ROUND(J486, 2)*I486, 2)</f>
        <v>7985.73</v>
      </c>
      <c r="N486" s="12"/>
      <c r="O486" s="12"/>
      <c r="P486" s="35">
        <v>39.729999999999997</v>
      </c>
      <c r="Q486" s="12"/>
      <c r="R486" s="12"/>
      <c r="S486" s="35">
        <f>ROUND(ROUND(P486, 2)*I486, 2)</f>
        <v>7985.73</v>
      </c>
      <c r="T486" s="12"/>
      <c r="U486" s="36"/>
      <c r="V486" s="9">
        <f>ROUND(ROUND(P486, 2)/1.2, 2)</f>
        <v>33.11</v>
      </c>
      <c r="Y486" s="9">
        <f t="shared" si="106"/>
        <v>6654.78</v>
      </c>
      <c r="AD486" s="4" t="s">
        <v>1540</v>
      </c>
      <c r="AE486" s="4" t="s">
        <v>1541</v>
      </c>
      <c r="AF486" s="4" t="s">
        <v>193</v>
      </c>
    </row>
    <row r="487" spans="1:35" ht="37.5" x14ac:dyDescent="0.25">
      <c r="A487" s="11" t="s">
        <v>1542</v>
      </c>
      <c r="B487" s="11"/>
      <c r="C487" s="31" t="s">
        <v>1543</v>
      </c>
      <c r="D487" s="21"/>
      <c r="E487" s="21"/>
      <c r="F487" s="32" t="s">
        <v>56</v>
      </c>
      <c r="G487" s="33">
        <v>1.1000000000000001</v>
      </c>
      <c r="H487" s="21"/>
      <c r="I487" s="33">
        <v>41.183999999999997</v>
      </c>
      <c r="J487" s="35">
        <v>0</v>
      </c>
      <c r="K487" s="12"/>
      <c r="L487" s="12"/>
      <c r="M487" s="35">
        <f>ROUND(ROUND(J487, 2)*I487, 2)</f>
        <v>0</v>
      </c>
      <c r="N487" s="12"/>
      <c r="O487" s="12"/>
      <c r="P487" s="35">
        <v>0</v>
      </c>
      <c r="Q487" s="12"/>
      <c r="R487" s="12"/>
      <c r="S487" s="35">
        <f>ROUND(ROUND(P487, 2)*I487, 2)</f>
        <v>0</v>
      </c>
      <c r="T487" s="12"/>
      <c r="U487" s="36"/>
      <c r="V487" s="9">
        <f>ROUND(ROUND(P487, 2)/1.2, 2)</f>
        <v>0</v>
      </c>
      <c r="Y487" s="9">
        <f t="shared" si="106"/>
        <v>0</v>
      </c>
      <c r="AD487" s="4" t="s">
        <v>1544</v>
      </c>
      <c r="AE487" s="4" t="s">
        <v>1545</v>
      </c>
      <c r="AF487" s="4" t="s">
        <v>1546</v>
      </c>
    </row>
    <row r="488" spans="1:35" ht="17.100000000000001" customHeight="1" x14ac:dyDescent="0.25">
      <c r="A488" s="10" t="s">
        <v>1547</v>
      </c>
      <c r="B488" s="10" t="s">
        <v>1548</v>
      </c>
      <c r="C488" s="116" t="s">
        <v>1549</v>
      </c>
      <c r="D488" s="117"/>
      <c r="E488" s="117"/>
      <c r="F488" s="117"/>
      <c r="G488" s="117"/>
      <c r="H488" s="117"/>
      <c r="I488" s="118"/>
      <c r="M488" s="6">
        <f>SUM(M489,M532)</f>
        <v>9944.4500000000007</v>
      </c>
      <c r="N488" s="6">
        <f>SUM(N489,N532)</f>
        <v>228453.48</v>
      </c>
      <c r="O488" s="6">
        <f>SUM(O489,O532)</f>
        <v>238397.93</v>
      </c>
      <c r="S488" s="6">
        <f>SUM(S489,S532)</f>
        <v>9944.4500000000007</v>
      </c>
      <c r="T488" s="6">
        <f>SUM(T489,T532)</f>
        <v>228453.48</v>
      </c>
      <c r="U488" s="6">
        <f>SUM(U489,U532)</f>
        <v>238397.93</v>
      </c>
      <c r="Y488" s="9">
        <f>SUM(Y489,Y532)</f>
        <v>8287.0400000000009</v>
      </c>
      <c r="Z488" s="9">
        <f>SUM(Z489,Z532)</f>
        <v>190377.9</v>
      </c>
      <c r="AA488" s="9">
        <f>SUM(AA489,AA532)</f>
        <v>198664.94</v>
      </c>
      <c r="AD488" s="4">
        <v>264030322</v>
      </c>
      <c r="AE488" s="4">
        <v>16077436</v>
      </c>
    </row>
    <row r="489" spans="1:35" ht="17.100000000000001" customHeight="1" x14ac:dyDescent="0.25">
      <c r="A489" s="10" t="s">
        <v>1550</v>
      </c>
      <c r="B489" s="10" t="s">
        <v>1551</v>
      </c>
      <c r="C489" s="116" t="s">
        <v>1552</v>
      </c>
      <c r="D489" s="117"/>
      <c r="E489" s="117"/>
      <c r="F489" s="117"/>
      <c r="G489" s="117"/>
      <c r="H489" s="117"/>
      <c r="I489" s="118"/>
      <c r="M489" s="6">
        <f>SUM(M490,M496,M502,M508,M514,M520,M526)</f>
        <v>0</v>
      </c>
      <c r="N489" s="6">
        <f>SUM(N490,N496,N502,N508,N514,N520,N526)</f>
        <v>0</v>
      </c>
      <c r="O489" s="6">
        <f>SUM(O490,O496,O502,O508,O514,O520,O526)</f>
        <v>0</v>
      </c>
      <c r="S489" s="6">
        <f>SUM(S490,S496,S502,S508,S514,S520,S526)</f>
        <v>0</v>
      </c>
      <c r="T489" s="6">
        <f>SUM(T490,T496,T502,T508,T514,T520,T526)</f>
        <v>0</v>
      </c>
      <c r="U489" s="6">
        <f>SUM(U490,U496,U502,U508,U514,U520,U526)</f>
        <v>0</v>
      </c>
      <c r="Y489" s="9">
        <f>SUM(Y490,Y496,Y502,Y508,Y514,Y520,Y526)</f>
        <v>0</v>
      </c>
      <c r="Z489" s="9">
        <f>SUM(Z490,Z496,Z502,Z508,Z514,Z520,Z526)</f>
        <v>0</v>
      </c>
      <c r="AA489" s="9">
        <f>SUM(AA490,AA496,AA502,AA508,AA514,AA520,AA526)</f>
        <v>0</v>
      </c>
      <c r="AD489" s="4">
        <v>264030323</v>
      </c>
      <c r="AE489" s="4">
        <v>16077440</v>
      </c>
    </row>
    <row r="490" spans="1:35" ht="37.5" x14ac:dyDescent="0.25">
      <c r="A490" s="38" t="s">
        <v>1553</v>
      </c>
      <c r="B490" s="38" t="s">
        <v>1554</v>
      </c>
      <c r="C490" s="39" t="s">
        <v>1040</v>
      </c>
      <c r="D490" s="40"/>
      <c r="E490" s="40" t="s">
        <v>1555</v>
      </c>
      <c r="F490" s="40" t="s">
        <v>56</v>
      </c>
      <c r="G490" s="41">
        <v>1</v>
      </c>
      <c r="H490" s="40"/>
      <c r="I490" s="42">
        <v>0</v>
      </c>
      <c r="J490" s="43">
        <f>IFERROR(ROUND(SUM(M492,M494)/I490, 2),0)</f>
        <v>0</v>
      </c>
      <c r="K490" s="43">
        <v>718</v>
      </c>
      <c r="L490" s="43">
        <f>J490+ROUND(K490, 2)</f>
        <v>718</v>
      </c>
      <c r="M490" s="43">
        <f>ROUND(J490*I490, 2)</f>
        <v>0</v>
      </c>
      <c r="N490" s="43">
        <f>ROUND(I490*ROUND(K490, 2), 2)</f>
        <v>0</v>
      </c>
      <c r="O490" s="43">
        <f>M490+N490</f>
        <v>0</v>
      </c>
      <c r="P490" s="43">
        <f>IFERROR(ROUND(SUM(S492,S494)/I490, 2),0)</f>
        <v>0</v>
      </c>
      <c r="Q490" s="43">
        <v>718</v>
      </c>
      <c r="R490" s="43">
        <f>P490+ROUND(Q490, 2)</f>
        <v>718</v>
      </c>
      <c r="S490" s="43">
        <f>ROUND(P490*I490, 2)</f>
        <v>0</v>
      </c>
      <c r="T490" s="43">
        <f>ROUND(I490*ROUND(Q490, 2), 2)</f>
        <v>0</v>
      </c>
      <c r="U490" s="43">
        <f>S490+T490</f>
        <v>0</v>
      </c>
      <c r="V490" s="9">
        <f>ROUND(P490 / 1.2, 2)</f>
        <v>0</v>
      </c>
      <c r="W490" s="9">
        <f>ROUND(Q490 / 1.2, 2)</f>
        <v>598.33000000000004</v>
      </c>
      <c r="X490" s="9">
        <f>ROUND(R490 / 1.2, 2)</f>
        <v>598.33000000000004</v>
      </c>
      <c r="Y490" s="9">
        <f>ROUND(S490 / 1.2, 2)</f>
        <v>0</v>
      </c>
      <c r="Z490" s="9">
        <f>ROUND(T490 / 1.2, 2)</f>
        <v>0</v>
      </c>
      <c r="AA490" s="9">
        <f>Y490+Z490</f>
        <v>0</v>
      </c>
      <c r="AD490" s="4">
        <v>264030325</v>
      </c>
      <c r="AE490" s="4">
        <v>16077787</v>
      </c>
      <c r="AG490" s="4" t="s">
        <v>1042</v>
      </c>
      <c r="AH490" s="4" t="s">
        <v>1556</v>
      </c>
      <c r="AI490" s="4" t="s">
        <v>249</v>
      </c>
    </row>
    <row r="491" spans="1:35" ht="37.5" x14ac:dyDescent="0.25">
      <c r="A491" s="44" t="s">
        <v>1557</v>
      </c>
      <c r="B491" s="44" t="s">
        <v>1554</v>
      </c>
      <c r="C491" s="45" t="s">
        <v>1040</v>
      </c>
      <c r="D491" s="46"/>
      <c r="E491" s="46" t="s">
        <v>1555</v>
      </c>
      <c r="F491" s="46" t="s">
        <v>56</v>
      </c>
      <c r="G491" s="47">
        <v>1</v>
      </c>
      <c r="H491" s="46"/>
      <c r="I491" s="47">
        <v>897.5</v>
      </c>
      <c r="J491" s="48">
        <v>0</v>
      </c>
      <c r="K491" s="48">
        <v>718</v>
      </c>
      <c r="L491" s="48"/>
      <c r="M491" s="48">
        <v>0</v>
      </c>
      <c r="N491" s="48"/>
      <c r="O491" s="48"/>
      <c r="P491" s="48">
        <v>0</v>
      </c>
      <c r="Q491" s="48">
        <v>718</v>
      </c>
      <c r="R491" s="48"/>
      <c r="S491" s="48">
        <v>0</v>
      </c>
      <c r="T491" s="48"/>
      <c r="U491" s="48"/>
      <c r="V491" s="9"/>
      <c r="W491" s="9">
        <f>ROUND(Q491 / 1.2, 2)</f>
        <v>598.33000000000004</v>
      </c>
      <c r="X491" s="9" t="e">
        <f>ROUND(R491 / 1.2, 2)</f>
        <v>#VALUE!</v>
      </c>
      <c r="Y491" s="9"/>
      <c r="Z491" s="9" t="e">
        <f>ROUND(T491 / 1.2, 2)</f>
        <v>#VALUE!</v>
      </c>
      <c r="AA491" s="9"/>
      <c r="AD491" s="4">
        <v>204236308</v>
      </c>
      <c r="AE491" s="4">
        <v>16077787</v>
      </c>
      <c r="AG491" s="4" t="s">
        <v>1042</v>
      </c>
      <c r="AH491" s="4" t="s">
        <v>1556</v>
      </c>
      <c r="AI491" s="4"/>
    </row>
    <row r="492" spans="1:35" ht="18.75" x14ac:dyDescent="0.25">
      <c r="A492" s="38" t="s">
        <v>1558</v>
      </c>
      <c r="B492" s="38"/>
      <c r="C492" s="49" t="s">
        <v>859</v>
      </c>
      <c r="D492" s="40"/>
      <c r="E492" s="40"/>
      <c r="F492" s="50" t="s">
        <v>81</v>
      </c>
      <c r="G492" s="51">
        <v>5</v>
      </c>
      <c r="H492" s="40"/>
      <c r="I492" s="52">
        <v>0</v>
      </c>
      <c r="J492" s="53">
        <v>23</v>
      </c>
      <c r="K492" s="54"/>
      <c r="L492" s="54"/>
      <c r="M492" s="53">
        <f>ROUND(ROUND(J492, 2)*I492, 2)</f>
        <v>0</v>
      </c>
      <c r="N492" s="54"/>
      <c r="O492" s="54"/>
      <c r="P492" s="53">
        <v>23</v>
      </c>
      <c r="Q492" s="54"/>
      <c r="R492" s="54"/>
      <c r="S492" s="53">
        <f>ROUND(ROUND(P492, 2)*I492, 2)</f>
        <v>0</v>
      </c>
      <c r="T492" s="54"/>
      <c r="U492" s="55"/>
      <c r="V492" s="9">
        <f>ROUND(ROUND(P492, 2)/1.2, 2)</f>
        <v>19.170000000000002</v>
      </c>
      <c r="Y492" s="9">
        <f>ROUND(S492 / 1.2, 2)</f>
        <v>0</v>
      </c>
      <c r="AD492" s="4" t="s">
        <v>1559</v>
      </c>
      <c r="AE492" s="4" t="s">
        <v>1560</v>
      </c>
      <c r="AF492" s="4" t="s">
        <v>863</v>
      </c>
    </row>
    <row r="493" spans="1:35" ht="18.75" x14ac:dyDescent="0.25">
      <c r="A493" s="44" t="s">
        <v>1561</v>
      </c>
      <c r="B493" s="44"/>
      <c r="C493" s="56" t="s">
        <v>859</v>
      </c>
      <c r="D493" s="46"/>
      <c r="E493" s="46"/>
      <c r="F493" s="57" t="s">
        <v>81</v>
      </c>
      <c r="G493" s="58">
        <v>5</v>
      </c>
      <c r="H493" s="46"/>
      <c r="I493" s="58">
        <v>4487.5</v>
      </c>
      <c r="J493" s="59">
        <v>23</v>
      </c>
      <c r="K493" s="60"/>
      <c r="L493" s="60"/>
      <c r="M493" s="59">
        <f>ROUND(ROUND(J493, 2)*I493, 2)</f>
        <v>103212.5</v>
      </c>
      <c r="N493" s="60"/>
      <c r="O493" s="60"/>
      <c r="P493" s="59">
        <v>23</v>
      </c>
      <c r="Q493" s="60"/>
      <c r="R493" s="60"/>
      <c r="S493" s="59">
        <f>ROUND(ROUND(P493, 2)*I493, 2)</f>
        <v>103212.5</v>
      </c>
      <c r="T493" s="60"/>
      <c r="U493" s="61"/>
      <c r="V493" s="9">
        <f>ROUND(ROUND(P493, 2)/1.2, 2)</f>
        <v>19.170000000000002</v>
      </c>
      <c r="Y493" s="9">
        <f>ROUND(S493 / 1.2, 2)</f>
        <v>86010.42</v>
      </c>
      <c r="AD493" s="4" t="s">
        <v>1562</v>
      </c>
      <c r="AE493" s="4" t="s">
        <v>1560</v>
      </c>
      <c r="AF493" s="4" t="s">
        <v>863</v>
      </c>
    </row>
    <row r="494" spans="1:35" ht="37.5" x14ac:dyDescent="0.25">
      <c r="A494" s="38" t="s">
        <v>1563</v>
      </c>
      <c r="B494" s="38"/>
      <c r="C494" s="49" t="s">
        <v>313</v>
      </c>
      <c r="D494" s="40"/>
      <c r="E494" s="40" t="s">
        <v>1564</v>
      </c>
      <c r="F494" s="50" t="s">
        <v>81</v>
      </c>
      <c r="G494" s="51">
        <v>0.15</v>
      </c>
      <c r="H494" s="40"/>
      <c r="I494" s="52">
        <v>0</v>
      </c>
      <c r="J494" s="53">
        <v>100</v>
      </c>
      <c r="K494" s="54"/>
      <c r="L494" s="54"/>
      <c r="M494" s="53">
        <f>ROUND(ROUND(J494, 2)*I494, 2)</f>
        <v>0</v>
      </c>
      <c r="N494" s="54"/>
      <c r="O494" s="54"/>
      <c r="P494" s="53">
        <v>100</v>
      </c>
      <c r="Q494" s="54"/>
      <c r="R494" s="54"/>
      <c r="S494" s="53">
        <f>ROUND(ROUND(P494, 2)*I494, 2)</f>
        <v>0</v>
      </c>
      <c r="T494" s="54"/>
      <c r="U494" s="55"/>
      <c r="V494" s="9">
        <f>ROUND(ROUND(P494, 2)/1.2, 2)</f>
        <v>83.33</v>
      </c>
      <c r="Y494" s="9">
        <f>ROUND(S494 / 1.2, 2)</f>
        <v>0</v>
      </c>
      <c r="AD494" s="4" t="s">
        <v>1565</v>
      </c>
      <c r="AE494" s="4" t="s">
        <v>1566</v>
      </c>
      <c r="AF494" s="4" t="s">
        <v>316</v>
      </c>
    </row>
    <row r="495" spans="1:35" ht="37.5" x14ac:dyDescent="0.25">
      <c r="A495" s="44" t="s">
        <v>1567</v>
      </c>
      <c r="B495" s="44"/>
      <c r="C495" s="56" t="s">
        <v>313</v>
      </c>
      <c r="D495" s="46"/>
      <c r="E495" s="46" t="s">
        <v>1564</v>
      </c>
      <c r="F495" s="57" t="s">
        <v>81</v>
      </c>
      <c r="G495" s="58">
        <v>0.15</v>
      </c>
      <c r="H495" s="46"/>
      <c r="I495" s="58">
        <v>134.625</v>
      </c>
      <c r="J495" s="59">
        <v>100</v>
      </c>
      <c r="K495" s="60"/>
      <c r="L495" s="60"/>
      <c r="M495" s="59">
        <f>ROUND(ROUND(J495, 2)*I495, 2)</f>
        <v>13462.5</v>
      </c>
      <c r="N495" s="60"/>
      <c r="O495" s="60"/>
      <c r="P495" s="59">
        <v>100</v>
      </c>
      <c r="Q495" s="60"/>
      <c r="R495" s="60"/>
      <c r="S495" s="59">
        <f>ROUND(ROUND(P495, 2)*I495, 2)</f>
        <v>13462.5</v>
      </c>
      <c r="T495" s="60"/>
      <c r="U495" s="61"/>
      <c r="V495" s="9">
        <f>ROUND(ROUND(P495, 2)/1.2, 2)</f>
        <v>83.33</v>
      </c>
      <c r="Y495" s="9">
        <f>ROUND(S495 / 1.2, 2)</f>
        <v>11218.75</v>
      </c>
      <c r="AD495" s="4" t="s">
        <v>1568</v>
      </c>
      <c r="AE495" s="4" t="s">
        <v>1566</v>
      </c>
      <c r="AF495" s="4" t="s">
        <v>316</v>
      </c>
    </row>
    <row r="496" spans="1:35" ht="37.5" x14ac:dyDescent="0.25">
      <c r="A496" s="38" t="s">
        <v>1569</v>
      </c>
      <c r="B496" s="38" t="s">
        <v>1554</v>
      </c>
      <c r="C496" s="39" t="s">
        <v>1040</v>
      </c>
      <c r="D496" s="40"/>
      <c r="E496" s="40" t="s">
        <v>1555</v>
      </c>
      <c r="F496" s="40" t="s">
        <v>56</v>
      </c>
      <c r="G496" s="41">
        <v>1</v>
      </c>
      <c r="H496" s="40"/>
      <c r="I496" s="42">
        <v>0</v>
      </c>
      <c r="J496" s="43">
        <f>IFERROR(ROUND(SUM(M498,M500)/I496, 2),0)</f>
        <v>0</v>
      </c>
      <c r="K496" s="43">
        <v>718</v>
      </c>
      <c r="L496" s="43">
        <f>J496+ROUND(K496, 2)</f>
        <v>718</v>
      </c>
      <c r="M496" s="43">
        <f>ROUND(J496*I496, 2)</f>
        <v>0</v>
      </c>
      <c r="N496" s="43">
        <f>ROUND(I496*ROUND(K496, 2), 2)</f>
        <v>0</v>
      </c>
      <c r="O496" s="43">
        <f>M496+N496</f>
        <v>0</v>
      </c>
      <c r="P496" s="43">
        <f>IFERROR(ROUND(SUM(S498,S500)/I496, 2),0)</f>
        <v>0</v>
      </c>
      <c r="Q496" s="43">
        <v>718</v>
      </c>
      <c r="R496" s="43">
        <f>P496+ROUND(Q496, 2)</f>
        <v>718</v>
      </c>
      <c r="S496" s="43">
        <f>ROUND(P496*I496, 2)</f>
        <v>0</v>
      </c>
      <c r="T496" s="43">
        <f>ROUND(I496*ROUND(Q496, 2), 2)</f>
        <v>0</v>
      </c>
      <c r="U496" s="43">
        <f>S496+T496</f>
        <v>0</v>
      </c>
      <c r="V496" s="9">
        <f>ROUND(P496 / 1.2, 2)</f>
        <v>0</v>
      </c>
      <c r="W496" s="9">
        <f>ROUND(Q496 / 1.2, 2)</f>
        <v>598.33000000000004</v>
      </c>
      <c r="X496" s="9">
        <f>ROUND(R496 / 1.2, 2)</f>
        <v>598.33000000000004</v>
      </c>
      <c r="Y496" s="9">
        <f>ROUND(S496 / 1.2, 2)</f>
        <v>0</v>
      </c>
      <c r="Z496" s="9">
        <f>ROUND(T496 / 1.2, 2)</f>
        <v>0</v>
      </c>
      <c r="AA496" s="9">
        <f>Y496+Z496</f>
        <v>0</v>
      </c>
      <c r="AD496" s="4">
        <v>264030408</v>
      </c>
      <c r="AE496" s="4">
        <v>16077788</v>
      </c>
      <c r="AG496" s="4" t="s">
        <v>1042</v>
      </c>
      <c r="AH496" s="4" t="s">
        <v>1556</v>
      </c>
      <c r="AI496" s="4" t="s">
        <v>249</v>
      </c>
    </row>
    <row r="497" spans="1:35" ht="37.5" x14ac:dyDescent="0.25">
      <c r="A497" s="44" t="s">
        <v>1570</v>
      </c>
      <c r="B497" s="44" t="s">
        <v>1554</v>
      </c>
      <c r="C497" s="45" t="s">
        <v>1040</v>
      </c>
      <c r="D497" s="46"/>
      <c r="E497" s="46" t="s">
        <v>1555</v>
      </c>
      <c r="F497" s="46" t="s">
        <v>56</v>
      </c>
      <c r="G497" s="47">
        <v>1</v>
      </c>
      <c r="H497" s="46"/>
      <c r="I497" s="47">
        <v>897.5</v>
      </c>
      <c r="J497" s="48">
        <v>0</v>
      </c>
      <c r="K497" s="48">
        <v>718</v>
      </c>
      <c r="L497" s="48"/>
      <c r="M497" s="48">
        <v>0</v>
      </c>
      <c r="N497" s="48"/>
      <c r="O497" s="48"/>
      <c r="P497" s="48">
        <v>0</v>
      </c>
      <c r="Q497" s="48">
        <v>718</v>
      </c>
      <c r="R497" s="48"/>
      <c r="S497" s="48">
        <v>0</v>
      </c>
      <c r="T497" s="48"/>
      <c r="U497" s="48"/>
      <c r="V497" s="9"/>
      <c r="W497" s="9">
        <f>ROUND(Q497 / 1.2, 2)</f>
        <v>598.33000000000004</v>
      </c>
      <c r="X497" s="9" t="e">
        <f>ROUND(R497 / 1.2, 2)</f>
        <v>#VALUE!</v>
      </c>
      <c r="Y497" s="9"/>
      <c r="Z497" s="9" t="e">
        <f>ROUND(T497 / 1.2, 2)</f>
        <v>#VALUE!</v>
      </c>
      <c r="AA497" s="9"/>
      <c r="AD497" s="4">
        <v>204236312</v>
      </c>
      <c r="AE497" s="4">
        <v>16077788</v>
      </c>
      <c r="AG497" s="4" t="s">
        <v>1042</v>
      </c>
      <c r="AH497" s="4" t="s">
        <v>1556</v>
      </c>
      <c r="AI497" s="4"/>
    </row>
    <row r="498" spans="1:35" ht="37.5" x14ac:dyDescent="0.25">
      <c r="A498" s="38" t="s">
        <v>1571</v>
      </c>
      <c r="B498" s="38"/>
      <c r="C498" s="49" t="s">
        <v>490</v>
      </c>
      <c r="D498" s="40"/>
      <c r="E498" s="40"/>
      <c r="F498" s="50" t="s">
        <v>81</v>
      </c>
      <c r="G498" s="51">
        <v>0.15</v>
      </c>
      <c r="H498" s="40"/>
      <c r="I498" s="52">
        <v>0</v>
      </c>
      <c r="J498" s="53">
        <v>88.8</v>
      </c>
      <c r="K498" s="54"/>
      <c r="L498" s="54"/>
      <c r="M498" s="53">
        <f>ROUND(ROUND(J498, 2)*I498, 2)</f>
        <v>0</v>
      </c>
      <c r="N498" s="54"/>
      <c r="O498" s="54"/>
      <c r="P498" s="53">
        <v>88.8</v>
      </c>
      <c r="Q498" s="54"/>
      <c r="R498" s="54"/>
      <c r="S498" s="53">
        <f>ROUND(ROUND(P498, 2)*I498, 2)</f>
        <v>0</v>
      </c>
      <c r="T498" s="54"/>
      <c r="U498" s="55"/>
      <c r="V498" s="9">
        <f>ROUND(ROUND(P498, 2)/1.2, 2)</f>
        <v>74</v>
      </c>
      <c r="Y498" s="9">
        <f>ROUND(S498 / 1.2, 2)</f>
        <v>0</v>
      </c>
      <c r="AD498" s="4" t="s">
        <v>1572</v>
      </c>
      <c r="AE498" s="4" t="s">
        <v>1573</v>
      </c>
      <c r="AF498" s="4" t="s">
        <v>493</v>
      </c>
    </row>
    <row r="499" spans="1:35" ht="37.5" x14ac:dyDescent="0.25">
      <c r="A499" s="44" t="s">
        <v>1574</v>
      </c>
      <c r="B499" s="44"/>
      <c r="C499" s="56" t="s">
        <v>490</v>
      </c>
      <c r="D499" s="46"/>
      <c r="E499" s="46"/>
      <c r="F499" s="57" t="s">
        <v>81</v>
      </c>
      <c r="G499" s="58">
        <v>0.15</v>
      </c>
      <c r="H499" s="46"/>
      <c r="I499" s="58">
        <v>134.625</v>
      </c>
      <c r="J499" s="59">
        <v>88.8</v>
      </c>
      <c r="K499" s="60"/>
      <c r="L499" s="60"/>
      <c r="M499" s="59">
        <f>ROUND(ROUND(J499, 2)*I499, 2)</f>
        <v>11954.7</v>
      </c>
      <c r="N499" s="60"/>
      <c r="O499" s="60"/>
      <c r="P499" s="59">
        <v>88.8</v>
      </c>
      <c r="Q499" s="60"/>
      <c r="R499" s="60"/>
      <c r="S499" s="59">
        <f>ROUND(ROUND(P499, 2)*I499, 2)</f>
        <v>11954.7</v>
      </c>
      <c r="T499" s="60"/>
      <c r="U499" s="61"/>
      <c r="V499" s="9">
        <f>ROUND(ROUND(P499, 2)/1.2, 2)</f>
        <v>74</v>
      </c>
      <c r="Y499" s="9">
        <f>ROUND(S499 / 1.2, 2)</f>
        <v>9962.25</v>
      </c>
      <c r="AD499" s="4" t="s">
        <v>1575</v>
      </c>
      <c r="AE499" s="4" t="s">
        <v>1573</v>
      </c>
      <c r="AF499" s="4" t="s">
        <v>493</v>
      </c>
    </row>
    <row r="500" spans="1:35" ht="37.5" x14ac:dyDescent="0.25">
      <c r="A500" s="38" t="s">
        <v>1576</v>
      </c>
      <c r="B500" s="38"/>
      <c r="C500" s="49" t="s">
        <v>880</v>
      </c>
      <c r="D500" s="40"/>
      <c r="E500" s="40"/>
      <c r="F500" s="50" t="s">
        <v>81</v>
      </c>
      <c r="G500" s="51">
        <v>2.5</v>
      </c>
      <c r="H500" s="40"/>
      <c r="I500" s="52">
        <v>0</v>
      </c>
      <c r="J500" s="53">
        <v>60</v>
      </c>
      <c r="K500" s="54"/>
      <c r="L500" s="54"/>
      <c r="M500" s="53">
        <f>ROUND(ROUND(J500, 2)*I500, 2)</f>
        <v>0</v>
      </c>
      <c r="N500" s="54"/>
      <c r="O500" s="54"/>
      <c r="P500" s="53">
        <v>12.58</v>
      </c>
      <c r="Q500" s="54"/>
      <c r="R500" s="54"/>
      <c r="S500" s="53">
        <f>ROUND(ROUND(P500, 2)*I500, 2)</f>
        <v>0</v>
      </c>
      <c r="T500" s="54"/>
      <c r="U500" s="55"/>
      <c r="V500" s="9">
        <f>ROUND(ROUND(P500, 2)/1.2, 2)</f>
        <v>10.48</v>
      </c>
      <c r="Y500" s="9">
        <f>ROUND(S500 / 1.2, 2)</f>
        <v>0</v>
      </c>
      <c r="AD500" s="4" t="s">
        <v>1577</v>
      </c>
      <c r="AE500" s="4" t="s">
        <v>1578</v>
      </c>
      <c r="AF500" s="4" t="s">
        <v>883</v>
      </c>
    </row>
    <row r="501" spans="1:35" ht="37.5" x14ac:dyDescent="0.25">
      <c r="A501" s="44" t="s">
        <v>1579</v>
      </c>
      <c r="B501" s="44"/>
      <c r="C501" s="56" t="s">
        <v>880</v>
      </c>
      <c r="D501" s="46"/>
      <c r="E501" s="46"/>
      <c r="F501" s="57" t="s">
        <v>81</v>
      </c>
      <c r="G501" s="58">
        <v>2.5</v>
      </c>
      <c r="H501" s="46"/>
      <c r="I501" s="58">
        <v>2243.75</v>
      </c>
      <c r="J501" s="59">
        <v>60</v>
      </c>
      <c r="K501" s="60"/>
      <c r="L501" s="60"/>
      <c r="M501" s="59">
        <f>ROUND(ROUND(J501, 2)*I501, 2)</f>
        <v>134625</v>
      </c>
      <c r="N501" s="60"/>
      <c r="O501" s="60"/>
      <c r="P501" s="59">
        <v>12.58</v>
      </c>
      <c r="Q501" s="60"/>
      <c r="R501" s="60"/>
      <c r="S501" s="59">
        <f>ROUND(ROUND(P501, 2)*I501, 2)</f>
        <v>28226.38</v>
      </c>
      <c r="T501" s="60"/>
      <c r="U501" s="61"/>
      <c r="V501" s="9">
        <f>ROUND(ROUND(P501, 2)/1.2, 2)</f>
        <v>10.48</v>
      </c>
      <c r="Y501" s="9">
        <f>ROUND(S501 / 1.2, 2)</f>
        <v>23521.98</v>
      </c>
      <c r="AD501" s="4" t="s">
        <v>1580</v>
      </c>
      <c r="AE501" s="4" t="s">
        <v>1578</v>
      </c>
      <c r="AF501" s="4" t="s">
        <v>883</v>
      </c>
    </row>
    <row r="502" spans="1:35" ht="37.5" x14ac:dyDescent="0.25">
      <c r="A502" s="38" t="s">
        <v>1581</v>
      </c>
      <c r="B502" s="38" t="s">
        <v>1554</v>
      </c>
      <c r="C502" s="39" t="s">
        <v>1040</v>
      </c>
      <c r="D502" s="40"/>
      <c r="E502" s="40" t="s">
        <v>1555</v>
      </c>
      <c r="F502" s="40" t="s">
        <v>56</v>
      </c>
      <c r="G502" s="41">
        <v>1</v>
      </c>
      <c r="H502" s="40"/>
      <c r="I502" s="42">
        <v>0</v>
      </c>
      <c r="J502" s="43">
        <f>IFERROR(ROUND(SUM(M504,M506)/I502, 2),0)</f>
        <v>0</v>
      </c>
      <c r="K502" s="43">
        <v>718</v>
      </c>
      <c r="L502" s="43">
        <f>J502+ROUND(K502, 2)</f>
        <v>718</v>
      </c>
      <c r="M502" s="43">
        <f>ROUND(J502*I502, 2)</f>
        <v>0</v>
      </c>
      <c r="N502" s="43">
        <f>ROUND(I502*ROUND(K502, 2), 2)</f>
        <v>0</v>
      </c>
      <c r="O502" s="43">
        <f>M502+N502</f>
        <v>0</v>
      </c>
      <c r="P502" s="43">
        <f>IFERROR(ROUND(SUM(S504,S506)/I502, 2),0)</f>
        <v>0</v>
      </c>
      <c r="Q502" s="43">
        <v>718</v>
      </c>
      <c r="R502" s="43">
        <f>P502+ROUND(Q502, 2)</f>
        <v>718</v>
      </c>
      <c r="S502" s="43">
        <f>ROUND(P502*I502, 2)</f>
        <v>0</v>
      </c>
      <c r="T502" s="43">
        <f>ROUND(I502*ROUND(Q502, 2), 2)</f>
        <v>0</v>
      </c>
      <c r="U502" s="43">
        <f>S502+T502</f>
        <v>0</v>
      </c>
      <c r="V502" s="9">
        <f>ROUND(P502 / 1.2, 2)</f>
        <v>0</v>
      </c>
      <c r="W502" s="9">
        <f>ROUND(Q502 / 1.2, 2)</f>
        <v>598.33000000000004</v>
      </c>
      <c r="X502" s="9">
        <f>ROUND(R502 / 1.2, 2)</f>
        <v>598.33000000000004</v>
      </c>
      <c r="Y502" s="9">
        <f>ROUND(S502 / 1.2, 2)</f>
        <v>0</v>
      </c>
      <c r="Z502" s="9">
        <f>ROUND(T502 / 1.2, 2)</f>
        <v>0</v>
      </c>
      <c r="AA502" s="9">
        <f>Y502+Z502</f>
        <v>0</v>
      </c>
      <c r="AD502" s="4">
        <v>264030409</v>
      </c>
      <c r="AE502" s="4">
        <v>16077789</v>
      </c>
      <c r="AG502" s="4" t="s">
        <v>1042</v>
      </c>
      <c r="AH502" s="4" t="s">
        <v>1556</v>
      </c>
      <c r="AI502" s="4" t="s">
        <v>249</v>
      </c>
    </row>
    <row r="503" spans="1:35" ht="37.5" x14ac:dyDescent="0.25">
      <c r="A503" s="44" t="s">
        <v>1582</v>
      </c>
      <c r="B503" s="44" t="s">
        <v>1554</v>
      </c>
      <c r="C503" s="45" t="s">
        <v>1040</v>
      </c>
      <c r="D503" s="46"/>
      <c r="E503" s="46" t="s">
        <v>1555</v>
      </c>
      <c r="F503" s="46" t="s">
        <v>56</v>
      </c>
      <c r="G503" s="47">
        <v>1</v>
      </c>
      <c r="H503" s="46"/>
      <c r="I503" s="47">
        <v>897.5</v>
      </c>
      <c r="J503" s="48">
        <v>0</v>
      </c>
      <c r="K503" s="48">
        <v>718</v>
      </c>
      <c r="L503" s="48"/>
      <c r="M503" s="48">
        <v>0</v>
      </c>
      <c r="N503" s="48"/>
      <c r="O503" s="48"/>
      <c r="P503" s="48">
        <v>0</v>
      </c>
      <c r="Q503" s="48">
        <v>718</v>
      </c>
      <c r="R503" s="48"/>
      <c r="S503" s="48">
        <v>0</v>
      </c>
      <c r="T503" s="48"/>
      <c r="U503" s="48"/>
      <c r="V503" s="9"/>
      <c r="W503" s="9">
        <f>ROUND(Q503 / 1.2, 2)</f>
        <v>598.33000000000004</v>
      </c>
      <c r="X503" s="9" t="e">
        <f>ROUND(R503 / 1.2, 2)</f>
        <v>#VALUE!</v>
      </c>
      <c r="Y503" s="9"/>
      <c r="Z503" s="9" t="e">
        <f>ROUND(T503 / 1.2, 2)</f>
        <v>#VALUE!</v>
      </c>
      <c r="AA503" s="9"/>
      <c r="AD503" s="4">
        <v>204236313</v>
      </c>
      <c r="AE503" s="4">
        <v>16077789</v>
      </c>
      <c r="AG503" s="4" t="s">
        <v>1042</v>
      </c>
      <c r="AH503" s="4" t="s">
        <v>1556</v>
      </c>
      <c r="AI503" s="4"/>
    </row>
    <row r="504" spans="1:35" ht="37.5" x14ac:dyDescent="0.25">
      <c r="A504" s="38" t="s">
        <v>1583</v>
      </c>
      <c r="B504" s="38"/>
      <c r="C504" s="49" t="s">
        <v>887</v>
      </c>
      <c r="D504" s="40"/>
      <c r="E504" s="40"/>
      <c r="F504" s="50" t="s">
        <v>81</v>
      </c>
      <c r="G504" s="51">
        <v>1.5</v>
      </c>
      <c r="H504" s="40"/>
      <c r="I504" s="52">
        <v>0</v>
      </c>
      <c r="J504" s="53">
        <v>23</v>
      </c>
      <c r="K504" s="54"/>
      <c r="L504" s="54"/>
      <c r="M504" s="53">
        <f>ROUND(ROUND(J504, 2)*I504, 2)</f>
        <v>0</v>
      </c>
      <c r="N504" s="54"/>
      <c r="O504" s="54"/>
      <c r="P504" s="53">
        <v>12.58</v>
      </c>
      <c r="Q504" s="54"/>
      <c r="R504" s="54"/>
      <c r="S504" s="53">
        <f>ROUND(ROUND(P504, 2)*I504, 2)</f>
        <v>0</v>
      </c>
      <c r="T504" s="54"/>
      <c r="U504" s="55"/>
      <c r="V504" s="9">
        <f>ROUND(ROUND(P504, 2)/1.2, 2)</f>
        <v>10.48</v>
      </c>
      <c r="Y504" s="9">
        <f>ROUND(S504 / 1.2, 2)</f>
        <v>0</v>
      </c>
      <c r="AD504" s="4" t="s">
        <v>1584</v>
      </c>
      <c r="AE504" s="4" t="s">
        <v>1585</v>
      </c>
      <c r="AF504" s="4" t="s">
        <v>890</v>
      </c>
    </row>
    <row r="505" spans="1:35" ht="37.5" x14ac:dyDescent="0.25">
      <c r="A505" s="44" t="s">
        <v>1586</v>
      </c>
      <c r="B505" s="44"/>
      <c r="C505" s="56" t="s">
        <v>887</v>
      </c>
      <c r="D505" s="46"/>
      <c r="E505" s="46"/>
      <c r="F505" s="57" t="s">
        <v>81</v>
      </c>
      <c r="G505" s="58">
        <v>1.5</v>
      </c>
      <c r="H505" s="46"/>
      <c r="I505" s="58">
        <v>1346.25</v>
      </c>
      <c r="J505" s="59">
        <v>23</v>
      </c>
      <c r="K505" s="60"/>
      <c r="L505" s="60"/>
      <c r="M505" s="59">
        <f>ROUND(ROUND(J505, 2)*I505, 2)</f>
        <v>30963.75</v>
      </c>
      <c r="N505" s="60"/>
      <c r="O505" s="60"/>
      <c r="P505" s="59">
        <v>12.58</v>
      </c>
      <c r="Q505" s="60"/>
      <c r="R505" s="60"/>
      <c r="S505" s="59">
        <f>ROUND(ROUND(P505, 2)*I505, 2)</f>
        <v>16935.830000000002</v>
      </c>
      <c r="T505" s="60"/>
      <c r="U505" s="61"/>
      <c r="V505" s="9">
        <f>ROUND(ROUND(P505, 2)/1.2, 2)</f>
        <v>10.48</v>
      </c>
      <c r="Y505" s="9">
        <f>ROUND(S505 / 1.2, 2)</f>
        <v>14113.19</v>
      </c>
      <c r="AD505" s="4" t="s">
        <v>1587</v>
      </c>
      <c r="AE505" s="4" t="s">
        <v>1585</v>
      </c>
      <c r="AF505" s="4" t="s">
        <v>890</v>
      </c>
    </row>
    <row r="506" spans="1:35" ht="37.5" x14ac:dyDescent="0.25">
      <c r="A506" s="38" t="s">
        <v>1588</v>
      </c>
      <c r="B506" s="38"/>
      <c r="C506" s="49" t="s">
        <v>490</v>
      </c>
      <c r="D506" s="40"/>
      <c r="E506" s="40"/>
      <c r="F506" s="50" t="s">
        <v>81</v>
      </c>
      <c r="G506" s="51">
        <v>0.15</v>
      </c>
      <c r="H506" s="40"/>
      <c r="I506" s="52">
        <v>0</v>
      </c>
      <c r="J506" s="53">
        <v>88.8</v>
      </c>
      <c r="K506" s="54"/>
      <c r="L506" s="54"/>
      <c r="M506" s="53">
        <f>ROUND(ROUND(J506, 2)*I506, 2)</f>
        <v>0</v>
      </c>
      <c r="N506" s="54"/>
      <c r="O506" s="54"/>
      <c r="P506" s="53">
        <v>88.8</v>
      </c>
      <c r="Q506" s="54"/>
      <c r="R506" s="54"/>
      <c r="S506" s="53">
        <f>ROUND(ROUND(P506, 2)*I506, 2)</f>
        <v>0</v>
      </c>
      <c r="T506" s="54"/>
      <c r="U506" s="55"/>
      <c r="V506" s="9">
        <f>ROUND(ROUND(P506, 2)/1.2, 2)</f>
        <v>74</v>
      </c>
      <c r="Y506" s="9">
        <f>ROUND(S506 / 1.2, 2)</f>
        <v>0</v>
      </c>
      <c r="AD506" s="4" t="s">
        <v>1589</v>
      </c>
      <c r="AE506" s="4" t="s">
        <v>1590</v>
      </c>
      <c r="AF506" s="4" t="s">
        <v>493</v>
      </c>
    </row>
    <row r="507" spans="1:35" ht="37.5" x14ac:dyDescent="0.25">
      <c r="A507" s="44" t="s">
        <v>1591</v>
      </c>
      <c r="B507" s="44"/>
      <c r="C507" s="56" t="s">
        <v>490</v>
      </c>
      <c r="D507" s="46"/>
      <c r="E507" s="46"/>
      <c r="F507" s="57" t="s">
        <v>81</v>
      </c>
      <c r="G507" s="58">
        <v>0.15</v>
      </c>
      <c r="H507" s="46"/>
      <c r="I507" s="58">
        <v>134.625</v>
      </c>
      <c r="J507" s="59">
        <v>88.8</v>
      </c>
      <c r="K507" s="60"/>
      <c r="L507" s="60"/>
      <c r="M507" s="59">
        <f>ROUND(ROUND(J507, 2)*I507, 2)</f>
        <v>11954.7</v>
      </c>
      <c r="N507" s="60"/>
      <c r="O507" s="60"/>
      <c r="P507" s="59">
        <v>88.8</v>
      </c>
      <c r="Q507" s="60"/>
      <c r="R507" s="60"/>
      <c r="S507" s="59">
        <f>ROUND(ROUND(P507, 2)*I507, 2)</f>
        <v>11954.7</v>
      </c>
      <c r="T507" s="60"/>
      <c r="U507" s="61"/>
      <c r="V507" s="9">
        <f>ROUND(ROUND(P507, 2)/1.2, 2)</f>
        <v>74</v>
      </c>
      <c r="Y507" s="9">
        <f>ROUND(S507 / 1.2, 2)</f>
        <v>9962.25</v>
      </c>
      <c r="AD507" s="4" t="s">
        <v>1592</v>
      </c>
      <c r="AE507" s="4" t="s">
        <v>1590</v>
      </c>
      <c r="AF507" s="4" t="s">
        <v>493</v>
      </c>
    </row>
    <row r="508" spans="1:35" ht="37.5" x14ac:dyDescent="0.25">
      <c r="A508" s="38" t="s">
        <v>1593</v>
      </c>
      <c r="B508" s="38" t="s">
        <v>1554</v>
      </c>
      <c r="C508" s="39" t="s">
        <v>1040</v>
      </c>
      <c r="D508" s="40"/>
      <c r="E508" s="40" t="s">
        <v>1594</v>
      </c>
      <c r="F508" s="40" t="s">
        <v>56</v>
      </c>
      <c r="G508" s="41">
        <v>1</v>
      </c>
      <c r="H508" s="40"/>
      <c r="I508" s="42">
        <v>0</v>
      </c>
      <c r="J508" s="43">
        <f>IFERROR(ROUND(SUM(M510,M512)/I508, 2),0)</f>
        <v>0</v>
      </c>
      <c r="K508" s="43">
        <v>718</v>
      </c>
      <c r="L508" s="43">
        <f>J508+ROUND(K508, 2)</f>
        <v>718</v>
      </c>
      <c r="M508" s="43">
        <f>ROUND(J508*I508, 2)</f>
        <v>0</v>
      </c>
      <c r="N508" s="43">
        <f>ROUND(I508*ROUND(K508, 2), 2)</f>
        <v>0</v>
      </c>
      <c r="O508" s="43">
        <f>M508+N508</f>
        <v>0</v>
      </c>
      <c r="P508" s="43">
        <f>IFERROR(ROUND(SUM(S510,S512)/I508, 2),0)</f>
        <v>0</v>
      </c>
      <c r="Q508" s="43">
        <v>718</v>
      </c>
      <c r="R508" s="43">
        <f>P508+ROUND(Q508, 2)</f>
        <v>718</v>
      </c>
      <c r="S508" s="43">
        <f>ROUND(P508*I508, 2)</f>
        <v>0</v>
      </c>
      <c r="T508" s="43">
        <f>ROUND(I508*ROUND(Q508, 2), 2)</f>
        <v>0</v>
      </c>
      <c r="U508" s="43">
        <f>S508+T508</f>
        <v>0</v>
      </c>
      <c r="V508" s="9">
        <f>ROUND(P508 / 1.2, 2)</f>
        <v>0</v>
      </c>
      <c r="W508" s="9">
        <f>ROUND(Q508 / 1.2, 2)</f>
        <v>598.33000000000004</v>
      </c>
      <c r="X508" s="9">
        <f>ROUND(R508 / 1.2, 2)</f>
        <v>598.33000000000004</v>
      </c>
      <c r="Y508" s="9">
        <f>ROUND(S508 / 1.2, 2)</f>
        <v>0</v>
      </c>
      <c r="Z508" s="9">
        <f>ROUND(T508 / 1.2, 2)</f>
        <v>0</v>
      </c>
      <c r="AA508" s="9">
        <f>Y508+Z508</f>
        <v>0</v>
      </c>
      <c r="AD508" s="4">
        <v>264030410</v>
      </c>
      <c r="AE508" s="4">
        <v>16082313</v>
      </c>
      <c r="AG508" s="4" t="s">
        <v>1042</v>
      </c>
      <c r="AH508" s="4" t="s">
        <v>1556</v>
      </c>
      <c r="AI508" s="4" t="s">
        <v>249</v>
      </c>
    </row>
    <row r="509" spans="1:35" ht="37.5" x14ac:dyDescent="0.25">
      <c r="A509" s="44" t="s">
        <v>1595</v>
      </c>
      <c r="B509" s="44" t="s">
        <v>1554</v>
      </c>
      <c r="C509" s="45" t="s">
        <v>1040</v>
      </c>
      <c r="D509" s="46"/>
      <c r="E509" s="46" t="s">
        <v>1594</v>
      </c>
      <c r="F509" s="46" t="s">
        <v>56</v>
      </c>
      <c r="G509" s="47">
        <v>1</v>
      </c>
      <c r="H509" s="46"/>
      <c r="I509" s="47">
        <v>75.400000000000006</v>
      </c>
      <c r="J509" s="48">
        <v>0</v>
      </c>
      <c r="K509" s="48">
        <v>718</v>
      </c>
      <c r="L509" s="48"/>
      <c r="M509" s="48">
        <v>0</v>
      </c>
      <c r="N509" s="48"/>
      <c r="O509" s="48"/>
      <c r="P509" s="48">
        <v>0</v>
      </c>
      <c r="Q509" s="48">
        <v>718</v>
      </c>
      <c r="R509" s="48"/>
      <c r="S509" s="48">
        <v>0</v>
      </c>
      <c r="T509" s="48"/>
      <c r="U509" s="48"/>
      <c r="V509" s="9"/>
      <c r="W509" s="9">
        <f>ROUND(Q509 / 1.2, 2)</f>
        <v>598.33000000000004</v>
      </c>
      <c r="X509" s="9" t="e">
        <f>ROUND(R509 / 1.2, 2)</f>
        <v>#VALUE!</v>
      </c>
      <c r="Y509" s="9"/>
      <c r="Z509" s="9" t="e">
        <f>ROUND(T509 / 1.2, 2)</f>
        <v>#VALUE!</v>
      </c>
      <c r="AA509" s="9"/>
      <c r="AD509" s="4">
        <v>204395697</v>
      </c>
      <c r="AE509" s="4">
        <v>16082313</v>
      </c>
      <c r="AG509" s="4" t="s">
        <v>1042</v>
      </c>
      <c r="AH509" s="4" t="s">
        <v>1556</v>
      </c>
      <c r="AI509" s="4"/>
    </row>
    <row r="510" spans="1:35" ht="18.75" x14ac:dyDescent="0.25">
      <c r="A510" s="38" t="s">
        <v>1596</v>
      </c>
      <c r="B510" s="38"/>
      <c r="C510" s="49" t="s">
        <v>313</v>
      </c>
      <c r="D510" s="40"/>
      <c r="E510" s="40"/>
      <c r="F510" s="50" t="s">
        <v>81</v>
      </c>
      <c r="G510" s="51">
        <v>0.15</v>
      </c>
      <c r="H510" s="40"/>
      <c r="I510" s="52">
        <v>0</v>
      </c>
      <c r="J510" s="53">
        <v>100</v>
      </c>
      <c r="K510" s="54"/>
      <c r="L510" s="54"/>
      <c r="M510" s="53">
        <f>ROUND(ROUND(J510, 2)*I510, 2)</f>
        <v>0</v>
      </c>
      <c r="N510" s="54"/>
      <c r="O510" s="54"/>
      <c r="P510" s="53">
        <v>100</v>
      </c>
      <c r="Q510" s="54"/>
      <c r="R510" s="54"/>
      <c r="S510" s="53">
        <f>ROUND(ROUND(P510, 2)*I510, 2)</f>
        <v>0</v>
      </c>
      <c r="T510" s="54"/>
      <c r="U510" s="55"/>
      <c r="V510" s="9">
        <f>ROUND(ROUND(P510, 2)/1.2, 2)</f>
        <v>83.33</v>
      </c>
      <c r="Y510" s="9">
        <f>ROUND(S510 / 1.2, 2)</f>
        <v>0</v>
      </c>
      <c r="AD510" s="4" t="s">
        <v>1597</v>
      </c>
      <c r="AE510" s="4" t="s">
        <v>1598</v>
      </c>
      <c r="AF510" s="4" t="s">
        <v>316</v>
      </c>
    </row>
    <row r="511" spans="1:35" ht="18.75" x14ac:dyDescent="0.25">
      <c r="A511" s="44" t="s">
        <v>1599</v>
      </c>
      <c r="B511" s="44"/>
      <c r="C511" s="56" t="s">
        <v>313</v>
      </c>
      <c r="D511" s="46"/>
      <c r="E511" s="46"/>
      <c r="F511" s="57" t="s">
        <v>81</v>
      </c>
      <c r="G511" s="58">
        <v>0.15</v>
      </c>
      <c r="H511" s="46"/>
      <c r="I511" s="58">
        <v>11.31</v>
      </c>
      <c r="J511" s="59">
        <v>100</v>
      </c>
      <c r="K511" s="60"/>
      <c r="L511" s="60"/>
      <c r="M511" s="59">
        <f>ROUND(ROUND(J511, 2)*I511, 2)</f>
        <v>1131</v>
      </c>
      <c r="N511" s="60"/>
      <c r="O511" s="60"/>
      <c r="P511" s="59">
        <v>100</v>
      </c>
      <c r="Q511" s="60"/>
      <c r="R511" s="60"/>
      <c r="S511" s="59">
        <f>ROUND(ROUND(P511, 2)*I511, 2)</f>
        <v>1131</v>
      </c>
      <c r="T511" s="60"/>
      <c r="U511" s="61"/>
      <c r="V511" s="9">
        <f>ROUND(ROUND(P511, 2)/1.2, 2)</f>
        <v>83.33</v>
      </c>
      <c r="Y511" s="9">
        <f>ROUND(S511 / 1.2, 2)</f>
        <v>942.5</v>
      </c>
      <c r="AD511" s="4" t="s">
        <v>1600</v>
      </c>
      <c r="AE511" s="4" t="s">
        <v>1598</v>
      </c>
      <c r="AF511" s="4" t="s">
        <v>316</v>
      </c>
    </row>
    <row r="512" spans="1:35" ht="56.25" x14ac:dyDescent="0.25">
      <c r="A512" s="38" t="s">
        <v>1601</v>
      </c>
      <c r="B512" s="38"/>
      <c r="C512" s="49" t="s">
        <v>926</v>
      </c>
      <c r="D512" s="40"/>
      <c r="E512" s="40"/>
      <c r="F512" s="50" t="s">
        <v>81</v>
      </c>
      <c r="G512" s="51">
        <v>4.5</v>
      </c>
      <c r="H512" s="40"/>
      <c r="I512" s="52">
        <v>0</v>
      </c>
      <c r="J512" s="53">
        <v>12.58</v>
      </c>
      <c r="K512" s="54"/>
      <c r="L512" s="54"/>
      <c r="M512" s="53">
        <f>ROUND(ROUND(J512, 2)*I512, 2)</f>
        <v>0</v>
      </c>
      <c r="N512" s="54"/>
      <c r="O512" s="54"/>
      <c r="P512" s="53">
        <v>12.58</v>
      </c>
      <c r="Q512" s="54"/>
      <c r="R512" s="54"/>
      <c r="S512" s="53">
        <f>ROUND(ROUND(P512, 2)*I512, 2)</f>
        <v>0</v>
      </c>
      <c r="T512" s="54"/>
      <c r="U512" s="55"/>
      <c r="V512" s="9">
        <f>ROUND(ROUND(P512, 2)/1.2, 2)</f>
        <v>10.48</v>
      </c>
      <c r="Y512" s="9">
        <f>ROUND(S512 / 1.2, 2)</f>
        <v>0</v>
      </c>
      <c r="AD512" s="4" t="s">
        <v>1602</v>
      </c>
      <c r="AE512" s="4" t="s">
        <v>1603</v>
      </c>
      <c r="AF512" s="4" t="s">
        <v>1604</v>
      </c>
    </row>
    <row r="513" spans="1:35" ht="56.25" x14ac:dyDescent="0.25">
      <c r="A513" s="44" t="s">
        <v>1605</v>
      </c>
      <c r="B513" s="44"/>
      <c r="C513" s="56" t="s">
        <v>926</v>
      </c>
      <c r="D513" s="46"/>
      <c r="E513" s="46"/>
      <c r="F513" s="57" t="s">
        <v>81</v>
      </c>
      <c r="G513" s="58">
        <v>4.5</v>
      </c>
      <c r="H513" s="46"/>
      <c r="I513" s="58">
        <v>339.3</v>
      </c>
      <c r="J513" s="59">
        <v>12.58</v>
      </c>
      <c r="K513" s="60"/>
      <c r="L513" s="60"/>
      <c r="M513" s="59">
        <f>ROUND(ROUND(J513, 2)*I513, 2)</f>
        <v>4268.3900000000003</v>
      </c>
      <c r="N513" s="60"/>
      <c r="O513" s="60"/>
      <c r="P513" s="59">
        <v>12.58</v>
      </c>
      <c r="Q513" s="60"/>
      <c r="R513" s="60"/>
      <c r="S513" s="59">
        <f>ROUND(ROUND(P513, 2)*I513, 2)</f>
        <v>4268.3900000000003</v>
      </c>
      <c r="T513" s="60"/>
      <c r="U513" s="61"/>
      <c r="V513" s="9">
        <f>ROUND(ROUND(P513, 2)/1.2, 2)</f>
        <v>10.48</v>
      </c>
      <c r="Y513" s="9">
        <f>ROUND(S513 / 1.2, 2)</f>
        <v>3556.99</v>
      </c>
      <c r="AD513" s="4" t="s">
        <v>1606</v>
      </c>
      <c r="AE513" s="4" t="s">
        <v>1603</v>
      </c>
      <c r="AF513" s="4" t="s">
        <v>1604</v>
      </c>
    </row>
    <row r="514" spans="1:35" ht="37.5" x14ac:dyDescent="0.25">
      <c r="A514" s="38" t="s">
        <v>1607</v>
      </c>
      <c r="B514" s="38" t="s">
        <v>1554</v>
      </c>
      <c r="C514" s="39" t="s">
        <v>1040</v>
      </c>
      <c r="D514" s="40"/>
      <c r="E514" s="40" t="s">
        <v>834</v>
      </c>
      <c r="F514" s="40" t="s">
        <v>56</v>
      </c>
      <c r="G514" s="41">
        <v>1</v>
      </c>
      <c r="H514" s="40"/>
      <c r="I514" s="42">
        <v>0</v>
      </c>
      <c r="J514" s="43">
        <f>IFERROR(ROUND(SUM(M516,M518)/I514, 2),0)</f>
        <v>0</v>
      </c>
      <c r="K514" s="43">
        <v>718</v>
      </c>
      <c r="L514" s="43">
        <f>J514+ROUND(K514, 2)</f>
        <v>718</v>
      </c>
      <c r="M514" s="43">
        <f>ROUND(J514*I514, 2)</f>
        <v>0</v>
      </c>
      <c r="N514" s="43">
        <f>ROUND(I514*ROUND(K514, 2), 2)</f>
        <v>0</v>
      </c>
      <c r="O514" s="43">
        <f>M514+N514</f>
        <v>0</v>
      </c>
      <c r="P514" s="43">
        <f>IFERROR(ROUND(SUM(S516,S518)/I514, 2),0)</f>
        <v>0</v>
      </c>
      <c r="Q514" s="43">
        <v>718</v>
      </c>
      <c r="R514" s="43">
        <f>P514+ROUND(Q514, 2)</f>
        <v>718</v>
      </c>
      <c r="S514" s="43">
        <f>ROUND(P514*I514, 2)</f>
        <v>0</v>
      </c>
      <c r="T514" s="43">
        <f>ROUND(I514*ROUND(Q514, 2), 2)</f>
        <v>0</v>
      </c>
      <c r="U514" s="43">
        <f>S514+T514</f>
        <v>0</v>
      </c>
      <c r="V514" s="9">
        <f>ROUND(P514 / 1.2, 2)</f>
        <v>0</v>
      </c>
      <c r="W514" s="9">
        <f>ROUND(Q514 / 1.2, 2)</f>
        <v>598.33000000000004</v>
      </c>
      <c r="X514" s="9">
        <f>ROUND(R514 / 1.2, 2)</f>
        <v>598.33000000000004</v>
      </c>
      <c r="Y514" s="9">
        <f>ROUND(S514 / 1.2, 2)</f>
        <v>0</v>
      </c>
      <c r="Z514" s="9">
        <f>ROUND(T514 / 1.2, 2)</f>
        <v>0</v>
      </c>
      <c r="AA514" s="9">
        <f>Y514+Z514</f>
        <v>0</v>
      </c>
      <c r="AD514" s="4">
        <v>264030411</v>
      </c>
      <c r="AE514" s="4">
        <v>16087382</v>
      </c>
      <c r="AG514" s="4" t="s">
        <v>1042</v>
      </c>
      <c r="AH514" s="4" t="s">
        <v>1556</v>
      </c>
      <c r="AI514" s="4" t="s">
        <v>249</v>
      </c>
    </row>
    <row r="515" spans="1:35" ht="37.5" x14ac:dyDescent="0.25">
      <c r="A515" s="44" t="s">
        <v>1608</v>
      </c>
      <c r="B515" s="44" t="s">
        <v>1554</v>
      </c>
      <c r="C515" s="45" t="s">
        <v>1040</v>
      </c>
      <c r="D515" s="46"/>
      <c r="E515" s="46" t="s">
        <v>834</v>
      </c>
      <c r="F515" s="46" t="s">
        <v>56</v>
      </c>
      <c r="G515" s="47">
        <v>1</v>
      </c>
      <c r="H515" s="46"/>
      <c r="I515" s="47">
        <v>148.1</v>
      </c>
      <c r="J515" s="48">
        <v>0</v>
      </c>
      <c r="K515" s="48">
        <v>718</v>
      </c>
      <c r="L515" s="48"/>
      <c r="M515" s="48">
        <v>0</v>
      </c>
      <c r="N515" s="48"/>
      <c r="O515" s="48"/>
      <c r="P515" s="48">
        <v>0</v>
      </c>
      <c r="Q515" s="48">
        <v>718</v>
      </c>
      <c r="R515" s="48"/>
      <c r="S515" s="48">
        <v>0</v>
      </c>
      <c r="T515" s="48"/>
      <c r="U515" s="48"/>
      <c r="V515" s="9"/>
      <c r="W515" s="9">
        <f>ROUND(Q515 / 1.2, 2)</f>
        <v>598.33000000000004</v>
      </c>
      <c r="X515" s="9" t="e">
        <f>ROUND(R515 / 1.2, 2)</f>
        <v>#VALUE!</v>
      </c>
      <c r="Y515" s="9"/>
      <c r="Z515" s="9" t="e">
        <f>ROUND(T515 / 1.2, 2)</f>
        <v>#VALUE!</v>
      </c>
      <c r="AA515" s="9"/>
      <c r="AD515" s="4">
        <v>204418616</v>
      </c>
      <c r="AE515" s="4">
        <v>16087382</v>
      </c>
      <c r="AG515" s="4" t="s">
        <v>1042</v>
      </c>
      <c r="AH515" s="4" t="s">
        <v>1556</v>
      </c>
      <c r="AI515" s="4"/>
    </row>
    <row r="516" spans="1:35" ht="18.75" x14ac:dyDescent="0.25">
      <c r="A516" s="38" t="s">
        <v>1609</v>
      </c>
      <c r="B516" s="38"/>
      <c r="C516" s="49" t="s">
        <v>859</v>
      </c>
      <c r="D516" s="40"/>
      <c r="E516" s="40" t="s">
        <v>367</v>
      </c>
      <c r="F516" s="50" t="s">
        <v>81</v>
      </c>
      <c r="G516" s="51">
        <v>5</v>
      </c>
      <c r="H516" s="40"/>
      <c r="I516" s="52">
        <v>0</v>
      </c>
      <c r="J516" s="53">
        <v>23</v>
      </c>
      <c r="K516" s="54"/>
      <c r="L516" s="54"/>
      <c r="M516" s="53">
        <f>ROUND(ROUND(J516, 2)*I516, 2)</f>
        <v>0</v>
      </c>
      <c r="N516" s="54"/>
      <c r="O516" s="54"/>
      <c r="P516" s="53">
        <v>23</v>
      </c>
      <c r="Q516" s="54"/>
      <c r="R516" s="54"/>
      <c r="S516" s="53">
        <f>ROUND(ROUND(P516, 2)*I516, 2)</f>
        <v>0</v>
      </c>
      <c r="T516" s="54"/>
      <c r="U516" s="55"/>
      <c r="V516" s="9">
        <f>ROUND(ROUND(P516, 2)/1.2, 2)</f>
        <v>19.170000000000002</v>
      </c>
      <c r="Y516" s="9">
        <f>ROUND(S516 / 1.2, 2)</f>
        <v>0</v>
      </c>
      <c r="AD516" s="4" t="s">
        <v>1610</v>
      </c>
      <c r="AE516" s="4" t="s">
        <v>1611</v>
      </c>
      <c r="AF516" s="4" t="s">
        <v>863</v>
      </c>
    </row>
    <row r="517" spans="1:35" ht="18.75" x14ac:dyDescent="0.25">
      <c r="A517" s="44" t="s">
        <v>1612</v>
      </c>
      <c r="B517" s="44"/>
      <c r="C517" s="56" t="s">
        <v>859</v>
      </c>
      <c r="D517" s="46"/>
      <c r="E517" s="46" t="s">
        <v>367</v>
      </c>
      <c r="F517" s="57" t="s">
        <v>81</v>
      </c>
      <c r="G517" s="58">
        <v>5</v>
      </c>
      <c r="H517" s="46"/>
      <c r="I517" s="58">
        <v>740.5</v>
      </c>
      <c r="J517" s="59">
        <v>23</v>
      </c>
      <c r="K517" s="60"/>
      <c r="L517" s="60"/>
      <c r="M517" s="59">
        <f>ROUND(ROUND(J517, 2)*I517, 2)</f>
        <v>17031.5</v>
      </c>
      <c r="N517" s="60"/>
      <c r="O517" s="60"/>
      <c r="P517" s="59">
        <v>23</v>
      </c>
      <c r="Q517" s="60"/>
      <c r="R517" s="60"/>
      <c r="S517" s="59">
        <f>ROUND(ROUND(P517, 2)*I517, 2)</f>
        <v>17031.5</v>
      </c>
      <c r="T517" s="60"/>
      <c r="U517" s="61"/>
      <c r="V517" s="9">
        <f>ROUND(ROUND(P517, 2)/1.2, 2)</f>
        <v>19.170000000000002</v>
      </c>
      <c r="Y517" s="9">
        <f>ROUND(S517 / 1.2, 2)</f>
        <v>14192.92</v>
      </c>
      <c r="AD517" s="4" t="s">
        <v>1613</v>
      </c>
      <c r="AE517" s="4" t="s">
        <v>1611</v>
      </c>
      <c r="AF517" s="4" t="s">
        <v>863</v>
      </c>
    </row>
    <row r="518" spans="1:35" ht="18.75" x14ac:dyDescent="0.25">
      <c r="A518" s="38" t="s">
        <v>1614</v>
      </c>
      <c r="B518" s="38"/>
      <c r="C518" s="49" t="s">
        <v>313</v>
      </c>
      <c r="D518" s="40"/>
      <c r="E518" s="40"/>
      <c r="F518" s="50" t="s">
        <v>81</v>
      </c>
      <c r="G518" s="51">
        <v>0.15</v>
      </c>
      <c r="H518" s="40"/>
      <c r="I518" s="52">
        <v>0</v>
      </c>
      <c r="J518" s="53">
        <v>100</v>
      </c>
      <c r="K518" s="54"/>
      <c r="L518" s="54"/>
      <c r="M518" s="53">
        <f>ROUND(ROUND(J518, 2)*I518, 2)</f>
        <v>0</v>
      </c>
      <c r="N518" s="54"/>
      <c r="O518" s="54"/>
      <c r="P518" s="53">
        <v>100</v>
      </c>
      <c r="Q518" s="54"/>
      <c r="R518" s="54"/>
      <c r="S518" s="53">
        <f>ROUND(ROUND(P518, 2)*I518, 2)</f>
        <v>0</v>
      </c>
      <c r="T518" s="54"/>
      <c r="U518" s="55"/>
      <c r="V518" s="9">
        <f>ROUND(ROUND(P518, 2)/1.2, 2)</f>
        <v>83.33</v>
      </c>
      <c r="Y518" s="9">
        <f>ROUND(S518 / 1.2, 2)</f>
        <v>0</v>
      </c>
      <c r="AD518" s="4" t="s">
        <v>1615</v>
      </c>
      <c r="AE518" s="4" t="s">
        <v>1616</v>
      </c>
      <c r="AF518" s="4" t="s">
        <v>316</v>
      </c>
    </row>
    <row r="519" spans="1:35" ht="18.75" x14ac:dyDescent="0.25">
      <c r="A519" s="44" t="s">
        <v>1617</v>
      </c>
      <c r="B519" s="44"/>
      <c r="C519" s="56" t="s">
        <v>313</v>
      </c>
      <c r="D519" s="46"/>
      <c r="E519" s="46"/>
      <c r="F519" s="57" t="s">
        <v>81</v>
      </c>
      <c r="G519" s="58">
        <v>0.15</v>
      </c>
      <c r="H519" s="46"/>
      <c r="I519" s="58">
        <v>22.215</v>
      </c>
      <c r="J519" s="59">
        <v>100</v>
      </c>
      <c r="K519" s="60"/>
      <c r="L519" s="60"/>
      <c r="M519" s="59">
        <f>ROUND(ROUND(J519, 2)*I519, 2)</f>
        <v>2221.5</v>
      </c>
      <c r="N519" s="60"/>
      <c r="O519" s="60"/>
      <c r="P519" s="59">
        <v>100</v>
      </c>
      <c r="Q519" s="60"/>
      <c r="R519" s="60"/>
      <c r="S519" s="59">
        <f>ROUND(ROUND(P519, 2)*I519, 2)</f>
        <v>2221.5</v>
      </c>
      <c r="T519" s="60"/>
      <c r="U519" s="61"/>
      <c r="V519" s="9">
        <f>ROUND(ROUND(P519, 2)/1.2, 2)</f>
        <v>83.33</v>
      </c>
      <c r="Y519" s="9">
        <f>ROUND(S519 / 1.2, 2)</f>
        <v>1851.25</v>
      </c>
      <c r="AD519" s="4" t="s">
        <v>1618</v>
      </c>
      <c r="AE519" s="4" t="s">
        <v>1616</v>
      </c>
      <c r="AF519" s="4" t="s">
        <v>316</v>
      </c>
    </row>
    <row r="520" spans="1:35" ht="37.5" x14ac:dyDescent="0.25">
      <c r="A520" s="38" t="s">
        <v>1619</v>
      </c>
      <c r="B520" s="38" t="s">
        <v>1554</v>
      </c>
      <c r="C520" s="39" t="s">
        <v>1040</v>
      </c>
      <c r="D520" s="40"/>
      <c r="E520" s="40" t="s">
        <v>834</v>
      </c>
      <c r="F520" s="40" t="s">
        <v>56</v>
      </c>
      <c r="G520" s="41">
        <v>1</v>
      </c>
      <c r="H520" s="40"/>
      <c r="I520" s="42">
        <v>0</v>
      </c>
      <c r="J520" s="43">
        <f>IFERROR(ROUND(SUM(M522,M524)/I520, 2),0)</f>
        <v>0</v>
      </c>
      <c r="K520" s="43">
        <v>718</v>
      </c>
      <c r="L520" s="43">
        <f>J520+ROUND(K520, 2)</f>
        <v>718</v>
      </c>
      <c r="M520" s="43">
        <f>ROUND(J520*I520, 2)</f>
        <v>0</v>
      </c>
      <c r="N520" s="43">
        <f>ROUND(I520*ROUND(K520, 2), 2)</f>
        <v>0</v>
      </c>
      <c r="O520" s="43">
        <f>M520+N520</f>
        <v>0</v>
      </c>
      <c r="P520" s="43">
        <f>IFERROR(ROUND(SUM(S522,S524)/I520, 2),0)</f>
        <v>0</v>
      </c>
      <c r="Q520" s="43">
        <v>718</v>
      </c>
      <c r="R520" s="43">
        <f>P520+ROUND(Q520, 2)</f>
        <v>718</v>
      </c>
      <c r="S520" s="43">
        <f>ROUND(P520*I520, 2)</f>
        <v>0</v>
      </c>
      <c r="T520" s="43">
        <f>ROUND(I520*ROUND(Q520, 2), 2)</f>
        <v>0</v>
      </c>
      <c r="U520" s="43">
        <f>S520+T520</f>
        <v>0</v>
      </c>
      <c r="V520" s="9">
        <f>ROUND(P520 / 1.2, 2)</f>
        <v>0</v>
      </c>
      <c r="W520" s="9">
        <f>ROUND(Q520 / 1.2, 2)</f>
        <v>598.33000000000004</v>
      </c>
      <c r="X520" s="9">
        <f>ROUND(R520 / 1.2, 2)</f>
        <v>598.33000000000004</v>
      </c>
      <c r="Y520" s="9">
        <f>ROUND(S520 / 1.2, 2)</f>
        <v>0</v>
      </c>
      <c r="Z520" s="9">
        <f>ROUND(T520 / 1.2, 2)</f>
        <v>0</v>
      </c>
      <c r="AA520" s="9">
        <f>Y520+Z520</f>
        <v>0</v>
      </c>
      <c r="AD520" s="4">
        <v>264030412</v>
      </c>
      <c r="AE520" s="4">
        <v>16087383</v>
      </c>
      <c r="AG520" s="4" t="s">
        <v>1042</v>
      </c>
      <c r="AH520" s="4" t="s">
        <v>1556</v>
      </c>
      <c r="AI520" s="4" t="s">
        <v>249</v>
      </c>
    </row>
    <row r="521" spans="1:35" ht="37.5" x14ac:dyDescent="0.25">
      <c r="A521" s="44" t="s">
        <v>1620</v>
      </c>
      <c r="B521" s="44" t="s">
        <v>1554</v>
      </c>
      <c r="C521" s="45" t="s">
        <v>1040</v>
      </c>
      <c r="D521" s="46"/>
      <c r="E521" s="46" t="s">
        <v>834</v>
      </c>
      <c r="F521" s="46" t="s">
        <v>56</v>
      </c>
      <c r="G521" s="47">
        <v>1</v>
      </c>
      <c r="H521" s="46"/>
      <c r="I521" s="47">
        <v>148.1</v>
      </c>
      <c r="J521" s="48">
        <v>0</v>
      </c>
      <c r="K521" s="48">
        <v>718</v>
      </c>
      <c r="L521" s="48"/>
      <c r="M521" s="48">
        <v>0</v>
      </c>
      <c r="N521" s="48"/>
      <c r="O521" s="48"/>
      <c r="P521" s="48">
        <v>0</v>
      </c>
      <c r="Q521" s="48">
        <v>718</v>
      </c>
      <c r="R521" s="48"/>
      <c r="S521" s="48">
        <v>0</v>
      </c>
      <c r="T521" s="48"/>
      <c r="U521" s="48"/>
      <c r="V521" s="9"/>
      <c r="W521" s="9">
        <f>ROUND(Q521 / 1.2, 2)</f>
        <v>598.33000000000004</v>
      </c>
      <c r="X521" s="9" t="e">
        <f>ROUND(R521 / 1.2, 2)</f>
        <v>#VALUE!</v>
      </c>
      <c r="Y521" s="9"/>
      <c r="Z521" s="9" t="e">
        <f>ROUND(T521 / 1.2, 2)</f>
        <v>#VALUE!</v>
      </c>
      <c r="AA521" s="9"/>
      <c r="AD521" s="4">
        <v>204418617</v>
      </c>
      <c r="AE521" s="4">
        <v>16087383</v>
      </c>
      <c r="AG521" s="4" t="s">
        <v>1042</v>
      </c>
      <c r="AH521" s="4" t="s">
        <v>1556</v>
      </c>
      <c r="AI521" s="4"/>
    </row>
    <row r="522" spans="1:35" ht="37.5" x14ac:dyDescent="0.25">
      <c r="A522" s="38" t="s">
        <v>1621</v>
      </c>
      <c r="B522" s="38"/>
      <c r="C522" s="49" t="s">
        <v>490</v>
      </c>
      <c r="D522" s="40"/>
      <c r="E522" s="40"/>
      <c r="F522" s="50" t="s">
        <v>81</v>
      </c>
      <c r="G522" s="51">
        <v>0.15</v>
      </c>
      <c r="H522" s="40"/>
      <c r="I522" s="52">
        <v>0</v>
      </c>
      <c r="J522" s="53">
        <v>88.8</v>
      </c>
      <c r="K522" s="54"/>
      <c r="L522" s="54"/>
      <c r="M522" s="53">
        <f>ROUND(ROUND(J522, 2)*I522, 2)</f>
        <v>0</v>
      </c>
      <c r="N522" s="54"/>
      <c r="O522" s="54"/>
      <c r="P522" s="53">
        <v>88.8</v>
      </c>
      <c r="Q522" s="54"/>
      <c r="R522" s="54"/>
      <c r="S522" s="53">
        <f>ROUND(ROUND(P522, 2)*I522, 2)</f>
        <v>0</v>
      </c>
      <c r="T522" s="54"/>
      <c r="U522" s="55"/>
      <c r="V522" s="9">
        <f>ROUND(ROUND(P522, 2)/1.2, 2)</f>
        <v>74</v>
      </c>
      <c r="Y522" s="9">
        <f>ROUND(S522 / 1.2, 2)</f>
        <v>0</v>
      </c>
      <c r="AD522" s="4" t="s">
        <v>1622</v>
      </c>
      <c r="AE522" s="4" t="s">
        <v>1623</v>
      </c>
      <c r="AF522" s="4" t="s">
        <v>493</v>
      </c>
    </row>
    <row r="523" spans="1:35" ht="37.5" x14ac:dyDescent="0.25">
      <c r="A523" s="44" t="s">
        <v>1624</v>
      </c>
      <c r="B523" s="44"/>
      <c r="C523" s="56" t="s">
        <v>490</v>
      </c>
      <c r="D523" s="46"/>
      <c r="E523" s="46"/>
      <c r="F523" s="57" t="s">
        <v>81</v>
      </c>
      <c r="G523" s="58">
        <v>0.15</v>
      </c>
      <c r="H523" s="46"/>
      <c r="I523" s="58">
        <v>22.215</v>
      </c>
      <c r="J523" s="59">
        <v>88.8</v>
      </c>
      <c r="K523" s="60"/>
      <c r="L523" s="60"/>
      <c r="M523" s="59">
        <f>ROUND(ROUND(J523, 2)*I523, 2)</f>
        <v>1972.69</v>
      </c>
      <c r="N523" s="60"/>
      <c r="O523" s="60"/>
      <c r="P523" s="59">
        <v>88.8</v>
      </c>
      <c r="Q523" s="60"/>
      <c r="R523" s="60"/>
      <c r="S523" s="59">
        <f>ROUND(ROUND(P523, 2)*I523, 2)</f>
        <v>1972.69</v>
      </c>
      <c r="T523" s="60"/>
      <c r="U523" s="61"/>
      <c r="V523" s="9">
        <f>ROUND(ROUND(P523, 2)/1.2, 2)</f>
        <v>74</v>
      </c>
      <c r="Y523" s="9">
        <f>ROUND(S523 / 1.2, 2)</f>
        <v>1643.91</v>
      </c>
      <c r="AD523" s="4" t="s">
        <v>1625</v>
      </c>
      <c r="AE523" s="4" t="s">
        <v>1623</v>
      </c>
      <c r="AF523" s="4" t="s">
        <v>493</v>
      </c>
    </row>
    <row r="524" spans="1:35" ht="37.5" x14ac:dyDescent="0.25">
      <c r="A524" s="38" t="s">
        <v>1626</v>
      </c>
      <c r="B524" s="38"/>
      <c r="C524" s="49" t="s">
        <v>880</v>
      </c>
      <c r="D524" s="40"/>
      <c r="E524" s="40"/>
      <c r="F524" s="50" t="s">
        <v>81</v>
      </c>
      <c r="G524" s="51">
        <v>2.5</v>
      </c>
      <c r="H524" s="40"/>
      <c r="I524" s="52">
        <v>0</v>
      </c>
      <c r="J524" s="53">
        <v>60</v>
      </c>
      <c r="K524" s="54"/>
      <c r="L524" s="54"/>
      <c r="M524" s="53">
        <f>ROUND(ROUND(J524, 2)*I524, 2)</f>
        <v>0</v>
      </c>
      <c r="N524" s="54"/>
      <c r="O524" s="54"/>
      <c r="P524" s="53">
        <v>12.58</v>
      </c>
      <c r="Q524" s="54"/>
      <c r="R524" s="54"/>
      <c r="S524" s="53">
        <f>ROUND(ROUND(P524, 2)*I524, 2)</f>
        <v>0</v>
      </c>
      <c r="T524" s="54"/>
      <c r="U524" s="55"/>
      <c r="V524" s="9">
        <f>ROUND(ROUND(P524, 2)/1.2, 2)</f>
        <v>10.48</v>
      </c>
      <c r="Y524" s="9">
        <f>ROUND(S524 / 1.2, 2)</f>
        <v>0</v>
      </c>
      <c r="AD524" s="4" t="s">
        <v>1627</v>
      </c>
      <c r="AE524" s="4" t="s">
        <v>1628</v>
      </c>
      <c r="AF524" s="4" t="s">
        <v>883</v>
      </c>
    </row>
    <row r="525" spans="1:35" ht="37.5" x14ac:dyDescent="0.25">
      <c r="A525" s="44" t="s">
        <v>1629</v>
      </c>
      <c r="B525" s="44"/>
      <c r="C525" s="56" t="s">
        <v>880</v>
      </c>
      <c r="D525" s="46"/>
      <c r="E525" s="46"/>
      <c r="F525" s="57" t="s">
        <v>81</v>
      </c>
      <c r="G525" s="58">
        <v>2.5</v>
      </c>
      <c r="H525" s="46"/>
      <c r="I525" s="58">
        <v>370.25</v>
      </c>
      <c r="J525" s="59">
        <v>60</v>
      </c>
      <c r="K525" s="60"/>
      <c r="L525" s="60"/>
      <c r="M525" s="59">
        <f>ROUND(ROUND(J525, 2)*I525, 2)</f>
        <v>22215</v>
      </c>
      <c r="N525" s="60"/>
      <c r="O525" s="60"/>
      <c r="P525" s="59">
        <v>12.58</v>
      </c>
      <c r="Q525" s="60"/>
      <c r="R525" s="60"/>
      <c r="S525" s="59">
        <f>ROUND(ROUND(P525, 2)*I525, 2)</f>
        <v>4657.75</v>
      </c>
      <c r="T525" s="60"/>
      <c r="U525" s="61"/>
      <c r="V525" s="9">
        <f>ROUND(ROUND(P525, 2)/1.2, 2)</f>
        <v>10.48</v>
      </c>
      <c r="Y525" s="9">
        <f>ROUND(S525 / 1.2, 2)</f>
        <v>3881.46</v>
      </c>
      <c r="AD525" s="4" t="s">
        <v>1630</v>
      </c>
      <c r="AE525" s="4" t="s">
        <v>1628</v>
      </c>
      <c r="AF525" s="4" t="s">
        <v>883</v>
      </c>
    </row>
    <row r="526" spans="1:35" ht="37.5" x14ac:dyDescent="0.25">
      <c r="A526" s="38" t="s">
        <v>1631</v>
      </c>
      <c r="B526" s="38" t="s">
        <v>1554</v>
      </c>
      <c r="C526" s="39" t="s">
        <v>1040</v>
      </c>
      <c r="D526" s="40"/>
      <c r="E526" s="40" t="s">
        <v>834</v>
      </c>
      <c r="F526" s="40" t="s">
        <v>56</v>
      </c>
      <c r="G526" s="41">
        <v>1</v>
      </c>
      <c r="H526" s="40"/>
      <c r="I526" s="42">
        <v>0</v>
      </c>
      <c r="J526" s="43">
        <f>IFERROR(ROUND(SUM(M528,M530)/I526, 2),0)</f>
        <v>0</v>
      </c>
      <c r="K526" s="43">
        <v>718</v>
      </c>
      <c r="L526" s="43">
        <f>J526+ROUND(K526, 2)</f>
        <v>718</v>
      </c>
      <c r="M526" s="43">
        <f>ROUND(J526*I526, 2)</f>
        <v>0</v>
      </c>
      <c r="N526" s="43">
        <f>ROUND(I526*ROUND(K526, 2), 2)</f>
        <v>0</v>
      </c>
      <c r="O526" s="43">
        <f>M526+N526</f>
        <v>0</v>
      </c>
      <c r="P526" s="43">
        <f>IFERROR(ROUND(SUM(S528,S530)/I526, 2),0)</f>
        <v>0</v>
      </c>
      <c r="Q526" s="43">
        <v>718</v>
      </c>
      <c r="R526" s="43">
        <f>P526+ROUND(Q526, 2)</f>
        <v>718</v>
      </c>
      <c r="S526" s="43">
        <f>ROUND(P526*I526, 2)</f>
        <v>0</v>
      </c>
      <c r="T526" s="43">
        <f>ROUND(I526*ROUND(Q526, 2), 2)</f>
        <v>0</v>
      </c>
      <c r="U526" s="43">
        <f>S526+T526</f>
        <v>0</v>
      </c>
      <c r="V526" s="9">
        <f>ROUND(P526 / 1.2, 2)</f>
        <v>0</v>
      </c>
      <c r="W526" s="9">
        <f>ROUND(Q526 / 1.2, 2)</f>
        <v>598.33000000000004</v>
      </c>
      <c r="X526" s="9">
        <f>ROUND(R526 / 1.2, 2)</f>
        <v>598.33000000000004</v>
      </c>
      <c r="Y526" s="9">
        <f>ROUND(S526 / 1.2, 2)</f>
        <v>0</v>
      </c>
      <c r="Z526" s="9">
        <f>ROUND(T526 / 1.2, 2)</f>
        <v>0</v>
      </c>
      <c r="AA526" s="9">
        <f>Y526+Z526</f>
        <v>0</v>
      </c>
      <c r="AD526" s="4">
        <v>264030413</v>
      </c>
      <c r="AE526" s="4">
        <v>16087384</v>
      </c>
      <c r="AG526" s="4" t="s">
        <v>1042</v>
      </c>
      <c r="AH526" s="4" t="s">
        <v>1556</v>
      </c>
      <c r="AI526" s="4" t="s">
        <v>249</v>
      </c>
    </row>
    <row r="527" spans="1:35" ht="37.5" x14ac:dyDescent="0.25">
      <c r="A527" s="44" t="s">
        <v>1632</v>
      </c>
      <c r="B527" s="44" t="s">
        <v>1554</v>
      </c>
      <c r="C527" s="45" t="s">
        <v>1040</v>
      </c>
      <c r="D527" s="46"/>
      <c r="E527" s="46" t="s">
        <v>834</v>
      </c>
      <c r="F527" s="46" t="s">
        <v>56</v>
      </c>
      <c r="G527" s="47">
        <v>1</v>
      </c>
      <c r="H527" s="46"/>
      <c r="I527" s="47">
        <v>148.1</v>
      </c>
      <c r="J527" s="48">
        <v>0</v>
      </c>
      <c r="K527" s="48">
        <v>718</v>
      </c>
      <c r="L527" s="48"/>
      <c r="M527" s="48">
        <v>0</v>
      </c>
      <c r="N527" s="48"/>
      <c r="O527" s="48"/>
      <c r="P527" s="48">
        <v>0</v>
      </c>
      <c r="Q527" s="48">
        <v>718</v>
      </c>
      <c r="R527" s="48"/>
      <c r="S527" s="48">
        <v>0</v>
      </c>
      <c r="T527" s="48"/>
      <c r="U527" s="48"/>
      <c r="V527" s="9"/>
      <c r="W527" s="9">
        <f>ROUND(Q527 / 1.2, 2)</f>
        <v>598.33000000000004</v>
      </c>
      <c r="X527" s="9" t="e">
        <f>ROUND(R527 / 1.2, 2)</f>
        <v>#VALUE!</v>
      </c>
      <c r="Y527" s="9"/>
      <c r="Z527" s="9" t="e">
        <f>ROUND(T527 / 1.2, 2)</f>
        <v>#VALUE!</v>
      </c>
      <c r="AA527" s="9"/>
      <c r="AD527" s="4">
        <v>204418618</v>
      </c>
      <c r="AE527" s="4">
        <v>16087384</v>
      </c>
      <c r="AG527" s="4" t="s">
        <v>1042</v>
      </c>
      <c r="AH527" s="4" t="s">
        <v>1556</v>
      </c>
      <c r="AI527" s="4"/>
    </row>
    <row r="528" spans="1:35" ht="37.5" x14ac:dyDescent="0.25">
      <c r="A528" s="38" t="s">
        <v>1633</v>
      </c>
      <c r="B528" s="38"/>
      <c r="C528" s="49" t="s">
        <v>887</v>
      </c>
      <c r="D528" s="40"/>
      <c r="E528" s="40"/>
      <c r="F528" s="50" t="s">
        <v>81</v>
      </c>
      <c r="G528" s="51">
        <v>1.5</v>
      </c>
      <c r="H528" s="40"/>
      <c r="I528" s="52">
        <v>0</v>
      </c>
      <c r="J528" s="53">
        <v>23</v>
      </c>
      <c r="K528" s="54"/>
      <c r="L528" s="54"/>
      <c r="M528" s="53">
        <f>ROUND(ROUND(J528, 2)*I528, 2)</f>
        <v>0</v>
      </c>
      <c r="N528" s="54"/>
      <c r="O528" s="54"/>
      <c r="P528" s="53">
        <v>12.58</v>
      </c>
      <c r="Q528" s="54"/>
      <c r="R528" s="54"/>
      <c r="S528" s="53">
        <f>ROUND(ROUND(P528, 2)*I528, 2)</f>
        <v>0</v>
      </c>
      <c r="T528" s="54"/>
      <c r="U528" s="55"/>
      <c r="V528" s="9">
        <f>ROUND(ROUND(P528, 2)/1.2, 2)</f>
        <v>10.48</v>
      </c>
      <c r="Y528" s="9">
        <f>ROUND(S528 / 1.2, 2)</f>
        <v>0</v>
      </c>
      <c r="AD528" s="4" t="s">
        <v>1634</v>
      </c>
      <c r="AE528" s="4" t="s">
        <v>1635</v>
      </c>
      <c r="AF528" s="4" t="s">
        <v>890</v>
      </c>
    </row>
    <row r="529" spans="1:35" ht="37.5" x14ac:dyDescent="0.25">
      <c r="A529" s="44" t="s">
        <v>1636</v>
      </c>
      <c r="B529" s="44"/>
      <c r="C529" s="56" t="s">
        <v>887</v>
      </c>
      <c r="D529" s="46"/>
      <c r="E529" s="46"/>
      <c r="F529" s="57" t="s">
        <v>81</v>
      </c>
      <c r="G529" s="58">
        <v>1.5</v>
      </c>
      <c r="H529" s="46"/>
      <c r="I529" s="58">
        <v>222.15</v>
      </c>
      <c r="J529" s="59">
        <v>23</v>
      </c>
      <c r="K529" s="60"/>
      <c r="L529" s="60"/>
      <c r="M529" s="59">
        <f>ROUND(ROUND(J529, 2)*I529, 2)</f>
        <v>5109.45</v>
      </c>
      <c r="N529" s="60"/>
      <c r="O529" s="60"/>
      <c r="P529" s="59">
        <v>12.58</v>
      </c>
      <c r="Q529" s="60"/>
      <c r="R529" s="60"/>
      <c r="S529" s="59">
        <f>ROUND(ROUND(P529, 2)*I529, 2)</f>
        <v>2794.65</v>
      </c>
      <c r="T529" s="60"/>
      <c r="U529" s="61"/>
      <c r="V529" s="9">
        <f>ROUND(ROUND(P529, 2)/1.2, 2)</f>
        <v>10.48</v>
      </c>
      <c r="Y529" s="9">
        <f>ROUND(S529 / 1.2, 2)</f>
        <v>2328.88</v>
      </c>
      <c r="AD529" s="4" t="s">
        <v>1637</v>
      </c>
      <c r="AE529" s="4" t="s">
        <v>1635</v>
      </c>
      <c r="AF529" s="4" t="s">
        <v>890</v>
      </c>
    </row>
    <row r="530" spans="1:35" ht="37.5" x14ac:dyDescent="0.25">
      <c r="A530" s="38" t="s">
        <v>1638</v>
      </c>
      <c r="B530" s="38"/>
      <c r="C530" s="49" t="s">
        <v>490</v>
      </c>
      <c r="D530" s="40"/>
      <c r="E530" s="40"/>
      <c r="F530" s="50" t="s">
        <v>81</v>
      </c>
      <c r="G530" s="51">
        <v>0.15</v>
      </c>
      <c r="H530" s="40"/>
      <c r="I530" s="52">
        <v>0</v>
      </c>
      <c r="J530" s="53">
        <v>88.8</v>
      </c>
      <c r="K530" s="54"/>
      <c r="L530" s="54"/>
      <c r="M530" s="53">
        <f>ROUND(ROUND(J530, 2)*I530, 2)</f>
        <v>0</v>
      </c>
      <c r="N530" s="54"/>
      <c r="O530" s="54"/>
      <c r="P530" s="53">
        <v>88.8</v>
      </c>
      <c r="Q530" s="54"/>
      <c r="R530" s="54"/>
      <c r="S530" s="53">
        <f>ROUND(ROUND(P530, 2)*I530, 2)</f>
        <v>0</v>
      </c>
      <c r="T530" s="54"/>
      <c r="U530" s="55"/>
      <c r="V530" s="9">
        <f>ROUND(ROUND(P530, 2)/1.2, 2)</f>
        <v>74</v>
      </c>
      <c r="Y530" s="9">
        <f>ROUND(S530 / 1.2, 2)</f>
        <v>0</v>
      </c>
      <c r="AD530" s="4" t="s">
        <v>1639</v>
      </c>
      <c r="AE530" s="4" t="s">
        <v>1640</v>
      </c>
      <c r="AF530" s="4" t="s">
        <v>493</v>
      </c>
    </row>
    <row r="531" spans="1:35" ht="37.5" x14ac:dyDescent="0.25">
      <c r="A531" s="44" t="s">
        <v>1641</v>
      </c>
      <c r="B531" s="44"/>
      <c r="C531" s="56" t="s">
        <v>490</v>
      </c>
      <c r="D531" s="46"/>
      <c r="E531" s="46"/>
      <c r="F531" s="57" t="s">
        <v>81</v>
      </c>
      <c r="G531" s="58">
        <v>0.15</v>
      </c>
      <c r="H531" s="46"/>
      <c r="I531" s="58">
        <v>22.215</v>
      </c>
      <c r="J531" s="59">
        <v>88.8</v>
      </c>
      <c r="K531" s="60"/>
      <c r="L531" s="60"/>
      <c r="M531" s="59">
        <f>ROUND(ROUND(J531, 2)*I531, 2)</f>
        <v>1972.69</v>
      </c>
      <c r="N531" s="60"/>
      <c r="O531" s="60"/>
      <c r="P531" s="59">
        <v>88.8</v>
      </c>
      <c r="Q531" s="60"/>
      <c r="R531" s="60"/>
      <c r="S531" s="59">
        <f>ROUND(ROUND(P531, 2)*I531, 2)</f>
        <v>1972.69</v>
      </c>
      <c r="T531" s="60"/>
      <c r="U531" s="61"/>
      <c r="V531" s="9">
        <f>ROUND(ROUND(P531, 2)/1.2, 2)</f>
        <v>74</v>
      </c>
      <c r="Y531" s="9">
        <f>ROUND(S531 / 1.2, 2)</f>
        <v>1643.91</v>
      </c>
      <c r="AD531" s="4" t="s">
        <v>1642</v>
      </c>
      <c r="AE531" s="4" t="s">
        <v>1640</v>
      </c>
      <c r="AF531" s="4" t="s">
        <v>493</v>
      </c>
    </row>
    <row r="532" spans="1:35" ht="17.100000000000001" customHeight="1" x14ac:dyDescent="0.25">
      <c r="A532" s="10" t="s">
        <v>1643</v>
      </c>
      <c r="B532" s="10" t="s">
        <v>1644</v>
      </c>
      <c r="C532" s="116" t="s">
        <v>1645</v>
      </c>
      <c r="D532" s="117"/>
      <c r="E532" s="117"/>
      <c r="F532" s="117"/>
      <c r="G532" s="117"/>
      <c r="H532" s="117"/>
      <c r="I532" s="118"/>
      <c r="M532" s="6">
        <f>SUM(M533,M539,M545)</f>
        <v>9944.4500000000007</v>
      </c>
      <c r="N532" s="6">
        <f>SUM(N533,N539,N545)</f>
        <v>228453.48</v>
      </c>
      <c r="O532" s="6">
        <f>SUM(O533,O539,O545)</f>
        <v>238397.93</v>
      </c>
      <c r="S532" s="6">
        <f>SUM(S533,S539,S545)</f>
        <v>9944.4500000000007</v>
      </c>
      <c r="T532" s="6">
        <f>SUM(T533,T539,T545)</f>
        <v>228453.48</v>
      </c>
      <c r="U532" s="6">
        <f>SUM(U533,U539,U545)</f>
        <v>238397.93</v>
      </c>
      <c r="Y532" s="9">
        <f>SUM(Y533,Y539,Y545)</f>
        <v>8287.0400000000009</v>
      </c>
      <c r="Z532" s="9">
        <f>SUM(Z533,Z539,Z545)</f>
        <v>190377.9</v>
      </c>
      <c r="AA532" s="9">
        <f>SUM(AA533,AA539,AA545)</f>
        <v>198664.94</v>
      </c>
      <c r="AD532" s="4">
        <v>264030326</v>
      </c>
      <c r="AE532" s="4">
        <v>16082936</v>
      </c>
    </row>
    <row r="533" spans="1:35" ht="56.25" x14ac:dyDescent="0.25">
      <c r="A533" s="38" t="s">
        <v>1646</v>
      </c>
      <c r="B533" s="38" t="s">
        <v>1647</v>
      </c>
      <c r="C533" s="39" t="s">
        <v>1648</v>
      </c>
      <c r="D533" s="40"/>
      <c r="E533" s="40" t="s">
        <v>1649</v>
      </c>
      <c r="F533" s="40" t="s">
        <v>56</v>
      </c>
      <c r="G533" s="41">
        <v>1</v>
      </c>
      <c r="H533" s="40"/>
      <c r="I533" s="42">
        <v>0</v>
      </c>
      <c r="J533" s="43">
        <f>IFERROR(ROUND(SUM(M535,M537)/I533, 2),0)</f>
        <v>0</v>
      </c>
      <c r="K533" s="43">
        <v>278</v>
      </c>
      <c r="L533" s="43">
        <f>J533+ROUND(K533, 2)</f>
        <v>278</v>
      </c>
      <c r="M533" s="43">
        <f>ROUND(J533*I533, 2)</f>
        <v>0</v>
      </c>
      <c r="N533" s="43">
        <f>ROUND(I533*ROUND(K533, 2), 2)</f>
        <v>0</v>
      </c>
      <c r="O533" s="43">
        <f>M533+N533</f>
        <v>0</v>
      </c>
      <c r="P533" s="43">
        <f>IFERROR(ROUND(SUM(S535,S537)/I533, 2),0)</f>
        <v>0</v>
      </c>
      <c r="Q533" s="43">
        <v>278</v>
      </c>
      <c r="R533" s="43">
        <f>P533+ROUND(Q533, 2)</f>
        <v>278</v>
      </c>
      <c r="S533" s="43">
        <f>ROUND(P533*I533, 2)</f>
        <v>0</v>
      </c>
      <c r="T533" s="43">
        <f>ROUND(I533*ROUND(Q533, 2), 2)</f>
        <v>0</v>
      </c>
      <c r="U533" s="43">
        <f>S533+T533</f>
        <v>0</v>
      </c>
      <c r="V533" s="9">
        <f>ROUND(P533 / 1.2, 2)</f>
        <v>0</v>
      </c>
      <c r="W533" s="9">
        <f>ROUND(Q533 / 1.2, 2)</f>
        <v>231.67</v>
      </c>
      <c r="X533" s="9">
        <f>ROUND(R533 / 1.2, 2)</f>
        <v>231.67</v>
      </c>
      <c r="Y533" s="9">
        <f>ROUND(S533 / 1.2, 2)</f>
        <v>0</v>
      </c>
      <c r="Z533" s="9">
        <f>ROUND(T533 / 1.2, 2)</f>
        <v>0</v>
      </c>
      <c r="AA533" s="9">
        <f>Y533+Z533</f>
        <v>0</v>
      </c>
      <c r="AD533" s="4">
        <v>264030328</v>
      </c>
      <c r="AE533" s="4">
        <v>16082938</v>
      </c>
      <c r="AG533" s="4" t="s">
        <v>1650</v>
      </c>
      <c r="AH533" s="4" t="s">
        <v>1651</v>
      </c>
      <c r="AI533" s="4" t="s">
        <v>249</v>
      </c>
    </row>
    <row r="534" spans="1:35" ht="56.25" x14ac:dyDescent="0.25">
      <c r="A534" s="44" t="s">
        <v>1652</v>
      </c>
      <c r="B534" s="44" t="s">
        <v>1647</v>
      </c>
      <c r="C534" s="45" t="s">
        <v>1648</v>
      </c>
      <c r="D534" s="46"/>
      <c r="E534" s="46" t="s">
        <v>1649</v>
      </c>
      <c r="F534" s="46" t="s">
        <v>56</v>
      </c>
      <c r="G534" s="47">
        <v>1</v>
      </c>
      <c r="H534" s="46"/>
      <c r="I534" s="47">
        <v>972.9</v>
      </c>
      <c r="J534" s="48">
        <v>0</v>
      </c>
      <c r="K534" s="48">
        <v>278</v>
      </c>
      <c r="L534" s="48"/>
      <c r="M534" s="48">
        <v>0</v>
      </c>
      <c r="N534" s="48"/>
      <c r="O534" s="48"/>
      <c r="P534" s="48">
        <v>0</v>
      </c>
      <c r="Q534" s="48">
        <v>278</v>
      </c>
      <c r="R534" s="48"/>
      <c r="S534" s="48">
        <v>0</v>
      </c>
      <c r="T534" s="48"/>
      <c r="U534" s="48"/>
      <c r="V534" s="9"/>
      <c r="W534" s="9">
        <f>ROUND(Q534 / 1.2, 2)</f>
        <v>231.67</v>
      </c>
      <c r="X534" s="9" t="e">
        <f>ROUND(R534 / 1.2, 2)</f>
        <v>#VALUE!</v>
      </c>
      <c r="Y534" s="9"/>
      <c r="Z534" s="9" t="e">
        <f>ROUND(T534 / 1.2, 2)</f>
        <v>#VALUE!</v>
      </c>
      <c r="AA534" s="9"/>
      <c r="AD534" s="4">
        <v>204395683</v>
      </c>
      <c r="AE534" s="4">
        <v>16082938</v>
      </c>
      <c r="AG534" s="4" t="s">
        <v>1650</v>
      </c>
      <c r="AH534" s="4" t="s">
        <v>1651</v>
      </c>
      <c r="AI534" s="4"/>
    </row>
    <row r="535" spans="1:35" ht="131.25" x14ac:dyDescent="0.25">
      <c r="A535" s="38" t="s">
        <v>1653</v>
      </c>
      <c r="B535" s="38"/>
      <c r="C535" s="49" t="s">
        <v>1654</v>
      </c>
      <c r="D535" s="40"/>
      <c r="E535" s="40" t="s">
        <v>1655</v>
      </c>
      <c r="F535" s="50" t="s">
        <v>81</v>
      </c>
      <c r="G535" s="51">
        <v>0.3</v>
      </c>
      <c r="H535" s="40"/>
      <c r="I535" s="62">
        <v>0</v>
      </c>
      <c r="J535" s="53">
        <v>226.67</v>
      </c>
      <c r="K535" s="54"/>
      <c r="L535" s="54"/>
      <c r="M535" s="53">
        <f>ROUND(ROUND(J535, 2)*I535, 2)</f>
        <v>0</v>
      </c>
      <c r="N535" s="54"/>
      <c r="O535" s="54"/>
      <c r="P535" s="53">
        <v>135.36000000000001</v>
      </c>
      <c r="Q535" s="54"/>
      <c r="R535" s="54"/>
      <c r="S535" s="53">
        <f>ROUND(ROUND(P535, 2)*I535, 2)</f>
        <v>0</v>
      </c>
      <c r="T535" s="54"/>
      <c r="U535" s="55"/>
      <c r="V535" s="9">
        <f>ROUND(ROUND(P535, 2)/1.2, 2)</f>
        <v>112.8</v>
      </c>
      <c r="Y535" s="9">
        <f>ROUND(S535 / 1.2, 2)</f>
        <v>0</v>
      </c>
      <c r="AD535" s="4" t="s">
        <v>1656</v>
      </c>
      <c r="AE535" s="4" t="s">
        <v>1657</v>
      </c>
      <c r="AF535" s="4" t="s">
        <v>1658</v>
      </c>
    </row>
    <row r="536" spans="1:35" ht="131.25" x14ac:dyDescent="0.25">
      <c r="A536" s="44" t="s">
        <v>1659</v>
      </c>
      <c r="B536" s="44"/>
      <c r="C536" s="56" t="s">
        <v>1654</v>
      </c>
      <c r="D536" s="46"/>
      <c r="E536" s="46" t="s">
        <v>1655</v>
      </c>
      <c r="F536" s="57" t="s">
        <v>81</v>
      </c>
      <c r="G536" s="58">
        <v>0.3</v>
      </c>
      <c r="H536" s="46"/>
      <c r="I536" s="63">
        <v>291.87</v>
      </c>
      <c r="J536" s="59">
        <v>226.67</v>
      </c>
      <c r="K536" s="60"/>
      <c r="L536" s="60"/>
      <c r="M536" s="59">
        <f>ROUND(ROUND(J536, 2)*I536, 2)</f>
        <v>66158.17</v>
      </c>
      <c r="N536" s="60"/>
      <c r="O536" s="60"/>
      <c r="P536" s="59">
        <v>135.36000000000001</v>
      </c>
      <c r="Q536" s="60"/>
      <c r="R536" s="60"/>
      <c r="S536" s="59">
        <f>ROUND(ROUND(P536, 2)*I536, 2)</f>
        <v>39507.519999999997</v>
      </c>
      <c r="T536" s="60"/>
      <c r="U536" s="61"/>
      <c r="V536" s="9">
        <f>ROUND(ROUND(P536, 2)/1.2, 2)</f>
        <v>112.8</v>
      </c>
      <c r="Y536" s="9">
        <f>ROUND(S536 / 1.2, 2)</f>
        <v>32922.93</v>
      </c>
      <c r="AD536" s="4" t="s">
        <v>1660</v>
      </c>
      <c r="AE536" s="4" t="s">
        <v>1657</v>
      </c>
      <c r="AF536" s="4" t="s">
        <v>1658</v>
      </c>
    </row>
    <row r="537" spans="1:35" ht="37.5" x14ac:dyDescent="0.25">
      <c r="A537" s="38" t="s">
        <v>1661</v>
      </c>
      <c r="B537" s="38"/>
      <c r="C537" s="49" t="s">
        <v>490</v>
      </c>
      <c r="D537" s="40"/>
      <c r="E537" s="40"/>
      <c r="F537" s="50" t="s">
        <v>81</v>
      </c>
      <c r="G537" s="51">
        <v>0.15</v>
      </c>
      <c r="H537" s="40"/>
      <c r="I537" s="62">
        <v>0</v>
      </c>
      <c r="J537" s="53">
        <v>88.8</v>
      </c>
      <c r="K537" s="54"/>
      <c r="L537" s="54"/>
      <c r="M537" s="53">
        <f>ROUND(ROUND(J537, 2)*I537, 2)</f>
        <v>0</v>
      </c>
      <c r="N537" s="54"/>
      <c r="O537" s="54"/>
      <c r="P537" s="53">
        <v>88.8</v>
      </c>
      <c r="Q537" s="54"/>
      <c r="R537" s="54"/>
      <c r="S537" s="53">
        <f>ROUND(ROUND(P537, 2)*I537, 2)</f>
        <v>0</v>
      </c>
      <c r="T537" s="54"/>
      <c r="U537" s="55"/>
      <c r="V537" s="9">
        <f>ROUND(ROUND(P537, 2)/1.2, 2)</f>
        <v>74</v>
      </c>
      <c r="Y537" s="9">
        <f>ROUND(S537 / 1.2, 2)</f>
        <v>0</v>
      </c>
      <c r="AD537" s="4" t="s">
        <v>1662</v>
      </c>
      <c r="AE537" s="4" t="s">
        <v>1663</v>
      </c>
      <c r="AF537" s="4" t="s">
        <v>493</v>
      </c>
    </row>
    <row r="538" spans="1:35" ht="37.5" x14ac:dyDescent="0.25">
      <c r="A538" s="44" t="s">
        <v>1664</v>
      </c>
      <c r="B538" s="44"/>
      <c r="C538" s="56" t="s">
        <v>490</v>
      </c>
      <c r="D538" s="46"/>
      <c r="E538" s="46"/>
      <c r="F538" s="57" t="s">
        <v>81</v>
      </c>
      <c r="G538" s="58">
        <v>0.15</v>
      </c>
      <c r="H538" s="46"/>
      <c r="I538" s="63">
        <v>145.935</v>
      </c>
      <c r="J538" s="59">
        <v>88.8</v>
      </c>
      <c r="K538" s="60"/>
      <c r="L538" s="60"/>
      <c r="M538" s="59">
        <f>ROUND(ROUND(J538, 2)*I538, 2)</f>
        <v>12959.03</v>
      </c>
      <c r="N538" s="60"/>
      <c r="O538" s="60"/>
      <c r="P538" s="59">
        <v>88.8</v>
      </c>
      <c r="Q538" s="60"/>
      <c r="R538" s="60"/>
      <c r="S538" s="59">
        <f>ROUND(ROUND(P538, 2)*I538, 2)</f>
        <v>12959.03</v>
      </c>
      <c r="T538" s="60"/>
      <c r="U538" s="61"/>
      <c r="V538" s="9">
        <f>ROUND(ROUND(P538, 2)/1.2, 2)</f>
        <v>74</v>
      </c>
      <c r="Y538" s="9">
        <f>ROUND(S538 / 1.2, 2)</f>
        <v>10799.19</v>
      </c>
      <c r="AD538" s="4" t="s">
        <v>1665</v>
      </c>
      <c r="AE538" s="4" t="s">
        <v>1663</v>
      </c>
      <c r="AF538" s="4" t="s">
        <v>493</v>
      </c>
    </row>
    <row r="539" spans="1:35" ht="56.25" x14ac:dyDescent="0.25">
      <c r="A539" s="38" t="s">
        <v>1666</v>
      </c>
      <c r="B539" s="38" t="s">
        <v>1647</v>
      </c>
      <c r="C539" s="39" t="s">
        <v>1648</v>
      </c>
      <c r="D539" s="40"/>
      <c r="E539" s="40" t="s">
        <v>523</v>
      </c>
      <c r="F539" s="40" t="s">
        <v>56</v>
      </c>
      <c r="G539" s="41">
        <v>1</v>
      </c>
      <c r="H539" s="40"/>
      <c r="I539" s="42">
        <v>0</v>
      </c>
      <c r="J539" s="43">
        <f>IFERROR(ROUND(SUM(M541,M543)/I539, 2),0)</f>
        <v>0</v>
      </c>
      <c r="K539" s="43">
        <v>278</v>
      </c>
      <c r="L539" s="43">
        <f>J539+ROUND(K539, 2)</f>
        <v>278</v>
      </c>
      <c r="M539" s="43">
        <f>ROUND(J539*I539, 2)</f>
        <v>0</v>
      </c>
      <c r="N539" s="43">
        <f>ROUND(I539*ROUND(K539, 2), 2)</f>
        <v>0</v>
      </c>
      <c r="O539" s="43">
        <f>M539+N539</f>
        <v>0</v>
      </c>
      <c r="P539" s="43">
        <f>IFERROR(ROUND(SUM(S541,S543)/I539, 2),0)</f>
        <v>0</v>
      </c>
      <c r="Q539" s="43">
        <v>278</v>
      </c>
      <c r="R539" s="43">
        <f>P539+ROUND(Q539, 2)</f>
        <v>278</v>
      </c>
      <c r="S539" s="43">
        <f>ROUND(P539*I539, 2)</f>
        <v>0</v>
      </c>
      <c r="T539" s="43">
        <f>ROUND(I539*ROUND(Q539, 2), 2)</f>
        <v>0</v>
      </c>
      <c r="U539" s="43">
        <f>S539+T539</f>
        <v>0</v>
      </c>
      <c r="V539" s="9">
        <f>ROUND(P539 / 1.2, 2)</f>
        <v>0</v>
      </c>
      <c r="W539" s="9">
        <f>ROUND(Q539 / 1.2, 2)</f>
        <v>231.67</v>
      </c>
      <c r="X539" s="9">
        <f>ROUND(R539 / 1.2, 2)</f>
        <v>231.67</v>
      </c>
      <c r="Y539" s="9">
        <f>ROUND(S539 / 1.2, 2)</f>
        <v>0</v>
      </c>
      <c r="Z539" s="9">
        <f>ROUND(T539 / 1.2, 2)</f>
        <v>0</v>
      </c>
      <c r="AA539" s="9">
        <f>Y539+Z539</f>
        <v>0</v>
      </c>
      <c r="AD539" s="4">
        <v>264030414</v>
      </c>
      <c r="AE539" s="4">
        <v>16088066</v>
      </c>
      <c r="AG539" s="4" t="s">
        <v>1650</v>
      </c>
      <c r="AH539" s="4" t="s">
        <v>1651</v>
      </c>
      <c r="AI539" s="4" t="s">
        <v>249</v>
      </c>
    </row>
    <row r="540" spans="1:35" ht="56.25" x14ac:dyDescent="0.25">
      <c r="A540" s="44" t="s">
        <v>1667</v>
      </c>
      <c r="B540" s="44" t="s">
        <v>1647</v>
      </c>
      <c r="C540" s="45" t="s">
        <v>1648</v>
      </c>
      <c r="D540" s="46"/>
      <c r="E540" s="46" t="s">
        <v>523</v>
      </c>
      <c r="F540" s="46" t="s">
        <v>56</v>
      </c>
      <c r="G540" s="47">
        <v>1</v>
      </c>
      <c r="H540" s="46"/>
      <c r="I540" s="47">
        <v>148.1</v>
      </c>
      <c r="J540" s="48">
        <v>0</v>
      </c>
      <c r="K540" s="48">
        <v>278</v>
      </c>
      <c r="L540" s="48"/>
      <c r="M540" s="48">
        <v>0</v>
      </c>
      <c r="N540" s="48"/>
      <c r="O540" s="48"/>
      <c r="P540" s="48">
        <v>0</v>
      </c>
      <c r="Q540" s="48">
        <v>278</v>
      </c>
      <c r="R540" s="48"/>
      <c r="S540" s="48">
        <v>0</v>
      </c>
      <c r="T540" s="48"/>
      <c r="U540" s="48"/>
      <c r="V540" s="9"/>
      <c r="W540" s="9">
        <f>ROUND(Q540 / 1.2, 2)</f>
        <v>231.67</v>
      </c>
      <c r="X540" s="9" t="e">
        <f>ROUND(R540 / 1.2, 2)</f>
        <v>#VALUE!</v>
      </c>
      <c r="Y540" s="9"/>
      <c r="Z540" s="9" t="e">
        <f>ROUND(T540 / 1.2, 2)</f>
        <v>#VALUE!</v>
      </c>
      <c r="AA540" s="9"/>
      <c r="AD540" s="4">
        <v>204426457</v>
      </c>
      <c r="AE540" s="4">
        <v>16088066</v>
      </c>
      <c r="AG540" s="4" t="s">
        <v>1650</v>
      </c>
      <c r="AH540" s="4" t="s">
        <v>1651</v>
      </c>
      <c r="AI540" s="4"/>
    </row>
    <row r="541" spans="1:35" ht="37.5" x14ac:dyDescent="0.25">
      <c r="A541" s="38" t="s">
        <v>1668</v>
      </c>
      <c r="B541" s="38"/>
      <c r="C541" s="49" t="s">
        <v>490</v>
      </c>
      <c r="D541" s="40"/>
      <c r="E541" s="40"/>
      <c r="F541" s="50" t="s">
        <v>81</v>
      </c>
      <c r="G541" s="51">
        <v>0.15</v>
      </c>
      <c r="H541" s="40"/>
      <c r="I541" s="62">
        <v>0</v>
      </c>
      <c r="J541" s="53">
        <v>88.8</v>
      </c>
      <c r="K541" s="54"/>
      <c r="L541" s="54"/>
      <c r="M541" s="53">
        <f>ROUND(ROUND(J541, 2)*I541, 2)</f>
        <v>0</v>
      </c>
      <c r="N541" s="54"/>
      <c r="O541" s="54"/>
      <c r="P541" s="53">
        <v>88.8</v>
      </c>
      <c r="Q541" s="54"/>
      <c r="R541" s="54"/>
      <c r="S541" s="53">
        <f>ROUND(ROUND(P541, 2)*I541, 2)</f>
        <v>0</v>
      </c>
      <c r="T541" s="54"/>
      <c r="U541" s="55"/>
      <c r="V541" s="9">
        <f>ROUND(ROUND(P541, 2)/1.2, 2)</f>
        <v>74</v>
      </c>
      <c r="Y541" s="9">
        <f t="shared" ref="Y541:Y547" si="107">ROUND(S541 / 1.2, 2)</f>
        <v>0</v>
      </c>
      <c r="AD541" s="4" t="s">
        <v>1669</v>
      </c>
      <c r="AE541" s="4" t="s">
        <v>1670</v>
      </c>
      <c r="AF541" s="4" t="s">
        <v>493</v>
      </c>
    </row>
    <row r="542" spans="1:35" ht="37.5" x14ac:dyDescent="0.25">
      <c r="A542" s="44" t="s">
        <v>1671</v>
      </c>
      <c r="B542" s="44"/>
      <c r="C542" s="56" t="s">
        <v>490</v>
      </c>
      <c r="D542" s="46"/>
      <c r="E542" s="46"/>
      <c r="F542" s="57" t="s">
        <v>81</v>
      </c>
      <c r="G542" s="58">
        <v>0.15</v>
      </c>
      <c r="H542" s="46"/>
      <c r="I542" s="63">
        <v>22.215</v>
      </c>
      <c r="J542" s="59">
        <v>88.8</v>
      </c>
      <c r="K542" s="60"/>
      <c r="L542" s="60"/>
      <c r="M542" s="59">
        <f>ROUND(ROUND(J542, 2)*I542, 2)</f>
        <v>1972.69</v>
      </c>
      <c r="N542" s="60"/>
      <c r="O542" s="60"/>
      <c r="P542" s="59">
        <v>88.8</v>
      </c>
      <c r="Q542" s="60"/>
      <c r="R542" s="60"/>
      <c r="S542" s="59">
        <f>ROUND(ROUND(P542, 2)*I542, 2)</f>
        <v>1972.69</v>
      </c>
      <c r="T542" s="60"/>
      <c r="U542" s="61"/>
      <c r="V542" s="9">
        <f>ROUND(ROUND(P542, 2)/1.2, 2)</f>
        <v>74</v>
      </c>
      <c r="Y542" s="9">
        <f t="shared" si="107"/>
        <v>1643.91</v>
      </c>
      <c r="AD542" s="4" t="s">
        <v>1672</v>
      </c>
      <c r="AE542" s="4" t="s">
        <v>1670</v>
      </c>
      <c r="AF542" s="4" t="s">
        <v>493</v>
      </c>
    </row>
    <row r="543" spans="1:35" ht="112.5" x14ac:dyDescent="0.25">
      <c r="A543" s="38" t="s">
        <v>1673</v>
      </c>
      <c r="B543" s="38"/>
      <c r="C543" s="49" t="s">
        <v>1654</v>
      </c>
      <c r="D543" s="40"/>
      <c r="E543" s="40" t="s">
        <v>1674</v>
      </c>
      <c r="F543" s="50" t="s">
        <v>81</v>
      </c>
      <c r="G543" s="51">
        <v>0.3</v>
      </c>
      <c r="H543" s="40"/>
      <c r="I543" s="62">
        <v>0</v>
      </c>
      <c r="J543" s="53">
        <v>226.67</v>
      </c>
      <c r="K543" s="54"/>
      <c r="L543" s="54"/>
      <c r="M543" s="53">
        <f>ROUND(ROUND(J543, 2)*I543, 2)</f>
        <v>0</v>
      </c>
      <c r="N543" s="54"/>
      <c r="O543" s="54"/>
      <c r="P543" s="53">
        <v>135.36000000000001</v>
      </c>
      <c r="Q543" s="54"/>
      <c r="R543" s="54"/>
      <c r="S543" s="53">
        <f>ROUND(ROUND(P543, 2)*I543, 2)</f>
        <v>0</v>
      </c>
      <c r="T543" s="54"/>
      <c r="U543" s="55"/>
      <c r="V543" s="9">
        <f>ROUND(ROUND(P543, 2)/1.2, 2)</f>
        <v>112.8</v>
      </c>
      <c r="Y543" s="9">
        <f t="shared" si="107"/>
        <v>0</v>
      </c>
      <c r="AD543" s="4" t="s">
        <v>1675</v>
      </c>
      <c r="AE543" s="4" t="s">
        <v>1676</v>
      </c>
      <c r="AF543" s="4" t="s">
        <v>1658</v>
      </c>
    </row>
    <row r="544" spans="1:35" ht="112.5" x14ac:dyDescent="0.25">
      <c r="A544" s="44" t="s">
        <v>1677</v>
      </c>
      <c r="B544" s="44"/>
      <c r="C544" s="56" t="s">
        <v>1654</v>
      </c>
      <c r="D544" s="46"/>
      <c r="E544" s="46" t="s">
        <v>1674</v>
      </c>
      <c r="F544" s="57" t="s">
        <v>81</v>
      </c>
      <c r="G544" s="58">
        <v>0.3</v>
      </c>
      <c r="H544" s="46"/>
      <c r="I544" s="63">
        <v>44.43</v>
      </c>
      <c r="J544" s="59">
        <v>226.67</v>
      </c>
      <c r="K544" s="60"/>
      <c r="L544" s="60"/>
      <c r="M544" s="59">
        <f>ROUND(ROUND(J544, 2)*I544, 2)</f>
        <v>10070.950000000001</v>
      </c>
      <c r="N544" s="60"/>
      <c r="O544" s="60"/>
      <c r="P544" s="59">
        <v>135.36000000000001</v>
      </c>
      <c r="Q544" s="60"/>
      <c r="R544" s="60"/>
      <c r="S544" s="59">
        <f>ROUND(ROUND(P544, 2)*I544, 2)</f>
        <v>6014.04</v>
      </c>
      <c r="T544" s="60"/>
      <c r="U544" s="61"/>
      <c r="V544" s="9">
        <f>ROUND(ROUND(P544, 2)/1.2, 2)</f>
        <v>112.8</v>
      </c>
      <c r="Y544" s="9">
        <f t="shared" si="107"/>
        <v>5011.7</v>
      </c>
      <c r="AD544" s="4" t="s">
        <v>1678</v>
      </c>
      <c r="AE544" s="4" t="s">
        <v>1676</v>
      </c>
      <c r="AF544" s="4" t="s">
        <v>1658</v>
      </c>
    </row>
    <row r="545" spans="1:35" ht="56.25" x14ac:dyDescent="0.25">
      <c r="A545" s="11" t="s">
        <v>1679</v>
      </c>
      <c r="B545" s="11" t="s">
        <v>1647</v>
      </c>
      <c r="C545" s="20" t="s">
        <v>1648</v>
      </c>
      <c r="D545" s="21"/>
      <c r="E545" s="21" t="s">
        <v>1387</v>
      </c>
      <c r="F545" s="21" t="s">
        <v>56</v>
      </c>
      <c r="G545" s="22">
        <v>1</v>
      </c>
      <c r="H545" s="21"/>
      <c r="I545" s="22">
        <v>746.58</v>
      </c>
      <c r="J545" s="23">
        <f>IFERROR(ROUND(SUM(M546,M547)/I545, 2),0)</f>
        <v>13.32</v>
      </c>
      <c r="K545" s="23">
        <v>306</v>
      </c>
      <c r="L545" s="23">
        <f>J545+ROUND(K545, 2)</f>
        <v>319.32</v>
      </c>
      <c r="M545" s="23">
        <f>ROUND(J545*I545, 2)</f>
        <v>9944.4500000000007</v>
      </c>
      <c r="N545" s="23">
        <f>ROUND(I545*ROUND(K545, 2), 2)</f>
        <v>228453.48</v>
      </c>
      <c r="O545" s="23">
        <f>M545+N545</f>
        <v>238397.93</v>
      </c>
      <c r="P545" s="23">
        <f>IFERROR(ROUND(SUM(S546,S547)/I545, 2),0)</f>
        <v>13.32</v>
      </c>
      <c r="Q545" s="23">
        <v>306</v>
      </c>
      <c r="R545" s="23">
        <f>P545+ROUND(Q545, 2)</f>
        <v>319.32</v>
      </c>
      <c r="S545" s="23">
        <f>ROUND(P545*I545, 2)</f>
        <v>9944.4500000000007</v>
      </c>
      <c r="T545" s="23">
        <f>ROUND(I545*ROUND(Q545, 2), 2)</f>
        <v>228453.48</v>
      </c>
      <c r="U545" s="23">
        <f>S545+T545</f>
        <v>238397.93</v>
      </c>
      <c r="V545" s="9">
        <f>ROUND(P545 / 1.2, 2)</f>
        <v>11.1</v>
      </c>
      <c r="W545" s="9">
        <f>ROUND(Q545 / 1.2, 2)</f>
        <v>255</v>
      </c>
      <c r="X545" s="9">
        <f>ROUND(R545 / 1.2, 2)</f>
        <v>266.10000000000002</v>
      </c>
      <c r="Y545" s="9">
        <f t="shared" si="107"/>
        <v>8287.0400000000009</v>
      </c>
      <c r="Z545" s="9">
        <f>ROUND(T545 / 1.2, 2)</f>
        <v>190377.9</v>
      </c>
      <c r="AA545" s="9">
        <f>Y545+Z545</f>
        <v>198664.94</v>
      </c>
      <c r="AD545" s="4">
        <v>264030415</v>
      </c>
      <c r="AE545" s="4">
        <v>19923616</v>
      </c>
      <c r="AG545" s="4" t="s">
        <v>1650</v>
      </c>
      <c r="AH545" s="4" t="s">
        <v>1651</v>
      </c>
      <c r="AI545" s="4" t="s">
        <v>249</v>
      </c>
    </row>
    <row r="546" spans="1:35" ht="150" x14ac:dyDescent="0.25">
      <c r="A546" s="11" t="s">
        <v>1680</v>
      </c>
      <c r="B546" s="11"/>
      <c r="C546" s="31" t="s">
        <v>1681</v>
      </c>
      <c r="D546" s="21"/>
      <c r="E546" s="21" t="s">
        <v>1682</v>
      </c>
      <c r="F546" s="32" t="s">
        <v>81</v>
      </c>
      <c r="G546" s="33">
        <v>0.3</v>
      </c>
      <c r="H546" s="21"/>
      <c r="I546" s="34">
        <v>223.97399999999999</v>
      </c>
      <c r="J546" s="35">
        <v>0</v>
      </c>
      <c r="K546" s="12"/>
      <c r="L546" s="12"/>
      <c r="M546" s="35">
        <f>ROUND(ROUND(J546, 2)*I546, 2)</f>
        <v>0</v>
      </c>
      <c r="N546" s="12"/>
      <c r="O546" s="12"/>
      <c r="P546" s="35">
        <v>0</v>
      </c>
      <c r="Q546" s="12"/>
      <c r="R546" s="12"/>
      <c r="S546" s="35">
        <f>ROUND(ROUND(P546, 2)*I546, 2)</f>
        <v>0</v>
      </c>
      <c r="T546" s="12"/>
      <c r="U546" s="36"/>
      <c r="V546" s="9">
        <f>ROUND(ROUND(P546, 2)/1.2, 2)</f>
        <v>0</v>
      </c>
      <c r="Y546" s="9">
        <f t="shared" si="107"/>
        <v>0</v>
      </c>
      <c r="AD546" s="4" t="s">
        <v>1683</v>
      </c>
      <c r="AE546" s="4" t="s">
        <v>1684</v>
      </c>
      <c r="AF546" s="4" t="s">
        <v>1685</v>
      </c>
    </row>
    <row r="547" spans="1:35" ht="37.5" x14ac:dyDescent="0.25">
      <c r="A547" s="11" t="s">
        <v>1686</v>
      </c>
      <c r="B547" s="11"/>
      <c r="C547" s="31" t="s">
        <v>490</v>
      </c>
      <c r="D547" s="21"/>
      <c r="E547" s="21"/>
      <c r="F547" s="32" t="s">
        <v>81</v>
      </c>
      <c r="G547" s="33">
        <v>0.15</v>
      </c>
      <c r="H547" s="21"/>
      <c r="I547" s="34">
        <v>111.98699999999999</v>
      </c>
      <c r="J547" s="35">
        <v>88.8</v>
      </c>
      <c r="K547" s="12"/>
      <c r="L547" s="12"/>
      <c r="M547" s="35">
        <f>ROUND(ROUND(J547, 2)*I547, 2)</f>
        <v>9944.4500000000007</v>
      </c>
      <c r="N547" s="12"/>
      <c r="O547" s="12"/>
      <c r="P547" s="35">
        <v>88.8</v>
      </c>
      <c r="Q547" s="12"/>
      <c r="R547" s="12"/>
      <c r="S547" s="35">
        <f>ROUND(ROUND(P547, 2)*I547, 2)</f>
        <v>9944.4500000000007</v>
      </c>
      <c r="T547" s="12"/>
      <c r="U547" s="36"/>
      <c r="V547" s="9">
        <f>ROUND(ROUND(P547, 2)/1.2, 2)</f>
        <v>74</v>
      </c>
      <c r="Y547" s="9">
        <f t="shared" si="107"/>
        <v>8287.0400000000009</v>
      </c>
      <c r="AD547" s="4" t="s">
        <v>1687</v>
      </c>
      <c r="AE547" s="4" t="s">
        <v>1688</v>
      </c>
      <c r="AF547" s="4" t="s">
        <v>493</v>
      </c>
    </row>
    <row r="548" spans="1:35" ht="17.100000000000001" customHeight="1" x14ac:dyDescent="0.25">
      <c r="A548" s="10" t="s">
        <v>1689</v>
      </c>
      <c r="B548" s="10" t="s">
        <v>1690</v>
      </c>
      <c r="C548" s="116" t="s">
        <v>1691</v>
      </c>
      <c r="D548" s="117"/>
      <c r="E548" s="117"/>
      <c r="F548" s="117"/>
      <c r="G548" s="117"/>
      <c r="H548" s="117"/>
      <c r="I548" s="118"/>
      <c r="M548" s="6">
        <f>SUM(M549,M551,M553,M557)</f>
        <v>0</v>
      </c>
      <c r="N548" s="6">
        <f>SUM(N549,N551,N553,N557)</f>
        <v>62940.6</v>
      </c>
      <c r="O548" s="6">
        <f>SUM(O549,O551,O553,O557)</f>
        <v>62940.6</v>
      </c>
      <c r="S548" s="6">
        <f>SUM(S549,S551,S553,S557)</f>
        <v>0</v>
      </c>
      <c r="T548" s="6">
        <f>SUM(T549,T551,T553,T557)</f>
        <v>62940.6</v>
      </c>
      <c r="U548" s="6">
        <f>SUM(U549,U551,U553,U557)</f>
        <v>62940.6</v>
      </c>
      <c r="Y548" s="9">
        <f>SUM(Y549,Y551,Y553,Y557)</f>
        <v>0</v>
      </c>
      <c r="Z548" s="9">
        <f>SUM(Z549,Z551,Z553,Z557)</f>
        <v>52450.5</v>
      </c>
      <c r="AA548" s="9" t="e">
        <f>SUM(AA549,AA551,AA553,AA557)</f>
        <v>#VALUE!</v>
      </c>
      <c r="AD548" s="4">
        <v>264030329</v>
      </c>
      <c r="AE548" s="4">
        <v>16083550</v>
      </c>
    </row>
    <row r="549" spans="1:35" ht="37.5" x14ac:dyDescent="0.25">
      <c r="A549" s="11" t="s">
        <v>1692</v>
      </c>
      <c r="B549" s="11" t="s">
        <v>1693</v>
      </c>
      <c r="C549" s="20" t="s">
        <v>1694</v>
      </c>
      <c r="D549" s="21"/>
      <c r="E549" s="21" t="s">
        <v>1695</v>
      </c>
      <c r="F549" s="21" t="s">
        <v>56</v>
      </c>
      <c r="G549" s="22">
        <v>1</v>
      </c>
      <c r="H549" s="21"/>
      <c r="I549" s="22">
        <v>32.799999999999997</v>
      </c>
      <c r="J549" s="23">
        <f>IFERROR(ROUND(SUM(M550)/I549, 2),0)</f>
        <v>0</v>
      </c>
      <c r="K549" s="23">
        <v>837</v>
      </c>
      <c r="L549" s="23">
        <f>J549+ROUND(K549, 2)</f>
        <v>837</v>
      </c>
      <c r="M549" s="23">
        <f>ROUND(J549*I549, 2)</f>
        <v>0</v>
      </c>
      <c r="N549" s="23">
        <f>ROUND(I549*ROUND(K549, 2), 2)</f>
        <v>27453.599999999999</v>
      </c>
      <c r="O549" s="23">
        <f>M549+N549</f>
        <v>27453.599999999999</v>
      </c>
      <c r="P549" s="23">
        <f>IFERROR(ROUND(SUM(S550)/I549, 2),0)</f>
        <v>0</v>
      </c>
      <c r="Q549" s="23">
        <v>837</v>
      </c>
      <c r="R549" s="23">
        <f>P549+ROUND(Q549, 2)</f>
        <v>837</v>
      </c>
      <c r="S549" s="23">
        <f>ROUND(P549*I549, 2)</f>
        <v>0</v>
      </c>
      <c r="T549" s="23">
        <f>ROUND(I549*ROUND(Q549, 2), 2)</f>
        <v>27453.599999999999</v>
      </c>
      <c r="U549" s="23">
        <f>S549+T549</f>
        <v>27453.599999999999</v>
      </c>
      <c r="V549" s="9">
        <f>ROUND(P549 / 1.2, 2)</f>
        <v>0</v>
      </c>
      <c r="W549" s="9">
        <f>ROUND(Q549 / 1.2, 2)</f>
        <v>697.5</v>
      </c>
      <c r="X549" s="9">
        <f>ROUND(R549 / 1.2, 2)</f>
        <v>697.5</v>
      </c>
      <c r="Y549" s="9">
        <f>ROUND(S549 / 1.2, 2)</f>
        <v>0</v>
      </c>
      <c r="Z549" s="9">
        <f>ROUND(T549 / 1.2, 2)</f>
        <v>22878</v>
      </c>
      <c r="AA549" s="9">
        <f>Y549+Z549</f>
        <v>22878</v>
      </c>
      <c r="AD549" s="4">
        <v>264030331</v>
      </c>
      <c r="AE549" s="4">
        <v>16083552</v>
      </c>
      <c r="AG549" s="4" t="s">
        <v>1696</v>
      </c>
      <c r="AH549" s="4" t="s">
        <v>1697</v>
      </c>
      <c r="AI549" s="4" t="s">
        <v>249</v>
      </c>
    </row>
    <row r="550" spans="1:35" ht="93.75" x14ac:dyDescent="0.25">
      <c r="A550" s="11" t="s">
        <v>1698</v>
      </c>
      <c r="B550" s="11"/>
      <c r="C550" s="31" t="s">
        <v>1699</v>
      </c>
      <c r="D550" s="21"/>
      <c r="E550" s="21" t="s">
        <v>1700</v>
      </c>
      <c r="F550" s="32" t="s">
        <v>56</v>
      </c>
      <c r="G550" s="33">
        <v>1</v>
      </c>
      <c r="H550" s="21"/>
      <c r="I550" s="34">
        <v>32.799999999999997</v>
      </c>
      <c r="J550" s="35">
        <v>0</v>
      </c>
      <c r="K550" s="12"/>
      <c r="L550" s="12"/>
      <c r="M550" s="35">
        <f>ROUND(ROUND(J550, 2)*I550, 2)</f>
        <v>0</v>
      </c>
      <c r="N550" s="12"/>
      <c r="O550" s="12"/>
      <c r="P550" s="35">
        <v>0</v>
      </c>
      <c r="Q550" s="12"/>
      <c r="R550" s="12"/>
      <c r="S550" s="35">
        <f>ROUND(ROUND(P550, 2)*I550, 2)</f>
        <v>0</v>
      </c>
      <c r="T550" s="12"/>
      <c r="U550" s="36"/>
      <c r="V550" s="9">
        <f>ROUND(ROUND(P550, 2)/1.2, 2)</f>
        <v>0</v>
      </c>
      <c r="Y550" s="9">
        <f>ROUND(S550 / 1.2, 2)</f>
        <v>0</v>
      </c>
      <c r="AD550" s="4" t="s">
        <v>1701</v>
      </c>
      <c r="AE550" s="4" t="s">
        <v>1702</v>
      </c>
      <c r="AF550" s="4" t="s">
        <v>1703</v>
      </c>
    </row>
    <row r="551" spans="1:35" ht="37.5" x14ac:dyDescent="0.25">
      <c r="A551" s="11" t="s">
        <v>1704</v>
      </c>
      <c r="B551" s="11" t="s">
        <v>1693</v>
      </c>
      <c r="C551" s="20" t="s">
        <v>1694</v>
      </c>
      <c r="D551" s="21"/>
      <c r="E551" s="21" t="s">
        <v>139</v>
      </c>
      <c r="F551" s="21" t="s">
        <v>56</v>
      </c>
      <c r="G551" s="22">
        <v>1</v>
      </c>
      <c r="H551" s="21"/>
      <c r="I551" s="22">
        <v>32.9</v>
      </c>
      <c r="J551" s="23">
        <f>IFERROR(ROUND(SUM(M552)/I551, 2),0)</f>
        <v>0</v>
      </c>
      <c r="K551" s="23">
        <v>837</v>
      </c>
      <c r="L551" s="23">
        <f>J551+ROUND(K551, 2)</f>
        <v>837</v>
      </c>
      <c r="M551" s="23">
        <f>ROUND(J551*I551, 2)</f>
        <v>0</v>
      </c>
      <c r="N551" s="23">
        <f>ROUND(I551*ROUND(K551, 2), 2)</f>
        <v>27537.3</v>
      </c>
      <c r="O551" s="23">
        <f>M551+N551</f>
        <v>27537.3</v>
      </c>
      <c r="P551" s="23">
        <f>IFERROR(ROUND(SUM(S552)/I551, 2),0)</f>
        <v>0</v>
      </c>
      <c r="Q551" s="23">
        <v>837</v>
      </c>
      <c r="R551" s="23">
        <f>P551+ROUND(Q551, 2)</f>
        <v>837</v>
      </c>
      <c r="S551" s="23">
        <f>ROUND(P551*I551, 2)</f>
        <v>0</v>
      </c>
      <c r="T551" s="23">
        <f>ROUND(I551*ROUND(Q551, 2), 2)</f>
        <v>27537.3</v>
      </c>
      <c r="U551" s="23">
        <f>S551+T551</f>
        <v>27537.3</v>
      </c>
      <c r="V551" s="9">
        <f>ROUND(P551 / 1.2, 2)</f>
        <v>0</v>
      </c>
      <c r="W551" s="9">
        <f>ROUND(Q551 / 1.2, 2)</f>
        <v>697.5</v>
      </c>
      <c r="X551" s="9">
        <f>ROUND(R551 / 1.2, 2)</f>
        <v>697.5</v>
      </c>
      <c r="Y551" s="9">
        <f>ROUND(S551 / 1.2, 2)</f>
        <v>0</v>
      </c>
      <c r="Z551" s="9">
        <f>ROUND(T551 / 1.2, 2)</f>
        <v>22947.75</v>
      </c>
      <c r="AA551" s="9">
        <f>Y551+Z551</f>
        <v>22947.75</v>
      </c>
      <c r="AD551" s="4">
        <v>264030416</v>
      </c>
      <c r="AE551" s="4">
        <v>16083553</v>
      </c>
      <c r="AG551" s="4" t="s">
        <v>1696</v>
      </c>
      <c r="AH551" s="4" t="s">
        <v>1697</v>
      </c>
      <c r="AI551" s="4" t="s">
        <v>249</v>
      </c>
    </row>
    <row r="552" spans="1:35" ht="93.75" x14ac:dyDescent="0.25">
      <c r="A552" s="11" t="s">
        <v>1705</v>
      </c>
      <c r="B552" s="11"/>
      <c r="C552" s="31" t="s">
        <v>1699</v>
      </c>
      <c r="D552" s="21"/>
      <c r="E552" s="21" t="s">
        <v>1700</v>
      </c>
      <c r="F552" s="32" t="s">
        <v>56</v>
      </c>
      <c r="G552" s="33">
        <v>1</v>
      </c>
      <c r="H552" s="21"/>
      <c r="I552" s="34">
        <v>32.9</v>
      </c>
      <c r="J552" s="35">
        <v>0</v>
      </c>
      <c r="K552" s="12"/>
      <c r="L552" s="12"/>
      <c r="M552" s="35">
        <f>ROUND(ROUND(J552, 2)*I552, 2)</f>
        <v>0</v>
      </c>
      <c r="N552" s="12"/>
      <c r="O552" s="12"/>
      <c r="P552" s="35">
        <v>0</v>
      </c>
      <c r="Q552" s="12"/>
      <c r="R552" s="12"/>
      <c r="S552" s="35">
        <f>ROUND(ROUND(P552, 2)*I552, 2)</f>
        <v>0</v>
      </c>
      <c r="T552" s="12"/>
      <c r="U552" s="36"/>
      <c r="V552" s="9">
        <f>ROUND(ROUND(P552, 2)/1.2, 2)</f>
        <v>0</v>
      </c>
      <c r="Y552" s="9">
        <f>ROUND(S552 / 1.2, 2)</f>
        <v>0</v>
      </c>
      <c r="AD552" s="4" t="s">
        <v>1706</v>
      </c>
      <c r="AE552" s="4" t="s">
        <v>1707</v>
      </c>
      <c r="AF552" s="4" t="s">
        <v>1703</v>
      </c>
    </row>
    <row r="553" spans="1:35" ht="37.5" x14ac:dyDescent="0.25">
      <c r="A553" s="38" t="s">
        <v>1708</v>
      </c>
      <c r="B553" s="38" t="s">
        <v>1709</v>
      </c>
      <c r="C553" s="39" t="s">
        <v>1710</v>
      </c>
      <c r="D553" s="40"/>
      <c r="E553" s="40" t="s">
        <v>1711</v>
      </c>
      <c r="F553" s="40" t="s">
        <v>56</v>
      </c>
      <c r="G553" s="41">
        <v>1</v>
      </c>
      <c r="H553" s="40"/>
      <c r="I553" s="42">
        <v>0</v>
      </c>
      <c r="J553" s="43">
        <f>IFERROR(ROUND(SUM(M555)/I553, 2),0)</f>
        <v>0</v>
      </c>
      <c r="K553" s="43">
        <v>1499</v>
      </c>
      <c r="L553" s="43">
        <f>J553+ROUND(K553, 2)</f>
        <v>1499</v>
      </c>
      <c r="M553" s="43">
        <f>ROUND(J553*I553, 2)</f>
        <v>0</v>
      </c>
      <c r="N553" s="43">
        <f>ROUND(I553*ROUND(K553, 2), 2)</f>
        <v>0</v>
      </c>
      <c r="O553" s="43">
        <f>M553+N553</f>
        <v>0</v>
      </c>
      <c r="P553" s="43">
        <f>IFERROR(ROUND(SUM(S555)/I553, 2),0)</f>
        <v>0</v>
      </c>
      <c r="Q553" s="43">
        <v>1499</v>
      </c>
      <c r="R553" s="43">
        <f>P553+ROUND(Q553, 2)</f>
        <v>1499</v>
      </c>
      <c r="S553" s="43">
        <f>ROUND(P553*I553, 2)</f>
        <v>0</v>
      </c>
      <c r="T553" s="43">
        <f>ROUND(I553*ROUND(Q553, 2), 2)</f>
        <v>0</v>
      </c>
      <c r="U553" s="43">
        <f>S553+T553</f>
        <v>0</v>
      </c>
      <c r="V553" s="9">
        <f>ROUND(P553 / 1.2, 2)</f>
        <v>0</v>
      </c>
      <c r="W553" s="9">
        <f>ROUND(Q553 / 1.2, 2)</f>
        <v>1249.17</v>
      </c>
      <c r="X553" s="9">
        <f>ROUND(R553 / 1.2, 2)</f>
        <v>1249.17</v>
      </c>
      <c r="Y553" s="9">
        <f>ROUND(S553 / 1.2, 2)</f>
        <v>0</v>
      </c>
      <c r="Z553" s="9">
        <f>ROUND(T553 / 1.2, 2)</f>
        <v>0</v>
      </c>
      <c r="AA553" s="9">
        <f>Y553+Z553</f>
        <v>0</v>
      </c>
      <c r="AD553" s="4">
        <v>264030332</v>
      </c>
      <c r="AE553" s="4">
        <v>16084347</v>
      </c>
      <c r="AG553" s="4" t="s">
        <v>1712</v>
      </c>
      <c r="AH553" s="4" t="s">
        <v>1713</v>
      </c>
      <c r="AI553" s="4" t="s">
        <v>249</v>
      </c>
    </row>
    <row r="554" spans="1:35" ht="37.5" x14ac:dyDescent="0.25">
      <c r="A554" s="44" t="s">
        <v>1714</v>
      </c>
      <c r="B554" s="44" t="s">
        <v>1709</v>
      </c>
      <c r="C554" s="45" t="s">
        <v>1710</v>
      </c>
      <c r="D554" s="46"/>
      <c r="E554" s="46" t="s">
        <v>1711</v>
      </c>
      <c r="F554" s="46" t="s">
        <v>56</v>
      </c>
      <c r="G554" s="47">
        <v>1</v>
      </c>
      <c r="H554" s="46"/>
      <c r="I554" s="47">
        <v>96.5</v>
      </c>
      <c r="J554" s="48">
        <v>0</v>
      </c>
      <c r="K554" s="48">
        <v>1499</v>
      </c>
      <c r="L554" s="48"/>
      <c r="M554" s="48">
        <v>0</v>
      </c>
      <c r="N554" s="48"/>
      <c r="O554" s="48"/>
      <c r="P554" s="48">
        <v>0</v>
      </c>
      <c r="Q554" s="48">
        <v>1499</v>
      </c>
      <c r="R554" s="48"/>
      <c r="S554" s="48">
        <v>0</v>
      </c>
      <c r="T554" s="48"/>
      <c r="U554" s="48"/>
      <c r="V554" s="9"/>
      <c r="W554" s="9">
        <f>ROUND(Q554 / 1.2, 2)</f>
        <v>1249.17</v>
      </c>
      <c r="X554" s="9" t="e">
        <f>ROUND(R554 / 1.2, 2)</f>
        <v>#VALUE!</v>
      </c>
      <c r="Y554" s="9"/>
      <c r="Z554" s="9" t="e">
        <f>ROUND(T554 / 1.2, 2)</f>
        <v>#VALUE!</v>
      </c>
      <c r="AA554" s="9"/>
      <c r="AD554" s="4">
        <v>204395698</v>
      </c>
      <c r="AE554" s="4">
        <v>16084347</v>
      </c>
      <c r="AG554" s="4" t="s">
        <v>1712</v>
      </c>
      <c r="AH554" s="4" t="s">
        <v>1713</v>
      </c>
      <c r="AI554" s="4"/>
    </row>
    <row r="555" spans="1:35" ht="168.75" x14ac:dyDescent="0.25">
      <c r="A555" s="38" t="s">
        <v>1715</v>
      </c>
      <c r="B555" s="38"/>
      <c r="C555" s="49" t="s">
        <v>1716</v>
      </c>
      <c r="D555" s="40"/>
      <c r="E555" s="40" t="s">
        <v>1717</v>
      </c>
      <c r="F555" s="50" t="s">
        <v>56</v>
      </c>
      <c r="G555" s="51">
        <v>1</v>
      </c>
      <c r="H555" s="40"/>
      <c r="I555" s="52">
        <v>0</v>
      </c>
      <c r="J555" s="53">
        <v>0</v>
      </c>
      <c r="K555" s="54"/>
      <c r="L555" s="54"/>
      <c r="M555" s="53">
        <f>ROUND(ROUND(J555, 2)*I555, 2)</f>
        <v>0</v>
      </c>
      <c r="N555" s="54"/>
      <c r="O555" s="54"/>
      <c r="P555" s="53">
        <v>0</v>
      </c>
      <c r="Q555" s="54"/>
      <c r="R555" s="54"/>
      <c r="S555" s="53">
        <f>ROUND(ROUND(P555, 2)*I555, 2)</f>
        <v>0</v>
      </c>
      <c r="T555" s="54"/>
      <c r="U555" s="55"/>
      <c r="V555" s="9">
        <f>ROUND(ROUND(P555, 2)/1.2, 2)</f>
        <v>0</v>
      </c>
      <c r="Y555" s="9">
        <f>ROUND(S555 / 1.2, 2)</f>
        <v>0</v>
      </c>
      <c r="AD555" s="4" t="s">
        <v>1718</v>
      </c>
      <c r="AE555" s="4" t="s">
        <v>1719</v>
      </c>
      <c r="AF555" s="4" t="s">
        <v>1720</v>
      </c>
    </row>
    <row r="556" spans="1:35" ht="168.75" x14ac:dyDescent="0.25">
      <c r="A556" s="44" t="s">
        <v>1721</v>
      </c>
      <c r="B556" s="44"/>
      <c r="C556" s="56" t="s">
        <v>1716</v>
      </c>
      <c r="D556" s="46"/>
      <c r="E556" s="46" t="s">
        <v>1717</v>
      </c>
      <c r="F556" s="57" t="s">
        <v>56</v>
      </c>
      <c r="G556" s="58">
        <v>1</v>
      </c>
      <c r="H556" s="46"/>
      <c r="I556" s="58">
        <v>96.5</v>
      </c>
      <c r="J556" s="59">
        <v>0</v>
      </c>
      <c r="K556" s="60"/>
      <c r="L556" s="60"/>
      <c r="M556" s="59">
        <f>ROUND(ROUND(J556, 2)*I556, 2)</f>
        <v>0</v>
      </c>
      <c r="N556" s="60"/>
      <c r="O556" s="60"/>
      <c r="P556" s="59">
        <v>0</v>
      </c>
      <c r="Q556" s="60"/>
      <c r="R556" s="60"/>
      <c r="S556" s="59">
        <f>ROUND(ROUND(P556, 2)*I556, 2)</f>
        <v>0</v>
      </c>
      <c r="T556" s="60"/>
      <c r="U556" s="61"/>
      <c r="V556" s="9">
        <f>ROUND(ROUND(P556, 2)/1.2, 2)</f>
        <v>0</v>
      </c>
      <c r="Y556" s="9">
        <f>ROUND(S556 / 1.2, 2)</f>
        <v>0</v>
      </c>
      <c r="AD556" s="4" t="s">
        <v>1722</v>
      </c>
      <c r="AE556" s="4" t="s">
        <v>1719</v>
      </c>
      <c r="AF556" s="4" t="s">
        <v>1720</v>
      </c>
    </row>
    <row r="557" spans="1:35" ht="56.25" x14ac:dyDescent="0.25">
      <c r="A557" s="11" t="s">
        <v>1723</v>
      </c>
      <c r="B557" s="11" t="s">
        <v>1724</v>
      </c>
      <c r="C557" s="20" t="s">
        <v>1725</v>
      </c>
      <c r="D557" s="21"/>
      <c r="E557" s="21"/>
      <c r="F557" s="21" t="s">
        <v>56</v>
      </c>
      <c r="G557" s="22">
        <v>1</v>
      </c>
      <c r="H557" s="21"/>
      <c r="I557" s="22">
        <v>65.7</v>
      </c>
      <c r="J557" s="23">
        <v>0</v>
      </c>
      <c r="K557" s="23">
        <v>121</v>
      </c>
      <c r="L557" s="23">
        <f>J557+ROUND(K557, 2)</f>
        <v>121</v>
      </c>
      <c r="M557" s="23">
        <v>0</v>
      </c>
      <c r="N557" s="23">
        <f>ROUND(I557*ROUND(K557, 2), 2)</f>
        <v>7949.7</v>
      </c>
      <c r="O557" s="23">
        <f>M557+N557</f>
        <v>7949.7</v>
      </c>
      <c r="P557" s="23">
        <v>0</v>
      </c>
      <c r="Q557" s="23">
        <v>121</v>
      </c>
      <c r="R557" s="23">
        <f>P557+ROUND(Q557, 2)</f>
        <v>121</v>
      </c>
      <c r="S557" s="23">
        <v>0</v>
      </c>
      <c r="T557" s="23">
        <f>ROUND(I557*ROUND(Q557, 2), 2)</f>
        <v>7949.7</v>
      </c>
      <c r="U557" s="23">
        <f>S557+T557</f>
        <v>7949.7</v>
      </c>
      <c r="V557" s="9"/>
      <c r="W557" s="9">
        <f>ROUND(Q557 / 1.2, 2)</f>
        <v>100.83</v>
      </c>
      <c r="X557" s="9">
        <f>ROUND(R557 / 1.2, 2)</f>
        <v>100.83</v>
      </c>
      <c r="Y557" s="9"/>
      <c r="Z557" s="9">
        <f>ROUND(T557 / 1.2, 2)</f>
        <v>6624.75</v>
      </c>
      <c r="AA557" s="9" t="e">
        <f>Y557+Z557</f>
        <v>#VALUE!</v>
      </c>
      <c r="AD557" s="4">
        <v>264030334</v>
      </c>
      <c r="AE557" s="4">
        <v>19937195</v>
      </c>
      <c r="AG557" s="4" t="s">
        <v>1726</v>
      </c>
      <c r="AH557" s="4" t="s">
        <v>1727</v>
      </c>
      <c r="AI557" s="4" t="s">
        <v>249</v>
      </c>
    </row>
    <row r="558" spans="1:35" ht="17.100000000000001" customHeight="1" x14ac:dyDescent="0.25">
      <c r="A558" s="11" t="s">
        <v>1728</v>
      </c>
      <c r="B558" s="11" t="s">
        <v>1729</v>
      </c>
      <c r="C558" s="113" t="s">
        <v>1730</v>
      </c>
      <c r="D558" s="114"/>
      <c r="E558" s="114"/>
      <c r="F558" s="114"/>
      <c r="G558" s="114"/>
      <c r="H558" s="114"/>
      <c r="I558" s="115"/>
      <c r="J558" s="12"/>
      <c r="K558" s="12"/>
      <c r="L558" s="12"/>
      <c r="M558" s="13">
        <f>SUM(M559)</f>
        <v>298006.7</v>
      </c>
      <c r="N558" s="13">
        <f>SUM(N559)</f>
        <v>794405.55</v>
      </c>
      <c r="O558" s="13">
        <f>SUM(O559)</f>
        <v>1092412.25</v>
      </c>
      <c r="P558" s="12"/>
      <c r="Q558" s="12"/>
      <c r="R558" s="12"/>
      <c r="S558" s="13">
        <f>SUM(S559)</f>
        <v>298006.7</v>
      </c>
      <c r="T558" s="13">
        <f>SUM(T559)</f>
        <v>794405.55</v>
      </c>
      <c r="U558" s="13">
        <f>SUM(U559)</f>
        <v>1092412.25</v>
      </c>
      <c r="Y558" s="9">
        <f>SUM(Y559)</f>
        <v>248338.92</v>
      </c>
      <c r="Z558" s="9">
        <f>SUM(Z559)</f>
        <v>662004.63</v>
      </c>
      <c r="AA558" s="9" t="e">
        <f>SUM(AA559)</f>
        <v>#VALUE!</v>
      </c>
      <c r="AD558" s="4">
        <v>264030335</v>
      </c>
      <c r="AE558" s="4">
        <v>18539570</v>
      </c>
    </row>
    <row r="559" spans="1:35" ht="17.100000000000001" customHeight="1" x14ac:dyDescent="0.25">
      <c r="A559" s="11" t="s">
        <v>1731</v>
      </c>
      <c r="B559" s="11" t="s">
        <v>1732</v>
      </c>
      <c r="C559" s="113" t="s">
        <v>1733</v>
      </c>
      <c r="D559" s="114"/>
      <c r="E559" s="114"/>
      <c r="F559" s="114"/>
      <c r="G559" s="114"/>
      <c r="H559" s="114"/>
      <c r="I559" s="115"/>
      <c r="J559" s="12"/>
      <c r="K559" s="12"/>
      <c r="L559" s="12"/>
      <c r="M559" s="13">
        <f>SUM(M560,M563,M567,M576,M582)</f>
        <v>298006.7</v>
      </c>
      <c r="N559" s="13">
        <f>SUM(N560,N563,N567,N576,N582)</f>
        <v>794405.55</v>
      </c>
      <c r="O559" s="13">
        <f>SUM(O560,O563,O567,O576,O582)</f>
        <v>1092412.25</v>
      </c>
      <c r="P559" s="12"/>
      <c r="Q559" s="12"/>
      <c r="R559" s="12"/>
      <c r="S559" s="13">
        <f>SUM(S560,S563,S567,S576,S582)</f>
        <v>298006.7</v>
      </c>
      <c r="T559" s="13">
        <f>SUM(T560,T563,T567,T576,T582)</f>
        <v>794405.55</v>
      </c>
      <c r="U559" s="13">
        <f>SUM(U560,U563,U567,U576,U582)</f>
        <v>1092412.25</v>
      </c>
      <c r="Y559" s="9">
        <f>SUM(Y560,Y563,Y567,Y576,Y582)</f>
        <v>248338.92</v>
      </c>
      <c r="Z559" s="9">
        <f>SUM(Z560,Z563,Z567,Z576,Z582)</f>
        <v>662004.63</v>
      </c>
      <c r="AA559" s="9" t="e">
        <f>SUM(AA560,AA563,AA567,AA576,AA582)</f>
        <v>#VALUE!</v>
      </c>
      <c r="AD559" s="4">
        <v>264030336</v>
      </c>
      <c r="AE559" s="4">
        <v>18539572</v>
      </c>
    </row>
    <row r="560" spans="1:35" ht="17.100000000000001" customHeight="1" x14ac:dyDescent="0.25">
      <c r="A560" s="11" t="s">
        <v>1734</v>
      </c>
      <c r="B560" s="11" t="s">
        <v>1735</v>
      </c>
      <c r="C560" s="113" t="s">
        <v>49</v>
      </c>
      <c r="D560" s="114"/>
      <c r="E560" s="114"/>
      <c r="F560" s="114"/>
      <c r="G560" s="114"/>
      <c r="H560" s="114"/>
      <c r="I560" s="115"/>
      <c r="J560" s="12"/>
      <c r="K560" s="12"/>
      <c r="L560" s="12"/>
      <c r="M560" s="13">
        <f t="shared" ref="M560:O561" si="108">SUM(M561)</f>
        <v>0</v>
      </c>
      <c r="N560" s="13">
        <f t="shared" si="108"/>
        <v>31556</v>
      </c>
      <c r="O560" s="13">
        <f t="shared" si="108"/>
        <v>31556</v>
      </c>
      <c r="P560" s="12"/>
      <c r="Q560" s="12"/>
      <c r="R560" s="12"/>
      <c r="S560" s="13">
        <f t="shared" ref="S560:U561" si="109">SUM(S561)</f>
        <v>0</v>
      </c>
      <c r="T560" s="13">
        <f t="shared" si="109"/>
        <v>31556</v>
      </c>
      <c r="U560" s="13">
        <f t="shared" si="109"/>
        <v>31556</v>
      </c>
      <c r="Y560" s="9">
        <f t="shared" ref="Y560:AA561" si="110">SUM(Y561)</f>
        <v>0</v>
      </c>
      <c r="Z560" s="9">
        <f t="shared" si="110"/>
        <v>26296.67</v>
      </c>
      <c r="AA560" s="9" t="e">
        <f t="shared" si="110"/>
        <v>#VALUE!</v>
      </c>
      <c r="AD560" s="4">
        <v>264030337</v>
      </c>
      <c r="AE560" s="4">
        <v>18539573</v>
      </c>
    </row>
    <row r="561" spans="1:35" ht="17.100000000000001" customHeight="1" x14ac:dyDescent="0.25">
      <c r="A561" s="11" t="s">
        <v>1736</v>
      </c>
      <c r="B561" s="11" t="s">
        <v>1737</v>
      </c>
      <c r="C561" s="113" t="s">
        <v>1738</v>
      </c>
      <c r="D561" s="114"/>
      <c r="E561" s="114"/>
      <c r="F561" s="114"/>
      <c r="G561" s="114"/>
      <c r="H561" s="114"/>
      <c r="I561" s="115"/>
      <c r="J561" s="12"/>
      <c r="K561" s="12"/>
      <c r="L561" s="12"/>
      <c r="M561" s="13">
        <f t="shared" si="108"/>
        <v>0</v>
      </c>
      <c r="N561" s="13">
        <f t="shared" si="108"/>
        <v>31556</v>
      </c>
      <c r="O561" s="13">
        <f t="shared" si="108"/>
        <v>31556</v>
      </c>
      <c r="P561" s="12"/>
      <c r="Q561" s="12"/>
      <c r="R561" s="12"/>
      <c r="S561" s="13">
        <f t="shared" si="109"/>
        <v>0</v>
      </c>
      <c r="T561" s="13">
        <f t="shared" si="109"/>
        <v>31556</v>
      </c>
      <c r="U561" s="13">
        <f t="shared" si="109"/>
        <v>31556</v>
      </c>
      <c r="Y561" s="9">
        <f t="shared" si="110"/>
        <v>0</v>
      </c>
      <c r="Z561" s="9">
        <f t="shared" si="110"/>
        <v>26296.67</v>
      </c>
      <c r="AA561" s="9" t="e">
        <f t="shared" si="110"/>
        <v>#VALUE!</v>
      </c>
      <c r="AD561" s="4">
        <v>264030338</v>
      </c>
      <c r="AE561" s="4">
        <v>18539579</v>
      </c>
    </row>
    <row r="562" spans="1:35" ht="37.5" x14ac:dyDescent="0.25">
      <c r="A562" s="11" t="s">
        <v>1739</v>
      </c>
      <c r="B562" s="11" t="s">
        <v>1740</v>
      </c>
      <c r="C562" s="20" t="s">
        <v>1741</v>
      </c>
      <c r="D562" s="21"/>
      <c r="E562" s="21"/>
      <c r="F562" s="21" t="s">
        <v>209</v>
      </c>
      <c r="G562" s="22">
        <v>1</v>
      </c>
      <c r="H562" s="21"/>
      <c r="I562" s="22">
        <v>28</v>
      </c>
      <c r="J562" s="23">
        <v>0</v>
      </c>
      <c r="K562" s="23">
        <v>1127</v>
      </c>
      <c r="L562" s="23">
        <f>J562+ROUND(K562, 2)</f>
        <v>1127</v>
      </c>
      <c r="M562" s="23">
        <v>0</v>
      </c>
      <c r="N562" s="23">
        <f>ROUND(I562*ROUND(K562, 2), 2)</f>
        <v>31556</v>
      </c>
      <c r="O562" s="23">
        <f>M562+N562</f>
        <v>31556</v>
      </c>
      <c r="P562" s="23">
        <v>0</v>
      </c>
      <c r="Q562" s="23">
        <v>1127</v>
      </c>
      <c r="R562" s="23">
        <f>P562+ROUND(Q562, 2)</f>
        <v>1127</v>
      </c>
      <c r="S562" s="23">
        <v>0</v>
      </c>
      <c r="T562" s="23">
        <f>ROUND(I562*ROUND(Q562, 2), 2)</f>
        <v>31556</v>
      </c>
      <c r="U562" s="23">
        <f>S562+T562</f>
        <v>31556</v>
      </c>
      <c r="V562" s="9"/>
      <c r="W562" s="9">
        <f>ROUND(Q562 / 1.2, 2)</f>
        <v>939.17</v>
      </c>
      <c r="X562" s="9">
        <f>ROUND(R562 / 1.2, 2)</f>
        <v>939.17</v>
      </c>
      <c r="Y562" s="9"/>
      <c r="Z562" s="9">
        <f>ROUND(T562 / 1.2, 2)</f>
        <v>26296.67</v>
      </c>
      <c r="AA562" s="9" t="e">
        <f>Y562+Z562</f>
        <v>#VALUE!</v>
      </c>
      <c r="AD562" s="4">
        <v>264030340</v>
      </c>
      <c r="AE562" s="4">
        <v>18539575</v>
      </c>
      <c r="AG562" s="4" t="s">
        <v>1742</v>
      </c>
      <c r="AH562" s="4" t="s">
        <v>1743</v>
      </c>
      <c r="AI562" s="4" t="s">
        <v>1744</v>
      </c>
    </row>
    <row r="563" spans="1:35" ht="17.100000000000001" customHeight="1" x14ac:dyDescent="0.25">
      <c r="A563" s="11" t="s">
        <v>1745</v>
      </c>
      <c r="B563" s="11" t="s">
        <v>1746</v>
      </c>
      <c r="C563" s="113" t="s">
        <v>1747</v>
      </c>
      <c r="D563" s="114"/>
      <c r="E563" s="114"/>
      <c r="F563" s="114"/>
      <c r="G563" s="114"/>
      <c r="H563" s="114"/>
      <c r="I563" s="115"/>
      <c r="J563" s="12"/>
      <c r="K563" s="12"/>
      <c r="L563" s="12"/>
      <c r="M563" s="13">
        <f t="shared" ref="M563:O565" si="111">SUM(M564)</f>
        <v>0</v>
      </c>
      <c r="N563" s="13">
        <f t="shared" si="111"/>
        <v>2554.7600000000002</v>
      </c>
      <c r="O563" s="13">
        <f t="shared" si="111"/>
        <v>2554.7600000000002</v>
      </c>
      <c r="P563" s="12"/>
      <c r="Q563" s="12"/>
      <c r="R563" s="12"/>
      <c r="S563" s="13">
        <f t="shared" ref="S563:U565" si="112">SUM(S564)</f>
        <v>0</v>
      </c>
      <c r="T563" s="13">
        <f t="shared" si="112"/>
        <v>2554.7600000000002</v>
      </c>
      <c r="U563" s="13">
        <f t="shared" si="112"/>
        <v>2554.7600000000002</v>
      </c>
      <c r="Y563" s="9">
        <f t="shared" ref="Y563:AA565" si="113">SUM(Y564)</f>
        <v>0</v>
      </c>
      <c r="Z563" s="9">
        <f t="shared" si="113"/>
        <v>2128.9699999999998</v>
      </c>
      <c r="AA563" s="9" t="e">
        <f t="shared" si="113"/>
        <v>#VALUE!</v>
      </c>
      <c r="AD563" s="4">
        <v>264030341</v>
      </c>
      <c r="AE563" s="4">
        <v>18539581</v>
      </c>
    </row>
    <row r="564" spans="1:35" ht="17.100000000000001" customHeight="1" x14ac:dyDescent="0.25">
      <c r="A564" s="11" t="s">
        <v>1748</v>
      </c>
      <c r="B564" s="11" t="s">
        <v>1749</v>
      </c>
      <c r="C564" s="113" t="s">
        <v>1750</v>
      </c>
      <c r="D564" s="114"/>
      <c r="E564" s="114"/>
      <c r="F564" s="114"/>
      <c r="G564" s="114"/>
      <c r="H564" s="114"/>
      <c r="I564" s="115"/>
      <c r="J564" s="12"/>
      <c r="K564" s="12"/>
      <c r="L564" s="12"/>
      <c r="M564" s="13">
        <f t="shared" si="111"/>
        <v>0</v>
      </c>
      <c r="N564" s="13">
        <f t="shared" si="111"/>
        <v>2554.7600000000002</v>
      </c>
      <c r="O564" s="13">
        <f t="shared" si="111"/>
        <v>2554.7600000000002</v>
      </c>
      <c r="P564" s="12"/>
      <c r="Q564" s="12"/>
      <c r="R564" s="12"/>
      <c r="S564" s="13">
        <f t="shared" si="112"/>
        <v>0</v>
      </c>
      <c r="T564" s="13">
        <f t="shared" si="112"/>
        <v>2554.7600000000002</v>
      </c>
      <c r="U564" s="13">
        <f t="shared" si="112"/>
        <v>2554.7600000000002</v>
      </c>
      <c r="Y564" s="9">
        <f t="shared" si="113"/>
        <v>0</v>
      </c>
      <c r="Z564" s="9">
        <f t="shared" si="113"/>
        <v>2128.9699999999998</v>
      </c>
      <c r="AA564" s="9" t="e">
        <f t="shared" si="113"/>
        <v>#VALUE!</v>
      </c>
      <c r="AD564" s="4">
        <v>264030342</v>
      </c>
      <c r="AE564" s="4">
        <v>18539574</v>
      </c>
    </row>
    <row r="565" spans="1:35" ht="17.100000000000001" customHeight="1" x14ac:dyDescent="0.25">
      <c r="A565" s="11" t="s">
        <v>1751</v>
      </c>
      <c r="B565" s="11" t="s">
        <v>1752</v>
      </c>
      <c r="C565" s="113" t="s">
        <v>1753</v>
      </c>
      <c r="D565" s="114"/>
      <c r="E565" s="114"/>
      <c r="F565" s="114"/>
      <c r="G565" s="114"/>
      <c r="H565" s="114"/>
      <c r="I565" s="115"/>
      <c r="J565" s="12"/>
      <c r="K565" s="12"/>
      <c r="L565" s="12"/>
      <c r="M565" s="13">
        <f t="shared" si="111"/>
        <v>0</v>
      </c>
      <c r="N565" s="13">
        <f t="shared" si="111"/>
        <v>2554.7600000000002</v>
      </c>
      <c r="O565" s="13">
        <f t="shared" si="111"/>
        <v>2554.7600000000002</v>
      </c>
      <c r="P565" s="12"/>
      <c r="Q565" s="12"/>
      <c r="R565" s="12"/>
      <c r="S565" s="13">
        <f t="shared" si="112"/>
        <v>0</v>
      </c>
      <c r="T565" s="13">
        <f t="shared" si="112"/>
        <v>2554.7600000000002</v>
      </c>
      <c r="U565" s="13">
        <f t="shared" si="112"/>
        <v>2554.7600000000002</v>
      </c>
      <c r="Y565" s="9">
        <f t="shared" si="113"/>
        <v>0</v>
      </c>
      <c r="Z565" s="9">
        <f t="shared" si="113"/>
        <v>2128.9699999999998</v>
      </c>
      <c r="AA565" s="9" t="e">
        <f t="shared" si="113"/>
        <v>#VALUE!</v>
      </c>
      <c r="AD565" s="4">
        <v>264030343</v>
      </c>
      <c r="AE565" s="4">
        <v>19923898</v>
      </c>
    </row>
    <row r="566" spans="1:35" ht="18.75" x14ac:dyDescent="0.25">
      <c r="A566" s="11" t="s">
        <v>1754</v>
      </c>
      <c r="B566" s="11" t="s">
        <v>1755</v>
      </c>
      <c r="C566" s="20" t="s">
        <v>1756</v>
      </c>
      <c r="D566" s="21"/>
      <c r="E566" s="21" t="s">
        <v>1757</v>
      </c>
      <c r="F566" s="21" t="s">
        <v>56</v>
      </c>
      <c r="G566" s="22">
        <v>1</v>
      </c>
      <c r="H566" s="21"/>
      <c r="I566" s="22">
        <v>11.56</v>
      </c>
      <c r="J566" s="23">
        <v>0</v>
      </c>
      <c r="K566" s="23">
        <v>221</v>
      </c>
      <c r="L566" s="23">
        <f>J566+ROUND(K566, 2)</f>
        <v>221</v>
      </c>
      <c r="M566" s="23">
        <v>0</v>
      </c>
      <c r="N566" s="23">
        <f>ROUND(I566*ROUND(K566, 2), 2)</f>
        <v>2554.7600000000002</v>
      </c>
      <c r="O566" s="23">
        <f>M566+N566</f>
        <v>2554.7600000000002</v>
      </c>
      <c r="P566" s="23">
        <v>0</v>
      </c>
      <c r="Q566" s="23">
        <v>221</v>
      </c>
      <c r="R566" s="23">
        <f>P566+ROUND(Q566, 2)</f>
        <v>221</v>
      </c>
      <c r="S566" s="23">
        <v>0</v>
      </c>
      <c r="T566" s="23">
        <f>ROUND(I566*ROUND(Q566, 2), 2)</f>
        <v>2554.7600000000002</v>
      </c>
      <c r="U566" s="23">
        <f>S566+T566</f>
        <v>2554.7600000000002</v>
      </c>
      <c r="V566" s="9"/>
      <c r="W566" s="9">
        <f>ROUND(Q566 / 1.2, 2)</f>
        <v>184.17</v>
      </c>
      <c r="X566" s="9">
        <f>ROUND(R566 / 1.2, 2)</f>
        <v>184.17</v>
      </c>
      <c r="Y566" s="9"/>
      <c r="Z566" s="9">
        <f>ROUND(T566 / 1.2, 2)</f>
        <v>2128.9699999999998</v>
      </c>
      <c r="AA566" s="9" t="e">
        <f>Y566+Z566</f>
        <v>#VALUE!</v>
      </c>
      <c r="AD566" s="4">
        <v>264030345</v>
      </c>
      <c r="AE566" s="4">
        <v>19923900</v>
      </c>
      <c r="AG566" s="4" t="s">
        <v>1758</v>
      </c>
      <c r="AH566" s="4" t="s">
        <v>1759</v>
      </c>
      <c r="AI566" s="4" t="s">
        <v>1744</v>
      </c>
    </row>
    <row r="567" spans="1:35" ht="17.100000000000001" customHeight="1" x14ac:dyDescent="0.25">
      <c r="A567" s="11" t="s">
        <v>1760</v>
      </c>
      <c r="B567" s="11" t="s">
        <v>1761</v>
      </c>
      <c r="C567" s="113" t="s">
        <v>235</v>
      </c>
      <c r="D567" s="114"/>
      <c r="E567" s="114"/>
      <c r="F567" s="114"/>
      <c r="G567" s="114"/>
      <c r="H567" s="114"/>
      <c r="I567" s="115"/>
      <c r="J567" s="12"/>
      <c r="K567" s="12"/>
      <c r="L567" s="12"/>
      <c r="M567" s="13">
        <f>SUM(M568,M571)</f>
        <v>149005.85999999999</v>
      </c>
      <c r="N567" s="13">
        <f>SUM(N568,N571)</f>
        <v>587312.5</v>
      </c>
      <c r="O567" s="13">
        <f>SUM(O568,O571)</f>
        <v>736318.36</v>
      </c>
      <c r="P567" s="12"/>
      <c r="Q567" s="12"/>
      <c r="R567" s="12"/>
      <c r="S567" s="13">
        <f>SUM(S568,S571)</f>
        <v>149005.85999999999</v>
      </c>
      <c r="T567" s="13">
        <f>SUM(T568,T571)</f>
        <v>587312.5</v>
      </c>
      <c r="U567" s="13">
        <f>SUM(U568,U571)</f>
        <v>736318.36</v>
      </c>
      <c r="Y567" s="9">
        <f>SUM(Y568,Y571)</f>
        <v>124171.55</v>
      </c>
      <c r="Z567" s="9">
        <f>SUM(Z568,Z571)</f>
        <v>489427.08</v>
      </c>
      <c r="AA567" s="9" t="e">
        <f>SUM(AA568,AA571)</f>
        <v>#VALUE!</v>
      </c>
      <c r="AD567" s="4">
        <v>264030346</v>
      </c>
      <c r="AE567" s="4">
        <v>19907751</v>
      </c>
    </row>
    <row r="568" spans="1:35" ht="17.100000000000001" customHeight="1" x14ac:dyDescent="0.25">
      <c r="A568" s="11" t="s">
        <v>1762</v>
      </c>
      <c r="B568" s="11" t="s">
        <v>1763</v>
      </c>
      <c r="C568" s="113" t="s">
        <v>238</v>
      </c>
      <c r="D568" s="114"/>
      <c r="E568" s="114"/>
      <c r="F568" s="114"/>
      <c r="G568" s="114"/>
      <c r="H568" s="114"/>
      <c r="I568" s="115"/>
      <c r="J568" s="12"/>
      <c r="K568" s="12"/>
      <c r="L568" s="12"/>
      <c r="M568" s="13">
        <f>SUM(M569,M570)</f>
        <v>0</v>
      </c>
      <c r="N568" s="13">
        <f>SUM(N569,N570)</f>
        <v>470838.72</v>
      </c>
      <c r="O568" s="13">
        <f>SUM(O569,O570)</f>
        <v>470838.72</v>
      </c>
      <c r="P568" s="12"/>
      <c r="Q568" s="12"/>
      <c r="R568" s="12"/>
      <c r="S568" s="13">
        <f>SUM(S569,S570)</f>
        <v>0</v>
      </c>
      <c r="T568" s="13">
        <f>SUM(T569,T570)</f>
        <v>470838.72</v>
      </c>
      <c r="U568" s="13">
        <f>SUM(U569,U570)</f>
        <v>470838.72</v>
      </c>
      <c r="Y568" s="9">
        <f>SUM(Y569,Y570)</f>
        <v>0</v>
      </c>
      <c r="Z568" s="9">
        <f>SUM(Z569,Z570)</f>
        <v>392365.6</v>
      </c>
      <c r="AA568" s="9" t="e">
        <f>SUM(AA569,AA570)</f>
        <v>#VALUE!</v>
      </c>
      <c r="AD568" s="4">
        <v>264030347</v>
      </c>
      <c r="AE568" s="4">
        <v>19925298</v>
      </c>
    </row>
    <row r="569" spans="1:35" ht="75" x14ac:dyDescent="0.25">
      <c r="A569" s="11" t="s">
        <v>1764</v>
      </c>
      <c r="B569" s="11" t="s">
        <v>1765</v>
      </c>
      <c r="C569" s="20" t="s">
        <v>1766</v>
      </c>
      <c r="D569" s="21"/>
      <c r="E569" s="21" t="s">
        <v>1767</v>
      </c>
      <c r="F569" s="21" t="s">
        <v>56</v>
      </c>
      <c r="G569" s="22">
        <v>1</v>
      </c>
      <c r="H569" s="21"/>
      <c r="I569" s="22">
        <v>891.74</v>
      </c>
      <c r="J569" s="23">
        <v>0</v>
      </c>
      <c r="K569" s="23">
        <v>264</v>
      </c>
      <c r="L569" s="23">
        <f>J569+ROUND(K569, 2)</f>
        <v>264</v>
      </c>
      <c r="M569" s="23">
        <v>0</v>
      </c>
      <c r="N569" s="23">
        <f>ROUND(I569*ROUND(K569, 2), 2)</f>
        <v>235419.36</v>
      </c>
      <c r="O569" s="23">
        <f>M569+N569</f>
        <v>235419.36</v>
      </c>
      <c r="P569" s="23">
        <v>0</v>
      </c>
      <c r="Q569" s="23">
        <v>264</v>
      </c>
      <c r="R569" s="23">
        <f>P569+ROUND(Q569, 2)</f>
        <v>264</v>
      </c>
      <c r="S569" s="23">
        <v>0</v>
      </c>
      <c r="T569" s="23">
        <f>ROUND(I569*ROUND(Q569, 2), 2)</f>
        <v>235419.36</v>
      </c>
      <c r="U569" s="23">
        <f>S569+T569</f>
        <v>235419.36</v>
      </c>
      <c r="V569" s="9"/>
      <c r="W569" s="9">
        <f>ROUND(Q569 / 1.2, 2)</f>
        <v>220</v>
      </c>
      <c r="X569" s="9">
        <f>ROUND(R569 / 1.2, 2)</f>
        <v>220</v>
      </c>
      <c r="Y569" s="9"/>
      <c r="Z569" s="9">
        <f>ROUND(T569 / 1.2, 2)</f>
        <v>196182.8</v>
      </c>
      <c r="AA569" s="9" t="e">
        <f>Y569+Z569</f>
        <v>#VALUE!</v>
      </c>
      <c r="AD569" s="4">
        <v>264030349</v>
      </c>
      <c r="AE569" s="4">
        <v>19925300</v>
      </c>
      <c r="AG569" s="4" t="s">
        <v>1768</v>
      </c>
      <c r="AH569" s="4" t="s">
        <v>1769</v>
      </c>
      <c r="AI569" s="4" t="s">
        <v>1744</v>
      </c>
    </row>
    <row r="570" spans="1:35" ht="75" x14ac:dyDescent="0.25">
      <c r="A570" s="11" t="s">
        <v>1770</v>
      </c>
      <c r="B570" s="11" t="s">
        <v>1765</v>
      </c>
      <c r="C570" s="20" t="s">
        <v>1766</v>
      </c>
      <c r="D570" s="21"/>
      <c r="E570" s="21" t="s">
        <v>1771</v>
      </c>
      <c r="F570" s="21" t="s">
        <v>56</v>
      </c>
      <c r="G570" s="22">
        <v>1</v>
      </c>
      <c r="H570" s="21"/>
      <c r="I570" s="22">
        <v>891.74</v>
      </c>
      <c r="J570" s="23">
        <v>0</v>
      </c>
      <c r="K570" s="23">
        <v>264</v>
      </c>
      <c r="L570" s="23">
        <f>J570+ROUND(K570, 2)</f>
        <v>264</v>
      </c>
      <c r="M570" s="23">
        <v>0</v>
      </c>
      <c r="N570" s="23">
        <f>ROUND(I570*ROUND(K570, 2), 2)</f>
        <v>235419.36</v>
      </c>
      <c r="O570" s="23">
        <f>M570+N570</f>
        <v>235419.36</v>
      </c>
      <c r="P570" s="23">
        <v>0</v>
      </c>
      <c r="Q570" s="23">
        <v>264</v>
      </c>
      <c r="R570" s="23">
        <f>P570+ROUND(Q570, 2)</f>
        <v>264</v>
      </c>
      <c r="S570" s="23">
        <v>0</v>
      </c>
      <c r="T570" s="23">
        <f>ROUND(I570*ROUND(Q570, 2), 2)</f>
        <v>235419.36</v>
      </c>
      <c r="U570" s="23">
        <f>S570+T570</f>
        <v>235419.36</v>
      </c>
      <c r="V570" s="9"/>
      <c r="W570" s="9">
        <f>ROUND(Q570 / 1.2, 2)</f>
        <v>220</v>
      </c>
      <c r="X570" s="9">
        <f>ROUND(R570 / 1.2, 2)</f>
        <v>220</v>
      </c>
      <c r="Y570" s="9"/>
      <c r="Z570" s="9">
        <f>ROUND(T570 / 1.2, 2)</f>
        <v>196182.8</v>
      </c>
      <c r="AA570" s="9" t="e">
        <f>Y570+Z570</f>
        <v>#VALUE!</v>
      </c>
      <c r="AD570" s="4">
        <v>264030417</v>
      </c>
      <c r="AE570" s="4">
        <v>19925299</v>
      </c>
      <c r="AG570" s="4" t="s">
        <v>1768</v>
      </c>
      <c r="AH570" s="4" t="s">
        <v>1769</v>
      </c>
      <c r="AI570" s="4" t="s">
        <v>1744</v>
      </c>
    </row>
    <row r="571" spans="1:35" ht="17.100000000000001" customHeight="1" x14ac:dyDescent="0.25">
      <c r="A571" s="11" t="s">
        <v>1772</v>
      </c>
      <c r="B571" s="11" t="s">
        <v>1773</v>
      </c>
      <c r="C571" s="113" t="s">
        <v>1774</v>
      </c>
      <c r="D571" s="114"/>
      <c r="E571" s="114"/>
      <c r="F571" s="114"/>
      <c r="G571" s="114"/>
      <c r="H571" s="114"/>
      <c r="I571" s="115"/>
      <c r="J571" s="12"/>
      <c r="K571" s="12"/>
      <c r="L571" s="12"/>
      <c r="M571" s="13">
        <f>SUM(M572)</f>
        <v>149005.85999999999</v>
      </c>
      <c r="N571" s="13">
        <f>SUM(N572)</f>
        <v>116473.78</v>
      </c>
      <c r="O571" s="13">
        <f>SUM(O572)</f>
        <v>265479.64</v>
      </c>
      <c r="P571" s="12"/>
      <c r="Q571" s="12"/>
      <c r="R571" s="12"/>
      <c r="S571" s="13">
        <f>SUM(S572)</f>
        <v>149005.85999999999</v>
      </c>
      <c r="T571" s="13">
        <f>SUM(T572)</f>
        <v>116473.78</v>
      </c>
      <c r="U571" s="13">
        <f>SUM(U572)</f>
        <v>265479.64</v>
      </c>
      <c r="Y571" s="9">
        <f>SUM(Y572)</f>
        <v>124171.55</v>
      </c>
      <c r="Z571" s="9">
        <f>SUM(Z572)</f>
        <v>97061.48</v>
      </c>
      <c r="AA571" s="9">
        <f>SUM(AA572)</f>
        <v>221233.03</v>
      </c>
      <c r="AD571" s="4">
        <v>264030350</v>
      </c>
      <c r="AE571" s="4">
        <v>19907753</v>
      </c>
    </row>
    <row r="572" spans="1:35" ht="37.5" x14ac:dyDescent="0.25">
      <c r="A572" s="11" t="s">
        <v>1775</v>
      </c>
      <c r="B572" s="11" t="s">
        <v>1776</v>
      </c>
      <c r="C572" s="20" t="s">
        <v>1777</v>
      </c>
      <c r="D572" s="21"/>
      <c r="E572" s="21" t="s">
        <v>1778</v>
      </c>
      <c r="F572" s="21" t="s">
        <v>56</v>
      </c>
      <c r="G572" s="22">
        <v>1</v>
      </c>
      <c r="H572" s="21"/>
      <c r="I572" s="22">
        <v>1782.58</v>
      </c>
      <c r="J572" s="23">
        <f>IFERROR(ROUND(SUM(M573,M574,M575)/I572, 2),0)</f>
        <v>83.59</v>
      </c>
      <c r="K572" s="23">
        <v>65.34</v>
      </c>
      <c r="L572" s="23">
        <f>J572+ROUND(K572, 2)</f>
        <v>148.93</v>
      </c>
      <c r="M572" s="23">
        <f>ROUND(J572*I572, 2)</f>
        <v>149005.85999999999</v>
      </c>
      <c r="N572" s="23">
        <f>ROUND(I572*ROUND(K572, 2), 2)</f>
        <v>116473.78</v>
      </c>
      <c r="O572" s="23">
        <f>M572+N572</f>
        <v>265479.64</v>
      </c>
      <c r="P572" s="23">
        <f>IFERROR(ROUND(SUM(S573,S574,S575)/I572, 2),0)</f>
        <v>83.59</v>
      </c>
      <c r="Q572" s="23">
        <v>65.34</v>
      </c>
      <c r="R572" s="23">
        <f>P572+ROUND(Q572, 2)</f>
        <v>148.93</v>
      </c>
      <c r="S572" s="23">
        <f>ROUND(P572*I572, 2)</f>
        <v>149005.85999999999</v>
      </c>
      <c r="T572" s="23">
        <f>ROUND(I572*ROUND(Q572, 2), 2)</f>
        <v>116473.78</v>
      </c>
      <c r="U572" s="23">
        <f>S572+T572</f>
        <v>265479.64</v>
      </c>
      <c r="V572" s="9">
        <f>ROUND(P572 / 1.2, 2)</f>
        <v>69.66</v>
      </c>
      <c r="W572" s="9">
        <f>ROUND(Q572 / 1.2, 2)</f>
        <v>54.45</v>
      </c>
      <c r="X572" s="9">
        <f>ROUND(R572 / 1.2, 2)</f>
        <v>124.11</v>
      </c>
      <c r="Y572" s="9">
        <f>ROUND(S572 / 1.2, 2)</f>
        <v>124171.55</v>
      </c>
      <c r="Z572" s="9">
        <f>ROUND(T572 / 1.2, 2)</f>
        <v>97061.48</v>
      </c>
      <c r="AA572" s="9">
        <f>Y572+Z572</f>
        <v>221233.03</v>
      </c>
      <c r="AD572" s="4">
        <v>264030352</v>
      </c>
      <c r="AE572" s="4">
        <v>19907757</v>
      </c>
      <c r="AG572" s="4" t="s">
        <v>1779</v>
      </c>
      <c r="AH572" s="4" t="s">
        <v>1780</v>
      </c>
      <c r="AI572" s="4" t="s">
        <v>1744</v>
      </c>
    </row>
    <row r="573" spans="1:35" ht="37.5" x14ac:dyDescent="0.25">
      <c r="A573" s="11" t="s">
        <v>1781</v>
      </c>
      <c r="B573" s="11"/>
      <c r="C573" s="31" t="s">
        <v>1782</v>
      </c>
      <c r="D573" s="21"/>
      <c r="E573" s="21"/>
      <c r="F573" s="32" t="s">
        <v>103</v>
      </c>
      <c r="G573" s="33">
        <v>1</v>
      </c>
      <c r="H573" s="21"/>
      <c r="I573" s="34">
        <v>926</v>
      </c>
      <c r="J573" s="35">
        <v>157.5</v>
      </c>
      <c r="K573" s="12"/>
      <c r="L573" s="12"/>
      <c r="M573" s="35">
        <f>ROUND(ROUND(J573, 2)*I573, 2)</f>
        <v>145845</v>
      </c>
      <c r="N573" s="12"/>
      <c r="O573" s="12"/>
      <c r="P573" s="35">
        <v>157.5</v>
      </c>
      <c r="Q573" s="12"/>
      <c r="R573" s="12"/>
      <c r="S573" s="35">
        <f>ROUND(ROUND(P573, 2)*I573, 2)</f>
        <v>145845</v>
      </c>
      <c r="T573" s="12"/>
      <c r="U573" s="36"/>
      <c r="V573" s="9">
        <f>ROUND(ROUND(P573, 2)/1.2, 2)</f>
        <v>131.25</v>
      </c>
      <c r="Y573" s="9">
        <f>ROUND(S573 / 1.2, 2)</f>
        <v>121537.5</v>
      </c>
      <c r="AD573" s="4" t="s">
        <v>1783</v>
      </c>
      <c r="AE573" s="4" t="s">
        <v>1784</v>
      </c>
      <c r="AF573" s="4" t="s">
        <v>1785</v>
      </c>
    </row>
    <row r="574" spans="1:35" ht="18.75" x14ac:dyDescent="0.25">
      <c r="A574" s="11" t="s">
        <v>1786</v>
      </c>
      <c r="B574" s="11"/>
      <c r="C574" s="31" t="s">
        <v>1787</v>
      </c>
      <c r="D574" s="21"/>
      <c r="E574" s="21"/>
      <c r="F574" s="32" t="s">
        <v>123</v>
      </c>
      <c r="G574" s="33">
        <v>1</v>
      </c>
      <c r="H574" s="21"/>
      <c r="I574" s="34">
        <v>2815</v>
      </c>
      <c r="J574" s="35">
        <v>1.1200000000000001</v>
      </c>
      <c r="K574" s="12"/>
      <c r="L574" s="12"/>
      <c r="M574" s="35">
        <f>ROUND(ROUND(J574, 2)*I574, 2)</f>
        <v>3152.8</v>
      </c>
      <c r="N574" s="12"/>
      <c r="O574" s="12"/>
      <c r="P574" s="35">
        <v>1.1200000000000001</v>
      </c>
      <c r="Q574" s="12"/>
      <c r="R574" s="12"/>
      <c r="S574" s="35">
        <f>ROUND(ROUND(P574, 2)*I574, 2)</f>
        <v>3152.8</v>
      </c>
      <c r="T574" s="12"/>
      <c r="U574" s="36"/>
      <c r="V574" s="9">
        <f>ROUND(ROUND(P574, 2)/1.2, 2)</f>
        <v>0.93</v>
      </c>
      <c r="Y574" s="9">
        <f>ROUND(S574 / 1.2, 2)</f>
        <v>2627.33</v>
      </c>
      <c r="AD574" s="4" t="s">
        <v>1788</v>
      </c>
      <c r="AE574" s="4" t="s">
        <v>1789</v>
      </c>
      <c r="AF574" s="4" t="s">
        <v>1790</v>
      </c>
    </row>
    <row r="575" spans="1:35" ht="37.5" x14ac:dyDescent="0.25">
      <c r="A575" s="11" t="s">
        <v>1791</v>
      </c>
      <c r="B575" s="11"/>
      <c r="C575" s="31" t="s">
        <v>1792</v>
      </c>
      <c r="D575" s="21"/>
      <c r="E575" s="21"/>
      <c r="F575" s="32" t="s">
        <v>56</v>
      </c>
      <c r="G575" s="33">
        <v>1</v>
      </c>
      <c r="H575" s="21"/>
      <c r="I575" s="34">
        <v>891.29</v>
      </c>
      <c r="J575" s="35">
        <v>0</v>
      </c>
      <c r="K575" s="12"/>
      <c r="L575" s="12"/>
      <c r="M575" s="35">
        <f>ROUND(ROUND(J575, 2)*I575, 2)</f>
        <v>0</v>
      </c>
      <c r="N575" s="12"/>
      <c r="O575" s="12"/>
      <c r="P575" s="35">
        <v>0</v>
      </c>
      <c r="Q575" s="12"/>
      <c r="R575" s="12"/>
      <c r="S575" s="35">
        <f>ROUND(ROUND(P575, 2)*I575, 2)</f>
        <v>0</v>
      </c>
      <c r="T575" s="12"/>
      <c r="U575" s="36"/>
      <c r="V575" s="9">
        <f>ROUND(ROUND(P575, 2)/1.2, 2)</f>
        <v>0</v>
      </c>
      <c r="Y575" s="9">
        <f>ROUND(S575 / 1.2, 2)</f>
        <v>0</v>
      </c>
      <c r="AD575" s="4" t="s">
        <v>1793</v>
      </c>
      <c r="AE575" s="4" t="s">
        <v>1794</v>
      </c>
      <c r="AF575" s="4" t="s">
        <v>1795</v>
      </c>
    </row>
    <row r="576" spans="1:35" ht="17.100000000000001" customHeight="1" x14ac:dyDescent="0.25">
      <c r="A576" s="11" t="s">
        <v>1796</v>
      </c>
      <c r="B576" s="11" t="s">
        <v>1797</v>
      </c>
      <c r="C576" s="113" t="s">
        <v>1798</v>
      </c>
      <c r="D576" s="114"/>
      <c r="E576" s="114"/>
      <c r="F576" s="114"/>
      <c r="G576" s="114"/>
      <c r="H576" s="114"/>
      <c r="I576" s="115"/>
      <c r="J576" s="12"/>
      <c r="K576" s="12"/>
      <c r="L576" s="12"/>
      <c r="M576" s="13">
        <f t="shared" ref="M576:O577" si="114">SUM(M577)</f>
        <v>149000.84</v>
      </c>
      <c r="N576" s="13">
        <f t="shared" si="114"/>
        <v>58266.29</v>
      </c>
      <c r="O576" s="13">
        <f t="shared" si="114"/>
        <v>207267.13</v>
      </c>
      <c r="P576" s="12"/>
      <c r="Q576" s="12"/>
      <c r="R576" s="12"/>
      <c r="S576" s="13">
        <f t="shared" ref="S576:U577" si="115">SUM(S577)</f>
        <v>149000.84</v>
      </c>
      <c r="T576" s="13">
        <f t="shared" si="115"/>
        <v>58266.29</v>
      </c>
      <c r="U576" s="13">
        <f t="shared" si="115"/>
        <v>207267.13</v>
      </c>
      <c r="Y576" s="9">
        <f t="shared" ref="Y576:AA577" si="116">SUM(Y577)</f>
        <v>124167.37</v>
      </c>
      <c r="Z576" s="9">
        <f t="shared" si="116"/>
        <v>48555.24</v>
      </c>
      <c r="AA576" s="9">
        <f t="shared" si="116"/>
        <v>172722.61</v>
      </c>
      <c r="AD576" s="4">
        <v>264030353</v>
      </c>
      <c r="AE576" s="4">
        <v>19925869</v>
      </c>
    </row>
    <row r="577" spans="1:35" ht="17.100000000000001" customHeight="1" x14ac:dyDescent="0.25">
      <c r="A577" s="11" t="s">
        <v>1799</v>
      </c>
      <c r="B577" s="11" t="s">
        <v>1800</v>
      </c>
      <c r="C577" s="113" t="s">
        <v>1774</v>
      </c>
      <c r="D577" s="114"/>
      <c r="E577" s="114"/>
      <c r="F577" s="114"/>
      <c r="G577" s="114"/>
      <c r="H577" s="114"/>
      <c r="I577" s="115"/>
      <c r="J577" s="12"/>
      <c r="K577" s="12"/>
      <c r="L577" s="12"/>
      <c r="M577" s="13">
        <f t="shared" si="114"/>
        <v>149000.84</v>
      </c>
      <c r="N577" s="13">
        <f t="shared" si="114"/>
        <v>58266.29</v>
      </c>
      <c r="O577" s="13">
        <f t="shared" si="114"/>
        <v>207267.13</v>
      </c>
      <c r="P577" s="12"/>
      <c r="Q577" s="12"/>
      <c r="R577" s="12"/>
      <c r="S577" s="13">
        <f t="shared" si="115"/>
        <v>149000.84</v>
      </c>
      <c r="T577" s="13">
        <f t="shared" si="115"/>
        <v>58266.29</v>
      </c>
      <c r="U577" s="13">
        <f t="shared" si="115"/>
        <v>207267.13</v>
      </c>
      <c r="Y577" s="9">
        <f t="shared" si="116"/>
        <v>124167.37</v>
      </c>
      <c r="Z577" s="9">
        <f t="shared" si="116"/>
        <v>48555.24</v>
      </c>
      <c r="AA577" s="9">
        <f t="shared" si="116"/>
        <v>172722.61</v>
      </c>
      <c r="AD577" s="4">
        <v>264030354</v>
      </c>
      <c r="AE577" s="4">
        <v>19925870</v>
      </c>
    </row>
    <row r="578" spans="1:35" ht="37.5" x14ac:dyDescent="0.25">
      <c r="A578" s="11" t="s">
        <v>1801</v>
      </c>
      <c r="B578" s="11" t="s">
        <v>1802</v>
      </c>
      <c r="C578" s="20" t="s">
        <v>1777</v>
      </c>
      <c r="D578" s="21"/>
      <c r="E578" s="21" t="s">
        <v>1803</v>
      </c>
      <c r="F578" s="21" t="s">
        <v>56</v>
      </c>
      <c r="G578" s="22">
        <v>1</v>
      </c>
      <c r="H578" s="21"/>
      <c r="I578" s="22">
        <v>891.74</v>
      </c>
      <c r="J578" s="23">
        <f>IFERROR(ROUND(SUM(M579,M580,M581)/I578, 2),0)</f>
        <v>167.09</v>
      </c>
      <c r="K578" s="23">
        <v>65.34</v>
      </c>
      <c r="L578" s="23">
        <f>J578+ROUND(K578, 2)</f>
        <v>232.43</v>
      </c>
      <c r="M578" s="23">
        <f>ROUND(J578*I578, 2)</f>
        <v>149000.84</v>
      </c>
      <c r="N578" s="23">
        <f>ROUND(I578*ROUND(K578, 2), 2)</f>
        <v>58266.29</v>
      </c>
      <c r="O578" s="23">
        <f>M578+N578</f>
        <v>207267.13</v>
      </c>
      <c r="P578" s="23">
        <f>IFERROR(ROUND(SUM(S579,S580,S581)/I578, 2),0)</f>
        <v>167.09</v>
      </c>
      <c r="Q578" s="23">
        <v>65.34</v>
      </c>
      <c r="R578" s="23">
        <f>P578+ROUND(Q578, 2)</f>
        <v>232.43</v>
      </c>
      <c r="S578" s="23">
        <f>ROUND(P578*I578, 2)</f>
        <v>149000.84</v>
      </c>
      <c r="T578" s="23">
        <f>ROUND(I578*ROUND(Q578, 2), 2)</f>
        <v>58266.29</v>
      </c>
      <c r="U578" s="23">
        <f>S578+T578</f>
        <v>207267.13</v>
      </c>
      <c r="V578" s="9">
        <f>ROUND(P578 / 1.2, 2)</f>
        <v>139.24</v>
      </c>
      <c r="W578" s="9">
        <f>ROUND(Q578 / 1.2, 2)</f>
        <v>54.45</v>
      </c>
      <c r="X578" s="9">
        <f>ROUND(R578 / 1.2, 2)</f>
        <v>193.69</v>
      </c>
      <c r="Y578" s="9">
        <f>ROUND(S578 / 1.2, 2)</f>
        <v>124167.37</v>
      </c>
      <c r="Z578" s="9">
        <f>ROUND(T578 / 1.2, 2)</f>
        <v>48555.24</v>
      </c>
      <c r="AA578" s="9">
        <f>Y578+Z578</f>
        <v>172722.61</v>
      </c>
      <c r="AD578" s="4">
        <v>264030356</v>
      </c>
      <c r="AE578" s="4">
        <v>19925871</v>
      </c>
      <c r="AG578" s="4" t="s">
        <v>1779</v>
      </c>
      <c r="AH578" s="4" t="s">
        <v>1804</v>
      </c>
      <c r="AI578" s="4" t="s">
        <v>1744</v>
      </c>
    </row>
    <row r="579" spans="1:35" ht="37.5" x14ac:dyDescent="0.25">
      <c r="A579" s="11" t="s">
        <v>1805</v>
      </c>
      <c r="B579" s="11"/>
      <c r="C579" s="31" t="s">
        <v>1782</v>
      </c>
      <c r="D579" s="21"/>
      <c r="E579" s="21" t="s">
        <v>1806</v>
      </c>
      <c r="F579" s="32" t="s">
        <v>103</v>
      </c>
      <c r="G579" s="33">
        <v>1</v>
      </c>
      <c r="H579" s="21"/>
      <c r="I579" s="34">
        <v>926</v>
      </c>
      <c r="J579" s="35">
        <v>157.5</v>
      </c>
      <c r="K579" s="12"/>
      <c r="L579" s="12"/>
      <c r="M579" s="35">
        <f>ROUND(ROUND(J579, 2)*I579, 2)</f>
        <v>145845</v>
      </c>
      <c r="N579" s="12"/>
      <c r="O579" s="12"/>
      <c r="P579" s="35">
        <v>157.5</v>
      </c>
      <c r="Q579" s="12"/>
      <c r="R579" s="12"/>
      <c r="S579" s="35">
        <f>ROUND(ROUND(P579, 2)*I579, 2)</f>
        <v>145845</v>
      </c>
      <c r="T579" s="12"/>
      <c r="U579" s="36"/>
      <c r="V579" s="9">
        <f>ROUND(ROUND(P579, 2)/1.2, 2)</f>
        <v>131.25</v>
      </c>
      <c r="Y579" s="9">
        <f>ROUND(S579 / 1.2, 2)</f>
        <v>121537.5</v>
      </c>
      <c r="AD579" s="4" t="s">
        <v>1807</v>
      </c>
      <c r="AE579" s="4" t="s">
        <v>1808</v>
      </c>
      <c r="AF579" s="4" t="s">
        <v>1785</v>
      </c>
    </row>
    <row r="580" spans="1:35" ht="18.75" x14ac:dyDescent="0.25">
      <c r="A580" s="11" t="s">
        <v>1809</v>
      </c>
      <c r="B580" s="11"/>
      <c r="C580" s="31" t="s">
        <v>1787</v>
      </c>
      <c r="D580" s="21"/>
      <c r="E580" s="21"/>
      <c r="F580" s="32" t="s">
        <v>123</v>
      </c>
      <c r="G580" s="33">
        <v>1</v>
      </c>
      <c r="H580" s="21"/>
      <c r="I580" s="34">
        <v>2815</v>
      </c>
      <c r="J580" s="35">
        <v>1.1200000000000001</v>
      </c>
      <c r="K580" s="12"/>
      <c r="L580" s="12"/>
      <c r="M580" s="35">
        <f>ROUND(ROUND(J580, 2)*I580, 2)</f>
        <v>3152.8</v>
      </c>
      <c r="N580" s="12"/>
      <c r="O580" s="12"/>
      <c r="P580" s="35">
        <v>1.1200000000000001</v>
      </c>
      <c r="Q580" s="12"/>
      <c r="R580" s="12"/>
      <c r="S580" s="35">
        <f>ROUND(ROUND(P580, 2)*I580, 2)</f>
        <v>3152.8</v>
      </c>
      <c r="T580" s="12"/>
      <c r="U580" s="36"/>
      <c r="V580" s="9">
        <f>ROUND(ROUND(P580, 2)/1.2, 2)</f>
        <v>0.93</v>
      </c>
      <c r="Y580" s="9">
        <f>ROUND(S580 / 1.2, 2)</f>
        <v>2627.33</v>
      </c>
      <c r="AD580" s="4" t="s">
        <v>1810</v>
      </c>
      <c r="AE580" s="4" t="s">
        <v>1811</v>
      </c>
      <c r="AF580" s="4" t="s">
        <v>1790</v>
      </c>
    </row>
    <row r="581" spans="1:35" ht="37.5" x14ac:dyDescent="0.25">
      <c r="A581" s="11" t="s">
        <v>1812</v>
      </c>
      <c r="B581" s="11"/>
      <c r="C581" s="31" t="s">
        <v>1792</v>
      </c>
      <c r="D581" s="21"/>
      <c r="E581" s="21"/>
      <c r="F581" s="32" t="s">
        <v>56</v>
      </c>
      <c r="G581" s="33">
        <v>1</v>
      </c>
      <c r="H581" s="21"/>
      <c r="I581" s="34">
        <v>891.74</v>
      </c>
      <c r="J581" s="35">
        <v>0</v>
      </c>
      <c r="K581" s="12"/>
      <c r="L581" s="12"/>
      <c r="M581" s="35">
        <f>ROUND(ROUND(J581, 2)*I581, 2)</f>
        <v>0</v>
      </c>
      <c r="N581" s="12"/>
      <c r="O581" s="12"/>
      <c r="P581" s="35">
        <v>0</v>
      </c>
      <c r="Q581" s="12"/>
      <c r="R581" s="12"/>
      <c r="S581" s="35">
        <f>ROUND(ROUND(P581, 2)*I581, 2)</f>
        <v>0</v>
      </c>
      <c r="T581" s="12"/>
      <c r="U581" s="36"/>
      <c r="V581" s="9">
        <f>ROUND(ROUND(P581, 2)/1.2, 2)</f>
        <v>0</v>
      </c>
      <c r="Y581" s="9">
        <f>ROUND(S581 / 1.2, 2)</f>
        <v>0</v>
      </c>
      <c r="AD581" s="4" t="s">
        <v>1813</v>
      </c>
      <c r="AE581" s="4" t="s">
        <v>1814</v>
      </c>
      <c r="AF581" s="4" t="s">
        <v>1795</v>
      </c>
    </row>
    <row r="582" spans="1:35" ht="17.100000000000001" customHeight="1" x14ac:dyDescent="0.25">
      <c r="A582" s="11" t="s">
        <v>1815</v>
      </c>
      <c r="B582" s="11" t="s">
        <v>1816</v>
      </c>
      <c r="C582" s="113" t="s">
        <v>1774</v>
      </c>
      <c r="D582" s="114"/>
      <c r="E582" s="114"/>
      <c r="F582" s="114"/>
      <c r="G582" s="114"/>
      <c r="H582" s="114"/>
      <c r="I582" s="115"/>
      <c r="J582" s="12"/>
      <c r="K582" s="12"/>
      <c r="L582" s="12"/>
      <c r="M582" s="13">
        <f>SUM(M583,M584)</f>
        <v>0</v>
      </c>
      <c r="N582" s="13">
        <f>SUM(N583,N584)</f>
        <v>114716</v>
      </c>
      <c r="O582" s="13">
        <f>SUM(O583,O584)</f>
        <v>114716</v>
      </c>
      <c r="P582" s="12"/>
      <c r="Q582" s="12"/>
      <c r="R582" s="12"/>
      <c r="S582" s="13">
        <f>SUM(S583,S584)</f>
        <v>0</v>
      </c>
      <c r="T582" s="13">
        <f>SUM(T583,T584)</f>
        <v>114716</v>
      </c>
      <c r="U582" s="13">
        <f>SUM(U583,U584)</f>
        <v>114716</v>
      </c>
      <c r="Y582" s="9">
        <f>SUM(Y583,Y584)</f>
        <v>0</v>
      </c>
      <c r="Z582" s="9">
        <f>SUM(Z583,Z584)</f>
        <v>95596.67</v>
      </c>
      <c r="AA582" s="9" t="e">
        <f>SUM(AA583,AA584)</f>
        <v>#VALUE!</v>
      </c>
      <c r="AD582" s="4">
        <v>264030357</v>
      </c>
      <c r="AE582" s="4">
        <v>18539571</v>
      </c>
    </row>
    <row r="583" spans="1:35" ht="18.75" x14ac:dyDescent="0.25">
      <c r="A583" s="11" t="s">
        <v>1817</v>
      </c>
      <c r="B583" s="11" t="s">
        <v>1818</v>
      </c>
      <c r="C583" s="20" t="s">
        <v>1819</v>
      </c>
      <c r="D583" s="21"/>
      <c r="E583" s="21"/>
      <c r="F583" s="21" t="s">
        <v>103</v>
      </c>
      <c r="G583" s="22">
        <v>1</v>
      </c>
      <c r="H583" s="21"/>
      <c r="I583" s="22">
        <v>4</v>
      </c>
      <c r="J583" s="23">
        <v>0</v>
      </c>
      <c r="K583" s="23">
        <v>20790</v>
      </c>
      <c r="L583" s="23">
        <f>J583+ROUND(K583, 2)</f>
        <v>20790</v>
      </c>
      <c r="M583" s="23">
        <v>0</v>
      </c>
      <c r="N583" s="23">
        <f>ROUND(I583*ROUND(K583, 2), 2)</f>
        <v>83160</v>
      </c>
      <c r="O583" s="23">
        <f>M583+N583</f>
        <v>83160</v>
      </c>
      <c r="P583" s="23">
        <v>0</v>
      </c>
      <c r="Q583" s="23">
        <v>20790</v>
      </c>
      <c r="R583" s="23">
        <f>P583+ROUND(Q583, 2)</f>
        <v>20790</v>
      </c>
      <c r="S583" s="23">
        <v>0</v>
      </c>
      <c r="T583" s="23">
        <f>ROUND(I583*ROUND(Q583, 2), 2)</f>
        <v>83160</v>
      </c>
      <c r="U583" s="23">
        <f>S583+T583</f>
        <v>83160</v>
      </c>
      <c r="V583" s="9"/>
      <c r="W583" s="9">
        <f>ROUND(Q583 / 1.2, 2)</f>
        <v>17325</v>
      </c>
      <c r="X583" s="9">
        <f>ROUND(R583 / 1.2, 2)</f>
        <v>17325</v>
      </c>
      <c r="Y583" s="9"/>
      <c r="Z583" s="9">
        <f>ROUND(T583 / 1.2, 2)</f>
        <v>69300</v>
      </c>
      <c r="AA583" s="9" t="e">
        <f>Y583+Z583</f>
        <v>#VALUE!</v>
      </c>
      <c r="AD583" s="4">
        <v>264030359</v>
      </c>
      <c r="AE583" s="4">
        <v>18539569</v>
      </c>
      <c r="AG583" s="4" t="s">
        <v>1820</v>
      </c>
      <c r="AH583" s="4" t="s">
        <v>1821</v>
      </c>
      <c r="AI583" s="4" t="s">
        <v>1744</v>
      </c>
    </row>
    <row r="584" spans="1:35" ht="37.5" x14ac:dyDescent="0.25">
      <c r="A584" s="11" t="s">
        <v>1822</v>
      </c>
      <c r="B584" s="11" t="s">
        <v>1823</v>
      </c>
      <c r="C584" s="20" t="s">
        <v>1741</v>
      </c>
      <c r="D584" s="21"/>
      <c r="E584" s="21"/>
      <c r="F584" s="21" t="s">
        <v>209</v>
      </c>
      <c r="G584" s="22">
        <v>1</v>
      </c>
      <c r="H584" s="21"/>
      <c r="I584" s="22">
        <v>28</v>
      </c>
      <c r="J584" s="23">
        <v>0</v>
      </c>
      <c r="K584" s="23">
        <v>1127</v>
      </c>
      <c r="L584" s="23">
        <f>J584+ROUND(K584, 2)</f>
        <v>1127</v>
      </c>
      <c r="M584" s="23">
        <v>0</v>
      </c>
      <c r="N584" s="23">
        <f>ROUND(I584*ROUND(K584, 2), 2)</f>
        <v>31556</v>
      </c>
      <c r="O584" s="23">
        <f>M584+N584</f>
        <v>31556</v>
      </c>
      <c r="P584" s="23">
        <v>0</v>
      </c>
      <c r="Q584" s="23">
        <v>1127</v>
      </c>
      <c r="R584" s="23">
        <f>P584+ROUND(Q584, 2)</f>
        <v>1127</v>
      </c>
      <c r="S584" s="23">
        <v>0</v>
      </c>
      <c r="T584" s="23">
        <f>ROUND(I584*ROUND(Q584, 2), 2)</f>
        <v>31556</v>
      </c>
      <c r="U584" s="23">
        <f>S584+T584</f>
        <v>31556</v>
      </c>
      <c r="V584" s="9"/>
      <c r="W584" s="9">
        <f>ROUND(Q584 / 1.2, 2)</f>
        <v>939.17</v>
      </c>
      <c r="X584" s="9">
        <f>ROUND(R584 / 1.2, 2)</f>
        <v>939.17</v>
      </c>
      <c r="Y584" s="9"/>
      <c r="Z584" s="9">
        <f>ROUND(T584 / 1.2, 2)</f>
        <v>26296.67</v>
      </c>
      <c r="AA584" s="9" t="e">
        <f>Y584+Z584</f>
        <v>#VALUE!</v>
      </c>
      <c r="AD584" s="4">
        <v>264030361</v>
      </c>
      <c r="AE584" s="4">
        <v>19925941</v>
      </c>
      <c r="AG584" s="4" t="s">
        <v>1742</v>
      </c>
      <c r="AH584" s="4" t="s">
        <v>1824</v>
      </c>
      <c r="AI584" s="4" t="s">
        <v>1744</v>
      </c>
    </row>
    <row r="585" spans="1:35" ht="24" customHeight="1" x14ac:dyDescent="0.25">
      <c r="A585" s="67"/>
      <c r="B585" s="67"/>
      <c r="C585" s="67"/>
      <c r="D585" s="68" t="s">
        <v>1825</v>
      </c>
      <c r="E585" s="67"/>
      <c r="F585" s="67"/>
      <c r="G585" s="67"/>
      <c r="H585" s="67"/>
      <c r="I585" s="67"/>
      <c r="J585" s="67"/>
      <c r="K585" s="67"/>
      <c r="L585" s="67"/>
      <c r="M585" s="69">
        <f>SUM(M8)</f>
        <v>3711929.49</v>
      </c>
      <c r="N585" s="69">
        <f>SUM(N8)</f>
        <v>9895753.8200000003</v>
      </c>
      <c r="O585" s="69">
        <f>M585+N585</f>
        <v>13607683.310000001</v>
      </c>
      <c r="P585" s="67"/>
      <c r="Q585" s="67"/>
      <c r="R585" s="67"/>
      <c r="S585" s="69">
        <f>SUM(S8)</f>
        <v>3676170.07</v>
      </c>
      <c r="T585" s="69">
        <f>SUM(T8)</f>
        <v>9895753.8200000003</v>
      </c>
      <c r="U585" s="69">
        <f>S585+T585</f>
        <v>13571923.890000001</v>
      </c>
      <c r="Y585" s="9">
        <f>SUM(Y8)</f>
        <v>3063475.11</v>
      </c>
      <c r="Z585" s="9">
        <f>SUM(Z8)</f>
        <v>8246461.5</v>
      </c>
      <c r="AA585" s="9">
        <f>Y585+Z585</f>
        <v>11309936.609999999</v>
      </c>
    </row>
  </sheetData>
  <sheetProtection password="C644" sheet="1" formatColumns="0" autoFilter="0"/>
  <autoFilter ref="A7:U7"/>
  <mergeCells count="61"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C11:I11"/>
    <mergeCell ref="C12:I12"/>
    <mergeCell ref="C13:I13"/>
    <mergeCell ref="C16:I16"/>
    <mergeCell ref="C17:I17"/>
    <mergeCell ref="C24:I24"/>
    <mergeCell ref="C50:I50"/>
    <mergeCell ref="C55:I55"/>
    <mergeCell ref="C56:I56"/>
    <mergeCell ref="C57:I57"/>
    <mergeCell ref="C58:I58"/>
    <mergeCell ref="C59:I59"/>
    <mergeCell ref="C111:I111"/>
    <mergeCell ref="C128:I128"/>
    <mergeCell ref="C192:I192"/>
    <mergeCell ref="C193:I193"/>
    <mergeCell ref="C428:I428"/>
    <mergeCell ref="C444:I444"/>
    <mergeCell ref="C488:I488"/>
    <mergeCell ref="C489:I489"/>
    <mergeCell ref="C532:I532"/>
    <mergeCell ref="C548:I548"/>
    <mergeCell ref="C558:I558"/>
    <mergeCell ref="C559:I559"/>
    <mergeCell ref="C560:I560"/>
    <mergeCell ref="C561:I561"/>
    <mergeCell ref="C563:I563"/>
    <mergeCell ref="C564:I564"/>
    <mergeCell ref="C565:I565"/>
    <mergeCell ref="C567:I567"/>
    <mergeCell ref="C568:I568"/>
    <mergeCell ref="C571:I571"/>
    <mergeCell ref="C576:I576"/>
    <mergeCell ref="C577:I577"/>
    <mergeCell ref="C582:I58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47"/>
  <sheetViews>
    <sheetView zoomScale="60" zoomScaleNormal="60" workbookViewId="0">
      <pane xSplit="9" ySplit="7" topLeftCell="J229" activePane="bottomRight" state="frozen"/>
      <selection pane="topRight"/>
      <selection pane="bottomLeft"/>
      <selection pane="bottomRight" sqref="A1:XFD1048576"/>
    </sheetView>
  </sheetViews>
  <sheetFormatPr defaultRowHeight="15" x14ac:dyDescent="0.25"/>
  <cols>
    <col min="1" max="1" width="20" customWidth="1"/>
    <col min="2" max="2" width="21.7109375" bestFit="1" customWidth="1"/>
    <col min="3" max="3" width="55.7109375" customWidth="1"/>
    <col min="4" max="5" width="38" customWidth="1"/>
    <col min="6" max="7" width="16.42578125" customWidth="1"/>
    <col min="8" max="8" width="16" customWidth="1"/>
    <col min="9" max="9" width="16.85546875" customWidth="1"/>
    <col min="10" max="10" width="16" customWidth="1"/>
    <col min="11" max="11" width="17" customWidth="1"/>
    <col min="12" max="12" width="17.7109375" customWidth="1"/>
    <col min="13" max="13" width="18" customWidth="1"/>
    <col min="14" max="14" width="18.85546875" customWidth="1"/>
    <col min="15" max="15" width="23.7109375" customWidth="1"/>
    <col min="16" max="16" width="16" customWidth="1"/>
    <col min="17" max="17" width="17" customWidth="1"/>
    <col min="18" max="18" width="17.7109375" customWidth="1"/>
    <col min="19" max="19" width="18" customWidth="1"/>
    <col min="20" max="20" width="18.85546875" customWidth="1"/>
    <col min="21" max="21" width="23.7109375" customWidth="1"/>
    <col min="22" max="35" width="9.140625" hidden="1"/>
  </cols>
  <sheetData>
    <row r="1" spans="1:35" ht="15" customHeight="1" x14ac:dyDescent="0.25">
      <c r="A1" s="1" t="s">
        <v>0</v>
      </c>
      <c r="B1" s="3"/>
      <c r="C1" s="3"/>
      <c r="D1" s="2" t="s">
        <v>1</v>
      </c>
      <c r="E1" s="2"/>
      <c r="F1" s="2" t="s">
        <v>2</v>
      </c>
      <c r="G1" s="2" t="s">
        <v>1826</v>
      </c>
      <c r="H1" s="2" t="s">
        <v>1827</v>
      </c>
      <c r="I1" s="2" t="s">
        <v>1828</v>
      </c>
      <c r="J1" s="2" t="s">
        <v>1829</v>
      </c>
      <c r="K1" s="2" t="s">
        <v>1830</v>
      </c>
      <c r="L1" s="3"/>
      <c r="M1" s="3"/>
      <c r="N1" s="3"/>
      <c r="O1" s="3"/>
      <c r="P1" s="3"/>
      <c r="Q1" s="3"/>
      <c r="R1" s="3"/>
      <c r="S1" s="3"/>
      <c r="T1" s="3"/>
      <c r="U1" s="3"/>
      <c r="AC1" s="4" t="s">
        <v>15</v>
      </c>
      <c r="AD1" s="4" t="s">
        <v>16</v>
      </c>
      <c r="AE1" s="4" t="s">
        <v>17</v>
      </c>
      <c r="AF1" s="4" t="s">
        <v>18</v>
      </c>
      <c r="AG1" s="4" t="s">
        <v>19</v>
      </c>
      <c r="AH1" s="4" t="s">
        <v>20</v>
      </c>
      <c r="AI1" s="4" t="s">
        <v>21</v>
      </c>
    </row>
    <row r="2" spans="1:35" ht="30.75" customHeight="1" x14ac:dyDescent="0.25">
      <c r="A2" s="126" t="s">
        <v>4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</row>
    <row r="3" spans="1:35" ht="15" customHeight="1" x14ac:dyDescent="0.25">
      <c r="A3" s="127" t="s">
        <v>5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</row>
    <row r="4" spans="1:35" ht="15" customHeight="1" x14ac:dyDescent="0.25">
      <c r="A4" s="128" t="s">
        <v>6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</row>
    <row r="5" spans="1:35" ht="40.700000000000003" customHeight="1" x14ac:dyDescent="0.25">
      <c r="A5" s="121" t="s">
        <v>22</v>
      </c>
      <c r="B5" s="121" t="s">
        <v>23</v>
      </c>
      <c r="C5" s="121" t="s">
        <v>24</v>
      </c>
      <c r="D5" s="121" t="s">
        <v>25</v>
      </c>
      <c r="E5" s="121" t="s">
        <v>26</v>
      </c>
      <c r="F5" s="121" t="s">
        <v>27</v>
      </c>
      <c r="G5" s="121" t="s">
        <v>28</v>
      </c>
      <c r="H5" s="121" t="s">
        <v>29</v>
      </c>
      <c r="I5" s="121" t="s">
        <v>30</v>
      </c>
      <c r="J5" s="129" t="s">
        <v>7</v>
      </c>
      <c r="K5" s="130"/>
      <c r="L5" s="130"/>
      <c r="M5" s="130"/>
      <c r="N5" s="130"/>
      <c r="O5" s="131"/>
      <c r="P5" s="132" t="s">
        <v>8</v>
      </c>
      <c r="Q5" s="133"/>
      <c r="R5" s="134"/>
      <c r="S5" s="132" t="s">
        <v>9</v>
      </c>
      <c r="T5" s="133"/>
      <c r="U5" s="134"/>
    </row>
    <row r="6" spans="1:35" ht="15.75" customHeight="1" x14ac:dyDescent="0.25">
      <c r="A6" s="135"/>
      <c r="B6" s="135"/>
      <c r="C6" s="135"/>
      <c r="D6" s="135"/>
      <c r="E6" s="135"/>
      <c r="F6" s="135"/>
      <c r="G6" s="135"/>
      <c r="H6" s="135"/>
      <c r="I6" s="135"/>
      <c r="J6" s="119" t="s">
        <v>31</v>
      </c>
      <c r="K6" s="120"/>
      <c r="L6" s="121" t="s">
        <v>31</v>
      </c>
      <c r="M6" s="119" t="s">
        <v>34</v>
      </c>
      <c r="N6" s="120"/>
      <c r="O6" s="121" t="s">
        <v>35</v>
      </c>
      <c r="P6" s="119" t="s">
        <v>31</v>
      </c>
      <c r="Q6" s="120"/>
      <c r="R6" s="121" t="s">
        <v>31</v>
      </c>
      <c r="S6" s="119" t="s">
        <v>34</v>
      </c>
      <c r="T6" s="120"/>
      <c r="U6" s="121" t="s">
        <v>35</v>
      </c>
    </row>
    <row r="7" spans="1:35" ht="31.35" customHeight="1" x14ac:dyDescent="0.25">
      <c r="A7" s="122"/>
      <c r="B7" s="122"/>
      <c r="C7" s="122"/>
      <c r="D7" s="122"/>
      <c r="E7" s="122"/>
      <c r="F7" s="122"/>
      <c r="G7" s="122"/>
      <c r="H7" s="122"/>
      <c r="I7" s="122"/>
      <c r="J7" s="5" t="s">
        <v>32</v>
      </c>
      <c r="K7" s="5" t="s">
        <v>33</v>
      </c>
      <c r="L7" s="122"/>
      <c r="M7" s="5" t="s">
        <v>32</v>
      </c>
      <c r="N7" s="5" t="s">
        <v>33</v>
      </c>
      <c r="O7" s="122"/>
      <c r="P7" s="5" t="s">
        <v>32</v>
      </c>
      <c r="Q7" s="5" t="s">
        <v>33</v>
      </c>
      <c r="R7" s="122"/>
      <c r="S7" s="5" t="s">
        <v>32</v>
      </c>
      <c r="T7" s="5" t="s">
        <v>33</v>
      </c>
      <c r="U7" s="122"/>
    </row>
    <row r="8" spans="1:35" ht="30" customHeight="1" x14ac:dyDescent="0.25">
      <c r="A8" s="123" t="s">
        <v>36</v>
      </c>
      <c r="B8" s="124"/>
      <c r="C8" s="124"/>
      <c r="D8" s="124"/>
      <c r="E8" s="124"/>
      <c r="F8" s="124"/>
      <c r="G8" s="124"/>
      <c r="H8" s="124"/>
      <c r="I8" s="125"/>
      <c r="J8" s="7"/>
      <c r="K8" s="7"/>
      <c r="L8" s="7"/>
      <c r="M8" s="8">
        <f>SUM(M9,M401)</f>
        <v>3711929.49</v>
      </c>
      <c r="N8" s="8">
        <f>SUM(N9,N401)</f>
        <v>9895753.8200000003</v>
      </c>
      <c r="O8" s="8">
        <f>SUM(O9,O401)</f>
        <v>13607683.310000001</v>
      </c>
      <c r="P8" s="7"/>
      <c r="Q8" s="7"/>
      <c r="R8" s="7"/>
      <c r="S8" s="8">
        <f>SUM(S9,S401)</f>
        <v>3676170.07</v>
      </c>
      <c r="T8" s="8">
        <f>SUM(T9,T401)</f>
        <v>9895753.8200000003</v>
      </c>
      <c r="U8" s="8">
        <f>SUM(U9,U401)</f>
        <v>13571923.890000001</v>
      </c>
      <c r="Y8" s="9">
        <f>SUM(Y9,Y401)</f>
        <v>3063475.11</v>
      </c>
      <c r="Z8" s="9">
        <f>SUM(Z9,Z401)</f>
        <v>8246461.5</v>
      </c>
      <c r="AA8" s="9" t="e">
        <f>SUM(AA9,AA401)</f>
        <v>#VALUE!</v>
      </c>
      <c r="AC8" s="4" t="s">
        <v>37</v>
      </c>
    </row>
    <row r="9" spans="1:35" ht="17.100000000000001" customHeight="1" x14ac:dyDescent="0.25">
      <c r="A9" s="10" t="s">
        <v>38</v>
      </c>
      <c r="B9" s="10" t="s">
        <v>39</v>
      </c>
      <c r="C9" s="116" t="s">
        <v>40</v>
      </c>
      <c r="D9" s="117"/>
      <c r="E9" s="117"/>
      <c r="F9" s="117"/>
      <c r="G9" s="117"/>
      <c r="H9" s="117"/>
      <c r="I9" s="118"/>
      <c r="M9" s="6">
        <f>SUM(M10,M50)</f>
        <v>3413922.79</v>
      </c>
      <c r="N9" s="6">
        <f>SUM(N10,N50)</f>
        <v>9101348.2699999996</v>
      </c>
      <c r="O9" s="6">
        <f>SUM(O10,O50)</f>
        <v>12515271.060000001</v>
      </c>
      <c r="S9" s="6">
        <f>SUM(S10,S50)</f>
        <v>3378163.37</v>
      </c>
      <c r="T9" s="6">
        <f>SUM(T10,T50)</f>
        <v>9101348.2699999996</v>
      </c>
      <c r="U9" s="6">
        <f>SUM(U10,U50)</f>
        <v>12479511.640000001</v>
      </c>
      <c r="Y9" s="9">
        <f>SUM(Y10,Y50)</f>
        <v>2815136.19</v>
      </c>
      <c r="Z9" s="9">
        <f>SUM(Z10,Z50)</f>
        <v>7584456.8700000001</v>
      </c>
      <c r="AA9" s="9" t="e">
        <f>SUM(AA10,AA50)</f>
        <v>#VALUE!</v>
      </c>
      <c r="AD9" s="4">
        <v>264030243</v>
      </c>
      <c r="AE9" s="4">
        <v>16075338</v>
      </c>
    </row>
    <row r="10" spans="1:35" ht="17.100000000000001" customHeight="1" x14ac:dyDescent="0.25">
      <c r="A10" s="10" t="s">
        <v>41</v>
      </c>
      <c r="B10" s="10" t="s">
        <v>42</v>
      </c>
      <c r="C10" s="116" t="s">
        <v>43</v>
      </c>
      <c r="D10" s="117"/>
      <c r="E10" s="117"/>
      <c r="F10" s="117"/>
      <c r="G10" s="117"/>
      <c r="H10" s="117"/>
      <c r="I10" s="118"/>
      <c r="M10" s="6">
        <f t="shared" ref="M10:O11" si="0">SUM(M11)</f>
        <v>554160.79</v>
      </c>
      <c r="N10" s="6">
        <f t="shared" si="0"/>
        <v>861847.08</v>
      </c>
      <c r="O10" s="6">
        <f t="shared" si="0"/>
        <v>1416007.87</v>
      </c>
      <c r="S10" s="6">
        <f t="shared" ref="S10:U11" si="1">SUM(S11)</f>
        <v>554160.79</v>
      </c>
      <c r="T10" s="6">
        <f t="shared" si="1"/>
        <v>861847.08</v>
      </c>
      <c r="U10" s="6">
        <f t="shared" si="1"/>
        <v>1416007.87</v>
      </c>
      <c r="Y10" s="9">
        <f t="shared" ref="Y10:AA11" si="2">SUM(Y11)</f>
        <v>461800.66</v>
      </c>
      <c r="Z10" s="9">
        <f t="shared" si="2"/>
        <v>718205.91</v>
      </c>
      <c r="AA10" s="9">
        <f t="shared" si="2"/>
        <v>1180006.57</v>
      </c>
      <c r="AD10" s="4">
        <v>264030244</v>
      </c>
      <c r="AE10" s="4">
        <v>16084976</v>
      </c>
    </row>
    <row r="11" spans="1:35" ht="17.100000000000001" customHeight="1" x14ac:dyDescent="0.25">
      <c r="A11" s="10" t="s">
        <v>44</v>
      </c>
      <c r="B11" s="10" t="s">
        <v>45</v>
      </c>
      <c r="C11" s="116" t="s">
        <v>46</v>
      </c>
      <c r="D11" s="117"/>
      <c r="E11" s="117"/>
      <c r="F11" s="117"/>
      <c r="G11" s="117"/>
      <c r="H11" s="117"/>
      <c r="I11" s="118"/>
      <c r="M11" s="6">
        <f t="shared" si="0"/>
        <v>554160.79</v>
      </c>
      <c r="N11" s="6">
        <f t="shared" si="0"/>
        <v>861847.08</v>
      </c>
      <c r="O11" s="6">
        <f t="shared" si="0"/>
        <v>1416007.87</v>
      </c>
      <c r="S11" s="6">
        <f t="shared" si="1"/>
        <v>554160.79</v>
      </c>
      <c r="T11" s="6">
        <f t="shared" si="1"/>
        <v>861847.08</v>
      </c>
      <c r="U11" s="6">
        <f t="shared" si="1"/>
        <v>1416007.87</v>
      </c>
      <c r="Y11" s="9">
        <f t="shared" si="2"/>
        <v>461800.66</v>
      </c>
      <c r="Z11" s="9">
        <f t="shared" si="2"/>
        <v>718205.91</v>
      </c>
      <c r="AA11" s="9">
        <f t="shared" si="2"/>
        <v>1180006.57</v>
      </c>
      <c r="AD11" s="4">
        <v>264030245</v>
      </c>
      <c r="AE11" s="4">
        <v>16084973</v>
      </c>
    </row>
    <row r="12" spans="1:35" ht="17.100000000000001" customHeight="1" x14ac:dyDescent="0.25">
      <c r="A12" s="10" t="s">
        <v>47</v>
      </c>
      <c r="B12" s="10" t="s">
        <v>48</v>
      </c>
      <c r="C12" s="116" t="s">
        <v>49</v>
      </c>
      <c r="D12" s="117"/>
      <c r="E12" s="117"/>
      <c r="F12" s="117"/>
      <c r="G12" s="117"/>
      <c r="H12" s="117"/>
      <c r="I12" s="118"/>
      <c r="M12" s="6">
        <f>SUM(M13,M16,M45)</f>
        <v>554160.79</v>
      </c>
      <c r="N12" s="6">
        <f>SUM(N13,N16,N45)</f>
        <v>861847.08</v>
      </c>
      <c r="O12" s="6">
        <f>SUM(O13,O16,O45)</f>
        <v>1416007.87</v>
      </c>
      <c r="S12" s="6">
        <f>SUM(S13,S16,S45)</f>
        <v>554160.79</v>
      </c>
      <c r="T12" s="6">
        <f>SUM(T13,T16,T45)</f>
        <v>861847.08</v>
      </c>
      <c r="U12" s="6">
        <f>SUM(U13,U16,U45)</f>
        <v>1416007.87</v>
      </c>
      <c r="Y12" s="9">
        <f>SUM(Y13,Y16,Y45)</f>
        <v>461800.66</v>
      </c>
      <c r="Z12" s="9">
        <f>SUM(Z13,Z16,Z45)</f>
        <v>718205.91</v>
      </c>
      <c r="AA12" s="9">
        <f>SUM(AA13,AA16,AA45)</f>
        <v>1180006.57</v>
      </c>
      <c r="AD12" s="4">
        <v>264030246</v>
      </c>
      <c r="AE12" s="4">
        <v>16084971</v>
      </c>
    </row>
    <row r="13" spans="1:35" ht="17.100000000000001" customHeight="1" x14ac:dyDescent="0.25">
      <c r="A13" s="10" t="s">
        <v>50</v>
      </c>
      <c r="B13" s="10" t="s">
        <v>51</v>
      </c>
      <c r="C13" s="116" t="s">
        <v>52</v>
      </c>
      <c r="D13" s="117"/>
      <c r="E13" s="117"/>
      <c r="F13" s="117"/>
      <c r="G13" s="117"/>
      <c r="H13" s="117"/>
      <c r="I13" s="118"/>
      <c r="M13" s="6">
        <f>SUM(M14)</f>
        <v>0</v>
      </c>
      <c r="N13" s="6">
        <f>SUM(N14)</f>
        <v>282000</v>
      </c>
      <c r="O13" s="6">
        <f>SUM(O14)</f>
        <v>282000</v>
      </c>
      <c r="S13" s="6">
        <f>SUM(S14)</f>
        <v>0</v>
      </c>
      <c r="T13" s="6">
        <f>SUM(T14)</f>
        <v>282000</v>
      </c>
      <c r="U13" s="6">
        <f>SUM(U14)</f>
        <v>282000</v>
      </c>
      <c r="Y13" s="9">
        <f>SUM(Y14)</f>
        <v>0</v>
      </c>
      <c r="Z13" s="9">
        <f>SUM(Z14)</f>
        <v>235000</v>
      </c>
      <c r="AA13" s="9">
        <f>SUM(AA14)</f>
        <v>235000</v>
      </c>
      <c r="AD13" s="4">
        <v>264030247</v>
      </c>
      <c r="AE13" s="4">
        <v>19923875</v>
      </c>
    </row>
    <row r="14" spans="1:35" ht="37.5" x14ac:dyDescent="0.25">
      <c r="A14" s="10" t="s">
        <v>53</v>
      </c>
      <c r="B14" s="10" t="s">
        <v>54</v>
      </c>
      <c r="C14" s="14" t="s">
        <v>55</v>
      </c>
      <c r="D14" s="15"/>
      <c r="E14" s="15"/>
      <c r="F14" s="15" t="s">
        <v>56</v>
      </c>
      <c r="G14" s="16">
        <v>1</v>
      </c>
      <c r="H14" s="16"/>
      <c r="I14" s="16">
        <v>752</v>
      </c>
      <c r="J14" s="17">
        <f>IFERROR(ROUND(SUM(M15)/I14, 2),0)</f>
        <v>0</v>
      </c>
      <c r="K14" s="18">
        <v>375</v>
      </c>
      <c r="L14" s="17">
        <f>J14+ROUND(K14, 2)</f>
        <v>375</v>
      </c>
      <c r="M14" s="17">
        <f>ROUND(J14*I14, 2)</f>
        <v>0</v>
      </c>
      <c r="N14" s="17">
        <f>ROUND(I14*ROUND(K14, 2), 2)</f>
        <v>282000</v>
      </c>
      <c r="O14" s="17">
        <f>M14+N14</f>
        <v>282000</v>
      </c>
      <c r="P14" s="17">
        <f>IFERROR(ROUND(SUM(S15)/I14, 2),0)</f>
        <v>0</v>
      </c>
      <c r="Q14" s="19">
        <v>375</v>
      </c>
      <c r="R14" s="17">
        <f>P14+ROUND(Q14, 2)</f>
        <v>375</v>
      </c>
      <c r="S14" s="17">
        <f>ROUND(P14*I14, 2)</f>
        <v>0</v>
      </c>
      <c r="T14" s="17">
        <f>ROUND(I14*ROUND(Q14, 2), 2)</f>
        <v>282000</v>
      </c>
      <c r="U14" s="17">
        <f>S14+T14</f>
        <v>282000</v>
      </c>
      <c r="V14" s="9">
        <f>ROUND(P14 / 1.2, 2)</f>
        <v>0</v>
      </c>
      <c r="W14" s="9">
        <f>ROUND(Q14 / 1.2, 2)</f>
        <v>312.5</v>
      </c>
      <c r="X14" s="9">
        <f>ROUND(R14 / 1.2, 2)</f>
        <v>312.5</v>
      </c>
      <c r="Y14" s="9">
        <f>ROUND(S14 / 1.2, 2)</f>
        <v>0</v>
      </c>
      <c r="Z14" s="9">
        <f>ROUND(T14 / 1.2, 2)</f>
        <v>235000</v>
      </c>
      <c r="AA14" s="9">
        <f>Y14+Z14</f>
        <v>235000</v>
      </c>
      <c r="AD14" s="4">
        <v>264030249</v>
      </c>
      <c r="AE14" s="4">
        <v>19923873</v>
      </c>
      <c r="AG14" s="4" t="s">
        <v>57</v>
      </c>
      <c r="AH14" s="4" t="s">
        <v>58</v>
      </c>
      <c r="AI14" s="4" t="s">
        <v>59</v>
      </c>
    </row>
    <row r="15" spans="1:35" ht="18.75" x14ac:dyDescent="0.25">
      <c r="A15" s="10" t="s">
        <v>60</v>
      </c>
      <c r="B15" s="10"/>
      <c r="C15" s="24" t="s">
        <v>61</v>
      </c>
      <c r="D15" s="15"/>
      <c r="E15" s="15"/>
      <c r="F15" s="25" t="s">
        <v>62</v>
      </c>
      <c r="G15" s="26">
        <v>1</v>
      </c>
      <c r="H15" s="27"/>
      <c r="I15" s="27">
        <v>752</v>
      </c>
      <c r="J15" s="28">
        <v>0</v>
      </c>
      <c r="M15" s="29">
        <f>ROUND(ROUND(J15, 2)*I15, 2)</f>
        <v>0</v>
      </c>
      <c r="P15" s="30">
        <v>0</v>
      </c>
      <c r="S15" s="29">
        <f>ROUND(ROUND(P15, 2)*I15, 2)</f>
        <v>0</v>
      </c>
      <c r="V15" s="9">
        <f>ROUND(ROUND(P15, 2)/1.2, 2)</f>
        <v>0</v>
      </c>
      <c r="Y15" s="9">
        <f>ROUND(S15 / 1.2, 2)</f>
        <v>0</v>
      </c>
      <c r="AD15" s="4" t="s">
        <v>63</v>
      </c>
      <c r="AE15" s="4" t="s">
        <v>64</v>
      </c>
      <c r="AF15" s="4" t="s">
        <v>65</v>
      </c>
    </row>
    <row r="16" spans="1:35" ht="17.100000000000001" customHeight="1" x14ac:dyDescent="0.25">
      <c r="A16" s="10" t="s">
        <v>66</v>
      </c>
      <c r="B16" s="10" t="s">
        <v>67</v>
      </c>
      <c r="C16" s="116" t="s">
        <v>68</v>
      </c>
      <c r="D16" s="117"/>
      <c r="E16" s="117"/>
      <c r="F16" s="117"/>
      <c r="G16" s="117"/>
      <c r="H16" s="117"/>
      <c r="I16" s="118"/>
      <c r="M16" s="6">
        <f>SUM(M17,M24)</f>
        <v>150521.32999999999</v>
      </c>
      <c r="N16" s="6">
        <f>SUM(N17,N24)</f>
        <v>291991.67999999999</v>
      </c>
      <c r="O16" s="6">
        <f>SUM(O17,O24)</f>
        <v>442513.01</v>
      </c>
      <c r="S16" s="6">
        <f>SUM(S17,S24)</f>
        <v>150521.32999999999</v>
      </c>
      <c r="T16" s="6">
        <f>SUM(T17,T24)</f>
        <v>291991.67999999999</v>
      </c>
      <c r="U16" s="6">
        <f>SUM(U17,U24)</f>
        <v>442513.01</v>
      </c>
      <c r="Y16" s="9">
        <f>SUM(Y17,Y24)</f>
        <v>125434.44</v>
      </c>
      <c r="Z16" s="9">
        <f>SUM(Z17,Z24)</f>
        <v>243326.41</v>
      </c>
      <c r="AA16" s="9">
        <f>SUM(AA17,AA24)</f>
        <v>368760.85</v>
      </c>
      <c r="AD16" s="4">
        <v>264030250</v>
      </c>
      <c r="AE16" s="4">
        <v>16084974</v>
      </c>
    </row>
    <row r="17" spans="1:35" ht="17.100000000000001" customHeight="1" x14ac:dyDescent="0.25">
      <c r="A17" s="10" t="s">
        <v>69</v>
      </c>
      <c r="B17" s="10" t="s">
        <v>70</v>
      </c>
      <c r="C17" s="116" t="s">
        <v>71</v>
      </c>
      <c r="D17" s="117"/>
      <c r="E17" s="117"/>
      <c r="F17" s="117"/>
      <c r="G17" s="117"/>
      <c r="H17" s="117"/>
      <c r="I17" s="118"/>
      <c r="M17" s="6">
        <f>SUM(M18)</f>
        <v>24326.95</v>
      </c>
      <c r="N17" s="6">
        <f>SUM(N18)</f>
        <v>26118.33</v>
      </c>
      <c r="O17" s="6">
        <f>SUM(O18)</f>
        <v>50445.279999999999</v>
      </c>
      <c r="S17" s="6">
        <f>SUM(S18)</f>
        <v>24326.95</v>
      </c>
      <c r="T17" s="6">
        <f>SUM(T18)</f>
        <v>26118.33</v>
      </c>
      <c r="U17" s="6">
        <f>SUM(U18)</f>
        <v>50445.279999999999</v>
      </c>
      <c r="Y17" s="9">
        <f>SUM(Y18)</f>
        <v>20272.46</v>
      </c>
      <c r="Z17" s="9">
        <f>SUM(Z18)</f>
        <v>21765.279999999999</v>
      </c>
      <c r="AA17" s="9">
        <f>SUM(AA18)</f>
        <v>42037.74</v>
      </c>
      <c r="AD17" s="4">
        <v>264030251</v>
      </c>
      <c r="AE17" s="4">
        <v>18539951</v>
      </c>
    </row>
    <row r="18" spans="1:35" ht="75" x14ac:dyDescent="0.25">
      <c r="A18" s="10" t="s">
        <v>72</v>
      </c>
      <c r="B18" s="10" t="s">
        <v>73</v>
      </c>
      <c r="C18" s="14" t="s">
        <v>74</v>
      </c>
      <c r="D18" s="15" t="s">
        <v>75</v>
      </c>
      <c r="E18" s="15" t="s">
        <v>76</v>
      </c>
      <c r="F18" s="15" t="s">
        <v>56</v>
      </c>
      <c r="G18" s="16">
        <v>1</v>
      </c>
      <c r="H18" s="16"/>
      <c r="I18" s="16">
        <v>13.47</v>
      </c>
      <c r="J18" s="17">
        <f>IFERROR(ROUND(SUM(M19,M20,M21,M22,M23)/I18, 2),0)</f>
        <v>1806.01</v>
      </c>
      <c r="K18" s="18">
        <v>1939</v>
      </c>
      <c r="L18" s="17">
        <f>J18+ROUND(K18, 2)</f>
        <v>3745.01</v>
      </c>
      <c r="M18" s="17">
        <f>ROUND(J18*I18, 2)</f>
        <v>24326.95</v>
      </c>
      <c r="N18" s="17">
        <f>ROUND(I18*ROUND(K18, 2), 2)</f>
        <v>26118.33</v>
      </c>
      <c r="O18" s="17">
        <f>M18+N18</f>
        <v>50445.279999999999</v>
      </c>
      <c r="P18" s="17">
        <f>IFERROR(ROUND(SUM(S19,S20,S21,S22,S23)/I18, 2),0)</f>
        <v>1806.01</v>
      </c>
      <c r="Q18" s="19">
        <v>1939</v>
      </c>
      <c r="R18" s="17">
        <f>P18+ROUND(Q18, 2)</f>
        <v>3745.01</v>
      </c>
      <c r="S18" s="17">
        <f>ROUND(P18*I18, 2)</f>
        <v>24326.95</v>
      </c>
      <c r="T18" s="17">
        <f>ROUND(I18*ROUND(Q18, 2), 2)</f>
        <v>26118.33</v>
      </c>
      <c r="U18" s="17">
        <f>S18+T18</f>
        <v>50445.279999999999</v>
      </c>
      <c r="V18" s="9">
        <f>ROUND(P18 / 1.2, 2)</f>
        <v>1505.01</v>
      </c>
      <c r="W18" s="9">
        <f>ROUND(Q18 / 1.2, 2)</f>
        <v>1615.83</v>
      </c>
      <c r="X18" s="9">
        <f>ROUND(R18 / 1.2, 2)</f>
        <v>3120.84</v>
      </c>
      <c r="Y18" s="9">
        <f>ROUND(S18 / 1.2, 2)</f>
        <v>20272.46</v>
      </c>
      <c r="Z18" s="9">
        <f>ROUND(T18 / 1.2, 2)</f>
        <v>21765.279999999999</v>
      </c>
      <c r="AA18" s="9">
        <f>Y18+Z18</f>
        <v>42037.74</v>
      </c>
      <c r="AD18" s="4">
        <v>264030253</v>
      </c>
      <c r="AE18" s="4">
        <v>18539953</v>
      </c>
      <c r="AG18" s="4" t="s">
        <v>77</v>
      </c>
      <c r="AH18" s="4" t="s">
        <v>78</v>
      </c>
      <c r="AI18" s="4" t="s">
        <v>59</v>
      </c>
    </row>
    <row r="19" spans="1:35" ht="18.75" x14ac:dyDescent="0.25">
      <c r="A19" s="10" t="s">
        <v>79</v>
      </c>
      <c r="B19" s="10"/>
      <c r="C19" s="24" t="s">
        <v>80</v>
      </c>
      <c r="D19" s="15"/>
      <c r="E19" s="15"/>
      <c r="F19" s="25" t="s">
        <v>81</v>
      </c>
      <c r="G19" s="26">
        <v>44.85</v>
      </c>
      <c r="H19" s="26"/>
      <c r="I19" s="26">
        <v>604.13</v>
      </c>
      <c r="J19" s="28">
        <v>6.27</v>
      </c>
      <c r="M19" s="29">
        <f>ROUND(ROUND(J19, 2)*I19, 2)</f>
        <v>3787.9</v>
      </c>
      <c r="P19" s="30">
        <v>6.27</v>
      </c>
      <c r="S19" s="29">
        <f>ROUND(ROUND(P19, 2)*I19, 2)</f>
        <v>3787.9</v>
      </c>
      <c r="V19" s="9">
        <f>ROUND(ROUND(P19, 2)/1.2, 2)</f>
        <v>5.23</v>
      </c>
      <c r="Y19" s="9">
        <f>ROUND(S19 / 1.2, 2)</f>
        <v>3156.58</v>
      </c>
      <c r="AD19" s="4" t="s">
        <v>82</v>
      </c>
      <c r="AE19" s="4" t="s">
        <v>83</v>
      </c>
      <c r="AF19" s="4" t="s">
        <v>84</v>
      </c>
    </row>
    <row r="20" spans="1:35" ht="37.5" x14ac:dyDescent="0.25">
      <c r="A20" s="10" t="s">
        <v>85</v>
      </c>
      <c r="B20" s="10"/>
      <c r="C20" s="24" t="s">
        <v>86</v>
      </c>
      <c r="D20" s="15"/>
      <c r="E20" s="15"/>
      <c r="F20" s="25" t="s">
        <v>87</v>
      </c>
      <c r="G20" s="26">
        <v>1</v>
      </c>
      <c r="H20" s="26"/>
      <c r="I20" s="26">
        <v>13.47</v>
      </c>
      <c r="J20" s="28">
        <v>64.599999999999994</v>
      </c>
      <c r="M20" s="29">
        <f>ROUND(ROUND(J20, 2)*I20, 2)</f>
        <v>870.16</v>
      </c>
      <c r="P20" s="30">
        <v>64.599999999999994</v>
      </c>
      <c r="S20" s="29">
        <f>ROUND(ROUND(P20, 2)*I20, 2)</f>
        <v>870.16</v>
      </c>
      <c r="V20" s="9">
        <f>ROUND(ROUND(P20, 2)/1.2, 2)</f>
        <v>53.83</v>
      </c>
      <c r="Y20" s="9">
        <f>ROUND(S20 / 1.2, 2)</f>
        <v>725.13</v>
      </c>
      <c r="AD20" s="4" t="s">
        <v>88</v>
      </c>
      <c r="AE20" s="4" t="s">
        <v>89</v>
      </c>
      <c r="AF20" s="4" t="s">
        <v>90</v>
      </c>
    </row>
    <row r="21" spans="1:35" ht="37.5" x14ac:dyDescent="0.25">
      <c r="A21" s="10" t="s">
        <v>91</v>
      </c>
      <c r="B21" s="10"/>
      <c r="C21" s="24" t="s">
        <v>92</v>
      </c>
      <c r="D21" s="15"/>
      <c r="E21" s="15"/>
      <c r="F21" s="25" t="s">
        <v>87</v>
      </c>
      <c r="G21" s="26">
        <v>1</v>
      </c>
      <c r="H21" s="26"/>
      <c r="I21" s="26">
        <v>13.47</v>
      </c>
      <c r="J21" s="28">
        <v>117.04</v>
      </c>
      <c r="M21" s="29">
        <f>ROUND(ROUND(J21, 2)*I21, 2)</f>
        <v>1576.53</v>
      </c>
      <c r="P21" s="30">
        <v>117.04</v>
      </c>
      <c r="S21" s="29">
        <f>ROUND(ROUND(P21, 2)*I21, 2)</f>
        <v>1576.53</v>
      </c>
      <c r="V21" s="9">
        <f>ROUND(ROUND(P21, 2)/1.2, 2)</f>
        <v>97.53</v>
      </c>
      <c r="Y21" s="9">
        <f>ROUND(S21 / 1.2, 2)</f>
        <v>1313.78</v>
      </c>
      <c r="AD21" s="4" t="s">
        <v>93</v>
      </c>
      <c r="AE21" s="4" t="s">
        <v>94</v>
      </c>
      <c r="AF21" s="4" t="s">
        <v>95</v>
      </c>
    </row>
    <row r="22" spans="1:35" ht="18.75" x14ac:dyDescent="0.25">
      <c r="A22" s="10" t="s">
        <v>96</v>
      </c>
      <c r="B22" s="10"/>
      <c r="C22" s="24" t="s">
        <v>97</v>
      </c>
      <c r="D22" s="15"/>
      <c r="E22" s="15"/>
      <c r="F22" s="25" t="s">
        <v>56</v>
      </c>
      <c r="G22" s="26">
        <v>0.504</v>
      </c>
      <c r="H22" s="26"/>
      <c r="I22" s="26">
        <v>6.7889999999999997</v>
      </c>
      <c r="J22" s="28">
        <v>265</v>
      </c>
      <c r="M22" s="29">
        <f>ROUND(ROUND(J22, 2)*I22, 2)</f>
        <v>1799.09</v>
      </c>
      <c r="P22" s="30">
        <v>265</v>
      </c>
      <c r="S22" s="29">
        <f>ROUND(ROUND(P22, 2)*I22, 2)</f>
        <v>1799.09</v>
      </c>
      <c r="V22" s="9">
        <f>ROUND(ROUND(P22, 2)/1.2, 2)</f>
        <v>220.83</v>
      </c>
      <c r="Y22" s="9">
        <f>ROUND(S22 / 1.2, 2)</f>
        <v>1499.24</v>
      </c>
      <c r="AD22" s="4" t="s">
        <v>98</v>
      </c>
      <c r="AE22" s="4" t="s">
        <v>99</v>
      </c>
      <c r="AF22" s="4" t="s">
        <v>100</v>
      </c>
    </row>
    <row r="23" spans="1:35" ht="18.75" x14ac:dyDescent="0.25">
      <c r="A23" s="10" t="s">
        <v>101</v>
      </c>
      <c r="B23" s="10"/>
      <c r="C23" s="24" t="s">
        <v>102</v>
      </c>
      <c r="D23" s="15"/>
      <c r="E23" s="15"/>
      <c r="F23" s="25" t="s">
        <v>103</v>
      </c>
      <c r="G23" s="26">
        <v>50.4</v>
      </c>
      <c r="H23" s="26"/>
      <c r="I23" s="26">
        <v>678.88800000000003</v>
      </c>
      <c r="J23" s="28">
        <v>24</v>
      </c>
      <c r="M23" s="29">
        <f>ROUND(ROUND(J23, 2)*I23, 2)</f>
        <v>16293.31</v>
      </c>
      <c r="P23" s="30">
        <v>24</v>
      </c>
      <c r="S23" s="29">
        <f>ROUND(ROUND(P23, 2)*I23, 2)</f>
        <v>16293.31</v>
      </c>
      <c r="V23" s="9">
        <f>ROUND(ROUND(P23, 2)/1.2, 2)</f>
        <v>20</v>
      </c>
      <c r="Y23" s="9">
        <f>ROUND(S23 / 1.2, 2)</f>
        <v>13577.76</v>
      </c>
      <c r="AD23" s="4" t="s">
        <v>104</v>
      </c>
      <c r="AE23" s="4" t="s">
        <v>105</v>
      </c>
      <c r="AF23" s="4" t="s">
        <v>106</v>
      </c>
    </row>
    <row r="24" spans="1:35" ht="17.100000000000001" customHeight="1" x14ac:dyDescent="0.25">
      <c r="A24" s="10" t="s">
        <v>107</v>
      </c>
      <c r="B24" s="10" t="s">
        <v>108</v>
      </c>
      <c r="C24" s="116" t="s">
        <v>109</v>
      </c>
      <c r="D24" s="117"/>
      <c r="E24" s="117"/>
      <c r="F24" s="117"/>
      <c r="G24" s="117"/>
      <c r="H24" s="117"/>
      <c r="I24" s="118"/>
      <c r="M24" s="6">
        <f>SUM(M25,M30,M35,M40)</f>
        <v>126194.38</v>
      </c>
      <c r="N24" s="6">
        <f>SUM(N25,N30,N35,N40)</f>
        <v>265873.34999999998</v>
      </c>
      <c r="O24" s="6">
        <f>SUM(O25,O30,O35,O40)</f>
        <v>392067.73</v>
      </c>
      <c r="S24" s="6">
        <f>SUM(S25,S30,S35,S40)</f>
        <v>126194.38</v>
      </c>
      <c r="T24" s="6">
        <f>SUM(T25,T30,T35,T40)</f>
        <v>265873.34999999998</v>
      </c>
      <c r="U24" s="6">
        <f>SUM(U25,U30,U35,U40)</f>
        <v>392067.73</v>
      </c>
      <c r="Y24" s="9">
        <f>SUM(Y25,Y30,Y35,Y40)</f>
        <v>105161.98</v>
      </c>
      <c r="Z24" s="9">
        <f>SUM(Z25,Z30,Z35,Z40)</f>
        <v>221561.13</v>
      </c>
      <c r="AA24" s="9">
        <f>SUM(AA25,AA30,AA35,AA40)</f>
        <v>326723.11</v>
      </c>
      <c r="AD24" s="4">
        <v>264030254</v>
      </c>
      <c r="AE24" s="4">
        <v>16084972</v>
      </c>
    </row>
    <row r="25" spans="1:35" ht="37.5" x14ac:dyDescent="0.25">
      <c r="A25" s="10" t="s">
        <v>110</v>
      </c>
      <c r="B25" s="10" t="s">
        <v>111</v>
      </c>
      <c r="C25" s="14" t="s">
        <v>112</v>
      </c>
      <c r="D25" s="15"/>
      <c r="E25" s="15" t="s">
        <v>113</v>
      </c>
      <c r="F25" s="15" t="s">
        <v>56</v>
      </c>
      <c r="G25" s="16">
        <v>1</v>
      </c>
      <c r="H25" s="16"/>
      <c r="I25" s="16">
        <v>76.67</v>
      </c>
      <c r="J25" s="17">
        <f>IFERROR(ROUND(SUM(M26,M27,M28,M29)/I25, 2),0)</f>
        <v>1018.25</v>
      </c>
      <c r="K25" s="18">
        <v>2293</v>
      </c>
      <c r="L25" s="17">
        <f>J25+ROUND(K25, 2)</f>
        <v>3311.25</v>
      </c>
      <c r="M25" s="17">
        <f>ROUND(J25*I25, 2)</f>
        <v>78069.23</v>
      </c>
      <c r="N25" s="17">
        <f>ROUND(I25*ROUND(K25, 2), 2)</f>
        <v>175804.31</v>
      </c>
      <c r="O25" s="17">
        <f>M25+N25</f>
        <v>253873.54</v>
      </c>
      <c r="P25" s="17">
        <f>IFERROR(ROUND(SUM(S26,S27,S28,S29)/I25, 2),0)</f>
        <v>1018.25</v>
      </c>
      <c r="Q25" s="19">
        <v>2293</v>
      </c>
      <c r="R25" s="17">
        <f>P25+ROUND(Q25, 2)</f>
        <v>3311.25</v>
      </c>
      <c r="S25" s="17">
        <f>ROUND(P25*I25, 2)</f>
        <v>78069.23</v>
      </c>
      <c r="T25" s="17">
        <f>ROUND(I25*ROUND(Q25, 2), 2)</f>
        <v>175804.31</v>
      </c>
      <c r="U25" s="17">
        <f>S25+T25</f>
        <v>253873.54</v>
      </c>
      <c r="V25" s="9">
        <f>ROUND(P25 / 1.2, 2)</f>
        <v>848.54</v>
      </c>
      <c r="W25" s="9">
        <f>ROUND(Q25 / 1.2, 2)</f>
        <v>1910.83</v>
      </c>
      <c r="X25" s="9">
        <f>ROUND(R25 / 1.2, 2)</f>
        <v>2759.38</v>
      </c>
      <c r="Y25" s="9">
        <f>ROUND(S25 / 1.2, 2)</f>
        <v>65057.69</v>
      </c>
      <c r="Z25" s="9">
        <f>ROUND(T25 / 1.2, 2)</f>
        <v>146503.59</v>
      </c>
      <c r="AA25" s="9">
        <f>Y25+Z25</f>
        <v>211561.28</v>
      </c>
      <c r="AD25" s="4">
        <v>264030256</v>
      </c>
      <c r="AE25" s="4">
        <v>18541173</v>
      </c>
      <c r="AG25" s="4" t="s">
        <v>114</v>
      </c>
      <c r="AH25" s="4" t="s">
        <v>115</v>
      </c>
      <c r="AI25" s="4" t="s">
        <v>59</v>
      </c>
    </row>
    <row r="26" spans="1:35" ht="75" x14ac:dyDescent="0.25">
      <c r="A26" s="10" t="s">
        <v>116</v>
      </c>
      <c r="B26" s="10"/>
      <c r="C26" s="24" t="s">
        <v>117</v>
      </c>
      <c r="D26" s="15"/>
      <c r="E26" s="15"/>
      <c r="F26" s="25" t="s">
        <v>87</v>
      </c>
      <c r="G26" s="26">
        <v>1</v>
      </c>
      <c r="H26" s="26"/>
      <c r="I26" s="26">
        <v>76.67</v>
      </c>
      <c r="J26" s="28">
        <v>102.33</v>
      </c>
      <c r="M26" s="29">
        <f>ROUND(ROUND(J26, 2)*I26, 2)</f>
        <v>7845.64</v>
      </c>
      <c r="P26" s="30">
        <v>102.33</v>
      </c>
      <c r="S26" s="29">
        <f>ROUND(ROUND(P26, 2)*I26, 2)</f>
        <v>7845.64</v>
      </c>
      <c r="V26" s="9">
        <f>ROUND(ROUND(P26, 2)/1.2, 2)</f>
        <v>85.28</v>
      </c>
      <c r="Y26" s="9">
        <f t="shared" ref="Y26:Y44" si="3">ROUND(S26 / 1.2, 2)</f>
        <v>6538.03</v>
      </c>
      <c r="AD26" s="4" t="s">
        <v>118</v>
      </c>
      <c r="AE26" s="4" t="s">
        <v>119</v>
      </c>
      <c r="AF26" s="4" t="s">
        <v>120</v>
      </c>
    </row>
    <row r="27" spans="1:35" ht="37.5" x14ac:dyDescent="0.25">
      <c r="A27" s="10" t="s">
        <v>121</v>
      </c>
      <c r="B27" s="10"/>
      <c r="C27" s="24" t="s">
        <v>122</v>
      </c>
      <c r="D27" s="15"/>
      <c r="E27" s="15"/>
      <c r="F27" s="25" t="s">
        <v>123</v>
      </c>
      <c r="G27" s="26">
        <v>1.42</v>
      </c>
      <c r="H27" s="27"/>
      <c r="I27" s="27">
        <v>357.13</v>
      </c>
      <c r="J27" s="28">
        <v>46.7</v>
      </c>
      <c r="M27" s="29">
        <f>ROUND(ROUND(J27, 2)*I27, 2)</f>
        <v>16677.97</v>
      </c>
      <c r="P27" s="30">
        <v>46.7</v>
      </c>
      <c r="S27" s="29">
        <f>ROUND(ROUND(P27, 2)*I27, 2)</f>
        <v>16677.97</v>
      </c>
      <c r="V27" s="9">
        <f>ROUND(ROUND(P27, 2)/1.2, 2)</f>
        <v>38.92</v>
      </c>
      <c r="Y27" s="9">
        <f t="shared" si="3"/>
        <v>13898.31</v>
      </c>
      <c r="AD27" s="4" t="s">
        <v>124</v>
      </c>
      <c r="AE27" s="4" t="s">
        <v>125</v>
      </c>
      <c r="AF27" s="4" t="s">
        <v>126</v>
      </c>
    </row>
    <row r="28" spans="1:35" ht="37.5" x14ac:dyDescent="0.25">
      <c r="A28" s="10" t="s">
        <v>127</v>
      </c>
      <c r="B28" s="10"/>
      <c r="C28" s="24" t="s">
        <v>128</v>
      </c>
      <c r="D28" s="15"/>
      <c r="E28" s="15" t="s">
        <v>129</v>
      </c>
      <c r="F28" s="25" t="s">
        <v>56</v>
      </c>
      <c r="G28" s="26">
        <v>2.1</v>
      </c>
      <c r="H28" s="26"/>
      <c r="I28" s="26">
        <v>161.00700000000001</v>
      </c>
      <c r="J28" s="28">
        <v>135.53</v>
      </c>
      <c r="M28" s="29">
        <f>ROUND(ROUND(J28, 2)*I28, 2)</f>
        <v>21821.279999999999</v>
      </c>
      <c r="P28" s="30">
        <v>135.53</v>
      </c>
      <c r="S28" s="29">
        <f>ROUND(ROUND(P28, 2)*I28, 2)</f>
        <v>21821.279999999999</v>
      </c>
      <c r="V28" s="9">
        <f>ROUND(ROUND(P28, 2)/1.2, 2)</f>
        <v>112.94</v>
      </c>
      <c r="Y28" s="9">
        <f t="shared" si="3"/>
        <v>18184.400000000001</v>
      </c>
      <c r="AD28" s="4" t="s">
        <v>130</v>
      </c>
      <c r="AE28" s="4" t="s">
        <v>131</v>
      </c>
      <c r="AF28" s="4" t="s">
        <v>132</v>
      </c>
    </row>
    <row r="29" spans="1:35" ht="18.75" x14ac:dyDescent="0.25">
      <c r="A29" s="10" t="s">
        <v>133</v>
      </c>
      <c r="B29" s="10"/>
      <c r="C29" s="37" t="s">
        <v>134</v>
      </c>
      <c r="D29" s="15"/>
      <c r="E29" s="15"/>
      <c r="F29" s="25" t="s">
        <v>123</v>
      </c>
      <c r="G29" s="26">
        <v>4.07</v>
      </c>
      <c r="H29" s="27"/>
      <c r="I29" s="27">
        <v>447.00799999999998</v>
      </c>
      <c r="J29" s="28">
        <v>70.97</v>
      </c>
      <c r="M29" s="29">
        <f>ROUND(ROUND(J29, 2)*I29, 2)</f>
        <v>31724.16</v>
      </c>
      <c r="P29" s="30">
        <v>70.97</v>
      </c>
      <c r="S29" s="29">
        <f>ROUND(ROUND(P29, 2)*I29, 2)</f>
        <v>31724.16</v>
      </c>
      <c r="V29" s="9">
        <f>ROUND(ROUND(P29, 2)/1.2, 2)</f>
        <v>59.14</v>
      </c>
      <c r="Y29" s="9">
        <f t="shared" si="3"/>
        <v>26436.799999999999</v>
      </c>
      <c r="AD29" s="4" t="s">
        <v>135</v>
      </c>
      <c r="AE29" s="4" t="s">
        <v>136</v>
      </c>
      <c r="AF29" s="4" t="s">
        <v>137</v>
      </c>
    </row>
    <row r="30" spans="1:35" ht="37.5" x14ac:dyDescent="0.25">
      <c r="A30" s="10" t="s">
        <v>138</v>
      </c>
      <c r="B30" s="10" t="s">
        <v>111</v>
      </c>
      <c r="C30" s="14" t="s">
        <v>112</v>
      </c>
      <c r="D30" s="15"/>
      <c r="E30" s="15" t="s">
        <v>139</v>
      </c>
      <c r="F30" s="15" t="s">
        <v>56</v>
      </c>
      <c r="G30" s="16">
        <v>1</v>
      </c>
      <c r="H30" s="16"/>
      <c r="I30" s="16">
        <v>4.1500000000000004</v>
      </c>
      <c r="J30" s="17">
        <f>IFERROR(ROUND(SUM(M31,M32,M33,M34)/I30, 2),0)</f>
        <v>2931.5</v>
      </c>
      <c r="K30" s="18">
        <v>2293</v>
      </c>
      <c r="L30" s="17">
        <f>J30+ROUND(K30, 2)</f>
        <v>5224.5</v>
      </c>
      <c r="M30" s="17">
        <f>ROUND(J30*I30, 2)</f>
        <v>12165.73</v>
      </c>
      <c r="N30" s="17">
        <f>ROUND(I30*ROUND(K30, 2), 2)</f>
        <v>9515.9500000000007</v>
      </c>
      <c r="O30" s="17">
        <f>M30+N30</f>
        <v>21681.68</v>
      </c>
      <c r="P30" s="17">
        <f>IFERROR(ROUND(SUM(S31,S32,S33,S34)/I30, 2),0)</f>
        <v>2931.5</v>
      </c>
      <c r="Q30" s="19">
        <v>2293</v>
      </c>
      <c r="R30" s="17">
        <f>P30+ROUND(Q30, 2)</f>
        <v>5224.5</v>
      </c>
      <c r="S30" s="17">
        <f>ROUND(P30*I30, 2)</f>
        <v>12165.73</v>
      </c>
      <c r="T30" s="17">
        <f>ROUND(I30*ROUND(Q30, 2), 2)</f>
        <v>9515.9500000000007</v>
      </c>
      <c r="U30" s="17">
        <f>S30+T30</f>
        <v>21681.68</v>
      </c>
      <c r="V30" s="9">
        <f>ROUND(P30 / 1.2, 2)</f>
        <v>2442.92</v>
      </c>
      <c r="W30" s="9">
        <f>ROUND(Q30 / 1.2, 2)</f>
        <v>1910.83</v>
      </c>
      <c r="X30" s="9">
        <f>ROUND(R30 / 1.2, 2)</f>
        <v>4353.75</v>
      </c>
      <c r="Y30" s="9">
        <f t="shared" si="3"/>
        <v>10138.11</v>
      </c>
      <c r="Z30" s="9">
        <f>ROUND(T30 / 1.2, 2)</f>
        <v>7929.96</v>
      </c>
      <c r="AA30" s="9">
        <f>Y30+Z30</f>
        <v>18068.07</v>
      </c>
      <c r="AD30" s="4">
        <v>264030362</v>
      </c>
      <c r="AE30" s="4">
        <v>19932232</v>
      </c>
      <c r="AG30" s="4" t="s">
        <v>114</v>
      </c>
      <c r="AH30" s="4" t="s">
        <v>115</v>
      </c>
      <c r="AI30" s="4" t="s">
        <v>59</v>
      </c>
    </row>
    <row r="31" spans="1:35" ht="18.75" x14ac:dyDescent="0.25">
      <c r="A31" s="10" t="s">
        <v>140</v>
      </c>
      <c r="B31" s="10"/>
      <c r="C31" s="37" t="s">
        <v>134</v>
      </c>
      <c r="D31" s="15"/>
      <c r="E31" s="15"/>
      <c r="F31" s="25" t="s">
        <v>123</v>
      </c>
      <c r="G31" s="26">
        <v>4.07</v>
      </c>
      <c r="H31" s="27"/>
      <c r="I31" s="27">
        <v>138.78700000000001</v>
      </c>
      <c r="J31" s="28">
        <v>70.97</v>
      </c>
      <c r="M31" s="29">
        <f>ROUND(ROUND(J31, 2)*I31, 2)</f>
        <v>9849.7099999999991</v>
      </c>
      <c r="P31" s="30">
        <v>70.97</v>
      </c>
      <c r="S31" s="29">
        <f>ROUND(ROUND(P31, 2)*I31, 2)</f>
        <v>9849.7099999999991</v>
      </c>
      <c r="V31" s="9">
        <f>ROUND(ROUND(P31, 2)/1.2, 2)</f>
        <v>59.14</v>
      </c>
      <c r="Y31" s="9">
        <f t="shared" si="3"/>
        <v>8208.09</v>
      </c>
      <c r="AD31" s="4" t="s">
        <v>141</v>
      </c>
      <c r="AE31" s="4" t="s">
        <v>142</v>
      </c>
      <c r="AF31" s="4" t="s">
        <v>137</v>
      </c>
    </row>
    <row r="32" spans="1:35" ht="37.5" x14ac:dyDescent="0.25">
      <c r="A32" s="10" t="s">
        <v>143</v>
      </c>
      <c r="B32" s="10"/>
      <c r="C32" s="24" t="s">
        <v>128</v>
      </c>
      <c r="D32" s="15"/>
      <c r="E32" s="15"/>
      <c r="F32" s="25" t="s">
        <v>56</v>
      </c>
      <c r="G32" s="26">
        <v>2.1</v>
      </c>
      <c r="H32" s="26"/>
      <c r="I32" s="26">
        <v>8.7149999999999999</v>
      </c>
      <c r="J32" s="28">
        <v>135.53</v>
      </c>
      <c r="M32" s="29">
        <f>ROUND(ROUND(J32, 2)*I32, 2)</f>
        <v>1181.1400000000001</v>
      </c>
      <c r="P32" s="30">
        <v>135.53</v>
      </c>
      <c r="S32" s="29">
        <f>ROUND(ROUND(P32, 2)*I32, 2)</f>
        <v>1181.1400000000001</v>
      </c>
      <c r="V32" s="9">
        <f>ROUND(ROUND(P32, 2)/1.2, 2)</f>
        <v>112.94</v>
      </c>
      <c r="Y32" s="9">
        <f t="shared" si="3"/>
        <v>984.28</v>
      </c>
      <c r="AD32" s="4" t="s">
        <v>144</v>
      </c>
      <c r="AE32" s="4" t="s">
        <v>145</v>
      </c>
      <c r="AF32" s="4" t="s">
        <v>132</v>
      </c>
    </row>
    <row r="33" spans="1:35" ht="37.5" x14ac:dyDescent="0.25">
      <c r="A33" s="10" t="s">
        <v>146</v>
      </c>
      <c r="B33" s="10"/>
      <c r="C33" s="24" t="s">
        <v>122</v>
      </c>
      <c r="D33" s="15"/>
      <c r="E33" s="15"/>
      <c r="F33" s="25" t="s">
        <v>123</v>
      </c>
      <c r="G33" s="26">
        <v>1.42</v>
      </c>
      <c r="H33" s="27"/>
      <c r="I33" s="27">
        <v>15.208</v>
      </c>
      <c r="J33" s="28">
        <v>46.7</v>
      </c>
      <c r="M33" s="29">
        <f>ROUND(ROUND(J33, 2)*I33, 2)</f>
        <v>710.21</v>
      </c>
      <c r="P33" s="30">
        <v>46.7</v>
      </c>
      <c r="S33" s="29">
        <f>ROUND(ROUND(P33, 2)*I33, 2)</f>
        <v>710.21</v>
      </c>
      <c r="V33" s="9">
        <f>ROUND(ROUND(P33, 2)/1.2, 2)</f>
        <v>38.92</v>
      </c>
      <c r="Y33" s="9">
        <f t="shared" si="3"/>
        <v>591.84</v>
      </c>
      <c r="AD33" s="4" t="s">
        <v>147</v>
      </c>
      <c r="AE33" s="4" t="s">
        <v>148</v>
      </c>
      <c r="AF33" s="4" t="s">
        <v>126</v>
      </c>
    </row>
    <row r="34" spans="1:35" ht="75" x14ac:dyDescent="0.25">
      <c r="A34" s="10" t="s">
        <v>149</v>
      </c>
      <c r="B34" s="10"/>
      <c r="C34" s="24" t="s">
        <v>117</v>
      </c>
      <c r="D34" s="15"/>
      <c r="E34" s="15"/>
      <c r="F34" s="25" t="s">
        <v>87</v>
      </c>
      <c r="G34" s="26">
        <v>1</v>
      </c>
      <c r="H34" s="26"/>
      <c r="I34" s="26">
        <v>4.1500000000000004</v>
      </c>
      <c r="J34" s="28">
        <v>102.33</v>
      </c>
      <c r="M34" s="29">
        <f>ROUND(ROUND(J34, 2)*I34, 2)</f>
        <v>424.67</v>
      </c>
      <c r="P34" s="30">
        <v>102.33</v>
      </c>
      <c r="S34" s="29">
        <f>ROUND(ROUND(P34, 2)*I34, 2)</f>
        <v>424.67</v>
      </c>
      <c r="V34" s="9">
        <f>ROUND(ROUND(P34, 2)/1.2, 2)</f>
        <v>85.28</v>
      </c>
      <c r="Y34" s="9">
        <f t="shared" si="3"/>
        <v>353.89</v>
      </c>
      <c r="AD34" s="4" t="s">
        <v>150</v>
      </c>
      <c r="AE34" s="4" t="s">
        <v>151</v>
      </c>
      <c r="AF34" s="4" t="s">
        <v>120</v>
      </c>
    </row>
    <row r="35" spans="1:35" ht="37.5" x14ac:dyDescent="0.25">
      <c r="A35" s="10" t="s">
        <v>152</v>
      </c>
      <c r="B35" s="10" t="s">
        <v>111</v>
      </c>
      <c r="C35" s="14" t="s">
        <v>112</v>
      </c>
      <c r="D35" s="15"/>
      <c r="E35" s="15" t="s">
        <v>153</v>
      </c>
      <c r="F35" s="15" t="s">
        <v>56</v>
      </c>
      <c r="G35" s="16">
        <v>1</v>
      </c>
      <c r="H35" s="16"/>
      <c r="I35" s="16">
        <v>35.130000000000003</v>
      </c>
      <c r="J35" s="17">
        <f>IFERROR(ROUND(SUM(M36,M37,M38,M39)/I35, 2),0)</f>
        <v>1023.61</v>
      </c>
      <c r="K35" s="18">
        <v>2293</v>
      </c>
      <c r="L35" s="17">
        <f>J35+ROUND(K35, 2)</f>
        <v>3316.61</v>
      </c>
      <c r="M35" s="17">
        <f>ROUND(J35*I35, 2)</f>
        <v>35959.42</v>
      </c>
      <c r="N35" s="17">
        <f>ROUND(I35*ROUND(K35, 2), 2)</f>
        <v>80553.09</v>
      </c>
      <c r="O35" s="17">
        <f>M35+N35</f>
        <v>116512.51</v>
      </c>
      <c r="P35" s="17">
        <f>IFERROR(ROUND(SUM(S36,S37,S38,S39)/I35, 2),0)</f>
        <v>1023.61</v>
      </c>
      <c r="Q35" s="19">
        <v>2293</v>
      </c>
      <c r="R35" s="17">
        <f>P35+ROUND(Q35, 2)</f>
        <v>3316.61</v>
      </c>
      <c r="S35" s="17">
        <f>ROUND(P35*I35, 2)</f>
        <v>35959.42</v>
      </c>
      <c r="T35" s="17">
        <f>ROUND(I35*ROUND(Q35, 2), 2)</f>
        <v>80553.09</v>
      </c>
      <c r="U35" s="17">
        <f>S35+T35</f>
        <v>116512.51</v>
      </c>
      <c r="V35" s="9">
        <f>ROUND(P35 / 1.2, 2)</f>
        <v>853.01</v>
      </c>
      <c r="W35" s="9">
        <f>ROUND(Q35 / 1.2, 2)</f>
        <v>1910.83</v>
      </c>
      <c r="X35" s="9">
        <f>ROUND(R35 / 1.2, 2)</f>
        <v>2763.84</v>
      </c>
      <c r="Y35" s="9">
        <f t="shared" si="3"/>
        <v>29966.18</v>
      </c>
      <c r="Z35" s="9">
        <f>ROUND(T35 / 1.2, 2)</f>
        <v>67127.58</v>
      </c>
      <c r="AA35" s="9">
        <f>Y35+Z35</f>
        <v>97093.759999999995</v>
      </c>
      <c r="AD35" s="4">
        <v>264030363</v>
      </c>
      <c r="AE35" s="4">
        <v>19932231</v>
      </c>
      <c r="AG35" s="4" t="s">
        <v>114</v>
      </c>
      <c r="AH35" s="4" t="s">
        <v>115</v>
      </c>
      <c r="AI35" s="4" t="s">
        <v>59</v>
      </c>
    </row>
    <row r="36" spans="1:35" ht="75" x14ac:dyDescent="0.25">
      <c r="A36" s="10" t="s">
        <v>154</v>
      </c>
      <c r="B36" s="10"/>
      <c r="C36" s="24" t="s">
        <v>117</v>
      </c>
      <c r="D36" s="15"/>
      <c r="E36" s="15"/>
      <c r="F36" s="25" t="s">
        <v>87</v>
      </c>
      <c r="G36" s="26">
        <v>1</v>
      </c>
      <c r="H36" s="26"/>
      <c r="I36" s="26">
        <v>35.130000000000003</v>
      </c>
      <c r="J36" s="28">
        <v>102.33</v>
      </c>
      <c r="M36" s="29">
        <f>ROUND(ROUND(J36, 2)*I36, 2)</f>
        <v>3594.85</v>
      </c>
      <c r="P36" s="30">
        <v>102.33</v>
      </c>
      <c r="S36" s="29">
        <f>ROUND(ROUND(P36, 2)*I36, 2)</f>
        <v>3594.85</v>
      </c>
      <c r="V36" s="9">
        <f>ROUND(ROUND(P36, 2)/1.2, 2)</f>
        <v>85.28</v>
      </c>
      <c r="Y36" s="9">
        <f t="shared" si="3"/>
        <v>2995.71</v>
      </c>
      <c r="AD36" s="4" t="s">
        <v>155</v>
      </c>
      <c r="AE36" s="4" t="s">
        <v>156</v>
      </c>
      <c r="AF36" s="4" t="s">
        <v>120</v>
      </c>
    </row>
    <row r="37" spans="1:35" ht="37.5" x14ac:dyDescent="0.25">
      <c r="A37" s="10" t="s">
        <v>157</v>
      </c>
      <c r="B37" s="10"/>
      <c r="C37" s="24" t="s">
        <v>128</v>
      </c>
      <c r="D37" s="15"/>
      <c r="E37" s="15"/>
      <c r="F37" s="25" t="s">
        <v>56</v>
      </c>
      <c r="G37" s="26">
        <v>2.1</v>
      </c>
      <c r="H37" s="26"/>
      <c r="I37" s="26">
        <v>73.772999999999996</v>
      </c>
      <c r="J37" s="28">
        <v>135.53</v>
      </c>
      <c r="M37" s="29">
        <f>ROUND(ROUND(J37, 2)*I37, 2)</f>
        <v>9998.4500000000007</v>
      </c>
      <c r="P37" s="30">
        <v>135.53</v>
      </c>
      <c r="S37" s="29">
        <f>ROUND(ROUND(P37, 2)*I37, 2)</f>
        <v>9998.4500000000007</v>
      </c>
      <c r="V37" s="9">
        <f>ROUND(ROUND(P37, 2)/1.2, 2)</f>
        <v>112.94</v>
      </c>
      <c r="Y37" s="9">
        <f t="shared" si="3"/>
        <v>8332.0400000000009</v>
      </c>
      <c r="AD37" s="4" t="s">
        <v>158</v>
      </c>
      <c r="AE37" s="4" t="s">
        <v>159</v>
      </c>
      <c r="AF37" s="4" t="s">
        <v>132</v>
      </c>
    </row>
    <row r="38" spans="1:35" ht="18.75" x14ac:dyDescent="0.25">
      <c r="A38" s="10" t="s">
        <v>160</v>
      </c>
      <c r="B38" s="10"/>
      <c r="C38" s="37" t="s">
        <v>134</v>
      </c>
      <c r="D38" s="15"/>
      <c r="E38" s="15"/>
      <c r="F38" s="25" t="s">
        <v>123</v>
      </c>
      <c r="G38" s="26">
        <v>4.07</v>
      </c>
      <c r="H38" s="27"/>
      <c r="I38" s="27">
        <v>190.476</v>
      </c>
      <c r="J38" s="28">
        <v>70.97</v>
      </c>
      <c r="M38" s="29">
        <f>ROUND(ROUND(J38, 2)*I38, 2)</f>
        <v>13518.08</v>
      </c>
      <c r="P38" s="30">
        <v>70.97</v>
      </c>
      <c r="S38" s="29">
        <f>ROUND(ROUND(P38, 2)*I38, 2)</f>
        <v>13518.08</v>
      </c>
      <c r="V38" s="9">
        <f>ROUND(ROUND(P38, 2)/1.2, 2)</f>
        <v>59.14</v>
      </c>
      <c r="Y38" s="9">
        <f t="shared" si="3"/>
        <v>11265.07</v>
      </c>
      <c r="AD38" s="4" t="s">
        <v>161</v>
      </c>
      <c r="AE38" s="4" t="s">
        <v>162</v>
      </c>
      <c r="AF38" s="4" t="s">
        <v>137</v>
      </c>
    </row>
    <row r="39" spans="1:35" ht="18.75" x14ac:dyDescent="0.25">
      <c r="A39" s="10" t="s">
        <v>163</v>
      </c>
      <c r="B39" s="10"/>
      <c r="C39" s="37" t="s">
        <v>164</v>
      </c>
      <c r="D39" s="15"/>
      <c r="E39" s="15"/>
      <c r="F39" s="25" t="s">
        <v>123</v>
      </c>
      <c r="G39" s="26">
        <v>1.42</v>
      </c>
      <c r="H39" s="27"/>
      <c r="I39" s="27">
        <v>155.88800000000001</v>
      </c>
      <c r="J39" s="28">
        <v>56.76</v>
      </c>
      <c r="M39" s="29">
        <f>ROUND(ROUND(J39, 2)*I39, 2)</f>
        <v>8848.2000000000007</v>
      </c>
      <c r="P39" s="30">
        <v>56.76</v>
      </c>
      <c r="S39" s="29">
        <f>ROUND(ROUND(P39, 2)*I39, 2)</f>
        <v>8848.2000000000007</v>
      </c>
      <c r="V39" s="9">
        <f>ROUND(ROUND(P39, 2)/1.2, 2)</f>
        <v>47.3</v>
      </c>
      <c r="Y39" s="9">
        <f t="shared" si="3"/>
        <v>7373.5</v>
      </c>
      <c r="AD39" s="4" t="s">
        <v>165</v>
      </c>
      <c r="AE39" s="4" t="s">
        <v>166</v>
      </c>
      <c r="AF39" s="4" t="s">
        <v>167</v>
      </c>
    </row>
    <row r="40" spans="1:35" ht="131.25" x14ac:dyDescent="0.25">
      <c r="A40" s="10" t="s">
        <v>168</v>
      </c>
      <c r="B40" s="10" t="s">
        <v>169</v>
      </c>
      <c r="C40" s="14" t="s">
        <v>170</v>
      </c>
      <c r="D40" s="15" t="s">
        <v>75</v>
      </c>
      <c r="E40" s="15" t="s">
        <v>171</v>
      </c>
      <c r="F40" s="15" t="s">
        <v>56</v>
      </c>
      <c r="G40" s="16">
        <v>1</v>
      </c>
      <c r="H40" s="16"/>
      <c r="I40" s="16">
        <v>0</v>
      </c>
      <c r="J40" s="17">
        <f>IFERROR(ROUND(SUM(M41,M42,M43,M44)/I40, 2),0)</f>
        <v>0</v>
      </c>
      <c r="K40" s="18">
        <v>1064</v>
      </c>
      <c r="L40" s="17">
        <f>J40+ROUND(K40, 2)</f>
        <v>1064</v>
      </c>
      <c r="M40" s="17">
        <f>ROUND(J40*I40, 2)</f>
        <v>0</v>
      </c>
      <c r="N40" s="17">
        <f>ROUND(I40*ROUND(K40, 2), 2)</f>
        <v>0</v>
      </c>
      <c r="O40" s="17">
        <f>M40+N40</f>
        <v>0</v>
      </c>
      <c r="P40" s="17">
        <f>IFERROR(ROUND(SUM(S41,S42,S43,S44)/I40, 2),0)</f>
        <v>0</v>
      </c>
      <c r="Q40" s="18">
        <v>1064</v>
      </c>
      <c r="R40" s="17">
        <f>P40+ROUND(Q40, 2)</f>
        <v>1064</v>
      </c>
      <c r="S40" s="17">
        <f>ROUND(P40*I40, 2)</f>
        <v>0</v>
      </c>
      <c r="T40" s="17">
        <f>ROUND(I40*ROUND(Q40, 2), 2)</f>
        <v>0</v>
      </c>
      <c r="U40" s="17">
        <f>S40+T40</f>
        <v>0</v>
      </c>
      <c r="V40" s="9">
        <f>ROUND(P40 / 1.2, 2)</f>
        <v>0</v>
      </c>
      <c r="W40" s="9">
        <f>ROUND(Q40 / 1.2, 2)</f>
        <v>886.67</v>
      </c>
      <c r="X40" s="9">
        <f>ROUND(R40 / 1.2, 2)</f>
        <v>886.67</v>
      </c>
      <c r="Y40" s="9">
        <f t="shared" si="3"/>
        <v>0</v>
      </c>
      <c r="Z40" s="9">
        <f>ROUND(T40 / 1.2, 2)</f>
        <v>0</v>
      </c>
      <c r="AA40" s="9">
        <f>Y40+Z40</f>
        <v>0</v>
      </c>
      <c r="AD40" s="4">
        <v>264030258</v>
      </c>
      <c r="AE40" s="4">
        <v>16084977</v>
      </c>
      <c r="AG40" s="4" t="s">
        <v>172</v>
      </c>
      <c r="AH40" s="4" t="s">
        <v>173</v>
      </c>
      <c r="AI40" s="4" t="s">
        <v>59</v>
      </c>
    </row>
    <row r="41" spans="1:35" ht="75" x14ac:dyDescent="0.25">
      <c r="A41" s="10" t="s">
        <v>175</v>
      </c>
      <c r="B41" s="10"/>
      <c r="C41" s="24" t="s">
        <v>176</v>
      </c>
      <c r="D41" s="15"/>
      <c r="E41" s="15"/>
      <c r="F41" s="25" t="s">
        <v>87</v>
      </c>
      <c r="G41" s="26">
        <v>1</v>
      </c>
      <c r="H41" s="26"/>
      <c r="I41" s="26">
        <v>0</v>
      </c>
      <c r="J41" s="28">
        <v>43.7</v>
      </c>
      <c r="M41" s="29">
        <f>ROUND(ROUND(J41, 2)*I41, 2)</f>
        <v>0</v>
      </c>
      <c r="P41" s="28">
        <v>43.7</v>
      </c>
      <c r="S41" s="29">
        <f>ROUND(ROUND(P41, 2)*I41, 2)</f>
        <v>0</v>
      </c>
      <c r="V41" s="9">
        <f>ROUND(ROUND(P41, 2)/1.2, 2)</f>
        <v>36.42</v>
      </c>
      <c r="Y41" s="9">
        <f t="shared" si="3"/>
        <v>0</v>
      </c>
      <c r="AD41" s="4" t="s">
        <v>177</v>
      </c>
      <c r="AE41" s="4" t="s">
        <v>178</v>
      </c>
      <c r="AF41" s="4" t="s">
        <v>179</v>
      </c>
    </row>
    <row r="42" spans="1:35" ht="18.75" x14ac:dyDescent="0.25">
      <c r="A42" s="10" t="s">
        <v>182</v>
      </c>
      <c r="B42" s="10"/>
      <c r="C42" s="24" t="s">
        <v>183</v>
      </c>
      <c r="D42" s="15"/>
      <c r="E42" s="15"/>
      <c r="F42" s="25" t="s">
        <v>123</v>
      </c>
      <c r="G42" s="26">
        <v>2.1</v>
      </c>
      <c r="H42" s="26"/>
      <c r="I42" s="26">
        <v>0</v>
      </c>
      <c r="J42" s="28">
        <v>95.07</v>
      </c>
      <c r="M42" s="29">
        <f>ROUND(ROUND(J42, 2)*I42, 2)</f>
        <v>0</v>
      </c>
      <c r="P42" s="28">
        <v>95.07</v>
      </c>
      <c r="S42" s="29">
        <f>ROUND(ROUND(P42, 2)*I42, 2)</f>
        <v>0</v>
      </c>
      <c r="V42" s="9">
        <f>ROUND(ROUND(P42, 2)/1.2, 2)</f>
        <v>79.23</v>
      </c>
      <c r="Y42" s="9">
        <f t="shared" si="3"/>
        <v>0</v>
      </c>
      <c r="AD42" s="4" t="s">
        <v>184</v>
      </c>
      <c r="AE42" s="4" t="s">
        <v>185</v>
      </c>
      <c r="AF42" s="4" t="s">
        <v>186</v>
      </c>
    </row>
    <row r="43" spans="1:35" ht="18.75" x14ac:dyDescent="0.25">
      <c r="A43" s="10" t="s">
        <v>189</v>
      </c>
      <c r="B43" s="10"/>
      <c r="C43" s="24" t="s">
        <v>190</v>
      </c>
      <c r="D43" s="15"/>
      <c r="E43" s="15"/>
      <c r="F43" s="25" t="s">
        <v>123</v>
      </c>
      <c r="G43" s="26">
        <v>0.8</v>
      </c>
      <c r="H43" s="26"/>
      <c r="I43" s="26">
        <v>0</v>
      </c>
      <c r="J43" s="28">
        <v>69.39</v>
      </c>
      <c r="M43" s="29">
        <f>ROUND(ROUND(J43, 2)*I43, 2)</f>
        <v>0</v>
      </c>
      <c r="P43" s="28">
        <v>69.39</v>
      </c>
      <c r="S43" s="29">
        <f>ROUND(ROUND(P43, 2)*I43, 2)</f>
        <v>0</v>
      </c>
      <c r="V43" s="9">
        <f>ROUND(ROUND(P43, 2)/1.2, 2)</f>
        <v>57.83</v>
      </c>
      <c r="Y43" s="9">
        <f t="shared" si="3"/>
        <v>0</v>
      </c>
      <c r="AD43" s="4" t="s">
        <v>191</v>
      </c>
      <c r="AE43" s="4" t="s">
        <v>192</v>
      </c>
      <c r="AF43" s="4" t="s">
        <v>193</v>
      </c>
    </row>
    <row r="44" spans="1:35" ht="18.75" x14ac:dyDescent="0.25">
      <c r="A44" s="10" t="s">
        <v>196</v>
      </c>
      <c r="B44" s="10"/>
      <c r="C44" s="37" t="s">
        <v>197</v>
      </c>
      <c r="D44" s="15"/>
      <c r="E44" s="15"/>
      <c r="F44" s="25" t="s">
        <v>56</v>
      </c>
      <c r="G44" s="26">
        <v>1.1000000000000001</v>
      </c>
      <c r="H44" s="26"/>
      <c r="I44" s="26">
        <v>0</v>
      </c>
      <c r="J44" s="28">
        <v>207.33</v>
      </c>
      <c r="M44" s="29">
        <f>ROUND(ROUND(J44, 2)*I44, 2)</f>
        <v>0</v>
      </c>
      <c r="P44" s="28">
        <v>207.33</v>
      </c>
      <c r="S44" s="29">
        <f>ROUND(ROUND(P44, 2)*I44, 2)</f>
        <v>0</v>
      </c>
      <c r="V44" s="9">
        <f>ROUND(ROUND(P44, 2)/1.2, 2)</f>
        <v>172.78</v>
      </c>
      <c r="Y44" s="9">
        <f t="shared" si="3"/>
        <v>0</v>
      </c>
      <c r="AD44" s="4" t="s">
        <v>198</v>
      </c>
      <c r="AE44" s="4" t="s">
        <v>199</v>
      </c>
      <c r="AF44" s="4" t="s">
        <v>200</v>
      </c>
    </row>
    <row r="45" spans="1:35" ht="17.100000000000001" customHeight="1" x14ac:dyDescent="0.25">
      <c r="A45" s="10" t="s">
        <v>203</v>
      </c>
      <c r="B45" s="10" t="s">
        <v>204</v>
      </c>
      <c r="C45" s="116" t="s">
        <v>205</v>
      </c>
      <c r="D45" s="117"/>
      <c r="E45" s="117"/>
      <c r="F45" s="117"/>
      <c r="G45" s="117"/>
      <c r="H45" s="117"/>
      <c r="I45" s="118"/>
      <c r="M45" s="6">
        <f>SUM(M46)</f>
        <v>403639.46</v>
      </c>
      <c r="N45" s="6">
        <f>SUM(N46)</f>
        <v>287855.40000000002</v>
      </c>
      <c r="O45" s="6">
        <f>SUM(O46)</f>
        <v>691494.86</v>
      </c>
      <c r="S45" s="6">
        <f>SUM(S46)</f>
        <v>403639.46</v>
      </c>
      <c r="T45" s="6">
        <f>SUM(T46)</f>
        <v>287855.40000000002</v>
      </c>
      <c r="U45" s="6">
        <f>SUM(U46)</f>
        <v>691494.86</v>
      </c>
      <c r="Y45" s="9">
        <f>SUM(Y46)</f>
        <v>336366.22</v>
      </c>
      <c r="Z45" s="9">
        <f>SUM(Z46)</f>
        <v>239879.5</v>
      </c>
      <c r="AA45" s="9">
        <f>SUM(AA46)</f>
        <v>576245.72</v>
      </c>
      <c r="AD45" s="4">
        <v>264030259</v>
      </c>
      <c r="AE45" s="4">
        <v>19930591</v>
      </c>
    </row>
    <row r="46" spans="1:35" ht="37.5" x14ac:dyDescent="0.25">
      <c r="A46" s="10" t="s">
        <v>206</v>
      </c>
      <c r="B46" s="10" t="s">
        <v>207</v>
      </c>
      <c r="C46" s="14" t="s">
        <v>208</v>
      </c>
      <c r="D46" s="15" t="s">
        <v>75</v>
      </c>
      <c r="E46" s="15" t="s">
        <v>76</v>
      </c>
      <c r="F46" s="15" t="s">
        <v>209</v>
      </c>
      <c r="G46" s="16">
        <v>1</v>
      </c>
      <c r="H46" s="16"/>
      <c r="I46" s="16">
        <v>4.9000000000000004</v>
      </c>
      <c r="J46" s="17">
        <f>IFERROR(ROUND(SUM(M47,M48,M49)/I46, 2),0)</f>
        <v>82375.399999999994</v>
      </c>
      <c r="K46" s="18">
        <v>58746</v>
      </c>
      <c r="L46" s="17">
        <f>J46+ROUND(K46, 2)</f>
        <v>141121.4</v>
      </c>
      <c r="M46" s="17">
        <f>ROUND(J46*I46, 2)</f>
        <v>403639.46</v>
      </c>
      <c r="N46" s="17">
        <f>ROUND(I46*ROUND(K46, 2), 2)</f>
        <v>287855.40000000002</v>
      </c>
      <c r="O46" s="17">
        <f>M46+N46</f>
        <v>691494.86</v>
      </c>
      <c r="P46" s="17">
        <f>IFERROR(ROUND(SUM(S47,S48,S49)/I46, 2),0)</f>
        <v>82375.399999999994</v>
      </c>
      <c r="Q46" s="19">
        <v>58746</v>
      </c>
      <c r="R46" s="17">
        <f>P46+ROUND(Q46, 2)</f>
        <v>141121.4</v>
      </c>
      <c r="S46" s="17">
        <f>ROUND(P46*I46, 2)</f>
        <v>403639.46</v>
      </c>
      <c r="T46" s="17">
        <f>ROUND(I46*ROUND(Q46, 2), 2)</f>
        <v>287855.40000000002</v>
      </c>
      <c r="U46" s="17">
        <f>S46+T46</f>
        <v>691494.86</v>
      </c>
      <c r="V46" s="9">
        <f>ROUND(P46 / 1.2, 2)</f>
        <v>68646.17</v>
      </c>
      <c r="W46" s="9">
        <f>ROUND(Q46 / 1.2, 2)</f>
        <v>48955</v>
      </c>
      <c r="X46" s="9">
        <f>ROUND(R46 / 1.2, 2)</f>
        <v>117601.17</v>
      </c>
      <c r="Y46" s="9">
        <f>ROUND(S46 / 1.2, 2)</f>
        <v>336366.22</v>
      </c>
      <c r="Z46" s="9">
        <f>ROUND(T46 / 1.2, 2)</f>
        <v>239879.5</v>
      </c>
      <c r="AA46" s="9">
        <f>Y46+Z46</f>
        <v>576245.72</v>
      </c>
      <c r="AD46" s="4">
        <v>264030261</v>
      </c>
      <c r="AE46" s="4">
        <v>19930594</v>
      </c>
      <c r="AG46" s="4" t="s">
        <v>210</v>
      </c>
      <c r="AH46" s="4" t="s">
        <v>211</v>
      </c>
      <c r="AI46" s="4" t="s">
        <v>59</v>
      </c>
    </row>
    <row r="47" spans="1:35" ht="18.75" x14ac:dyDescent="0.25">
      <c r="A47" s="10" t="s">
        <v>212</v>
      </c>
      <c r="B47" s="10"/>
      <c r="C47" s="24" t="s">
        <v>213</v>
      </c>
      <c r="D47" s="15"/>
      <c r="E47" s="15"/>
      <c r="F47" s="25" t="s">
        <v>103</v>
      </c>
      <c r="G47" s="26">
        <v>1</v>
      </c>
      <c r="H47" s="27"/>
      <c r="I47" s="27">
        <v>2</v>
      </c>
      <c r="J47" s="28">
        <v>0</v>
      </c>
      <c r="M47" s="29">
        <f>ROUND(ROUND(J47, 2)*I47, 2)</f>
        <v>0</v>
      </c>
      <c r="P47" s="30">
        <v>0</v>
      </c>
      <c r="S47" s="29">
        <f>ROUND(ROUND(P47, 2)*I47, 2)</f>
        <v>0</v>
      </c>
      <c r="V47" s="9">
        <f>ROUND(ROUND(P47, 2)/1.2, 2)</f>
        <v>0</v>
      </c>
      <c r="Y47" s="9">
        <f>ROUND(S47 / 1.2, 2)</f>
        <v>0</v>
      </c>
      <c r="AD47" s="4" t="s">
        <v>214</v>
      </c>
      <c r="AE47" s="4" t="s">
        <v>215</v>
      </c>
      <c r="AF47" s="4" t="s">
        <v>216</v>
      </c>
    </row>
    <row r="48" spans="1:35" ht="18.75" x14ac:dyDescent="0.25">
      <c r="A48" s="10" t="s">
        <v>217</v>
      </c>
      <c r="B48" s="10"/>
      <c r="C48" s="24" t="s">
        <v>218</v>
      </c>
      <c r="D48" s="15"/>
      <c r="E48" s="15"/>
      <c r="F48" s="25" t="s">
        <v>209</v>
      </c>
      <c r="G48" s="26">
        <v>1.03</v>
      </c>
      <c r="H48" s="27"/>
      <c r="I48" s="27">
        <v>5.0469999999999997</v>
      </c>
      <c r="J48" s="28">
        <v>77175</v>
      </c>
      <c r="M48" s="29">
        <f>ROUND(ROUND(J48, 2)*I48, 2)</f>
        <v>389502.23</v>
      </c>
      <c r="P48" s="30">
        <v>77175</v>
      </c>
      <c r="S48" s="29">
        <f>ROUND(ROUND(P48, 2)*I48, 2)</f>
        <v>389502.23</v>
      </c>
      <c r="V48" s="9">
        <f>ROUND(ROUND(P48, 2)/1.2, 2)</f>
        <v>64312.5</v>
      </c>
      <c r="Y48" s="9">
        <f>ROUND(S48 / 1.2, 2)</f>
        <v>324585.19</v>
      </c>
      <c r="AD48" s="4" t="s">
        <v>219</v>
      </c>
      <c r="AE48" s="4" t="s">
        <v>220</v>
      </c>
      <c r="AF48" s="4" t="s">
        <v>221</v>
      </c>
    </row>
    <row r="49" spans="1:35" ht="37.5" x14ac:dyDescent="0.25">
      <c r="A49" s="10" t="s">
        <v>222</v>
      </c>
      <c r="B49" s="10"/>
      <c r="C49" s="24" t="s">
        <v>223</v>
      </c>
      <c r="D49" s="15"/>
      <c r="E49" s="15"/>
      <c r="F49" s="25" t="s">
        <v>87</v>
      </c>
      <c r="G49" s="26">
        <v>1</v>
      </c>
      <c r="H49" s="26"/>
      <c r="I49" s="26">
        <v>4.9000000000000004</v>
      </c>
      <c r="J49" s="28">
        <v>2885.15</v>
      </c>
      <c r="M49" s="29">
        <f>ROUND(ROUND(J49, 2)*I49, 2)</f>
        <v>14137.24</v>
      </c>
      <c r="P49" s="30">
        <v>2885.15</v>
      </c>
      <c r="S49" s="29">
        <f>ROUND(ROUND(P49, 2)*I49, 2)</f>
        <v>14137.24</v>
      </c>
      <c r="V49" s="9">
        <f>ROUND(ROUND(P49, 2)/1.2, 2)</f>
        <v>2404.29</v>
      </c>
      <c r="Y49" s="9">
        <f>ROUND(S49 / 1.2, 2)</f>
        <v>11781.03</v>
      </c>
      <c r="AD49" s="4" t="s">
        <v>224</v>
      </c>
      <c r="AE49" s="4" t="s">
        <v>225</v>
      </c>
      <c r="AF49" s="4" t="s">
        <v>226</v>
      </c>
    </row>
    <row r="50" spans="1:35" ht="17.100000000000001" customHeight="1" x14ac:dyDescent="0.25">
      <c r="A50" s="10" t="s">
        <v>227</v>
      </c>
      <c r="B50" s="10" t="s">
        <v>228</v>
      </c>
      <c r="C50" s="116" t="s">
        <v>229</v>
      </c>
      <c r="D50" s="117"/>
      <c r="E50" s="117"/>
      <c r="F50" s="117"/>
      <c r="G50" s="117"/>
      <c r="H50" s="117"/>
      <c r="I50" s="118"/>
      <c r="M50" s="6">
        <f t="shared" ref="M50:O51" si="4">SUM(M51)</f>
        <v>2859762</v>
      </c>
      <c r="N50" s="6">
        <f t="shared" si="4"/>
        <v>8239501.1900000004</v>
      </c>
      <c r="O50" s="6">
        <f t="shared" si="4"/>
        <v>11099263.189999999</v>
      </c>
      <c r="S50" s="6">
        <f t="shared" ref="S50:U51" si="5">SUM(S51)</f>
        <v>2824002.58</v>
      </c>
      <c r="T50" s="6">
        <f t="shared" si="5"/>
        <v>8239501.1900000004</v>
      </c>
      <c r="U50" s="6">
        <f t="shared" si="5"/>
        <v>11063503.77</v>
      </c>
      <c r="Y50" s="9">
        <f t="shared" ref="Y50:AA51" si="6">SUM(Y51)</f>
        <v>2353335.5299999998</v>
      </c>
      <c r="Z50" s="9">
        <f t="shared" si="6"/>
        <v>6866250.96</v>
      </c>
      <c r="AA50" s="9" t="e">
        <f t="shared" si="6"/>
        <v>#VALUE!</v>
      </c>
      <c r="AD50" s="4">
        <v>264030262</v>
      </c>
      <c r="AE50" s="4">
        <v>16075339</v>
      </c>
    </row>
    <row r="51" spans="1:35" ht="17.100000000000001" customHeight="1" x14ac:dyDescent="0.25">
      <c r="A51" s="10" t="s">
        <v>230</v>
      </c>
      <c r="B51" s="10" t="s">
        <v>231</v>
      </c>
      <c r="C51" s="116" t="s">
        <v>232</v>
      </c>
      <c r="D51" s="117"/>
      <c r="E51" s="117"/>
      <c r="F51" s="117"/>
      <c r="G51" s="117"/>
      <c r="H51" s="117"/>
      <c r="I51" s="118"/>
      <c r="M51" s="6">
        <f t="shared" si="4"/>
        <v>2859762</v>
      </c>
      <c r="N51" s="6">
        <f t="shared" si="4"/>
        <v>8239501.1900000004</v>
      </c>
      <c r="O51" s="6">
        <f t="shared" si="4"/>
        <v>11099263.189999999</v>
      </c>
      <c r="S51" s="6">
        <f t="shared" si="5"/>
        <v>2824002.58</v>
      </c>
      <c r="T51" s="6">
        <f t="shared" si="5"/>
        <v>8239501.1900000004</v>
      </c>
      <c r="U51" s="6">
        <f t="shared" si="5"/>
        <v>11063503.77</v>
      </c>
      <c r="Y51" s="9">
        <f t="shared" si="6"/>
        <v>2353335.5299999998</v>
      </c>
      <c r="Z51" s="9">
        <f t="shared" si="6"/>
        <v>6866250.96</v>
      </c>
      <c r="AA51" s="9" t="e">
        <f t="shared" si="6"/>
        <v>#VALUE!</v>
      </c>
      <c r="AD51" s="4">
        <v>264030263</v>
      </c>
      <c r="AE51" s="4">
        <v>16075340</v>
      </c>
    </row>
    <row r="52" spans="1:35" ht="17.100000000000001" customHeight="1" x14ac:dyDescent="0.25">
      <c r="A52" s="10" t="s">
        <v>233</v>
      </c>
      <c r="B52" s="10" t="s">
        <v>234</v>
      </c>
      <c r="C52" s="116" t="s">
        <v>235</v>
      </c>
      <c r="D52" s="117"/>
      <c r="E52" s="117"/>
      <c r="F52" s="117"/>
      <c r="G52" s="117"/>
      <c r="H52" s="117"/>
      <c r="I52" s="118"/>
      <c r="M52" s="6">
        <f>SUM(M53,M129,M360,M393)</f>
        <v>2859762</v>
      </c>
      <c r="N52" s="6">
        <f>SUM(N53,N129,N360,N393)</f>
        <v>8239501.1900000004</v>
      </c>
      <c r="O52" s="6">
        <f>SUM(O53,O129,O360,O393)</f>
        <v>11099263.189999999</v>
      </c>
      <c r="S52" s="6">
        <f>SUM(S53,S129,S360,S393)</f>
        <v>2824002.58</v>
      </c>
      <c r="T52" s="6">
        <f>SUM(T53,T129,T360,T393)</f>
        <v>8239501.1900000004</v>
      </c>
      <c r="U52" s="6">
        <f>SUM(U53,U129,U360,U393)</f>
        <v>11063503.77</v>
      </c>
      <c r="Y52" s="9">
        <f>SUM(Y53,Y129,Y360,Y393)</f>
        <v>2353335.5299999998</v>
      </c>
      <c r="Z52" s="9">
        <f>SUM(Z53,Z129,Z360,Z393)</f>
        <v>6866250.96</v>
      </c>
      <c r="AA52" s="9" t="e">
        <f>SUM(AA53,AA129,AA360,AA393)</f>
        <v>#VALUE!</v>
      </c>
      <c r="AD52" s="4">
        <v>264030264</v>
      </c>
      <c r="AE52" s="4">
        <v>16075341</v>
      </c>
    </row>
    <row r="53" spans="1:35" ht="17.100000000000001" customHeight="1" x14ac:dyDescent="0.25">
      <c r="A53" s="10" t="s">
        <v>236</v>
      </c>
      <c r="B53" s="10" t="s">
        <v>237</v>
      </c>
      <c r="C53" s="116" t="s">
        <v>238</v>
      </c>
      <c r="D53" s="117"/>
      <c r="E53" s="117"/>
      <c r="F53" s="117"/>
      <c r="G53" s="117"/>
      <c r="H53" s="117"/>
      <c r="I53" s="118"/>
      <c r="M53" s="6">
        <f>SUM(M54,M84,M93)</f>
        <v>1610325.73</v>
      </c>
      <c r="N53" s="6">
        <f>SUM(N54,N84,N93)</f>
        <v>1747035.56</v>
      </c>
      <c r="O53" s="6">
        <f>SUM(O54,O84,O93)</f>
        <v>3357361.29</v>
      </c>
      <c r="S53" s="6">
        <f>SUM(S54,S84,S93)</f>
        <v>1610325.73</v>
      </c>
      <c r="T53" s="6">
        <f>SUM(T54,T84,T93)</f>
        <v>1747035.56</v>
      </c>
      <c r="U53" s="6">
        <f>SUM(U54,U84,U93)</f>
        <v>3357361.29</v>
      </c>
      <c r="Y53" s="9">
        <f>SUM(Y54,Y84,Y93)</f>
        <v>1341938.1200000001</v>
      </c>
      <c r="Z53" s="9">
        <f>SUM(Z54,Z84,Z93)</f>
        <v>1455862.96</v>
      </c>
      <c r="AA53" s="9">
        <f>SUM(AA54,AA84,AA93)</f>
        <v>2797801.08</v>
      </c>
      <c r="AD53" s="4">
        <v>264030265</v>
      </c>
      <c r="AE53" s="4">
        <v>16075342</v>
      </c>
    </row>
    <row r="54" spans="1:35" ht="17.100000000000001" customHeight="1" x14ac:dyDescent="0.25">
      <c r="A54" s="10" t="s">
        <v>239</v>
      </c>
      <c r="B54" s="10" t="s">
        <v>240</v>
      </c>
      <c r="C54" s="116" t="s">
        <v>241</v>
      </c>
      <c r="D54" s="117"/>
      <c r="E54" s="117"/>
      <c r="F54" s="117"/>
      <c r="G54" s="117"/>
      <c r="H54" s="117"/>
      <c r="I54" s="118"/>
      <c r="M54" s="6">
        <f>SUM(M55,M58,M60,M62,M67,M71,M76,M80,M82)</f>
        <v>160259.85</v>
      </c>
      <c r="N54" s="6">
        <f>SUM(N55,N58,N60,N62,N67,N71,N76,N80,N82)</f>
        <v>1329999.46</v>
      </c>
      <c r="O54" s="6">
        <f>SUM(O55,O58,O60,O62,O67,O71,O76,O80,O82)</f>
        <v>1490259.31</v>
      </c>
      <c r="S54" s="6">
        <f>SUM(S55,S58,S60,S62,S67,S71,S76,S80,S82)</f>
        <v>160259.85</v>
      </c>
      <c r="T54" s="6">
        <f>SUM(T55,T58,T60,T62,T67,T71,T76,T80,T82)</f>
        <v>1329999.46</v>
      </c>
      <c r="U54" s="6">
        <f>SUM(U55,U58,U60,U62,U67,U71,U76,U80,U82)</f>
        <v>1490259.31</v>
      </c>
      <c r="Y54" s="9">
        <f>SUM(Y55,Y58,Y60,Y62,Y67,Y71,Y76,Y80,Y82)</f>
        <v>133549.88</v>
      </c>
      <c r="Z54" s="9">
        <f>SUM(Z55,Z58,Z60,Z62,Z67,Z71,Z76,Z80,Z82)</f>
        <v>1108332.8799999999</v>
      </c>
      <c r="AA54" s="9">
        <f>SUM(AA55,AA58,AA60,AA62,AA67,AA71,AA76,AA80,AA82)</f>
        <v>1241882.76</v>
      </c>
      <c r="AD54" s="4">
        <v>264030266</v>
      </c>
      <c r="AE54" s="4">
        <v>16077961</v>
      </c>
    </row>
    <row r="55" spans="1:35" ht="75" x14ac:dyDescent="0.25">
      <c r="A55" s="10" t="s">
        <v>242</v>
      </c>
      <c r="B55" s="10" t="s">
        <v>243</v>
      </c>
      <c r="C55" s="14" t="s">
        <v>244</v>
      </c>
      <c r="D55" s="15" t="s">
        <v>245</v>
      </c>
      <c r="E55" s="15" t="s">
        <v>246</v>
      </c>
      <c r="F55" s="15" t="s">
        <v>56</v>
      </c>
      <c r="G55" s="16">
        <v>1</v>
      </c>
      <c r="H55" s="16"/>
      <c r="I55" s="16">
        <v>900.7</v>
      </c>
      <c r="J55" s="17">
        <f>IFERROR(ROUND(SUM(M56,M57)/I55, 2),0)</f>
        <v>177.36</v>
      </c>
      <c r="K55" s="18">
        <v>388</v>
      </c>
      <c r="L55" s="17">
        <f>J55+ROUND(K55, 2)</f>
        <v>565.36</v>
      </c>
      <c r="M55" s="17">
        <f>ROUND(J55*I55, 2)</f>
        <v>159748.15</v>
      </c>
      <c r="N55" s="17">
        <f>ROUND(I55*ROUND(K55, 2), 2)</f>
        <v>349471.6</v>
      </c>
      <c r="O55" s="17">
        <f>M55+N55</f>
        <v>509219.75</v>
      </c>
      <c r="P55" s="17">
        <f>IFERROR(ROUND(SUM(S56,S57)/I55, 2),0)</f>
        <v>177.36</v>
      </c>
      <c r="Q55" s="18">
        <v>388</v>
      </c>
      <c r="R55" s="17">
        <f>P55+ROUND(Q55, 2)</f>
        <v>565.36</v>
      </c>
      <c r="S55" s="17">
        <f>ROUND(P55*I55, 2)</f>
        <v>159748.15</v>
      </c>
      <c r="T55" s="17">
        <f>ROUND(I55*ROUND(Q55, 2), 2)</f>
        <v>349471.6</v>
      </c>
      <c r="U55" s="17">
        <f>S55+T55</f>
        <v>509219.75</v>
      </c>
      <c r="V55" s="9">
        <f>ROUND(P55 / 1.2, 2)</f>
        <v>147.80000000000001</v>
      </c>
      <c r="W55" s="9">
        <f>ROUND(Q55 / 1.2, 2)</f>
        <v>323.33</v>
      </c>
      <c r="X55" s="9">
        <f>ROUND(R55 / 1.2, 2)</f>
        <v>471.13</v>
      </c>
      <c r="Y55" s="9">
        <f>ROUND(S55 / 1.2, 2)</f>
        <v>133123.46</v>
      </c>
      <c r="Z55" s="9">
        <f>ROUND(T55 / 1.2, 2)</f>
        <v>291226.33</v>
      </c>
      <c r="AA55" s="9">
        <f>Y55+Z55</f>
        <v>424349.79</v>
      </c>
      <c r="AD55" s="4">
        <v>204257133</v>
      </c>
      <c r="AE55" s="4">
        <v>16078328</v>
      </c>
      <c r="AG55" s="4" t="s">
        <v>247</v>
      </c>
      <c r="AH55" s="4" t="s">
        <v>248</v>
      </c>
      <c r="AI55" s="4" t="s">
        <v>249</v>
      </c>
    </row>
    <row r="56" spans="1:35" ht="37.5" x14ac:dyDescent="0.25">
      <c r="A56" s="10" t="s">
        <v>250</v>
      </c>
      <c r="B56" s="10"/>
      <c r="C56" s="37" t="s">
        <v>251</v>
      </c>
      <c r="D56" s="15"/>
      <c r="E56" s="15" t="s">
        <v>252</v>
      </c>
      <c r="F56" s="25" t="s">
        <v>81</v>
      </c>
      <c r="G56" s="26">
        <v>1.6</v>
      </c>
      <c r="H56" s="27"/>
      <c r="I56" s="27">
        <v>14411.2</v>
      </c>
      <c r="J56" s="28">
        <v>9.67</v>
      </c>
      <c r="M56" s="29">
        <f>ROUND(ROUND(J56, 2)*I56, 2)</f>
        <v>139356.29999999999</v>
      </c>
      <c r="P56" s="28">
        <v>9.67</v>
      </c>
      <c r="S56" s="29">
        <f>ROUND(ROUND(P56, 2)*I56, 2)</f>
        <v>139356.29999999999</v>
      </c>
      <c r="V56" s="9">
        <f>ROUND(ROUND(P56, 2)/1.2, 2)</f>
        <v>8.06</v>
      </c>
      <c r="Y56" s="9">
        <f t="shared" ref="Y56:Y83" si="7">ROUND(S56 / 1.2, 2)</f>
        <v>116130.25</v>
      </c>
      <c r="AD56" s="4" t="s">
        <v>253</v>
      </c>
      <c r="AE56" s="4" t="s">
        <v>254</v>
      </c>
      <c r="AF56" s="4" t="s">
        <v>255</v>
      </c>
    </row>
    <row r="57" spans="1:35" ht="37.5" x14ac:dyDescent="0.25">
      <c r="A57" s="10" t="s">
        <v>256</v>
      </c>
      <c r="B57" s="10"/>
      <c r="C57" s="24" t="s">
        <v>257</v>
      </c>
      <c r="D57" s="15"/>
      <c r="E57" s="15"/>
      <c r="F57" s="25" t="s">
        <v>81</v>
      </c>
      <c r="G57" s="26">
        <v>0.255</v>
      </c>
      <c r="H57" s="27"/>
      <c r="I57" s="27">
        <v>229.679</v>
      </c>
      <c r="J57" s="28">
        <v>88.8</v>
      </c>
      <c r="M57" s="29">
        <f>ROUND(ROUND(J57, 2)*I57, 2)</f>
        <v>20395.5</v>
      </c>
      <c r="P57" s="28">
        <v>88.8</v>
      </c>
      <c r="S57" s="29">
        <f>ROUND(ROUND(P57, 2)*I57, 2)</f>
        <v>20395.5</v>
      </c>
      <c r="V57" s="9">
        <f>ROUND(ROUND(P57, 2)/1.2, 2)</f>
        <v>74</v>
      </c>
      <c r="Y57" s="9">
        <f t="shared" si="7"/>
        <v>16996.25</v>
      </c>
      <c r="AD57" s="4" t="s">
        <v>258</v>
      </c>
      <c r="AE57" s="4" t="s">
        <v>259</v>
      </c>
      <c r="AF57" s="4" t="s">
        <v>260</v>
      </c>
    </row>
    <row r="58" spans="1:35" ht="37.5" x14ac:dyDescent="0.25">
      <c r="A58" s="10" t="s">
        <v>261</v>
      </c>
      <c r="B58" s="10" t="s">
        <v>262</v>
      </c>
      <c r="C58" s="14" t="s">
        <v>263</v>
      </c>
      <c r="D58" s="15"/>
      <c r="E58" s="15" t="s">
        <v>264</v>
      </c>
      <c r="F58" s="15" t="s">
        <v>56</v>
      </c>
      <c r="G58" s="16">
        <v>1</v>
      </c>
      <c r="H58" s="16"/>
      <c r="I58" s="16">
        <v>0</v>
      </c>
      <c r="J58" s="17">
        <f>IFERROR(ROUND(SUM(M59)/I58, 2),0)</f>
        <v>0</v>
      </c>
      <c r="K58" s="18">
        <v>40</v>
      </c>
      <c r="L58" s="17">
        <f>J58+ROUND(K58, 2)</f>
        <v>40</v>
      </c>
      <c r="M58" s="17">
        <f>ROUND(J58*I58, 2)</f>
        <v>0</v>
      </c>
      <c r="N58" s="17">
        <f>ROUND(I58*ROUND(K58, 2), 2)</f>
        <v>0</v>
      </c>
      <c r="O58" s="17">
        <f>M58+N58</f>
        <v>0</v>
      </c>
      <c r="P58" s="17">
        <f>IFERROR(ROUND(SUM(S59)/I58, 2),0)</f>
        <v>0</v>
      </c>
      <c r="Q58" s="18">
        <v>40</v>
      </c>
      <c r="R58" s="17">
        <f>P58+ROUND(Q58, 2)</f>
        <v>40</v>
      </c>
      <c r="S58" s="17">
        <f>ROUND(P58*I58, 2)</f>
        <v>0</v>
      </c>
      <c r="T58" s="17">
        <f>ROUND(I58*ROUND(Q58, 2), 2)</f>
        <v>0</v>
      </c>
      <c r="U58" s="17">
        <f>S58+T58</f>
        <v>0</v>
      </c>
      <c r="V58" s="9">
        <f>ROUND(P58 / 1.2, 2)</f>
        <v>0</v>
      </c>
      <c r="W58" s="9">
        <f>ROUND(Q58 / 1.2, 2)</f>
        <v>33.33</v>
      </c>
      <c r="X58" s="9">
        <f>ROUND(R58 / 1.2, 2)</f>
        <v>33.33</v>
      </c>
      <c r="Y58" s="9">
        <f t="shared" si="7"/>
        <v>0</v>
      </c>
      <c r="Z58" s="9">
        <f>ROUND(T58 / 1.2, 2)</f>
        <v>0</v>
      </c>
      <c r="AA58" s="9">
        <f>Y58+Z58</f>
        <v>0</v>
      </c>
      <c r="AD58" s="4">
        <v>264030268</v>
      </c>
      <c r="AE58" s="4">
        <v>16077965</v>
      </c>
      <c r="AG58" s="4" t="s">
        <v>265</v>
      </c>
      <c r="AH58" s="4" t="s">
        <v>266</v>
      </c>
      <c r="AI58" s="4" t="s">
        <v>249</v>
      </c>
    </row>
    <row r="59" spans="1:35" ht="18.75" x14ac:dyDescent="0.25">
      <c r="A59" s="10" t="s">
        <v>268</v>
      </c>
      <c r="B59" s="10"/>
      <c r="C59" s="24" t="s">
        <v>269</v>
      </c>
      <c r="D59" s="15"/>
      <c r="E59" s="15"/>
      <c r="F59" s="25" t="s">
        <v>56</v>
      </c>
      <c r="G59" s="26">
        <v>1.1000000000000001</v>
      </c>
      <c r="H59" s="26"/>
      <c r="I59" s="26">
        <v>0</v>
      </c>
      <c r="J59" s="28">
        <v>46.76</v>
      </c>
      <c r="M59" s="29">
        <f>ROUND(ROUND(J59, 2)*I59, 2)</f>
        <v>0</v>
      </c>
      <c r="P59" s="28">
        <v>46.76</v>
      </c>
      <c r="S59" s="29">
        <f>ROUND(ROUND(P59, 2)*I59, 2)</f>
        <v>0</v>
      </c>
      <c r="V59" s="9">
        <f>ROUND(ROUND(P59, 2)/1.2, 2)</f>
        <v>38.97</v>
      </c>
      <c r="Y59" s="9">
        <f t="shared" si="7"/>
        <v>0</v>
      </c>
      <c r="AD59" s="4" t="s">
        <v>270</v>
      </c>
      <c r="AE59" s="4" t="s">
        <v>271</v>
      </c>
      <c r="AF59" s="4" t="s">
        <v>272</v>
      </c>
    </row>
    <row r="60" spans="1:35" ht="37.5" x14ac:dyDescent="0.25">
      <c r="A60" s="10" t="s">
        <v>275</v>
      </c>
      <c r="B60" s="10" t="s">
        <v>262</v>
      </c>
      <c r="C60" s="14" t="s">
        <v>263</v>
      </c>
      <c r="D60" s="15"/>
      <c r="E60" s="15" t="s">
        <v>276</v>
      </c>
      <c r="F60" s="15" t="s">
        <v>56</v>
      </c>
      <c r="G60" s="16">
        <v>1</v>
      </c>
      <c r="H60" s="16"/>
      <c r="I60" s="16">
        <v>0</v>
      </c>
      <c r="J60" s="17">
        <f>IFERROR(ROUND(SUM(M61)/I60, 2),0)</f>
        <v>0</v>
      </c>
      <c r="K60" s="18">
        <v>40</v>
      </c>
      <c r="L60" s="17">
        <f>J60+ROUND(K60, 2)</f>
        <v>40</v>
      </c>
      <c r="M60" s="17">
        <f>ROUND(J60*I60, 2)</f>
        <v>0</v>
      </c>
      <c r="N60" s="17">
        <f>ROUND(I60*ROUND(K60, 2), 2)</f>
        <v>0</v>
      </c>
      <c r="O60" s="17">
        <f>M60+N60</f>
        <v>0</v>
      </c>
      <c r="P60" s="17">
        <f>IFERROR(ROUND(SUM(S61)/I60, 2),0)</f>
        <v>0</v>
      </c>
      <c r="Q60" s="18">
        <v>40</v>
      </c>
      <c r="R60" s="17">
        <f>P60+ROUND(Q60, 2)</f>
        <v>40</v>
      </c>
      <c r="S60" s="17">
        <f>ROUND(P60*I60, 2)</f>
        <v>0</v>
      </c>
      <c r="T60" s="17">
        <f>ROUND(I60*ROUND(Q60, 2), 2)</f>
        <v>0</v>
      </c>
      <c r="U60" s="17">
        <f>S60+T60</f>
        <v>0</v>
      </c>
      <c r="V60" s="9">
        <f>ROUND(P60 / 1.2, 2)</f>
        <v>0</v>
      </c>
      <c r="W60" s="9">
        <f>ROUND(Q60 / 1.2, 2)</f>
        <v>33.33</v>
      </c>
      <c r="X60" s="9">
        <f>ROUND(R60 / 1.2, 2)</f>
        <v>33.33</v>
      </c>
      <c r="Y60" s="9">
        <f t="shared" si="7"/>
        <v>0</v>
      </c>
      <c r="Z60" s="9">
        <f>ROUND(T60 / 1.2, 2)</f>
        <v>0</v>
      </c>
      <c r="AA60" s="9">
        <f>Y60+Z60</f>
        <v>0</v>
      </c>
      <c r="AD60" s="4">
        <v>264030364</v>
      </c>
      <c r="AE60" s="4">
        <v>16088187</v>
      </c>
      <c r="AG60" s="4" t="s">
        <v>265</v>
      </c>
      <c r="AH60" s="4" t="s">
        <v>266</v>
      </c>
      <c r="AI60" s="4" t="s">
        <v>249</v>
      </c>
    </row>
    <row r="61" spans="1:35" ht="18.75" x14ac:dyDescent="0.25">
      <c r="A61" s="10" t="s">
        <v>278</v>
      </c>
      <c r="B61" s="10"/>
      <c r="C61" s="24" t="s">
        <v>269</v>
      </c>
      <c r="D61" s="15"/>
      <c r="E61" s="15"/>
      <c r="F61" s="25" t="s">
        <v>56</v>
      </c>
      <c r="G61" s="26">
        <v>1.1000000000000001</v>
      </c>
      <c r="H61" s="26"/>
      <c r="I61" s="26">
        <v>0</v>
      </c>
      <c r="J61" s="28">
        <v>46.76</v>
      </c>
      <c r="M61" s="29">
        <f>ROUND(ROUND(J61, 2)*I61, 2)</f>
        <v>0</v>
      </c>
      <c r="P61" s="28">
        <v>46.76</v>
      </c>
      <c r="S61" s="29">
        <f>ROUND(ROUND(P61, 2)*I61, 2)</f>
        <v>0</v>
      </c>
      <c r="V61" s="9">
        <f>ROUND(ROUND(P61, 2)/1.2, 2)</f>
        <v>38.97</v>
      </c>
      <c r="Y61" s="9">
        <f t="shared" si="7"/>
        <v>0</v>
      </c>
      <c r="AD61" s="4" t="s">
        <v>279</v>
      </c>
      <c r="AE61" s="4" t="s">
        <v>280</v>
      </c>
      <c r="AF61" s="4" t="s">
        <v>272</v>
      </c>
    </row>
    <row r="62" spans="1:35" ht="37.5" x14ac:dyDescent="0.25">
      <c r="A62" s="10" t="s">
        <v>283</v>
      </c>
      <c r="B62" s="10" t="s">
        <v>284</v>
      </c>
      <c r="C62" s="14" t="s">
        <v>285</v>
      </c>
      <c r="D62" s="15"/>
      <c r="E62" s="15" t="s">
        <v>286</v>
      </c>
      <c r="F62" s="15" t="s">
        <v>56</v>
      </c>
      <c r="G62" s="16">
        <v>1</v>
      </c>
      <c r="H62" s="16"/>
      <c r="I62" s="16">
        <v>0</v>
      </c>
      <c r="J62" s="17">
        <f>IFERROR(ROUND(SUM(M63,M64,M65,M66)/I62, 2),0)</f>
        <v>0</v>
      </c>
      <c r="K62" s="18">
        <v>855</v>
      </c>
      <c r="L62" s="17">
        <f>J62+ROUND(K62, 2)</f>
        <v>855</v>
      </c>
      <c r="M62" s="17">
        <f>ROUND(J62*I62, 2)</f>
        <v>0</v>
      </c>
      <c r="N62" s="17">
        <f>ROUND(I62*ROUND(K62, 2), 2)</f>
        <v>0</v>
      </c>
      <c r="O62" s="17">
        <f>M62+N62</f>
        <v>0</v>
      </c>
      <c r="P62" s="17">
        <f>IFERROR(ROUND(SUM(S63,S64,S65,S66)/I62, 2),0)</f>
        <v>0</v>
      </c>
      <c r="Q62" s="18">
        <v>855</v>
      </c>
      <c r="R62" s="17">
        <f>P62+ROUND(Q62, 2)</f>
        <v>855</v>
      </c>
      <c r="S62" s="17">
        <f>ROUND(P62*I62, 2)</f>
        <v>0</v>
      </c>
      <c r="T62" s="17">
        <f>ROUND(I62*ROUND(Q62, 2), 2)</f>
        <v>0</v>
      </c>
      <c r="U62" s="17">
        <f>S62+T62</f>
        <v>0</v>
      </c>
      <c r="V62" s="9">
        <f>ROUND(P62 / 1.2, 2)</f>
        <v>0</v>
      </c>
      <c r="W62" s="9">
        <f>ROUND(Q62 / 1.2, 2)</f>
        <v>712.5</v>
      </c>
      <c r="X62" s="9">
        <f>ROUND(R62 / 1.2, 2)</f>
        <v>712.5</v>
      </c>
      <c r="Y62" s="9">
        <f t="shared" si="7"/>
        <v>0</v>
      </c>
      <c r="Z62" s="9">
        <f>ROUND(T62 / 1.2, 2)</f>
        <v>0</v>
      </c>
      <c r="AA62" s="9">
        <f>Y62+Z62</f>
        <v>0</v>
      </c>
      <c r="AD62" s="4">
        <v>264030270</v>
      </c>
      <c r="AE62" s="4">
        <v>16078058</v>
      </c>
      <c r="AG62" s="4" t="s">
        <v>287</v>
      </c>
      <c r="AH62" s="4" t="s">
        <v>288</v>
      </c>
      <c r="AI62" s="4" t="s">
        <v>249</v>
      </c>
    </row>
    <row r="63" spans="1:35" ht="18.75" x14ac:dyDescent="0.25">
      <c r="A63" s="10" t="s">
        <v>290</v>
      </c>
      <c r="B63" s="10"/>
      <c r="C63" s="24" t="s">
        <v>291</v>
      </c>
      <c r="D63" s="15"/>
      <c r="E63" s="15" t="s">
        <v>292</v>
      </c>
      <c r="F63" s="25" t="s">
        <v>81</v>
      </c>
      <c r="G63" s="26">
        <v>1.8</v>
      </c>
      <c r="H63" s="27"/>
      <c r="I63" s="27">
        <v>0</v>
      </c>
      <c r="J63" s="28">
        <v>6.17</v>
      </c>
      <c r="M63" s="29">
        <f>ROUND(ROUND(J63, 2)*I63, 2)</f>
        <v>0</v>
      </c>
      <c r="P63" s="28">
        <v>6.17</v>
      </c>
      <c r="S63" s="29">
        <f>ROUND(ROUND(P63, 2)*I63, 2)</f>
        <v>0</v>
      </c>
      <c r="V63" s="9">
        <f>ROUND(ROUND(P63, 2)/1.2, 2)</f>
        <v>5.14</v>
      </c>
      <c r="Y63" s="9">
        <f t="shared" si="7"/>
        <v>0</v>
      </c>
      <c r="AD63" s="4" t="s">
        <v>293</v>
      </c>
      <c r="AE63" s="4" t="s">
        <v>294</v>
      </c>
      <c r="AF63" s="4" t="s">
        <v>295</v>
      </c>
    </row>
    <row r="64" spans="1:35" ht="18.75" x14ac:dyDescent="0.25">
      <c r="A64" s="10" t="s">
        <v>298</v>
      </c>
      <c r="B64" s="10"/>
      <c r="C64" s="24" t="s">
        <v>299</v>
      </c>
      <c r="D64" s="15"/>
      <c r="E64" s="15"/>
      <c r="F64" s="25" t="s">
        <v>56</v>
      </c>
      <c r="G64" s="26">
        <v>1.1000000000000001</v>
      </c>
      <c r="H64" s="27"/>
      <c r="I64" s="27">
        <v>0</v>
      </c>
      <c r="J64" s="28">
        <v>155.01</v>
      </c>
      <c r="M64" s="29">
        <f>ROUND(ROUND(J64, 2)*I64, 2)</f>
        <v>0</v>
      </c>
      <c r="P64" s="28">
        <v>155.01</v>
      </c>
      <c r="S64" s="29">
        <f>ROUND(ROUND(P64, 2)*I64, 2)</f>
        <v>0</v>
      </c>
      <c r="V64" s="9">
        <f>ROUND(ROUND(P64, 2)/1.2, 2)</f>
        <v>129.18</v>
      </c>
      <c r="Y64" s="9">
        <f t="shared" si="7"/>
        <v>0</v>
      </c>
      <c r="AD64" s="4" t="s">
        <v>300</v>
      </c>
      <c r="AE64" s="4" t="s">
        <v>301</v>
      </c>
      <c r="AF64" s="4" t="s">
        <v>302</v>
      </c>
    </row>
    <row r="65" spans="1:35" ht="37.5" x14ac:dyDescent="0.25">
      <c r="A65" s="10" t="s">
        <v>305</v>
      </c>
      <c r="B65" s="10"/>
      <c r="C65" s="24" t="s">
        <v>306</v>
      </c>
      <c r="D65" s="15"/>
      <c r="E65" s="15"/>
      <c r="F65" s="25" t="s">
        <v>123</v>
      </c>
      <c r="G65" s="26">
        <v>1</v>
      </c>
      <c r="H65" s="27"/>
      <c r="I65" s="27">
        <v>0</v>
      </c>
      <c r="J65" s="28">
        <v>10.4</v>
      </c>
      <c r="M65" s="29">
        <f>ROUND(ROUND(J65, 2)*I65, 2)</f>
        <v>0</v>
      </c>
      <c r="P65" s="28">
        <v>10.4</v>
      </c>
      <c r="S65" s="29">
        <f>ROUND(ROUND(P65, 2)*I65, 2)</f>
        <v>0</v>
      </c>
      <c r="V65" s="9">
        <f>ROUND(ROUND(P65, 2)/1.2, 2)</f>
        <v>8.67</v>
      </c>
      <c r="Y65" s="9">
        <f t="shared" si="7"/>
        <v>0</v>
      </c>
      <c r="AD65" s="4" t="s">
        <v>307</v>
      </c>
      <c r="AE65" s="4" t="s">
        <v>308</v>
      </c>
      <c r="AF65" s="4" t="s">
        <v>309</v>
      </c>
    </row>
    <row r="66" spans="1:35" ht="18.75" x14ac:dyDescent="0.25">
      <c r="A66" s="10" t="s">
        <v>312</v>
      </c>
      <c r="B66" s="10"/>
      <c r="C66" s="24" t="s">
        <v>313</v>
      </c>
      <c r="D66" s="15"/>
      <c r="E66" s="15"/>
      <c r="F66" s="25" t="s">
        <v>81</v>
      </c>
      <c r="G66" s="26">
        <v>0.255</v>
      </c>
      <c r="H66" s="26"/>
      <c r="I66" s="26">
        <v>0</v>
      </c>
      <c r="J66" s="28">
        <v>100</v>
      </c>
      <c r="M66" s="29">
        <f>ROUND(ROUND(J66, 2)*I66, 2)</f>
        <v>0</v>
      </c>
      <c r="P66" s="28">
        <v>100</v>
      </c>
      <c r="S66" s="29">
        <f>ROUND(ROUND(P66, 2)*I66, 2)</f>
        <v>0</v>
      </c>
      <c r="V66" s="9">
        <f>ROUND(ROUND(P66, 2)/1.2, 2)</f>
        <v>83.33</v>
      </c>
      <c r="Y66" s="9">
        <f t="shared" si="7"/>
        <v>0</v>
      </c>
      <c r="AD66" s="4" t="s">
        <v>314</v>
      </c>
      <c r="AE66" s="4" t="s">
        <v>315</v>
      </c>
      <c r="AF66" s="4" t="s">
        <v>316</v>
      </c>
    </row>
    <row r="67" spans="1:35" ht="37.5" x14ac:dyDescent="0.25">
      <c r="A67" s="10" t="s">
        <v>319</v>
      </c>
      <c r="B67" s="10" t="s">
        <v>320</v>
      </c>
      <c r="C67" s="14" t="s">
        <v>321</v>
      </c>
      <c r="D67" s="15"/>
      <c r="E67" s="15" t="s">
        <v>322</v>
      </c>
      <c r="F67" s="15" t="s">
        <v>56</v>
      </c>
      <c r="G67" s="16">
        <v>1</v>
      </c>
      <c r="H67" s="16"/>
      <c r="I67" s="16">
        <v>0</v>
      </c>
      <c r="J67" s="17">
        <f>IFERROR(ROUND(SUM(M68,M69,M70)/I67, 2),0)</f>
        <v>0</v>
      </c>
      <c r="K67" s="18">
        <v>922</v>
      </c>
      <c r="L67" s="17">
        <f>J67+ROUND(K67, 2)</f>
        <v>922</v>
      </c>
      <c r="M67" s="17">
        <f>ROUND(J67*I67, 2)</f>
        <v>0</v>
      </c>
      <c r="N67" s="17">
        <f>ROUND(I67*ROUND(K67, 2), 2)</f>
        <v>0</v>
      </c>
      <c r="O67" s="17">
        <f>M67+N67</f>
        <v>0</v>
      </c>
      <c r="P67" s="17">
        <f>IFERROR(ROUND(SUM(S68,S69,S70)/I67, 2),0)</f>
        <v>0</v>
      </c>
      <c r="Q67" s="18">
        <v>922</v>
      </c>
      <c r="R67" s="17">
        <f>P67+ROUND(Q67, 2)</f>
        <v>922</v>
      </c>
      <c r="S67" s="17">
        <f>ROUND(P67*I67, 2)</f>
        <v>0</v>
      </c>
      <c r="T67" s="17">
        <f>ROUND(I67*ROUND(Q67, 2), 2)</f>
        <v>0</v>
      </c>
      <c r="U67" s="17">
        <f>S67+T67</f>
        <v>0</v>
      </c>
      <c r="V67" s="9">
        <f>ROUND(P67 / 1.2, 2)</f>
        <v>0</v>
      </c>
      <c r="W67" s="9">
        <f>ROUND(Q67 / 1.2, 2)</f>
        <v>768.33</v>
      </c>
      <c r="X67" s="9">
        <f>ROUND(R67 / 1.2, 2)</f>
        <v>768.33</v>
      </c>
      <c r="Y67" s="9">
        <f t="shared" si="7"/>
        <v>0</v>
      </c>
      <c r="Z67" s="9">
        <f>ROUND(T67 / 1.2, 2)</f>
        <v>0</v>
      </c>
      <c r="AA67" s="9">
        <f>Y67+Z67</f>
        <v>0</v>
      </c>
      <c r="AD67" s="4">
        <v>264030271</v>
      </c>
      <c r="AE67" s="4">
        <v>16078057</v>
      </c>
      <c r="AG67" s="4" t="s">
        <v>323</v>
      </c>
      <c r="AH67" s="4" t="s">
        <v>324</v>
      </c>
      <c r="AI67" s="4" t="s">
        <v>249</v>
      </c>
    </row>
    <row r="68" spans="1:35" ht="18.75" x14ac:dyDescent="0.25">
      <c r="A68" s="10" t="s">
        <v>326</v>
      </c>
      <c r="B68" s="10"/>
      <c r="C68" s="24" t="s">
        <v>291</v>
      </c>
      <c r="D68" s="15"/>
      <c r="E68" s="15" t="s">
        <v>327</v>
      </c>
      <c r="F68" s="25" t="s">
        <v>81</v>
      </c>
      <c r="G68" s="26">
        <v>1.8</v>
      </c>
      <c r="H68" s="27"/>
      <c r="I68" s="27">
        <v>0</v>
      </c>
      <c r="J68" s="28">
        <v>6.17</v>
      </c>
      <c r="M68" s="29">
        <f>ROUND(ROUND(J68, 2)*I68, 2)</f>
        <v>0</v>
      </c>
      <c r="P68" s="28">
        <v>6.17</v>
      </c>
      <c r="S68" s="29">
        <f>ROUND(ROUND(P68, 2)*I68, 2)</f>
        <v>0</v>
      </c>
      <c r="V68" s="9">
        <f>ROUND(ROUND(P68, 2)/1.2, 2)</f>
        <v>5.14</v>
      </c>
      <c r="Y68" s="9">
        <f t="shared" si="7"/>
        <v>0</v>
      </c>
      <c r="AD68" s="4" t="s">
        <v>328</v>
      </c>
      <c r="AE68" s="4" t="s">
        <v>329</v>
      </c>
      <c r="AF68" s="4" t="s">
        <v>295</v>
      </c>
    </row>
    <row r="69" spans="1:35" ht="18.75" x14ac:dyDescent="0.25">
      <c r="A69" s="10" t="s">
        <v>332</v>
      </c>
      <c r="B69" s="10"/>
      <c r="C69" s="24" t="s">
        <v>299</v>
      </c>
      <c r="D69" s="15"/>
      <c r="E69" s="15"/>
      <c r="F69" s="25" t="s">
        <v>56</v>
      </c>
      <c r="G69" s="26">
        <v>1.1000000000000001</v>
      </c>
      <c r="H69" s="27"/>
      <c r="I69" s="27">
        <v>0</v>
      </c>
      <c r="J69" s="28">
        <v>155.01</v>
      </c>
      <c r="M69" s="29">
        <f>ROUND(ROUND(J69, 2)*I69, 2)</f>
        <v>0</v>
      </c>
      <c r="P69" s="28">
        <v>155.01</v>
      </c>
      <c r="S69" s="29">
        <f>ROUND(ROUND(P69, 2)*I69, 2)</f>
        <v>0</v>
      </c>
      <c r="V69" s="9">
        <f>ROUND(ROUND(P69, 2)/1.2, 2)</f>
        <v>129.18</v>
      </c>
      <c r="Y69" s="9">
        <f t="shared" si="7"/>
        <v>0</v>
      </c>
      <c r="AD69" s="4" t="s">
        <v>333</v>
      </c>
      <c r="AE69" s="4" t="s">
        <v>334</v>
      </c>
      <c r="AF69" s="4" t="s">
        <v>302</v>
      </c>
    </row>
    <row r="70" spans="1:35" ht="37.5" x14ac:dyDescent="0.25">
      <c r="A70" s="10" t="s">
        <v>337</v>
      </c>
      <c r="B70" s="10"/>
      <c r="C70" s="24" t="s">
        <v>306</v>
      </c>
      <c r="D70" s="15"/>
      <c r="E70" s="15"/>
      <c r="F70" s="25" t="s">
        <v>123</v>
      </c>
      <c r="G70" s="26">
        <v>1</v>
      </c>
      <c r="H70" s="27"/>
      <c r="I70" s="27">
        <v>0</v>
      </c>
      <c r="J70" s="28">
        <v>10.4</v>
      </c>
      <c r="M70" s="29">
        <f>ROUND(ROUND(J70, 2)*I70, 2)</f>
        <v>0</v>
      </c>
      <c r="P70" s="28">
        <v>10.4</v>
      </c>
      <c r="S70" s="29">
        <f>ROUND(ROUND(P70, 2)*I70, 2)</f>
        <v>0</v>
      </c>
      <c r="V70" s="9">
        <f>ROUND(ROUND(P70, 2)/1.2, 2)</f>
        <v>8.67</v>
      </c>
      <c r="Y70" s="9">
        <f t="shared" si="7"/>
        <v>0</v>
      </c>
      <c r="AD70" s="4" t="s">
        <v>338</v>
      </c>
      <c r="AE70" s="4" t="s">
        <v>339</v>
      </c>
      <c r="AF70" s="4" t="s">
        <v>309</v>
      </c>
    </row>
    <row r="71" spans="1:35" ht="37.5" x14ac:dyDescent="0.25">
      <c r="A71" s="10" t="s">
        <v>342</v>
      </c>
      <c r="B71" s="10" t="s">
        <v>320</v>
      </c>
      <c r="C71" s="14" t="s">
        <v>321</v>
      </c>
      <c r="D71" s="15"/>
      <c r="E71" s="15" t="s">
        <v>343</v>
      </c>
      <c r="F71" s="15" t="s">
        <v>56</v>
      </c>
      <c r="G71" s="16">
        <v>1</v>
      </c>
      <c r="H71" s="16"/>
      <c r="I71" s="16">
        <v>0</v>
      </c>
      <c r="J71" s="17">
        <f>IFERROR(ROUND(SUM(M72,M73,M74,M75)/I71, 2),0)</f>
        <v>0</v>
      </c>
      <c r="K71" s="18">
        <v>922</v>
      </c>
      <c r="L71" s="17">
        <f>J71+ROUND(K71, 2)</f>
        <v>922</v>
      </c>
      <c r="M71" s="17">
        <f>ROUND(J71*I71, 2)</f>
        <v>0</v>
      </c>
      <c r="N71" s="17">
        <f>ROUND(I71*ROUND(K71, 2), 2)</f>
        <v>0</v>
      </c>
      <c r="O71" s="17">
        <f>M71+N71</f>
        <v>0</v>
      </c>
      <c r="P71" s="17">
        <f>IFERROR(ROUND(SUM(S72,S73,S74,S75)/I71, 2),0)</f>
        <v>0</v>
      </c>
      <c r="Q71" s="18">
        <v>922</v>
      </c>
      <c r="R71" s="17">
        <f>P71+ROUND(Q71, 2)</f>
        <v>922</v>
      </c>
      <c r="S71" s="17">
        <f>ROUND(P71*I71, 2)</f>
        <v>0</v>
      </c>
      <c r="T71" s="17">
        <f>ROUND(I71*ROUND(Q71, 2), 2)</f>
        <v>0</v>
      </c>
      <c r="U71" s="17">
        <f>S71+T71</f>
        <v>0</v>
      </c>
      <c r="V71" s="9">
        <f>ROUND(P71 / 1.2, 2)</f>
        <v>0</v>
      </c>
      <c r="W71" s="9">
        <f>ROUND(Q71 / 1.2, 2)</f>
        <v>768.33</v>
      </c>
      <c r="X71" s="9">
        <f>ROUND(R71 / 1.2, 2)</f>
        <v>768.33</v>
      </c>
      <c r="Y71" s="9">
        <f t="shared" si="7"/>
        <v>0</v>
      </c>
      <c r="Z71" s="9">
        <f>ROUND(T71 / 1.2, 2)</f>
        <v>0</v>
      </c>
      <c r="AA71" s="9">
        <f>Y71+Z71</f>
        <v>0</v>
      </c>
      <c r="AD71" s="4">
        <v>264030365</v>
      </c>
      <c r="AE71" s="4">
        <v>16080100</v>
      </c>
      <c r="AG71" s="4" t="s">
        <v>323</v>
      </c>
      <c r="AH71" s="4" t="s">
        <v>324</v>
      </c>
      <c r="AI71" s="4" t="s">
        <v>249</v>
      </c>
    </row>
    <row r="72" spans="1:35" ht="18.75" x14ac:dyDescent="0.25">
      <c r="A72" s="10" t="s">
        <v>345</v>
      </c>
      <c r="B72" s="10"/>
      <c r="C72" s="24" t="s">
        <v>313</v>
      </c>
      <c r="D72" s="15"/>
      <c r="E72" s="15"/>
      <c r="F72" s="25" t="s">
        <v>81</v>
      </c>
      <c r="G72" s="26">
        <v>0.255</v>
      </c>
      <c r="H72" s="26"/>
      <c r="I72" s="26">
        <v>0</v>
      </c>
      <c r="J72" s="28">
        <v>100</v>
      </c>
      <c r="M72" s="29">
        <f>ROUND(ROUND(J72, 2)*I72, 2)</f>
        <v>0</v>
      </c>
      <c r="P72" s="28">
        <v>100</v>
      </c>
      <c r="S72" s="29">
        <f>ROUND(ROUND(P72, 2)*I72, 2)</f>
        <v>0</v>
      </c>
      <c r="V72" s="9">
        <f>ROUND(ROUND(P72, 2)/1.2, 2)</f>
        <v>83.33</v>
      </c>
      <c r="Y72" s="9">
        <f t="shared" si="7"/>
        <v>0</v>
      </c>
      <c r="AD72" s="4" t="s">
        <v>346</v>
      </c>
      <c r="AE72" s="4" t="s">
        <v>347</v>
      </c>
      <c r="AF72" s="4" t="s">
        <v>316</v>
      </c>
    </row>
    <row r="73" spans="1:35" ht="37.5" x14ac:dyDescent="0.25">
      <c r="A73" s="10" t="s">
        <v>350</v>
      </c>
      <c r="B73" s="10"/>
      <c r="C73" s="24" t="s">
        <v>306</v>
      </c>
      <c r="D73" s="15"/>
      <c r="E73" s="15"/>
      <c r="F73" s="25" t="s">
        <v>123</v>
      </c>
      <c r="G73" s="26">
        <v>1</v>
      </c>
      <c r="H73" s="27"/>
      <c r="I73" s="27">
        <v>0</v>
      </c>
      <c r="J73" s="28">
        <v>10.4</v>
      </c>
      <c r="M73" s="29">
        <f>ROUND(ROUND(J73, 2)*I73, 2)</f>
        <v>0</v>
      </c>
      <c r="P73" s="28">
        <v>10.4</v>
      </c>
      <c r="S73" s="29">
        <f>ROUND(ROUND(P73, 2)*I73, 2)</f>
        <v>0</v>
      </c>
      <c r="V73" s="9">
        <f>ROUND(ROUND(P73, 2)/1.2, 2)</f>
        <v>8.67</v>
      </c>
      <c r="Y73" s="9">
        <f t="shared" si="7"/>
        <v>0</v>
      </c>
      <c r="AD73" s="4" t="s">
        <v>351</v>
      </c>
      <c r="AE73" s="4" t="s">
        <v>352</v>
      </c>
      <c r="AF73" s="4" t="s">
        <v>309</v>
      </c>
    </row>
    <row r="74" spans="1:35" ht="18.75" x14ac:dyDescent="0.25">
      <c r="A74" s="10" t="s">
        <v>355</v>
      </c>
      <c r="B74" s="10"/>
      <c r="C74" s="24" t="s">
        <v>299</v>
      </c>
      <c r="D74" s="15"/>
      <c r="E74" s="15"/>
      <c r="F74" s="25" t="s">
        <v>56</v>
      </c>
      <c r="G74" s="26">
        <v>1.1000000000000001</v>
      </c>
      <c r="H74" s="27"/>
      <c r="I74" s="27">
        <v>0</v>
      </c>
      <c r="J74" s="28">
        <v>155.01</v>
      </c>
      <c r="M74" s="29">
        <f>ROUND(ROUND(J74, 2)*I74, 2)</f>
        <v>0</v>
      </c>
      <c r="P74" s="28">
        <v>155.01</v>
      </c>
      <c r="S74" s="29">
        <f>ROUND(ROUND(P74, 2)*I74, 2)</f>
        <v>0</v>
      </c>
      <c r="V74" s="9">
        <f>ROUND(ROUND(P74, 2)/1.2, 2)</f>
        <v>129.18</v>
      </c>
      <c r="Y74" s="9">
        <f t="shared" si="7"/>
        <v>0</v>
      </c>
      <c r="AD74" s="4" t="s">
        <v>356</v>
      </c>
      <c r="AE74" s="4" t="s">
        <v>357</v>
      </c>
      <c r="AF74" s="4" t="s">
        <v>302</v>
      </c>
    </row>
    <row r="75" spans="1:35" ht="18.75" x14ac:dyDescent="0.25">
      <c r="A75" s="10" t="s">
        <v>360</v>
      </c>
      <c r="B75" s="10"/>
      <c r="C75" s="24" t="s">
        <v>291</v>
      </c>
      <c r="D75" s="15"/>
      <c r="E75" s="15" t="s">
        <v>361</v>
      </c>
      <c r="F75" s="25" t="s">
        <v>81</v>
      </c>
      <c r="G75" s="26">
        <v>1.8</v>
      </c>
      <c r="H75" s="27"/>
      <c r="I75" s="27">
        <v>0</v>
      </c>
      <c r="J75" s="28">
        <v>6.17</v>
      </c>
      <c r="M75" s="29">
        <f>ROUND(ROUND(J75, 2)*I75, 2)</f>
        <v>0</v>
      </c>
      <c r="P75" s="28">
        <v>6.17</v>
      </c>
      <c r="S75" s="29">
        <f>ROUND(ROUND(P75, 2)*I75, 2)</f>
        <v>0</v>
      </c>
      <c r="V75" s="9">
        <f>ROUND(ROUND(P75, 2)/1.2, 2)</f>
        <v>5.14</v>
      </c>
      <c r="Y75" s="9">
        <f t="shared" si="7"/>
        <v>0</v>
      </c>
      <c r="AD75" s="4" t="s">
        <v>362</v>
      </c>
      <c r="AE75" s="4" t="s">
        <v>363</v>
      </c>
      <c r="AF75" s="4" t="s">
        <v>295</v>
      </c>
    </row>
    <row r="76" spans="1:35" ht="37.5" x14ac:dyDescent="0.25">
      <c r="A76" s="10" t="s">
        <v>366</v>
      </c>
      <c r="B76" s="10" t="s">
        <v>320</v>
      </c>
      <c r="C76" s="14" t="s">
        <v>321</v>
      </c>
      <c r="D76" s="15"/>
      <c r="E76" s="15" t="s">
        <v>367</v>
      </c>
      <c r="F76" s="15" t="s">
        <v>56</v>
      </c>
      <c r="G76" s="16">
        <v>1</v>
      </c>
      <c r="H76" s="16"/>
      <c r="I76" s="16">
        <v>0</v>
      </c>
      <c r="J76" s="17">
        <f>IFERROR(ROUND(SUM(M77,M78,M79)/I76, 2),0)</f>
        <v>0</v>
      </c>
      <c r="K76" s="18">
        <v>922</v>
      </c>
      <c r="L76" s="17">
        <f>J76+ROUND(K76, 2)</f>
        <v>922</v>
      </c>
      <c r="M76" s="17">
        <f>ROUND(J76*I76, 2)</f>
        <v>0</v>
      </c>
      <c r="N76" s="17">
        <f>ROUND(I76*ROUND(K76, 2), 2)</f>
        <v>0</v>
      </c>
      <c r="O76" s="17">
        <f>M76+N76</f>
        <v>0</v>
      </c>
      <c r="P76" s="17">
        <f>IFERROR(ROUND(SUM(S77,S78,S79)/I76, 2),0)</f>
        <v>0</v>
      </c>
      <c r="Q76" s="18">
        <v>922</v>
      </c>
      <c r="R76" s="17">
        <f>P76+ROUND(Q76, 2)</f>
        <v>922</v>
      </c>
      <c r="S76" s="17">
        <f>ROUND(P76*I76, 2)</f>
        <v>0</v>
      </c>
      <c r="T76" s="17">
        <f>ROUND(I76*ROUND(Q76, 2), 2)</f>
        <v>0</v>
      </c>
      <c r="U76" s="17">
        <f>S76+T76</f>
        <v>0</v>
      </c>
      <c r="V76" s="9">
        <f>ROUND(P76 / 1.2, 2)</f>
        <v>0</v>
      </c>
      <c r="W76" s="9">
        <f>ROUND(Q76 / 1.2, 2)</f>
        <v>768.33</v>
      </c>
      <c r="X76" s="9">
        <f>ROUND(R76 / 1.2, 2)</f>
        <v>768.33</v>
      </c>
      <c r="Y76" s="9">
        <f t="shared" si="7"/>
        <v>0</v>
      </c>
      <c r="Z76" s="9">
        <f>ROUND(T76 / 1.2, 2)</f>
        <v>0</v>
      </c>
      <c r="AA76" s="9">
        <f>Y76+Z76</f>
        <v>0</v>
      </c>
      <c r="AD76" s="4">
        <v>264030366</v>
      </c>
      <c r="AE76" s="4">
        <v>16088189</v>
      </c>
      <c r="AG76" s="4" t="s">
        <v>323</v>
      </c>
      <c r="AH76" s="4" t="s">
        <v>324</v>
      </c>
      <c r="AI76" s="4" t="s">
        <v>249</v>
      </c>
    </row>
    <row r="77" spans="1:35" ht="18.75" x14ac:dyDescent="0.25">
      <c r="A77" s="10" t="s">
        <v>369</v>
      </c>
      <c r="B77" s="10"/>
      <c r="C77" s="24" t="s">
        <v>370</v>
      </c>
      <c r="D77" s="15"/>
      <c r="E77" s="15" t="s">
        <v>371</v>
      </c>
      <c r="F77" s="25" t="s">
        <v>81</v>
      </c>
      <c r="G77" s="26">
        <v>1.8</v>
      </c>
      <c r="H77" s="27"/>
      <c r="I77" s="27">
        <v>0</v>
      </c>
      <c r="J77" s="28">
        <v>7.41</v>
      </c>
      <c r="M77" s="29">
        <f>ROUND(ROUND(J77, 2)*I77, 2)</f>
        <v>0</v>
      </c>
      <c r="P77" s="28">
        <v>7.41</v>
      </c>
      <c r="S77" s="29">
        <f>ROUND(ROUND(P77, 2)*I77, 2)</f>
        <v>0</v>
      </c>
      <c r="V77" s="9">
        <f>ROUND(ROUND(P77, 2)/1.2, 2)</f>
        <v>6.18</v>
      </c>
      <c r="Y77" s="9">
        <f t="shared" si="7"/>
        <v>0</v>
      </c>
      <c r="AD77" s="4" t="s">
        <v>372</v>
      </c>
      <c r="AE77" s="4" t="s">
        <v>373</v>
      </c>
      <c r="AF77" s="4" t="s">
        <v>374</v>
      </c>
    </row>
    <row r="78" spans="1:35" ht="18.75" x14ac:dyDescent="0.25">
      <c r="A78" s="10" t="s">
        <v>377</v>
      </c>
      <c r="B78" s="10"/>
      <c r="C78" s="24" t="s">
        <v>299</v>
      </c>
      <c r="D78" s="15"/>
      <c r="E78" s="15"/>
      <c r="F78" s="25" t="s">
        <v>56</v>
      </c>
      <c r="G78" s="26">
        <v>1.1000000000000001</v>
      </c>
      <c r="H78" s="27"/>
      <c r="I78" s="27">
        <v>0</v>
      </c>
      <c r="J78" s="28">
        <v>155.01</v>
      </c>
      <c r="M78" s="29">
        <f>ROUND(ROUND(J78, 2)*I78, 2)</f>
        <v>0</v>
      </c>
      <c r="P78" s="28">
        <v>155.01</v>
      </c>
      <c r="S78" s="29">
        <f>ROUND(ROUND(P78, 2)*I78, 2)</f>
        <v>0</v>
      </c>
      <c r="V78" s="9">
        <f>ROUND(ROUND(P78, 2)/1.2, 2)</f>
        <v>129.18</v>
      </c>
      <c r="Y78" s="9">
        <f t="shared" si="7"/>
        <v>0</v>
      </c>
      <c r="AD78" s="4" t="s">
        <v>378</v>
      </c>
      <c r="AE78" s="4" t="s">
        <v>379</v>
      </c>
      <c r="AF78" s="4" t="s">
        <v>302</v>
      </c>
    </row>
    <row r="79" spans="1:35" ht="37.5" x14ac:dyDescent="0.25">
      <c r="A79" s="10" t="s">
        <v>382</v>
      </c>
      <c r="B79" s="10"/>
      <c r="C79" s="24" t="s">
        <v>306</v>
      </c>
      <c r="D79" s="15"/>
      <c r="E79" s="15"/>
      <c r="F79" s="25" t="s">
        <v>123</v>
      </c>
      <c r="G79" s="26">
        <v>1</v>
      </c>
      <c r="H79" s="27"/>
      <c r="I79" s="27">
        <v>0</v>
      </c>
      <c r="J79" s="28">
        <v>10.4</v>
      </c>
      <c r="M79" s="29">
        <f>ROUND(ROUND(J79, 2)*I79, 2)</f>
        <v>0</v>
      </c>
      <c r="P79" s="28">
        <v>10.4</v>
      </c>
      <c r="S79" s="29">
        <f>ROUND(ROUND(P79, 2)*I79, 2)</f>
        <v>0</v>
      </c>
      <c r="V79" s="9">
        <f>ROUND(ROUND(P79, 2)/1.2, 2)</f>
        <v>8.67</v>
      </c>
      <c r="Y79" s="9">
        <f t="shared" si="7"/>
        <v>0</v>
      </c>
      <c r="AD79" s="4" t="s">
        <v>383</v>
      </c>
      <c r="AE79" s="4" t="s">
        <v>384</v>
      </c>
      <c r="AF79" s="4" t="s">
        <v>309</v>
      </c>
    </row>
    <row r="80" spans="1:35" ht="75" x14ac:dyDescent="0.25">
      <c r="A80" s="10" t="s">
        <v>387</v>
      </c>
      <c r="B80" s="10" t="s">
        <v>320</v>
      </c>
      <c r="C80" s="14" t="s">
        <v>321</v>
      </c>
      <c r="D80" s="15"/>
      <c r="E80" s="15" t="s">
        <v>388</v>
      </c>
      <c r="F80" s="15" t="s">
        <v>56</v>
      </c>
      <c r="G80" s="16">
        <v>1</v>
      </c>
      <c r="H80" s="16"/>
      <c r="I80" s="16">
        <v>75.25</v>
      </c>
      <c r="J80" s="17">
        <f>IFERROR(ROUND(SUM(M81)/I80, 2),0)</f>
        <v>6.8</v>
      </c>
      <c r="K80" s="18">
        <v>1014</v>
      </c>
      <c r="L80" s="17">
        <f>J80+ROUND(K80, 2)</f>
        <v>1020.8</v>
      </c>
      <c r="M80" s="17">
        <f>ROUND(J80*I80, 2)</f>
        <v>511.7</v>
      </c>
      <c r="N80" s="17">
        <f>ROUND(I80*ROUND(K80, 2), 2)</f>
        <v>76303.5</v>
      </c>
      <c r="O80" s="17">
        <f>M80+N80</f>
        <v>76815.199999999997</v>
      </c>
      <c r="P80" s="17">
        <f>IFERROR(ROUND(SUM(S81)/I80, 2),0)</f>
        <v>6.8</v>
      </c>
      <c r="Q80" s="19">
        <v>1014</v>
      </c>
      <c r="R80" s="17">
        <f>P80+ROUND(Q80, 2)</f>
        <v>1020.8</v>
      </c>
      <c r="S80" s="17">
        <f>ROUND(P80*I80, 2)</f>
        <v>511.7</v>
      </c>
      <c r="T80" s="17">
        <f>ROUND(I80*ROUND(Q80, 2), 2)</f>
        <v>76303.5</v>
      </c>
      <c r="U80" s="17">
        <f>S80+T80</f>
        <v>76815.199999999997</v>
      </c>
      <c r="V80" s="9">
        <f>ROUND(P80 / 1.2, 2)</f>
        <v>5.67</v>
      </c>
      <c r="W80" s="9">
        <f>ROUND(Q80 / 1.2, 2)</f>
        <v>845</v>
      </c>
      <c r="X80" s="9">
        <f>ROUND(R80 / 1.2, 2)</f>
        <v>850.67</v>
      </c>
      <c r="Y80" s="9">
        <f t="shared" si="7"/>
        <v>426.42</v>
      </c>
      <c r="Z80" s="9">
        <f>ROUND(T80 / 1.2, 2)</f>
        <v>63586.25</v>
      </c>
      <c r="AA80" s="9">
        <f>Y80+Z80</f>
        <v>64012.67</v>
      </c>
      <c r="AD80" s="4">
        <v>264030367</v>
      </c>
      <c r="AE80" s="4">
        <v>19924641</v>
      </c>
      <c r="AG80" s="4" t="s">
        <v>323</v>
      </c>
      <c r="AH80" s="4" t="s">
        <v>324</v>
      </c>
      <c r="AI80" s="4" t="s">
        <v>249</v>
      </c>
    </row>
    <row r="81" spans="1:35" ht="37.5" x14ac:dyDescent="0.25">
      <c r="A81" s="10" t="s">
        <v>389</v>
      </c>
      <c r="B81" s="10"/>
      <c r="C81" s="24" t="s">
        <v>390</v>
      </c>
      <c r="D81" s="15"/>
      <c r="E81" s="15" t="s">
        <v>391</v>
      </c>
      <c r="F81" s="25" t="s">
        <v>81</v>
      </c>
      <c r="G81" s="26">
        <v>2.2000000000000002</v>
      </c>
      <c r="H81" s="27"/>
      <c r="I81" s="27">
        <v>165.55</v>
      </c>
      <c r="J81" s="28">
        <v>3.09</v>
      </c>
      <c r="M81" s="29">
        <f>ROUND(ROUND(J81, 2)*I81, 2)</f>
        <v>511.55</v>
      </c>
      <c r="P81" s="30">
        <v>3.09</v>
      </c>
      <c r="S81" s="29">
        <f>ROUND(ROUND(P81, 2)*I81, 2)</f>
        <v>511.55</v>
      </c>
      <c r="V81" s="9">
        <f>ROUND(ROUND(P81, 2)/1.2, 2)</f>
        <v>2.58</v>
      </c>
      <c r="Y81" s="9">
        <f t="shared" si="7"/>
        <v>426.29</v>
      </c>
      <c r="AD81" s="4" t="s">
        <v>392</v>
      </c>
      <c r="AE81" s="4" t="s">
        <v>393</v>
      </c>
      <c r="AF81" s="4" t="s">
        <v>394</v>
      </c>
    </row>
    <row r="82" spans="1:35" ht="168.75" x14ac:dyDescent="0.25">
      <c r="A82" s="10" t="s">
        <v>395</v>
      </c>
      <c r="B82" s="10" t="s">
        <v>320</v>
      </c>
      <c r="C82" s="14" t="s">
        <v>321</v>
      </c>
      <c r="D82" s="15"/>
      <c r="E82" s="15" t="s">
        <v>396</v>
      </c>
      <c r="F82" s="15" t="s">
        <v>56</v>
      </c>
      <c r="G82" s="16">
        <v>1</v>
      </c>
      <c r="H82" s="16"/>
      <c r="I82" s="16">
        <v>891.74</v>
      </c>
      <c r="J82" s="17">
        <f>IFERROR(ROUND(SUM(M83)/I82, 2),0)</f>
        <v>0</v>
      </c>
      <c r="K82" s="18">
        <v>1014</v>
      </c>
      <c r="L82" s="17">
        <f>J82+ROUND(K82, 2)</f>
        <v>1014</v>
      </c>
      <c r="M82" s="17">
        <f>ROUND(J82*I82, 2)</f>
        <v>0</v>
      </c>
      <c r="N82" s="17">
        <f>ROUND(I82*ROUND(K82, 2), 2)</f>
        <v>904224.36</v>
      </c>
      <c r="O82" s="17">
        <f>M82+N82</f>
        <v>904224.36</v>
      </c>
      <c r="P82" s="17">
        <f>IFERROR(ROUND(SUM(S83)/I82, 2),0)</f>
        <v>0</v>
      </c>
      <c r="Q82" s="19">
        <v>1014</v>
      </c>
      <c r="R82" s="17">
        <f>P82+ROUND(Q82, 2)</f>
        <v>1014</v>
      </c>
      <c r="S82" s="17">
        <f>ROUND(P82*I82, 2)</f>
        <v>0</v>
      </c>
      <c r="T82" s="17">
        <f>ROUND(I82*ROUND(Q82, 2), 2)</f>
        <v>904224.36</v>
      </c>
      <c r="U82" s="17">
        <f>S82+T82</f>
        <v>904224.36</v>
      </c>
      <c r="V82" s="9">
        <f>ROUND(P82 / 1.2, 2)</f>
        <v>0</v>
      </c>
      <c r="W82" s="9">
        <f>ROUND(Q82 / 1.2, 2)</f>
        <v>845</v>
      </c>
      <c r="X82" s="9">
        <f>ROUND(R82 / 1.2, 2)</f>
        <v>845</v>
      </c>
      <c r="Y82" s="9">
        <f t="shared" si="7"/>
        <v>0</v>
      </c>
      <c r="Z82" s="9">
        <f>ROUND(T82 / 1.2, 2)</f>
        <v>753520.3</v>
      </c>
      <c r="AA82" s="9">
        <f>Y82+Z82</f>
        <v>753520.3</v>
      </c>
      <c r="AD82" s="4">
        <v>264030368</v>
      </c>
      <c r="AE82" s="4">
        <v>19925077</v>
      </c>
      <c r="AG82" s="4" t="s">
        <v>323</v>
      </c>
      <c r="AH82" s="4" t="s">
        <v>324</v>
      </c>
      <c r="AI82" s="4" t="s">
        <v>249</v>
      </c>
    </row>
    <row r="83" spans="1:35" ht="56.25" x14ac:dyDescent="0.25">
      <c r="A83" s="10" t="s">
        <v>397</v>
      </c>
      <c r="B83" s="10"/>
      <c r="C83" s="24" t="s">
        <v>398</v>
      </c>
      <c r="D83" s="15"/>
      <c r="E83" s="15" t="s">
        <v>399</v>
      </c>
      <c r="F83" s="25" t="s">
        <v>81</v>
      </c>
      <c r="G83" s="26">
        <v>0.2</v>
      </c>
      <c r="H83" s="26"/>
      <c r="I83" s="26">
        <v>178.34800000000001</v>
      </c>
      <c r="J83" s="28">
        <v>0</v>
      </c>
      <c r="M83" s="29">
        <f>ROUND(ROUND(J83, 2)*I83, 2)</f>
        <v>0</v>
      </c>
      <c r="P83" s="30">
        <v>0</v>
      </c>
      <c r="S83" s="29">
        <f>ROUND(ROUND(P83, 2)*I83, 2)</f>
        <v>0</v>
      </c>
      <c r="V83" s="9">
        <f>ROUND(ROUND(P83, 2)/1.2, 2)</f>
        <v>0</v>
      </c>
      <c r="Y83" s="9">
        <f t="shared" si="7"/>
        <v>0</v>
      </c>
      <c r="AD83" s="4" t="s">
        <v>400</v>
      </c>
      <c r="AE83" s="4" t="s">
        <v>401</v>
      </c>
      <c r="AF83" s="4" t="s">
        <v>402</v>
      </c>
    </row>
    <row r="84" spans="1:35" ht="17.100000000000001" customHeight="1" x14ac:dyDescent="0.25">
      <c r="A84" s="10" t="s">
        <v>403</v>
      </c>
      <c r="B84" s="10" t="s">
        <v>404</v>
      </c>
      <c r="C84" s="116" t="s">
        <v>405</v>
      </c>
      <c r="D84" s="117"/>
      <c r="E84" s="117"/>
      <c r="F84" s="117"/>
      <c r="G84" s="117"/>
      <c r="H84" s="117"/>
      <c r="I84" s="118"/>
      <c r="M84" s="6">
        <f>SUM(M85,M88,M91)</f>
        <v>0</v>
      </c>
      <c r="N84" s="6">
        <f>SUM(N85,N88,N91)</f>
        <v>0</v>
      </c>
      <c r="O84" s="6">
        <f>SUM(O85,O88,O91)</f>
        <v>0</v>
      </c>
      <c r="S84" s="6">
        <f>SUM(S85,S88,S91)</f>
        <v>0</v>
      </c>
      <c r="T84" s="6">
        <f>SUM(T85,T88,T91)</f>
        <v>0</v>
      </c>
      <c r="U84" s="6">
        <f>SUM(U85,U88,U91)</f>
        <v>0</v>
      </c>
      <c r="Y84" s="9">
        <f>SUM(Y85,Y88,Y91)</f>
        <v>0</v>
      </c>
      <c r="Z84" s="9">
        <f>SUM(Z85,Z88,Z91)</f>
        <v>0</v>
      </c>
      <c r="AA84" s="9">
        <f>SUM(AA85,AA88,AA91)</f>
        <v>0</v>
      </c>
      <c r="AD84" s="4">
        <v>264030272</v>
      </c>
      <c r="AE84" s="4">
        <v>16077960</v>
      </c>
    </row>
    <row r="85" spans="1:35" ht="37.5" x14ac:dyDescent="0.25">
      <c r="A85" s="10" t="s">
        <v>406</v>
      </c>
      <c r="B85" s="10" t="s">
        <v>407</v>
      </c>
      <c r="C85" s="14" t="s">
        <v>408</v>
      </c>
      <c r="D85" s="15"/>
      <c r="E85" s="15" t="s">
        <v>409</v>
      </c>
      <c r="F85" s="15" t="s">
        <v>56</v>
      </c>
      <c r="G85" s="16">
        <v>1</v>
      </c>
      <c r="H85" s="16"/>
      <c r="I85" s="16">
        <v>0</v>
      </c>
      <c r="J85" s="17">
        <f>IFERROR(ROUND(SUM(M86,M87)/I85, 2),0)</f>
        <v>0</v>
      </c>
      <c r="K85" s="18">
        <v>439</v>
      </c>
      <c r="L85" s="17">
        <f>J85+ROUND(K85, 2)</f>
        <v>439</v>
      </c>
      <c r="M85" s="17">
        <f>ROUND(J85*I85, 2)</f>
        <v>0</v>
      </c>
      <c r="N85" s="17">
        <f>ROUND(I85*ROUND(K85, 2), 2)</f>
        <v>0</v>
      </c>
      <c r="O85" s="17">
        <f>M85+N85</f>
        <v>0</v>
      </c>
      <c r="P85" s="17">
        <f>IFERROR(ROUND(SUM(S86,S87)/I85, 2),0)</f>
        <v>0</v>
      </c>
      <c r="Q85" s="18">
        <v>439</v>
      </c>
      <c r="R85" s="17">
        <f>P85+ROUND(Q85, 2)</f>
        <v>439</v>
      </c>
      <c r="S85" s="17">
        <f>ROUND(P85*I85, 2)</f>
        <v>0</v>
      </c>
      <c r="T85" s="17">
        <f>ROUND(I85*ROUND(Q85, 2), 2)</f>
        <v>0</v>
      </c>
      <c r="U85" s="17">
        <f>S85+T85</f>
        <v>0</v>
      </c>
      <c r="V85" s="9">
        <f>ROUND(P85 / 1.2, 2)</f>
        <v>0</v>
      </c>
      <c r="W85" s="9">
        <f>ROUND(Q85 / 1.2, 2)</f>
        <v>365.83</v>
      </c>
      <c r="X85" s="9">
        <f>ROUND(R85 / 1.2, 2)</f>
        <v>365.83</v>
      </c>
      <c r="Y85" s="9">
        <f>ROUND(S85 / 1.2, 2)</f>
        <v>0</v>
      </c>
      <c r="Z85" s="9">
        <f>ROUND(T85 / 1.2, 2)</f>
        <v>0</v>
      </c>
      <c r="AA85" s="9">
        <f>Y85+Z85</f>
        <v>0</v>
      </c>
      <c r="AD85" s="4">
        <v>264030274</v>
      </c>
      <c r="AE85" s="4">
        <v>16077964</v>
      </c>
      <c r="AG85" s="4" t="s">
        <v>410</v>
      </c>
      <c r="AH85" s="4" t="s">
        <v>411</v>
      </c>
      <c r="AI85" s="4" t="s">
        <v>249</v>
      </c>
    </row>
    <row r="86" spans="1:35" ht="18.75" x14ac:dyDescent="0.25">
      <c r="A86" s="10" t="s">
        <v>413</v>
      </c>
      <c r="B86" s="10"/>
      <c r="C86" s="24" t="s">
        <v>414</v>
      </c>
      <c r="D86" s="15"/>
      <c r="E86" s="15"/>
      <c r="F86" s="25" t="s">
        <v>103</v>
      </c>
      <c r="G86" s="26">
        <v>0.1</v>
      </c>
      <c r="H86" s="27"/>
      <c r="I86" s="27">
        <v>0</v>
      </c>
      <c r="J86" s="28">
        <v>600</v>
      </c>
      <c r="M86" s="29">
        <f>ROUND(ROUND(J86, 2)*I86, 2)</f>
        <v>0</v>
      </c>
      <c r="P86" s="28">
        <v>600</v>
      </c>
      <c r="S86" s="29">
        <f>ROUND(ROUND(P86, 2)*I86, 2)</f>
        <v>0</v>
      </c>
      <c r="V86" s="9">
        <f>ROUND(ROUND(P86, 2)/1.2, 2)</f>
        <v>500</v>
      </c>
      <c r="Y86" s="9">
        <f t="shared" ref="Y86:Y92" si="8">ROUND(S86 / 1.2, 2)</f>
        <v>0</v>
      </c>
      <c r="AD86" s="4" t="s">
        <v>415</v>
      </c>
      <c r="AE86" s="4" t="s">
        <v>416</v>
      </c>
      <c r="AF86" s="4" t="s">
        <v>417</v>
      </c>
    </row>
    <row r="87" spans="1:35" ht="18.75" x14ac:dyDescent="0.25">
      <c r="A87" s="10" t="s">
        <v>420</v>
      </c>
      <c r="B87" s="10"/>
      <c r="C87" s="37" t="s">
        <v>421</v>
      </c>
      <c r="D87" s="15"/>
      <c r="E87" s="15"/>
      <c r="F87" s="25" t="s">
        <v>422</v>
      </c>
      <c r="G87" s="26">
        <v>1.03</v>
      </c>
      <c r="H87" s="27"/>
      <c r="I87" s="27">
        <v>0</v>
      </c>
      <c r="J87" s="28">
        <v>5213.5</v>
      </c>
      <c r="M87" s="29">
        <f>ROUND(ROUND(J87, 2)*I87, 2)</f>
        <v>0</v>
      </c>
      <c r="P87" s="28">
        <v>5213.5</v>
      </c>
      <c r="S87" s="29">
        <f>ROUND(ROUND(P87, 2)*I87, 2)</f>
        <v>0</v>
      </c>
      <c r="V87" s="9">
        <f>ROUND(ROUND(P87, 2)/1.2, 2)</f>
        <v>4344.58</v>
      </c>
      <c r="Y87" s="9">
        <f t="shared" si="8"/>
        <v>0</v>
      </c>
      <c r="AD87" s="4" t="s">
        <v>423</v>
      </c>
      <c r="AE87" s="4" t="s">
        <v>424</v>
      </c>
      <c r="AF87" s="4" t="s">
        <v>425</v>
      </c>
    </row>
    <row r="88" spans="1:35" ht="37.5" x14ac:dyDescent="0.25">
      <c r="A88" s="10" t="s">
        <v>428</v>
      </c>
      <c r="B88" s="10" t="s">
        <v>407</v>
      </c>
      <c r="C88" s="14" t="s">
        <v>408</v>
      </c>
      <c r="D88" s="15"/>
      <c r="E88" s="15" t="s">
        <v>429</v>
      </c>
      <c r="F88" s="15" t="s">
        <v>56</v>
      </c>
      <c r="G88" s="16">
        <v>1</v>
      </c>
      <c r="H88" s="16"/>
      <c r="I88" s="16">
        <v>0</v>
      </c>
      <c r="J88" s="17">
        <f>IFERROR(ROUND(SUM(M89,M90)/I88, 2),0)</f>
        <v>0</v>
      </c>
      <c r="K88" s="18">
        <v>439</v>
      </c>
      <c r="L88" s="17">
        <f>J88+ROUND(K88, 2)</f>
        <v>439</v>
      </c>
      <c r="M88" s="17">
        <f>ROUND(J88*I88, 2)</f>
        <v>0</v>
      </c>
      <c r="N88" s="17">
        <f>ROUND(I88*ROUND(K88, 2), 2)</f>
        <v>0</v>
      </c>
      <c r="O88" s="17">
        <f>M88+N88</f>
        <v>0</v>
      </c>
      <c r="P88" s="17">
        <f>IFERROR(ROUND(SUM(S89,S90)/I88, 2),0)</f>
        <v>0</v>
      </c>
      <c r="Q88" s="18">
        <v>439</v>
      </c>
      <c r="R88" s="17">
        <f>P88+ROUND(Q88, 2)</f>
        <v>439</v>
      </c>
      <c r="S88" s="17">
        <f>ROUND(P88*I88, 2)</f>
        <v>0</v>
      </c>
      <c r="T88" s="17">
        <f>ROUND(I88*ROUND(Q88, 2), 2)</f>
        <v>0</v>
      </c>
      <c r="U88" s="17">
        <f>S88+T88</f>
        <v>0</v>
      </c>
      <c r="V88" s="9">
        <f>ROUND(P88 / 1.2, 2)</f>
        <v>0</v>
      </c>
      <c r="W88" s="9">
        <f>ROUND(Q88 / 1.2, 2)</f>
        <v>365.83</v>
      </c>
      <c r="X88" s="9">
        <f>ROUND(R88 / 1.2, 2)</f>
        <v>365.83</v>
      </c>
      <c r="Y88" s="9">
        <f t="shared" si="8"/>
        <v>0</v>
      </c>
      <c r="Z88" s="9">
        <f>ROUND(T88 / 1.2, 2)</f>
        <v>0</v>
      </c>
      <c r="AA88" s="9">
        <f>Y88+Z88</f>
        <v>0</v>
      </c>
      <c r="AD88" s="4">
        <v>264030369</v>
      </c>
      <c r="AE88" s="4">
        <v>16088188</v>
      </c>
      <c r="AG88" s="4" t="s">
        <v>410</v>
      </c>
      <c r="AH88" s="4" t="s">
        <v>411</v>
      </c>
      <c r="AI88" s="4" t="s">
        <v>249</v>
      </c>
    </row>
    <row r="89" spans="1:35" ht="18.75" x14ac:dyDescent="0.25">
      <c r="A89" s="10" t="s">
        <v>431</v>
      </c>
      <c r="B89" s="10"/>
      <c r="C89" s="37" t="s">
        <v>421</v>
      </c>
      <c r="D89" s="15"/>
      <c r="E89" s="15"/>
      <c r="F89" s="25" t="s">
        <v>422</v>
      </c>
      <c r="G89" s="26">
        <v>1.03</v>
      </c>
      <c r="H89" s="27"/>
      <c r="I89" s="27">
        <v>0</v>
      </c>
      <c r="J89" s="28">
        <v>5213.5</v>
      </c>
      <c r="M89" s="29">
        <f>ROUND(ROUND(J89, 2)*I89, 2)</f>
        <v>0</v>
      </c>
      <c r="P89" s="28">
        <v>5213.5</v>
      </c>
      <c r="S89" s="29">
        <f>ROUND(ROUND(P89, 2)*I89, 2)</f>
        <v>0</v>
      </c>
      <c r="V89" s="9">
        <f>ROUND(ROUND(P89, 2)/1.2, 2)</f>
        <v>4344.58</v>
      </c>
      <c r="Y89" s="9">
        <f t="shared" si="8"/>
        <v>0</v>
      </c>
      <c r="AD89" s="4" t="s">
        <v>432</v>
      </c>
      <c r="AE89" s="4" t="s">
        <v>433</v>
      </c>
      <c r="AF89" s="4" t="s">
        <v>425</v>
      </c>
    </row>
    <row r="90" spans="1:35" ht="18.75" x14ac:dyDescent="0.25">
      <c r="A90" s="10" t="s">
        <v>436</v>
      </c>
      <c r="B90" s="10"/>
      <c r="C90" s="24" t="s">
        <v>414</v>
      </c>
      <c r="D90" s="15"/>
      <c r="E90" s="15"/>
      <c r="F90" s="25" t="s">
        <v>103</v>
      </c>
      <c r="G90" s="26">
        <v>0.1</v>
      </c>
      <c r="H90" s="27"/>
      <c r="I90" s="27">
        <v>0</v>
      </c>
      <c r="J90" s="28">
        <v>600</v>
      </c>
      <c r="M90" s="29">
        <f>ROUND(ROUND(J90, 2)*I90, 2)</f>
        <v>0</v>
      </c>
      <c r="P90" s="28">
        <v>600</v>
      </c>
      <c r="S90" s="29">
        <f>ROUND(ROUND(P90, 2)*I90, 2)</f>
        <v>0</v>
      </c>
      <c r="V90" s="9">
        <f>ROUND(ROUND(P90, 2)/1.2, 2)</f>
        <v>500</v>
      </c>
      <c r="Y90" s="9">
        <f t="shared" si="8"/>
        <v>0</v>
      </c>
      <c r="AD90" s="4" t="s">
        <v>437</v>
      </c>
      <c r="AE90" s="4" t="s">
        <v>438</v>
      </c>
      <c r="AF90" s="4" t="s">
        <v>417</v>
      </c>
    </row>
    <row r="91" spans="1:35" ht="37.5" x14ac:dyDescent="0.25">
      <c r="A91" s="10" t="s">
        <v>441</v>
      </c>
      <c r="B91" s="10" t="s">
        <v>442</v>
      </c>
      <c r="C91" s="14" t="s">
        <v>443</v>
      </c>
      <c r="D91" s="15"/>
      <c r="E91" s="15" t="s">
        <v>444</v>
      </c>
      <c r="F91" s="15" t="s">
        <v>56</v>
      </c>
      <c r="G91" s="16">
        <v>1</v>
      </c>
      <c r="H91" s="16"/>
      <c r="I91" s="16">
        <v>0</v>
      </c>
      <c r="J91" s="17">
        <f>IFERROR(ROUND(SUM(M92)/I91, 2),0)</f>
        <v>0</v>
      </c>
      <c r="K91" s="18">
        <v>56</v>
      </c>
      <c r="L91" s="17">
        <f>J91+ROUND(K91, 2)</f>
        <v>56</v>
      </c>
      <c r="M91" s="17">
        <f>ROUND(J91*I91, 2)</f>
        <v>0</v>
      </c>
      <c r="N91" s="17">
        <f>ROUND(I91*ROUND(K91, 2), 2)</f>
        <v>0</v>
      </c>
      <c r="O91" s="17">
        <f>M91+N91</f>
        <v>0</v>
      </c>
      <c r="P91" s="17">
        <f>IFERROR(ROUND(SUM(S92)/I91, 2),0)</f>
        <v>0</v>
      </c>
      <c r="Q91" s="18">
        <v>56</v>
      </c>
      <c r="R91" s="17">
        <f>P91+ROUND(Q91, 2)</f>
        <v>56</v>
      </c>
      <c r="S91" s="17">
        <f>ROUND(P91*I91, 2)</f>
        <v>0</v>
      </c>
      <c r="T91" s="17">
        <f>ROUND(I91*ROUND(Q91, 2), 2)</f>
        <v>0</v>
      </c>
      <c r="U91" s="17">
        <f>S91+T91</f>
        <v>0</v>
      </c>
      <c r="V91" s="9">
        <f>ROUND(P91 / 1.2, 2)</f>
        <v>0</v>
      </c>
      <c r="W91" s="9">
        <f>ROUND(Q91 / 1.2, 2)</f>
        <v>46.67</v>
      </c>
      <c r="X91" s="9">
        <f>ROUND(R91 / 1.2, 2)</f>
        <v>46.67</v>
      </c>
      <c r="Y91" s="9">
        <f t="shared" si="8"/>
        <v>0</v>
      </c>
      <c r="Z91" s="9">
        <f>ROUND(T91 / 1.2, 2)</f>
        <v>0</v>
      </c>
      <c r="AA91" s="9">
        <f>Y91+Z91</f>
        <v>0</v>
      </c>
      <c r="AD91" s="4">
        <v>264030275</v>
      </c>
      <c r="AE91" s="4">
        <v>16078329</v>
      </c>
      <c r="AG91" s="4" t="s">
        <v>445</v>
      </c>
      <c r="AH91" s="4" t="s">
        <v>446</v>
      </c>
      <c r="AI91" s="4" t="s">
        <v>249</v>
      </c>
    </row>
    <row r="92" spans="1:35" ht="56.25" x14ac:dyDescent="0.25">
      <c r="A92" s="10" t="s">
        <v>448</v>
      </c>
      <c r="B92" s="10"/>
      <c r="C92" s="24" t="s">
        <v>449</v>
      </c>
      <c r="D92" s="15"/>
      <c r="E92" s="15" t="s">
        <v>450</v>
      </c>
      <c r="F92" s="25" t="s">
        <v>56</v>
      </c>
      <c r="G92" s="26">
        <v>1.03</v>
      </c>
      <c r="H92" s="26"/>
      <c r="I92" s="26">
        <v>0</v>
      </c>
      <c r="J92" s="28">
        <v>54</v>
      </c>
      <c r="M92" s="29">
        <f>ROUND(ROUND(J92, 2)*I92, 2)</f>
        <v>0</v>
      </c>
      <c r="P92" s="28">
        <v>54</v>
      </c>
      <c r="S92" s="29">
        <f>ROUND(ROUND(P92, 2)*I92, 2)</f>
        <v>0</v>
      </c>
      <c r="V92" s="9">
        <f>ROUND(ROUND(P92, 2)/1.2, 2)</f>
        <v>45</v>
      </c>
      <c r="Y92" s="9">
        <f t="shared" si="8"/>
        <v>0</v>
      </c>
      <c r="AD92" s="4" t="s">
        <v>451</v>
      </c>
      <c r="AE92" s="4" t="s">
        <v>452</v>
      </c>
      <c r="AF92" s="4" t="s">
        <v>453</v>
      </c>
    </row>
    <row r="93" spans="1:35" ht="17.100000000000001" customHeight="1" x14ac:dyDescent="0.25">
      <c r="A93" s="10" t="s">
        <v>456</v>
      </c>
      <c r="B93" s="10" t="s">
        <v>457</v>
      </c>
      <c r="C93" s="116" t="s">
        <v>458</v>
      </c>
      <c r="D93" s="117"/>
      <c r="E93" s="117"/>
      <c r="F93" s="117"/>
      <c r="G93" s="117"/>
      <c r="H93" s="117"/>
      <c r="I93" s="118"/>
      <c r="M93" s="6">
        <f>SUM(M94,M99,M104,M109,M113,M116,M121,M126)</f>
        <v>1450065.88</v>
      </c>
      <c r="N93" s="6">
        <f>SUM(N94,N99,N104,N109,N113,N116,N121,N126)</f>
        <v>417036.1</v>
      </c>
      <c r="O93" s="6">
        <f>SUM(O94,O99,O104,O109,O113,O116,O121,O126)</f>
        <v>1867101.98</v>
      </c>
      <c r="S93" s="6">
        <f>SUM(S94,S99,S104,S109,S113,S116,S121,S126)</f>
        <v>1450065.88</v>
      </c>
      <c r="T93" s="6">
        <f>SUM(T94,T99,T104,T109,T113,T116,T121,T126)</f>
        <v>417036.1</v>
      </c>
      <c r="U93" s="6">
        <f>SUM(U94,U99,U104,U109,U113,U116,U121,U126)</f>
        <v>1867101.98</v>
      </c>
      <c r="Y93" s="9">
        <f>SUM(Y94,Y99,Y104,Y109,Y113,Y116,Y121,Y126)</f>
        <v>1208388.24</v>
      </c>
      <c r="Z93" s="9">
        <f>SUM(Z94,Z99,Z104,Z109,Z113,Z116,Z121,Z126)</f>
        <v>347530.08</v>
      </c>
      <c r="AA93" s="9">
        <f>SUM(AA94,AA99,AA104,AA109,AA113,AA116,AA121,AA126)</f>
        <v>1555918.32</v>
      </c>
      <c r="AD93" s="4">
        <v>264030276</v>
      </c>
      <c r="AE93" s="4">
        <v>16075337</v>
      </c>
    </row>
    <row r="94" spans="1:35" ht="56.25" x14ac:dyDescent="0.25">
      <c r="A94" s="10" t="s">
        <v>459</v>
      </c>
      <c r="B94" s="10" t="s">
        <v>460</v>
      </c>
      <c r="C94" s="14" t="s">
        <v>461</v>
      </c>
      <c r="D94" s="15"/>
      <c r="E94" s="15" t="s">
        <v>462</v>
      </c>
      <c r="F94" s="15" t="s">
        <v>56</v>
      </c>
      <c r="G94" s="16">
        <v>1</v>
      </c>
      <c r="H94" s="16"/>
      <c r="I94" s="16">
        <v>0</v>
      </c>
      <c r="J94" s="17">
        <f>IFERROR(ROUND(SUM(M95,M96,M97,M98)/I94, 2),0)</f>
        <v>0</v>
      </c>
      <c r="K94" s="18">
        <v>1251</v>
      </c>
      <c r="L94" s="17">
        <f>J94+ROUND(K94, 2)</f>
        <v>1251</v>
      </c>
      <c r="M94" s="17">
        <f>ROUND(J94*I94, 2)</f>
        <v>0</v>
      </c>
      <c r="N94" s="17">
        <f>ROUND(I94*ROUND(K94, 2), 2)</f>
        <v>0</v>
      </c>
      <c r="O94" s="17">
        <f>M94+N94</f>
        <v>0</v>
      </c>
      <c r="P94" s="17">
        <f>IFERROR(ROUND(SUM(S95,S96,S97,S98)/I94, 2),0)</f>
        <v>0</v>
      </c>
      <c r="Q94" s="18">
        <v>1251</v>
      </c>
      <c r="R94" s="17">
        <f>P94+ROUND(Q94, 2)</f>
        <v>1251</v>
      </c>
      <c r="S94" s="17">
        <f>ROUND(P94*I94, 2)</f>
        <v>0</v>
      </c>
      <c r="T94" s="17">
        <f>ROUND(I94*ROUND(Q94, 2), 2)</f>
        <v>0</v>
      </c>
      <c r="U94" s="17">
        <f>S94+T94</f>
        <v>0</v>
      </c>
      <c r="V94" s="9">
        <f>ROUND(P94 / 1.2, 2)</f>
        <v>0</v>
      </c>
      <c r="W94" s="9">
        <f>ROUND(Q94 / 1.2, 2)</f>
        <v>1042.5</v>
      </c>
      <c r="X94" s="9">
        <f>ROUND(R94 / 1.2, 2)</f>
        <v>1042.5</v>
      </c>
      <c r="Y94" s="9">
        <f>ROUND(S94 / 1.2, 2)</f>
        <v>0</v>
      </c>
      <c r="Z94" s="9">
        <f>ROUND(T94 / 1.2, 2)</f>
        <v>0</v>
      </c>
      <c r="AA94" s="9">
        <f>Y94+Z94</f>
        <v>0</v>
      </c>
      <c r="AD94" s="4">
        <v>264030278</v>
      </c>
      <c r="AE94" s="4">
        <v>16080908</v>
      </c>
      <c r="AG94" s="4" t="s">
        <v>463</v>
      </c>
      <c r="AH94" s="4" t="s">
        <v>464</v>
      </c>
      <c r="AI94" s="4" t="s">
        <v>249</v>
      </c>
    </row>
    <row r="95" spans="1:35" ht="37.5" x14ac:dyDescent="0.25">
      <c r="A95" s="10" t="s">
        <v>466</v>
      </c>
      <c r="B95" s="10"/>
      <c r="C95" s="37" t="s">
        <v>467</v>
      </c>
      <c r="D95" s="15"/>
      <c r="E95" s="15" t="s">
        <v>468</v>
      </c>
      <c r="F95" s="25" t="s">
        <v>81</v>
      </c>
      <c r="G95" s="26">
        <v>1.2</v>
      </c>
      <c r="H95" s="27"/>
      <c r="I95" s="27">
        <v>0</v>
      </c>
      <c r="J95" s="28">
        <v>6.28</v>
      </c>
      <c r="M95" s="29">
        <f>ROUND(ROUND(J95, 2)*I95, 2)</f>
        <v>0</v>
      </c>
      <c r="P95" s="28">
        <v>6.28</v>
      </c>
      <c r="S95" s="29">
        <f>ROUND(ROUND(P95, 2)*I95, 2)</f>
        <v>0</v>
      </c>
      <c r="V95" s="9">
        <f>ROUND(ROUND(P95, 2)/1.2, 2)</f>
        <v>5.23</v>
      </c>
      <c r="Y95" s="9">
        <f t="shared" ref="Y95:Y128" si="9">ROUND(S95 / 1.2, 2)</f>
        <v>0</v>
      </c>
      <c r="AD95" s="4" t="s">
        <v>469</v>
      </c>
      <c r="AE95" s="4" t="s">
        <v>470</v>
      </c>
      <c r="AF95" s="4" t="s">
        <v>471</v>
      </c>
    </row>
    <row r="96" spans="1:35" ht="75" x14ac:dyDescent="0.25">
      <c r="A96" s="10" t="s">
        <v>474</v>
      </c>
      <c r="B96" s="10"/>
      <c r="C96" s="37" t="s">
        <v>475</v>
      </c>
      <c r="D96" s="15"/>
      <c r="E96" s="15" t="s">
        <v>476</v>
      </c>
      <c r="F96" s="25" t="s">
        <v>56</v>
      </c>
      <c r="G96" s="26">
        <v>1.07</v>
      </c>
      <c r="H96" s="27"/>
      <c r="I96" s="27">
        <v>0</v>
      </c>
      <c r="J96" s="28">
        <v>504</v>
      </c>
      <c r="M96" s="29">
        <f>ROUND(ROUND(J96, 2)*I96, 2)</f>
        <v>0</v>
      </c>
      <c r="P96" s="28">
        <v>1083.5999999999999</v>
      </c>
      <c r="S96" s="29">
        <f>ROUND(ROUND(P96, 2)*I96, 2)</f>
        <v>0</v>
      </c>
      <c r="V96" s="9">
        <f>ROUND(ROUND(P96, 2)/1.2, 2)</f>
        <v>903</v>
      </c>
      <c r="Y96" s="9">
        <f t="shared" si="9"/>
        <v>0</v>
      </c>
      <c r="AD96" s="4" t="s">
        <v>477</v>
      </c>
      <c r="AE96" s="4" t="s">
        <v>478</v>
      </c>
      <c r="AF96" s="4" t="s">
        <v>479</v>
      </c>
    </row>
    <row r="97" spans="1:35" ht="37.5" x14ac:dyDescent="0.25">
      <c r="A97" s="10" t="s">
        <v>482</v>
      </c>
      <c r="B97" s="10"/>
      <c r="C97" s="24" t="s">
        <v>483</v>
      </c>
      <c r="D97" s="15"/>
      <c r="E97" s="15"/>
      <c r="F97" s="25" t="s">
        <v>81</v>
      </c>
      <c r="G97" s="26">
        <v>0.25</v>
      </c>
      <c r="H97" s="27"/>
      <c r="I97" s="27">
        <v>0</v>
      </c>
      <c r="J97" s="28">
        <v>40.270000000000003</v>
      </c>
      <c r="M97" s="29">
        <f>ROUND(ROUND(J97, 2)*I97, 2)</f>
        <v>0</v>
      </c>
      <c r="P97" s="28">
        <v>40.270000000000003</v>
      </c>
      <c r="S97" s="29">
        <f>ROUND(ROUND(P97, 2)*I97, 2)</f>
        <v>0</v>
      </c>
      <c r="V97" s="9">
        <f>ROUND(ROUND(P97, 2)/1.2, 2)</f>
        <v>33.56</v>
      </c>
      <c r="Y97" s="9">
        <f t="shared" si="9"/>
        <v>0</v>
      </c>
      <c r="AD97" s="4" t="s">
        <v>484</v>
      </c>
      <c r="AE97" s="4" t="s">
        <v>485</v>
      </c>
      <c r="AF97" s="4" t="s">
        <v>486</v>
      </c>
    </row>
    <row r="98" spans="1:35" ht="37.5" x14ac:dyDescent="0.25">
      <c r="A98" s="10" t="s">
        <v>489</v>
      </c>
      <c r="B98" s="10"/>
      <c r="C98" s="24" t="s">
        <v>490</v>
      </c>
      <c r="D98" s="15"/>
      <c r="E98" s="15"/>
      <c r="F98" s="25" t="s">
        <v>81</v>
      </c>
      <c r="G98" s="26">
        <v>0.15</v>
      </c>
      <c r="H98" s="26"/>
      <c r="I98" s="26">
        <v>0</v>
      </c>
      <c r="J98" s="28">
        <v>88.8</v>
      </c>
      <c r="M98" s="29">
        <f>ROUND(ROUND(J98, 2)*I98, 2)</f>
        <v>0</v>
      </c>
      <c r="P98" s="28">
        <v>88.8</v>
      </c>
      <c r="S98" s="29">
        <f>ROUND(ROUND(P98, 2)*I98, 2)</f>
        <v>0</v>
      </c>
      <c r="V98" s="9">
        <f>ROUND(ROUND(P98, 2)/1.2, 2)</f>
        <v>74</v>
      </c>
      <c r="Y98" s="9">
        <f t="shared" si="9"/>
        <v>0</v>
      </c>
      <c r="AD98" s="4" t="s">
        <v>491</v>
      </c>
      <c r="AE98" s="4" t="s">
        <v>492</v>
      </c>
      <c r="AF98" s="4" t="s">
        <v>493</v>
      </c>
    </row>
    <row r="99" spans="1:35" ht="56.25" x14ac:dyDescent="0.25">
      <c r="A99" s="10" t="s">
        <v>496</v>
      </c>
      <c r="B99" s="10" t="s">
        <v>460</v>
      </c>
      <c r="C99" s="14" t="s">
        <v>461</v>
      </c>
      <c r="D99" s="15"/>
      <c r="E99" s="15" t="s">
        <v>497</v>
      </c>
      <c r="F99" s="15" t="s">
        <v>56</v>
      </c>
      <c r="G99" s="16">
        <v>1</v>
      </c>
      <c r="H99" s="16"/>
      <c r="I99" s="16">
        <v>0</v>
      </c>
      <c r="J99" s="17">
        <f>IFERROR(ROUND(SUM(M100,M101,M102,M103)/I99, 2),0)</f>
        <v>0</v>
      </c>
      <c r="K99" s="18">
        <v>1251</v>
      </c>
      <c r="L99" s="17">
        <f>J99+ROUND(K99, 2)</f>
        <v>1251</v>
      </c>
      <c r="M99" s="17">
        <f>ROUND(J99*I99, 2)</f>
        <v>0</v>
      </c>
      <c r="N99" s="17">
        <f>ROUND(I99*ROUND(K99, 2), 2)</f>
        <v>0</v>
      </c>
      <c r="O99" s="17">
        <f>M99+N99</f>
        <v>0</v>
      </c>
      <c r="P99" s="17">
        <f>IFERROR(ROUND(SUM(S100,S101,S102,S103)/I99, 2),0)</f>
        <v>0</v>
      </c>
      <c r="Q99" s="18">
        <v>1251</v>
      </c>
      <c r="R99" s="17">
        <f>P99+ROUND(Q99, 2)</f>
        <v>1251</v>
      </c>
      <c r="S99" s="17">
        <f>ROUND(P99*I99, 2)</f>
        <v>0</v>
      </c>
      <c r="T99" s="17">
        <f>ROUND(I99*ROUND(Q99, 2), 2)</f>
        <v>0</v>
      </c>
      <c r="U99" s="17">
        <f>S99+T99</f>
        <v>0</v>
      </c>
      <c r="V99" s="9">
        <f>ROUND(P99 / 1.2, 2)</f>
        <v>0</v>
      </c>
      <c r="W99" s="9">
        <f>ROUND(Q99 / 1.2, 2)</f>
        <v>1042.5</v>
      </c>
      <c r="X99" s="9">
        <f>ROUND(R99 / 1.2, 2)</f>
        <v>1042.5</v>
      </c>
      <c r="Y99" s="9">
        <f t="shared" si="9"/>
        <v>0</v>
      </c>
      <c r="Z99" s="9">
        <f>ROUND(T99 / 1.2, 2)</f>
        <v>0</v>
      </c>
      <c r="AA99" s="9">
        <f>Y99+Z99</f>
        <v>0</v>
      </c>
      <c r="AD99" s="4">
        <v>264030370</v>
      </c>
      <c r="AE99" s="4">
        <v>16080909</v>
      </c>
      <c r="AG99" s="4" t="s">
        <v>463</v>
      </c>
      <c r="AH99" s="4" t="s">
        <v>464</v>
      </c>
      <c r="AI99" s="4" t="s">
        <v>249</v>
      </c>
    </row>
    <row r="100" spans="1:35" ht="37.5" x14ac:dyDescent="0.25">
      <c r="A100" s="10" t="s">
        <v>499</v>
      </c>
      <c r="B100" s="10"/>
      <c r="C100" s="24" t="s">
        <v>490</v>
      </c>
      <c r="D100" s="15"/>
      <c r="E100" s="15"/>
      <c r="F100" s="25" t="s">
        <v>81</v>
      </c>
      <c r="G100" s="26">
        <v>0.15</v>
      </c>
      <c r="H100" s="26"/>
      <c r="I100" s="26">
        <v>0</v>
      </c>
      <c r="J100" s="28">
        <v>88.8</v>
      </c>
      <c r="M100" s="29">
        <f>ROUND(ROUND(J100, 2)*I100, 2)</f>
        <v>0</v>
      </c>
      <c r="P100" s="28">
        <v>88.8</v>
      </c>
      <c r="S100" s="29">
        <f>ROUND(ROUND(P100, 2)*I100, 2)</f>
        <v>0</v>
      </c>
      <c r="V100" s="9">
        <f>ROUND(ROUND(P100, 2)/1.2, 2)</f>
        <v>74</v>
      </c>
      <c r="Y100" s="9">
        <f t="shared" si="9"/>
        <v>0</v>
      </c>
      <c r="AD100" s="4" t="s">
        <v>500</v>
      </c>
      <c r="AE100" s="4" t="s">
        <v>501</v>
      </c>
      <c r="AF100" s="4" t="s">
        <v>493</v>
      </c>
    </row>
    <row r="101" spans="1:35" ht="37.5" x14ac:dyDescent="0.25">
      <c r="A101" s="10" t="s">
        <v>504</v>
      </c>
      <c r="B101" s="10"/>
      <c r="C101" s="24" t="s">
        <v>483</v>
      </c>
      <c r="D101" s="15"/>
      <c r="E101" s="15"/>
      <c r="F101" s="25" t="s">
        <v>81</v>
      </c>
      <c r="G101" s="26">
        <v>0.25</v>
      </c>
      <c r="H101" s="27"/>
      <c r="I101" s="27">
        <v>0</v>
      </c>
      <c r="J101" s="28">
        <v>40.270000000000003</v>
      </c>
      <c r="M101" s="29">
        <f>ROUND(ROUND(J101, 2)*I101, 2)</f>
        <v>0</v>
      </c>
      <c r="P101" s="28">
        <v>40.270000000000003</v>
      </c>
      <c r="S101" s="29">
        <f>ROUND(ROUND(P101, 2)*I101, 2)</f>
        <v>0</v>
      </c>
      <c r="V101" s="9">
        <f>ROUND(ROUND(P101, 2)/1.2, 2)</f>
        <v>33.56</v>
      </c>
      <c r="Y101" s="9">
        <f t="shared" si="9"/>
        <v>0</v>
      </c>
      <c r="AD101" s="4" t="s">
        <v>505</v>
      </c>
      <c r="AE101" s="4" t="s">
        <v>506</v>
      </c>
      <c r="AF101" s="4" t="s">
        <v>486</v>
      </c>
    </row>
    <row r="102" spans="1:35" ht="37.5" x14ac:dyDescent="0.25">
      <c r="A102" s="10" t="s">
        <v>509</v>
      </c>
      <c r="B102" s="10"/>
      <c r="C102" s="37" t="s">
        <v>467</v>
      </c>
      <c r="D102" s="15"/>
      <c r="E102" s="15"/>
      <c r="F102" s="25" t="s">
        <v>81</v>
      </c>
      <c r="G102" s="26">
        <v>1.2</v>
      </c>
      <c r="H102" s="27"/>
      <c r="I102" s="27">
        <v>0</v>
      </c>
      <c r="J102" s="28">
        <v>6.28</v>
      </c>
      <c r="M102" s="29">
        <f>ROUND(ROUND(J102, 2)*I102, 2)</f>
        <v>0</v>
      </c>
      <c r="P102" s="28">
        <v>6.28</v>
      </c>
      <c r="S102" s="29">
        <f>ROUND(ROUND(P102, 2)*I102, 2)</f>
        <v>0</v>
      </c>
      <c r="V102" s="9">
        <f>ROUND(ROUND(P102, 2)/1.2, 2)</f>
        <v>5.23</v>
      </c>
      <c r="Y102" s="9">
        <f t="shared" si="9"/>
        <v>0</v>
      </c>
      <c r="AD102" s="4" t="s">
        <v>510</v>
      </c>
      <c r="AE102" s="4" t="s">
        <v>511</v>
      </c>
      <c r="AF102" s="4" t="s">
        <v>471</v>
      </c>
    </row>
    <row r="103" spans="1:35" ht="93.75" x14ac:dyDescent="0.25">
      <c r="A103" s="10" t="s">
        <v>514</v>
      </c>
      <c r="B103" s="10"/>
      <c r="C103" s="24" t="s">
        <v>515</v>
      </c>
      <c r="D103" s="15"/>
      <c r="E103" s="15" t="s">
        <v>516</v>
      </c>
      <c r="F103" s="25" t="s">
        <v>56</v>
      </c>
      <c r="G103" s="26">
        <v>1.07</v>
      </c>
      <c r="H103" s="27"/>
      <c r="I103" s="27">
        <v>0</v>
      </c>
      <c r="J103" s="28">
        <v>2059.0500000000002</v>
      </c>
      <c r="M103" s="29">
        <f>ROUND(ROUND(J103, 2)*I103, 2)</f>
        <v>0</v>
      </c>
      <c r="P103" s="28">
        <v>1332</v>
      </c>
      <c r="S103" s="29">
        <f>ROUND(ROUND(P103, 2)*I103, 2)</f>
        <v>0</v>
      </c>
      <c r="V103" s="9">
        <f>ROUND(ROUND(P103, 2)/1.2, 2)</f>
        <v>1110</v>
      </c>
      <c r="Y103" s="9">
        <f t="shared" si="9"/>
        <v>0</v>
      </c>
      <c r="AD103" s="4" t="s">
        <v>517</v>
      </c>
      <c r="AE103" s="4" t="s">
        <v>518</v>
      </c>
      <c r="AF103" s="4" t="s">
        <v>519</v>
      </c>
    </row>
    <row r="104" spans="1:35" ht="56.25" x14ac:dyDescent="0.25">
      <c r="A104" s="10" t="s">
        <v>522</v>
      </c>
      <c r="B104" s="10" t="s">
        <v>460</v>
      </c>
      <c r="C104" s="14" t="s">
        <v>461</v>
      </c>
      <c r="D104" s="15"/>
      <c r="E104" s="15" t="s">
        <v>523</v>
      </c>
      <c r="F104" s="15" t="s">
        <v>56</v>
      </c>
      <c r="G104" s="16">
        <v>1</v>
      </c>
      <c r="H104" s="16"/>
      <c r="I104" s="16">
        <v>0</v>
      </c>
      <c r="J104" s="17">
        <f>IFERROR(ROUND(SUM(M105,M106,M107,M108)/I104, 2),0)</f>
        <v>0</v>
      </c>
      <c r="K104" s="18">
        <v>1251</v>
      </c>
      <c r="L104" s="17">
        <f>J104+ROUND(K104, 2)</f>
        <v>1251</v>
      </c>
      <c r="M104" s="17">
        <f>ROUND(J104*I104, 2)</f>
        <v>0</v>
      </c>
      <c r="N104" s="17">
        <f>ROUND(I104*ROUND(K104, 2), 2)</f>
        <v>0</v>
      </c>
      <c r="O104" s="17">
        <f>M104+N104</f>
        <v>0</v>
      </c>
      <c r="P104" s="17">
        <f>IFERROR(ROUND(SUM(S105,S106,S107,S108)/I104, 2),0)</f>
        <v>0</v>
      </c>
      <c r="Q104" s="18">
        <v>1251</v>
      </c>
      <c r="R104" s="17">
        <f>P104+ROUND(Q104, 2)</f>
        <v>1251</v>
      </c>
      <c r="S104" s="17">
        <f>ROUND(P104*I104, 2)</f>
        <v>0</v>
      </c>
      <c r="T104" s="17">
        <f>ROUND(I104*ROUND(Q104, 2), 2)</f>
        <v>0</v>
      </c>
      <c r="U104" s="17">
        <f>S104+T104</f>
        <v>0</v>
      </c>
      <c r="V104" s="9">
        <f>ROUND(P104 / 1.2, 2)</f>
        <v>0</v>
      </c>
      <c r="W104" s="9">
        <f>ROUND(Q104 / 1.2, 2)</f>
        <v>1042.5</v>
      </c>
      <c r="X104" s="9">
        <f>ROUND(R104 / 1.2, 2)</f>
        <v>1042.5</v>
      </c>
      <c r="Y104" s="9">
        <f t="shared" si="9"/>
        <v>0</v>
      </c>
      <c r="Z104" s="9">
        <f>ROUND(T104 / 1.2, 2)</f>
        <v>0</v>
      </c>
      <c r="AA104" s="9">
        <f>Y104+Z104</f>
        <v>0</v>
      </c>
      <c r="AD104" s="4">
        <v>264030371</v>
      </c>
      <c r="AE104" s="4">
        <v>16087569</v>
      </c>
      <c r="AG104" s="4" t="s">
        <v>463</v>
      </c>
      <c r="AH104" s="4" t="s">
        <v>464</v>
      </c>
      <c r="AI104" s="4" t="s">
        <v>249</v>
      </c>
    </row>
    <row r="105" spans="1:35" ht="37.5" x14ac:dyDescent="0.25">
      <c r="A105" s="10" t="s">
        <v>525</v>
      </c>
      <c r="B105" s="10"/>
      <c r="C105" s="37" t="s">
        <v>467</v>
      </c>
      <c r="D105" s="15"/>
      <c r="E105" s="15" t="s">
        <v>468</v>
      </c>
      <c r="F105" s="25" t="s">
        <v>81</v>
      </c>
      <c r="G105" s="26">
        <v>1.2</v>
      </c>
      <c r="H105" s="27"/>
      <c r="I105" s="27">
        <v>0</v>
      </c>
      <c r="J105" s="28">
        <v>6.28</v>
      </c>
      <c r="M105" s="29">
        <f>ROUND(ROUND(J105, 2)*I105, 2)</f>
        <v>0</v>
      </c>
      <c r="P105" s="28">
        <v>6.28</v>
      </c>
      <c r="S105" s="29">
        <f>ROUND(ROUND(P105, 2)*I105, 2)</f>
        <v>0</v>
      </c>
      <c r="V105" s="9">
        <f>ROUND(ROUND(P105, 2)/1.2, 2)</f>
        <v>5.23</v>
      </c>
      <c r="Y105" s="9">
        <f t="shared" si="9"/>
        <v>0</v>
      </c>
      <c r="AD105" s="4" t="s">
        <v>526</v>
      </c>
      <c r="AE105" s="4" t="s">
        <v>527</v>
      </c>
      <c r="AF105" s="4" t="s">
        <v>471</v>
      </c>
    </row>
    <row r="106" spans="1:35" ht="112.5" x14ac:dyDescent="0.25">
      <c r="A106" s="10" t="s">
        <v>530</v>
      </c>
      <c r="B106" s="10"/>
      <c r="C106" s="24" t="s">
        <v>531</v>
      </c>
      <c r="D106" s="15"/>
      <c r="E106" s="15" t="s">
        <v>532</v>
      </c>
      <c r="F106" s="25" t="s">
        <v>56</v>
      </c>
      <c r="G106" s="26">
        <v>1.07</v>
      </c>
      <c r="H106" s="27"/>
      <c r="I106" s="27">
        <v>0</v>
      </c>
      <c r="J106" s="28">
        <v>1809.15</v>
      </c>
      <c r="M106" s="29">
        <f>ROUND(ROUND(J106, 2)*I106, 2)</f>
        <v>0</v>
      </c>
      <c r="P106" s="28">
        <v>1083.5999999999999</v>
      </c>
      <c r="S106" s="29">
        <f>ROUND(ROUND(P106, 2)*I106, 2)</f>
        <v>0</v>
      </c>
      <c r="V106" s="9">
        <f>ROUND(ROUND(P106, 2)/1.2, 2)</f>
        <v>903</v>
      </c>
      <c r="Y106" s="9">
        <f t="shared" si="9"/>
        <v>0</v>
      </c>
      <c r="AD106" s="4" t="s">
        <v>533</v>
      </c>
      <c r="AE106" s="4" t="s">
        <v>534</v>
      </c>
      <c r="AF106" s="4" t="s">
        <v>535</v>
      </c>
    </row>
    <row r="107" spans="1:35" ht="37.5" x14ac:dyDescent="0.25">
      <c r="A107" s="10" t="s">
        <v>538</v>
      </c>
      <c r="B107" s="10"/>
      <c r="C107" s="24" t="s">
        <v>483</v>
      </c>
      <c r="D107" s="15"/>
      <c r="E107" s="15"/>
      <c r="F107" s="25" t="s">
        <v>81</v>
      </c>
      <c r="G107" s="26">
        <v>0.25</v>
      </c>
      <c r="H107" s="27"/>
      <c r="I107" s="27">
        <v>0</v>
      </c>
      <c r="J107" s="28">
        <v>40.270000000000003</v>
      </c>
      <c r="M107" s="29">
        <f>ROUND(ROUND(J107, 2)*I107, 2)</f>
        <v>0</v>
      </c>
      <c r="P107" s="28">
        <v>6</v>
      </c>
      <c r="S107" s="29">
        <f>ROUND(ROUND(P107, 2)*I107, 2)</f>
        <v>0</v>
      </c>
      <c r="V107" s="9">
        <f>ROUND(ROUND(P107, 2)/1.2, 2)</f>
        <v>5</v>
      </c>
      <c r="Y107" s="9">
        <f t="shared" si="9"/>
        <v>0</v>
      </c>
      <c r="AD107" s="4" t="s">
        <v>539</v>
      </c>
      <c r="AE107" s="4" t="s">
        <v>540</v>
      </c>
      <c r="AF107" s="4" t="s">
        <v>486</v>
      </c>
    </row>
    <row r="108" spans="1:35" ht="37.5" x14ac:dyDescent="0.25">
      <c r="A108" s="10" t="s">
        <v>543</v>
      </c>
      <c r="B108" s="10"/>
      <c r="C108" s="24" t="s">
        <v>490</v>
      </c>
      <c r="D108" s="15"/>
      <c r="E108" s="15"/>
      <c r="F108" s="25" t="s">
        <v>81</v>
      </c>
      <c r="G108" s="26">
        <v>0.15</v>
      </c>
      <c r="H108" s="26"/>
      <c r="I108" s="26">
        <v>0</v>
      </c>
      <c r="J108" s="28">
        <v>88.8</v>
      </c>
      <c r="M108" s="29">
        <f>ROUND(ROUND(J108, 2)*I108, 2)</f>
        <v>0</v>
      </c>
      <c r="P108" s="28">
        <v>88.8</v>
      </c>
      <c r="S108" s="29">
        <f>ROUND(ROUND(P108, 2)*I108, 2)</f>
        <v>0</v>
      </c>
      <c r="V108" s="9">
        <f>ROUND(ROUND(P108, 2)/1.2, 2)</f>
        <v>74</v>
      </c>
      <c r="Y108" s="9">
        <f t="shared" si="9"/>
        <v>0</v>
      </c>
      <c r="AD108" s="4" t="s">
        <v>544</v>
      </c>
      <c r="AE108" s="4" t="s">
        <v>545</v>
      </c>
      <c r="AF108" s="4" t="s">
        <v>493</v>
      </c>
    </row>
    <row r="109" spans="1:35" ht="37.5" x14ac:dyDescent="0.25">
      <c r="A109" s="10" t="s">
        <v>548</v>
      </c>
      <c r="B109" s="10" t="s">
        <v>549</v>
      </c>
      <c r="C109" s="14" t="s">
        <v>550</v>
      </c>
      <c r="D109" s="15" t="s">
        <v>551</v>
      </c>
      <c r="E109" s="15" t="s">
        <v>552</v>
      </c>
      <c r="F109" s="15" t="s">
        <v>56</v>
      </c>
      <c r="G109" s="16">
        <v>1</v>
      </c>
      <c r="H109" s="16"/>
      <c r="I109" s="16">
        <v>900.7</v>
      </c>
      <c r="J109" s="17">
        <f>IFERROR(ROUND(SUM(M110,M111,M112)/I109, 2),0)</f>
        <v>1608.47</v>
      </c>
      <c r="K109" s="18">
        <v>412</v>
      </c>
      <c r="L109" s="17">
        <f>J109+ROUND(K109, 2)</f>
        <v>2020.47</v>
      </c>
      <c r="M109" s="17">
        <f>ROUND(J109*I109, 2)</f>
        <v>1448748.93</v>
      </c>
      <c r="N109" s="17">
        <f>ROUND(I109*ROUND(K109, 2), 2)</f>
        <v>371088.4</v>
      </c>
      <c r="O109" s="17">
        <f>M109+N109</f>
        <v>1819837.33</v>
      </c>
      <c r="P109" s="17">
        <f>IFERROR(ROUND(SUM(S110,S111,S112)/I109, 2),0)</f>
        <v>1608.47</v>
      </c>
      <c r="Q109" s="18">
        <v>412</v>
      </c>
      <c r="R109" s="17">
        <f>P109+ROUND(Q109, 2)</f>
        <v>2020.47</v>
      </c>
      <c r="S109" s="17">
        <f>ROUND(P109*I109, 2)</f>
        <v>1448748.93</v>
      </c>
      <c r="T109" s="17">
        <f>ROUND(I109*ROUND(Q109, 2), 2)</f>
        <v>371088.4</v>
      </c>
      <c r="U109" s="17">
        <f>S109+T109</f>
        <v>1819837.33</v>
      </c>
      <c r="V109" s="9">
        <f>ROUND(P109 / 1.2, 2)</f>
        <v>1340.39</v>
      </c>
      <c r="W109" s="9">
        <f>ROUND(Q109 / 1.2, 2)</f>
        <v>343.33</v>
      </c>
      <c r="X109" s="9">
        <f>ROUND(R109 / 1.2, 2)</f>
        <v>1683.73</v>
      </c>
      <c r="Y109" s="9">
        <f t="shared" si="9"/>
        <v>1207290.78</v>
      </c>
      <c r="Z109" s="9">
        <f>ROUND(T109 / 1.2, 2)</f>
        <v>309240.33</v>
      </c>
      <c r="AA109" s="9">
        <f>Y109+Z109</f>
        <v>1516531.11</v>
      </c>
      <c r="AD109" s="4">
        <v>204199105</v>
      </c>
      <c r="AE109" s="4">
        <v>16075343</v>
      </c>
      <c r="AG109" s="4" t="s">
        <v>553</v>
      </c>
      <c r="AH109" s="4" t="s">
        <v>554</v>
      </c>
      <c r="AI109" s="4" t="s">
        <v>249</v>
      </c>
    </row>
    <row r="110" spans="1:35" ht="75" x14ac:dyDescent="0.25">
      <c r="A110" s="10" t="s">
        <v>555</v>
      </c>
      <c r="B110" s="10"/>
      <c r="C110" s="24" t="s">
        <v>556</v>
      </c>
      <c r="D110" s="15"/>
      <c r="E110" s="15"/>
      <c r="F110" s="25" t="s">
        <v>123</v>
      </c>
      <c r="G110" s="26">
        <v>1</v>
      </c>
      <c r="H110" s="27"/>
      <c r="I110" s="27">
        <v>900.7</v>
      </c>
      <c r="J110" s="28">
        <v>33.25</v>
      </c>
      <c r="M110" s="29">
        <f>ROUND(ROUND(J110, 2)*I110, 2)</f>
        <v>29948.28</v>
      </c>
      <c r="P110" s="28">
        <v>33.25</v>
      </c>
      <c r="S110" s="29">
        <f>ROUND(ROUND(P110, 2)*I110, 2)</f>
        <v>29948.28</v>
      </c>
      <c r="V110" s="9">
        <f>ROUND(ROUND(P110, 2)/1.2, 2)</f>
        <v>27.71</v>
      </c>
      <c r="Y110" s="9">
        <f t="shared" si="9"/>
        <v>24956.9</v>
      </c>
      <c r="AD110" s="4" t="s">
        <v>557</v>
      </c>
      <c r="AE110" s="4" t="s">
        <v>558</v>
      </c>
      <c r="AF110" s="4" t="s">
        <v>559</v>
      </c>
    </row>
    <row r="111" spans="1:35" ht="75" x14ac:dyDescent="0.25">
      <c r="A111" s="10" t="s">
        <v>560</v>
      </c>
      <c r="B111" s="10"/>
      <c r="C111" s="24" t="s">
        <v>561</v>
      </c>
      <c r="D111" s="15"/>
      <c r="E111" s="15"/>
      <c r="F111" s="25" t="s">
        <v>56</v>
      </c>
      <c r="G111" s="26">
        <v>1.1000000000000001</v>
      </c>
      <c r="H111" s="27"/>
      <c r="I111" s="27">
        <v>990.77</v>
      </c>
      <c r="J111" s="28">
        <v>1339</v>
      </c>
      <c r="M111" s="29">
        <f>ROUND(ROUND(J111, 2)*I111, 2)</f>
        <v>1326641.03</v>
      </c>
      <c r="P111" s="28">
        <v>1339</v>
      </c>
      <c r="S111" s="29">
        <f>ROUND(ROUND(P111, 2)*I111, 2)</f>
        <v>1326641.03</v>
      </c>
      <c r="V111" s="9">
        <f>ROUND(ROUND(P111, 2)/1.2, 2)</f>
        <v>1115.83</v>
      </c>
      <c r="Y111" s="9">
        <f t="shared" si="9"/>
        <v>1105534.19</v>
      </c>
      <c r="AD111" s="4" t="s">
        <v>562</v>
      </c>
      <c r="AE111" s="4" t="s">
        <v>563</v>
      </c>
      <c r="AF111" s="4" t="s">
        <v>564</v>
      </c>
    </row>
    <row r="112" spans="1:35" ht="18.75" x14ac:dyDescent="0.25">
      <c r="A112" s="10" t="s">
        <v>565</v>
      </c>
      <c r="B112" s="10"/>
      <c r="C112" s="24" t="s">
        <v>566</v>
      </c>
      <c r="D112" s="15"/>
      <c r="E112" s="15"/>
      <c r="F112" s="25" t="s">
        <v>81</v>
      </c>
      <c r="G112" s="26">
        <v>0.3</v>
      </c>
      <c r="H112" s="26"/>
      <c r="I112" s="26">
        <v>270.20999999999998</v>
      </c>
      <c r="J112" s="28">
        <v>341.05</v>
      </c>
      <c r="M112" s="29">
        <f>ROUND(ROUND(J112, 2)*I112, 2)</f>
        <v>92155.12</v>
      </c>
      <c r="P112" s="28">
        <v>341.05</v>
      </c>
      <c r="S112" s="29">
        <f>ROUND(ROUND(P112, 2)*I112, 2)</f>
        <v>92155.12</v>
      </c>
      <c r="V112" s="9">
        <f>ROUND(ROUND(P112, 2)/1.2, 2)</f>
        <v>284.20999999999998</v>
      </c>
      <c r="Y112" s="9">
        <f t="shared" si="9"/>
        <v>76795.929999999993</v>
      </c>
      <c r="AD112" s="4" t="s">
        <v>567</v>
      </c>
      <c r="AE112" s="4" t="s">
        <v>568</v>
      </c>
      <c r="AF112" s="4" t="s">
        <v>569</v>
      </c>
    </row>
    <row r="113" spans="1:35" ht="18.75" x14ac:dyDescent="0.25">
      <c r="A113" s="10" t="s">
        <v>570</v>
      </c>
      <c r="B113" s="10" t="s">
        <v>571</v>
      </c>
      <c r="C113" s="14" t="s">
        <v>572</v>
      </c>
      <c r="D113" s="15"/>
      <c r="E113" s="15" t="s">
        <v>573</v>
      </c>
      <c r="F113" s="15" t="s">
        <v>123</v>
      </c>
      <c r="G113" s="16">
        <v>1</v>
      </c>
      <c r="H113" s="16"/>
      <c r="I113" s="16">
        <v>12.6</v>
      </c>
      <c r="J113" s="17">
        <f>IFERROR(ROUND(SUM(M114,M115)/I113, 2),0)</f>
        <v>104.52</v>
      </c>
      <c r="K113" s="18">
        <v>200</v>
      </c>
      <c r="L113" s="17">
        <f>J113+ROUND(K113, 2)</f>
        <v>304.52</v>
      </c>
      <c r="M113" s="17">
        <f>ROUND(J113*I113, 2)</f>
        <v>1316.95</v>
      </c>
      <c r="N113" s="17">
        <f>ROUND(I113*ROUND(K113, 2), 2)</f>
        <v>2520</v>
      </c>
      <c r="O113" s="17">
        <f>M113+N113</f>
        <v>3836.95</v>
      </c>
      <c r="P113" s="17">
        <f>IFERROR(ROUND(SUM(S114,S115)/I113, 2),0)</f>
        <v>104.52</v>
      </c>
      <c r="Q113" s="18">
        <v>200</v>
      </c>
      <c r="R113" s="17">
        <f>P113+ROUND(Q113, 2)</f>
        <v>304.52</v>
      </c>
      <c r="S113" s="17">
        <f>ROUND(P113*I113, 2)</f>
        <v>1316.95</v>
      </c>
      <c r="T113" s="17">
        <f>ROUND(I113*ROUND(Q113, 2), 2)</f>
        <v>2520</v>
      </c>
      <c r="U113" s="17">
        <f>S113+T113</f>
        <v>3836.95</v>
      </c>
      <c r="V113" s="9">
        <f>ROUND(P113 / 1.2, 2)</f>
        <v>87.1</v>
      </c>
      <c r="W113" s="9">
        <f>ROUND(Q113 / 1.2, 2)</f>
        <v>166.67</v>
      </c>
      <c r="X113" s="9">
        <f>ROUND(R113 / 1.2, 2)</f>
        <v>253.77</v>
      </c>
      <c r="Y113" s="9">
        <f t="shared" si="9"/>
        <v>1097.46</v>
      </c>
      <c r="Z113" s="9">
        <f>ROUND(T113 / 1.2, 2)</f>
        <v>2100</v>
      </c>
      <c r="AA113" s="9">
        <f>Y113+Z113</f>
        <v>3197.46</v>
      </c>
      <c r="AD113" s="4">
        <v>264030280</v>
      </c>
      <c r="AE113" s="4">
        <v>16076862</v>
      </c>
      <c r="AG113" s="4" t="s">
        <v>574</v>
      </c>
      <c r="AH113" s="4" t="s">
        <v>575</v>
      </c>
      <c r="AI113" s="4" t="s">
        <v>249</v>
      </c>
    </row>
    <row r="114" spans="1:35" ht="37.5" x14ac:dyDescent="0.25">
      <c r="A114" s="10" t="s">
        <v>577</v>
      </c>
      <c r="B114" s="10"/>
      <c r="C114" s="24" t="s">
        <v>578</v>
      </c>
      <c r="D114" s="15"/>
      <c r="E114" s="15"/>
      <c r="F114" s="25" t="s">
        <v>123</v>
      </c>
      <c r="G114" s="26">
        <v>1.05</v>
      </c>
      <c r="H114" s="27"/>
      <c r="I114" s="27">
        <v>13.23</v>
      </c>
      <c r="J114" s="28">
        <v>90.97</v>
      </c>
      <c r="M114" s="29">
        <f>ROUND(ROUND(J114, 2)*I114, 2)</f>
        <v>1203.53</v>
      </c>
      <c r="P114" s="28">
        <v>90.97</v>
      </c>
      <c r="S114" s="29">
        <f>ROUND(ROUND(P114, 2)*I114, 2)</f>
        <v>1203.53</v>
      </c>
      <c r="V114" s="9">
        <f>ROUND(ROUND(P114, 2)/1.2, 2)</f>
        <v>75.81</v>
      </c>
      <c r="Y114" s="9">
        <f t="shared" si="9"/>
        <v>1002.94</v>
      </c>
      <c r="AD114" s="4" t="s">
        <v>579</v>
      </c>
      <c r="AE114" s="4" t="s">
        <v>580</v>
      </c>
      <c r="AF114" s="4" t="s">
        <v>581</v>
      </c>
    </row>
    <row r="115" spans="1:35" ht="18.75" x14ac:dyDescent="0.25">
      <c r="A115" s="10" t="s">
        <v>584</v>
      </c>
      <c r="B115" s="10"/>
      <c r="C115" s="24" t="s">
        <v>585</v>
      </c>
      <c r="D115" s="15"/>
      <c r="E115" s="15"/>
      <c r="F115" s="25" t="s">
        <v>103</v>
      </c>
      <c r="G115" s="64">
        <v>0.09</v>
      </c>
      <c r="H115" s="26"/>
      <c r="I115" s="26">
        <v>1.1339999999999999</v>
      </c>
      <c r="J115" s="28">
        <v>100</v>
      </c>
      <c r="M115" s="29">
        <f>ROUND(ROUND(J115, 2)*I115, 2)</f>
        <v>113.4</v>
      </c>
      <c r="P115" s="28">
        <v>100</v>
      </c>
      <c r="S115" s="29">
        <f>ROUND(ROUND(P115, 2)*I115, 2)</f>
        <v>113.4</v>
      </c>
      <c r="V115" s="9">
        <f>ROUND(ROUND(P115, 2)/1.2, 2)</f>
        <v>83.33</v>
      </c>
      <c r="Y115" s="9">
        <f t="shared" si="9"/>
        <v>94.5</v>
      </c>
      <c r="AD115" s="4" t="s">
        <v>586</v>
      </c>
      <c r="AE115" s="4" t="s">
        <v>587</v>
      </c>
      <c r="AF115" s="4" t="s">
        <v>588</v>
      </c>
    </row>
    <row r="116" spans="1:35" ht="56.25" x14ac:dyDescent="0.25">
      <c r="A116" s="10" t="s">
        <v>591</v>
      </c>
      <c r="B116" s="10" t="s">
        <v>592</v>
      </c>
      <c r="C116" s="14" t="s">
        <v>593</v>
      </c>
      <c r="D116" s="15"/>
      <c r="E116" s="15" t="s">
        <v>594</v>
      </c>
      <c r="F116" s="15" t="s">
        <v>123</v>
      </c>
      <c r="G116" s="16">
        <v>1</v>
      </c>
      <c r="H116" s="16"/>
      <c r="I116" s="16">
        <v>0</v>
      </c>
      <c r="J116" s="17">
        <f>IFERROR(ROUND(SUM(M117,M118,M119,M120)/I116, 2),0)</f>
        <v>0</v>
      </c>
      <c r="K116" s="18">
        <v>374</v>
      </c>
      <c r="L116" s="17">
        <f>J116+ROUND(K116, 2)</f>
        <v>374</v>
      </c>
      <c r="M116" s="17">
        <f>ROUND(J116*I116, 2)</f>
        <v>0</v>
      </c>
      <c r="N116" s="17">
        <f>ROUND(I116*ROUND(K116, 2), 2)</f>
        <v>0</v>
      </c>
      <c r="O116" s="17">
        <f>M116+N116</f>
        <v>0</v>
      </c>
      <c r="P116" s="17">
        <f>IFERROR(ROUND(SUM(S117,S118,S119,S120)/I116, 2),0)</f>
        <v>0</v>
      </c>
      <c r="Q116" s="18">
        <v>374</v>
      </c>
      <c r="R116" s="17">
        <f>P116+ROUND(Q116, 2)</f>
        <v>374</v>
      </c>
      <c r="S116" s="17">
        <f>ROUND(P116*I116, 2)</f>
        <v>0</v>
      </c>
      <c r="T116" s="17">
        <f>ROUND(I116*ROUND(Q116, 2), 2)</f>
        <v>0</v>
      </c>
      <c r="U116" s="17">
        <f>S116+T116</f>
        <v>0</v>
      </c>
      <c r="V116" s="9">
        <f>ROUND(P116 / 1.2, 2)</f>
        <v>0</v>
      </c>
      <c r="W116" s="9">
        <f>ROUND(Q116 / 1.2, 2)</f>
        <v>311.67</v>
      </c>
      <c r="X116" s="9">
        <f>ROUND(R116 / 1.2, 2)</f>
        <v>311.67</v>
      </c>
      <c r="Y116" s="9">
        <f t="shared" si="9"/>
        <v>0</v>
      </c>
      <c r="Z116" s="9">
        <f>ROUND(T116 / 1.2, 2)</f>
        <v>0</v>
      </c>
      <c r="AA116" s="9">
        <f>Y116+Z116</f>
        <v>0</v>
      </c>
      <c r="AD116" s="4">
        <v>264030282</v>
      </c>
      <c r="AE116" s="4">
        <v>16082192</v>
      </c>
      <c r="AG116" s="4" t="s">
        <v>595</v>
      </c>
      <c r="AH116" s="4" t="s">
        <v>596</v>
      </c>
      <c r="AI116" s="4" t="s">
        <v>249</v>
      </c>
    </row>
    <row r="117" spans="1:35" ht="150" x14ac:dyDescent="0.25">
      <c r="A117" s="10" t="s">
        <v>598</v>
      </c>
      <c r="B117" s="10"/>
      <c r="C117" s="24" t="s">
        <v>599</v>
      </c>
      <c r="D117" s="15"/>
      <c r="E117" s="15" t="s">
        <v>600</v>
      </c>
      <c r="F117" s="25" t="s">
        <v>103</v>
      </c>
      <c r="G117" s="26">
        <v>1.84</v>
      </c>
      <c r="H117" s="26"/>
      <c r="I117" s="26">
        <v>0</v>
      </c>
      <c r="J117" s="28">
        <v>196</v>
      </c>
      <c r="M117" s="29">
        <f>ROUND(ROUND(J117, 2)*I117, 2)</f>
        <v>0</v>
      </c>
      <c r="P117" s="28">
        <v>196</v>
      </c>
      <c r="S117" s="29">
        <f>ROUND(ROUND(P117, 2)*I117, 2)</f>
        <v>0</v>
      </c>
      <c r="V117" s="9">
        <f>ROUND(ROUND(P117, 2)/1.2, 2)</f>
        <v>163.33000000000001</v>
      </c>
      <c r="Y117" s="9">
        <f t="shared" si="9"/>
        <v>0</v>
      </c>
      <c r="AD117" s="4" t="s">
        <v>601</v>
      </c>
      <c r="AE117" s="4" t="s">
        <v>602</v>
      </c>
      <c r="AF117" s="4" t="s">
        <v>603</v>
      </c>
    </row>
    <row r="118" spans="1:35" ht="37.5" x14ac:dyDescent="0.25">
      <c r="A118" s="10" t="s">
        <v>606</v>
      </c>
      <c r="B118" s="10"/>
      <c r="C118" s="37" t="s">
        <v>607</v>
      </c>
      <c r="D118" s="15"/>
      <c r="E118" s="15"/>
      <c r="F118" s="25" t="s">
        <v>81</v>
      </c>
      <c r="G118" s="26">
        <v>0.7</v>
      </c>
      <c r="H118" s="27"/>
      <c r="I118" s="27">
        <v>0</v>
      </c>
      <c r="J118" s="28">
        <v>6.28</v>
      </c>
      <c r="M118" s="29">
        <f>ROUND(ROUND(J118, 2)*I118, 2)</f>
        <v>0</v>
      </c>
      <c r="P118" s="28">
        <v>6.28</v>
      </c>
      <c r="S118" s="29">
        <f>ROUND(ROUND(P118, 2)*I118, 2)</f>
        <v>0</v>
      </c>
      <c r="V118" s="9">
        <f>ROUND(ROUND(P118, 2)/1.2, 2)</f>
        <v>5.23</v>
      </c>
      <c r="Y118" s="9">
        <f t="shared" si="9"/>
        <v>0</v>
      </c>
      <c r="AD118" s="4" t="s">
        <v>608</v>
      </c>
      <c r="AE118" s="4" t="s">
        <v>609</v>
      </c>
      <c r="AF118" s="4" t="s">
        <v>610</v>
      </c>
    </row>
    <row r="119" spans="1:35" ht="37.5" x14ac:dyDescent="0.25">
      <c r="A119" s="10" t="s">
        <v>613</v>
      </c>
      <c r="B119" s="10"/>
      <c r="C119" s="24" t="s">
        <v>483</v>
      </c>
      <c r="D119" s="15"/>
      <c r="E119" s="15"/>
      <c r="F119" s="25" t="s">
        <v>81</v>
      </c>
      <c r="G119" s="26">
        <v>0.04</v>
      </c>
      <c r="H119" s="26"/>
      <c r="I119" s="26">
        <v>0</v>
      </c>
      <c r="J119" s="28">
        <v>40.270000000000003</v>
      </c>
      <c r="M119" s="29">
        <f>ROUND(ROUND(J119, 2)*I119, 2)</f>
        <v>0</v>
      </c>
      <c r="P119" s="28">
        <v>40.270000000000003</v>
      </c>
      <c r="S119" s="29">
        <f>ROUND(ROUND(P119, 2)*I119, 2)</f>
        <v>0</v>
      </c>
      <c r="V119" s="9">
        <f>ROUND(ROUND(P119, 2)/1.2, 2)</f>
        <v>33.56</v>
      </c>
      <c r="Y119" s="9">
        <f t="shared" si="9"/>
        <v>0</v>
      </c>
      <c r="AD119" s="4" t="s">
        <v>614</v>
      </c>
      <c r="AE119" s="4" t="s">
        <v>615</v>
      </c>
      <c r="AF119" s="4" t="s">
        <v>486</v>
      </c>
    </row>
    <row r="120" spans="1:35" ht="37.5" x14ac:dyDescent="0.25">
      <c r="A120" s="10" t="s">
        <v>618</v>
      </c>
      <c r="B120" s="10"/>
      <c r="C120" s="24" t="s">
        <v>490</v>
      </c>
      <c r="D120" s="15"/>
      <c r="E120" s="15"/>
      <c r="F120" s="25" t="s">
        <v>81</v>
      </c>
      <c r="G120" s="26">
        <v>1.4999999999999999E-2</v>
      </c>
      <c r="H120" s="26"/>
      <c r="I120" s="26">
        <v>0</v>
      </c>
      <c r="J120" s="28">
        <v>88.8</v>
      </c>
      <c r="M120" s="29">
        <f>ROUND(ROUND(J120, 2)*I120, 2)</f>
        <v>0</v>
      </c>
      <c r="P120" s="28">
        <v>88.8</v>
      </c>
      <c r="S120" s="29">
        <f>ROUND(ROUND(P120, 2)*I120, 2)</f>
        <v>0</v>
      </c>
      <c r="V120" s="9">
        <f>ROUND(ROUND(P120, 2)/1.2, 2)</f>
        <v>74</v>
      </c>
      <c r="Y120" s="9">
        <f t="shared" si="9"/>
        <v>0</v>
      </c>
      <c r="AD120" s="4" t="s">
        <v>619</v>
      </c>
      <c r="AE120" s="4" t="s">
        <v>620</v>
      </c>
      <c r="AF120" s="4" t="s">
        <v>493</v>
      </c>
    </row>
    <row r="121" spans="1:35" ht="56.25" x14ac:dyDescent="0.25">
      <c r="A121" s="10" t="s">
        <v>623</v>
      </c>
      <c r="B121" s="10" t="s">
        <v>592</v>
      </c>
      <c r="C121" s="14" t="s">
        <v>593</v>
      </c>
      <c r="D121" s="15"/>
      <c r="E121" s="15" t="s">
        <v>367</v>
      </c>
      <c r="F121" s="15" t="s">
        <v>123</v>
      </c>
      <c r="G121" s="16">
        <v>1</v>
      </c>
      <c r="H121" s="16"/>
      <c r="I121" s="16">
        <v>0</v>
      </c>
      <c r="J121" s="17">
        <f>IFERROR(ROUND(SUM(M122,M123,M124,M125)/I121, 2),0)</f>
        <v>0</v>
      </c>
      <c r="K121" s="18">
        <v>374</v>
      </c>
      <c r="L121" s="17">
        <f>J121+ROUND(K121, 2)</f>
        <v>374</v>
      </c>
      <c r="M121" s="17">
        <f>ROUND(J121*I121, 2)</f>
        <v>0</v>
      </c>
      <c r="N121" s="17">
        <f>ROUND(I121*ROUND(K121, 2), 2)</f>
        <v>0</v>
      </c>
      <c r="O121" s="17">
        <f>M121+N121</f>
        <v>0</v>
      </c>
      <c r="P121" s="17">
        <f>IFERROR(ROUND(SUM(S122,S123,S124,S125)/I121, 2),0)</f>
        <v>0</v>
      </c>
      <c r="Q121" s="18">
        <v>374</v>
      </c>
      <c r="R121" s="17">
        <f>P121+ROUND(Q121, 2)</f>
        <v>374</v>
      </c>
      <c r="S121" s="17">
        <f>ROUND(P121*I121, 2)</f>
        <v>0</v>
      </c>
      <c r="T121" s="17">
        <f>ROUND(I121*ROUND(Q121, 2), 2)</f>
        <v>0</v>
      </c>
      <c r="U121" s="17">
        <f>S121+T121</f>
        <v>0</v>
      </c>
      <c r="V121" s="9">
        <f>ROUND(P121 / 1.2, 2)</f>
        <v>0</v>
      </c>
      <c r="W121" s="9">
        <f>ROUND(Q121 / 1.2, 2)</f>
        <v>311.67</v>
      </c>
      <c r="X121" s="9">
        <f>ROUND(R121 / 1.2, 2)</f>
        <v>311.67</v>
      </c>
      <c r="Y121" s="9">
        <f t="shared" si="9"/>
        <v>0</v>
      </c>
      <c r="Z121" s="9">
        <f>ROUND(T121 / 1.2, 2)</f>
        <v>0</v>
      </c>
      <c r="AA121" s="9">
        <f>Y121+Z121</f>
        <v>0</v>
      </c>
      <c r="AD121" s="4">
        <v>264030372</v>
      </c>
      <c r="AE121" s="4">
        <v>16087853</v>
      </c>
      <c r="AG121" s="4" t="s">
        <v>595</v>
      </c>
      <c r="AH121" s="4" t="s">
        <v>596</v>
      </c>
      <c r="AI121" s="4" t="s">
        <v>249</v>
      </c>
    </row>
    <row r="122" spans="1:35" ht="37.5" x14ac:dyDescent="0.25">
      <c r="A122" s="10" t="s">
        <v>625</v>
      </c>
      <c r="B122" s="10"/>
      <c r="C122" s="24" t="s">
        <v>490</v>
      </c>
      <c r="D122" s="15"/>
      <c r="E122" s="15"/>
      <c r="F122" s="25" t="s">
        <v>81</v>
      </c>
      <c r="G122" s="26">
        <v>1.4999999999999999E-2</v>
      </c>
      <c r="H122" s="26"/>
      <c r="I122" s="26">
        <v>0</v>
      </c>
      <c r="J122" s="28">
        <v>88.8</v>
      </c>
      <c r="M122" s="29">
        <f>ROUND(ROUND(J122, 2)*I122, 2)</f>
        <v>0</v>
      </c>
      <c r="P122" s="28">
        <v>88.8</v>
      </c>
      <c r="S122" s="29">
        <f>ROUND(ROUND(P122, 2)*I122, 2)</f>
        <v>0</v>
      </c>
      <c r="V122" s="9">
        <f>ROUND(ROUND(P122, 2)/1.2, 2)</f>
        <v>74</v>
      </c>
      <c r="Y122" s="9">
        <f t="shared" si="9"/>
        <v>0</v>
      </c>
      <c r="AD122" s="4" t="s">
        <v>626</v>
      </c>
      <c r="AE122" s="4" t="s">
        <v>627</v>
      </c>
      <c r="AF122" s="4" t="s">
        <v>493</v>
      </c>
    </row>
    <row r="123" spans="1:35" ht="37.5" x14ac:dyDescent="0.25">
      <c r="A123" s="10" t="s">
        <v>630</v>
      </c>
      <c r="B123" s="10"/>
      <c r="C123" s="24" t="s">
        <v>483</v>
      </c>
      <c r="D123" s="15"/>
      <c r="E123" s="15"/>
      <c r="F123" s="25" t="s">
        <v>81</v>
      </c>
      <c r="G123" s="26">
        <v>0.04</v>
      </c>
      <c r="H123" s="26"/>
      <c r="I123" s="26">
        <v>0</v>
      </c>
      <c r="J123" s="28">
        <v>40.270000000000003</v>
      </c>
      <c r="M123" s="29">
        <f>ROUND(ROUND(J123, 2)*I123, 2)</f>
        <v>0</v>
      </c>
      <c r="P123" s="28">
        <v>40.270000000000003</v>
      </c>
      <c r="S123" s="29">
        <f>ROUND(ROUND(P123, 2)*I123, 2)</f>
        <v>0</v>
      </c>
      <c r="V123" s="9">
        <f>ROUND(ROUND(P123, 2)/1.2, 2)</f>
        <v>33.56</v>
      </c>
      <c r="Y123" s="9">
        <f t="shared" si="9"/>
        <v>0</v>
      </c>
      <c r="AD123" s="4" t="s">
        <v>631</v>
      </c>
      <c r="AE123" s="4" t="s">
        <v>632</v>
      </c>
      <c r="AF123" s="4" t="s">
        <v>486</v>
      </c>
    </row>
    <row r="124" spans="1:35" ht="150" x14ac:dyDescent="0.25">
      <c r="A124" s="10" t="s">
        <v>635</v>
      </c>
      <c r="B124" s="10"/>
      <c r="C124" s="37" t="s">
        <v>636</v>
      </c>
      <c r="D124" s="15"/>
      <c r="E124" s="15" t="s">
        <v>600</v>
      </c>
      <c r="F124" s="25" t="s">
        <v>56</v>
      </c>
      <c r="G124" s="26">
        <v>0.11</v>
      </c>
      <c r="H124" s="26"/>
      <c r="I124" s="26">
        <v>0</v>
      </c>
      <c r="J124" s="28">
        <v>1012.6</v>
      </c>
      <c r="M124" s="29">
        <f>ROUND(ROUND(J124, 2)*I124, 2)</f>
        <v>0</v>
      </c>
      <c r="P124" s="28">
        <v>1012.6</v>
      </c>
      <c r="S124" s="29">
        <f>ROUND(ROUND(P124, 2)*I124, 2)</f>
        <v>0</v>
      </c>
      <c r="V124" s="9">
        <f>ROUND(ROUND(P124, 2)/1.2, 2)</f>
        <v>843.83</v>
      </c>
      <c r="Y124" s="9">
        <f t="shared" si="9"/>
        <v>0</v>
      </c>
      <c r="AD124" s="4" t="s">
        <v>637</v>
      </c>
      <c r="AE124" s="4" t="s">
        <v>638</v>
      </c>
      <c r="AF124" s="4" t="s">
        <v>639</v>
      </c>
    </row>
    <row r="125" spans="1:35" ht="37.5" x14ac:dyDescent="0.25">
      <c r="A125" s="10" t="s">
        <v>642</v>
      </c>
      <c r="B125" s="10"/>
      <c r="C125" s="37" t="s">
        <v>643</v>
      </c>
      <c r="D125" s="15"/>
      <c r="E125" s="15"/>
      <c r="F125" s="25" t="s">
        <v>81</v>
      </c>
      <c r="G125" s="26">
        <v>0.7</v>
      </c>
      <c r="H125" s="27"/>
      <c r="I125" s="27">
        <v>0</v>
      </c>
      <c r="J125" s="28">
        <v>6.28</v>
      </c>
      <c r="M125" s="29">
        <f>ROUND(ROUND(J125, 2)*I125, 2)</f>
        <v>0</v>
      </c>
      <c r="P125" s="28">
        <v>6.28</v>
      </c>
      <c r="S125" s="29">
        <f>ROUND(ROUND(P125, 2)*I125, 2)</f>
        <v>0</v>
      </c>
      <c r="V125" s="9">
        <f>ROUND(ROUND(P125, 2)/1.2, 2)</f>
        <v>5.23</v>
      </c>
      <c r="Y125" s="9">
        <f t="shared" si="9"/>
        <v>0</v>
      </c>
      <c r="AD125" s="4" t="s">
        <v>644</v>
      </c>
      <c r="AE125" s="4" t="s">
        <v>645</v>
      </c>
      <c r="AF125" s="4" t="s">
        <v>646</v>
      </c>
    </row>
    <row r="126" spans="1:35" ht="37.5" x14ac:dyDescent="0.25">
      <c r="A126" s="10" t="s">
        <v>649</v>
      </c>
      <c r="B126" s="10" t="s">
        <v>650</v>
      </c>
      <c r="C126" s="14" t="s">
        <v>651</v>
      </c>
      <c r="D126" s="15"/>
      <c r="E126" s="15" t="s">
        <v>652</v>
      </c>
      <c r="F126" s="15" t="s">
        <v>56</v>
      </c>
      <c r="G126" s="16">
        <v>1</v>
      </c>
      <c r="H126" s="16"/>
      <c r="I126" s="16">
        <v>65.7</v>
      </c>
      <c r="J126" s="17">
        <f>IFERROR(ROUND(SUM(M127,M128)/I126, 2),0)</f>
        <v>0</v>
      </c>
      <c r="K126" s="18">
        <v>661</v>
      </c>
      <c r="L126" s="17">
        <f>J126+ROUND(K126, 2)</f>
        <v>661</v>
      </c>
      <c r="M126" s="17">
        <f>ROUND(J126*I126, 2)</f>
        <v>0</v>
      </c>
      <c r="N126" s="17">
        <f>ROUND(I126*ROUND(K126, 2), 2)</f>
        <v>43427.7</v>
      </c>
      <c r="O126" s="17">
        <f>M126+N126</f>
        <v>43427.7</v>
      </c>
      <c r="P126" s="17">
        <f>IFERROR(ROUND(SUM(S127,S128)/I126, 2),0)</f>
        <v>0</v>
      </c>
      <c r="Q126" s="19">
        <v>661</v>
      </c>
      <c r="R126" s="17">
        <f>P126+ROUND(Q126, 2)</f>
        <v>661</v>
      </c>
      <c r="S126" s="17">
        <f>ROUND(P126*I126, 2)</f>
        <v>0</v>
      </c>
      <c r="T126" s="17">
        <f>ROUND(I126*ROUND(Q126, 2), 2)</f>
        <v>43427.7</v>
      </c>
      <c r="U126" s="17">
        <f>S126+T126</f>
        <v>43427.7</v>
      </c>
      <c r="V126" s="9">
        <f>ROUND(P126 / 1.2, 2)</f>
        <v>0</v>
      </c>
      <c r="W126" s="9">
        <f>ROUND(Q126 / 1.2, 2)</f>
        <v>550.83000000000004</v>
      </c>
      <c r="X126" s="9">
        <f>ROUND(R126 / 1.2, 2)</f>
        <v>550.83000000000004</v>
      </c>
      <c r="Y126" s="9">
        <f t="shared" si="9"/>
        <v>0</v>
      </c>
      <c r="Z126" s="9">
        <f>ROUND(T126 / 1.2, 2)</f>
        <v>36189.75</v>
      </c>
      <c r="AA126" s="9">
        <f>Y126+Z126</f>
        <v>36189.75</v>
      </c>
      <c r="AD126" s="4">
        <v>264030284</v>
      </c>
      <c r="AE126" s="4">
        <v>19936864</v>
      </c>
      <c r="AG126" s="4" t="s">
        <v>653</v>
      </c>
      <c r="AH126" s="4" t="s">
        <v>654</v>
      </c>
      <c r="AI126" s="4" t="s">
        <v>249</v>
      </c>
    </row>
    <row r="127" spans="1:35" ht="93.75" x14ac:dyDescent="0.25">
      <c r="A127" s="10" t="s">
        <v>655</v>
      </c>
      <c r="B127" s="10"/>
      <c r="C127" s="24" t="s">
        <v>656</v>
      </c>
      <c r="D127" s="15"/>
      <c r="E127" s="15" t="s">
        <v>657</v>
      </c>
      <c r="F127" s="25" t="s">
        <v>103</v>
      </c>
      <c r="G127" s="26">
        <v>1</v>
      </c>
      <c r="H127" s="27"/>
      <c r="I127" s="27">
        <v>7.62</v>
      </c>
      <c r="J127" s="28">
        <v>0</v>
      </c>
      <c r="M127" s="29">
        <f>ROUND(ROUND(J127, 2)*I127, 2)</f>
        <v>0</v>
      </c>
      <c r="P127" s="30">
        <v>0</v>
      </c>
      <c r="S127" s="29">
        <f>ROUND(ROUND(P127, 2)*I127, 2)</f>
        <v>0</v>
      </c>
      <c r="V127" s="9">
        <f>ROUND(ROUND(P127, 2)/1.2, 2)</f>
        <v>0</v>
      </c>
      <c r="Y127" s="9">
        <f t="shared" si="9"/>
        <v>0</v>
      </c>
      <c r="AD127" s="4" t="s">
        <v>658</v>
      </c>
      <c r="AE127" s="4" t="s">
        <v>659</v>
      </c>
      <c r="AF127" s="4" t="s">
        <v>660</v>
      </c>
    </row>
    <row r="128" spans="1:35" ht="37.5" x14ac:dyDescent="0.25">
      <c r="A128" s="10" t="s">
        <v>661</v>
      </c>
      <c r="B128" s="10"/>
      <c r="C128" s="24" t="s">
        <v>662</v>
      </c>
      <c r="D128" s="15"/>
      <c r="E128" s="15" t="s">
        <v>663</v>
      </c>
      <c r="F128" s="25" t="s">
        <v>56</v>
      </c>
      <c r="G128" s="26">
        <v>1.03</v>
      </c>
      <c r="H128" s="27"/>
      <c r="I128" s="27">
        <v>67.671000000000006</v>
      </c>
      <c r="J128" s="28">
        <v>0</v>
      </c>
      <c r="M128" s="29">
        <f>ROUND(ROUND(J128, 2)*I128, 2)</f>
        <v>0</v>
      </c>
      <c r="P128" s="30">
        <v>0</v>
      </c>
      <c r="S128" s="29">
        <f>ROUND(ROUND(P128, 2)*I128, 2)</f>
        <v>0</v>
      </c>
      <c r="V128" s="9">
        <f>ROUND(ROUND(P128, 2)/1.2, 2)</f>
        <v>0</v>
      </c>
      <c r="Y128" s="9">
        <f t="shared" si="9"/>
        <v>0</v>
      </c>
      <c r="AD128" s="4" t="s">
        <v>664</v>
      </c>
      <c r="AE128" s="4" t="s">
        <v>665</v>
      </c>
      <c r="AF128" s="4" t="s">
        <v>666</v>
      </c>
    </row>
    <row r="129" spans="1:35" ht="17.100000000000001" customHeight="1" x14ac:dyDescent="0.25">
      <c r="A129" s="10" t="s">
        <v>667</v>
      </c>
      <c r="B129" s="10" t="s">
        <v>668</v>
      </c>
      <c r="C129" s="116" t="s">
        <v>669</v>
      </c>
      <c r="D129" s="117"/>
      <c r="E129" s="117"/>
      <c r="F129" s="117"/>
      <c r="G129" s="117"/>
      <c r="H129" s="117"/>
      <c r="I129" s="118"/>
      <c r="M129" s="6">
        <f>SUM(M130,M300,M316)</f>
        <v>1239491.82</v>
      </c>
      <c r="N129" s="6">
        <f>SUM(N130,N300,N316)</f>
        <v>6201071.5499999998</v>
      </c>
      <c r="O129" s="6">
        <f>SUM(O130,O300,O316)</f>
        <v>7440563.3700000001</v>
      </c>
      <c r="S129" s="6">
        <f>SUM(S130,S300,S316)</f>
        <v>1203732.3999999999</v>
      </c>
      <c r="T129" s="6">
        <f>SUM(T130,T300,T316)</f>
        <v>6201071.5499999998</v>
      </c>
      <c r="U129" s="6">
        <f>SUM(U130,U300,U316)</f>
        <v>7404803.9500000002</v>
      </c>
      <c r="Y129" s="9">
        <f>SUM(Y130,Y300,Y316)</f>
        <v>1003110.37</v>
      </c>
      <c r="Z129" s="9">
        <f>SUM(Z130,Z300,Z316)</f>
        <v>5167559.5999999996</v>
      </c>
      <c r="AA129" s="9">
        <f>SUM(AA130,AA300,AA316)</f>
        <v>6170669.9699999997</v>
      </c>
      <c r="AD129" s="4">
        <v>264030285</v>
      </c>
      <c r="AE129" s="4">
        <v>16076852</v>
      </c>
    </row>
    <row r="130" spans="1:35" ht="17.100000000000001" customHeight="1" x14ac:dyDescent="0.25">
      <c r="A130" s="10" t="s">
        <v>670</v>
      </c>
      <c r="B130" s="10" t="s">
        <v>671</v>
      </c>
      <c r="C130" s="116" t="s">
        <v>672</v>
      </c>
      <c r="D130" s="117"/>
      <c r="E130" s="117"/>
      <c r="F130" s="117"/>
      <c r="G130" s="117"/>
      <c r="H130" s="117"/>
      <c r="I130" s="118"/>
      <c r="M130" s="6">
        <f>SUM(M131,M134,M139,M144,M148,M152,M157,M162,M166,M170,M174,M178,M183,M188,M192,M197,M202,M207,M210,M213,M217,M220,M224,M227,M230,M234,M238,M241,M244,M248,M251,M255,M260,M265,M270,M275,M280,M285,M290,M295)</f>
        <v>936217.76</v>
      </c>
      <c r="N130" s="6">
        <f>SUM(N131,N134,N139,N144,N148,N152,N157,N162,N166,N170,N174,N178,N183,N188,N192,N197,N202,N207,N210,N213,N217,N220,N224,N227,N230,N234,N238,N241,N244,N248,N251,N255,N260,N265,N270,N275,N280,N285,N290,N295)</f>
        <v>4013200.7</v>
      </c>
      <c r="O130" s="6">
        <f>SUM(O131,O134,O139,O144,O148,O152,O157,O162,O166,O170,O174,O178,O183,O188,O192,O197,O202,O207,O210,O213,O217,O220,O224,O227,O230,O234,O238,O241,O244,O248,O251,O255,O260,O265,O270,O275,O280,O285,O290,O295)</f>
        <v>4949418.46</v>
      </c>
      <c r="S130" s="6">
        <f>SUM(S131,S134,S139,S144,S148,S152,S157,S162,S166,S170,S174,S178,S183,S188,S192,S197,S202,S207,S210,S213,S217,S220,S224,S227,S230,S234,S238,S241,S244,S248,S251,S255,S260,S265,S270,S275,S280,S285,S290,S295)</f>
        <v>900458.34</v>
      </c>
      <c r="T130" s="6">
        <f>SUM(T131,T134,T139,T144,T148,T152,T157,T162,T166,T170,T174,T178,T183,T188,T192,T197,T202,T207,T210,T213,T217,T220,T224,T227,T230,T234,T238,T241,T244,T248,T251,T255,T260,T265,T270,T275,T280,T285,T290,T295)</f>
        <v>4013200.7</v>
      </c>
      <c r="U130" s="6">
        <f>SUM(U131,U134,U139,U144,U148,U152,U157,U162,U166,U170,U174,U178,U183,U188,U192,U197,U202,U207,U210,U213,U217,U220,U224,U227,U230,U234,U238,U241,U244,U248,U251,U255,U260,U265,U270,U275,U280,U285,U290,U295)</f>
        <v>4913659.04</v>
      </c>
      <c r="Y130" s="9">
        <f>SUM(Y131,Y134,Y139,Y144,Y148,Y152,Y157,Y162,Y166,Y170,Y174,Y178,Y183,Y188,Y192,Y197,Y202,Y207,Y210,Y213,Y217,Y220,Y224,Y227,Y230,Y234,Y238,Y241,Y244,Y248,Y251,Y255,Y260,Y265,Y270,Y275,Y280,Y285,Y290,Y295)</f>
        <v>750381.96</v>
      </c>
      <c r="Z130" s="9">
        <f>SUM(Z131,Z134,Z139,Z144,Z148,Z152,Z157,Z162,Z166,Z170,Z174,Z178,Z183,Z188,Z192,Z197,Z202,Z207,Z210,Z213,Z217,Z220,Z224,Z227,Z230,Z234,Z238,Z241,Z244,Z248,Z251,Z255,Z260,Z265,Z270,Z275,Z280,Z285,Z290,Z295)</f>
        <v>3344333.9</v>
      </c>
      <c r="AA130" s="9">
        <f>SUM(AA131,AA134,AA139,AA144,AA148,AA152,AA157,AA162,AA166,AA170,AA174,AA178,AA183,AA188,AA192,AA197,AA202,AA207,AA210,AA213,AA217,AA220,AA224,AA227,AA230,AA234,AA238,AA241,AA244,AA248,AA251,AA255,AA260,AA265,AA270,AA275,AA280,AA285,AA290,AA295)</f>
        <v>4094715.86</v>
      </c>
      <c r="AD130" s="4">
        <v>264030286</v>
      </c>
      <c r="AE130" s="4">
        <v>16077161</v>
      </c>
    </row>
    <row r="131" spans="1:35" ht="75" x14ac:dyDescent="0.25">
      <c r="A131" s="10" t="s">
        <v>673</v>
      </c>
      <c r="B131" s="10" t="s">
        <v>674</v>
      </c>
      <c r="C131" s="14" t="s">
        <v>675</v>
      </c>
      <c r="D131" s="15"/>
      <c r="E131" s="15"/>
      <c r="F131" s="15" t="s">
        <v>123</v>
      </c>
      <c r="G131" s="16">
        <v>1</v>
      </c>
      <c r="H131" s="16"/>
      <c r="I131" s="16">
        <v>434.7</v>
      </c>
      <c r="J131" s="17">
        <f>IFERROR(ROUND(SUM(M132,M133)/I131, 2),0)</f>
        <v>9.74</v>
      </c>
      <c r="K131" s="18">
        <v>28</v>
      </c>
      <c r="L131" s="17">
        <f>J131+ROUND(K131, 2)</f>
        <v>37.74</v>
      </c>
      <c r="M131" s="17">
        <f>ROUND(J131*I131, 2)</f>
        <v>4233.9799999999996</v>
      </c>
      <c r="N131" s="17">
        <f>ROUND(I131*ROUND(K131, 2), 2)</f>
        <v>12171.6</v>
      </c>
      <c r="O131" s="17">
        <f>M131+N131</f>
        <v>16405.580000000002</v>
      </c>
      <c r="P131" s="17">
        <f>IFERROR(ROUND(SUM(S132,S133)/I131, 2),0)</f>
        <v>9.74</v>
      </c>
      <c r="Q131" s="19">
        <v>28</v>
      </c>
      <c r="R131" s="17">
        <f>P131+ROUND(Q131, 2)</f>
        <v>37.74</v>
      </c>
      <c r="S131" s="17">
        <f>ROUND(P131*I131, 2)</f>
        <v>4233.9799999999996</v>
      </c>
      <c r="T131" s="17">
        <f>ROUND(I131*ROUND(Q131, 2), 2)</f>
        <v>12171.6</v>
      </c>
      <c r="U131" s="17">
        <f>S131+T131</f>
        <v>16405.580000000002</v>
      </c>
      <c r="V131" s="9">
        <f>ROUND(P131 / 1.2, 2)</f>
        <v>8.1199999999999992</v>
      </c>
      <c r="W131" s="9">
        <f>ROUND(Q131 / 1.2, 2)</f>
        <v>23.33</v>
      </c>
      <c r="X131" s="9">
        <f>ROUND(R131 / 1.2, 2)</f>
        <v>31.45</v>
      </c>
      <c r="Y131" s="9">
        <f>ROUND(S131 / 1.2, 2)</f>
        <v>3528.32</v>
      </c>
      <c r="Z131" s="9">
        <f>ROUND(T131 / 1.2, 2)</f>
        <v>10143</v>
      </c>
      <c r="AA131" s="9">
        <f>Y131+Z131</f>
        <v>13671.32</v>
      </c>
      <c r="AD131" s="4">
        <v>264030288</v>
      </c>
      <c r="AE131" s="4">
        <v>18537797</v>
      </c>
      <c r="AG131" s="4" t="s">
        <v>676</v>
      </c>
      <c r="AH131" s="4" t="s">
        <v>677</v>
      </c>
      <c r="AI131" s="4" t="s">
        <v>249</v>
      </c>
    </row>
    <row r="132" spans="1:35" ht="37.5" x14ac:dyDescent="0.25">
      <c r="A132" s="10" t="s">
        <v>678</v>
      </c>
      <c r="B132" s="10"/>
      <c r="C132" s="24" t="s">
        <v>679</v>
      </c>
      <c r="D132" s="15"/>
      <c r="E132" s="15"/>
      <c r="F132" s="25" t="s">
        <v>81</v>
      </c>
      <c r="G132" s="26">
        <v>0.3</v>
      </c>
      <c r="H132" s="27"/>
      <c r="I132" s="27">
        <v>130.41</v>
      </c>
      <c r="J132" s="28">
        <v>6.8</v>
      </c>
      <c r="M132" s="29">
        <f>ROUND(ROUND(J132, 2)*I132, 2)</f>
        <v>886.79</v>
      </c>
      <c r="P132" s="30">
        <v>6.8</v>
      </c>
      <c r="S132" s="29">
        <f>ROUND(ROUND(P132, 2)*I132, 2)</f>
        <v>886.79</v>
      </c>
      <c r="V132" s="9">
        <f>ROUND(ROUND(P132, 2)/1.2, 2)</f>
        <v>5.67</v>
      </c>
      <c r="Y132" s="9">
        <f t="shared" ref="Y132:Y163" si="10">ROUND(S132 / 1.2, 2)</f>
        <v>738.99</v>
      </c>
      <c r="AD132" s="4" t="s">
        <v>680</v>
      </c>
      <c r="AE132" s="4" t="s">
        <v>681</v>
      </c>
      <c r="AF132" s="4" t="s">
        <v>682</v>
      </c>
    </row>
    <row r="133" spans="1:35" ht="18.75" x14ac:dyDescent="0.25">
      <c r="A133" s="10" t="s">
        <v>683</v>
      </c>
      <c r="B133" s="10"/>
      <c r="C133" s="24" t="s">
        <v>684</v>
      </c>
      <c r="D133" s="15"/>
      <c r="E133" s="15"/>
      <c r="F133" s="25" t="s">
        <v>123</v>
      </c>
      <c r="G133" s="26">
        <v>1.1000000000000001</v>
      </c>
      <c r="H133" s="27"/>
      <c r="I133" s="27">
        <v>478.17</v>
      </c>
      <c r="J133" s="28">
        <v>7</v>
      </c>
      <c r="M133" s="29">
        <f>ROUND(ROUND(J133, 2)*I133, 2)</f>
        <v>3347.19</v>
      </c>
      <c r="P133" s="30">
        <v>7</v>
      </c>
      <c r="S133" s="29">
        <f>ROUND(ROUND(P133, 2)*I133, 2)</f>
        <v>3347.19</v>
      </c>
      <c r="V133" s="9">
        <f>ROUND(ROUND(P133, 2)/1.2, 2)</f>
        <v>5.83</v>
      </c>
      <c r="Y133" s="9">
        <f t="shared" si="10"/>
        <v>2789.33</v>
      </c>
      <c r="AD133" s="4" t="s">
        <v>685</v>
      </c>
      <c r="AE133" s="4" t="s">
        <v>686</v>
      </c>
      <c r="AF133" s="4" t="s">
        <v>687</v>
      </c>
    </row>
    <row r="134" spans="1:35" ht="56.25" x14ac:dyDescent="0.25">
      <c r="A134" s="10" t="s">
        <v>688</v>
      </c>
      <c r="B134" s="10" t="s">
        <v>689</v>
      </c>
      <c r="C134" s="14" t="s">
        <v>690</v>
      </c>
      <c r="D134" s="15"/>
      <c r="E134" s="15" t="s">
        <v>691</v>
      </c>
      <c r="F134" s="15" t="s">
        <v>56</v>
      </c>
      <c r="G134" s="16">
        <v>1</v>
      </c>
      <c r="H134" s="16"/>
      <c r="I134" s="16">
        <v>0</v>
      </c>
      <c r="J134" s="17">
        <f>IFERROR(ROUND(SUM(M135,M136,M137,M138)/I134, 2),0)</f>
        <v>0</v>
      </c>
      <c r="K134" s="18">
        <v>826</v>
      </c>
      <c r="L134" s="17">
        <f>J134+ROUND(K134, 2)</f>
        <v>826</v>
      </c>
      <c r="M134" s="17">
        <f>ROUND(J134*I134, 2)</f>
        <v>0</v>
      </c>
      <c r="N134" s="17">
        <f>ROUND(I134*ROUND(K134, 2), 2)</f>
        <v>0</v>
      </c>
      <c r="O134" s="17">
        <f>M134+N134</f>
        <v>0</v>
      </c>
      <c r="P134" s="17">
        <f>IFERROR(ROUND(SUM(S135,S136,S137,S138)/I134, 2),0)</f>
        <v>0</v>
      </c>
      <c r="Q134" s="18">
        <v>826</v>
      </c>
      <c r="R134" s="17">
        <f>P134+ROUND(Q134, 2)</f>
        <v>826</v>
      </c>
      <c r="S134" s="17">
        <f>ROUND(P134*I134, 2)</f>
        <v>0</v>
      </c>
      <c r="T134" s="17">
        <f>ROUND(I134*ROUND(Q134, 2), 2)</f>
        <v>0</v>
      </c>
      <c r="U134" s="17">
        <f>S134+T134</f>
        <v>0</v>
      </c>
      <c r="V134" s="9">
        <f>ROUND(P134 / 1.2, 2)</f>
        <v>0</v>
      </c>
      <c r="W134" s="9">
        <f>ROUND(Q134 / 1.2, 2)</f>
        <v>688.33</v>
      </c>
      <c r="X134" s="9">
        <f>ROUND(R134 / 1.2, 2)</f>
        <v>688.33</v>
      </c>
      <c r="Y134" s="9">
        <f t="shared" si="10"/>
        <v>0</v>
      </c>
      <c r="Z134" s="9">
        <f>ROUND(T134 / 1.2, 2)</f>
        <v>0</v>
      </c>
      <c r="AA134" s="9">
        <f>Y134+Z134</f>
        <v>0</v>
      </c>
      <c r="AD134" s="4">
        <v>264030290</v>
      </c>
      <c r="AE134" s="4">
        <v>16077164</v>
      </c>
      <c r="AG134" s="4" t="s">
        <v>692</v>
      </c>
      <c r="AH134" s="4" t="s">
        <v>693</v>
      </c>
      <c r="AI134" s="4" t="s">
        <v>249</v>
      </c>
    </row>
    <row r="135" spans="1:35" ht="37.5" x14ac:dyDescent="0.25">
      <c r="A135" s="10" t="s">
        <v>695</v>
      </c>
      <c r="B135" s="10"/>
      <c r="C135" s="24" t="s">
        <v>696</v>
      </c>
      <c r="D135" s="15"/>
      <c r="E135" s="15"/>
      <c r="F135" s="25" t="s">
        <v>56</v>
      </c>
      <c r="G135" s="26">
        <v>1.1000000000000001</v>
      </c>
      <c r="H135" s="26"/>
      <c r="I135" s="26">
        <v>0</v>
      </c>
      <c r="J135" s="28">
        <v>27.55</v>
      </c>
      <c r="M135" s="29">
        <f>ROUND(ROUND(J135, 2)*I135, 2)</f>
        <v>0</v>
      </c>
      <c r="P135" s="28">
        <v>27.55</v>
      </c>
      <c r="S135" s="29">
        <f>ROUND(ROUND(P135, 2)*I135, 2)</f>
        <v>0</v>
      </c>
      <c r="V135" s="9">
        <f>ROUND(ROUND(P135, 2)/1.2, 2)</f>
        <v>22.96</v>
      </c>
      <c r="Y135" s="9">
        <f t="shared" si="10"/>
        <v>0</v>
      </c>
      <c r="AD135" s="4" t="s">
        <v>697</v>
      </c>
      <c r="AE135" s="4" t="s">
        <v>698</v>
      </c>
      <c r="AF135" s="4" t="s">
        <v>699</v>
      </c>
    </row>
    <row r="136" spans="1:35" ht="18.75" x14ac:dyDescent="0.25">
      <c r="A136" s="10" t="s">
        <v>702</v>
      </c>
      <c r="B136" s="10"/>
      <c r="C136" s="24" t="s">
        <v>313</v>
      </c>
      <c r="D136" s="15"/>
      <c r="E136" s="15"/>
      <c r="F136" s="25" t="s">
        <v>81</v>
      </c>
      <c r="G136" s="26">
        <v>0.25</v>
      </c>
      <c r="H136" s="26"/>
      <c r="I136" s="26">
        <v>0</v>
      </c>
      <c r="J136" s="28">
        <v>100</v>
      </c>
      <c r="M136" s="29">
        <f>ROUND(ROUND(J136, 2)*I136, 2)</f>
        <v>0</v>
      </c>
      <c r="P136" s="28">
        <v>100</v>
      </c>
      <c r="S136" s="29">
        <f>ROUND(ROUND(P136, 2)*I136, 2)</f>
        <v>0</v>
      </c>
      <c r="V136" s="9">
        <f>ROUND(ROUND(P136, 2)/1.2, 2)</f>
        <v>83.33</v>
      </c>
      <c r="Y136" s="9">
        <f t="shared" si="10"/>
        <v>0</v>
      </c>
      <c r="AD136" s="4" t="s">
        <v>703</v>
      </c>
      <c r="AE136" s="4" t="s">
        <v>704</v>
      </c>
      <c r="AF136" s="4" t="s">
        <v>316</v>
      </c>
    </row>
    <row r="137" spans="1:35" ht="18.75" x14ac:dyDescent="0.25">
      <c r="A137" s="10" t="s">
        <v>707</v>
      </c>
      <c r="B137" s="10"/>
      <c r="C137" s="24" t="s">
        <v>708</v>
      </c>
      <c r="D137" s="15"/>
      <c r="E137" s="15" t="s">
        <v>709</v>
      </c>
      <c r="F137" s="25" t="s">
        <v>81</v>
      </c>
      <c r="G137" s="26">
        <v>1.8</v>
      </c>
      <c r="H137" s="27"/>
      <c r="I137" s="27">
        <v>0</v>
      </c>
      <c r="J137" s="28">
        <v>5.85</v>
      </c>
      <c r="M137" s="29">
        <f>ROUND(ROUND(J137, 2)*I137, 2)</f>
        <v>0</v>
      </c>
      <c r="P137" s="28">
        <v>5.85</v>
      </c>
      <c r="S137" s="29">
        <f>ROUND(ROUND(P137, 2)*I137, 2)</f>
        <v>0</v>
      </c>
      <c r="V137" s="9">
        <f>ROUND(ROUND(P137, 2)/1.2, 2)</f>
        <v>4.88</v>
      </c>
      <c r="Y137" s="9">
        <f t="shared" si="10"/>
        <v>0</v>
      </c>
      <c r="AD137" s="4" t="s">
        <v>710</v>
      </c>
      <c r="AE137" s="4" t="s">
        <v>711</v>
      </c>
      <c r="AF137" s="4" t="s">
        <v>712</v>
      </c>
    </row>
    <row r="138" spans="1:35" ht="18.75" x14ac:dyDescent="0.25">
      <c r="A138" s="10" t="s">
        <v>715</v>
      </c>
      <c r="B138" s="10"/>
      <c r="C138" s="24" t="s">
        <v>716</v>
      </c>
      <c r="D138" s="15"/>
      <c r="E138" s="15"/>
      <c r="F138" s="25" t="s">
        <v>123</v>
      </c>
      <c r="G138" s="26">
        <v>1.1000000000000001</v>
      </c>
      <c r="H138" s="27"/>
      <c r="I138" s="27">
        <v>0</v>
      </c>
      <c r="J138" s="28">
        <v>18.34</v>
      </c>
      <c r="M138" s="29">
        <f>ROUND(ROUND(J138, 2)*I138, 2)</f>
        <v>0</v>
      </c>
      <c r="P138" s="28">
        <v>18.34</v>
      </c>
      <c r="S138" s="29">
        <f>ROUND(ROUND(P138, 2)*I138, 2)</f>
        <v>0</v>
      </c>
      <c r="V138" s="9">
        <f>ROUND(ROUND(P138, 2)/1.2, 2)</f>
        <v>15.28</v>
      </c>
      <c r="Y138" s="9">
        <f t="shared" si="10"/>
        <v>0</v>
      </c>
      <c r="AD138" s="4" t="s">
        <v>717</v>
      </c>
      <c r="AE138" s="4" t="s">
        <v>718</v>
      </c>
      <c r="AF138" s="4" t="s">
        <v>719</v>
      </c>
    </row>
    <row r="139" spans="1:35" ht="56.25" x14ac:dyDescent="0.25">
      <c r="A139" s="10" t="s">
        <v>722</v>
      </c>
      <c r="B139" s="10" t="s">
        <v>689</v>
      </c>
      <c r="C139" s="14" t="s">
        <v>690</v>
      </c>
      <c r="D139" s="15"/>
      <c r="E139" s="15" t="s">
        <v>723</v>
      </c>
      <c r="F139" s="15" t="s">
        <v>56</v>
      </c>
      <c r="G139" s="16">
        <v>1</v>
      </c>
      <c r="H139" s="16"/>
      <c r="I139" s="16">
        <v>0</v>
      </c>
      <c r="J139" s="17">
        <f>IFERROR(ROUND(SUM(M140,M141,M142,M143)/I139, 2),0)</f>
        <v>0</v>
      </c>
      <c r="K139" s="18">
        <v>826</v>
      </c>
      <c r="L139" s="17">
        <f>J139+ROUND(K139, 2)</f>
        <v>826</v>
      </c>
      <c r="M139" s="17">
        <f>ROUND(J139*I139, 2)</f>
        <v>0</v>
      </c>
      <c r="N139" s="17">
        <f>ROUND(I139*ROUND(K139, 2), 2)</f>
        <v>0</v>
      </c>
      <c r="O139" s="17">
        <f>M139+N139</f>
        <v>0</v>
      </c>
      <c r="P139" s="17">
        <f>IFERROR(ROUND(SUM(S140,S141,S142,S143)/I139, 2),0)</f>
        <v>0</v>
      </c>
      <c r="Q139" s="18">
        <v>826</v>
      </c>
      <c r="R139" s="17">
        <f>P139+ROUND(Q139, 2)</f>
        <v>826</v>
      </c>
      <c r="S139" s="17">
        <f>ROUND(P139*I139, 2)</f>
        <v>0</v>
      </c>
      <c r="T139" s="17">
        <f>ROUND(I139*ROUND(Q139, 2), 2)</f>
        <v>0</v>
      </c>
      <c r="U139" s="17">
        <f>S139+T139</f>
        <v>0</v>
      </c>
      <c r="V139" s="9">
        <f>ROUND(P139 / 1.2, 2)</f>
        <v>0</v>
      </c>
      <c r="W139" s="9">
        <f>ROUND(Q139 / 1.2, 2)</f>
        <v>688.33</v>
      </c>
      <c r="X139" s="9">
        <f>ROUND(R139 / 1.2, 2)</f>
        <v>688.33</v>
      </c>
      <c r="Y139" s="9">
        <f t="shared" si="10"/>
        <v>0</v>
      </c>
      <c r="Z139" s="9">
        <f>ROUND(T139 / 1.2, 2)</f>
        <v>0</v>
      </c>
      <c r="AA139" s="9">
        <f>Y139+Z139</f>
        <v>0</v>
      </c>
      <c r="AD139" s="4">
        <v>264030373</v>
      </c>
      <c r="AE139" s="4">
        <v>16077288</v>
      </c>
      <c r="AG139" s="4" t="s">
        <v>692</v>
      </c>
      <c r="AH139" s="4" t="s">
        <v>693</v>
      </c>
      <c r="AI139" s="4" t="s">
        <v>249</v>
      </c>
    </row>
    <row r="140" spans="1:35" ht="37.5" x14ac:dyDescent="0.25">
      <c r="A140" s="10" t="s">
        <v>725</v>
      </c>
      <c r="B140" s="10"/>
      <c r="C140" s="24" t="s">
        <v>726</v>
      </c>
      <c r="D140" s="15"/>
      <c r="E140" s="15"/>
      <c r="F140" s="25" t="s">
        <v>81</v>
      </c>
      <c r="G140" s="26">
        <v>0.15</v>
      </c>
      <c r="H140" s="26"/>
      <c r="I140" s="26">
        <v>0</v>
      </c>
      <c r="J140" s="28">
        <v>80</v>
      </c>
      <c r="M140" s="29">
        <f>ROUND(ROUND(J140, 2)*I140, 2)</f>
        <v>0</v>
      </c>
      <c r="P140" s="28">
        <v>80</v>
      </c>
      <c r="S140" s="29">
        <f>ROUND(ROUND(P140, 2)*I140, 2)</f>
        <v>0</v>
      </c>
      <c r="V140" s="9">
        <f>ROUND(ROUND(P140, 2)/1.2, 2)</f>
        <v>66.67</v>
      </c>
      <c r="Y140" s="9">
        <f t="shared" si="10"/>
        <v>0</v>
      </c>
      <c r="AD140" s="4" t="s">
        <v>727</v>
      </c>
      <c r="AE140" s="4" t="s">
        <v>728</v>
      </c>
      <c r="AF140" s="4" t="s">
        <v>729</v>
      </c>
    </row>
    <row r="141" spans="1:35" ht="18.75" x14ac:dyDescent="0.25">
      <c r="A141" s="10" t="s">
        <v>732</v>
      </c>
      <c r="B141" s="10"/>
      <c r="C141" s="24" t="s">
        <v>716</v>
      </c>
      <c r="D141" s="15"/>
      <c r="E141" s="15"/>
      <c r="F141" s="25" t="s">
        <v>123</v>
      </c>
      <c r="G141" s="26">
        <v>1.1000000000000001</v>
      </c>
      <c r="H141" s="27"/>
      <c r="I141" s="27">
        <v>0</v>
      </c>
      <c r="J141" s="28">
        <v>18.34</v>
      </c>
      <c r="M141" s="29">
        <f>ROUND(ROUND(J141, 2)*I141, 2)</f>
        <v>0</v>
      </c>
      <c r="P141" s="28">
        <v>18.34</v>
      </c>
      <c r="S141" s="29">
        <f>ROUND(ROUND(P141, 2)*I141, 2)</f>
        <v>0</v>
      </c>
      <c r="V141" s="9">
        <f>ROUND(ROUND(P141, 2)/1.2, 2)</f>
        <v>15.28</v>
      </c>
      <c r="Y141" s="9">
        <f t="shared" si="10"/>
        <v>0</v>
      </c>
      <c r="AD141" s="4" t="s">
        <v>733</v>
      </c>
      <c r="AE141" s="4" t="s">
        <v>734</v>
      </c>
      <c r="AF141" s="4" t="s">
        <v>719</v>
      </c>
    </row>
    <row r="142" spans="1:35" ht="18.75" x14ac:dyDescent="0.25">
      <c r="A142" s="10" t="s">
        <v>737</v>
      </c>
      <c r="B142" s="10"/>
      <c r="C142" s="24" t="s">
        <v>708</v>
      </c>
      <c r="D142" s="15"/>
      <c r="E142" s="15" t="s">
        <v>709</v>
      </c>
      <c r="F142" s="25" t="s">
        <v>81</v>
      </c>
      <c r="G142" s="26">
        <v>1.8</v>
      </c>
      <c r="H142" s="27"/>
      <c r="I142" s="27">
        <v>0</v>
      </c>
      <c r="J142" s="28">
        <v>5.85</v>
      </c>
      <c r="M142" s="29">
        <f>ROUND(ROUND(J142, 2)*I142, 2)</f>
        <v>0</v>
      </c>
      <c r="P142" s="28">
        <v>5.85</v>
      </c>
      <c r="S142" s="29">
        <f>ROUND(ROUND(P142, 2)*I142, 2)</f>
        <v>0</v>
      </c>
      <c r="V142" s="9">
        <f>ROUND(ROUND(P142, 2)/1.2, 2)</f>
        <v>4.88</v>
      </c>
      <c r="Y142" s="9">
        <f t="shared" si="10"/>
        <v>0</v>
      </c>
      <c r="AD142" s="4" t="s">
        <v>738</v>
      </c>
      <c r="AE142" s="4" t="s">
        <v>739</v>
      </c>
      <c r="AF142" s="4" t="s">
        <v>712</v>
      </c>
    </row>
    <row r="143" spans="1:35" ht="37.5" x14ac:dyDescent="0.25">
      <c r="A143" s="10" t="s">
        <v>742</v>
      </c>
      <c r="B143" s="10"/>
      <c r="C143" s="24" t="s">
        <v>696</v>
      </c>
      <c r="D143" s="15"/>
      <c r="E143" s="15"/>
      <c r="F143" s="25" t="s">
        <v>56</v>
      </c>
      <c r="G143" s="26">
        <v>1.1000000000000001</v>
      </c>
      <c r="H143" s="26"/>
      <c r="I143" s="26">
        <v>0</v>
      </c>
      <c r="J143" s="28">
        <v>27.55</v>
      </c>
      <c r="M143" s="29">
        <f>ROUND(ROUND(J143, 2)*I143, 2)</f>
        <v>0</v>
      </c>
      <c r="P143" s="28">
        <v>27.55</v>
      </c>
      <c r="S143" s="29">
        <f>ROUND(ROUND(P143, 2)*I143, 2)</f>
        <v>0</v>
      </c>
      <c r="V143" s="9">
        <f>ROUND(ROUND(P143, 2)/1.2, 2)</f>
        <v>22.96</v>
      </c>
      <c r="Y143" s="9">
        <f t="shared" si="10"/>
        <v>0</v>
      </c>
      <c r="AD143" s="4" t="s">
        <v>743</v>
      </c>
      <c r="AE143" s="4" t="s">
        <v>744</v>
      </c>
      <c r="AF143" s="4" t="s">
        <v>699</v>
      </c>
    </row>
    <row r="144" spans="1:35" ht="56.25" x14ac:dyDescent="0.25">
      <c r="A144" s="10" t="s">
        <v>747</v>
      </c>
      <c r="B144" s="10" t="s">
        <v>689</v>
      </c>
      <c r="C144" s="14" t="s">
        <v>690</v>
      </c>
      <c r="D144" s="15"/>
      <c r="E144" s="15" t="s">
        <v>748</v>
      </c>
      <c r="F144" s="15" t="s">
        <v>56</v>
      </c>
      <c r="G144" s="16">
        <v>1</v>
      </c>
      <c r="H144" s="16"/>
      <c r="I144" s="16">
        <v>0</v>
      </c>
      <c r="J144" s="17">
        <f>IFERROR(ROUND(SUM(M145,M146,M147)/I144, 2),0)</f>
        <v>0</v>
      </c>
      <c r="K144" s="18">
        <v>826</v>
      </c>
      <c r="L144" s="17">
        <f>J144+ROUND(K144, 2)</f>
        <v>826</v>
      </c>
      <c r="M144" s="17">
        <f>ROUND(J144*I144, 2)</f>
        <v>0</v>
      </c>
      <c r="N144" s="17">
        <f>ROUND(I144*ROUND(K144, 2), 2)</f>
        <v>0</v>
      </c>
      <c r="O144" s="17">
        <f>M144+N144</f>
        <v>0</v>
      </c>
      <c r="P144" s="17">
        <f>IFERROR(ROUND(SUM(S145,S146,S147)/I144, 2),0)</f>
        <v>0</v>
      </c>
      <c r="Q144" s="18">
        <v>826</v>
      </c>
      <c r="R144" s="17">
        <f>P144+ROUND(Q144, 2)</f>
        <v>826</v>
      </c>
      <c r="S144" s="17">
        <f>ROUND(P144*I144, 2)</f>
        <v>0</v>
      </c>
      <c r="T144" s="17">
        <f>ROUND(I144*ROUND(Q144, 2), 2)</f>
        <v>0</v>
      </c>
      <c r="U144" s="17">
        <f>S144+T144</f>
        <v>0</v>
      </c>
      <c r="V144" s="9">
        <f>ROUND(P144 / 1.2, 2)</f>
        <v>0</v>
      </c>
      <c r="W144" s="9">
        <f>ROUND(Q144 / 1.2, 2)</f>
        <v>688.33</v>
      </c>
      <c r="X144" s="9">
        <f>ROUND(R144 / 1.2, 2)</f>
        <v>688.33</v>
      </c>
      <c r="Y144" s="9">
        <f t="shared" si="10"/>
        <v>0</v>
      </c>
      <c r="Z144" s="9">
        <f>ROUND(T144 / 1.2, 2)</f>
        <v>0</v>
      </c>
      <c r="AA144" s="9">
        <f>Y144+Z144</f>
        <v>0</v>
      </c>
      <c r="AD144" s="4">
        <v>264030374</v>
      </c>
      <c r="AE144" s="4">
        <v>16081379</v>
      </c>
      <c r="AG144" s="4" t="s">
        <v>692</v>
      </c>
      <c r="AH144" s="4" t="s">
        <v>693</v>
      </c>
      <c r="AI144" s="4" t="s">
        <v>249</v>
      </c>
    </row>
    <row r="145" spans="1:35" ht="37.5" x14ac:dyDescent="0.25">
      <c r="A145" s="10" t="s">
        <v>750</v>
      </c>
      <c r="B145" s="10"/>
      <c r="C145" s="37" t="s">
        <v>751</v>
      </c>
      <c r="D145" s="15"/>
      <c r="E145" s="15" t="s">
        <v>709</v>
      </c>
      <c r="F145" s="25" t="s">
        <v>81</v>
      </c>
      <c r="G145" s="26">
        <v>1</v>
      </c>
      <c r="H145" s="27"/>
      <c r="I145" s="27">
        <v>0</v>
      </c>
      <c r="J145" s="28">
        <v>7.59</v>
      </c>
      <c r="M145" s="29">
        <f>ROUND(ROUND(J145, 2)*I145, 2)</f>
        <v>0</v>
      </c>
      <c r="P145" s="28">
        <v>8.35</v>
      </c>
      <c r="S145" s="29">
        <f>ROUND(ROUND(P145, 2)*I145, 2)</f>
        <v>0</v>
      </c>
      <c r="V145" s="9">
        <f>ROUND(ROUND(P145, 2)/1.2, 2)</f>
        <v>6.96</v>
      </c>
      <c r="Y145" s="9">
        <f t="shared" si="10"/>
        <v>0</v>
      </c>
      <c r="AD145" s="4" t="s">
        <v>752</v>
      </c>
      <c r="AE145" s="4" t="s">
        <v>753</v>
      </c>
      <c r="AF145" s="4" t="s">
        <v>754</v>
      </c>
    </row>
    <row r="146" spans="1:35" ht="18.75" x14ac:dyDescent="0.25">
      <c r="A146" s="10" t="s">
        <v>757</v>
      </c>
      <c r="B146" s="10"/>
      <c r="C146" s="24" t="s">
        <v>313</v>
      </c>
      <c r="D146" s="15"/>
      <c r="E146" s="15"/>
      <c r="F146" s="25" t="s">
        <v>81</v>
      </c>
      <c r="G146" s="26">
        <v>0.25</v>
      </c>
      <c r="H146" s="26"/>
      <c r="I146" s="26">
        <v>0</v>
      </c>
      <c r="J146" s="28">
        <v>100</v>
      </c>
      <c r="M146" s="29">
        <f>ROUND(ROUND(J146, 2)*I146, 2)</f>
        <v>0</v>
      </c>
      <c r="P146" s="28">
        <v>100</v>
      </c>
      <c r="S146" s="29">
        <f>ROUND(ROUND(P146, 2)*I146, 2)</f>
        <v>0</v>
      </c>
      <c r="V146" s="9">
        <f>ROUND(ROUND(P146, 2)/1.2, 2)</f>
        <v>83.33</v>
      </c>
      <c r="Y146" s="9">
        <f t="shared" si="10"/>
        <v>0</v>
      </c>
      <c r="AD146" s="4" t="s">
        <v>758</v>
      </c>
      <c r="AE146" s="4" t="s">
        <v>759</v>
      </c>
      <c r="AF146" s="4" t="s">
        <v>316</v>
      </c>
    </row>
    <row r="147" spans="1:35" ht="18.75" x14ac:dyDescent="0.25">
      <c r="A147" s="10" t="s">
        <v>762</v>
      </c>
      <c r="B147" s="10"/>
      <c r="C147" s="24" t="s">
        <v>716</v>
      </c>
      <c r="D147" s="15"/>
      <c r="E147" s="15"/>
      <c r="F147" s="25" t="s">
        <v>123</v>
      </c>
      <c r="G147" s="26">
        <v>1.1000000000000001</v>
      </c>
      <c r="H147" s="27"/>
      <c r="I147" s="27">
        <v>0</v>
      </c>
      <c r="J147" s="28">
        <v>18.34</v>
      </c>
      <c r="M147" s="29">
        <f>ROUND(ROUND(J147, 2)*I147, 2)</f>
        <v>0</v>
      </c>
      <c r="P147" s="28">
        <v>18.34</v>
      </c>
      <c r="S147" s="29">
        <f>ROUND(ROUND(P147, 2)*I147, 2)</f>
        <v>0</v>
      </c>
      <c r="V147" s="9">
        <f>ROUND(ROUND(P147, 2)/1.2, 2)</f>
        <v>15.28</v>
      </c>
      <c r="Y147" s="9">
        <f t="shared" si="10"/>
        <v>0</v>
      </c>
      <c r="AD147" s="4" t="s">
        <v>763</v>
      </c>
      <c r="AE147" s="4" t="s">
        <v>764</v>
      </c>
      <c r="AF147" s="4" t="s">
        <v>719</v>
      </c>
    </row>
    <row r="148" spans="1:35" ht="56.25" x14ac:dyDescent="0.25">
      <c r="A148" s="10" t="s">
        <v>767</v>
      </c>
      <c r="B148" s="10" t="s">
        <v>689</v>
      </c>
      <c r="C148" s="14" t="s">
        <v>690</v>
      </c>
      <c r="D148" s="15"/>
      <c r="E148" s="15" t="s">
        <v>768</v>
      </c>
      <c r="F148" s="15" t="s">
        <v>56</v>
      </c>
      <c r="G148" s="16">
        <v>1</v>
      </c>
      <c r="H148" s="16"/>
      <c r="I148" s="16">
        <v>0</v>
      </c>
      <c r="J148" s="17">
        <f>IFERROR(ROUND(SUM(M149,M150,M151)/I148, 2),0)</f>
        <v>0</v>
      </c>
      <c r="K148" s="18">
        <v>826</v>
      </c>
      <c r="L148" s="17">
        <f>J148+ROUND(K148, 2)</f>
        <v>826</v>
      </c>
      <c r="M148" s="17">
        <f>ROUND(J148*I148, 2)</f>
        <v>0</v>
      </c>
      <c r="N148" s="17">
        <f>ROUND(I148*ROUND(K148, 2), 2)</f>
        <v>0</v>
      </c>
      <c r="O148" s="17">
        <f>M148+N148</f>
        <v>0</v>
      </c>
      <c r="P148" s="17">
        <f>IFERROR(ROUND(SUM(S149,S150,S151)/I148, 2),0)</f>
        <v>0</v>
      </c>
      <c r="Q148" s="18">
        <v>826</v>
      </c>
      <c r="R148" s="17">
        <f>P148+ROUND(Q148, 2)</f>
        <v>826</v>
      </c>
      <c r="S148" s="17">
        <f>ROUND(P148*I148, 2)</f>
        <v>0</v>
      </c>
      <c r="T148" s="17">
        <f>ROUND(I148*ROUND(Q148, 2), 2)</f>
        <v>0</v>
      </c>
      <c r="U148" s="17">
        <f>S148+T148</f>
        <v>0</v>
      </c>
      <c r="V148" s="9">
        <f>ROUND(P148 / 1.2, 2)</f>
        <v>0</v>
      </c>
      <c r="W148" s="9">
        <f>ROUND(Q148 / 1.2, 2)</f>
        <v>688.33</v>
      </c>
      <c r="X148" s="9">
        <f>ROUND(R148 / 1.2, 2)</f>
        <v>688.33</v>
      </c>
      <c r="Y148" s="9">
        <f t="shared" si="10"/>
        <v>0</v>
      </c>
      <c r="Z148" s="9">
        <f>ROUND(T148 / 1.2, 2)</f>
        <v>0</v>
      </c>
      <c r="AA148" s="9">
        <f>Y148+Z148</f>
        <v>0</v>
      </c>
      <c r="AD148" s="4">
        <v>264030375</v>
      </c>
      <c r="AE148" s="4">
        <v>16081378</v>
      </c>
      <c r="AG148" s="4" t="s">
        <v>692</v>
      </c>
      <c r="AH148" s="4" t="s">
        <v>693</v>
      </c>
      <c r="AI148" s="4" t="s">
        <v>249</v>
      </c>
    </row>
    <row r="149" spans="1:35" ht="18.75" x14ac:dyDescent="0.25">
      <c r="A149" s="10" t="s">
        <v>770</v>
      </c>
      <c r="B149" s="10"/>
      <c r="C149" s="24" t="s">
        <v>716</v>
      </c>
      <c r="D149" s="15"/>
      <c r="E149" s="15"/>
      <c r="F149" s="25" t="s">
        <v>123</v>
      </c>
      <c r="G149" s="26">
        <v>1.1000000000000001</v>
      </c>
      <c r="H149" s="27"/>
      <c r="I149" s="27">
        <v>0</v>
      </c>
      <c r="J149" s="28">
        <v>18.34</v>
      </c>
      <c r="M149" s="29">
        <f>ROUND(ROUND(J149, 2)*I149, 2)</f>
        <v>0</v>
      </c>
      <c r="P149" s="28">
        <v>18.34</v>
      </c>
      <c r="S149" s="29">
        <f>ROUND(ROUND(P149, 2)*I149, 2)</f>
        <v>0</v>
      </c>
      <c r="V149" s="9">
        <f>ROUND(ROUND(P149, 2)/1.2, 2)</f>
        <v>15.28</v>
      </c>
      <c r="Y149" s="9">
        <f t="shared" si="10"/>
        <v>0</v>
      </c>
      <c r="AD149" s="4" t="s">
        <v>771</v>
      </c>
      <c r="AE149" s="4" t="s">
        <v>772</v>
      </c>
      <c r="AF149" s="4" t="s">
        <v>719</v>
      </c>
    </row>
    <row r="150" spans="1:35" ht="37.5" x14ac:dyDescent="0.25">
      <c r="A150" s="10" t="s">
        <v>775</v>
      </c>
      <c r="B150" s="10"/>
      <c r="C150" s="24" t="s">
        <v>776</v>
      </c>
      <c r="D150" s="15"/>
      <c r="E150" s="15"/>
      <c r="F150" s="25" t="s">
        <v>81</v>
      </c>
      <c r="G150" s="26">
        <v>0.15</v>
      </c>
      <c r="H150" s="27"/>
      <c r="I150" s="27">
        <v>0</v>
      </c>
      <c r="J150" s="28">
        <v>80</v>
      </c>
      <c r="M150" s="29">
        <f>ROUND(ROUND(J150, 2)*I150, 2)</f>
        <v>0</v>
      </c>
      <c r="P150" s="28">
        <v>80</v>
      </c>
      <c r="S150" s="29">
        <f>ROUND(ROUND(P150, 2)*I150, 2)</f>
        <v>0</v>
      </c>
      <c r="V150" s="9">
        <f>ROUND(ROUND(P150, 2)/1.2, 2)</f>
        <v>66.67</v>
      </c>
      <c r="Y150" s="9">
        <f t="shared" si="10"/>
        <v>0</v>
      </c>
      <c r="AD150" s="4" t="s">
        <v>777</v>
      </c>
      <c r="AE150" s="4" t="s">
        <v>778</v>
      </c>
      <c r="AF150" s="4" t="s">
        <v>779</v>
      </c>
    </row>
    <row r="151" spans="1:35" ht="37.5" x14ac:dyDescent="0.25">
      <c r="A151" s="10" t="s">
        <v>782</v>
      </c>
      <c r="B151" s="10"/>
      <c r="C151" s="37" t="s">
        <v>751</v>
      </c>
      <c r="D151" s="15"/>
      <c r="E151" s="15" t="s">
        <v>709</v>
      </c>
      <c r="F151" s="25" t="s">
        <v>81</v>
      </c>
      <c r="G151" s="26">
        <v>1</v>
      </c>
      <c r="H151" s="27"/>
      <c r="I151" s="27">
        <v>0</v>
      </c>
      <c r="J151" s="28">
        <v>7.59</v>
      </c>
      <c r="M151" s="29">
        <f>ROUND(ROUND(J151, 2)*I151, 2)</f>
        <v>0</v>
      </c>
      <c r="P151" s="28">
        <v>8.35</v>
      </c>
      <c r="S151" s="29">
        <f>ROUND(ROUND(P151, 2)*I151, 2)</f>
        <v>0</v>
      </c>
      <c r="V151" s="9">
        <f>ROUND(ROUND(P151, 2)/1.2, 2)</f>
        <v>6.96</v>
      </c>
      <c r="Y151" s="9">
        <f t="shared" si="10"/>
        <v>0</v>
      </c>
      <c r="AD151" s="4" t="s">
        <v>783</v>
      </c>
      <c r="AE151" s="4" t="s">
        <v>784</v>
      </c>
      <c r="AF151" s="4" t="s">
        <v>754</v>
      </c>
    </row>
    <row r="152" spans="1:35" ht="56.25" x14ac:dyDescent="0.25">
      <c r="A152" s="10" t="s">
        <v>787</v>
      </c>
      <c r="B152" s="10" t="s">
        <v>689</v>
      </c>
      <c r="C152" s="14" t="s">
        <v>690</v>
      </c>
      <c r="D152" s="15"/>
      <c r="E152" s="15" t="s">
        <v>788</v>
      </c>
      <c r="F152" s="15" t="s">
        <v>56</v>
      </c>
      <c r="G152" s="16">
        <v>1</v>
      </c>
      <c r="H152" s="16"/>
      <c r="I152" s="16">
        <v>0</v>
      </c>
      <c r="J152" s="17">
        <f>IFERROR(ROUND(SUM(M153,M154,M155,M156)/I152, 2),0)</f>
        <v>0</v>
      </c>
      <c r="K152" s="18">
        <v>826</v>
      </c>
      <c r="L152" s="17">
        <f>J152+ROUND(K152, 2)</f>
        <v>826</v>
      </c>
      <c r="M152" s="17">
        <f>ROUND(J152*I152, 2)</f>
        <v>0</v>
      </c>
      <c r="N152" s="17">
        <f>ROUND(I152*ROUND(K152, 2), 2)</f>
        <v>0</v>
      </c>
      <c r="O152" s="17">
        <f>M152+N152</f>
        <v>0</v>
      </c>
      <c r="P152" s="17">
        <f>IFERROR(ROUND(SUM(S153,S154,S155,S156)/I152, 2),0)</f>
        <v>0</v>
      </c>
      <c r="Q152" s="18">
        <v>826</v>
      </c>
      <c r="R152" s="17">
        <f>P152+ROUND(Q152, 2)</f>
        <v>826</v>
      </c>
      <c r="S152" s="17">
        <f>ROUND(P152*I152, 2)</f>
        <v>0</v>
      </c>
      <c r="T152" s="17">
        <f>ROUND(I152*ROUND(Q152, 2), 2)</f>
        <v>0</v>
      </c>
      <c r="U152" s="17">
        <f>S152+T152</f>
        <v>0</v>
      </c>
      <c r="V152" s="9">
        <f>ROUND(P152 / 1.2, 2)</f>
        <v>0</v>
      </c>
      <c r="W152" s="9">
        <f>ROUND(Q152 / 1.2, 2)</f>
        <v>688.33</v>
      </c>
      <c r="X152" s="9">
        <f>ROUND(R152 / 1.2, 2)</f>
        <v>688.33</v>
      </c>
      <c r="Y152" s="9">
        <f t="shared" si="10"/>
        <v>0</v>
      </c>
      <c r="Z152" s="9">
        <f>ROUND(T152 / 1.2, 2)</f>
        <v>0</v>
      </c>
      <c r="AA152" s="9">
        <f>Y152+Z152</f>
        <v>0</v>
      </c>
      <c r="AD152" s="4">
        <v>264030376</v>
      </c>
      <c r="AE152" s="4">
        <v>16086783</v>
      </c>
      <c r="AG152" s="4" t="s">
        <v>692</v>
      </c>
      <c r="AH152" s="4" t="s">
        <v>693</v>
      </c>
      <c r="AI152" s="4" t="s">
        <v>249</v>
      </c>
    </row>
    <row r="153" spans="1:35" ht="37.5" x14ac:dyDescent="0.25">
      <c r="A153" s="10" t="s">
        <v>790</v>
      </c>
      <c r="B153" s="10"/>
      <c r="C153" s="24" t="s">
        <v>696</v>
      </c>
      <c r="D153" s="15"/>
      <c r="E153" s="15"/>
      <c r="F153" s="25" t="s">
        <v>56</v>
      </c>
      <c r="G153" s="26">
        <v>1.1000000000000001</v>
      </c>
      <c r="H153" s="26"/>
      <c r="I153" s="26">
        <v>0</v>
      </c>
      <c r="J153" s="28">
        <v>27.55</v>
      </c>
      <c r="M153" s="29">
        <f>ROUND(ROUND(J153, 2)*I153, 2)</f>
        <v>0</v>
      </c>
      <c r="P153" s="28">
        <v>27.55</v>
      </c>
      <c r="S153" s="29">
        <f>ROUND(ROUND(P153, 2)*I153, 2)</f>
        <v>0</v>
      </c>
      <c r="V153" s="9">
        <f>ROUND(ROUND(P153, 2)/1.2, 2)</f>
        <v>22.96</v>
      </c>
      <c r="Y153" s="9">
        <f t="shared" si="10"/>
        <v>0</v>
      </c>
      <c r="AD153" s="4" t="s">
        <v>791</v>
      </c>
      <c r="AE153" s="4" t="s">
        <v>792</v>
      </c>
      <c r="AF153" s="4" t="s">
        <v>699</v>
      </c>
    </row>
    <row r="154" spans="1:35" ht="18.75" x14ac:dyDescent="0.25">
      <c r="A154" s="10" t="s">
        <v>795</v>
      </c>
      <c r="B154" s="10"/>
      <c r="C154" s="24" t="s">
        <v>313</v>
      </c>
      <c r="D154" s="15"/>
      <c r="E154" s="15"/>
      <c r="F154" s="25" t="s">
        <v>81</v>
      </c>
      <c r="G154" s="26">
        <v>0.25</v>
      </c>
      <c r="H154" s="26"/>
      <c r="I154" s="26">
        <v>0</v>
      </c>
      <c r="J154" s="28">
        <v>100</v>
      </c>
      <c r="M154" s="29">
        <f>ROUND(ROUND(J154, 2)*I154, 2)</f>
        <v>0</v>
      </c>
      <c r="P154" s="28">
        <v>100</v>
      </c>
      <c r="S154" s="29">
        <f>ROUND(ROUND(P154, 2)*I154, 2)</f>
        <v>0</v>
      </c>
      <c r="V154" s="9">
        <f>ROUND(ROUND(P154, 2)/1.2, 2)</f>
        <v>83.33</v>
      </c>
      <c r="Y154" s="9">
        <f t="shared" si="10"/>
        <v>0</v>
      </c>
      <c r="AD154" s="4" t="s">
        <v>796</v>
      </c>
      <c r="AE154" s="4" t="s">
        <v>797</v>
      </c>
      <c r="AF154" s="4" t="s">
        <v>316</v>
      </c>
    </row>
    <row r="155" spans="1:35" ht="18.75" x14ac:dyDescent="0.25">
      <c r="A155" s="10" t="s">
        <v>800</v>
      </c>
      <c r="B155" s="10"/>
      <c r="C155" s="24" t="s">
        <v>708</v>
      </c>
      <c r="D155" s="15"/>
      <c r="E155" s="15" t="s">
        <v>709</v>
      </c>
      <c r="F155" s="25" t="s">
        <v>81</v>
      </c>
      <c r="G155" s="26">
        <v>1.8</v>
      </c>
      <c r="H155" s="27"/>
      <c r="I155" s="27">
        <v>0</v>
      </c>
      <c r="J155" s="28">
        <v>5.85</v>
      </c>
      <c r="M155" s="29">
        <f>ROUND(ROUND(J155, 2)*I155, 2)</f>
        <v>0</v>
      </c>
      <c r="P155" s="28">
        <v>5.85</v>
      </c>
      <c r="S155" s="29">
        <f>ROUND(ROUND(P155, 2)*I155, 2)</f>
        <v>0</v>
      </c>
      <c r="V155" s="9">
        <f>ROUND(ROUND(P155, 2)/1.2, 2)</f>
        <v>4.88</v>
      </c>
      <c r="Y155" s="9">
        <f t="shared" si="10"/>
        <v>0</v>
      </c>
      <c r="AD155" s="4" t="s">
        <v>801</v>
      </c>
      <c r="AE155" s="4" t="s">
        <v>802</v>
      </c>
      <c r="AF155" s="4" t="s">
        <v>712</v>
      </c>
    </row>
    <row r="156" spans="1:35" ht="18.75" x14ac:dyDescent="0.25">
      <c r="A156" s="10" t="s">
        <v>805</v>
      </c>
      <c r="B156" s="10"/>
      <c r="C156" s="24" t="s">
        <v>716</v>
      </c>
      <c r="D156" s="15"/>
      <c r="E156" s="15"/>
      <c r="F156" s="25" t="s">
        <v>123</v>
      </c>
      <c r="G156" s="26">
        <v>1.1000000000000001</v>
      </c>
      <c r="H156" s="27"/>
      <c r="I156" s="27">
        <v>0</v>
      </c>
      <c r="J156" s="28">
        <v>18.34</v>
      </c>
      <c r="M156" s="29">
        <f>ROUND(ROUND(J156, 2)*I156, 2)</f>
        <v>0</v>
      </c>
      <c r="P156" s="28">
        <v>18.34</v>
      </c>
      <c r="S156" s="29">
        <f>ROUND(ROUND(P156, 2)*I156, 2)</f>
        <v>0</v>
      </c>
      <c r="V156" s="9">
        <f>ROUND(ROUND(P156, 2)/1.2, 2)</f>
        <v>15.28</v>
      </c>
      <c r="Y156" s="9">
        <f t="shared" si="10"/>
        <v>0</v>
      </c>
      <c r="AD156" s="4" t="s">
        <v>806</v>
      </c>
      <c r="AE156" s="4" t="s">
        <v>807</v>
      </c>
      <c r="AF156" s="4" t="s">
        <v>719</v>
      </c>
    </row>
    <row r="157" spans="1:35" ht="56.25" x14ac:dyDescent="0.25">
      <c r="A157" s="10" t="s">
        <v>810</v>
      </c>
      <c r="B157" s="10" t="s">
        <v>689</v>
      </c>
      <c r="C157" s="14" t="s">
        <v>690</v>
      </c>
      <c r="D157" s="15"/>
      <c r="E157" s="15" t="s">
        <v>811</v>
      </c>
      <c r="F157" s="15" t="s">
        <v>56</v>
      </c>
      <c r="G157" s="16">
        <v>1</v>
      </c>
      <c r="H157" s="16"/>
      <c r="I157" s="16">
        <v>0</v>
      </c>
      <c r="J157" s="17">
        <f>IFERROR(ROUND(SUM(M158,M159,M160,M161)/I157, 2),0)</f>
        <v>0</v>
      </c>
      <c r="K157" s="18">
        <v>826</v>
      </c>
      <c r="L157" s="17">
        <f>J157+ROUND(K157, 2)</f>
        <v>826</v>
      </c>
      <c r="M157" s="17">
        <f>ROUND(J157*I157, 2)</f>
        <v>0</v>
      </c>
      <c r="N157" s="17">
        <f>ROUND(I157*ROUND(K157, 2), 2)</f>
        <v>0</v>
      </c>
      <c r="O157" s="17">
        <f>M157+N157</f>
        <v>0</v>
      </c>
      <c r="P157" s="17">
        <f>IFERROR(ROUND(SUM(S158,S159,S160,S161)/I157, 2),0)</f>
        <v>0</v>
      </c>
      <c r="Q157" s="18">
        <v>826</v>
      </c>
      <c r="R157" s="17">
        <f>P157+ROUND(Q157, 2)</f>
        <v>826</v>
      </c>
      <c r="S157" s="17">
        <f>ROUND(P157*I157, 2)</f>
        <v>0</v>
      </c>
      <c r="T157" s="17">
        <f>ROUND(I157*ROUND(Q157, 2), 2)</f>
        <v>0</v>
      </c>
      <c r="U157" s="17">
        <f>S157+T157</f>
        <v>0</v>
      </c>
      <c r="V157" s="9">
        <f>ROUND(P157 / 1.2, 2)</f>
        <v>0</v>
      </c>
      <c r="W157" s="9">
        <f>ROUND(Q157 / 1.2, 2)</f>
        <v>688.33</v>
      </c>
      <c r="X157" s="9">
        <f>ROUND(R157 / 1.2, 2)</f>
        <v>688.33</v>
      </c>
      <c r="Y157" s="9">
        <f t="shared" si="10"/>
        <v>0</v>
      </c>
      <c r="Z157" s="9">
        <f>ROUND(T157 / 1.2, 2)</f>
        <v>0</v>
      </c>
      <c r="AA157" s="9">
        <f>Y157+Z157</f>
        <v>0</v>
      </c>
      <c r="AD157" s="4">
        <v>264030377</v>
      </c>
      <c r="AE157" s="4">
        <v>16086782</v>
      </c>
      <c r="AG157" s="4" t="s">
        <v>692</v>
      </c>
      <c r="AH157" s="4" t="s">
        <v>693</v>
      </c>
      <c r="AI157" s="4" t="s">
        <v>249</v>
      </c>
    </row>
    <row r="158" spans="1:35" ht="18.75" x14ac:dyDescent="0.25">
      <c r="A158" s="10" t="s">
        <v>813</v>
      </c>
      <c r="B158" s="10"/>
      <c r="C158" s="24" t="s">
        <v>716</v>
      </c>
      <c r="D158" s="15"/>
      <c r="E158" s="15"/>
      <c r="F158" s="25" t="s">
        <v>123</v>
      </c>
      <c r="G158" s="26">
        <v>1.1000000000000001</v>
      </c>
      <c r="H158" s="27"/>
      <c r="I158" s="27">
        <v>0</v>
      </c>
      <c r="J158" s="28">
        <v>18.34</v>
      </c>
      <c r="M158" s="29">
        <f>ROUND(ROUND(J158, 2)*I158, 2)</f>
        <v>0</v>
      </c>
      <c r="P158" s="28">
        <v>18.34</v>
      </c>
      <c r="S158" s="29">
        <f>ROUND(ROUND(P158, 2)*I158, 2)</f>
        <v>0</v>
      </c>
      <c r="V158" s="9">
        <f>ROUND(ROUND(P158, 2)/1.2, 2)</f>
        <v>15.28</v>
      </c>
      <c r="Y158" s="9">
        <f t="shared" si="10"/>
        <v>0</v>
      </c>
      <c r="AD158" s="4" t="s">
        <v>814</v>
      </c>
      <c r="AE158" s="4" t="s">
        <v>815</v>
      </c>
      <c r="AF158" s="4" t="s">
        <v>719</v>
      </c>
    </row>
    <row r="159" spans="1:35" ht="18.75" x14ac:dyDescent="0.25">
      <c r="A159" s="10" t="s">
        <v>818</v>
      </c>
      <c r="B159" s="10"/>
      <c r="C159" s="24" t="s">
        <v>708</v>
      </c>
      <c r="D159" s="15"/>
      <c r="E159" s="15" t="s">
        <v>709</v>
      </c>
      <c r="F159" s="25" t="s">
        <v>81</v>
      </c>
      <c r="G159" s="26">
        <v>1.8</v>
      </c>
      <c r="H159" s="27"/>
      <c r="I159" s="27">
        <v>0</v>
      </c>
      <c r="J159" s="28">
        <v>5.85</v>
      </c>
      <c r="M159" s="29">
        <f>ROUND(ROUND(J159, 2)*I159, 2)</f>
        <v>0</v>
      </c>
      <c r="P159" s="28">
        <v>5.85</v>
      </c>
      <c r="S159" s="29">
        <f>ROUND(ROUND(P159, 2)*I159, 2)</f>
        <v>0</v>
      </c>
      <c r="V159" s="9">
        <f>ROUND(ROUND(P159, 2)/1.2, 2)</f>
        <v>4.88</v>
      </c>
      <c r="Y159" s="9">
        <f t="shared" si="10"/>
        <v>0</v>
      </c>
      <c r="AD159" s="4" t="s">
        <v>819</v>
      </c>
      <c r="AE159" s="4" t="s">
        <v>820</v>
      </c>
      <c r="AF159" s="4" t="s">
        <v>712</v>
      </c>
    </row>
    <row r="160" spans="1:35" ht="37.5" x14ac:dyDescent="0.25">
      <c r="A160" s="10" t="s">
        <v>823</v>
      </c>
      <c r="B160" s="10"/>
      <c r="C160" s="24" t="s">
        <v>776</v>
      </c>
      <c r="D160" s="15"/>
      <c r="E160" s="15"/>
      <c r="F160" s="25" t="s">
        <v>81</v>
      </c>
      <c r="G160" s="26">
        <v>0.15</v>
      </c>
      <c r="H160" s="27"/>
      <c r="I160" s="27">
        <v>0</v>
      </c>
      <c r="J160" s="28">
        <v>80</v>
      </c>
      <c r="M160" s="29">
        <f>ROUND(ROUND(J160, 2)*I160, 2)</f>
        <v>0</v>
      </c>
      <c r="P160" s="28">
        <v>80</v>
      </c>
      <c r="S160" s="29">
        <f>ROUND(ROUND(P160, 2)*I160, 2)</f>
        <v>0</v>
      </c>
      <c r="V160" s="9">
        <f>ROUND(ROUND(P160, 2)/1.2, 2)</f>
        <v>66.67</v>
      </c>
      <c r="Y160" s="9">
        <f t="shared" si="10"/>
        <v>0</v>
      </c>
      <c r="AD160" s="4" t="s">
        <v>824</v>
      </c>
      <c r="AE160" s="4" t="s">
        <v>825</v>
      </c>
      <c r="AF160" s="4" t="s">
        <v>779</v>
      </c>
    </row>
    <row r="161" spans="1:35" ht="37.5" x14ac:dyDescent="0.25">
      <c r="A161" s="10" t="s">
        <v>828</v>
      </c>
      <c r="B161" s="10"/>
      <c r="C161" s="24" t="s">
        <v>696</v>
      </c>
      <c r="D161" s="15"/>
      <c r="E161" s="15"/>
      <c r="F161" s="25" t="s">
        <v>56</v>
      </c>
      <c r="G161" s="26">
        <v>1.1000000000000001</v>
      </c>
      <c r="H161" s="26"/>
      <c r="I161" s="26">
        <v>0</v>
      </c>
      <c r="J161" s="28">
        <v>27.55</v>
      </c>
      <c r="M161" s="29">
        <f>ROUND(ROUND(J161, 2)*I161, 2)</f>
        <v>0</v>
      </c>
      <c r="P161" s="28">
        <v>27.55</v>
      </c>
      <c r="S161" s="29">
        <f>ROUND(ROUND(P161, 2)*I161, 2)</f>
        <v>0</v>
      </c>
      <c r="V161" s="9">
        <f>ROUND(ROUND(P161, 2)/1.2, 2)</f>
        <v>22.96</v>
      </c>
      <c r="Y161" s="9">
        <f t="shared" si="10"/>
        <v>0</v>
      </c>
      <c r="AD161" s="4" t="s">
        <v>829</v>
      </c>
      <c r="AE161" s="4" t="s">
        <v>830</v>
      </c>
      <c r="AF161" s="4" t="s">
        <v>699</v>
      </c>
    </row>
    <row r="162" spans="1:35" ht="56.25" x14ac:dyDescent="0.25">
      <c r="A162" s="10" t="s">
        <v>833</v>
      </c>
      <c r="B162" s="10" t="s">
        <v>689</v>
      </c>
      <c r="C162" s="14" t="s">
        <v>690</v>
      </c>
      <c r="D162" s="15"/>
      <c r="E162" s="15" t="s">
        <v>834</v>
      </c>
      <c r="F162" s="15" t="s">
        <v>56</v>
      </c>
      <c r="G162" s="16">
        <v>1</v>
      </c>
      <c r="H162" s="16"/>
      <c r="I162" s="16">
        <v>0</v>
      </c>
      <c r="J162" s="17">
        <f>IFERROR(ROUND(SUM(M163,M164,M165)/I162, 2),0)</f>
        <v>0</v>
      </c>
      <c r="K162" s="18">
        <v>826</v>
      </c>
      <c r="L162" s="17">
        <f>J162+ROUND(K162, 2)</f>
        <v>826</v>
      </c>
      <c r="M162" s="17">
        <f>ROUND(J162*I162, 2)</f>
        <v>0</v>
      </c>
      <c r="N162" s="17">
        <f>ROUND(I162*ROUND(K162, 2), 2)</f>
        <v>0</v>
      </c>
      <c r="O162" s="17">
        <f>M162+N162</f>
        <v>0</v>
      </c>
      <c r="P162" s="17">
        <f>IFERROR(ROUND(SUM(S163,S164,S165)/I162, 2),0)</f>
        <v>0</v>
      </c>
      <c r="Q162" s="18">
        <v>826</v>
      </c>
      <c r="R162" s="17">
        <f>P162+ROUND(Q162, 2)</f>
        <v>826</v>
      </c>
      <c r="S162" s="17">
        <f>ROUND(P162*I162, 2)</f>
        <v>0</v>
      </c>
      <c r="T162" s="17">
        <f>ROUND(I162*ROUND(Q162, 2), 2)</f>
        <v>0</v>
      </c>
      <c r="U162" s="17">
        <f>S162+T162</f>
        <v>0</v>
      </c>
      <c r="V162" s="9">
        <f>ROUND(P162 / 1.2, 2)</f>
        <v>0</v>
      </c>
      <c r="W162" s="9">
        <f>ROUND(Q162 / 1.2, 2)</f>
        <v>688.33</v>
      </c>
      <c r="X162" s="9">
        <f>ROUND(R162 / 1.2, 2)</f>
        <v>688.33</v>
      </c>
      <c r="Y162" s="9">
        <f t="shared" si="10"/>
        <v>0</v>
      </c>
      <c r="Z162" s="9">
        <f>ROUND(T162 / 1.2, 2)</f>
        <v>0</v>
      </c>
      <c r="AA162" s="9">
        <f>Y162+Z162</f>
        <v>0</v>
      </c>
      <c r="AD162" s="4">
        <v>264030378</v>
      </c>
      <c r="AE162" s="4">
        <v>16087273</v>
      </c>
      <c r="AG162" s="4" t="s">
        <v>692</v>
      </c>
      <c r="AH162" s="4" t="s">
        <v>693</v>
      </c>
      <c r="AI162" s="4" t="s">
        <v>249</v>
      </c>
    </row>
    <row r="163" spans="1:35" ht="37.5" x14ac:dyDescent="0.25">
      <c r="A163" s="10" t="s">
        <v>836</v>
      </c>
      <c r="B163" s="10"/>
      <c r="C163" s="24" t="s">
        <v>696</v>
      </c>
      <c r="D163" s="15"/>
      <c r="E163" s="15"/>
      <c r="F163" s="25" t="s">
        <v>56</v>
      </c>
      <c r="G163" s="26">
        <v>1.1000000000000001</v>
      </c>
      <c r="H163" s="26"/>
      <c r="I163" s="26">
        <v>0</v>
      </c>
      <c r="J163" s="28">
        <v>27.55</v>
      </c>
      <c r="M163" s="29">
        <f>ROUND(ROUND(J163, 2)*I163, 2)</f>
        <v>0</v>
      </c>
      <c r="P163" s="28">
        <v>27.55</v>
      </c>
      <c r="S163" s="29">
        <f>ROUND(ROUND(P163, 2)*I163, 2)</f>
        <v>0</v>
      </c>
      <c r="V163" s="9">
        <f>ROUND(ROUND(P163, 2)/1.2, 2)</f>
        <v>22.96</v>
      </c>
      <c r="Y163" s="9">
        <f t="shared" si="10"/>
        <v>0</v>
      </c>
      <c r="AD163" s="4" t="s">
        <v>837</v>
      </c>
      <c r="AE163" s="4" t="s">
        <v>838</v>
      </c>
      <c r="AF163" s="4" t="s">
        <v>699</v>
      </c>
    </row>
    <row r="164" spans="1:35" ht="37.5" x14ac:dyDescent="0.25">
      <c r="A164" s="10" t="s">
        <v>841</v>
      </c>
      <c r="B164" s="10"/>
      <c r="C164" s="24" t="s">
        <v>776</v>
      </c>
      <c r="D164" s="15"/>
      <c r="E164" s="15"/>
      <c r="F164" s="25" t="s">
        <v>81</v>
      </c>
      <c r="G164" s="26">
        <v>0.15</v>
      </c>
      <c r="H164" s="27"/>
      <c r="I164" s="27">
        <v>0</v>
      </c>
      <c r="J164" s="28">
        <v>80</v>
      </c>
      <c r="M164" s="29">
        <f>ROUND(ROUND(J164, 2)*I164, 2)</f>
        <v>0</v>
      </c>
      <c r="P164" s="28">
        <v>80</v>
      </c>
      <c r="S164" s="29">
        <f>ROUND(ROUND(P164, 2)*I164, 2)</f>
        <v>0</v>
      </c>
      <c r="V164" s="9">
        <f>ROUND(ROUND(P164, 2)/1.2, 2)</f>
        <v>66.67</v>
      </c>
      <c r="Y164" s="9">
        <f t="shared" ref="Y164:Y195" si="11">ROUND(S164 / 1.2, 2)</f>
        <v>0</v>
      </c>
      <c r="AD164" s="4" t="s">
        <v>842</v>
      </c>
      <c r="AE164" s="4" t="s">
        <v>843</v>
      </c>
      <c r="AF164" s="4" t="s">
        <v>779</v>
      </c>
    </row>
    <row r="165" spans="1:35" ht="18.75" x14ac:dyDescent="0.25">
      <c r="A165" s="10" t="s">
        <v>846</v>
      </c>
      <c r="B165" s="10"/>
      <c r="C165" s="24" t="s">
        <v>708</v>
      </c>
      <c r="D165" s="15"/>
      <c r="E165" s="15" t="s">
        <v>847</v>
      </c>
      <c r="F165" s="25" t="s">
        <v>81</v>
      </c>
      <c r="G165" s="26">
        <v>1.8</v>
      </c>
      <c r="H165" s="27"/>
      <c r="I165" s="27">
        <v>0</v>
      </c>
      <c r="J165" s="28">
        <v>5.85</v>
      </c>
      <c r="M165" s="29">
        <f>ROUND(ROUND(J165, 2)*I165, 2)</f>
        <v>0</v>
      </c>
      <c r="P165" s="28">
        <v>5.85</v>
      </c>
      <c r="S165" s="29">
        <f>ROUND(ROUND(P165, 2)*I165, 2)</f>
        <v>0</v>
      </c>
      <c r="V165" s="9">
        <f>ROUND(ROUND(P165, 2)/1.2, 2)</f>
        <v>4.88</v>
      </c>
      <c r="Y165" s="9">
        <f t="shared" si="11"/>
        <v>0</v>
      </c>
      <c r="AD165" s="4" t="s">
        <v>848</v>
      </c>
      <c r="AE165" s="4" t="s">
        <v>849</v>
      </c>
      <c r="AF165" s="4" t="s">
        <v>712</v>
      </c>
    </row>
    <row r="166" spans="1:35" ht="56.25" x14ac:dyDescent="0.25">
      <c r="A166" s="10" t="s">
        <v>852</v>
      </c>
      <c r="B166" s="10" t="s">
        <v>853</v>
      </c>
      <c r="C166" s="14" t="s">
        <v>854</v>
      </c>
      <c r="D166" s="15"/>
      <c r="E166" s="15" t="s">
        <v>855</v>
      </c>
      <c r="F166" s="15" t="s">
        <v>56</v>
      </c>
      <c r="G166" s="16">
        <v>1</v>
      </c>
      <c r="H166" s="16"/>
      <c r="I166" s="16">
        <v>754.1</v>
      </c>
      <c r="J166" s="17">
        <f>IFERROR(ROUND(SUM(M167,M168,M169)/I166, 2),0)</f>
        <v>70.430000000000007</v>
      </c>
      <c r="K166" s="18">
        <v>329</v>
      </c>
      <c r="L166" s="17">
        <f>J166+ROUND(K166, 2)</f>
        <v>399.43</v>
      </c>
      <c r="M166" s="17">
        <f>ROUND(J166*I166, 2)</f>
        <v>53111.26</v>
      </c>
      <c r="N166" s="17">
        <f>ROUND(I166*ROUND(K166, 2), 2)</f>
        <v>248098.9</v>
      </c>
      <c r="O166" s="17">
        <f>M166+N166</f>
        <v>301210.15999999997</v>
      </c>
      <c r="P166" s="17">
        <f>IFERROR(ROUND(SUM(S167,S168,S169)/I166, 2),0)</f>
        <v>70.430000000000007</v>
      </c>
      <c r="Q166" s="18">
        <v>329</v>
      </c>
      <c r="R166" s="17">
        <f>P166+ROUND(Q166, 2)</f>
        <v>399.43</v>
      </c>
      <c r="S166" s="17">
        <f>ROUND(P166*I166, 2)</f>
        <v>53111.26</v>
      </c>
      <c r="T166" s="17">
        <f>ROUND(I166*ROUND(Q166, 2), 2)</f>
        <v>248098.9</v>
      </c>
      <c r="U166" s="17">
        <f>S166+T166</f>
        <v>301210.15999999997</v>
      </c>
      <c r="V166" s="9">
        <f>ROUND(P166 / 1.2, 2)</f>
        <v>58.69</v>
      </c>
      <c r="W166" s="9">
        <f>ROUND(Q166 / 1.2, 2)</f>
        <v>274.17</v>
      </c>
      <c r="X166" s="9">
        <f>ROUND(R166 / 1.2, 2)</f>
        <v>332.86</v>
      </c>
      <c r="Y166" s="9">
        <f t="shared" si="11"/>
        <v>44259.38</v>
      </c>
      <c r="Z166" s="9">
        <f>ROUND(T166 / 1.2, 2)</f>
        <v>206749.08</v>
      </c>
      <c r="AA166" s="9">
        <f>Y166+Z166</f>
        <v>251008.46</v>
      </c>
      <c r="AD166" s="4">
        <v>264030292</v>
      </c>
      <c r="AE166" s="4">
        <v>16077289</v>
      </c>
      <c r="AG166" s="4" t="s">
        <v>856</v>
      </c>
      <c r="AH166" s="4" t="s">
        <v>857</v>
      </c>
      <c r="AI166" s="4" t="s">
        <v>249</v>
      </c>
    </row>
    <row r="167" spans="1:35" ht="56.25" x14ac:dyDescent="0.25">
      <c r="A167" s="10" t="s">
        <v>858</v>
      </c>
      <c r="B167" s="10"/>
      <c r="C167" s="24" t="s">
        <v>859</v>
      </c>
      <c r="D167" s="15"/>
      <c r="E167" s="15" t="s">
        <v>860</v>
      </c>
      <c r="F167" s="25" t="s">
        <v>81</v>
      </c>
      <c r="G167" s="26">
        <v>2</v>
      </c>
      <c r="H167" s="26"/>
      <c r="I167" s="26">
        <v>1508.2</v>
      </c>
      <c r="J167" s="28">
        <v>23</v>
      </c>
      <c r="M167" s="29">
        <f>ROUND(ROUND(J167, 2)*I167, 2)</f>
        <v>34688.6</v>
      </c>
      <c r="P167" s="28">
        <v>23</v>
      </c>
      <c r="S167" s="29">
        <f>ROUND(ROUND(P167, 2)*I167, 2)</f>
        <v>34688.6</v>
      </c>
      <c r="V167" s="9">
        <f>ROUND(ROUND(P167, 2)/1.2, 2)</f>
        <v>19.170000000000002</v>
      </c>
      <c r="Y167" s="9">
        <f t="shared" si="11"/>
        <v>28907.17</v>
      </c>
      <c r="AD167" s="4" t="s">
        <v>861</v>
      </c>
      <c r="AE167" s="4" t="s">
        <v>862</v>
      </c>
      <c r="AF167" s="4" t="s">
        <v>863</v>
      </c>
    </row>
    <row r="168" spans="1:35" ht="18.75" x14ac:dyDescent="0.25">
      <c r="A168" s="10" t="s">
        <v>864</v>
      </c>
      <c r="B168" s="10"/>
      <c r="C168" s="24" t="s">
        <v>865</v>
      </c>
      <c r="D168" s="15"/>
      <c r="E168" s="15"/>
      <c r="F168" s="25" t="s">
        <v>103</v>
      </c>
      <c r="G168" s="26">
        <v>0.3</v>
      </c>
      <c r="H168" s="27"/>
      <c r="I168" s="27">
        <v>226.23</v>
      </c>
      <c r="J168" s="28">
        <v>37.049999999999997</v>
      </c>
      <c r="M168" s="29">
        <f>ROUND(ROUND(J168, 2)*I168, 2)</f>
        <v>8381.82</v>
      </c>
      <c r="P168" s="28">
        <v>37.049999999999997</v>
      </c>
      <c r="S168" s="29">
        <f>ROUND(ROUND(P168, 2)*I168, 2)</f>
        <v>8381.82</v>
      </c>
      <c r="V168" s="9">
        <f>ROUND(ROUND(P168, 2)/1.2, 2)</f>
        <v>30.88</v>
      </c>
      <c r="Y168" s="9">
        <f t="shared" si="11"/>
        <v>6984.85</v>
      </c>
      <c r="AD168" s="4" t="s">
        <v>866</v>
      </c>
      <c r="AE168" s="4" t="s">
        <v>867</v>
      </c>
      <c r="AF168" s="4" t="s">
        <v>868</v>
      </c>
    </row>
    <row r="169" spans="1:35" ht="37.5" x14ac:dyDescent="0.25">
      <c r="A169" s="10" t="s">
        <v>869</v>
      </c>
      <c r="B169" s="10"/>
      <c r="C169" s="24" t="s">
        <v>490</v>
      </c>
      <c r="D169" s="15"/>
      <c r="E169" s="15"/>
      <c r="F169" s="25" t="s">
        <v>81</v>
      </c>
      <c r="G169" s="26">
        <v>0.15</v>
      </c>
      <c r="H169" s="26"/>
      <c r="I169" s="26">
        <v>113.11499999999999</v>
      </c>
      <c r="J169" s="28">
        <v>88.8</v>
      </c>
      <c r="M169" s="29">
        <f>ROUND(ROUND(J169, 2)*I169, 2)</f>
        <v>10044.61</v>
      </c>
      <c r="P169" s="28">
        <v>88.8</v>
      </c>
      <c r="S169" s="29">
        <f>ROUND(ROUND(P169, 2)*I169, 2)</f>
        <v>10044.61</v>
      </c>
      <c r="V169" s="9">
        <f>ROUND(ROUND(P169, 2)/1.2, 2)</f>
        <v>74</v>
      </c>
      <c r="Y169" s="9">
        <f t="shared" si="11"/>
        <v>8370.51</v>
      </c>
      <c r="AD169" s="4" t="s">
        <v>870</v>
      </c>
      <c r="AE169" s="4" t="s">
        <v>871</v>
      </c>
      <c r="AF169" s="4" t="s">
        <v>493</v>
      </c>
    </row>
    <row r="170" spans="1:35" ht="56.25" x14ac:dyDescent="0.25">
      <c r="A170" s="10" t="s">
        <v>872</v>
      </c>
      <c r="B170" s="10" t="s">
        <v>853</v>
      </c>
      <c r="C170" s="14" t="s">
        <v>854</v>
      </c>
      <c r="D170" s="15"/>
      <c r="E170" s="15" t="s">
        <v>855</v>
      </c>
      <c r="F170" s="15" t="s">
        <v>56</v>
      </c>
      <c r="G170" s="16">
        <v>1</v>
      </c>
      <c r="H170" s="16"/>
      <c r="I170" s="16">
        <v>754.1</v>
      </c>
      <c r="J170" s="17">
        <f>IFERROR(ROUND(SUM(M171,M172,M173)/I170, 2),0)</f>
        <v>84.43</v>
      </c>
      <c r="K170" s="18">
        <v>329</v>
      </c>
      <c r="L170" s="17">
        <f>J170+ROUND(K170, 2)</f>
        <v>413.43</v>
      </c>
      <c r="M170" s="17">
        <f>ROUND(J170*I170, 2)</f>
        <v>63668.66</v>
      </c>
      <c r="N170" s="17">
        <f>ROUND(I170*ROUND(K170, 2), 2)</f>
        <v>248098.9</v>
      </c>
      <c r="O170" s="17">
        <f>M170+N170</f>
        <v>311767.56</v>
      </c>
      <c r="P170" s="17">
        <f>IFERROR(ROUND(SUM(S171,S172,S173)/I170, 2),0)</f>
        <v>37.01</v>
      </c>
      <c r="Q170" s="18">
        <v>329</v>
      </c>
      <c r="R170" s="17">
        <f>P170+ROUND(Q170, 2)</f>
        <v>366.01</v>
      </c>
      <c r="S170" s="17">
        <f>ROUND(P170*I170, 2)</f>
        <v>27909.24</v>
      </c>
      <c r="T170" s="17">
        <f>ROUND(I170*ROUND(Q170, 2), 2)</f>
        <v>248098.9</v>
      </c>
      <c r="U170" s="17">
        <f>S170+T170</f>
        <v>276008.14</v>
      </c>
      <c r="V170" s="9">
        <f>ROUND(P170 / 1.2, 2)</f>
        <v>30.84</v>
      </c>
      <c r="W170" s="9">
        <f>ROUND(Q170 / 1.2, 2)</f>
        <v>274.17</v>
      </c>
      <c r="X170" s="9">
        <f>ROUND(R170 / 1.2, 2)</f>
        <v>305.01</v>
      </c>
      <c r="Y170" s="9">
        <f t="shared" si="11"/>
        <v>23257.7</v>
      </c>
      <c r="Z170" s="9">
        <f>ROUND(T170 / 1.2, 2)</f>
        <v>206749.08</v>
      </c>
      <c r="AA170" s="9">
        <f>Y170+Z170</f>
        <v>230006.78</v>
      </c>
      <c r="AD170" s="4">
        <v>264030379</v>
      </c>
      <c r="AE170" s="4">
        <v>16077336</v>
      </c>
      <c r="AG170" s="4" t="s">
        <v>856</v>
      </c>
      <c r="AH170" s="4" t="s">
        <v>857</v>
      </c>
      <c r="AI170" s="4" t="s">
        <v>249</v>
      </c>
    </row>
    <row r="171" spans="1:35" ht="37.5" x14ac:dyDescent="0.25">
      <c r="A171" s="10" t="s">
        <v>873</v>
      </c>
      <c r="B171" s="10"/>
      <c r="C171" s="24" t="s">
        <v>490</v>
      </c>
      <c r="D171" s="15"/>
      <c r="E171" s="15"/>
      <c r="F171" s="25" t="s">
        <v>81</v>
      </c>
      <c r="G171" s="26">
        <v>0.15</v>
      </c>
      <c r="H171" s="26"/>
      <c r="I171" s="26">
        <v>113.11499999999999</v>
      </c>
      <c r="J171" s="28">
        <v>88.8</v>
      </c>
      <c r="M171" s="29">
        <f>ROUND(ROUND(J171, 2)*I171, 2)</f>
        <v>10044.61</v>
      </c>
      <c r="P171" s="28">
        <v>88.8</v>
      </c>
      <c r="S171" s="29">
        <f>ROUND(ROUND(P171, 2)*I171, 2)</f>
        <v>10044.61</v>
      </c>
      <c r="V171" s="9">
        <f>ROUND(ROUND(P171, 2)/1.2, 2)</f>
        <v>74</v>
      </c>
      <c r="Y171" s="9">
        <f t="shared" si="11"/>
        <v>8370.51</v>
      </c>
      <c r="AD171" s="4" t="s">
        <v>874</v>
      </c>
      <c r="AE171" s="4" t="s">
        <v>875</v>
      </c>
      <c r="AF171" s="4" t="s">
        <v>493</v>
      </c>
    </row>
    <row r="172" spans="1:35" ht="18.75" x14ac:dyDescent="0.25">
      <c r="A172" s="10" t="s">
        <v>876</v>
      </c>
      <c r="B172" s="10"/>
      <c r="C172" s="24" t="s">
        <v>865</v>
      </c>
      <c r="D172" s="15"/>
      <c r="E172" s="15"/>
      <c r="F172" s="25" t="s">
        <v>103</v>
      </c>
      <c r="G172" s="26">
        <v>0.3</v>
      </c>
      <c r="H172" s="27"/>
      <c r="I172" s="27">
        <v>226.23</v>
      </c>
      <c r="J172" s="28">
        <v>37.049999999999997</v>
      </c>
      <c r="M172" s="29">
        <f>ROUND(ROUND(J172, 2)*I172, 2)</f>
        <v>8381.82</v>
      </c>
      <c r="P172" s="28">
        <v>37.049999999999997</v>
      </c>
      <c r="S172" s="29">
        <f>ROUND(ROUND(P172, 2)*I172, 2)</f>
        <v>8381.82</v>
      </c>
      <c r="V172" s="9">
        <f>ROUND(ROUND(P172, 2)/1.2, 2)</f>
        <v>30.88</v>
      </c>
      <c r="Y172" s="9">
        <f t="shared" si="11"/>
        <v>6984.85</v>
      </c>
      <c r="AD172" s="4" t="s">
        <v>877</v>
      </c>
      <c r="AE172" s="4" t="s">
        <v>878</v>
      </c>
      <c r="AF172" s="4" t="s">
        <v>868</v>
      </c>
    </row>
    <row r="173" spans="1:35" ht="37.5" x14ac:dyDescent="0.25">
      <c r="A173" s="10" t="s">
        <v>879</v>
      </c>
      <c r="B173" s="10"/>
      <c r="C173" s="24" t="s">
        <v>880</v>
      </c>
      <c r="D173" s="15"/>
      <c r="E173" s="15"/>
      <c r="F173" s="25" t="s">
        <v>81</v>
      </c>
      <c r="G173" s="26">
        <v>1</v>
      </c>
      <c r="H173" s="26"/>
      <c r="I173" s="26">
        <v>754.1</v>
      </c>
      <c r="J173" s="28">
        <v>60</v>
      </c>
      <c r="M173" s="29">
        <f>ROUND(ROUND(J173, 2)*I173, 2)</f>
        <v>45246</v>
      </c>
      <c r="P173" s="28">
        <v>12.58</v>
      </c>
      <c r="S173" s="29">
        <f>ROUND(ROUND(P173, 2)*I173, 2)</f>
        <v>9486.58</v>
      </c>
      <c r="V173" s="9">
        <f>ROUND(ROUND(P173, 2)/1.2, 2)</f>
        <v>10.48</v>
      </c>
      <c r="Y173" s="9">
        <f t="shared" si="11"/>
        <v>7905.48</v>
      </c>
      <c r="AD173" s="4" t="s">
        <v>881</v>
      </c>
      <c r="AE173" s="4" t="s">
        <v>882</v>
      </c>
      <c r="AF173" s="4" t="s">
        <v>883</v>
      </c>
    </row>
    <row r="174" spans="1:35" ht="56.25" x14ac:dyDescent="0.25">
      <c r="A174" s="10" t="s">
        <v>884</v>
      </c>
      <c r="B174" s="10" t="s">
        <v>853</v>
      </c>
      <c r="C174" s="14" t="s">
        <v>854</v>
      </c>
      <c r="D174" s="15"/>
      <c r="E174" s="15" t="s">
        <v>855</v>
      </c>
      <c r="F174" s="15" t="s">
        <v>56</v>
      </c>
      <c r="G174" s="16">
        <v>1</v>
      </c>
      <c r="H174" s="16"/>
      <c r="I174" s="16">
        <v>0</v>
      </c>
      <c r="J174" s="17">
        <f>IFERROR(ROUND(SUM(M175,M176,M177)/I174, 2),0)</f>
        <v>0</v>
      </c>
      <c r="K174" s="18">
        <v>329</v>
      </c>
      <c r="L174" s="17">
        <f>J174+ROUND(K174, 2)</f>
        <v>329</v>
      </c>
      <c r="M174" s="17">
        <f>ROUND(J174*I174, 2)</f>
        <v>0</v>
      </c>
      <c r="N174" s="17">
        <f>ROUND(I174*ROUND(K174, 2), 2)</f>
        <v>0</v>
      </c>
      <c r="O174" s="17">
        <f>M174+N174</f>
        <v>0</v>
      </c>
      <c r="P174" s="17">
        <f>IFERROR(ROUND(SUM(S175,S176,S177)/I174, 2),0)</f>
        <v>0</v>
      </c>
      <c r="Q174" s="18">
        <v>329</v>
      </c>
      <c r="R174" s="17">
        <f>P174+ROUND(Q174, 2)</f>
        <v>329</v>
      </c>
      <c r="S174" s="17">
        <f>ROUND(P174*I174, 2)</f>
        <v>0</v>
      </c>
      <c r="T174" s="17">
        <f>ROUND(I174*ROUND(Q174, 2), 2)</f>
        <v>0</v>
      </c>
      <c r="U174" s="17">
        <f>S174+T174</f>
        <v>0</v>
      </c>
      <c r="V174" s="9">
        <f>ROUND(P174 / 1.2, 2)</f>
        <v>0</v>
      </c>
      <c r="W174" s="9">
        <f>ROUND(Q174 / 1.2, 2)</f>
        <v>274.17</v>
      </c>
      <c r="X174" s="9">
        <f>ROUND(R174 / 1.2, 2)</f>
        <v>274.17</v>
      </c>
      <c r="Y174" s="9">
        <f t="shared" si="11"/>
        <v>0</v>
      </c>
      <c r="Z174" s="9">
        <f>ROUND(T174 / 1.2, 2)</f>
        <v>0</v>
      </c>
      <c r="AA174" s="9">
        <f>Y174+Z174</f>
        <v>0</v>
      </c>
      <c r="AD174" s="4">
        <v>264030380</v>
      </c>
      <c r="AE174" s="4">
        <v>16077337</v>
      </c>
      <c r="AG174" s="4" t="s">
        <v>856</v>
      </c>
      <c r="AH174" s="4" t="s">
        <v>857</v>
      </c>
      <c r="AI174" s="4" t="s">
        <v>249</v>
      </c>
    </row>
    <row r="175" spans="1:35" ht="37.5" x14ac:dyDescent="0.25">
      <c r="A175" s="10" t="s">
        <v>886</v>
      </c>
      <c r="B175" s="10"/>
      <c r="C175" s="24" t="s">
        <v>887</v>
      </c>
      <c r="D175" s="15"/>
      <c r="E175" s="15"/>
      <c r="F175" s="25" t="s">
        <v>81</v>
      </c>
      <c r="G175" s="26">
        <v>1.8</v>
      </c>
      <c r="H175" s="26"/>
      <c r="I175" s="26">
        <v>0</v>
      </c>
      <c r="J175" s="28">
        <v>23</v>
      </c>
      <c r="M175" s="29">
        <f>ROUND(ROUND(J175, 2)*I175, 2)</f>
        <v>0</v>
      </c>
      <c r="P175" s="28">
        <v>12.58</v>
      </c>
      <c r="S175" s="29">
        <f>ROUND(ROUND(P175, 2)*I175, 2)</f>
        <v>0</v>
      </c>
      <c r="V175" s="9">
        <f>ROUND(ROUND(P175, 2)/1.2, 2)</f>
        <v>10.48</v>
      </c>
      <c r="Y175" s="9">
        <f t="shared" si="11"/>
        <v>0</v>
      </c>
      <c r="AD175" s="4" t="s">
        <v>888</v>
      </c>
      <c r="AE175" s="4" t="s">
        <v>889</v>
      </c>
      <c r="AF175" s="4" t="s">
        <v>890</v>
      </c>
    </row>
    <row r="176" spans="1:35" ht="18.75" x14ac:dyDescent="0.25">
      <c r="A176" s="10" t="s">
        <v>893</v>
      </c>
      <c r="B176" s="10"/>
      <c r="C176" s="24" t="s">
        <v>865</v>
      </c>
      <c r="D176" s="15"/>
      <c r="E176" s="15"/>
      <c r="F176" s="25" t="s">
        <v>103</v>
      </c>
      <c r="G176" s="26">
        <v>0.3</v>
      </c>
      <c r="H176" s="27"/>
      <c r="I176" s="27">
        <v>0</v>
      </c>
      <c r="J176" s="28">
        <v>37.049999999999997</v>
      </c>
      <c r="M176" s="29">
        <f>ROUND(ROUND(J176, 2)*I176, 2)</f>
        <v>0</v>
      </c>
      <c r="P176" s="28">
        <v>37.049999999999997</v>
      </c>
      <c r="S176" s="29">
        <f>ROUND(ROUND(P176, 2)*I176, 2)</f>
        <v>0</v>
      </c>
      <c r="V176" s="9">
        <f>ROUND(ROUND(P176, 2)/1.2, 2)</f>
        <v>30.88</v>
      </c>
      <c r="Y176" s="9">
        <f t="shared" si="11"/>
        <v>0</v>
      </c>
      <c r="AD176" s="4" t="s">
        <v>894</v>
      </c>
      <c r="AE176" s="4" t="s">
        <v>895</v>
      </c>
      <c r="AF176" s="4" t="s">
        <v>868</v>
      </c>
    </row>
    <row r="177" spans="1:35" ht="37.5" x14ac:dyDescent="0.25">
      <c r="A177" s="10" t="s">
        <v>898</v>
      </c>
      <c r="B177" s="10"/>
      <c r="C177" s="24" t="s">
        <v>490</v>
      </c>
      <c r="D177" s="15"/>
      <c r="E177" s="15"/>
      <c r="F177" s="25" t="s">
        <v>81</v>
      </c>
      <c r="G177" s="26">
        <v>0.15</v>
      </c>
      <c r="H177" s="26"/>
      <c r="I177" s="26">
        <v>0</v>
      </c>
      <c r="J177" s="28">
        <v>88.8</v>
      </c>
      <c r="M177" s="29">
        <f>ROUND(ROUND(J177, 2)*I177, 2)</f>
        <v>0</v>
      </c>
      <c r="P177" s="28">
        <v>88.8</v>
      </c>
      <c r="S177" s="29">
        <f>ROUND(ROUND(P177, 2)*I177, 2)</f>
        <v>0</v>
      </c>
      <c r="V177" s="9">
        <f>ROUND(ROUND(P177, 2)/1.2, 2)</f>
        <v>74</v>
      </c>
      <c r="Y177" s="9">
        <f t="shared" si="11"/>
        <v>0</v>
      </c>
      <c r="AD177" s="4" t="s">
        <v>899</v>
      </c>
      <c r="AE177" s="4" t="s">
        <v>900</v>
      </c>
      <c r="AF177" s="4" t="s">
        <v>493</v>
      </c>
    </row>
    <row r="178" spans="1:35" ht="56.25" x14ac:dyDescent="0.25">
      <c r="A178" s="10" t="s">
        <v>903</v>
      </c>
      <c r="B178" s="10" t="s">
        <v>853</v>
      </c>
      <c r="C178" s="14" t="s">
        <v>854</v>
      </c>
      <c r="D178" s="15"/>
      <c r="E178" s="15" t="s">
        <v>904</v>
      </c>
      <c r="F178" s="15" t="s">
        <v>56</v>
      </c>
      <c r="G178" s="16">
        <v>1</v>
      </c>
      <c r="H178" s="16"/>
      <c r="I178" s="16">
        <v>0</v>
      </c>
      <c r="J178" s="17">
        <f>IFERROR(ROUND(SUM(M179,M180,M181,M182)/I178, 2),0)</f>
        <v>0</v>
      </c>
      <c r="K178" s="18">
        <v>329</v>
      </c>
      <c r="L178" s="17">
        <f>J178+ROUND(K178, 2)</f>
        <v>329</v>
      </c>
      <c r="M178" s="17">
        <f>ROUND(J178*I178, 2)</f>
        <v>0</v>
      </c>
      <c r="N178" s="17">
        <f>ROUND(I178*ROUND(K178, 2), 2)</f>
        <v>0</v>
      </c>
      <c r="O178" s="17">
        <f>M178+N178</f>
        <v>0</v>
      </c>
      <c r="P178" s="17">
        <f>IFERROR(ROUND(SUM(S179,S180,S181,S182)/I178, 2),0)</f>
        <v>0</v>
      </c>
      <c r="Q178" s="18">
        <v>329</v>
      </c>
      <c r="R178" s="17">
        <f>P178+ROUND(Q178, 2)</f>
        <v>329</v>
      </c>
      <c r="S178" s="17">
        <f>ROUND(P178*I178, 2)</f>
        <v>0</v>
      </c>
      <c r="T178" s="17">
        <f>ROUND(I178*ROUND(Q178, 2), 2)</f>
        <v>0</v>
      </c>
      <c r="U178" s="17">
        <f>S178+T178</f>
        <v>0</v>
      </c>
      <c r="V178" s="9">
        <f>ROUND(P178 / 1.2, 2)</f>
        <v>0</v>
      </c>
      <c r="W178" s="9">
        <f>ROUND(Q178 / 1.2, 2)</f>
        <v>274.17</v>
      </c>
      <c r="X178" s="9">
        <f>ROUND(R178 / 1.2, 2)</f>
        <v>274.17</v>
      </c>
      <c r="Y178" s="9">
        <f t="shared" si="11"/>
        <v>0</v>
      </c>
      <c r="Z178" s="9">
        <f>ROUND(T178 / 1.2, 2)</f>
        <v>0</v>
      </c>
      <c r="AA178" s="9">
        <f>Y178+Z178</f>
        <v>0</v>
      </c>
      <c r="AD178" s="4">
        <v>264030381</v>
      </c>
      <c r="AE178" s="4">
        <v>16081445</v>
      </c>
      <c r="AG178" s="4" t="s">
        <v>856</v>
      </c>
      <c r="AH178" s="4" t="s">
        <v>857</v>
      </c>
      <c r="AI178" s="4" t="s">
        <v>249</v>
      </c>
    </row>
    <row r="179" spans="1:35" ht="37.5" x14ac:dyDescent="0.25">
      <c r="A179" s="10" t="s">
        <v>906</v>
      </c>
      <c r="B179" s="10"/>
      <c r="C179" s="24" t="s">
        <v>907</v>
      </c>
      <c r="D179" s="15"/>
      <c r="E179" s="15"/>
      <c r="F179" s="25" t="s">
        <v>81</v>
      </c>
      <c r="G179" s="26">
        <v>0.1</v>
      </c>
      <c r="H179" s="26"/>
      <c r="I179" s="26">
        <v>0</v>
      </c>
      <c r="J179" s="28">
        <v>142.9</v>
      </c>
      <c r="M179" s="29">
        <f>ROUND(ROUND(J179, 2)*I179, 2)</f>
        <v>0</v>
      </c>
      <c r="P179" s="28">
        <v>142.9</v>
      </c>
      <c r="S179" s="29">
        <f>ROUND(ROUND(P179, 2)*I179, 2)</f>
        <v>0</v>
      </c>
      <c r="V179" s="9">
        <f>ROUND(ROUND(P179, 2)/1.2, 2)</f>
        <v>119.08</v>
      </c>
      <c r="Y179" s="9">
        <f t="shared" si="11"/>
        <v>0</v>
      </c>
      <c r="AD179" s="4" t="s">
        <v>908</v>
      </c>
      <c r="AE179" s="4" t="s">
        <v>909</v>
      </c>
      <c r="AF179" s="4" t="s">
        <v>910</v>
      </c>
    </row>
    <row r="180" spans="1:35" ht="18.75" x14ac:dyDescent="0.25">
      <c r="A180" s="10" t="s">
        <v>913</v>
      </c>
      <c r="B180" s="10"/>
      <c r="C180" s="24" t="s">
        <v>914</v>
      </c>
      <c r="D180" s="15"/>
      <c r="E180" s="15"/>
      <c r="F180" s="25" t="s">
        <v>123</v>
      </c>
      <c r="G180" s="26">
        <v>1</v>
      </c>
      <c r="H180" s="27"/>
      <c r="I180" s="27">
        <v>0</v>
      </c>
      <c r="J180" s="28">
        <v>7</v>
      </c>
      <c r="M180" s="29">
        <f>ROUND(ROUND(J180, 2)*I180, 2)</f>
        <v>0</v>
      </c>
      <c r="P180" s="28">
        <v>7</v>
      </c>
      <c r="S180" s="29">
        <f>ROUND(ROUND(P180, 2)*I180, 2)</f>
        <v>0</v>
      </c>
      <c r="V180" s="9">
        <f>ROUND(ROUND(P180, 2)/1.2, 2)</f>
        <v>5.83</v>
      </c>
      <c r="Y180" s="9">
        <f t="shared" si="11"/>
        <v>0</v>
      </c>
      <c r="AD180" s="4" t="s">
        <v>915</v>
      </c>
      <c r="AE180" s="4" t="s">
        <v>916</v>
      </c>
      <c r="AF180" s="4" t="s">
        <v>917</v>
      </c>
    </row>
    <row r="181" spans="1:35" ht="18.75" x14ac:dyDescent="0.25">
      <c r="A181" s="10" t="s">
        <v>920</v>
      </c>
      <c r="B181" s="10"/>
      <c r="C181" s="24" t="s">
        <v>865</v>
      </c>
      <c r="D181" s="15"/>
      <c r="E181" s="15"/>
      <c r="F181" s="25" t="s">
        <v>103</v>
      </c>
      <c r="G181" s="26">
        <v>0.3</v>
      </c>
      <c r="H181" s="27"/>
      <c r="I181" s="27">
        <v>0</v>
      </c>
      <c r="J181" s="28">
        <v>37.049999999999997</v>
      </c>
      <c r="M181" s="29">
        <f>ROUND(ROUND(J181, 2)*I181, 2)</f>
        <v>0</v>
      </c>
      <c r="P181" s="28">
        <v>37.049999999999997</v>
      </c>
      <c r="S181" s="29">
        <f>ROUND(ROUND(P181, 2)*I181, 2)</f>
        <v>0</v>
      </c>
      <c r="V181" s="9">
        <f>ROUND(ROUND(P181, 2)/1.2, 2)</f>
        <v>30.88</v>
      </c>
      <c r="Y181" s="9">
        <f t="shared" si="11"/>
        <v>0</v>
      </c>
      <c r="AD181" s="4" t="s">
        <v>921</v>
      </c>
      <c r="AE181" s="4" t="s">
        <v>922</v>
      </c>
      <c r="AF181" s="4" t="s">
        <v>868</v>
      </c>
    </row>
    <row r="182" spans="1:35" ht="56.25" x14ac:dyDescent="0.25">
      <c r="A182" s="10" t="s">
        <v>925</v>
      </c>
      <c r="B182" s="10"/>
      <c r="C182" s="37" t="s">
        <v>926</v>
      </c>
      <c r="D182" s="15"/>
      <c r="E182" s="15"/>
      <c r="F182" s="25" t="s">
        <v>81</v>
      </c>
      <c r="G182" s="26">
        <v>1.8</v>
      </c>
      <c r="H182" s="26"/>
      <c r="I182" s="26">
        <v>0</v>
      </c>
      <c r="J182" s="28">
        <v>12.58</v>
      </c>
      <c r="M182" s="29">
        <f>ROUND(ROUND(J182, 2)*I182, 2)</f>
        <v>0</v>
      </c>
      <c r="P182" s="28">
        <v>12.58</v>
      </c>
      <c r="S182" s="29">
        <f>ROUND(ROUND(P182, 2)*I182, 2)</f>
        <v>0</v>
      </c>
      <c r="V182" s="9">
        <f>ROUND(ROUND(P182, 2)/1.2, 2)</f>
        <v>10.48</v>
      </c>
      <c r="Y182" s="9">
        <f t="shared" si="11"/>
        <v>0</v>
      </c>
      <c r="AD182" s="4" t="s">
        <v>927</v>
      </c>
      <c r="AE182" s="4" t="s">
        <v>928</v>
      </c>
      <c r="AF182" s="4" t="s">
        <v>929</v>
      </c>
    </row>
    <row r="183" spans="1:35" ht="56.25" x14ac:dyDescent="0.25">
      <c r="A183" s="10" t="s">
        <v>932</v>
      </c>
      <c r="B183" s="10" t="s">
        <v>853</v>
      </c>
      <c r="C183" s="14" t="s">
        <v>854</v>
      </c>
      <c r="D183" s="15"/>
      <c r="E183" s="15" t="s">
        <v>933</v>
      </c>
      <c r="F183" s="15" t="s">
        <v>56</v>
      </c>
      <c r="G183" s="16">
        <v>1</v>
      </c>
      <c r="H183" s="16"/>
      <c r="I183" s="16">
        <v>0</v>
      </c>
      <c r="J183" s="17">
        <f>IFERROR(ROUND(SUM(M184,M185,M186,M187)/I183, 2),0)</f>
        <v>0</v>
      </c>
      <c r="K183" s="18">
        <v>329</v>
      </c>
      <c r="L183" s="17">
        <f>J183+ROUND(K183, 2)</f>
        <v>329</v>
      </c>
      <c r="M183" s="17">
        <f>ROUND(J183*I183, 2)</f>
        <v>0</v>
      </c>
      <c r="N183" s="17">
        <f>ROUND(I183*ROUND(K183, 2), 2)</f>
        <v>0</v>
      </c>
      <c r="O183" s="17">
        <f>M183+N183</f>
        <v>0</v>
      </c>
      <c r="P183" s="17">
        <f>IFERROR(ROUND(SUM(S184,S185,S186,S187)/I183, 2),0)</f>
        <v>0</v>
      </c>
      <c r="Q183" s="18">
        <v>329</v>
      </c>
      <c r="R183" s="17">
        <f>P183+ROUND(Q183, 2)</f>
        <v>329</v>
      </c>
      <c r="S183" s="17">
        <f>ROUND(P183*I183, 2)</f>
        <v>0</v>
      </c>
      <c r="T183" s="17">
        <f>ROUND(I183*ROUND(Q183, 2), 2)</f>
        <v>0</v>
      </c>
      <c r="U183" s="17">
        <f>S183+T183</f>
        <v>0</v>
      </c>
      <c r="V183" s="9">
        <f>ROUND(P183 / 1.2, 2)</f>
        <v>0</v>
      </c>
      <c r="W183" s="9">
        <f>ROUND(Q183 / 1.2, 2)</f>
        <v>274.17</v>
      </c>
      <c r="X183" s="9">
        <f>ROUND(R183 / 1.2, 2)</f>
        <v>274.17</v>
      </c>
      <c r="Y183" s="9">
        <f t="shared" si="11"/>
        <v>0</v>
      </c>
      <c r="Z183" s="9">
        <f>ROUND(T183 / 1.2, 2)</f>
        <v>0</v>
      </c>
      <c r="AA183" s="9">
        <f>Y183+Z183</f>
        <v>0</v>
      </c>
      <c r="AD183" s="4">
        <v>264030382</v>
      </c>
      <c r="AE183" s="4">
        <v>16081650</v>
      </c>
      <c r="AG183" s="4" t="s">
        <v>856</v>
      </c>
      <c r="AH183" s="4" t="s">
        <v>857</v>
      </c>
      <c r="AI183" s="4" t="s">
        <v>249</v>
      </c>
    </row>
    <row r="184" spans="1:35" ht="37.5" x14ac:dyDescent="0.25">
      <c r="A184" s="10" t="s">
        <v>935</v>
      </c>
      <c r="B184" s="10"/>
      <c r="C184" s="24" t="s">
        <v>880</v>
      </c>
      <c r="D184" s="15"/>
      <c r="E184" s="15"/>
      <c r="F184" s="25" t="s">
        <v>81</v>
      </c>
      <c r="G184" s="26">
        <v>1</v>
      </c>
      <c r="H184" s="26"/>
      <c r="I184" s="26">
        <v>0</v>
      </c>
      <c r="J184" s="28">
        <v>60</v>
      </c>
      <c r="M184" s="29">
        <f>ROUND(ROUND(J184, 2)*I184, 2)</f>
        <v>0</v>
      </c>
      <c r="P184" s="28">
        <v>12.58</v>
      </c>
      <c r="S184" s="29">
        <f>ROUND(ROUND(P184, 2)*I184, 2)</f>
        <v>0</v>
      </c>
      <c r="V184" s="9">
        <f>ROUND(ROUND(P184, 2)/1.2, 2)</f>
        <v>10.48</v>
      </c>
      <c r="Y184" s="9">
        <f t="shared" si="11"/>
        <v>0</v>
      </c>
      <c r="AD184" s="4" t="s">
        <v>936</v>
      </c>
      <c r="AE184" s="4" t="s">
        <v>937</v>
      </c>
      <c r="AF184" s="4" t="s">
        <v>883</v>
      </c>
    </row>
    <row r="185" spans="1:35" ht="18.75" x14ac:dyDescent="0.25">
      <c r="A185" s="10" t="s">
        <v>940</v>
      </c>
      <c r="B185" s="10"/>
      <c r="C185" s="24" t="s">
        <v>865</v>
      </c>
      <c r="D185" s="15"/>
      <c r="E185" s="15"/>
      <c r="F185" s="25" t="s">
        <v>103</v>
      </c>
      <c r="G185" s="26">
        <v>0.3</v>
      </c>
      <c r="H185" s="27"/>
      <c r="I185" s="27">
        <v>0</v>
      </c>
      <c r="J185" s="28">
        <v>37.049999999999997</v>
      </c>
      <c r="M185" s="29">
        <f>ROUND(ROUND(J185, 2)*I185, 2)</f>
        <v>0</v>
      </c>
      <c r="P185" s="28">
        <v>37.049999999999997</v>
      </c>
      <c r="S185" s="29">
        <f>ROUND(ROUND(P185, 2)*I185, 2)</f>
        <v>0</v>
      </c>
      <c r="V185" s="9">
        <f>ROUND(ROUND(P185, 2)/1.2, 2)</f>
        <v>30.88</v>
      </c>
      <c r="Y185" s="9">
        <f t="shared" si="11"/>
        <v>0</v>
      </c>
      <c r="AD185" s="4" t="s">
        <v>941</v>
      </c>
      <c r="AE185" s="4" t="s">
        <v>942</v>
      </c>
      <c r="AF185" s="4" t="s">
        <v>868</v>
      </c>
    </row>
    <row r="186" spans="1:35" ht="18.75" x14ac:dyDescent="0.25">
      <c r="A186" s="10" t="s">
        <v>945</v>
      </c>
      <c r="B186" s="10"/>
      <c r="C186" s="24" t="s">
        <v>914</v>
      </c>
      <c r="D186" s="15"/>
      <c r="E186" s="15"/>
      <c r="F186" s="25" t="s">
        <v>123</v>
      </c>
      <c r="G186" s="26">
        <v>1</v>
      </c>
      <c r="H186" s="27"/>
      <c r="I186" s="27">
        <v>0</v>
      </c>
      <c r="J186" s="28">
        <v>7</v>
      </c>
      <c r="M186" s="29">
        <f>ROUND(ROUND(J186, 2)*I186, 2)</f>
        <v>0</v>
      </c>
      <c r="P186" s="28">
        <v>7</v>
      </c>
      <c r="S186" s="29">
        <f>ROUND(ROUND(P186, 2)*I186, 2)</f>
        <v>0</v>
      </c>
      <c r="V186" s="9">
        <f>ROUND(ROUND(P186, 2)/1.2, 2)</f>
        <v>5.83</v>
      </c>
      <c r="Y186" s="9">
        <f t="shared" si="11"/>
        <v>0</v>
      </c>
      <c r="AD186" s="4" t="s">
        <v>946</v>
      </c>
      <c r="AE186" s="4" t="s">
        <v>947</v>
      </c>
      <c r="AF186" s="4" t="s">
        <v>917</v>
      </c>
    </row>
    <row r="187" spans="1:35" ht="37.5" x14ac:dyDescent="0.25">
      <c r="A187" s="10" t="s">
        <v>950</v>
      </c>
      <c r="B187" s="10"/>
      <c r="C187" s="24" t="s">
        <v>490</v>
      </c>
      <c r="D187" s="15"/>
      <c r="E187" s="15"/>
      <c r="F187" s="25" t="s">
        <v>81</v>
      </c>
      <c r="G187" s="26">
        <v>0.15</v>
      </c>
      <c r="H187" s="26"/>
      <c r="I187" s="26">
        <v>0</v>
      </c>
      <c r="J187" s="28">
        <v>88.8</v>
      </c>
      <c r="M187" s="29">
        <f>ROUND(ROUND(J187, 2)*I187, 2)</f>
        <v>0</v>
      </c>
      <c r="P187" s="28">
        <v>88.8</v>
      </c>
      <c r="S187" s="29">
        <f>ROUND(ROUND(P187, 2)*I187, 2)</f>
        <v>0</v>
      </c>
      <c r="V187" s="9">
        <f>ROUND(ROUND(P187, 2)/1.2, 2)</f>
        <v>74</v>
      </c>
      <c r="Y187" s="9">
        <f t="shared" si="11"/>
        <v>0</v>
      </c>
      <c r="AD187" s="4" t="s">
        <v>951</v>
      </c>
      <c r="AE187" s="4" t="s">
        <v>952</v>
      </c>
      <c r="AF187" s="4" t="s">
        <v>493</v>
      </c>
    </row>
    <row r="188" spans="1:35" ht="56.25" x14ac:dyDescent="0.25">
      <c r="A188" s="10" t="s">
        <v>955</v>
      </c>
      <c r="B188" s="10" t="s">
        <v>853</v>
      </c>
      <c r="C188" s="14" t="s">
        <v>854</v>
      </c>
      <c r="D188" s="15"/>
      <c r="E188" s="15" t="s">
        <v>933</v>
      </c>
      <c r="F188" s="15" t="s">
        <v>56</v>
      </c>
      <c r="G188" s="16">
        <v>1</v>
      </c>
      <c r="H188" s="16"/>
      <c r="I188" s="16">
        <v>0</v>
      </c>
      <c r="J188" s="17">
        <f>IFERROR(ROUND(SUM(M189,M190,M191)/I188, 2),0)</f>
        <v>0</v>
      </c>
      <c r="K188" s="18">
        <v>329</v>
      </c>
      <c r="L188" s="17">
        <f>J188+ROUND(K188, 2)</f>
        <v>329</v>
      </c>
      <c r="M188" s="17">
        <f>ROUND(J188*I188, 2)</f>
        <v>0</v>
      </c>
      <c r="N188" s="17">
        <f>ROUND(I188*ROUND(K188, 2), 2)</f>
        <v>0</v>
      </c>
      <c r="O188" s="17">
        <f>M188+N188</f>
        <v>0</v>
      </c>
      <c r="P188" s="17">
        <f>IFERROR(ROUND(SUM(S189,S190,S191)/I188, 2),0)</f>
        <v>0</v>
      </c>
      <c r="Q188" s="18">
        <v>329</v>
      </c>
      <c r="R188" s="17">
        <f>P188+ROUND(Q188, 2)</f>
        <v>329</v>
      </c>
      <c r="S188" s="17">
        <f>ROUND(P188*I188, 2)</f>
        <v>0</v>
      </c>
      <c r="T188" s="17">
        <f>ROUND(I188*ROUND(Q188, 2), 2)</f>
        <v>0</v>
      </c>
      <c r="U188" s="17">
        <f>S188+T188</f>
        <v>0</v>
      </c>
      <c r="V188" s="9">
        <f>ROUND(P188 / 1.2, 2)</f>
        <v>0</v>
      </c>
      <c r="W188" s="9">
        <f>ROUND(Q188 / 1.2, 2)</f>
        <v>274.17</v>
      </c>
      <c r="X188" s="9">
        <f>ROUND(R188 / 1.2, 2)</f>
        <v>274.17</v>
      </c>
      <c r="Y188" s="9">
        <f t="shared" si="11"/>
        <v>0</v>
      </c>
      <c r="Z188" s="9">
        <f>ROUND(T188 / 1.2, 2)</f>
        <v>0</v>
      </c>
      <c r="AA188" s="9">
        <f>Y188+Z188</f>
        <v>0</v>
      </c>
      <c r="AD188" s="4">
        <v>264030383</v>
      </c>
      <c r="AE188" s="4">
        <v>16081685</v>
      </c>
      <c r="AG188" s="4" t="s">
        <v>856</v>
      </c>
      <c r="AH188" s="4" t="s">
        <v>857</v>
      </c>
      <c r="AI188" s="4" t="s">
        <v>249</v>
      </c>
    </row>
    <row r="189" spans="1:35" ht="37.5" x14ac:dyDescent="0.25">
      <c r="A189" s="10" t="s">
        <v>957</v>
      </c>
      <c r="B189" s="10"/>
      <c r="C189" s="24" t="s">
        <v>490</v>
      </c>
      <c r="D189" s="15"/>
      <c r="E189" s="15"/>
      <c r="F189" s="25" t="s">
        <v>81</v>
      </c>
      <c r="G189" s="26">
        <v>0.15</v>
      </c>
      <c r="H189" s="26"/>
      <c r="I189" s="26">
        <v>0</v>
      </c>
      <c r="J189" s="28">
        <v>88.8</v>
      </c>
      <c r="M189" s="29">
        <f>ROUND(ROUND(J189, 2)*I189, 2)</f>
        <v>0</v>
      </c>
      <c r="P189" s="28">
        <v>88.8</v>
      </c>
      <c r="S189" s="29">
        <f>ROUND(ROUND(P189, 2)*I189, 2)</f>
        <v>0</v>
      </c>
      <c r="V189" s="9">
        <f>ROUND(ROUND(P189, 2)/1.2, 2)</f>
        <v>74</v>
      </c>
      <c r="Y189" s="9">
        <f t="shared" si="11"/>
        <v>0</v>
      </c>
      <c r="AD189" s="4" t="s">
        <v>958</v>
      </c>
      <c r="AE189" s="4" t="s">
        <v>959</v>
      </c>
      <c r="AF189" s="4" t="s">
        <v>493</v>
      </c>
    </row>
    <row r="190" spans="1:35" ht="18.75" x14ac:dyDescent="0.25">
      <c r="A190" s="10" t="s">
        <v>962</v>
      </c>
      <c r="B190" s="10"/>
      <c r="C190" s="24" t="s">
        <v>865</v>
      </c>
      <c r="D190" s="15"/>
      <c r="E190" s="15"/>
      <c r="F190" s="25" t="s">
        <v>103</v>
      </c>
      <c r="G190" s="26">
        <v>0.3</v>
      </c>
      <c r="H190" s="27"/>
      <c r="I190" s="27">
        <v>0</v>
      </c>
      <c r="J190" s="28">
        <v>37.049999999999997</v>
      </c>
      <c r="M190" s="29">
        <f>ROUND(ROUND(J190, 2)*I190, 2)</f>
        <v>0</v>
      </c>
      <c r="P190" s="28">
        <v>37.049999999999997</v>
      </c>
      <c r="S190" s="29">
        <f>ROUND(ROUND(P190, 2)*I190, 2)</f>
        <v>0</v>
      </c>
      <c r="V190" s="9">
        <f>ROUND(ROUND(P190, 2)/1.2, 2)</f>
        <v>30.88</v>
      </c>
      <c r="Y190" s="9">
        <f t="shared" si="11"/>
        <v>0</v>
      </c>
      <c r="AD190" s="4" t="s">
        <v>963</v>
      </c>
      <c r="AE190" s="4" t="s">
        <v>964</v>
      </c>
      <c r="AF190" s="4" t="s">
        <v>868</v>
      </c>
    </row>
    <row r="191" spans="1:35" ht="37.5" x14ac:dyDescent="0.25">
      <c r="A191" s="10" t="s">
        <v>967</v>
      </c>
      <c r="B191" s="10"/>
      <c r="C191" s="24" t="s">
        <v>887</v>
      </c>
      <c r="D191" s="15"/>
      <c r="E191" s="15"/>
      <c r="F191" s="25" t="s">
        <v>81</v>
      </c>
      <c r="G191" s="26">
        <v>1.8</v>
      </c>
      <c r="H191" s="26"/>
      <c r="I191" s="26">
        <v>0</v>
      </c>
      <c r="J191" s="28">
        <v>23</v>
      </c>
      <c r="M191" s="29">
        <f>ROUND(ROUND(J191, 2)*I191, 2)</f>
        <v>0</v>
      </c>
      <c r="P191" s="28">
        <v>12.58</v>
      </c>
      <c r="S191" s="29">
        <f>ROUND(ROUND(P191, 2)*I191, 2)</f>
        <v>0</v>
      </c>
      <c r="V191" s="9">
        <f>ROUND(ROUND(P191, 2)/1.2, 2)</f>
        <v>10.48</v>
      </c>
      <c r="Y191" s="9">
        <f t="shared" si="11"/>
        <v>0</v>
      </c>
      <c r="AD191" s="4" t="s">
        <v>968</v>
      </c>
      <c r="AE191" s="4" t="s">
        <v>969</v>
      </c>
      <c r="AF191" s="4" t="s">
        <v>890</v>
      </c>
    </row>
    <row r="192" spans="1:35" ht="56.25" x14ac:dyDescent="0.25">
      <c r="A192" s="10" t="s">
        <v>972</v>
      </c>
      <c r="B192" s="10" t="s">
        <v>853</v>
      </c>
      <c r="C192" s="14" t="s">
        <v>854</v>
      </c>
      <c r="D192" s="15"/>
      <c r="E192" s="15" t="s">
        <v>367</v>
      </c>
      <c r="F192" s="15" t="s">
        <v>56</v>
      </c>
      <c r="G192" s="16">
        <v>1</v>
      </c>
      <c r="H192" s="16"/>
      <c r="I192" s="16">
        <v>0</v>
      </c>
      <c r="J192" s="17">
        <f>IFERROR(ROUND(SUM(M193,M194,M195,M196)/I192, 2),0)</f>
        <v>0</v>
      </c>
      <c r="K192" s="18">
        <v>329</v>
      </c>
      <c r="L192" s="17">
        <f>J192+ROUND(K192, 2)</f>
        <v>329</v>
      </c>
      <c r="M192" s="17">
        <f>ROUND(J192*I192, 2)</f>
        <v>0</v>
      </c>
      <c r="N192" s="17">
        <f>ROUND(I192*ROUND(K192, 2), 2)</f>
        <v>0</v>
      </c>
      <c r="O192" s="17">
        <f>M192+N192</f>
        <v>0</v>
      </c>
      <c r="P192" s="17">
        <f>IFERROR(ROUND(SUM(S193,S194,S195,S196)/I192, 2),0)</f>
        <v>0</v>
      </c>
      <c r="Q192" s="18">
        <v>329</v>
      </c>
      <c r="R192" s="17">
        <f>P192+ROUND(Q192, 2)</f>
        <v>329</v>
      </c>
      <c r="S192" s="17">
        <f>ROUND(P192*I192, 2)</f>
        <v>0</v>
      </c>
      <c r="T192" s="17">
        <f>ROUND(I192*ROUND(Q192, 2), 2)</f>
        <v>0</v>
      </c>
      <c r="U192" s="17">
        <f>S192+T192</f>
        <v>0</v>
      </c>
      <c r="V192" s="9">
        <f>ROUND(P192 / 1.2, 2)</f>
        <v>0</v>
      </c>
      <c r="W192" s="9">
        <f>ROUND(Q192 / 1.2, 2)</f>
        <v>274.17</v>
      </c>
      <c r="X192" s="9">
        <f>ROUND(R192 / 1.2, 2)</f>
        <v>274.17</v>
      </c>
      <c r="Y192" s="9">
        <f t="shared" si="11"/>
        <v>0</v>
      </c>
      <c r="Z192" s="9">
        <f>ROUND(T192 / 1.2, 2)</f>
        <v>0</v>
      </c>
      <c r="AA192" s="9">
        <f>Y192+Z192</f>
        <v>0</v>
      </c>
      <c r="AD192" s="4">
        <v>264030384</v>
      </c>
      <c r="AE192" s="4">
        <v>16086874</v>
      </c>
      <c r="AG192" s="4" t="s">
        <v>856</v>
      </c>
      <c r="AH192" s="4" t="s">
        <v>857</v>
      </c>
      <c r="AI192" s="4" t="s">
        <v>249</v>
      </c>
    </row>
    <row r="193" spans="1:35" ht="18.75" x14ac:dyDescent="0.25">
      <c r="A193" s="10" t="s">
        <v>974</v>
      </c>
      <c r="B193" s="10"/>
      <c r="C193" s="24" t="s">
        <v>859</v>
      </c>
      <c r="D193" s="15"/>
      <c r="E193" s="15"/>
      <c r="F193" s="25" t="s">
        <v>81</v>
      </c>
      <c r="G193" s="26">
        <v>2</v>
      </c>
      <c r="H193" s="26"/>
      <c r="I193" s="26">
        <v>0</v>
      </c>
      <c r="J193" s="28">
        <v>23</v>
      </c>
      <c r="M193" s="29">
        <f>ROUND(ROUND(J193, 2)*I193, 2)</f>
        <v>0</v>
      </c>
      <c r="P193" s="28">
        <v>23</v>
      </c>
      <c r="S193" s="29">
        <f>ROUND(ROUND(P193, 2)*I193, 2)</f>
        <v>0</v>
      </c>
      <c r="V193" s="9">
        <f>ROUND(ROUND(P193, 2)/1.2, 2)</f>
        <v>19.170000000000002</v>
      </c>
      <c r="Y193" s="9">
        <f t="shared" si="11"/>
        <v>0</v>
      </c>
      <c r="AD193" s="4" t="s">
        <v>975</v>
      </c>
      <c r="AE193" s="4" t="s">
        <v>976</v>
      </c>
      <c r="AF193" s="4" t="s">
        <v>863</v>
      </c>
    </row>
    <row r="194" spans="1:35" ht="18.75" x14ac:dyDescent="0.25">
      <c r="A194" s="10" t="s">
        <v>979</v>
      </c>
      <c r="B194" s="10"/>
      <c r="C194" s="24" t="s">
        <v>865</v>
      </c>
      <c r="D194" s="15"/>
      <c r="E194" s="15"/>
      <c r="F194" s="25" t="s">
        <v>103</v>
      </c>
      <c r="G194" s="26">
        <v>0.3</v>
      </c>
      <c r="H194" s="27"/>
      <c r="I194" s="27">
        <v>0</v>
      </c>
      <c r="J194" s="28">
        <v>37.049999999999997</v>
      </c>
      <c r="M194" s="29">
        <f>ROUND(ROUND(J194, 2)*I194, 2)</f>
        <v>0</v>
      </c>
      <c r="P194" s="28">
        <v>37.049999999999997</v>
      </c>
      <c r="S194" s="29">
        <f>ROUND(ROUND(P194, 2)*I194, 2)</f>
        <v>0</v>
      </c>
      <c r="V194" s="9">
        <f>ROUND(ROUND(P194, 2)/1.2, 2)</f>
        <v>30.88</v>
      </c>
      <c r="Y194" s="9">
        <f t="shared" si="11"/>
        <v>0</v>
      </c>
      <c r="AD194" s="4" t="s">
        <v>980</v>
      </c>
      <c r="AE194" s="4" t="s">
        <v>981</v>
      </c>
      <c r="AF194" s="4" t="s">
        <v>868</v>
      </c>
    </row>
    <row r="195" spans="1:35" ht="18.75" x14ac:dyDescent="0.25">
      <c r="A195" s="10" t="s">
        <v>984</v>
      </c>
      <c r="B195" s="10"/>
      <c r="C195" s="24" t="s">
        <v>914</v>
      </c>
      <c r="D195" s="15"/>
      <c r="E195" s="15"/>
      <c r="F195" s="25" t="s">
        <v>123</v>
      </c>
      <c r="G195" s="26">
        <v>1</v>
      </c>
      <c r="H195" s="27"/>
      <c r="I195" s="27">
        <v>0</v>
      </c>
      <c r="J195" s="28">
        <v>7</v>
      </c>
      <c r="M195" s="29">
        <f>ROUND(ROUND(J195, 2)*I195, 2)</f>
        <v>0</v>
      </c>
      <c r="P195" s="28">
        <v>7</v>
      </c>
      <c r="S195" s="29">
        <f>ROUND(ROUND(P195, 2)*I195, 2)</f>
        <v>0</v>
      </c>
      <c r="V195" s="9">
        <f>ROUND(ROUND(P195, 2)/1.2, 2)</f>
        <v>5.83</v>
      </c>
      <c r="Y195" s="9">
        <f t="shared" si="11"/>
        <v>0</v>
      </c>
      <c r="AD195" s="4" t="s">
        <v>985</v>
      </c>
      <c r="AE195" s="4" t="s">
        <v>986</v>
      </c>
      <c r="AF195" s="4" t="s">
        <v>917</v>
      </c>
    </row>
    <row r="196" spans="1:35" ht="37.5" x14ac:dyDescent="0.25">
      <c r="A196" s="10" t="s">
        <v>989</v>
      </c>
      <c r="B196" s="10"/>
      <c r="C196" s="24" t="s">
        <v>490</v>
      </c>
      <c r="D196" s="15"/>
      <c r="E196" s="15"/>
      <c r="F196" s="25" t="s">
        <v>81</v>
      </c>
      <c r="G196" s="26">
        <v>0.15</v>
      </c>
      <c r="H196" s="26"/>
      <c r="I196" s="26">
        <v>0</v>
      </c>
      <c r="J196" s="28">
        <v>88.8</v>
      </c>
      <c r="M196" s="29">
        <f>ROUND(ROUND(J196, 2)*I196, 2)</f>
        <v>0</v>
      </c>
      <c r="P196" s="28">
        <v>88.8</v>
      </c>
      <c r="S196" s="29">
        <f>ROUND(ROUND(P196, 2)*I196, 2)</f>
        <v>0</v>
      </c>
      <c r="V196" s="9">
        <f>ROUND(ROUND(P196, 2)/1.2, 2)</f>
        <v>74</v>
      </c>
      <c r="Y196" s="9">
        <f t="shared" ref="Y196:Y227" si="12">ROUND(S196 / 1.2, 2)</f>
        <v>0</v>
      </c>
      <c r="AD196" s="4" t="s">
        <v>990</v>
      </c>
      <c r="AE196" s="4" t="s">
        <v>991</v>
      </c>
      <c r="AF196" s="4" t="s">
        <v>493</v>
      </c>
    </row>
    <row r="197" spans="1:35" ht="56.25" x14ac:dyDescent="0.25">
      <c r="A197" s="10" t="s">
        <v>994</v>
      </c>
      <c r="B197" s="10" t="s">
        <v>853</v>
      </c>
      <c r="C197" s="14" t="s">
        <v>854</v>
      </c>
      <c r="D197" s="15"/>
      <c r="E197" s="15" t="s">
        <v>367</v>
      </c>
      <c r="F197" s="15" t="s">
        <v>56</v>
      </c>
      <c r="G197" s="16">
        <v>1</v>
      </c>
      <c r="H197" s="16"/>
      <c r="I197" s="16">
        <v>0</v>
      </c>
      <c r="J197" s="17">
        <f>IFERROR(ROUND(SUM(M198,M199,M200,M201)/I197, 2),0)</f>
        <v>0</v>
      </c>
      <c r="K197" s="18">
        <v>329</v>
      </c>
      <c r="L197" s="17">
        <f>J197+ROUND(K197, 2)</f>
        <v>329</v>
      </c>
      <c r="M197" s="17">
        <f>ROUND(J197*I197, 2)</f>
        <v>0</v>
      </c>
      <c r="N197" s="17">
        <f>ROUND(I197*ROUND(K197, 2), 2)</f>
        <v>0</v>
      </c>
      <c r="O197" s="17">
        <f>M197+N197</f>
        <v>0</v>
      </c>
      <c r="P197" s="17">
        <f>IFERROR(ROUND(SUM(S198,S199,S200,S201)/I197, 2),0)</f>
        <v>0</v>
      </c>
      <c r="Q197" s="18">
        <v>329</v>
      </c>
      <c r="R197" s="17">
        <f>P197+ROUND(Q197, 2)</f>
        <v>329</v>
      </c>
      <c r="S197" s="17">
        <f>ROUND(P197*I197, 2)</f>
        <v>0</v>
      </c>
      <c r="T197" s="17">
        <f>ROUND(I197*ROUND(Q197, 2), 2)</f>
        <v>0</v>
      </c>
      <c r="U197" s="17">
        <f>S197+T197</f>
        <v>0</v>
      </c>
      <c r="V197" s="9">
        <f>ROUND(P197 / 1.2, 2)</f>
        <v>0</v>
      </c>
      <c r="W197" s="9">
        <f>ROUND(Q197 / 1.2, 2)</f>
        <v>274.17</v>
      </c>
      <c r="X197" s="9">
        <f>ROUND(R197 / 1.2, 2)</f>
        <v>274.17</v>
      </c>
      <c r="Y197" s="9">
        <f t="shared" si="12"/>
        <v>0</v>
      </c>
      <c r="Z197" s="9">
        <f>ROUND(T197 / 1.2, 2)</f>
        <v>0</v>
      </c>
      <c r="AA197" s="9">
        <f>Y197+Z197</f>
        <v>0</v>
      </c>
      <c r="AD197" s="4">
        <v>264030385</v>
      </c>
      <c r="AE197" s="4">
        <v>16086875</v>
      </c>
      <c r="AG197" s="4" t="s">
        <v>856</v>
      </c>
      <c r="AH197" s="4" t="s">
        <v>857</v>
      </c>
      <c r="AI197" s="4" t="s">
        <v>249</v>
      </c>
    </row>
    <row r="198" spans="1:35" ht="37.5" x14ac:dyDescent="0.25">
      <c r="A198" s="10" t="s">
        <v>996</v>
      </c>
      <c r="B198" s="10"/>
      <c r="C198" s="24" t="s">
        <v>490</v>
      </c>
      <c r="D198" s="15"/>
      <c r="E198" s="15"/>
      <c r="F198" s="25" t="s">
        <v>81</v>
      </c>
      <c r="G198" s="26">
        <v>0.15</v>
      </c>
      <c r="H198" s="26"/>
      <c r="I198" s="26">
        <v>0</v>
      </c>
      <c r="J198" s="28">
        <v>88.8</v>
      </c>
      <c r="M198" s="29">
        <f>ROUND(ROUND(J198, 2)*I198, 2)</f>
        <v>0</v>
      </c>
      <c r="P198" s="28">
        <v>88.8</v>
      </c>
      <c r="S198" s="29">
        <f>ROUND(ROUND(P198, 2)*I198, 2)</f>
        <v>0</v>
      </c>
      <c r="V198" s="9">
        <f>ROUND(ROUND(P198, 2)/1.2, 2)</f>
        <v>74</v>
      </c>
      <c r="Y198" s="9">
        <f t="shared" si="12"/>
        <v>0</v>
      </c>
      <c r="AD198" s="4" t="s">
        <v>997</v>
      </c>
      <c r="AE198" s="4" t="s">
        <v>998</v>
      </c>
      <c r="AF198" s="4" t="s">
        <v>493</v>
      </c>
    </row>
    <row r="199" spans="1:35" ht="18.75" x14ac:dyDescent="0.25">
      <c r="A199" s="10" t="s">
        <v>1001</v>
      </c>
      <c r="B199" s="10"/>
      <c r="C199" s="24" t="s">
        <v>914</v>
      </c>
      <c r="D199" s="15"/>
      <c r="E199" s="15"/>
      <c r="F199" s="25" t="s">
        <v>123</v>
      </c>
      <c r="G199" s="26">
        <v>1</v>
      </c>
      <c r="H199" s="27"/>
      <c r="I199" s="27">
        <v>0</v>
      </c>
      <c r="J199" s="28">
        <v>7</v>
      </c>
      <c r="M199" s="29">
        <f>ROUND(ROUND(J199, 2)*I199, 2)</f>
        <v>0</v>
      </c>
      <c r="P199" s="28">
        <v>7</v>
      </c>
      <c r="S199" s="29">
        <f>ROUND(ROUND(P199, 2)*I199, 2)</f>
        <v>0</v>
      </c>
      <c r="V199" s="9">
        <f>ROUND(ROUND(P199, 2)/1.2, 2)</f>
        <v>5.83</v>
      </c>
      <c r="Y199" s="9">
        <f t="shared" si="12"/>
        <v>0</v>
      </c>
      <c r="AD199" s="4" t="s">
        <v>1002</v>
      </c>
      <c r="AE199" s="4" t="s">
        <v>1003</v>
      </c>
      <c r="AF199" s="4" t="s">
        <v>917</v>
      </c>
    </row>
    <row r="200" spans="1:35" ht="18.75" x14ac:dyDescent="0.25">
      <c r="A200" s="10" t="s">
        <v>1006</v>
      </c>
      <c r="B200" s="10"/>
      <c r="C200" s="24" t="s">
        <v>865</v>
      </c>
      <c r="D200" s="15"/>
      <c r="E200" s="15"/>
      <c r="F200" s="25" t="s">
        <v>103</v>
      </c>
      <c r="G200" s="26">
        <v>0.3</v>
      </c>
      <c r="H200" s="27"/>
      <c r="I200" s="27">
        <v>0</v>
      </c>
      <c r="J200" s="28">
        <v>37.049999999999997</v>
      </c>
      <c r="M200" s="29">
        <f>ROUND(ROUND(J200, 2)*I200, 2)</f>
        <v>0</v>
      </c>
      <c r="P200" s="28">
        <v>37.049999999999997</v>
      </c>
      <c r="S200" s="29">
        <f>ROUND(ROUND(P200, 2)*I200, 2)</f>
        <v>0</v>
      </c>
      <c r="V200" s="9">
        <f>ROUND(ROUND(P200, 2)/1.2, 2)</f>
        <v>30.88</v>
      </c>
      <c r="Y200" s="9">
        <f t="shared" si="12"/>
        <v>0</v>
      </c>
      <c r="AD200" s="4" t="s">
        <v>1007</v>
      </c>
      <c r="AE200" s="4" t="s">
        <v>1008</v>
      </c>
      <c r="AF200" s="4" t="s">
        <v>868</v>
      </c>
    </row>
    <row r="201" spans="1:35" ht="37.5" x14ac:dyDescent="0.25">
      <c r="A201" s="10" t="s">
        <v>1011</v>
      </c>
      <c r="B201" s="10"/>
      <c r="C201" s="24" t="s">
        <v>880</v>
      </c>
      <c r="D201" s="15"/>
      <c r="E201" s="15"/>
      <c r="F201" s="25" t="s">
        <v>81</v>
      </c>
      <c r="G201" s="26">
        <v>1</v>
      </c>
      <c r="H201" s="26"/>
      <c r="I201" s="26">
        <v>0</v>
      </c>
      <c r="J201" s="28">
        <v>60</v>
      </c>
      <c r="M201" s="29">
        <f>ROUND(ROUND(J201, 2)*I201, 2)</f>
        <v>0</v>
      </c>
      <c r="P201" s="28">
        <v>12.58</v>
      </c>
      <c r="S201" s="29">
        <f>ROUND(ROUND(P201, 2)*I201, 2)</f>
        <v>0</v>
      </c>
      <c r="V201" s="9">
        <f>ROUND(ROUND(P201, 2)/1.2, 2)</f>
        <v>10.48</v>
      </c>
      <c r="Y201" s="9">
        <f t="shared" si="12"/>
        <v>0</v>
      </c>
      <c r="AD201" s="4" t="s">
        <v>1012</v>
      </c>
      <c r="AE201" s="4" t="s">
        <v>1013</v>
      </c>
      <c r="AF201" s="4" t="s">
        <v>883</v>
      </c>
    </row>
    <row r="202" spans="1:35" ht="56.25" x14ac:dyDescent="0.25">
      <c r="A202" s="10" t="s">
        <v>1016</v>
      </c>
      <c r="B202" s="10" t="s">
        <v>853</v>
      </c>
      <c r="C202" s="14" t="s">
        <v>854</v>
      </c>
      <c r="D202" s="15"/>
      <c r="E202" s="15" t="s">
        <v>367</v>
      </c>
      <c r="F202" s="15" t="s">
        <v>56</v>
      </c>
      <c r="G202" s="16">
        <v>1</v>
      </c>
      <c r="H202" s="16"/>
      <c r="I202" s="16">
        <v>0</v>
      </c>
      <c r="J202" s="17">
        <f>IFERROR(ROUND(SUM(M203,M204,M205,M206)/I202, 2),0)</f>
        <v>0</v>
      </c>
      <c r="K202" s="18">
        <v>329</v>
      </c>
      <c r="L202" s="17">
        <f>J202+ROUND(K202, 2)</f>
        <v>329</v>
      </c>
      <c r="M202" s="17">
        <f>ROUND(J202*I202, 2)</f>
        <v>0</v>
      </c>
      <c r="N202" s="17">
        <f>ROUND(I202*ROUND(K202, 2), 2)</f>
        <v>0</v>
      </c>
      <c r="O202" s="17">
        <f>M202+N202</f>
        <v>0</v>
      </c>
      <c r="P202" s="17">
        <f>IFERROR(ROUND(SUM(S203,S204,S205,S206)/I202, 2),0)</f>
        <v>0</v>
      </c>
      <c r="Q202" s="18">
        <v>329</v>
      </c>
      <c r="R202" s="17">
        <f>P202+ROUND(Q202, 2)</f>
        <v>329</v>
      </c>
      <c r="S202" s="17">
        <f>ROUND(P202*I202, 2)</f>
        <v>0</v>
      </c>
      <c r="T202" s="17">
        <f>ROUND(I202*ROUND(Q202, 2), 2)</f>
        <v>0</v>
      </c>
      <c r="U202" s="17">
        <f>S202+T202</f>
        <v>0</v>
      </c>
      <c r="V202" s="9">
        <f>ROUND(P202 / 1.2, 2)</f>
        <v>0</v>
      </c>
      <c r="W202" s="9">
        <f>ROUND(Q202 / 1.2, 2)</f>
        <v>274.17</v>
      </c>
      <c r="X202" s="9">
        <f>ROUND(R202 / 1.2, 2)</f>
        <v>274.17</v>
      </c>
      <c r="Y202" s="9">
        <f t="shared" si="12"/>
        <v>0</v>
      </c>
      <c r="Z202" s="9">
        <f>ROUND(T202 / 1.2, 2)</f>
        <v>0</v>
      </c>
      <c r="AA202" s="9">
        <f>Y202+Z202</f>
        <v>0</v>
      </c>
      <c r="AD202" s="4">
        <v>264030386</v>
      </c>
      <c r="AE202" s="4">
        <v>16087151</v>
      </c>
      <c r="AG202" s="4" t="s">
        <v>856</v>
      </c>
      <c r="AH202" s="4" t="s">
        <v>857</v>
      </c>
      <c r="AI202" s="4" t="s">
        <v>249</v>
      </c>
    </row>
    <row r="203" spans="1:35" ht="37.5" x14ac:dyDescent="0.25">
      <c r="A203" s="10" t="s">
        <v>1018</v>
      </c>
      <c r="B203" s="10"/>
      <c r="C203" s="24" t="s">
        <v>887</v>
      </c>
      <c r="D203" s="15"/>
      <c r="E203" s="15"/>
      <c r="F203" s="25" t="s">
        <v>81</v>
      </c>
      <c r="G203" s="26">
        <v>1.8</v>
      </c>
      <c r="H203" s="26"/>
      <c r="I203" s="26">
        <v>0</v>
      </c>
      <c r="J203" s="28">
        <v>23</v>
      </c>
      <c r="M203" s="29">
        <f>ROUND(ROUND(J203, 2)*I203, 2)</f>
        <v>0</v>
      </c>
      <c r="P203" s="28">
        <v>12.58</v>
      </c>
      <c r="S203" s="29">
        <f>ROUND(ROUND(P203, 2)*I203, 2)</f>
        <v>0</v>
      </c>
      <c r="V203" s="9">
        <f>ROUND(ROUND(P203, 2)/1.2, 2)</f>
        <v>10.48</v>
      </c>
      <c r="Y203" s="9">
        <f t="shared" si="12"/>
        <v>0</v>
      </c>
      <c r="AD203" s="4" t="s">
        <v>1019</v>
      </c>
      <c r="AE203" s="4" t="s">
        <v>1020</v>
      </c>
      <c r="AF203" s="4" t="s">
        <v>890</v>
      </c>
    </row>
    <row r="204" spans="1:35" ht="18.75" x14ac:dyDescent="0.25">
      <c r="A204" s="10" t="s">
        <v>1023</v>
      </c>
      <c r="B204" s="10"/>
      <c r="C204" s="24" t="s">
        <v>865</v>
      </c>
      <c r="D204" s="15"/>
      <c r="E204" s="15"/>
      <c r="F204" s="25" t="s">
        <v>103</v>
      </c>
      <c r="G204" s="26">
        <v>0.3</v>
      </c>
      <c r="H204" s="27"/>
      <c r="I204" s="27">
        <v>0</v>
      </c>
      <c r="J204" s="28">
        <v>37.049999999999997</v>
      </c>
      <c r="M204" s="29">
        <f>ROUND(ROUND(J204, 2)*I204, 2)</f>
        <v>0</v>
      </c>
      <c r="P204" s="28">
        <v>37.049999999999997</v>
      </c>
      <c r="S204" s="29">
        <f>ROUND(ROUND(P204, 2)*I204, 2)</f>
        <v>0</v>
      </c>
      <c r="V204" s="9">
        <f>ROUND(ROUND(P204, 2)/1.2, 2)</f>
        <v>30.88</v>
      </c>
      <c r="Y204" s="9">
        <f t="shared" si="12"/>
        <v>0</v>
      </c>
      <c r="AD204" s="4" t="s">
        <v>1024</v>
      </c>
      <c r="AE204" s="4" t="s">
        <v>1025</v>
      </c>
      <c r="AF204" s="4" t="s">
        <v>868</v>
      </c>
    </row>
    <row r="205" spans="1:35" ht="18.75" x14ac:dyDescent="0.25">
      <c r="A205" s="10" t="s">
        <v>1028</v>
      </c>
      <c r="B205" s="10"/>
      <c r="C205" s="24" t="s">
        <v>914</v>
      </c>
      <c r="D205" s="15"/>
      <c r="E205" s="15"/>
      <c r="F205" s="25" t="s">
        <v>123</v>
      </c>
      <c r="G205" s="26">
        <v>1</v>
      </c>
      <c r="H205" s="27"/>
      <c r="I205" s="27">
        <v>0</v>
      </c>
      <c r="J205" s="28">
        <v>7</v>
      </c>
      <c r="M205" s="29">
        <f>ROUND(ROUND(J205, 2)*I205, 2)</f>
        <v>0</v>
      </c>
      <c r="P205" s="28">
        <v>7</v>
      </c>
      <c r="S205" s="29">
        <f>ROUND(ROUND(P205, 2)*I205, 2)</f>
        <v>0</v>
      </c>
      <c r="V205" s="9">
        <f>ROUND(ROUND(P205, 2)/1.2, 2)</f>
        <v>5.83</v>
      </c>
      <c r="Y205" s="9">
        <f t="shared" si="12"/>
        <v>0</v>
      </c>
      <c r="AD205" s="4" t="s">
        <v>1029</v>
      </c>
      <c r="AE205" s="4" t="s">
        <v>1030</v>
      </c>
      <c r="AF205" s="4" t="s">
        <v>917</v>
      </c>
    </row>
    <row r="206" spans="1:35" ht="37.5" x14ac:dyDescent="0.25">
      <c r="A206" s="10" t="s">
        <v>1033</v>
      </c>
      <c r="B206" s="10"/>
      <c r="C206" s="24" t="s">
        <v>490</v>
      </c>
      <c r="D206" s="15"/>
      <c r="E206" s="15"/>
      <c r="F206" s="25" t="s">
        <v>81</v>
      </c>
      <c r="G206" s="26">
        <v>0.15</v>
      </c>
      <c r="H206" s="26"/>
      <c r="I206" s="26">
        <v>0</v>
      </c>
      <c r="J206" s="28">
        <v>88.8</v>
      </c>
      <c r="M206" s="29">
        <f>ROUND(ROUND(J206, 2)*I206, 2)</f>
        <v>0</v>
      </c>
      <c r="P206" s="28">
        <v>88.8</v>
      </c>
      <c r="S206" s="29">
        <f>ROUND(ROUND(P206, 2)*I206, 2)</f>
        <v>0</v>
      </c>
      <c r="V206" s="9">
        <f>ROUND(ROUND(P206, 2)/1.2, 2)</f>
        <v>74</v>
      </c>
      <c r="Y206" s="9">
        <f t="shared" si="12"/>
        <v>0</v>
      </c>
      <c r="AD206" s="4" t="s">
        <v>1034</v>
      </c>
      <c r="AE206" s="4" t="s">
        <v>1035</v>
      </c>
      <c r="AF206" s="4" t="s">
        <v>493</v>
      </c>
    </row>
    <row r="207" spans="1:35" ht="37.5" x14ac:dyDescent="0.25">
      <c r="A207" s="10" t="s">
        <v>1038</v>
      </c>
      <c r="B207" s="10" t="s">
        <v>1039</v>
      </c>
      <c r="C207" s="14" t="s">
        <v>1040</v>
      </c>
      <c r="D207" s="15"/>
      <c r="E207" s="15" t="s">
        <v>1041</v>
      </c>
      <c r="F207" s="15" t="s">
        <v>56</v>
      </c>
      <c r="G207" s="16">
        <v>1</v>
      </c>
      <c r="H207" s="16"/>
      <c r="I207" s="16">
        <v>595.26</v>
      </c>
      <c r="J207" s="17">
        <f>IFERROR(ROUND(SUM(M208,M209)/I207, 2),0)</f>
        <v>130</v>
      </c>
      <c r="K207" s="18">
        <v>790</v>
      </c>
      <c r="L207" s="17">
        <f>J207+ROUND(K207, 2)</f>
        <v>920</v>
      </c>
      <c r="M207" s="17">
        <f>ROUND(J207*I207, 2)</f>
        <v>77383.8</v>
      </c>
      <c r="N207" s="17">
        <f>ROUND(I207*ROUND(K207, 2), 2)</f>
        <v>470255.4</v>
      </c>
      <c r="O207" s="17">
        <f>M207+N207</f>
        <v>547639.19999999995</v>
      </c>
      <c r="P207" s="17">
        <f>IFERROR(ROUND(SUM(S208,S209)/I207, 2),0)</f>
        <v>130</v>
      </c>
      <c r="Q207" s="19">
        <v>790</v>
      </c>
      <c r="R207" s="17">
        <f>P207+ROUND(Q207, 2)</f>
        <v>920</v>
      </c>
      <c r="S207" s="17">
        <f>ROUND(P207*I207, 2)</f>
        <v>77383.8</v>
      </c>
      <c r="T207" s="17">
        <f>ROUND(I207*ROUND(Q207, 2), 2)</f>
        <v>470255.4</v>
      </c>
      <c r="U207" s="17">
        <f>S207+T207</f>
        <v>547639.19999999995</v>
      </c>
      <c r="V207" s="9">
        <f>ROUND(P207 / 1.2, 2)</f>
        <v>108.33</v>
      </c>
      <c r="W207" s="9">
        <f>ROUND(Q207 / 1.2, 2)</f>
        <v>658.33</v>
      </c>
      <c r="X207" s="9">
        <f>ROUND(R207 / 1.2, 2)</f>
        <v>766.67</v>
      </c>
      <c r="Y207" s="9">
        <f t="shared" si="12"/>
        <v>64486.5</v>
      </c>
      <c r="Z207" s="9">
        <f>ROUND(T207 / 1.2, 2)</f>
        <v>391879.5</v>
      </c>
      <c r="AA207" s="9">
        <f>Y207+Z207</f>
        <v>456366</v>
      </c>
      <c r="AD207" s="4">
        <v>264030294</v>
      </c>
      <c r="AE207" s="4">
        <v>19916869</v>
      </c>
      <c r="AG207" s="4" t="s">
        <v>1042</v>
      </c>
      <c r="AH207" s="4" t="s">
        <v>1043</v>
      </c>
      <c r="AI207" s="4" t="s">
        <v>249</v>
      </c>
    </row>
    <row r="208" spans="1:35" ht="56.25" x14ac:dyDescent="0.25">
      <c r="A208" s="10" t="s">
        <v>1044</v>
      </c>
      <c r="B208" s="10"/>
      <c r="C208" s="24" t="s">
        <v>859</v>
      </c>
      <c r="D208" s="15"/>
      <c r="E208" s="15" t="s">
        <v>860</v>
      </c>
      <c r="F208" s="25" t="s">
        <v>81</v>
      </c>
      <c r="G208" s="26">
        <v>5</v>
      </c>
      <c r="H208" s="26"/>
      <c r="I208" s="26">
        <v>2976.3</v>
      </c>
      <c r="J208" s="28">
        <v>23</v>
      </c>
      <c r="M208" s="29">
        <f>ROUND(ROUND(J208, 2)*I208, 2)</f>
        <v>68454.899999999994</v>
      </c>
      <c r="P208" s="30">
        <v>23</v>
      </c>
      <c r="S208" s="29">
        <f>ROUND(ROUND(P208, 2)*I208, 2)</f>
        <v>68454.899999999994</v>
      </c>
      <c r="V208" s="9">
        <f>ROUND(ROUND(P208, 2)/1.2, 2)</f>
        <v>19.170000000000002</v>
      </c>
      <c r="Y208" s="9">
        <f t="shared" si="12"/>
        <v>57045.75</v>
      </c>
      <c r="AD208" s="4" t="s">
        <v>1045</v>
      </c>
      <c r="AE208" s="4" t="s">
        <v>1046</v>
      </c>
      <c r="AF208" s="4" t="s">
        <v>863</v>
      </c>
    </row>
    <row r="209" spans="1:35" ht="18.75" x14ac:dyDescent="0.25">
      <c r="A209" s="10" t="s">
        <v>1047</v>
      </c>
      <c r="B209" s="10"/>
      <c r="C209" s="24" t="s">
        <v>313</v>
      </c>
      <c r="D209" s="15"/>
      <c r="E209" s="15"/>
      <c r="F209" s="25" t="s">
        <v>81</v>
      </c>
      <c r="G209" s="26">
        <v>0.15</v>
      </c>
      <c r="H209" s="26"/>
      <c r="I209" s="26">
        <v>89.289000000000001</v>
      </c>
      <c r="J209" s="28">
        <v>100</v>
      </c>
      <c r="M209" s="29">
        <f>ROUND(ROUND(J209, 2)*I209, 2)</f>
        <v>8928.9</v>
      </c>
      <c r="P209" s="30">
        <v>100</v>
      </c>
      <c r="S209" s="29">
        <f>ROUND(ROUND(P209, 2)*I209, 2)</f>
        <v>8928.9</v>
      </c>
      <c r="V209" s="9">
        <f>ROUND(ROUND(P209, 2)/1.2, 2)</f>
        <v>83.33</v>
      </c>
      <c r="Y209" s="9">
        <f t="shared" si="12"/>
        <v>7440.75</v>
      </c>
      <c r="AD209" s="4" t="s">
        <v>1048</v>
      </c>
      <c r="AE209" s="4" t="s">
        <v>1049</v>
      </c>
      <c r="AF209" s="4" t="s">
        <v>316</v>
      </c>
    </row>
    <row r="210" spans="1:35" ht="37.5" x14ac:dyDescent="0.25">
      <c r="A210" s="10" t="s">
        <v>1050</v>
      </c>
      <c r="B210" s="10" t="s">
        <v>1039</v>
      </c>
      <c r="C210" s="14" t="s">
        <v>1040</v>
      </c>
      <c r="D210" s="15"/>
      <c r="E210" s="15" t="s">
        <v>1051</v>
      </c>
      <c r="F210" s="15" t="s">
        <v>56</v>
      </c>
      <c r="G210" s="16">
        <v>1</v>
      </c>
      <c r="H210" s="16"/>
      <c r="I210" s="16">
        <v>595.26</v>
      </c>
      <c r="J210" s="17">
        <f>IFERROR(ROUND(SUM(M211,M212)/I210, 2),0)</f>
        <v>128.32</v>
      </c>
      <c r="K210" s="18">
        <v>790</v>
      </c>
      <c r="L210" s="17">
        <f>J210+ROUND(K210, 2)</f>
        <v>918.32</v>
      </c>
      <c r="M210" s="17">
        <f>ROUND(J210*I210, 2)</f>
        <v>76383.759999999995</v>
      </c>
      <c r="N210" s="17">
        <f>ROUND(I210*ROUND(K210, 2), 2)</f>
        <v>470255.4</v>
      </c>
      <c r="O210" s="17">
        <f>M210+N210</f>
        <v>546639.16</v>
      </c>
      <c r="P210" s="17">
        <f>IFERROR(ROUND(SUM(S211,S212)/I210, 2),0)</f>
        <v>128.32</v>
      </c>
      <c r="Q210" s="19">
        <v>790</v>
      </c>
      <c r="R210" s="17">
        <f>P210+ROUND(Q210, 2)</f>
        <v>918.32</v>
      </c>
      <c r="S210" s="17">
        <f>ROUND(P210*I210, 2)</f>
        <v>76383.759999999995</v>
      </c>
      <c r="T210" s="17">
        <f>ROUND(I210*ROUND(Q210, 2), 2)</f>
        <v>470255.4</v>
      </c>
      <c r="U210" s="17">
        <f>S210+T210</f>
        <v>546639.16</v>
      </c>
      <c r="V210" s="9">
        <f>ROUND(P210 / 1.2, 2)</f>
        <v>106.93</v>
      </c>
      <c r="W210" s="9">
        <f>ROUND(Q210 / 1.2, 2)</f>
        <v>658.33</v>
      </c>
      <c r="X210" s="9">
        <f>ROUND(R210 / 1.2, 2)</f>
        <v>765.27</v>
      </c>
      <c r="Y210" s="9">
        <f t="shared" si="12"/>
        <v>63653.13</v>
      </c>
      <c r="Z210" s="9">
        <f>ROUND(T210 / 1.2, 2)</f>
        <v>391879.5</v>
      </c>
      <c r="AA210" s="9">
        <f>Y210+Z210</f>
        <v>455532.63</v>
      </c>
      <c r="AD210" s="4">
        <v>264030387</v>
      </c>
      <c r="AE210" s="4">
        <v>19916876</v>
      </c>
      <c r="AG210" s="4" t="s">
        <v>1042</v>
      </c>
      <c r="AH210" s="4" t="s">
        <v>1043</v>
      </c>
      <c r="AI210" s="4" t="s">
        <v>249</v>
      </c>
    </row>
    <row r="211" spans="1:35" ht="37.5" x14ac:dyDescent="0.25">
      <c r="A211" s="10" t="s">
        <v>1052</v>
      </c>
      <c r="B211" s="10"/>
      <c r="C211" s="24" t="s">
        <v>490</v>
      </c>
      <c r="D211" s="15"/>
      <c r="E211" s="15"/>
      <c r="F211" s="25" t="s">
        <v>81</v>
      </c>
      <c r="G211" s="26">
        <v>0.15</v>
      </c>
      <c r="H211" s="26"/>
      <c r="I211" s="26">
        <v>89.289000000000001</v>
      </c>
      <c r="J211" s="28">
        <v>88.8</v>
      </c>
      <c r="M211" s="29">
        <f>ROUND(ROUND(J211, 2)*I211, 2)</f>
        <v>7928.86</v>
      </c>
      <c r="P211" s="30">
        <v>88.8</v>
      </c>
      <c r="S211" s="29">
        <f>ROUND(ROUND(P211, 2)*I211, 2)</f>
        <v>7928.86</v>
      </c>
      <c r="V211" s="9">
        <f>ROUND(ROUND(P211, 2)/1.2, 2)</f>
        <v>74</v>
      </c>
      <c r="Y211" s="9">
        <f t="shared" si="12"/>
        <v>6607.38</v>
      </c>
      <c r="AD211" s="4" t="s">
        <v>1053</v>
      </c>
      <c r="AE211" s="4" t="s">
        <v>1054</v>
      </c>
      <c r="AF211" s="4" t="s">
        <v>493</v>
      </c>
    </row>
    <row r="212" spans="1:35" ht="56.25" x14ac:dyDescent="0.25">
      <c r="A212" s="10" t="s">
        <v>1055</v>
      </c>
      <c r="B212" s="10"/>
      <c r="C212" s="24" t="s">
        <v>859</v>
      </c>
      <c r="D212" s="15"/>
      <c r="E212" s="15" t="s">
        <v>1056</v>
      </c>
      <c r="F212" s="25" t="s">
        <v>81</v>
      </c>
      <c r="G212" s="26">
        <v>5</v>
      </c>
      <c r="H212" s="26"/>
      <c r="I212" s="26">
        <v>2976.3</v>
      </c>
      <c r="J212" s="28">
        <v>23</v>
      </c>
      <c r="M212" s="29">
        <f>ROUND(ROUND(J212, 2)*I212, 2)</f>
        <v>68454.899999999994</v>
      </c>
      <c r="P212" s="30">
        <v>23</v>
      </c>
      <c r="S212" s="29">
        <f>ROUND(ROUND(P212, 2)*I212, 2)</f>
        <v>68454.899999999994</v>
      </c>
      <c r="V212" s="9">
        <f>ROUND(ROUND(P212, 2)/1.2, 2)</f>
        <v>19.170000000000002</v>
      </c>
      <c r="Y212" s="9">
        <f t="shared" si="12"/>
        <v>57045.75</v>
      </c>
      <c r="AD212" s="4" t="s">
        <v>1057</v>
      </c>
      <c r="AE212" s="4" t="s">
        <v>1058</v>
      </c>
      <c r="AF212" s="4" t="s">
        <v>863</v>
      </c>
    </row>
    <row r="213" spans="1:35" ht="37.5" x14ac:dyDescent="0.25">
      <c r="A213" s="10" t="s">
        <v>1059</v>
      </c>
      <c r="B213" s="10" t="s">
        <v>1060</v>
      </c>
      <c r="C213" s="14" t="s">
        <v>1061</v>
      </c>
      <c r="D213" s="15"/>
      <c r="E213" s="15" t="s">
        <v>1062</v>
      </c>
      <c r="F213" s="15" t="s">
        <v>56</v>
      </c>
      <c r="G213" s="16">
        <v>1</v>
      </c>
      <c r="H213" s="16"/>
      <c r="I213" s="16">
        <v>79.16</v>
      </c>
      <c r="J213" s="17">
        <f>IFERROR(ROUND(SUM(M214,M215,M216)/I213, 2),0)</f>
        <v>81.25</v>
      </c>
      <c r="K213" s="18">
        <v>639</v>
      </c>
      <c r="L213" s="17">
        <f>J213+ROUND(K213, 2)</f>
        <v>720.25</v>
      </c>
      <c r="M213" s="17">
        <f>ROUND(J213*I213, 2)</f>
        <v>6431.75</v>
      </c>
      <c r="N213" s="17">
        <f>ROUND(I213*ROUND(K213, 2), 2)</f>
        <v>50583.24</v>
      </c>
      <c r="O213" s="17">
        <f>M213+N213</f>
        <v>57014.99</v>
      </c>
      <c r="P213" s="17">
        <f>IFERROR(ROUND(SUM(S214,S215,S216)/I213, 2),0)</f>
        <v>81.25</v>
      </c>
      <c r="Q213" s="19">
        <v>639</v>
      </c>
      <c r="R213" s="17">
        <f>P213+ROUND(Q213, 2)</f>
        <v>720.25</v>
      </c>
      <c r="S213" s="17">
        <f>ROUND(P213*I213, 2)</f>
        <v>6431.75</v>
      </c>
      <c r="T213" s="17">
        <f>ROUND(I213*ROUND(Q213, 2), 2)</f>
        <v>50583.24</v>
      </c>
      <c r="U213" s="17">
        <f>S213+T213</f>
        <v>57014.99</v>
      </c>
      <c r="V213" s="9">
        <f>ROUND(P213 / 1.2, 2)</f>
        <v>67.709999999999994</v>
      </c>
      <c r="W213" s="9">
        <f>ROUND(Q213 / 1.2, 2)</f>
        <v>532.5</v>
      </c>
      <c r="X213" s="9">
        <f>ROUND(R213 / 1.2, 2)</f>
        <v>600.21</v>
      </c>
      <c r="Y213" s="9">
        <f t="shared" si="12"/>
        <v>5359.79</v>
      </c>
      <c r="Z213" s="9">
        <f>ROUND(T213 / 1.2, 2)</f>
        <v>42152.7</v>
      </c>
      <c r="AA213" s="9">
        <f>Y213+Z213</f>
        <v>47512.49</v>
      </c>
      <c r="AD213" s="4">
        <v>264030295</v>
      </c>
      <c r="AE213" s="4">
        <v>19916865</v>
      </c>
      <c r="AG213" s="4" t="s">
        <v>1063</v>
      </c>
      <c r="AH213" s="4" t="s">
        <v>1064</v>
      </c>
      <c r="AI213" s="4" t="s">
        <v>249</v>
      </c>
    </row>
    <row r="214" spans="1:35" ht="56.25" x14ac:dyDescent="0.25">
      <c r="A214" s="10" t="s">
        <v>1065</v>
      </c>
      <c r="B214" s="10"/>
      <c r="C214" s="24" t="s">
        <v>859</v>
      </c>
      <c r="D214" s="15"/>
      <c r="E214" s="15" t="s">
        <v>860</v>
      </c>
      <c r="F214" s="25" t="s">
        <v>81</v>
      </c>
      <c r="G214" s="26">
        <v>2</v>
      </c>
      <c r="H214" s="26"/>
      <c r="I214" s="26">
        <v>158.32</v>
      </c>
      <c r="J214" s="28">
        <v>23</v>
      </c>
      <c r="M214" s="29">
        <f>ROUND(ROUND(J214, 2)*I214, 2)</f>
        <v>3641.36</v>
      </c>
      <c r="P214" s="30">
        <v>23</v>
      </c>
      <c r="S214" s="29">
        <f>ROUND(ROUND(P214, 2)*I214, 2)</f>
        <v>3641.36</v>
      </c>
      <c r="V214" s="9">
        <f>ROUND(ROUND(P214, 2)/1.2, 2)</f>
        <v>19.170000000000002</v>
      </c>
      <c r="Y214" s="9">
        <f t="shared" si="12"/>
        <v>3034.47</v>
      </c>
      <c r="AD214" s="4" t="s">
        <v>1066</v>
      </c>
      <c r="AE214" s="4" t="s">
        <v>1067</v>
      </c>
      <c r="AF214" s="4" t="s">
        <v>863</v>
      </c>
    </row>
    <row r="215" spans="1:35" ht="56.25" x14ac:dyDescent="0.25">
      <c r="A215" s="10" t="s">
        <v>1068</v>
      </c>
      <c r="B215" s="10"/>
      <c r="C215" s="24" t="s">
        <v>1069</v>
      </c>
      <c r="D215" s="15"/>
      <c r="E215" s="15"/>
      <c r="F215" s="25" t="s">
        <v>103</v>
      </c>
      <c r="G215" s="26">
        <v>0.3</v>
      </c>
      <c r="H215" s="26"/>
      <c r="I215" s="26">
        <v>23.748000000000001</v>
      </c>
      <c r="J215" s="28">
        <v>73.099999999999994</v>
      </c>
      <c r="M215" s="29">
        <f>ROUND(ROUND(J215, 2)*I215, 2)</f>
        <v>1735.98</v>
      </c>
      <c r="P215" s="30">
        <v>73.099999999999994</v>
      </c>
      <c r="S215" s="29">
        <f>ROUND(ROUND(P215, 2)*I215, 2)</f>
        <v>1735.98</v>
      </c>
      <c r="V215" s="9">
        <f>ROUND(ROUND(P215, 2)/1.2, 2)</f>
        <v>60.92</v>
      </c>
      <c r="Y215" s="9">
        <f t="shared" si="12"/>
        <v>1446.65</v>
      </c>
      <c r="AD215" s="4" t="s">
        <v>1070</v>
      </c>
      <c r="AE215" s="4" t="s">
        <v>1071</v>
      </c>
      <c r="AF215" s="4" t="s">
        <v>1072</v>
      </c>
    </row>
    <row r="216" spans="1:35" ht="37.5" x14ac:dyDescent="0.25">
      <c r="A216" s="10" t="s">
        <v>1073</v>
      </c>
      <c r="B216" s="10"/>
      <c r="C216" s="24" t="s">
        <v>490</v>
      </c>
      <c r="D216" s="15"/>
      <c r="E216" s="15"/>
      <c r="F216" s="25" t="s">
        <v>81</v>
      </c>
      <c r="G216" s="26">
        <v>0.15</v>
      </c>
      <c r="H216" s="26"/>
      <c r="I216" s="26">
        <v>11.874000000000001</v>
      </c>
      <c r="J216" s="28">
        <v>88.8</v>
      </c>
      <c r="M216" s="29">
        <f>ROUND(ROUND(J216, 2)*I216, 2)</f>
        <v>1054.4100000000001</v>
      </c>
      <c r="P216" s="30">
        <v>88.8</v>
      </c>
      <c r="S216" s="29">
        <f>ROUND(ROUND(P216, 2)*I216, 2)</f>
        <v>1054.4100000000001</v>
      </c>
      <c r="V216" s="9">
        <f>ROUND(ROUND(P216, 2)/1.2, 2)</f>
        <v>74</v>
      </c>
      <c r="Y216" s="9">
        <f t="shared" si="12"/>
        <v>878.68</v>
      </c>
      <c r="AD216" s="4" t="s">
        <v>1074</v>
      </c>
      <c r="AE216" s="4" t="s">
        <v>1075</v>
      </c>
      <c r="AF216" s="4" t="s">
        <v>493</v>
      </c>
    </row>
    <row r="217" spans="1:35" ht="37.5" x14ac:dyDescent="0.25">
      <c r="A217" s="10" t="s">
        <v>1076</v>
      </c>
      <c r="B217" s="10" t="s">
        <v>1060</v>
      </c>
      <c r="C217" s="14" t="s">
        <v>1061</v>
      </c>
      <c r="D217" s="15"/>
      <c r="E217" s="15" t="s">
        <v>1077</v>
      </c>
      <c r="F217" s="15" t="s">
        <v>56</v>
      </c>
      <c r="G217" s="16">
        <v>1</v>
      </c>
      <c r="H217" s="16"/>
      <c r="I217" s="16">
        <v>79.16</v>
      </c>
      <c r="J217" s="17">
        <f>IFERROR(ROUND(SUM(M218,M219)/I217, 2),0)</f>
        <v>59.32</v>
      </c>
      <c r="K217" s="18">
        <v>639</v>
      </c>
      <c r="L217" s="17">
        <f>J217+ROUND(K217, 2)</f>
        <v>698.32</v>
      </c>
      <c r="M217" s="17">
        <f>ROUND(J217*I217, 2)</f>
        <v>4695.7700000000004</v>
      </c>
      <c r="N217" s="17">
        <f>ROUND(I217*ROUND(K217, 2), 2)</f>
        <v>50583.24</v>
      </c>
      <c r="O217" s="17">
        <f>M217+N217</f>
        <v>55279.01</v>
      </c>
      <c r="P217" s="17">
        <f>IFERROR(ROUND(SUM(S218,S219)/I217, 2),0)</f>
        <v>59.32</v>
      </c>
      <c r="Q217" s="19">
        <v>639</v>
      </c>
      <c r="R217" s="17">
        <f>P217+ROUND(Q217, 2)</f>
        <v>698.32</v>
      </c>
      <c r="S217" s="17">
        <f>ROUND(P217*I217, 2)</f>
        <v>4695.7700000000004</v>
      </c>
      <c r="T217" s="17">
        <f>ROUND(I217*ROUND(Q217, 2), 2)</f>
        <v>50583.24</v>
      </c>
      <c r="U217" s="17">
        <f>S217+T217</f>
        <v>55279.01</v>
      </c>
      <c r="V217" s="9">
        <f>ROUND(P217 / 1.2, 2)</f>
        <v>49.43</v>
      </c>
      <c r="W217" s="9">
        <f>ROUND(Q217 / 1.2, 2)</f>
        <v>532.5</v>
      </c>
      <c r="X217" s="9">
        <f>ROUND(R217 / 1.2, 2)</f>
        <v>581.92999999999995</v>
      </c>
      <c r="Y217" s="9">
        <f t="shared" si="12"/>
        <v>3913.14</v>
      </c>
      <c r="Z217" s="9">
        <f>ROUND(T217 / 1.2, 2)</f>
        <v>42152.7</v>
      </c>
      <c r="AA217" s="9">
        <f>Y217+Z217</f>
        <v>46065.84</v>
      </c>
      <c r="AD217" s="4">
        <v>264030388</v>
      </c>
      <c r="AE217" s="4">
        <v>19916872</v>
      </c>
      <c r="AG217" s="4" t="s">
        <v>1063</v>
      </c>
      <c r="AH217" s="4" t="s">
        <v>1064</v>
      </c>
      <c r="AI217" s="4" t="s">
        <v>249</v>
      </c>
    </row>
    <row r="218" spans="1:35" ht="37.5" x14ac:dyDescent="0.25">
      <c r="A218" s="10" t="s">
        <v>1078</v>
      </c>
      <c r="B218" s="10"/>
      <c r="C218" s="24" t="s">
        <v>490</v>
      </c>
      <c r="D218" s="15"/>
      <c r="E218" s="15"/>
      <c r="F218" s="25" t="s">
        <v>81</v>
      </c>
      <c r="G218" s="26">
        <v>0.15</v>
      </c>
      <c r="H218" s="26"/>
      <c r="I218" s="26">
        <v>11.874000000000001</v>
      </c>
      <c r="J218" s="28">
        <v>88.8</v>
      </c>
      <c r="M218" s="29">
        <f>ROUND(ROUND(J218, 2)*I218, 2)</f>
        <v>1054.4100000000001</v>
      </c>
      <c r="P218" s="30">
        <v>88.8</v>
      </c>
      <c r="S218" s="29">
        <f>ROUND(ROUND(P218, 2)*I218, 2)</f>
        <v>1054.4100000000001</v>
      </c>
      <c r="V218" s="9">
        <f>ROUND(ROUND(P218, 2)/1.2, 2)</f>
        <v>74</v>
      </c>
      <c r="Y218" s="9">
        <f t="shared" si="12"/>
        <v>878.68</v>
      </c>
      <c r="AD218" s="4" t="s">
        <v>1079</v>
      </c>
      <c r="AE218" s="4" t="s">
        <v>1080</v>
      </c>
      <c r="AF218" s="4" t="s">
        <v>493</v>
      </c>
    </row>
    <row r="219" spans="1:35" ht="56.25" x14ac:dyDescent="0.25">
      <c r="A219" s="10" t="s">
        <v>1081</v>
      </c>
      <c r="B219" s="10"/>
      <c r="C219" s="24" t="s">
        <v>859</v>
      </c>
      <c r="D219" s="15"/>
      <c r="E219" s="15" t="s">
        <v>1056</v>
      </c>
      <c r="F219" s="25" t="s">
        <v>81</v>
      </c>
      <c r="G219" s="26">
        <v>2</v>
      </c>
      <c r="H219" s="26"/>
      <c r="I219" s="26">
        <v>158.32</v>
      </c>
      <c r="J219" s="28">
        <v>23</v>
      </c>
      <c r="M219" s="29">
        <f>ROUND(ROUND(J219, 2)*I219, 2)</f>
        <v>3641.36</v>
      </c>
      <c r="P219" s="30">
        <v>23</v>
      </c>
      <c r="S219" s="29">
        <f>ROUND(ROUND(P219, 2)*I219, 2)</f>
        <v>3641.36</v>
      </c>
      <c r="V219" s="9">
        <f>ROUND(ROUND(P219, 2)/1.2, 2)</f>
        <v>19.170000000000002</v>
      </c>
      <c r="Y219" s="9">
        <f t="shared" si="12"/>
        <v>3034.47</v>
      </c>
      <c r="AD219" s="4" t="s">
        <v>1082</v>
      </c>
      <c r="AE219" s="4" t="s">
        <v>1083</v>
      </c>
      <c r="AF219" s="4" t="s">
        <v>863</v>
      </c>
    </row>
    <row r="220" spans="1:35" ht="37.5" x14ac:dyDescent="0.25">
      <c r="A220" s="10" t="s">
        <v>1084</v>
      </c>
      <c r="B220" s="10" t="s">
        <v>1060</v>
      </c>
      <c r="C220" s="14" t="s">
        <v>1061</v>
      </c>
      <c r="D220" s="15"/>
      <c r="E220" s="15" t="s">
        <v>1085</v>
      </c>
      <c r="F220" s="15" t="s">
        <v>56</v>
      </c>
      <c r="G220" s="16">
        <v>1</v>
      </c>
      <c r="H220" s="16"/>
      <c r="I220" s="16">
        <v>0.1</v>
      </c>
      <c r="J220" s="17">
        <f>IFERROR(ROUND(SUM(M221,M222,M223)/I220, 2),0)</f>
        <v>81.2</v>
      </c>
      <c r="K220" s="18">
        <v>639</v>
      </c>
      <c r="L220" s="17">
        <f>J220+ROUND(K220, 2)</f>
        <v>720.2</v>
      </c>
      <c r="M220" s="17">
        <f>ROUND(J220*I220, 2)</f>
        <v>8.1199999999999992</v>
      </c>
      <c r="N220" s="17">
        <f>ROUND(I220*ROUND(K220, 2), 2)</f>
        <v>63.9</v>
      </c>
      <c r="O220" s="17">
        <f>M220+N220</f>
        <v>72.02</v>
      </c>
      <c r="P220" s="17">
        <f>IFERROR(ROUND(SUM(S221,S222,S223)/I220, 2),0)</f>
        <v>81.2</v>
      </c>
      <c r="Q220" s="19">
        <v>639</v>
      </c>
      <c r="R220" s="17">
        <f>P220+ROUND(Q220, 2)</f>
        <v>720.2</v>
      </c>
      <c r="S220" s="17">
        <f>ROUND(P220*I220, 2)</f>
        <v>8.1199999999999992</v>
      </c>
      <c r="T220" s="17">
        <f>ROUND(I220*ROUND(Q220, 2), 2)</f>
        <v>63.9</v>
      </c>
      <c r="U220" s="17">
        <f>S220+T220</f>
        <v>72.02</v>
      </c>
      <c r="V220" s="9">
        <f>ROUND(P220 / 1.2, 2)</f>
        <v>67.67</v>
      </c>
      <c r="W220" s="9">
        <f>ROUND(Q220 / 1.2, 2)</f>
        <v>532.5</v>
      </c>
      <c r="X220" s="9">
        <f>ROUND(R220 / 1.2, 2)</f>
        <v>600.16999999999996</v>
      </c>
      <c r="Y220" s="9">
        <f t="shared" si="12"/>
        <v>6.77</v>
      </c>
      <c r="Z220" s="9">
        <f>ROUND(T220 / 1.2, 2)</f>
        <v>53.25</v>
      </c>
      <c r="AA220" s="9">
        <f>Y220+Z220</f>
        <v>60.02</v>
      </c>
      <c r="AD220" s="4">
        <v>264030389</v>
      </c>
      <c r="AE220" s="4">
        <v>19916870</v>
      </c>
      <c r="AG220" s="4" t="s">
        <v>1063</v>
      </c>
      <c r="AH220" s="4" t="s">
        <v>1064</v>
      </c>
      <c r="AI220" s="4" t="s">
        <v>249</v>
      </c>
    </row>
    <row r="221" spans="1:35" ht="56.25" x14ac:dyDescent="0.25">
      <c r="A221" s="10" t="s">
        <v>1086</v>
      </c>
      <c r="B221" s="10"/>
      <c r="C221" s="24" t="s">
        <v>859</v>
      </c>
      <c r="D221" s="15"/>
      <c r="E221" s="15" t="s">
        <v>860</v>
      </c>
      <c r="F221" s="25" t="s">
        <v>81</v>
      </c>
      <c r="G221" s="26">
        <v>2</v>
      </c>
      <c r="H221" s="26"/>
      <c r="I221" s="26">
        <v>0.2</v>
      </c>
      <c r="J221" s="28">
        <v>23</v>
      </c>
      <c r="M221" s="29">
        <f>ROUND(ROUND(J221, 2)*I221, 2)</f>
        <v>4.5999999999999996</v>
      </c>
      <c r="P221" s="30">
        <v>23</v>
      </c>
      <c r="S221" s="29">
        <f>ROUND(ROUND(P221, 2)*I221, 2)</f>
        <v>4.5999999999999996</v>
      </c>
      <c r="V221" s="9">
        <f>ROUND(ROUND(P221, 2)/1.2, 2)</f>
        <v>19.170000000000002</v>
      </c>
      <c r="Y221" s="9">
        <f t="shared" si="12"/>
        <v>3.83</v>
      </c>
      <c r="AD221" s="4" t="s">
        <v>1087</v>
      </c>
      <c r="AE221" s="4" t="s">
        <v>1088</v>
      </c>
      <c r="AF221" s="4" t="s">
        <v>863</v>
      </c>
    </row>
    <row r="222" spans="1:35" ht="56.25" x14ac:dyDescent="0.25">
      <c r="A222" s="10" t="s">
        <v>1089</v>
      </c>
      <c r="B222" s="10"/>
      <c r="C222" s="24" t="s">
        <v>1069</v>
      </c>
      <c r="D222" s="15"/>
      <c r="E222" s="15"/>
      <c r="F222" s="25" t="s">
        <v>103</v>
      </c>
      <c r="G222" s="26">
        <v>0.3</v>
      </c>
      <c r="H222" s="26"/>
      <c r="I222" s="26">
        <v>0.03</v>
      </c>
      <c r="J222" s="28">
        <v>73.099999999999994</v>
      </c>
      <c r="M222" s="29">
        <f>ROUND(ROUND(J222, 2)*I222, 2)</f>
        <v>2.19</v>
      </c>
      <c r="P222" s="30">
        <v>73.099999999999994</v>
      </c>
      <c r="S222" s="29">
        <f>ROUND(ROUND(P222, 2)*I222, 2)</f>
        <v>2.19</v>
      </c>
      <c r="V222" s="9">
        <f>ROUND(ROUND(P222, 2)/1.2, 2)</f>
        <v>60.92</v>
      </c>
      <c r="Y222" s="9">
        <f t="shared" si="12"/>
        <v>1.83</v>
      </c>
      <c r="AD222" s="4" t="s">
        <v>1090</v>
      </c>
      <c r="AE222" s="4" t="s">
        <v>1091</v>
      </c>
      <c r="AF222" s="4" t="s">
        <v>1072</v>
      </c>
    </row>
    <row r="223" spans="1:35" ht="37.5" x14ac:dyDescent="0.25">
      <c r="A223" s="10" t="s">
        <v>1092</v>
      </c>
      <c r="B223" s="10"/>
      <c r="C223" s="24" t="s">
        <v>490</v>
      </c>
      <c r="D223" s="15"/>
      <c r="E223" s="15"/>
      <c r="F223" s="25" t="s">
        <v>81</v>
      </c>
      <c r="G223" s="26">
        <v>0.15</v>
      </c>
      <c r="H223" s="26"/>
      <c r="I223" s="26">
        <v>1.4999999999999999E-2</v>
      </c>
      <c r="J223" s="28">
        <v>88.8</v>
      </c>
      <c r="M223" s="29">
        <f>ROUND(ROUND(J223, 2)*I223, 2)</f>
        <v>1.33</v>
      </c>
      <c r="P223" s="30">
        <v>88.8</v>
      </c>
      <c r="S223" s="29">
        <f>ROUND(ROUND(P223, 2)*I223, 2)</f>
        <v>1.33</v>
      </c>
      <c r="V223" s="9">
        <f>ROUND(ROUND(P223, 2)/1.2, 2)</f>
        <v>74</v>
      </c>
      <c r="Y223" s="9">
        <f t="shared" si="12"/>
        <v>1.1100000000000001</v>
      </c>
      <c r="AD223" s="4" t="s">
        <v>1093</v>
      </c>
      <c r="AE223" s="4" t="s">
        <v>1094</v>
      </c>
      <c r="AF223" s="4" t="s">
        <v>493</v>
      </c>
    </row>
    <row r="224" spans="1:35" ht="37.5" x14ac:dyDescent="0.25">
      <c r="A224" s="10" t="s">
        <v>1095</v>
      </c>
      <c r="B224" s="10" t="s">
        <v>1060</v>
      </c>
      <c r="C224" s="14" t="s">
        <v>1061</v>
      </c>
      <c r="D224" s="15"/>
      <c r="E224" s="15" t="s">
        <v>1096</v>
      </c>
      <c r="F224" s="15" t="s">
        <v>56</v>
      </c>
      <c r="G224" s="16">
        <v>1</v>
      </c>
      <c r="H224" s="16"/>
      <c r="I224" s="16">
        <v>0.1</v>
      </c>
      <c r="J224" s="17">
        <f>IFERROR(ROUND(SUM(M225,M226)/I224, 2),0)</f>
        <v>59.3</v>
      </c>
      <c r="K224" s="18">
        <v>639</v>
      </c>
      <c r="L224" s="17">
        <f>J224+ROUND(K224, 2)</f>
        <v>698.3</v>
      </c>
      <c r="M224" s="17">
        <f>ROUND(J224*I224, 2)</f>
        <v>5.93</v>
      </c>
      <c r="N224" s="17">
        <f>ROUND(I224*ROUND(K224, 2), 2)</f>
        <v>63.9</v>
      </c>
      <c r="O224" s="17">
        <f>M224+N224</f>
        <v>69.83</v>
      </c>
      <c r="P224" s="17">
        <f>IFERROR(ROUND(SUM(S225,S226)/I224, 2),0)</f>
        <v>59.3</v>
      </c>
      <c r="Q224" s="19">
        <v>639</v>
      </c>
      <c r="R224" s="17">
        <f>P224+ROUND(Q224, 2)</f>
        <v>698.3</v>
      </c>
      <c r="S224" s="17">
        <f>ROUND(P224*I224, 2)</f>
        <v>5.93</v>
      </c>
      <c r="T224" s="17">
        <f>ROUND(I224*ROUND(Q224, 2), 2)</f>
        <v>63.9</v>
      </c>
      <c r="U224" s="17">
        <f>S224+T224</f>
        <v>69.83</v>
      </c>
      <c r="V224" s="9">
        <f>ROUND(P224 / 1.2, 2)</f>
        <v>49.42</v>
      </c>
      <c r="W224" s="9">
        <f>ROUND(Q224 / 1.2, 2)</f>
        <v>532.5</v>
      </c>
      <c r="X224" s="9">
        <f>ROUND(R224 / 1.2, 2)</f>
        <v>581.91999999999996</v>
      </c>
      <c r="Y224" s="9">
        <f t="shared" si="12"/>
        <v>4.9400000000000004</v>
      </c>
      <c r="Z224" s="9">
        <f>ROUND(T224 / 1.2, 2)</f>
        <v>53.25</v>
      </c>
      <c r="AA224" s="9">
        <f>Y224+Z224</f>
        <v>58.19</v>
      </c>
      <c r="AD224" s="4">
        <v>264030390</v>
      </c>
      <c r="AE224" s="4">
        <v>19916877</v>
      </c>
      <c r="AG224" s="4" t="s">
        <v>1063</v>
      </c>
      <c r="AH224" s="4" t="s">
        <v>1064</v>
      </c>
      <c r="AI224" s="4" t="s">
        <v>249</v>
      </c>
    </row>
    <row r="225" spans="1:35" ht="37.5" x14ac:dyDescent="0.25">
      <c r="A225" s="10" t="s">
        <v>1097</v>
      </c>
      <c r="B225" s="10"/>
      <c r="C225" s="24" t="s">
        <v>490</v>
      </c>
      <c r="D225" s="15"/>
      <c r="E225" s="15"/>
      <c r="F225" s="25" t="s">
        <v>81</v>
      </c>
      <c r="G225" s="26">
        <v>0.15</v>
      </c>
      <c r="H225" s="26"/>
      <c r="I225" s="26">
        <v>1.4999999999999999E-2</v>
      </c>
      <c r="J225" s="28">
        <v>88.8</v>
      </c>
      <c r="M225" s="29">
        <f>ROUND(ROUND(J225, 2)*I225, 2)</f>
        <v>1.33</v>
      </c>
      <c r="P225" s="30">
        <v>88.8</v>
      </c>
      <c r="S225" s="29">
        <f>ROUND(ROUND(P225, 2)*I225, 2)</f>
        <v>1.33</v>
      </c>
      <c r="V225" s="9">
        <f>ROUND(ROUND(P225, 2)/1.2, 2)</f>
        <v>74</v>
      </c>
      <c r="Y225" s="9">
        <f t="shared" si="12"/>
        <v>1.1100000000000001</v>
      </c>
      <c r="AD225" s="4" t="s">
        <v>1098</v>
      </c>
      <c r="AE225" s="4" t="s">
        <v>1099</v>
      </c>
      <c r="AF225" s="4" t="s">
        <v>493</v>
      </c>
    </row>
    <row r="226" spans="1:35" ht="56.25" x14ac:dyDescent="0.25">
      <c r="A226" s="10" t="s">
        <v>1100</v>
      </c>
      <c r="B226" s="10"/>
      <c r="C226" s="24" t="s">
        <v>859</v>
      </c>
      <c r="D226" s="15"/>
      <c r="E226" s="15" t="s">
        <v>1056</v>
      </c>
      <c r="F226" s="25" t="s">
        <v>81</v>
      </c>
      <c r="G226" s="26">
        <v>2</v>
      </c>
      <c r="H226" s="26"/>
      <c r="I226" s="26">
        <v>0.2</v>
      </c>
      <c r="J226" s="28">
        <v>23</v>
      </c>
      <c r="M226" s="29">
        <f>ROUND(ROUND(J226, 2)*I226, 2)</f>
        <v>4.5999999999999996</v>
      </c>
      <c r="P226" s="30">
        <v>23</v>
      </c>
      <c r="S226" s="29">
        <f>ROUND(ROUND(P226, 2)*I226, 2)</f>
        <v>4.5999999999999996</v>
      </c>
      <c r="V226" s="9">
        <f>ROUND(ROUND(P226, 2)/1.2, 2)</f>
        <v>19.170000000000002</v>
      </c>
      <c r="Y226" s="9">
        <f t="shared" si="12"/>
        <v>3.83</v>
      </c>
      <c r="AD226" s="4" t="s">
        <v>1101</v>
      </c>
      <c r="AE226" s="4" t="s">
        <v>1102</v>
      </c>
      <c r="AF226" s="4" t="s">
        <v>863</v>
      </c>
    </row>
    <row r="227" spans="1:35" ht="37.5" x14ac:dyDescent="0.25">
      <c r="A227" s="10" t="s">
        <v>1103</v>
      </c>
      <c r="B227" s="10" t="s">
        <v>1060</v>
      </c>
      <c r="C227" s="14" t="s">
        <v>1061</v>
      </c>
      <c r="D227" s="15"/>
      <c r="E227" s="15" t="s">
        <v>1051</v>
      </c>
      <c r="F227" s="15" t="s">
        <v>56</v>
      </c>
      <c r="G227" s="16">
        <v>1</v>
      </c>
      <c r="H227" s="16"/>
      <c r="I227" s="16">
        <v>66.28</v>
      </c>
      <c r="J227" s="17">
        <f>IFERROR(ROUND(SUM(M228,M229)/I227, 2),0)</f>
        <v>59.32</v>
      </c>
      <c r="K227" s="18">
        <v>639</v>
      </c>
      <c r="L227" s="17">
        <f>J227+ROUND(K227, 2)</f>
        <v>698.32</v>
      </c>
      <c r="M227" s="17">
        <f>ROUND(J227*I227, 2)</f>
        <v>3931.73</v>
      </c>
      <c r="N227" s="17">
        <f>ROUND(I227*ROUND(K227, 2), 2)</f>
        <v>42352.92</v>
      </c>
      <c r="O227" s="17">
        <f>M227+N227</f>
        <v>46284.65</v>
      </c>
      <c r="P227" s="17">
        <f>IFERROR(ROUND(SUM(S228,S229)/I227, 2),0)</f>
        <v>59.32</v>
      </c>
      <c r="Q227" s="19">
        <v>639</v>
      </c>
      <c r="R227" s="17">
        <f>P227+ROUND(Q227, 2)</f>
        <v>698.32</v>
      </c>
      <c r="S227" s="17">
        <f>ROUND(P227*I227, 2)</f>
        <v>3931.73</v>
      </c>
      <c r="T227" s="17">
        <f>ROUND(I227*ROUND(Q227, 2), 2)</f>
        <v>42352.92</v>
      </c>
      <c r="U227" s="17">
        <f>S227+T227</f>
        <v>46284.65</v>
      </c>
      <c r="V227" s="9">
        <f>ROUND(P227 / 1.2, 2)</f>
        <v>49.43</v>
      </c>
      <c r="W227" s="9">
        <f>ROUND(Q227 / 1.2, 2)</f>
        <v>532.5</v>
      </c>
      <c r="X227" s="9">
        <f>ROUND(R227 / 1.2, 2)</f>
        <v>581.92999999999995</v>
      </c>
      <c r="Y227" s="9">
        <f t="shared" si="12"/>
        <v>3276.44</v>
      </c>
      <c r="Z227" s="9">
        <f>ROUND(T227 / 1.2, 2)</f>
        <v>35294.1</v>
      </c>
      <c r="AA227" s="9">
        <f>Y227+Z227</f>
        <v>38570.54</v>
      </c>
      <c r="AD227" s="4">
        <v>264030391</v>
      </c>
      <c r="AE227" s="4">
        <v>19916874</v>
      </c>
      <c r="AG227" s="4" t="s">
        <v>1063</v>
      </c>
      <c r="AH227" s="4" t="s">
        <v>1064</v>
      </c>
      <c r="AI227" s="4" t="s">
        <v>249</v>
      </c>
    </row>
    <row r="228" spans="1:35" ht="56.25" x14ac:dyDescent="0.25">
      <c r="A228" s="10" t="s">
        <v>1104</v>
      </c>
      <c r="B228" s="10"/>
      <c r="C228" s="24" t="s">
        <v>859</v>
      </c>
      <c r="D228" s="15"/>
      <c r="E228" s="15" t="s">
        <v>1056</v>
      </c>
      <c r="F228" s="25" t="s">
        <v>81</v>
      </c>
      <c r="G228" s="26">
        <v>2</v>
      </c>
      <c r="H228" s="26"/>
      <c r="I228" s="26">
        <v>132.56</v>
      </c>
      <c r="J228" s="28">
        <v>23</v>
      </c>
      <c r="M228" s="29">
        <f>ROUND(ROUND(J228, 2)*I228, 2)</f>
        <v>3048.88</v>
      </c>
      <c r="P228" s="30">
        <v>23</v>
      </c>
      <c r="S228" s="29">
        <f>ROUND(ROUND(P228, 2)*I228, 2)</f>
        <v>3048.88</v>
      </c>
      <c r="V228" s="9">
        <f>ROUND(ROUND(P228, 2)/1.2, 2)</f>
        <v>19.170000000000002</v>
      </c>
      <c r="Y228" s="9">
        <f t="shared" ref="Y228:Y259" si="13">ROUND(S228 / 1.2, 2)</f>
        <v>2540.73</v>
      </c>
      <c r="AD228" s="4" t="s">
        <v>1105</v>
      </c>
      <c r="AE228" s="4" t="s">
        <v>1106</v>
      </c>
      <c r="AF228" s="4" t="s">
        <v>863</v>
      </c>
    </row>
    <row r="229" spans="1:35" ht="37.5" x14ac:dyDescent="0.25">
      <c r="A229" s="10" t="s">
        <v>1107</v>
      </c>
      <c r="B229" s="10"/>
      <c r="C229" s="24" t="s">
        <v>490</v>
      </c>
      <c r="D229" s="15"/>
      <c r="E229" s="15"/>
      <c r="F229" s="25" t="s">
        <v>81</v>
      </c>
      <c r="G229" s="26">
        <v>0.15</v>
      </c>
      <c r="H229" s="26"/>
      <c r="I229" s="26">
        <v>9.9420000000000002</v>
      </c>
      <c r="J229" s="28">
        <v>88.8</v>
      </c>
      <c r="M229" s="29">
        <f>ROUND(ROUND(J229, 2)*I229, 2)</f>
        <v>882.85</v>
      </c>
      <c r="P229" s="30">
        <v>88.8</v>
      </c>
      <c r="S229" s="29">
        <f>ROUND(ROUND(P229, 2)*I229, 2)</f>
        <v>882.85</v>
      </c>
      <c r="V229" s="9">
        <f>ROUND(ROUND(P229, 2)/1.2, 2)</f>
        <v>74</v>
      </c>
      <c r="Y229" s="9">
        <f t="shared" si="13"/>
        <v>735.71</v>
      </c>
      <c r="AD229" s="4" t="s">
        <v>1108</v>
      </c>
      <c r="AE229" s="4" t="s">
        <v>1109</v>
      </c>
      <c r="AF229" s="4" t="s">
        <v>493</v>
      </c>
    </row>
    <row r="230" spans="1:35" ht="37.5" x14ac:dyDescent="0.25">
      <c r="A230" s="10" t="s">
        <v>1110</v>
      </c>
      <c r="B230" s="10" t="s">
        <v>1060</v>
      </c>
      <c r="C230" s="14" t="s">
        <v>1061</v>
      </c>
      <c r="D230" s="15"/>
      <c r="E230" s="15" t="s">
        <v>1041</v>
      </c>
      <c r="F230" s="15" t="s">
        <v>56</v>
      </c>
      <c r="G230" s="16">
        <v>1</v>
      </c>
      <c r="H230" s="16"/>
      <c r="I230" s="16">
        <v>66.28</v>
      </c>
      <c r="J230" s="17">
        <f>IFERROR(ROUND(SUM(M231,M232,M233)/I230, 2),0)</f>
        <v>81.25</v>
      </c>
      <c r="K230" s="18">
        <v>639</v>
      </c>
      <c r="L230" s="17">
        <f>J230+ROUND(K230, 2)</f>
        <v>720.25</v>
      </c>
      <c r="M230" s="17">
        <f>ROUND(J230*I230, 2)</f>
        <v>5385.25</v>
      </c>
      <c r="N230" s="17">
        <f>ROUND(I230*ROUND(K230, 2), 2)</f>
        <v>42352.92</v>
      </c>
      <c r="O230" s="17">
        <f>M230+N230</f>
        <v>47738.17</v>
      </c>
      <c r="P230" s="17">
        <f>IFERROR(ROUND(SUM(S231,S232,S233)/I230, 2),0)</f>
        <v>81.25</v>
      </c>
      <c r="Q230" s="19">
        <v>639</v>
      </c>
      <c r="R230" s="17">
        <f>P230+ROUND(Q230, 2)</f>
        <v>720.25</v>
      </c>
      <c r="S230" s="17">
        <f>ROUND(P230*I230, 2)</f>
        <v>5385.25</v>
      </c>
      <c r="T230" s="17">
        <f>ROUND(I230*ROUND(Q230, 2), 2)</f>
        <v>42352.92</v>
      </c>
      <c r="U230" s="17">
        <f>S230+T230</f>
        <v>47738.17</v>
      </c>
      <c r="V230" s="9">
        <f>ROUND(P230 / 1.2, 2)</f>
        <v>67.709999999999994</v>
      </c>
      <c r="W230" s="9">
        <f>ROUND(Q230 / 1.2, 2)</f>
        <v>532.5</v>
      </c>
      <c r="X230" s="9">
        <f>ROUND(R230 / 1.2, 2)</f>
        <v>600.21</v>
      </c>
      <c r="Y230" s="9">
        <f t="shared" si="13"/>
        <v>4487.71</v>
      </c>
      <c r="Z230" s="9">
        <f>ROUND(T230 / 1.2, 2)</f>
        <v>35294.1</v>
      </c>
      <c r="AA230" s="9">
        <f>Y230+Z230</f>
        <v>39781.81</v>
      </c>
      <c r="AD230" s="4">
        <v>264030392</v>
      </c>
      <c r="AE230" s="4">
        <v>19916867</v>
      </c>
      <c r="AG230" s="4" t="s">
        <v>1063</v>
      </c>
      <c r="AH230" s="4" t="s">
        <v>1064</v>
      </c>
      <c r="AI230" s="4" t="s">
        <v>249</v>
      </c>
    </row>
    <row r="231" spans="1:35" ht="37.5" x14ac:dyDescent="0.25">
      <c r="A231" s="10" t="s">
        <v>1111</v>
      </c>
      <c r="B231" s="10"/>
      <c r="C231" s="24" t="s">
        <v>490</v>
      </c>
      <c r="D231" s="15"/>
      <c r="E231" s="15"/>
      <c r="F231" s="25" t="s">
        <v>81</v>
      </c>
      <c r="G231" s="26">
        <v>0.15</v>
      </c>
      <c r="H231" s="26"/>
      <c r="I231" s="26">
        <v>9.9420000000000002</v>
      </c>
      <c r="J231" s="28">
        <v>88.8</v>
      </c>
      <c r="M231" s="29">
        <f>ROUND(ROUND(J231, 2)*I231, 2)</f>
        <v>882.85</v>
      </c>
      <c r="P231" s="30">
        <v>88.8</v>
      </c>
      <c r="S231" s="29">
        <f>ROUND(ROUND(P231, 2)*I231, 2)</f>
        <v>882.85</v>
      </c>
      <c r="V231" s="9">
        <f>ROUND(ROUND(P231, 2)/1.2, 2)</f>
        <v>74</v>
      </c>
      <c r="Y231" s="9">
        <f t="shared" si="13"/>
        <v>735.71</v>
      </c>
      <c r="AD231" s="4" t="s">
        <v>1112</v>
      </c>
      <c r="AE231" s="4" t="s">
        <v>1113</v>
      </c>
      <c r="AF231" s="4" t="s">
        <v>493</v>
      </c>
    </row>
    <row r="232" spans="1:35" ht="56.25" x14ac:dyDescent="0.25">
      <c r="A232" s="10" t="s">
        <v>1114</v>
      </c>
      <c r="B232" s="10"/>
      <c r="C232" s="24" t="s">
        <v>1069</v>
      </c>
      <c r="D232" s="15"/>
      <c r="E232" s="15"/>
      <c r="F232" s="25" t="s">
        <v>103</v>
      </c>
      <c r="G232" s="26">
        <v>0.3</v>
      </c>
      <c r="H232" s="26"/>
      <c r="I232" s="26">
        <v>19.884</v>
      </c>
      <c r="J232" s="28">
        <v>73.099999999999994</v>
      </c>
      <c r="M232" s="29">
        <f>ROUND(ROUND(J232, 2)*I232, 2)</f>
        <v>1453.52</v>
      </c>
      <c r="P232" s="30">
        <v>73.099999999999994</v>
      </c>
      <c r="S232" s="29">
        <f>ROUND(ROUND(P232, 2)*I232, 2)</f>
        <v>1453.52</v>
      </c>
      <c r="V232" s="9">
        <f>ROUND(ROUND(P232, 2)/1.2, 2)</f>
        <v>60.92</v>
      </c>
      <c r="Y232" s="9">
        <f t="shared" si="13"/>
        <v>1211.27</v>
      </c>
      <c r="AD232" s="4" t="s">
        <v>1115</v>
      </c>
      <c r="AE232" s="4" t="s">
        <v>1116</v>
      </c>
      <c r="AF232" s="4" t="s">
        <v>1072</v>
      </c>
    </row>
    <row r="233" spans="1:35" ht="56.25" x14ac:dyDescent="0.25">
      <c r="A233" s="10" t="s">
        <v>1117</v>
      </c>
      <c r="B233" s="10"/>
      <c r="C233" s="24" t="s">
        <v>859</v>
      </c>
      <c r="D233" s="15"/>
      <c r="E233" s="15" t="s">
        <v>860</v>
      </c>
      <c r="F233" s="25" t="s">
        <v>81</v>
      </c>
      <c r="G233" s="26">
        <v>2</v>
      </c>
      <c r="H233" s="26"/>
      <c r="I233" s="26">
        <v>132.56</v>
      </c>
      <c r="J233" s="28">
        <v>23</v>
      </c>
      <c r="M233" s="29">
        <f>ROUND(ROUND(J233, 2)*I233, 2)</f>
        <v>3048.88</v>
      </c>
      <c r="P233" s="30">
        <v>23</v>
      </c>
      <c r="S233" s="29">
        <f>ROUND(ROUND(P233, 2)*I233, 2)</f>
        <v>3048.88</v>
      </c>
      <c r="V233" s="9">
        <f>ROUND(ROUND(P233, 2)/1.2, 2)</f>
        <v>19.170000000000002</v>
      </c>
      <c r="Y233" s="9">
        <f t="shared" si="13"/>
        <v>2540.73</v>
      </c>
      <c r="AD233" s="4" t="s">
        <v>1118</v>
      </c>
      <c r="AE233" s="4" t="s">
        <v>1119</v>
      </c>
      <c r="AF233" s="4" t="s">
        <v>863</v>
      </c>
    </row>
    <row r="234" spans="1:35" ht="37.5" x14ac:dyDescent="0.25">
      <c r="A234" s="10" t="s">
        <v>1120</v>
      </c>
      <c r="B234" s="10" t="s">
        <v>1121</v>
      </c>
      <c r="C234" s="14" t="s">
        <v>1122</v>
      </c>
      <c r="D234" s="15"/>
      <c r="E234" s="15" t="s">
        <v>1062</v>
      </c>
      <c r="F234" s="15" t="s">
        <v>56</v>
      </c>
      <c r="G234" s="16">
        <v>1</v>
      </c>
      <c r="H234" s="16"/>
      <c r="I234" s="16">
        <v>216.42</v>
      </c>
      <c r="J234" s="17">
        <f>IFERROR(ROUND(SUM(M235,M236,M237)/I234, 2),0)</f>
        <v>81.25</v>
      </c>
      <c r="K234" s="18">
        <v>508</v>
      </c>
      <c r="L234" s="17">
        <f>J234+ROUND(K234, 2)</f>
        <v>589.25</v>
      </c>
      <c r="M234" s="17">
        <f>ROUND(J234*I234, 2)</f>
        <v>17584.13</v>
      </c>
      <c r="N234" s="17">
        <f>ROUND(I234*ROUND(K234, 2), 2)</f>
        <v>109941.36</v>
      </c>
      <c r="O234" s="17">
        <f>M234+N234</f>
        <v>127525.49</v>
      </c>
      <c r="P234" s="17">
        <f>IFERROR(ROUND(SUM(S235,S236,S237)/I234, 2),0)</f>
        <v>81.25</v>
      </c>
      <c r="Q234" s="19">
        <v>508</v>
      </c>
      <c r="R234" s="17">
        <f>P234+ROUND(Q234, 2)</f>
        <v>589.25</v>
      </c>
      <c r="S234" s="17">
        <f>ROUND(P234*I234, 2)</f>
        <v>17584.13</v>
      </c>
      <c r="T234" s="17">
        <f>ROUND(I234*ROUND(Q234, 2), 2)</f>
        <v>109941.36</v>
      </c>
      <c r="U234" s="17">
        <f>S234+T234</f>
        <v>127525.49</v>
      </c>
      <c r="V234" s="9">
        <f>ROUND(P234 / 1.2, 2)</f>
        <v>67.709999999999994</v>
      </c>
      <c r="W234" s="9">
        <f>ROUND(Q234 / 1.2, 2)</f>
        <v>423.33</v>
      </c>
      <c r="X234" s="9">
        <f>ROUND(R234 / 1.2, 2)</f>
        <v>491.04</v>
      </c>
      <c r="Y234" s="9">
        <f t="shared" si="13"/>
        <v>14653.44</v>
      </c>
      <c r="Z234" s="9">
        <f>ROUND(T234 / 1.2, 2)</f>
        <v>91617.8</v>
      </c>
      <c r="AA234" s="9">
        <f>Y234+Z234</f>
        <v>106271.24</v>
      </c>
      <c r="AD234" s="4">
        <v>264030296</v>
      </c>
      <c r="AE234" s="4">
        <v>19916866</v>
      </c>
      <c r="AG234" s="4" t="s">
        <v>1123</v>
      </c>
      <c r="AH234" s="4" t="s">
        <v>1124</v>
      </c>
      <c r="AI234" s="4" t="s">
        <v>249</v>
      </c>
    </row>
    <row r="235" spans="1:35" ht="56.25" x14ac:dyDescent="0.25">
      <c r="A235" s="10" t="s">
        <v>1125</v>
      </c>
      <c r="B235" s="10"/>
      <c r="C235" s="24" t="s">
        <v>859</v>
      </c>
      <c r="D235" s="15"/>
      <c r="E235" s="15" t="s">
        <v>860</v>
      </c>
      <c r="F235" s="25" t="s">
        <v>81</v>
      </c>
      <c r="G235" s="26">
        <v>2</v>
      </c>
      <c r="H235" s="26"/>
      <c r="I235" s="26">
        <v>432.84</v>
      </c>
      <c r="J235" s="28">
        <v>23</v>
      </c>
      <c r="M235" s="29">
        <f>ROUND(ROUND(J235, 2)*I235, 2)</f>
        <v>9955.32</v>
      </c>
      <c r="P235" s="30">
        <v>23</v>
      </c>
      <c r="S235" s="29">
        <f>ROUND(ROUND(P235, 2)*I235, 2)</f>
        <v>9955.32</v>
      </c>
      <c r="V235" s="9">
        <f>ROUND(ROUND(P235, 2)/1.2, 2)</f>
        <v>19.170000000000002</v>
      </c>
      <c r="Y235" s="9">
        <f t="shared" si="13"/>
        <v>8296.1</v>
      </c>
      <c r="AD235" s="4" t="s">
        <v>1126</v>
      </c>
      <c r="AE235" s="4" t="s">
        <v>1127</v>
      </c>
      <c r="AF235" s="4" t="s">
        <v>863</v>
      </c>
    </row>
    <row r="236" spans="1:35" ht="18.75" x14ac:dyDescent="0.25">
      <c r="A236" s="10" t="s">
        <v>1128</v>
      </c>
      <c r="B236" s="10"/>
      <c r="C236" s="24" t="s">
        <v>865</v>
      </c>
      <c r="D236" s="15"/>
      <c r="E236" s="15"/>
      <c r="F236" s="25" t="s">
        <v>103</v>
      </c>
      <c r="G236" s="26">
        <v>0.3</v>
      </c>
      <c r="H236" s="26"/>
      <c r="I236" s="26">
        <v>64.926000000000002</v>
      </c>
      <c r="J236" s="28">
        <v>73.099999999999994</v>
      </c>
      <c r="M236" s="29">
        <f>ROUND(ROUND(J236, 2)*I236, 2)</f>
        <v>4746.09</v>
      </c>
      <c r="P236" s="30">
        <v>73.099999999999994</v>
      </c>
      <c r="S236" s="29">
        <f>ROUND(ROUND(P236, 2)*I236, 2)</f>
        <v>4746.09</v>
      </c>
      <c r="V236" s="9">
        <f>ROUND(ROUND(P236, 2)/1.2, 2)</f>
        <v>60.92</v>
      </c>
      <c r="Y236" s="9">
        <f t="shared" si="13"/>
        <v>3955.08</v>
      </c>
      <c r="AD236" s="4" t="s">
        <v>1129</v>
      </c>
      <c r="AE236" s="4" t="s">
        <v>1130</v>
      </c>
      <c r="AF236" s="4" t="s">
        <v>868</v>
      </c>
    </row>
    <row r="237" spans="1:35" ht="37.5" x14ac:dyDescent="0.25">
      <c r="A237" s="10" t="s">
        <v>1131</v>
      </c>
      <c r="B237" s="10"/>
      <c r="C237" s="24" t="s">
        <v>490</v>
      </c>
      <c r="D237" s="15"/>
      <c r="E237" s="15"/>
      <c r="F237" s="25" t="s">
        <v>81</v>
      </c>
      <c r="G237" s="26">
        <v>0.15</v>
      </c>
      <c r="H237" s="26"/>
      <c r="I237" s="26">
        <v>32.463000000000001</v>
      </c>
      <c r="J237" s="28">
        <v>88.8</v>
      </c>
      <c r="M237" s="29">
        <f>ROUND(ROUND(J237, 2)*I237, 2)</f>
        <v>2882.71</v>
      </c>
      <c r="P237" s="30">
        <v>88.8</v>
      </c>
      <c r="S237" s="29">
        <f>ROUND(ROUND(P237, 2)*I237, 2)</f>
        <v>2882.71</v>
      </c>
      <c r="V237" s="9">
        <f>ROUND(ROUND(P237, 2)/1.2, 2)</f>
        <v>74</v>
      </c>
      <c r="Y237" s="9">
        <f t="shared" si="13"/>
        <v>2402.2600000000002</v>
      </c>
      <c r="AD237" s="4" t="s">
        <v>1132</v>
      </c>
      <c r="AE237" s="4" t="s">
        <v>1133</v>
      </c>
      <c r="AF237" s="4" t="s">
        <v>493</v>
      </c>
    </row>
    <row r="238" spans="1:35" ht="37.5" x14ac:dyDescent="0.25">
      <c r="A238" s="10" t="s">
        <v>1134</v>
      </c>
      <c r="B238" s="10" t="s">
        <v>1121</v>
      </c>
      <c r="C238" s="14" t="s">
        <v>1122</v>
      </c>
      <c r="D238" s="15"/>
      <c r="E238" s="15" t="s">
        <v>1077</v>
      </c>
      <c r="F238" s="15" t="s">
        <v>56</v>
      </c>
      <c r="G238" s="16">
        <v>1</v>
      </c>
      <c r="H238" s="16"/>
      <c r="I238" s="16">
        <v>216.42</v>
      </c>
      <c r="J238" s="17">
        <f>IFERROR(ROUND(SUM(M239,M240)/I238, 2),0)</f>
        <v>59.32</v>
      </c>
      <c r="K238" s="18">
        <v>508</v>
      </c>
      <c r="L238" s="17">
        <f>J238+ROUND(K238, 2)</f>
        <v>567.32000000000005</v>
      </c>
      <c r="M238" s="17">
        <f>ROUND(J238*I238, 2)</f>
        <v>12838.03</v>
      </c>
      <c r="N238" s="17">
        <f>ROUND(I238*ROUND(K238, 2), 2)</f>
        <v>109941.36</v>
      </c>
      <c r="O238" s="17">
        <f>M238+N238</f>
        <v>122779.39</v>
      </c>
      <c r="P238" s="17">
        <f>IFERROR(ROUND(SUM(S239,S240)/I238, 2),0)</f>
        <v>59.32</v>
      </c>
      <c r="Q238" s="19">
        <v>508</v>
      </c>
      <c r="R238" s="17">
        <f>P238+ROUND(Q238, 2)</f>
        <v>567.32000000000005</v>
      </c>
      <c r="S238" s="17">
        <f>ROUND(P238*I238, 2)</f>
        <v>12838.03</v>
      </c>
      <c r="T238" s="17">
        <f>ROUND(I238*ROUND(Q238, 2), 2)</f>
        <v>109941.36</v>
      </c>
      <c r="U238" s="17">
        <f>S238+T238</f>
        <v>122779.39</v>
      </c>
      <c r="V238" s="9">
        <f>ROUND(P238 / 1.2, 2)</f>
        <v>49.43</v>
      </c>
      <c r="W238" s="9">
        <f>ROUND(Q238 / 1.2, 2)</f>
        <v>423.33</v>
      </c>
      <c r="X238" s="9">
        <f>ROUND(R238 / 1.2, 2)</f>
        <v>472.77</v>
      </c>
      <c r="Y238" s="9">
        <f t="shared" si="13"/>
        <v>10698.36</v>
      </c>
      <c r="Z238" s="9">
        <f>ROUND(T238 / 1.2, 2)</f>
        <v>91617.8</v>
      </c>
      <c r="AA238" s="9">
        <f>Y238+Z238</f>
        <v>102316.16</v>
      </c>
      <c r="AD238" s="4">
        <v>264030393</v>
      </c>
      <c r="AE238" s="4">
        <v>19916873</v>
      </c>
      <c r="AG238" s="4" t="s">
        <v>1123</v>
      </c>
      <c r="AH238" s="4" t="s">
        <v>1124</v>
      </c>
      <c r="AI238" s="4" t="s">
        <v>249</v>
      </c>
    </row>
    <row r="239" spans="1:35" ht="37.5" x14ac:dyDescent="0.25">
      <c r="A239" s="10" t="s">
        <v>1135</v>
      </c>
      <c r="B239" s="10"/>
      <c r="C239" s="24" t="s">
        <v>490</v>
      </c>
      <c r="D239" s="15"/>
      <c r="E239" s="15"/>
      <c r="F239" s="25" t="s">
        <v>81</v>
      </c>
      <c r="G239" s="26">
        <v>0.15</v>
      </c>
      <c r="H239" s="26"/>
      <c r="I239" s="26">
        <v>32.463000000000001</v>
      </c>
      <c r="J239" s="28">
        <v>88.8</v>
      </c>
      <c r="M239" s="29">
        <f>ROUND(ROUND(J239, 2)*I239, 2)</f>
        <v>2882.71</v>
      </c>
      <c r="P239" s="30">
        <v>88.8</v>
      </c>
      <c r="S239" s="29">
        <f>ROUND(ROUND(P239, 2)*I239, 2)</f>
        <v>2882.71</v>
      </c>
      <c r="V239" s="9">
        <f>ROUND(ROUND(P239, 2)/1.2, 2)</f>
        <v>74</v>
      </c>
      <c r="Y239" s="9">
        <f t="shared" si="13"/>
        <v>2402.2600000000002</v>
      </c>
      <c r="AD239" s="4" t="s">
        <v>1136</v>
      </c>
      <c r="AE239" s="4" t="s">
        <v>1137</v>
      </c>
      <c r="AF239" s="4" t="s">
        <v>493</v>
      </c>
    </row>
    <row r="240" spans="1:35" ht="56.25" x14ac:dyDescent="0.25">
      <c r="A240" s="10" t="s">
        <v>1138</v>
      </c>
      <c r="B240" s="10"/>
      <c r="C240" s="24" t="s">
        <v>859</v>
      </c>
      <c r="D240" s="15"/>
      <c r="E240" s="15" t="s">
        <v>1056</v>
      </c>
      <c r="F240" s="25" t="s">
        <v>81</v>
      </c>
      <c r="G240" s="26">
        <v>2</v>
      </c>
      <c r="H240" s="26"/>
      <c r="I240" s="26">
        <v>432.84</v>
      </c>
      <c r="J240" s="28">
        <v>23</v>
      </c>
      <c r="M240" s="29">
        <f>ROUND(ROUND(J240, 2)*I240, 2)</f>
        <v>9955.32</v>
      </c>
      <c r="P240" s="30">
        <v>23</v>
      </c>
      <c r="S240" s="29">
        <f>ROUND(ROUND(P240, 2)*I240, 2)</f>
        <v>9955.32</v>
      </c>
      <c r="V240" s="9">
        <f>ROUND(ROUND(P240, 2)/1.2, 2)</f>
        <v>19.170000000000002</v>
      </c>
      <c r="Y240" s="9">
        <f t="shared" si="13"/>
        <v>8296.1</v>
      </c>
      <c r="AD240" s="4" t="s">
        <v>1139</v>
      </c>
      <c r="AE240" s="4" t="s">
        <v>1140</v>
      </c>
      <c r="AF240" s="4" t="s">
        <v>863</v>
      </c>
    </row>
    <row r="241" spans="1:35" ht="37.5" x14ac:dyDescent="0.25">
      <c r="A241" s="10" t="s">
        <v>1141</v>
      </c>
      <c r="B241" s="10" t="s">
        <v>1121</v>
      </c>
      <c r="C241" s="14" t="s">
        <v>1122</v>
      </c>
      <c r="D241" s="15"/>
      <c r="E241" s="15" t="s">
        <v>1051</v>
      </c>
      <c r="F241" s="15" t="s">
        <v>56</v>
      </c>
      <c r="G241" s="16">
        <v>1</v>
      </c>
      <c r="H241" s="16"/>
      <c r="I241" s="16">
        <v>1035.18</v>
      </c>
      <c r="J241" s="17">
        <f>IFERROR(ROUND(SUM(M242,M243)/I241, 2),0)</f>
        <v>59.32</v>
      </c>
      <c r="K241" s="18">
        <v>508</v>
      </c>
      <c r="L241" s="17">
        <f>J241+ROUND(K241, 2)</f>
        <v>567.32000000000005</v>
      </c>
      <c r="M241" s="17">
        <f>ROUND(J241*I241, 2)</f>
        <v>61406.879999999997</v>
      </c>
      <c r="N241" s="17">
        <f>ROUND(I241*ROUND(K241, 2), 2)</f>
        <v>525871.43999999994</v>
      </c>
      <c r="O241" s="17">
        <f>M241+N241</f>
        <v>587278.31999999995</v>
      </c>
      <c r="P241" s="17">
        <f>IFERROR(ROUND(SUM(S242,S243)/I241, 2),0)</f>
        <v>59.32</v>
      </c>
      <c r="Q241" s="19">
        <v>508</v>
      </c>
      <c r="R241" s="17">
        <f>P241+ROUND(Q241, 2)</f>
        <v>567.32000000000005</v>
      </c>
      <c r="S241" s="17">
        <f>ROUND(P241*I241, 2)</f>
        <v>61406.879999999997</v>
      </c>
      <c r="T241" s="17">
        <f>ROUND(I241*ROUND(Q241, 2), 2)</f>
        <v>525871.43999999994</v>
      </c>
      <c r="U241" s="17">
        <f>S241+T241</f>
        <v>587278.31999999995</v>
      </c>
      <c r="V241" s="9">
        <f>ROUND(P241 / 1.2, 2)</f>
        <v>49.43</v>
      </c>
      <c r="W241" s="9">
        <f>ROUND(Q241 / 1.2, 2)</f>
        <v>423.33</v>
      </c>
      <c r="X241" s="9">
        <f>ROUND(R241 / 1.2, 2)</f>
        <v>472.77</v>
      </c>
      <c r="Y241" s="9">
        <f t="shared" si="13"/>
        <v>51172.4</v>
      </c>
      <c r="Z241" s="9">
        <f>ROUND(T241 / 1.2, 2)</f>
        <v>438226.2</v>
      </c>
      <c r="AA241" s="9">
        <f>Y241+Z241</f>
        <v>489398.6</v>
      </c>
      <c r="AD241" s="4">
        <v>264030394</v>
      </c>
      <c r="AE241" s="4">
        <v>19916875</v>
      </c>
      <c r="AG241" s="4" t="s">
        <v>1123</v>
      </c>
      <c r="AH241" s="4" t="s">
        <v>1124</v>
      </c>
      <c r="AI241" s="4" t="s">
        <v>249</v>
      </c>
    </row>
    <row r="242" spans="1:35" ht="56.25" x14ac:dyDescent="0.25">
      <c r="A242" s="10" t="s">
        <v>1142</v>
      </c>
      <c r="B242" s="10"/>
      <c r="C242" s="24" t="s">
        <v>859</v>
      </c>
      <c r="D242" s="15"/>
      <c r="E242" s="15" t="s">
        <v>1056</v>
      </c>
      <c r="F242" s="25" t="s">
        <v>81</v>
      </c>
      <c r="G242" s="26">
        <v>2</v>
      </c>
      <c r="H242" s="26"/>
      <c r="I242" s="26">
        <v>2070.36</v>
      </c>
      <c r="J242" s="28">
        <v>23</v>
      </c>
      <c r="M242" s="29">
        <f>ROUND(ROUND(J242, 2)*I242, 2)</f>
        <v>47618.28</v>
      </c>
      <c r="P242" s="30">
        <v>23</v>
      </c>
      <c r="S242" s="29">
        <f>ROUND(ROUND(P242, 2)*I242, 2)</f>
        <v>47618.28</v>
      </c>
      <c r="V242" s="9">
        <f>ROUND(ROUND(P242, 2)/1.2, 2)</f>
        <v>19.170000000000002</v>
      </c>
      <c r="Y242" s="9">
        <f t="shared" si="13"/>
        <v>39681.9</v>
      </c>
      <c r="AD242" s="4" t="s">
        <v>1143</v>
      </c>
      <c r="AE242" s="4" t="s">
        <v>1144</v>
      </c>
      <c r="AF242" s="4" t="s">
        <v>863</v>
      </c>
    </row>
    <row r="243" spans="1:35" ht="37.5" x14ac:dyDescent="0.25">
      <c r="A243" s="10" t="s">
        <v>1145</v>
      </c>
      <c r="B243" s="10"/>
      <c r="C243" s="24" t="s">
        <v>490</v>
      </c>
      <c r="D243" s="15"/>
      <c r="E243" s="15"/>
      <c r="F243" s="25" t="s">
        <v>81</v>
      </c>
      <c r="G243" s="26">
        <v>0.15</v>
      </c>
      <c r="H243" s="26"/>
      <c r="I243" s="26">
        <v>155.27699999999999</v>
      </c>
      <c r="J243" s="28">
        <v>88.8</v>
      </c>
      <c r="M243" s="29">
        <f>ROUND(ROUND(J243, 2)*I243, 2)</f>
        <v>13788.6</v>
      </c>
      <c r="P243" s="30">
        <v>88.8</v>
      </c>
      <c r="S243" s="29">
        <f>ROUND(ROUND(P243, 2)*I243, 2)</f>
        <v>13788.6</v>
      </c>
      <c r="V243" s="9">
        <f>ROUND(ROUND(P243, 2)/1.2, 2)</f>
        <v>74</v>
      </c>
      <c r="Y243" s="9">
        <f t="shared" si="13"/>
        <v>11490.5</v>
      </c>
      <c r="AD243" s="4" t="s">
        <v>1146</v>
      </c>
      <c r="AE243" s="4" t="s">
        <v>1147</v>
      </c>
      <c r="AF243" s="4" t="s">
        <v>493</v>
      </c>
    </row>
    <row r="244" spans="1:35" ht="37.5" x14ac:dyDescent="0.25">
      <c r="A244" s="10" t="s">
        <v>1148</v>
      </c>
      <c r="B244" s="10" t="s">
        <v>1121</v>
      </c>
      <c r="C244" s="14" t="s">
        <v>1122</v>
      </c>
      <c r="D244" s="15"/>
      <c r="E244" s="15" t="s">
        <v>1041</v>
      </c>
      <c r="F244" s="15" t="s">
        <v>56</v>
      </c>
      <c r="G244" s="16">
        <v>1</v>
      </c>
      <c r="H244" s="16"/>
      <c r="I244" s="16">
        <v>1035.18</v>
      </c>
      <c r="J244" s="17">
        <f>IFERROR(ROUND(SUM(M245,M246,M247)/I244, 2),0)</f>
        <v>81.25</v>
      </c>
      <c r="K244" s="18">
        <v>508</v>
      </c>
      <c r="L244" s="17">
        <f>J244+ROUND(K244, 2)</f>
        <v>589.25</v>
      </c>
      <c r="M244" s="17">
        <f>ROUND(J244*I244, 2)</f>
        <v>84108.38</v>
      </c>
      <c r="N244" s="17">
        <f>ROUND(I244*ROUND(K244, 2), 2)</f>
        <v>525871.43999999994</v>
      </c>
      <c r="O244" s="17">
        <f>M244+N244</f>
        <v>609979.81999999995</v>
      </c>
      <c r="P244" s="17">
        <f>IFERROR(ROUND(SUM(S245,S246,S247)/I244, 2),0)</f>
        <v>81.25</v>
      </c>
      <c r="Q244" s="19">
        <v>508</v>
      </c>
      <c r="R244" s="17">
        <f>P244+ROUND(Q244, 2)</f>
        <v>589.25</v>
      </c>
      <c r="S244" s="17">
        <f>ROUND(P244*I244, 2)</f>
        <v>84108.38</v>
      </c>
      <c r="T244" s="17">
        <f>ROUND(I244*ROUND(Q244, 2), 2)</f>
        <v>525871.43999999994</v>
      </c>
      <c r="U244" s="17">
        <f>S244+T244</f>
        <v>609979.81999999995</v>
      </c>
      <c r="V244" s="9">
        <f>ROUND(P244 / 1.2, 2)</f>
        <v>67.709999999999994</v>
      </c>
      <c r="W244" s="9">
        <f>ROUND(Q244 / 1.2, 2)</f>
        <v>423.33</v>
      </c>
      <c r="X244" s="9">
        <f>ROUND(R244 / 1.2, 2)</f>
        <v>491.04</v>
      </c>
      <c r="Y244" s="9">
        <f t="shared" si="13"/>
        <v>70090.320000000007</v>
      </c>
      <c r="Z244" s="9">
        <f>ROUND(T244 / 1.2, 2)</f>
        <v>438226.2</v>
      </c>
      <c r="AA244" s="9">
        <f>Y244+Z244</f>
        <v>508316.52</v>
      </c>
      <c r="AD244" s="4">
        <v>264030395</v>
      </c>
      <c r="AE244" s="4">
        <v>19916868</v>
      </c>
      <c r="AG244" s="4" t="s">
        <v>1123</v>
      </c>
      <c r="AH244" s="4" t="s">
        <v>1124</v>
      </c>
      <c r="AI244" s="4" t="s">
        <v>249</v>
      </c>
    </row>
    <row r="245" spans="1:35" ht="37.5" x14ac:dyDescent="0.25">
      <c r="A245" s="10" t="s">
        <v>1149</v>
      </c>
      <c r="B245" s="10"/>
      <c r="C245" s="24" t="s">
        <v>490</v>
      </c>
      <c r="D245" s="15"/>
      <c r="E245" s="15"/>
      <c r="F245" s="25" t="s">
        <v>81</v>
      </c>
      <c r="G245" s="26">
        <v>0.15</v>
      </c>
      <c r="H245" s="26"/>
      <c r="I245" s="26">
        <v>155.27699999999999</v>
      </c>
      <c r="J245" s="28">
        <v>88.8</v>
      </c>
      <c r="M245" s="29">
        <f>ROUND(ROUND(J245, 2)*I245, 2)</f>
        <v>13788.6</v>
      </c>
      <c r="P245" s="30">
        <v>88.8</v>
      </c>
      <c r="S245" s="29">
        <f>ROUND(ROUND(P245, 2)*I245, 2)</f>
        <v>13788.6</v>
      </c>
      <c r="V245" s="9">
        <f>ROUND(ROUND(P245, 2)/1.2, 2)</f>
        <v>74</v>
      </c>
      <c r="Y245" s="9">
        <f t="shared" si="13"/>
        <v>11490.5</v>
      </c>
      <c r="AD245" s="4" t="s">
        <v>1150</v>
      </c>
      <c r="AE245" s="4" t="s">
        <v>1151</v>
      </c>
      <c r="AF245" s="4" t="s">
        <v>493</v>
      </c>
    </row>
    <row r="246" spans="1:35" ht="18.75" x14ac:dyDescent="0.25">
      <c r="A246" s="10" t="s">
        <v>1152</v>
      </c>
      <c r="B246" s="10"/>
      <c r="C246" s="24" t="s">
        <v>865</v>
      </c>
      <c r="D246" s="15"/>
      <c r="E246" s="15"/>
      <c r="F246" s="25" t="s">
        <v>103</v>
      </c>
      <c r="G246" s="26">
        <v>0.3</v>
      </c>
      <c r="H246" s="26"/>
      <c r="I246" s="26">
        <v>310.55399999999997</v>
      </c>
      <c r="J246" s="28">
        <v>73.099999999999994</v>
      </c>
      <c r="M246" s="29">
        <f>ROUND(ROUND(J246, 2)*I246, 2)</f>
        <v>22701.5</v>
      </c>
      <c r="P246" s="30">
        <v>73.099999999999994</v>
      </c>
      <c r="S246" s="29">
        <f>ROUND(ROUND(P246, 2)*I246, 2)</f>
        <v>22701.5</v>
      </c>
      <c r="V246" s="9">
        <f>ROUND(ROUND(P246, 2)/1.2, 2)</f>
        <v>60.92</v>
      </c>
      <c r="Y246" s="9">
        <f t="shared" si="13"/>
        <v>18917.919999999998</v>
      </c>
      <c r="AD246" s="4" t="s">
        <v>1153</v>
      </c>
      <c r="AE246" s="4" t="s">
        <v>1154</v>
      </c>
      <c r="AF246" s="4" t="s">
        <v>868</v>
      </c>
    </row>
    <row r="247" spans="1:35" ht="56.25" x14ac:dyDescent="0.25">
      <c r="A247" s="10" t="s">
        <v>1155</v>
      </c>
      <c r="B247" s="10"/>
      <c r="C247" s="24" t="s">
        <v>859</v>
      </c>
      <c r="D247" s="15"/>
      <c r="E247" s="15" t="s">
        <v>860</v>
      </c>
      <c r="F247" s="25" t="s">
        <v>81</v>
      </c>
      <c r="G247" s="26">
        <v>2</v>
      </c>
      <c r="H247" s="26"/>
      <c r="I247" s="26">
        <v>2070.36</v>
      </c>
      <c r="J247" s="28">
        <v>23</v>
      </c>
      <c r="M247" s="29">
        <f>ROUND(ROUND(J247, 2)*I247, 2)</f>
        <v>47618.28</v>
      </c>
      <c r="P247" s="30">
        <v>23</v>
      </c>
      <c r="S247" s="29">
        <f>ROUND(ROUND(P247, 2)*I247, 2)</f>
        <v>47618.28</v>
      </c>
      <c r="V247" s="9">
        <f>ROUND(ROUND(P247, 2)/1.2, 2)</f>
        <v>19.170000000000002</v>
      </c>
      <c r="Y247" s="9">
        <f t="shared" si="13"/>
        <v>39681.9</v>
      </c>
      <c r="AD247" s="4" t="s">
        <v>1156</v>
      </c>
      <c r="AE247" s="4" t="s">
        <v>1157</v>
      </c>
      <c r="AF247" s="4" t="s">
        <v>863</v>
      </c>
    </row>
    <row r="248" spans="1:35" ht="37.5" x14ac:dyDescent="0.25">
      <c r="A248" s="10" t="s">
        <v>1158</v>
      </c>
      <c r="B248" s="10" t="s">
        <v>1121</v>
      </c>
      <c r="C248" s="14" t="s">
        <v>1122</v>
      </c>
      <c r="D248" s="15"/>
      <c r="E248" s="15" t="s">
        <v>1096</v>
      </c>
      <c r="F248" s="15" t="s">
        <v>56</v>
      </c>
      <c r="G248" s="16">
        <v>1</v>
      </c>
      <c r="H248" s="16"/>
      <c r="I248" s="16">
        <v>0.1</v>
      </c>
      <c r="J248" s="17">
        <f>IFERROR(ROUND(SUM(M249,M250)/I248, 2),0)</f>
        <v>59.3</v>
      </c>
      <c r="K248" s="18">
        <v>508</v>
      </c>
      <c r="L248" s="17">
        <f>J248+ROUND(K248, 2)</f>
        <v>567.29999999999995</v>
      </c>
      <c r="M248" s="17">
        <f>ROUND(J248*I248, 2)</f>
        <v>5.93</v>
      </c>
      <c r="N248" s="17">
        <f>ROUND(I248*ROUND(K248, 2), 2)</f>
        <v>50.8</v>
      </c>
      <c r="O248" s="17">
        <f>M248+N248</f>
        <v>56.73</v>
      </c>
      <c r="P248" s="17">
        <f>IFERROR(ROUND(SUM(S249,S250)/I248, 2),0)</f>
        <v>59.3</v>
      </c>
      <c r="Q248" s="19">
        <v>508</v>
      </c>
      <c r="R248" s="17">
        <f>P248+ROUND(Q248, 2)</f>
        <v>567.29999999999995</v>
      </c>
      <c r="S248" s="17">
        <f>ROUND(P248*I248, 2)</f>
        <v>5.93</v>
      </c>
      <c r="T248" s="17">
        <f>ROUND(I248*ROUND(Q248, 2), 2)</f>
        <v>50.8</v>
      </c>
      <c r="U248" s="17">
        <f>S248+T248</f>
        <v>56.73</v>
      </c>
      <c r="V248" s="9">
        <f>ROUND(P248 / 1.2, 2)</f>
        <v>49.42</v>
      </c>
      <c r="W248" s="9">
        <f>ROUND(Q248 / 1.2, 2)</f>
        <v>423.33</v>
      </c>
      <c r="X248" s="9">
        <f>ROUND(R248 / 1.2, 2)</f>
        <v>472.75</v>
      </c>
      <c r="Y248" s="9">
        <f t="shared" si="13"/>
        <v>4.9400000000000004</v>
      </c>
      <c r="Z248" s="9">
        <f>ROUND(T248 / 1.2, 2)</f>
        <v>42.33</v>
      </c>
      <c r="AA248" s="9">
        <f>Y248+Z248</f>
        <v>47.27</v>
      </c>
      <c r="AD248" s="4">
        <v>264030396</v>
      </c>
      <c r="AE248" s="4">
        <v>19916878</v>
      </c>
      <c r="AG248" s="4" t="s">
        <v>1123</v>
      </c>
      <c r="AH248" s="4" t="s">
        <v>1124</v>
      </c>
      <c r="AI248" s="4" t="s">
        <v>249</v>
      </c>
    </row>
    <row r="249" spans="1:35" ht="56.25" x14ac:dyDescent="0.25">
      <c r="A249" s="10" t="s">
        <v>1159</v>
      </c>
      <c r="B249" s="10"/>
      <c r="C249" s="24" t="s">
        <v>859</v>
      </c>
      <c r="D249" s="15"/>
      <c r="E249" s="15" t="s">
        <v>1056</v>
      </c>
      <c r="F249" s="25" t="s">
        <v>81</v>
      </c>
      <c r="G249" s="26">
        <v>2</v>
      </c>
      <c r="H249" s="26"/>
      <c r="I249" s="26">
        <v>0.2</v>
      </c>
      <c r="J249" s="28">
        <v>23</v>
      </c>
      <c r="M249" s="29">
        <f>ROUND(ROUND(J249, 2)*I249, 2)</f>
        <v>4.5999999999999996</v>
      </c>
      <c r="P249" s="30">
        <v>23</v>
      </c>
      <c r="S249" s="29">
        <f>ROUND(ROUND(P249, 2)*I249, 2)</f>
        <v>4.5999999999999996</v>
      </c>
      <c r="V249" s="9">
        <f>ROUND(ROUND(P249, 2)/1.2, 2)</f>
        <v>19.170000000000002</v>
      </c>
      <c r="Y249" s="9">
        <f t="shared" si="13"/>
        <v>3.83</v>
      </c>
      <c r="AD249" s="4" t="s">
        <v>1160</v>
      </c>
      <c r="AE249" s="4" t="s">
        <v>1161</v>
      </c>
      <c r="AF249" s="4" t="s">
        <v>863</v>
      </c>
    </row>
    <row r="250" spans="1:35" ht="37.5" x14ac:dyDescent="0.25">
      <c r="A250" s="10" t="s">
        <v>1162</v>
      </c>
      <c r="B250" s="10"/>
      <c r="C250" s="24" t="s">
        <v>490</v>
      </c>
      <c r="D250" s="15"/>
      <c r="E250" s="15"/>
      <c r="F250" s="25" t="s">
        <v>81</v>
      </c>
      <c r="G250" s="26">
        <v>0.15</v>
      </c>
      <c r="H250" s="26"/>
      <c r="I250" s="26">
        <v>1.4999999999999999E-2</v>
      </c>
      <c r="J250" s="28">
        <v>88.8</v>
      </c>
      <c r="M250" s="29">
        <f>ROUND(ROUND(J250, 2)*I250, 2)</f>
        <v>1.33</v>
      </c>
      <c r="P250" s="30">
        <v>88.8</v>
      </c>
      <c r="S250" s="29">
        <f>ROUND(ROUND(P250, 2)*I250, 2)</f>
        <v>1.33</v>
      </c>
      <c r="V250" s="9">
        <f>ROUND(ROUND(P250, 2)/1.2, 2)</f>
        <v>74</v>
      </c>
      <c r="Y250" s="9">
        <f t="shared" si="13"/>
        <v>1.1100000000000001</v>
      </c>
      <c r="AD250" s="4" t="s">
        <v>1163</v>
      </c>
      <c r="AE250" s="4" t="s">
        <v>1164</v>
      </c>
      <c r="AF250" s="4" t="s">
        <v>493</v>
      </c>
    </row>
    <row r="251" spans="1:35" ht="37.5" x14ac:dyDescent="0.25">
      <c r="A251" s="10" t="s">
        <v>1165</v>
      </c>
      <c r="B251" s="10" t="s">
        <v>1121</v>
      </c>
      <c r="C251" s="14" t="s">
        <v>1122</v>
      </c>
      <c r="D251" s="15"/>
      <c r="E251" s="15" t="s">
        <v>1085</v>
      </c>
      <c r="F251" s="15" t="s">
        <v>56</v>
      </c>
      <c r="G251" s="16">
        <v>1</v>
      </c>
      <c r="H251" s="16"/>
      <c r="I251" s="16">
        <v>0.1</v>
      </c>
      <c r="J251" s="17">
        <f>IFERROR(ROUND(SUM(M252,M253,M254)/I251, 2),0)</f>
        <v>81.2</v>
      </c>
      <c r="K251" s="18">
        <v>508</v>
      </c>
      <c r="L251" s="17">
        <f>J251+ROUND(K251, 2)</f>
        <v>589.20000000000005</v>
      </c>
      <c r="M251" s="17">
        <f>ROUND(J251*I251, 2)</f>
        <v>8.1199999999999992</v>
      </c>
      <c r="N251" s="17">
        <f>ROUND(I251*ROUND(K251, 2), 2)</f>
        <v>50.8</v>
      </c>
      <c r="O251" s="17">
        <f>M251+N251</f>
        <v>58.92</v>
      </c>
      <c r="P251" s="17">
        <f>IFERROR(ROUND(SUM(S252,S253,S254)/I251, 2),0)</f>
        <v>81.2</v>
      </c>
      <c r="Q251" s="19">
        <v>508</v>
      </c>
      <c r="R251" s="17">
        <f>P251+ROUND(Q251, 2)</f>
        <v>589.20000000000005</v>
      </c>
      <c r="S251" s="17">
        <f>ROUND(P251*I251, 2)</f>
        <v>8.1199999999999992</v>
      </c>
      <c r="T251" s="17">
        <f>ROUND(I251*ROUND(Q251, 2), 2)</f>
        <v>50.8</v>
      </c>
      <c r="U251" s="17">
        <f>S251+T251</f>
        <v>58.92</v>
      </c>
      <c r="V251" s="9">
        <f>ROUND(P251 / 1.2, 2)</f>
        <v>67.67</v>
      </c>
      <c r="W251" s="9">
        <f>ROUND(Q251 / 1.2, 2)</f>
        <v>423.33</v>
      </c>
      <c r="X251" s="9">
        <f>ROUND(R251 / 1.2, 2)</f>
        <v>491</v>
      </c>
      <c r="Y251" s="9">
        <f t="shared" si="13"/>
        <v>6.77</v>
      </c>
      <c r="Z251" s="9">
        <f>ROUND(T251 / 1.2, 2)</f>
        <v>42.33</v>
      </c>
      <c r="AA251" s="9">
        <f>Y251+Z251</f>
        <v>49.1</v>
      </c>
      <c r="AD251" s="4">
        <v>264030397</v>
      </c>
      <c r="AE251" s="4">
        <v>19916871</v>
      </c>
      <c r="AG251" s="4" t="s">
        <v>1123</v>
      </c>
      <c r="AH251" s="4" t="s">
        <v>1124</v>
      </c>
      <c r="AI251" s="4" t="s">
        <v>249</v>
      </c>
    </row>
    <row r="252" spans="1:35" ht="37.5" x14ac:dyDescent="0.25">
      <c r="A252" s="10" t="s">
        <v>1166</v>
      </c>
      <c r="B252" s="10"/>
      <c r="C252" s="24" t="s">
        <v>490</v>
      </c>
      <c r="D252" s="15"/>
      <c r="E252" s="15"/>
      <c r="F252" s="25" t="s">
        <v>81</v>
      </c>
      <c r="G252" s="26">
        <v>0.15</v>
      </c>
      <c r="H252" s="26"/>
      <c r="I252" s="26">
        <v>1.4999999999999999E-2</v>
      </c>
      <c r="J252" s="28">
        <v>88.8</v>
      </c>
      <c r="M252" s="29">
        <f>ROUND(ROUND(J252, 2)*I252, 2)</f>
        <v>1.33</v>
      </c>
      <c r="P252" s="30">
        <v>88.8</v>
      </c>
      <c r="S252" s="29">
        <f>ROUND(ROUND(P252, 2)*I252, 2)</f>
        <v>1.33</v>
      </c>
      <c r="V252" s="9">
        <f>ROUND(ROUND(P252, 2)/1.2, 2)</f>
        <v>74</v>
      </c>
      <c r="Y252" s="9">
        <f t="shared" si="13"/>
        <v>1.1100000000000001</v>
      </c>
      <c r="AD252" s="4" t="s">
        <v>1167</v>
      </c>
      <c r="AE252" s="4" t="s">
        <v>1168</v>
      </c>
      <c r="AF252" s="4" t="s">
        <v>493</v>
      </c>
    </row>
    <row r="253" spans="1:35" ht="18.75" x14ac:dyDescent="0.25">
      <c r="A253" s="10" t="s">
        <v>1169</v>
      </c>
      <c r="B253" s="10"/>
      <c r="C253" s="24" t="s">
        <v>865</v>
      </c>
      <c r="D253" s="15"/>
      <c r="E253" s="15"/>
      <c r="F253" s="25" t="s">
        <v>103</v>
      </c>
      <c r="G253" s="26">
        <v>0.3</v>
      </c>
      <c r="H253" s="26"/>
      <c r="I253" s="26">
        <v>0.03</v>
      </c>
      <c r="J253" s="28">
        <v>73.099999999999994</v>
      </c>
      <c r="M253" s="29">
        <f>ROUND(ROUND(J253, 2)*I253, 2)</f>
        <v>2.19</v>
      </c>
      <c r="P253" s="30">
        <v>73.099999999999994</v>
      </c>
      <c r="S253" s="29">
        <f>ROUND(ROUND(P253, 2)*I253, 2)</f>
        <v>2.19</v>
      </c>
      <c r="V253" s="9">
        <f>ROUND(ROUND(P253, 2)/1.2, 2)</f>
        <v>60.92</v>
      </c>
      <c r="Y253" s="9">
        <f t="shared" si="13"/>
        <v>1.83</v>
      </c>
      <c r="AD253" s="4" t="s">
        <v>1170</v>
      </c>
      <c r="AE253" s="4" t="s">
        <v>1171</v>
      </c>
      <c r="AF253" s="4" t="s">
        <v>868</v>
      </c>
    </row>
    <row r="254" spans="1:35" ht="56.25" x14ac:dyDescent="0.25">
      <c r="A254" s="10" t="s">
        <v>1172</v>
      </c>
      <c r="B254" s="10"/>
      <c r="C254" s="24" t="s">
        <v>859</v>
      </c>
      <c r="D254" s="15"/>
      <c r="E254" s="15" t="s">
        <v>860</v>
      </c>
      <c r="F254" s="25" t="s">
        <v>81</v>
      </c>
      <c r="G254" s="26">
        <v>2</v>
      </c>
      <c r="H254" s="26"/>
      <c r="I254" s="26">
        <v>0.2</v>
      </c>
      <c r="J254" s="28">
        <v>23</v>
      </c>
      <c r="M254" s="29">
        <f>ROUND(ROUND(J254, 2)*I254, 2)</f>
        <v>4.5999999999999996</v>
      </c>
      <c r="P254" s="30">
        <v>23</v>
      </c>
      <c r="S254" s="29">
        <f>ROUND(ROUND(P254, 2)*I254, 2)</f>
        <v>4.5999999999999996</v>
      </c>
      <c r="V254" s="9">
        <f>ROUND(ROUND(P254, 2)/1.2, 2)</f>
        <v>19.170000000000002</v>
      </c>
      <c r="Y254" s="9">
        <f t="shared" si="13"/>
        <v>3.83</v>
      </c>
      <c r="AD254" s="4" t="s">
        <v>1173</v>
      </c>
      <c r="AE254" s="4" t="s">
        <v>1174</v>
      </c>
      <c r="AF254" s="4" t="s">
        <v>863</v>
      </c>
    </row>
    <row r="255" spans="1:35" ht="75" x14ac:dyDescent="0.25">
      <c r="A255" s="10" t="s">
        <v>1175</v>
      </c>
      <c r="B255" s="10" t="s">
        <v>1176</v>
      </c>
      <c r="C255" s="14" t="s">
        <v>1177</v>
      </c>
      <c r="D255" s="15"/>
      <c r="E255" s="15" t="s">
        <v>76</v>
      </c>
      <c r="F255" s="15" t="s">
        <v>56</v>
      </c>
      <c r="G255" s="16">
        <v>1</v>
      </c>
      <c r="H255" s="16"/>
      <c r="I255" s="16">
        <v>162.13999999999999</v>
      </c>
      <c r="J255" s="17">
        <f>IFERROR(ROUND(SUM(M256,M257,M258,M259)/I255, 2),0)</f>
        <v>333</v>
      </c>
      <c r="K255" s="18">
        <v>873</v>
      </c>
      <c r="L255" s="17">
        <f>J255+ROUND(K255, 2)</f>
        <v>1206</v>
      </c>
      <c r="M255" s="17">
        <f>ROUND(J255*I255, 2)</f>
        <v>53992.62</v>
      </c>
      <c r="N255" s="17">
        <f>ROUND(I255*ROUND(K255, 2), 2)</f>
        <v>141548.22</v>
      </c>
      <c r="O255" s="17">
        <f>M255+N255</f>
        <v>195540.84</v>
      </c>
      <c r="P255" s="17">
        <f>IFERROR(ROUND(SUM(S256,S257,S258,S259)/I255, 2),0)</f>
        <v>333</v>
      </c>
      <c r="Q255" s="19">
        <v>873</v>
      </c>
      <c r="R255" s="17">
        <f>P255+ROUND(Q255, 2)</f>
        <v>1206</v>
      </c>
      <c r="S255" s="17">
        <f>ROUND(P255*I255, 2)</f>
        <v>53992.62</v>
      </c>
      <c r="T255" s="17">
        <f>ROUND(I255*ROUND(Q255, 2), 2)</f>
        <v>141548.22</v>
      </c>
      <c r="U255" s="17">
        <f>S255+T255</f>
        <v>195540.84</v>
      </c>
      <c r="V255" s="9">
        <f>ROUND(P255 / 1.2, 2)</f>
        <v>277.5</v>
      </c>
      <c r="W255" s="9">
        <f>ROUND(Q255 / 1.2, 2)</f>
        <v>727.5</v>
      </c>
      <c r="X255" s="9">
        <f>ROUND(R255 / 1.2, 2)</f>
        <v>1005</v>
      </c>
      <c r="Y255" s="9">
        <f t="shared" si="13"/>
        <v>44993.85</v>
      </c>
      <c r="Z255" s="9">
        <f>ROUND(T255 / 1.2, 2)</f>
        <v>117956.85</v>
      </c>
      <c r="AA255" s="9">
        <f>Y255+Z255</f>
        <v>162950.70000000001</v>
      </c>
      <c r="AD255" s="4">
        <v>264030298</v>
      </c>
      <c r="AE255" s="4">
        <v>18538440</v>
      </c>
      <c r="AG255" s="4" t="s">
        <v>1178</v>
      </c>
      <c r="AH255" s="4" t="s">
        <v>1179</v>
      </c>
      <c r="AI255" s="4" t="s">
        <v>249</v>
      </c>
    </row>
    <row r="256" spans="1:35" ht="37.5" x14ac:dyDescent="0.25">
      <c r="A256" s="10" t="s">
        <v>1180</v>
      </c>
      <c r="B256" s="10"/>
      <c r="C256" s="24" t="s">
        <v>1181</v>
      </c>
      <c r="D256" s="15"/>
      <c r="E256" s="15" t="s">
        <v>1182</v>
      </c>
      <c r="F256" s="25" t="s">
        <v>81</v>
      </c>
      <c r="G256" s="26">
        <v>1.3</v>
      </c>
      <c r="H256" s="27"/>
      <c r="I256" s="27">
        <v>4227.8599999999997</v>
      </c>
      <c r="J256" s="28">
        <v>8.6</v>
      </c>
      <c r="M256" s="29">
        <f>ROUND(ROUND(J256, 2)*I256, 2)</f>
        <v>36359.599999999999</v>
      </c>
      <c r="P256" s="30">
        <v>8.6</v>
      </c>
      <c r="S256" s="29">
        <f>ROUND(ROUND(P256, 2)*I256, 2)</f>
        <v>36359.599999999999</v>
      </c>
      <c r="V256" s="9">
        <f>ROUND(ROUND(P256, 2)/1.2, 2)</f>
        <v>7.17</v>
      </c>
      <c r="Y256" s="9">
        <f t="shared" si="13"/>
        <v>30299.67</v>
      </c>
      <c r="AD256" s="4" t="s">
        <v>1183</v>
      </c>
      <c r="AE256" s="4" t="s">
        <v>1184</v>
      </c>
      <c r="AF256" s="4" t="s">
        <v>1185</v>
      </c>
    </row>
    <row r="257" spans="1:35" ht="37.5" x14ac:dyDescent="0.25">
      <c r="A257" s="10" t="s">
        <v>1186</v>
      </c>
      <c r="B257" s="10"/>
      <c r="C257" s="24" t="s">
        <v>1187</v>
      </c>
      <c r="D257" s="15"/>
      <c r="E257" s="15"/>
      <c r="F257" s="25" t="s">
        <v>56</v>
      </c>
      <c r="G257" s="26">
        <v>1.1000000000000001</v>
      </c>
      <c r="H257" s="26"/>
      <c r="I257" s="26">
        <v>178.35400000000001</v>
      </c>
      <c r="J257" s="28">
        <v>66.150000000000006</v>
      </c>
      <c r="M257" s="29">
        <f>ROUND(ROUND(J257, 2)*I257, 2)</f>
        <v>11798.12</v>
      </c>
      <c r="P257" s="30">
        <v>66.150000000000006</v>
      </c>
      <c r="S257" s="29">
        <f>ROUND(ROUND(P257, 2)*I257, 2)</f>
        <v>11798.12</v>
      </c>
      <c r="V257" s="9">
        <f>ROUND(ROUND(P257, 2)/1.2, 2)</f>
        <v>55.13</v>
      </c>
      <c r="Y257" s="9">
        <f t="shared" si="13"/>
        <v>9831.77</v>
      </c>
      <c r="AD257" s="4" t="s">
        <v>1188</v>
      </c>
      <c r="AE257" s="4" t="s">
        <v>1189</v>
      </c>
      <c r="AF257" s="4" t="s">
        <v>1190</v>
      </c>
    </row>
    <row r="258" spans="1:35" ht="18.75" x14ac:dyDescent="0.25">
      <c r="A258" s="10" t="s">
        <v>1191</v>
      </c>
      <c r="B258" s="10"/>
      <c r="C258" s="24" t="s">
        <v>1192</v>
      </c>
      <c r="D258" s="15"/>
      <c r="E258" s="15"/>
      <c r="F258" s="25" t="s">
        <v>123</v>
      </c>
      <c r="G258" s="26">
        <v>1</v>
      </c>
      <c r="H258" s="27"/>
      <c r="I258" s="27">
        <v>113</v>
      </c>
      <c r="J258" s="28">
        <v>15.76</v>
      </c>
      <c r="M258" s="29">
        <f>ROUND(ROUND(J258, 2)*I258, 2)</f>
        <v>1780.88</v>
      </c>
      <c r="P258" s="30">
        <v>15.76</v>
      </c>
      <c r="S258" s="29">
        <f>ROUND(ROUND(P258, 2)*I258, 2)</f>
        <v>1780.88</v>
      </c>
      <c r="V258" s="9">
        <f>ROUND(ROUND(P258, 2)/1.2, 2)</f>
        <v>13.13</v>
      </c>
      <c r="Y258" s="9">
        <f t="shared" si="13"/>
        <v>1484.07</v>
      </c>
      <c r="AD258" s="4" t="s">
        <v>1193</v>
      </c>
      <c r="AE258" s="4" t="s">
        <v>1194</v>
      </c>
      <c r="AF258" s="4" t="s">
        <v>1195</v>
      </c>
    </row>
    <row r="259" spans="1:35" ht="18.75" x14ac:dyDescent="0.25">
      <c r="A259" s="10" t="s">
        <v>1196</v>
      </c>
      <c r="B259" s="10"/>
      <c r="C259" s="24" t="s">
        <v>313</v>
      </c>
      <c r="D259" s="15"/>
      <c r="E259" s="15"/>
      <c r="F259" s="25" t="s">
        <v>81</v>
      </c>
      <c r="G259" s="26">
        <v>0.25</v>
      </c>
      <c r="H259" s="26"/>
      <c r="I259" s="26">
        <v>40.534999999999997</v>
      </c>
      <c r="J259" s="28">
        <v>100</v>
      </c>
      <c r="M259" s="29">
        <f>ROUND(ROUND(J259, 2)*I259, 2)</f>
        <v>4053.5</v>
      </c>
      <c r="P259" s="30">
        <v>100</v>
      </c>
      <c r="S259" s="29">
        <f>ROUND(ROUND(P259, 2)*I259, 2)</f>
        <v>4053.5</v>
      </c>
      <c r="V259" s="9">
        <f>ROUND(ROUND(P259, 2)/1.2, 2)</f>
        <v>83.33</v>
      </c>
      <c r="Y259" s="9">
        <f t="shared" si="13"/>
        <v>3377.92</v>
      </c>
      <c r="AD259" s="4" t="s">
        <v>1197</v>
      </c>
      <c r="AE259" s="4" t="s">
        <v>1198</v>
      </c>
      <c r="AF259" s="4" t="s">
        <v>316</v>
      </c>
    </row>
    <row r="260" spans="1:35" ht="75" x14ac:dyDescent="0.25">
      <c r="A260" s="10" t="s">
        <v>1199</v>
      </c>
      <c r="B260" s="10" t="s">
        <v>1200</v>
      </c>
      <c r="C260" s="14" t="s">
        <v>1201</v>
      </c>
      <c r="D260" s="15"/>
      <c r="E260" s="15" t="s">
        <v>76</v>
      </c>
      <c r="F260" s="15" t="s">
        <v>56</v>
      </c>
      <c r="G260" s="16">
        <v>1</v>
      </c>
      <c r="H260" s="16"/>
      <c r="I260" s="16">
        <v>123.76</v>
      </c>
      <c r="J260" s="17">
        <f>IFERROR(ROUND(SUM(M261,M262,M263,M264)/I260, 2),0)</f>
        <v>544.24</v>
      </c>
      <c r="K260" s="18">
        <v>1067</v>
      </c>
      <c r="L260" s="17">
        <f>J260+ROUND(K260, 2)</f>
        <v>1611.24</v>
      </c>
      <c r="M260" s="17">
        <f>ROUND(J260*I260, 2)</f>
        <v>67355.14</v>
      </c>
      <c r="N260" s="17">
        <f>ROUND(I260*ROUND(K260, 2), 2)</f>
        <v>132051.92000000001</v>
      </c>
      <c r="O260" s="17">
        <f>M260+N260</f>
        <v>199407.06</v>
      </c>
      <c r="P260" s="17">
        <f>IFERROR(ROUND(SUM(S261,S262,S263,S264)/I260, 2),0)</f>
        <v>544.24</v>
      </c>
      <c r="Q260" s="19">
        <v>1067</v>
      </c>
      <c r="R260" s="17">
        <f>P260+ROUND(Q260, 2)</f>
        <v>1611.24</v>
      </c>
      <c r="S260" s="17">
        <f>ROUND(P260*I260, 2)</f>
        <v>67355.14</v>
      </c>
      <c r="T260" s="17">
        <f>ROUND(I260*ROUND(Q260, 2), 2)</f>
        <v>132051.92000000001</v>
      </c>
      <c r="U260" s="17">
        <f>S260+T260</f>
        <v>199407.06</v>
      </c>
      <c r="V260" s="9">
        <f>ROUND(P260 / 1.2, 2)</f>
        <v>453.53</v>
      </c>
      <c r="W260" s="9">
        <f>ROUND(Q260 / 1.2, 2)</f>
        <v>889.17</v>
      </c>
      <c r="X260" s="9">
        <f>ROUND(R260 / 1.2, 2)</f>
        <v>1342.7</v>
      </c>
      <c r="Y260" s="9">
        <f t="shared" ref="Y260:Y291" si="14">ROUND(S260 / 1.2, 2)</f>
        <v>56129.279999999999</v>
      </c>
      <c r="Z260" s="9">
        <f>ROUND(T260 / 1.2, 2)</f>
        <v>110043.27</v>
      </c>
      <c r="AA260" s="9">
        <f>Y260+Z260</f>
        <v>166172.54999999999</v>
      </c>
      <c r="AD260" s="4">
        <v>264030299</v>
      </c>
      <c r="AE260" s="4">
        <v>18538442</v>
      </c>
      <c r="AG260" s="4" t="s">
        <v>1202</v>
      </c>
      <c r="AH260" s="4" t="s">
        <v>1203</v>
      </c>
      <c r="AI260" s="4" t="s">
        <v>249</v>
      </c>
    </row>
    <row r="261" spans="1:35" ht="37.5" x14ac:dyDescent="0.25">
      <c r="A261" s="10" t="s">
        <v>1204</v>
      </c>
      <c r="B261" s="10"/>
      <c r="C261" s="24" t="s">
        <v>1181</v>
      </c>
      <c r="D261" s="15"/>
      <c r="E261" s="15" t="s">
        <v>1182</v>
      </c>
      <c r="F261" s="25" t="s">
        <v>81</v>
      </c>
      <c r="G261" s="26">
        <v>1.3</v>
      </c>
      <c r="H261" s="27"/>
      <c r="I261" s="27">
        <v>6435.52</v>
      </c>
      <c r="J261" s="28">
        <v>8.6</v>
      </c>
      <c r="M261" s="29">
        <f>ROUND(ROUND(J261, 2)*I261, 2)</f>
        <v>55345.47</v>
      </c>
      <c r="P261" s="30">
        <v>8.6</v>
      </c>
      <c r="S261" s="29">
        <f>ROUND(ROUND(P261, 2)*I261, 2)</f>
        <v>55345.47</v>
      </c>
      <c r="V261" s="9">
        <f>ROUND(ROUND(P261, 2)/1.2, 2)</f>
        <v>7.17</v>
      </c>
      <c r="Y261" s="9">
        <f t="shared" si="14"/>
        <v>46121.23</v>
      </c>
      <c r="AD261" s="4" t="s">
        <v>1205</v>
      </c>
      <c r="AE261" s="4" t="s">
        <v>1206</v>
      </c>
      <c r="AF261" s="4" t="s">
        <v>1185</v>
      </c>
    </row>
    <row r="262" spans="1:35" ht="37.5" x14ac:dyDescent="0.25">
      <c r="A262" s="10" t="s">
        <v>1207</v>
      </c>
      <c r="B262" s="10"/>
      <c r="C262" s="24" t="s">
        <v>1187</v>
      </c>
      <c r="D262" s="15"/>
      <c r="E262" s="15"/>
      <c r="F262" s="25" t="s">
        <v>56</v>
      </c>
      <c r="G262" s="26">
        <v>1.1000000000000001</v>
      </c>
      <c r="H262" s="26"/>
      <c r="I262" s="26">
        <v>136.136</v>
      </c>
      <c r="J262" s="28">
        <v>66.150000000000006</v>
      </c>
      <c r="M262" s="29">
        <f>ROUND(ROUND(J262, 2)*I262, 2)</f>
        <v>9005.4</v>
      </c>
      <c r="P262" s="30">
        <v>66.150000000000006</v>
      </c>
      <c r="S262" s="29">
        <f>ROUND(ROUND(P262, 2)*I262, 2)</f>
        <v>9005.4</v>
      </c>
      <c r="V262" s="9">
        <f>ROUND(ROUND(P262, 2)/1.2, 2)</f>
        <v>55.13</v>
      </c>
      <c r="Y262" s="9">
        <f t="shared" si="14"/>
        <v>7504.5</v>
      </c>
      <c r="AD262" s="4" t="s">
        <v>1208</v>
      </c>
      <c r="AE262" s="4" t="s">
        <v>1209</v>
      </c>
      <c r="AF262" s="4" t="s">
        <v>1190</v>
      </c>
    </row>
    <row r="263" spans="1:35" ht="18.75" x14ac:dyDescent="0.25">
      <c r="A263" s="10" t="s">
        <v>1210</v>
      </c>
      <c r="B263" s="10"/>
      <c r="C263" s="24" t="s">
        <v>1192</v>
      </c>
      <c r="D263" s="15"/>
      <c r="E263" s="15"/>
      <c r="F263" s="25" t="s">
        <v>123</v>
      </c>
      <c r="G263" s="26">
        <v>1</v>
      </c>
      <c r="H263" s="27"/>
      <c r="I263" s="27">
        <v>86</v>
      </c>
      <c r="J263" s="28">
        <v>15.76</v>
      </c>
      <c r="M263" s="29">
        <f>ROUND(ROUND(J263, 2)*I263, 2)</f>
        <v>1355.36</v>
      </c>
      <c r="P263" s="30">
        <v>15.76</v>
      </c>
      <c r="S263" s="29">
        <f>ROUND(ROUND(P263, 2)*I263, 2)</f>
        <v>1355.36</v>
      </c>
      <c r="V263" s="9">
        <f>ROUND(ROUND(P263, 2)/1.2, 2)</f>
        <v>13.13</v>
      </c>
      <c r="Y263" s="9">
        <f t="shared" si="14"/>
        <v>1129.47</v>
      </c>
      <c r="AD263" s="4" t="s">
        <v>1211</v>
      </c>
      <c r="AE263" s="4" t="s">
        <v>1212</v>
      </c>
      <c r="AF263" s="4" t="s">
        <v>1195</v>
      </c>
    </row>
    <row r="264" spans="1:35" ht="37.5" x14ac:dyDescent="0.25">
      <c r="A264" s="10" t="s">
        <v>1213</v>
      </c>
      <c r="B264" s="10"/>
      <c r="C264" s="24" t="s">
        <v>490</v>
      </c>
      <c r="D264" s="15"/>
      <c r="E264" s="15"/>
      <c r="F264" s="25" t="s">
        <v>81</v>
      </c>
      <c r="G264" s="26">
        <v>0.15</v>
      </c>
      <c r="H264" s="26"/>
      <c r="I264" s="26">
        <v>18.564</v>
      </c>
      <c r="J264" s="28">
        <v>88.8</v>
      </c>
      <c r="M264" s="29">
        <f>ROUND(ROUND(J264, 2)*I264, 2)</f>
        <v>1648.48</v>
      </c>
      <c r="P264" s="30">
        <v>88.8</v>
      </c>
      <c r="S264" s="29">
        <f>ROUND(ROUND(P264, 2)*I264, 2)</f>
        <v>1648.48</v>
      </c>
      <c r="V264" s="9">
        <f>ROUND(ROUND(P264, 2)/1.2, 2)</f>
        <v>74</v>
      </c>
      <c r="Y264" s="9">
        <f t="shared" si="14"/>
        <v>1373.73</v>
      </c>
      <c r="AD264" s="4" t="s">
        <v>1214</v>
      </c>
      <c r="AE264" s="4" t="s">
        <v>1215</v>
      </c>
      <c r="AF264" s="4" t="s">
        <v>493</v>
      </c>
    </row>
    <row r="265" spans="1:35" ht="75" x14ac:dyDescent="0.25">
      <c r="A265" s="10" t="s">
        <v>1216</v>
      </c>
      <c r="B265" s="10" t="s">
        <v>1217</v>
      </c>
      <c r="C265" s="14" t="s">
        <v>1218</v>
      </c>
      <c r="D265" s="15"/>
      <c r="E265" s="15" t="s">
        <v>76</v>
      </c>
      <c r="F265" s="15" t="s">
        <v>56</v>
      </c>
      <c r="G265" s="16">
        <v>1</v>
      </c>
      <c r="H265" s="16"/>
      <c r="I265" s="16">
        <v>77.959999999999994</v>
      </c>
      <c r="J265" s="17">
        <f>IFERROR(ROUND(SUM(M266,M267,M268,M269)/I265, 2),0)</f>
        <v>779.68</v>
      </c>
      <c r="K265" s="18">
        <v>1280</v>
      </c>
      <c r="L265" s="17">
        <f>J265+ROUND(K265, 2)</f>
        <v>2059.6799999999998</v>
      </c>
      <c r="M265" s="17">
        <f>ROUND(J265*I265, 2)</f>
        <v>60783.85</v>
      </c>
      <c r="N265" s="17">
        <f>ROUND(I265*ROUND(K265, 2), 2)</f>
        <v>99788.800000000003</v>
      </c>
      <c r="O265" s="17">
        <f>M265+N265</f>
        <v>160572.65</v>
      </c>
      <c r="P265" s="17">
        <f>IFERROR(ROUND(SUM(S266,S267,S268,S269)/I265, 2),0)</f>
        <v>779.68</v>
      </c>
      <c r="Q265" s="19">
        <v>1280</v>
      </c>
      <c r="R265" s="17">
        <f>P265+ROUND(Q265, 2)</f>
        <v>2059.6799999999998</v>
      </c>
      <c r="S265" s="17">
        <f>ROUND(P265*I265, 2)</f>
        <v>60783.85</v>
      </c>
      <c r="T265" s="17">
        <f>ROUND(I265*ROUND(Q265, 2), 2)</f>
        <v>99788.800000000003</v>
      </c>
      <c r="U265" s="17">
        <f>S265+T265</f>
        <v>160572.65</v>
      </c>
      <c r="V265" s="9">
        <f>ROUND(P265 / 1.2, 2)</f>
        <v>649.73</v>
      </c>
      <c r="W265" s="9">
        <f>ROUND(Q265 / 1.2, 2)</f>
        <v>1066.67</v>
      </c>
      <c r="X265" s="9">
        <f>ROUND(R265 / 1.2, 2)</f>
        <v>1716.4</v>
      </c>
      <c r="Y265" s="9">
        <f t="shared" si="14"/>
        <v>50653.21</v>
      </c>
      <c r="Z265" s="9">
        <f>ROUND(T265 / 1.2, 2)</f>
        <v>83157.33</v>
      </c>
      <c r="AA265" s="9">
        <f>Y265+Z265</f>
        <v>133810.54</v>
      </c>
      <c r="AD265" s="4">
        <v>264030300</v>
      </c>
      <c r="AE265" s="4">
        <v>18538439</v>
      </c>
      <c r="AG265" s="4" t="s">
        <v>1219</v>
      </c>
      <c r="AH265" s="4" t="s">
        <v>1220</v>
      </c>
      <c r="AI265" s="4" t="s">
        <v>249</v>
      </c>
    </row>
    <row r="266" spans="1:35" ht="37.5" x14ac:dyDescent="0.25">
      <c r="A266" s="10" t="s">
        <v>1221</v>
      </c>
      <c r="B266" s="10"/>
      <c r="C266" s="24" t="s">
        <v>1181</v>
      </c>
      <c r="D266" s="15"/>
      <c r="E266" s="15" t="s">
        <v>1182</v>
      </c>
      <c r="F266" s="25" t="s">
        <v>81</v>
      </c>
      <c r="G266" s="26">
        <v>1.3</v>
      </c>
      <c r="H266" s="27"/>
      <c r="I266" s="27">
        <v>6080.88</v>
      </c>
      <c r="J266" s="28">
        <v>8.6</v>
      </c>
      <c r="M266" s="29">
        <f>ROUND(ROUND(J266, 2)*I266, 2)</f>
        <v>52295.57</v>
      </c>
      <c r="P266" s="30">
        <v>8.6</v>
      </c>
      <c r="S266" s="29">
        <f>ROUND(ROUND(P266, 2)*I266, 2)</f>
        <v>52295.57</v>
      </c>
      <c r="V266" s="9">
        <f>ROUND(ROUND(P266, 2)/1.2, 2)</f>
        <v>7.17</v>
      </c>
      <c r="Y266" s="9">
        <f t="shared" si="14"/>
        <v>43579.64</v>
      </c>
      <c r="AD266" s="4" t="s">
        <v>1222</v>
      </c>
      <c r="AE266" s="4" t="s">
        <v>1223</v>
      </c>
      <c r="AF266" s="4" t="s">
        <v>1185</v>
      </c>
    </row>
    <row r="267" spans="1:35" ht="37.5" x14ac:dyDescent="0.25">
      <c r="A267" s="10" t="s">
        <v>1224</v>
      </c>
      <c r="B267" s="10"/>
      <c r="C267" s="24" t="s">
        <v>1187</v>
      </c>
      <c r="D267" s="15"/>
      <c r="E267" s="15"/>
      <c r="F267" s="25" t="s">
        <v>56</v>
      </c>
      <c r="G267" s="26">
        <v>1.1000000000000001</v>
      </c>
      <c r="H267" s="26"/>
      <c r="I267" s="26">
        <v>85.756</v>
      </c>
      <c r="J267" s="28">
        <v>66.150000000000006</v>
      </c>
      <c r="M267" s="29">
        <f>ROUND(ROUND(J267, 2)*I267, 2)</f>
        <v>5672.76</v>
      </c>
      <c r="P267" s="30">
        <v>66.150000000000006</v>
      </c>
      <c r="S267" s="29">
        <f>ROUND(ROUND(P267, 2)*I267, 2)</f>
        <v>5672.76</v>
      </c>
      <c r="V267" s="9">
        <f>ROUND(ROUND(P267, 2)/1.2, 2)</f>
        <v>55.13</v>
      </c>
      <c r="Y267" s="9">
        <f t="shared" si="14"/>
        <v>4727.3</v>
      </c>
      <c r="AD267" s="4" t="s">
        <v>1225</v>
      </c>
      <c r="AE267" s="4" t="s">
        <v>1226</v>
      </c>
      <c r="AF267" s="4" t="s">
        <v>1190</v>
      </c>
    </row>
    <row r="268" spans="1:35" ht="18.75" x14ac:dyDescent="0.25">
      <c r="A268" s="10" t="s">
        <v>1227</v>
      </c>
      <c r="B268" s="10"/>
      <c r="C268" s="24" t="s">
        <v>1192</v>
      </c>
      <c r="D268" s="15"/>
      <c r="E268" s="15"/>
      <c r="F268" s="25" t="s">
        <v>123</v>
      </c>
      <c r="G268" s="26">
        <v>1</v>
      </c>
      <c r="H268" s="27"/>
      <c r="I268" s="27">
        <v>55</v>
      </c>
      <c r="J268" s="28">
        <v>15.76</v>
      </c>
      <c r="M268" s="29">
        <f>ROUND(ROUND(J268, 2)*I268, 2)</f>
        <v>866.8</v>
      </c>
      <c r="P268" s="30">
        <v>15.76</v>
      </c>
      <c r="S268" s="29">
        <f>ROUND(ROUND(P268, 2)*I268, 2)</f>
        <v>866.8</v>
      </c>
      <c r="V268" s="9">
        <f>ROUND(ROUND(P268, 2)/1.2, 2)</f>
        <v>13.13</v>
      </c>
      <c r="Y268" s="9">
        <f t="shared" si="14"/>
        <v>722.33</v>
      </c>
      <c r="AD268" s="4" t="s">
        <v>1228</v>
      </c>
      <c r="AE268" s="4" t="s">
        <v>1229</v>
      </c>
      <c r="AF268" s="4" t="s">
        <v>1195</v>
      </c>
    </row>
    <row r="269" spans="1:35" ht="18.75" x14ac:dyDescent="0.25">
      <c r="A269" s="10" t="s">
        <v>1230</v>
      </c>
      <c r="B269" s="10"/>
      <c r="C269" s="24" t="s">
        <v>313</v>
      </c>
      <c r="D269" s="15"/>
      <c r="E269" s="15"/>
      <c r="F269" s="25" t="s">
        <v>81</v>
      </c>
      <c r="G269" s="26">
        <v>0.25</v>
      </c>
      <c r="H269" s="26"/>
      <c r="I269" s="26">
        <v>19.489999999999998</v>
      </c>
      <c r="J269" s="28">
        <v>100</v>
      </c>
      <c r="M269" s="29">
        <f>ROUND(ROUND(J269, 2)*I269, 2)</f>
        <v>1949</v>
      </c>
      <c r="P269" s="30">
        <v>100</v>
      </c>
      <c r="S269" s="29">
        <f>ROUND(ROUND(P269, 2)*I269, 2)</f>
        <v>1949</v>
      </c>
      <c r="V269" s="9">
        <f>ROUND(ROUND(P269, 2)/1.2, 2)</f>
        <v>83.33</v>
      </c>
      <c r="Y269" s="9">
        <f t="shared" si="14"/>
        <v>1624.17</v>
      </c>
      <c r="AD269" s="4" t="s">
        <v>1231</v>
      </c>
      <c r="AE269" s="4" t="s">
        <v>1232</v>
      </c>
      <c r="AF269" s="4" t="s">
        <v>316</v>
      </c>
    </row>
    <row r="270" spans="1:35" ht="75" x14ac:dyDescent="0.25">
      <c r="A270" s="10" t="s">
        <v>1233</v>
      </c>
      <c r="B270" s="10" t="s">
        <v>1234</v>
      </c>
      <c r="C270" s="14" t="s">
        <v>1235</v>
      </c>
      <c r="D270" s="15" t="s">
        <v>1236</v>
      </c>
      <c r="E270" s="15" t="s">
        <v>76</v>
      </c>
      <c r="F270" s="15" t="s">
        <v>56</v>
      </c>
      <c r="G270" s="16">
        <v>1</v>
      </c>
      <c r="H270" s="16"/>
      <c r="I270" s="16">
        <v>164.02</v>
      </c>
      <c r="J270" s="17">
        <f>IFERROR(ROUND(SUM(M271,M272,M273,M274)/I270, 2),0)</f>
        <v>333.66</v>
      </c>
      <c r="K270" s="18">
        <v>954</v>
      </c>
      <c r="L270" s="17">
        <f>J270+ROUND(K270, 2)</f>
        <v>1287.6600000000001</v>
      </c>
      <c r="M270" s="17">
        <f>ROUND(J270*I270, 2)</f>
        <v>54726.91</v>
      </c>
      <c r="N270" s="17">
        <f>ROUND(I270*ROUND(K270, 2), 2)</f>
        <v>156475.07999999999</v>
      </c>
      <c r="O270" s="17">
        <f>M270+N270</f>
        <v>211201.99</v>
      </c>
      <c r="P270" s="17">
        <f>IFERROR(ROUND(SUM(S271,S272,S273,S274)/I270, 2),0)</f>
        <v>333.66</v>
      </c>
      <c r="Q270" s="19">
        <v>954</v>
      </c>
      <c r="R270" s="17">
        <f>P270+ROUND(Q270, 2)</f>
        <v>1287.6600000000001</v>
      </c>
      <c r="S270" s="17">
        <f>ROUND(P270*I270, 2)</f>
        <v>54726.91</v>
      </c>
      <c r="T270" s="17">
        <f>ROUND(I270*ROUND(Q270, 2), 2)</f>
        <v>156475.07999999999</v>
      </c>
      <c r="U270" s="17">
        <f>S270+T270</f>
        <v>211201.99</v>
      </c>
      <c r="V270" s="9">
        <f>ROUND(P270 / 1.2, 2)</f>
        <v>278.05</v>
      </c>
      <c r="W270" s="9">
        <f>ROUND(Q270 / 1.2, 2)</f>
        <v>795</v>
      </c>
      <c r="X270" s="9">
        <f>ROUND(R270 / 1.2, 2)</f>
        <v>1073.05</v>
      </c>
      <c r="Y270" s="9">
        <f t="shared" si="14"/>
        <v>45605.760000000002</v>
      </c>
      <c r="Z270" s="9">
        <f>ROUND(T270 / 1.2, 2)</f>
        <v>130395.9</v>
      </c>
      <c r="AA270" s="9">
        <f>Y270+Z270</f>
        <v>176001.66</v>
      </c>
      <c r="AD270" s="4">
        <v>264030301</v>
      </c>
      <c r="AE270" s="4">
        <v>18538441</v>
      </c>
      <c r="AG270" s="4" t="s">
        <v>1237</v>
      </c>
      <c r="AH270" s="4" t="s">
        <v>1238</v>
      </c>
      <c r="AI270" s="4" t="s">
        <v>249</v>
      </c>
    </row>
    <row r="271" spans="1:35" ht="37.5" x14ac:dyDescent="0.25">
      <c r="A271" s="10" t="s">
        <v>1239</v>
      </c>
      <c r="B271" s="10"/>
      <c r="C271" s="24" t="s">
        <v>1181</v>
      </c>
      <c r="D271" s="15"/>
      <c r="E271" s="15" t="s">
        <v>1182</v>
      </c>
      <c r="F271" s="25" t="s">
        <v>81</v>
      </c>
      <c r="G271" s="26">
        <v>1.3</v>
      </c>
      <c r="H271" s="27"/>
      <c r="I271" s="27">
        <v>4264.5200000000004</v>
      </c>
      <c r="J271" s="28">
        <v>8.6</v>
      </c>
      <c r="M271" s="29">
        <f>ROUND(ROUND(J271, 2)*I271, 2)</f>
        <v>36674.870000000003</v>
      </c>
      <c r="P271" s="30">
        <v>8.6</v>
      </c>
      <c r="S271" s="29">
        <f>ROUND(ROUND(P271, 2)*I271, 2)</f>
        <v>36674.870000000003</v>
      </c>
      <c r="V271" s="9">
        <f>ROUND(ROUND(P271, 2)/1.2, 2)</f>
        <v>7.17</v>
      </c>
      <c r="Y271" s="9">
        <f t="shared" si="14"/>
        <v>30562.39</v>
      </c>
      <c r="AD271" s="4" t="s">
        <v>1240</v>
      </c>
      <c r="AE271" s="4" t="s">
        <v>1241</v>
      </c>
      <c r="AF271" s="4" t="s">
        <v>1185</v>
      </c>
    </row>
    <row r="272" spans="1:35" ht="37.5" x14ac:dyDescent="0.25">
      <c r="A272" s="10" t="s">
        <v>1242</v>
      </c>
      <c r="B272" s="10"/>
      <c r="C272" s="24" t="s">
        <v>1187</v>
      </c>
      <c r="D272" s="15"/>
      <c r="E272" s="15"/>
      <c r="F272" s="25" t="s">
        <v>56</v>
      </c>
      <c r="G272" s="26">
        <v>1.1000000000000001</v>
      </c>
      <c r="H272" s="26"/>
      <c r="I272" s="26">
        <v>180.422</v>
      </c>
      <c r="J272" s="28">
        <v>66.150000000000006</v>
      </c>
      <c r="M272" s="29">
        <f>ROUND(ROUND(J272, 2)*I272, 2)</f>
        <v>11934.92</v>
      </c>
      <c r="P272" s="30">
        <v>66.150000000000006</v>
      </c>
      <c r="S272" s="29">
        <f>ROUND(ROUND(P272, 2)*I272, 2)</f>
        <v>11934.92</v>
      </c>
      <c r="V272" s="9">
        <f>ROUND(ROUND(P272, 2)/1.2, 2)</f>
        <v>55.13</v>
      </c>
      <c r="Y272" s="9">
        <f t="shared" si="14"/>
        <v>9945.77</v>
      </c>
      <c r="AD272" s="4" t="s">
        <v>1243</v>
      </c>
      <c r="AE272" s="4" t="s">
        <v>1244</v>
      </c>
      <c r="AF272" s="4" t="s">
        <v>1190</v>
      </c>
    </row>
    <row r="273" spans="1:35" ht="18.75" x14ac:dyDescent="0.25">
      <c r="A273" s="10" t="s">
        <v>1245</v>
      </c>
      <c r="B273" s="10"/>
      <c r="C273" s="24" t="s">
        <v>1192</v>
      </c>
      <c r="D273" s="15"/>
      <c r="E273" s="15"/>
      <c r="F273" s="25" t="s">
        <v>123</v>
      </c>
      <c r="G273" s="26">
        <v>1</v>
      </c>
      <c r="H273" s="27"/>
      <c r="I273" s="27">
        <v>128</v>
      </c>
      <c r="J273" s="28">
        <v>15.76</v>
      </c>
      <c r="M273" s="29">
        <f>ROUND(ROUND(J273, 2)*I273, 2)</f>
        <v>2017.28</v>
      </c>
      <c r="P273" s="30">
        <v>15.76</v>
      </c>
      <c r="S273" s="29">
        <f>ROUND(ROUND(P273, 2)*I273, 2)</f>
        <v>2017.28</v>
      </c>
      <c r="V273" s="9">
        <f>ROUND(ROUND(P273, 2)/1.2, 2)</f>
        <v>13.13</v>
      </c>
      <c r="Y273" s="9">
        <f t="shared" si="14"/>
        <v>1681.07</v>
      </c>
      <c r="AD273" s="4" t="s">
        <v>1246</v>
      </c>
      <c r="AE273" s="4" t="s">
        <v>1247</v>
      </c>
      <c r="AF273" s="4" t="s">
        <v>1195</v>
      </c>
    </row>
    <row r="274" spans="1:35" ht="18.75" x14ac:dyDescent="0.25">
      <c r="A274" s="10" t="s">
        <v>1248</v>
      </c>
      <c r="B274" s="10"/>
      <c r="C274" s="24" t="s">
        <v>313</v>
      </c>
      <c r="D274" s="15"/>
      <c r="E274" s="15"/>
      <c r="F274" s="25" t="s">
        <v>81</v>
      </c>
      <c r="G274" s="26">
        <v>0.25</v>
      </c>
      <c r="H274" s="26"/>
      <c r="I274" s="26">
        <v>41.005000000000003</v>
      </c>
      <c r="J274" s="28">
        <v>100</v>
      </c>
      <c r="M274" s="29">
        <f>ROUND(ROUND(J274, 2)*I274, 2)</f>
        <v>4100.5</v>
      </c>
      <c r="P274" s="30">
        <v>100</v>
      </c>
      <c r="S274" s="29">
        <f>ROUND(ROUND(P274, 2)*I274, 2)</f>
        <v>4100.5</v>
      </c>
      <c r="V274" s="9">
        <f>ROUND(ROUND(P274, 2)/1.2, 2)</f>
        <v>83.33</v>
      </c>
      <c r="Y274" s="9">
        <f t="shared" si="14"/>
        <v>3417.08</v>
      </c>
      <c r="AD274" s="4" t="s">
        <v>1249</v>
      </c>
      <c r="AE274" s="4" t="s">
        <v>1250</v>
      </c>
      <c r="AF274" s="4" t="s">
        <v>316</v>
      </c>
    </row>
    <row r="275" spans="1:35" ht="75" x14ac:dyDescent="0.25">
      <c r="A275" s="10" t="s">
        <v>1251</v>
      </c>
      <c r="B275" s="10" t="s">
        <v>1252</v>
      </c>
      <c r="C275" s="14" t="s">
        <v>1253</v>
      </c>
      <c r="D275" s="15" t="s">
        <v>1236</v>
      </c>
      <c r="E275" s="15" t="s">
        <v>76</v>
      </c>
      <c r="F275" s="15" t="s">
        <v>56</v>
      </c>
      <c r="G275" s="16">
        <v>1</v>
      </c>
      <c r="H275" s="16"/>
      <c r="I275" s="16">
        <v>88.3</v>
      </c>
      <c r="J275" s="17">
        <f>IFERROR(ROUND(SUM(M276,M277,M278,M279)/I275, 2),0)</f>
        <v>545.6</v>
      </c>
      <c r="K275" s="18">
        <v>1165</v>
      </c>
      <c r="L275" s="17">
        <f>J275+ROUND(K275, 2)</f>
        <v>1710.6</v>
      </c>
      <c r="M275" s="17">
        <f>ROUND(J275*I275, 2)</f>
        <v>48176.480000000003</v>
      </c>
      <c r="N275" s="17">
        <f>ROUND(I275*ROUND(K275, 2), 2)</f>
        <v>102869.5</v>
      </c>
      <c r="O275" s="17">
        <f>M275+N275</f>
        <v>151045.98000000001</v>
      </c>
      <c r="P275" s="17">
        <f>IFERROR(ROUND(SUM(S276,S277,S278,S279)/I275, 2),0)</f>
        <v>545.6</v>
      </c>
      <c r="Q275" s="19">
        <v>1165</v>
      </c>
      <c r="R275" s="17">
        <f>P275+ROUND(Q275, 2)</f>
        <v>1710.6</v>
      </c>
      <c r="S275" s="17">
        <f>ROUND(P275*I275, 2)</f>
        <v>48176.480000000003</v>
      </c>
      <c r="T275" s="17">
        <f>ROUND(I275*ROUND(Q275, 2), 2)</f>
        <v>102869.5</v>
      </c>
      <c r="U275" s="17">
        <f>S275+T275</f>
        <v>151045.98000000001</v>
      </c>
      <c r="V275" s="9">
        <f>ROUND(P275 / 1.2, 2)</f>
        <v>454.67</v>
      </c>
      <c r="W275" s="9">
        <f>ROUND(Q275 / 1.2, 2)</f>
        <v>970.83</v>
      </c>
      <c r="X275" s="9">
        <f>ROUND(R275 / 1.2, 2)</f>
        <v>1425.5</v>
      </c>
      <c r="Y275" s="9">
        <f t="shared" si="14"/>
        <v>40147.07</v>
      </c>
      <c r="Z275" s="9">
        <f>ROUND(T275 / 1.2, 2)</f>
        <v>85724.58</v>
      </c>
      <c r="AA275" s="9">
        <f>Y275+Z275</f>
        <v>125871.65</v>
      </c>
      <c r="AD275" s="4">
        <v>264030302</v>
      </c>
      <c r="AE275" s="4">
        <v>18538438</v>
      </c>
      <c r="AG275" s="4" t="s">
        <v>1254</v>
      </c>
      <c r="AH275" s="4" t="s">
        <v>1255</v>
      </c>
      <c r="AI275" s="4" t="s">
        <v>249</v>
      </c>
    </row>
    <row r="276" spans="1:35" ht="37.5" x14ac:dyDescent="0.25">
      <c r="A276" s="10" t="s">
        <v>1256</v>
      </c>
      <c r="B276" s="10"/>
      <c r="C276" s="24" t="s">
        <v>1181</v>
      </c>
      <c r="D276" s="15"/>
      <c r="E276" s="15" t="s">
        <v>1182</v>
      </c>
      <c r="F276" s="25" t="s">
        <v>81</v>
      </c>
      <c r="G276" s="26">
        <v>1.3</v>
      </c>
      <c r="H276" s="27"/>
      <c r="I276" s="27">
        <v>4591.6000000000004</v>
      </c>
      <c r="J276" s="28">
        <v>8.6</v>
      </c>
      <c r="M276" s="29">
        <f>ROUND(ROUND(J276, 2)*I276, 2)</f>
        <v>39487.760000000002</v>
      </c>
      <c r="P276" s="30">
        <v>8.6</v>
      </c>
      <c r="S276" s="29">
        <f>ROUND(ROUND(P276, 2)*I276, 2)</f>
        <v>39487.760000000002</v>
      </c>
      <c r="V276" s="9">
        <f>ROUND(ROUND(P276, 2)/1.2, 2)</f>
        <v>7.17</v>
      </c>
      <c r="Y276" s="9">
        <f t="shared" si="14"/>
        <v>32906.47</v>
      </c>
      <c r="AD276" s="4" t="s">
        <v>1257</v>
      </c>
      <c r="AE276" s="4" t="s">
        <v>1258</v>
      </c>
      <c r="AF276" s="4" t="s">
        <v>1185</v>
      </c>
    </row>
    <row r="277" spans="1:35" ht="37.5" x14ac:dyDescent="0.25">
      <c r="A277" s="10" t="s">
        <v>1259</v>
      </c>
      <c r="B277" s="10"/>
      <c r="C277" s="24" t="s">
        <v>1187</v>
      </c>
      <c r="D277" s="15"/>
      <c r="E277" s="15"/>
      <c r="F277" s="25" t="s">
        <v>56</v>
      </c>
      <c r="G277" s="26">
        <v>1.1000000000000001</v>
      </c>
      <c r="H277" s="26"/>
      <c r="I277" s="26">
        <v>97.13</v>
      </c>
      <c r="J277" s="28">
        <v>66.150000000000006</v>
      </c>
      <c r="M277" s="29">
        <f>ROUND(ROUND(J277, 2)*I277, 2)</f>
        <v>6425.15</v>
      </c>
      <c r="P277" s="30">
        <v>66.150000000000006</v>
      </c>
      <c r="S277" s="29">
        <f>ROUND(ROUND(P277, 2)*I277, 2)</f>
        <v>6425.15</v>
      </c>
      <c r="V277" s="9">
        <f>ROUND(ROUND(P277, 2)/1.2, 2)</f>
        <v>55.13</v>
      </c>
      <c r="Y277" s="9">
        <f t="shared" si="14"/>
        <v>5354.29</v>
      </c>
      <c r="AD277" s="4" t="s">
        <v>1260</v>
      </c>
      <c r="AE277" s="4" t="s">
        <v>1261</v>
      </c>
      <c r="AF277" s="4" t="s">
        <v>1190</v>
      </c>
    </row>
    <row r="278" spans="1:35" ht="18.75" x14ac:dyDescent="0.25">
      <c r="A278" s="10" t="s">
        <v>1262</v>
      </c>
      <c r="B278" s="10"/>
      <c r="C278" s="24" t="s">
        <v>1192</v>
      </c>
      <c r="D278" s="15"/>
      <c r="E278" s="15"/>
      <c r="F278" s="25" t="s">
        <v>123</v>
      </c>
      <c r="G278" s="26">
        <v>1</v>
      </c>
      <c r="H278" s="27"/>
      <c r="I278" s="27">
        <v>69</v>
      </c>
      <c r="J278" s="28">
        <v>15.76</v>
      </c>
      <c r="M278" s="29">
        <f>ROUND(ROUND(J278, 2)*I278, 2)</f>
        <v>1087.44</v>
      </c>
      <c r="P278" s="30">
        <v>15.76</v>
      </c>
      <c r="S278" s="29">
        <f>ROUND(ROUND(P278, 2)*I278, 2)</f>
        <v>1087.44</v>
      </c>
      <c r="V278" s="9">
        <f>ROUND(ROUND(P278, 2)/1.2, 2)</f>
        <v>13.13</v>
      </c>
      <c r="Y278" s="9">
        <f t="shared" si="14"/>
        <v>906.2</v>
      </c>
      <c r="AD278" s="4" t="s">
        <v>1263</v>
      </c>
      <c r="AE278" s="4" t="s">
        <v>1264</v>
      </c>
      <c r="AF278" s="4" t="s">
        <v>1195</v>
      </c>
    </row>
    <row r="279" spans="1:35" ht="37.5" x14ac:dyDescent="0.25">
      <c r="A279" s="10" t="s">
        <v>1265</v>
      </c>
      <c r="B279" s="10"/>
      <c r="C279" s="24" t="s">
        <v>490</v>
      </c>
      <c r="D279" s="15"/>
      <c r="E279" s="15"/>
      <c r="F279" s="25" t="s">
        <v>81</v>
      </c>
      <c r="G279" s="26">
        <v>0.15</v>
      </c>
      <c r="H279" s="26"/>
      <c r="I279" s="26">
        <v>13.244999999999999</v>
      </c>
      <c r="J279" s="28">
        <v>88.8</v>
      </c>
      <c r="M279" s="29">
        <f>ROUND(ROUND(J279, 2)*I279, 2)</f>
        <v>1176.1600000000001</v>
      </c>
      <c r="P279" s="30">
        <v>88.8</v>
      </c>
      <c r="S279" s="29">
        <f>ROUND(ROUND(P279, 2)*I279, 2)</f>
        <v>1176.1600000000001</v>
      </c>
      <c r="V279" s="9">
        <f>ROUND(ROUND(P279, 2)/1.2, 2)</f>
        <v>74</v>
      </c>
      <c r="Y279" s="9">
        <f t="shared" si="14"/>
        <v>980.13</v>
      </c>
      <c r="AD279" s="4" t="s">
        <v>1266</v>
      </c>
      <c r="AE279" s="4" t="s">
        <v>1267</v>
      </c>
      <c r="AF279" s="4" t="s">
        <v>493</v>
      </c>
    </row>
    <row r="280" spans="1:35" ht="75" x14ac:dyDescent="0.25">
      <c r="A280" s="10" t="s">
        <v>1268</v>
      </c>
      <c r="B280" s="10" t="s">
        <v>1269</v>
      </c>
      <c r="C280" s="14" t="s">
        <v>1270</v>
      </c>
      <c r="D280" s="15" t="s">
        <v>1236</v>
      </c>
      <c r="E280" s="15" t="s">
        <v>76</v>
      </c>
      <c r="F280" s="15" t="s">
        <v>56</v>
      </c>
      <c r="G280" s="16">
        <v>1</v>
      </c>
      <c r="H280" s="16"/>
      <c r="I280" s="16">
        <v>46.38</v>
      </c>
      <c r="J280" s="17">
        <f>IFERROR(ROUND(SUM(M281,M282,M283,M284)/I280, 2),0)</f>
        <v>780.8</v>
      </c>
      <c r="K280" s="18">
        <v>1398</v>
      </c>
      <c r="L280" s="17">
        <f>J280+ROUND(K280, 2)</f>
        <v>2178.8000000000002</v>
      </c>
      <c r="M280" s="17">
        <f>ROUND(J280*I280, 2)</f>
        <v>36213.5</v>
      </c>
      <c r="N280" s="17">
        <f>ROUND(I280*ROUND(K280, 2), 2)</f>
        <v>64839.24</v>
      </c>
      <c r="O280" s="17">
        <f>M280+N280</f>
        <v>101052.74</v>
      </c>
      <c r="P280" s="17">
        <f>IFERROR(ROUND(SUM(S281,S282,S283,S284)/I280, 2),0)</f>
        <v>780.8</v>
      </c>
      <c r="Q280" s="19">
        <v>1398</v>
      </c>
      <c r="R280" s="17">
        <f>P280+ROUND(Q280, 2)</f>
        <v>2178.8000000000002</v>
      </c>
      <c r="S280" s="17">
        <f>ROUND(P280*I280, 2)</f>
        <v>36213.5</v>
      </c>
      <c r="T280" s="17">
        <f>ROUND(I280*ROUND(Q280, 2), 2)</f>
        <v>64839.24</v>
      </c>
      <c r="U280" s="17">
        <f>S280+T280</f>
        <v>101052.74</v>
      </c>
      <c r="V280" s="9">
        <f>ROUND(P280 / 1.2, 2)</f>
        <v>650.66999999999996</v>
      </c>
      <c r="W280" s="9">
        <f>ROUND(Q280 / 1.2, 2)</f>
        <v>1165</v>
      </c>
      <c r="X280" s="9">
        <f>ROUND(R280 / 1.2, 2)</f>
        <v>1815.67</v>
      </c>
      <c r="Y280" s="9">
        <f t="shared" si="14"/>
        <v>30177.919999999998</v>
      </c>
      <c r="Z280" s="9">
        <f>ROUND(T280 / 1.2, 2)</f>
        <v>54032.7</v>
      </c>
      <c r="AA280" s="9">
        <f>Y280+Z280</f>
        <v>84210.62</v>
      </c>
      <c r="AD280" s="4">
        <v>264030303</v>
      </c>
      <c r="AE280" s="4">
        <v>18539039</v>
      </c>
      <c r="AG280" s="4" t="s">
        <v>1271</v>
      </c>
      <c r="AH280" s="4" t="s">
        <v>1272</v>
      </c>
      <c r="AI280" s="4" t="s">
        <v>249</v>
      </c>
    </row>
    <row r="281" spans="1:35" ht="37.5" x14ac:dyDescent="0.25">
      <c r="A281" s="10" t="s">
        <v>1273</v>
      </c>
      <c r="B281" s="10"/>
      <c r="C281" s="24" t="s">
        <v>1181</v>
      </c>
      <c r="D281" s="15"/>
      <c r="E281" s="15" t="s">
        <v>1182</v>
      </c>
      <c r="F281" s="25" t="s">
        <v>81</v>
      </c>
      <c r="G281" s="26">
        <v>1.3</v>
      </c>
      <c r="H281" s="27"/>
      <c r="I281" s="27">
        <v>3617.64</v>
      </c>
      <c r="J281" s="28">
        <v>8.6</v>
      </c>
      <c r="M281" s="29">
        <f>ROUND(ROUND(J281, 2)*I281, 2)</f>
        <v>31111.7</v>
      </c>
      <c r="P281" s="30">
        <v>8.6</v>
      </c>
      <c r="S281" s="29">
        <f>ROUND(ROUND(P281, 2)*I281, 2)</f>
        <v>31111.7</v>
      </c>
      <c r="V281" s="9">
        <f>ROUND(ROUND(P281, 2)/1.2, 2)</f>
        <v>7.17</v>
      </c>
      <c r="Y281" s="9">
        <f t="shared" si="14"/>
        <v>25926.42</v>
      </c>
      <c r="AD281" s="4" t="s">
        <v>1274</v>
      </c>
      <c r="AE281" s="4" t="s">
        <v>1275</v>
      </c>
      <c r="AF281" s="4" t="s">
        <v>1185</v>
      </c>
    </row>
    <row r="282" spans="1:35" ht="37.5" x14ac:dyDescent="0.25">
      <c r="A282" s="10" t="s">
        <v>1276</v>
      </c>
      <c r="B282" s="10"/>
      <c r="C282" s="24" t="s">
        <v>1187</v>
      </c>
      <c r="D282" s="15"/>
      <c r="E282" s="15"/>
      <c r="F282" s="25" t="s">
        <v>56</v>
      </c>
      <c r="G282" s="26">
        <v>1.1000000000000001</v>
      </c>
      <c r="H282" s="26"/>
      <c r="I282" s="26">
        <v>51.018000000000001</v>
      </c>
      <c r="J282" s="28">
        <v>66.150000000000006</v>
      </c>
      <c r="M282" s="29">
        <f>ROUND(ROUND(J282, 2)*I282, 2)</f>
        <v>3374.84</v>
      </c>
      <c r="P282" s="30">
        <v>66.150000000000006</v>
      </c>
      <c r="S282" s="29">
        <f>ROUND(ROUND(P282, 2)*I282, 2)</f>
        <v>3374.84</v>
      </c>
      <c r="V282" s="9">
        <f>ROUND(ROUND(P282, 2)/1.2, 2)</f>
        <v>55.13</v>
      </c>
      <c r="Y282" s="9">
        <f t="shared" si="14"/>
        <v>2812.37</v>
      </c>
      <c r="AD282" s="4" t="s">
        <v>1277</v>
      </c>
      <c r="AE282" s="4" t="s">
        <v>1278</v>
      </c>
      <c r="AF282" s="4" t="s">
        <v>1190</v>
      </c>
    </row>
    <row r="283" spans="1:35" ht="18.75" x14ac:dyDescent="0.25">
      <c r="A283" s="10" t="s">
        <v>1279</v>
      </c>
      <c r="B283" s="10"/>
      <c r="C283" s="24" t="s">
        <v>1192</v>
      </c>
      <c r="D283" s="15"/>
      <c r="E283" s="15"/>
      <c r="F283" s="25" t="s">
        <v>123</v>
      </c>
      <c r="G283" s="26">
        <v>1</v>
      </c>
      <c r="H283" s="27"/>
      <c r="I283" s="27">
        <v>36</v>
      </c>
      <c r="J283" s="28">
        <v>15.76</v>
      </c>
      <c r="M283" s="29">
        <f>ROUND(ROUND(J283, 2)*I283, 2)</f>
        <v>567.36</v>
      </c>
      <c r="P283" s="30">
        <v>15.76</v>
      </c>
      <c r="S283" s="29">
        <f>ROUND(ROUND(P283, 2)*I283, 2)</f>
        <v>567.36</v>
      </c>
      <c r="V283" s="9">
        <f>ROUND(ROUND(P283, 2)/1.2, 2)</f>
        <v>13.13</v>
      </c>
      <c r="Y283" s="9">
        <f t="shared" si="14"/>
        <v>472.8</v>
      </c>
      <c r="AD283" s="4" t="s">
        <v>1280</v>
      </c>
      <c r="AE283" s="4" t="s">
        <v>1281</v>
      </c>
      <c r="AF283" s="4" t="s">
        <v>1195</v>
      </c>
    </row>
    <row r="284" spans="1:35" ht="18.75" x14ac:dyDescent="0.25">
      <c r="A284" s="10" t="s">
        <v>1282</v>
      </c>
      <c r="B284" s="10"/>
      <c r="C284" s="24" t="s">
        <v>313</v>
      </c>
      <c r="D284" s="15"/>
      <c r="E284" s="15"/>
      <c r="F284" s="25" t="s">
        <v>81</v>
      </c>
      <c r="G284" s="26">
        <v>0.25</v>
      </c>
      <c r="H284" s="26"/>
      <c r="I284" s="26">
        <v>11.595000000000001</v>
      </c>
      <c r="J284" s="28">
        <v>100</v>
      </c>
      <c r="M284" s="29">
        <f>ROUND(ROUND(J284, 2)*I284, 2)</f>
        <v>1159.5</v>
      </c>
      <c r="P284" s="30">
        <v>100</v>
      </c>
      <c r="S284" s="29">
        <f>ROUND(ROUND(P284, 2)*I284, 2)</f>
        <v>1159.5</v>
      </c>
      <c r="V284" s="9">
        <f>ROUND(ROUND(P284, 2)/1.2, 2)</f>
        <v>83.33</v>
      </c>
      <c r="Y284" s="9">
        <f t="shared" si="14"/>
        <v>966.25</v>
      </c>
      <c r="AD284" s="4" t="s">
        <v>1283</v>
      </c>
      <c r="AE284" s="4" t="s">
        <v>1284</v>
      </c>
      <c r="AF284" s="4" t="s">
        <v>316</v>
      </c>
    </row>
    <row r="285" spans="1:35" ht="75" x14ac:dyDescent="0.25">
      <c r="A285" s="10" t="s">
        <v>1285</v>
      </c>
      <c r="B285" s="10" t="s">
        <v>1286</v>
      </c>
      <c r="C285" s="14" t="s">
        <v>1287</v>
      </c>
      <c r="D285" s="15" t="s">
        <v>1236</v>
      </c>
      <c r="E285" s="15" t="s">
        <v>76</v>
      </c>
      <c r="F285" s="15" t="s">
        <v>56</v>
      </c>
      <c r="G285" s="16">
        <v>1</v>
      </c>
      <c r="H285" s="16"/>
      <c r="I285" s="16">
        <v>246.63</v>
      </c>
      <c r="J285" s="17">
        <f>IFERROR(ROUND(SUM(M286,M287,M288,M289)/I285, 2),0)</f>
        <v>331.72</v>
      </c>
      <c r="K285" s="18">
        <v>1074</v>
      </c>
      <c r="L285" s="17">
        <f>J285+ROUND(K285, 2)</f>
        <v>1405.72</v>
      </c>
      <c r="M285" s="17">
        <f>ROUND(J285*I285, 2)</f>
        <v>81812.100000000006</v>
      </c>
      <c r="N285" s="17">
        <f>ROUND(I285*ROUND(K285, 2), 2)</f>
        <v>264880.62</v>
      </c>
      <c r="O285" s="17">
        <f>M285+N285</f>
        <v>346692.72</v>
      </c>
      <c r="P285" s="17">
        <f>IFERROR(ROUND(SUM(S286,S287,S288,S289)/I285, 2),0)</f>
        <v>331.72</v>
      </c>
      <c r="Q285" s="19">
        <v>1074</v>
      </c>
      <c r="R285" s="17">
        <f>P285+ROUND(Q285, 2)</f>
        <v>1405.72</v>
      </c>
      <c r="S285" s="17">
        <f>ROUND(P285*I285, 2)</f>
        <v>81812.100000000006</v>
      </c>
      <c r="T285" s="17">
        <f>ROUND(I285*ROUND(Q285, 2), 2)</f>
        <v>264880.62</v>
      </c>
      <c r="U285" s="17">
        <f>S285+T285</f>
        <v>346692.72</v>
      </c>
      <c r="V285" s="9">
        <f>ROUND(P285 / 1.2, 2)</f>
        <v>276.43</v>
      </c>
      <c r="W285" s="9">
        <f>ROUND(Q285 / 1.2, 2)</f>
        <v>895</v>
      </c>
      <c r="X285" s="9">
        <f>ROUND(R285 / 1.2, 2)</f>
        <v>1171.43</v>
      </c>
      <c r="Y285" s="9">
        <f t="shared" si="14"/>
        <v>68176.75</v>
      </c>
      <c r="Z285" s="9">
        <f>ROUND(T285 / 1.2, 2)</f>
        <v>220733.85</v>
      </c>
      <c r="AA285" s="9">
        <f>Y285+Z285</f>
        <v>288910.59999999998</v>
      </c>
      <c r="AD285" s="4">
        <v>264030304</v>
      </c>
      <c r="AE285" s="4">
        <v>18539040</v>
      </c>
      <c r="AG285" s="4" t="s">
        <v>1288</v>
      </c>
      <c r="AH285" s="4" t="s">
        <v>1289</v>
      </c>
      <c r="AI285" s="4" t="s">
        <v>249</v>
      </c>
    </row>
    <row r="286" spans="1:35" ht="37.5" x14ac:dyDescent="0.25">
      <c r="A286" s="10" t="s">
        <v>1290</v>
      </c>
      <c r="B286" s="10"/>
      <c r="C286" s="24" t="s">
        <v>1181</v>
      </c>
      <c r="D286" s="15"/>
      <c r="E286" s="15" t="s">
        <v>1182</v>
      </c>
      <c r="F286" s="25" t="s">
        <v>81</v>
      </c>
      <c r="G286" s="26">
        <v>1.3</v>
      </c>
      <c r="H286" s="27"/>
      <c r="I286" s="27">
        <v>6412.38</v>
      </c>
      <c r="J286" s="28">
        <v>8.6</v>
      </c>
      <c r="M286" s="29">
        <f>ROUND(ROUND(J286, 2)*I286, 2)</f>
        <v>55146.47</v>
      </c>
      <c r="P286" s="30">
        <v>8.6</v>
      </c>
      <c r="S286" s="29">
        <f>ROUND(ROUND(P286, 2)*I286, 2)</f>
        <v>55146.47</v>
      </c>
      <c r="V286" s="9">
        <f>ROUND(ROUND(P286, 2)/1.2, 2)</f>
        <v>7.17</v>
      </c>
      <c r="Y286" s="9">
        <f t="shared" si="14"/>
        <v>45955.39</v>
      </c>
      <c r="AD286" s="4" t="s">
        <v>1291</v>
      </c>
      <c r="AE286" s="4" t="s">
        <v>1292</v>
      </c>
      <c r="AF286" s="4" t="s">
        <v>1185</v>
      </c>
    </row>
    <row r="287" spans="1:35" ht="37.5" x14ac:dyDescent="0.25">
      <c r="A287" s="10" t="s">
        <v>1293</v>
      </c>
      <c r="B287" s="10"/>
      <c r="C287" s="24" t="s">
        <v>1187</v>
      </c>
      <c r="D287" s="15"/>
      <c r="E287" s="15"/>
      <c r="F287" s="25" t="s">
        <v>56</v>
      </c>
      <c r="G287" s="26">
        <v>1.1000000000000001</v>
      </c>
      <c r="H287" s="26"/>
      <c r="I287" s="26">
        <v>271.29300000000001</v>
      </c>
      <c r="J287" s="28">
        <v>66.150000000000006</v>
      </c>
      <c r="M287" s="29">
        <f>ROUND(ROUND(J287, 2)*I287, 2)</f>
        <v>17946.03</v>
      </c>
      <c r="P287" s="30">
        <v>66.150000000000006</v>
      </c>
      <c r="S287" s="29">
        <f>ROUND(ROUND(P287, 2)*I287, 2)</f>
        <v>17946.03</v>
      </c>
      <c r="V287" s="9">
        <f>ROUND(ROUND(P287, 2)/1.2, 2)</f>
        <v>55.13</v>
      </c>
      <c r="Y287" s="9">
        <f t="shared" si="14"/>
        <v>14955.03</v>
      </c>
      <c r="AD287" s="4" t="s">
        <v>1294</v>
      </c>
      <c r="AE287" s="4" t="s">
        <v>1295</v>
      </c>
      <c r="AF287" s="4" t="s">
        <v>1190</v>
      </c>
    </row>
    <row r="288" spans="1:35" ht="18.75" x14ac:dyDescent="0.25">
      <c r="A288" s="10" t="s">
        <v>1296</v>
      </c>
      <c r="B288" s="10"/>
      <c r="C288" s="24" t="s">
        <v>1192</v>
      </c>
      <c r="D288" s="15"/>
      <c r="E288" s="15"/>
      <c r="F288" s="25" t="s">
        <v>123</v>
      </c>
      <c r="G288" s="26">
        <v>1</v>
      </c>
      <c r="H288" s="27"/>
      <c r="I288" s="27">
        <v>162</v>
      </c>
      <c r="J288" s="28">
        <v>15.76</v>
      </c>
      <c r="M288" s="29">
        <f>ROUND(ROUND(J288, 2)*I288, 2)</f>
        <v>2553.12</v>
      </c>
      <c r="P288" s="30">
        <v>15.76</v>
      </c>
      <c r="S288" s="29">
        <f>ROUND(ROUND(P288, 2)*I288, 2)</f>
        <v>2553.12</v>
      </c>
      <c r="V288" s="9">
        <f>ROUND(ROUND(P288, 2)/1.2, 2)</f>
        <v>13.13</v>
      </c>
      <c r="Y288" s="9">
        <f t="shared" si="14"/>
        <v>2127.6</v>
      </c>
      <c r="AD288" s="4" t="s">
        <v>1297</v>
      </c>
      <c r="AE288" s="4" t="s">
        <v>1298</v>
      </c>
      <c r="AF288" s="4" t="s">
        <v>1195</v>
      </c>
    </row>
    <row r="289" spans="1:35" ht="18.75" x14ac:dyDescent="0.25">
      <c r="A289" s="10" t="s">
        <v>1299</v>
      </c>
      <c r="B289" s="10"/>
      <c r="C289" s="24" t="s">
        <v>313</v>
      </c>
      <c r="D289" s="15"/>
      <c r="E289" s="15"/>
      <c r="F289" s="25" t="s">
        <v>81</v>
      </c>
      <c r="G289" s="26">
        <v>0.25</v>
      </c>
      <c r="H289" s="26"/>
      <c r="I289" s="26">
        <v>61.658000000000001</v>
      </c>
      <c r="J289" s="28">
        <v>100</v>
      </c>
      <c r="M289" s="29">
        <f>ROUND(ROUND(J289, 2)*I289, 2)</f>
        <v>6165.8</v>
      </c>
      <c r="P289" s="30">
        <v>100</v>
      </c>
      <c r="S289" s="29">
        <f>ROUND(ROUND(P289, 2)*I289, 2)</f>
        <v>6165.8</v>
      </c>
      <c r="V289" s="9">
        <f>ROUND(ROUND(P289, 2)/1.2, 2)</f>
        <v>83.33</v>
      </c>
      <c r="Y289" s="9">
        <f t="shared" si="14"/>
        <v>5138.17</v>
      </c>
      <c r="AD289" s="4" t="s">
        <v>1300</v>
      </c>
      <c r="AE289" s="4" t="s">
        <v>1301</v>
      </c>
      <c r="AF289" s="4" t="s">
        <v>316</v>
      </c>
    </row>
    <row r="290" spans="1:35" ht="75" x14ac:dyDescent="0.25">
      <c r="A290" s="10" t="s">
        <v>1302</v>
      </c>
      <c r="B290" s="10" t="s">
        <v>1303</v>
      </c>
      <c r="C290" s="14" t="s">
        <v>1304</v>
      </c>
      <c r="D290" s="15" t="s">
        <v>1236</v>
      </c>
      <c r="E290" s="15" t="s">
        <v>76</v>
      </c>
      <c r="F290" s="15" t="s">
        <v>56</v>
      </c>
      <c r="G290" s="16">
        <v>1</v>
      </c>
      <c r="H290" s="16"/>
      <c r="I290" s="16">
        <v>88.82</v>
      </c>
      <c r="J290" s="17">
        <f>IFERROR(ROUND(SUM(M291,M292,M293,M294)/I290, 2),0)</f>
        <v>543.75</v>
      </c>
      <c r="K290" s="18">
        <v>1312</v>
      </c>
      <c r="L290" s="17">
        <f>J290+ROUND(K290, 2)</f>
        <v>1855.75</v>
      </c>
      <c r="M290" s="17">
        <f>ROUND(J290*I290, 2)</f>
        <v>48295.88</v>
      </c>
      <c r="N290" s="17">
        <f>ROUND(I290*ROUND(K290, 2), 2)</f>
        <v>116531.84</v>
      </c>
      <c r="O290" s="17">
        <f>M290+N290</f>
        <v>164827.72</v>
      </c>
      <c r="P290" s="17">
        <f>IFERROR(ROUND(SUM(S291,S292,S293,S294)/I290, 2),0)</f>
        <v>543.75</v>
      </c>
      <c r="Q290" s="19">
        <v>1312</v>
      </c>
      <c r="R290" s="17">
        <f>P290+ROUND(Q290, 2)</f>
        <v>1855.75</v>
      </c>
      <c r="S290" s="17">
        <f>ROUND(P290*I290, 2)</f>
        <v>48295.88</v>
      </c>
      <c r="T290" s="17">
        <f>ROUND(I290*ROUND(Q290, 2), 2)</f>
        <v>116531.84</v>
      </c>
      <c r="U290" s="17">
        <f>S290+T290</f>
        <v>164827.72</v>
      </c>
      <c r="V290" s="9">
        <f>ROUND(P290 / 1.2, 2)</f>
        <v>453.13</v>
      </c>
      <c r="W290" s="9">
        <f>ROUND(Q290 / 1.2, 2)</f>
        <v>1093.33</v>
      </c>
      <c r="X290" s="9">
        <f>ROUND(R290 / 1.2, 2)</f>
        <v>1546.46</v>
      </c>
      <c r="Y290" s="9">
        <f t="shared" si="14"/>
        <v>40246.57</v>
      </c>
      <c r="Z290" s="9">
        <f>ROUND(T290 / 1.2, 2)</f>
        <v>97109.87</v>
      </c>
      <c r="AA290" s="9">
        <f>Y290+Z290</f>
        <v>137356.44</v>
      </c>
      <c r="AD290" s="4">
        <v>264030305</v>
      </c>
      <c r="AE290" s="4">
        <v>18539041</v>
      </c>
      <c r="AG290" s="4" t="s">
        <v>1305</v>
      </c>
      <c r="AH290" s="4" t="s">
        <v>1306</v>
      </c>
      <c r="AI290" s="4" t="s">
        <v>249</v>
      </c>
    </row>
    <row r="291" spans="1:35" ht="37.5" x14ac:dyDescent="0.25">
      <c r="A291" s="10" t="s">
        <v>1307</v>
      </c>
      <c r="B291" s="10"/>
      <c r="C291" s="24" t="s">
        <v>1181</v>
      </c>
      <c r="D291" s="15"/>
      <c r="E291" s="15" t="s">
        <v>1182</v>
      </c>
      <c r="F291" s="25" t="s">
        <v>81</v>
      </c>
      <c r="G291" s="26">
        <v>1.3</v>
      </c>
      <c r="H291" s="27"/>
      <c r="I291" s="27">
        <v>4618.6400000000003</v>
      </c>
      <c r="J291" s="28">
        <v>8.6</v>
      </c>
      <c r="M291" s="29">
        <f>ROUND(ROUND(J291, 2)*I291, 2)</f>
        <v>39720.300000000003</v>
      </c>
      <c r="P291" s="30">
        <v>8.6</v>
      </c>
      <c r="S291" s="29">
        <f>ROUND(ROUND(P291, 2)*I291, 2)</f>
        <v>39720.300000000003</v>
      </c>
      <c r="V291" s="9">
        <f>ROUND(ROUND(P291, 2)/1.2, 2)</f>
        <v>7.17</v>
      </c>
      <c r="Y291" s="9">
        <f t="shared" si="14"/>
        <v>33100.25</v>
      </c>
      <c r="AD291" s="4" t="s">
        <v>1308</v>
      </c>
      <c r="AE291" s="4" t="s">
        <v>1309</v>
      </c>
      <c r="AF291" s="4" t="s">
        <v>1185</v>
      </c>
    </row>
    <row r="292" spans="1:35" ht="37.5" x14ac:dyDescent="0.25">
      <c r="A292" s="10" t="s">
        <v>1310</v>
      </c>
      <c r="B292" s="10"/>
      <c r="C292" s="24" t="s">
        <v>490</v>
      </c>
      <c r="D292" s="15"/>
      <c r="E292" s="15"/>
      <c r="F292" s="25" t="s">
        <v>81</v>
      </c>
      <c r="G292" s="26">
        <v>0.15</v>
      </c>
      <c r="H292" s="26"/>
      <c r="I292" s="26">
        <v>13.323</v>
      </c>
      <c r="J292" s="28">
        <v>88.8</v>
      </c>
      <c r="M292" s="29">
        <f>ROUND(ROUND(J292, 2)*I292, 2)</f>
        <v>1183.08</v>
      </c>
      <c r="P292" s="30">
        <v>88.8</v>
      </c>
      <c r="S292" s="29">
        <f>ROUND(ROUND(P292, 2)*I292, 2)</f>
        <v>1183.08</v>
      </c>
      <c r="V292" s="9">
        <f>ROUND(ROUND(P292, 2)/1.2, 2)</f>
        <v>74</v>
      </c>
      <c r="Y292" s="9">
        <f t="shared" ref="Y292:Y299" si="15">ROUND(S292 / 1.2, 2)</f>
        <v>985.9</v>
      </c>
      <c r="AD292" s="4" t="s">
        <v>1311</v>
      </c>
      <c r="AE292" s="4" t="s">
        <v>1312</v>
      </c>
      <c r="AF292" s="4" t="s">
        <v>493</v>
      </c>
    </row>
    <row r="293" spans="1:35" ht="37.5" x14ac:dyDescent="0.25">
      <c r="A293" s="10" t="s">
        <v>1313</v>
      </c>
      <c r="B293" s="10"/>
      <c r="C293" s="24" t="s">
        <v>1187</v>
      </c>
      <c r="D293" s="15"/>
      <c r="E293" s="15"/>
      <c r="F293" s="25" t="s">
        <v>56</v>
      </c>
      <c r="G293" s="26">
        <v>1.1000000000000001</v>
      </c>
      <c r="H293" s="26"/>
      <c r="I293" s="26">
        <v>97.701999999999998</v>
      </c>
      <c r="J293" s="28">
        <v>66.150000000000006</v>
      </c>
      <c r="M293" s="29">
        <f>ROUND(ROUND(J293, 2)*I293, 2)</f>
        <v>6462.99</v>
      </c>
      <c r="P293" s="30">
        <v>66.150000000000006</v>
      </c>
      <c r="S293" s="29">
        <f>ROUND(ROUND(P293, 2)*I293, 2)</f>
        <v>6462.99</v>
      </c>
      <c r="V293" s="9">
        <f>ROUND(ROUND(P293, 2)/1.2, 2)</f>
        <v>55.13</v>
      </c>
      <c r="Y293" s="9">
        <f t="shared" si="15"/>
        <v>5385.83</v>
      </c>
      <c r="AD293" s="4" t="s">
        <v>1314</v>
      </c>
      <c r="AE293" s="4" t="s">
        <v>1315</v>
      </c>
      <c r="AF293" s="4" t="s">
        <v>1190</v>
      </c>
    </row>
    <row r="294" spans="1:35" ht="18.75" x14ac:dyDescent="0.25">
      <c r="A294" s="10" t="s">
        <v>1316</v>
      </c>
      <c r="B294" s="10"/>
      <c r="C294" s="24" t="s">
        <v>1192</v>
      </c>
      <c r="D294" s="15"/>
      <c r="E294" s="15"/>
      <c r="F294" s="25" t="s">
        <v>123</v>
      </c>
      <c r="G294" s="26">
        <v>1</v>
      </c>
      <c r="H294" s="27"/>
      <c r="I294" s="27">
        <v>59</v>
      </c>
      <c r="J294" s="28">
        <v>15.76</v>
      </c>
      <c r="M294" s="29">
        <f>ROUND(ROUND(J294, 2)*I294, 2)</f>
        <v>929.84</v>
      </c>
      <c r="P294" s="30">
        <v>15.76</v>
      </c>
      <c r="S294" s="29">
        <f>ROUND(ROUND(P294, 2)*I294, 2)</f>
        <v>929.84</v>
      </c>
      <c r="V294" s="9">
        <f>ROUND(ROUND(P294, 2)/1.2, 2)</f>
        <v>13.13</v>
      </c>
      <c r="Y294" s="9">
        <f t="shared" si="15"/>
        <v>774.87</v>
      </c>
      <c r="AD294" s="4" t="s">
        <v>1317</v>
      </c>
      <c r="AE294" s="4" t="s">
        <v>1318</v>
      </c>
      <c r="AF294" s="4" t="s">
        <v>1195</v>
      </c>
    </row>
    <row r="295" spans="1:35" ht="75" x14ac:dyDescent="0.25">
      <c r="A295" s="10" t="s">
        <v>1319</v>
      </c>
      <c r="B295" s="10" t="s">
        <v>1320</v>
      </c>
      <c r="C295" s="14" t="s">
        <v>1321</v>
      </c>
      <c r="D295" s="15" t="s">
        <v>1236</v>
      </c>
      <c r="E295" s="15" t="s">
        <v>76</v>
      </c>
      <c r="F295" s="15" t="s">
        <v>56</v>
      </c>
      <c r="G295" s="16">
        <v>1</v>
      </c>
      <c r="H295" s="16"/>
      <c r="I295" s="16">
        <v>17.54</v>
      </c>
      <c r="J295" s="17">
        <f>IFERROR(ROUND(SUM(M296,M297,M298,M299)/I295, 2),0)</f>
        <v>779.35</v>
      </c>
      <c r="K295" s="18">
        <v>1574</v>
      </c>
      <c r="L295" s="17">
        <f>J295+ROUND(K295, 2)</f>
        <v>2353.35</v>
      </c>
      <c r="M295" s="17">
        <f>ROUND(J295*I295, 2)</f>
        <v>13669.8</v>
      </c>
      <c r="N295" s="17">
        <f>ROUND(I295*ROUND(K295, 2), 2)</f>
        <v>27607.96</v>
      </c>
      <c r="O295" s="17">
        <f>M295+N295</f>
        <v>41277.760000000002</v>
      </c>
      <c r="P295" s="17">
        <f>IFERROR(ROUND(SUM(S296,S297,S298,S299)/I295, 2),0)</f>
        <v>779.35</v>
      </c>
      <c r="Q295" s="19">
        <v>1574</v>
      </c>
      <c r="R295" s="17">
        <f>P295+ROUND(Q295, 2)</f>
        <v>2353.35</v>
      </c>
      <c r="S295" s="17">
        <f>ROUND(P295*I295, 2)</f>
        <v>13669.8</v>
      </c>
      <c r="T295" s="17">
        <f>ROUND(I295*ROUND(Q295, 2), 2)</f>
        <v>27607.96</v>
      </c>
      <c r="U295" s="17">
        <f>S295+T295</f>
        <v>41277.760000000002</v>
      </c>
      <c r="V295" s="9">
        <f>ROUND(P295 / 1.2, 2)</f>
        <v>649.46</v>
      </c>
      <c r="W295" s="9">
        <f>ROUND(Q295 / 1.2, 2)</f>
        <v>1311.67</v>
      </c>
      <c r="X295" s="9">
        <f>ROUND(R295 / 1.2, 2)</f>
        <v>1961.13</v>
      </c>
      <c r="Y295" s="9">
        <f t="shared" si="15"/>
        <v>11391.5</v>
      </c>
      <c r="Z295" s="9">
        <f>ROUND(T295 / 1.2, 2)</f>
        <v>23006.63</v>
      </c>
      <c r="AA295" s="9">
        <f>Y295+Z295</f>
        <v>34398.129999999997</v>
      </c>
      <c r="AD295" s="4">
        <v>264030306</v>
      </c>
      <c r="AE295" s="4">
        <v>18539042</v>
      </c>
      <c r="AG295" s="4" t="s">
        <v>1322</v>
      </c>
      <c r="AH295" s="4" t="s">
        <v>1323</v>
      </c>
      <c r="AI295" s="4" t="s">
        <v>249</v>
      </c>
    </row>
    <row r="296" spans="1:35" ht="18.75" x14ac:dyDescent="0.25">
      <c r="A296" s="10" t="s">
        <v>1324</v>
      </c>
      <c r="B296" s="10"/>
      <c r="C296" s="24" t="s">
        <v>1192</v>
      </c>
      <c r="D296" s="15"/>
      <c r="E296" s="15"/>
      <c r="F296" s="25" t="s">
        <v>123</v>
      </c>
      <c r="G296" s="26">
        <v>1</v>
      </c>
      <c r="H296" s="27"/>
      <c r="I296" s="27">
        <v>12</v>
      </c>
      <c r="J296" s="28">
        <v>15.76</v>
      </c>
      <c r="M296" s="29">
        <f>ROUND(ROUND(J296, 2)*I296, 2)</f>
        <v>189.12</v>
      </c>
      <c r="P296" s="30">
        <v>15.76</v>
      </c>
      <c r="S296" s="29">
        <f>ROUND(ROUND(P296, 2)*I296, 2)</f>
        <v>189.12</v>
      </c>
      <c r="V296" s="9">
        <f>ROUND(ROUND(P296, 2)/1.2, 2)</f>
        <v>13.13</v>
      </c>
      <c r="Y296" s="9">
        <f t="shared" si="15"/>
        <v>157.6</v>
      </c>
      <c r="AD296" s="4" t="s">
        <v>1325</v>
      </c>
      <c r="AE296" s="4" t="s">
        <v>1326</v>
      </c>
      <c r="AF296" s="4" t="s">
        <v>1195</v>
      </c>
    </row>
    <row r="297" spans="1:35" ht="18.75" x14ac:dyDescent="0.25">
      <c r="A297" s="10" t="s">
        <v>1327</v>
      </c>
      <c r="B297" s="10"/>
      <c r="C297" s="24" t="s">
        <v>313</v>
      </c>
      <c r="D297" s="15"/>
      <c r="E297" s="15"/>
      <c r="F297" s="25" t="s">
        <v>81</v>
      </c>
      <c r="G297" s="26">
        <v>0.25</v>
      </c>
      <c r="H297" s="26"/>
      <c r="I297" s="26">
        <v>4.3849999999999998</v>
      </c>
      <c r="J297" s="28">
        <v>100</v>
      </c>
      <c r="M297" s="29">
        <f>ROUND(ROUND(J297, 2)*I297, 2)</f>
        <v>438.5</v>
      </c>
      <c r="P297" s="30">
        <v>100</v>
      </c>
      <c r="S297" s="29">
        <f>ROUND(ROUND(P297, 2)*I297, 2)</f>
        <v>438.5</v>
      </c>
      <c r="V297" s="9">
        <f>ROUND(ROUND(P297, 2)/1.2, 2)</f>
        <v>83.33</v>
      </c>
      <c r="Y297" s="9">
        <f t="shared" si="15"/>
        <v>365.42</v>
      </c>
      <c r="AD297" s="4" t="s">
        <v>1328</v>
      </c>
      <c r="AE297" s="4" t="s">
        <v>1329</v>
      </c>
      <c r="AF297" s="4" t="s">
        <v>316</v>
      </c>
    </row>
    <row r="298" spans="1:35" ht="37.5" x14ac:dyDescent="0.25">
      <c r="A298" s="10" t="s">
        <v>1330</v>
      </c>
      <c r="B298" s="10"/>
      <c r="C298" s="24" t="s">
        <v>1181</v>
      </c>
      <c r="D298" s="15"/>
      <c r="E298" s="15" t="s">
        <v>1182</v>
      </c>
      <c r="F298" s="25" t="s">
        <v>81</v>
      </c>
      <c r="G298" s="26">
        <v>1.3</v>
      </c>
      <c r="H298" s="27"/>
      <c r="I298" s="27">
        <v>1368.12</v>
      </c>
      <c r="J298" s="28">
        <v>8.6</v>
      </c>
      <c r="M298" s="29">
        <f>ROUND(ROUND(J298, 2)*I298, 2)</f>
        <v>11765.83</v>
      </c>
      <c r="P298" s="30">
        <v>8.6</v>
      </c>
      <c r="S298" s="29">
        <f>ROUND(ROUND(P298, 2)*I298, 2)</f>
        <v>11765.83</v>
      </c>
      <c r="V298" s="9">
        <f>ROUND(ROUND(P298, 2)/1.2, 2)</f>
        <v>7.17</v>
      </c>
      <c r="Y298" s="9">
        <f t="shared" si="15"/>
        <v>9804.86</v>
      </c>
      <c r="AD298" s="4" t="s">
        <v>1331</v>
      </c>
      <c r="AE298" s="4" t="s">
        <v>1332</v>
      </c>
      <c r="AF298" s="4" t="s">
        <v>1185</v>
      </c>
    </row>
    <row r="299" spans="1:35" ht="37.5" x14ac:dyDescent="0.25">
      <c r="A299" s="10" t="s">
        <v>1333</v>
      </c>
      <c r="B299" s="10"/>
      <c r="C299" s="24" t="s">
        <v>1187</v>
      </c>
      <c r="D299" s="15"/>
      <c r="E299" s="15"/>
      <c r="F299" s="25" t="s">
        <v>56</v>
      </c>
      <c r="G299" s="26">
        <v>1.1000000000000001</v>
      </c>
      <c r="H299" s="26"/>
      <c r="I299" s="26">
        <v>19.294</v>
      </c>
      <c r="J299" s="28">
        <v>66.150000000000006</v>
      </c>
      <c r="M299" s="29">
        <f>ROUND(ROUND(J299, 2)*I299, 2)</f>
        <v>1276.3</v>
      </c>
      <c r="P299" s="30">
        <v>66.150000000000006</v>
      </c>
      <c r="S299" s="29">
        <f>ROUND(ROUND(P299, 2)*I299, 2)</f>
        <v>1276.3</v>
      </c>
      <c r="V299" s="9">
        <f>ROUND(ROUND(P299, 2)/1.2, 2)</f>
        <v>55.13</v>
      </c>
      <c r="Y299" s="9">
        <f t="shared" si="15"/>
        <v>1063.58</v>
      </c>
      <c r="AD299" s="4" t="s">
        <v>1334</v>
      </c>
      <c r="AE299" s="4" t="s">
        <v>1335</v>
      </c>
      <c r="AF299" s="4" t="s">
        <v>1190</v>
      </c>
    </row>
    <row r="300" spans="1:35" ht="17.100000000000001" customHeight="1" x14ac:dyDescent="0.25">
      <c r="A300" s="10" t="s">
        <v>1336</v>
      </c>
      <c r="B300" s="10" t="s">
        <v>1337</v>
      </c>
      <c r="C300" s="116" t="s">
        <v>1338</v>
      </c>
      <c r="D300" s="117"/>
      <c r="E300" s="117"/>
      <c r="F300" s="117"/>
      <c r="G300" s="117"/>
      <c r="H300" s="117"/>
      <c r="I300" s="118"/>
      <c r="M300" s="6">
        <f>SUM(M301,M304,M307,M310,M313)</f>
        <v>236942.68</v>
      </c>
      <c r="N300" s="6">
        <f>SUM(N301,N304,N307,N310,N313)</f>
        <v>1839496.86</v>
      </c>
      <c r="O300" s="6">
        <f>SUM(O301,O304,O307,O310,O313)</f>
        <v>2076439.54</v>
      </c>
      <c r="S300" s="6">
        <f>SUM(S301,S304,S307,S310,S313)</f>
        <v>236942.68</v>
      </c>
      <c r="T300" s="6">
        <f>SUM(T301,T304,T307,T310,T313)</f>
        <v>1839496.86</v>
      </c>
      <c r="U300" s="6">
        <f>SUM(U301,U304,U307,U310,U313)</f>
        <v>2076439.54</v>
      </c>
      <c r="Y300" s="9">
        <f>SUM(Y301,Y304,Y307,Y310,Y313)</f>
        <v>197452.24</v>
      </c>
      <c r="Z300" s="9">
        <f>SUM(Z301,Z304,Z307,Z310,Z313)</f>
        <v>1532914.04</v>
      </c>
      <c r="AA300" s="9">
        <f>SUM(AA301,AA304,AA307,AA310,AA313)</f>
        <v>1730366.28</v>
      </c>
      <c r="AD300" s="4">
        <v>264030307</v>
      </c>
      <c r="AE300" s="4">
        <v>16076860</v>
      </c>
    </row>
    <row r="301" spans="1:35" ht="37.5" x14ac:dyDescent="0.25">
      <c r="A301" s="10" t="s">
        <v>1339</v>
      </c>
      <c r="B301" s="10" t="s">
        <v>1340</v>
      </c>
      <c r="C301" s="14" t="s">
        <v>1341</v>
      </c>
      <c r="D301" s="15"/>
      <c r="E301" s="15" t="s">
        <v>1342</v>
      </c>
      <c r="F301" s="15" t="s">
        <v>56</v>
      </c>
      <c r="G301" s="16">
        <v>1</v>
      </c>
      <c r="H301" s="16"/>
      <c r="I301" s="16">
        <v>754.1</v>
      </c>
      <c r="J301" s="17">
        <f>IFERROR(ROUND(SUM(M302,M303)/I301, 2),0)</f>
        <v>18.329999999999998</v>
      </c>
      <c r="K301" s="18">
        <v>251</v>
      </c>
      <c r="L301" s="17">
        <f>J301+ROUND(K301, 2)</f>
        <v>269.33</v>
      </c>
      <c r="M301" s="17">
        <f>ROUND(J301*I301, 2)</f>
        <v>13822.65</v>
      </c>
      <c r="N301" s="17">
        <f>ROUND(I301*ROUND(K301, 2), 2)</f>
        <v>189279.1</v>
      </c>
      <c r="O301" s="17">
        <f>M301+N301</f>
        <v>203101.75</v>
      </c>
      <c r="P301" s="17">
        <f>IFERROR(ROUND(SUM(S302,S303)/I301, 2),0)</f>
        <v>18.329999999999998</v>
      </c>
      <c r="Q301" s="18">
        <v>251</v>
      </c>
      <c r="R301" s="17">
        <f>P301+ROUND(Q301, 2)</f>
        <v>269.33</v>
      </c>
      <c r="S301" s="17">
        <f>ROUND(P301*I301, 2)</f>
        <v>13822.65</v>
      </c>
      <c r="T301" s="17">
        <f>ROUND(I301*ROUND(Q301, 2), 2)</f>
        <v>189279.1</v>
      </c>
      <c r="U301" s="17">
        <f>S301+T301</f>
        <v>203101.75</v>
      </c>
      <c r="V301" s="9">
        <f>ROUND(P301 / 1.2, 2)</f>
        <v>15.28</v>
      </c>
      <c r="W301" s="9">
        <f>ROUND(Q301 / 1.2, 2)</f>
        <v>209.17</v>
      </c>
      <c r="X301" s="9">
        <f>ROUND(R301 / 1.2, 2)</f>
        <v>224.44</v>
      </c>
      <c r="Y301" s="9">
        <f>ROUND(S301 / 1.2, 2)</f>
        <v>11518.88</v>
      </c>
      <c r="Z301" s="9">
        <f>ROUND(T301 / 1.2, 2)</f>
        <v>157732.57999999999</v>
      </c>
      <c r="AA301" s="9">
        <f>Y301+Z301</f>
        <v>169251.46</v>
      </c>
      <c r="AD301" s="4">
        <v>264030309</v>
      </c>
      <c r="AE301" s="4">
        <v>16076863</v>
      </c>
      <c r="AG301" s="4" t="s">
        <v>1343</v>
      </c>
      <c r="AH301" s="4" t="s">
        <v>1344</v>
      </c>
      <c r="AI301" s="4" t="s">
        <v>249</v>
      </c>
    </row>
    <row r="302" spans="1:35" ht="37.5" x14ac:dyDescent="0.25">
      <c r="A302" s="10" t="s">
        <v>1345</v>
      </c>
      <c r="B302" s="10"/>
      <c r="C302" s="24" t="s">
        <v>726</v>
      </c>
      <c r="D302" s="15"/>
      <c r="E302" s="15"/>
      <c r="F302" s="25" t="s">
        <v>81</v>
      </c>
      <c r="G302" s="26">
        <v>0.15</v>
      </c>
      <c r="H302" s="26"/>
      <c r="I302" s="26">
        <v>113.11499999999999</v>
      </c>
      <c r="J302" s="28">
        <v>80</v>
      </c>
      <c r="M302" s="29">
        <f>ROUND(ROUND(J302, 2)*I302, 2)</f>
        <v>9049.2000000000007</v>
      </c>
      <c r="P302" s="28">
        <v>80</v>
      </c>
      <c r="S302" s="29">
        <f>ROUND(ROUND(P302, 2)*I302, 2)</f>
        <v>9049.2000000000007</v>
      </c>
      <c r="V302" s="9">
        <f>ROUND(ROUND(P302, 2)/1.2, 2)</f>
        <v>66.67</v>
      </c>
      <c r="Y302" s="9">
        <f t="shared" ref="Y302:Y315" si="16">ROUND(S302 / 1.2, 2)</f>
        <v>7541</v>
      </c>
      <c r="AD302" s="4" t="s">
        <v>1346</v>
      </c>
      <c r="AE302" s="4" t="s">
        <v>1347</v>
      </c>
      <c r="AF302" s="4" t="s">
        <v>729</v>
      </c>
    </row>
    <row r="303" spans="1:35" ht="112.5" x14ac:dyDescent="0.25">
      <c r="A303" s="10" t="s">
        <v>1348</v>
      </c>
      <c r="B303" s="10"/>
      <c r="C303" s="24" t="s">
        <v>1349</v>
      </c>
      <c r="D303" s="15"/>
      <c r="E303" s="15" t="s">
        <v>1350</v>
      </c>
      <c r="F303" s="25" t="s">
        <v>81</v>
      </c>
      <c r="G303" s="26">
        <v>0.3</v>
      </c>
      <c r="H303" s="26"/>
      <c r="I303" s="26">
        <v>226.23</v>
      </c>
      <c r="J303" s="28">
        <v>21.1</v>
      </c>
      <c r="M303" s="29">
        <f>ROUND(ROUND(J303, 2)*I303, 2)</f>
        <v>4773.45</v>
      </c>
      <c r="P303" s="28">
        <v>21.1</v>
      </c>
      <c r="S303" s="29">
        <f>ROUND(ROUND(P303, 2)*I303, 2)</f>
        <v>4773.45</v>
      </c>
      <c r="V303" s="9">
        <f>ROUND(ROUND(P303, 2)/1.2, 2)</f>
        <v>17.579999999999998</v>
      </c>
      <c r="Y303" s="9">
        <f t="shared" si="16"/>
        <v>3977.88</v>
      </c>
      <c r="AD303" s="4" t="s">
        <v>1351</v>
      </c>
      <c r="AE303" s="4" t="s">
        <v>1352</v>
      </c>
      <c r="AF303" s="4" t="s">
        <v>1353</v>
      </c>
    </row>
    <row r="304" spans="1:35" ht="37.5" x14ac:dyDescent="0.25">
      <c r="A304" s="10" t="s">
        <v>1354</v>
      </c>
      <c r="B304" s="10" t="s">
        <v>1355</v>
      </c>
      <c r="C304" s="14" t="s">
        <v>1356</v>
      </c>
      <c r="D304" s="15"/>
      <c r="E304" s="15" t="s">
        <v>1357</v>
      </c>
      <c r="F304" s="15" t="s">
        <v>56</v>
      </c>
      <c r="G304" s="16">
        <v>1</v>
      </c>
      <c r="H304" s="16"/>
      <c r="I304" s="16">
        <v>295.58</v>
      </c>
      <c r="J304" s="17">
        <f>IFERROR(ROUND(SUM(M305,M306)/I304, 2),0)</f>
        <v>75.650000000000006</v>
      </c>
      <c r="K304" s="18">
        <v>428</v>
      </c>
      <c r="L304" s="17">
        <f>J304+ROUND(K304, 2)</f>
        <v>503.65</v>
      </c>
      <c r="M304" s="17">
        <f>ROUND(J304*I304, 2)</f>
        <v>22360.63</v>
      </c>
      <c r="N304" s="17">
        <f>ROUND(I304*ROUND(K304, 2), 2)</f>
        <v>126508.24</v>
      </c>
      <c r="O304" s="17">
        <f>M304+N304</f>
        <v>148868.87</v>
      </c>
      <c r="P304" s="17">
        <f>IFERROR(ROUND(SUM(S305,S306)/I304, 2),0)</f>
        <v>75.650000000000006</v>
      </c>
      <c r="Q304" s="19">
        <v>428</v>
      </c>
      <c r="R304" s="17">
        <f>P304+ROUND(Q304, 2)</f>
        <v>503.65</v>
      </c>
      <c r="S304" s="17">
        <f>ROUND(P304*I304, 2)</f>
        <v>22360.63</v>
      </c>
      <c r="T304" s="17">
        <f>ROUND(I304*ROUND(Q304, 2), 2)</f>
        <v>126508.24</v>
      </c>
      <c r="U304" s="17">
        <f>S304+T304</f>
        <v>148868.87</v>
      </c>
      <c r="V304" s="9">
        <f>ROUND(P304 / 1.2, 2)</f>
        <v>63.04</v>
      </c>
      <c r="W304" s="9">
        <f>ROUND(Q304 / 1.2, 2)</f>
        <v>356.67</v>
      </c>
      <c r="X304" s="9">
        <f>ROUND(R304 / 1.2, 2)</f>
        <v>419.71</v>
      </c>
      <c r="Y304" s="9">
        <f t="shared" si="16"/>
        <v>18633.86</v>
      </c>
      <c r="Z304" s="9">
        <f>ROUND(T304 / 1.2, 2)</f>
        <v>105423.53</v>
      </c>
      <c r="AA304" s="9">
        <f>Y304+Z304</f>
        <v>124057.39</v>
      </c>
      <c r="AD304" s="4">
        <v>264030311</v>
      </c>
      <c r="AE304" s="4">
        <v>19934100</v>
      </c>
      <c r="AG304" s="4" t="s">
        <v>1358</v>
      </c>
      <c r="AH304" s="4" t="s">
        <v>1359</v>
      </c>
      <c r="AI304" s="4" t="s">
        <v>249</v>
      </c>
    </row>
    <row r="305" spans="1:35" ht="37.5" x14ac:dyDescent="0.25">
      <c r="A305" s="10" t="s">
        <v>1360</v>
      </c>
      <c r="B305" s="10"/>
      <c r="C305" s="24" t="s">
        <v>1361</v>
      </c>
      <c r="D305" s="15"/>
      <c r="E305" s="15"/>
      <c r="F305" s="25" t="s">
        <v>81</v>
      </c>
      <c r="G305" s="26">
        <v>0.17</v>
      </c>
      <c r="H305" s="26"/>
      <c r="I305" s="26">
        <v>50.249000000000002</v>
      </c>
      <c r="J305" s="28">
        <v>366.67</v>
      </c>
      <c r="M305" s="29">
        <f>ROUND(ROUND(J305, 2)*I305, 2)</f>
        <v>18424.8</v>
      </c>
      <c r="P305" s="30">
        <v>366.67</v>
      </c>
      <c r="S305" s="29">
        <f>ROUND(ROUND(P305, 2)*I305, 2)</f>
        <v>18424.8</v>
      </c>
      <c r="V305" s="9">
        <f>ROUND(ROUND(P305, 2)/1.2, 2)</f>
        <v>305.56</v>
      </c>
      <c r="Y305" s="9">
        <f t="shared" si="16"/>
        <v>15354</v>
      </c>
      <c r="AD305" s="4" t="s">
        <v>1362</v>
      </c>
      <c r="AE305" s="4" t="s">
        <v>1363</v>
      </c>
      <c r="AF305" s="4" t="s">
        <v>1364</v>
      </c>
    </row>
    <row r="306" spans="1:35" ht="37.5" x14ac:dyDescent="0.25">
      <c r="A306" s="10" t="s">
        <v>1365</v>
      </c>
      <c r="B306" s="10"/>
      <c r="C306" s="24" t="s">
        <v>490</v>
      </c>
      <c r="D306" s="15"/>
      <c r="E306" s="15"/>
      <c r="F306" s="25" t="s">
        <v>81</v>
      </c>
      <c r="G306" s="26">
        <v>0.15</v>
      </c>
      <c r="H306" s="26"/>
      <c r="I306" s="26">
        <v>44.337000000000003</v>
      </c>
      <c r="J306" s="28">
        <v>88.8</v>
      </c>
      <c r="M306" s="29">
        <f>ROUND(ROUND(J306, 2)*I306, 2)</f>
        <v>3937.13</v>
      </c>
      <c r="P306" s="30">
        <v>88.8</v>
      </c>
      <c r="S306" s="29">
        <f>ROUND(ROUND(P306, 2)*I306, 2)</f>
        <v>3937.13</v>
      </c>
      <c r="V306" s="9">
        <f>ROUND(ROUND(P306, 2)/1.2, 2)</f>
        <v>74</v>
      </c>
      <c r="Y306" s="9">
        <f t="shared" si="16"/>
        <v>3280.94</v>
      </c>
      <c r="AD306" s="4" t="s">
        <v>1366</v>
      </c>
      <c r="AE306" s="4" t="s">
        <v>1367</v>
      </c>
      <c r="AF306" s="4" t="s">
        <v>493</v>
      </c>
    </row>
    <row r="307" spans="1:35" ht="37.5" x14ac:dyDescent="0.25">
      <c r="A307" s="10" t="s">
        <v>1368</v>
      </c>
      <c r="B307" s="10" t="s">
        <v>1355</v>
      </c>
      <c r="C307" s="14" t="s">
        <v>1356</v>
      </c>
      <c r="D307" s="15"/>
      <c r="E307" s="15" t="s">
        <v>1369</v>
      </c>
      <c r="F307" s="15" t="s">
        <v>56</v>
      </c>
      <c r="G307" s="16">
        <v>1</v>
      </c>
      <c r="H307" s="16"/>
      <c r="I307" s="16">
        <v>1068.06</v>
      </c>
      <c r="J307" s="17">
        <f>IFERROR(ROUND(SUM(M308,M309)/I307, 2),0)</f>
        <v>75.650000000000006</v>
      </c>
      <c r="K307" s="18">
        <v>428</v>
      </c>
      <c r="L307" s="17">
        <f>J307+ROUND(K307, 2)</f>
        <v>503.65</v>
      </c>
      <c r="M307" s="17">
        <f>ROUND(J307*I307, 2)</f>
        <v>80798.740000000005</v>
      </c>
      <c r="N307" s="17">
        <f>ROUND(I307*ROUND(K307, 2), 2)</f>
        <v>457129.68</v>
      </c>
      <c r="O307" s="17">
        <f>M307+N307</f>
        <v>537928.42000000004</v>
      </c>
      <c r="P307" s="17">
        <f>IFERROR(ROUND(SUM(S308,S309)/I307, 2),0)</f>
        <v>75.650000000000006</v>
      </c>
      <c r="Q307" s="19">
        <v>428</v>
      </c>
      <c r="R307" s="17">
        <f>P307+ROUND(Q307, 2)</f>
        <v>503.65</v>
      </c>
      <c r="S307" s="17">
        <f>ROUND(P307*I307, 2)</f>
        <v>80798.740000000005</v>
      </c>
      <c r="T307" s="17">
        <f>ROUND(I307*ROUND(Q307, 2), 2)</f>
        <v>457129.68</v>
      </c>
      <c r="U307" s="17">
        <f>S307+T307</f>
        <v>537928.42000000004</v>
      </c>
      <c r="V307" s="9">
        <f>ROUND(P307 / 1.2, 2)</f>
        <v>63.04</v>
      </c>
      <c r="W307" s="9">
        <f>ROUND(Q307 / 1.2, 2)</f>
        <v>356.67</v>
      </c>
      <c r="X307" s="9">
        <f>ROUND(R307 / 1.2, 2)</f>
        <v>419.71</v>
      </c>
      <c r="Y307" s="9">
        <f t="shared" si="16"/>
        <v>67332.28</v>
      </c>
      <c r="Z307" s="9">
        <f>ROUND(T307 / 1.2, 2)</f>
        <v>380941.4</v>
      </c>
      <c r="AA307" s="9">
        <f>Y307+Z307</f>
        <v>448273.68</v>
      </c>
      <c r="AD307" s="4">
        <v>264030398</v>
      </c>
      <c r="AE307" s="4">
        <v>19934099</v>
      </c>
      <c r="AG307" s="4" t="s">
        <v>1358</v>
      </c>
      <c r="AH307" s="4" t="s">
        <v>1359</v>
      </c>
      <c r="AI307" s="4" t="s">
        <v>249</v>
      </c>
    </row>
    <row r="308" spans="1:35" ht="37.5" x14ac:dyDescent="0.25">
      <c r="A308" s="10" t="s">
        <v>1370</v>
      </c>
      <c r="B308" s="10"/>
      <c r="C308" s="24" t="s">
        <v>490</v>
      </c>
      <c r="D308" s="15"/>
      <c r="E308" s="15"/>
      <c r="F308" s="25" t="s">
        <v>81</v>
      </c>
      <c r="G308" s="26">
        <v>0.15</v>
      </c>
      <c r="H308" s="26"/>
      <c r="I308" s="26">
        <v>160.209</v>
      </c>
      <c r="J308" s="28">
        <v>88.8</v>
      </c>
      <c r="M308" s="29">
        <f>ROUND(ROUND(J308, 2)*I308, 2)</f>
        <v>14226.56</v>
      </c>
      <c r="P308" s="30">
        <v>88.8</v>
      </c>
      <c r="S308" s="29">
        <f>ROUND(ROUND(P308, 2)*I308, 2)</f>
        <v>14226.56</v>
      </c>
      <c r="V308" s="9">
        <f>ROUND(ROUND(P308, 2)/1.2, 2)</f>
        <v>74</v>
      </c>
      <c r="Y308" s="9">
        <f t="shared" si="16"/>
        <v>11855.47</v>
      </c>
      <c r="AD308" s="4" t="s">
        <v>1371</v>
      </c>
      <c r="AE308" s="4" t="s">
        <v>1372</v>
      </c>
      <c r="AF308" s="4" t="s">
        <v>493</v>
      </c>
    </row>
    <row r="309" spans="1:35" ht="37.5" x14ac:dyDescent="0.25">
      <c r="A309" s="10" t="s">
        <v>1373</v>
      </c>
      <c r="B309" s="10"/>
      <c r="C309" s="24" t="s">
        <v>1361</v>
      </c>
      <c r="D309" s="15"/>
      <c r="E309" s="15"/>
      <c r="F309" s="25" t="s">
        <v>81</v>
      </c>
      <c r="G309" s="26">
        <v>0.17</v>
      </c>
      <c r="H309" s="26"/>
      <c r="I309" s="26">
        <v>181.57</v>
      </c>
      <c r="J309" s="28">
        <v>366.67</v>
      </c>
      <c r="M309" s="29">
        <f>ROUND(ROUND(J309, 2)*I309, 2)</f>
        <v>66576.27</v>
      </c>
      <c r="P309" s="30">
        <v>366.67</v>
      </c>
      <c r="S309" s="29">
        <f>ROUND(ROUND(P309, 2)*I309, 2)</f>
        <v>66576.27</v>
      </c>
      <c r="V309" s="9">
        <f>ROUND(ROUND(P309, 2)/1.2, 2)</f>
        <v>305.56</v>
      </c>
      <c r="Y309" s="9">
        <f t="shared" si="16"/>
        <v>55480.23</v>
      </c>
      <c r="AD309" s="4" t="s">
        <v>1374</v>
      </c>
      <c r="AE309" s="4" t="s">
        <v>1375</v>
      </c>
      <c r="AF309" s="4" t="s">
        <v>1364</v>
      </c>
    </row>
    <row r="310" spans="1:35" ht="37.5" x14ac:dyDescent="0.25">
      <c r="A310" s="10" t="s">
        <v>1376</v>
      </c>
      <c r="B310" s="10" t="s">
        <v>1355</v>
      </c>
      <c r="C310" s="14" t="s">
        <v>1356</v>
      </c>
      <c r="D310" s="15"/>
      <c r="E310" s="15" t="s">
        <v>1377</v>
      </c>
      <c r="F310" s="15" t="s">
        <v>56</v>
      </c>
      <c r="G310" s="16">
        <v>1</v>
      </c>
      <c r="H310" s="16"/>
      <c r="I310" s="16">
        <v>1410</v>
      </c>
      <c r="J310" s="17">
        <f>IFERROR(ROUND(SUM(M311,M312)/I310, 2),0)</f>
        <v>75.650000000000006</v>
      </c>
      <c r="K310" s="18">
        <v>428</v>
      </c>
      <c r="L310" s="17">
        <f>J310+ROUND(K310, 2)</f>
        <v>503.65</v>
      </c>
      <c r="M310" s="17">
        <f>ROUND(J310*I310, 2)</f>
        <v>106666.5</v>
      </c>
      <c r="N310" s="17">
        <f>ROUND(I310*ROUND(K310, 2), 2)</f>
        <v>603480</v>
      </c>
      <c r="O310" s="17">
        <f>M310+N310</f>
        <v>710146.5</v>
      </c>
      <c r="P310" s="17">
        <f>IFERROR(ROUND(SUM(S311,S312)/I310, 2),0)</f>
        <v>75.650000000000006</v>
      </c>
      <c r="Q310" s="19">
        <v>428</v>
      </c>
      <c r="R310" s="17">
        <f>P310+ROUND(Q310, 2)</f>
        <v>503.65</v>
      </c>
      <c r="S310" s="17">
        <f>ROUND(P310*I310, 2)</f>
        <v>106666.5</v>
      </c>
      <c r="T310" s="17">
        <f>ROUND(I310*ROUND(Q310, 2), 2)</f>
        <v>603480</v>
      </c>
      <c r="U310" s="17">
        <f>S310+T310</f>
        <v>710146.5</v>
      </c>
      <c r="V310" s="9">
        <f>ROUND(P310 / 1.2, 2)</f>
        <v>63.04</v>
      </c>
      <c r="W310" s="9">
        <f>ROUND(Q310 / 1.2, 2)</f>
        <v>356.67</v>
      </c>
      <c r="X310" s="9">
        <f>ROUND(R310 / 1.2, 2)</f>
        <v>419.71</v>
      </c>
      <c r="Y310" s="9">
        <f t="shared" si="16"/>
        <v>88888.75</v>
      </c>
      <c r="Z310" s="9">
        <f>ROUND(T310 / 1.2, 2)</f>
        <v>502900</v>
      </c>
      <c r="AA310" s="9">
        <f>Y310+Z310</f>
        <v>591788.75</v>
      </c>
      <c r="AD310" s="4">
        <v>264030399</v>
      </c>
      <c r="AE310" s="4">
        <v>19934098</v>
      </c>
      <c r="AG310" s="4" t="s">
        <v>1358</v>
      </c>
      <c r="AH310" s="4" t="s">
        <v>1359</v>
      </c>
      <c r="AI310" s="4" t="s">
        <v>249</v>
      </c>
    </row>
    <row r="311" spans="1:35" ht="37.5" x14ac:dyDescent="0.25">
      <c r="A311" s="10" t="s">
        <v>1378</v>
      </c>
      <c r="B311" s="10"/>
      <c r="C311" s="24" t="s">
        <v>1361</v>
      </c>
      <c r="D311" s="15"/>
      <c r="E311" s="15"/>
      <c r="F311" s="25" t="s">
        <v>81</v>
      </c>
      <c r="G311" s="26">
        <v>0.17</v>
      </c>
      <c r="H311" s="26"/>
      <c r="I311" s="26">
        <v>239.7</v>
      </c>
      <c r="J311" s="28">
        <v>366.67</v>
      </c>
      <c r="M311" s="29">
        <f>ROUND(ROUND(J311, 2)*I311, 2)</f>
        <v>87890.8</v>
      </c>
      <c r="P311" s="30">
        <v>366.67</v>
      </c>
      <c r="S311" s="29">
        <f>ROUND(ROUND(P311, 2)*I311, 2)</f>
        <v>87890.8</v>
      </c>
      <c r="V311" s="9">
        <f>ROUND(ROUND(P311, 2)/1.2, 2)</f>
        <v>305.56</v>
      </c>
      <c r="Y311" s="9">
        <f t="shared" si="16"/>
        <v>73242.33</v>
      </c>
      <c r="AD311" s="4" t="s">
        <v>1379</v>
      </c>
      <c r="AE311" s="4" t="s">
        <v>1380</v>
      </c>
      <c r="AF311" s="4" t="s">
        <v>1364</v>
      </c>
    </row>
    <row r="312" spans="1:35" ht="37.5" x14ac:dyDescent="0.25">
      <c r="A312" s="10" t="s">
        <v>1381</v>
      </c>
      <c r="B312" s="10"/>
      <c r="C312" s="24" t="s">
        <v>490</v>
      </c>
      <c r="D312" s="15"/>
      <c r="E312" s="15"/>
      <c r="F312" s="25" t="s">
        <v>81</v>
      </c>
      <c r="G312" s="26">
        <v>0.15</v>
      </c>
      <c r="H312" s="26"/>
      <c r="I312" s="26">
        <v>211.5</v>
      </c>
      <c r="J312" s="28">
        <v>88.8</v>
      </c>
      <c r="M312" s="29">
        <f>ROUND(ROUND(J312, 2)*I312, 2)</f>
        <v>18781.2</v>
      </c>
      <c r="P312" s="30">
        <v>88.8</v>
      </c>
      <c r="S312" s="29">
        <f>ROUND(ROUND(P312, 2)*I312, 2)</f>
        <v>18781.2</v>
      </c>
      <c r="V312" s="9">
        <f>ROUND(ROUND(P312, 2)/1.2, 2)</f>
        <v>74</v>
      </c>
      <c r="Y312" s="9">
        <f t="shared" si="16"/>
        <v>15651</v>
      </c>
      <c r="AD312" s="4" t="s">
        <v>1382</v>
      </c>
      <c r="AE312" s="4" t="s">
        <v>1383</v>
      </c>
      <c r="AF312" s="4" t="s">
        <v>493</v>
      </c>
    </row>
    <row r="313" spans="1:35" ht="37.5" x14ac:dyDescent="0.25">
      <c r="A313" s="10" t="s">
        <v>1384</v>
      </c>
      <c r="B313" s="10" t="s">
        <v>1385</v>
      </c>
      <c r="C313" s="14" t="s">
        <v>1386</v>
      </c>
      <c r="D313" s="15"/>
      <c r="E313" s="15" t="s">
        <v>1387</v>
      </c>
      <c r="F313" s="15" t="s">
        <v>56</v>
      </c>
      <c r="G313" s="16">
        <v>1</v>
      </c>
      <c r="H313" s="16"/>
      <c r="I313" s="16">
        <v>998.06</v>
      </c>
      <c r="J313" s="17">
        <f>IFERROR(ROUND(SUM(M314,M315)/I313, 2),0)</f>
        <v>13.32</v>
      </c>
      <c r="K313" s="18">
        <v>464</v>
      </c>
      <c r="L313" s="17">
        <f>J313+ROUND(K313, 2)</f>
        <v>477.32</v>
      </c>
      <c r="M313" s="17">
        <f>ROUND(J313*I313, 2)</f>
        <v>13294.16</v>
      </c>
      <c r="N313" s="17">
        <f>ROUND(I313*ROUND(K313, 2), 2)</f>
        <v>463099.84</v>
      </c>
      <c r="O313" s="17">
        <f>M313+N313</f>
        <v>476394</v>
      </c>
      <c r="P313" s="17">
        <f>IFERROR(ROUND(SUM(S314,S315)/I313, 2),0)</f>
        <v>13.32</v>
      </c>
      <c r="Q313" s="19">
        <v>464</v>
      </c>
      <c r="R313" s="17">
        <f>P313+ROUND(Q313, 2)</f>
        <v>477.32</v>
      </c>
      <c r="S313" s="17">
        <f>ROUND(P313*I313, 2)</f>
        <v>13294.16</v>
      </c>
      <c r="T313" s="17">
        <f>ROUND(I313*ROUND(Q313, 2), 2)</f>
        <v>463099.84</v>
      </c>
      <c r="U313" s="17">
        <f>S313+T313</f>
        <v>476394</v>
      </c>
      <c r="V313" s="9">
        <f>ROUND(P313 / 1.2, 2)</f>
        <v>11.1</v>
      </c>
      <c r="W313" s="9">
        <f>ROUND(Q313 / 1.2, 2)</f>
        <v>386.67</v>
      </c>
      <c r="X313" s="9">
        <f>ROUND(R313 / 1.2, 2)</f>
        <v>397.77</v>
      </c>
      <c r="Y313" s="9">
        <f t="shared" si="16"/>
        <v>11078.47</v>
      </c>
      <c r="Z313" s="9">
        <f>ROUND(T313 / 1.2, 2)</f>
        <v>385916.53</v>
      </c>
      <c r="AA313" s="9">
        <f>Y313+Z313</f>
        <v>396995</v>
      </c>
      <c r="AD313" s="4">
        <v>264030312</v>
      </c>
      <c r="AE313" s="4">
        <v>19918753</v>
      </c>
      <c r="AG313" s="4" t="s">
        <v>1388</v>
      </c>
      <c r="AH313" s="4" t="s">
        <v>1389</v>
      </c>
      <c r="AI313" s="4" t="s">
        <v>249</v>
      </c>
    </row>
    <row r="314" spans="1:35" ht="56.25" x14ac:dyDescent="0.25">
      <c r="A314" s="10" t="s">
        <v>1390</v>
      </c>
      <c r="B314" s="10"/>
      <c r="C314" s="24" t="s">
        <v>1391</v>
      </c>
      <c r="D314" s="15"/>
      <c r="E314" s="15"/>
      <c r="F314" s="25" t="s">
        <v>81</v>
      </c>
      <c r="G314" s="26">
        <v>0.3</v>
      </c>
      <c r="H314" s="26"/>
      <c r="I314" s="26">
        <v>299.41800000000001</v>
      </c>
      <c r="J314" s="28">
        <v>0</v>
      </c>
      <c r="M314" s="29">
        <f>ROUND(ROUND(J314, 2)*I314, 2)</f>
        <v>0</v>
      </c>
      <c r="P314" s="30">
        <v>0</v>
      </c>
      <c r="S314" s="29">
        <f>ROUND(ROUND(P314, 2)*I314, 2)</f>
        <v>0</v>
      </c>
      <c r="V314" s="9">
        <f>ROUND(ROUND(P314, 2)/1.2, 2)</f>
        <v>0</v>
      </c>
      <c r="Y314" s="9">
        <f t="shared" si="16"/>
        <v>0</v>
      </c>
      <c r="AD314" s="4" t="s">
        <v>1392</v>
      </c>
      <c r="AE314" s="4" t="s">
        <v>1393</v>
      </c>
      <c r="AF314" s="4" t="s">
        <v>1394</v>
      </c>
    </row>
    <row r="315" spans="1:35" ht="37.5" x14ac:dyDescent="0.25">
      <c r="A315" s="10" t="s">
        <v>1395</v>
      </c>
      <c r="B315" s="10"/>
      <c r="C315" s="24" t="s">
        <v>490</v>
      </c>
      <c r="D315" s="15"/>
      <c r="E315" s="15"/>
      <c r="F315" s="25" t="s">
        <v>81</v>
      </c>
      <c r="G315" s="26">
        <v>0.15</v>
      </c>
      <c r="H315" s="26"/>
      <c r="I315" s="26">
        <v>149.709</v>
      </c>
      <c r="J315" s="28">
        <v>88.8</v>
      </c>
      <c r="M315" s="29">
        <f>ROUND(ROUND(J315, 2)*I315, 2)</f>
        <v>13294.16</v>
      </c>
      <c r="P315" s="30">
        <v>88.8</v>
      </c>
      <c r="S315" s="29">
        <f>ROUND(ROUND(P315, 2)*I315, 2)</f>
        <v>13294.16</v>
      </c>
      <c r="V315" s="9">
        <f>ROUND(ROUND(P315, 2)/1.2, 2)</f>
        <v>74</v>
      </c>
      <c r="Y315" s="9">
        <f t="shared" si="16"/>
        <v>11078.47</v>
      </c>
      <c r="AD315" s="4" t="s">
        <v>1396</v>
      </c>
      <c r="AE315" s="4" t="s">
        <v>1397</v>
      </c>
      <c r="AF315" s="4" t="s">
        <v>493</v>
      </c>
    </row>
    <row r="316" spans="1:35" ht="17.100000000000001" customHeight="1" x14ac:dyDescent="0.25">
      <c r="A316" s="10" t="s">
        <v>1398</v>
      </c>
      <c r="B316" s="10" t="s">
        <v>1399</v>
      </c>
      <c r="C316" s="116" t="s">
        <v>1400</v>
      </c>
      <c r="D316" s="117"/>
      <c r="E316" s="117"/>
      <c r="F316" s="117"/>
      <c r="G316" s="117"/>
      <c r="H316" s="117"/>
      <c r="I316" s="118"/>
      <c r="M316" s="6">
        <f>SUM(M317,M321,M324,M328,M331,M334,M338,M341,M344,M347,M351,M356)</f>
        <v>66331.38</v>
      </c>
      <c r="N316" s="6">
        <f>SUM(N317,N321,N324,N328,N331,N334,N338,N341,N344,N347,N351,N356)</f>
        <v>348373.99</v>
      </c>
      <c r="O316" s="6">
        <f>SUM(O317,O321,O324,O328,O331,O334,O338,O341,O344,O347,O351,O356)</f>
        <v>414705.37</v>
      </c>
      <c r="S316" s="6">
        <f>SUM(S317,S321,S324,S328,S331,S334,S338,S341,S344,S347,S351,S356)</f>
        <v>66331.38</v>
      </c>
      <c r="T316" s="6">
        <f>SUM(T317,T321,T324,T328,T331,T334,T338,T341,T344,T347,T351,T356)</f>
        <v>348373.99</v>
      </c>
      <c r="U316" s="6">
        <f>SUM(U317,U321,U324,U328,U331,U334,U338,U341,U344,U347,U351,U356)</f>
        <v>414705.37</v>
      </c>
      <c r="Y316" s="9">
        <f>SUM(Y317,Y321,Y324,Y328,Y331,Y334,Y338,Y341,Y344,Y347,Y351,Y356)</f>
        <v>55276.17</v>
      </c>
      <c r="Z316" s="9">
        <f>SUM(Z317,Z321,Z324,Z328,Z331,Z334,Z338,Z341,Z344,Z347,Z351,Z356)</f>
        <v>290311.65999999997</v>
      </c>
      <c r="AA316" s="9">
        <f>SUM(AA317,AA321,AA324,AA328,AA331,AA334,AA338,AA341,AA344,AA347,AA351,AA356)</f>
        <v>345587.83</v>
      </c>
      <c r="AD316" s="4">
        <v>264030313</v>
      </c>
      <c r="AE316" s="4">
        <v>18541165</v>
      </c>
    </row>
    <row r="317" spans="1:35" ht="56.25" x14ac:dyDescent="0.25">
      <c r="A317" s="10" t="s">
        <v>1401</v>
      </c>
      <c r="B317" s="10" t="s">
        <v>1402</v>
      </c>
      <c r="C317" s="14" t="s">
        <v>1403</v>
      </c>
      <c r="D317" s="15"/>
      <c r="E317" s="15" t="s">
        <v>1404</v>
      </c>
      <c r="F317" s="15" t="s">
        <v>56</v>
      </c>
      <c r="G317" s="16">
        <v>1</v>
      </c>
      <c r="H317" s="16"/>
      <c r="I317" s="16">
        <v>25.45</v>
      </c>
      <c r="J317" s="17">
        <f>IFERROR(ROUND(SUM(M318,M319,M320)/I317, 2),0)</f>
        <v>151.59</v>
      </c>
      <c r="K317" s="18">
        <v>1001</v>
      </c>
      <c r="L317" s="17">
        <f>J317+ROUND(K317, 2)</f>
        <v>1152.5899999999999</v>
      </c>
      <c r="M317" s="17">
        <f>ROUND(J317*I317, 2)</f>
        <v>3857.97</v>
      </c>
      <c r="N317" s="17">
        <f>ROUND(I317*ROUND(K317, 2), 2)</f>
        <v>25475.45</v>
      </c>
      <c r="O317" s="17">
        <f>M317+N317</f>
        <v>29333.42</v>
      </c>
      <c r="P317" s="17">
        <f>IFERROR(ROUND(SUM(S318,S319,S320)/I317, 2),0)</f>
        <v>151.59</v>
      </c>
      <c r="Q317" s="19">
        <v>1001</v>
      </c>
      <c r="R317" s="17">
        <f>P317+ROUND(Q317, 2)</f>
        <v>1152.5899999999999</v>
      </c>
      <c r="S317" s="17">
        <f>ROUND(P317*I317, 2)</f>
        <v>3857.97</v>
      </c>
      <c r="T317" s="17">
        <f>ROUND(I317*ROUND(Q317, 2), 2)</f>
        <v>25475.45</v>
      </c>
      <c r="U317" s="17">
        <f>S317+T317</f>
        <v>29333.42</v>
      </c>
      <c r="V317" s="9">
        <f>ROUND(P317 / 1.2, 2)</f>
        <v>126.33</v>
      </c>
      <c r="W317" s="9">
        <f>ROUND(Q317 / 1.2, 2)</f>
        <v>834.17</v>
      </c>
      <c r="X317" s="9">
        <f>ROUND(R317 / 1.2, 2)</f>
        <v>960.49</v>
      </c>
      <c r="Y317" s="9">
        <f>ROUND(S317 / 1.2, 2)</f>
        <v>3214.98</v>
      </c>
      <c r="Z317" s="9">
        <f>ROUND(T317 / 1.2, 2)</f>
        <v>21229.54</v>
      </c>
      <c r="AA317" s="9">
        <f>Y317+Z317</f>
        <v>24444.52</v>
      </c>
      <c r="AD317" s="4">
        <v>264030315</v>
      </c>
      <c r="AE317" s="4">
        <v>18541176</v>
      </c>
      <c r="AG317" s="4" t="s">
        <v>1405</v>
      </c>
      <c r="AH317" s="4" t="s">
        <v>1406</v>
      </c>
      <c r="AI317" s="4" t="s">
        <v>249</v>
      </c>
    </row>
    <row r="318" spans="1:35" ht="56.25" x14ac:dyDescent="0.25">
      <c r="A318" s="10" t="s">
        <v>1407</v>
      </c>
      <c r="B318" s="10"/>
      <c r="C318" s="24" t="s">
        <v>859</v>
      </c>
      <c r="D318" s="15"/>
      <c r="E318" s="15" t="s">
        <v>860</v>
      </c>
      <c r="F318" s="25" t="s">
        <v>81</v>
      </c>
      <c r="G318" s="26">
        <v>5</v>
      </c>
      <c r="H318" s="26"/>
      <c r="I318" s="26">
        <v>127.25</v>
      </c>
      <c r="J318" s="28">
        <v>23</v>
      </c>
      <c r="M318" s="29">
        <f>ROUND(ROUND(J318, 2)*I318, 2)</f>
        <v>2926.75</v>
      </c>
      <c r="P318" s="30">
        <v>23</v>
      </c>
      <c r="S318" s="29">
        <f>ROUND(ROUND(P318, 2)*I318, 2)</f>
        <v>2926.75</v>
      </c>
      <c r="V318" s="9">
        <f>ROUND(ROUND(P318, 2)/1.2, 2)</f>
        <v>19.170000000000002</v>
      </c>
      <c r="Y318" s="9">
        <f t="shared" ref="Y318:Y359" si="17">ROUND(S318 / 1.2, 2)</f>
        <v>2438.96</v>
      </c>
      <c r="AD318" s="4" t="s">
        <v>1408</v>
      </c>
      <c r="AE318" s="4" t="s">
        <v>1409</v>
      </c>
      <c r="AF318" s="4" t="s">
        <v>863</v>
      </c>
    </row>
    <row r="319" spans="1:35" ht="56.25" x14ac:dyDescent="0.25">
      <c r="A319" s="10" t="s">
        <v>1410</v>
      </c>
      <c r="B319" s="10"/>
      <c r="C319" s="24" t="s">
        <v>1069</v>
      </c>
      <c r="D319" s="15"/>
      <c r="E319" s="15"/>
      <c r="F319" s="25" t="s">
        <v>103</v>
      </c>
      <c r="G319" s="26">
        <v>0.3</v>
      </c>
      <c r="H319" s="27"/>
      <c r="I319" s="27">
        <v>8.1</v>
      </c>
      <c r="J319" s="28">
        <v>73.099999999999994</v>
      </c>
      <c r="M319" s="29">
        <f>ROUND(ROUND(J319, 2)*I319, 2)</f>
        <v>592.11</v>
      </c>
      <c r="P319" s="30">
        <v>73.099999999999994</v>
      </c>
      <c r="S319" s="29">
        <f>ROUND(ROUND(P319, 2)*I319, 2)</f>
        <v>592.11</v>
      </c>
      <c r="V319" s="9">
        <f>ROUND(ROUND(P319, 2)/1.2, 2)</f>
        <v>60.92</v>
      </c>
      <c r="Y319" s="9">
        <f t="shared" si="17"/>
        <v>493.43</v>
      </c>
      <c r="AD319" s="4" t="s">
        <v>1411</v>
      </c>
      <c r="AE319" s="4" t="s">
        <v>1412</v>
      </c>
      <c r="AF319" s="4" t="s">
        <v>1072</v>
      </c>
    </row>
    <row r="320" spans="1:35" ht="37.5" x14ac:dyDescent="0.25">
      <c r="A320" s="10" t="s">
        <v>1413</v>
      </c>
      <c r="B320" s="10"/>
      <c r="C320" s="24" t="s">
        <v>490</v>
      </c>
      <c r="D320" s="15"/>
      <c r="E320" s="15"/>
      <c r="F320" s="25" t="s">
        <v>81</v>
      </c>
      <c r="G320" s="26">
        <v>0.15</v>
      </c>
      <c r="H320" s="26"/>
      <c r="I320" s="26">
        <v>3.8180000000000001</v>
      </c>
      <c r="J320" s="28">
        <v>88.8</v>
      </c>
      <c r="M320" s="29">
        <f>ROUND(ROUND(J320, 2)*I320, 2)</f>
        <v>339.04</v>
      </c>
      <c r="P320" s="30">
        <v>88.8</v>
      </c>
      <c r="S320" s="29">
        <f>ROUND(ROUND(P320, 2)*I320, 2)</f>
        <v>339.04</v>
      </c>
      <c r="V320" s="9">
        <f>ROUND(ROUND(P320, 2)/1.2, 2)</f>
        <v>74</v>
      </c>
      <c r="Y320" s="9">
        <f t="shared" si="17"/>
        <v>282.52999999999997</v>
      </c>
      <c r="AD320" s="4" t="s">
        <v>1414</v>
      </c>
      <c r="AE320" s="4" t="s">
        <v>1415</v>
      </c>
      <c r="AF320" s="4" t="s">
        <v>493</v>
      </c>
    </row>
    <row r="321" spans="1:35" ht="56.25" x14ac:dyDescent="0.25">
      <c r="A321" s="10" t="s">
        <v>1416</v>
      </c>
      <c r="B321" s="10" t="s">
        <v>1402</v>
      </c>
      <c r="C321" s="14" t="s">
        <v>1403</v>
      </c>
      <c r="D321" s="15"/>
      <c r="E321" s="15" t="s">
        <v>1417</v>
      </c>
      <c r="F321" s="15" t="s">
        <v>56</v>
      </c>
      <c r="G321" s="16">
        <v>1</v>
      </c>
      <c r="H321" s="16"/>
      <c r="I321" s="16">
        <v>25.45</v>
      </c>
      <c r="J321" s="17">
        <f>IFERROR(ROUND(SUM(M322,M323)/I321, 2),0)</f>
        <v>128.32</v>
      </c>
      <c r="K321" s="18">
        <v>1001</v>
      </c>
      <c r="L321" s="17">
        <f>J321+ROUND(K321, 2)</f>
        <v>1129.32</v>
      </c>
      <c r="M321" s="17">
        <f>ROUND(J321*I321, 2)</f>
        <v>3265.74</v>
      </c>
      <c r="N321" s="17">
        <f>ROUND(I321*ROUND(K321, 2), 2)</f>
        <v>25475.45</v>
      </c>
      <c r="O321" s="17">
        <f>M321+N321</f>
        <v>28741.19</v>
      </c>
      <c r="P321" s="17">
        <f>IFERROR(ROUND(SUM(S322,S323)/I321, 2),0)</f>
        <v>128.32</v>
      </c>
      <c r="Q321" s="19">
        <v>1001</v>
      </c>
      <c r="R321" s="17">
        <f>P321+ROUND(Q321, 2)</f>
        <v>1129.32</v>
      </c>
      <c r="S321" s="17">
        <f>ROUND(P321*I321, 2)</f>
        <v>3265.74</v>
      </c>
      <c r="T321" s="17">
        <f>ROUND(I321*ROUND(Q321, 2), 2)</f>
        <v>25475.45</v>
      </c>
      <c r="U321" s="17">
        <f>S321+T321</f>
        <v>28741.19</v>
      </c>
      <c r="V321" s="9">
        <f>ROUND(P321 / 1.2, 2)</f>
        <v>106.93</v>
      </c>
      <c r="W321" s="9">
        <f>ROUND(Q321 / 1.2, 2)</f>
        <v>834.17</v>
      </c>
      <c r="X321" s="9">
        <f>ROUND(R321 / 1.2, 2)</f>
        <v>941.1</v>
      </c>
      <c r="Y321" s="9">
        <f t="shared" si="17"/>
        <v>2721.45</v>
      </c>
      <c r="Z321" s="9">
        <f>ROUND(T321 / 1.2, 2)</f>
        <v>21229.54</v>
      </c>
      <c r="AA321" s="9">
        <f>Y321+Z321</f>
        <v>23950.99</v>
      </c>
      <c r="AD321" s="4">
        <v>264030400</v>
      </c>
      <c r="AE321" s="4">
        <v>18541177</v>
      </c>
      <c r="AG321" s="4" t="s">
        <v>1405</v>
      </c>
      <c r="AH321" s="4" t="s">
        <v>1406</v>
      </c>
      <c r="AI321" s="4" t="s">
        <v>249</v>
      </c>
    </row>
    <row r="322" spans="1:35" ht="37.5" x14ac:dyDescent="0.25">
      <c r="A322" s="10" t="s">
        <v>1418</v>
      </c>
      <c r="B322" s="10"/>
      <c r="C322" s="24" t="s">
        <v>490</v>
      </c>
      <c r="D322" s="15"/>
      <c r="E322" s="15"/>
      <c r="F322" s="25" t="s">
        <v>81</v>
      </c>
      <c r="G322" s="26">
        <v>0.15</v>
      </c>
      <c r="H322" s="26"/>
      <c r="I322" s="26">
        <v>3.8180000000000001</v>
      </c>
      <c r="J322" s="28">
        <v>88.8</v>
      </c>
      <c r="M322" s="29">
        <f>ROUND(ROUND(J322, 2)*I322, 2)</f>
        <v>339.04</v>
      </c>
      <c r="P322" s="30">
        <v>88.8</v>
      </c>
      <c r="S322" s="29">
        <f>ROUND(ROUND(P322, 2)*I322, 2)</f>
        <v>339.04</v>
      </c>
      <c r="V322" s="9">
        <f>ROUND(ROUND(P322, 2)/1.2, 2)</f>
        <v>74</v>
      </c>
      <c r="Y322" s="9">
        <f t="shared" si="17"/>
        <v>282.52999999999997</v>
      </c>
      <c r="AD322" s="4" t="s">
        <v>1419</v>
      </c>
      <c r="AE322" s="4" t="s">
        <v>1420</v>
      </c>
      <c r="AF322" s="4" t="s">
        <v>493</v>
      </c>
    </row>
    <row r="323" spans="1:35" ht="56.25" x14ac:dyDescent="0.25">
      <c r="A323" s="10" t="s">
        <v>1421</v>
      </c>
      <c r="B323" s="10"/>
      <c r="C323" s="24" t="s">
        <v>859</v>
      </c>
      <c r="D323" s="15"/>
      <c r="E323" s="15" t="s">
        <v>1056</v>
      </c>
      <c r="F323" s="25" t="s">
        <v>81</v>
      </c>
      <c r="G323" s="26">
        <v>5</v>
      </c>
      <c r="H323" s="26"/>
      <c r="I323" s="26">
        <v>127.25</v>
      </c>
      <c r="J323" s="28">
        <v>23</v>
      </c>
      <c r="M323" s="29">
        <f>ROUND(ROUND(J323, 2)*I323, 2)</f>
        <v>2926.75</v>
      </c>
      <c r="P323" s="30">
        <v>23</v>
      </c>
      <c r="S323" s="29">
        <f>ROUND(ROUND(P323, 2)*I323, 2)</f>
        <v>2926.75</v>
      </c>
      <c r="V323" s="9">
        <f>ROUND(ROUND(P323, 2)/1.2, 2)</f>
        <v>19.170000000000002</v>
      </c>
      <c r="Y323" s="9">
        <f t="shared" si="17"/>
        <v>2438.96</v>
      </c>
      <c r="AD323" s="4" t="s">
        <v>1422</v>
      </c>
      <c r="AE323" s="4" t="s">
        <v>1423</v>
      </c>
      <c r="AF323" s="4" t="s">
        <v>863</v>
      </c>
    </row>
    <row r="324" spans="1:35" ht="56.25" x14ac:dyDescent="0.25">
      <c r="A324" s="10" t="s">
        <v>1424</v>
      </c>
      <c r="B324" s="10" t="s">
        <v>1402</v>
      </c>
      <c r="C324" s="14" t="s">
        <v>1403</v>
      </c>
      <c r="D324" s="15"/>
      <c r="E324" s="15" t="s">
        <v>1425</v>
      </c>
      <c r="F324" s="15" t="s">
        <v>56</v>
      </c>
      <c r="G324" s="16">
        <v>1</v>
      </c>
      <c r="H324" s="16"/>
      <c r="I324" s="16">
        <v>51.66</v>
      </c>
      <c r="J324" s="17">
        <f>IFERROR(ROUND(SUM(M325,M326,M327)/I324, 2),0)</f>
        <v>57.89</v>
      </c>
      <c r="K324" s="18">
        <v>1001</v>
      </c>
      <c r="L324" s="17">
        <f>J324+ROUND(K324, 2)</f>
        <v>1058.8900000000001</v>
      </c>
      <c r="M324" s="17">
        <f>ROUND(J324*I324, 2)</f>
        <v>2990.6</v>
      </c>
      <c r="N324" s="17">
        <f>ROUND(I324*ROUND(K324, 2), 2)</f>
        <v>51711.66</v>
      </c>
      <c r="O324" s="17">
        <f>M324+N324</f>
        <v>54702.26</v>
      </c>
      <c r="P324" s="17">
        <f>IFERROR(ROUND(SUM(S325,S326,S327)/I324, 2),0)</f>
        <v>57.89</v>
      </c>
      <c r="Q324" s="19">
        <v>1001</v>
      </c>
      <c r="R324" s="17">
        <f>P324+ROUND(Q324, 2)</f>
        <v>1058.8900000000001</v>
      </c>
      <c r="S324" s="17">
        <f>ROUND(P324*I324, 2)</f>
        <v>2990.6</v>
      </c>
      <c r="T324" s="17">
        <f>ROUND(I324*ROUND(Q324, 2), 2)</f>
        <v>51711.66</v>
      </c>
      <c r="U324" s="17">
        <f>S324+T324</f>
        <v>54702.26</v>
      </c>
      <c r="V324" s="9">
        <f>ROUND(P324 / 1.2, 2)</f>
        <v>48.24</v>
      </c>
      <c r="W324" s="9">
        <f>ROUND(Q324 / 1.2, 2)</f>
        <v>834.17</v>
      </c>
      <c r="X324" s="9">
        <f>ROUND(R324 / 1.2, 2)</f>
        <v>882.41</v>
      </c>
      <c r="Y324" s="9">
        <f t="shared" si="17"/>
        <v>2492.17</v>
      </c>
      <c r="Z324" s="9">
        <f>ROUND(T324 / 1.2, 2)</f>
        <v>43093.05</v>
      </c>
      <c r="AA324" s="9">
        <f>Y324+Z324</f>
        <v>45585.22</v>
      </c>
      <c r="AD324" s="4">
        <v>264030401</v>
      </c>
      <c r="AE324" s="4">
        <v>19923298</v>
      </c>
      <c r="AG324" s="4" t="s">
        <v>1405</v>
      </c>
      <c r="AH324" s="4" t="s">
        <v>1406</v>
      </c>
      <c r="AI324" s="4" t="s">
        <v>249</v>
      </c>
    </row>
    <row r="325" spans="1:35" ht="56.25" x14ac:dyDescent="0.25">
      <c r="A325" s="10" t="s">
        <v>1426</v>
      </c>
      <c r="B325" s="10"/>
      <c r="C325" s="37" t="s">
        <v>926</v>
      </c>
      <c r="D325" s="15"/>
      <c r="E325" s="15" t="s">
        <v>1427</v>
      </c>
      <c r="F325" s="25" t="s">
        <v>81</v>
      </c>
      <c r="G325" s="26">
        <v>1.8</v>
      </c>
      <c r="H325" s="26"/>
      <c r="I325" s="26">
        <v>92.988</v>
      </c>
      <c r="J325" s="28">
        <v>12.58</v>
      </c>
      <c r="M325" s="29">
        <f>ROUND(ROUND(J325, 2)*I325, 2)</f>
        <v>1169.79</v>
      </c>
      <c r="P325" s="30">
        <v>12.58</v>
      </c>
      <c r="S325" s="29">
        <f>ROUND(ROUND(P325, 2)*I325, 2)</f>
        <v>1169.79</v>
      </c>
      <c r="V325" s="9">
        <f>ROUND(ROUND(P325, 2)/1.2, 2)</f>
        <v>10.48</v>
      </c>
      <c r="Y325" s="9">
        <f t="shared" si="17"/>
        <v>974.83</v>
      </c>
      <c r="AD325" s="4" t="s">
        <v>1428</v>
      </c>
      <c r="AE325" s="4" t="s">
        <v>1429</v>
      </c>
      <c r="AF325" s="4" t="s">
        <v>929</v>
      </c>
    </row>
    <row r="326" spans="1:35" ht="18.75" x14ac:dyDescent="0.25">
      <c r="A326" s="10" t="s">
        <v>1430</v>
      </c>
      <c r="B326" s="10"/>
      <c r="C326" s="24" t="s">
        <v>865</v>
      </c>
      <c r="D326" s="15"/>
      <c r="E326" s="15"/>
      <c r="F326" s="25" t="s">
        <v>103</v>
      </c>
      <c r="G326" s="26">
        <v>0.3</v>
      </c>
      <c r="H326" s="26"/>
      <c r="I326" s="26">
        <v>15.497999999999999</v>
      </c>
      <c r="J326" s="28">
        <v>73.099999999999994</v>
      </c>
      <c r="M326" s="29">
        <f>ROUND(ROUND(J326, 2)*I326, 2)</f>
        <v>1132.9000000000001</v>
      </c>
      <c r="P326" s="30">
        <v>73.099999999999994</v>
      </c>
      <c r="S326" s="29">
        <f>ROUND(ROUND(P326, 2)*I326, 2)</f>
        <v>1132.9000000000001</v>
      </c>
      <c r="V326" s="9">
        <f>ROUND(ROUND(P326, 2)/1.2, 2)</f>
        <v>60.92</v>
      </c>
      <c r="Y326" s="9">
        <f t="shared" si="17"/>
        <v>944.08</v>
      </c>
      <c r="AD326" s="4" t="s">
        <v>1431</v>
      </c>
      <c r="AE326" s="4" t="s">
        <v>1432</v>
      </c>
      <c r="AF326" s="4" t="s">
        <v>868</v>
      </c>
    </row>
    <row r="327" spans="1:35" ht="37.5" x14ac:dyDescent="0.25">
      <c r="A327" s="10" t="s">
        <v>1433</v>
      </c>
      <c r="B327" s="10"/>
      <c r="C327" s="24" t="s">
        <v>490</v>
      </c>
      <c r="D327" s="15"/>
      <c r="E327" s="15"/>
      <c r="F327" s="25" t="s">
        <v>81</v>
      </c>
      <c r="G327" s="26">
        <v>0.15</v>
      </c>
      <c r="H327" s="26"/>
      <c r="I327" s="26">
        <v>7.7489999999999997</v>
      </c>
      <c r="J327" s="28">
        <v>88.8</v>
      </c>
      <c r="M327" s="29">
        <f>ROUND(ROUND(J327, 2)*I327, 2)</f>
        <v>688.11</v>
      </c>
      <c r="P327" s="30">
        <v>88.8</v>
      </c>
      <c r="S327" s="29">
        <f>ROUND(ROUND(P327, 2)*I327, 2)</f>
        <v>688.11</v>
      </c>
      <c r="V327" s="9">
        <f>ROUND(ROUND(P327, 2)/1.2, 2)</f>
        <v>74</v>
      </c>
      <c r="Y327" s="9">
        <f t="shared" si="17"/>
        <v>573.42999999999995</v>
      </c>
      <c r="AD327" s="4" t="s">
        <v>1434</v>
      </c>
      <c r="AE327" s="4" t="s">
        <v>1435</v>
      </c>
      <c r="AF327" s="4" t="s">
        <v>493</v>
      </c>
    </row>
    <row r="328" spans="1:35" ht="56.25" x14ac:dyDescent="0.25">
      <c r="A328" s="10" t="s">
        <v>1436</v>
      </c>
      <c r="B328" s="10" t="s">
        <v>1402</v>
      </c>
      <c r="C328" s="14" t="s">
        <v>1403</v>
      </c>
      <c r="D328" s="15"/>
      <c r="E328" s="15" t="s">
        <v>1437</v>
      </c>
      <c r="F328" s="15" t="s">
        <v>56</v>
      </c>
      <c r="G328" s="16">
        <v>1</v>
      </c>
      <c r="H328" s="16"/>
      <c r="I328" s="16">
        <v>51.66</v>
      </c>
      <c r="J328" s="17">
        <f>IFERROR(ROUND(SUM(M329,M330)/I328, 2),0)</f>
        <v>35.96</v>
      </c>
      <c r="K328" s="18">
        <v>1001</v>
      </c>
      <c r="L328" s="17">
        <f>J328+ROUND(K328, 2)</f>
        <v>1036.96</v>
      </c>
      <c r="M328" s="17">
        <f>ROUND(J328*I328, 2)</f>
        <v>1857.69</v>
      </c>
      <c r="N328" s="17">
        <f>ROUND(I328*ROUND(K328, 2), 2)</f>
        <v>51711.66</v>
      </c>
      <c r="O328" s="17">
        <f>M328+N328</f>
        <v>53569.35</v>
      </c>
      <c r="P328" s="17">
        <f>IFERROR(ROUND(SUM(S329,S330)/I328, 2),0)</f>
        <v>35.96</v>
      </c>
      <c r="Q328" s="19">
        <v>1001</v>
      </c>
      <c r="R328" s="17">
        <f>P328+ROUND(Q328, 2)</f>
        <v>1036.96</v>
      </c>
      <c r="S328" s="17">
        <f>ROUND(P328*I328, 2)</f>
        <v>1857.69</v>
      </c>
      <c r="T328" s="17">
        <f>ROUND(I328*ROUND(Q328, 2), 2)</f>
        <v>51711.66</v>
      </c>
      <c r="U328" s="17">
        <f>S328+T328</f>
        <v>53569.35</v>
      </c>
      <c r="V328" s="9">
        <f>ROUND(P328 / 1.2, 2)</f>
        <v>29.97</v>
      </c>
      <c r="W328" s="9">
        <f>ROUND(Q328 / 1.2, 2)</f>
        <v>834.17</v>
      </c>
      <c r="X328" s="9">
        <f>ROUND(R328 / 1.2, 2)</f>
        <v>864.13</v>
      </c>
      <c r="Y328" s="9">
        <f t="shared" si="17"/>
        <v>1548.08</v>
      </c>
      <c r="Z328" s="9">
        <f>ROUND(T328 / 1.2, 2)</f>
        <v>43093.05</v>
      </c>
      <c r="AA328" s="9">
        <f>Y328+Z328</f>
        <v>44641.13</v>
      </c>
      <c r="AD328" s="4">
        <v>264030402</v>
      </c>
      <c r="AE328" s="4">
        <v>19923299</v>
      </c>
      <c r="AG328" s="4" t="s">
        <v>1405</v>
      </c>
      <c r="AH328" s="4" t="s">
        <v>1406</v>
      </c>
      <c r="AI328" s="4" t="s">
        <v>249</v>
      </c>
    </row>
    <row r="329" spans="1:35" ht="37.5" x14ac:dyDescent="0.25">
      <c r="A329" s="10" t="s">
        <v>1438</v>
      </c>
      <c r="B329" s="10"/>
      <c r="C329" s="24" t="s">
        <v>490</v>
      </c>
      <c r="D329" s="15"/>
      <c r="E329" s="15"/>
      <c r="F329" s="25" t="s">
        <v>81</v>
      </c>
      <c r="G329" s="26">
        <v>0.15</v>
      </c>
      <c r="H329" s="26"/>
      <c r="I329" s="26">
        <v>7.7489999999999997</v>
      </c>
      <c r="J329" s="28">
        <v>88.8</v>
      </c>
      <c r="M329" s="29">
        <f>ROUND(ROUND(J329, 2)*I329, 2)</f>
        <v>688.11</v>
      </c>
      <c r="P329" s="30">
        <v>88.8</v>
      </c>
      <c r="S329" s="29">
        <f>ROUND(ROUND(P329, 2)*I329, 2)</f>
        <v>688.11</v>
      </c>
      <c r="V329" s="9">
        <f>ROUND(ROUND(P329, 2)/1.2, 2)</f>
        <v>74</v>
      </c>
      <c r="Y329" s="9">
        <f t="shared" si="17"/>
        <v>573.42999999999995</v>
      </c>
      <c r="AD329" s="4" t="s">
        <v>1439</v>
      </c>
      <c r="AE329" s="4" t="s">
        <v>1440</v>
      </c>
      <c r="AF329" s="4" t="s">
        <v>493</v>
      </c>
    </row>
    <row r="330" spans="1:35" ht="56.25" x14ac:dyDescent="0.25">
      <c r="A330" s="10" t="s">
        <v>1441</v>
      </c>
      <c r="B330" s="10"/>
      <c r="C330" s="37" t="s">
        <v>926</v>
      </c>
      <c r="D330" s="15"/>
      <c r="E330" s="15"/>
      <c r="F330" s="25" t="s">
        <v>81</v>
      </c>
      <c r="G330" s="26">
        <v>1.8</v>
      </c>
      <c r="H330" s="26"/>
      <c r="I330" s="26">
        <v>92.988</v>
      </c>
      <c r="J330" s="28">
        <v>12.58</v>
      </c>
      <c r="M330" s="29">
        <f>ROUND(ROUND(J330, 2)*I330, 2)</f>
        <v>1169.79</v>
      </c>
      <c r="P330" s="30">
        <v>12.58</v>
      </c>
      <c r="S330" s="29">
        <f>ROUND(ROUND(P330, 2)*I330, 2)</f>
        <v>1169.79</v>
      </c>
      <c r="V330" s="9">
        <f>ROUND(ROUND(P330, 2)/1.2, 2)</f>
        <v>10.48</v>
      </c>
      <c r="Y330" s="9">
        <f t="shared" si="17"/>
        <v>974.83</v>
      </c>
      <c r="AD330" s="4" t="s">
        <v>1442</v>
      </c>
      <c r="AE330" s="4" t="s">
        <v>1443</v>
      </c>
      <c r="AF330" s="4" t="s">
        <v>929</v>
      </c>
    </row>
    <row r="331" spans="1:35" ht="56.25" x14ac:dyDescent="0.25">
      <c r="A331" s="10" t="s">
        <v>1444</v>
      </c>
      <c r="B331" s="10" t="s">
        <v>1402</v>
      </c>
      <c r="C331" s="14" t="s">
        <v>1403</v>
      </c>
      <c r="D331" s="15"/>
      <c r="E331" s="15" t="s">
        <v>1445</v>
      </c>
      <c r="F331" s="15" t="s">
        <v>56</v>
      </c>
      <c r="G331" s="16">
        <v>1</v>
      </c>
      <c r="H331" s="16"/>
      <c r="I331" s="16">
        <v>37.68</v>
      </c>
      <c r="J331" s="17">
        <f>IFERROR(ROUND(SUM(M332,M333)/I331, 2),0)</f>
        <v>128.32</v>
      </c>
      <c r="K331" s="18">
        <v>1001</v>
      </c>
      <c r="L331" s="17">
        <f>J331+ROUND(K331, 2)</f>
        <v>1129.32</v>
      </c>
      <c r="M331" s="17">
        <f>ROUND(J331*I331, 2)</f>
        <v>4835.1000000000004</v>
      </c>
      <c r="N331" s="17">
        <f>ROUND(I331*ROUND(K331, 2), 2)</f>
        <v>37717.68</v>
      </c>
      <c r="O331" s="17">
        <f>M331+N331</f>
        <v>42552.78</v>
      </c>
      <c r="P331" s="17">
        <f>IFERROR(ROUND(SUM(S332,S333)/I331, 2),0)</f>
        <v>128.32</v>
      </c>
      <c r="Q331" s="19">
        <v>1001</v>
      </c>
      <c r="R331" s="17">
        <f>P331+ROUND(Q331, 2)</f>
        <v>1129.32</v>
      </c>
      <c r="S331" s="17">
        <f>ROUND(P331*I331, 2)</f>
        <v>4835.1000000000004</v>
      </c>
      <c r="T331" s="17">
        <f>ROUND(I331*ROUND(Q331, 2), 2)</f>
        <v>37717.68</v>
      </c>
      <c r="U331" s="17">
        <f>S331+T331</f>
        <v>42552.78</v>
      </c>
      <c r="V331" s="9">
        <f>ROUND(P331 / 1.2, 2)</f>
        <v>106.93</v>
      </c>
      <c r="W331" s="9">
        <f>ROUND(Q331 / 1.2, 2)</f>
        <v>834.17</v>
      </c>
      <c r="X331" s="9">
        <f>ROUND(R331 / 1.2, 2)</f>
        <v>941.1</v>
      </c>
      <c r="Y331" s="9">
        <f t="shared" si="17"/>
        <v>4029.25</v>
      </c>
      <c r="Z331" s="9">
        <f>ROUND(T331 / 1.2, 2)</f>
        <v>31431.4</v>
      </c>
      <c r="AA331" s="9">
        <f>Y331+Z331</f>
        <v>35460.65</v>
      </c>
      <c r="AD331" s="4">
        <v>264030403</v>
      </c>
      <c r="AE331" s="4">
        <v>19934299</v>
      </c>
      <c r="AG331" s="4" t="s">
        <v>1405</v>
      </c>
      <c r="AH331" s="4" t="s">
        <v>1406</v>
      </c>
      <c r="AI331" s="4" t="s">
        <v>249</v>
      </c>
    </row>
    <row r="332" spans="1:35" ht="56.25" x14ac:dyDescent="0.25">
      <c r="A332" s="10" t="s">
        <v>1446</v>
      </c>
      <c r="B332" s="10"/>
      <c r="C332" s="24" t="s">
        <v>859</v>
      </c>
      <c r="D332" s="15"/>
      <c r="E332" s="15" t="s">
        <v>1056</v>
      </c>
      <c r="F332" s="25" t="s">
        <v>81</v>
      </c>
      <c r="G332" s="26">
        <v>5</v>
      </c>
      <c r="H332" s="26"/>
      <c r="I332" s="26">
        <v>188.4</v>
      </c>
      <c r="J332" s="28">
        <v>23</v>
      </c>
      <c r="M332" s="29">
        <f>ROUND(ROUND(J332, 2)*I332, 2)</f>
        <v>4333.2</v>
      </c>
      <c r="P332" s="30">
        <v>23</v>
      </c>
      <c r="S332" s="29">
        <f>ROUND(ROUND(P332, 2)*I332, 2)</f>
        <v>4333.2</v>
      </c>
      <c r="V332" s="9">
        <f>ROUND(ROUND(P332, 2)/1.2, 2)</f>
        <v>19.170000000000002</v>
      </c>
      <c r="Y332" s="9">
        <f t="shared" si="17"/>
        <v>3611</v>
      </c>
      <c r="AD332" s="4" t="s">
        <v>1447</v>
      </c>
      <c r="AE332" s="4" t="s">
        <v>1448</v>
      </c>
      <c r="AF332" s="4" t="s">
        <v>863</v>
      </c>
    </row>
    <row r="333" spans="1:35" ht="37.5" x14ac:dyDescent="0.25">
      <c r="A333" s="10" t="s">
        <v>1449</v>
      </c>
      <c r="B333" s="10"/>
      <c r="C333" s="24" t="s">
        <v>490</v>
      </c>
      <c r="D333" s="15"/>
      <c r="E333" s="15"/>
      <c r="F333" s="25" t="s">
        <v>81</v>
      </c>
      <c r="G333" s="26">
        <v>0.15</v>
      </c>
      <c r="H333" s="26"/>
      <c r="I333" s="26">
        <v>5.6520000000000001</v>
      </c>
      <c r="J333" s="28">
        <v>88.8</v>
      </c>
      <c r="M333" s="29">
        <f>ROUND(ROUND(J333, 2)*I333, 2)</f>
        <v>501.9</v>
      </c>
      <c r="P333" s="30">
        <v>88.8</v>
      </c>
      <c r="S333" s="29">
        <f>ROUND(ROUND(P333, 2)*I333, 2)</f>
        <v>501.9</v>
      </c>
      <c r="V333" s="9">
        <f>ROUND(ROUND(P333, 2)/1.2, 2)</f>
        <v>74</v>
      </c>
      <c r="Y333" s="9">
        <f t="shared" si="17"/>
        <v>418.25</v>
      </c>
      <c r="AD333" s="4" t="s">
        <v>1450</v>
      </c>
      <c r="AE333" s="4" t="s">
        <v>1451</v>
      </c>
      <c r="AF333" s="4" t="s">
        <v>493</v>
      </c>
    </row>
    <row r="334" spans="1:35" ht="56.25" x14ac:dyDescent="0.25">
      <c r="A334" s="10" t="s">
        <v>1452</v>
      </c>
      <c r="B334" s="10" t="s">
        <v>1402</v>
      </c>
      <c r="C334" s="14" t="s">
        <v>1403</v>
      </c>
      <c r="D334" s="15"/>
      <c r="E334" s="15" t="s">
        <v>1453</v>
      </c>
      <c r="F334" s="15" t="s">
        <v>56</v>
      </c>
      <c r="G334" s="16">
        <v>1</v>
      </c>
      <c r="H334" s="16"/>
      <c r="I334" s="16">
        <v>37.68</v>
      </c>
      <c r="J334" s="17">
        <f>IFERROR(ROUND(SUM(M335,M336,M337)/I334, 2),0)</f>
        <v>150.25</v>
      </c>
      <c r="K334" s="18">
        <v>1001</v>
      </c>
      <c r="L334" s="17">
        <f>J334+ROUND(K334, 2)</f>
        <v>1151.25</v>
      </c>
      <c r="M334" s="17">
        <f>ROUND(J334*I334, 2)</f>
        <v>5661.42</v>
      </c>
      <c r="N334" s="17">
        <f>ROUND(I334*ROUND(K334, 2), 2)</f>
        <v>37717.68</v>
      </c>
      <c r="O334" s="17">
        <f>M334+N334</f>
        <v>43379.1</v>
      </c>
      <c r="P334" s="17">
        <f>IFERROR(ROUND(SUM(S335,S336,S337)/I334, 2),0)</f>
        <v>150.25</v>
      </c>
      <c r="Q334" s="19">
        <v>1001</v>
      </c>
      <c r="R334" s="17">
        <f>P334+ROUND(Q334, 2)</f>
        <v>1151.25</v>
      </c>
      <c r="S334" s="17">
        <f>ROUND(P334*I334, 2)</f>
        <v>5661.42</v>
      </c>
      <c r="T334" s="17">
        <f>ROUND(I334*ROUND(Q334, 2), 2)</f>
        <v>37717.68</v>
      </c>
      <c r="U334" s="17">
        <f>S334+T334</f>
        <v>43379.1</v>
      </c>
      <c r="V334" s="9">
        <f>ROUND(P334 / 1.2, 2)</f>
        <v>125.21</v>
      </c>
      <c r="W334" s="9">
        <f>ROUND(Q334 / 1.2, 2)</f>
        <v>834.17</v>
      </c>
      <c r="X334" s="9">
        <f>ROUND(R334 / 1.2, 2)</f>
        <v>959.38</v>
      </c>
      <c r="Y334" s="9">
        <f t="shared" si="17"/>
        <v>4717.8500000000004</v>
      </c>
      <c r="Z334" s="9">
        <f>ROUND(T334 / 1.2, 2)</f>
        <v>31431.4</v>
      </c>
      <c r="AA334" s="9">
        <f>Y334+Z334</f>
        <v>36149.25</v>
      </c>
      <c r="AD334" s="4">
        <v>264030404</v>
      </c>
      <c r="AE334" s="4">
        <v>19934297</v>
      </c>
      <c r="AG334" s="4" t="s">
        <v>1405</v>
      </c>
      <c r="AH334" s="4" t="s">
        <v>1406</v>
      </c>
      <c r="AI334" s="4" t="s">
        <v>249</v>
      </c>
    </row>
    <row r="335" spans="1:35" ht="37.5" x14ac:dyDescent="0.25">
      <c r="A335" s="10" t="s">
        <v>1454</v>
      </c>
      <c r="B335" s="10"/>
      <c r="C335" s="24" t="s">
        <v>490</v>
      </c>
      <c r="D335" s="15"/>
      <c r="E335" s="15"/>
      <c r="F335" s="25" t="s">
        <v>81</v>
      </c>
      <c r="G335" s="26">
        <v>0.15</v>
      </c>
      <c r="H335" s="26"/>
      <c r="I335" s="26">
        <v>5.6520000000000001</v>
      </c>
      <c r="J335" s="28">
        <v>88.8</v>
      </c>
      <c r="M335" s="29">
        <f>ROUND(ROUND(J335, 2)*I335, 2)</f>
        <v>501.9</v>
      </c>
      <c r="P335" s="30">
        <v>88.8</v>
      </c>
      <c r="S335" s="29">
        <f>ROUND(ROUND(P335, 2)*I335, 2)</f>
        <v>501.9</v>
      </c>
      <c r="V335" s="9">
        <f>ROUND(ROUND(P335, 2)/1.2, 2)</f>
        <v>74</v>
      </c>
      <c r="Y335" s="9">
        <f t="shared" si="17"/>
        <v>418.25</v>
      </c>
      <c r="AD335" s="4" t="s">
        <v>1455</v>
      </c>
      <c r="AE335" s="4" t="s">
        <v>1456</v>
      </c>
      <c r="AF335" s="4" t="s">
        <v>493</v>
      </c>
    </row>
    <row r="336" spans="1:35" ht="18.75" x14ac:dyDescent="0.25">
      <c r="A336" s="10" t="s">
        <v>1457</v>
      </c>
      <c r="B336" s="10"/>
      <c r="C336" s="24" t="s">
        <v>865</v>
      </c>
      <c r="D336" s="15"/>
      <c r="E336" s="15"/>
      <c r="F336" s="25" t="s">
        <v>103</v>
      </c>
      <c r="G336" s="26">
        <v>0.3</v>
      </c>
      <c r="H336" s="26"/>
      <c r="I336" s="26">
        <v>11.304</v>
      </c>
      <c r="J336" s="28">
        <v>73.099999999999994</v>
      </c>
      <c r="M336" s="29">
        <f>ROUND(ROUND(J336, 2)*I336, 2)</f>
        <v>826.32</v>
      </c>
      <c r="P336" s="30">
        <v>73.099999999999994</v>
      </c>
      <c r="S336" s="29">
        <f>ROUND(ROUND(P336, 2)*I336, 2)</f>
        <v>826.32</v>
      </c>
      <c r="V336" s="9">
        <f>ROUND(ROUND(P336, 2)/1.2, 2)</f>
        <v>60.92</v>
      </c>
      <c r="Y336" s="9">
        <f t="shared" si="17"/>
        <v>688.6</v>
      </c>
      <c r="AD336" s="4" t="s">
        <v>1458</v>
      </c>
      <c r="AE336" s="4" t="s">
        <v>1459</v>
      </c>
      <c r="AF336" s="4" t="s">
        <v>868</v>
      </c>
    </row>
    <row r="337" spans="1:35" ht="56.25" x14ac:dyDescent="0.25">
      <c r="A337" s="10" t="s">
        <v>1460</v>
      </c>
      <c r="B337" s="10"/>
      <c r="C337" s="24" t="s">
        <v>859</v>
      </c>
      <c r="D337" s="15"/>
      <c r="E337" s="15" t="s">
        <v>860</v>
      </c>
      <c r="F337" s="25" t="s">
        <v>81</v>
      </c>
      <c r="G337" s="26">
        <v>5</v>
      </c>
      <c r="H337" s="26"/>
      <c r="I337" s="26">
        <v>188.4</v>
      </c>
      <c r="J337" s="28">
        <v>23</v>
      </c>
      <c r="M337" s="29">
        <f>ROUND(ROUND(J337, 2)*I337, 2)</f>
        <v>4333.2</v>
      </c>
      <c r="P337" s="30">
        <v>23</v>
      </c>
      <c r="S337" s="29">
        <f>ROUND(ROUND(P337, 2)*I337, 2)</f>
        <v>4333.2</v>
      </c>
      <c r="V337" s="9">
        <f>ROUND(ROUND(P337, 2)/1.2, 2)</f>
        <v>19.170000000000002</v>
      </c>
      <c r="Y337" s="9">
        <f t="shared" si="17"/>
        <v>3611</v>
      </c>
      <c r="AD337" s="4" t="s">
        <v>1461</v>
      </c>
      <c r="AE337" s="4" t="s">
        <v>1462</v>
      </c>
      <c r="AF337" s="4" t="s">
        <v>863</v>
      </c>
    </row>
    <row r="338" spans="1:35" ht="56.25" x14ac:dyDescent="0.25">
      <c r="A338" s="10" t="s">
        <v>1463</v>
      </c>
      <c r="B338" s="10" t="s">
        <v>1464</v>
      </c>
      <c r="C338" s="14" t="s">
        <v>1465</v>
      </c>
      <c r="D338" s="15"/>
      <c r="E338" s="15" t="s">
        <v>1466</v>
      </c>
      <c r="F338" s="15" t="s">
        <v>56</v>
      </c>
      <c r="G338" s="16">
        <v>1</v>
      </c>
      <c r="H338" s="16"/>
      <c r="I338" s="16">
        <v>25.45</v>
      </c>
      <c r="J338" s="17">
        <f>IFERROR(ROUND(SUM(M339,M340)/I338, 2),0)</f>
        <v>30.41</v>
      </c>
      <c r="K338" s="18">
        <v>303</v>
      </c>
      <c r="L338" s="17">
        <f>J338+ROUND(K338, 2)</f>
        <v>333.41</v>
      </c>
      <c r="M338" s="17">
        <f>ROUND(J338*I338, 2)</f>
        <v>773.93</v>
      </c>
      <c r="N338" s="17">
        <f>ROUND(I338*ROUND(K338, 2), 2)</f>
        <v>7711.35</v>
      </c>
      <c r="O338" s="17">
        <f>M338+N338</f>
        <v>8485.2800000000007</v>
      </c>
      <c r="P338" s="17">
        <f>IFERROR(ROUND(SUM(S339,S340)/I338, 2),0)</f>
        <v>30.41</v>
      </c>
      <c r="Q338" s="19">
        <v>303</v>
      </c>
      <c r="R338" s="17">
        <f>P338+ROUND(Q338, 2)</f>
        <v>333.41</v>
      </c>
      <c r="S338" s="17">
        <f>ROUND(P338*I338, 2)</f>
        <v>773.93</v>
      </c>
      <c r="T338" s="17">
        <f>ROUND(I338*ROUND(Q338, 2), 2)</f>
        <v>7711.35</v>
      </c>
      <c r="U338" s="17">
        <f>S338+T338</f>
        <v>8485.2800000000007</v>
      </c>
      <c r="V338" s="9">
        <f>ROUND(P338 / 1.2, 2)</f>
        <v>25.34</v>
      </c>
      <c r="W338" s="9">
        <f>ROUND(Q338 / 1.2, 2)</f>
        <v>252.5</v>
      </c>
      <c r="X338" s="9">
        <f>ROUND(R338 / 1.2, 2)</f>
        <v>277.83999999999997</v>
      </c>
      <c r="Y338" s="9">
        <f t="shared" si="17"/>
        <v>644.94000000000005</v>
      </c>
      <c r="Z338" s="9">
        <f>ROUND(T338 / 1.2, 2)</f>
        <v>6426.13</v>
      </c>
      <c r="AA338" s="9">
        <f>Y338+Z338</f>
        <v>7071.07</v>
      </c>
      <c r="AD338" s="4">
        <v>264030317</v>
      </c>
      <c r="AE338" s="4">
        <v>18541174</v>
      </c>
      <c r="AG338" s="4" t="s">
        <v>1467</v>
      </c>
      <c r="AH338" s="4" t="s">
        <v>1468</v>
      </c>
      <c r="AI338" s="4" t="s">
        <v>249</v>
      </c>
    </row>
    <row r="339" spans="1:35" ht="37.5" x14ac:dyDescent="0.25">
      <c r="A339" s="10" t="s">
        <v>1469</v>
      </c>
      <c r="B339" s="10"/>
      <c r="C339" s="24" t="s">
        <v>1470</v>
      </c>
      <c r="D339" s="15"/>
      <c r="E339" s="15"/>
      <c r="F339" s="25" t="s">
        <v>81</v>
      </c>
      <c r="G339" s="26">
        <v>0.3</v>
      </c>
      <c r="H339" s="26"/>
      <c r="I339" s="26">
        <v>7.6349999999999998</v>
      </c>
      <c r="J339" s="28">
        <v>71.75</v>
      </c>
      <c r="M339" s="29">
        <f>ROUND(ROUND(J339, 2)*I339, 2)</f>
        <v>547.80999999999995</v>
      </c>
      <c r="P339" s="30">
        <v>71.75</v>
      </c>
      <c r="S339" s="29">
        <f>ROUND(ROUND(P339, 2)*I339, 2)</f>
        <v>547.80999999999995</v>
      </c>
      <c r="V339" s="9">
        <f>ROUND(ROUND(P339, 2)/1.2, 2)</f>
        <v>59.79</v>
      </c>
      <c r="Y339" s="9">
        <f t="shared" si="17"/>
        <v>456.51</v>
      </c>
      <c r="AD339" s="4" t="s">
        <v>1471</v>
      </c>
      <c r="AE339" s="4" t="s">
        <v>1472</v>
      </c>
      <c r="AF339" s="4" t="s">
        <v>1473</v>
      </c>
    </row>
    <row r="340" spans="1:35" ht="37.5" x14ac:dyDescent="0.25">
      <c r="A340" s="10" t="s">
        <v>1474</v>
      </c>
      <c r="B340" s="10"/>
      <c r="C340" s="24" t="s">
        <v>490</v>
      </c>
      <c r="D340" s="15"/>
      <c r="E340" s="15"/>
      <c r="F340" s="25" t="s">
        <v>81</v>
      </c>
      <c r="G340" s="26">
        <v>0.1</v>
      </c>
      <c r="H340" s="26"/>
      <c r="I340" s="26">
        <v>2.5449999999999999</v>
      </c>
      <c r="J340" s="28">
        <v>88.8</v>
      </c>
      <c r="M340" s="29">
        <f>ROUND(ROUND(J340, 2)*I340, 2)</f>
        <v>226</v>
      </c>
      <c r="P340" s="30">
        <v>88.8</v>
      </c>
      <c r="S340" s="29">
        <f>ROUND(ROUND(P340, 2)*I340, 2)</f>
        <v>226</v>
      </c>
      <c r="V340" s="9">
        <f>ROUND(ROUND(P340, 2)/1.2, 2)</f>
        <v>74</v>
      </c>
      <c r="Y340" s="9">
        <f t="shared" si="17"/>
        <v>188.33</v>
      </c>
      <c r="AD340" s="4" t="s">
        <v>1475</v>
      </c>
      <c r="AE340" s="4" t="s">
        <v>1476</v>
      </c>
      <c r="AF340" s="4" t="s">
        <v>493</v>
      </c>
    </row>
    <row r="341" spans="1:35" ht="56.25" x14ac:dyDescent="0.25">
      <c r="A341" s="10" t="s">
        <v>1477</v>
      </c>
      <c r="B341" s="10" t="s">
        <v>1464</v>
      </c>
      <c r="C341" s="14" t="s">
        <v>1465</v>
      </c>
      <c r="D341" s="15"/>
      <c r="E341" s="15" t="s">
        <v>1478</v>
      </c>
      <c r="F341" s="15" t="s">
        <v>56</v>
      </c>
      <c r="G341" s="16">
        <v>1</v>
      </c>
      <c r="H341" s="16"/>
      <c r="I341" s="16">
        <v>51.66</v>
      </c>
      <c r="J341" s="17">
        <f>IFERROR(ROUND(SUM(M342,M343)/I341, 2),0)</f>
        <v>30.4</v>
      </c>
      <c r="K341" s="18">
        <v>303</v>
      </c>
      <c r="L341" s="17">
        <f>J341+ROUND(K341, 2)</f>
        <v>333.4</v>
      </c>
      <c r="M341" s="17">
        <f>ROUND(J341*I341, 2)</f>
        <v>1570.46</v>
      </c>
      <c r="N341" s="17">
        <f>ROUND(I341*ROUND(K341, 2), 2)</f>
        <v>15652.98</v>
      </c>
      <c r="O341" s="17">
        <f>M341+N341</f>
        <v>17223.439999999999</v>
      </c>
      <c r="P341" s="17">
        <f>IFERROR(ROUND(SUM(S342,S343)/I341, 2),0)</f>
        <v>30.4</v>
      </c>
      <c r="Q341" s="19">
        <v>303</v>
      </c>
      <c r="R341" s="17">
        <f>P341+ROUND(Q341, 2)</f>
        <v>333.4</v>
      </c>
      <c r="S341" s="17">
        <f>ROUND(P341*I341, 2)</f>
        <v>1570.46</v>
      </c>
      <c r="T341" s="17">
        <f>ROUND(I341*ROUND(Q341, 2), 2)</f>
        <v>15652.98</v>
      </c>
      <c r="U341" s="17">
        <f>S341+T341</f>
        <v>17223.439999999999</v>
      </c>
      <c r="V341" s="9">
        <f>ROUND(P341 / 1.2, 2)</f>
        <v>25.33</v>
      </c>
      <c r="W341" s="9">
        <f>ROUND(Q341 / 1.2, 2)</f>
        <v>252.5</v>
      </c>
      <c r="X341" s="9">
        <f>ROUND(R341 / 1.2, 2)</f>
        <v>277.83</v>
      </c>
      <c r="Y341" s="9">
        <f t="shared" si="17"/>
        <v>1308.72</v>
      </c>
      <c r="Z341" s="9">
        <f>ROUND(T341 / 1.2, 2)</f>
        <v>13044.15</v>
      </c>
      <c r="AA341" s="9">
        <f>Y341+Z341</f>
        <v>14352.87</v>
      </c>
      <c r="AD341" s="4">
        <v>264030405</v>
      </c>
      <c r="AE341" s="4">
        <v>19919222</v>
      </c>
      <c r="AG341" s="4" t="s">
        <v>1467</v>
      </c>
      <c r="AH341" s="4" t="s">
        <v>1468</v>
      </c>
      <c r="AI341" s="4" t="s">
        <v>249</v>
      </c>
    </row>
    <row r="342" spans="1:35" ht="37.5" x14ac:dyDescent="0.25">
      <c r="A342" s="10" t="s">
        <v>1479</v>
      </c>
      <c r="B342" s="10"/>
      <c r="C342" s="24" t="s">
        <v>490</v>
      </c>
      <c r="D342" s="15"/>
      <c r="E342" s="15"/>
      <c r="F342" s="25" t="s">
        <v>81</v>
      </c>
      <c r="G342" s="26">
        <v>0.1</v>
      </c>
      <c r="H342" s="26"/>
      <c r="I342" s="26">
        <v>5.1660000000000004</v>
      </c>
      <c r="J342" s="28">
        <v>88.8</v>
      </c>
      <c r="M342" s="29">
        <f>ROUND(ROUND(J342, 2)*I342, 2)</f>
        <v>458.74</v>
      </c>
      <c r="P342" s="30">
        <v>88.8</v>
      </c>
      <c r="S342" s="29">
        <f>ROUND(ROUND(P342, 2)*I342, 2)</f>
        <v>458.74</v>
      </c>
      <c r="V342" s="9">
        <f>ROUND(ROUND(P342, 2)/1.2, 2)</f>
        <v>74</v>
      </c>
      <c r="Y342" s="9">
        <f t="shared" si="17"/>
        <v>382.28</v>
      </c>
      <c r="AD342" s="4" t="s">
        <v>1480</v>
      </c>
      <c r="AE342" s="4" t="s">
        <v>1481</v>
      </c>
      <c r="AF342" s="4" t="s">
        <v>493</v>
      </c>
    </row>
    <row r="343" spans="1:35" ht="37.5" x14ac:dyDescent="0.25">
      <c r="A343" s="10" t="s">
        <v>1482</v>
      </c>
      <c r="B343" s="10"/>
      <c r="C343" s="24" t="s">
        <v>1470</v>
      </c>
      <c r="D343" s="15"/>
      <c r="E343" s="15"/>
      <c r="F343" s="25" t="s">
        <v>81</v>
      </c>
      <c r="G343" s="26">
        <v>0.3</v>
      </c>
      <c r="H343" s="26"/>
      <c r="I343" s="26">
        <v>15.497999999999999</v>
      </c>
      <c r="J343" s="28">
        <v>71.75</v>
      </c>
      <c r="M343" s="29">
        <f>ROUND(ROUND(J343, 2)*I343, 2)</f>
        <v>1111.98</v>
      </c>
      <c r="P343" s="30">
        <v>71.75</v>
      </c>
      <c r="S343" s="29">
        <f>ROUND(ROUND(P343, 2)*I343, 2)</f>
        <v>1111.98</v>
      </c>
      <c r="V343" s="9">
        <f>ROUND(ROUND(P343, 2)/1.2, 2)</f>
        <v>59.79</v>
      </c>
      <c r="Y343" s="9">
        <f t="shared" si="17"/>
        <v>926.65</v>
      </c>
      <c r="AD343" s="4" t="s">
        <v>1483</v>
      </c>
      <c r="AE343" s="4" t="s">
        <v>1484</v>
      </c>
      <c r="AF343" s="4" t="s">
        <v>1473</v>
      </c>
    </row>
    <row r="344" spans="1:35" ht="56.25" x14ac:dyDescent="0.25">
      <c r="A344" s="10" t="s">
        <v>1485</v>
      </c>
      <c r="B344" s="10" t="s">
        <v>1464</v>
      </c>
      <c r="C344" s="14" t="s">
        <v>1465</v>
      </c>
      <c r="D344" s="15"/>
      <c r="E344" s="15" t="s">
        <v>1486</v>
      </c>
      <c r="F344" s="15" t="s">
        <v>56</v>
      </c>
      <c r="G344" s="16">
        <v>1</v>
      </c>
      <c r="H344" s="16"/>
      <c r="I344" s="16">
        <v>37.68</v>
      </c>
      <c r="J344" s="17">
        <f>IFERROR(ROUND(SUM(M345,M346)/I344, 2),0)</f>
        <v>30.4</v>
      </c>
      <c r="K344" s="18">
        <v>303</v>
      </c>
      <c r="L344" s="17">
        <f>J344+ROUND(K344, 2)</f>
        <v>333.4</v>
      </c>
      <c r="M344" s="17">
        <f>ROUND(J344*I344, 2)</f>
        <v>1145.47</v>
      </c>
      <c r="N344" s="17">
        <f>ROUND(I344*ROUND(K344, 2), 2)</f>
        <v>11417.04</v>
      </c>
      <c r="O344" s="17">
        <f>M344+N344</f>
        <v>12562.51</v>
      </c>
      <c r="P344" s="17">
        <f>IFERROR(ROUND(SUM(S345,S346)/I344, 2),0)</f>
        <v>30.4</v>
      </c>
      <c r="Q344" s="19">
        <v>303</v>
      </c>
      <c r="R344" s="17">
        <f>P344+ROUND(Q344, 2)</f>
        <v>333.4</v>
      </c>
      <c r="S344" s="17">
        <f>ROUND(P344*I344, 2)</f>
        <v>1145.47</v>
      </c>
      <c r="T344" s="17">
        <f>ROUND(I344*ROUND(Q344, 2), 2)</f>
        <v>11417.04</v>
      </c>
      <c r="U344" s="17">
        <f>S344+T344</f>
        <v>12562.51</v>
      </c>
      <c r="V344" s="9">
        <f>ROUND(P344 / 1.2, 2)</f>
        <v>25.33</v>
      </c>
      <c r="W344" s="9">
        <f>ROUND(Q344 / 1.2, 2)</f>
        <v>252.5</v>
      </c>
      <c r="X344" s="9">
        <f>ROUND(R344 / 1.2, 2)</f>
        <v>277.83</v>
      </c>
      <c r="Y344" s="9">
        <f t="shared" si="17"/>
        <v>954.56</v>
      </c>
      <c r="Z344" s="9">
        <f>ROUND(T344 / 1.2, 2)</f>
        <v>9514.2000000000007</v>
      </c>
      <c r="AA344" s="9">
        <f>Y344+Z344</f>
        <v>10468.76</v>
      </c>
      <c r="AD344" s="4">
        <v>264030406</v>
      </c>
      <c r="AE344" s="4">
        <v>19919224</v>
      </c>
      <c r="AG344" s="4" t="s">
        <v>1467</v>
      </c>
      <c r="AH344" s="4" t="s">
        <v>1468</v>
      </c>
      <c r="AI344" s="4" t="s">
        <v>249</v>
      </c>
    </row>
    <row r="345" spans="1:35" ht="37.5" x14ac:dyDescent="0.25">
      <c r="A345" s="10" t="s">
        <v>1487</v>
      </c>
      <c r="B345" s="10"/>
      <c r="C345" s="24" t="s">
        <v>1470</v>
      </c>
      <c r="D345" s="15"/>
      <c r="E345" s="15"/>
      <c r="F345" s="25" t="s">
        <v>81</v>
      </c>
      <c r="G345" s="26">
        <v>0.3</v>
      </c>
      <c r="H345" s="26"/>
      <c r="I345" s="26">
        <v>11.304</v>
      </c>
      <c r="J345" s="28">
        <v>71.75</v>
      </c>
      <c r="M345" s="29">
        <f>ROUND(ROUND(J345, 2)*I345, 2)</f>
        <v>811.06</v>
      </c>
      <c r="P345" s="30">
        <v>71.75</v>
      </c>
      <c r="S345" s="29">
        <f>ROUND(ROUND(P345, 2)*I345, 2)</f>
        <v>811.06</v>
      </c>
      <c r="V345" s="9">
        <f>ROUND(ROUND(P345, 2)/1.2, 2)</f>
        <v>59.79</v>
      </c>
      <c r="Y345" s="9">
        <f t="shared" si="17"/>
        <v>675.88</v>
      </c>
      <c r="AD345" s="4" t="s">
        <v>1488</v>
      </c>
      <c r="AE345" s="4" t="s">
        <v>1489</v>
      </c>
      <c r="AF345" s="4" t="s">
        <v>1473</v>
      </c>
    </row>
    <row r="346" spans="1:35" ht="37.5" x14ac:dyDescent="0.25">
      <c r="A346" s="10" t="s">
        <v>1490</v>
      </c>
      <c r="B346" s="10"/>
      <c r="C346" s="24" t="s">
        <v>490</v>
      </c>
      <c r="D346" s="15"/>
      <c r="E346" s="15"/>
      <c r="F346" s="25" t="s">
        <v>81</v>
      </c>
      <c r="G346" s="26">
        <v>0.1</v>
      </c>
      <c r="H346" s="26"/>
      <c r="I346" s="26">
        <v>3.7679999999999998</v>
      </c>
      <c r="J346" s="28">
        <v>88.8</v>
      </c>
      <c r="M346" s="29">
        <f>ROUND(ROUND(J346, 2)*I346, 2)</f>
        <v>334.6</v>
      </c>
      <c r="P346" s="30">
        <v>88.8</v>
      </c>
      <c r="S346" s="29">
        <f>ROUND(ROUND(P346, 2)*I346, 2)</f>
        <v>334.6</v>
      </c>
      <c r="V346" s="9">
        <f>ROUND(ROUND(P346, 2)/1.2, 2)</f>
        <v>74</v>
      </c>
      <c r="Y346" s="9">
        <f t="shared" si="17"/>
        <v>278.83</v>
      </c>
      <c r="AD346" s="4" t="s">
        <v>1491</v>
      </c>
      <c r="AE346" s="4" t="s">
        <v>1492</v>
      </c>
      <c r="AF346" s="4" t="s">
        <v>493</v>
      </c>
    </row>
    <row r="347" spans="1:35" ht="37.5" x14ac:dyDescent="0.25">
      <c r="A347" s="10" t="s">
        <v>1493</v>
      </c>
      <c r="B347" s="10" t="s">
        <v>1494</v>
      </c>
      <c r="C347" s="14" t="s">
        <v>1495</v>
      </c>
      <c r="D347" s="15"/>
      <c r="E347" s="15" t="s">
        <v>1496</v>
      </c>
      <c r="F347" s="15" t="s">
        <v>56</v>
      </c>
      <c r="G347" s="16">
        <v>1</v>
      </c>
      <c r="H347" s="16"/>
      <c r="I347" s="16">
        <v>25.45</v>
      </c>
      <c r="J347" s="17">
        <f>IFERROR(ROUND(SUM(M348,M349,M350)/I347, 2),0)</f>
        <v>1088.79</v>
      </c>
      <c r="K347" s="18">
        <v>1266</v>
      </c>
      <c r="L347" s="17">
        <f>J347+ROUND(K347, 2)</f>
        <v>2354.79</v>
      </c>
      <c r="M347" s="17">
        <f>ROUND(J347*I347, 2)</f>
        <v>27709.71</v>
      </c>
      <c r="N347" s="17">
        <f>ROUND(I347*ROUND(K347, 2), 2)</f>
        <v>32219.7</v>
      </c>
      <c r="O347" s="17">
        <f>M347+N347</f>
        <v>59929.41</v>
      </c>
      <c r="P347" s="17">
        <f>IFERROR(ROUND(SUM(S348,S349,S350)/I347, 2),0)</f>
        <v>1088.79</v>
      </c>
      <c r="Q347" s="19">
        <v>1266</v>
      </c>
      <c r="R347" s="17">
        <f>P347+ROUND(Q347, 2)</f>
        <v>2354.79</v>
      </c>
      <c r="S347" s="17">
        <f>ROUND(P347*I347, 2)</f>
        <v>27709.71</v>
      </c>
      <c r="T347" s="17">
        <f>ROUND(I347*ROUND(Q347, 2), 2)</f>
        <v>32219.7</v>
      </c>
      <c r="U347" s="17">
        <f>S347+T347</f>
        <v>59929.41</v>
      </c>
      <c r="V347" s="9">
        <f>ROUND(P347 / 1.2, 2)</f>
        <v>907.33</v>
      </c>
      <c r="W347" s="9">
        <f>ROUND(Q347 / 1.2, 2)</f>
        <v>1055</v>
      </c>
      <c r="X347" s="9">
        <f>ROUND(R347 / 1.2, 2)</f>
        <v>1962.33</v>
      </c>
      <c r="Y347" s="9">
        <f t="shared" si="17"/>
        <v>23091.43</v>
      </c>
      <c r="Z347" s="9">
        <f>ROUND(T347 / 1.2, 2)</f>
        <v>26849.75</v>
      </c>
      <c r="AA347" s="9">
        <f>Y347+Z347</f>
        <v>49941.18</v>
      </c>
      <c r="AD347" s="4">
        <v>264030319</v>
      </c>
      <c r="AE347" s="4">
        <v>18541175</v>
      </c>
      <c r="AG347" s="4" t="s">
        <v>1497</v>
      </c>
      <c r="AH347" s="4" t="s">
        <v>1498</v>
      </c>
      <c r="AI347" s="4" t="s">
        <v>249</v>
      </c>
    </row>
    <row r="348" spans="1:35" ht="75" x14ac:dyDescent="0.25">
      <c r="A348" s="10" t="s">
        <v>1499</v>
      </c>
      <c r="B348" s="10"/>
      <c r="C348" s="24" t="s">
        <v>1500</v>
      </c>
      <c r="D348" s="15"/>
      <c r="E348" s="15"/>
      <c r="F348" s="25" t="s">
        <v>87</v>
      </c>
      <c r="G348" s="26">
        <v>1</v>
      </c>
      <c r="H348" s="26"/>
      <c r="I348" s="26">
        <v>25.45</v>
      </c>
      <c r="J348" s="28">
        <v>34.770000000000003</v>
      </c>
      <c r="M348" s="29">
        <f>ROUND(ROUND(J348, 2)*I348, 2)</f>
        <v>884.9</v>
      </c>
      <c r="P348" s="30">
        <v>34.770000000000003</v>
      </c>
      <c r="S348" s="29">
        <f>ROUND(ROUND(P348, 2)*I348, 2)</f>
        <v>884.9</v>
      </c>
      <c r="V348" s="9">
        <f>ROUND(ROUND(P348, 2)/1.2, 2)</f>
        <v>28.98</v>
      </c>
      <c r="Y348" s="9">
        <f t="shared" si="17"/>
        <v>737.42</v>
      </c>
      <c r="AD348" s="4" t="s">
        <v>1501</v>
      </c>
      <c r="AE348" s="4" t="s">
        <v>1502</v>
      </c>
      <c r="AF348" s="4" t="s">
        <v>1503</v>
      </c>
    </row>
    <row r="349" spans="1:35" ht="18.75" x14ac:dyDescent="0.25">
      <c r="A349" s="10" t="s">
        <v>1504</v>
      </c>
      <c r="B349" s="10"/>
      <c r="C349" s="37" t="s">
        <v>164</v>
      </c>
      <c r="D349" s="15"/>
      <c r="E349" s="15"/>
      <c r="F349" s="25" t="s">
        <v>123</v>
      </c>
      <c r="G349" s="26">
        <v>1</v>
      </c>
      <c r="H349" s="27"/>
      <c r="I349" s="27">
        <v>320</v>
      </c>
      <c r="J349" s="28">
        <v>56.76</v>
      </c>
      <c r="M349" s="29">
        <f>ROUND(ROUND(J349, 2)*I349, 2)</f>
        <v>18163.2</v>
      </c>
      <c r="P349" s="30">
        <v>56.76</v>
      </c>
      <c r="S349" s="29">
        <f>ROUND(ROUND(P349, 2)*I349, 2)</f>
        <v>18163.2</v>
      </c>
      <c r="V349" s="9">
        <f>ROUND(ROUND(P349, 2)/1.2, 2)</f>
        <v>47.3</v>
      </c>
      <c r="Y349" s="9">
        <f t="shared" si="17"/>
        <v>15136</v>
      </c>
      <c r="AD349" s="4" t="s">
        <v>1505</v>
      </c>
      <c r="AE349" s="4" t="s">
        <v>1506</v>
      </c>
      <c r="AF349" s="4" t="s">
        <v>167</v>
      </c>
    </row>
    <row r="350" spans="1:35" ht="18.75" x14ac:dyDescent="0.25">
      <c r="A350" s="10" t="s">
        <v>1507</v>
      </c>
      <c r="B350" s="10"/>
      <c r="C350" s="37" t="s">
        <v>1508</v>
      </c>
      <c r="D350" s="15"/>
      <c r="E350" s="15"/>
      <c r="F350" s="25" t="s">
        <v>56</v>
      </c>
      <c r="G350" s="26">
        <v>1.1000000000000001</v>
      </c>
      <c r="H350" s="26"/>
      <c r="I350" s="26">
        <v>27.995000000000001</v>
      </c>
      <c r="J350" s="28">
        <v>309.39999999999998</v>
      </c>
      <c r="M350" s="29">
        <f>ROUND(ROUND(J350, 2)*I350, 2)</f>
        <v>8661.65</v>
      </c>
      <c r="P350" s="30">
        <v>309.39999999999998</v>
      </c>
      <c r="S350" s="29">
        <f>ROUND(ROUND(P350, 2)*I350, 2)</f>
        <v>8661.65</v>
      </c>
      <c r="V350" s="9">
        <f>ROUND(ROUND(P350, 2)/1.2, 2)</f>
        <v>257.83</v>
      </c>
      <c r="Y350" s="9">
        <f t="shared" si="17"/>
        <v>7218.04</v>
      </c>
      <c r="AD350" s="4" t="s">
        <v>1509</v>
      </c>
      <c r="AE350" s="4" t="s">
        <v>1510</v>
      </c>
      <c r="AF350" s="4" t="s">
        <v>1511</v>
      </c>
    </row>
    <row r="351" spans="1:35" ht="37.5" x14ac:dyDescent="0.25">
      <c r="A351" s="10" t="s">
        <v>1512</v>
      </c>
      <c r="B351" s="10" t="s">
        <v>1494</v>
      </c>
      <c r="C351" s="14" t="s">
        <v>1495</v>
      </c>
      <c r="D351" s="15"/>
      <c r="E351" s="15" t="s">
        <v>1513</v>
      </c>
      <c r="F351" s="15" t="s">
        <v>56</v>
      </c>
      <c r="G351" s="16">
        <v>1</v>
      </c>
      <c r="H351" s="16"/>
      <c r="I351" s="16">
        <v>2.5499999999999998</v>
      </c>
      <c r="J351" s="17">
        <f>IFERROR(ROUND(SUM(M352,M353,M354,M355)/I351, 2),0)</f>
        <v>1144.18</v>
      </c>
      <c r="K351" s="18">
        <v>1266</v>
      </c>
      <c r="L351" s="17">
        <f>J351+ROUND(K351, 2)</f>
        <v>2410.1799999999998</v>
      </c>
      <c r="M351" s="17">
        <f>ROUND(J351*I351, 2)</f>
        <v>2917.66</v>
      </c>
      <c r="N351" s="17">
        <f>ROUND(I351*ROUND(K351, 2), 2)</f>
        <v>3228.3</v>
      </c>
      <c r="O351" s="17">
        <f>M351+N351</f>
        <v>6145.96</v>
      </c>
      <c r="P351" s="17">
        <f>IFERROR(ROUND(SUM(S352,S353,S354,S355)/I351, 2),0)</f>
        <v>1144.18</v>
      </c>
      <c r="Q351" s="19">
        <v>1266</v>
      </c>
      <c r="R351" s="17">
        <f>P351+ROUND(Q351, 2)</f>
        <v>2410.1799999999998</v>
      </c>
      <c r="S351" s="17">
        <f>ROUND(P351*I351, 2)</f>
        <v>2917.66</v>
      </c>
      <c r="T351" s="17">
        <f>ROUND(I351*ROUND(Q351, 2), 2)</f>
        <v>3228.3</v>
      </c>
      <c r="U351" s="17">
        <f>S351+T351</f>
        <v>6145.96</v>
      </c>
      <c r="V351" s="9">
        <f>ROUND(P351 / 1.2, 2)</f>
        <v>953.48</v>
      </c>
      <c r="W351" s="9">
        <f>ROUND(Q351 / 1.2, 2)</f>
        <v>1055</v>
      </c>
      <c r="X351" s="9">
        <f>ROUND(R351 / 1.2, 2)</f>
        <v>2008.48</v>
      </c>
      <c r="Y351" s="9">
        <f t="shared" si="17"/>
        <v>2431.38</v>
      </c>
      <c r="Z351" s="9">
        <f>ROUND(T351 / 1.2, 2)</f>
        <v>2690.25</v>
      </c>
      <c r="AA351" s="9">
        <f>Y351+Z351</f>
        <v>5121.63</v>
      </c>
      <c r="AD351" s="4">
        <v>264030407</v>
      </c>
      <c r="AE351" s="4">
        <v>19918751</v>
      </c>
      <c r="AG351" s="4" t="s">
        <v>1497</v>
      </c>
      <c r="AH351" s="4" t="s">
        <v>1498</v>
      </c>
      <c r="AI351" s="4" t="s">
        <v>249</v>
      </c>
    </row>
    <row r="352" spans="1:35" ht="18.75" x14ac:dyDescent="0.25">
      <c r="A352" s="10" t="s">
        <v>1514</v>
      </c>
      <c r="B352" s="10"/>
      <c r="C352" s="24" t="s">
        <v>1515</v>
      </c>
      <c r="D352" s="15"/>
      <c r="E352" s="15"/>
      <c r="F352" s="25" t="s">
        <v>103</v>
      </c>
      <c r="G352" s="26">
        <v>1</v>
      </c>
      <c r="H352" s="27"/>
      <c r="I352" s="27">
        <v>3.4</v>
      </c>
      <c r="J352" s="28">
        <v>80</v>
      </c>
      <c r="M352" s="29">
        <f>ROUND(ROUND(J352, 2)*I352, 2)</f>
        <v>272</v>
      </c>
      <c r="P352" s="30">
        <v>80</v>
      </c>
      <c r="S352" s="29">
        <f>ROUND(ROUND(P352, 2)*I352, 2)</f>
        <v>272</v>
      </c>
      <c r="V352" s="9">
        <f>ROUND(ROUND(P352, 2)/1.2, 2)</f>
        <v>66.67</v>
      </c>
      <c r="Y352" s="9">
        <f t="shared" si="17"/>
        <v>226.67</v>
      </c>
      <c r="AD352" s="4" t="s">
        <v>1516</v>
      </c>
      <c r="AE352" s="4" t="s">
        <v>1517</v>
      </c>
      <c r="AF352" s="4" t="s">
        <v>1518</v>
      </c>
    </row>
    <row r="353" spans="1:35" ht="18.75" x14ac:dyDescent="0.25">
      <c r="A353" s="10" t="s">
        <v>1519</v>
      </c>
      <c r="B353" s="10"/>
      <c r="C353" s="37" t="s">
        <v>1508</v>
      </c>
      <c r="D353" s="15"/>
      <c r="E353" s="15"/>
      <c r="F353" s="25" t="s">
        <v>56</v>
      </c>
      <c r="G353" s="26">
        <v>1.1000000000000001</v>
      </c>
      <c r="H353" s="26"/>
      <c r="I353" s="26">
        <v>2.8050000000000002</v>
      </c>
      <c r="J353" s="28">
        <v>309.39999999999998</v>
      </c>
      <c r="M353" s="29">
        <f>ROUND(ROUND(J353, 2)*I353, 2)</f>
        <v>867.87</v>
      </c>
      <c r="P353" s="30">
        <v>309.39999999999998</v>
      </c>
      <c r="S353" s="29">
        <f>ROUND(ROUND(P353, 2)*I353, 2)</f>
        <v>867.87</v>
      </c>
      <c r="V353" s="9">
        <f>ROUND(ROUND(P353, 2)/1.2, 2)</f>
        <v>257.83</v>
      </c>
      <c r="Y353" s="9">
        <f t="shared" si="17"/>
        <v>723.23</v>
      </c>
      <c r="AD353" s="4" t="s">
        <v>1520</v>
      </c>
      <c r="AE353" s="4" t="s">
        <v>1521</v>
      </c>
      <c r="AF353" s="4" t="s">
        <v>1511</v>
      </c>
    </row>
    <row r="354" spans="1:35" ht="18.75" x14ac:dyDescent="0.25">
      <c r="A354" s="10" t="s">
        <v>1522</v>
      </c>
      <c r="B354" s="10"/>
      <c r="C354" s="24" t="s">
        <v>1523</v>
      </c>
      <c r="D354" s="15"/>
      <c r="E354" s="15"/>
      <c r="F354" s="25" t="s">
        <v>123</v>
      </c>
      <c r="G354" s="26">
        <v>1</v>
      </c>
      <c r="H354" s="27"/>
      <c r="I354" s="27">
        <v>34</v>
      </c>
      <c r="J354" s="28">
        <v>49.68</v>
      </c>
      <c r="M354" s="29">
        <f>ROUND(ROUND(J354, 2)*I354, 2)</f>
        <v>1689.12</v>
      </c>
      <c r="P354" s="30">
        <v>49.68</v>
      </c>
      <c r="S354" s="29">
        <f>ROUND(ROUND(P354, 2)*I354, 2)</f>
        <v>1689.12</v>
      </c>
      <c r="V354" s="9">
        <f>ROUND(ROUND(P354, 2)/1.2, 2)</f>
        <v>41.4</v>
      </c>
      <c r="Y354" s="9">
        <f t="shared" si="17"/>
        <v>1407.6</v>
      </c>
      <c r="AD354" s="4" t="s">
        <v>1524</v>
      </c>
      <c r="AE354" s="4" t="s">
        <v>1525</v>
      </c>
      <c r="AF354" s="4" t="s">
        <v>1526</v>
      </c>
    </row>
    <row r="355" spans="1:35" ht="75" x14ac:dyDescent="0.25">
      <c r="A355" s="10" t="s">
        <v>1527</v>
      </c>
      <c r="B355" s="10"/>
      <c r="C355" s="24" t="s">
        <v>1500</v>
      </c>
      <c r="D355" s="15"/>
      <c r="E355" s="15"/>
      <c r="F355" s="25" t="s">
        <v>87</v>
      </c>
      <c r="G355" s="26">
        <v>1</v>
      </c>
      <c r="H355" s="26"/>
      <c r="I355" s="26">
        <v>2.5499999999999998</v>
      </c>
      <c r="J355" s="28">
        <v>34.770000000000003</v>
      </c>
      <c r="M355" s="29">
        <f>ROUND(ROUND(J355, 2)*I355, 2)</f>
        <v>88.66</v>
      </c>
      <c r="P355" s="30">
        <v>34.770000000000003</v>
      </c>
      <c r="S355" s="29">
        <f>ROUND(ROUND(P355, 2)*I355, 2)</f>
        <v>88.66</v>
      </c>
      <c r="V355" s="9">
        <f>ROUND(ROUND(P355, 2)/1.2, 2)</f>
        <v>28.98</v>
      </c>
      <c r="Y355" s="9">
        <f t="shared" si="17"/>
        <v>73.88</v>
      </c>
      <c r="AD355" s="4" t="s">
        <v>1528</v>
      </c>
      <c r="AE355" s="4" t="s">
        <v>1529</v>
      </c>
      <c r="AF355" s="4" t="s">
        <v>1503</v>
      </c>
    </row>
    <row r="356" spans="1:35" ht="37.5" x14ac:dyDescent="0.25">
      <c r="A356" s="10" t="s">
        <v>1530</v>
      </c>
      <c r="B356" s="10" t="s">
        <v>1531</v>
      </c>
      <c r="C356" s="14" t="s">
        <v>1532</v>
      </c>
      <c r="D356" s="15"/>
      <c r="E356" s="15" t="s">
        <v>1533</v>
      </c>
      <c r="F356" s="15" t="s">
        <v>56</v>
      </c>
      <c r="G356" s="16">
        <v>1</v>
      </c>
      <c r="H356" s="16"/>
      <c r="I356" s="16">
        <v>37.44</v>
      </c>
      <c r="J356" s="17">
        <f>IFERROR(ROUND(SUM(M357,M358,M359)/I356, 2),0)</f>
        <v>260.3</v>
      </c>
      <c r="K356" s="18">
        <v>1291</v>
      </c>
      <c r="L356" s="17">
        <f>J356+ROUND(K356, 2)</f>
        <v>1551.3</v>
      </c>
      <c r="M356" s="17">
        <f>ROUND(J356*I356, 2)</f>
        <v>9745.6299999999992</v>
      </c>
      <c r="N356" s="17">
        <f>ROUND(I356*ROUND(K356, 2), 2)</f>
        <v>48335.040000000001</v>
      </c>
      <c r="O356" s="17">
        <f>M356+N356</f>
        <v>58080.67</v>
      </c>
      <c r="P356" s="17">
        <f>IFERROR(ROUND(SUM(S357,S358,S359)/I356, 2),0)</f>
        <v>260.3</v>
      </c>
      <c r="Q356" s="19">
        <v>1291</v>
      </c>
      <c r="R356" s="17">
        <f>P356+ROUND(Q356, 2)</f>
        <v>1551.3</v>
      </c>
      <c r="S356" s="17">
        <f>ROUND(P356*I356, 2)</f>
        <v>9745.6299999999992</v>
      </c>
      <c r="T356" s="17">
        <f>ROUND(I356*ROUND(Q356, 2), 2)</f>
        <v>48335.040000000001</v>
      </c>
      <c r="U356" s="17">
        <f>S356+T356</f>
        <v>58080.67</v>
      </c>
      <c r="V356" s="9">
        <f>ROUND(P356 / 1.2, 2)</f>
        <v>216.92</v>
      </c>
      <c r="W356" s="9">
        <f>ROUND(Q356 / 1.2, 2)</f>
        <v>1075.83</v>
      </c>
      <c r="X356" s="9">
        <f>ROUND(R356 / 1.2, 2)</f>
        <v>1292.75</v>
      </c>
      <c r="Y356" s="9">
        <f t="shared" si="17"/>
        <v>8121.36</v>
      </c>
      <c r="Z356" s="9">
        <f>ROUND(T356 / 1.2, 2)</f>
        <v>40279.199999999997</v>
      </c>
      <c r="AA356" s="9">
        <f>Y356+Z356</f>
        <v>48400.56</v>
      </c>
      <c r="AD356" s="4">
        <v>264030321</v>
      </c>
      <c r="AE356" s="4">
        <v>19917608</v>
      </c>
      <c r="AG356" s="4" t="s">
        <v>1534</v>
      </c>
      <c r="AH356" s="4" t="s">
        <v>1535</v>
      </c>
      <c r="AI356" s="4" t="s">
        <v>249</v>
      </c>
    </row>
    <row r="357" spans="1:35" ht="18.75" x14ac:dyDescent="0.25">
      <c r="A357" s="10" t="s">
        <v>1536</v>
      </c>
      <c r="B357" s="10"/>
      <c r="C357" s="24" t="s">
        <v>1515</v>
      </c>
      <c r="D357" s="15"/>
      <c r="E357" s="15"/>
      <c r="F357" s="25" t="s">
        <v>103</v>
      </c>
      <c r="G357" s="26">
        <v>1</v>
      </c>
      <c r="H357" s="27"/>
      <c r="I357" s="27">
        <v>22</v>
      </c>
      <c r="J357" s="28">
        <v>80</v>
      </c>
      <c r="M357" s="29">
        <f>ROUND(ROUND(J357, 2)*I357, 2)</f>
        <v>1760</v>
      </c>
      <c r="P357" s="30">
        <v>80</v>
      </c>
      <c r="S357" s="29">
        <f>ROUND(ROUND(P357, 2)*I357, 2)</f>
        <v>1760</v>
      </c>
      <c r="V357" s="9">
        <f>ROUND(ROUND(P357, 2)/1.2, 2)</f>
        <v>66.67</v>
      </c>
      <c r="Y357" s="9">
        <f t="shared" si="17"/>
        <v>1466.67</v>
      </c>
      <c r="AD357" s="4" t="s">
        <v>1537</v>
      </c>
      <c r="AE357" s="4" t="s">
        <v>1538</v>
      </c>
      <c r="AF357" s="4" t="s">
        <v>1518</v>
      </c>
    </row>
    <row r="358" spans="1:35" ht="18.75" x14ac:dyDescent="0.25">
      <c r="A358" s="10" t="s">
        <v>1539</v>
      </c>
      <c r="B358" s="10"/>
      <c r="C358" s="24" t="s">
        <v>190</v>
      </c>
      <c r="D358" s="15"/>
      <c r="E358" s="15"/>
      <c r="F358" s="25" t="s">
        <v>123</v>
      </c>
      <c r="G358" s="26">
        <v>1</v>
      </c>
      <c r="H358" s="27"/>
      <c r="I358" s="27">
        <v>201</v>
      </c>
      <c r="J358" s="28">
        <v>39.729999999999997</v>
      </c>
      <c r="M358" s="29">
        <f>ROUND(ROUND(J358, 2)*I358, 2)</f>
        <v>7985.73</v>
      </c>
      <c r="P358" s="30">
        <v>39.729999999999997</v>
      </c>
      <c r="S358" s="29">
        <f>ROUND(ROUND(P358, 2)*I358, 2)</f>
        <v>7985.73</v>
      </c>
      <c r="V358" s="9">
        <f>ROUND(ROUND(P358, 2)/1.2, 2)</f>
        <v>33.11</v>
      </c>
      <c r="Y358" s="9">
        <f t="shared" si="17"/>
        <v>6654.78</v>
      </c>
      <c r="AD358" s="4" t="s">
        <v>1540</v>
      </c>
      <c r="AE358" s="4" t="s">
        <v>1541</v>
      </c>
      <c r="AF358" s="4" t="s">
        <v>193</v>
      </c>
    </row>
    <row r="359" spans="1:35" ht="37.5" x14ac:dyDescent="0.25">
      <c r="A359" s="10" t="s">
        <v>1542</v>
      </c>
      <c r="B359" s="10"/>
      <c r="C359" s="24" t="s">
        <v>1543</v>
      </c>
      <c r="D359" s="15"/>
      <c r="E359" s="15"/>
      <c r="F359" s="25" t="s">
        <v>56</v>
      </c>
      <c r="G359" s="26">
        <v>1.1000000000000001</v>
      </c>
      <c r="H359" s="26"/>
      <c r="I359" s="26">
        <v>41.183999999999997</v>
      </c>
      <c r="J359" s="28">
        <v>0</v>
      </c>
      <c r="M359" s="29">
        <f>ROUND(ROUND(J359, 2)*I359, 2)</f>
        <v>0</v>
      </c>
      <c r="P359" s="30">
        <v>0</v>
      </c>
      <c r="S359" s="29">
        <f>ROUND(ROUND(P359, 2)*I359, 2)</f>
        <v>0</v>
      </c>
      <c r="V359" s="9">
        <f>ROUND(ROUND(P359, 2)/1.2, 2)</f>
        <v>0</v>
      </c>
      <c r="Y359" s="9">
        <f t="shared" si="17"/>
        <v>0</v>
      </c>
      <c r="AD359" s="4" t="s">
        <v>1544</v>
      </c>
      <c r="AE359" s="4" t="s">
        <v>1545</v>
      </c>
      <c r="AF359" s="4" t="s">
        <v>1546</v>
      </c>
    </row>
    <row r="360" spans="1:35" ht="17.100000000000001" customHeight="1" x14ac:dyDescent="0.25">
      <c r="A360" s="10" t="s">
        <v>1547</v>
      </c>
      <c r="B360" s="10" t="s">
        <v>1548</v>
      </c>
      <c r="C360" s="116" t="s">
        <v>1549</v>
      </c>
      <c r="D360" s="117"/>
      <c r="E360" s="117"/>
      <c r="F360" s="117"/>
      <c r="G360" s="117"/>
      <c r="H360" s="117"/>
      <c r="I360" s="118"/>
      <c r="M360" s="6">
        <f>SUM(M361,M383)</f>
        <v>9944.4500000000007</v>
      </c>
      <c r="N360" s="6">
        <f>SUM(N361,N383)</f>
        <v>228453.48</v>
      </c>
      <c r="O360" s="6">
        <f>SUM(O361,O383)</f>
        <v>238397.93</v>
      </c>
      <c r="S360" s="6">
        <f>SUM(S361,S383)</f>
        <v>9944.4500000000007</v>
      </c>
      <c r="T360" s="6">
        <f>SUM(T361,T383)</f>
        <v>228453.48</v>
      </c>
      <c r="U360" s="6">
        <f>SUM(U361,U383)</f>
        <v>238397.93</v>
      </c>
      <c r="Y360" s="9">
        <f>SUM(Y361,Y383)</f>
        <v>8287.0400000000009</v>
      </c>
      <c r="Z360" s="9">
        <f>SUM(Z361,Z383)</f>
        <v>190377.9</v>
      </c>
      <c r="AA360" s="9">
        <f>SUM(AA361,AA383)</f>
        <v>198664.94</v>
      </c>
      <c r="AD360" s="4">
        <v>264030322</v>
      </c>
      <c r="AE360" s="4">
        <v>16077436</v>
      </c>
    </row>
    <row r="361" spans="1:35" ht="17.100000000000001" customHeight="1" x14ac:dyDescent="0.25">
      <c r="A361" s="10" t="s">
        <v>1550</v>
      </c>
      <c r="B361" s="10" t="s">
        <v>1551</v>
      </c>
      <c r="C361" s="116" t="s">
        <v>1552</v>
      </c>
      <c r="D361" s="117"/>
      <c r="E361" s="117"/>
      <c r="F361" s="117"/>
      <c r="G361" s="117"/>
      <c r="H361" s="117"/>
      <c r="I361" s="118"/>
      <c r="M361" s="6">
        <f>SUM(M362,M365,M368,M371,M374,M377,M380)</f>
        <v>0</v>
      </c>
      <c r="N361" s="6">
        <f>SUM(N362,N365,N368,N371,N374,N377,N380)</f>
        <v>0</v>
      </c>
      <c r="O361" s="6">
        <f>SUM(O362,O365,O368,O371,O374,O377,O380)</f>
        <v>0</v>
      </c>
      <c r="S361" s="6">
        <f>SUM(S362,S365,S368,S371,S374,S377,S380)</f>
        <v>0</v>
      </c>
      <c r="T361" s="6">
        <f>SUM(T362,T365,T368,T371,T374,T377,T380)</f>
        <v>0</v>
      </c>
      <c r="U361" s="6">
        <f>SUM(U362,U365,U368,U371,U374,U377,U380)</f>
        <v>0</v>
      </c>
      <c r="Y361" s="9">
        <f>SUM(Y362,Y365,Y368,Y371,Y374,Y377,Y380)</f>
        <v>0</v>
      </c>
      <c r="Z361" s="9">
        <f>SUM(Z362,Z365,Z368,Z371,Z374,Z377,Z380)</f>
        <v>0</v>
      </c>
      <c r="AA361" s="9">
        <f>SUM(AA362,AA365,AA368,AA371,AA374,AA377,AA380)</f>
        <v>0</v>
      </c>
      <c r="AD361" s="4">
        <v>264030323</v>
      </c>
      <c r="AE361" s="4">
        <v>16077440</v>
      </c>
    </row>
    <row r="362" spans="1:35" ht="37.5" x14ac:dyDescent="0.25">
      <c r="A362" s="10" t="s">
        <v>1553</v>
      </c>
      <c r="B362" s="10" t="s">
        <v>1554</v>
      </c>
      <c r="C362" s="14" t="s">
        <v>1040</v>
      </c>
      <c r="D362" s="15"/>
      <c r="E362" s="15" t="s">
        <v>1555</v>
      </c>
      <c r="F362" s="15" t="s">
        <v>56</v>
      </c>
      <c r="G362" s="16">
        <v>1</v>
      </c>
      <c r="H362" s="16"/>
      <c r="I362" s="16">
        <v>0</v>
      </c>
      <c r="J362" s="17">
        <f>IFERROR(ROUND(SUM(M363,M364)/I362, 2),0)</f>
        <v>0</v>
      </c>
      <c r="K362" s="18">
        <v>718</v>
      </c>
      <c r="L362" s="17">
        <f>J362+ROUND(K362, 2)</f>
        <v>718</v>
      </c>
      <c r="M362" s="17">
        <f>ROUND(J362*I362, 2)</f>
        <v>0</v>
      </c>
      <c r="N362" s="17">
        <f>ROUND(I362*ROUND(K362, 2), 2)</f>
        <v>0</v>
      </c>
      <c r="O362" s="17">
        <f>M362+N362</f>
        <v>0</v>
      </c>
      <c r="P362" s="17">
        <f>IFERROR(ROUND(SUM(S363,S364)/I362, 2),0)</f>
        <v>0</v>
      </c>
      <c r="Q362" s="18">
        <v>718</v>
      </c>
      <c r="R362" s="17">
        <f>P362+ROUND(Q362, 2)</f>
        <v>718</v>
      </c>
      <c r="S362" s="17">
        <f>ROUND(P362*I362, 2)</f>
        <v>0</v>
      </c>
      <c r="T362" s="17">
        <f>ROUND(I362*ROUND(Q362, 2), 2)</f>
        <v>0</v>
      </c>
      <c r="U362" s="17">
        <f>S362+T362</f>
        <v>0</v>
      </c>
      <c r="V362" s="9">
        <f>ROUND(P362 / 1.2, 2)</f>
        <v>0</v>
      </c>
      <c r="W362" s="9">
        <f>ROUND(Q362 / 1.2, 2)</f>
        <v>598.33000000000004</v>
      </c>
      <c r="X362" s="9">
        <f>ROUND(R362 / 1.2, 2)</f>
        <v>598.33000000000004</v>
      </c>
      <c r="Y362" s="9">
        <f>ROUND(S362 / 1.2, 2)</f>
        <v>0</v>
      </c>
      <c r="Z362" s="9">
        <f>ROUND(T362 / 1.2, 2)</f>
        <v>0</v>
      </c>
      <c r="AA362" s="9">
        <f>Y362+Z362</f>
        <v>0</v>
      </c>
      <c r="AD362" s="4">
        <v>264030325</v>
      </c>
      <c r="AE362" s="4">
        <v>16077787</v>
      </c>
      <c r="AG362" s="4" t="s">
        <v>1042</v>
      </c>
      <c r="AH362" s="4" t="s">
        <v>1556</v>
      </c>
      <c r="AI362" s="4" t="s">
        <v>249</v>
      </c>
    </row>
    <row r="363" spans="1:35" ht="18.75" x14ac:dyDescent="0.25">
      <c r="A363" s="10" t="s">
        <v>1558</v>
      </c>
      <c r="B363" s="10"/>
      <c r="C363" s="24" t="s">
        <v>859</v>
      </c>
      <c r="D363" s="15"/>
      <c r="E363" s="15"/>
      <c r="F363" s="25" t="s">
        <v>81</v>
      </c>
      <c r="G363" s="26">
        <v>5</v>
      </c>
      <c r="H363" s="26"/>
      <c r="I363" s="26">
        <v>0</v>
      </c>
      <c r="J363" s="28">
        <v>23</v>
      </c>
      <c r="M363" s="29">
        <f>ROUND(ROUND(J363, 2)*I363, 2)</f>
        <v>0</v>
      </c>
      <c r="P363" s="28">
        <v>23</v>
      </c>
      <c r="S363" s="29">
        <f>ROUND(ROUND(P363, 2)*I363, 2)</f>
        <v>0</v>
      </c>
      <c r="V363" s="9">
        <f>ROUND(ROUND(P363, 2)/1.2, 2)</f>
        <v>19.170000000000002</v>
      </c>
      <c r="Y363" s="9">
        <f t="shared" ref="Y363:Y382" si="18">ROUND(S363 / 1.2, 2)</f>
        <v>0</v>
      </c>
      <c r="AD363" s="4" t="s">
        <v>1559</v>
      </c>
      <c r="AE363" s="4" t="s">
        <v>1560</v>
      </c>
      <c r="AF363" s="4" t="s">
        <v>863</v>
      </c>
    </row>
    <row r="364" spans="1:35" ht="37.5" x14ac:dyDescent="0.25">
      <c r="A364" s="10" t="s">
        <v>1563</v>
      </c>
      <c r="B364" s="10"/>
      <c r="C364" s="24" t="s">
        <v>313</v>
      </c>
      <c r="D364" s="15"/>
      <c r="E364" s="15" t="s">
        <v>1564</v>
      </c>
      <c r="F364" s="25" t="s">
        <v>81</v>
      </c>
      <c r="G364" s="26">
        <v>0.15</v>
      </c>
      <c r="H364" s="26"/>
      <c r="I364" s="26">
        <v>0</v>
      </c>
      <c r="J364" s="28">
        <v>100</v>
      </c>
      <c r="M364" s="29">
        <f>ROUND(ROUND(J364, 2)*I364, 2)</f>
        <v>0</v>
      </c>
      <c r="P364" s="28">
        <v>100</v>
      </c>
      <c r="S364" s="29">
        <f>ROUND(ROUND(P364, 2)*I364, 2)</f>
        <v>0</v>
      </c>
      <c r="V364" s="9">
        <f>ROUND(ROUND(P364, 2)/1.2, 2)</f>
        <v>83.33</v>
      </c>
      <c r="Y364" s="9">
        <f t="shared" si="18"/>
        <v>0</v>
      </c>
      <c r="AD364" s="4" t="s">
        <v>1565</v>
      </c>
      <c r="AE364" s="4" t="s">
        <v>1566</v>
      </c>
      <c r="AF364" s="4" t="s">
        <v>316</v>
      </c>
    </row>
    <row r="365" spans="1:35" ht="37.5" x14ac:dyDescent="0.25">
      <c r="A365" s="10" t="s">
        <v>1569</v>
      </c>
      <c r="B365" s="10" t="s">
        <v>1554</v>
      </c>
      <c r="C365" s="14" t="s">
        <v>1040</v>
      </c>
      <c r="D365" s="15"/>
      <c r="E365" s="15" t="s">
        <v>1555</v>
      </c>
      <c r="F365" s="15" t="s">
        <v>56</v>
      </c>
      <c r="G365" s="16">
        <v>1</v>
      </c>
      <c r="H365" s="16"/>
      <c r="I365" s="16">
        <v>0</v>
      </c>
      <c r="J365" s="17">
        <f>IFERROR(ROUND(SUM(M366,M367)/I365, 2),0)</f>
        <v>0</v>
      </c>
      <c r="K365" s="18">
        <v>718</v>
      </c>
      <c r="L365" s="17">
        <f>J365+ROUND(K365, 2)</f>
        <v>718</v>
      </c>
      <c r="M365" s="17">
        <f>ROUND(J365*I365, 2)</f>
        <v>0</v>
      </c>
      <c r="N365" s="17">
        <f>ROUND(I365*ROUND(K365, 2), 2)</f>
        <v>0</v>
      </c>
      <c r="O365" s="17">
        <f>M365+N365</f>
        <v>0</v>
      </c>
      <c r="P365" s="17">
        <f>IFERROR(ROUND(SUM(S366,S367)/I365, 2),0)</f>
        <v>0</v>
      </c>
      <c r="Q365" s="18">
        <v>718</v>
      </c>
      <c r="R365" s="17">
        <f>P365+ROUND(Q365, 2)</f>
        <v>718</v>
      </c>
      <c r="S365" s="17">
        <f>ROUND(P365*I365, 2)</f>
        <v>0</v>
      </c>
      <c r="T365" s="17">
        <f>ROUND(I365*ROUND(Q365, 2), 2)</f>
        <v>0</v>
      </c>
      <c r="U365" s="17">
        <f>S365+T365</f>
        <v>0</v>
      </c>
      <c r="V365" s="9">
        <f>ROUND(P365 / 1.2, 2)</f>
        <v>0</v>
      </c>
      <c r="W365" s="9">
        <f>ROUND(Q365 / 1.2, 2)</f>
        <v>598.33000000000004</v>
      </c>
      <c r="X365" s="9">
        <f>ROUND(R365 / 1.2, 2)</f>
        <v>598.33000000000004</v>
      </c>
      <c r="Y365" s="9">
        <f t="shared" si="18"/>
        <v>0</v>
      </c>
      <c r="Z365" s="9">
        <f>ROUND(T365 / 1.2, 2)</f>
        <v>0</v>
      </c>
      <c r="AA365" s="9">
        <f>Y365+Z365</f>
        <v>0</v>
      </c>
      <c r="AD365" s="4">
        <v>264030408</v>
      </c>
      <c r="AE365" s="4">
        <v>16077788</v>
      </c>
      <c r="AG365" s="4" t="s">
        <v>1042</v>
      </c>
      <c r="AH365" s="4" t="s">
        <v>1556</v>
      </c>
      <c r="AI365" s="4" t="s">
        <v>249</v>
      </c>
    </row>
    <row r="366" spans="1:35" ht="37.5" x14ac:dyDescent="0.25">
      <c r="A366" s="10" t="s">
        <v>1571</v>
      </c>
      <c r="B366" s="10"/>
      <c r="C366" s="24" t="s">
        <v>490</v>
      </c>
      <c r="D366" s="15"/>
      <c r="E366" s="15"/>
      <c r="F366" s="25" t="s">
        <v>81</v>
      </c>
      <c r="G366" s="26">
        <v>0.15</v>
      </c>
      <c r="H366" s="26"/>
      <c r="I366" s="26">
        <v>0</v>
      </c>
      <c r="J366" s="28">
        <v>88.8</v>
      </c>
      <c r="M366" s="29">
        <f>ROUND(ROUND(J366, 2)*I366, 2)</f>
        <v>0</v>
      </c>
      <c r="P366" s="28">
        <v>88.8</v>
      </c>
      <c r="S366" s="29">
        <f>ROUND(ROUND(P366, 2)*I366, 2)</f>
        <v>0</v>
      </c>
      <c r="V366" s="9">
        <f>ROUND(ROUND(P366, 2)/1.2, 2)</f>
        <v>74</v>
      </c>
      <c r="Y366" s="9">
        <f t="shared" si="18"/>
        <v>0</v>
      </c>
      <c r="AD366" s="4" t="s">
        <v>1572</v>
      </c>
      <c r="AE366" s="4" t="s">
        <v>1573</v>
      </c>
      <c r="AF366" s="4" t="s">
        <v>493</v>
      </c>
    </row>
    <row r="367" spans="1:35" ht="37.5" x14ac:dyDescent="0.25">
      <c r="A367" s="10" t="s">
        <v>1576</v>
      </c>
      <c r="B367" s="10"/>
      <c r="C367" s="24" t="s">
        <v>880</v>
      </c>
      <c r="D367" s="15"/>
      <c r="E367" s="15"/>
      <c r="F367" s="25" t="s">
        <v>81</v>
      </c>
      <c r="G367" s="26">
        <v>2.5</v>
      </c>
      <c r="H367" s="26"/>
      <c r="I367" s="26">
        <v>0</v>
      </c>
      <c r="J367" s="28">
        <v>60</v>
      </c>
      <c r="M367" s="29">
        <f>ROUND(ROUND(J367, 2)*I367, 2)</f>
        <v>0</v>
      </c>
      <c r="P367" s="28">
        <v>12.58</v>
      </c>
      <c r="S367" s="29">
        <f>ROUND(ROUND(P367, 2)*I367, 2)</f>
        <v>0</v>
      </c>
      <c r="V367" s="9">
        <f>ROUND(ROUND(P367, 2)/1.2, 2)</f>
        <v>10.48</v>
      </c>
      <c r="Y367" s="9">
        <f t="shared" si="18"/>
        <v>0</v>
      </c>
      <c r="AD367" s="4" t="s">
        <v>1577</v>
      </c>
      <c r="AE367" s="4" t="s">
        <v>1578</v>
      </c>
      <c r="AF367" s="4" t="s">
        <v>883</v>
      </c>
    </row>
    <row r="368" spans="1:35" ht="37.5" x14ac:dyDescent="0.25">
      <c r="A368" s="10" t="s">
        <v>1581</v>
      </c>
      <c r="B368" s="10" t="s">
        <v>1554</v>
      </c>
      <c r="C368" s="14" t="s">
        <v>1040</v>
      </c>
      <c r="D368" s="15"/>
      <c r="E368" s="15" t="s">
        <v>1555</v>
      </c>
      <c r="F368" s="15" t="s">
        <v>56</v>
      </c>
      <c r="G368" s="16">
        <v>1</v>
      </c>
      <c r="H368" s="16"/>
      <c r="I368" s="16">
        <v>0</v>
      </c>
      <c r="J368" s="17">
        <f>IFERROR(ROUND(SUM(M369,M370)/I368, 2),0)</f>
        <v>0</v>
      </c>
      <c r="K368" s="18">
        <v>718</v>
      </c>
      <c r="L368" s="17">
        <f>J368+ROUND(K368, 2)</f>
        <v>718</v>
      </c>
      <c r="M368" s="17">
        <f>ROUND(J368*I368, 2)</f>
        <v>0</v>
      </c>
      <c r="N368" s="17">
        <f>ROUND(I368*ROUND(K368, 2), 2)</f>
        <v>0</v>
      </c>
      <c r="O368" s="17">
        <f>M368+N368</f>
        <v>0</v>
      </c>
      <c r="P368" s="17">
        <f>IFERROR(ROUND(SUM(S369,S370)/I368, 2),0)</f>
        <v>0</v>
      </c>
      <c r="Q368" s="18">
        <v>718</v>
      </c>
      <c r="R368" s="17">
        <f>P368+ROUND(Q368, 2)</f>
        <v>718</v>
      </c>
      <c r="S368" s="17">
        <f>ROUND(P368*I368, 2)</f>
        <v>0</v>
      </c>
      <c r="T368" s="17">
        <f>ROUND(I368*ROUND(Q368, 2), 2)</f>
        <v>0</v>
      </c>
      <c r="U368" s="17">
        <f>S368+T368</f>
        <v>0</v>
      </c>
      <c r="V368" s="9">
        <f>ROUND(P368 / 1.2, 2)</f>
        <v>0</v>
      </c>
      <c r="W368" s="9">
        <f>ROUND(Q368 / 1.2, 2)</f>
        <v>598.33000000000004</v>
      </c>
      <c r="X368" s="9">
        <f>ROUND(R368 / 1.2, 2)</f>
        <v>598.33000000000004</v>
      </c>
      <c r="Y368" s="9">
        <f t="shared" si="18"/>
        <v>0</v>
      </c>
      <c r="Z368" s="9">
        <f>ROUND(T368 / 1.2, 2)</f>
        <v>0</v>
      </c>
      <c r="AA368" s="9">
        <f>Y368+Z368</f>
        <v>0</v>
      </c>
      <c r="AD368" s="4">
        <v>264030409</v>
      </c>
      <c r="AE368" s="4">
        <v>16077789</v>
      </c>
      <c r="AG368" s="4" t="s">
        <v>1042</v>
      </c>
      <c r="AH368" s="4" t="s">
        <v>1556</v>
      </c>
      <c r="AI368" s="4" t="s">
        <v>249</v>
      </c>
    </row>
    <row r="369" spans="1:35" ht="37.5" x14ac:dyDescent="0.25">
      <c r="A369" s="10" t="s">
        <v>1583</v>
      </c>
      <c r="B369" s="10"/>
      <c r="C369" s="24" t="s">
        <v>887</v>
      </c>
      <c r="D369" s="15"/>
      <c r="E369" s="15"/>
      <c r="F369" s="25" t="s">
        <v>81</v>
      </c>
      <c r="G369" s="26">
        <v>1.5</v>
      </c>
      <c r="H369" s="26"/>
      <c r="I369" s="26">
        <v>0</v>
      </c>
      <c r="J369" s="28">
        <v>23</v>
      </c>
      <c r="M369" s="29">
        <f>ROUND(ROUND(J369, 2)*I369, 2)</f>
        <v>0</v>
      </c>
      <c r="P369" s="28">
        <v>12.58</v>
      </c>
      <c r="S369" s="29">
        <f>ROUND(ROUND(P369, 2)*I369, 2)</f>
        <v>0</v>
      </c>
      <c r="V369" s="9">
        <f>ROUND(ROUND(P369, 2)/1.2, 2)</f>
        <v>10.48</v>
      </c>
      <c r="Y369" s="9">
        <f t="shared" si="18"/>
        <v>0</v>
      </c>
      <c r="AD369" s="4" t="s">
        <v>1584</v>
      </c>
      <c r="AE369" s="4" t="s">
        <v>1585</v>
      </c>
      <c r="AF369" s="4" t="s">
        <v>890</v>
      </c>
    </row>
    <row r="370" spans="1:35" ht="37.5" x14ac:dyDescent="0.25">
      <c r="A370" s="10" t="s">
        <v>1588</v>
      </c>
      <c r="B370" s="10"/>
      <c r="C370" s="24" t="s">
        <v>490</v>
      </c>
      <c r="D370" s="15"/>
      <c r="E370" s="15"/>
      <c r="F370" s="25" t="s">
        <v>81</v>
      </c>
      <c r="G370" s="26">
        <v>0.15</v>
      </c>
      <c r="H370" s="26"/>
      <c r="I370" s="26">
        <v>0</v>
      </c>
      <c r="J370" s="28">
        <v>88.8</v>
      </c>
      <c r="M370" s="29">
        <f>ROUND(ROUND(J370, 2)*I370, 2)</f>
        <v>0</v>
      </c>
      <c r="P370" s="28">
        <v>88.8</v>
      </c>
      <c r="S370" s="29">
        <f>ROUND(ROUND(P370, 2)*I370, 2)</f>
        <v>0</v>
      </c>
      <c r="V370" s="9">
        <f>ROUND(ROUND(P370, 2)/1.2, 2)</f>
        <v>74</v>
      </c>
      <c r="Y370" s="9">
        <f t="shared" si="18"/>
        <v>0</v>
      </c>
      <c r="AD370" s="4" t="s">
        <v>1589</v>
      </c>
      <c r="AE370" s="4" t="s">
        <v>1590</v>
      </c>
      <c r="AF370" s="4" t="s">
        <v>493</v>
      </c>
    </row>
    <row r="371" spans="1:35" ht="37.5" x14ac:dyDescent="0.25">
      <c r="A371" s="10" t="s">
        <v>1593</v>
      </c>
      <c r="B371" s="10" t="s">
        <v>1554</v>
      </c>
      <c r="C371" s="14" t="s">
        <v>1040</v>
      </c>
      <c r="D371" s="15"/>
      <c r="E371" s="15" t="s">
        <v>1594</v>
      </c>
      <c r="F371" s="15" t="s">
        <v>56</v>
      </c>
      <c r="G371" s="16">
        <v>1</v>
      </c>
      <c r="H371" s="16"/>
      <c r="I371" s="16">
        <v>0</v>
      </c>
      <c r="J371" s="17">
        <f>IFERROR(ROUND(SUM(M372,M373)/I371, 2),0)</f>
        <v>0</v>
      </c>
      <c r="K371" s="18">
        <v>718</v>
      </c>
      <c r="L371" s="17">
        <f>J371+ROUND(K371, 2)</f>
        <v>718</v>
      </c>
      <c r="M371" s="17">
        <f>ROUND(J371*I371, 2)</f>
        <v>0</v>
      </c>
      <c r="N371" s="17">
        <f>ROUND(I371*ROUND(K371, 2), 2)</f>
        <v>0</v>
      </c>
      <c r="O371" s="17">
        <f>M371+N371</f>
        <v>0</v>
      </c>
      <c r="P371" s="17">
        <f>IFERROR(ROUND(SUM(S372,S373)/I371, 2),0)</f>
        <v>0</v>
      </c>
      <c r="Q371" s="18">
        <v>718</v>
      </c>
      <c r="R371" s="17">
        <f>P371+ROUND(Q371, 2)</f>
        <v>718</v>
      </c>
      <c r="S371" s="17">
        <f>ROUND(P371*I371, 2)</f>
        <v>0</v>
      </c>
      <c r="T371" s="17">
        <f>ROUND(I371*ROUND(Q371, 2), 2)</f>
        <v>0</v>
      </c>
      <c r="U371" s="17">
        <f>S371+T371</f>
        <v>0</v>
      </c>
      <c r="V371" s="9">
        <f>ROUND(P371 / 1.2, 2)</f>
        <v>0</v>
      </c>
      <c r="W371" s="9">
        <f>ROUND(Q371 / 1.2, 2)</f>
        <v>598.33000000000004</v>
      </c>
      <c r="X371" s="9">
        <f>ROUND(R371 / 1.2, 2)</f>
        <v>598.33000000000004</v>
      </c>
      <c r="Y371" s="9">
        <f t="shared" si="18"/>
        <v>0</v>
      </c>
      <c r="Z371" s="9">
        <f>ROUND(T371 / 1.2, 2)</f>
        <v>0</v>
      </c>
      <c r="AA371" s="9">
        <f>Y371+Z371</f>
        <v>0</v>
      </c>
      <c r="AD371" s="4">
        <v>264030410</v>
      </c>
      <c r="AE371" s="4">
        <v>16082313</v>
      </c>
      <c r="AG371" s="4" t="s">
        <v>1042</v>
      </c>
      <c r="AH371" s="4" t="s">
        <v>1556</v>
      </c>
      <c r="AI371" s="4" t="s">
        <v>249</v>
      </c>
    </row>
    <row r="372" spans="1:35" ht="18.75" x14ac:dyDescent="0.25">
      <c r="A372" s="10" t="s">
        <v>1596</v>
      </c>
      <c r="B372" s="10"/>
      <c r="C372" s="24" t="s">
        <v>313</v>
      </c>
      <c r="D372" s="15"/>
      <c r="E372" s="15"/>
      <c r="F372" s="25" t="s">
        <v>81</v>
      </c>
      <c r="G372" s="26">
        <v>0.15</v>
      </c>
      <c r="H372" s="26"/>
      <c r="I372" s="26">
        <v>0</v>
      </c>
      <c r="J372" s="28">
        <v>100</v>
      </c>
      <c r="M372" s="29">
        <f>ROUND(ROUND(J372, 2)*I372, 2)</f>
        <v>0</v>
      </c>
      <c r="P372" s="28">
        <v>100</v>
      </c>
      <c r="S372" s="29">
        <f>ROUND(ROUND(P372, 2)*I372, 2)</f>
        <v>0</v>
      </c>
      <c r="V372" s="9">
        <f>ROUND(ROUND(P372, 2)/1.2, 2)</f>
        <v>83.33</v>
      </c>
      <c r="Y372" s="9">
        <f t="shared" si="18"/>
        <v>0</v>
      </c>
      <c r="AD372" s="4" t="s">
        <v>1597</v>
      </c>
      <c r="AE372" s="4" t="s">
        <v>1598</v>
      </c>
      <c r="AF372" s="4" t="s">
        <v>316</v>
      </c>
    </row>
    <row r="373" spans="1:35" ht="56.25" x14ac:dyDescent="0.25">
      <c r="A373" s="10" t="s">
        <v>1601</v>
      </c>
      <c r="B373" s="10"/>
      <c r="C373" s="37" t="s">
        <v>926</v>
      </c>
      <c r="D373" s="15"/>
      <c r="E373" s="15"/>
      <c r="F373" s="25" t="s">
        <v>81</v>
      </c>
      <c r="G373" s="26">
        <v>4.5</v>
      </c>
      <c r="H373" s="26"/>
      <c r="I373" s="26">
        <v>0</v>
      </c>
      <c r="J373" s="28">
        <v>12.58</v>
      </c>
      <c r="M373" s="29">
        <f>ROUND(ROUND(J373, 2)*I373, 2)</f>
        <v>0</v>
      </c>
      <c r="P373" s="28">
        <v>12.58</v>
      </c>
      <c r="S373" s="29">
        <f>ROUND(ROUND(P373, 2)*I373, 2)</f>
        <v>0</v>
      </c>
      <c r="V373" s="9">
        <f>ROUND(ROUND(P373, 2)/1.2, 2)</f>
        <v>10.48</v>
      </c>
      <c r="Y373" s="9">
        <f t="shared" si="18"/>
        <v>0</v>
      </c>
      <c r="AD373" s="4" t="s">
        <v>1602</v>
      </c>
      <c r="AE373" s="4" t="s">
        <v>1603</v>
      </c>
      <c r="AF373" s="4" t="s">
        <v>1604</v>
      </c>
    </row>
    <row r="374" spans="1:35" ht="37.5" x14ac:dyDescent="0.25">
      <c r="A374" s="10" t="s">
        <v>1607</v>
      </c>
      <c r="B374" s="10" t="s">
        <v>1554</v>
      </c>
      <c r="C374" s="14" t="s">
        <v>1040</v>
      </c>
      <c r="D374" s="15"/>
      <c r="E374" s="15" t="s">
        <v>834</v>
      </c>
      <c r="F374" s="15" t="s">
        <v>56</v>
      </c>
      <c r="G374" s="16">
        <v>1</v>
      </c>
      <c r="H374" s="16"/>
      <c r="I374" s="16">
        <v>0</v>
      </c>
      <c r="J374" s="17">
        <f>IFERROR(ROUND(SUM(M375,M376)/I374, 2),0)</f>
        <v>0</v>
      </c>
      <c r="K374" s="18">
        <v>718</v>
      </c>
      <c r="L374" s="17">
        <f>J374+ROUND(K374, 2)</f>
        <v>718</v>
      </c>
      <c r="M374" s="17">
        <f>ROUND(J374*I374, 2)</f>
        <v>0</v>
      </c>
      <c r="N374" s="17">
        <f>ROUND(I374*ROUND(K374, 2), 2)</f>
        <v>0</v>
      </c>
      <c r="O374" s="17">
        <f>M374+N374</f>
        <v>0</v>
      </c>
      <c r="P374" s="17">
        <f>IFERROR(ROUND(SUM(S375,S376)/I374, 2),0)</f>
        <v>0</v>
      </c>
      <c r="Q374" s="18">
        <v>718</v>
      </c>
      <c r="R374" s="17">
        <f>P374+ROUND(Q374, 2)</f>
        <v>718</v>
      </c>
      <c r="S374" s="17">
        <f>ROUND(P374*I374, 2)</f>
        <v>0</v>
      </c>
      <c r="T374" s="17">
        <f>ROUND(I374*ROUND(Q374, 2), 2)</f>
        <v>0</v>
      </c>
      <c r="U374" s="17">
        <f>S374+T374</f>
        <v>0</v>
      </c>
      <c r="V374" s="9">
        <f>ROUND(P374 / 1.2, 2)</f>
        <v>0</v>
      </c>
      <c r="W374" s="9">
        <f>ROUND(Q374 / 1.2, 2)</f>
        <v>598.33000000000004</v>
      </c>
      <c r="X374" s="9">
        <f>ROUND(R374 / 1.2, 2)</f>
        <v>598.33000000000004</v>
      </c>
      <c r="Y374" s="9">
        <f t="shared" si="18"/>
        <v>0</v>
      </c>
      <c r="Z374" s="9">
        <f>ROUND(T374 / 1.2, 2)</f>
        <v>0</v>
      </c>
      <c r="AA374" s="9">
        <f>Y374+Z374</f>
        <v>0</v>
      </c>
      <c r="AD374" s="4">
        <v>264030411</v>
      </c>
      <c r="AE374" s="4">
        <v>16087382</v>
      </c>
      <c r="AG374" s="4" t="s">
        <v>1042</v>
      </c>
      <c r="AH374" s="4" t="s">
        <v>1556</v>
      </c>
      <c r="AI374" s="4" t="s">
        <v>249</v>
      </c>
    </row>
    <row r="375" spans="1:35" ht="18.75" x14ac:dyDescent="0.25">
      <c r="A375" s="10" t="s">
        <v>1609</v>
      </c>
      <c r="B375" s="10"/>
      <c r="C375" s="24" t="s">
        <v>859</v>
      </c>
      <c r="D375" s="15"/>
      <c r="E375" s="15" t="s">
        <v>367</v>
      </c>
      <c r="F375" s="25" t="s">
        <v>81</v>
      </c>
      <c r="G375" s="26">
        <v>5</v>
      </c>
      <c r="H375" s="26"/>
      <c r="I375" s="26">
        <v>0</v>
      </c>
      <c r="J375" s="28">
        <v>23</v>
      </c>
      <c r="M375" s="29">
        <f>ROUND(ROUND(J375, 2)*I375, 2)</f>
        <v>0</v>
      </c>
      <c r="P375" s="28">
        <v>23</v>
      </c>
      <c r="S375" s="29">
        <f>ROUND(ROUND(P375, 2)*I375, 2)</f>
        <v>0</v>
      </c>
      <c r="V375" s="9">
        <f>ROUND(ROUND(P375, 2)/1.2, 2)</f>
        <v>19.170000000000002</v>
      </c>
      <c r="Y375" s="9">
        <f t="shared" si="18"/>
        <v>0</v>
      </c>
      <c r="AD375" s="4" t="s">
        <v>1610</v>
      </c>
      <c r="AE375" s="4" t="s">
        <v>1611</v>
      </c>
      <c r="AF375" s="4" t="s">
        <v>863</v>
      </c>
    </row>
    <row r="376" spans="1:35" ht="18.75" x14ac:dyDescent="0.25">
      <c r="A376" s="10" t="s">
        <v>1614</v>
      </c>
      <c r="B376" s="10"/>
      <c r="C376" s="24" t="s">
        <v>313</v>
      </c>
      <c r="D376" s="15"/>
      <c r="E376" s="15"/>
      <c r="F376" s="25" t="s">
        <v>81</v>
      </c>
      <c r="G376" s="26">
        <v>0.15</v>
      </c>
      <c r="H376" s="26"/>
      <c r="I376" s="26">
        <v>0</v>
      </c>
      <c r="J376" s="28">
        <v>100</v>
      </c>
      <c r="M376" s="29">
        <f>ROUND(ROUND(J376, 2)*I376, 2)</f>
        <v>0</v>
      </c>
      <c r="P376" s="28">
        <v>100</v>
      </c>
      <c r="S376" s="29">
        <f>ROUND(ROUND(P376, 2)*I376, 2)</f>
        <v>0</v>
      </c>
      <c r="V376" s="9">
        <f>ROUND(ROUND(P376, 2)/1.2, 2)</f>
        <v>83.33</v>
      </c>
      <c r="Y376" s="9">
        <f t="shared" si="18"/>
        <v>0</v>
      </c>
      <c r="AD376" s="4" t="s">
        <v>1615</v>
      </c>
      <c r="AE376" s="4" t="s">
        <v>1616</v>
      </c>
      <c r="AF376" s="4" t="s">
        <v>316</v>
      </c>
    </row>
    <row r="377" spans="1:35" ht="37.5" x14ac:dyDescent="0.25">
      <c r="A377" s="10" t="s">
        <v>1619</v>
      </c>
      <c r="B377" s="10" t="s">
        <v>1554</v>
      </c>
      <c r="C377" s="14" t="s">
        <v>1040</v>
      </c>
      <c r="D377" s="15"/>
      <c r="E377" s="15" t="s">
        <v>834</v>
      </c>
      <c r="F377" s="15" t="s">
        <v>56</v>
      </c>
      <c r="G377" s="16">
        <v>1</v>
      </c>
      <c r="H377" s="16"/>
      <c r="I377" s="16">
        <v>0</v>
      </c>
      <c r="J377" s="17">
        <f>IFERROR(ROUND(SUM(M378,M379)/I377, 2),0)</f>
        <v>0</v>
      </c>
      <c r="K377" s="18">
        <v>718</v>
      </c>
      <c r="L377" s="17">
        <f>J377+ROUND(K377, 2)</f>
        <v>718</v>
      </c>
      <c r="M377" s="17">
        <f>ROUND(J377*I377, 2)</f>
        <v>0</v>
      </c>
      <c r="N377" s="17">
        <f>ROUND(I377*ROUND(K377, 2), 2)</f>
        <v>0</v>
      </c>
      <c r="O377" s="17">
        <f>M377+N377</f>
        <v>0</v>
      </c>
      <c r="P377" s="17">
        <f>IFERROR(ROUND(SUM(S378,S379)/I377, 2),0)</f>
        <v>0</v>
      </c>
      <c r="Q377" s="18">
        <v>718</v>
      </c>
      <c r="R377" s="17">
        <f>P377+ROUND(Q377, 2)</f>
        <v>718</v>
      </c>
      <c r="S377" s="17">
        <f>ROUND(P377*I377, 2)</f>
        <v>0</v>
      </c>
      <c r="T377" s="17">
        <f>ROUND(I377*ROUND(Q377, 2), 2)</f>
        <v>0</v>
      </c>
      <c r="U377" s="17">
        <f>S377+T377</f>
        <v>0</v>
      </c>
      <c r="V377" s="9">
        <f>ROUND(P377 / 1.2, 2)</f>
        <v>0</v>
      </c>
      <c r="W377" s="9">
        <f>ROUND(Q377 / 1.2, 2)</f>
        <v>598.33000000000004</v>
      </c>
      <c r="X377" s="9">
        <f>ROUND(R377 / 1.2, 2)</f>
        <v>598.33000000000004</v>
      </c>
      <c r="Y377" s="9">
        <f t="shared" si="18"/>
        <v>0</v>
      </c>
      <c r="Z377" s="9">
        <f>ROUND(T377 / 1.2, 2)</f>
        <v>0</v>
      </c>
      <c r="AA377" s="9">
        <f>Y377+Z377</f>
        <v>0</v>
      </c>
      <c r="AD377" s="4">
        <v>264030412</v>
      </c>
      <c r="AE377" s="4">
        <v>16087383</v>
      </c>
      <c r="AG377" s="4" t="s">
        <v>1042</v>
      </c>
      <c r="AH377" s="4" t="s">
        <v>1556</v>
      </c>
      <c r="AI377" s="4" t="s">
        <v>249</v>
      </c>
    </row>
    <row r="378" spans="1:35" ht="37.5" x14ac:dyDescent="0.25">
      <c r="A378" s="10" t="s">
        <v>1621</v>
      </c>
      <c r="B378" s="10"/>
      <c r="C378" s="24" t="s">
        <v>490</v>
      </c>
      <c r="D378" s="15"/>
      <c r="E378" s="15"/>
      <c r="F378" s="25" t="s">
        <v>81</v>
      </c>
      <c r="G378" s="26">
        <v>0.15</v>
      </c>
      <c r="H378" s="26"/>
      <c r="I378" s="26">
        <v>0</v>
      </c>
      <c r="J378" s="28">
        <v>88.8</v>
      </c>
      <c r="M378" s="29">
        <f>ROUND(ROUND(J378, 2)*I378, 2)</f>
        <v>0</v>
      </c>
      <c r="P378" s="28">
        <v>88.8</v>
      </c>
      <c r="S378" s="29">
        <f>ROUND(ROUND(P378, 2)*I378, 2)</f>
        <v>0</v>
      </c>
      <c r="V378" s="9">
        <f>ROUND(ROUND(P378, 2)/1.2, 2)</f>
        <v>74</v>
      </c>
      <c r="Y378" s="9">
        <f t="shared" si="18"/>
        <v>0</v>
      </c>
      <c r="AD378" s="4" t="s">
        <v>1622</v>
      </c>
      <c r="AE378" s="4" t="s">
        <v>1623</v>
      </c>
      <c r="AF378" s="4" t="s">
        <v>493</v>
      </c>
    </row>
    <row r="379" spans="1:35" ht="37.5" x14ac:dyDescent="0.25">
      <c r="A379" s="10" t="s">
        <v>1626</v>
      </c>
      <c r="B379" s="10"/>
      <c r="C379" s="24" t="s">
        <v>880</v>
      </c>
      <c r="D379" s="15"/>
      <c r="E379" s="15"/>
      <c r="F379" s="25" t="s">
        <v>81</v>
      </c>
      <c r="G379" s="26">
        <v>2.5</v>
      </c>
      <c r="H379" s="26"/>
      <c r="I379" s="26">
        <v>0</v>
      </c>
      <c r="J379" s="28">
        <v>60</v>
      </c>
      <c r="M379" s="29">
        <f>ROUND(ROUND(J379, 2)*I379, 2)</f>
        <v>0</v>
      </c>
      <c r="P379" s="28">
        <v>12.58</v>
      </c>
      <c r="S379" s="29">
        <f>ROUND(ROUND(P379, 2)*I379, 2)</f>
        <v>0</v>
      </c>
      <c r="V379" s="9">
        <f>ROUND(ROUND(P379, 2)/1.2, 2)</f>
        <v>10.48</v>
      </c>
      <c r="Y379" s="9">
        <f t="shared" si="18"/>
        <v>0</v>
      </c>
      <c r="AD379" s="4" t="s">
        <v>1627</v>
      </c>
      <c r="AE379" s="4" t="s">
        <v>1628</v>
      </c>
      <c r="AF379" s="4" t="s">
        <v>883</v>
      </c>
    </row>
    <row r="380" spans="1:35" ht="37.5" x14ac:dyDescent="0.25">
      <c r="A380" s="10" t="s">
        <v>1631</v>
      </c>
      <c r="B380" s="10" t="s">
        <v>1554</v>
      </c>
      <c r="C380" s="14" t="s">
        <v>1040</v>
      </c>
      <c r="D380" s="15"/>
      <c r="E380" s="15" t="s">
        <v>834</v>
      </c>
      <c r="F380" s="15" t="s">
        <v>56</v>
      </c>
      <c r="G380" s="16">
        <v>1</v>
      </c>
      <c r="H380" s="16"/>
      <c r="I380" s="16">
        <v>0</v>
      </c>
      <c r="J380" s="17">
        <f>IFERROR(ROUND(SUM(M381,M382)/I380, 2),0)</f>
        <v>0</v>
      </c>
      <c r="K380" s="18">
        <v>718</v>
      </c>
      <c r="L380" s="17">
        <f>J380+ROUND(K380, 2)</f>
        <v>718</v>
      </c>
      <c r="M380" s="17">
        <f>ROUND(J380*I380, 2)</f>
        <v>0</v>
      </c>
      <c r="N380" s="17">
        <f>ROUND(I380*ROUND(K380, 2), 2)</f>
        <v>0</v>
      </c>
      <c r="O380" s="17">
        <f>M380+N380</f>
        <v>0</v>
      </c>
      <c r="P380" s="17">
        <f>IFERROR(ROUND(SUM(S381,S382)/I380, 2),0)</f>
        <v>0</v>
      </c>
      <c r="Q380" s="18">
        <v>718</v>
      </c>
      <c r="R380" s="17">
        <f>P380+ROUND(Q380, 2)</f>
        <v>718</v>
      </c>
      <c r="S380" s="17">
        <f>ROUND(P380*I380, 2)</f>
        <v>0</v>
      </c>
      <c r="T380" s="17">
        <f>ROUND(I380*ROUND(Q380, 2), 2)</f>
        <v>0</v>
      </c>
      <c r="U380" s="17">
        <f>S380+T380</f>
        <v>0</v>
      </c>
      <c r="V380" s="9">
        <f>ROUND(P380 / 1.2, 2)</f>
        <v>0</v>
      </c>
      <c r="W380" s="9">
        <f>ROUND(Q380 / 1.2, 2)</f>
        <v>598.33000000000004</v>
      </c>
      <c r="X380" s="9">
        <f>ROUND(R380 / 1.2, 2)</f>
        <v>598.33000000000004</v>
      </c>
      <c r="Y380" s="9">
        <f t="shared" si="18"/>
        <v>0</v>
      </c>
      <c r="Z380" s="9">
        <f>ROUND(T380 / 1.2, 2)</f>
        <v>0</v>
      </c>
      <c r="AA380" s="9">
        <f>Y380+Z380</f>
        <v>0</v>
      </c>
      <c r="AD380" s="4">
        <v>264030413</v>
      </c>
      <c r="AE380" s="4">
        <v>16087384</v>
      </c>
      <c r="AG380" s="4" t="s">
        <v>1042</v>
      </c>
      <c r="AH380" s="4" t="s">
        <v>1556</v>
      </c>
      <c r="AI380" s="4" t="s">
        <v>249</v>
      </c>
    </row>
    <row r="381" spans="1:35" ht="37.5" x14ac:dyDescent="0.25">
      <c r="A381" s="10" t="s">
        <v>1633</v>
      </c>
      <c r="B381" s="10"/>
      <c r="C381" s="24" t="s">
        <v>887</v>
      </c>
      <c r="D381" s="15"/>
      <c r="E381" s="15"/>
      <c r="F381" s="25" t="s">
        <v>81</v>
      </c>
      <c r="G381" s="26">
        <v>1.5</v>
      </c>
      <c r="H381" s="26"/>
      <c r="I381" s="26">
        <v>0</v>
      </c>
      <c r="J381" s="28">
        <v>23</v>
      </c>
      <c r="M381" s="29">
        <f>ROUND(ROUND(J381, 2)*I381, 2)</f>
        <v>0</v>
      </c>
      <c r="P381" s="28">
        <v>12.58</v>
      </c>
      <c r="S381" s="29">
        <f>ROUND(ROUND(P381, 2)*I381, 2)</f>
        <v>0</v>
      </c>
      <c r="V381" s="9">
        <f>ROUND(ROUND(P381, 2)/1.2, 2)</f>
        <v>10.48</v>
      </c>
      <c r="Y381" s="9">
        <f t="shared" si="18"/>
        <v>0</v>
      </c>
      <c r="AD381" s="4" t="s">
        <v>1634</v>
      </c>
      <c r="AE381" s="4" t="s">
        <v>1635</v>
      </c>
      <c r="AF381" s="4" t="s">
        <v>890</v>
      </c>
    </row>
    <row r="382" spans="1:35" ht="37.5" x14ac:dyDescent="0.25">
      <c r="A382" s="10" t="s">
        <v>1638</v>
      </c>
      <c r="B382" s="10"/>
      <c r="C382" s="24" t="s">
        <v>490</v>
      </c>
      <c r="D382" s="15"/>
      <c r="E382" s="15"/>
      <c r="F382" s="25" t="s">
        <v>81</v>
      </c>
      <c r="G382" s="26">
        <v>0.15</v>
      </c>
      <c r="H382" s="26"/>
      <c r="I382" s="26">
        <v>0</v>
      </c>
      <c r="J382" s="28">
        <v>88.8</v>
      </c>
      <c r="M382" s="29">
        <f>ROUND(ROUND(J382, 2)*I382, 2)</f>
        <v>0</v>
      </c>
      <c r="P382" s="28">
        <v>88.8</v>
      </c>
      <c r="S382" s="29">
        <f>ROUND(ROUND(P382, 2)*I382, 2)</f>
        <v>0</v>
      </c>
      <c r="V382" s="9">
        <f>ROUND(ROUND(P382, 2)/1.2, 2)</f>
        <v>74</v>
      </c>
      <c r="Y382" s="9">
        <f t="shared" si="18"/>
        <v>0</v>
      </c>
      <c r="AD382" s="4" t="s">
        <v>1639</v>
      </c>
      <c r="AE382" s="4" t="s">
        <v>1640</v>
      </c>
      <c r="AF382" s="4" t="s">
        <v>493</v>
      </c>
    </row>
    <row r="383" spans="1:35" ht="17.100000000000001" customHeight="1" x14ac:dyDescent="0.25">
      <c r="A383" s="10" t="s">
        <v>1643</v>
      </c>
      <c r="B383" s="10" t="s">
        <v>1644</v>
      </c>
      <c r="C383" s="116" t="s">
        <v>1645</v>
      </c>
      <c r="D383" s="117"/>
      <c r="E383" s="117"/>
      <c r="F383" s="117"/>
      <c r="G383" s="117"/>
      <c r="H383" s="117"/>
      <c r="I383" s="118"/>
      <c r="M383" s="6">
        <f>SUM(M384,M387,M390)</f>
        <v>9944.4500000000007</v>
      </c>
      <c r="N383" s="6">
        <f>SUM(N384,N387,N390)</f>
        <v>228453.48</v>
      </c>
      <c r="O383" s="6">
        <f>SUM(O384,O387,O390)</f>
        <v>238397.93</v>
      </c>
      <c r="S383" s="6">
        <f>SUM(S384,S387,S390)</f>
        <v>9944.4500000000007</v>
      </c>
      <c r="T383" s="6">
        <f>SUM(T384,T387,T390)</f>
        <v>228453.48</v>
      </c>
      <c r="U383" s="6">
        <f>SUM(U384,U387,U390)</f>
        <v>238397.93</v>
      </c>
      <c r="Y383" s="9">
        <f>SUM(Y384,Y387,Y390)</f>
        <v>8287.0400000000009</v>
      </c>
      <c r="Z383" s="9">
        <f>SUM(Z384,Z387,Z390)</f>
        <v>190377.9</v>
      </c>
      <c r="AA383" s="9">
        <f>SUM(AA384,AA387,AA390)</f>
        <v>198664.94</v>
      </c>
      <c r="AD383" s="4">
        <v>264030326</v>
      </c>
      <c r="AE383" s="4">
        <v>16082936</v>
      </c>
    </row>
    <row r="384" spans="1:35" ht="56.25" x14ac:dyDescent="0.25">
      <c r="A384" s="10" t="s">
        <v>1646</v>
      </c>
      <c r="B384" s="10" t="s">
        <v>1647</v>
      </c>
      <c r="C384" s="14" t="s">
        <v>1648</v>
      </c>
      <c r="D384" s="15"/>
      <c r="E384" s="15" t="s">
        <v>1649</v>
      </c>
      <c r="F384" s="15" t="s">
        <v>56</v>
      </c>
      <c r="G384" s="16">
        <v>1</v>
      </c>
      <c r="H384" s="16"/>
      <c r="I384" s="16">
        <v>0</v>
      </c>
      <c r="J384" s="17">
        <f>IFERROR(ROUND(SUM(M385,M386)/I384, 2),0)</f>
        <v>0</v>
      </c>
      <c r="K384" s="18">
        <v>278</v>
      </c>
      <c r="L384" s="17">
        <f>J384+ROUND(K384, 2)</f>
        <v>278</v>
      </c>
      <c r="M384" s="17">
        <f>ROUND(J384*I384, 2)</f>
        <v>0</v>
      </c>
      <c r="N384" s="17">
        <f>ROUND(I384*ROUND(K384, 2), 2)</f>
        <v>0</v>
      </c>
      <c r="O384" s="17">
        <f>M384+N384</f>
        <v>0</v>
      </c>
      <c r="P384" s="17">
        <f>IFERROR(ROUND(SUM(S385,S386)/I384, 2),0)</f>
        <v>0</v>
      </c>
      <c r="Q384" s="18">
        <v>278</v>
      </c>
      <c r="R384" s="17">
        <f>P384+ROUND(Q384, 2)</f>
        <v>278</v>
      </c>
      <c r="S384" s="17">
        <f>ROUND(P384*I384, 2)</f>
        <v>0</v>
      </c>
      <c r="T384" s="17">
        <f>ROUND(I384*ROUND(Q384, 2), 2)</f>
        <v>0</v>
      </c>
      <c r="U384" s="17">
        <f>S384+T384</f>
        <v>0</v>
      </c>
      <c r="V384" s="9">
        <f>ROUND(P384 / 1.2, 2)</f>
        <v>0</v>
      </c>
      <c r="W384" s="9">
        <f>ROUND(Q384 / 1.2, 2)</f>
        <v>231.67</v>
      </c>
      <c r="X384" s="9">
        <f>ROUND(R384 / 1.2, 2)</f>
        <v>231.67</v>
      </c>
      <c r="Y384" s="9">
        <f>ROUND(S384 / 1.2, 2)</f>
        <v>0</v>
      </c>
      <c r="Z384" s="9">
        <f>ROUND(T384 / 1.2, 2)</f>
        <v>0</v>
      </c>
      <c r="AA384" s="9">
        <f>Y384+Z384</f>
        <v>0</v>
      </c>
      <c r="AD384" s="4">
        <v>264030328</v>
      </c>
      <c r="AE384" s="4">
        <v>16082938</v>
      </c>
      <c r="AG384" s="4" t="s">
        <v>1650</v>
      </c>
      <c r="AH384" s="4" t="s">
        <v>1651</v>
      </c>
      <c r="AI384" s="4" t="s">
        <v>249</v>
      </c>
    </row>
    <row r="385" spans="1:35" ht="131.25" x14ac:dyDescent="0.25">
      <c r="A385" s="10" t="s">
        <v>1653</v>
      </c>
      <c r="B385" s="10"/>
      <c r="C385" s="24" t="s">
        <v>1654</v>
      </c>
      <c r="D385" s="15"/>
      <c r="E385" s="15" t="s">
        <v>1655</v>
      </c>
      <c r="F385" s="25" t="s">
        <v>81</v>
      </c>
      <c r="G385" s="26">
        <v>0.3</v>
      </c>
      <c r="H385" s="27"/>
      <c r="I385" s="27">
        <v>0</v>
      </c>
      <c r="J385" s="28">
        <v>226.67</v>
      </c>
      <c r="M385" s="29">
        <f>ROUND(ROUND(J385, 2)*I385, 2)</f>
        <v>0</v>
      </c>
      <c r="P385" s="28">
        <v>135.36000000000001</v>
      </c>
      <c r="S385" s="29">
        <f>ROUND(ROUND(P385, 2)*I385, 2)</f>
        <v>0</v>
      </c>
      <c r="V385" s="9">
        <f>ROUND(ROUND(P385, 2)/1.2, 2)</f>
        <v>112.8</v>
      </c>
      <c r="Y385" s="9">
        <f t="shared" ref="Y385:Y392" si="19">ROUND(S385 / 1.2, 2)</f>
        <v>0</v>
      </c>
      <c r="AD385" s="4" t="s">
        <v>1656</v>
      </c>
      <c r="AE385" s="4" t="s">
        <v>1657</v>
      </c>
      <c r="AF385" s="4" t="s">
        <v>1658</v>
      </c>
    </row>
    <row r="386" spans="1:35" ht="37.5" x14ac:dyDescent="0.25">
      <c r="A386" s="10" t="s">
        <v>1661</v>
      </c>
      <c r="B386" s="10"/>
      <c r="C386" s="24" t="s">
        <v>490</v>
      </c>
      <c r="D386" s="15"/>
      <c r="E386" s="15"/>
      <c r="F386" s="25" t="s">
        <v>81</v>
      </c>
      <c r="G386" s="26">
        <v>0.15</v>
      </c>
      <c r="H386" s="27"/>
      <c r="I386" s="27">
        <v>0</v>
      </c>
      <c r="J386" s="28">
        <v>88.8</v>
      </c>
      <c r="M386" s="29">
        <f>ROUND(ROUND(J386, 2)*I386, 2)</f>
        <v>0</v>
      </c>
      <c r="P386" s="28">
        <v>88.8</v>
      </c>
      <c r="S386" s="29">
        <f>ROUND(ROUND(P386, 2)*I386, 2)</f>
        <v>0</v>
      </c>
      <c r="V386" s="9">
        <f>ROUND(ROUND(P386, 2)/1.2, 2)</f>
        <v>74</v>
      </c>
      <c r="Y386" s="9">
        <f t="shared" si="19"/>
        <v>0</v>
      </c>
      <c r="AD386" s="4" t="s">
        <v>1662</v>
      </c>
      <c r="AE386" s="4" t="s">
        <v>1663</v>
      </c>
      <c r="AF386" s="4" t="s">
        <v>493</v>
      </c>
    </row>
    <row r="387" spans="1:35" ht="56.25" x14ac:dyDescent="0.25">
      <c r="A387" s="10" t="s">
        <v>1666</v>
      </c>
      <c r="B387" s="10" t="s">
        <v>1647</v>
      </c>
      <c r="C387" s="14" t="s">
        <v>1648</v>
      </c>
      <c r="D387" s="15"/>
      <c r="E387" s="15" t="s">
        <v>523</v>
      </c>
      <c r="F387" s="15" t="s">
        <v>56</v>
      </c>
      <c r="G387" s="16">
        <v>1</v>
      </c>
      <c r="H387" s="16"/>
      <c r="I387" s="16">
        <v>0</v>
      </c>
      <c r="J387" s="17">
        <f>IFERROR(ROUND(SUM(M388,M389)/I387, 2),0)</f>
        <v>0</v>
      </c>
      <c r="K387" s="18">
        <v>278</v>
      </c>
      <c r="L387" s="17">
        <f>J387+ROUND(K387, 2)</f>
        <v>278</v>
      </c>
      <c r="M387" s="17">
        <f>ROUND(J387*I387, 2)</f>
        <v>0</v>
      </c>
      <c r="N387" s="17">
        <f>ROUND(I387*ROUND(K387, 2), 2)</f>
        <v>0</v>
      </c>
      <c r="O387" s="17">
        <f>M387+N387</f>
        <v>0</v>
      </c>
      <c r="P387" s="17">
        <f>IFERROR(ROUND(SUM(S388,S389)/I387, 2),0)</f>
        <v>0</v>
      </c>
      <c r="Q387" s="18">
        <v>278</v>
      </c>
      <c r="R387" s="17">
        <f>P387+ROUND(Q387, 2)</f>
        <v>278</v>
      </c>
      <c r="S387" s="17">
        <f>ROUND(P387*I387, 2)</f>
        <v>0</v>
      </c>
      <c r="T387" s="17">
        <f>ROUND(I387*ROUND(Q387, 2), 2)</f>
        <v>0</v>
      </c>
      <c r="U387" s="17">
        <f>S387+T387</f>
        <v>0</v>
      </c>
      <c r="V387" s="9">
        <f>ROUND(P387 / 1.2, 2)</f>
        <v>0</v>
      </c>
      <c r="W387" s="9">
        <f>ROUND(Q387 / 1.2, 2)</f>
        <v>231.67</v>
      </c>
      <c r="X387" s="9">
        <f>ROUND(R387 / 1.2, 2)</f>
        <v>231.67</v>
      </c>
      <c r="Y387" s="9">
        <f t="shared" si="19"/>
        <v>0</v>
      </c>
      <c r="Z387" s="9">
        <f>ROUND(T387 / 1.2, 2)</f>
        <v>0</v>
      </c>
      <c r="AA387" s="9">
        <f>Y387+Z387</f>
        <v>0</v>
      </c>
      <c r="AD387" s="4">
        <v>264030414</v>
      </c>
      <c r="AE387" s="4">
        <v>16088066</v>
      </c>
      <c r="AG387" s="4" t="s">
        <v>1650</v>
      </c>
      <c r="AH387" s="4" t="s">
        <v>1651</v>
      </c>
      <c r="AI387" s="4" t="s">
        <v>249</v>
      </c>
    </row>
    <row r="388" spans="1:35" ht="37.5" x14ac:dyDescent="0.25">
      <c r="A388" s="10" t="s">
        <v>1668</v>
      </c>
      <c r="B388" s="10"/>
      <c r="C388" s="24" t="s">
        <v>490</v>
      </c>
      <c r="D388" s="15"/>
      <c r="E388" s="15"/>
      <c r="F388" s="25" t="s">
        <v>81</v>
      </c>
      <c r="G388" s="26">
        <v>0.15</v>
      </c>
      <c r="H388" s="27"/>
      <c r="I388" s="27">
        <v>0</v>
      </c>
      <c r="J388" s="28">
        <v>88.8</v>
      </c>
      <c r="M388" s="29">
        <f>ROUND(ROUND(J388, 2)*I388, 2)</f>
        <v>0</v>
      </c>
      <c r="P388" s="28">
        <v>88.8</v>
      </c>
      <c r="S388" s="29">
        <f>ROUND(ROUND(P388, 2)*I388, 2)</f>
        <v>0</v>
      </c>
      <c r="V388" s="9">
        <f>ROUND(ROUND(P388, 2)/1.2, 2)</f>
        <v>74</v>
      </c>
      <c r="Y388" s="9">
        <f t="shared" si="19"/>
        <v>0</v>
      </c>
      <c r="AD388" s="4" t="s">
        <v>1669</v>
      </c>
      <c r="AE388" s="4" t="s">
        <v>1670</v>
      </c>
      <c r="AF388" s="4" t="s">
        <v>493</v>
      </c>
    </row>
    <row r="389" spans="1:35" ht="112.5" x14ac:dyDescent="0.25">
      <c r="A389" s="10" t="s">
        <v>1673</v>
      </c>
      <c r="B389" s="10"/>
      <c r="C389" s="24" t="s">
        <v>1654</v>
      </c>
      <c r="D389" s="15"/>
      <c r="E389" s="15" t="s">
        <v>1674</v>
      </c>
      <c r="F389" s="25" t="s">
        <v>81</v>
      </c>
      <c r="G389" s="26">
        <v>0.3</v>
      </c>
      <c r="H389" s="27"/>
      <c r="I389" s="27">
        <v>0</v>
      </c>
      <c r="J389" s="28">
        <v>226.67</v>
      </c>
      <c r="M389" s="29">
        <f>ROUND(ROUND(J389, 2)*I389, 2)</f>
        <v>0</v>
      </c>
      <c r="P389" s="28">
        <v>135.36000000000001</v>
      </c>
      <c r="S389" s="29">
        <f>ROUND(ROUND(P389, 2)*I389, 2)</f>
        <v>0</v>
      </c>
      <c r="V389" s="9">
        <f>ROUND(ROUND(P389, 2)/1.2, 2)</f>
        <v>112.8</v>
      </c>
      <c r="Y389" s="9">
        <f t="shared" si="19"/>
        <v>0</v>
      </c>
      <c r="AD389" s="4" t="s">
        <v>1675</v>
      </c>
      <c r="AE389" s="4" t="s">
        <v>1676</v>
      </c>
      <c r="AF389" s="4" t="s">
        <v>1658</v>
      </c>
    </row>
    <row r="390" spans="1:35" ht="56.25" x14ac:dyDescent="0.25">
      <c r="A390" s="10" t="s">
        <v>1679</v>
      </c>
      <c r="B390" s="10" t="s">
        <v>1647</v>
      </c>
      <c r="C390" s="14" t="s">
        <v>1648</v>
      </c>
      <c r="D390" s="15"/>
      <c r="E390" s="15" t="s">
        <v>1387</v>
      </c>
      <c r="F390" s="15" t="s">
        <v>56</v>
      </c>
      <c r="G390" s="16">
        <v>1</v>
      </c>
      <c r="H390" s="16"/>
      <c r="I390" s="16">
        <v>746.58</v>
      </c>
      <c r="J390" s="17">
        <f>IFERROR(ROUND(SUM(M391,M392)/I390, 2),0)</f>
        <v>13.32</v>
      </c>
      <c r="K390" s="18">
        <v>306</v>
      </c>
      <c r="L390" s="17">
        <f>J390+ROUND(K390, 2)</f>
        <v>319.32</v>
      </c>
      <c r="M390" s="17">
        <f>ROUND(J390*I390, 2)</f>
        <v>9944.4500000000007</v>
      </c>
      <c r="N390" s="17">
        <f>ROUND(I390*ROUND(K390, 2), 2)</f>
        <v>228453.48</v>
      </c>
      <c r="O390" s="17">
        <f>M390+N390</f>
        <v>238397.93</v>
      </c>
      <c r="P390" s="17">
        <f>IFERROR(ROUND(SUM(S391,S392)/I390, 2),0)</f>
        <v>13.32</v>
      </c>
      <c r="Q390" s="19">
        <v>306</v>
      </c>
      <c r="R390" s="17">
        <f>P390+ROUND(Q390, 2)</f>
        <v>319.32</v>
      </c>
      <c r="S390" s="17">
        <f>ROUND(P390*I390, 2)</f>
        <v>9944.4500000000007</v>
      </c>
      <c r="T390" s="17">
        <f>ROUND(I390*ROUND(Q390, 2), 2)</f>
        <v>228453.48</v>
      </c>
      <c r="U390" s="17">
        <f>S390+T390</f>
        <v>238397.93</v>
      </c>
      <c r="V390" s="9">
        <f>ROUND(P390 / 1.2, 2)</f>
        <v>11.1</v>
      </c>
      <c r="W390" s="9">
        <f>ROUND(Q390 / 1.2, 2)</f>
        <v>255</v>
      </c>
      <c r="X390" s="9">
        <f>ROUND(R390 / 1.2, 2)</f>
        <v>266.10000000000002</v>
      </c>
      <c r="Y390" s="9">
        <f t="shared" si="19"/>
        <v>8287.0400000000009</v>
      </c>
      <c r="Z390" s="9">
        <f>ROUND(T390 / 1.2, 2)</f>
        <v>190377.9</v>
      </c>
      <c r="AA390" s="9">
        <f>Y390+Z390</f>
        <v>198664.94</v>
      </c>
      <c r="AD390" s="4">
        <v>264030415</v>
      </c>
      <c r="AE390" s="4">
        <v>19923616</v>
      </c>
      <c r="AG390" s="4" t="s">
        <v>1650</v>
      </c>
      <c r="AH390" s="4" t="s">
        <v>1651</v>
      </c>
      <c r="AI390" s="4" t="s">
        <v>249</v>
      </c>
    </row>
    <row r="391" spans="1:35" ht="150" x14ac:dyDescent="0.25">
      <c r="A391" s="10" t="s">
        <v>1680</v>
      </c>
      <c r="B391" s="10"/>
      <c r="C391" s="24" t="s">
        <v>1681</v>
      </c>
      <c r="D391" s="15"/>
      <c r="E391" s="15" t="s">
        <v>1682</v>
      </c>
      <c r="F391" s="25" t="s">
        <v>81</v>
      </c>
      <c r="G391" s="26">
        <v>0.3</v>
      </c>
      <c r="H391" s="27"/>
      <c r="I391" s="27">
        <v>223.97399999999999</v>
      </c>
      <c r="J391" s="28">
        <v>0</v>
      </c>
      <c r="M391" s="29">
        <f>ROUND(ROUND(J391, 2)*I391, 2)</f>
        <v>0</v>
      </c>
      <c r="P391" s="30">
        <v>0</v>
      </c>
      <c r="S391" s="29">
        <f>ROUND(ROUND(P391, 2)*I391, 2)</f>
        <v>0</v>
      </c>
      <c r="V391" s="9">
        <f>ROUND(ROUND(P391, 2)/1.2, 2)</f>
        <v>0</v>
      </c>
      <c r="Y391" s="9">
        <f t="shared" si="19"/>
        <v>0</v>
      </c>
      <c r="AD391" s="4" t="s">
        <v>1683</v>
      </c>
      <c r="AE391" s="4" t="s">
        <v>1684</v>
      </c>
      <c r="AF391" s="4" t="s">
        <v>1685</v>
      </c>
    </row>
    <row r="392" spans="1:35" ht="37.5" x14ac:dyDescent="0.25">
      <c r="A392" s="10" t="s">
        <v>1686</v>
      </c>
      <c r="B392" s="10"/>
      <c r="C392" s="24" t="s">
        <v>490</v>
      </c>
      <c r="D392" s="15"/>
      <c r="E392" s="15"/>
      <c r="F392" s="25" t="s">
        <v>81</v>
      </c>
      <c r="G392" s="26">
        <v>0.15</v>
      </c>
      <c r="H392" s="27"/>
      <c r="I392" s="27">
        <v>111.98699999999999</v>
      </c>
      <c r="J392" s="28">
        <v>88.8</v>
      </c>
      <c r="M392" s="29">
        <f>ROUND(ROUND(J392, 2)*I392, 2)</f>
        <v>9944.4500000000007</v>
      </c>
      <c r="P392" s="30">
        <v>88.8</v>
      </c>
      <c r="S392" s="29">
        <f>ROUND(ROUND(P392, 2)*I392, 2)</f>
        <v>9944.4500000000007</v>
      </c>
      <c r="V392" s="9">
        <f>ROUND(ROUND(P392, 2)/1.2, 2)</f>
        <v>74</v>
      </c>
      <c r="Y392" s="9">
        <f t="shared" si="19"/>
        <v>8287.0400000000009</v>
      </c>
      <c r="AD392" s="4" t="s">
        <v>1687</v>
      </c>
      <c r="AE392" s="4" t="s">
        <v>1688</v>
      </c>
      <c r="AF392" s="4" t="s">
        <v>493</v>
      </c>
    </row>
    <row r="393" spans="1:35" ht="17.100000000000001" customHeight="1" x14ac:dyDescent="0.25">
      <c r="A393" s="10" t="s">
        <v>1689</v>
      </c>
      <c r="B393" s="10" t="s">
        <v>1690</v>
      </c>
      <c r="C393" s="116" t="s">
        <v>1691</v>
      </c>
      <c r="D393" s="117"/>
      <c r="E393" s="117"/>
      <c r="F393" s="117"/>
      <c r="G393" s="117"/>
      <c r="H393" s="117"/>
      <c r="I393" s="118"/>
      <c r="M393" s="6">
        <f>SUM(M394,M396,M398,M400)</f>
        <v>0</v>
      </c>
      <c r="N393" s="6">
        <f>SUM(N394,N396,N398,N400)</f>
        <v>62940.6</v>
      </c>
      <c r="O393" s="6">
        <f>SUM(O394,O396,O398,O400)</f>
        <v>62940.6</v>
      </c>
      <c r="S393" s="6">
        <f>SUM(S394,S396,S398,S400)</f>
        <v>0</v>
      </c>
      <c r="T393" s="6">
        <f>SUM(T394,T396,T398,T400)</f>
        <v>62940.6</v>
      </c>
      <c r="U393" s="6">
        <f>SUM(U394,U396,U398,U400)</f>
        <v>62940.6</v>
      </c>
      <c r="Y393" s="9">
        <f>SUM(Y394,Y396,Y398,Y400)</f>
        <v>0</v>
      </c>
      <c r="Z393" s="9">
        <f>SUM(Z394,Z396,Z398,Z400)</f>
        <v>52450.5</v>
      </c>
      <c r="AA393" s="9" t="e">
        <f>SUM(AA394,AA396,AA398,AA400)</f>
        <v>#VALUE!</v>
      </c>
      <c r="AD393" s="4">
        <v>264030329</v>
      </c>
      <c r="AE393" s="4">
        <v>16083550</v>
      </c>
    </row>
    <row r="394" spans="1:35" ht="37.5" x14ac:dyDescent="0.25">
      <c r="A394" s="10" t="s">
        <v>1692</v>
      </c>
      <c r="B394" s="10" t="s">
        <v>1693</v>
      </c>
      <c r="C394" s="14" t="s">
        <v>1694</v>
      </c>
      <c r="D394" s="15"/>
      <c r="E394" s="15" t="s">
        <v>1695</v>
      </c>
      <c r="F394" s="15" t="s">
        <v>56</v>
      </c>
      <c r="G394" s="16">
        <v>1</v>
      </c>
      <c r="H394" s="16"/>
      <c r="I394" s="16">
        <v>32.799999999999997</v>
      </c>
      <c r="J394" s="17">
        <f>IFERROR(ROUND(SUM(M395)/I394, 2),0)</f>
        <v>0</v>
      </c>
      <c r="K394" s="18">
        <v>837</v>
      </c>
      <c r="L394" s="17">
        <f>J394+ROUND(K394, 2)</f>
        <v>837</v>
      </c>
      <c r="M394" s="17">
        <f>ROUND(J394*I394, 2)</f>
        <v>0</v>
      </c>
      <c r="N394" s="17">
        <f>ROUND(I394*ROUND(K394, 2), 2)</f>
        <v>27453.599999999999</v>
      </c>
      <c r="O394" s="17">
        <f>M394+N394</f>
        <v>27453.599999999999</v>
      </c>
      <c r="P394" s="17">
        <f>IFERROR(ROUND(SUM(S395)/I394, 2),0)</f>
        <v>0</v>
      </c>
      <c r="Q394" s="19">
        <v>837</v>
      </c>
      <c r="R394" s="17">
        <f>P394+ROUND(Q394, 2)</f>
        <v>837</v>
      </c>
      <c r="S394" s="17">
        <f>ROUND(P394*I394, 2)</f>
        <v>0</v>
      </c>
      <c r="T394" s="17">
        <f>ROUND(I394*ROUND(Q394, 2), 2)</f>
        <v>27453.599999999999</v>
      </c>
      <c r="U394" s="17">
        <f>S394+T394</f>
        <v>27453.599999999999</v>
      </c>
      <c r="V394" s="9">
        <f>ROUND(P394 / 1.2, 2)</f>
        <v>0</v>
      </c>
      <c r="W394" s="9">
        <f>ROUND(Q394 / 1.2, 2)</f>
        <v>697.5</v>
      </c>
      <c r="X394" s="9">
        <f>ROUND(R394 / 1.2, 2)</f>
        <v>697.5</v>
      </c>
      <c r="Y394" s="9">
        <f>ROUND(S394 / 1.2, 2)</f>
        <v>0</v>
      </c>
      <c r="Z394" s="9">
        <f>ROUND(T394 / 1.2, 2)</f>
        <v>22878</v>
      </c>
      <c r="AA394" s="9">
        <f>Y394+Z394</f>
        <v>22878</v>
      </c>
      <c r="AD394" s="4">
        <v>264030331</v>
      </c>
      <c r="AE394" s="4">
        <v>16083552</v>
      </c>
      <c r="AG394" s="4" t="s">
        <v>1696</v>
      </c>
      <c r="AH394" s="4" t="s">
        <v>1697</v>
      </c>
      <c r="AI394" s="4" t="s">
        <v>249</v>
      </c>
    </row>
    <row r="395" spans="1:35" ht="93.75" x14ac:dyDescent="0.25">
      <c r="A395" s="10" t="s">
        <v>1698</v>
      </c>
      <c r="B395" s="10"/>
      <c r="C395" s="24" t="s">
        <v>1699</v>
      </c>
      <c r="D395" s="15"/>
      <c r="E395" s="15" t="s">
        <v>1700</v>
      </c>
      <c r="F395" s="25" t="s">
        <v>56</v>
      </c>
      <c r="G395" s="26">
        <v>1</v>
      </c>
      <c r="H395" s="27"/>
      <c r="I395" s="27">
        <v>32.799999999999997</v>
      </c>
      <c r="J395" s="28">
        <v>0</v>
      </c>
      <c r="M395" s="29">
        <f>ROUND(ROUND(J395, 2)*I395, 2)</f>
        <v>0</v>
      </c>
      <c r="P395" s="30">
        <v>0</v>
      </c>
      <c r="S395" s="29">
        <f>ROUND(ROUND(P395, 2)*I395, 2)</f>
        <v>0</v>
      </c>
      <c r="V395" s="9">
        <f>ROUND(ROUND(P395, 2)/1.2, 2)</f>
        <v>0</v>
      </c>
      <c r="Y395" s="9">
        <f>ROUND(S395 / 1.2, 2)</f>
        <v>0</v>
      </c>
      <c r="AD395" s="4" t="s">
        <v>1701</v>
      </c>
      <c r="AE395" s="4" t="s">
        <v>1702</v>
      </c>
      <c r="AF395" s="4" t="s">
        <v>1703</v>
      </c>
    </row>
    <row r="396" spans="1:35" ht="37.5" x14ac:dyDescent="0.25">
      <c r="A396" s="10" t="s">
        <v>1704</v>
      </c>
      <c r="B396" s="10" t="s">
        <v>1693</v>
      </c>
      <c r="C396" s="14" t="s">
        <v>1694</v>
      </c>
      <c r="D396" s="15"/>
      <c r="E396" s="15" t="s">
        <v>139</v>
      </c>
      <c r="F396" s="15" t="s">
        <v>56</v>
      </c>
      <c r="G396" s="16">
        <v>1</v>
      </c>
      <c r="H396" s="16"/>
      <c r="I396" s="16">
        <v>32.9</v>
      </c>
      <c r="J396" s="17">
        <f>IFERROR(ROUND(SUM(M397)/I396, 2),0)</f>
        <v>0</v>
      </c>
      <c r="K396" s="18">
        <v>837</v>
      </c>
      <c r="L396" s="17">
        <f>J396+ROUND(K396, 2)</f>
        <v>837</v>
      </c>
      <c r="M396" s="17">
        <f>ROUND(J396*I396, 2)</f>
        <v>0</v>
      </c>
      <c r="N396" s="17">
        <f>ROUND(I396*ROUND(K396, 2), 2)</f>
        <v>27537.3</v>
      </c>
      <c r="O396" s="17">
        <f>M396+N396</f>
        <v>27537.3</v>
      </c>
      <c r="P396" s="17">
        <f>IFERROR(ROUND(SUM(S397)/I396, 2),0)</f>
        <v>0</v>
      </c>
      <c r="Q396" s="19">
        <v>837</v>
      </c>
      <c r="R396" s="17">
        <f>P396+ROUND(Q396, 2)</f>
        <v>837</v>
      </c>
      <c r="S396" s="17">
        <f>ROUND(P396*I396, 2)</f>
        <v>0</v>
      </c>
      <c r="T396" s="17">
        <f>ROUND(I396*ROUND(Q396, 2), 2)</f>
        <v>27537.3</v>
      </c>
      <c r="U396" s="17">
        <f>S396+T396</f>
        <v>27537.3</v>
      </c>
      <c r="V396" s="9">
        <f>ROUND(P396 / 1.2, 2)</f>
        <v>0</v>
      </c>
      <c r="W396" s="9">
        <f>ROUND(Q396 / 1.2, 2)</f>
        <v>697.5</v>
      </c>
      <c r="X396" s="9">
        <f>ROUND(R396 / 1.2, 2)</f>
        <v>697.5</v>
      </c>
      <c r="Y396" s="9">
        <f>ROUND(S396 / 1.2, 2)</f>
        <v>0</v>
      </c>
      <c r="Z396" s="9">
        <f>ROUND(T396 / 1.2, 2)</f>
        <v>22947.75</v>
      </c>
      <c r="AA396" s="9">
        <f>Y396+Z396</f>
        <v>22947.75</v>
      </c>
      <c r="AD396" s="4">
        <v>264030416</v>
      </c>
      <c r="AE396" s="4">
        <v>16083553</v>
      </c>
      <c r="AG396" s="4" t="s">
        <v>1696</v>
      </c>
      <c r="AH396" s="4" t="s">
        <v>1697</v>
      </c>
      <c r="AI396" s="4" t="s">
        <v>249</v>
      </c>
    </row>
    <row r="397" spans="1:35" ht="93.75" x14ac:dyDescent="0.25">
      <c r="A397" s="10" t="s">
        <v>1705</v>
      </c>
      <c r="B397" s="10"/>
      <c r="C397" s="24" t="s">
        <v>1699</v>
      </c>
      <c r="D397" s="15"/>
      <c r="E397" s="15" t="s">
        <v>1700</v>
      </c>
      <c r="F397" s="25" t="s">
        <v>56</v>
      </c>
      <c r="G397" s="26">
        <v>1</v>
      </c>
      <c r="H397" s="27"/>
      <c r="I397" s="27">
        <v>32.9</v>
      </c>
      <c r="J397" s="28">
        <v>0</v>
      </c>
      <c r="M397" s="29">
        <f>ROUND(ROUND(J397, 2)*I397, 2)</f>
        <v>0</v>
      </c>
      <c r="P397" s="30">
        <v>0</v>
      </c>
      <c r="S397" s="29">
        <f>ROUND(ROUND(P397, 2)*I397, 2)</f>
        <v>0</v>
      </c>
      <c r="V397" s="9">
        <f>ROUND(ROUND(P397, 2)/1.2, 2)</f>
        <v>0</v>
      </c>
      <c r="Y397" s="9">
        <f>ROUND(S397 / 1.2, 2)</f>
        <v>0</v>
      </c>
      <c r="AD397" s="4" t="s">
        <v>1706</v>
      </c>
      <c r="AE397" s="4" t="s">
        <v>1707</v>
      </c>
      <c r="AF397" s="4" t="s">
        <v>1703</v>
      </c>
    </row>
    <row r="398" spans="1:35" ht="37.5" x14ac:dyDescent="0.25">
      <c r="A398" s="10" t="s">
        <v>1708</v>
      </c>
      <c r="B398" s="10" t="s">
        <v>1709</v>
      </c>
      <c r="C398" s="14" t="s">
        <v>1710</v>
      </c>
      <c r="D398" s="15"/>
      <c r="E398" s="15" t="s">
        <v>1711</v>
      </c>
      <c r="F398" s="15" t="s">
        <v>56</v>
      </c>
      <c r="G398" s="16">
        <v>1</v>
      </c>
      <c r="H398" s="16"/>
      <c r="I398" s="16">
        <v>0</v>
      </c>
      <c r="J398" s="17">
        <f>IFERROR(ROUND(SUM(M399)/I398, 2),0)</f>
        <v>0</v>
      </c>
      <c r="K398" s="18">
        <v>1499</v>
      </c>
      <c r="L398" s="17">
        <f>J398+ROUND(K398, 2)</f>
        <v>1499</v>
      </c>
      <c r="M398" s="17">
        <f>ROUND(J398*I398, 2)</f>
        <v>0</v>
      </c>
      <c r="N398" s="17">
        <f>ROUND(I398*ROUND(K398, 2), 2)</f>
        <v>0</v>
      </c>
      <c r="O398" s="17">
        <f>M398+N398</f>
        <v>0</v>
      </c>
      <c r="P398" s="17">
        <f>IFERROR(ROUND(SUM(S399)/I398, 2),0)</f>
        <v>0</v>
      </c>
      <c r="Q398" s="18">
        <v>1499</v>
      </c>
      <c r="R398" s="17">
        <f>P398+ROUND(Q398, 2)</f>
        <v>1499</v>
      </c>
      <c r="S398" s="17">
        <f>ROUND(P398*I398, 2)</f>
        <v>0</v>
      </c>
      <c r="T398" s="17">
        <f>ROUND(I398*ROUND(Q398, 2), 2)</f>
        <v>0</v>
      </c>
      <c r="U398" s="17">
        <f>S398+T398</f>
        <v>0</v>
      </c>
      <c r="V398" s="9">
        <f>ROUND(P398 / 1.2, 2)</f>
        <v>0</v>
      </c>
      <c r="W398" s="9">
        <f>ROUND(Q398 / 1.2, 2)</f>
        <v>1249.17</v>
      </c>
      <c r="X398" s="9">
        <f>ROUND(R398 / 1.2, 2)</f>
        <v>1249.17</v>
      </c>
      <c r="Y398" s="9">
        <f>ROUND(S398 / 1.2, 2)</f>
        <v>0</v>
      </c>
      <c r="Z398" s="9">
        <f>ROUND(T398 / 1.2, 2)</f>
        <v>0</v>
      </c>
      <c r="AA398" s="9">
        <f>Y398+Z398</f>
        <v>0</v>
      </c>
      <c r="AD398" s="4">
        <v>264030332</v>
      </c>
      <c r="AE398" s="4">
        <v>16084347</v>
      </c>
      <c r="AG398" s="4" t="s">
        <v>1712</v>
      </c>
      <c r="AH398" s="4" t="s">
        <v>1713</v>
      </c>
      <c r="AI398" s="4" t="s">
        <v>249</v>
      </c>
    </row>
    <row r="399" spans="1:35" ht="168.75" x14ac:dyDescent="0.25">
      <c r="A399" s="10" t="s">
        <v>1715</v>
      </c>
      <c r="B399" s="10"/>
      <c r="C399" s="24" t="s">
        <v>1716</v>
      </c>
      <c r="D399" s="15"/>
      <c r="E399" s="15" t="s">
        <v>1717</v>
      </c>
      <c r="F399" s="25" t="s">
        <v>56</v>
      </c>
      <c r="G399" s="26">
        <v>1</v>
      </c>
      <c r="H399" s="26"/>
      <c r="I399" s="26">
        <v>0</v>
      </c>
      <c r="J399" s="28">
        <v>0</v>
      </c>
      <c r="M399" s="29">
        <f>ROUND(ROUND(J399, 2)*I399, 2)</f>
        <v>0</v>
      </c>
      <c r="P399" s="28">
        <v>0</v>
      </c>
      <c r="S399" s="29">
        <f>ROUND(ROUND(P399, 2)*I399, 2)</f>
        <v>0</v>
      </c>
      <c r="V399" s="9">
        <f>ROUND(ROUND(P399, 2)/1.2, 2)</f>
        <v>0</v>
      </c>
      <c r="Y399" s="9">
        <f>ROUND(S399 / 1.2, 2)</f>
        <v>0</v>
      </c>
      <c r="AD399" s="4" t="s">
        <v>1718</v>
      </c>
      <c r="AE399" s="4" t="s">
        <v>1719</v>
      </c>
      <c r="AF399" s="4" t="s">
        <v>1720</v>
      </c>
    </row>
    <row r="400" spans="1:35" ht="56.25" x14ac:dyDescent="0.25">
      <c r="A400" s="10" t="s">
        <v>1723</v>
      </c>
      <c r="B400" s="10" t="s">
        <v>1724</v>
      </c>
      <c r="C400" s="14" t="s">
        <v>1725</v>
      </c>
      <c r="D400" s="15"/>
      <c r="E400" s="15"/>
      <c r="F400" s="15" t="s">
        <v>56</v>
      </c>
      <c r="G400" s="16">
        <v>1</v>
      </c>
      <c r="H400" s="16"/>
      <c r="I400" s="16">
        <v>65.7</v>
      </c>
      <c r="J400" s="17">
        <v>0</v>
      </c>
      <c r="K400" s="18">
        <v>121</v>
      </c>
      <c r="L400" s="17">
        <f>J400+ROUND(K400, 2)</f>
        <v>121</v>
      </c>
      <c r="M400" s="17">
        <v>0</v>
      </c>
      <c r="N400" s="17">
        <f>ROUND(I400*ROUND(K400, 2), 2)</f>
        <v>7949.7</v>
      </c>
      <c r="O400" s="17">
        <f>M400+N400</f>
        <v>7949.7</v>
      </c>
      <c r="P400" s="17">
        <v>0</v>
      </c>
      <c r="Q400" s="19">
        <v>121</v>
      </c>
      <c r="R400" s="17">
        <f>P400+ROUND(Q400, 2)</f>
        <v>121</v>
      </c>
      <c r="S400" s="17">
        <v>0</v>
      </c>
      <c r="T400" s="17">
        <f>ROUND(I400*ROUND(Q400, 2), 2)</f>
        <v>7949.7</v>
      </c>
      <c r="U400" s="17">
        <f>S400+T400</f>
        <v>7949.7</v>
      </c>
      <c r="V400" s="9"/>
      <c r="W400" s="9">
        <f>ROUND(Q400 / 1.2, 2)</f>
        <v>100.83</v>
      </c>
      <c r="X400" s="9">
        <f>ROUND(R400 / 1.2, 2)</f>
        <v>100.83</v>
      </c>
      <c r="Y400" s="9"/>
      <c r="Z400" s="9">
        <f>ROUND(T400 / 1.2, 2)</f>
        <v>6624.75</v>
      </c>
      <c r="AA400" s="9" t="e">
        <f>Y400+Z400</f>
        <v>#VALUE!</v>
      </c>
      <c r="AD400" s="4">
        <v>264030334</v>
      </c>
      <c r="AE400" s="4">
        <v>19937195</v>
      </c>
      <c r="AG400" s="4" t="s">
        <v>1726</v>
      </c>
      <c r="AH400" s="4" t="s">
        <v>1727</v>
      </c>
      <c r="AI400" s="4" t="s">
        <v>249</v>
      </c>
    </row>
    <row r="401" spans="1:35" ht="17.100000000000001" customHeight="1" x14ac:dyDescent="0.25">
      <c r="A401" s="10" t="s">
        <v>1728</v>
      </c>
      <c r="B401" s="10" t="s">
        <v>1729</v>
      </c>
      <c r="C401" s="116" t="s">
        <v>1730</v>
      </c>
      <c r="D401" s="117"/>
      <c r="E401" s="117"/>
      <c r="F401" s="117"/>
      <c r="G401" s="117"/>
      <c r="H401" s="117"/>
      <c r="I401" s="118"/>
      <c r="M401" s="6">
        <f>SUM(M402)</f>
        <v>298006.7</v>
      </c>
      <c r="N401" s="6">
        <f>SUM(N402)</f>
        <v>794405.55</v>
      </c>
      <c r="O401" s="6">
        <f>SUM(O402)</f>
        <v>1092412.25</v>
      </c>
      <c r="S401" s="6">
        <f>SUM(S402)</f>
        <v>298006.7</v>
      </c>
      <c r="T401" s="6">
        <f>SUM(T402)</f>
        <v>794405.55</v>
      </c>
      <c r="U401" s="6">
        <f>SUM(U402)</f>
        <v>1092412.25</v>
      </c>
      <c r="Y401" s="9">
        <f>SUM(Y402)</f>
        <v>248338.92</v>
      </c>
      <c r="Z401" s="9">
        <f>SUM(Z402)</f>
        <v>662004.63</v>
      </c>
      <c r="AA401" s="9" t="e">
        <f>SUM(AA402)</f>
        <v>#VALUE!</v>
      </c>
      <c r="AD401" s="4">
        <v>264030335</v>
      </c>
      <c r="AE401" s="4">
        <v>18539570</v>
      </c>
    </row>
    <row r="402" spans="1:35" ht="17.100000000000001" customHeight="1" x14ac:dyDescent="0.25">
      <c r="A402" s="10" t="s">
        <v>1731</v>
      </c>
      <c r="B402" s="10" t="s">
        <v>1732</v>
      </c>
      <c r="C402" s="116" t="s">
        <v>1733</v>
      </c>
      <c r="D402" s="117"/>
      <c r="E402" s="117"/>
      <c r="F402" s="117"/>
      <c r="G402" s="117"/>
      <c r="H402" s="117"/>
      <c r="I402" s="118"/>
      <c r="M402" s="6">
        <f>SUM(M403,M406,M410,M419,M425)</f>
        <v>298006.7</v>
      </c>
      <c r="N402" s="6">
        <f>SUM(N403,N406,N410,N419,N425)</f>
        <v>794405.55</v>
      </c>
      <c r="O402" s="6">
        <f>SUM(O403,O406,O410,O419,O425)</f>
        <v>1092412.25</v>
      </c>
      <c r="S402" s="6">
        <f>SUM(S403,S406,S410,S419,S425)</f>
        <v>298006.7</v>
      </c>
      <c r="T402" s="6">
        <f>SUM(T403,T406,T410,T419,T425)</f>
        <v>794405.55</v>
      </c>
      <c r="U402" s="6">
        <f>SUM(U403,U406,U410,U419,U425)</f>
        <v>1092412.25</v>
      </c>
      <c r="Y402" s="9">
        <f>SUM(Y403,Y406,Y410,Y419,Y425)</f>
        <v>248338.92</v>
      </c>
      <c r="Z402" s="9">
        <f>SUM(Z403,Z406,Z410,Z419,Z425)</f>
        <v>662004.63</v>
      </c>
      <c r="AA402" s="9" t="e">
        <f>SUM(AA403,AA406,AA410,AA419,AA425)</f>
        <v>#VALUE!</v>
      </c>
      <c r="AD402" s="4">
        <v>264030336</v>
      </c>
      <c r="AE402" s="4">
        <v>18539572</v>
      </c>
    </row>
    <row r="403" spans="1:35" ht="17.100000000000001" customHeight="1" x14ac:dyDescent="0.25">
      <c r="A403" s="10" t="s">
        <v>1734</v>
      </c>
      <c r="B403" s="10" t="s">
        <v>1735</v>
      </c>
      <c r="C403" s="116" t="s">
        <v>49</v>
      </c>
      <c r="D403" s="117"/>
      <c r="E403" s="117"/>
      <c r="F403" s="117"/>
      <c r="G403" s="117"/>
      <c r="H403" s="117"/>
      <c r="I403" s="118"/>
      <c r="M403" s="6">
        <f t="shared" ref="M403:O404" si="20">SUM(M404)</f>
        <v>0</v>
      </c>
      <c r="N403" s="6">
        <f t="shared" si="20"/>
        <v>31556</v>
      </c>
      <c r="O403" s="6">
        <f t="shared" si="20"/>
        <v>31556</v>
      </c>
      <c r="S403" s="6">
        <f t="shared" ref="S403:U404" si="21">SUM(S404)</f>
        <v>0</v>
      </c>
      <c r="T403" s="6">
        <f t="shared" si="21"/>
        <v>31556</v>
      </c>
      <c r="U403" s="6">
        <f t="shared" si="21"/>
        <v>31556</v>
      </c>
      <c r="Y403" s="9">
        <f t="shared" ref="Y403:AA404" si="22">SUM(Y404)</f>
        <v>0</v>
      </c>
      <c r="Z403" s="9">
        <f t="shared" si="22"/>
        <v>26296.67</v>
      </c>
      <c r="AA403" s="9" t="e">
        <f t="shared" si="22"/>
        <v>#VALUE!</v>
      </c>
      <c r="AD403" s="4">
        <v>264030337</v>
      </c>
      <c r="AE403" s="4">
        <v>18539573</v>
      </c>
    </row>
    <row r="404" spans="1:35" ht="17.100000000000001" customHeight="1" x14ac:dyDescent="0.25">
      <c r="A404" s="10" t="s">
        <v>1736</v>
      </c>
      <c r="B404" s="10" t="s">
        <v>1737</v>
      </c>
      <c r="C404" s="116" t="s">
        <v>1738</v>
      </c>
      <c r="D404" s="117"/>
      <c r="E404" s="117"/>
      <c r="F404" s="117"/>
      <c r="G404" s="117"/>
      <c r="H404" s="117"/>
      <c r="I404" s="118"/>
      <c r="M404" s="6">
        <f t="shared" si="20"/>
        <v>0</v>
      </c>
      <c r="N404" s="6">
        <f t="shared" si="20"/>
        <v>31556</v>
      </c>
      <c r="O404" s="6">
        <f t="shared" si="20"/>
        <v>31556</v>
      </c>
      <c r="S404" s="6">
        <f t="shared" si="21"/>
        <v>0</v>
      </c>
      <c r="T404" s="6">
        <f t="shared" si="21"/>
        <v>31556</v>
      </c>
      <c r="U404" s="6">
        <f t="shared" si="21"/>
        <v>31556</v>
      </c>
      <c r="Y404" s="9">
        <f t="shared" si="22"/>
        <v>0</v>
      </c>
      <c r="Z404" s="9">
        <f t="shared" si="22"/>
        <v>26296.67</v>
      </c>
      <c r="AA404" s="9" t="e">
        <f t="shared" si="22"/>
        <v>#VALUE!</v>
      </c>
      <c r="AD404" s="4">
        <v>264030338</v>
      </c>
      <c r="AE404" s="4">
        <v>18539579</v>
      </c>
    </row>
    <row r="405" spans="1:35" ht="37.5" x14ac:dyDescent="0.25">
      <c r="A405" s="10" t="s">
        <v>1739</v>
      </c>
      <c r="B405" s="10" t="s">
        <v>1740</v>
      </c>
      <c r="C405" s="14" t="s">
        <v>1741</v>
      </c>
      <c r="D405" s="15"/>
      <c r="E405" s="15"/>
      <c r="F405" s="15" t="s">
        <v>209</v>
      </c>
      <c r="G405" s="16">
        <v>1</v>
      </c>
      <c r="H405" s="16"/>
      <c r="I405" s="16">
        <v>28</v>
      </c>
      <c r="J405" s="17">
        <v>0</v>
      </c>
      <c r="K405" s="18">
        <v>1127</v>
      </c>
      <c r="L405" s="17">
        <f>J405+ROUND(K405, 2)</f>
        <v>1127</v>
      </c>
      <c r="M405" s="17">
        <v>0</v>
      </c>
      <c r="N405" s="17">
        <f>ROUND(I405*ROUND(K405, 2), 2)</f>
        <v>31556</v>
      </c>
      <c r="O405" s="17">
        <f>M405+N405</f>
        <v>31556</v>
      </c>
      <c r="P405" s="17">
        <v>0</v>
      </c>
      <c r="Q405" s="19">
        <v>1127</v>
      </c>
      <c r="R405" s="17">
        <f>P405+ROUND(Q405, 2)</f>
        <v>1127</v>
      </c>
      <c r="S405" s="17">
        <v>0</v>
      </c>
      <c r="T405" s="17">
        <f>ROUND(I405*ROUND(Q405, 2), 2)</f>
        <v>31556</v>
      </c>
      <c r="U405" s="17">
        <f>S405+T405</f>
        <v>31556</v>
      </c>
      <c r="V405" s="9"/>
      <c r="W405" s="9">
        <f>ROUND(Q405 / 1.2, 2)</f>
        <v>939.17</v>
      </c>
      <c r="X405" s="9">
        <f>ROUND(R405 / 1.2, 2)</f>
        <v>939.17</v>
      </c>
      <c r="Y405" s="9"/>
      <c r="Z405" s="9">
        <f>ROUND(T405 / 1.2, 2)</f>
        <v>26296.67</v>
      </c>
      <c r="AA405" s="9" t="e">
        <f>Y405+Z405</f>
        <v>#VALUE!</v>
      </c>
      <c r="AD405" s="4">
        <v>264030340</v>
      </c>
      <c r="AE405" s="4">
        <v>18539575</v>
      </c>
      <c r="AG405" s="4" t="s">
        <v>1742</v>
      </c>
      <c r="AH405" s="4" t="s">
        <v>1743</v>
      </c>
      <c r="AI405" s="4" t="s">
        <v>1744</v>
      </c>
    </row>
    <row r="406" spans="1:35" ht="17.100000000000001" customHeight="1" x14ac:dyDescent="0.25">
      <c r="A406" s="10" t="s">
        <v>1745</v>
      </c>
      <c r="B406" s="10" t="s">
        <v>1746</v>
      </c>
      <c r="C406" s="116" t="s">
        <v>1747</v>
      </c>
      <c r="D406" s="117"/>
      <c r="E406" s="117"/>
      <c r="F406" s="117"/>
      <c r="G406" s="117"/>
      <c r="H406" s="117"/>
      <c r="I406" s="118"/>
      <c r="M406" s="6">
        <f t="shared" ref="M406:O408" si="23">SUM(M407)</f>
        <v>0</v>
      </c>
      <c r="N406" s="6">
        <f t="shared" si="23"/>
        <v>2554.7600000000002</v>
      </c>
      <c r="O406" s="6">
        <f t="shared" si="23"/>
        <v>2554.7600000000002</v>
      </c>
      <c r="S406" s="6">
        <f t="shared" ref="S406:U408" si="24">SUM(S407)</f>
        <v>0</v>
      </c>
      <c r="T406" s="6">
        <f t="shared" si="24"/>
        <v>2554.7600000000002</v>
      </c>
      <c r="U406" s="6">
        <f t="shared" si="24"/>
        <v>2554.7600000000002</v>
      </c>
      <c r="Y406" s="9">
        <f t="shared" ref="Y406:AA408" si="25">SUM(Y407)</f>
        <v>0</v>
      </c>
      <c r="Z406" s="9">
        <f t="shared" si="25"/>
        <v>2128.9699999999998</v>
      </c>
      <c r="AA406" s="9" t="e">
        <f t="shared" si="25"/>
        <v>#VALUE!</v>
      </c>
      <c r="AD406" s="4">
        <v>264030341</v>
      </c>
      <c r="AE406" s="4">
        <v>18539581</v>
      </c>
    </row>
    <row r="407" spans="1:35" ht="17.100000000000001" customHeight="1" x14ac:dyDescent="0.25">
      <c r="A407" s="10" t="s">
        <v>1748</v>
      </c>
      <c r="B407" s="10" t="s">
        <v>1749</v>
      </c>
      <c r="C407" s="116" t="s">
        <v>1750</v>
      </c>
      <c r="D407" s="117"/>
      <c r="E407" s="117"/>
      <c r="F407" s="117"/>
      <c r="G407" s="117"/>
      <c r="H407" s="117"/>
      <c r="I407" s="118"/>
      <c r="M407" s="6">
        <f t="shared" si="23"/>
        <v>0</v>
      </c>
      <c r="N407" s="6">
        <f t="shared" si="23"/>
        <v>2554.7600000000002</v>
      </c>
      <c r="O407" s="6">
        <f t="shared" si="23"/>
        <v>2554.7600000000002</v>
      </c>
      <c r="S407" s="6">
        <f t="shared" si="24"/>
        <v>0</v>
      </c>
      <c r="T407" s="6">
        <f t="shared" si="24"/>
        <v>2554.7600000000002</v>
      </c>
      <c r="U407" s="6">
        <f t="shared" si="24"/>
        <v>2554.7600000000002</v>
      </c>
      <c r="Y407" s="9">
        <f t="shared" si="25"/>
        <v>0</v>
      </c>
      <c r="Z407" s="9">
        <f t="shared" si="25"/>
        <v>2128.9699999999998</v>
      </c>
      <c r="AA407" s="9" t="e">
        <f t="shared" si="25"/>
        <v>#VALUE!</v>
      </c>
      <c r="AD407" s="4">
        <v>264030342</v>
      </c>
      <c r="AE407" s="4">
        <v>18539574</v>
      </c>
    </row>
    <row r="408" spans="1:35" ht="17.100000000000001" customHeight="1" x14ac:dyDescent="0.25">
      <c r="A408" s="10" t="s">
        <v>1751</v>
      </c>
      <c r="B408" s="10" t="s">
        <v>1752</v>
      </c>
      <c r="C408" s="116" t="s">
        <v>1753</v>
      </c>
      <c r="D408" s="117"/>
      <c r="E408" s="117"/>
      <c r="F408" s="117"/>
      <c r="G408" s="117"/>
      <c r="H408" s="117"/>
      <c r="I408" s="118"/>
      <c r="M408" s="6">
        <f t="shared" si="23"/>
        <v>0</v>
      </c>
      <c r="N408" s="6">
        <f t="shared" si="23"/>
        <v>2554.7600000000002</v>
      </c>
      <c r="O408" s="6">
        <f t="shared" si="23"/>
        <v>2554.7600000000002</v>
      </c>
      <c r="S408" s="6">
        <f t="shared" si="24"/>
        <v>0</v>
      </c>
      <c r="T408" s="6">
        <f t="shared" si="24"/>
        <v>2554.7600000000002</v>
      </c>
      <c r="U408" s="6">
        <f t="shared" si="24"/>
        <v>2554.7600000000002</v>
      </c>
      <c r="Y408" s="9">
        <f t="shared" si="25"/>
        <v>0</v>
      </c>
      <c r="Z408" s="9">
        <f t="shared" si="25"/>
        <v>2128.9699999999998</v>
      </c>
      <c r="AA408" s="9" t="e">
        <f t="shared" si="25"/>
        <v>#VALUE!</v>
      </c>
      <c r="AD408" s="4">
        <v>264030343</v>
      </c>
      <c r="AE408" s="4">
        <v>19923898</v>
      </c>
    </row>
    <row r="409" spans="1:35" ht="18.75" x14ac:dyDescent="0.25">
      <c r="A409" s="10" t="s">
        <v>1754</v>
      </c>
      <c r="B409" s="10" t="s">
        <v>1755</v>
      </c>
      <c r="C409" s="14" t="s">
        <v>1756</v>
      </c>
      <c r="D409" s="15"/>
      <c r="E409" s="15" t="s">
        <v>1757</v>
      </c>
      <c r="F409" s="15" t="s">
        <v>56</v>
      </c>
      <c r="G409" s="16">
        <v>1</v>
      </c>
      <c r="H409" s="16"/>
      <c r="I409" s="16">
        <v>11.56</v>
      </c>
      <c r="J409" s="17">
        <v>0</v>
      </c>
      <c r="K409" s="18">
        <v>221</v>
      </c>
      <c r="L409" s="17">
        <f>J409+ROUND(K409, 2)</f>
        <v>221</v>
      </c>
      <c r="M409" s="17">
        <v>0</v>
      </c>
      <c r="N409" s="17">
        <f>ROUND(I409*ROUND(K409, 2), 2)</f>
        <v>2554.7600000000002</v>
      </c>
      <c r="O409" s="17">
        <f>M409+N409</f>
        <v>2554.7600000000002</v>
      </c>
      <c r="P409" s="17">
        <v>0</v>
      </c>
      <c r="Q409" s="19">
        <v>221</v>
      </c>
      <c r="R409" s="17">
        <f>P409+ROUND(Q409, 2)</f>
        <v>221</v>
      </c>
      <c r="S409" s="17">
        <v>0</v>
      </c>
      <c r="T409" s="17">
        <f>ROUND(I409*ROUND(Q409, 2), 2)</f>
        <v>2554.7600000000002</v>
      </c>
      <c r="U409" s="17">
        <f>S409+T409</f>
        <v>2554.7600000000002</v>
      </c>
      <c r="V409" s="9"/>
      <c r="W409" s="9">
        <f>ROUND(Q409 / 1.2, 2)</f>
        <v>184.17</v>
      </c>
      <c r="X409" s="9">
        <f>ROUND(R409 / 1.2, 2)</f>
        <v>184.17</v>
      </c>
      <c r="Y409" s="9"/>
      <c r="Z409" s="9">
        <f>ROUND(T409 / 1.2, 2)</f>
        <v>2128.9699999999998</v>
      </c>
      <c r="AA409" s="9" t="e">
        <f>Y409+Z409</f>
        <v>#VALUE!</v>
      </c>
      <c r="AD409" s="4">
        <v>264030345</v>
      </c>
      <c r="AE409" s="4">
        <v>19923900</v>
      </c>
      <c r="AG409" s="4" t="s">
        <v>1758</v>
      </c>
      <c r="AH409" s="4" t="s">
        <v>1759</v>
      </c>
      <c r="AI409" s="4" t="s">
        <v>1744</v>
      </c>
    </row>
    <row r="410" spans="1:35" ht="17.100000000000001" customHeight="1" x14ac:dyDescent="0.25">
      <c r="A410" s="10" t="s">
        <v>1760</v>
      </c>
      <c r="B410" s="10" t="s">
        <v>1761</v>
      </c>
      <c r="C410" s="116" t="s">
        <v>235</v>
      </c>
      <c r="D410" s="117"/>
      <c r="E410" s="117"/>
      <c r="F410" s="117"/>
      <c r="G410" s="117"/>
      <c r="H410" s="117"/>
      <c r="I410" s="118"/>
      <c r="M410" s="6">
        <f>SUM(M411,M414)</f>
        <v>149005.85999999999</v>
      </c>
      <c r="N410" s="6">
        <f>SUM(N411,N414)</f>
        <v>587312.5</v>
      </c>
      <c r="O410" s="6">
        <f>SUM(O411,O414)</f>
        <v>736318.36</v>
      </c>
      <c r="S410" s="6">
        <f>SUM(S411,S414)</f>
        <v>149005.85999999999</v>
      </c>
      <c r="T410" s="6">
        <f>SUM(T411,T414)</f>
        <v>587312.5</v>
      </c>
      <c r="U410" s="6">
        <f>SUM(U411,U414)</f>
        <v>736318.36</v>
      </c>
      <c r="Y410" s="9">
        <f>SUM(Y411,Y414)</f>
        <v>124171.55</v>
      </c>
      <c r="Z410" s="9">
        <f>SUM(Z411,Z414)</f>
        <v>489427.08</v>
      </c>
      <c r="AA410" s="9" t="e">
        <f>SUM(AA411,AA414)</f>
        <v>#VALUE!</v>
      </c>
      <c r="AD410" s="4">
        <v>264030346</v>
      </c>
      <c r="AE410" s="4">
        <v>19907751</v>
      </c>
    </row>
    <row r="411" spans="1:35" ht="17.100000000000001" customHeight="1" x14ac:dyDescent="0.25">
      <c r="A411" s="10" t="s">
        <v>1762</v>
      </c>
      <c r="B411" s="10" t="s">
        <v>1763</v>
      </c>
      <c r="C411" s="116" t="s">
        <v>238</v>
      </c>
      <c r="D411" s="117"/>
      <c r="E411" s="117"/>
      <c r="F411" s="117"/>
      <c r="G411" s="117"/>
      <c r="H411" s="117"/>
      <c r="I411" s="118"/>
      <c r="M411" s="6">
        <f>SUM(M412,M413)</f>
        <v>0</v>
      </c>
      <c r="N411" s="6">
        <f>SUM(N412,N413)</f>
        <v>470838.72</v>
      </c>
      <c r="O411" s="6">
        <f>SUM(O412,O413)</f>
        <v>470838.72</v>
      </c>
      <c r="S411" s="6">
        <f>SUM(S412,S413)</f>
        <v>0</v>
      </c>
      <c r="T411" s="6">
        <f>SUM(T412,T413)</f>
        <v>470838.72</v>
      </c>
      <c r="U411" s="6">
        <f>SUM(U412,U413)</f>
        <v>470838.72</v>
      </c>
      <c r="Y411" s="9">
        <f>SUM(Y412,Y413)</f>
        <v>0</v>
      </c>
      <c r="Z411" s="9">
        <f>SUM(Z412,Z413)</f>
        <v>392365.6</v>
      </c>
      <c r="AA411" s="9" t="e">
        <f>SUM(AA412,AA413)</f>
        <v>#VALUE!</v>
      </c>
      <c r="AD411" s="4">
        <v>264030347</v>
      </c>
      <c r="AE411" s="4">
        <v>19925298</v>
      </c>
    </row>
    <row r="412" spans="1:35" ht="75" x14ac:dyDescent="0.25">
      <c r="A412" s="10" t="s">
        <v>1764</v>
      </c>
      <c r="B412" s="10" t="s">
        <v>1765</v>
      </c>
      <c r="C412" s="14" t="s">
        <v>1766</v>
      </c>
      <c r="D412" s="15"/>
      <c r="E412" s="15" t="s">
        <v>1767</v>
      </c>
      <c r="F412" s="15" t="s">
        <v>56</v>
      </c>
      <c r="G412" s="16">
        <v>1</v>
      </c>
      <c r="H412" s="16"/>
      <c r="I412" s="16">
        <v>891.74</v>
      </c>
      <c r="J412" s="17">
        <v>0</v>
      </c>
      <c r="K412" s="18">
        <v>264</v>
      </c>
      <c r="L412" s="17">
        <f>J412+ROUND(K412, 2)</f>
        <v>264</v>
      </c>
      <c r="M412" s="17">
        <v>0</v>
      </c>
      <c r="N412" s="17">
        <f>ROUND(I412*ROUND(K412, 2), 2)</f>
        <v>235419.36</v>
      </c>
      <c r="O412" s="17">
        <f>M412+N412</f>
        <v>235419.36</v>
      </c>
      <c r="P412" s="17">
        <v>0</v>
      </c>
      <c r="Q412" s="19">
        <v>264</v>
      </c>
      <c r="R412" s="17">
        <f>P412+ROUND(Q412, 2)</f>
        <v>264</v>
      </c>
      <c r="S412" s="17">
        <v>0</v>
      </c>
      <c r="T412" s="17">
        <f>ROUND(I412*ROUND(Q412, 2), 2)</f>
        <v>235419.36</v>
      </c>
      <c r="U412" s="17">
        <f>S412+T412</f>
        <v>235419.36</v>
      </c>
      <c r="V412" s="9"/>
      <c r="W412" s="9">
        <f>ROUND(Q412 / 1.2, 2)</f>
        <v>220</v>
      </c>
      <c r="X412" s="9">
        <f>ROUND(R412 / 1.2, 2)</f>
        <v>220</v>
      </c>
      <c r="Y412" s="9"/>
      <c r="Z412" s="9">
        <f>ROUND(T412 / 1.2, 2)</f>
        <v>196182.8</v>
      </c>
      <c r="AA412" s="9" t="e">
        <f>Y412+Z412</f>
        <v>#VALUE!</v>
      </c>
      <c r="AD412" s="4">
        <v>264030349</v>
      </c>
      <c r="AE412" s="4">
        <v>19925300</v>
      </c>
      <c r="AG412" s="4" t="s">
        <v>1768</v>
      </c>
      <c r="AH412" s="4" t="s">
        <v>1769</v>
      </c>
      <c r="AI412" s="4" t="s">
        <v>1744</v>
      </c>
    </row>
    <row r="413" spans="1:35" ht="75" x14ac:dyDescent="0.25">
      <c r="A413" s="10" t="s">
        <v>1770</v>
      </c>
      <c r="B413" s="10" t="s">
        <v>1765</v>
      </c>
      <c r="C413" s="14" t="s">
        <v>1766</v>
      </c>
      <c r="D413" s="15"/>
      <c r="E413" s="15" t="s">
        <v>1771</v>
      </c>
      <c r="F413" s="15" t="s">
        <v>56</v>
      </c>
      <c r="G413" s="16">
        <v>1</v>
      </c>
      <c r="H413" s="16"/>
      <c r="I413" s="16">
        <v>891.74</v>
      </c>
      <c r="J413" s="17">
        <v>0</v>
      </c>
      <c r="K413" s="18">
        <v>264</v>
      </c>
      <c r="L413" s="17">
        <f>J413+ROUND(K413, 2)</f>
        <v>264</v>
      </c>
      <c r="M413" s="17">
        <v>0</v>
      </c>
      <c r="N413" s="17">
        <f>ROUND(I413*ROUND(K413, 2), 2)</f>
        <v>235419.36</v>
      </c>
      <c r="O413" s="17">
        <f>M413+N413</f>
        <v>235419.36</v>
      </c>
      <c r="P413" s="17">
        <v>0</v>
      </c>
      <c r="Q413" s="19">
        <v>264</v>
      </c>
      <c r="R413" s="17">
        <f>P413+ROUND(Q413, 2)</f>
        <v>264</v>
      </c>
      <c r="S413" s="17">
        <v>0</v>
      </c>
      <c r="T413" s="17">
        <f>ROUND(I413*ROUND(Q413, 2), 2)</f>
        <v>235419.36</v>
      </c>
      <c r="U413" s="17">
        <f>S413+T413</f>
        <v>235419.36</v>
      </c>
      <c r="V413" s="9"/>
      <c r="W413" s="9">
        <f>ROUND(Q413 / 1.2, 2)</f>
        <v>220</v>
      </c>
      <c r="X413" s="9">
        <f>ROUND(R413 / 1.2, 2)</f>
        <v>220</v>
      </c>
      <c r="Y413" s="9"/>
      <c r="Z413" s="9">
        <f>ROUND(T413 / 1.2, 2)</f>
        <v>196182.8</v>
      </c>
      <c r="AA413" s="9" t="e">
        <f>Y413+Z413</f>
        <v>#VALUE!</v>
      </c>
      <c r="AD413" s="4">
        <v>264030417</v>
      </c>
      <c r="AE413" s="4">
        <v>19925299</v>
      </c>
      <c r="AG413" s="4" t="s">
        <v>1768</v>
      </c>
      <c r="AH413" s="4" t="s">
        <v>1769</v>
      </c>
      <c r="AI413" s="4" t="s">
        <v>1744</v>
      </c>
    </row>
    <row r="414" spans="1:35" ht="17.100000000000001" customHeight="1" x14ac:dyDescent="0.25">
      <c r="A414" s="10" t="s">
        <v>1772</v>
      </c>
      <c r="B414" s="10" t="s">
        <v>1773</v>
      </c>
      <c r="C414" s="116" t="s">
        <v>1774</v>
      </c>
      <c r="D414" s="117"/>
      <c r="E414" s="117"/>
      <c r="F414" s="117"/>
      <c r="G414" s="117"/>
      <c r="H414" s="117"/>
      <c r="I414" s="118"/>
      <c r="M414" s="6">
        <f>SUM(M415)</f>
        <v>149005.85999999999</v>
      </c>
      <c r="N414" s="6">
        <f>SUM(N415)</f>
        <v>116473.78</v>
      </c>
      <c r="O414" s="6">
        <f>SUM(O415)</f>
        <v>265479.64</v>
      </c>
      <c r="S414" s="6">
        <f>SUM(S415)</f>
        <v>149005.85999999999</v>
      </c>
      <c r="T414" s="6">
        <f>SUM(T415)</f>
        <v>116473.78</v>
      </c>
      <c r="U414" s="6">
        <f>SUM(U415)</f>
        <v>265479.64</v>
      </c>
      <c r="Y414" s="9">
        <f>SUM(Y415)</f>
        <v>124171.55</v>
      </c>
      <c r="Z414" s="9">
        <f>SUM(Z415)</f>
        <v>97061.48</v>
      </c>
      <c r="AA414" s="9">
        <f>SUM(AA415)</f>
        <v>221233.03</v>
      </c>
      <c r="AD414" s="4">
        <v>264030350</v>
      </c>
      <c r="AE414" s="4">
        <v>19907753</v>
      </c>
    </row>
    <row r="415" spans="1:35" ht="37.5" x14ac:dyDescent="0.25">
      <c r="A415" s="10" t="s">
        <v>1775</v>
      </c>
      <c r="B415" s="10" t="s">
        <v>1776</v>
      </c>
      <c r="C415" s="14" t="s">
        <v>1777</v>
      </c>
      <c r="D415" s="15"/>
      <c r="E415" s="15" t="s">
        <v>1778</v>
      </c>
      <c r="F415" s="15" t="s">
        <v>56</v>
      </c>
      <c r="G415" s="16">
        <v>1</v>
      </c>
      <c r="H415" s="16"/>
      <c r="I415" s="16">
        <v>1782.58</v>
      </c>
      <c r="J415" s="17">
        <f>IFERROR(ROUND(SUM(M416,M417,M418)/I415, 2),0)</f>
        <v>83.59</v>
      </c>
      <c r="K415" s="18">
        <v>65.34</v>
      </c>
      <c r="L415" s="17">
        <f>J415+ROUND(K415, 2)</f>
        <v>148.93</v>
      </c>
      <c r="M415" s="17">
        <f>ROUND(J415*I415, 2)</f>
        <v>149005.85999999999</v>
      </c>
      <c r="N415" s="17">
        <f>ROUND(I415*ROUND(K415, 2), 2)</f>
        <v>116473.78</v>
      </c>
      <c r="O415" s="17">
        <f>M415+N415</f>
        <v>265479.64</v>
      </c>
      <c r="P415" s="17">
        <f>IFERROR(ROUND(SUM(S416,S417,S418)/I415, 2),0)</f>
        <v>83.59</v>
      </c>
      <c r="Q415" s="19">
        <v>65.34</v>
      </c>
      <c r="R415" s="17">
        <f>P415+ROUND(Q415, 2)</f>
        <v>148.93</v>
      </c>
      <c r="S415" s="17">
        <f>ROUND(P415*I415, 2)</f>
        <v>149005.85999999999</v>
      </c>
      <c r="T415" s="17">
        <f>ROUND(I415*ROUND(Q415, 2), 2)</f>
        <v>116473.78</v>
      </c>
      <c r="U415" s="17">
        <f>S415+T415</f>
        <v>265479.64</v>
      </c>
      <c r="V415" s="9">
        <f>ROUND(P415 / 1.2, 2)</f>
        <v>69.66</v>
      </c>
      <c r="W415" s="9">
        <f>ROUND(Q415 / 1.2, 2)</f>
        <v>54.45</v>
      </c>
      <c r="X415" s="9">
        <f>ROUND(R415 / 1.2, 2)</f>
        <v>124.11</v>
      </c>
      <c r="Y415" s="9">
        <f>ROUND(S415 / 1.2, 2)</f>
        <v>124171.55</v>
      </c>
      <c r="Z415" s="9">
        <f>ROUND(T415 / 1.2, 2)</f>
        <v>97061.48</v>
      </c>
      <c r="AA415" s="9">
        <f>Y415+Z415</f>
        <v>221233.03</v>
      </c>
      <c r="AD415" s="4">
        <v>264030352</v>
      </c>
      <c r="AE415" s="4">
        <v>19907757</v>
      </c>
      <c r="AG415" s="4" t="s">
        <v>1779</v>
      </c>
      <c r="AH415" s="4" t="s">
        <v>1780</v>
      </c>
      <c r="AI415" s="4" t="s">
        <v>1744</v>
      </c>
    </row>
    <row r="416" spans="1:35" ht="37.5" x14ac:dyDescent="0.25">
      <c r="A416" s="10" t="s">
        <v>1781</v>
      </c>
      <c r="B416" s="10"/>
      <c r="C416" s="24" t="s">
        <v>1782</v>
      </c>
      <c r="D416" s="15"/>
      <c r="E416" s="15"/>
      <c r="F416" s="25" t="s">
        <v>103</v>
      </c>
      <c r="G416" s="26">
        <v>1</v>
      </c>
      <c r="H416" s="27"/>
      <c r="I416" s="27">
        <v>926</v>
      </c>
      <c r="J416" s="28">
        <v>157.5</v>
      </c>
      <c r="M416" s="29">
        <f>ROUND(ROUND(J416, 2)*I416, 2)</f>
        <v>145845</v>
      </c>
      <c r="P416" s="30">
        <v>157.5</v>
      </c>
      <c r="S416" s="29">
        <f>ROUND(ROUND(P416, 2)*I416, 2)</f>
        <v>145845</v>
      </c>
      <c r="V416" s="9">
        <f>ROUND(ROUND(P416, 2)/1.2, 2)</f>
        <v>131.25</v>
      </c>
      <c r="Y416" s="9">
        <f>ROUND(S416 / 1.2, 2)</f>
        <v>121537.5</v>
      </c>
      <c r="AD416" s="4" t="s">
        <v>1783</v>
      </c>
      <c r="AE416" s="4" t="s">
        <v>1784</v>
      </c>
      <c r="AF416" s="4" t="s">
        <v>1785</v>
      </c>
    </row>
    <row r="417" spans="1:35" ht="18.75" x14ac:dyDescent="0.25">
      <c r="A417" s="10" t="s">
        <v>1786</v>
      </c>
      <c r="B417" s="10"/>
      <c r="C417" s="24" t="s">
        <v>1787</v>
      </c>
      <c r="D417" s="15"/>
      <c r="E417" s="15"/>
      <c r="F417" s="25" t="s">
        <v>123</v>
      </c>
      <c r="G417" s="26">
        <v>1</v>
      </c>
      <c r="H417" s="27"/>
      <c r="I417" s="27">
        <v>2815</v>
      </c>
      <c r="J417" s="28">
        <v>1.1200000000000001</v>
      </c>
      <c r="M417" s="29">
        <f>ROUND(ROUND(J417, 2)*I417, 2)</f>
        <v>3152.8</v>
      </c>
      <c r="P417" s="30">
        <v>1.1200000000000001</v>
      </c>
      <c r="S417" s="29">
        <f>ROUND(ROUND(P417, 2)*I417, 2)</f>
        <v>3152.8</v>
      </c>
      <c r="V417" s="9">
        <f>ROUND(ROUND(P417, 2)/1.2, 2)</f>
        <v>0.93</v>
      </c>
      <c r="Y417" s="9">
        <f>ROUND(S417 / 1.2, 2)</f>
        <v>2627.33</v>
      </c>
      <c r="AD417" s="4" t="s">
        <v>1788</v>
      </c>
      <c r="AE417" s="4" t="s">
        <v>1789</v>
      </c>
      <c r="AF417" s="4" t="s">
        <v>1790</v>
      </c>
    </row>
    <row r="418" spans="1:35" ht="37.5" x14ac:dyDescent="0.25">
      <c r="A418" s="10" t="s">
        <v>1791</v>
      </c>
      <c r="B418" s="10"/>
      <c r="C418" s="24" t="s">
        <v>1792</v>
      </c>
      <c r="D418" s="15"/>
      <c r="E418" s="15"/>
      <c r="F418" s="25" t="s">
        <v>56</v>
      </c>
      <c r="G418" s="26">
        <v>1</v>
      </c>
      <c r="H418" s="27"/>
      <c r="I418" s="27">
        <v>891.29</v>
      </c>
      <c r="J418" s="28">
        <v>0</v>
      </c>
      <c r="M418" s="29">
        <f>ROUND(ROUND(J418, 2)*I418, 2)</f>
        <v>0</v>
      </c>
      <c r="P418" s="30">
        <v>0</v>
      </c>
      <c r="S418" s="29">
        <f>ROUND(ROUND(P418, 2)*I418, 2)</f>
        <v>0</v>
      </c>
      <c r="V418" s="9">
        <f>ROUND(ROUND(P418, 2)/1.2, 2)</f>
        <v>0</v>
      </c>
      <c r="Y418" s="9">
        <f>ROUND(S418 / 1.2, 2)</f>
        <v>0</v>
      </c>
      <c r="AD418" s="4" t="s">
        <v>1793</v>
      </c>
      <c r="AE418" s="4" t="s">
        <v>1794</v>
      </c>
      <c r="AF418" s="4" t="s">
        <v>1795</v>
      </c>
    </row>
    <row r="419" spans="1:35" ht="17.100000000000001" customHeight="1" x14ac:dyDescent="0.25">
      <c r="A419" s="10" t="s">
        <v>1796</v>
      </c>
      <c r="B419" s="10" t="s">
        <v>1797</v>
      </c>
      <c r="C419" s="116" t="s">
        <v>1798</v>
      </c>
      <c r="D419" s="117"/>
      <c r="E419" s="117"/>
      <c r="F419" s="117"/>
      <c r="G419" s="117"/>
      <c r="H419" s="117"/>
      <c r="I419" s="118"/>
      <c r="M419" s="6">
        <f t="shared" ref="M419:O420" si="26">SUM(M420)</f>
        <v>149000.84</v>
      </c>
      <c r="N419" s="6">
        <f t="shared" si="26"/>
        <v>58266.29</v>
      </c>
      <c r="O419" s="6">
        <f t="shared" si="26"/>
        <v>207267.13</v>
      </c>
      <c r="S419" s="6">
        <f t="shared" ref="S419:U420" si="27">SUM(S420)</f>
        <v>149000.84</v>
      </c>
      <c r="T419" s="6">
        <f t="shared" si="27"/>
        <v>58266.29</v>
      </c>
      <c r="U419" s="6">
        <f t="shared" si="27"/>
        <v>207267.13</v>
      </c>
      <c r="Y419" s="9">
        <f t="shared" ref="Y419:AA420" si="28">SUM(Y420)</f>
        <v>124167.37</v>
      </c>
      <c r="Z419" s="9">
        <f t="shared" si="28"/>
        <v>48555.24</v>
      </c>
      <c r="AA419" s="9">
        <f t="shared" si="28"/>
        <v>172722.61</v>
      </c>
      <c r="AD419" s="4">
        <v>264030353</v>
      </c>
      <c r="AE419" s="4">
        <v>19925869</v>
      </c>
    </row>
    <row r="420" spans="1:35" ht="17.100000000000001" customHeight="1" x14ac:dyDescent="0.25">
      <c r="A420" s="10" t="s">
        <v>1799</v>
      </c>
      <c r="B420" s="10" t="s">
        <v>1800</v>
      </c>
      <c r="C420" s="116" t="s">
        <v>1774</v>
      </c>
      <c r="D420" s="117"/>
      <c r="E420" s="117"/>
      <c r="F420" s="117"/>
      <c r="G420" s="117"/>
      <c r="H420" s="117"/>
      <c r="I420" s="118"/>
      <c r="M420" s="6">
        <f t="shared" si="26"/>
        <v>149000.84</v>
      </c>
      <c r="N420" s="6">
        <f t="shared" si="26"/>
        <v>58266.29</v>
      </c>
      <c r="O420" s="6">
        <f t="shared" si="26"/>
        <v>207267.13</v>
      </c>
      <c r="S420" s="6">
        <f t="shared" si="27"/>
        <v>149000.84</v>
      </c>
      <c r="T420" s="6">
        <f t="shared" si="27"/>
        <v>58266.29</v>
      </c>
      <c r="U420" s="6">
        <f t="shared" si="27"/>
        <v>207267.13</v>
      </c>
      <c r="Y420" s="9">
        <f t="shared" si="28"/>
        <v>124167.37</v>
      </c>
      <c r="Z420" s="9">
        <f t="shared" si="28"/>
        <v>48555.24</v>
      </c>
      <c r="AA420" s="9">
        <f t="shared" si="28"/>
        <v>172722.61</v>
      </c>
      <c r="AD420" s="4">
        <v>264030354</v>
      </c>
      <c r="AE420" s="4">
        <v>19925870</v>
      </c>
    </row>
    <row r="421" spans="1:35" ht="37.5" x14ac:dyDescent="0.25">
      <c r="A421" s="10" t="s">
        <v>1801</v>
      </c>
      <c r="B421" s="10" t="s">
        <v>1802</v>
      </c>
      <c r="C421" s="14" t="s">
        <v>1777</v>
      </c>
      <c r="D421" s="15"/>
      <c r="E421" s="15" t="s">
        <v>1803</v>
      </c>
      <c r="F421" s="15" t="s">
        <v>56</v>
      </c>
      <c r="G421" s="16">
        <v>1</v>
      </c>
      <c r="H421" s="16"/>
      <c r="I421" s="16">
        <v>891.74</v>
      </c>
      <c r="J421" s="17">
        <f>IFERROR(ROUND(SUM(M422,M423,M424)/I421, 2),0)</f>
        <v>167.09</v>
      </c>
      <c r="K421" s="18">
        <v>65.34</v>
      </c>
      <c r="L421" s="17">
        <f>J421+ROUND(K421, 2)</f>
        <v>232.43</v>
      </c>
      <c r="M421" s="17">
        <f>ROUND(J421*I421, 2)</f>
        <v>149000.84</v>
      </c>
      <c r="N421" s="17">
        <f>ROUND(I421*ROUND(K421, 2), 2)</f>
        <v>58266.29</v>
      </c>
      <c r="O421" s="17">
        <f>M421+N421</f>
        <v>207267.13</v>
      </c>
      <c r="P421" s="17">
        <f>IFERROR(ROUND(SUM(S422,S423,S424)/I421, 2),0)</f>
        <v>167.09</v>
      </c>
      <c r="Q421" s="19">
        <v>65.34</v>
      </c>
      <c r="R421" s="17">
        <f>P421+ROUND(Q421, 2)</f>
        <v>232.43</v>
      </c>
      <c r="S421" s="17">
        <f>ROUND(P421*I421, 2)</f>
        <v>149000.84</v>
      </c>
      <c r="T421" s="17">
        <f>ROUND(I421*ROUND(Q421, 2), 2)</f>
        <v>58266.29</v>
      </c>
      <c r="U421" s="17">
        <f>S421+T421</f>
        <v>207267.13</v>
      </c>
      <c r="V421" s="9">
        <f>ROUND(P421 / 1.2, 2)</f>
        <v>139.24</v>
      </c>
      <c r="W421" s="9">
        <f>ROUND(Q421 / 1.2, 2)</f>
        <v>54.45</v>
      </c>
      <c r="X421" s="9">
        <f>ROUND(R421 / 1.2, 2)</f>
        <v>193.69</v>
      </c>
      <c r="Y421" s="9">
        <f>ROUND(S421 / 1.2, 2)</f>
        <v>124167.37</v>
      </c>
      <c r="Z421" s="9">
        <f>ROUND(T421 / 1.2, 2)</f>
        <v>48555.24</v>
      </c>
      <c r="AA421" s="9">
        <f>Y421+Z421</f>
        <v>172722.61</v>
      </c>
      <c r="AD421" s="4">
        <v>264030356</v>
      </c>
      <c r="AE421" s="4">
        <v>19925871</v>
      </c>
      <c r="AG421" s="4" t="s">
        <v>1779</v>
      </c>
      <c r="AH421" s="4" t="s">
        <v>1804</v>
      </c>
      <c r="AI421" s="4" t="s">
        <v>1744</v>
      </c>
    </row>
    <row r="422" spans="1:35" ht="37.5" x14ac:dyDescent="0.25">
      <c r="A422" s="10" t="s">
        <v>1805</v>
      </c>
      <c r="B422" s="10"/>
      <c r="C422" s="24" t="s">
        <v>1782</v>
      </c>
      <c r="D422" s="15"/>
      <c r="E422" s="15" t="s">
        <v>1806</v>
      </c>
      <c r="F422" s="25" t="s">
        <v>103</v>
      </c>
      <c r="G422" s="26">
        <v>1</v>
      </c>
      <c r="H422" s="27"/>
      <c r="I422" s="27">
        <v>926</v>
      </c>
      <c r="J422" s="28">
        <v>157.5</v>
      </c>
      <c r="M422" s="29">
        <f>ROUND(ROUND(J422, 2)*I422, 2)</f>
        <v>145845</v>
      </c>
      <c r="P422" s="30">
        <v>157.5</v>
      </c>
      <c r="S422" s="29">
        <f>ROUND(ROUND(P422, 2)*I422, 2)</f>
        <v>145845</v>
      </c>
      <c r="V422" s="9">
        <f>ROUND(ROUND(P422, 2)/1.2, 2)</f>
        <v>131.25</v>
      </c>
      <c r="Y422" s="9">
        <f>ROUND(S422 / 1.2, 2)</f>
        <v>121537.5</v>
      </c>
      <c r="AD422" s="4" t="s">
        <v>1807</v>
      </c>
      <c r="AE422" s="4" t="s">
        <v>1808</v>
      </c>
      <c r="AF422" s="4" t="s">
        <v>1785</v>
      </c>
    </row>
    <row r="423" spans="1:35" ht="18.75" x14ac:dyDescent="0.25">
      <c r="A423" s="10" t="s">
        <v>1809</v>
      </c>
      <c r="B423" s="10"/>
      <c r="C423" s="24" t="s">
        <v>1787</v>
      </c>
      <c r="D423" s="15"/>
      <c r="E423" s="15"/>
      <c r="F423" s="25" t="s">
        <v>123</v>
      </c>
      <c r="G423" s="26">
        <v>1</v>
      </c>
      <c r="H423" s="27"/>
      <c r="I423" s="27">
        <v>2815</v>
      </c>
      <c r="J423" s="28">
        <v>1.1200000000000001</v>
      </c>
      <c r="M423" s="29">
        <f>ROUND(ROUND(J423, 2)*I423, 2)</f>
        <v>3152.8</v>
      </c>
      <c r="P423" s="30">
        <v>1.1200000000000001</v>
      </c>
      <c r="S423" s="29">
        <f>ROUND(ROUND(P423, 2)*I423, 2)</f>
        <v>3152.8</v>
      </c>
      <c r="V423" s="9">
        <f>ROUND(ROUND(P423, 2)/1.2, 2)</f>
        <v>0.93</v>
      </c>
      <c r="Y423" s="9">
        <f>ROUND(S423 / 1.2, 2)</f>
        <v>2627.33</v>
      </c>
      <c r="AD423" s="4" t="s">
        <v>1810</v>
      </c>
      <c r="AE423" s="4" t="s">
        <v>1811</v>
      </c>
      <c r="AF423" s="4" t="s">
        <v>1790</v>
      </c>
    </row>
    <row r="424" spans="1:35" ht="37.5" x14ac:dyDescent="0.25">
      <c r="A424" s="10" t="s">
        <v>1812</v>
      </c>
      <c r="B424" s="10"/>
      <c r="C424" s="24" t="s">
        <v>1792</v>
      </c>
      <c r="D424" s="15"/>
      <c r="E424" s="15"/>
      <c r="F424" s="25" t="s">
        <v>56</v>
      </c>
      <c r="G424" s="26">
        <v>1</v>
      </c>
      <c r="H424" s="27"/>
      <c r="I424" s="27">
        <v>891.74</v>
      </c>
      <c r="J424" s="28">
        <v>0</v>
      </c>
      <c r="M424" s="29">
        <f>ROUND(ROUND(J424, 2)*I424, 2)</f>
        <v>0</v>
      </c>
      <c r="P424" s="30">
        <v>0</v>
      </c>
      <c r="S424" s="29">
        <f>ROUND(ROUND(P424, 2)*I424, 2)</f>
        <v>0</v>
      </c>
      <c r="V424" s="9">
        <f>ROUND(ROUND(P424, 2)/1.2, 2)</f>
        <v>0</v>
      </c>
      <c r="Y424" s="9">
        <f>ROUND(S424 / 1.2, 2)</f>
        <v>0</v>
      </c>
      <c r="AD424" s="4" t="s">
        <v>1813</v>
      </c>
      <c r="AE424" s="4" t="s">
        <v>1814</v>
      </c>
      <c r="AF424" s="4" t="s">
        <v>1795</v>
      </c>
    </row>
    <row r="425" spans="1:35" ht="17.100000000000001" customHeight="1" x14ac:dyDescent="0.25">
      <c r="A425" s="10" t="s">
        <v>1815</v>
      </c>
      <c r="B425" s="10" t="s">
        <v>1816</v>
      </c>
      <c r="C425" s="116" t="s">
        <v>1774</v>
      </c>
      <c r="D425" s="117"/>
      <c r="E425" s="117"/>
      <c r="F425" s="117"/>
      <c r="G425" s="117"/>
      <c r="H425" s="117"/>
      <c r="I425" s="118"/>
      <c r="M425" s="6">
        <f>SUM(M426,M427)</f>
        <v>0</v>
      </c>
      <c r="N425" s="6">
        <f>SUM(N426,N427)</f>
        <v>114716</v>
      </c>
      <c r="O425" s="6">
        <f>SUM(O426,O427)</f>
        <v>114716</v>
      </c>
      <c r="S425" s="6">
        <f>SUM(S426,S427)</f>
        <v>0</v>
      </c>
      <c r="T425" s="6">
        <f>SUM(T426,T427)</f>
        <v>114716</v>
      </c>
      <c r="U425" s="6">
        <f>SUM(U426,U427)</f>
        <v>114716</v>
      </c>
      <c r="Y425" s="9">
        <f>SUM(Y426,Y427)</f>
        <v>0</v>
      </c>
      <c r="Z425" s="9">
        <f>SUM(Z426,Z427)</f>
        <v>95596.67</v>
      </c>
      <c r="AA425" s="9" t="e">
        <f>SUM(AA426,AA427)</f>
        <v>#VALUE!</v>
      </c>
      <c r="AD425" s="4">
        <v>264030357</v>
      </c>
      <c r="AE425" s="4">
        <v>18539571</v>
      </c>
    </row>
    <row r="426" spans="1:35" ht="18.75" x14ac:dyDescent="0.25">
      <c r="A426" s="10" t="s">
        <v>1817</v>
      </c>
      <c r="B426" s="10" t="s">
        <v>1818</v>
      </c>
      <c r="C426" s="14" t="s">
        <v>1819</v>
      </c>
      <c r="D426" s="15"/>
      <c r="E426" s="15"/>
      <c r="F426" s="15" t="s">
        <v>103</v>
      </c>
      <c r="G426" s="16">
        <v>1</v>
      </c>
      <c r="H426" s="16"/>
      <c r="I426" s="16">
        <v>4</v>
      </c>
      <c r="J426" s="17">
        <v>0</v>
      </c>
      <c r="K426" s="18">
        <v>20790</v>
      </c>
      <c r="L426" s="17">
        <f>J426+ROUND(K426, 2)</f>
        <v>20790</v>
      </c>
      <c r="M426" s="17">
        <v>0</v>
      </c>
      <c r="N426" s="17">
        <f>ROUND(I426*ROUND(K426, 2), 2)</f>
        <v>83160</v>
      </c>
      <c r="O426" s="17">
        <f>M426+N426</f>
        <v>83160</v>
      </c>
      <c r="P426" s="17">
        <v>0</v>
      </c>
      <c r="Q426" s="19">
        <v>20790</v>
      </c>
      <c r="R426" s="17">
        <f>P426+ROUND(Q426, 2)</f>
        <v>20790</v>
      </c>
      <c r="S426" s="17">
        <v>0</v>
      </c>
      <c r="T426" s="17">
        <f>ROUND(I426*ROUND(Q426, 2), 2)</f>
        <v>83160</v>
      </c>
      <c r="U426" s="17">
        <f>S426+T426</f>
        <v>83160</v>
      </c>
      <c r="V426" s="9"/>
      <c r="W426" s="9">
        <f>ROUND(Q426 / 1.2, 2)</f>
        <v>17325</v>
      </c>
      <c r="X426" s="9">
        <f>ROUND(R426 / 1.2, 2)</f>
        <v>17325</v>
      </c>
      <c r="Y426" s="9"/>
      <c r="Z426" s="9">
        <f>ROUND(T426 / 1.2, 2)</f>
        <v>69300</v>
      </c>
      <c r="AA426" s="9" t="e">
        <f>Y426+Z426</f>
        <v>#VALUE!</v>
      </c>
      <c r="AD426" s="4">
        <v>264030359</v>
      </c>
      <c r="AE426" s="4">
        <v>18539569</v>
      </c>
      <c r="AG426" s="4" t="s">
        <v>1820</v>
      </c>
      <c r="AH426" s="4" t="s">
        <v>1821</v>
      </c>
      <c r="AI426" s="4" t="s">
        <v>1744</v>
      </c>
    </row>
    <row r="427" spans="1:35" ht="37.5" x14ac:dyDescent="0.25">
      <c r="A427" s="10" t="s">
        <v>1822</v>
      </c>
      <c r="B427" s="10" t="s">
        <v>1823</v>
      </c>
      <c r="C427" s="14" t="s">
        <v>1741</v>
      </c>
      <c r="D427" s="15"/>
      <c r="E427" s="15"/>
      <c r="F427" s="15" t="s">
        <v>209</v>
      </c>
      <c r="G427" s="16">
        <v>1</v>
      </c>
      <c r="H427" s="16"/>
      <c r="I427" s="16">
        <v>28</v>
      </c>
      <c r="J427" s="17">
        <v>0</v>
      </c>
      <c r="K427" s="18">
        <v>1127</v>
      </c>
      <c r="L427" s="17">
        <f>J427+ROUND(K427, 2)</f>
        <v>1127</v>
      </c>
      <c r="M427" s="17">
        <v>0</v>
      </c>
      <c r="N427" s="17">
        <f>ROUND(I427*ROUND(K427, 2), 2)</f>
        <v>31556</v>
      </c>
      <c r="O427" s="17">
        <f>M427+N427</f>
        <v>31556</v>
      </c>
      <c r="P427" s="17">
        <v>0</v>
      </c>
      <c r="Q427" s="19">
        <v>1127</v>
      </c>
      <c r="R427" s="17">
        <f>P427+ROUND(Q427, 2)</f>
        <v>1127</v>
      </c>
      <c r="S427" s="17">
        <v>0</v>
      </c>
      <c r="T427" s="17">
        <f>ROUND(I427*ROUND(Q427, 2), 2)</f>
        <v>31556</v>
      </c>
      <c r="U427" s="17">
        <f>S427+T427</f>
        <v>31556</v>
      </c>
      <c r="V427" s="9"/>
      <c r="W427" s="9">
        <f>ROUND(Q427 / 1.2, 2)</f>
        <v>939.17</v>
      </c>
      <c r="X427" s="9">
        <f>ROUND(R427 / 1.2, 2)</f>
        <v>939.17</v>
      </c>
      <c r="Y427" s="9"/>
      <c r="Z427" s="9">
        <f>ROUND(T427 / 1.2, 2)</f>
        <v>26296.67</v>
      </c>
      <c r="AA427" s="9" t="e">
        <f>Y427+Z427</f>
        <v>#VALUE!</v>
      </c>
      <c r="AD427" s="4">
        <v>264030361</v>
      </c>
      <c r="AE427" s="4">
        <v>19925941</v>
      </c>
      <c r="AG427" s="4" t="s">
        <v>1742</v>
      </c>
      <c r="AH427" s="4" t="s">
        <v>1824</v>
      </c>
      <c r="AI427" s="4" t="s">
        <v>1744</v>
      </c>
    </row>
    <row r="428" spans="1:35" ht="24" customHeight="1" x14ac:dyDescent="0.25">
      <c r="A428" s="67"/>
      <c r="B428" s="67"/>
      <c r="C428" s="67"/>
      <c r="D428" s="68" t="s">
        <v>1825</v>
      </c>
      <c r="E428" s="67"/>
      <c r="F428" s="67"/>
      <c r="G428" s="67"/>
      <c r="H428" s="67"/>
      <c r="I428" s="67"/>
      <c r="J428" s="67"/>
      <c r="K428" s="67"/>
      <c r="L428" s="67"/>
      <c r="M428" s="69">
        <f>SUM(M8)</f>
        <v>3711929.49</v>
      </c>
      <c r="N428" s="69">
        <f>SUM(N8)</f>
        <v>9895753.8200000003</v>
      </c>
      <c r="O428" s="69">
        <f>M428+N428</f>
        <v>13607683.310000001</v>
      </c>
      <c r="P428" s="67"/>
      <c r="Q428" s="67"/>
      <c r="R428" s="67"/>
      <c r="S428" s="69">
        <f>SUM(S8)</f>
        <v>3676170.07</v>
      </c>
      <c r="T428" s="69">
        <f>SUM(T8)</f>
        <v>9895753.8200000003</v>
      </c>
      <c r="U428" s="69">
        <f>S428+T428</f>
        <v>13571923.890000001</v>
      </c>
      <c r="Y428" s="9">
        <f>SUM(Y8)</f>
        <v>3063475.11</v>
      </c>
      <c r="Z428" s="9">
        <f>SUM(Z8)</f>
        <v>8246461.5</v>
      </c>
      <c r="AA428" s="9">
        <f>Y428+Z428</f>
        <v>11309936.609999999</v>
      </c>
    </row>
    <row r="429" spans="1:35" ht="22.5" x14ac:dyDescent="0.25">
      <c r="A429" s="123" t="s">
        <v>1831</v>
      </c>
      <c r="B429" s="124"/>
      <c r="C429" s="124"/>
      <c r="D429" s="124"/>
      <c r="E429" s="124"/>
      <c r="F429" s="124"/>
      <c r="G429" s="124"/>
      <c r="H429" s="124"/>
      <c r="I429" s="124"/>
      <c r="J429" s="124"/>
      <c r="K429" s="124"/>
      <c r="L429" s="124"/>
      <c r="M429" s="124"/>
      <c r="N429" s="124"/>
      <c r="O429" s="124"/>
      <c r="P429" s="124"/>
      <c r="Q429" s="124"/>
      <c r="R429" s="124"/>
      <c r="S429" s="124"/>
      <c r="T429" s="124"/>
      <c r="U429" s="125"/>
    </row>
    <row r="430" spans="1:35" ht="15.75" x14ac:dyDescent="0.25">
      <c r="A430" s="71"/>
      <c r="B430" s="5" t="s">
        <v>1832</v>
      </c>
      <c r="C430" s="70" t="s">
        <v>1833</v>
      </c>
      <c r="D430" s="70" t="s">
        <v>1834</v>
      </c>
      <c r="E430" s="72"/>
      <c r="F430" s="72"/>
      <c r="G430" s="72"/>
      <c r="H430" s="119"/>
      <c r="I430" s="136"/>
      <c r="J430" s="136"/>
      <c r="K430" s="136"/>
      <c r="L430" s="136"/>
      <c r="M430" s="136"/>
      <c r="N430" s="136"/>
      <c r="O430" s="136"/>
      <c r="P430" s="136"/>
      <c r="Q430" s="136"/>
      <c r="R430" s="136"/>
      <c r="S430" s="136"/>
      <c r="T430" s="136"/>
      <c r="U430" s="120"/>
    </row>
    <row r="431" spans="1:35" ht="15.75" x14ac:dyDescent="0.25">
      <c r="A431" s="71"/>
      <c r="B431" s="5" t="s">
        <v>1835</v>
      </c>
      <c r="C431" s="70" t="s">
        <v>1836</v>
      </c>
      <c r="D431" s="70" t="s">
        <v>1837</v>
      </c>
      <c r="E431" s="72"/>
      <c r="F431" s="72"/>
      <c r="G431" s="72"/>
      <c r="H431" s="119"/>
      <c r="I431" s="136"/>
      <c r="J431" s="136"/>
      <c r="K431" s="136"/>
      <c r="L431" s="136"/>
      <c r="M431" s="136"/>
      <c r="N431" s="136"/>
      <c r="O431" s="136"/>
      <c r="P431" s="136"/>
      <c r="Q431" s="136"/>
      <c r="R431" s="136"/>
      <c r="S431" s="136"/>
      <c r="T431" s="136"/>
      <c r="U431" s="120"/>
    </row>
    <row r="432" spans="1:35" ht="31.5" x14ac:dyDescent="0.25">
      <c r="A432" s="71"/>
      <c r="B432" s="5" t="s">
        <v>1838</v>
      </c>
      <c r="C432" s="70" t="s">
        <v>1839</v>
      </c>
      <c r="D432" s="70" t="s">
        <v>1840</v>
      </c>
      <c r="E432" s="72"/>
      <c r="F432" s="72"/>
      <c r="G432" s="72"/>
      <c r="H432" s="119"/>
      <c r="I432" s="136"/>
      <c r="J432" s="136"/>
      <c r="K432" s="136"/>
      <c r="L432" s="136"/>
      <c r="M432" s="136"/>
      <c r="N432" s="136"/>
      <c r="O432" s="136"/>
      <c r="P432" s="136"/>
      <c r="Q432" s="136"/>
      <c r="R432" s="136"/>
      <c r="S432" s="136"/>
      <c r="T432" s="136"/>
      <c r="U432" s="120"/>
    </row>
    <row r="433" spans="1:21" ht="15.75" x14ac:dyDescent="0.25">
      <c r="A433" s="71"/>
      <c r="B433" s="5" t="s">
        <v>1841</v>
      </c>
      <c r="C433" s="70" t="s">
        <v>1842</v>
      </c>
      <c r="D433" s="70" t="s">
        <v>1843</v>
      </c>
      <c r="E433" s="72"/>
      <c r="F433" s="72"/>
      <c r="G433" s="72"/>
      <c r="H433" s="119"/>
      <c r="I433" s="136"/>
      <c r="J433" s="136"/>
      <c r="K433" s="136"/>
      <c r="L433" s="136"/>
      <c r="M433" s="136"/>
      <c r="N433" s="136"/>
      <c r="O433" s="136"/>
      <c r="P433" s="136"/>
      <c r="Q433" s="136"/>
      <c r="R433" s="136"/>
      <c r="S433" s="136"/>
      <c r="T433" s="136"/>
      <c r="U433" s="120"/>
    </row>
    <row r="434" spans="1:21" ht="15.75" x14ac:dyDescent="0.25">
      <c r="A434" s="71"/>
      <c r="B434" s="5" t="s">
        <v>1844</v>
      </c>
      <c r="C434" s="70" t="s">
        <v>1845</v>
      </c>
      <c r="D434" s="70" t="s">
        <v>1837</v>
      </c>
      <c r="E434" s="72"/>
      <c r="F434" s="72"/>
      <c r="G434" s="72"/>
      <c r="H434" s="119"/>
      <c r="I434" s="136"/>
      <c r="J434" s="136"/>
      <c r="K434" s="136"/>
      <c r="L434" s="136"/>
      <c r="M434" s="136"/>
      <c r="N434" s="136"/>
      <c r="O434" s="136"/>
      <c r="P434" s="136"/>
      <c r="Q434" s="136"/>
      <c r="R434" s="136"/>
      <c r="S434" s="136"/>
      <c r="T434" s="136"/>
      <c r="U434" s="120"/>
    </row>
    <row r="435" spans="1:21" ht="31.5" x14ac:dyDescent="0.25">
      <c r="A435" s="71"/>
      <c r="B435" s="5" t="s">
        <v>1846</v>
      </c>
      <c r="C435" s="70" t="s">
        <v>1847</v>
      </c>
      <c r="D435" s="70" t="s">
        <v>1848</v>
      </c>
      <c r="E435" s="72"/>
      <c r="F435" s="72"/>
      <c r="G435" s="72"/>
      <c r="H435" s="119"/>
      <c r="I435" s="136"/>
      <c r="J435" s="136"/>
      <c r="K435" s="136"/>
      <c r="L435" s="136"/>
      <c r="M435" s="136"/>
      <c r="N435" s="136"/>
      <c r="O435" s="136"/>
      <c r="P435" s="136"/>
      <c r="Q435" s="136"/>
      <c r="R435" s="136"/>
      <c r="S435" s="136"/>
      <c r="T435" s="136"/>
      <c r="U435" s="120"/>
    </row>
    <row r="436" spans="1:21" ht="31.5" x14ac:dyDescent="0.25">
      <c r="A436" s="71"/>
      <c r="B436" s="5" t="s">
        <v>1849</v>
      </c>
      <c r="C436" s="70" t="s">
        <v>1850</v>
      </c>
      <c r="D436" s="70" t="s">
        <v>1851</v>
      </c>
      <c r="E436" s="72"/>
      <c r="F436" s="72"/>
      <c r="G436" s="72"/>
      <c r="H436" s="119"/>
      <c r="I436" s="136"/>
      <c r="J436" s="136"/>
      <c r="K436" s="136"/>
      <c r="L436" s="136"/>
      <c r="M436" s="136"/>
      <c r="N436" s="136"/>
      <c r="O436" s="136"/>
      <c r="P436" s="136"/>
      <c r="Q436" s="136"/>
      <c r="R436" s="136"/>
      <c r="S436" s="136"/>
      <c r="T436" s="136"/>
      <c r="U436" s="120"/>
    </row>
    <row r="437" spans="1:21" ht="15.75" x14ac:dyDescent="0.25">
      <c r="A437" s="71"/>
      <c r="B437" s="5" t="s">
        <v>1852</v>
      </c>
      <c r="C437" s="70" t="s">
        <v>1853</v>
      </c>
      <c r="D437" s="70" t="s">
        <v>1854</v>
      </c>
      <c r="E437" s="72"/>
      <c r="F437" s="72"/>
      <c r="G437" s="72"/>
      <c r="H437" s="119"/>
      <c r="I437" s="136"/>
      <c r="J437" s="136"/>
      <c r="K437" s="136"/>
      <c r="L437" s="136"/>
      <c r="M437" s="136"/>
      <c r="N437" s="136"/>
      <c r="O437" s="136"/>
      <c r="P437" s="136"/>
      <c r="Q437" s="136"/>
      <c r="R437" s="136"/>
      <c r="S437" s="136"/>
      <c r="T437" s="136"/>
      <c r="U437" s="120"/>
    </row>
    <row r="438" spans="1:21" ht="15.75" x14ac:dyDescent="0.25">
      <c r="A438" s="71"/>
      <c r="B438" s="5" t="s">
        <v>1855</v>
      </c>
      <c r="C438" s="70" t="s">
        <v>1856</v>
      </c>
      <c r="D438" s="70" t="s">
        <v>1857</v>
      </c>
      <c r="E438" s="72"/>
      <c r="F438" s="72"/>
      <c r="G438" s="72"/>
      <c r="H438" s="119"/>
      <c r="I438" s="136"/>
      <c r="J438" s="136"/>
      <c r="K438" s="136"/>
      <c r="L438" s="136"/>
      <c r="M438" s="136"/>
      <c r="N438" s="136"/>
      <c r="O438" s="136"/>
      <c r="P438" s="136"/>
      <c r="Q438" s="136"/>
      <c r="R438" s="136"/>
      <c r="S438" s="136"/>
      <c r="T438" s="136"/>
      <c r="U438" s="120"/>
    </row>
    <row r="439" spans="1:21" ht="31.5" x14ac:dyDescent="0.25">
      <c r="A439" s="71"/>
      <c r="B439" s="5" t="s">
        <v>1858</v>
      </c>
      <c r="C439" s="70" t="s">
        <v>1859</v>
      </c>
      <c r="D439" s="70" t="s">
        <v>1860</v>
      </c>
      <c r="E439" s="72"/>
      <c r="F439" s="72"/>
      <c r="G439" s="72"/>
      <c r="H439" s="119"/>
      <c r="I439" s="136"/>
      <c r="J439" s="136"/>
      <c r="K439" s="136"/>
      <c r="L439" s="136"/>
      <c r="M439" s="136"/>
      <c r="N439" s="136"/>
      <c r="O439" s="136"/>
      <c r="P439" s="136"/>
      <c r="Q439" s="136"/>
      <c r="R439" s="136"/>
      <c r="S439" s="136"/>
      <c r="T439" s="136"/>
      <c r="U439" s="120"/>
    </row>
    <row r="440" spans="1:21" ht="47.25" x14ac:dyDescent="0.25">
      <c r="A440" s="71"/>
      <c r="B440" s="5" t="s">
        <v>1861</v>
      </c>
      <c r="C440" s="70" t="s">
        <v>1862</v>
      </c>
      <c r="D440" s="70" t="s">
        <v>1863</v>
      </c>
      <c r="E440" s="72"/>
      <c r="F440" s="72"/>
      <c r="G440" s="72"/>
      <c r="H440" s="119"/>
      <c r="I440" s="136"/>
      <c r="J440" s="136"/>
      <c r="K440" s="136"/>
      <c r="L440" s="136"/>
      <c r="M440" s="136"/>
      <c r="N440" s="136"/>
      <c r="O440" s="136"/>
      <c r="P440" s="136"/>
      <c r="Q440" s="136"/>
      <c r="R440" s="136"/>
      <c r="S440" s="136"/>
      <c r="T440" s="136"/>
      <c r="U440" s="120"/>
    </row>
    <row r="441" spans="1:21" ht="31.5" x14ac:dyDescent="0.25">
      <c r="A441" s="71"/>
      <c r="B441" s="5" t="s">
        <v>1864</v>
      </c>
      <c r="C441" s="70" t="s">
        <v>1865</v>
      </c>
      <c r="D441" s="70" t="s">
        <v>1866</v>
      </c>
      <c r="E441" s="72"/>
      <c r="F441" s="72"/>
      <c r="G441" s="72"/>
      <c r="H441" s="119"/>
      <c r="I441" s="136"/>
      <c r="J441" s="136"/>
      <c r="K441" s="136"/>
      <c r="L441" s="136"/>
      <c r="M441" s="136"/>
      <c r="N441" s="136"/>
      <c r="O441" s="136"/>
      <c r="P441" s="136"/>
      <c r="Q441" s="136"/>
      <c r="R441" s="136"/>
      <c r="S441" s="136"/>
      <c r="T441" s="136"/>
      <c r="U441" s="120"/>
    </row>
    <row r="442" spans="1:21" ht="15.75" x14ac:dyDescent="0.25">
      <c r="A442" s="71"/>
      <c r="B442" s="5" t="s">
        <v>1867</v>
      </c>
      <c r="C442" s="70" t="s">
        <v>1868</v>
      </c>
      <c r="D442" s="70" t="s">
        <v>1869</v>
      </c>
      <c r="E442" s="72"/>
      <c r="F442" s="72"/>
      <c r="G442" s="72"/>
      <c r="H442" s="119"/>
      <c r="I442" s="136"/>
      <c r="J442" s="136"/>
      <c r="K442" s="136"/>
      <c r="L442" s="136"/>
      <c r="M442" s="136"/>
      <c r="N442" s="136"/>
      <c r="O442" s="136"/>
      <c r="P442" s="136"/>
      <c r="Q442" s="136"/>
      <c r="R442" s="136"/>
      <c r="S442" s="136"/>
      <c r="T442" s="136"/>
      <c r="U442" s="120"/>
    </row>
    <row r="443" spans="1:21" ht="48" customHeight="1" x14ac:dyDescent="0.25">
      <c r="A443" s="71"/>
      <c r="B443" s="5" t="s">
        <v>1870</v>
      </c>
      <c r="C443" s="70" t="s">
        <v>1871</v>
      </c>
      <c r="D443" s="70" t="s">
        <v>1872</v>
      </c>
      <c r="E443" s="72"/>
      <c r="F443" s="72"/>
      <c r="G443" s="72"/>
      <c r="H443" s="119" t="s">
        <v>1873</v>
      </c>
      <c r="I443" s="136"/>
      <c r="J443" s="136"/>
      <c r="K443" s="136"/>
      <c r="L443" s="136"/>
      <c r="M443" s="136"/>
      <c r="N443" s="136"/>
      <c r="O443" s="136"/>
      <c r="P443" s="136"/>
      <c r="Q443" s="136"/>
      <c r="R443" s="136"/>
      <c r="S443" s="136"/>
      <c r="T443" s="136"/>
      <c r="U443" s="120"/>
    </row>
    <row r="444" spans="1:21" ht="15.75" x14ac:dyDescent="0.25">
      <c r="A444" s="71"/>
      <c r="B444" s="5" t="s">
        <v>1874</v>
      </c>
      <c r="C444" s="70" t="s">
        <v>1875</v>
      </c>
      <c r="D444" s="70" t="s">
        <v>1876</v>
      </c>
      <c r="E444" s="72"/>
      <c r="F444" s="72"/>
      <c r="G444" s="72"/>
      <c r="H444" s="119"/>
      <c r="I444" s="136"/>
      <c r="J444" s="136"/>
      <c r="K444" s="136"/>
      <c r="L444" s="136"/>
      <c r="M444" s="136"/>
      <c r="N444" s="136"/>
      <c r="O444" s="136"/>
      <c r="P444" s="136"/>
      <c r="Q444" s="136"/>
      <c r="R444" s="136"/>
      <c r="S444" s="136"/>
      <c r="T444" s="136"/>
      <c r="U444" s="120"/>
    </row>
    <row r="445" spans="1:21" ht="31.5" x14ac:dyDescent="0.25">
      <c r="A445" s="71"/>
      <c r="B445" s="5" t="s">
        <v>1877</v>
      </c>
      <c r="C445" s="70" t="s">
        <v>1878</v>
      </c>
      <c r="D445" s="72"/>
      <c r="E445" s="72"/>
      <c r="F445" s="72"/>
      <c r="G445" s="72"/>
      <c r="H445" s="119"/>
      <c r="I445" s="136"/>
      <c r="J445" s="136"/>
      <c r="K445" s="136"/>
      <c r="L445" s="136"/>
      <c r="M445" s="136"/>
      <c r="N445" s="136"/>
      <c r="O445" s="136"/>
      <c r="P445" s="136"/>
      <c r="Q445" s="136"/>
      <c r="R445" s="136"/>
      <c r="S445" s="136"/>
      <c r="T445" s="136"/>
      <c r="U445" s="120"/>
    </row>
    <row r="446" spans="1:21" ht="15.75" x14ac:dyDescent="0.25">
      <c r="A446" s="71"/>
      <c r="B446" s="5" t="s">
        <v>1879</v>
      </c>
      <c r="C446" s="70" t="s">
        <v>1880</v>
      </c>
      <c r="D446" s="72"/>
      <c r="E446" s="72"/>
      <c r="F446" s="72"/>
      <c r="G446" s="72"/>
      <c r="H446" s="119"/>
      <c r="I446" s="136"/>
      <c r="J446" s="136"/>
      <c r="K446" s="136"/>
      <c r="L446" s="136"/>
      <c r="M446" s="136"/>
      <c r="N446" s="136"/>
      <c r="O446" s="136"/>
      <c r="P446" s="136"/>
      <c r="Q446" s="136"/>
      <c r="R446" s="136"/>
      <c r="S446" s="136"/>
      <c r="T446" s="136"/>
      <c r="U446" s="120"/>
    </row>
    <row r="447" spans="1:21" ht="15.75" x14ac:dyDescent="0.25">
      <c r="A447" s="71"/>
      <c r="B447" s="5" t="s">
        <v>1881</v>
      </c>
      <c r="C447" s="70" t="s">
        <v>1882</v>
      </c>
      <c r="D447" s="72"/>
      <c r="E447" s="72"/>
      <c r="F447" s="72"/>
      <c r="G447" s="72"/>
      <c r="H447" s="119"/>
      <c r="I447" s="136"/>
      <c r="J447" s="136"/>
      <c r="K447" s="136"/>
      <c r="L447" s="136"/>
      <c r="M447" s="136"/>
      <c r="N447" s="136"/>
      <c r="O447" s="136"/>
      <c r="P447" s="136"/>
      <c r="Q447" s="136"/>
      <c r="R447" s="136"/>
      <c r="S447" s="136"/>
      <c r="T447" s="136"/>
      <c r="U447" s="120"/>
    </row>
  </sheetData>
  <sheetProtection password="C644" sheet="1" formatColumns="0" autoFilter="0"/>
  <autoFilter ref="A7:U7"/>
  <mergeCells count="80"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C11:I11"/>
    <mergeCell ref="C12:I12"/>
    <mergeCell ref="C13:I13"/>
    <mergeCell ref="C16:I16"/>
    <mergeCell ref="C17:I17"/>
    <mergeCell ref="C24:I24"/>
    <mergeCell ref="C45:I45"/>
    <mergeCell ref="C50:I50"/>
    <mergeCell ref="C51:I51"/>
    <mergeCell ref="C52:I52"/>
    <mergeCell ref="C53:I53"/>
    <mergeCell ref="C54:I54"/>
    <mergeCell ref="C84:I84"/>
    <mergeCell ref="C93:I93"/>
    <mergeCell ref="C129:I129"/>
    <mergeCell ref="C130:I130"/>
    <mergeCell ref="C300:I300"/>
    <mergeCell ref="C316:I316"/>
    <mergeCell ref="C360:I360"/>
    <mergeCell ref="C361:I361"/>
    <mergeCell ref="C383:I383"/>
    <mergeCell ref="C393:I393"/>
    <mergeCell ref="C401:I401"/>
    <mergeCell ref="C402:I402"/>
    <mergeCell ref="C403:I403"/>
    <mergeCell ref="C404:I404"/>
    <mergeCell ref="C406:I406"/>
    <mergeCell ref="C407:I407"/>
    <mergeCell ref="C408:I408"/>
    <mergeCell ref="C410:I410"/>
    <mergeCell ref="C411:I411"/>
    <mergeCell ref="C414:I414"/>
    <mergeCell ref="C419:I419"/>
    <mergeCell ref="C420:I420"/>
    <mergeCell ref="C425:I425"/>
    <mergeCell ref="A429:U429"/>
    <mergeCell ref="H430:U430"/>
    <mergeCell ref="H431:U431"/>
    <mergeCell ref="H432:U432"/>
    <mergeCell ref="H433:U433"/>
    <mergeCell ref="H434:U434"/>
    <mergeCell ref="H435:U435"/>
    <mergeCell ref="H436:U436"/>
    <mergeCell ref="H437:U437"/>
    <mergeCell ref="H438:U438"/>
    <mergeCell ref="H444:U444"/>
    <mergeCell ref="H445:U445"/>
    <mergeCell ref="H446:U446"/>
    <mergeCell ref="H447:U447"/>
    <mergeCell ref="H439:U439"/>
    <mergeCell ref="H440:U440"/>
    <mergeCell ref="H441:U441"/>
    <mergeCell ref="H442:U442"/>
    <mergeCell ref="H443:U44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47"/>
  <sheetViews>
    <sheetView tabSelected="1" topLeftCell="B54" zoomScale="70" zoomScaleNormal="70" workbookViewId="0">
      <selection activeCell="F55" sqref="F55:G57"/>
    </sheetView>
  </sheetViews>
  <sheetFormatPr defaultRowHeight="15" x14ac:dyDescent="0.25"/>
  <cols>
    <col min="1" max="1" width="21.42578125" hidden="1" customWidth="1"/>
    <col min="2" max="2" width="16.140625" customWidth="1"/>
    <col min="3" max="3" width="55.7109375" customWidth="1"/>
    <col min="4" max="4" width="18.140625" customWidth="1"/>
    <col min="5" max="5" width="38" customWidth="1"/>
    <col min="6" max="6" width="11.7109375" customWidth="1"/>
    <col min="7" max="7" width="12.28515625" customWidth="1"/>
    <col min="8" max="8" width="7.42578125" customWidth="1"/>
    <col min="9" max="9" width="13.28515625" customWidth="1"/>
    <col min="10" max="10" width="16" customWidth="1"/>
    <col min="11" max="11" width="17" customWidth="1"/>
    <col min="12" max="12" width="17.7109375" customWidth="1"/>
    <col min="13" max="13" width="18" customWidth="1"/>
    <col min="14" max="14" width="18.85546875" customWidth="1"/>
    <col min="15" max="15" width="23.7109375" customWidth="1"/>
    <col min="16" max="16" width="16" customWidth="1"/>
    <col min="17" max="17" width="17" customWidth="1"/>
    <col min="18" max="18" width="17.7109375" customWidth="1"/>
    <col min="19" max="19" width="18" customWidth="1"/>
    <col min="20" max="20" width="18.85546875" customWidth="1"/>
    <col min="21" max="21" width="23.7109375" customWidth="1"/>
  </cols>
  <sheetData>
    <row r="1" spans="1:35" ht="15" customHeight="1" x14ac:dyDescent="0.25">
      <c r="A1" s="1" t="s">
        <v>0</v>
      </c>
      <c r="B1" s="3"/>
      <c r="C1" s="3"/>
      <c r="D1" s="2" t="s">
        <v>1</v>
      </c>
      <c r="E1" s="2"/>
      <c r="F1" s="2" t="s">
        <v>2</v>
      </c>
      <c r="G1" s="2" t="s">
        <v>1826</v>
      </c>
      <c r="H1" s="2" t="s">
        <v>1827</v>
      </c>
      <c r="I1" s="2" t="s">
        <v>1828</v>
      </c>
      <c r="J1" s="2" t="s">
        <v>1829</v>
      </c>
      <c r="K1" s="2" t="s">
        <v>1830</v>
      </c>
      <c r="L1" s="3"/>
      <c r="M1" s="3"/>
      <c r="N1" s="3"/>
      <c r="O1" s="3"/>
      <c r="P1" s="3"/>
      <c r="Q1" s="3"/>
      <c r="R1" s="3"/>
      <c r="S1" s="3"/>
      <c r="T1" s="3"/>
      <c r="U1" s="3"/>
      <c r="AC1" s="4" t="s">
        <v>15</v>
      </c>
      <c r="AD1" s="4" t="s">
        <v>16</v>
      </c>
      <c r="AE1" s="4" t="s">
        <v>17</v>
      </c>
      <c r="AF1" s="4" t="s">
        <v>18</v>
      </c>
      <c r="AG1" s="4" t="s">
        <v>19</v>
      </c>
      <c r="AH1" s="4" t="s">
        <v>20</v>
      </c>
      <c r="AI1" s="4" t="s">
        <v>21</v>
      </c>
    </row>
    <row r="2" spans="1:35" ht="30.75" customHeight="1" x14ac:dyDescent="0.25">
      <c r="A2" s="126" t="s">
        <v>4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</row>
    <row r="3" spans="1:35" ht="15" customHeight="1" x14ac:dyDescent="0.25">
      <c r="A3" s="127" t="s">
        <v>5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</row>
    <row r="4" spans="1:35" ht="15" customHeight="1" x14ac:dyDescent="0.25">
      <c r="A4" s="128" t="s">
        <v>6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</row>
    <row r="5" spans="1:35" ht="40.700000000000003" customHeight="1" x14ac:dyDescent="0.25">
      <c r="A5" s="121" t="s">
        <v>22</v>
      </c>
      <c r="B5" s="121" t="s">
        <v>23</v>
      </c>
      <c r="C5" s="121" t="s">
        <v>24</v>
      </c>
      <c r="D5" s="121" t="s">
        <v>25</v>
      </c>
      <c r="E5" s="121" t="s">
        <v>26</v>
      </c>
      <c r="F5" s="121" t="s">
        <v>27</v>
      </c>
      <c r="G5" s="121" t="s">
        <v>28</v>
      </c>
      <c r="H5" s="121" t="s">
        <v>29</v>
      </c>
      <c r="I5" s="121" t="s">
        <v>30</v>
      </c>
      <c r="J5" s="129" t="s">
        <v>7</v>
      </c>
      <c r="K5" s="130"/>
      <c r="L5" s="130"/>
      <c r="M5" s="130"/>
      <c r="N5" s="130"/>
      <c r="O5" s="131"/>
      <c r="P5" s="132" t="s">
        <v>8</v>
      </c>
      <c r="Q5" s="133"/>
      <c r="R5" s="134"/>
      <c r="S5" s="132" t="s">
        <v>9</v>
      </c>
      <c r="T5" s="133"/>
      <c r="U5" s="134"/>
    </row>
    <row r="6" spans="1:35" ht="15.75" customHeight="1" x14ac:dyDescent="0.25">
      <c r="A6" s="135"/>
      <c r="B6" s="135"/>
      <c r="C6" s="135"/>
      <c r="D6" s="135"/>
      <c r="E6" s="135"/>
      <c r="F6" s="135"/>
      <c r="G6" s="135"/>
      <c r="H6" s="135"/>
      <c r="I6" s="135"/>
      <c r="J6" s="119" t="s">
        <v>31</v>
      </c>
      <c r="K6" s="120"/>
      <c r="L6" s="121" t="s">
        <v>31</v>
      </c>
      <c r="M6" s="119" t="s">
        <v>34</v>
      </c>
      <c r="N6" s="120"/>
      <c r="O6" s="121" t="s">
        <v>35</v>
      </c>
      <c r="P6" s="119" t="s">
        <v>31</v>
      </c>
      <c r="Q6" s="120"/>
      <c r="R6" s="121" t="s">
        <v>31</v>
      </c>
      <c r="S6" s="119" t="s">
        <v>34</v>
      </c>
      <c r="T6" s="120"/>
      <c r="U6" s="121" t="s">
        <v>35</v>
      </c>
    </row>
    <row r="7" spans="1:35" ht="31.35" customHeight="1" x14ac:dyDescent="0.25">
      <c r="A7" s="122"/>
      <c r="B7" s="122"/>
      <c r="C7" s="122"/>
      <c r="D7" s="122"/>
      <c r="E7" s="122"/>
      <c r="F7" s="122"/>
      <c r="G7" s="122"/>
      <c r="H7" s="122"/>
      <c r="I7" s="122"/>
      <c r="J7" s="5" t="s">
        <v>32</v>
      </c>
      <c r="K7" s="5" t="s">
        <v>33</v>
      </c>
      <c r="L7" s="122"/>
      <c r="M7" s="5" t="s">
        <v>32</v>
      </c>
      <c r="N7" s="5" t="s">
        <v>33</v>
      </c>
      <c r="O7" s="122"/>
      <c r="P7" s="5" t="s">
        <v>32</v>
      </c>
      <c r="Q7" s="5" t="s">
        <v>33</v>
      </c>
      <c r="R7" s="122"/>
      <c r="S7" s="5" t="s">
        <v>32</v>
      </c>
      <c r="T7" s="5" t="s">
        <v>33</v>
      </c>
      <c r="U7" s="122"/>
    </row>
    <row r="8" spans="1:35" ht="30" customHeight="1" x14ac:dyDescent="0.25">
      <c r="A8" s="123" t="s">
        <v>36</v>
      </c>
      <c r="B8" s="124"/>
      <c r="C8" s="124"/>
      <c r="D8" s="124"/>
      <c r="E8" s="124"/>
      <c r="F8" s="124"/>
      <c r="G8" s="124"/>
      <c r="H8" s="124"/>
      <c r="I8" s="125"/>
      <c r="J8" s="7"/>
      <c r="K8" s="7"/>
      <c r="L8" s="7"/>
      <c r="M8" s="8">
        <f>SUM(M9,M401)</f>
        <v>3711929.49</v>
      </c>
      <c r="N8" s="8">
        <f>SUM(N9,N401)</f>
        <v>9895753.8200000003</v>
      </c>
      <c r="O8" s="8">
        <f>SUM(O9,O401)</f>
        <v>13607683.309999999</v>
      </c>
      <c r="P8" s="7"/>
      <c r="Q8" s="7"/>
      <c r="R8" s="7"/>
      <c r="S8" s="8">
        <f>SUM(S9,S401)</f>
        <v>3676170.0700000003</v>
      </c>
      <c r="T8" s="8">
        <f>SUM(T9,T401)</f>
        <v>9895753.8200000003</v>
      </c>
      <c r="U8" s="8">
        <f>SUM(U9,U401)</f>
        <v>13571923.889999997</v>
      </c>
      <c r="Y8" s="9">
        <f>SUM(Y9,Y401)</f>
        <v>3063475.1100000003</v>
      </c>
      <c r="Z8" s="9">
        <f>SUM(Z9,Z401)</f>
        <v>8246461.5000000019</v>
      </c>
      <c r="AA8" s="9">
        <f>SUM(AA9,AA401)</f>
        <v>11309936.610000001</v>
      </c>
      <c r="AC8" s="4" t="s">
        <v>37</v>
      </c>
    </row>
    <row r="9" spans="1:35" ht="17.100000000000001" customHeight="1" x14ac:dyDescent="0.25">
      <c r="A9" s="10" t="s">
        <v>38</v>
      </c>
      <c r="B9" s="10" t="s">
        <v>39</v>
      </c>
      <c r="C9" s="116" t="s">
        <v>40</v>
      </c>
      <c r="D9" s="117"/>
      <c r="E9" s="117"/>
      <c r="F9" s="117"/>
      <c r="G9" s="117"/>
      <c r="H9" s="117"/>
      <c r="I9" s="118"/>
      <c r="M9" s="6">
        <f>SUM(M10,M50)</f>
        <v>3413922.7900000005</v>
      </c>
      <c r="N9" s="6">
        <f>SUM(N10,N50)</f>
        <v>9101348.2699999996</v>
      </c>
      <c r="O9" s="6">
        <f>SUM(O10,O50)</f>
        <v>12515271.059999999</v>
      </c>
      <c r="S9" s="6">
        <f>SUM(S10,S50)</f>
        <v>3378163.37</v>
      </c>
      <c r="T9" s="6">
        <f>SUM(T10,T50)</f>
        <v>9101348.2699999996</v>
      </c>
      <c r="U9" s="6">
        <f>SUM(U10,U50)</f>
        <v>12479511.639999997</v>
      </c>
      <c r="Y9" s="9">
        <f>SUM(Y10,Y50)</f>
        <v>2815136.1900000004</v>
      </c>
      <c r="Z9" s="9">
        <f>SUM(Z10,Z50)</f>
        <v>7584456.870000002</v>
      </c>
      <c r="AA9" s="9">
        <f>SUM(AA10,AA50)</f>
        <v>10399593.060000001</v>
      </c>
      <c r="AD9" s="4">
        <v>264030243</v>
      </c>
      <c r="AE9" s="4">
        <v>16075338</v>
      </c>
    </row>
    <row r="10" spans="1:35" ht="17.100000000000001" customHeight="1" x14ac:dyDescent="0.25">
      <c r="A10" s="10" t="s">
        <v>41</v>
      </c>
      <c r="B10" s="10" t="s">
        <v>42</v>
      </c>
      <c r="C10" s="116" t="s">
        <v>43</v>
      </c>
      <c r="D10" s="117"/>
      <c r="E10" s="117"/>
      <c r="F10" s="117"/>
      <c r="G10" s="117"/>
      <c r="H10" s="117"/>
      <c r="I10" s="118"/>
      <c r="M10" s="6">
        <f t="shared" ref="M10:O11" si="0">SUM(M11)</f>
        <v>554160.79</v>
      </c>
      <c r="N10" s="6">
        <f t="shared" si="0"/>
        <v>861847.08</v>
      </c>
      <c r="O10" s="6">
        <f t="shared" si="0"/>
        <v>1416007.87</v>
      </c>
      <c r="S10" s="6">
        <f t="shared" ref="S10:U11" si="1">SUM(S11)</f>
        <v>554160.79</v>
      </c>
      <c r="T10" s="6">
        <f t="shared" si="1"/>
        <v>861847.08</v>
      </c>
      <c r="U10" s="6">
        <f t="shared" si="1"/>
        <v>1416007.87</v>
      </c>
      <c r="Y10" s="9">
        <f t="shared" ref="Y10:AA11" si="2">SUM(Y11)</f>
        <v>461800.66</v>
      </c>
      <c r="Z10" s="9">
        <f t="shared" si="2"/>
        <v>718205.91</v>
      </c>
      <c r="AA10" s="9">
        <f t="shared" si="2"/>
        <v>1180006.5699999998</v>
      </c>
      <c r="AD10" s="4">
        <v>264030244</v>
      </c>
      <c r="AE10" s="4">
        <v>16084976</v>
      </c>
    </row>
    <row r="11" spans="1:35" ht="17.100000000000001" customHeight="1" x14ac:dyDescent="0.25">
      <c r="A11" s="10" t="s">
        <v>44</v>
      </c>
      <c r="B11" s="10" t="s">
        <v>45</v>
      </c>
      <c r="C11" s="116" t="s">
        <v>46</v>
      </c>
      <c r="D11" s="117"/>
      <c r="E11" s="117"/>
      <c r="F11" s="117"/>
      <c r="G11" s="117"/>
      <c r="H11" s="117"/>
      <c r="I11" s="118"/>
      <c r="M11" s="6">
        <f t="shared" si="0"/>
        <v>554160.79</v>
      </c>
      <c r="N11" s="6">
        <f t="shared" si="0"/>
        <v>861847.08</v>
      </c>
      <c r="O11" s="6">
        <f t="shared" si="0"/>
        <v>1416007.87</v>
      </c>
      <c r="S11" s="6">
        <f t="shared" si="1"/>
        <v>554160.79</v>
      </c>
      <c r="T11" s="6">
        <f t="shared" si="1"/>
        <v>861847.08</v>
      </c>
      <c r="U11" s="6">
        <f t="shared" si="1"/>
        <v>1416007.87</v>
      </c>
      <c r="Y11" s="9">
        <f t="shared" si="2"/>
        <v>461800.66</v>
      </c>
      <c r="Z11" s="9">
        <f t="shared" si="2"/>
        <v>718205.91</v>
      </c>
      <c r="AA11" s="9">
        <f t="shared" si="2"/>
        <v>1180006.5699999998</v>
      </c>
      <c r="AD11" s="4">
        <v>264030245</v>
      </c>
      <c r="AE11" s="4">
        <v>16084973</v>
      </c>
    </row>
    <row r="12" spans="1:35" ht="17.100000000000001" customHeight="1" x14ac:dyDescent="0.25">
      <c r="A12" s="10" t="s">
        <v>47</v>
      </c>
      <c r="B12" s="10" t="s">
        <v>48</v>
      </c>
      <c r="C12" s="116" t="s">
        <v>49</v>
      </c>
      <c r="D12" s="117"/>
      <c r="E12" s="117"/>
      <c r="F12" s="117"/>
      <c r="G12" s="117"/>
      <c r="H12" s="117"/>
      <c r="I12" s="118"/>
      <c r="M12" s="6">
        <f>SUM(M13,M16,M45)</f>
        <v>554160.79</v>
      </c>
      <c r="N12" s="6">
        <f>SUM(N13,N16,N45)</f>
        <v>861847.08</v>
      </c>
      <c r="O12" s="6">
        <f>SUM(O13,O16,O45)</f>
        <v>1416007.87</v>
      </c>
      <c r="S12" s="6">
        <f>SUM(S13,S16,S45)</f>
        <v>554160.79</v>
      </c>
      <c r="T12" s="6">
        <f>SUM(T13,T16,T45)</f>
        <v>861847.08</v>
      </c>
      <c r="U12" s="6">
        <f>SUM(U13,U16,U45)</f>
        <v>1416007.87</v>
      </c>
      <c r="Y12" s="9">
        <f>SUM(Y13,Y16,Y45)</f>
        <v>461800.66</v>
      </c>
      <c r="Z12" s="9">
        <f>SUM(Z13,Z16,Z45)</f>
        <v>718205.91</v>
      </c>
      <c r="AA12" s="9">
        <f>SUM(AA13,AA16,AA45)</f>
        <v>1180006.5699999998</v>
      </c>
      <c r="AD12" s="4">
        <v>264030246</v>
      </c>
      <c r="AE12" s="4">
        <v>16084971</v>
      </c>
    </row>
    <row r="13" spans="1:35" ht="17.100000000000001" customHeight="1" x14ac:dyDescent="0.25">
      <c r="A13" s="10" t="s">
        <v>50</v>
      </c>
      <c r="B13" s="10" t="s">
        <v>51</v>
      </c>
      <c r="C13" s="116" t="s">
        <v>52</v>
      </c>
      <c r="D13" s="117"/>
      <c r="E13" s="117"/>
      <c r="F13" s="117"/>
      <c r="G13" s="117"/>
      <c r="H13" s="117"/>
      <c r="I13" s="118"/>
      <c r="M13" s="6">
        <f>SUM(M14)</f>
        <v>0</v>
      </c>
      <c r="N13" s="6">
        <f>SUM(N14)</f>
        <v>282000</v>
      </c>
      <c r="O13" s="6">
        <f>SUM(O14)</f>
        <v>282000</v>
      </c>
      <c r="S13" s="6">
        <f>SUM(S14)</f>
        <v>0</v>
      </c>
      <c r="T13" s="6">
        <f>SUM(T14)</f>
        <v>282000</v>
      </c>
      <c r="U13" s="6">
        <f>SUM(U14)</f>
        <v>282000</v>
      </c>
      <c r="Y13" s="9">
        <f>SUM(Y14)</f>
        <v>0</v>
      </c>
      <c r="Z13" s="9">
        <f>SUM(Z14)</f>
        <v>235000</v>
      </c>
      <c r="AA13" s="9">
        <f>SUM(AA14)</f>
        <v>235000</v>
      </c>
      <c r="AD13" s="4">
        <v>264030247</v>
      </c>
      <c r="AE13" s="4">
        <v>19923875</v>
      </c>
    </row>
    <row r="14" spans="1:35" ht="37.5" x14ac:dyDescent="0.25">
      <c r="A14" s="10" t="s">
        <v>53</v>
      </c>
      <c r="B14" s="10" t="s">
        <v>54</v>
      </c>
      <c r="C14" s="14" t="s">
        <v>55</v>
      </c>
      <c r="D14" s="15"/>
      <c r="E14" s="15"/>
      <c r="F14" s="15" t="s">
        <v>56</v>
      </c>
      <c r="G14" s="16">
        <v>1</v>
      </c>
      <c r="H14" s="16"/>
      <c r="I14" s="16">
        <v>752</v>
      </c>
      <c r="J14" s="17">
        <f>IFERROR(ROUND(SUM(M15)/I14, 2),0)</f>
        <v>0</v>
      </c>
      <c r="K14" s="18">
        <v>375</v>
      </c>
      <c r="L14" s="17">
        <f>J14+ROUND(K14, 2)</f>
        <v>375</v>
      </c>
      <c r="M14" s="17">
        <f>ROUND(J14*I14, 2)</f>
        <v>0</v>
      </c>
      <c r="N14" s="17">
        <f>ROUND(I14*ROUND(K14, 2), 2)</f>
        <v>282000</v>
      </c>
      <c r="O14" s="17">
        <f>M14+N14</f>
        <v>282000</v>
      </c>
      <c r="P14" s="17">
        <f>IFERROR(ROUND(SUM(S15)/I14, 2),0)</f>
        <v>0</v>
      </c>
      <c r="Q14" s="19">
        <v>375</v>
      </c>
      <c r="R14" s="17">
        <f>P14+ROUND(Q14, 2)</f>
        <v>375</v>
      </c>
      <c r="S14" s="17">
        <f>ROUND(P14*I14, 2)</f>
        <v>0</v>
      </c>
      <c r="T14" s="17">
        <f>ROUND(I14*ROUND(Q14, 2), 2)</f>
        <v>282000</v>
      </c>
      <c r="U14" s="17">
        <f>S14+T14</f>
        <v>282000</v>
      </c>
      <c r="V14" s="9">
        <f>ROUND(P14 / 1.2, 2)</f>
        <v>0</v>
      </c>
      <c r="W14" s="9">
        <f>ROUND(Q14 / 1.2, 2)</f>
        <v>312.5</v>
      </c>
      <c r="X14" s="9">
        <f>ROUND(R14 / 1.2, 2)</f>
        <v>312.5</v>
      </c>
      <c r="Y14" s="9">
        <f>ROUND(S14 / 1.2, 2)</f>
        <v>0</v>
      </c>
      <c r="Z14" s="9">
        <f>ROUND(T14 / 1.2, 2)</f>
        <v>235000</v>
      </c>
      <c r="AA14" s="9">
        <f>Y14+Z14</f>
        <v>235000</v>
      </c>
      <c r="AD14" s="4">
        <v>264030249</v>
      </c>
      <c r="AE14" s="4">
        <v>19923873</v>
      </c>
      <c r="AG14" s="4" t="s">
        <v>57</v>
      </c>
      <c r="AH14" s="4" t="s">
        <v>58</v>
      </c>
      <c r="AI14" s="4" t="s">
        <v>59</v>
      </c>
    </row>
    <row r="15" spans="1:35" ht="18.75" x14ac:dyDescent="0.25">
      <c r="A15" s="10" t="s">
        <v>60</v>
      </c>
      <c r="B15" s="10"/>
      <c r="C15" s="24" t="s">
        <v>61</v>
      </c>
      <c r="D15" s="15"/>
      <c r="E15" s="15"/>
      <c r="F15" s="25" t="s">
        <v>62</v>
      </c>
      <c r="G15" s="26">
        <v>1</v>
      </c>
      <c r="H15" s="27"/>
      <c r="I15" s="27">
        <v>752</v>
      </c>
      <c r="J15" s="28">
        <v>0</v>
      </c>
      <c r="M15" s="29">
        <f>ROUND(ROUND(J15, 2)*I15, 2)</f>
        <v>0</v>
      </c>
      <c r="P15" s="30">
        <v>0</v>
      </c>
      <c r="S15" s="29">
        <f>ROUND(ROUND(P15, 2)*I15, 2)</f>
        <v>0</v>
      </c>
      <c r="V15" s="9">
        <f>ROUND(ROUND(P15, 2)/1.2, 2)</f>
        <v>0</v>
      </c>
      <c r="Y15" s="9">
        <f>ROUND(S15 / 1.2, 2)</f>
        <v>0</v>
      </c>
      <c r="AD15" s="4" t="s">
        <v>63</v>
      </c>
      <c r="AE15" s="4" t="s">
        <v>64</v>
      </c>
      <c r="AF15" s="4" t="s">
        <v>65</v>
      </c>
    </row>
    <row r="16" spans="1:35" ht="17.100000000000001" customHeight="1" x14ac:dyDescent="0.25">
      <c r="A16" s="10" t="s">
        <v>66</v>
      </c>
      <c r="B16" s="10" t="s">
        <v>67</v>
      </c>
      <c r="C16" s="116" t="s">
        <v>68</v>
      </c>
      <c r="D16" s="117"/>
      <c r="E16" s="117"/>
      <c r="F16" s="117"/>
      <c r="G16" s="117"/>
      <c r="H16" s="117"/>
      <c r="I16" s="118"/>
      <c r="M16" s="6">
        <f>SUM(M17,M24)</f>
        <v>150521.32999999999</v>
      </c>
      <c r="N16" s="6">
        <f>SUM(N17,N24)</f>
        <v>291991.67999999999</v>
      </c>
      <c r="O16" s="6">
        <f>SUM(O17,O24)</f>
        <v>442513.01</v>
      </c>
      <c r="S16" s="6">
        <f>SUM(S17,S24)</f>
        <v>150521.32999999999</v>
      </c>
      <c r="T16" s="6">
        <f>SUM(T17,T24)</f>
        <v>291991.67999999999</v>
      </c>
      <c r="U16" s="6">
        <f>SUM(U17,U24)</f>
        <v>442513.01</v>
      </c>
      <c r="Y16" s="9">
        <f>SUM(Y17,Y24)</f>
        <v>125434.44</v>
      </c>
      <c r="Z16" s="9">
        <f>SUM(Z17,Z24)</f>
        <v>243326.41</v>
      </c>
      <c r="AA16" s="9">
        <f>SUM(AA17,AA24)</f>
        <v>368760.85</v>
      </c>
      <c r="AD16" s="4">
        <v>264030250</v>
      </c>
      <c r="AE16" s="4">
        <v>16084974</v>
      </c>
    </row>
    <row r="17" spans="1:35" ht="17.100000000000001" customHeight="1" x14ac:dyDescent="0.25">
      <c r="A17" s="10" t="s">
        <v>69</v>
      </c>
      <c r="B17" s="10" t="s">
        <v>70</v>
      </c>
      <c r="C17" s="116" t="s">
        <v>71</v>
      </c>
      <c r="D17" s="117"/>
      <c r="E17" s="117"/>
      <c r="F17" s="117"/>
      <c r="G17" s="117"/>
      <c r="H17" s="117"/>
      <c r="I17" s="118"/>
      <c r="M17" s="6">
        <f>SUM(M18)</f>
        <v>24326.95</v>
      </c>
      <c r="N17" s="6">
        <f>SUM(N18)</f>
        <v>26118.33</v>
      </c>
      <c r="O17" s="6">
        <f>SUM(O18)</f>
        <v>50445.279999999999</v>
      </c>
      <c r="S17" s="6">
        <f>SUM(S18)</f>
        <v>24326.95</v>
      </c>
      <c r="T17" s="6">
        <f>SUM(T18)</f>
        <v>26118.33</v>
      </c>
      <c r="U17" s="6">
        <f>SUM(U18)</f>
        <v>50445.279999999999</v>
      </c>
      <c r="Y17" s="9">
        <f>SUM(Y18)</f>
        <v>20272.46</v>
      </c>
      <c r="Z17" s="9">
        <f>SUM(Z18)</f>
        <v>21765.279999999999</v>
      </c>
      <c r="AA17" s="9">
        <f>SUM(AA18)</f>
        <v>42037.74</v>
      </c>
      <c r="AD17" s="4">
        <v>264030251</v>
      </c>
      <c r="AE17" s="4">
        <v>18539951</v>
      </c>
    </row>
    <row r="18" spans="1:35" ht="75" x14ac:dyDescent="0.25">
      <c r="A18" s="10" t="s">
        <v>72</v>
      </c>
      <c r="B18" s="10" t="s">
        <v>73</v>
      </c>
      <c r="C18" s="14" t="s">
        <v>74</v>
      </c>
      <c r="D18" s="15" t="s">
        <v>75</v>
      </c>
      <c r="E18" s="15" t="s">
        <v>76</v>
      </c>
      <c r="F18" s="15" t="s">
        <v>56</v>
      </c>
      <c r="G18" s="16">
        <v>1</v>
      </c>
      <c r="H18" s="16"/>
      <c r="I18" s="16">
        <v>13.47</v>
      </c>
      <c r="J18" s="17">
        <f>IFERROR(ROUND(SUM(M19,M20,M21,M22,M23)/I18, 2),0)</f>
        <v>1806.01</v>
      </c>
      <c r="K18" s="18">
        <v>1939</v>
      </c>
      <c r="L18" s="17">
        <f>J18+ROUND(K18, 2)</f>
        <v>3745.01</v>
      </c>
      <c r="M18" s="17">
        <f>ROUND(J18*I18, 2)</f>
        <v>24326.95</v>
      </c>
      <c r="N18" s="17">
        <f>ROUND(I18*ROUND(K18, 2), 2)</f>
        <v>26118.33</v>
      </c>
      <c r="O18" s="17">
        <f>M18+N18</f>
        <v>50445.279999999999</v>
      </c>
      <c r="P18" s="17">
        <f>IFERROR(ROUND(SUM(S19,S20,S21,S22,S23)/I18, 2),0)</f>
        <v>1806.01</v>
      </c>
      <c r="Q18" s="19">
        <v>1939</v>
      </c>
      <c r="R18" s="17">
        <f>P18+ROUND(Q18, 2)</f>
        <v>3745.01</v>
      </c>
      <c r="S18" s="17">
        <f>ROUND(P18*I18, 2)</f>
        <v>24326.95</v>
      </c>
      <c r="T18" s="17">
        <f>ROUND(I18*ROUND(Q18, 2), 2)</f>
        <v>26118.33</v>
      </c>
      <c r="U18" s="17">
        <f>S18+T18</f>
        <v>50445.279999999999</v>
      </c>
      <c r="V18" s="9">
        <f>ROUND(P18 / 1.2, 2)</f>
        <v>1505.01</v>
      </c>
      <c r="W18" s="9">
        <f>ROUND(Q18 / 1.2, 2)</f>
        <v>1615.83</v>
      </c>
      <c r="X18" s="9">
        <f>ROUND(R18 / 1.2, 2)</f>
        <v>3120.84</v>
      </c>
      <c r="Y18" s="9">
        <f>ROUND(S18 / 1.2, 2)</f>
        <v>20272.46</v>
      </c>
      <c r="Z18" s="9">
        <f>ROUND(T18 / 1.2, 2)</f>
        <v>21765.279999999999</v>
      </c>
      <c r="AA18" s="9">
        <f>Y18+Z18</f>
        <v>42037.74</v>
      </c>
      <c r="AD18" s="4">
        <v>264030253</v>
      </c>
      <c r="AE18" s="4">
        <v>18539953</v>
      </c>
      <c r="AG18" s="4" t="s">
        <v>77</v>
      </c>
      <c r="AH18" s="4" t="s">
        <v>78</v>
      </c>
      <c r="AI18" s="4" t="s">
        <v>59</v>
      </c>
    </row>
    <row r="19" spans="1:35" ht="18.75" x14ac:dyDescent="0.25">
      <c r="A19" s="10" t="s">
        <v>79</v>
      </c>
      <c r="B19" s="10"/>
      <c r="C19" s="24" t="s">
        <v>80</v>
      </c>
      <c r="D19" s="15"/>
      <c r="E19" s="15"/>
      <c r="F19" s="25" t="s">
        <v>81</v>
      </c>
      <c r="G19" s="26">
        <v>44.85</v>
      </c>
      <c r="H19" s="26"/>
      <c r="I19" s="26">
        <v>604.13</v>
      </c>
      <c r="J19" s="28">
        <v>6.27</v>
      </c>
      <c r="M19" s="29">
        <f>ROUND(ROUND(J19, 2)*I19, 2)</f>
        <v>3787.9</v>
      </c>
      <c r="P19" s="30">
        <v>6.27</v>
      </c>
      <c r="S19" s="29">
        <f>ROUND(ROUND(P19, 2)*I19, 2)</f>
        <v>3787.9</v>
      </c>
      <c r="V19" s="9">
        <f>ROUND(ROUND(P19, 2)/1.2, 2)</f>
        <v>5.23</v>
      </c>
      <c r="Y19" s="9">
        <f>ROUND(S19 / 1.2, 2)</f>
        <v>3156.58</v>
      </c>
      <c r="AD19" s="4" t="s">
        <v>82</v>
      </c>
      <c r="AE19" s="4" t="s">
        <v>83</v>
      </c>
      <c r="AF19" s="4" t="s">
        <v>84</v>
      </c>
    </row>
    <row r="20" spans="1:35" ht="37.5" x14ac:dyDescent="0.25">
      <c r="A20" s="10" t="s">
        <v>85</v>
      </c>
      <c r="B20" s="10"/>
      <c r="C20" s="24" t="s">
        <v>86</v>
      </c>
      <c r="D20" s="15"/>
      <c r="E20" s="15"/>
      <c r="F20" s="25" t="s">
        <v>87</v>
      </c>
      <c r="G20" s="26">
        <v>1</v>
      </c>
      <c r="H20" s="26"/>
      <c r="I20" s="26">
        <v>13.47</v>
      </c>
      <c r="J20" s="28">
        <v>64.599999999999994</v>
      </c>
      <c r="M20" s="29">
        <f>ROUND(ROUND(J20, 2)*I20, 2)</f>
        <v>870.16</v>
      </c>
      <c r="P20" s="30">
        <v>64.599999999999994</v>
      </c>
      <c r="S20" s="29">
        <f>ROUND(ROUND(P20, 2)*I20, 2)</f>
        <v>870.16</v>
      </c>
      <c r="V20" s="9">
        <f>ROUND(ROUND(P20, 2)/1.2, 2)</f>
        <v>53.83</v>
      </c>
      <c r="Y20" s="9">
        <f>ROUND(S20 / 1.2, 2)</f>
        <v>725.13</v>
      </c>
      <c r="AD20" s="4" t="s">
        <v>88</v>
      </c>
      <c r="AE20" s="4" t="s">
        <v>89</v>
      </c>
      <c r="AF20" s="4" t="s">
        <v>90</v>
      </c>
    </row>
    <row r="21" spans="1:35" ht="37.5" x14ac:dyDescent="0.25">
      <c r="A21" s="10" t="s">
        <v>91</v>
      </c>
      <c r="B21" s="10"/>
      <c r="C21" s="24" t="s">
        <v>92</v>
      </c>
      <c r="D21" s="15"/>
      <c r="E21" s="15"/>
      <c r="F21" s="25" t="s">
        <v>87</v>
      </c>
      <c r="G21" s="26">
        <v>1</v>
      </c>
      <c r="H21" s="26"/>
      <c r="I21" s="26">
        <v>13.47</v>
      </c>
      <c r="J21" s="28">
        <v>117.04</v>
      </c>
      <c r="M21" s="29">
        <f>ROUND(ROUND(J21, 2)*I21, 2)</f>
        <v>1576.53</v>
      </c>
      <c r="P21" s="30">
        <v>117.04</v>
      </c>
      <c r="S21" s="29">
        <f>ROUND(ROUND(P21, 2)*I21, 2)</f>
        <v>1576.53</v>
      </c>
      <c r="V21" s="9">
        <f>ROUND(ROUND(P21, 2)/1.2, 2)</f>
        <v>97.53</v>
      </c>
      <c r="Y21" s="9">
        <f>ROUND(S21 / 1.2, 2)</f>
        <v>1313.78</v>
      </c>
      <c r="AD21" s="4" t="s">
        <v>93</v>
      </c>
      <c r="AE21" s="4" t="s">
        <v>94</v>
      </c>
      <c r="AF21" s="4" t="s">
        <v>95</v>
      </c>
    </row>
    <row r="22" spans="1:35" ht="18.75" x14ac:dyDescent="0.25">
      <c r="A22" s="10" t="s">
        <v>96</v>
      </c>
      <c r="B22" s="10"/>
      <c r="C22" s="24" t="s">
        <v>97</v>
      </c>
      <c r="D22" s="15"/>
      <c r="E22" s="15"/>
      <c r="F22" s="25" t="s">
        <v>56</v>
      </c>
      <c r="G22" s="26">
        <v>0.504</v>
      </c>
      <c r="H22" s="26"/>
      <c r="I22" s="26">
        <v>6.7889999999999997</v>
      </c>
      <c r="J22" s="28">
        <v>265</v>
      </c>
      <c r="M22" s="29">
        <f>ROUND(ROUND(J22, 2)*I22, 2)</f>
        <v>1799.09</v>
      </c>
      <c r="P22" s="30">
        <v>265</v>
      </c>
      <c r="S22" s="29">
        <f>ROUND(ROUND(P22, 2)*I22, 2)</f>
        <v>1799.09</v>
      </c>
      <c r="V22" s="9">
        <f>ROUND(ROUND(P22, 2)/1.2, 2)</f>
        <v>220.83</v>
      </c>
      <c r="Y22" s="9">
        <f>ROUND(S22 / 1.2, 2)</f>
        <v>1499.24</v>
      </c>
      <c r="AD22" s="4" t="s">
        <v>98</v>
      </c>
      <c r="AE22" s="4" t="s">
        <v>99</v>
      </c>
      <c r="AF22" s="4" t="s">
        <v>100</v>
      </c>
    </row>
    <row r="23" spans="1:35" ht="18.75" x14ac:dyDescent="0.25">
      <c r="A23" s="10" t="s">
        <v>101</v>
      </c>
      <c r="B23" s="10"/>
      <c r="C23" s="24" t="s">
        <v>102</v>
      </c>
      <c r="D23" s="15"/>
      <c r="E23" s="15"/>
      <c r="F23" s="25" t="s">
        <v>103</v>
      </c>
      <c r="G23" s="26">
        <v>50.4</v>
      </c>
      <c r="H23" s="26"/>
      <c r="I23" s="26">
        <v>678.88800000000003</v>
      </c>
      <c r="J23" s="28">
        <v>24</v>
      </c>
      <c r="M23" s="29">
        <f>ROUND(ROUND(J23, 2)*I23, 2)</f>
        <v>16293.31</v>
      </c>
      <c r="P23" s="30">
        <v>24</v>
      </c>
      <c r="S23" s="29">
        <f>ROUND(ROUND(P23, 2)*I23, 2)</f>
        <v>16293.31</v>
      </c>
      <c r="V23" s="9">
        <f>ROUND(ROUND(P23, 2)/1.2, 2)</f>
        <v>20</v>
      </c>
      <c r="Y23" s="9">
        <f>ROUND(S23 / 1.2, 2)</f>
        <v>13577.76</v>
      </c>
      <c r="AD23" s="4" t="s">
        <v>104</v>
      </c>
      <c r="AE23" s="4" t="s">
        <v>105</v>
      </c>
      <c r="AF23" s="4" t="s">
        <v>106</v>
      </c>
    </row>
    <row r="24" spans="1:35" ht="17.100000000000001" customHeight="1" x14ac:dyDescent="0.25">
      <c r="A24" s="10" t="s">
        <v>107</v>
      </c>
      <c r="B24" s="10" t="s">
        <v>108</v>
      </c>
      <c r="C24" s="116" t="s">
        <v>109</v>
      </c>
      <c r="D24" s="117"/>
      <c r="E24" s="117"/>
      <c r="F24" s="117"/>
      <c r="G24" s="117"/>
      <c r="H24" s="117"/>
      <c r="I24" s="118"/>
      <c r="M24" s="6">
        <f>SUM(M25,M30,M35,M40)</f>
        <v>126194.37999999999</v>
      </c>
      <c r="N24" s="6">
        <f>SUM(N25,N30,N35,N40)</f>
        <v>265873.34999999998</v>
      </c>
      <c r="O24" s="6">
        <f>SUM(O25,O30,O35,O40)</f>
        <v>392067.73</v>
      </c>
      <c r="S24" s="6">
        <f>SUM(S25,S30,S35,S40)</f>
        <v>126194.37999999999</v>
      </c>
      <c r="T24" s="6">
        <f>SUM(T25,T30,T35,T40)</f>
        <v>265873.34999999998</v>
      </c>
      <c r="U24" s="6">
        <f>SUM(U25,U30,U35,U40)</f>
        <v>392067.73</v>
      </c>
      <c r="Y24" s="9">
        <f>SUM(Y25,Y30,Y35,Y40)</f>
        <v>105161.98000000001</v>
      </c>
      <c r="Z24" s="9">
        <f>SUM(Z25,Z30,Z35,Z40)</f>
        <v>221561.13</v>
      </c>
      <c r="AA24" s="9">
        <f>SUM(AA25,AA30,AA35,AA40)</f>
        <v>326723.11</v>
      </c>
      <c r="AD24" s="4">
        <v>264030254</v>
      </c>
      <c r="AE24" s="4">
        <v>16084972</v>
      </c>
    </row>
    <row r="25" spans="1:35" ht="37.5" x14ac:dyDescent="0.25">
      <c r="A25" s="10" t="s">
        <v>110</v>
      </c>
      <c r="B25" s="10" t="s">
        <v>111</v>
      </c>
      <c r="C25" s="14" t="s">
        <v>112</v>
      </c>
      <c r="D25" s="15"/>
      <c r="E25" s="15" t="s">
        <v>113</v>
      </c>
      <c r="F25" s="15" t="s">
        <v>56</v>
      </c>
      <c r="G25" s="16">
        <v>1</v>
      </c>
      <c r="H25" s="16"/>
      <c r="I25" s="16">
        <v>76.67</v>
      </c>
      <c r="J25" s="17">
        <f>IFERROR(ROUND(SUM(M26,M27,M28,M29)/I25, 2),0)</f>
        <v>1018.25</v>
      </c>
      <c r="K25" s="18">
        <v>2293</v>
      </c>
      <c r="L25" s="17">
        <f>J25+ROUND(K25, 2)</f>
        <v>3311.25</v>
      </c>
      <c r="M25" s="17">
        <f>ROUND(J25*I25, 2)</f>
        <v>78069.23</v>
      </c>
      <c r="N25" s="17">
        <f>ROUND(I25*ROUND(K25, 2), 2)</f>
        <v>175804.31</v>
      </c>
      <c r="O25" s="17">
        <f>M25+N25</f>
        <v>253873.53999999998</v>
      </c>
      <c r="P25" s="17">
        <f>IFERROR(ROUND(SUM(S26,S27,S28,S29)/I25, 2),0)</f>
        <v>1018.25</v>
      </c>
      <c r="Q25" s="19">
        <v>2293</v>
      </c>
      <c r="R25" s="17">
        <f>P25+ROUND(Q25, 2)</f>
        <v>3311.25</v>
      </c>
      <c r="S25" s="17">
        <f>ROUND(P25*I25, 2)</f>
        <v>78069.23</v>
      </c>
      <c r="T25" s="17">
        <f>ROUND(I25*ROUND(Q25, 2), 2)</f>
        <v>175804.31</v>
      </c>
      <c r="U25" s="17">
        <f>S25+T25</f>
        <v>253873.53999999998</v>
      </c>
      <c r="V25" s="9">
        <f>ROUND(P25 / 1.2, 2)</f>
        <v>848.54</v>
      </c>
      <c r="W25" s="9">
        <f>ROUND(Q25 / 1.2, 2)</f>
        <v>1910.83</v>
      </c>
      <c r="X25" s="9">
        <f>ROUND(R25 / 1.2, 2)</f>
        <v>2759.38</v>
      </c>
      <c r="Y25" s="9">
        <f>ROUND(S25 / 1.2, 2)</f>
        <v>65057.69</v>
      </c>
      <c r="Z25" s="9">
        <f>ROUND(T25 / 1.2, 2)</f>
        <v>146503.59</v>
      </c>
      <c r="AA25" s="9">
        <f>Y25+Z25</f>
        <v>211561.28</v>
      </c>
      <c r="AD25" s="4">
        <v>264030256</v>
      </c>
      <c r="AE25" s="4">
        <v>18541173</v>
      </c>
      <c r="AG25" s="4" t="s">
        <v>114</v>
      </c>
      <c r="AH25" s="4" t="s">
        <v>115</v>
      </c>
      <c r="AI25" s="4" t="s">
        <v>59</v>
      </c>
    </row>
    <row r="26" spans="1:35" ht="75" x14ac:dyDescent="0.25">
      <c r="A26" s="10" t="s">
        <v>116</v>
      </c>
      <c r="B26" s="10"/>
      <c r="C26" s="24" t="s">
        <v>117</v>
      </c>
      <c r="D26" s="15"/>
      <c r="E26" s="15"/>
      <c r="F26" s="25" t="s">
        <v>87</v>
      </c>
      <c r="G26" s="26">
        <v>1</v>
      </c>
      <c r="H26" s="26"/>
      <c r="I26" s="26">
        <v>76.67</v>
      </c>
      <c r="J26" s="28">
        <v>102.33</v>
      </c>
      <c r="M26" s="29">
        <f>ROUND(ROUND(J26, 2)*I26, 2)</f>
        <v>7845.64</v>
      </c>
      <c r="P26" s="30">
        <v>102.33</v>
      </c>
      <c r="S26" s="29">
        <f>ROUND(ROUND(P26, 2)*I26, 2)</f>
        <v>7845.64</v>
      </c>
      <c r="V26" s="9">
        <f>ROUND(ROUND(P26, 2)/1.2, 2)</f>
        <v>85.28</v>
      </c>
      <c r="Y26" s="9">
        <f t="shared" ref="Y26:Y44" si="3">ROUND(S26 / 1.2, 2)</f>
        <v>6538.03</v>
      </c>
      <c r="AD26" s="4" t="s">
        <v>118</v>
      </c>
      <c r="AE26" s="4" t="s">
        <v>119</v>
      </c>
      <c r="AF26" s="4" t="s">
        <v>120</v>
      </c>
    </row>
    <row r="27" spans="1:35" ht="37.5" x14ac:dyDescent="0.25">
      <c r="A27" s="10" t="s">
        <v>121</v>
      </c>
      <c r="B27" s="10"/>
      <c r="C27" s="24" t="s">
        <v>122</v>
      </c>
      <c r="D27" s="15"/>
      <c r="E27" s="15"/>
      <c r="F27" s="25" t="s">
        <v>123</v>
      </c>
      <c r="G27" s="26">
        <v>1.42</v>
      </c>
      <c r="H27" s="27"/>
      <c r="I27" s="27">
        <v>357.13</v>
      </c>
      <c r="J27" s="28">
        <v>46.7</v>
      </c>
      <c r="M27" s="29">
        <f>ROUND(ROUND(J27, 2)*I27, 2)</f>
        <v>16677.97</v>
      </c>
      <c r="P27" s="30">
        <v>46.7</v>
      </c>
      <c r="S27" s="29">
        <f>ROUND(ROUND(P27, 2)*I27, 2)</f>
        <v>16677.97</v>
      </c>
      <c r="V27" s="9">
        <f>ROUND(ROUND(P27, 2)/1.2, 2)</f>
        <v>38.92</v>
      </c>
      <c r="Y27" s="9">
        <f t="shared" si="3"/>
        <v>13898.31</v>
      </c>
      <c r="AD27" s="4" t="s">
        <v>124</v>
      </c>
      <c r="AE27" s="4" t="s">
        <v>125</v>
      </c>
      <c r="AF27" s="4" t="s">
        <v>126</v>
      </c>
    </row>
    <row r="28" spans="1:35" ht="37.5" x14ac:dyDescent="0.25">
      <c r="A28" s="10" t="s">
        <v>127</v>
      </c>
      <c r="B28" s="10"/>
      <c r="C28" s="24" t="s">
        <v>128</v>
      </c>
      <c r="D28" s="15"/>
      <c r="E28" s="15" t="s">
        <v>129</v>
      </c>
      <c r="F28" s="25" t="s">
        <v>56</v>
      </c>
      <c r="G28" s="26">
        <v>2.1</v>
      </c>
      <c r="H28" s="26"/>
      <c r="I28" s="26">
        <v>161.00700000000001</v>
      </c>
      <c r="J28" s="28">
        <v>135.53</v>
      </c>
      <c r="M28" s="29">
        <f>ROUND(ROUND(J28, 2)*I28, 2)</f>
        <v>21821.279999999999</v>
      </c>
      <c r="P28" s="30">
        <v>135.53</v>
      </c>
      <c r="S28" s="29">
        <f>ROUND(ROUND(P28, 2)*I28, 2)</f>
        <v>21821.279999999999</v>
      </c>
      <c r="V28" s="9">
        <f>ROUND(ROUND(P28, 2)/1.2, 2)</f>
        <v>112.94</v>
      </c>
      <c r="Y28" s="9">
        <f t="shared" si="3"/>
        <v>18184.400000000001</v>
      </c>
      <c r="AD28" s="4" t="s">
        <v>130</v>
      </c>
      <c r="AE28" s="4" t="s">
        <v>131</v>
      </c>
      <c r="AF28" s="4" t="s">
        <v>132</v>
      </c>
    </row>
    <row r="29" spans="1:35" ht="18.75" x14ac:dyDescent="0.25">
      <c r="A29" s="10" t="s">
        <v>133</v>
      </c>
      <c r="B29" s="10"/>
      <c r="C29" s="37" t="s">
        <v>134</v>
      </c>
      <c r="D29" s="15"/>
      <c r="E29" s="15"/>
      <c r="F29" s="25" t="s">
        <v>123</v>
      </c>
      <c r="G29" s="26">
        <v>4.07</v>
      </c>
      <c r="H29" s="27"/>
      <c r="I29" s="27">
        <v>447.00799999999998</v>
      </c>
      <c r="J29" s="28">
        <v>70.97</v>
      </c>
      <c r="M29" s="29">
        <f>ROUND(ROUND(J29, 2)*I29, 2)</f>
        <v>31724.16</v>
      </c>
      <c r="P29" s="30">
        <v>70.97</v>
      </c>
      <c r="S29" s="29">
        <f>ROUND(ROUND(P29, 2)*I29, 2)</f>
        <v>31724.16</v>
      </c>
      <c r="V29" s="9">
        <f>ROUND(ROUND(P29, 2)/1.2, 2)</f>
        <v>59.14</v>
      </c>
      <c r="Y29" s="9">
        <f t="shared" si="3"/>
        <v>26436.799999999999</v>
      </c>
      <c r="AD29" s="4" t="s">
        <v>135</v>
      </c>
      <c r="AE29" s="4" t="s">
        <v>136</v>
      </c>
      <c r="AF29" s="4" t="s">
        <v>137</v>
      </c>
    </row>
    <row r="30" spans="1:35" ht="37.5" x14ac:dyDescent="0.25">
      <c r="A30" s="10" t="s">
        <v>138</v>
      </c>
      <c r="B30" s="10" t="s">
        <v>111</v>
      </c>
      <c r="C30" s="14" t="s">
        <v>112</v>
      </c>
      <c r="D30" s="15"/>
      <c r="E30" s="15" t="s">
        <v>139</v>
      </c>
      <c r="F30" s="15" t="s">
        <v>56</v>
      </c>
      <c r="G30" s="16">
        <v>1</v>
      </c>
      <c r="H30" s="16"/>
      <c r="I30" s="16">
        <v>4.1500000000000004</v>
      </c>
      <c r="J30" s="17">
        <f>IFERROR(ROUND(SUM(M31,M32,M33,M34)/I30, 2),0)</f>
        <v>2931.5</v>
      </c>
      <c r="K30" s="18">
        <v>2293</v>
      </c>
      <c r="L30" s="17">
        <f>J30+ROUND(K30, 2)</f>
        <v>5224.5</v>
      </c>
      <c r="M30" s="17">
        <f>ROUND(J30*I30, 2)</f>
        <v>12165.73</v>
      </c>
      <c r="N30" s="17">
        <f>ROUND(I30*ROUND(K30, 2), 2)</f>
        <v>9515.9500000000007</v>
      </c>
      <c r="O30" s="17">
        <f>M30+N30</f>
        <v>21681.68</v>
      </c>
      <c r="P30" s="17">
        <f>IFERROR(ROUND(SUM(S31,S32,S33,S34)/I30, 2),0)</f>
        <v>2931.5</v>
      </c>
      <c r="Q30" s="19">
        <v>2293</v>
      </c>
      <c r="R30" s="17">
        <f>P30+ROUND(Q30, 2)</f>
        <v>5224.5</v>
      </c>
      <c r="S30" s="17">
        <f>ROUND(P30*I30, 2)</f>
        <v>12165.73</v>
      </c>
      <c r="T30" s="17">
        <f>ROUND(I30*ROUND(Q30, 2), 2)</f>
        <v>9515.9500000000007</v>
      </c>
      <c r="U30" s="17">
        <f>S30+T30</f>
        <v>21681.68</v>
      </c>
      <c r="V30" s="9">
        <f>ROUND(P30 / 1.2, 2)</f>
        <v>2442.92</v>
      </c>
      <c r="W30" s="9">
        <f>ROUND(Q30 / 1.2, 2)</f>
        <v>1910.83</v>
      </c>
      <c r="X30" s="9">
        <f>ROUND(R30 / 1.2, 2)</f>
        <v>4353.75</v>
      </c>
      <c r="Y30" s="9">
        <f t="shared" si="3"/>
        <v>10138.11</v>
      </c>
      <c r="Z30" s="9">
        <f>ROUND(T30 / 1.2, 2)</f>
        <v>7929.96</v>
      </c>
      <c r="AA30" s="9">
        <f>Y30+Z30</f>
        <v>18068.07</v>
      </c>
      <c r="AD30" s="4">
        <v>264030362</v>
      </c>
      <c r="AE30" s="4">
        <v>19932232</v>
      </c>
      <c r="AG30" s="4" t="s">
        <v>114</v>
      </c>
      <c r="AH30" s="4" t="s">
        <v>115</v>
      </c>
      <c r="AI30" s="4" t="s">
        <v>59</v>
      </c>
    </row>
    <row r="31" spans="1:35" ht="18.75" x14ac:dyDescent="0.25">
      <c r="A31" s="10" t="s">
        <v>140</v>
      </c>
      <c r="B31" s="10"/>
      <c r="C31" s="37" t="s">
        <v>134</v>
      </c>
      <c r="D31" s="15"/>
      <c r="E31" s="15"/>
      <c r="F31" s="25" t="s">
        <v>123</v>
      </c>
      <c r="G31" s="26">
        <v>4.07</v>
      </c>
      <c r="H31" s="27"/>
      <c r="I31" s="27">
        <v>138.78700000000001</v>
      </c>
      <c r="J31" s="28">
        <v>70.97</v>
      </c>
      <c r="M31" s="29">
        <f>ROUND(ROUND(J31, 2)*I31, 2)</f>
        <v>9849.7099999999991</v>
      </c>
      <c r="P31" s="30">
        <v>70.97</v>
      </c>
      <c r="S31" s="29">
        <f>ROUND(ROUND(P31, 2)*I31, 2)</f>
        <v>9849.7099999999991</v>
      </c>
      <c r="V31" s="9">
        <f>ROUND(ROUND(P31, 2)/1.2, 2)</f>
        <v>59.14</v>
      </c>
      <c r="Y31" s="9">
        <f t="shared" si="3"/>
        <v>8208.09</v>
      </c>
      <c r="AD31" s="4" t="s">
        <v>141</v>
      </c>
      <c r="AE31" s="4" t="s">
        <v>142</v>
      </c>
      <c r="AF31" s="4" t="s">
        <v>137</v>
      </c>
    </row>
    <row r="32" spans="1:35" ht="37.5" x14ac:dyDescent="0.25">
      <c r="A32" s="10" t="s">
        <v>143</v>
      </c>
      <c r="B32" s="10"/>
      <c r="C32" s="24" t="s">
        <v>128</v>
      </c>
      <c r="D32" s="15"/>
      <c r="E32" s="15"/>
      <c r="F32" s="25" t="s">
        <v>56</v>
      </c>
      <c r="G32" s="26">
        <v>2.1</v>
      </c>
      <c r="H32" s="26"/>
      <c r="I32" s="26">
        <v>8.7149999999999999</v>
      </c>
      <c r="J32" s="28">
        <v>135.53</v>
      </c>
      <c r="M32" s="29">
        <f>ROUND(ROUND(J32, 2)*I32, 2)</f>
        <v>1181.1400000000001</v>
      </c>
      <c r="P32" s="30">
        <v>135.53</v>
      </c>
      <c r="S32" s="29">
        <f>ROUND(ROUND(P32, 2)*I32, 2)</f>
        <v>1181.1400000000001</v>
      </c>
      <c r="V32" s="9">
        <f>ROUND(ROUND(P32, 2)/1.2, 2)</f>
        <v>112.94</v>
      </c>
      <c r="Y32" s="9">
        <f t="shared" si="3"/>
        <v>984.28</v>
      </c>
      <c r="AD32" s="4" t="s">
        <v>144</v>
      </c>
      <c r="AE32" s="4" t="s">
        <v>145</v>
      </c>
      <c r="AF32" s="4" t="s">
        <v>132</v>
      </c>
    </row>
    <row r="33" spans="1:35" ht="37.5" x14ac:dyDescent="0.25">
      <c r="A33" s="10" t="s">
        <v>146</v>
      </c>
      <c r="B33" s="10"/>
      <c r="C33" s="24" t="s">
        <v>122</v>
      </c>
      <c r="D33" s="15"/>
      <c r="E33" s="15"/>
      <c r="F33" s="25" t="s">
        <v>123</v>
      </c>
      <c r="G33" s="26">
        <v>1.42</v>
      </c>
      <c r="H33" s="27"/>
      <c r="I33" s="27">
        <v>15.208</v>
      </c>
      <c r="J33" s="28">
        <v>46.7</v>
      </c>
      <c r="M33" s="29">
        <f>ROUND(ROUND(J33, 2)*I33, 2)</f>
        <v>710.21</v>
      </c>
      <c r="P33" s="30">
        <v>46.7</v>
      </c>
      <c r="S33" s="29">
        <f>ROUND(ROUND(P33, 2)*I33, 2)</f>
        <v>710.21</v>
      </c>
      <c r="V33" s="9">
        <f>ROUND(ROUND(P33, 2)/1.2, 2)</f>
        <v>38.92</v>
      </c>
      <c r="Y33" s="9">
        <f t="shared" si="3"/>
        <v>591.84</v>
      </c>
      <c r="AD33" s="4" t="s">
        <v>147</v>
      </c>
      <c r="AE33" s="4" t="s">
        <v>148</v>
      </c>
      <c r="AF33" s="4" t="s">
        <v>126</v>
      </c>
    </row>
    <row r="34" spans="1:35" ht="75" x14ac:dyDescent="0.25">
      <c r="A34" s="10" t="s">
        <v>149</v>
      </c>
      <c r="B34" s="10"/>
      <c r="C34" s="24" t="s">
        <v>117</v>
      </c>
      <c r="D34" s="15"/>
      <c r="E34" s="15"/>
      <c r="F34" s="25" t="s">
        <v>87</v>
      </c>
      <c r="G34" s="26">
        <v>1</v>
      </c>
      <c r="H34" s="26"/>
      <c r="I34" s="26">
        <v>4.1500000000000004</v>
      </c>
      <c r="J34" s="28">
        <v>102.33</v>
      </c>
      <c r="M34" s="29">
        <f>ROUND(ROUND(J34, 2)*I34, 2)</f>
        <v>424.67</v>
      </c>
      <c r="P34" s="30">
        <v>102.33</v>
      </c>
      <c r="S34" s="29">
        <f>ROUND(ROUND(P34, 2)*I34, 2)</f>
        <v>424.67</v>
      </c>
      <c r="V34" s="9">
        <f>ROUND(ROUND(P34, 2)/1.2, 2)</f>
        <v>85.28</v>
      </c>
      <c r="Y34" s="9">
        <f t="shared" si="3"/>
        <v>353.89</v>
      </c>
      <c r="AD34" s="4" t="s">
        <v>150</v>
      </c>
      <c r="AE34" s="4" t="s">
        <v>151</v>
      </c>
      <c r="AF34" s="4" t="s">
        <v>120</v>
      </c>
    </row>
    <row r="35" spans="1:35" ht="37.5" x14ac:dyDescent="0.25">
      <c r="A35" s="10" t="s">
        <v>152</v>
      </c>
      <c r="B35" s="10" t="s">
        <v>111</v>
      </c>
      <c r="C35" s="14" t="s">
        <v>112</v>
      </c>
      <c r="D35" s="15"/>
      <c r="E35" s="15" t="s">
        <v>153</v>
      </c>
      <c r="F35" s="15" t="s">
        <v>56</v>
      </c>
      <c r="G35" s="16">
        <v>1</v>
      </c>
      <c r="H35" s="16"/>
      <c r="I35" s="16">
        <v>35.130000000000003</v>
      </c>
      <c r="J35" s="17">
        <f>IFERROR(ROUND(SUM(M36,M37,M38,M39)/I35, 2),0)</f>
        <v>1023.61</v>
      </c>
      <c r="K35" s="18">
        <v>2293</v>
      </c>
      <c r="L35" s="17">
        <f>J35+ROUND(K35, 2)</f>
        <v>3316.61</v>
      </c>
      <c r="M35" s="17">
        <f>ROUND(J35*I35, 2)</f>
        <v>35959.42</v>
      </c>
      <c r="N35" s="17">
        <f>ROUND(I35*ROUND(K35, 2), 2)</f>
        <v>80553.09</v>
      </c>
      <c r="O35" s="17">
        <f>M35+N35</f>
        <v>116512.51</v>
      </c>
      <c r="P35" s="17">
        <f>IFERROR(ROUND(SUM(S36,S37,S38,S39)/I35, 2),0)</f>
        <v>1023.61</v>
      </c>
      <c r="Q35" s="19">
        <v>2293</v>
      </c>
      <c r="R35" s="17">
        <f>P35+ROUND(Q35, 2)</f>
        <v>3316.61</v>
      </c>
      <c r="S35" s="17">
        <f>ROUND(P35*I35, 2)</f>
        <v>35959.42</v>
      </c>
      <c r="T35" s="17">
        <f>ROUND(I35*ROUND(Q35, 2), 2)</f>
        <v>80553.09</v>
      </c>
      <c r="U35" s="17">
        <f>S35+T35</f>
        <v>116512.51</v>
      </c>
      <c r="V35" s="9">
        <f>ROUND(P35 / 1.2, 2)</f>
        <v>853.01</v>
      </c>
      <c r="W35" s="9">
        <f>ROUND(Q35 / 1.2, 2)</f>
        <v>1910.83</v>
      </c>
      <c r="X35" s="9">
        <f>ROUND(R35 / 1.2, 2)</f>
        <v>2763.84</v>
      </c>
      <c r="Y35" s="9">
        <f t="shared" si="3"/>
        <v>29966.18</v>
      </c>
      <c r="Z35" s="9">
        <f>ROUND(T35 / 1.2, 2)</f>
        <v>67127.58</v>
      </c>
      <c r="AA35" s="9">
        <f>Y35+Z35</f>
        <v>97093.760000000009</v>
      </c>
      <c r="AD35" s="4">
        <v>264030363</v>
      </c>
      <c r="AE35" s="4">
        <v>19932231</v>
      </c>
      <c r="AG35" s="4" t="s">
        <v>114</v>
      </c>
      <c r="AH35" s="4" t="s">
        <v>115</v>
      </c>
      <c r="AI35" s="4" t="s">
        <v>59</v>
      </c>
    </row>
    <row r="36" spans="1:35" ht="75" x14ac:dyDescent="0.25">
      <c r="A36" s="10" t="s">
        <v>154</v>
      </c>
      <c r="B36" s="10"/>
      <c r="C36" s="24" t="s">
        <v>117</v>
      </c>
      <c r="D36" s="15"/>
      <c r="E36" s="15"/>
      <c r="F36" s="25" t="s">
        <v>87</v>
      </c>
      <c r="G36" s="26">
        <v>1</v>
      </c>
      <c r="H36" s="26"/>
      <c r="I36" s="26">
        <v>35.130000000000003</v>
      </c>
      <c r="J36" s="28">
        <v>102.33</v>
      </c>
      <c r="M36" s="29">
        <f>ROUND(ROUND(J36, 2)*I36, 2)</f>
        <v>3594.85</v>
      </c>
      <c r="P36" s="30">
        <v>102.33</v>
      </c>
      <c r="S36" s="29">
        <f>ROUND(ROUND(P36, 2)*I36, 2)</f>
        <v>3594.85</v>
      </c>
      <c r="V36" s="9">
        <f>ROUND(ROUND(P36, 2)/1.2, 2)</f>
        <v>85.28</v>
      </c>
      <c r="Y36" s="9">
        <f t="shared" si="3"/>
        <v>2995.71</v>
      </c>
      <c r="AD36" s="4" t="s">
        <v>155</v>
      </c>
      <c r="AE36" s="4" t="s">
        <v>156</v>
      </c>
      <c r="AF36" s="4" t="s">
        <v>120</v>
      </c>
    </row>
    <row r="37" spans="1:35" ht="37.5" x14ac:dyDescent="0.25">
      <c r="A37" s="10" t="s">
        <v>157</v>
      </c>
      <c r="B37" s="10"/>
      <c r="C37" s="24" t="s">
        <v>128</v>
      </c>
      <c r="D37" s="15"/>
      <c r="E37" s="15"/>
      <c r="F37" s="25" t="s">
        <v>56</v>
      </c>
      <c r="G37" s="26">
        <v>2.1</v>
      </c>
      <c r="H37" s="26"/>
      <c r="I37" s="26">
        <v>73.772999999999996</v>
      </c>
      <c r="J37" s="28">
        <v>135.53</v>
      </c>
      <c r="M37" s="29">
        <f>ROUND(ROUND(J37, 2)*I37, 2)</f>
        <v>9998.4500000000007</v>
      </c>
      <c r="P37" s="30">
        <v>135.53</v>
      </c>
      <c r="S37" s="29">
        <f>ROUND(ROUND(P37, 2)*I37, 2)</f>
        <v>9998.4500000000007</v>
      </c>
      <c r="V37" s="9">
        <f>ROUND(ROUND(P37, 2)/1.2, 2)</f>
        <v>112.94</v>
      </c>
      <c r="Y37" s="9">
        <f t="shared" si="3"/>
        <v>8332.0400000000009</v>
      </c>
      <c r="AD37" s="4" t="s">
        <v>158</v>
      </c>
      <c r="AE37" s="4" t="s">
        <v>159</v>
      </c>
      <c r="AF37" s="4" t="s">
        <v>132</v>
      </c>
    </row>
    <row r="38" spans="1:35" ht="18.75" x14ac:dyDescent="0.25">
      <c r="A38" s="10" t="s">
        <v>160</v>
      </c>
      <c r="B38" s="10"/>
      <c r="C38" s="37" t="s">
        <v>134</v>
      </c>
      <c r="D38" s="15"/>
      <c r="E38" s="15"/>
      <c r="F38" s="25" t="s">
        <v>123</v>
      </c>
      <c r="G38" s="26">
        <v>4.07</v>
      </c>
      <c r="H38" s="27"/>
      <c r="I38" s="27">
        <v>190.476</v>
      </c>
      <c r="J38" s="28">
        <v>70.97</v>
      </c>
      <c r="M38" s="29">
        <f>ROUND(ROUND(J38, 2)*I38, 2)</f>
        <v>13518.08</v>
      </c>
      <c r="P38" s="30">
        <v>70.97</v>
      </c>
      <c r="S38" s="29">
        <f>ROUND(ROUND(P38, 2)*I38, 2)</f>
        <v>13518.08</v>
      </c>
      <c r="V38" s="9">
        <f>ROUND(ROUND(P38, 2)/1.2, 2)</f>
        <v>59.14</v>
      </c>
      <c r="Y38" s="9">
        <f t="shared" si="3"/>
        <v>11265.07</v>
      </c>
      <c r="AD38" s="4" t="s">
        <v>161</v>
      </c>
      <c r="AE38" s="4" t="s">
        <v>162</v>
      </c>
      <c r="AF38" s="4" t="s">
        <v>137</v>
      </c>
    </row>
    <row r="39" spans="1:35" ht="18.75" x14ac:dyDescent="0.25">
      <c r="A39" s="10" t="s">
        <v>163</v>
      </c>
      <c r="B39" s="10"/>
      <c r="C39" s="37" t="s">
        <v>164</v>
      </c>
      <c r="D39" s="15"/>
      <c r="E39" s="15"/>
      <c r="F39" s="25" t="s">
        <v>123</v>
      </c>
      <c r="G39" s="26">
        <v>1.42</v>
      </c>
      <c r="H39" s="27"/>
      <c r="I39" s="27">
        <v>155.88800000000001</v>
      </c>
      <c r="J39" s="28">
        <v>56.76</v>
      </c>
      <c r="M39" s="29">
        <f>ROUND(ROUND(J39, 2)*I39, 2)</f>
        <v>8848.2000000000007</v>
      </c>
      <c r="P39" s="30">
        <v>56.76</v>
      </c>
      <c r="S39" s="29">
        <f>ROUND(ROUND(P39, 2)*I39, 2)</f>
        <v>8848.2000000000007</v>
      </c>
      <c r="V39" s="9">
        <f>ROUND(ROUND(P39, 2)/1.2, 2)</f>
        <v>47.3</v>
      </c>
      <c r="Y39" s="9">
        <f t="shared" si="3"/>
        <v>7373.5</v>
      </c>
      <c r="AD39" s="4" t="s">
        <v>165</v>
      </c>
      <c r="AE39" s="4" t="s">
        <v>166</v>
      </c>
      <c r="AF39" s="4" t="s">
        <v>167</v>
      </c>
    </row>
    <row r="40" spans="1:35" ht="131.25" x14ac:dyDescent="0.25">
      <c r="A40" s="10" t="s">
        <v>168</v>
      </c>
      <c r="B40" s="10" t="s">
        <v>169</v>
      </c>
      <c r="C40" s="14" t="s">
        <v>170</v>
      </c>
      <c r="D40" s="15" t="s">
        <v>75</v>
      </c>
      <c r="E40" s="15" t="s">
        <v>171</v>
      </c>
      <c r="F40" s="15" t="s">
        <v>56</v>
      </c>
      <c r="G40" s="16">
        <v>1</v>
      </c>
      <c r="H40" s="16"/>
      <c r="I40" s="16">
        <v>0</v>
      </c>
      <c r="J40" s="17">
        <f>IFERROR(ROUND(SUM(M41,M42,M43,M44)/I40, 2),0)</f>
        <v>0</v>
      </c>
      <c r="K40" s="18">
        <v>1064</v>
      </c>
      <c r="L40" s="17">
        <f>J40+ROUND(K40, 2)</f>
        <v>1064</v>
      </c>
      <c r="M40" s="17">
        <f>ROUND(J40*I40, 2)</f>
        <v>0</v>
      </c>
      <c r="N40" s="17">
        <f>ROUND(I40*ROUND(K40, 2), 2)</f>
        <v>0</v>
      </c>
      <c r="O40" s="17">
        <f>M40+N40</f>
        <v>0</v>
      </c>
      <c r="P40" s="17">
        <f>IFERROR(ROUND(SUM(S41,S42,S43,S44)/I40, 2),0)</f>
        <v>0</v>
      </c>
      <c r="Q40" s="18">
        <v>1064</v>
      </c>
      <c r="R40" s="17">
        <f>P40+ROUND(Q40, 2)</f>
        <v>1064</v>
      </c>
      <c r="S40" s="17">
        <f>ROUND(P40*I40, 2)</f>
        <v>0</v>
      </c>
      <c r="T40" s="17">
        <f>ROUND(I40*ROUND(Q40, 2), 2)</f>
        <v>0</v>
      </c>
      <c r="U40" s="17">
        <f>S40+T40</f>
        <v>0</v>
      </c>
      <c r="V40" s="9">
        <f>ROUND(P40 / 1.2, 2)</f>
        <v>0</v>
      </c>
      <c r="W40" s="9">
        <f>ROUND(Q40 / 1.2, 2)</f>
        <v>886.67</v>
      </c>
      <c r="X40" s="9">
        <f>ROUND(R40 / 1.2, 2)</f>
        <v>886.67</v>
      </c>
      <c r="Y40" s="9">
        <f t="shared" si="3"/>
        <v>0</v>
      </c>
      <c r="Z40" s="9">
        <f>ROUND(T40 / 1.2, 2)</f>
        <v>0</v>
      </c>
      <c r="AA40" s="9">
        <f>Y40+Z40</f>
        <v>0</v>
      </c>
      <c r="AD40" s="4">
        <v>264030258</v>
      </c>
      <c r="AE40" s="4">
        <v>16084977</v>
      </c>
      <c r="AG40" s="4" t="s">
        <v>172</v>
      </c>
      <c r="AH40" s="4" t="s">
        <v>173</v>
      </c>
      <c r="AI40" s="4" t="s">
        <v>59</v>
      </c>
    </row>
    <row r="41" spans="1:35" ht="75" x14ac:dyDescent="0.25">
      <c r="A41" s="10" t="s">
        <v>175</v>
      </c>
      <c r="B41" s="10"/>
      <c r="C41" s="24" t="s">
        <v>176</v>
      </c>
      <c r="D41" s="15"/>
      <c r="E41" s="15"/>
      <c r="F41" s="25" t="s">
        <v>87</v>
      </c>
      <c r="G41" s="26">
        <v>1</v>
      </c>
      <c r="H41" s="26"/>
      <c r="I41" s="26">
        <v>0</v>
      </c>
      <c r="J41" s="28">
        <v>43.7</v>
      </c>
      <c r="M41" s="29">
        <f>ROUND(ROUND(J41, 2)*I41, 2)</f>
        <v>0</v>
      </c>
      <c r="P41" s="28">
        <v>43.7</v>
      </c>
      <c r="S41" s="29">
        <f>ROUND(ROUND(P41, 2)*I41, 2)</f>
        <v>0</v>
      </c>
      <c r="V41" s="9">
        <f>ROUND(ROUND(P41, 2)/1.2, 2)</f>
        <v>36.42</v>
      </c>
      <c r="Y41" s="9">
        <f t="shared" si="3"/>
        <v>0</v>
      </c>
      <c r="AD41" s="4" t="s">
        <v>177</v>
      </c>
      <c r="AE41" s="4" t="s">
        <v>178</v>
      </c>
      <c r="AF41" s="4" t="s">
        <v>179</v>
      </c>
    </row>
    <row r="42" spans="1:35" ht="18.75" x14ac:dyDescent="0.25">
      <c r="A42" s="10" t="s">
        <v>182</v>
      </c>
      <c r="B42" s="10"/>
      <c r="C42" s="24" t="s">
        <v>183</v>
      </c>
      <c r="D42" s="15"/>
      <c r="E42" s="15"/>
      <c r="F42" s="25" t="s">
        <v>123</v>
      </c>
      <c r="G42" s="26">
        <v>2.1</v>
      </c>
      <c r="H42" s="26"/>
      <c r="I42" s="26">
        <v>0</v>
      </c>
      <c r="J42" s="28">
        <v>95.07</v>
      </c>
      <c r="M42" s="29">
        <f>ROUND(ROUND(J42, 2)*I42, 2)</f>
        <v>0</v>
      </c>
      <c r="P42" s="28">
        <v>95.07</v>
      </c>
      <c r="S42" s="29">
        <f>ROUND(ROUND(P42, 2)*I42, 2)</f>
        <v>0</v>
      </c>
      <c r="V42" s="9">
        <f>ROUND(ROUND(P42, 2)/1.2, 2)</f>
        <v>79.23</v>
      </c>
      <c r="Y42" s="9">
        <f t="shared" si="3"/>
        <v>0</v>
      </c>
      <c r="AD42" s="4" t="s">
        <v>184</v>
      </c>
      <c r="AE42" s="4" t="s">
        <v>185</v>
      </c>
      <c r="AF42" s="4" t="s">
        <v>186</v>
      </c>
    </row>
    <row r="43" spans="1:35" ht="18.75" x14ac:dyDescent="0.25">
      <c r="A43" s="10" t="s">
        <v>189</v>
      </c>
      <c r="B43" s="10"/>
      <c r="C43" s="24" t="s">
        <v>190</v>
      </c>
      <c r="D43" s="15"/>
      <c r="E43" s="15"/>
      <c r="F43" s="25" t="s">
        <v>123</v>
      </c>
      <c r="G43" s="26">
        <v>0.8</v>
      </c>
      <c r="H43" s="26"/>
      <c r="I43" s="26">
        <v>0</v>
      </c>
      <c r="J43" s="28">
        <v>69.39</v>
      </c>
      <c r="M43" s="29">
        <f>ROUND(ROUND(J43, 2)*I43, 2)</f>
        <v>0</v>
      </c>
      <c r="P43" s="28">
        <v>69.39</v>
      </c>
      <c r="S43" s="29">
        <f>ROUND(ROUND(P43, 2)*I43, 2)</f>
        <v>0</v>
      </c>
      <c r="V43" s="9">
        <f>ROUND(ROUND(P43, 2)/1.2, 2)</f>
        <v>57.83</v>
      </c>
      <c r="Y43" s="9">
        <f t="shared" si="3"/>
        <v>0</v>
      </c>
      <c r="AD43" s="4" t="s">
        <v>191</v>
      </c>
      <c r="AE43" s="4" t="s">
        <v>192</v>
      </c>
      <c r="AF43" s="4" t="s">
        <v>193</v>
      </c>
    </row>
    <row r="44" spans="1:35" ht="18.75" x14ac:dyDescent="0.25">
      <c r="A44" s="10" t="s">
        <v>196</v>
      </c>
      <c r="B44" s="10"/>
      <c r="C44" s="37" t="s">
        <v>197</v>
      </c>
      <c r="D44" s="15"/>
      <c r="E44" s="15"/>
      <c r="F44" s="25" t="s">
        <v>56</v>
      </c>
      <c r="G44" s="26">
        <v>1.1000000000000001</v>
      </c>
      <c r="H44" s="26"/>
      <c r="I44" s="26">
        <v>0</v>
      </c>
      <c r="J44" s="28">
        <v>207.33</v>
      </c>
      <c r="M44" s="29">
        <f>ROUND(ROUND(J44, 2)*I44, 2)</f>
        <v>0</v>
      </c>
      <c r="P44" s="28">
        <v>207.33</v>
      </c>
      <c r="S44" s="29">
        <f>ROUND(ROUND(P44, 2)*I44, 2)</f>
        <v>0</v>
      </c>
      <c r="V44" s="9">
        <f>ROUND(ROUND(P44, 2)/1.2, 2)</f>
        <v>172.78</v>
      </c>
      <c r="Y44" s="9">
        <f t="shared" si="3"/>
        <v>0</v>
      </c>
      <c r="AD44" s="4" t="s">
        <v>198</v>
      </c>
      <c r="AE44" s="4" t="s">
        <v>199</v>
      </c>
      <c r="AF44" s="4" t="s">
        <v>200</v>
      </c>
    </row>
    <row r="45" spans="1:35" ht="17.100000000000001" customHeight="1" x14ac:dyDescent="0.25">
      <c r="A45" s="10" t="s">
        <v>203</v>
      </c>
      <c r="B45" s="10" t="s">
        <v>204</v>
      </c>
      <c r="C45" s="116" t="s">
        <v>205</v>
      </c>
      <c r="D45" s="117"/>
      <c r="E45" s="117"/>
      <c r="F45" s="117"/>
      <c r="G45" s="117"/>
      <c r="H45" s="117"/>
      <c r="I45" s="118"/>
      <c r="M45" s="6">
        <f>SUM(M46)</f>
        <v>403639.46</v>
      </c>
      <c r="N45" s="6">
        <f>SUM(N46)</f>
        <v>287855.40000000002</v>
      </c>
      <c r="O45" s="6">
        <f>SUM(O46)</f>
        <v>691494.8600000001</v>
      </c>
      <c r="S45" s="6">
        <f>SUM(S46)</f>
        <v>403639.46</v>
      </c>
      <c r="T45" s="6">
        <f>SUM(T46)</f>
        <v>287855.40000000002</v>
      </c>
      <c r="U45" s="6">
        <f>SUM(U46)</f>
        <v>691494.8600000001</v>
      </c>
      <c r="Y45" s="9">
        <f>SUM(Y46)</f>
        <v>336366.22</v>
      </c>
      <c r="Z45" s="9">
        <f>SUM(Z46)</f>
        <v>239879.5</v>
      </c>
      <c r="AA45" s="9">
        <f>SUM(AA46)</f>
        <v>576245.72</v>
      </c>
      <c r="AD45" s="4">
        <v>264030259</v>
      </c>
      <c r="AE45" s="4">
        <v>19930591</v>
      </c>
    </row>
    <row r="46" spans="1:35" ht="37.5" x14ac:dyDescent="0.25">
      <c r="A46" s="10" t="s">
        <v>206</v>
      </c>
      <c r="B46" s="10" t="s">
        <v>207</v>
      </c>
      <c r="C46" s="14" t="s">
        <v>208</v>
      </c>
      <c r="D46" s="15" t="s">
        <v>75</v>
      </c>
      <c r="E46" s="15" t="s">
        <v>76</v>
      </c>
      <c r="F46" s="15" t="s">
        <v>209</v>
      </c>
      <c r="G46" s="16">
        <v>1</v>
      </c>
      <c r="H46" s="16"/>
      <c r="I46" s="16">
        <v>4.9000000000000004</v>
      </c>
      <c r="J46" s="17">
        <f>IFERROR(ROUND(SUM(M47,M48,M49)/I46, 2),0)</f>
        <v>82375.399999999994</v>
      </c>
      <c r="K46" s="18">
        <v>58746</v>
      </c>
      <c r="L46" s="17">
        <f>J46+ROUND(K46, 2)</f>
        <v>141121.4</v>
      </c>
      <c r="M46" s="17">
        <f>ROUND(J46*I46, 2)</f>
        <v>403639.46</v>
      </c>
      <c r="N46" s="17">
        <f>ROUND(I46*ROUND(K46, 2), 2)</f>
        <v>287855.40000000002</v>
      </c>
      <c r="O46" s="17">
        <f>M46+N46</f>
        <v>691494.8600000001</v>
      </c>
      <c r="P46" s="17">
        <f>IFERROR(ROUND(SUM(S47,S48,S49)/I46, 2),0)</f>
        <v>82375.399999999994</v>
      </c>
      <c r="Q46" s="19">
        <v>58746</v>
      </c>
      <c r="R46" s="17">
        <f>P46+ROUND(Q46, 2)</f>
        <v>141121.4</v>
      </c>
      <c r="S46" s="17">
        <f>ROUND(P46*I46, 2)</f>
        <v>403639.46</v>
      </c>
      <c r="T46" s="17">
        <f>ROUND(I46*ROUND(Q46, 2), 2)</f>
        <v>287855.40000000002</v>
      </c>
      <c r="U46" s="17">
        <f>S46+T46</f>
        <v>691494.8600000001</v>
      </c>
      <c r="V46" s="9">
        <f>ROUND(P46 / 1.2, 2)</f>
        <v>68646.17</v>
      </c>
      <c r="W46" s="9">
        <f>ROUND(Q46 / 1.2, 2)</f>
        <v>48955</v>
      </c>
      <c r="X46" s="9">
        <f>ROUND(R46 / 1.2, 2)</f>
        <v>117601.17</v>
      </c>
      <c r="Y46" s="9">
        <f>ROUND(S46 / 1.2, 2)</f>
        <v>336366.22</v>
      </c>
      <c r="Z46" s="9">
        <f>ROUND(T46 / 1.2, 2)</f>
        <v>239879.5</v>
      </c>
      <c r="AA46" s="9">
        <f>Y46+Z46</f>
        <v>576245.72</v>
      </c>
      <c r="AD46" s="4">
        <v>264030261</v>
      </c>
      <c r="AE46" s="4">
        <v>19930594</v>
      </c>
      <c r="AG46" s="4" t="s">
        <v>210</v>
      </c>
      <c r="AH46" s="4" t="s">
        <v>211</v>
      </c>
      <c r="AI46" s="4" t="s">
        <v>59</v>
      </c>
    </row>
    <row r="47" spans="1:35" ht="18.75" x14ac:dyDescent="0.25">
      <c r="A47" s="10" t="s">
        <v>212</v>
      </c>
      <c r="B47" s="10"/>
      <c r="C47" s="24" t="s">
        <v>213</v>
      </c>
      <c r="D47" s="15"/>
      <c r="E47" s="15"/>
      <c r="F47" s="25" t="s">
        <v>103</v>
      </c>
      <c r="G47" s="26">
        <v>1</v>
      </c>
      <c r="H47" s="27"/>
      <c r="I47" s="27">
        <v>2</v>
      </c>
      <c r="J47" s="28">
        <v>0</v>
      </c>
      <c r="M47" s="29">
        <f>ROUND(ROUND(J47, 2)*I47, 2)</f>
        <v>0</v>
      </c>
      <c r="P47" s="30">
        <v>0</v>
      </c>
      <c r="S47" s="29">
        <f>ROUND(ROUND(P47, 2)*I47, 2)</f>
        <v>0</v>
      </c>
      <c r="V47" s="9">
        <f>ROUND(ROUND(P47, 2)/1.2, 2)</f>
        <v>0</v>
      </c>
      <c r="Y47" s="9">
        <f>ROUND(S47 / 1.2, 2)</f>
        <v>0</v>
      </c>
      <c r="AD47" s="4" t="s">
        <v>214</v>
      </c>
      <c r="AE47" s="4" t="s">
        <v>215</v>
      </c>
      <c r="AF47" s="4" t="s">
        <v>216</v>
      </c>
    </row>
    <row r="48" spans="1:35" ht="18.75" x14ac:dyDescent="0.25">
      <c r="A48" s="10" t="s">
        <v>217</v>
      </c>
      <c r="B48" s="10"/>
      <c r="C48" s="24" t="s">
        <v>218</v>
      </c>
      <c r="D48" s="15"/>
      <c r="E48" s="15"/>
      <c r="F48" s="25" t="s">
        <v>209</v>
      </c>
      <c r="G48" s="26">
        <v>1.03</v>
      </c>
      <c r="H48" s="27"/>
      <c r="I48" s="27">
        <v>5.0469999999999997</v>
      </c>
      <c r="J48" s="28">
        <v>77175</v>
      </c>
      <c r="M48" s="29">
        <f>ROUND(ROUND(J48, 2)*I48, 2)</f>
        <v>389502.23</v>
      </c>
      <c r="P48" s="30">
        <v>77175</v>
      </c>
      <c r="S48" s="29">
        <f>ROUND(ROUND(P48, 2)*I48, 2)</f>
        <v>389502.23</v>
      </c>
      <c r="V48" s="9">
        <f>ROUND(ROUND(P48, 2)/1.2, 2)</f>
        <v>64312.5</v>
      </c>
      <c r="Y48" s="9">
        <f>ROUND(S48 / 1.2, 2)</f>
        <v>324585.19</v>
      </c>
      <c r="AD48" s="4" t="s">
        <v>219</v>
      </c>
      <c r="AE48" s="4" t="s">
        <v>220</v>
      </c>
      <c r="AF48" s="4" t="s">
        <v>221</v>
      </c>
    </row>
    <row r="49" spans="1:35" ht="37.5" x14ac:dyDescent="0.25">
      <c r="A49" s="10" t="s">
        <v>222</v>
      </c>
      <c r="B49" s="10"/>
      <c r="C49" s="24" t="s">
        <v>223</v>
      </c>
      <c r="D49" s="15"/>
      <c r="E49" s="15"/>
      <c r="F49" s="25" t="s">
        <v>87</v>
      </c>
      <c r="G49" s="26">
        <v>1</v>
      </c>
      <c r="H49" s="26"/>
      <c r="I49" s="26">
        <v>4.9000000000000004</v>
      </c>
      <c r="J49" s="28">
        <v>2885.15</v>
      </c>
      <c r="M49" s="29">
        <f>ROUND(ROUND(J49, 2)*I49, 2)</f>
        <v>14137.24</v>
      </c>
      <c r="P49" s="30">
        <v>2885.15</v>
      </c>
      <c r="S49" s="29">
        <f>ROUND(ROUND(P49, 2)*I49, 2)</f>
        <v>14137.24</v>
      </c>
      <c r="V49" s="9">
        <f>ROUND(ROUND(P49, 2)/1.2, 2)</f>
        <v>2404.29</v>
      </c>
      <c r="Y49" s="9">
        <f>ROUND(S49 / 1.2, 2)</f>
        <v>11781.03</v>
      </c>
      <c r="AD49" s="4" t="s">
        <v>224</v>
      </c>
      <c r="AE49" s="4" t="s">
        <v>225</v>
      </c>
      <c r="AF49" s="4" t="s">
        <v>226</v>
      </c>
    </row>
    <row r="50" spans="1:35" ht="17.100000000000001" customHeight="1" x14ac:dyDescent="0.25">
      <c r="A50" s="10" t="s">
        <v>227</v>
      </c>
      <c r="B50" s="10" t="s">
        <v>228</v>
      </c>
      <c r="C50" s="116" t="s">
        <v>229</v>
      </c>
      <c r="D50" s="117"/>
      <c r="E50" s="117"/>
      <c r="F50" s="117"/>
      <c r="G50" s="117"/>
      <c r="H50" s="117"/>
      <c r="I50" s="118"/>
      <c r="M50" s="6">
        <f t="shared" ref="M50:O51" si="4">SUM(M51)</f>
        <v>2859762.0000000005</v>
      </c>
      <c r="N50" s="6">
        <f t="shared" si="4"/>
        <v>8239501.1899999995</v>
      </c>
      <c r="O50" s="6">
        <f t="shared" si="4"/>
        <v>11099263.189999999</v>
      </c>
      <c r="S50" s="6">
        <f t="shared" ref="S50:U51" si="5">SUM(S51)</f>
        <v>2824002.58</v>
      </c>
      <c r="T50" s="6">
        <f t="shared" si="5"/>
        <v>8239501.1899999995</v>
      </c>
      <c r="U50" s="6">
        <f t="shared" si="5"/>
        <v>11063503.769999998</v>
      </c>
      <c r="Y50" s="9">
        <f t="shared" ref="Y50:AA51" si="6">SUM(Y51)</f>
        <v>2353335.5300000003</v>
      </c>
      <c r="Z50" s="9">
        <f t="shared" si="6"/>
        <v>6866250.9600000018</v>
      </c>
      <c r="AA50" s="9">
        <f t="shared" si="6"/>
        <v>9219586.4900000002</v>
      </c>
      <c r="AD50" s="4">
        <v>264030262</v>
      </c>
      <c r="AE50" s="4">
        <v>16075339</v>
      </c>
    </row>
    <row r="51" spans="1:35" ht="17.100000000000001" customHeight="1" x14ac:dyDescent="0.25">
      <c r="A51" s="10" t="s">
        <v>230</v>
      </c>
      <c r="B51" s="10" t="s">
        <v>231</v>
      </c>
      <c r="C51" s="116" t="s">
        <v>232</v>
      </c>
      <c r="D51" s="117"/>
      <c r="E51" s="117"/>
      <c r="F51" s="117"/>
      <c r="G51" s="117"/>
      <c r="H51" s="117"/>
      <c r="I51" s="118"/>
      <c r="M51" s="6">
        <f t="shared" si="4"/>
        <v>2859762.0000000005</v>
      </c>
      <c r="N51" s="6">
        <f t="shared" si="4"/>
        <v>8239501.1899999995</v>
      </c>
      <c r="O51" s="6">
        <f t="shared" si="4"/>
        <v>11099263.189999999</v>
      </c>
      <c r="S51" s="6">
        <f t="shared" si="5"/>
        <v>2824002.58</v>
      </c>
      <c r="T51" s="6">
        <f t="shared" si="5"/>
        <v>8239501.1899999995</v>
      </c>
      <c r="U51" s="6">
        <f t="shared" si="5"/>
        <v>11063503.769999998</v>
      </c>
      <c r="Y51" s="9">
        <f t="shared" si="6"/>
        <v>2353335.5300000003</v>
      </c>
      <c r="Z51" s="9">
        <f t="shared" si="6"/>
        <v>6866250.9600000018</v>
      </c>
      <c r="AA51" s="9">
        <f t="shared" si="6"/>
        <v>9219586.4900000002</v>
      </c>
      <c r="AD51" s="4">
        <v>264030263</v>
      </c>
      <c r="AE51" s="4">
        <v>16075340</v>
      </c>
    </row>
    <row r="52" spans="1:35" ht="17.100000000000001" customHeight="1" x14ac:dyDescent="0.25">
      <c r="A52" s="10" t="s">
        <v>233</v>
      </c>
      <c r="B52" s="10" t="s">
        <v>234</v>
      </c>
      <c r="C52" s="116" t="s">
        <v>235</v>
      </c>
      <c r="D52" s="117"/>
      <c r="E52" s="117"/>
      <c r="F52" s="117"/>
      <c r="G52" s="117"/>
      <c r="H52" s="117"/>
      <c r="I52" s="118"/>
      <c r="M52" s="6">
        <f>SUM(M53,M129,M360,M393)</f>
        <v>2859762.0000000005</v>
      </c>
      <c r="N52" s="6">
        <f>SUM(N53,N129,N360,N393)</f>
        <v>8239501.1899999995</v>
      </c>
      <c r="O52" s="6">
        <f>SUM(O53,O129,O360,O393)</f>
        <v>11099263.189999999</v>
      </c>
      <c r="S52" s="6">
        <f>SUM(S53,S129,S360,S393)</f>
        <v>2824002.58</v>
      </c>
      <c r="T52" s="6">
        <f>SUM(T53,T129,T360,T393)</f>
        <v>8239501.1899999995</v>
      </c>
      <c r="U52" s="6">
        <f>SUM(U53,U129,U360,U393)</f>
        <v>11063503.769999998</v>
      </c>
      <c r="Y52" s="9">
        <f>SUM(Y53,Y129,Y360,Y393)</f>
        <v>2353335.5300000003</v>
      </c>
      <c r="Z52" s="9">
        <f>SUM(Z53,Z129,Z360,Z393)</f>
        <v>6866250.9600000018</v>
      </c>
      <c r="AA52" s="9">
        <f>SUM(AA53,AA129,AA360,AA393)</f>
        <v>9219586.4900000002</v>
      </c>
      <c r="AD52" s="4">
        <v>264030264</v>
      </c>
      <c r="AE52" s="4">
        <v>16075341</v>
      </c>
    </row>
    <row r="53" spans="1:35" ht="17.100000000000001" customHeight="1" x14ac:dyDescent="0.25">
      <c r="A53" s="10" t="s">
        <v>236</v>
      </c>
      <c r="B53" s="10" t="s">
        <v>237</v>
      </c>
      <c r="C53" s="116" t="s">
        <v>238</v>
      </c>
      <c r="D53" s="117"/>
      <c r="E53" s="117"/>
      <c r="F53" s="117"/>
      <c r="G53" s="117"/>
      <c r="H53" s="117"/>
      <c r="I53" s="118"/>
      <c r="M53" s="6">
        <f>SUM(M54,M84,M93)</f>
        <v>1610325.73</v>
      </c>
      <c r="N53" s="6">
        <f>SUM(N54,N84,N93)</f>
        <v>1747035.56</v>
      </c>
      <c r="O53" s="6">
        <f>SUM(O54,O84,O93)</f>
        <v>3357361.29</v>
      </c>
      <c r="S53" s="6">
        <f>SUM(S54,S84,S93)</f>
        <v>1610325.73</v>
      </c>
      <c r="T53" s="6">
        <f>SUM(T54,T84,T93)</f>
        <v>1747035.56</v>
      </c>
      <c r="U53" s="6">
        <f>SUM(U54,U84,U93)</f>
        <v>3357361.29</v>
      </c>
      <c r="Y53" s="9">
        <f>SUM(Y54,Y84,Y93)</f>
        <v>1341938.1200000001</v>
      </c>
      <c r="Z53" s="9">
        <f>SUM(Z54,Z84,Z93)</f>
        <v>1455862.9600000002</v>
      </c>
      <c r="AA53" s="9">
        <f>SUM(AA54,AA84,AA93)</f>
        <v>2797801.08</v>
      </c>
      <c r="AD53" s="4">
        <v>264030265</v>
      </c>
      <c r="AE53" s="4">
        <v>16075342</v>
      </c>
    </row>
    <row r="54" spans="1:35" ht="17.100000000000001" customHeight="1" x14ac:dyDescent="0.25">
      <c r="A54" s="10" t="s">
        <v>239</v>
      </c>
      <c r="B54" s="10" t="s">
        <v>240</v>
      </c>
      <c r="C54" s="116" t="s">
        <v>241</v>
      </c>
      <c r="D54" s="117"/>
      <c r="E54" s="117"/>
      <c r="F54" s="117"/>
      <c r="G54" s="117"/>
      <c r="H54" s="117"/>
      <c r="I54" s="118"/>
      <c r="M54" s="6">
        <f>SUM(M55,M58,M60,M62,M67,M71,M76,M80,M82)</f>
        <v>160259.85</v>
      </c>
      <c r="N54" s="6">
        <f>SUM(N55,N58,N60,N62,N67,N71,N76,N80,N82)</f>
        <v>1329999.46</v>
      </c>
      <c r="O54" s="6">
        <f>SUM(O55,O58,O60,O62,O67,O71,O76,O80,O82)</f>
        <v>1490259.31</v>
      </c>
      <c r="S54" s="6">
        <f>SUM(S55,S58,S60,S62,S67,S71,S76,S80,S82)</f>
        <v>160259.85</v>
      </c>
      <c r="T54" s="6">
        <f>SUM(T55,T58,T60,T62,T67,T71,T76,T80,T82)</f>
        <v>1329999.46</v>
      </c>
      <c r="U54" s="6">
        <f>SUM(U55,U58,U60,U62,U67,U71,U76,U80,U82)</f>
        <v>1490259.31</v>
      </c>
      <c r="Y54" s="9">
        <f>SUM(Y55,Y58,Y60,Y62,Y67,Y71,Y76,Y80,Y82)</f>
        <v>133549.88</v>
      </c>
      <c r="Z54" s="9">
        <f>SUM(Z55,Z58,Z60,Z62,Z67,Z71,Z76,Z80,Z82)</f>
        <v>1108332.8800000001</v>
      </c>
      <c r="AA54" s="9">
        <f>SUM(AA55,AA58,AA60,AA62,AA67,AA71,AA76,AA80,AA82)</f>
        <v>1241882.76</v>
      </c>
      <c r="AD54" s="4">
        <v>264030266</v>
      </c>
      <c r="AE54" s="4">
        <v>16077961</v>
      </c>
    </row>
    <row r="55" spans="1:35" ht="75" x14ac:dyDescent="0.25">
      <c r="A55" s="10" t="s">
        <v>242</v>
      </c>
      <c r="B55" s="10" t="s">
        <v>243</v>
      </c>
      <c r="C55" s="14" t="s">
        <v>244</v>
      </c>
      <c r="D55" s="15" t="s">
        <v>245</v>
      </c>
      <c r="E55" s="15" t="s">
        <v>246</v>
      </c>
      <c r="F55" s="15" t="s">
        <v>56</v>
      </c>
      <c r="G55" s="16">
        <v>1</v>
      </c>
      <c r="H55" s="16"/>
      <c r="I55" s="16">
        <v>900.7</v>
      </c>
      <c r="J55" s="17">
        <f>IFERROR(ROUND(SUM(M56,M57)/I55, 2),0)</f>
        <v>177.36</v>
      </c>
      <c r="K55" s="18">
        <v>388</v>
      </c>
      <c r="L55" s="17">
        <f>J55+ROUND(K55, 2)</f>
        <v>565.36</v>
      </c>
      <c r="M55" s="17">
        <f>ROUND(J55*I55, 2)</f>
        <v>159748.15</v>
      </c>
      <c r="N55" s="17">
        <f>ROUND(I55*ROUND(K55, 2), 2)</f>
        <v>349471.6</v>
      </c>
      <c r="O55" s="17">
        <f>M55+N55</f>
        <v>509219.75</v>
      </c>
      <c r="P55" s="17">
        <f>IFERROR(ROUND(SUM(S56,S57)/I55, 2),0)</f>
        <v>177.36</v>
      </c>
      <c r="Q55" s="18">
        <v>388</v>
      </c>
      <c r="R55" s="17">
        <f>P55+ROUND(Q55, 2)</f>
        <v>565.36</v>
      </c>
      <c r="S55" s="17">
        <f>ROUND(P55*I55, 2)</f>
        <v>159748.15</v>
      </c>
      <c r="T55" s="17">
        <f>ROUND(I55*ROUND(Q55, 2), 2)</f>
        <v>349471.6</v>
      </c>
      <c r="U55" s="17">
        <f>S55+T55</f>
        <v>509219.75</v>
      </c>
      <c r="V55" s="9">
        <f>ROUND(P55 / 1.2, 2)</f>
        <v>147.80000000000001</v>
      </c>
      <c r="W55" s="9">
        <f>ROUND(Q55 / 1.2, 2)</f>
        <v>323.33</v>
      </c>
      <c r="X55" s="9">
        <f>ROUND(R55 / 1.2, 2)</f>
        <v>471.13</v>
      </c>
      <c r="Y55" s="9">
        <f>ROUND(S55 / 1.2, 2)</f>
        <v>133123.46</v>
      </c>
      <c r="Z55" s="9">
        <f>ROUND(T55 / 1.2, 2)</f>
        <v>291226.33</v>
      </c>
      <c r="AA55" s="9">
        <f>Y55+Z55</f>
        <v>424349.79000000004</v>
      </c>
      <c r="AD55" s="4">
        <v>204257133</v>
      </c>
      <c r="AE55" s="4">
        <v>16078328</v>
      </c>
      <c r="AG55" s="4" t="s">
        <v>247</v>
      </c>
      <c r="AH55" s="4" t="s">
        <v>248</v>
      </c>
      <c r="AI55" s="4" t="s">
        <v>249</v>
      </c>
    </row>
    <row r="56" spans="1:35" ht="37.5" x14ac:dyDescent="0.25">
      <c r="A56" s="10" t="s">
        <v>250</v>
      </c>
      <c r="B56" s="10"/>
      <c r="C56" s="37" t="s">
        <v>251</v>
      </c>
      <c r="D56" s="15"/>
      <c r="E56" s="15" t="s">
        <v>252</v>
      </c>
      <c r="F56" s="25" t="s">
        <v>81</v>
      </c>
      <c r="G56" s="26">
        <v>1.6</v>
      </c>
      <c r="H56" s="27"/>
      <c r="I56" s="27">
        <v>14411.2</v>
      </c>
      <c r="J56" s="28">
        <v>9.67</v>
      </c>
      <c r="M56" s="29">
        <f>ROUND(ROUND(J56, 2)*I56, 2)</f>
        <v>139356.29999999999</v>
      </c>
      <c r="P56" s="28">
        <v>9.67</v>
      </c>
      <c r="S56" s="29">
        <f>ROUND(ROUND(P56, 2)*I56, 2)</f>
        <v>139356.29999999999</v>
      </c>
      <c r="V56" s="9">
        <f>ROUND(ROUND(P56, 2)/1.2, 2)</f>
        <v>8.06</v>
      </c>
      <c r="Y56" s="9">
        <f t="shared" ref="Y56:Y83" si="7">ROUND(S56 / 1.2, 2)</f>
        <v>116130.25</v>
      </c>
      <c r="AD56" s="4" t="s">
        <v>253</v>
      </c>
      <c r="AE56" s="4" t="s">
        <v>254</v>
      </c>
      <c r="AF56" s="4" t="s">
        <v>255</v>
      </c>
    </row>
    <row r="57" spans="1:35" ht="37.5" x14ac:dyDescent="0.25">
      <c r="A57" s="10" t="s">
        <v>256</v>
      </c>
      <c r="B57" s="10"/>
      <c r="C57" s="24" t="s">
        <v>257</v>
      </c>
      <c r="D57" s="15"/>
      <c r="E57" s="15"/>
      <c r="F57" s="25" t="s">
        <v>81</v>
      </c>
      <c r="G57" s="26">
        <v>0.255</v>
      </c>
      <c r="H57" s="27"/>
      <c r="I57" s="27">
        <v>229.679</v>
      </c>
      <c r="J57" s="28">
        <v>88.8</v>
      </c>
      <c r="M57" s="29">
        <f>ROUND(ROUND(J57, 2)*I57, 2)</f>
        <v>20395.5</v>
      </c>
      <c r="P57" s="28">
        <v>88.8</v>
      </c>
      <c r="S57" s="29">
        <f>ROUND(ROUND(P57, 2)*I57, 2)</f>
        <v>20395.5</v>
      </c>
      <c r="V57" s="9">
        <f>ROUND(ROUND(P57, 2)/1.2, 2)</f>
        <v>74</v>
      </c>
      <c r="Y57" s="9">
        <f t="shared" si="7"/>
        <v>16996.25</v>
      </c>
      <c r="AD57" s="4" t="s">
        <v>258</v>
      </c>
      <c r="AE57" s="4" t="s">
        <v>259</v>
      </c>
      <c r="AF57" s="4" t="s">
        <v>260</v>
      </c>
    </row>
    <row r="58" spans="1:35" ht="37.5" x14ac:dyDescent="0.25">
      <c r="A58" s="10" t="s">
        <v>261</v>
      </c>
      <c r="B58" s="10" t="s">
        <v>262</v>
      </c>
      <c r="C58" s="14" t="s">
        <v>263</v>
      </c>
      <c r="D58" s="15"/>
      <c r="E58" s="15" t="s">
        <v>264</v>
      </c>
      <c r="F58" s="15" t="s">
        <v>56</v>
      </c>
      <c r="G58" s="16">
        <v>1</v>
      </c>
      <c r="H58" s="16"/>
      <c r="I58" s="16">
        <v>0</v>
      </c>
      <c r="J58" s="17">
        <f>IFERROR(ROUND(SUM(M59)/I58, 2),0)</f>
        <v>0</v>
      </c>
      <c r="K58" s="18">
        <v>40</v>
      </c>
      <c r="L58" s="17">
        <f>J58+ROUND(K58, 2)</f>
        <v>40</v>
      </c>
      <c r="M58" s="17">
        <f>ROUND(J58*I58, 2)</f>
        <v>0</v>
      </c>
      <c r="N58" s="17">
        <f>ROUND(I58*ROUND(K58, 2), 2)</f>
        <v>0</v>
      </c>
      <c r="O58" s="17">
        <f>M58+N58</f>
        <v>0</v>
      </c>
      <c r="P58" s="17">
        <f>IFERROR(ROUND(SUM(S59)/I58, 2),0)</f>
        <v>0</v>
      </c>
      <c r="Q58" s="18">
        <v>40</v>
      </c>
      <c r="R58" s="17">
        <f>P58+ROUND(Q58, 2)</f>
        <v>40</v>
      </c>
      <c r="S58" s="17">
        <f>ROUND(P58*I58, 2)</f>
        <v>0</v>
      </c>
      <c r="T58" s="17">
        <f>ROUND(I58*ROUND(Q58, 2), 2)</f>
        <v>0</v>
      </c>
      <c r="U58" s="17">
        <f>S58+T58</f>
        <v>0</v>
      </c>
      <c r="V58" s="9">
        <f>ROUND(P58 / 1.2, 2)</f>
        <v>0</v>
      </c>
      <c r="W58" s="9">
        <f>ROUND(Q58 / 1.2, 2)</f>
        <v>33.33</v>
      </c>
      <c r="X58" s="9">
        <f>ROUND(R58 / 1.2, 2)</f>
        <v>33.33</v>
      </c>
      <c r="Y58" s="9">
        <f t="shared" si="7"/>
        <v>0</v>
      </c>
      <c r="Z58" s="9">
        <f>ROUND(T58 / 1.2, 2)</f>
        <v>0</v>
      </c>
      <c r="AA58" s="9">
        <f>Y58+Z58</f>
        <v>0</v>
      </c>
      <c r="AD58" s="4">
        <v>264030268</v>
      </c>
      <c r="AE58" s="4">
        <v>16077965</v>
      </c>
      <c r="AG58" s="4" t="s">
        <v>265</v>
      </c>
      <c r="AH58" s="4" t="s">
        <v>266</v>
      </c>
      <c r="AI58" s="4" t="s">
        <v>249</v>
      </c>
    </row>
    <row r="59" spans="1:35" ht="18.75" x14ac:dyDescent="0.25">
      <c r="A59" s="10" t="s">
        <v>268</v>
      </c>
      <c r="B59" s="10"/>
      <c r="C59" s="24" t="s">
        <v>269</v>
      </c>
      <c r="D59" s="15"/>
      <c r="E59" s="15"/>
      <c r="F59" s="25" t="s">
        <v>56</v>
      </c>
      <c r="G59" s="26">
        <v>1.1000000000000001</v>
      </c>
      <c r="H59" s="26"/>
      <c r="I59" s="26">
        <v>0</v>
      </c>
      <c r="J59" s="28">
        <v>46.76</v>
      </c>
      <c r="M59" s="29">
        <f>ROUND(ROUND(J59, 2)*I59, 2)</f>
        <v>0</v>
      </c>
      <c r="P59" s="28">
        <v>46.76</v>
      </c>
      <c r="S59" s="29">
        <f>ROUND(ROUND(P59, 2)*I59, 2)</f>
        <v>0</v>
      </c>
      <c r="V59" s="9">
        <f>ROUND(ROUND(P59, 2)/1.2, 2)</f>
        <v>38.97</v>
      </c>
      <c r="Y59" s="9">
        <f t="shared" si="7"/>
        <v>0</v>
      </c>
      <c r="AD59" s="4" t="s">
        <v>270</v>
      </c>
      <c r="AE59" s="4" t="s">
        <v>271</v>
      </c>
      <c r="AF59" s="4" t="s">
        <v>272</v>
      </c>
    </row>
    <row r="60" spans="1:35" ht="37.5" x14ac:dyDescent="0.25">
      <c r="A60" s="10" t="s">
        <v>275</v>
      </c>
      <c r="B60" s="10" t="s">
        <v>262</v>
      </c>
      <c r="C60" s="14" t="s">
        <v>263</v>
      </c>
      <c r="D60" s="15"/>
      <c r="E60" s="15" t="s">
        <v>276</v>
      </c>
      <c r="F60" s="15" t="s">
        <v>56</v>
      </c>
      <c r="G60" s="16">
        <v>1</v>
      </c>
      <c r="H60" s="16"/>
      <c r="I60" s="16">
        <v>0</v>
      </c>
      <c r="J60" s="17">
        <f>IFERROR(ROUND(SUM(M61)/I60, 2),0)</f>
        <v>0</v>
      </c>
      <c r="K60" s="18">
        <v>40</v>
      </c>
      <c r="L60" s="17">
        <f>J60+ROUND(K60, 2)</f>
        <v>40</v>
      </c>
      <c r="M60" s="17">
        <f>ROUND(J60*I60, 2)</f>
        <v>0</v>
      </c>
      <c r="N60" s="17">
        <f>ROUND(I60*ROUND(K60, 2), 2)</f>
        <v>0</v>
      </c>
      <c r="O60" s="17">
        <f>M60+N60</f>
        <v>0</v>
      </c>
      <c r="P60" s="17">
        <f>IFERROR(ROUND(SUM(S61)/I60, 2),0)</f>
        <v>0</v>
      </c>
      <c r="Q60" s="18">
        <v>40</v>
      </c>
      <c r="R60" s="17">
        <f>P60+ROUND(Q60, 2)</f>
        <v>40</v>
      </c>
      <c r="S60" s="17">
        <f>ROUND(P60*I60, 2)</f>
        <v>0</v>
      </c>
      <c r="T60" s="17">
        <f>ROUND(I60*ROUND(Q60, 2), 2)</f>
        <v>0</v>
      </c>
      <c r="U60" s="17">
        <f>S60+T60</f>
        <v>0</v>
      </c>
      <c r="V60" s="9">
        <f>ROUND(P60 / 1.2, 2)</f>
        <v>0</v>
      </c>
      <c r="W60" s="9">
        <f>ROUND(Q60 / 1.2, 2)</f>
        <v>33.33</v>
      </c>
      <c r="X60" s="9">
        <f>ROUND(R60 / 1.2, 2)</f>
        <v>33.33</v>
      </c>
      <c r="Y60" s="9">
        <f t="shared" si="7"/>
        <v>0</v>
      </c>
      <c r="Z60" s="9">
        <f>ROUND(T60 / 1.2, 2)</f>
        <v>0</v>
      </c>
      <c r="AA60" s="9">
        <f>Y60+Z60</f>
        <v>0</v>
      </c>
      <c r="AD60" s="4">
        <v>264030364</v>
      </c>
      <c r="AE60" s="4">
        <v>16088187</v>
      </c>
      <c r="AG60" s="4" t="s">
        <v>265</v>
      </c>
      <c r="AH60" s="4" t="s">
        <v>266</v>
      </c>
      <c r="AI60" s="4" t="s">
        <v>249</v>
      </c>
    </row>
    <row r="61" spans="1:35" ht="18.75" x14ac:dyDescent="0.25">
      <c r="A61" s="10" t="s">
        <v>278</v>
      </c>
      <c r="B61" s="10"/>
      <c r="C61" s="24" t="s">
        <v>269</v>
      </c>
      <c r="D61" s="15"/>
      <c r="E61" s="15"/>
      <c r="F61" s="25" t="s">
        <v>56</v>
      </c>
      <c r="G61" s="26">
        <v>1.1000000000000001</v>
      </c>
      <c r="H61" s="26"/>
      <c r="I61" s="26">
        <v>0</v>
      </c>
      <c r="J61" s="28">
        <v>46.76</v>
      </c>
      <c r="M61" s="29">
        <f>ROUND(ROUND(J61, 2)*I61, 2)</f>
        <v>0</v>
      </c>
      <c r="P61" s="28">
        <v>46.76</v>
      </c>
      <c r="S61" s="29">
        <f>ROUND(ROUND(P61, 2)*I61, 2)</f>
        <v>0</v>
      </c>
      <c r="V61" s="9">
        <f>ROUND(ROUND(P61, 2)/1.2, 2)</f>
        <v>38.97</v>
      </c>
      <c r="Y61" s="9">
        <f t="shared" si="7"/>
        <v>0</v>
      </c>
      <c r="AD61" s="4" t="s">
        <v>279</v>
      </c>
      <c r="AE61" s="4" t="s">
        <v>280</v>
      </c>
      <c r="AF61" s="4" t="s">
        <v>272</v>
      </c>
    </row>
    <row r="62" spans="1:35" ht="37.5" x14ac:dyDescent="0.25">
      <c r="A62" s="10" t="s">
        <v>283</v>
      </c>
      <c r="B62" s="10" t="s">
        <v>284</v>
      </c>
      <c r="C62" s="14" t="s">
        <v>285</v>
      </c>
      <c r="D62" s="15"/>
      <c r="E62" s="15" t="s">
        <v>286</v>
      </c>
      <c r="F62" s="15" t="s">
        <v>56</v>
      </c>
      <c r="G62" s="16">
        <v>1</v>
      </c>
      <c r="H62" s="16"/>
      <c r="I62" s="16">
        <v>0</v>
      </c>
      <c r="J62" s="17">
        <f>IFERROR(ROUND(SUM(M63,M64,M65,M66)/I62, 2),0)</f>
        <v>0</v>
      </c>
      <c r="K62" s="18">
        <v>855</v>
      </c>
      <c r="L62" s="17">
        <f>J62+ROUND(K62, 2)</f>
        <v>855</v>
      </c>
      <c r="M62" s="17">
        <f>ROUND(J62*I62, 2)</f>
        <v>0</v>
      </c>
      <c r="N62" s="17">
        <f>ROUND(I62*ROUND(K62, 2), 2)</f>
        <v>0</v>
      </c>
      <c r="O62" s="17">
        <f>M62+N62</f>
        <v>0</v>
      </c>
      <c r="P62" s="17">
        <f>IFERROR(ROUND(SUM(S63,S64,S65,S66)/I62, 2),0)</f>
        <v>0</v>
      </c>
      <c r="Q62" s="18">
        <v>855</v>
      </c>
      <c r="R62" s="17">
        <f>P62+ROUND(Q62, 2)</f>
        <v>855</v>
      </c>
      <c r="S62" s="17">
        <f>ROUND(P62*I62, 2)</f>
        <v>0</v>
      </c>
      <c r="T62" s="17">
        <f>ROUND(I62*ROUND(Q62, 2), 2)</f>
        <v>0</v>
      </c>
      <c r="U62" s="17">
        <f>S62+T62</f>
        <v>0</v>
      </c>
      <c r="V62" s="9">
        <f>ROUND(P62 / 1.2, 2)</f>
        <v>0</v>
      </c>
      <c r="W62" s="9">
        <f>ROUND(Q62 / 1.2, 2)</f>
        <v>712.5</v>
      </c>
      <c r="X62" s="9">
        <f>ROUND(R62 / 1.2, 2)</f>
        <v>712.5</v>
      </c>
      <c r="Y62" s="9">
        <f t="shared" si="7"/>
        <v>0</v>
      </c>
      <c r="Z62" s="9">
        <f>ROUND(T62 / 1.2, 2)</f>
        <v>0</v>
      </c>
      <c r="AA62" s="9">
        <f>Y62+Z62</f>
        <v>0</v>
      </c>
      <c r="AD62" s="4">
        <v>264030270</v>
      </c>
      <c r="AE62" s="4">
        <v>16078058</v>
      </c>
      <c r="AG62" s="4" t="s">
        <v>287</v>
      </c>
      <c r="AH62" s="4" t="s">
        <v>288</v>
      </c>
      <c r="AI62" s="4" t="s">
        <v>249</v>
      </c>
    </row>
    <row r="63" spans="1:35" ht="18.75" x14ac:dyDescent="0.25">
      <c r="A63" s="10" t="s">
        <v>290</v>
      </c>
      <c r="B63" s="10"/>
      <c r="C63" s="24" t="s">
        <v>291</v>
      </c>
      <c r="D63" s="15"/>
      <c r="E63" s="15" t="s">
        <v>292</v>
      </c>
      <c r="F63" s="25" t="s">
        <v>81</v>
      </c>
      <c r="G63" s="26">
        <v>1.8</v>
      </c>
      <c r="H63" s="27"/>
      <c r="I63" s="27">
        <v>0</v>
      </c>
      <c r="J63" s="28">
        <v>6.17</v>
      </c>
      <c r="M63" s="29">
        <f>ROUND(ROUND(J63, 2)*I63, 2)</f>
        <v>0</v>
      </c>
      <c r="P63" s="28">
        <v>6.17</v>
      </c>
      <c r="S63" s="29">
        <f>ROUND(ROUND(P63, 2)*I63, 2)</f>
        <v>0</v>
      </c>
      <c r="V63" s="9">
        <f>ROUND(ROUND(P63, 2)/1.2, 2)</f>
        <v>5.14</v>
      </c>
      <c r="Y63" s="9">
        <f t="shared" si="7"/>
        <v>0</v>
      </c>
      <c r="AD63" s="4" t="s">
        <v>293</v>
      </c>
      <c r="AE63" s="4" t="s">
        <v>294</v>
      </c>
      <c r="AF63" s="4" t="s">
        <v>295</v>
      </c>
    </row>
    <row r="64" spans="1:35" ht="18.75" x14ac:dyDescent="0.25">
      <c r="A64" s="10" t="s">
        <v>298</v>
      </c>
      <c r="B64" s="10"/>
      <c r="C64" s="24" t="s">
        <v>299</v>
      </c>
      <c r="D64" s="15"/>
      <c r="E64" s="15"/>
      <c r="F64" s="25" t="s">
        <v>56</v>
      </c>
      <c r="G64" s="26">
        <v>1.1000000000000001</v>
      </c>
      <c r="H64" s="27"/>
      <c r="I64" s="27">
        <v>0</v>
      </c>
      <c r="J64" s="28">
        <v>155.01</v>
      </c>
      <c r="M64" s="29">
        <f>ROUND(ROUND(J64, 2)*I64, 2)</f>
        <v>0</v>
      </c>
      <c r="P64" s="28">
        <v>155.01</v>
      </c>
      <c r="S64" s="29">
        <f>ROUND(ROUND(P64, 2)*I64, 2)</f>
        <v>0</v>
      </c>
      <c r="V64" s="9">
        <f>ROUND(ROUND(P64, 2)/1.2, 2)</f>
        <v>129.18</v>
      </c>
      <c r="Y64" s="9">
        <f t="shared" si="7"/>
        <v>0</v>
      </c>
      <c r="AD64" s="4" t="s">
        <v>300</v>
      </c>
      <c r="AE64" s="4" t="s">
        <v>301</v>
      </c>
      <c r="AF64" s="4" t="s">
        <v>302</v>
      </c>
    </row>
    <row r="65" spans="1:35" ht="37.5" x14ac:dyDescent="0.25">
      <c r="A65" s="10" t="s">
        <v>305</v>
      </c>
      <c r="B65" s="10"/>
      <c r="C65" s="24" t="s">
        <v>306</v>
      </c>
      <c r="D65" s="15"/>
      <c r="E65" s="15"/>
      <c r="F65" s="25" t="s">
        <v>123</v>
      </c>
      <c r="G65" s="26">
        <v>1</v>
      </c>
      <c r="H65" s="27"/>
      <c r="I65" s="27">
        <v>0</v>
      </c>
      <c r="J65" s="28">
        <v>10.4</v>
      </c>
      <c r="M65" s="29">
        <f>ROUND(ROUND(J65, 2)*I65, 2)</f>
        <v>0</v>
      </c>
      <c r="P65" s="28">
        <v>10.4</v>
      </c>
      <c r="S65" s="29">
        <f>ROUND(ROUND(P65, 2)*I65, 2)</f>
        <v>0</v>
      </c>
      <c r="V65" s="9">
        <f>ROUND(ROUND(P65, 2)/1.2, 2)</f>
        <v>8.67</v>
      </c>
      <c r="Y65" s="9">
        <f t="shared" si="7"/>
        <v>0</v>
      </c>
      <c r="AD65" s="4" t="s">
        <v>307</v>
      </c>
      <c r="AE65" s="4" t="s">
        <v>308</v>
      </c>
      <c r="AF65" s="4" t="s">
        <v>309</v>
      </c>
    </row>
    <row r="66" spans="1:35" ht="18.75" x14ac:dyDescent="0.25">
      <c r="A66" s="10" t="s">
        <v>312</v>
      </c>
      <c r="B66" s="10"/>
      <c r="C66" s="24" t="s">
        <v>313</v>
      </c>
      <c r="D66" s="15"/>
      <c r="E66" s="15"/>
      <c r="F66" s="25" t="s">
        <v>81</v>
      </c>
      <c r="G66" s="26">
        <v>0.255</v>
      </c>
      <c r="H66" s="26"/>
      <c r="I66" s="26">
        <v>0</v>
      </c>
      <c r="J66" s="28">
        <v>100</v>
      </c>
      <c r="M66" s="29">
        <f>ROUND(ROUND(J66, 2)*I66, 2)</f>
        <v>0</v>
      </c>
      <c r="P66" s="28">
        <v>100</v>
      </c>
      <c r="S66" s="29">
        <f>ROUND(ROUND(P66, 2)*I66, 2)</f>
        <v>0</v>
      </c>
      <c r="V66" s="9">
        <f>ROUND(ROUND(P66, 2)/1.2, 2)</f>
        <v>83.33</v>
      </c>
      <c r="Y66" s="9">
        <f t="shared" si="7"/>
        <v>0</v>
      </c>
      <c r="AD66" s="4" t="s">
        <v>314</v>
      </c>
      <c r="AE66" s="4" t="s">
        <v>315</v>
      </c>
      <c r="AF66" s="4" t="s">
        <v>316</v>
      </c>
    </row>
    <row r="67" spans="1:35" ht="37.5" x14ac:dyDescent="0.25">
      <c r="A67" s="10" t="s">
        <v>319</v>
      </c>
      <c r="B67" s="10" t="s">
        <v>320</v>
      </c>
      <c r="C67" s="14" t="s">
        <v>321</v>
      </c>
      <c r="D67" s="15"/>
      <c r="E67" s="15" t="s">
        <v>322</v>
      </c>
      <c r="F67" s="15" t="s">
        <v>56</v>
      </c>
      <c r="G67" s="16">
        <v>1</v>
      </c>
      <c r="H67" s="16"/>
      <c r="I67" s="16">
        <v>0</v>
      </c>
      <c r="J67" s="17">
        <f>IFERROR(ROUND(SUM(M68,M69,M70)/I67, 2),0)</f>
        <v>0</v>
      </c>
      <c r="K67" s="18">
        <v>922</v>
      </c>
      <c r="L67" s="17">
        <f>J67+ROUND(K67, 2)</f>
        <v>922</v>
      </c>
      <c r="M67" s="17">
        <f>ROUND(J67*I67, 2)</f>
        <v>0</v>
      </c>
      <c r="N67" s="17">
        <f>ROUND(I67*ROUND(K67, 2), 2)</f>
        <v>0</v>
      </c>
      <c r="O67" s="17">
        <f>M67+N67</f>
        <v>0</v>
      </c>
      <c r="P67" s="17">
        <f>IFERROR(ROUND(SUM(S68,S69,S70)/I67, 2),0)</f>
        <v>0</v>
      </c>
      <c r="Q67" s="18">
        <v>922</v>
      </c>
      <c r="R67" s="17">
        <f>P67+ROUND(Q67, 2)</f>
        <v>922</v>
      </c>
      <c r="S67" s="17">
        <f>ROUND(P67*I67, 2)</f>
        <v>0</v>
      </c>
      <c r="T67" s="17">
        <f>ROUND(I67*ROUND(Q67, 2), 2)</f>
        <v>0</v>
      </c>
      <c r="U67" s="17">
        <f>S67+T67</f>
        <v>0</v>
      </c>
      <c r="V67" s="9">
        <f>ROUND(P67 / 1.2, 2)</f>
        <v>0</v>
      </c>
      <c r="W67" s="9">
        <f>ROUND(Q67 / 1.2, 2)</f>
        <v>768.33</v>
      </c>
      <c r="X67" s="9">
        <f>ROUND(R67 / 1.2, 2)</f>
        <v>768.33</v>
      </c>
      <c r="Y67" s="9">
        <f t="shared" si="7"/>
        <v>0</v>
      </c>
      <c r="Z67" s="9">
        <f>ROUND(T67 / 1.2, 2)</f>
        <v>0</v>
      </c>
      <c r="AA67" s="9">
        <f>Y67+Z67</f>
        <v>0</v>
      </c>
      <c r="AD67" s="4">
        <v>264030271</v>
      </c>
      <c r="AE67" s="4">
        <v>16078057</v>
      </c>
      <c r="AG67" s="4" t="s">
        <v>323</v>
      </c>
      <c r="AH67" s="4" t="s">
        <v>324</v>
      </c>
      <c r="AI67" s="4" t="s">
        <v>249</v>
      </c>
    </row>
    <row r="68" spans="1:35" ht="18.75" x14ac:dyDescent="0.25">
      <c r="A68" s="10" t="s">
        <v>326</v>
      </c>
      <c r="B68" s="10"/>
      <c r="C68" s="24" t="s">
        <v>291</v>
      </c>
      <c r="D68" s="15"/>
      <c r="E68" s="15" t="s">
        <v>327</v>
      </c>
      <c r="F68" s="25" t="s">
        <v>81</v>
      </c>
      <c r="G68" s="26">
        <v>1.8</v>
      </c>
      <c r="H68" s="27"/>
      <c r="I68" s="27">
        <v>0</v>
      </c>
      <c r="J68" s="28">
        <v>6.17</v>
      </c>
      <c r="M68" s="29">
        <f>ROUND(ROUND(J68, 2)*I68, 2)</f>
        <v>0</v>
      </c>
      <c r="P68" s="28">
        <v>6.17</v>
      </c>
      <c r="S68" s="29">
        <f>ROUND(ROUND(P68, 2)*I68, 2)</f>
        <v>0</v>
      </c>
      <c r="V68" s="9">
        <f>ROUND(ROUND(P68, 2)/1.2, 2)</f>
        <v>5.14</v>
      </c>
      <c r="Y68" s="9">
        <f t="shared" si="7"/>
        <v>0</v>
      </c>
      <c r="AD68" s="4" t="s">
        <v>328</v>
      </c>
      <c r="AE68" s="4" t="s">
        <v>329</v>
      </c>
      <c r="AF68" s="4" t="s">
        <v>295</v>
      </c>
    </row>
    <row r="69" spans="1:35" ht="18.75" x14ac:dyDescent="0.25">
      <c r="A69" s="10" t="s">
        <v>332</v>
      </c>
      <c r="B69" s="10"/>
      <c r="C69" s="24" t="s">
        <v>299</v>
      </c>
      <c r="D69" s="15"/>
      <c r="E69" s="15"/>
      <c r="F69" s="25" t="s">
        <v>56</v>
      </c>
      <c r="G69" s="26">
        <v>1.1000000000000001</v>
      </c>
      <c r="H69" s="27"/>
      <c r="I69" s="27">
        <v>0</v>
      </c>
      <c r="J69" s="28">
        <v>155.01</v>
      </c>
      <c r="M69" s="29">
        <f>ROUND(ROUND(J69, 2)*I69, 2)</f>
        <v>0</v>
      </c>
      <c r="P69" s="28">
        <v>155.01</v>
      </c>
      <c r="S69" s="29">
        <f>ROUND(ROUND(P69, 2)*I69, 2)</f>
        <v>0</v>
      </c>
      <c r="V69" s="9">
        <f>ROUND(ROUND(P69, 2)/1.2, 2)</f>
        <v>129.18</v>
      </c>
      <c r="Y69" s="9">
        <f t="shared" si="7"/>
        <v>0</v>
      </c>
      <c r="AD69" s="4" t="s">
        <v>333</v>
      </c>
      <c r="AE69" s="4" t="s">
        <v>334</v>
      </c>
      <c r="AF69" s="4" t="s">
        <v>302</v>
      </c>
    </row>
    <row r="70" spans="1:35" ht="37.5" x14ac:dyDescent="0.25">
      <c r="A70" s="10" t="s">
        <v>337</v>
      </c>
      <c r="B70" s="10"/>
      <c r="C70" s="24" t="s">
        <v>306</v>
      </c>
      <c r="D70" s="15"/>
      <c r="E70" s="15"/>
      <c r="F70" s="25" t="s">
        <v>123</v>
      </c>
      <c r="G70" s="26">
        <v>1</v>
      </c>
      <c r="H70" s="27"/>
      <c r="I70" s="27">
        <v>0</v>
      </c>
      <c r="J70" s="28">
        <v>10.4</v>
      </c>
      <c r="M70" s="29">
        <f>ROUND(ROUND(J70, 2)*I70, 2)</f>
        <v>0</v>
      </c>
      <c r="P70" s="28">
        <v>10.4</v>
      </c>
      <c r="S70" s="29">
        <f>ROUND(ROUND(P70, 2)*I70, 2)</f>
        <v>0</v>
      </c>
      <c r="V70" s="9">
        <f>ROUND(ROUND(P70, 2)/1.2, 2)</f>
        <v>8.67</v>
      </c>
      <c r="Y70" s="9">
        <f t="shared" si="7"/>
        <v>0</v>
      </c>
      <c r="AD70" s="4" t="s">
        <v>338</v>
      </c>
      <c r="AE70" s="4" t="s">
        <v>339</v>
      </c>
      <c r="AF70" s="4" t="s">
        <v>309</v>
      </c>
    </row>
    <row r="71" spans="1:35" ht="37.5" x14ac:dyDescent="0.25">
      <c r="A71" s="10" t="s">
        <v>342</v>
      </c>
      <c r="B71" s="10" t="s">
        <v>320</v>
      </c>
      <c r="C71" s="14" t="s">
        <v>321</v>
      </c>
      <c r="D71" s="15"/>
      <c r="E71" s="15" t="s">
        <v>343</v>
      </c>
      <c r="F71" s="15" t="s">
        <v>56</v>
      </c>
      <c r="G71" s="16">
        <v>1</v>
      </c>
      <c r="H71" s="16"/>
      <c r="I71" s="16">
        <v>0</v>
      </c>
      <c r="J71" s="17">
        <f>IFERROR(ROUND(SUM(M72,M73,M74,M75)/I71, 2),0)</f>
        <v>0</v>
      </c>
      <c r="K71" s="18">
        <v>922</v>
      </c>
      <c r="L71" s="17">
        <f>J71+ROUND(K71, 2)</f>
        <v>922</v>
      </c>
      <c r="M71" s="17">
        <f>ROUND(J71*I71, 2)</f>
        <v>0</v>
      </c>
      <c r="N71" s="17">
        <f>ROUND(I71*ROUND(K71, 2), 2)</f>
        <v>0</v>
      </c>
      <c r="O71" s="17">
        <f>M71+N71</f>
        <v>0</v>
      </c>
      <c r="P71" s="17">
        <f>IFERROR(ROUND(SUM(S72,S73,S74,S75)/I71, 2),0)</f>
        <v>0</v>
      </c>
      <c r="Q71" s="18">
        <v>922</v>
      </c>
      <c r="R71" s="17">
        <f>P71+ROUND(Q71, 2)</f>
        <v>922</v>
      </c>
      <c r="S71" s="17">
        <f>ROUND(P71*I71, 2)</f>
        <v>0</v>
      </c>
      <c r="T71" s="17">
        <f>ROUND(I71*ROUND(Q71, 2), 2)</f>
        <v>0</v>
      </c>
      <c r="U71" s="17">
        <f>S71+T71</f>
        <v>0</v>
      </c>
      <c r="V71" s="9">
        <f>ROUND(P71 / 1.2, 2)</f>
        <v>0</v>
      </c>
      <c r="W71" s="9">
        <f>ROUND(Q71 / 1.2, 2)</f>
        <v>768.33</v>
      </c>
      <c r="X71" s="9">
        <f>ROUND(R71 / 1.2, 2)</f>
        <v>768.33</v>
      </c>
      <c r="Y71" s="9">
        <f t="shared" si="7"/>
        <v>0</v>
      </c>
      <c r="Z71" s="9">
        <f>ROUND(T71 / 1.2, 2)</f>
        <v>0</v>
      </c>
      <c r="AA71" s="9">
        <f>Y71+Z71</f>
        <v>0</v>
      </c>
      <c r="AD71" s="4">
        <v>264030365</v>
      </c>
      <c r="AE71" s="4">
        <v>16080100</v>
      </c>
      <c r="AG71" s="4" t="s">
        <v>323</v>
      </c>
      <c r="AH71" s="4" t="s">
        <v>324</v>
      </c>
      <c r="AI71" s="4" t="s">
        <v>249</v>
      </c>
    </row>
    <row r="72" spans="1:35" ht="18.75" x14ac:dyDescent="0.25">
      <c r="A72" s="10" t="s">
        <v>345</v>
      </c>
      <c r="B72" s="10"/>
      <c r="C72" s="24" t="s">
        <v>313</v>
      </c>
      <c r="D72" s="15"/>
      <c r="E72" s="15"/>
      <c r="F72" s="25" t="s">
        <v>81</v>
      </c>
      <c r="G72" s="26">
        <v>0.255</v>
      </c>
      <c r="H72" s="26"/>
      <c r="I72" s="26">
        <v>0</v>
      </c>
      <c r="J72" s="28">
        <v>100</v>
      </c>
      <c r="M72" s="29">
        <f>ROUND(ROUND(J72, 2)*I72, 2)</f>
        <v>0</v>
      </c>
      <c r="P72" s="28">
        <v>100</v>
      </c>
      <c r="S72" s="29">
        <f>ROUND(ROUND(P72, 2)*I72, 2)</f>
        <v>0</v>
      </c>
      <c r="V72" s="9">
        <f>ROUND(ROUND(P72, 2)/1.2, 2)</f>
        <v>83.33</v>
      </c>
      <c r="Y72" s="9">
        <f t="shared" si="7"/>
        <v>0</v>
      </c>
      <c r="AD72" s="4" t="s">
        <v>346</v>
      </c>
      <c r="AE72" s="4" t="s">
        <v>347</v>
      </c>
      <c r="AF72" s="4" t="s">
        <v>316</v>
      </c>
    </row>
    <row r="73" spans="1:35" ht="37.5" x14ac:dyDescent="0.25">
      <c r="A73" s="10" t="s">
        <v>350</v>
      </c>
      <c r="B73" s="10"/>
      <c r="C73" s="24" t="s">
        <v>306</v>
      </c>
      <c r="D73" s="15"/>
      <c r="E73" s="15"/>
      <c r="F73" s="25" t="s">
        <v>123</v>
      </c>
      <c r="G73" s="26">
        <v>1</v>
      </c>
      <c r="H73" s="27"/>
      <c r="I73" s="27">
        <v>0</v>
      </c>
      <c r="J73" s="28">
        <v>10.4</v>
      </c>
      <c r="M73" s="29">
        <f>ROUND(ROUND(J73, 2)*I73, 2)</f>
        <v>0</v>
      </c>
      <c r="P73" s="28">
        <v>10.4</v>
      </c>
      <c r="S73" s="29">
        <f>ROUND(ROUND(P73, 2)*I73, 2)</f>
        <v>0</v>
      </c>
      <c r="V73" s="9">
        <f>ROUND(ROUND(P73, 2)/1.2, 2)</f>
        <v>8.67</v>
      </c>
      <c r="Y73" s="9">
        <f t="shared" si="7"/>
        <v>0</v>
      </c>
      <c r="AD73" s="4" t="s">
        <v>351</v>
      </c>
      <c r="AE73" s="4" t="s">
        <v>352</v>
      </c>
      <c r="AF73" s="4" t="s">
        <v>309</v>
      </c>
    </row>
    <row r="74" spans="1:35" ht="18.75" x14ac:dyDescent="0.25">
      <c r="A74" s="10" t="s">
        <v>355</v>
      </c>
      <c r="B74" s="10"/>
      <c r="C74" s="24" t="s">
        <v>299</v>
      </c>
      <c r="D74" s="15"/>
      <c r="E74" s="15"/>
      <c r="F74" s="25" t="s">
        <v>56</v>
      </c>
      <c r="G74" s="26">
        <v>1.1000000000000001</v>
      </c>
      <c r="H74" s="27"/>
      <c r="I74" s="27">
        <v>0</v>
      </c>
      <c r="J74" s="28">
        <v>155.01</v>
      </c>
      <c r="M74" s="29">
        <f>ROUND(ROUND(J74, 2)*I74, 2)</f>
        <v>0</v>
      </c>
      <c r="P74" s="28">
        <v>155.01</v>
      </c>
      <c r="S74" s="29">
        <f>ROUND(ROUND(P74, 2)*I74, 2)</f>
        <v>0</v>
      </c>
      <c r="V74" s="9">
        <f>ROUND(ROUND(P74, 2)/1.2, 2)</f>
        <v>129.18</v>
      </c>
      <c r="Y74" s="9">
        <f t="shared" si="7"/>
        <v>0</v>
      </c>
      <c r="AD74" s="4" t="s">
        <v>356</v>
      </c>
      <c r="AE74" s="4" t="s">
        <v>357</v>
      </c>
      <c r="AF74" s="4" t="s">
        <v>302</v>
      </c>
    </row>
    <row r="75" spans="1:35" ht="18.75" x14ac:dyDescent="0.25">
      <c r="A75" s="10" t="s">
        <v>360</v>
      </c>
      <c r="B75" s="10"/>
      <c r="C75" s="24" t="s">
        <v>291</v>
      </c>
      <c r="D75" s="15"/>
      <c r="E75" s="15" t="s">
        <v>361</v>
      </c>
      <c r="F75" s="25" t="s">
        <v>81</v>
      </c>
      <c r="G75" s="26">
        <v>1.8</v>
      </c>
      <c r="H75" s="27"/>
      <c r="I75" s="27">
        <v>0</v>
      </c>
      <c r="J75" s="28">
        <v>6.17</v>
      </c>
      <c r="M75" s="29">
        <f>ROUND(ROUND(J75, 2)*I75, 2)</f>
        <v>0</v>
      </c>
      <c r="P75" s="28">
        <v>6.17</v>
      </c>
      <c r="S75" s="29">
        <f>ROUND(ROUND(P75, 2)*I75, 2)</f>
        <v>0</v>
      </c>
      <c r="V75" s="9">
        <f>ROUND(ROUND(P75, 2)/1.2, 2)</f>
        <v>5.14</v>
      </c>
      <c r="Y75" s="9">
        <f t="shared" si="7"/>
        <v>0</v>
      </c>
      <c r="AD75" s="4" t="s">
        <v>362</v>
      </c>
      <c r="AE75" s="4" t="s">
        <v>363</v>
      </c>
      <c r="AF75" s="4" t="s">
        <v>295</v>
      </c>
    </row>
    <row r="76" spans="1:35" ht="37.5" x14ac:dyDescent="0.25">
      <c r="A76" s="10" t="s">
        <v>366</v>
      </c>
      <c r="B76" s="10" t="s">
        <v>320</v>
      </c>
      <c r="C76" s="14" t="s">
        <v>321</v>
      </c>
      <c r="D76" s="15"/>
      <c r="E76" s="15" t="s">
        <v>367</v>
      </c>
      <c r="F76" s="15" t="s">
        <v>56</v>
      </c>
      <c r="G76" s="16">
        <v>1</v>
      </c>
      <c r="H76" s="16"/>
      <c r="I76" s="16">
        <v>0</v>
      </c>
      <c r="J76" s="17">
        <f>IFERROR(ROUND(SUM(M77,M78,M79)/I76, 2),0)</f>
        <v>0</v>
      </c>
      <c r="K76" s="18">
        <v>922</v>
      </c>
      <c r="L76" s="17">
        <f>J76+ROUND(K76, 2)</f>
        <v>922</v>
      </c>
      <c r="M76" s="17">
        <f>ROUND(J76*I76, 2)</f>
        <v>0</v>
      </c>
      <c r="N76" s="17">
        <f>ROUND(I76*ROUND(K76, 2), 2)</f>
        <v>0</v>
      </c>
      <c r="O76" s="17">
        <f>M76+N76</f>
        <v>0</v>
      </c>
      <c r="P76" s="17">
        <f>IFERROR(ROUND(SUM(S77,S78,S79)/I76, 2),0)</f>
        <v>0</v>
      </c>
      <c r="Q76" s="18">
        <v>922</v>
      </c>
      <c r="R76" s="17">
        <f>P76+ROUND(Q76, 2)</f>
        <v>922</v>
      </c>
      <c r="S76" s="17">
        <f>ROUND(P76*I76, 2)</f>
        <v>0</v>
      </c>
      <c r="T76" s="17">
        <f>ROUND(I76*ROUND(Q76, 2), 2)</f>
        <v>0</v>
      </c>
      <c r="U76" s="17">
        <f>S76+T76</f>
        <v>0</v>
      </c>
      <c r="V76" s="9">
        <f>ROUND(P76 / 1.2, 2)</f>
        <v>0</v>
      </c>
      <c r="W76" s="9">
        <f>ROUND(Q76 / 1.2, 2)</f>
        <v>768.33</v>
      </c>
      <c r="X76" s="9">
        <f>ROUND(R76 / 1.2, 2)</f>
        <v>768.33</v>
      </c>
      <c r="Y76" s="9">
        <f t="shared" si="7"/>
        <v>0</v>
      </c>
      <c r="Z76" s="9">
        <f>ROUND(T76 / 1.2, 2)</f>
        <v>0</v>
      </c>
      <c r="AA76" s="9">
        <f>Y76+Z76</f>
        <v>0</v>
      </c>
      <c r="AD76" s="4">
        <v>264030366</v>
      </c>
      <c r="AE76" s="4">
        <v>16088189</v>
      </c>
      <c r="AG76" s="4" t="s">
        <v>323</v>
      </c>
      <c r="AH76" s="4" t="s">
        <v>324</v>
      </c>
      <c r="AI76" s="4" t="s">
        <v>249</v>
      </c>
    </row>
    <row r="77" spans="1:35" ht="18.75" x14ac:dyDescent="0.25">
      <c r="A77" s="10" t="s">
        <v>369</v>
      </c>
      <c r="B77" s="10"/>
      <c r="C77" s="24" t="s">
        <v>370</v>
      </c>
      <c r="D77" s="15"/>
      <c r="E77" s="15" t="s">
        <v>371</v>
      </c>
      <c r="F77" s="25" t="s">
        <v>81</v>
      </c>
      <c r="G77" s="26">
        <v>1.8</v>
      </c>
      <c r="H77" s="27"/>
      <c r="I77" s="27">
        <v>0</v>
      </c>
      <c r="J77" s="28">
        <v>7.41</v>
      </c>
      <c r="M77" s="29">
        <f>ROUND(ROUND(J77, 2)*I77, 2)</f>
        <v>0</v>
      </c>
      <c r="P77" s="28">
        <v>7.41</v>
      </c>
      <c r="S77" s="29">
        <f>ROUND(ROUND(P77, 2)*I77, 2)</f>
        <v>0</v>
      </c>
      <c r="V77" s="9">
        <f>ROUND(ROUND(P77, 2)/1.2, 2)</f>
        <v>6.18</v>
      </c>
      <c r="Y77" s="9">
        <f t="shared" si="7"/>
        <v>0</v>
      </c>
      <c r="AD77" s="4" t="s">
        <v>372</v>
      </c>
      <c r="AE77" s="4" t="s">
        <v>373</v>
      </c>
      <c r="AF77" s="4" t="s">
        <v>374</v>
      </c>
    </row>
    <row r="78" spans="1:35" ht="18.75" x14ac:dyDescent="0.25">
      <c r="A78" s="10" t="s">
        <v>377</v>
      </c>
      <c r="B78" s="10"/>
      <c r="C78" s="24" t="s">
        <v>299</v>
      </c>
      <c r="D78" s="15"/>
      <c r="E78" s="15"/>
      <c r="F78" s="25" t="s">
        <v>56</v>
      </c>
      <c r="G78" s="26">
        <v>1.1000000000000001</v>
      </c>
      <c r="H78" s="27"/>
      <c r="I78" s="27">
        <v>0</v>
      </c>
      <c r="J78" s="28">
        <v>155.01</v>
      </c>
      <c r="M78" s="29">
        <f>ROUND(ROUND(J78, 2)*I78, 2)</f>
        <v>0</v>
      </c>
      <c r="P78" s="28">
        <v>155.01</v>
      </c>
      <c r="S78" s="29">
        <f>ROUND(ROUND(P78, 2)*I78, 2)</f>
        <v>0</v>
      </c>
      <c r="V78" s="9">
        <f>ROUND(ROUND(P78, 2)/1.2, 2)</f>
        <v>129.18</v>
      </c>
      <c r="Y78" s="9">
        <f t="shared" si="7"/>
        <v>0</v>
      </c>
      <c r="AD78" s="4" t="s">
        <v>378</v>
      </c>
      <c r="AE78" s="4" t="s">
        <v>379</v>
      </c>
      <c r="AF78" s="4" t="s">
        <v>302</v>
      </c>
    </row>
    <row r="79" spans="1:35" ht="37.5" x14ac:dyDescent="0.25">
      <c r="A79" s="10" t="s">
        <v>382</v>
      </c>
      <c r="B79" s="10"/>
      <c r="C79" s="24" t="s">
        <v>306</v>
      </c>
      <c r="D79" s="15"/>
      <c r="E79" s="15"/>
      <c r="F79" s="25" t="s">
        <v>123</v>
      </c>
      <c r="G79" s="26">
        <v>1</v>
      </c>
      <c r="H79" s="27"/>
      <c r="I79" s="27">
        <v>0</v>
      </c>
      <c r="J79" s="28">
        <v>10.4</v>
      </c>
      <c r="M79" s="29">
        <f>ROUND(ROUND(J79, 2)*I79, 2)</f>
        <v>0</v>
      </c>
      <c r="P79" s="28">
        <v>10.4</v>
      </c>
      <c r="S79" s="29">
        <f>ROUND(ROUND(P79, 2)*I79, 2)</f>
        <v>0</v>
      </c>
      <c r="V79" s="9">
        <f>ROUND(ROUND(P79, 2)/1.2, 2)</f>
        <v>8.67</v>
      </c>
      <c r="Y79" s="9">
        <f t="shared" si="7"/>
        <v>0</v>
      </c>
      <c r="AD79" s="4" t="s">
        <v>383</v>
      </c>
      <c r="AE79" s="4" t="s">
        <v>384</v>
      </c>
      <c r="AF79" s="4" t="s">
        <v>309</v>
      </c>
    </row>
    <row r="80" spans="1:35" ht="75" x14ac:dyDescent="0.25">
      <c r="A80" s="10" t="s">
        <v>387</v>
      </c>
      <c r="B80" s="10" t="s">
        <v>320</v>
      </c>
      <c r="C80" s="14" t="s">
        <v>321</v>
      </c>
      <c r="D80" s="15"/>
      <c r="E80" s="15" t="s">
        <v>388</v>
      </c>
      <c r="F80" s="15" t="s">
        <v>56</v>
      </c>
      <c r="G80" s="16">
        <v>1</v>
      </c>
      <c r="H80" s="16"/>
      <c r="I80" s="16">
        <v>75.25</v>
      </c>
      <c r="J80" s="17">
        <f>IFERROR(ROUND(SUM(M81)/I80, 2),0)</f>
        <v>6.8</v>
      </c>
      <c r="K80" s="18">
        <v>1014</v>
      </c>
      <c r="L80" s="17">
        <f>J80+ROUND(K80, 2)</f>
        <v>1020.8</v>
      </c>
      <c r="M80" s="17">
        <f>ROUND(J80*I80, 2)</f>
        <v>511.7</v>
      </c>
      <c r="N80" s="17">
        <f>ROUND(I80*ROUND(K80, 2), 2)</f>
        <v>76303.5</v>
      </c>
      <c r="O80" s="17">
        <f>M80+N80</f>
        <v>76815.199999999997</v>
      </c>
      <c r="P80" s="17">
        <f>IFERROR(ROUND(SUM(S81)/I80, 2),0)</f>
        <v>6.8</v>
      </c>
      <c r="Q80" s="19">
        <v>1014</v>
      </c>
      <c r="R80" s="17">
        <f>P80+ROUND(Q80, 2)</f>
        <v>1020.8</v>
      </c>
      <c r="S80" s="17">
        <f>ROUND(P80*I80, 2)</f>
        <v>511.7</v>
      </c>
      <c r="T80" s="17">
        <f>ROUND(I80*ROUND(Q80, 2), 2)</f>
        <v>76303.5</v>
      </c>
      <c r="U80" s="17">
        <f>S80+T80</f>
        <v>76815.199999999997</v>
      </c>
      <c r="V80" s="9">
        <f>ROUND(P80 / 1.2, 2)</f>
        <v>5.67</v>
      </c>
      <c r="W80" s="9">
        <f>ROUND(Q80 / 1.2, 2)</f>
        <v>845</v>
      </c>
      <c r="X80" s="9">
        <f>ROUND(R80 / 1.2, 2)</f>
        <v>850.67</v>
      </c>
      <c r="Y80" s="9">
        <f t="shared" si="7"/>
        <v>426.42</v>
      </c>
      <c r="Z80" s="9">
        <f>ROUND(T80 / 1.2, 2)</f>
        <v>63586.25</v>
      </c>
      <c r="AA80" s="9">
        <f>Y80+Z80</f>
        <v>64012.67</v>
      </c>
      <c r="AD80" s="4">
        <v>264030367</v>
      </c>
      <c r="AE80" s="4">
        <v>19924641</v>
      </c>
      <c r="AG80" s="4" t="s">
        <v>323</v>
      </c>
      <c r="AH80" s="4" t="s">
        <v>324</v>
      </c>
      <c r="AI80" s="4" t="s">
        <v>249</v>
      </c>
    </row>
    <row r="81" spans="1:35" ht="37.5" x14ac:dyDescent="0.25">
      <c r="A81" s="10" t="s">
        <v>389</v>
      </c>
      <c r="B81" s="10"/>
      <c r="C81" s="24" t="s">
        <v>390</v>
      </c>
      <c r="D81" s="15"/>
      <c r="E81" s="15" t="s">
        <v>391</v>
      </c>
      <c r="F81" s="25" t="s">
        <v>81</v>
      </c>
      <c r="G81" s="26">
        <v>2.2000000000000002</v>
      </c>
      <c r="H81" s="27"/>
      <c r="I81" s="27">
        <v>165.55</v>
      </c>
      <c r="J81" s="28">
        <v>3.09</v>
      </c>
      <c r="M81" s="29">
        <f>ROUND(ROUND(J81, 2)*I81, 2)</f>
        <v>511.55</v>
      </c>
      <c r="P81" s="30">
        <v>3.09</v>
      </c>
      <c r="S81" s="29">
        <f>ROUND(ROUND(P81, 2)*I81, 2)</f>
        <v>511.55</v>
      </c>
      <c r="V81" s="9">
        <f>ROUND(ROUND(P81, 2)/1.2, 2)</f>
        <v>2.58</v>
      </c>
      <c r="Y81" s="9">
        <f t="shared" si="7"/>
        <v>426.29</v>
      </c>
      <c r="AD81" s="4" t="s">
        <v>392</v>
      </c>
      <c r="AE81" s="4" t="s">
        <v>393</v>
      </c>
      <c r="AF81" s="4" t="s">
        <v>394</v>
      </c>
    </row>
    <row r="82" spans="1:35" ht="168.75" x14ac:dyDescent="0.25">
      <c r="A82" s="10" t="s">
        <v>395</v>
      </c>
      <c r="B82" s="10" t="s">
        <v>320</v>
      </c>
      <c r="C82" s="14" t="s">
        <v>321</v>
      </c>
      <c r="D82" s="15"/>
      <c r="E82" s="15" t="s">
        <v>396</v>
      </c>
      <c r="F82" s="15" t="s">
        <v>56</v>
      </c>
      <c r="G82" s="16">
        <v>1</v>
      </c>
      <c r="H82" s="16"/>
      <c r="I82" s="16">
        <v>891.74</v>
      </c>
      <c r="J82" s="17">
        <f>IFERROR(ROUND(SUM(M83)/I82, 2),0)</f>
        <v>0</v>
      </c>
      <c r="K82" s="18">
        <v>1014</v>
      </c>
      <c r="L82" s="17">
        <f>J82+ROUND(K82, 2)</f>
        <v>1014</v>
      </c>
      <c r="M82" s="17">
        <f>ROUND(J82*I82, 2)</f>
        <v>0</v>
      </c>
      <c r="N82" s="17">
        <f>ROUND(I82*ROUND(K82, 2), 2)</f>
        <v>904224.36</v>
      </c>
      <c r="O82" s="17">
        <f>M82+N82</f>
        <v>904224.36</v>
      </c>
      <c r="P82" s="17">
        <f>IFERROR(ROUND(SUM(S83)/I82, 2),0)</f>
        <v>0</v>
      </c>
      <c r="Q82" s="19">
        <v>1014</v>
      </c>
      <c r="R82" s="17">
        <f>P82+ROUND(Q82, 2)</f>
        <v>1014</v>
      </c>
      <c r="S82" s="17">
        <f>ROUND(P82*I82, 2)</f>
        <v>0</v>
      </c>
      <c r="T82" s="17">
        <f>ROUND(I82*ROUND(Q82, 2), 2)</f>
        <v>904224.36</v>
      </c>
      <c r="U82" s="17">
        <f>S82+T82</f>
        <v>904224.36</v>
      </c>
      <c r="V82" s="9">
        <f>ROUND(P82 / 1.2, 2)</f>
        <v>0</v>
      </c>
      <c r="W82" s="9">
        <f>ROUND(Q82 / 1.2, 2)</f>
        <v>845</v>
      </c>
      <c r="X82" s="9">
        <f>ROUND(R82 / 1.2, 2)</f>
        <v>845</v>
      </c>
      <c r="Y82" s="9">
        <f t="shared" si="7"/>
        <v>0</v>
      </c>
      <c r="Z82" s="9">
        <f>ROUND(T82 / 1.2, 2)</f>
        <v>753520.3</v>
      </c>
      <c r="AA82" s="9">
        <f>Y82+Z82</f>
        <v>753520.3</v>
      </c>
      <c r="AD82" s="4">
        <v>264030368</v>
      </c>
      <c r="AE82" s="4">
        <v>19925077</v>
      </c>
      <c r="AG82" s="4" t="s">
        <v>323</v>
      </c>
      <c r="AH82" s="4" t="s">
        <v>324</v>
      </c>
      <c r="AI82" s="4" t="s">
        <v>249</v>
      </c>
    </row>
    <row r="83" spans="1:35" ht="56.25" x14ac:dyDescent="0.25">
      <c r="A83" s="10" t="s">
        <v>397</v>
      </c>
      <c r="B83" s="10"/>
      <c r="C83" s="24" t="s">
        <v>398</v>
      </c>
      <c r="D83" s="15"/>
      <c r="E83" s="15" t="s">
        <v>399</v>
      </c>
      <c r="F83" s="25" t="s">
        <v>81</v>
      </c>
      <c r="G83" s="26">
        <v>0.2</v>
      </c>
      <c r="H83" s="26"/>
      <c r="I83" s="26">
        <v>178.34800000000001</v>
      </c>
      <c r="J83" s="28">
        <v>0</v>
      </c>
      <c r="M83" s="29">
        <f>ROUND(ROUND(J83, 2)*I83, 2)</f>
        <v>0</v>
      </c>
      <c r="P83" s="30">
        <v>0</v>
      </c>
      <c r="S83" s="29">
        <f>ROUND(ROUND(P83, 2)*I83, 2)</f>
        <v>0</v>
      </c>
      <c r="V83" s="9">
        <f>ROUND(ROUND(P83, 2)/1.2, 2)</f>
        <v>0</v>
      </c>
      <c r="Y83" s="9">
        <f t="shared" si="7"/>
        <v>0</v>
      </c>
      <c r="AD83" s="4" t="s">
        <v>400</v>
      </c>
      <c r="AE83" s="4" t="s">
        <v>401</v>
      </c>
      <c r="AF83" s="4" t="s">
        <v>402</v>
      </c>
    </row>
    <row r="84" spans="1:35" ht="17.100000000000001" customHeight="1" x14ac:dyDescent="0.25">
      <c r="A84" s="10" t="s">
        <v>403</v>
      </c>
      <c r="B84" s="10" t="s">
        <v>404</v>
      </c>
      <c r="C84" s="116" t="s">
        <v>405</v>
      </c>
      <c r="D84" s="117"/>
      <c r="E84" s="117"/>
      <c r="F84" s="117"/>
      <c r="G84" s="117"/>
      <c r="H84" s="117"/>
      <c r="I84" s="118"/>
      <c r="M84" s="6">
        <f>SUM(M85,M88,M91)</f>
        <v>0</v>
      </c>
      <c r="N84" s="6">
        <f>SUM(N85,N88,N91)</f>
        <v>0</v>
      </c>
      <c r="O84" s="6">
        <f>SUM(O85,O88,O91)</f>
        <v>0</v>
      </c>
      <c r="S84" s="6">
        <f>SUM(S85,S88,S91)</f>
        <v>0</v>
      </c>
      <c r="T84" s="6">
        <f>SUM(T85,T88,T91)</f>
        <v>0</v>
      </c>
      <c r="U84" s="6">
        <f>SUM(U85,U88,U91)</f>
        <v>0</v>
      </c>
      <c r="Y84" s="9">
        <f>SUM(Y85,Y88,Y91)</f>
        <v>0</v>
      </c>
      <c r="Z84" s="9">
        <f>SUM(Z85,Z88,Z91)</f>
        <v>0</v>
      </c>
      <c r="AA84" s="9">
        <f>SUM(AA85,AA88,AA91)</f>
        <v>0</v>
      </c>
      <c r="AD84" s="4">
        <v>264030272</v>
      </c>
      <c r="AE84" s="4">
        <v>16077960</v>
      </c>
    </row>
    <row r="85" spans="1:35" ht="37.5" x14ac:dyDescent="0.25">
      <c r="A85" s="10" t="s">
        <v>406</v>
      </c>
      <c r="B85" s="10" t="s">
        <v>407</v>
      </c>
      <c r="C85" s="14" t="s">
        <v>408</v>
      </c>
      <c r="D85" s="15"/>
      <c r="E85" s="15" t="s">
        <v>409</v>
      </c>
      <c r="F85" s="15" t="s">
        <v>56</v>
      </c>
      <c r="G85" s="16">
        <v>1</v>
      </c>
      <c r="H85" s="16"/>
      <c r="I85" s="16">
        <v>0</v>
      </c>
      <c r="J85" s="17">
        <f>IFERROR(ROUND(SUM(M86,M87)/I85, 2),0)</f>
        <v>0</v>
      </c>
      <c r="K85" s="18">
        <v>439</v>
      </c>
      <c r="L85" s="17">
        <f>J85+ROUND(K85, 2)</f>
        <v>439</v>
      </c>
      <c r="M85" s="17">
        <f>ROUND(J85*I85, 2)</f>
        <v>0</v>
      </c>
      <c r="N85" s="17">
        <f>ROUND(I85*ROUND(K85, 2), 2)</f>
        <v>0</v>
      </c>
      <c r="O85" s="17">
        <f>M85+N85</f>
        <v>0</v>
      </c>
      <c r="P85" s="17">
        <f>IFERROR(ROUND(SUM(S86,S87)/I85, 2),0)</f>
        <v>0</v>
      </c>
      <c r="Q85" s="18">
        <v>439</v>
      </c>
      <c r="R85" s="17">
        <f>P85+ROUND(Q85, 2)</f>
        <v>439</v>
      </c>
      <c r="S85" s="17">
        <f>ROUND(P85*I85, 2)</f>
        <v>0</v>
      </c>
      <c r="T85" s="17">
        <f>ROUND(I85*ROUND(Q85, 2), 2)</f>
        <v>0</v>
      </c>
      <c r="U85" s="17">
        <f>S85+T85</f>
        <v>0</v>
      </c>
      <c r="V85" s="9">
        <f>ROUND(P85 / 1.2, 2)</f>
        <v>0</v>
      </c>
      <c r="W85" s="9">
        <f>ROUND(Q85 / 1.2, 2)</f>
        <v>365.83</v>
      </c>
      <c r="X85" s="9">
        <f>ROUND(R85 / 1.2, 2)</f>
        <v>365.83</v>
      </c>
      <c r="Y85" s="9">
        <f>ROUND(S85 / 1.2, 2)</f>
        <v>0</v>
      </c>
      <c r="Z85" s="9">
        <f>ROUND(T85 / 1.2, 2)</f>
        <v>0</v>
      </c>
      <c r="AA85" s="9">
        <f>Y85+Z85</f>
        <v>0</v>
      </c>
      <c r="AD85" s="4">
        <v>264030274</v>
      </c>
      <c r="AE85" s="4">
        <v>16077964</v>
      </c>
      <c r="AG85" s="4" t="s">
        <v>410</v>
      </c>
      <c r="AH85" s="4" t="s">
        <v>411</v>
      </c>
      <c r="AI85" s="4" t="s">
        <v>249</v>
      </c>
    </row>
    <row r="86" spans="1:35" ht="18.75" x14ac:dyDescent="0.25">
      <c r="A86" s="10" t="s">
        <v>413</v>
      </c>
      <c r="B86" s="10"/>
      <c r="C86" s="24" t="s">
        <v>414</v>
      </c>
      <c r="D86" s="15"/>
      <c r="E86" s="15"/>
      <c r="F86" s="25" t="s">
        <v>103</v>
      </c>
      <c r="G86" s="26">
        <v>0.1</v>
      </c>
      <c r="H86" s="27"/>
      <c r="I86" s="27">
        <v>0</v>
      </c>
      <c r="J86" s="28">
        <v>600</v>
      </c>
      <c r="M86" s="29">
        <f>ROUND(ROUND(J86, 2)*I86, 2)</f>
        <v>0</v>
      </c>
      <c r="P86" s="28">
        <v>600</v>
      </c>
      <c r="S86" s="29">
        <f>ROUND(ROUND(P86, 2)*I86, 2)</f>
        <v>0</v>
      </c>
      <c r="V86" s="9">
        <f>ROUND(ROUND(P86, 2)/1.2, 2)</f>
        <v>500</v>
      </c>
      <c r="Y86" s="9">
        <f t="shared" ref="Y86:Y92" si="8">ROUND(S86 / 1.2, 2)</f>
        <v>0</v>
      </c>
      <c r="AD86" s="4" t="s">
        <v>415</v>
      </c>
      <c r="AE86" s="4" t="s">
        <v>416</v>
      </c>
      <c r="AF86" s="4" t="s">
        <v>417</v>
      </c>
    </row>
    <row r="87" spans="1:35" ht="18.75" x14ac:dyDescent="0.25">
      <c r="A87" s="10" t="s">
        <v>420</v>
      </c>
      <c r="B87" s="10"/>
      <c r="C87" s="37" t="s">
        <v>421</v>
      </c>
      <c r="D87" s="15"/>
      <c r="E87" s="15"/>
      <c r="F87" s="25" t="s">
        <v>422</v>
      </c>
      <c r="G87" s="26">
        <v>1.03</v>
      </c>
      <c r="H87" s="27"/>
      <c r="I87" s="27">
        <v>0</v>
      </c>
      <c r="J87" s="28">
        <v>5213.5</v>
      </c>
      <c r="M87" s="29">
        <f>ROUND(ROUND(J87, 2)*I87, 2)</f>
        <v>0</v>
      </c>
      <c r="P87" s="28">
        <v>5213.5</v>
      </c>
      <c r="S87" s="29">
        <f>ROUND(ROUND(P87, 2)*I87, 2)</f>
        <v>0</v>
      </c>
      <c r="V87" s="9">
        <f>ROUND(ROUND(P87, 2)/1.2, 2)</f>
        <v>4344.58</v>
      </c>
      <c r="Y87" s="9">
        <f t="shared" si="8"/>
        <v>0</v>
      </c>
      <c r="AD87" s="4" t="s">
        <v>423</v>
      </c>
      <c r="AE87" s="4" t="s">
        <v>424</v>
      </c>
      <c r="AF87" s="4" t="s">
        <v>425</v>
      </c>
    </row>
    <row r="88" spans="1:35" ht="37.5" x14ac:dyDescent="0.25">
      <c r="A88" s="10" t="s">
        <v>428</v>
      </c>
      <c r="B88" s="10" t="s">
        <v>407</v>
      </c>
      <c r="C88" s="14" t="s">
        <v>408</v>
      </c>
      <c r="D88" s="15"/>
      <c r="E88" s="15" t="s">
        <v>429</v>
      </c>
      <c r="F88" s="15" t="s">
        <v>56</v>
      </c>
      <c r="G88" s="16">
        <v>1</v>
      </c>
      <c r="H88" s="16"/>
      <c r="I88" s="16">
        <v>0</v>
      </c>
      <c r="J88" s="17">
        <f>IFERROR(ROUND(SUM(M89,M90)/I88, 2),0)</f>
        <v>0</v>
      </c>
      <c r="K88" s="18">
        <v>439</v>
      </c>
      <c r="L88" s="17">
        <f>J88+ROUND(K88, 2)</f>
        <v>439</v>
      </c>
      <c r="M88" s="17">
        <f>ROUND(J88*I88, 2)</f>
        <v>0</v>
      </c>
      <c r="N88" s="17">
        <f>ROUND(I88*ROUND(K88, 2), 2)</f>
        <v>0</v>
      </c>
      <c r="O88" s="17">
        <f>M88+N88</f>
        <v>0</v>
      </c>
      <c r="P88" s="17">
        <f>IFERROR(ROUND(SUM(S89,S90)/I88, 2),0)</f>
        <v>0</v>
      </c>
      <c r="Q88" s="18">
        <v>439</v>
      </c>
      <c r="R88" s="17">
        <f>P88+ROUND(Q88, 2)</f>
        <v>439</v>
      </c>
      <c r="S88" s="17">
        <f>ROUND(P88*I88, 2)</f>
        <v>0</v>
      </c>
      <c r="T88" s="17">
        <f>ROUND(I88*ROUND(Q88, 2), 2)</f>
        <v>0</v>
      </c>
      <c r="U88" s="17">
        <f>S88+T88</f>
        <v>0</v>
      </c>
      <c r="V88" s="9">
        <f>ROUND(P88 / 1.2, 2)</f>
        <v>0</v>
      </c>
      <c r="W88" s="9">
        <f>ROUND(Q88 / 1.2, 2)</f>
        <v>365.83</v>
      </c>
      <c r="X88" s="9">
        <f>ROUND(R88 / 1.2, 2)</f>
        <v>365.83</v>
      </c>
      <c r="Y88" s="9">
        <f t="shared" si="8"/>
        <v>0</v>
      </c>
      <c r="Z88" s="9">
        <f>ROUND(T88 / 1.2, 2)</f>
        <v>0</v>
      </c>
      <c r="AA88" s="9">
        <f>Y88+Z88</f>
        <v>0</v>
      </c>
      <c r="AD88" s="4">
        <v>264030369</v>
      </c>
      <c r="AE88" s="4">
        <v>16088188</v>
      </c>
      <c r="AG88" s="4" t="s">
        <v>410</v>
      </c>
      <c r="AH88" s="4" t="s">
        <v>411</v>
      </c>
      <c r="AI88" s="4" t="s">
        <v>249</v>
      </c>
    </row>
    <row r="89" spans="1:35" ht="18.75" x14ac:dyDescent="0.25">
      <c r="A89" s="10" t="s">
        <v>431</v>
      </c>
      <c r="B89" s="10"/>
      <c r="C89" s="37" t="s">
        <v>421</v>
      </c>
      <c r="D89" s="15"/>
      <c r="E89" s="15"/>
      <c r="F89" s="25" t="s">
        <v>422</v>
      </c>
      <c r="G89" s="26">
        <v>1.03</v>
      </c>
      <c r="H89" s="27"/>
      <c r="I89" s="27">
        <v>0</v>
      </c>
      <c r="J89" s="28">
        <v>5213.5</v>
      </c>
      <c r="M89" s="29">
        <f>ROUND(ROUND(J89, 2)*I89, 2)</f>
        <v>0</v>
      </c>
      <c r="P89" s="28">
        <v>5213.5</v>
      </c>
      <c r="S89" s="29">
        <f>ROUND(ROUND(P89, 2)*I89, 2)</f>
        <v>0</v>
      </c>
      <c r="V89" s="9">
        <f>ROUND(ROUND(P89, 2)/1.2, 2)</f>
        <v>4344.58</v>
      </c>
      <c r="Y89" s="9">
        <f t="shared" si="8"/>
        <v>0</v>
      </c>
      <c r="AD89" s="4" t="s">
        <v>432</v>
      </c>
      <c r="AE89" s="4" t="s">
        <v>433</v>
      </c>
      <c r="AF89" s="4" t="s">
        <v>425</v>
      </c>
    </row>
    <row r="90" spans="1:35" ht="18.75" x14ac:dyDescent="0.25">
      <c r="A90" s="10" t="s">
        <v>436</v>
      </c>
      <c r="B90" s="10"/>
      <c r="C90" s="24" t="s">
        <v>414</v>
      </c>
      <c r="D90" s="15"/>
      <c r="E90" s="15"/>
      <c r="F90" s="25" t="s">
        <v>103</v>
      </c>
      <c r="G90" s="26">
        <v>0.1</v>
      </c>
      <c r="H90" s="27"/>
      <c r="I90" s="27">
        <v>0</v>
      </c>
      <c r="J90" s="28">
        <v>600</v>
      </c>
      <c r="M90" s="29">
        <f>ROUND(ROUND(J90, 2)*I90, 2)</f>
        <v>0</v>
      </c>
      <c r="P90" s="28">
        <v>600</v>
      </c>
      <c r="S90" s="29">
        <f>ROUND(ROUND(P90, 2)*I90, 2)</f>
        <v>0</v>
      </c>
      <c r="V90" s="9">
        <f>ROUND(ROUND(P90, 2)/1.2, 2)</f>
        <v>500</v>
      </c>
      <c r="Y90" s="9">
        <f t="shared" si="8"/>
        <v>0</v>
      </c>
      <c r="AD90" s="4" t="s">
        <v>437</v>
      </c>
      <c r="AE90" s="4" t="s">
        <v>438</v>
      </c>
      <c r="AF90" s="4" t="s">
        <v>417</v>
      </c>
    </row>
    <row r="91" spans="1:35" ht="37.5" x14ac:dyDescent="0.25">
      <c r="A91" s="10" t="s">
        <v>441</v>
      </c>
      <c r="B91" s="10" t="s">
        <v>442</v>
      </c>
      <c r="C91" s="14" t="s">
        <v>443</v>
      </c>
      <c r="D91" s="15"/>
      <c r="E91" s="15" t="s">
        <v>444</v>
      </c>
      <c r="F91" s="15" t="s">
        <v>56</v>
      </c>
      <c r="G91" s="16">
        <v>1</v>
      </c>
      <c r="H91" s="16"/>
      <c r="I91" s="16">
        <v>0</v>
      </c>
      <c r="J91" s="17">
        <f>IFERROR(ROUND(SUM(M92)/I91, 2),0)</f>
        <v>0</v>
      </c>
      <c r="K91" s="18">
        <v>56</v>
      </c>
      <c r="L91" s="17">
        <f>J91+ROUND(K91, 2)</f>
        <v>56</v>
      </c>
      <c r="M91" s="17">
        <f>ROUND(J91*I91, 2)</f>
        <v>0</v>
      </c>
      <c r="N91" s="17">
        <f>ROUND(I91*ROUND(K91, 2), 2)</f>
        <v>0</v>
      </c>
      <c r="O91" s="17">
        <f>M91+N91</f>
        <v>0</v>
      </c>
      <c r="P91" s="17">
        <f>IFERROR(ROUND(SUM(S92)/I91, 2),0)</f>
        <v>0</v>
      </c>
      <c r="Q91" s="18">
        <v>56</v>
      </c>
      <c r="R91" s="17">
        <f>P91+ROUND(Q91, 2)</f>
        <v>56</v>
      </c>
      <c r="S91" s="17">
        <f>ROUND(P91*I91, 2)</f>
        <v>0</v>
      </c>
      <c r="T91" s="17">
        <f>ROUND(I91*ROUND(Q91, 2), 2)</f>
        <v>0</v>
      </c>
      <c r="U91" s="17">
        <f>S91+T91</f>
        <v>0</v>
      </c>
      <c r="V91" s="9">
        <f>ROUND(P91 / 1.2, 2)</f>
        <v>0</v>
      </c>
      <c r="W91" s="9">
        <f>ROUND(Q91 / 1.2, 2)</f>
        <v>46.67</v>
      </c>
      <c r="X91" s="9">
        <f>ROUND(R91 / 1.2, 2)</f>
        <v>46.67</v>
      </c>
      <c r="Y91" s="9">
        <f t="shared" si="8"/>
        <v>0</v>
      </c>
      <c r="Z91" s="9">
        <f>ROUND(T91 / 1.2, 2)</f>
        <v>0</v>
      </c>
      <c r="AA91" s="9">
        <f>Y91+Z91</f>
        <v>0</v>
      </c>
      <c r="AD91" s="4">
        <v>264030275</v>
      </c>
      <c r="AE91" s="4">
        <v>16078329</v>
      </c>
      <c r="AG91" s="4" t="s">
        <v>445</v>
      </c>
      <c r="AH91" s="4" t="s">
        <v>446</v>
      </c>
      <c r="AI91" s="4" t="s">
        <v>249</v>
      </c>
    </row>
    <row r="92" spans="1:35" ht="56.25" x14ac:dyDescent="0.25">
      <c r="A92" s="10" t="s">
        <v>448</v>
      </c>
      <c r="B92" s="10"/>
      <c r="C92" s="24" t="s">
        <v>449</v>
      </c>
      <c r="D92" s="15"/>
      <c r="E92" s="15" t="s">
        <v>450</v>
      </c>
      <c r="F92" s="25" t="s">
        <v>56</v>
      </c>
      <c r="G92" s="26">
        <v>1.03</v>
      </c>
      <c r="H92" s="26"/>
      <c r="I92" s="26">
        <v>0</v>
      </c>
      <c r="J92" s="28">
        <v>54</v>
      </c>
      <c r="M92" s="29">
        <f>ROUND(ROUND(J92, 2)*I92, 2)</f>
        <v>0</v>
      </c>
      <c r="P92" s="28">
        <v>54</v>
      </c>
      <c r="S92" s="29">
        <f>ROUND(ROUND(P92, 2)*I92, 2)</f>
        <v>0</v>
      </c>
      <c r="V92" s="9">
        <f>ROUND(ROUND(P92, 2)/1.2, 2)</f>
        <v>45</v>
      </c>
      <c r="Y92" s="9">
        <f t="shared" si="8"/>
        <v>0</v>
      </c>
      <c r="AD92" s="4" t="s">
        <v>451</v>
      </c>
      <c r="AE92" s="4" t="s">
        <v>452</v>
      </c>
      <c r="AF92" s="4" t="s">
        <v>453</v>
      </c>
    </row>
    <row r="93" spans="1:35" ht="17.100000000000001" customHeight="1" x14ac:dyDescent="0.25">
      <c r="A93" s="10" t="s">
        <v>456</v>
      </c>
      <c r="B93" s="10" t="s">
        <v>457</v>
      </c>
      <c r="C93" s="116" t="s">
        <v>458</v>
      </c>
      <c r="D93" s="117"/>
      <c r="E93" s="117"/>
      <c r="F93" s="117"/>
      <c r="G93" s="117"/>
      <c r="H93" s="117"/>
      <c r="I93" s="118"/>
      <c r="M93" s="6">
        <f>SUM(M94,M99,M104,M109,M113,M116,M121,M126)</f>
        <v>1450065.88</v>
      </c>
      <c r="N93" s="6">
        <f>SUM(N94,N99,N104,N109,N113,N116,N121,N126)</f>
        <v>417036.10000000003</v>
      </c>
      <c r="O93" s="6">
        <f>SUM(O94,O99,O104,O109,O113,O116,O121,O126)</f>
        <v>1867101.98</v>
      </c>
      <c r="S93" s="6">
        <f>SUM(S94,S99,S104,S109,S113,S116,S121,S126)</f>
        <v>1450065.88</v>
      </c>
      <c r="T93" s="6">
        <f>SUM(T94,T99,T104,T109,T113,T116,T121,T126)</f>
        <v>417036.10000000003</v>
      </c>
      <c r="U93" s="6">
        <f>SUM(U94,U99,U104,U109,U113,U116,U121,U126)</f>
        <v>1867101.98</v>
      </c>
      <c r="Y93" s="9">
        <f>SUM(Y94,Y99,Y104,Y109,Y113,Y116,Y121,Y126)</f>
        <v>1208388.24</v>
      </c>
      <c r="Z93" s="9">
        <f>SUM(Z94,Z99,Z104,Z109,Z113,Z116,Z121,Z126)</f>
        <v>347530.08</v>
      </c>
      <c r="AA93" s="9">
        <f>SUM(AA94,AA99,AA104,AA109,AA113,AA116,AA121,AA126)</f>
        <v>1555918.32</v>
      </c>
      <c r="AD93" s="4">
        <v>264030276</v>
      </c>
      <c r="AE93" s="4">
        <v>16075337</v>
      </c>
    </row>
    <row r="94" spans="1:35" ht="75" x14ac:dyDescent="0.25">
      <c r="A94" s="10" t="s">
        <v>459</v>
      </c>
      <c r="B94" s="10" t="s">
        <v>460</v>
      </c>
      <c r="C94" s="14" t="s">
        <v>461</v>
      </c>
      <c r="D94" s="15"/>
      <c r="E94" s="15" t="s">
        <v>462</v>
      </c>
      <c r="F94" s="15" t="s">
        <v>56</v>
      </c>
      <c r="G94" s="16">
        <v>1</v>
      </c>
      <c r="H94" s="16"/>
      <c r="I94" s="16">
        <v>0</v>
      </c>
      <c r="J94" s="17">
        <f>IFERROR(ROUND(SUM(M95,M96,M97,M98)/I94, 2),0)</f>
        <v>0</v>
      </c>
      <c r="K94" s="18">
        <v>1251</v>
      </c>
      <c r="L94" s="17">
        <f>J94+ROUND(K94, 2)</f>
        <v>1251</v>
      </c>
      <c r="M94" s="17">
        <f>ROUND(J94*I94, 2)</f>
        <v>0</v>
      </c>
      <c r="N94" s="17">
        <f>ROUND(I94*ROUND(K94, 2), 2)</f>
        <v>0</v>
      </c>
      <c r="O94" s="17">
        <f>M94+N94</f>
        <v>0</v>
      </c>
      <c r="P94" s="17">
        <f>IFERROR(ROUND(SUM(S95,S96,S97,S98)/I94, 2),0)</f>
        <v>0</v>
      </c>
      <c r="Q94" s="18">
        <v>1251</v>
      </c>
      <c r="R94" s="17">
        <f>P94+ROUND(Q94, 2)</f>
        <v>1251</v>
      </c>
      <c r="S94" s="17">
        <f>ROUND(P94*I94, 2)</f>
        <v>0</v>
      </c>
      <c r="T94" s="17">
        <f>ROUND(I94*ROUND(Q94, 2), 2)</f>
        <v>0</v>
      </c>
      <c r="U94" s="17">
        <f>S94+T94</f>
        <v>0</v>
      </c>
      <c r="V94" s="9">
        <f>ROUND(P94 / 1.2, 2)</f>
        <v>0</v>
      </c>
      <c r="W94" s="9">
        <f>ROUND(Q94 / 1.2, 2)</f>
        <v>1042.5</v>
      </c>
      <c r="X94" s="9">
        <f>ROUND(R94 / 1.2, 2)</f>
        <v>1042.5</v>
      </c>
      <c r="Y94" s="9">
        <f>ROUND(S94 / 1.2, 2)</f>
        <v>0</v>
      </c>
      <c r="Z94" s="9">
        <f>ROUND(T94 / 1.2, 2)</f>
        <v>0</v>
      </c>
      <c r="AA94" s="9">
        <f>Y94+Z94</f>
        <v>0</v>
      </c>
      <c r="AD94" s="4">
        <v>264030278</v>
      </c>
      <c r="AE94" s="4">
        <v>16080908</v>
      </c>
      <c r="AG94" s="4" t="s">
        <v>463</v>
      </c>
      <c r="AH94" s="4" t="s">
        <v>464</v>
      </c>
      <c r="AI94" s="4" t="s">
        <v>249</v>
      </c>
    </row>
    <row r="95" spans="1:35" ht="37.5" x14ac:dyDescent="0.25">
      <c r="A95" s="10" t="s">
        <v>466</v>
      </c>
      <c r="B95" s="10"/>
      <c r="C95" s="37" t="s">
        <v>467</v>
      </c>
      <c r="D95" s="15"/>
      <c r="E95" s="15" t="s">
        <v>468</v>
      </c>
      <c r="F95" s="25" t="s">
        <v>81</v>
      </c>
      <c r="G95" s="26">
        <v>1.2</v>
      </c>
      <c r="H95" s="27"/>
      <c r="I95" s="27">
        <v>0</v>
      </c>
      <c r="J95" s="28">
        <v>6.28</v>
      </c>
      <c r="M95" s="29">
        <f>ROUND(ROUND(J95, 2)*I95, 2)</f>
        <v>0</v>
      </c>
      <c r="P95" s="28">
        <v>6.28</v>
      </c>
      <c r="S95" s="29">
        <f>ROUND(ROUND(P95, 2)*I95, 2)</f>
        <v>0</v>
      </c>
      <c r="V95" s="9">
        <f>ROUND(ROUND(P95, 2)/1.2, 2)</f>
        <v>5.23</v>
      </c>
      <c r="Y95" s="9">
        <f t="shared" ref="Y95:Y128" si="9">ROUND(S95 / 1.2, 2)</f>
        <v>0</v>
      </c>
      <c r="AD95" s="4" t="s">
        <v>469</v>
      </c>
      <c r="AE95" s="4" t="s">
        <v>470</v>
      </c>
      <c r="AF95" s="4" t="s">
        <v>471</v>
      </c>
    </row>
    <row r="96" spans="1:35" ht="75" x14ac:dyDescent="0.25">
      <c r="A96" s="10" t="s">
        <v>474</v>
      </c>
      <c r="B96" s="10"/>
      <c r="C96" s="37" t="s">
        <v>475</v>
      </c>
      <c r="D96" s="15"/>
      <c r="E96" s="15" t="s">
        <v>476</v>
      </c>
      <c r="F96" s="25" t="s">
        <v>56</v>
      </c>
      <c r="G96" s="26">
        <v>1.07</v>
      </c>
      <c r="H96" s="27"/>
      <c r="I96" s="27">
        <v>0</v>
      </c>
      <c r="J96" s="28">
        <v>504</v>
      </c>
      <c r="M96" s="29">
        <f>ROUND(ROUND(J96, 2)*I96, 2)</f>
        <v>0</v>
      </c>
      <c r="P96" s="28">
        <v>1083.5999999999999</v>
      </c>
      <c r="S96" s="29">
        <f>ROUND(ROUND(P96, 2)*I96, 2)</f>
        <v>0</v>
      </c>
      <c r="V96" s="9">
        <f>ROUND(ROUND(P96, 2)/1.2, 2)</f>
        <v>903</v>
      </c>
      <c r="Y96" s="9">
        <f t="shared" si="9"/>
        <v>0</v>
      </c>
      <c r="AD96" s="4" t="s">
        <v>477</v>
      </c>
      <c r="AE96" s="4" t="s">
        <v>478</v>
      </c>
      <c r="AF96" s="4" t="s">
        <v>479</v>
      </c>
    </row>
    <row r="97" spans="1:35" ht="37.5" x14ac:dyDescent="0.25">
      <c r="A97" s="10" t="s">
        <v>482</v>
      </c>
      <c r="B97" s="10"/>
      <c r="C97" s="24" t="s">
        <v>483</v>
      </c>
      <c r="D97" s="15"/>
      <c r="E97" s="15"/>
      <c r="F97" s="25" t="s">
        <v>81</v>
      </c>
      <c r="G97" s="26">
        <v>0.25</v>
      </c>
      <c r="H97" s="27"/>
      <c r="I97" s="27">
        <v>0</v>
      </c>
      <c r="J97" s="28">
        <v>40.270000000000003</v>
      </c>
      <c r="M97" s="29">
        <f>ROUND(ROUND(J97, 2)*I97, 2)</f>
        <v>0</v>
      </c>
      <c r="P97" s="28">
        <v>40.270000000000003</v>
      </c>
      <c r="S97" s="29">
        <f>ROUND(ROUND(P97, 2)*I97, 2)</f>
        <v>0</v>
      </c>
      <c r="V97" s="9">
        <f>ROUND(ROUND(P97, 2)/1.2, 2)</f>
        <v>33.56</v>
      </c>
      <c r="Y97" s="9">
        <f t="shared" si="9"/>
        <v>0</v>
      </c>
      <c r="AD97" s="4" t="s">
        <v>484</v>
      </c>
      <c r="AE97" s="4" t="s">
        <v>485</v>
      </c>
      <c r="AF97" s="4" t="s">
        <v>486</v>
      </c>
    </row>
    <row r="98" spans="1:35" ht="37.5" x14ac:dyDescent="0.25">
      <c r="A98" s="10" t="s">
        <v>489</v>
      </c>
      <c r="B98" s="10"/>
      <c r="C98" s="24" t="s">
        <v>490</v>
      </c>
      <c r="D98" s="15"/>
      <c r="E98" s="15"/>
      <c r="F98" s="25" t="s">
        <v>81</v>
      </c>
      <c r="G98" s="26">
        <v>0.15</v>
      </c>
      <c r="H98" s="26"/>
      <c r="I98" s="26">
        <v>0</v>
      </c>
      <c r="J98" s="28">
        <v>88.8</v>
      </c>
      <c r="M98" s="29">
        <f>ROUND(ROUND(J98, 2)*I98, 2)</f>
        <v>0</v>
      </c>
      <c r="P98" s="28">
        <v>88.8</v>
      </c>
      <c r="S98" s="29">
        <f>ROUND(ROUND(P98, 2)*I98, 2)</f>
        <v>0</v>
      </c>
      <c r="V98" s="9">
        <f>ROUND(ROUND(P98, 2)/1.2, 2)</f>
        <v>74</v>
      </c>
      <c r="Y98" s="9">
        <f t="shared" si="9"/>
        <v>0</v>
      </c>
      <c r="AD98" s="4" t="s">
        <v>491</v>
      </c>
      <c r="AE98" s="4" t="s">
        <v>492</v>
      </c>
      <c r="AF98" s="4" t="s">
        <v>493</v>
      </c>
    </row>
    <row r="99" spans="1:35" ht="75" x14ac:dyDescent="0.25">
      <c r="A99" s="10" t="s">
        <v>496</v>
      </c>
      <c r="B99" s="10" t="s">
        <v>460</v>
      </c>
      <c r="C99" s="14" t="s">
        <v>461</v>
      </c>
      <c r="D99" s="15"/>
      <c r="E99" s="15" t="s">
        <v>497</v>
      </c>
      <c r="F99" s="15" t="s">
        <v>56</v>
      </c>
      <c r="G99" s="16">
        <v>1</v>
      </c>
      <c r="H99" s="16"/>
      <c r="I99" s="16">
        <v>0</v>
      </c>
      <c r="J99" s="17">
        <f>IFERROR(ROUND(SUM(M100,M101,M102,M103)/I99, 2),0)</f>
        <v>0</v>
      </c>
      <c r="K99" s="18">
        <v>1251</v>
      </c>
      <c r="L99" s="17">
        <f>J99+ROUND(K99, 2)</f>
        <v>1251</v>
      </c>
      <c r="M99" s="17">
        <f>ROUND(J99*I99, 2)</f>
        <v>0</v>
      </c>
      <c r="N99" s="17">
        <f>ROUND(I99*ROUND(K99, 2), 2)</f>
        <v>0</v>
      </c>
      <c r="O99" s="17">
        <f>M99+N99</f>
        <v>0</v>
      </c>
      <c r="P99" s="17">
        <f>IFERROR(ROUND(SUM(S100,S101,S102,S103)/I99, 2),0)</f>
        <v>0</v>
      </c>
      <c r="Q99" s="18">
        <v>1251</v>
      </c>
      <c r="R99" s="17">
        <f>P99+ROUND(Q99, 2)</f>
        <v>1251</v>
      </c>
      <c r="S99" s="17">
        <f>ROUND(P99*I99, 2)</f>
        <v>0</v>
      </c>
      <c r="T99" s="17">
        <f>ROUND(I99*ROUND(Q99, 2), 2)</f>
        <v>0</v>
      </c>
      <c r="U99" s="17">
        <f>S99+T99</f>
        <v>0</v>
      </c>
      <c r="V99" s="9">
        <f>ROUND(P99 / 1.2, 2)</f>
        <v>0</v>
      </c>
      <c r="W99" s="9">
        <f>ROUND(Q99 / 1.2, 2)</f>
        <v>1042.5</v>
      </c>
      <c r="X99" s="9">
        <f>ROUND(R99 / 1.2, 2)</f>
        <v>1042.5</v>
      </c>
      <c r="Y99" s="9">
        <f t="shared" si="9"/>
        <v>0</v>
      </c>
      <c r="Z99" s="9">
        <f>ROUND(T99 / 1.2, 2)</f>
        <v>0</v>
      </c>
      <c r="AA99" s="9">
        <f>Y99+Z99</f>
        <v>0</v>
      </c>
      <c r="AD99" s="4">
        <v>264030370</v>
      </c>
      <c r="AE99" s="4">
        <v>16080909</v>
      </c>
      <c r="AG99" s="4" t="s">
        <v>463</v>
      </c>
      <c r="AH99" s="4" t="s">
        <v>464</v>
      </c>
      <c r="AI99" s="4" t="s">
        <v>249</v>
      </c>
    </row>
    <row r="100" spans="1:35" ht="37.5" x14ac:dyDescent="0.25">
      <c r="A100" s="10" t="s">
        <v>499</v>
      </c>
      <c r="B100" s="10"/>
      <c r="C100" s="24" t="s">
        <v>490</v>
      </c>
      <c r="D100" s="15"/>
      <c r="E100" s="15"/>
      <c r="F100" s="25" t="s">
        <v>81</v>
      </c>
      <c r="G100" s="26">
        <v>0.15</v>
      </c>
      <c r="H100" s="26"/>
      <c r="I100" s="26">
        <v>0</v>
      </c>
      <c r="J100" s="28">
        <v>88.8</v>
      </c>
      <c r="M100" s="29">
        <f>ROUND(ROUND(J100, 2)*I100, 2)</f>
        <v>0</v>
      </c>
      <c r="P100" s="28">
        <v>88.8</v>
      </c>
      <c r="S100" s="29">
        <f>ROUND(ROUND(P100, 2)*I100, 2)</f>
        <v>0</v>
      </c>
      <c r="V100" s="9">
        <f>ROUND(ROUND(P100, 2)/1.2, 2)</f>
        <v>74</v>
      </c>
      <c r="Y100" s="9">
        <f t="shared" si="9"/>
        <v>0</v>
      </c>
      <c r="AD100" s="4" t="s">
        <v>500</v>
      </c>
      <c r="AE100" s="4" t="s">
        <v>501</v>
      </c>
      <c r="AF100" s="4" t="s">
        <v>493</v>
      </c>
    </row>
    <row r="101" spans="1:35" ht="37.5" x14ac:dyDescent="0.25">
      <c r="A101" s="10" t="s">
        <v>504</v>
      </c>
      <c r="B101" s="10"/>
      <c r="C101" s="24" t="s">
        <v>483</v>
      </c>
      <c r="D101" s="15"/>
      <c r="E101" s="15"/>
      <c r="F101" s="25" t="s">
        <v>81</v>
      </c>
      <c r="G101" s="26">
        <v>0.25</v>
      </c>
      <c r="H101" s="27"/>
      <c r="I101" s="27">
        <v>0</v>
      </c>
      <c r="J101" s="28">
        <v>40.270000000000003</v>
      </c>
      <c r="M101" s="29">
        <f>ROUND(ROUND(J101, 2)*I101, 2)</f>
        <v>0</v>
      </c>
      <c r="P101" s="28">
        <v>40.270000000000003</v>
      </c>
      <c r="S101" s="29">
        <f>ROUND(ROUND(P101, 2)*I101, 2)</f>
        <v>0</v>
      </c>
      <c r="V101" s="9">
        <f>ROUND(ROUND(P101, 2)/1.2, 2)</f>
        <v>33.56</v>
      </c>
      <c r="Y101" s="9">
        <f t="shared" si="9"/>
        <v>0</v>
      </c>
      <c r="AD101" s="4" t="s">
        <v>505</v>
      </c>
      <c r="AE101" s="4" t="s">
        <v>506</v>
      </c>
      <c r="AF101" s="4" t="s">
        <v>486</v>
      </c>
    </row>
    <row r="102" spans="1:35" ht="37.5" x14ac:dyDescent="0.25">
      <c r="A102" s="10" t="s">
        <v>509</v>
      </c>
      <c r="B102" s="10"/>
      <c r="C102" s="37" t="s">
        <v>467</v>
      </c>
      <c r="D102" s="15"/>
      <c r="E102" s="15"/>
      <c r="F102" s="25" t="s">
        <v>81</v>
      </c>
      <c r="G102" s="26">
        <v>1.2</v>
      </c>
      <c r="H102" s="27"/>
      <c r="I102" s="27">
        <v>0</v>
      </c>
      <c r="J102" s="28">
        <v>6.28</v>
      </c>
      <c r="M102" s="29">
        <f>ROUND(ROUND(J102, 2)*I102, 2)</f>
        <v>0</v>
      </c>
      <c r="P102" s="28">
        <v>6.28</v>
      </c>
      <c r="S102" s="29">
        <f>ROUND(ROUND(P102, 2)*I102, 2)</f>
        <v>0</v>
      </c>
      <c r="V102" s="9">
        <f>ROUND(ROUND(P102, 2)/1.2, 2)</f>
        <v>5.23</v>
      </c>
      <c r="Y102" s="9">
        <f t="shared" si="9"/>
        <v>0</v>
      </c>
      <c r="AD102" s="4" t="s">
        <v>510</v>
      </c>
      <c r="AE102" s="4" t="s">
        <v>511</v>
      </c>
      <c r="AF102" s="4" t="s">
        <v>471</v>
      </c>
    </row>
    <row r="103" spans="1:35" ht="93.75" x14ac:dyDescent="0.25">
      <c r="A103" s="10" t="s">
        <v>514</v>
      </c>
      <c r="B103" s="10"/>
      <c r="C103" s="24" t="s">
        <v>515</v>
      </c>
      <c r="D103" s="15"/>
      <c r="E103" s="15" t="s">
        <v>516</v>
      </c>
      <c r="F103" s="25" t="s">
        <v>56</v>
      </c>
      <c r="G103" s="26">
        <v>1.07</v>
      </c>
      <c r="H103" s="27"/>
      <c r="I103" s="27">
        <v>0</v>
      </c>
      <c r="J103" s="28">
        <v>2059.0500000000002</v>
      </c>
      <c r="M103" s="29">
        <f>ROUND(ROUND(J103, 2)*I103, 2)</f>
        <v>0</v>
      </c>
      <c r="P103" s="28">
        <v>1332</v>
      </c>
      <c r="S103" s="29">
        <f>ROUND(ROUND(P103, 2)*I103, 2)</f>
        <v>0</v>
      </c>
      <c r="V103" s="9">
        <f>ROUND(ROUND(P103, 2)/1.2, 2)</f>
        <v>1110</v>
      </c>
      <c r="Y103" s="9">
        <f t="shared" si="9"/>
        <v>0</v>
      </c>
      <c r="AD103" s="4" t="s">
        <v>517</v>
      </c>
      <c r="AE103" s="4" t="s">
        <v>518</v>
      </c>
      <c r="AF103" s="4" t="s">
        <v>519</v>
      </c>
    </row>
    <row r="104" spans="1:35" ht="75" x14ac:dyDescent="0.25">
      <c r="A104" s="10" t="s">
        <v>522</v>
      </c>
      <c r="B104" s="10" t="s">
        <v>460</v>
      </c>
      <c r="C104" s="14" t="s">
        <v>461</v>
      </c>
      <c r="D104" s="15"/>
      <c r="E104" s="15" t="s">
        <v>523</v>
      </c>
      <c r="F104" s="15" t="s">
        <v>56</v>
      </c>
      <c r="G104" s="16">
        <v>1</v>
      </c>
      <c r="H104" s="16"/>
      <c r="I104" s="16">
        <v>0</v>
      </c>
      <c r="J104" s="17">
        <f>IFERROR(ROUND(SUM(M105,M106,M107,M108)/I104, 2),0)</f>
        <v>0</v>
      </c>
      <c r="K104" s="18">
        <v>1251</v>
      </c>
      <c r="L104" s="17">
        <f>J104+ROUND(K104, 2)</f>
        <v>1251</v>
      </c>
      <c r="M104" s="17">
        <f>ROUND(J104*I104, 2)</f>
        <v>0</v>
      </c>
      <c r="N104" s="17">
        <f>ROUND(I104*ROUND(K104, 2), 2)</f>
        <v>0</v>
      </c>
      <c r="O104" s="17">
        <f>M104+N104</f>
        <v>0</v>
      </c>
      <c r="P104" s="17">
        <f>IFERROR(ROUND(SUM(S105,S106,S107,S108)/I104, 2),0)</f>
        <v>0</v>
      </c>
      <c r="Q104" s="18">
        <v>1251</v>
      </c>
      <c r="R104" s="17">
        <f>P104+ROUND(Q104, 2)</f>
        <v>1251</v>
      </c>
      <c r="S104" s="17">
        <f>ROUND(P104*I104, 2)</f>
        <v>0</v>
      </c>
      <c r="T104" s="17">
        <f>ROUND(I104*ROUND(Q104, 2), 2)</f>
        <v>0</v>
      </c>
      <c r="U104" s="17">
        <f>S104+T104</f>
        <v>0</v>
      </c>
      <c r="V104" s="9">
        <f>ROUND(P104 / 1.2, 2)</f>
        <v>0</v>
      </c>
      <c r="W104" s="9">
        <f>ROUND(Q104 / 1.2, 2)</f>
        <v>1042.5</v>
      </c>
      <c r="X104" s="9">
        <f>ROUND(R104 / 1.2, 2)</f>
        <v>1042.5</v>
      </c>
      <c r="Y104" s="9">
        <f t="shared" si="9"/>
        <v>0</v>
      </c>
      <c r="Z104" s="9">
        <f>ROUND(T104 / 1.2, 2)</f>
        <v>0</v>
      </c>
      <c r="AA104" s="9">
        <f>Y104+Z104</f>
        <v>0</v>
      </c>
      <c r="AD104" s="4">
        <v>264030371</v>
      </c>
      <c r="AE104" s="4">
        <v>16087569</v>
      </c>
      <c r="AG104" s="4" t="s">
        <v>463</v>
      </c>
      <c r="AH104" s="4" t="s">
        <v>464</v>
      </c>
      <c r="AI104" s="4" t="s">
        <v>249</v>
      </c>
    </row>
    <row r="105" spans="1:35" ht="37.5" x14ac:dyDescent="0.25">
      <c r="A105" s="10" t="s">
        <v>525</v>
      </c>
      <c r="B105" s="10"/>
      <c r="C105" s="37" t="s">
        <v>467</v>
      </c>
      <c r="D105" s="15"/>
      <c r="E105" s="15" t="s">
        <v>468</v>
      </c>
      <c r="F105" s="25" t="s">
        <v>81</v>
      </c>
      <c r="G105" s="26">
        <v>1.2</v>
      </c>
      <c r="H105" s="27"/>
      <c r="I105" s="27">
        <v>0</v>
      </c>
      <c r="J105" s="28">
        <v>6.28</v>
      </c>
      <c r="M105" s="29">
        <f>ROUND(ROUND(J105, 2)*I105, 2)</f>
        <v>0</v>
      </c>
      <c r="P105" s="28">
        <v>6.28</v>
      </c>
      <c r="S105" s="29">
        <f>ROUND(ROUND(P105, 2)*I105, 2)</f>
        <v>0</v>
      </c>
      <c r="V105" s="9">
        <f>ROUND(ROUND(P105, 2)/1.2, 2)</f>
        <v>5.23</v>
      </c>
      <c r="Y105" s="9">
        <f t="shared" si="9"/>
        <v>0</v>
      </c>
      <c r="AD105" s="4" t="s">
        <v>526</v>
      </c>
      <c r="AE105" s="4" t="s">
        <v>527</v>
      </c>
      <c r="AF105" s="4" t="s">
        <v>471</v>
      </c>
    </row>
    <row r="106" spans="1:35" ht="112.5" x14ac:dyDescent="0.25">
      <c r="A106" s="10" t="s">
        <v>530</v>
      </c>
      <c r="B106" s="10"/>
      <c r="C106" s="24" t="s">
        <v>531</v>
      </c>
      <c r="D106" s="15"/>
      <c r="E106" s="15" t="s">
        <v>532</v>
      </c>
      <c r="F106" s="25" t="s">
        <v>56</v>
      </c>
      <c r="G106" s="26">
        <v>1.07</v>
      </c>
      <c r="H106" s="27"/>
      <c r="I106" s="27">
        <v>0</v>
      </c>
      <c r="J106" s="28">
        <v>1809.15</v>
      </c>
      <c r="M106" s="29">
        <f>ROUND(ROUND(J106, 2)*I106, 2)</f>
        <v>0</v>
      </c>
      <c r="P106" s="28">
        <v>1083.5999999999999</v>
      </c>
      <c r="S106" s="29">
        <f>ROUND(ROUND(P106, 2)*I106, 2)</f>
        <v>0</v>
      </c>
      <c r="V106" s="9">
        <f>ROUND(ROUND(P106, 2)/1.2, 2)</f>
        <v>903</v>
      </c>
      <c r="Y106" s="9">
        <f t="shared" si="9"/>
        <v>0</v>
      </c>
      <c r="AD106" s="4" t="s">
        <v>533</v>
      </c>
      <c r="AE106" s="4" t="s">
        <v>534</v>
      </c>
      <c r="AF106" s="4" t="s">
        <v>535</v>
      </c>
    </row>
    <row r="107" spans="1:35" ht="37.5" x14ac:dyDescent="0.25">
      <c r="A107" s="10" t="s">
        <v>538</v>
      </c>
      <c r="B107" s="10"/>
      <c r="C107" s="24" t="s">
        <v>483</v>
      </c>
      <c r="D107" s="15"/>
      <c r="E107" s="15"/>
      <c r="F107" s="25" t="s">
        <v>81</v>
      </c>
      <c r="G107" s="26">
        <v>0.25</v>
      </c>
      <c r="H107" s="27"/>
      <c r="I107" s="27">
        <v>0</v>
      </c>
      <c r="J107" s="28">
        <v>40.270000000000003</v>
      </c>
      <c r="M107" s="29">
        <f>ROUND(ROUND(J107, 2)*I107, 2)</f>
        <v>0</v>
      </c>
      <c r="P107" s="28">
        <v>6</v>
      </c>
      <c r="S107" s="29">
        <f>ROUND(ROUND(P107, 2)*I107, 2)</f>
        <v>0</v>
      </c>
      <c r="V107" s="9">
        <f>ROUND(ROUND(P107, 2)/1.2, 2)</f>
        <v>5</v>
      </c>
      <c r="Y107" s="9">
        <f t="shared" si="9"/>
        <v>0</v>
      </c>
      <c r="AD107" s="4" t="s">
        <v>539</v>
      </c>
      <c r="AE107" s="4" t="s">
        <v>540</v>
      </c>
      <c r="AF107" s="4" t="s">
        <v>486</v>
      </c>
    </row>
    <row r="108" spans="1:35" ht="37.5" x14ac:dyDescent="0.25">
      <c r="A108" s="10" t="s">
        <v>543</v>
      </c>
      <c r="B108" s="10"/>
      <c r="C108" s="24" t="s">
        <v>490</v>
      </c>
      <c r="D108" s="15"/>
      <c r="E108" s="15"/>
      <c r="F108" s="25" t="s">
        <v>81</v>
      </c>
      <c r="G108" s="26">
        <v>0.15</v>
      </c>
      <c r="H108" s="26"/>
      <c r="I108" s="26">
        <v>0</v>
      </c>
      <c r="J108" s="28">
        <v>88.8</v>
      </c>
      <c r="M108" s="29">
        <f>ROUND(ROUND(J108, 2)*I108, 2)</f>
        <v>0</v>
      </c>
      <c r="P108" s="28">
        <v>88.8</v>
      </c>
      <c r="S108" s="29">
        <f>ROUND(ROUND(P108, 2)*I108, 2)</f>
        <v>0</v>
      </c>
      <c r="V108" s="9">
        <f>ROUND(ROUND(P108, 2)/1.2, 2)</f>
        <v>74</v>
      </c>
      <c r="Y108" s="9">
        <f t="shared" si="9"/>
        <v>0</v>
      </c>
      <c r="AD108" s="4" t="s">
        <v>544</v>
      </c>
      <c r="AE108" s="4" t="s">
        <v>545</v>
      </c>
      <c r="AF108" s="4" t="s">
        <v>493</v>
      </c>
    </row>
    <row r="109" spans="1:35" ht="37.5" x14ac:dyDescent="0.25">
      <c r="A109" s="10" t="s">
        <v>548</v>
      </c>
      <c r="B109" s="10" t="s">
        <v>549</v>
      </c>
      <c r="C109" s="14" t="s">
        <v>550</v>
      </c>
      <c r="D109" s="15" t="s">
        <v>551</v>
      </c>
      <c r="E109" s="15" t="s">
        <v>552</v>
      </c>
      <c r="F109" s="15" t="s">
        <v>56</v>
      </c>
      <c r="G109" s="16">
        <v>1</v>
      </c>
      <c r="H109" s="16"/>
      <c r="I109" s="16">
        <v>900.7</v>
      </c>
      <c r="J109" s="17">
        <f>IFERROR(ROUND(SUM(M110,M111,M112)/I109, 2),0)</f>
        <v>1608.47</v>
      </c>
      <c r="K109" s="18">
        <v>412</v>
      </c>
      <c r="L109" s="17">
        <f>J109+ROUND(K109, 2)</f>
        <v>2020.47</v>
      </c>
      <c r="M109" s="17">
        <f>ROUND(J109*I109, 2)</f>
        <v>1448748.93</v>
      </c>
      <c r="N109" s="17">
        <f>ROUND(I109*ROUND(K109, 2), 2)</f>
        <v>371088.4</v>
      </c>
      <c r="O109" s="17">
        <f>M109+N109</f>
        <v>1819837.33</v>
      </c>
      <c r="P109" s="17">
        <f>IFERROR(ROUND(SUM(S110,S111,S112)/I109, 2),0)</f>
        <v>1608.47</v>
      </c>
      <c r="Q109" s="18">
        <v>412</v>
      </c>
      <c r="R109" s="17">
        <f>P109+ROUND(Q109, 2)</f>
        <v>2020.47</v>
      </c>
      <c r="S109" s="17">
        <f>ROUND(P109*I109, 2)</f>
        <v>1448748.93</v>
      </c>
      <c r="T109" s="17">
        <f>ROUND(I109*ROUND(Q109, 2), 2)</f>
        <v>371088.4</v>
      </c>
      <c r="U109" s="17">
        <f>S109+T109</f>
        <v>1819837.33</v>
      </c>
      <c r="V109" s="9">
        <f>ROUND(P109 / 1.2, 2)</f>
        <v>1340.39</v>
      </c>
      <c r="W109" s="9">
        <f>ROUND(Q109 / 1.2, 2)</f>
        <v>343.33</v>
      </c>
      <c r="X109" s="9">
        <f>ROUND(R109 / 1.2, 2)</f>
        <v>1683.73</v>
      </c>
      <c r="Y109" s="9">
        <f t="shared" si="9"/>
        <v>1207290.78</v>
      </c>
      <c r="Z109" s="9">
        <f>ROUND(T109 / 1.2, 2)</f>
        <v>309240.33</v>
      </c>
      <c r="AA109" s="9">
        <f>Y109+Z109</f>
        <v>1516531.11</v>
      </c>
      <c r="AD109" s="4">
        <v>204199105</v>
      </c>
      <c r="AE109" s="4">
        <v>16075343</v>
      </c>
      <c r="AG109" s="4" t="s">
        <v>553</v>
      </c>
      <c r="AH109" s="4" t="s">
        <v>554</v>
      </c>
      <c r="AI109" s="4" t="s">
        <v>249</v>
      </c>
    </row>
    <row r="110" spans="1:35" ht="75" x14ac:dyDescent="0.25">
      <c r="A110" s="10" t="s">
        <v>555</v>
      </c>
      <c r="B110" s="10"/>
      <c r="C110" s="24" t="s">
        <v>556</v>
      </c>
      <c r="D110" s="15"/>
      <c r="E110" s="15"/>
      <c r="F110" s="25" t="s">
        <v>123</v>
      </c>
      <c r="G110" s="26">
        <v>1</v>
      </c>
      <c r="H110" s="27"/>
      <c r="I110" s="27">
        <v>900.7</v>
      </c>
      <c r="J110" s="28">
        <v>33.25</v>
      </c>
      <c r="M110" s="29">
        <f>ROUND(ROUND(J110, 2)*I110, 2)</f>
        <v>29948.28</v>
      </c>
      <c r="P110" s="28">
        <v>33.25</v>
      </c>
      <c r="S110" s="29">
        <f>ROUND(ROUND(P110, 2)*I110, 2)</f>
        <v>29948.28</v>
      </c>
      <c r="V110" s="9">
        <f>ROUND(ROUND(P110, 2)/1.2, 2)</f>
        <v>27.71</v>
      </c>
      <c r="Y110" s="9">
        <f t="shared" si="9"/>
        <v>24956.9</v>
      </c>
      <c r="AD110" s="4" t="s">
        <v>557</v>
      </c>
      <c r="AE110" s="4" t="s">
        <v>558</v>
      </c>
      <c r="AF110" s="4" t="s">
        <v>559</v>
      </c>
    </row>
    <row r="111" spans="1:35" ht="75" x14ac:dyDescent="0.25">
      <c r="A111" s="10" t="s">
        <v>560</v>
      </c>
      <c r="B111" s="10"/>
      <c r="C111" s="24" t="s">
        <v>561</v>
      </c>
      <c r="D111" s="15"/>
      <c r="E111" s="15"/>
      <c r="F111" s="25" t="s">
        <v>56</v>
      </c>
      <c r="G111" s="26">
        <v>1.1000000000000001</v>
      </c>
      <c r="H111" s="27"/>
      <c r="I111" s="27">
        <v>990.77</v>
      </c>
      <c r="J111" s="28">
        <v>1339</v>
      </c>
      <c r="M111" s="29">
        <f>ROUND(ROUND(J111, 2)*I111, 2)</f>
        <v>1326641.03</v>
      </c>
      <c r="P111" s="28">
        <v>1339</v>
      </c>
      <c r="S111" s="29">
        <f>ROUND(ROUND(P111, 2)*I111, 2)</f>
        <v>1326641.03</v>
      </c>
      <c r="V111" s="9">
        <f>ROUND(ROUND(P111, 2)/1.2, 2)</f>
        <v>1115.83</v>
      </c>
      <c r="Y111" s="9">
        <f t="shared" si="9"/>
        <v>1105534.19</v>
      </c>
      <c r="AD111" s="4" t="s">
        <v>562</v>
      </c>
      <c r="AE111" s="4" t="s">
        <v>563</v>
      </c>
      <c r="AF111" s="4" t="s">
        <v>564</v>
      </c>
    </row>
    <row r="112" spans="1:35" ht="18.75" x14ac:dyDescent="0.25">
      <c r="A112" s="10" t="s">
        <v>565</v>
      </c>
      <c r="B112" s="10"/>
      <c r="C112" s="24" t="s">
        <v>566</v>
      </c>
      <c r="D112" s="15"/>
      <c r="E112" s="15"/>
      <c r="F112" s="25" t="s">
        <v>81</v>
      </c>
      <c r="G112" s="26">
        <v>0.3</v>
      </c>
      <c r="H112" s="26"/>
      <c r="I112" s="26">
        <v>270.20999999999998</v>
      </c>
      <c r="J112" s="28">
        <v>341.05</v>
      </c>
      <c r="M112" s="29">
        <f>ROUND(ROUND(J112, 2)*I112, 2)</f>
        <v>92155.12</v>
      </c>
      <c r="P112" s="28">
        <v>341.05</v>
      </c>
      <c r="S112" s="29">
        <f>ROUND(ROUND(P112, 2)*I112, 2)</f>
        <v>92155.12</v>
      </c>
      <c r="V112" s="9">
        <f>ROUND(ROUND(P112, 2)/1.2, 2)</f>
        <v>284.20999999999998</v>
      </c>
      <c r="Y112" s="9">
        <f t="shared" si="9"/>
        <v>76795.929999999993</v>
      </c>
      <c r="AD112" s="4" t="s">
        <v>567</v>
      </c>
      <c r="AE112" s="4" t="s">
        <v>568</v>
      </c>
      <c r="AF112" s="4" t="s">
        <v>569</v>
      </c>
    </row>
    <row r="113" spans="1:35" ht="18.75" x14ac:dyDescent="0.25">
      <c r="A113" s="10" t="s">
        <v>570</v>
      </c>
      <c r="B113" s="10" t="s">
        <v>571</v>
      </c>
      <c r="C113" s="14" t="s">
        <v>572</v>
      </c>
      <c r="D113" s="15"/>
      <c r="E113" s="15" t="s">
        <v>573</v>
      </c>
      <c r="F113" s="15" t="s">
        <v>123</v>
      </c>
      <c r="G113" s="16">
        <v>1</v>
      </c>
      <c r="H113" s="16"/>
      <c r="I113" s="16">
        <v>12.6</v>
      </c>
      <c r="J113" s="17">
        <f>IFERROR(ROUND(SUM(M114,M115)/I113, 2),0)</f>
        <v>104.52</v>
      </c>
      <c r="K113" s="18">
        <v>200</v>
      </c>
      <c r="L113" s="17">
        <f>J113+ROUND(K113, 2)</f>
        <v>304.52</v>
      </c>
      <c r="M113" s="17">
        <f>ROUND(J113*I113, 2)</f>
        <v>1316.95</v>
      </c>
      <c r="N113" s="17">
        <f>ROUND(I113*ROUND(K113, 2), 2)</f>
        <v>2520</v>
      </c>
      <c r="O113" s="17">
        <f>M113+N113</f>
        <v>3836.95</v>
      </c>
      <c r="P113" s="17">
        <f>IFERROR(ROUND(SUM(S114,S115)/I113, 2),0)</f>
        <v>104.52</v>
      </c>
      <c r="Q113" s="18">
        <v>200</v>
      </c>
      <c r="R113" s="17">
        <f>P113+ROUND(Q113, 2)</f>
        <v>304.52</v>
      </c>
      <c r="S113" s="17">
        <f>ROUND(P113*I113, 2)</f>
        <v>1316.95</v>
      </c>
      <c r="T113" s="17">
        <f>ROUND(I113*ROUND(Q113, 2), 2)</f>
        <v>2520</v>
      </c>
      <c r="U113" s="17">
        <f>S113+T113</f>
        <v>3836.95</v>
      </c>
      <c r="V113" s="9">
        <f>ROUND(P113 / 1.2, 2)</f>
        <v>87.1</v>
      </c>
      <c r="W113" s="9">
        <f>ROUND(Q113 / 1.2, 2)</f>
        <v>166.67</v>
      </c>
      <c r="X113" s="9">
        <f>ROUND(R113 / 1.2, 2)</f>
        <v>253.77</v>
      </c>
      <c r="Y113" s="9">
        <f t="shared" si="9"/>
        <v>1097.46</v>
      </c>
      <c r="Z113" s="9">
        <f>ROUND(T113 / 1.2, 2)</f>
        <v>2100</v>
      </c>
      <c r="AA113" s="9">
        <f>Y113+Z113</f>
        <v>3197.46</v>
      </c>
      <c r="AD113" s="4">
        <v>264030280</v>
      </c>
      <c r="AE113" s="4">
        <v>16076862</v>
      </c>
      <c r="AG113" s="4" t="s">
        <v>574</v>
      </c>
      <c r="AH113" s="4" t="s">
        <v>575</v>
      </c>
      <c r="AI113" s="4" t="s">
        <v>249</v>
      </c>
    </row>
    <row r="114" spans="1:35" ht="37.5" x14ac:dyDescent="0.25">
      <c r="A114" s="10" t="s">
        <v>577</v>
      </c>
      <c r="B114" s="10"/>
      <c r="C114" s="24" t="s">
        <v>578</v>
      </c>
      <c r="D114" s="15"/>
      <c r="E114" s="15"/>
      <c r="F114" s="25" t="s">
        <v>123</v>
      </c>
      <c r="G114" s="26">
        <v>1.05</v>
      </c>
      <c r="H114" s="27"/>
      <c r="I114" s="27">
        <v>13.23</v>
      </c>
      <c r="J114" s="28">
        <v>90.97</v>
      </c>
      <c r="M114" s="29">
        <f>ROUND(ROUND(J114, 2)*I114, 2)</f>
        <v>1203.53</v>
      </c>
      <c r="P114" s="28">
        <v>90.97</v>
      </c>
      <c r="S114" s="29">
        <f>ROUND(ROUND(P114, 2)*I114, 2)</f>
        <v>1203.53</v>
      </c>
      <c r="V114" s="9">
        <f>ROUND(ROUND(P114, 2)/1.2, 2)</f>
        <v>75.81</v>
      </c>
      <c r="Y114" s="9">
        <f t="shared" si="9"/>
        <v>1002.94</v>
      </c>
      <c r="AD114" s="4" t="s">
        <v>579</v>
      </c>
      <c r="AE114" s="4" t="s">
        <v>580</v>
      </c>
      <c r="AF114" s="4" t="s">
        <v>581</v>
      </c>
    </row>
    <row r="115" spans="1:35" ht="18.75" x14ac:dyDescent="0.25">
      <c r="A115" s="10" t="s">
        <v>584</v>
      </c>
      <c r="B115" s="10"/>
      <c r="C115" s="24" t="s">
        <v>585</v>
      </c>
      <c r="D115" s="15"/>
      <c r="E115" s="15"/>
      <c r="F115" s="25" t="s">
        <v>103</v>
      </c>
      <c r="G115" s="64">
        <v>0.09</v>
      </c>
      <c r="H115" s="26"/>
      <c r="I115" s="26">
        <v>1.1339999999999999</v>
      </c>
      <c r="J115" s="28">
        <v>100</v>
      </c>
      <c r="M115" s="29">
        <f>ROUND(ROUND(J115, 2)*I115, 2)</f>
        <v>113.4</v>
      </c>
      <c r="P115" s="28">
        <v>100</v>
      </c>
      <c r="S115" s="29">
        <f>ROUND(ROUND(P115, 2)*I115, 2)</f>
        <v>113.4</v>
      </c>
      <c r="V115" s="9">
        <f>ROUND(ROUND(P115, 2)/1.2, 2)</f>
        <v>83.33</v>
      </c>
      <c r="Y115" s="9">
        <f t="shared" si="9"/>
        <v>94.5</v>
      </c>
      <c r="AD115" s="4" t="s">
        <v>586</v>
      </c>
      <c r="AE115" s="4" t="s">
        <v>587</v>
      </c>
      <c r="AF115" s="4" t="s">
        <v>588</v>
      </c>
    </row>
    <row r="116" spans="1:35" ht="56.25" x14ac:dyDescent="0.25">
      <c r="A116" s="10" t="s">
        <v>591</v>
      </c>
      <c r="B116" s="10" t="s">
        <v>592</v>
      </c>
      <c r="C116" s="14" t="s">
        <v>593</v>
      </c>
      <c r="D116" s="15"/>
      <c r="E116" s="15" t="s">
        <v>594</v>
      </c>
      <c r="F116" s="15" t="s">
        <v>123</v>
      </c>
      <c r="G116" s="16">
        <v>1</v>
      </c>
      <c r="H116" s="16"/>
      <c r="I116" s="16">
        <v>0</v>
      </c>
      <c r="J116" s="17">
        <f>IFERROR(ROUND(SUM(M117,M118,M119,M120)/I116, 2),0)</f>
        <v>0</v>
      </c>
      <c r="K116" s="18">
        <v>374</v>
      </c>
      <c r="L116" s="17">
        <f>J116+ROUND(K116, 2)</f>
        <v>374</v>
      </c>
      <c r="M116" s="17">
        <f>ROUND(J116*I116, 2)</f>
        <v>0</v>
      </c>
      <c r="N116" s="17">
        <f>ROUND(I116*ROUND(K116, 2), 2)</f>
        <v>0</v>
      </c>
      <c r="O116" s="17">
        <f>M116+N116</f>
        <v>0</v>
      </c>
      <c r="P116" s="17">
        <f>IFERROR(ROUND(SUM(S117,S118,S119,S120)/I116, 2),0)</f>
        <v>0</v>
      </c>
      <c r="Q116" s="18">
        <v>374</v>
      </c>
      <c r="R116" s="17">
        <f>P116+ROUND(Q116, 2)</f>
        <v>374</v>
      </c>
      <c r="S116" s="17">
        <f>ROUND(P116*I116, 2)</f>
        <v>0</v>
      </c>
      <c r="T116" s="17">
        <f>ROUND(I116*ROUND(Q116, 2), 2)</f>
        <v>0</v>
      </c>
      <c r="U116" s="17">
        <f>S116+T116</f>
        <v>0</v>
      </c>
      <c r="V116" s="9">
        <f>ROUND(P116 / 1.2, 2)</f>
        <v>0</v>
      </c>
      <c r="W116" s="9">
        <f>ROUND(Q116 / 1.2, 2)</f>
        <v>311.67</v>
      </c>
      <c r="X116" s="9">
        <f>ROUND(R116 / 1.2, 2)</f>
        <v>311.67</v>
      </c>
      <c r="Y116" s="9">
        <f t="shared" si="9"/>
        <v>0</v>
      </c>
      <c r="Z116" s="9">
        <f>ROUND(T116 / 1.2, 2)</f>
        <v>0</v>
      </c>
      <c r="AA116" s="9">
        <f>Y116+Z116</f>
        <v>0</v>
      </c>
      <c r="AD116" s="4">
        <v>264030282</v>
      </c>
      <c r="AE116" s="4">
        <v>16082192</v>
      </c>
      <c r="AG116" s="4" t="s">
        <v>595</v>
      </c>
      <c r="AH116" s="4" t="s">
        <v>596</v>
      </c>
      <c r="AI116" s="4" t="s">
        <v>249</v>
      </c>
    </row>
    <row r="117" spans="1:35" ht="150" x14ac:dyDescent="0.25">
      <c r="A117" s="10" t="s">
        <v>598</v>
      </c>
      <c r="B117" s="10"/>
      <c r="C117" s="24" t="s">
        <v>599</v>
      </c>
      <c r="D117" s="15"/>
      <c r="E117" s="15" t="s">
        <v>600</v>
      </c>
      <c r="F117" s="25" t="s">
        <v>103</v>
      </c>
      <c r="G117" s="26">
        <v>1.84</v>
      </c>
      <c r="H117" s="26"/>
      <c r="I117" s="26">
        <v>0</v>
      </c>
      <c r="J117" s="28">
        <v>196</v>
      </c>
      <c r="M117" s="29">
        <f>ROUND(ROUND(J117, 2)*I117, 2)</f>
        <v>0</v>
      </c>
      <c r="P117" s="28">
        <v>196</v>
      </c>
      <c r="S117" s="29">
        <f>ROUND(ROUND(P117, 2)*I117, 2)</f>
        <v>0</v>
      </c>
      <c r="V117" s="9">
        <f>ROUND(ROUND(P117, 2)/1.2, 2)</f>
        <v>163.33000000000001</v>
      </c>
      <c r="Y117" s="9">
        <f t="shared" si="9"/>
        <v>0</v>
      </c>
      <c r="AD117" s="4" t="s">
        <v>601</v>
      </c>
      <c r="AE117" s="4" t="s">
        <v>602</v>
      </c>
      <c r="AF117" s="4" t="s">
        <v>603</v>
      </c>
    </row>
    <row r="118" spans="1:35" ht="37.5" x14ac:dyDescent="0.25">
      <c r="A118" s="10" t="s">
        <v>606</v>
      </c>
      <c r="B118" s="10"/>
      <c r="C118" s="37" t="s">
        <v>607</v>
      </c>
      <c r="D118" s="15"/>
      <c r="E118" s="15"/>
      <c r="F118" s="25" t="s">
        <v>81</v>
      </c>
      <c r="G118" s="26">
        <v>0.7</v>
      </c>
      <c r="H118" s="27"/>
      <c r="I118" s="27">
        <v>0</v>
      </c>
      <c r="J118" s="28">
        <v>6.28</v>
      </c>
      <c r="M118" s="29">
        <f>ROUND(ROUND(J118, 2)*I118, 2)</f>
        <v>0</v>
      </c>
      <c r="P118" s="28">
        <v>6.28</v>
      </c>
      <c r="S118" s="29">
        <f>ROUND(ROUND(P118, 2)*I118, 2)</f>
        <v>0</v>
      </c>
      <c r="V118" s="9">
        <f>ROUND(ROUND(P118, 2)/1.2, 2)</f>
        <v>5.23</v>
      </c>
      <c r="Y118" s="9">
        <f t="shared" si="9"/>
        <v>0</v>
      </c>
      <c r="AD118" s="4" t="s">
        <v>608</v>
      </c>
      <c r="AE118" s="4" t="s">
        <v>609</v>
      </c>
      <c r="AF118" s="4" t="s">
        <v>610</v>
      </c>
    </row>
    <row r="119" spans="1:35" ht="37.5" x14ac:dyDescent="0.25">
      <c r="A119" s="10" t="s">
        <v>613</v>
      </c>
      <c r="B119" s="10"/>
      <c r="C119" s="24" t="s">
        <v>483</v>
      </c>
      <c r="D119" s="15"/>
      <c r="E119" s="15"/>
      <c r="F119" s="25" t="s">
        <v>81</v>
      </c>
      <c r="G119" s="26">
        <v>0.04</v>
      </c>
      <c r="H119" s="26"/>
      <c r="I119" s="26">
        <v>0</v>
      </c>
      <c r="J119" s="28">
        <v>40.270000000000003</v>
      </c>
      <c r="M119" s="29">
        <f>ROUND(ROUND(J119, 2)*I119, 2)</f>
        <v>0</v>
      </c>
      <c r="P119" s="28">
        <v>40.270000000000003</v>
      </c>
      <c r="S119" s="29">
        <f>ROUND(ROUND(P119, 2)*I119, 2)</f>
        <v>0</v>
      </c>
      <c r="V119" s="9">
        <f>ROUND(ROUND(P119, 2)/1.2, 2)</f>
        <v>33.56</v>
      </c>
      <c r="Y119" s="9">
        <f t="shared" si="9"/>
        <v>0</v>
      </c>
      <c r="AD119" s="4" t="s">
        <v>614</v>
      </c>
      <c r="AE119" s="4" t="s">
        <v>615</v>
      </c>
      <c r="AF119" s="4" t="s">
        <v>486</v>
      </c>
    </row>
    <row r="120" spans="1:35" ht="37.5" x14ac:dyDescent="0.25">
      <c r="A120" s="10" t="s">
        <v>618</v>
      </c>
      <c r="B120" s="10"/>
      <c r="C120" s="24" t="s">
        <v>490</v>
      </c>
      <c r="D120" s="15"/>
      <c r="E120" s="15"/>
      <c r="F120" s="25" t="s">
        <v>81</v>
      </c>
      <c r="G120" s="26">
        <v>1.4999999999999999E-2</v>
      </c>
      <c r="H120" s="26"/>
      <c r="I120" s="26">
        <v>0</v>
      </c>
      <c r="J120" s="28">
        <v>88.8</v>
      </c>
      <c r="M120" s="29">
        <f>ROUND(ROUND(J120, 2)*I120, 2)</f>
        <v>0</v>
      </c>
      <c r="P120" s="28">
        <v>88.8</v>
      </c>
      <c r="S120" s="29">
        <f>ROUND(ROUND(P120, 2)*I120, 2)</f>
        <v>0</v>
      </c>
      <c r="V120" s="9">
        <f>ROUND(ROUND(P120, 2)/1.2, 2)</f>
        <v>74</v>
      </c>
      <c r="Y120" s="9">
        <f t="shared" si="9"/>
        <v>0</v>
      </c>
      <c r="AD120" s="4" t="s">
        <v>619</v>
      </c>
      <c r="AE120" s="4" t="s">
        <v>620</v>
      </c>
      <c r="AF120" s="4" t="s">
        <v>493</v>
      </c>
    </row>
    <row r="121" spans="1:35" ht="56.25" x14ac:dyDescent="0.25">
      <c r="A121" s="10" t="s">
        <v>623</v>
      </c>
      <c r="B121" s="10" t="s">
        <v>592</v>
      </c>
      <c r="C121" s="14" t="s">
        <v>593</v>
      </c>
      <c r="D121" s="15"/>
      <c r="E121" s="15" t="s">
        <v>367</v>
      </c>
      <c r="F121" s="15" t="s">
        <v>123</v>
      </c>
      <c r="G121" s="16">
        <v>1</v>
      </c>
      <c r="H121" s="16"/>
      <c r="I121" s="16">
        <v>0</v>
      </c>
      <c r="J121" s="17">
        <f>IFERROR(ROUND(SUM(M122,M123,M124,M125)/I121, 2),0)</f>
        <v>0</v>
      </c>
      <c r="K121" s="18">
        <v>374</v>
      </c>
      <c r="L121" s="17">
        <f>J121+ROUND(K121, 2)</f>
        <v>374</v>
      </c>
      <c r="M121" s="17">
        <f>ROUND(J121*I121, 2)</f>
        <v>0</v>
      </c>
      <c r="N121" s="17">
        <f>ROUND(I121*ROUND(K121, 2), 2)</f>
        <v>0</v>
      </c>
      <c r="O121" s="17">
        <f>M121+N121</f>
        <v>0</v>
      </c>
      <c r="P121" s="17">
        <f>IFERROR(ROUND(SUM(S122,S123,S124,S125)/I121, 2),0)</f>
        <v>0</v>
      </c>
      <c r="Q121" s="18">
        <v>374</v>
      </c>
      <c r="R121" s="17">
        <f>P121+ROUND(Q121, 2)</f>
        <v>374</v>
      </c>
      <c r="S121" s="17">
        <f>ROUND(P121*I121, 2)</f>
        <v>0</v>
      </c>
      <c r="T121" s="17">
        <f>ROUND(I121*ROUND(Q121, 2), 2)</f>
        <v>0</v>
      </c>
      <c r="U121" s="17">
        <f>S121+T121</f>
        <v>0</v>
      </c>
      <c r="V121" s="9">
        <f>ROUND(P121 / 1.2, 2)</f>
        <v>0</v>
      </c>
      <c r="W121" s="9">
        <f>ROUND(Q121 / 1.2, 2)</f>
        <v>311.67</v>
      </c>
      <c r="X121" s="9">
        <f>ROUND(R121 / 1.2, 2)</f>
        <v>311.67</v>
      </c>
      <c r="Y121" s="9">
        <f t="shared" si="9"/>
        <v>0</v>
      </c>
      <c r="Z121" s="9">
        <f>ROUND(T121 / 1.2, 2)</f>
        <v>0</v>
      </c>
      <c r="AA121" s="9">
        <f>Y121+Z121</f>
        <v>0</v>
      </c>
      <c r="AD121" s="4">
        <v>264030372</v>
      </c>
      <c r="AE121" s="4">
        <v>16087853</v>
      </c>
      <c r="AG121" s="4" t="s">
        <v>595</v>
      </c>
      <c r="AH121" s="4" t="s">
        <v>596</v>
      </c>
      <c r="AI121" s="4" t="s">
        <v>249</v>
      </c>
    </row>
    <row r="122" spans="1:35" ht="37.5" x14ac:dyDescent="0.25">
      <c r="A122" s="10" t="s">
        <v>625</v>
      </c>
      <c r="B122" s="10"/>
      <c r="C122" s="24" t="s">
        <v>490</v>
      </c>
      <c r="D122" s="15"/>
      <c r="E122" s="15"/>
      <c r="F122" s="25" t="s">
        <v>81</v>
      </c>
      <c r="G122" s="26">
        <v>1.4999999999999999E-2</v>
      </c>
      <c r="H122" s="26"/>
      <c r="I122" s="26">
        <v>0</v>
      </c>
      <c r="J122" s="28">
        <v>88.8</v>
      </c>
      <c r="M122" s="29">
        <f>ROUND(ROUND(J122, 2)*I122, 2)</f>
        <v>0</v>
      </c>
      <c r="P122" s="28">
        <v>88.8</v>
      </c>
      <c r="S122" s="29">
        <f>ROUND(ROUND(P122, 2)*I122, 2)</f>
        <v>0</v>
      </c>
      <c r="V122" s="9">
        <f>ROUND(ROUND(P122, 2)/1.2, 2)</f>
        <v>74</v>
      </c>
      <c r="Y122" s="9">
        <f t="shared" si="9"/>
        <v>0</v>
      </c>
      <c r="AD122" s="4" t="s">
        <v>626</v>
      </c>
      <c r="AE122" s="4" t="s">
        <v>627</v>
      </c>
      <c r="AF122" s="4" t="s">
        <v>493</v>
      </c>
    </row>
    <row r="123" spans="1:35" ht="37.5" x14ac:dyDescent="0.25">
      <c r="A123" s="10" t="s">
        <v>630</v>
      </c>
      <c r="B123" s="10"/>
      <c r="C123" s="24" t="s">
        <v>483</v>
      </c>
      <c r="D123" s="15"/>
      <c r="E123" s="15"/>
      <c r="F123" s="25" t="s">
        <v>81</v>
      </c>
      <c r="G123" s="26">
        <v>0.04</v>
      </c>
      <c r="H123" s="26"/>
      <c r="I123" s="26">
        <v>0</v>
      </c>
      <c r="J123" s="28">
        <v>40.270000000000003</v>
      </c>
      <c r="M123" s="29">
        <f>ROUND(ROUND(J123, 2)*I123, 2)</f>
        <v>0</v>
      </c>
      <c r="P123" s="28">
        <v>40.270000000000003</v>
      </c>
      <c r="S123" s="29">
        <f>ROUND(ROUND(P123, 2)*I123, 2)</f>
        <v>0</v>
      </c>
      <c r="V123" s="9">
        <f>ROUND(ROUND(P123, 2)/1.2, 2)</f>
        <v>33.56</v>
      </c>
      <c r="Y123" s="9">
        <f t="shared" si="9"/>
        <v>0</v>
      </c>
      <c r="AD123" s="4" t="s">
        <v>631</v>
      </c>
      <c r="AE123" s="4" t="s">
        <v>632</v>
      </c>
      <c r="AF123" s="4" t="s">
        <v>486</v>
      </c>
    </row>
    <row r="124" spans="1:35" ht="150" x14ac:dyDescent="0.25">
      <c r="A124" s="10" t="s">
        <v>635</v>
      </c>
      <c r="B124" s="10"/>
      <c r="C124" s="37" t="s">
        <v>636</v>
      </c>
      <c r="D124" s="15"/>
      <c r="E124" s="15" t="s">
        <v>600</v>
      </c>
      <c r="F124" s="25" t="s">
        <v>56</v>
      </c>
      <c r="G124" s="26">
        <v>0.11</v>
      </c>
      <c r="H124" s="26"/>
      <c r="I124" s="26">
        <v>0</v>
      </c>
      <c r="J124" s="28">
        <v>1012.6</v>
      </c>
      <c r="M124" s="29">
        <f>ROUND(ROUND(J124, 2)*I124, 2)</f>
        <v>0</v>
      </c>
      <c r="P124" s="28">
        <v>1012.6</v>
      </c>
      <c r="S124" s="29">
        <f>ROUND(ROUND(P124, 2)*I124, 2)</f>
        <v>0</v>
      </c>
      <c r="V124" s="9">
        <f>ROUND(ROUND(P124, 2)/1.2, 2)</f>
        <v>843.83</v>
      </c>
      <c r="Y124" s="9">
        <f t="shared" si="9"/>
        <v>0</v>
      </c>
      <c r="AD124" s="4" t="s">
        <v>637</v>
      </c>
      <c r="AE124" s="4" t="s">
        <v>638</v>
      </c>
      <c r="AF124" s="4" t="s">
        <v>639</v>
      </c>
    </row>
    <row r="125" spans="1:35" ht="37.5" x14ac:dyDescent="0.25">
      <c r="A125" s="10" t="s">
        <v>642</v>
      </c>
      <c r="B125" s="10"/>
      <c r="C125" s="37" t="s">
        <v>643</v>
      </c>
      <c r="D125" s="15"/>
      <c r="E125" s="15"/>
      <c r="F125" s="25" t="s">
        <v>81</v>
      </c>
      <c r="G125" s="26">
        <v>0.7</v>
      </c>
      <c r="H125" s="27"/>
      <c r="I125" s="27">
        <v>0</v>
      </c>
      <c r="J125" s="28">
        <v>6.28</v>
      </c>
      <c r="M125" s="29">
        <f>ROUND(ROUND(J125, 2)*I125, 2)</f>
        <v>0</v>
      </c>
      <c r="P125" s="28">
        <v>6.28</v>
      </c>
      <c r="S125" s="29">
        <f>ROUND(ROUND(P125, 2)*I125, 2)</f>
        <v>0</v>
      </c>
      <c r="V125" s="9">
        <f>ROUND(ROUND(P125, 2)/1.2, 2)</f>
        <v>5.23</v>
      </c>
      <c r="Y125" s="9">
        <f t="shared" si="9"/>
        <v>0</v>
      </c>
      <c r="AD125" s="4" t="s">
        <v>644</v>
      </c>
      <c r="AE125" s="4" t="s">
        <v>645</v>
      </c>
      <c r="AF125" s="4" t="s">
        <v>646</v>
      </c>
    </row>
    <row r="126" spans="1:35" ht="37.5" x14ac:dyDescent="0.25">
      <c r="A126" s="10" t="s">
        <v>649</v>
      </c>
      <c r="B126" s="10" t="s">
        <v>650</v>
      </c>
      <c r="C126" s="14" t="s">
        <v>651</v>
      </c>
      <c r="D126" s="15"/>
      <c r="E126" s="15" t="s">
        <v>652</v>
      </c>
      <c r="F126" s="15" t="s">
        <v>56</v>
      </c>
      <c r="G126" s="16">
        <v>1</v>
      </c>
      <c r="H126" s="16"/>
      <c r="I126" s="16">
        <v>65.7</v>
      </c>
      <c r="J126" s="17">
        <f>IFERROR(ROUND(SUM(M127,M128)/I126, 2),0)</f>
        <v>0</v>
      </c>
      <c r="K126" s="18">
        <v>661</v>
      </c>
      <c r="L126" s="17">
        <f>J126+ROUND(K126, 2)</f>
        <v>661</v>
      </c>
      <c r="M126" s="17">
        <f>ROUND(J126*I126, 2)</f>
        <v>0</v>
      </c>
      <c r="N126" s="17">
        <f>ROUND(I126*ROUND(K126, 2), 2)</f>
        <v>43427.7</v>
      </c>
      <c r="O126" s="17">
        <f>M126+N126</f>
        <v>43427.7</v>
      </c>
      <c r="P126" s="17">
        <f>IFERROR(ROUND(SUM(S127,S128)/I126, 2),0)</f>
        <v>0</v>
      </c>
      <c r="Q126" s="19">
        <v>661</v>
      </c>
      <c r="R126" s="17">
        <f>P126+ROUND(Q126, 2)</f>
        <v>661</v>
      </c>
      <c r="S126" s="17">
        <f>ROUND(P126*I126, 2)</f>
        <v>0</v>
      </c>
      <c r="T126" s="17">
        <f>ROUND(I126*ROUND(Q126, 2), 2)</f>
        <v>43427.7</v>
      </c>
      <c r="U126" s="17">
        <f>S126+T126</f>
        <v>43427.7</v>
      </c>
      <c r="V126" s="9">
        <f>ROUND(P126 / 1.2, 2)</f>
        <v>0</v>
      </c>
      <c r="W126" s="9">
        <f>ROUND(Q126 / 1.2, 2)</f>
        <v>550.83000000000004</v>
      </c>
      <c r="X126" s="9">
        <f>ROUND(R126 / 1.2, 2)</f>
        <v>550.83000000000004</v>
      </c>
      <c r="Y126" s="9">
        <f t="shared" si="9"/>
        <v>0</v>
      </c>
      <c r="Z126" s="9">
        <f>ROUND(T126 / 1.2, 2)</f>
        <v>36189.75</v>
      </c>
      <c r="AA126" s="9">
        <f>Y126+Z126</f>
        <v>36189.75</v>
      </c>
      <c r="AD126" s="4">
        <v>264030284</v>
      </c>
      <c r="AE126" s="4">
        <v>19936864</v>
      </c>
      <c r="AG126" s="4" t="s">
        <v>653</v>
      </c>
      <c r="AH126" s="4" t="s">
        <v>654</v>
      </c>
      <c r="AI126" s="4" t="s">
        <v>249</v>
      </c>
    </row>
    <row r="127" spans="1:35" ht="93.75" x14ac:dyDescent="0.25">
      <c r="A127" s="10" t="s">
        <v>655</v>
      </c>
      <c r="B127" s="10"/>
      <c r="C127" s="24" t="s">
        <v>656</v>
      </c>
      <c r="D127" s="15"/>
      <c r="E127" s="15" t="s">
        <v>657</v>
      </c>
      <c r="F127" s="25" t="s">
        <v>103</v>
      </c>
      <c r="G127" s="26">
        <v>1</v>
      </c>
      <c r="H127" s="27"/>
      <c r="I127" s="27">
        <v>7.62</v>
      </c>
      <c r="J127" s="28">
        <v>0</v>
      </c>
      <c r="M127" s="29">
        <f>ROUND(ROUND(J127, 2)*I127, 2)</f>
        <v>0</v>
      </c>
      <c r="P127" s="30">
        <v>0</v>
      </c>
      <c r="S127" s="29">
        <f>ROUND(ROUND(P127, 2)*I127, 2)</f>
        <v>0</v>
      </c>
      <c r="V127" s="9">
        <f>ROUND(ROUND(P127, 2)/1.2, 2)</f>
        <v>0</v>
      </c>
      <c r="Y127" s="9">
        <f t="shared" si="9"/>
        <v>0</v>
      </c>
      <c r="AD127" s="4" t="s">
        <v>658</v>
      </c>
      <c r="AE127" s="4" t="s">
        <v>659</v>
      </c>
      <c r="AF127" s="4" t="s">
        <v>660</v>
      </c>
    </row>
    <row r="128" spans="1:35" ht="37.5" x14ac:dyDescent="0.25">
      <c r="A128" s="10" t="s">
        <v>661</v>
      </c>
      <c r="B128" s="10"/>
      <c r="C128" s="24" t="s">
        <v>662</v>
      </c>
      <c r="D128" s="15"/>
      <c r="E128" s="15" t="s">
        <v>663</v>
      </c>
      <c r="F128" s="25" t="s">
        <v>56</v>
      </c>
      <c r="G128" s="26">
        <v>1.03</v>
      </c>
      <c r="H128" s="27"/>
      <c r="I128" s="27">
        <v>67.671000000000006</v>
      </c>
      <c r="J128" s="28">
        <v>0</v>
      </c>
      <c r="M128" s="29">
        <f>ROUND(ROUND(J128, 2)*I128, 2)</f>
        <v>0</v>
      </c>
      <c r="P128" s="30">
        <v>0</v>
      </c>
      <c r="S128" s="29">
        <f>ROUND(ROUND(P128, 2)*I128, 2)</f>
        <v>0</v>
      </c>
      <c r="V128" s="9">
        <f>ROUND(ROUND(P128, 2)/1.2, 2)</f>
        <v>0</v>
      </c>
      <c r="Y128" s="9">
        <f t="shared" si="9"/>
        <v>0</v>
      </c>
      <c r="AD128" s="4" t="s">
        <v>664</v>
      </c>
      <c r="AE128" s="4" t="s">
        <v>665</v>
      </c>
      <c r="AF128" s="4" t="s">
        <v>666</v>
      </c>
    </row>
    <row r="129" spans="1:35" ht="17.100000000000001" customHeight="1" x14ac:dyDescent="0.25">
      <c r="A129" s="10" t="s">
        <v>667</v>
      </c>
      <c r="B129" s="10" t="s">
        <v>668</v>
      </c>
      <c r="C129" s="116" t="s">
        <v>669</v>
      </c>
      <c r="D129" s="117"/>
      <c r="E129" s="117"/>
      <c r="F129" s="117"/>
      <c r="G129" s="117"/>
      <c r="H129" s="117"/>
      <c r="I129" s="118"/>
      <c r="M129" s="6">
        <f>SUM(M130,M300,M316)</f>
        <v>1239491.8200000003</v>
      </c>
      <c r="N129" s="6">
        <f>SUM(N130,N300,N316)</f>
        <v>6201071.5499999998</v>
      </c>
      <c r="O129" s="6">
        <f>SUM(O130,O300,O316)</f>
        <v>7440563.3699999992</v>
      </c>
      <c r="S129" s="6">
        <f>SUM(S130,S300,S316)</f>
        <v>1203732.3999999999</v>
      </c>
      <c r="T129" s="6">
        <f>SUM(T130,T300,T316)</f>
        <v>6201071.5499999998</v>
      </c>
      <c r="U129" s="6">
        <f>SUM(U130,U300,U316)</f>
        <v>7404803.9499999993</v>
      </c>
      <c r="Y129" s="9">
        <f>SUM(Y130,Y300,Y316)</f>
        <v>1003110.37</v>
      </c>
      <c r="Z129" s="9">
        <f>SUM(Z130,Z300,Z316)</f>
        <v>5167559.6000000015</v>
      </c>
      <c r="AA129" s="9">
        <f>SUM(AA130,AA300,AA316)</f>
        <v>6170669.9700000007</v>
      </c>
      <c r="AD129" s="4">
        <v>264030285</v>
      </c>
      <c r="AE129" s="4">
        <v>16076852</v>
      </c>
    </row>
    <row r="130" spans="1:35" ht="17.100000000000001" customHeight="1" x14ac:dyDescent="0.25">
      <c r="A130" s="10" t="s">
        <v>670</v>
      </c>
      <c r="B130" s="10" t="s">
        <v>671</v>
      </c>
      <c r="C130" s="116" t="s">
        <v>672</v>
      </c>
      <c r="D130" s="117"/>
      <c r="E130" s="117"/>
      <c r="F130" s="117"/>
      <c r="G130" s="117"/>
      <c r="H130" s="117"/>
      <c r="I130" s="118"/>
      <c r="M130" s="6">
        <f>SUM(M131,M134,M139,M144,M148,M152,M157,M162,M166,M170,M174,M178,M183,M188,M192,M197,M202,M207,M210,M213,M217,M220,M224,M227,M230,M234,M238,M241,M244,M248,M251,M255,M260,M265,M270,M275,M280,M285,M290,M295)</f>
        <v>936217.76000000013</v>
      </c>
      <c r="N130" s="6">
        <f>SUM(N131,N134,N139,N144,N148,N152,N157,N162,N166,N170,N174,N178,N183,N188,N192,N197,N202,N207,N210,N213,N217,N220,N224,N227,N230,N234,N238,N241,N244,N248,N251,N255,N260,N265,N270,N275,N280,N285,N290,N295)</f>
        <v>4013200.6999999997</v>
      </c>
      <c r="O130" s="6">
        <f>SUM(O131,O134,O139,O144,O148,O152,O157,O162,O166,O170,O174,O178,O183,O188,O192,O197,O202,O207,O210,O213,O217,O220,O224,O227,O230,O234,O238,O241,O244,O248,O251,O255,O260,O265,O270,O275,O280,O285,O290,O295)</f>
        <v>4949418.459999999</v>
      </c>
      <c r="S130" s="6">
        <f>SUM(S131,S134,S139,S144,S148,S152,S157,S162,S166,S170,S174,S178,S183,S188,S192,S197,S202,S207,S210,S213,S217,S220,S224,S227,S230,S234,S238,S241,S244,S248,S251,S255,S260,S265,S270,S275,S280,S285,S290,S295)</f>
        <v>900458.34000000008</v>
      </c>
      <c r="T130" s="6">
        <f>SUM(T131,T134,T139,T144,T148,T152,T157,T162,T166,T170,T174,T178,T183,T188,T192,T197,T202,T207,T210,T213,T217,T220,T224,T227,T230,T234,T238,T241,T244,T248,T251,T255,T260,T265,T270,T275,T280,T285,T290,T295)</f>
        <v>4013200.6999999997</v>
      </c>
      <c r="U130" s="6">
        <f>SUM(U131,U134,U139,U144,U148,U152,U157,U162,U166,U170,U174,U178,U183,U188,U192,U197,U202,U207,U210,U213,U217,U220,U224,U227,U230,U234,U238,U241,U244,U248,U251,U255,U260,U265,U270,U275,U280,U285,U290,U295)</f>
        <v>4913659.0399999991</v>
      </c>
      <c r="Y130" s="9">
        <f>SUM(Y131,Y134,Y139,Y144,Y148,Y152,Y157,Y162,Y166,Y170,Y174,Y178,Y183,Y188,Y192,Y197,Y202,Y207,Y210,Y213,Y217,Y220,Y224,Y227,Y230,Y234,Y238,Y241,Y244,Y248,Y251,Y255,Y260,Y265,Y270,Y275,Y280,Y285,Y290,Y295)</f>
        <v>750381.96</v>
      </c>
      <c r="Z130" s="9">
        <f>SUM(Z131,Z134,Z139,Z144,Z148,Z152,Z157,Z162,Z166,Z170,Z174,Z178,Z183,Z188,Z192,Z197,Z202,Z207,Z210,Z213,Z217,Z220,Z224,Z227,Z230,Z234,Z238,Z241,Z244,Z248,Z251,Z255,Z260,Z265,Z270,Z275,Z280,Z285,Z290,Z295)</f>
        <v>3344333.9000000008</v>
      </c>
      <c r="AA130" s="9">
        <f>SUM(AA131,AA134,AA139,AA144,AA148,AA152,AA157,AA162,AA166,AA170,AA174,AA178,AA183,AA188,AA192,AA197,AA202,AA207,AA210,AA213,AA217,AA220,AA224,AA227,AA230,AA234,AA238,AA241,AA244,AA248,AA251,AA255,AA260,AA265,AA270,AA275,AA280,AA285,AA290,AA295)</f>
        <v>4094715.8600000003</v>
      </c>
      <c r="AD130" s="4">
        <v>264030286</v>
      </c>
      <c r="AE130" s="4">
        <v>16077161</v>
      </c>
    </row>
    <row r="131" spans="1:35" ht="75" x14ac:dyDescent="0.25">
      <c r="A131" s="10" t="s">
        <v>673</v>
      </c>
      <c r="B131" s="10" t="s">
        <v>674</v>
      </c>
      <c r="C131" s="14" t="s">
        <v>675</v>
      </c>
      <c r="D131" s="15"/>
      <c r="E131" s="15"/>
      <c r="F131" s="15" t="s">
        <v>123</v>
      </c>
      <c r="G131" s="16">
        <v>1</v>
      </c>
      <c r="H131" s="16"/>
      <c r="I131" s="16">
        <v>434.7</v>
      </c>
      <c r="J131" s="17">
        <f>IFERROR(ROUND(SUM(M132,M133)/I131, 2),0)</f>
        <v>9.74</v>
      </c>
      <c r="K131" s="18">
        <v>28</v>
      </c>
      <c r="L131" s="17">
        <f>J131+ROUND(K131, 2)</f>
        <v>37.74</v>
      </c>
      <c r="M131" s="17">
        <f>ROUND(J131*I131, 2)</f>
        <v>4233.9799999999996</v>
      </c>
      <c r="N131" s="17">
        <f>ROUND(I131*ROUND(K131, 2), 2)</f>
        <v>12171.6</v>
      </c>
      <c r="O131" s="17">
        <f>M131+N131</f>
        <v>16405.580000000002</v>
      </c>
      <c r="P131" s="17">
        <f>IFERROR(ROUND(SUM(S132,S133)/I131, 2),0)</f>
        <v>9.74</v>
      </c>
      <c r="Q131" s="19">
        <v>28</v>
      </c>
      <c r="R131" s="17">
        <f>P131+ROUND(Q131, 2)</f>
        <v>37.74</v>
      </c>
      <c r="S131" s="17">
        <f>ROUND(P131*I131, 2)</f>
        <v>4233.9799999999996</v>
      </c>
      <c r="T131" s="17">
        <f>ROUND(I131*ROUND(Q131, 2), 2)</f>
        <v>12171.6</v>
      </c>
      <c r="U131" s="17">
        <f>S131+T131</f>
        <v>16405.580000000002</v>
      </c>
      <c r="V131" s="9">
        <f>ROUND(P131 / 1.2, 2)</f>
        <v>8.1199999999999992</v>
      </c>
      <c r="W131" s="9">
        <f>ROUND(Q131 / 1.2, 2)</f>
        <v>23.33</v>
      </c>
      <c r="X131" s="9">
        <f>ROUND(R131 / 1.2, 2)</f>
        <v>31.45</v>
      </c>
      <c r="Y131" s="9">
        <f>ROUND(S131 / 1.2, 2)</f>
        <v>3528.32</v>
      </c>
      <c r="Z131" s="9">
        <f>ROUND(T131 / 1.2, 2)</f>
        <v>10143</v>
      </c>
      <c r="AA131" s="9">
        <f>Y131+Z131</f>
        <v>13671.32</v>
      </c>
      <c r="AD131" s="4">
        <v>264030288</v>
      </c>
      <c r="AE131" s="4">
        <v>18537797</v>
      </c>
      <c r="AG131" s="4" t="s">
        <v>676</v>
      </c>
      <c r="AH131" s="4" t="s">
        <v>677</v>
      </c>
      <c r="AI131" s="4" t="s">
        <v>249</v>
      </c>
    </row>
    <row r="132" spans="1:35" ht="37.5" x14ac:dyDescent="0.25">
      <c r="A132" s="10" t="s">
        <v>678</v>
      </c>
      <c r="B132" s="10"/>
      <c r="C132" s="24" t="s">
        <v>679</v>
      </c>
      <c r="D132" s="15"/>
      <c r="E132" s="15"/>
      <c r="F132" s="25" t="s">
        <v>81</v>
      </c>
      <c r="G132" s="26">
        <v>0.3</v>
      </c>
      <c r="H132" s="27"/>
      <c r="I132" s="27">
        <v>130.41</v>
      </c>
      <c r="J132" s="28">
        <v>6.8</v>
      </c>
      <c r="M132" s="29">
        <f>ROUND(ROUND(J132, 2)*I132, 2)</f>
        <v>886.79</v>
      </c>
      <c r="P132" s="30">
        <v>6.8</v>
      </c>
      <c r="S132" s="29">
        <f>ROUND(ROUND(P132, 2)*I132, 2)</f>
        <v>886.79</v>
      </c>
      <c r="V132" s="9">
        <f>ROUND(ROUND(P132, 2)/1.2, 2)</f>
        <v>5.67</v>
      </c>
      <c r="Y132" s="9">
        <f t="shared" ref="Y132:Y195" si="10">ROUND(S132 / 1.2, 2)</f>
        <v>738.99</v>
      </c>
      <c r="AD132" s="4" t="s">
        <v>680</v>
      </c>
      <c r="AE132" s="4" t="s">
        <v>681</v>
      </c>
      <c r="AF132" s="4" t="s">
        <v>682</v>
      </c>
    </row>
    <row r="133" spans="1:35" ht="18.75" x14ac:dyDescent="0.25">
      <c r="A133" s="10" t="s">
        <v>683</v>
      </c>
      <c r="B133" s="10"/>
      <c r="C133" s="24" t="s">
        <v>684</v>
      </c>
      <c r="D133" s="15"/>
      <c r="E133" s="15"/>
      <c r="F133" s="25" t="s">
        <v>123</v>
      </c>
      <c r="G133" s="26">
        <v>1.1000000000000001</v>
      </c>
      <c r="H133" s="27"/>
      <c r="I133" s="27">
        <v>478.17</v>
      </c>
      <c r="J133" s="28">
        <v>7</v>
      </c>
      <c r="M133" s="29">
        <f>ROUND(ROUND(J133, 2)*I133, 2)</f>
        <v>3347.19</v>
      </c>
      <c r="P133" s="30">
        <v>7</v>
      </c>
      <c r="S133" s="29">
        <f>ROUND(ROUND(P133, 2)*I133, 2)</f>
        <v>3347.19</v>
      </c>
      <c r="V133" s="9">
        <f>ROUND(ROUND(P133, 2)/1.2, 2)</f>
        <v>5.83</v>
      </c>
      <c r="Y133" s="9">
        <f t="shared" si="10"/>
        <v>2789.33</v>
      </c>
      <c r="AD133" s="4" t="s">
        <v>685</v>
      </c>
      <c r="AE133" s="4" t="s">
        <v>686</v>
      </c>
      <c r="AF133" s="4" t="s">
        <v>687</v>
      </c>
    </row>
    <row r="134" spans="1:35" ht="56.25" x14ac:dyDescent="0.25">
      <c r="A134" s="10" t="s">
        <v>688</v>
      </c>
      <c r="B134" s="80" t="s">
        <v>689</v>
      </c>
      <c r="C134" s="81" t="s">
        <v>690</v>
      </c>
      <c r="D134" s="82"/>
      <c r="E134" s="82" t="s">
        <v>691</v>
      </c>
      <c r="F134" s="82" t="s">
        <v>56</v>
      </c>
      <c r="G134" s="83">
        <v>1</v>
      </c>
      <c r="H134" s="83"/>
      <c r="I134" s="83">
        <v>0</v>
      </c>
      <c r="J134" s="17">
        <f>IFERROR(ROUND(SUM(M135,M136,M137,M138)/I134, 2),0)</f>
        <v>0</v>
      </c>
      <c r="K134" s="18">
        <v>826</v>
      </c>
      <c r="L134" s="17">
        <f>J134+ROUND(K134, 2)</f>
        <v>826</v>
      </c>
      <c r="M134" s="17">
        <f>ROUND(J134*I134, 2)</f>
        <v>0</v>
      </c>
      <c r="N134" s="17">
        <f>ROUND(I134*ROUND(K134, 2), 2)</f>
        <v>0</v>
      </c>
      <c r="O134" s="17">
        <f>M134+N134</f>
        <v>0</v>
      </c>
      <c r="P134" s="17">
        <f>IFERROR(ROUND(SUM(S135,S136,S137,S138)/I134, 2),0)</f>
        <v>0</v>
      </c>
      <c r="Q134" s="18">
        <v>826</v>
      </c>
      <c r="R134" s="17">
        <f>P134+ROUND(Q134, 2)</f>
        <v>826</v>
      </c>
      <c r="S134" s="17">
        <f>ROUND(P134*I134, 2)</f>
        <v>0</v>
      </c>
      <c r="T134" s="17">
        <f>ROUND(I134*ROUND(Q134, 2), 2)</f>
        <v>0</v>
      </c>
      <c r="U134" s="17">
        <f>S134+T134</f>
        <v>0</v>
      </c>
      <c r="V134" s="9">
        <f>ROUND(P134 / 1.2, 2)</f>
        <v>0</v>
      </c>
      <c r="W134" s="9">
        <f>ROUND(Q134 / 1.2, 2)</f>
        <v>688.33</v>
      </c>
      <c r="X134" s="9">
        <f>ROUND(R134 / 1.2, 2)</f>
        <v>688.33</v>
      </c>
      <c r="Y134" s="9">
        <f t="shared" si="10"/>
        <v>0</v>
      </c>
      <c r="Z134" s="9">
        <f>ROUND(T134 / 1.2, 2)</f>
        <v>0</v>
      </c>
      <c r="AA134" s="9">
        <f>Y134+Z134</f>
        <v>0</v>
      </c>
      <c r="AD134" s="4">
        <v>264030290</v>
      </c>
      <c r="AE134" s="4">
        <v>16077164</v>
      </c>
      <c r="AG134" s="4" t="s">
        <v>692</v>
      </c>
      <c r="AH134" s="4" t="s">
        <v>693</v>
      </c>
      <c r="AI134" s="4" t="s">
        <v>249</v>
      </c>
    </row>
    <row r="135" spans="1:35" ht="37.5" x14ac:dyDescent="0.25">
      <c r="A135" s="10" t="s">
        <v>695</v>
      </c>
      <c r="B135" s="80"/>
      <c r="C135" s="84" t="s">
        <v>696</v>
      </c>
      <c r="D135" s="82"/>
      <c r="E135" s="82"/>
      <c r="F135" s="85" t="s">
        <v>56</v>
      </c>
      <c r="G135" s="86">
        <v>1.1000000000000001</v>
      </c>
      <c r="H135" s="86"/>
      <c r="I135" s="86">
        <v>0</v>
      </c>
      <c r="J135" s="28">
        <v>27.55</v>
      </c>
      <c r="M135" s="29">
        <f>ROUND(ROUND(J135, 2)*I135, 2)</f>
        <v>0</v>
      </c>
      <c r="P135" s="28">
        <v>27.55</v>
      </c>
      <c r="S135" s="29">
        <f>ROUND(ROUND(P135, 2)*I135, 2)</f>
        <v>0</v>
      </c>
      <c r="V135" s="9">
        <f>ROUND(ROUND(P135, 2)/1.2, 2)</f>
        <v>22.96</v>
      </c>
      <c r="Y135" s="9">
        <f t="shared" si="10"/>
        <v>0</v>
      </c>
      <c r="AD135" s="4" t="s">
        <v>697</v>
      </c>
      <c r="AE135" s="4" t="s">
        <v>698</v>
      </c>
      <c r="AF135" s="4" t="s">
        <v>699</v>
      </c>
    </row>
    <row r="136" spans="1:35" ht="18.75" x14ac:dyDescent="0.25">
      <c r="A136" s="10" t="s">
        <v>702</v>
      </c>
      <c r="B136" s="80"/>
      <c r="C136" s="84" t="s">
        <v>313</v>
      </c>
      <c r="D136" s="82"/>
      <c r="E136" s="82"/>
      <c r="F136" s="85" t="s">
        <v>81</v>
      </c>
      <c r="G136" s="86">
        <v>0.25</v>
      </c>
      <c r="H136" s="86"/>
      <c r="I136" s="86">
        <v>0</v>
      </c>
      <c r="J136" s="28">
        <v>100</v>
      </c>
      <c r="M136" s="29">
        <f>ROUND(ROUND(J136, 2)*I136, 2)</f>
        <v>0</v>
      </c>
      <c r="P136" s="28">
        <v>100</v>
      </c>
      <c r="S136" s="29">
        <f>ROUND(ROUND(P136, 2)*I136, 2)</f>
        <v>0</v>
      </c>
      <c r="V136" s="9">
        <f>ROUND(ROUND(P136, 2)/1.2, 2)</f>
        <v>83.33</v>
      </c>
      <c r="Y136" s="9">
        <f t="shared" si="10"/>
        <v>0</v>
      </c>
      <c r="AD136" s="4" t="s">
        <v>703</v>
      </c>
      <c r="AE136" s="4" t="s">
        <v>704</v>
      </c>
      <c r="AF136" s="4" t="s">
        <v>316</v>
      </c>
    </row>
    <row r="137" spans="1:35" ht="18.75" x14ac:dyDescent="0.25">
      <c r="A137" s="10" t="s">
        <v>707</v>
      </c>
      <c r="B137" s="80"/>
      <c r="C137" s="84" t="s">
        <v>708</v>
      </c>
      <c r="D137" s="82"/>
      <c r="E137" s="82" t="s">
        <v>709</v>
      </c>
      <c r="F137" s="85" t="s">
        <v>81</v>
      </c>
      <c r="G137" s="86">
        <v>1.8</v>
      </c>
      <c r="H137" s="87"/>
      <c r="I137" s="87">
        <v>0</v>
      </c>
      <c r="J137" s="28">
        <v>5.85</v>
      </c>
      <c r="M137" s="29">
        <f>ROUND(ROUND(J137, 2)*I137, 2)</f>
        <v>0</v>
      </c>
      <c r="P137" s="28">
        <v>5.85</v>
      </c>
      <c r="S137" s="29">
        <f>ROUND(ROUND(P137, 2)*I137, 2)</f>
        <v>0</v>
      </c>
      <c r="V137" s="9">
        <f>ROUND(ROUND(P137, 2)/1.2, 2)</f>
        <v>4.88</v>
      </c>
      <c r="Y137" s="9">
        <f t="shared" si="10"/>
        <v>0</v>
      </c>
      <c r="AD137" s="4" t="s">
        <v>710</v>
      </c>
      <c r="AE137" s="4" t="s">
        <v>711</v>
      </c>
      <c r="AF137" s="4" t="s">
        <v>712</v>
      </c>
    </row>
    <row r="138" spans="1:35" ht="18.75" x14ac:dyDescent="0.25">
      <c r="A138" s="10" t="s">
        <v>715</v>
      </c>
      <c r="B138" s="80"/>
      <c r="C138" s="84" t="s">
        <v>716</v>
      </c>
      <c r="D138" s="82"/>
      <c r="E138" s="82"/>
      <c r="F138" s="85" t="s">
        <v>123</v>
      </c>
      <c r="G138" s="86">
        <v>1.1000000000000001</v>
      </c>
      <c r="H138" s="87"/>
      <c r="I138" s="87">
        <v>0</v>
      </c>
      <c r="J138" s="28">
        <v>18.34</v>
      </c>
      <c r="M138" s="29">
        <f>ROUND(ROUND(J138, 2)*I138, 2)</f>
        <v>0</v>
      </c>
      <c r="P138" s="28">
        <v>18.34</v>
      </c>
      <c r="S138" s="29">
        <f>ROUND(ROUND(P138, 2)*I138, 2)</f>
        <v>0</v>
      </c>
      <c r="V138" s="9">
        <f>ROUND(ROUND(P138, 2)/1.2, 2)</f>
        <v>15.28</v>
      </c>
      <c r="Y138" s="9">
        <f t="shared" si="10"/>
        <v>0</v>
      </c>
      <c r="AD138" s="4" t="s">
        <v>717</v>
      </c>
      <c r="AE138" s="4" t="s">
        <v>718</v>
      </c>
      <c r="AF138" s="4" t="s">
        <v>719</v>
      </c>
    </row>
    <row r="139" spans="1:35" ht="56.25" x14ac:dyDescent="0.25">
      <c r="A139" s="10" t="s">
        <v>722</v>
      </c>
      <c r="B139" s="80" t="s">
        <v>689</v>
      </c>
      <c r="C139" s="81" t="s">
        <v>690</v>
      </c>
      <c r="D139" s="82"/>
      <c r="E139" s="82" t="s">
        <v>723</v>
      </c>
      <c r="F139" s="82" t="s">
        <v>56</v>
      </c>
      <c r="G139" s="83">
        <v>1</v>
      </c>
      <c r="H139" s="83"/>
      <c r="I139" s="83">
        <v>0</v>
      </c>
      <c r="J139" s="17">
        <f>IFERROR(ROUND(SUM(M140,M141,M142,M143)/I139, 2),0)</f>
        <v>0</v>
      </c>
      <c r="K139" s="18">
        <v>826</v>
      </c>
      <c r="L139" s="17">
        <f>J139+ROUND(K139, 2)</f>
        <v>826</v>
      </c>
      <c r="M139" s="17">
        <f>ROUND(J139*I139, 2)</f>
        <v>0</v>
      </c>
      <c r="N139" s="17">
        <f>ROUND(I139*ROUND(K139, 2), 2)</f>
        <v>0</v>
      </c>
      <c r="O139" s="17">
        <f>M139+N139</f>
        <v>0</v>
      </c>
      <c r="P139" s="17">
        <f>IFERROR(ROUND(SUM(S140,S141,S142,S143)/I139, 2),0)</f>
        <v>0</v>
      </c>
      <c r="Q139" s="18">
        <v>826</v>
      </c>
      <c r="R139" s="17">
        <f>P139+ROUND(Q139, 2)</f>
        <v>826</v>
      </c>
      <c r="S139" s="17">
        <f>ROUND(P139*I139, 2)</f>
        <v>0</v>
      </c>
      <c r="T139" s="17">
        <f>ROUND(I139*ROUND(Q139, 2), 2)</f>
        <v>0</v>
      </c>
      <c r="U139" s="17">
        <f>S139+T139</f>
        <v>0</v>
      </c>
      <c r="V139" s="9">
        <f>ROUND(P139 / 1.2, 2)</f>
        <v>0</v>
      </c>
      <c r="W139" s="9">
        <f>ROUND(Q139 / 1.2, 2)</f>
        <v>688.33</v>
      </c>
      <c r="X139" s="9">
        <f>ROUND(R139 / 1.2, 2)</f>
        <v>688.33</v>
      </c>
      <c r="Y139" s="9">
        <f t="shared" si="10"/>
        <v>0</v>
      </c>
      <c r="Z139" s="9">
        <f>ROUND(T139 / 1.2, 2)</f>
        <v>0</v>
      </c>
      <c r="AA139" s="9">
        <f>Y139+Z139</f>
        <v>0</v>
      </c>
      <c r="AD139" s="4">
        <v>264030373</v>
      </c>
      <c r="AE139" s="4">
        <v>16077288</v>
      </c>
      <c r="AG139" s="4" t="s">
        <v>692</v>
      </c>
      <c r="AH139" s="4" t="s">
        <v>693</v>
      </c>
      <c r="AI139" s="4" t="s">
        <v>249</v>
      </c>
    </row>
    <row r="140" spans="1:35" ht="37.5" x14ac:dyDescent="0.25">
      <c r="A140" s="10" t="s">
        <v>725</v>
      </c>
      <c r="B140" s="80"/>
      <c r="C140" s="84" t="s">
        <v>726</v>
      </c>
      <c r="D140" s="82"/>
      <c r="E140" s="82"/>
      <c r="F140" s="85" t="s">
        <v>81</v>
      </c>
      <c r="G140" s="86">
        <v>0.15</v>
      </c>
      <c r="H140" s="86"/>
      <c r="I140" s="86">
        <v>0</v>
      </c>
      <c r="J140" s="28">
        <v>80</v>
      </c>
      <c r="M140" s="29">
        <f>ROUND(ROUND(J140, 2)*I140, 2)</f>
        <v>0</v>
      </c>
      <c r="P140" s="28">
        <v>80</v>
      </c>
      <c r="S140" s="29">
        <f>ROUND(ROUND(P140, 2)*I140, 2)</f>
        <v>0</v>
      </c>
      <c r="V140" s="9">
        <f>ROUND(ROUND(P140, 2)/1.2, 2)</f>
        <v>66.67</v>
      </c>
      <c r="Y140" s="9">
        <f t="shared" si="10"/>
        <v>0</v>
      </c>
      <c r="AD140" s="4" t="s">
        <v>727</v>
      </c>
      <c r="AE140" s="4" t="s">
        <v>728</v>
      </c>
      <c r="AF140" s="4" t="s">
        <v>729</v>
      </c>
    </row>
    <row r="141" spans="1:35" ht="18.75" x14ac:dyDescent="0.25">
      <c r="A141" s="10" t="s">
        <v>732</v>
      </c>
      <c r="B141" s="80"/>
      <c r="C141" s="84" t="s">
        <v>716</v>
      </c>
      <c r="D141" s="82"/>
      <c r="E141" s="82"/>
      <c r="F141" s="85" t="s">
        <v>123</v>
      </c>
      <c r="G141" s="86">
        <v>1.1000000000000001</v>
      </c>
      <c r="H141" s="87"/>
      <c r="I141" s="87">
        <v>0</v>
      </c>
      <c r="J141" s="28">
        <v>18.34</v>
      </c>
      <c r="M141" s="29">
        <f>ROUND(ROUND(J141, 2)*I141, 2)</f>
        <v>0</v>
      </c>
      <c r="P141" s="28">
        <v>18.34</v>
      </c>
      <c r="S141" s="29">
        <f>ROUND(ROUND(P141, 2)*I141, 2)</f>
        <v>0</v>
      </c>
      <c r="V141" s="9">
        <f>ROUND(ROUND(P141, 2)/1.2, 2)</f>
        <v>15.28</v>
      </c>
      <c r="Y141" s="9">
        <f t="shared" si="10"/>
        <v>0</v>
      </c>
      <c r="AD141" s="4" t="s">
        <v>733</v>
      </c>
      <c r="AE141" s="4" t="s">
        <v>734</v>
      </c>
      <c r="AF141" s="4" t="s">
        <v>719</v>
      </c>
    </row>
    <row r="142" spans="1:35" ht="18.75" x14ac:dyDescent="0.25">
      <c r="A142" s="10" t="s">
        <v>737</v>
      </c>
      <c r="B142" s="80"/>
      <c r="C142" s="84" t="s">
        <v>708</v>
      </c>
      <c r="D142" s="82"/>
      <c r="E142" s="82" t="s">
        <v>709</v>
      </c>
      <c r="F142" s="85" t="s">
        <v>81</v>
      </c>
      <c r="G142" s="86">
        <v>1.8</v>
      </c>
      <c r="H142" s="87"/>
      <c r="I142" s="87">
        <v>0</v>
      </c>
      <c r="J142" s="28">
        <v>5.85</v>
      </c>
      <c r="M142" s="29">
        <f>ROUND(ROUND(J142, 2)*I142, 2)</f>
        <v>0</v>
      </c>
      <c r="P142" s="28">
        <v>5.85</v>
      </c>
      <c r="S142" s="29">
        <f>ROUND(ROUND(P142, 2)*I142, 2)</f>
        <v>0</v>
      </c>
      <c r="V142" s="9">
        <f>ROUND(ROUND(P142, 2)/1.2, 2)</f>
        <v>4.88</v>
      </c>
      <c r="Y142" s="9">
        <f t="shared" si="10"/>
        <v>0</v>
      </c>
      <c r="AD142" s="4" t="s">
        <v>738</v>
      </c>
      <c r="AE142" s="4" t="s">
        <v>739</v>
      </c>
      <c r="AF142" s="4" t="s">
        <v>712</v>
      </c>
    </row>
    <row r="143" spans="1:35" ht="37.5" x14ac:dyDescent="0.25">
      <c r="A143" s="10" t="s">
        <v>742</v>
      </c>
      <c r="B143" s="80"/>
      <c r="C143" s="84" t="s">
        <v>696</v>
      </c>
      <c r="D143" s="82"/>
      <c r="E143" s="82"/>
      <c r="F143" s="85" t="s">
        <v>56</v>
      </c>
      <c r="G143" s="86">
        <v>1.1000000000000001</v>
      </c>
      <c r="H143" s="86"/>
      <c r="I143" s="86">
        <v>0</v>
      </c>
      <c r="J143" s="28">
        <v>27.55</v>
      </c>
      <c r="M143" s="29">
        <f>ROUND(ROUND(J143, 2)*I143, 2)</f>
        <v>0</v>
      </c>
      <c r="P143" s="28">
        <v>27.55</v>
      </c>
      <c r="S143" s="29">
        <f>ROUND(ROUND(P143, 2)*I143, 2)</f>
        <v>0</v>
      </c>
      <c r="V143" s="9">
        <f>ROUND(ROUND(P143, 2)/1.2, 2)</f>
        <v>22.96</v>
      </c>
      <c r="Y143" s="9">
        <f t="shared" si="10"/>
        <v>0</v>
      </c>
      <c r="AD143" s="4" t="s">
        <v>743</v>
      </c>
      <c r="AE143" s="4" t="s">
        <v>744</v>
      </c>
      <c r="AF143" s="4" t="s">
        <v>699</v>
      </c>
    </row>
    <row r="144" spans="1:35" ht="56.25" x14ac:dyDescent="0.25">
      <c r="A144" s="10" t="s">
        <v>747</v>
      </c>
      <c r="B144" s="10" t="s">
        <v>689</v>
      </c>
      <c r="C144" s="14" t="s">
        <v>690</v>
      </c>
      <c r="D144" s="15"/>
      <c r="E144" s="15" t="s">
        <v>748</v>
      </c>
      <c r="F144" s="15" t="s">
        <v>56</v>
      </c>
      <c r="G144" s="16">
        <v>1</v>
      </c>
      <c r="H144" s="16"/>
      <c r="I144" s="16">
        <v>0</v>
      </c>
      <c r="J144" s="17">
        <f>IFERROR(ROUND(SUM(M145,M146,M147)/I144, 2),0)</f>
        <v>0</v>
      </c>
      <c r="K144" s="18">
        <v>826</v>
      </c>
      <c r="L144" s="17">
        <f>J144+ROUND(K144, 2)</f>
        <v>826</v>
      </c>
      <c r="M144" s="17">
        <f>ROUND(J144*I144, 2)</f>
        <v>0</v>
      </c>
      <c r="N144" s="17">
        <f>ROUND(I144*ROUND(K144, 2), 2)</f>
        <v>0</v>
      </c>
      <c r="O144" s="17">
        <f>M144+N144</f>
        <v>0</v>
      </c>
      <c r="P144" s="17">
        <f>IFERROR(ROUND(SUM(S145,S146,S147)/I144, 2),0)</f>
        <v>0</v>
      </c>
      <c r="Q144" s="18">
        <v>826</v>
      </c>
      <c r="R144" s="17">
        <f>P144+ROUND(Q144, 2)</f>
        <v>826</v>
      </c>
      <c r="S144" s="17">
        <f>ROUND(P144*I144, 2)</f>
        <v>0</v>
      </c>
      <c r="T144" s="17">
        <f>ROUND(I144*ROUND(Q144, 2), 2)</f>
        <v>0</v>
      </c>
      <c r="U144" s="17">
        <f>S144+T144</f>
        <v>0</v>
      </c>
      <c r="V144" s="9">
        <f>ROUND(P144 / 1.2, 2)</f>
        <v>0</v>
      </c>
      <c r="W144" s="9">
        <f>ROUND(Q144 / 1.2, 2)</f>
        <v>688.33</v>
      </c>
      <c r="X144" s="9">
        <f>ROUND(R144 / 1.2, 2)</f>
        <v>688.33</v>
      </c>
      <c r="Y144" s="9">
        <f t="shared" si="10"/>
        <v>0</v>
      </c>
      <c r="Z144" s="9">
        <f>ROUND(T144 / 1.2, 2)</f>
        <v>0</v>
      </c>
      <c r="AA144" s="9">
        <f>Y144+Z144</f>
        <v>0</v>
      </c>
      <c r="AD144" s="4">
        <v>264030374</v>
      </c>
      <c r="AE144" s="4">
        <v>16081379</v>
      </c>
      <c r="AG144" s="4" t="s">
        <v>692</v>
      </c>
      <c r="AH144" s="4" t="s">
        <v>693</v>
      </c>
      <c r="AI144" s="4" t="s">
        <v>249</v>
      </c>
    </row>
    <row r="145" spans="1:35" ht="56.25" x14ac:dyDescent="0.25">
      <c r="A145" s="10" t="s">
        <v>750</v>
      </c>
      <c r="B145" s="10"/>
      <c r="C145" s="37" t="s">
        <v>751</v>
      </c>
      <c r="D145" s="15"/>
      <c r="E145" s="15" t="s">
        <v>709</v>
      </c>
      <c r="F145" s="25" t="s">
        <v>81</v>
      </c>
      <c r="G145" s="26">
        <v>1</v>
      </c>
      <c r="H145" s="27"/>
      <c r="I145" s="27">
        <v>0</v>
      </c>
      <c r="J145" s="28">
        <v>7.59</v>
      </c>
      <c r="M145" s="29">
        <f>ROUND(ROUND(J145, 2)*I145, 2)</f>
        <v>0</v>
      </c>
      <c r="P145" s="28">
        <v>8.35</v>
      </c>
      <c r="S145" s="29">
        <f>ROUND(ROUND(P145, 2)*I145, 2)</f>
        <v>0</v>
      </c>
      <c r="V145" s="9">
        <f>ROUND(ROUND(P145, 2)/1.2, 2)</f>
        <v>6.96</v>
      </c>
      <c r="Y145" s="9">
        <f t="shared" si="10"/>
        <v>0</v>
      </c>
      <c r="AD145" s="4" t="s">
        <v>752</v>
      </c>
      <c r="AE145" s="4" t="s">
        <v>753</v>
      </c>
      <c r="AF145" s="4" t="s">
        <v>754</v>
      </c>
    </row>
    <row r="146" spans="1:35" ht="18.75" x14ac:dyDescent="0.25">
      <c r="A146" s="10" t="s">
        <v>757</v>
      </c>
      <c r="B146" s="10"/>
      <c r="C146" s="24" t="s">
        <v>313</v>
      </c>
      <c r="D146" s="15"/>
      <c r="E146" s="15"/>
      <c r="F146" s="25" t="s">
        <v>81</v>
      </c>
      <c r="G146" s="26">
        <v>0.25</v>
      </c>
      <c r="H146" s="26"/>
      <c r="I146" s="26">
        <v>0</v>
      </c>
      <c r="J146" s="28">
        <v>100</v>
      </c>
      <c r="M146" s="29">
        <f>ROUND(ROUND(J146, 2)*I146, 2)</f>
        <v>0</v>
      </c>
      <c r="P146" s="28">
        <v>100</v>
      </c>
      <c r="S146" s="29">
        <f>ROUND(ROUND(P146, 2)*I146, 2)</f>
        <v>0</v>
      </c>
      <c r="V146" s="9">
        <f>ROUND(ROUND(P146, 2)/1.2, 2)</f>
        <v>83.33</v>
      </c>
      <c r="Y146" s="9">
        <f t="shared" si="10"/>
        <v>0</v>
      </c>
      <c r="AD146" s="4" t="s">
        <v>758</v>
      </c>
      <c r="AE146" s="4" t="s">
        <v>759</v>
      </c>
      <c r="AF146" s="4" t="s">
        <v>316</v>
      </c>
    </row>
    <row r="147" spans="1:35" ht="18.75" x14ac:dyDescent="0.25">
      <c r="A147" s="10" t="s">
        <v>762</v>
      </c>
      <c r="B147" s="10"/>
      <c r="C147" s="24" t="s">
        <v>716</v>
      </c>
      <c r="D147" s="15"/>
      <c r="E147" s="15"/>
      <c r="F147" s="25" t="s">
        <v>123</v>
      </c>
      <c r="G147" s="26">
        <v>1.1000000000000001</v>
      </c>
      <c r="H147" s="27"/>
      <c r="I147" s="27">
        <v>0</v>
      </c>
      <c r="J147" s="28">
        <v>18.34</v>
      </c>
      <c r="M147" s="29">
        <f>ROUND(ROUND(J147, 2)*I147, 2)</f>
        <v>0</v>
      </c>
      <c r="P147" s="28">
        <v>18.34</v>
      </c>
      <c r="S147" s="29">
        <f>ROUND(ROUND(P147, 2)*I147, 2)</f>
        <v>0</v>
      </c>
      <c r="V147" s="9">
        <f>ROUND(ROUND(P147, 2)/1.2, 2)</f>
        <v>15.28</v>
      </c>
      <c r="Y147" s="9">
        <f t="shared" si="10"/>
        <v>0</v>
      </c>
      <c r="AD147" s="4" t="s">
        <v>763</v>
      </c>
      <c r="AE147" s="4" t="s">
        <v>764</v>
      </c>
      <c r="AF147" s="4" t="s">
        <v>719</v>
      </c>
    </row>
    <row r="148" spans="1:35" ht="56.25" x14ac:dyDescent="0.25">
      <c r="A148" s="10" t="s">
        <v>767</v>
      </c>
      <c r="B148" s="10" t="s">
        <v>689</v>
      </c>
      <c r="C148" s="14" t="s">
        <v>690</v>
      </c>
      <c r="D148" s="15"/>
      <c r="E148" s="15" t="s">
        <v>768</v>
      </c>
      <c r="F148" s="15" t="s">
        <v>56</v>
      </c>
      <c r="G148" s="16">
        <v>1</v>
      </c>
      <c r="H148" s="16"/>
      <c r="I148" s="16">
        <v>0</v>
      </c>
      <c r="J148" s="17">
        <f>IFERROR(ROUND(SUM(M149,M150,M151)/I148, 2),0)</f>
        <v>0</v>
      </c>
      <c r="K148" s="18">
        <v>826</v>
      </c>
      <c r="L148" s="17">
        <f>J148+ROUND(K148, 2)</f>
        <v>826</v>
      </c>
      <c r="M148" s="17">
        <f>ROUND(J148*I148, 2)</f>
        <v>0</v>
      </c>
      <c r="N148" s="17">
        <f>ROUND(I148*ROUND(K148, 2), 2)</f>
        <v>0</v>
      </c>
      <c r="O148" s="17">
        <f>M148+N148</f>
        <v>0</v>
      </c>
      <c r="P148" s="17">
        <f>IFERROR(ROUND(SUM(S149,S150,S151)/I148, 2),0)</f>
        <v>0</v>
      </c>
      <c r="Q148" s="18">
        <v>826</v>
      </c>
      <c r="R148" s="17">
        <f>P148+ROUND(Q148, 2)</f>
        <v>826</v>
      </c>
      <c r="S148" s="17">
        <f>ROUND(P148*I148, 2)</f>
        <v>0</v>
      </c>
      <c r="T148" s="17">
        <f>ROUND(I148*ROUND(Q148, 2), 2)</f>
        <v>0</v>
      </c>
      <c r="U148" s="17">
        <f>S148+T148</f>
        <v>0</v>
      </c>
      <c r="V148" s="9">
        <f>ROUND(P148 / 1.2, 2)</f>
        <v>0</v>
      </c>
      <c r="W148" s="9">
        <f>ROUND(Q148 / 1.2, 2)</f>
        <v>688.33</v>
      </c>
      <c r="X148" s="9">
        <f>ROUND(R148 / 1.2, 2)</f>
        <v>688.33</v>
      </c>
      <c r="Y148" s="9">
        <f t="shared" si="10"/>
        <v>0</v>
      </c>
      <c r="Z148" s="9">
        <f>ROUND(T148 / 1.2, 2)</f>
        <v>0</v>
      </c>
      <c r="AA148" s="9">
        <f>Y148+Z148</f>
        <v>0</v>
      </c>
      <c r="AD148" s="4">
        <v>264030375</v>
      </c>
      <c r="AE148" s="4">
        <v>16081378</v>
      </c>
      <c r="AG148" s="4" t="s">
        <v>692</v>
      </c>
      <c r="AH148" s="4" t="s">
        <v>693</v>
      </c>
      <c r="AI148" s="4" t="s">
        <v>249</v>
      </c>
    </row>
    <row r="149" spans="1:35" ht="18.75" x14ac:dyDescent="0.25">
      <c r="A149" s="10" t="s">
        <v>770</v>
      </c>
      <c r="B149" s="10"/>
      <c r="C149" s="24" t="s">
        <v>716</v>
      </c>
      <c r="D149" s="15"/>
      <c r="E149" s="15"/>
      <c r="F149" s="25" t="s">
        <v>123</v>
      </c>
      <c r="G149" s="26">
        <v>1.1000000000000001</v>
      </c>
      <c r="H149" s="27"/>
      <c r="I149" s="27">
        <v>0</v>
      </c>
      <c r="J149" s="28">
        <v>18.34</v>
      </c>
      <c r="M149" s="29">
        <f>ROUND(ROUND(J149, 2)*I149, 2)</f>
        <v>0</v>
      </c>
      <c r="P149" s="28">
        <v>18.34</v>
      </c>
      <c r="S149" s="29">
        <f>ROUND(ROUND(P149, 2)*I149, 2)</f>
        <v>0</v>
      </c>
      <c r="V149" s="9">
        <f>ROUND(ROUND(P149, 2)/1.2, 2)</f>
        <v>15.28</v>
      </c>
      <c r="Y149" s="9">
        <f t="shared" si="10"/>
        <v>0</v>
      </c>
      <c r="AD149" s="4" t="s">
        <v>771</v>
      </c>
      <c r="AE149" s="4" t="s">
        <v>772</v>
      </c>
      <c r="AF149" s="4" t="s">
        <v>719</v>
      </c>
    </row>
    <row r="150" spans="1:35" ht="37.5" x14ac:dyDescent="0.25">
      <c r="A150" s="10" t="s">
        <v>775</v>
      </c>
      <c r="B150" s="10"/>
      <c r="C150" s="24" t="s">
        <v>776</v>
      </c>
      <c r="D150" s="15"/>
      <c r="E150" s="15"/>
      <c r="F150" s="25" t="s">
        <v>81</v>
      </c>
      <c r="G150" s="26">
        <v>0.15</v>
      </c>
      <c r="H150" s="27"/>
      <c r="I150" s="27">
        <v>0</v>
      </c>
      <c r="J150" s="28">
        <v>80</v>
      </c>
      <c r="M150" s="29">
        <f>ROUND(ROUND(J150, 2)*I150, 2)</f>
        <v>0</v>
      </c>
      <c r="P150" s="28">
        <v>80</v>
      </c>
      <c r="S150" s="29">
        <f>ROUND(ROUND(P150, 2)*I150, 2)</f>
        <v>0</v>
      </c>
      <c r="V150" s="9">
        <f>ROUND(ROUND(P150, 2)/1.2, 2)</f>
        <v>66.67</v>
      </c>
      <c r="Y150" s="9">
        <f t="shared" si="10"/>
        <v>0</v>
      </c>
      <c r="AD150" s="4" t="s">
        <v>777</v>
      </c>
      <c r="AE150" s="4" t="s">
        <v>778</v>
      </c>
      <c r="AF150" s="4" t="s">
        <v>779</v>
      </c>
    </row>
    <row r="151" spans="1:35" ht="56.25" x14ac:dyDescent="0.25">
      <c r="A151" s="10" t="s">
        <v>782</v>
      </c>
      <c r="B151" s="10"/>
      <c r="C151" s="37" t="s">
        <v>751</v>
      </c>
      <c r="D151" s="15"/>
      <c r="E151" s="15" t="s">
        <v>709</v>
      </c>
      <c r="F151" s="25" t="s">
        <v>81</v>
      </c>
      <c r="G151" s="26">
        <v>1</v>
      </c>
      <c r="H151" s="27"/>
      <c r="I151" s="27">
        <v>0</v>
      </c>
      <c r="J151" s="28">
        <v>7.59</v>
      </c>
      <c r="M151" s="29">
        <f>ROUND(ROUND(J151, 2)*I151, 2)</f>
        <v>0</v>
      </c>
      <c r="P151" s="28">
        <v>8.35</v>
      </c>
      <c r="S151" s="29">
        <f>ROUND(ROUND(P151, 2)*I151, 2)</f>
        <v>0</v>
      </c>
      <c r="V151" s="9">
        <f>ROUND(ROUND(P151, 2)/1.2, 2)</f>
        <v>6.96</v>
      </c>
      <c r="Y151" s="9">
        <f t="shared" si="10"/>
        <v>0</v>
      </c>
      <c r="AD151" s="4" t="s">
        <v>783</v>
      </c>
      <c r="AE151" s="4" t="s">
        <v>784</v>
      </c>
      <c r="AF151" s="4" t="s">
        <v>754</v>
      </c>
    </row>
    <row r="152" spans="1:35" ht="56.25" x14ac:dyDescent="0.25">
      <c r="A152" s="10" t="s">
        <v>787</v>
      </c>
      <c r="B152" s="10" t="s">
        <v>689</v>
      </c>
      <c r="C152" s="14" t="s">
        <v>690</v>
      </c>
      <c r="D152" s="15"/>
      <c r="E152" s="15" t="s">
        <v>788</v>
      </c>
      <c r="F152" s="15" t="s">
        <v>56</v>
      </c>
      <c r="G152" s="16">
        <v>1</v>
      </c>
      <c r="H152" s="16"/>
      <c r="I152" s="16">
        <v>0</v>
      </c>
      <c r="J152" s="17">
        <f>IFERROR(ROUND(SUM(M153,M154,M155,M156)/I152, 2),0)</f>
        <v>0</v>
      </c>
      <c r="K152" s="18">
        <v>826</v>
      </c>
      <c r="L152" s="17">
        <f>J152+ROUND(K152, 2)</f>
        <v>826</v>
      </c>
      <c r="M152" s="17">
        <f>ROUND(J152*I152, 2)</f>
        <v>0</v>
      </c>
      <c r="N152" s="17">
        <f>ROUND(I152*ROUND(K152, 2), 2)</f>
        <v>0</v>
      </c>
      <c r="O152" s="17">
        <f>M152+N152</f>
        <v>0</v>
      </c>
      <c r="P152" s="17">
        <f>IFERROR(ROUND(SUM(S153,S154,S155,S156)/I152, 2),0)</f>
        <v>0</v>
      </c>
      <c r="Q152" s="18">
        <v>826</v>
      </c>
      <c r="R152" s="17">
        <f>P152+ROUND(Q152, 2)</f>
        <v>826</v>
      </c>
      <c r="S152" s="17">
        <f>ROUND(P152*I152, 2)</f>
        <v>0</v>
      </c>
      <c r="T152" s="17">
        <f>ROUND(I152*ROUND(Q152, 2), 2)</f>
        <v>0</v>
      </c>
      <c r="U152" s="17">
        <f>S152+T152</f>
        <v>0</v>
      </c>
      <c r="V152" s="9">
        <f>ROUND(P152 / 1.2, 2)</f>
        <v>0</v>
      </c>
      <c r="W152" s="9">
        <f>ROUND(Q152 / 1.2, 2)</f>
        <v>688.33</v>
      </c>
      <c r="X152" s="9">
        <f>ROUND(R152 / 1.2, 2)</f>
        <v>688.33</v>
      </c>
      <c r="Y152" s="9">
        <f t="shared" si="10"/>
        <v>0</v>
      </c>
      <c r="Z152" s="9">
        <f>ROUND(T152 / 1.2, 2)</f>
        <v>0</v>
      </c>
      <c r="AA152" s="9">
        <f>Y152+Z152</f>
        <v>0</v>
      </c>
      <c r="AD152" s="4">
        <v>264030376</v>
      </c>
      <c r="AE152" s="4">
        <v>16086783</v>
      </c>
      <c r="AG152" s="4" t="s">
        <v>692</v>
      </c>
      <c r="AH152" s="4" t="s">
        <v>693</v>
      </c>
      <c r="AI152" s="4" t="s">
        <v>249</v>
      </c>
    </row>
    <row r="153" spans="1:35" ht="37.5" x14ac:dyDescent="0.25">
      <c r="A153" s="10" t="s">
        <v>790</v>
      </c>
      <c r="B153" s="10"/>
      <c r="C153" s="24" t="s">
        <v>696</v>
      </c>
      <c r="D153" s="15"/>
      <c r="E153" s="15"/>
      <c r="F153" s="25" t="s">
        <v>56</v>
      </c>
      <c r="G153" s="26">
        <v>1.1000000000000001</v>
      </c>
      <c r="H153" s="26"/>
      <c r="I153" s="26">
        <v>0</v>
      </c>
      <c r="J153" s="28">
        <v>27.55</v>
      </c>
      <c r="M153" s="29">
        <f>ROUND(ROUND(J153, 2)*I153, 2)</f>
        <v>0</v>
      </c>
      <c r="P153" s="28">
        <v>27.55</v>
      </c>
      <c r="S153" s="29">
        <f>ROUND(ROUND(P153, 2)*I153, 2)</f>
        <v>0</v>
      </c>
      <c r="V153" s="9">
        <f>ROUND(ROUND(P153, 2)/1.2, 2)</f>
        <v>22.96</v>
      </c>
      <c r="Y153" s="9">
        <f t="shared" si="10"/>
        <v>0</v>
      </c>
      <c r="AD153" s="4" t="s">
        <v>791</v>
      </c>
      <c r="AE153" s="4" t="s">
        <v>792</v>
      </c>
      <c r="AF153" s="4" t="s">
        <v>699</v>
      </c>
    </row>
    <row r="154" spans="1:35" ht="18.75" x14ac:dyDescent="0.25">
      <c r="A154" s="10" t="s">
        <v>795</v>
      </c>
      <c r="B154" s="10"/>
      <c r="C154" s="24" t="s">
        <v>313</v>
      </c>
      <c r="D154" s="15"/>
      <c r="E154" s="15"/>
      <c r="F154" s="25" t="s">
        <v>81</v>
      </c>
      <c r="G154" s="26">
        <v>0.25</v>
      </c>
      <c r="H154" s="26"/>
      <c r="I154" s="26">
        <v>0</v>
      </c>
      <c r="J154" s="28">
        <v>100</v>
      </c>
      <c r="M154" s="29">
        <f>ROUND(ROUND(J154, 2)*I154, 2)</f>
        <v>0</v>
      </c>
      <c r="P154" s="28">
        <v>100</v>
      </c>
      <c r="S154" s="29">
        <f>ROUND(ROUND(P154, 2)*I154, 2)</f>
        <v>0</v>
      </c>
      <c r="V154" s="9">
        <f>ROUND(ROUND(P154, 2)/1.2, 2)</f>
        <v>83.33</v>
      </c>
      <c r="Y154" s="9">
        <f t="shared" si="10"/>
        <v>0</v>
      </c>
      <c r="AD154" s="4" t="s">
        <v>796</v>
      </c>
      <c r="AE154" s="4" t="s">
        <v>797</v>
      </c>
      <c r="AF154" s="4" t="s">
        <v>316</v>
      </c>
    </row>
    <row r="155" spans="1:35" ht="18.75" x14ac:dyDescent="0.25">
      <c r="A155" s="10" t="s">
        <v>800</v>
      </c>
      <c r="B155" s="10"/>
      <c r="C155" s="24" t="s">
        <v>708</v>
      </c>
      <c r="D155" s="15"/>
      <c r="E155" s="15" t="s">
        <v>709</v>
      </c>
      <c r="F155" s="25" t="s">
        <v>81</v>
      </c>
      <c r="G155" s="26">
        <v>1.8</v>
      </c>
      <c r="H155" s="27"/>
      <c r="I155" s="27">
        <v>0</v>
      </c>
      <c r="J155" s="28">
        <v>5.85</v>
      </c>
      <c r="M155" s="29">
        <f>ROUND(ROUND(J155, 2)*I155, 2)</f>
        <v>0</v>
      </c>
      <c r="P155" s="28">
        <v>5.85</v>
      </c>
      <c r="S155" s="29">
        <f>ROUND(ROUND(P155, 2)*I155, 2)</f>
        <v>0</v>
      </c>
      <c r="V155" s="9">
        <f>ROUND(ROUND(P155, 2)/1.2, 2)</f>
        <v>4.88</v>
      </c>
      <c r="Y155" s="9">
        <f t="shared" si="10"/>
        <v>0</v>
      </c>
      <c r="AD155" s="4" t="s">
        <v>801</v>
      </c>
      <c r="AE155" s="4" t="s">
        <v>802</v>
      </c>
      <c r="AF155" s="4" t="s">
        <v>712</v>
      </c>
    </row>
    <row r="156" spans="1:35" ht="18.75" x14ac:dyDescent="0.25">
      <c r="A156" s="10" t="s">
        <v>805</v>
      </c>
      <c r="B156" s="10"/>
      <c r="C156" s="24" t="s">
        <v>716</v>
      </c>
      <c r="D156" s="15"/>
      <c r="E156" s="15"/>
      <c r="F156" s="25" t="s">
        <v>123</v>
      </c>
      <c r="G156" s="26">
        <v>1.1000000000000001</v>
      </c>
      <c r="H156" s="27"/>
      <c r="I156" s="27">
        <v>0</v>
      </c>
      <c r="J156" s="28">
        <v>18.34</v>
      </c>
      <c r="M156" s="29">
        <f>ROUND(ROUND(J156, 2)*I156, 2)</f>
        <v>0</v>
      </c>
      <c r="P156" s="28">
        <v>18.34</v>
      </c>
      <c r="S156" s="29">
        <f>ROUND(ROUND(P156, 2)*I156, 2)</f>
        <v>0</v>
      </c>
      <c r="V156" s="9">
        <f>ROUND(ROUND(P156, 2)/1.2, 2)</f>
        <v>15.28</v>
      </c>
      <c r="Y156" s="9">
        <f t="shared" si="10"/>
        <v>0</v>
      </c>
      <c r="AD156" s="4" t="s">
        <v>806</v>
      </c>
      <c r="AE156" s="4" t="s">
        <v>807</v>
      </c>
      <c r="AF156" s="4" t="s">
        <v>719</v>
      </c>
    </row>
    <row r="157" spans="1:35" ht="56.25" x14ac:dyDescent="0.25">
      <c r="A157" s="10" t="s">
        <v>810</v>
      </c>
      <c r="B157" s="10" t="s">
        <v>689</v>
      </c>
      <c r="C157" s="14" t="s">
        <v>690</v>
      </c>
      <c r="D157" s="15"/>
      <c r="E157" s="15" t="s">
        <v>811</v>
      </c>
      <c r="F157" s="15" t="s">
        <v>56</v>
      </c>
      <c r="G157" s="16">
        <v>1</v>
      </c>
      <c r="H157" s="16"/>
      <c r="I157" s="16">
        <v>0</v>
      </c>
      <c r="J157" s="17">
        <f>IFERROR(ROUND(SUM(M158,M159,M160,M161)/I157, 2),0)</f>
        <v>0</v>
      </c>
      <c r="K157" s="18">
        <v>826</v>
      </c>
      <c r="L157" s="17">
        <f>J157+ROUND(K157, 2)</f>
        <v>826</v>
      </c>
      <c r="M157" s="17">
        <f>ROUND(J157*I157, 2)</f>
        <v>0</v>
      </c>
      <c r="N157" s="17">
        <f>ROUND(I157*ROUND(K157, 2), 2)</f>
        <v>0</v>
      </c>
      <c r="O157" s="17">
        <f>M157+N157</f>
        <v>0</v>
      </c>
      <c r="P157" s="17">
        <f>IFERROR(ROUND(SUM(S158,S159,S160,S161)/I157, 2),0)</f>
        <v>0</v>
      </c>
      <c r="Q157" s="18">
        <v>826</v>
      </c>
      <c r="R157" s="17">
        <f>P157+ROUND(Q157, 2)</f>
        <v>826</v>
      </c>
      <c r="S157" s="17">
        <f>ROUND(P157*I157, 2)</f>
        <v>0</v>
      </c>
      <c r="T157" s="17">
        <f>ROUND(I157*ROUND(Q157, 2), 2)</f>
        <v>0</v>
      </c>
      <c r="U157" s="17">
        <f>S157+T157</f>
        <v>0</v>
      </c>
      <c r="V157" s="9">
        <f>ROUND(P157 / 1.2, 2)</f>
        <v>0</v>
      </c>
      <c r="W157" s="9">
        <f>ROUND(Q157 / 1.2, 2)</f>
        <v>688.33</v>
      </c>
      <c r="X157" s="9">
        <f>ROUND(R157 / 1.2, 2)</f>
        <v>688.33</v>
      </c>
      <c r="Y157" s="9">
        <f t="shared" si="10"/>
        <v>0</v>
      </c>
      <c r="Z157" s="9">
        <f>ROUND(T157 / 1.2, 2)</f>
        <v>0</v>
      </c>
      <c r="AA157" s="9">
        <f>Y157+Z157</f>
        <v>0</v>
      </c>
      <c r="AD157" s="4">
        <v>264030377</v>
      </c>
      <c r="AE157" s="4">
        <v>16086782</v>
      </c>
      <c r="AG157" s="4" t="s">
        <v>692</v>
      </c>
      <c r="AH157" s="4" t="s">
        <v>693</v>
      </c>
      <c r="AI157" s="4" t="s">
        <v>249</v>
      </c>
    </row>
    <row r="158" spans="1:35" ht="18.75" x14ac:dyDescent="0.25">
      <c r="A158" s="10" t="s">
        <v>813</v>
      </c>
      <c r="B158" s="10"/>
      <c r="C158" s="24" t="s">
        <v>716</v>
      </c>
      <c r="D158" s="15"/>
      <c r="E158" s="15"/>
      <c r="F158" s="25" t="s">
        <v>123</v>
      </c>
      <c r="G158" s="26">
        <v>1.1000000000000001</v>
      </c>
      <c r="H158" s="27"/>
      <c r="I158" s="27">
        <v>0</v>
      </c>
      <c r="J158" s="28">
        <v>18.34</v>
      </c>
      <c r="M158" s="29">
        <f>ROUND(ROUND(J158, 2)*I158, 2)</f>
        <v>0</v>
      </c>
      <c r="P158" s="28">
        <v>18.34</v>
      </c>
      <c r="S158" s="29">
        <f>ROUND(ROUND(P158, 2)*I158, 2)</f>
        <v>0</v>
      </c>
      <c r="V158" s="9">
        <f>ROUND(ROUND(P158, 2)/1.2, 2)</f>
        <v>15.28</v>
      </c>
      <c r="Y158" s="9">
        <f t="shared" si="10"/>
        <v>0</v>
      </c>
      <c r="AD158" s="4" t="s">
        <v>814</v>
      </c>
      <c r="AE158" s="4" t="s">
        <v>815</v>
      </c>
      <c r="AF158" s="4" t="s">
        <v>719</v>
      </c>
    </row>
    <row r="159" spans="1:35" ht="18.75" x14ac:dyDescent="0.25">
      <c r="A159" s="10" t="s">
        <v>818</v>
      </c>
      <c r="B159" s="10"/>
      <c r="C159" s="24" t="s">
        <v>708</v>
      </c>
      <c r="D159" s="15"/>
      <c r="E159" s="15" t="s">
        <v>709</v>
      </c>
      <c r="F159" s="25" t="s">
        <v>81</v>
      </c>
      <c r="G159" s="26">
        <v>1.8</v>
      </c>
      <c r="H159" s="27"/>
      <c r="I159" s="27">
        <v>0</v>
      </c>
      <c r="J159" s="28">
        <v>5.85</v>
      </c>
      <c r="M159" s="29">
        <f>ROUND(ROUND(J159, 2)*I159, 2)</f>
        <v>0</v>
      </c>
      <c r="P159" s="28">
        <v>5.85</v>
      </c>
      <c r="S159" s="29">
        <f>ROUND(ROUND(P159, 2)*I159, 2)</f>
        <v>0</v>
      </c>
      <c r="V159" s="9">
        <f>ROUND(ROUND(P159, 2)/1.2, 2)</f>
        <v>4.88</v>
      </c>
      <c r="Y159" s="9">
        <f t="shared" si="10"/>
        <v>0</v>
      </c>
      <c r="AD159" s="4" t="s">
        <v>819</v>
      </c>
      <c r="AE159" s="4" t="s">
        <v>820</v>
      </c>
      <c r="AF159" s="4" t="s">
        <v>712</v>
      </c>
    </row>
    <row r="160" spans="1:35" ht="37.5" x14ac:dyDescent="0.25">
      <c r="A160" s="10" t="s">
        <v>823</v>
      </c>
      <c r="B160" s="10"/>
      <c r="C160" s="24" t="s">
        <v>776</v>
      </c>
      <c r="D160" s="15"/>
      <c r="E160" s="15"/>
      <c r="F160" s="25" t="s">
        <v>81</v>
      </c>
      <c r="G160" s="26">
        <v>0.15</v>
      </c>
      <c r="H160" s="27"/>
      <c r="I160" s="27">
        <v>0</v>
      </c>
      <c r="J160" s="28">
        <v>80</v>
      </c>
      <c r="M160" s="29">
        <f>ROUND(ROUND(J160, 2)*I160, 2)</f>
        <v>0</v>
      </c>
      <c r="P160" s="28">
        <v>80</v>
      </c>
      <c r="S160" s="29">
        <f>ROUND(ROUND(P160, 2)*I160, 2)</f>
        <v>0</v>
      </c>
      <c r="V160" s="9">
        <f>ROUND(ROUND(P160, 2)/1.2, 2)</f>
        <v>66.67</v>
      </c>
      <c r="Y160" s="9">
        <f t="shared" si="10"/>
        <v>0</v>
      </c>
      <c r="AD160" s="4" t="s">
        <v>824</v>
      </c>
      <c r="AE160" s="4" t="s">
        <v>825</v>
      </c>
      <c r="AF160" s="4" t="s">
        <v>779</v>
      </c>
    </row>
    <row r="161" spans="1:35" ht="37.5" x14ac:dyDescent="0.25">
      <c r="A161" s="10" t="s">
        <v>828</v>
      </c>
      <c r="B161" s="10"/>
      <c r="C161" s="24" t="s">
        <v>696</v>
      </c>
      <c r="D161" s="15"/>
      <c r="E161" s="15"/>
      <c r="F161" s="25" t="s">
        <v>56</v>
      </c>
      <c r="G161" s="26">
        <v>1.1000000000000001</v>
      </c>
      <c r="H161" s="26"/>
      <c r="I161" s="26">
        <v>0</v>
      </c>
      <c r="J161" s="28">
        <v>27.55</v>
      </c>
      <c r="M161" s="29">
        <f>ROUND(ROUND(J161, 2)*I161, 2)</f>
        <v>0</v>
      </c>
      <c r="P161" s="28">
        <v>27.55</v>
      </c>
      <c r="S161" s="29">
        <f>ROUND(ROUND(P161, 2)*I161, 2)</f>
        <v>0</v>
      </c>
      <c r="V161" s="9">
        <f>ROUND(ROUND(P161, 2)/1.2, 2)</f>
        <v>22.96</v>
      </c>
      <c r="Y161" s="9">
        <f t="shared" si="10"/>
        <v>0</v>
      </c>
      <c r="AD161" s="4" t="s">
        <v>829</v>
      </c>
      <c r="AE161" s="4" t="s">
        <v>830</v>
      </c>
      <c r="AF161" s="4" t="s">
        <v>699</v>
      </c>
    </row>
    <row r="162" spans="1:35" ht="56.25" x14ac:dyDescent="0.25">
      <c r="A162" s="10" t="s">
        <v>833</v>
      </c>
      <c r="B162" s="10" t="s">
        <v>689</v>
      </c>
      <c r="C162" s="14" t="s">
        <v>690</v>
      </c>
      <c r="D162" s="15"/>
      <c r="E162" s="15" t="s">
        <v>834</v>
      </c>
      <c r="F162" s="15" t="s">
        <v>56</v>
      </c>
      <c r="G162" s="16">
        <v>1</v>
      </c>
      <c r="H162" s="16"/>
      <c r="I162" s="16">
        <v>0</v>
      </c>
      <c r="J162" s="17">
        <f>IFERROR(ROUND(SUM(M163,M164,M165)/I162, 2),0)</f>
        <v>0</v>
      </c>
      <c r="K162" s="18">
        <v>826</v>
      </c>
      <c r="L162" s="17">
        <f>J162+ROUND(K162, 2)</f>
        <v>826</v>
      </c>
      <c r="M162" s="17">
        <f>ROUND(J162*I162, 2)</f>
        <v>0</v>
      </c>
      <c r="N162" s="17">
        <f>ROUND(I162*ROUND(K162, 2), 2)</f>
        <v>0</v>
      </c>
      <c r="O162" s="17">
        <f>M162+N162</f>
        <v>0</v>
      </c>
      <c r="P162" s="17">
        <f>IFERROR(ROUND(SUM(S163,S164,S165)/I162, 2),0)</f>
        <v>0</v>
      </c>
      <c r="Q162" s="18">
        <v>826</v>
      </c>
      <c r="R162" s="17">
        <f>P162+ROUND(Q162, 2)</f>
        <v>826</v>
      </c>
      <c r="S162" s="17">
        <f>ROUND(P162*I162, 2)</f>
        <v>0</v>
      </c>
      <c r="T162" s="17">
        <f>ROUND(I162*ROUND(Q162, 2), 2)</f>
        <v>0</v>
      </c>
      <c r="U162" s="17">
        <f>S162+T162</f>
        <v>0</v>
      </c>
      <c r="V162" s="9">
        <f>ROUND(P162 / 1.2, 2)</f>
        <v>0</v>
      </c>
      <c r="W162" s="9">
        <f>ROUND(Q162 / 1.2, 2)</f>
        <v>688.33</v>
      </c>
      <c r="X162" s="9">
        <f>ROUND(R162 / 1.2, 2)</f>
        <v>688.33</v>
      </c>
      <c r="Y162" s="9">
        <f t="shared" si="10"/>
        <v>0</v>
      </c>
      <c r="Z162" s="9">
        <f>ROUND(T162 / 1.2, 2)</f>
        <v>0</v>
      </c>
      <c r="AA162" s="9">
        <f>Y162+Z162</f>
        <v>0</v>
      </c>
      <c r="AD162" s="4">
        <v>264030378</v>
      </c>
      <c r="AE162" s="4">
        <v>16087273</v>
      </c>
      <c r="AG162" s="4" t="s">
        <v>692</v>
      </c>
      <c r="AH162" s="4" t="s">
        <v>693</v>
      </c>
      <c r="AI162" s="4" t="s">
        <v>249</v>
      </c>
    </row>
    <row r="163" spans="1:35" ht="37.5" x14ac:dyDescent="0.25">
      <c r="A163" s="10" t="s">
        <v>836</v>
      </c>
      <c r="B163" s="10"/>
      <c r="C163" s="24" t="s">
        <v>696</v>
      </c>
      <c r="D163" s="15"/>
      <c r="E163" s="15"/>
      <c r="F163" s="25" t="s">
        <v>56</v>
      </c>
      <c r="G163" s="26">
        <v>1.1000000000000001</v>
      </c>
      <c r="H163" s="26"/>
      <c r="I163" s="26">
        <v>0</v>
      </c>
      <c r="J163" s="28">
        <v>27.55</v>
      </c>
      <c r="M163" s="29">
        <f>ROUND(ROUND(J163, 2)*I163, 2)</f>
        <v>0</v>
      </c>
      <c r="P163" s="28">
        <v>27.55</v>
      </c>
      <c r="S163" s="29">
        <f>ROUND(ROUND(P163, 2)*I163, 2)</f>
        <v>0</v>
      </c>
      <c r="V163" s="9">
        <f>ROUND(ROUND(P163, 2)/1.2, 2)</f>
        <v>22.96</v>
      </c>
      <c r="Y163" s="9">
        <f t="shared" si="10"/>
        <v>0</v>
      </c>
      <c r="AD163" s="4" t="s">
        <v>837</v>
      </c>
      <c r="AE163" s="4" t="s">
        <v>838</v>
      </c>
      <c r="AF163" s="4" t="s">
        <v>699</v>
      </c>
    </row>
    <row r="164" spans="1:35" ht="37.5" x14ac:dyDescent="0.25">
      <c r="A164" s="10" t="s">
        <v>841</v>
      </c>
      <c r="B164" s="10"/>
      <c r="C164" s="24" t="s">
        <v>776</v>
      </c>
      <c r="D164" s="15"/>
      <c r="E164" s="15"/>
      <c r="F164" s="25" t="s">
        <v>81</v>
      </c>
      <c r="G164" s="26">
        <v>0.15</v>
      </c>
      <c r="H164" s="27"/>
      <c r="I164" s="27">
        <v>0</v>
      </c>
      <c r="J164" s="28">
        <v>80</v>
      </c>
      <c r="M164" s="29">
        <f>ROUND(ROUND(J164, 2)*I164, 2)</f>
        <v>0</v>
      </c>
      <c r="P164" s="28">
        <v>80</v>
      </c>
      <c r="S164" s="29">
        <f>ROUND(ROUND(P164, 2)*I164, 2)</f>
        <v>0</v>
      </c>
      <c r="V164" s="9">
        <f>ROUND(ROUND(P164, 2)/1.2, 2)</f>
        <v>66.67</v>
      </c>
      <c r="Y164" s="9">
        <f t="shared" si="10"/>
        <v>0</v>
      </c>
      <c r="AD164" s="4" t="s">
        <v>842</v>
      </c>
      <c r="AE164" s="4" t="s">
        <v>843</v>
      </c>
      <c r="AF164" s="4" t="s">
        <v>779</v>
      </c>
    </row>
    <row r="165" spans="1:35" ht="19.5" thickBot="1" x14ac:dyDescent="0.3">
      <c r="A165" s="10" t="s">
        <v>846</v>
      </c>
      <c r="B165" s="10"/>
      <c r="C165" s="91" t="s">
        <v>708</v>
      </c>
      <c r="D165" s="92"/>
      <c r="E165" s="92" t="s">
        <v>847</v>
      </c>
      <c r="F165" s="93" t="s">
        <v>81</v>
      </c>
      <c r="G165" s="94">
        <v>1.8</v>
      </c>
      <c r="H165" s="95"/>
      <c r="I165" s="95">
        <v>0</v>
      </c>
      <c r="J165" s="28">
        <v>5.85</v>
      </c>
      <c r="M165" s="29">
        <f>ROUND(ROUND(J165, 2)*I165, 2)</f>
        <v>0</v>
      </c>
      <c r="P165" s="28">
        <v>5.85</v>
      </c>
      <c r="S165" s="29">
        <f>ROUND(ROUND(P165, 2)*I165, 2)</f>
        <v>0</v>
      </c>
      <c r="V165" s="9">
        <f>ROUND(ROUND(P165, 2)/1.2, 2)</f>
        <v>4.88</v>
      </c>
      <c r="Y165" s="9">
        <f t="shared" si="10"/>
        <v>0</v>
      </c>
      <c r="AD165" s="4" t="s">
        <v>848</v>
      </c>
      <c r="AE165" s="4" t="s">
        <v>849</v>
      </c>
      <c r="AF165" s="4" t="s">
        <v>712</v>
      </c>
    </row>
    <row r="166" spans="1:35" ht="56.25" x14ac:dyDescent="0.25">
      <c r="A166" s="10" t="s">
        <v>852</v>
      </c>
      <c r="B166" s="88" t="s">
        <v>853</v>
      </c>
      <c r="C166" s="99" t="s">
        <v>854</v>
      </c>
      <c r="D166" s="100"/>
      <c r="E166" s="100" t="s">
        <v>855</v>
      </c>
      <c r="F166" s="100" t="s">
        <v>56</v>
      </c>
      <c r="G166" s="101">
        <v>1</v>
      </c>
      <c r="H166" s="101"/>
      <c r="I166" s="102">
        <v>754.1</v>
      </c>
      <c r="J166" s="89">
        <f>IFERROR(ROUND(SUM(M167,M168,M169)/I166, 2),0)</f>
        <v>70.430000000000007</v>
      </c>
      <c r="K166" s="18">
        <v>329</v>
      </c>
      <c r="L166" s="17">
        <f>J166+ROUND(K166, 2)</f>
        <v>399.43</v>
      </c>
      <c r="M166" s="17">
        <f>ROUND(J166*I166, 2)</f>
        <v>53111.26</v>
      </c>
      <c r="N166" s="17">
        <f>ROUND(I166*ROUND(K166, 2), 2)</f>
        <v>248098.9</v>
      </c>
      <c r="O166" s="17">
        <f>M166+N166</f>
        <v>301210.15999999997</v>
      </c>
      <c r="P166" s="17">
        <f>IFERROR(ROUND(SUM(S167,S168,S169)/I166, 2),0)</f>
        <v>70.430000000000007</v>
      </c>
      <c r="Q166" s="18">
        <v>329</v>
      </c>
      <c r="R166" s="17">
        <f>P166+ROUND(Q166, 2)</f>
        <v>399.43</v>
      </c>
      <c r="S166" s="17">
        <f>ROUND(P166*I166, 2)</f>
        <v>53111.26</v>
      </c>
      <c r="T166" s="17">
        <f>ROUND(I166*ROUND(Q166, 2), 2)</f>
        <v>248098.9</v>
      </c>
      <c r="U166" s="17">
        <f>S166+T166</f>
        <v>301210.15999999997</v>
      </c>
      <c r="V166" s="9">
        <f>ROUND(P166 / 1.2, 2)</f>
        <v>58.69</v>
      </c>
      <c r="W166" s="9">
        <f>ROUND(Q166 / 1.2, 2)</f>
        <v>274.17</v>
      </c>
      <c r="X166" s="9">
        <f>ROUND(R166 / 1.2, 2)</f>
        <v>332.86</v>
      </c>
      <c r="Y166" s="9">
        <f t="shared" si="10"/>
        <v>44259.38</v>
      </c>
      <c r="Z166" s="9">
        <f>ROUND(T166 / 1.2, 2)</f>
        <v>206749.08</v>
      </c>
      <c r="AA166" s="9">
        <f>Y166+Z166</f>
        <v>251008.46</v>
      </c>
      <c r="AD166" s="4">
        <v>264030292</v>
      </c>
      <c r="AE166" s="4">
        <v>16077289</v>
      </c>
      <c r="AG166" s="4" t="s">
        <v>856</v>
      </c>
      <c r="AH166" s="4" t="s">
        <v>857</v>
      </c>
      <c r="AI166" s="4" t="s">
        <v>249</v>
      </c>
    </row>
    <row r="167" spans="1:35" ht="56.25" x14ac:dyDescent="0.25">
      <c r="A167" s="10" t="s">
        <v>858</v>
      </c>
      <c r="B167" s="88"/>
      <c r="C167" s="103" t="s">
        <v>859</v>
      </c>
      <c r="D167" s="74"/>
      <c r="E167" s="74" t="s">
        <v>860</v>
      </c>
      <c r="F167" s="77" t="s">
        <v>81</v>
      </c>
      <c r="G167" s="78">
        <v>2</v>
      </c>
      <c r="H167" s="78"/>
      <c r="I167" s="104">
        <v>1508.2</v>
      </c>
      <c r="J167" s="90">
        <v>23</v>
      </c>
      <c r="M167" s="29">
        <f>ROUND(ROUND(J167, 2)*I167, 2)</f>
        <v>34688.6</v>
      </c>
      <c r="P167" s="28">
        <v>23</v>
      </c>
      <c r="S167" s="29">
        <f>ROUND(ROUND(P167, 2)*I167, 2)</f>
        <v>34688.6</v>
      </c>
      <c r="V167" s="9">
        <f>ROUND(ROUND(P167, 2)/1.2, 2)</f>
        <v>19.170000000000002</v>
      </c>
      <c r="Y167" s="9">
        <f t="shared" si="10"/>
        <v>28907.17</v>
      </c>
      <c r="AD167" s="4" t="s">
        <v>861</v>
      </c>
      <c r="AE167" s="4" t="s">
        <v>862</v>
      </c>
      <c r="AF167" s="4" t="s">
        <v>863</v>
      </c>
    </row>
    <row r="168" spans="1:35" ht="18.75" x14ac:dyDescent="0.25">
      <c r="A168" s="10" t="s">
        <v>864</v>
      </c>
      <c r="B168" s="88"/>
      <c r="C168" s="103" t="s">
        <v>865</v>
      </c>
      <c r="D168" s="74"/>
      <c r="E168" s="74"/>
      <c r="F168" s="77" t="s">
        <v>103</v>
      </c>
      <c r="G168" s="78">
        <v>0.3</v>
      </c>
      <c r="H168" s="79"/>
      <c r="I168" s="105">
        <v>226.23</v>
      </c>
      <c r="J168" s="90">
        <v>37.049999999999997</v>
      </c>
      <c r="M168" s="29">
        <f>ROUND(ROUND(J168, 2)*I168, 2)</f>
        <v>8381.82</v>
      </c>
      <c r="P168" s="28">
        <v>37.049999999999997</v>
      </c>
      <c r="S168" s="29">
        <f>ROUND(ROUND(P168, 2)*I168, 2)</f>
        <v>8381.82</v>
      </c>
      <c r="V168" s="9">
        <f>ROUND(ROUND(P168, 2)/1.2, 2)</f>
        <v>30.88</v>
      </c>
      <c r="Y168" s="9">
        <f t="shared" si="10"/>
        <v>6984.85</v>
      </c>
      <c r="AD168" s="4" t="s">
        <v>866</v>
      </c>
      <c r="AE168" s="4" t="s">
        <v>867</v>
      </c>
      <c r="AF168" s="4" t="s">
        <v>868</v>
      </c>
    </row>
    <row r="169" spans="1:35" ht="37.5" x14ac:dyDescent="0.25">
      <c r="A169" s="10" t="s">
        <v>869</v>
      </c>
      <c r="B169" s="88"/>
      <c r="C169" s="103" t="s">
        <v>490</v>
      </c>
      <c r="D169" s="74"/>
      <c r="E169" s="74"/>
      <c r="F169" s="77" t="s">
        <v>81</v>
      </c>
      <c r="G169" s="78">
        <v>0.15</v>
      </c>
      <c r="H169" s="78"/>
      <c r="I169" s="104">
        <v>113.11499999999999</v>
      </c>
      <c r="J169" s="90">
        <v>88.8</v>
      </c>
      <c r="M169" s="29">
        <f>ROUND(ROUND(J169, 2)*I169, 2)</f>
        <v>10044.61</v>
      </c>
      <c r="P169" s="28">
        <v>88.8</v>
      </c>
      <c r="S169" s="29">
        <f>ROUND(ROUND(P169, 2)*I169, 2)</f>
        <v>10044.61</v>
      </c>
      <c r="V169" s="9">
        <f>ROUND(ROUND(P169, 2)/1.2, 2)</f>
        <v>74</v>
      </c>
      <c r="Y169" s="9">
        <f t="shared" si="10"/>
        <v>8370.51</v>
      </c>
      <c r="AD169" s="4" t="s">
        <v>870</v>
      </c>
      <c r="AE169" s="4" t="s">
        <v>871</v>
      </c>
      <c r="AF169" s="4" t="s">
        <v>493</v>
      </c>
    </row>
    <row r="170" spans="1:35" ht="56.25" x14ac:dyDescent="0.25">
      <c r="A170" s="10" t="s">
        <v>872</v>
      </c>
      <c r="B170" s="88" t="s">
        <v>853</v>
      </c>
      <c r="C170" s="106" t="s">
        <v>854</v>
      </c>
      <c r="D170" s="74"/>
      <c r="E170" s="74" t="s">
        <v>855</v>
      </c>
      <c r="F170" s="74" t="s">
        <v>56</v>
      </c>
      <c r="G170" s="75">
        <v>1</v>
      </c>
      <c r="H170" s="75"/>
      <c r="I170" s="107">
        <v>754.1</v>
      </c>
      <c r="J170" s="89">
        <f>IFERROR(ROUND(SUM(M171,M172,M173)/I170, 2),0)</f>
        <v>84.43</v>
      </c>
      <c r="K170" s="18">
        <v>329</v>
      </c>
      <c r="L170" s="17">
        <f>J170+ROUND(K170, 2)</f>
        <v>413.43</v>
      </c>
      <c r="M170" s="17">
        <f>ROUND(J170*I170, 2)</f>
        <v>63668.66</v>
      </c>
      <c r="N170" s="17">
        <f>ROUND(I170*ROUND(K170, 2), 2)</f>
        <v>248098.9</v>
      </c>
      <c r="O170" s="17">
        <f>M170+N170</f>
        <v>311767.56</v>
      </c>
      <c r="P170" s="17">
        <f>IFERROR(ROUND(SUM(S171,S172,S173)/I170, 2),0)</f>
        <v>37.01</v>
      </c>
      <c r="Q170" s="18">
        <v>329</v>
      </c>
      <c r="R170" s="17">
        <f>P170+ROUND(Q170, 2)</f>
        <v>366.01</v>
      </c>
      <c r="S170" s="17">
        <f>ROUND(P170*I170, 2)</f>
        <v>27909.24</v>
      </c>
      <c r="T170" s="17">
        <f>ROUND(I170*ROUND(Q170, 2), 2)</f>
        <v>248098.9</v>
      </c>
      <c r="U170" s="17">
        <f>S170+T170</f>
        <v>276008.14</v>
      </c>
      <c r="V170" s="9">
        <f>ROUND(P170 / 1.2, 2)</f>
        <v>30.84</v>
      </c>
      <c r="W170" s="9">
        <f>ROUND(Q170 / 1.2, 2)</f>
        <v>274.17</v>
      </c>
      <c r="X170" s="9">
        <f>ROUND(R170 / 1.2, 2)</f>
        <v>305.01</v>
      </c>
      <c r="Y170" s="9">
        <f t="shared" si="10"/>
        <v>23257.7</v>
      </c>
      <c r="Z170" s="9">
        <f>ROUND(T170 / 1.2, 2)</f>
        <v>206749.08</v>
      </c>
      <c r="AA170" s="9">
        <f>Y170+Z170</f>
        <v>230006.78</v>
      </c>
      <c r="AD170" s="4">
        <v>264030379</v>
      </c>
      <c r="AE170" s="4">
        <v>16077336</v>
      </c>
      <c r="AG170" s="4" t="s">
        <v>856</v>
      </c>
      <c r="AH170" s="4" t="s">
        <v>857</v>
      </c>
      <c r="AI170" s="4" t="s">
        <v>249</v>
      </c>
    </row>
    <row r="171" spans="1:35" ht="37.5" x14ac:dyDescent="0.25">
      <c r="A171" s="10" t="s">
        <v>873</v>
      </c>
      <c r="B171" s="88"/>
      <c r="C171" s="103" t="s">
        <v>490</v>
      </c>
      <c r="D171" s="74"/>
      <c r="E171" s="74"/>
      <c r="F171" s="77" t="s">
        <v>81</v>
      </c>
      <c r="G171" s="78">
        <v>0.15</v>
      </c>
      <c r="H171" s="78"/>
      <c r="I171" s="104">
        <v>113.11499999999999</v>
      </c>
      <c r="J171" s="90">
        <v>88.8</v>
      </c>
      <c r="M171" s="29">
        <f>ROUND(ROUND(J171, 2)*I171, 2)</f>
        <v>10044.61</v>
      </c>
      <c r="P171" s="28">
        <v>88.8</v>
      </c>
      <c r="S171" s="29">
        <f>ROUND(ROUND(P171, 2)*I171, 2)</f>
        <v>10044.61</v>
      </c>
      <c r="V171" s="9">
        <f>ROUND(ROUND(P171, 2)/1.2, 2)</f>
        <v>74</v>
      </c>
      <c r="Y171" s="9">
        <f t="shared" si="10"/>
        <v>8370.51</v>
      </c>
      <c r="AD171" s="4" t="s">
        <v>874</v>
      </c>
      <c r="AE171" s="4" t="s">
        <v>875</v>
      </c>
      <c r="AF171" s="4" t="s">
        <v>493</v>
      </c>
    </row>
    <row r="172" spans="1:35" ht="18.75" x14ac:dyDescent="0.25">
      <c r="A172" s="10" t="s">
        <v>876</v>
      </c>
      <c r="B172" s="88"/>
      <c r="C172" s="103" t="s">
        <v>865</v>
      </c>
      <c r="D172" s="74"/>
      <c r="E172" s="74"/>
      <c r="F172" s="77" t="s">
        <v>103</v>
      </c>
      <c r="G172" s="78">
        <v>0.3</v>
      </c>
      <c r="H172" s="79"/>
      <c r="I172" s="105">
        <v>226.23</v>
      </c>
      <c r="J172" s="90">
        <v>37.049999999999997</v>
      </c>
      <c r="M172" s="29">
        <f>ROUND(ROUND(J172, 2)*I172, 2)</f>
        <v>8381.82</v>
      </c>
      <c r="P172" s="28">
        <v>37.049999999999997</v>
      </c>
      <c r="S172" s="29">
        <f>ROUND(ROUND(P172, 2)*I172, 2)</f>
        <v>8381.82</v>
      </c>
      <c r="V172" s="9">
        <f>ROUND(ROUND(P172, 2)/1.2, 2)</f>
        <v>30.88</v>
      </c>
      <c r="Y172" s="9">
        <f t="shared" si="10"/>
        <v>6984.85</v>
      </c>
      <c r="AD172" s="4" t="s">
        <v>877</v>
      </c>
      <c r="AE172" s="4" t="s">
        <v>878</v>
      </c>
      <c r="AF172" s="4" t="s">
        <v>868</v>
      </c>
    </row>
    <row r="173" spans="1:35" ht="38.25" thickBot="1" x14ac:dyDescent="0.3">
      <c r="A173" s="10" t="s">
        <v>879</v>
      </c>
      <c r="B173" s="88"/>
      <c r="C173" s="108" t="s">
        <v>880</v>
      </c>
      <c r="D173" s="109"/>
      <c r="E173" s="109"/>
      <c r="F173" s="110" t="s">
        <v>81</v>
      </c>
      <c r="G173" s="111">
        <v>1</v>
      </c>
      <c r="H173" s="111"/>
      <c r="I173" s="112">
        <v>754.1</v>
      </c>
      <c r="J173" s="90">
        <v>60</v>
      </c>
      <c r="M173" s="29">
        <f>ROUND(ROUND(J173, 2)*I173, 2)</f>
        <v>45246</v>
      </c>
      <c r="P173" s="28">
        <v>12.58</v>
      </c>
      <c r="S173" s="29">
        <f>ROUND(ROUND(P173, 2)*I173, 2)</f>
        <v>9486.58</v>
      </c>
      <c r="V173" s="9">
        <f>ROUND(ROUND(P173, 2)/1.2, 2)</f>
        <v>10.48</v>
      </c>
      <c r="Y173" s="9">
        <f t="shared" si="10"/>
        <v>7905.48</v>
      </c>
      <c r="AD173" s="4" t="s">
        <v>881</v>
      </c>
      <c r="AE173" s="4" t="s">
        <v>882</v>
      </c>
      <c r="AF173" s="4" t="s">
        <v>883</v>
      </c>
    </row>
    <row r="174" spans="1:35" ht="56.25" x14ac:dyDescent="0.25">
      <c r="A174" s="10" t="s">
        <v>884</v>
      </c>
      <c r="B174" s="73" t="s">
        <v>853</v>
      </c>
      <c r="C174" s="96" t="s">
        <v>854</v>
      </c>
      <c r="D174" s="97"/>
      <c r="E174" s="97" t="s">
        <v>855</v>
      </c>
      <c r="F174" s="97" t="s">
        <v>56</v>
      </c>
      <c r="G174" s="98">
        <v>1</v>
      </c>
      <c r="H174" s="98"/>
      <c r="I174" s="98">
        <v>0</v>
      </c>
      <c r="J174" s="17">
        <f>IFERROR(ROUND(SUM(M175,M176,M177)/I174, 2),0)</f>
        <v>0</v>
      </c>
      <c r="K174" s="18">
        <v>329</v>
      </c>
      <c r="L174" s="17">
        <f>J174+ROUND(K174, 2)</f>
        <v>329</v>
      </c>
      <c r="M174" s="17">
        <f>ROUND(J174*I174, 2)</f>
        <v>0</v>
      </c>
      <c r="N174" s="17">
        <f>ROUND(I174*ROUND(K174, 2), 2)</f>
        <v>0</v>
      </c>
      <c r="O174" s="17">
        <f>M174+N174</f>
        <v>0</v>
      </c>
      <c r="P174" s="17">
        <f>IFERROR(ROUND(SUM(S175,S176,S177)/I174, 2),0)</f>
        <v>0</v>
      </c>
      <c r="Q174" s="18">
        <v>329</v>
      </c>
      <c r="R174" s="17">
        <f>P174+ROUND(Q174, 2)</f>
        <v>329</v>
      </c>
      <c r="S174" s="17">
        <f>ROUND(P174*I174, 2)</f>
        <v>0</v>
      </c>
      <c r="T174" s="17">
        <f>ROUND(I174*ROUND(Q174, 2), 2)</f>
        <v>0</v>
      </c>
      <c r="U174" s="17">
        <f>S174+T174</f>
        <v>0</v>
      </c>
      <c r="V174" s="9">
        <f>ROUND(P174 / 1.2, 2)</f>
        <v>0</v>
      </c>
      <c r="W174" s="9">
        <f>ROUND(Q174 / 1.2, 2)</f>
        <v>274.17</v>
      </c>
      <c r="X174" s="9">
        <f>ROUND(R174 / 1.2, 2)</f>
        <v>274.17</v>
      </c>
      <c r="Y174" s="9">
        <f t="shared" si="10"/>
        <v>0</v>
      </c>
      <c r="Z174" s="9">
        <f>ROUND(T174 / 1.2, 2)</f>
        <v>0</v>
      </c>
      <c r="AA174" s="9">
        <f>Y174+Z174</f>
        <v>0</v>
      </c>
      <c r="AD174" s="4">
        <v>264030380</v>
      </c>
      <c r="AE174" s="4">
        <v>16077337</v>
      </c>
      <c r="AG174" s="4" t="s">
        <v>856</v>
      </c>
      <c r="AH174" s="4" t="s">
        <v>857</v>
      </c>
      <c r="AI174" s="4" t="s">
        <v>249</v>
      </c>
    </row>
    <row r="175" spans="1:35" ht="37.5" x14ac:dyDescent="0.25">
      <c r="A175" s="10" t="s">
        <v>886</v>
      </c>
      <c r="B175" s="73"/>
      <c r="C175" s="76" t="s">
        <v>887</v>
      </c>
      <c r="D175" s="74"/>
      <c r="E175" s="74"/>
      <c r="F175" s="77" t="s">
        <v>81</v>
      </c>
      <c r="G175" s="78">
        <v>1.8</v>
      </c>
      <c r="H175" s="78"/>
      <c r="I175" s="78">
        <v>0</v>
      </c>
      <c r="J175" s="28">
        <v>23</v>
      </c>
      <c r="M175" s="29">
        <f>ROUND(ROUND(J175, 2)*I175, 2)</f>
        <v>0</v>
      </c>
      <c r="P175" s="28">
        <v>12.58</v>
      </c>
      <c r="S175" s="29">
        <f>ROUND(ROUND(P175, 2)*I175, 2)</f>
        <v>0</v>
      </c>
      <c r="V175" s="9">
        <f>ROUND(ROUND(P175, 2)/1.2, 2)</f>
        <v>10.48</v>
      </c>
      <c r="Y175" s="9">
        <f t="shared" si="10"/>
        <v>0</v>
      </c>
      <c r="AD175" s="4" t="s">
        <v>888</v>
      </c>
      <c r="AE175" s="4" t="s">
        <v>889</v>
      </c>
      <c r="AF175" s="4" t="s">
        <v>890</v>
      </c>
    </row>
    <row r="176" spans="1:35" ht="18.75" x14ac:dyDescent="0.25">
      <c r="A176" s="10" t="s">
        <v>893</v>
      </c>
      <c r="B176" s="73"/>
      <c r="C176" s="76" t="s">
        <v>865</v>
      </c>
      <c r="D176" s="74"/>
      <c r="E176" s="74"/>
      <c r="F176" s="77" t="s">
        <v>103</v>
      </c>
      <c r="G176" s="78">
        <v>0.3</v>
      </c>
      <c r="H176" s="79"/>
      <c r="I176" s="79">
        <v>0</v>
      </c>
      <c r="J176" s="28">
        <v>37.049999999999997</v>
      </c>
      <c r="M176" s="29">
        <f>ROUND(ROUND(J176, 2)*I176, 2)</f>
        <v>0</v>
      </c>
      <c r="P176" s="28">
        <v>37.049999999999997</v>
      </c>
      <c r="S176" s="29">
        <f>ROUND(ROUND(P176, 2)*I176, 2)</f>
        <v>0</v>
      </c>
      <c r="V176" s="9">
        <f>ROUND(ROUND(P176, 2)/1.2, 2)</f>
        <v>30.88</v>
      </c>
      <c r="Y176" s="9">
        <f t="shared" si="10"/>
        <v>0</v>
      </c>
      <c r="AD176" s="4" t="s">
        <v>894</v>
      </c>
      <c r="AE176" s="4" t="s">
        <v>895</v>
      </c>
      <c r="AF176" s="4" t="s">
        <v>868</v>
      </c>
    </row>
    <row r="177" spans="1:35" ht="37.5" x14ac:dyDescent="0.25">
      <c r="A177" s="10" t="s">
        <v>898</v>
      </c>
      <c r="B177" s="73"/>
      <c r="C177" s="76" t="s">
        <v>490</v>
      </c>
      <c r="D177" s="74"/>
      <c r="E177" s="74"/>
      <c r="F177" s="77" t="s">
        <v>81</v>
      </c>
      <c r="G177" s="78">
        <v>0.15</v>
      </c>
      <c r="H177" s="78"/>
      <c r="I177" s="78">
        <v>0</v>
      </c>
      <c r="J177" s="28">
        <v>88.8</v>
      </c>
      <c r="M177" s="29">
        <f>ROUND(ROUND(J177, 2)*I177, 2)</f>
        <v>0</v>
      </c>
      <c r="P177" s="28">
        <v>88.8</v>
      </c>
      <c r="S177" s="29">
        <f>ROUND(ROUND(P177, 2)*I177, 2)</f>
        <v>0</v>
      </c>
      <c r="V177" s="9">
        <f>ROUND(ROUND(P177, 2)/1.2, 2)</f>
        <v>74</v>
      </c>
      <c r="Y177" s="9">
        <f t="shared" si="10"/>
        <v>0</v>
      </c>
      <c r="AD177" s="4" t="s">
        <v>899</v>
      </c>
      <c r="AE177" s="4" t="s">
        <v>900</v>
      </c>
      <c r="AF177" s="4" t="s">
        <v>493</v>
      </c>
    </row>
    <row r="178" spans="1:35" ht="56.25" x14ac:dyDescent="0.25">
      <c r="A178" s="10" t="s">
        <v>903</v>
      </c>
      <c r="B178" s="10" t="s">
        <v>853</v>
      </c>
      <c r="C178" s="14" t="s">
        <v>854</v>
      </c>
      <c r="D178" s="15"/>
      <c r="E178" s="15" t="s">
        <v>904</v>
      </c>
      <c r="F178" s="15" t="s">
        <v>56</v>
      </c>
      <c r="G178" s="16">
        <v>1</v>
      </c>
      <c r="H178" s="16"/>
      <c r="I178" s="16">
        <v>0</v>
      </c>
      <c r="J178" s="17">
        <f>IFERROR(ROUND(SUM(M179,M180,M181,M182)/I178, 2),0)</f>
        <v>0</v>
      </c>
      <c r="K178" s="18">
        <v>329</v>
      </c>
      <c r="L178" s="17">
        <f>J178+ROUND(K178, 2)</f>
        <v>329</v>
      </c>
      <c r="M178" s="17">
        <f>ROUND(J178*I178, 2)</f>
        <v>0</v>
      </c>
      <c r="N178" s="17">
        <f>ROUND(I178*ROUND(K178, 2), 2)</f>
        <v>0</v>
      </c>
      <c r="O178" s="17">
        <f>M178+N178</f>
        <v>0</v>
      </c>
      <c r="P178" s="17">
        <f>IFERROR(ROUND(SUM(S179,S180,S181,S182)/I178, 2),0)</f>
        <v>0</v>
      </c>
      <c r="Q178" s="18">
        <v>329</v>
      </c>
      <c r="R178" s="17">
        <f>P178+ROUND(Q178, 2)</f>
        <v>329</v>
      </c>
      <c r="S178" s="17">
        <f>ROUND(P178*I178, 2)</f>
        <v>0</v>
      </c>
      <c r="T178" s="17">
        <f>ROUND(I178*ROUND(Q178, 2), 2)</f>
        <v>0</v>
      </c>
      <c r="U178" s="17">
        <f>S178+T178</f>
        <v>0</v>
      </c>
      <c r="V178" s="9">
        <f>ROUND(P178 / 1.2, 2)</f>
        <v>0</v>
      </c>
      <c r="W178" s="9">
        <f>ROUND(Q178 / 1.2, 2)</f>
        <v>274.17</v>
      </c>
      <c r="X178" s="9">
        <f>ROUND(R178 / 1.2, 2)</f>
        <v>274.17</v>
      </c>
      <c r="Y178" s="9">
        <f t="shared" si="10"/>
        <v>0</v>
      </c>
      <c r="Z178" s="9">
        <f>ROUND(T178 / 1.2, 2)</f>
        <v>0</v>
      </c>
      <c r="AA178" s="9">
        <f>Y178+Z178</f>
        <v>0</v>
      </c>
      <c r="AD178" s="4">
        <v>264030381</v>
      </c>
      <c r="AE178" s="4">
        <v>16081445</v>
      </c>
      <c r="AG178" s="4" t="s">
        <v>856</v>
      </c>
      <c r="AH178" s="4" t="s">
        <v>857</v>
      </c>
      <c r="AI178" s="4" t="s">
        <v>249</v>
      </c>
    </row>
    <row r="179" spans="1:35" ht="37.5" x14ac:dyDescent="0.25">
      <c r="A179" s="10" t="s">
        <v>906</v>
      </c>
      <c r="B179" s="10"/>
      <c r="C179" s="24" t="s">
        <v>907</v>
      </c>
      <c r="D179" s="15"/>
      <c r="E179" s="15"/>
      <c r="F179" s="25" t="s">
        <v>81</v>
      </c>
      <c r="G179" s="26">
        <v>0.1</v>
      </c>
      <c r="H179" s="26"/>
      <c r="I179" s="26">
        <v>0</v>
      </c>
      <c r="J179" s="28">
        <v>142.9</v>
      </c>
      <c r="M179" s="29">
        <f>ROUND(ROUND(J179, 2)*I179, 2)</f>
        <v>0</v>
      </c>
      <c r="P179" s="28">
        <v>142.9</v>
      </c>
      <c r="S179" s="29">
        <f>ROUND(ROUND(P179, 2)*I179, 2)</f>
        <v>0</v>
      </c>
      <c r="V179" s="9">
        <f>ROUND(ROUND(P179, 2)/1.2, 2)</f>
        <v>119.08</v>
      </c>
      <c r="Y179" s="9">
        <f t="shared" si="10"/>
        <v>0</v>
      </c>
      <c r="AD179" s="4" t="s">
        <v>908</v>
      </c>
      <c r="AE179" s="4" t="s">
        <v>909</v>
      </c>
      <c r="AF179" s="4" t="s">
        <v>910</v>
      </c>
    </row>
    <row r="180" spans="1:35" ht="18.75" x14ac:dyDescent="0.25">
      <c r="A180" s="10" t="s">
        <v>913</v>
      </c>
      <c r="B180" s="10"/>
      <c r="C180" s="24" t="s">
        <v>914</v>
      </c>
      <c r="D180" s="15"/>
      <c r="E180" s="15"/>
      <c r="F180" s="25" t="s">
        <v>123</v>
      </c>
      <c r="G180" s="26">
        <v>1</v>
      </c>
      <c r="H180" s="27"/>
      <c r="I180" s="27">
        <v>0</v>
      </c>
      <c r="J180" s="28">
        <v>7</v>
      </c>
      <c r="M180" s="29">
        <f>ROUND(ROUND(J180, 2)*I180, 2)</f>
        <v>0</v>
      </c>
      <c r="P180" s="28">
        <v>7</v>
      </c>
      <c r="S180" s="29">
        <f>ROUND(ROUND(P180, 2)*I180, 2)</f>
        <v>0</v>
      </c>
      <c r="V180" s="9">
        <f>ROUND(ROUND(P180, 2)/1.2, 2)</f>
        <v>5.83</v>
      </c>
      <c r="Y180" s="9">
        <f t="shared" si="10"/>
        <v>0</v>
      </c>
      <c r="AD180" s="4" t="s">
        <v>915</v>
      </c>
      <c r="AE180" s="4" t="s">
        <v>916</v>
      </c>
      <c r="AF180" s="4" t="s">
        <v>917</v>
      </c>
    </row>
    <row r="181" spans="1:35" ht="18.75" x14ac:dyDescent="0.25">
      <c r="A181" s="10" t="s">
        <v>920</v>
      </c>
      <c r="B181" s="10"/>
      <c r="C181" s="24" t="s">
        <v>865</v>
      </c>
      <c r="D181" s="15"/>
      <c r="E181" s="15"/>
      <c r="F181" s="25" t="s">
        <v>103</v>
      </c>
      <c r="G181" s="26">
        <v>0.3</v>
      </c>
      <c r="H181" s="27"/>
      <c r="I181" s="27">
        <v>0</v>
      </c>
      <c r="J181" s="28">
        <v>37.049999999999997</v>
      </c>
      <c r="M181" s="29">
        <f>ROUND(ROUND(J181, 2)*I181, 2)</f>
        <v>0</v>
      </c>
      <c r="P181" s="28">
        <v>37.049999999999997</v>
      </c>
      <c r="S181" s="29">
        <f>ROUND(ROUND(P181, 2)*I181, 2)</f>
        <v>0</v>
      </c>
      <c r="V181" s="9">
        <f>ROUND(ROUND(P181, 2)/1.2, 2)</f>
        <v>30.88</v>
      </c>
      <c r="Y181" s="9">
        <f t="shared" si="10"/>
        <v>0</v>
      </c>
      <c r="AD181" s="4" t="s">
        <v>921</v>
      </c>
      <c r="AE181" s="4" t="s">
        <v>922</v>
      </c>
      <c r="AF181" s="4" t="s">
        <v>868</v>
      </c>
    </row>
    <row r="182" spans="1:35" ht="56.25" x14ac:dyDescent="0.25">
      <c r="A182" s="10" t="s">
        <v>925</v>
      </c>
      <c r="B182" s="10"/>
      <c r="C182" s="37" t="s">
        <v>926</v>
      </c>
      <c r="D182" s="15"/>
      <c r="E182" s="15"/>
      <c r="F182" s="25" t="s">
        <v>81</v>
      </c>
      <c r="G182" s="26">
        <v>1.8</v>
      </c>
      <c r="H182" s="26"/>
      <c r="I182" s="26">
        <v>0</v>
      </c>
      <c r="J182" s="28">
        <v>12.58</v>
      </c>
      <c r="M182" s="29">
        <f>ROUND(ROUND(J182, 2)*I182, 2)</f>
        <v>0</v>
      </c>
      <c r="P182" s="28">
        <v>12.58</v>
      </c>
      <c r="S182" s="29">
        <f>ROUND(ROUND(P182, 2)*I182, 2)</f>
        <v>0</v>
      </c>
      <c r="V182" s="9">
        <f>ROUND(ROUND(P182, 2)/1.2, 2)</f>
        <v>10.48</v>
      </c>
      <c r="Y182" s="9">
        <f t="shared" si="10"/>
        <v>0</v>
      </c>
      <c r="AD182" s="4" t="s">
        <v>927</v>
      </c>
      <c r="AE182" s="4" t="s">
        <v>928</v>
      </c>
      <c r="AF182" s="4" t="s">
        <v>929</v>
      </c>
    </row>
    <row r="183" spans="1:35" ht="56.25" x14ac:dyDescent="0.25">
      <c r="A183" s="10" t="s">
        <v>932</v>
      </c>
      <c r="B183" s="10" t="s">
        <v>853</v>
      </c>
      <c r="C183" s="14" t="s">
        <v>854</v>
      </c>
      <c r="D183" s="15"/>
      <c r="E183" s="15" t="s">
        <v>933</v>
      </c>
      <c r="F183" s="15" t="s">
        <v>56</v>
      </c>
      <c r="G183" s="16">
        <v>1</v>
      </c>
      <c r="H183" s="16"/>
      <c r="I183" s="16">
        <v>0</v>
      </c>
      <c r="J183" s="17">
        <f>IFERROR(ROUND(SUM(M184,M185,M186,M187)/I183, 2),0)</f>
        <v>0</v>
      </c>
      <c r="K183" s="18">
        <v>329</v>
      </c>
      <c r="L183" s="17">
        <f>J183+ROUND(K183, 2)</f>
        <v>329</v>
      </c>
      <c r="M183" s="17">
        <f>ROUND(J183*I183, 2)</f>
        <v>0</v>
      </c>
      <c r="N183" s="17">
        <f>ROUND(I183*ROUND(K183, 2), 2)</f>
        <v>0</v>
      </c>
      <c r="O183" s="17">
        <f>M183+N183</f>
        <v>0</v>
      </c>
      <c r="P183" s="17">
        <f>IFERROR(ROUND(SUM(S184,S185,S186,S187)/I183, 2),0)</f>
        <v>0</v>
      </c>
      <c r="Q183" s="18">
        <v>329</v>
      </c>
      <c r="R183" s="17">
        <f>P183+ROUND(Q183, 2)</f>
        <v>329</v>
      </c>
      <c r="S183" s="17">
        <f>ROUND(P183*I183, 2)</f>
        <v>0</v>
      </c>
      <c r="T183" s="17">
        <f>ROUND(I183*ROUND(Q183, 2), 2)</f>
        <v>0</v>
      </c>
      <c r="U183" s="17">
        <f>S183+T183</f>
        <v>0</v>
      </c>
      <c r="V183" s="9">
        <f>ROUND(P183 / 1.2, 2)</f>
        <v>0</v>
      </c>
      <c r="W183" s="9">
        <f>ROUND(Q183 / 1.2, 2)</f>
        <v>274.17</v>
      </c>
      <c r="X183" s="9">
        <f>ROUND(R183 / 1.2, 2)</f>
        <v>274.17</v>
      </c>
      <c r="Y183" s="9">
        <f t="shared" si="10"/>
        <v>0</v>
      </c>
      <c r="Z183" s="9">
        <f>ROUND(T183 / 1.2, 2)</f>
        <v>0</v>
      </c>
      <c r="AA183" s="9">
        <f>Y183+Z183</f>
        <v>0</v>
      </c>
      <c r="AD183" s="4">
        <v>264030382</v>
      </c>
      <c r="AE183" s="4">
        <v>16081650</v>
      </c>
      <c r="AG183" s="4" t="s">
        <v>856</v>
      </c>
      <c r="AH183" s="4" t="s">
        <v>857</v>
      </c>
      <c r="AI183" s="4" t="s">
        <v>249</v>
      </c>
    </row>
    <row r="184" spans="1:35" ht="37.5" x14ac:dyDescent="0.25">
      <c r="A184" s="10" t="s">
        <v>935</v>
      </c>
      <c r="B184" s="10"/>
      <c r="C184" s="24" t="s">
        <v>880</v>
      </c>
      <c r="D184" s="15"/>
      <c r="E184" s="15"/>
      <c r="F184" s="25" t="s">
        <v>81</v>
      </c>
      <c r="G184" s="26">
        <v>1</v>
      </c>
      <c r="H184" s="26"/>
      <c r="I184" s="26">
        <v>0</v>
      </c>
      <c r="J184" s="28">
        <v>60</v>
      </c>
      <c r="M184" s="29">
        <f>ROUND(ROUND(J184, 2)*I184, 2)</f>
        <v>0</v>
      </c>
      <c r="P184" s="28">
        <v>12.58</v>
      </c>
      <c r="S184" s="29">
        <f>ROUND(ROUND(P184, 2)*I184, 2)</f>
        <v>0</v>
      </c>
      <c r="V184" s="9">
        <f>ROUND(ROUND(P184, 2)/1.2, 2)</f>
        <v>10.48</v>
      </c>
      <c r="Y184" s="9">
        <f t="shared" si="10"/>
        <v>0</v>
      </c>
      <c r="AD184" s="4" t="s">
        <v>936</v>
      </c>
      <c r="AE184" s="4" t="s">
        <v>937</v>
      </c>
      <c r="AF184" s="4" t="s">
        <v>883</v>
      </c>
    </row>
    <row r="185" spans="1:35" ht="18.75" x14ac:dyDescent="0.25">
      <c r="A185" s="10" t="s">
        <v>940</v>
      </c>
      <c r="B185" s="10"/>
      <c r="C185" s="24" t="s">
        <v>865</v>
      </c>
      <c r="D185" s="15"/>
      <c r="E185" s="15"/>
      <c r="F185" s="25" t="s">
        <v>103</v>
      </c>
      <c r="G185" s="26">
        <v>0.3</v>
      </c>
      <c r="H185" s="27"/>
      <c r="I185" s="27">
        <v>0</v>
      </c>
      <c r="J185" s="28">
        <v>37.049999999999997</v>
      </c>
      <c r="M185" s="29">
        <f>ROUND(ROUND(J185, 2)*I185, 2)</f>
        <v>0</v>
      </c>
      <c r="P185" s="28">
        <v>37.049999999999997</v>
      </c>
      <c r="S185" s="29">
        <f>ROUND(ROUND(P185, 2)*I185, 2)</f>
        <v>0</v>
      </c>
      <c r="V185" s="9">
        <f>ROUND(ROUND(P185, 2)/1.2, 2)</f>
        <v>30.88</v>
      </c>
      <c r="Y185" s="9">
        <f t="shared" si="10"/>
        <v>0</v>
      </c>
      <c r="AD185" s="4" t="s">
        <v>941</v>
      </c>
      <c r="AE185" s="4" t="s">
        <v>942</v>
      </c>
      <c r="AF185" s="4" t="s">
        <v>868</v>
      </c>
    </row>
    <row r="186" spans="1:35" ht="18.75" x14ac:dyDescent="0.25">
      <c r="A186" s="10" t="s">
        <v>945</v>
      </c>
      <c r="B186" s="10"/>
      <c r="C186" s="24" t="s">
        <v>914</v>
      </c>
      <c r="D186" s="15"/>
      <c r="E186" s="15"/>
      <c r="F186" s="25" t="s">
        <v>123</v>
      </c>
      <c r="G186" s="26">
        <v>1</v>
      </c>
      <c r="H186" s="27"/>
      <c r="I186" s="27">
        <v>0</v>
      </c>
      <c r="J186" s="28">
        <v>7</v>
      </c>
      <c r="M186" s="29">
        <f>ROUND(ROUND(J186, 2)*I186, 2)</f>
        <v>0</v>
      </c>
      <c r="P186" s="28">
        <v>7</v>
      </c>
      <c r="S186" s="29">
        <f>ROUND(ROUND(P186, 2)*I186, 2)</f>
        <v>0</v>
      </c>
      <c r="V186" s="9">
        <f>ROUND(ROUND(P186, 2)/1.2, 2)</f>
        <v>5.83</v>
      </c>
      <c r="Y186" s="9">
        <f t="shared" si="10"/>
        <v>0</v>
      </c>
      <c r="AD186" s="4" t="s">
        <v>946</v>
      </c>
      <c r="AE186" s="4" t="s">
        <v>947</v>
      </c>
      <c r="AF186" s="4" t="s">
        <v>917</v>
      </c>
    </row>
    <row r="187" spans="1:35" ht="37.5" x14ac:dyDescent="0.25">
      <c r="A187" s="10" t="s">
        <v>950</v>
      </c>
      <c r="B187" s="10"/>
      <c r="C187" s="24" t="s">
        <v>490</v>
      </c>
      <c r="D187" s="15"/>
      <c r="E187" s="15"/>
      <c r="F187" s="25" t="s">
        <v>81</v>
      </c>
      <c r="G187" s="26">
        <v>0.15</v>
      </c>
      <c r="H187" s="26"/>
      <c r="I187" s="26">
        <v>0</v>
      </c>
      <c r="J187" s="28">
        <v>88.8</v>
      </c>
      <c r="M187" s="29">
        <f>ROUND(ROUND(J187, 2)*I187, 2)</f>
        <v>0</v>
      </c>
      <c r="P187" s="28">
        <v>88.8</v>
      </c>
      <c r="S187" s="29">
        <f>ROUND(ROUND(P187, 2)*I187, 2)</f>
        <v>0</v>
      </c>
      <c r="V187" s="9">
        <f>ROUND(ROUND(P187, 2)/1.2, 2)</f>
        <v>74</v>
      </c>
      <c r="Y187" s="9">
        <f t="shared" si="10"/>
        <v>0</v>
      </c>
      <c r="AD187" s="4" t="s">
        <v>951</v>
      </c>
      <c r="AE187" s="4" t="s">
        <v>952</v>
      </c>
      <c r="AF187" s="4" t="s">
        <v>493</v>
      </c>
    </row>
    <row r="188" spans="1:35" ht="56.25" x14ac:dyDescent="0.25">
      <c r="A188" s="10" t="s">
        <v>955</v>
      </c>
      <c r="B188" s="10" t="s">
        <v>853</v>
      </c>
      <c r="C188" s="14" t="s">
        <v>854</v>
      </c>
      <c r="D188" s="15"/>
      <c r="E188" s="15" t="s">
        <v>933</v>
      </c>
      <c r="F188" s="15" t="s">
        <v>56</v>
      </c>
      <c r="G188" s="16">
        <v>1</v>
      </c>
      <c r="H188" s="16"/>
      <c r="I188" s="16">
        <v>0</v>
      </c>
      <c r="J188" s="17">
        <f>IFERROR(ROUND(SUM(M189,M190,M191)/I188, 2),0)</f>
        <v>0</v>
      </c>
      <c r="K188" s="18">
        <v>329</v>
      </c>
      <c r="L188" s="17">
        <f>J188+ROUND(K188, 2)</f>
        <v>329</v>
      </c>
      <c r="M188" s="17">
        <f>ROUND(J188*I188, 2)</f>
        <v>0</v>
      </c>
      <c r="N188" s="17">
        <f>ROUND(I188*ROUND(K188, 2), 2)</f>
        <v>0</v>
      </c>
      <c r="O188" s="17">
        <f>M188+N188</f>
        <v>0</v>
      </c>
      <c r="P188" s="17">
        <f>IFERROR(ROUND(SUM(S189,S190,S191)/I188, 2),0)</f>
        <v>0</v>
      </c>
      <c r="Q188" s="18">
        <v>329</v>
      </c>
      <c r="R188" s="17">
        <f>P188+ROUND(Q188, 2)</f>
        <v>329</v>
      </c>
      <c r="S188" s="17">
        <f>ROUND(P188*I188, 2)</f>
        <v>0</v>
      </c>
      <c r="T188" s="17">
        <f>ROUND(I188*ROUND(Q188, 2), 2)</f>
        <v>0</v>
      </c>
      <c r="U188" s="17">
        <f>S188+T188</f>
        <v>0</v>
      </c>
      <c r="V188" s="9">
        <f>ROUND(P188 / 1.2, 2)</f>
        <v>0</v>
      </c>
      <c r="W188" s="9">
        <f>ROUND(Q188 / 1.2, 2)</f>
        <v>274.17</v>
      </c>
      <c r="X188" s="9">
        <f>ROUND(R188 / 1.2, 2)</f>
        <v>274.17</v>
      </c>
      <c r="Y188" s="9">
        <f t="shared" si="10"/>
        <v>0</v>
      </c>
      <c r="Z188" s="9">
        <f>ROUND(T188 / 1.2, 2)</f>
        <v>0</v>
      </c>
      <c r="AA188" s="9">
        <f>Y188+Z188</f>
        <v>0</v>
      </c>
      <c r="AD188" s="4">
        <v>264030383</v>
      </c>
      <c r="AE188" s="4">
        <v>16081685</v>
      </c>
      <c r="AG188" s="4" t="s">
        <v>856</v>
      </c>
      <c r="AH188" s="4" t="s">
        <v>857</v>
      </c>
      <c r="AI188" s="4" t="s">
        <v>249</v>
      </c>
    </row>
    <row r="189" spans="1:35" ht="37.5" x14ac:dyDescent="0.25">
      <c r="A189" s="10" t="s">
        <v>957</v>
      </c>
      <c r="B189" s="10"/>
      <c r="C189" s="24" t="s">
        <v>490</v>
      </c>
      <c r="D189" s="15"/>
      <c r="E189" s="15"/>
      <c r="F189" s="25" t="s">
        <v>81</v>
      </c>
      <c r="G189" s="26">
        <v>0.15</v>
      </c>
      <c r="H189" s="26"/>
      <c r="I189" s="26">
        <v>0</v>
      </c>
      <c r="J189" s="28">
        <v>88.8</v>
      </c>
      <c r="M189" s="29">
        <f>ROUND(ROUND(J189, 2)*I189, 2)</f>
        <v>0</v>
      </c>
      <c r="P189" s="28">
        <v>88.8</v>
      </c>
      <c r="S189" s="29">
        <f>ROUND(ROUND(P189, 2)*I189, 2)</f>
        <v>0</v>
      </c>
      <c r="V189" s="9">
        <f>ROUND(ROUND(P189, 2)/1.2, 2)</f>
        <v>74</v>
      </c>
      <c r="Y189" s="9">
        <f t="shared" si="10"/>
        <v>0</v>
      </c>
      <c r="AD189" s="4" t="s">
        <v>958</v>
      </c>
      <c r="AE189" s="4" t="s">
        <v>959</v>
      </c>
      <c r="AF189" s="4" t="s">
        <v>493</v>
      </c>
    </row>
    <row r="190" spans="1:35" ht="18.75" x14ac:dyDescent="0.25">
      <c r="A190" s="10" t="s">
        <v>962</v>
      </c>
      <c r="B190" s="10"/>
      <c r="C190" s="24" t="s">
        <v>865</v>
      </c>
      <c r="D190" s="15"/>
      <c r="E190" s="15"/>
      <c r="F190" s="25" t="s">
        <v>103</v>
      </c>
      <c r="G190" s="26">
        <v>0.3</v>
      </c>
      <c r="H190" s="27"/>
      <c r="I190" s="27">
        <v>0</v>
      </c>
      <c r="J190" s="28">
        <v>37.049999999999997</v>
      </c>
      <c r="M190" s="29">
        <f>ROUND(ROUND(J190, 2)*I190, 2)</f>
        <v>0</v>
      </c>
      <c r="P190" s="28">
        <v>37.049999999999997</v>
      </c>
      <c r="S190" s="29">
        <f>ROUND(ROUND(P190, 2)*I190, 2)</f>
        <v>0</v>
      </c>
      <c r="V190" s="9">
        <f>ROUND(ROUND(P190, 2)/1.2, 2)</f>
        <v>30.88</v>
      </c>
      <c r="Y190" s="9">
        <f t="shared" si="10"/>
        <v>0</v>
      </c>
      <c r="AD190" s="4" t="s">
        <v>963</v>
      </c>
      <c r="AE190" s="4" t="s">
        <v>964</v>
      </c>
      <c r="AF190" s="4" t="s">
        <v>868</v>
      </c>
    </row>
    <row r="191" spans="1:35" ht="37.5" x14ac:dyDescent="0.25">
      <c r="A191" s="10" t="s">
        <v>967</v>
      </c>
      <c r="B191" s="10"/>
      <c r="C191" s="24" t="s">
        <v>887</v>
      </c>
      <c r="D191" s="15"/>
      <c r="E191" s="15"/>
      <c r="F191" s="25" t="s">
        <v>81</v>
      </c>
      <c r="G191" s="26">
        <v>1.8</v>
      </c>
      <c r="H191" s="26"/>
      <c r="I191" s="26">
        <v>0</v>
      </c>
      <c r="J191" s="28">
        <v>23</v>
      </c>
      <c r="M191" s="29">
        <f>ROUND(ROUND(J191, 2)*I191, 2)</f>
        <v>0</v>
      </c>
      <c r="P191" s="28">
        <v>12.58</v>
      </c>
      <c r="S191" s="29">
        <f>ROUND(ROUND(P191, 2)*I191, 2)</f>
        <v>0</v>
      </c>
      <c r="V191" s="9">
        <f>ROUND(ROUND(P191, 2)/1.2, 2)</f>
        <v>10.48</v>
      </c>
      <c r="Y191" s="9">
        <f t="shared" si="10"/>
        <v>0</v>
      </c>
      <c r="AD191" s="4" t="s">
        <v>968</v>
      </c>
      <c r="AE191" s="4" t="s">
        <v>969</v>
      </c>
      <c r="AF191" s="4" t="s">
        <v>890</v>
      </c>
    </row>
    <row r="192" spans="1:35" ht="56.25" x14ac:dyDescent="0.25">
      <c r="A192" s="10" t="s">
        <v>972</v>
      </c>
      <c r="B192" s="10" t="s">
        <v>853</v>
      </c>
      <c r="C192" s="14" t="s">
        <v>854</v>
      </c>
      <c r="D192" s="15"/>
      <c r="E192" s="15" t="s">
        <v>367</v>
      </c>
      <c r="F192" s="15" t="s">
        <v>56</v>
      </c>
      <c r="G192" s="16">
        <v>1</v>
      </c>
      <c r="H192" s="16"/>
      <c r="I192" s="16">
        <v>0</v>
      </c>
      <c r="J192" s="17">
        <f>IFERROR(ROUND(SUM(M193,M194,M195,M196)/I192, 2),0)</f>
        <v>0</v>
      </c>
      <c r="K192" s="18">
        <v>329</v>
      </c>
      <c r="L192" s="17">
        <f>J192+ROUND(K192, 2)</f>
        <v>329</v>
      </c>
      <c r="M192" s="17">
        <f>ROUND(J192*I192, 2)</f>
        <v>0</v>
      </c>
      <c r="N192" s="17">
        <f>ROUND(I192*ROUND(K192, 2), 2)</f>
        <v>0</v>
      </c>
      <c r="O192" s="17">
        <f>M192+N192</f>
        <v>0</v>
      </c>
      <c r="P192" s="17">
        <f>IFERROR(ROUND(SUM(S193,S194,S195,S196)/I192, 2),0)</f>
        <v>0</v>
      </c>
      <c r="Q192" s="18">
        <v>329</v>
      </c>
      <c r="R192" s="17">
        <f>P192+ROUND(Q192, 2)</f>
        <v>329</v>
      </c>
      <c r="S192" s="17">
        <f>ROUND(P192*I192, 2)</f>
        <v>0</v>
      </c>
      <c r="T192" s="17">
        <f>ROUND(I192*ROUND(Q192, 2), 2)</f>
        <v>0</v>
      </c>
      <c r="U192" s="17">
        <f>S192+T192</f>
        <v>0</v>
      </c>
      <c r="V192" s="9">
        <f>ROUND(P192 / 1.2, 2)</f>
        <v>0</v>
      </c>
      <c r="W192" s="9">
        <f>ROUND(Q192 / 1.2, 2)</f>
        <v>274.17</v>
      </c>
      <c r="X192" s="9">
        <f>ROUND(R192 / 1.2, 2)</f>
        <v>274.17</v>
      </c>
      <c r="Y192" s="9">
        <f t="shared" si="10"/>
        <v>0</v>
      </c>
      <c r="Z192" s="9">
        <f>ROUND(T192 / 1.2, 2)</f>
        <v>0</v>
      </c>
      <c r="AA192" s="9">
        <f>Y192+Z192</f>
        <v>0</v>
      </c>
      <c r="AD192" s="4">
        <v>264030384</v>
      </c>
      <c r="AE192" s="4">
        <v>16086874</v>
      </c>
      <c r="AG192" s="4" t="s">
        <v>856</v>
      </c>
      <c r="AH192" s="4" t="s">
        <v>857</v>
      </c>
      <c r="AI192" s="4" t="s">
        <v>249</v>
      </c>
    </row>
    <row r="193" spans="1:35" ht="18.75" x14ac:dyDescent="0.25">
      <c r="A193" s="10" t="s">
        <v>974</v>
      </c>
      <c r="B193" s="10"/>
      <c r="C193" s="24" t="s">
        <v>859</v>
      </c>
      <c r="D193" s="15"/>
      <c r="E193" s="15"/>
      <c r="F193" s="25" t="s">
        <v>81</v>
      </c>
      <c r="G193" s="26">
        <v>2</v>
      </c>
      <c r="H193" s="26"/>
      <c r="I193" s="26">
        <v>0</v>
      </c>
      <c r="J193" s="28">
        <v>23</v>
      </c>
      <c r="M193" s="29">
        <f>ROUND(ROUND(J193, 2)*I193, 2)</f>
        <v>0</v>
      </c>
      <c r="P193" s="28">
        <v>23</v>
      </c>
      <c r="S193" s="29">
        <f>ROUND(ROUND(P193, 2)*I193, 2)</f>
        <v>0</v>
      </c>
      <c r="V193" s="9">
        <f>ROUND(ROUND(P193, 2)/1.2, 2)</f>
        <v>19.170000000000002</v>
      </c>
      <c r="Y193" s="9">
        <f t="shared" si="10"/>
        <v>0</v>
      </c>
      <c r="AD193" s="4" t="s">
        <v>975</v>
      </c>
      <c r="AE193" s="4" t="s">
        <v>976</v>
      </c>
      <c r="AF193" s="4" t="s">
        <v>863</v>
      </c>
    </row>
    <row r="194" spans="1:35" ht="18.75" x14ac:dyDescent="0.25">
      <c r="A194" s="10" t="s">
        <v>979</v>
      </c>
      <c r="B194" s="10"/>
      <c r="C194" s="24" t="s">
        <v>865</v>
      </c>
      <c r="D194" s="15"/>
      <c r="E194" s="15"/>
      <c r="F194" s="25" t="s">
        <v>103</v>
      </c>
      <c r="G194" s="26">
        <v>0.3</v>
      </c>
      <c r="H194" s="27"/>
      <c r="I194" s="27">
        <v>0</v>
      </c>
      <c r="J194" s="28">
        <v>37.049999999999997</v>
      </c>
      <c r="M194" s="29">
        <f>ROUND(ROUND(J194, 2)*I194, 2)</f>
        <v>0</v>
      </c>
      <c r="P194" s="28">
        <v>37.049999999999997</v>
      </c>
      <c r="S194" s="29">
        <f>ROUND(ROUND(P194, 2)*I194, 2)</f>
        <v>0</v>
      </c>
      <c r="V194" s="9">
        <f>ROUND(ROUND(P194, 2)/1.2, 2)</f>
        <v>30.88</v>
      </c>
      <c r="Y194" s="9">
        <f t="shared" si="10"/>
        <v>0</v>
      </c>
      <c r="AD194" s="4" t="s">
        <v>980</v>
      </c>
      <c r="AE194" s="4" t="s">
        <v>981</v>
      </c>
      <c r="AF194" s="4" t="s">
        <v>868</v>
      </c>
    </row>
    <row r="195" spans="1:35" ht="18.75" x14ac:dyDescent="0.25">
      <c r="A195" s="10" t="s">
        <v>984</v>
      </c>
      <c r="B195" s="10"/>
      <c r="C195" s="24" t="s">
        <v>914</v>
      </c>
      <c r="D195" s="15"/>
      <c r="E195" s="15"/>
      <c r="F195" s="25" t="s">
        <v>123</v>
      </c>
      <c r="G195" s="26">
        <v>1</v>
      </c>
      <c r="H195" s="27"/>
      <c r="I195" s="27">
        <v>0</v>
      </c>
      <c r="J195" s="28">
        <v>7</v>
      </c>
      <c r="M195" s="29">
        <f>ROUND(ROUND(J195, 2)*I195, 2)</f>
        <v>0</v>
      </c>
      <c r="P195" s="28">
        <v>7</v>
      </c>
      <c r="S195" s="29">
        <f>ROUND(ROUND(P195, 2)*I195, 2)</f>
        <v>0</v>
      </c>
      <c r="V195" s="9">
        <f>ROUND(ROUND(P195, 2)/1.2, 2)</f>
        <v>5.83</v>
      </c>
      <c r="Y195" s="9">
        <f t="shared" si="10"/>
        <v>0</v>
      </c>
      <c r="AD195" s="4" t="s">
        <v>985</v>
      </c>
      <c r="AE195" s="4" t="s">
        <v>986</v>
      </c>
      <c r="AF195" s="4" t="s">
        <v>917</v>
      </c>
    </row>
    <row r="196" spans="1:35" ht="37.5" x14ac:dyDescent="0.25">
      <c r="A196" s="10" t="s">
        <v>989</v>
      </c>
      <c r="B196" s="10"/>
      <c r="C196" s="24" t="s">
        <v>490</v>
      </c>
      <c r="D196" s="15"/>
      <c r="E196" s="15"/>
      <c r="F196" s="25" t="s">
        <v>81</v>
      </c>
      <c r="G196" s="26">
        <v>0.15</v>
      </c>
      <c r="H196" s="26"/>
      <c r="I196" s="26">
        <v>0</v>
      </c>
      <c r="J196" s="28">
        <v>88.8</v>
      </c>
      <c r="M196" s="29">
        <f>ROUND(ROUND(J196, 2)*I196, 2)</f>
        <v>0</v>
      </c>
      <c r="P196" s="28">
        <v>88.8</v>
      </c>
      <c r="S196" s="29">
        <f>ROUND(ROUND(P196, 2)*I196, 2)</f>
        <v>0</v>
      </c>
      <c r="V196" s="9">
        <f>ROUND(ROUND(P196, 2)/1.2, 2)</f>
        <v>74</v>
      </c>
      <c r="Y196" s="9">
        <f t="shared" ref="Y196:Y259" si="11">ROUND(S196 / 1.2, 2)</f>
        <v>0</v>
      </c>
      <c r="AD196" s="4" t="s">
        <v>990</v>
      </c>
      <c r="AE196" s="4" t="s">
        <v>991</v>
      </c>
      <c r="AF196" s="4" t="s">
        <v>493</v>
      </c>
    </row>
    <row r="197" spans="1:35" ht="56.25" x14ac:dyDescent="0.25">
      <c r="A197" s="10" t="s">
        <v>994</v>
      </c>
      <c r="B197" s="10" t="s">
        <v>853</v>
      </c>
      <c r="C197" s="14" t="s">
        <v>854</v>
      </c>
      <c r="D197" s="15"/>
      <c r="E197" s="15" t="s">
        <v>367</v>
      </c>
      <c r="F197" s="15" t="s">
        <v>56</v>
      </c>
      <c r="G197" s="16">
        <v>1</v>
      </c>
      <c r="H197" s="16"/>
      <c r="I197" s="16">
        <v>0</v>
      </c>
      <c r="J197" s="17">
        <f>IFERROR(ROUND(SUM(M198,M199,M200,M201)/I197, 2),0)</f>
        <v>0</v>
      </c>
      <c r="K197" s="18">
        <v>329</v>
      </c>
      <c r="L197" s="17">
        <f>J197+ROUND(K197, 2)</f>
        <v>329</v>
      </c>
      <c r="M197" s="17">
        <f>ROUND(J197*I197, 2)</f>
        <v>0</v>
      </c>
      <c r="N197" s="17">
        <f>ROUND(I197*ROUND(K197, 2), 2)</f>
        <v>0</v>
      </c>
      <c r="O197" s="17">
        <f>M197+N197</f>
        <v>0</v>
      </c>
      <c r="P197" s="17">
        <f>IFERROR(ROUND(SUM(S198,S199,S200,S201)/I197, 2),0)</f>
        <v>0</v>
      </c>
      <c r="Q197" s="18">
        <v>329</v>
      </c>
      <c r="R197" s="17">
        <f>P197+ROUND(Q197, 2)</f>
        <v>329</v>
      </c>
      <c r="S197" s="17">
        <f>ROUND(P197*I197, 2)</f>
        <v>0</v>
      </c>
      <c r="T197" s="17">
        <f>ROUND(I197*ROUND(Q197, 2), 2)</f>
        <v>0</v>
      </c>
      <c r="U197" s="17">
        <f>S197+T197</f>
        <v>0</v>
      </c>
      <c r="V197" s="9">
        <f>ROUND(P197 / 1.2, 2)</f>
        <v>0</v>
      </c>
      <c r="W197" s="9">
        <f>ROUND(Q197 / 1.2, 2)</f>
        <v>274.17</v>
      </c>
      <c r="X197" s="9">
        <f>ROUND(R197 / 1.2, 2)</f>
        <v>274.17</v>
      </c>
      <c r="Y197" s="9">
        <f t="shared" si="11"/>
        <v>0</v>
      </c>
      <c r="Z197" s="9">
        <f>ROUND(T197 / 1.2, 2)</f>
        <v>0</v>
      </c>
      <c r="AA197" s="9">
        <f>Y197+Z197</f>
        <v>0</v>
      </c>
      <c r="AD197" s="4">
        <v>264030385</v>
      </c>
      <c r="AE197" s="4">
        <v>16086875</v>
      </c>
      <c r="AG197" s="4" t="s">
        <v>856</v>
      </c>
      <c r="AH197" s="4" t="s">
        <v>857</v>
      </c>
      <c r="AI197" s="4" t="s">
        <v>249</v>
      </c>
    </row>
    <row r="198" spans="1:35" ht="37.5" x14ac:dyDescent="0.25">
      <c r="A198" s="10" t="s">
        <v>996</v>
      </c>
      <c r="B198" s="10"/>
      <c r="C198" s="24" t="s">
        <v>490</v>
      </c>
      <c r="D198" s="15"/>
      <c r="E198" s="15"/>
      <c r="F198" s="25" t="s">
        <v>81</v>
      </c>
      <c r="G198" s="26">
        <v>0.15</v>
      </c>
      <c r="H198" s="26"/>
      <c r="I198" s="26">
        <v>0</v>
      </c>
      <c r="J198" s="28">
        <v>88.8</v>
      </c>
      <c r="M198" s="29">
        <f>ROUND(ROUND(J198, 2)*I198, 2)</f>
        <v>0</v>
      </c>
      <c r="P198" s="28">
        <v>88.8</v>
      </c>
      <c r="S198" s="29">
        <f>ROUND(ROUND(P198, 2)*I198, 2)</f>
        <v>0</v>
      </c>
      <c r="V198" s="9">
        <f>ROUND(ROUND(P198, 2)/1.2, 2)</f>
        <v>74</v>
      </c>
      <c r="Y198" s="9">
        <f t="shared" si="11"/>
        <v>0</v>
      </c>
      <c r="AD198" s="4" t="s">
        <v>997</v>
      </c>
      <c r="AE198" s="4" t="s">
        <v>998</v>
      </c>
      <c r="AF198" s="4" t="s">
        <v>493</v>
      </c>
    </row>
    <row r="199" spans="1:35" ht="18.75" x14ac:dyDescent="0.25">
      <c r="A199" s="10" t="s">
        <v>1001</v>
      </c>
      <c r="B199" s="10"/>
      <c r="C199" s="24" t="s">
        <v>914</v>
      </c>
      <c r="D199" s="15"/>
      <c r="E199" s="15"/>
      <c r="F199" s="25" t="s">
        <v>123</v>
      </c>
      <c r="G199" s="26">
        <v>1</v>
      </c>
      <c r="H199" s="27"/>
      <c r="I199" s="27">
        <v>0</v>
      </c>
      <c r="J199" s="28">
        <v>7</v>
      </c>
      <c r="M199" s="29">
        <f>ROUND(ROUND(J199, 2)*I199, 2)</f>
        <v>0</v>
      </c>
      <c r="P199" s="28">
        <v>7</v>
      </c>
      <c r="S199" s="29">
        <f>ROUND(ROUND(P199, 2)*I199, 2)</f>
        <v>0</v>
      </c>
      <c r="V199" s="9">
        <f>ROUND(ROUND(P199, 2)/1.2, 2)</f>
        <v>5.83</v>
      </c>
      <c r="Y199" s="9">
        <f t="shared" si="11"/>
        <v>0</v>
      </c>
      <c r="AD199" s="4" t="s">
        <v>1002</v>
      </c>
      <c r="AE199" s="4" t="s">
        <v>1003</v>
      </c>
      <c r="AF199" s="4" t="s">
        <v>917</v>
      </c>
    </row>
    <row r="200" spans="1:35" ht="18.75" x14ac:dyDescent="0.25">
      <c r="A200" s="10" t="s">
        <v>1006</v>
      </c>
      <c r="B200" s="10"/>
      <c r="C200" s="24" t="s">
        <v>865</v>
      </c>
      <c r="D200" s="15"/>
      <c r="E200" s="15"/>
      <c r="F200" s="25" t="s">
        <v>103</v>
      </c>
      <c r="G200" s="26">
        <v>0.3</v>
      </c>
      <c r="H200" s="27"/>
      <c r="I200" s="27">
        <v>0</v>
      </c>
      <c r="J200" s="28">
        <v>37.049999999999997</v>
      </c>
      <c r="M200" s="29">
        <f>ROUND(ROUND(J200, 2)*I200, 2)</f>
        <v>0</v>
      </c>
      <c r="P200" s="28">
        <v>37.049999999999997</v>
      </c>
      <c r="S200" s="29">
        <f>ROUND(ROUND(P200, 2)*I200, 2)</f>
        <v>0</v>
      </c>
      <c r="V200" s="9">
        <f>ROUND(ROUND(P200, 2)/1.2, 2)</f>
        <v>30.88</v>
      </c>
      <c r="Y200" s="9">
        <f t="shared" si="11"/>
        <v>0</v>
      </c>
      <c r="AD200" s="4" t="s">
        <v>1007</v>
      </c>
      <c r="AE200" s="4" t="s">
        <v>1008</v>
      </c>
      <c r="AF200" s="4" t="s">
        <v>868</v>
      </c>
    </row>
    <row r="201" spans="1:35" ht="37.5" x14ac:dyDescent="0.25">
      <c r="A201" s="10" t="s">
        <v>1011</v>
      </c>
      <c r="B201" s="10"/>
      <c r="C201" s="24" t="s">
        <v>880</v>
      </c>
      <c r="D201" s="15"/>
      <c r="E201" s="15"/>
      <c r="F201" s="25" t="s">
        <v>81</v>
      </c>
      <c r="G201" s="26">
        <v>1</v>
      </c>
      <c r="H201" s="26"/>
      <c r="I201" s="26">
        <v>0</v>
      </c>
      <c r="J201" s="28">
        <v>60</v>
      </c>
      <c r="M201" s="29">
        <f>ROUND(ROUND(J201, 2)*I201, 2)</f>
        <v>0</v>
      </c>
      <c r="P201" s="28">
        <v>12.58</v>
      </c>
      <c r="S201" s="29">
        <f>ROUND(ROUND(P201, 2)*I201, 2)</f>
        <v>0</v>
      </c>
      <c r="V201" s="9">
        <f>ROUND(ROUND(P201, 2)/1.2, 2)</f>
        <v>10.48</v>
      </c>
      <c r="Y201" s="9">
        <f t="shared" si="11"/>
        <v>0</v>
      </c>
      <c r="AD201" s="4" t="s">
        <v>1012</v>
      </c>
      <c r="AE201" s="4" t="s">
        <v>1013</v>
      </c>
      <c r="AF201" s="4" t="s">
        <v>883</v>
      </c>
    </row>
    <row r="202" spans="1:35" ht="56.25" x14ac:dyDescent="0.25">
      <c r="A202" s="10" t="s">
        <v>1016</v>
      </c>
      <c r="B202" s="10" t="s">
        <v>853</v>
      </c>
      <c r="C202" s="14" t="s">
        <v>854</v>
      </c>
      <c r="D202" s="15"/>
      <c r="E202" s="15" t="s">
        <v>367</v>
      </c>
      <c r="F202" s="15" t="s">
        <v>56</v>
      </c>
      <c r="G202" s="16">
        <v>1</v>
      </c>
      <c r="H202" s="16"/>
      <c r="I202" s="16">
        <v>0</v>
      </c>
      <c r="J202" s="17">
        <f>IFERROR(ROUND(SUM(M203,M204,M205,M206)/I202, 2),0)</f>
        <v>0</v>
      </c>
      <c r="K202" s="18">
        <v>329</v>
      </c>
      <c r="L202" s="17">
        <f>J202+ROUND(K202, 2)</f>
        <v>329</v>
      </c>
      <c r="M202" s="17">
        <f>ROUND(J202*I202, 2)</f>
        <v>0</v>
      </c>
      <c r="N202" s="17">
        <f>ROUND(I202*ROUND(K202, 2), 2)</f>
        <v>0</v>
      </c>
      <c r="O202" s="17">
        <f>M202+N202</f>
        <v>0</v>
      </c>
      <c r="P202" s="17">
        <f>IFERROR(ROUND(SUM(S203,S204,S205,S206)/I202, 2),0)</f>
        <v>0</v>
      </c>
      <c r="Q202" s="18">
        <v>329</v>
      </c>
      <c r="R202" s="17">
        <f>P202+ROUND(Q202, 2)</f>
        <v>329</v>
      </c>
      <c r="S202" s="17">
        <f>ROUND(P202*I202, 2)</f>
        <v>0</v>
      </c>
      <c r="T202" s="17">
        <f>ROUND(I202*ROUND(Q202, 2), 2)</f>
        <v>0</v>
      </c>
      <c r="U202" s="17">
        <f>S202+T202</f>
        <v>0</v>
      </c>
      <c r="V202" s="9">
        <f>ROUND(P202 / 1.2, 2)</f>
        <v>0</v>
      </c>
      <c r="W202" s="9">
        <f>ROUND(Q202 / 1.2, 2)</f>
        <v>274.17</v>
      </c>
      <c r="X202" s="9">
        <f>ROUND(R202 / 1.2, 2)</f>
        <v>274.17</v>
      </c>
      <c r="Y202" s="9">
        <f t="shared" si="11"/>
        <v>0</v>
      </c>
      <c r="Z202" s="9">
        <f>ROUND(T202 / 1.2, 2)</f>
        <v>0</v>
      </c>
      <c r="AA202" s="9">
        <f>Y202+Z202</f>
        <v>0</v>
      </c>
      <c r="AD202" s="4">
        <v>264030386</v>
      </c>
      <c r="AE202" s="4">
        <v>16087151</v>
      </c>
      <c r="AG202" s="4" t="s">
        <v>856</v>
      </c>
      <c r="AH202" s="4" t="s">
        <v>857</v>
      </c>
      <c r="AI202" s="4" t="s">
        <v>249</v>
      </c>
    </row>
    <row r="203" spans="1:35" ht="37.5" x14ac:dyDescent="0.25">
      <c r="A203" s="10" t="s">
        <v>1018</v>
      </c>
      <c r="B203" s="10"/>
      <c r="C203" s="24" t="s">
        <v>887</v>
      </c>
      <c r="D203" s="15"/>
      <c r="E203" s="15"/>
      <c r="F203" s="25" t="s">
        <v>81</v>
      </c>
      <c r="G203" s="26">
        <v>1.8</v>
      </c>
      <c r="H203" s="26"/>
      <c r="I203" s="26">
        <v>0</v>
      </c>
      <c r="J203" s="28">
        <v>23</v>
      </c>
      <c r="M203" s="29">
        <f>ROUND(ROUND(J203, 2)*I203, 2)</f>
        <v>0</v>
      </c>
      <c r="P203" s="28">
        <v>12.58</v>
      </c>
      <c r="S203" s="29">
        <f>ROUND(ROUND(P203, 2)*I203, 2)</f>
        <v>0</v>
      </c>
      <c r="V203" s="9">
        <f>ROUND(ROUND(P203, 2)/1.2, 2)</f>
        <v>10.48</v>
      </c>
      <c r="Y203" s="9">
        <f t="shared" si="11"/>
        <v>0</v>
      </c>
      <c r="AD203" s="4" t="s">
        <v>1019</v>
      </c>
      <c r="AE203" s="4" t="s">
        <v>1020</v>
      </c>
      <c r="AF203" s="4" t="s">
        <v>890</v>
      </c>
    </row>
    <row r="204" spans="1:35" ht="18.75" x14ac:dyDescent="0.25">
      <c r="A204" s="10" t="s">
        <v>1023</v>
      </c>
      <c r="B204" s="10"/>
      <c r="C204" s="24" t="s">
        <v>865</v>
      </c>
      <c r="D204" s="15"/>
      <c r="E204" s="15"/>
      <c r="F204" s="25" t="s">
        <v>103</v>
      </c>
      <c r="G204" s="26">
        <v>0.3</v>
      </c>
      <c r="H204" s="27"/>
      <c r="I204" s="27">
        <v>0</v>
      </c>
      <c r="J204" s="28">
        <v>37.049999999999997</v>
      </c>
      <c r="M204" s="29">
        <f>ROUND(ROUND(J204, 2)*I204, 2)</f>
        <v>0</v>
      </c>
      <c r="P204" s="28">
        <v>37.049999999999997</v>
      </c>
      <c r="S204" s="29">
        <f>ROUND(ROUND(P204, 2)*I204, 2)</f>
        <v>0</v>
      </c>
      <c r="V204" s="9">
        <f>ROUND(ROUND(P204, 2)/1.2, 2)</f>
        <v>30.88</v>
      </c>
      <c r="Y204" s="9">
        <f t="shared" si="11"/>
        <v>0</v>
      </c>
      <c r="AD204" s="4" t="s">
        <v>1024</v>
      </c>
      <c r="AE204" s="4" t="s">
        <v>1025</v>
      </c>
      <c r="AF204" s="4" t="s">
        <v>868</v>
      </c>
    </row>
    <row r="205" spans="1:35" ht="18.75" x14ac:dyDescent="0.25">
      <c r="A205" s="10" t="s">
        <v>1028</v>
      </c>
      <c r="B205" s="10"/>
      <c r="C205" s="24" t="s">
        <v>914</v>
      </c>
      <c r="D205" s="15"/>
      <c r="E205" s="15"/>
      <c r="F205" s="25" t="s">
        <v>123</v>
      </c>
      <c r="G205" s="26">
        <v>1</v>
      </c>
      <c r="H205" s="27"/>
      <c r="I205" s="27">
        <v>0</v>
      </c>
      <c r="J205" s="28">
        <v>7</v>
      </c>
      <c r="M205" s="29">
        <f>ROUND(ROUND(J205, 2)*I205, 2)</f>
        <v>0</v>
      </c>
      <c r="P205" s="28">
        <v>7</v>
      </c>
      <c r="S205" s="29">
        <f>ROUND(ROUND(P205, 2)*I205, 2)</f>
        <v>0</v>
      </c>
      <c r="V205" s="9">
        <f>ROUND(ROUND(P205, 2)/1.2, 2)</f>
        <v>5.83</v>
      </c>
      <c r="Y205" s="9">
        <f t="shared" si="11"/>
        <v>0</v>
      </c>
      <c r="AD205" s="4" t="s">
        <v>1029</v>
      </c>
      <c r="AE205" s="4" t="s">
        <v>1030</v>
      </c>
      <c r="AF205" s="4" t="s">
        <v>917</v>
      </c>
    </row>
    <row r="206" spans="1:35" ht="37.5" x14ac:dyDescent="0.25">
      <c r="A206" s="10" t="s">
        <v>1033</v>
      </c>
      <c r="B206" s="10"/>
      <c r="C206" s="24" t="s">
        <v>490</v>
      </c>
      <c r="D206" s="15"/>
      <c r="E206" s="15"/>
      <c r="F206" s="25" t="s">
        <v>81</v>
      </c>
      <c r="G206" s="26">
        <v>0.15</v>
      </c>
      <c r="H206" s="26"/>
      <c r="I206" s="26">
        <v>0</v>
      </c>
      <c r="J206" s="28">
        <v>88.8</v>
      </c>
      <c r="M206" s="29">
        <f>ROUND(ROUND(J206, 2)*I206, 2)</f>
        <v>0</v>
      </c>
      <c r="P206" s="28">
        <v>88.8</v>
      </c>
      <c r="S206" s="29">
        <f>ROUND(ROUND(P206, 2)*I206, 2)</f>
        <v>0</v>
      </c>
      <c r="V206" s="9">
        <f>ROUND(ROUND(P206, 2)/1.2, 2)</f>
        <v>74</v>
      </c>
      <c r="Y206" s="9">
        <f t="shared" si="11"/>
        <v>0</v>
      </c>
      <c r="AD206" s="4" t="s">
        <v>1034</v>
      </c>
      <c r="AE206" s="4" t="s">
        <v>1035</v>
      </c>
      <c r="AF206" s="4" t="s">
        <v>493</v>
      </c>
    </row>
    <row r="207" spans="1:35" ht="37.5" x14ac:dyDescent="0.25">
      <c r="A207" s="10" t="s">
        <v>1038</v>
      </c>
      <c r="B207" s="10" t="s">
        <v>1039</v>
      </c>
      <c r="C207" s="14" t="s">
        <v>1040</v>
      </c>
      <c r="D207" s="15"/>
      <c r="E207" s="15" t="s">
        <v>1041</v>
      </c>
      <c r="F207" s="15" t="s">
        <v>56</v>
      </c>
      <c r="G207" s="16">
        <v>1</v>
      </c>
      <c r="H207" s="16"/>
      <c r="I207" s="16">
        <v>595.26</v>
      </c>
      <c r="J207" s="17">
        <f>IFERROR(ROUND(SUM(M208,M209)/I207, 2),0)</f>
        <v>130</v>
      </c>
      <c r="K207" s="18">
        <v>790</v>
      </c>
      <c r="L207" s="17">
        <f>J207+ROUND(K207, 2)</f>
        <v>920</v>
      </c>
      <c r="M207" s="17">
        <f>ROUND(J207*I207, 2)</f>
        <v>77383.8</v>
      </c>
      <c r="N207" s="17">
        <f>ROUND(I207*ROUND(K207, 2), 2)</f>
        <v>470255.4</v>
      </c>
      <c r="O207" s="17">
        <f>M207+N207</f>
        <v>547639.20000000007</v>
      </c>
      <c r="P207" s="17">
        <f>IFERROR(ROUND(SUM(S208,S209)/I207, 2),0)</f>
        <v>130</v>
      </c>
      <c r="Q207" s="19">
        <v>790</v>
      </c>
      <c r="R207" s="17">
        <f>P207+ROUND(Q207, 2)</f>
        <v>920</v>
      </c>
      <c r="S207" s="17">
        <f>ROUND(P207*I207, 2)</f>
        <v>77383.8</v>
      </c>
      <c r="T207" s="17">
        <f>ROUND(I207*ROUND(Q207, 2), 2)</f>
        <v>470255.4</v>
      </c>
      <c r="U207" s="17">
        <f>S207+T207</f>
        <v>547639.20000000007</v>
      </c>
      <c r="V207" s="9">
        <f>ROUND(P207 / 1.2, 2)</f>
        <v>108.33</v>
      </c>
      <c r="W207" s="9">
        <f>ROUND(Q207 / 1.2, 2)</f>
        <v>658.33</v>
      </c>
      <c r="X207" s="9">
        <f>ROUND(R207 / 1.2, 2)</f>
        <v>766.67</v>
      </c>
      <c r="Y207" s="9">
        <f t="shared" si="11"/>
        <v>64486.5</v>
      </c>
      <c r="Z207" s="9">
        <f>ROUND(T207 / 1.2, 2)</f>
        <v>391879.5</v>
      </c>
      <c r="AA207" s="9">
        <f>Y207+Z207</f>
        <v>456366</v>
      </c>
      <c r="AD207" s="4">
        <v>264030294</v>
      </c>
      <c r="AE207" s="4">
        <v>19916869</v>
      </c>
      <c r="AG207" s="4" t="s">
        <v>1042</v>
      </c>
      <c r="AH207" s="4" t="s">
        <v>1043</v>
      </c>
      <c r="AI207" s="4" t="s">
        <v>249</v>
      </c>
    </row>
    <row r="208" spans="1:35" ht="56.25" x14ac:dyDescent="0.25">
      <c r="A208" s="10" t="s">
        <v>1044</v>
      </c>
      <c r="B208" s="10"/>
      <c r="C208" s="24" t="s">
        <v>859</v>
      </c>
      <c r="D208" s="15"/>
      <c r="E208" s="15" t="s">
        <v>860</v>
      </c>
      <c r="F208" s="25" t="s">
        <v>81</v>
      </c>
      <c r="G208" s="26">
        <v>5</v>
      </c>
      <c r="H208" s="26"/>
      <c r="I208" s="26">
        <v>2976.3</v>
      </c>
      <c r="J208" s="28">
        <v>23</v>
      </c>
      <c r="M208" s="29">
        <f>ROUND(ROUND(J208, 2)*I208, 2)</f>
        <v>68454.899999999994</v>
      </c>
      <c r="P208" s="30">
        <v>23</v>
      </c>
      <c r="S208" s="29">
        <f>ROUND(ROUND(P208, 2)*I208, 2)</f>
        <v>68454.899999999994</v>
      </c>
      <c r="V208" s="9">
        <f>ROUND(ROUND(P208, 2)/1.2, 2)</f>
        <v>19.170000000000002</v>
      </c>
      <c r="Y208" s="9">
        <f t="shared" si="11"/>
        <v>57045.75</v>
      </c>
      <c r="AD208" s="4" t="s">
        <v>1045</v>
      </c>
      <c r="AE208" s="4" t="s">
        <v>1046</v>
      </c>
      <c r="AF208" s="4" t="s">
        <v>863</v>
      </c>
    </row>
    <row r="209" spans="1:35" ht="18.75" x14ac:dyDescent="0.25">
      <c r="A209" s="10" t="s">
        <v>1047</v>
      </c>
      <c r="B209" s="10"/>
      <c r="C209" s="24" t="s">
        <v>313</v>
      </c>
      <c r="D209" s="15"/>
      <c r="E209" s="15"/>
      <c r="F209" s="25" t="s">
        <v>81</v>
      </c>
      <c r="G209" s="26">
        <v>0.15</v>
      </c>
      <c r="H209" s="26"/>
      <c r="I209" s="26">
        <v>89.289000000000001</v>
      </c>
      <c r="J209" s="28">
        <v>100</v>
      </c>
      <c r="M209" s="29">
        <f>ROUND(ROUND(J209, 2)*I209, 2)</f>
        <v>8928.9</v>
      </c>
      <c r="P209" s="30">
        <v>100</v>
      </c>
      <c r="S209" s="29">
        <f>ROUND(ROUND(P209, 2)*I209, 2)</f>
        <v>8928.9</v>
      </c>
      <c r="V209" s="9">
        <f>ROUND(ROUND(P209, 2)/1.2, 2)</f>
        <v>83.33</v>
      </c>
      <c r="Y209" s="9">
        <f t="shared" si="11"/>
        <v>7440.75</v>
      </c>
      <c r="AD209" s="4" t="s">
        <v>1048</v>
      </c>
      <c r="AE209" s="4" t="s">
        <v>1049</v>
      </c>
      <c r="AF209" s="4" t="s">
        <v>316</v>
      </c>
    </row>
    <row r="210" spans="1:35" ht="37.5" x14ac:dyDescent="0.25">
      <c r="A210" s="10" t="s">
        <v>1050</v>
      </c>
      <c r="B210" s="10" t="s">
        <v>1039</v>
      </c>
      <c r="C210" s="14" t="s">
        <v>1040</v>
      </c>
      <c r="D210" s="15"/>
      <c r="E210" s="15" t="s">
        <v>1051</v>
      </c>
      <c r="F210" s="15" t="s">
        <v>56</v>
      </c>
      <c r="G210" s="16">
        <v>1</v>
      </c>
      <c r="H210" s="16"/>
      <c r="I210" s="16">
        <v>595.26</v>
      </c>
      <c r="J210" s="17">
        <f>IFERROR(ROUND(SUM(M211,M212)/I210, 2),0)</f>
        <v>128.32</v>
      </c>
      <c r="K210" s="18">
        <v>790</v>
      </c>
      <c r="L210" s="17">
        <f>J210+ROUND(K210, 2)</f>
        <v>918.31999999999994</v>
      </c>
      <c r="M210" s="17">
        <f>ROUND(J210*I210, 2)</f>
        <v>76383.759999999995</v>
      </c>
      <c r="N210" s="17">
        <f>ROUND(I210*ROUND(K210, 2), 2)</f>
        <v>470255.4</v>
      </c>
      <c r="O210" s="17">
        <f>M210+N210</f>
        <v>546639.16</v>
      </c>
      <c r="P210" s="17">
        <f>IFERROR(ROUND(SUM(S211,S212)/I210, 2),0)</f>
        <v>128.32</v>
      </c>
      <c r="Q210" s="19">
        <v>790</v>
      </c>
      <c r="R210" s="17">
        <f>P210+ROUND(Q210, 2)</f>
        <v>918.31999999999994</v>
      </c>
      <c r="S210" s="17">
        <f>ROUND(P210*I210, 2)</f>
        <v>76383.759999999995</v>
      </c>
      <c r="T210" s="17">
        <f>ROUND(I210*ROUND(Q210, 2), 2)</f>
        <v>470255.4</v>
      </c>
      <c r="U210" s="17">
        <f>S210+T210</f>
        <v>546639.16</v>
      </c>
      <c r="V210" s="9">
        <f>ROUND(P210 / 1.2, 2)</f>
        <v>106.93</v>
      </c>
      <c r="W210" s="9">
        <f>ROUND(Q210 / 1.2, 2)</f>
        <v>658.33</v>
      </c>
      <c r="X210" s="9">
        <f>ROUND(R210 / 1.2, 2)</f>
        <v>765.27</v>
      </c>
      <c r="Y210" s="9">
        <f t="shared" si="11"/>
        <v>63653.13</v>
      </c>
      <c r="Z210" s="9">
        <f>ROUND(T210 / 1.2, 2)</f>
        <v>391879.5</v>
      </c>
      <c r="AA210" s="9">
        <f>Y210+Z210</f>
        <v>455532.63</v>
      </c>
      <c r="AD210" s="4">
        <v>264030387</v>
      </c>
      <c r="AE210" s="4">
        <v>19916876</v>
      </c>
      <c r="AG210" s="4" t="s">
        <v>1042</v>
      </c>
      <c r="AH210" s="4" t="s">
        <v>1043</v>
      </c>
      <c r="AI210" s="4" t="s">
        <v>249</v>
      </c>
    </row>
    <row r="211" spans="1:35" ht="37.5" x14ac:dyDescent="0.25">
      <c r="A211" s="10" t="s">
        <v>1052</v>
      </c>
      <c r="B211" s="10"/>
      <c r="C211" s="24" t="s">
        <v>490</v>
      </c>
      <c r="D211" s="15"/>
      <c r="E211" s="15"/>
      <c r="F211" s="25" t="s">
        <v>81</v>
      </c>
      <c r="G211" s="26">
        <v>0.15</v>
      </c>
      <c r="H211" s="26"/>
      <c r="I211" s="26">
        <v>89.289000000000001</v>
      </c>
      <c r="J211" s="28">
        <v>88.8</v>
      </c>
      <c r="M211" s="29">
        <f>ROUND(ROUND(J211, 2)*I211, 2)</f>
        <v>7928.86</v>
      </c>
      <c r="P211" s="30">
        <v>88.8</v>
      </c>
      <c r="S211" s="29">
        <f>ROUND(ROUND(P211, 2)*I211, 2)</f>
        <v>7928.86</v>
      </c>
      <c r="V211" s="9">
        <f>ROUND(ROUND(P211, 2)/1.2, 2)</f>
        <v>74</v>
      </c>
      <c r="Y211" s="9">
        <f t="shared" si="11"/>
        <v>6607.38</v>
      </c>
      <c r="AD211" s="4" t="s">
        <v>1053</v>
      </c>
      <c r="AE211" s="4" t="s">
        <v>1054</v>
      </c>
      <c r="AF211" s="4" t="s">
        <v>493</v>
      </c>
    </row>
    <row r="212" spans="1:35" ht="56.25" x14ac:dyDescent="0.25">
      <c r="A212" s="10" t="s">
        <v>1055</v>
      </c>
      <c r="B212" s="10"/>
      <c r="C212" s="24" t="s">
        <v>859</v>
      </c>
      <c r="D212" s="15"/>
      <c r="E212" s="15" t="s">
        <v>1056</v>
      </c>
      <c r="F212" s="25" t="s">
        <v>81</v>
      </c>
      <c r="G212" s="26">
        <v>5</v>
      </c>
      <c r="H212" s="26"/>
      <c r="I212" s="26">
        <v>2976.3</v>
      </c>
      <c r="J212" s="28">
        <v>23</v>
      </c>
      <c r="M212" s="29">
        <f>ROUND(ROUND(J212, 2)*I212, 2)</f>
        <v>68454.899999999994</v>
      </c>
      <c r="P212" s="30">
        <v>23</v>
      </c>
      <c r="S212" s="29">
        <f>ROUND(ROUND(P212, 2)*I212, 2)</f>
        <v>68454.899999999994</v>
      </c>
      <c r="V212" s="9">
        <f>ROUND(ROUND(P212, 2)/1.2, 2)</f>
        <v>19.170000000000002</v>
      </c>
      <c r="Y212" s="9">
        <f t="shared" si="11"/>
        <v>57045.75</v>
      </c>
      <c r="AD212" s="4" t="s">
        <v>1057</v>
      </c>
      <c r="AE212" s="4" t="s">
        <v>1058</v>
      </c>
      <c r="AF212" s="4" t="s">
        <v>863</v>
      </c>
    </row>
    <row r="213" spans="1:35" ht="37.5" x14ac:dyDescent="0.25">
      <c r="A213" s="10" t="s">
        <v>1059</v>
      </c>
      <c r="B213" s="10" t="s">
        <v>1060</v>
      </c>
      <c r="C213" s="81" t="s">
        <v>1061</v>
      </c>
      <c r="D213" s="82"/>
      <c r="E213" s="82" t="s">
        <v>1062</v>
      </c>
      <c r="F213" s="82" t="s">
        <v>56</v>
      </c>
      <c r="G213" s="83">
        <v>1</v>
      </c>
      <c r="H213" s="83"/>
      <c r="I213" s="83">
        <v>79.16</v>
      </c>
      <c r="J213" s="17">
        <f>IFERROR(ROUND(SUM(M214,M215,M216)/I213, 2),0)</f>
        <v>81.25</v>
      </c>
      <c r="K213" s="18">
        <v>639</v>
      </c>
      <c r="L213" s="17">
        <f>J213+ROUND(K213, 2)</f>
        <v>720.25</v>
      </c>
      <c r="M213" s="17">
        <f>ROUND(J213*I213, 2)</f>
        <v>6431.75</v>
      </c>
      <c r="N213" s="17">
        <f>ROUND(I213*ROUND(K213, 2), 2)</f>
        <v>50583.24</v>
      </c>
      <c r="O213" s="17">
        <f>M213+N213</f>
        <v>57014.99</v>
      </c>
      <c r="P213" s="17">
        <f>IFERROR(ROUND(SUM(S214,S215,S216)/I213, 2),0)</f>
        <v>81.25</v>
      </c>
      <c r="Q213" s="19">
        <v>639</v>
      </c>
      <c r="R213" s="17">
        <f>P213+ROUND(Q213, 2)</f>
        <v>720.25</v>
      </c>
      <c r="S213" s="17">
        <f>ROUND(P213*I213, 2)</f>
        <v>6431.75</v>
      </c>
      <c r="T213" s="17">
        <f>ROUND(I213*ROUND(Q213, 2), 2)</f>
        <v>50583.24</v>
      </c>
      <c r="U213" s="17">
        <f>S213+T213</f>
        <v>57014.99</v>
      </c>
      <c r="V213" s="9">
        <f>ROUND(P213 / 1.2, 2)</f>
        <v>67.709999999999994</v>
      </c>
      <c r="W213" s="9">
        <f>ROUND(Q213 / 1.2, 2)</f>
        <v>532.5</v>
      </c>
      <c r="X213" s="9">
        <f>ROUND(R213 / 1.2, 2)</f>
        <v>600.21</v>
      </c>
      <c r="Y213" s="9">
        <f t="shared" si="11"/>
        <v>5359.79</v>
      </c>
      <c r="Z213" s="9">
        <f>ROUND(T213 / 1.2, 2)</f>
        <v>42152.7</v>
      </c>
      <c r="AA213" s="9">
        <f>Y213+Z213</f>
        <v>47512.49</v>
      </c>
      <c r="AD213" s="4">
        <v>264030295</v>
      </c>
      <c r="AE213" s="4">
        <v>19916865</v>
      </c>
      <c r="AG213" s="4" t="s">
        <v>1063</v>
      </c>
      <c r="AH213" s="4" t="s">
        <v>1064</v>
      </c>
      <c r="AI213" s="4" t="s">
        <v>249</v>
      </c>
    </row>
    <row r="214" spans="1:35" ht="56.25" x14ac:dyDescent="0.25">
      <c r="A214" s="10" t="s">
        <v>1065</v>
      </c>
      <c r="B214" s="10"/>
      <c r="C214" s="84" t="s">
        <v>859</v>
      </c>
      <c r="D214" s="82"/>
      <c r="E214" s="82" t="s">
        <v>860</v>
      </c>
      <c r="F214" s="85" t="s">
        <v>81</v>
      </c>
      <c r="G214" s="86">
        <v>2</v>
      </c>
      <c r="H214" s="86"/>
      <c r="I214" s="86">
        <v>158.32</v>
      </c>
      <c r="J214" s="28">
        <v>23</v>
      </c>
      <c r="M214" s="29">
        <f>ROUND(ROUND(J214, 2)*I214, 2)</f>
        <v>3641.36</v>
      </c>
      <c r="P214" s="30">
        <v>23</v>
      </c>
      <c r="S214" s="29">
        <f>ROUND(ROUND(P214, 2)*I214, 2)</f>
        <v>3641.36</v>
      </c>
      <c r="V214" s="9">
        <f>ROUND(ROUND(P214, 2)/1.2, 2)</f>
        <v>19.170000000000002</v>
      </c>
      <c r="Y214" s="9">
        <f t="shared" si="11"/>
        <v>3034.47</v>
      </c>
      <c r="AD214" s="4" t="s">
        <v>1066</v>
      </c>
      <c r="AE214" s="4" t="s">
        <v>1067</v>
      </c>
      <c r="AF214" s="4" t="s">
        <v>863</v>
      </c>
    </row>
    <row r="215" spans="1:35" ht="56.25" x14ac:dyDescent="0.25">
      <c r="A215" s="10" t="s">
        <v>1068</v>
      </c>
      <c r="B215" s="10"/>
      <c r="C215" s="84" t="s">
        <v>1069</v>
      </c>
      <c r="D215" s="82"/>
      <c r="E215" s="82"/>
      <c r="F215" s="85" t="s">
        <v>103</v>
      </c>
      <c r="G215" s="86">
        <v>0.3</v>
      </c>
      <c r="H215" s="86"/>
      <c r="I215" s="86">
        <v>23.748000000000001</v>
      </c>
      <c r="J215" s="28">
        <v>73.099999999999994</v>
      </c>
      <c r="M215" s="29">
        <f>ROUND(ROUND(J215, 2)*I215, 2)</f>
        <v>1735.98</v>
      </c>
      <c r="P215" s="30">
        <v>73.099999999999994</v>
      </c>
      <c r="S215" s="29">
        <f>ROUND(ROUND(P215, 2)*I215, 2)</f>
        <v>1735.98</v>
      </c>
      <c r="V215" s="9">
        <f>ROUND(ROUND(P215, 2)/1.2, 2)</f>
        <v>60.92</v>
      </c>
      <c r="Y215" s="9">
        <f t="shared" si="11"/>
        <v>1446.65</v>
      </c>
      <c r="AD215" s="4" t="s">
        <v>1070</v>
      </c>
      <c r="AE215" s="4" t="s">
        <v>1071</v>
      </c>
      <c r="AF215" s="4" t="s">
        <v>1072</v>
      </c>
    </row>
    <row r="216" spans="1:35" ht="37.5" x14ac:dyDescent="0.25">
      <c r="A216" s="10" t="s">
        <v>1073</v>
      </c>
      <c r="B216" s="10"/>
      <c r="C216" s="84" t="s">
        <v>490</v>
      </c>
      <c r="D216" s="82"/>
      <c r="E216" s="82"/>
      <c r="F216" s="85" t="s">
        <v>81</v>
      </c>
      <c r="G216" s="86">
        <v>0.15</v>
      </c>
      <c r="H216" s="86"/>
      <c r="I216" s="86">
        <v>11.874000000000001</v>
      </c>
      <c r="J216" s="28">
        <v>88.8</v>
      </c>
      <c r="M216" s="29">
        <f>ROUND(ROUND(J216, 2)*I216, 2)</f>
        <v>1054.4100000000001</v>
      </c>
      <c r="P216" s="30">
        <v>88.8</v>
      </c>
      <c r="S216" s="29">
        <f>ROUND(ROUND(P216, 2)*I216, 2)</f>
        <v>1054.4100000000001</v>
      </c>
      <c r="V216" s="9">
        <f>ROUND(ROUND(P216, 2)/1.2, 2)</f>
        <v>74</v>
      </c>
      <c r="Y216" s="9">
        <f t="shared" si="11"/>
        <v>878.68</v>
      </c>
      <c r="AD216" s="4" t="s">
        <v>1074</v>
      </c>
      <c r="AE216" s="4" t="s">
        <v>1075</v>
      </c>
      <c r="AF216" s="4" t="s">
        <v>493</v>
      </c>
    </row>
    <row r="217" spans="1:35" ht="37.5" x14ac:dyDescent="0.25">
      <c r="A217" s="10" t="s">
        <v>1076</v>
      </c>
      <c r="B217" s="10" t="s">
        <v>1060</v>
      </c>
      <c r="C217" s="81" t="s">
        <v>1061</v>
      </c>
      <c r="D217" s="82"/>
      <c r="E217" s="82" t="s">
        <v>1077</v>
      </c>
      <c r="F217" s="82" t="s">
        <v>56</v>
      </c>
      <c r="G217" s="83">
        <v>1</v>
      </c>
      <c r="H217" s="83"/>
      <c r="I217" s="83">
        <v>79.16</v>
      </c>
      <c r="J217" s="17">
        <f>IFERROR(ROUND(SUM(M218,M219)/I217, 2),0)</f>
        <v>59.32</v>
      </c>
      <c r="K217" s="18">
        <v>639</v>
      </c>
      <c r="L217" s="17">
        <f>J217+ROUND(K217, 2)</f>
        <v>698.32</v>
      </c>
      <c r="M217" s="17">
        <f>ROUND(J217*I217, 2)</f>
        <v>4695.7700000000004</v>
      </c>
      <c r="N217" s="17">
        <f>ROUND(I217*ROUND(K217, 2), 2)</f>
        <v>50583.24</v>
      </c>
      <c r="O217" s="17">
        <f>M217+N217</f>
        <v>55279.009999999995</v>
      </c>
      <c r="P217" s="17">
        <f>IFERROR(ROUND(SUM(S218,S219)/I217, 2),0)</f>
        <v>59.32</v>
      </c>
      <c r="Q217" s="19">
        <v>639</v>
      </c>
      <c r="R217" s="17">
        <f>P217+ROUND(Q217, 2)</f>
        <v>698.32</v>
      </c>
      <c r="S217" s="17">
        <f>ROUND(P217*I217, 2)</f>
        <v>4695.7700000000004</v>
      </c>
      <c r="T217" s="17">
        <f>ROUND(I217*ROUND(Q217, 2), 2)</f>
        <v>50583.24</v>
      </c>
      <c r="U217" s="17">
        <f>S217+T217</f>
        <v>55279.009999999995</v>
      </c>
      <c r="V217" s="9">
        <f>ROUND(P217 / 1.2, 2)</f>
        <v>49.43</v>
      </c>
      <c r="W217" s="9">
        <f>ROUND(Q217 / 1.2, 2)</f>
        <v>532.5</v>
      </c>
      <c r="X217" s="9">
        <f>ROUND(R217 / 1.2, 2)</f>
        <v>581.92999999999995</v>
      </c>
      <c r="Y217" s="9">
        <f t="shared" si="11"/>
        <v>3913.14</v>
      </c>
      <c r="Z217" s="9">
        <f>ROUND(T217 / 1.2, 2)</f>
        <v>42152.7</v>
      </c>
      <c r="AA217" s="9">
        <f>Y217+Z217</f>
        <v>46065.84</v>
      </c>
      <c r="AD217" s="4">
        <v>264030388</v>
      </c>
      <c r="AE217" s="4">
        <v>19916872</v>
      </c>
      <c r="AG217" s="4" t="s">
        <v>1063</v>
      </c>
      <c r="AH217" s="4" t="s">
        <v>1064</v>
      </c>
      <c r="AI217" s="4" t="s">
        <v>249</v>
      </c>
    </row>
    <row r="218" spans="1:35" ht="37.5" x14ac:dyDescent="0.25">
      <c r="A218" s="10" t="s">
        <v>1078</v>
      </c>
      <c r="B218" s="10"/>
      <c r="C218" s="84" t="s">
        <v>490</v>
      </c>
      <c r="D218" s="82"/>
      <c r="E218" s="82"/>
      <c r="F218" s="85" t="s">
        <v>81</v>
      </c>
      <c r="G218" s="86">
        <v>0.15</v>
      </c>
      <c r="H218" s="86"/>
      <c r="I218" s="86">
        <v>11.874000000000001</v>
      </c>
      <c r="J218" s="28">
        <v>88.8</v>
      </c>
      <c r="M218" s="29">
        <f>ROUND(ROUND(J218, 2)*I218, 2)</f>
        <v>1054.4100000000001</v>
      </c>
      <c r="P218" s="30">
        <v>88.8</v>
      </c>
      <c r="S218" s="29">
        <f>ROUND(ROUND(P218, 2)*I218, 2)</f>
        <v>1054.4100000000001</v>
      </c>
      <c r="V218" s="9">
        <f>ROUND(ROUND(P218, 2)/1.2, 2)</f>
        <v>74</v>
      </c>
      <c r="Y218" s="9">
        <f t="shared" si="11"/>
        <v>878.68</v>
      </c>
      <c r="AD218" s="4" t="s">
        <v>1079</v>
      </c>
      <c r="AE218" s="4" t="s">
        <v>1080</v>
      </c>
      <c r="AF218" s="4" t="s">
        <v>493</v>
      </c>
    </row>
    <row r="219" spans="1:35" ht="56.25" x14ac:dyDescent="0.25">
      <c r="A219" s="10" t="s">
        <v>1081</v>
      </c>
      <c r="B219" s="10"/>
      <c r="C219" s="84" t="s">
        <v>859</v>
      </c>
      <c r="D219" s="82"/>
      <c r="E219" s="82" t="s">
        <v>1056</v>
      </c>
      <c r="F219" s="85" t="s">
        <v>81</v>
      </c>
      <c r="G219" s="86">
        <v>2</v>
      </c>
      <c r="H219" s="86"/>
      <c r="I219" s="86">
        <v>158.32</v>
      </c>
      <c r="J219" s="28">
        <v>23</v>
      </c>
      <c r="M219" s="29">
        <f>ROUND(ROUND(J219, 2)*I219, 2)</f>
        <v>3641.36</v>
      </c>
      <c r="P219" s="30">
        <v>23</v>
      </c>
      <c r="S219" s="29">
        <f>ROUND(ROUND(P219, 2)*I219, 2)</f>
        <v>3641.36</v>
      </c>
      <c r="V219" s="9">
        <f>ROUND(ROUND(P219, 2)/1.2, 2)</f>
        <v>19.170000000000002</v>
      </c>
      <c r="Y219" s="9">
        <f t="shared" si="11"/>
        <v>3034.47</v>
      </c>
      <c r="AD219" s="4" t="s">
        <v>1082</v>
      </c>
      <c r="AE219" s="4" t="s">
        <v>1083</v>
      </c>
      <c r="AF219" s="4" t="s">
        <v>863</v>
      </c>
    </row>
    <row r="220" spans="1:35" ht="37.5" x14ac:dyDescent="0.25">
      <c r="A220" s="10" t="s">
        <v>1084</v>
      </c>
      <c r="B220" s="10" t="s">
        <v>1060</v>
      </c>
      <c r="C220" s="14" t="s">
        <v>1061</v>
      </c>
      <c r="D220" s="15"/>
      <c r="E220" s="15" t="s">
        <v>1085</v>
      </c>
      <c r="F220" s="15" t="s">
        <v>56</v>
      </c>
      <c r="G220" s="16">
        <v>1</v>
      </c>
      <c r="H220" s="16"/>
      <c r="I220" s="16">
        <v>0.1</v>
      </c>
      <c r="J220" s="17">
        <f>IFERROR(ROUND(SUM(M221,M222,M223)/I220, 2),0)</f>
        <v>81.2</v>
      </c>
      <c r="K220" s="18">
        <v>639</v>
      </c>
      <c r="L220" s="17">
        <f>J220+ROUND(K220, 2)</f>
        <v>720.2</v>
      </c>
      <c r="M220" s="17">
        <f>ROUND(J220*I220, 2)</f>
        <v>8.1199999999999992</v>
      </c>
      <c r="N220" s="17">
        <f>ROUND(I220*ROUND(K220, 2), 2)</f>
        <v>63.9</v>
      </c>
      <c r="O220" s="17">
        <f>M220+N220</f>
        <v>72.02</v>
      </c>
      <c r="P220" s="17">
        <f>IFERROR(ROUND(SUM(S221,S222,S223)/I220, 2),0)</f>
        <v>81.2</v>
      </c>
      <c r="Q220" s="19">
        <v>639</v>
      </c>
      <c r="R220" s="17">
        <f>P220+ROUND(Q220, 2)</f>
        <v>720.2</v>
      </c>
      <c r="S220" s="17">
        <f>ROUND(P220*I220, 2)</f>
        <v>8.1199999999999992</v>
      </c>
      <c r="T220" s="17">
        <f>ROUND(I220*ROUND(Q220, 2), 2)</f>
        <v>63.9</v>
      </c>
      <c r="U220" s="17">
        <f>S220+T220</f>
        <v>72.02</v>
      </c>
      <c r="V220" s="9">
        <f>ROUND(P220 / 1.2, 2)</f>
        <v>67.67</v>
      </c>
      <c r="W220" s="9">
        <f>ROUND(Q220 / 1.2, 2)</f>
        <v>532.5</v>
      </c>
      <c r="X220" s="9">
        <f>ROUND(R220 / 1.2, 2)</f>
        <v>600.16999999999996</v>
      </c>
      <c r="Y220" s="9">
        <f t="shared" si="11"/>
        <v>6.77</v>
      </c>
      <c r="Z220" s="9">
        <f>ROUND(T220 / 1.2, 2)</f>
        <v>53.25</v>
      </c>
      <c r="AA220" s="9">
        <f>Y220+Z220</f>
        <v>60.019999999999996</v>
      </c>
      <c r="AD220" s="4">
        <v>264030389</v>
      </c>
      <c r="AE220" s="4">
        <v>19916870</v>
      </c>
      <c r="AG220" s="4" t="s">
        <v>1063</v>
      </c>
      <c r="AH220" s="4" t="s">
        <v>1064</v>
      </c>
      <c r="AI220" s="4" t="s">
        <v>249</v>
      </c>
    </row>
    <row r="221" spans="1:35" ht="56.25" x14ac:dyDescent="0.25">
      <c r="A221" s="10" t="s">
        <v>1086</v>
      </c>
      <c r="B221" s="10"/>
      <c r="C221" s="24" t="s">
        <v>859</v>
      </c>
      <c r="D221" s="15"/>
      <c r="E221" s="15" t="s">
        <v>860</v>
      </c>
      <c r="F221" s="25" t="s">
        <v>81</v>
      </c>
      <c r="G221" s="26">
        <v>2</v>
      </c>
      <c r="H221" s="26"/>
      <c r="I221" s="26">
        <v>0.2</v>
      </c>
      <c r="J221" s="28">
        <v>23</v>
      </c>
      <c r="M221" s="29">
        <f>ROUND(ROUND(J221, 2)*I221, 2)</f>
        <v>4.5999999999999996</v>
      </c>
      <c r="P221" s="30">
        <v>23</v>
      </c>
      <c r="S221" s="29">
        <f>ROUND(ROUND(P221, 2)*I221, 2)</f>
        <v>4.5999999999999996</v>
      </c>
      <c r="V221" s="9">
        <f>ROUND(ROUND(P221, 2)/1.2, 2)</f>
        <v>19.170000000000002</v>
      </c>
      <c r="Y221" s="9">
        <f t="shared" si="11"/>
        <v>3.83</v>
      </c>
      <c r="AD221" s="4" t="s">
        <v>1087</v>
      </c>
      <c r="AE221" s="4" t="s">
        <v>1088</v>
      </c>
      <c r="AF221" s="4" t="s">
        <v>863</v>
      </c>
    </row>
    <row r="222" spans="1:35" ht="56.25" x14ac:dyDescent="0.25">
      <c r="A222" s="10" t="s">
        <v>1089</v>
      </c>
      <c r="B222" s="10"/>
      <c r="C222" s="24" t="s">
        <v>1069</v>
      </c>
      <c r="D222" s="15"/>
      <c r="E222" s="15"/>
      <c r="F222" s="25" t="s">
        <v>103</v>
      </c>
      <c r="G222" s="26">
        <v>0.3</v>
      </c>
      <c r="H222" s="26"/>
      <c r="I222" s="26">
        <v>0.03</v>
      </c>
      <c r="J222" s="28">
        <v>73.099999999999994</v>
      </c>
      <c r="M222" s="29">
        <f>ROUND(ROUND(J222, 2)*I222, 2)</f>
        <v>2.19</v>
      </c>
      <c r="P222" s="30">
        <v>73.099999999999994</v>
      </c>
      <c r="S222" s="29">
        <f>ROUND(ROUND(P222, 2)*I222, 2)</f>
        <v>2.19</v>
      </c>
      <c r="V222" s="9">
        <f>ROUND(ROUND(P222, 2)/1.2, 2)</f>
        <v>60.92</v>
      </c>
      <c r="Y222" s="9">
        <f t="shared" si="11"/>
        <v>1.83</v>
      </c>
      <c r="AD222" s="4" t="s">
        <v>1090</v>
      </c>
      <c r="AE222" s="4" t="s">
        <v>1091</v>
      </c>
      <c r="AF222" s="4" t="s">
        <v>1072</v>
      </c>
    </row>
    <row r="223" spans="1:35" ht="37.5" x14ac:dyDescent="0.25">
      <c r="A223" s="10" t="s">
        <v>1092</v>
      </c>
      <c r="B223" s="10"/>
      <c r="C223" s="24" t="s">
        <v>490</v>
      </c>
      <c r="D223" s="15"/>
      <c r="E223" s="15"/>
      <c r="F223" s="25" t="s">
        <v>81</v>
      </c>
      <c r="G223" s="26">
        <v>0.15</v>
      </c>
      <c r="H223" s="26"/>
      <c r="I223" s="26">
        <v>1.4999999999999999E-2</v>
      </c>
      <c r="J223" s="28">
        <v>88.8</v>
      </c>
      <c r="M223" s="29">
        <f>ROUND(ROUND(J223, 2)*I223, 2)</f>
        <v>1.33</v>
      </c>
      <c r="P223" s="30">
        <v>88.8</v>
      </c>
      <c r="S223" s="29">
        <f>ROUND(ROUND(P223, 2)*I223, 2)</f>
        <v>1.33</v>
      </c>
      <c r="V223" s="9">
        <f>ROUND(ROUND(P223, 2)/1.2, 2)</f>
        <v>74</v>
      </c>
      <c r="Y223" s="9">
        <f t="shared" si="11"/>
        <v>1.1100000000000001</v>
      </c>
      <c r="AD223" s="4" t="s">
        <v>1093</v>
      </c>
      <c r="AE223" s="4" t="s">
        <v>1094</v>
      </c>
      <c r="AF223" s="4" t="s">
        <v>493</v>
      </c>
    </row>
    <row r="224" spans="1:35" ht="37.5" x14ac:dyDescent="0.25">
      <c r="A224" s="10" t="s">
        <v>1095</v>
      </c>
      <c r="B224" s="10" t="s">
        <v>1060</v>
      </c>
      <c r="C224" s="14" t="s">
        <v>1061</v>
      </c>
      <c r="D224" s="15"/>
      <c r="E224" s="15" t="s">
        <v>1096</v>
      </c>
      <c r="F224" s="15" t="s">
        <v>56</v>
      </c>
      <c r="G224" s="16">
        <v>1</v>
      </c>
      <c r="H224" s="16"/>
      <c r="I224" s="16">
        <v>0.1</v>
      </c>
      <c r="J224" s="17">
        <f>IFERROR(ROUND(SUM(M225,M226)/I224, 2),0)</f>
        <v>59.3</v>
      </c>
      <c r="K224" s="18">
        <v>639</v>
      </c>
      <c r="L224" s="17">
        <f>J224+ROUND(K224, 2)</f>
        <v>698.3</v>
      </c>
      <c r="M224" s="17">
        <f>ROUND(J224*I224, 2)</f>
        <v>5.93</v>
      </c>
      <c r="N224" s="17">
        <f>ROUND(I224*ROUND(K224, 2), 2)</f>
        <v>63.9</v>
      </c>
      <c r="O224" s="17">
        <f>M224+N224</f>
        <v>69.83</v>
      </c>
      <c r="P224" s="17">
        <f>IFERROR(ROUND(SUM(S225,S226)/I224, 2),0)</f>
        <v>59.3</v>
      </c>
      <c r="Q224" s="19">
        <v>639</v>
      </c>
      <c r="R224" s="17">
        <f>P224+ROUND(Q224, 2)</f>
        <v>698.3</v>
      </c>
      <c r="S224" s="17">
        <f>ROUND(P224*I224, 2)</f>
        <v>5.93</v>
      </c>
      <c r="T224" s="17">
        <f>ROUND(I224*ROUND(Q224, 2), 2)</f>
        <v>63.9</v>
      </c>
      <c r="U224" s="17">
        <f>S224+T224</f>
        <v>69.83</v>
      </c>
      <c r="V224" s="9">
        <f>ROUND(P224 / 1.2, 2)</f>
        <v>49.42</v>
      </c>
      <c r="W224" s="9">
        <f>ROUND(Q224 / 1.2, 2)</f>
        <v>532.5</v>
      </c>
      <c r="X224" s="9">
        <f>ROUND(R224 / 1.2, 2)</f>
        <v>581.91999999999996</v>
      </c>
      <c r="Y224" s="9">
        <f t="shared" si="11"/>
        <v>4.9400000000000004</v>
      </c>
      <c r="Z224" s="9">
        <f>ROUND(T224 / 1.2, 2)</f>
        <v>53.25</v>
      </c>
      <c r="AA224" s="9">
        <f>Y224+Z224</f>
        <v>58.19</v>
      </c>
      <c r="AD224" s="4">
        <v>264030390</v>
      </c>
      <c r="AE224" s="4">
        <v>19916877</v>
      </c>
      <c r="AG224" s="4" t="s">
        <v>1063</v>
      </c>
      <c r="AH224" s="4" t="s">
        <v>1064</v>
      </c>
      <c r="AI224" s="4" t="s">
        <v>249</v>
      </c>
    </row>
    <row r="225" spans="1:35" ht="37.5" x14ac:dyDescent="0.25">
      <c r="A225" s="10" t="s">
        <v>1097</v>
      </c>
      <c r="B225" s="10"/>
      <c r="C225" s="24" t="s">
        <v>490</v>
      </c>
      <c r="D225" s="15"/>
      <c r="E225" s="15"/>
      <c r="F225" s="25" t="s">
        <v>81</v>
      </c>
      <c r="G225" s="26">
        <v>0.15</v>
      </c>
      <c r="H225" s="26"/>
      <c r="I225" s="26">
        <v>1.4999999999999999E-2</v>
      </c>
      <c r="J225" s="28">
        <v>88.8</v>
      </c>
      <c r="M225" s="29">
        <f>ROUND(ROUND(J225, 2)*I225, 2)</f>
        <v>1.33</v>
      </c>
      <c r="P225" s="30">
        <v>88.8</v>
      </c>
      <c r="S225" s="29">
        <f>ROUND(ROUND(P225, 2)*I225, 2)</f>
        <v>1.33</v>
      </c>
      <c r="V225" s="9">
        <f>ROUND(ROUND(P225, 2)/1.2, 2)</f>
        <v>74</v>
      </c>
      <c r="Y225" s="9">
        <f t="shared" si="11"/>
        <v>1.1100000000000001</v>
      </c>
      <c r="AD225" s="4" t="s">
        <v>1098</v>
      </c>
      <c r="AE225" s="4" t="s">
        <v>1099</v>
      </c>
      <c r="AF225" s="4" t="s">
        <v>493</v>
      </c>
    </row>
    <row r="226" spans="1:35" ht="56.25" x14ac:dyDescent="0.25">
      <c r="A226" s="10" t="s">
        <v>1100</v>
      </c>
      <c r="B226" s="10"/>
      <c r="C226" s="24" t="s">
        <v>859</v>
      </c>
      <c r="D226" s="15"/>
      <c r="E226" s="15" t="s">
        <v>1056</v>
      </c>
      <c r="F226" s="25" t="s">
        <v>81</v>
      </c>
      <c r="G226" s="26">
        <v>2</v>
      </c>
      <c r="H226" s="26"/>
      <c r="I226" s="26">
        <v>0.2</v>
      </c>
      <c r="J226" s="28">
        <v>23</v>
      </c>
      <c r="M226" s="29">
        <f>ROUND(ROUND(J226, 2)*I226, 2)</f>
        <v>4.5999999999999996</v>
      </c>
      <c r="P226" s="30">
        <v>23</v>
      </c>
      <c r="S226" s="29">
        <f>ROUND(ROUND(P226, 2)*I226, 2)</f>
        <v>4.5999999999999996</v>
      </c>
      <c r="V226" s="9">
        <f>ROUND(ROUND(P226, 2)/1.2, 2)</f>
        <v>19.170000000000002</v>
      </c>
      <c r="Y226" s="9">
        <f t="shared" si="11"/>
        <v>3.83</v>
      </c>
      <c r="AD226" s="4" t="s">
        <v>1101</v>
      </c>
      <c r="AE226" s="4" t="s">
        <v>1102</v>
      </c>
      <c r="AF226" s="4" t="s">
        <v>863</v>
      </c>
    </row>
    <row r="227" spans="1:35" ht="37.5" x14ac:dyDescent="0.25">
      <c r="A227" s="10" t="s">
        <v>1103</v>
      </c>
      <c r="B227" s="10" t="s">
        <v>1060</v>
      </c>
      <c r="C227" s="14" t="s">
        <v>1061</v>
      </c>
      <c r="D227" s="15"/>
      <c r="E227" s="15" t="s">
        <v>1051</v>
      </c>
      <c r="F227" s="15" t="s">
        <v>56</v>
      </c>
      <c r="G227" s="16">
        <v>1</v>
      </c>
      <c r="H227" s="16"/>
      <c r="I227" s="16">
        <v>66.28</v>
      </c>
      <c r="J227" s="17">
        <f>IFERROR(ROUND(SUM(M228,M229)/I227, 2),0)</f>
        <v>59.32</v>
      </c>
      <c r="K227" s="18">
        <v>639</v>
      </c>
      <c r="L227" s="17">
        <f>J227+ROUND(K227, 2)</f>
        <v>698.32</v>
      </c>
      <c r="M227" s="17">
        <f>ROUND(J227*I227, 2)</f>
        <v>3931.73</v>
      </c>
      <c r="N227" s="17">
        <f>ROUND(I227*ROUND(K227, 2), 2)</f>
        <v>42352.92</v>
      </c>
      <c r="O227" s="17">
        <f>M227+N227</f>
        <v>46284.65</v>
      </c>
      <c r="P227" s="17">
        <f>IFERROR(ROUND(SUM(S228,S229)/I227, 2),0)</f>
        <v>59.32</v>
      </c>
      <c r="Q227" s="19">
        <v>639</v>
      </c>
      <c r="R227" s="17">
        <f>P227+ROUND(Q227, 2)</f>
        <v>698.32</v>
      </c>
      <c r="S227" s="17">
        <f>ROUND(P227*I227, 2)</f>
        <v>3931.73</v>
      </c>
      <c r="T227" s="17">
        <f>ROUND(I227*ROUND(Q227, 2), 2)</f>
        <v>42352.92</v>
      </c>
      <c r="U227" s="17">
        <f>S227+T227</f>
        <v>46284.65</v>
      </c>
      <c r="V227" s="9">
        <f>ROUND(P227 / 1.2, 2)</f>
        <v>49.43</v>
      </c>
      <c r="W227" s="9">
        <f>ROUND(Q227 / 1.2, 2)</f>
        <v>532.5</v>
      </c>
      <c r="X227" s="9">
        <f>ROUND(R227 / 1.2, 2)</f>
        <v>581.92999999999995</v>
      </c>
      <c r="Y227" s="9">
        <f t="shared" si="11"/>
        <v>3276.44</v>
      </c>
      <c r="Z227" s="9">
        <f>ROUND(T227 / 1.2, 2)</f>
        <v>35294.1</v>
      </c>
      <c r="AA227" s="9">
        <f>Y227+Z227</f>
        <v>38570.54</v>
      </c>
      <c r="AD227" s="4">
        <v>264030391</v>
      </c>
      <c r="AE227" s="4">
        <v>19916874</v>
      </c>
      <c r="AG227" s="4" t="s">
        <v>1063</v>
      </c>
      <c r="AH227" s="4" t="s">
        <v>1064</v>
      </c>
      <c r="AI227" s="4" t="s">
        <v>249</v>
      </c>
    </row>
    <row r="228" spans="1:35" ht="56.25" x14ac:dyDescent="0.25">
      <c r="A228" s="10" t="s">
        <v>1104</v>
      </c>
      <c r="B228" s="10"/>
      <c r="C228" s="24" t="s">
        <v>859</v>
      </c>
      <c r="D228" s="15"/>
      <c r="E228" s="15" t="s">
        <v>1056</v>
      </c>
      <c r="F228" s="25" t="s">
        <v>81</v>
      </c>
      <c r="G228" s="26">
        <v>2</v>
      </c>
      <c r="H228" s="26"/>
      <c r="I228" s="26">
        <v>132.56</v>
      </c>
      <c r="J228" s="28">
        <v>23</v>
      </c>
      <c r="M228" s="29">
        <f>ROUND(ROUND(J228, 2)*I228, 2)</f>
        <v>3048.88</v>
      </c>
      <c r="P228" s="30">
        <v>23</v>
      </c>
      <c r="S228" s="29">
        <f>ROUND(ROUND(P228, 2)*I228, 2)</f>
        <v>3048.88</v>
      </c>
      <c r="V228" s="9">
        <f>ROUND(ROUND(P228, 2)/1.2, 2)</f>
        <v>19.170000000000002</v>
      </c>
      <c r="Y228" s="9">
        <f t="shared" si="11"/>
        <v>2540.73</v>
      </c>
      <c r="AD228" s="4" t="s">
        <v>1105</v>
      </c>
      <c r="AE228" s="4" t="s">
        <v>1106</v>
      </c>
      <c r="AF228" s="4" t="s">
        <v>863</v>
      </c>
    </row>
    <row r="229" spans="1:35" ht="37.5" x14ac:dyDescent="0.25">
      <c r="A229" s="10" t="s">
        <v>1107</v>
      </c>
      <c r="B229" s="10"/>
      <c r="C229" s="24" t="s">
        <v>490</v>
      </c>
      <c r="D229" s="15"/>
      <c r="E229" s="15"/>
      <c r="F229" s="25" t="s">
        <v>81</v>
      </c>
      <c r="G229" s="26">
        <v>0.15</v>
      </c>
      <c r="H229" s="26"/>
      <c r="I229" s="26">
        <v>9.9420000000000002</v>
      </c>
      <c r="J229" s="28">
        <v>88.8</v>
      </c>
      <c r="M229" s="29">
        <f>ROUND(ROUND(J229, 2)*I229, 2)</f>
        <v>882.85</v>
      </c>
      <c r="P229" s="30">
        <v>88.8</v>
      </c>
      <c r="S229" s="29">
        <f>ROUND(ROUND(P229, 2)*I229, 2)</f>
        <v>882.85</v>
      </c>
      <c r="V229" s="9">
        <f>ROUND(ROUND(P229, 2)/1.2, 2)</f>
        <v>74</v>
      </c>
      <c r="Y229" s="9">
        <f t="shared" si="11"/>
        <v>735.71</v>
      </c>
      <c r="AD229" s="4" t="s">
        <v>1108</v>
      </c>
      <c r="AE229" s="4" t="s">
        <v>1109</v>
      </c>
      <c r="AF229" s="4" t="s">
        <v>493</v>
      </c>
    </row>
    <row r="230" spans="1:35" ht="37.5" x14ac:dyDescent="0.25">
      <c r="A230" s="10" t="s">
        <v>1110</v>
      </c>
      <c r="B230" s="10" t="s">
        <v>1060</v>
      </c>
      <c r="C230" s="14" t="s">
        <v>1061</v>
      </c>
      <c r="D230" s="15"/>
      <c r="E230" s="15" t="s">
        <v>1041</v>
      </c>
      <c r="F230" s="15" t="s">
        <v>56</v>
      </c>
      <c r="G230" s="16">
        <v>1</v>
      </c>
      <c r="H230" s="16"/>
      <c r="I230" s="16">
        <v>66.28</v>
      </c>
      <c r="J230" s="17">
        <f>IFERROR(ROUND(SUM(M231,M232,M233)/I230, 2),0)</f>
        <v>81.25</v>
      </c>
      <c r="K230" s="18">
        <v>639</v>
      </c>
      <c r="L230" s="17">
        <f>J230+ROUND(K230, 2)</f>
        <v>720.25</v>
      </c>
      <c r="M230" s="17">
        <f>ROUND(J230*I230, 2)</f>
        <v>5385.25</v>
      </c>
      <c r="N230" s="17">
        <f>ROUND(I230*ROUND(K230, 2), 2)</f>
        <v>42352.92</v>
      </c>
      <c r="O230" s="17">
        <f>M230+N230</f>
        <v>47738.17</v>
      </c>
      <c r="P230" s="17">
        <f>IFERROR(ROUND(SUM(S231,S232,S233)/I230, 2),0)</f>
        <v>81.25</v>
      </c>
      <c r="Q230" s="19">
        <v>639</v>
      </c>
      <c r="R230" s="17">
        <f>P230+ROUND(Q230, 2)</f>
        <v>720.25</v>
      </c>
      <c r="S230" s="17">
        <f>ROUND(P230*I230, 2)</f>
        <v>5385.25</v>
      </c>
      <c r="T230" s="17">
        <f>ROUND(I230*ROUND(Q230, 2), 2)</f>
        <v>42352.92</v>
      </c>
      <c r="U230" s="17">
        <f>S230+T230</f>
        <v>47738.17</v>
      </c>
      <c r="V230" s="9">
        <f>ROUND(P230 / 1.2, 2)</f>
        <v>67.709999999999994</v>
      </c>
      <c r="W230" s="9">
        <f>ROUND(Q230 / 1.2, 2)</f>
        <v>532.5</v>
      </c>
      <c r="X230" s="9">
        <f>ROUND(R230 / 1.2, 2)</f>
        <v>600.21</v>
      </c>
      <c r="Y230" s="9">
        <f t="shared" si="11"/>
        <v>4487.71</v>
      </c>
      <c r="Z230" s="9">
        <f>ROUND(T230 / 1.2, 2)</f>
        <v>35294.1</v>
      </c>
      <c r="AA230" s="9">
        <f>Y230+Z230</f>
        <v>39781.81</v>
      </c>
      <c r="AD230" s="4">
        <v>264030392</v>
      </c>
      <c r="AE230" s="4">
        <v>19916867</v>
      </c>
      <c r="AG230" s="4" t="s">
        <v>1063</v>
      </c>
      <c r="AH230" s="4" t="s">
        <v>1064</v>
      </c>
      <c r="AI230" s="4" t="s">
        <v>249</v>
      </c>
    </row>
    <row r="231" spans="1:35" ht="37.5" x14ac:dyDescent="0.25">
      <c r="A231" s="10" t="s">
        <v>1111</v>
      </c>
      <c r="B231" s="10"/>
      <c r="C231" s="24" t="s">
        <v>490</v>
      </c>
      <c r="D231" s="15"/>
      <c r="E231" s="15"/>
      <c r="F231" s="25" t="s">
        <v>81</v>
      </c>
      <c r="G231" s="26">
        <v>0.15</v>
      </c>
      <c r="H231" s="26"/>
      <c r="I231" s="26">
        <v>9.9420000000000002</v>
      </c>
      <c r="J231" s="28">
        <v>88.8</v>
      </c>
      <c r="M231" s="29">
        <f>ROUND(ROUND(J231, 2)*I231, 2)</f>
        <v>882.85</v>
      </c>
      <c r="P231" s="30">
        <v>88.8</v>
      </c>
      <c r="S231" s="29">
        <f>ROUND(ROUND(P231, 2)*I231, 2)</f>
        <v>882.85</v>
      </c>
      <c r="V231" s="9">
        <f>ROUND(ROUND(P231, 2)/1.2, 2)</f>
        <v>74</v>
      </c>
      <c r="Y231" s="9">
        <f t="shared" si="11"/>
        <v>735.71</v>
      </c>
      <c r="AD231" s="4" t="s">
        <v>1112</v>
      </c>
      <c r="AE231" s="4" t="s">
        <v>1113</v>
      </c>
      <c r="AF231" s="4" t="s">
        <v>493</v>
      </c>
    </row>
    <row r="232" spans="1:35" ht="56.25" x14ac:dyDescent="0.25">
      <c r="A232" s="10" t="s">
        <v>1114</v>
      </c>
      <c r="B232" s="10"/>
      <c r="C232" s="24" t="s">
        <v>1069</v>
      </c>
      <c r="D232" s="15"/>
      <c r="E232" s="15"/>
      <c r="F232" s="25" t="s">
        <v>103</v>
      </c>
      <c r="G232" s="26">
        <v>0.3</v>
      </c>
      <c r="H232" s="26"/>
      <c r="I232" s="26">
        <v>19.884</v>
      </c>
      <c r="J232" s="28">
        <v>73.099999999999994</v>
      </c>
      <c r="M232" s="29">
        <f>ROUND(ROUND(J232, 2)*I232, 2)</f>
        <v>1453.52</v>
      </c>
      <c r="P232" s="30">
        <v>73.099999999999994</v>
      </c>
      <c r="S232" s="29">
        <f>ROUND(ROUND(P232, 2)*I232, 2)</f>
        <v>1453.52</v>
      </c>
      <c r="V232" s="9">
        <f>ROUND(ROUND(P232, 2)/1.2, 2)</f>
        <v>60.92</v>
      </c>
      <c r="Y232" s="9">
        <f t="shared" si="11"/>
        <v>1211.27</v>
      </c>
      <c r="AD232" s="4" t="s">
        <v>1115</v>
      </c>
      <c r="AE232" s="4" t="s">
        <v>1116</v>
      </c>
      <c r="AF232" s="4" t="s">
        <v>1072</v>
      </c>
    </row>
    <row r="233" spans="1:35" ht="56.25" x14ac:dyDescent="0.25">
      <c r="A233" s="10" t="s">
        <v>1117</v>
      </c>
      <c r="B233" s="10"/>
      <c r="C233" s="24" t="s">
        <v>859</v>
      </c>
      <c r="D233" s="15"/>
      <c r="E233" s="15" t="s">
        <v>860</v>
      </c>
      <c r="F233" s="25" t="s">
        <v>81</v>
      </c>
      <c r="G233" s="26">
        <v>2</v>
      </c>
      <c r="H233" s="26"/>
      <c r="I233" s="26">
        <v>132.56</v>
      </c>
      <c r="J233" s="28">
        <v>23</v>
      </c>
      <c r="M233" s="29">
        <f>ROUND(ROUND(J233, 2)*I233, 2)</f>
        <v>3048.88</v>
      </c>
      <c r="P233" s="30">
        <v>23</v>
      </c>
      <c r="S233" s="29">
        <f>ROUND(ROUND(P233, 2)*I233, 2)</f>
        <v>3048.88</v>
      </c>
      <c r="V233" s="9">
        <f>ROUND(ROUND(P233, 2)/1.2, 2)</f>
        <v>19.170000000000002</v>
      </c>
      <c r="Y233" s="9">
        <f t="shared" si="11"/>
        <v>2540.73</v>
      </c>
      <c r="AD233" s="4" t="s">
        <v>1118</v>
      </c>
      <c r="AE233" s="4" t="s">
        <v>1119</v>
      </c>
      <c r="AF233" s="4" t="s">
        <v>863</v>
      </c>
    </row>
    <row r="234" spans="1:35" ht="37.5" x14ac:dyDescent="0.25">
      <c r="A234" s="10" t="s">
        <v>1120</v>
      </c>
      <c r="B234" s="10" t="s">
        <v>1121</v>
      </c>
      <c r="C234" s="14" t="s">
        <v>1122</v>
      </c>
      <c r="D234" s="15"/>
      <c r="E234" s="15" t="s">
        <v>1062</v>
      </c>
      <c r="F234" s="15" t="s">
        <v>56</v>
      </c>
      <c r="G234" s="16">
        <v>1</v>
      </c>
      <c r="H234" s="16"/>
      <c r="I234" s="16">
        <v>216.42</v>
      </c>
      <c r="J234" s="17">
        <f>IFERROR(ROUND(SUM(M235,M236,M237)/I234, 2),0)</f>
        <v>81.25</v>
      </c>
      <c r="K234" s="18">
        <v>508</v>
      </c>
      <c r="L234" s="17">
        <f>J234+ROUND(K234, 2)</f>
        <v>589.25</v>
      </c>
      <c r="M234" s="17">
        <f>ROUND(J234*I234, 2)</f>
        <v>17584.13</v>
      </c>
      <c r="N234" s="17">
        <f>ROUND(I234*ROUND(K234, 2), 2)</f>
        <v>109941.36</v>
      </c>
      <c r="O234" s="17">
        <f>M234+N234</f>
        <v>127525.49</v>
      </c>
      <c r="P234" s="17">
        <f>IFERROR(ROUND(SUM(S235,S236,S237)/I234, 2),0)</f>
        <v>81.25</v>
      </c>
      <c r="Q234" s="19">
        <v>508</v>
      </c>
      <c r="R234" s="17">
        <f>P234+ROUND(Q234, 2)</f>
        <v>589.25</v>
      </c>
      <c r="S234" s="17">
        <f>ROUND(P234*I234, 2)</f>
        <v>17584.13</v>
      </c>
      <c r="T234" s="17">
        <f>ROUND(I234*ROUND(Q234, 2), 2)</f>
        <v>109941.36</v>
      </c>
      <c r="U234" s="17">
        <f>S234+T234</f>
        <v>127525.49</v>
      </c>
      <c r="V234" s="9">
        <f>ROUND(P234 / 1.2, 2)</f>
        <v>67.709999999999994</v>
      </c>
      <c r="W234" s="9">
        <f>ROUND(Q234 / 1.2, 2)</f>
        <v>423.33</v>
      </c>
      <c r="X234" s="9">
        <f>ROUND(R234 / 1.2, 2)</f>
        <v>491.04</v>
      </c>
      <c r="Y234" s="9">
        <f t="shared" si="11"/>
        <v>14653.44</v>
      </c>
      <c r="Z234" s="9">
        <f>ROUND(T234 / 1.2, 2)</f>
        <v>91617.8</v>
      </c>
      <c r="AA234" s="9">
        <f>Y234+Z234</f>
        <v>106271.24</v>
      </c>
      <c r="AD234" s="4">
        <v>264030296</v>
      </c>
      <c r="AE234" s="4">
        <v>19916866</v>
      </c>
      <c r="AG234" s="4" t="s">
        <v>1123</v>
      </c>
      <c r="AH234" s="4" t="s">
        <v>1124</v>
      </c>
      <c r="AI234" s="4" t="s">
        <v>249</v>
      </c>
    </row>
    <row r="235" spans="1:35" ht="56.25" x14ac:dyDescent="0.25">
      <c r="A235" s="10" t="s">
        <v>1125</v>
      </c>
      <c r="B235" s="10"/>
      <c r="C235" s="24" t="s">
        <v>859</v>
      </c>
      <c r="D235" s="15"/>
      <c r="E235" s="15" t="s">
        <v>860</v>
      </c>
      <c r="F235" s="25" t="s">
        <v>81</v>
      </c>
      <c r="G235" s="26">
        <v>2</v>
      </c>
      <c r="H235" s="26"/>
      <c r="I235" s="26">
        <v>432.84</v>
      </c>
      <c r="J235" s="28">
        <v>23</v>
      </c>
      <c r="M235" s="29">
        <f>ROUND(ROUND(J235, 2)*I235, 2)</f>
        <v>9955.32</v>
      </c>
      <c r="P235" s="30">
        <v>23</v>
      </c>
      <c r="S235" s="29">
        <f>ROUND(ROUND(P235, 2)*I235, 2)</f>
        <v>9955.32</v>
      </c>
      <c r="V235" s="9">
        <f>ROUND(ROUND(P235, 2)/1.2, 2)</f>
        <v>19.170000000000002</v>
      </c>
      <c r="Y235" s="9">
        <f t="shared" si="11"/>
        <v>8296.1</v>
      </c>
      <c r="AD235" s="4" t="s">
        <v>1126</v>
      </c>
      <c r="AE235" s="4" t="s">
        <v>1127</v>
      </c>
      <c r="AF235" s="4" t="s">
        <v>863</v>
      </c>
    </row>
    <row r="236" spans="1:35" ht="18.75" x14ac:dyDescent="0.25">
      <c r="A236" s="10" t="s">
        <v>1128</v>
      </c>
      <c r="B236" s="10"/>
      <c r="C236" s="24" t="s">
        <v>865</v>
      </c>
      <c r="D236" s="15"/>
      <c r="E236" s="15"/>
      <c r="F236" s="25" t="s">
        <v>103</v>
      </c>
      <c r="G236" s="26">
        <v>0.3</v>
      </c>
      <c r="H236" s="26"/>
      <c r="I236" s="26">
        <v>64.926000000000002</v>
      </c>
      <c r="J236" s="28">
        <v>73.099999999999994</v>
      </c>
      <c r="M236" s="29">
        <f>ROUND(ROUND(J236, 2)*I236, 2)</f>
        <v>4746.09</v>
      </c>
      <c r="P236" s="30">
        <v>73.099999999999994</v>
      </c>
      <c r="S236" s="29">
        <f>ROUND(ROUND(P236, 2)*I236, 2)</f>
        <v>4746.09</v>
      </c>
      <c r="V236" s="9">
        <f>ROUND(ROUND(P236, 2)/1.2, 2)</f>
        <v>60.92</v>
      </c>
      <c r="Y236" s="9">
        <f t="shared" si="11"/>
        <v>3955.08</v>
      </c>
      <c r="AD236" s="4" t="s">
        <v>1129</v>
      </c>
      <c r="AE236" s="4" t="s">
        <v>1130</v>
      </c>
      <c r="AF236" s="4" t="s">
        <v>868</v>
      </c>
    </row>
    <row r="237" spans="1:35" ht="37.5" x14ac:dyDescent="0.25">
      <c r="A237" s="10" t="s">
        <v>1131</v>
      </c>
      <c r="B237" s="10"/>
      <c r="C237" s="24" t="s">
        <v>490</v>
      </c>
      <c r="D237" s="15"/>
      <c r="E237" s="15"/>
      <c r="F237" s="25" t="s">
        <v>81</v>
      </c>
      <c r="G237" s="26">
        <v>0.15</v>
      </c>
      <c r="H237" s="26"/>
      <c r="I237" s="26">
        <v>32.463000000000001</v>
      </c>
      <c r="J237" s="28">
        <v>88.8</v>
      </c>
      <c r="M237" s="29">
        <f>ROUND(ROUND(J237, 2)*I237, 2)</f>
        <v>2882.71</v>
      </c>
      <c r="P237" s="30">
        <v>88.8</v>
      </c>
      <c r="S237" s="29">
        <f>ROUND(ROUND(P237, 2)*I237, 2)</f>
        <v>2882.71</v>
      </c>
      <c r="V237" s="9">
        <f>ROUND(ROUND(P237, 2)/1.2, 2)</f>
        <v>74</v>
      </c>
      <c r="Y237" s="9">
        <f t="shared" si="11"/>
        <v>2402.2600000000002</v>
      </c>
      <c r="AD237" s="4" t="s">
        <v>1132</v>
      </c>
      <c r="AE237" s="4" t="s">
        <v>1133</v>
      </c>
      <c r="AF237" s="4" t="s">
        <v>493</v>
      </c>
    </row>
    <row r="238" spans="1:35" ht="37.5" x14ac:dyDescent="0.25">
      <c r="A238" s="10" t="s">
        <v>1134</v>
      </c>
      <c r="B238" s="10" t="s">
        <v>1121</v>
      </c>
      <c r="C238" s="14" t="s">
        <v>1122</v>
      </c>
      <c r="D238" s="15"/>
      <c r="E238" s="15" t="s">
        <v>1077</v>
      </c>
      <c r="F238" s="15" t="s">
        <v>56</v>
      </c>
      <c r="G238" s="16">
        <v>1</v>
      </c>
      <c r="H238" s="16"/>
      <c r="I238" s="16">
        <v>216.42</v>
      </c>
      <c r="J238" s="17">
        <f>IFERROR(ROUND(SUM(M239,M240)/I238, 2),0)</f>
        <v>59.32</v>
      </c>
      <c r="K238" s="18">
        <v>508</v>
      </c>
      <c r="L238" s="17">
        <f>J238+ROUND(K238, 2)</f>
        <v>567.32000000000005</v>
      </c>
      <c r="M238" s="17">
        <f>ROUND(J238*I238, 2)</f>
        <v>12838.03</v>
      </c>
      <c r="N238" s="17">
        <f>ROUND(I238*ROUND(K238, 2), 2)</f>
        <v>109941.36</v>
      </c>
      <c r="O238" s="17">
        <f>M238+N238</f>
        <v>122779.39</v>
      </c>
      <c r="P238" s="17">
        <f>IFERROR(ROUND(SUM(S239,S240)/I238, 2),0)</f>
        <v>59.32</v>
      </c>
      <c r="Q238" s="19">
        <v>508</v>
      </c>
      <c r="R238" s="17">
        <f>P238+ROUND(Q238, 2)</f>
        <v>567.32000000000005</v>
      </c>
      <c r="S238" s="17">
        <f>ROUND(P238*I238, 2)</f>
        <v>12838.03</v>
      </c>
      <c r="T238" s="17">
        <f>ROUND(I238*ROUND(Q238, 2), 2)</f>
        <v>109941.36</v>
      </c>
      <c r="U238" s="17">
        <f>S238+T238</f>
        <v>122779.39</v>
      </c>
      <c r="V238" s="9">
        <f>ROUND(P238 / 1.2, 2)</f>
        <v>49.43</v>
      </c>
      <c r="W238" s="9">
        <f>ROUND(Q238 / 1.2, 2)</f>
        <v>423.33</v>
      </c>
      <c r="X238" s="9">
        <f>ROUND(R238 / 1.2, 2)</f>
        <v>472.77</v>
      </c>
      <c r="Y238" s="9">
        <f t="shared" si="11"/>
        <v>10698.36</v>
      </c>
      <c r="Z238" s="9">
        <f>ROUND(T238 / 1.2, 2)</f>
        <v>91617.8</v>
      </c>
      <c r="AA238" s="9">
        <f>Y238+Z238</f>
        <v>102316.16</v>
      </c>
      <c r="AD238" s="4">
        <v>264030393</v>
      </c>
      <c r="AE238" s="4">
        <v>19916873</v>
      </c>
      <c r="AG238" s="4" t="s">
        <v>1123</v>
      </c>
      <c r="AH238" s="4" t="s">
        <v>1124</v>
      </c>
      <c r="AI238" s="4" t="s">
        <v>249</v>
      </c>
    </row>
    <row r="239" spans="1:35" ht="37.5" x14ac:dyDescent="0.25">
      <c r="A239" s="10" t="s">
        <v>1135</v>
      </c>
      <c r="B239" s="10"/>
      <c r="C239" s="24" t="s">
        <v>490</v>
      </c>
      <c r="D239" s="15"/>
      <c r="E239" s="15"/>
      <c r="F239" s="25" t="s">
        <v>81</v>
      </c>
      <c r="G239" s="26">
        <v>0.15</v>
      </c>
      <c r="H239" s="26"/>
      <c r="I239" s="26">
        <v>32.463000000000001</v>
      </c>
      <c r="J239" s="28">
        <v>88.8</v>
      </c>
      <c r="M239" s="29">
        <f>ROUND(ROUND(J239, 2)*I239, 2)</f>
        <v>2882.71</v>
      </c>
      <c r="P239" s="30">
        <v>88.8</v>
      </c>
      <c r="S239" s="29">
        <f>ROUND(ROUND(P239, 2)*I239, 2)</f>
        <v>2882.71</v>
      </c>
      <c r="V239" s="9">
        <f>ROUND(ROUND(P239, 2)/1.2, 2)</f>
        <v>74</v>
      </c>
      <c r="Y239" s="9">
        <f t="shared" si="11"/>
        <v>2402.2600000000002</v>
      </c>
      <c r="AD239" s="4" t="s">
        <v>1136</v>
      </c>
      <c r="AE239" s="4" t="s">
        <v>1137</v>
      </c>
      <c r="AF239" s="4" t="s">
        <v>493</v>
      </c>
    </row>
    <row r="240" spans="1:35" ht="56.25" x14ac:dyDescent="0.25">
      <c r="A240" s="10" t="s">
        <v>1138</v>
      </c>
      <c r="B240" s="10"/>
      <c r="C240" s="24" t="s">
        <v>859</v>
      </c>
      <c r="D240" s="15"/>
      <c r="E240" s="15" t="s">
        <v>1056</v>
      </c>
      <c r="F240" s="25" t="s">
        <v>81</v>
      </c>
      <c r="G240" s="26">
        <v>2</v>
      </c>
      <c r="H240" s="26"/>
      <c r="I240" s="26">
        <v>432.84</v>
      </c>
      <c r="J240" s="28">
        <v>23</v>
      </c>
      <c r="M240" s="29">
        <f>ROUND(ROUND(J240, 2)*I240, 2)</f>
        <v>9955.32</v>
      </c>
      <c r="P240" s="30">
        <v>23</v>
      </c>
      <c r="S240" s="29">
        <f>ROUND(ROUND(P240, 2)*I240, 2)</f>
        <v>9955.32</v>
      </c>
      <c r="V240" s="9">
        <f>ROUND(ROUND(P240, 2)/1.2, 2)</f>
        <v>19.170000000000002</v>
      </c>
      <c r="Y240" s="9">
        <f t="shared" si="11"/>
        <v>8296.1</v>
      </c>
      <c r="AD240" s="4" t="s">
        <v>1139</v>
      </c>
      <c r="AE240" s="4" t="s">
        <v>1140</v>
      </c>
      <c r="AF240" s="4" t="s">
        <v>863</v>
      </c>
    </row>
    <row r="241" spans="1:35" ht="37.5" x14ac:dyDescent="0.25">
      <c r="A241" s="10" t="s">
        <v>1141</v>
      </c>
      <c r="B241" s="10" t="s">
        <v>1121</v>
      </c>
      <c r="C241" s="14" t="s">
        <v>1122</v>
      </c>
      <c r="D241" s="15"/>
      <c r="E241" s="15" t="s">
        <v>1051</v>
      </c>
      <c r="F241" s="15" t="s">
        <v>56</v>
      </c>
      <c r="G241" s="16">
        <v>1</v>
      </c>
      <c r="H241" s="16"/>
      <c r="I241" s="16">
        <v>1035.18</v>
      </c>
      <c r="J241" s="17">
        <f>IFERROR(ROUND(SUM(M242,M243)/I241, 2),0)</f>
        <v>59.32</v>
      </c>
      <c r="K241" s="18">
        <v>508</v>
      </c>
      <c r="L241" s="17">
        <f>J241+ROUND(K241, 2)</f>
        <v>567.32000000000005</v>
      </c>
      <c r="M241" s="17">
        <f>ROUND(J241*I241, 2)</f>
        <v>61406.879999999997</v>
      </c>
      <c r="N241" s="17">
        <f>ROUND(I241*ROUND(K241, 2), 2)</f>
        <v>525871.43999999994</v>
      </c>
      <c r="O241" s="17">
        <f>M241+N241</f>
        <v>587278.31999999995</v>
      </c>
      <c r="P241" s="17">
        <f>IFERROR(ROUND(SUM(S242,S243)/I241, 2),0)</f>
        <v>59.32</v>
      </c>
      <c r="Q241" s="19">
        <v>508</v>
      </c>
      <c r="R241" s="17">
        <f>P241+ROUND(Q241, 2)</f>
        <v>567.32000000000005</v>
      </c>
      <c r="S241" s="17">
        <f>ROUND(P241*I241, 2)</f>
        <v>61406.879999999997</v>
      </c>
      <c r="T241" s="17">
        <f>ROUND(I241*ROUND(Q241, 2), 2)</f>
        <v>525871.43999999994</v>
      </c>
      <c r="U241" s="17">
        <f>S241+T241</f>
        <v>587278.31999999995</v>
      </c>
      <c r="V241" s="9">
        <f>ROUND(P241 / 1.2, 2)</f>
        <v>49.43</v>
      </c>
      <c r="W241" s="9">
        <f>ROUND(Q241 / 1.2, 2)</f>
        <v>423.33</v>
      </c>
      <c r="X241" s="9">
        <f>ROUND(R241 / 1.2, 2)</f>
        <v>472.77</v>
      </c>
      <c r="Y241" s="9">
        <f t="shared" si="11"/>
        <v>51172.4</v>
      </c>
      <c r="Z241" s="9">
        <f>ROUND(T241 / 1.2, 2)</f>
        <v>438226.2</v>
      </c>
      <c r="AA241" s="9">
        <f>Y241+Z241</f>
        <v>489398.60000000003</v>
      </c>
      <c r="AD241" s="4">
        <v>264030394</v>
      </c>
      <c r="AE241" s="4">
        <v>19916875</v>
      </c>
      <c r="AG241" s="4" t="s">
        <v>1123</v>
      </c>
      <c r="AH241" s="4" t="s">
        <v>1124</v>
      </c>
      <c r="AI241" s="4" t="s">
        <v>249</v>
      </c>
    </row>
    <row r="242" spans="1:35" ht="56.25" x14ac:dyDescent="0.25">
      <c r="A242" s="10" t="s">
        <v>1142</v>
      </c>
      <c r="B242" s="10"/>
      <c r="C242" s="24" t="s">
        <v>859</v>
      </c>
      <c r="D242" s="15"/>
      <c r="E242" s="15" t="s">
        <v>1056</v>
      </c>
      <c r="F242" s="25" t="s">
        <v>81</v>
      </c>
      <c r="G242" s="26">
        <v>2</v>
      </c>
      <c r="H242" s="26"/>
      <c r="I242" s="26">
        <v>2070.36</v>
      </c>
      <c r="J242" s="28">
        <v>23</v>
      </c>
      <c r="M242" s="29">
        <f>ROUND(ROUND(J242, 2)*I242, 2)</f>
        <v>47618.28</v>
      </c>
      <c r="P242" s="30">
        <v>23</v>
      </c>
      <c r="S242" s="29">
        <f>ROUND(ROUND(P242, 2)*I242, 2)</f>
        <v>47618.28</v>
      </c>
      <c r="V242" s="9">
        <f>ROUND(ROUND(P242, 2)/1.2, 2)</f>
        <v>19.170000000000002</v>
      </c>
      <c r="Y242" s="9">
        <f t="shared" si="11"/>
        <v>39681.9</v>
      </c>
      <c r="AD242" s="4" t="s">
        <v>1143</v>
      </c>
      <c r="AE242" s="4" t="s">
        <v>1144</v>
      </c>
      <c r="AF242" s="4" t="s">
        <v>863</v>
      </c>
    </row>
    <row r="243" spans="1:35" ht="37.5" x14ac:dyDescent="0.25">
      <c r="A243" s="10" t="s">
        <v>1145</v>
      </c>
      <c r="B243" s="10"/>
      <c r="C243" s="24" t="s">
        <v>490</v>
      </c>
      <c r="D243" s="15"/>
      <c r="E243" s="15"/>
      <c r="F243" s="25" t="s">
        <v>81</v>
      </c>
      <c r="G243" s="26">
        <v>0.15</v>
      </c>
      <c r="H243" s="26"/>
      <c r="I243" s="26">
        <v>155.27699999999999</v>
      </c>
      <c r="J243" s="28">
        <v>88.8</v>
      </c>
      <c r="M243" s="29">
        <f>ROUND(ROUND(J243, 2)*I243, 2)</f>
        <v>13788.6</v>
      </c>
      <c r="P243" s="30">
        <v>88.8</v>
      </c>
      <c r="S243" s="29">
        <f>ROUND(ROUND(P243, 2)*I243, 2)</f>
        <v>13788.6</v>
      </c>
      <c r="V243" s="9">
        <f>ROUND(ROUND(P243, 2)/1.2, 2)</f>
        <v>74</v>
      </c>
      <c r="Y243" s="9">
        <f t="shared" si="11"/>
        <v>11490.5</v>
      </c>
      <c r="AD243" s="4" t="s">
        <v>1146</v>
      </c>
      <c r="AE243" s="4" t="s">
        <v>1147</v>
      </c>
      <c r="AF243" s="4" t="s">
        <v>493</v>
      </c>
    </row>
    <row r="244" spans="1:35" ht="37.5" x14ac:dyDescent="0.25">
      <c r="A244" s="10" t="s">
        <v>1148</v>
      </c>
      <c r="B244" s="10" t="s">
        <v>1121</v>
      </c>
      <c r="C244" s="14" t="s">
        <v>1122</v>
      </c>
      <c r="D244" s="15"/>
      <c r="E244" s="15" t="s">
        <v>1041</v>
      </c>
      <c r="F244" s="15" t="s">
        <v>56</v>
      </c>
      <c r="G244" s="16">
        <v>1</v>
      </c>
      <c r="H244" s="16"/>
      <c r="I244" s="16">
        <v>1035.18</v>
      </c>
      <c r="J244" s="17">
        <f>IFERROR(ROUND(SUM(M245,M246,M247)/I244, 2),0)</f>
        <v>81.25</v>
      </c>
      <c r="K244" s="18">
        <v>508</v>
      </c>
      <c r="L244" s="17">
        <f>J244+ROUND(K244, 2)</f>
        <v>589.25</v>
      </c>
      <c r="M244" s="17">
        <f>ROUND(J244*I244, 2)</f>
        <v>84108.38</v>
      </c>
      <c r="N244" s="17">
        <f>ROUND(I244*ROUND(K244, 2), 2)</f>
        <v>525871.43999999994</v>
      </c>
      <c r="O244" s="17">
        <f>M244+N244</f>
        <v>609979.81999999995</v>
      </c>
      <c r="P244" s="17">
        <f>IFERROR(ROUND(SUM(S245,S246,S247)/I244, 2),0)</f>
        <v>81.25</v>
      </c>
      <c r="Q244" s="19">
        <v>508</v>
      </c>
      <c r="R244" s="17">
        <f>P244+ROUND(Q244, 2)</f>
        <v>589.25</v>
      </c>
      <c r="S244" s="17">
        <f>ROUND(P244*I244, 2)</f>
        <v>84108.38</v>
      </c>
      <c r="T244" s="17">
        <f>ROUND(I244*ROUND(Q244, 2), 2)</f>
        <v>525871.43999999994</v>
      </c>
      <c r="U244" s="17">
        <f>S244+T244</f>
        <v>609979.81999999995</v>
      </c>
      <c r="V244" s="9">
        <f>ROUND(P244 / 1.2, 2)</f>
        <v>67.709999999999994</v>
      </c>
      <c r="W244" s="9">
        <f>ROUND(Q244 / 1.2, 2)</f>
        <v>423.33</v>
      </c>
      <c r="X244" s="9">
        <f>ROUND(R244 / 1.2, 2)</f>
        <v>491.04</v>
      </c>
      <c r="Y244" s="9">
        <f t="shared" si="11"/>
        <v>70090.320000000007</v>
      </c>
      <c r="Z244" s="9">
        <f>ROUND(T244 / 1.2, 2)</f>
        <v>438226.2</v>
      </c>
      <c r="AA244" s="9">
        <f>Y244+Z244</f>
        <v>508316.52</v>
      </c>
      <c r="AD244" s="4">
        <v>264030395</v>
      </c>
      <c r="AE244" s="4">
        <v>19916868</v>
      </c>
      <c r="AG244" s="4" t="s">
        <v>1123</v>
      </c>
      <c r="AH244" s="4" t="s">
        <v>1124</v>
      </c>
      <c r="AI244" s="4" t="s">
        <v>249</v>
      </c>
    </row>
    <row r="245" spans="1:35" ht="37.5" x14ac:dyDescent="0.25">
      <c r="A245" s="10" t="s">
        <v>1149</v>
      </c>
      <c r="B245" s="10"/>
      <c r="C245" s="24" t="s">
        <v>490</v>
      </c>
      <c r="D245" s="15"/>
      <c r="E245" s="15"/>
      <c r="F245" s="25" t="s">
        <v>81</v>
      </c>
      <c r="G245" s="26">
        <v>0.15</v>
      </c>
      <c r="H245" s="26"/>
      <c r="I245" s="26">
        <v>155.27699999999999</v>
      </c>
      <c r="J245" s="28">
        <v>88.8</v>
      </c>
      <c r="M245" s="29">
        <f>ROUND(ROUND(J245, 2)*I245, 2)</f>
        <v>13788.6</v>
      </c>
      <c r="P245" s="30">
        <v>88.8</v>
      </c>
      <c r="S245" s="29">
        <f>ROUND(ROUND(P245, 2)*I245, 2)</f>
        <v>13788.6</v>
      </c>
      <c r="V245" s="9">
        <f>ROUND(ROUND(P245, 2)/1.2, 2)</f>
        <v>74</v>
      </c>
      <c r="Y245" s="9">
        <f t="shared" si="11"/>
        <v>11490.5</v>
      </c>
      <c r="AD245" s="4" t="s">
        <v>1150</v>
      </c>
      <c r="AE245" s="4" t="s">
        <v>1151</v>
      </c>
      <c r="AF245" s="4" t="s">
        <v>493</v>
      </c>
    </row>
    <row r="246" spans="1:35" ht="18.75" x14ac:dyDescent="0.25">
      <c r="A246" s="10" t="s">
        <v>1152</v>
      </c>
      <c r="B246" s="10"/>
      <c r="C246" s="24" t="s">
        <v>865</v>
      </c>
      <c r="D246" s="15"/>
      <c r="E246" s="15"/>
      <c r="F246" s="25" t="s">
        <v>103</v>
      </c>
      <c r="G246" s="26">
        <v>0.3</v>
      </c>
      <c r="H246" s="26"/>
      <c r="I246" s="26">
        <v>310.55399999999997</v>
      </c>
      <c r="J246" s="28">
        <v>73.099999999999994</v>
      </c>
      <c r="M246" s="29">
        <f>ROUND(ROUND(J246, 2)*I246, 2)</f>
        <v>22701.5</v>
      </c>
      <c r="P246" s="30">
        <v>73.099999999999994</v>
      </c>
      <c r="S246" s="29">
        <f>ROUND(ROUND(P246, 2)*I246, 2)</f>
        <v>22701.5</v>
      </c>
      <c r="V246" s="9">
        <f>ROUND(ROUND(P246, 2)/1.2, 2)</f>
        <v>60.92</v>
      </c>
      <c r="Y246" s="9">
        <f t="shared" si="11"/>
        <v>18917.919999999998</v>
      </c>
      <c r="AD246" s="4" t="s">
        <v>1153</v>
      </c>
      <c r="AE246" s="4" t="s">
        <v>1154</v>
      </c>
      <c r="AF246" s="4" t="s">
        <v>868</v>
      </c>
    </row>
    <row r="247" spans="1:35" ht="56.25" x14ac:dyDescent="0.25">
      <c r="A247" s="10" t="s">
        <v>1155</v>
      </c>
      <c r="B247" s="10"/>
      <c r="C247" s="24" t="s">
        <v>859</v>
      </c>
      <c r="D247" s="15"/>
      <c r="E247" s="15" t="s">
        <v>860</v>
      </c>
      <c r="F247" s="25" t="s">
        <v>81</v>
      </c>
      <c r="G247" s="26">
        <v>2</v>
      </c>
      <c r="H247" s="26"/>
      <c r="I247" s="26">
        <v>2070.36</v>
      </c>
      <c r="J247" s="28">
        <v>23</v>
      </c>
      <c r="M247" s="29">
        <f>ROUND(ROUND(J247, 2)*I247, 2)</f>
        <v>47618.28</v>
      </c>
      <c r="P247" s="30">
        <v>23</v>
      </c>
      <c r="S247" s="29">
        <f>ROUND(ROUND(P247, 2)*I247, 2)</f>
        <v>47618.28</v>
      </c>
      <c r="V247" s="9">
        <f>ROUND(ROUND(P247, 2)/1.2, 2)</f>
        <v>19.170000000000002</v>
      </c>
      <c r="Y247" s="9">
        <f t="shared" si="11"/>
        <v>39681.9</v>
      </c>
      <c r="AD247" s="4" t="s">
        <v>1156</v>
      </c>
      <c r="AE247" s="4" t="s">
        <v>1157</v>
      </c>
      <c r="AF247" s="4" t="s">
        <v>863</v>
      </c>
    </row>
    <row r="248" spans="1:35" ht="37.5" x14ac:dyDescent="0.25">
      <c r="A248" s="10" t="s">
        <v>1158</v>
      </c>
      <c r="B248" s="10" t="s">
        <v>1121</v>
      </c>
      <c r="C248" s="14" t="s">
        <v>1122</v>
      </c>
      <c r="D248" s="15"/>
      <c r="E248" s="15" t="s">
        <v>1096</v>
      </c>
      <c r="F248" s="15" t="s">
        <v>56</v>
      </c>
      <c r="G248" s="16">
        <v>1</v>
      </c>
      <c r="H248" s="16"/>
      <c r="I248" s="16">
        <v>0.1</v>
      </c>
      <c r="J248" s="17">
        <f>IFERROR(ROUND(SUM(M249,M250)/I248, 2),0)</f>
        <v>59.3</v>
      </c>
      <c r="K248" s="18">
        <v>508</v>
      </c>
      <c r="L248" s="17">
        <f>J248+ROUND(K248, 2)</f>
        <v>567.29999999999995</v>
      </c>
      <c r="M248" s="17">
        <f>ROUND(J248*I248, 2)</f>
        <v>5.93</v>
      </c>
      <c r="N248" s="17">
        <f>ROUND(I248*ROUND(K248, 2), 2)</f>
        <v>50.8</v>
      </c>
      <c r="O248" s="17">
        <f>M248+N248</f>
        <v>56.73</v>
      </c>
      <c r="P248" s="17">
        <f>IFERROR(ROUND(SUM(S249,S250)/I248, 2),0)</f>
        <v>59.3</v>
      </c>
      <c r="Q248" s="19">
        <v>508</v>
      </c>
      <c r="R248" s="17">
        <f>P248+ROUND(Q248, 2)</f>
        <v>567.29999999999995</v>
      </c>
      <c r="S248" s="17">
        <f>ROUND(P248*I248, 2)</f>
        <v>5.93</v>
      </c>
      <c r="T248" s="17">
        <f>ROUND(I248*ROUND(Q248, 2), 2)</f>
        <v>50.8</v>
      </c>
      <c r="U248" s="17">
        <f>S248+T248</f>
        <v>56.73</v>
      </c>
      <c r="V248" s="9">
        <f>ROUND(P248 / 1.2, 2)</f>
        <v>49.42</v>
      </c>
      <c r="W248" s="9">
        <f>ROUND(Q248 / 1.2, 2)</f>
        <v>423.33</v>
      </c>
      <c r="X248" s="9">
        <f>ROUND(R248 / 1.2, 2)</f>
        <v>472.75</v>
      </c>
      <c r="Y248" s="9">
        <f t="shared" si="11"/>
        <v>4.9400000000000004</v>
      </c>
      <c r="Z248" s="9">
        <f>ROUND(T248 / 1.2, 2)</f>
        <v>42.33</v>
      </c>
      <c r="AA248" s="9">
        <f>Y248+Z248</f>
        <v>47.269999999999996</v>
      </c>
      <c r="AD248" s="4">
        <v>264030396</v>
      </c>
      <c r="AE248" s="4">
        <v>19916878</v>
      </c>
      <c r="AG248" s="4" t="s">
        <v>1123</v>
      </c>
      <c r="AH248" s="4" t="s">
        <v>1124</v>
      </c>
      <c r="AI248" s="4" t="s">
        <v>249</v>
      </c>
    </row>
    <row r="249" spans="1:35" ht="56.25" x14ac:dyDescent="0.25">
      <c r="A249" s="10" t="s">
        <v>1159</v>
      </c>
      <c r="B249" s="10"/>
      <c r="C249" s="24" t="s">
        <v>859</v>
      </c>
      <c r="D249" s="15"/>
      <c r="E249" s="15" t="s">
        <v>1056</v>
      </c>
      <c r="F249" s="25" t="s">
        <v>81</v>
      </c>
      <c r="G249" s="26">
        <v>2</v>
      </c>
      <c r="H249" s="26"/>
      <c r="I249" s="26">
        <v>0.2</v>
      </c>
      <c r="J249" s="28">
        <v>23</v>
      </c>
      <c r="M249" s="29">
        <f>ROUND(ROUND(J249, 2)*I249, 2)</f>
        <v>4.5999999999999996</v>
      </c>
      <c r="P249" s="30">
        <v>23</v>
      </c>
      <c r="S249" s="29">
        <f>ROUND(ROUND(P249, 2)*I249, 2)</f>
        <v>4.5999999999999996</v>
      </c>
      <c r="V249" s="9">
        <f>ROUND(ROUND(P249, 2)/1.2, 2)</f>
        <v>19.170000000000002</v>
      </c>
      <c r="Y249" s="9">
        <f t="shared" si="11"/>
        <v>3.83</v>
      </c>
      <c r="AD249" s="4" t="s">
        <v>1160</v>
      </c>
      <c r="AE249" s="4" t="s">
        <v>1161</v>
      </c>
      <c r="AF249" s="4" t="s">
        <v>863</v>
      </c>
    </row>
    <row r="250" spans="1:35" ht="37.5" x14ac:dyDescent="0.25">
      <c r="A250" s="10" t="s">
        <v>1162</v>
      </c>
      <c r="B250" s="10"/>
      <c r="C250" s="24" t="s">
        <v>490</v>
      </c>
      <c r="D250" s="15"/>
      <c r="E250" s="15"/>
      <c r="F250" s="25" t="s">
        <v>81</v>
      </c>
      <c r="G250" s="26">
        <v>0.15</v>
      </c>
      <c r="H250" s="26"/>
      <c r="I250" s="26">
        <v>1.4999999999999999E-2</v>
      </c>
      <c r="J250" s="28">
        <v>88.8</v>
      </c>
      <c r="M250" s="29">
        <f>ROUND(ROUND(J250, 2)*I250, 2)</f>
        <v>1.33</v>
      </c>
      <c r="P250" s="30">
        <v>88.8</v>
      </c>
      <c r="S250" s="29">
        <f>ROUND(ROUND(P250, 2)*I250, 2)</f>
        <v>1.33</v>
      </c>
      <c r="V250" s="9">
        <f>ROUND(ROUND(P250, 2)/1.2, 2)</f>
        <v>74</v>
      </c>
      <c r="Y250" s="9">
        <f t="shared" si="11"/>
        <v>1.1100000000000001</v>
      </c>
      <c r="AD250" s="4" t="s">
        <v>1163</v>
      </c>
      <c r="AE250" s="4" t="s">
        <v>1164</v>
      </c>
      <c r="AF250" s="4" t="s">
        <v>493</v>
      </c>
    </row>
    <row r="251" spans="1:35" ht="37.5" x14ac:dyDescent="0.25">
      <c r="A251" s="10" t="s">
        <v>1165</v>
      </c>
      <c r="B251" s="10" t="s">
        <v>1121</v>
      </c>
      <c r="C251" s="14" t="s">
        <v>1122</v>
      </c>
      <c r="D251" s="15"/>
      <c r="E251" s="15" t="s">
        <v>1085</v>
      </c>
      <c r="F251" s="15" t="s">
        <v>56</v>
      </c>
      <c r="G251" s="16">
        <v>1</v>
      </c>
      <c r="H251" s="16"/>
      <c r="I251" s="16">
        <v>0.1</v>
      </c>
      <c r="J251" s="17">
        <f>IFERROR(ROUND(SUM(M252,M253,M254)/I251, 2),0)</f>
        <v>81.2</v>
      </c>
      <c r="K251" s="18">
        <v>508</v>
      </c>
      <c r="L251" s="17">
        <f>J251+ROUND(K251, 2)</f>
        <v>589.20000000000005</v>
      </c>
      <c r="M251" s="17">
        <f>ROUND(J251*I251, 2)</f>
        <v>8.1199999999999992</v>
      </c>
      <c r="N251" s="17">
        <f>ROUND(I251*ROUND(K251, 2), 2)</f>
        <v>50.8</v>
      </c>
      <c r="O251" s="17">
        <f>M251+N251</f>
        <v>58.919999999999995</v>
      </c>
      <c r="P251" s="17">
        <f>IFERROR(ROUND(SUM(S252,S253,S254)/I251, 2),0)</f>
        <v>81.2</v>
      </c>
      <c r="Q251" s="19">
        <v>508</v>
      </c>
      <c r="R251" s="17">
        <f>P251+ROUND(Q251, 2)</f>
        <v>589.20000000000005</v>
      </c>
      <c r="S251" s="17">
        <f>ROUND(P251*I251, 2)</f>
        <v>8.1199999999999992</v>
      </c>
      <c r="T251" s="17">
        <f>ROUND(I251*ROUND(Q251, 2), 2)</f>
        <v>50.8</v>
      </c>
      <c r="U251" s="17">
        <f>S251+T251</f>
        <v>58.919999999999995</v>
      </c>
      <c r="V251" s="9">
        <f>ROUND(P251 / 1.2, 2)</f>
        <v>67.67</v>
      </c>
      <c r="W251" s="9">
        <f>ROUND(Q251 / 1.2, 2)</f>
        <v>423.33</v>
      </c>
      <c r="X251" s="9">
        <f>ROUND(R251 / 1.2, 2)</f>
        <v>491</v>
      </c>
      <c r="Y251" s="9">
        <f t="shared" si="11"/>
        <v>6.77</v>
      </c>
      <c r="Z251" s="9">
        <f>ROUND(T251 / 1.2, 2)</f>
        <v>42.33</v>
      </c>
      <c r="AA251" s="9">
        <f>Y251+Z251</f>
        <v>49.099999999999994</v>
      </c>
      <c r="AD251" s="4">
        <v>264030397</v>
      </c>
      <c r="AE251" s="4">
        <v>19916871</v>
      </c>
      <c r="AG251" s="4" t="s">
        <v>1123</v>
      </c>
      <c r="AH251" s="4" t="s">
        <v>1124</v>
      </c>
      <c r="AI251" s="4" t="s">
        <v>249</v>
      </c>
    </row>
    <row r="252" spans="1:35" ht="37.5" x14ac:dyDescent="0.25">
      <c r="A252" s="10" t="s">
        <v>1166</v>
      </c>
      <c r="B252" s="10"/>
      <c r="C252" s="24" t="s">
        <v>490</v>
      </c>
      <c r="D252" s="15"/>
      <c r="E252" s="15"/>
      <c r="F252" s="25" t="s">
        <v>81</v>
      </c>
      <c r="G252" s="26">
        <v>0.15</v>
      </c>
      <c r="H252" s="26"/>
      <c r="I252" s="26">
        <v>1.4999999999999999E-2</v>
      </c>
      <c r="J252" s="28">
        <v>88.8</v>
      </c>
      <c r="M252" s="29">
        <f>ROUND(ROUND(J252, 2)*I252, 2)</f>
        <v>1.33</v>
      </c>
      <c r="P252" s="30">
        <v>88.8</v>
      </c>
      <c r="S252" s="29">
        <f>ROUND(ROUND(P252, 2)*I252, 2)</f>
        <v>1.33</v>
      </c>
      <c r="V252" s="9">
        <f>ROUND(ROUND(P252, 2)/1.2, 2)</f>
        <v>74</v>
      </c>
      <c r="Y252" s="9">
        <f t="shared" si="11"/>
        <v>1.1100000000000001</v>
      </c>
      <c r="AD252" s="4" t="s">
        <v>1167</v>
      </c>
      <c r="AE252" s="4" t="s">
        <v>1168</v>
      </c>
      <c r="AF252" s="4" t="s">
        <v>493</v>
      </c>
    </row>
    <row r="253" spans="1:35" ht="18.75" x14ac:dyDescent="0.25">
      <c r="A253" s="10" t="s">
        <v>1169</v>
      </c>
      <c r="B253" s="10"/>
      <c r="C253" s="24" t="s">
        <v>865</v>
      </c>
      <c r="D253" s="15"/>
      <c r="E253" s="15"/>
      <c r="F253" s="25" t="s">
        <v>103</v>
      </c>
      <c r="G253" s="26">
        <v>0.3</v>
      </c>
      <c r="H253" s="26"/>
      <c r="I253" s="26">
        <v>0.03</v>
      </c>
      <c r="J253" s="28">
        <v>73.099999999999994</v>
      </c>
      <c r="M253" s="29">
        <f>ROUND(ROUND(J253, 2)*I253, 2)</f>
        <v>2.19</v>
      </c>
      <c r="P253" s="30">
        <v>73.099999999999994</v>
      </c>
      <c r="S253" s="29">
        <f>ROUND(ROUND(P253, 2)*I253, 2)</f>
        <v>2.19</v>
      </c>
      <c r="V253" s="9">
        <f>ROUND(ROUND(P253, 2)/1.2, 2)</f>
        <v>60.92</v>
      </c>
      <c r="Y253" s="9">
        <f t="shared" si="11"/>
        <v>1.83</v>
      </c>
      <c r="AD253" s="4" t="s">
        <v>1170</v>
      </c>
      <c r="AE253" s="4" t="s">
        <v>1171</v>
      </c>
      <c r="AF253" s="4" t="s">
        <v>868</v>
      </c>
    </row>
    <row r="254" spans="1:35" ht="56.25" x14ac:dyDescent="0.25">
      <c r="A254" s="10" t="s">
        <v>1172</v>
      </c>
      <c r="B254" s="10"/>
      <c r="C254" s="24" t="s">
        <v>859</v>
      </c>
      <c r="D254" s="15"/>
      <c r="E254" s="15" t="s">
        <v>860</v>
      </c>
      <c r="F254" s="25" t="s">
        <v>81</v>
      </c>
      <c r="G254" s="26">
        <v>2</v>
      </c>
      <c r="H254" s="26"/>
      <c r="I254" s="26">
        <v>0.2</v>
      </c>
      <c r="J254" s="28">
        <v>23</v>
      </c>
      <c r="M254" s="29">
        <f>ROUND(ROUND(J254, 2)*I254, 2)</f>
        <v>4.5999999999999996</v>
      </c>
      <c r="P254" s="30">
        <v>23</v>
      </c>
      <c r="S254" s="29">
        <f>ROUND(ROUND(P254, 2)*I254, 2)</f>
        <v>4.5999999999999996</v>
      </c>
      <c r="V254" s="9">
        <f>ROUND(ROUND(P254, 2)/1.2, 2)</f>
        <v>19.170000000000002</v>
      </c>
      <c r="Y254" s="9">
        <f t="shared" si="11"/>
        <v>3.83</v>
      </c>
      <c r="AD254" s="4" t="s">
        <v>1173</v>
      </c>
      <c r="AE254" s="4" t="s">
        <v>1174</v>
      </c>
      <c r="AF254" s="4" t="s">
        <v>863</v>
      </c>
    </row>
    <row r="255" spans="1:35" ht="75" x14ac:dyDescent="0.25">
      <c r="A255" s="10" t="s">
        <v>1175</v>
      </c>
      <c r="B255" s="10" t="s">
        <v>1176</v>
      </c>
      <c r="C255" s="14" t="s">
        <v>1177</v>
      </c>
      <c r="D255" s="15"/>
      <c r="E255" s="15" t="s">
        <v>76</v>
      </c>
      <c r="F255" s="15" t="s">
        <v>56</v>
      </c>
      <c r="G255" s="16">
        <v>1</v>
      </c>
      <c r="H255" s="16"/>
      <c r="I255" s="16">
        <v>162.13999999999999</v>
      </c>
      <c r="J255" s="17">
        <f>IFERROR(ROUND(SUM(M256,M257,M258,M259)/I255, 2),0)</f>
        <v>333</v>
      </c>
      <c r="K255" s="18">
        <v>873</v>
      </c>
      <c r="L255" s="17">
        <f>J255+ROUND(K255, 2)</f>
        <v>1206</v>
      </c>
      <c r="M255" s="17">
        <f>ROUND(J255*I255, 2)</f>
        <v>53992.62</v>
      </c>
      <c r="N255" s="17">
        <f>ROUND(I255*ROUND(K255, 2), 2)</f>
        <v>141548.22</v>
      </c>
      <c r="O255" s="17">
        <f>M255+N255</f>
        <v>195540.84</v>
      </c>
      <c r="P255" s="17">
        <f>IFERROR(ROUND(SUM(S256,S257,S258,S259)/I255, 2),0)</f>
        <v>333</v>
      </c>
      <c r="Q255" s="19">
        <v>873</v>
      </c>
      <c r="R255" s="17">
        <f>P255+ROUND(Q255, 2)</f>
        <v>1206</v>
      </c>
      <c r="S255" s="17">
        <f>ROUND(P255*I255, 2)</f>
        <v>53992.62</v>
      </c>
      <c r="T255" s="17">
        <f>ROUND(I255*ROUND(Q255, 2), 2)</f>
        <v>141548.22</v>
      </c>
      <c r="U255" s="17">
        <f>S255+T255</f>
        <v>195540.84</v>
      </c>
      <c r="V255" s="9">
        <f>ROUND(P255 / 1.2, 2)</f>
        <v>277.5</v>
      </c>
      <c r="W255" s="9">
        <f>ROUND(Q255 / 1.2, 2)</f>
        <v>727.5</v>
      </c>
      <c r="X255" s="9">
        <f>ROUND(R255 / 1.2, 2)</f>
        <v>1005</v>
      </c>
      <c r="Y255" s="9">
        <f t="shared" si="11"/>
        <v>44993.85</v>
      </c>
      <c r="Z255" s="9">
        <f>ROUND(T255 / 1.2, 2)</f>
        <v>117956.85</v>
      </c>
      <c r="AA255" s="9">
        <f>Y255+Z255</f>
        <v>162950.70000000001</v>
      </c>
      <c r="AD255" s="4">
        <v>264030298</v>
      </c>
      <c r="AE255" s="4">
        <v>18538440</v>
      </c>
      <c r="AG255" s="4" t="s">
        <v>1178</v>
      </c>
      <c r="AH255" s="4" t="s">
        <v>1179</v>
      </c>
      <c r="AI255" s="4" t="s">
        <v>249</v>
      </c>
    </row>
    <row r="256" spans="1:35" ht="37.5" x14ac:dyDescent="0.25">
      <c r="A256" s="10" t="s">
        <v>1180</v>
      </c>
      <c r="B256" s="10"/>
      <c r="C256" s="24" t="s">
        <v>1181</v>
      </c>
      <c r="D256" s="15"/>
      <c r="E256" s="15" t="s">
        <v>1182</v>
      </c>
      <c r="F256" s="25" t="s">
        <v>81</v>
      </c>
      <c r="G256" s="26">
        <v>1.3</v>
      </c>
      <c r="H256" s="27"/>
      <c r="I256" s="27">
        <v>4227.8599999999997</v>
      </c>
      <c r="J256" s="28">
        <v>8.6</v>
      </c>
      <c r="M256" s="29">
        <f>ROUND(ROUND(J256, 2)*I256, 2)</f>
        <v>36359.599999999999</v>
      </c>
      <c r="P256" s="30">
        <v>8.6</v>
      </c>
      <c r="S256" s="29">
        <f>ROUND(ROUND(P256, 2)*I256, 2)</f>
        <v>36359.599999999999</v>
      </c>
      <c r="V256" s="9">
        <f>ROUND(ROUND(P256, 2)/1.2, 2)</f>
        <v>7.17</v>
      </c>
      <c r="Y256" s="9">
        <f t="shared" si="11"/>
        <v>30299.67</v>
      </c>
      <c r="AD256" s="4" t="s">
        <v>1183</v>
      </c>
      <c r="AE256" s="4" t="s">
        <v>1184</v>
      </c>
      <c r="AF256" s="4" t="s">
        <v>1185</v>
      </c>
    </row>
    <row r="257" spans="1:35" ht="37.5" x14ac:dyDescent="0.25">
      <c r="A257" s="10" t="s">
        <v>1186</v>
      </c>
      <c r="B257" s="10"/>
      <c r="C257" s="24" t="s">
        <v>1187</v>
      </c>
      <c r="D257" s="15"/>
      <c r="E257" s="15"/>
      <c r="F257" s="25" t="s">
        <v>56</v>
      </c>
      <c r="G257" s="26">
        <v>1.1000000000000001</v>
      </c>
      <c r="H257" s="26"/>
      <c r="I257" s="26">
        <v>178.35400000000001</v>
      </c>
      <c r="J257" s="28">
        <v>66.150000000000006</v>
      </c>
      <c r="M257" s="29">
        <f>ROUND(ROUND(J257, 2)*I257, 2)</f>
        <v>11798.12</v>
      </c>
      <c r="P257" s="30">
        <v>66.150000000000006</v>
      </c>
      <c r="S257" s="29">
        <f>ROUND(ROUND(P257, 2)*I257, 2)</f>
        <v>11798.12</v>
      </c>
      <c r="V257" s="9">
        <f>ROUND(ROUND(P257, 2)/1.2, 2)</f>
        <v>55.13</v>
      </c>
      <c r="Y257" s="9">
        <f t="shared" si="11"/>
        <v>9831.77</v>
      </c>
      <c r="AD257" s="4" t="s">
        <v>1188</v>
      </c>
      <c r="AE257" s="4" t="s">
        <v>1189</v>
      </c>
      <c r="AF257" s="4" t="s">
        <v>1190</v>
      </c>
    </row>
    <row r="258" spans="1:35" ht="18.75" x14ac:dyDescent="0.25">
      <c r="A258" s="10" t="s">
        <v>1191</v>
      </c>
      <c r="B258" s="10"/>
      <c r="C258" s="24" t="s">
        <v>1192</v>
      </c>
      <c r="D258" s="15"/>
      <c r="E258" s="15"/>
      <c r="F258" s="25" t="s">
        <v>123</v>
      </c>
      <c r="G258" s="26">
        <v>1</v>
      </c>
      <c r="H258" s="27"/>
      <c r="I258" s="27">
        <v>113</v>
      </c>
      <c r="J258" s="28">
        <v>15.76</v>
      </c>
      <c r="M258" s="29">
        <f>ROUND(ROUND(J258, 2)*I258, 2)</f>
        <v>1780.88</v>
      </c>
      <c r="P258" s="30">
        <v>15.76</v>
      </c>
      <c r="S258" s="29">
        <f>ROUND(ROUND(P258, 2)*I258, 2)</f>
        <v>1780.88</v>
      </c>
      <c r="V258" s="9">
        <f>ROUND(ROUND(P258, 2)/1.2, 2)</f>
        <v>13.13</v>
      </c>
      <c r="Y258" s="9">
        <f t="shared" si="11"/>
        <v>1484.07</v>
      </c>
      <c r="AD258" s="4" t="s">
        <v>1193</v>
      </c>
      <c r="AE258" s="4" t="s">
        <v>1194</v>
      </c>
      <c r="AF258" s="4" t="s">
        <v>1195</v>
      </c>
    </row>
    <row r="259" spans="1:35" ht="18.75" x14ac:dyDescent="0.25">
      <c r="A259" s="10" t="s">
        <v>1196</v>
      </c>
      <c r="B259" s="10"/>
      <c r="C259" s="24" t="s">
        <v>313</v>
      </c>
      <c r="D259" s="15"/>
      <c r="E259" s="15"/>
      <c r="F259" s="25" t="s">
        <v>81</v>
      </c>
      <c r="G259" s="26">
        <v>0.25</v>
      </c>
      <c r="H259" s="26"/>
      <c r="I259" s="26">
        <v>40.534999999999997</v>
      </c>
      <c r="J259" s="28">
        <v>100</v>
      </c>
      <c r="M259" s="29">
        <f>ROUND(ROUND(J259, 2)*I259, 2)</f>
        <v>4053.5</v>
      </c>
      <c r="P259" s="30">
        <v>100</v>
      </c>
      <c r="S259" s="29">
        <f>ROUND(ROUND(P259, 2)*I259, 2)</f>
        <v>4053.5</v>
      </c>
      <c r="V259" s="9">
        <f>ROUND(ROUND(P259, 2)/1.2, 2)</f>
        <v>83.33</v>
      </c>
      <c r="Y259" s="9">
        <f t="shared" si="11"/>
        <v>3377.92</v>
      </c>
      <c r="AD259" s="4" t="s">
        <v>1197</v>
      </c>
      <c r="AE259" s="4" t="s">
        <v>1198</v>
      </c>
      <c r="AF259" s="4" t="s">
        <v>316</v>
      </c>
    </row>
    <row r="260" spans="1:35" ht="75" x14ac:dyDescent="0.25">
      <c r="A260" s="10" t="s">
        <v>1199</v>
      </c>
      <c r="B260" s="10" t="s">
        <v>1200</v>
      </c>
      <c r="C260" s="14" t="s">
        <v>1201</v>
      </c>
      <c r="D260" s="15"/>
      <c r="E260" s="15" t="s">
        <v>76</v>
      </c>
      <c r="F260" s="15" t="s">
        <v>56</v>
      </c>
      <c r="G260" s="16">
        <v>1</v>
      </c>
      <c r="H260" s="16"/>
      <c r="I260" s="16">
        <v>123.76</v>
      </c>
      <c r="J260" s="17">
        <f>IFERROR(ROUND(SUM(M261,M262,M263,M264)/I260, 2),0)</f>
        <v>544.24</v>
      </c>
      <c r="K260" s="18">
        <v>1067</v>
      </c>
      <c r="L260" s="17">
        <f>J260+ROUND(K260, 2)</f>
        <v>1611.24</v>
      </c>
      <c r="M260" s="17">
        <f>ROUND(J260*I260, 2)</f>
        <v>67355.14</v>
      </c>
      <c r="N260" s="17">
        <f>ROUND(I260*ROUND(K260, 2), 2)</f>
        <v>132051.92000000001</v>
      </c>
      <c r="O260" s="17">
        <f>M260+N260</f>
        <v>199407.06</v>
      </c>
      <c r="P260" s="17">
        <f>IFERROR(ROUND(SUM(S261,S262,S263,S264)/I260, 2),0)</f>
        <v>544.24</v>
      </c>
      <c r="Q260" s="19">
        <v>1067</v>
      </c>
      <c r="R260" s="17">
        <f>P260+ROUND(Q260, 2)</f>
        <v>1611.24</v>
      </c>
      <c r="S260" s="17">
        <f>ROUND(P260*I260, 2)</f>
        <v>67355.14</v>
      </c>
      <c r="T260" s="17">
        <f>ROUND(I260*ROUND(Q260, 2), 2)</f>
        <v>132051.92000000001</v>
      </c>
      <c r="U260" s="17">
        <f>S260+T260</f>
        <v>199407.06</v>
      </c>
      <c r="V260" s="9">
        <f>ROUND(P260 / 1.2, 2)</f>
        <v>453.53</v>
      </c>
      <c r="W260" s="9">
        <f>ROUND(Q260 / 1.2, 2)</f>
        <v>889.17</v>
      </c>
      <c r="X260" s="9">
        <f>ROUND(R260 / 1.2, 2)</f>
        <v>1342.7</v>
      </c>
      <c r="Y260" s="9">
        <f t="shared" ref="Y260:Y299" si="12">ROUND(S260 / 1.2, 2)</f>
        <v>56129.279999999999</v>
      </c>
      <c r="Z260" s="9">
        <f>ROUND(T260 / 1.2, 2)</f>
        <v>110043.27</v>
      </c>
      <c r="AA260" s="9">
        <f>Y260+Z260</f>
        <v>166172.54999999999</v>
      </c>
      <c r="AD260" s="4">
        <v>264030299</v>
      </c>
      <c r="AE260" s="4">
        <v>18538442</v>
      </c>
      <c r="AG260" s="4" t="s">
        <v>1202</v>
      </c>
      <c r="AH260" s="4" t="s">
        <v>1203</v>
      </c>
      <c r="AI260" s="4" t="s">
        <v>249</v>
      </c>
    </row>
    <row r="261" spans="1:35" ht="37.5" x14ac:dyDescent="0.25">
      <c r="A261" s="10" t="s">
        <v>1204</v>
      </c>
      <c r="B261" s="10"/>
      <c r="C261" s="24" t="s">
        <v>1181</v>
      </c>
      <c r="D261" s="15"/>
      <c r="E261" s="15" t="s">
        <v>1182</v>
      </c>
      <c r="F261" s="25" t="s">
        <v>81</v>
      </c>
      <c r="G261" s="26">
        <v>1.3</v>
      </c>
      <c r="H261" s="27"/>
      <c r="I261" s="27">
        <v>6435.52</v>
      </c>
      <c r="J261" s="28">
        <v>8.6</v>
      </c>
      <c r="M261" s="29">
        <f>ROUND(ROUND(J261, 2)*I261, 2)</f>
        <v>55345.47</v>
      </c>
      <c r="P261" s="30">
        <v>8.6</v>
      </c>
      <c r="S261" s="29">
        <f>ROUND(ROUND(P261, 2)*I261, 2)</f>
        <v>55345.47</v>
      </c>
      <c r="V261" s="9">
        <f>ROUND(ROUND(P261, 2)/1.2, 2)</f>
        <v>7.17</v>
      </c>
      <c r="Y261" s="9">
        <f t="shared" si="12"/>
        <v>46121.23</v>
      </c>
      <c r="AD261" s="4" t="s">
        <v>1205</v>
      </c>
      <c r="AE261" s="4" t="s">
        <v>1206</v>
      </c>
      <c r="AF261" s="4" t="s">
        <v>1185</v>
      </c>
    </row>
    <row r="262" spans="1:35" ht="37.5" x14ac:dyDescent="0.25">
      <c r="A262" s="10" t="s">
        <v>1207</v>
      </c>
      <c r="B262" s="10"/>
      <c r="C262" s="24" t="s">
        <v>1187</v>
      </c>
      <c r="D262" s="15"/>
      <c r="E262" s="15"/>
      <c r="F262" s="25" t="s">
        <v>56</v>
      </c>
      <c r="G262" s="26">
        <v>1.1000000000000001</v>
      </c>
      <c r="H262" s="26"/>
      <c r="I262" s="26">
        <v>136.136</v>
      </c>
      <c r="J262" s="28">
        <v>66.150000000000006</v>
      </c>
      <c r="M262" s="29">
        <f>ROUND(ROUND(J262, 2)*I262, 2)</f>
        <v>9005.4</v>
      </c>
      <c r="P262" s="30">
        <v>66.150000000000006</v>
      </c>
      <c r="S262" s="29">
        <f>ROUND(ROUND(P262, 2)*I262, 2)</f>
        <v>9005.4</v>
      </c>
      <c r="V262" s="9">
        <f>ROUND(ROUND(P262, 2)/1.2, 2)</f>
        <v>55.13</v>
      </c>
      <c r="Y262" s="9">
        <f t="shared" si="12"/>
        <v>7504.5</v>
      </c>
      <c r="AD262" s="4" t="s">
        <v>1208</v>
      </c>
      <c r="AE262" s="4" t="s">
        <v>1209</v>
      </c>
      <c r="AF262" s="4" t="s">
        <v>1190</v>
      </c>
    </row>
    <row r="263" spans="1:35" ht="18.75" x14ac:dyDescent="0.25">
      <c r="A263" s="10" t="s">
        <v>1210</v>
      </c>
      <c r="B263" s="10"/>
      <c r="C263" s="24" t="s">
        <v>1192</v>
      </c>
      <c r="D263" s="15"/>
      <c r="E263" s="15"/>
      <c r="F263" s="25" t="s">
        <v>123</v>
      </c>
      <c r="G263" s="26">
        <v>1</v>
      </c>
      <c r="H263" s="27"/>
      <c r="I263" s="27">
        <v>86</v>
      </c>
      <c r="J263" s="28">
        <v>15.76</v>
      </c>
      <c r="M263" s="29">
        <f>ROUND(ROUND(J263, 2)*I263, 2)</f>
        <v>1355.36</v>
      </c>
      <c r="P263" s="30">
        <v>15.76</v>
      </c>
      <c r="S263" s="29">
        <f>ROUND(ROUND(P263, 2)*I263, 2)</f>
        <v>1355.36</v>
      </c>
      <c r="V263" s="9">
        <f>ROUND(ROUND(P263, 2)/1.2, 2)</f>
        <v>13.13</v>
      </c>
      <c r="Y263" s="9">
        <f t="shared" si="12"/>
        <v>1129.47</v>
      </c>
      <c r="AD263" s="4" t="s">
        <v>1211</v>
      </c>
      <c r="AE263" s="4" t="s">
        <v>1212</v>
      </c>
      <c r="AF263" s="4" t="s">
        <v>1195</v>
      </c>
    </row>
    <row r="264" spans="1:35" ht="37.5" x14ac:dyDescent="0.25">
      <c r="A264" s="10" t="s">
        <v>1213</v>
      </c>
      <c r="B264" s="10"/>
      <c r="C264" s="24" t="s">
        <v>490</v>
      </c>
      <c r="D264" s="15"/>
      <c r="E264" s="15"/>
      <c r="F264" s="25" t="s">
        <v>81</v>
      </c>
      <c r="G264" s="26">
        <v>0.15</v>
      </c>
      <c r="H264" s="26"/>
      <c r="I264" s="26">
        <v>18.564</v>
      </c>
      <c r="J264" s="28">
        <v>88.8</v>
      </c>
      <c r="M264" s="29">
        <f>ROUND(ROUND(J264, 2)*I264, 2)</f>
        <v>1648.48</v>
      </c>
      <c r="P264" s="30">
        <v>88.8</v>
      </c>
      <c r="S264" s="29">
        <f>ROUND(ROUND(P264, 2)*I264, 2)</f>
        <v>1648.48</v>
      </c>
      <c r="V264" s="9">
        <f>ROUND(ROUND(P264, 2)/1.2, 2)</f>
        <v>74</v>
      </c>
      <c r="Y264" s="9">
        <f t="shared" si="12"/>
        <v>1373.73</v>
      </c>
      <c r="AD264" s="4" t="s">
        <v>1214</v>
      </c>
      <c r="AE264" s="4" t="s">
        <v>1215</v>
      </c>
      <c r="AF264" s="4" t="s">
        <v>493</v>
      </c>
    </row>
    <row r="265" spans="1:35" ht="75" x14ac:dyDescent="0.25">
      <c r="A265" s="10" t="s">
        <v>1216</v>
      </c>
      <c r="B265" s="10" t="s">
        <v>1217</v>
      </c>
      <c r="C265" s="14" t="s">
        <v>1218</v>
      </c>
      <c r="D265" s="15"/>
      <c r="E265" s="15" t="s">
        <v>76</v>
      </c>
      <c r="F265" s="15" t="s">
        <v>56</v>
      </c>
      <c r="G265" s="16">
        <v>1</v>
      </c>
      <c r="H265" s="16"/>
      <c r="I265" s="16">
        <v>77.959999999999994</v>
      </c>
      <c r="J265" s="17">
        <f>IFERROR(ROUND(SUM(M266,M267,M268,M269)/I265, 2),0)</f>
        <v>779.68</v>
      </c>
      <c r="K265" s="18">
        <v>1280</v>
      </c>
      <c r="L265" s="17">
        <f>J265+ROUND(K265, 2)</f>
        <v>2059.6799999999998</v>
      </c>
      <c r="M265" s="17">
        <f>ROUND(J265*I265, 2)</f>
        <v>60783.85</v>
      </c>
      <c r="N265" s="17">
        <f>ROUND(I265*ROUND(K265, 2), 2)</f>
        <v>99788.800000000003</v>
      </c>
      <c r="O265" s="17">
        <f>M265+N265</f>
        <v>160572.65</v>
      </c>
      <c r="P265" s="17">
        <f>IFERROR(ROUND(SUM(S266,S267,S268,S269)/I265, 2),0)</f>
        <v>779.68</v>
      </c>
      <c r="Q265" s="19">
        <v>1280</v>
      </c>
      <c r="R265" s="17">
        <f>P265+ROUND(Q265, 2)</f>
        <v>2059.6799999999998</v>
      </c>
      <c r="S265" s="17">
        <f>ROUND(P265*I265, 2)</f>
        <v>60783.85</v>
      </c>
      <c r="T265" s="17">
        <f>ROUND(I265*ROUND(Q265, 2), 2)</f>
        <v>99788.800000000003</v>
      </c>
      <c r="U265" s="17">
        <f>S265+T265</f>
        <v>160572.65</v>
      </c>
      <c r="V265" s="9">
        <f>ROUND(P265 / 1.2, 2)</f>
        <v>649.73</v>
      </c>
      <c r="W265" s="9">
        <f>ROUND(Q265 / 1.2, 2)</f>
        <v>1066.67</v>
      </c>
      <c r="X265" s="9">
        <f>ROUND(R265 / 1.2, 2)</f>
        <v>1716.4</v>
      </c>
      <c r="Y265" s="9">
        <f t="shared" si="12"/>
        <v>50653.21</v>
      </c>
      <c r="Z265" s="9">
        <f>ROUND(T265 / 1.2, 2)</f>
        <v>83157.33</v>
      </c>
      <c r="AA265" s="9">
        <f>Y265+Z265</f>
        <v>133810.54</v>
      </c>
      <c r="AD265" s="4">
        <v>264030300</v>
      </c>
      <c r="AE265" s="4">
        <v>18538439</v>
      </c>
      <c r="AG265" s="4" t="s">
        <v>1219</v>
      </c>
      <c r="AH265" s="4" t="s">
        <v>1220</v>
      </c>
      <c r="AI265" s="4" t="s">
        <v>249</v>
      </c>
    </row>
    <row r="266" spans="1:35" ht="37.5" x14ac:dyDescent="0.25">
      <c r="A266" s="10" t="s">
        <v>1221</v>
      </c>
      <c r="B266" s="10"/>
      <c r="C266" s="24" t="s">
        <v>1181</v>
      </c>
      <c r="D266" s="15"/>
      <c r="E266" s="15" t="s">
        <v>1182</v>
      </c>
      <c r="F266" s="25" t="s">
        <v>81</v>
      </c>
      <c r="G266" s="26">
        <v>1.3</v>
      </c>
      <c r="H266" s="27"/>
      <c r="I266" s="27">
        <v>6080.88</v>
      </c>
      <c r="J266" s="28">
        <v>8.6</v>
      </c>
      <c r="M266" s="29">
        <f>ROUND(ROUND(J266, 2)*I266, 2)</f>
        <v>52295.57</v>
      </c>
      <c r="P266" s="30">
        <v>8.6</v>
      </c>
      <c r="S266" s="29">
        <f>ROUND(ROUND(P266, 2)*I266, 2)</f>
        <v>52295.57</v>
      </c>
      <c r="V266" s="9">
        <f>ROUND(ROUND(P266, 2)/1.2, 2)</f>
        <v>7.17</v>
      </c>
      <c r="Y266" s="9">
        <f t="shared" si="12"/>
        <v>43579.64</v>
      </c>
      <c r="AD266" s="4" t="s">
        <v>1222</v>
      </c>
      <c r="AE266" s="4" t="s">
        <v>1223</v>
      </c>
      <c r="AF266" s="4" t="s">
        <v>1185</v>
      </c>
    </row>
    <row r="267" spans="1:35" ht="37.5" x14ac:dyDescent="0.25">
      <c r="A267" s="10" t="s">
        <v>1224</v>
      </c>
      <c r="B267" s="10"/>
      <c r="C267" s="24" t="s">
        <v>1187</v>
      </c>
      <c r="D267" s="15"/>
      <c r="E267" s="15"/>
      <c r="F267" s="25" t="s">
        <v>56</v>
      </c>
      <c r="G267" s="26">
        <v>1.1000000000000001</v>
      </c>
      <c r="H267" s="26"/>
      <c r="I267" s="26">
        <v>85.756</v>
      </c>
      <c r="J267" s="28">
        <v>66.150000000000006</v>
      </c>
      <c r="M267" s="29">
        <f>ROUND(ROUND(J267, 2)*I267, 2)</f>
        <v>5672.76</v>
      </c>
      <c r="P267" s="30">
        <v>66.150000000000006</v>
      </c>
      <c r="S267" s="29">
        <f>ROUND(ROUND(P267, 2)*I267, 2)</f>
        <v>5672.76</v>
      </c>
      <c r="V267" s="9">
        <f>ROUND(ROUND(P267, 2)/1.2, 2)</f>
        <v>55.13</v>
      </c>
      <c r="Y267" s="9">
        <f t="shared" si="12"/>
        <v>4727.3</v>
      </c>
      <c r="AD267" s="4" t="s">
        <v>1225</v>
      </c>
      <c r="AE267" s="4" t="s">
        <v>1226</v>
      </c>
      <c r="AF267" s="4" t="s">
        <v>1190</v>
      </c>
    </row>
    <row r="268" spans="1:35" ht="18.75" x14ac:dyDescent="0.25">
      <c r="A268" s="10" t="s">
        <v>1227</v>
      </c>
      <c r="B268" s="10"/>
      <c r="C268" s="24" t="s">
        <v>1192</v>
      </c>
      <c r="D268" s="15"/>
      <c r="E268" s="15"/>
      <c r="F268" s="25" t="s">
        <v>123</v>
      </c>
      <c r="G268" s="26">
        <v>1</v>
      </c>
      <c r="H268" s="27"/>
      <c r="I268" s="27">
        <v>55</v>
      </c>
      <c r="J268" s="28">
        <v>15.76</v>
      </c>
      <c r="M268" s="29">
        <f>ROUND(ROUND(J268, 2)*I268, 2)</f>
        <v>866.8</v>
      </c>
      <c r="P268" s="30">
        <v>15.76</v>
      </c>
      <c r="S268" s="29">
        <f>ROUND(ROUND(P268, 2)*I268, 2)</f>
        <v>866.8</v>
      </c>
      <c r="V268" s="9">
        <f>ROUND(ROUND(P268, 2)/1.2, 2)</f>
        <v>13.13</v>
      </c>
      <c r="Y268" s="9">
        <f t="shared" si="12"/>
        <v>722.33</v>
      </c>
      <c r="AD268" s="4" t="s">
        <v>1228</v>
      </c>
      <c r="AE268" s="4" t="s">
        <v>1229</v>
      </c>
      <c r="AF268" s="4" t="s">
        <v>1195</v>
      </c>
    </row>
    <row r="269" spans="1:35" ht="18.75" x14ac:dyDescent="0.25">
      <c r="A269" s="10" t="s">
        <v>1230</v>
      </c>
      <c r="B269" s="10"/>
      <c r="C269" s="24" t="s">
        <v>313</v>
      </c>
      <c r="D269" s="15"/>
      <c r="E269" s="15"/>
      <c r="F269" s="25" t="s">
        <v>81</v>
      </c>
      <c r="G269" s="26">
        <v>0.25</v>
      </c>
      <c r="H269" s="26"/>
      <c r="I269" s="26">
        <v>19.489999999999998</v>
      </c>
      <c r="J269" s="28">
        <v>100</v>
      </c>
      <c r="M269" s="29">
        <f>ROUND(ROUND(J269, 2)*I269, 2)</f>
        <v>1949</v>
      </c>
      <c r="P269" s="30">
        <v>100</v>
      </c>
      <c r="S269" s="29">
        <f>ROUND(ROUND(P269, 2)*I269, 2)</f>
        <v>1949</v>
      </c>
      <c r="V269" s="9">
        <f>ROUND(ROUND(P269, 2)/1.2, 2)</f>
        <v>83.33</v>
      </c>
      <c r="Y269" s="9">
        <f t="shared" si="12"/>
        <v>1624.17</v>
      </c>
      <c r="AD269" s="4" t="s">
        <v>1231</v>
      </c>
      <c r="AE269" s="4" t="s">
        <v>1232</v>
      </c>
      <c r="AF269" s="4" t="s">
        <v>316</v>
      </c>
    </row>
    <row r="270" spans="1:35" ht="75" x14ac:dyDescent="0.25">
      <c r="A270" s="10" t="s">
        <v>1233</v>
      </c>
      <c r="B270" s="10" t="s">
        <v>1234</v>
      </c>
      <c r="C270" s="14" t="s">
        <v>1235</v>
      </c>
      <c r="D270" s="15" t="s">
        <v>1236</v>
      </c>
      <c r="E270" s="15" t="s">
        <v>76</v>
      </c>
      <c r="F270" s="15" t="s">
        <v>56</v>
      </c>
      <c r="G270" s="16">
        <v>1</v>
      </c>
      <c r="H270" s="16"/>
      <c r="I270" s="16">
        <v>164.02</v>
      </c>
      <c r="J270" s="17">
        <f>IFERROR(ROUND(SUM(M271,M272,M273,M274)/I270, 2),0)</f>
        <v>333.66</v>
      </c>
      <c r="K270" s="18">
        <v>954</v>
      </c>
      <c r="L270" s="17">
        <f>J270+ROUND(K270, 2)</f>
        <v>1287.6600000000001</v>
      </c>
      <c r="M270" s="17">
        <f>ROUND(J270*I270, 2)</f>
        <v>54726.91</v>
      </c>
      <c r="N270" s="17">
        <f>ROUND(I270*ROUND(K270, 2), 2)</f>
        <v>156475.07999999999</v>
      </c>
      <c r="O270" s="17">
        <f>M270+N270</f>
        <v>211201.99</v>
      </c>
      <c r="P270" s="17">
        <f>IFERROR(ROUND(SUM(S271,S272,S273,S274)/I270, 2),0)</f>
        <v>333.66</v>
      </c>
      <c r="Q270" s="19">
        <v>954</v>
      </c>
      <c r="R270" s="17">
        <f>P270+ROUND(Q270, 2)</f>
        <v>1287.6600000000001</v>
      </c>
      <c r="S270" s="17">
        <f>ROUND(P270*I270, 2)</f>
        <v>54726.91</v>
      </c>
      <c r="T270" s="17">
        <f>ROUND(I270*ROUND(Q270, 2), 2)</f>
        <v>156475.07999999999</v>
      </c>
      <c r="U270" s="17">
        <f>S270+T270</f>
        <v>211201.99</v>
      </c>
      <c r="V270" s="9">
        <f>ROUND(P270 / 1.2, 2)</f>
        <v>278.05</v>
      </c>
      <c r="W270" s="9">
        <f>ROUND(Q270 / 1.2, 2)</f>
        <v>795</v>
      </c>
      <c r="X270" s="9">
        <f>ROUND(R270 / 1.2, 2)</f>
        <v>1073.05</v>
      </c>
      <c r="Y270" s="9">
        <f t="shared" si="12"/>
        <v>45605.760000000002</v>
      </c>
      <c r="Z270" s="9">
        <f>ROUND(T270 / 1.2, 2)</f>
        <v>130395.9</v>
      </c>
      <c r="AA270" s="9">
        <f>Y270+Z270</f>
        <v>176001.66</v>
      </c>
      <c r="AD270" s="4">
        <v>264030301</v>
      </c>
      <c r="AE270" s="4">
        <v>18538441</v>
      </c>
      <c r="AG270" s="4" t="s">
        <v>1237</v>
      </c>
      <c r="AH270" s="4" t="s">
        <v>1238</v>
      </c>
      <c r="AI270" s="4" t="s">
        <v>249</v>
      </c>
    </row>
    <row r="271" spans="1:35" ht="37.5" x14ac:dyDescent="0.25">
      <c r="A271" s="10" t="s">
        <v>1239</v>
      </c>
      <c r="B271" s="10"/>
      <c r="C271" s="24" t="s">
        <v>1181</v>
      </c>
      <c r="D271" s="15"/>
      <c r="E271" s="15" t="s">
        <v>1182</v>
      </c>
      <c r="F271" s="25" t="s">
        <v>81</v>
      </c>
      <c r="G271" s="26">
        <v>1.3</v>
      </c>
      <c r="H271" s="27"/>
      <c r="I271" s="27">
        <v>4264.5200000000004</v>
      </c>
      <c r="J271" s="28">
        <v>8.6</v>
      </c>
      <c r="M271" s="29">
        <f>ROUND(ROUND(J271, 2)*I271, 2)</f>
        <v>36674.870000000003</v>
      </c>
      <c r="P271" s="30">
        <v>8.6</v>
      </c>
      <c r="S271" s="29">
        <f>ROUND(ROUND(P271, 2)*I271, 2)</f>
        <v>36674.870000000003</v>
      </c>
      <c r="V271" s="9">
        <f>ROUND(ROUND(P271, 2)/1.2, 2)</f>
        <v>7.17</v>
      </c>
      <c r="Y271" s="9">
        <f t="shared" si="12"/>
        <v>30562.39</v>
      </c>
      <c r="AD271" s="4" t="s">
        <v>1240</v>
      </c>
      <c r="AE271" s="4" t="s">
        <v>1241</v>
      </c>
      <c r="AF271" s="4" t="s">
        <v>1185</v>
      </c>
    </row>
    <row r="272" spans="1:35" ht="37.5" x14ac:dyDescent="0.25">
      <c r="A272" s="10" t="s">
        <v>1242</v>
      </c>
      <c r="B272" s="10"/>
      <c r="C272" s="24" t="s">
        <v>1187</v>
      </c>
      <c r="D272" s="15"/>
      <c r="E272" s="15"/>
      <c r="F272" s="25" t="s">
        <v>56</v>
      </c>
      <c r="G272" s="26">
        <v>1.1000000000000001</v>
      </c>
      <c r="H272" s="26"/>
      <c r="I272" s="26">
        <v>180.422</v>
      </c>
      <c r="J272" s="28">
        <v>66.150000000000006</v>
      </c>
      <c r="M272" s="29">
        <f>ROUND(ROUND(J272, 2)*I272, 2)</f>
        <v>11934.92</v>
      </c>
      <c r="P272" s="30">
        <v>66.150000000000006</v>
      </c>
      <c r="S272" s="29">
        <f>ROUND(ROUND(P272, 2)*I272, 2)</f>
        <v>11934.92</v>
      </c>
      <c r="V272" s="9">
        <f>ROUND(ROUND(P272, 2)/1.2, 2)</f>
        <v>55.13</v>
      </c>
      <c r="Y272" s="9">
        <f t="shared" si="12"/>
        <v>9945.77</v>
      </c>
      <c r="AD272" s="4" t="s">
        <v>1243</v>
      </c>
      <c r="AE272" s="4" t="s">
        <v>1244</v>
      </c>
      <c r="AF272" s="4" t="s">
        <v>1190</v>
      </c>
    </row>
    <row r="273" spans="1:35" ht="18.75" x14ac:dyDescent="0.25">
      <c r="A273" s="10" t="s">
        <v>1245</v>
      </c>
      <c r="B273" s="10"/>
      <c r="C273" s="24" t="s">
        <v>1192</v>
      </c>
      <c r="D273" s="15"/>
      <c r="E273" s="15"/>
      <c r="F273" s="25" t="s">
        <v>123</v>
      </c>
      <c r="G273" s="26">
        <v>1</v>
      </c>
      <c r="H273" s="27"/>
      <c r="I273" s="27">
        <v>128</v>
      </c>
      <c r="J273" s="28">
        <v>15.76</v>
      </c>
      <c r="M273" s="29">
        <f>ROUND(ROUND(J273, 2)*I273, 2)</f>
        <v>2017.28</v>
      </c>
      <c r="P273" s="30">
        <v>15.76</v>
      </c>
      <c r="S273" s="29">
        <f>ROUND(ROUND(P273, 2)*I273, 2)</f>
        <v>2017.28</v>
      </c>
      <c r="V273" s="9">
        <f>ROUND(ROUND(P273, 2)/1.2, 2)</f>
        <v>13.13</v>
      </c>
      <c r="Y273" s="9">
        <f t="shared" si="12"/>
        <v>1681.07</v>
      </c>
      <c r="AD273" s="4" t="s">
        <v>1246</v>
      </c>
      <c r="AE273" s="4" t="s">
        <v>1247</v>
      </c>
      <c r="AF273" s="4" t="s">
        <v>1195</v>
      </c>
    </row>
    <row r="274" spans="1:35" ht="18.75" x14ac:dyDescent="0.25">
      <c r="A274" s="10" t="s">
        <v>1248</v>
      </c>
      <c r="B274" s="10"/>
      <c r="C274" s="24" t="s">
        <v>313</v>
      </c>
      <c r="D274" s="15"/>
      <c r="E274" s="15"/>
      <c r="F274" s="25" t="s">
        <v>81</v>
      </c>
      <c r="G274" s="26">
        <v>0.25</v>
      </c>
      <c r="H274" s="26"/>
      <c r="I274" s="26">
        <v>41.005000000000003</v>
      </c>
      <c r="J274" s="28">
        <v>100</v>
      </c>
      <c r="M274" s="29">
        <f>ROUND(ROUND(J274, 2)*I274, 2)</f>
        <v>4100.5</v>
      </c>
      <c r="P274" s="30">
        <v>100</v>
      </c>
      <c r="S274" s="29">
        <f>ROUND(ROUND(P274, 2)*I274, 2)</f>
        <v>4100.5</v>
      </c>
      <c r="V274" s="9">
        <f>ROUND(ROUND(P274, 2)/1.2, 2)</f>
        <v>83.33</v>
      </c>
      <c r="Y274" s="9">
        <f t="shared" si="12"/>
        <v>3417.08</v>
      </c>
      <c r="AD274" s="4" t="s">
        <v>1249</v>
      </c>
      <c r="AE274" s="4" t="s">
        <v>1250</v>
      </c>
      <c r="AF274" s="4" t="s">
        <v>316</v>
      </c>
    </row>
    <row r="275" spans="1:35" ht="75" x14ac:dyDescent="0.25">
      <c r="A275" s="10" t="s">
        <v>1251</v>
      </c>
      <c r="B275" s="10" t="s">
        <v>1252</v>
      </c>
      <c r="C275" s="14" t="s">
        <v>1253</v>
      </c>
      <c r="D275" s="15" t="s">
        <v>1236</v>
      </c>
      <c r="E275" s="15" t="s">
        <v>76</v>
      </c>
      <c r="F275" s="15" t="s">
        <v>56</v>
      </c>
      <c r="G275" s="16">
        <v>1</v>
      </c>
      <c r="H275" s="16"/>
      <c r="I275" s="16">
        <v>88.3</v>
      </c>
      <c r="J275" s="17">
        <f>IFERROR(ROUND(SUM(M276,M277,M278,M279)/I275, 2),0)</f>
        <v>545.6</v>
      </c>
      <c r="K275" s="18">
        <v>1165</v>
      </c>
      <c r="L275" s="17">
        <f>J275+ROUND(K275, 2)</f>
        <v>1710.6</v>
      </c>
      <c r="M275" s="17">
        <f>ROUND(J275*I275, 2)</f>
        <v>48176.480000000003</v>
      </c>
      <c r="N275" s="17">
        <f>ROUND(I275*ROUND(K275, 2), 2)</f>
        <v>102869.5</v>
      </c>
      <c r="O275" s="17">
        <f>M275+N275</f>
        <v>151045.98000000001</v>
      </c>
      <c r="P275" s="17">
        <f>IFERROR(ROUND(SUM(S276,S277,S278,S279)/I275, 2),0)</f>
        <v>545.6</v>
      </c>
      <c r="Q275" s="19">
        <v>1165</v>
      </c>
      <c r="R275" s="17">
        <f>P275+ROUND(Q275, 2)</f>
        <v>1710.6</v>
      </c>
      <c r="S275" s="17">
        <f>ROUND(P275*I275, 2)</f>
        <v>48176.480000000003</v>
      </c>
      <c r="T275" s="17">
        <f>ROUND(I275*ROUND(Q275, 2), 2)</f>
        <v>102869.5</v>
      </c>
      <c r="U275" s="17">
        <f>S275+T275</f>
        <v>151045.98000000001</v>
      </c>
      <c r="V275" s="9">
        <f>ROUND(P275 / 1.2, 2)</f>
        <v>454.67</v>
      </c>
      <c r="W275" s="9">
        <f>ROUND(Q275 / 1.2, 2)</f>
        <v>970.83</v>
      </c>
      <c r="X275" s="9">
        <f>ROUND(R275 / 1.2, 2)</f>
        <v>1425.5</v>
      </c>
      <c r="Y275" s="9">
        <f t="shared" si="12"/>
        <v>40147.07</v>
      </c>
      <c r="Z275" s="9">
        <f>ROUND(T275 / 1.2, 2)</f>
        <v>85724.58</v>
      </c>
      <c r="AA275" s="9">
        <f>Y275+Z275</f>
        <v>125871.65</v>
      </c>
      <c r="AD275" s="4">
        <v>264030302</v>
      </c>
      <c r="AE275" s="4">
        <v>18538438</v>
      </c>
      <c r="AG275" s="4" t="s">
        <v>1254</v>
      </c>
      <c r="AH275" s="4" t="s">
        <v>1255</v>
      </c>
      <c r="AI275" s="4" t="s">
        <v>249</v>
      </c>
    </row>
    <row r="276" spans="1:35" ht="37.5" x14ac:dyDescent="0.25">
      <c r="A276" s="10" t="s">
        <v>1256</v>
      </c>
      <c r="B276" s="10"/>
      <c r="C276" s="24" t="s">
        <v>1181</v>
      </c>
      <c r="D276" s="15"/>
      <c r="E276" s="15" t="s">
        <v>1182</v>
      </c>
      <c r="F276" s="25" t="s">
        <v>81</v>
      </c>
      <c r="G276" s="26">
        <v>1.3</v>
      </c>
      <c r="H276" s="27"/>
      <c r="I276" s="27">
        <v>4591.6000000000004</v>
      </c>
      <c r="J276" s="28">
        <v>8.6</v>
      </c>
      <c r="M276" s="29">
        <f>ROUND(ROUND(J276, 2)*I276, 2)</f>
        <v>39487.760000000002</v>
      </c>
      <c r="P276" s="30">
        <v>8.6</v>
      </c>
      <c r="S276" s="29">
        <f>ROUND(ROUND(P276, 2)*I276, 2)</f>
        <v>39487.760000000002</v>
      </c>
      <c r="V276" s="9">
        <f>ROUND(ROUND(P276, 2)/1.2, 2)</f>
        <v>7.17</v>
      </c>
      <c r="Y276" s="9">
        <f t="shared" si="12"/>
        <v>32906.47</v>
      </c>
      <c r="AD276" s="4" t="s">
        <v>1257</v>
      </c>
      <c r="AE276" s="4" t="s">
        <v>1258</v>
      </c>
      <c r="AF276" s="4" t="s">
        <v>1185</v>
      </c>
    </row>
    <row r="277" spans="1:35" ht="37.5" x14ac:dyDescent="0.25">
      <c r="A277" s="10" t="s">
        <v>1259</v>
      </c>
      <c r="B277" s="10"/>
      <c r="C277" s="24" t="s">
        <v>1187</v>
      </c>
      <c r="D277" s="15"/>
      <c r="E277" s="15"/>
      <c r="F277" s="25" t="s">
        <v>56</v>
      </c>
      <c r="G277" s="26">
        <v>1.1000000000000001</v>
      </c>
      <c r="H277" s="26"/>
      <c r="I277" s="26">
        <v>97.13</v>
      </c>
      <c r="J277" s="28">
        <v>66.150000000000006</v>
      </c>
      <c r="M277" s="29">
        <f>ROUND(ROUND(J277, 2)*I277, 2)</f>
        <v>6425.15</v>
      </c>
      <c r="P277" s="30">
        <v>66.150000000000006</v>
      </c>
      <c r="S277" s="29">
        <f>ROUND(ROUND(P277, 2)*I277, 2)</f>
        <v>6425.15</v>
      </c>
      <c r="V277" s="9">
        <f>ROUND(ROUND(P277, 2)/1.2, 2)</f>
        <v>55.13</v>
      </c>
      <c r="Y277" s="9">
        <f t="shared" si="12"/>
        <v>5354.29</v>
      </c>
      <c r="AD277" s="4" t="s">
        <v>1260</v>
      </c>
      <c r="AE277" s="4" t="s">
        <v>1261</v>
      </c>
      <c r="AF277" s="4" t="s">
        <v>1190</v>
      </c>
    </row>
    <row r="278" spans="1:35" ht="18.75" x14ac:dyDescent="0.25">
      <c r="A278" s="10" t="s">
        <v>1262</v>
      </c>
      <c r="B278" s="10"/>
      <c r="C278" s="24" t="s">
        <v>1192</v>
      </c>
      <c r="D278" s="15"/>
      <c r="E278" s="15"/>
      <c r="F278" s="25" t="s">
        <v>123</v>
      </c>
      <c r="G278" s="26">
        <v>1</v>
      </c>
      <c r="H278" s="27"/>
      <c r="I278" s="27">
        <v>69</v>
      </c>
      <c r="J278" s="28">
        <v>15.76</v>
      </c>
      <c r="M278" s="29">
        <f>ROUND(ROUND(J278, 2)*I278, 2)</f>
        <v>1087.44</v>
      </c>
      <c r="P278" s="30">
        <v>15.76</v>
      </c>
      <c r="S278" s="29">
        <f>ROUND(ROUND(P278, 2)*I278, 2)</f>
        <v>1087.44</v>
      </c>
      <c r="V278" s="9">
        <f>ROUND(ROUND(P278, 2)/1.2, 2)</f>
        <v>13.13</v>
      </c>
      <c r="Y278" s="9">
        <f t="shared" si="12"/>
        <v>906.2</v>
      </c>
      <c r="AD278" s="4" t="s">
        <v>1263</v>
      </c>
      <c r="AE278" s="4" t="s">
        <v>1264</v>
      </c>
      <c r="AF278" s="4" t="s">
        <v>1195</v>
      </c>
    </row>
    <row r="279" spans="1:35" ht="37.5" x14ac:dyDescent="0.25">
      <c r="A279" s="10" t="s">
        <v>1265</v>
      </c>
      <c r="B279" s="10"/>
      <c r="C279" s="24" t="s">
        <v>490</v>
      </c>
      <c r="D279" s="15"/>
      <c r="E279" s="15"/>
      <c r="F279" s="25" t="s">
        <v>81</v>
      </c>
      <c r="G279" s="26">
        <v>0.15</v>
      </c>
      <c r="H279" s="26"/>
      <c r="I279" s="26">
        <v>13.244999999999999</v>
      </c>
      <c r="J279" s="28">
        <v>88.8</v>
      </c>
      <c r="M279" s="29">
        <f>ROUND(ROUND(J279, 2)*I279, 2)</f>
        <v>1176.1600000000001</v>
      </c>
      <c r="P279" s="30">
        <v>88.8</v>
      </c>
      <c r="S279" s="29">
        <f>ROUND(ROUND(P279, 2)*I279, 2)</f>
        <v>1176.1600000000001</v>
      </c>
      <c r="V279" s="9">
        <f>ROUND(ROUND(P279, 2)/1.2, 2)</f>
        <v>74</v>
      </c>
      <c r="Y279" s="9">
        <f t="shared" si="12"/>
        <v>980.13</v>
      </c>
      <c r="AD279" s="4" t="s">
        <v>1266</v>
      </c>
      <c r="AE279" s="4" t="s">
        <v>1267</v>
      </c>
      <c r="AF279" s="4" t="s">
        <v>493</v>
      </c>
    </row>
    <row r="280" spans="1:35" ht="75" x14ac:dyDescent="0.25">
      <c r="A280" s="10" t="s">
        <v>1268</v>
      </c>
      <c r="B280" s="10" t="s">
        <v>1269</v>
      </c>
      <c r="C280" s="14" t="s">
        <v>1270</v>
      </c>
      <c r="D280" s="15" t="s">
        <v>1236</v>
      </c>
      <c r="E280" s="15" t="s">
        <v>76</v>
      </c>
      <c r="F280" s="15" t="s">
        <v>56</v>
      </c>
      <c r="G280" s="16">
        <v>1</v>
      </c>
      <c r="H280" s="16"/>
      <c r="I280" s="16">
        <v>46.38</v>
      </c>
      <c r="J280" s="17">
        <f>IFERROR(ROUND(SUM(M281,M282,M283,M284)/I280, 2),0)</f>
        <v>780.8</v>
      </c>
      <c r="K280" s="18">
        <v>1398</v>
      </c>
      <c r="L280" s="17">
        <f>J280+ROUND(K280, 2)</f>
        <v>2178.8000000000002</v>
      </c>
      <c r="M280" s="17">
        <f>ROUND(J280*I280, 2)</f>
        <v>36213.5</v>
      </c>
      <c r="N280" s="17">
        <f>ROUND(I280*ROUND(K280, 2), 2)</f>
        <v>64839.24</v>
      </c>
      <c r="O280" s="17">
        <f>M280+N280</f>
        <v>101052.73999999999</v>
      </c>
      <c r="P280" s="17">
        <f>IFERROR(ROUND(SUM(S281,S282,S283,S284)/I280, 2),0)</f>
        <v>780.8</v>
      </c>
      <c r="Q280" s="19">
        <v>1398</v>
      </c>
      <c r="R280" s="17">
        <f>P280+ROUND(Q280, 2)</f>
        <v>2178.8000000000002</v>
      </c>
      <c r="S280" s="17">
        <f>ROUND(P280*I280, 2)</f>
        <v>36213.5</v>
      </c>
      <c r="T280" s="17">
        <f>ROUND(I280*ROUND(Q280, 2), 2)</f>
        <v>64839.24</v>
      </c>
      <c r="U280" s="17">
        <f>S280+T280</f>
        <v>101052.73999999999</v>
      </c>
      <c r="V280" s="9">
        <f>ROUND(P280 / 1.2, 2)</f>
        <v>650.66999999999996</v>
      </c>
      <c r="W280" s="9">
        <f>ROUND(Q280 / 1.2, 2)</f>
        <v>1165</v>
      </c>
      <c r="X280" s="9">
        <f>ROUND(R280 / 1.2, 2)</f>
        <v>1815.67</v>
      </c>
      <c r="Y280" s="9">
        <f t="shared" si="12"/>
        <v>30177.919999999998</v>
      </c>
      <c r="Z280" s="9">
        <f>ROUND(T280 / 1.2, 2)</f>
        <v>54032.7</v>
      </c>
      <c r="AA280" s="9">
        <f>Y280+Z280</f>
        <v>84210.62</v>
      </c>
      <c r="AD280" s="4">
        <v>264030303</v>
      </c>
      <c r="AE280" s="4">
        <v>18539039</v>
      </c>
      <c r="AG280" s="4" t="s">
        <v>1271</v>
      </c>
      <c r="AH280" s="4" t="s">
        <v>1272</v>
      </c>
      <c r="AI280" s="4" t="s">
        <v>249</v>
      </c>
    </row>
    <row r="281" spans="1:35" ht="37.5" x14ac:dyDescent="0.25">
      <c r="A281" s="10" t="s">
        <v>1273</v>
      </c>
      <c r="B281" s="10"/>
      <c r="C281" s="24" t="s">
        <v>1181</v>
      </c>
      <c r="D281" s="15"/>
      <c r="E281" s="15" t="s">
        <v>1182</v>
      </c>
      <c r="F281" s="25" t="s">
        <v>81</v>
      </c>
      <c r="G281" s="26">
        <v>1.3</v>
      </c>
      <c r="H281" s="27"/>
      <c r="I281" s="27">
        <v>3617.64</v>
      </c>
      <c r="J281" s="28">
        <v>8.6</v>
      </c>
      <c r="M281" s="29">
        <f>ROUND(ROUND(J281, 2)*I281, 2)</f>
        <v>31111.7</v>
      </c>
      <c r="P281" s="30">
        <v>8.6</v>
      </c>
      <c r="S281" s="29">
        <f>ROUND(ROUND(P281, 2)*I281, 2)</f>
        <v>31111.7</v>
      </c>
      <c r="V281" s="9">
        <f>ROUND(ROUND(P281, 2)/1.2, 2)</f>
        <v>7.17</v>
      </c>
      <c r="Y281" s="9">
        <f t="shared" si="12"/>
        <v>25926.42</v>
      </c>
      <c r="AD281" s="4" t="s">
        <v>1274</v>
      </c>
      <c r="AE281" s="4" t="s">
        <v>1275</v>
      </c>
      <c r="AF281" s="4" t="s">
        <v>1185</v>
      </c>
    </row>
    <row r="282" spans="1:35" ht="37.5" x14ac:dyDescent="0.25">
      <c r="A282" s="10" t="s">
        <v>1276</v>
      </c>
      <c r="B282" s="10"/>
      <c r="C282" s="24" t="s">
        <v>1187</v>
      </c>
      <c r="D282" s="15"/>
      <c r="E282" s="15"/>
      <c r="F282" s="25" t="s">
        <v>56</v>
      </c>
      <c r="G282" s="26">
        <v>1.1000000000000001</v>
      </c>
      <c r="H282" s="26"/>
      <c r="I282" s="26">
        <v>51.018000000000001</v>
      </c>
      <c r="J282" s="28">
        <v>66.150000000000006</v>
      </c>
      <c r="M282" s="29">
        <f>ROUND(ROUND(J282, 2)*I282, 2)</f>
        <v>3374.84</v>
      </c>
      <c r="P282" s="30">
        <v>66.150000000000006</v>
      </c>
      <c r="S282" s="29">
        <f>ROUND(ROUND(P282, 2)*I282, 2)</f>
        <v>3374.84</v>
      </c>
      <c r="V282" s="9">
        <f>ROUND(ROUND(P282, 2)/1.2, 2)</f>
        <v>55.13</v>
      </c>
      <c r="Y282" s="9">
        <f t="shared" si="12"/>
        <v>2812.37</v>
      </c>
      <c r="AD282" s="4" t="s">
        <v>1277</v>
      </c>
      <c r="AE282" s="4" t="s">
        <v>1278</v>
      </c>
      <c r="AF282" s="4" t="s">
        <v>1190</v>
      </c>
    </row>
    <row r="283" spans="1:35" ht="18.75" x14ac:dyDescent="0.25">
      <c r="A283" s="10" t="s">
        <v>1279</v>
      </c>
      <c r="B283" s="10"/>
      <c r="C283" s="24" t="s">
        <v>1192</v>
      </c>
      <c r="D283" s="15"/>
      <c r="E283" s="15"/>
      <c r="F283" s="25" t="s">
        <v>123</v>
      </c>
      <c r="G283" s="26">
        <v>1</v>
      </c>
      <c r="H283" s="27"/>
      <c r="I283" s="27">
        <v>36</v>
      </c>
      <c r="J283" s="28">
        <v>15.76</v>
      </c>
      <c r="M283" s="29">
        <f>ROUND(ROUND(J283, 2)*I283, 2)</f>
        <v>567.36</v>
      </c>
      <c r="P283" s="30">
        <v>15.76</v>
      </c>
      <c r="S283" s="29">
        <f>ROUND(ROUND(P283, 2)*I283, 2)</f>
        <v>567.36</v>
      </c>
      <c r="V283" s="9">
        <f>ROUND(ROUND(P283, 2)/1.2, 2)</f>
        <v>13.13</v>
      </c>
      <c r="Y283" s="9">
        <f t="shared" si="12"/>
        <v>472.8</v>
      </c>
      <c r="AD283" s="4" t="s">
        <v>1280</v>
      </c>
      <c r="AE283" s="4" t="s">
        <v>1281</v>
      </c>
      <c r="AF283" s="4" t="s">
        <v>1195</v>
      </c>
    </row>
    <row r="284" spans="1:35" ht="18.75" x14ac:dyDescent="0.25">
      <c r="A284" s="10" t="s">
        <v>1282</v>
      </c>
      <c r="B284" s="10"/>
      <c r="C284" s="24" t="s">
        <v>313</v>
      </c>
      <c r="D284" s="15"/>
      <c r="E284" s="15"/>
      <c r="F284" s="25" t="s">
        <v>81</v>
      </c>
      <c r="G284" s="26">
        <v>0.25</v>
      </c>
      <c r="H284" s="26"/>
      <c r="I284" s="26">
        <v>11.595000000000001</v>
      </c>
      <c r="J284" s="28">
        <v>100</v>
      </c>
      <c r="M284" s="29">
        <f>ROUND(ROUND(J284, 2)*I284, 2)</f>
        <v>1159.5</v>
      </c>
      <c r="P284" s="30">
        <v>100</v>
      </c>
      <c r="S284" s="29">
        <f>ROUND(ROUND(P284, 2)*I284, 2)</f>
        <v>1159.5</v>
      </c>
      <c r="V284" s="9">
        <f>ROUND(ROUND(P284, 2)/1.2, 2)</f>
        <v>83.33</v>
      </c>
      <c r="Y284" s="9">
        <f t="shared" si="12"/>
        <v>966.25</v>
      </c>
      <c r="AD284" s="4" t="s">
        <v>1283</v>
      </c>
      <c r="AE284" s="4" t="s">
        <v>1284</v>
      </c>
      <c r="AF284" s="4" t="s">
        <v>316</v>
      </c>
    </row>
    <row r="285" spans="1:35" ht="75" x14ac:dyDescent="0.25">
      <c r="A285" s="10" t="s">
        <v>1285</v>
      </c>
      <c r="B285" s="10" t="s">
        <v>1286</v>
      </c>
      <c r="C285" s="14" t="s">
        <v>1287</v>
      </c>
      <c r="D285" s="15" t="s">
        <v>1236</v>
      </c>
      <c r="E285" s="15" t="s">
        <v>76</v>
      </c>
      <c r="F285" s="15" t="s">
        <v>56</v>
      </c>
      <c r="G285" s="16">
        <v>1</v>
      </c>
      <c r="H285" s="16"/>
      <c r="I285" s="16">
        <v>246.63</v>
      </c>
      <c r="J285" s="17">
        <f>IFERROR(ROUND(SUM(M286,M287,M288,M289)/I285, 2),0)</f>
        <v>331.72</v>
      </c>
      <c r="K285" s="18">
        <v>1074</v>
      </c>
      <c r="L285" s="17">
        <f>J285+ROUND(K285, 2)</f>
        <v>1405.72</v>
      </c>
      <c r="M285" s="17">
        <f>ROUND(J285*I285, 2)</f>
        <v>81812.100000000006</v>
      </c>
      <c r="N285" s="17">
        <f>ROUND(I285*ROUND(K285, 2), 2)</f>
        <v>264880.62</v>
      </c>
      <c r="O285" s="17">
        <f>M285+N285</f>
        <v>346692.72</v>
      </c>
      <c r="P285" s="17">
        <f>IFERROR(ROUND(SUM(S286,S287,S288,S289)/I285, 2),0)</f>
        <v>331.72</v>
      </c>
      <c r="Q285" s="19">
        <v>1074</v>
      </c>
      <c r="R285" s="17">
        <f>P285+ROUND(Q285, 2)</f>
        <v>1405.72</v>
      </c>
      <c r="S285" s="17">
        <f>ROUND(P285*I285, 2)</f>
        <v>81812.100000000006</v>
      </c>
      <c r="T285" s="17">
        <f>ROUND(I285*ROUND(Q285, 2), 2)</f>
        <v>264880.62</v>
      </c>
      <c r="U285" s="17">
        <f>S285+T285</f>
        <v>346692.72</v>
      </c>
      <c r="V285" s="9">
        <f>ROUND(P285 / 1.2, 2)</f>
        <v>276.43</v>
      </c>
      <c r="W285" s="9">
        <f>ROUND(Q285 / 1.2, 2)</f>
        <v>895</v>
      </c>
      <c r="X285" s="9">
        <f>ROUND(R285 / 1.2, 2)</f>
        <v>1171.43</v>
      </c>
      <c r="Y285" s="9">
        <f t="shared" si="12"/>
        <v>68176.75</v>
      </c>
      <c r="Z285" s="9">
        <f>ROUND(T285 / 1.2, 2)</f>
        <v>220733.85</v>
      </c>
      <c r="AA285" s="9">
        <f>Y285+Z285</f>
        <v>288910.59999999998</v>
      </c>
      <c r="AD285" s="4">
        <v>264030304</v>
      </c>
      <c r="AE285" s="4">
        <v>18539040</v>
      </c>
      <c r="AG285" s="4" t="s">
        <v>1288</v>
      </c>
      <c r="AH285" s="4" t="s">
        <v>1289</v>
      </c>
      <c r="AI285" s="4" t="s">
        <v>249</v>
      </c>
    </row>
    <row r="286" spans="1:35" ht="37.5" x14ac:dyDescent="0.25">
      <c r="A286" s="10" t="s">
        <v>1290</v>
      </c>
      <c r="B286" s="10"/>
      <c r="C286" s="24" t="s">
        <v>1181</v>
      </c>
      <c r="D286" s="15"/>
      <c r="E286" s="15" t="s">
        <v>1182</v>
      </c>
      <c r="F286" s="25" t="s">
        <v>81</v>
      </c>
      <c r="G286" s="26">
        <v>1.3</v>
      </c>
      <c r="H286" s="27"/>
      <c r="I286" s="27">
        <v>6412.38</v>
      </c>
      <c r="J286" s="28">
        <v>8.6</v>
      </c>
      <c r="M286" s="29">
        <f>ROUND(ROUND(J286, 2)*I286, 2)</f>
        <v>55146.47</v>
      </c>
      <c r="P286" s="30">
        <v>8.6</v>
      </c>
      <c r="S286" s="29">
        <f>ROUND(ROUND(P286, 2)*I286, 2)</f>
        <v>55146.47</v>
      </c>
      <c r="V286" s="9">
        <f>ROUND(ROUND(P286, 2)/1.2, 2)</f>
        <v>7.17</v>
      </c>
      <c r="Y286" s="9">
        <f t="shared" si="12"/>
        <v>45955.39</v>
      </c>
      <c r="AD286" s="4" t="s">
        <v>1291</v>
      </c>
      <c r="AE286" s="4" t="s">
        <v>1292</v>
      </c>
      <c r="AF286" s="4" t="s">
        <v>1185</v>
      </c>
    </row>
    <row r="287" spans="1:35" ht="37.5" x14ac:dyDescent="0.25">
      <c r="A287" s="10" t="s">
        <v>1293</v>
      </c>
      <c r="B287" s="10"/>
      <c r="C287" s="24" t="s">
        <v>1187</v>
      </c>
      <c r="D287" s="15"/>
      <c r="E287" s="15"/>
      <c r="F287" s="25" t="s">
        <v>56</v>
      </c>
      <c r="G287" s="26">
        <v>1.1000000000000001</v>
      </c>
      <c r="H287" s="26"/>
      <c r="I287" s="26">
        <v>271.29300000000001</v>
      </c>
      <c r="J287" s="28">
        <v>66.150000000000006</v>
      </c>
      <c r="M287" s="29">
        <f>ROUND(ROUND(J287, 2)*I287, 2)</f>
        <v>17946.03</v>
      </c>
      <c r="P287" s="30">
        <v>66.150000000000006</v>
      </c>
      <c r="S287" s="29">
        <f>ROUND(ROUND(P287, 2)*I287, 2)</f>
        <v>17946.03</v>
      </c>
      <c r="V287" s="9">
        <f>ROUND(ROUND(P287, 2)/1.2, 2)</f>
        <v>55.13</v>
      </c>
      <c r="Y287" s="9">
        <f t="shared" si="12"/>
        <v>14955.03</v>
      </c>
      <c r="AD287" s="4" t="s">
        <v>1294</v>
      </c>
      <c r="AE287" s="4" t="s">
        <v>1295</v>
      </c>
      <c r="AF287" s="4" t="s">
        <v>1190</v>
      </c>
    </row>
    <row r="288" spans="1:35" ht="18.75" x14ac:dyDescent="0.25">
      <c r="A288" s="10" t="s">
        <v>1296</v>
      </c>
      <c r="B288" s="10"/>
      <c r="C288" s="24" t="s">
        <v>1192</v>
      </c>
      <c r="D288" s="15"/>
      <c r="E288" s="15"/>
      <c r="F288" s="25" t="s">
        <v>123</v>
      </c>
      <c r="G288" s="26">
        <v>1</v>
      </c>
      <c r="H288" s="27"/>
      <c r="I288" s="27">
        <v>162</v>
      </c>
      <c r="J288" s="28">
        <v>15.76</v>
      </c>
      <c r="M288" s="29">
        <f>ROUND(ROUND(J288, 2)*I288, 2)</f>
        <v>2553.12</v>
      </c>
      <c r="P288" s="30">
        <v>15.76</v>
      </c>
      <c r="S288" s="29">
        <f>ROUND(ROUND(P288, 2)*I288, 2)</f>
        <v>2553.12</v>
      </c>
      <c r="V288" s="9">
        <f>ROUND(ROUND(P288, 2)/1.2, 2)</f>
        <v>13.13</v>
      </c>
      <c r="Y288" s="9">
        <f t="shared" si="12"/>
        <v>2127.6</v>
      </c>
      <c r="AD288" s="4" t="s">
        <v>1297</v>
      </c>
      <c r="AE288" s="4" t="s">
        <v>1298</v>
      </c>
      <c r="AF288" s="4" t="s">
        <v>1195</v>
      </c>
    </row>
    <row r="289" spans="1:35" ht="18.75" x14ac:dyDescent="0.25">
      <c r="A289" s="10" t="s">
        <v>1299</v>
      </c>
      <c r="B289" s="10"/>
      <c r="C289" s="24" t="s">
        <v>313</v>
      </c>
      <c r="D289" s="15"/>
      <c r="E289" s="15"/>
      <c r="F289" s="25" t="s">
        <v>81</v>
      </c>
      <c r="G289" s="26">
        <v>0.25</v>
      </c>
      <c r="H289" s="26"/>
      <c r="I289" s="26">
        <v>61.658000000000001</v>
      </c>
      <c r="J289" s="28">
        <v>100</v>
      </c>
      <c r="M289" s="29">
        <f>ROUND(ROUND(J289, 2)*I289, 2)</f>
        <v>6165.8</v>
      </c>
      <c r="P289" s="30">
        <v>100</v>
      </c>
      <c r="S289" s="29">
        <f>ROUND(ROUND(P289, 2)*I289, 2)</f>
        <v>6165.8</v>
      </c>
      <c r="V289" s="9">
        <f>ROUND(ROUND(P289, 2)/1.2, 2)</f>
        <v>83.33</v>
      </c>
      <c r="Y289" s="9">
        <f t="shared" si="12"/>
        <v>5138.17</v>
      </c>
      <c r="AD289" s="4" t="s">
        <v>1300</v>
      </c>
      <c r="AE289" s="4" t="s">
        <v>1301</v>
      </c>
      <c r="AF289" s="4" t="s">
        <v>316</v>
      </c>
    </row>
    <row r="290" spans="1:35" ht="75" x14ac:dyDescent="0.25">
      <c r="A290" s="10" t="s">
        <v>1302</v>
      </c>
      <c r="B290" s="10" t="s">
        <v>1303</v>
      </c>
      <c r="C290" s="14" t="s">
        <v>1304</v>
      </c>
      <c r="D290" s="15" t="s">
        <v>1236</v>
      </c>
      <c r="E290" s="15" t="s">
        <v>76</v>
      </c>
      <c r="F290" s="15" t="s">
        <v>56</v>
      </c>
      <c r="G290" s="16">
        <v>1</v>
      </c>
      <c r="H290" s="16"/>
      <c r="I290" s="16">
        <v>88.82</v>
      </c>
      <c r="J290" s="17">
        <f>IFERROR(ROUND(SUM(M291,M292,M293,M294)/I290, 2),0)</f>
        <v>543.75</v>
      </c>
      <c r="K290" s="18">
        <v>1312</v>
      </c>
      <c r="L290" s="17">
        <f>J290+ROUND(K290, 2)</f>
        <v>1855.75</v>
      </c>
      <c r="M290" s="17">
        <f>ROUND(J290*I290, 2)</f>
        <v>48295.88</v>
      </c>
      <c r="N290" s="17">
        <f>ROUND(I290*ROUND(K290, 2), 2)</f>
        <v>116531.84</v>
      </c>
      <c r="O290" s="17">
        <f>M290+N290</f>
        <v>164827.72</v>
      </c>
      <c r="P290" s="17">
        <f>IFERROR(ROUND(SUM(S291,S292,S293,S294)/I290, 2),0)</f>
        <v>543.75</v>
      </c>
      <c r="Q290" s="19">
        <v>1312</v>
      </c>
      <c r="R290" s="17">
        <f>P290+ROUND(Q290, 2)</f>
        <v>1855.75</v>
      </c>
      <c r="S290" s="17">
        <f>ROUND(P290*I290, 2)</f>
        <v>48295.88</v>
      </c>
      <c r="T290" s="17">
        <f>ROUND(I290*ROUND(Q290, 2), 2)</f>
        <v>116531.84</v>
      </c>
      <c r="U290" s="17">
        <f>S290+T290</f>
        <v>164827.72</v>
      </c>
      <c r="V290" s="9">
        <f>ROUND(P290 / 1.2, 2)</f>
        <v>453.13</v>
      </c>
      <c r="W290" s="9">
        <f>ROUND(Q290 / 1.2, 2)</f>
        <v>1093.33</v>
      </c>
      <c r="X290" s="9">
        <f>ROUND(R290 / 1.2, 2)</f>
        <v>1546.46</v>
      </c>
      <c r="Y290" s="9">
        <f t="shared" si="12"/>
        <v>40246.57</v>
      </c>
      <c r="Z290" s="9">
        <f>ROUND(T290 / 1.2, 2)</f>
        <v>97109.87</v>
      </c>
      <c r="AA290" s="9">
        <f>Y290+Z290</f>
        <v>137356.44</v>
      </c>
      <c r="AD290" s="4">
        <v>264030305</v>
      </c>
      <c r="AE290" s="4">
        <v>18539041</v>
      </c>
      <c r="AG290" s="4" t="s">
        <v>1305</v>
      </c>
      <c r="AH290" s="4" t="s">
        <v>1306</v>
      </c>
      <c r="AI290" s="4" t="s">
        <v>249</v>
      </c>
    </row>
    <row r="291" spans="1:35" ht="37.5" x14ac:dyDescent="0.25">
      <c r="A291" s="10" t="s">
        <v>1307</v>
      </c>
      <c r="B291" s="10"/>
      <c r="C291" s="24" t="s">
        <v>1181</v>
      </c>
      <c r="D291" s="15"/>
      <c r="E291" s="15" t="s">
        <v>1182</v>
      </c>
      <c r="F291" s="25" t="s">
        <v>81</v>
      </c>
      <c r="G291" s="26">
        <v>1.3</v>
      </c>
      <c r="H291" s="27"/>
      <c r="I291" s="27">
        <v>4618.6400000000003</v>
      </c>
      <c r="J291" s="28">
        <v>8.6</v>
      </c>
      <c r="M291" s="29">
        <f>ROUND(ROUND(J291, 2)*I291, 2)</f>
        <v>39720.300000000003</v>
      </c>
      <c r="P291" s="30">
        <v>8.6</v>
      </c>
      <c r="S291" s="29">
        <f>ROUND(ROUND(P291, 2)*I291, 2)</f>
        <v>39720.300000000003</v>
      </c>
      <c r="V291" s="9">
        <f>ROUND(ROUND(P291, 2)/1.2, 2)</f>
        <v>7.17</v>
      </c>
      <c r="Y291" s="9">
        <f t="shared" si="12"/>
        <v>33100.25</v>
      </c>
      <c r="AD291" s="4" t="s">
        <v>1308</v>
      </c>
      <c r="AE291" s="4" t="s">
        <v>1309</v>
      </c>
      <c r="AF291" s="4" t="s">
        <v>1185</v>
      </c>
    </row>
    <row r="292" spans="1:35" ht="37.5" x14ac:dyDescent="0.25">
      <c r="A292" s="10" t="s">
        <v>1310</v>
      </c>
      <c r="B292" s="10"/>
      <c r="C292" s="24" t="s">
        <v>490</v>
      </c>
      <c r="D292" s="15"/>
      <c r="E292" s="15"/>
      <c r="F292" s="25" t="s">
        <v>81</v>
      </c>
      <c r="G292" s="26">
        <v>0.15</v>
      </c>
      <c r="H292" s="26"/>
      <c r="I292" s="26">
        <v>13.323</v>
      </c>
      <c r="J292" s="28">
        <v>88.8</v>
      </c>
      <c r="M292" s="29">
        <f>ROUND(ROUND(J292, 2)*I292, 2)</f>
        <v>1183.08</v>
      </c>
      <c r="P292" s="30">
        <v>88.8</v>
      </c>
      <c r="S292" s="29">
        <f>ROUND(ROUND(P292, 2)*I292, 2)</f>
        <v>1183.08</v>
      </c>
      <c r="V292" s="9">
        <f>ROUND(ROUND(P292, 2)/1.2, 2)</f>
        <v>74</v>
      </c>
      <c r="Y292" s="9">
        <f t="shared" si="12"/>
        <v>985.9</v>
      </c>
      <c r="AD292" s="4" t="s">
        <v>1311</v>
      </c>
      <c r="AE292" s="4" t="s">
        <v>1312</v>
      </c>
      <c r="AF292" s="4" t="s">
        <v>493</v>
      </c>
    </row>
    <row r="293" spans="1:35" ht="37.5" x14ac:dyDescent="0.25">
      <c r="A293" s="10" t="s">
        <v>1313</v>
      </c>
      <c r="B293" s="10"/>
      <c r="C293" s="24" t="s">
        <v>1187</v>
      </c>
      <c r="D293" s="15"/>
      <c r="E293" s="15"/>
      <c r="F293" s="25" t="s">
        <v>56</v>
      </c>
      <c r="G293" s="26">
        <v>1.1000000000000001</v>
      </c>
      <c r="H293" s="26"/>
      <c r="I293" s="26">
        <v>97.701999999999998</v>
      </c>
      <c r="J293" s="28">
        <v>66.150000000000006</v>
      </c>
      <c r="M293" s="29">
        <f>ROUND(ROUND(J293, 2)*I293, 2)</f>
        <v>6462.99</v>
      </c>
      <c r="P293" s="30">
        <v>66.150000000000006</v>
      </c>
      <c r="S293" s="29">
        <f>ROUND(ROUND(P293, 2)*I293, 2)</f>
        <v>6462.99</v>
      </c>
      <c r="V293" s="9">
        <f>ROUND(ROUND(P293, 2)/1.2, 2)</f>
        <v>55.13</v>
      </c>
      <c r="Y293" s="9">
        <f t="shared" si="12"/>
        <v>5385.83</v>
      </c>
      <c r="AD293" s="4" t="s">
        <v>1314</v>
      </c>
      <c r="AE293" s="4" t="s">
        <v>1315</v>
      </c>
      <c r="AF293" s="4" t="s">
        <v>1190</v>
      </c>
    </row>
    <row r="294" spans="1:35" ht="18.75" x14ac:dyDescent="0.25">
      <c r="A294" s="10" t="s">
        <v>1316</v>
      </c>
      <c r="B294" s="10"/>
      <c r="C294" s="24" t="s">
        <v>1192</v>
      </c>
      <c r="D294" s="15"/>
      <c r="E294" s="15"/>
      <c r="F294" s="25" t="s">
        <v>123</v>
      </c>
      <c r="G294" s="26">
        <v>1</v>
      </c>
      <c r="H294" s="27"/>
      <c r="I294" s="27">
        <v>59</v>
      </c>
      <c r="J294" s="28">
        <v>15.76</v>
      </c>
      <c r="M294" s="29">
        <f>ROUND(ROUND(J294, 2)*I294, 2)</f>
        <v>929.84</v>
      </c>
      <c r="P294" s="30">
        <v>15.76</v>
      </c>
      <c r="S294" s="29">
        <f>ROUND(ROUND(P294, 2)*I294, 2)</f>
        <v>929.84</v>
      </c>
      <c r="V294" s="9">
        <f>ROUND(ROUND(P294, 2)/1.2, 2)</f>
        <v>13.13</v>
      </c>
      <c r="Y294" s="9">
        <f t="shared" si="12"/>
        <v>774.87</v>
      </c>
      <c r="AD294" s="4" t="s">
        <v>1317</v>
      </c>
      <c r="AE294" s="4" t="s">
        <v>1318</v>
      </c>
      <c r="AF294" s="4" t="s">
        <v>1195</v>
      </c>
    </row>
    <row r="295" spans="1:35" ht="75" x14ac:dyDescent="0.25">
      <c r="A295" s="10" t="s">
        <v>1319</v>
      </c>
      <c r="B295" s="10" t="s">
        <v>1320</v>
      </c>
      <c r="C295" s="14" t="s">
        <v>1321</v>
      </c>
      <c r="D295" s="15" t="s">
        <v>1236</v>
      </c>
      <c r="E295" s="15" t="s">
        <v>76</v>
      </c>
      <c r="F295" s="15" t="s">
        <v>56</v>
      </c>
      <c r="G295" s="16">
        <v>1</v>
      </c>
      <c r="H295" s="16"/>
      <c r="I295" s="16">
        <v>17.54</v>
      </c>
      <c r="J295" s="17">
        <f>IFERROR(ROUND(SUM(M296,M297,M298,M299)/I295, 2),0)</f>
        <v>779.35</v>
      </c>
      <c r="K295" s="18">
        <v>1574</v>
      </c>
      <c r="L295" s="17">
        <f>J295+ROUND(K295, 2)</f>
        <v>2353.35</v>
      </c>
      <c r="M295" s="17">
        <f>ROUND(J295*I295, 2)</f>
        <v>13669.8</v>
      </c>
      <c r="N295" s="17">
        <f>ROUND(I295*ROUND(K295, 2), 2)</f>
        <v>27607.96</v>
      </c>
      <c r="O295" s="17">
        <f>M295+N295</f>
        <v>41277.759999999995</v>
      </c>
      <c r="P295" s="17">
        <f>IFERROR(ROUND(SUM(S296,S297,S298,S299)/I295, 2),0)</f>
        <v>779.35</v>
      </c>
      <c r="Q295" s="19">
        <v>1574</v>
      </c>
      <c r="R295" s="17">
        <f>P295+ROUND(Q295, 2)</f>
        <v>2353.35</v>
      </c>
      <c r="S295" s="17">
        <f>ROUND(P295*I295, 2)</f>
        <v>13669.8</v>
      </c>
      <c r="T295" s="17">
        <f>ROUND(I295*ROUND(Q295, 2), 2)</f>
        <v>27607.96</v>
      </c>
      <c r="U295" s="17">
        <f>S295+T295</f>
        <v>41277.759999999995</v>
      </c>
      <c r="V295" s="9">
        <f>ROUND(P295 / 1.2, 2)</f>
        <v>649.46</v>
      </c>
      <c r="W295" s="9">
        <f>ROUND(Q295 / 1.2, 2)</f>
        <v>1311.67</v>
      </c>
      <c r="X295" s="9">
        <f>ROUND(R295 / 1.2, 2)</f>
        <v>1961.13</v>
      </c>
      <c r="Y295" s="9">
        <f t="shared" si="12"/>
        <v>11391.5</v>
      </c>
      <c r="Z295" s="9">
        <f>ROUND(T295 / 1.2, 2)</f>
        <v>23006.63</v>
      </c>
      <c r="AA295" s="9">
        <f>Y295+Z295</f>
        <v>34398.130000000005</v>
      </c>
      <c r="AD295" s="4">
        <v>264030306</v>
      </c>
      <c r="AE295" s="4">
        <v>18539042</v>
      </c>
      <c r="AG295" s="4" t="s">
        <v>1322</v>
      </c>
      <c r="AH295" s="4" t="s">
        <v>1323</v>
      </c>
      <c r="AI295" s="4" t="s">
        <v>249</v>
      </c>
    </row>
    <row r="296" spans="1:35" ht="18.75" x14ac:dyDescent="0.25">
      <c r="A296" s="10" t="s">
        <v>1324</v>
      </c>
      <c r="B296" s="10"/>
      <c r="C296" s="24" t="s">
        <v>1192</v>
      </c>
      <c r="D296" s="15"/>
      <c r="E296" s="15"/>
      <c r="F296" s="25" t="s">
        <v>123</v>
      </c>
      <c r="G296" s="26">
        <v>1</v>
      </c>
      <c r="H296" s="27"/>
      <c r="I296" s="27">
        <v>12</v>
      </c>
      <c r="J296" s="28">
        <v>15.76</v>
      </c>
      <c r="M296" s="29">
        <f>ROUND(ROUND(J296, 2)*I296, 2)</f>
        <v>189.12</v>
      </c>
      <c r="P296" s="30">
        <v>15.76</v>
      </c>
      <c r="S296" s="29">
        <f>ROUND(ROUND(P296, 2)*I296, 2)</f>
        <v>189.12</v>
      </c>
      <c r="V296" s="9">
        <f>ROUND(ROUND(P296, 2)/1.2, 2)</f>
        <v>13.13</v>
      </c>
      <c r="Y296" s="9">
        <f t="shared" si="12"/>
        <v>157.6</v>
      </c>
      <c r="AD296" s="4" t="s">
        <v>1325</v>
      </c>
      <c r="AE296" s="4" t="s">
        <v>1326</v>
      </c>
      <c r="AF296" s="4" t="s">
        <v>1195</v>
      </c>
    </row>
    <row r="297" spans="1:35" ht="18.75" x14ac:dyDescent="0.25">
      <c r="A297" s="10" t="s">
        <v>1327</v>
      </c>
      <c r="B297" s="10"/>
      <c r="C297" s="24" t="s">
        <v>313</v>
      </c>
      <c r="D297" s="15"/>
      <c r="E297" s="15"/>
      <c r="F297" s="25" t="s">
        <v>81</v>
      </c>
      <c r="G297" s="26">
        <v>0.25</v>
      </c>
      <c r="H297" s="26"/>
      <c r="I297" s="26">
        <v>4.3849999999999998</v>
      </c>
      <c r="J297" s="28">
        <v>100</v>
      </c>
      <c r="M297" s="29">
        <f>ROUND(ROUND(J297, 2)*I297, 2)</f>
        <v>438.5</v>
      </c>
      <c r="P297" s="30">
        <v>100</v>
      </c>
      <c r="S297" s="29">
        <f>ROUND(ROUND(P297, 2)*I297, 2)</f>
        <v>438.5</v>
      </c>
      <c r="V297" s="9">
        <f>ROUND(ROUND(P297, 2)/1.2, 2)</f>
        <v>83.33</v>
      </c>
      <c r="Y297" s="9">
        <f t="shared" si="12"/>
        <v>365.42</v>
      </c>
      <c r="AD297" s="4" t="s">
        <v>1328</v>
      </c>
      <c r="AE297" s="4" t="s">
        <v>1329</v>
      </c>
      <c r="AF297" s="4" t="s">
        <v>316</v>
      </c>
    </row>
    <row r="298" spans="1:35" ht="37.5" x14ac:dyDescent="0.25">
      <c r="A298" s="10" t="s">
        <v>1330</v>
      </c>
      <c r="B298" s="10"/>
      <c r="C298" s="24" t="s">
        <v>1181</v>
      </c>
      <c r="D298" s="15"/>
      <c r="E298" s="15" t="s">
        <v>1182</v>
      </c>
      <c r="F298" s="25" t="s">
        <v>81</v>
      </c>
      <c r="G298" s="26">
        <v>1.3</v>
      </c>
      <c r="H298" s="27"/>
      <c r="I298" s="27">
        <v>1368.12</v>
      </c>
      <c r="J298" s="28">
        <v>8.6</v>
      </c>
      <c r="M298" s="29">
        <f>ROUND(ROUND(J298, 2)*I298, 2)</f>
        <v>11765.83</v>
      </c>
      <c r="P298" s="30">
        <v>8.6</v>
      </c>
      <c r="S298" s="29">
        <f>ROUND(ROUND(P298, 2)*I298, 2)</f>
        <v>11765.83</v>
      </c>
      <c r="V298" s="9">
        <f>ROUND(ROUND(P298, 2)/1.2, 2)</f>
        <v>7.17</v>
      </c>
      <c r="Y298" s="9">
        <f t="shared" si="12"/>
        <v>9804.86</v>
      </c>
      <c r="AD298" s="4" t="s">
        <v>1331</v>
      </c>
      <c r="AE298" s="4" t="s">
        <v>1332</v>
      </c>
      <c r="AF298" s="4" t="s">
        <v>1185</v>
      </c>
    </row>
    <row r="299" spans="1:35" ht="37.5" x14ac:dyDescent="0.25">
      <c r="A299" s="10" t="s">
        <v>1333</v>
      </c>
      <c r="B299" s="10"/>
      <c r="C299" s="24" t="s">
        <v>1187</v>
      </c>
      <c r="D299" s="15"/>
      <c r="E299" s="15"/>
      <c r="F299" s="25" t="s">
        <v>56</v>
      </c>
      <c r="G299" s="26">
        <v>1.1000000000000001</v>
      </c>
      <c r="H299" s="26"/>
      <c r="I299" s="26">
        <v>19.294</v>
      </c>
      <c r="J299" s="28">
        <v>66.150000000000006</v>
      </c>
      <c r="M299" s="29">
        <f>ROUND(ROUND(J299, 2)*I299, 2)</f>
        <v>1276.3</v>
      </c>
      <c r="P299" s="30">
        <v>66.150000000000006</v>
      </c>
      <c r="S299" s="29">
        <f>ROUND(ROUND(P299, 2)*I299, 2)</f>
        <v>1276.3</v>
      </c>
      <c r="V299" s="9">
        <f>ROUND(ROUND(P299, 2)/1.2, 2)</f>
        <v>55.13</v>
      </c>
      <c r="Y299" s="9">
        <f t="shared" si="12"/>
        <v>1063.58</v>
      </c>
      <c r="AD299" s="4" t="s">
        <v>1334</v>
      </c>
      <c r="AE299" s="4" t="s">
        <v>1335</v>
      </c>
      <c r="AF299" s="4" t="s">
        <v>1190</v>
      </c>
    </row>
    <row r="300" spans="1:35" ht="17.100000000000001" customHeight="1" x14ac:dyDescent="0.25">
      <c r="A300" s="10" t="s">
        <v>1336</v>
      </c>
      <c r="B300" s="10" t="s">
        <v>1337</v>
      </c>
      <c r="C300" s="116" t="s">
        <v>1338</v>
      </c>
      <c r="D300" s="117"/>
      <c r="E300" s="117"/>
      <c r="F300" s="117"/>
      <c r="G300" s="117"/>
      <c r="H300" s="117"/>
      <c r="I300" s="118"/>
      <c r="M300" s="6">
        <f>SUM(M301,M304,M307,M310,M313)</f>
        <v>236942.68000000002</v>
      </c>
      <c r="N300" s="6">
        <f>SUM(N301,N304,N307,N310,N313)</f>
        <v>1839496.86</v>
      </c>
      <c r="O300" s="6">
        <f>SUM(O301,O304,O307,O310,O313)</f>
        <v>2076439.54</v>
      </c>
      <c r="S300" s="6">
        <f>SUM(S301,S304,S307,S310,S313)</f>
        <v>236942.68000000002</v>
      </c>
      <c r="T300" s="6">
        <f>SUM(T301,T304,T307,T310,T313)</f>
        <v>1839496.86</v>
      </c>
      <c r="U300" s="6">
        <f>SUM(U301,U304,U307,U310,U313)</f>
        <v>2076439.54</v>
      </c>
      <c r="Y300" s="9">
        <f>SUM(Y301,Y304,Y307,Y310,Y313)</f>
        <v>197452.24</v>
      </c>
      <c r="Z300" s="9">
        <f>SUM(Z301,Z304,Z307,Z310,Z313)</f>
        <v>1532914.04</v>
      </c>
      <c r="AA300" s="9">
        <f>SUM(AA301,AA304,AA307,AA310,AA313)</f>
        <v>1730366.28</v>
      </c>
      <c r="AD300" s="4">
        <v>264030307</v>
      </c>
      <c r="AE300" s="4">
        <v>16076860</v>
      </c>
    </row>
    <row r="301" spans="1:35" ht="37.5" x14ac:dyDescent="0.25">
      <c r="A301" s="10" t="s">
        <v>1339</v>
      </c>
      <c r="B301" s="10" t="s">
        <v>1340</v>
      </c>
      <c r="C301" s="14" t="s">
        <v>1341</v>
      </c>
      <c r="D301" s="15"/>
      <c r="E301" s="15" t="s">
        <v>1342</v>
      </c>
      <c r="F301" s="15" t="s">
        <v>56</v>
      </c>
      <c r="G301" s="16">
        <v>1</v>
      </c>
      <c r="H301" s="16"/>
      <c r="I301" s="16">
        <v>754.1</v>
      </c>
      <c r="J301" s="17">
        <f>IFERROR(ROUND(SUM(M302,M303)/I301, 2),0)</f>
        <v>18.329999999999998</v>
      </c>
      <c r="K301" s="18">
        <v>251</v>
      </c>
      <c r="L301" s="17">
        <f>J301+ROUND(K301, 2)</f>
        <v>269.33</v>
      </c>
      <c r="M301" s="17">
        <f>ROUND(J301*I301, 2)</f>
        <v>13822.65</v>
      </c>
      <c r="N301" s="17">
        <f>ROUND(I301*ROUND(K301, 2), 2)</f>
        <v>189279.1</v>
      </c>
      <c r="O301" s="17">
        <f>M301+N301</f>
        <v>203101.75</v>
      </c>
      <c r="P301" s="17">
        <f>IFERROR(ROUND(SUM(S302,S303)/I301, 2),0)</f>
        <v>18.329999999999998</v>
      </c>
      <c r="Q301" s="18">
        <v>251</v>
      </c>
      <c r="R301" s="17">
        <f>P301+ROUND(Q301, 2)</f>
        <v>269.33</v>
      </c>
      <c r="S301" s="17">
        <f>ROUND(P301*I301, 2)</f>
        <v>13822.65</v>
      </c>
      <c r="T301" s="17">
        <f>ROUND(I301*ROUND(Q301, 2), 2)</f>
        <v>189279.1</v>
      </c>
      <c r="U301" s="17">
        <f>S301+T301</f>
        <v>203101.75</v>
      </c>
      <c r="V301" s="9">
        <f>ROUND(P301 / 1.2, 2)</f>
        <v>15.28</v>
      </c>
      <c r="W301" s="9">
        <f>ROUND(Q301 / 1.2, 2)</f>
        <v>209.17</v>
      </c>
      <c r="X301" s="9">
        <f>ROUND(R301 / 1.2, 2)</f>
        <v>224.44</v>
      </c>
      <c r="Y301" s="9">
        <f>ROUND(S301 / 1.2, 2)</f>
        <v>11518.88</v>
      </c>
      <c r="Z301" s="9">
        <f>ROUND(T301 / 1.2, 2)</f>
        <v>157732.57999999999</v>
      </c>
      <c r="AA301" s="9">
        <f>Y301+Z301</f>
        <v>169251.46</v>
      </c>
      <c r="AD301" s="4">
        <v>264030309</v>
      </c>
      <c r="AE301" s="4">
        <v>16076863</v>
      </c>
      <c r="AG301" s="4" t="s">
        <v>1343</v>
      </c>
      <c r="AH301" s="4" t="s">
        <v>1344</v>
      </c>
      <c r="AI301" s="4" t="s">
        <v>249</v>
      </c>
    </row>
    <row r="302" spans="1:35" ht="37.5" x14ac:dyDescent="0.25">
      <c r="A302" s="10" t="s">
        <v>1345</v>
      </c>
      <c r="B302" s="10"/>
      <c r="C302" s="24" t="s">
        <v>726</v>
      </c>
      <c r="D302" s="15"/>
      <c r="E302" s="15"/>
      <c r="F302" s="25" t="s">
        <v>81</v>
      </c>
      <c r="G302" s="26">
        <v>0.15</v>
      </c>
      <c r="H302" s="26"/>
      <c r="I302" s="26">
        <v>113.11499999999999</v>
      </c>
      <c r="J302" s="28">
        <v>80</v>
      </c>
      <c r="M302" s="29">
        <f>ROUND(ROUND(J302, 2)*I302, 2)</f>
        <v>9049.2000000000007</v>
      </c>
      <c r="P302" s="28">
        <v>80</v>
      </c>
      <c r="S302" s="29">
        <f>ROUND(ROUND(P302, 2)*I302, 2)</f>
        <v>9049.2000000000007</v>
      </c>
      <c r="V302" s="9">
        <f>ROUND(ROUND(P302, 2)/1.2, 2)</f>
        <v>66.67</v>
      </c>
      <c r="Y302" s="9">
        <f t="shared" ref="Y302:Y315" si="13">ROUND(S302 / 1.2, 2)</f>
        <v>7541</v>
      </c>
      <c r="AD302" s="4" t="s">
        <v>1346</v>
      </c>
      <c r="AE302" s="4" t="s">
        <v>1347</v>
      </c>
      <c r="AF302" s="4" t="s">
        <v>729</v>
      </c>
    </row>
    <row r="303" spans="1:35" ht="112.5" x14ac:dyDescent="0.25">
      <c r="A303" s="10" t="s">
        <v>1348</v>
      </c>
      <c r="B303" s="10"/>
      <c r="C303" s="24" t="s">
        <v>1349</v>
      </c>
      <c r="D303" s="15"/>
      <c r="E303" s="15" t="s">
        <v>1350</v>
      </c>
      <c r="F303" s="25" t="s">
        <v>81</v>
      </c>
      <c r="G303" s="26">
        <v>0.3</v>
      </c>
      <c r="H303" s="26"/>
      <c r="I303" s="26">
        <v>226.23</v>
      </c>
      <c r="J303" s="28">
        <v>21.1</v>
      </c>
      <c r="M303" s="29">
        <f>ROUND(ROUND(J303, 2)*I303, 2)</f>
        <v>4773.45</v>
      </c>
      <c r="P303" s="28">
        <v>21.1</v>
      </c>
      <c r="S303" s="29">
        <f>ROUND(ROUND(P303, 2)*I303, 2)</f>
        <v>4773.45</v>
      </c>
      <c r="V303" s="9">
        <f>ROUND(ROUND(P303, 2)/1.2, 2)</f>
        <v>17.579999999999998</v>
      </c>
      <c r="Y303" s="9">
        <f t="shared" si="13"/>
        <v>3977.88</v>
      </c>
      <c r="AD303" s="4" t="s">
        <v>1351</v>
      </c>
      <c r="AE303" s="4" t="s">
        <v>1352</v>
      </c>
      <c r="AF303" s="4" t="s">
        <v>1353</v>
      </c>
    </row>
    <row r="304" spans="1:35" ht="37.5" x14ac:dyDescent="0.25">
      <c r="A304" s="10" t="s">
        <v>1354</v>
      </c>
      <c r="B304" s="10" t="s">
        <v>1355</v>
      </c>
      <c r="C304" s="14" t="s">
        <v>1356</v>
      </c>
      <c r="D304" s="15"/>
      <c r="E304" s="15" t="s">
        <v>1357</v>
      </c>
      <c r="F304" s="15" t="s">
        <v>56</v>
      </c>
      <c r="G304" s="16">
        <v>1</v>
      </c>
      <c r="H304" s="16"/>
      <c r="I304" s="16">
        <v>295.58</v>
      </c>
      <c r="J304" s="17">
        <f>IFERROR(ROUND(SUM(M305,M306)/I304, 2),0)</f>
        <v>75.650000000000006</v>
      </c>
      <c r="K304" s="18">
        <v>428</v>
      </c>
      <c r="L304" s="17">
        <f>J304+ROUND(K304, 2)</f>
        <v>503.65</v>
      </c>
      <c r="M304" s="17">
        <f>ROUND(J304*I304, 2)</f>
        <v>22360.63</v>
      </c>
      <c r="N304" s="17">
        <f>ROUND(I304*ROUND(K304, 2), 2)</f>
        <v>126508.24</v>
      </c>
      <c r="O304" s="17">
        <f>M304+N304</f>
        <v>148868.87</v>
      </c>
      <c r="P304" s="17">
        <f>IFERROR(ROUND(SUM(S305,S306)/I304, 2),0)</f>
        <v>75.650000000000006</v>
      </c>
      <c r="Q304" s="19">
        <v>428</v>
      </c>
      <c r="R304" s="17">
        <f>P304+ROUND(Q304, 2)</f>
        <v>503.65</v>
      </c>
      <c r="S304" s="17">
        <f>ROUND(P304*I304, 2)</f>
        <v>22360.63</v>
      </c>
      <c r="T304" s="17">
        <f>ROUND(I304*ROUND(Q304, 2), 2)</f>
        <v>126508.24</v>
      </c>
      <c r="U304" s="17">
        <f>S304+T304</f>
        <v>148868.87</v>
      </c>
      <c r="V304" s="9">
        <f>ROUND(P304 / 1.2, 2)</f>
        <v>63.04</v>
      </c>
      <c r="W304" s="9">
        <f>ROUND(Q304 / 1.2, 2)</f>
        <v>356.67</v>
      </c>
      <c r="X304" s="9">
        <f>ROUND(R304 / 1.2, 2)</f>
        <v>419.71</v>
      </c>
      <c r="Y304" s="9">
        <f t="shared" si="13"/>
        <v>18633.86</v>
      </c>
      <c r="Z304" s="9">
        <f>ROUND(T304 / 1.2, 2)</f>
        <v>105423.53</v>
      </c>
      <c r="AA304" s="9">
        <f>Y304+Z304</f>
        <v>124057.39</v>
      </c>
      <c r="AD304" s="4">
        <v>264030311</v>
      </c>
      <c r="AE304" s="4">
        <v>19934100</v>
      </c>
      <c r="AG304" s="4" t="s">
        <v>1358</v>
      </c>
      <c r="AH304" s="4" t="s">
        <v>1359</v>
      </c>
      <c r="AI304" s="4" t="s">
        <v>249</v>
      </c>
    </row>
    <row r="305" spans="1:35" ht="37.5" x14ac:dyDescent="0.25">
      <c r="A305" s="10" t="s">
        <v>1360</v>
      </c>
      <c r="B305" s="10"/>
      <c r="C305" s="24" t="s">
        <v>1361</v>
      </c>
      <c r="D305" s="15"/>
      <c r="E305" s="15"/>
      <c r="F305" s="25" t="s">
        <v>81</v>
      </c>
      <c r="G305" s="26">
        <v>0.17</v>
      </c>
      <c r="H305" s="26"/>
      <c r="I305" s="26">
        <v>50.249000000000002</v>
      </c>
      <c r="J305" s="28">
        <v>366.67</v>
      </c>
      <c r="M305" s="29">
        <f>ROUND(ROUND(J305, 2)*I305, 2)</f>
        <v>18424.8</v>
      </c>
      <c r="P305" s="30">
        <v>366.67</v>
      </c>
      <c r="S305" s="29">
        <f>ROUND(ROUND(P305, 2)*I305, 2)</f>
        <v>18424.8</v>
      </c>
      <c r="V305" s="9">
        <f>ROUND(ROUND(P305, 2)/1.2, 2)</f>
        <v>305.56</v>
      </c>
      <c r="Y305" s="9">
        <f t="shared" si="13"/>
        <v>15354</v>
      </c>
      <c r="AD305" s="4" t="s">
        <v>1362</v>
      </c>
      <c r="AE305" s="4" t="s">
        <v>1363</v>
      </c>
      <c r="AF305" s="4" t="s">
        <v>1364</v>
      </c>
    </row>
    <row r="306" spans="1:35" ht="37.5" x14ac:dyDescent="0.25">
      <c r="A306" s="10" t="s">
        <v>1365</v>
      </c>
      <c r="B306" s="10"/>
      <c r="C306" s="24" t="s">
        <v>490</v>
      </c>
      <c r="D306" s="15"/>
      <c r="E306" s="15"/>
      <c r="F306" s="25" t="s">
        <v>81</v>
      </c>
      <c r="G306" s="26">
        <v>0.15</v>
      </c>
      <c r="H306" s="26"/>
      <c r="I306" s="26">
        <v>44.337000000000003</v>
      </c>
      <c r="J306" s="28">
        <v>88.8</v>
      </c>
      <c r="M306" s="29">
        <f>ROUND(ROUND(J306, 2)*I306, 2)</f>
        <v>3937.13</v>
      </c>
      <c r="P306" s="30">
        <v>88.8</v>
      </c>
      <c r="S306" s="29">
        <f>ROUND(ROUND(P306, 2)*I306, 2)</f>
        <v>3937.13</v>
      </c>
      <c r="V306" s="9">
        <f>ROUND(ROUND(P306, 2)/1.2, 2)</f>
        <v>74</v>
      </c>
      <c r="Y306" s="9">
        <f t="shared" si="13"/>
        <v>3280.94</v>
      </c>
      <c r="AD306" s="4" t="s">
        <v>1366</v>
      </c>
      <c r="AE306" s="4" t="s">
        <v>1367</v>
      </c>
      <c r="AF306" s="4" t="s">
        <v>493</v>
      </c>
    </row>
    <row r="307" spans="1:35" ht="37.5" x14ac:dyDescent="0.25">
      <c r="A307" s="10" t="s">
        <v>1368</v>
      </c>
      <c r="B307" s="10" t="s">
        <v>1355</v>
      </c>
      <c r="C307" s="14" t="s">
        <v>1356</v>
      </c>
      <c r="D307" s="15"/>
      <c r="E307" s="15" t="s">
        <v>1369</v>
      </c>
      <c r="F307" s="15" t="s">
        <v>56</v>
      </c>
      <c r="G307" s="16">
        <v>1</v>
      </c>
      <c r="H307" s="16"/>
      <c r="I307" s="16">
        <v>1068.06</v>
      </c>
      <c r="J307" s="17">
        <f>IFERROR(ROUND(SUM(M308,M309)/I307, 2),0)</f>
        <v>75.650000000000006</v>
      </c>
      <c r="K307" s="18">
        <v>428</v>
      </c>
      <c r="L307" s="17">
        <f>J307+ROUND(K307, 2)</f>
        <v>503.65</v>
      </c>
      <c r="M307" s="17">
        <f>ROUND(J307*I307, 2)</f>
        <v>80798.740000000005</v>
      </c>
      <c r="N307" s="17">
        <f>ROUND(I307*ROUND(K307, 2), 2)</f>
        <v>457129.68</v>
      </c>
      <c r="O307" s="17">
        <f>M307+N307</f>
        <v>537928.42000000004</v>
      </c>
      <c r="P307" s="17">
        <f>IFERROR(ROUND(SUM(S308,S309)/I307, 2),0)</f>
        <v>75.650000000000006</v>
      </c>
      <c r="Q307" s="19">
        <v>428</v>
      </c>
      <c r="R307" s="17">
        <f>P307+ROUND(Q307, 2)</f>
        <v>503.65</v>
      </c>
      <c r="S307" s="17">
        <f>ROUND(P307*I307, 2)</f>
        <v>80798.740000000005</v>
      </c>
      <c r="T307" s="17">
        <f>ROUND(I307*ROUND(Q307, 2), 2)</f>
        <v>457129.68</v>
      </c>
      <c r="U307" s="17">
        <f>S307+T307</f>
        <v>537928.42000000004</v>
      </c>
      <c r="V307" s="9">
        <f>ROUND(P307 / 1.2, 2)</f>
        <v>63.04</v>
      </c>
      <c r="W307" s="9">
        <f>ROUND(Q307 / 1.2, 2)</f>
        <v>356.67</v>
      </c>
      <c r="X307" s="9">
        <f>ROUND(R307 / 1.2, 2)</f>
        <v>419.71</v>
      </c>
      <c r="Y307" s="9">
        <f t="shared" si="13"/>
        <v>67332.28</v>
      </c>
      <c r="Z307" s="9">
        <f>ROUND(T307 / 1.2, 2)</f>
        <v>380941.4</v>
      </c>
      <c r="AA307" s="9">
        <f>Y307+Z307</f>
        <v>448273.68000000005</v>
      </c>
      <c r="AD307" s="4">
        <v>264030398</v>
      </c>
      <c r="AE307" s="4">
        <v>19934099</v>
      </c>
      <c r="AG307" s="4" t="s">
        <v>1358</v>
      </c>
      <c r="AH307" s="4" t="s">
        <v>1359</v>
      </c>
      <c r="AI307" s="4" t="s">
        <v>249</v>
      </c>
    </row>
    <row r="308" spans="1:35" ht="37.5" x14ac:dyDescent="0.25">
      <c r="A308" s="10" t="s">
        <v>1370</v>
      </c>
      <c r="B308" s="10"/>
      <c r="C308" s="24" t="s">
        <v>490</v>
      </c>
      <c r="D308" s="15"/>
      <c r="E308" s="15"/>
      <c r="F308" s="25" t="s">
        <v>81</v>
      </c>
      <c r="G308" s="26">
        <v>0.15</v>
      </c>
      <c r="H308" s="26"/>
      <c r="I308" s="26">
        <v>160.209</v>
      </c>
      <c r="J308" s="28">
        <v>88.8</v>
      </c>
      <c r="M308" s="29">
        <f>ROUND(ROUND(J308, 2)*I308, 2)</f>
        <v>14226.56</v>
      </c>
      <c r="P308" s="30">
        <v>88.8</v>
      </c>
      <c r="S308" s="29">
        <f>ROUND(ROUND(P308, 2)*I308, 2)</f>
        <v>14226.56</v>
      </c>
      <c r="V308" s="9">
        <f>ROUND(ROUND(P308, 2)/1.2, 2)</f>
        <v>74</v>
      </c>
      <c r="Y308" s="9">
        <f t="shared" si="13"/>
        <v>11855.47</v>
      </c>
      <c r="AD308" s="4" t="s">
        <v>1371</v>
      </c>
      <c r="AE308" s="4" t="s">
        <v>1372</v>
      </c>
      <c r="AF308" s="4" t="s">
        <v>493</v>
      </c>
    </row>
    <row r="309" spans="1:35" ht="37.5" x14ac:dyDescent="0.25">
      <c r="A309" s="10" t="s">
        <v>1373</v>
      </c>
      <c r="B309" s="10"/>
      <c r="C309" s="24" t="s">
        <v>1361</v>
      </c>
      <c r="D309" s="15"/>
      <c r="E309" s="15"/>
      <c r="F309" s="25" t="s">
        <v>81</v>
      </c>
      <c r="G309" s="26">
        <v>0.17</v>
      </c>
      <c r="H309" s="26"/>
      <c r="I309" s="26">
        <v>181.57</v>
      </c>
      <c r="J309" s="28">
        <v>366.67</v>
      </c>
      <c r="M309" s="29">
        <f>ROUND(ROUND(J309, 2)*I309, 2)</f>
        <v>66576.27</v>
      </c>
      <c r="P309" s="30">
        <v>366.67</v>
      </c>
      <c r="S309" s="29">
        <f>ROUND(ROUND(P309, 2)*I309, 2)</f>
        <v>66576.27</v>
      </c>
      <c r="V309" s="9">
        <f>ROUND(ROUND(P309, 2)/1.2, 2)</f>
        <v>305.56</v>
      </c>
      <c r="Y309" s="9">
        <f t="shared" si="13"/>
        <v>55480.23</v>
      </c>
      <c r="AD309" s="4" t="s">
        <v>1374</v>
      </c>
      <c r="AE309" s="4" t="s">
        <v>1375</v>
      </c>
      <c r="AF309" s="4" t="s">
        <v>1364</v>
      </c>
    </row>
    <row r="310" spans="1:35" ht="37.5" x14ac:dyDescent="0.25">
      <c r="A310" s="10" t="s">
        <v>1376</v>
      </c>
      <c r="B310" s="10" t="s">
        <v>1355</v>
      </c>
      <c r="C310" s="14" t="s">
        <v>1356</v>
      </c>
      <c r="D310" s="15"/>
      <c r="E310" s="15" t="s">
        <v>1377</v>
      </c>
      <c r="F310" s="15" t="s">
        <v>56</v>
      </c>
      <c r="G310" s="16">
        <v>1</v>
      </c>
      <c r="H310" s="16"/>
      <c r="I310" s="16">
        <v>1410</v>
      </c>
      <c r="J310" s="17">
        <f>IFERROR(ROUND(SUM(M311,M312)/I310, 2),0)</f>
        <v>75.650000000000006</v>
      </c>
      <c r="K310" s="18">
        <v>428</v>
      </c>
      <c r="L310" s="17">
        <f>J310+ROUND(K310, 2)</f>
        <v>503.65</v>
      </c>
      <c r="M310" s="17">
        <f>ROUND(J310*I310, 2)</f>
        <v>106666.5</v>
      </c>
      <c r="N310" s="17">
        <f>ROUND(I310*ROUND(K310, 2), 2)</f>
        <v>603480</v>
      </c>
      <c r="O310" s="17">
        <f>M310+N310</f>
        <v>710146.5</v>
      </c>
      <c r="P310" s="17">
        <f>IFERROR(ROUND(SUM(S311,S312)/I310, 2),0)</f>
        <v>75.650000000000006</v>
      </c>
      <c r="Q310" s="19">
        <v>428</v>
      </c>
      <c r="R310" s="17">
        <f>P310+ROUND(Q310, 2)</f>
        <v>503.65</v>
      </c>
      <c r="S310" s="17">
        <f>ROUND(P310*I310, 2)</f>
        <v>106666.5</v>
      </c>
      <c r="T310" s="17">
        <f>ROUND(I310*ROUND(Q310, 2), 2)</f>
        <v>603480</v>
      </c>
      <c r="U310" s="17">
        <f>S310+T310</f>
        <v>710146.5</v>
      </c>
      <c r="V310" s="9">
        <f>ROUND(P310 / 1.2, 2)</f>
        <v>63.04</v>
      </c>
      <c r="W310" s="9">
        <f>ROUND(Q310 / 1.2, 2)</f>
        <v>356.67</v>
      </c>
      <c r="X310" s="9">
        <f>ROUND(R310 / 1.2, 2)</f>
        <v>419.71</v>
      </c>
      <c r="Y310" s="9">
        <f t="shared" si="13"/>
        <v>88888.75</v>
      </c>
      <c r="Z310" s="9">
        <f>ROUND(T310 / 1.2, 2)</f>
        <v>502900</v>
      </c>
      <c r="AA310" s="9">
        <f>Y310+Z310</f>
        <v>591788.75</v>
      </c>
      <c r="AD310" s="4">
        <v>264030399</v>
      </c>
      <c r="AE310" s="4">
        <v>19934098</v>
      </c>
      <c r="AG310" s="4" t="s">
        <v>1358</v>
      </c>
      <c r="AH310" s="4" t="s">
        <v>1359</v>
      </c>
      <c r="AI310" s="4" t="s">
        <v>249</v>
      </c>
    </row>
    <row r="311" spans="1:35" ht="37.5" x14ac:dyDescent="0.25">
      <c r="A311" s="10" t="s">
        <v>1378</v>
      </c>
      <c r="B311" s="10"/>
      <c r="C311" s="24" t="s">
        <v>1361</v>
      </c>
      <c r="D311" s="15"/>
      <c r="E311" s="15"/>
      <c r="F311" s="25" t="s">
        <v>81</v>
      </c>
      <c r="G311" s="26">
        <v>0.17</v>
      </c>
      <c r="H311" s="26"/>
      <c r="I311" s="26">
        <v>239.7</v>
      </c>
      <c r="J311" s="28">
        <v>366.67</v>
      </c>
      <c r="M311" s="29">
        <f>ROUND(ROUND(J311, 2)*I311, 2)</f>
        <v>87890.8</v>
      </c>
      <c r="P311" s="30">
        <v>366.67</v>
      </c>
      <c r="S311" s="29">
        <f>ROUND(ROUND(P311, 2)*I311, 2)</f>
        <v>87890.8</v>
      </c>
      <c r="V311" s="9">
        <f>ROUND(ROUND(P311, 2)/1.2, 2)</f>
        <v>305.56</v>
      </c>
      <c r="Y311" s="9">
        <f t="shared" si="13"/>
        <v>73242.33</v>
      </c>
      <c r="AD311" s="4" t="s">
        <v>1379</v>
      </c>
      <c r="AE311" s="4" t="s">
        <v>1380</v>
      </c>
      <c r="AF311" s="4" t="s">
        <v>1364</v>
      </c>
    </row>
    <row r="312" spans="1:35" ht="37.5" x14ac:dyDescent="0.25">
      <c r="A312" s="10" t="s">
        <v>1381</v>
      </c>
      <c r="B312" s="10"/>
      <c r="C312" s="24" t="s">
        <v>490</v>
      </c>
      <c r="D312" s="15"/>
      <c r="E312" s="15"/>
      <c r="F312" s="25" t="s">
        <v>81</v>
      </c>
      <c r="G312" s="26">
        <v>0.15</v>
      </c>
      <c r="H312" s="26"/>
      <c r="I312" s="26">
        <v>211.5</v>
      </c>
      <c r="J312" s="28">
        <v>88.8</v>
      </c>
      <c r="M312" s="29">
        <f>ROUND(ROUND(J312, 2)*I312, 2)</f>
        <v>18781.2</v>
      </c>
      <c r="P312" s="30">
        <v>88.8</v>
      </c>
      <c r="S312" s="29">
        <f>ROUND(ROUND(P312, 2)*I312, 2)</f>
        <v>18781.2</v>
      </c>
      <c r="V312" s="9">
        <f>ROUND(ROUND(P312, 2)/1.2, 2)</f>
        <v>74</v>
      </c>
      <c r="Y312" s="9">
        <f t="shared" si="13"/>
        <v>15651</v>
      </c>
      <c r="AD312" s="4" t="s">
        <v>1382</v>
      </c>
      <c r="AE312" s="4" t="s">
        <v>1383</v>
      </c>
      <c r="AF312" s="4" t="s">
        <v>493</v>
      </c>
    </row>
    <row r="313" spans="1:35" ht="37.5" x14ac:dyDescent="0.25">
      <c r="A313" s="10" t="s">
        <v>1384</v>
      </c>
      <c r="B313" s="10" t="s">
        <v>1385</v>
      </c>
      <c r="C313" s="14" t="s">
        <v>1386</v>
      </c>
      <c r="D313" s="15"/>
      <c r="E313" s="15" t="s">
        <v>1387</v>
      </c>
      <c r="F313" s="15" t="s">
        <v>56</v>
      </c>
      <c r="G313" s="16">
        <v>1</v>
      </c>
      <c r="H313" s="16"/>
      <c r="I313" s="16">
        <v>998.06</v>
      </c>
      <c r="J313" s="17">
        <f>IFERROR(ROUND(SUM(M314,M315)/I313, 2),0)</f>
        <v>13.32</v>
      </c>
      <c r="K313" s="18">
        <v>464</v>
      </c>
      <c r="L313" s="17">
        <f>J313+ROUND(K313, 2)</f>
        <v>477.32</v>
      </c>
      <c r="M313" s="17">
        <f>ROUND(J313*I313, 2)</f>
        <v>13294.16</v>
      </c>
      <c r="N313" s="17">
        <f>ROUND(I313*ROUND(K313, 2), 2)</f>
        <v>463099.84</v>
      </c>
      <c r="O313" s="17">
        <f>M313+N313</f>
        <v>476394</v>
      </c>
      <c r="P313" s="17">
        <f>IFERROR(ROUND(SUM(S314,S315)/I313, 2),0)</f>
        <v>13.32</v>
      </c>
      <c r="Q313" s="19">
        <v>464</v>
      </c>
      <c r="R313" s="17">
        <f>P313+ROUND(Q313, 2)</f>
        <v>477.32</v>
      </c>
      <c r="S313" s="17">
        <f>ROUND(P313*I313, 2)</f>
        <v>13294.16</v>
      </c>
      <c r="T313" s="17">
        <f>ROUND(I313*ROUND(Q313, 2), 2)</f>
        <v>463099.84</v>
      </c>
      <c r="U313" s="17">
        <f>S313+T313</f>
        <v>476394</v>
      </c>
      <c r="V313" s="9">
        <f>ROUND(P313 / 1.2, 2)</f>
        <v>11.1</v>
      </c>
      <c r="W313" s="9">
        <f>ROUND(Q313 / 1.2, 2)</f>
        <v>386.67</v>
      </c>
      <c r="X313" s="9">
        <f>ROUND(R313 / 1.2, 2)</f>
        <v>397.77</v>
      </c>
      <c r="Y313" s="9">
        <f t="shared" si="13"/>
        <v>11078.47</v>
      </c>
      <c r="Z313" s="9">
        <f>ROUND(T313 / 1.2, 2)</f>
        <v>385916.53</v>
      </c>
      <c r="AA313" s="9">
        <f>Y313+Z313</f>
        <v>396995</v>
      </c>
      <c r="AD313" s="4">
        <v>264030312</v>
      </c>
      <c r="AE313" s="4">
        <v>19918753</v>
      </c>
      <c r="AG313" s="4" t="s">
        <v>1388</v>
      </c>
      <c r="AH313" s="4" t="s">
        <v>1389</v>
      </c>
      <c r="AI313" s="4" t="s">
        <v>249</v>
      </c>
    </row>
    <row r="314" spans="1:35" ht="56.25" x14ac:dyDescent="0.25">
      <c r="A314" s="10" t="s">
        <v>1390</v>
      </c>
      <c r="B314" s="10"/>
      <c r="C314" s="24" t="s">
        <v>1391</v>
      </c>
      <c r="D314" s="15"/>
      <c r="E314" s="15"/>
      <c r="F314" s="25" t="s">
        <v>81</v>
      </c>
      <c r="G314" s="26">
        <v>0.3</v>
      </c>
      <c r="H314" s="26"/>
      <c r="I314" s="26">
        <v>299.41800000000001</v>
      </c>
      <c r="J314" s="28">
        <v>0</v>
      </c>
      <c r="M314" s="29">
        <f>ROUND(ROUND(J314, 2)*I314, 2)</f>
        <v>0</v>
      </c>
      <c r="P314" s="30">
        <v>0</v>
      </c>
      <c r="S314" s="29">
        <f>ROUND(ROUND(P314, 2)*I314, 2)</f>
        <v>0</v>
      </c>
      <c r="V314" s="9">
        <f>ROUND(ROUND(P314, 2)/1.2, 2)</f>
        <v>0</v>
      </c>
      <c r="Y314" s="9">
        <f t="shared" si="13"/>
        <v>0</v>
      </c>
      <c r="AD314" s="4" t="s">
        <v>1392</v>
      </c>
      <c r="AE314" s="4" t="s">
        <v>1393</v>
      </c>
      <c r="AF314" s="4" t="s">
        <v>1394</v>
      </c>
    </row>
    <row r="315" spans="1:35" ht="37.5" x14ac:dyDescent="0.25">
      <c r="A315" s="10" t="s">
        <v>1395</v>
      </c>
      <c r="B315" s="10"/>
      <c r="C315" s="24" t="s">
        <v>490</v>
      </c>
      <c r="D315" s="15"/>
      <c r="E315" s="15"/>
      <c r="F315" s="25" t="s">
        <v>81</v>
      </c>
      <c r="G315" s="26">
        <v>0.15</v>
      </c>
      <c r="H315" s="26"/>
      <c r="I315" s="26">
        <v>149.709</v>
      </c>
      <c r="J315" s="28">
        <v>88.8</v>
      </c>
      <c r="M315" s="29">
        <f>ROUND(ROUND(J315, 2)*I315, 2)</f>
        <v>13294.16</v>
      </c>
      <c r="P315" s="30">
        <v>88.8</v>
      </c>
      <c r="S315" s="29">
        <f>ROUND(ROUND(P315, 2)*I315, 2)</f>
        <v>13294.16</v>
      </c>
      <c r="V315" s="9">
        <f>ROUND(ROUND(P315, 2)/1.2, 2)</f>
        <v>74</v>
      </c>
      <c r="Y315" s="9">
        <f t="shared" si="13"/>
        <v>11078.47</v>
      </c>
      <c r="AD315" s="4" t="s">
        <v>1396</v>
      </c>
      <c r="AE315" s="4" t="s">
        <v>1397</v>
      </c>
      <c r="AF315" s="4" t="s">
        <v>493</v>
      </c>
    </row>
    <row r="316" spans="1:35" ht="17.100000000000001" customHeight="1" x14ac:dyDescent="0.25">
      <c r="A316" s="10" t="s">
        <v>1398</v>
      </c>
      <c r="B316" s="10" t="s">
        <v>1399</v>
      </c>
      <c r="C316" s="116" t="s">
        <v>1400</v>
      </c>
      <c r="D316" s="117"/>
      <c r="E316" s="117"/>
      <c r="F316" s="117"/>
      <c r="G316" s="117"/>
      <c r="H316" s="117"/>
      <c r="I316" s="118"/>
      <c r="M316" s="6">
        <f>SUM(M317,M321,M324,M328,M331,M334,M338,M341,M344,M347,M351,M356)</f>
        <v>66331.38</v>
      </c>
      <c r="N316" s="6">
        <f>SUM(N317,N321,N324,N328,N331,N334,N338,N341,N344,N347,N351,N356)</f>
        <v>348373.99</v>
      </c>
      <c r="O316" s="6">
        <f>SUM(O317,O321,O324,O328,O331,O334,O338,O341,O344,O347,O351,O356)</f>
        <v>414705.37</v>
      </c>
      <c r="S316" s="6">
        <f>SUM(S317,S321,S324,S328,S331,S334,S338,S341,S344,S347,S351,S356)</f>
        <v>66331.38</v>
      </c>
      <c r="T316" s="6">
        <f>SUM(T317,T321,T324,T328,T331,T334,T338,T341,T344,T347,T351,T356)</f>
        <v>348373.99</v>
      </c>
      <c r="U316" s="6">
        <f>SUM(U317,U321,U324,U328,U331,U334,U338,U341,U344,U347,U351,U356)</f>
        <v>414705.37</v>
      </c>
      <c r="Y316" s="9">
        <f>SUM(Y317,Y321,Y324,Y328,Y331,Y334,Y338,Y341,Y344,Y347,Y351,Y356)</f>
        <v>55276.17</v>
      </c>
      <c r="Z316" s="9">
        <f>SUM(Z317,Z321,Z324,Z328,Z331,Z334,Z338,Z341,Z344,Z347,Z351,Z356)</f>
        <v>290311.66000000003</v>
      </c>
      <c r="AA316" s="9">
        <f>SUM(AA317,AA321,AA324,AA328,AA331,AA334,AA338,AA341,AA344,AA347,AA351,AA356)</f>
        <v>345587.83</v>
      </c>
      <c r="AD316" s="4">
        <v>264030313</v>
      </c>
      <c r="AE316" s="4">
        <v>18541165</v>
      </c>
    </row>
    <row r="317" spans="1:35" ht="56.25" x14ac:dyDescent="0.25">
      <c r="A317" s="10" t="s">
        <v>1401</v>
      </c>
      <c r="B317" s="10" t="s">
        <v>1402</v>
      </c>
      <c r="C317" s="14" t="s">
        <v>1403</v>
      </c>
      <c r="D317" s="15"/>
      <c r="E317" s="15" t="s">
        <v>1404</v>
      </c>
      <c r="F317" s="15" t="s">
        <v>56</v>
      </c>
      <c r="G317" s="16">
        <v>1</v>
      </c>
      <c r="H317" s="16"/>
      <c r="I317" s="16">
        <v>25.45</v>
      </c>
      <c r="J317" s="17">
        <f>IFERROR(ROUND(SUM(M318,M319,M320)/I317, 2),0)</f>
        <v>151.59</v>
      </c>
      <c r="K317" s="18">
        <v>1001</v>
      </c>
      <c r="L317" s="17">
        <f>J317+ROUND(K317, 2)</f>
        <v>1152.5899999999999</v>
      </c>
      <c r="M317" s="17">
        <f>ROUND(J317*I317, 2)</f>
        <v>3857.97</v>
      </c>
      <c r="N317" s="17">
        <f>ROUND(I317*ROUND(K317, 2), 2)</f>
        <v>25475.45</v>
      </c>
      <c r="O317" s="17">
        <f>M317+N317</f>
        <v>29333.420000000002</v>
      </c>
      <c r="P317" s="17">
        <f>IFERROR(ROUND(SUM(S318,S319,S320)/I317, 2),0)</f>
        <v>151.59</v>
      </c>
      <c r="Q317" s="19">
        <v>1001</v>
      </c>
      <c r="R317" s="17">
        <f>P317+ROUND(Q317, 2)</f>
        <v>1152.5899999999999</v>
      </c>
      <c r="S317" s="17">
        <f>ROUND(P317*I317, 2)</f>
        <v>3857.97</v>
      </c>
      <c r="T317" s="17">
        <f>ROUND(I317*ROUND(Q317, 2), 2)</f>
        <v>25475.45</v>
      </c>
      <c r="U317" s="17">
        <f>S317+T317</f>
        <v>29333.420000000002</v>
      </c>
      <c r="V317" s="9">
        <f>ROUND(P317 / 1.2, 2)</f>
        <v>126.33</v>
      </c>
      <c r="W317" s="9">
        <f>ROUND(Q317 / 1.2, 2)</f>
        <v>834.17</v>
      </c>
      <c r="X317" s="9">
        <f>ROUND(R317 / 1.2, 2)</f>
        <v>960.49</v>
      </c>
      <c r="Y317" s="9">
        <f>ROUND(S317 / 1.2, 2)</f>
        <v>3214.98</v>
      </c>
      <c r="Z317" s="9">
        <f>ROUND(T317 / 1.2, 2)</f>
        <v>21229.54</v>
      </c>
      <c r="AA317" s="9">
        <f>Y317+Z317</f>
        <v>24444.52</v>
      </c>
      <c r="AD317" s="4">
        <v>264030315</v>
      </c>
      <c r="AE317" s="4">
        <v>18541176</v>
      </c>
      <c r="AG317" s="4" t="s">
        <v>1405</v>
      </c>
      <c r="AH317" s="4" t="s">
        <v>1406</v>
      </c>
      <c r="AI317" s="4" t="s">
        <v>249</v>
      </c>
    </row>
    <row r="318" spans="1:35" ht="56.25" x14ac:dyDescent="0.25">
      <c r="A318" s="10" t="s">
        <v>1407</v>
      </c>
      <c r="B318" s="10"/>
      <c r="C318" s="24" t="s">
        <v>859</v>
      </c>
      <c r="D318" s="15"/>
      <c r="E318" s="15" t="s">
        <v>860</v>
      </c>
      <c r="F318" s="25" t="s">
        <v>81</v>
      </c>
      <c r="G318" s="26">
        <v>5</v>
      </c>
      <c r="H318" s="26"/>
      <c r="I318" s="26">
        <v>127.25</v>
      </c>
      <c r="J318" s="28">
        <v>23</v>
      </c>
      <c r="M318" s="29">
        <f>ROUND(ROUND(J318, 2)*I318, 2)</f>
        <v>2926.75</v>
      </c>
      <c r="P318" s="30">
        <v>23</v>
      </c>
      <c r="S318" s="29">
        <f>ROUND(ROUND(P318, 2)*I318, 2)</f>
        <v>2926.75</v>
      </c>
      <c r="V318" s="9">
        <f>ROUND(ROUND(P318, 2)/1.2, 2)</f>
        <v>19.170000000000002</v>
      </c>
      <c r="Y318" s="9">
        <f t="shared" ref="Y318:Y359" si="14">ROUND(S318 / 1.2, 2)</f>
        <v>2438.96</v>
      </c>
      <c r="AD318" s="4" t="s">
        <v>1408</v>
      </c>
      <c r="AE318" s="4" t="s">
        <v>1409</v>
      </c>
      <c r="AF318" s="4" t="s">
        <v>863</v>
      </c>
    </row>
    <row r="319" spans="1:35" ht="56.25" x14ac:dyDescent="0.25">
      <c r="A319" s="10" t="s">
        <v>1410</v>
      </c>
      <c r="B319" s="10"/>
      <c r="C319" s="24" t="s">
        <v>1069</v>
      </c>
      <c r="D319" s="15"/>
      <c r="E319" s="15"/>
      <c r="F319" s="25" t="s">
        <v>103</v>
      </c>
      <c r="G319" s="26">
        <v>0.3</v>
      </c>
      <c r="H319" s="27"/>
      <c r="I319" s="27">
        <v>8.1</v>
      </c>
      <c r="J319" s="28">
        <v>73.099999999999994</v>
      </c>
      <c r="M319" s="29">
        <f>ROUND(ROUND(J319, 2)*I319, 2)</f>
        <v>592.11</v>
      </c>
      <c r="P319" s="30">
        <v>73.099999999999994</v>
      </c>
      <c r="S319" s="29">
        <f>ROUND(ROUND(P319, 2)*I319, 2)</f>
        <v>592.11</v>
      </c>
      <c r="V319" s="9">
        <f>ROUND(ROUND(P319, 2)/1.2, 2)</f>
        <v>60.92</v>
      </c>
      <c r="Y319" s="9">
        <f t="shared" si="14"/>
        <v>493.43</v>
      </c>
      <c r="AD319" s="4" t="s">
        <v>1411</v>
      </c>
      <c r="AE319" s="4" t="s">
        <v>1412</v>
      </c>
      <c r="AF319" s="4" t="s">
        <v>1072</v>
      </c>
    </row>
    <row r="320" spans="1:35" ht="37.5" x14ac:dyDescent="0.25">
      <c r="A320" s="10" t="s">
        <v>1413</v>
      </c>
      <c r="B320" s="10"/>
      <c r="C320" s="24" t="s">
        <v>490</v>
      </c>
      <c r="D320" s="15"/>
      <c r="E320" s="15"/>
      <c r="F320" s="25" t="s">
        <v>81</v>
      </c>
      <c r="G320" s="26">
        <v>0.15</v>
      </c>
      <c r="H320" s="26"/>
      <c r="I320" s="26">
        <v>3.8180000000000001</v>
      </c>
      <c r="J320" s="28">
        <v>88.8</v>
      </c>
      <c r="M320" s="29">
        <f>ROUND(ROUND(J320, 2)*I320, 2)</f>
        <v>339.04</v>
      </c>
      <c r="P320" s="30">
        <v>88.8</v>
      </c>
      <c r="S320" s="29">
        <f>ROUND(ROUND(P320, 2)*I320, 2)</f>
        <v>339.04</v>
      </c>
      <c r="V320" s="9">
        <f>ROUND(ROUND(P320, 2)/1.2, 2)</f>
        <v>74</v>
      </c>
      <c r="Y320" s="9">
        <f t="shared" si="14"/>
        <v>282.52999999999997</v>
      </c>
      <c r="AD320" s="4" t="s">
        <v>1414</v>
      </c>
      <c r="AE320" s="4" t="s">
        <v>1415</v>
      </c>
      <c r="AF320" s="4" t="s">
        <v>493</v>
      </c>
    </row>
    <row r="321" spans="1:35" ht="56.25" x14ac:dyDescent="0.25">
      <c r="A321" s="10" t="s">
        <v>1416</v>
      </c>
      <c r="B321" s="10" t="s">
        <v>1402</v>
      </c>
      <c r="C321" s="14" t="s">
        <v>1403</v>
      </c>
      <c r="D321" s="15"/>
      <c r="E321" s="15" t="s">
        <v>1417</v>
      </c>
      <c r="F321" s="15" t="s">
        <v>56</v>
      </c>
      <c r="G321" s="16">
        <v>1</v>
      </c>
      <c r="H321" s="16"/>
      <c r="I321" s="16">
        <v>25.45</v>
      </c>
      <c r="J321" s="17">
        <f>IFERROR(ROUND(SUM(M322,M323)/I321, 2),0)</f>
        <v>128.32</v>
      </c>
      <c r="K321" s="18">
        <v>1001</v>
      </c>
      <c r="L321" s="17">
        <f>J321+ROUND(K321, 2)</f>
        <v>1129.32</v>
      </c>
      <c r="M321" s="17">
        <f>ROUND(J321*I321, 2)</f>
        <v>3265.74</v>
      </c>
      <c r="N321" s="17">
        <f>ROUND(I321*ROUND(K321, 2), 2)</f>
        <v>25475.45</v>
      </c>
      <c r="O321" s="17">
        <f>M321+N321</f>
        <v>28741.190000000002</v>
      </c>
      <c r="P321" s="17">
        <f>IFERROR(ROUND(SUM(S322,S323)/I321, 2),0)</f>
        <v>128.32</v>
      </c>
      <c r="Q321" s="19">
        <v>1001</v>
      </c>
      <c r="R321" s="17">
        <f>P321+ROUND(Q321, 2)</f>
        <v>1129.32</v>
      </c>
      <c r="S321" s="17">
        <f>ROUND(P321*I321, 2)</f>
        <v>3265.74</v>
      </c>
      <c r="T321" s="17">
        <f>ROUND(I321*ROUND(Q321, 2), 2)</f>
        <v>25475.45</v>
      </c>
      <c r="U321" s="17">
        <f>S321+T321</f>
        <v>28741.190000000002</v>
      </c>
      <c r="V321" s="9">
        <f>ROUND(P321 / 1.2, 2)</f>
        <v>106.93</v>
      </c>
      <c r="W321" s="9">
        <f>ROUND(Q321 / 1.2, 2)</f>
        <v>834.17</v>
      </c>
      <c r="X321" s="9">
        <f>ROUND(R321 / 1.2, 2)</f>
        <v>941.1</v>
      </c>
      <c r="Y321" s="9">
        <f t="shared" si="14"/>
        <v>2721.45</v>
      </c>
      <c r="Z321" s="9">
        <f>ROUND(T321 / 1.2, 2)</f>
        <v>21229.54</v>
      </c>
      <c r="AA321" s="9">
        <f>Y321+Z321</f>
        <v>23950.99</v>
      </c>
      <c r="AD321" s="4">
        <v>264030400</v>
      </c>
      <c r="AE321" s="4">
        <v>18541177</v>
      </c>
      <c r="AG321" s="4" t="s">
        <v>1405</v>
      </c>
      <c r="AH321" s="4" t="s">
        <v>1406</v>
      </c>
      <c r="AI321" s="4" t="s">
        <v>249</v>
      </c>
    </row>
    <row r="322" spans="1:35" ht="37.5" x14ac:dyDescent="0.25">
      <c r="A322" s="10" t="s">
        <v>1418</v>
      </c>
      <c r="B322" s="10"/>
      <c r="C322" s="24" t="s">
        <v>490</v>
      </c>
      <c r="D322" s="15"/>
      <c r="E322" s="15"/>
      <c r="F322" s="25" t="s">
        <v>81</v>
      </c>
      <c r="G322" s="26">
        <v>0.15</v>
      </c>
      <c r="H322" s="26"/>
      <c r="I322" s="26">
        <v>3.8180000000000001</v>
      </c>
      <c r="J322" s="28">
        <v>88.8</v>
      </c>
      <c r="M322" s="29">
        <f>ROUND(ROUND(J322, 2)*I322, 2)</f>
        <v>339.04</v>
      </c>
      <c r="P322" s="30">
        <v>88.8</v>
      </c>
      <c r="S322" s="29">
        <f>ROUND(ROUND(P322, 2)*I322, 2)</f>
        <v>339.04</v>
      </c>
      <c r="V322" s="9">
        <f>ROUND(ROUND(P322, 2)/1.2, 2)</f>
        <v>74</v>
      </c>
      <c r="Y322" s="9">
        <f t="shared" si="14"/>
        <v>282.52999999999997</v>
      </c>
      <c r="AD322" s="4" t="s">
        <v>1419</v>
      </c>
      <c r="AE322" s="4" t="s">
        <v>1420</v>
      </c>
      <c r="AF322" s="4" t="s">
        <v>493</v>
      </c>
    </row>
    <row r="323" spans="1:35" ht="56.25" x14ac:dyDescent="0.25">
      <c r="A323" s="10" t="s">
        <v>1421</v>
      </c>
      <c r="B323" s="10"/>
      <c r="C323" s="24" t="s">
        <v>859</v>
      </c>
      <c r="D323" s="15"/>
      <c r="E323" s="15" t="s">
        <v>1056</v>
      </c>
      <c r="F323" s="25" t="s">
        <v>81</v>
      </c>
      <c r="G323" s="26">
        <v>5</v>
      </c>
      <c r="H323" s="26"/>
      <c r="I323" s="26">
        <v>127.25</v>
      </c>
      <c r="J323" s="28">
        <v>23</v>
      </c>
      <c r="M323" s="29">
        <f>ROUND(ROUND(J323, 2)*I323, 2)</f>
        <v>2926.75</v>
      </c>
      <c r="P323" s="30">
        <v>23</v>
      </c>
      <c r="S323" s="29">
        <f>ROUND(ROUND(P323, 2)*I323, 2)</f>
        <v>2926.75</v>
      </c>
      <c r="V323" s="9">
        <f>ROUND(ROUND(P323, 2)/1.2, 2)</f>
        <v>19.170000000000002</v>
      </c>
      <c r="Y323" s="9">
        <f t="shared" si="14"/>
        <v>2438.96</v>
      </c>
      <c r="AD323" s="4" t="s">
        <v>1422</v>
      </c>
      <c r="AE323" s="4" t="s">
        <v>1423</v>
      </c>
      <c r="AF323" s="4" t="s">
        <v>863</v>
      </c>
    </row>
    <row r="324" spans="1:35" ht="56.25" x14ac:dyDescent="0.25">
      <c r="A324" s="10" t="s">
        <v>1424</v>
      </c>
      <c r="B324" s="10" t="s">
        <v>1402</v>
      </c>
      <c r="C324" s="14" t="s">
        <v>1403</v>
      </c>
      <c r="D324" s="15"/>
      <c r="E324" s="15" t="s">
        <v>1425</v>
      </c>
      <c r="F324" s="15" t="s">
        <v>56</v>
      </c>
      <c r="G324" s="16">
        <v>1</v>
      </c>
      <c r="H324" s="16"/>
      <c r="I324" s="16">
        <v>51.66</v>
      </c>
      <c r="J324" s="17">
        <f>IFERROR(ROUND(SUM(M325,M326,M327)/I324, 2),0)</f>
        <v>57.89</v>
      </c>
      <c r="K324" s="18">
        <v>1001</v>
      </c>
      <c r="L324" s="17">
        <f>J324+ROUND(K324, 2)</f>
        <v>1058.8900000000001</v>
      </c>
      <c r="M324" s="17">
        <f>ROUND(J324*I324, 2)</f>
        <v>2990.6</v>
      </c>
      <c r="N324" s="17">
        <f>ROUND(I324*ROUND(K324, 2), 2)</f>
        <v>51711.66</v>
      </c>
      <c r="O324" s="17">
        <f>M324+N324</f>
        <v>54702.26</v>
      </c>
      <c r="P324" s="17">
        <f>IFERROR(ROUND(SUM(S325,S326,S327)/I324, 2),0)</f>
        <v>57.89</v>
      </c>
      <c r="Q324" s="19">
        <v>1001</v>
      </c>
      <c r="R324" s="17">
        <f>P324+ROUND(Q324, 2)</f>
        <v>1058.8900000000001</v>
      </c>
      <c r="S324" s="17">
        <f>ROUND(P324*I324, 2)</f>
        <v>2990.6</v>
      </c>
      <c r="T324" s="17">
        <f>ROUND(I324*ROUND(Q324, 2), 2)</f>
        <v>51711.66</v>
      </c>
      <c r="U324" s="17">
        <f>S324+T324</f>
        <v>54702.26</v>
      </c>
      <c r="V324" s="9">
        <f>ROUND(P324 / 1.2, 2)</f>
        <v>48.24</v>
      </c>
      <c r="W324" s="9">
        <f>ROUND(Q324 / 1.2, 2)</f>
        <v>834.17</v>
      </c>
      <c r="X324" s="9">
        <f>ROUND(R324 / 1.2, 2)</f>
        <v>882.41</v>
      </c>
      <c r="Y324" s="9">
        <f t="shared" si="14"/>
        <v>2492.17</v>
      </c>
      <c r="Z324" s="9">
        <f>ROUND(T324 / 1.2, 2)</f>
        <v>43093.05</v>
      </c>
      <c r="AA324" s="9">
        <f>Y324+Z324</f>
        <v>45585.22</v>
      </c>
      <c r="AD324" s="4">
        <v>264030401</v>
      </c>
      <c r="AE324" s="4">
        <v>19923298</v>
      </c>
      <c r="AG324" s="4" t="s">
        <v>1405</v>
      </c>
      <c r="AH324" s="4" t="s">
        <v>1406</v>
      </c>
      <c r="AI324" s="4" t="s">
        <v>249</v>
      </c>
    </row>
    <row r="325" spans="1:35" ht="56.25" x14ac:dyDescent="0.25">
      <c r="A325" s="10" t="s">
        <v>1426</v>
      </c>
      <c r="B325" s="10"/>
      <c r="C325" s="37" t="s">
        <v>926</v>
      </c>
      <c r="D325" s="15"/>
      <c r="E325" s="15" t="s">
        <v>1427</v>
      </c>
      <c r="F325" s="25" t="s">
        <v>81</v>
      </c>
      <c r="G325" s="26">
        <v>1.8</v>
      </c>
      <c r="H325" s="26"/>
      <c r="I325" s="26">
        <v>92.988</v>
      </c>
      <c r="J325" s="28">
        <v>12.58</v>
      </c>
      <c r="M325" s="29">
        <f>ROUND(ROUND(J325, 2)*I325, 2)</f>
        <v>1169.79</v>
      </c>
      <c r="P325" s="30">
        <v>12.58</v>
      </c>
      <c r="S325" s="29">
        <f>ROUND(ROUND(P325, 2)*I325, 2)</f>
        <v>1169.79</v>
      </c>
      <c r="V325" s="9">
        <f>ROUND(ROUND(P325, 2)/1.2, 2)</f>
        <v>10.48</v>
      </c>
      <c r="Y325" s="9">
        <f t="shared" si="14"/>
        <v>974.83</v>
      </c>
      <c r="AD325" s="4" t="s">
        <v>1428</v>
      </c>
      <c r="AE325" s="4" t="s">
        <v>1429</v>
      </c>
      <c r="AF325" s="4" t="s">
        <v>929</v>
      </c>
    </row>
    <row r="326" spans="1:35" ht="18.75" x14ac:dyDescent="0.25">
      <c r="A326" s="10" t="s">
        <v>1430</v>
      </c>
      <c r="B326" s="10"/>
      <c r="C326" s="24" t="s">
        <v>865</v>
      </c>
      <c r="D326" s="15"/>
      <c r="E326" s="15"/>
      <c r="F326" s="25" t="s">
        <v>103</v>
      </c>
      <c r="G326" s="26">
        <v>0.3</v>
      </c>
      <c r="H326" s="26"/>
      <c r="I326" s="26">
        <v>15.497999999999999</v>
      </c>
      <c r="J326" s="28">
        <v>73.099999999999994</v>
      </c>
      <c r="M326" s="29">
        <f>ROUND(ROUND(J326, 2)*I326, 2)</f>
        <v>1132.9000000000001</v>
      </c>
      <c r="P326" s="30">
        <v>73.099999999999994</v>
      </c>
      <c r="S326" s="29">
        <f>ROUND(ROUND(P326, 2)*I326, 2)</f>
        <v>1132.9000000000001</v>
      </c>
      <c r="V326" s="9">
        <f>ROUND(ROUND(P326, 2)/1.2, 2)</f>
        <v>60.92</v>
      </c>
      <c r="Y326" s="9">
        <f t="shared" si="14"/>
        <v>944.08</v>
      </c>
      <c r="AD326" s="4" t="s">
        <v>1431</v>
      </c>
      <c r="AE326" s="4" t="s">
        <v>1432</v>
      </c>
      <c r="AF326" s="4" t="s">
        <v>868</v>
      </c>
    </row>
    <row r="327" spans="1:35" ht="37.5" x14ac:dyDescent="0.25">
      <c r="A327" s="10" t="s">
        <v>1433</v>
      </c>
      <c r="B327" s="10"/>
      <c r="C327" s="24" t="s">
        <v>490</v>
      </c>
      <c r="D327" s="15"/>
      <c r="E327" s="15"/>
      <c r="F327" s="25" t="s">
        <v>81</v>
      </c>
      <c r="G327" s="26">
        <v>0.15</v>
      </c>
      <c r="H327" s="26"/>
      <c r="I327" s="26">
        <v>7.7489999999999997</v>
      </c>
      <c r="J327" s="28">
        <v>88.8</v>
      </c>
      <c r="M327" s="29">
        <f>ROUND(ROUND(J327, 2)*I327, 2)</f>
        <v>688.11</v>
      </c>
      <c r="P327" s="30">
        <v>88.8</v>
      </c>
      <c r="S327" s="29">
        <f>ROUND(ROUND(P327, 2)*I327, 2)</f>
        <v>688.11</v>
      </c>
      <c r="V327" s="9">
        <f>ROUND(ROUND(P327, 2)/1.2, 2)</f>
        <v>74</v>
      </c>
      <c r="Y327" s="9">
        <f t="shared" si="14"/>
        <v>573.42999999999995</v>
      </c>
      <c r="AD327" s="4" t="s">
        <v>1434</v>
      </c>
      <c r="AE327" s="4" t="s">
        <v>1435</v>
      </c>
      <c r="AF327" s="4" t="s">
        <v>493</v>
      </c>
    </row>
    <row r="328" spans="1:35" ht="56.25" x14ac:dyDescent="0.25">
      <c r="A328" s="10" t="s">
        <v>1436</v>
      </c>
      <c r="B328" s="10" t="s">
        <v>1402</v>
      </c>
      <c r="C328" s="14" t="s">
        <v>1403</v>
      </c>
      <c r="D328" s="15"/>
      <c r="E328" s="15" t="s">
        <v>1437</v>
      </c>
      <c r="F328" s="15" t="s">
        <v>56</v>
      </c>
      <c r="G328" s="16">
        <v>1</v>
      </c>
      <c r="H328" s="16"/>
      <c r="I328" s="16">
        <v>51.66</v>
      </c>
      <c r="J328" s="17">
        <f>IFERROR(ROUND(SUM(M329,M330)/I328, 2),0)</f>
        <v>35.96</v>
      </c>
      <c r="K328" s="18">
        <v>1001</v>
      </c>
      <c r="L328" s="17">
        <f>J328+ROUND(K328, 2)</f>
        <v>1036.96</v>
      </c>
      <c r="M328" s="17">
        <f>ROUND(J328*I328, 2)</f>
        <v>1857.69</v>
      </c>
      <c r="N328" s="17">
        <f>ROUND(I328*ROUND(K328, 2), 2)</f>
        <v>51711.66</v>
      </c>
      <c r="O328" s="17">
        <f>M328+N328</f>
        <v>53569.350000000006</v>
      </c>
      <c r="P328" s="17">
        <f>IFERROR(ROUND(SUM(S329,S330)/I328, 2),0)</f>
        <v>35.96</v>
      </c>
      <c r="Q328" s="19">
        <v>1001</v>
      </c>
      <c r="R328" s="17">
        <f>P328+ROUND(Q328, 2)</f>
        <v>1036.96</v>
      </c>
      <c r="S328" s="17">
        <f>ROUND(P328*I328, 2)</f>
        <v>1857.69</v>
      </c>
      <c r="T328" s="17">
        <f>ROUND(I328*ROUND(Q328, 2), 2)</f>
        <v>51711.66</v>
      </c>
      <c r="U328" s="17">
        <f>S328+T328</f>
        <v>53569.350000000006</v>
      </c>
      <c r="V328" s="9">
        <f>ROUND(P328 / 1.2, 2)</f>
        <v>29.97</v>
      </c>
      <c r="W328" s="9">
        <f>ROUND(Q328 / 1.2, 2)</f>
        <v>834.17</v>
      </c>
      <c r="X328" s="9">
        <f>ROUND(R328 / 1.2, 2)</f>
        <v>864.13</v>
      </c>
      <c r="Y328" s="9">
        <f t="shared" si="14"/>
        <v>1548.08</v>
      </c>
      <c r="Z328" s="9">
        <f>ROUND(T328 / 1.2, 2)</f>
        <v>43093.05</v>
      </c>
      <c r="AA328" s="9">
        <f>Y328+Z328</f>
        <v>44641.130000000005</v>
      </c>
      <c r="AD328" s="4">
        <v>264030402</v>
      </c>
      <c r="AE328" s="4">
        <v>19923299</v>
      </c>
      <c r="AG328" s="4" t="s">
        <v>1405</v>
      </c>
      <c r="AH328" s="4" t="s">
        <v>1406</v>
      </c>
      <c r="AI328" s="4" t="s">
        <v>249</v>
      </c>
    </row>
    <row r="329" spans="1:35" ht="37.5" x14ac:dyDescent="0.25">
      <c r="A329" s="10" t="s">
        <v>1438</v>
      </c>
      <c r="B329" s="10"/>
      <c r="C329" s="24" t="s">
        <v>490</v>
      </c>
      <c r="D329" s="15"/>
      <c r="E329" s="15"/>
      <c r="F329" s="25" t="s">
        <v>81</v>
      </c>
      <c r="G329" s="26">
        <v>0.15</v>
      </c>
      <c r="H329" s="26"/>
      <c r="I329" s="26">
        <v>7.7489999999999997</v>
      </c>
      <c r="J329" s="28">
        <v>88.8</v>
      </c>
      <c r="M329" s="29">
        <f>ROUND(ROUND(J329, 2)*I329, 2)</f>
        <v>688.11</v>
      </c>
      <c r="P329" s="30">
        <v>88.8</v>
      </c>
      <c r="S329" s="29">
        <f>ROUND(ROUND(P329, 2)*I329, 2)</f>
        <v>688.11</v>
      </c>
      <c r="V329" s="9">
        <f>ROUND(ROUND(P329, 2)/1.2, 2)</f>
        <v>74</v>
      </c>
      <c r="Y329" s="9">
        <f t="shared" si="14"/>
        <v>573.42999999999995</v>
      </c>
      <c r="AD329" s="4" t="s">
        <v>1439</v>
      </c>
      <c r="AE329" s="4" t="s">
        <v>1440</v>
      </c>
      <c r="AF329" s="4" t="s">
        <v>493</v>
      </c>
    </row>
    <row r="330" spans="1:35" ht="56.25" x14ac:dyDescent="0.25">
      <c r="A330" s="10" t="s">
        <v>1441</v>
      </c>
      <c r="B330" s="10"/>
      <c r="C330" s="37" t="s">
        <v>926</v>
      </c>
      <c r="D330" s="15"/>
      <c r="E330" s="15"/>
      <c r="F330" s="25" t="s">
        <v>81</v>
      </c>
      <c r="G330" s="26">
        <v>1.8</v>
      </c>
      <c r="H330" s="26"/>
      <c r="I330" s="26">
        <v>92.988</v>
      </c>
      <c r="J330" s="28">
        <v>12.58</v>
      </c>
      <c r="M330" s="29">
        <f>ROUND(ROUND(J330, 2)*I330, 2)</f>
        <v>1169.79</v>
      </c>
      <c r="P330" s="30">
        <v>12.58</v>
      </c>
      <c r="S330" s="29">
        <f>ROUND(ROUND(P330, 2)*I330, 2)</f>
        <v>1169.79</v>
      </c>
      <c r="V330" s="9">
        <f>ROUND(ROUND(P330, 2)/1.2, 2)</f>
        <v>10.48</v>
      </c>
      <c r="Y330" s="9">
        <f t="shared" si="14"/>
        <v>974.83</v>
      </c>
      <c r="AD330" s="4" t="s">
        <v>1442</v>
      </c>
      <c r="AE330" s="4" t="s">
        <v>1443</v>
      </c>
      <c r="AF330" s="4" t="s">
        <v>929</v>
      </c>
    </row>
    <row r="331" spans="1:35" ht="56.25" x14ac:dyDescent="0.25">
      <c r="A331" s="10" t="s">
        <v>1444</v>
      </c>
      <c r="B331" s="10" t="s">
        <v>1402</v>
      </c>
      <c r="C331" s="14" t="s">
        <v>1403</v>
      </c>
      <c r="D331" s="15"/>
      <c r="E331" s="15" t="s">
        <v>1445</v>
      </c>
      <c r="F331" s="15" t="s">
        <v>56</v>
      </c>
      <c r="G331" s="16">
        <v>1</v>
      </c>
      <c r="H331" s="16"/>
      <c r="I331" s="16">
        <v>37.68</v>
      </c>
      <c r="J331" s="17">
        <f>IFERROR(ROUND(SUM(M332,M333)/I331, 2),0)</f>
        <v>128.32</v>
      </c>
      <c r="K331" s="18">
        <v>1001</v>
      </c>
      <c r="L331" s="17">
        <f>J331+ROUND(K331, 2)</f>
        <v>1129.32</v>
      </c>
      <c r="M331" s="17">
        <f>ROUND(J331*I331, 2)</f>
        <v>4835.1000000000004</v>
      </c>
      <c r="N331" s="17">
        <f>ROUND(I331*ROUND(K331, 2), 2)</f>
        <v>37717.68</v>
      </c>
      <c r="O331" s="17">
        <f>M331+N331</f>
        <v>42552.78</v>
      </c>
      <c r="P331" s="17">
        <f>IFERROR(ROUND(SUM(S332,S333)/I331, 2),0)</f>
        <v>128.32</v>
      </c>
      <c r="Q331" s="19">
        <v>1001</v>
      </c>
      <c r="R331" s="17">
        <f>P331+ROUND(Q331, 2)</f>
        <v>1129.32</v>
      </c>
      <c r="S331" s="17">
        <f>ROUND(P331*I331, 2)</f>
        <v>4835.1000000000004</v>
      </c>
      <c r="T331" s="17">
        <f>ROUND(I331*ROUND(Q331, 2), 2)</f>
        <v>37717.68</v>
      </c>
      <c r="U331" s="17">
        <f>S331+T331</f>
        <v>42552.78</v>
      </c>
      <c r="V331" s="9">
        <f>ROUND(P331 / 1.2, 2)</f>
        <v>106.93</v>
      </c>
      <c r="W331" s="9">
        <f>ROUND(Q331 / 1.2, 2)</f>
        <v>834.17</v>
      </c>
      <c r="X331" s="9">
        <f>ROUND(R331 / 1.2, 2)</f>
        <v>941.1</v>
      </c>
      <c r="Y331" s="9">
        <f t="shared" si="14"/>
        <v>4029.25</v>
      </c>
      <c r="Z331" s="9">
        <f>ROUND(T331 / 1.2, 2)</f>
        <v>31431.4</v>
      </c>
      <c r="AA331" s="9">
        <f>Y331+Z331</f>
        <v>35460.65</v>
      </c>
      <c r="AD331" s="4">
        <v>264030403</v>
      </c>
      <c r="AE331" s="4">
        <v>19934299</v>
      </c>
      <c r="AG331" s="4" t="s">
        <v>1405</v>
      </c>
      <c r="AH331" s="4" t="s">
        <v>1406</v>
      </c>
      <c r="AI331" s="4" t="s">
        <v>249</v>
      </c>
    </row>
    <row r="332" spans="1:35" ht="56.25" x14ac:dyDescent="0.25">
      <c r="A332" s="10" t="s">
        <v>1446</v>
      </c>
      <c r="B332" s="10"/>
      <c r="C332" s="24" t="s">
        <v>859</v>
      </c>
      <c r="D332" s="15"/>
      <c r="E332" s="15" t="s">
        <v>1056</v>
      </c>
      <c r="F332" s="25" t="s">
        <v>81</v>
      </c>
      <c r="G332" s="26">
        <v>5</v>
      </c>
      <c r="H332" s="26"/>
      <c r="I332" s="26">
        <v>188.4</v>
      </c>
      <c r="J332" s="28">
        <v>23</v>
      </c>
      <c r="M332" s="29">
        <f>ROUND(ROUND(J332, 2)*I332, 2)</f>
        <v>4333.2</v>
      </c>
      <c r="P332" s="30">
        <v>23</v>
      </c>
      <c r="S332" s="29">
        <f>ROUND(ROUND(P332, 2)*I332, 2)</f>
        <v>4333.2</v>
      </c>
      <c r="V332" s="9">
        <f>ROUND(ROUND(P332, 2)/1.2, 2)</f>
        <v>19.170000000000002</v>
      </c>
      <c r="Y332" s="9">
        <f t="shared" si="14"/>
        <v>3611</v>
      </c>
      <c r="AD332" s="4" t="s">
        <v>1447</v>
      </c>
      <c r="AE332" s="4" t="s">
        <v>1448</v>
      </c>
      <c r="AF332" s="4" t="s">
        <v>863</v>
      </c>
    </row>
    <row r="333" spans="1:35" ht="37.5" x14ac:dyDescent="0.25">
      <c r="A333" s="10" t="s">
        <v>1449</v>
      </c>
      <c r="B333" s="10"/>
      <c r="C333" s="24" t="s">
        <v>490</v>
      </c>
      <c r="D333" s="15"/>
      <c r="E333" s="15"/>
      <c r="F333" s="25" t="s">
        <v>81</v>
      </c>
      <c r="G333" s="26">
        <v>0.15</v>
      </c>
      <c r="H333" s="26"/>
      <c r="I333" s="26">
        <v>5.6520000000000001</v>
      </c>
      <c r="J333" s="28">
        <v>88.8</v>
      </c>
      <c r="M333" s="29">
        <f>ROUND(ROUND(J333, 2)*I333, 2)</f>
        <v>501.9</v>
      </c>
      <c r="P333" s="30">
        <v>88.8</v>
      </c>
      <c r="S333" s="29">
        <f>ROUND(ROUND(P333, 2)*I333, 2)</f>
        <v>501.9</v>
      </c>
      <c r="V333" s="9">
        <f>ROUND(ROUND(P333, 2)/1.2, 2)</f>
        <v>74</v>
      </c>
      <c r="Y333" s="9">
        <f t="shared" si="14"/>
        <v>418.25</v>
      </c>
      <c r="AD333" s="4" t="s">
        <v>1450</v>
      </c>
      <c r="AE333" s="4" t="s">
        <v>1451</v>
      </c>
      <c r="AF333" s="4" t="s">
        <v>493</v>
      </c>
    </row>
    <row r="334" spans="1:35" ht="56.25" x14ac:dyDescent="0.25">
      <c r="A334" s="10" t="s">
        <v>1452</v>
      </c>
      <c r="B334" s="10" t="s">
        <v>1402</v>
      </c>
      <c r="C334" s="14" t="s">
        <v>1403</v>
      </c>
      <c r="D334" s="15"/>
      <c r="E334" s="15" t="s">
        <v>1453</v>
      </c>
      <c r="F334" s="15" t="s">
        <v>56</v>
      </c>
      <c r="G334" s="16">
        <v>1</v>
      </c>
      <c r="H334" s="16"/>
      <c r="I334" s="16">
        <v>37.68</v>
      </c>
      <c r="J334" s="17">
        <f>IFERROR(ROUND(SUM(M335,M336,M337)/I334, 2),0)</f>
        <v>150.25</v>
      </c>
      <c r="K334" s="18">
        <v>1001</v>
      </c>
      <c r="L334" s="17">
        <f>J334+ROUND(K334, 2)</f>
        <v>1151.25</v>
      </c>
      <c r="M334" s="17">
        <f>ROUND(J334*I334, 2)</f>
        <v>5661.42</v>
      </c>
      <c r="N334" s="17">
        <f>ROUND(I334*ROUND(K334, 2), 2)</f>
        <v>37717.68</v>
      </c>
      <c r="O334" s="17">
        <f>M334+N334</f>
        <v>43379.1</v>
      </c>
      <c r="P334" s="17">
        <f>IFERROR(ROUND(SUM(S335,S336,S337)/I334, 2),0)</f>
        <v>150.25</v>
      </c>
      <c r="Q334" s="19">
        <v>1001</v>
      </c>
      <c r="R334" s="17">
        <f>P334+ROUND(Q334, 2)</f>
        <v>1151.25</v>
      </c>
      <c r="S334" s="17">
        <f>ROUND(P334*I334, 2)</f>
        <v>5661.42</v>
      </c>
      <c r="T334" s="17">
        <f>ROUND(I334*ROUND(Q334, 2), 2)</f>
        <v>37717.68</v>
      </c>
      <c r="U334" s="17">
        <f>S334+T334</f>
        <v>43379.1</v>
      </c>
      <c r="V334" s="9">
        <f>ROUND(P334 / 1.2, 2)</f>
        <v>125.21</v>
      </c>
      <c r="W334" s="9">
        <f>ROUND(Q334 / 1.2, 2)</f>
        <v>834.17</v>
      </c>
      <c r="X334" s="9">
        <f>ROUND(R334 / 1.2, 2)</f>
        <v>959.38</v>
      </c>
      <c r="Y334" s="9">
        <f t="shared" si="14"/>
        <v>4717.8500000000004</v>
      </c>
      <c r="Z334" s="9">
        <f>ROUND(T334 / 1.2, 2)</f>
        <v>31431.4</v>
      </c>
      <c r="AA334" s="9">
        <f>Y334+Z334</f>
        <v>36149.25</v>
      </c>
      <c r="AD334" s="4">
        <v>264030404</v>
      </c>
      <c r="AE334" s="4">
        <v>19934297</v>
      </c>
      <c r="AG334" s="4" t="s">
        <v>1405</v>
      </c>
      <c r="AH334" s="4" t="s">
        <v>1406</v>
      </c>
      <c r="AI334" s="4" t="s">
        <v>249</v>
      </c>
    </row>
    <row r="335" spans="1:35" ht="37.5" x14ac:dyDescent="0.25">
      <c r="A335" s="10" t="s">
        <v>1454</v>
      </c>
      <c r="B335" s="10"/>
      <c r="C335" s="24" t="s">
        <v>490</v>
      </c>
      <c r="D335" s="15"/>
      <c r="E335" s="15"/>
      <c r="F335" s="25" t="s">
        <v>81</v>
      </c>
      <c r="G335" s="26">
        <v>0.15</v>
      </c>
      <c r="H335" s="26"/>
      <c r="I335" s="26">
        <v>5.6520000000000001</v>
      </c>
      <c r="J335" s="28">
        <v>88.8</v>
      </c>
      <c r="M335" s="29">
        <f>ROUND(ROUND(J335, 2)*I335, 2)</f>
        <v>501.9</v>
      </c>
      <c r="P335" s="30">
        <v>88.8</v>
      </c>
      <c r="S335" s="29">
        <f>ROUND(ROUND(P335, 2)*I335, 2)</f>
        <v>501.9</v>
      </c>
      <c r="V335" s="9">
        <f>ROUND(ROUND(P335, 2)/1.2, 2)</f>
        <v>74</v>
      </c>
      <c r="Y335" s="9">
        <f t="shared" si="14"/>
        <v>418.25</v>
      </c>
      <c r="AD335" s="4" t="s">
        <v>1455</v>
      </c>
      <c r="AE335" s="4" t="s">
        <v>1456</v>
      </c>
      <c r="AF335" s="4" t="s">
        <v>493</v>
      </c>
    </row>
    <row r="336" spans="1:35" ht="18.75" x14ac:dyDescent="0.25">
      <c r="A336" s="10" t="s">
        <v>1457</v>
      </c>
      <c r="B336" s="10"/>
      <c r="C336" s="24" t="s">
        <v>865</v>
      </c>
      <c r="D336" s="15"/>
      <c r="E336" s="15"/>
      <c r="F336" s="25" t="s">
        <v>103</v>
      </c>
      <c r="G336" s="26">
        <v>0.3</v>
      </c>
      <c r="H336" s="26"/>
      <c r="I336" s="26">
        <v>11.304</v>
      </c>
      <c r="J336" s="28">
        <v>73.099999999999994</v>
      </c>
      <c r="M336" s="29">
        <f>ROUND(ROUND(J336, 2)*I336, 2)</f>
        <v>826.32</v>
      </c>
      <c r="P336" s="30">
        <v>73.099999999999994</v>
      </c>
      <c r="S336" s="29">
        <f>ROUND(ROUND(P336, 2)*I336, 2)</f>
        <v>826.32</v>
      </c>
      <c r="V336" s="9">
        <f>ROUND(ROUND(P336, 2)/1.2, 2)</f>
        <v>60.92</v>
      </c>
      <c r="Y336" s="9">
        <f t="shared" si="14"/>
        <v>688.6</v>
      </c>
      <c r="AD336" s="4" t="s">
        <v>1458</v>
      </c>
      <c r="AE336" s="4" t="s">
        <v>1459</v>
      </c>
      <c r="AF336" s="4" t="s">
        <v>868</v>
      </c>
    </row>
    <row r="337" spans="1:35" ht="56.25" x14ac:dyDescent="0.25">
      <c r="A337" s="10" t="s">
        <v>1460</v>
      </c>
      <c r="B337" s="10"/>
      <c r="C337" s="24" t="s">
        <v>859</v>
      </c>
      <c r="D337" s="15"/>
      <c r="E337" s="15" t="s">
        <v>860</v>
      </c>
      <c r="F337" s="25" t="s">
        <v>81</v>
      </c>
      <c r="G337" s="26">
        <v>5</v>
      </c>
      <c r="H337" s="26"/>
      <c r="I337" s="26">
        <v>188.4</v>
      </c>
      <c r="J337" s="28">
        <v>23</v>
      </c>
      <c r="M337" s="29">
        <f>ROUND(ROUND(J337, 2)*I337, 2)</f>
        <v>4333.2</v>
      </c>
      <c r="P337" s="30">
        <v>23</v>
      </c>
      <c r="S337" s="29">
        <f>ROUND(ROUND(P337, 2)*I337, 2)</f>
        <v>4333.2</v>
      </c>
      <c r="V337" s="9">
        <f>ROUND(ROUND(P337, 2)/1.2, 2)</f>
        <v>19.170000000000002</v>
      </c>
      <c r="Y337" s="9">
        <f t="shared" si="14"/>
        <v>3611</v>
      </c>
      <c r="AD337" s="4" t="s">
        <v>1461</v>
      </c>
      <c r="AE337" s="4" t="s">
        <v>1462</v>
      </c>
      <c r="AF337" s="4" t="s">
        <v>863</v>
      </c>
    </row>
    <row r="338" spans="1:35" ht="56.25" x14ac:dyDescent="0.25">
      <c r="A338" s="10" t="s">
        <v>1463</v>
      </c>
      <c r="B338" s="10" t="s">
        <v>1464</v>
      </c>
      <c r="C338" s="14" t="s">
        <v>1465</v>
      </c>
      <c r="D338" s="15"/>
      <c r="E338" s="15" t="s">
        <v>1466</v>
      </c>
      <c r="F338" s="15" t="s">
        <v>56</v>
      </c>
      <c r="G338" s="16">
        <v>1</v>
      </c>
      <c r="H338" s="16"/>
      <c r="I338" s="16">
        <v>25.45</v>
      </c>
      <c r="J338" s="17">
        <f>IFERROR(ROUND(SUM(M339,M340)/I338, 2),0)</f>
        <v>30.41</v>
      </c>
      <c r="K338" s="18">
        <v>303</v>
      </c>
      <c r="L338" s="17">
        <f>J338+ROUND(K338, 2)</f>
        <v>333.41</v>
      </c>
      <c r="M338" s="17">
        <f>ROUND(J338*I338, 2)</f>
        <v>773.93</v>
      </c>
      <c r="N338" s="17">
        <f>ROUND(I338*ROUND(K338, 2), 2)</f>
        <v>7711.35</v>
      </c>
      <c r="O338" s="17">
        <f>M338+N338</f>
        <v>8485.2800000000007</v>
      </c>
      <c r="P338" s="17">
        <f>IFERROR(ROUND(SUM(S339,S340)/I338, 2),0)</f>
        <v>30.41</v>
      </c>
      <c r="Q338" s="19">
        <v>303</v>
      </c>
      <c r="R338" s="17">
        <f>P338+ROUND(Q338, 2)</f>
        <v>333.41</v>
      </c>
      <c r="S338" s="17">
        <f>ROUND(P338*I338, 2)</f>
        <v>773.93</v>
      </c>
      <c r="T338" s="17">
        <f>ROUND(I338*ROUND(Q338, 2), 2)</f>
        <v>7711.35</v>
      </c>
      <c r="U338" s="17">
        <f>S338+T338</f>
        <v>8485.2800000000007</v>
      </c>
      <c r="V338" s="9">
        <f>ROUND(P338 / 1.2, 2)</f>
        <v>25.34</v>
      </c>
      <c r="W338" s="9">
        <f>ROUND(Q338 / 1.2, 2)</f>
        <v>252.5</v>
      </c>
      <c r="X338" s="9">
        <f>ROUND(R338 / 1.2, 2)</f>
        <v>277.83999999999997</v>
      </c>
      <c r="Y338" s="9">
        <f t="shared" si="14"/>
        <v>644.94000000000005</v>
      </c>
      <c r="Z338" s="9">
        <f>ROUND(T338 / 1.2, 2)</f>
        <v>6426.13</v>
      </c>
      <c r="AA338" s="9">
        <f>Y338+Z338</f>
        <v>7071.07</v>
      </c>
      <c r="AD338" s="4">
        <v>264030317</v>
      </c>
      <c r="AE338" s="4">
        <v>18541174</v>
      </c>
      <c r="AG338" s="4" t="s">
        <v>1467</v>
      </c>
      <c r="AH338" s="4" t="s">
        <v>1468</v>
      </c>
      <c r="AI338" s="4" t="s">
        <v>249</v>
      </c>
    </row>
    <row r="339" spans="1:35" ht="37.5" x14ac:dyDescent="0.25">
      <c r="A339" s="10" t="s">
        <v>1469</v>
      </c>
      <c r="B339" s="10"/>
      <c r="C339" s="24" t="s">
        <v>1470</v>
      </c>
      <c r="D339" s="15"/>
      <c r="E339" s="15"/>
      <c r="F339" s="25" t="s">
        <v>81</v>
      </c>
      <c r="G339" s="26">
        <v>0.3</v>
      </c>
      <c r="H339" s="26"/>
      <c r="I339" s="26">
        <v>7.6349999999999998</v>
      </c>
      <c r="J339" s="28">
        <v>71.75</v>
      </c>
      <c r="M339" s="29">
        <f>ROUND(ROUND(J339, 2)*I339, 2)</f>
        <v>547.80999999999995</v>
      </c>
      <c r="P339" s="30">
        <v>71.75</v>
      </c>
      <c r="S339" s="29">
        <f>ROUND(ROUND(P339, 2)*I339, 2)</f>
        <v>547.80999999999995</v>
      </c>
      <c r="V339" s="9">
        <f>ROUND(ROUND(P339, 2)/1.2, 2)</f>
        <v>59.79</v>
      </c>
      <c r="Y339" s="9">
        <f t="shared" si="14"/>
        <v>456.51</v>
      </c>
      <c r="AD339" s="4" t="s">
        <v>1471</v>
      </c>
      <c r="AE339" s="4" t="s">
        <v>1472</v>
      </c>
      <c r="AF339" s="4" t="s">
        <v>1473</v>
      </c>
    </row>
    <row r="340" spans="1:35" ht="37.5" x14ac:dyDescent="0.25">
      <c r="A340" s="10" t="s">
        <v>1474</v>
      </c>
      <c r="B340" s="10"/>
      <c r="C340" s="24" t="s">
        <v>490</v>
      </c>
      <c r="D340" s="15"/>
      <c r="E340" s="15"/>
      <c r="F340" s="25" t="s">
        <v>81</v>
      </c>
      <c r="G340" s="26">
        <v>0.1</v>
      </c>
      <c r="H340" s="26"/>
      <c r="I340" s="26">
        <v>2.5449999999999999</v>
      </c>
      <c r="J340" s="28">
        <v>88.8</v>
      </c>
      <c r="M340" s="29">
        <f>ROUND(ROUND(J340, 2)*I340, 2)</f>
        <v>226</v>
      </c>
      <c r="P340" s="30">
        <v>88.8</v>
      </c>
      <c r="S340" s="29">
        <f>ROUND(ROUND(P340, 2)*I340, 2)</f>
        <v>226</v>
      </c>
      <c r="V340" s="9">
        <f>ROUND(ROUND(P340, 2)/1.2, 2)</f>
        <v>74</v>
      </c>
      <c r="Y340" s="9">
        <f t="shared" si="14"/>
        <v>188.33</v>
      </c>
      <c r="AD340" s="4" t="s">
        <v>1475</v>
      </c>
      <c r="AE340" s="4" t="s">
        <v>1476</v>
      </c>
      <c r="AF340" s="4" t="s">
        <v>493</v>
      </c>
    </row>
    <row r="341" spans="1:35" ht="56.25" x14ac:dyDescent="0.25">
      <c r="A341" s="10" t="s">
        <v>1477</v>
      </c>
      <c r="B341" s="10" t="s">
        <v>1464</v>
      </c>
      <c r="C341" s="14" t="s">
        <v>1465</v>
      </c>
      <c r="D341" s="15"/>
      <c r="E341" s="15" t="s">
        <v>1478</v>
      </c>
      <c r="F341" s="15" t="s">
        <v>56</v>
      </c>
      <c r="G341" s="16">
        <v>1</v>
      </c>
      <c r="H341" s="16"/>
      <c r="I341" s="16">
        <v>51.66</v>
      </c>
      <c r="J341" s="17">
        <f>IFERROR(ROUND(SUM(M342,M343)/I341, 2),0)</f>
        <v>30.4</v>
      </c>
      <c r="K341" s="18">
        <v>303</v>
      </c>
      <c r="L341" s="17">
        <f>J341+ROUND(K341, 2)</f>
        <v>333.4</v>
      </c>
      <c r="M341" s="17">
        <f>ROUND(J341*I341, 2)</f>
        <v>1570.46</v>
      </c>
      <c r="N341" s="17">
        <f>ROUND(I341*ROUND(K341, 2), 2)</f>
        <v>15652.98</v>
      </c>
      <c r="O341" s="17">
        <f>M341+N341</f>
        <v>17223.439999999999</v>
      </c>
      <c r="P341" s="17">
        <f>IFERROR(ROUND(SUM(S342,S343)/I341, 2),0)</f>
        <v>30.4</v>
      </c>
      <c r="Q341" s="19">
        <v>303</v>
      </c>
      <c r="R341" s="17">
        <f>P341+ROUND(Q341, 2)</f>
        <v>333.4</v>
      </c>
      <c r="S341" s="17">
        <f>ROUND(P341*I341, 2)</f>
        <v>1570.46</v>
      </c>
      <c r="T341" s="17">
        <f>ROUND(I341*ROUND(Q341, 2), 2)</f>
        <v>15652.98</v>
      </c>
      <c r="U341" s="17">
        <f>S341+T341</f>
        <v>17223.439999999999</v>
      </c>
      <c r="V341" s="9">
        <f>ROUND(P341 / 1.2, 2)</f>
        <v>25.33</v>
      </c>
      <c r="W341" s="9">
        <f>ROUND(Q341 / 1.2, 2)</f>
        <v>252.5</v>
      </c>
      <c r="X341" s="9">
        <f>ROUND(R341 / 1.2, 2)</f>
        <v>277.83</v>
      </c>
      <c r="Y341" s="9">
        <f t="shared" si="14"/>
        <v>1308.72</v>
      </c>
      <c r="Z341" s="9">
        <f>ROUND(T341 / 1.2, 2)</f>
        <v>13044.15</v>
      </c>
      <c r="AA341" s="9">
        <f>Y341+Z341</f>
        <v>14352.869999999999</v>
      </c>
      <c r="AD341" s="4">
        <v>264030405</v>
      </c>
      <c r="AE341" s="4">
        <v>19919222</v>
      </c>
      <c r="AG341" s="4" t="s">
        <v>1467</v>
      </c>
      <c r="AH341" s="4" t="s">
        <v>1468</v>
      </c>
      <c r="AI341" s="4" t="s">
        <v>249</v>
      </c>
    </row>
    <row r="342" spans="1:35" ht="37.5" x14ac:dyDescent="0.25">
      <c r="A342" s="10" t="s">
        <v>1479</v>
      </c>
      <c r="B342" s="10"/>
      <c r="C342" s="24" t="s">
        <v>490</v>
      </c>
      <c r="D342" s="15"/>
      <c r="E342" s="15"/>
      <c r="F342" s="25" t="s">
        <v>81</v>
      </c>
      <c r="G342" s="26">
        <v>0.1</v>
      </c>
      <c r="H342" s="26"/>
      <c r="I342" s="26">
        <v>5.1660000000000004</v>
      </c>
      <c r="J342" s="28">
        <v>88.8</v>
      </c>
      <c r="M342" s="29">
        <f>ROUND(ROUND(J342, 2)*I342, 2)</f>
        <v>458.74</v>
      </c>
      <c r="P342" s="30">
        <v>88.8</v>
      </c>
      <c r="S342" s="29">
        <f>ROUND(ROUND(P342, 2)*I342, 2)</f>
        <v>458.74</v>
      </c>
      <c r="V342" s="9">
        <f>ROUND(ROUND(P342, 2)/1.2, 2)</f>
        <v>74</v>
      </c>
      <c r="Y342" s="9">
        <f t="shared" si="14"/>
        <v>382.28</v>
      </c>
      <c r="AD342" s="4" t="s">
        <v>1480</v>
      </c>
      <c r="AE342" s="4" t="s">
        <v>1481</v>
      </c>
      <c r="AF342" s="4" t="s">
        <v>493</v>
      </c>
    </row>
    <row r="343" spans="1:35" ht="37.5" x14ac:dyDescent="0.25">
      <c r="A343" s="10" t="s">
        <v>1482</v>
      </c>
      <c r="B343" s="10"/>
      <c r="C343" s="24" t="s">
        <v>1470</v>
      </c>
      <c r="D343" s="15"/>
      <c r="E343" s="15"/>
      <c r="F343" s="25" t="s">
        <v>81</v>
      </c>
      <c r="G343" s="26">
        <v>0.3</v>
      </c>
      <c r="H343" s="26"/>
      <c r="I343" s="26">
        <v>15.497999999999999</v>
      </c>
      <c r="J343" s="28">
        <v>71.75</v>
      </c>
      <c r="M343" s="29">
        <f>ROUND(ROUND(J343, 2)*I343, 2)</f>
        <v>1111.98</v>
      </c>
      <c r="P343" s="30">
        <v>71.75</v>
      </c>
      <c r="S343" s="29">
        <f>ROUND(ROUND(P343, 2)*I343, 2)</f>
        <v>1111.98</v>
      </c>
      <c r="V343" s="9">
        <f>ROUND(ROUND(P343, 2)/1.2, 2)</f>
        <v>59.79</v>
      </c>
      <c r="Y343" s="9">
        <f t="shared" si="14"/>
        <v>926.65</v>
      </c>
      <c r="AD343" s="4" t="s">
        <v>1483</v>
      </c>
      <c r="AE343" s="4" t="s">
        <v>1484</v>
      </c>
      <c r="AF343" s="4" t="s">
        <v>1473</v>
      </c>
    </row>
    <row r="344" spans="1:35" ht="56.25" x14ac:dyDescent="0.25">
      <c r="A344" s="10" t="s">
        <v>1485</v>
      </c>
      <c r="B344" s="10" t="s">
        <v>1464</v>
      </c>
      <c r="C344" s="14" t="s">
        <v>1465</v>
      </c>
      <c r="D344" s="15"/>
      <c r="E344" s="15" t="s">
        <v>1486</v>
      </c>
      <c r="F344" s="15" t="s">
        <v>56</v>
      </c>
      <c r="G344" s="16">
        <v>1</v>
      </c>
      <c r="H344" s="16"/>
      <c r="I344" s="16">
        <v>37.68</v>
      </c>
      <c r="J344" s="17">
        <f>IFERROR(ROUND(SUM(M345,M346)/I344, 2),0)</f>
        <v>30.4</v>
      </c>
      <c r="K344" s="18">
        <v>303</v>
      </c>
      <c r="L344" s="17">
        <f>J344+ROUND(K344, 2)</f>
        <v>333.4</v>
      </c>
      <c r="M344" s="17">
        <f>ROUND(J344*I344, 2)</f>
        <v>1145.47</v>
      </c>
      <c r="N344" s="17">
        <f>ROUND(I344*ROUND(K344, 2), 2)</f>
        <v>11417.04</v>
      </c>
      <c r="O344" s="17">
        <f>M344+N344</f>
        <v>12562.51</v>
      </c>
      <c r="P344" s="17">
        <f>IFERROR(ROUND(SUM(S345,S346)/I344, 2),0)</f>
        <v>30.4</v>
      </c>
      <c r="Q344" s="19">
        <v>303</v>
      </c>
      <c r="R344" s="17">
        <f>P344+ROUND(Q344, 2)</f>
        <v>333.4</v>
      </c>
      <c r="S344" s="17">
        <f>ROUND(P344*I344, 2)</f>
        <v>1145.47</v>
      </c>
      <c r="T344" s="17">
        <f>ROUND(I344*ROUND(Q344, 2), 2)</f>
        <v>11417.04</v>
      </c>
      <c r="U344" s="17">
        <f>S344+T344</f>
        <v>12562.51</v>
      </c>
      <c r="V344" s="9">
        <f>ROUND(P344 / 1.2, 2)</f>
        <v>25.33</v>
      </c>
      <c r="W344" s="9">
        <f>ROUND(Q344 / 1.2, 2)</f>
        <v>252.5</v>
      </c>
      <c r="X344" s="9">
        <f>ROUND(R344 / 1.2, 2)</f>
        <v>277.83</v>
      </c>
      <c r="Y344" s="9">
        <f t="shared" si="14"/>
        <v>954.56</v>
      </c>
      <c r="Z344" s="9">
        <f>ROUND(T344 / 1.2, 2)</f>
        <v>9514.2000000000007</v>
      </c>
      <c r="AA344" s="9">
        <f>Y344+Z344</f>
        <v>10468.76</v>
      </c>
      <c r="AD344" s="4">
        <v>264030406</v>
      </c>
      <c r="AE344" s="4">
        <v>19919224</v>
      </c>
      <c r="AG344" s="4" t="s">
        <v>1467</v>
      </c>
      <c r="AH344" s="4" t="s">
        <v>1468</v>
      </c>
      <c r="AI344" s="4" t="s">
        <v>249</v>
      </c>
    </row>
    <row r="345" spans="1:35" ht="37.5" x14ac:dyDescent="0.25">
      <c r="A345" s="10" t="s">
        <v>1487</v>
      </c>
      <c r="B345" s="10"/>
      <c r="C345" s="24" t="s">
        <v>1470</v>
      </c>
      <c r="D345" s="15"/>
      <c r="E345" s="15"/>
      <c r="F345" s="25" t="s">
        <v>81</v>
      </c>
      <c r="G345" s="26">
        <v>0.3</v>
      </c>
      <c r="H345" s="26"/>
      <c r="I345" s="26">
        <v>11.304</v>
      </c>
      <c r="J345" s="28">
        <v>71.75</v>
      </c>
      <c r="M345" s="29">
        <f>ROUND(ROUND(J345, 2)*I345, 2)</f>
        <v>811.06</v>
      </c>
      <c r="P345" s="30">
        <v>71.75</v>
      </c>
      <c r="S345" s="29">
        <f>ROUND(ROUND(P345, 2)*I345, 2)</f>
        <v>811.06</v>
      </c>
      <c r="V345" s="9">
        <f>ROUND(ROUND(P345, 2)/1.2, 2)</f>
        <v>59.79</v>
      </c>
      <c r="Y345" s="9">
        <f t="shared" si="14"/>
        <v>675.88</v>
      </c>
      <c r="AD345" s="4" t="s">
        <v>1488</v>
      </c>
      <c r="AE345" s="4" t="s">
        <v>1489</v>
      </c>
      <c r="AF345" s="4" t="s">
        <v>1473</v>
      </c>
    </row>
    <row r="346" spans="1:35" ht="37.5" x14ac:dyDescent="0.25">
      <c r="A346" s="10" t="s">
        <v>1490</v>
      </c>
      <c r="B346" s="10"/>
      <c r="C346" s="24" t="s">
        <v>490</v>
      </c>
      <c r="D346" s="15"/>
      <c r="E346" s="15"/>
      <c r="F346" s="25" t="s">
        <v>81</v>
      </c>
      <c r="G346" s="26">
        <v>0.1</v>
      </c>
      <c r="H346" s="26"/>
      <c r="I346" s="26">
        <v>3.7679999999999998</v>
      </c>
      <c r="J346" s="28">
        <v>88.8</v>
      </c>
      <c r="M346" s="29">
        <f>ROUND(ROUND(J346, 2)*I346, 2)</f>
        <v>334.6</v>
      </c>
      <c r="P346" s="30">
        <v>88.8</v>
      </c>
      <c r="S346" s="29">
        <f>ROUND(ROUND(P346, 2)*I346, 2)</f>
        <v>334.6</v>
      </c>
      <c r="V346" s="9">
        <f>ROUND(ROUND(P346, 2)/1.2, 2)</f>
        <v>74</v>
      </c>
      <c r="Y346" s="9">
        <f t="shared" si="14"/>
        <v>278.83</v>
      </c>
      <c r="AD346" s="4" t="s">
        <v>1491</v>
      </c>
      <c r="AE346" s="4" t="s">
        <v>1492</v>
      </c>
      <c r="AF346" s="4" t="s">
        <v>493</v>
      </c>
    </row>
    <row r="347" spans="1:35" ht="37.5" x14ac:dyDescent="0.25">
      <c r="A347" s="10" t="s">
        <v>1493</v>
      </c>
      <c r="B347" s="10" t="s">
        <v>1494</v>
      </c>
      <c r="C347" s="14" t="s">
        <v>1495</v>
      </c>
      <c r="D347" s="15"/>
      <c r="E347" s="15" t="s">
        <v>1496</v>
      </c>
      <c r="F347" s="15" t="s">
        <v>56</v>
      </c>
      <c r="G347" s="16">
        <v>1</v>
      </c>
      <c r="H347" s="16"/>
      <c r="I347" s="16">
        <v>25.45</v>
      </c>
      <c r="J347" s="17">
        <f>IFERROR(ROUND(SUM(M348,M349,M350)/I347, 2),0)</f>
        <v>1088.79</v>
      </c>
      <c r="K347" s="18">
        <v>1266</v>
      </c>
      <c r="L347" s="17">
        <f>J347+ROUND(K347, 2)</f>
        <v>2354.79</v>
      </c>
      <c r="M347" s="17">
        <f>ROUND(J347*I347, 2)</f>
        <v>27709.71</v>
      </c>
      <c r="N347" s="17">
        <f>ROUND(I347*ROUND(K347, 2), 2)</f>
        <v>32219.7</v>
      </c>
      <c r="O347" s="17">
        <f>M347+N347</f>
        <v>59929.41</v>
      </c>
      <c r="P347" s="17">
        <f>IFERROR(ROUND(SUM(S348,S349,S350)/I347, 2),0)</f>
        <v>1088.79</v>
      </c>
      <c r="Q347" s="19">
        <v>1266</v>
      </c>
      <c r="R347" s="17">
        <f>P347+ROUND(Q347, 2)</f>
        <v>2354.79</v>
      </c>
      <c r="S347" s="17">
        <f>ROUND(P347*I347, 2)</f>
        <v>27709.71</v>
      </c>
      <c r="T347" s="17">
        <f>ROUND(I347*ROUND(Q347, 2), 2)</f>
        <v>32219.7</v>
      </c>
      <c r="U347" s="17">
        <f>S347+T347</f>
        <v>59929.41</v>
      </c>
      <c r="V347" s="9">
        <f>ROUND(P347 / 1.2, 2)</f>
        <v>907.33</v>
      </c>
      <c r="W347" s="9">
        <f>ROUND(Q347 / 1.2, 2)</f>
        <v>1055</v>
      </c>
      <c r="X347" s="9">
        <f>ROUND(R347 / 1.2, 2)</f>
        <v>1962.33</v>
      </c>
      <c r="Y347" s="9">
        <f t="shared" si="14"/>
        <v>23091.43</v>
      </c>
      <c r="Z347" s="9">
        <f>ROUND(T347 / 1.2, 2)</f>
        <v>26849.75</v>
      </c>
      <c r="AA347" s="9">
        <f>Y347+Z347</f>
        <v>49941.18</v>
      </c>
      <c r="AD347" s="4">
        <v>264030319</v>
      </c>
      <c r="AE347" s="4">
        <v>18541175</v>
      </c>
      <c r="AG347" s="4" t="s">
        <v>1497</v>
      </c>
      <c r="AH347" s="4" t="s">
        <v>1498</v>
      </c>
      <c r="AI347" s="4" t="s">
        <v>249</v>
      </c>
    </row>
    <row r="348" spans="1:35" ht="75" x14ac:dyDescent="0.25">
      <c r="A348" s="10" t="s">
        <v>1499</v>
      </c>
      <c r="B348" s="10"/>
      <c r="C348" s="24" t="s">
        <v>1500</v>
      </c>
      <c r="D348" s="15"/>
      <c r="E348" s="15"/>
      <c r="F348" s="25" t="s">
        <v>87</v>
      </c>
      <c r="G348" s="26">
        <v>1</v>
      </c>
      <c r="H348" s="26"/>
      <c r="I348" s="26">
        <v>25.45</v>
      </c>
      <c r="J348" s="28">
        <v>34.770000000000003</v>
      </c>
      <c r="M348" s="29">
        <f>ROUND(ROUND(J348, 2)*I348, 2)</f>
        <v>884.9</v>
      </c>
      <c r="P348" s="30">
        <v>34.770000000000003</v>
      </c>
      <c r="S348" s="29">
        <f>ROUND(ROUND(P348, 2)*I348, 2)</f>
        <v>884.9</v>
      </c>
      <c r="V348" s="9">
        <f>ROUND(ROUND(P348, 2)/1.2, 2)</f>
        <v>28.98</v>
      </c>
      <c r="Y348" s="9">
        <f t="shared" si="14"/>
        <v>737.42</v>
      </c>
      <c r="AD348" s="4" t="s">
        <v>1501</v>
      </c>
      <c r="AE348" s="4" t="s">
        <v>1502</v>
      </c>
      <c r="AF348" s="4" t="s">
        <v>1503</v>
      </c>
    </row>
    <row r="349" spans="1:35" ht="18.75" x14ac:dyDescent="0.25">
      <c r="A349" s="10" t="s">
        <v>1504</v>
      </c>
      <c r="B349" s="10"/>
      <c r="C349" s="37" t="s">
        <v>164</v>
      </c>
      <c r="D349" s="15"/>
      <c r="E349" s="15"/>
      <c r="F349" s="25" t="s">
        <v>123</v>
      </c>
      <c r="G349" s="26">
        <v>1</v>
      </c>
      <c r="H349" s="27"/>
      <c r="I349" s="27">
        <v>320</v>
      </c>
      <c r="J349" s="28">
        <v>56.76</v>
      </c>
      <c r="M349" s="29">
        <f>ROUND(ROUND(J349, 2)*I349, 2)</f>
        <v>18163.2</v>
      </c>
      <c r="P349" s="30">
        <v>56.76</v>
      </c>
      <c r="S349" s="29">
        <f>ROUND(ROUND(P349, 2)*I349, 2)</f>
        <v>18163.2</v>
      </c>
      <c r="V349" s="9">
        <f>ROUND(ROUND(P349, 2)/1.2, 2)</f>
        <v>47.3</v>
      </c>
      <c r="Y349" s="9">
        <f t="shared" si="14"/>
        <v>15136</v>
      </c>
      <c r="AD349" s="4" t="s">
        <v>1505</v>
      </c>
      <c r="AE349" s="4" t="s">
        <v>1506</v>
      </c>
      <c r="AF349" s="4" t="s">
        <v>167</v>
      </c>
    </row>
    <row r="350" spans="1:35" ht="18.75" x14ac:dyDescent="0.25">
      <c r="A350" s="10" t="s">
        <v>1507</v>
      </c>
      <c r="B350" s="10"/>
      <c r="C350" s="37" t="s">
        <v>1508</v>
      </c>
      <c r="D350" s="15"/>
      <c r="E350" s="15"/>
      <c r="F350" s="25" t="s">
        <v>56</v>
      </c>
      <c r="G350" s="26">
        <v>1.1000000000000001</v>
      </c>
      <c r="H350" s="26"/>
      <c r="I350" s="26">
        <v>27.995000000000001</v>
      </c>
      <c r="J350" s="28">
        <v>309.39999999999998</v>
      </c>
      <c r="M350" s="29">
        <f>ROUND(ROUND(J350, 2)*I350, 2)</f>
        <v>8661.65</v>
      </c>
      <c r="P350" s="30">
        <v>309.39999999999998</v>
      </c>
      <c r="S350" s="29">
        <f>ROUND(ROUND(P350, 2)*I350, 2)</f>
        <v>8661.65</v>
      </c>
      <c r="V350" s="9">
        <f>ROUND(ROUND(P350, 2)/1.2, 2)</f>
        <v>257.83</v>
      </c>
      <c r="Y350" s="9">
        <f t="shared" si="14"/>
        <v>7218.04</v>
      </c>
      <c r="AD350" s="4" t="s">
        <v>1509</v>
      </c>
      <c r="AE350" s="4" t="s">
        <v>1510</v>
      </c>
      <c r="AF350" s="4" t="s">
        <v>1511</v>
      </c>
    </row>
    <row r="351" spans="1:35" ht="37.5" x14ac:dyDescent="0.25">
      <c r="A351" s="10" t="s">
        <v>1512</v>
      </c>
      <c r="B351" s="10" t="s">
        <v>1494</v>
      </c>
      <c r="C351" s="14" t="s">
        <v>1495</v>
      </c>
      <c r="D351" s="15"/>
      <c r="E351" s="15" t="s">
        <v>1513</v>
      </c>
      <c r="F351" s="15" t="s">
        <v>56</v>
      </c>
      <c r="G351" s="16">
        <v>1</v>
      </c>
      <c r="H351" s="16"/>
      <c r="I351" s="16">
        <v>2.5499999999999998</v>
      </c>
      <c r="J351" s="17">
        <f>IFERROR(ROUND(SUM(M352,M353,M354,M355)/I351, 2),0)</f>
        <v>1144.18</v>
      </c>
      <c r="K351" s="18">
        <v>1266</v>
      </c>
      <c r="L351" s="17">
        <f>J351+ROUND(K351, 2)</f>
        <v>2410.1800000000003</v>
      </c>
      <c r="M351" s="17">
        <f>ROUND(J351*I351, 2)</f>
        <v>2917.66</v>
      </c>
      <c r="N351" s="17">
        <f>ROUND(I351*ROUND(K351, 2), 2)</f>
        <v>3228.3</v>
      </c>
      <c r="O351" s="17">
        <f>M351+N351</f>
        <v>6145.96</v>
      </c>
      <c r="P351" s="17">
        <f>IFERROR(ROUND(SUM(S352,S353,S354,S355)/I351, 2),0)</f>
        <v>1144.18</v>
      </c>
      <c r="Q351" s="19">
        <v>1266</v>
      </c>
      <c r="R351" s="17">
        <f>P351+ROUND(Q351, 2)</f>
        <v>2410.1800000000003</v>
      </c>
      <c r="S351" s="17">
        <f>ROUND(P351*I351, 2)</f>
        <v>2917.66</v>
      </c>
      <c r="T351" s="17">
        <f>ROUND(I351*ROUND(Q351, 2), 2)</f>
        <v>3228.3</v>
      </c>
      <c r="U351" s="17">
        <f>S351+T351</f>
        <v>6145.96</v>
      </c>
      <c r="V351" s="9">
        <f>ROUND(P351 / 1.2, 2)</f>
        <v>953.48</v>
      </c>
      <c r="W351" s="9">
        <f>ROUND(Q351 / 1.2, 2)</f>
        <v>1055</v>
      </c>
      <c r="X351" s="9">
        <f>ROUND(R351 / 1.2, 2)</f>
        <v>2008.48</v>
      </c>
      <c r="Y351" s="9">
        <f t="shared" si="14"/>
        <v>2431.38</v>
      </c>
      <c r="Z351" s="9">
        <f>ROUND(T351 / 1.2, 2)</f>
        <v>2690.25</v>
      </c>
      <c r="AA351" s="9">
        <f>Y351+Z351</f>
        <v>5121.63</v>
      </c>
      <c r="AD351" s="4">
        <v>264030407</v>
      </c>
      <c r="AE351" s="4">
        <v>19918751</v>
      </c>
      <c r="AG351" s="4" t="s">
        <v>1497</v>
      </c>
      <c r="AH351" s="4" t="s">
        <v>1498</v>
      </c>
      <c r="AI351" s="4" t="s">
        <v>249</v>
      </c>
    </row>
    <row r="352" spans="1:35" ht="18.75" x14ac:dyDescent="0.25">
      <c r="A352" s="10" t="s">
        <v>1514</v>
      </c>
      <c r="B352" s="10"/>
      <c r="C352" s="24" t="s">
        <v>1515</v>
      </c>
      <c r="D352" s="15"/>
      <c r="E352" s="15"/>
      <c r="F352" s="25" t="s">
        <v>103</v>
      </c>
      <c r="G352" s="26">
        <v>1</v>
      </c>
      <c r="H352" s="27"/>
      <c r="I352" s="27">
        <v>3.4</v>
      </c>
      <c r="J352" s="28">
        <v>80</v>
      </c>
      <c r="M352" s="29">
        <f>ROUND(ROUND(J352, 2)*I352, 2)</f>
        <v>272</v>
      </c>
      <c r="P352" s="30">
        <v>80</v>
      </c>
      <c r="S352" s="29">
        <f>ROUND(ROUND(P352, 2)*I352, 2)</f>
        <v>272</v>
      </c>
      <c r="V352" s="9">
        <f>ROUND(ROUND(P352, 2)/1.2, 2)</f>
        <v>66.67</v>
      </c>
      <c r="Y352" s="9">
        <f t="shared" si="14"/>
        <v>226.67</v>
      </c>
      <c r="AD352" s="4" t="s">
        <v>1516</v>
      </c>
      <c r="AE352" s="4" t="s">
        <v>1517</v>
      </c>
      <c r="AF352" s="4" t="s">
        <v>1518</v>
      </c>
    </row>
    <row r="353" spans="1:35" ht="18.75" x14ac:dyDescent="0.25">
      <c r="A353" s="10" t="s">
        <v>1519</v>
      </c>
      <c r="B353" s="10"/>
      <c r="C353" s="37" t="s">
        <v>1508</v>
      </c>
      <c r="D353" s="15"/>
      <c r="E353" s="15"/>
      <c r="F353" s="25" t="s">
        <v>56</v>
      </c>
      <c r="G353" s="26">
        <v>1.1000000000000001</v>
      </c>
      <c r="H353" s="26"/>
      <c r="I353" s="26">
        <v>2.8050000000000002</v>
      </c>
      <c r="J353" s="28">
        <v>309.39999999999998</v>
      </c>
      <c r="M353" s="29">
        <f>ROUND(ROUND(J353, 2)*I353, 2)</f>
        <v>867.87</v>
      </c>
      <c r="P353" s="30">
        <v>309.39999999999998</v>
      </c>
      <c r="S353" s="29">
        <f>ROUND(ROUND(P353, 2)*I353, 2)</f>
        <v>867.87</v>
      </c>
      <c r="V353" s="9">
        <f>ROUND(ROUND(P353, 2)/1.2, 2)</f>
        <v>257.83</v>
      </c>
      <c r="Y353" s="9">
        <f t="shared" si="14"/>
        <v>723.23</v>
      </c>
      <c r="AD353" s="4" t="s">
        <v>1520</v>
      </c>
      <c r="AE353" s="4" t="s">
        <v>1521</v>
      </c>
      <c r="AF353" s="4" t="s">
        <v>1511</v>
      </c>
    </row>
    <row r="354" spans="1:35" ht="18.75" x14ac:dyDescent="0.25">
      <c r="A354" s="10" t="s">
        <v>1522</v>
      </c>
      <c r="B354" s="10"/>
      <c r="C354" s="24" t="s">
        <v>1523</v>
      </c>
      <c r="D354" s="15"/>
      <c r="E354" s="15"/>
      <c r="F354" s="25" t="s">
        <v>123</v>
      </c>
      <c r="G354" s="26">
        <v>1</v>
      </c>
      <c r="H354" s="27"/>
      <c r="I354" s="27">
        <v>34</v>
      </c>
      <c r="J354" s="28">
        <v>49.68</v>
      </c>
      <c r="M354" s="29">
        <f>ROUND(ROUND(J354, 2)*I354, 2)</f>
        <v>1689.12</v>
      </c>
      <c r="P354" s="30">
        <v>49.68</v>
      </c>
      <c r="S354" s="29">
        <f>ROUND(ROUND(P354, 2)*I354, 2)</f>
        <v>1689.12</v>
      </c>
      <c r="V354" s="9">
        <f>ROUND(ROUND(P354, 2)/1.2, 2)</f>
        <v>41.4</v>
      </c>
      <c r="Y354" s="9">
        <f t="shared" si="14"/>
        <v>1407.6</v>
      </c>
      <c r="AD354" s="4" t="s">
        <v>1524</v>
      </c>
      <c r="AE354" s="4" t="s">
        <v>1525</v>
      </c>
      <c r="AF354" s="4" t="s">
        <v>1526</v>
      </c>
    </row>
    <row r="355" spans="1:35" ht="75" x14ac:dyDescent="0.25">
      <c r="A355" s="10" t="s">
        <v>1527</v>
      </c>
      <c r="B355" s="10"/>
      <c r="C355" s="24" t="s">
        <v>1500</v>
      </c>
      <c r="D355" s="15"/>
      <c r="E355" s="15"/>
      <c r="F355" s="25" t="s">
        <v>87</v>
      </c>
      <c r="G355" s="26">
        <v>1</v>
      </c>
      <c r="H355" s="26"/>
      <c r="I355" s="26">
        <v>2.5499999999999998</v>
      </c>
      <c r="J355" s="28">
        <v>34.770000000000003</v>
      </c>
      <c r="M355" s="29">
        <f>ROUND(ROUND(J355, 2)*I355, 2)</f>
        <v>88.66</v>
      </c>
      <c r="P355" s="30">
        <v>34.770000000000003</v>
      </c>
      <c r="S355" s="29">
        <f>ROUND(ROUND(P355, 2)*I355, 2)</f>
        <v>88.66</v>
      </c>
      <c r="V355" s="9">
        <f>ROUND(ROUND(P355, 2)/1.2, 2)</f>
        <v>28.98</v>
      </c>
      <c r="Y355" s="9">
        <f t="shared" si="14"/>
        <v>73.88</v>
      </c>
      <c r="AD355" s="4" t="s">
        <v>1528</v>
      </c>
      <c r="AE355" s="4" t="s">
        <v>1529</v>
      </c>
      <c r="AF355" s="4" t="s">
        <v>1503</v>
      </c>
    </row>
    <row r="356" spans="1:35" ht="37.5" x14ac:dyDescent="0.25">
      <c r="A356" s="10" t="s">
        <v>1530</v>
      </c>
      <c r="B356" s="10" t="s">
        <v>1531</v>
      </c>
      <c r="C356" s="14" t="s">
        <v>1532</v>
      </c>
      <c r="D356" s="15"/>
      <c r="E356" s="15" t="s">
        <v>1533</v>
      </c>
      <c r="F356" s="15" t="s">
        <v>56</v>
      </c>
      <c r="G356" s="16">
        <v>1</v>
      </c>
      <c r="H356" s="16"/>
      <c r="I356" s="16">
        <v>37.44</v>
      </c>
      <c r="J356" s="17">
        <f>IFERROR(ROUND(SUM(M357,M358,M359)/I356, 2),0)</f>
        <v>260.3</v>
      </c>
      <c r="K356" s="18">
        <v>1291</v>
      </c>
      <c r="L356" s="17">
        <f>J356+ROUND(K356, 2)</f>
        <v>1551.3</v>
      </c>
      <c r="M356" s="17">
        <f>ROUND(J356*I356, 2)</f>
        <v>9745.6299999999992</v>
      </c>
      <c r="N356" s="17">
        <f>ROUND(I356*ROUND(K356, 2), 2)</f>
        <v>48335.040000000001</v>
      </c>
      <c r="O356" s="17">
        <f>M356+N356</f>
        <v>58080.67</v>
      </c>
      <c r="P356" s="17">
        <f>IFERROR(ROUND(SUM(S357,S358,S359)/I356, 2),0)</f>
        <v>260.3</v>
      </c>
      <c r="Q356" s="19">
        <v>1291</v>
      </c>
      <c r="R356" s="17">
        <f>P356+ROUND(Q356, 2)</f>
        <v>1551.3</v>
      </c>
      <c r="S356" s="17">
        <f>ROUND(P356*I356, 2)</f>
        <v>9745.6299999999992</v>
      </c>
      <c r="T356" s="17">
        <f>ROUND(I356*ROUND(Q356, 2), 2)</f>
        <v>48335.040000000001</v>
      </c>
      <c r="U356" s="17">
        <f>S356+T356</f>
        <v>58080.67</v>
      </c>
      <c r="V356" s="9">
        <f>ROUND(P356 / 1.2, 2)</f>
        <v>216.92</v>
      </c>
      <c r="W356" s="9">
        <f>ROUND(Q356 / 1.2, 2)</f>
        <v>1075.83</v>
      </c>
      <c r="X356" s="9">
        <f>ROUND(R356 / 1.2, 2)</f>
        <v>1292.75</v>
      </c>
      <c r="Y356" s="9">
        <f t="shared" si="14"/>
        <v>8121.36</v>
      </c>
      <c r="Z356" s="9">
        <f>ROUND(T356 / 1.2, 2)</f>
        <v>40279.199999999997</v>
      </c>
      <c r="AA356" s="9">
        <f>Y356+Z356</f>
        <v>48400.56</v>
      </c>
      <c r="AD356" s="4">
        <v>264030321</v>
      </c>
      <c r="AE356" s="4">
        <v>19917608</v>
      </c>
      <c r="AG356" s="4" t="s">
        <v>1534</v>
      </c>
      <c r="AH356" s="4" t="s">
        <v>1535</v>
      </c>
      <c r="AI356" s="4" t="s">
        <v>249</v>
      </c>
    </row>
    <row r="357" spans="1:35" ht="18.75" x14ac:dyDescent="0.25">
      <c r="A357" s="10" t="s">
        <v>1536</v>
      </c>
      <c r="B357" s="10"/>
      <c r="C357" s="24" t="s">
        <v>1515</v>
      </c>
      <c r="D357" s="15"/>
      <c r="E357" s="15"/>
      <c r="F357" s="25" t="s">
        <v>103</v>
      </c>
      <c r="G357" s="26">
        <v>1</v>
      </c>
      <c r="H357" s="27"/>
      <c r="I357" s="27">
        <v>22</v>
      </c>
      <c r="J357" s="28">
        <v>80</v>
      </c>
      <c r="M357" s="29">
        <f>ROUND(ROUND(J357, 2)*I357, 2)</f>
        <v>1760</v>
      </c>
      <c r="P357" s="30">
        <v>80</v>
      </c>
      <c r="S357" s="29">
        <f>ROUND(ROUND(P357, 2)*I357, 2)</f>
        <v>1760</v>
      </c>
      <c r="V357" s="9">
        <f>ROUND(ROUND(P357, 2)/1.2, 2)</f>
        <v>66.67</v>
      </c>
      <c r="Y357" s="9">
        <f t="shared" si="14"/>
        <v>1466.67</v>
      </c>
      <c r="AD357" s="4" t="s">
        <v>1537</v>
      </c>
      <c r="AE357" s="4" t="s">
        <v>1538</v>
      </c>
      <c r="AF357" s="4" t="s">
        <v>1518</v>
      </c>
    </row>
    <row r="358" spans="1:35" ht="18.75" x14ac:dyDescent="0.25">
      <c r="A358" s="10" t="s">
        <v>1539</v>
      </c>
      <c r="B358" s="10"/>
      <c r="C358" s="24" t="s">
        <v>190</v>
      </c>
      <c r="D358" s="15"/>
      <c r="E358" s="15"/>
      <c r="F358" s="25" t="s">
        <v>123</v>
      </c>
      <c r="G358" s="26">
        <v>1</v>
      </c>
      <c r="H358" s="27"/>
      <c r="I358" s="27">
        <v>201</v>
      </c>
      <c r="J358" s="28">
        <v>39.729999999999997</v>
      </c>
      <c r="M358" s="29">
        <f>ROUND(ROUND(J358, 2)*I358, 2)</f>
        <v>7985.73</v>
      </c>
      <c r="P358" s="30">
        <v>39.729999999999997</v>
      </c>
      <c r="S358" s="29">
        <f>ROUND(ROUND(P358, 2)*I358, 2)</f>
        <v>7985.73</v>
      </c>
      <c r="V358" s="9">
        <f>ROUND(ROUND(P358, 2)/1.2, 2)</f>
        <v>33.11</v>
      </c>
      <c r="Y358" s="9">
        <f t="shared" si="14"/>
        <v>6654.78</v>
      </c>
      <c r="AD358" s="4" t="s">
        <v>1540</v>
      </c>
      <c r="AE358" s="4" t="s">
        <v>1541</v>
      </c>
      <c r="AF358" s="4" t="s">
        <v>193</v>
      </c>
    </row>
    <row r="359" spans="1:35" ht="37.5" x14ac:dyDescent="0.25">
      <c r="A359" s="10" t="s">
        <v>1542</v>
      </c>
      <c r="B359" s="10"/>
      <c r="C359" s="24" t="s">
        <v>1543</v>
      </c>
      <c r="D359" s="15"/>
      <c r="E359" s="15"/>
      <c r="F359" s="25" t="s">
        <v>56</v>
      </c>
      <c r="G359" s="26">
        <v>1.1000000000000001</v>
      </c>
      <c r="H359" s="26"/>
      <c r="I359" s="26">
        <v>41.183999999999997</v>
      </c>
      <c r="J359" s="28">
        <v>0</v>
      </c>
      <c r="M359" s="29">
        <f>ROUND(ROUND(J359, 2)*I359, 2)</f>
        <v>0</v>
      </c>
      <c r="P359" s="30">
        <v>0</v>
      </c>
      <c r="S359" s="29">
        <f>ROUND(ROUND(P359, 2)*I359, 2)</f>
        <v>0</v>
      </c>
      <c r="V359" s="9">
        <f>ROUND(ROUND(P359, 2)/1.2, 2)</f>
        <v>0</v>
      </c>
      <c r="Y359" s="9">
        <f t="shared" si="14"/>
        <v>0</v>
      </c>
      <c r="AD359" s="4" t="s">
        <v>1544</v>
      </c>
      <c r="AE359" s="4" t="s">
        <v>1545</v>
      </c>
      <c r="AF359" s="4" t="s">
        <v>1546</v>
      </c>
    </row>
    <row r="360" spans="1:35" ht="17.100000000000001" customHeight="1" x14ac:dyDescent="0.25">
      <c r="A360" s="10" t="s">
        <v>1547</v>
      </c>
      <c r="B360" s="10" t="s">
        <v>1548</v>
      </c>
      <c r="C360" s="116" t="s">
        <v>1549</v>
      </c>
      <c r="D360" s="117"/>
      <c r="E360" s="117"/>
      <c r="F360" s="117"/>
      <c r="G360" s="117"/>
      <c r="H360" s="117"/>
      <c r="I360" s="118"/>
      <c r="M360" s="6">
        <f>SUM(M361,M383)</f>
        <v>9944.4500000000007</v>
      </c>
      <c r="N360" s="6">
        <f>SUM(N361,N383)</f>
        <v>228453.48</v>
      </c>
      <c r="O360" s="6">
        <f>SUM(O361,O383)</f>
        <v>238397.93000000002</v>
      </c>
      <c r="S360" s="6">
        <f>SUM(S361,S383)</f>
        <v>9944.4500000000007</v>
      </c>
      <c r="T360" s="6">
        <f>SUM(T361,T383)</f>
        <v>228453.48</v>
      </c>
      <c r="U360" s="6">
        <f>SUM(U361,U383)</f>
        <v>238397.93000000002</v>
      </c>
      <c r="Y360" s="9">
        <f>SUM(Y361,Y383)</f>
        <v>8287.0400000000009</v>
      </c>
      <c r="Z360" s="9">
        <f>SUM(Z361,Z383)</f>
        <v>190377.9</v>
      </c>
      <c r="AA360" s="9">
        <f>SUM(AA361,AA383)</f>
        <v>198664.94</v>
      </c>
      <c r="AD360" s="4">
        <v>264030322</v>
      </c>
      <c r="AE360" s="4">
        <v>16077436</v>
      </c>
    </row>
    <row r="361" spans="1:35" ht="17.100000000000001" customHeight="1" x14ac:dyDescent="0.25">
      <c r="A361" s="10" t="s">
        <v>1550</v>
      </c>
      <c r="B361" s="10" t="s">
        <v>1551</v>
      </c>
      <c r="C361" s="116" t="s">
        <v>1552</v>
      </c>
      <c r="D361" s="117"/>
      <c r="E361" s="117"/>
      <c r="F361" s="117"/>
      <c r="G361" s="117"/>
      <c r="H361" s="117"/>
      <c r="I361" s="118"/>
      <c r="M361" s="6">
        <f>SUM(M362,M365,M368,M371,M374,M377,M380)</f>
        <v>0</v>
      </c>
      <c r="N361" s="6">
        <f>SUM(N362,N365,N368,N371,N374,N377,N380)</f>
        <v>0</v>
      </c>
      <c r="O361" s="6">
        <f>SUM(O362,O365,O368,O371,O374,O377,O380)</f>
        <v>0</v>
      </c>
      <c r="S361" s="6">
        <f>SUM(S362,S365,S368,S371,S374,S377,S380)</f>
        <v>0</v>
      </c>
      <c r="T361" s="6">
        <f>SUM(T362,T365,T368,T371,T374,T377,T380)</f>
        <v>0</v>
      </c>
      <c r="U361" s="6">
        <f>SUM(U362,U365,U368,U371,U374,U377,U380)</f>
        <v>0</v>
      </c>
      <c r="Y361" s="9">
        <f>SUM(Y362,Y365,Y368,Y371,Y374,Y377,Y380)</f>
        <v>0</v>
      </c>
      <c r="Z361" s="9">
        <f>SUM(Z362,Z365,Z368,Z371,Z374,Z377,Z380)</f>
        <v>0</v>
      </c>
      <c r="AA361" s="9">
        <f>SUM(AA362,AA365,AA368,AA371,AA374,AA377,AA380)</f>
        <v>0</v>
      </c>
      <c r="AD361" s="4">
        <v>264030323</v>
      </c>
      <c r="AE361" s="4">
        <v>16077440</v>
      </c>
    </row>
    <row r="362" spans="1:35" ht="37.5" x14ac:dyDescent="0.25">
      <c r="A362" s="10" t="s">
        <v>1553</v>
      </c>
      <c r="B362" s="10" t="s">
        <v>1554</v>
      </c>
      <c r="C362" s="14" t="s">
        <v>1040</v>
      </c>
      <c r="D362" s="15"/>
      <c r="E362" s="15" t="s">
        <v>1555</v>
      </c>
      <c r="F362" s="15" t="s">
        <v>56</v>
      </c>
      <c r="G362" s="16">
        <v>1</v>
      </c>
      <c r="H362" s="16"/>
      <c r="I362" s="16">
        <v>0</v>
      </c>
      <c r="J362" s="17">
        <f>IFERROR(ROUND(SUM(M363,M364)/I362, 2),0)</f>
        <v>0</v>
      </c>
      <c r="K362" s="18">
        <v>718</v>
      </c>
      <c r="L362" s="17">
        <f>J362+ROUND(K362, 2)</f>
        <v>718</v>
      </c>
      <c r="M362" s="17">
        <f>ROUND(J362*I362, 2)</f>
        <v>0</v>
      </c>
      <c r="N362" s="17">
        <f>ROUND(I362*ROUND(K362, 2), 2)</f>
        <v>0</v>
      </c>
      <c r="O362" s="17">
        <f>M362+N362</f>
        <v>0</v>
      </c>
      <c r="P362" s="17">
        <f>IFERROR(ROUND(SUM(S363,S364)/I362, 2),0)</f>
        <v>0</v>
      </c>
      <c r="Q362" s="18">
        <v>718</v>
      </c>
      <c r="R362" s="17">
        <f>P362+ROUND(Q362, 2)</f>
        <v>718</v>
      </c>
      <c r="S362" s="17">
        <f>ROUND(P362*I362, 2)</f>
        <v>0</v>
      </c>
      <c r="T362" s="17">
        <f>ROUND(I362*ROUND(Q362, 2), 2)</f>
        <v>0</v>
      </c>
      <c r="U362" s="17">
        <f>S362+T362</f>
        <v>0</v>
      </c>
      <c r="V362" s="9">
        <f>ROUND(P362 / 1.2, 2)</f>
        <v>0</v>
      </c>
      <c r="W362" s="9">
        <f>ROUND(Q362 / 1.2, 2)</f>
        <v>598.33000000000004</v>
      </c>
      <c r="X362" s="9">
        <f>ROUND(R362 / 1.2, 2)</f>
        <v>598.33000000000004</v>
      </c>
      <c r="Y362" s="9">
        <f>ROUND(S362 / 1.2, 2)</f>
        <v>0</v>
      </c>
      <c r="Z362" s="9">
        <f>ROUND(T362 / 1.2, 2)</f>
        <v>0</v>
      </c>
      <c r="AA362" s="9">
        <f>Y362+Z362</f>
        <v>0</v>
      </c>
      <c r="AD362" s="4">
        <v>264030325</v>
      </c>
      <c r="AE362" s="4">
        <v>16077787</v>
      </c>
      <c r="AG362" s="4" t="s">
        <v>1042</v>
      </c>
      <c r="AH362" s="4" t="s">
        <v>1556</v>
      </c>
      <c r="AI362" s="4" t="s">
        <v>249</v>
      </c>
    </row>
    <row r="363" spans="1:35" ht="18.75" x14ac:dyDescent="0.25">
      <c r="A363" s="10" t="s">
        <v>1558</v>
      </c>
      <c r="B363" s="10"/>
      <c r="C363" s="24" t="s">
        <v>859</v>
      </c>
      <c r="D363" s="15"/>
      <c r="E363" s="15"/>
      <c r="F363" s="25" t="s">
        <v>81</v>
      </c>
      <c r="G363" s="26">
        <v>5</v>
      </c>
      <c r="H363" s="26"/>
      <c r="I363" s="26">
        <v>0</v>
      </c>
      <c r="J363" s="28">
        <v>23</v>
      </c>
      <c r="M363" s="29">
        <f>ROUND(ROUND(J363, 2)*I363, 2)</f>
        <v>0</v>
      </c>
      <c r="P363" s="28">
        <v>23</v>
      </c>
      <c r="S363" s="29">
        <f>ROUND(ROUND(P363, 2)*I363, 2)</f>
        <v>0</v>
      </c>
      <c r="V363" s="9">
        <f>ROUND(ROUND(P363, 2)/1.2, 2)</f>
        <v>19.170000000000002</v>
      </c>
      <c r="Y363" s="9">
        <f t="shared" ref="Y363:Y382" si="15">ROUND(S363 / 1.2, 2)</f>
        <v>0</v>
      </c>
      <c r="AD363" s="4" t="s">
        <v>1559</v>
      </c>
      <c r="AE363" s="4" t="s">
        <v>1560</v>
      </c>
      <c r="AF363" s="4" t="s">
        <v>863</v>
      </c>
    </row>
    <row r="364" spans="1:35" ht="37.5" x14ac:dyDescent="0.25">
      <c r="A364" s="10" t="s">
        <v>1563</v>
      </c>
      <c r="B364" s="10"/>
      <c r="C364" s="24" t="s">
        <v>313</v>
      </c>
      <c r="D364" s="15"/>
      <c r="E364" s="15" t="s">
        <v>1564</v>
      </c>
      <c r="F364" s="25" t="s">
        <v>81</v>
      </c>
      <c r="G364" s="26">
        <v>0.15</v>
      </c>
      <c r="H364" s="26"/>
      <c r="I364" s="26">
        <v>0</v>
      </c>
      <c r="J364" s="28">
        <v>100</v>
      </c>
      <c r="M364" s="29">
        <f>ROUND(ROUND(J364, 2)*I364, 2)</f>
        <v>0</v>
      </c>
      <c r="P364" s="28">
        <v>100</v>
      </c>
      <c r="S364" s="29">
        <f>ROUND(ROUND(P364, 2)*I364, 2)</f>
        <v>0</v>
      </c>
      <c r="V364" s="9">
        <f>ROUND(ROUND(P364, 2)/1.2, 2)</f>
        <v>83.33</v>
      </c>
      <c r="Y364" s="9">
        <f t="shared" si="15"/>
        <v>0</v>
      </c>
      <c r="AD364" s="4" t="s">
        <v>1565</v>
      </c>
      <c r="AE364" s="4" t="s">
        <v>1566</v>
      </c>
      <c r="AF364" s="4" t="s">
        <v>316</v>
      </c>
    </row>
    <row r="365" spans="1:35" ht="37.5" x14ac:dyDescent="0.25">
      <c r="A365" s="10" t="s">
        <v>1569</v>
      </c>
      <c r="B365" s="10" t="s">
        <v>1554</v>
      </c>
      <c r="C365" s="14" t="s">
        <v>1040</v>
      </c>
      <c r="D365" s="15"/>
      <c r="E365" s="15" t="s">
        <v>1555</v>
      </c>
      <c r="F365" s="15" t="s">
        <v>56</v>
      </c>
      <c r="G365" s="16">
        <v>1</v>
      </c>
      <c r="H365" s="16"/>
      <c r="I365" s="16">
        <v>0</v>
      </c>
      <c r="J365" s="17">
        <f>IFERROR(ROUND(SUM(M366,M367)/I365, 2),0)</f>
        <v>0</v>
      </c>
      <c r="K365" s="18">
        <v>718</v>
      </c>
      <c r="L365" s="17">
        <f>J365+ROUND(K365, 2)</f>
        <v>718</v>
      </c>
      <c r="M365" s="17">
        <f>ROUND(J365*I365, 2)</f>
        <v>0</v>
      </c>
      <c r="N365" s="17">
        <f>ROUND(I365*ROUND(K365, 2), 2)</f>
        <v>0</v>
      </c>
      <c r="O365" s="17">
        <f>M365+N365</f>
        <v>0</v>
      </c>
      <c r="P365" s="17">
        <f>IFERROR(ROUND(SUM(S366,S367)/I365, 2),0)</f>
        <v>0</v>
      </c>
      <c r="Q365" s="18">
        <v>718</v>
      </c>
      <c r="R365" s="17">
        <f>P365+ROUND(Q365, 2)</f>
        <v>718</v>
      </c>
      <c r="S365" s="17">
        <f>ROUND(P365*I365, 2)</f>
        <v>0</v>
      </c>
      <c r="T365" s="17">
        <f>ROUND(I365*ROUND(Q365, 2), 2)</f>
        <v>0</v>
      </c>
      <c r="U365" s="17">
        <f>S365+T365</f>
        <v>0</v>
      </c>
      <c r="V365" s="9">
        <f>ROUND(P365 / 1.2, 2)</f>
        <v>0</v>
      </c>
      <c r="W365" s="9">
        <f>ROUND(Q365 / 1.2, 2)</f>
        <v>598.33000000000004</v>
      </c>
      <c r="X365" s="9">
        <f>ROUND(R365 / 1.2, 2)</f>
        <v>598.33000000000004</v>
      </c>
      <c r="Y365" s="9">
        <f t="shared" si="15"/>
        <v>0</v>
      </c>
      <c r="Z365" s="9">
        <f>ROUND(T365 / 1.2, 2)</f>
        <v>0</v>
      </c>
      <c r="AA365" s="9">
        <f>Y365+Z365</f>
        <v>0</v>
      </c>
      <c r="AD365" s="4">
        <v>264030408</v>
      </c>
      <c r="AE365" s="4">
        <v>16077788</v>
      </c>
      <c r="AG365" s="4" t="s">
        <v>1042</v>
      </c>
      <c r="AH365" s="4" t="s">
        <v>1556</v>
      </c>
      <c r="AI365" s="4" t="s">
        <v>249</v>
      </c>
    </row>
    <row r="366" spans="1:35" ht="37.5" x14ac:dyDescent="0.25">
      <c r="A366" s="10" t="s">
        <v>1571</v>
      </c>
      <c r="B366" s="10"/>
      <c r="C366" s="24" t="s">
        <v>490</v>
      </c>
      <c r="D366" s="15"/>
      <c r="E366" s="15"/>
      <c r="F366" s="25" t="s">
        <v>81</v>
      </c>
      <c r="G366" s="26">
        <v>0.15</v>
      </c>
      <c r="H366" s="26"/>
      <c r="I366" s="26">
        <v>0</v>
      </c>
      <c r="J366" s="28">
        <v>88.8</v>
      </c>
      <c r="M366" s="29">
        <f>ROUND(ROUND(J366, 2)*I366, 2)</f>
        <v>0</v>
      </c>
      <c r="P366" s="28">
        <v>88.8</v>
      </c>
      <c r="S366" s="29">
        <f>ROUND(ROUND(P366, 2)*I366, 2)</f>
        <v>0</v>
      </c>
      <c r="V366" s="9">
        <f>ROUND(ROUND(P366, 2)/1.2, 2)</f>
        <v>74</v>
      </c>
      <c r="Y366" s="9">
        <f t="shared" si="15"/>
        <v>0</v>
      </c>
      <c r="AD366" s="4" t="s">
        <v>1572</v>
      </c>
      <c r="AE366" s="4" t="s">
        <v>1573</v>
      </c>
      <c r="AF366" s="4" t="s">
        <v>493</v>
      </c>
    </row>
    <row r="367" spans="1:35" ht="37.5" x14ac:dyDescent="0.25">
      <c r="A367" s="10" t="s">
        <v>1576</v>
      </c>
      <c r="B367" s="10"/>
      <c r="C367" s="24" t="s">
        <v>880</v>
      </c>
      <c r="D367" s="15"/>
      <c r="E367" s="15"/>
      <c r="F367" s="25" t="s">
        <v>81</v>
      </c>
      <c r="G367" s="26">
        <v>2.5</v>
      </c>
      <c r="H367" s="26"/>
      <c r="I367" s="26">
        <v>0</v>
      </c>
      <c r="J367" s="28">
        <v>60</v>
      </c>
      <c r="M367" s="29">
        <f>ROUND(ROUND(J367, 2)*I367, 2)</f>
        <v>0</v>
      </c>
      <c r="P367" s="28">
        <v>12.58</v>
      </c>
      <c r="S367" s="29">
        <f>ROUND(ROUND(P367, 2)*I367, 2)</f>
        <v>0</v>
      </c>
      <c r="V367" s="9">
        <f>ROUND(ROUND(P367, 2)/1.2, 2)</f>
        <v>10.48</v>
      </c>
      <c r="Y367" s="9">
        <f t="shared" si="15"/>
        <v>0</v>
      </c>
      <c r="AD367" s="4" t="s">
        <v>1577</v>
      </c>
      <c r="AE367" s="4" t="s">
        <v>1578</v>
      </c>
      <c r="AF367" s="4" t="s">
        <v>883</v>
      </c>
    </row>
    <row r="368" spans="1:35" ht="37.5" x14ac:dyDescent="0.25">
      <c r="A368" s="10" t="s">
        <v>1581</v>
      </c>
      <c r="B368" s="10" t="s">
        <v>1554</v>
      </c>
      <c r="C368" s="14" t="s">
        <v>1040</v>
      </c>
      <c r="D368" s="15"/>
      <c r="E368" s="15" t="s">
        <v>1555</v>
      </c>
      <c r="F368" s="15" t="s">
        <v>56</v>
      </c>
      <c r="G368" s="16">
        <v>1</v>
      </c>
      <c r="H368" s="16"/>
      <c r="I368" s="16">
        <v>0</v>
      </c>
      <c r="J368" s="17">
        <f>IFERROR(ROUND(SUM(M369,M370)/I368, 2),0)</f>
        <v>0</v>
      </c>
      <c r="K368" s="18">
        <v>718</v>
      </c>
      <c r="L368" s="17">
        <f>J368+ROUND(K368, 2)</f>
        <v>718</v>
      </c>
      <c r="M368" s="17">
        <f>ROUND(J368*I368, 2)</f>
        <v>0</v>
      </c>
      <c r="N368" s="17">
        <f>ROUND(I368*ROUND(K368, 2), 2)</f>
        <v>0</v>
      </c>
      <c r="O368" s="17">
        <f>M368+N368</f>
        <v>0</v>
      </c>
      <c r="P368" s="17">
        <f>IFERROR(ROUND(SUM(S369,S370)/I368, 2),0)</f>
        <v>0</v>
      </c>
      <c r="Q368" s="18">
        <v>718</v>
      </c>
      <c r="R368" s="17">
        <f>P368+ROUND(Q368, 2)</f>
        <v>718</v>
      </c>
      <c r="S368" s="17">
        <f>ROUND(P368*I368, 2)</f>
        <v>0</v>
      </c>
      <c r="T368" s="17">
        <f>ROUND(I368*ROUND(Q368, 2), 2)</f>
        <v>0</v>
      </c>
      <c r="U368" s="17">
        <f>S368+T368</f>
        <v>0</v>
      </c>
      <c r="V368" s="9">
        <f>ROUND(P368 / 1.2, 2)</f>
        <v>0</v>
      </c>
      <c r="W368" s="9">
        <f>ROUND(Q368 / 1.2, 2)</f>
        <v>598.33000000000004</v>
      </c>
      <c r="X368" s="9">
        <f>ROUND(R368 / 1.2, 2)</f>
        <v>598.33000000000004</v>
      </c>
      <c r="Y368" s="9">
        <f t="shared" si="15"/>
        <v>0</v>
      </c>
      <c r="Z368" s="9">
        <f>ROUND(T368 / 1.2, 2)</f>
        <v>0</v>
      </c>
      <c r="AA368" s="9">
        <f>Y368+Z368</f>
        <v>0</v>
      </c>
      <c r="AD368" s="4">
        <v>264030409</v>
      </c>
      <c r="AE368" s="4">
        <v>16077789</v>
      </c>
      <c r="AG368" s="4" t="s">
        <v>1042</v>
      </c>
      <c r="AH368" s="4" t="s">
        <v>1556</v>
      </c>
      <c r="AI368" s="4" t="s">
        <v>249</v>
      </c>
    </row>
    <row r="369" spans="1:35" ht="37.5" x14ac:dyDescent="0.25">
      <c r="A369" s="10" t="s">
        <v>1583</v>
      </c>
      <c r="B369" s="10"/>
      <c r="C369" s="24" t="s">
        <v>887</v>
      </c>
      <c r="D369" s="15"/>
      <c r="E369" s="15"/>
      <c r="F369" s="25" t="s">
        <v>81</v>
      </c>
      <c r="G369" s="26">
        <v>1.5</v>
      </c>
      <c r="H369" s="26"/>
      <c r="I369" s="26">
        <v>0</v>
      </c>
      <c r="J369" s="28">
        <v>23</v>
      </c>
      <c r="M369" s="29">
        <f>ROUND(ROUND(J369, 2)*I369, 2)</f>
        <v>0</v>
      </c>
      <c r="P369" s="28">
        <v>12.58</v>
      </c>
      <c r="S369" s="29">
        <f>ROUND(ROUND(P369, 2)*I369, 2)</f>
        <v>0</v>
      </c>
      <c r="V369" s="9">
        <f>ROUND(ROUND(P369, 2)/1.2, 2)</f>
        <v>10.48</v>
      </c>
      <c r="Y369" s="9">
        <f t="shared" si="15"/>
        <v>0</v>
      </c>
      <c r="AD369" s="4" t="s">
        <v>1584</v>
      </c>
      <c r="AE369" s="4" t="s">
        <v>1585</v>
      </c>
      <c r="AF369" s="4" t="s">
        <v>890</v>
      </c>
    </row>
    <row r="370" spans="1:35" ht="37.5" x14ac:dyDescent="0.25">
      <c r="A370" s="10" t="s">
        <v>1588</v>
      </c>
      <c r="B370" s="10"/>
      <c r="C370" s="24" t="s">
        <v>490</v>
      </c>
      <c r="D370" s="15"/>
      <c r="E370" s="15"/>
      <c r="F370" s="25" t="s">
        <v>81</v>
      </c>
      <c r="G370" s="26">
        <v>0.15</v>
      </c>
      <c r="H370" s="26"/>
      <c r="I370" s="26">
        <v>0</v>
      </c>
      <c r="J370" s="28">
        <v>88.8</v>
      </c>
      <c r="M370" s="29">
        <f>ROUND(ROUND(J370, 2)*I370, 2)</f>
        <v>0</v>
      </c>
      <c r="P370" s="28">
        <v>88.8</v>
      </c>
      <c r="S370" s="29">
        <f>ROUND(ROUND(P370, 2)*I370, 2)</f>
        <v>0</v>
      </c>
      <c r="V370" s="9">
        <f>ROUND(ROUND(P370, 2)/1.2, 2)</f>
        <v>74</v>
      </c>
      <c r="Y370" s="9">
        <f t="shared" si="15"/>
        <v>0</v>
      </c>
      <c r="AD370" s="4" t="s">
        <v>1589</v>
      </c>
      <c r="AE370" s="4" t="s">
        <v>1590</v>
      </c>
      <c r="AF370" s="4" t="s">
        <v>493</v>
      </c>
    </row>
    <row r="371" spans="1:35" ht="37.5" x14ac:dyDescent="0.25">
      <c r="A371" s="10" t="s">
        <v>1593</v>
      </c>
      <c r="B371" s="10" t="s">
        <v>1554</v>
      </c>
      <c r="C371" s="14" t="s">
        <v>1040</v>
      </c>
      <c r="D371" s="15"/>
      <c r="E371" s="15" t="s">
        <v>1594</v>
      </c>
      <c r="F371" s="15" t="s">
        <v>56</v>
      </c>
      <c r="G371" s="16">
        <v>1</v>
      </c>
      <c r="H371" s="16"/>
      <c r="I371" s="16">
        <v>0</v>
      </c>
      <c r="J371" s="17">
        <f>IFERROR(ROUND(SUM(M372,M373)/I371, 2),0)</f>
        <v>0</v>
      </c>
      <c r="K371" s="18">
        <v>718</v>
      </c>
      <c r="L371" s="17">
        <f>J371+ROUND(K371, 2)</f>
        <v>718</v>
      </c>
      <c r="M371" s="17">
        <f>ROUND(J371*I371, 2)</f>
        <v>0</v>
      </c>
      <c r="N371" s="17">
        <f>ROUND(I371*ROUND(K371, 2), 2)</f>
        <v>0</v>
      </c>
      <c r="O371" s="17">
        <f>M371+N371</f>
        <v>0</v>
      </c>
      <c r="P371" s="17">
        <f>IFERROR(ROUND(SUM(S372,S373)/I371, 2),0)</f>
        <v>0</v>
      </c>
      <c r="Q371" s="18">
        <v>718</v>
      </c>
      <c r="R371" s="17">
        <f>P371+ROUND(Q371, 2)</f>
        <v>718</v>
      </c>
      <c r="S371" s="17">
        <f>ROUND(P371*I371, 2)</f>
        <v>0</v>
      </c>
      <c r="T371" s="17">
        <f>ROUND(I371*ROUND(Q371, 2), 2)</f>
        <v>0</v>
      </c>
      <c r="U371" s="17">
        <f>S371+T371</f>
        <v>0</v>
      </c>
      <c r="V371" s="9">
        <f>ROUND(P371 / 1.2, 2)</f>
        <v>0</v>
      </c>
      <c r="W371" s="9">
        <f>ROUND(Q371 / 1.2, 2)</f>
        <v>598.33000000000004</v>
      </c>
      <c r="X371" s="9">
        <f>ROUND(R371 / 1.2, 2)</f>
        <v>598.33000000000004</v>
      </c>
      <c r="Y371" s="9">
        <f t="shared" si="15"/>
        <v>0</v>
      </c>
      <c r="Z371" s="9">
        <f>ROUND(T371 / 1.2, 2)</f>
        <v>0</v>
      </c>
      <c r="AA371" s="9">
        <f>Y371+Z371</f>
        <v>0</v>
      </c>
      <c r="AD371" s="4">
        <v>264030410</v>
      </c>
      <c r="AE371" s="4">
        <v>16082313</v>
      </c>
      <c r="AG371" s="4" t="s">
        <v>1042</v>
      </c>
      <c r="AH371" s="4" t="s">
        <v>1556</v>
      </c>
      <c r="AI371" s="4" t="s">
        <v>249</v>
      </c>
    </row>
    <row r="372" spans="1:35" ht="18.75" x14ac:dyDescent="0.25">
      <c r="A372" s="10" t="s">
        <v>1596</v>
      </c>
      <c r="B372" s="10"/>
      <c r="C372" s="24" t="s">
        <v>313</v>
      </c>
      <c r="D372" s="15"/>
      <c r="E372" s="15"/>
      <c r="F372" s="25" t="s">
        <v>81</v>
      </c>
      <c r="G372" s="26">
        <v>0.15</v>
      </c>
      <c r="H372" s="26"/>
      <c r="I372" s="26">
        <v>0</v>
      </c>
      <c r="J372" s="28">
        <v>100</v>
      </c>
      <c r="M372" s="29">
        <f>ROUND(ROUND(J372, 2)*I372, 2)</f>
        <v>0</v>
      </c>
      <c r="P372" s="28">
        <v>100</v>
      </c>
      <c r="S372" s="29">
        <f>ROUND(ROUND(P372, 2)*I372, 2)</f>
        <v>0</v>
      </c>
      <c r="V372" s="9">
        <f>ROUND(ROUND(P372, 2)/1.2, 2)</f>
        <v>83.33</v>
      </c>
      <c r="Y372" s="9">
        <f t="shared" si="15"/>
        <v>0</v>
      </c>
      <c r="AD372" s="4" t="s">
        <v>1597</v>
      </c>
      <c r="AE372" s="4" t="s">
        <v>1598</v>
      </c>
      <c r="AF372" s="4" t="s">
        <v>316</v>
      </c>
    </row>
    <row r="373" spans="1:35" ht="56.25" x14ac:dyDescent="0.25">
      <c r="A373" s="10" t="s">
        <v>1601</v>
      </c>
      <c r="B373" s="10"/>
      <c r="C373" s="37" t="s">
        <v>926</v>
      </c>
      <c r="D373" s="15"/>
      <c r="E373" s="15"/>
      <c r="F373" s="25" t="s">
        <v>81</v>
      </c>
      <c r="G373" s="26">
        <v>4.5</v>
      </c>
      <c r="H373" s="26"/>
      <c r="I373" s="26">
        <v>0</v>
      </c>
      <c r="J373" s="28">
        <v>12.58</v>
      </c>
      <c r="M373" s="29">
        <f>ROUND(ROUND(J373, 2)*I373, 2)</f>
        <v>0</v>
      </c>
      <c r="P373" s="28">
        <v>12.58</v>
      </c>
      <c r="S373" s="29">
        <f>ROUND(ROUND(P373, 2)*I373, 2)</f>
        <v>0</v>
      </c>
      <c r="V373" s="9">
        <f>ROUND(ROUND(P373, 2)/1.2, 2)</f>
        <v>10.48</v>
      </c>
      <c r="Y373" s="9">
        <f t="shared" si="15"/>
        <v>0</v>
      </c>
      <c r="AD373" s="4" t="s">
        <v>1602</v>
      </c>
      <c r="AE373" s="4" t="s">
        <v>1603</v>
      </c>
      <c r="AF373" s="4" t="s">
        <v>1604</v>
      </c>
    </row>
    <row r="374" spans="1:35" ht="37.5" x14ac:dyDescent="0.25">
      <c r="A374" s="10" t="s">
        <v>1607</v>
      </c>
      <c r="B374" s="10" t="s">
        <v>1554</v>
      </c>
      <c r="C374" s="14" t="s">
        <v>1040</v>
      </c>
      <c r="D374" s="15"/>
      <c r="E374" s="15" t="s">
        <v>834</v>
      </c>
      <c r="F374" s="15" t="s">
        <v>56</v>
      </c>
      <c r="G374" s="16">
        <v>1</v>
      </c>
      <c r="H374" s="16"/>
      <c r="I374" s="16">
        <v>0</v>
      </c>
      <c r="J374" s="17">
        <f>IFERROR(ROUND(SUM(M375,M376)/I374, 2),0)</f>
        <v>0</v>
      </c>
      <c r="K374" s="18">
        <v>718</v>
      </c>
      <c r="L374" s="17">
        <f>J374+ROUND(K374, 2)</f>
        <v>718</v>
      </c>
      <c r="M374" s="17">
        <f>ROUND(J374*I374, 2)</f>
        <v>0</v>
      </c>
      <c r="N374" s="17">
        <f>ROUND(I374*ROUND(K374, 2), 2)</f>
        <v>0</v>
      </c>
      <c r="O374" s="17">
        <f>M374+N374</f>
        <v>0</v>
      </c>
      <c r="P374" s="17">
        <f>IFERROR(ROUND(SUM(S375,S376)/I374, 2),0)</f>
        <v>0</v>
      </c>
      <c r="Q374" s="18">
        <v>718</v>
      </c>
      <c r="R374" s="17">
        <f>P374+ROUND(Q374, 2)</f>
        <v>718</v>
      </c>
      <c r="S374" s="17">
        <f>ROUND(P374*I374, 2)</f>
        <v>0</v>
      </c>
      <c r="T374" s="17">
        <f>ROUND(I374*ROUND(Q374, 2), 2)</f>
        <v>0</v>
      </c>
      <c r="U374" s="17">
        <f>S374+T374</f>
        <v>0</v>
      </c>
      <c r="V374" s="9">
        <f>ROUND(P374 / 1.2, 2)</f>
        <v>0</v>
      </c>
      <c r="W374" s="9">
        <f>ROUND(Q374 / 1.2, 2)</f>
        <v>598.33000000000004</v>
      </c>
      <c r="X374" s="9">
        <f>ROUND(R374 / 1.2, 2)</f>
        <v>598.33000000000004</v>
      </c>
      <c r="Y374" s="9">
        <f t="shared" si="15"/>
        <v>0</v>
      </c>
      <c r="Z374" s="9">
        <f>ROUND(T374 / 1.2, 2)</f>
        <v>0</v>
      </c>
      <c r="AA374" s="9">
        <f>Y374+Z374</f>
        <v>0</v>
      </c>
      <c r="AD374" s="4">
        <v>264030411</v>
      </c>
      <c r="AE374" s="4">
        <v>16087382</v>
      </c>
      <c r="AG374" s="4" t="s">
        <v>1042</v>
      </c>
      <c r="AH374" s="4" t="s">
        <v>1556</v>
      </c>
      <c r="AI374" s="4" t="s">
        <v>249</v>
      </c>
    </row>
    <row r="375" spans="1:35" ht="18.75" x14ac:dyDescent="0.25">
      <c r="A375" s="10" t="s">
        <v>1609</v>
      </c>
      <c r="B375" s="10"/>
      <c r="C375" s="24" t="s">
        <v>859</v>
      </c>
      <c r="D375" s="15"/>
      <c r="E375" s="15" t="s">
        <v>367</v>
      </c>
      <c r="F375" s="25" t="s">
        <v>81</v>
      </c>
      <c r="G375" s="26">
        <v>5</v>
      </c>
      <c r="H375" s="26"/>
      <c r="I375" s="26">
        <v>0</v>
      </c>
      <c r="J375" s="28">
        <v>23</v>
      </c>
      <c r="M375" s="29">
        <f>ROUND(ROUND(J375, 2)*I375, 2)</f>
        <v>0</v>
      </c>
      <c r="P375" s="28">
        <v>23</v>
      </c>
      <c r="S375" s="29">
        <f>ROUND(ROUND(P375, 2)*I375, 2)</f>
        <v>0</v>
      </c>
      <c r="V375" s="9">
        <f>ROUND(ROUND(P375, 2)/1.2, 2)</f>
        <v>19.170000000000002</v>
      </c>
      <c r="Y375" s="9">
        <f t="shared" si="15"/>
        <v>0</v>
      </c>
      <c r="AD375" s="4" t="s">
        <v>1610</v>
      </c>
      <c r="AE375" s="4" t="s">
        <v>1611</v>
      </c>
      <c r="AF375" s="4" t="s">
        <v>863</v>
      </c>
    </row>
    <row r="376" spans="1:35" ht="18.75" x14ac:dyDescent="0.25">
      <c r="A376" s="10" t="s">
        <v>1614</v>
      </c>
      <c r="B376" s="10"/>
      <c r="C376" s="24" t="s">
        <v>313</v>
      </c>
      <c r="D376" s="15"/>
      <c r="E376" s="15"/>
      <c r="F376" s="25" t="s">
        <v>81</v>
      </c>
      <c r="G376" s="26">
        <v>0.15</v>
      </c>
      <c r="H376" s="26"/>
      <c r="I376" s="26">
        <v>0</v>
      </c>
      <c r="J376" s="28">
        <v>100</v>
      </c>
      <c r="M376" s="29">
        <f>ROUND(ROUND(J376, 2)*I376, 2)</f>
        <v>0</v>
      </c>
      <c r="P376" s="28">
        <v>100</v>
      </c>
      <c r="S376" s="29">
        <f>ROUND(ROUND(P376, 2)*I376, 2)</f>
        <v>0</v>
      </c>
      <c r="V376" s="9">
        <f>ROUND(ROUND(P376, 2)/1.2, 2)</f>
        <v>83.33</v>
      </c>
      <c r="Y376" s="9">
        <f t="shared" si="15"/>
        <v>0</v>
      </c>
      <c r="AD376" s="4" t="s">
        <v>1615</v>
      </c>
      <c r="AE376" s="4" t="s">
        <v>1616</v>
      </c>
      <c r="AF376" s="4" t="s">
        <v>316</v>
      </c>
    </row>
    <row r="377" spans="1:35" ht="37.5" x14ac:dyDescent="0.25">
      <c r="A377" s="10" t="s">
        <v>1619</v>
      </c>
      <c r="B377" s="10" t="s">
        <v>1554</v>
      </c>
      <c r="C377" s="14" t="s">
        <v>1040</v>
      </c>
      <c r="D377" s="15"/>
      <c r="E377" s="15" t="s">
        <v>834</v>
      </c>
      <c r="F377" s="15" t="s">
        <v>56</v>
      </c>
      <c r="G377" s="16">
        <v>1</v>
      </c>
      <c r="H377" s="16"/>
      <c r="I377" s="16">
        <v>0</v>
      </c>
      <c r="J377" s="17">
        <f>IFERROR(ROUND(SUM(M378,M379)/I377, 2),0)</f>
        <v>0</v>
      </c>
      <c r="K377" s="18">
        <v>718</v>
      </c>
      <c r="L377" s="17">
        <f>J377+ROUND(K377, 2)</f>
        <v>718</v>
      </c>
      <c r="M377" s="17">
        <f>ROUND(J377*I377, 2)</f>
        <v>0</v>
      </c>
      <c r="N377" s="17">
        <f>ROUND(I377*ROUND(K377, 2), 2)</f>
        <v>0</v>
      </c>
      <c r="O377" s="17">
        <f>M377+N377</f>
        <v>0</v>
      </c>
      <c r="P377" s="17">
        <f>IFERROR(ROUND(SUM(S378,S379)/I377, 2),0)</f>
        <v>0</v>
      </c>
      <c r="Q377" s="18">
        <v>718</v>
      </c>
      <c r="R377" s="17">
        <f>P377+ROUND(Q377, 2)</f>
        <v>718</v>
      </c>
      <c r="S377" s="17">
        <f>ROUND(P377*I377, 2)</f>
        <v>0</v>
      </c>
      <c r="T377" s="17">
        <f>ROUND(I377*ROUND(Q377, 2), 2)</f>
        <v>0</v>
      </c>
      <c r="U377" s="17">
        <f>S377+T377</f>
        <v>0</v>
      </c>
      <c r="V377" s="9">
        <f>ROUND(P377 / 1.2, 2)</f>
        <v>0</v>
      </c>
      <c r="W377" s="9">
        <f>ROUND(Q377 / 1.2, 2)</f>
        <v>598.33000000000004</v>
      </c>
      <c r="X377" s="9">
        <f>ROUND(R377 / 1.2, 2)</f>
        <v>598.33000000000004</v>
      </c>
      <c r="Y377" s="9">
        <f t="shared" si="15"/>
        <v>0</v>
      </c>
      <c r="Z377" s="9">
        <f>ROUND(T377 / 1.2, 2)</f>
        <v>0</v>
      </c>
      <c r="AA377" s="9">
        <f>Y377+Z377</f>
        <v>0</v>
      </c>
      <c r="AD377" s="4">
        <v>264030412</v>
      </c>
      <c r="AE377" s="4">
        <v>16087383</v>
      </c>
      <c r="AG377" s="4" t="s">
        <v>1042</v>
      </c>
      <c r="AH377" s="4" t="s">
        <v>1556</v>
      </c>
      <c r="AI377" s="4" t="s">
        <v>249</v>
      </c>
    </row>
    <row r="378" spans="1:35" ht="37.5" x14ac:dyDescent="0.25">
      <c r="A378" s="10" t="s">
        <v>1621</v>
      </c>
      <c r="B378" s="10"/>
      <c r="C378" s="24" t="s">
        <v>490</v>
      </c>
      <c r="D378" s="15"/>
      <c r="E378" s="15"/>
      <c r="F378" s="25" t="s">
        <v>81</v>
      </c>
      <c r="G378" s="26">
        <v>0.15</v>
      </c>
      <c r="H378" s="26"/>
      <c r="I378" s="26">
        <v>0</v>
      </c>
      <c r="J378" s="28">
        <v>88.8</v>
      </c>
      <c r="M378" s="29">
        <f>ROUND(ROUND(J378, 2)*I378, 2)</f>
        <v>0</v>
      </c>
      <c r="P378" s="28">
        <v>88.8</v>
      </c>
      <c r="S378" s="29">
        <f>ROUND(ROUND(P378, 2)*I378, 2)</f>
        <v>0</v>
      </c>
      <c r="V378" s="9">
        <f>ROUND(ROUND(P378, 2)/1.2, 2)</f>
        <v>74</v>
      </c>
      <c r="Y378" s="9">
        <f t="shared" si="15"/>
        <v>0</v>
      </c>
      <c r="AD378" s="4" t="s">
        <v>1622</v>
      </c>
      <c r="AE378" s="4" t="s">
        <v>1623</v>
      </c>
      <c r="AF378" s="4" t="s">
        <v>493</v>
      </c>
    </row>
    <row r="379" spans="1:35" ht="37.5" x14ac:dyDescent="0.25">
      <c r="A379" s="10" t="s">
        <v>1626</v>
      </c>
      <c r="B379" s="10"/>
      <c r="C379" s="24" t="s">
        <v>880</v>
      </c>
      <c r="D379" s="15"/>
      <c r="E379" s="15"/>
      <c r="F379" s="25" t="s">
        <v>81</v>
      </c>
      <c r="G379" s="26">
        <v>2.5</v>
      </c>
      <c r="H379" s="26"/>
      <c r="I379" s="26">
        <v>0</v>
      </c>
      <c r="J379" s="28">
        <v>60</v>
      </c>
      <c r="M379" s="29">
        <f>ROUND(ROUND(J379, 2)*I379, 2)</f>
        <v>0</v>
      </c>
      <c r="P379" s="28">
        <v>12.58</v>
      </c>
      <c r="S379" s="29">
        <f>ROUND(ROUND(P379, 2)*I379, 2)</f>
        <v>0</v>
      </c>
      <c r="V379" s="9">
        <f>ROUND(ROUND(P379, 2)/1.2, 2)</f>
        <v>10.48</v>
      </c>
      <c r="Y379" s="9">
        <f t="shared" si="15"/>
        <v>0</v>
      </c>
      <c r="AD379" s="4" t="s">
        <v>1627</v>
      </c>
      <c r="AE379" s="4" t="s">
        <v>1628</v>
      </c>
      <c r="AF379" s="4" t="s">
        <v>883</v>
      </c>
    </row>
    <row r="380" spans="1:35" ht="37.5" x14ac:dyDescent="0.25">
      <c r="A380" s="10" t="s">
        <v>1631</v>
      </c>
      <c r="B380" s="10" t="s">
        <v>1554</v>
      </c>
      <c r="C380" s="14" t="s">
        <v>1040</v>
      </c>
      <c r="D380" s="15"/>
      <c r="E380" s="15" t="s">
        <v>834</v>
      </c>
      <c r="F380" s="15" t="s">
        <v>56</v>
      </c>
      <c r="G380" s="16">
        <v>1</v>
      </c>
      <c r="H380" s="16"/>
      <c r="I380" s="16">
        <v>0</v>
      </c>
      <c r="J380" s="17">
        <f>IFERROR(ROUND(SUM(M381,M382)/I380, 2),0)</f>
        <v>0</v>
      </c>
      <c r="K380" s="18">
        <v>718</v>
      </c>
      <c r="L380" s="17">
        <f>J380+ROUND(K380, 2)</f>
        <v>718</v>
      </c>
      <c r="M380" s="17">
        <f>ROUND(J380*I380, 2)</f>
        <v>0</v>
      </c>
      <c r="N380" s="17">
        <f>ROUND(I380*ROUND(K380, 2), 2)</f>
        <v>0</v>
      </c>
      <c r="O380" s="17">
        <f>M380+N380</f>
        <v>0</v>
      </c>
      <c r="P380" s="17">
        <f>IFERROR(ROUND(SUM(S381,S382)/I380, 2),0)</f>
        <v>0</v>
      </c>
      <c r="Q380" s="18">
        <v>718</v>
      </c>
      <c r="R380" s="17">
        <f>P380+ROUND(Q380, 2)</f>
        <v>718</v>
      </c>
      <c r="S380" s="17">
        <f>ROUND(P380*I380, 2)</f>
        <v>0</v>
      </c>
      <c r="T380" s="17">
        <f>ROUND(I380*ROUND(Q380, 2), 2)</f>
        <v>0</v>
      </c>
      <c r="U380" s="17">
        <f>S380+T380</f>
        <v>0</v>
      </c>
      <c r="V380" s="9">
        <f>ROUND(P380 / 1.2, 2)</f>
        <v>0</v>
      </c>
      <c r="W380" s="9">
        <f>ROUND(Q380 / 1.2, 2)</f>
        <v>598.33000000000004</v>
      </c>
      <c r="X380" s="9">
        <f>ROUND(R380 / 1.2, 2)</f>
        <v>598.33000000000004</v>
      </c>
      <c r="Y380" s="9">
        <f t="shared" si="15"/>
        <v>0</v>
      </c>
      <c r="Z380" s="9">
        <f>ROUND(T380 / 1.2, 2)</f>
        <v>0</v>
      </c>
      <c r="AA380" s="9">
        <f>Y380+Z380</f>
        <v>0</v>
      </c>
      <c r="AD380" s="4">
        <v>264030413</v>
      </c>
      <c r="AE380" s="4">
        <v>16087384</v>
      </c>
      <c r="AG380" s="4" t="s">
        <v>1042</v>
      </c>
      <c r="AH380" s="4" t="s">
        <v>1556</v>
      </c>
      <c r="AI380" s="4" t="s">
        <v>249</v>
      </c>
    </row>
    <row r="381" spans="1:35" ht="37.5" x14ac:dyDescent="0.25">
      <c r="A381" s="10" t="s">
        <v>1633</v>
      </c>
      <c r="B381" s="10"/>
      <c r="C381" s="24" t="s">
        <v>887</v>
      </c>
      <c r="D381" s="15"/>
      <c r="E381" s="15"/>
      <c r="F381" s="25" t="s">
        <v>81</v>
      </c>
      <c r="G381" s="26">
        <v>1.5</v>
      </c>
      <c r="H381" s="26"/>
      <c r="I381" s="26">
        <v>0</v>
      </c>
      <c r="J381" s="28">
        <v>23</v>
      </c>
      <c r="M381" s="29">
        <f>ROUND(ROUND(J381, 2)*I381, 2)</f>
        <v>0</v>
      </c>
      <c r="P381" s="28">
        <v>12.58</v>
      </c>
      <c r="S381" s="29">
        <f>ROUND(ROUND(P381, 2)*I381, 2)</f>
        <v>0</v>
      </c>
      <c r="V381" s="9">
        <f>ROUND(ROUND(P381, 2)/1.2, 2)</f>
        <v>10.48</v>
      </c>
      <c r="Y381" s="9">
        <f t="shared" si="15"/>
        <v>0</v>
      </c>
      <c r="AD381" s="4" t="s">
        <v>1634</v>
      </c>
      <c r="AE381" s="4" t="s">
        <v>1635</v>
      </c>
      <c r="AF381" s="4" t="s">
        <v>890</v>
      </c>
    </row>
    <row r="382" spans="1:35" ht="37.5" x14ac:dyDescent="0.25">
      <c r="A382" s="10" t="s">
        <v>1638</v>
      </c>
      <c r="B382" s="10"/>
      <c r="C382" s="24" t="s">
        <v>490</v>
      </c>
      <c r="D382" s="15"/>
      <c r="E382" s="15"/>
      <c r="F382" s="25" t="s">
        <v>81</v>
      </c>
      <c r="G382" s="26">
        <v>0.15</v>
      </c>
      <c r="H382" s="26"/>
      <c r="I382" s="26">
        <v>0</v>
      </c>
      <c r="J382" s="28">
        <v>88.8</v>
      </c>
      <c r="M382" s="29">
        <f>ROUND(ROUND(J382, 2)*I382, 2)</f>
        <v>0</v>
      </c>
      <c r="P382" s="28">
        <v>88.8</v>
      </c>
      <c r="S382" s="29">
        <f>ROUND(ROUND(P382, 2)*I382, 2)</f>
        <v>0</v>
      </c>
      <c r="V382" s="9">
        <f>ROUND(ROUND(P382, 2)/1.2, 2)</f>
        <v>74</v>
      </c>
      <c r="Y382" s="9">
        <f t="shared" si="15"/>
        <v>0</v>
      </c>
      <c r="AD382" s="4" t="s">
        <v>1639</v>
      </c>
      <c r="AE382" s="4" t="s">
        <v>1640</v>
      </c>
      <c r="AF382" s="4" t="s">
        <v>493</v>
      </c>
    </row>
    <row r="383" spans="1:35" ht="17.100000000000001" customHeight="1" x14ac:dyDescent="0.25">
      <c r="A383" s="10" t="s">
        <v>1643</v>
      </c>
      <c r="B383" s="10" t="s">
        <v>1644</v>
      </c>
      <c r="C383" s="116" t="s">
        <v>1645</v>
      </c>
      <c r="D383" s="117"/>
      <c r="E383" s="117"/>
      <c r="F383" s="117"/>
      <c r="G383" s="117"/>
      <c r="H383" s="117"/>
      <c r="I383" s="118"/>
      <c r="M383" s="6">
        <f>SUM(M384,M387,M390)</f>
        <v>9944.4500000000007</v>
      </c>
      <c r="N383" s="6">
        <f>SUM(N384,N387,N390)</f>
        <v>228453.48</v>
      </c>
      <c r="O383" s="6">
        <f>SUM(O384,O387,O390)</f>
        <v>238397.93000000002</v>
      </c>
      <c r="S383" s="6">
        <f>SUM(S384,S387,S390)</f>
        <v>9944.4500000000007</v>
      </c>
      <c r="T383" s="6">
        <f>SUM(T384,T387,T390)</f>
        <v>228453.48</v>
      </c>
      <c r="U383" s="6">
        <f>SUM(U384,U387,U390)</f>
        <v>238397.93000000002</v>
      </c>
      <c r="Y383" s="9">
        <f>SUM(Y384,Y387,Y390)</f>
        <v>8287.0400000000009</v>
      </c>
      <c r="Z383" s="9">
        <f>SUM(Z384,Z387,Z390)</f>
        <v>190377.9</v>
      </c>
      <c r="AA383" s="9">
        <f>SUM(AA384,AA387,AA390)</f>
        <v>198664.94</v>
      </c>
      <c r="AD383" s="4">
        <v>264030326</v>
      </c>
      <c r="AE383" s="4">
        <v>16082936</v>
      </c>
    </row>
    <row r="384" spans="1:35" ht="56.25" x14ac:dyDescent="0.25">
      <c r="A384" s="10" t="s">
        <v>1646</v>
      </c>
      <c r="B384" s="10" t="s">
        <v>1647</v>
      </c>
      <c r="C384" s="14" t="s">
        <v>1648</v>
      </c>
      <c r="D384" s="15"/>
      <c r="E384" s="15" t="s">
        <v>1649</v>
      </c>
      <c r="F384" s="15" t="s">
        <v>56</v>
      </c>
      <c r="G384" s="16">
        <v>1</v>
      </c>
      <c r="H384" s="16"/>
      <c r="I384" s="16">
        <v>0</v>
      </c>
      <c r="J384" s="17">
        <f>IFERROR(ROUND(SUM(M385,M386)/I384, 2),0)</f>
        <v>0</v>
      </c>
      <c r="K384" s="18">
        <v>278</v>
      </c>
      <c r="L384" s="17">
        <f>J384+ROUND(K384, 2)</f>
        <v>278</v>
      </c>
      <c r="M384" s="17">
        <f>ROUND(J384*I384, 2)</f>
        <v>0</v>
      </c>
      <c r="N384" s="17">
        <f>ROUND(I384*ROUND(K384, 2), 2)</f>
        <v>0</v>
      </c>
      <c r="O384" s="17">
        <f>M384+N384</f>
        <v>0</v>
      </c>
      <c r="P384" s="17">
        <f>IFERROR(ROUND(SUM(S385,S386)/I384, 2),0)</f>
        <v>0</v>
      </c>
      <c r="Q384" s="18">
        <v>278</v>
      </c>
      <c r="R384" s="17">
        <f>P384+ROUND(Q384, 2)</f>
        <v>278</v>
      </c>
      <c r="S384" s="17">
        <f>ROUND(P384*I384, 2)</f>
        <v>0</v>
      </c>
      <c r="T384" s="17">
        <f>ROUND(I384*ROUND(Q384, 2), 2)</f>
        <v>0</v>
      </c>
      <c r="U384" s="17">
        <f>S384+T384</f>
        <v>0</v>
      </c>
      <c r="V384" s="9">
        <f>ROUND(P384 / 1.2, 2)</f>
        <v>0</v>
      </c>
      <c r="W384" s="9">
        <f>ROUND(Q384 / 1.2, 2)</f>
        <v>231.67</v>
      </c>
      <c r="X384" s="9">
        <f>ROUND(R384 / 1.2, 2)</f>
        <v>231.67</v>
      </c>
      <c r="Y384" s="9">
        <f>ROUND(S384 / 1.2, 2)</f>
        <v>0</v>
      </c>
      <c r="Z384" s="9">
        <f>ROUND(T384 / 1.2, 2)</f>
        <v>0</v>
      </c>
      <c r="AA384" s="9">
        <f>Y384+Z384</f>
        <v>0</v>
      </c>
      <c r="AD384" s="4">
        <v>264030328</v>
      </c>
      <c r="AE384" s="4">
        <v>16082938</v>
      </c>
      <c r="AG384" s="4" t="s">
        <v>1650</v>
      </c>
      <c r="AH384" s="4" t="s">
        <v>1651</v>
      </c>
      <c r="AI384" s="4" t="s">
        <v>249</v>
      </c>
    </row>
    <row r="385" spans="1:35" ht="131.25" x14ac:dyDescent="0.25">
      <c r="A385" s="10" t="s">
        <v>1653</v>
      </c>
      <c r="B385" s="10"/>
      <c r="C385" s="24" t="s">
        <v>1654</v>
      </c>
      <c r="D385" s="15"/>
      <c r="E385" s="15" t="s">
        <v>1655</v>
      </c>
      <c r="F385" s="25" t="s">
        <v>81</v>
      </c>
      <c r="G385" s="26">
        <v>0.3</v>
      </c>
      <c r="H385" s="27"/>
      <c r="I385" s="27">
        <v>0</v>
      </c>
      <c r="J385" s="28">
        <v>226.67</v>
      </c>
      <c r="M385" s="29">
        <f>ROUND(ROUND(J385, 2)*I385, 2)</f>
        <v>0</v>
      </c>
      <c r="P385" s="28">
        <v>135.36000000000001</v>
      </c>
      <c r="S385" s="29">
        <f>ROUND(ROUND(P385, 2)*I385, 2)</f>
        <v>0</v>
      </c>
      <c r="V385" s="9">
        <f>ROUND(ROUND(P385, 2)/1.2, 2)</f>
        <v>112.8</v>
      </c>
      <c r="Y385" s="9">
        <f t="shared" ref="Y385:Y392" si="16">ROUND(S385 / 1.2, 2)</f>
        <v>0</v>
      </c>
      <c r="AD385" s="4" t="s">
        <v>1656</v>
      </c>
      <c r="AE385" s="4" t="s">
        <v>1657</v>
      </c>
      <c r="AF385" s="4" t="s">
        <v>1658</v>
      </c>
    </row>
    <row r="386" spans="1:35" ht="37.5" x14ac:dyDescent="0.25">
      <c r="A386" s="10" t="s">
        <v>1661</v>
      </c>
      <c r="B386" s="10"/>
      <c r="C386" s="24" t="s">
        <v>490</v>
      </c>
      <c r="D386" s="15"/>
      <c r="E386" s="15"/>
      <c r="F386" s="25" t="s">
        <v>81</v>
      </c>
      <c r="G386" s="26">
        <v>0.15</v>
      </c>
      <c r="H386" s="27"/>
      <c r="I386" s="27">
        <v>0</v>
      </c>
      <c r="J386" s="28">
        <v>88.8</v>
      </c>
      <c r="M386" s="29">
        <f>ROUND(ROUND(J386, 2)*I386, 2)</f>
        <v>0</v>
      </c>
      <c r="P386" s="28">
        <v>88.8</v>
      </c>
      <c r="S386" s="29">
        <f>ROUND(ROUND(P386, 2)*I386, 2)</f>
        <v>0</v>
      </c>
      <c r="V386" s="9">
        <f>ROUND(ROUND(P386, 2)/1.2, 2)</f>
        <v>74</v>
      </c>
      <c r="Y386" s="9">
        <f t="shared" si="16"/>
        <v>0</v>
      </c>
      <c r="AD386" s="4" t="s">
        <v>1662</v>
      </c>
      <c r="AE386" s="4" t="s">
        <v>1663</v>
      </c>
      <c r="AF386" s="4" t="s">
        <v>493</v>
      </c>
    </row>
    <row r="387" spans="1:35" ht="56.25" x14ac:dyDescent="0.25">
      <c r="A387" s="10" t="s">
        <v>1666</v>
      </c>
      <c r="B387" s="10" t="s">
        <v>1647</v>
      </c>
      <c r="C387" s="14" t="s">
        <v>1648</v>
      </c>
      <c r="D387" s="15"/>
      <c r="E387" s="15" t="s">
        <v>523</v>
      </c>
      <c r="F387" s="15" t="s">
        <v>56</v>
      </c>
      <c r="G387" s="16">
        <v>1</v>
      </c>
      <c r="H387" s="16"/>
      <c r="I387" s="16">
        <v>0</v>
      </c>
      <c r="J387" s="17">
        <f>IFERROR(ROUND(SUM(M388,M389)/I387, 2),0)</f>
        <v>0</v>
      </c>
      <c r="K387" s="18">
        <v>278</v>
      </c>
      <c r="L387" s="17">
        <f>J387+ROUND(K387, 2)</f>
        <v>278</v>
      </c>
      <c r="M387" s="17">
        <f>ROUND(J387*I387, 2)</f>
        <v>0</v>
      </c>
      <c r="N387" s="17">
        <f>ROUND(I387*ROUND(K387, 2), 2)</f>
        <v>0</v>
      </c>
      <c r="O387" s="17">
        <f>M387+N387</f>
        <v>0</v>
      </c>
      <c r="P387" s="17">
        <f>IFERROR(ROUND(SUM(S388,S389)/I387, 2),0)</f>
        <v>0</v>
      </c>
      <c r="Q387" s="18">
        <v>278</v>
      </c>
      <c r="R387" s="17">
        <f>P387+ROUND(Q387, 2)</f>
        <v>278</v>
      </c>
      <c r="S387" s="17">
        <f>ROUND(P387*I387, 2)</f>
        <v>0</v>
      </c>
      <c r="T387" s="17">
        <f>ROUND(I387*ROUND(Q387, 2), 2)</f>
        <v>0</v>
      </c>
      <c r="U387" s="17">
        <f>S387+T387</f>
        <v>0</v>
      </c>
      <c r="V387" s="9">
        <f>ROUND(P387 / 1.2, 2)</f>
        <v>0</v>
      </c>
      <c r="W387" s="9">
        <f>ROUND(Q387 / 1.2, 2)</f>
        <v>231.67</v>
      </c>
      <c r="X387" s="9">
        <f>ROUND(R387 / 1.2, 2)</f>
        <v>231.67</v>
      </c>
      <c r="Y387" s="9">
        <f t="shared" si="16"/>
        <v>0</v>
      </c>
      <c r="Z387" s="9">
        <f>ROUND(T387 / 1.2, 2)</f>
        <v>0</v>
      </c>
      <c r="AA387" s="9">
        <f>Y387+Z387</f>
        <v>0</v>
      </c>
      <c r="AD387" s="4">
        <v>264030414</v>
      </c>
      <c r="AE387" s="4">
        <v>16088066</v>
      </c>
      <c r="AG387" s="4" t="s">
        <v>1650</v>
      </c>
      <c r="AH387" s="4" t="s">
        <v>1651</v>
      </c>
      <c r="AI387" s="4" t="s">
        <v>249</v>
      </c>
    </row>
    <row r="388" spans="1:35" ht="37.5" x14ac:dyDescent="0.25">
      <c r="A388" s="10" t="s">
        <v>1668</v>
      </c>
      <c r="B388" s="10"/>
      <c r="C388" s="24" t="s">
        <v>490</v>
      </c>
      <c r="D388" s="15"/>
      <c r="E388" s="15"/>
      <c r="F388" s="25" t="s">
        <v>81</v>
      </c>
      <c r="G388" s="26">
        <v>0.15</v>
      </c>
      <c r="H388" s="27"/>
      <c r="I388" s="27">
        <v>0</v>
      </c>
      <c r="J388" s="28">
        <v>88.8</v>
      </c>
      <c r="M388" s="29">
        <f>ROUND(ROUND(J388, 2)*I388, 2)</f>
        <v>0</v>
      </c>
      <c r="P388" s="28">
        <v>88.8</v>
      </c>
      <c r="S388" s="29">
        <f>ROUND(ROUND(P388, 2)*I388, 2)</f>
        <v>0</v>
      </c>
      <c r="V388" s="9">
        <f>ROUND(ROUND(P388, 2)/1.2, 2)</f>
        <v>74</v>
      </c>
      <c r="Y388" s="9">
        <f t="shared" si="16"/>
        <v>0</v>
      </c>
      <c r="AD388" s="4" t="s">
        <v>1669</v>
      </c>
      <c r="AE388" s="4" t="s">
        <v>1670</v>
      </c>
      <c r="AF388" s="4" t="s">
        <v>493</v>
      </c>
    </row>
    <row r="389" spans="1:35" ht="112.5" x14ac:dyDescent="0.25">
      <c r="A389" s="10" t="s">
        <v>1673</v>
      </c>
      <c r="B389" s="10"/>
      <c r="C389" s="24" t="s">
        <v>1654</v>
      </c>
      <c r="D389" s="15"/>
      <c r="E389" s="15" t="s">
        <v>1674</v>
      </c>
      <c r="F389" s="25" t="s">
        <v>81</v>
      </c>
      <c r="G389" s="26">
        <v>0.3</v>
      </c>
      <c r="H389" s="27"/>
      <c r="I389" s="27">
        <v>0</v>
      </c>
      <c r="J389" s="28">
        <v>226.67</v>
      </c>
      <c r="M389" s="29">
        <f>ROUND(ROUND(J389, 2)*I389, 2)</f>
        <v>0</v>
      </c>
      <c r="P389" s="28">
        <v>135.36000000000001</v>
      </c>
      <c r="S389" s="29">
        <f>ROUND(ROUND(P389, 2)*I389, 2)</f>
        <v>0</v>
      </c>
      <c r="V389" s="9">
        <f>ROUND(ROUND(P389, 2)/1.2, 2)</f>
        <v>112.8</v>
      </c>
      <c r="Y389" s="9">
        <f t="shared" si="16"/>
        <v>0</v>
      </c>
      <c r="AD389" s="4" t="s">
        <v>1675</v>
      </c>
      <c r="AE389" s="4" t="s">
        <v>1676</v>
      </c>
      <c r="AF389" s="4" t="s">
        <v>1658</v>
      </c>
    </row>
    <row r="390" spans="1:35" ht="56.25" x14ac:dyDescent="0.25">
      <c r="A390" s="10" t="s">
        <v>1679</v>
      </c>
      <c r="B390" s="10" t="s">
        <v>1647</v>
      </c>
      <c r="C390" s="14" t="s">
        <v>1648</v>
      </c>
      <c r="D390" s="15"/>
      <c r="E390" s="15" t="s">
        <v>1387</v>
      </c>
      <c r="F390" s="15" t="s">
        <v>56</v>
      </c>
      <c r="G390" s="16">
        <v>1</v>
      </c>
      <c r="H390" s="16"/>
      <c r="I390" s="16">
        <v>746.58</v>
      </c>
      <c r="J390" s="17">
        <f>IFERROR(ROUND(SUM(M391,M392)/I390, 2),0)</f>
        <v>13.32</v>
      </c>
      <c r="K390" s="18">
        <v>306</v>
      </c>
      <c r="L390" s="17">
        <f>J390+ROUND(K390, 2)</f>
        <v>319.32</v>
      </c>
      <c r="M390" s="17">
        <f>ROUND(J390*I390, 2)</f>
        <v>9944.4500000000007</v>
      </c>
      <c r="N390" s="17">
        <f>ROUND(I390*ROUND(K390, 2), 2)</f>
        <v>228453.48</v>
      </c>
      <c r="O390" s="17">
        <f>M390+N390</f>
        <v>238397.93000000002</v>
      </c>
      <c r="P390" s="17">
        <f>IFERROR(ROUND(SUM(S391,S392)/I390, 2),0)</f>
        <v>13.32</v>
      </c>
      <c r="Q390" s="19">
        <v>306</v>
      </c>
      <c r="R390" s="17">
        <f>P390+ROUND(Q390, 2)</f>
        <v>319.32</v>
      </c>
      <c r="S390" s="17">
        <f>ROUND(P390*I390, 2)</f>
        <v>9944.4500000000007</v>
      </c>
      <c r="T390" s="17">
        <f>ROUND(I390*ROUND(Q390, 2), 2)</f>
        <v>228453.48</v>
      </c>
      <c r="U390" s="17">
        <f>S390+T390</f>
        <v>238397.93000000002</v>
      </c>
      <c r="V390" s="9">
        <f>ROUND(P390 / 1.2, 2)</f>
        <v>11.1</v>
      </c>
      <c r="W390" s="9">
        <f>ROUND(Q390 / 1.2, 2)</f>
        <v>255</v>
      </c>
      <c r="X390" s="9">
        <f>ROUND(R390 / 1.2, 2)</f>
        <v>266.10000000000002</v>
      </c>
      <c r="Y390" s="9">
        <f t="shared" si="16"/>
        <v>8287.0400000000009</v>
      </c>
      <c r="Z390" s="9">
        <f>ROUND(T390 / 1.2, 2)</f>
        <v>190377.9</v>
      </c>
      <c r="AA390" s="9">
        <f>Y390+Z390</f>
        <v>198664.94</v>
      </c>
      <c r="AD390" s="4">
        <v>264030415</v>
      </c>
      <c r="AE390" s="4">
        <v>19923616</v>
      </c>
      <c r="AG390" s="4" t="s">
        <v>1650</v>
      </c>
      <c r="AH390" s="4" t="s">
        <v>1651</v>
      </c>
      <c r="AI390" s="4" t="s">
        <v>249</v>
      </c>
    </row>
    <row r="391" spans="1:35" ht="131.25" x14ac:dyDescent="0.25">
      <c r="A391" s="10" t="s">
        <v>1680</v>
      </c>
      <c r="B391" s="10"/>
      <c r="C391" s="24" t="s">
        <v>1681</v>
      </c>
      <c r="D391" s="15"/>
      <c r="E391" s="15" t="s">
        <v>1682</v>
      </c>
      <c r="F391" s="25" t="s">
        <v>81</v>
      </c>
      <c r="G391" s="26">
        <v>0.3</v>
      </c>
      <c r="H391" s="27"/>
      <c r="I391" s="27">
        <v>223.97399999999999</v>
      </c>
      <c r="J391" s="28">
        <v>0</v>
      </c>
      <c r="M391" s="29">
        <f>ROUND(ROUND(J391, 2)*I391, 2)</f>
        <v>0</v>
      </c>
      <c r="P391" s="30">
        <v>0</v>
      </c>
      <c r="S391" s="29">
        <f>ROUND(ROUND(P391, 2)*I391, 2)</f>
        <v>0</v>
      </c>
      <c r="V391" s="9">
        <f>ROUND(ROUND(P391, 2)/1.2, 2)</f>
        <v>0</v>
      </c>
      <c r="Y391" s="9">
        <f t="shared" si="16"/>
        <v>0</v>
      </c>
      <c r="AD391" s="4" t="s">
        <v>1683</v>
      </c>
      <c r="AE391" s="4" t="s">
        <v>1684</v>
      </c>
      <c r="AF391" s="4" t="s">
        <v>1685</v>
      </c>
    </row>
    <row r="392" spans="1:35" ht="37.5" x14ac:dyDescent="0.25">
      <c r="A392" s="10" t="s">
        <v>1686</v>
      </c>
      <c r="B392" s="10"/>
      <c r="C392" s="24" t="s">
        <v>490</v>
      </c>
      <c r="D392" s="15"/>
      <c r="E392" s="15"/>
      <c r="F392" s="25" t="s">
        <v>81</v>
      </c>
      <c r="G392" s="26">
        <v>0.15</v>
      </c>
      <c r="H392" s="27"/>
      <c r="I392" s="27">
        <v>111.98699999999999</v>
      </c>
      <c r="J392" s="28">
        <v>88.8</v>
      </c>
      <c r="M392" s="29">
        <f>ROUND(ROUND(J392, 2)*I392, 2)</f>
        <v>9944.4500000000007</v>
      </c>
      <c r="P392" s="30">
        <v>88.8</v>
      </c>
      <c r="S392" s="29">
        <f>ROUND(ROUND(P392, 2)*I392, 2)</f>
        <v>9944.4500000000007</v>
      </c>
      <c r="V392" s="9">
        <f>ROUND(ROUND(P392, 2)/1.2, 2)</f>
        <v>74</v>
      </c>
      <c r="Y392" s="9">
        <f t="shared" si="16"/>
        <v>8287.0400000000009</v>
      </c>
      <c r="AD392" s="4" t="s">
        <v>1687</v>
      </c>
      <c r="AE392" s="4" t="s">
        <v>1688</v>
      </c>
      <c r="AF392" s="4" t="s">
        <v>493</v>
      </c>
    </row>
    <row r="393" spans="1:35" ht="17.100000000000001" customHeight="1" x14ac:dyDescent="0.25">
      <c r="A393" s="10" t="s">
        <v>1689</v>
      </c>
      <c r="B393" s="10" t="s">
        <v>1690</v>
      </c>
      <c r="C393" s="116" t="s">
        <v>1691</v>
      </c>
      <c r="D393" s="117"/>
      <c r="E393" s="117"/>
      <c r="F393" s="117"/>
      <c r="G393" s="117"/>
      <c r="H393" s="117"/>
      <c r="I393" s="118"/>
      <c r="M393" s="6">
        <f>SUM(M394,M396,M398,M400)</f>
        <v>0</v>
      </c>
      <c r="N393" s="6">
        <f>SUM(N394,N396,N398,N400)</f>
        <v>62940.599999999991</v>
      </c>
      <c r="O393" s="6">
        <f>SUM(O394,O396,O398,O400)</f>
        <v>62940.599999999991</v>
      </c>
      <c r="S393" s="6">
        <f>SUM(S394,S396,S398,S400)</f>
        <v>0</v>
      </c>
      <c r="T393" s="6">
        <f>SUM(T394,T396,T398,T400)</f>
        <v>62940.599999999991</v>
      </c>
      <c r="U393" s="6">
        <f>SUM(U394,U396,U398,U400)</f>
        <v>62940.599999999991</v>
      </c>
      <c r="Y393" s="9">
        <f>SUM(Y394,Y396,Y398,Y400)</f>
        <v>0</v>
      </c>
      <c r="Z393" s="9">
        <f>SUM(Z394,Z396,Z398,Z400)</f>
        <v>52450.5</v>
      </c>
      <c r="AA393" s="9">
        <f>SUM(AA394,AA396,AA398,AA400)</f>
        <v>52450.5</v>
      </c>
      <c r="AD393" s="4">
        <v>264030329</v>
      </c>
      <c r="AE393" s="4">
        <v>16083550</v>
      </c>
    </row>
    <row r="394" spans="1:35" ht="37.5" x14ac:dyDescent="0.25">
      <c r="A394" s="10" t="s">
        <v>1692</v>
      </c>
      <c r="B394" s="10" t="s">
        <v>1693</v>
      </c>
      <c r="C394" s="14" t="s">
        <v>1694</v>
      </c>
      <c r="D394" s="15"/>
      <c r="E394" s="15" t="s">
        <v>1695</v>
      </c>
      <c r="F394" s="15" t="s">
        <v>56</v>
      </c>
      <c r="G394" s="16">
        <v>1</v>
      </c>
      <c r="H394" s="16"/>
      <c r="I394" s="16">
        <v>32.799999999999997</v>
      </c>
      <c r="J394" s="17">
        <f>IFERROR(ROUND(SUM(M395)/I394, 2),0)</f>
        <v>0</v>
      </c>
      <c r="K394" s="18">
        <v>837</v>
      </c>
      <c r="L394" s="17">
        <f>J394+ROUND(K394, 2)</f>
        <v>837</v>
      </c>
      <c r="M394" s="17">
        <f>ROUND(J394*I394, 2)</f>
        <v>0</v>
      </c>
      <c r="N394" s="17">
        <f>ROUND(I394*ROUND(K394, 2), 2)</f>
        <v>27453.599999999999</v>
      </c>
      <c r="O394" s="17">
        <f>M394+N394</f>
        <v>27453.599999999999</v>
      </c>
      <c r="P394" s="17">
        <f>IFERROR(ROUND(SUM(S395)/I394, 2),0)</f>
        <v>0</v>
      </c>
      <c r="Q394" s="19">
        <v>837</v>
      </c>
      <c r="R394" s="17">
        <f>P394+ROUND(Q394, 2)</f>
        <v>837</v>
      </c>
      <c r="S394" s="17">
        <f>ROUND(P394*I394, 2)</f>
        <v>0</v>
      </c>
      <c r="T394" s="17">
        <f>ROUND(I394*ROUND(Q394, 2), 2)</f>
        <v>27453.599999999999</v>
      </c>
      <c r="U394" s="17">
        <f>S394+T394</f>
        <v>27453.599999999999</v>
      </c>
      <c r="V394" s="9">
        <f>ROUND(P394 / 1.2, 2)</f>
        <v>0</v>
      </c>
      <c r="W394" s="9">
        <f>ROUND(Q394 / 1.2, 2)</f>
        <v>697.5</v>
      </c>
      <c r="X394" s="9">
        <f>ROUND(R394 / 1.2, 2)</f>
        <v>697.5</v>
      </c>
      <c r="Y394" s="9">
        <f>ROUND(S394 / 1.2, 2)</f>
        <v>0</v>
      </c>
      <c r="Z394" s="9">
        <f>ROUND(T394 / 1.2, 2)</f>
        <v>22878</v>
      </c>
      <c r="AA394" s="9">
        <f>Y394+Z394</f>
        <v>22878</v>
      </c>
      <c r="AD394" s="4">
        <v>264030331</v>
      </c>
      <c r="AE394" s="4">
        <v>16083552</v>
      </c>
      <c r="AG394" s="4" t="s">
        <v>1696</v>
      </c>
      <c r="AH394" s="4" t="s">
        <v>1697</v>
      </c>
      <c r="AI394" s="4" t="s">
        <v>249</v>
      </c>
    </row>
    <row r="395" spans="1:35" ht="93.75" x14ac:dyDescent="0.25">
      <c r="A395" s="10" t="s">
        <v>1698</v>
      </c>
      <c r="B395" s="10"/>
      <c r="C395" s="24" t="s">
        <v>1699</v>
      </c>
      <c r="D395" s="15"/>
      <c r="E395" s="15" t="s">
        <v>1700</v>
      </c>
      <c r="F395" s="25" t="s">
        <v>56</v>
      </c>
      <c r="G395" s="26">
        <v>1</v>
      </c>
      <c r="H395" s="27"/>
      <c r="I395" s="27">
        <v>32.799999999999997</v>
      </c>
      <c r="J395" s="28">
        <v>0</v>
      </c>
      <c r="M395" s="29">
        <f>ROUND(ROUND(J395, 2)*I395, 2)</f>
        <v>0</v>
      </c>
      <c r="P395" s="30">
        <v>0</v>
      </c>
      <c r="S395" s="29">
        <f>ROUND(ROUND(P395, 2)*I395, 2)</f>
        <v>0</v>
      </c>
      <c r="V395" s="9">
        <f>ROUND(ROUND(P395, 2)/1.2, 2)</f>
        <v>0</v>
      </c>
      <c r="Y395" s="9">
        <f>ROUND(S395 / 1.2, 2)</f>
        <v>0</v>
      </c>
      <c r="AD395" s="4" t="s">
        <v>1701</v>
      </c>
      <c r="AE395" s="4" t="s">
        <v>1702</v>
      </c>
      <c r="AF395" s="4" t="s">
        <v>1703</v>
      </c>
    </row>
    <row r="396" spans="1:35" ht="37.5" x14ac:dyDescent="0.25">
      <c r="A396" s="10" t="s">
        <v>1704</v>
      </c>
      <c r="B396" s="10" t="s">
        <v>1693</v>
      </c>
      <c r="C396" s="14" t="s">
        <v>1694</v>
      </c>
      <c r="D396" s="15"/>
      <c r="E396" s="15" t="s">
        <v>139</v>
      </c>
      <c r="F396" s="15" t="s">
        <v>56</v>
      </c>
      <c r="G396" s="16">
        <v>1</v>
      </c>
      <c r="H396" s="16"/>
      <c r="I396" s="16">
        <v>32.9</v>
      </c>
      <c r="J396" s="17">
        <f>IFERROR(ROUND(SUM(M397)/I396, 2),0)</f>
        <v>0</v>
      </c>
      <c r="K396" s="18">
        <v>837</v>
      </c>
      <c r="L396" s="17">
        <f>J396+ROUND(K396, 2)</f>
        <v>837</v>
      </c>
      <c r="M396" s="17">
        <f>ROUND(J396*I396, 2)</f>
        <v>0</v>
      </c>
      <c r="N396" s="17">
        <f>ROUND(I396*ROUND(K396, 2), 2)</f>
        <v>27537.3</v>
      </c>
      <c r="O396" s="17">
        <f>M396+N396</f>
        <v>27537.3</v>
      </c>
      <c r="P396" s="17">
        <f>IFERROR(ROUND(SUM(S397)/I396, 2),0)</f>
        <v>0</v>
      </c>
      <c r="Q396" s="19">
        <v>837</v>
      </c>
      <c r="R396" s="17">
        <f>P396+ROUND(Q396, 2)</f>
        <v>837</v>
      </c>
      <c r="S396" s="17">
        <f>ROUND(P396*I396, 2)</f>
        <v>0</v>
      </c>
      <c r="T396" s="17">
        <f>ROUND(I396*ROUND(Q396, 2), 2)</f>
        <v>27537.3</v>
      </c>
      <c r="U396" s="17">
        <f>S396+T396</f>
        <v>27537.3</v>
      </c>
      <c r="V396" s="9">
        <f>ROUND(P396 / 1.2, 2)</f>
        <v>0</v>
      </c>
      <c r="W396" s="9">
        <f>ROUND(Q396 / 1.2, 2)</f>
        <v>697.5</v>
      </c>
      <c r="X396" s="9">
        <f>ROUND(R396 / 1.2, 2)</f>
        <v>697.5</v>
      </c>
      <c r="Y396" s="9">
        <f>ROUND(S396 / 1.2, 2)</f>
        <v>0</v>
      </c>
      <c r="Z396" s="9">
        <f>ROUND(T396 / 1.2, 2)</f>
        <v>22947.75</v>
      </c>
      <c r="AA396" s="9">
        <f>Y396+Z396</f>
        <v>22947.75</v>
      </c>
      <c r="AD396" s="4">
        <v>264030416</v>
      </c>
      <c r="AE396" s="4">
        <v>16083553</v>
      </c>
      <c r="AG396" s="4" t="s">
        <v>1696</v>
      </c>
      <c r="AH396" s="4" t="s">
        <v>1697</v>
      </c>
      <c r="AI396" s="4" t="s">
        <v>249</v>
      </c>
    </row>
    <row r="397" spans="1:35" ht="93.75" x14ac:dyDescent="0.25">
      <c r="A397" s="10" t="s">
        <v>1705</v>
      </c>
      <c r="B397" s="10"/>
      <c r="C397" s="24" t="s">
        <v>1699</v>
      </c>
      <c r="D397" s="15"/>
      <c r="E397" s="15" t="s">
        <v>1700</v>
      </c>
      <c r="F397" s="25" t="s">
        <v>56</v>
      </c>
      <c r="G397" s="26">
        <v>1</v>
      </c>
      <c r="H397" s="27"/>
      <c r="I397" s="27">
        <v>32.9</v>
      </c>
      <c r="J397" s="28">
        <v>0</v>
      </c>
      <c r="M397" s="29">
        <f>ROUND(ROUND(J397, 2)*I397, 2)</f>
        <v>0</v>
      </c>
      <c r="P397" s="30">
        <v>0</v>
      </c>
      <c r="S397" s="29">
        <f>ROUND(ROUND(P397, 2)*I397, 2)</f>
        <v>0</v>
      </c>
      <c r="V397" s="9">
        <f>ROUND(ROUND(P397, 2)/1.2, 2)</f>
        <v>0</v>
      </c>
      <c r="Y397" s="9">
        <f>ROUND(S397 / 1.2, 2)</f>
        <v>0</v>
      </c>
      <c r="AD397" s="4" t="s">
        <v>1706</v>
      </c>
      <c r="AE397" s="4" t="s">
        <v>1707</v>
      </c>
      <c r="AF397" s="4" t="s">
        <v>1703</v>
      </c>
    </row>
    <row r="398" spans="1:35" ht="37.5" x14ac:dyDescent="0.25">
      <c r="A398" s="10" t="s">
        <v>1708</v>
      </c>
      <c r="B398" s="10" t="s">
        <v>1709</v>
      </c>
      <c r="C398" s="14" t="s">
        <v>1710</v>
      </c>
      <c r="D398" s="15"/>
      <c r="E398" s="15" t="s">
        <v>1711</v>
      </c>
      <c r="F398" s="15" t="s">
        <v>56</v>
      </c>
      <c r="G398" s="16">
        <v>1</v>
      </c>
      <c r="H398" s="16"/>
      <c r="I398" s="16">
        <v>0</v>
      </c>
      <c r="J398" s="17">
        <f>IFERROR(ROUND(SUM(M399)/I398, 2),0)</f>
        <v>0</v>
      </c>
      <c r="K398" s="18">
        <v>1499</v>
      </c>
      <c r="L398" s="17">
        <f>J398+ROUND(K398, 2)</f>
        <v>1499</v>
      </c>
      <c r="M398" s="17">
        <f>ROUND(J398*I398, 2)</f>
        <v>0</v>
      </c>
      <c r="N398" s="17">
        <f>ROUND(I398*ROUND(K398, 2), 2)</f>
        <v>0</v>
      </c>
      <c r="O398" s="17">
        <f>M398+N398</f>
        <v>0</v>
      </c>
      <c r="P398" s="17">
        <f>IFERROR(ROUND(SUM(S399)/I398, 2),0)</f>
        <v>0</v>
      </c>
      <c r="Q398" s="18">
        <v>1499</v>
      </c>
      <c r="R398" s="17">
        <f>P398+ROUND(Q398, 2)</f>
        <v>1499</v>
      </c>
      <c r="S398" s="17">
        <f>ROUND(P398*I398, 2)</f>
        <v>0</v>
      </c>
      <c r="T398" s="17">
        <f>ROUND(I398*ROUND(Q398, 2), 2)</f>
        <v>0</v>
      </c>
      <c r="U398" s="17">
        <f>S398+T398</f>
        <v>0</v>
      </c>
      <c r="V398" s="9">
        <f>ROUND(P398 / 1.2, 2)</f>
        <v>0</v>
      </c>
      <c r="W398" s="9">
        <f>ROUND(Q398 / 1.2, 2)</f>
        <v>1249.17</v>
      </c>
      <c r="X398" s="9">
        <f>ROUND(R398 / 1.2, 2)</f>
        <v>1249.17</v>
      </c>
      <c r="Y398" s="9">
        <f>ROUND(S398 / 1.2, 2)</f>
        <v>0</v>
      </c>
      <c r="Z398" s="9">
        <f>ROUND(T398 / 1.2, 2)</f>
        <v>0</v>
      </c>
      <c r="AA398" s="9">
        <f>Y398+Z398</f>
        <v>0</v>
      </c>
      <c r="AD398" s="4">
        <v>264030332</v>
      </c>
      <c r="AE398" s="4">
        <v>16084347</v>
      </c>
      <c r="AG398" s="4" t="s">
        <v>1712</v>
      </c>
      <c r="AH398" s="4" t="s">
        <v>1713</v>
      </c>
      <c r="AI398" s="4" t="s">
        <v>249</v>
      </c>
    </row>
    <row r="399" spans="1:35" ht="168.75" x14ac:dyDescent="0.25">
      <c r="A399" s="10" t="s">
        <v>1715</v>
      </c>
      <c r="B399" s="10"/>
      <c r="C399" s="24" t="s">
        <v>1716</v>
      </c>
      <c r="D399" s="15"/>
      <c r="E399" s="15" t="s">
        <v>1717</v>
      </c>
      <c r="F399" s="25" t="s">
        <v>56</v>
      </c>
      <c r="G399" s="26">
        <v>1</v>
      </c>
      <c r="H399" s="26"/>
      <c r="I399" s="26">
        <v>0</v>
      </c>
      <c r="J399" s="28">
        <v>0</v>
      </c>
      <c r="M399" s="29">
        <f>ROUND(ROUND(J399, 2)*I399, 2)</f>
        <v>0</v>
      </c>
      <c r="P399" s="28">
        <v>0</v>
      </c>
      <c r="S399" s="29">
        <f>ROUND(ROUND(P399, 2)*I399, 2)</f>
        <v>0</v>
      </c>
      <c r="V399" s="9">
        <f>ROUND(ROUND(P399, 2)/1.2, 2)</f>
        <v>0</v>
      </c>
      <c r="Y399" s="9">
        <f>ROUND(S399 / 1.2, 2)</f>
        <v>0</v>
      </c>
      <c r="AD399" s="4" t="s">
        <v>1718</v>
      </c>
      <c r="AE399" s="4" t="s">
        <v>1719</v>
      </c>
      <c r="AF399" s="4" t="s">
        <v>1720</v>
      </c>
    </row>
    <row r="400" spans="1:35" ht="56.25" x14ac:dyDescent="0.25">
      <c r="A400" s="10" t="s">
        <v>1723</v>
      </c>
      <c r="B400" s="10" t="s">
        <v>1724</v>
      </c>
      <c r="C400" s="14" t="s">
        <v>1725</v>
      </c>
      <c r="D400" s="15"/>
      <c r="E400" s="15"/>
      <c r="F400" s="15" t="s">
        <v>56</v>
      </c>
      <c r="G400" s="16">
        <v>1</v>
      </c>
      <c r="H400" s="16"/>
      <c r="I400" s="16">
        <v>65.7</v>
      </c>
      <c r="J400" s="17">
        <v>0</v>
      </c>
      <c r="K400" s="18">
        <v>121</v>
      </c>
      <c r="L400" s="17">
        <f>J400+ROUND(K400, 2)</f>
        <v>121</v>
      </c>
      <c r="M400" s="17">
        <v>0</v>
      </c>
      <c r="N400" s="17">
        <f>ROUND(I400*ROUND(K400, 2), 2)</f>
        <v>7949.7</v>
      </c>
      <c r="O400" s="17">
        <f>M400+N400</f>
        <v>7949.7</v>
      </c>
      <c r="P400" s="17">
        <v>0</v>
      </c>
      <c r="Q400" s="19">
        <v>121</v>
      </c>
      <c r="R400" s="17">
        <f>P400+ROUND(Q400, 2)</f>
        <v>121</v>
      </c>
      <c r="S400" s="17">
        <v>0</v>
      </c>
      <c r="T400" s="17">
        <f>ROUND(I400*ROUND(Q400, 2), 2)</f>
        <v>7949.7</v>
      </c>
      <c r="U400" s="17">
        <f>S400+T400</f>
        <v>7949.7</v>
      </c>
      <c r="V400" s="9"/>
      <c r="W400" s="9">
        <f>ROUND(Q400 / 1.2, 2)</f>
        <v>100.83</v>
      </c>
      <c r="X400" s="9">
        <f>ROUND(R400 / 1.2, 2)</f>
        <v>100.83</v>
      </c>
      <c r="Y400" s="9"/>
      <c r="Z400" s="9">
        <f>ROUND(T400 / 1.2, 2)</f>
        <v>6624.75</v>
      </c>
      <c r="AA400" s="9">
        <f>Y400+Z400</f>
        <v>6624.75</v>
      </c>
      <c r="AD400" s="4">
        <v>264030334</v>
      </c>
      <c r="AE400" s="4">
        <v>19937195</v>
      </c>
      <c r="AG400" s="4" t="s">
        <v>1726</v>
      </c>
      <c r="AH400" s="4" t="s">
        <v>1727</v>
      </c>
      <c r="AI400" s="4" t="s">
        <v>249</v>
      </c>
    </row>
    <row r="401" spans="1:35" ht="17.100000000000001" customHeight="1" x14ac:dyDescent="0.25">
      <c r="A401" s="10" t="s">
        <v>1728</v>
      </c>
      <c r="B401" s="10" t="s">
        <v>1729</v>
      </c>
      <c r="C401" s="116" t="s">
        <v>1730</v>
      </c>
      <c r="D401" s="117"/>
      <c r="E401" s="117"/>
      <c r="F401" s="117"/>
      <c r="G401" s="117"/>
      <c r="H401" s="117"/>
      <c r="I401" s="118"/>
      <c r="M401" s="6">
        <f>SUM(M402)</f>
        <v>298006.69999999995</v>
      </c>
      <c r="N401" s="6">
        <f>SUM(N402)</f>
        <v>794405.55</v>
      </c>
      <c r="O401" s="6">
        <f>SUM(O402)</f>
        <v>1092412.25</v>
      </c>
      <c r="S401" s="6">
        <f>SUM(S402)</f>
        <v>298006.69999999995</v>
      </c>
      <c r="T401" s="6">
        <f>SUM(T402)</f>
        <v>794405.55</v>
      </c>
      <c r="U401" s="6">
        <f>SUM(U402)</f>
        <v>1092412.25</v>
      </c>
      <c r="Y401" s="9">
        <f>SUM(Y402)</f>
        <v>248338.91999999998</v>
      </c>
      <c r="Z401" s="9">
        <f>SUM(Z402)</f>
        <v>662004.63</v>
      </c>
      <c r="AA401" s="9">
        <f>SUM(AA402)</f>
        <v>910343.55</v>
      </c>
      <c r="AD401" s="4">
        <v>264030335</v>
      </c>
      <c r="AE401" s="4">
        <v>18539570</v>
      </c>
    </row>
    <row r="402" spans="1:35" ht="17.100000000000001" customHeight="1" x14ac:dyDescent="0.25">
      <c r="A402" s="10" t="s">
        <v>1731</v>
      </c>
      <c r="B402" s="10" t="s">
        <v>1732</v>
      </c>
      <c r="C402" s="116" t="s">
        <v>1733</v>
      </c>
      <c r="D402" s="117"/>
      <c r="E402" s="117"/>
      <c r="F402" s="117"/>
      <c r="G402" s="117"/>
      <c r="H402" s="117"/>
      <c r="I402" s="118"/>
      <c r="M402" s="6">
        <f>SUM(M403,M406,M410,M419,M425)</f>
        <v>298006.69999999995</v>
      </c>
      <c r="N402" s="6">
        <f>SUM(N403,N406,N410,N419,N425)</f>
        <v>794405.55</v>
      </c>
      <c r="O402" s="6">
        <f>SUM(O403,O406,O410,O419,O425)</f>
        <v>1092412.25</v>
      </c>
      <c r="S402" s="6">
        <f>SUM(S403,S406,S410,S419,S425)</f>
        <v>298006.69999999995</v>
      </c>
      <c r="T402" s="6">
        <f>SUM(T403,T406,T410,T419,T425)</f>
        <v>794405.55</v>
      </c>
      <c r="U402" s="6">
        <f>SUM(U403,U406,U410,U419,U425)</f>
        <v>1092412.25</v>
      </c>
      <c r="Y402" s="9">
        <f>SUM(Y403,Y406,Y410,Y419,Y425)</f>
        <v>248338.91999999998</v>
      </c>
      <c r="Z402" s="9">
        <f>SUM(Z403,Z406,Z410,Z419,Z425)</f>
        <v>662004.63</v>
      </c>
      <c r="AA402" s="9">
        <f>SUM(AA403,AA406,AA410,AA419,AA425)</f>
        <v>910343.55</v>
      </c>
      <c r="AD402" s="4">
        <v>264030336</v>
      </c>
      <c r="AE402" s="4">
        <v>18539572</v>
      </c>
    </row>
    <row r="403" spans="1:35" ht="17.100000000000001" customHeight="1" x14ac:dyDescent="0.25">
      <c r="A403" s="10" t="s">
        <v>1734</v>
      </c>
      <c r="B403" s="10" t="s">
        <v>1735</v>
      </c>
      <c r="C403" s="116" t="s">
        <v>49</v>
      </c>
      <c r="D403" s="117"/>
      <c r="E403" s="117"/>
      <c r="F403" s="117"/>
      <c r="G403" s="117"/>
      <c r="H403" s="117"/>
      <c r="I403" s="118"/>
      <c r="M403" s="6">
        <f t="shared" ref="M403:O404" si="17">SUM(M404)</f>
        <v>0</v>
      </c>
      <c r="N403" s="6">
        <f t="shared" si="17"/>
        <v>31556</v>
      </c>
      <c r="O403" s="6">
        <f t="shared" si="17"/>
        <v>31556</v>
      </c>
      <c r="S403" s="6">
        <f t="shared" ref="S403:U404" si="18">SUM(S404)</f>
        <v>0</v>
      </c>
      <c r="T403" s="6">
        <f t="shared" si="18"/>
        <v>31556</v>
      </c>
      <c r="U403" s="6">
        <f t="shared" si="18"/>
        <v>31556</v>
      </c>
      <c r="Y403" s="9">
        <f t="shared" ref="Y403:AA404" si="19">SUM(Y404)</f>
        <v>0</v>
      </c>
      <c r="Z403" s="9">
        <f t="shared" si="19"/>
        <v>26296.67</v>
      </c>
      <c r="AA403" s="9">
        <f t="shared" si="19"/>
        <v>26296.67</v>
      </c>
      <c r="AD403" s="4">
        <v>264030337</v>
      </c>
      <c r="AE403" s="4">
        <v>18539573</v>
      </c>
    </row>
    <row r="404" spans="1:35" ht="17.100000000000001" customHeight="1" x14ac:dyDescent="0.25">
      <c r="A404" s="10" t="s">
        <v>1736</v>
      </c>
      <c r="B404" s="10" t="s">
        <v>1737</v>
      </c>
      <c r="C404" s="116" t="s">
        <v>1738</v>
      </c>
      <c r="D404" s="117"/>
      <c r="E404" s="117"/>
      <c r="F404" s="117"/>
      <c r="G404" s="117"/>
      <c r="H404" s="117"/>
      <c r="I404" s="118"/>
      <c r="M404" s="6">
        <f t="shared" si="17"/>
        <v>0</v>
      </c>
      <c r="N404" s="6">
        <f t="shared" si="17"/>
        <v>31556</v>
      </c>
      <c r="O404" s="6">
        <f t="shared" si="17"/>
        <v>31556</v>
      </c>
      <c r="S404" s="6">
        <f t="shared" si="18"/>
        <v>0</v>
      </c>
      <c r="T404" s="6">
        <f t="shared" si="18"/>
        <v>31556</v>
      </c>
      <c r="U404" s="6">
        <f t="shared" si="18"/>
        <v>31556</v>
      </c>
      <c r="Y404" s="9">
        <f t="shared" si="19"/>
        <v>0</v>
      </c>
      <c r="Z404" s="9">
        <f t="shared" si="19"/>
        <v>26296.67</v>
      </c>
      <c r="AA404" s="9">
        <f t="shared" si="19"/>
        <v>26296.67</v>
      </c>
      <c r="AD404" s="4">
        <v>264030338</v>
      </c>
      <c r="AE404" s="4">
        <v>18539579</v>
      </c>
    </row>
    <row r="405" spans="1:35" ht="37.5" x14ac:dyDescent="0.25">
      <c r="A405" s="10" t="s">
        <v>1739</v>
      </c>
      <c r="B405" s="10" t="s">
        <v>1740</v>
      </c>
      <c r="C405" s="14" t="s">
        <v>1741</v>
      </c>
      <c r="D405" s="15"/>
      <c r="E405" s="15"/>
      <c r="F405" s="15" t="s">
        <v>209</v>
      </c>
      <c r="G405" s="16">
        <v>1</v>
      </c>
      <c r="H405" s="16"/>
      <c r="I405" s="16">
        <v>28</v>
      </c>
      <c r="J405" s="17">
        <v>0</v>
      </c>
      <c r="K405" s="18">
        <v>1127</v>
      </c>
      <c r="L405" s="17">
        <f>J405+ROUND(K405, 2)</f>
        <v>1127</v>
      </c>
      <c r="M405" s="17">
        <v>0</v>
      </c>
      <c r="N405" s="17">
        <f>ROUND(I405*ROUND(K405, 2), 2)</f>
        <v>31556</v>
      </c>
      <c r="O405" s="17">
        <f>M405+N405</f>
        <v>31556</v>
      </c>
      <c r="P405" s="17">
        <v>0</v>
      </c>
      <c r="Q405" s="19">
        <v>1127</v>
      </c>
      <c r="R405" s="17">
        <f>P405+ROUND(Q405, 2)</f>
        <v>1127</v>
      </c>
      <c r="S405" s="17">
        <v>0</v>
      </c>
      <c r="T405" s="17">
        <f>ROUND(I405*ROUND(Q405, 2), 2)</f>
        <v>31556</v>
      </c>
      <c r="U405" s="17">
        <f>S405+T405</f>
        <v>31556</v>
      </c>
      <c r="V405" s="9"/>
      <c r="W405" s="9">
        <f>ROUND(Q405 / 1.2, 2)</f>
        <v>939.17</v>
      </c>
      <c r="X405" s="9">
        <f>ROUND(R405 / 1.2, 2)</f>
        <v>939.17</v>
      </c>
      <c r="Y405" s="9"/>
      <c r="Z405" s="9">
        <f>ROUND(T405 / 1.2, 2)</f>
        <v>26296.67</v>
      </c>
      <c r="AA405" s="9">
        <f>Y405+Z405</f>
        <v>26296.67</v>
      </c>
      <c r="AD405" s="4">
        <v>264030340</v>
      </c>
      <c r="AE405" s="4">
        <v>18539575</v>
      </c>
      <c r="AG405" s="4" t="s">
        <v>1742</v>
      </c>
      <c r="AH405" s="4" t="s">
        <v>1743</v>
      </c>
      <c r="AI405" s="4" t="s">
        <v>1744</v>
      </c>
    </row>
    <row r="406" spans="1:35" ht="17.100000000000001" customHeight="1" x14ac:dyDescent="0.25">
      <c r="A406" s="10" t="s">
        <v>1745</v>
      </c>
      <c r="B406" s="10" t="s">
        <v>1746</v>
      </c>
      <c r="C406" s="116" t="s">
        <v>1747</v>
      </c>
      <c r="D406" s="117"/>
      <c r="E406" s="117"/>
      <c r="F406" s="117"/>
      <c r="G406" s="117"/>
      <c r="H406" s="117"/>
      <c r="I406" s="118"/>
      <c r="M406" s="6">
        <f t="shared" ref="M406:O408" si="20">SUM(M407)</f>
        <v>0</v>
      </c>
      <c r="N406" s="6">
        <f t="shared" si="20"/>
        <v>2554.7600000000002</v>
      </c>
      <c r="O406" s="6">
        <f t="shared" si="20"/>
        <v>2554.7600000000002</v>
      </c>
      <c r="S406" s="6">
        <f t="shared" ref="S406:U408" si="21">SUM(S407)</f>
        <v>0</v>
      </c>
      <c r="T406" s="6">
        <f t="shared" si="21"/>
        <v>2554.7600000000002</v>
      </c>
      <c r="U406" s="6">
        <f t="shared" si="21"/>
        <v>2554.7600000000002</v>
      </c>
      <c r="Y406" s="9">
        <f t="shared" ref="Y406:AA408" si="22">SUM(Y407)</f>
        <v>0</v>
      </c>
      <c r="Z406" s="9">
        <f t="shared" si="22"/>
        <v>2128.9699999999998</v>
      </c>
      <c r="AA406" s="9">
        <f t="shared" si="22"/>
        <v>2128.9699999999998</v>
      </c>
      <c r="AD406" s="4">
        <v>264030341</v>
      </c>
      <c r="AE406" s="4">
        <v>18539581</v>
      </c>
    </row>
    <row r="407" spans="1:35" ht="17.100000000000001" customHeight="1" x14ac:dyDescent="0.25">
      <c r="A407" s="10" t="s">
        <v>1748</v>
      </c>
      <c r="B407" s="10" t="s">
        <v>1749</v>
      </c>
      <c r="C407" s="116" t="s">
        <v>1750</v>
      </c>
      <c r="D407" s="117"/>
      <c r="E407" s="117"/>
      <c r="F407" s="117"/>
      <c r="G407" s="117"/>
      <c r="H407" s="117"/>
      <c r="I407" s="118"/>
      <c r="M407" s="6">
        <f t="shared" si="20"/>
        <v>0</v>
      </c>
      <c r="N407" s="6">
        <f t="shared" si="20"/>
        <v>2554.7600000000002</v>
      </c>
      <c r="O407" s="6">
        <f t="shared" si="20"/>
        <v>2554.7600000000002</v>
      </c>
      <c r="S407" s="6">
        <f t="shared" si="21"/>
        <v>0</v>
      </c>
      <c r="T407" s="6">
        <f t="shared" si="21"/>
        <v>2554.7600000000002</v>
      </c>
      <c r="U407" s="6">
        <f t="shared" si="21"/>
        <v>2554.7600000000002</v>
      </c>
      <c r="Y407" s="9">
        <f t="shared" si="22"/>
        <v>0</v>
      </c>
      <c r="Z407" s="9">
        <f t="shared" si="22"/>
        <v>2128.9699999999998</v>
      </c>
      <c r="AA407" s="9">
        <f t="shared" si="22"/>
        <v>2128.9699999999998</v>
      </c>
      <c r="AD407" s="4">
        <v>264030342</v>
      </c>
      <c r="AE407" s="4">
        <v>18539574</v>
      </c>
    </row>
    <row r="408" spans="1:35" ht="17.100000000000001" customHeight="1" x14ac:dyDescent="0.25">
      <c r="A408" s="10" t="s">
        <v>1751</v>
      </c>
      <c r="B408" s="10" t="s">
        <v>1752</v>
      </c>
      <c r="C408" s="116" t="s">
        <v>1753</v>
      </c>
      <c r="D408" s="117"/>
      <c r="E408" s="117"/>
      <c r="F408" s="117"/>
      <c r="G408" s="117"/>
      <c r="H408" s="117"/>
      <c r="I408" s="118"/>
      <c r="M408" s="6">
        <f t="shared" si="20"/>
        <v>0</v>
      </c>
      <c r="N408" s="6">
        <f t="shared" si="20"/>
        <v>2554.7600000000002</v>
      </c>
      <c r="O408" s="6">
        <f t="shared" si="20"/>
        <v>2554.7600000000002</v>
      </c>
      <c r="S408" s="6">
        <f t="shared" si="21"/>
        <v>0</v>
      </c>
      <c r="T408" s="6">
        <f t="shared" si="21"/>
        <v>2554.7600000000002</v>
      </c>
      <c r="U408" s="6">
        <f t="shared" si="21"/>
        <v>2554.7600000000002</v>
      </c>
      <c r="Y408" s="9">
        <f t="shared" si="22"/>
        <v>0</v>
      </c>
      <c r="Z408" s="9">
        <f t="shared" si="22"/>
        <v>2128.9699999999998</v>
      </c>
      <c r="AA408" s="9">
        <f t="shared" si="22"/>
        <v>2128.9699999999998</v>
      </c>
      <c r="AD408" s="4">
        <v>264030343</v>
      </c>
      <c r="AE408" s="4">
        <v>19923898</v>
      </c>
    </row>
    <row r="409" spans="1:35" ht="18.75" x14ac:dyDescent="0.25">
      <c r="A409" s="10" t="s">
        <v>1754</v>
      </c>
      <c r="B409" s="10" t="s">
        <v>1755</v>
      </c>
      <c r="C409" s="14" t="s">
        <v>1756</v>
      </c>
      <c r="D409" s="15"/>
      <c r="E409" s="15" t="s">
        <v>1757</v>
      </c>
      <c r="F409" s="15" t="s">
        <v>56</v>
      </c>
      <c r="G409" s="16">
        <v>1</v>
      </c>
      <c r="H409" s="16"/>
      <c r="I409" s="16">
        <v>11.56</v>
      </c>
      <c r="J409" s="17">
        <v>0</v>
      </c>
      <c r="K409" s="18">
        <v>221</v>
      </c>
      <c r="L409" s="17">
        <f>J409+ROUND(K409, 2)</f>
        <v>221</v>
      </c>
      <c r="M409" s="17">
        <v>0</v>
      </c>
      <c r="N409" s="17">
        <f>ROUND(I409*ROUND(K409, 2), 2)</f>
        <v>2554.7600000000002</v>
      </c>
      <c r="O409" s="17">
        <f>M409+N409</f>
        <v>2554.7600000000002</v>
      </c>
      <c r="P409" s="17">
        <v>0</v>
      </c>
      <c r="Q409" s="19">
        <v>221</v>
      </c>
      <c r="R409" s="17">
        <f>P409+ROUND(Q409, 2)</f>
        <v>221</v>
      </c>
      <c r="S409" s="17">
        <v>0</v>
      </c>
      <c r="T409" s="17">
        <f>ROUND(I409*ROUND(Q409, 2), 2)</f>
        <v>2554.7600000000002</v>
      </c>
      <c r="U409" s="17">
        <f>S409+T409</f>
        <v>2554.7600000000002</v>
      </c>
      <c r="V409" s="9"/>
      <c r="W409" s="9">
        <f>ROUND(Q409 / 1.2, 2)</f>
        <v>184.17</v>
      </c>
      <c r="X409" s="9">
        <f>ROUND(R409 / 1.2, 2)</f>
        <v>184.17</v>
      </c>
      <c r="Y409" s="9"/>
      <c r="Z409" s="9">
        <f>ROUND(T409 / 1.2, 2)</f>
        <v>2128.9699999999998</v>
      </c>
      <c r="AA409" s="9">
        <f>Y409+Z409</f>
        <v>2128.9699999999998</v>
      </c>
      <c r="AD409" s="4">
        <v>264030345</v>
      </c>
      <c r="AE409" s="4">
        <v>19923900</v>
      </c>
      <c r="AG409" s="4" t="s">
        <v>1758</v>
      </c>
      <c r="AH409" s="4" t="s">
        <v>1759</v>
      </c>
      <c r="AI409" s="4" t="s">
        <v>1744</v>
      </c>
    </row>
    <row r="410" spans="1:35" ht="17.100000000000001" customHeight="1" x14ac:dyDescent="0.25">
      <c r="A410" s="10" t="s">
        <v>1760</v>
      </c>
      <c r="B410" s="10" t="s">
        <v>1761</v>
      </c>
      <c r="C410" s="116" t="s">
        <v>235</v>
      </c>
      <c r="D410" s="117"/>
      <c r="E410" s="117"/>
      <c r="F410" s="117"/>
      <c r="G410" s="117"/>
      <c r="H410" s="117"/>
      <c r="I410" s="118"/>
      <c r="M410" s="6">
        <f>SUM(M411,M414)</f>
        <v>149005.85999999999</v>
      </c>
      <c r="N410" s="6">
        <f>SUM(N411,N414)</f>
        <v>587312.5</v>
      </c>
      <c r="O410" s="6">
        <f>SUM(O411,O414)</f>
        <v>736318.36</v>
      </c>
      <c r="S410" s="6">
        <f>SUM(S411,S414)</f>
        <v>149005.85999999999</v>
      </c>
      <c r="T410" s="6">
        <f>SUM(T411,T414)</f>
        <v>587312.5</v>
      </c>
      <c r="U410" s="6">
        <f>SUM(U411,U414)</f>
        <v>736318.36</v>
      </c>
      <c r="Y410" s="9">
        <f>SUM(Y411,Y414)</f>
        <v>124171.55</v>
      </c>
      <c r="Z410" s="9">
        <f>SUM(Z411,Z414)</f>
        <v>489427.07999999996</v>
      </c>
      <c r="AA410" s="9">
        <f>SUM(AA411,AA414)</f>
        <v>613598.63</v>
      </c>
      <c r="AD410" s="4">
        <v>264030346</v>
      </c>
      <c r="AE410" s="4">
        <v>19907751</v>
      </c>
    </row>
    <row r="411" spans="1:35" ht="17.100000000000001" customHeight="1" x14ac:dyDescent="0.25">
      <c r="A411" s="10" t="s">
        <v>1762</v>
      </c>
      <c r="B411" s="10" t="s">
        <v>1763</v>
      </c>
      <c r="C411" s="116" t="s">
        <v>238</v>
      </c>
      <c r="D411" s="117"/>
      <c r="E411" s="117"/>
      <c r="F411" s="117"/>
      <c r="G411" s="117"/>
      <c r="H411" s="117"/>
      <c r="I411" s="118"/>
      <c r="M411" s="6">
        <f>SUM(M412,M413)</f>
        <v>0</v>
      </c>
      <c r="N411" s="6">
        <f>SUM(N412,N413)</f>
        <v>470838.72</v>
      </c>
      <c r="O411" s="6">
        <f>SUM(O412,O413)</f>
        <v>470838.72</v>
      </c>
      <c r="S411" s="6">
        <f>SUM(S412,S413)</f>
        <v>0</v>
      </c>
      <c r="T411" s="6">
        <f>SUM(T412,T413)</f>
        <v>470838.72</v>
      </c>
      <c r="U411" s="6">
        <f>SUM(U412,U413)</f>
        <v>470838.72</v>
      </c>
      <c r="Y411" s="9">
        <f>SUM(Y412,Y413)</f>
        <v>0</v>
      </c>
      <c r="Z411" s="9">
        <f>SUM(Z412,Z413)</f>
        <v>392365.6</v>
      </c>
      <c r="AA411" s="9">
        <f>SUM(AA412,AA413)</f>
        <v>392365.6</v>
      </c>
      <c r="AD411" s="4">
        <v>264030347</v>
      </c>
      <c r="AE411" s="4">
        <v>19925298</v>
      </c>
    </row>
    <row r="412" spans="1:35" ht="75" x14ac:dyDescent="0.25">
      <c r="A412" s="10" t="s">
        <v>1764</v>
      </c>
      <c r="B412" s="10" t="s">
        <v>1765</v>
      </c>
      <c r="C412" s="14" t="s">
        <v>1766</v>
      </c>
      <c r="D412" s="15"/>
      <c r="E412" s="15" t="s">
        <v>1767</v>
      </c>
      <c r="F412" s="15" t="s">
        <v>56</v>
      </c>
      <c r="G412" s="16">
        <v>1</v>
      </c>
      <c r="H412" s="16"/>
      <c r="I412" s="16">
        <v>891.74</v>
      </c>
      <c r="J412" s="17">
        <v>0</v>
      </c>
      <c r="K412" s="18">
        <v>264</v>
      </c>
      <c r="L412" s="17">
        <f>J412+ROUND(K412, 2)</f>
        <v>264</v>
      </c>
      <c r="M412" s="17">
        <v>0</v>
      </c>
      <c r="N412" s="17">
        <f>ROUND(I412*ROUND(K412, 2), 2)</f>
        <v>235419.36</v>
      </c>
      <c r="O412" s="17">
        <f>M412+N412</f>
        <v>235419.36</v>
      </c>
      <c r="P412" s="17">
        <v>0</v>
      </c>
      <c r="Q412" s="19">
        <v>264</v>
      </c>
      <c r="R412" s="17">
        <f>P412+ROUND(Q412, 2)</f>
        <v>264</v>
      </c>
      <c r="S412" s="17">
        <v>0</v>
      </c>
      <c r="T412" s="17">
        <f>ROUND(I412*ROUND(Q412, 2), 2)</f>
        <v>235419.36</v>
      </c>
      <c r="U412" s="17">
        <f>S412+T412</f>
        <v>235419.36</v>
      </c>
      <c r="V412" s="9"/>
      <c r="W412" s="9">
        <f>ROUND(Q412 / 1.2, 2)</f>
        <v>220</v>
      </c>
      <c r="X412" s="9">
        <f>ROUND(R412 / 1.2, 2)</f>
        <v>220</v>
      </c>
      <c r="Y412" s="9"/>
      <c r="Z412" s="9">
        <f>ROUND(T412 / 1.2, 2)</f>
        <v>196182.8</v>
      </c>
      <c r="AA412" s="9">
        <f>Y412+Z412</f>
        <v>196182.8</v>
      </c>
      <c r="AD412" s="4">
        <v>264030349</v>
      </c>
      <c r="AE412" s="4">
        <v>19925300</v>
      </c>
      <c r="AG412" s="4" t="s">
        <v>1768</v>
      </c>
      <c r="AH412" s="4" t="s">
        <v>1769</v>
      </c>
      <c r="AI412" s="4" t="s">
        <v>1744</v>
      </c>
    </row>
    <row r="413" spans="1:35" ht="75" x14ac:dyDescent="0.25">
      <c r="A413" s="10" t="s">
        <v>1770</v>
      </c>
      <c r="B413" s="10" t="s">
        <v>1765</v>
      </c>
      <c r="C413" s="14" t="s">
        <v>1766</v>
      </c>
      <c r="D413" s="15"/>
      <c r="E413" s="15" t="s">
        <v>1771</v>
      </c>
      <c r="F413" s="15" t="s">
        <v>56</v>
      </c>
      <c r="G413" s="16">
        <v>1</v>
      </c>
      <c r="H413" s="16"/>
      <c r="I413" s="16">
        <v>891.74</v>
      </c>
      <c r="J413" s="17">
        <v>0</v>
      </c>
      <c r="K413" s="18">
        <v>264</v>
      </c>
      <c r="L413" s="17">
        <f>J413+ROUND(K413, 2)</f>
        <v>264</v>
      </c>
      <c r="M413" s="17">
        <v>0</v>
      </c>
      <c r="N413" s="17">
        <f>ROUND(I413*ROUND(K413, 2), 2)</f>
        <v>235419.36</v>
      </c>
      <c r="O413" s="17">
        <f>M413+N413</f>
        <v>235419.36</v>
      </c>
      <c r="P413" s="17">
        <v>0</v>
      </c>
      <c r="Q413" s="19">
        <v>264</v>
      </c>
      <c r="R413" s="17">
        <f>P413+ROUND(Q413, 2)</f>
        <v>264</v>
      </c>
      <c r="S413" s="17">
        <v>0</v>
      </c>
      <c r="T413" s="17">
        <f>ROUND(I413*ROUND(Q413, 2), 2)</f>
        <v>235419.36</v>
      </c>
      <c r="U413" s="17">
        <f>S413+T413</f>
        <v>235419.36</v>
      </c>
      <c r="V413" s="9"/>
      <c r="W413" s="9">
        <f>ROUND(Q413 / 1.2, 2)</f>
        <v>220</v>
      </c>
      <c r="X413" s="9">
        <f>ROUND(R413 / 1.2, 2)</f>
        <v>220</v>
      </c>
      <c r="Y413" s="9"/>
      <c r="Z413" s="9">
        <f>ROUND(T413 / 1.2, 2)</f>
        <v>196182.8</v>
      </c>
      <c r="AA413" s="9">
        <f>Y413+Z413</f>
        <v>196182.8</v>
      </c>
      <c r="AD413" s="4">
        <v>264030417</v>
      </c>
      <c r="AE413" s="4">
        <v>19925299</v>
      </c>
      <c r="AG413" s="4" t="s">
        <v>1768</v>
      </c>
      <c r="AH413" s="4" t="s">
        <v>1769</v>
      </c>
      <c r="AI413" s="4" t="s">
        <v>1744</v>
      </c>
    </row>
    <row r="414" spans="1:35" ht="17.100000000000001" customHeight="1" x14ac:dyDescent="0.25">
      <c r="A414" s="10" t="s">
        <v>1772</v>
      </c>
      <c r="B414" s="10" t="s">
        <v>1773</v>
      </c>
      <c r="C414" s="116" t="s">
        <v>1774</v>
      </c>
      <c r="D414" s="117"/>
      <c r="E414" s="117"/>
      <c r="F414" s="117"/>
      <c r="G414" s="117"/>
      <c r="H414" s="117"/>
      <c r="I414" s="118"/>
      <c r="M414" s="6">
        <f>SUM(M415)</f>
        <v>149005.85999999999</v>
      </c>
      <c r="N414" s="6">
        <f>SUM(N415)</f>
        <v>116473.78</v>
      </c>
      <c r="O414" s="6">
        <f>SUM(O415)</f>
        <v>265479.64</v>
      </c>
      <c r="S414" s="6">
        <f>SUM(S415)</f>
        <v>149005.85999999999</v>
      </c>
      <c r="T414" s="6">
        <f>SUM(T415)</f>
        <v>116473.78</v>
      </c>
      <c r="U414" s="6">
        <f>SUM(U415)</f>
        <v>265479.64</v>
      </c>
      <c r="Y414" s="9">
        <f>SUM(Y415)</f>
        <v>124171.55</v>
      </c>
      <c r="Z414" s="9">
        <f>SUM(Z415)</f>
        <v>97061.48</v>
      </c>
      <c r="AA414" s="9">
        <f>SUM(AA415)</f>
        <v>221233.03</v>
      </c>
      <c r="AD414" s="4">
        <v>264030350</v>
      </c>
      <c r="AE414" s="4">
        <v>19907753</v>
      </c>
    </row>
    <row r="415" spans="1:35" ht="37.5" x14ac:dyDescent="0.25">
      <c r="A415" s="10" t="s">
        <v>1775</v>
      </c>
      <c r="B415" s="10" t="s">
        <v>1776</v>
      </c>
      <c r="C415" s="14" t="s">
        <v>1777</v>
      </c>
      <c r="D415" s="15"/>
      <c r="E415" s="15" t="s">
        <v>1778</v>
      </c>
      <c r="F415" s="15" t="s">
        <v>56</v>
      </c>
      <c r="G415" s="16">
        <v>1</v>
      </c>
      <c r="H415" s="16"/>
      <c r="I415" s="16">
        <v>1782.58</v>
      </c>
      <c r="J415" s="17">
        <f>IFERROR(ROUND(SUM(M416,M417,M418)/I415, 2),0)</f>
        <v>83.59</v>
      </c>
      <c r="K415" s="18">
        <v>65.34</v>
      </c>
      <c r="L415" s="17">
        <f>J415+ROUND(K415, 2)</f>
        <v>148.93</v>
      </c>
      <c r="M415" s="17">
        <f>ROUND(J415*I415, 2)</f>
        <v>149005.85999999999</v>
      </c>
      <c r="N415" s="17">
        <f>ROUND(I415*ROUND(K415, 2), 2)</f>
        <v>116473.78</v>
      </c>
      <c r="O415" s="17">
        <f>M415+N415</f>
        <v>265479.64</v>
      </c>
      <c r="P415" s="17">
        <f>IFERROR(ROUND(SUM(S416,S417,S418)/I415, 2),0)</f>
        <v>83.59</v>
      </c>
      <c r="Q415" s="19">
        <v>65.34</v>
      </c>
      <c r="R415" s="17">
        <f>P415+ROUND(Q415, 2)</f>
        <v>148.93</v>
      </c>
      <c r="S415" s="17">
        <f>ROUND(P415*I415, 2)</f>
        <v>149005.85999999999</v>
      </c>
      <c r="T415" s="17">
        <f>ROUND(I415*ROUND(Q415, 2), 2)</f>
        <v>116473.78</v>
      </c>
      <c r="U415" s="17">
        <f>S415+T415</f>
        <v>265479.64</v>
      </c>
      <c r="V415" s="9">
        <f>ROUND(P415 / 1.2, 2)</f>
        <v>69.66</v>
      </c>
      <c r="W415" s="9">
        <f>ROUND(Q415 / 1.2, 2)</f>
        <v>54.45</v>
      </c>
      <c r="X415" s="9">
        <f>ROUND(R415 / 1.2, 2)</f>
        <v>124.11</v>
      </c>
      <c r="Y415" s="9">
        <f>ROUND(S415 / 1.2, 2)</f>
        <v>124171.55</v>
      </c>
      <c r="Z415" s="9">
        <f>ROUND(T415 / 1.2, 2)</f>
        <v>97061.48</v>
      </c>
      <c r="AA415" s="9">
        <f>Y415+Z415</f>
        <v>221233.03</v>
      </c>
      <c r="AD415" s="4">
        <v>264030352</v>
      </c>
      <c r="AE415" s="4">
        <v>19907757</v>
      </c>
      <c r="AG415" s="4" t="s">
        <v>1779</v>
      </c>
      <c r="AH415" s="4" t="s">
        <v>1780</v>
      </c>
      <c r="AI415" s="4" t="s">
        <v>1744</v>
      </c>
    </row>
    <row r="416" spans="1:35" ht="37.5" x14ac:dyDescent="0.25">
      <c r="A416" s="10" t="s">
        <v>1781</v>
      </c>
      <c r="B416" s="10"/>
      <c r="C416" s="24" t="s">
        <v>1782</v>
      </c>
      <c r="D416" s="15"/>
      <c r="E416" s="15"/>
      <c r="F416" s="25" t="s">
        <v>103</v>
      </c>
      <c r="G416" s="26">
        <v>1</v>
      </c>
      <c r="H416" s="27"/>
      <c r="I416" s="27">
        <v>926</v>
      </c>
      <c r="J416" s="28">
        <v>157.5</v>
      </c>
      <c r="M416" s="29">
        <f>ROUND(ROUND(J416, 2)*I416, 2)</f>
        <v>145845</v>
      </c>
      <c r="P416" s="30">
        <v>157.5</v>
      </c>
      <c r="S416" s="29">
        <f>ROUND(ROUND(P416, 2)*I416, 2)</f>
        <v>145845</v>
      </c>
      <c r="V416" s="9">
        <f>ROUND(ROUND(P416, 2)/1.2, 2)</f>
        <v>131.25</v>
      </c>
      <c r="Y416" s="9">
        <f>ROUND(S416 / 1.2, 2)</f>
        <v>121537.5</v>
      </c>
      <c r="AD416" s="4" t="s">
        <v>1783</v>
      </c>
      <c r="AE416" s="4" t="s">
        <v>1784</v>
      </c>
      <c r="AF416" s="4" t="s">
        <v>1785</v>
      </c>
    </row>
    <row r="417" spans="1:35" ht="18.75" x14ac:dyDescent="0.25">
      <c r="A417" s="10" t="s">
        <v>1786</v>
      </c>
      <c r="B417" s="10"/>
      <c r="C417" s="24" t="s">
        <v>1787</v>
      </c>
      <c r="D417" s="15"/>
      <c r="E417" s="15"/>
      <c r="F417" s="25" t="s">
        <v>123</v>
      </c>
      <c r="G417" s="26">
        <v>1</v>
      </c>
      <c r="H417" s="27"/>
      <c r="I417" s="27">
        <v>2815</v>
      </c>
      <c r="J417" s="28">
        <v>1.1200000000000001</v>
      </c>
      <c r="M417" s="29">
        <f>ROUND(ROUND(J417, 2)*I417, 2)</f>
        <v>3152.8</v>
      </c>
      <c r="P417" s="30">
        <v>1.1200000000000001</v>
      </c>
      <c r="S417" s="29">
        <f>ROUND(ROUND(P417, 2)*I417, 2)</f>
        <v>3152.8</v>
      </c>
      <c r="V417" s="9">
        <f>ROUND(ROUND(P417, 2)/1.2, 2)</f>
        <v>0.93</v>
      </c>
      <c r="Y417" s="9">
        <f>ROUND(S417 / 1.2, 2)</f>
        <v>2627.33</v>
      </c>
      <c r="AD417" s="4" t="s">
        <v>1788</v>
      </c>
      <c r="AE417" s="4" t="s">
        <v>1789</v>
      </c>
      <c r="AF417" s="4" t="s">
        <v>1790</v>
      </c>
    </row>
    <row r="418" spans="1:35" ht="37.5" x14ac:dyDescent="0.25">
      <c r="A418" s="10" t="s">
        <v>1791</v>
      </c>
      <c r="B418" s="10"/>
      <c r="C418" s="24" t="s">
        <v>1792</v>
      </c>
      <c r="D418" s="15"/>
      <c r="E418" s="15"/>
      <c r="F418" s="25" t="s">
        <v>56</v>
      </c>
      <c r="G418" s="26">
        <v>1</v>
      </c>
      <c r="H418" s="27"/>
      <c r="I418" s="27">
        <v>891.29</v>
      </c>
      <c r="J418" s="28">
        <v>0</v>
      </c>
      <c r="M418" s="29">
        <f>ROUND(ROUND(J418, 2)*I418, 2)</f>
        <v>0</v>
      </c>
      <c r="P418" s="30">
        <v>0</v>
      </c>
      <c r="S418" s="29">
        <f>ROUND(ROUND(P418, 2)*I418, 2)</f>
        <v>0</v>
      </c>
      <c r="V418" s="9">
        <f>ROUND(ROUND(P418, 2)/1.2, 2)</f>
        <v>0</v>
      </c>
      <c r="Y418" s="9">
        <f>ROUND(S418 / 1.2, 2)</f>
        <v>0</v>
      </c>
      <c r="AD418" s="4" t="s">
        <v>1793</v>
      </c>
      <c r="AE418" s="4" t="s">
        <v>1794</v>
      </c>
      <c r="AF418" s="4" t="s">
        <v>1795</v>
      </c>
    </row>
    <row r="419" spans="1:35" ht="17.100000000000001" customHeight="1" x14ac:dyDescent="0.25">
      <c r="A419" s="10" t="s">
        <v>1796</v>
      </c>
      <c r="B419" s="10" t="s">
        <v>1797</v>
      </c>
      <c r="C419" s="116" t="s">
        <v>1798</v>
      </c>
      <c r="D419" s="117"/>
      <c r="E419" s="117"/>
      <c r="F419" s="117"/>
      <c r="G419" s="117"/>
      <c r="H419" s="117"/>
      <c r="I419" s="118"/>
      <c r="M419" s="6">
        <f t="shared" ref="M419:O420" si="23">SUM(M420)</f>
        <v>149000.84</v>
      </c>
      <c r="N419" s="6">
        <f t="shared" si="23"/>
        <v>58266.29</v>
      </c>
      <c r="O419" s="6">
        <f t="shared" si="23"/>
        <v>207267.13</v>
      </c>
      <c r="S419" s="6">
        <f t="shared" ref="S419:U420" si="24">SUM(S420)</f>
        <v>149000.84</v>
      </c>
      <c r="T419" s="6">
        <f t="shared" si="24"/>
        <v>58266.29</v>
      </c>
      <c r="U419" s="6">
        <f t="shared" si="24"/>
        <v>207267.13</v>
      </c>
      <c r="Y419" s="9">
        <f t="shared" ref="Y419:AA420" si="25">SUM(Y420)</f>
        <v>124167.37</v>
      </c>
      <c r="Z419" s="9">
        <f t="shared" si="25"/>
        <v>48555.24</v>
      </c>
      <c r="AA419" s="9">
        <f t="shared" si="25"/>
        <v>172722.61</v>
      </c>
      <c r="AD419" s="4">
        <v>264030353</v>
      </c>
      <c r="AE419" s="4">
        <v>19925869</v>
      </c>
    </row>
    <row r="420" spans="1:35" ht="17.100000000000001" customHeight="1" x14ac:dyDescent="0.25">
      <c r="A420" s="10" t="s">
        <v>1799</v>
      </c>
      <c r="B420" s="10" t="s">
        <v>1800</v>
      </c>
      <c r="C420" s="116" t="s">
        <v>1774</v>
      </c>
      <c r="D420" s="117"/>
      <c r="E420" s="117"/>
      <c r="F420" s="117"/>
      <c r="G420" s="117"/>
      <c r="H420" s="117"/>
      <c r="I420" s="118"/>
      <c r="M420" s="6">
        <f t="shared" si="23"/>
        <v>149000.84</v>
      </c>
      <c r="N420" s="6">
        <f t="shared" si="23"/>
        <v>58266.29</v>
      </c>
      <c r="O420" s="6">
        <f t="shared" si="23"/>
        <v>207267.13</v>
      </c>
      <c r="S420" s="6">
        <f t="shared" si="24"/>
        <v>149000.84</v>
      </c>
      <c r="T420" s="6">
        <f t="shared" si="24"/>
        <v>58266.29</v>
      </c>
      <c r="U420" s="6">
        <f t="shared" si="24"/>
        <v>207267.13</v>
      </c>
      <c r="Y420" s="9">
        <f t="shared" si="25"/>
        <v>124167.37</v>
      </c>
      <c r="Z420" s="9">
        <f t="shared" si="25"/>
        <v>48555.24</v>
      </c>
      <c r="AA420" s="9">
        <f t="shared" si="25"/>
        <v>172722.61</v>
      </c>
      <c r="AD420" s="4">
        <v>264030354</v>
      </c>
      <c r="AE420" s="4">
        <v>19925870</v>
      </c>
    </row>
    <row r="421" spans="1:35" ht="37.5" x14ac:dyDescent="0.25">
      <c r="A421" s="10" t="s">
        <v>1801</v>
      </c>
      <c r="B421" s="10" t="s">
        <v>1802</v>
      </c>
      <c r="C421" s="14" t="s">
        <v>1777</v>
      </c>
      <c r="D421" s="15"/>
      <c r="E421" s="15" t="s">
        <v>1803</v>
      </c>
      <c r="F421" s="15" t="s">
        <v>56</v>
      </c>
      <c r="G421" s="16">
        <v>1</v>
      </c>
      <c r="H421" s="16"/>
      <c r="I421" s="16">
        <v>891.74</v>
      </c>
      <c r="J421" s="17">
        <f>IFERROR(ROUND(SUM(M422,M423,M424)/I421, 2),0)</f>
        <v>167.09</v>
      </c>
      <c r="K421" s="18">
        <v>65.34</v>
      </c>
      <c r="L421" s="17">
        <f>J421+ROUND(K421, 2)</f>
        <v>232.43</v>
      </c>
      <c r="M421" s="17">
        <f>ROUND(J421*I421, 2)</f>
        <v>149000.84</v>
      </c>
      <c r="N421" s="17">
        <f>ROUND(I421*ROUND(K421, 2), 2)</f>
        <v>58266.29</v>
      </c>
      <c r="O421" s="17">
        <f>M421+N421</f>
        <v>207267.13</v>
      </c>
      <c r="P421" s="17">
        <f>IFERROR(ROUND(SUM(S422,S423,S424)/I421, 2),0)</f>
        <v>167.09</v>
      </c>
      <c r="Q421" s="19">
        <v>65.34</v>
      </c>
      <c r="R421" s="17">
        <f>P421+ROUND(Q421, 2)</f>
        <v>232.43</v>
      </c>
      <c r="S421" s="17">
        <f>ROUND(P421*I421, 2)</f>
        <v>149000.84</v>
      </c>
      <c r="T421" s="17">
        <f>ROUND(I421*ROUND(Q421, 2), 2)</f>
        <v>58266.29</v>
      </c>
      <c r="U421" s="17">
        <f>S421+T421</f>
        <v>207267.13</v>
      </c>
      <c r="V421" s="9">
        <f>ROUND(P421 / 1.2, 2)</f>
        <v>139.24</v>
      </c>
      <c r="W421" s="9">
        <f>ROUND(Q421 / 1.2, 2)</f>
        <v>54.45</v>
      </c>
      <c r="X421" s="9">
        <f>ROUND(R421 / 1.2, 2)</f>
        <v>193.69</v>
      </c>
      <c r="Y421" s="9">
        <f>ROUND(S421 / 1.2, 2)</f>
        <v>124167.37</v>
      </c>
      <c r="Z421" s="9">
        <f>ROUND(T421 / 1.2, 2)</f>
        <v>48555.24</v>
      </c>
      <c r="AA421" s="9">
        <f>Y421+Z421</f>
        <v>172722.61</v>
      </c>
      <c r="AD421" s="4">
        <v>264030356</v>
      </c>
      <c r="AE421" s="4">
        <v>19925871</v>
      </c>
      <c r="AG421" s="4" t="s">
        <v>1779</v>
      </c>
      <c r="AH421" s="4" t="s">
        <v>1804</v>
      </c>
      <c r="AI421" s="4" t="s">
        <v>1744</v>
      </c>
    </row>
    <row r="422" spans="1:35" ht="37.5" x14ac:dyDescent="0.25">
      <c r="A422" s="10" t="s">
        <v>1805</v>
      </c>
      <c r="B422" s="10"/>
      <c r="C422" s="24" t="s">
        <v>1782</v>
      </c>
      <c r="D422" s="15"/>
      <c r="E422" s="15" t="s">
        <v>1806</v>
      </c>
      <c r="F422" s="25" t="s">
        <v>103</v>
      </c>
      <c r="G422" s="26">
        <v>1</v>
      </c>
      <c r="H422" s="27"/>
      <c r="I422" s="27">
        <v>926</v>
      </c>
      <c r="J422" s="28">
        <v>157.5</v>
      </c>
      <c r="M422" s="29">
        <f>ROUND(ROUND(J422, 2)*I422, 2)</f>
        <v>145845</v>
      </c>
      <c r="P422" s="30">
        <v>157.5</v>
      </c>
      <c r="S422" s="29">
        <f>ROUND(ROUND(P422, 2)*I422, 2)</f>
        <v>145845</v>
      </c>
      <c r="V422" s="9">
        <f>ROUND(ROUND(P422, 2)/1.2, 2)</f>
        <v>131.25</v>
      </c>
      <c r="Y422" s="9">
        <f>ROUND(S422 / 1.2, 2)</f>
        <v>121537.5</v>
      </c>
      <c r="AD422" s="4" t="s">
        <v>1807</v>
      </c>
      <c r="AE422" s="4" t="s">
        <v>1808</v>
      </c>
      <c r="AF422" s="4" t="s">
        <v>1785</v>
      </c>
    </row>
    <row r="423" spans="1:35" ht="18.75" x14ac:dyDescent="0.25">
      <c r="A423" s="10" t="s">
        <v>1809</v>
      </c>
      <c r="B423" s="10"/>
      <c r="C423" s="24" t="s">
        <v>1787</v>
      </c>
      <c r="D423" s="15"/>
      <c r="E423" s="15"/>
      <c r="F423" s="25" t="s">
        <v>123</v>
      </c>
      <c r="G423" s="26">
        <v>1</v>
      </c>
      <c r="H423" s="27"/>
      <c r="I423" s="27">
        <v>2815</v>
      </c>
      <c r="J423" s="28">
        <v>1.1200000000000001</v>
      </c>
      <c r="M423" s="29">
        <f>ROUND(ROUND(J423, 2)*I423, 2)</f>
        <v>3152.8</v>
      </c>
      <c r="P423" s="30">
        <v>1.1200000000000001</v>
      </c>
      <c r="S423" s="29">
        <f>ROUND(ROUND(P423, 2)*I423, 2)</f>
        <v>3152.8</v>
      </c>
      <c r="V423" s="9">
        <f>ROUND(ROUND(P423, 2)/1.2, 2)</f>
        <v>0.93</v>
      </c>
      <c r="Y423" s="9">
        <f>ROUND(S423 / 1.2, 2)</f>
        <v>2627.33</v>
      </c>
      <c r="AD423" s="4" t="s">
        <v>1810</v>
      </c>
      <c r="AE423" s="4" t="s">
        <v>1811</v>
      </c>
      <c r="AF423" s="4" t="s">
        <v>1790</v>
      </c>
    </row>
    <row r="424" spans="1:35" ht="37.5" x14ac:dyDescent="0.25">
      <c r="A424" s="10" t="s">
        <v>1812</v>
      </c>
      <c r="B424" s="10"/>
      <c r="C424" s="24" t="s">
        <v>1792</v>
      </c>
      <c r="D424" s="15"/>
      <c r="E424" s="15"/>
      <c r="F424" s="25" t="s">
        <v>56</v>
      </c>
      <c r="G424" s="26">
        <v>1</v>
      </c>
      <c r="H424" s="27"/>
      <c r="I424" s="27">
        <v>891.74</v>
      </c>
      <c r="J424" s="28">
        <v>0</v>
      </c>
      <c r="M424" s="29">
        <f>ROUND(ROUND(J424, 2)*I424, 2)</f>
        <v>0</v>
      </c>
      <c r="P424" s="30">
        <v>0</v>
      </c>
      <c r="S424" s="29">
        <f>ROUND(ROUND(P424, 2)*I424, 2)</f>
        <v>0</v>
      </c>
      <c r="V424" s="9">
        <f>ROUND(ROUND(P424, 2)/1.2, 2)</f>
        <v>0</v>
      </c>
      <c r="Y424" s="9">
        <f>ROUND(S424 / 1.2, 2)</f>
        <v>0</v>
      </c>
      <c r="AD424" s="4" t="s">
        <v>1813</v>
      </c>
      <c r="AE424" s="4" t="s">
        <v>1814</v>
      </c>
      <c r="AF424" s="4" t="s">
        <v>1795</v>
      </c>
    </row>
    <row r="425" spans="1:35" ht="17.100000000000001" customHeight="1" x14ac:dyDescent="0.25">
      <c r="A425" s="10" t="s">
        <v>1815</v>
      </c>
      <c r="B425" s="10" t="s">
        <v>1816</v>
      </c>
      <c r="C425" s="116" t="s">
        <v>1774</v>
      </c>
      <c r="D425" s="117"/>
      <c r="E425" s="117"/>
      <c r="F425" s="117"/>
      <c r="G425" s="117"/>
      <c r="H425" s="117"/>
      <c r="I425" s="118"/>
      <c r="M425" s="6">
        <f>SUM(M426,M427)</f>
        <v>0</v>
      </c>
      <c r="N425" s="6">
        <f>SUM(N426,N427)</f>
        <v>114716</v>
      </c>
      <c r="O425" s="6">
        <f>SUM(O426,O427)</f>
        <v>114716</v>
      </c>
      <c r="S425" s="6">
        <f>SUM(S426,S427)</f>
        <v>0</v>
      </c>
      <c r="T425" s="6">
        <f>SUM(T426,T427)</f>
        <v>114716</v>
      </c>
      <c r="U425" s="6">
        <f>SUM(U426,U427)</f>
        <v>114716</v>
      </c>
      <c r="Y425" s="9">
        <f>SUM(Y426,Y427)</f>
        <v>0</v>
      </c>
      <c r="Z425" s="9">
        <f>SUM(Z426,Z427)</f>
        <v>95596.67</v>
      </c>
      <c r="AA425" s="9">
        <f>SUM(AA426,AA427)</f>
        <v>95596.67</v>
      </c>
      <c r="AD425" s="4">
        <v>264030357</v>
      </c>
      <c r="AE425" s="4">
        <v>18539571</v>
      </c>
    </row>
    <row r="426" spans="1:35" ht="18.75" x14ac:dyDescent="0.25">
      <c r="A426" s="10" t="s">
        <v>1817</v>
      </c>
      <c r="B426" s="10" t="s">
        <v>1818</v>
      </c>
      <c r="C426" s="14" t="s">
        <v>1819</v>
      </c>
      <c r="D426" s="15"/>
      <c r="E426" s="15"/>
      <c r="F426" s="15" t="s">
        <v>103</v>
      </c>
      <c r="G426" s="16">
        <v>1</v>
      </c>
      <c r="H426" s="16"/>
      <c r="I426" s="16">
        <v>4</v>
      </c>
      <c r="J426" s="17">
        <v>0</v>
      </c>
      <c r="K426" s="18">
        <v>20790</v>
      </c>
      <c r="L426" s="17">
        <f>J426+ROUND(K426, 2)</f>
        <v>20790</v>
      </c>
      <c r="M426" s="17">
        <v>0</v>
      </c>
      <c r="N426" s="17">
        <f>ROUND(I426*ROUND(K426, 2), 2)</f>
        <v>83160</v>
      </c>
      <c r="O426" s="17">
        <f>M426+N426</f>
        <v>83160</v>
      </c>
      <c r="P426" s="17">
        <v>0</v>
      </c>
      <c r="Q426" s="19">
        <v>20790</v>
      </c>
      <c r="R426" s="17">
        <f>P426+ROUND(Q426, 2)</f>
        <v>20790</v>
      </c>
      <c r="S426" s="17">
        <v>0</v>
      </c>
      <c r="T426" s="17">
        <f>ROUND(I426*ROUND(Q426, 2), 2)</f>
        <v>83160</v>
      </c>
      <c r="U426" s="17">
        <f>S426+T426</f>
        <v>83160</v>
      </c>
      <c r="V426" s="9"/>
      <c r="W426" s="9">
        <f>ROUND(Q426 / 1.2, 2)</f>
        <v>17325</v>
      </c>
      <c r="X426" s="9">
        <f>ROUND(R426 / 1.2, 2)</f>
        <v>17325</v>
      </c>
      <c r="Y426" s="9"/>
      <c r="Z426" s="9">
        <f>ROUND(T426 / 1.2, 2)</f>
        <v>69300</v>
      </c>
      <c r="AA426" s="9">
        <f>Y426+Z426</f>
        <v>69300</v>
      </c>
      <c r="AD426" s="4">
        <v>264030359</v>
      </c>
      <c r="AE426" s="4">
        <v>18539569</v>
      </c>
      <c r="AG426" s="4" t="s">
        <v>1820</v>
      </c>
      <c r="AH426" s="4" t="s">
        <v>1821</v>
      </c>
      <c r="AI426" s="4" t="s">
        <v>1744</v>
      </c>
    </row>
    <row r="427" spans="1:35" ht="37.5" x14ac:dyDescent="0.25">
      <c r="A427" s="10" t="s">
        <v>1822</v>
      </c>
      <c r="B427" s="10" t="s">
        <v>1823</v>
      </c>
      <c r="C427" s="14" t="s">
        <v>1741</v>
      </c>
      <c r="D427" s="15"/>
      <c r="E427" s="15"/>
      <c r="F427" s="15" t="s">
        <v>209</v>
      </c>
      <c r="G427" s="16">
        <v>1</v>
      </c>
      <c r="H427" s="16"/>
      <c r="I427" s="16">
        <v>28</v>
      </c>
      <c r="J427" s="17">
        <v>0</v>
      </c>
      <c r="K427" s="18">
        <v>1127</v>
      </c>
      <c r="L427" s="17">
        <f>J427+ROUND(K427, 2)</f>
        <v>1127</v>
      </c>
      <c r="M427" s="17">
        <v>0</v>
      </c>
      <c r="N427" s="17">
        <f>ROUND(I427*ROUND(K427, 2), 2)</f>
        <v>31556</v>
      </c>
      <c r="O427" s="17">
        <f>M427+N427</f>
        <v>31556</v>
      </c>
      <c r="P427" s="17">
        <v>0</v>
      </c>
      <c r="Q427" s="19">
        <v>1127</v>
      </c>
      <c r="R427" s="17">
        <f>P427+ROUND(Q427, 2)</f>
        <v>1127</v>
      </c>
      <c r="S427" s="17">
        <v>0</v>
      </c>
      <c r="T427" s="17">
        <f>ROUND(I427*ROUND(Q427, 2), 2)</f>
        <v>31556</v>
      </c>
      <c r="U427" s="17">
        <f>S427+T427</f>
        <v>31556</v>
      </c>
      <c r="V427" s="9"/>
      <c r="W427" s="9">
        <f>ROUND(Q427 / 1.2, 2)</f>
        <v>939.17</v>
      </c>
      <c r="X427" s="9">
        <f>ROUND(R427 / 1.2, 2)</f>
        <v>939.17</v>
      </c>
      <c r="Y427" s="9"/>
      <c r="Z427" s="9">
        <f>ROUND(T427 / 1.2, 2)</f>
        <v>26296.67</v>
      </c>
      <c r="AA427" s="9">
        <f>Y427+Z427</f>
        <v>26296.67</v>
      </c>
      <c r="AD427" s="4">
        <v>264030361</v>
      </c>
      <c r="AE427" s="4">
        <v>19925941</v>
      </c>
      <c r="AG427" s="4" t="s">
        <v>1742</v>
      </c>
      <c r="AH427" s="4" t="s">
        <v>1824</v>
      </c>
      <c r="AI427" s="4" t="s">
        <v>1744</v>
      </c>
    </row>
    <row r="428" spans="1:35" ht="24" customHeight="1" x14ac:dyDescent="0.25">
      <c r="A428" s="67"/>
      <c r="B428" s="67"/>
      <c r="C428" s="67"/>
      <c r="D428" s="68" t="s">
        <v>1825</v>
      </c>
      <c r="E428" s="67"/>
      <c r="F428" s="67"/>
      <c r="G428" s="67"/>
      <c r="H428" s="67"/>
      <c r="I428" s="67"/>
      <c r="J428" s="67"/>
      <c r="K428" s="67"/>
      <c r="L428" s="67"/>
      <c r="M428" s="69">
        <f>SUM(M8)</f>
        <v>3711929.49</v>
      </c>
      <c r="N428" s="69">
        <f>SUM(N8)</f>
        <v>9895753.8200000003</v>
      </c>
      <c r="O428" s="69">
        <f>M428+N428</f>
        <v>13607683.310000001</v>
      </c>
      <c r="P428" s="67"/>
      <c r="Q428" s="67"/>
      <c r="R428" s="67"/>
      <c r="S428" s="69">
        <f>SUM(S8)</f>
        <v>3676170.0700000003</v>
      </c>
      <c r="T428" s="69">
        <f>SUM(T8)</f>
        <v>9895753.8200000003</v>
      </c>
      <c r="U428" s="69">
        <f>S428+T428</f>
        <v>13571923.890000001</v>
      </c>
      <c r="Y428" s="9">
        <f>SUM(Y8)</f>
        <v>3063475.1100000003</v>
      </c>
      <c r="Z428" s="9">
        <f>SUM(Z8)</f>
        <v>8246461.5000000019</v>
      </c>
      <c r="AA428" s="9">
        <f>Y428+Z428</f>
        <v>11309936.610000003</v>
      </c>
    </row>
    <row r="429" spans="1:35" ht="22.5" x14ac:dyDescent="0.25">
      <c r="A429" s="123" t="s">
        <v>1831</v>
      </c>
      <c r="B429" s="124"/>
      <c r="C429" s="124"/>
      <c r="D429" s="124"/>
      <c r="E429" s="124"/>
      <c r="F429" s="124"/>
      <c r="G429" s="124"/>
      <c r="H429" s="124"/>
      <c r="I429" s="124"/>
      <c r="J429" s="124"/>
      <c r="K429" s="124"/>
      <c r="L429" s="124"/>
      <c r="M429" s="124"/>
      <c r="N429" s="124"/>
      <c r="O429" s="124"/>
      <c r="P429" s="124"/>
      <c r="Q429" s="124"/>
      <c r="R429" s="124"/>
      <c r="S429" s="124"/>
      <c r="T429" s="124"/>
      <c r="U429" s="125"/>
    </row>
    <row r="430" spans="1:35" ht="15.75" x14ac:dyDescent="0.25">
      <c r="A430" s="71"/>
      <c r="B430" s="5" t="s">
        <v>1832</v>
      </c>
      <c r="C430" s="70" t="s">
        <v>1833</v>
      </c>
      <c r="D430" s="70" t="s">
        <v>1834</v>
      </c>
      <c r="E430" s="72"/>
      <c r="F430" s="72"/>
      <c r="G430" s="72"/>
      <c r="H430" s="119"/>
      <c r="I430" s="136"/>
      <c r="J430" s="136"/>
      <c r="K430" s="136"/>
      <c r="L430" s="136"/>
      <c r="M430" s="136"/>
      <c r="N430" s="136"/>
      <c r="O430" s="136"/>
      <c r="P430" s="136"/>
      <c r="Q430" s="136"/>
      <c r="R430" s="136"/>
      <c r="S430" s="136"/>
      <c r="T430" s="136"/>
      <c r="U430" s="120"/>
    </row>
    <row r="431" spans="1:35" ht="15.75" x14ac:dyDescent="0.25">
      <c r="A431" s="71"/>
      <c r="B431" s="5" t="s">
        <v>1835</v>
      </c>
      <c r="C431" s="70" t="s">
        <v>1836</v>
      </c>
      <c r="D431" s="70" t="s">
        <v>1837</v>
      </c>
      <c r="E431" s="72"/>
      <c r="F431" s="72"/>
      <c r="G431" s="72"/>
      <c r="H431" s="119"/>
      <c r="I431" s="136"/>
      <c r="J431" s="136"/>
      <c r="K431" s="136"/>
      <c r="L431" s="136"/>
      <c r="M431" s="136"/>
      <c r="N431" s="136"/>
      <c r="O431" s="136"/>
      <c r="P431" s="136"/>
      <c r="Q431" s="136"/>
      <c r="R431" s="136"/>
      <c r="S431" s="136"/>
      <c r="T431" s="136"/>
      <c r="U431" s="120"/>
    </row>
    <row r="432" spans="1:35" ht="31.5" x14ac:dyDescent="0.25">
      <c r="A432" s="71"/>
      <c r="B432" s="5" t="s">
        <v>1838</v>
      </c>
      <c r="C432" s="70" t="s">
        <v>1839</v>
      </c>
      <c r="D432" s="70" t="s">
        <v>1840</v>
      </c>
      <c r="E432" s="72"/>
      <c r="F432" s="72"/>
      <c r="G432" s="72"/>
      <c r="H432" s="119"/>
      <c r="I432" s="136"/>
      <c r="J432" s="136"/>
      <c r="K432" s="136"/>
      <c r="L432" s="136"/>
      <c r="M432" s="136"/>
      <c r="N432" s="136"/>
      <c r="O432" s="136"/>
      <c r="P432" s="136"/>
      <c r="Q432" s="136"/>
      <c r="R432" s="136"/>
      <c r="S432" s="136"/>
      <c r="T432" s="136"/>
      <c r="U432" s="120"/>
    </row>
    <row r="433" spans="1:21" ht="15.75" x14ac:dyDescent="0.25">
      <c r="A433" s="71"/>
      <c r="B433" s="5" t="s">
        <v>1841</v>
      </c>
      <c r="C433" s="70" t="s">
        <v>1842</v>
      </c>
      <c r="D433" s="70" t="s">
        <v>1843</v>
      </c>
      <c r="E433" s="72"/>
      <c r="F433" s="72"/>
      <c r="G433" s="72"/>
      <c r="H433" s="119"/>
      <c r="I433" s="136"/>
      <c r="J433" s="136"/>
      <c r="K433" s="136"/>
      <c r="L433" s="136"/>
      <c r="M433" s="136"/>
      <c r="N433" s="136"/>
      <c r="O433" s="136"/>
      <c r="P433" s="136"/>
      <c r="Q433" s="136"/>
      <c r="R433" s="136"/>
      <c r="S433" s="136"/>
      <c r="T433" s="136"/>
      <c r="U433" s="120"/>
    </row>
    <row r="434" spans="1:21" ht="15.75" x14ac:dyDescent="0.25">
      <c r="A434" s="71"/>
      <c r="B434" s="5" t="s">
        <v>1844</v>
      </c>
      <c r="C434" s="70" t="s">
        <v>1845</v>
      </c>
      <c r="D434" s="70" t="s">
        <v>1837</v>
      </c>
      <c r="E434" s="72"/>
      <c r="F434" s="72"/>
      <c r="G434" s="72"/>
      <c r="H434" s="119"/>
      <c r="I434" s="136"/>
      <c r="J434" s="136"/>
      <c r="K434" s="136"/>
      <c r="L434" s="136"/>
      <c r="M434" s="136"/>
      <c r="N434" s="136"/>
      <c r="O434" s="136"/>
      <c r="P434" s="136"/>
      <c r="Q434" s="136"/>
      <c r="R434" s="136"/>
      <c r="S434" s="136"/>
      <c r="T434" s="136"/>
      <c r="U434" s="120"/>
    </row>
    <row r="435" spans="1:21" ht="31.5" x14ac:dyDescent="0.25">
      <c r="A435" s="71"/>
      <c r="B435" s="5" t="s">
        <v>1846</v>
      </c>
      <c r="C435" s="70" t="s">
        <v>1847</v>
      </c>
      <c r="D435" s="70" t="s">
        <v>1848</v>
      </c>
      <c r="E435" s="72"/>
      <c r="F435" s="72"/>
      <c r="G435" s="72"/>
      <c r="H435" s="119"/>
      <c r="I435" s="136"/>
      <c r="J435" s="136"/>
      <c r="K435" s="136"/>
      <c r="L435" s="136"/>
      <c r="M435" s="136"/>
      <c r="N435" s="136"/>
      <c r="O435" s="136"/>
      <c r="P435" s="136"/>
      <c r="Q435" s="136"/>
      <c r="R435" s="136"/>
      <c r="S435" s="136"/>
      <c r="T435" s="136"/>
      <c r="U435" s="120"/>
    </row>
    <row r="436" spans="1:21" ht="31.5" x14ac:dyDescent="0.25">
      <c r="A436" s="71"/>
      <c r="B436" s="5" t="s">
        <v>1849</v>
      </c>
      <c r="C436" s="70" t="s">
        <v>1850</v>
      </c>
      <c r="D436" s="70" t="s">
        <v>1851</v>
      </c>
      <c r="E436" s="72"/>
      <c r="F436" s="72"/>
      <c r="G436" s="72"/>
      <c r="H436" s="119"/>
      <c r="I436" s="136"/>
      <c r="J436" s="136"/>
      <c r="K436" s="136"/>
      <c r="L436" s="136"/>
      <c r="M436" s="136"/>
      <c r="N436" s="136"/>
      <c r="O436" s="136"/>
      <c r="P436" s="136"/>
      <c r="Q436" s="136"/>
      <c r="R436" s="136"/>
      <c r="S436" s="136"/>
      <c r="T436" s="136"/>
      <c r="U436" s="120"/>
    </row>
    <row r="437" spans="1:21" ht="15.75" x14ac:dyDescent="0.25">
      <c r="A437" s="71"/>
      <c r="B437" s="5" t="s">
        <v>1852</v>
      </c>
      <c r="C437" s="70" t="s">
        <v>1853</v>
      </c>
      <c r="D437" s="70" t="s">
        <v>1854</v>
      </c>
      <c r="E437" s="72"/>
      <c r="F437" s="72"/>
      <c r="G437" s="72"/>
      <c r="H437" s="119"/>
      <c r="I437" s="136"/>
      <c r="J437" s="136"/>
      <c r="K437" s="136"/>
      <c r="L437" s="136"/>
      <c r="M437" s="136"/>
      <c r="N437" s="136"/>
      <c r="O437" s="136"/>
      <c r="P437" s="136"/>
      <c r="Q437" s="136"/>
      <c r="R437" s="136"/>
      <c r="S437" s="136"/>
      <c r="T437" s="136"/>
      <c r="U437" s="120"/>
    </row>
    <row r="438" spans="1:21" ht="15.75" x14ac:dyDescent="0.25">
      <c r="A438" s="71"/>
      <c r="B438" s="5" t="s">
        <v>1855</v>
      </c>
      <c r="C438" s="70" t="s">
        <v>1856</v>
      </c>
      <c r="D438" s="70" t="s">
        <v>1857</v>
      </c>
      <c r="E438" s="72"/>
      <c r="F438" s="72"/>
      <c r="G438" s="72"/>
      <c r="H438" s="119"/>
      <c r="I438" s="136"/>
      <c r="J438" s="136"/>
      <c r="K438" s="136"/>
      <c r="L438" s="136"/>
      <c r="M438" s="136"/>
      <c r="N438" s="136"/>
      <c r="O438" s="136"/>
      <c r="P438" s="136"/>
      <c r="Q438" s="136"/>
      <c r="R438" s="136"/>
      <c r="S438" s="136"/>
      <c r="T438" s="136"/>
      <c r="U438" s="120"/>
    </row>
    <row r="439" spans="1:21" ht="31.5" x14ac:dyDescent="0.25">
      <c r="A439" s="71"/>
      <c r="B439" s="5" t="s">
        <v>1858</v>
      </c>
      <c r="C439" s="70" t="s">
        <v>1859</v>
      </c>
      <c r="D439" s="70" t="s">
        <v>1860</v>
      </c>
      <c r="E439" s="72"/>
      <c r="F439" s="72"/>
      <c r="G439" s="72"/>
      <c r="H439" s="119"/>
      <c r="I439" s="136"/>
      <c r="J439" s="136"/>
      <c r="K439" s="136"/>
      <c r="L439" s="136"/>
      <c r="M439" s="136"/>
      <c r="N439" s="136"/>
      <c r="O439" s="136"/>
      <c r="P439" s="136"/>
      <c r="Q439" s="136"/>
      <c r="R439" s="136"/>
      <c r="S439" s="136"/>
      <c r="T439" s="136"/>
      <c r="U439" s="120"/>
    </row>
    <row r="440" spans="1:21" ht="47.25" x14ac:dyDescent="0.25">
      <c r="A440" s="71"/>
      <c r="B440" s="5" t="s">
        <v>1861</v>
      </c>
      <c r="C440" s="70" t="s">
        <v>1862</v>
      </c>
      <c r="D440" s="70" t="s">
        <v>1863</v>
      </c>
      <c r="E440" s="72"/>
      <c r="F440" s="72"/>
      <c r="G440" s="72"/>
      <c r="H440" s="119"/>
      <c r="I440" s="136"/>
      <c r="J440" s="136"/>
      <c r="K440" s="136"/>
      <c r="L440" s="136"/>
      <c r="M440" s="136"/>
      <c r="N440" s="136"/>
      <c r="O440" s="136"/>
      <c r="P440" s="136"/>
      <c r="Q440" s="136"/>
      <c r="R440" s="136"/>
      <c r="S440" s="136"/>
      <c r="T440" s="136"/>
      <c r="U440" s="120"/>
    </row>
    <row r="441" spans="1:21" ht="31.5" x14ac:dyDescent="0.25">
      <c r="A441" s="71"/>
      <c r="B441" s="5" t="s">
        <v>1864</v>
      </c>
      <c r="C441" s="70" t="s">
        <v>1865</v>
      </c>
      <c r="D441" s="70" t="s">
        <v>1866</v>
      </c>
      <c r="E441" s="72"/>
      <c r="F441" s="72"/>
      <c r="G441" s="72"/>
      <c r="H441" s="119"/>
      <c r="I441" s="136"/>
      <c r="J441" s="136"/>
      <c r="K441" s="136"/>
      <c r="L441" s="136"/>
      <c r="M441" s="136"/>
      <c r="N441" s="136"/>
      <c r="O441" s="136"/>
      <c r="P441" s="136"/>
      <c r="Q441" s="136"/>
      <c r="R441" s="136"/>
      <c r="S441" s="136"/>
      <c r="T441" s="136"/>
      <c r="U441" s="120"/>
    </row>
    <row r="442" spans="1:21" ht="15.75" x14ac:dyDescent="0.25">
      <c r="A442" s="71"/>
      <c r="B442" s="5" t="s">
        <v>1867</v>
      </c>
      <c r="C442" s="70" t="s">
        <v>1868</v>
      </c>
      <c r="D442" s="70" t="s">
        <v>1869</v>
      </c>
      <c r="E442" s="72"/>
      <c r="F442" s="72"/>
      <c r="G442" s="72"/>
      <c r="H442" s="119"/>
      <c r="I442" s="136"/>
      <c r="J442" s="136"/>
      <c r="K442" s="136"/>
      <c r="L442" s="136"/>
      <c r="M442" s="136"/>
      <c r="N442" s="136"/>
      <c r="O442" s="136"/>
      <c r="P442" s="136"/>
      <c r="Q442" s="136"/>
      <c r="R442" s="136"/>
      <c r="S442" s="136"/>
      <c r="T442" s="136"/>
      <c r="U442" s="120"/>
    </row>
    <row r="443" spans="1:21" ht="47.25" x14ac:dyDescent="0.25">
      <c r="A443" s="71"/>
      <c r="B443" s="5" t="s">
        <v>1870</v>
      </c>
      <c r="C443" s="70" t="s">
        <v>1871</v>
      </c>
      <c r="D443" s="70" t="s">
        <v>1872</v>
      </c>
      <c r="E443" s="72"/>
      <c r="F443" s="72"/>
      <c r="G443" s="72"/>
      <c r="H443" s="119" t="s">
        <v>1873</v>
      </c>
      <c r="I443" s="136"/>
      <c r="J443" s="136"/>
      <c r="K443" s="136"/>
      <c r="L443" s="136"/>
      <c r="M443" s="136"/>
      <c r="N443" s="136"/>
      <c r="O443" s="136"/>
      <c r="P443" s="136"/>
      <c r="Q443" s="136"/>
      <c r="R443" s="136"/>
      <c r="S443" s="136"/>
      <c r="T443" s="136"/>
      <c r="U443" s="120"/>
    </row>
    <row r="444" spans="1:21" ht="15.75" x14ac:dyDescent="0.25">
      <c r="A444" s="71"/>
      <c r="B444" s="5" t="s">
        <v>1874</v>
      </c>
      <c r="C444" s="70" t="s">
        <v>1875</v>
      </c>
      <c r="D444" s="70" t="s">
        <v>1876</v>
      </c>
      <c r="E444" s="72"/>
      <c r="F444" s="72"/>
      <c r="G444" s="72"/>
      <c r="H444" s="119"/>
      <c r="I444" s="136"/>
      <c r="J444" s="136"/>
      <c r="K444" s="136"/>
      <c r="L444" s="136"/>
      <c r="M444" s="136"/>
      <c r="N444" s="136"/>
      <c r="O444" s="136"/>
      <c r="P444" s="136"/>
      <c r="Q444" s="136"/>
      <c r="R444" s="136"/>
      <c r="S444" s="136"/>
      <c r="T444" s="136"/>
      <c r="U444" s="120"/>
    </row>
    <row r="445" spans="1:21" ht="31.5" x14ac:dyDescent="0.25">
      <c r="A445" s="71"/>
      <c r="B445" s="5" t="s">
        <v>1877</v>
      </c>
      <c r="C445" s="70" t="s">
        <v>1878</v>
      </c>
      <c r="D445" s="72"/>
      <c r="E445" s="72"/>
      <c r="F445" s="72"/>
      <c r="G445" s="72"/>
      <c r="H445" s="119"/>
      <c r="I445" s="136"/>
      <c r="J445" s="136"/>
      <c r="K445" s="136"/>
      <c r="L445" s="136"/>
      <c r="M445" s="136"/>
      <c r="N445" s="136"/>
      <c r="O445" s="136"/>
      <c r="P445" s="136"/>
      <c r="Q445" s="136"/>
      <c r="R445" s="136"/>
      <c r="S445" s="136"/>
      <c r="T445" s="136"/>
      <c r="U445" s="120"/>
    </row>
    <row r="446" spans="1:21" ht="15.75" x14ac:dyDescent="0.25">
      <c r="A446" s="71"/>
      <c r="B446" s="5" t="s">
        <v>1879</v>
      </c>
      <c r="C446" s="70" t="s">
        <v>1880</v>
      </c>
      <c r="D446" s="72"/>
      <c r="E446" s="72"/>
      <c r="F446" s="72"/>
      <c r="G446" s="72"/>
      <c r="H446" s="119"/>
      <c r="I446" s="136"/>
      <c r="J446" s="136"/>
      <c r="K446" s="136"/>
      <c r="L446" s="136"/>
      <c r="M446" s="136"/>
      <c r="N446" s="136"/>
      <c r="O446" s="136"/>
      <c r="P446" s="136"/>
      <c r="Q446" s="136"/>
      <c r="R446" s="136"/>
      <c r="S446" s="136"/>
      <c r="T446" s="136"/>
      <c r="U446" s="120"/>
    </row>
    <row r="447" spans="1:21" ht="15.75" x14ac:dyDescent="0.25">
      <c r="A447" s="71"/>
      <c r="B447" s="5" t="s">
        <v>1881</v>
      </c>
      <c r="C447" s="70" t="s">
        <v>1882</v>
      </c>
      <c r="D447" s="72"/>
      <c r="E447" s="72"/>
      <c r="F447" s="72"/>
      <c r="G447" s="72"/>
      <c r="H447" s="119"/>
      <c r="I447" s="136"/>
      <c r="J447" s="136"/>
      <c r="K447" s="136"/>
      <c r="L447" s="136"/>
      <c r="M447" s="136"/>
      <c r="N447" s="136"/>
      <c r="O447" s="136"/>
      <c r="P447" s="136"/>
      <c r="Q447" s="136"/>
      <c r="R447" s="136"/>
      <c r="S447" s="136"/>
      <c r="T447" s="136"/>
      <c r="U447" s="120"/>
    </row>
  </sheetData>
  <mergeCells count="80">
    <mergeCell ref="P6:Q6"/>
    <mergeCell ref="A2:U2"/>
    <mergeCell ref="A3:U3"/>
    <mergeCell ref="A4:U4"/>
    <mergeCell ref="A5:A7"/>
    <mergeCell ref="B5:B7"/>
    <mergeCell ref="C5:C7"/>
    <mergeCell ref="D5:D7"/>
    <mergeCell ref="E5:E7"/>
    <mergeCell ref="F5:F7"/>
    <mergeCell ref="G5:G7"/>
    <mergeCell ref="C24:I24"/>
    <mergeCell ref="R6:R7"/>
    <mergeCell ref="S6:T6"/>
    <mergeCell ref="U6:U7"/>
    <mergeCell ref="A8:I8"/>
    <mergeCell ref="C9:I9"/>
    <mergeCell ref="C10:I10"/>
    <mergeCell ref="H5:H7"/>
    <mergeCell ref="I5:I7"/>
    <mergeCell ref="J5:O5"/>
    <mergeCell ref="P5:R5"/>
    <mergeCell ref="S5:U5"/>
    <mergeCell ref="J6:K6"/>
    <mergeCell ref="L6:L7"/>
    <mergeCell ref="M6:N6"/>
    <mergeCell ref="O6:O7"/>
    <mergeCell ref="C11:I11"/>
    <mergeCell ref="C12:I12"/>
    <mergeCell ref="C13:I13"/>
    <mergeCell ref="C16:I16"/>
    <mergeCell ref="C17:I17"/>
    <mergeCell ref="C316:I316"/>
    <mergeCell ref="C45:I45"/>
    <mergeCell ref="C50:I50"/>
    <mergeCell ref="C51:I51"/>
    <mergeCell ref="C52:I52"/>
    <mergeCell ref="C53:I53"/>
    <mergeCell ref="C54:I54"/>
    <mergeCell ref="C84:I84"/>
    <mergeCell ref="C93:I93"/>
    <mergeCell ref="C129:I129"/>
    <mergeCell ref="C130:I130"/>
    <mergeCell ref="C300:I300"/>
    <mergeCell ref="C410:I410"/>
    <mergeCell ref="C360:I360"/>
    <mergeCell ref="C361:I361"/>
    <mergeCell ref="C383:I383"/>
    <mergeCell ref="C393:I393"/>
    <mergeCell ref="C401:I401"/>
    <mergeCell ref="C402:I402"/>
    <mergeCell ref="C403:I403"/>
    <mergeCell ref="C404:I404"/>
    <mergeCell ref="C406:I406"/>
    <mergeCell ref="C407:I407"/>
    <mergeCell ref="C408:I408"/>
    <mergeCell ref="H435:U435"/>
    <mergeCell ref="C411:I411"/>
    <mergeCell ref="C414:I414"/>
    <mergeCell ref="C419:I419"/>
    <mergeCell ref="C420:I420"/>
    <mergeCell ref="C425:I425"/>
    <mergeCell ref="A429:U429"/>
    <mergeCell ref="H430:U430"/>
    <mergeCell ref="H431:U431"/>
    <mergeCell ref="H432:U432"/>
    <mergeCell ref="H433:U433"/>
    <mergeCell ref="H434:U434"/>
    <mergeCell ref="H447:U447"/>
    <mergeCell ref="H436:U436"/>
    <mergeCell ref="H437:U437"/>
    <mergeCell ref="H438:U438"/>
    <mergeCell ref="H439:U439"/>
    <mergeCell ref="H440:U440"/>
    <mergeCell ref="H441:U441"/>
    <mergeCell ref="H442:U442"/>
    <mergeCell ref="H443:U443"/>
    <mergeCell ref="H444:U444"/>
    <mergeCell ref="H445:U445"/>
    <mergeCell ref="H446:U4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Изменения</vt:lpstr>
      <vt:lpstr>ТКП</vt:lpstr>
      <vt:lpstr>Лист1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МирзаяновИИ</cp:lastModifiedBy>
  <dcterms:created xsi:type="dcterms:W3CDTF">2025-09-25T12:41:36Z</dcterms:created>
  <dcterms:modified xsi:type="dcterms:W3CDTF">2025-10-14T14:33:31Z</dcterms:modified>
  <cp:category/>
</cp:coreProperties>
</file>