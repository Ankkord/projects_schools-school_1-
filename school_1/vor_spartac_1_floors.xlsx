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Пл 1.032" sheetId="1" r:id="rId1"/>
  </sheets>
  <calcPr calcId="152511"/>
</workbook>
</file>

<file path=xl/calcChain.xml><?xml version="1.0" encoding="utf-8"?>
<calcChain xmlns="http://schemas.openxmlformats.org/spreadsheetml/2006/main">
  <c r="E17" i="1" l="1"/>
  <c r="E5" i="1"/>
  <c r="E12" i="1"/>
  <c r="E16" i="1" l="1"/>
  <c r="E13" i="1"/>
  <c r="E4" i="1"/>
  <c r="E9" i="1" l="1"/>
  <c r="E8" i="1"/>
</calcChain>
</file>

<file path=xl/sharedStrings.xml><?xml version="1.0" encoding="utf-8"?>
<sst xmlns="http://schemas.openxmlformats.org/spreadsheetml/2006/main" count="41" uniqueCount="32">
  <si>
    <t>№ п.п.</t>
  </si>
  <si>
    <t>Наименование</t>
  </si>
  <si>
    <t>Ед. изм.</t>
  </si>
  <si>
    <t>Коэф. расхода</t>
  </si>
  <si>
    <t>Объем</t>
  </si>
  <si>
    <t>Ведомость работ и используемых материалов</t>
  </si>
  <si>
    <t>м2</t>
  </si>
  <si>
    <t>кг</t>
  </si>
  <si>
    <t>1.1</t>
  </si>
  <si>
    <t>1.2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</si>
  <si>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</si>
  <si>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</si>
  <si>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Грунтовка универсальный ЛАСТИМИН_ / УНКОНТ ЛЮКС LP51 А</t>
  </si>
  <si>
    <t>Установка стыковочных профилей</t>
  </si>
  <si>
    <t>Профиль T-образный ПМЮ-01_ / серебро матовое / 2700*30</t>
  </si>
  <si>
    <t>Жидкие гвозди универсальные_/</t>
  </si>
  <si>
    <t>пог. м</t>
  </si>
  <si>
    <t>шт</t>
  </si>
  <si>
    <t>Устройство покрытия пола из кварцвинила / на клею</t>
  </si>
  <si>
    <t>Кварц-виниловая плитка / SPC VIVA Series с защитным слоем 0,3мм</t>
  </si>
  <si>
    <t xml:space="preserve">Клей полиуретановый двухкомпонентный </t>
  </si>
  <si>
    <t>Установка напольного плинтуса ПВХ</t>
  </si>
  <si>
    <t>2</t>
  </si>
  <si>
    <t>2.1</t>
  </si>
  <si>
    <t>2.2</t>
  </si>
  <si>
    <t>3</t>
  </si>
  <si>
    <t>3.1</t>
  </si>
  <si>
    <t>3.2</t>
  </si>
  <si>
    <t>4</t>
  </si>
  <si>
    <t>4.1</t>
  </si>
  <si>
    <t>4.2</t>
  </si>
  <si>
    <t xml:space="preserve">Плинтус  ПВХ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</si>
</sst>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vertical="center"/>
    </xf>
    <xf numFmtId="2" fontId="1" fillId="0" borderId="1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indent="2"/>
    </xf>
    <xf numFmtId="0" fontId="2" fillId="0" borderId="3" xfId="0" applyFont="1" applyBorder="1" applyAlignment="1">
      <alignment horizontal="left" vertical="center" wrapText="1" indent="2"/>
    </xf>
    <xf numFmtId="0" fontId="2" fillId="0" borderId="1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 indent="2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 indent="2"/>
    </xf>
    <xf numFmtId="0" fontId="3" fillId="2" borderId="1" xfId="0" applyFont="1" applyFill="1" applyBorder="1" applyAlignment="1">
      <alignment horizontal="left" vertical="center" wrapText="1" indent="2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right"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9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/>
    </xf>
    <xf numFmtId="2" fontId="2" fillId="2" borderId="6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tabSelected="1" workbookViewId="0">
      <selection activeCell="B16" sqref="B16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20"/>
      <c r="B1" s="21" t="s">
        <v>5</v>
      </c>
      <c r="C1" s="22"/>
      <c r="D1" s="22"/>
      <c r="E1" s="23"/>
    </row>
    <row r="2" spans="1:5" ht="18" customHeight="1" x14ac:dyDescent="0.25">
      <c r="A2" s="24" t="s">
        <v>0</v>
      </c>
      <c r="B2" s="1" t="s">
        <v>1</v>
      </c>
      <c r="C2" s="2" t="s">
        <v>2</v>
      </c>
      <c r="D2" s="2" t="s">
        <v>3</v>
      </c>
      <c r="E2" s="25" t="s">
        <v>4</v>
      </c>
    </row>
    <row r="3" spans="1:5" x14ac:dyDescent="0.25">
      <c r="A3" s="7">
        <v>1</v>
      </c>
      <c r="B3" s="8" t="s">
        <v>13</v>
      </c>
      <c r="C3" s="9" t="s">
        <v>16</v>
      </c>
      <c r="D3" s="10">
        <v>1</v>
      </c>
      <c r="E3" s="11">
        <v>2</v>
      </c>
    </row>
    <row r="4" spans="1:5" x14ac:dyDescent="0.25">
      <c r="A4" s="7" t="s">
        <v>8</v>
      </c>
      <c r="B4" s="12" t="s">
        <v>14</v>
      </c>
      <c r="C4" s="9" t="s">
        <v>16</v>
      </c>
      <c r="D4" s="10">
        <v>1.05</v>
      </c>
      <c r="E4" s="11">
        <f>E3*D4</f>
        <v>2.1</v>
      </c>
    </row>
    <row r="5" spans="1:5" x14ac:dyDescent="0.25">
      <c r="A5" s="7" t="s">
        <v>9</v>
      </c>
      <c r="B5" s="12" t="s">
        <v>15</v>
      </c>
      <c r="C5" s="9" t="s">
        <v>17</v>
      </c>
      <c r="D5" s="10">
        <v>0.09</v>
      </c>
      <c r="E5" s="11">
        <f>ROUNDUP(D5*E3, 0)</f>
        <v>1</v>
      </c>
    </row>
    <row r="6" spans="1:5" x14ac:dyDescent="0.25">
      <c r="A6" s="26"/>
      <c r="B6" s="15"/>
      <c r="C6" s="16"/>
      <c r="D6" s="17"/>
      <c r="E6" s="27"/>
    </row>
    <row r="7" spans="1:5" ht="25.5" x14ac:dyDescent="0.25">
      <c r="A7" s="7" t="s">
        <v>22</v>
      </c>
      <c r="B7" s="8" t="s">
        <v>10</v>
      </c>
      <c r="C7" s="9" t="s">
        <v>6</v>
      </c>
      <c r="D7" s="10">
        <v>1</v>
      </c>
      <c r="E7" s="11">
        <v>31.47</v>
      </c>
    </row>
    <row r="8" spans="1:5" x14ac:dyDescent="0.25">
      <c r="A8" s="7" t="s">
        <v>23</v>
      </c>
      <c r="B8" s="12" t="s">
        <v>11</v>
      </c>
      <c r="C8" s="9" t="s">
        <v>7</v>
      </c>
      <c r="D8" s="10">
        <v>1.6</v>
      </c>
      <c r="E8" s="11">
        <f>E7*D8*10</f>
        <v>503.52000000000004</v>
      </c>
    </row>
    <row r="9" spans="1:5" x14ac:dyDescent="0.25">
      <c r="A9" s="7" t="s">
        <v>24</v>
      </c>
      <c r="B9" s="12" t="s">
        <v>12</v>
      </c>
      <c r="C9" s="9" t="s">
        <v>7</v>
      </c>
      <c r="D9" s="10">
        <v>0.255</v>
      </c>
      <c r="E9" s="11">
        <f>D9*E7</f>
        <v>8.0248500000000007</v>
      </c>
    </row>
    <row r="10" spans="1:5" x14ac:dyDescent="0.25">
      <c r="A10" s="26"/>
      <c r="B10" s="15"/>
      <c r="C10" s="16"/>
      <c r="D10" s="17"/>
      <c r="E10" s="27"/>
    </row>
    <row r="11" spans="1:5" x14ac:dyDescent="0.25">
      <c r="A11" s="7" t="s">
        <v>25</v>
      </c>
      <c r="B11" s="8" t="s">
        <v>18</v>
      </c>
      <c r="C11" s="9" t="s">
        <v>6</v>
      </c>
      <c r="D11" s="10">
        <v>1</v>
      </c>
      <c r="E11" s="11">
        <v>31.47</v>
      </c>
    </row>
    <row r="12" spans="1:5" x14ac:dyDescent="0.25">
      <c r="A12" s="7" t="s">
        <v>26</v>
      </c>
      <c r="B12" s="12" t="s">
        <v>20</v>
      </c>
      <c r="C12" s="9" t="s">
        <v>17</v>
      </c>
      <c r="D12" s="10">
        <v>1</v>
      </c>
      <c r="E12" s="11">
        <f>ROUNDDOWN(E11*D12, 0)</f>
        <v>31</v>
      </c>
    </row>
    <row r="13" spans="1:5" ht="25.5" x14ac:dyDescent="0.25">
      <c r="A13" s="7" t="s">
        <v>27</v>
      </c>
      <c r="B13" s="18" t="s">
        <v>19</v>
      </c>
      <c r="C13" s="9" t="s">
        <v>6</v>
      </c>
      <c r="D13" s="10">
        <v>1.03</v>
      </c>
      <c r="E13" s="11">
        <f>D13*E11</f>
        <v>32.414099999999998</v>
      </c>
    </row>
    <row r="14" spans="1:5" x14ac:dyDescent="0.25">
      <c r="A14" s="26"/>
      <c r="B14" s="19"/>
      <c r="C14" s="16"/>
      <c r="D14" s="17"/>
      <c r="E14" s="27"/>
    </row>
    <row r="15" spans="1:5" x14ac:dyDescent="0.25">
      <c r="A15" s="7" t="s">
        <v>28</v>
      </c>
      <c r="B15" s="14" t="s">
        <v>21</v>
      </c>
      <c r="C15" s="9" t="s">
        <v>16</v>
      </c>
      <c r="D15" s="10">
        <v>1</v>
      </c>
      <c r="E15" s="11">
        <v>35.299999999999997</v>
      </c>
    </row>
    <row r="16" spans="1:5" x14ac:dyDescent="0.25">
      <c r="A16" s="7" t="s">
        <v>29</v>
      </c>
      <c r="B16" s="12" t="s">
        <v>31</v>
      </c>
      <c r="C16" s="9" t="s">
        <v>16</v>
      </c>
      <c r="D16" s="10">
        <v>1</v>
      </c>
      <c r="E16" s="11">
        <f>E15*D16</f>
        <v>35.299999999999997</v>
      </c>
    </row>
    <row r="17" spans="1:5" ht="15.75" thickBot="1" x14ac:dyDescent="0.3">
      <c r="A17" s="3" t="s">
        <v>30</v>
      </c>
      <c r="B17" s="13" t="s">
        <v>15</v>
      </c>
      <c r="C17" s="4" t="s">
        <v>17</v>
      </c>
      <c r="D17" s="5">
        <v>0.09</v>
      </c>
      <c r="E17" s="6">
        <f>ROUNDUP(D17*E15, 0)</f>
        <v>4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Пл 1.032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2025-10-15T11:59:19Z</dcterms:modified>
</cp:coreProperties>
</file>