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E8" i="1" l="1"/>
  <c r="E7" i="1"/>
  <c r="E4" i="1"/>
  <c r="E5" i="1"/>
</calcChain>
</file>

<file path=xl/sharedStrings.xml><?xml version="1.0" encoding="utf-8"?>
<sst xmlns="http://schemas.openxmlformats.org/spreadsheetml/2006/main" count="33" uniqueCount="23">
  <si>
    <t>№ п.п.</t>
  </si>
  <si>
    <t>Наименование</t>
  </si>
  <si>
    <t>Ед. изм.</t>
  </si>
  <si>
    <t>Коэф. расхода</t>
  </si>
  <si>
    <t>Объем</t>
  </si>
  <si>
    <t>Ведомость работ и используемых материалов</t>
  </si>
  <si>
    <t>м2</t>
  </si>
  <si>
    <t>кг</t>
  </si>
  <si>
    <t>1.1</t>
  </si>
  <si>
    <t>1.2</t>
  </si>
  <si>
    <t xml:space="preserve">Устройство наливных полов с огрунтовкой поверхности и проклейкой демпферной лентой / толщ. до 10 мм </t>
  </si>
  <si>
    <t>Наливной пол_ / Унифицированный по ПИК-СТАНДАРТ</t>
  </si>
  <si>
    <t>Грунтовка универсальный ЛАСТИМИН_ / УНКОНТ ЛЮКС LP51 А</t>
  </si>
  <si>
    <t>Установка стыковочных профилей</t>
  </si>
  <si>
    <t>Профиль T-образный ПМЮ-01_ / серебро матовое / 2700*30</t>
  </si>
  <si>
    <t>Жидкие гвозди универсальные_/</t>
  </si>
  <si>
    <t>Клей плиточный/ Унифицированный по ПИК-СТАНДАРТ</t>
  </si>
  <si>
    <t>Керамический гранит Kerama marazzi_ / SG166200N/напольный/ Про Матрикс / 397х397х8 мм</t>
  </si>
  <si>
    <t>Затирка Цезерит СE33_/04 серебристо-серый</t>
  </si>
  <si>
    <t>Грунтовка универсальный ЛАСТИМИН_ / LP-51 А</t>
  </si>
  <si>
    <t>Устройство покрытия пола с предварительной огрунтовкой поверхности / с затиркой швов</t>
  </si>
  <si>
    <t>пог. м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</si>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</sst>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color rgb="FFFF0000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4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 indent="2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2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1" sqref="B11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13" t="s">
        <v>5</v>
      </c>
      <c r="C1" s="3"/>
      <c r="D1" s="3"/>
      <c r="E1" s="3"/>
    </row>
    <row r="2" spans="1:5" ht="18" customHeight="1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4">
        <v>1</v>
      </c>
      <c r="B3" s="9" t="s">
        <v>13</v>
      </c>
      <c r="C3" s="10" t="s">
        <v>21</v>
      </c>
      <c r="D3" s="11">
        <v>1</v>
      </c>
      <c r="E3" s="10">
        <v>35.299999999999997</v>
      </c>
    </row>
    <row r="4" spans="1:5" x14ac:dyDescent="0.25">
      <c r="A4" s="14" t="s">
        <v>8</v>
      </c>
      <c r="B4" s="15" t="s">
        <v>14</v>
      </c>
      <c r="C4" s="10" t="s">
        <v>21</v>
      </c>
      <c r="D4" s="11">
        <v>1.05</v>
      </c>
      <c r="E4" s="10">
        <f>E3*D4*10</f>
        <v>370.65</v>
      </c>
    </row>
    <row r="5" spans="1:5" ht="15.75" thickBot="1" x14ac:dyDescent="0.3">
      <c r="A5" s="17" t="s">
        <v>9</v>
      </c>
      <c r="B5" s="18" t="s">
        <v>15</v>
      </c>
      <c r="C5" s="19" t="s">
        <v>22</v>
      </c>
      <c r="D5" s="20">
        <v>0.09</v>
      </c>
      <c r="E5" s="19">
        <f>D5*E3</f>
        <v>3.1769999999999996</v>
      </c>
    </row>
    <row r="6" spans="1:5" ht="25.5" x14ac:dyDescent="0.25">
      <c r="A6" s="25">
        <v>1</v>
      </c>
      <c r="B6" s="26" t="s">
        <v>10</v>
      </c>
      <c r="C6" s="27" t="s">
        <v>6</v>
      </c>
      <c r="D6" s="28">
        <v>1</v>
      </c>
      <c r="E6" s="29">
        <v>35.299999999999997</v>
      </c>
    </row>
    <row r="7" spans="1:5" x14ac:dyDescent="0.25">
      <c r="A7" s="8" t="s">
        <v>8</v>
      </c>
      <c r="B7" s="15" t="s">
        <v>11</v>
      </c>
      <c r="C7" s="10" t="s">
        <v>7</v>
      </c>
      <c r="D7" s="11">
        <v>1.6</v>
      </c>
      <c r="E7" s="12">
        <f>E6*D7*10</f>
        <v>564.79999999999995</v>
      </c>
    </row>
    <row r="8" spans="1:5" ht="15.75" thickBot="1" x14ac:dyDescent="0.3">
      <c r="A8" s="4" t="s">
        <v>9</v>
      </c>
      <c r="B8" s="30" t="s">
        <v>12</v>
      </c>
      <c r="C8" s="5" t="s">
        <v>7</v>
      </c>
      <c r="D8" s="6">
        <v>0.255</v>
      </c>
      <c r="E8" s="7">
        <f>D8*E6</f>
        <v>9.0015000000000001</v>
      </c>
    </row>
    <row r="9" spans="1:5" ht="25.5" x14ac:dyDescent="0.25">
      <c r="A9" s="21">
        <v>7</v>
      </c>
      <c r="B9" s="22" t="s">
        <v>20</v>
      </c>
      <c r="C9" s="23" t="s">
        <v>6</v>
      </c>
      <c r="D9" s="24">
        <v>1</v>
      </c>
      <c r="E9" s="23"/>
    </row>
    <row r="10" spans="1:5" x14ac:dyDescent="0.25">
      <c r="A10" s="14">
        <v>8</v>
      </c>
      <c r="B10" s="15" t="s">
        <v>16</v>
      </c>
      <c r="C10" s="10" t="s">
        <v>7</v>
      </c>
      <c r="D10" s="11">
        <v>1.2</v>
      </c>
      <c r="E10" s="10"/>
    </row>
    <row r="11" spans="1:5" ht="25.5" x14ac:dyDescent="0.25">
      <c r="A11" s="14">
        <v>9</v>
      </c>
      <c r="B11" s="16" t="s">
        <v>17</v>
      </c>
      <c r="C11" s="10" t="s">
        <v>6</v>
      </c>
      <c r="D11" s="11">
        <v>1.07</v>
      </c>
      <c r="E11" s="10"/>
    </row>
    <row r="12" spans="1:5" x14ac:dyDescent="0.25">
      <c r="A12" s="14">
        <v>10</v>
      </c>
      <c r="B12" s="15" t="s">
        <v>18</v>
      </c>
      <c r="C12" s="10" t="s">
        <v>7</v>
      </c>
      <c r="D12" s="11">
        <v>0.25</v>
      </c>
      <c r="E12" s="10"/>
    </row>
    <row r="13" spans="1:5" x14ac:dyDescent="0.25">
      <c r="A13" s="14">
        <v>11</v>
      </c>
      <c r="B13" s="15" t="s">
        <v>19</v>
      </c>
      <c r="C13" s="10" t="s">
        <v>7</v>
      </c>
      <c r="D13" s="11">
        <v>0.15</v>
      </c>
      <c r="E13" s="1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2025-10-14T14:32:21Z</dcterms:modified>
</cp:coreProperties>
</file>