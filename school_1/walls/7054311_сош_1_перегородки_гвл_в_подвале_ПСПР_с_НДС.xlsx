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1\walls\"/>
    </mc:Choice>
  </mc:AlternateContent>
  <bookViews>
    <workbookView xWindow="0" yWindow="0" windowWidth="16056" windowHeight="8520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</workbook>
</file>

<file path=xl/calcChain.xml><?xml version="1.0" encoding="utf-8"?>
<calcChain xmlns="http://schemas.openxmlformats.org/spreadsheetml/2006/main">
  <c r="H18" i="2" l="1"/>
  <c r="H19" i="2"/>
  <c r="H20" i="2"/>
  <c r="H17" i="2"/>
  <c r="V32" i="2"/>
  <c r="S32" i="2"/>
  <c r="Y32" i="2" s="1"/>
  <c r="M32" i="2"/>
  <c r="V31" i="2"/>
  <c r="S31" i="2"/>
  <c r="Y31" i="2" s="1"/>
  <c r="M31" i="2"/>
  <c r="Z30" i="2"/>
  <c r="Y30" i="2"/>
  <c r="AA30" i="2" s="1"/>
  <c r="W30" i="2"/>
  <c r="V30" i="2"/>
  <c r="U30" i="2"/>
  <c r="R30" i="2"/>
  <c r="X30" i="2" s="1"/>
  <c r="O30" i="2"/>
  <c r="L30" i="2"/>
  <c r="Y29" i="2"/>
  <c r="V29" i="2"/>
  <c r="S29" i="2"/>
  <c r="M29" i="2"/>
  <c r="Y28" i="2"/>
  <c r="V28" i="2"/>
  <c r="S28" i="2"/>
  <c r="M28" i="2"/>
  <c r="V27" i="2"/>
  <c r="S27" i="2"/>
  <c r="Y27" i="2" s="1"/>
  <c r="M27" i="2"/>
  <c r="Z26" i="2"/>
  <c r="Z25" i="2" s="1"/>
  <c r="Z24" i="2" s="1"/>
  <c r="Z23" i="2" s="1"/>
  <c r="Z22" i="2" s="1"/>
  <c r="Z21" i="2" s="1"/>
  <c r="Y26" i="2"/>
  <c r="Y25" i="2" s="1"/>
  <c r="Y24" i="2" s="1"/>
  <c r="Y23" i="2" s="1"/>
  <c r="Y22" i="2" s="1"/>
  <c r="Y21" i="2" s="1"/>
  <c r="X26" i="2"/>
  <c r="W26" i="2"/>
  <c r="V26" i="2"/>
  <c r="U26" i="2"/>
  <c r="U25" i="2" s="1"/>
  <c r="U24" i="2" s="1"/>
  <c r="U23" i="2" s="1"/>
  <c r="U22" i="2" s="1"/>
  <c r="U21" i="2" s="1"/>
  <c r="R26" i="2"/>
  <c r="O26" i="2"/>
  <c r="O25" i="2" s="1"/>
  <c r="O24" i="2" s="1"/>
  <c r="O23" i="2" s="1"/>
  <c r="O22" i="2" s="1"/>
  <c r="O21" i="2" s="1"/>
  <c r="L26" i="2"/>
  <c r="T25" i="2"/>
  <c r="S25" i="2"/>
  <c r="N25" i="2"/>
  <c r="N24" i="2" s="1"/>
  <c r="N23" i="2" s="1"/>
  <c r="N22" i="2" s="1"/>
  <c r="N21" i="2" s="1"/>
  <c r="M25" i="2"/>
  <c r="M24" i="2" s="1"/>
  <c r="M23" i="2" s="1"/>
  <c r="M22" i="2" s="1"/>
  <c r="M21" i="2" s="1"/>
  <c r="T24" i="2"/>
  <c r="T23" i="2" s="1"/>
  <c r="T22" i="2" s="1"/>
  <c r="T21" i="2" s="1"/>
  <c r="S24" i="2"/>
  <c r="S23" i="2" s="1"/>
  <c r="S22" i="2" s="1"/>
  <c r="S21" i="2" s="1"/>
  <c r="Y20" i="2"/>
  <c r="V20" i="2"/>
  <c r="S20" i="2"/>
  <c r="M20" i="2"/>
  <c r="V19" i="2"/>
  <c r="S19" i="2"/>
  <c r="Y19" i="2" s="1"/>
  <c r="M19" i="2"/>
  <c r="V18" i="2"/>
  <c r="S18" i="2"/>
  <c r="Y18" i="2" s="1"/>
  <c r="M18" i="2"/>
  <c r="V17" i="2"/>
  <c r="S17" i="2"/>
  <c r="Y17" i="2" s="1"/>
  <c r="M17" i="2"/>
  <c r="Y16" i="2"/>
  <c r="V16" i="2"/>
  <c r="S16" i="2"/>
  <c r="M16" i="2"/>
  <c r="Z15" i="2"/>
  <c r="Y15" i="2"/>
  <c r="AA15" i="2" s="1"/>
  <c r="AA14" i="2" s="1"/>
  <c r="AA13" i="2" s="1"/>
  <c r="AA12" i="2" s="1"/>
  <c r="AA11" i="2" s="1"/>
  <c r="AA10" i="2" s="1"/>
  <c r="W15" i="2"/>
  <c r="V15" i="2"/>
  <c r="U15" i="2"/>
  <c r="R15" i="2"/>
  <c r="X15" i="2" s="1"/>
  <c r="O15" i="2"/>
  <c r="O14" i="2" s="1"/>
  <c r="O13" i="2" s="1"/>
  <c r="O12" i="2" s="1"/>
  <c r="O11" i="2" s="1"/>
  <c r="O10" i="2" s="1"/>
  <c r="O9" i="2" s="1"/>
  <c r="O8" i="2" s="1"/>
  <c r="L15" i="2"/>
  <c r="Z14" i="2"/>
  <c r="Z13" i="2" s="1"/>
  <c r="Z12" i="2" s="1"/>
  <c r="Z11" i="2" s="1"/>
  <c r="Z10" i="2" s="1"/>
  <c r="Y14" i="2"/>
  <c r="Y13" i="2" s="1"/>
  <c r="Y12" i="2" s="1"/>
  <c r="Y11" i="2" s="1"/>
  <c r="Y10" i="2" s="1"/>
  <c r="U14" i="2"/>
  <c r="U13" i="2" s="1"/>
  <c r="U12" i="2" s="1"/>
  <c r="U11" i="2" s="1"/>
  <c r="U10" i="2" s="1"/>
  <c r="T14" i="2"/>
  <c r="S14" i="2"/>
  <c r="N14" i="2"/>
  <c r="M14" i="2"/>
  <c r="T13" i="2"/>
  <c r="T12" i="2" s="1"/>
  <c r="T11" i="2" s="1"/>
  <c r="T10" i="2" s="1"/>
  <c r="T9" i="2" s="1"/>
  <c r="T8" i="2" s="1"/>
  <c r="T33" i="2" s="1"/>
  <c r="S13" i="2"/>
  <c r="S12" i="2" s="1"/>
  <c r="S11" i="2" s="1"/>
  <c r="S10" i="2" s="1"/>
  <c r="S9" i="2" s="1"/>
  <c r="S8" i="2" s="1"/>
  <c r="S33" i="2" s="1"/>
  <c r="U33" i="2" s="1"/>
  <c r="N13" i="2"/>
  <c r="N12" i="2" s="1"/>
  <c r="N11" i="2" s="1"/>
  <c r="N10" i="2" s="1"/>
  <c r="N9" i="2" s="1"/>
  <c r="N8" i="2" s="1"/>
  <c r="N33" i="2" s="1"/>
  <c r="M13" i="2"/>
  <c r="M12" i="2" s="1"/>
  <c r="M11" i="2" s="1"/>
  <c r="M10" i="2" s="1"/>
  <c r="M9" i="2" s="1"/>
  <c r="M8" i="2" s="1"/>
  <c r="M33" i="2" s="1"/>
  <c r="O33" i="2" s="1"/>
  <c r="AA33" i="1"/>
  <c r="Z33" i="1"/>
  <c r="Y33" i="1"/>
  <c r="U33" i="1"/>
  <c r="T33" i="1"/>
  <c r="S33" i="1"/>
  <c r="O33" i="1"/>
  <c r="N33" i="1"/>
  <c r="M33" i="1"/>
  <c r="Y32" i="1"/>
  <c r="V32" i="1"/>
  <c r="S32" i="1"/>
  <c r="M32" i="1"/>
  <c r="Y31" i="1"/>
  <c r="V31" i="1"/>
  <c r="S31" i="1"/>
  <c r="M31" i="1"/>
  <c r="AA30" i="1"/>
  <c r="Z30" i="1"/>
  <c r="Y30" i="1"/>
  <c r="X30" i="1"/>
  <c r="W30" i="1"/>
  <c r="V30" i="1"/>
  <c r="U30" i="1"/>
  <c r="R30" i="1"/>
  <c r="O30" i="1"/>
  <c r="L30" i="1"/>
  <c r="Y29" i="1"/>
  <c r="V29" i="1"/>
  <c r="S29" i="1"/>
  <c r="M29" i="1"/>
  <c r="Y28" i="1"/>
  <c r="V28" i="1"/>
  <c r="S28" i="1"/>
  <c r="M28" i="1"/>
  <c r="Y27" i="1"/>
  <c r="V27" i="1"/>
  <c r="S27" i="1"/>
  <c r="M27" i="1"/>
  <c r="AA26" i="1"/>
  <c r="Z26" i="1"/>
  <c r="Y26" i="1"/>
  <c r="X26" i="1"/>
  <c r="W26" i="1"/>
  <c r="V26" i="1"/>
  <c r="U26" i="1"/>
  <c r="R26" i="1"/>
  <c r="O26" i="1"/>
  <c r="L26" i="1"/>
  <c r="AA25" i="1"/>
  <c r="Z25" i="1"/>
  <c r="Y25" i="1"/>
  <c r="U25" i="1"/>
  <c r="T25" i="1"/>
  <c r="S25" i="1"/>
  <c r="O25" i="1"/>
  <c r="N25" i="1"/>
  <c r="M25" i="1"/>
  <c r="AA24" i="1"/>
  <c r="Z24" i="1"/>
  <c r="Y24" i="1"/>
  <c r="U24" i="1"/>
  <c r="T24" i="1"/>
  <c r="S24" i="1"/>
  <c r="O24" i="1"/>
  <c r="N24" i="1"/>
  <c r="M24" i="1"/>
  <c r="AA23" i="1"/>
  <c r="Z23" i="1"/>
  <c r="Y23" i="1"/>
  <c r="U23" i="1"/>
  <c r="T23" i="1"/>
  <c r="S23" i="1"/>
  <c r="O23" i="1"/>
  <c r="N23" i="1"/>
  <c r="M23" i="1"/>
  <c r="AA22" i="1"/>
  <c r="Z22" i="1"/>
  <c r="Y22" i="1"/>
  <c r="U22" i="1"/>
  <c r="T22" i="1"/>
  <c r="S22" i="1"/>
  <c r="O22" i="1"/>
  <c r="N22" i="1"/>
  <c r="M22" i="1"/>
  <c r="AA21" i="1"/>
  <c r="Z21" i="1"/>
  <c r="Y21" i="1"/>
  <c r="U21" i="1"/>
  <c r="T21" i="1"/>
  <c r="S21" i="1"/>
  <c r="O21" i="1"/>
  <c r="N21" i="1"/>
  <c r="M21" i="1"/>
  <c r="Y20" i="1"/>
  <c r="V20" i="1"/>
  <c r="S20" i="1"/>
  <c r="M20" i="1"/>
  <c r="Y19" i="1"/>
  <c r="V19" i="1"/>
  <c r="S19" i="1"/>
  <c r="M19" i="1"/>
  <c r="Y18" i="1"/>
  <c r="V18" i="1"/>
  <c r="S18" i="1"/>
  <c r="M18" i="1"/>
  <c r="Y17" i="1"/>
  <c r="V17" i="1"/>
  <c r="S17" i="1"/>
  <c r="M17" i="1"/>
  <c r="Y16" i="1"/>
  <c r="V16" i="1"/>
  <c r="S16" i="1"/>
  <c r="M16" i="1"/>
  <c r="AA15" i="1"/>
  <c r="Z15" i="1"/>
  <c r="Y15" i="1"/>
  <c r="X15" i="1"/>
  <c r="W15" i="1"/>
  <c r="V15" i="1"/>
  <c r="U15" i="1"/>
  <c r="R15" i="1"/>
  <c r="O15" i="1"/>
  <c r="L15" i="1"/>
  <c r="AA14" i="1"/>
  <c r="Z14" i="1"/>
  <c r="Y14" i="1"/>
  <c r="U14" i="1"/>
  <c r="T14" i="1"/>
  <c r="S14" i="1"/>
  <c r="O14" i="1"/>
  <c r="N14" i="1"/>
  <c r="M14" i="1"/>
  <c r="AA13" i="1"/>
  <c r="Z13" i="1"/>
  <c r="Y13" i="1"/>
  <c r="U13" i="1"/>
  <c r="T13" i="1"/>
  <c r="S13" i="1"/>
  <c r="O13" i="1"/>
  <c r="N13" i="1"/>
  <c r="M13" i="1"/>
  <c r="AA12" i="1"/>
  <c r="Z12" i="1"/>
  <c r="Y12" i="1"/>
  <c r="U12" i="1"/>
  <c r="T12" i="1"/>
  <c r="S12" i="1"/>
  <c r="O12" i="1"/>
  <c r="N12" i="1"/>
  <c r="M12" i="1"/>
  <c r="AA11" i="1"/>
  <c r="Z11" i="1"/>
  <c r="Y11" i="1"/>
  <c r="U11" i="1"/>
  <c r="T11" i="1"/>
  <c r="S11" i="1"/>
  <c r="O11" i="1"/>
  <c r="N11" i="1"/>
  <c r="M11" i="1"/>
  <c r="AA10" i="1"/>
  <c r="Z10" i="1"/>
  <c r="Y10" i="1"/>
  <c r="U10" i="1"/>
  <c r="T10" i="1"/>
  <c r="S10" i="1"/>
  <c r="O10" i="1"/>
  <c r="N10" i="1"/>
  <c r="M10" i="1"/>
  <c r="AA9" i="1"/>
  <c r="Z9" i="1"/>
  <c r="Y9" i="1"/>
  <c r="U9" i="1"/>
  <c r="T9" i="1"/>
  <c r="S9" i="1"/>
  <c r="O9" i="1"/>
  <c r="N9" i="1"/>
  <c r="M9" i="1"/>
  <c r="AA8" i="1"/>
  <c r="Z8" i="1"/>
  <c r="Y8" i="1"/>
  <c r="U8" i="1"/>
  <c r="T8" i="1"/>
  <c r="S8" i="1"/>
  <c r="O8" i="1"/>
  <c r="N8" i="1"/>
  <c r="M8" i="1"/>
  <c r="U9" i="2" l="1"/>
  <c r="U8" i="2" s="1"/>
  <c r="Y9" i="2"/>
  <c r="Y8" i="2" s="1"/>
  <c r="Y33" i="2" s="1"/>
  <c r="Z9" i="2"/>
  <c r="Z8" i="2" s="1"/>
  <c r="Z33" i="2" s="1"/>
  <c r="AA26" i="2"/>
  <c r="AA25" i="2" s="1"/>
  <c r="AA24" i="2" s="1"/>
  <c r="AA23" i="2" s="1"/>
  <c r="AA22" i="2" s="1"/>
  <c r="AA21" i="2" s="1"/>
  <c r="AA9" i="2" s="1"/>
  <c r="AA8" i="2" s="1"/>
  <c r="AA33" i="2" l="1"/>
</calcChain>
</file>

<file path=xl/sharedStrings.xml><?xml version="1.0" encoding="utf-8"?>
<sst xmlns="http://schemas.openxmlformats.org/spreadsheetml/2006/main" count="442" uniqueCount="193">
  <si>
    <t>Указать название организации (на бланке организации)</t>
  </si>
  <si>
    <t>{"estimateId":5139651,"estimateVersionId":7054311}</t>
  </si>
  <si>
    <t>1</t>
  </si>
  <si>
    <t>PClgwT1rheeuWCcWui98hyCvW6hJhXIlFp9fClrn+IlPKXjAncxo9a2VoZHiflOiESlmbZyDV2BlaM6dPOTpCjwmBZihC0YHM0UUNrVUVEdsAYNGjPG9d25S0w91/tLUX588YLUVdfnWeTOAc97Bqt86afCfskKDdXUTc2fHd+c=</t>
  </si>
  <si>
    <t>ТЕХНИКО-КОММЕРЧЕСКОЕ ПРЕДЛОЖЕНИЕ (ТКП)</t>
  </si>
  <si>
    <t>г. Москва, Волоколамское ш., Покровское, вл. 71/14, СОШ 1, 850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</si>
  <si>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</si>
  <si>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</si>
  <si>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</si>
  <si>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</si>
  <si>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VXXtzG8eR/ypbrHKVbGFx+5rFLqr8B0U9TFkkaIF0QoapFAgsbFb4UEjKzqNcpYcdOyef3050smWZti/On7IkWpQoUVX3Ae4WX+E+yfXMLkgQ6FnMDDi7shITwGIB/H49Pd09Mz09fxnb+tOlaKw6ttq4NFYae6uxcjmaZVfWLq+slMaiPzajleTC2Gb3Bnj+l8Wx5vrq6vra4lj1N/CCfgs8PbxaWjz8ssX02xYPv47du3l4G3sdfx8/ju/GD+O7nWudD434KXtxD/4+jXfjHSPe71yJ76cv6V1/hcdd4wS90Yh/ivfYW4+5d77Ifq+5vr7RWl5rbCU/Om6zq9Hm1vIqXLu4/vZkqwfw2tby1p/OXV7uXnundJTtWnv5DTW2f1lcPPxZ+E14VSW2G/rELvW+9Xq0sbm8vpbeUbGI59r2OxiV06NQAQVQ44EhOTsKks3lNxQVCINyZhQoI2nzd/GX8X/Ft+Ob8a34G5P+ib+G/30Zfxv/CH+32ZUvjfgOXPgy/iL+Cl7+HZ7RT3wJWv0d3HAH11mnOucURet+2QAW+52r0NOgb5aM+LN4H/rePrzeZ33wCXtvH/ph54NyiRKE96BD7sf3uu/A1XvxXtmo2KDV/2Z78Hob6P/LsEtGQCwjfhLvdK52rqHs3eqcWxT77c41wL8L+PYpvs6HJaNzvWu2wNyAKep8DOSM+Bkw3okfMMn8DM+oKdplvB/He52POu/D/Tuda/RekMpO/BP7HH1KLd8OfOqnznvw9wH9tc4NejmxjFfY3xtGYvbuwVvPmOCfpj8CN3Yv7IMR3DeYyJ/AxT244zH8wl2DfglYzH34oqsGaNwX8bbhOC+g4vaqc15R4r6TCnEHRPZhKlwq96NtkAh7n9n6e1Rk7JZ7R3hCh7oDOgadDe1S50m1Ropi+XX8gwnYvgND8E38nwb8gf9hKGdI9WJRKMOKZTu2E/gVDFmdVOeKQgb6u88MxhVQBGpP4C+myKQ6XikK4i2qltRUPKQm0gATvx1/i6E8RaqnCkN5G3oL7Vc7zHb0RF49lgcDPUGqE4WBvsVan4GGXn8XUO7Gj5gNzBDzaVI9/RwiBtN1pfMx/H0fLoFXwaCfIdUzhUH/Mn4A/p8a2idlDNxZUj1bGDiQa+c/Ou+WmaJeTb0nKsNzpHquSJjxnkk9lRF/ihv6V0j1lcLwfQORx99AOXeSyCGBiqGcJNXJwlD+k1kpiD+hx1yPfyoPDWTO+9VX/aLQfk1NJ3VR0HfuQjBzg/qpxcU1GubR0SpQeNBrclEChcl6G/B/yyL527g5fbUwaNJqcMGvXigMLTZ8EMQ95Venf9HqO1Wc1Iep73Rh0BJbiw9rSiBgUe2o+dVaYSSk++CMX33tF63LM4XJeqguv1YYNGk1uOhXLxaGdgRTXPers79o9a0XJ/Vh6jtbGLTjMsVzfnVuFBJb61uNlQEOi2NrjdUo+Vp1Hj0TYuLqftodZbqVR+fS5qWNWfreFHzlxnJj5cwfLi9fWoVvQ0i2+0i+XJ+bOjEVoFN5U3rh1lc3ZtY2RDFO4xin9WKc2VhuYroyABFkdbKLpT+i0AJxa6QWr+PSrOuDKtfaszi+WX34hFsaZHRyFm/pOS3w3lxutaK10Xr4PC7Ped2A5Vp9AUe5oBulcNuDvE4u4G0/Pj4SypEc7i0WpOzFu513k9lOtky/f7iKtptMQLFJ0vgx/O1eh0vvsjX+J8mHOh+j3FyvOud6RdH7BMN0yiVF4bmdCvv9ZEr/bhIidq7CpSuHASMuyoniYD+I7xonXnjRYAs7T+mSKQbwdGEAMTSvuAQ0ryhE8ae45hU2ZPmcxptMxZ4eXbLdZS+ux8/gGbv4uCdATRey6aLZPbYITBdN9pJF7s5HuJYWRpFq6TANLQocrqEwSikMUfwZrqGjDJtGwsPVUKZ3bBxF7WWqpT+liWZpQkvneucjg6abMd2l3gr00ziRaHiSxta1u7u9dvcuGjZMFCcFUOITXXLDDW5RMHF1roA6F4Uo/hxX56AoPNvMoz82qIE9mh1Ew6euXtOUiWs0SeYae+8Bm1RCl0sniqPCEsHKuAYWBQrXwAA0sChE8Re4BoZF4fm81xrGj+DxRvyITkglikkM6sk5ySTFoRbx4kWBw5UuBKUrCtEZVOc8qyA48c3BYaFBcyyesWzVHZbT8DRxwjS58t9ZNiQ1gOD0QD3BR3fb3uheeJElbO4n+YWgvTfSkJQa0IcQmO51PmQZPDQ8eDLwS5yxVHES4tGkywc0UyZb9QvDjaq+Z1XnCkMU/x3X/cKSzT8DvX4A6tk7v88yfpNBPZ3p3+mmET9GsoYhYAX1vg4f7clCY1b7CesvnYH9FHADvIUreGFiuEfF0CMEk0XfSEojruBF4cYV3AYFLwpR/A9cwQvbdoCP0FiG3zMW5qabhug0wX123z7NB75npMEunUBM9gvF/6Av4L+HWVmWE8VRFbDERWHDFdUBRS0KUXwTV1S3KDx906zbNKkfV7DCILIpVWbuaRby3aFD/cKQ4urmgroVhSi+haubVxSebyA2vdG51rujB6KAqwYYzFs0zeImPHCmoti4n85e/Q0uvdfdRJMExWBAzZ6dTcy2vpDYUvYVQ3ZVThQnkJ7Qnqq1MRAT0KsvYCEQGq2fLowJrvx0N1ZRiOKvcOUnReHpUf4BvexGBzQtCuJYquBME6hq9+4Lo5/ojtz2WKiQ7HlxTNdgkURiLY92hXT0xNSHJsoT42BX3w7VLPprvWNM+psUEutnD/viD3iT04kKE2xfJ+qHzK4x2eBdpijceJch0GWKQhR/jXeZwlZefmTBcrKMdhhJ96y63QUtTh0C243KtpAyS0rbfvCz2DgzWaZ/AD3iY9TQKs1BFyeznl0wVPGzN8WcLgwnrv0+aH9RiOLbuPYXtlDzRTJXlziM++n685VDl9HdKZ3MEnBmNwpD/wDsLVVAiNpTC3wf18CiEOIaWAENLAoRPvY65RW2UPNNkqWdGXpkBR77PZ8/wUINsLlgmSGOfzHd9PqAqS+bu6MzvNc777G5u70kbTwtwfDIYGOF95n9TY057QEUkmPZHlUweCTpo59C4gQqhYmTgTIPx7KHkcmwiyDaJP8ZBLoTP0xzoFF+pwvjR1vAXFxcoy2QPlZMvJcF0MuKghnfwXtZUStT8Tbo+yPaw4QMelEwQRmvsgUYzhzk6cKQ4SoWgooVhYhXLaGwFaDPWcDKwtWkOAlb4Qbju8uCCzbq61wxqkb8Qzm+WY6/KffUZUlC585HpSTw3SuXjMhcbSyvoApaGElUDYhVnSsMUbyNq0Fh6yR0M39vgjIte8Tm2P4a7x9L2xfFDG97G9q+KETxd3jbF7b0QKsTsbVFVswpLZXy2Egqd6Vj3MOBbaImeCMXRQFvZAcaWRLRb9n3tKKZxtabcA3w+UtNZ2mpYZmR1yamF1htMwgqbbPhuVbDJZ7dajWSOzfW306ehMnDAbNoJTrYLdJLTXgvnA397rN0jLffnbagjbSLXDd7UpL7bqe12tCk6vGgOikedIkK5R34oO0KC+MYdtKF+E46TdQ8eWpyO3KmcT7TmvgQeT7Ce3conRpOp6aJjng3HHE3H06rroeWY8nRktO4WZzLrCYuthwXKW2bw6nMaaBCufiLR51AP7XNqLm1jPg3cAKXV5cirIUG3YCNMRrHxzKubVuWZwdOP63E9YL0hRFSj/i7S8wlDgXpYxBPKULs78IZQhTzpDRppr/25IGn3E0CWQhqk7qL6Lz4RFidVGQz4Av5dI7BF9pWacqxcYeoSqDf4wkQkLM/04B6moN6WhU1kUctZWlqALrGAV1TBS2u+iN6LwBf54CvK4If8FFDwMvpyCwgnuUgnlVFLG6uFTwRAJ7jAJ5TAdxjvTX7G47HsfF5ky5qlytmYZBSLqfsYChPqaIU73qiXoeVi2GzuOBonnWus+LF3Ql7ulrNSgPD+/jMrm1VJ1XJ5Ox0OA5HGX0OHofjbZQhE3nIUuakxkFcU0YsrvCj+hqOn1FFrtvRcJyMMlxxI63iZTgeRgltni6G52TwCdoubo8rZWGYkk6G52YUcYr3Okk3Q9NjH8QPWQbTU7ZGTid2uyvjR53QCdQLoYo0YdvghhTJ5uyGHI4bUkWfgxvCIU8rQybykKXsTY2DuKaMWLxDjOqGcOR1VeS63RAOd1YZrrghV3FDONo5JbQUbtr3cnBDPEeELyJ1kROunIWBSjuisochPaWKVLznibqiz+Kn4GGusRyCp+maIvNAdP3whpHkte+k+YssEQy8D3f844DjUaSWs+NxOY5HFX0OjgeHPK0MmchDlrIwNQ7imjJicfUf1fHgyOuqyHU7HhzurDJccdOt4nhwtHNKaPMd//Bdj5uJ3edKWhiqguvhjYMUsYr3PlHn8/3Bks6j7lIO5m7248cYkQnbBXejSCZnd+Nx3I0q+hzcDQ55WhkykYcsZVdqHMQ1ZcTiCj+qu8GR11WR63Y3ONxZZbjiBlvF3eBo55TQ5j3O4TscLxN9hStrYbBKDoc33lFEK94Dj9/lGOn2lM4HMCiip2je7ab3P+lcZyOlbgnhR2z3O75becL2wEkp0s/ZSRGOk1JFn4OTwiFPK0Mm8pClrFGNg7imjFi8i4zqpHDkdVXkup0UDndWGa64mVdxUjjaOSW0TC8StNTc/ybLWb29vvF7hIKap+L5KpJJIuSKXAyroqMCuJzxkSLcfmPNE60GT8WOZk73tsd7ac2VnXTr5RODeaor7O/VgzLXV5Pcc7b6tGO8uta43E723cfbpm076fNPHNN2SuyRJA8OwaQ2oSq1fifBbeRVaq1+t7wpopXxZ50b8X224fLnmJ17DVRZJf+H7AzMdOfqkbKMIKdTk1P04PR/YgRPqxIkUgRFyOGakWzSZbHKPtv98zNr9KQWSXdK13BMVmCB3fiMJVUmW4Xozt4PkjngZCNvt2ICXWlkOkTrnNENaMkhP4/Y+mSyVHni4plJ32K1K/tqL3QLoVBt22fw7qWNcY1VR9llv58USOuWM2Fz0PQHf4Co6tP4e3rgOz2j/mZ8hzbc1/GP8bYRf8t+/Sr7jv979++EHezuOKYVmI7luPSV7ZpOosRfmI7n+2zt1HCcshWU6T3x/TLW0GdUG9oXa+jVqLF5eUPIBDxBDdRZVYAVMYDRHy9Fa5sYwLU+gHbZsiwM4jlViIEYxLfWVy4LWVEM3Cuq4PpDLQ445v4FpFex3XJaWKwP4aQqQrs/puJApMErC1BEwsGBVrdtr2yhqnleGbhgXHIAnBsNDqANQ6qmGNpXldEKRiYHaBGcA3EgyO7kxdrc9OkTgKtk4KuzF5QhC0YnUuPIAY0OvUqFlJ0Qgz6lDF0wRBg+iBzQDc+xPDcs22gvnFYGTCQBC+sIyPBkF9bACFIVraDfuqRqL1w7JOX0XKQ+0DPKoAV92SUpW+GEgV8mqK14TRmpoEu7JKoDMwd24jW+nbioDFfGyalog+NUQp/YZQ91IHVV3AOzCVm4xRXCdi2fBOUKqhOzymAFvZ3kRAIoxixuHOaUkLKALPBCP/A8sxFElumFbmQ22mHbbERt2yZRw7KiZkKGO8WwmmoJQlB1moE30eDLsRSlh01GZLCSmZDAeJzSyaM/DshqHcGZijts6JkWIH7Sf17wQWE+3iw7HZOz+XPjRFLsj47GSwYMR5+x76LX2Pw7DDCTMf3TTlKa+3FyX+c6u/oM3n/Q+Yglyu7R2lW7bBRbfjGdyqC/uEunSpJRMZ2275kXSW5yDFYba58d5QDflFbWYL/FyXnS2FZEvK3Epw8wFmd0suiPLzJYSIyNu5WW9pL5G4zVWZ2s+gOQDFYSA2qMxjmdNPqjkwwaIw66NZLoj1kySBzH4Fwjk4EBfAaVkQbxQVgOUHrntdKT8D5SI9GBYCiJkJO/QInGyS9NJo8Y6ymtrCUsoPIoi9ugM1qpyXY9EWqZjTkzvDHr2hizkLjVsNyo1WybS14rND2LBGYYVlwzaJB222pYFauVSiXXkBgdT43beCXUDFGI0cs9JNbIQ8IoyYXE9JxpiER/l553cZctqtADOSEeTspex4/oexXykme9ZJV8i75y4yeYCCZ0ioCIi0A80jwqBSP+Kt6mtcrogs4dY86wiWX6rmmXSLI8xeoausRiOTVP48dOhcT3kwLEjnHhZdeyLFaKGJHNGZ2ykbDeEvErXSa7XzZwPmd18tESuVrlACNyTieR/GJXjSRkHahAW5CKVa6kp3YMBK8aqeQWvPo+Z0XnvFZ6En7iOIPXShrvVPjBq07WEuZPOXglrlsOKxi3Ga3cZDufCLch0evQ1qxrY8yi14iEpBG0InjTgnvtZghBrmWbYVSpNJxK5EV2azH/6BUduozbeBG4DFGI0cs9etXIQ8IqqUWv6WksSd4PrT2bTJ4mlyF0JSx0TedPPXwBYkKnBIi4BI4peI23WfQK/xeOXp2s6FWjcCTM9/FFrxr5aIleHXxB6ZxOIvlFrxpJyDpQgbawvZDm53HmXjVyyS18Df2y72P0zmulJ+EojjN8DdKAJ+CHrzpZS9i/EcLXsGxxwled3GR7nwi3IeHr0Nasa2OchK++1Wq4tmsSx2uanmd55pJPP+VaxIZ/laWwiMlXDxPFuB1Ki0KIXu7hq0YeElZJNHz9nOa2s4zze+wE+sHCwSyE3UlOEtylFYbTIJdOzUIkdz9NbU/S3NkGv10sAZ6+wz5nOyXykg0h3ksOwWcmJnTKkIjLUCIAvhXfjj+Jv49/oBzH4m2aYsFSOPaSnSP0Ks3c+Cz+igmAH95qpC5h3iXCW17ivUYiWuJaTgmIczqJ5BfXaiQh61kF2sIJIe7zLDTwm9TJJbe41nYr5UqI8TuvlZ+ECznOwDZMQ6GQH9jqZC1h+ZQDW9dxOTPtM1q5yXY/EW5DAtuhrVnXxjg5l8KywoDYkWm3bc/0iNsyl5xW02w0G2GTNMN2GKSBbK6BLcFEMe5kl6pFRCFGL+/AVicPCaskGtjeScLVZLPv7uFxgCxBlabK0uTWj9NYNtnRO7m2eXmlQTeqG+N/uNzY3ILnvzdm64aF78iY0CkSIi4SiTj1O4jpnzEh7MYP6ebTzsd0Epam8B6GsPFNiPnpYaw0X/RR54P4qXHif6++bBOaBJzO0/73/dKRfa/dTbXvxz0H1rKt1vQo2yswhLhHX7OkZ3Y4IzxNvvAOTUz+n72XrRKImZ79dS39hbvx9ouGSSePDW64rLMFJJyGTLiMTtad1UlES7hslS2CB8w6qeQWMOskIeuxBVoDokn4dYzJpE4muYXLru9VygGex6CVoIRnOsZ42bGSCCt5xFhPaWUtYfrU42V+k85oJSfb/UTIZQfMw5uzro0x/PvtO+xf6SDO4kbFx1SODU+vdewsiqHVT1F3GTbUEZ9SRdmvVaOXX/um5/QCuncrmUulEduVdE6WRbQ/sQjrRimJrHo3dO2z9+h2rwdJ1JvUC8FoTzh2dVKVer6l1xyeQVRF78mjl6uvNc2BPK0MmchDFt8aS0uvcRDXlBGLdw91m8tKr3GQ11WRay69xoE7qwxX3KRL7pimpdc4aOeU0DK9WMzHIXE2QTtOJm6bK2VhmJIuCcd5ShWneK9TckpsRB//zNK+WPGqZ2yj6U7nb2ltqkcYmwnHAV+jyChnX8M5+kAZfQ6+hnP0gTJkIg9ZyqjUOIhryojFtX5UX8M5+kAVuW5fwzn6QBmuuLVW8TWcow+U0PbMqObga3jexs1E7nDlLAxU2tvgaxanVJGK9zxFf7Md34o/xSBPOC44FUXYOTsVzgEHyuhzcCqcAw6UIRN5yFLWo8ZBXFNGLK7aozoVzgEHqsh1OxXOAQfKcMXNsopT4RxwoIS2xzbn4lR4bsXLxJ77wdXMrXDqRatiFe99oo5lu3tuG4ZzwvHAmyhizdmbcE4iUEafgzfhnESgDJnIQ5YyGzUO4poyYnF9HtWbcE4iUEWu25twTiJQhituj1W8CeckAiW0+U6HZfkTkok+9zOqU3/CmxpTRCveA0U9yo8sxejpYSp9z+pMWkSfVY+nt3Xe68mT6Racx/hNOAQ8kSLHnD2RX5pyLY43UmWQgzfyS9Mc2NPKsIk8bCnTUwPUNQ7qmjJq8T4xqlfyS3UO+roqet2eyS/NciDPKkMWt+8q3skvzXEQzykhppDTBCzaLbWflXPgpniOys8kIXyQ6LGclXPgpcoB52A3Vbj9RnzEs3LusOKu99kJI/vdw9pwx5RMt/XUNKCnoiSbv1gR2pIB3/Z5fCetZ8DL0pxQZd5v/I/lvBsM4WlVhEQKoQC6+F+0ki894qVbydeAGOIuS9alecsfY/DPqML3xeDLpLei4/6zqgAFS9eLp63yj2FRhdifkqrlGBZVcP0efcRjWGzXdznHE0yqQszlHBbildMpvj7Y55VhC3q8A9jChfR9ukMe1dFXlcEKurwDsAjMgSADRNc9hMXh1he9oAxZ0O1JDVz6RV1xQ1pNC9WMKWXkgm5r+IClH25Qse0KaLKP4Z1Wxksk8QprCIjw5DSOtqaMVtBnKeclc03FjDJkQS8mdwBLSALe+SvKQAV9mfj5Kwcm4jW+ibioDFfGu6moQpZ5qKui1nP6Cj18peLbZTfEwM4qgxX0cpLDU1CLWdwuzCkhpVCbJGqFVhCaSxEhprcUBWbQWnJNq+0EfsNpLS01SEKGO2hdbRzPptCegStv6JpZt3CQpSg9bHibwUpmiIvxOKWTR38AkNU6gmPff/Ufk2LAQPigAErPhtAkj55eSF9/T/MZaYU7tl3yykE+PdtFms7u3olvxrdMVvvuk/h2/AX8/Tb+rmS4Fts3ichvQqf8iLj8xMenGIszOln0u/sMFhLDVE57nNXJRMs2TE4G1zmdRPLbhKmRRH/skEFCdHTsWB4pW6jBn9RJJbddmLbDGXuc10pPwhFIjQYH4pKjezDT6sMOv5a0VtYShk95rMNt0Bmt1GT7ngi1zMacGd6YdW2MWXTqBVY7bHq+6QXENb1KZJuNpmuZrme1Kk7Utjw37cW5RqfobO24k1mWEBOFGL3co1ONPCSMkmh0+j1dlWHFOR6zswF79no+Ss5FYTXlIAqlhwIeiULpLexUd/IS/D/r+I8JnUIh4kIZNeTUyELC8oqHnJ0POAfv6WSiJeS08J3T53QSyS/k1EhC1u0JtIVn0bUC1IpP6qSSW8hZ8couSu+8VnoS1v04Q860YrDDr/+slbWE4VMOObkNOqOVmmzfE6E2JOQc2ph1bYyTKnntwPLbLctsO1bb9Jp+COFpGJrNKPIs3203LC/1D7mGnKjzGHdCWVGI0cs95NTIQ8IoiYacn/efEW3Ql/Fumgx0NTmqo3sE9FfxJ2x282b8Nfx3O50rvTBjEtuIP8HkMaFTHkRcHqNGmxpZSBhd8WiTP8GpkYmmaBM/JeecTib5hZsaSci6PIHGcCyvTHgznBqp5BZuhlbZQcvonddKT8KyH2e4mdbxdfhVmbWylrB8yuEmt0FntFKT7Xsi1IaEm0Mbs66NMY03s8LI400Gx+cs3cwCemGln1zByeCqcPstxS8vGVyVuSfG/BiSwVUREimEAuiQZHB2yB5NRfggST3ACJxRJSCYWicRhnLSwVUB9keYGtPBVSEKptCNFjaqgpNJmBORXkY6uCrEXNLBXZuT1XdeGbagzzvWdHBlsIJOTy4d3LW66eAut87tBWXIgo5PKjwemE13CWiGRzDkU8rIBR3XcaeDK+MlkniFNQREeLILqw9tTRmtoM9SHkBwTcWMMmRBL3Zs6eDKQAV9mXg6+IGJeI1vIi4qw5XxbiqqkGUe6qqoC0kHVwYr6OUk08FBLWZxuzCnhPS5Xf3g1aF1bTmWovTyXv3QyUNijkx09Kt99UOnPIi4PMRHnBiLMzpZSMwBSgw7easfOpnku/qhk0luqx86ScjOwAo0Rtbqh04qz8Hqh1Z6EpZdaniXvfrh2smEefKIsZ7SylrC8ikPXvirH1qpyfY9EWrZqx/DG7OujfHzu/vQ4a2VOLKiEKOXe7ipkYeEURINN5+73Yc65UfE5TdqeKqRhYSRPo7wVCMTLeEpb/ehTiL5RacaSch6SIG2yNp9qJNKbtEpf/ehVnoSjuA4o1MnDWgcfnSqk7WE4VOOTvm7D7VSk+17ItSGRKdDG7OujfHh+Y9JoPrmcqsVrU1A6DXDIi8qCn+p6cDtlhl5bfiqAKLdIKi0zYbnWg2XeHar1Vg8GrzSApJHpBitRAeyOSrE5BfV+wUtZjkfomKbxxPo6STwoMDEWLIYtl/7hcjJFRRdwBktaGLU7/6FGInP4AOh8XGc0fi4Bko9sRlfJfnVVI9FJW2rNO/YuF5mZtoFTj/vg/WVfsUToiCpeIB7gYN7QRV3v3oJ4ZZUL8A9Ps4BDsqngLxnvFqcFnE0yM5c+Ar4Fe9zUSGO+iiDzkV/eKqjhPq50B08mJi3M6e6An496lx0Bwe9oAw6F93BQVOlUkBNYXtF6w5+vN68nRmIBqRY3cFBLyiDzkV3cNBUqRRQPxd2Bz9Fa952MwkNbDDIV3dw0AvKoHPRHRw0VSoF1M+F3cHPzJmnaZIZhPgpSbnoDg56QRl0LrqDg6ZKpYCaTZ2kKrPYd/iD07/ow0kLS7gITwByJlVmbJIsi9hl7nzK62naBI9jyG0ZwTzjHiriupTmPgrg/5Uyfk8avzjyiwLIf62MnMggV7dCCZW6AJV5ZSr9Nmk4FVklmhXAv6CMv988DccvrEkg1JNdYIOWSQUwRRwEXugHnmc2gsgyvdCNzEY7bJuNqG3bJGpYVtRc7HN8EivVx2O4uuYrqYQNjZdpwHw5UYjKAO1qQ6mP3t38oeo6r40yU5FWw3KjVrNtLnmt0PQsEphhWHHNoEHabathVaxW+NyoSEVIRSqy8hKTQVEqUhFQEV2UmYpEJCSNoBXBmxbcazdD0CTLNsOoUmk4lciL7NZzoyKBkIpkVhjC5CUmg6JUJBBQEV2UExXxrVbDtV2TOF7T9DzLM5d8+inXIjb8qyyFz48VCYVUJHvmHJOXkAyKUpFQQEV0UU7WpSwrDIgdmXbb9kyPuC1zyWk1zUazETZJM2yHgf28qIhjiaiIkz1BjshLTAYFqYhjDVcRbZQP1+NLB0mGhU3GODz22bmyVj/7XCdjOKAXlEHnMRnDAU0XNBVQ90zGFKc7nAUEJzuTxS5WdzgLCMqgc9Ed3gKCEmoKmxStO5wFBCdzVjt0itUdzgKCMuhcdIe3gKCE+nlYfHI4Cwh05jODULEJExzQC8qgc9Ed3gKCEurnwmf5pXnOkdjzSkdi56Y/fmmBA3xBGXguOuSXxsc5yKmGKUBn870JdNDDQleinOGzmq8rHWhHmyeHlSgB/L9Sxu9J4xdHflEA+a+VkRMZ5OomqTscHU5lXplKv3EaTkVWiWYF8C8o49e5EuX4J7vABi2TCmCKWCwt/6gXLGz2R2iZQdvBSFhXG0p99O4msMygjbLqWVDFqYjQMoO2gwwKUhGBZQZtlFWrFxWnIkLLDNqKDxekIgLLDNoo99dbzjnqdYfPn7+uVLerlE/UK4D/V8r4PWn84sgvCiD/tTLy/k40PNQaQYnqAlTmlankEPUK4F9Qxq8z6nWtk11gA1GvEuBfmr9Ka8QM8VfaysVgXW0o9dG7mz1UXee1Uf7FDYzSjdrDVCR7+UV9z3ZBKuIIqIguyke2qb8zVur55bHq2Fkbrhz50cT2lHp+rXtlc+tPK9EmCG+svb62RR+b6yvrG/RJY+ONJfptZ52zxAsqIGhWuwcuzS6vRpvGdPS2cXF9tbEGv7a5/Gd4w3ZKY5fXWtHGyvIavW9tHR7gY42V5TfWqHzp1765vrH8Z/itxgrcsRK1t+Djb0UbW8tNdqUJt0UbcO3tjcal2eiP8JmtjcsRfMsSUIw2GNal9a2t9dXkGb1Ypyy6P1hCKFjsH90JPdZabryxvkZ/S+XTDLDSJzeW33hT8aNb65dUPgifbC+vMKL0kao03LC5vgLNT3WhNcH9LFWMxsbW4A1dXaDKwMpsnV3fADVLFIg+o7US4M5z0Vq0AUKG+y5trG8lc+X0rpX15u8jUL/u5YhiSfokXFxeexN65BYF///V+xyK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</si>
  <si>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</si>
  <si>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</si>
  <si>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</si>
  <si>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</si>
  <si>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</si>
  <si>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</si>
  <si>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</si>
  <si>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</si>
  <si>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</si>
  <si>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</si>
  <si>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</si>
  <si>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</si>
  <si>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</si>
  <si>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</si>
  <si>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</si>
  <si>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</si>
  <si>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</si>
  <si>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</si>
  <si>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</si>
  <si>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</si>
  <si>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</si>
  <si>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</si>
  <si>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</si>
  <si>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</si>
  <si>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</si>
  <si>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</si>
  <si>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</si>
  <si>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</si>
  <si>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</si>
  <si>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</si>
  <si>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</si>
  <si>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</si>
  <si>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</si>
  <si>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</si>
  <si>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</si>
  <si>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</si>
  <si>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</si>
  <si>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</si>
  <si>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</si>
  <si>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</si>
  <si>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</si>
  <si>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</si>
  <si>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6.2.2.4.2.4.1.2</t>
  </si>
  <si>
    <t>Устройство перегородок на металлическом каркасе по системе Knauf / С-112 / А2-12, А2-5, А2-25</t>
  </si>
  <si>
    <t>Выгружается из БО по объектам BIM-КЦ</t>
  </si>
  <si>
    <t>Устройство противопожарных стен 2-го типа с повышенным пределом огнестойкости (REI60), выполненных в соответствии с Заключением ФГБУ ВНИИПО МЧС России №51/22-08-2023/13-2/ Д-2466 от 22.08.2023г.</t>
  </si>
  <si>
    <t>м2</t>
  </si>
  <si>
    <t>427deeed-3690-473f-b3f7-a7ed159357bd</t>
  </si>
  <si>
    <t>8f42627a-0af6-49ae-b8d1-a33d282c6df7</t>
  </si>
  <si>
    <t>0ed13e26-7903-4b3b-80e2-92ed86dbdc43</t>
  </si>
  <si>
    <t>1.1.1.1.1.1.1.1.1</t>
  </si>
  <si>
    <t>Прочие материалы для перегородок из ГКЛ (лента, шпатлевка, грунтовка, шуруп, дюбель и пр.) / одинарный каркас / 2 слоя облицовки</t>
  </si>
  <si>
    <t>комплект</t>
  </si>
  <si>
    <t>311004189.1521774</t>
  </si>
  <si>
    <t>23798066.1521774</t>
  </si>
  <si>
    <t>88496844-a8e0-493e-af9f-aef115ea00ec</t>
  </si>
  <si>
    <t>1.1.1.1.1.1.1.1.2</t>
  </si>
  <si>
    <t>Профиль_/направляющий/75*40*0,60/3м</t>
  </si>
  <si>
    <t>Профиль ЛСТК ВП U 150-63-1,5 сталь350цинк275г/м2 L=3000мм</t>
  </si>
  <si>
    <t>пог. м</t>
  </si>
  <si>
    <t>311004189.54563</t>
  </si>
  <si>
    <t>23798066.54563</t>
  </si>
  <si>
    <t>da03edcf-b4d9-4058-9973-8a5ff0a070d9</t>
  </si>
  <si>
    <t>1.1.1.1.1.1.1.1.3</t>
  </si>
  <si>
    <t>Профиль_ / стоечный  / 75*50*0,6 / 2415</t>
  </si>
  <si>
    <t>Профиль ЛСТК ВП С 150-50-1,5 сталь350цинк275г/м2 L=3200мм</t>
  </si>
  <si>
    <t>311004189.720773</t>
  </si>
  <si>
    <t>23798066.720773</t>
  </si>
  <si>
    <t>e595a8de-8a09-41c9-ae01-9e77a27e4e1d</t>
  </si>
  <si>
    <t>1.1.1.1.1.1.1.1.4</t>
  </si>
  <si>
    <t>Гипсовые строительные плиты_ / влагостойкий и огнестойкий / 12,5*1200*2500</t>
  </si>
  <si>
    <t>КНАУФ "Суперлист" ГВЛ 12,5мм</t>
  </si>
  <si>
    <t>311004189.54552</t>
  </si>
  <si>
    <t>23798066.54552</t>
  </si>
  <si>
    <t>e60da313-524c-4404-b609-430511117b99</t>
  </si>
  <si>
    <t>1.1.1.1.1.1.1.1.5</t>
  </si>
  <si>
    <t>Плита минераловатная_ / Knauf Insulation Aquastatik TS 034</t>
  </si>
  <si>
    <t>Теплоизоляция КНАУФ Инсулейшн (ρ=15 кг/м³, предел прочности на отрыв не менее 15 кПа, λ=0,034 Вт/м°С) - 150 мм</t>
  </si>
  <si>
    <t>м3</t>
  </si>
  <si>
    <t>311004189.1998595</t>
  </si>
  <si>
    <t>23798066.1998595</t>
  </si>
  <si>
    <t>6009851e-1f14-453d-b2dc-aca9c5c9f981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</si>
  <si>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</si>
  <si>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</si>
  <si>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</si>
  <si>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</si>
  <si>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</si>
  <si>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</si>
  <si>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</si>
  <si>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</si>
  <si>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</si>
  <si>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</si>
  <si>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6.3.1.5.2</t>
  </si>
  <si>
    <t>Стены</t>
  </si>
  <si>
    <t>1.1.2.1.1.1.1</t>
  </si>
  <si>
    <t>6.3.1.5.2.1</t>
  </si>
  <si>
    <t>Черновые работы по поверхности стен</t>
  </si>
  <si>
    <t>1.1.2.1.1.1.1.1</t>
  </si>
  <si>
    <t>6.3.1.5.2.1.8.4</t>
  </si>
  <si>
    <t>Подготовка поверхности СКБ / стен / ГКЛ, ПГП / 2мм</t>
  </si>
  <si>
    <t>Шпаклевка базовая</t>
  </si>
  <si>
    <t>fa1c67dc-3027-4791-83d8-da340ce63151</t>
  </si>
  <si>
    <t>207d32dd-c8b8-468d-95bb-104bba9e15df</t>
  </si>
  <si>
    <t>8a7cac49-151b-40fd-a08b-5e72f8ff4034</t>
  </si>
  <si>
    <t>1.1.2.1.1.1.1.1.1</t>
  </si>
  <si>
    <t>Шпатлевка гипсовая_ / белая / Унифицированная по ПИК-СТАНДАРТ, 30кг</t>
  </si>
  <si>
    <t>кг</t>
  </si>
  <si>
    <t>311004196.54622</t>
  </si>
  <si>
    <t>23798358.54622</t>
  </si>
  <si>
    <t>c5ed9089-be55-4be8-8db3-0f286a2dbba5</t>
  </si>
  <si>
    <t>1.1.2.1.1.1.1.1.2</t>
  </si>
  <si>
    <t>Уголок малярный_/перфорированный/25*25*3000мм</t>
  </si>
  <si>
    <t>шт</t>
  </si>
  <si>
    <t>311004196.55026</t>
  </si>
  <si>
    <t>23798358.55026</t>
  </si>
  <si>
    <t>480f9c46-4853-47e1-ac30-340d72ef0430</t>
  </si>
  <si>
    <t>1.1.2.1.1.1.1.1.3</t>
  </si>
  <si>
    <t>Грунтовка универсальный ЛАСТИМИН_ / LP-51 А</t>
  </si>
  <si>
    <t>311004196.54634</t>
  </si>
  <si>
    <t>23798358.54634</t>
  </si>
  <si>
    <t>6f806fd0-f20f-4c69-8d99-cee4063fa047</t>
  </si>
  <si>
    <t>1.1.2.1.1.1.1.2</t>
  </si>
  <si>
    <t>Шпаклевка финишная</t>
  </si>
  <si>
    <t>1.1.2.1.1.1.1.2.1</t>
  </si>
  <si>
    <t>311004197.54634</t>
  </si>
  <si>
    <t>23798359.54634</t>
  </si>
  <si>
    <t>1.1.2.1.1.1.1.2.2</t>
  </si>
  <si>
    <t>311004197.54622</t>
  </si>
  <si>
    <t>23798359.54622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</si>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</sst>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/>
  </cellStyleXfs>
  <cellXfs count="51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center" vertical="center" wrapText="1"/>
    </xf>
    <xf numFmtId="4" fontId="7" fillId="0" borderId="7" xfId="0" applyNumberFormat="1" applyFont="1" applyBorder="1" applyAlignment="1" applyProtection="1">
      <alignment horizontal="center" vertical="center"/>
    </xf>
    <xf numFmtId="0" fontId="0" fillId="4" borderId="2" xfId="0" applyFill="1" applyBorder="1" applyProtection="1"/>
    <xf numFmtId="4" fontId="7" fillId="4" borderId="7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left" vertical="center"/>
    </xf>
    <xf numFmtId="0" fontId="9" fillId="0" borderId="7" xfId="0" applyFont="1" applyBorder="1" applyAlignment="1" applyProtection="1">
      <alignment horizontal="left" vertical="center" wrapText="1"/>
    </xf>
    <xf numFmtId="0" fontId="9" fillId="0" borderId="7" xfId="0" applyFont="1" applyBorder="1" applyAlignment="1" applyProtection="1">
      <alignment horizontal="center" vertical="center" wrapText="1"/>
    </xf>
    <xf numFmtId="164" fontId="9" fillId="0" borderId="7" xfId="0" applyNumberFormat="1" applyFont="1" applyBorder="1" applyAlignment="1" applyProtection="1">
      <alignment horizontal="center" vertical="center" wrapText="1"/>
    </xf>
    <xf numFmtId="4" fontId="9" fillId="0" borderId="7" xfId="0" applyNumberFormat="1" applyFont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right" vertical="center" wrapText="1"/>
    </xf>
    <xf numFmtId="0" fontId="9" fillId="0" borderId="7" xfId="0" applyFont="1" applyBorder="1" applyAlignment="1" applyProtection="1">
      <alignment horizontal="center" vertical="center"/>
    </xf>
    <xf numFmtId="164" fontId="9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</xf>
    <xf numFmtId="4" fontId="9" fillId="0" borderId="7" xfId="0" applyNumberFormat="1" applyFont="1" applyBorder="1" applyAlignment="1" applyProtection="1">
      <alignment horizontal="center" vertical="center"/>
    </xf>
    <xf numFmtId="0" fontId="10" fillId="5" borderId="7" xfId="0" applyFont="1" applyFill="1" applyBorder="1" applyAlignment="1" applyProtection="1">
      <alignment horizontal="right" vertical="center" wrapText="1"/>
    </xf>
    <xf numFmtId="164" fontId="11" fillId="0" borderId="7" xfId="0" applyNumberFormat="1" applyFont="1" applyBorder="1" applyAlignment="1" applyProtection="1">
      <alignment horizontal="center" vertical="center"/>
    </xf>
    <xf numFmtId="0" fontId="0" fillId="3" borderId="0" xfId="0" applyFill="1" applyProtection="1"/>
    <xf numFmtId="0" fontId="12" fillId="3" borderId="7" xfId="0" applyFont="1" applyFill="1" applyBorder="1" applyAlignment="1" applyProtection="1">
      <alignment horizontal="right" vertical="center"/>
    </xf>
    <xf numFmtId="4" fontId="12" fillId="3" borderId="7" xfId="0" applyNumberFormat="1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left" vertical="center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3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center" vertical="center" wrapText="1"/>
    </xf>
    <xf numFmtId="164" fontId="9" fillId="0" borderId="7" xfId="1" applyNumberFormat="1" applyFont="1" applyBorder="1" applyAlignment="1" applyProtection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="55" zoomScaleNormal="55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0.218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11</v>
      </c>
      <c r="AD1" s="4" t="s">
        <v>12</v>
      </c>
      <c r="AE1" s="4" t="s">
        <v>13</v>
      </c>
      <c r="AF1" s="4" t="s">
        <v>14</v>
      </c>
      <c r="AG1" s="4" t="s">
        <v>15</v>
      </c>
      <c r="AH1" s="4" t="s">
        <v>16</v>
      </c>
      <c r="AI1" s="4" t="s">
        <v>17</v>
      </c>
    </row>
    <row r="2" spans="1:35" ht="30.75" customHeight="1" x14ac:dyDescent="0.3">
      <c r="A2" s="29" t="s">
        <v>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35" ht="15" customHeight="1" x14ac:dyDescent="0.3">
      <c r="A3" s="30" t="s">
        <v>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35" ht="15" customHeight="1" x14ac:dyDescent="0.3">
      <c r="A4" s="31" t="s">
        <v>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35" ht="40.799999999999997" customHeight="1" x14ac:dyDescent="0.3">
      <c r="A5" s="38" t="s">
        <v>18</v>
      </c>
      <c r="B5" s="38" t="s">
        <v>19</v>
      </c>
      <c r="C5" s="38" t="s">
        <v>20</v>
      </c>
      <c r="D5" s="38" t="s">
        <v>21</v>
      </c>
      <c r="E5" s="38" t="s">
        <v>22</v>
      </c>
      <c r="F5" s="38" t="s">
        <v>23</v>
      </c>
      <c r="G5" s="38" t="s">
        <v>24</v>
      </c>
      <c r="H5" s="38" t="s">
        <v>25</v>
      </c>
      <c r="I5" s="38" t="s">
        <v>26</v>
      </c>
      <c r="J5" s="32" t="s">
        <v>7</v>
      </c>
      <c r="K5" s="33"/>
      <c r="L5" s="33"/>
      <c r="M5" s="33"/>
      <c r="N5" s="33"/>
      <c r="O5" s="34"/>
      <c r="P5" s="35" t="s">
        <v>8</v>
      </c>
      <c r="Q5" s="36"/>
      <c r="R5" s="37"/>
      <c r="S5" s="35" t="s">
        <v>9</v>
      </c>
      <c r="T5" s="36"/>
      <c r="U5" s="37"/>
    </row>
    <row r="6" spans="1:35" ht="15.75" customHeight="1" x14ac:dyDescent="0.3">
      <c r="A6" s="39"/>
      <c r="B6" s="39"/>
      <c r="C6" s="39"/>
      <c r="D6" s="39"/>
      <c r="E6" s="39"/>
      <c r="F6" s="39"/>
      <c r="G6" s="39"/>
      <c r="H6" s="39"/>
      <c r="I6" s="39"/>
      <c r="J6" s="41" t="s">
        <v>27</v>
      </c>
      <c r="K6" s="42"/>
      <c r="L6" s="38" t="s">
        <v>27</v>
      </c>
      <c r="M6" s="41" t="s">
        <v>30</v>
      </c>
      <c r="N6" s="42"/>
      <c r="O6" s="38" t="s">
        <v>31</v>
      </c>
      <c r="P6" s="41" t="s">
        <v>27</v>
      </c>
      <c r="Q6" s="42"/>
      <c r="R6" s="38" t="s">
        <v>27</v>
      </c>
      <c r="S6" s="41" t="s">
        <v>30</v>
      </c>
      <c r="T6" s="42"/>
      <c r="U6" s="38" t="s">
        <v>31</v>
      </c>
    </row>
    <row r="7" spans="1:35" ht="31.2" customHeight="1" x14ac:dyDescent="0.3">
      <c r="A7" s="40"/>
      <c r="B7" s="40"/>
      <c r="C7" s="40"/>
      <c r="D7" s="40"/>
      <c r="E7" s="40"/>
      <c r="F7" s="40"/>
      <c r="G7" s="40"/>
      <c r="H7" s="40"/>
      <c r="I7" s="40"/>
      <c r="J7" s="5" t="s">
        <v>28</v>
      </c>
      <c r="K7" s="5" t="s">
        <v>29</v>
      </c>
      <c r="L7" s="40"/>
      <c r="M7" s="5" t="s">
        <v>28</v>
      </c>
      <c r="N7" s="5" t="s">
        <v>29</v>
      </c>
      <c r="O7" s="40"/>
      <c r="P7" s="5" t="s">
        <v>28</v>
      </c>
      <c r="Q7" s="5" t="s">
        <v>29</v>
      </c>
      <c r="R7" s="40"/>
      <c r="S7" s="5" t="s">
        <v>28</v>
      </c>
      <c r="T7" s="5" t="s">
        <v>29</v>
      </c>
      <c r="U7" s="40"/>
    </row>
    <row r="8" spans="1:35" ht="30" customHeight="1" x14ac:dyDescent="0.3">
      <c r="A8" s="43" t="s">
        <v>32</v>
      </c>
      <c r="B8" s="44"/>
      <c r="C8" s="44"/>
      <c r="D8" s="44"/>
      <c r="E8" s="44"/>
      <c r="F8" s="44"/>
      <c r="G8" s="44"/>
      <c r="H8" s="44"/>
      <c r="I8" s="45"/>
      <c r="J8" s="7"/>
      <c r="K8" s="7"/>
      <c r="L8" s="7"/>
      <c r="M8" s="8">
        <f>SUM(M9)</f>
        <v>912240.67</v>
      </c>
      <c r="N8" s="8">
        <f>SUM(N9)</f>
        <v>3162787.65</v>
      </c>
      <c r="O8" s="8">
        <f>SUM(O9)</f>
        <v>4075028.32</v>
      </c>
      <c r="P8" s="7"/>
      <c r="Q8" s="7"/>
      <c r="R8" s="7"/>
      <c r="S8" s="8">
        <f>SUM(S9)</f>
        <v>2397116.7999999998</v>
      </c>
      <c r="T8" s="8">
        <f>SUM(T9)</f>
        <v>4744181.4800000004</v>
      </c>
      <c r="U8" s="8">
        <f>SUM(U9)</f>
        <v>7141298.2800000003</v>
      </c>
      <c r="Y8" s="9">
        <f>SUM(Y9)</f>
        <v>1997597.34</v>
      </c>
      <c r="Z8" s="9">
        <f>SUM(Z9)</f>
        <v>3953484.58</v>
      </c>
      <c r="AA8" s="9">
        <f>SUM(AA9)</f>
        <v>5951081.9199999999</v>
      </c>
      <c r="AC8" s="4" t="s">
        <v>33</v>
      </c>
    </row>
    <row r="9" spans="1:35" ht="16.95" customHeight="1" x14ac:dyDescent="0.3">
      <c r="A9" s="10" t="s">
        <v>34</v>
      </c>
      <c r="B9" s="10" t="s">
        <v>35</v>
      </c>
      <c r="C9" s="46" t="s">
        <v>36</v>
      </c>
      <c r="D9" s="47"/>
      <c r="E9" s="47"/>
      <c r="F9" s="47"/>
      <c r="G9" s="47"/>
      <c r="H9" s="47"/>
      <c r="I9" s="48"/>
      <c r="M9" s="6">
        <f>SUM(M10,M21)</f>
        <v>912240.67</v>
      </c>
      <c r="N9" s="6">
        <f>SUM(N10,N21)</f>
        <v>3162787.65</v>
      </c>
      <c r="O9" s="6">
        <f>SUM(O10,O21)</f>
        <v>4075028.32</v>
      </c>
      <c r="S9" s="6">
        <f>SUM(S10,S21)</f>
        <v>2397116.7999999998</v>
      </c>
      <c r="T9" s="6">
        <f>SUM(T10,T21)</f>
        <v>4744181.4800000004</v>
      </c>
      <c r="U9" s="6">
        <f>SUM(U10,U21)</f>
        <v>7141298.2800000003</v>
      </c>
      <c r="Y9" s="9">
        <f>SUM(Y10,Y21)</f>
        <v>1997597.34</v>
      </c>
      <c r="Z9" s="9">
        <f>SUM(Z10,Z21)</f>
        <v>3953484.58</v>
      </c>
      <c r="AA9" s="9">
        <f>SUM(AA10,AA21)</f>
        <v>5951081.9199999999</v>
      </c>
      <c r="AD9" s="4">
        <v>311004182</v>
      </c>
      <c r="AE9" s="4">
        <v>21847834</v>
      </c>
    </row>
    <row r="10" spans="1:35" ht="16.95" customHeight="1" x14ac:dyDescent="0.3">
      <c r="A10" s="10" t="s">
        <v>37</v>
      </c>
      <c r="B10" s="10" t="s">
        <v>38</v>
      </c>
      <c r="C10" s="46" t="s">
        <v>39</v>
      </c>
      <c r="D10" s="47"/>
      <c r="E10" s="47"/>
      <c r="F10" s="47"/>
      <c r="G10" s="47"/>
      <c r="H10" s="47"/>
      <c r="I10" s="48"/>
      <c r="M10" s="6">
        <f t="shared" ref="M10:O14" si="0">SUM(M11)</f>
        <v>794775.29</v>
      </c>
      <c r="N10" s="6">
        <f t="shared" si="0"/>
        <v>1420439.13</v>
      </c>
      <c r="O10" s="6">
        <f t="shared" si="0"/>
        <v>2215214.42</v>
      </c>
      <c r="S10" s="6">
        <f t="shared" ref="S10:U14" si="1">SUM(S11)</f>
        <v>2279651.42</v>
      </c>
      <c r="T10" s="6">
        <f t="shared" si="1"/>
        <v>2130658.7000000002</v>
      </c>
      <c r="U10" s="6">
        <f t="shared" si="1"/>
        <v>4410310.12</v>
      </c>
      <c r="Y10" s="9">
        <f t="shared" ref="Y10:AA14" si="2">SUM(Y11)</f>
        <v>1899709.52</v>
      </c>
      <c r="Z10" s="9">
        <f t="shared" si="2"/>
        <v>1775548.92</v>
      </c>
      <c r="AA10" s="9">
        <f t="shared" si="2"/>
        <v>3675258.44</v>
      </c>
      <c r="AD10" s="4">
        <v>311004183</v>
      </c>
      <c r="AE10" s="4">
        <v>23798067</v>
      </c>
    </row>
    <row r="11" spans="1:35" ht="16.95" customHeight="1" x14ac:dyDescent="0.3">
      <c r="A11" s="10" t="s">
        <v>40</v>
      </c>
      <c r="B11" s="10" t="s">
        <v>41</v>
      </c>
      <c r="C11" s="46" t="s">
        <v>42</v>
      </c>
      <c r="D11" s="47"/>
      <c r="E11" s="47"/>
      <c r="F11" s="47"/>
      <c r="G11" s="47"/>
      <c r="H11" s="47"/>
      <c r="I11" s="48"/>
      <c r="M11" s="6">
        <f t="shared" si="0"/>
        <v>794775.29</v>
      </c>
      <c r="N11" s="6">
        <f t="shared" si="0"/>
        <v>1420439.13</v>
      </c>
      <c r="O11" s="6">
        <f t="shared" si="0"/>
        <v>2215214.42</v>
      </c>
      <c r="S11" s="6">
        <f t="shared" si="1"/>
        <v>2279651.42</v>
      </c>
      <c r="T11" s="6">
        <f t="shared" si="1"/>
        <v>2130658.7000000002</v>
      </c>
      <c r="U11" s="6">
        <f t="shared" si="1"/>
        <v>4410310.12</v>
      </c>
      <c r="Y11" s="9">
        <f t="shared" si="2"/>
        <v>1899709.52</v>
      </c>
      <c r="Z11" s="9">
        <f t="shared" si="2"/>
        <v>1775548.92</v>
      </c>
      <c r="AA11" s="9">
        <f t="shared" si="2"/>
        <v>3675258.44</v>
      </c>
      <c r="AD11" s="4">
        <v>311004184</v>
      </c>
      <c r="AE11" s="4">
        <v>23798064</v>
      </c>
    </row>
    <row r="12" spans="1:35" ht="16.95" customHeight="1" x14ac:dyDescent="0.3">
      <c r="A12" s="10" t="s">
        <v>43</v>
      </c>
      <c r="B12" s="10" t="s">
        <v>44</v>
      </c>
      <c r="C12" s="46" t="s">
        <v>45</v>
      </c>
      <c r="D12" s="47"/>
      <c r="E12" s="47"/>
      <c r="F12" s="47"/>
      <c r="G12" s="47"/>
      <c r="H12" s="47"/>
      <c r="I12" s="48"/>
      <c r="M12" s="6">
        <f t="shared" si="0"/>
        <v>794775.29</v>
      </c>
      <c r="N12" s="6">
        <f t="shared" si="0"/>
        <v>1420439.13</v>
      </c>
      <c r="O12" s="6">
        <f t="shared" si="0"/>
        <v>2215214.42</v>
      </c>
      <c r="S12" s="6">
        <f t="shared" si="1"/>
        <v>2279651.42</v>
      </c>
      <c r="T12" s="6">
        <f t="shared" si="1"/>
        <v>2130658.7000000002</v>
      </c>
      <c r="U12" s="6">
        <f t="shared" si="1"/>
        <v>4410310.12</v>
      </c>
      <c r="Y12" s="9">
        <f t="shared" si="2"/>
        <v>1899709.52</v>
      </c>
      <c r="Z12" s="9">
        <f t="shared" si="2"/>
        <v>1775548.92</v>
      </c>
      <c r="AA12" s="9">
        <f t="shared" si="2"/>
        <v>3675258.44</v>
      </c>
      <c r="AD12" s="4">
        <v>311004185</v>
      </c>
      <c r="AE12" s="4">
        <v>23798061</v>
      </c>
    </row>
    <row r="13" spans="1:35" ht="16.95" customHeight="1" x14ac:dyDescent="0.3">
      <c r="A13" s="10" t="s">
        <v>46</v>
      </c>
      <c r="B13" s="10" t="s">
        <v>47</v>
      </c>
      <c r="C13" s="46" t="s">
        <v>48</v>
      </c>
      <c r="D13" s="47"/>
      <c r="E13" s="47"/>
      <c r="F13" s="47"/>
      <c r="G13" s="47"/>
      <c r="H13" s="47"/>
      <c r="I13" s="48"/>
      <c r="M13" s="6">
        <f t="shared" si="0"/>
        <v>794775.29</v>
      </c>
      <c r="N13" s="6">
        <f t="shared" si="0"/>
        <v>1420439.13</v>
      </c>
      <c r="O13" s="6">
        <f t="shared" si="0"/>
        <v>2215214.42</v>
      </c>
      <c r="S13" s="6">
        <f t="shared" si="1"/>
        <v>2279651.42</v>
      </c>
      <c r="T13" s="6">
        <f t="shared" si="1"/>
        <v>2130658.7000000002</v>
      </c>
      <c r="U13" s="6">
        <f t="shared" si="1"/>
        <v>4410310.12</v>
      </c>
      <c r="Y13" s="9">
        <f t="shared" si="2"/>
        <v>1899709.52</v>
      </c>
      <c r="Z13" s="9">
        <f t="shared" si="2"/>
        <v>1775548.92</v>
      </c>
      <c r="AA13" s="9">
        <f t="shared" si="2"/>
        <v>3675258.44</v>
      </c>
      <c r="AD13" s="4">
        <v>311004186</v>
      </c>
      <c r="AE13" s="4">
        <v>23798065</v>
      </c>
    </row>
    <row r="14" spans="1:35" ht="16.95" customHeight="1" x14ac:dyDescent="0.3">
      <c r="A14" s="10" t="s">
        <v>49</v>
      </c>
      <c r="B14" s="10" t="s">
        <v>50</v>
      </c>
      <c r="C14" s="46" t="s">
        <v>51</v>
      </c>
      <c r="D14" s="47"/>
      <c r="E14" s="47"/>
      <c r="F14" s="47"/>
      <c r="G14" s="47"/>
      <c r="H14" s="47"/>
      <c r="I14" s="48"/>
      <c r="M14" s="6">
        <f t="shared" si="0"/>
        <v>794775.29</v>
      </c>
      <c r="N14" s="6">
        <f t="shared" si="0"/>
        <v>1420439.13</v>
      </c>
      <c r="O14" s="6">
        <f t="shared" si="0"/>
        <v>2215214.42</v>
      </c>
      <c r="S14" s="6">
        <f t="shared" si="1"/>
        <v>2279651.42</v>
      </c>
      <c r="T14" s="6">
        <f t="shared" si="1"/>
        <v>2130658.7000000002</v>
      </c>
      <c r="U14" s="6">
        <f t="shared" si="1"/>
        <v>4410310.12</v>
      </c>
      <c r="Y14" s="9">
        <f t="shared" si="2"/>
        <v>1899709.52</v>
      </c>
      <c r="Z14" s="9">
        <f t="shared" si="2"/>
        <v>1775548.92</v>
      </c>
      <c r="AA14" s="9">
        <f t="shared" si="2"/>
        <v>3675258.44</v>
      </c>
      <c r="AD14" s="4">
        <v>311004187</v>
      </c>
      <c r="AE14" s="4">
        <v>23798062</v>
      </c>
    </row>
    <row r="15" spans="1:35" ht="144" x14ac:dyDescent="0.3">
      <c r="A15" s="10" t="s">
        <v>52</v>
      </c>
      <c r="B15" s="10" t="s">
        <v>53</v>
      </c>
      <c r="C15" s="11" t="s">
        <v>54</v>
      </c>
      <c r="D15" s="12" t="s">
        <v>55</v>
      </c>
      <c r="E15" s="12" t="s">
        <v>56</v>
      </c>
      <c r="F15" s="12" t="s">
        <v>57</v>
      </c>
      <c r="G15" s="13">
        <v>1</v>
      </c>
      <c r="H15" s="13"/>
      <c r="I15" s="13">
        <v>713.43</v>
      </c>
      <c r="J15" s="14">
        <v>1114.02</v>
      </c>
      <c r="K15" s="15">
        <v>1991</v>
      </c>
      <c r="L15" s="14">
        <f>J15+ROUND(K15, 2)</f>
        <v>3105.02</v>
      </c>
      <c r="M15" s="14">
        <v>794775.29</v>
      </c>
      <c r="N15" s="14">
        <v>1420439.13</v>
      </c>
      <c r="O15" s="14">
        <f>M15+N15</f>
        <v>2215214.42</v>
      </c>
      <c r="P15" s="14">
        <v>3195.34</v>
      </c>
      <c r="Q15" s="15">
        <v>2986.5</v>
      </c>
      <c r="R15" s="14">
        <f>P15+ROUND(Q15, 2)</f>
        <v>6181.84</v>
      </c>
      <c r="S15" s="14">
        <v>2279651.42</v>
      </c>
      <c r="T15" s="14">
        <v>2130658.7000000002</v>
      </c>
      <c r="U15" s="14">
        <f>S15+T15</f>
        <v>4410310.12</v>
      </c>
      <c r="V15" s="9">
        <f>ROUND(P15 / 1.2, 2)</f>
        <v>2662.78</v>
      </c>
      <c r="W15" s="9">
        <f>ROUND(Q15 / 1.2, 2)</f>
        <v>2488.75</v>
      </c>
      <c r="X15" s="9">
        <f>ROUND(R15 / 1.2, 2)</f>
        <v>5151.53</v>
      </c>
      <c r="Y15" s="9">
        <f>ROUND(S15 / 1.2, 2)</f>
        <v>1899709.52</v>
      </c>
      <c r="Z15" s="9">
        <f>ROUND(T15 / 1.2, 2)</f>
        <v>1775548.92</v>
      </c>
      <c r="AA15" s="9">
        <f>Y15+Z15</f>
        <v>3675258.44</v>
      </c>
      <c r="AD15" s="4">
        <v>311004189</v>
      </c>
      <c r="AE15" s="4">
        <v>23798066</v>
      </c>
      <c r="AG15" s="4" t="s">
        <v>58</v>
      </c>
      <c r="AH15" s="4" t="s">
        <v>59</v>
      </c>
      <c r="AI15" s="4" t="s">
        <v>60</v>
      </c>
    </row>
    <row r="16" spans="1:35" ht="54" x14ac:dyDescent="0.3">
      <c r="A16" s="10" t="s">
        <v>61</v>
      </c>
      <c r="B16" s="10"/>
      <c r="C16" s="16" t="s">
        <v>62</v>
      </c>
      <c r="D16" s="12"/>
      <c r="E16" s="12"/>
      <c r="F16" s="17" t="s">
        <v>63</v>
      </c>
      <c r="G16" s="18">
        <v>1</v>
      </c>
      <c r="H16" s="18"/>
      <c r="I16" s="18">
        <v>713.43</v>
      </c>
      <c r="J16" s="19">
        <v>89.83</v>
      </c>
      <c r="M16" s="20">
        <f>ROUND(ROUND(J16, 2)*I16, 2)</f>
        <v>64087.42</v>
      </c>
      <c r="P16" s="19">
        <v>89.83</v>
      </c>
      <c r="S16" s="20">
        <f>ROUND(ROUND(P16, 2)*I16, 2)</f>
        <v>64087.42</v>
      </c>
      <c r="V16" s="9">
        <f>ROUND(ROUND(P16, 2)/1.2, 2)</f>
        <v>74.86</v>
      </c>
      <c r="Y16" s="9">
        <f>ROUND(S16 / 1.2, 2)</f>
        <v>53406.18</v>
      </c>
      <c r="AD16" s="4" t="s">
        <v>64</v>
      </c>
      <c r="AE16" s="4" t="s">
        <v>65</v>
      </c>
      <c r="AF16" s="4" t="s">
        <v>66</v>
      </c>
    </row>
    <row r="17" spans="1:35" ht="36" x14ac:dyDescent="0.3">
      <c r="A17" s="10" t="s">
        <v>67</v>
      </c>
      <c r="B17" s="10"/>
      <c r="C17" s="21" t="s">
        <v>68</v>
      </c>
      <c r="D17" s="12"/>
      <c r="E17" s="12" t="s">
        <v>69</v>
      </c>
      <c r="F17" s="17" t="s">
        <v>70</v>
      </c>
      <c r="G17" s="18">
        <v>0.8</v>
      </c>
      <c r="H17" s="22"/>
      <c r="I17" s="22">
        <v>570.74400000000003</v>
      </c>
      <c r="J17" s="19">
        <v>66</v>
      </c>
      <c r="M17" s="20">
        <f>ROUND(ROUND(J17, 2)*I17, 2)</f>
        <v>37669.1</v>
      </c>
      <c r="P17" s="19">
        <v>533.97</v>
      </c>
      <c r="S17" s="20">
        <f>ROUND(ROUND(P17, 2)*I17, 2)</f>
        <v>304760.17</v>
      </c>
      <c r="V17" s="9">
        <f>ROUND(ROUND(P17, 2)/1.2, 2)</f>
        <v>444.98</v>
      </c>
      <c r="Y17" s="9">
        <f>ROUND(S17 / 1.2, 2)</f>
        <v>253966.81</v>
      </c>
      <c r="AD17" s="4" t="s">
        <v>71</v>
      </c>
      <c r="AE17" s="4" t="s">
        <v>72</v>
      </c>
      <c r="AF17" s="4" t="s">
        <v>73</v>
      </c>
    </row>
    <row r="18" spans="1:35" ht="36" x14ac:dyDescent="0.3">
      <c r="A18" s="10" t="s">
        <v>74</v>
      </c>
      <c r="B18" s="10"/>
      <c r="C18" s="21" t="s">
        <v>75</v>
      </c>
      <c r="D18" s="12"/>
      <c r="E18" s="12" t="s">
        <v>76</v>
      </c>
      <c r="F18" s="17" t="s">
        <v>70</v>
      </c>
      <c r="G18" s="18">
        <v>2.1</v>
      </c>
      <c r="H18" s="22"/>
      <c r="I18" s="22">
        <v>1498.203</v>
      </c>
      <c r="J18" s="19">
        <v>96.66</v>
      </c>
      <c r="M18" s="20">
        <f>ROUND(ROUND(J18, 2)*I18, 2)</f>
        <v>144816.29999999999</v>
      </c>
      <c r="P18" s="19">
        <v>539.07000000000005</v>
      </c>
      <c r="S18" s="20">
        <f>ROUND(ROUND(P18, 2)*I18, 2)</f>
        <v>807636.29</v>
      </c>
      <c r="V18" s="9">
        <f>ROUND(ROUND(P18, 2)/1.2, 2)</f>
        <v>449.23</v>
      </c>
      <c r="Y18" s="9">
        <f>ROUND(S18 / 1.2, 2)</f>
        <v>673030.24</v>
      </c>
      <c r="AD18" s="4" t="s">
        <v>77</v>
      </c>
      <c r="AE18" s="4" t="s">
        <v>78</v>
      </c>
      <c r="AF18" s="4" t="s">
        <v>79</v>
      </c>
    </row>
    <row r="19" spans="1:35" ht="36" x14ac:dyDescent="0.3">
      <c r="A19" s="10" t="s">
        <v>80</v>
      </c>
      <c r="B19" s="10"/>
      <c r="C19" s="16" t="s">
        <v>81</v>
      </c>
      <c r="D19" s="12"/>
      <c r="E19" s="12" t="s">
        <v>82</v>
      </c>
      <c r="F19" s="17" t="s">
        <v>57</v>
      </c>
      <c r="G19" s="18">
        <v>4.2</v>
      </c>
      <c r="H19" s="18"/>
      <c r="I19" s="18">
        <v>2996.4059999999999</v>
      </c>
      <c r="J19" s="19">
        <v>137.79</v>
      </c>
      <c r="M19" s="20">
        <f>ROUND(ROUND(J19, 2)*I19, 2)</f>
        <v>412874.78</v>
      </c>
      <c r="P19" s="19">
        <v>323</v>
      </c>
      <c r="S19" s="20">
        <f>ROUND(ROUND(P19, 2)*I19, 2)</f>
        <v>967839.14</v>
      </c>
      <c r="V19" s="9">
        <f>ROUND(ROUND(P19, 2)/1.2, 2)</f>
        <v>269.17</v>
      </c>
      <c r="Y19" s="9">
        <f>ROUND(S19 / 1.2, 2)</f>
        <v>806532.62</v>
      </c>
      <c r="AD19" s="4" t="s">
        <v>83</v>
      </c>
      <c r="AE19" s="4" t="s">
        <v>84</v>
      </c>
      <c r="AF19" s="4" t="s">
        <v>85</v>
      </c>
    </row>
    <row r="20" spans="1:35" ht="72" x14ac:dyDescent="0.3">
      <c r="A20" s="10" t="s">
        <v>86</v>
      </c>
      <c r="B20" s="10"/>
      <c r="C20" s="16" t="s">
        <v>87</v>
      </c>
      <c r="D20" s="12"/>
      <c r="E20" s="12" t="s">
        <v>88</v>
      </c>
      <c r="F20" s="17" t="s">
        <v>89</v>
      </c>
      <c r="G20" s="18">
        <v>5.1999999999999998E-2</v>
      </c>
      <c r="H20" s="18"/>
      <c r="I20" s="18">
        <v>37.097999999999999</v>
      </c>
      <c r="J20" s="19">
        <v>3647.8</v>
      </c>
      <c r="M20" s="20">
        <f>ROUND(ROUND(J20, 2)*I20, 2)</f>
        <v>135326.07999999999</v>
      </c>
      <c r="P20" s="19">
        <v>3647.8</v>
      </c>
      <c r="S20" s="20">
        <f>ROUND(ROUND(P20, 2)*I20, 2)</f>
        <v>135326.07999999999</v>
      </c>
      <c r="V20" s="9">
        <f>ROUND(ROUND(P20, 2)/1.2, 2)</f>
        <v>3039.83</v>
      </c>
      <c r="Y20" s="9">
        <f>ROUND(S20 / 1.2, 2)</f>
        <v>112771.73</v>
      </c>
      <c r="AD20" s="4" t="s">
        <v>90</v>
      </c>
      <c r="AE20" s="4" t="s">
        <v>91</v>
      </c>
      <c r="AF20" s="4" t="s">
        <v>92</v>
      </c>
    </row>
    <row r="21" spans="1:35" ht="16.95" customHeight="1" x14ac:dyDescent="0.3">
      <c r="A21" s="10" t="s">
        <v>93</v>
      </c>
      <c r="B21" s="10" t="s">
        <v>94</v>
      </c>
      <c r="C21" s="46" t="s">
        <v>95</v>
      </c>
      <c r="D21" s="47"/>
      <c r="E21" s="47"/>
      <c r="F21" s="47"/>
      <c r="G21" s="47"/>
      <c r="H21" s="47"/>
      <c r="I21" s="48"/>
      <c r="M21" s="6">
        <f t="shared" ref="M21:O24" si="3">SUM(M22)</f>
        <v>117465.38</v>
      </c>
      <c r="N21" s="6">
        <f t="shared" si="3"/>
        <v>1742348.52</v>
      </c>
      <c r="O21" s="6">
        <f t="shared" si="3"/>
        <v>1859813.9</v>
      </c>
      <c r="S21" s="6">
        <f t="shared" ref="S21:U24" si="4">SUM(S22)</f>
        <v>117465.38</v>
      </c>
      <c r="T21" s="6">
        <f t="shared" si="4"/>
        <v>2613522.7799999998</v>
      </c>
      <c r="U21" s="6">
        <f t="shared" si="4"/>
        <v>2730988.16</v>
      </c>
      <c r="Y21" s="9">
        <f t="shared" ref="Y21:AA24" si="5">SUM(Y22)</f>
        <v>97887.82</v>
      </c>
      <c r="Z21" s="9">
        <f t="shared" si="5"/>
        <v>2177935.66</v>
      </c>
      <c r="AA21" s="9">
        <f t="shared" si="5"/>
        <v>2275823.48</v>
      </c>
      <c r="AD21" s="4">
        <v>311004190</v>
      </c>
      <c r="AE21" s="4">
        <v>21847836</v>
      </c>
    </row>
    <row r="22" spans="1:35" ht="16.95" customHeight="1" x14ac:dyDescent="0.3">
      <c r="A22" s="10" t="s">
        <v>96</v>
      </c>
      <c r="B22" s="10" t="s">
        <v>97</v>
      </c>
      <c r="C22" s="46" t="s">
        <v>98</v>
      </c>
      <c r="D22" s="47"/>
      <c r="E22" s="47"/>
      <c r="F22" s="47"/>
      <c r="G22" s="47"/>
      <c r="H22" s="47"/>
      <c r="I22" s="48"/>
      <c r="M22" s="6">
        <f t="shared" si="3"/>
        <v>117465.38</v>
      </c>
      <c r="N22" s="6">
        <f t="shared" si="3"/>
        <v>1742348.52</v>
      </c>
      <c r="O22" s="6">
        <f t="shared" si="3"/>
        <v>1859813.9</v>
      </c>
      <c r="S22" s="6">
        <f t="shared" si="4"/>
        <v>117465.38</v>
      </c>
      <c r="T22" s="6">
        <f t="shared" si="4"/>
        <v>2613522.7799999998</v>
      </c>
      <c r="U22" s="6">
        <f t="shared" si="4"/>
        <v>2730988.16</v>
      </c>
      <c r="Y22" s="9">
        <f t="shared" si="5"/>
        <v>97887.82</v>
      </c>
      <c r="Z22" s="9">
        <f t="shared" si="5"/>
        <v>2177935.66</v>
      </c>
      <c r="AA22" s="9">
        <f t="shared" si="5"/>
        <v>2275823.48</v>
      </c>
      <c r="AD22" s="4">
        <v>311004191</v>
      </c>
      <c r="AE22" s="4">
        <v>21847838</v>
      </c>
    </row>
    <row r="23" spans="1:35" ht="16.95" customHeight="1" x14ac:dyDescent="0.3">
      <c r="A23" s="10" t="s">
        <v>99</v>
      </c>
      <c r="B23" s="10" t="s">
        <v>100</v>
      </c>
      <c r="C23" s="46" t="s">
        <v>101</v>
      </c>
      <c r="D23" s="47"/>
      <c r="E23" s="47"/>
      <c r="F23" s="47"/>
      <c r="G23" s="47"/>
      <c r="H23" s="47"/>
      <c r="I23" s="48"/>
      <c r="M23" s="6">
        <f t="shared" si="3"/>
        <v>117465.38</v>
      </c>
      <c r="N23" s="6">
        <f t="shared" si="3"/>
        <v>1742348.52</v>
      </c>
      <c r="O23" s="6">
        <f t="shared" si="3"/>
        <v>1859813.9</v>
      </c>
      <c r="S23" s="6">
        <f t="shared" si="4"/>
        <v>117465.38</v>
      </c>
      <c r="T23" s="6">
        <f t="shared" si="4"/>
        <v>2613522.7799999998</v>
      </c>
      <c r="U23" s="6">
        <f t="shared" si="4"/>
        <v>2730988.16</v>
      </c>
      <c r="Y23" s="9">
        <f t="shared" si="5"/>
        <v>97887.82</v>
      </c>
      <c r="Z23" s="9">
        <f t="shared" si="5"/>
        <v>2177935.66</v>
      </c>
      <c r="AA23" s="9">
        <f t="shared" si="5"/>
        <v>2275823.48</v>
      </c>
      <c r="AD23" s="4">
        <v>311004192</v>
      </c>
      <c r="AE23" s="4">
        <v>21847840</v>
      </c>
    </row>
    <row r="24" spans="1:35" ht="16.95" customHeight="1" x14ac:dyDescent="0.3">
      <c r="A24" s="10" t="s">
        <v>102</v>
      </c>
      <c r="B24" s="10" t="s">
        <v>103</v>
      </c>
      <c r="C24" s="46" t="s">
        <v>104</v>
      </c>
      <c r="D24" s="47"/>
      <c r="E24" s="47"/>
      <c r="F24" s="47"/>
      <c r="G24" s="47"/>
      <c r="H24" s="47"/>
      <c r="I24" s="48"/>
      <c r="M24" s="6">
        <f t="shared" si="3"/>
        <v>117465.38</v>
      </c>
      <c r="N24" s="6">
        <f t="shared" si="3"/>
        <v>1742348.52</v>
      </c>
      <c r="O24" s="6">
        <f t="shared" si="3"/>
        <v>1859813.9</v>
      </c>
      <c r="S24" s="6">
        <f t="shared" si="4"/>
        <v>117465.38</v>
      </c>
      <c r="T24" s="6">
        <f t="shared" si="4"/>
        <v>2613522.7799999998</v>
      </c>
      <c r="U24" s="6">
        <f t="shared" si="4"/>
        <v>2730988.16</v>
      </c>
      <c r="Y24" s="9">
        <f t="shared" si="5"/>
        <v>97887.82</v>
      </c>
      <c r="Z24" s="9">
        <f t="shared" si="5"/>
        <v>2177935.66</v>
      </c>
      <c r="AA24" s="9">
        <f t="shared" si="5"/>
        <v>2275823.48</v>
      </c>
      <c r="AD24" s="4">
        <v>311004193</v>
      </c>
      <c r="AE24" s="4">
        <v>23798344</v>
      </c>
    </row>
    <row r="25" spans="1:35" ht="16.95" customHeight="1" x14ac:dyDescent="0.3">
      <c r="A25" s="10" t="s">
        <v>105</v>
      </c>
      <c r="B25" s="10" t="s">
        <v>106</v>
      </c>
      <c r="C25" s="46" t="s">
        <v>107</v>
      </c>
      <c r="D25" s="47"/>
      <c r="E25" s="47"/>
      <c r="F25" s="47"/>
      <c r="G25" s="47"/>
      <c r="H25" s="47"/>
      <c r="I25" s="48"/>
      <c r="M25" s="6">
        <f>SUM(M26,M30)</f>
        <v>117465.38</v>
      </c>
      <c r="N25" s="6">
        <f>SUM(N26,N30)</f>
        <v>1742348.52</v>
      </c>
      <c r="O25" s="6">
        <f>SUM(O26,O30)</f>
        <v>1859813.9</v>
      </c>
      <c r="S25" s="6">
        <f>SUM(S26,S30)</f>
        <v>117465.38</v>
      </c>
      <c r="T25" s="6">
        <f>SUM(T26,T30)</f>
        <v>2613522.7799999998</v>
      </c>
      <c r="U25" s="6">
        <f>SUM(U26,U30)</f>
        <v>2730988.16</v>
      </c>
      <c r="Y25" s="9">
        <f>SUM(Y26,Y30)</f>
        <v>97887.82</v>
      </c>
      <c r="Z25" s="9">
        <f>SUM(Z26,Z30)</f>
        <v>2177935.66</v>
      </c>
      <c r="AA25" s="9">
        <f>SUM(AA26,AA30)</f>
        <v>2275823.48</v>
      </c>
      <c r="AD25" s="4">
        <v>311004194</v>
      </c>
      <c r="AE25" s="4">
        <v>23798351</v>
      </c>
    </row>
    <row r="26" spans="1:35" ht="36" x14ac:dyDescent="0.3">
      <c r="A26" s="10" t="s">
        <v>108</v>
      </c>
      <c r="B26" s="10" t="s">
        <v>109</v>
      </c>
      <c r="C26" s="11" t="s">
        <v>110</v>
      </c>
      <c r="D26" s="12"/>
      <c r="E26" s="12" t="s">
        <v>111</v>
      </c>
      <c r="F26" s="12" t="s">
        <v>57</v>
      </c>
      <c r="G26" s="13">
        <v>1</v>
      </c>
      <c r="H26" s="13"/>
      <c r="I26" s="13">
        <v>1363.34</v>
      </c>
      <c r="J26" s="14">
        <v>54.23</v>
      </c>
      <c r="K26" s="15">
        <v>639</v>
      </c>
      <c r="L26" s="14">
        <f>J26+ROUND(K26, 2)</f>
        <v>693.23</v>
      </c>
      <c r="M26" s="14">
        <v>73933.929999999993</v>
      </c>
      <c r="N26" s="14">
        <v>871174.26</v>
      </c>
      <c r="O26" s="14">
        <f>M26+N26</f>
        <v>945108.19</v>
      </c>
      <c r="P26" s="14">
        <v>54.23</v>
      </c>
      <c r="Q26" s="15">
        <v>958.5</v>
      </c>
      <c r="R26" s="14">
        <f>P26+ROUND(Q26, 2)</f>
        <v>1012.73</v>
      </c>
      <c r="S26" s="14">
        <v>73933.929999999993</v>
      </c>
      <c r="T26" s="14">
        <v>1306761.3899999999</v>
      </c>
      <c r="U26" s="14">
        <f>S26+T26</f>
        <v>1380695.32</v>
      </c>
      <c r="V26" s="9">
        <f>ROUND(P26 / 1.2, 2)</f>
        <v>45.19</v>
      </c>
      <c r="W26" s="9">
        <f>ROUND(Q26 / 1.2, 2)</f>
        <v>798.75</v>
      </c>
      <c r="X26" s="9">
        <f>ROUND(R26 / 1.2, 2)</f>
        <v>843.94</v>
      </c>
      <c r="Y26" s="9">
        <f>ROUND(S26 / 1.2, 2)</f>
        <v>61611.61</v>
      </c>
      <c r="Z26" s="9">
        <f>ROUND(T26 / 1.2, 2)</f>
        <v>1088967.83</v>
      </c>
      <c r="AA26" s="9">
        <f>Y26+Z26</f>
        <v>1150579.44</v>
      </c>
      <c r="AD26" s="4">
        <v>311004196</v>
      </c>
      <c r="AE26" s="4">
        <v>23798358</v>
      </c>
      <c r="AG26" s="4" t="s">
        <v>112</v>
      </c>
      <c r="AH26" s="4" t="s">
        <v>113</v>
      </c>
      <c r="AI26" s="4" t="s">
        <v>114</v>
      </c>
    </row>
    <row r="27" spans="1:35" ht="36" x14ac:dyDescent="0.3">
      <c r="A27" s="10" t="s">
        <v>115</v>
      </c>
      <c r="B27" s="10"/>
      <c r="C27" s="21" t="s">
        <v>116</v>
      </c>
      <c r="D27" s="12"/>
      <c r="E27" s="12"/>
      <c r="F27" s="17" t="s">
        <v>117</v>
      </c>
      <c r="G27" s="18">
        <v>1.5</v>
      </c>
      <c r="H27" s="18"/>
      <c r="I27" s="18">
        <v>2045.01</v>
      </c>
      <c r="J27" s="19">
        <v>12.26</v>
      </c>
      <c r="M27" s="20">
        <f>ROUND(ROUND(J27, 2)*I27, 2)</f>
        <v>25071.82</v>
      </c>
      <c r="P27" s="19">
        <v>12.26</v>
      </c>
      <c r="S27" s="20">
        <f>ROUND(ROUND(P27, 2)*I27, 2)</f>
        <v>25071.82</v>
      </c>
      <c r="V27" s="9">
        <f>ROUND(ROUND(P27, 2)/1.2, 2)</f>
        <v>10.220000000000001</v>
      </c>
      <c r="Y27" s="9">
        <f t="shared" ref="Y27:Y32" si="6">ROUND(S27 / 1.2, 2)</f>
        <v>20893.18</v>
      </c>
      <c r="AD27" s="4" t="s">
        <v>118</v>
      </c>
      <c r="AE27" s="4" t="s">
        <v>119</v>
      </c>
      <c r="AF27" s="4" t="s">
        <v>120</v>
      </c>
    </row>
    <row r="28" spans="1:35" ht="36" x14ac:dyDescent="0.3">
      <c r="A28" s="10" t="s">
        <v>121</v>
      </c>
      <c r="B28" s="10"/>
      <c r="C28" s="16" t="s">
        <v>122</v>
      </c>
      <c r="D28" s="12"/>
      <c r="E28" s="12"/>
      <c r="F28" s="17" t="s">
        <v>123</v>
      </c>
      <c r="G28" s="18">
        <v>0.3</v>
      </c>
      <c r="H28" s="18"/>
      <c r="I28" s="18">
        <v>409.00200000000001</v>
      </c>
      <c r="J28" s="19">
        <v>74.319999999999993</v>
      </c>
      <c r="M28" s="20">
        <f>ROUND(ROUND(J28, 2)*I28, 2)</f>
        <v>30397.03</v>
      </c>
      <c r="P28" s="19">
        <v>74.319999999999993</v>
      </c>
      <c r="S28" s="20">
        <f>ROUND(ROUND(P28, 2)*I28, 2)</f>
        <v>30397.03</v>
      </c>
      <c r="V28" s="9">
        <f>ROUND(ROUND(P28, 2)/1.2, 2)</f>
        <v>61.93</v>
      </c>
      <c r="Y28" s="9">
        <f t="shared" si="6"/>
        <v>25330.86</v>
      </c>
      <c r="AD28" s="4" t="s">
        <v>124</v>
      </c>
      <c r="AE28" s="4" t="s">
        <v>125</v>
      </c>
      <c r="AF28" s="4" t="s">
        <v>126</v>
      </c>
    </row>
    <row r="29" spans="1:35" ht="36" x14ac:dyDescent="0.3">
      <c r="A29" s="10" t="s">
        <v>127</v>
      </c>
      <c r="B29" s="10"/>
      <c r="C29" s="16" t="s">
        <v>128</v>
      </c>
      <c r="D29" s="12"/>
      <c r="E29" s="12"/>
      <c r="F29" s="17" t="s">
        <v>117</v>
      </c>
      <c r="G29" s="18">
        <v>0.15</v>
      </c>
      <c r="H29" s="18"/>
      <c r="I29" s="18">
        <v>204.501</v>
      </c>
      <c r="J29" s="19">
        <v>90.28</v>
      </c>
      <c r="M29" s="20">
        <f>ROUND(ROUND(J29, 2)*I29, 2)</f>
        <v>18462.349999999999</v>
      </c>
      <c r="P29" s="19">
        <v>90.28</v>
      </c>
      <c r="S29" s="20">
        <f>ROUND(ROUND(P29, 2)*I29, 2)</f>
        <v>18462.349999999999</v>
      </c>
      <c r="V29" s="9">
        <f>ROUND(ROUND(P29, 2)/1.2, 2)</f>
        <v>75.23</v>
      </c>
      <c r="Y29" s="9">
        <f t="shared" si="6"/>
        <v>15385.29</v>
      </c>
      <c r="AD29" s="4" t="s">
        <v>129</v>
      </c>
      <c r="AE29" s="4" t="s">
        <v>130</v>
      </c>
      <c r="AF29" s="4" t="s">
        <v>131</v>
      </c>
    </row>
    <row r="30" spans="1:35" ht="36" x14ac:dyDescent="0.3">
      <c r="A30" s="10" t="s">
        <v>132</v>
      </c>
      <c r="B30" s="10" t="s">
        <v>109</v>
      </c>
      <c r="C30" s="11" t="s">
        <v>110</v>
      </c>
      <c r="D30" s="12"/>
      <c r="E30" s="12" t="s">
        <v>133</v>
      </c>
      <c r="F30" s="12" t="s">
        <v>57</v>
      </c>
      <c r="G30" s="13">
        <v>1</v>
      </c>
      <c r="H30" s="13"/>
      <c r="I30" s="13">
        <v>1363.34</v>
      </c>
      <c r="J30" s="14">
        <v>31.93</v>
      </c>
      <c r="K30" s="15">
        <v>639</v>
      </c>
      <c r="L30" s="14">
        <f>J30+ROUND(K30, 2)</f>
        <v>670.93</v>
      </c>
      <c r="M30" s="14">
        <v>43531.45</v>
      </c>
      <c r="N30" s="14">
        <v>871174.26</v>
      </c>
      <c r="O30" s="14">
        <f>M30+N30</f>
        <v>914705.71</v>
      </c>
      <c r="P30" s="14">
        <v>31.93</v>
      </c>
      <c r="Q30" s="15">
        <v>958.5</v>
      </c>
      <c r="R30" s="14">
        <f>P30+ROUND(Q30, 2)</f>
        <v>990.43</v>
      </c>
      <c r="S30" s="14">
        <v>43531.45</v>
      </c>
      <c r="T30" s="14">
        <v>1306761.3899999999</v>
      </c>
      <c r="U30" s="14">
        <f>S30+T30</f>
        <v>1350292.84</v>
      </c>
      <c r="V30" s="9">
        <f>ROUND(P30 / 1.2, 2)</f>
        <v>26.61</v>
      </c>
      <c r="W30" s="9">
        <f>ROUND(Q30 / 1.2, 2)</f>
        <v>798.75</v>
      </c>
      <c r="X30" s="9">
        <f>ROUND(R30 / 1.2, 2)</f>
        <v>825.36</v>
      </c>
      <c r="Y30" s="9">
        <f t="shared" si="6"/>
        <v>36276.21</v>
      </c>
      <c r="Z30" s="9">
        <f>ROUND(T30 / 1.2, 2)</f>
        <v>1088967.83</v>
      </c>
      <c r="AA30" s="9">
        <f>Y30+Z30</f>
        <v>1125244.04</v>
      </c>
      <c r="AD30" s="4">
        <v>311004197</v>
      </c>
      <c r="AE30" s="4">
        <v>23798359</v>
      </c>
      <c r="AG30" s="4" t="s">
        <v>112</v>
      </c>
      <c r="AH30" s="4" t="s">
        <v>113</v>
      </c>
      <c r="AI30" s="4" t="s">
        <v>114</v>
      </c>
    </row>
    <row r="31" spans="1:35" ht="36" x14ac:dyDescent="0.3">
      <c r="A31" s="10" t="s">
        <v>134</v>
      </c>
      <c r="B31" s="10"/>
      <c r="C31" s="16" t="s">
        <v>128</v>
      </c>
      <c r="D31" s="12"/>
      <c r="E31" s="12"/>
      <c r="F31" s="17" t="s">
        <v>117</v>
      </c>
      <c r="G31" s="18">
        <v>0.15</v>
      </c>
      <c r="H31" s="18"/>
      <c r="I31" s="18">
        <v>204.501</v>
      </c>
      <c r="J31" s="19">
        <v>90.28</v>
      </c>
      <c r="M31" s="20">
        <f>ROUND(ROUND(J31, 2)*I31, 2)</f>
        <v>18462.349999999999</v>
      </c>
      <c r="P31" s="19">
        <v>90.28</v>
      </c>
      <c r="S31" s="20">
        <f>ROUND(ROUND(P31, 2)*I31, 2)</f>
        <v>18462.349999999999</v>
      </c>
      <c r="V31" s="9">
        <f>ROUND(ROUND(P31, 2)/1.2, 2)</f>
        <v>75.23</v>
      </c>
      <c r="Y31" s="9">
        <f t="shared" si="6"/>
        <v>15385.29</v>
      </c>
      <c r="AD31" s="4" t="s">
        <v>135</v>
      </c>
      <c r="AE31" s="4" t="s">
        <v>136</v>
      </c>
      <c r="AF31" s="4" t="s">
        <v>131</v>
      </c>
    </row>
    <row r="32" spans="1:35" ht="36" x14ac:dyDescent="0.3">
      <c r="A32" s="10" t="s">
        <v>137</v>
      </c>
      <c r="B32" s="10"/>
      <c r="C32" s="21" t="s">
        <v>116</v>
      </c>
      <c r="D32" s="12"/>
      <c r="E32" s="12"/>
      <c r="F32" s="17" t="s">
        <v>117</v>
      </c>
      <c r="G32" s="18">
        <v>1.5</v>
      </c>
      <c r="H32" s="18"/>
      <c r="I32" s="18">
        <v>2045.01</v>
      </c>
      <c r="J32" s="19">
        <v>12.26</v>
      </c>
      <c r="M32" s="20">
        <f>ROUND(ROUND(J32, 2)*I32, 2)</f>
        <v>25071.82</v>
      </c>
      <c r="P32" s="19">
        <v>12.26</v>
      </c>
      <c r="S32" s="20">
        <f>ROUND(ROUND(P32, 2)*I32, 2)</f>
        <v>25071.82</v>
      </c>
      <c r="V32" s="9">
        <f>ROUND(ROUND(P32, 2)/1.2, 2)</f>
        <v>10.220000000000001</v>
      </c>
      <c r="Y32" s="9">
        <f t="shared" si="6"/>
        <v>20893.18</v>
      </c>
      <c r="AD32" s="4" t="s">
        <v>138</v>
      </c>
      <c r="AE32" s="4" t="s">
        <v>139</v>
      </c>
      <c r="AF32" s="4" t="s">
        <v>120</v>
      </c>
    </row>
    <row r="33" spans="1:27" ht="24" customHeight="1" x14ac:dyDescent="0.3">
      <c r="A33" s="23"/>
      <c r="B33" s="23"/>
      <c r="C33" s="23"/>
      <c r="D33" s="24" t="s">
        <v>140</v>
      </c>
      <c r="E33" s="23"/>
      <c r="F33" s="23"/>
      <c r="G33" s="23"/>
      <c r="H33" s="23"/>
      <c r="I33" s="23"/>
      <c r="J33" s="23"/>
      <c r="K33" s="23"/>
      <c r="L33" s="23"/>
      <c r="M33" s="25">
        <f>SUM(M8)</f>
        <v>912240.67</v>
      </c>
      <c r="N33" s="25">
        <f>SUM(N8)</f>
        <v>3162787.65</v>
      </c>
      <c r="O33" s="25">
        <f>M33+N33</f>
        <v>4075028.32</v>
      </c>
      <c r="P33" s="23"/>
      <c r="Q33" s="23"/>
      <c r="R33" s="23"/>
      <c r="S33" s="25">
        <f>SUM(S8)</f>
        <v>2397116.7999999998</v>
      </c>
      <c r="T33" s="25">
        <f>SUM(T8)</f>
        <v>4744181.4800000004</v>
      </c>
      <c r="U33" s="25">
        <f>S33+T33</f>
        <v>7141298.2800000003</v>
      </c>
      <c r="Y33" s="9">
        <f>SUM(Y8)</f>
        <v>1997597.34</v>
      </c>
      <c r="Z33" s="9">
        <f>SUM(Z8)</f>
        <v>3953484.58</v>
      </c>
      <c r="AA33" s="9">
        <f>Y33+Z33</f>
        <v>5951081.9199999999</v>
      </c>
    </row>
    <row r="34" spans="1:27" ht="22.8" x14ac:dyDescent="0.3">
      <c r="A34" s="43" t="s">
        <v>141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5"/>
    </row>
    <row r="35" spans="1:27" ht="15.6" x14ac:dyDescent="0.3">
      <c r="A35" s="27"/>
      <c r="B35" s="5" t="s">
        <v>142</v>
      </c>
      <c r="C35" s="26" t="s">
        <v>143</v>
      </c>
      <c r="D35" s="26" t="s">
        <v>144</v>
      </c>
      <c r="E35" s="28"/>
      <c r="F35" s="28"/>
      <c r="G35" s="28"/>
      <c r="H35" s="41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2"/>
    </row>
    <row r="36" spans="1:27" ht="15.6" x14ac:dyDescent="0.3">
      <c r="A36" s="27"/>
      <c r="B36" s="5" t="s">
        <v>145</v>
      </c>
      <c r="C36" s="26" t="s">
        <v>146</v>
      </c>
      <c r="D36" s="26" t="s">
        <v>147</v>
      </c>
      <c r="E36" s="28"/>
      <c r="F36" s="28"/>
      <c r="G36" s="28"/>
      <c r="H36" s="41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2"/>
    </row>
    <row r="37" spans="1:27" ht="31.2" x14ac:dyDescent="0.3">
      <c r="A37" s="27"/>
      <c r="B37" s="5" t="s">
        <v>148</v>
      </c>
      <c r="C37" s="26" t="s">
        <v>149</v>
      </c>
      <c r="D37" s="26" t="s">
        <v>150</v>
      </c>
      <c r="E37" s="28"/>
      <c r="F37" s="28"/>
      <c r="G37" s="28"/>
      <c r="H37" s="41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2"/>
    </row>
    <row r="38" spans="1:27" ht="15.6" x14ac:dyDescent="0.3">
      <c r="A38" s="27"/>
      <c r="B38" s="5" t="s">
        <v>151</v>
      </c>
      <c r="C38" s="26" t="s">
        <v>152</v>
      </c>
      <c r="D38" s="26" t="s">
        <v>153</v>
      </c>
      <c r="E38" s="28"/>
      <c r="F38" s="28"/>
      <c r="G38" s="28"/>
      <c r="H38" s="41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2"/>
    </row>
    <row r="39" spans="1:27" ht="15.6" x14ac:dyDescent="0.3">
      <c r="A39" s="27"/>
      <c r="B39" s="5" t="s">
        <v>154</v>
      </c>
      <c r="C39" s="26" t="s">
        <v>155</v>
      </c>
      <c r="D39" s="26" t="s">
        <v>147</v>
      </c>
      <c r="E39" s="28"/>
      <c r="F39" s="28"/>
      <c r="G39" s="28"/>
      <c r="H39" s="41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2"/>
    </row>
    <row r="40" spans="1:27" ht="31.2" x14ac:dyDescent="0.3">
      <c r="A40" s="27"/>
      <c r="B40" s="5" t="s">
        <v>156</v>
      </c>
      <c r="C40" s="26" t="s">
        <v>157</v>
      </c>
      <c r="D40" s="26" t="s">
        <v>158</v>
      </c>
      <c r="E40" s="28"/>
      <c r="F40" s="28"/>
      <c r="G40" s="28"/>
      <c r="H40" s="41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2"/>
    </row>
    <row r="41" spans="1:27" ht="31.2" x14ac:dyDescent="0.3">
      <c r="A41" s="27"/>
      <c r="B41" s="5" t="s">
        <v>159</v>
      </c>
      <c r="C41" s="26" t="s">
        <v>160</v>
      </c>
      <c r="D41" s="26" t="s">
        <v>161</v>
      </c>
      <c r="E41" s="28"/>
      <c r="F41" s="28"/>
      <c r="G41" s="28"/>
      <c r="H41" s="41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2"/>
    </row>
    <row r="42" spans="1:27" ht="15.6" x14ac:dyDescent="0.3">
      <c r="A42" s="27"/>
      <c r="B42" s="5" t="s">
        <v>162</v>
      </c>
      <c r="C42" s="26" t="s">
        <v>163</v>
      </c>
      <c r="D42" s="26" t="s">
        <v>164</v>
      </c>
      <c r="E42" s="28"/>
      <c r="F42" s="28"/>
      <c r="G42" s="28"/>
      <c r="H42" s="41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2"/>
    </row>
    <row r="43" spans="1:27" ht="15.6" x14ac:dyDescent="0.3">
      <c r="A43" s="27"/>
      <c r="B43" s="5" t="s">
        <v>165</v>
      </c>
      <c r="C43" s="26" t="s">
        <v>166</v>
      </c>
      <c r="D43" s="26" t="s">
        <v>167</v>
      </c>
      <c r="E43" s="28"/>
      <c r="F43" s="28"/>
      <c r="G43" s="28"/>
      <c r="H43" s="41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2"/>
    </row>
    <row r="44" spans="1:27" ht="31.2" x14ac:dyDescent="0.3">
      <c r="A44" s="27"/>
      <c r="B44" s="5" t="s">
        <v>168</v>
      </c>
      <c r="C44" s="26" t="s">
        <v>169</v>
      </c>
      <c r="D44" s="26" t="s">
        <v>170</v>
      </c>
      <c r="E44" s="28"/>
      <c r="F44" s="28"/>
      <c r="G44" s="28"/>
      <c r="H44" s="41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2"/>
    </row>
    <row r="45" spans="1:27" ht="46.8" x14ac:dyDescent="0.3">
      <c r="A45" s="27"/>
      <c r="B45" s="5" t="s">
        <v>171</v>
      </c>
      <c r="C45" s="26" t="s">
        <v>172</v>
      </c>
      <c r="D45" s="26" t="s">
        <v>173</v>
      </c>
      <c r="E45" s="28"/>
      <c r="F45" s="28"/>
      <c r="G45" s="28"/>
      <c r="H45" s="4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2"/>
    </row>
    <row r="46" spans="1:27" ht="31.2" x14ac:dyDescent="0.3">
      <c r="A46" s="27"/>
      <c r="B46" s="5" t="s">
        <v>174</v>
      </c>
      <c r="C46" s="26" t="s">
        <v>175</v>
      </c>
      <c r="D46" s="26" t="s">
        <v>176</v>
      </c>
      <c r="E46" s="28"/>
      <c r="F46" s="28"/>
      <c r="G46" s="28"/>
      <c r="H46" s="41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2"/>
    </row>
    <row r="47" spans="1:27" ht="15.6" x14ac:dyDescent="0.3">
      <c r="A47" s="27"/>
      <c r="B47" s="5" t="s">
        <v>177</v>
      </c>
      <c r="C47" s="26" t="s">
        <v>178</v>
      </c>
      <c r="D47" s="26" t="s">
        <v>179</v>
      </c>
      <c r="E47" s="28"/>
      <c r="F47" s="28"/>
      <c r="G47" s="28"/>
      <c r="H47" s="4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2"/>
    </row>
    <row r="48" spans="1:27" ht="48" customHeight="1" x14ac:dyDescent="0.3">
      <c r="A48" s="27"/>
      <c r="B48" s="5" t="s">
        <v>180</v>
      </c>
      <c r="C48" s="26" t="s">
        <v>181</v>
      </c>
      <c r="D48" s="26" t="s">
        <v>182</v>
      </c>
      <c r="E48" s="28"/>
      <c r="F48" s="28"/>
      <c r="G48" s="28"/>
      <c r="H48" s="41" t="s">
        <v>183</v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2"/>
    </row>
    <row r="49" spans="1:21" ht="15.6" x14ac:dyDescent="0.3">
      <c r="A49" s="27"/>
      <c r="B49" s="5" t="s">
        <v>184</v>
      </c>
      <c r="C49" s="26" t="s">
        <v>185</v>
      </c>
      <c r="D49" s="26" t="s">
        <v>186</v>
      </c>
      <c r="E49" s="28"/>
      <c r="F49" s="28"/>
      <c r="G49" s="28"/>
      <c r="H49" s="41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2"/>
    </row>
    <row r="50" spans="1:21" ht="15.6" x14ac:dyDescent="0.3">
      <c r="A50" s="27"/>
      <c r="B50" s="5" t="s">
        <v>187</v>
      </c>
      <c r="C50" s="26" t="s">
        <v>188</v>
      </c>
      <c r="D50" s="28"/>
      <c r="E50" s="28"/>
      <c r="F50" s="28"/>
      <c r="G50" s="28"/>
      <c r="H50" s="41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2"/>
    </row>
    <row r="51" spans="1:21" ht="15.6" x14ac:dyDescent="0.3">
      <c r="A51" s="27"/>
      <c r="B51" s="5" t="s">
        <v>189</v>
      </c>
      <c r="C51" s="26" t="s">
        <v>190</v>
      </c>
      <c r="D51" s="28"/>
      <c r="E51" s="28"/>
      <c r="F51" s="28"/>
      <c r="G51" s="28"/>
      <c r="H51" s="41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2"/>
    </row>
    <row r="52" spans="1:21" ht="15.6" x14ac:dyDescent="0.3">
      <c r="A52" s="27"/>
      <c r="B52" s="5" t="s">
        <v>191</v>
      </c>
      <c r="C52" s="26" t="s">
        <v>192</v>
      </c>
      <c r="D52" s="28"/>
      <c r="E52" s="28"/>
      <c r="F52" s="28"/>
      <c r="G52" s="28"/>
      <c r="H52" s="41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2"/>
    </row>
  </sheetData>
  <sheetProtection password="C644" sheet="1" formatColumns="0" autoFilter="0"/>
  <autoFilter ref="A7:U7"/>
  <mergeCells count="54">
    <mergeCell ref="H50:U50"/>
    <mergeCell ref="H51:U51"/>
    <mergeCell ref="H52:U52"/>
    <mergeCell ref="H45:U45"/>
    <mergeCell ref="H46:U46"/>
    <mergeCell ref="H47:U47"/>
    <mergeCell ref="H48:U48"/>
    <mergeCell ref="H49:U49"/>
    <mergeCell ref="H40:U40"/>
    <mergeCell ref="H41:U41"/>
    <mergeCell ref="H42:U42"/>
    <mergeCell ref="H43:U43"/>
    <mergeCell ref="H44:U44"/>
    <mergeCell ref="H35:U35"/>
    <mergeCell ref="H36:U36"/>
    <mergeCell ref="H37:U37"/>
    <mergeCell ref="H38:U38"/>
    <mergeCell ref="H39:U39"/>
    <mergeCell ref="C22:I22"/>
    <mergeCell ref="C23:I23"/>
    <mergeCell ref="C24:I24"/>
    <mergeCell ref="C25:I25"/>
    <mergeCell ref="A34:U34"/>
    <mergeCell ref="C11:I11"/>
    <mergeCell ref="C12:I12"/>
    <mergeCell ref="C13:I13"/>
    <mergeCell ref="C14:I14"/>
    <mergeCell ref="C21:I21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tabSelected="1" topLeftCell="A10" zoomScale="55" zoomScaleNormal="55" workbookViewId="0">
      <selection activeCell="C15" sqref="C15"/>
    </sheetView>
  </sheetViews>
  <sheetFormatPr defaultRowHeight="14.4" x14ac:dyDescent="0.3"/>
  <cols>
    <col min="1" max="1" width="20" customWidth="1"/>
    <col min="2" max="2" width="20.218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11</v>
      </c>
      <c r="AD1" s="4" t="s">
        <v>12</v>
      </c>
      <c r="AE1" s="4" t="s">
        <v>13</v>
      </c>
      <c r="AF1" s="4" t="s">
        <v>14</v>
      </c>
      <c r="AG1" s="4" t="s">
        <v>15</v>
      </c>
      <c r="AH1" s="4" t="s">
        <v>16</v>
      </c>
      <c r="AI1" s="4" t="s">
        <v>17</v>
      </c>
    </row>
    <row r="2" spans="1:35" ht="30.75" customHeight="1" x14ac:dyDescent="0.3">
      <c r="A2" s="29" t="s">
        <v>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35" ht="15" customHeight="1" x14ac:dyDescent="0.3">
      <c r="A3" s="30" t="s">
        <v>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35" ht="15" customHeight="1" x14ac:dyDescent="0.3">
      <c r="A4" s="31" t="s">
        <v>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</row>
    <row r="5" spans="1:35" ht="40.799999999999997" customHeight="1" x14ac:dyDescent="0.3">
      <c r="A5" s="38" t="s">
        <v>18</v>
      </c>
      <c r="B5" s="38" t="s">
        <v>19</v>
      </c>
      <c r="C5" s="38" t="s">
        <v>20</v>
      </c>
      <c r="D5" s="38" t="s">
        <v>21</v>
      </c>
      <c r="E5" s="38" t="s">
        <v>22</v>
      </c>
      <c r="F5" s="38" t="s">
        <v>23</v>
      </c>
      <c r="G5" s="38" t="s">
        <v>24</v>
      </c>
      <c r="H5" s="38" t="s">
        <v>25</v>
      </c>
      <c r="I5" s="38" t="s">
        <v>26</v>
      </c>
      <c r="J5" s="32" t="s">
        <v>7</v>
      </c>
      <c r="K5" s="33"/>
      <c r="L5" s="33"/>
      <c r="M5" s="33"/>
      <c r="N5" s="33"/>
      <c r="O5" s="34"/>
      <c r="P5" s="35" t="s">
        <v>8</v>
      </c>
      <c r="Q5" s="36"/>
      <c r="R5" s="37"/>
      <c r="S5" s="35" t="s">
        <v>9</v>
      </c>
      <c r="T5" s="36"/>
      <c r="U5" s="37"/>
    </row>
    <row r="6" spans="1:35" ht="15.75" customHeight="1" x14ac:dyDescent="0.3">
      <c r="A6" s="39"/>
      <c r="B6" s="39"/>
      <c r="C6" s="39"/>
      <c r="D6" s="39"/>
      <c r="E6" s="39"/>
      <c r="F6" s="39"/>
      <c r="G6" s="39"/>
      <c r="H6" s="39"/>
      <c r="I6" s="39"/>
      <c r="J6" s="41" t="s">
        <v>27</v>
      </c>
      <c r="K6" s="42"/>
      <c r="L6" s="38" t="s">
        <v>27</v>
      </c>
      <c r="M6" s="41" t="s">
        <v>30</v>
      </c>
      <c r="N6" s="42"/>
      <c r="O6" s="38" t="s">
        <v>31</v>
      </c>
      <c r="P6" s="41" t="s">
        <v>27</v>
      </c>
      <c r="Q6" s="42"/>
      <c r="R6" s="38" t="s">
        <v>27</v>
      </c>
      <c r="S6" s="41" t="s">
        <v>30</v>
      </c>
      <c r="T6" s="42"/>
      <c r="U6" s="38" t="s">
        <v>31</v>
      </c>
    </row>
    <row r="7" spans="1:35" ht="31.2" customHeight="1" x14ac:dyDescent="0.3">
      <c r="A7" s="40"/>
      <c r="B7" s="40"/>
      <c r="C7" s="40"/>
      <c r="D7" s="40"/>
      <c r="E7" s="40"/>
      <c r="F7" s="40"/>
      <c r="G7" s="40"/>
      <c r="H7" s="40"/>
      <c r="I7" s="40"/>
      <c r="J7" s="5" t="s">
        <v>28</v>
      </c>
      <c r="K7" s="5" t="s">
        <v>29</v>
      </c>
      <c r="L7" s="40"/>
      <c r="M7" s="5" t="s">
        <v>28</v>
      </c>
      <c r="N7" s="5" t="s">
        <v>29</v>
      </c>
      <c r="O7" s="40"/>
      <c r="P7" s="5" t="s">
        <v>28</v>
      </c>
      <c r="Q7" s="5" t="s">
        <v>29</v>
      </c>
      <c r="R7" s="40"/>
      <c r="S7" s="5" t="s">
        <v>28</v>
      </c>
      <c r="T7" s="5" t="s">
        <v>29</v>
      </c>
      <c r="U7" s="40"/>
    </row>
    <row r="8" spans="1:35" ht="30" customHeight="1" x14ac:dyDescent="0.3">
      <c r="A8" s="43" t="s">
        <v>32</v>
      </c>
      <c r="B8" s="44"/>
      <c r="C8" s="44"/>
      <c r="D8" s="44"/>
      <c r="E8" s="44"/>
      <c r="F8" s="44"/>
      <c r="G8" s="44"/>
      <c r="H8" s="44"/>
      <c r="I8" s="45"/>
      <c r="J8" s="7"/>
      <c r="K8" s="7"/>
      <c r="L8" s="7"/>
      <c r="M8" s="8">
        <f>SUM(M9)</f>
        <v>912240.67</v>
      </c>
      <c r="N8" s="8">
        <f>SUM(N9)</f>
        <v>3162787.65</v>
      </c>
      <c r="O8" s="8">
        <f>SUM(O9)</f>
        <v>4075028.32</v>
      </c>
      <c r="P8" s="7"/>
      <c r="Q8" s="7"/>
      <c r="R8" s="7"/>
      <c r="S8" s="8">
        <f>SUM(S9)</f>
        <v>2397116.7999999998</v>
      </c>
      <c r="T8" s="8">
        <f>SUM(T9)</f>
        <v>4744181.4800000004</v>
      </c>
      <c r="U8" s="8">
        <f>SUM(U9)</f>
        <v>7141298.2799999993</v>
      </c>
      <c r="Y8" s="9">
        <f>SUM(Y9)</f>
        <v>1997597.34</v>
      </c>
      <c r="Z8" s="9">
        <f>SUM(Z9)</f>
        <v>3953484.58</v>
      </c>
      <c r="AA8" s="9">
        <f>SUM(AA9)</f>
        <v>5951081.9199999999</v>
      </c>
      <c r="AC8" s="4" t="s">
        <v>33</v>
      </c>
    </row>
    <row r="9" spans="1:35" ht="16.95" customHeight="1" x14ac:dyDescent="0.3">
      <c r="A9" s="10" t="s">
        <v>34</v>
      </c>
      <c r="B9" s="10" t="s">
        <v>35</v>
      </c>
      <c r="C9" s="46" t="s">
        <v>36</v>
      </c>
      <c r="D9" s="47"/>
      <c r="E9" s="47"/>
      <c r="F9" s="47"/>
      <c r="G9" s="47"/>
      <c r="H9" s="47"/>
      <c r="I9" s="48"/>
      <c r="M9" s="6">
        <f>SUM(M10,M21)</f>
        <v>912240.67</v>
      </c>
      <c r="N9" s="6">
        <f>SUM(N10,N21)</f>
        <v>3162787.65</v>
      </c>
      <c r="O9" s="6">
        <f>SUM(O10,O21)</f>
        <v>4075028.32</v>
      </c>
      <c r="S9" s="6">
        <f>SUM(S10,S21)</f>
        <v>2397116.7999999998</v>
      </c>
      <c r="T9" s="6">
        <f>SUM(T10,T21)</f>
        <v>4744181.4800000004</v>
      </c>
      <c r="U9" s="6">
        <f>SUM(U10,U21)</f>
        <v>7141298.2799999993</v>
      </c>
      <c r="Y9" s="9">
        <f>SUM(Y10,Y21)</f>
        <v>1997597.34</v>
      </c>
      <c r="Z9" s="9">
        <f>SUM(Z10,Z21)</f>
        <v>3953484.58</v>
      </c>
      <c r="AA9" s="9">
        <f>SUM(AA10,AA21)</f>
        <v>5951081.9199999999</v>
      </c>
      <c r="AD9" s="4">
        <v>311004182</v>
      </c>
      <c r="AE9" s="4">
        <v>21847834</v>
      </c>
    </row>
    <row r="10" spans="1:35" ht="16.95" customHeight="1" x14ac:dyDescent="0.3">
      <c r="A10" s="10" t="s">
        <v>37</v>
      </c>
      <c r="B10" s="10" t="s">
        <v>38</v>
      </c>
      <c r="C10" s="46" t="s">
        <v>39</v>
      </c>
      <c r="D10" s="47"/>
      <c r="E10" s="47"/>
      <c r="F10" s="47"/>
      <c r="G10" s="47"/>
      <c r="H10" s="47"/>
      <c r="I10" s="48"/>
      <c r="M10" s="6">
        <f t="shared" ref="M10:O14" si="0">SUM(M11)</f>
        <v>794775.29</v>
      </c>
      <c r="N10" s="6">
        <f t="shared" si="0"/>
        <v>1420439.13</v>
      </c>
      <c r="O10" s="6">
        <f t="shared" si="0"/>
        <v>2215214.42</v>
      </c>
      <c r="S10" s="6">
        <f t="shared" ref="S10:U14" si="1">SUM(S11)</f>
        <v>2279651.42</v>
      </c>
      <c r="T10" s="6">
        <f t="shared" si="1"/>
        <v>2130658.7000000002</v>
      </c>
      <c r="U10" s="6">
        <f t="shared" si="1"/>
        <v>4410310.12</v>
      </c>
      <c r="Y10" s="9">
        <f t="shared" ref="Y10:AA14" si="2">SUM(Y11)</f>
        <v>1899709.52</v>
      </c>
      <c r="Z10" s="9">
        <f t="shared" si="2"/>
        <v>1775548.92</v>
      </c>
      <c r="AA10" s="9">
        <f t="shared" si="2"/>
        <v>3675258.44</v>
      </c>
      <c r="AD10" s="4">
        <v>311004183</v>
      </c>
      <c r="AE10" s="4">
        <v>23798067</v>
      </c>
    </row>
    <row r="11" spans="1:35" ht="16.95" customHeight="1" x14ac:dyDescent="0.3">
      <c r="A11" s="10" t="s">
        <v>40</v>
      </c>
      <c r="B11" s="10" t="s">
        <v>41</v>
      </c>
      <c r="C11" s="46" t="s">
        <v>42</v>
      </c>
      <c r="D11" s="47"/>
      <c r="E11" s="47"/>
      <c r="F11" s="47"/>
      <c r="G11" s="47"/>
      <c r="H11" s="47"/>
      <c r="I11" s="48"/>
      <c r="M11" s="6">
        <f t="shared" si="0"/>
        <v>794775.29</v>
      </c>
      <c r="N11" s="6">
        <f t="shared" si="0"/>
        <v>1420439.13</v>
      </c>
      <c r="O11" s="6">
        <f t="shared" si="0"/>
        <v>2215214.42</v>
      </c>
      <c r="S11" s="6">
        <f t="shared" si="1"/>
        <v>2279651.42</v>
      </c>
      <c r="T11" s="6">
        <f t="shared" si="1"/>
        <v>2130658.7000000002</v>
      </c>
      <c r="U11" s="6">
        <f t="shared" si="1"/>
        <v>4410310.12</v>
      </c>
      <c r="Y11" s="9">
        <f t="shared" si="2"/>
        <v>1899709.52</v>
      </c>
      <c r="Z11" s="9">
        <f t="shared" si="2"/>
        <v>1775548.92</v>
      </c>
      <c r="AA11" s="9">
        <f t="shared" si="2"/>
        <v>3675258.44</v>
      </c>
      <c r="AD11" s="4">
        <v>311004184</v>
      </c>
      <c r="AE11" s="4">
        <v>23798064</v>
      </c>
    </row>
    <row r="12" spans="1:35" ht="16.95" customHeight="1" x14ac:dyDescent="0.3">
      <c r="A12" s="10" t="s">
        <v>43</v>
      </c>
      <c r="B12" s="10" t="s">
        <v>44</v>
      </c>
      <c r="C12" s="46" t="s">
        <v>45</v>
      </c>
      <c r="D12" s="47"/>
      <c r="E12" s="47"/>
      <c r="F12" s="47"/>
      <c r="G12" s="47"/>
      <c r="H12" s="47"/>
      <c r="I12" s="48"/>
      <c r="M12" s="6">
        <f t="shared" si="0"/>
        <v>794775.29</v>
      </c>
      <c r="N12" s="6">
        <f t="shared" si="0"/>
        <v>1420439.13</v>
      </c>
      <c r="O12" s="6">
        <f t="shared" si="0"/>
        <v>2215214.42</v>
      </c>
      <c r="S12" s="6">
        <f t="shared" si="1"/>
        <v>2279651.42</v>
      </c>
      <c r="T12" s="6">
        <f t="shared" si="1"/>
        <v>2130658.7000000002</v>
      </c>
      <c r="U12" s="6">
        <f t="shared" si="1"/>
        <v>4410310.12</v>
      </c>
      <c r="Y12" s="9">
        <f t="shared" si="2"/>
        <v>1899709.52</v>
      </c>
      <c r="Z12" s="9">
        <f t="shared" si="2"/>
        <v>1775548.92</v>
      </c>
      <c r="AA12" s="9">
        <f t="shared" si="2"/>
        <v>3675258.44</v>
      </c>
      <c r="AD12" s="4">
        <v>311004185</v>
      </c>
      <c r="AE12" s="4">
        <v>23798061</v>
      </c>
    </row>
    <row r="13" spans="1:35" ht="16.95" customHeight="1" x14ac:dyDescent="0.3">
      <c r="A13" s="10" t="s">
        <v>46</v>
      </c>
      <c r="B13" s="10" t="s">
        <v>47</v>
      </c>
      <c r="C13" s="46" t="s">
        <v>48</v>
      </c>
      <c r="D13" s="47"/>
      <c r="E13" s="47"/>
      <c r="F13" s="47"/>
      <c r="G13" s="47"/>
      <c r="H13" s="47"/>
      <c r="I13" s="48"/>
      <c r="M13" s="6">
        <f t="shared" si="0"/>
        <v>794775.29</v>
      </c>
      <c r="N13" s="6">
        <f t="shared" si="0"/>
        <v>1420439.13</v>
      </c>
      <c r="O13" s="6">
        <f t="shared" si="0"/>
        <v>2215214.42</v>
      </c>
      <c r="S13" s="6">
        <f t="shared" si="1"/>
        <v>2279651.42</v>
      </c>
      <c r="T13" s="6">
        <f t="shared" si="1"/>
        <v>2130658.7000000002</v>
      </c>
      <c r="U13" s="6">
        <f t="shared" si="1"/>
        <v>4410310.12</v>
      </c>
      <c r="Y13" s="9">
        <f t="shared" si="2"/>
        <v>1899709.52</v>
      </c>
      <c r="Z13" s="9">
        <f t="shared" si="2"/>
        <v>1775548.92</v>
      </c>
      <c r="AA13" s="9">
        <f t="shared" si="2"/>
        <v>3675258.44</v>
      </c>
      <c r="AD13" s="4">
        <v>311004186</v>
      </c>
      <c r="AE13" s="4">
        <v>23798065</v>
      </c>
    </row>
    <row r="14" spans="1:35" ht="16.95" customHeight="1" x14ac:dyDescent="0.3">
      <c r="A14" s="10" t="s">
        <v>49</v>
      </c>
      <c r="B14" s="10" t="s">
        <v>50</v>
      </c>
      <c r="C14" s="46" t="s">
        <v>51</v>
      </c>
      <c r="D14" s="47"/>
      <c r="E14" s="47"/>
      <c r="F14" s="47"/>
      <c r="G14" s="47"/>
      <c r="H14" s="47"/>
      <c r="I14" s="48"/>
      <c r="M14" s="6">
        <f t="shared" si="0"/>
        <v>794775.29</v>
      </c>
      <c r="N14" s="6">
        <f t="shared" si="0"/>
        <v>1420439.13</v>
      </c>
      <c r="O14" s="6">
        <f t="shared" si="0"/>
        <v>2215214.42</v>
      </c>
      <c r="S14" s="6">
        <f t="shared" si="1"/>
        <v>2279651.42</v>
      </c>
      <c r="T14" s="6">
        <f t="shared" si="1"/>
        <v>2130658.7000000002</v>
      </c>
      <c r="U14" s="6">
        <f t="shared" si="1"/>
        <v>4410310.12</v>
      </c>
      <c r="Y14" s="9">
        <f t="shared" si="2"/>
        <v>1899709.52</v>
      </c>
      <c r="Z14" s="9">
        <f t="shared" si="2"/>
        <v>1775548.92</v>
      </c>
      <c r="AA14" s="9">
        <f t="shared" si="2"/>
        <v>3675258.44</v>
      </c>
      <c r="AD14" s="4">
        <v>311004187</v>
      </c>
      <c r="AE14" s="4">
        <v>23798062</v>
      </c>
    </row>
    <row r="15" spans="1:35" ht="144" x14ac:dyDescent="0.3">
      <c r="A15" s="10" t="s">
        <v>52</v>
      </c>
      <c r="B15" s="10" t="s">
        <v>53</v>
      </c>
      <c r="C15" s="11" t="s">
        <v>54</v>
      </c>
      <c r="D15" s="12" t="s">
        <v>55</v>
      </c>
      <c r="E15" s="12" t="s">
        <v>56</v>
      </c>
      <c r="F15" s="12" t="s">
        <v>57</v>
      </c>
      <c r="G15" s="13">
        <v>1</v>
      </c>
      <c r="H15" s="50">
        <v>675.39</v>
      </c>
      <c r="I15" s="13">
        <v>713.43</v>
      </c>
      <c r="J15" s="14">
        <v>1114.02</v>
      </c>
      <c r="K15" s="15">
        <v>1991</v>
      </c>
      <c r="L15" s="14">
        <f>J15+ROUND(K15, 2)</f>
        <v>3105.02</v>
      </c>
      <c r="M15" s="14">
        <v>794775.29</v>
      </c>
      <c r="N15" s="14">
        <v>1420439.13</v>
      </c>
      <c r="O15" s="14">
        <f>M15+N15</f>
        <v>2215214.42</v>
      </c>
      <c r="P15" s="14">
        <v>3195.34</v>
      </c>
      <c r="Q15" s="15">
        <v>2986.5</v>
      </c>
      <c r="R15" s="14">
        <f>P15+ROUND(Q15, 2)</f>
        <v>6181.84</v>
      </c>
      <c r="S15" s="14">
        <v>2279651.42</v>
      </c>
      <c r="T15" s="14">
        <v>2130658.7000000002</v>
      </c>
      <c r="U15" s="14">
        <f>S15+T15</f>
        <v>4410310.12</v>
      </c>
      <c r="V15" s="9">
        <f>ROUND(P15 / 1.2, 2)</f>
        <v>2662.78</v>
      </c>
      <c r="W15" s="9">
        <f>ROUND(Q15 / 1.2, 2)</f>
        <v>2488.75</v>
      </c>
      <c r="X15" s="9">
        <f>ROUND(R15 / 1.2, 2)</f>
        <v>5151.53</v>
      </c>
      <c r="Y15" s="9">
        <f>ROUND(S15 / 1.2, 2)</f>
        <v>1899709.52</v>
      </c>
      <c r="Z15" s="9">
        <f>ROUND(T15 / 1.2, 2)</f>
        <v>1775548.92</v>
      </c>
      <c r="AA15" s="9">
        <f>Y15+Z15</f>
        <v>3675258.44</v>
      </c>
      <c r="AD15" s="4">
        <v>311004189</v>
      </c>
      <c r="AE15" s="4">
        <v>23798066</v>
      </c>
      <c r="AG15" s="4" t="s">
        <v>58</v>
      </c>
      <c r="AH15" s="4" t="s">
        <v>59</v>
      </c>
      <c r="AI15" s="4" t="s">
        <v>60</v>
      </c>
    </row>
    <row r="16" spans="1:35" ht="54" x14ac:dyDescent="0.3">
      <c r="A16" s="10" t="s">
        <v>61</v>
      </c>
      <c r="B16" s="10"/>
      <c r="C16" s="16" t="s">
        <v>62</v>
      </c>
      <c r="D16" s="12"/>
      <c r="E16" s="12"/>
      <c r="F16" s="17" t="s">
        <v>63</v>
      </c>
      <c r="G16" s="18">
        <v>1</v>
      </c>
      <c r="H16" s="18"/>
      <c r="I16" s="18">
        <v>713.43</v>
      </c>
      <c r="J16" s="19">
        <v>89.83</v>
      </c>
      <c r="M16" s="20">
        <f>ROUND(ROUND(J16, 2)*I16, 2)</f>
        <v>64087.42</v>
      </c>
      <c r="P16" s="19">
        <v>89.83</v>
      </c>
      <c r="S16" s="20">
        <f>ROUND(ROUND(P16, 2)*I16, 2)</f>
        <v>64087.42</v>
      </c>
      <c r="V16" s="9">
        <f>ROUND(ROUND(P16, 2)/1.2, 2)</f>
        <v>74.86</v>
      </c>
      <c r="Y16" s="9">
        <f>ROUND(S16 / 1.2, 2)</f>
        <v>53406.18</v>
      </c>
      <c r="AD16" s="4" t="s">
        <v>64</v>
      </c>
      <c r="AE16" s="4" t="s">
        <v>65</v>
      </c>
      <c r="AF16" s="4" t="s">
        <v>66</v>
      </c>
    </row>
    <row r="17" spans="1:35" ht="36" x14ac:dyDescent="0.3">
      <c r="A17" s="10" t="s">
        <v>67</v>
      </c>
      <c r="B17" s="10"/>
      <c r="C17" s="21" t="s">
        <v>68</v>
      </c>
      <c r="D17" s="12"/>
      <c r="E17" s="12" t="s">
        <v>69</v>
      </c>
      <c r="F17" s="17" t="s">
        <v>70</v>
      </c>
      <c r="G17" s="18">
        <v>0.8</v>
      </c>
      <c r="H17" s="22">
        <f>I17/$I$15*$H$15</f>
        <v>540.31200000000001</v>
      </c>
      <c r="I17" s="22">
        <v>570.74400000000003</v>
      </c>
      <c r="J17" s="19">
        <v>66</v>
      </c>
      <c r="M17" s="20">
        <f>ROUND(ROUND(J17, 2)*I17, 2)</f>
        <v>37669.1</v>
      </c>
      <c r="P17" s="19">
        <v>533.97</v>
      </c>
      <c r="S17" s="20">
        <f>ROUND(ROUND(P17, 2)*I17, 2)</f>
        <v>304760.17</v>
      </c>
      <c r="V17" s="9">
        <f>ROUND(ROUND(P17, 2)/1.2, 2)</f>
        <v>444.98</v>
      </c>
      <c r="Y17" s="9">
        <f>ROUND(S17 / 1.2, 2)</f>
        <v>253966.81</v>
      </c>
      <c r="AD17" s="4" t="s">
        <v>71</v>
      </c>
      <c r="AE17" s="4" t="s">
        <v>72</v>
      </c>
      <c r="AF17" s="4" t="s">
        <v>73</v>
      </c>
    </row>
    <row r="18" spans="1:35" ht="36" x14ac:dyDescent="0.3">
      <c r="A18" s="10" t="s">
        <v>74</v>
      </c>
      <c r="B18" s="10"/>
      <c r="C18" s="21" t="s">
        <v>75</v>
      </c>
      <c r="D18" s="12"/>
      <c r="E18" s="12" t="s">
        <v>76</v>
      </c>
      <c r="F18" s="17" t="s">
        <v>70</v>
      </c>
      <c r="G18" s="18">
        <v>2.1</v>
      </c>
      <c r="H18" s="22">
        <f t="shared" ref="H18:H20" si="3">I18/$I$15*$H$15</f>
        <v>1418.319</v>
      </c>
      <c r="I18" s="22">
        <v>1498.203</v>
      </c>
      <c r="J18" s="19">
        <v>96.66</v>
      </c>
      <c r="M18" s="20">
        <f>ROUND(ROUND(J18, 2)*I18, 2)</f>
        <v>144816.29999999999</v>
      </c>
      <c r="P18" s="19">
        <v>539.07000000000005</v>
      </c>
      <c r="S18" s="20">
        <f>ROUND(ROUND(P18, 2)*I18, 2)</f>
        <v>807636.29</v>
      </c>
      <c r="V18" s="9">
        <f>ROUND(ROUND(P18, 2)/1.2, 2)</f>
        <v>449.23</v>
      </c>
      <c r="Y18" s="9">
        <f>ROUND(S18 / 1.2, 2)</f>
        <v>673030.24</v>
      </c>
      <c r="AD18" s="4" t="s">
        <v>77</v>
      </c>
      <c r="AE18" s="4" t="s">
        <v>78</v>
      </c>
      <c r="AF18" s="4" t="s">
        <v>79</v>
      </c>
    </row>
    <row r="19" spans="1:35" ht="54" x14ac:dyDescent="0.3">
      <c r="A19" s="10" t="s">
        <v>80</v>
      </c>
      <c r="B19" s="10"/>
      <c r="C19" s="16" t="s">
        <v>81</v>
      </c>
      <c r="D19" s="12"/>
      <c r="E19" s="12" t="s">
        <v>82</v>
      </c>
      <c r="F19" s="17" t="s">
        <v>57</v>
      </c>
      <c r="G19" s="18">
        <v>4.2</v>
      </c>
      <c r="H19" s="22">
        <f t="shared" si="3"/>
        <v>2836.6379999999999</v>
      </c>
      <c r="I19" s="18">
        <v>2996.4059999999999</v>
      </c>
      <c r="J19" s="19">
        <v>137.79</v>
      </c>
      <c r="M19" s="20">
        <f>ROUND(ROUND(J19, 2)*I19, 2)</f>
        <v>412874.78</v>
      </c>
      <c r="P19" s="19">
        <v>323</v>
      </c>
      <c r="S19" s="20">
        <f>ROUND(ROUND(P19, 2)*I19, 2)</f>
        <v>967839.14</v>
      </c>
      <c r="V19" s="9">
        <f>ROUND(ROUND(P19, 2)/1.2, 2)</f>
        <v>269.17</v>
      </c>
      <c r="Y19" s="9">
        <f>ROUND(S19 / 1.2, 2)</f>
        <v>806532.62</v>
      </c>
      <c r="AD19" s="4" t="s">
        <v>83</v>
      </c>
      <c r="AE19" s="4" t="s">
        <v>84</v>
      </c>
      <c r="AF19" s="4" t="s">
        <v>85</v>
      </c>
    </row>
    <row r="20" spans="1:35" ht="72" x14ac:dyDescent="0.3">
      <c r="A20" s="10" t="s">
        <v>86</v>
      </c>
      <c r="B20" s="10"/>
      <c r="C20" s="16" t="s">
        <v>87</v>
      </c>
      <c r="D20" s="12"/>
      <c r="E20" s="12" t="s">
        <v>88</v>
      </c>
      <c r="F20" s="17" t="s">
        <v>89</v>
      </c>
      <c r="G20" s="18">
        <v>5.1999999999999998E-2</v>
      </c>
      <c r="H20" s="22">
        <f t="shared" si="3"/>
        <v>35.119939195155794</v>
      </c>
      <c r="I20" s="18">
        <v>37.097999999999999</v>
      </c>
      <c r="J20" s="19">
        <v>3647.8</v>
      </c>
      <c r="M20" s="20">
        <f>ROUND(ROUND(J20, 2)*I20, 2)</f>
        <v>135326.07999999999</v>
      </c>
      <c r="P20" s="19">
        <v>3647.8</v>
      </c>
      <c r="S20" s="20">
        <f>ROUND(ROUND(P20, 2)*I20, 2)</f>
        <v>135326.07999999999</v>
      </c>
      <c r="V20" s="9">
        <f>ROUND(ROUND(P20, 2)/1.2, 2)</f>
        <v>3039.83</v>
      </c>
      <c r="Y20" s="9">
        <f>ROUND(S20 / 1.2, 2)</f>
        <v>112771.73</v>
      </c>
      <c r="AD20" s="4" t="s">
        <v>90</v>
      </c>
      <c r="AE20" s="4" t="s">
        <v>91</v>
      </c>
      <c r="AF20" s="4" t="s">
        <v>92</v>
      </c>
    </row>
    <row r="21" spans="1:35" ht="16.95" customHeight="1" x14ac:dyDescent="0.3">
      <c r="A21" s="10" t="s">
        <v>93</v>
      </c>
      <c r="B21" s="10" t="s">
        <v>94</v>
      </c>
      <c r="C21" s="46" t="s">
        <v>95</v>
      </c>
      <c r="D21" s="47"/>
      <c r="E21" s="47"/>
      <c r="F21" s="47"/>
      <c r="G21" s="47"/>
      <c r="H21" s="47"/>
      <c r="I21" s="48"/>
      <c r="M21" s="6">
        <f t="shared" ref="M21:O24" si="4">SUM(M22)</f>
        <v>117465.37999999999</v>
      </c>
      <c r="N21" s="6">
        <f t="shared" si="4"/>
        <v>1742348.52</v>
      </c>
      <c r="O21" s="6">
        <f t="shared" si="4"/>
        <v>1859813.9</v>
      </c>
      <c r="S21" s="6">
        <f t="shared" ref="S21:U24" si="5">SUM(S22)</f>
        <v>117465.37999999999</v>
      </c>
      <c r="T21" s="6">
        <f t="shared" si="5"/>
        <v>2613522.7799999998</v>
      </c>
      <c r="U21" s="6">
        <f t="shared" si="5"/>
        <v>2730988.1599999997</v>
      </c>
      <c r="Y21" s="9">
        <f t="shared" ref="Y21:AA24" si="6">SUM(Y22)</f>
        <v>97887.82</v>
      </c>
      <c r="Z21" s="9">
        <f t="shared" si="6"/>
        <v>2177935.66</v>
      </c>
      <c r="AA21" s="9">
        <f t="shared" si="6"/>
        <v>2275823.4800000004</v>
      </c>
      <c r="AD21" s="4">
        <v>311004190</v>
      </c>
      <c r="AE21" s="4">
        <v>21847836</v>
      </c>
    </row>
    <row r="22" spans="1:35" ht="16.95" customHeight="1" x14ac:dyDescent="0.3">
      <c r="A22" s="10" t="s">
        <v>96</v>
      </c>
      <c r="B22" s="10" t="s">
        <v>97</v>
      </c>
      <c r="C22" s="46" t="s">
        <v>98</v>
      </c>
      <c r="D22" s="47"/>
      <c r="E22" s="47"/>
      <c r="F22" s="47"/>
      <c r="G22" s="47"/>
      <c r="H22" s="47"/>
      <c r="I22" s="48"/>
      <c r="M22" s="6">
        <f t="shared" si="4"/>
        <v>117465.37999999999</v>
      </c>
      <c r="N22" s="6">
        <f t="shared" si="4"/>
        <v>1742348.52</v>
      </c>
      <c r="O22" s="6">
        <f t="shared" si="4"/>
        <v>1859813.9</v>
      </c>
      <c r="S22" s="6">
        <f t="shared" si="5"/>
        <v>117465.37999999999</v>
      </c>
      <c r="T22" s="6">
        <f t="shared" si="5"/>
        <v>2613522.7799999998</v>
      </c>
      <c r="U22" s="6">
        <f t="shared" si="5"/>
        <v>2730988.1599999997</v>
      </c>
      <c r="Y22" s="9">
        <f t="shared" si="6"/>
        <v>97887.82</v>
      </c>
      <c r="Z22" s="9">
        <f t="shared" si="6"/>
        <v>2177935.66</v>
      </c>
      <c r="AA22" s="9">
        <f t="shared" si="6"/>
        <v>2275823.4800000004</v>
      </c>
      <c r="AD22" s="4">
        <v>311004191</v>
      </c>
      <c r="AE22" s="4">
        <v>21847838</v>
      </c>
    </row>
    <row r="23" spans="1:35" ht="16.95" customHeight="1" x14ac:dyDescent="0.3">
      <c r="A23" s="10" t="s">
        <v>99</v>
      </c>
      <c r="B23" s="10" t="s">
        <v>100</v>
      </c>
      <c r="C23" s="46" t="s">
        <v>101</v>
      </c>
      <c r="D23" s="47"/>
      <c r="E23" s="47"/>
      <c r="F23" s="47"/>
      <c r="G23" s="47"/>
      <c r="H23" s="47"/>
      <c r="I23" s="48"/>
      <c r="M23" s="6">
        <f t="shared" si="4"/>
        <v>117465.37999999999</v>
      </c>
      <c r="N23" s="6">
        <f t="shared" si="4"/>
        <v>1742348.52</v>
      </c>
      <c r="O23" s="6">
        <f t="shared" si="4"/>
        <v>1859813.9</v>
      </c>
      <c r="S23" s="6">
        <f t="shared" si="5"/>
        <v>117465.37999999999</v>
      </c>
      <c r="T23" s="6">
        <f t="shared" si="5"/>
        <v>2613522.7799999998</v>
      </c>
      <c r="U23" s="6">
        <f t="shared" si="5"/>
        <v>2730988.1599999997</v>
      </c>
      <c r="Y23" s="9">
        <f t="shared" si="6"/>
        <v>97887.82</v>
      </c>
      <c r="Z23" s="9">
        <f t="shared" si="6"/>
        <v>2177935.66</v>
      </c>
      <c r="AA23" s="9">
        <f t="shared" si="6"/>
        <v>2275823.4800000004</v>
      </c>
      <c r="AD23" s="4">
        <v>311004192</v>
      </c>
      <c r="AE23" s="4">
        <v>21847840</v>
      </c>
    </row>
    <row r="24" spans="1:35" ht="16.95" customHeight="1" x14ac:dyDescent="0.3">
      <c r="A24" s="10" t="s">
        <v>102</v>
      </c>
      <c r="B24" s="10" t="s">
        <v>103</v>
      </c>
      <c r="C24" s="46" t="s">
        <v>104</v>
      </c>
      <c r="D24" s="47"/>
      <c r="E24" s="47"/>
      <c r="F24" s="47"/>
      <c r="G24" s="47"/>
      <c r="H24" s="47"/>
      <c r="I24" s="48"/>
      <c r="M24" s="6">
        <f t="shared" si="4"/>
        <v>117465.37999999999</v>
      </c>
      <c r="N24" s="6">
        <f t="shared" si="4"/>
        <v>1742348.52</v>
      </c>
      <c r="O24" s="6">
        <f t="shared" si="4"/>
        <v>1859813.9</v>
      </c>
      <c r="S24" s="6">
        <f t="shared" si="5"/>
        <v>117465.37999999999</v>
      </c>
      <c r="T24" s="6">
        <f t="shared" si="5"/>
        <v>2613522.7799999998</v>
      </c>
      <c r="U24" s="6">
        <f t="shared" si="5"/>
        <v>2730988.1599999997</v>
      </c>
      <c r="Y24" s="9">
        <f t="shared" si="6"/>
        <v>97887.82</v>
      </c>
      <c r="Z24" s="9">
        <f t="shared" si="6"/>
        <v>2177935.66</v>
      </c>
      <c r="AA24" s="9">
        <f t="shared" si="6"/>
        <v>2275823.4800000004</v>
      </c>
      <c r="AD24" s="4">
        <v>311004193</v>
      </c>
      <c r="AE24" s="4">
        <v>23798344</v>
      </c>
    </row>
    <row r="25" spans="1:35" ht="16.95" customHeight="1" x14ac:dyDescent="0.3">
      <c r="A25" s="10" t="s">
        <v>105</v>
      </c>
      <c r="B25" s="10" t="s">
        <v>106</v>
      </c>
      <c r="C25" s="46" t="s">
        <v>107</v>
      </c>
      <c r="D25" s="47"/>
      <c r="E25" s="47"/>
      <c r="F25" s="47"/>
      <c r="G25" s="47"/>
      <c r="H25" s="47"/>
      <c r="I25" s="48"/>
      <c r="M25" s="6">
        <f>SUM(M26,M30)</f>
        <v>117465.37999999999</v>
      </c>
      <c r="N25" s="6">
        <f>SUM(N26,N30)</f>
        <v>1742348.52</v>
      </c>
      <c r="O25" s="6">
        <f>SUM(O26,O30)</f>
        <v>1859813.9</v>
      </c>
      <c r="S25" s="6">
        <f>SUM(S26,S30)</f>
        <v>117465.37999999999</v>
      </c>
      <c r="T25" s="6">
        <f>SUM(T26,T30)</f>
        <v>2613522.7799999998</v>
      </c>
      <c r="U25" s="6">
        <f>SUM(U26,U30)</f>
        <v>2730988.1599999997</v>
      </c>
      <c r="Y25" s="9">
        <f>SUM(Y26,Y30)</f>
        <v>97887.82</v>
      </c>
      <c r="Z25" s="9">
        <f>SUM(Z26,Z30)</f>
        <v>2177935.66</v>
      </c>
      <c r="AA25" s="9">
        <f>SUM(AA26,AA30)</f>
        <v>2275823.4800000004</v>
      </c>
      <c r="AD25" s="4">
        <v>311004194</v>
      </c>
      <c r="AE25" s="4">
        <v>23798351</v>
      </c>
    </row>
    <row r="26" spans="1:35" ht="36" x14ac:dyDescent="0.3">
      <c r="A26" s="10" t="s">
        <v>108</v>
      </c>
      <c r="B26" s="10" t="s">
        <v>109</v>
      </c>
      <c r="C26" s="11" t="s">
        <v>110</v>
      </c>
      <c r="D26" s="12"/>
      <c r="E26" s="12" t="s">
        <v>111</v>
      </c>
      <c r="F26" s="12" t="s">
        <v>57</v>
      </c>
      <c r="G26" s="13">
        <v>1</v>
      </c>
      <c r="H26" s="13"/>
      <c r="I26" s="13">
        <v>1363.34</v>
      </c>
      <c r="J26" s="14">
        <v>54.23</v>
      </c>
      <c r="K26" s="15">
        <v>639</v>
      </c>
      <c r="L26" s="14">
        <f>J26+ROUND(K26, 2)</f>
        <v>693.23</v>
      </c>
      <c r="M26" s="14">
        <v>73933.929999999993</v>
      </c>
      <c r="N26" s="14">
        <v>871174.26</v>
      </c>
      <c r="O26" s="14">
        <f>M26+N26</f>
        <v>945108.19</v>
      </c>
      <c r="P26" s="14">
        <v>54.23</v>
      </c>
      <c r="Q26" s="15">
        <v>958.5</v>
      </c>
      <c r="R26" s="14">
        <f>P26+ROUND(Q26, 2)</f>
        <v>1012.73</v>
      </c>
      <c r="S26" s="14">
        <v>73933.929999999993</v>
      </c>
      <c r="T26" s="14">
        <v>1306761.3899999999</v>
      </c>
      <c r="U26" s="14">
        <f>S26+T26</f>
        <v>1380695.3199999998</v>
      </c>
      <c r="V26" s="9">
        <f>ROUND(P26 / 1.2, 2)</f>
        <v>45.19</v>
      </c>
      <c r="W26" s="9">
        <f>ROUND(Q26 / 1.2, 2)</f>
        <v>798.75</v>
      </c>
      <c r="X26" s="9">
        <f>ROUND(R26 / 1.2, 2)</f>
        <v>843.94</v>
      </c>
      <c r="Y26" s="9">
        <f>ROUND(S26 / 1.2, 2)</f>
        <v>61611.61</v>
      </c>
      <c r="Z26" s="9">
        <f>ROUND(T26 / 1.2, 2)</f>
        <v>1088967.83</v>
      </c>
      <c r="AA26" s="9">
        <f>Y26+Z26</f>
        <v>1150579.4400000002</v>
      </c>
      <c r="AD26" s="4">
        <v>311004196</v>
      </c>
      <c r="AE26" s="4">
        <v>23798358</v>
      </c>
      <c r="AG26" s="4" t="s">
        <v>112</v>
      </c>
      <c r="AH26" s="4" t="s">
        <v>113</v>
      </c>
      <c r="AI26" s="4" t="s">
        <v>114</v>
      </c>
    </row>
    <row r="27" spans="1:35" ht="36" x14ac:dyDescent="0.3">
      <c r="A27" s="10" t="s">
        <v>115</v>
      </c>
      <c r="B27" s="10"/>
      <c r="C27" s="21" t="s">
        <v>116</v>
      </c>
      <c r="D27" s="12"/>
      <c r="E27" s="12"/>
      <c r="F27" s="17" t="s">
        <v>117</v>
      </c>
      <c r="G27" s="18">
        <v>1.5</v>
      </c>
      <c r="H27" s="18"/>
      <c r="I27" s="18">
        <v>2045.01</v>
      </c>
      <c r="J27" s="19">
        <v>12.26</v>
      </c>
      <c r="M27" s="20">
        <f>ROUND(ROUND(J27, 2)*I27, 2)</f>
        <v>25071.82</v>
      </c>
      <c r="P27" s="19">
        <v>12.26</v>
      </c>
      <c r="S27" s="20">
        <f>ROUND(ROUND(P27, 2)*I27, 2)</f>
        <v>25071.82</v>
      </c>
      <c r="V27" s="9">
        <f>ROUND(ROUND(P27, 2)/1.2, 2)</f>
        <v>10.220000000000001</v>
      </c>
      <c r="Y27" s="9">
        <f t="shared" ref="Y27:Y32" si="7">ROUND(S27 / 1.2, 2)</f>
        <v>20893.18</v>
      </c>
      <c r="AD27" s="4" t="s">
        <v>118</v>
      </c>
      <c r="AE27" s="4" t="s">
        <v>119</v>
      </c>
      <c r="AF27" s="4" t="s">
        <v>120</v>
      </c>
    </row>
    <row r="28" spans="1:35" ht="36" x14ac:dyDescent="0.3">
      <c r="A28" s="10" t="s">
        <v>121</v>
      </c>
      <c r="B28" s="10"/>
      <c r="C28" s="16" t="s">
        <v>122</v>
      </c>
      <c r="D28" s="12"/>
      <c r="E28" s="12"/>
      <c r="F28" s="17" t="s">
        <v>123</v>
      </c>
      <c r="G28" s="18">
        <v>0.3</v>
      </c>
      <c r="H28" s="18"/>
      <c r="I28" s="18">
        <v>409.00200000000001</v>
      </c>
      <c r="J28" s="19">
        <v>74.319999999999993</v>
      </c>
      <c r="M28" s="20">
        <f>ROUND(ROUND(J28, 2)*I28, 2)</f>
        <v>30397.03</v>
      </c>
      <c r="P28" s="19">
        <v>74.319999999999993</v>
      </c>
      <c r="S28" s="20">
        <f>ROUND(ROUND(P28, 2)*I28, 2)</f>
        <v>30397.03</v>
      </c>
      <c r="V28" s="9">
        <f>ROUND(ROUND(P28, 2)/1.2, 2)</f>
        <v>61.93</v>
      </c>
      <c r="Y28" s="9">
        <f t="shared" si="7"/>
        <v>25330.86</v>
      </c>
      <c r="AD28" s="4" t="s">
        <v>124</v>
      </c>
      <c r="AE28" s="4" t="s">
        <v>125</v>
      </c>
      <c r="AF28" s="4" t="s">
        <v>126</v>
      </c>
    </row>
    <row r="29" spans="1:35" ht="36" x14ac:dyDescent="0.3">
      <c r="A29" s="10" t="s">
        <v>127</v>
      </c>
      <c r="B29" s="10"/>
      <c r="C29" s="16" t="s">
        <v>128</v>
      </c>
      <c r="D29" s="12"/>
      <c r="E29" s="12"/>
      <c r="F29" s="17" t="s">
        <v>117</v>
      </c>
      <c r="G29" s="18">
        <v>0.15</v>
      </c>
      <c r="H29" s="18"/>
      <c r="I29" s="18">
        <v>204.501</v>
      </c>
      <c r="J29" s="19">
        <v>90.28</v>
      </c>
      <c r="M29" s="20">
        <f>ROUND(ROUND(J29, 2)*I29, 2)</f>
        <v>18462.349999999999</v>
      </c>
      <c r="P29" s="19">
        <v>90.28</v>
      </c>
      <c r="S29" s="20">
        <f>ROUND(ROUND(P29, 2)*I29, 2)</f>
        <v>18462.349999999999</v>
      </c>
      <c r="V29" s="9">
        <f>ROUND(ROUND(P29, 2)/1.2, 2)</f>
        <v>75.23</v>
      </c>
      <c r="Y29" s="9">
        <f t="shared" si="7"/>
        <v>15385.29</v>
      </c>
      <c r="AD29" s="4" t="s">
        <v>129</v>
      </c>
      <c r="AE29" s="4" t="s">
        <v>130</v>
      </c>
      <c r="AF29" s="4" t="s">
        <v>131</v>
      </c>
    </row>
    <row r="30" spans="1:35" ht="36" x14ac:dyDescent="0.3">
      <c r="A30" s="10" t="s">
        <v>132</v>
      </c>
      <c r="B30" s="10" t="s">
        <v>109</v>
      </c>
      <c r="C30" s="11" t="s">
        <v>110</v>
      </c>
      <c r="D30" s="12"/>
      <c r="E30" s="12" t="s">
        <v>133</v>
      </c>
      <c r="F30" s="12" t="s">
        <v>57</v>
      </c>
      <c r="G30" s="13">
        <v>1</v>
      </c>
      <c r="H30" s="13"/>
      <c r="I30" s="13">
        <v>1363.34</v>
      </c>
      <c r="J30" s="14">
        <v>31.93</v>
      </c>
      <c r="K30" s="15">
        <v>639</v>
      </c>
      <c r="L30" s="14">
        <f>J30+ROUND(K30, 2)</f>
        <v>670.93</v>
      </c>
      <c r="M30" s="14">
        <v>43531.45</v>
      </c>
      <c r="N30" s="14">
        <v>871174.26</v>
      </c>
      <c r="O30" s="14">
        <f>M30+N30</f>
        <v>914705.71</v>
      </c>
      <c r="P30" s="14">
        <v>31.93</v>
      </c>
      <c r="Q30" s="15">
        <v>958.5</v>
      </c>
      <c r="R30" s="14">
        <f>P30+ROUND(Q30, 2)</f>
        <v>990.43</v>
      </c>
      <c r="S30" s="14">
        <v>43531.45</v>
      </c>
      <c r="T30" s="14">
        <v>1306761.3899999999</v>
      </c>
      <c r="U30" s="14">
        <f>S30+T30</f>
        <v>1350292.8399999999</v>
      </c>
      <c r="V30" s="9">
        <f>ROUND(P30 / 1.2, 2)</f>
        <v>26.61</v>
      </c>
      <c r="W30" s="9">
        <f>ROUND(Q30 / 1.2, 2)</f>
        <v>798.75</v>
      </c>
      <c r="X30" s="9">
        <f>ROUND(R30 / 1.2, 2)</f>
        <v>825.36</v>
      </c>
      <c r="Y30" s="9">
        <f t="shared" si="7"/>
        <v>36276.21</v>
      </c>
      <c r="Z30" s="9">
        <f>ROUND(T30 / 1.2, 2)</f>
        <v>1088967.83</v>
      </c>
      <c r="AA30" s="9">
        <f>Y30+Z30</f>
        <v>1125244.04</v>
      </c>
      <c r="AD30" s="4">
        <v>311004197</v>
      </c>
      <c r="AE30" s="4">
        <v>23798359</v>
      </c>
      <c r="AG30" s="4" t="s">
        <v>112</v>
      </c>
      <c r="AH30" s="4" t="s">
        <v>113</v>
      </c>
      <c r="AI30" s="4" t="s">
        <v>114</v>
      </c>
    </row>
    <row r="31" spans="1:35" ht="36" x14ac:dyDescent="0.3">
      <c r="A31" s="10" t="s">
        <v>134</v>
      </c>
      <c r="B31" s="10"/>
      <c r="C31" s="16" t="s">
        <v>128</v>
      </c>
      <c r="D31" s="12"/>
      <c r="E31" s="12"/>
      <c r="F31" s="17" t="s">
        <v>117</v>
      </c>
      <c r="G31" s="18">
        <v>0.15</v>
      </c>
      <c r="H31" s="18"/>
      <c r="I31" s="18">
        <v>204.501</v>
      </c>
      <c r="J31" s="19">
        <v>90.28</v>
      </c>
      <c r="M31" s="20">
        <f>ROUND(ROUND(J31, 2)*I31, 2)</f>
        <v>18462.349999999999</v>
      </c>
      <c r="P31" s="19">
        <v>90.28</v>
      </c>
      <c r="S31" s="20">
        <f>ROUND(ROUND(P31, 2)*I31, 2)</f>
        <v>18462.349999999999</v>
      </c>
      <c r="V31" s="9">
        <f>ROUND(ROUND(P31, 2)/1.2, 2)</f>
        <v>75.23</v>
      </c>
      <c r="Y31" s="9">
        <f t="shared" si="7"/>
        <v>15385.29</v>
      </c>
      <c r="AD31" s="4" t="s">
        <v>135</v>
      </c>
      <c r="AE31" s="4" t="s">
        <v>136</v>
      </c>
      <c r="AF31" s="4" t="s">
        <v>131</v>
      </c>
    </row>
    <row r="32" spans="1:35" ht="36" x14ac:dyDescent="0.3">
      <c r="A32" s="10" t="s">
        <v>137</v>
      </c>
      <c r="B32" s="10"/>
      <c r="C32" s="21" t="s">
        <v>116</v>
      </c>
      <c r="D32" s="12"/>
      <c r="E32" s="12"/>
      <c r="F32" s="17" t="s">
        <v>117</v>
      </c>
      <c r="G32" s="18">
        <v>1.5</v>
      </c>
      <c r="H32" s="18"/>
      <c r="I32" s="18">
        <v>2045.01</v>
      </c>
      <c r="J32" s="19">
        <v>12.26</v>
      </c>
      <c r="M32" s="20">
        <f>ROUND(ROUND(J32, 2)*I32, 2)</f>
        <v>25071.82</v>
      </c>
      <c r="P32" s="19">
        <v>12.26</v>
      </c>
      <c r="S32" s="20">
        <f>ROUND(ROUND(P32, 2)*I32, 2)</f>
        <v>25071.82</v>
      </c>
      <c r="V32" s="9">
        <f>ROUND(ROUND(P32, 2)/1.2, 2)</f>
        <v>10.220000000000001</v>
      </c>
      <c r="Y32" s="9">
        <f t="shared" si="7"/>
        <v>20893.18</v>
      </c>
      <c r="AD32" s="4" t="s">
        <v>138</v>
      </c>
      <c r="AE32" s="4" t="s">
        <v>139</v>
      </c>
      <c r="AF32" s="4" t="s">
        <v>120</v>
      </c>
    </row>
    <row r="33" spans="1:27" ht="24" customHeight="1" x14ac:dyDescent="0.3">
      <c r="A33" s="23"/>
      <c r="B33" s="23"/>
      <c r="C33" s="23"/>
      <c r="D33" s="24" t="s">
        <v>140</v>
      </c>
      <c r="E33" s="23"/>
      <c r="F33" s="23"/>
      <c r="G33" s="23"/>
      <c r="H33" s="23"/>
      <c r="I33" s="23"/>
      <c r="J33" s="23"/>
      <c r="K33" s="23"/>
      <c r="L33" s="23"/>
      <c r="M33" s="25">
        <f>SUM(M8)</f>
        <v>912240.67</v>
      </c>
      <c r="N33" s="25">
        <f>SUM(N8)</f>
        <v>3162787.65</v>
      </c>
      <c r="O33" s="25">
        <f>M33+N33</f>
        <v>4075028.32</v>
      </c>
      <c r="P33" s="23"/>
      <c r="Q33" s="23"/>
      <c r="R33" s="23"/>
      <c r="S33" s="25">
        <f>SUM(S8)</f>
        <v>2397116.7999999998</v>
      </c>
      <c r="T33" s="25">
        <f>SUM(T8)</f>
        <v>4744181.4800000004</v>
      </c>
      <c r="U33" s="25">
        <f>S33+T33</f>
        <v>7141298.2800000003</v>
      </c>
      <c r="Y33" s="9">
        <f>SUM(Y8)</f>
        <v>1997597.34</v>
      </c>
      <c r="Z33" s="9">
        <f>SUM(Z8)</f>
        <v>3953484.58</v>
      </c>
      <c r="AA33" s="9">
        <f>Y33+Z33</f>
        <v>5951081.9199999999</v>
      </c>
    </row>
    <row r="34" spans="1:27" ht="22.8" x14ac:dyDescent="0.3">
      <c r="A34" s="43" t="s">
        <v>141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5"/>
    </row>
    <row r="35" spans="1:27" ht="15.6" x14ac:dyDescent="0.3">
      <c r="A35" s="27"/>
      <c r="B35" s="5" t="s">
        <v>142</v>
      </c>
      <c r="C35" s="26" t="s">
        <v>143</v>
      </c>
      <c r="D35" s="26" t="s">
        <v>144</v>
      </c>
      <c r="E35" s="28"/>
      <c r="F35" s="28"/>
      <c r="G35" s="28"/>
      <c r="H35" s="41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2"/>
    </row>
    <row r="36" spans="1:27" ht="15.6" x14ac:dyDescent="0.3">
      <c r="A36" s="27"/>
      <c r="B36" s="5" t="s">
        <v>145</v>
      </c>
      <c r="C36" s="26" t="s">
        <v>146</v>
      </c>
      <c r="D36" s="26" t="s">
        <v>147</v>
      </c>
      <c r="E36" s="28"/>
      <c r="F36" s="28"/>
      <c r="G36" s="28"/>
      <c r="H36" s="41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2"/>
    </row>
    <row r="37" spans="1:27" ht="31.2" x14ac:dyDescent="0.3">
      <c r="A37" s="27"/>
      <c r="B37" s="5" t="s">
        <v>148</v>
      </c>
      <c r="C37" s="26" t="s">
        <v>149</v>
      </c>
      <c r="D37" s="26" t="s">
        <v>150</v>
      </c>
      <c r="E37" s="28"/>
      <c r="F37" s="28"/>
      <c r="G37" s="28"/>
      <c r="H37" s="41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2"/>
    </row>
    <row r="38" spans="1:27" ht="15.6" x14ac:dyDescent="0.3">
      <c r="A38" s="27"/>
      <c r="B38" s="5" t="s">
        <v>151</v>
      </c>
      <c r="C38" s="26" t="s">
        <v>152</v>
      </c>
      <c r="D38" s="26" t="s">
        <v>153</v>
      </c>
      <c r="E38" s="28"/>
      <c r="F38" s="28"/>
      <c r="G38" s="28"/>
      <c r="H38" s="41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2"/>
    </row>
    <row r="39" spans="1:27" ht="15.6" x14ac:dyDescent="0.3">
      <c r="A39" s="27"/>
      <c r="B39" s="5" t="s">
        <v>154</v>
      </c>
      <c r="C39" s="26" t="s">
        <v>155</v>
      </c>
      <c r="D39" s="26" t="s">
        <v>147</v>
      </c>
      <c r="E39" s="28"/>
      <c r="F39" s="28"/>
      <c r="G39" s="28"/>
      <c r="H39" s="41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2"/>
    </row>
    <row r="40" spans="1:27" ht="31.2" x14ac:dyDescent="0.3">
      <c r="A40" s="27"/>
      <c r="B40" s="5" t="s">
        <v>156</v>
      </c>
      <c r="C40" s="26" t="s">
        <v>157</v>
      </c>
      <c r="D40" s="26" t="s">
        <v>158</v>
      </c>
      <c r="E40" s="28"/>
      <c r="F40" s="28"/>
      <c r="G40" s="28"/>
      <c r="H40" s="41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2"/>
    </row>
    <row r="41" spans="1:27" ht="31.2" x14ac:dyDescent="0.3">
      <c r="A41" s="27"/>
      <c r="B41" s="5" t="s">
        <v>159</v>
      </c>
      <c r="C41" s="26" t="s">
        <v>160</v>
      </c>
      <c r="D41" s="26" t="s">
        <v>161</v>
      </c>
      <c r="E41" s="28"/>
      <c r="F41" s="28"/>
      <c r="G41" s="28"/>
      <c r="H41" s="41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2"/>
    </row>
    <row r="42" spans="1:27" ht="15.6" x14ac:dyDescent="0.3">
      <c r="A42" s="27"/>
      <c r="B42" s="5" t="s">
        <v>162</v>
      </c>
      <c r="C42" s="26" t="s">
        <v>163</v>
      </c>
      <c r="D42" s="26" t="s">
        <v>164</v>
      </c>
      <c r="E42" s="28"/>
      <c r="F42" s="28"/>
      <c r="G42" s="28"/>
      <c r="H42" s="41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2"/>
    </row>
    <row r="43" spans="1:27" ht="15.6" x14ac:dyDescent="0.3">
      <c r="A43" s="27"/>
      <c r="B43" s="5" t="s">
        <v>165</v>
      </c>
      <c r="C43" s="26" t="s">
        <v>166</v>
      </c>
      <c r="D43" s="26" t="s">
        <v>167</v>
      </c>
      <c r="E43" s="28"/>
      <c r="F43" s="28"/>
      <c r="G43" s="28"/>
      <c r="H43" s="41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2"/>
    </row>
    <row r="44" spans="1:27" ht="31.2" x14ac:dyDescent="0.3">
      <c r="A44" s="27"/>
      <c r="B44" s="5" t="s">
        <v>168</v>
      </c>
      <c r="C44" s="26" t="s">
        <v>169</v>
      </c>
      <c r="D44" s="26" t="s">
        <v>170</v>
      </c>
      <c r="E44" s="28"/>
      <c r="F44" s="28"/>
      <c r="G44" s="28"/>
      <c r="H44" s="41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2"/>
    </row>
    <row r="45" spans="1:27" ht="46.8" x14ac:dyDescent="0.3">
      <c r="A45" s="27"/>
      <c r="B45" s="5" t="s">
        <v>171</v>
      </c>
      <c r="C45" s="26" t="s">
        <v>172</v>
      </c>
      <c r="D45" s="26" t="s">
        <v>173</v>
      </c>
      <c r="E45" s="28"/>
      <c r="F45" s="28"/>
      <c r="G45" s="28"/>
      <c r="H45" s="4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2"/>
    </row>
    <row r="46" spans="1:27" ht="31.2" x14ac:dyDescent="0.3">
      <c r="A46" s="27"/>
      <c r="B46" s="5" t="s">
        <v>174</v>
      </c>
      <c r="C46" s="26" t="s">
        <v>175</v>
      </c>
      <c r="D46" s="26" t="s">
        <v>176</v>
      </c>
      <c r="E46" s="28"/>
      <c r="F46" s="28"/>
      <c r="G46" s="28"/>
      <c r="H46" s="41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2"/>
    </row>
    <row r="47" spans="1:27" ht="15.6" x14ac:dyDescent="0.3">
      <c r="A47" s="27"/>
      <c r="B47" s="5" t="s">
        <v>177</v>
      </c>
      <c r="C47" s="26" t="s">
        <v>178</v>
      </c>
      <c r="D47" s="26" t="s">
        <v>179</v>
      </c>
      <c r="E47" s="28"/>
      <c r="F47" s="28"/>
      <c r="G47" s="28"/>
      <c r="H47" s="4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2"/>
    </row>
    <row r="48" spans="1:27" ht="48" customHeight="1" x14ac:dyDescent="0.3">
      <c r="A48" s="27"/>
      <c r="B48" s="5" t="s">
        <v>180</v>
      </c>
      <c r="C48" s="26" t="s">
        <v>181</v>
      </c>
      <c r="D48" s="26" t="s">
        <v>182</v>
      </c>
      <c r="E48" s="28"/>
      <c r="F48" s="28"/>
      <c r="G48" s="28"/>
      <c r="H48" s="41" t="s">
        <v>183</v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2"/>
    </row>
    <row r="49" spans="1:21" ht="15.6" x14ac:dyDescent="0.3">
      <c r="A49" s="27"/>
      <c r="B49" s="5" t="s">
        <v>184</v>
      </c>
      <c r="C49" s="26" t="s">
        <v>185</v>
      </c>
      <c r="D49" s="26" t="s">
        <v>186</v>
      </c>
      <c r="E49" s="28"/>
      <c r="F49" s="28"/>
      <c r="G49" s="28"/>
      <c r="H49" s="41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2"/>
    </row>
    <row r="50" spans="1:21" ht="15.6" x14ac:dyDescent="0.3">
      <c r="A50" s="27"/>
      <c r="B50" s="5" t="s">
        <v>187</v>
      </c>
      <c r="C50" s="26" t="s">
        <v>188</v>
      </c>
      <c r="D50" s="28"/>
      <c r="E50" s="28"/>
      <c r="F50" s="28"/>
      <c r="G50" s="28"/>
      <c r="H50" s="41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2"/>
    </row>
    <row r="51" spans="1:21" ht="15.6" x14ac:dyDescent="0.3">
      <c r="A51" s="27"/>
      <c r="B51" s="5" t="s">
        <v>189</v>
      </c>
      <c r="C51" s="26" t="s">
        <v>190</v>
      </c>
      <c r="D51" s="28"/>
      <c r="E51" s="28"/>
      <c r="F51" s="28"/>
      <c r="G51" s="28"/>
      <c r="H51" s="41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2"/>
    </row>
    <row r="52" spans="1:21" ht="15.6" x14ac:dyDescent="0.3">
      <c r="A52" s="27"/>
      <c r="B52" s="5" t="s">
        <v>191</v>
      </c>
      <c r="C52" s="26" t="s">
        <v>192</v>
      </c>
      <c r="D52" s="28"/>
      <c r="E52" s="28"/>
      <c r="F52" s="28"/>
      <c r="G52" s="28"/>
      <c r="H52" s="41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2"/>
    </row>
  </sheetData>
  <mergeCells count="54">
    <mergeCell ref="H49:U49"/>
    <mergeCell ref="H50:U50"/>
    <mergeCell ref="H51:U51"/>
    <mergeCell ref="H52:U52"/>
    <mergeCell ref="H43:U43"/>
    <mergeCell ref="H44:U44"/>
    <mergeCell ref="H45:U45"/>
    <mergeCell ref="H46:U46"/>
    <mergeCell ref="H47:U47"/>
    <mergeCell ref="H48:U48"/>
    <mergeCell ref="H37:U37"/>
    <mergeCell ref="H38:U38"/>
    <mergeCell ref="H39:U39"/>
    <mergeCell ref="H40:U40"/>
    <mergeCell ref="H41:U41"/>
    <mergeCell ref="H42:U42"/>
    <mergeCell ref="C23:I23"/>
    <mergeCell ref="C24:I24"/>
    <mergeCell ref="C25:I25"/>
    <mergeCell ref="A34:U34"/>
    <mergeCell ref="H35:U35"/>
    <mergeCell ref="H36:U36"/>
    <mergeCell ref="C11:I11"/>
    <mergeCell ref="C12:I12"/>
    <mergeCell ref="C13:I13"/>
    <mergeCell ref="C14:I14"/>
    <mergeCell ref="C21:I21"/>
    <mergeCell ref="C22:I22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2026-01-28T05:45:42Z</dcterms:created>
  <dcterms:modified xsi:type="dcterms:W3CDTF">2026-03-17T11:11:00Z</dcterms:modified>
  <cp:category/>
</cp:coreProperties>
</file>