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4" rupBuild="14420"/>
  <workbookPr defaultThemeVersion="124226"/>
  <mc:AlternateContent xmlns:mc="http://schemas.openxmlformats.org/markup-compatibility/2006">
    <mc:Choice Requires="x15">
      <x15ac:absPath xmlns:x15ac="http://schemas.microsoft.com/office/spreadsheetml/2010/11/ac" url="C:\Users\Linux\Documents\schools\school_1\walls\"/>
    </mc:Choice>
  </mc:AlternateContent>
  <bookViews>
    <workbookView xWindow="0" yWindow="5568" windowWidth="5532" windowHeight="1512"/>
  </bookViews>
  <sheets>
    <sheet name="16 Краска" sheetId="22" r:id="rId1"/>
    <sheet name="15ДмПот" sheetId="21" r:id="rId2"/>
    <sheet name="14МонтСт" sheetId="20" r:id="rId3"/>
    <sheet name="13МонтСт" sheetId="17" r:id="rId4"/>
    <sheet name="12ДмСт" sheetId="16" r:id="rId5"/>
    <sheet name="11ПВХплитка" sheetId="19" r:id="rId6"/>
    <sheet name="10ПВХплиткаДм" sheetId="15" r:id="rId7"/>
    <sheet name="9 Краска" sheetId="14" r:id="rId8"/>
    <sheet name="4-С-Ш1" sheetId="13" r:id="rId9"/>
    <sheet name="3-С-Ш1фин" sheetId="12" r:id="rId10"/>
    <sheet name="2-С-Ш1, баз" sheetId="11" r:id="rId11"/>
    <sheet name="1-С-Ш1, ГКЛ" sheetId="9" r:id="rId12"/>
    <sheet name="Общий" sheetId="8" r:id="rId13"/>
    <sheet name="Пример" sheetId="1" r:id="rId14"/>
    <sheet name="Спортзал" sheetId="2" r:id="rId15"/>
    <sheet name="библиотека" sheetId="3" r:id="rId16"/>
    <sheet name="Библ откосы" sheetId="4" r:id="rId17"/>
    <sheet name="ВОР2FB" sheetId="5" r:id="rId18"/>
    <sheet name="1.030 ВОР" sheetId="7" r:id="rId19"/>
    <sheet name="1.032 ВОР" sheetId="6" r:id="rId20"/>
    <sheet name="1.032 ВОР (2)" sheetId="10" r:id="rId21"/>
  </sheets>
  <calcPr calcId="152511"/>
</workbook>
</file>

<file path=xl/calcChain.xml><?xml version="1.0" encoding="utf-8"?>
<calcChain xmlns="http://schemas.openxmlformats.org/spreadsheetml/2006/main">
  <c r="J4" i="22" l="1"/>
  <c r="J2" i="22"/>
  <c r="K20" i="22"/>
  <c r="K19" i="22"/>
  <c r="K21" i="22" s="1"/>
  <c r="H30" i="22"/>
  <c r="B35" i="22"/>
  <c r="B36" i="22"/>
  <c r="B34" i="22"/>
  <c r="B33" i="22"/>
  <c r="B32" i="22"/>
  <c r="B31" i="22"/>
  <c r="B30" i="22"/>
  <c r="E21" i="22"/>
  <c r="E20" i="22"/>
  <c r="E19" i="22"/>
  <c r="B25" i="22"/>
  <c r="B24" i="22"/>
  <c r="H19" i="22"/>
  <c r="B23" i="22"/>
  <c r="B22" i="22"/>
  <c r="B21" i="22"/>
  <c r="B20" i="22"/>
  <c r="B19" i="22"/>
  <c r="E32" i="22"/>
  <c r="E31" i="22"/>
  <c r="E30" i="22"/>
  <c r="E11" i="22"/>
  <c r="E10" i="22"/>
  <c r="B14" i="22"/>
  <c r="B13" i="22"/>
  <c r="B12" i="22"/>
  <c r="B11" i="22"/>
  <c r="B10" i="22"/>
  <c r="B9" i="22"/>
  <c r="E9" i="22"/>
  <c r="E22" i="22" l="1"/>
  <c r="H31" i="22"/>
  <c r="E33" i="22"/>
  <c r="B37" i="22"/>
  <c r="H20" i="22"/>
  <c r="B26" i="22"/>
  <c r="E12" i="22"/>
  <c r="B15" i="22"/>
  <c r="E39" i="14"/>
  <c r="E14" i="19"/>
  <c r="B10" i="19"/>
  <c r="E14" i="15"/>
  <c r="G3" i="15" s="1"/>
  <c r="B10" i="15"/>
  <c r="G2" i="15" s="1"/>
  <c r="J3" i="22" l="1"/>
  <c r="J5" i="22" s="1"/>
  <c r="B7" i="21"/>
  <c r="G2" i="21" s="1"/>
  <c r="H28" i="14" l="1"/>
  <c r="H8" i="14" s="1"/>
  <c r="H21" i="14"/>
  <c r="H7" i="14" s="1"/>
  <c r="H14" i="14"/>
  <c r="H6" i="14" s="1"/>
  <c r="H3" i="14"/>
  <c r="B35" i="14"/>
  <c r="H2" i="14" s="1"/>
  <c r="H9" i="14" l="1"/>
  <c r="F2" i="11" l="1"/>
  <c r="F2" i="9"/>
  <c r="F2" i="12" l="1"/>
  <c r="F2" i="13" l="1"/>
  <c r="F3" i="13"/>
  <c r="F5" i="11"/>
  <c r="F4" i="12"/>
  <c r="F3" i="12"/>
  <c r="F7" i="9"/>
  <c r="F6" i="9"/>
  <c r="F5" i="9"/>
  <c r="F4" i="9"/>
  <c r="F3" i="9"/>
  <c r="F9" i="13" l="1"/>
  <c r="F4" i="11"/>
  <c r="F3" i="11"/>
  <c r="F4" i="13" l="1"/>
  <c r="F5" i="13"/>
  <c r="F6" i="13"/>
  <c r="F7" i="13"/>
  <c r="F8" i="13"/>
  <c r="E7" i="6"/>
  <c r="E24" i="10"/>
  <c r="E31" i="10" s="1"/>
  <c r="E20" i="10"/>
  <c r="E19" i="10"/>
  <c r="E17" i="10"/>
  <c r="E18" i="10" s="1"/>
  <c r="E12" i="10"/>
  <c r="E11" i="10"/>
  <c r="E10" i="10"/>
  <c r="E8" i="10"/>
  <c r="E7" i="10"/>
  <c r="E6" i="10"/>
  <c r="E4" i="10"/>
  <c r="E3" i="10"/>
  <c r="E33" i="10" l="1"/>
  <c r="E32" i="10"/>
  <c r="E25" i="10"/>
  <c r="E26" i="10"/>
  <c r="E27" i="10"/>
  <c r="E5" i="7"/>
  <c r="E7" i="7"/>
  <c r="E6" i="7"/>
  <c r="E4" i="7"/>
  <c r="E8" i="6" l="1"/>
  <c r="E24" i="7"/>
  <c r="E25" i="7" s="1"/>
  <c r="E17" i="7"/>
  <c r="E20" i="7" s="1"/>
  <c r="E32" i="7"/>
  <c r="E36" i="7" l="1"/>
  <c r="E14" i="6"/>
  <c r="E9" i="6"/>
  <c r="E10" i="6"/>
  <c r="E18" i="7"/>
  <c r="E19" i="7"/>
  <c r="E31" i="7"/>
  <c r="E26" i="7"/>
  <c r="E16" i="6" l="1"/>
  <c r="E21" i="6"/>
  <c r="E17" i="6"/>
  <c r="E15" i="6"/>
  <c r="E38" i="7"/>
  <c r="E37" i="7"/>
  <c r="E13" i="7"/>
  <c r="E12" i="7"/>
  <c r="E23" i="6" l="1"/>
  <c r="E22" i="6"/>
  <c r="E11" i="5" l="1"/>
  <c r="E12" i="5"/>
  <c r="E16" i="5"/>
  <c r="E17" i="5"/>
  <c r="E18" i="5"/>
  <c r="E23" i="5"/>
  <c r="E24" i="5"/>
  <c r="E8" i="4" l="1"/>
  <c r="E13" i="4"/>
  <c r="E15" i="4" s="1"/>
  <c r="E9" i="4"/>
  <c r="E19" i="4" l="1"/>
  <c r="E14" i="4"/>
  <c r="E20" i="4" l="1"/>
  <c r="E21" i="4"/>
  <c r="D66" i="2" l="1"/>
  <c r="D67" i="2"/>
  <c r="D22" i="3" l="1"/>
  <c r="E24" i="3"/>
  <c r="D20" i="3"/>
  <c r="D19" i="3"/>
  <c r="E23" i="3" l="1"/>
  <c r="D7" i="2"/>
  <c r="E92" i="2" l="1"/>
  <c r="E91" i="2"/>
  <c r="D90" i="2"/>
  <c r="D89" i="2"/>
  <c r="D59" i="2" l="1"/>
  <c r="E70" i="2"/>
  <c r="C28" i="2"/>
  <c r="C38" i="2" s="1"/>
  <c r="C49" i="2" s="1"/>
  <c r="C59" i="2" s="1"/>
  <c r="D49" i="2"/>
  <c r="D38" i="2"/>
  <c r="D28" i="2"/>
  <c r="D18" i="2"/>
  <c r="E71" i="2" l="1"/>
</calcChain>
</file>

<file path=xl/sharedStrings.xml><?xml version="1.0" encoding="utf-8"?>
<sst xmlns="http://schemas.openxmlformats.org/spreadsheetml/2006/main" count="1158" uniqueCount="384">
  <si>
    <t>Штукатурка цементным составом толщиной 16‐20 мм</t>
  </si>
  <si>
    <t>Штукатурка цементным составом толщиной 21-40 мм</t>
  </si>
  <si>
    <t>Штукатурка цементным составом толщиной 41-60 мм</t>
  </si>
  <si>
    <t>Штукатурка цементным составом толщиной боле 60 мм</t>
  </si>
  <si>
    <t>Сетка штукатурная сварная оцинкованная 10х10 мм d0,6 мм</t>
  </si>
  <si>
    <t>Анкер‐клин 6х60 мм</t>
  </si>
  <si>
    <t>№ п.п.</t>
  </si>
  <si>
    <t>Наименование</t>
  </si>
  <si>
    <t>Объем, м</t>
  </si>
  <si>
    <t>Спецификация выполненных работ</t>
  </si>
  <si>
    <t>Примечание: 100% штукатурки выполнено по сетке штукатурной сварной 10х10 мм d0,6 мм, закрепленной к ограждающим конструкциям при помощи анкер‐клина 6х60 мм (не менее 5 шт/м2).</t>
  </si>
  <si>
    <t>Профиль углозащитный оцинкованный 31х31 мм 0,5 мм</t>
  </si>
  <si>
    <t>Пом 2.037</t>
  </si>
  <si>
    <t>Шпаклевка базовая по оштукатуренной поверхности</t>
  </si>
  <si>
    <t>Шпаклевка базовая по поверхности ГВЛ</t>
  </si>
  <si>
    <t>Монтаж углавого профиля</t>
  </si>
  <si>
    <t>D</t>
  </si>
  <si>
    <t>Вид 1</t>
  </si>
  <si>
    <t>Вид 2</t>
  </si>
  <si>
    <t>Вид 3</t>
  </si>
  <si>
    <t>Вид 4</t>
  </si>
  <si>
    <t>Вид 5, 6 , 7 , 8</t>
  </si>
  <si>
    <t>Итог</t>
  </si>
  <si>
    <t>522.34 п.м.</t>
  </si>
  <si>
    <t>15.16 п.м.</t>
  </si>
  <si>
    <t>252.11 п.м.</t>
  </si>
  <si>
    <t>71.89 п.м.</t>
  </si>
  <si>
    <t>114.34 п.м.</t>
  </si>
  <si>
    <t>68.84 п.м.</t>
  </si>
  <si>
    <t>Объем, м²</t>
  </si>
  <si>
    <t xml:space="preserve">Окраска поверхности стен с предварительной огрунтовкой в 2 слоя </t>
  </si>
  <si>
    <t>Объем, кг*</t>
  </si>
  <si>
    <t>Окраска поверхности стен с предварительной огрунтовкой в 2 слоя:</t>
  </si>
  <si>
    <t>Грунтовка универсальная</t>
  </si>
  <si>
    <t>Матовая водно-дисперсионная краска RAL 9003 НГ</t>
  </si>
  <si>
    <t>Монтаж углового профиля</t>
  </si>
  <si>
    <t>Шпаклевка финишная по ГВЛ</t>
  </si>
  <si>
    <t>Шпаклевка финишная по оштукатуренной поверхности</t>
  </si>
  <si>
    <t>Зашивка коммуникации ГВЛ в 1 слой</t>
  </si>
  <si>
    <t>итог</t>
  </si>
  <si>
    <t>16.00 п.м.</t>
  </si>
  <si>
    <t>Откосы</t>
  </si>
  <si>
    <t>Шпаклевка оконных откосов базовая</t>
  </si>
  <si>
    <t>Шпаклевка оконных откосов финишная</t>
  </si>
  <si>
    <t xml:space="preserve">Окраска поверхности откосов с предварительной огрунтовкой в 2 слоя </t>
  </si>
  <si>
    <t>332 п.м</t>
  </si>
  <si>
    <t>14.80 п.м.</t>
  </si>
  <si>
    <t>698.56 п.м.</t>
  </si>
  <si>
    <t xml:space="preserve">Ведомость работ и используемых материалов </t>
  </si>
  <si>
    <t>Ед. изм.</t>
  </si>
  <si>
    <t>Коэф. расхода</t>
  </si>
  <si>
    <t>Объем</t>
  </si>
  <si>
    <t>м²</t>
  </si>
  <si>
    <t>Ведомость работ и используемых материалов (Шпаклевка базовая)</t>
  </si>
  <si>
    <t xml:space="preserve">Шпатлевка цементная </t>
  </si>
  <si>
    <t>кг</t>
  </si>
  <si>
    <t>1.2</t>
  </si>
  <si>
    <t>Грунтовка универсальный ЛАСТИМИН_ / LP-51 А</t>
  </si>
  <si>
    <t>Ведомость работ и используемых материалов (Шпаклевка финишная)</t>
  </si>
  <si>
    <t>Шпатлевка гипсовая</t>
  </si>
  <si>
    <t>Ведомость работ и используемых материалов (Окраска)</t>
  </si>
  <si>
    <t>Устройство откосов из ГКЛ / в 1 слой</t>
  </si>
  <si>
    <t>Выравнивание поверхностей откосов толщ. до 5 мм с предварительной огрунтовкой поверхности</t>
  </si>
  <si>
    <t>Краска водно-дисперсионная RAL 9003 НГ</t>
  </si>
  <si>
    <t>Окраска поверхностей откосов с предварительной огрунтовкой поверхностей / в 2 слоя</t>
  </si>
  <si>
    <t>Краска водно-дисперсионная RAL 7044</t>
  </si>
  <si>
    <t>Окраска стен с предварительной огрунтовкой поверхностей / в 2 слоя</t>
  </si>
  <si>
    <t>Ведомость работ и используемых материалов (Окраска  файерборда)</t>
  </si>
  <si>
    <t>Ведомость работ и используемых материалов (Шпаклевка финишная Файерборд)</t>
  </si>
  <si>
    <t>Ведомость работ и используемых материалов (Шпаклевка базовая Файерборд)</t>
  </si>
  <si>
    <t>м2</t>
  </si>
  <si>
    <t>Плита Кнауф Файерборд_ / 2500х1200х12.5 м</t>
  </si>
  <si>
    <t>1.3</t>
  </si>
  <si>
    <t>пог. м</t>
  </si>
  <si>
    <t>Профиль_/направляющий/50*50*0,40/3м</t>
  </si>
  <si>
    <t>шт</t>
  </si>
  <si>
    <t>Угол пластиковый_/10*15*2,5м</t>
  </si>
  <si>
    <t>1.1</t>
  </si>
  <si>
    <t>Зашивка приборов отопления / ГВЛВ / в 1 слой на каркасе (дымозащитное ограждение из Файерборда)</t>
  </si>
  <si>
    <t>Ведомость работ и используемых материалов (Файерборд)</t>
  </si>
  <si>
    <t>Подготовка поверхности СКБ / стен / ГКЛ, ПГП / 2мм.</t>
  </si>
  <si>
    <t>Ведомость работ и используемых материалов (Штукатурка)</t>
  </si>
  <si>
    <t>1</t>
  </si>
  <si>
    <t>Оклейка швов сопряжения бетонных и других поверхностей стен, перегородок (газобетон, ПГП, панели АКОТЕК и др.) стеклохолстом</t>
  </si>
  <si>
    <t>Штукатурка гипсовая</t>
  </si>
  <si>
    <t>Лента армирующая ( серпянка)_/150мм</t>
  </si>
  <si>
    <t>2</t>
  </si>
  <si>
    <t>2.2</t>
  </si>
  <si>
    <t>2.3</t>
  </si>
  <si>
    <t>3</t>
  </si>
  <si>
    <t>3.1</t>
  </si>
  <si>
    <t>3.2</t>
  </si>
  <si>
    <t>3.3</t>
  </si>
  <si>
    <t>3.4</t>
  </si>
  <si>
    <t>Уголок малярный</t>
  </si>
  <si>
    <t>Окраска поверхности стен с предварительной огрунтовкой / в 2 слоя</t>
  </si>
  <si>
    <t>Грунтовка _ /  универсальная глубокого проникновения</t>
  </si>
  <si>
    <t>Краска водно-дисперсионная интерьерная Акриловая, моющаяся Глянцевая, матовая, Г1(КМ1), RAL 9003</t>
  </si>
  <si>
    <t>Смесь цементно-песчаная М100</t>
  </si>
  <si>
    <t>Профиль маячковый_/ПМ10</t>
  </si>
  <si>
    <t>Грунтовка водно-дисперсионная глубокого проникновения "Эконом" 10 кг_/</t>
  </si>
  <si>
    <t>Грунтовка БЕТОН-КОНТАКТ</t>
  </si>
  <si>
    <t>Ведомость работ и используемых материалов (ГВЛ)</t>
  </si>
  <si>
    <t>Штукатурка цементная, сухая, ТАНИЛИТ_/РС15</t>
  </si>
  <si>
    <t>Выравнивание стен с предварительной огрунтовкой / по оштукатуренной поверхности / толщ. 2 мм</t>
  </si>
  <si>
    <t>Шпатлевка цементная</t>
  </si>
  <si>
    <t>Уголок малярный_ / L=3м /25х25 мм</t>
  </si>
  <si>
    <t>Шпатлевка финишная</t>
  </si>
  <si>
    <t>Подготовка поверхности СКБ / стен / ГКЛ, ПГП / 2мм</t>
  </si>
  <si>
    <t>Штукатурка потолка сухими смесями с установкой маяков с предварительной огрунтовкой / толщ. от 16,5 мм до 21 мм
(Штукатурка по ЖБ)</t>
  </si>
  <si>
    <t>Ведомость работ и используемых материалов</t>
  </si>
  <si>
    <t>Ведомость работ и используемых материалов (Шпаклевка базовая по ГКЛ)</t>
  </si>
  <si>
    <t>Ведомость работ и используемых материалов (Шпаклевка финишная по ГКЛ)</t>
  </si>
  <si>
    <t>Штукатурка стен сухими смесями с установкой маяков с предварительной огрунтовкой / толщ. от 16,5 мм до 21 мм
(Штукатурка по газобетонному блоку и ПГП)</t>
  </si>
  <si>
    <t>Устройство перегородок на металлическом каркасе по системе Knauf / С-115.1 / А2-16</t>
  </si>
  <si>
    <t>Прочие материалы для перегородок из ГКЛ (лента, шпатлевка, грунтовка, шуруп, дюбель и пр.) / двойной каркас / 2 слоя облицовки</t>
  </si>
  <si>
    <t>Профиль направляющий ПН 75х40х0,4мм Сталь оцинкованная</t>
  </si>
  <si>
    <t>Гипсовые строительные плиты_ / влагостойкий / 12,5*1200*2500</t>
  </si>
  <si>
    <t>Профиль_/стоечный/50*50*0,60/3м</t>
  </si>
  <si>
    <t>комплект</t>
  </si>
  <si>
    <t>1.4</t>
  </si>
  <si>
    <t>Подготовка поверхности СКБ / стен / по штукатурке / 2мм</t>
  </si>
  <si>
    <t>Номер п/п</t>
  </si>
  <si>
    <t>Код узла ИСР</t>
  </si>
  <si>
    <t>Наименование затрат</t>
  </si>
  <si>
    <t>Комментарий подрядчика</t>
  </si>
  <si>
    <t>Коэф.расхода</t>
  </si>
  <si>
    <t>Общее кол-во</t>
  </si>
  <si>
    <t>1.1.2.1.1.2.1</t>
  </si>
  <si>
    <t>6.3.1.5.2.1</t>
  </si>
  <si>
    <t>Черновые работы по поверхности стен</t>
  </si>
  <si>
    <t>1.1.2.1.1.2.1.1</t>
  </si>
  <si>
    <t>6.3.1.5.2.1.2.3</t>
  </si>
  <si>
    <t>Штукатурка стен сухими смесями с установкой маяков с предварительной огрунтовкой / толщ. от 16,5 мм до 21 мм</t>
  </si>
  <si>
    <t>по жб, №1.030 и 2.037</t>
  </si>
  <si>
    <t>1.1.2.1.1.2.1.1.1</t>
  </si>
  <si>
    <t>Сетка стеклотканевая 200г/м2, ячейка 5х5мм</t>
  </si>
  <si>
    <t>1.1.2.1.1.2.1.1.2</t>
  </si>
  <si>
    <t>Грунтовка БЕТОН-КОНТАКТ_/</t>
  </si>
  <si>
    <t>1.1.2.1.1.2.1.1.3</t>
  </si>
  <si>
    <t>20мм</t>
  </si>
  <si>
    <t>1.1.2.1.1.2.1.1.4</t>
  </si>
  <si>
    <t>1.1.2.1.1.2.1.2</t>
  </si>
  <si>
    <t>по блоку, №1.030 и 2.037</t>
  </si>
  <si>
    <t>1.1.2.1.1.2.1.2.1</t>
  </si>
  <si>
    <t>1.1.2.1.1.2.1.2.2</t>
  </si>
  <si>
    <t>1.1.2.1.1.2.1.2.3</t>
  </si>
  <si>
    <t>1.1.2.1.1.2.1.2.4</t>
  </si>
  <si>
    <t>1.1.2.1.1.2.1.3</t>
  </si>
  <si>
    <t>жб стены. пом. № 2.058</t>
  </si>
  <si>
    <t>1.1.2.1.1.2.1.3.1</t>
  </si>
  <si>
    <t>Штукатурка гипсовая_ / Унифицированная по ПИК-СТАНДАРТ, 30кг</t>
  </si>
  <si>
    <t>1.1.2.1.1.2.1.3.2</t>
  </si>
  <si>
    <t>1.1.2.1.1.2.1.3.3</t>
  </si>
  <si>
    <t>1.1.2.1.1.2.1.4</t>
  </si>
  <si>
    <t>блок пом.№2.058</t>
  </si>
  <si>
    <t>1.1.2.1.1.2.1.4.1</t>
  </si>
  <si>
    <t>1.1.2.1.1.2.1.4.2</t>
  </si>
  <si>
    <t>1.1.2.1.1.2.1.4.3</t>
  </si>
  <si>
    <t>1.1.2.1.1.2.1.5</t>
  </si>
  <si>
    <t>помещение №1.007,  жб пов-ть</t>
  </si>
  <si>
    <t>1.1.2.1.1.2.1.5.1</t>
  </si>
  <si>
    <t>1.1.2.1.1.2.1.5.2</t>
  </si>
  <si>
    <t>1.1.2.1.1.2.1.5.3</t>
  </si>
  <si>
    <t>1.1.2.1.1.2.1.5.4</t>
  </si>
  <si>
    <t>1.1.2.1.1.2.1.6</t>
  </si>
  <si>
    <t>пом. №1.007 - по блоку</t>
  </si>
  <si>
    <t>1.1.2.1.1.2.1.6.1</t>
  </si>
  <si>
    <t>1.1.2.1.1.2.1.6.2</t>
  </si>
  <si>
    <t>1.1.2.1.1.2.1.6.3</t>
  </si>
  <si>
    <t>1.1.2.1.1.2.1.6.4</t>
  </si>
  <si>
    <t>1.1.2.1.1.2.1.7</t>
  </si>
  <si>
    <t>№1.007</t>
  </si>
  <si>
    <t>1.1.2.1.1.2.1.7.1</t>
  </si>
  <si>
    <t>1.1.2.1.1.2.1.7.2</t>
  </si>
  <si>
    <t>1.1.2.1.1.2.1.7.3</t>
  </si>
  <si>
    <t>20 мм</t>
  </si>
  <si>
    <t>1.1.2.1.1.2.1.8</t>
  </si>
  <si>
    <t>6.3.1.5.2.1.4.2</t>
  </si>
  <si>
    <t>№1.030 и 2.0037</t>
  </si>
  <si>
    <t>1.1.2.1.1.2.1.8.1</t>
  </si>
  <si>
    <t>1.1.2.1.1.2.1.8.2</t>
  </si>
  <si>
    <t>1.1.2.1.1.2.1.8.3</t>
  </si>
  <si>
    <t>1.1.2.1.1.2.1.9</t>
  </si>
  <si>
    <t>1.1.2.1.1.2.1.9.1</t>
  </si>
  <si>
    <t>1.1.2.1.1.2.1.9.2</t>
  </si>
  <si>
    <t>1.1.2.1.1.2.1.9.3</t>
  </si>
  <si>
    <t xml:space="preserve">Шпатлевка финишная TERRACO HANDYCOAT ALL PURPOSE </t>
  </si>
  <si>
    <t>1.1.2.1.1.2.1.10</t>
  </si>
  <si>
    <t>1.1.2.1.1.2.1.10.1</t>
  </si>
  <si>
    <t xml:space="preserve">Шпатлевка полимерная суперфинишная ЭЛИСИЛК_/белая/ PP37W </t>
  </si>
  <si>
    <t>1.1.2.1.1.2.1.10.2</t>
  </si>
  <si>
    <t>1.1.2.1.1.2.1.10.3</t>
  </si>
  <si>
    <t>1.1.2.1.1.2.1.11</t>
  </si>
  <si>
    <t>пом.-я №2.058</t>
  </si>
  <si>
    <t>1.1.2.1.1.2.1.11.1</t>
  </si>
  <si>
    <t>Грунтовка водно-дисперсионная глубокого проникновения EXPORT base Маршалл</t>
  </si>
  <si>
    <t>1.1.2.1.1.2.1.11.2</t>
  </si>
  <si>
    <t>Лента армированная Серпянка 150мм</t>
  </si>
  <si>
    <t>1.1.2.1.1.2.1.11.3</t>
  </si>
  <si>
    <t>1.1.2.1.1.2.1.11.4</t>
  </si>
  <si>
    <t>Шпатлевка гипсовая_ / белая / Унифицированная по ПИК-СТАНДАРТ, 30кг</t>
  </si>
  <si>
    <t>1.1.2.1.1.2.1.12</t>
  </si>
  <si>
    <t>пом.№2.058</t>
  </si>
  <si>
    <t>1.1.2.1.1.2.1.12.1</t>
  </si>
  <si>
    <t>1.1.2.1.1.2.1.12.2</t>
  </si>
  <si>
    <t>1.1.2.1.1.2.1.12.3</t>
  </si>
  <si>
    <t>1.1.2.1.1.2.1.12.4</t>
  </si>
  <si>
    <t>1.1.2.1.1.2.1.13</t>
  </si>
  <si>
    <t>1.1.2.1.1.2.1.13.1</t>
  </si>
  <si>
    <t>1.1.2.1.1.2.1.13.2</t>
  </si>
  <si>
    <t>1.1.2.1.1.2.1.13.3</t>
  </si>
  <si>
    <t>1.1.2.1.1.2.1.14</t>
  </si>
  <si>
    <t>помещ. №1.007</t>
  </si>
  <si>
    <t>1.1.2.1.1.2.1.14.1</t>
  </si>
  <si>
    <t>1.1.2.1.1.2.1.14.2</t>
  </si>
  <si>
    <t>1.1.2.1.1.2.1.14.3</t>
  </si>
  <si>
    <t>1.1.2.1.1.2.1.14.4</t>
  </si>
  <si>
    <t>1.1.2.1.1.2.1.15</t>
  </si>
  <si>
    <t>1.1.2.1.1.2.1.15.1</t>
  </si>
  <si>
    <t>1.1.2.1.1.2.1.15.2</t>
  </si>
  <si>
    <t>1.1.2.1.1.2.1.15.3</t>
  </si>
  <si>
    <t>1.1.2.1.1.2.1.15.4</t>
  </si>
  <si>
    <t>1.1.2.1.1.2.1.16</t>
  </si>
  <si>
    <t>1.1.2.1.1.2.1.16.1</t>
  </si>
  <si>
    <t>1.1.2.1.1.2.1.16.2</t>
  </si>
  <si>
    <t>1.1.2.1.1.2.1.16.3</t>
  </si>
  <si>
    <t>1.1.2.1.1.2.1.16.4</t>
  </si>
  <si>
    <t>1.1.2.1.1.2.2</t>
  </si>
  <si>
    <t>6.3.1.5.2.2</t>
  </si>
  <si>
    <t>Чистовые работы по поверхности стен</t>
  </si>
  <si>
    <t>1.1.2.1.1.2.2.1</t>
  </si>
  <si>
    <t>6.3.1.5.2.2.3.1</t>
  </si>
  <si>
    <t>пом. №1.030 и 2.037 спорт.залы</t>
  </si>
  <si>
    <t>1.1.2.1.1.2.2.1.1</t>
  </si>
  <si>
    <t>1.1.2.1.1.2.2.1.2</t>
  </si>
  <si>
    <t>прим. по проекту Матовая водно-дисперсионная краска для высококачественной отделки Antega Строитель моющаяся, цвет - белый RAL 9003, КМ1</t>
  </si>
  <si>
    <t>Лист гипсоволокнистый ГВЛ 12,5мм Г1</t>
  </si>
  <si>
    <t>1.1.1.1.1.1.1.1.4</t>
  </si>
  <si>
    <t>1.1.1.1.1.1.1.1.3</t>
  </si>
  <si>
    <t>Профиль_/стоечный/75*50*0,40/3м</t>
  </si>
  <si>
    <t>1.1.1.1.1.1.1.1.2</t>
  </si>
  <si>
    <t>Прочие материалы для облицовки стен из ГКЛ (лента, шпатлевка, грунтовка, шуруп, дюбель и пр.)_ / 1 слой ГКЛ / профиль ПН/ПС 75 мм</t>
  </si>
  <si>
    <t>1.1.1.1.1.1.1.1.1</t>
  </si>
  <si>
    <t>Галерея пом. № 2.058 и пом. №1.007
применительно как Панели перфорированные звукопоглощающие
САУНДЛАЙН-Акустика НГ , цвет - белый, 600х600 мм</t>
  </si>
  <si>
    <t>Облицовка стен по системе Knauf / С-665 / в 1 слой / А-12</t>
  </si>
  <si>
    <t>6.2.2.4.2.4.2.9</t>
  </si>
  <si>
    <t>1.1.1.1.1.1.1.1</t>
  </si>
  <si>
    <t>Устройство перегородок и зашивка коммуникаций ГКЛ</t>
  </si>
  <si>
    <t>6.2.2.4.2.4</t>
  </si>
  <si>
    <t>1.1.1.1.1.1.1</t>
  </si>
  <si>
    <t>1. Встроенное и Встроенно-пристроенное СКБ</t>
  </si>
  <si>
    <t>Устройство перегородок на металлическом каркасе по системе Knauf / С-112 / А2-12, А2-5, А2-25</t>
  </si>
  <si>
    <t>Штукатурка стен цементным, цементно-песчаным раствором с предварительной огрунтовкой / толщ. до 20 мм / высотой до 4 метров</t>
  </si>
  <si>
    <t>Прочие материалы для перегородок из ГКЛ (лента, шпатлевка, грунтовка, шуруп, дюбель и пр.) / одинарный каркас / 2 слоя облицовки</t>
  </si>
  <si>
    <t>Профиль_/направляющий/75*40*0,60/3м</t>
  </si>
  <si>
    <t>Профиль ЛСТК ВП U 150-63-1,5 сталь350цинк275г/м2 L=3000мм</t>
  </si>
  <si>
    <t>Профиль_ / стоечный  / 75*50*0,6 / 2415</t>
  </si>
  <si>
    <t>Профиль ЛСТК ВП С 150-50-1,5 сталь350цинк275г/м2 L=3200мм</t>
  </si>
  <si>
    <t>Гипсовые строительные плиты_ / влагостойкий и огнестойкий / 12,5*1200*2500</t>
  </si>
  <si>
    <t>КНАУФ "Суперлист" ГВЛ 12,5мм</t>
  </si>
  <si>
    <t>Плита минераловатная_ / Knauf Insulation Aquastatik TS 034</t>
  </si>
  <si>
    <t>м3</t>
  </si>
  <si>
    <t>Шпаклевка базовая</t>
  </si>
  <si>
    <t>Уголок малярный_/перфорированный/25*25*3000мм</t>
  </si>
  <si>
    <t>Шпаклевка финишная</t>
  </si>
  <si>
    <t>1.5</t>
  </si>
  <si>
    <t>2.1</t>
  </si>
  <si>
    <t>Устройство противопожарных стен 2-го типа</t>
  </si>
  <si>
    <t>Теплоизоляция КНАУФ Инсулейшн</t>
  </si>
  <si>
    <t>Описание</t>
  </si>
  <si>
    <t>Наименование работ</t>
  </si>
  <si>
    <t>Устройство файерборд</t>
  </si>
  <si>
    <t>(2 слоя)</t>
  </si>
  <si>
    <t>3.019</t>
  </si>
  <si>
    <t>3.021</t>
  </si>
  <si>
    <t>3.022</t>
  </si>
  <si>
    <t>3.023</t>
  </si>
  <si>
    <t>3.035</t>
  </si>
  <si>
    <t>3.036</t>
  </si>
  <si>
    <t>3.037</t>
  </si>
  <si>
    <t>3.038</t>
  </si>
  <si>
    <t>3.048</t>
  </si>
  <si>
    <t>3.051</t>
  </si>
  <si>
    <t>3.066</t>
  </si>
  <si>
    <t>2.022</t>
  </si>
  <si>
    <t>2.025</t>
  </si>
  <si>
    <t>2.030</t>
  </si>
  <si>
    <t>2.031</t>
  </si>
  <si>
    <t>2.032</t>
  </si>
  <si>
    <t>2.033</t>
  </si>
  <si>
    <t>2.042</t>
  </si>
  <si>
    <t>2.045</t>
  </si>
  <si>
    <t>2.046</t>
  </si>
  <si>
    <t>2.047</t>
  </si>
  <si>
    <t>Лакокрасочные работы СКБ / окраска стен / в 2 слоя</t>
  </si>
  <si>
    <t>СТ-1.3</t>
  </si>
  <si>
    <t>СТ-1.9</t>
  </si>
  <si>
    <t>Итог:</t>
  </si>
  <si>
    <t>2 этаж / КМ1 / 9003</t>
  </si>
  <si>
    <t>2 этаж / КМ0 / СТ-1.3</t>
  </si>
  <si>
    <t>3 этаж / КМ1 / 9003</t>
  </si>
  <si>
    <t>3 этаж / СТ-1.9</t>
  </si>
  <si>
    <t>3 этаж / КМ0 / СТ-1.3</t>
  </si>
  <si>
    <t>№ пом.</t>
  </si>
  <si>
    <t>RL 9003</t>
  </si>
  <si>
    <t>Демонтаж отделки (штукатурка / шпаклевка)</t>
  </si>
  <si>
    <t>Штукатурка стен гипсовыми смесями с предварительной огрунтовкой СКБ</t>
  </si>
  <si>
    <t xml:space="preserve"> / толщ. от 21 до 40 мм / высотой от 4,01 до 8 метров</t>
  </si>
  <si>
    <t>2 этаж ПВХ плитка</t>
  </si>
  <si>
    <t>3 этаж ПВХ плитка</t>
  </si>
  <si>
    <t>Демонтаж шпатлевки и/или штукатурки на поверхности стен</t>
  </si>
  <si>
    <t>Демонтаж плинтуса для линолеума</t>
  </si>
  <si>
    <t>пог. м.</t>
  </si>
  <si>
    <t>Установка напольного плинтуса ПВХ</t>
  </si>
  <si>
    <t>2, 3 этаж</t>
  </si>
  <si>
    <t>2 этаж / КМ0 / 7016 / опуск от потолка</t>
  </si>
  <si>
    <t>3 этаж / КМ0 / 7016/ опуск от потолка</t>
  </si>
  <si>
    <t xml:space="preserve">Демонтаж напольных покрытий </t>
  </si>
  <si>
    <t>2, 3 этаж 
ПЛ-2</t>
  </si>
  <si>
    <t>2 этаж  / ПВХ плитка Л-1</t>
  </si>
  <si>
    <t>3 этаж / ПВХ плитка Л-1</t>
  </si>
  <si>
    <t>Устройство покрытия пола из ПВХ плитки</t>
  </si>
  <si>
    <t>3.050</t>
  </si>
  <si>
    <t>Демонтаж подвесного потолка</t>
  </si>
  <si>
    <t>3 этаж  / 
ПТ-5</t>
  </si>
  <si>
    <t>Общее 
кол-во</t>
  </si>
  <si>
    <t>2.064</t>
  </si>
  <si>
    <t>2.050</t>
  </si>
  <si>
    <t>3.041</t>
  </si>
  <si>
    <t>3.005</t>
  </si>
  <si>
    <t>3.061</t>
  </si>
  <si>
    <t>3.062</t>
  </si>
  <si>
    <t>2.043</t>
  </si>
  <si>
    <t>2.048</t>
  </si>
  <si>
    <t>2.049</t>
  </si>
  <si>
    <t>2.055</t>
  </si>
  <si>
    <t>2.057</t>
  </si>
  <si>
    <t>2.060</t>
  </si>
  <si>
    <t>2.061</t>
  </si>
  <si>
    <t>2.062</t>
  </si>
  <si>
    <t>2.065</t>
  </si>
  <si>
    <t>2.066</t>
  </si>
  <si>
    <t>2.067</t>
  </si>
  <si>
    <t>2.068</t>
  </si>
  <si>
    <t>2.071</t>
  </si>
  <si>
    <t>3.033</t>
  </si>
  <si>
    <t>3.039</t>
  </si>
  <si>
    <t>3.040</t>
  </si>
  <si>
    <t>3.042</t>
  </si>
  <si>
    <t>3.043</t>
  </si>
  <si>
    <t>3.044</t>
  </si>
  <si>
    <t>3.045</t>
  </si>
  <si>
    <t>3.046</t>
  </si>
  <si>
    <t>3.047</t>
  </si>
  <si>
    <t>3.049</t>
  </si>
  <si>
    <t>3.053</t>
  </si>
  <si>
    <t>3.054</t>
  </si>
  <si>
    <t>3.058</t>
  </si>
  <si>
    <t>3.059</t>
  </si>
  <si>
    <t>3.060</t>
  </si>
  <si>
    <t>Коридоры</t>
  </si>
  <si>
    <t>Библиоттека</t>
  </si>
  <si>
    <t>Лиф. Холлы</t>
  </si>
  <si>
    <t>Актовые залы</t>
  </si>
  <si>
    <t>1.073</t>
  </si>
  <si>
    <t>1.067</t>
  </si>
  <si>
    <t>1.062</t>
  </si>
  <si>
    <t>1.055</t>
  </si>
  <si>
    <t>1.050</t>
  </si>
  <si>
    <t>1.023</t>
  </si>
  <si>
    <t>1.002</t>
  </si>
  <si>
    <t>1 этаж, h = 1.6 м</t>
  </si>
  <si>
    <t>2 этаж, h = 1.6 м</t>
  </si>
  <si>
    <t>3 этаж, h = 1.6 м</t>
  </si>
  <si>
    <t>1.012</t>
  </si>
  <si>
    <t>1.056</t>
  </si>
  <si>
    <t>3.007</t>
  </si>
  <si>
    <t>2.017</t>
  </si>
  <si>
    <t>2.003</t>
  </si>
  <si>
    <t>2.009</t>
  </si>
  <si>
    <t>3.004</t>
  </si>
  <si>
    <t>3.012</t>
  </si>
  <si>
    <t>2.006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</si>
</sst>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mc:Ignorable="x14ac">
  <numFmts count="3">
    <numFmt numFmtId="164" formatCode="0.000"/>
    <numFmt numFmtId="165" formatCode="#,##0.000"/>
    <numFmt numFmtId="166" formatCode="#,##0.0"/>
  </numFmts>
  <fonts count="23" x14ac:knownFonts="1">
    <font>
      <sz val="11"/>
      <color theme="1"/>
      <name val="Calibri"/>
      <family val="2"/>
      <charset val="204"/>
      <scheme val="minor"/>
    </font>
    <font>
      <b/>
      <sz val="10"/>
      <color theme="1"/>
      <name val="ГОСТ тип А"/>
      <family val="2"/>
      <charset val="204"/>
    </font>
    <font>
      <sz val="10"/>
      <color theme="1"/>
      <name val="ГОСТ тип А"/>
      <family val="2"/>
      <charset val="204"/>
    </font>
    <font>
      <sz val="11"/>
      <color theme="1"/>
      <name val="ГОСТ тип А"/>
      <family val="2"/>
      <charset val="204"/>
    </font>
    <font>
      <b/>
      <sz val="11"/>
      <color theme="1"/>
      <name val="ГОСТ тип А"/>
      <family val="2"/>
      <charset val="204"/>
    </font>
    <font>
      <sz val="10"/>
      <name val="ГОСТ тип А"/>
      <family val="2"/>
      <charset val="204"/>
    </font>
    <font>
      <sz val="11"/>
      <color rgb="FFC00000"/>
      <name val="Calibri"/>
      <family val="2"/>
      <charset val="204"/>
      <scheme val="minor"/>
    </font>
    <font>
      <b/>
      <sz val="10"/>
      <color rgb="FF000000"/>
      <name val="ГОСТ тип А"/>
      <family val="2"/>
      <charset val="204"/>
    </font>
    <font>
      <sz val="10"/>
      <color rgb="FF000000"/>
      <name val="ГОСТ тип А"/>
      <family val="2"/>
      <charset val="204"/>
    </font>
    <font>
      <i/>
      <sz val="10"/>
      <color rgb="FF000000"/>
      <name val="ГОСТ тип А"/>
      <family val="2"/>
      <charset val="204"/>
    </font>
    <font>
      <sz val="10"/>
      <color rgb="FF800000"/>
      <name val="ГОСТ тип А"/>
      <family val="2"/>
      <charset val="204"/>
    </font>
    <font>
      <sz val="10"/>
      <color rgb="FF00B050"/>
      <name val="ГОСТ тип А"/>
      <family val="2"/>
      <charset val="204"/>
    </font>
    <font>
      <sz val="11"/>
      <color rgb="FF000000"/>
      <name val="Calibri"/>
      <family val="2"/>
      <charset val="204"/>
    </font>
    <font>
      <sz val="11"/>
      <color rgb="FF000000"/>
      <name val="Calibri"/>
    </font>
    <font>
      <b/>
      <sz val="12"/>
      <color rgb="FF000000"/>
      <name val="Times New Roman"/>
      <family val="1"/>
      <charset val="204"/>
    </font>
    <font>
      <b/>
      <sz val="12"/>
      <color rgb="FF000000"/>
      <name val="ГОСТ тип А"/>
      <family val="2"/>
      <charset val="204"/>
    </font>
    <font>
      <sz val="12"/>
      <color rgb="FF000000"/>
      <name val="Times New Roman"/>
      <family val="1"/>
      <charset val="204"/>
    </font>
    <font>
      <i/>
      <sz val="12"/>
      <color rgb="FF000000"/>
      <name val="Times New Roman"/>
      <family val="1"/>
      <charset val="204"/>
    </font>
    <font>
      <b/>
      <sz val="12"/>
      <color theme="1"/>
      <name val="Calibri"/>
      <family val="2"/>
      <charset val="204"/>
      <scheme val="minor"/>
    </font>
    <font>
      <b/>
      <sz val="12"/>
      <color theme="1"/>
      <name val="ГОСТ тип А"/>
      <family val="2"/>
      <charset val="204"/>
    </font>
    <font>
      <i/>
      <sz val="12"/>
      <color rgb="FF000000"/>
      <name val="ГОСТ тип А"/>
      <family val="2"/>
      <charset val="204"/>
    </font>
    <font>
      <b/>
      <sz val="12"/>
      <name val="ГОСТ тип А"/>
      <family val="2"/>
      <charset val="204"/>
    </font>
    <font>
      <i/>
      <sz val="12"/>
      <name val="ГОСТ тип А"/>
      <family val="2"/>
      <charset val="204"/>
    </font>
  </fonts>
  <fills count="7">
    <fill>
      <patternFill patternType="none"/>
    </fill>
    <fill>
      <patternFill patternType="gray125"/>
    </fill>
    <fill>
      <patternFill patternType="solid">
        <fgColor rgb="FFC00000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rgb="FFD8E4BC"/>
        <bgColor rgb="FF000000"/>
      </patternFill>
    </fill>
    <fill>
      <patternFill patternType="solid">
        <fgColor rgb="FFD9D9D8"/>
        <bgColor rgb="FF000000"/>
      </patternFill>
    </fill>
  </fills>
  <borders count="40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theme="0"/>
      </right>
      <top style="thin">
        <color indexed="64"/>
      </top>
      <bottom style="thin">
        <color indexed="64"/>
      </bottom>
      <diagonal/>
    </border>
    <border>
      <left style="thin">
        <color theme="0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theme="0"/>
      </left>
      <right style="thin">
        <color theme="0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/>
      <bottom/>
      <diagonal/>
    </border>
    <border>
      <left style="thin">
        <color theme="0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medium">
        <color theme="0"/>
      </right>
      <top style="medium">
        <color indexed="64"/>
      </top>
      <bottom/>
      <diagonal/>
    </border>
    <border>
      <left style="medium">
        <color theme="0"/>
      </left>
      <right style="medium">
        <color theme="0"/>
      </right>
      <top style="medium">
        <color indexed="64"/>
      </top>
      <bottom/>
      <diagonal/>
    </border>
    <border>
      <left style="medium">
        <color theme="0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medium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medium">
        <color indexed="64"/>
      </right>
      <top style="thin">
        <color indexed="64"/>
      </top>
      <bottom/>
      <diagonal/>
    </border>
    <border>
      <left style="medium">
        <color indexed="64"/>
      </left>
      <right style="medium">
        <color theme="0"/>
      </right>
      <top style="medium">
        <color indexed="64"/>
      </top>
      <bottom style="thin">
        <color indexed="64"/>
      </bottom>
      <diagonal/>
    </border>
    <border>
      <left style="medium">
        <color theme="0"/>
      </left>
      <right style="medium">
        <color theme="0"/>
      </right>
      <top style="medium">
        <color indexed="64"/>
      </top>
      <bottom style="thin">
        <color indexed="64"/>
      </bottom>
      <diagonal/>
    </border>
    <border>
      <left style="medium">
        <color theme="0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/>
      <right/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/>
      <top style="thin">
        <color rgb="FF000000"/>
      </top>
      <bottom/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/>
      <right/>
      <top/>
      <bottom style="thin">
        <color indexed="64"/>
      </bottom>
      <diagonal/>
    </border>
    <border>
      <left/>
      <right style="thin">
        <color indexed="64"/>
      </right>
      <top/>
      <bottom/>
      <diagonal/>
    </border>
    <border>
      <left style="thin">
        <color indexed="64"/>
      </left>
      <right/>
      <top style="thin">
        <color indexed="64"/>
      </top>
      <bottom/>
      <diagonal/>
    </border>
  </borders>
  <cellStyleXfs count="3">
    <xf numFmtId="0" fontId="0" fillId="0" borderId="0"/>
    <xf numFmtId="0" fontId="12" fillId="0" borderId="0"/>
    <xf numFmtId="0" fontId="13" fillId="0" borderId="0"/>
  </cellStyleXfs>
  <cellXfs count="227">
    <xf numFmtId="0" fontId="0" fillId="0" borderId="0" xfId="0"/>
    <xf numFmtId="0" fontId="0" fillId="0" borderId="0" xfId="0" applyAlignment="1">
      <alignment horizontal="center"/>
    </xf>
    <xf numFmtId="0" fontId="0" fillId="0" borderId="1" xfId="0" applyBorder="1" applyAlignment="1">
      <alignment horizontal="center"/>
    </xf>
    <xf numFmtId="0" fontId="0" fillId="0" borderId="1" xfId="0" applyBorder="1"/>
    <xf numFmtId="0" fontId="0" fillId="0" borderId="0" xfId="0" applyAlignment="1">
      <alignment wrapText="1"/>
    </xf>
    <xf numFmtId="0" fontId="0" fillId="0" borderId="2" xfId="0" applyBorder="1" applyAlignment="1">
      <alignment horizontal="center"/>
    </xf>
    <xf numFmtId="0" fontId="0" fillId="0" borderId="3" xfId="0" applyBorder="1" applyAlignment="1">
      <alignment horizontal="center"/>
    </xf>
    <xf numFmtId="0" fontId="0" fillId="0" borderId="4" xfId="0" applyBorder="1" applyAlignment="1">
      <alignment horizontal="center"/>
    </xf>
    <xf numFmtId="0" fontId="0" fillId="0" borderId="1" xfId="0" applyBorder="1" applyAlignment="1">
      <alignment horizontal="left" vertical="center" wrapText="1"/>
    </xf>
    <xf numFmtId="0" fontId="1" fillId="0" borderId="0" xfId="0" applyFont="1" applyAlignment="1">
      <alignment horizontal="right"/>
    </xf>
    <xf numFmtId="0" fontId="2" fillId="0" borderId="2" xfId="0" applyFont="1" applyBorder="1" applyAlignment="1">
      <alignment horizontal="center" vertical="center"/>
    </xf>
    <xf numFmtId="0" fontId="2" fillId="0" borderId="4" xfId="0" applyFont="1" applyBorder="1" applyAlignment="1">
      <alignment horizontal="center" vertical="center"/>
    </xf>
    <xf numFmtId="2" fontId="2" fillId="0" borderId="3" xfId="0" applyNumberFormat="1" applyFont="1" applyBorder="1" applyAlignment="1">
      <alignment horizontal="center" vertical="center"/>
    </xf>
    <xf numFmtId="2" fontId="2" fillId="0" borderId="0" xfId="0" applyNumberFormat="1" applyFont="1" applyAlignment="1">
      <alignment vertical="center"/>
    </xf>
    <xf numFmtId="0" fontId="2" fillId="0" borderId="0" xfId="0" applyFont="1"/>
    <xf numFmtId="0" fontId="2" fillId="0" borderId="1" xfId="0" applyFont="1" applyBorder="1" applyAlignment="1">
      <alignment horizontal="center" vertical="center"/>
    </xf>
    <xf numFmtId="0" fontId="2" fillId="0" borderId="1" xfId="0" applyFont="1" applyBorder="1" applyAlignment="1">
      <alignment vertical="center"/>
    </xf>
    <xf numFmtId="2" fontId="2" fillId="0" borderId="1" xfId="0" applyNumberFormat="1" applyFont="1" applyBorder="1" applyAlignment="1">
      <alignment horizontal="center" vertical="center"/>
    </xf>
    <xf numFmtId="0" fontId="2" fillId="0" borderId="1" xfId="0" applyFont="1" applyBorder="1" applyAlignment="1">
      <alignment horizontal="left" vertical="center" wrapText="1"/>
    </xf>
    <xf numFmtId="0" fontId="2" fillId="0" borderId="0" xfId="0" applyFont="1" applyBorder="1" applyAlignment="1">
      <alignment horizontal="center" vertical="center"/>
    </xf>
    <xf numFmtId="0" fontId="2" fillId="0" borderId="0" xfId="0" applyFont="1" applyBorder="1" applyAlignment="1">
      <alignment horizontal="left" vertical="center" wrapText="1"/>
    </xf>
    <xf numFmtId="2" fontId="2" fillId="0" borderId="0" xfId="0" applyNumberFormat="1" applyFont="1" applyBorder="1" applyAlignment="1">
      <alignment horizontal="center" vertical="center"/>
    </xf>
    <xf numFmtId="0" fontId="2" fillId="0" borderId="0" xfId="0" applyFont="1" applyAlignment="1">
      <alignment vertical="center"/>
    </xf>
    <xf numFmtId="0" fontId="2" fillId="0" borderId="1" xfId="0" applyFont="1" applyBorder="1" applyAlignment="1">
      <alignment vertical="center" wrapText="1"/>
    </xf>
    <xf numFmtId="0" fontId="2" fillId="0" borderId="0" xfId="0" applyFont="1" applyBorder="1" applyAlignment="1">
      <alignment vertical="center"/>
    </xf>
    <xf numFmtId="0" fontId="1" fillId="0" borderId="0" xfId="0" applyFont="1" applyAlignment="1">
      <alignment horizontal="right" wrapText="1"/>
    </xf>
    <xf numFmtId="2" fontId="2" fillId="0" borderId="1" xfId="0" applyNumberFormat="1" applyFont="1" applyBorder="1" applyAlignment="1">
      <alignment horizontal="center" vertical="center" wrapText="1"/>
    </xf>
    <xf numFmtId="2" fontId="2" fillId="0" borderId="0" xfId="0" applyNumberFormat="1" applyFont="1" applyAlignment="1">
      <alignment vertical="center" wrapText="1"/>
    </xf>
    <xf numFmtId="0" fontId="2" fillId="0" borderId="0" xfId="0" applyFont="1" applyAlignment="1">
      <alignment wrapText="1"/>
    </xf>
    <xf numFmtId="0" fontId="2" fillId="0" borderId="4" xfId="0" applyFont="1" applyBorder="1" applyAlignment="1">
      <alignment horizontal="right" vertical="center"/>
    </xf>
    <xf numFmtId="2" fontId="2" fillId="0" borderId="4" xfId="0" applyNumberFormat="1" applyFont="1" applyBorder="1" applyAlignment="1">
      <alignment horizontal="center" vertical="center"/>
    </xf>
    <xf numFmtId="2" fontId="2" fillId="0" borderId="3" xfId="0" applyNumberFormat="1" applyFont="1" applyBorder="1" applyAlignment="1">
      <alignment vertical="center"/>
    </xf>
    <xf numFmtId="2" fontId="2" fillId="0" borderId="1" xfId="0" applyNumberFormat="1" applyFont="1" applyBorder="1" applyAlignment="1">
      <alignment vertical="center"/>
    </xf>
    <xf numFmtId="0" fontId="2" fillId="0" borderId="1" xfId="0" applyFont="1" applyBorder="1" applyAlignment="1">
      <alignment horizontal="center" vertical="top"/>
    </xf>
    <xf numFmtId="2" fontId="2" fillId="0" borderId="0" xfId="0" applyNumberFormat="1" applyFont="1" applyBorder="1" applyAlignment="1">
      <alignment vertical="center"/>
    </xf>
    <xf numFmtId="2" fontId="2" fillId="0" borderId="6" xfId="0" applyNumberFormat="1" applyFont="1" applyBorder="1" applyAlignment="1">
      <alignment horizontal="center" vertical="center"/>
    </xf>
    <xf numFmtId="2" fontId="2" fillId="0" borderId="5" xfId="0" applyNumberFormat="1" applyFont="1" applyBorder="1" applyAlignment="1">
      <alignment vertical="center"/>
    </xf>
    <xf numFmtId="0" fontId="3" fillId="0" borderId="0" xfId="0" applyFont="1"/>
    <xf numFmtId="0" fontId="4" fillId="0" borderId="0" xfId="0" applyFont="1" applyAlignment="1">
      <alignment horizontal="right"/>
    </xf>
    <xf numFmtId="0" fontId="3" fillId="0" borderId="2" xfId="0" applyFont="1" applyBorder="1" applyAlignment="1">
      <alignment horizontal="center" vertical="center"/>
    </xf>
    <xf numFmtId="0" fontId="3" fillId="0" borderId="4" xfId="0" applyFont="1" applyBorder="1" applyAlignment="1">
      <alignment horizontal="right" vertical="center"/>
    </xf>
    <xf numFmtId="2" fontId="3" fillId="0" borderId="4" xfId="0" applyNumberFormat="1" applyFont="1" applyBorder="1" applyAlignment="1">
      <alignment horizontal="center" vertical="center"/>
    </xf>
    <xf numFmtId="2" fontId="3" fillId="0" borderId="3" xfId="0" applyNumberFormat="1" applyFont="1" applyBorder="1" applyAlignment="1">
      <alignment vertical="center"/>
    </xf>
    <xf numFmtId="0" fontId="3" fillId="0" borderId="1" xfId="0" applyFont="1" applyBorder="1" applyAlignment="1">
      <alignment horizontal="center" vertical="center"/>
    </xf>
    <xf numFmtId="0" fontId="3" fillId="0" borderId="1" xfId="0" applyFont="1" applyBorder="1" applyAlignment="1">
      <alignment vertical="center"/>
    </xf>
    <xf numFmtId="2" fontId="3" fillId="0" borderId="1" xfId="0" applyNumberFormat="1" applyFont="1" applyBorder="1" applyAlignment="1">
      <alignment horizontal="center" vertical="center"/>
    </xf>
    <xf numFmtId="2" fontId="3" fillId="0" borderId="1" xfId="0" applyNumberFormat="1" applyFont="1" applyBorder="1" applyAlignment="1">
      <alignment vertical="center"/>
    </xf>
    <xf numFmtId="0" fontId="3" fillId="0" borderId="1" xfId="0" applyFont="1" applyBorder="1" applyAlignment="1">
      <alignment vertical="center" wrapText="1"/>
    </xf>
    <xf numFmtId="0" fontId="3" fillId="0" borderId="1" xfId="0" applyFont="1" applyBorder="1" applyAlignment="1">
      <alignment horizontal="center" vertical="top"/>
    </xf>
    <xf numFmtId="0" fontId="3" fillId="0" borderId="4" xfId="0" applyFont="1" applyBorder="1" applyAlignment="1">
      <alignment horizontal="center" vertical="center"/>
    </xf>
    <xf numFmtId="2" fontId="3" fillId="0" borderId="3" xfId="0" applyNumberFormat="1" applyFont="1" applyBorder="1" applyAlignment="1">
      <alignment horizontal="center" vertical="center"/>
    </xf>
    <xf numFmtId="2" fontId="3" fillId="0" borderId="0" xfId="0" applyNumberFormat="1" applyFont="1" applyAlignment="1">
      <alignment vertical="center"/>
    </xf>
    <xf numFmtId="0" fontId="3" fillId="0" borderId="1" xfId="0" applyFont="1" applyBorder="1" applyAlignment="1">
      <alignment horizontal="left" vertical="center" wrapText="1"/>
    </xf>
    <xf numFmtId="0" fontId="3" fillId="0" borderId="1" xfId="0" applyFont="1" applyBorder="1"/>
    <xf numFmtId="0" fontId="3" fillId="0" borderId="1" xfId="0" applyFont="1" applyBorder="1" applyAlignment="1">
      <alignment horizontal="center"/>
    </xf>
    <xf numFmtId="0" fontId="3" fillId="0" borderId="0" xfId="0" applyFont="1" applyAlignment="1">
      <alignment horizontal="center"/>
    </xf>
    <xf numFmtId="0" fontId="2" fillId="0" borderId="0" xfId="0" applyFont="1" applyAlignment="1">
      <alignment horizontal="center" vertical="center"/>
    </xf>
    <xf numFmtId="0" fontId="2" fillId="0" borderId="0" xfId="0" applyFont="1" applyAlignment="1">
      <alignment horizontal="center" vertical="center" wrapText="1"/>
    </xf>
    <xf numFmtId="49" fontId="1" fillId="0" borderId="1" xfId="0" applyNumberFormat="1" applyFont="1" applyBorder="1" applyAlignment="1">
      <alignment horizontal="center" vertical="center"/>
    </xf>
    <xf numFmtId="0" fontId="1" fillId="0" borderId="1" xfId="0" applyFont="1" applyBorder="1" applyAlignment="1">
      <alignment horizontal="left" vertical="center"/>
    </xf>
    <xf numFmtId="2" fontId="1" fillId="0" borderId="1" xfId="0" applyNumberFormat="1" applyFont="1" applyBorder="1" applyAlignment="1">
      <alignment horizontal="center" vertical="center"/>
    </xf>
    <xf numFmtId="0" fontId="1" fillId="0" borderId="1" xfId="0" applyFont="1" applyBorder="1" applyAlignment="1">
      <alignment vertical="center"/>
    </xf>
    <xf numFmtId="49" fontId="2" fillId="0" borderId="1" xfId="0" applyNumberFormat="1" applyFont="1" applyBorder="1" applyAlignment="1">
      <alignment horizontal="center" vertical="center"/>
    </xf>
    <xf numFmtId="164" fontId="2" fillId="0" borderId="1" xfId="0" applyNumberFormat="1" applyFont="1" applyBorder="1" applyAlignment="1">
      <alignment horizontal="center" vertical="center"/>
    </xf>
    <xf numFmtId="0" fontId="5" fillId="0" borderId="1" xfId="0" applyFont="1" applyBorder="1" applyAlignment="1">
      <alignment horizontal="left" vertical="center" indent="2"/>
    </xf>
    <xf numFmtId="0" fontId="5" fillId="0" borderId="1" xfId="0" applyFont="1" applyBorder="1" applyAlignment="1">
      <alignment horizontal="left" vertical="center" wrapText="1" indent="2"/>
    </xf>
    <xf numFmtId="0" fontId="6" fillId="2" borderId="0" xfId="0" applyFont="1" applyFill="1"/>
    <xf numFmtId="0" fontId="0" fillId="2" borderId="0" xfId="0" applyFill="1"/>
    <xf numFmtId="2" fontId="0" fillId="0" borderId="0" xfId="0" applyNumberFormat="1"/>
    <xf numFmtId="49" fontId="1" fillId="0" borderId="8" xfId="0" applyNumberFormat="1" applyFont="1" applyBorder="1" applyAlignment="1">
      <alignment horizontal="center" vertical="center"/>
    </xf>
    <xf numFmtId="0" fontId="1" fillId="0" borderId="9" xfId="0" applyFont="1" applyBorder="1" applyAlignment="1">
      <alignment horizontal="left" vertical="center"/>
    </xf>
    <xf numFmtId="2" fontId="1" fillId="0" borderId="9" xfId="0" applyNumberFormat="1" applyFont="1" applyBorder="1" applyAlignment="1">
      <alignment horizontal="center" vertical="center"/>
    </xf>
    <xf numFmtId="2" fontId="1" fillId="0" borderId="10" xfId="0" applyNumberFormat="1" applyFont="1" applyBorder="1" applyAlignment="1">
      <alignment horizontal="center" vertical="center"/>
    </xf>
    <xf numFmtId="49" fontId="2" fillId="0" borderId="14" xfId="0" applyNumberFormat="1" applyFont="1" applyBorder="1" applyAlignment="1">
      <alignment horizontal="center" vertical="center"/>
    </xf>
    <xf numFmtId="2" fontId="2" fillId="0" borderId="15" xfId="0" applyNumberFormat="1" applyFont="1" applyBorder="1" applyAlignment="1">
      <alignment horizontal="center" vertical="center"/>
    </xf>
    <xf numFmtId="49" fontId="2" fillId="0" borderId="16" xfId="0" applyNumberFormat="1" applyFont="1" applyBorder="1" applyAlignment="1">
      <alignment horizontal="center" vertical="center"/>
    </xf>
    <xf numFmtId="0" fontId="2" fillId="0" borderId="17" xfId="0" applyFont="1" applyBorder="1" applyAlignment="1">
      <alignment vertical="center" wrapText="1"/>
    </xf>
    <xf numFmtId="2" fontId="2" fillId="0" borderId="17" xfId="0" applyNumberFormat="1" applyFont="1" applyBorder="1" applyAlignment="1">
      <alignment horizontal="center" vertical="center"/>
    </xf>
    <xf numFmtId="164" fontId="2" fillId="0" borderId="17" xfId="0" applyNumberFormat="1" applyFont="1" applyBorder="1" applyAlignment="1">
      <alignment horizontal="center" vertical="center"/>
    </xf>
    <xf numFmtId="2" fontId="2" fillId="0" borderId="18" xfId="0" applyNumberFormat="1" applyFont="1" applyBorder="1" applyAlignment="1">
      <alignment horizontal="center" vertical="center"/>
    </xf>
    <xf numFmtId="49" fontId="2" fillId="0" borderId="19" xfId="0" applyNumberFormat="1" applyFont="1" applyBorder="1" applyAlignment="1">
      <alignment horizontal="center" vertical="center"/>
    </xf>
    <xf numFmtId="0" fontId="2" fillId="0" borderId="20" xfId="0" applyFont="1" applyBorder="1" applyAlignment="1">
      <alignment vertical="center" wrapText="1"/>
    </xf>
    <xf numFmtId="2" fontId="2" fillId="0" borderId="20" xfId="0" applyNumberFormat="1" applyFont="1" applyBorder="1" applyAlignment="1">
      <alignment horizontal="center" vertical="center"/>
    </xf>
    <xf numFmtId="164" fontId="2" fillId="0" borderId="20" xfId="0" applyNumberFormat="1" applyFont="1" applyBorder="1" applyAlignment="1">
      <alignment horizontal="center" vertical="center"/>
    </xf>
    <xf numFmtId="2" fontId="2" fillId="0" borderId="21" xfId="0" applyNumberFormat="1" applyFont="1" applyBorder="1" applyAlignment="1">
      <alignment horizontal="center" vertical="center"/>
    </xf>
    <xf numFmtId="0" fontId="2" fillId="0" borderId="1" xfId="0" applyFont="1" applyBorder="1" applyAlignment="1">
      <alignment horizontal="left" vertical="center" indent="2"/>
    </xf>
    <xf numFmtId="0" fontId="2" fillId="0" borderId="22" xfId="0" applyFont="1" applyBorder="1" applyAlignment="1">
      <alignment horizontal="left" vertical="center" indent="2"/>
    </xf>
    <xf numFmtId="2" fontId="2" fillId="0" borderId="22" xfId="0" applyNumberFormat="1" applyFont="1" applyBorder="1" applyAlignment="1">
      <alignment horizontal="center" vertical="center"/>
    </xf>
    <xf numFmtId="164" fontId="2" fillId="0" borderId="22" xfId="0" applyNumberFormat="1" applyFont="1" applyBorder="1" applyAlignment="1">
      <alignment horizontal="center" vertical="center"/>
    </xf>
    <xf numFmtId="2" fontId="2" fillId="0" borderId="23" xfId="0" applyNumberFormat="1" applyFont="1" applyBorder="1" applyAlignment="1">
      <alignment horizontal="center" vertical="center"/>
    </xf>
    <xf numFmtId="49" fontId="2" fillId="0" borderId="11" xfId="0" applyNumberFormat="1" applyFont="1" applyBorder="1" applyAlignment="1">
      <alignment horizontal="center" vertical="center"/>
    </xf>
    <xf numFmtId="0" fontId="2" fillId="0" borderId="12" xfId="0" applyFont="1" applyBorder="1" applyAlignment="1">
      <alignment vertical="center" wrapText="1"/>
    </xf>
    <xf numFmtId="2" fontId="2" fillId="0" borderId="12" xfId="0" applyNumberFormat="1" applyFont="1" applyBorder="1" applyAlignment="1">
      <alignment horizontal="center" vertical="center"/>
    </xf>
    <xf numFmtId="164" fontId="2" fillId="0" borderId="12" xfId="0" applyNumberFormat="1" applyFont="1" applyBorder="1" applyAlignment="1">
      <alignment horizontal="center" vertical="center"/>
    </xf>
    <xf numFmtId="2" fontId="2" fillId="0" borderId="13" xfId="0" applyNumberFormat="1" applyFont="1" applyBorder="1" applyAlignment="1">
      <alignment horizontal="center" vertical="center"/>
    </xf>
    <xf numFmtId="0" fontId="2" fillId="0" borderId="17" xfId="0" applyFont="1" applyBorder="1" applyAlignment="1">
      <alignment horizontal="left" vertical="center" wrapText="1" indent="2"/>
    </xf>
    <xf numFmtId="49" fontId="1" fillId="0" borderId="24" xfId="0" applyNumberFormat="1" applyFont="1" applyBorder="1" applyAlignment="1">
      <alignment horizontal="center" vertical="center"/>
    </xf>
    <xf numFmtId="0" fontId="1" fillId="0" borderId="25" xfId="0" applyFont="1" applyBorder="1" applyAlignment="1">
      <alignment horizontal="left" vertical="center"/>
    </xf>
    <xf numFmtId="2" fontId="1" fillId="0" borderId="25" xfId="0" applyNumberFormat="1" applyFont="1" applyBorder="1" applyAlignment="1">
      <alignment horizontal="center" vertical="center"/>
    </xf>
    <xf numFmtId="2" fontId="1" fillId="0" borderId="26" xfId="0" applyNumberFormat="1" applyFont="1" applyBorder="1" applyAlignment="1">
      <alignment horizontal="center" vertical="center"/>
    </xf>
    <xf numFmtId="49" fontId="1" fillId="0" borderId="16" xfId="0" applyNumberFormat="1" applyFont="1" applyBorder="1" applyAlignment="1">
      <alignment horizontal="center" vertical="center"/>
    </xf>
    <xf numFmtId="0" fontId="1" fillId="0" borderId="17" xfId="0" applyFont="1" applyBorder="1" applyAlignment="1">
      <alignment vertical="center"/>
    </xf>
    <xf numFmtId="2" fontId="1" fillId="0" borderId="17" xfId="0" applyNumberFormat="1" applyFont="1" applyBorder="1" applyAlignment="1">
      <alignment horizontal="center" vertical="center"/>
    </xf>
    <xf numFmtId="2" fontId="1" fillId="0" borderId="18" xfId="0" applyNumberFormat="1" applyFont="1" applyBorder="1" applyAlignment="1">
      <alignment horizontal="center" vertical="center"/>
    </xf>
    <xf numFmtId="0" fontId="2" fillId="0" borderId="1" xfId="0" applyFont="1" applyBorder="1" applyAlignment="1">
      <alignment horizontal="left" vertical="center" wrapText="1" indent="2"/>
    </xf>
    <xf numFmtId="0" fontId="5" fillId="0" borderId="17" xfId="0" applyFont="1" applyBorder="1" applyAlignment="1">
      <alignment horizontal="left" vertical="center" wrapText="1" indent="2"/>
    </xf>
    <xf numFmtId="0" fontId="5" fillId="0" borderId="17" xfId="0" applyFont="1" applyBorder="1" applyAlignment="1">
      <alignment horizontal="left" vertical="center" indent="2"/>
    </xf>
    <xf numFmtId="0" fontId="0" fillId="3" borderId="0" xfId="0" applyFill="1"/>
    <xf numFmtId="49" fontId="1" fillId="0" borderId="11" xfId="0" applyNumberFormat="1" applyFont="1" applyBorder="1" applyAlignment="1">
      <alignment horizontal="center" vertical="center"/>
    </xf>
    <xf numFmtId="0" fontId="1" fillId="0" borderId="12" xfId="0" applyFont="1" applyBorder="1" applyAlignment="1">
      <alignment horizontal="left" vertical="center"/>
    </xf>
    <xf numFmtId="2" fontId="1" fillId="0" borderId="12" xfId="0" applyNumberFormat="1" applyFont="1" applyBorder="1" applyAlignment="1">
      <alignment horizontal="center" vertical="center"/>
    </xf>
    <xf numFmtId="2" fontId="1" fillId="0" borderId="13" xfId="0" applyNumberFormat="1" applyFont="1" applyBorder="1" applyAlignment="1">
      <alignment horizontal="center" vertical="center"/>
    </xf>
    <xf numFmtId="49" fontId="1" fillId="0" borderId="14" xfId="0" applyNumberFormat="1" applyFont="1" applyBorder="1" applyAlignment="1">
      <alignment horizontal="center" vertical="center"/>
    </xf>
    <xf numFmtId="2" fontId="1" fillId="0" borderId="15" xfId="0" applyNumberFormat="1" applyFont="1" applyBorder="1" applyAlignment="1">
      <alignment horizontal="center" vertical="center"/>
    </xf>
    <xf numFmtId="0" fontId="0" fillId="4" borderId="0" xfId="0" applyFill="1"/>
    <xf numFmtId="2" fontId="2" fillId="0" borderId="15" xfId="0" applyNumberFormat="1" applyFont="1" applyFill="1" applyBorder="1" applyAlignment="1">
      <alignment horizontal="center" vertical="center"/>
    </xf>
    <xf numFmtId="0" fontId="1" fillId="0" borderId="1" xfId="0" applyFont="1" applyBorder="1" applyAlignment="1">
      <alignment horizontal="right" vertical="center"/>
    </xf>
    <xf numFmtId="0" fontId="8" fillId="0" borderId="28" xfId="0" applyFont="1" applyBorder="1" applyAlignment="1">
      <alignment horizontal="left" vertical="center"/>
    </xf>
    <xf numFmtId="165" fontId="8" fillId="0" borderId="28" xfId="0" applyNumberFormat="1" applyFont="1" applyBorder="1" applyAlignment="1">
      <alignment horizontal="center" vertical="center"/>
    </xf>
    <xf numFmtId="0" fontId="8" fillId="0" borderId="28" xfId="0" applyFont="1" applyBorder="1" applyAlignment="1">
      <alignment horizontal="center" vertical="center"/>
    </xf>
    <xf numFmtId="0" fontId="8" fillId="0" borderId="28" xfId="0" applyFont="1" applyBorder="1" applyAlignment="1">
      <alignment horizontal="center" vertical="center" wrapText="1"/>
    </xf>
    <xf numFmtId="0" fontId="9" fillId="5" borderId="28" xfId="0" applyFont="1" applyFill="1" applyBorder="1" applyAlignment="1">
      <alignment horizontal="right" vertical="center" wrapText="1"/>
    </xf>
    <xf numFmtId="0" fontId="9" fillId="0" borderId="28" xfId="0" applyFont="1" applyBorder="1" applyAlignment="1">
      <alignment horizontal="right" vertical="center" wrapText="1"/>
    </xf>
    <xf numFmtId="165" fontId="8" fillId="0" borderId="28" xfId="0" applyNumberFormat="1" applyFont="1" applyBorder="1" applyAlignment="1">
      <alignment horizontal="center" vertical="center" wrapText="1"/>
    </xf>
    <xf numFmtId="0" fontId="8" fillId="0" borderId="28" xfId="0" applyFont="1" applyBorder="1" applyAlignment="1">
      <alignment horizontal="left" vertical="center" wrapText="1"/>
    </xf>
    <xf numFmtId="165" fontId="10" fillId="0" borderId="28" xfId="0" applyNumberFormat="1" applyFont="1" applyBorder="1" applyAlignment="1">
      <alignment horizontal="center" vertical="center"/>
    </xf>
    <xf numFmtId="0" fontId="8" fillId="0" borderId="27" xfId="0" applyFont="1" applyBorder="1" applyAlignment="1">
      <alignment vertical="center" wrapText="1"/>
    </xf>
    <xf numFmtId="0" fontId="11" fillId="0" borderId="28" xfId="0" applyFont="1" applyBorder="1" applyAlignment="1">
      <alignment horizontal="center" vertical="center" wrapText="1"/>
    </xf>
    <xf numFmtId="165" fontId="11" fillId="0" borderId="28" xfId="0" applyNumberFormat="1" applyFont="1" applyBorder="1" applyAlignment="1">
      <alignment horizontal="center" vertical="center" wrapText="1"/>
    </xf>
    <xf numFmtId="0" fontId="14" fillId="0" borderId="28" xfId="2" applyFont="1" applyBorder="1" applyAlignment="1">
      <alignment horizontal="center" vertical="center"/>
    </xf>
    <xf numFmtId="0" fontId="15" fillId="0" borderId="28" xfId="2" applyFont="1" applyBorder="1" applyAlignment="1">
      <alignment horizontal="center" vertical="center"/>
    </xf>
    <xf numFmtId="0" fontId="16" fillId="0" borderId="28" xfId="2" applyFont="1" applyBorder="1" applyAlignment="1">
      <alignment horizontal="center" vertical="center" wrapText="1"/>
    </xf>
    <xf numFmtId="0" fontId="14" fillId="0" borderId="27" xfId="2" applyFont="1" applyBorder="1" applyAlignment="1">
      <alignment horizontal="center" vertical="center" wrapText="1"/>
    </xf>
    <xf numFmtId="0" fontId="18" fillId="0" borderId="0" xfId="0" applyFont="1" applyAlignment="1">
      <alignment vertical="center"/>
    </xf>
    <xf numFmtId="0" fontId="14" fillId="0" borderId="28" xfId="2" applyFont="1" applyBorder="1" applyAlignment="1">
      <alignment horizontal="left" vertical="center" wrapText="1"/>
    </xf>
    <xf numFmtId="0" fontId="14" fillId="0" borderId="28" xfId="2" applyFont="1" applyBorder="1" applyAlignment="1">
      <alignment horizontal="center" vertical="center" wrapText="1"/>
    </xf>
    <xf numFmtId="165" fontId="14" fillId="0" borderId="28" xfId="2" applyNumberFormat="1" applyFont="1" applyBorder="1" applyAlignment="1">
      <alignment horizontal="center" vertical="center" wrapText="1"/>
    </xf>
    <xf numFmtId="49" fontId="14" fillId="0" borderId="28" xfId="2" applyNumberFormat="1" applyFont="1" applyBorder="1" applyAlignment="1">
      <alignment horizontal="center" vertical="center"/>
    </xf>
    <xf numFmtId="165" fontId="14" fillId="0" borderId="28" xfId="2" applyNumberFormat="1" applyFont="1" applyBorder="1" applyAlignment="1">
      <alignment horizontal="center" vertical="center"/>
    </xf>
    <xf numFmtId="0" fontId="18" fillId="0" borderId="0" xfId="0" applyFont="1" applyAlignment="1">
      <alignment horizontal="center" vertical="center"/>
    </xf>
    <xf numFmtId="0" fontId="17" fillId="0" borderId="28" xfId="2" applyFont="1" applyFill="1" applyBorder="1" applyAlignment="1">
      <alignment horizontal="right" vertical="center" wrapText="1"/>
    </xf>
    <xf numFmtId="0" fontId="15" fillId="0" borderId="27" xfId="2" applyFont="1" applyBorder="1" applyAlignment="1">
      <alignment horizontal="center" vertical="center" wrapText="1"/>
    </xf>
    <xf numFmtId="0" fontId="19" fillId="0" borderId="0" xfId="0" applyFont="1"/>
    <xf numFmtId="0" fontId="15" fillId="0" borderId="28" xfId="2" applyFont="1" applyBorder="1" applyAlignment="1">
      <alignment horizontal="left" vertical="center" wrapText="1"/>
    </xf>
    <xf numFmtId="0" fontId="15" fillId="0" borderId="28" xfId="2" applyFont="1" applyBorder="1" applyAlignment="1">
      <alignment horizontal="center" vertical="center" wrapText="1"/>
    </xf>
    <xf numFmtId="165" fontId="15" fillId="0" borderId="28" xfId="2" applyNumberFormat="1" applyFont="1" applyBorder="1" applyAlignment="1">
      <alignment horizontal="center" vertical="center" wrapText="1"/>
    </xf>
    <xf numFmtId="49" fontId="15" fillId="0" borderId="28" xfId="2" applyNumberFormat="1" applyFont="1" applyBorder="1" applyAlignment="1">
      <alignment horizontal="center" vertical="center"/>
    </xf>
    <xf numFmtId="0" fontId="20" fillId="0" borderId="28" xfId="2" applyFont="1" applyFill="1" applyBorder="1" applyAlignment="1">
      <alignment horizontal="right" vertical="center" wrapText="1"/>
    </xf>
    <xf numFmtId="165" fontId="15" fillId="0" borderId="28" xfId="2" applyNumberFormat="1" applyFont="1" applyBorder="1" applyAlignment="1">
      <alignment horizontal="center" vertical="center"/>
    </xf>
    <xf numFmtId="0" fontId="19" fillId="0" borderId="0" xfId="0" applyFont="1" applyAlignment="1">
      <alignment horizontal="center"/>
    </xf>
    <xf numFmtId="0" fontId="21" fillId="0" borderId="27" xfId="2" applyFont="1" applyFill="1" applyBorder="1" applyAlignment="1">
      <alignment horizontal="center" vertical="center" wrapText="1"/>
    </xf>
    <xf numFmtId="0" fontId="21" fillId="0" borderId="28" xfId="2" applyFont="1" applyFill="1" applyBorder="1" applyAlignment="1">
      <alignment horizontal="left" vertical="center" wrapText="1"/>
    </xf>
    <xf numFmtId="0" fontId="21" fillId="0" borderId="28" xfId="2" applyFont="1" applyFill="1" applyBorder="1" applyAlignment="1">
      <alignment horizontal="center" vertical="center" wrapText="1"/>
    </xf>
    <xf numFmtId="165" fontId="21" fillId="0" borderId="28" xfId="2" applyNumberFormat="1" applyFont="1" applyFill="1" applyBorder="1" applyAlignment="1">
      <alignment horizontal="center" vertical="center" wrapText="1"/>
    </xf>
    <xf numFmtId="4" fontId="21" fillId="0" borderId="28" xfId="2" applyNumberFormat="1" applyFont="1" applyFill="1" applyBorder="1" applyAlignment="1">
      <alignment horizontal="center" vertical="center" wrapText="1"/>
    </xf>
    <xf numFmtId="0" fontId="22" fillId="0" borderId="28" xfId="2" applyFont="1" applyFill="1" applyBorder="1" applyAlignment="1">
      <alignment horizontal="right" vertical="center" wrapText="1"/>
    </xf>
    <xf numFmtId="0" fontId="21" fillId="0" borderId="28" xfId="2" applyFont="1" applyFill="1" applyBorder="1" applyAlignment="1">
      <alignment horizontal="center" vertical="center"/>
    </xf>
    <xf numFmtId="165" fontId="21" fillId="0" borderId="28" xfId="2" applyNumberFormat="1" applyFont="1" applyFill="1" applyBorder="1" applyAlignment="1">
      <alignment horizontal="center" vertical="center"/>
    </xf>
    <xf numFmtId="4" fontId="21" fillId="0" borderId="28" xfId="2" applyNumberFormat="1" applyFont="1" applyFill="1" applyBorder="1" applyAlignment="1">
      <alignment horizontal="center" vertical="center"/>
    </xf>
    <xf numFmtId="0" fontId="19" fillId="0" borderId="0" xfId="0" applyFont="1" applyAlignment="1">
      <alignment horizontal="center" vertical="center"/>
    </xf>
    <xf numFmtId="4" fontId="14" fillId="0" borderId="28" xfId="2" applyNumberFormat="1" applyFont="1" applyBorder="1" applyAlignment="1">
      <alignment horizontal="right" vertical="center" wrapText="1"/>
    </xf>
    <xf numFmtId="4" fontId="14" fillId="0" borderId="28" xfId="2" applyNumberFormat="1" applyFont="1" applyBorder="1" applyAlignment="1">
      <alignment horizontal="right" vertical="center"/>
    </xf>
    <xf numFmtId="4" fontId="15" fillId="0" borderId="28" xfId="2" applyNumberFormat="1" applyFont="1" applyBorder="1" applyAlignment="1">
      <alignment horizontal="center" vertical="center" wrapText="1"/>
    </xf>
    <xf numFmtId="4" fontId="15" fillId="0" borderId="28" xfId="2" applyNumberFormat="1" applyFont="1" applyBorder="1" applyAlignment="1">
      <alignment horizontal="center" vertical="center"/>
    </xf>
    <xf numFmtId="0" fontId="19" fillId="0" borderId="1" xfId="0" applyFont="1" applyBorder="1" applyAlignment="1">
      <alignment horizontal="center" vertical="center"/>
    </xf>
    <xf numFmtId="4" fontId="19" fillId="0" borderId="1" xfId="0" applyNumberFormat="1" applyFont="1" applyBorder="1" applyAlignment="1">
      <alignment horizontal="center" vertical="center"/>
    </xf>
    <xf numFmtId="0" fontId="19" fillId="0" borderId="0" xfId="0" applyFont="1" applyAlignment="1">
      <alignment horizontal="center" vertical="center"/>
    </xf>
    <xf numFmtId="0" fontId="19" fillId="0" borderId="20" xfId="0" applyFont="1" applyBorder="1" applyAlignment="1">
      <alignment horizontal="center" vertical="center"/>
    </xf>
    <xf numFmtId="4" fontId="19" fillId="0" borderId="20" xfId="0" applyNumberFormat="1" applyFont="1" applyBorder="1" applyAlignment="1">
      <alignment horizontal="center" vertical="center"/>
    </xf>
    <xf numFmtId="0" fontId="15" fillId="0" borderId="1" xfId="2" applyFont="1" applyBorder="1" applyAlignment="1">
      <alignment horizontal="center" vertical="center" wrapText="1"/>
    </xf>
    <xf numFmtId="0" fontId="21" fillId="0" borderId="1" xfId="2" applyFont="1" applyFill="1" applyBorder="1" applyAlignment="1">
      <alignment horizontal="center" vertical="center" wrapText="1"/>
    </xf>
    <xf numFmtId="0" fontId="15" fillId="0" borderId="1" xfId="2" applyFont="1" applyBorder="1" applyAlignment="1">
      <alignment horizontal="center" vertical="center"/>
    </xf>
    <xf numFmtId="4" fontId="21" fillId="0" borderId="1" xfId="2" applyNumberFormat="1" applyFont="1" applyFill="1" applyBorder="1" applyAlignment="1">
      <alignment horizontal="center" vertical="center" wrapText="1"/>
    </xf>
    <xf numFmtId="4" fontId="21" fillId="0" borderId="1" xfId="2" applyNumberFormat="1" applyFont="1" applyFill="1" applyBorder="1" applyAlignment="1">
      <alignment horizontal="center" vertical="center"/>
    </xf>
    <xf numFmtId="0" fontId="19" fillId="0" borderId="1" xfId="0" applyFont="1" applyBorder="1" applyAlignment="1">
      <alignment horizontal="center" vertical="center"/>
    </xf>
    <xf numFmtId="0" fontId="19" fillId="0" borderId="1" xfId="0" applyFont="1" applyBorder="1" applyAlignment="1">
      <alignment horizontal="center" vertical="center"/>
    </xf>
    <xf numFmtId="166" fontId="21" fillId="0" borderId="28" xfId="2" applyNumberFormat="1" applyFont="1" applyFill="1" applyBorder="1" applyAlignment="1">
      <alignment horizontal="center" vertical="center"/>
    </xf>
    <xf numFmtId="166" fontId="21" fillId="0" borderId="28" xfId="2" applyNumberFormat="1" applyFont="1" applyFill="1" applyBorder="1" applyAlignment="1">
      <alignment horizontal="center" vertical="center" wrapText="1"/>
    </xf>
    <xf numFmtId="0" fontId="19" fillId="0" borderId="1" xfId="0" applyFont="1" applyBorder="1" applyAlignment="1">
      <alignment horizontal="center" vertical="center"/>
    </xf>
    <xf numFmtId="0" fontId="19" fillId="0" borderId="33" xfId="0" applyFont="1" applyBorder="1" applyAlignment="1">
      <alignment horizontal="center" vertical="center"/>
    </xf>
    <xf numFmtId="0" fontId="19" fillId="0" borderId="22" xfId="0" applyFont="1" applyBorder="1" applyAlignment="1">
      <alignment horizontal="center" vertical="center"/>
    </xf>
    <xf numFmtId="0" fontId="19" fillId="0" borderId="5" xfId="0" applyFont="1" applyBorder="1" applyAlignment="1">
      <alignment horizontal="center"/>
    </xf>
    <xf numFmtId="0" fontId="19" fillId="0" borderId="0" xfId="0" applyFont="1" applyAlignment="1">
      <alignment horizontal="center"/>
    </xf>
    <xf numFmtId="0" fontId="21" fillId="0" borderId="29" xfId="2" applyFont="1" applyFill="1" applyBorder="1" applyAlignment="1">
      <alignment horizontal="center" vertical="center" wrapText="1"/>
    </xf>
    <xf numFmtId="0" fontId="21" fillId="0" borderId="30" xfId="2" applyFont="1" applyFill="1" applyBorder="1" applyAlignment="1">
      <alignment horizontal="center" vertical="center" wrapText="1"/>
    </xf>
    <xf numFmtId="0" fontId="21" fillId="0" borderId="31" xfId="2" applyFont="1" applyFill="1" applyBorder="1" applyAlignment="1">
      <alignment horizontal="center" vertical="center" wrapText="1"/>
    </xf>
    <xf numFmtId="0" fontId="21" fillId="0" borderId="29" xfId="2" applyFont="1" applyFill="1" applyBorder="1" applyAlignment="1">
      <alignment horizontal="left" vertical="center" wrapText="1"/>
    </xf>
    <xf numFmtId="0" fontId="21" fillId="0" borderId="30" xfId="2" applyFont="1" applyFill="1" applyBorder="1" applyAlignment="1">
      <alignment horizontal="left" vertical="center" wrapText="1"/>
    </xf>
    <xf numFmtId="0" fontId="21" fillId="0" borderId="31" xfId="2" applyFont="1" applyFill="1" applyBorder="1" applyAlignment="1">
      <alignment horizontal="left" vertical="center" wrapText="1"/>
    </xf>
    <xf numFmtId="0" fontId="19" fillId="0" borderId="32" xfId="0" applyFont="1" applyBorder="1" applyAlignment="1">
      <alignment horizontal="center" vertical="center"/>
    </xf>
    <xf numFmtId="0" fontId="19" fillId="0" borderId="0" xfId="0" applyFont="1" applyBorder="1" applyAlignment="1">
      <alignment horizontal="center"/>
    </xf>
    <xf numFmtId="0" fontId="19" fillId="0" borderId="35" xfId="0" applyFont="1" applyBorder="1" applyAlignment="1">
      <alignment horizontal="center" vertical="center"/>
    </xf>
    <xf numFmtId="0" fontId="19" fillId="0" borderId="0" xfId="0" applyFont="1" applyBorder="1" applyAlignment="1">
      <alignment horizontal="center" vertical="center"/>
    </xf>
    <xf numFmtId="0" fontId="19" fillId="0" borderId="38" xfId="0" applyFont="1" applyBorder="1" applyAlignment="1">
      <alignment horizontal="center"/>
    </xf>
    <xf numFmtId="0" fontId="19" fillId="0" borderId="0" xfId="0" applyFont="1" applyAlignment="1">
      <alignment horizontal="center" vertical="center"/>
    </xf>
    <xf numFmtId="0" fontId="19" fillId="0" borderId="35" xfId="0" applyFont="1" applyBorder="1" applyAlignment="1">
      <alignment horizontal="center"/>
    </xf>
    <xf numFmtId="0" fontId="19" fillId="0" borderId="1" xfId="0" applyFont="1" applyBorder="1" applyAlignment="1">
      <alignment horizontal="center"/>
    </xf>
    <xf numFmtId="0" fontId="19" fillId="0" borderId="5" xfId="0" applyFont="1" applyBorder="1" applyAlignment="1">
      <alignment horizontal="center" vertical="center"/>
    </xf>
    <xf numFmtId="0" fontId="19" fillId="0" borderId="7" xfId="0" applyFont="1" applyBorder="1" applyAlignment="1">
      <alignment horizontal="center" vertical="center"/>
    </xf>
    <xf numFmtId="0" fontId="19" fillId="0" borderId="34" xfId="0" applyFont="1" applyBorder="1" applyAlignment="1">
      <alignment horizontal="center" vertical="center"/>
    </xf>
    <xf numFmtId="0" fontId="19" fillId="0" borderId="37" xfId="0" applyFont="1" applyBorder="1" applyAlignment="1">
      <alignment horizontal="center"/>
    </xf>
    <xf numFmtId="0" fontId="21" fillId="0" borderId="33" xfId="2" applyFont="1" applyFill="1" applyBorder="1" applyAlignment="1">
      <alignment horizontal="center" vertical="center" wrapText="1"/>
    </xf>
    <xf numFmtId="0" fontId="21" fillId="0" borderId="34" xfId="2" applyFont="1" applyFill="1" applyBorder="1" applyAlignment="1">
      <alignment horizontal="center" vertical="center" wrapText="1"/>
    </xf>
    <xf numFmtId="0" fontId="19" fillId="0" borderId="36" xfId="0" applyFont="1" applyBorder="1" applyAlignment="1">
      <alignment horizontal="center" vertical="center"/>
    </xf>
    <xf numFmtId="0" fontId="19" fillId="0" borderId="1" xfId="0" applyFont="1" applyBorder="1" applyAlignment="1">
      <alignment horizontal="center" vertical="center"/>
    </xf>
    <xf numFmtId="0" fontId="21" fillId="0" borderId="33" xfId="2" applyFont="1" applyFill="1" applyBorder="1" applyAlignment="1">
      <alignment horizontal="left" vertical="center" wrapText="1"/>
    </xf>
    <xf numFmtId="0" fontId="21" fillId="0" borderId="7" xfId="2" applyFont="1" applyFill="1" applyBorder="1" applyAlignment="1">
      <alignment horizontal="left" vertical="center" wrapText="1"/>
    </xf>
    <xf numFmtId="0" fontId="21" fillId="0" borderId="34" xfId="2" applyFont="1" applyFill="1" applyBorder="1" applyAlignment="1">
      <alignment horizontal="left" vertical="center" wrapText="1"/>
    </xf>
    <xf numFmtId="0" fontId="21" fillId="0" borderId="7" xfId="2" applyFont="1" applyFill="1" applyBorder="1" applyAlignment="1">
      <alignment horizontal="center" vertical="center" wrapText="1"/>
    </xf>
    <xf numFmtId="0" fontId="7" fillId="0" borderId="29" xfId="0" applyFont="1" applyBorder="1" applyAlignment="1">
      <alignment horizontal="left" vertical="center"/>
    </xf>
    <xf numFmtId="0" fontId="7" fillId="0" borderId="30" xfId="0" applyFont="1" applyBorder="1" applyAlignment="1">
      <alignment horizontal="left" vertical="center"/>
    </xf>
    <xf numFmtId="0" fontId="7" fillId="0" borderId="31" xfId="0" applyFont="1" applyBorder="1" applyAlignment="1">
      <alignment horizontal="left" vertical="center"/>
    </xf>
    <xf numFmtId="0" fontId="7" fillId="6" borderId="29" xfId="0" applyFont="1" applyFill="1" applyBorder="1" applyAlignment="1">
      <alignment horizontal="left" vertical="center"/>
    </xf>
    <xf numFmtId="0" fontId="7" fillId="6" borderId="30" xfId="0" applyFont="1" applyFill="1" applyBorder="1" applyAlignment="1">
      <alignment horizontal="left" vertical="center"/>
    </xf>
    <xf numFmtId="0" fontId="0" fillId="0" borderId="7" xfId="0" applyBorder="1" applyAlignment="1">
      <alignment horizontal="center"/>
    </xf>
    <xf numFmtId="0" fontId="0" fillId="0" borderId="0" xfId="0" applyBorder="1" applyAlignment="1">
      <alignment horizontal="center"/>
    </xf>
    <xf numFmtId="0" fontId="19" fillId="0" borderId="33" xfId="0" applyFont="1" applyBorder="1" applyAlignment="1">
      <alignment horizontal="center"/>
    </xf>
    <xf numFmtId="0" fontId="19" fillId="0" borderId="34" xfId="0" applyFont="1" applyBorder="1" applyAlignment="1">
      <alignment horizontal="center"/>
    </xf>
    <xf numFmtId="0" fontId="19" fillId="0" borderId="33" xfId="0" applyFont="1" applyBorder="1" applyAlignment="1">
      <alignment horizontal="center" vertical="center"/>
    </xf>
    <xf numFmtId="0" fontId="21" fillId="0" borderId="1" xfId="2" applyFont="1" applyFill="1" applyBorder="1" applyAlignment="1">
      <alignment horizontal="center" vertical="center" wrapText="1"/>
    </xf>
    <xf numFmtId="4" fontId="21" fillId="0" borderId="1" xfId="2" applyNumberFormat="1" applyFont="1" applyFill="1" applyBorder="1" applyAlignment="1">
      <alignment horizontal="center" vertical="center" wrapText="1"/>
    </xf>
    <xf numFmtId="4" fontId="21" fillId="0" borderId="1" xfId="2" applyNumberFormat="1" applyFont="1" applyFill="1" applyBorder="1" applyAlignment="1">
      <alignment horizontal="center" vertical="center"/>
    </xf>
    <xf numFmtId="0" fontId="21" fillId="0" borderId="1" xfId="2" applyFont="1" applyFill="1" applyBorder="1" applyAlignment="1">
      <alignment horizontal="left" vertical="center" wrapText="1"/>
    </xf>
    <xf numFmtId="4" fontId="19" fillId="0" borderId="1" xfId="0" applyNumberFormat="1" applyFont="1" applyBorder="1" applyAlignment="1">
      <alignment horizontal="center" vertical="center"/>
    </xf>
    <xf numFmtId="0" fontId="19" fillId="0" borderId="7" xfId="0" applyFont="1" applyBorder="1" applyAlignment="1">
      <alignment horizontal="center"/>
    </xf>
    <xf numFmtId="0" fontId="19" fillId="0" borderId="39" xfId="0" applyFont="1" applyBorder="1" applyAlignment="1">
      <alignment horizontal="center"/>
    </xf>
    <xf numFmtId="0" fontId="19" fillId="0" borderId="36" xfId="0" applyFont="1" applyBorder="1" applyAlignment="1">
      <alignment horizontal="center"/>
    </xf>
  </cellXfs>
  <cellStyles count="3">
    <cellStyle name="Обычный" xfId="0" builtinId="0"/>
    <cellStyle name="Обычный 2" xfId="1"/>
    <cellStyle name="Обычный 3" xfId="2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3" Type="http://schemas.openxmlformats.org/officeDocument/2006/relationships/worksheet" Target="worksheets/sheet3.xml"/><Relationship Id="rId21" Type="http://schemas.openxmlformats.org/officeDocument/2006/relationships/worksheet" Target="worksheets/sheet21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worksheet" Target="worksheets/sheet20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openxmlformats.org/officeDocument/2006/relationships/sharedStrings" Target="sharedStrings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styles" Target="styles.xml"/><Relationship Id="rId10" Type="http://schemas.openxmlformats.org/officeDocument/2006/relationships/worksheet" Target="worksheets/sheet10.xml"/><Relationship Id="rId19" Type="http://schemas.openxmlformats.org/officeDocument/2006/relationships/worksheet" Target="worksheets/sheet19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Тема Office">
  <a:themeElements>
    <a:clrScheme name="Стандартная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Стандартная">
      <a:majorFont>
        <a:latin typeface="Cambria" panose="020F03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Стандартная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.bin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7.bin"/></Relationships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8.bin"/></Relationships>
</file>

<file path=xl/worksheets/_rels/sheet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9.bin"/></Relationships>
</file>

<file path=xl/worksheets/_rels/sheet1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0.bin"/></Relationships>
</file>

<file path=xl/worksheets/_rels/sheet1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1.bin"/></Relationships>
</file>

<file path=xl/worksheets/_rels/sheet1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2.bin"/></Relationships>
</file>

<file path=xl/worksheets/_rels/sheet1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3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K37"/>
  <sheetViews>
    <sheetView tabSelected="1" zoomScale="55" zoomScaleNormal="55" workbookViewId="0">
      <selection activeCell="J5" sqref="J5:K5"/>
    </sheetView>
  </sheetViews>
  <sheetFormatPr defaultRowHeight="15.6" x14ac:dyDescent="0.3"/>
  <cols>
    <col min="1" max="1" width="8.88671875" style="142"/>
    <col min="2" max="2" width="12" style="142" bestFit="1" customWidth="1"/>
    <col min="3" max="3" width="3.44140625" style="142" customWidth="1"/>
    <col min="4" max="4" width="8.88671875" style="142"/>
    <col min="5" max="5" width="12" style="142" bestFit="1" customWidth="1"/>
    <col min="6" max="6" width="3.6640625" style="142" customWidth="1"/>
    <col min="7" max="8" width="8.88671875" style="142"/>
    <col min="9" max="9" width="2.77734375" style="142" customWidth="1"/>
    <col min="10" max="10" width="8.88671875" style="142"/>
    <col min="11" max="11" width="12" style="142" bestFit="1" customWidth="1"/>
    <col min="12" max="16384" width="8.88671875" style="142"/>
  </cols>
  <sheetData>
    <row r="1" spans="1:11" ht="31.2" customHeight="1" x14ac:dyDescent="0.3">
      <c r="A1" s="169" t="s">
        <v>122</v>
      </c>
      <c r="B1" s="219" t="s">
        <v>271</v>
      </c>
      <c r="C1" s="219"/>
      <c r="D1" s="219"/>
      <c r="E1" s="219"/>
      <c r="F1" s="219" t="s">
        <v>270</v>
      </c>
      <c r="G1" s="219"/>
      <c r="H1" s="219" t="s">
        <v>49</v>
      </c>
      <c r="I1" s="219"/>
      <c r="J1" s="219" t="s">
        <v>127</v>
      </c>
      <c r="K1" s="219"/>
    </row>
    <row r="2" spans="1:11" ht="31.2" customHeight="1" x14ac:dyDescent="0.3">
      <c r="A2" s="171">
        <v>1</v>
      </c>
      <c r="B2" s="222" t="s">
        <v>295</v>
      </c>
      <c r="C2" s="222"/>
      <c r="D2" s="222"/>
      <c r="E2" s="222"/>
      <c r="F2" s="219" t="s">
        <v>372</v>
      </c>
      <c r="G2" s="219"/>
      <c r="H2" s="219" t="s">
        <v>70</v>
      </c>
      <c r="I2" s="219"/>
      <c r="J2" s="220">
        <f>B15+E12</f>
        <v>707.00800000000004</v>
      </c>
      <c r="K2" s="220"/>
    </row>
    <row r="3" spans="1:11" ht="31.2" customHeight="1" x14ac:dyDescent="0.3">
      <c r="A3" s="171">
        <v>2</v>
      </c>
      <c r="B3" s="222" t="s">
        <v>295</v>
      </c>
      <c r="C3" s="222"/>
      <c r="D3" s="222"/>
      <c r="E3" s="222"/>
      <c r="F3" s="219" t="s">
        <v>373</v>
      </c>
      <c r="G3" s="219"/>
      <c r="H3" s="219" t="s">
        <v>70</v>
      </c>
      <c r="I3" s="219"/>
      <c r="J3" s="221">
        <f>B26+E22+H20+K21</f>
        <v>1124.0320000000002</v>
      </c>
      <c r="K3" s="221"/>
    </row>
    <row r="4" spans="1:11" ht="31.2" customHeight="1" x14ac:dyDescent="0.3">
      <c r="A4" s="171">
        <v>3</v>
      </c>
      <c r="B4" s="222" t="s">
        <v>295</v>
      </c>
      <c r="C4" s="222"/>
      <c r="D4" s="222"/>
      <c r="E4" s="222"/>
      <c r="F4" s="219" t="s">
        <v>374</v>
      </c>
      <c r="G4" s="219"/>
      <c r="H4" s="219" t="s">
        <v>70</v>
      </c>
      <c r="I4" s="219"/>
      <c r="J4" s="220">
        <f>B37+E33+H31</f>
        <v>881.952</v>
      </c>
      <c r="K4" s="220"/>
    </row>
    <row r="5" spans="1:11" x14ac:dyDescent="0.3">
      <c r="A5" s="216"/>
      <c r="B5" s="224"/>
      <c r="C5" s="224"/>
      <c r="D5" s="224"/>
      <c r="E5" s="224"/>
      <c r="F5" s="224"/>
      <c r="G5" s="217"/>
      <c r="H5" s="204" t="s">
        <v>298</v>
      </c>
      <c r="I5" s="204"/>
      <c r="J5" s="223">
        <f>SUM(J2:K4)</f>
        <v>2712.9920000000002</v>
      </c>
      <c r="K5" s="223"/>
    </row>
    <row r="6" spans="1:11" x14ac:dyDescent="0.3">
      <c r="A6" s="225"/>
      <c r="B6" s="195"/>
      <c r="C6" s="195"/>
      <c r="D6" s="195"/>
      <c r="E6" s="195"/>
      <c r="F6" s="195"/>
      <c r="G6" s="195"/>
      <c r="H6" s="195"/>
      <c r="I6" s="195"/>
      <c r="J6" s="195"/>
      <c r="K6" s="226"/>
    </row>
    <row r="7" spans="1:11" x14ac:dyDescent="0.3">
      <c r="A7" s="204" t="s">
        <v>361</v>
      </c>
      <c r="B7" s="204"/>
      <c r="C7" s="182"/>
      <c r="D7" s="204" t="s">
        <v>363</v>
      </c>
      <c r="E7" s="204"/>
      <c r="F7" s="182"/>
      <c r="G7" s="182"/>
      <c r="H7" s="182"/>
      <c r="I7" s="182"/>
      <c r="J7" s="182"/>
      <c r="K7" s="182"/>
    </row>
    <row r="8" spans="1:11" x14ac:dyDescent="0.3">
      <c r="A8" s="178" t="s">
        <v>304</v>
      </c>
      <c r="B8" s="178" t="s">
        <v>29</v>
      </c>
      <c r="C8" s="182"/>
      <c r="D8" s="178" t="s">
        <v>304</v>
      </c>
      <c r="E8" s="178" t="s">
        <v>29</v>
      </c>
      <c r="F8" s="182"/>
      <c r="G8" s="182"/>
      <c r="H8" s="182"/>
      <c r="I8" s="182"/>
      <c r="J8" s="182"/>
      <c r="K8" s="182"/>
    </row>
    <row r="9" spans="1:11" x14ac:dyDescent="0.3">
      <c r="A9" s="178" t="s">
        <v>365</v>
      </c>
      <c r="B9" s="178">
        <f>68.9*1.6</f>
        <v>110.24000000000001</v>
      </c>
      <c r="C9" s="182"/>
      <c r="D9" s="178" t="s">
        <v>366</v>
      </c>
      <c r="E9" s="178">
        <f>10.6*1.6</f>
        <v>16.96</v>
      </c>
      <c r="F9" s="182"/>
      <c r="G9" s="182"/>
      <c r="H9" s="182"/>
      <c r="I9" s="182"/>
      <c r="J9" s="182"/>
      <c r="K9" s="182"/>
    </row>
    <row r="10" spans="1:11" x14ac:dyDescent="0.3">
      <c r="A10" s="178" t="s">
        <v>367</v>
      </c>
      <c r="B10" s="178">
        <f>65.6*1.6</f>
        <v>104.96</v>
      </c>
      <c r="C10" s="182"/>
      <c r="D10" s="178" t="s">
        <v>375</v>
      </c>
      <c r="E10" s="178">
        <f>10.7*1.6</f>
        <v>17.12</v>
      </c>
      <c r="F10" s="182"/>
      <c r="G10" s="182"/>
      <c r="H10" s="182"/>
      <c r="I10" s="182"/>
      <c r="J10" s="182"/>
      <c r="K10" s="182"/>
    </row>
    <row r="11" spans="1:11" x14ac:dyDescent="0.3">
      <c r="A11" s="178" t="s">
        <v>368</v>
      </c>
      <c r="B11" s="178">
        <f>68.2*1.6</f>
        <v>109.12</v>
      </c>
      <c r="C11" s="182"/>
      <c r="D11" s="178" t="s">
        <v>376</v>
      </c>
      <c r="E11" s="178">
        <f>10.7*1.6</f>
        <v>17.12</v>
      </c>
      <c r="F11" s="182"/>
      <c r="G11" s="182"/>
      <c r="H11" s="182"/>
      <c r="I11" s="182"/>
      <c r="J11" s="182"/>
      <c r="K11" s="182"/>
    </row>
    <row r="12" spans="1:11" x14ac:dyDescent="0.3">
      <c r="A12" s="178" t="s">
        <v>369</v>
      </c>
      <c r="B12" s="178">
        <f>(24.58+53.3)*1.6</f>
        <v>124.608</v>
      </c>
      <c r="C12" s="182"/>
      <c r="D12" s="178" t="s">
        <v>298</v>
      </c>
      <c r="E12" s="165">
        <f>SUM(E9:E11)</f>
        <v>51.2</v>
      </c>
      <c r="F12" s="182"/>
      <c r="G12" s="182"/>
      <c r="H12" s="182"/>
      <c r="I12" s="182"/>
      <c r="J12" s="182"/>
      <c r="K12" s="182"/>
    </row>
    <row r="13" spans="1:11" x14ac:dyDescent="0.3">
      <c r="A13" s="178" t="s">
        <v>370</v>
      </c>
      <c r="B13" s="178">
        <f>86.2*1.6</f>
        <v>137.92000000000002</v>
      </c>
      <c r="C13" s="182"/>
      <c r="D13" s="195"/>
      <c r="E13" s="195"/>
      <c r="F13" s="182"/>
      <c r="G13" s="182"/>
      <c r="H13" s="182"/>
      <c r="I13" s="182"/>
      <c r="J13" s="182"/>
      <c r="K13" s="182"/>
    </row>
    <row r="14" spans="1:11" x14ac:dyDescent="0.3">
      <c r="A14" s="178" t="s">
        <v>371</v>
      </c>
      <c r="B14" s="178">
        <f>43.1*1.6</f>
        <v>68.960000000000008</v>
      </c>
      <c r="C14" s="182"/>
      <c r="D14" s="182"/>
      <c r="E14" s="182"/>
      <c r="F14" s="182"/>
      <c r="G14" s="182"/>
      <c r="H14" s="182"/>
      <c r="I14" s="182"/>
      <c r="J14" s="182"/>
      <c r="K14" s="182"/>
    </row>
    <row r="15" spans="1:11" x14ac:dyDescent="0.3">
      <c r="A15" s="179" t="s">
        <v>298</v>
      </c>
      <c r="B15" s="165">
        <f>SUM(B9:B14)</f>
        <v>655.80799999999999</v>
      </c>
      <c r="C15" s="182"/>
      <c r="D15" s="182"/>
      <c r="E15" s="182"/>
      <c r="F15" s="182"/>
      <c r="G15" s="182"/>
      <c r="H15" s="182"/>
      <c r="I15" s="182"/>
      <c r="J15" s="182"/>
      <c r="K15" s="182"/>
    </row>
    <row r="16" spans="1:11" x14ac:dyDescent="0.3">
      <c r="A16" s="198"/>
      <c r="B16" s="198"/>
      <c r="C16" s="182"/>
      <c r="D16" s="200"/>
      <c r="E16" s="200"/>
      <c r="F16" s="182"/>
      <c r="G16" s="200"/>
      <c r="H16" s="200"/>
      <c r="I16" s="182"/>
      <c r="J16" s="200"/>
      <c r="K16" s="200"/>
    </row>
    <row r="17" spans="1:11" x14ac:dyDescent="0.3">
      <c r="A17" s="218" t="s">
        <v>361</v>
      </c>
      <c r="B17" s="199"/>
      <c r="C17" s="182"/>
      <c r="D17" s="204" t="s">
        <v>363</v>
      </c>
      <c r="E17" s="204"/>
      <c r="F17" s="182"/>
      <c r="G17" s="218" t="s">
        <v>362</v>
      </c>
      <c r="H17" s="199"/>
      <c r="I17" s="182"/>
      <c r="J17" s="216" t="s">
        <v>364</v>
      </c>
      <c r="K17" s="217"/>
    </row>
    <row r="18" spans="1:11" x14ac:dyDescent="0.3">
      <c r="A18" s="178" t="s">
        <v>304</v>
      </c>
      <c r="B18" s="178" t="s">
        <v>29</v>
      </c>
      <c r="C18" s="182"/>
      <c r="D18" s="178" t="s">
        <v>304</v>
      </c>
      <c r="E18" s="178" t="s">
        <v>29</v>
      </c>
      <c r="F18" s="182"/>
      <c r="G18" s="178" t="s">
        <v>304</v>
      </c>
      <c r="H18" s="178" t="s">
        <v>29</v>
      </c>
      <c r="I18" s="182"/>
      <c r="J18" s="178" t="s">
        <v>304</v>
      </c>
      <c r="K18" s="178" t="s">
        <v>29</v>
      </c>
    </row>
    <row r="19" spans="1:11" x14ac:dyDescent="0.3">
      <c r="A19" s="178" t="s">
        <v>340</v>
      </c>
      <c r="B19" s="178">
        <f>66.1*1.6</f>
        <v>105.75999999999999</v>
      </c>
      <c r="C19" s="182"/>
      <c r="D19" s="178" t="s">
        <v>380</v>
      </c>
      <c r="E19" s="178">
        <f>10.51*1.6</f>
        <v>16.815999999999999</v>
      </c>
      <c r="F19" s="182"/>
      <c r="G19" s="178" t="s">
        <v>285</v>
      </c>
      <c r="H19" s="178">
        <f>136.3*1.6</f>
        <v>218.08000000000004</v>
      </c>
      <c r="I19" s="182"/>
      <c r="J19" s="178" t="s">
        <v>341</v>
      </c>
      <c r="K19" s="178">
        <f>72.2*1.6</f>
        <v>115.52000000000001</v>
      </c>
    </row>
    <row r="20" spans="1:11" x14ac:dyDescent="0.3">
      <c r="A20" s="178" t="s">
        <v>335</v>
      </c>
      <c r="B20" s="178">
        <f>53.8*1.6</f>
        <v>86.08</v>
      </c>
      <c r="C20" s="182"/>
      <c r="D20" s="178" t="s">
        <v>336</v>
      </c>
      <c r="E20" s="178">
        <f>8.6*1.6</f>
        <v>13.76</v>
      </c>
      <c r="F20" s="182"/>
      <c r="G20" s="178" t="s">
        <v>298</v>
      </c>
      <c r="H20" s="165">
        <f>SUM(H19:H19)</f>
        <v>218.08000000000004</v>
      </c>
      <c r="I20" s="182"/>
      <c r="J20" s="178" t="s">
        <v>383</v>
      </c>
      <c r="K20" s="178">
        <f>33.1*1.6</f>
        <v>52.960000000000008</v>
      </c>
    </row>
    <row r="21" spans="1:11" x14ac:dyDescent="0.3">
      <c r="A21" s="178" t="s">
        <v>293</v>
      </c>
      <c r="B21" s="178">
        <f>74.2*1.6</f>
        <v>118.72000000000001</v>
      </c>
      <c r="C21" s="182"/>
      <c r="D21" s="178" t="s">
        <v>333</v>
      </c>
      <c r="E21" s="178">
        <f>8.67*1.6</f>
        <v>13.872</v>
      </c>
      <c r="F21" s="182"/>
      <c r="G21" s="195"/>
      <c r="H21" s="195"/>
      <c r="I21" s="182"/>
      <c r="J21" s="178" t="s">
        <v>298</v>
      </c>
      <c r="K21" s="165">
        <f>SUM(K19:K20)</f>
        <v>168.48000000000002</v>
      </c>
    </row>
    <row r="22" spans="1:11" x14ac:dyDescent="0.3">
      <c r="A22" s="178" t="s">
        <v>291</v>
      </c>
      <c r="B22" s="178">
        <f>43.6*1.6</f>
        <v>69.760000000000005</v>
      </c>
      <c r="C22" s="182"/>
      <c r="D22" s="178" t="s">
        <v>298</v>
      </c>
      <c r="E22" s="165">
        <f>SUM(E19:E21)</f>
        <v>44.448</v>
      </c>
      <c r="F22" s="182"/>
      <c r="G22" s="182"/>
      <c r="H22" s="182"/>
      <c r="I22" s="182"/>
      <c r="J22" s="195"/>
      <c r="K22" s="195"/>
    </row>
    <row r="23" spans="1:11" x14ac:dyDescent="0.3">
      <c r="A23" s="178" t="s">
        <v>345</v>
      </c>
      <c r="B23" s="178">
        <f>61.04*1.6</f>
        <v>97.664000000000001</v>
      </c>
      <c r="C23" s="182"/>
      <c r="D23" s="195"/>
      <c r="E23" s="195"/>
      <c r="F23" s="182"/>
      <c r="G23" s="182"/>
      <c r="H23" s="182"/>
      <c r="I23" s="182"/>
      <c r="J23" s="182"/>
      <c r="K23" s="182"/>
    </row>
    <row r="24" spans="1:11" x14ac:dyDescent="0.3">
      <c r="A24" s="178" t="s">
        <v>378</v>
      </c>
      <c r="B24" s="178">
        <f>87.6*1.6</f>
        <v>140.16</v>
      </c>
      <c r="C24" s="182"/>
      <c r="D24" s="182"/>
      <c r="E24" s="182"/>
      <c r="F24" s="182"/>
      <c r="G24" s="182"/>
      <c r="H24" s="182"/>
      <c r="I24" s="182"/>
      <c r="J24" s="182"/>
      <c r="K24" s="182"/>
    </row>
    <row r="25" spans="1:11" x14ac:dyDescent="0.3">
      <c r="A25" s="178" t="s">
        <v>379</v>
      </c>
      <c r="B25" s="178">
        <f>46.8*1.6</f>
        <v>74.88</v>
      </c>
      <c r="C25" s="182"/>
      <c r="D25" s="182"/>
      <c r="E25" s="182"/>
      <c r="F25" s="182"/>
      <c r="G25" s="182"/>
      <c r="H25" s="182"/>
      <c r="I25" s="182"/>
      <c r="J25" s="182"/>
      <c r="K25" s="182"/>
    </row>
    <row r="26" spans="1:11" x14ac:dyDescent="0.3">
      <c r="A26" s="179" t="s">
        <v>298</v>
      </c>
      <c r="B26" s="165">
        <f>SUM(B19:B25)</f>
        <v>693.024</v>
      </c>
      <c r="C26" s="182"/>
      <c r="D26" s="182"/>
      <c r="E26" s="182"/>
      <c r="F26" s="182"/>
      <c r="G26" s="182"/>
      <c r="H26" s="182"/>
      <c r="I26" s="182"/>
      <c r="J26" s="182"/>
      <c r="K26" s="182"/>
    </row>
    <row r="27" spans="1:11" x14ac:dyDescent="0.3">
      <c r="A27" s="198"/>
      <c r="B27" s="198"/>
      <c r="C27" s="182"/>
      <c r="D27" s="200"/>
      <c r="E27" s="200"/>
      <c r="F27" s="182"/>
      <c r="G27" s="200"/>
      <c r="H27" s="200"/>
      <c r="I27" s="182"/>
      <c r="J27" s="182"/>
      <c r="K27" s="182"/>
    </row>
    <row r="28" spans="1:11" x14ac:dyDescent="0.3">
      <c r="A28" s="218" t="s">
        <v>361</v>
      </c>
      <c r="B28" s="199"/>
      <c r="C28" s="182"/>
      <c r="D28" s="204" t="s">
        <v>363</v>
      </c>
      <c r="E28" s="204"/>
      <c r="F28" s="182"/>
      <c r="G28" s="218" t="s">
        <v>362</v>
      </c>
      <c r="H28" s="199"/>
      <c r="I28" s="182"/>
      <c r="J28" s="182"/>
      <c r="K28" s="182"/>
    </row>
    <row r="29" spans="1:11" x14ac:dyDescent="0.3">
      <c r="A29" s="178" t="s">
        <v>304</v>
      </c>
      <c r="B29" s="178" t="s">
        <v>29</v>
      </c>
      <c r="C29" s="182"/>
      <c r="D29" s="178" t="s">
        <v>304</v>
      </c>
      <c r="E29" s="178" t="s">
        <v>29</v>
      </c>
      <c r="F29" s="182"/>
      <c r="G29" s="178" t="s">
        <v>304</v>
      </c>
      <c r="H29" s="178" t="s">
        <v>29</v>
      </c>
      <c r="I29" s="182"/>
      <c r="J29" s="182"/>
      <c r="K29" s="182"/>
    </row>
    <row r="30" spans="1:11" x14ac:dyDescent="0.3">
      <c r="A30" s="178" t="s">
        <v>283</v>
      </c>
      <c r="B30" s="178">
        <f>60.9*1.6</f>
        <v>97.44</v>
      </c>
      <c r="C30" s="182"/>
      <c r="D30" s="178" t="s">
        <v>377</v>
      </c>
      <c r="E30" s="178">
        <f>10.05*1.6</f>
        <v>16.080000000000002</v>
      </c>
      <c r="F30" s="182"/>
      <c r="G30" s="178" t="s">
        <v>274</v>
      </c>
      <c r="H30" s="178">
        <f>106.4*1.6</f>
        <v>170.24</v>
      </c>
      <c r="I30" s="182"/>
      <c r="J30" s="182"/>
      <c r="K30" s="182"/>
    </row>
    <row r="31" spans="1:11" x14ac:dyDescent="0.3">
      <c r="A31" s="178" t="s">
        <v>329</v>
      </c>
      <c r="B31" s="178">
        <f>74.4*1.6</f>
        <v>119.04000000000002</v>
      </c>
      <c r="C31" s="182"/>
      <c r="D31" s="178" t="s">
        <v>353</v>
      </c>
      <c r="E31" s="178">
        <f>8.25*1.6</f>
        <v>13.200000000000001</v>
      </c>
      <c r="F31" s="182"/>
      <c r="G31" s="178" t="s">
        <v>298</v>
      </c>
      <c r="H31" s="165">
        <f>SUM(H30:H30)</f>
        <v>170.24</v>
      </c>
      <c r="I31" s="182"/>
      <c r="J31" s="182"/>
      <c r="K31" s="182"/>
    </row>
    <row r="32" spans="1:11" x14ac:dyDescent="0.3">
      <c r="A32" s="178" t="s">
        <v>280</v>
      </c>
      <c r="B32" s="178">
        <f>53.2*1.6</f>
        <v>85.12</v>
      </c>
      <c r="C32" s="182"/>
      <c r="D32" s="178" t="s">
        <v>346</v>
      </c>
      <c r="E32" s="178">
        <f>8.17*1.6</f>
        <v>13.072000000000001</v>
      </c>
      <c r="F32" s="182"/>
      <c r="G32" s="195"/>
      <c r="H32" s="195"/>
      <c r="I32" s="182"/>
      <c r="J32" s="182"/>
      <c r="K32" s="182"/>
    </row>
    <row r="33" spans="1:11" x14ac:dyDescent="0.3">
      <c r="A33" s="178" t="s">
        <v>284</v>
      </c>
      <c r="B33" s="178">
        <f>46.56*1.6</f>
        <v>74.496000000000009</v>
      </c>
      <c r="C33" s="182"/>
      <c r="D33" s="178" t="s">
        <v>298</v>
      </c>
      <c r="E33" s="165">
        <f>SUM(E30:E32)</f>
        <v>42.352000000000004</v>
      </c>
      <c r="F33" s="182"/>
      <c r="G33" s="182"/>
      <c r="H33" s="182"/>
      <c r="I33" s="182"/>
      <c r="J33" s="182"/>
      <c r="K33" s="182"/>
    </row>
    <row r="34" spans="1:11" x14ac:dyDescent="0.3">
      <c r="A34" s="178" t="s">
        <v>277</v>
      </c>
      <c r="B34" s="178">
        <f>76.09*1.6</f>
        <v>121.74400000000001</v>
      </c>
      <c r="C34" s="182"/>
      <c r="D34" s="195"/>
      <c r="E34" s="195"/>
      <c r="F34" s="182"/>
      <c r="G34" s="182"/>
      <c r="H34" s="182"/>
      <c r="I34" s="182"/>
      <c r="J34" s="182"/>
      <c r="K34" s="182"/>
    </row>
    <row r="35" spans="1:11" x14ac:dyDescent="0.3">
      <c r="A35" s="178" t="s">
        <v>382</v>
      </c>
      <c r="B35" s="178">
        <f>75.1*1.6</f>
        <v>120.16</v>
      </c>
      <c r="C35" s="182"/>
      <c r="D35" s="182"/>
      <c r="E35" s="182"/>
      <c r="F35" s="182"/>
      <c r="G35" s="182"/>
      <c r="H35" s="182"/>
      <c r="I35" s="182"/>
      <c r="J35" s="182"/>
      <c r="K35" s="182"/>
    </row>
    <row r="36" spans="1:11" x14ac:dyDescent="0.3">
      <c r="A36" s="178" t="s">
        <v>381</v>
      </c>
      <c r="B36" s="178">
        <f>32.1*1.6</f>
        <v>51.360000000000007</v>
      </c>
      <c r="C36" s="182"/>
      <c r="D36" s="182"/>
      <c r="E36" s="182"/>
      <c r="F36" s="182"/>
      <c r="G36" s="182"/>
      <c r="H36" s="182"/>
      <c r="I36" s="182"/>
      <c r="J36" s="182"/>
      <c r="K36" s="182"/>
    </row>
    <row r="37" spans="1:11" x14ac:dyDescent="0.3">
      <c r="A37" s="179" t="s">
        <v>298</v>
      </c>
      <c r="B37" s="165">
        <f>SUM(B30:B36)</f>
        <v>669.36</v>
      </c>
      <c r="C37" s="182"/>
      <c r="D37" s="182"/>
      <c r="E37" s="182"/>
      <c r="F37" s="182"/>
      <c r="G37" s="182"/>
      <c r="H37" s="182"/>
      <c r="I37" s="182"/>
      <c r="J37" s="182"/>
      <c r="K37" s="182"/>
    </row>
  </sheetData>
  <mergeCells count="42">
    <mergeCell ref="J7:K16"/>
    <mergeCell ref="J22:K37"/>
    <mergeCell ref="I7:I37"/>
    <mergeCell ref="A16:B16"/>
    <mergeCell ref="A27:B27"/>
    <mergeCell ref="D34:E37"/>
    <mergeCell ref="D23:E27"/>
    <mergeCell ref="D13:E16"/>
    <mergeCell ref="G7:H16"/>
    <mergeCell ref="G21:H27"/>
    <mergeCell ref="G32:H37"/>
    <mergeCell ref="H2:I2"/>
    <mergeCell ref="H3:I3"/>
    <mergeCell ref="H4:I4"/>
    <mergeCell ref="H5:I5"/>
    <mergeCell ref="J1:K1"/>
    <mergeCell ref="J2:K2"/>
    <mergeCell ref="J3:K3"/>
    <mergeCell ref="J4:K4"/>
    <mergeCell ref="J5:K5"/>
    <mergeCell ref="B1:E1"/>
    <mergeCell ref="B2:E2"/>
    <mergeCell ref="B3:E3"/>
    <mergeCell ref="B4:E4"/>
    <mergeCell ref="F1:G1"/>
    <mergeCell ref="F2:G2"/>
    <mergeCell ref="F3:G3"/>
    <mergeCell ref="F4:G4"/>
    <mergeCell ref="H1:I1"/>
    <mergeCell ref="D7:E7"/>
    <mergeCell ref="A17:B17"/>
    <mergeCell ref="A28:B28"/>
    <mergeCell ref="D17:E17"/>
    <mergeCell ref="D28:E28"/>
    <mergeCell ref="G28:H28"/>
    <mergeCell ref="J17:K17"/>
    <mergeCell ref="A7:B7"/>
    <mergeCell ref="G17:H17"/>
    <mergeCell ref="A6:K6"/>
    <mergeCell ref="C7:C37"/>
    <mergeCell ref="F7:F37"/>
    <mergeCell ref="A5:G5"/>
  </mergeCells>
  <pageMargins left="0.7" right="0.7" top="0.75" bottom="0.75" header="0.3" footer="0.3"/>
  <pageSetup paperSize="9" orientation="portrait" horizontalDpi="0" verticalDpi="0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G7"/>
  <sheetViews>
    <sheetView zoomScale="85" zoomScaleNormal="85" workbookViewId="0">
      <selection activeCell="B2" sqref="B2:D2"/>
    </sheetView>
  </sheetViews>
  <sheetFormatPr defaultRowHeight="15.6" x14ac:dyDescent="0.3"/>
  <cols>
    <col min="1" max="1" width="9.21875" style="166" customWidth="1"/>
    <col min="2" max="2" width="12" style="142" bestFit="1" customWidth="1"/>
    <col min="3" max="3" width="10.44140625" style="142" customWidth="1"/>
    <col min="4" max="4" width="9.109375" style="142" customWidth="1"/>
    <col min="5" max="5" width="13" style="142" bestFit="1" customWidth="1"/>
    <col min="6" max="6" width="9" style="142" bestFit="1" customWidth="1"/>
    <col min="7" max="7" width="8.5546875" style="142" bestFit="1" customWidth="1"/>
    <col min="8" max="16384" width="8.88671875" style="142"/>
  </cols>
  <sheetData>
    <row r="1" spans="1:7" ht="31.2" customHeight="1" x14ac:dyDescent="0.3">
      <c r="A1" s="141" t="s">
        <v>122</v>
      </c>
      <c r="B1" s="183" t="s">
        <v>271</v>
      </c>
      <c r="C1" s="184"/>
      <c r="D1" s="185"/>
      <c r="E1" s="150" t="s">
        <v>270</v>
      </c>
      <c r="F1" s="150" t="s">
        <v>49</v>
      </c>
      <c r="G1" s="150" t="s">
        <v>326</v>
      </c>
    </row>
    <row r="2" spans="1:7" ht="46.8" customHeight="1" x14ac:dyDescent="0.3">
      <c r="A2" s="130">
        <v>1</v>
      </c>
      <c r="B2" s="186" t="s">
        <v>324</v>
      </c>
      <c r="C2" s="187"/>
      <c r="D2" s="188"/>
      <c r="E2" s="152" t="s">
        <v>325</v>
      </c>
      <c r="F2" s="152" t="s">
        <v>70</v>
      </c>
      <c r="G2" s="154">
        <f>B7</f>
        <v>342.7</v>
      </c>
    </row>
    <row r="3" spans="1:7" x14ac:dyDescent="0.3">
      <c r="A3" s="189"/>
      <c r="B3" s="189"/>
      <c r="C3" s="189"/>
      <c r="D3" s="189"/>
      <c r="E3" s="189"/>
      <c r="F3" s="189"/>
      <c r="G3" s="189"/>
    </row>
    <row r="4" spans="1:7" x14ac:dyDescent="0.3">
      <c r="A4" s="174" t="s">
        <v>304</v>
      </c>
      <c r="B4" s="174" t="s">
        <v>29</v>
      </c>
      <c r="C4" s="181"/>
      <c r="D4" s="182"/>
      <c r="E4" s="182"/>
      <c r="F4" s="182"/>
      <c r="G4" s="182"/>
    </row>
    <row r="5" spans="1:7" x14ac:dyDescent="0.3">
      <c r="A5" s="174" t="s">
        <v>281</v>
      </c>
      <c r="B5" s="174">
        <v>190.5</v>
      </c>
      <c r="C5" s="181"/>
      <c r="D5" s="182"/>
      <c r="E5" s="182"/>
      <c r="F5" s="182"/>
      <c r="G5" s="182"/>
    </row>
    <row r="6" spans="1:7" x14ac:dyDescent="0.3">
      <c r="A6" s="174" t="s">
        <v>323</v>
      </c>
      <c r="B6" s="174">
        <v>152.19999999999999</v>
      </c>
      <c r="C6" s="181"/>
      <c r="D6" s="182"/>
      <c r="E6" s="182"/>
      <c r="F6" s="182"/>
      <c r="G6" s="182"/>
    </row>
    <row r="7" spans="1:7" x14ac:dyDescent="0.3">
      <c r="A7" s="174" t="s">
        <v>298</v>
      </c>
      <c r="B7" s="165">
        <f>SUM(B5:B6)</f>
        <v>342.7</v>
      </c>
      <c r="C7" s="181"/>
      <c r="D7" s="182"/>
      <c r="E7" s="182"/>
      <c r="F7" s="182"/>
      <c r="G7" s="182"/>
    </row>
  </sheetData>
  <mergeCells count="4">
    <mergeCell ref="C4:G7"/>
    <mergeCell ref="B1:D1"/>
    <mergeCell ref="B2:D2"/>
    <mergeCell ref="A3:G3"/>
  </mergeCells>
  <pageMargins left="0.7" right="0.7" top="0.75" bottom="0.75" header="0.3" footer="0.3"/>
  <pageSetup paperSize="9" orientation="portrait" horizontalDpi="0" verticalDpi="0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E3"/>
  <sheetViews>
    <sheetView zoomScale="85" zoomScaleNormal="85" workbookViewId="0">
      <selection activeCell="B2" sqref="B2"/>
    </sheetView>
  </sheetViews>
  <sheetFormatPr defaultRowHeight="15.6" x14ac:dyDescent="0.3"/>
  <cols>
    <col min="1" max="1" width="9.21875" style="166" customWidth="1"/>
    <col min="2" max="2" width="37" style="142" customWidth="1"/>
    <col min="3" max="3" width="24.33203125" style="142" customWidth="1"/>
    <col min="4" max="4" width="9" style="142" bestFit="1" customWidth="1"/>
    <col min="5" max="5" width="15" style="142" bestFit="1" customWidth="1"/>
    <col min="6" max="16384" width="8.88671875" style="142"/>
  </cols>
  <sheetData>
    <row r="1" spans="1:5" ht="31.2" x14ac:dyDescent="0.3">
      <c r="A1" s="141" t="s">
        <v>122</v>
      </c>
      <c r="B1" s="150" t="s">
        <v>271</v>
      </c>
      <c r="C1" s="150" t="s">
        <v>270</v>
      </c>
      <c r="D1" s="150" t="s">
        <v>49</v>
      </c>
      <c r="E1" s="150" t="s">
        <v>127</v>
      </c>
    </row>
    <row r="2" spans="1:5" ht="31.2" x14ac:dyDescent="0.3">
      <c r="A2" s="130">
        <v>1</v>
      </c>
      <c r="B2" s="152" t="s">
        <v>121</v>
      </c>
      <c r="C2" s="152" t="s">
        <v>263</v>
      </c>
      <c r="D2" s="152" t="s">
        <v>70</v>
      </c>
      <c r="E2" s="176">
        <v>74.599999999999994</v>
      </c>
    </row>
    <row r="3" spans="1:5" ht="31.2" x14ac:dyDescent="0.3">
      <c r="A3" s="130">
        <v>2</v>
      </c>
      <c r="B3" s="152" t="s">
        <v>121</v>
      </c>
      <c r="C3" s="152" t="s">
        <v>265</v>
      </c>
      <c r="D3" s="152" t="s">
        <v>70</v>
      </c>
      <c r="E3" s="177">
        <v>74.599999999999994</v>
      </c>
    </row>
  </sheetData>
  <pageMargins left="0.7" right="0.7" top="0.75" bottom="0.75" header="0.3" footer="0.3"/>
  <pageSetup paperSize="9" orientation="portrait" horizontalDpi="0" verticalDpi="0"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E2"/>
  <sheetViews>
    <sheetView zoomScale="85" zoomScaleNormal="85" workbookViewId="0">
      <selection activeCell="B2" sqref="B2"/>
    </sheetView>
  </sheetViews>
  <sheetFormatPr defaultRowHeight="15.6" x14ac:dyDescent="0.3"/>
  <cols>
    <col min="1" max="1" width="9.21875" style="159" customWidth="1"/>
    <col min="2" max="2" width="37" style="142" customWidth="1"/>
    <col min="3" max="3" width="24.33203125" style="142" customWidth="1"/>
    <col min="4" max="4" width="9" style="142" bestFit="1" customWidth="1"/>
    <col min="5" max="5" width="15" style="142" bestFit="1" customWidth="1"/>
    <col min="6" max="16384" width="8.88671875" style="142"/>
  </cols>
  <sheetData>
    <row r="1" spans="1:5" ht="31.2" x14ac:dyDescent="0.3">
      <c r="A1" s="141" t="s">
        <v>122</v>
      </c>
      <c r="B1" s="150" t="s">
        <v>271</v>
      </c>
      <c r="C1" s="150" t="s">
        <v>270</v>
      </c>
      <c r="D1" s="150" t="s">
        <v>49</v>
      </c>
      <c r="E1" s="150" t="s">
        <v>127</v>
      </c>
    </row>
    <row r="2" spans="1:5" ht="46.8" x14ac:dyDescent="0.3">
      <c r="A2" s="130">
        <v>1</v>
      </c>
      <c r="B2" s="152" t="s">
        <v>307</v>
      </c>
      <c r="C2" s="152" t="s">
        <v>308</v>
      </c>
      <c r="D2" s="152" t="s">
        <v>70</v>
      </c>
      <c r="E2" s="176">
        <v>74.599999999999994</v>
      </c>
    </row>
  </sheetData>
  <pageMargins left="0.7" right="0.7" top="0.75" bottom="0.75" header="0.3" footer="0.3"/>
  <pageSetup paperSize="9" orientation="portrait" horizontalDpi="0" verticalDpi="0"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E2"/>
  <sheetViews>
    <sheetView zoomScale="70" zoomScaleNormal="70" workbookViewId="0">
      <selection activeCell="E2" sqref="E2"/>
    </sheetView>
  </sheetViews>
  <sheetFormatPr defaultRowHeight="15.6" x14ac:dyDescent="0.3"/>
  <cols>
    <col min="1" max="1" width="9.21875" style="159" customWidth="1"/>
    <col min="2" max="2" width="37" style="142" customWidth="1"/>
    <col min="3" max="3" width="24.33203125" style="142" customWidth="1"/>
    <col min="4" max="4" width="9" style="142" bestFit="1" customWidth="1"/>
    <col min="5" max="5" width="15" style="142" bestFit="1" customWidth="1"/>
    <col min="6" max="16384" width="8.88671875" style="142"/>
  </cols>
  <sheetData>
    <row r="1" spans="1:5" ht="31.2" x14ac:dyDescent="0.3">
      <c r="A1" s="141" t="s">
        <v>122</v>
      </c>
      <c r="B1" s="150" t="s">
        <v>271</v>
      </c>
      <c r="C1" s="150" t="s">
        <v>270</v>
      </c>
      <c r="D1" s="150" t="s">
        <v>49</v>
      </c>
      <c r="E1" s="150" t="s">
        <v>127</v>
      </c>
    </row>
    <row r="2" spans="1:5" ht="46.8" x14ac:dyDescent="0.3">
      <c r="A2" s="130">
        <v>1</v>
      </c>
      <c r="B2" s="152" t="s">
        <v>311</v>
      </c>
      <c r="C2" s="152" t="s">
        <v>306</v>
      </c>
      <c r="D2" s="152" t="s">
        <v>70</v>
      </c>
      <c r="E2" s="177">
        <v>74.599999999999994</v>
      </c>
    </row>
  </sheetData>
  <pageMargins left="0.7" right="0.7" top="0.75" bottom="0.75" header="0.3" footer="0.3"/>
  <pageSetup paperSize="9" orientation="portrait" horizontalDpi="0" verticalDpi="0"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G14"/>
  <sheetViews>
    <sheetView zoomScale="85" zoomScaleNormal="85" workbookViewId="0">
      <selection activeCell="C6" sqref="C6:C14"/>
    </sheetView>
  </sheetViews>
  <sheetFormatPr defaultRowHeight="15.6" x14ac:dyDescent="0.3"/>
  <cols>
    <col min="1" max="1" width="9.21875" style="159" customWidth="1"/>
    <col min="2" max="2" width="12" style="142" bestFit="1" customWidth="1"/>
    <col min="3" max="3" width="10.44140625" style="142" customWidth="1"/>
    <col min="4" max="4" width="14.5546875" style="142" customWidth="1"/>
    <col min="5" max="5" width="16.21875" style="142" customWidth="1"/>
    <col min="6" max="6" width="9" style="142" bestFit="1" customWidth="1"/>
    <col min="7" max="7" width="15" style="142" bestFit="1" customWidth="1"/>
    <col min="8" max="16384" width="8.88671875" style="142"/>
  </cols>
  <sheetData>
    <row r="1" spans="1:7" ht="31.2" customHeight="1" x14ac:dyDescent="0.3">
      <c r="A1" s="141" t="s">
        <v>122</v>
      </c>
      <c r="B1" s="183" t="s">
        <v>271</v>
      </c>
      <c r="C1" s="184"/>
      <c r="D1" s="185"/>
      <c r="E1" s="150" t="s">
        <v>270</v>
      </c>
      <c r="F1" s="150" t="s">
        <v>49</v>
      </c>
      <c r="G1" s="150" t="s">
        <v>127</v>
      </c>
    </row>
    <row r="2" spans="1:7" ht="46.8" customHeight="1" x14ac:dyDescent="0.3">
      <c r="A2" s="130">
        <v>1</v>
      </c>
      <c r="B2" s="186" t="s">
        <v>322</v>
      </c>
      <c r="C2" s="187"/>
      <c r="D2" s="188"/>
      <c r="E2" s="152" t="s">
        <v>320</v>
      </c>
      <c r="F2" s="152" t="s">
        <v>70</v>
      </c>
      <c r="G2" s="154">
        <v>242.10000000000002</v>
      </c>
    </row>
    <row r="3" spans="1:7" ht="46.8" customHeight="1" x14ac:dyDescent="0.3">
      <c r="A3" s="130">
        <v>2</v>
      </c>
      <c r="B3" s="186" t="s">
        <v>322</v>
      </c>
      <c r="C3" s="187"/>
      <c r="D3" s="188"/>
      <c r="E3" s="152" t="s">
        <v>321</v>
      </c>
      <c r="F3" s="152" t="s">
        <v>70</v>
      </c>
      <c r="G3" s="158">
        <v>723.4</v>
      </c>
    </row>
    <row r="4" spans="1:7" ht="31.2" customHeight="1" x14ac:dyDescent="0.3">
      <c r="A4" s="130">
        <v>3</v>
      </c>
      <c r="B4" s="186" t="s">
        <v>314</v>
      </c>
      <c r="C4" s="187"/>
      <c r="D4" s="188"/>
      <c r="E4" s="152" t="s">
        <v>319</v>
      </c>
      <c r="F4" s="152" t="s">
        <v>313</v>
      </c>
      <c r="G4" s="154">
        <v>302.39999999999998</v>
      </c>
    </row>
    <row r="5" spans="1:7" x14ac:dyDescent="0.3">
      <c r="A5" s="189"/>
      <c r="B5" s="189"/>
      <c r="C5" s="189"/>
      <c r="D5" s="189"/>
      <c r="E5" s="189"/>
      <c r="F5" s="189"/>
      <c r="G5" s="189"/>
    </row>
    <row r="6" spans="1:7" x14ac:dyDescent="0.3">
      <c r="A6" s="175" t="s">
        <v>304</v>
      </c>
      <c r="B6" s="175" t="s">
        <v>29</v>
      </c>
      <c r="C6" s="193"/>
      <c r="D6" s="175" t="s">
        <v>304</v>
      </c>
      <c r="E6" s="175" t="s">
        <v>29</v>
      </c>
      <c r="F6" s="181"/>
      <c r="G6" s="190"/>
    </row>
    <row r="7" spans="1:7" x14ac:dyDescent="0.3">
      <c r="A7" s="175" t="s">
        <v>327</v>
      </c>
      <c r="B7" s="175">
        <v>63.9</v>
      </c>
      <c r="C7" s="193"/>
      <c r="D7" s="175" t="s">
        <v>329</v>
      </c>
      <c r="E7" s="175">
        <v>157.30000000000001</v>
      </c>
      <c r="F7" s="181"/>
      <c r="G7" s="190"/>
    </row>
    <row r="8" spans="1:7" x14ac:dyDescent="0.3">
      <c r="A8" s="175" t="s">
        <v>293</v>
      </c>
      <c r="B8" s="175">
        <v>143.4</v>
      </c>
      <c r="C8" s="193"/>
      <c r="D8" s="175" t="s">
        <v>330</v>
      </c>
      <c r="E8" s="175">
        <v>18.600000000000001</v>
      </c>
      <c r="F8" s="181"/>
      <c r="G8" s="190"/>
    </row>
    <row r="9" spans="1:7" x14ac:dyDescent="0.3">
      <c r="A9" s="175" t="s">
        <v>328</v>
      </c>
      <c r="B9" s="175">
        <v>34.799999999999997</v>
      </c>
      <c r="C9" s="193"/>
      <c r="D9" s="175" t="s">
        <v>331</v>
      </c>
      <c r="E9" s="175">
        <v>9.1999999999999993</v>
      </c>
      <c r="F9" s="181"/>
      <c r="G9" s="190"/>
    </row>
    <row r="10" spans="1:7" x14ac:dyDescent="0.3">
      <c r="A10" s="175" t="s">
        <v>298</v>
      </c>
      <c r="B10" s="165">
        <f>SUM(B7:B9)</f>
        <v>242.10000000000002</v>
      </c>
      <c r="C10" s="193"/>
      <c r="D10" s="175" t="s">
        <v>332</v>
      </c>
      <c r="E10" s="175">
        <v>20.6</v>
      </c>
      <c r="F10" s="181"/>
      <c r="G10" s="190"/>
    </row>
    <row r="11" spans="1:7" x14ac:dyDescent="0.3">
      <c r="A11" s="191"/>
      <c r="B11" s="191"/>
      <c r="C11" s="193"/>
      <c r="D11" s="175" t="s">
        <v>284</v>
      </c>
      <c r="E11" s="175">
        <v>104.1</v>
      </c>
      <c r="F11" s="181"/>
      <c r="G11" s="190"/>
    </row>
    <row r="12" spans="1:7" x14ac:dyDescent="0.3">
      <c r="A12" s="192"/>
      <c r="B12" s="192"/>
      <c r="C12" s="193"/>
      <c r="D12" s="175" t="s">
        <v>277</v>
      </c>
      <c r="E12" s="175">
        <v>108.2</v>
      </c>
      <c r="F12" s="181"/>
      <c r="G12" s="190"/>
    </row>
    <row r="13" spans="1:7" x14ac:dyDescent="0.3">
      <c r="A13" s="192"/>
      <c r="B13" s="192"/>
      <c r="C13" s="193"/>
      <c r="D13" s="175" t="s">
        <v>274</v>
      </c>
      <c r="E13" s="175">
        <v>305.39999999999998</v>
      </c>
      <c r="F13" s="181"/>
      <c r="G13" s="190"/>
    </row>
    <row r="14" spans="1:7" x14ac:dyDescent="0.3">
      <c r="A14" s="192"/>
      <c r="B14" s="192"/>
      <c r="C14" s="193"/>
      <c r="D14" s="175" t="s">
        <v>298</v>
      </c>
      <c r="E14" s="165">
        <f>SUM(E7:E13)</f>
        <v>723.39999999999986</v>
      </c>
      <c r="F14" s="181"/>
      <c r="G14" s="190"/>
    </row>
  </sheetData>
  <mergeCells count="8">
    <mergeCell ref="F6:G14"/>
    <mergeCell ref="A11:B14"/>
    <mergeCell ref="A5:G5"/>
    <mergeCell ref="B1:D1"/>
    <mergeCell ref="B2:D2"/>
    <mergeCell ref="B3:D3"/>
    <mergeCell ref="B4:D4"/>
    <mergeCell ref="C6:C14"/>
  </mergeCells>
  <pageMargins left="0.7" right="0.7" top="0.75" bottom="0.75" header="0.3" footer="0.3"/>
  <pageSetup paperSize="9" orientation="portrait" horizontalDpi="0" verticalDpi="0" r:id="rId1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G14"/>
  <sheetViews>
    <sheetView zoomScale="85" zoomScaleNormal="85" workbookViewId="0">
      <selection activeCell="A6" sqref="A6:G14"/>
    </sheetView>
  </sheetViews>
  <sheetFormatPr defaultRowHeight="15.6" x14ac:dyDescent="0.3"/>
  <cols>
    <col min="1" max="1" width="9.21875" style="159" customWidth="1"/>
    <col min="2" max="2" width="12" style="142" bestFit="1" customWidth="1"/>
    <col min="3" max="3" width="10.44140625" style="142" customWidth="1"/>
    <col min="4" max="4" width="14.5546875" style="142" customWidth="1"/>
    <col min="5" max="5" width="16.21875" style="142" customWidth="1"/>
    <col min="6" max="6" width="9" style="142" bestFit="1" customWidth="1"/>
    <col min="7" max="7" width="15" style="142" bestFit="1" customWidth="1"/>
    <col min="8" max="16384" width="8.88671875" style="142"/>
  </cols>
  <sheetData>
    <row r="1" spans="1:7" ht="31.2" customHeight="1" x14ac:dyDescent="0.3">
      <c r="A1" s="141" t="s">
        <v>122</v>
      </c>
      <c r="B1" s="183" t="s">
        <v>271</v>
      </c>
      <c r="C1" s="184"/>
      <c r="D1" s="185"/>
      <c r="E1" s="150" t="s">
        <v>270</v>
      </c>
      <c r="F1" s="150" t="s">
        <v>49</v>
      </c>
      <c r="G1" s="150" t="s">
        <v>127</v>
      </c>
    </row>
    <row r="2" spans="1:7" ht="31.2" x14ac:dyDescent="0.3">
      <c r="A2" s="130">
        <v>1</v>
      </c>
      <c r="B2" s="186" t="s">
        <v>318</v>
      </c>
      <c r="C2" s="187"/>
      <c r="D2" s="188"/>
      <c r="E2" s="152" t="s">
        <v>309</v>
      </c>
      <c r="F2" s="152" t="s">
        <v>70</v>
      </c>
      <c r="G2" s="154">
        <f>B10</f>
        <v>242.10000000000002</v>
      </c>
    </row>
    <row r="3" spans="1:7" ht="31.2" x14ac:dyDescent="0.3">
      <c r="A3" s="130">
        <v>2</v>
      </c>
      <c r="B3" s="186" t="s">
        <v>318</v>
      </c>
      <c r="C3" s="187"/>
      <c r="D3" s="188"/>
      <c r="E3" s="152" t="s">
        <v>310</v>
      </c>
      <c r="F3" s="152" t="s">
        <v>70</v>
      </c>
      <c r="G3" s="158">
        <f>E14</f>
        <v>723.39999999999986</v>
      </c>
    </row>
    <row r="4" spans="1:7" ht="31.2" customHeight="1" x14ac:dyDescent="0.3">
      <c r="A4" s="130">
        <v>3</v>
      </c>
      <c r="B4" s="186" t="s">
        <v>312</v>
      </c>
      <c r="C4" s="187"/>
      <c r="D4" s="188"/>
      <c r="E4" s="152" t="s">
        <v>315</v>
      </c>
      <c r="F4" s="152" t="s">
        <v>313</v>
      </c>
      <c r="G4" s="154">
        <v>302.39999999999998</v>
      </c>
    </row>
    <row r="5" spans="1:7" x14ac:dyDescent="0.3">
      <c r="A5" s="189"/>
      <c r="B5" s="189"/>
      <c r="C5" s="189"/>
      <c r="D5" s="189"/>
      <c r="E5" s="189"/>
      <c r="F5" s="189"/>
      <c r="G5" s="189"/>
    </row>
    <row r="6" spans="1:7" x14ac:dyDescent="0.3">
      <c r="A6" s="175" t="s">
        <v>304</v>
      </c>
      <c r="B6" s="175" t="s">
        <v>29</v>
      </c>
      <c r="C6" s="193"/>
      <c r="D6" s="175" t="s">
        <v>304</v>
      </c>
      <c r="E6" s="175" t="s">
        <v>29</v>
      </c>
      <c r="F6" s="181"/>
      <c r="G6" s="190"/>
    </row>
    <row r="7" spans="1:7" x14ac:dyDescent="0.3">
      <c r="A7" s="175" t="s">
        <v>327</v>
      </c>
      <c r="B7" s="175">
        <v>63.9</v>
      </c>
      <c r="C7" s="193"/>
      <c r="D7" s="175" t="s">
        <v>329</v>
      </c>
      <c r="E7" s="175">
        <v>157.30000000000001</v>
      </c>
      <c r="F7" s="181"/>
      <c r="G7" s="190"/>
    </row>
    <row r="8" spans="1:7" x14ac:dyDescent="0.3">
      <c r="A8" s="175" t="s">
        <v>293</v>
      </c>
      <c r="B8" s="175">
        <v>143.4</v>
      </c>
      <c r="C8" s="193"/>
      <c r="D8" s="175" t="s">
        <v>330</v>
      </c>
      <c r="E8" s="175">
        <v>18.600000000000001</v>
      </c>
      <c r="F8" s="181"/>
      <c r="G8" s="190"/>
    </row>
    <row r="9" spans="1:7" x14ac:dyDescent="0.3">
      <c r="A9" s="175" t="s">
        <v>328</v>
      </c>
      <c r="B9" s="175">
        <v>34.799999999999997</v>
      </c>
      <c r="C9" s="193"/>
      <c r="D9" s="175" t="s">
        <v>331</v>
      </c>
      <c r="E9" s="175">
        <v>9.1999999999999993</v>
      </c>
      <c r="F9" s="181"/>
      <c r="G9" s="190"/>
    </row>
    <row r="10" spans="1:7" x14ac:dyDescent="0.3">
      <c r="A10" s="175" t="s">
        <v>298</v>
      </c>
      <c r="B10" s="165">
        <f>SUM(B7:B9)</f>
        <v>242.10000000000002</v>
      </c>
      <c r="C10" s="193"/>
      <c r="D10" s="175" t="s">
        <v>332</v>
      </c>
      <c r="E10" s="175">
        <v>20.6</v>
      </c>
      <c r="F10" s="181"/>
      <c r="G10" s="190"/>
    </row>
    <row r="11" spans="1:7" x14ac:dyDescent="0.3">
      <c r="A11" s="191"/>
      <c r="B11" s="191"/>
      <c r="C11" s="193"/>
      <c r="D11" s="175" t="s">
        <v>284</v>
      </c>
      <c r="E11" s="175">
        <v>104.1</v>
      </c>
      <c r="F11" s="181"/>
      <c r="G11" s="190"/>
    </row>
    <row r="12" spans="1:7" x14ac:dyDescent="0.3">
      <c r="A12" s="192"/>
      <c r="B12" s="192"/>
      <c r="C12" s="193"/>
      <c r="D12" s="175" t="s">
        <v>277</v>
      </c>
      <c r="E12" s="175">
        <v>108.2</v>
      </c>
      <c r="F12" s="181"/>
      <c r="G12" s="190"/>
    </row>
    <row r="13" spans="1:7" x14ac:dyDescent="0.3">
      <c r="A13" s="192"/>
      <c r="B13" s="192"/>
      <c r="C13" s="193"/>
      <c r="D13" s="175" t="s">
        <v>274</v>
      </c>
      <c r="E13" s="175">
        <v>305.39999999999998</v>
      </c>
      <c r="F13" s="181"/>
      <c r="G13" s="190"/>
    </row>
    <row r="14" spans="1:7" x14ac:dyDescent="0.3">
      <c r="A14" s="192"/>
      <c r="B14" s="192"/>
      <c r="C14" s="193"/>
      <c r="D14" s="175" t="s">
        <v>298</v>
      </c>
      <c r="E14" s="165">
        <f>SUM(E7:E13)</f>
        <v>723.39999999999986</v>
      </c>
      <c r="F14" s="181"/>
      <c r="G14" s="190"/>
    </row>
  </sheetData>
  <mergeCells count="8">
    <mergeCell ref="B1:D1"/>
    <mergeCell ref="B2:D2"/>
    <mergeCell ref="B3:D3"/>
    <mergeCell ref="B4:D4"/>
    <mergeCell ref="C6:C14"/>
    <mergeCell ref="A5:G5"/>
    <mergeCell ref="F6:G14"/>
    <mergeCell ref="A11:B14"/>
  </mergeCells>
  <pageMargins left="0.7" right="0.7" top="0.75" bottom="0.75" header="0.3" footer="0.3"/>
  <pageSetup paperSize="9" orientation="portrait" horizontalDpi="0" verticalDpi="0" r:id="rId1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H39"/>
  <sheetViews>
    <sheetView zoomScale="55" zoomScaleNormal="55" workbookViewId="0">
      <selection activeCell="G29" sqref="G29:H39"/>
    </sheetView>
  </sheetViews>
  <sheetFormatPr defaultRowHeight="15.6" x14ac:dyDescent="0.3"/>
  <cols>
    <col min="1" max="1" width="9.77734375" style="159" customWidth="1"/>
    <col min="2" max="2" width="11.5546875" style="142" customWidth="1"/>
    <col min="3" max="4" width="9.77734375" style="142" customWidth="1"/>
    <col min="5" max="5" width="12" style="142" customWidth="1"/>
    <col min="6" max="6" width="10.6640625" style="142" customWidth="1"/>
    <col min="7" max="7" width="9" style="142" bestFit="1" customWidth="1"/>
    <col min="8" max="8" width="15" style="142" bestFit="1" customWidth="1"/>
    <col min="9" max="16384" width="8.88671875" style="142"/>
  </cols>
  <sheetData>
    <row r="1" spans="1:8" ht="31.2" customHeight="1" x14ac:dyDescent="0.3">
      <c r="A1" s="169" t="s">
        <v>122</v>
      </c>
      <c r="B1" s="201" t="s">
        <v>271</v>
      </c>
      <c r="C1" s="208"/>
      <c r="D1" s="202"/>
      <c r="E1" s="201" t="s">
        <v>270</v>
      </c>
      <c r="F1" s="202"/>
      <c r="G1" s="170" t="s">
        <v>49</v>
      </c>
      <c r="H1" s="170" t="s">
        <v>127</v>
      </c>
    </row>
    <row r="2" spans="1:8" ht="31.2" customHeight="1" x14ac:dyDescent="0.3">
      <c r="A2" s="171">
        <v>1</v>
      </c>
      <c r="B2" s="205" t="s">
        <v>295</v>
      </c>
      <c r="C2" s="206"/>
      <c r="D2" s="207"/>
      <c r="E2" s="201" t="s">
        <v>299</v>
      </c>
      <c r="F2" s="202"/>
      <c r="G2" s="170" t="s">
        <v>70</v>
      </c>
      <c r="H2" s="172">
        <f>B35</f>
        <v>4042.9000000000005</v>
      </c>
    </row>
    <row r="3" spans="1:8" ht="31.2" customHeight="1" x14ac:dyDescent="0.3">
      <c r="A3" s="171">
        <v>2</v>
      </c>
      <c r="B3" s="205" t="s">
        <v>295</v>
      </c>
      <c r="C3" s="206"/>
      <c r="D3" s="207"/>
      <c r="E3" s="201" t="s">
        <v>301</v>
      </c>
      <c r="F3" s="202"/>
      <c r="G3" s="170" t="s">
        <v>70</v>
      </c>
      <c r="H3" s="173">
        <f>E39</f>
        <v>3847.3999999999996</v>
      </c>
    </row>
    <row r="4" spans="1:8" ht="31.2" customHeight="1" x14ac:dyDescent="0.3">
      <c r="A4" s="171">
        <v>3</v>
      </c>
      <c r="B4" s="205" t="s">
        <v>295</v>
      </c>
      <c r="C4" s="206"/>
      <c r="D4" s="207"/>
      <c r="E4" s="201" t="s">
        <v>316</v>
      </c>
      <c r="F4" s="202"/>
      <c r="G4" s="170" t="s">
        <v>70</v>
      </c>
      <c r="H4" s="172">
        <v>21.3</v>
      </c>
    </row>
    <row r="5" spans="1:8" ht="31.2" customHeight="1" x14ac:dyDescent="0.3">
      <c r="A5" s="171">
        <v>4</v>
      </c>
      <c r="B5" s="205" t="s">
        <v>295</v>
      </c>
      <c r="C5" s="206"/>
      <c r="D5" s="207"/>
      <c r="E5" s="201" t="s">
        <v>317</v>
      </c>
      <c r="F5" s="202"/>
      <c r="G5" s="170" t="s">
        <v>70</v>
      </c>
      <c r="H5" s="173">
        <v>26.5</v>
      </c>
    </row>
    <row r="6" spans="1:8" ht="31.2" customHeight="1" x14ac:dyDescent="0.3">
      <c r="A6" s="171">
        <v>5</v>
      </c>
      <c r="B6" s="205" t="s">
        <v>295</v>
      </c>
      <c r="C6" s="206"/>
      <c r="D6" s="207"/>
      <c r="E6" s="201" t="s">
        <v>302</v>
      </c>
      <c r="F6" s="202"/>
      <c r="G6" s="170" t="s">
        <v>70</v>
      </c>
      <c r="H6" s="172">
        <f>H14</f>
        <v>62.2</v>
      </c>
    </row>
    <row r="7" spans="1:8" ht="31.2" customHeight="1" x14ac:dyDescent="0.3">
      <c r="A7" s="171">
        <v>6</v>
      </c>
      <c r="B7" s="205" t="s">
        <v>295</v>
      </c>
      <c r="C7" s="206"/>
      <c r="D7" s="207"/>
      <c r="E7" s="201" t="s">
        <v>300</v>
      </c>
      <c r="F7" s="202"/>
      <c r="G7" s="170" t="s">
        <v>70</v>
      </c>
      <c r="H7" s="172">
        <f>H21</f>
        <v>55.900000000000006</v>
      </c>
    </row>
    <row r="8" spans="1:8" ht="31.2" customHeight="1" x14ac:dyDescent="0.3">
      <c r="A8" s="171">
        <v>7</v>
      </c>
      <c r="B8" s="205" t="s">
        <v>295</v>
      </c>
      <c r="C8" s="206"/>
      <c r="D8" s="207"/>
      <c r="E8" s="201" t="s">
        <v>303</v>
      </c>
      <c r="F8" s="202"/>
      <c r="G8" s="170" t="s">
        <v>70</v>
      </c>
      <c r="H8" s="173">
        <f>H28</f>
        <v>56.6</v>
      </c>
    </row>
    <row r="9" spans="1:8" x14ac:dyDescent="0.3">
      <c r="A9" s="191"/>
      <c r="B9" s="191"/>
      <c r="C9" s="191"/>
      <c r="D9" s="191"/>
      <c r="E9" s="191"/>
      <c r="F9" s="203"/>
      <c r="G9" s="167" t="s">
        <v>298</v>
      </c>
      <c r="H9" s="168">
        <f>SUM(H2:H8)</f>
        <v>8112.8</v>
      </c>
    </row>
    <row r="10" spans="1:8" x14ac:dyDescent="0.3">
      <c r="A10" s="204" t="s">
        <v>305</v>
      </c>
      <c r="B10" s="204"/>
      <c r="C10" s="197"/>
      <c r="D10" s="204" t="s">
        <v>305</v>
      </c>
      <c r="E10" s="204"/>
      <c r="F10" s="192"/>
      <c r="G10" s="198"/>
      <c r="H10" s="199"/>
    </row>
    <row r="11" spans="1:8" x14ac:dyDescent="0.3">
      <c r="A11" s="164" t="s">
        <v>304</v>
      </c>
      <c r="B11" s="164" t="s">
        <v>29</v>
      </c>
      <c r="C11" s="197"/>
      <c r="D11" s="164" t="s">
        <v>304</v>
      </c>
      <c r="E11" s="164" t="s">
        <v>29</v>
      </c>
      <c r="F11" s="192"/>
      <c r="G11" s="196" t="s">
        <v>297</v>
      </c>
      <c r="H11" s="196"/>
    </row>
    <row r="12" spans="1:8" x14ac:dyDescent="0.3">
      <c r="A12" s="164" t="s">
        <v>285</v>
      </c>
      <c r="B12" s="164">
        <v>523.6</v>
      </c>
      <c r="C12" s="197"/>
      <c r="D12" s="175" t="s">
        <v>330</v>
      </c>
      <c r="E12" s="175">
        <v>73.099999999999994</v>
      </c>
      <c r="F12" s="192"/>
      <c r="G12" s="164" t="s">
        <v>304</v>
      </c>
      <c r="H12" s="164" t="s">
        <v>29</v>
      </c>
    </row>
    <row r="13" spans="1:8" x14ac:dyDescent="0.3">
      <c r="A13" s="164" t="s">
        <v>286</v>
      </c>
      <c r="B13" s="164">
        <v>88.4</v>
      </c>
      <c r="C13" s="197"/>
      <c r="D13" s="175" t="s">
        <v>274</v>
      </c>
      <c r="E13" s="175">
        <v>301.2</v>
      </c>
      <c r="F13" s="192"/>
      <c r="G13" s="164" t="s">
        <v>283</v>
      </c>
      <c r="H13" s="164">
        <v>62.2</v>
      </c>
    </row>
    <row r="14" spans="1:8" x14ac:dyDescent="0.3">
      <c r="A14" s="164" t="s">
        <v>287</v>
      </c>
      <c r="B14" s="164">
        <v>84.1</v>
      </c>
      <c r="C14" s="197"/>
      <c r="D14" s="175" t="s">
        <v>275</v>
      </c>
      <c r="E14" s="175">
        <v>79.3</v>
      </c>
      <c r="F14" s="192"/>
      <c r="G14" s="164" t="s">
        <v>298</v>
      </c>
      <c r="H14" s="165">
        <f>SUM(H13:H13)</f>
        <v>62.2</v>
      </c>
    </row>
    <row r="15" spans="1:8" x14ac:dyDescent="0.3">
      <c r="A15" s="164" t="s">
        <v>288</v>
      </c>
      <c r="B15" s="164">
        <v>32.1</v>
      </c>
      <c r="C15" s="197"/>
      <c r="D15" s="175" t="s">
        <v>276</v>
      </c>
      <c r="E15" s="175">
        <v>137.1</v>
      </c>
      <c r="F15" s="192"/>
      <c r="G15" s="195"/>
      <c r="H15" s="195"/>
    </row>
    <row r="16" spans="1:8" x14ac:dyDescent="0.3">
      <c r="A16" s="164" t="s">
        <v>289</v>
      </c>
      <c r="B16" s="164">
        <v>34.6</v>
      </c>
      <c r="C16" s="197"/>
      <c r="D16" s="175" t="s">
        <v>277</v>
      </c>
      <c r="E16" s="175">
        <v>356.9</v>
      </c>
      <c r="F16" s="192"/>
      <c r="G16" s="200"/>
      <c r="H16" s="200"/>
    </row>
    <row r="17" spans="1:8" x14ac:dyDescent="0.3">
      <c r="A17" s="164" t="s">
        <v>290</v>
      </c>
      <c r="B17" s="164">
        <v>112.9</v>
      </c>
      <c r="C17" s="197"/>
      <c r="D17" s="175" t="s">
        <v>278</v>
      </c>
      <c r="E17" s="175">
        <v>115.1</v>
      </c>
      <c r="F17" s="192"/>
      <c r="G17" s="196" t="s">
        <v>296</v>
      </c>
      <c r="H17" s="196"/>
    </row>
    <row r="18" spans="1:8" x14ac:dyDescent="0.3">
      <c r="A18" s="164" t="s">
        <v>291</v>
      </c>
      <c r="B18" s="164">
        <v>181.3</v>
      </c>
      <c r="C18" s="197"/>
      <c r="D18" s="175" t="s">
        <v>279</v>
      </c>
      <c r="E18" s="175">
        <v>117.9</v>
      </c>
      <c r="F18" s="192"/>
      <c r="G18" s="164" t="s">
        <v>304</v>
      </c>
      <c r="H18" s="164" t="s">
        <v>29</v>
      </c>
    </row>
    <row r="19" spans="1:8" x14ac:dyDescent="0.3">
      <c r="A19" s="164" t="s">
        <v>292</v>
      </c>
      <c r="B19" s="164">
        <v>278.60000000000002</v>
      </c>
      <c r="C19" s="197"/>
      <c r="D19" s="175" t="s">
        <v>280</v>
      </c>
      <c r="E19" s="175">
        <v>244.2</v>
      </c>
      <c r="F19" s="192"/>
      <c r="G19" s="164" t="s">
        <v>336</v>
      </c>
      <c r="H19" s="164">
        <v>24.3</v>
      </c>
    </row>
    <row r="20" spans="1:8" x14ac:dyDescent="0.3">
      <c r="A20" s="164" t="s">
        <v>293</v>
      </c>
      <c r="B20" s="164">
        <v>367</v>
      </c>
      <c r="C20" s="197"/>
      <c r="D20" s="175" t="s">
        <v>281</v>
      </c>
      <c r="E20" s="175">
        <v>259.60000000000002</v>
      </c>
      <c r="F20" s="192"/>
      <c r="G20" s="164" t="s">
        <v>333</v>
      </c>
      <c r="H20" s="164">
        <v>31.6</v>
      </c>
    </row>
    <row r="21" spans="1:8" x14ac:dyDescent="0.3">
      <c r="A21" s="164" t="s">
        <v>294</v>
      </c>
      <c r="B21" s="164">
        <v>89.2</v>
      </c>
      <c r="C21" s="197"/>
      <c r="D21" s="175" t="s">
        <v>347</v>
      </c>
      <c r="E21" s="175">
        <v>70.7</v>
      </c>
      <c r="F21" s="192"/>
      <c r="G21" s="164" t="s">
        <v>298</v>
      </c>
      <c r="H21" s="165">
        <f>SUM(H19:H20)</f>
        <v>55.900000000000006</v>
      </c>
    </row>
    <row r="22" spans="1:8" x14ac:dyDescent="0.3">
      <c r="A22" s="164" t="s">
        <v>334</v>
      </c>
      <c r="B22" s="164">
        <v>230.9</v>
      </c>
      <c r="C22" s="197"/>
      <c r="D22" s="175" t="s">
        <v>348</v>
      </c>
      <c r="E22" s="175">
        <v>175.7</v>
      </c>
      <c r="F22" s="192"/>
      <c r="G22" s="195"/>
      <c r="H22" s="195"/>
    </row>
    <row r="23" spans="1:8" x14ac:dyDescent="0.3">
      <c r="A23" s="164" t="s">
        <v>335</v>
      </c>
      <c r="B23" s="164">
        <v>269.60000000000002</v>
      </c>
      <c r="C23" s="197"/>
      <c r="D23" s="175" t="s">
        <v>329</v>
      </c>
      <c r="E23" s="175">
        <v>352.3</v>
      </c>
      <c r="F23" s="192"/>
      <c r="G23" s="200"/>
      <c r="H23" s="200"/>
    </row>
    <row r="24" spans="1:8" x14ac:dyDescent="0.3">
      <c r="A24" s="164" t="s">
        <v>328</v>
      </c>
      <c r="B24" s="164">
        <v>89.8</v>
      </c>
      <c r="C24" s="197"/>
      <c r="D24" s="175" t="s">
        <v>349</v>
      </c>
      <c r="E24" s="175">
        <v>86.2</v>
      </c>
      <c r="F24" s="192"/>
      <c r="G24" s="196" t="s">
        <v>296</v>
      </c>
      <c r="H24" s="196"/>
    </row>
    <row r="25" spans="1:8" x14ac:dyDescent="0.3">
      <c r="A25" s="164" t="s">
        <v>337</v>
      </c>
      <c r="B25" s="164">
        <v>65</v>
      </c>
      <c r="C25" s="197"/>
      <c r="D25" s="175" t="s">
        <v>350</v>
      </c>
      <c r="E25" s="175">
        <v>86.7</v>
      </c>
      <c r="F25" s="192"/>
      <c r="G25" s="164" t="s">
        <v>304</v>
      </c>
      <c r="H25" s="164" t="s">
        <v>29</v>
      </c>
    </row>
    <row r="26" spans="1:8" x14ac:dyDescent="0.3">
      <c r="A26" s="164" t="s">
        <v>338</v>
      </c>
      <c r="B26" s="164">
        <v>93.7</v>
      </c>
      <c r="C26" s="197"/>
      <c r="D26" s="175" t="s">
        <v>351</v>
      </c>
      <c r="E26" s="175">
        <v>31.6</v>
      </c>
      <c r="F26" s="192"/>
      <c r="G26" s="164" t="s">
        <v>353</v>
      </c>
      <c r="H26" s="164">
        <v>24.5</v>
      </c>
    </row>
    <row r="27" spans="1:8" x14ac:dyDescent="0.3">
      <c r="A27" s="164" t="s">
        <v>339</v>
      </c>
      <c r="B27" s="164">
        <v>221.1</v>
      </c>
      <c r="C27" s="197"/>
      <c r="D27" s="175" t="s">
        <v>352</v>
      </c>
      <c r="E27" s="175">
        <v>34.299999999999997</v>
      </c>
      <c r="F27" s="192"/>
      <c r="G27" s="164" t="s">
        <v>346</v>
      </c>
      <c r="H27" s="164">
        <v>32.1</v>
      </c>
    </row>
    <row r="28" spans="1:8" x14ac:dyDescent="0.3">
      <c r="A28" s="164" t="s">
        <v>340</v>
      </c>
      <c r="B28" s="164">
        <v>280.3</v>
      </c>
      <c r="C28" s="197"/>
      <c r="D28" s="175" t="s">
        <v>354</v>
      </c>
      <c r="E28" s="175">
        <v>109.4</v>
      </c>
      <c r="F28" s="192"/>
      <c r="G28" s="164" t="s">
        <v>298</v>
      </c>
      <c r="H28" s="165">
        <f>SUM(H26:H27)</f>
        <v>56.6</v>
      </c>
    </row>
    <row r="29" spans="1:8" x14ac:dyDescent="0.3">
      <c r="A29" s="164" t="s">
        <v>327</v>
      </c>
      <c r="B29" s="164">
        <v>116.4</v>
      </c>
      <c r="C29" s="197"/>
      <c r="D29" s="175" t="s">
        <v>282</v>
      </c>
      <c r="E29" s="175">
        <v>172.5</v>
      </c>
      <c r="F29" s="192"/>
      <c r="G29" s="195"/>
      <c r="H29" s="195"/>
    </row>
    <row r="30" spans="1:8" x14ac:dyDescent="0.3">
      <c r="A30" s="164" t="s">
        <v>341</v>
      </c>
      <c r="B30" s="164">
        <v>31.2</v>
      </c>
      <c r="C30" s="197"/>
      <c r="D30" s="175" t="s">
        <v>355</v>
      </c>
      <c r="E30" s="175">
        <v>98.9</v>
      </c>
      <c r="F30" s="192"/>
      <c r="G30" s="182"/>
      <c r="H30" s="182"/>
    </row>
    <row r="31" spans="1:8" x14ac:dyDescent="0.3">
      <c r="A31" s="164" t="s">
        <v>342</v>
      </c>
      <c r="B31" s="164">
        <v>165.5</v>
      </c>
      <c r="C31" s="197"/>
      <c r="D31" s="175" t="s">
        <v>323</v>
      </c>
      <c r="E31" s="175">
        <v>223.7</v>
      </c>
      <c r="F31" s="192"/>
      <c r="G31" s="182"/>
      <c r="H31" s="182"/>
    </row>
    <row r="32" spans="1:8" x14ac:dyDescent="0.3">
      <c r="A32" s="164" t="s">
        <v>343</v>
      </c>
      <c r="B32" s="164">
        <v>239.3</v>
      </c>
      <c r="C32" s="197"/>
      <c r="D32" s="175" t="s">
        <v>356</v>
      </c>
      <c r="E32" s="175">
        <v>227.1</v>
      </c>
      <c r="F32" s="192"/>
      <c r="G32" s="182"/>
      <c r="H32" s="182"/>
    </row>
    <row r="33" spans="1:8" x14ac:dyDescent="0.3">
      <c r="A33" s="164" t="s">
        <v>344</v>
      </c>
      <c r="B33" s="164">
        <v>200.9</v>
      </c>
      <c r="C33" s="197"/>
      <c r="D33" s="175" t="s">
        <v>357</v>
      </c>
      <c r="E33" s="175">
        <v>165.6</v>
      </c>
      <c r="F33" s="192"/>
      <c r="G33" s="182"/>
      <c r="H33" s="182"/>
    </row>
    <row r="34" spans="1:8" x14ac:dyDescent="0.3">
      <c r="A34" s="164" t="s">
        <v>345</v>
      </c>
      <c r="B34" s="180">
        <v>247.4</v>
      </c>
      <c r="C34" s="197"/>
      <c r="D34" s="175" t="s">
        <v>358</v>
      </c>
      <c r="E34" s="175">
        <v>136.19999999999999</v>
      </c>
      <c r="F34" s="192"/>
      <c r="G34" s="182"/>
      <c r="H34" s="182"/>
    </row>
    <row r="35" spans="1:8" x14ac:dyDescent="0.3">
      <c r="A35" s="179" t="s">
        <v>298</v>
      </c>
      <c r="B35" s="165">
        <f>SUM(B12:B34)</f>
        <v>4042.9000000000005</v>
      </c>
      <c r="C35" s="192"/>
      <c r="D35" s="175" t="s">
        <v>359</v>
      </c>
      <c r="E35" s="175">
        <v>52.9</v>
      </c>
      <c r="F35" s="192"/>
      <c r="G35" s="182"/>
      <c r="H35" s="182"/>
    </row>
    <row r="36" spans="1:8" x14ac:dyDescent="0.3">
      <c r="A36" s="191"/>
      <c r="B36" s="191"/>
      <c r="C36" s="192"/>
      <c r="D36" s="175" t="s">
        <v>360</v>
      </c>
      <c r="E36" s="175">
        <v>43.8</v>
      </c>
      <c r="F36" s="192"/>
      <c r="G36" s="182"/>
      <c r="H36" s="182"/>
    </row>
    <row r="37" spans="1:8" x14ac:dyDescent="0.3">
      <c r="A37" s="194"/>
      <c r="B37" s="194"/>
      <c r="C37" s="192"/>
      <c r="D37" s="175" t="s">
        <v>331</v>
      </c>
      <c r="E37" s="175">
        <v>49.2</v>
      </c>
      <c r="F37" s="192"/>
      <c r="G37" s="182"/>
      <c r="H37" s="182"/>
    </row>
    <row r="38" spans="1:8" x14ac:dyDescent="0.3">
      <c r="A38" s="194"/>
      <c r="B38" s="194"/>
      <c r="C38" s="192"/>
      <c r="D38" s="175" t="s">
        <v>332</v>
      </c>
      <c r="E38" s="175">
        <v>46.2</v>
      </c>
      <c r="F38" s="192"/>
      <c r="G38" s="182"/>
      <c r="H38" s="182"/>
    </row>
    <row r="39" spans="1:8" x14ac:dyDescent="0.3">
      <c r="A39" s="194"/>
      <c r="B39" s="194"/>
      <c r="C39" s="192"/>
      <c r="D39" s="175" t="s">
        <v>298</v>
      </c>
      <c r="E39" s="165">
        <f>SUM(E12:E38)</f>
        <v>3847.3999999999996</v>
      </c>
      <c r="F39" s="192"/>
      <c r="G39" s="182"/>
      <c r="H39" s="182"/>
    </row>
  </sheetData>
  <mergeCells count="29">
    <mergeCell ref="E7:F7"/>
    <mergeCell ref="B1:D1"/>
    <mergeCell ref="B2:D2"/>
    <mergeCell ref="B3:D3"/>
    <mergeCell ref="B4:D4"/>
    <mergeCell ref="B5:D5"/>
    <mergeCell ref="B6:D6"/>
    <mergeCell ref="B7:D7"/>
    <mergeCell ref="E1:F1"/>
    <mergeCell ref="E2:F2"/>
    <mergeCell ref="E3:F3"/>
    <mergeCell ref="E4:F4"/>
    <mergeCell ref="E5:F5"/>
    <mergeCell ref="E6:F6"/>
    <mergeCell ref="E8:F8"/>
    <mergeCell ref="A9:F9"/>
    <mergeCell ref="A10:B10"/>
    <mergeCell ref="D10:E10"/>
    <mergeCell ref="G11:H11"/>
    <mergeCell ref="B8:D8"/>
    <mergeCell ref="A36:B39"/>
    <mergeCell ref="G29:H39"/>
    <mergeCell ref="G17:H17"/>
    <mergeCell ref="G24:H24"/>
    <mergeCell ref="F10:F39"/>
    <mergeCell ref="C10:C39"/>
    <mergeCell ref="G10:H10"/>
    <mergeCell ref="G15:H16"/>
    <mergeCell ref="G22:H23"/>
  </mergeCells>
  <pageMargins left="0.7" right="0.7" top="0.75" bottom="0.75" header="0.3" footer="0.3"/>
  <pageSetup paperSize="9" orientation="portrait" horizontalDpi="0" verticalDpi="0" r:id="rId1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F9"/>
  <sheetViews>
    <sheetView zoomScale="55" zoomScaleNormal="55" workbookViewId="0">
      <selection activeCell="C27" sqref="C27"/>
    </sheetView>
  </sheetViews>
  <sheetFormatPr defaultRowHeight="15.6" x14ac:dyDescent="0.3"/>
  <cols>
    <col min="1" max="1" width="9.21875" style="159" customWidth="1"/>
    <col min="2" max="2" width="54.77734375" style="142" customWidth="1"/>
    <col min="3" max="3" width="21.6640625" style="142" customWidth="1"/>
    <col min="4" max="4" width="18.21875" style="142" customWidth="1"/>
    <col min="5" max="5" width="8.88671875" style="142"/>
    <col min="6" max="6" width="17.77734375" style="142" customWidth="1"/>
    <col min="7" max="16384" width="8.88671875" style="142"/>
  </cols>
  <sheetData>
    <row r="1" spans="1:6" ht="57.6" customHeight="1" x14ac:dyDescent="0.3">
      <c r="A1" s="141" t="s">
        <v>122</v>
      </c>
      <c r="B1" s="150" t="s">
        <v>271</v>
      </c>
      <c r="C1" s="150" t="s">
        <v>270</v>
      </c>
      <c r="D1" s="150" t="s">
        <v>49</v>
      </c>
      <c r="E1" s="150" t="s">
        <v>126</v>
      </c>
      <c r="F1" s="150" t="s">
        <v>127</v>
      </c>
    </row>
    <row r="2" spans="1:6" ht="29.4" customHeight="1" x14ac:dyDescent="0.3">
      <c r="A2" s="130">
        <v>1</v>
      </c>
      <c r="B2" s="151" t="s">
        <v>272</v>
      </c>
      <c r="C2" s="152" t="s">
        <v>273</v>
      </c>
      <c r="D2" s="152" t="s">
        <v>70</v>
      </c>
      <c r="E2" s="153">
        <v>1</v>
      </c>
      <c r="F2" s="154">
        <f>(2.1*2+1.15)*0.125*17</f>
        <v>11.368749999999999</v>
      </c>
    </row>
    <row r="3" spans="1:6" ht="31.2" x14ac:dyDescent="0.3">
      <c r="A3" s="130">
        <v>2</v>
      </c>
      <c r="B3" s="151" t="s">
        <v>108</v>
      </c>
      <c r="C3" s="152" t="s">
        <v>263</v>
      </c>
      <c r="D3" s="152" t="s">
        <v>70</v>
      </c>
      <c r="E3" s="153">
        <v>1</v>
      </c>
      <c r="F3" s="154">
        <f>F2</f>
        <v>11.368749999999999</v>
      </c>
    </row>
    <row r="4" spans="1:6" ht="31.2" x14ac:dyDescent="0.3">
      <c r="A4" s="146" t="s">
        <v>267</v>
      </c>
      <c r="B4" s="155" t="s">
        <v>201</v>
      </c>
      <c r="C4" s="152"/>
      <c r="D4" s="156" t="s">
        <v>55</v>
      </c>
      <c r="E4" s="157">
        <v>1.5</v>
      </c>
      <c r="F4" s="158">
        <f>$F$3*E4</f>
        <v>17.053124999999998</v>
      </c>
    </row>
    <row r="5" spans="1:6" x14ac:dyDescent="0.3">
      <c r="A5" s="146" t="s">
        <v>87</v>
      </c>
      <c r="B5" s="155" t="s">
        <v>264</v>
      </c>
      <c r="C5" s="152"/>
      <c r="D5" s="156" t="s">
        <v>75</v>
      </c>
      <c r="E5" s="157">
        <v>0.3</v>
      </c>
      <c r="F5" s="158">
        <f t="shared" ref="F5:F9" si="0">$F$3*E5</f>
        <v>3.4106249999999996</v>
      </c>
    </row>
    <row r="6" spans="1:6" x14ac:dyDescent="0.3">
      <c r="A6" s="146" t="s">
        <v>88</v>
      </c>
      <c r="B6" s="155" t="s">
        <v>57</v>
      </c>
      <c r="C6" s="152"/>
      <c r="D6" s="156" t="s">
        <v>55</v>
      </c>
      <c r="E6" s="157">
        <v>0.15</v>
      </c>
      <c r="F6" s="158">
        <f t="shared" si="0"/>
        <v>1.7053124999999998</v>
      </c>
    </row>
    <row r="7" spans="1:6" ht="31.2" x14ac:dyDescent="0.3">
      <c r="A7" s="130">
        <v>3</v>
      </c>
      <c r="B7" s="151" t="s">
        <v>108</v>
      </c>
      <c r="C7" s="152" t="s">
        <v>265</v>
      </c>
      <c r="D7" s="152" t="s">
        <v>70</v>
      </c>
      <c r="E7" s="153">
        <v>1</v>
      </c>
      <c r="F7" s="158">
        <f t="shared" si="0"/>
        <v>11.368749999999999</v>
      </c>
    </row>
    <row r="8" spans="1:6" x14ac:dyDescent="0.3">
      <c r="A8" s="146" t="s">
        <v>90</v>
      </c>
      <c r="B8" s="155" t="s">
        <v>57</v>
      </c>
      <c r="C8" s="152"/>
      <c r="D8" s="156" t="s">
        <v>55</v>
      </c>
      <c r="E8" s="157">
        <v>0.15</v>
      </c>
      <c r="F8" s="158">
        <f t="shared" si="0"/>
        <v>1.7053124999999998</v>
      </c>
    </row>
    <row r="9" spans="1:6" ht="31.2" x14ac:dyDescent="0.3">
      <c r="A9" s="146" t="s">
        <v>91</v>
      </c>
      <c r="B9" s="155" t="s">
        <v>201</v>
      </c>
      <c r="C9" s="152"/>
      <c r="D9" s="156" t="s">
        <v>55</v>
      </c>
      <c r="E9" s="157">
        <v>1.5</v>
      </c>
      <c r="F9" s="158">
        <f t="shared" si="0"/>
        <v>17.053124999999998</v>
      </c>
    </row>
  </sheetData>
  <pageMargins left="0.7" right="0.7" top="0.75" bottom="0.75" header="0.3" footer="0.3"/>
  <pageSetup paperSize="9" orientation="portrait" horizontalDpi="0" verticalDpi="0" r:id="rId1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F4"/>
  <sheetViews>
    <sheetView zoomScale="55" zoomScaleNormal="55" workbookViewId="0">
      <selection activeCell="B24" sqref="B24"/>
    </sheetView>
  </sheetViews>
  <sheetFormatPr defaultRowHeight="15.6" x14ac:dyDescent="0.3"/>
  <cols>
    <col min="1" max="1" width="9.21875" style="149" customWidth="1"/>
    <col min="2" max="2" width="51.5546875" style="142" customWidth="1"/>
    <col min="3" max="3" width="21.109375" style="142" customWidth="1"/>
    <col min="4" max="4" width="11.77734375" style="142" customWidth="1"/>
    <col min="5" max="5" width="8.88671875" style="142"/>
    <col min="6" max="6" width="17.77734375" style="142" customWidth="1"/>
    <col min="7" max="16384" width="8.88671875" style="142"/>
  </cols>
  <sheetData>
    <row r="1" spans="1:6" ht="57.6" customHeight="1" x14ac:dyDescent="0.3">
      <c r="A1" s="141" t="s">
        <v>122</v>
      </c>
      <c r="B1" s="141" t="s">
        <v>271</v>
      </c>
      <c r="C1" s="141" t="s">
        <v>270</v>
      </c>
      <c r="D1" s="141" t="s">
        <v>49</v>
      </c>
      <c r="E1" s="141" t="s">
        <v>126</v>
      </c>
      <c r="F1" s="141" t="s">
        <v>127</v>
      </c>
    </row>
    <row r="2" spans="1:6" ht="31.2" x14ac:dyDescent="0.3">
      <c r="A2" s="130">
        <v>1</v>
      </c>
      <c r="B2" s="143" t="s">
        <v>108</v>
      </c>
      <c r="C2" s="144" t="s">
        <v>265</v>
      </c>
      <c r="D2" s="144" t="s">
        <v>70</v>
      </c>
      <c r="E2" s="145">
        <v>1</v>
      </c>
      <c r="F2" s="162">
        <f>'2-С-Ш1, баз'!F2</f>
        <v>1350.87</v>
      </c>
    </row>
    <row r="3" spans="1:6" x14ac:dyDescent="0.3">
      <c r="A3" s="146" t="s">
        <v>77</v>
      </c>
      <c r="B3" s="147" t="s">
        <v>57</v>
      </c>
      <c r="C3" s="144"/>
      <c r="D3" s="130" t="s">
        <v>55</v>
      </c>
      <c r="E3" s="148">
        <v>0.15</v>
      </c>
      <c r="F3" s="163">
        <f>$F$2*E3</f>
        <v>202.63049999999998</v>
      </c>
    </row>
    <row r="4" spans="1:6" ht="38.4" customHeight="1" x14ac:dyDescent="0.3">
      <c r="A4" s="146" t="s">
        <v>56</v>
      </c>
      <c r="B4" s="147" t="s">
        <v>201</v>
      </c>
      <c r="C4" s="144"/>
      <c r="D4" s="130" t="s">
        <v>55</v>
      </c>
      <c r="E4" s="148">
        <v>1.5</v>
      </c>
      <c r="F4" s="163">
        <f>$F$2*E4</f>
        <v>2026.3049999999998</v>
      </c>
    </row>
  </sheetData>
  <pageMargins left="0.7" right="0.7" top="0.75" bottom="0.75" header="0.3" footer="0.3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F5"/>
  <sheetViews>
    <sheetView zoomScale="55" zoomScaleNormal="55" workbookViewId="0">
      <selection activeCell="F2" sqref="F2:F5"/>
    </sheetView>
  </sheetViews>
  <sheetFormatPr defaultRowHeight="15.6" x14ac:dyDescent="0.3"/>
  <cols>
    <col min="1" max="1" width="9.21875" style="149" customWidth="1"/>
    <col min="2" max="2" width="54.77734375" style="142" customWidth="1"/>
    <col min="3" max="3" width="18.77734375" style="142" customWidth="1"/>
    <col min="4" max="4" width="13.77734375" style="142" customWidth="1"/>
    <col min="5" max="5" width="15.109375" style="142" customWidth="1"/>
    <col min="6" max="6" width="17.77734375" style="142" customWidth="1"/>
    <col min="7" max="16384" width="8.88671875" style="142"/>
  </cols>
  <sheetData>
    <row r="1" spans="1:6" ht="57.6" customHeight="1" x14ac:dyDescent="0.3">
      <c r="A1" s="141" t="s">
        <v>122</v>
      </c>
      <c r="B1" s="141" t="s">
        <v>271</v>
      </c>
      <c r="C1" s="141" t="s">
        <v>270</v>
      </c>
      <c r="D1" s="141" t="s">
        <v>49</v>
      </c>
      <c r="E1" s="141" t="s">
        <v>126</v>
      </c>
      <c r="F1" s="141" t="s">
        <v>127</v>
      </c>
    </row>
    <row r="2" spans="1:6" ht="31.2" x14ac:dyDescent="0.3">
      <c r="A2" s="130">
        <v>1</v>
      </c>
      <c r="B2" s="143" t="s">
        <v>108</v>
      </c>
      <c r="C2" s="144" t="s">
        <v>263</v>
      </c>
      <c r="D2" s="144" t="s">
        <v>70</v>
      </c>
      <c r="E2" s="145">
        <v>1</v>
      </c>
      <c r="F2" s="162">
        <f>611.19+739.68</f>
        <v>1350.87</v>
      </c>
    </row>
    <row r="3" spans="1:6" ht="31.2" x14ac:dyDescent="0.3">
      <c r="A3" s="146" t="s">
        <v>77</v>
      </c>
      <c r="B3" s="147" t="s">
        <v>201</v>
      </c>
      <c r="C3" s="144"/>
      <c r="D3" s="130" t="s">
        <v>55</v>
      </c>
      <c r="E3" s="148">
        <v>1.5</v>
      </c>
      <c r="F3" s="163">
        <f>$F$2*E3</f>
        <v>2026.3049999999998</v>
      </c>
    </row>
    <row r="4" spans="1:6" x14ac:dyDescent="0.3">
      <c r="A4" s="146" t="s">
        <v>56</v>
      </c>
      <c r="B4" s="147" t="s">
        <v>264</v>
      </c>
      <c r="C4" s="144"/>
      <c r="D4" s="130" t="s">
        <v>75</v>
      </c>
      <c r="E4" s="148">
        <v>0.3</v>
      </c>
      <c r="F4" s="163">
        <f>$F$2*E4</f>
        <v>405.26099999999997</v>
      </c>
    </row>
    <row r="5" spans="1:6" x14ac:dyDescent="0.3">
      <c r="A5" s="146" t="s">
        <v>72</v>
      </c>
      <c r="B5" s="147" t="s">
        <v>57</v>
      </c>
      <c r="C5" s="144"/>
      <c r="D5" s="130" t="s">
        <v>55</v>
      </c>
      <c r="E5" s="148">
        <v>0.15</v>
      </c>
      <c r="F5" s="163">
        <f>$F$2*E5</f>
        <v>202.63049999999998</v>
      </c>
    </row>
  </sheetData>
  <pageMargins left="0.7" right="0.7" top="0.75" bottom="0.75" header="0.3" footer="0.3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F7"/>
  <sheetViews>
    <sheetView zoomScale="55" zoomScaleNormal="55" workbookViewId="0">
      <selection activeCell="C8" sqref="C8"/>
    </sheetView>
  </sheetViews>
  <sheetFormatPr defaultRowHeight="15.6" x14ac:dyDescent="0.3"/>
  <cols>
    <col min="1" max="1" width="9.21875" style="139" customWidth="1"/>
    <col min="2" max="2" width="54.77734375" style="133" customWidth="1"/>
    <col min="3" max="3" width="41.6640625" style="133" customWidth="1"/>
    <col min="4" max="4" width="13.77734375" style="133" customWidth="1"/>
    <col min="5" max="5" width="8.88671875" style="133"/>
    <col min="6" max="6" width="17.77734375" style="133" customWidth="1"/>
    <col min="7" max="16384" width="8.88671875" style="133"/>
  </cols>
  <sheetData>
    <row r="1" spans="1:6" ht="42.6" customHeight="1" x14ac:dyDescent="0.3">
      <c r="A1" s="132" t="s">
        <v>122</v>
      </c>
      <c r="B1" s="132" t="s">
        <v>271</v>
      </c>
      <c r="C1" s="132" t="s">
        <v>270</v>
      </c>
      <c r="D1" s="132" t="s">
        <v>49</v>
      </c>
      <c r="E1" s="132" t="s">
        <v>126</v>
      </c>
      <c r="F1" s="132" t="s">
        <v>127</v>
      </c>
    </row>
    <row r="2" spans="1:6" ht="46.8" x14ac:dyDescent="0.3">
      <c r="A2" s="129">
        <v>1</v>
      </c>
      <c r="B2" s="134" t="s">
        <v>252</v>
      </c>
      <c r="C2" s="135" t="s">
        <v>268</v>
      </c>
      <c r="D2" s="135" t="s">
        <v>70</v>
      </c>
      <c r="E2" s="136">
        <v>1</v>
      </c>
      <c r="F2" s="160">
        <f>685.31+(3.1+4.2+4.8)*3.12-11</f>
        <v>712.0619999999999</v>
      </c>
    </row>
    <row r="3" spans="1:6" ht="46.8" x14ac:dyDescent="0.3">
      <c r="A3" s="137" t="s">
        <v>77</v>
      </c>
      <c r="B3" s="140" t="s">
        <v>254</v>
      </c>
      <c r="C3" s="131"/>
      <c r="D3" s="129" t="s">
        <v>119</v>
      </c>
      <c r="E3" s="138">
        <v>1</v>
      </c>
      <c r="F3" s="161">
        <f>$F$2*E3</f>
        <v>712.0619999999999</v>
      </c>
    </row>
    <row r="4" spans="1:6" ht="31.2" x14ac:dyDescent="0.3">
      <c r="A4" s="137" t="s">
        <v>56</v>
      </c>
      <c r="B4" s="140" t="s">
        <v>255</v>
      </c>
      <c r="C4" s="131" t="s">
        <v>256</v>
      </c>
      <c r="D4" s="129" t="s">
        <v>73</v>
      </c>
      <c r="E4" s="138">
        <v>0.8</v>
      </c>
      <c r="F4" s="161">
        <f>$F$2*E4</f>
        <v>569.64959999999996</v>
      </c>
    </row>
    <row r="5" spans="1:6" ht="31.2" x14ac:dyDescent="0.3">
      <c r="A5" s="137" t="s">
        <v>72</v>
      </c>
      <c r="B5" s="140" t="s">
        <v>257</v>
      </c>
      <c r="C5" s="131" t="s">
        <v>258</v>
      </c>
      <c r="D5" s="129" t="s">
        <v>73</v>
      </c>
      <c r="E5" s="138">
        <v>2.1</v>
      </c>
      <c r="F5" s="161">
        <f t="shared" ref="F5:F7" si="0">$F$2*E5</f>
        <v>1495.3301999999999</v>
      </c>
    </row>
    <row r="6" spans="1:6" ht="31.2" x14ac:dyDescent="0.3">
      <c r="A6" s="137" t="s">
        <v>120</v>
      </c>
      <c r="B6" s="140" t="s">
        <v>259</v>
      </c>
      <c r="C6" s="131" t="s">
        <v>260</v>
      </c>
      <c r="D6" s="129" t="s">
        <v>70</v>
      </c>
      <c r="E6" s="138">
        <v>4.2</v>
      </c>
      <c r="F6" s="161">
        <f t="shared" si="0"/>
        <v>2990.6603999999998</v>
      </c>
    </row>
    <row r="7" spans="1:6" ht="31.2" x14ac:dyDescent="0.3">
      <c r="A7" s="137" t="s">
        <v>266</v>
      </c>
      <c r="B7" s="140" t="s">
        <v>261</v>
      </c>
      <c r="C7" s="131" t="s">
        <v>269</v>
      </c>
      <c r="D7" s="129" t="s">
        <v>262</v>
      </c>
      <c r="E7" s="138">
        <v>5.1999999999999998E-2</v>
      </c>
      <c r="F7" s="161">
        <f t="shared" si="0"/>
        <v>37.02722399999999</v>
      </c>
    </row>
  </sheetData>
  <pageMargins left="0.7" right="0.7" top="0.75" bottom="0.75" header="0.3" footer="0.3"/>
  <pageSetup paperSize="9" orientation="portrait" horizontalDpi="0" verticalDpi="0" r:id="rId1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I86"/>
  <sheetViews>
    <sheetView topLeftCell="B75" zoomScale="90" zoomScaleNormal="90" workbookViewId="0">
      <selection activeCell="D64" sqref="D64"/>
    </sheetView>
  </sheetViews>
  <sheetFormatPr defaultColWidth="9.109375" defaultRowHeight="13.2" x14ac:dyDescent="0.25"/>
  <cols>
    <col min="1" max="1" width="16.33203125" style="14" customWidth="1"/>
    <col min="2" max="2" width="16.109375" style="14" customWidth="1"/>
    <col min="3" max="3" width="56.5546875" style="14" customWidth="1"/>
    <col min="4" max="4" width="27.88671875" style="14" customWidth="1"/>
    <col min="5" max="5" width="9.109375" style="14"/>
    <col min="6" max="6" width="9.33203125" style="14" customWidth="1"/>
    <col min="7" max="7" width="15" style="14" customWidth="1"/>
    <col min="8" max="16384" width="9.109375" style="14"/>
  </cols>
  <sheetData>
    <row r="1" spans="1:7" ht="12.75" customHeight="1" x14ac:dyDescent="0.25">
      <c r="A1" s="126" t="s">
        <v>122</v>
      </c>
      <c r="B1" s="126" t="s">
        <v>123</v>
      </c>
      <c r="C1" s="126" t="s">
        <v>124</v>
      </c>
      <c r="D1" s="126" t="s">
        <v>125</v>
      </c>
      <c r="E1" s="126" t="s">
        <v>49</v>
      </c>
      <c r="F1" s="126" t="s">
        <v>126</v>
      </c>
      <c r="G1" s="126" t="s">
        <v>127</v>
      </c>
    </row>
    <row r="2" spans="1:7" x14ac:dyDescent="0.25">
      <c r="A2" s="212" t="s">
        <v>251</v>
      </c>
      <c r="B2" s="213"/>
      <c r="C2" s="213"/>
      <c r="D2" s="213"/>
      <c r="E2" s="213"/>
      <c r="F2" s="213"/>
      <c r="G2" s="213"/>
    </row>
    <row r="3" spans="1:7" x14ac:dyDescent="0.25">
      <c r="A3" s="117" t="s">
        <v>250</v>
      </c>
      <c r="B3" s="117" t="s">
        <v>249</v>
      </c>
      <c r="C3" s="209" t="s">
        <v>248</v>
      </c>
      <c r="D3" s="210"/>
      <c r="E3" s="210"/>
      <c r="F3" s="210"/>
      <c r="G3" s="210"/>
    </row>
    <row r="4" spans="1:7" ht="79.5" customHeight="1" x14ac:dyDescent="0.25">
      <c r="A4" s="117" t="s">
        <v>247</v>
      </c>
      <c r="B4" s="117" t="s">
        <v>246</v>
      </c>
      <c r="C4" s="124" t="s">
        <v>245</v>
      </c>
      <c r="D4" s="120" t="s">
        <v>244</v>
      </c>
      <c r="E4" s="120" t="s">
        <v>70</v>
      </c>
      <c r="F4" s="123">
        <v>1</v>
      </c>
      <c r="G4" s="123">
        <v>534.4</v>
      </c>
    </row>
    <row r="5" spans="1:7" ht="39.6" x14ac:dyDescent="0.25">
      <c r="A5" s="117" t="s">
        <v>243</v>
      </c>
      <c r="B5" s="117"/>
      <c r="C5" s="122" t="s">
        <v>242</v>
      </c>
      <c r="D5" s="120"/>
      <c r="E5" s="119" t="s">
        <v>119</v>
      </c>
      <c r="F5" s="118">
        <v>1</v>
      </c>
      <c r="G5" s="118">
        <v>534.4</v>
      </c>
    </row>
    <row r="6" spans="1:7" x14ac:dyDescent="0.25">
      <c r="A6" s="117" t="s">
        <v>241</v>
      </c>
      <c r="B6" s="117"/>
      <c r="C6" s="122" t="s">
        <v>240</v>
      </c>
      <c r="D6" s="120"/>
      <c r="E6" s="119" t="s">
        <v>73</v>
      </c>
      <c r="F6" s="118">
        <v>2.1</v>
      </c>
      <c r="G6" s="118">
        <v>1122.24</v>
      </c>
    </row>
    <row r="7" spans="1:7" x14ac:dyDescent="0.25">
      <c r="A7" s="117" t="s">
        <v>239</v>
      </c>
      <c r="B7" s="117"/>
      <c r="C7" s="122" t="s">
        <v>74</v>
      </c>
      <c r="D7" s="120"/>
      <c r="E7" s="119" t="s">
        <v>73</v>
      </c>
      <c r="F7" s="118">
        <v>0.8</v>
      </c>
      <c r="G7" s="118">
        <v>427.52</v>
      </c>
    </row>
    <row r="8" spans="1:7" x14ac:dyDescent="0.25">
      <c r="A8" s="117" t="s">
        <v>238</v>
      </c>
      <c r="B8" s="117"/>
      <c r="C8" s="121" t="s">
        <v>237</v>
      </c>
      <c r="D8" s="120"/>
      <c r="E8" s="119" t="s">
        <v>70</v>
      </c>
      <c r="F8" s="118">
        <v>1.1000000000000001</v>
      </c>
      <c r="G8" s="118">
        <v>587.84</v>
      </c>
    </row>
    <row r="9" spans="1:7" x14ac:dyDescent="0.25">
      <c r="A9" s="117" t="s">
        <v>128</v>
      </c>
      <c r="B9" s="117" t="s">
        <v>129</v>
      </c>
      <c r="C9" s="209" t="s">
        <v>130</v>
      </c>
      <c r="D9" s="210"/>
      <c r="E9" s="210"/>
      <c r="F9" s="210"/>
      <c r="G9" s="211"/>
    </row>
    <row r="10" spans="1:7" ht="26.4" x14ac:dyDescent="0.25">
      <c r="A10" s="117" t="s">
        <v>131</v>
      </c>
      <c r="B10" s="117" t="s">
        <v>132</v>
      </c>
      <c r="C10" s="124" t="s">
        <v>133</v>
      </c>
      <c r="D10" s="127" t="s">
        <v>134</v>
      </c>
      <c r="E10" s="120" t="s">
        <v>70</v>
      </c>
      <c r="F10" s="123">
        <v>1</v>
      </c>
      <c r="G10" s="123">
        <v>220.1</v>
      </c>
    </row>
    <row r="11" spans="1:7" x14ac:dyDescent="0.25">
      <c r="A11" s="117" t="s">
        <v>135</v>
      </c>
      <c r="B11" s="117"/>
      <c r="C11" s="122" t="s">
        <v>136</v>
      </c>
      <c r="D11" s="120"/>
      <c r="E11" s="119" t="s">
        <v>70</v>
      </c>
      <c r="F11" s="118">
        <v>1.1000000000000001</v>
      </c>
      <c r="G11" s="118">
        <v>242.11</v>
      </c>
    </row>
    <row r="12" spans="1:7" x14ac:dyDescent="0.25">
      <c r="A12" s="117" t="s">
        <v>137</v>
      </c>
      <c r="B12" s="117"/>
      <c r="C12" s="122" t="s">
        <v>138</v>
      </c>
      <c r="D12" s="120"/>
      <c r="E12" s="119" t="s">
        <v>55</v>
      </c>
      <c r="F12" s="118">
        <v>0.25</v>
      </c>
      <c r="G12" s="118">
        <v>55.024999999999999</v>
      </c>
    </row>
    <row r="13" spans="1:7" x14ac:dyDescent="0.25">
      <c r="A13" s="117" t="s">
        <v>139</v>
      </c>
      <c r="B13" s="117"/>
      <c r="C13" s="122" t="s">
        <v>98</v>
      </c>
      <c r="D13" s="120" t="s">
        <v>140</v>
      </c>
      <c r="E13" s="119" t="s">
        <v>55</v>
      </c>
      <c r="F13" s="118">
        <v>1.8</v>
      </c>
      <c r="G13" s="125">
        <v>7923.6</v>
      </c>
    </row>
    <row r="14" spans="1:7" x14ac:dyDescent="0.25">
      <c r="A14" s="117" t="s">
        <v>141</v>
      </c>
      <c r="B14" s="117"/>
      <c r="C14" s="122" t="s">
        <v>99</v>
      </c>
      <c r="D14" s="120"/>
      <c r="E14" s="119" t="s">
        <v>73</v>
      </c>
      <c r="F14" s="118">
        <v>1.1000000000000001</v>
      </c>
      <c r="G14" s="125">
        <v>242.11</v>
      </c>
    </row>
    <row r="15" spans="1:7" ht="26.4" x14ac:dyDescent="0.25">
      <c r="A15" s="117" t="s">
        <v>142</v>
      </c>
      <c r="B15" s="117" t="s">
        <v>132</v>
      </c>
      <c r="C15" s="124" t="s">
        <v>133</v>
      </c>
      <c r="D15" s="127" t="s">
        <v>143</v>
      </c>
      <c r="E15" s="120" t="s">
        <v>70</v>
      </c>
      <c r="F15" s="123">
        <v>1</v>
      </c>
      <c r="G15" s="123">
        <v>534</v>
      </c>
    </row>
    <row r="16" spans="1:7" x14ac:dyDescent="0.25">
      <c r="A16" s="117" t="s">
        <v>144</v>
      </c>
      <c r="B16" s="117"/>
      <c r="C16" s="122" t="s">
        <v>96</v>
      </c>
      <c r="D16" s="120"/>
      <c r="E16" s="119" t="s">
        <v>55</v>
      </c>
      <c r="F16" s="118">
        <v>0.15</v>
      </c>
      <c r="G16" s="118">
        <v>80.099999999999994</v>
      </c>
    </row>
    <row r="17" spans="1:7" x14ac:dyDescent="0.25">
      <c r="A17" s="117" t="s">
        <v>145</v>
      </c>
      <c r="B17" s="117"/>
      <c r="C17" s="122" t="s">
        <v>99</v>
      </c>
      <c r="D17" s="120"/>
      <c r="E17" s="119" t="s">
        <v>73</v>
      </c>
      <c r="F17" s="118">
        <v>1.1000000000000001</v>
      </c>
      <c r="G17" s="125">
        <v>587.4</v>
      </c>
    </row>
    <row r="18" spans="1:7" x14ac:dyDescent="0.25">
      <c r="A18" s="117" t="s">
        <v>146</v>
      </c>
      <c r="B18" s="117"/>
      <c r="C18" s="122" t="s">
        <v>98</v>
      </c>
      <c r="D18" s="120" t="s">
        <v>140</v>
      </c>
      <c r="E18" s="119" t="s">
        <v>55</v>
      </c>
      <c r="F18" s="118">
        <v>1.8</v>
      </c>
      <c r="G18" s="125">
        <v>19224</v>
      </c>
    </row>
    <row r="19" spans="1:7" x14ac:dyDescent="0.25">
      <c r="A19" s="117" t="s">
        <v>147</v>
      </c>
      <c r="B19" s="117"/>
      <c r="C19" s="122" t="s">
        <v>136</v>
      </c>
      <c r="D19" s="120"/>
      <c r="E19" s="119" t="s">
        <v>70</v>
      </c>
      <c r="F19" s="118">
        <v>1.1000000000000001</v>
      </c>
      <c r="G19" s="118">
        <v>587.4</v>
      </c>
    </row>
    <row r="20" spans="1:7" ht="26.4" x14ac:dyDescent="0.25">
      <c r="A20" s="117" t="s">
        <v>148</v>
      </c>
      <c r="B20" s="117" t="s">
        <v>132</v>
      </c>
      <c r="C20" s="124" t="s">
        <v>133</v>
      </c>
      <c r="D20" s="120" t="s">
        <v>149</v>
      </c>
      <c r="E20" s="120" t="s">
        <v>70</v>
      </c>
      <c r="F20" s="123">
        <v>1</v>
      </c>
      <c r="G20" s="123">
        <v>53.9</v>
      </c>
    </row>
    <row r="21" spans="1:7" ht="26.4" x14ac:dyDescent="0.25">
      <c r="A21" s="117" t="s">
        <v>150</v>
      </c>
      <c r="B21" s="117"/>
      <c r="C21" s="121" t="s">
        <v>151</v>
      </c>
      <c r="D21" s="120" t="s">
        <v>140</v>
      </c>
      <c r="E21" s="119" t="s">
        <v>55</v>
      </c>
      <c r="F21" s="118">
        <v>1</v>
      </c>
      <c r="G21" s="125">
        <v>1078</v>
      </c>
    </row>
    <row r="22" spans="1:7" x14ac:dyDescent="0.25">
      <c r="A22" s="117" t="s">
        <v>152</v>
      </c>
      <c r="B22" s="117"/>
      <c r="C22" s="122" t="s">
        <v>138</v>
      </c>
      <c r="D22" s="120"/>
      <c r="E22" s="119" t="s">
        <v>55</v>
      </c>
      <c r="F22" s="118">
        <v>0.25</v>
      </c>
      <c r="G22" s="118">
        <v>13.475</v>
      </c>
    </row>
    <row r="23" spans="1:7" x14ac:dyDescent="0.25">
      <c r="A23" s="117" t="s">
        <v>153</v>
      </c>
      <c r="B23" s="117"/>
      <c r="C23" s="122" t="s">
        <v>99</v>
      </c>
      <c r="D23" s="120"/>
      <c r="E23" s="119" t="s">
        <v>73</v>
      </c>
      <c r="F23" s="118">
        <v>1.1000000000000001</v>
      </c>
      <c r="G23" s="125">
        <v>59.29</v>
      </c>
    </row>
    <row r="24" spans="1:7" ht="26.4" x14ac:dyDescent="0.25">
      <c r="A24" s="117" t="s">
        <v>154</v>
      </c>
      <c r="B24" s="117" t="s">
        <v>132</v>
      </c>
      <c r="C24" s="124" t="s">
        <v>133</v>
      </c>
      <c r="D24" s="120" t="s">
        <v>155</v>
      </c>
      <c r="E24" s="120" t="s">
        <v>70</v>
      </c>
      <c r="F24" s="123">
        <v>1</v>
      </c>
      <c r="G24" s="123">
        <v>260.60000000000002</v>
      </c>
    </row>
    <row r="25" spans="1:7" x14ac:dyDescent="0.25">
      <c r="A25" s="117" t="s">
        <v>156</v>
      </c>
      <c r="B25" s="117"/>
      <c r="C25" s="122" t="s">
        <v>99</v>
      </c>
      <c r="D25" s="120"/>
      <c r="E25" s="119" t="s">
        <v>73</v>
      </c>
      <c r="F25" s="118">
        <v>1.1000000000000001</v>
      </c>
      <c r="G25" s="125">
        <v>286.66000000000003</v>
      </c>
    </row>
    <row r="26" spans="1:7" ht="26.4" x14ac:dyDescent="0.25">
      <c r="A26" s="117" t="s">
        <v>157</v>
      </c>
      <c r="B26" s="117"/>
      <c r="C26" s="122" t="s">
        <v>100</v>
      </c>
      <c r="D26" s="120"/>
      <c r="E26" s="119" t="s">
        <v>55</v>
      </c>
      <c r="F26" s="118">
        <v>0.15</v>
      </c>
      <c r="G26" s="125">
        <v>39.090000000000003</v>
      </c>
    </row>
    <row r="27" spans="1:7" ht="26.4" x14ac:dyDescent="0.25">
      <c r="A27" s="117" t="s">
        <v>158</v>
      </c>
      <c r="B27" s="117"/>
      <c r="C27" s="121" t="s">
        <v>151</v>
      </c>
      <c r="D27" s="120" t="s">
        <v>140</v>
      </c>
      <c r="E27" s="119" t="s">
        <v>55</v>
      </c>
      <c r="F27" s="118">
        <v>1</v>
      </c>
      <c r="G27" s="125">
        <v>5212</v>
      </c>
    </row>
    <row r="28" spans="1:7" ht="26.4" x14ac:dyDescent="0.25">
      <c r="A28" s="117" t="s">
        <v>159</v>
      </c>
      <c r="B28" s="117" t="s">
        <v>132</v>
      </c>
      <c r="C28" s="124" t="s">
        <v>133</v>
      </c>
      <c r="D28" s="120" t="s">
        <v>160</v>
      </c>
      <c r="E28" s="120" t="s">
        <v>70</v>
      </c>
      <c r="F28" s="123">
        <v>1</v>
      </c>
      <c r="G28" s="123">
        <v>36.700000000000003</v>
      </c>
    </row>
    <row r="29" spans="1:7" x14ac:dyDescent="0.25">
      <c r="A29" s="117" t="s">
        <v>161</v>
      </c>
      <c r="B29" s="117"/>
      <c r="C29" s="122" t="s">
        <v>136</v>
      </c>
      <c r="D29" s="120"/>
      <c r="E29" s="119" t="s">
        <v>70</v>
      </c>
      <c r="F29" s="118">
        <v>1.1000000000000001</v>
      </c>
      <c r="G29" s="118">
        <v>40.369999999999997</v>
      </c>
    </row>
    <row r="30" spans="1:7" x14ac:dyDescent="0.25">
      <c r="A30" s="117" t="s">
        <v>162</v>
      </c>
      <c r="B30" s="117"/>
      <c r="C30" s="122" t="s">
        <v>138</v>
      </c>
      <c r="D30" s="120"/>
      <c r="E30" s="119" t="s">
        <v>55</v>
      </c>
      <c r="F30" s="118">
        <v>0.25</v>
      </c>
      <c r="G30" s="118">
        <v>9.1750000000000007</v>
      </c>
    </row>
    <row r="31" spans="1:7" x14ac:dyDescent="0.25">
      <c r="A31" s="117" t="s">
        <v>163</v>
      </c>
      <c r="B31" s="117"/>
      <c r="C31" s="122" t="s">
        <v>98</v>
      </c>
      <c r="D31" s="120" t="s">
        <v>140</v>
      </c>
      <c r="E31" s="119" t="s">
        <v>55</v>
      </c>
      <c r="F31" s="118">
        <v>1.8</v>
      </c>
      <c r="G31" s="125">
        <v>1321.2</v>
      </c>
    </row>
    <row r="32" spans="1:7" x14ac:dyDescent="0.25">
      <c r="A32" s="117" t="s">
        <v>164</v>
      </c>
      <c r="B32" s="117"/>
      <c r="C32" s="122" t="s">
        <v>99</v>
      </c>
      <c r="D32" s="120"/>
      <c r="E32" s="119" t="s">
        <v>73</v>
      </c>
      <c r="F32" s="118">
        <v>1.1000000000000001</v>
      </c>
      <c r="G32" s="125">
        <v>40.369999999999997</v>
      </c>
    </row>
    <row r="33" spans="1:8" ht="26.4" x14ac:dyDescent="0.25">
      <c r="A33" s="117" t="s">
        <v>165</v>
      </c>
      <c r="B33" s="117" t="s">
        <v>132</v>
      </c>
      <c r="C33" s="124" t="s">
        <v>133</v>
      </c>
      <c r="D33" s="120" t="s">
        <v>166</v>
      </c>
      <c r="E33" s="120" t="s">
        <v>70</v>
      </c>
      <c r="F33" s="123">
        <v>1</v>
      </c>
      <c r="G33" s="123">
        <v>144.4</v>
      </c>
    </row>
    <row r="34" spans="1:8" x14ac:dyDescent="0.25">
      <c r="A34" s="117" t="s">
        <v>167</v>
      </c>
      <c r="B34" s="117"/>
      <c r="C34" s="122" t="s">
        <v>99</v>
      </c>
      <c r="D34" s="120"/>
      <c r="E34" s="119" t="s">
        <v>73</v>
      </c>
      <c r="F34" s="118">
        <v>1.1000000000000001</v>
      </c>
      <c r="G34" s="125">
        <v>158.84</v>
      </c>
    </row>
    <row r="35" spans="1:8" x14ac:dyDescent="0.25">
      <c r="A35" s="117" t="s">
        <v>168</v>
      </c>
      <c r="B35" s="117"/>
      <c r="C35" s="122" t="s">
        <v>98</v>
      </c>
      <c r="D35" s="120" t="s">
        <v>140</v>
      </c>
      <c r="E35" s="119" t="s">
        <v>55</v>
      </c>
      <c r="F35" s="118">
        <v>1.8</v>
      </c>
      <c r="G35" s="125">
        <v>5198.3999999999996</v>
      </c>
    </row>
    <row r="36" spans="1:8" ht="26.4" x14ac:dyDescent="0.25">
      <c r="A36" s="117" t="s">
        <v>169</v>
      </c>
      <c r="B36" s="117"/>
      <c r="C36" s="122" t="s">
        <v>100</v>
      </c>
      <c r="D36" s="120"/>
      <c r="E36" s="119" t="s">
        <v>55</v>
      </c>
      <c r="F36" s="118">
        <v>0.15</v>
      </c>
      <c r="G36" s="125">
        <v>21.66</v>
      </c>
    </row>
    <row r="37" spans="1:8" x14ac:dyDescent="0.25">
      <c r="A37" s="117" t="s">
        <v>170</v>
      </c>
      <c r="B37" s="117"/>
      <c r="C37" s="122" t="s">
        <v>136</v>
      </c>
      <c r="D37" s="120"/>
      <c r="E37" s="119" t="s">
        <v>70</v>
      </c>
      <c r="F37" s="118">
        <v>1.1000000000000001</v>
      </c>
      <c r="G37" s="118">
        <v>158.84</v>
      </c>
    </row>
    <row r="38" spans="1:8" ht="26.4" x14ac:dyDescent="0.25">
      <c r="A38" s="117" t="s">
        <v>171</v>
      </c>
      <c r="B38" s="117" t="s">
        <v>132</v>
      </c>
      <c r="C38" s="124" t="s">
        <v>133</v>
      </c>
      <c r="D38" s="120" t="s">
        <v>172</v>
      </c>
      <c r="E38" s="120" t="s">
        <v>70</v>
      </c>
      <c r="F38" s="123">
        <v>1</v>
      </c>
      <c r="G38" s="123">
        <v>38.799999999999997</v>
      </c>
    </row>
    <row r="39" spans="1:8" x14ac:dyDescent="0.25">
      <c r="A39" s="117" t="s">
        <v>173</v>
      </c>
      <c r="B39" s="117"/>
      <c r="C39" s="122" t="s">
        <v>136</v>
      </c>
      <c r="D39" s="120"/>
      <c r="E39" s="119" t="s">
        <v>70</v>
      </c>
      <c r="F39" s="118">
        <v>1.1000000000000001</v>
      </c>
      <c r="G39" s="118">
        <v>42.68</v>
      </c>
    </row>
    <row r="40" spans="1:8" ht="26.4" x14ac:dyDescent="0.25">
      <c r="A40" s="117" t="s">
        <v>174</v>
      </c>
      <c r="B40" s="117"/>
      <c r="C40" s="122" t="s">
        <v>100</v>
      </c>
      <c r="D40" s="120"/>
      <c r="E40" s="119" t="s">
        <v>55</v>
      </c>
      <c r="F40" s="118">
        <v>0.15</v>
      </c>
      <c r="G40" s="125">
        <v>5.82</v>
      </c>
    </row>
    <row r="41" spans="1:8" x14ac:dyDescent="0.25">
      <c r="A41" s="117" t="s">
        <v>175</v>
      </c>
      <c r="B41" s="117"/>
      <c r="C41" s="122" t="s">
        <v>98</v>
      </c>
      <c r="D41" s="120" t="s">
        <v>176</v>
      </c>
      <c r="E41" s="119" t="s">
        <v>55</v>
      </c>
      <c r="F41" s="118">
        <v>1.8</v>
      </c>
      <c r="G41" s="125">
        <v>1396.8</v>
      </c>
    </row>
    <row r="42" spans="1:8" ht="26.4" x14ac:dyDescent="0.25">
      <c r="A42" s="117" t="s">
        <v>177</v>
      </c>
      <c r="B42" s="117" t="s">
        <v>178</v>
      </c>
      <c r="C42" s="124" t="s">
        <v>104</v>
      </c>
      <c r="D42" s="127" t="s">
        <v>179</v>
      </c>
      <c r="E42" s="120" t="s">
        <v>70</v>
      </c>
      <c r="F42" s="123">
        <v>1</v>
      </c>
      <c r="G42" s="123">
        <v>754.1</v>
      </c>
      <c r="H42" s="14">
        <v>16.54</v>
      </c>
    </row>
    <row r="43" spans="1:8" x14ac:dyDescent="0.25">
      <c r="A43" s="117" t="s">
        <v>180</v>
      </c>
      <c r="B43" s="117"/>
      <c r="C43" s="122" t="s">
        <v>105</v>
      </c>
      <c r="D43" s="120"/>
      <c r="E43" s="119" t="s">
        <v>55</v>
      </c>
      <c r="F43" s="118">
        <v>2</v>
      </c>
      <c r="G43" s="118">
        <v>1508.2</v>
      </c>
    </row>
    <row r="44" spans="1:8" x14ac:dyDescent="0.25">
      <c r="A44" s="117" t="s">
        <v>181</v>
      </c>
      <c r="B44" s="117"/>
      <c r="C44" s="122" t="s">
        <v>106</v>
      </c>
      <c r="D44" s="120"/>
      <c r="E44" s="119" t="s">
        <v>75</v>
      </c>
      <c r="F44" s="118">
        <v>0.3</v>
      </c>
      <c r="G44" s="125">
        <v>226.23</v>
      </c>
    </row>
    <row r="45" spans="1:8" x14ac:dyDescent="0.25">
      <c r="A45" s="117" t="s">
        <v>182</v>
      </c>
      <c r="B45" s="117"/>
      <c r="C45" s="122" t="s">
        <v>57</v>
      </c>
      <c r="D45" s="120"/>
      <c r="E45" s="119" t="s">
        <v>55</v>
      </c>
      <c r="F45" s="118">
        <v>0.15</v>
      </c>
      <c r="G45" s="118">
        <v>113.11499999999999</v>
      </c>
    </row>
    <row r="46" spans="1:8" ht="26.4" x14ac:dyDescent="0.25">
      <c r="A46" s="117" t="s">
        <v>183</v>
      </c>
      <c r="B46" s="117" t="s">
        <v>178</v>
      </c>
      <c r="C46" s="124" t="s">
        <v>104</v>
      </c>
      <c r="D46" s="127" t="s">
        <v>179</v>
      </c>
      <c r="E46" s="120" t="s">
        <v>70</v>
      </c>
      <c r="F46" s="123">
        <v>1</v>
      </c>
      <c r="G46" s="123">
        <v>754.1</v>
      </c>
    </row>
    <row r="47" spans="1:8" x14ac:dyDescent="0.25">
      <c r="A47" s="117" t="s">
        <v>184</v>
      </c>
      <c r="B47" s="117"/>
      <c r="C47" s="122" t="s">
        <v>57</v>
      </c>
      <c r="D47" s="120"/>
      <c r="E47" s="119" t="s">
        <v>55</v>
      </c>
      <c r="F47" s="118">
        <v>0.15</v>
      </c>
      <c r="G47" s="118">
        <v>113.11499999999999</v>
      </c>
    </row>
    <row r="48" spans="1:8" x14ac:dyDescent="0.25">
      <c r="A48" s="117" t="s">
        <v>185</v>
      </c>
      <c r="B48" s="117"/>
      <c r="C48" s="122" t="s">
        <v>106</v>
      </c>
      <c r="D48" s="120"/>
      <c r="E48" s="119" t="s">
        <v>75</v>
      </c>
      <c r="F48" s="118">
        <v>0.3</v>
      </c>
      <c r="G48" s="125">
        <v>226.23</v>
      </c>
    </row>
    <row r="49" spans="1:7" x14ac:dyDescent="0.25">
      <c r="A49" s="117" t="s">
        <v>186</v>
      </c>
      <c r="B49" s="117"/>
      <c r="C49" s="122" t="s">
        <v>187</v>
      </c>
      <c r="D49" s="120"/>
      <c r="E49" s="119" t="s">
        <v>55</v>
      </c>
      <c r="F49" s="118">
        <v>1</v>
      </c>
      <c r="G49" s="118">
        <v>754.1</v>
      </c>
    </row>
    <row r="50" spans="1:7" ht="26.4" x14ac:dyDescent="0.25">
      <c r="A50" s="117" t="s">
        <v>188</v>
      </c>
      <c r="B50" s="117" t="s">
        <v>178</v>
      </c>
      <c r="C50" s="124" t="s">
        <v>104</v>
      </c>
      <c r="D50" s="127" t="s">
        <v>179</v>
      </c>
      <c r="E50" s="120" t="s">
        <v>70</v>
      </c>
      <c r="F50" s="123">
        <v>1</v>
      </c>
      <c r="G50" s="123">
        <v>754.1</v>
      </c>
    </row>
    <row r="51" spans="1:7" x14ac:dyDescent="0.25">
      <c r="A51" s="117" t="s">
        <v>189</v>
      </c>
      <c r="B51" s="117"/>
      <c r="C51" s="122" t="s">
        <v>190</v>
      </c>
      <c r="D51" s="120"/>
      <c r="E51" s="119" t="s">
        <v>55</v>
      </c>
      <c r="F51" s="118">
        <v>1.8</v>
      </c>
      <c r="G51" s="118">
        <v>1357.38</v>
      </c>
    </row>
    <row r="52" spans="1:7" x14ac:dyDescent="0.25">
      <c r="A52" s="117" t="s">
        <v>191</v>
      </c>
      <c r="B52" s="117"/>
      <c r="C52" s="122" t="s">
        <v>106</v>
      </c>
      <c r="D52" s="120"/>
      <c r="E52" s="119" t="s">
        <v>75</v>
      </c>
      <c r="F52" s="118">
        <v>0.3</v>
      </c>
      <c r="G52" s="125">
        <v>226.23</v>
      </c>
    </row>
    <row r="53" spans="1:7" x14ac:dyDescent="0.25">
      <c r="A53" s="117" t="s">
        <v>192</v>
      </c>
      <c r="B53" s="117"/>
      <c r="C53" s="122" t="s">
        <v>57</v>
      </c>
      <c r="D53" s="120"/>
      <c r="E53" s="119" t="s">
        <v>55</v>
      </c>
      <c r="F53" s="118">
        <v>0.15</v>
      </c>
      <c r="G53" s="118">
        <v>113.11499999999999</v>
      </c>
    </row>
    <row r="54" spans="1:7" ht="26.4" x14ac:dyDescent="0.25">
      <c r="A54" s="117" t="s">
        <v>193</v>
      </c>
      <c r="B54" s="117" t="s">
        <v>178</v>
      </c>
      <c r="C54" s="124" t="s">
        <v>104</v>
      </c>
      <c r="D54" s="120" t="s">
        <v>194</v>
      </c>
      <c r="E54" s="120" t="s">
        <v>70</v>
      </c>
      <c r="F54" s="123">
        <v>1</v>
      </c>
      <c r="G54" s="123">
        <v>314.5</v>
      </c>
    </row>
    <row r="55" spans="1:7" ht="26.4" x14ac:dyDescent="0.25">
      <c r="A55" s="117" t="s">
        <v>195</v>
      </c>
      <c r="B55" s="117"/>
      <c r="C55" s="122" t="s">
        <v>196</v>
      </c>
      <c r="D55" s="120"/>
      <c r="E55" s="119" t="s">
        <v>55</v>
      </c>
      <c r="F55" s="118">
        <v>0.1</v>
      </c>
      <c r="G55" s="118">
        <v>31.45</v>
      </c>
    </row>
    <row r="56" spans="1:7" x14ac:dyDescent="0.25">
      <c r="A56" s="117" t="s">
        <v>197</v>
      </c>
      <c r="B56" s="117"/>
      <c r="C56" s="122" t="s">
        <v>198</v>
      </c>
      <c r="D56" s="120"/>
      <c r="E56" s="119" t="s">
        <v>73</v>
      </c>
      <c r="F56" s="118">
        <v>1</v>
      </c>
      <c r="G56" s="125">
        <v>314.5</v>
      </c>
    </row>
    <row r="57" spans="1:7" x14ac:dyDescent="0.25">
      <c r="A57" s="117" t="s">
        <v>199</v>
      </c>
      <c r="B57" s="117"/>
      <c r="C57" s="122" t="s">
        <v>106</v>
      </c>
      <c r="D57" s="120"/>
      <c r="E57" s="119" t="s">
        <v>75</v>
      </c>
      <c r="F57" s="118">
        <v>0.3</v>
      </c>
      <c r="G57" s="125">
        <v>94.35</v>
      </c>
    </row>
    <row r="58" spans="1:7" ht="26.4" x14ac:dyDescent="0.25">
      <c r="A58" s="117" t="s">
        <v>200</v>
      </c>
      <c r="B58" s="117"/>
      <c r="C58" s="121" t="s">
        <v>201</v>
      </c>
      <c r="D58" s="120"/>
      <c r="E58" s="119" t="s">
        <v>55</v>
      </c>
      <c r="F58" s="118">
        <v>1.8</v>
      </c>
      <c r="G58" s="118">
        <v>566.1</v>
      </c>
    </row>
    <row r="59" spans="1:7" ht="26.4" x14ac:dyDescent="0.25">
      <c r="A59" s="117" t="s">
        <v>202</v>
      </c>
      <c r="B59" s="117" t="s">
        <v>178</v>
      </c>
      <c r="C59" s="124" t="s">
        <v>104</v>
      </c>
      <c r="D59" s="120" t="s">
        <v>203</v>
      </c>
      <c r="E59" s="120" t="s">
        <v>70</v>
      </c>
      <c r="F59" s="123">
        <v>1</v>
      </c>
      <c r="G59" s="123">
        <v>314.5</v>
      </c>
    </row>
    <row r="60" spans="1:7" x14ac:dyDescent="0.25">
      <c r="A60" s="117" t="s">
        <v>204</v>
      </c>
      <c r="B60" s="117"/>
      <c r="C60" s="122" t="s">
        <v>187</v>
      </c>
      <c r="D60" s="120"/>
      <c r="E60" s="119" t="s">
        <v>55</v>
      </c>
      <c r="F60" s="118">
        <v>1</v>
      </c>
      <c r="G60" s="118">
        <v>314.5</v>
      </c>
    </row>
    <row r="61" spans="1:7" x14ac:dyDescent="0.25">
      <c r="A61" s="117" t="s">
        <v>205</v>
      </c>
      <c r="B61" s="117"/>
      <c r="C61" s="122" t="s">
        <v>106</v>
      </c>
      <c r="D61" s="120"/>
      <c r="E61" s="119" t="s">
        <v>75</v>
      </c>
      <c r="F61" s="118">
        <v>0.3</v>
      </c>
      <c r="G61" s="125">
        <v>94.35</v>
      </c>
    </row>
    <row r="62" spans="1:7" x14ac:dyDescent="0.25">
      <c r="A62" s="117" t="s">
        <v>206</v>
      </c>
      <c r="B62" s="117"/>
      <c r="C62" s="122" t="s">
        <v>198</v>
      </c>
      <c r="D62" s="120"/>
      <c r="E62" s="119" t="s">
        <v>73</v>
      </c>
      <c r="F62" s="118">
        <v>1</v>
      </c>
      <c r="G62" s="125">
        <v>314.5</v>
      </c>
    </row>
    <row r="63" spans="1:7" x14ac:dyDescent="0.25">
      <c r="A63" s="117" t="s">
        <v>207</v>
      </c>
      <c r="B63" s="117"/>
      <c r="C63" s="122" t="s">
        <v>57</v>
      </c>
      <c r="D63" s="120"/>
      <c r="E63" s="119" t="s">
        <v>55</v>
      </c>
      <c r="F63" s="118">
        <v>0.15</v>
      </c>
      <c r="G63" s="118">
        <v>47.174999999999997</v>
      </c>
    </row>
    <row r="64" spans="1:7" ht="26.4" x14ac:dyDescent="0.25">
      <c r="A64" s="117" t="s">
        <v>208</v>
      </c>
      <c r="B64" s="117" t="s">
        <v>178</v>
      </c>
      <c r="C64" s="124" t="s">
        <v>104</v>
      </c>
      <c r="D64" s="120" t="s">
        <v>203</v>
      </c>
      <c r="E64" s="120" t="s">
        <v>70</v>
      </c>
      <c r="F64" s="123">
        <v>1</v>
      </c>
      <c r="G64" s="123">
        <v>314.5</v>
      </c>
    </row>
    <row r="65" spans="1:7" x14ac:dyDescent="0.25">
      <c r="A65" s="117" t="s">
        <v>209</v>
      </c>
      <c r="B65" s="117"/>
      <c r="C65" s="122" t="s">
        <v>57</v>
      </c>
      <c r="D65" s="120"/>
      <c r="E65" s="119" t="s">
        <v>55</v>
      </c>
      <c r="F65" s="118">
        <v>0.15</v>
      </c>
      <c r="G65" s="118">
        <v>47.174999999999997</v>
      </c>
    </row>
    <row r="66" spans="1:7" x14ac:dyDescent="0.25">
      <c r="A66" s="117" t="s">
        <v>210</v>
      </c>
      <c r="B66" s="117"/>
      <c r="C66" s="122" t="s">
        <v>106</v>
      </c>
      <c r="D66" s="120"/>
      <c r="E66" s="119" t="s">
        <v>75</v>
      </c>
      <c r="F66" s="118">
        <v>0.3</v>
      </c>
      <c r="G66" s="125">
        <v>94.35</v>
      </c>
    </row>
    <row r="67" spans="1:7" x14ac:dyDescent="0.25">
      <c r="A67" s="117" t="s">
        <v>211</v>
      </c>
      <c r="B67" s="117"/>
      <c r="C67" s="122" t="s">
        <v>190</v>
      </c>
      <c r="D67" s="120"/>
      <c r="E67" s="119" t="s">
        <v>55</v>
      </c>
      <c r="F67" s="118">
        <v>1.8</v>
      </c>
      <c r="G67" s="118">
        <v>566.1</v>
      </c>
    </row>
    <row r="68" spans="1:7" ht="26.4" x14ac:dyDescent="0.25">
      <c r="A68" s="117" t="s">
        <v>212</v>
      </c>
      <c r="B68" s="117" t="s">
        <v>178</v>
      </c>
      <c r="C68" s="124" t="s">
        <v>104</v>
      </c>
      <c r="D68" s="120" t="s">
        <v>213</v>
      </c>
      <c r="E68" s="120" t="s">
        <v>70</v>
      </c>
      <c r="F68" s="123">
        <v>1</v>
      </c>
      <c r="G68" s="123">
        <v>219.9</v>
      </c>
    </row>
    <row r="69" spans="1:7" x14ac:dyDescent="0.25">
      <c r="A69" s="117" t="s">
        <v>214</v>
      </c>
      <c r="B69" s="117"/>
      <c r="C69" s="122" t="s">
        <v>105</v>
      </c>
      <c r="D69" s="120"/>
      <c r="E69" s="119" t="s">
        <v>55</v>
      </c>
      <c r="F69" s="118">
        <v>2</v>
      </c>
      <c r="G69" s="118">
        <v>439.8</v>
      </c>
    </row>
    <row r="70" spans="1:7" x14ac:dyDescent="0.25">
      <c r="A70" s="117" t="s">
        <v>215</v>
      </c>
      <c r="B70" s="117"/>
      <c r="C70" s="122" t="s">
        <v>106</v>
      </c>
      <c r="D70" s="120"/>
      <c r="E70" s="119" t="s">
        <v>75</v>
      </c>
      <c r="F70" s="118">
        <v>0.3</v>
      </c>
      <c r="G70" s="125">
        <v>65.97</v>
      </c>
    </row>
    <row r="71" spans="1:7" x14ac:dyDescent="0.25">
      <c r="A71" s="117" t="s">
        <v>216</v>
      </c>
      <c r="B71" s="117"/>
      <c r="C71" s="122" t="s">
        <v>198</v>
      </c>
      <c r="D71" s="120"/>
      <c r="E71" s="119" t="s">
        <v>73</v>
      </c>
      <c r="F71" s="118">
        <v>1</v>
      </c>
      <c r="G71" s="125">
        <v>219.9</v>
      </c>
    </row>
    <row r="72" spans="1:7" x14ac:dyDescent="0.25">
      <c r="A72" s="117" t="s">
        <v>217</v>
      </c>
      <c r="B72" s="117"/>
      <c r="C72" s="122" t="s">
        <v>57</v>
      </c>
      <c r="D72" s="120"/>
      <c r="E72" s="119" t="s">
        <v>55</v>
      </c>
      <c r="F72" s="118">
        <v>0.15</v>
      </c>
      <c r="G72" s="118">
        <v>32.984999999999999</v>
      </c>
    </row>
    <row r="73" spans="1:7" ht="26.4" x14ac:dyDescent="0.25">
      <c r="A73" s="117" t="s">
        <v>218</v>
      </c>
      <c r="B73" s="117" t="s">
        <v>178</v>
      </c>
      <c r="C73" s="124" t="s">
        <v>104</v>
      </c>
      <c r="D73" s="120" t="s">
        <v>213</v>
      </c>
      <c r="E73" s="120" t="s">
        <v>70</v>
      </c>
      <c r="F73" s="123">
        <v>1</v>
      </c>
      <c r="G73" s="123">
        <v>219.9</v>
      </c>
    </row>
    <row r="74" spans="1:7" x14ac:dyDescent="0.25">
      <c r="A74" s="117" t="s">
        <v>219</v>
      </c>
      <c r="B74" s="117"/>
      <c r="C74" s="122" t="s">
        <v>57</v>
      </c>
      <c r="D74" s="120"/>
      <c r="E74" s="119" t="s">
        <v>55</v>
      </c>
      <c r="F74" s="118">
        <v>0.15</v>
      </c>
      <c r="G74" s="118">
        <v>32.984999999999999</v>
      </c>
    </row>
    <row r="75" spans="1:7" x14ac:dyDescent="0.25">
      <c r="A75" s="117" t="s">
        <v>220</v>
      </c>
      <c r="B75" s="117"/>
      <c r="C75" s="122" t="s">
        <v>198</v>
      </c>
      <c r="D75" s="120"/>
      <c r="E75" s="119" t="s">
        <v>73</v>
      </c>
      <c r="F75" s="118">
        <v>1</v>
      </c>
      <c r="G75" s="125">
        <v>219.9</v>
      </c>
    </row>
    <row r="76" spans="1:7" x14ac:dyDescent="0.25">
      <c r="A76" s="117" t="s">
        <v>221</v>
      </c>
      <c r="B76" s="117"/>
      <c r="C76" s="122" t="s">
        <v>106</v>
      </c>
      <c r="D76" s="120"/>
      <c r="E76" s="119" t="s">
        <v>75</v>
      </c>
      <c r="F76" s="118">
        <v>0.3</v>
      </c>
      <c r="G76" s="125">
        <v>65.97</v>
      </c>
    </row>
    <row r="77" spans="1:7" x14ac:dyDescent="0.25">
      <c r="A77" s="117" t="s">
        <v>222</v>
      </c>
      <c r="B77" s="117"/>
      <c r="C77" s="122" t="s">
        <v>187</v>
      </c>
      <c r="D77" s="120"/>
      <c r="E77" s="119" t="s">
        <v>55</v>
      </c>
      <c r="F77" s="118">
        <v>1</v>
      </c>
      <c r="G77" s="118">
        <v>219.9</v>
      </c>
    </row>
    <row r="78" spans="1:7" ht="26.4" x14ac:dyDescent="0.25">
      <c r="A78" s="117" t="s">
        <v>223</v>
      </c>
      <c r="B78" s="117" t="s">
        <v>178</v>
      </c>
      <c r="C78" s="124" t="s">
        <v>104</v>
      </c>
      <c r="D78" s="120" t="s">
        <v>213</v>
      </c>
      <c r="E78" s="120" t="s">
        <v>70</v>
      </c>
      <c r="F78" s="123">
        <v>1</v>
      </c>
      <c r="G78" s="123">
        <v>219.9</v>
      </c>
    </row>
    <row r="79" spans="1:7" x14ac:dyDescent="0.25">
      <c r="A79" s="117" t="s">
        <v>224</v>
      </c>
      <c r="B79" s="117"/>
      <c r="C79" s="122" t="s">
        <v>190</v>
      </c>
      <c r="D79" s="120"/>
      <c r="E79" s="119" t="s">
        <v>55</v>
      </c>
      <c r="F79" s="118">
        <v>1.8</v>
      </c>
      <c r="G79" s="118">
        <v>395.82</v>
      </c>
    </row>
    <row r="80" spans="1:7" x14ac:dyDescent="0.25">
      <c r="A80" s="117" t="s">
        <v>225</v>
      </c>
      <c r="B80" s="117"/>
      <c r="C80" s="122" t="s">
        <v>106</v>
      </c>
      <c r="D80" s="120"/>
      <c r="E80" s="119" t="s">
        <v>75</v>
      </c>
      <c r="F80" s="118">
        <v>0.3</v>
      </c>
      <c r="G80" s="125">
        <v>65.97</v>
      </c>
    </row>
    <row r="81" spans="1:9" x14ac:dyDescent="0.25">
      <c r="A81" s="117" t="s">
        <v>226</v>
      </c>
      <c r="B81" s="117"/>
      <c r="C81" s="122" t="s">
        <v>198</v>
      </c>
      <c r="D81" s="120"/>
      <c r="E81" s="119" t="s">
        <v>73</v>
      </c>
      <c r="F81" s="118">
        <v>1</v>
      </c>
      <c r="G81" s="125">
        <v>219.9</v>
      </c>
    </row>
    <row r="82" spans="1:9" x14ac:dyDescent="0.25">
      <c r="A82" s="117" t="s">
        <v>227</v>
      </c>
      <c r="B82" s="117"/>
      <c r="C82" s="122" t="s">
        <v>57</v>
      </c>
      <c r="D82" s="120"/>
      <c r="E82" s="119" t="s">
        <v>55</v>
      </c>
      <c r="F82" s="118">
        <v>0.15</v>
      </c>
      <c r="G82" s="118">
        <v>32.984999999999999</v>
      </c>
    </row>
    <row r="83" spans="1:9" x14ac:dyDescent="0.25">
      <c r="A83" s="117" t="s">
        <v>228</v>
      </c>
      <c r="B83" s="117" t="s">
        <v>229</v>
      </c>
      <c r="C83" s="209" t="s">
        <v>230</v>
      </c>
      <c r="D83" s="210"/>
      <c r="E83" s="210"/>
      <c r="F83" s="210"/>
      <c r="G83" s="211"/>
    </row>
    <row r="84" spans="1:9" ht="26.4" x14ac:dyDescent="0.25">
      <c r="A84" s="117" t="s">
        <v>231</v>
      </c>
      <c r="B84" s="117" t="s">
        <v>232</v>
      </c>
      <c r="C84" s="124" t="s">
        <v>95</v>
      </c>
      <c r="D84" s="127" t="s">
        <v>233</v>
      </c>
      <c r="E84" s="120" t="s">
        <v>70</v>
      </c>
      <c r="F84" s="123">
        <v>1</v>
      </c>
      <c r="G84" s="128">
        <v>754.1</v>
      </c>
      <c r="H84" s="14">
        <v>1066.22</v>
      </c>
      <c r="I84" s="14">
        <v>134.58000000000001</v>
      </c>
    </row>
    <row r="85" spans="1:9" x14ac:dyDescent="0.25">
      <c r="A85" s="117" t="s">
        <v>234</v>
      </c>
      <c r="B85" s="117"/>
      <c r="C85" s="122" t="s">
        <v>96</v>
      </c>
      <c r="D85" s="120"/>
      <c r="E85" s="119" t="s">
        <v>55</v>
      </c>
      <c r="F85" s="118">
        <v>0.15</v>
      </c>
      <c r="G85" s="118">
        <v>113.11499999999999</v>
      </c>
    </row>
    <row r="86" spans="1:9" ht="66" x14ac:dyDescent="0.25">
      <c r="A86" s="117" t="s">
        <v>235</v>
      </c>
      <c r="B86" s="117"/>
      <c r="C86" s="122" t="s">
        <v>97</v>
      </c>
      <c r="D86" s="120" t="s">
        <v>236</v>
      </c>
      <c r="E86" s="119" t="s">
        <v>55</v>
      </c>
      <c r="F86" s="118">
        <v>0.3</v>
      </c>
      <c r="G86" s="118">
        <v>226.23</v>
      </c>
    </row>
  </sheetData>
  <mergeCells count="4">
    <mergeCell ref="C9:G9"/>
    <mergeCell ref="C83:G83"/>
    <mergeCell ref="C3:G3"/>
    <mergeCell ref="A2:G2"/>
  </mergeCells>
  <pageMargins left="0.7" right="0.7" top="0.75" bottom="0.75" header="0.3" footer="0.3"/>
  <pageSetup paperSize="9" orientation="portrait" r:id="rId1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2:D18"/>
  <sheetViews>
    <sheetView workbookViewId="0">
      <selection activeCell="B14" sqref="B14:D18"/>
    </sheetView>
  </sheetViews>
  <sheetFormatPr defaultRowHeight="14.4" x14ac:dyDescent="0.3"/>
  <cols>
    <col min="1" max="1" width="12.33203125" customWidth="1"/>
    <col min="2" max="2" width="9.109375" style="1"/>
    <col min="3" max="3" width="56.5546875" customWidth="1"/>
    <col min="4" max="4" width="12.6640625" style="1" customWidth="1"/>
  </cols>
  <sheetData>
    <row r="2" spans="1:4" x14ac:dyDescent="0.3">
      <c r="B2" s="5"/>
      <c r="C2" s="7" t="s">
        <v>9</v>
      </c>
      <c r="D2" s="6"/>
    </row>
    <row r="3" spans="1:4" x14ac:dyDescent="0.3">
      <c r="B3" s="2" t="s">
        <v>6</v>
      </c>
      <c r="C3" s="3" t="s">
        <v>7</v>
      </c>
      <c r="D3" s="2" t="s">
        <v>8</v>
      </c>
    </row>
    <row r="4" spans="1:4" x14ac:dyDescent="0.3">
      <c r="B4" s="2">
        <v>1</v>
      </c>
      <c r="C4" s="3" t="s">
        <v>0</v>
      </c>
      <c r="D4" s="2"/>
    </row>
    <row r="5" spans="1:4" x14ac:dyDescent="0.3">
      <c r="B5" s="2">
        <v>2</v>
      </c>
      <c r="C5" s="3" t="s">
        <v>1</v>
      </c>
      <c r="D5" s="2"/>
    </row>
    <row r="6" spans="1:4" x14ac:dyDescent="0.3">
      <c r="B6" s="2">
        <v>3</v>
      </c>
      <c r="C6" s="3" t="s">
        <v>2</v>
      </c>
      <c r="D6" s="2"/>
    </row>
    <row r="7" spans="1:4" x14ac:dyDescent="0.3">
      <c r="B7" s="2">
        <v>4</v>
      </c>
      <c r="C7" s="3" t="s">
        <v>3</v>
      </c>
      <c r="D7" s="2"/>
    </row>
    <row r="8" spans="1:4" x14ac:dyDescent="0.3">
      <c r="B8" s="2">
        <v>5</v>
      </c>
      <c r="C8" s="3" t="s">
        <v>4</v>
      </c>
      <c r="D8" s="2"/>
    </row>
    <row r="9" spans="1:4" x14ac:dyDescent="0.3">
      <c r="B9" s="2">
        <v>6</v>
      </c>
      <c r="C9" s="3" t="s">
        <v>5</v>
      </c>
      <c r="D9" s="2"/>
    </row>
    <row r="10" spans="1:4" ht="15" customHeight="1" x14ac:dyDescent="0.3">
      <c r="B10" s="2">
        <v>7</v>
      </c>
      <c r="C10" s="8" t="s">
        <v>11</v>
      </c>
      <c r="D10" s="2"/>
    </row>
    <row r="12" spans="1:4" ht="57.6" x14ac:dyDescent="0.3">
      <c r="C12" s="4" t="s">
        <v>10</v>
      </c>
    </row>
    <row r="13" spans="1:4" x14ac:dyDescent="0.3">
      <c r="A13" t="s">
        <v>16</v>
      </c>
    </row>
    <row r="14" spans="1:4" x14ac:dyDescent="0.3">
      <c r="B14" s="5"/>
      <c r="C14" s="7" t="s">
        <v>9</v>
      </c>
      <c r="D14" s="6"/>
    </row>
    <row r="15" spans="1:4" x14ac:dyDescent="0.3">
      <c r="B15" s="2" t="s">
        <v>6</v>
      </c>
      <c r="C15" s="3" t="s">
        <v>7</v>
      </c>
      <c r="D15" s="2" t="s">
        <v>8</v>
      </c>
    </row>
    <row r="16" spans="1:4" x14ac:dyDescent="0.3">
      <c r="B16" s="2">
        <v>1</v>
      </c>
      <c r="C16" s="3" t="s">
        <v>13</v>
      </c>
      <c r="D16" s="2"/>
    </row>
    <row r="17" spans="2:4" x14ac:dyDescent="0.3">
      <c r="B17" s="2">
        <v>2</v>
      </c>
      <c r="C17" s="3" t="s">
        <v>14</v>
      </c>
      <c r="D17" s="2"/>
    </row>
    <row r="18" spans="2:4" x14ac:dyDescent="0.3">
      <c r="B18" s="2">
        <v>3</v>
      </c>
      <c r="C18" s="3" t="s">
        <v>15</v>
      </c>
      <c r="D18" s="2"/>
    </row>
  </sheetData>
  <pageMargins left="0.7" right="0.7" top="0.75" bottom="0.75" header="0.3" footer="0.3"/>
  <pageSetup paperSize="9" orientation="portrait" r:id="rId1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4:F92"/>
  <sheetViews>
    <sheetView topLeftCell="A18" zoomScale="115" zoomScaleNormal="115" workbookViewId="0">
      <selection activeCell="E67" sqref="E67"/>
    </sheetView>
  </sheetViews>
  <sheetFormatPr defaultColWidth="9.109375" defaultRowHeight="13.2" x14ac:dyDescent="0.25"/>
  <cols>
    <col min="1" max="1" width="13.6640625" style="9" customWidth="1"/>
    <col min="2" max="2" width="9.109375" style="22"/>
    <col min="3" max="3" width="59.5546875" style="22" customWidth="1"/>
    <col min="4" max="4" width="12.6640625" style="13" customWidth="1"/>
    <col min="5" max="5" width="10.6640625" style="13" customWidth="1"/>
    <col min="6" max="6" width="9.109375" style="56"/>
    <col min="7" max="16384" width="9.109375" style="14"/>
  </cols>
  <sheetData>
    <row r="4" spans="1:5" x14ac:dyDescent="0.25">
      <c r="A4" s="9" t="s">
        <v>12</v>
      </c>
      <c r="B4" s="10"/>
      <c r="C4" s="11" t="s">
        <v>9</v>
      </c>
      <c r="D4" s="12"/>
    </row>
    <row r="5" spans="1:5" x14ac:dyDescent="0.25">
      <c r="B5" s="15" t="s">
        <v>6</v>
      </c>
      <c r="C5" s="16" t="s">
        <v>7</v>
      </c>
      <c r="D5" s="17" t="s">
        <v>29</v>
      </c>
    </row>
    <row r="6" spans="1:5" x14ac:dyDescent="0.25">
      <c r="B6" s="15">
        <v>1</v>
      </c>
      <c r="C6" s="16" t="s">
        <v>1</v>
      </c>
      <c r="D6" s="17">
        <v>2943.23</v>
      </c>
    </row>
    <row r="7" spans="1:5" x14ac:dyDescent="0.25">
      <c r="B7" s="15">
        <v>2</v>
      </c>
      <c r="C7" s="16" t="s">
        <v>4</v>
      </c>
      <c r="D7" s="17">
        <f>D6</f>
        <v>2943.23</v>
      </c>
    </row>
    <row r="8" spans="1:5" x14ac:dyDescent="0.25">
      <c r="B8" s="15">
        <v>3</v>
      </c>
      <c r="C8" s="18" t="s">
        <v>11</v>
      </c>
      <c r="D8" s="17" t="s">
        <v>45</v>
      </c>
    </row>
    <row r="9" spans="1:5" x14ac:dyDescent="0.25">
      <c r="B9" s="19"/>
      <c r="C9" s="20"/>
      <c r="D9" s="21"/>
    </row>
    <row r="10" spans="1:5" x14ac:dyDescent="0.25">
      <c r="A10" s="9" t="s">
        <v>17</v>
      </c>
    </row>
    <row r="11" spans="1:5" x14ac:dyDescent="0.25">
      <c r="B11" s="10"/>
      <c r="C11" s="11" t="s">
        <v>9</v>
      </c>
      <c r="D11" s="12"/>
    </row>
    <row r="12" spans="1:5" x14ac:dyDescent="0.25">
      <c r="B12" s="15" t="s">
        <v>6</v>
      </c>
      <c r="C12" s="16" t="s">
        <v>7</v>
      </c>
      <c r="D12" s="17" t="s">
        <v>29</v>
      </c>
    </row>
    <row r="13" spans="1:5" x14ac:dyDescent="0.25">
      <c r="B13" s="15">
        <v>1</v>
      </c>
      <c r="C13" s="16" t="s">
        <v>13</v>
      </c>
      <c r="D13" s="17">
        <v>178.11</v>
      </c>
    </row>
    <row r="14" spans="1:5" x14ac:dyDescent="0.25">
      <c r="B14" s="15">
        <v>2</v>
      </c>
      <c r="C14" s="16" t="s">
        <v>14</v>
      </c>
      <c r="D14" s="17">
        <v>0</v>
      </c>
    </row>
    <row r="15" spans="1:5" x14ac:dyDescent="0.25">
      <c r="B15" s="15">
        <v>3</v>
      </c>
      <c r="C15" s="16" t="s">
        <v>37</v>
      </c>
      <c r="D15" s="17">
        <v>178.11</v>
      </c>
      <c r="E15" s="34"/>
    </row>
    <row r="16" spans="1:5" x14ac:dyDescent="0.25">
      <c r="B16" s="15">
        <v>4</v>
      </c>
      <c r="C16" s="16" t="s">
        <v>36</v>
      </c>
      <c r="D16" s="17">
        <v>0</v>
      </c>
      <c r="E16" s="34"/>
    </row>
    <row r="17" spans="1:5" x14ac:dyDescent="0.25">
      <c r="B17" s="15">
        <v>5</v>
      </c>
      <c r="C17" s="16" t="s">
        <v>35</v>
      </c>
      <c r="D17" s="17" t="s">
        <v>28</v>
      </c>
    </row>
    <row r="18" spans="1:5" x14ac:dyDescent="0.25">
      <c r="B18" s="15">
        <v>6</v>
      </c>
      <c r="C18" s="23" t="s">
        <v>30</v>
      </c>
      <c r="D18" s="17">
        <f>D13</f>
        <v>178.11</v>
      </c>
    </row>
    <row r="20" spans="1:5" x14ac:dyDescent="0.25">
      <c r="A20" s="9" t="s">
        <v>18</v>
      </c>
    </row>
    <row r="21" spans="1:5" x14ac:dyDescent="0.25">
      <c r="B21" s="10"/>
      <c r="C21" s="11" t="s">
        <v>9</v>
      </c>
      <c r="D21" s="12"/>
    </row>
    <row r="22" spans="1:5" x14ac:dyDescent="0.25">
      <c r="B22" s="15" t="s">
        <v>6</v>
      </c>
      <c r="C22" s="16" t="s">
        <v>7</v>
      </c>
      <c r="D22" s="17" t="s">
        <v>29</v>
      </c>
    </row>
    <row r="23" spans="1:5" x14ac:dyDescent="0.25">
      <c r="B23" s="15">
        <v>1</v>
      </c>
      <c r="C23" s="16" t="s">
        <v>13</v>
      </c>
      <c r="D23" s="17">
        <v>340.88</v>
      </c>
    </row>
    <row r="24" spans="1:5" x14ac:dyDescent="0.25">
      <c r="B24" s="15">
        <v>2</v>
      </c>
      <c r="C24" s="16" t="s">
        <v>14</v>
      </c>
      <c r="D24" s="17">
        <v>0</v>
      </c>
    </row>
    <row r="25" spans="1:5" x14ac:dyDescent="0.25">
      <c r="B25" s="15">
        <v>3</v>
      </c>
      <c r="C25" s="16" t="s">
        <v>37</v>
      </c>
      <c r="D25" s="17">
        <v>340.88</v>
      </c>
      <c r="E25" s="34"/>
    </row>
    <row r="26" spans="1:5" x14ac:dyDescent="0.25">
      <c r="B26" s="15">
        <v>4</v>
      </c>
      <c r="C26" s="16" t="s">
        <v>36</v>
      </c>
      <c r="D26" s="17">
        <v>0</v>
      </c>
      <c r="E26" s="34"/>
    </row>
    <row r="27" spans="1:5" x14ac:dyDescent="0.25">
      <c r="B27" s="15">
        <v>5</v>
      </c>
      <c r="C27" s="16" t="s">
        <v>35</v>
      </c>
      <c r="D27" s="17" t="s">
        <v>27</v>
      </c>
    </row>
    <row r="28" spans="1:5" x14ac:dyDescent="0.25">
      <c r="B28" s="15">
        <v>6</v>
      </c>
      <c r="C28" s="23" t="str">
        <f>C18</f>
        <v xml:space="preserve">Окраска поверхности стен с предварительной огрунтовкой в 2 слоя </v>
      </c>
      <c r="D28" s="17">
        <f>D23</f>
        <v>340.88</v>
      </c>
    </row>
    <row r="30" spans="1:5" x14ac:dyDescent="0.25">
      <c r="A30" s="9" t="s">
        <v>19</v>
      </c>
    </row>
    <row r="31" spans="1:5" x14ac:dyDescent="0.25">
      <c r="B31" s="10"/>
      <c r="C31" s="11" t="s">
        <v>9</v>
      </c>
      <c r="D31" s="12"/>
    </row>
    <row r="32" spans="1:5" x14ac:dyDescent="0.25">
      <c r="B32" s="15" t="s">
        <v>6</v>
      </c>
      <c r="C32" s="16" t="s">
        <v>7</v>
      </c>
      <c r="D32" s="17" t="s">
        <v>29</v>
      </c>
    </row>
    <row r="33" spans="1:5" x14ac:dyDescent="0.25">
      <c r="B33" s="15">
        <v>1</v>
      </c>
      <c r="C33" s="16" t="s">
        <v>13</v>
      </c>
      <c r="D33" s="17">
        <v>192.99</v>
      </c>
    </row>
    <row r="34" spans="1:5" x14ac:dyDescent="0.25">
      <c r="B34" s="15">
        <v>2</v>
      </c>
      <c r="C34" s="16" t="s">
        <v>14</v>
      </c>
      <c r="D34" s="17">
        <v>0</v>
      </c>
    </row>
    <row r="35" spans="1:5" x14ac:dyDescent="0.25">
      <c r="B35" s="15">
        <v>3</v>
      </c>
      <c r="C35" s="16" t="s">
        <v>37</v>
      </c>
      <c r="D35" s="17">
        <v>192.99</v>
      </c>
      <c r="E35" s="34"/>
    </row>
    <row r="36" spans="1:5" x14ac:dyDescent="0.25">
      <c r="B36" s="15">
        <v>4</v>
      </c>
      <c r="C36" s="16" t="s">
        <v>36</v>
      </c>
      <c r="D36" s="17">
        <v>0</v>
      </c>
      <c r="E36" s="34"/>
    </row>
    <row r="37" spans="1:5" x14ac:dyDescent="0.25">
      <c r="B37" s="15">
        <v>5</v>
      </c>
      <c r="C37" s="16" t="s">
        <v>35</v>
      </c>
      <c r="D37" s="17" t="s">
        <v>26</v>
      </c>
    </row>
    <row r="38" spans="1:5" x14ac:dyDescent="0.25">
      <c r="B38" s="15">
        <v>6</v>
      </c>
      <c r="C38" s="23" t="str">
        <f>C28</f>
        <v xml:space="preserve">Окраска поверхности стен с предварительной огрунтовкой в 2 слоя </v>
      </c>
      <c r="D38" s="17">
        <f>D33</f>
        <v>192.99</v>
      </c>
    </row>
    <row r="39" spans="1:5" x14ac:dyDescent="0.25">
      <c r="B39" s="19"/>
      <c r="C39" s="24"/>
      <c r="D39" s="21"/>
    </row>
    <row r="41" spans="1:5" x14ac:dyDescent="0.25">
      <c r="A41" s="9" t="s">
        <v>20</v>
      </c>
    </row>
    <row r="42" spans="1:5" x14ac:dyDescent="0.25">
      <c r="B42" s="10"/>
      <c r="C42" s="11" t="s">
        <v>9</v>
      </c>
      <c r="D42" s="12"/>
    </row>
    <row r="43" spans="1:5" x14ac:dyDescent="0.25">
      <c r="B43" s="15" t="s">
        <v>6</v>
      </c>
      <c r="C43" s="16" t="s">
        <v>7</v>
      </c>
      <c r="D43" s="17" t="s">
        <v>8</v>
      </c>
    </row>
    <row r="44" spans="1:5" x14ac:dyDescent="0.25">
      <c r="B44" s="15">
        <v>1</v>
      </c>
      <c r="C44" s="16" t="s">
        <v>13</v>
      </c>
      <c r="D44" s="17">
        <v>246.3</v>
      </c>
    </row>
    <row r="45" spans="1:5" x14ac:dyDescent="0.25">
      <c r="B45" s="15">
        <v>2</v>
      </c>
      <c r="C45" s="16" t="s">
        <v>14</v>
      </c>
      <c r="D45" s="17">
        <v>0</v>
      </c>
    </row>
    <row r="46" spans="1:5" x14ac:dyDescent="0.25">
      <c r="B46" s="15">
        <v>3</v>
      </c>
      <c r="C46" s="16" t="s">
        <v>37</v>
      </c>
      <c r="D46" s="17">
        <v>246.3</v>
      </c>
      <c r="E46" s="34"/>
    </row>
    <row r="47" spans="1:5" x14ac:dyDescent="0.25">
      <c r="B47" s="15">
        <v>4</v>
      </c>
      <c r="C47" s="16" t="s">
        <v>36</v>
      </c>
      <c r="D47" s="17">
        <v>0</v>
      </c>
      <c r="E47" s="34"/>
    </row>
    <row r="48" spans="1:5" x14ac:dyDescent="0.25">
      <c r="B48" s="15">
        <v>5</v>
      </c>
      <c r="C48" s="16" t="s">
        <v>35</v>
      </c>
      <c r="D48" s="17" t="s">
        <v>25</v>
      </c>
    </row>
    <row r="49" spans="1:6" x14ac:dyDescent="0.25">
      <c r="B49" s="15">
        <v>6</v>
      </c>
      <c r="C49" s="23" t="str">
        <f>C38</f>
        <v xml:space="preserve">Окраска поверхности стен с предварительной огрунтовкой в 2 слоя </v>
      </c>
      <c r="D49" s="17">
        <f>D44</f>
        <v>246.3</v>
      </c>
    </row>
    <row r="51" spans="1:6" x14ac:dyDescent="0.25">
      <c r="A51" s="9" t="s">
        <v>21</v>
      </c>
    </row>
    <row r="52" spans="1:6" x14ac:dyDescent="0.25">
      <c r="B52" s="10"/>
      <c r="C52" s="11" t="s">
        <v>9</v>
      </c>
      <c r="D52" s="12"/>
    </row>
    <row r="53" spans="1:6" x14ac:dyDescent="0.25">
      <c r="B53" s="15" t="s">
        <v>6</v>
      </c>
      <c r="C53" s="16" t="s">
        <v>7</v>
      </c>
      <c r="D53" s="17" t="s">
        <v>29</v>
      </c>
    </row>
    <row r="54" spans="1:6" x14ac:dyDescent="0.25">
      <c r="B54" s="15">
        <v>1</v>
      </c>
      <c r="C54" s="16" t="s">
        <v>13</v>
      </c>
      <c r="D54" s="17">
        <v>105.63</v>
      </c>
    </row>
    <row r="55" spans="1:6" x14ac:dyDescent="0.25">
      <c r="B55" s="15">
        <v>2</v>
      </c>
      <c r="C55" s="16" t="s">
        <v>14</v>
      </c>
      <c r="D55" s="17">
        <v>4.1500000000000004</v>
      </c>
    </row>
    <row r="56" spans="1:6" x14ac:dyDescent="0.25">
      <c r="B56" s="15">
        <v>3</v>
      </c>
      <c r="C56" s="16" t="s">
        <v>37</v>
      </c>
      <c r="D56" s="17">
        <v>105.63</v>
      </c>
      <c r="E56" s="34"/>
    </row>
    <row r="57" spans="1:6" x14ac:dyDescent="0.25">
      <c r="B57" s="15">
        <v>4</v>
      </c>
      <c r="C57" s="16" t="s">
        <v>36</v>
      </c>
      <c r="D57" s="17">
        <v>4.1500000000000004</v>
      </c>
      <c r="E57" s="34"/>
    </row>
    <row r="58" spans="1:6" x14ac:dyDescent="0.25">
      <c r="B58" s="15">
        <v>5</v>
      </c>
      <c r="C58" s="16" t="s">
        <v>35</v>
      </c>
      <c r="D58" s="17" t="s">
        <v>24</v>
      </c>
    </row>
    <row r="59" spans="1:6" s="28" customFormat="1" x14ac:dyDescent="0.25">
      <c r="A59" s="25"/>
      <c r="B59" s="15">
        <v>6</v>
      </c>
      <c r="C59" s="23" t="str">
        <f>C49</f>
        <v xml:space="preserve">Окраска поверхности стен с предварительной огрунтовкой в 2 слоя </v>
      </c>
      <c r="D59" s="26">
        <f>D54+D55</f>
        <v>109.78</v>
      </c>
      <c r="E59" s="27"/>
      <c r="F59" s="57"/>
    </row>
    <row r="61" spans="1:6" x14ac:dyDescent="0.25">
      <c r="A61" s="9" t="s">
        <v>22</v>
      </c>
    </row>
    <row r="62" spans="1:6" x14ac:dyDescent="0.25">
      <c r="B62" s="10"/>
      <c r="C62" s="29" t="s">
        <v>9</v>
      </c>
      <c r="D62" s="30"/>
      <c r="E62" s="31"/>
    </row>
    <row r="63" spans="1:6" x14ac:dyDescent="0.25">
      <c r="B63" s="15" t="s">
        <v>6</v>
      </c>
      <c r="C63" s="16" t="s">
        <v>7</v>
      </c>
      <c r="D63" s="17" t="s">
        <v>29</v>
      </c>
      <c r="E63" s="32" t="s">
        <v>31</v>
      </c>
    </row>
    <row r="64" spans="1:6" x14ac:dyDescent="0.25">
      <c r="B64" s="15">
        <v>1</v>
      </c>
      <c r="C64" s="16" t="s">
        <v>13</v>
      </c>
      <c r="D64" s="17">
        <v>555.89</v>
      </c>
      <c r="E64" s="32"/>
      <c r="F64" s="56">
        <v>1063.9100000000001</v>
      </c>
    </row>
    <row r="65" spans="1:6" x14ac:dyDescent="0.25">
      <c r="B65" s="15">
        <v>2</v>
      </c>
      <c r="C65" s="16" t="s">
        <v>14</v>
      </c>
      <c r="D65" s="17">
        <v>520.01</v>
      </c>
      <c r="E65" s="32"/>
      <c r="F65" s="56">
        <v>4.1500000000000004</v>
      </c>
    </row>
    <row r="66" spans="1:6" x14ac:dyDescent="0.25">
      <c r="B66" s="15">
        <v>3</v>
      </c>
      <c r="C66" s="16" t="s">
        <v>37</v>
      </c>
      <c r="D66" s="17">
        <f>D64</f>
        <v>555.89</v>
      </c>
      <c r="E66" s="32"/>
      <c r="F66" s="56">
        <v>1063.9100000000001</v>
      </c>
    </row>
    <row r="67" spans="1:6" x14ac:dyDescent="0.25">
      <c r="B67" s="15">
        <v>4</v>
      </c>
      <c r="C67" s="16" t="s">
        <v>36</v>
      </c>
      <c r="D67" s="17">
        <f>D65</f>
        <v>520.01</v>
      </c>
      <c r="E67" s="32"/>
      <c r="F67" s="56">
        <v>4.1500000000000004</v>
      </c>
    </row>
    <row r="68" spans="1:6" x14ac:dyDescent="0.25">
      <c r="B68" s="15">
        <v>5</v>
      </c>
      <c r="C68" s="16" t="s">
        <v>35</v>
      </c>
      <c r="D68" s="17" t="s">
        <v>23</v>
      </c>
      <c r="E68" s="32"/>
      <c r="F68" s="56" t="s">
        <v>23</v>
      </c>
    </row>
    <row r="69" spans="1:6" x14ac:dyDescent="0.25">
      <c r="B69" s="15">
        <v>6</v>
      </c>
      <c r="C69" s="23" t="s">
        <v>32</v>
      </c>
      <c r="D69" s="17">
        <v>1075.9000000000001</v>
      </c>
      <c r="E69" s="32"/>
      <c r="F69" s="56">
        <v>1068.0600000000002</v>
      </c>
    </row>
    <row r="70" spans="1:6" x14ac:dyDescent="0.25">
      <c r="B70" s="33">
        <v>6.1</v>
      </c>
      <c r="C70" s="16" t="s">
        <v>33</v>
      </c>
      <c r="D70" s="32"/>
      <c r="E70" s="32">
        <f>D69*0.15</f>
        <v>161.38500000000002</v>
      </c>
    </row>
    <row r="71" spans="1:6" x14ac:dyDescent="0.25">
      <c r="B71" s="33">
        <v>6.2</v>
      </c>
      <c r="C71" s="16" t="s">
        <v>34</v>
      </c>
      <c r="D71" s="32"/>
      <c r="E71" s="32">
        <f>D69*0.3</f>
        <v>322.77000000000004</v>
      </c>
    </row>
    <row r="74" spans="1:6" x14ac:dyDescent="0.25">
      <c r="B74" s="10"/>
      <c r="C74" s="11" t="s">
        <v>9</v>
      </c>
      <c r="D74" s="35"/>
      <c r="E74" s="36"/>
    </row>
    <row r="75" spans="1:6" x14ac:dyDescent="0.25">
      <c r="B75" s="15" t="s">
        <v>6</v>
      </c>
      <c r="C75" s="16" t="s">
        <v>7</v>
      </c>
      <c r="D75" s="17" t="s">
        <v>29</v>
      </c>
    </row>
    <row r="76" spans="1:6" x14ac:dyDescent="0.25">
      <c r="B76" s="15">
        <v>1</v>
      </c>
      <c r="C76" s="16" t="s">
        <v>38</v>
      </c>
      <c r="D76" s="17">
        <v>4.1500000000000004</v>
      </c>
    </row>
    <row r="80" spans="1:6" x14ac:dyDescent="0.25">
      <c r="A80" s="9" t="s">
        <v>39</v>
      </c>
      <c r="B80" s="10"/>
      <c r="C80" s="11" t="s">
        <v>9</v>
      </c>
      <c r="D80" s="12"/>
    </row>
    <row r="81" spans="1:6" x14ac:dyDescent="0.25">
      <c r="B81" s="15" t="s">
        <v>6</v>
      </c>
      <c r="C81" s="16" t="s">
        <v>7</v>
      </c>
      <c r="D81" s="17" t="s">
        <v>29</v>
      </c>
    </row>
    <row r="82" spans="1:6" x14ac:dyDescent="0.25">
      <c r="B82" s="15">
        <v>1</v>
      </c>
      <c r="C82" s="16" t="s">
        <v>0</v>
      </c>
      <c r="D82" s="17">
        <v>28.72</v>
      </c>
    </row>
    <row r="83" spans="1:6" x14ac:dyDescent="0.25">
      <c r="B83" s="15">
        <v>2</v>
      </c>
      <c r="C83" s="18" t="s">
        <v>11</v>
      </c>
      <c r="D83" s="17" t="s">
        <v>40</v>
      </c>
    </row>
    <row r="86" spans="1:6" x14ac:dyDescent="0.25">
      <c r="A86" s="9" t="s">
        <v>41</v>
      </c>
      <c r="B86" s="10"/>
      <c r="C86" s="11" t="s">
        <v>9</v>
      </c>
      <c r="D86" s="12"/>
      <c r="E86" s="32" t="s">
        <v>31</v>
      </c>
    </row>
    <row r="87" spans="1:6" x14ac:dyDescent="0.25">
      <c r="B87" s="15" t="s">
        <v>6</v>
      </c>
      <c r="C87" s="16" t="s">
        <v>7</v>
      </c>
      <c r="D87" s="17" t="s">
        <v>29</v>
      </c>
      <c r="E87" s="32"/>
    </row>
    <row r="88" spans="1:6" x14ac:dyDescent="0.25">
      <c r="B88" s="15">
        <v>1</v>
      </c>
      <c r="C88" s="16" t="s">
        <v>42</v>
      </c>
      <c r="D88" s="17">
        <v>37.68</v>
      </c>
      <c r="E88" s="32"/>
    </row>
    <row r="89" spans="1:6" x14ac:dyDescent="0.25">
      <c r="B89" s="15">
        <v>2</v>
      </c>
      <c r="C89" s="16" t="s">
        <v>43</v>
      </c>
      <c r="D89" s="17">
        <f>D88</f>
        <v>37.68</v>
      </c>
      <c r="E89" s="32"/>
    </row>
    <row r="90" spans="1:6" s="28" customFormat="1" ht="26.4" x14ac:dyDescent="0.25">
      <c r="A90" s="25"/>
      <c r="B90" s="15">
        <v>3</v>
      </c>
      <c r="C90" s="23" t="s">
        <v>44</v>
      </c>
      <c r="D90" s="26">
        <f>D88</f>
        <v>37.68</v>
      </c>
      <c r="E90" s="32"/>
      <c r="F90" s="57"/>
    </row>
    <row r="91" spans="1:6" x14ac:dyDescent="0.25">
      <c r="B91" s="33">
        <v>3.1</v>
      </c>
      <c r="C91" s="16" t="s">
        <v>33</v>
      </c>
      <c r="D91" s="32"/>
      <c r="E91" s="32">
        <f>D88*0.15</f>
        <v>5.6520000000000001</v>
      </c>
    </row>
    <row r="92" spans="1:6" x14ac:dyDescent="0.25">
      <c r="B92" s="33">
        <v>3.2</v>
      </c>
      <c r="C92" s="16" t="s">
        <v>34</v>
      </c>
      <c r="D92" s="32"/>
      <c r="E92" s="32">
        <f>D88*0.3</f>
        <v>11.304</v>
      </c>
    </row>
  </sheetData>
  <pageMargins left="0.7" right="0.7" top="0.75" bottom="0.75" header="0.3" footer="0.3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5:E33"/>
  <sheetViews>
    <sheetView workbookViewId="0">
      <selection activeCell="C16" sqref="C16"/>
    </sheetView>
  </sheetViews>
  <sheetFormatPr defaultColWidth="9.109375" defaultRowHeight="14.4" x14ac:dyDescent="0.3"/>
  <cols>
    <col min="1" max="1" width="13.6640625" style="37" customWidth="1"/>
    <col min="2" max="2" width="9.109375" style="55"/>
    <col min="3" max="3" width="59.5546875" style="37" customWidth="1"/>
    <col min="4" max="4" width="12.6640625" style="55" customWidth="1"/>
    <col min="5" max="5" width="10.6640625" style="37" customWidth="1"/>
    <col min="6" max="16384" width="9.109375" style="37"/>
  </cols>
  <sheetData>
    <row r="15" spans="1:5" x14ac:dyDescent="0.3">
      <c r="A15" s="38"/>
      <c r="B15" s="39"/>
      <c r="C15" s="40" t="s">
        <v>9</v>
      </c>
      <c r="D15" s="41"/>
      <c r="E15" s="42"/>
    </row>
    <row r="16" spans="1:5" x14ac:dyDescent="0.3">
      <c r="A16" s="38"/>
      <c r="B16" s="43" t="s">
        <v>6</v>
      </c>
      <c r="C16" s="44" t="s">
        <v>7</v>
      </c>
      <c r="D16" s="45" t="s">
        <v>29</v>
      </c>
      <c r="E16" s="46" t="s">
        <v>31</v>
      </c>
    </row>
    <row r="17" spans="1:5" x14ac:dyDescent="0.3">
      <c r="A17" s="38"/>
      <c r="B17" s="43">
        <v>1</v>
      </c>
      <c r="C17" s="44" t="s">
        <v>13</v>
      </c>
      <c r="D17" s="45">
        <v>1035.18</v>
      </c>
      <c r="E17" s="46"/>
    </row>
    <row r="18" spans="1:5" x14ac:dyDescent="0.3">
      <c r="A18" s="38"/>
      <c r="B18" s="43">
        <v>2</v>
      </c>
      <c r="C18" s="44" t="s">
        <v>14</v>
      </c>
      <c r="D18" s="45">
        <v>66.28</v>
      </c>
      <c r="E18" s="46"/>
    </row>
    <row r="19" spans="1:5" x14ac:dyDescent="0.3">
      <c r="A19" s="38"/>
      <c r="B19" s="43">
        <v>3</v>
      </c>
      <c r="C19" s="44" t="s">
        <v>37</v>
      </c>
      <c r="D19" s="45">
        <f>D17</f>
        <v>1035.18</v>
      </c>
      <c r="E19" s="46"/>
    </row>
    <row r="20" spans="1:5" x14ac:dyDescent="0.3">
      <c r="A20" s="38"/>
      <c r="B20" s="43">
        <v>4</v>
      </c>
      <c r="C20" s="44" t="s">
        <v>36</v>
      </c>
      <c r="D20" s="45">
        <f>D18</f>
        <v>66.28</v>
      </c>
      <c r="E20" s="46"/>
    </row>
    <row r="21" spans="1:5" x14ac:dyDescent="0.3">
      <c r="A21" s="38"/>
      <c r="B21" s="43">
        <v>5</v>
      </c>
      <c r="C21" s="44" t="s">
        <v>35</v>
      </c>
      <c r="D21" s="45" t="s">
        <v>47</v>
      </c>
      <c r="E21" s="46"/>
    </row>
    <row r="22" spans="1:5" x14ac:dyDescent="0.3">
      <c r="A22" s="38"/>
      <c r="B22" s="43">
        <v>6</v>
      </c>
      <c r="C22" s="47" t="s">
        <v>32</v>
      </c>
      <c r="D22" s="45">
        <f>1282+128</f>
        <v>1410</v>
      </c>
      <c r="E22" s="46"/>
    </row>
    <row r="23" spans="1:5" x14ac:dyDescent="0.3">
      <c r="A23" s="38"/>
      <c r="B23" s="48">
        <v>6.1</v>
      </c>
      <c r="C23" s="44" t="s">
        <v>33</v>
      </c>
      <c r="D23" s="45"/>
      <c r="E23" s="46">
        <f>D22*0.15</f>
        <v>211.5</v>
      </c>
    </row>
    <row r="24" spans="1:5" x14ac:dyDescent="0.3">
      <c r="A24" s="38"/>
      <c r="B24" s="48">
        <v>6.2</v>
      </c>
      <c r="C24" s="44" t="s">
        <v>34</v>
      </c>
      <c r="D24" s="45"/>
      <c r="E24" s="46">
        <f>D22*0.3</f>
        <v>423</v>
      </c>
    </row>
    <row r="26" spans="1:5" x14ac:dyDescent="0.3">
      <c r="A26" s="38" t="s">
        <v>39</v>
      </c>
      <c r="B26" s="39"/>
      <c r="C26" s="49" t="s">
        <v>9</v>
      </c>
      <c r="D26" s="50"/>
      <c r="E26" s="51"/>
    </row>
    <row r="27" spans="1:5" x14ac:dyDescent="0.3">
      <c r="A27" s="38"/>
      <c r="B27" s="43" t="s">
        <v>6</v>
      </c>
      <c r="C27" s="44" t="s">
        <v>7</v>
      </c>
      <c r="D27" s="45" t="s">
        <v>29</v>
      </c>
      <c r="E27" s="51"/>
    </row>
    <row r="28" spans="1:5" x14ac:dyDescent="0.3">
      <c r="A28" s="38"/>
      <c r="B28" s="43">
        <v>1</v>
      </c>
      <c r="C28" s="44" t="s">
        <v>0</v>
      </c>
      <c r="D28" s="45">
        <v>19.059999999999999</v>
      </c>
      <c r="E28" s="51"/>
    </row>
    <row r="29" spans="1:5" x14ac:dyDescent="0.3">
      <c r="A29" s="38"/>
      <c r="B29" s="43">
        <v>2</v>
      </c>
      <c r="C29" s="52" t="s">
        <v>11</v>
      </c>
      <c r="D29" s="45" t="s">
        <v>46</v>
      </c>
      <c r="E29" s="51"/>
    </row>
    <row r="31" spans="1:5" x14ac:dyDescent="0.3">
      <c r="B31" s="54"/>
      <c r="C31" s="53" t="s">
        <v>9</v>
      </c>
      <c r="D31" s="54"/>
    </row>
    <row r="32" spans="1:5" x14ac:dyDescent="0.3">
      <c r="B32" s="54" t="s">
        <v>6</v>
      </c>
      <c r="C32" s="53" t="s">
        <v>7</v>
      </c>
      <c r="D32" s="54" t="s">
        <v>29</v>
      </c>
    </row>
    <row r="33" spans="2:4" x14ac:dyDescent="0.3">
      <c r="B33" s="54">
        <v>1</v>
      </c>
      <c r="C33" s="53" t="s">
        <v>38</v>
      </c>
      <c r="D33" s="54">
        <v>25.85</v>
      </c>
    </row>
  </sheetData>
  <pageMargins left="0.7" right="0.7" top="0.75" bottom="0.75" header="0.3" footer="0.3"/>
  <pageSetup paperSize="9" orientation="portrait" horizontalDpi="300" verticalDpi="300" r:id="rId1"/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E21"/>
  <sheetViews>
    <sheetView workbookViewId="0">
      <selection activeCell="E2" sqref="A2:E2"/>
    </sheetView>
  </sheetViews>
  <sheetFormatPr defaultRowHeight="14.4" x14ac:dyDescent="0.3"/>
  <cols>
    <col min="2" max="2" width="51" customWidth="1"/>
    <col min="4" max="4" width="15.5546875" customWidth="1"/>
  </cols>
  <sheetData>
    <row r="1" spans="1:5" x14ac:dyDescent="0.3">
      <c r="A1" s="58"/>
      <c r="B1" s="59" t="s">
        <v>48</v>
      </c>
      <c r="C1" s="60"/>
      <c r="D1" s="60"/>
      <c r="E1" s="60"/>
    </row>
    <row r="2" spans="1:5" x14ac:dyDescent="0.3">
      <c r="A2" s="58" t="s">
        <v>6</v>
      </c>
      <c r="B2" s="61" t="s">
        <v>7</v>
      </c>
      <c r="C2" s="60" t="s">
        <v>49</v>
      </c>
      <c r="D2" s="60" t="s">
        <v>50</v>
      </c>
      <c r="E2" s="60" t="s">
        <v>51</v>
      </c>
    </row>
    <row r="3" spans="1:5" x14ac:dyDescent="0.3">
      <c r="A3" s="62">
        <v>1</v>
      </c>
      <c r="B3" s="23" t="s">
        <v>61</v>
      </c>
      <c r="C3" s="17" t="s">
        <v>52</v>
      </c>
      <c r="D3" s="63">
        <v>1</v>
      </c>
      <c r="E3" s="17">
        <v>2.5499999999999998</v>
      </c>
    </row>
    <row r="4" spans="1:5" x14ac:dyDescent="0.3">
      <c r="A4" s="214"/>
      <c r="B4" s="214"/>
      <c r="C4" s="214"/>
      <c r="D4" s="214"/>
      <c r="E4" s="214"/>
    </row>
    <row r="5" spans="1:5" x14ac:dyDescent="0.3">
      <c r="A5" s="58"/>
      <c r="B5" s="59" t="s">
        <v>53</v>
      </c>
      <c r="C5" s="60"/>
      <c r="D5" s="60"/>
      <c r="E5" s="60"/>
    </row>
    <row r="6" spans="1:5" x14ac:dyDescent="0.3">
      <c r="A6" s="58" t="s">
        <v>6</v>
      </c>
      <c r="B6" s="61" t="s">
        <v>7</v>
      </c>
      <c r="C6" s="60" t="s">
        <v>49</v>
      </c>
      <c r="D6" s="60" t="s">
        <v>50</v>
      </c>
      <c r="E6" s="60" t="s">
        <v>51</v>
      </c>
    </row>
    <row r="7" spans="1:5" ht="26.4" x14ac:dyDescent="0.3">
      <c r="A7" s="62">
        <v>1</v>
      </c>
      <c r="B7" s="23" t="s">
        <v>62</v>
      </c>
      <c r="C7" s="17" t="s">
        <v>52</v>
      </c>
      <c r="D7" s="63">
        <v>1</v>
      </c>
      <c r="E7" s="17">
        <v>23.61</v>
      </c>
    </row>
    <row r="8" spans="1:5" x14ac:dyDescent="0.3">
      <c r="A8" s="62">
        <v>1.1000000000000001</v>
      </c>
      <c r="B8" s="64" t="s">
        <v>54</v>
      </c>
      <c r="C8" s="17" t="s">
        <v>55</v>
      </c>
      <c r="D8" s="63">
        <v>1.8</v>
      </c>
      <c r="E8" s="17">
        <f>E7*D8</f>
        <v>42.497999999999998</v>
      </c>
    </row>
    <row r="9" spans="1:5" x14ac:dyDescent="0.3">
      <c r="A9" s="62" t="s">
        <v>56</v>
      </c>
      <c r="B9" s="64" t="s">
        <v>57</v>
      </c>
      <c r="C9" s="17" t="s">
        <v>55</v>
      </c>
      <c r="D9" s="63">
        <v>0.15</v>
      </c>
      <c r="E9" s="17">
        <f>E7*D9</f>
        <v>3.5414999999999996</v>
      </c>
    </row>
    <row r="10" spans="1:5" x14ac:dyDescent="0.3">
      <c r="A10" s="215"/>
      <c r="B10" s="215"/>
      <c r="C10" s="215"/>
      <c r="D10" s="215"/>
      <c r="E10" s="215"/>
    </row>
    <row r="11" spans="1:5" x14ac:dyDescent="0.3">
      <c r="A11" s="58"/>
      <c r="B11" s="59" t="s">
        <v>58</v>
      </c>
      <c r="C11" s="60"/>
      <c r="D11" s="60"/>
      <c r="E11" s="60"/>
    </row>
    <row r="12" spans="1:5" x14ac:dyDescent="0.3">
      <c r="A12" s="58" t="s">
        <v>6</v>
      </c>
      <c r="B12" s="61" t="s">
        <v>7</v>
      </c>
      <c r="C12" s="60" t="s">
        <v>49</v>
      </c>
      <c r="D12" s="60" t="s">
        <v>50</v>
      </c>
      <c r="E12" s="60" t="s">
        <v>51</v>
      </c>
    </row>
    <row r="13" spans="1:5" ht="26.4" x14ac:dyDescent="0.3">
      <c r="A13" s="62">
        <v>1</v>
      </c>
      <c r="B13" s="23" t="s">
        <v>62</v>
      </c>
      <c r="C13" s="17" t="s">
        <v>52</v>
      </c>
      <c r="D13" s="63">
        <v>1</v>
      </c>
      <c r="E13" s="17">
        <f>E7</f>
        <v>23.61</v>
      </c>
    </row>
    <row r="14" spans="1:5" x14ac:dyDescent="0.3">
      <c r="A14" s="62">
        <v>1.1000000000000001</v>
      </c>
      <c r="B14" s="64" t="s">
        <v>57</v>
      </c>
      <c r="C14" s="17" t="s">
        <v>55</v>
      </c>
      <c r="D14" s="63">
        <v>0.15</v>
      </c>
      <c r="E14" s="17">
        <f>E13*D14</f>
        <v>3.5414999999999996</v>
      </c>
    </row>
    <row r="15" spans="1:5" x14ac:dyDescent="0.3">
      <c r="A15" s="62" t="s">
        <v>56</v>
      </c>
      <c r="B15" s="65" t="s">
        <v>59</v>
      </c>
      <c r="C15" s="17" t="s">
        <v>55</v>
      </c>
      <c r="D15" s="63">
        <v>1.8</v>
      </c>
      <c r="E15" s="17">
        <f>E13*D15</f>
        <v>42.497999999999998</v>
      </c>
    </row>
    <row r="16" spans="1:5" x14ac:dyDescent="0.3">
      <c r="A16" s="214"/>
      <c r="B16" s="214"/>
      <c r="C16" s="214"/>
      <c r="D16" s="214"/>
      <c r="E16" s="214"/>
    </row>
    <row r="17" spans="1:5" x14ac:dyDescent="0.3">
      <c r="A17" s="58"/>
      <c r="B17" s="59" t="s">
        <v>60</v>
      </c>
      <c r="C17" s="60"/>
      <c r="D17" s="60"/>
      <c r="E17" s="60"/>
    </row>
    <row r="18" spans="1:5" x14ac:dyDescent="0.3">
      <c r="A18" s="58" t="s">
        <v>6</v>
      </c>
      <c r="B18" s="61" t="s">
        <v>7</v>
      </c>
      <c r="C18" s="60" t="s">
        <v>49</v>
      </c>
      <c r="D18" s="60" t="s">
        <v>50</v>
      </c>
      <c r="E18" s="60" t="s">
        <v>51</v>
      </c>
    </row>
    <row r="19" spans="1:5" ht="26.4" x14ac:dyDescent="0.3">
      <c r="A19" s="62">
        <v>1</v>
      </c>
      <c r="B19" s="23" t="s">
        <v>64</v>
      </c>
      <c r="C19" s="17" t="s">
        <v>52</v>
      </c>
      <c r="D19" s="63">
        <v>1</v>
      </c>
      <c r="E19" s="17">
        <f>E13</f>
        <v>23.61</v>
      </c>
    </row>
    <row r="20" spans="1:5" x14ac:dyDescent="0.3">
      <c r="A20" s="62">
        <v>1.1000000000000001</v>
      </c>
      <c r="B20" s="64" t="s">
        <v>57</v>
      </c>
      <c r="C20" s="17" t="s">
        <v>55</v>
      </c>
      <c r="D20" s="63">
        <v>0.15</v>
      </c>
      <c r="E20" s="17">
        <f>E19*D20</f>
        <v>3.5414999999999996</v>
      </c>
    </row>
    <row r="21" spans="1:5" x14ac:dyDescent="0.3">
      <c r="A21" s="62" t="s">
        <v>56</v>
      </c>
      <c r="B21" s="65" t="s">
        <v>63</v>
      </c>
      <c r="C21" s="17" t="s">
        <v>55</v>
      </c>
      <c r="D21" s="63">
        <v>0.3</v>
      </c>
      <c r="E21" s="17">
        <f>E19*D21</f>
        <v>7.0829999999999993</v>
      </c>
    </row>
  </sheetData>
  <mergeCells count="3">
    <mergeCell ref="A4:E4"/>
    <mergeCell ref="A10:E10"/>
    <mergeCell ref="A16:E16"/>
  </mergeCells>
  <pageMargins left="0.7" right="0.7" top="0.75" bottom="0.75" header="0.3" footer="0.3"/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G24"/>
  <sheetViews>
    <sheetView workbookViewId="0">
      <selection activeCell="B10" sqref="B10"/>
    </sheetView>
  </sheetViews>
  <sheetFormatPr defaultRowHeight="14.4" x14ac:dyDescent="0.3"/>
  <cols>
    <col min="2" max="2" width="51" customWidth="1"/>
    <col min="4" max="4" width="15.33203125" customWidth="1"/>
  </cols>
  <sheetData>
    <row r="1" spans="1:7" x14ac:dyDescent="0.3">
      <c r="A1" s="58"/>
      <c r="B1" s="59" t="s">
        <v>79</v>
      </c>
      <c r="C1" s="60"/>
      <c r="D1" s="60"/>
      <c r="E1" s="60"/>
      <c r="G1" s="67"/>
    </row>
    <row r="2" spans="1:7" x14ac:dyDescent="0.3">
      <c r="A2" s="58" t="s">
        <v>6</v>
      </c>
      <c r="B2" s="61" t="s">
        <v>7</v>
      </c>
      <c r="C2" s="60" t="s">
        <v>49</v>
      </c>
      <c r="D2" s="60" t="s">
        <v>50</v>
      </c>
      <c r="E2" s="60" t="s">
        <v>51</v>
      </c>
      <c r="G2" s="67"/>
    </row>
    <row r="3" spans="1:7" ht="26.4" x14ac:dyDescent="0.3">
      <c r="A3" s="62">
        <v>1</v>
      </c>
      <c r="B3" s="23" t="s">
        <v>78</v>
      </c>
      <c r="C3" s="17" t="s">
        <v>52</v>
      </c>
      <c r="D3" s="63">
        <v>1</v>
      </c>
      <c r="E3" s="17">
        <v>37.44</v>
      </c>
      <c r="F3" s="68"/>
      <c r="G3" s="67"/>
    </row>
    <row r="4" spans="1:7" x14ac:dyDescent="0.3">
      <c r="A4" s="62" t="s">
        <v>77</v>
      </c>
      <c r="B4" s="23" t="s">
        <v>76</v>
      </c>
      <c r="C4" s="17" t="s">
        <v>75</v>
      </c>
      <c r="D4" s="63">
        <v>1</v>
      </c>
      <c r="E4" s="17">
        <v>22</v>
      </c>
      <c r="F4" s="68"/>
      <c r="G4" s="67"/>
    </row>
    <row r="5" spans="1:7" x14ac:dyDescent="0.3">
      <c r="A5" s="62" t="s">
        <v>56</v>
      </c>
      <c r="B5" s="23" t="s">
        <v>74</v>
      </c>
      <c r="C5" s="17" t="s">
        <v>73</v>
      </c>
      <c r="D5" s="63">
        <v>1</v>
      </c>
      <c r="E5" s="17">
        <v>201</v>
      </c>
      <c r="F5" s="68"/>
      <c r="G5" s="67"/>
    </row>
    <row r="6" spans="1:7" x14ac:dyDescent="0.3">
      <c r="A6" s="62" t="s">
        <v>72</v>
      </c>
      <c r="B6" s="23" t="s">
        <v>71</v>
      </c>
      <c r="C6" s="17" t="s">
        <v>70</v>
      </c>
      <c r="D6" s="63">
        <v>1.1000000000000001</v>
      </c>
      <c r="E6" s="17">
        <v>41.183999999999997</v>
      </c>
      <c r="F6" s="68"/>
      <c r="G6" s="67"/>
    </row>
    <row r="7" spans="1:7" x14ac:dyDescent="0.3">
      <c r="A7" s="214"/>
      <c r="B7" s="214"/>
      <c r="C7" s="214"/>
      <c r="D7" s="214"/>
      <c r="E7" s="214"/>
      <c r="G7" s="67"/>
    </row>
    <row r="8" spans="1:7" x14ac:dyDescent="0.3">
      <c r="A8" s="58"/>
      <c r="B8" s="59" t="s">
        <v>69</v>
      </c>
      <c r="C8" s="60"/>
      <c r="D8" s="60"/>
      <c r="E8" s="60"/>
      <c r="G8" s="66"/>
    </row>
    <row r="9" spans="1:7" x14ac:dyDescent="0.3">
      <c r="A9" s="58" t="s">
        <v>6</v>
      </c>
      <c r="B9" s="61" t="s">
        <v>7</v>
      </c>
      <c r="C9" s="60" t="s">
        <v>49</v>
      </c>
      <c r="D9" s="60" t="s">
        <v>50</v>
      </c>
      <c r="E9" s="60" t="s">
        <v>51</v>
      </c>
      <c r="G9" s="66"/>
    </row>
    <row r="10" spans="1:7" x14ac:dyDescent="0.3">
      <c r="A10" s="62">
        <v>1</v>
      </c>
      <c r="B10" s="23" t="s">
        <v>80</v>
      </c>
      <c r="C10" s="17" t="s">
        <v>52</v>
      </c>
      <c r="D10" s="63">
        <v>1</v>
      </c>
      <c r="E10" s="17">
        <v>37.44</v>
      </c>
      <c r="G10" s="66"/>
    </row>
    <row r="11" spans="1:7" x14ac:dyDescent="0.3">
      <c r="A11" s="62">
        <v>1.1000000000000001</v>
      </c>
      <c r="B11" s="64" t="s">
        <v>54</v>
      </c>
      <c r="C11" s="17" t="s">
        <v>55</v>
      </c>
      <c r="D11" s="63">
        <v>1.8</v>
      </c>
      <c r="E11" s="17">
        <f>E10*D11</f>
        <v>67.391999999999996</v>
      </c>
      <c r="G11" s="66"/>
    </row>
    <row r="12" spans="1:7" x14ac:dyDescent="0.3">
      <c r="A12" s="62" t="s">
        <v>56</v>
      </c>
      <c r="B12" s="64" t="s">
        <v>57</v>
      </c>
      <c r="C12" s="17" t="s">
        <v>55</v>
      </c>
      <c r="D12" s="63">
        <v>0.15</v>
      </c>
      <c r="E12" s="17">
        <f>E10*D12</f>
        <v>5.6159999999999997</v>
      </c>
      <c r="G12" s="66"/>
    </row>
    <row r="13" spans="1:7" x14ac:dyDescent="0.3">
      <c r="A13" s="215"/>
      <c r="B13" s="215"/>
      <c r="C13" s="215"/>
      <c r="D13" s="215"/>
      <c r="E13" s="215"/>
      <c r="G13" s="66"/>
    </row>
    <row r="14" spans="1:7" x14ac:dyDescent="0.3">
      <c r="A14" s="58"/>
      <c r="B14" s="59" t="s">
        <v>68</v>
      </c>
      <c r="C14" s="60"/>
      <c r="D14" s="60"/>
      <c r="E14" s="60"/>
      <c r="G14" s="66"/>
    </row>
    <row r="15" spans="1:7" x14ac:dyDescent="0.3">
      <c r="A15" s="58" t="s">
        <v>6</v>
      </c>
      <c r="B15" s="61" t="s">
        <v>7</v>
      </c>
      <c r="C15" s="60" t="s">
        <v>49</v>
      </c>
      <c r="D15" s="60" t="s">
        <v>50</v>
      </c>
      <c r="E15" s="60" t="s">
        <v>51</v>
      </c>
      <c r="G15" s="66"/>
    </row>
    <row r="16" spans="1:7" x14ac:dyDescent="0.3">
      <c r="A16" s="62">
        <v>1</v>
      </c>
      <c r="B16" s="23" t="s">
        <v>80</v>
      </c>
      <c r="C16" s="17" t="s">
        <v>52</v>
      </c>
      <c r="D16" s="63">
        <v>1</v>
      </c>
      <c r="E16" s="17">
        <f>E10</f>
        <v>37.44</v>
      </c>
      <c r="G16" s="66"/>
    </row>
    <row r="17" spans="1:7" x14ac:dyDescent="0.3">
      <c r="A17" s="62">
        <v>1.1000000000000001</v>
      </c>
      <c r="B17" s="64" t="s">
        <v>57</v>
      </c>
      <c r="C17" s="17" t="s">
        <v>55</v>
      </c>
      <c r="D17" s="63">
        <v>0.15</v>
      </c>
      <c r="E17" s="17">
        <f>E16*D17</f>
        <v>5.6159999999999997</v>
      </c>
      <c r="G17" s="66"/>
    </row>
    <row r="18" spans="1:7" x14ac:dyDescent="0.3">
      <c r="A18" s="62" t="s">
        <v>56</v>
      </c>
      <c r="B18" s="65" t="s">
        <v>59</v>
      </c>
      <c r="C18" s="17" t="s">
        <v>55</v>
      </c>
      <c r="D18" s="63">
        <v>1.8</v>
      </c>
      <c r="E18" s="17">
        <f>E16*D18</f>
        <v>67.391999999999996</v>
      </c>
      <c r="G18" s="66"/>
    </row>
    <row r="19" spans="1:7" x14ac:dyDescent="0.3">
      <c r="A19" s="214"/>
      <c r="B19" s="214"/>
      <c r="C19" s="214"/>
      <c r="D19" s="214"/>
      <c r="E19" s="214"/>
      <c r="G19" s="66"/>
    </row>
    <row r="20" spans="1:7" x14ac:dyDescent="0.3">
      <c r="A20" s="58"/>
      <c r="B20" s="59" t="s">
        <v>67</v>
      </c>
      <c r="C20" s="60"/>
      <c r="D20" s="60"/>
      <c r="E20" s="60"/>
      <c r="G20" s="66"/>
    </row>
    <row r="21" spans="1:7" x14ac:dyDescent="0.3">
      <c r="A21" s="58" t="s">
        <v>6</v>
      </c>
      <c r="B21" s="61" t="s">
        <v>7</v>
      </c>
      <c r="C21" s="60" t="s">
        <v>49</v>
      </c>
      <c r="D21" s="60" t="s">
        <v>50</v>
      </c>
      <c r="E21" s="60" t="s">
        <v>51</v>
      </c>
      <c r="G21" s="66"/>
    </row>
    <row r="22" spans="1:7" ht="26.4" x14ac:dyDescent="0.3">
      <c r="A22" s="62">
        <v>1</v>
      </c>
      <c r="B22" s="23" t="s">
        <v>66</v>
      </c>
      <c r="C22" s="17" t="s">
        <v>52</v>
      </c>
      <c r="D22" s="63">
        <v>1</v>
      </c>
      <c r="E22" s="17">
        <v>37.44</v>
      </c>
      <c r="G22" s="66"/>
    </row>
    <row r="23" spans="1:7" x14ac:dyDescent="0.3">
      <c r="A23" s="62">
        <v>1.1000000000000001</v>
      </c>
      <c r="B23" s="64" t="s">
        <v>57</v>
      </c>
      <c r="C23" s="17" t="s">
        <v>55</v>
      </c>
      <c r="D23" s="63">
        <v>0.15</v>
      </c>
      <c r="E23" s="17">
        <f>E22*D23</f>
        <v>5.6159999999999997</v>
      </c>
      <c r="G23" s="66"/>
    </row>
    <row r="24" spans="1:7" x14ac:dyDescent="0.3">
      <c r="A24" s="62" t="s">
        <v>56</v>
      </c>
      <c r="B24" s="65" t="s">
        <v>65</v>
      </c>
      <c r="C24" s="17" t="s">
        <v>55</v>
      </c>
      <c r="D24" s="63">
        <v>0.3</v>
      </c>
      <c r="E24" s="17">
        <f>E22*D24</f>
        <v>11.231999999999999</v>
      </c>
      <c r="G24" s="66"/>
    </row>
  </sheetData>
  <mergeCells count="3">
    <mergeCell ref="A19:E19"/>
    <mergeCell ref="A7:E7"/>
    <mergeCell ref="A13:E13"/>
  </mergeCells>
  <pageMargins left="0.7" right="0.7" top="0.75" bottom="0.75" header="0.3" footer="0.3"/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E38"/>
  <sheetViews>
    <sheetView topLeftCell="A13" zoomScaleNormal="100" workbookViewId="0">
      <selection activeCell="B30" sqref="B30"/>
    </sheetView>
  </sheetViews>
  <sheetFormatPr defaultRowHeight="14.4" x14ac:dyDescent="0.3"/>
  <cols>
    <col min="1" max="1" width="7.5546875" customWidth="1"/>
    <col min="2" max="2" width="54.88671875" customWidth="1"/>
    <col min="3" max="3" width="9.109375" customWidth="1"/>
    <col min="4" max="4" width="14.5546875" customWidth="1"/>
    <col min="5" max="5" width="8.88671875" customWidth="1"/>
  </cols>
  <sheetData>
    <row r="1" spans="1:5" x14ac:dyDescent="0.3">
      <c r="A1" s="58"/>
      <c r="B1" s="116" t="s">
        <v>102</v>
      </c>
      <c r="C1" s="60"/>
      <c r="D1" s="60"/>
      <c r="E1" s="60"/>
    </row>
    <row r="2" spans="1:5" ht="27.75" customHeight="1" x14ac:dyDescent="0.3">
      <c r="A2" s="58" t="s">
        <v>6</v>
      </c>
      <c r="B2" s="61" t="s">
        <v>7</v>
      </c>
      <c r="C2" s="60" t="s">
        <v>49</v>
      </c>
      <c r="D2" s="60" t="s">
        <v>50</v>
      </c>
      <c r="E2" s="60" t="s">
        <v>51</v>
      </c>
    </row>
    <row r="3" spans="1:5" ht="26.4" x14ac:dyDescent="0.3">
      <c r="A3" s="62">
        <v>1</v>
      </c>
      <c r="B3" s="23" t="s">
        <v>114</v>
      </c>
      <c r="C3" s="17" t="s">
        <v>70</v>
      </c>
      <c r="D3" s="63">
        <v>1</v>
      </c>
      <c r="E3" s="17">
        <v>16.54</v>
      </c>
    </row>
    <row r="4" spans="1:5" ht="39.6" x14ac:dyDescent="0.3">
      <c r="A4" s="62" t="s">
        <v>77</v>
      </c>
      <c r="B4" s="23" t="s">
        <v>115</v>
      </c>
      <c r="C4" s="17" t="s">
        <v>119</v>
      </c>
      <c r="D4" s="63">
        <v>1</v>
      </c>
      <c r="E4" s="17">
        <f>E3</f>
        <v>16.54</v>
      </c>
    </row>
    <row r="5" spans="1:5" x14ac:dyDescent="0.3">
      <c r="A5" s="62" t="s">
        <v>56</v>
      </c>
      <c r="B5" s="23" t="s">
        <v>116</v>
      </c>
      <c r="C5" s="17" t="s">
        <v>73</v>
      </c>
      <c r="D5" s="63">
        <v>1.42</v>
      </c>
      <c r="E5" s="17">
        <f>D5*E3*2</f>
        <v>46.973599999999998</v>
      </c>
    </row>
    <row r="6" spans="1:5" ht="26.4" x14ac:dyDescent="0.3">
      <c r="A6" s="62" t="s">
        <v>72</v>
      </c>
      <c r="B6" s="23" t="s">
        <v>117</v>
      </c>
      <c r="C6" s="17" t="s">
        <v>70</v>
      </c>
      <c r="D6" s="63">
        <v>2.1</v>
      </c>
      <c r="E6" s="17">
        <f>D6*E3</f>
        <v>34.734000000000002</v>
      </c>
    </row>
    <row r="7" spans="1:5" x14ac:dyDescent="0.3">
      <c r="A7" s="62" t="s">
        <v>120</v>
      </c>
      <c r="B7" s="23" t="s">
        <v>118</v>
      </c>
      <c r="C7" s="17" t="s">
        <v>73</v>
      </c>
      <c r="D7" s="63">
        <v>4.07</v>
      </c>
      <c r="E7" s="17">
        <f>D7*E3</f>
        <v>67.317800000000005</v>
      </c>
    </row>
    <row r="8" spans="1:5" ht="15" thickBot="1" x14ac:dyDescent="0.35">
      <c r="A8" s="107"/>
      <c r="B8" s="107"/>
      <c r="C8" s="107"/>
      <c r="D8" s="107"/>
      <c r="E8" s="107"/>
    </row>
    <row r="9" spans="1:5" x14ac:dyDescent="0.3">
      <c r="A9" s="96"/>
      <c r="B9" s="97" t="s">
        <v>110</v>
      </c>
      <c r="C9" s="98"/>
      <c r="D9" s="98"/>
      <c r="E9" s="99"/>
    </row>
    <row r="10" spans="1:5" ht="15" thickBot="1" x14ac:dyDescent="0.35">
      <c r="A10" s="100" t="s">
        <v>6</v>
      </c>
      <c r="B10" s="101" t="s">
        <v>7</v>
      </c>
      <c r="C10" s="102" t="s">
        <v>49</v>
      </c>
      <c r="D10" s="102" t="s">
        <v>50</v>
      </c>
      <c r="E10" s="103" t="s">
        <v>51</v>
      </c>
    </row>
    <row r="11" spans="1:5" ht="30" customHeight="1" x14ac:dyDescent="0.3">
      <c r="A11" s="90">
        <v>1</v>
      </c>
      <c r="B11" s="91" t="s">
        <v>83</v>
      </c>
      <c r="C11" s="92" t="s">
        <v>73</v>
      </c>
      <c r="D11" s="93">
        <v>1</v>
      </c>
      <c r="E11" s="94">
        <v>33.25</v>
      </c>
    </row>
    <row r="12" spans="1:5" x14ac:dyDescent="0.3">
      <c r="A12" s="73">
        <v>1.1000000000000001</v>
      </c>
      <c r="B12" s="85" t="s">
        <v>103</v>
      </c>
      <c r="C12" s="17" t="s">
        <v>55</v>
      </c>
      <c r="D12" s="63">
        <v>0.3</v>
      </c>
      <c r="E12" s="74">
        <f>E11*D12</f>
        <v>9.9749999999999996</v>
      </c>
    </row>
    <row r="13" spans="1:5" x14ac:dyDescent="0.3">
      <c r="A13" s="73" t="s">
        <v>56</v>
      </c>
      <c r="B13" s="85" t="s">
        <v>85</v>
      </c>
      <c r="C13" s="17" t="s">
        <v>73</v>
      </c>
      <c r="D13" s="63">
        <v>1.1000000000000001</v>
      </c>
      <c r="E13" s="74">
        <f>D13*E11</f>
        <v>36.575000000000003</v>
      </c>
    </row>
    <row r="14" spans="1:5" ht="15" thickBot="1" x14ac:dyDescent="0.35">
      <c r="A14" s="107"/>
      <c r="B14" s="107"/>
      <c r="C14" s="107"/>
      <c r="D14" s="107"/>
      <c r="E14" s="107"/>
    </row>
    <row r="15" spans="1:5" x14ac:dyDescent="0.3">
      <c r="A15" s="108"/>
      <c r="B15" s="109" t="s">
        <v>111</v>
      </c>
      <c r="C15" s="110"/>
      <c r="D15" s="110"/>
      <c r="E15" s="111"/>
    </row>
    <row r="16" spans="1:5" x14ac:dyDescent="0.3">
      <c r="A16" s="112" t="s">
        <v>6</v>
      </c>
      <c r="B16" s="61" t="s">
        <v>7</v>
      </c>
      <c r="C16" s="60" t="s">
        <v>49</v>
      </c>
      <c r="D16" s="60" t="s">
        <v>50</v>
      </c>
      <c r="E16" s="113" t="s">
        <v>51</v>
      </c>
    </row>
    <row r="17" spans="1:5" x14ac:dyDescent="0.3">
      <c r="A17" s="73">
        <v>1</v>
      </c>
      <c r="B17" s="23" t="s">
        <v>108</v>
      </c>
      <c r="C17" s="17" t="s">
        <v>70</v>
      </c>
      <c r="D17" s="63">
        <v>1</v>
      </c>
      <c r="E17" s="74">
        <f>E3</f>
        <v>16.54</v>
      </c>
    </row>
    <row r="18" spans="1:5" x14ac:dyDescent="0.3">
      <c r="A18" s="73">
        <v>1.1000000000000001</v>
      </c>
      <c r="B18" s="64" t="s">
        <v>105</v>
      </c>
      <c r="C18" s="17" t="s">
        <v>55</v>
      </c>
      <c r="D18" s="63">
        <v>2</v>
      </c>
      <c r="E18" s="74">
        <f>E17*D18</f>
        <v>33.08</v>
      </c>
    </row>
    <row r="19" spans="1:5" x14ac:dyDescent="0.3">
      <c r="A19" s="73" t="s">
        <v>56</v>
      </c>
      <c r="B19" s="64" t="s">
        <v>94</v>
      </c>
      <c r="C19" s="17" t="s">
        <v>75</v>
      </c>
      <c r="D19" s="63">
        <v>0.3</v>
      </c>
      <c r="E19" s="74">
        <f>ROUNDDOWN(E17*D19,0)</f>
        <v>4</v>
      </c>
    </row>
    <row r="20" spans="1:5" ht="15" thickBot="1" x14ac:dyDescent="0.35">
      <c r="A20" s="75" t="s">
        <v>72</v>
      </c>
      <c r="B20" s="106" t="s">
        <v>57</v>
      </c>
      <c r="C20" s="77" t="s">
        <v>55</v>
      </c>
      <c r="D20" s="78">
        <v>0.15</v>
      </c>
      <c r="E20" s="79">
        <f>D20*E17</f>
        <v>2.4809999999999999</v>
      </c>
    </row>
    <row r="21" spans="1:5" ht="15" thickBot="1" x14ac:dyDescent="0.35">
      <c r="A21" s="107"/>
      <c r="B21" s="107"/>
      <c r="C21" s="107"/>
      <c r="D21" s="107"/>
      <c r="E21" s="107"/>
    </row>
    <row r="22" spans="1:5" x14ac:dyDescent="0.3">
      <c r="A22" s="108"/>
      <c r="B22" s="109" t="s">
        <v>112</v>
      </c>
      <c r="C22" s="110"/>
      <c r="D22" s="110"/>
      <c r="E22" s="111"/>
    </row>
    <row r="23" spans="1:5" x14ac:dyDescent="0.3">
      <c r="A23" s="112" t="s">
        <v>6</v>
      </c>
      <c r="B23" s="61" t="s">
        <v>7</v>
      </c>
      <c r="C23" s="60" t="s">
        <v>49</v>
      </c>
      <c r="D23" s="60" t="s">
        <v>50</v>
      </c>
      <c r="E23" s="113" t="s">
        <v>51</v>
      </c>
    </row>
    <row r="24" spans="1:5" x14ac:dyDescent="0.3">
      <c r="A24" s="73">
        <v>1</v>
      </c>
      <c r="B24" s="23" t="s">
        <v>108</v>
      </c>
      <c r="C24" s="17" t="s">
        <v>70</v>
      </c>
      <c r="D24" s="63">
        <v>1</v>
      </c>
      <c r="E24" s="74">
        <f>79.16+E3</f>
        <v>95.699999999999989</v>
      </c>
    </row>
    <row r="25" spans="1:5" x14ac:dyDescent="0.3">
      <c r="A25" s="73">
        <v>1.1000000000000001</v>
      </c>
      <c r="B25" s="64" t="s">
        <v>57</v>
      </c>
      <c r="C25" s="17" t="s">
        <v>55</v>
      </c>
      <c r="D25" s="63">
        <v>0.15</v>
      </c>
      <c r="E25" s="115">
        <f>E24*D25</f>
        <v>14.354999999999999</v>
      </c>
    </row>
    <row r="26" spans="1:5" x14ac:dyDescent="0.3">
      <c r="A26" s="73" t="s">
        <v>56</v>
      </c>
      <c r="B26" s="65" t="s">
        <v>105</v>
      </c>
      <c r="C26" s="17" t="s">
        <v>55</v>
      </c>
      <c r="D26" s="63">
        <v>2</v>
      </c>
      <c r="E26" s="74">
        <f>E24*D26</f>
        <v>191.39999999999998</v>
      </c>
    </row>
    <row r="27" spans="1:5" ht="15" thickBot="1" x14ac:dyDescent="0.35">
      <c r="A27" s="107"/>
      <c r="B27" s="107"/>
      <c r="C27" s="107"/>
      <c r="D27" s="107"/>
      <c r="E27" s="107"/>
    </row>
    <row r="28" spans="1:5" x14ac:dyDescent="0.3">
      <c r="A28" s="108"/>
      <c r="B28" s="109" t="s">
        <v>58</v>
      </c>
      <c r="C28" s="110"/>
      <c r="D28" s="110"/>
      <c r="E28" s="111"/>
    </row>
    <row r="29" spans="1:5" x14ac:dyDescent="0.3">
      <c r="A29" s="112" t="s">
        <v>6</v>
      </c>
      <c r="B29" s="61" t="s">
        <v>7</v>
      </c>
      <c r="C29" s="60" t="s">
        <v>49</v>
      </c>
      <c r="D29" s="60" t="s">
        <v>50</v>
      </c>
      <c r="E29" s="113" t="s">
        <v>51</v>
      </c>
    </row>
    <row r="30" spans="1:5" x14ac:dyDescent="0.3">
      <c r="A30" s="73">
        <v>1</v>
      </c>
      <c r="B30" s="23" t="s">
        <v>121</v>
      </c>
      <c r="C30" s="17" t="s">
        <v>70</v>
      </c>
      <c r="D30" s="63">
        <v>1</v>
      </c>
      <c r="E30" s="74">
        <v>970.52</v>
      </c>
    </row>
    <row r="31" spans="1:5" x14ac:dyDescent="0.3">
      <c r="A31" s="73">
        <v>1.1000000000000001</v>
      </c>
      <c r="B31" s="64" t="s">
        <v>57</v>
      </c>
      <c r="C31" s="17" t="s">
        <v>55</v>
      </c>
      <c r="D31" s="63">
        <v>0.15</v>
      </c>
      <c r="E31" s="74">
        <f>E30*D31</f>
        <v>145.578</v>
      </c>
    </row>
    <row r="32" spans="1:5" ht="15" thickBot="1" x14ac:dyDescent="0.35">
      <c r="A32" s="75" t="s">
        <v>56</v>
      </c>
      <c r="B32" s="105" t="s">
        <v>105</v>
      </c>
      <c r="C32" s="77" t="s">
        <v>55</v>
      </c>
      <c r="D32" s="78">
        <v>2</v>
      </c>
      <c r="E32" s="79">
        <f>D32*E30</f>
        <v>1941.04</v>
      </c>
    </row>
    <row r="33" spans="1:5" ht="15" thickBot="1" x14ac:dyDescent="0.35">
      <c r="A33" s="107"/>
      <c r="B33" s="107"/>
      <c r="C33" s="107"/>
      <c r="D33" s="107"/>
      <c r="E33" s="107"/>
    </row>
    <row r="34" spans="1:5" x14ac:dyDescent="0.3">
      <c r="A34" s="96"/>
      <c r="B34" s="97" t="s">
        <v>60</v>
      </c>
      <c r="C34" s="98"/>
      <c r="D34" s="98"/>
      <c r="E34" s="99"/>
    </row>
    <row r="35" spans="1:5" ht="15" thickBot="1" x14ac:dyDescent="0.35">
      <c r="A35" s="100" t="s">
        <v>6</v>
      </c>
      <c r="B35" s="101" t="s">
        <v>7</v>
      </c>
      <c r="C35" s="102" t="s">
        <v>49</v>
      </c>
      <c r="D35" s="102" t="s">
        <v>50</v>
      </c>
      <c r="E35" s="103" t="s">
        <v>51</v>
      </c>
    </row>
    <row r="36" spans="1:5" ht="26.4" x14ac:dyDescent="0.3">
      <c r="A36" s="90">
        <v>1</v>
      </c>
      <c r="B36" s="91" t="s">
        <v>95</v>
      </c>
      <c r="C36" s="92" t="s">
        <v>52</v>
      </c>
      <c r="D36" s="93">
        <v>1</v>
      </c>
      <c r="E36" s="94">
        <f>E24+E30</f>
        <v>1066.22</v>
      </c>
    </row>
    <row r="37" spans="1:5" x14ac:dyDescent="0.3">
      <c r="A37" s="73">
        <v>1.1000000000000001</v>
      </c>
      <c r="B37" s="86" t="s">
        <v>96</v>
      </c>
      <c r="C37" s="17" t="s">
        <v>55</v>
      </c>
      <c r="D37" s="88">
        <v>0.15</v>
      </c>
      <c r="E37" s="89">
        <f>D37*E36</f>
        <v>159.93299999999999</v>
      </c>
    </row>
    <row r="38" spans="1:5" ht="27" thickBot="1" x14ac:dyDescent="0.35">
      <c r="A38" s="75" t="s">
        <v>56</v>
      </c>
      <c r="B38" s="95" t="s">
        <v>97</v>
      </c>
      <c r="C38" s="77" t="s">
        <v>55</v>
      </c>
      <c r="D38" s="78">
        <v>0.3</v>
      </c>
      <c r="E38" s="79">
        <f>D38*E36</f>
        <v>319.86599999999999</v>
      </c>
    </row>
  </sheetData>
  <pageMargins left="0.7" right="0.7" top="0.75" bottom="0.75" header="0.3" footer="0.3"/>
</worksheet>
</file>

<file path=xl/worksheets/sheet2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F23"/>
  <sheetViews>
    <sheetView workbookViewId="0">
      <selection activeCell="B3" sqref="B3"/>
    </sheetView>
  </sheetViews>
  <sheetFormatPr defaultRowHeight="14.4" x14ac:dyDescent="0.3"/>
  <cols>
    <col min="1" max="1" width="7.5546875" customWidth="1"/>
    <col min="2" max="2" width="54.88671875" customWidth="1"/>
    <col min="3" max="3" width="9.109375" customWidth="1"/>
    <col min="4" max="4" width="14.5546875" customWidth="1"/>
    <col min="5" max="5" width="8.88671875" customWidth="1"/>
  </cols>
  <sheetData>
    <row r="1" spans="1:6" x14ac:dyDescent="0.3">
      <c r="A1" s="69"/>
      <c r="B1" s="70" t="s">
        <v>81</v>
      </c>
      <c r="C1" s="71"/>
      <c r="D1" s="71"/>
      <c r="E1" s="72"/>
    </row>
    <row r="2" spans="1:6" ht="37.799999999999997" customHeight="1" x14ac:dyDescent="0.3">
      <c r="A2" s="73" t="s">
        <v>82</v>
      </c>
      <c r="B2" s="23" t="s">
        <v>83</v>
      </c>
      <c r="C2" s="17" t="s">
        <v>73</v>
      </c>
      <c r="D2" s="63">
        <v>1</v>
      </c>
      <c r="E2" s="74">
        <v>21.7</v>
      </c>
    </row>
    <row r="3" spans="1:6" ht="39.6" x14ac:dyDescent="0.3">
      <c r="A3" s="80" t="s">
        <v>86</v>
      </c>
      <c r="B3" s="81" t="s">
        <v>253</v>
      </c>
      <c r="C3" s="82" t="s">
        <v>52</v>
      </c>
      <c r="D3" s="83">
        <v>1</v>
      </c>
      <c r="E3" s="84">
        <v>134.57999999999998</v>
      </c>
    </row>
    <row r="4" spans="1:6" ht="15" thickBot="1" x14ac:dyDescent="0.35">
      <c r="A4" s="107"/>
      <c r="B4" s="107"/>
      <c r="C4" s="107"/>
      <c r="D4" s="107"/>
      <c r="E4" s="107"/>
      <c r="F4" s="107"/>
    </row>
    <row r="5" spans="1:6" x14ac:dyDescent="0.3">
      <c r="A5" s="108"/>
      <c r="B5" s="109" t="s">
        <v>53</v>
      </c>
      <c r="C5" s="110"/>
      <c r="D5" s="110"/>
      <c r="E5" s="111"/>
      <c r="F5" s="107"/>
    </row>
    <row r="6" spans="1:6" x14ac:dyDescent="0.3">
      <c r="A6" s="112" t="s">
        <v>6</v>
      </c>
      <c r="B6" s="61" t="s">
        <v>7</v>
      </c>
      <c r="C6" s="60" t="s">
        <v>49</v>
      </c>
      <c r="D6" s="60" t="s">
        <v>50</v>
      </c>
      <c r="E6" s="113" t="s">
        <v>51</v>
      </c>
      <c r="F6" s="107"/>
    </row>
    <row r="7" spans="1:6" ht="26.4" x14ac:dyDescent="0.3">
      <c r="A7" s="73">
        <v>1</v>
      </c>
      <c r="B7" s="23" t="s">
        <v>104</v>
      </c>
      <c r="C7" s="17" t="s">
        <v>70</v>
      </c>
      <c r="D7" s="63">
        <v>1</v>
      </c>
      <c r="E7" s="74">
        <f>E3</f>
        <v>134.57999999999998</v>
      </c>
      <c r="F7" s="107"/>
    </row>
    <row r="8" spans="1:6" x14ac:dyDescent="0.3">
      <c r="A8" s="73">
        <v>1.1000000000000001</v>
      </c>
      <c r="B8" s="64" t="s">
        <v>105</v>
      </c>
      <c r="C8" s="17" t="s">
        <v>55</v>
      </c>
      <c r="D8" s="63">
        <v>2</v>
      </c>
      <c r="E8" s="74">
        <f>E7*D8</f>
        <v>269.15999999999997</v>
      </c>
      <c r="F8" s="107"/>
    </row>
    <row r="9" spans="1:6" x14ac:dyDescent="0.3">
      <c r="A9" s="73" t="s">
        <v>56</v>
      </c>
      <c r="B9" s="64" t="s">
        <v>106</v>
      </c>
      <c r="C9" s="17" t="s">
        <v>75</v>
      </c>
      <c r="D9" s="63">
        <v>0.3</v>
      </c>
      <c r="E9" s="74">
        <f>ROUNDDOWN(E7*D9,0)</f>
        <v>40</v>
      </c>
      <c r="F9" s="107"/>
    </row>
    <row r="10" spans="1:6" ht="15" thickBot="1" x14ac:dyDescent="0.35">
      <c r="A10" s="75" t="s">
        <v>72</v>
      </c>
      <c r="B10" s="106" t="s">
        <v>57</v>
      </c>
      <c r="C10" s="77" t="s">
        <v>55</v>
      </c>
      <c r="D10" s="78">
        <v>0.15</v>
      </c>
      <c r="E10" s="79">
        <f>D10*E7</f>
        <v>20.186999999999998</v>
      </c>
      <c r="F10" s="107"/>
    </row>
    <row r="11" spans="1:6" ht="15" thickBot="1" x14ac:dyDescent="0.35">
      <c r="A11" s="114"/>
      <c r="B11" s="114"/>
      <c r="C11" s="114"/>
      <c r="D11" s="114"/>
      <c r="E11" s="114"/>
      <c r="F11" s="107"/>
    </row>
    <row r="12" spans="1:6" x14ac:dyDescent="0.3">
      <c r="A12" s="108"/>
      <c r="B12" s="109" t="s">
        <v>58</v>
      </c>
      <c r="C12" s="110"/>
      <c r="D12" s="110"/>
      <c r="E12" s="111"/>
      <c r="F12" s="107"/>
    </row>
    <row r="13" spans="1:6" x14ac:dyDescent="0.3">
      <c r="A13" s="112" t="s">
        <v>6</v>
      </c>
      <c r="B13" s="61" t="s">
        <v>7</v>
      </c>
      <c r="C13" s="60" t="s">
        <v>49</v>
      </c>
      <c r="D13" s="60" t="s">
        <v>50</v>
      </c>
      <c r="E13" s="113" t="s">
        <v>51</v>
      </c>
      <c r="F13" s="107"/>
    </row>
    <row r="14" spans="1:6" ht="26.4" x14ac:dyDescent="0.3">
      <c r="A14" s="73">
        <v>1</v>
      </c>
      <c r="B14" s="23" t="s">
        <v>104</v>
      </c>
      <c r="C14" s="17" t="s">
        <v>70</v>
      </c>
      <c r="D14" s="63">
        <v>1</v>
      </c>
      <c r="E14" s="74">
        <f>E7</f>
        <v>134.57999999999998</v>
      </c>
      <c r="F14" s="107"/>
    </row>
    <row r="15" spans="1:6" x14ac:dyDescent="0.3">
      <c r="A15" s="73">
        <v>1.1000000000000001</v>
      </c>
      <c r="B15" s="64" t="s">
        <v>57</v>
      </c>
      <c r="C15" s="17" t="s">
        <v>55</v>
      </c>
      <c r="D15" s="63">
        <v>0.15</v>
      </c>
      <c r="E15" s="74">
        <f>E14*D15</f>
        <v>20.186999999999998</v>
      </c>
      <c r="F15" s="107"/>
    </row>
    <row r="16" spans="1:6" x14ac:dyDescent="0.3">
      <c r="A16" s="73" t="s">
        <v>56</v>
      </c>
      <c r="B16" s="65" t="s">
        <v>106</v>
      </c>
      <c r="C16" s="17" t="s">
        <v>75</v>
      </c>
      <c r="D16" s="63">
        <v>0.3</v>
      </c>
      <c r="E16" s="74">
        <f>ROUNDDOWN(E14*D16,0)</f>
        <v>40</v>
      </c>
      <c r="F16" s="107"/>
    </row>
    <row r="17" spans="1:6" ht="15" thickBot="1" x14ac:dyDescent="0.35">
      <c r="A17" s="75" t="s">
        <v>72</v>
      </c>
      <c r="B17" s="105" t="s">
        <v>107</v>
      </c>
      <c r="C17" s="77" t="s">
        <v>55</v>
      </c>
      <c r="D17" s="78">
        <v>1</v>
      </c>
      <c r="E17" s="79">
        <f>D17*E14</f>
        <v>134.57999999999998</v>
      </c>
      <c r="F17" s="107"/>
    </row>
    <row r="18" spans="1:6" ht="15" thickBot="1" x14ac:dyDescent="0.35">
      <c r="A18" s="107"/>
      <c r="B18" s="107"/>
      <c r="C18" s="107"/>
      <c r="D18" s="107"/>
      <c r="E18" s="107"/>
      <c r="F18" s="107"/>
    </row>
    <row r="19" spans="1:6" x14ac:dyDescent="0.3">
      <c r="A19" s="108"/>
      <c r="B19" s="109" t="s">
        <v>60</v>
      </c>
      <c r="C19" s="110"/>
      <c r="D19" s="110"/>
      <c r="E19" s="111"/>
    </row>
    <row r="20" spans="1:6" x14ac:dyDescent="0.3">
      <c r="A20" s="112" t="s">
        <v>6</v>
      </c>
      <c r="B20" s="61" t="s">
        <v>7</v>
      </c>
      <c r="C20" s="60" t="s">
        <v>49</v>
      </c>
      <c r="D20" s="60" t="s">
        <v>50</v>
      </c>
      <c r="E20" s="113" t="s">
        <v>51</v>
      </c>
    </row>
    <row r="21" spans="1:6" ht="26.4" x14ac:dyDescent="0.3">
      <c r="A21" s="73">
        <v>1</v>
      </c>
      <c r="B21" s="23" t="s">
        <v>95</v>
      </c>
      <c r="C21" s="17" t="s">
        <v>52</v>
      </c>
      <c r="D21" s="63">
        <v>1</v>
      </c>
      <c r="E21" s="74">
        <f>E14</f>
        <v>134.57999999999998</v>
      </c>
    </row>
    <row r="22" spans="1:6" x14ac:dyDescent="0.3">
      <c r="A22" s="73">
        <v>1.1000000000000001</v>
      </c>
      <c r="B22" s="85" t="s">
        <v>96</v>
      </c>
      <c r="C22" s="17" t="s">
        <v>55</v>
      </c>
      <c r="D22" s="63">
        <v>0.15</v>
      </c>
      <c r="E22" s="74">
        <f>D22*E21</f>
        <v>20.186999999999998</v>
      </c>
    </row>
    <row r="23" spans="1:6" ht="27" thickBot="1" x14ac:dyDescent="0.35">
      <c r="A23" s="75" t="s">
        <v>56</v>
      </c>
      <c r="B23" s="95" t="s">
        <v>97</v>
      </c>
      <c r="C23" s="77" t="s">
        <v>55</v>
      </c>
      <c r="D23" s="78">
        <v>0.3</v>
      </c>
      <c r="E23" s="79">
        <f>D23*E21</f>
        <v>40.373999999999995</v>
      </c>
    </row>
  </sheetData>
  <pageMargins left="0.7" right="0.7" top="0.75" bottom="0.75" header="0.3" footer="0.3"/>
</worksheet>
</file>

<file path=xl/worksheets/sheet2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F33"/>
  <sheetViews>
    <sheetView workbookViewId="0">
      <selection activeCell="E17" sqref="E17"/>
    </sheetView>
  </sheetViews>
  <sheetFormatPr defaultRowHeight="14.4" x14ac:dyDescent="0.3"/>
  <cols>
    <col min="1" max="1" width="7.5546875" customWidth="1"/>
    <col min="2" max="2" width="54.88671875" customWidth="1"/>
    <col min="3" max="3" width="9.109375" customWidth="1"/>
    <col min="4" max="4" width="14.5546875" customWidth="1"/>
    <col min="5" max="5" width="8.88671875" customWidth="1"/>
  </cols>
  <sheetData>
    <row r="1" spans="1:6" x14ac:dyDescent="0.3">
      <c r="A1" s="69"/>
      <c r="B1" s="70" t="s">
        <v>81</v>
      </c>
      <c r="C1" s="71"/>
      <c r="D1" s="71"/>
      <c r="E1" s="72"/>
    </row>
    <row r="2" spans="1:6" ht="27.75" customHeight="1" x14ac:dyDescent="0.3">
      <c r="A2" s="73" t="s">
        <v>82</v>
      </c>
      <c r="B2" s="23" t="s">
        <v>83</v>
      </c>
      <c r="C2" s="17" t="s">
        <v>73</v>
      </c>
      <c r="D2" s="63">
        <v>1</v>
      </c>
      <c r="E2" s="74">
        <v>21.7</v>
      </c>
    </row>
    <row r="3" spans="1:6" x14ac:dyDescent="0.3">
      <c r="A3" s="73" t="s">
        <v>56</v>
      </c>
      <c r="B3" s="23" t="s">
        <v>84</v>
      </c>
      <c r="C3" s="17" t="s">
        <v>55</v>
      </c>
      <c r="D3" s="63">
        <v>0.1</v>
      </c>
      <c r="E3" s="74">
        <f>D3*E2</f>
        <v>2.17</v>
      </c>
    </row>
    <row r="4" spans="1:6" ht="15" thickBot="1" x14ac:dyDescent="0.35">
      <c r="A4" s="75" t="s">
        <v>72</v>
      </c>
      <c r="B4" s="76" t="s">
        <v>85</v>
      </c>
      <c r="C4" s="77" t="s">
        <v>73</v>
      </c>
      <c r="D4" s="78">
        <v>1.1000000000000001</v>
      </c>
      <c r="E4" s="79">
        <f>D4*E2</f>
        <v>23.87</v>
      </c>
    </row>
    <row r="5" spans="1:6" ht="39.6" x14ac:dyDescent="0.3">
      <c r="A5" s="80" t="s">
        <v>86</v>
      </c>
      <c r="B5" s="81" t="s">
        <v>109</v>
      </c>
      <c r="C5" s="82" t="s">
        <v>52</v>
      </c>
      <c r="D5" s="83">
        <v>1</v>
      </c>
      <c r="E5" s="84">
        <v>30.17</v>
      </c>
    </row>
    <row r="6" spans="1:6" x14ac:dyDescent="0.3">
      <c r="A6" s="73" t="s">
        <v>87</v>
      </c>
      <c r="B6" s="85" t="s">
        <v>101</v>
      </c>
      <c r="C6" s="17" t="s">
        <v>55</v>
      </c>
      <c r="D6" s="63">
        <v>0.25</v>
      </c>
      <c r="E6" s="74">
        <f>E5*D6</f>
        <v>7.5425000000000004</v>
      </c>
    </row>
    <row r="7" spans="1:6" x14ac:dyDescent="0.3">
      <c r="A7" s="73" t="s">
        <v>88</v>
      </c>
      <c r="B7" s="86" t="s">
        <v>98</v>
      </c>
      <c r="C7" s="87" t="s">
        <v>55</v>
      </c>
      <c r="D7" s="88">
        <v>1.8</v>
      </c>
      <c r="E7" s="89">
        <f>E5*D7*20</f>
        <v>1086.1200000000001</v>
      </c>
    </row>
    <row r="8" spans="1:6" ht="15" thickBot="1" x14ac:dyDescent="0.35">
      <c r="A8" s="73" t="s">
        <v>88</v>
      </c>
      <c r="B8" s="86" t="s">
        <v>99</v>
      </c>
      <c r="C8" s="87" t="s">
        <v>73</v>
      </c>
      <c r="D8" s="88">
        <v>1.1000000000000001</v>
      </c>
      <c r="E8" s="89">
        <f>E5*D8</f>
        <v>33.187000000000005</v>
      </c>
    </row>
    <row r="9" spans="1:6" ht="39.6" x14ac:dyDescent="0.3">
      <c r="A9" s="90" t="s">
        <v>89</v>
      </c>
      <c r="B9" s="91" t="s">
        <v>113</v>
      </c>
      <c r="C9" s="92" t="s">
        <v>70</v>
      </c>
      <c r="D9" s="93">
        <v>1</v>
      </c>
      <c r="E9" s="94">
        <v>104.41</v>
      </c>
    </row>
    <row r="10" spans="1:6" x14ac:dyDescent="0.3">
      <c r="A10" s="73" t="s">
        <v>90</v>
      </c>
      <c r="B10" s="85" t="s">
        <v>99</v>
      </c>
      <c r="C10" s="17" t="s">
        <v>73</v>
      </c>
      <c r="D10" s="63">
        <v>1.1000000000000001</v>
      </c>
      <c r="E10" s="74">
        <f>E9*D10</f>
        <v>114.851</v>
      </c>
    </row>
    <row r="11" spans="1:6" x14ac:dyDescent="0.3">
      <c r="A11" s="73" t="s">
        <v>91</v>
      </c>
      <c r="B11" s="85" t="s">
        <v>98</v>
      </c>
      <c r="C11" s="17" t="s">
        <v>55</v>
      </c>
      <c r="D11" s="63">
        <v>1.8</v>
      </c>
      <c r="E11" s="74">
        <f>E9*D11*20</f>
        <v>3758.7599999999998</v>
      </c>
    </row>
    <row r="12" spans="1:6" ht="26.4" x14ac:dyDescent="0.3">
      <c r="A12" s="73" t="s">
        <v>92</v>
      </c>
      <c r="B12" s="104" t="s">
        <v>100</v>
      </c>
      <c r="C12" s="17" t="s">
        <v>55</v>
      </c>
      <c r="D12" s="63">
        <v>0.15</v>
      </c>
      <c r="E12" s="74">
        <f>E9*D12</f>
        <v>15.661499999999998</v>
      </c>
    </row>
    <row r="13" spans="1:6" ht="15" thickBot="1" x14ac:dyDescent="0.35">
      <c r="A13" s="75" t="s">
        <v>93</v>
      </c>
      <c r="B13" s="95" t="s">
        <v>11</v>
      </c>
      <c r="C13" s="77" t="s">
        <v>73</v>
      </c>
      <c r="D13" s="78">
        <v>1</v>
      </c>
      <c r="E13" s="79">
        <v>32</v>
      </c>
    </row>
    <row r="14" spans="1:6" ht="15" thickBot="1" x14ac:dyDescent="0.35">
      <c r="A14" s="107"/>
      <c r="B14" s="107"/>
      <c r="C14" s="107"/>
      <c r="D14" s="107"/>
      <c r="E14" s="107"/>
      <c r="F14" s="107"/>
    </row>
    <row r="15" spans="1:6" x14ac:dyDescent="0.3">
      <c r="A15" s="108"/>
      <c r="B15" s="109" t="s">
        <v>53</v>
      </c>
      <c r="C15" s="110"/>
      <c r="D15" s="110"/>
      <c r="E15" s="111"/>
      <c r="F15" s="107"/>
    </row>
    <row r="16" spans="1:6" x14ac:dyDescent="0.3">
      <c r="A16" s="112" t="s">
        <v>6</v>
      </c>
      <c r="B16" s="61" t="s">
        <v>7</v>
      </c>
      <c r="C16" s="60" t="s">
        <v>49</v>
      </c>
      <c r="D16" s="60" t="s">
        <v>50</v>
      </c>
      <c r="E16" s="113" t="s">
        <v>51</v>
      </c>
      <c r="F16" s="107"/>
    </row>
    <row r="17" spans="1:6" ht="26.4" x14ac:dyDescent="0.3">
      <c r="A17" s="73">
        <v>1</v>
      </c>
      <c r="B17" s="23" t="s">
        <v>104</v>
      </c>
      <c r="C17" s="17" t="s">
        <v>70</v>
      </c>
      <c r="D17" s="63">
        <v>1</v>
      </c>
      <c r="E17" s="74">
        <f>E9+E5</f>
        <v>134.57999999999998</v>
      </c>
      <c r="F17" s="107"/>
    </row>
    <row r="18" spans="1:6" x14ac:dyDescent="0.3">
      <c r="A18" s="73">
        <v>1.1000000000000001</v>
      </c>
      <c r="B18" s="64" t="s">
        <v>105</v>
      </c>
      <c r="C18" s="17" t="s">
        <v>55</v>
      </c>
      <c r="D18" s="63">
        <v>2</v>
      </c>
      <c r="E18" s="74">
        <f>E17*D18</f>
        <v>269.15999999999997</v>
      </c>
      <c r="F18" s="107"/>
    </row>
    <row r="19" spans="1:6" x14ac:dyDescent="0.3">
      <c r="A19" s="73" t="s">
        <v>56</v>
      </c>
      <c r="B19" s="64" t="s">
        <v>106</v>
      </c>
      <c r="C19" s="17" t="s">
        <v>75</v>
      </c>
      <c r="D19" s="63">
        <v>0.3</v>
      </c>
      <c r="E19" s="74">
        <f>ROUNDDOWN(E17*D19,0)</f>
        <v>40</v>
      </c>
      <c r="F19" s="107"/>
    </row>
    <row r="20" spans="1:6" ht="15" thickBot="1" x14ac:dyDescent="0.35">
      <c r="A20" s="75" t="s">
        <v>72</v>
      </c>
      <c r="B20" s="106" t="s">
        <v>57</v>
      </c>
      <c r="C20" s="77" t="s">
        <v>55</v>
      </c>
      <c r="D20" s="78">
        <v>0.15</v>
      </c>
      <c r="E20" s="79">
        <f>D20*E17</f>
        <v>20.186999999999998</v>
      </c>
      <c r="F20" s="107"/>
    </row>
    <row r="21" spans="1:6" ht="15" thickBot="1" x14ac:dyDescent="0.35">
      <c r="A21" s="114"/>
      <c r="B21" s="114"/>
      <c r="C21" s="114"/>
      <c r="D21" s="114"/>
      <c r="E21" s="114"/>
      <c r="F21" s="107"/>
    </row>
    <row r="22" spans="1:6" x14ac:dyDescent="0.3">
      <c r="A22" s="108"/>
      <c r="B22" s="109" t="s">
        <v>58</v>
      </c>
      <c r="C22" s="110"/>
      <c r="D22" s="110"/>
      <c r="E22" s="111"/>
      <c r="F22" s="107"/>
    </row>
    <row r="23" spans="1:6" x14ac:dyDescent="0.3">
      <c r="A23" s="112" t="s">
        <v>6</v>
      </c>
      <c r="B23" s="61" t="s">
        <v>7</v>
      </c>
      <c r="C23" s="60" t="s">
        <v>49</v>
      </c>
      <c r="D23" s="60" t="s">
        <v>50</v>
      </c>
      <c r="E23" s="113" t="s">
        <v>51</v>
      </c>
      <c r="F23" s="107"/>
    </row>
    <row r="24" spans="1:6" ht="26.4" x14ac:dyDescent="0.3">
      <c r="A24" s="73">
        <v>1</v>
      </c>
      <c r="B24" s="23" t="s">
        <v>104</v>
      </c>
      <c r="C24" s="17" t="s">
        <v>70</v>
      </c>
      <c r="D24" s="63">
        <v>1</v>
      </c>
      <c r="E24" s="74">
        <f>E17</f>
        <v>134.57999999999998</v>
      </c>
      <c r="F24" s="107"/>
    </row>
    <row r="25" spans="1:6" x14ac:dyDescent="0.3">
      <c r="A25" s="73">
        <v>1.1000000000000001</v>
      </c>
      <c r="B25" s="64" t="s">
        <v>57</v>
      </c>
      <c r="C25" s="17" t="s">
        <v>55</v>
      </c>
      <c r="D25" s="63">
        <v>0.15</v>
      </c>
      <c r="E25" s="74">
        <f>E24*D25</f>
        <v>20.186999999999998</v>
      </c>
      <c r="F25" s="107"/>
    </row>
    <row r="26" spans="1:6" x14ac:dyDescent="0.3">
      <c r="A26" s="73" t="s">
        <v>56</v>
      </c>
      <c r="B26" s="65" t="s">
        <v>106</v>
      </c>
      <c r="C26" s="17" t="s">
        <v>75</v>
      </c>
      <c r="D26" s="63">
        <v>0.3</v>
      </c>
      <c r="E26" s="74">
        <f>ROUNDDOWN(E24*D26,0)</f>
        <v>40</v>
      </c>
      <c r="F26" s="107"/>
    </row>
    <row r="27" spans="1:6" ht="15" thickBot="1" x14ac:dyDescent="0.35">
      <c r="A27" s="75" t="s">
        <v>72</v>
      </c>
      <c r="B27" s="105" t="s">
        <v>107</v>
      </c>
      <c r="C27" s="77" t="s">
        <v>55</v>
      </c>
      <c r="D27" s="78">
        <v>1</v>
      </c>
      <c r="E27" s="79">
        <f>D27*E24</f>
        <v>134.57999999999998</v>
      </c>
      <c r="F27" s="107"/>
    </row>
    <row r="28" spans="1:6" ht="15" thickBot="1" x14ac:dyDescent="0.35">
      <c r="A28" s="107"/>
      <c r="B28" s="107"/>
      <c r="C28" s="107"/>
      <c r="D28" s="107"/>
      <c r="E28" s="107"/>
      <c r="F28" s="107"/>
    </row>
    <row r="29" spans="1:6" x14ac:dyDescent="0.3">
      <c r="A29" s="108"/>
      <c r="B29" s="109" t="s">
        <v>60</v>
      </c>
      <c r="C29" s="110"/>
      <c r="D29" s="110"/>
      <c r="E29" s="111"/>
    </row>
    <row r="30" spans="1:6" x14ac:dyDescent="0.3">
      <c r="A30" s="112" t="s">
        <v>6</v>
      </c>
      <c r="B30" s="61" t="s">
        <v>7</v>
      </c>
      <c r="C30" s="60" t="s">
        <v>49</v>
      </c>
      <c r="D30" s="60" t="s">
        <v>50</v>
      </c>
      <c r="E30" s="113" t="s">
        <v>51</v>
      </c>
    </row>
    <row r="31" spans="1:6" ht="26.4" x14ac:dyDescent="0.3">
      <c r="A31" s="73">
        <v>1</v>
      </c>
      <c r="B31" s="23" t="s">
        <v>95</v>
      </c>
      <c r="C31" s="17" t="s">
        <v>52</v>
      </c>
      <c r="D31" s="63">
        <v>1</v>
      </c>
      <c r="E31" s="74">
        <f>E24</f>
        <v>134.57999999999998</v>
      </c>
    </row>
    <row r="32" spans="1:6" x14ac:dyDescent="0.3">
      <c r="A32" s="73">
        <v>1.1000000000000001</v>
      </c>
      <c r="B32" s="85" t="s">
        <v>96</v>
      </c>
      <c r="C32" s="17" t="s">
        <v>55</v>
      </c>
      <c r="D32" s="63">
        <v>0.15</v>
      </c>
      <c r="E32" s="74">
        <f>D32*E31</f>
        <v>20.186999999999998</v>
      </c>
    </row>
    <row r="33" spans="1:5" ht="27" thickBot="1" x14ac:dyDescent="0.35">
      <c r="A33" s="75" t="s">
        <v>56</v>
      </c>
      <c r="B33" s="95" t="s">
        <v>97</v>
      </c>
      <c r="C33" s="77" t="s">
        <v>55</v>
      </c>
      <c r="D33" s="78">
        <v>0.3</v>
      </c>
      <c r="E33" s="79">
        <f>D33*E31</f>
        <v>40.373999999999995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Листы</vt:lpstr>
      </vt:variant>
      <vt:variant>
        <vt:i4>21</vt:i4>
      </vt:variant>
    </vt:vector>
  </HeadingPairs>
  <TitlesOfParts>
    <vt:vector size="21" baseType="lpstr">
      <vt:lpstr>16 Краска</vt:lpstr>
      <vt:lpstr>15ДмПот</vt:lpstr>
      <vt:lpstr>14МонтСт</vt:lpstr>
      <vt:lpstr>13МонтСт</vt:lpstr>
      <vt:lpstr>12ДмСт</vt:lpstr>
      <vt:lpstr>11ПВХплитка</vt:lpstr>
      <vt:lpstr>10ПВХплиткаДм</vt:lpstr>
      <vt:lpstr>9 Краска</vt:lpstr>
      <vt:lpstr>4-С-Ш1</vt:lpstr>
      <vt:lpstr>3-С-Ш1фин</vt:lpstr>
      <vt:lpstr>2-С-Ш1, баз</vt:lpstr>
      <vt:lpstr>1-С-Ш1, ГКЛ</vt:lpstr>
      <vt:lpstr>Общий</vt:lpstr>
      <vt:lpstr>Пример</vt:lpstr>
      <vt:lpstr>Спортзал</vt:lpstr>
      <vt:lpstr>библиотека</vt:lpstr>
      <vt:lpstr>Библ откосы</vt:lpstr>
      <vt:lpstr>ВОР2FB</vt:lpstr>
      <vt:lpstr>1.030 ВОР</vt:lpstr>
      <vt:lpstr>1.032 ВОР</vt:lpstr>
      <vt:lpstr>1.032 ВОР (2)</vt:lpstr>
    </vt:vector>
  </TitlesOfParts>
  <Company>HP</Company>
  <LinksUpToDate>false</LinksUpToDate>
  <SharedDoc>false</SharedDoc>
  <HyperlinksChanged>false</HyperlinksChanged>
  <AppVersion>15.0300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МирзаяновИИ</dc:creator>
  <cp:lastModifiedBy>Linux</cp:lastModifiedBy>
  <dcterms:created xsi:type="dcterms:W3CDTF">2025-09-01T11:02:25Z</dcterms:created>
  <dcterms:modified xsi:type="dcterms:W3CDTF">2026-08-26T08:17:11Z</dcterms:modified>
</cp:coreProperties>
</file>